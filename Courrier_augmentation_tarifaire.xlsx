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Mode d'emploi" sheetId="1" state="visible" r:id="rId3"/>
    <sheet name="Paramètres" sheetId="2" state="visible" r:id="rId4"/>
    <sheet name="Clients" sheetId="3" state="visible" r:id="rId5"/>
    <sheet name="Courrier" sheetId="4" state="visible" r:id="rId6"/>
    <sheet name="Impression en masse" sheetId="5" state="visible" r:id="rId7"/>
    <sheet name="Macro PDF" sheetId="6" state="visible" r:id="rId8"/>
  </sheets>
  <definedNames>
    <definedName function="false" hidden="true" localSheetId="2" name="_xlnm._FilterDatabase" vbProcedure="false">Clients!$A$1:$Z$501</definedName>
    <definedName function="false" hidden="false" localSheetId="3" name="_xlnm.Print_Area" vbProcedure="false">Courrier!$A$1:$G$45</definedName>
    <definedName function="false" hidden="false" name="Cab_Adr1" vbProcedure="false">Paramètres!$B$7</definedName>
    <definedName function="false" hidden="false" name="Cab_Contact" vbProcedure="false">Paramètres!$B$10</definedName>
    <definedName function="false" hidden="false" name="Cab_CPVille" vbProcedure="false">Paramètres!$B$8</definedName>
    <definedName function="false" hidden="false" name="Cab_Mentions" vbProcedure="false">Paramètres!$B$11</definedName>
    <definedName function="false" hidden="false" name="Cab_Nom" vbProcedure="false">Paramètres!$B$6</definedName>
    <definedName function="false" hidden="false" name="Cab_Ville" vbProcedure="false">Paramètres!$B$9</definedName>
    <definedName function="false" hidden="false" name="Client_Selectionne" vbProcedure="false">Courrier!$I$3</definedName>
    <definedName function="false" hidden="false" name="Codes_Clients" vbProcedure="false">Clients!$A$2:$A$501</definedName>
    <definedName function="false" hidden="false" name="Date_Courrier" vbProcedure="false">Paramètres!$B$16</definedName>
    <definedName function="false" hidden="false" name="Date_Effet" vbProcedure="false">Paramètres!$B$17</definedName>
    <definedName function="false" hidden="false" name="Filtre_Masse" vbProcedure="false">Paramètres!$B$29</definedName>
    <definedName function="false" hidden="false" name="Lib_Compta" vbProcedure="false">Paramètres!$B$32</definedName>
    <definedName function="false" hidden="false" name="Lib_Jur" vbProcedure="false">Paramètres!$B$34</definedName>
    <definedName function="false" hidden="false" name="Lib_PA" vbProcedure="false">Paramètres!$B$35</definedName>
    <definedName function="false" hidden="false" name="Lib_Paye" vbProcedure="false">Paramètres!$B$33</definedName>
    <definedName function="false" hidden="false" name="Liste_Mois" vbProcedure="false">Paramètres!$B$48:$B$59</definedName>
    <definedName function="false" hidden="false" name="Nb_Courriers" vbProcedure="false">MAX(Clients!$Z$2:$Z$501)</definedName>
    <definedName function="false" hidden="false" name="Nb_Mensualites" vbProcedure="false">Paramètres!$B$25</definedName>
    <definedName function="false" hidden="false" name="Pas_Arrondi" vbProcedure="false">Paramètres!$B$24</definedName>
    <definedName function="false" hidden="false" name="Signataire" vbProcedure="false">Paramètres!$B$12</definedName>
    <definedName function="false" hidden="false" name="Signataire_Titre" vbProcedure="false">Paramètres!$B$13</definedName>
    <definedName function="false" hidden="false" name="Taux_Compta" vbProcedure="false">Paramètres!$B$20</definedName>
    <definedName function="false" hidden="false" name="Taux_Jur" vbProcedure="false">Paramètres!$B$22</definedName>
    <definedName function="false" hidden="false" name="Taux_PA" vbProcedure="false">Paramètres!$B$23</definedName>
    <definedName function="false" hidden="false" name="Taux_Paye" vbProcedure="false">Paramètres!$B$21</definedName>
    <definedName function="false" hidden="false" name="Taux_TVA" vbProcedure="false">Paramètres!$B$26</definedName>
    <definedName function="false" hidden="false" name="Txt_Objet" vbProcedure="false">Paramètres!$B$38</definedName>
    <definedName function="false" hidden="false" name="Txt_P1" vbProcedure="false">Paramètres!$B$39</definedName>
    <definedName function="false" hidden="false" name="Txt_P2" vbProcedure="false">Paramètres!$B$40</definedName>
    <definedName function="false" hidden="false" name="Txt_P3" vbProcedure="false">Paramètres!$B$41</definedName>
    <definedName function="false" hidden="false" name="Txt_P4" vbProcedure="false">Paramètres!$B$42</definedName>
    <definedName function="false" hidden="false" name="Txt_P5" vbProcedure="false">Paramètres!$B$43</definedName>
    <definedName function="false" hidden="false" name="Txt_P6" vbProcedure="false">Paramètres!$B$44</definedName>
    <definedName function="false" hidden="false" name="Txt_Politesse" vbProcedure="false">Paramètres!$B$45</definedName>
    <definedName function="false" hidden="false" localSheetId="4" name="_xlnm.Print_Area" vbProcedure="false">OFFSET('Impression en masse'!$A$1,0,0,45*MAX(1,Nb_Courriers),7)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Source : registre du commerce (Pappers). Vérifiez l'intitulé exact de l'inscription à l'Ordre.</t>
        </r>
      </text>
    </comment>
    <comment ref="B16" authorId="0">
      <text>
        <r>
          <rPr>
            <sz val="10"/>
            <rFont val="Arial"/>
            <family val="2"/>
          </rPr>
          <t xml:space="preserve">Par défaut : date du jour. Vous pouvez saisir une date fixe (ex. 01/12/2026).</t>
        </r>
      </text>
    </comment>
    <comment ref="B17" authorId="0">
      <text>
        <r>
          <rPr>
            <sz val="10"/>
            <rFont val="Arial"/>
            <family val="2"/>
          </rPr>
          <t xml:space="preserve">Par défaut : 1er janvier de l'année suivante. Saisissez une autre date si besoin.</t>
        </r>
      </text>
    </comment>
    <comment ref="B20" authorId="0">
      <text>
        <r>
          <rPr>
            <sz val="10"/>
            <rFont val="Arial"/>
            <family val="2"/>
          </rPr>
          <t xml:space="preserve">Taux appliqué à tous les clients, sauf taux personnalisé saisi dans l'onglet Clients.</t>
        </r>
      </text>
    </comment>
    <comment ref="B24" authorId="0">
      <text>
        <r>
          <rPr>
            <sz val="10"/>
            <rFont val="Arial"/>
            <family val="2"/>
          </rPr>
          <t xml:space="preserve">1 = à l'euro près, 5 = aux 5 € supérieurs, 10 = aux 10 € supérieurs…</t>
        </r>
      </text>
    </comment>
    <comment ref="B25" authorId="0">
      <text>
        <r>
          <rPr>
            <sz val="10"/>
            <rFont val="Arial"/>
            <family val="2"/>
          </rPr>
          <t xml:space="preserve">Utilisé pour afficher le montant de la mensualité HT sous le tableau. 0 = ligne masquée.</t>
        </r>
      </text>
    </comment>
    <comment ref="B29" authorId="0">
      <text>
        <r>
          <rPr>
            <sz val="10"/>
            <rFont val="Arial"/>
            <family val="2"/>
          </rPr>
          <t xml:space="preserve">Courrier postal uniquement = clients « À envoyer = Oui » avec mode Courrier ou Les deux.
Tous les clients à envoyer = tous les clients « À envoyer = Oui », quel que soit le mode.</t>
        </r>
      </text>
    </comment>
    <comment ref="B45" authorId="0">
      <text>
        <r>
          <rPr>
            <sz val="10"/>
            <rFont val="Arial"/>
            <family val="2"/>
          </rPr>
          <t xml:space="preserve">{civilite} est remplacé par Madame / Monsieur / Madame, Monsieur selon la civilité du client.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N1" authorId="0">
      <text>
        <r>
          <rPr>
            <sz val="10"/>
            <rFont val="Arial"/>
            <family val="2"/>
          </rPr>
          <t xml:space="preserve">Honoraires annuels HT de la plateforme agréée (facturation électronique). Laisser à 0 si le client n'y a pas souscrit.</t>
        </r>
      </text>
    </comment>
    <comment ref="O1" authorId="0">
      <text>
        <r>
          <rPr>
            <sz val="10"/>
            <rFont val="Arial"/>
            <family val="2"/>
          </rPr>
          <t xml:space="preserve">Laisser vide pour appliquer les taux par défaut de l'onglet Paramètres. Sinon, ce taux remplace tous les taux pour ce client (ex. 2,5 %).</t>
        </r>
      </text>
    </comment>
    <comment ref="Z1" authorId="0">
      <text>
        <r>
          <rPr>
            <sz val="10"/>
            <rFont val="Arial"/>
            <family val="2"/>
          </rPr>
          <t xml:space="preserve">Numéro de page dans l'onglet « Impression en masse ». Vide = client non imprimé (À envoyer ≠ Oui, ou mode Email si le filtre est « Courrier postal uniquement »).</t>
        </r>
      </text>
    </comment>
  </commentList>
</comments>
</file>

<file path=xl/sharedStrings.xml><?xml version="1.0" encoding="utf-8"?>
<sst xmlns="http://schemas.openxmlformats.org/spreadsheetml/2006/main" count="5092" uniqueCount="253">
  <si>
    <t xml:space="preserve">COURRIER D'AUGMENTATION TARIFAIRE — PUBLIPOSTAGE</t>
  </si>
  <si>
    <t xml:space="preserve">Compta · Paye · Juridique · Plateforme agréée</t>
  </si>
  <si>
    <t xml:space="preserve">1. Onglet « Paramètres »</t>
  </si>
  <si>
    <t xml:space="preserve">Renseignez les coordonnées du cabinet, le signataire, la date d'effet, les taux d'augmentation par mission et, si besoin, adaptez les textes du courrier. Les balises {cabinet}, {societe}, {date_effet}, {hausse} et {civilite} sont remplacées automatiquement.</t>
  </si>
  <si>
    <t xml:space="preserve">2. Onglet « Clients »</t>
  </si>
  <si>
    <t xml:space="preserve">Une ligne par client. Colonnes bleues = saisie ; colonnes vertes = calcul automatique (ne pas modifier). Saisissez les honoraires ANNUELS HT actuels par mission (0 ou vide si la mission n'est pas souscrite : elle n'apparaîtra pas dans le courrier). « Taux perso » remplace les taux par défaut pour ce client. Les 3 lignes d'exemple (C001 à C003) sont à remplacer par vos clients.</t>
  </si>
  <si>
    <t xml:space="preserve">3. Onglet « Courrier » — un client à la fois</t>
  </si>
  <si>
    <t xml:space="preserve">Choisissez le code client dans la cellule jaune I3 : le courrier se remplit tout seul. Puis Fichier &gt; Exporter &gt; Créer un PDF (ou Enregistrer sous &gt; PDF) pour l'envoi par e-mail, ou Fichier &gt; Imprimer pour l'envoi postal. La mise en page A4 est déjà réglée (1 page, adresse du destinataire positionnée pour une enveloppe à fenêtre à droite).</t>
  </si>
  <si>
    <t xml:space="preserve">4. IMPRESSION EN MASSE — onglet « Impression en masse » (sans macro)</t>
  </si>
  <si>
    <t xml:space="preserve">Cet onglet contient tous les courriers les uns à la suite des autres, un par page A4. Y figurent les clients dont « À envoyer » = Oui (et, par défaut, dont le mode d'envoi est Courrier ou Les deux — réglable dans Paramètres &gt; Impression en masse). Cliquez sur l'onglet puis Fichier &gt; Imprimer : toutes les lettres sortent d'un coup, recto simple. Pour un PDF unique : Fichier &gt; Exporter &gt; PDF avec cet onglet actif. La colonne Z de l'onglet Clients indique le numéro de page de chaque client. Capacité : 300 courriers.</t>
  </si>
  <si>
    <t xml:space="preserve">5. Un PDF séparé par client — macro « Macro PDF » (facultatif)</t>
  </si>
  <si>
    <t xml:space="preserve">Enregistrez le fichier au format .xlsm (Classeur Excel prenant en charge les macros), ouvrez l'éditeur VBA (Alt + F11), Insertion &gt; Module, collez le code de l'onglet « Macro PDF » (ou importez le fichier Module_Courriers.bas). Lancez ensuite (Alt + F8) :
  • ExporterTousLesPDF : un PDF par client dont « À envoyer » = Oui, dans le dossier Courriers_PDF
  • ExporterUnSeulPDF : un seul PDF regroupant tous les courriers (pratique pour un envoi en masse)
  • ImprimerCourriersPostaux : impression des clients « À envoyer » = Oui et mode Courrier / Les deux</t>
  </si>
  <si>
    <t xml:space="preserve">6. Alternative : publipostage Word</t>
  </si>
  <si>
    <t xml:space="preserve">L'onglet « Clients » (en-têtes en ligne 1) peut aussi servir de source de données à un publipostage Word (Publipostage &gt; Sélection des destinataires &gt; Utiliser une liste existante).</t>
  </si>
  <si>
    <t xml:space="preserve">Légende des couleurs</t>
  </si>
  <si>
    <t xml:space="preserve">Texte bleu sur fond jaune = cellule à renseigner  ·  Fond gris = formule  ·  Colonnes grises à droite du courrier (J à O) = calculs internes, non imprimés.</t>
  </si>
  <si>
    <t xml:space="preserve">PARAMÈTRES DU COURRIER</t>
  </si>
  <si>
    <t xml:space="preserve">Cellules sur fond jaune / texte bleu = à personnaliser. Balises utilisables dans les textes : {cabinet} {societe} {date_effet} {hausse}</t>
  </si>
  <si>
    <t xml:space="preserve">Coordonnées du cabinet</t>
  </si>
  <si>
    <t xml:space="preserve">Nom du cabinet</t>
  </si>
  <si>
    <t xml:space="preserve">ALTHO EXPERTISE</t>
  </si>
  <si>
    <t xml:space="preserve">Adresse</t>
  </si>
  <si>
    <t xml:space="preserve">141 rue Charles de Gaulle</t>
  </si>
  <si>
    <t xml:space="preserve">Code postal et ville</t>
  </si>
  <si>
    <t xml:space="preserve">95130 LE PLESSIS-BOUCHARD</t>
  </si>
  <si>
    <t xml:space="preserve">Ville (lieu de signature)</t>
  </si>
  <si>
    <t xml:space="preserve">Le Plessis-Bouchard</t>
  </si>
  <si>
    <t xml:space="preserve">Téléphone / e-mail</t>
  </si>
  <si>
    <t xml:space="preserve">Tél. 01 34 14 53 45  ·  altho@altho-experts.com  ·  altho-experts.com</t>
  </si>
  <si>
    <t xml:space="preserve">Mentions légales (pied de page)</t>
  </si>
  <si>
    <t xml:space="preserve">ALTHO EXPERTISE · SAS au capital de 10 000 € · RCS Pontoise 919 706 325 · TVA FR62919706325 · Société d'expertise comptable inscrite au Tableau de l'Ordre des experts-comptables de Paris Île-de-France</t>
  </si>
  <si>
    <t xml:space="preserve">Nom du signataire</t>
  </si>
  <si>
    <t xml:space="preserve">Prénom NOM</t>
  </si>
  <si>
    <t xml:space="preserve">Fonction du signataire</t>
  </si>
  <si>
    <t xml:space="preserve">Expert-comptable associé</t>
  </si>
  <si>
    <t xml:space="preserve">Dates</t>
  </si>
  <si>
    <t xml:space="preserve">Date du courrier</t>
  </si>
  <si>
    <t xml:space="preserve">Date d'effet des nouveaux tarifs</t>
  </si>
  <si>
    <t xml:space="preserve">Taux d'augmentation par défaut (par mission)</t>
  </si>
  <si>
    <t xml:space="preserve">Comptabilité</t>
  </si>
  <si>
    <t xml:space="preserve">Paye / social</t>
  </si>
  <si>
    <t xml:space="preserve">Juridique</t>
  </si>
  <si>
    <t xml:space="preserve">Plateforme agréée (facturation électronique)</t>
  </si>
  <si>
    <t xml:space="preserve">Arrondi des nouveaux honoraires (en €)</t>
  </si>
  <si>
    <t xml:space="preserve">Nombre d'échéances par an (mensualisation)</t>
  </si>
  <si>
    <t xml:space="preserve">Taux de TVA</t>
  </si>
  <si>
    <t xml:space="preserve">Impression en masse</t>
  </si>
  <si>
    <t xml:space="preserve">Clients à inclure</t>
  </si>
  <si>
    <t xml:space="preserve">Courrier postal uniquement</t>
  </si>
  <si>
    <t xml:space="preserve">Libellés des missions (tels qu'imprimés dans le courrier)</t>
  </si>
  <si>
    <t xml:space="preserve">Mission 1</t>
  </si>
  <si>
    <t xml:space="preserve">Mission comptable (tenue, révision, bilan, liasse fiscale)</t>
  </si>
  <si>
    <t xml:space="preserve">Mission 2</t>
  </si>
  <si>
    <t xml:space="preserve">Mission sociale (bulletins de paie, DSN, déclarations sociales)</t>
  </si>
  <si>
    <t xml:space="preserve">Mission 3</t>
  </si>
  <si>
    <t xml:space="preserve">Mission juridique (approbation des comptes, secrétariat juridique)</t>
  </si>
  <si>
    <t xml:space="preserve">Mission 4</t>
  </si>
  <si>
    <t xml:space="preserve">Plateforme agréée – facturation électronique</t>
  </si>
  <si>
    <t xml:space="preserve">Textes du courrier (modifiables — laissez vide pour supprimer un paragraphe)</t>
  </si>
  <si>
    <t xml:space="preserve">Objet</t>
  </si>
  <si>
    <t xml:space="preserve">Objet : révision de nos honoraires au {date_effet}</t>
  </si>
  <si>
    <t xml:space="preserve">Paragraphe 1</t>
  </si>
  <si>
    <t xml:space="preserve">Nous tenons tout d'abord à vous remercier pour la confiance que vous accordez à {cabinet}. Comme chaque année, et conformément aux dispositions de votre lettre de mission, nous procédons à la révision de nos honoraires.</t>
  </si>
  <si>
    <t xml:space="preserve">Paragraphe 2</t>
  </si>
  <si>
    <t xml:space="preserve">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t>
  </si>
  <si>
    <t xml:space="preserve">Paragraphe 3 (facturation électronique)</t>
  </si>
  <si>
    <t xml:space="preserve">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t>
  </si>
  <si>
    <t xml:space="preserve">Paragraphe 4 (avant le tableau)</t>
  </si>
  <si>
    <t xml:space="preserve">À compter du {date_effet}, vos honoraires annuels hors taxes évolueront ainsi (évolution globale : {hausse}) :</t>
  </si>
  <si>
    <t xml:space="preserve">Paragraphe 5 (après le tableau)</t>
  </si>
  <si>
    <t xml:space="preserve">Les autres conditions de votre lettre de mission demeurent inchangées. Les nouveaux montants seront appliqués automatiquement sur vos prochaines factures et échéances de prélèvement.</t>
  </si>
  <si>
    <t xml:space="preserve">Paragraphe 6</t>
  </si>
  <si>
    <t xml:space="preserve">Votre interlocuteur habituel reste à votre entière disposition pour répondre à vos questions et faire le point sur l'évolution de vos besoins.</t>
  </si>
  <si>
    <t xml:space="preserve">Formule de politesse</t>
  </si>
  <si>
    <t xml:space="preserve">Nous vous prions d'agréer, {civilite}, l'expression de nos salutations distinguées.</t>
  </si>
  <si>
    <t xml:space="preserve">Mois (usage interne)</t>
  </si>
  <si>
    <t xml:space="preserve">janvier</t>
  </si>
  <si>
    <t xml:space="preserve">février</t>
  </si>
  <si>
    <t xml:space="preserve">mars</t>
  </si>
  <si>
    <t xml:space="preserve">avril</t>
  </si>
  <si>
    <t xml:space="preserve">mai</t>
  </si>
  <si>
    <t xml:space="preserve">juin</t>
  </si>
  <si>
    <t xml:space="preserve">juillet</t>
  </si>
  <si>
    <t xml:space="preserve">août</t>
  </si>
  <si>
    <t xml:space="preserve">septembre</t>
  </si>
  <si>
    <t xml:space="preserve">octobre</t>
  </si>
  <si>
    <t xml:space="preserve">novembre</t>
  </si>
  <si>
    <t xml:space="preserve">décembre</t>
  </si>
  <si>
    <t xml:space="preserve">Code client</t>
  </si>
  <si>
    <t xml:space="preserve">Civilité</t>
  </si>
  <si>
    <t xml:space="preserve">Prénom</t>
  </si>
  <si>
    <t xml:space="preserve">Nom</t>
  </si>
  <si>
    <t xml:space="preserve">Société</t>
  </si>
  <si>
    <t xml:space="preserve">Adresse 1</t>
  </si>
  <si>
    <t xml:space="preserve">Adresse 2</t>
  </si>
  <si>
    <t xml:space="preserve">Code postal</t>
  </si>
  <si>
    <t xml:space="preserve">Ville</t>
  </si>
  <si>
    <t xml:space="preserve">Email</t>
  </si>
  <si>
    <t xml:space="preserve">Compta actuel HT</t>
  </si>
  <si>
    <t xml:space="preserve">Paye actuel HT</t>
  </si>
  <si>
    <t xml:space="preserve">Juridique actuel HT</t>
  </si>
  <si>
    <t xml:space="preserve">PA actuel HT</t>
  </si>
  <si>
    <t xml:space="preserve">Taux perso (optionnel)</t>
  </si>
  <si>
    <t xml:space="preserve">Compta nouveau HT</t>
  </si>
  <si>
    <t xml:space="preserve">Paye nouveau HT</t>
  </si>
  <si>
    <t xml:space="preserve">Juridique nouveau HT</t>
  </si>
  <si>
    <t xml:space="preserve">PA nouveau HT</t>
  </si>
  <si>
    <t xml:space="preserve">Total actuel HT</t>
  </si>
  <si>
    <t xml:space="preserve">Total nouveau HT</t>
  </si>
  <si>
    <t xml:space="preserve">Écart HT</t>
  </si>
  <si>
    <t xml:space="preserve">Écart %</t>
  </si>
  <si>
    <t xml:space="preserve">À envoyer</t>
  </si>
  <si>
    <t xml:space="preserve">Mode d'envoi</t>
  </si>
  <si>
    <t xml:space="preserve">N° impression en masse</t>
  </si>
  <si>
    <t xml:space="preserve">C001</t>
  </si>
  <si>
    <t xml:space="preserve">M.</t>
  </si>
  <si>
    <t xml:space="preserve">Pierre</t>
  </si>
  <si>
    <t xml:space="preserve">DURAND</t>
  </si>
  <si>
    <t xml:space="preserve">SARL DURAND BÂTIMENT</t>
  </si>
  <si>
    <t xml:space="preserve">5 avenue des Tilleuls</t>
  </si>
  <si>
    <t xml:space="preserve">69100</t>
  </si>
  <si>
    <t xml:space="preserve">Villeurbanne</t>
  </si>
  <si>
    <t xml:space="preserve">p.durand@exemple.fr</t>
  </si>
  <si>
    <t xml:space="preserve">Oui</t>
  </si>
  <si>
    <t xml:space="preserve">Courrier</t>
  </si>
  <si>
    <t xml:space="preserve">C002</t>
  </si>
  <si>
    <t xml:space="preserve">Mme</t>
  </si>
  <si>
    <t xml:space="preserve">Sophie</t>
  </si>
  <si>
    <t xml:space="preserve">LEROY</t>
  </si>
  <si>
    <t xml:space="preserve">SAS LEROY CONSEIL</t>
  </si>
  <si>
    <t xml:space="preserve">Parc d'activités du Moulin</t>
  </si>
  <si>
    <t xml:space="preserve">Bât. B – 3 allée Verte</t>
  </si>
  <si>
    <t xml:space="preserve">38000</t>
  </si>
  <si>
    <t xml:space="preserve">Grenoble</t>
  </si>
  <si>
    <t xml:space="preserve">s.leroy@exemple.fr</t>
  </si>
  <si>
    <t xml:space="preserve">C003</t>
  </si>
  <si>
    <t xml:space="preserve">EURL LES JARDINS DE CLAIRE</t>
  </si>
  <si>
    <t xml:space="preserve">18 chemin des Vignes</t>
  </si>
  <si>
    <t xml:space="preserve">69400</t>
  </si>
  <si>
    <t xml:space="preserve">Villefranche-sur-Saône</t>
  </si>
  <si>
    <t xml:space="preserve">contact@jardins-claire.fr</t>
  </si>
  <si>
    <t xml:space="preserve">Les deux</t>
  </si>
  <si>
    <t xml:space="preserve">Ligne client</t>
  </si>
  <si>
    <t xml:space="preserve">CLIENT À ÉDITER ▼</t>
  </si>
  <si>
    <t xml:space="preserve">Civilité longue</t>
  </si>
  <si>
    <t xml:space="preserve">Date effet texte</t>
  </si>
  <si>
    <t xml:space="preserve">Hausse globale</t>
  </si>
  <si>
    <t xml:space="preserve">Choisissez le code client dans la liste, puis :
Fichier &gt; Exporter &gt; PDF (1 client)
ou Fichier &gt; Imprimer.
Pour tous les clients : onglet « Impression en masse ».</t>
  </si>
  <si>
    <t xml:space="preserve">Mission</t>
  </si>
  <si>
    <t xml:space="preserve">Actuel HT</t>
  </si>
  <si>
    <t xml:space="preserve">Évol.</t>
  </si>
  <si>
    <t xml:space="preserve">Nouveau HT</t>
  </si>
  <si>
    <t xml:space="preserve">Libellé</t>
  </si>
  <si>
    <t xml:space="preserve">Actuel</t>
  </si>
  <si>
    <t xml:space="preserve">Nouveau</t>
  </si>
  <si>
    <t xml:space="preserve">Actif</t>
  </si>
  <si>
    <t xml:space="preserve">Rang</t>
  </si>
  <si>
    <t xml:space="preserve">k</t>
  </si>
  <si>
    <t xml:space="preserve">Total annuel HT</t>
  </si>
  <si>
    <t xml:space="preserve">COURRIERS À IMPRIMER</t>
  </si>
  <si>
    <t xml:space="preserve">Fichier &gt; Imprimer : tous les courriers sortent d'un coup (1 page par client).
Fichier &gt; Exporter &gt; PDF : un seul PDF avec tous les courriers.
Si des pages vierges apparaissent, imprimez les pages 1 à N (N = nombre ci-dessus).
Sélection des clients : colonnes « À envoyer » et « Mode d'envoi » de l'onglet Clients.</t>
  </si>
  <si>
    <t xml:space="preserve">Code VBA à coller dans un module (Alt + F11 &gt; Insertion &gt; Module), fichier enregistré en .xlsm</t>
  </si>
  <si>
    <t xml:space="preserve">'=====================================================================</t>
  </si>
  <si>
    <t xml:space="preserve">' Publipostage - Courrier d'augmentation tarifaire</t>
  </si>
  <si>
    <t xml:space="preserve">' Onglets requis : "Clients" (en-tetes ligne 1) et "Courrier"</t>
  </si>
  <si>
    <t xml:space="preserve">' Nom defini requis : Client_Selectionne (cellule Courrier!I3)</t>
  </si>
  <si>
    <t xml:space="preserve">Option Explicit</t>
  </si>
  <si>
    <t xml:space="preserve">Private Const COL_CODE As String = "A"</t>
  </si>
  <si>
    <t xml:space="preserve">Private Const COL_SOCIETE As String = "E"</t>
  </si>
  <si>
    <t xml:space="preserve">Private Const COL_ENVOI As String = "X"</t>
  </si>
  <si>
    <t xml:space="preserve">Private Const COL_MODE As String = "Y"</t>
  </si>
  <si>
    <t xml:space="preserve">' Un PDF par client (A envoyer = Oui) dans le sous-dossier Courriers_PDF</t>
  </si>
  <si>
    <t xml:space="preserve">Public Sub ExporterTousLesPDF()</t>
  </si>
  <si>
    <t xml:space="preserve">    Dim wsC As Worksheet, wsL As Worksheet</t>
  </si>
  <si>
    <t xml:space="preserve">    Dim dossier As String, fichier As String, codeInitial As Variant</t>
  </si>
  <si>
    <t xml:space="preserve">    Dim i As Long, derniere As Long, nb As Long</t>
  </si>
  <si>
    <t xml:space="preserve">    Set wsC = ThisWorkbook.Worksheets("Clients")</t>
  </si>
  <si>
    <t xml:space="preserve">    Set wsL = ThisWorkbook.Worksheets("Courrier")</t>
  </si>
  <si>
    <t xml:space="preserve">    dossier = DossierSortie()</t>
  </si>
  <si>
    <t xml:space="preserve">    If dossier = "" Then Exit Sub</t>
  </si>
  <si>
    <t xml:space="preserve">    codeInitial = wsL.Range("Client_Selectionne").Value</t>
  </si>
  <si>
    <t xml:space="preserve">    Application.ScreenUpdating = False</t>
  </si>
  <si>
    <t xml:space="preserve">    derniere = wsC.Cells(wsC.Rows.Count, COL_CODE).End(xlUp).Row</t>
  </si>
  <si>
    <t xml:space="preserve">    For i = 2 To derniere</t>
  </si>
  <si>
    <t xml:space="preserve">        If AEnvoyer(wsC, i) Then</t>
  </si>
  <si>
    <t xml:space="preserve">            wsL.Range("Client_Selectionne").Value = wsC.Cells(i, COL_CODE).Value</t>
  </si>
  <si>
    <t xml:space="preserve">            Application.Calculate</t>
  </si>
  <si>
    <t xml:space="preserve">            fichier = dossier &amp; Application.PathSeparator &amp; "Courrier_" &amp; _</t>
  </si>
  <si>
    <t xml:space="preserve">                      NettoyerNom(wsC.Cells(i, COL_CODE).Value &amp; "_" &amp; wsC.Cells(i, COL_SOCIETE).Value) &amp; ".pdf"</t>
  </si>
  <si>
    <t xml:space="preserve">            wsL.ExportAsFixedFormat Type:=xlTypePDF, Filename:=fichier, _</t>
  </si>
  <si>
    <t xml:space="preserve">                Quality:=xlQualityStandard, IncludeDocProperties:=False, _</t>
  </si>
  <si>
    <t xml:space="preserve">                IgnorePrintAreas:=False, OpenAfterPublish:=False</t>
  </si>
  <si>
    <t xml:space="preserve">            nb = nb + 1</t>
  </si>
  <si>
    <t xml:space="preserve">        End If</t>
  </si>
  <si>
    <t xml:space="preserve">    Next i</t>
  </si>
  <si>
    <t xml:space="preserve">    wsL.Range("Client_Selectionne").Value = codeInitial</t>
  </si>
  <si>
    <t xml:space="preserve">    Application.ScreenUpdating = True</t>
  </si>
  <si>
    <t xml:space="preserve">    MsgBox nb &amp; " courrier(s) exporte(s) en PDF dans :" &amp; vbCrLf &amp; dossier, vbInformation</t>
  </si>
  <si>
    <t xml:space="preserve">End Sub</t>
  </si>
  <si>
    <t xml:space="preserve">' Un seul PDF regroupant tous les courriers (A envoyer = Oui)</t>
  </si>
  <si>
    <t xml:space="preserve">Public Sub ExporterUnSeulPDF()</t>
  </si>
  <si>
    <t xml:space="preserve">    Dim wsC As Worksheet, wsL As Worksheet, wbTmp As Workbook, ws As Worksheet</t>
  </si>
  <si>
    <t xml:space="preserve">    Dim dossier As String, codeInitial As Variant</t>
  </si>
  <si>
    <t xml:space="preserve">    Application.DisplayAlerts = False</t>
  </si>
  <si>
    <t xml:space="preserve">            If wbTmp Is Nothing Then</t>
  </si>
  <si>
    <t xml:space="preserve">                wsL.Copy</t>
  </si>
  <si>
    <t xml:space="preserve">                Set wbTmp = ActiveWorkbook</t>
  </si>
  <si>
    <t xml:space="preserve">            Else</t>
  </si>
  <si>
    <t xml:space="preserve">                wsL.Copy After:=wbTmp.Sheets(wbTmp.Sheets.Count)</t>
  </si>
  <si>
    <t xml:space="preserve">            End If</t>
  </si>
  <si>
    <t xml:space="preserve">            Set ws = wbTmp.Sheets(wbTmp.Sheets.Count)</t>
  </si>
  <si>
    <t xml:space="preserve">            ws.UsedRange.Copy</t>
  </si>
  <si>
    <t xml:space="preserve">            ws.UsedRange.PasteSpecial Paste:=xlPasteValues</t>
  </si>
  <si>
    <t xml:space="preserve">            Application.CutCopyMode = False</t>
  </si>
  <si>
    <t xml:space="preserve">            ws.Name = Left(NettoyerNom(CStr(wsC.Cells(i, COL_CODE).Value)), 25) &amp; "_" &amp; i</t>
  </si>
  <si>
    <t xml:space="preserve">    If nb &gt; 0 Then</t>
  </si>
  <si>
    <t xml:space="preserve">        wbTmp.ExportAsFixedFormat Type:=xlTypePDF, _</t>
  </si>
  <si>
    <t xml:space="preserve">            Filename:=dossier &amp; Application.PathSeparator &amp; "Courriers_augmentation_TOUS.pdf", _</t>
  </si>
  <si>
    <t xml:space="preserve">            Quality:=xlQualityStandard, IncludeDocProperties:=False, _</t>
  </si>
  <si>
    <t xml:space="preserve">            IgnorePrintAreas:=False, OpenAfterPublish:=True</t>
  </si>
  <si>
    <t xml:space="preserve">        wbTmp.Close SaveChanges:=False</t>
  </si>
  <si>
    <t xml:space="preserve">    End If</t>
  </si>
  <si>
    <t xml:space="preserve">    Application.DisplayAlerts = True</t>
  </si>
  <si>
    <t xml:space="preserve">    MsgBox nb &amp; " courrier(s) regroupe(s) dans Courriers_augmentation_TOUS.pdf", vbInformation</t>
  </si>
  <si>
    <t xml:space="preserve">' Impression papier : A envoyer = Oui ET Mode d'envoi = Courrier ou Les deux</t>
  </si>
  <si>
    <t xml:space="preserve">Public Sub ImprimerCourriersPostaux()</t>
  </si>
  <si>
    <t xml:space="preserve">    Dim wsC As Worksheet, wsL As Worksheet, codeInitial As Variant</t>
  </si>
  <si>
    <t xml:space="preserve">    Dim i As Long, derniere As Long, nb As Long, mode As String</t>
  </si>
  <si>
    <t xml:space="preserve">    If MsgBox("Lancer l'impression des courriers postaux sur l'imprimante par defaut ?", _</t>
  </si>
  <si>
    <t xml:space="preserve">              vbYesNo + vbQuestion) = vbNo Then Exit Sub</t>
  </si>
  <si>
    <t xml:space="preserve">        mode = LCase(Trim(CStr(wsC.Cells(i, COL_MODE).Value)))</t>
  </si>
  <si>
    <t xml:space="preserve">        If AEnvoyer(wsC, i) And (mode = "courrier" Or mode = "les deux" Or mode = "") Then</t>
  </si>
  <si>
    <t xml:space="preserve">            wsL.PrintOut Copies:=1</t>
  </si>
  <si>
    <t xml:space="preserve">    MsgBox nb &amp; " courrier(s) envoye(s) a l'imprimante.", vbInformation</t>
  </si>
  <si>
    <t xml:space="preserve">'--------------------------------------------------------------------- utilitaires</t>
  </si>
  <si>
    <t xml:space="preserve">Private Function AEnvoyer(wsC As Worksheet, ByVal i As Long) As Boolean</t>
  </si>
  <si>
    <t xml:space="preserve">    AEnvoyer = Trim(CStr(wsC.Cells(i, COL_CODE).Value)) &lt;&gt; "" And _</t>
  </si>
  <si>
    <t xml:space="preserve">               LCase(Trim(CStr(wsC.Cells(i, COL_ENVOI).Value))) = "oui"</t>
  </si>
  <si>
    <t xml:space="preserve">End Function</t>
  </si>
  <si>
    <t xml:space="preserve">Private Function DossierSortie() As String</t>
  </si>
  <si>
    <t xml:space="preserve">    Dim d As String</t>
  </si>
  <si>
    <t xml:space="preserve">    If ThisWorkbook.Path = "" Then</t>
  </si>
  <si>
    <t xml:space="preserve">        MsgBox "Enregistrez d'abord le classeur (format .xlsm).", vbExclamation</t>
  </si>
  <si>
    <t xml:space="preserve">        Exit Function</t>
  </si>
  <si>
    <t xml:space="preserve">    d = ThisWorkbook.Path &amp; Application.PathSeparator &amp; "Courriers_PDF"</t>
  </si>
  <si>
    <t xml:space="preserve">    If Dir(d, vbDirectory) = "" Then MkDir d</t>
  </si>
  <si>
    <t xml:space="preserve">    DossierSortie = d</t>
  </si>
  <si>
    <t xml:space="preserve">Private Function NettoyerNom(ByVal s As String) As String</t>
  </si>
  <si>
    <t xml:space="preserve">    Dim c As Variant</t>
  </si>
  <si>
    <t xml:space="preserve">    For Each c In Array("\", "/", ":", "*", "?", """", "&lt;", "&gt;", "|", "[", "]", "'")</t>
  </si>
  <si>
    <t xml:space="preserve">        s = Replace(s, c, "")</t>
  </si>
  <si>
    <t xml:space="preserve">    Next c</t>
  </si>
  <si>
    <t xml:space="preserve">    NettoyerNom = Trim(Replace(s, " ", "_"))</t>
  </si>
</sst>
</file>

<file path=xl/styles.xml><?xml version="1.0" encoding="utf-8"?>
<styleSheet xmlns="http://schemas.openxmlformats.org/spreadsheetml/2006/main">
  <numFmts count="9">
    <numFmt numFmtId="164" formatCode="General"/>
    <numFmt numFmtId="165" formatCode="dd/mm/yyyy"/>
    <numFmt numFmtId="166" formatCode="0.0%"/>
    <numFmt numFmtId="167" formatCode="0"/>
    <numFmt numFmtId="168" formatCode="@"/>
    <numFmt numFmtId="169" formatCode="#,##0&quot; €&quot;;\-#,##0&quot; €&quot;;\—"/>
    <numFmt numFmtId="170" formatCode="0.0%;\-0.0%;\—"/>
    <numFmt numFmtId="171" formatCode="General"/>
    <numFmt numFmtId="172" formatCode="\+0.0%;\-0.0%;\—"/>
  </numFmts>
  <fonts count="3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b val="true"/>
      <sz val="11"/>
      <color rgb="FF000000"/>
      <name val="Arial"/>
      <family val="0"/>
      <charset val="1"/>
    </font>
    <font>
      <sz val="10"/>
      <color rgb="FF000000"/>
      <name val="Arial"/>
      <family val="0"/>
      <charset val="1"/>
    </font>
    <font>
      <b val="true"/>
      <sz val="14"/>
      <color rgb="FF1F3864"/>
      <name val="Arial"/>
      <family val="0"/>
      <charset val="1"/>
    </font>
    <font>
      <i val="true"/>
      <sz val="9"/>
      <color rgb="FF7F7F7F"/>
      <name val="Arial"/>
      <family val="0"/>
      <charset val="1"/>
    </font>
    <font>
      <b val="true"/>
      <sz val="11"/>
      <color rgb="FFFFFFFF"/>
      <name val="Arial"/>
      <family val="0"/>
      <charset val="1"/>
    </font>
    <font>
      <sz val="10"/>
      <color rgb="FF0000FF"/>
      <name val="Arial"/>
      <family val="0"/>
      <charset val="1"/>
    </font>
    <font>
      <sz val="9"/>
      <color rgb="FF7F7F7F"/>
      <name val="Arial"/>
      <family val="0"/>
      <charset val="1"/>
    </font>
    <font>
      <sz val="10"/>
      <name val="Arial"/>
      <family val="2"/>
    </font>
    <font>
      <b val="true"/>
      <sz val="10"/>
      <color rgb="FFFFFFFF"/>
      <name val="Arial"/>
      <family val="0"/>
      <charset val="1"/>
    </font>
    <font>
      <sz val="8"/>
      <color rgb="FFA6A6A6"/>
      <name val="Arial"/>
      <family val="0"/>
      <charset val="1"/>
    </font>
    <font>
      <b val="true"/>
      <sz val="15"/>
      <color rgb="FF1F3864"/>
      <name val="Arial"/>
      <family val="0"/>
      <charset val="1"/>
    </font>
    <font>
      <sz val="9"/>
      <color rgb="FF404040"/>
      <name val="Arial"/>
      <family val="0"/>
      <charset val="1"/>
    </font>
    <font>
      <b val="true"/>
      <sz val="10"/>
      <color rgb="FFC00000"/>
      <name val="Arial"/>
      <family val="0"/>
      <charset val="1"/>
    </font>
    <font>
      <b val="true"/>
      <sz val="12"/>
      <color rgb="FF0000FF"/>
      <name val="Arial"/>
      <family val="0"/>
      <charset val="1"/>
    </font>
    <font>
      <i val="true"/>
      <sz val="9"/>
      <color rgb="FF000000"/>
      <name val="Arial"/>
      <family val="0"/>
      <charset val="1"/>
    </font>
    <font>
      <sz val="9"/>
      <color rgb="FF595959"/>
      <name val="Arial"/>
      <family val="0"/>
      <charset val="1"/>
    </font>
    <font>
      <b val="true"/>
      <sz val="10.5"/>
      <color rgb="FF000000"/>
      <name val="Arial"/>
      <family val="0"/>
      <charset val="1"/>
    </font>
    <font>
      <sz val="10.5"/>
      <color rgb="FF000000"/>
      <name val="Arial"/>
      <family val="0"/>
      <charset val="1"/>
    </font>
    <font>
      <b val="true"/>
      <sz val="9.5"/>
      <color rgb="FFFFFFFF"/>
      <name val="Arial"/>
      <family val="0"/>
      <charset val="1"/>
    </font>
    <font>
      <sz val="9.5"/>
      <color rgb="FF000000"/>
      <name val="Arial"/>
      <family val="0"/>
      <charset val="1"/>
    </font>
    <font>
      <b val="true"/>
      <sz val="10"/>
      <color rgb="FF000000"/>
      <name val="Arial"/>
      <family val="0"/>
      <charset val="1"/>
    </font>
    <font>
      <i val="true"/>
      <sz val="9"/>
      <color rgb="FF404040"/>
      <name val="Arial"/>
      <family val="0"/>
      <charset val="1"/>
    </font>
    <font>
      <i val="true"/>
      <sz val="9.5"/>
      <color rgb="FF000000"/>
      <name val="Arial"/>
      <family val="0"/>
      <charset val="1"/>
    </font>
    <font>
      <sz val="7.5"/>
      <color rgb="FF7F7F7F"/>
      <name val="Arial"/>
      <family val="0"/>
      <charset val="1"/>
    </font>
    <font>
      <b val="true"/>
      <sz val="14"/>
      <color rgb="FF0000FF"/>
      <name val="Arial"/>
      <family val="0"/>
      <charset val="1"/>
    </font>
    <font>
      <b val="true"/>
      <sz val="11"/>
      <color rgb="FF1F3864"/>
      <name val="Arial"/>
      <family val="0"/>
      <charset val="1"/>
    </font>
    <font>
      <sz val="9"/>
      <name val="Consolas"/>
      <family val="0"/>
      <charset val="1"/>
    </font>
  </fonts>
  <fills count="7">
    <fill>
      <patternFill patternType="none"/>
    </fill>
    <fill>
      <patternFill patternType="gray125"/>
    </fill>
    <fill>
      <patternFill patternType="solid">
        <fgColor rgb="FF1F3864"/>
        <bgColor rgb="FF333399"/>
      </patternFill>
    </fill>
    <fill>
      <patternFill patternType="solid">
        <fgColor rgb="FFFFF2CC"/>
        <bgColor rgb="FFF2F2F2"/>
      </patternFill>
    </fill>
    <fill>
      <patternFill patternType="solid">
        <fgColor rgb="FF548235"/>
        <bgColor rgb="FF339966"/>
      </patternFill>
    </fill>
    <fill>
      <patternFill patternType="solid">
        <fgColor rgb="FFF2F2F2"/>
        <bgColor rgb="FFFFFFFF"/>
      </patternFill>
    </fill>
    <fill>
      <patternFill patternType="solid">
        <fgColor rgb="FFD9E1F2"/>
        <bgColor rgb="FFF2F2F2"/>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medium">
        <color rgb="FF1F3864"/>
      </bottom>
      <diagonal/>
    </border>
    <border diagonalUp="false" diagonalDown="false">
      <left/>
      <right/>
      <top style="thin">
        <color rgb="FF1F3864"/>
      </top>
      <bottom style="thin">
        <color rgb="FF1F3864"/>
      </bottom>
      <diagonal/>
    </border>
    <border diagonalUp="false" diagonalDown="false">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5" fontId="11" fillId="3" borderId="1" xfId="0" applyFont="true" applyBorder="true" applyAlignment="true" applyProtection="false">
      <alignment horizontal="left" vertical="top" textRotation="0" wrapText="true" indent="0" shrinkToFit="false"/>
      <protection locked="true" hidden="false"/>
    </xf>
    <xf numFmtId="166" fontId="11" fillId="3" borderId="1" xfId="0" applyFont="true" applyBorder="true" applyAlignment="true" applyProtection="false">
      <alignment horizontal="left" vertical="top" textRotation="0" wrapText="true" indent="0" shrinkToFit="false"/>
      <protection locked="true" hidden="false"/>
    </xf>
    <xf numFmtId="167" fontId="11" fillId="3"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71" fontId="7" fillId="5"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9" fillId="3"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justify" vertical="top" textRotation="0" wrapText="true" indent="0" shrinkToFit="false"/>
      <protection locked="true" hidden="false"/>
    </xf>
    <xf numFmtId="164" fontId="24" fillId="2" borderId="1" xfId="0" applyFont="true" applyBorder="true" applyAlignment="true" applyProtection="false">
      <alignment horizontal="left" vertical="center" textRotation="0" wrapText="false" indent="0" shrinkToFit="false"/>
      <protection locked="true" hidden="false"/>
    </xf>
    <xf numFmtId="164" fontId="24" fillId="2"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9" fontId="25" fillId="0" borderId="0" xfId="0" applyFont="true" applyBorder="false" applyAlignment="true" applyProtection="false">
      <alignment horizontal="right" vertical="center" textRotation="0" wrapText="false" indent="0" shrinkToFit="false"/>
      <protection locked="true" hidden="false"/>
    </xf>
    <xf numFmtId="172" fontId="25" fillId="0" borderId="0" xfId="0" applyFont="true" applyBorder="false" applyAlignment="true" applyProtection="false">
      <alignment horizontal="right" vertical="center" textRotation="0" wrapText="false" indent="0" shrinkToFit="false"/>
      <protection locked="true" hidden="false"/>
    </xf>
    <xf numFmtId="164" fontId="26" fillId="6" borderId="3" xfId="0" applyFont="true" applyBorder="true" applyAlignment="true" applyProtection="false">
      <alignment horizontal="left" vertical="center" textRotation="0" wrapText="false" indent="0" shrinkToFit="false"/>
      <protection locked="true" hidden="false"/>
    </xf>
    <xf numFmtId="169" fontId="26" fillId="6" borderId="3" xfId="0" applyFont="true" applyBorder="true" applyAlignment="true" applyProtection="false">
      <alignment horizontal="right" vertical="center" textRotation="0" wrapText="false" indent="0" shrinkToFit="false"/>
      <protection locked="true" hidden="false"/>
    </xf>
    <xf numFmtId="172" fontId="26" fillId="6" borderId="3" xfId="0" applyFont="true" applyBorder="true" applyAlignment="true" applyProtection="false">
      <alignment horizontal="right" vertical="center" textRotation="0" wrapText="fals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29" fillId="0" borderId="4" xfId="0" applyFont="true" applyBorder="true" applyAlignment="true" applyProtection="false">
      <alignment horizontal="center" vertical="bottom" textRotation="0" wrapText="tru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8" fontId="3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48235"/>
          <bgColor rgb="FF000000"/>
        </patternFill>
      </fill>
    </dxf>
    <dxf>
      <fill>
        <patternFill patternType="solid">
          <fgColor rgb="FFF2F2F2"/>
          <bgColor rgb="FF000000"/>
        </patternFill>
      </fill>
    </dxf>
    <dxf>
      <fill>
        <patternFill patternType="solid">
          <fgColor rgb="FF000000"/>
          <bgColor rgb="FF000000"/>
        </patternFill>
      </fill>
    </dxf>
    <dxf>
      <border diagonalUp="false" diagonalDown="false">
        <left/>
        <right/>
        <top/>
        <bottom style="thin">
          <color rgb="FFBFBFBF"/>
        </bottom>
        <diagonal/>
      </border>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45.75" hidden="false" customHeight="true" outlineLevel="0" collapsed="false">
      <c r="B6" s="5" t="s">
        <v>3</v>
      </c>
    </row>
    <row r="7" customFormat="false" ht="15" hidden="false" customHeight="false" outlineLevel="0" collapsed="false">
      <c r="B7" s="3"/>
    </row>
    <row r="8" customFormat="false" ht="15" hidden="false" customHeight="false" outlineLevel="0" collapsed="false">
      <c r="B8" s="4" t="s">
        <v>4</v>
      </c>
    </row>
    <row r="9" customFormat="false" ht="60" hidden="false" customHeight="true" outlineLevel="0" collapsed="false">
      <c r="B9" s="5" t="s">
        <v>5</v>
      </c>
    </row>
    <row r="10" customFormat="false" ht="15" hidden="false" customHeight="false" outlineLevel="0" collapsed="false">
      <c r="B10" s="3"/>
    </row>
    <row r="11" customFormat="false" ht="15" hidden="false" customHeight="false" outlineLevel="0" collapsed="false">
      <c r="B11" s="4" t="s">
        <v>6</v>
      </c>
    </row>
    <row r="12" customFormat="false" ht="45.75" hidden="false" customHeight="true" outlineLevel="0" collapsed="false">
      <c r="B12" s="5" t="s">
        <v>7</v>
      </c>
    </row>
    <row r="13" customFormat="false" ht="15" hidden="false" customHeight="false" outlineLevel="0" collapsed="false">
      <c r="B13" s="3"/>
    </row>
    <row r="14" customFormat="false" ht="15" hidden="false" customHeight="false" outlineLevel="0" collapsed="false">
      <c r="B14" s="4" t="s">
        <v>8</v>
      </c>
    </row>
    <row r="15" customFormat="false" ht="73.5" hidden="false" customHeight="true" outlineLevel="0" collapsed="false">
      <c r="B15" s="5" t="s">
        <v>9</v>
      </c>
    </row>
    <row r="16" customFormat="false" ht="15" hidden="false" customHeight="false" outlineLevel="0" collapsed="false">
      <c r="B16" s="3"/>
    </row>
    <row r="17" customFormat="false" ht="15" hidden="false" customHeight="false" outlineLevel="0" collapsed="false">
      <c r="B17" s="4" t="s">
        <v>10</v>
      </c>
    </row>
    <row r="18" customFormat="false" ht="115.5" hidden="false" customHeight="true" outlineLevel="0" collapsed="false">
      <c r="B18" s="5" t="s">
        <v>11</v>
      </c>
    </row>
    <row r="19" customFormat="false" ht="15" hidden="false" customHeight="false" outlineLevel="0" collapsed="false">
      <c r="B19" s="3"/>
    </row>
    <row r="20" customFormat="false" ht="15" hidden="false" customHeight="false" outlineLevel="0" collapsed="false">
      <c r="B20" s="4" t="s">
        <v>12</v>
      </c>
    </row>
    <row r="21" customFormat="false" ht="31.5" hidden="false" customHeight="true" outlineLevel="0" collapsed="false">
      <c r="B21" s="5" t="s">
        <v>13</v>
      </c>
    </row>
    <row r="22" customFormat="false" ht="15" hidden="false" customHeight="false" outlineLevel="0" collapsed="false">
      <c r="B22" s="3"/>
    </row>
    <row r="23" customFormat="false" ht="15" hidden="false" customHeight="false" outlineLevel="0" collapsed="false">
      <c r="B23" s="4" t="s">
        <v>14</v>
      </c>
    </row>
    <row r="24" customFormat="false" ht="31.5" hidden="false" customHeight="true" outlineLevel="0" collapsed="false">
      <c r="B24" s="5"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7.35" hidden="false" customHeight="false" outlineLevel="0" collapsed="false">
      <c r="A1" s="6" t="s">
        <v>16</v>
      </c>
    </row>
    <row r="2" customFormat="false" ht="15" hidden="false" customHeight="false" outlineLevel="0" collapsed="false">
      <c r="A2" s="7" t="s">
        <v>17</v>
      </c>
    </row>
    <row r="5" customFormat="false" ht="15" hidden="false" customHeight="false" outlineLevel="0" collapsed="false">
      <c r="A5" s="8" t="s">
        <v>18</v>
      </c>
      <c r="B5" s="9"/>
    </row>
    <row r="6" customFormat="false" ht="15" hidden="false" customHeight="false" outlineLevel="0" collapsed="false">
      <c r="A6" s="10" t="s">
        <v>19</v>
      </c>
      <c r="B6" s="11" t="s">
        <v>20</v>
      </c>
    </row>
    <row r="7" customFormat="false" ht="15" hidden="false" customHeight="false" outlineLevel="0" collapsed="false">
      <c r="A7" s="10" t="s">
        <v>21</v>
      </c>
      <c r="B7" s="11" t="s">
        <v>22</v>
      </c>
    </row>
    <row r="8" customFormat="false" ht="15" hidden="false" customHeight="false" outlineLevel="0" collapsed="false">
      <c r="A8" s="10" t="s">
        <v>23</v>
      </c>
      <c r="B8" s="11" t="s">
        <v>24</v>
      </c>
    </row>
    <row r="9" customFormat="false" ht="15" hidden="false" customHeight="false" outlineLevel="0" collapsed="false">
      <c r="A9" s="10" t="s">
        <v>25</v>
      </c>
      <c r="B9" s="11" t="s">
        <v>26</v>
      </c>
    </row>
    <row r="10" customFormat="false" ht="15" hidden="false" customHeight="false" outlineLevel="0" collapsed="false">
      <c r="A10" s="10" t="s">
        <v>27</v>
      </c>
      <c r="B10" s="11" t="s">
        <v>28</v>
      </c>
    </row>
    <row r="11" customFormat="false" ht="28.5" hidden="false" customHeight="true" outlineLevel="0" collapsed="false">
      <c r="A11" s="10" t="s">
        <v>29</v>
      </c>
      <c r="B11" s="11" t="s">
        <v>30</v>
      </c>
    </row>
    <row r="12" customFormat="false" ht="15" hidden="false" customHeight="false" outlineLevel="0" collapsed="false">
      <c r="A12" s="10" t="s">
        <v>31</v>
      </c>
      <c r="B12" s="11" t="s">
        <v>32</v>
      </c>
    </row>
    <row r="13" customFormat="false" ht="15" hidden="false" customHeight="false" outlineLevel="0" collapsed="false">
      <c r="A13" s="10" t="s">
        <v>33</v>
      </c>
      <c r="B13" s="11" t="s">
        <v>34</v>
      </c>
    </row>
    <row r="15" customFormat="false" ht="15" hidden="false" customHeight="false" outlineLevel="0" collapsed="false">
      <c r="A15" s="8" t="s">
        <v>35</v>
      </c>
      <c r="B15" s="9"/>
    </row>
    <row r="16" customFormat="false" ht="15" hidden="false" customHeight="false" outlineLevel="0" collapsed="false">
      <c r="A16" s="10" t="s">
        <v>36</v>
      </c>
      <c r="B16" s="12" t="n">
        <f aca="true">TODAY()</f>
        <v>46287</v>
      </c>
    </row>
    <row r="17" customFormat="false" ht="15" hidden="false" customHeight="false" outlineLevel="0" collapsed="false">
      <c r="A17" s="10" t="s">
        <v>37</v>
      </c>
      <c r="B17" s="12" t="n">
        <f aca="false">DATE(YEAR(Date_Courrier)+1,1,1)</f>
        <v>46388</v>
      </c>
    </row>
    <row r="19" customFormat="false" ht="15" hidden="false" customHeight="false" outlineLevel="0" collapsed="false">
      <c r="A19" s="8" t="s">
        <v>38</v>
      </c>
      <c r="B19" s="9"/>
    </row>
    <row r="20" customFormat="false" ht="15" hidden="false" customHeight="false" outlineLevel="0" collapsed="false">
      <c r="A20" s="10" t="s">
        <v>39</v>
      </c>
      <c r="B20" s="13" t="n">
        <v>0.035</v>
      </c>
    </row>
    <row r="21" customFormat="false" ht="15" hidden="false" customHeight="false" outlineLevel="0" collapsed="false">
      <c r="A21" s="10" t="s">
        <v>40</v>
      </c>
      <c r="B21" s="13" t="n">
        <v>0.04</v>
      </c>
    </row>
    <row r="22" customFormat="false" ht="15" hidden="false" customHeight="false" outlineLevel="0" collapsed="false">
      <c r="A22" s="10" t="s">
        <v>41</v>
      </c>
      <c r="B22" s="13" t="n">
        <v>0.03</v>
      </c>
    </row>
    <row r="23" customFormat="false" ht="15" hidden="false" customHeight="false" outlineLevel="0" collapsed="false">
      <c r="A23" s="10" t="s">
        <v>42</v>
      </c>
      <c r="B23" s="13" t="n">
        <v>0</v>
      </c>
    </row>
    <row r="24" customFormat="false" ht="15" hidden="false" customHeight="false" outlineLevel="0" collapsed="false">
      <c r="A24" s="10" t="s">
        <v>43</v>
      </c>
      <c r="B24" s="14" t="n">
        <v>1</v>
      </c>
    </row>
    <row r="25" customFormat="false" ht="15" hidden="false" customHeight="false" outlineLevel="0" collapsed="false">
      <c r="A25" s="10" t="s">
        <v>44</v>
      </c>
      <c r="B25" s="14" t="n">
        <v>12</v>
      </c>
    </row>
    <row r="26" customFormat="false" ht="15" hidden="false" customHeight="false" outlineLevel="0" collapsed="false">
      <c r="A26" s="10" t="s">
        <v>45</v>
      </c>
      <c r="B26" s="13" t="n">
        <v>0.2</v>
      </c>
    </row>
    <row r="28" customFormat="false" ht="15" hidden="false" customHeight="false" outlineLevel="0" collapsed="false">
      <c r="A28" s="8" t="s">
        <v>46</v>
      </c>
      <c r="B28" s="9"/>
    </row>
    <row r="29" customFormat="false" ht="15" hidden="false" customHeight="false" outlineLevel="0" collapsed="false">
      <c r="A29" s="10" t="s">
        <v>47</v>
      </c>
      <c r="B29" s="11" t="s">
        <v>48</v>
      </c>
    </row>
    <row r="31" customFormat="false" ht="15" hidden="false" customHeight="false" outlineLevel="0" collapsed="false">
      <c r="A31" s="8" t="s">
        <v>49</v>
      </c>
      <c r="B31" s="9"/>
    </row>
    <row r="32" customFormat="false" ht="15" hidden="false" customHeight="false" outlineLevel="0" collapsed="false">
      <c r="A32" s="10" t="s">
        <v>50</v>
      </c>
      <c r="B32" s="11" t="s">
        <v>51</v>
      </c>
    </row>
    <row r="33" customFormat="false" ht="15" hidden="false" customHeight="false" outlineLevel="0" collapsed="false">
      <c r="A33" s="10" t="s">
        <v>52</v>
      </c>
      <c r="B33" s="11" t="s">
        <v>53</v>
      </c>
    </row>
    <row r="34" customFormat="false" ht="15" hidden="false" customHeight="false" outlineLevel="0" collapsed="false">
      <c r="A34" s="10" t="s">
        <v>54</v>
      </c>
      <c r="B34" s="11" t="s">
        <v>55</v>
      </c>
    </row>
    <row r="35" customFormat="false" ht="15" hidden="false" customHeight="false" outlineLevel="0" collapsed="false">
      <c r="A35" s="10" t="s">
        <v>56</v>
      </c>
      <c r="B35" s="11" t="s">
        <v>57</v>
      </c>
    </row>
    <row r="37" customFormat="false" ht="15" hidden="false" customHeight="false" outlineLevel="0" collapsed="false">
      <c r="A37" s="8" t="s">
        <v>58</v>
      </c>
      <c r="B37" s="9"/>
    </row>
    <row r="38" customFormat="false" ht="15" hidden="false" customHeight="false" outlineLevel="0" collapsed="false">
      <c r="A38" s="10" t="s">
        <v>59</v>
      </c>
      <c r="B38" s="11" t="s">
        <v>60</v>
      </c>
    </row>
    <row r="39" customFormat="false" ht="42" hidden="false" customHeight="true" outlineLevel="0" collapsed="false">
      <c r="A39" s="10" t="s">
        <v>61</v>
      </c>
      <c r="B39" s="11" t="s">
        <v>62</v>
      </c>
    </row>
    <row r="40" customFormat="false" ht="54.75" hidden="false" customHeight="true" outlineLevel="0" collapsed="false">
      <c r="A40" s="10" t="s">
        <v>63</v>
      </c>
      <c r="B40" s="11" t="s">
        <v>64</v>
      </c>
    </row>
    <row r="41" customFormat="false" ht="67.5" hidden="false" customHeight="true" outlineLevel="0" collapsed="false">
      <c r="A41" s="10" t="s">
        <v>65</v>
      </c>
      <c r="B41" s="11" t="s">
        <v>66</v>
      </c>
    </row>
    <row r="42" customFormat="false" ht="28.5" hidden="false" customHeight="true" outlineLevel="0" collapsed="false">
      <c r="A42" s="10" t="s">
        <v>67</v>
      </c>
      <c r="B42" s="11" t="s">
        <v>68</v>
      </c>
    </row>
    <row r="43" customFormat="false" ht="28.5" hidden="false" customHeight="true" outlineLevel="0" collapsed="false">
      <c r="A43" s="10" t="s">
        <v>69</v>
      </c>
      <c r="B43" s="11" t="s">
        <v>70</v>
      </c>
    </row>
    <row r="44" customFormat="false" ht="28.5" hidden="false" customHeight="true" outlineLevel="0" collapsed="false">
      <c r="A44" s="10" t="s">
        <v>71</v>
      </c>
      <c r="B44" s="11" t="s">
        <v>72</v>
      </c>
    </row>
    <row r="45" customFormat="false" ht="15" hidden="false" customHeight="false" outlineLevel="0" collapsed="false">
      <c r="A45" s="10" t="s">
        <v>73</v>
      </c>
      <c r="B45" s="11" t="s">
        <v>74</v>
      </c>
    </row>
    <row r="48" customFormat="false" ht="15" hidden="false" customHeight="false" outlineLevel="0" collapsed="false">
      <c r="A48" s="7" t="s">
        <v>75</v>
      </c>
      <c r="B48" s="15" t="s">
        <v>76</v>
      </c>
    </row>
    <row r="49" customFormat="false" ht="15" hidden="false" customHeight="false" outlineLevel="0" collapsed="false">
      <c r="B49" s="15" t="s">
        <v>77</v>
      </c>
    </row>
    <row r="50" customFormat="false" ht="15" hidden="false" customHeight="false" outlineLevel="0" collapsed="false">
      <c r="B50" s="15" t="s">
        <v>78</v>
      </c>
    </row>
    <row r="51" customFormat="false" ht="15" hidden="false" customHeight="false" outlineLevel="0" collapsed="false">
      <c r="B51" s="15" t="s">
        <v>79</v>
      </c>
    </row>
    <row r="52" customFormat="false" ht="15" hidden="false" customHeight="false" outlineLevel="0" collapsed="false">
      <c r="B52" s="15" t="s">
        <v>80</v>
      </c>
    </row>
    <row r="53" customFormat="false" ht="15" hidden="false" customHeight="false" outlineLevel="0" collapsed="false">
      <c r="B53" s="15" t="s">
        <v>81</v>
      </c>
    </row>
    <row r="54" customFormat="false" ht="15" hidden="false" customHeight="false" outlineLevel="0" collapsed="false">
      <c r="B54" s="15" t="s">
        <v>82</v>
      </c>
    </row>
    <row r="55" customFormat="false" ht="15" hidden="false" customHeight="false" outlineLevel="0" collapsed="false">
      <c r="B55" s="15" t="s">
        <v>83</v>
      </c>
    </row>
    <row r="56" customFormat="false" ht="15" hidden="false" customHeight="false" outlineLevel="0" collapsed="false">
      <c r="B56" s="15" t="s">
        <v>84</v>
      </c>
    </row>
    <row r="57" customFormat="false" ht="15" hidden="false" customHeight="false" outlineLevel="0" collapsed="false">
      <c r="B57" s="15" t="s">
        <v>85</v>
      </c>
    </row>
    <row r="58" customFormat="false" ht="15" hidden="false" customHeight="false" outlineLevel="0" collapsed="false">
      <c r="B58" s="15" t="s">
        <v>86</v>
      </c>
    </row>
    <row r="59" customFormat="false" ht="15" hidden="false" customHeight="false" outlineLevel="0" collapsed="false">
      <c r="B59" s="15" t="s">
        <v>87</v>
      </c>
    </row>
  </sheetData>
  <dataValidations count="1">
    <dataValidation allowBlank="false" errorStyle="stop" operator="between" showDropDown="false" showErrorMessage="false" showInputMessage="false" sqref="B29" type="list">
      <formula1>"Courrier postal uniquement,Tous les clients à envoyer"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3"/>
    <col collapsed="false" customWidth="true" hidden="false" outlineLevel="0" max="4" min="4" style="0" width="16"/>
    <col collapsed="false" customWidth="true" hidden="false" outlineLevel="0" max="6" min="5" style="0" width="28"/>
    <col collapsed="false" customWidth="true" hidden="false" outlineLevel="0" max="7" min="7" style="0" width="18"/>
    <col collapsed="false" customWidth="true" hidden="false" outlineLevel="0" max="8" min="8" style="0" width="10"/>
    <col collapsed="false" customWidth="true" hidden="false" outlineLevel="0" max="9" min="9" style="0" width="16"/>
    <col collapsed="false" customWidth="true" hidden="false" outlineLevel="0" max="10" min="10" style="0" width="26"/>
    <col collapsed="false" customWidth="true" hidden="false" outlineLevel="0" max="14" min="11" style="0" width="13"/>
    <col collapsed="false" customWidth="true" hidden="false" outlineLevel="0" max="15" min="15" style="0" width="12"/>
    <col collapsed="false" customWidth="true" hidden="false" outlineLevel="0" max="21" min="16" style="0" width="13"/>
    <col collapsed="false" customWidth="true" hidden="false" outlineLevel="0" max="22" min="22" style="0" width="11"/>
    <col collapsed="false" customWidth="true" hidden="false" outlineLevel="0" max="23" min="23" style="0" width="9"/>
    <col collapsed="false" customWidth="true" hidden="false" outlineLevel="0" max="24" min="24" style="0" width="10"/>
    <col collapsed="false" customWidth="true" hidden="false" outlineLevel="0" max="26" min="25" style="0" width="12"/>
  </cols>
  <sheetData>
    <row r="1" customFormat="false" ht="31.5" hidden="false" customHeight="true" outlineLevel="0" collapsed="false">
      <c r="A1" s="16" t="s">
        <v>88</v>
      </c>
      <c r="B1" s="16" t="s">
        <v>89</v>
      </c>
      <c r="C1" s="16" t="s">
        <v>90</v>
      </c>
      <c r="D1" s="16" t="s">
        <v>91</v>
      </c>
      <c r="E1" s="16" t="s">
        <v>92</v>
      </c>
      <c r="F1" s="16" t="s">
        <v>93</v>
      </c>
      <c r="G1" s="16" t="s">
        <v>94</v>
      </c>
      <c r="H1" s="16" t="s">
        <v>95</v>
      </c>
      <c r="I1" s="16" t="s">
        <v>96</v>
      </c>
      <c r="J1" s="16" t="s">
        <v>97</v>
      </c>
      <c r="K1" s="16" t="s">
        <v>98</v>
      </c>
      <c r="L1" s="16" t="s">
        <v>99</v>
      </c>
      <c r="M1" s="16" t="s">
        <v>100</v>
      </c>
      <c r="N1" s="16" t="s">
        <v>101</v>
      </c>
      <c r="O1" s="16" t="s">
        <v>102</v>
      </c>
      <c r="P1" s="17" t="s">
        <v>103</v>
      </c>
      <c r="Q1" s="17" t="s">
        <v>104</v>
      </c>
      <c r="R1" s="17" t="s">
        <v>105</v>
      </c>
      <c r="S1" s="17" t="s">
        <v>106</v>
      </c>
      <c r="T1" s="17" t="s">
        <v>107</v>
      </c>
      <c r="U1" s="17" t="s">
        <v>108</v>
      </c>
      <c r="V1" s="17" t="s">
        <v>109</v>
      </c>
      <c r="W1" s="17" t="s">
        <v>110</v>
      </c>
      <c r="X1" s="16" t="s">
        <v>111</v>
      </c>
      <c r="Y1" s="16" t="s">
        <v>112</v>
      </c>
      <c r="Z1" s="17" t="s">
        <v>113</v>
      </c>
    </row>
    <row r="2" customFormat="false" ht="15" hidden="false" customHeight="false" outlineLevel="0" collapsed="false">
      <c r="A2" s="18" t="s">
        <v>114</v>
      </c>
      <c r="B2" s="18" t="s">
        <v>115</v>
      </c>
      <c r="C2" s="18" t="s">
        <v>116</v>
      </c>
      <c r="D2" s="18" t="s">
        <v>117</v>
      </c>
      <c r="E2" s="18" t="s">
        <v>118</v>
      </c>
      <c r="F2" s="18" t="s">
        <v>119</v>
      </c>
      <c r="G2" s="18"/>
      <c r="H2" s="19" t="s">
        <v>120</v>
      </c>
      <c r="I2" s="18" t="s">
        <v>121</v>
      </c>
      <c r="J2" s="18" t="s">
        <v>122</v>
      </c>
      <c r="K2" s="20" t="n">
        <v>3600</v>
      </c>
      <c r="L2" s="20" t="n">
        <v>1800</v>
      </c>
      <c r="M2" s="20" t="n">
        <v>600</v>
      </c>
      <c r="N2" s="20" t="n">
        <v>240</v>
      </c>
      <c r="O2" s="21"/>
      <c r="P2" s="22" t="n">
        <f aca="false">IF(OR($A2="",N(K2)=0),0,CEILING(K2*(1+IF($O2="",Taux_Compta,$O2))-0.005,Pas_Arrondi))</f>
        <v>3726</v>
      </c>
      <c r="Q2" s="22" t="n">
        <f aca="false">IF(OR($A2="",N(L2)=0),0,CEILING(L2*(1+IF($O2="",Taux_Paye,$O2))-0.005,Pas_Arrondi))</f>
        <v>1872</v>
      </c>
      <c r="R2" s="22" t="n">
        <f aca="false">IF(OR($A2="",N(M2)=0),0,CEILING(M2*(1+IF($O2="",Taux_Jur,$O2))-0.005,Pas_Arrondi))</f>
        <v>618</v>
      </c>
      <c r="S2" s="22" t="n">
        <f aca="false">IF(OR($A2="",N(N2)=0),0,CEILING(N2*(1+IF($O2="",Taux_PA,$O2))-0.005,Pas_Arrondi))</f>
        <v>240</v>
      </c>
      <c r="T2" s="22" t="n">
        <f aca="false">IF($A2="","",SUM(K2:N2))</f>
        <v>6240</v>
      </c>
      <c r="U2" s="22" t="n">
        <f aca="false">IF($A2="","",SUM(P2:S2))</f>
        <v>6456</v>
      </c>
      <c r="V2" s="22" t="n">
        <f aca="false">IF($A2="","",U2-T2)</f>
        <v>216</v>
      </c>
      <c r="W2" s="23" t="n">
        <f aca="false">IF(OR($A2="",N(T2)=0),"",V2/T2)</f>
        <v>0.0346153846153846</v>
      </c>
      <c r="X2" s="18" t="s">
        <v>123</v>
      </c>
      <c r="Y2" s="18" t="s">
        <v>124</v>
      </c>
      <c r="Z2" s="24" t="n">
        <f aca="false">IF(AND($A2&lt;&gt;"",$X2="Oui",OR(Filtre_Masse="Tous les clients à envoyer",$Y2&lt;&gt;"Email")),MAX(Z$1:Z1)+1,"")</f>
        <v>1</v>
      </c>
    </row>
    <row r="3" customFormat="false" ht="15" hidden="false" customHeight="false" outlineLevel="0" collapsed="false">
      <c r="A3" s="18" t="s">
        <v>125</v>
      </c>
      <c r="B3" s="18" t="s">
        <v>126</v>
      </c>
      <c r="C3" s="18" t="s">
        <v>127</v>
      </c>
      <c r="D3" s="18" t="s">
        <v>128</v>
      </c>
      <c r="E3" s="18" t="s">
        <v>129</v>
      </c>
      <c r="F3" s="18" t="s">
        <v>130</v>
      </c>
      <c r="G3" s="18" t="s">
        <v>131</v>
      </c>
      <c r="H3" s="19" t="s">
        <v>132</v>
      </c>
      <c r="I3" s="18" t="s">
        <v>133</v>
      </c>
      <c r="J3" s="18" t="s">
        <v>134</v>
      </c>
      <c r="K3" s="20" t="n">
        <v>5400</v>
      </c>
      <c r="L3" s="20" t="n">
        <v>0</v>
      </c>
      <c r="M3" s="20" t="n">
        <v>900</v>
      </c>
      <c r="N3" s="20" t="n">
        <v>0</v>
      </c>
      <c r="O3" s="21" t="n">
        <v>0.025</v>
      </c>
      <c r="P3" s="22" t="n">
        <f aca="false">IF(OR($A3="",N(K3)=0),0,CEILING(K3*(1+IF($O3="",Taux_Compta,$O3))-0.005,Pas_Arrondi))</f>
        <v>5535</v>
      </c>
      <c r="Q3" s="22" t="n">
        <f aca="false">IF(OR($A3="",N(L3)=0),0,CEILING(L3*(1+IF($O3="",Taux_Paye,$O3))-0.005,Pas_Arrondi))</f>
        <v>0</v>
      </c>
      <c r="R3" s="22" t="n">
        <f aca="false">IF(OR($A3="",N(M3)=0),0,CEILING(M3*(1+IF($O3="",Taux_Jur,$O3))-0.005,Pas_Arrondi))</f>
        <v>923</v>
      </c>
      <c r="S3" s="22" t="n">
        <f aca="false">IF(OR($A3="",N(N3)=0),0,CEILING(N3*(1+IF($O3="",Taux_PA,$O3))-0.005,Pas_Arrondi))</f>
        <v>0</v>
      </c>
      <c r="T3" s="22" t="n">
        <f aca="false">IF($A3="","",SUM(K3:N3))</f>
        <v>6300</v>
      </c>
      <c r="U3" s="22" t="n">
        <f aca="false">IF($A3="","",SUM(P3:S3))</f>
        <v>6458</v>
      </c>
      <c r="V3" s="22" t="n">
        <f aca="false">IF($A3="","",U3-T3)</f>
        <v>158</v>
      </c>
      <c r="W3" s="23" t="n">
        <f aca="false">IF(OR($A3="",N(T3)=0),"",V3/T3)</f>
        <v>0.0250793650793651</v>
      </c>
      <c r="X3" s="18" t="s">
        <v>123</v>
      </c>
      <c r="Y3" s="18" t="s">
        <v>97</v>
      </c>
      <c r="Z3" s="24" t="str">
        <f aca="false">IF(AND($A3&lt;&gt;"",$X3="Oui",OR(Filtre_Masse="Tous les clients à envoyer",$Y3&lt;&gt;"Email")),MAX(Z$1:Z2)+1,"")</f>
        <v/>
      </c>
    </row>
    <row r="4" customFormat="false" ht="15" hidden="false" customHeight="false" outlineLevel="0" collapsed="false">
      <c r="A4" s="18" t="s">
        <v>135</v>
      </c>
      <c r="B4" s="18"/>
      <c r="C4" s="18"/>
      <c r="D4" s="18"/>
      <c r="E4" s="18" t="s">
        <v>136</v>
      </c>
      <c r="F4" s="18" t="s">
        <v>137</v>
      </c>
      <c r="G4" s="18"/>
      <c r="H4" s="19" t="s">
        <v>138</v>
      </c>
      <c r="I4" s="18" t="s">
        <v>139</v>
      </c>
      <c r="J4" s="18" t="s">
        <v>140</v>
      </c>
      <c r="K4" s="20" t="n">
        <v>2400</v>
      </c>
      <c r="L4" s="20" t="n">
        <v>1200</v>
      </c>
      <c r="M4" s="20" t="n">
        <v>0</v>
      </c>
      <c r="N4" s="20" t="n">
        <v>180</v>
      </c>
      <c r="O4" s="21"/>
      <c r="P4" s="22" t="n">
        <f aca="false">IF(OR($A4="",N(K4)=0),0,CEILING(K4*(1+IF($O4="",Taux_Compta,$O4))-0.005,Pas_Arrondi))</f>
        <v>2484</v>
      </c>
      <c r="Q4" s="22" t="n">
        <f aca="false">IF(OR($A4="",N(L4)=0),0,CEILING(L4*(1+IF($O4="",Taux_Paye,$O4))-0.005,Pas_Arrondi))</f>
        <v>1248</v>
      </c>
      <c r="R4" s="22" t="n">
        <f aca="false">IF(OR($A4="",N(M4)=0),0,CEILING(M4*(1+IF($O4="",Taux_Jur,$O4))-0.005,Pas_Arrondi))</f>
        <v>0</v>
      </c>
      <c r="S4" s="22" t="n">
        <f aca="false">IF(OR($A4="",N(N4)=0),0,CEILING(N4*(1+IF($O4="",Taux_PA,$O4))-0.005,Pas_Arrondi))</f>
        <v>180</v>
      </c>
      <c r="T4" s="22" t="n">
        <f aca="false">IF($A4="","",SUM(K4:N4))</f>
        <v>3780</v>
      </c>
      <c r="U4" s="22" t="n">
        <f aca="false">IF($A4="","",SUM(P4:S4))</f>
        <v>3912</v>
      </c>
      <c r="V4" s="22" t="n">
        <f aca="false">IF($A4="","",U4-T4)</f>
        <v>132</v>
      </c>
      <c r="W4" s="23" t="n">
        <f aca="false">IF(OR($A4="",N(T4)=0),"",V4/T4)</f>
        <v>0.0349206349206349</v>
      </c>
      <c r="X4" s="18" t="s">
        <v>123</v>
      </c>
      <c r="Y4" s="18" t="s">
        <v>141</v>
      </c>
      <c r="Z4" s="24" t="n">
        <f aca="false">IF(AND($A4&lt;&gt;"",$X4="Oui",OR(Filtre_Masse="Tous les clients à envoyer",$Y4&lt;&gt;"Email")),MAX(Z$1:Z3)+1,"")</f>
        <v>2</v>
      </c>
    </row>
    <row r="5" customFormat="false" ht="15" hidden="false" customHeight="false" outlineLevel="0" collapsed="false">
      <c r="A5" s="18"/>
      <c r="B5" s="18"/>
      <c r="C5" s="18"/>
      <c r="D5" s="18"/>
      <c r="E5" s="18"/>
      <c r="F5" s="18"/>
      <c r="G5" s="18"/>
      <c r="H5" s="19"/>
      <c r="I5" s="18"/>
      <c r="J5" s="18"/>
      <c r="K5" s="20"/>
      <c r="L5" s="20"/>
      <c r="M5" s="20"/>
      <c r="N5" s="20"/>
      <c r="O5" s="21"/>
      <c r="P5" s="22" t="n">
        <f aca="false">IF(OR($A5="",N(K5)=0),0,CEILING(K5*(1+IF($O5="",Taux_Compta,$O5))-0.005,Pas_Arrondi))</f>
        <v>0</v>
      </c>
      <c r="Q5" s="22" t="n">
        <f aca="false">IF(OR($A5="",N(L5)=0),0,CEILING(L5*(1+IF($O5="",Taux_Paye,$O5))-0.005,Pas_Arrondi))</f>
        <v>0</v>
      </c>
      <c r="R5" s="22" t="n">
        <f aca="false">IF(OR($A5="",N(M5)=0),0,CEILING(M5*(1+IF($O5="",Taux_Jur,$O5))-0.005,Pas_Arrondi))</f>
        <v>0</v>
      </c>
      <c r="S5" s="22" t="n">
        <f aca="false">IF(OR($A5="",N(N5)=0),0,CEILING(N5*(1+IF($O5="",Taux_PA,$O5))-0.005,Pas_Arrondi))</f>
        <v>0</v>
      </c>
      <c r="T5" s="22" t="str">
        <f aca="false">IF($A5="","",SUM(K5:N5))</f>
        <v/>
      </c>
      <c r="U5" s="22" t="str">
        <f aca="false">IF($A5="","",SUM(P5:S5))</f>
        <v/>
      </c>
      <c r="V5" s="22" t="str">
        <f aca="false">IF($A5="","",U5-T5)</f>
        <v/>
      </c>
      <c r="W5" s="23" t="str">
        <f aca="false">IF(OR($A5="",N(T5)=0),"",V5/T5)</f>
        <v/>
      </c>
      <c r="X5" s="18"/>
      <c r="Y5" s="18"/>
      <c r="Z5" s="24" t="str">
        <f aca="false">IF(AND($A5&lt;&gt;"",$X5="Oui",OR(Filtre_Masse="Tous les clients à envoyer",$Y5&lt;&gt;"Email")),MAX(Z$1:Z4)+1,"")</f>
        <v/>
      </c>
    </row>
    <row r="6" customFormat="false" ht="15" hidden="false" customHeight="false" outlineLevel="0" collapsed="false">
      <c r="A6" s="18"/>
      <c r="B6" s="18"/>
      <c r="C6" s="18"/>
      <c r="D6" s="18"/>
      <c r="E6" s="18"/>
      <c r="F6" s="18"/>
      <c r="G6" s="18"/>
      <c r="H6" s="19"/>
      <c r="I6" s="18"/>
      <c r="J6" s="18"/>
      <c r="K6" s="20"/>
      <c r="L6" s="20"/>
      <c r="M6" s="20"/>
      <c r="N6" s="20"/>
      <c r="O6" s="21"/>
      <c r="P6" s="22" t="n">
        <f aca="false">IF(OR($A6="",N(K6)=0),0,CEILING(K6*(1+IF($O6="",Taux_Compta,$O6))-0.005,Pas_Arrondi))</f>
        <v>0</v>
      </c>
      <c r="Q6" s="22" t="n">
        <f aca="false">IF(OR($A6="",N(L6)=0),0,CEILING(L6*(1+IF($O6="",Taux_Paye,$O6))-0.005,Pas_Arrondi))</f>
        <v>0</v>
      </c>
      <c r="R6" s="22" t="n">
        <f aca="false">IF(OR($A6="",N(M6)=0),0,CEILING(M6*(1+IF($O6="",Taux_Jur,$O6))-0.005,Pas_Arrondi))</f>
        <v>0</v>
      </c>
      <c r="S6" s="22" t="n">
        <f aca="false">IF(OR($A6="",N(N6)=0),0,CEILING(N6*(1+IF($O6="",Taux_PA,$O6))-0.005,Pas_Arrondi))</f>
        <v>0</v>
      </c>
      <c r="T6" s="22" t="str">
        <f aca="false">IF($A6="","",SUM(K6:N6))</f>
        <v/>
      </c>
      <c r="U6" s="22" t="str">
        <f aca="false">IF($A6="","",SUM(P6:S6))</f>
        <v/>
      </c>
      <c r="V6" s="22" t="str">
        <f aca="false">IF($A6="","",U6-T6)</f>
        <v/>
      </c>
      <c r="W6" s="23" t="str">
        <f aca="false">IF(OR($A6="",N(T6)=0),"",V6/T6)</f>
        <v/>
      </c>
      <c r="X6" s="18"/>
      <c r="Y6" s="18"/>
      <c r="Z6" s="24" t="str">
        <f aca="false">IF(AND($A6&lt;&gt;"",$X6="Oui",OR(Filtre_Masse="Tous les clients à envoyer",$Y6&lt;&gt;"Email")),MAX(Z$1:Z5)+1,"")</f>
        <v/>
      </c>
    </row>
    <row r="7" customFormat="false" ht="15" hidden="false" customHeight="false" outlineLevel="0" collapsed="false">
      <c r="A7" s="18"/>
      <c r="B7" s="18"/>
      <c r="C7" s="18"/>
      <c r="D7" s="18"/>
      <c r="E7" s="18"/>
      <c r="F7" s="18"/>
      <c r="G7" s="18"/>
      <c r="H7" s="19"/>
      <c r="I7" s="18"/>
      <c r="J7" s="18"/>
      <c r="K7" s="20"/>
      <c r="L7" s="20"/>
      <c r="M7" s="20"/>
      <c r="N7" s="20"/>
      <c r="O7" s="21"/>
      <c r="P7" s="22" t="n">
        <f aca="false">IF(OR($A7="",N(K7)=0),0,CEILING(K7*(1+IF($O7="",Taux_Compta,$O7))-0.005,Pas_Arrondi))</f>
        <v>0</v>
      </c>
      <c r="Q7" s="22" t="n">
        <f aca="false">IF(OR($A7="",N(L7)=0),0,CEILING(L7*(1+IF($O7="",Taux_Paye,$O7))-0.005,Pas_Arrondi))</f>
        <v>0</v>
      </c>
      <c r="R7" s="22" t="n">
        <f aca="false">IF(OR($A7="",N(M7)=0),0,CEILING(M7*(1+IF($O7="",Taux_Jur,$O7))-0.005,Pas_Arrondi))</f>
        <v>0</v>
      </c>
      <c r="S7" s="22" t="n">
        <f aca="false">IF(OR($A7="",N(N7)=0),0,CEILING(N7*(1+IF($O7="",Taux_PA,$O7))-0.005,Pas_Arrondi))</f>
        <v>0</v>
      </c>
      <c r="T7" s="22" t="str">
        <f aca="false">IF($A7="","",SUM(K7:N7))</f>
        <v/>
      </c>
      <c r="U7" s="22" t="str">
        <f aca="false">IF($A7="","",SUM(P7:S7))</f>
        <v/>
      </c>
      <c r="V7" s="22" t="str">
        <f aca="false">IF($A7="","",U7-T7)</f>
        <v/>
      </c>
      <c r="W7" s="23" t="str">
        <f aca="false">IF(OR($A7="",N(T7)=0),"",V7/T7)</f>
        <v/>
      </c>
      <c r="X7" s="18"/>
      <c r="Y7" s="18"/>
      <c r="Z7" s="24" t="str">
        <f aca="false">IF(AND($A7&lt;&gt;"",$X7="Oui",OR(Filtre_Masse="Tous les clients à envoyer",$Y7&lt;&gt;"Email")),MAX(Z$1:Z6)+1,"")</f>
        <v/>
      </c>
    </row>
    <row r="8" customFormat="false" ht="15" hidden="false" customHeight="false" outlineLevel="0" collapsed="false">
      <c r="A8" s="18"/>
      <c r="B8" s="18"/>
      <c r="C8" s="18"/>
      <c r="D8" s="18"/>
      <c r="E8" s="18"/>
      <c r="F8" s="18"/>
      <c r="G8" s="18"/>
      <c r="H8" s="19"/>
      <c r="I8" s="18"/>
      <c r="J8" s="18"/>
      <c r="K8" s="20"/>
      <c r="L8" s="20"/>
      <c r="M8" s="20"/>
      <c r="N8" s="20"/>
      <c r="O8" s="21"/>
      <c r="P8" s="22" t="n">
        <f aca="false">IF(OR($A8="",N(K8)=0),0,CEILING(K8*(1+IF($O8="",Taux_Compta,$O8))-0.005,Pas_Arrondi))</f>
        <v>0</v>
      </c>
      <c r="Q8" s="22" t="n">
        <f aca="false">IF(OR($A8="",N(L8)=0),0,CEILING(L8*(1+IF($O8="",Taux_Paye,$O8))-0.005,Pas_Arrondi))</f>
        <v>0</v>
      </c>
      <c r="R8" s="22" t="n">
        <f aca="false">IF(OR($A8="",N(M8)=0),0,CEILING(M8*(1+IF($O8="",Taux_Jur,$O8))-0.005,Pas_Arrondi))</f>
        <v>0</v>
      </c>
      <c r="S8" s="22" t="n">
        <f aca="false">IF(OR($A8="",N(N8)=0),0,CEILING(N8*(1+IF($O8="",Taux_PA,$O8))-0.005,Pas_Arrondi))</f>
        <v>0</v>
      </c>
      <c r="T8" s="22" t="str">
        <f aca="false">IF($A8="","",SUM(K8:N8))</f>
        <v/>
      </c>
      <c r="U8" s="22" t="str">
        <f aca="false">IF($A8="","",SUM(P8:S8))</f>
        <v/>
      </c>
      <c r="V8" s="22" t="str">
        <f aca="false">IF($A8="","",U8-T8)</f>
        <v/>
      </c>
      <c r="W8" s="23" t="str">
        <f aca="false">IF(OR($A8="",N(T8)=0),"",V8/T8)</f>
        <v/>
      </c>
      <c r="X8" s="18"/>
      <c r="Y8" s="18"/>
      <c r="Z8" s="24" t="str">
        <f aca="false">IF(AND($A8&lt;&gt;"",$X8="Oui",OR(Filtre_Masse="Tous les clients à envoyer",$Y8&lt;&gt;"Email")),MAX(Z$1:Z7)+1,"")</f>
        <v/>
      </c>
    </row>
    <row r="9" customFormat="false" ht="15" hidden="false" customHeight="false" outlineLevel="0" collapsed="false">
      <c r="A9" s="18"/>
      <c r="B9" s="18"/>
      <c r="C9" s="18"/>
      <c r="D9" s="18"/>
      <c r="E9" s="18"/>
      <c r="F9" s="18"/>
      <c r="G9" s="18"/>
      <c r="H9" s="19"/>
      <c r="I9" s="18"/>
      <c r="J9" s="18"/>
      <c r="K9" s="20"/>
      <c r="L9" s="20"/>
      <c r="M9" s="20"/>
      <c r="N9" s="20"/>
      <c r="O9" s="21"/>
      <c r="P9" s="22" t="n">
        <f aca="false">IF(OR($A9="",N(K9)=0),0,CEILING(K9*(1+IF($O9="",Taux_Compta,$O9))-0.005,Pas_Arrondi))</f>
        <v>0</v>
      </c>
      <c r="Q9" s="22" t="n">
        <f aca="false">IF(OR($A9="",N(L9)=0),0,CEILING(L9*(1+IF($O9="",Taux_Paye,$O9))-0.005,Pas_Arrondi))</f>
        <v>0</v>
      </c>
      <c r="R9" s="22" t="n">
        <f aca="false">IF(OR($A9="",N(M9)=0),0,CEILING(M9*(1+IF($O9="",Taux_Jur,$O9))-0.005,Pas_Arrondi))</f>
        <v>0</v>
      </c>
      <c r="S9" s="22" t="n">
        <f aca="false">IF(OR($A9="",N(N9)=0),0,CEILING(N9*(1+IF($O9="",Taux_PA,$O9))-0.005,Pas_Arrondi))</f>
        <v>0</v>
      </c>
      <c r="T9" s="22" t="str">
        <f aca="false">IF($A9="","",SUM(K9:N9))</f>
        <v/>
      </c>
      <c r="U9" s="22" t="str">
        <f aca="false">IF($A9="","",SUM(P9:S9))</f>
        <v/>
      </c>
      <c r="V9" s="22" t="str">
        <f aca="false">IF($A9="","",U9-T9)</f>
        <v/>
      </c>
      <c r="W9" s="23" t="str">
        <f aca="false">IF(OR($A9="",N(T9)=0),"",V9/T9)</f>
        <v/>
      </c>
      <c r="X9" s="18"/>
      <c r="Y9" s="18"/>
      <c r="Z9" s="24" t="str">
        <f aca="false">IF(AND($A9&lt;&gt;"",$X9="Oui",OR(Filtre_Masse="Tous les clients à envoyer",$Y9&lt;&gt;"Email")),MAX(Z$1:Z8)+1,"")</f>
        <v/>
      </c>
    </row>
    <row r="10" customFormat="false" ht="15" hidden="false" customHeight="false" outlineLevel="0" collapsed="false">
      <c r="A10" s="18"/>
      <c r="B10" s="18"/>
      <c r="C10" s="18"/>
      <c r="D10" s="18"/>
      <c r="E10" s="18"/>
      <c r="F10" s="18"/>
      <c r="G10" s="18"/>
      <c r="H10" s="19"/>
      <c r="I10" s="18"/>
      <c r="J10" s="18"/>
      <c r="K10" s="20"/>
      <c r="L10" s="20"/>
      <c r="M10" s="20"/>
      <c r="N10" s="20"/>
      <c r="O10" s="21"/>
      <c r="P10" s="22" t="n">
        <f aca="false">IF(OR($A10="",N(K10)=0),0,CEILING(K10*(1+IF($O10="",Taux_Compta,$O10))-0.005,Pas_Arrondi))</f>
        <v>0</v>
      </c>
      <c r="Q10" s="22" t="n">
        <f aca="false">IF(OR($A10="",N(L10)=0),0,CEILING(L10*(1+IF($O10="",Taux_Paye,$O10))-0.005,Pas_Arrondi))</f>
        <v>0</v>
      </c>
      <c r="R10" s="22" t="n">
        <f aca="false">IF(OR($A10="",N(M10)=0),0,CEILING(M10*(1+IF($O10="",Taux_Jur,$O10))-0.005,Pas_Arrondi))</f>
        <v>0</v>
      </c>
      <c r="S10" s="22" t="n">
        <f aca="false">IF(OR($A10="",N(N10)=0),0,CEILING(N10*(1+IF($O10="",Taux_PA,$O10))-0.005,Pas_Arrondi))</f>
        <v>0</v>
      </c>
      <c r="T10" s="22" t="str">
        <f aca="false">IF($A10="","",SUM(K10:N10))</f>
        <v/>
      </c>
      <c r="U10" s="22" t="str">
        <f aca="false">IF($A10="","",SUM(P10:S10))</f>
        <v/>
      </c>
      <c r="V10" s="22" t="str">
        <f aca="false">IF($A10="","",U10-T10)</f>
        <v/>
      </c>
      <c r="W10" s="23" t="str">
        <f aca="false">IF(OR($A10="",N(T10)=0),"",V10/T10)</f>
        <v/>
      </c>
      <c r="X10" s="18"/>
      <c r="Y10" s="18"/>
      <c r="Z10" s="24" t="str">
        <f aca="false">IF(AND($A10&lt;&gt;"",$X10="Oui",OR(Filtre_Masse="Tous les clients à envoyer",$Y10&lt;&gt;"Email")),MAX(Z$1:Z9)+1,"")</f>
        <v/>
      </c>
    </row>
    <row r="11" customFormat="false" ht="15" hidden="false" customHeight="false" outlineLevel="0" collapsed="false">
      <c r="A11" s="18"/>
      <c r="B11" s="18"/>
      <c r="C11" s="18"/>
      <c r="D11" s="18"/>
      <c r="E11" s="18"/>
      <c r="F11" s="18"/>
      <c r="G11" s="18"/>
      <c r="H11" s="19"/>
      <c r="I11" s="18"/>
      <c r="J11" s="18"/>
      <c r="K11" s="20"/>
      <c r="L11" s="20"/>
      <c r="M11" s="20"/>
      <c r="N11" s="20"/>
      <c r="O11" s="21"/>
      <c r="P11" s="22" t="n">
        <f aca="false">IF(OR($A11="",N(K11)=0),0,CEILING(K11*(1+IF($O11="",Taux_Compta,$O11))-0.005,Pas_Arrondi))</f>
        <v>0</v>
      </c>
      <c r="Q11" s="22" t="n">
        <f aca="false">IF(OR($A11="",N(L11)=0),0,CEILING(L11*(1+IF($O11="",Taux_Paye,$O11))-0.005,Pas_Arrondi))</f>
        <v>0</v>
      </c>
      <c r="R11" s="22" t="n">
        <f aca="false">IF(OR($A11="",N(M11)=0),0,CEILING(M11*(1+IF($O11="",Taux_Jur,$O11))-0.005,Pas_Arrondi))</f>
        <v>0</v>
      </c>
      <c r="S11" s="22" t="n">
        <f aca="false">IF(OR($A11="",N(N11)=0),0,CEILING(N11*(1+IF($O11="",Taux_PA,$O11))-0.005,Pas_Arrondi))</f>
        <v>0</v>
      </c>
      <c r="T11" s="22" t="str">
        <f aca="false">IF($A11="","",SUM(K11:N11))</f>
        <v/>
      </c>
      <c r="U11" s="22" t="str">
        <f aca="false">IF($A11="","",SUM(P11:S11))</f>
        <v/>
      </c>
      <c r="V11" s="22" t="str">
        <f aca="false">IF($A11="","",U11-T11)</f>
        <v/>
      </c>
      <c r="W11" s="23" t="str">
        <f aca="false">IF(OR($A11="",N(T11)=0),"",V11/T11)</f>
        <v/>
      </c>
      <c r="X11" s="18"/>
      <c r="Y11" s="18"/>
      <c r="Z11" s="24" t="str">
        <f aca="false">IF(AND($A11&lt;&gt;"",$X11="Oui",OR(Filtre_Masse="Tous les clients à envoyer",$Y11&lt;&gt;"Email")),MAX(Z$1:Z10)+1,"")</f>
        <v/>
      </c>
    </row>
    <row r="12" customFormat="false" ht="15" hidden="false" customHeight="false" outlineLevel="0" collapsed="false">
      <c r="A12" s="18"/>
      <c r="B12" s="18"/>
      <c r="C12" s="18"/>
      <c r="D12" s="18"/>
      <c r="E12" s="18"/>
      <c r="F12" s="18"/>
      <c r="G12" s="18"/>
      <c r="H12" s="19"/>
      <c r="I12" s="18"/>
      <c r="J12" s="18"/>
      <c r="K12" s="20"/>
      <c r="L12" s="20"/>
      <c r="M12" s="20"/>
      <c r="N12" s="20"/>
      <c r="O12" s="21"/>
      <c r="P12" s="22" t="n">
        <f aca="false">IF(OR($A12="",N(K12)=0),0,CEILING(K12*(1+IF($O12="",Taux_Compta,$O12))-0.005,Pas_Arrondi))</f>
        <v>0</v>
      </c>
      <c r="Q12" s="22" t="n">
        <f aca="false">IF(OR($A12="",N(L12)=0),0,CEILING(L12*(1+IF($O12="",Taux_Paye,$O12))-0.005,Pas_Arrondi))</f>
        <v>0</v>
      </c>
      <c r="R12" s="22" t="n">
        <f aca="false">IF(OR($A12="",N(M12)=0),0,CEILING(M12*(1+IF($O12="",Taux_Jur,$O12))-0.005,Pas_Arrondi))</f>
        <v>0</v>
      </c>
      <c r="S12" s="22" t="n">
        <f aca="false">IF(OR($A12="",N(N12)=0),0,CEILING(N12*(1+IF($O12="",Taux_PA,$O12))-0.005,Pas_Arrondi))</f>
        <v>0</v>
      </c>
      <c r="T12" s="22" t="str">
        <f aca="false">IF($A12="","",SUM(K12:N12))</f>
        <v/>
      </c>
      <c r="U12" s="22" t="str">
        <f aca="false">IF($A12="","",SUM(P12:S12))</f>
        <v/>
      </c>
      <c r="V12" s="22" t="str">
        <f aca="false">IF($A12="","",U12-T12)</f>
        <v/>
      </c>
      <c r="W12" s="23" t="str">
        <f aca="false">IF(OR($A12="",N(T12)=0),"",V12/T12)</f>
        <v/>
      </c>
      <c r="X12" s="18"/>
      <c r="Y12" s="18"/>
      <c r="Z12" s="24" t="str">
        <f aca="false">IF(AND($A12&lt;&gt;"",$X12="Oui",OR(Filtre_Masse="Tous les clients à envoyer",$Y12&lt;&gt;"Email")),MAX(Z$1:Z11)+1,"")</f>
        <v/>
      </c>
    </row>
    <row r="13" customFormat="false" ht="15" hidden="false" customHeight="false" outlineLevel="0" collapsed="false">
      <c r="A13" s="18"/>
      <c r="B13" s="18"/>
      <c r="C13" s="18"/>
      <c r="D13" s="18"/>
      <c r="E13" s="18"/>
      <c r="F13" s="18"/>
      <c r="G13" s="18"/>
      <c r="H13" s="19"/>
      <c r="I13" s="18"/>
      <c r="J13" s="18"/>
      <c r="K13" s="20"/>
      <c r="L13" s="20"/>
      <c r="M13" s="20"/>
      <c r="N13" s="20"/>
      <c r="O13" s="21"/>
      <c r="P13" s="22" t="n">
        <f aca="false">IF(OR($A13="",N(K13)=0),0,CEILING(K13*(1+IF($O13="",Taux_Compta,$O13))-0.005,Pas_Arrondi))</f>
        <v>0</v>
      </c>
      <c r="Q13" s="22" t="n">
        <f aca="false">IF(OR($A13="",N(L13)=0),0,CEILING(L13*(1+IF($O13="",Taux_Paye,$O13))-0.005,Pas_Arrondi))</f>
        <v>0</v>
      </c>
      <c r="R13" s="22" t="n">
        <f aca="false">IF(OR($A13="",N(M13)=0),0,CEILING(M13*(1+IF($O13="",Taux_Jur,$O13))-0.005,Pas_Arrondi))</f>
        <v>0</v>
      </c>
      <c r="S13" s="22" t="n">
        <f aca="false">IF(OR($A13="",N(N13)=0),0,CEILING(N13*(1+IF($O13="",Taux_PA,$O13))-0.005,Pas_Arrondi))</f>
        <v>0</v>
      </c>
      <c r="T13" s="22" t="str">
        <f aca="false">IF($A13="","",SUM(K13:N13))</f>
        <v/>
      </c>
      <c r="U13" s="22" t="str">
        <f aca="false">IF($A13="","",SUM(P13:S13))</f>
        <v/>
      </c>
      <c r="V13" s="22" t="str">
        <f aca="false">IF($A13="","",U13-T13)</f>
        <v/>
      </c>
      <c r="W13" s="23" t="str">
        <f aca="false">IF(OR($A13="",N(T13)=0),"",V13/T13)</f>
        <v/>
      </c>
      <c r="X13" s="18"/>
      <c r="Y13" s="18"/>
      <c r="Z13" s="24" t="str">
        <f aca="false">IF(AND($A13&lt;&gt;"",$X13="Oui",OR(Filtre_Masse="Tous les clients à envoyer",$Y13&lt;&gt;"Email")),MAX(Z$1:Z12)+1,"")</f>
        <v/>
      </c>
    </row>
    <row r="14" customFormat="false" ht="15" hidden="false" customHeight="false" outlineLevel="0" collapsed="false">
      <c r="A14" s="18"/>
      <c r="B14" s="18"/>
      <c r="C14" s="18"/>
      <c r="D14" s="18"/>
      <c r="E14" s="18"/>
      <c r="F14" s="18"/>
      <c r="G14" s="18"/>
      <c r="H14" s="19"/>
      <c r="I14" s="18"/>
      <c r="J14" s="18"/>
      <c r="K14" s="20"/>
      <c r="L14" s="20"/>
      <c r="M14" s="20"/>
      <c r="N14" s="20"/>
      <c r="O14" s="21"/>
      <c r="P14" s="22" t="n">
        <f aca="false">IF(OR($A14="",N(K14)=0),0,CEILING(K14*(1+IF($O14="",Taux_Compta,$O14))-0.005,Pas_Arrondi))</f>
        <v>0</v>
      </c>
      <c r="Q14" s="22" t="n">
        <f aca="false">IF(OR($A14="",N(L14)=0),0,CEILING(L14*(1+IF($O14="",Taux_Paye,$O14))-0.005,Pas_Arrondi))</f>
        <v>0</v>
      </c>
      <c r="R14" s="22" t="n">
        <f aca="false">IF(OR($A14="",N(M14)=0),0,CEILING(M14*(1+IF($O14="",Taux_Jur,$O14))-0.005,Pas_Arrondi))</f>
        <v>0</v>
      </c>
      <c r="S14" s="22" t="n">
        <f aca="false">IF(OR($A14="",N(N14)=0),0,CEILING(N14*(1+IF($O14="",Taux_PA,$O14))-0.005,Pas_Arrondi))</f>
        <v>0</v>
      </c>
      <c r="T14" s="22" t="str">
        <f aca="false">IF($A14="","",SUM(K14:N14))</f>
        <v/>
      </c>
      <c r="U14" s="22" t="str">
        <f aca="false">IF($A14="","",SUM(P14:S14))</f>
        <v/>
      </c>
      <c r="V14" s="22" t="str">
        <f aca="false">IF($A14="","",U14-T14)</f>
        <v/>
      </c>
      <c r="W14" s="23" t="str">
        <f aca="false">IF(OR($A14="",N(T14)=0),"",V14/T14)</f>
        <v/>
      </c>
      <c r="X14" s="18"/>
      <c r="Y14" s="18"/>
      <c r="Z14" s="24" t="str">
        <f aca="false">IF(AND($A14&lt;&gt;"",$X14="Oui",OR(Filtre_Masse="Tous les clients à envoyer",$Y14&lt;&gt;"Email")),MAX(Z$1:Z13)+1,"")</f>
        <v/>
      </c>
    </row>
    <row r="15" customFormat="false" ht="15" hidden="false" customHeight="false" outlineLevel="0" collapsed="false">
      <c r="A15" s="18"/>
      <c r="B15" s="18"/>
      <c r="C15" s="18"/>
      <c r="D15" s="18"/>
      <c r="E15" s="18"/>
      <c r="F15" s="18"/>
      <c r="G15" s="18"/>
      <c r="H15" s="19"/>
      <c r="I15" s="18"/>
      <c r="J15" s="18"/>
      <c r="K15" s="20"/>
      <c r="L15" s="20"/>
      <c r="M15" s="20"/>
      <c r="N15" s="20"/>
      <c r="O15" s="21"/>
      <c r="P15" s="22" t="n">
        <f aca="false">IF(OR($A15="",N(K15)=0),0,CEILING(K15*(1+IF($O15="",Taux_Compta,$O15))-0.005,Pas_Arrondi))</f>
        <v>0</v>
      </c>
      <c r="Q15" s="22" t="n">
        <f aca="false">IF(OR($A15="",N(L15)=0),0,CEILING(L15*(1+IF($O15="",Taux_Paye,$O15))-0.005,Pas_Arrondi))</f>
        <v>0</v>
      </c>
      <c r="R15" s="22" t="n">
        <f aca="false">IF(OR($A15="",N(M15)=0),0,CEILING(M15*(1+IF($O15="",Taux_Jur,$O15))-0.005,Pas_Arrondi))</f>
        <v>0</v>
      </c>
      <c r="S15" s="22" t="n">
        <f aca="false">IF(OR($A15="",N(N15)=0),0,CEILING(N15*(1+IF($O15="",Taux_PA,$O15))-0.005,Pas_Arrondi))</f>
        <v>0</v>
      </c>
      <c r="T15" s="22" t="str">
        <f aca="false">IF($A15="","",SUM(K15:N15))</f>
        <v/>
      </c>
      <c r="U15" s="22" t="str">
        <f aca="false">IF($A15="","",SUM(P15:S15))</f>
        <v/>
      </c>
      <c r="V15" s="22" t="str">
        <f aca="false">IF($A15="","",U15-T15)</f>
        <v/>
      </c>
      <c r="W15" s="23" t="str">
        <f aca="false">IF(OR($A15="",N(T15)=0),"",V15/T15)</f>
        <v/>
      </c>
      <c r="X15" s="18"/>
      <c r="Y15" s="18"/>
      <c r="Z15" s="24" t="str">
        <f aca="false">IF(AND($A15&lt;&gt;"",$X15="Oui",OR(Filtre_Masse="Tous les clients à envoyer",$Y15&lt;&gt;"Email")),MAX(Z$1:Z14)+1,"")</f>
        <v/>
      </c>
    </row>
    <row r="16" customFormat="false" ht="15" hidden="false" customHeight="false" outlineLevel="0" collapsed="false">
      <c r="A16" s="18"/>
      <c r="B16" s="18"/>
      <c r="C16" s="18"/>
      <c r="D16" s="18"/>
      <c r="E16" s="18"/>
      <c r="F16" s="18"/>
      <c r="G16" s="18"/>
      <c r="H16" s="19"/>
      <c r="I16" s="18"/>
      <c r="J16" s="18"/>
      <c r="K16" s="20"/>
      <c r="L16" s="20"/>
      <c r="M16" s="20"/>
      <c r="N16" s="20"/>
      <c r="O16" s="21"/>
      <c r="P16" s="22" t="n">
        <f aca="false">IF(OR($A16="",N(K16)=0),0,CEILING(K16*(1+IF($O16="",Taux_Compta,$O16))-0.005,Pas_Arrondi))</f>
        <v>0</v>
      </c>
      <c r="Q16" s="22" t="n">
        <f aca="false">IF(OR($A16="",N(L16)=0),0,CEILING(L16*(1+IF($O16="",Taux_Paye,$O16))-0.005,Pas_Arrondi))</f>
        <v>0</v>
      </c>
      <c r="R16" s="22" t="n">
        <f aca="false">IF(OR($A16="",N(M16)=0),0,CEILING(M16*(1+IF($O16="",Taux_Jur,$O16))-0.005,Pas_Arrondi))</f>
        <v>0</v>
      </c>
      <c r="S16" s="22" t="n">
        <f aca="false">IF(OR($A16="",N(N16)=0),0,CEILING(N16*(1+IF($O16="",Taux_PA,$O16))-0.005,Pas_Arrondi))</f>
        <v>0</v>
      </c>
      <c r="T16" s="22" t="str">
        <f aca="false">IF($A16="","",SUM(K16:N16))</f>
        <v/>
      </c>
      <c r="U16" s="22" t="str">
        <f aca="false">IF($A16="","",SUM(P16:S16))</f>
        <v/>
      </c>
      <c r="V16" s="22" t="str">
        <f aca="false">IF($A16="","",U16-T16)</f>
        <v/>
      </c>
      <c r="W16" s="23" t="str">
        <f aca="false">IF(OR($A16="",N(T16)=0),"",V16/T16)</f>
        <v/>
      </c>
      <c r="X16" s="18"/>
      <c r="Y16" s="18"/>
      <c r="Z16" s="24" t="str">
        <f aca="false">IF(AND($A16&lt;&gt;"",$X16="Oui",OR(Filtre_Masse="Tous les clients à envoyer",$Y16&lt;&gt;"Email")),MAX(Z$1:Z15)+1,"")</f>
        <v/>
      </c>
    </row>
    <row r="17" customFormat="false" ht="15" hidden="false" customHeight="false" outlineLevel="0" collapsed="false">
      <c r="A17" s="18"/>
      <c r="B17" s="18"/>
      <c r="C17" s="18"/>
      <c r="D17" s="18"/>
      <c r="E17" s="18"/>
      <c r="F17" s="18"/>
      <c r="G17" s="18"/>
      <c r="H17" s="19"/>
      <c r="I17" s="18"/>
      <c r="J17" s="18"/>
      <c r="K17" s="20"/>
      <c r="L17" s="20"/>
      <c r="M17" s="20"/>
      <c r="N17" s="20"/>
      <c r="O17" s="21"/>
      <c r="P17" s="22" t="n">
        <f aca="false">IF(OR($A17="",N(K17)=0),0,CEILING(K17*(1+IF($O17="",Taux_Compta,$O17))-0.005,Pas_Arrondi))</f>
        <v>0</v>
      </c>
      <c r="Q17" s="22" t="n">
        <f aca="false">IF(OR($A17="",N(L17)=0),0,CEILING(L17*(1+IF($O17="",Taux_Paye,$O17))-0.005,Pas_Arrondi))</f>
        <v>0</v>
      </c>
      <c r="R17" s="22" t="n">
        <f aca="false">IF(OR($A17="",N(M17)=0),0,CEILING(M17*(1+IF($O17="",Taux_Jur,$O17))-0.005,Pas_Arrondi))</f>
        <v>0</v>
      </c>
      <c r="S17" s="22" t="n">
        <f aca="false">IF(OR($A17="",N(N17)=0),0,CEILING(N17*(1+IF($O17="",Taux_PA,$O17))-0.005,Pas_Arrondi))</f>
        <v>0</v>
      </c>
      <c r="T17" s="22" t="str">
        <f aca="false">IF($A17="","",SUM(K17:N17))</f>
        <v/>
      </c>
      <c r="U17" s="22" t="str">
        <f aca="false">IF($A17="","",SUM(P17:S17))</f>
        <v/>
      </c>
      <c r="V17" s="22" t="str">
        <f aca="false">IF($A17="","",U17-T17)</f>
        <v/>
      </c>
      <c r="W17" s="23" t="str">
        <f aca="false">IF(OR($A17="",N(T17)=0),"",V17/T17)</f>
        <v/>
      </c>
      <c r="X17" s="18"/>
      <c r="Y17" s="18"/>
      <c r="Z17" s="24" t="str">
        <f aca="false">IF(AND($A17&lt;&gt;"",$X17="Oui",OR(Filtre_Masse="Tous les clients à envoyer",$Y17&lt;&gt;"Email")),MAX(Z$1:Z16)+1,"")</f>
        <v/>
      </c>
    </row>
    <row r="18" customFormat="false" ht="15" hidden="false" customHeight="false" outlineLevel="0" collapsed="false">
      <c r="A18" s="18"/>
      <c r="B18" s="18"/>
      <c r="C18" s="18"/>
      <c r="D18" s="18"/>
      <c r="E18" s="18"/>
      <c r="F18" s="18"/>
      <c r="G18" s="18"/>
      <c r="H18" s="19"/>
      <c r="I18" s="18"/>
      <c r="J18" s="18"/>
      <c r="K18" s="20"/>
      <c r="L18" s="20"/>
      <c r="M18" s="20"/>
      <c r="N18" s="20"/>
      <c r="O18" s="21"/>
      <c r="P18" s="22" t="n">
        <f aca="false">IF(OR($A18="",N(K18)=0),0,CEILING(K18*(1+IF($O18="",Taux_Compta,$O18))-0.005,Pas_Arrondi))</f>
        <v>0</v>
      </c>
      <c r="Q18" s="22" t="n">
        <f aca="false">IF(OR($A18="",N(L18)=0),0,CEILING(L18*(1+IF($O18="",Taux_Paye,$O18))-0.005,Pas_Arrondi))</f>
        <v>0</v>
      </c>
      <c r="R18" s="22" t="n">
        <f aca="false">IF(OR($A18="",N(M18)=0),0,CEILING(M18*(1+IF($O18="",Taux_Jur,$O18))-0.005,Pas_Arrondi))</f>
        <v>0</v>
      </c>
      <c r="S18" s="22" t="n">
        <f aca="false">IF(OR($A18="",N(N18)=0),0,CEILING(N18*(1+IF($O18="",Taux_PA,$O18))-0.005,Pas_Arrondi))</f>
        <v>0</v>
      </c>
      <c r="T18" s="22" t="str">
        <f aca="false">IF($A18="","",SUM(K18:N18))</f>
        <v/>
      </c>
      <c r="U18" s="22" t="str">
        <f aca="false">IF($A18="","",SUM(P18:S18))</f>
        <v/>
      </c>
      <c r="V18" s="22" t="str">
        <f aca="false">IF($A18="","",U18-T18)</f>
        <v/>
      </c>
      <c r="W18" s="23" t="str">
        <f aca="false">IF(OR($A18="",N(T18)=0),"",V18/T18)</f>
        <v/>
      </c>
      <c r="X18" s="18"/>
      <c r="Y18" s="18"/>
      <c r="Z18" s="24" t="str">
        <f aca="false">IF(AND($A18&lt;&gt;"",$X18="Oui",OR(Filtre_Masse="Tous les clients à envoyer",$Y18&lt;&gt;"Email")),MAX(Z$1:Z17)+1,"")</f>
        <v/>
      </c>
    </row>
    <row r="19" customFormat="false" ht="15" hidden="false" customHeight="false" outlineLevel="0" collapsed="false">
      <c r="A19" s="18"/>
      <c r="B19" s="18"/>
      <c r="C19" s="18"/>
      <c r="D19" s="18"/>
      <c r="E19" s="18"/>
      <c r="F19" s="18"/>
      <c r="G19" s="18"/>
      <c r="H19" s="19"/>
      <c r="I19" s="18"/>
      <c r="J19" s="18"/>
      <c r="K19" s="20"/>
      <c r="L19" s="20"/>
      <c r="M19" s="20"/>
      <c r="N19" s="20"/>
      <c r="O19" s="21"/>
      <c r="P19" s="22" t="n">
        <f aca="false">IF(OR($A19="",N(K19)=0),0,CEILING(K19*(1+IF($O19="",Taux_Compta,$O19))-0.005,Pas_Arrondi))</f>
        <v>0</v>
      </c>
      <c r="Q19" s="22" t="n">
        <f aca="false">IF(OR($A19="",N(L19)=0),0,CEILING(L19*(1+IF($O19="",Taux_Paye,$O19))-0.005,Pas_Arrondi))</f>
        <v>0</v>
      </c>
      <c r="R19" s="22" t="n">
        <f aca="false">IF(OR($A19="",N(M19)=0),0,CEILING(M19*(1+IF($O19="",Taux_Jur,$O19))-0.005,Pas_Arrondi))</f>
        <v>0</v>
      </c>
      <c r="S19" s="22" t="n">
        <f aca="false">IF(OR($A19="",N(N19)=0),0,CEILING(N19*(1+IF($O19="",Taux_PA,$O19))-0.005,Pas_Arrondi))</f>
        <v>0</v>
      </c>
      <c r="T19" s="22" t="str">
        <f aca="false">IF($A19="","",SUM(K19:N19))</f>
        <v/>
      </c>
      <c r="U19" s="22" t="str">
        <f aca="false">IF($A19="","",SUM(P19:S19))</f>
        <v/>
      </c>
      <c r="V19" s="22" t="str">
        <f aca="false">IF($A19="","",U19-T19)</f>
        <v/>
      </c>
      <c r="W19" s="23" t="str">
        <f aca="false">IF(OR($A19="",N(T19)=0),"",V19/T19)</f>
        <v/>
      </c>
      <c r="X19" s="18"/>
      <c r="Y19" s="18"/>
      <c r="Z19" s="24" t="str">
        <f aca="false">IF(AND($A19&lt;&gt;"",$X19="Oui",OR(Filtre_Masse="Tous les clients à envoyer",$Y19&lt;&gt;"Email")),MAX(Z$1:Z18)+1,"")</f>
        <v/>
      </c>
    </row>
    <row r="20" customFormat="false" ht="15" hidden="false" customHeight="false" outlineLevel="0" collapsed="false">
      <c r="A20" s="18"/>
      <c r="B20" s="18"/>
      <c r="C20" s="18"/>
      <c r="D20" s="18"/>
      <c r="E20" s="18"/>
      <c r="F20" s="18"/>
      <c r="G20" s="18"/>
      <c r="H20" s="19"/>
      <c r="I20" s="18"/>
      <c r="J20" s="18"/>
      <c r="K20" s="20"/>
      <c r="L20" s="20"/>
      <c r="M20" s="20"/>
      <c r="N20" s="20"/>
      <c r="O20" s="21"/>
      <c r="P20" s="22" t="n">
        <f aca="false">IF(OR($A20="",N(K20)=0),0,CEILING(K20*(1+IF($O20="",Taux_Compta,$O20))-0.005,Pas_Arrondi))</f>
        <v>0</v>
      </c>
      <c r="Q20" s="22" t="n">
        <f aca="false">IF(OR($A20="",N(L20)=0),0,CEILING(L20*(1+IF($O20="",Taux_Paye,$O20))-0.005,Pas_Arrondi))</f>
        <v>0</v>
      </c>
      <c r="R20" s="22" t="n">
        <f aca="false">IF(OR($A20="",N(M20)=0),0,CEILING(M20*(1+IF($O20="",Taux_Jur,$O20))-0.005,Pas_Arrondi))</f>
        <v>0</v>
      </c>
      <c r="S20" s="22" t="n">
        <f aca="false">IF(OR($A20="",N(N20)=0),0,CEILING(N20*(1+IF($O20="",Taux_PA,$O20))-0.005,Pas_Arrondi))</f>
        <v>0</v>
      </c>
      <c r="T20" s="22" t="str">
        <f aca="false">IF($A20="","",SUM(K20:N20))</f>
        <v/>
      </c>
      <c r="U20" s="22" t="str">
        <f aca="false">IF($A20="","",SUM(P20:S20))</f>
        <v/>
      </c>
      <c r="V20" s="22" t="str">
        <f aca="false">IF($A20="","",U20-T20)</f>
        <v/>
      </c>
      <c r="W20" s="23" t="str">
        <f aca="false">IF(OR($A20="",N(T20)=0),"",V20/T20)</f>
        <v/>
      </c>
      <c r="X20" s="18"/>
      <c r="Y20" s="18"/>
      <c r="Z20" s="24" t="str">
        <f aca="false">IF(AND($A20&lt;&gt;"",$X20="Oui",OR(Filtre_Masse="Tous les clients à envoyer",$Y20&lt;&gt;"Email")),MAX(Z$1:Z19)+1,"")</f>
        <v/>
      </c>
    </row>
    <row r="21" customFormat="false" ht="15" hidden="false" customHeight="false" outlineLevel="0" collapsed="false">
      <c r="A21" s="18"/>
      <c r="B21" s="18"/>
      <c r="C21" s="18"/>
      <c r="D21" s="18"/>
      <c r="E21" s="18"/>
      <c r="F21" s="18"/>
      <c r="G21" s="18"/>
      <c r="H21" s="19"/>
      <c r="I21" s="18"/>
      <c r="J21" s="18"/>
      <c r="K21" s="20"/>
      <c r="L21" s="20"/>
      <c r="M21" s="20"/>
      <c r="N21" s="20"/>
      <c r="O21" s="21"/>
      <c r="P21" s="22" t="n">
        <f aca="false">IF(OR($A21="",N(K21)=0),0,CEILING(K21*(1+IF($O21="",Taux_Compta,$O21))-0.005,Pas_Arrondi))</f>
        <v>0</v>
      </c>
      <c r="Q21" s="22" t="n">
        <f aca="false">IF(OR($A21="",N(L21)=0),0,CEILING(L21*(1+IF($O21="",Taux_Paye,$O21))-0.005,Pas_Arrondi))</f>
        <v>0</v>
      </c>
      <c r="R21" s="22" t="n">
        <f aca="false">IF(OR($A21="",N(M21)=0),0,CEILING(M21*(1+IF($O21="",Taux_Jur,$O21))-0.005,Pas_Arrondi))</f>
        <v>0</v>
      </c>
      <c r="S21" s="22" t="n">
        <f aca="false">IF(OR($A21="",N(N21)=0),0,CEILING(N21*(1+IF($O21="",Taux_PA,$O21))-0.005,Pas_Arrondi))</f>
        <v>0</v>
      </c>
      <c r="T21" s="22" t="str">
        <f aca="false">IF($A21="","",SUM(K21:N21))</f>
        <v/>
      </c>
      <c r="U21" s="22" t="str">
        <f aca="false">IF($A21="","",SUM(P21:S21))</f>
        <v/>
      </c>
      <c r="V21" s="22" t="str">
        <f aca="false">IF($A21="","",U21-T21)</f>
        <v/>
      </c>
      <c r="W21" s="23" t="str">
        <f aca="false">IF(OR($A21="",N(T21)=0),"",V21/T21)</f>
        <v/>
      </c>
      <c r="X21" s="18"/>
      <c r="Y21" s="18"/>
      <c r="Z21" s="24" t="str">
        <f aca="false">IF(AND($A21&lt;&gt;"",$X21="Oui",OR(Filtre_Masse="Tous les clients à envoyer",$Y21&lt;&gt;"Email")),MAX(Z$1:Z20)+1,"")</f>
        <v/>
      </c>
    </row>
    <row r="22" customFormat="false" ht="15" hidden="false" customHeight="false" outlineLevel="0" collapsed="false">
      <c r="A22" s="18"/>
      <c r="B22" s="18"/>
      <c r="C22" s="18"/>
      <c r="D22" s="18"/>
      <c r="E22" s="18"/>
      <c r="F22" s="18"/>
      <c r="G22" s="18"/>
      <c r="H22" s="19"/>
      <c r="I22" s="18"/>
      <c r="J22" s="18"/>
      <c r="K22" s="20"/>
      <c r="L22" s="20"/>
      <c r="M22" s="20"/>
      <c r="N22" s="20"/>
      <c r="O22" s="21"/>
      <c r="P22" s="22" t="n">
        <f aca="false">IF(OR($A22="",N(K22)=0),0,CEILING(K22*(1+IF($O22="",Taux_Compta,$O22))-0.005,Pas_Arrondi))</f>
        <v>0</v>
      </c>
      <c r="Q22" s="22" t="n">
        <f aca="false">IF(OR($A22="",N(L22)=0),0,CEILING(L22*(1+IF($O22="",Taux_Paye,$O22))-0.005,Pas_Arrondi))</f>
        <v>0</v>
      </c>
      <c r="R22" s="22" t="n">
        <f aca="false">IF(OR($A22="",N(M22)=0),0,CEILING(M22*(1+IF($O22="",Taux_Jur,$O22))-0.005,Pas_Arrondi))</f>
        <v>0</v>
      </c>
      <c r="S22" s="22" t="n">
        <f aca="false">IF(OR($A22="",N(N22)=0),0,CEILING(N22*(1+IF($O22="",Taux_PA,$O22))-0.005,Pas_Arrondi))</f>
        <v>0</v>
      </c>
      <c r="T22" s="22" t="str">
        <f aca="false">IF($A22="","",SUM(K22:N22))</f>
        <v/>
      </c>
      <c r="U22" s="22" t="str">
        <f aca="false">IF($A22="","",SUM(P22:S22))</f>
        <v/>
      </c>
      <c r="V22" s="22" t="str">
        <f aca="false">IF($A22="","",U22-T22)</f>
        <v/>
      </c>
      <c r="W22" s="23" t="str">
        <f aca="false">IF(OR($A22="",N(T22)=0),"",V22/T22)</f>
        <v/>
      </c>
      <c r="X22" s="18"/>
      <c r="Y22" s="18"/>
      <c r="Z22" s="24" t="str">
        <f aca="false">IF(AND($A22&lt;&gt;"",$X22="Oui",OR(Filtre_Masse="Tous les clients à envoyer",$Y22&lt;&gt;"Email")),MAX(Z$1:Z21)+1,"")</f>
        <v/>
      </c>
    </row>
    <row r="23" customFormat="false" ht="15" hidden="false" customHeight="false" outlineLevel="0" collapsed="false">
      <c r="A23" s="18"/>
      <c r="B23" s="18"/>
      <c r="C23" s="18"/>
      <c r="D23" s="18"/>
      <c r="E23" s="18"/>
      <c r="F23" s="18"/>
      <c r="G23" s="18"/>
      <c r="H23" s="19"/>
      <c r="I23" s="18"/>
      <c r="J23" s="18"/>
      <c r="K23" s="20"/>
      <c r="L23" s="20"/>
      <c r="M23" s="20"/>
      <c r="N23" s="20"/>
      <c r="O23" s="21"/>
      <c r="P23" s="22" t="n">
        <f aca="false">IF(OR($A23="",N(K23)=0),0,CEILING(K23*(1+IF($O23="",Taux_Compta,$O23))-0.005,Pas_Arrondi))</f>
        <v>0</v>
      </c>
      <c r="Q23" s="22" t="n">
        <f aca="false">IF(OR($A23="",N(L23)=0),0,CEILING(L23*(1+IF($O23="",Taux_Paye,$O23))-0.005,Pas_Arrondi))</f>
        <v>0</v>
      </c>
      <c r="R23" s="22" t="n">
        <f aca="false">IF(OR($A23="",N(M23)=0),0,CEILING(M23*(1+IF($O23="",Taux_Jur,$O23))-0.005,Pas_Arrondi))</f>
        <v>0</v>
      </c>
      <c r="S23" s="22" t="n">
        <f aca="false">IF(OR($A23="",N(N23)=0),0,CEILING(N23*(1+IF($O23="",Taux_PA,$O23))-0.005,Pas_Arrondi))</f>
        <v>0</v>
      </c>
      <c r="T23" s="22" t="str">
        <f aca="false">IF($A23="","",SUM(K23:N23))</f>
        <v/>
      </c>
      <c r="U23" s="22" t="str">
        <f aca="false">IF($A23="","",SUM(P23:S23))</f>
        <v/>
      </c>
      <c r="V23" s="22" t="str">
        <f aca="false">IF($A23="","",U23-T23)</f>
        <v/>
      </c>
      <c r="W23" s="23" t="str">
        <f aca="false">IF(OR($A23="",N(T23)=0),"",V23/T23)</f>
        <v/>
      </c>
      <c r="X23" s="18"/>
      <c r="Y23" s="18"/>
      <c r="Z23" s="24" t="str">
        <f aca="false">IF(AND($A23&lt;&gt;"",$X23="Oui",OR(Filtre_Masse="Tous les clients à envoyer",$Y23&lt;&gt;"Email")),MAX(Z$1:Z22)+1,"")</f>
        <v/>
      </c>
    </row>
    <row r="24" customFormat="false" ht="15" hidden="false" customHeight="false" outlineLevel="0" collapsed="false">
      <c r="A24" s="18"/>
      <c r="B24" s="18"/>
      <c r="C24" s="18"/>
      <c r="D24" s="18"/>
      <c r="E24" s="18"/>
      <c r="F24" s="18"/>
      <c r="G24" s="18"/>
      <c r="H24" s="19"/>
      <c r="I24" s="18"/>
      <c r="J24" s="18"/>
      <c r="K24" s="20"/>
      <c r="L24" s="20"/>
      <c r="M24" s="20"/>
      <c r="N24" s="20"/>
      <c r="O24" s="21"/>
      <c r="P24" s="22" t="n">
        <f aca="false">IF(OR($A24="",N(K24)=0),0,CEILING(K24*(1+IF($O24="",Taux_Compta,$O24))-0.005,Pas_Arrondi))</f>
        <v>0</v>
      </c>
      <c r="Q24" s="22" t="n">
        <f aca="false">IF(OR($A24="",N(L24)=0),0,CEILING(L24*(1+IF($O24="",Taux_Paye,$O24))-0.005,Pas_Arrondi))</f>
        <v>0</v>
      </c>
      <c r="R24" s="22" t="n">
        <f aca="false">IF(OR($A24="",N(M24)=0),0,CEILING(M24*(1+IF($O24="",Taux_Jur,$O24))-0.005,Pas_Arrondi))</f>
        <v>0</v>
      </c>
      <c r="S24" s="22" t="n">
        <f aca="false">IF(OR($A24="",N(N24)=0),0,CEILING(N24*(1+IF($O24="",Taux_PA,$O24))-0.005,Pas_Arrondi))</f>
        <v>0</v>
      </c>
      <c r="T24" s="22" t="str">
        <f aca="false">IF($A24="","",SUM(K24:N24))</f>
        <v/>
      </c>
      <c r="U24" s="22" t="str">
        <f aca="false">IF($A24="","",SUM(P24:S24))</f>
        <v/>
      </c>
      <c r="V24" s="22" t="str">
        <f aca="false">IF($A24="","",U24-T24)</f>
        <v/>
      </c>
      <c r="W24" s="23" t="str">
        <f aca="false">IF(OR($A24="",N(T24)=0),"",V24/T24)</f>
        <v/>
      </c>
      <c r="X24" s="18"/>
      <c r="Y24" s="18"/>
      <c r="Z24" s="24" t="str">
        <f aca="false">IF(AND($A24&lt;&gt;"",$X24="Oui",OR(Filtre_Masse="Tous les clients à envoyer",$Y24&lt;&gt;"Email")),MAX(Z$1:Z23)+1,"")</f>
        <v/>
      </c>
    </row>
    <row r="25" customFormat="false" ht="15" hidden="false" customHeight="false" outlineLevel="0" collapsed="false">
      <c r="A25" s="18"/>
      <c r="B25" s="18"/>
      <c r="C25" s="18"/>
      <c r="D25" s="18"/>
      <c r="E25" s="18"/>
      <c r="F25" s="18"/>
      <c r="G25" s="18"/>
      <c r="H25" s="19"/>
      <c r="I25" s="18"/>
      <c r="J25" s="18"/>
      <c r="K25" s="20"/>
      <c r="L25" s="20"/>
      <c r="M25" s="20"/>
      <c r="N25" s="20"/>
      <c r="O25" s="21"/>
      <c r="P25" s="22" t="n">
        <f aca="false">IF(OR($A25="",N(K25)=0),0,CEILING(K25*(1+IF($O25="",Taux_Compta,$O25))-0.005,Pas_Arrondi))</f>
        <v>0</v>
      </c>
      <c r="Q25" s="22" t="n">
        <f aca="false">IF(OR($A25="",N(L25)=0),0,CEILING(L25*(1+IF($O25="",Taux_Paye,$O25))-0.005,Pas_Arrondi))</f>
        <v>0</v>
      </c>
      <c r="R25" s="22" t="n">
        <f aca="false">IF(OR($A25="",N(M25)=0),0,CEILING(M25*(1+IF($O25="",Taux_Jur,$O25))-0.005,Pas_Arrondi))</f>
        <v>0</v>
      </c>
      <c r="S25" s="22" t="n">
        <f aca="false">IF(OR($A25="",N(N25)=0),0,CEILING(N25*(1+IF($O25="",Taux_PA,$O25))-0.005,Pas_Arrondi))</f>
        <v>0</v>
      </c>
      <c r="T25" s="22" t="str">
        <f aca="false">IF($A25="","",SUM(K25:N25))</f>
        <v/>
      </c>
      <c r="U25" s="22" t="str">
        <f aca="false">IF($A25="","",SUM(P25:S25))</f>
        <v/>
      </c>
      <c r="V25" s="22" t="str">
        <f aca="false">IF($A25="","",U25-T25)</f>
        <v/>
      </c>
      <c r="W25" s="23" t="str">
        <f aca="false">IF(OR($A25="",N(T25)=0),"",V25/T25)</f>
        <v/>
      </c>
      <c r="X25" s="18"/>
      <c r="Y25" s="18"/>
      <c r="Z25" s="24" t="str">
        <f aca="false">IF(AND($A25&lt;&gt;"",$X25="Oui",OR(Filtre_Masse="Tous les clients à envoyer",$Y25&lt;&gt;"Email")),MAX(Z$1:Z24)+1,"")</f>
        <v/>
      </c>
    </row>
    <row r="26" customFormat="false" ht="15" hidden="false" customHeight="false" outlineLevel="0" collapsed="false">
      <c r="A26" s="18"/>
      <c r="B26" s="18"/>
      <c r="C26" s="18"/>
      <c r="D26" s="18"/>
      <c r="E26" s="18"/>
      <c r="F26" s="18"/>
      <c r="G26" s="18"/>
      <c r="H26" s="19"/>
      <c r="I26" s="18"/>
      <c r="J26" s="18"/>
      <c r="K26" s="20"/>
      <c r="L26" s="20"/>
      <c r="M26" s="20"/>
      <c r="N26" s="20"/>
      <c r="O26" s="21"/>
      <c r="P26" s="22" t="n">
        <f aca="false">IF(OR($A26="",N(K26)=0),0,CEILING(K26*(1+IF($O26="",Taux_Compta,$O26))-0.005,Pas_Arrondi))</f>
        <v>0</v>
      </c>
      <c r="Q26" s="22" t="n">
        <f aca="false">IF(OR($A26="",N(L26)=0),0,CEILING(L26*(1+IF($O26="",Taux_Paye,$O26))-0.005,Pas_Arrondi))</f>
        <v>0</v>
      </c>
      <c r="R26" s="22" t="n">
        <f aca="false">IF(OR($A26="",N(M26)=0),0,CEILING(M26*(1+IF($O26="",Taux_Jur,$O26))-0.005,Pas_Arrondi))</f>
        <v>0</v>
      </c>
      <c r="S26" s="22" t="n">
        <f aca="false">IF(OR($A26="",N(N26)=0),0,CEILING(N26*(1+IF($O26="",Taux_PA,$O26))-0.005,Pas_Arrondi))</f>
        <v>0</v>
      </c>
      <c r="T26" s="22" t="str">
        <f aca="false">IF($A26="","",SUM(K26:N26))</f>
        <v/>
      </c>
      <c r="U26" s="22" t="str">
        <f aca="false">IF($A26="","",SUM(P26:S26))</f>
        <v/>
      </c>
      <c r="V26" s="22" t="str">
        <f aca="false">IF($A26="","",U26-T26)</f>
        <v/>
      </c>
      <c r="W26" s="23" t="str">
        <f aca="false">IF(OR($A26="",N(T26)=0),"",V26/T26)</f>
        <v/>
      </c>
      <c r="X26" s="18"/>
      <c r="Y26" s="18"/>
      <c r="Z26" s="24" t="str">
        <f aca="false">IF(AND($A26&lt;&gt;"",$X26="Oui",OR(Filtre_Masse="Tous les clients à envoyer",$Y26&lt;&gt;"Email")),MAX(Z$1:Z25)+1,"")</f>
        <v/>
      </c>
    </row>
    <row r="27" customFormat="false" ht="15" hidden="false" customHeight="false" outlineLevel="0" collapsed="false">
      <c r="A27" s="18"/>
      <c r="B27" s="18"/>
      <c r="C27" s="18"/>
      <c r="D27" s="18"/>
      <c r="E27" s="18"/>
      <c r="F27" s="18"/>
      <c r="G27" s="18"/>
      <c r="H27" s="19"/>
      <c r="I27" s="18"/>
      <c r="J27" s="18"/>
      <c r="K27" s="20"/>
      <c r="L27" s="20"/>
      <c r="M27" s="20"/>
      <c r="N27" s="20"/>
      <c r="O27" s="21"/>
      <c r="P27" s="22" t="n">
        <f aca="false">IF(OR($A27="",N(K27)=0),0,CEILING(K27*(1+IF($O27="",Taux_Compta,$O27))-0.005,Pas_Arrondi))</f>
        <v>0</v>
      </c>
      <c r="Q27" s="22" t="n">
        <f aca="false">IF(OR($A27="",N(L27)=0),0,CEILING(L27*(1+IF($O27="",Taux_Paye,$O27))-0.005,Pas_Arrondi))</f>
        <v>0</v>
      </c>
      <c r="R27" s="22" t="n">
        <f aca="false">IF(OR($A27="",N(M27)=0),0,CEILING(M27*(1+IF($O27="",Taux_Jur,$O27))-0.005,Pas_Arrondi))</f>
        <v>0</v>
      </c>
      <c r="S27" s="22" t="n">
        <f aca="false">IF(OR($A27="",N(N27)=0),0,CEILING(N27*(1+IF($O27="",Taux_PA,$O27))-0.005,Pas_Arrondi))</f>
        <v>0</v>
      </c>
      <c r="T27" s="22" t="str">
        <f aca="false">IF($A27="","",SUM(K27:N27))</f>
        <v/>
      </c>
      <c r="U27" s="22" t="str">
        <f aca="false">IF($A27="","",SUM(P27:S27))</f>
        <v/>
      </c>
      <c r="V27" s="22" t="str">
        <f aca="false">IF($A27="","",U27-T27)</f>
        <v/>
      </c>
      <c r="W27" s="23" t="str">
        <f aca="false">IF(OR($A27="",N(T27)=0),"",V27/T27)</f>
        <v/>
      </c>
      <c r="X27" s="18"/>
      <c r="Y27" s="18"/>
      <c r="Z27" s="24" t="str">
        <f aca="false">IF(AND($A27&lt;&gt;"",$X27="Oui",OR(Filtre_Masse="Tous les clients à envoyer",$Y27&lt;&gt;"Email")),MAX(Z$1:Z26)+1,"")</f>
        <v/>
      </c>
    </row>
    <row r="28" customFormat="false" ht="15" hidden="false" customHeight="false" outlineLevel="0" collapsed="false">
      <c r="A28" s="18"/>
      <c r="B28" s="18"/>
      <c r="C28" s="18"/>
      <c r="D28" s="18"/>
      <c r="E28" s="18"/>
      <c r="F28" s="18"/>
      <c r="G28" s="18"/>
      <c r="H28" s="19"/>
      <c r="I28" s="18"/>
      <c r="J28" s="18"/>
      <c r="K28" s="20"/>
      <c r="L28" s="20"/>
      <c r="M28" s="20"/>
      <c r="N28" s="20"/>
      <c r="O28" s="21"/>
      <c r="P28" s="22" t="n">
        <f aca="false">IF(OR($A28="",N(K28)=0),0,CEILING(K28*(1+IF($O28="",Taux_Compta,$O28))-0.005,Pas_Arrondi))</f>
        <v>0</v>
      </c>
      <c r="Q28" s="22" t="n">
        <f aca="false">IF(OR($A28="",N(L28)=0),0,CEILING(L28*(1+IF($O28="",Taux_Paye,$O28))-0.005,Pas_Arrondi))</f>
        <v>0</v>
      </c>
      <c r="R28" s="22" t="n">
        <f aca="false">IF(OR($A28="",N(M28)=0),0,CEILING(M28*(1+IF($O28="",Taux_Jur,$O28))-0.005,Pas_Arrondi))</f>
        <v>0</v>
      </c>
      <c r="S28" s="22" t="n">
        <f aca="false">IF(OR($A28="",N(N28)=0),0,CEILING(N28*(1+IF($O28="",Taux_PA,$O28))-0.005,Pas_Arrondi))</f>
        <v>0</v>
      </c>
      <c r="T28" s="22" t="str">
        <f aca="false">IF($A28="","",SUM(K28:N28))</f>
        <v/>
      </c>
      <c r="U28" s="22" t="str">
        <f aca="false">IF($A28="","",SUM(P28:S28))</f>
        <v/>
      </c>
      <c r="V28" s="22" t="str">
        <f aca="false">IF($A28="","",U28-T28)</f>
        <v/>
      </c>
      <c r="W28" s="23" t="str">
        <f aca="false">IF(OR($A28="",N(T28)=0),"",V28/T28)</f>
        <v/>
      </c>
      <c r="X28" s="18"/>
      <c r="Y28" s="18"/>
      <c r="Z28" s="24" t="str">
        <f aca="false">IF(AND($A28&lt;&gt;"",$X28="Oui",OR(Filtre_Masse="Tous les clients à envoyer",$Y28&lt;&gt;"Email")),MAX(Z$1:Z27)+1,"")</f>
        <v/>
      </c>
    </row>
    <row r="29" customFormat="false" ht="15" hidden="false" customHeight="false" outlineLevel="0" collapsed="false">
      <c r="A29" s="18"/>
      <c r="B29" s="18"/>
      <c r="C29" s="18"/>
      <c r="D29" s="18"/>
      <c r="E29" s="18"/>
      <c r="F29" s="18"/>
      <c r="G29" s="18"/>
      <c r="H29" s="19"/>
      <c r="I29" s="18"/>
      <c r="J29" s="18"/>
      <c r="K29" s="20"/>
      <c r="L29" s="20"/>
      <c r="M29" s="20"/>
      <c r="N29" s="20"/>
      <c r="O29" s="21"/>
      <c r="P29" s="22" t="n">
        <f aca="false">IF(OR($A29="",N(K29)=0),0,CEILING(K29*(1+IF($O29="",Taux_Compta,$O29))-0.005,Pas_Arrondi))</f>
        <v>0</v>
      </c>
      <c r="Q29" s="22" t="n">
        <f aca="false">IF(OR($A29="",N(L29)=0),0,CEILING(L29*(1+IF($O29="",Taux_Paye,$O29))-0.005,Pas_Arrondi))</f>
        <v>0</v>
      </c>
      <c r="R29" s="22" t="n">
        <f aca="false">IF(OR($A29="",N(M29)=0),0,CEILING(M29*(1+IF($O29="",Taux_Jur,$O29))-0.005,Pas_Arrondi))</f>
        <v>0</v>
      </c>
      <c r="S29" s="22" t="n">
        <f aca="false">IF(OR($A29="",N(N29)=0),0,CEILING(N29*(1+IF($O29="",Taux_PA,$O29))-0.005,Pas_Arrondi))</f>
        <v>0</v>
      </c>
      <c r="T29" s="22" t="str">
        <f aca="false">IF($A29="","",SUM(K29:N29))</f>
        <v/>
      </c>
      <c r="U29" s="22" t="str">
        <f aca="false">IF($A29="","",SUM(P29:S29))</f>
        <v/>
      </c>
      <c r="V29" s="22" t="str">
        <f aca="false">IF($A29="","",U29-T29)</f>
        <v/>
      </c>
      <c r="W29" s="23" t="str">
        <f aca="false">IF(OR($A29="",N(T29)=0),"",V29/T29)</f>
        <v/>
      </c>
      <c r="X29" s="18"/>
      <c r="Y29" s="18"/>
      <c r="Z29" s="24" t="str">
        <f aca="false">IF(AND($A29&lt;&gt;"",$X29="Oui",OR(Filtre_Masse="Tous les clients à envoyer",$Y29&lt;&gt;"Email")),MAX(Z$1:Z28)+1,"")</f>
        <v/>
      </c>
    </row>
    <row r="30" customFormat="false" ht="15" hidden="false" customHeight="false" outlineLevel="0" collapsed="false">
      <c r="A30" s="18"/>
      <c r="B30" s="18"/>
      <c r="C30" s="18"/>
      <c r="D30" s="18"/>
      <c r="E30" s="18"/>
      <c r="F30" s="18"/>
      <c r="G30" s="18"/>
      <c r="H30" s="19"/>
      <c r="I30" s="18"/>
      <c r="J30" s="18"/>
      <c r="K30" s="20"/>
      <c r="L30" s="20"/>
      <c r="M30" s="20"/>
      <c r="N30" s="20"/>
      <c r="O30" s="21"/>
      <c r="P30" s="22" t="n">
        <f aca="false">IF(OR($A30="",N(K30)=0),0,CEILING(K30*(1+IF($O30="",Taux_Compta,$O30))-0.005,Pas_Arrondi))</f>
        <v>0</v>
      </c>
      <c r="Q30" s="22" t="n">
        <f aca="false">IF(OR($A30="",N(L30)=0),0,CEILING(L30*(1+IF($O30="",Taux_Paye,$O30))-0.005,Pas_Arrondi))</f>
        <v>0</v>
      </c>
      <c r="R30" s="22" t="n">
        <f aca="false">IF(OR($A30="",N(M30)=0),0,CEILING(M30*(1+IF($O30="",Taux_Jur,$O30))-0.005,Pas_Arrondi))</f>
        <v>0</v>
      </c>
      <c r="S30" s="22" t="n">
        <f aca="false">IF(OR($A30="",N(N30)=0),0,CEILING(N30*(1+IF($O30="",Taux_PA,$O30))-0.005,Pas_Arrondi))</f>
        <v>0</v>
      </c>
      <c r="T30" s="22" t="str">
        <f aca="false">IF($A30="","",SUM(K30:N30))</f>
        <v/>
      </c>
      <c r="U30" s="22" t="str">
        <f aca="false">IF($A30="","",SUM(P30:S30))</f>
        <v/>
      </c>
      <c r="V30" s="22" t="str">
        <f aca="false">IF($A30="","",U30-T30)</f>
        <v/>
      </c>
      <c r="W30" s="23" t="str">
        <f aca="false">IF(OR($A30="",N(T30)=0),"",V30/T30)</f>
        <v/>
      </c>
      <c r="X30" s="18"/>
      <c r="Y30" s="18"/>
      <c r="Z30" s="24" t="str">
        <f aca="false">IF(AND($A30&lt;&gt;"",$X30="Oui",OR(Filtre_Masse="Tous les clients à envoyer",$Y30&lt;&gt;"Email")),MAX(Z$1:Z29)+1,"")</f>
        <v/>
      </c>
    </row>
    <row r="31" customFormat="false" ht="15" hidden="false" customHeight="false" outlineLevel="0" collapsed="false">
      <c r="A31" s="18"/>
      <c r="B31" s="18"/>
      <c r="C31" s="18"/>
      <c r="D31" s="18"/>
      <c r="E31" s="18"/>
      <c r="F31" s="18"/>
      <c r="G31" s="18"/>
      <c r="H31" s="19"/>
      <c r="I31" s="18"/>
      <c r="J31" s="18"/>
      <c r="K31" s="20"/>
      <c r="L31" s="20"/>
      <c r="M31" s="20"/>
      <c r="N31" s="20"/>
      <c r="O31" s="21"/>
      <c r="P31" s="22" t="n">
        <f aca="false">IF(OR($A31="",N(K31)=0),0,CEILING(K31*(1+IF($O31="",Taux_Compta,$O31))-0.005,Pas_Arrondi))</f>
        <v>0</v>
      </c>
      <c r="Q31" s="22" t="n">
        <f aca="false">IF(OR($A31="",N(L31)=0),0,CEILING(L31*(1+IF($O31="",Taux_Paye,$O31))-0.005,Pas_Arrondi))</f>
        <v>0</v>
      </c>
      <c r="R31" s="22" t="n">
        <f aca="false">IF(OR($A31="",N(M31)=0),0,CEILING(M31*(1+IF($O31="",Taux_Jur,$O31))-0.005,Pas_Arrondi))</f>
        <v>0</v>
      </c>
      <c r="S31" s="22" t="n">
        <f aca="false">IF(OR($A31="",N(N31)=0),0,CEILING(N31*(1+IF($O31="",Taux_PA,$O31))-0.005,Pas_Arrondi))</f>
        <v>0</v>
      </c>
      <c r="T31" s="22" t="str">
        <f aca="false">IF($A31="","",SUM(K31:N31))</f>
        <v/>
      </c>
      <c r="U31" s="22" t="str">
        <f aca="false">IF($A31="","",SUM(P31:S31))</f>
        <v/>
      </c>
      <c r="V31" s="22" t="str">
        <f aca="false">IF($A31="","",U31-T31)</f>
        <v/>
      </c>
      <c r="W31" s="23" t="str">
        <f aca="false">IF(OR($A31="",N(T31)=0),"",V31/T31)</f>
        <v/>
      </c>
      <c r="X31" s="18"/>
      <c r="Y31" s="18"/>
      <c r="Z31" s="24" t="str">
        <f aca="false">IF(AND($A31&lt;&gt;"",$X31="Oui",OR(Filtre_Masse="Tous les clients à envoyer",$Y31&lt;&gt;"Email")),MAX(Z$1:Z30)+1,"")</f>
        <v/>
      </c>
    </row>
    <row r="32" customFormat="false" ht="15" hidden="false" customHeight="false" outlineLevel="0" collapsed="false">
      <c r="A32" s="18"/>
      <c r="B32" s="18"/>
      <c r="C32" s="18"/>
      <c r="D32" s="18"/>
      <c r="E32" s="18"/>
      <c r="F32" s="18"/>
      <c r="G32" s="18"/>
      <c r="H32" s="19"/>
      <c r="I32" s="18"/>
      <c r="J32" s="18"/>
      <c r="K32" s="20"/>
      <c r="L32" s="20"/>
      <c r="M32" s="20"/>
      <c r="N32" s="20"/>
      <c r="O32" s="21"/>
      <c r="P32" s="22" t="n">
        <f aca="false">IF(OR($A32="",N(K32)=0),0,CEILING(K32*(1+IF($O32="",Taux_Compta,$O32))-0.005,Pas_Arrondi))</f>
        <v>0</v>
      </c>
      <c r="Q32" s="22" t="n">
        <f aca="false">IF(OR($A32="",N(L32)=0),0,CEILING(L32*(1+IF($O32="",Taux_Paye,$O32))-0.005,Pas_Arrondi))</f>
        <v>0</v>
      </c>
      <c r="R32" s="22" t="n">
        <f aca="false">IF(OR($A32="",N(M32)=0),0,CEILING(M32*(1+IF($O32="",Taux_Jur,$O32))-0.005,Pas_Arrondi))</f>
        <v>0</v>
      </c>
      <c r="S32" s="22" t="n">
        <f aca="false">IF(OR($A32="",N(N32)=0),0,CEILING(N32*(1+IF($O32="",Taux_PA,$O32))-0.005,Pas_Arrondi))</f>
        <v>0</v>
      </c>
      <c r="T32" s="22" t="str">
        <f aca="false">IF($A32="","",SUM(K32:N32))</f>
        <v/>
      </c>
      <c r="U32" s="22" t="str">
        <f aca="false">IF($A32="","",SUM(P32:S32))</f>
        <v/>
      </c>
      <c r="V32" s="22" t="str">
        <f aca="false">IF($A32="","",U32-T32)</f>
        <v/>
      </c>
      <c r="W32" s="23" t="str">
        <f aca="false">IF(OR($A32="",N(T32)=0),"",V32/T32)</f>
        <v/>
      </c>
      <c r="X32" s="18"/>
      <c r="Y32" s="18"/>
      <c r="Z32" s="24" t="str">
        <f aca="false">IF(AND($A32&lt;&gt;"",$X32="Oui",OR(Filtre_Masse="Tous les clients à envoyer",$Y32&lt;&gt;"Email")),MAX(Z$1:Z31)+1,"")</f>
        <v/>
      </c>
    </row>
    <row r="33" customFormat="false" ht="15" hidden="false" customHeight="false" outlineLevel="0" collapsed="false">
      <c r="A33" s="18"/>
      <c r="B33" s="18"/>
      <c r="C33" s="18"/>
      <c r="D33" s="18"/>
      <c r="E33" s="18"/>
      <c r="F33" s="18"/>
      <c r="G33" s="18"/>
      <c r="H33" s="19"/>
      <c r="I33" s="18"/>
      <c r="J33" s="18"/>
      <c r="K33" s="20"/>
      <c r="L33" s="20"/>
      <c r="M33" s="20"/>
      <c r="N33" s="20"/>
      <c r="O33" s="21"/>
      <c r="P33" s="22" t="n">
        <f aca="false">IF(OR($A33="",N(K33)=0),0,CEILING(K33*(1+IF($O33="",Taux_Compta,$O33))-0.005,Pas_Arrondi))</f>
        <v>0</v>
      </c>
      <c r="Q33" s="22" t="n">
        <f aca="false">IF(OR($A33="",N(L33)=0),0,CEILING(L33*(1+IF($O33="",Taux_Paye,$O33))-0.005,Pas_Arrondi))</f>
        <v>0</v>
      </c>
      <c r="R33" s="22" t="n">
        <f aca="false">IF(OR($A33="",N(M33)=0),0,CEILING(M33*(1+IF($O33="",Taux_Jur,$O33))-0.005,Pas_Arrondi))</f>
        <v>0</v>
      </c>
      <c r="S33" s="22" t="n">
        <f aca="false">IF(OR($A33="",N(N33)=0),0,CEILING(N33*(1+IF($O33="",Taux_PA,$O33))-0.005,Pas_Arrondi))</f>
        <v>0</v>
      </c>
      <c r="T33" s="22" t="str">
        <f aca="false">IF($A33="","",SUM(K33:N33))</f>
        <v/>
      </c>
      <c r="U33" s="22" t="str">
        <f aca="false">IF($A33="","",SUM(P33:S33))</f>
        <v/>
      </c>
      <c r="V33" s="22" t="str">
        <f aca="false">IF($A33="","",U33-T33)</f>
        <v/>
      </c>
      <c r="W33" s="23" t="str">
        <f aca="false">IF(OR($A33="",N(T33)=0),"",V33/T33)</f>
        <v/>
      </c>
      <c r="X33" s="18"/>
      <c r="Y33" s="18"/>
      <c r="Z33" s="24" t="str">
        <f aca="false">IF(AND($A33&lt;&gt;"",$X33="Oui",OR(Filtre_Masse="Tous les clients à envoyer",$Y33&lt;&gt;"Email")),MAX(Z$1:Z32)+1,"")</f>
        <v/>
      </c>
    </row>
    <row r="34" customFormat="false" ht="15" hidden="false" customHeight="false" outlineLevel="0" collapsed="false">
      <c r="A34" s="18"/>
      <c r="B34" s="18"/>
      <c r="C34" s="18"/>
      <c r="D34" s="18"/>
      <c r="E34" s="18"/>
      <c r="F34" s="18"/>
      <c r="G34" s="18"/>
      <c r="H34" s="19"/>
      <c r="I34" s="18"/>
      <c r="J34" s="18"/>
      <c r="K34" s="20"/>
      <c r="L34" s="20"/>
      <c r="M34" s="20"/>
      <c r="N34" s="20"/>
      <c r="O34" s="21"/>
      <c r="P34" s="22" t="n">
        <f aca="false">IF(OR($A34="",N(K34)=0),0,CEILING(K34*(1+IF($O34="",Taux_Compta,$O34))-0.005,Pas_Arrondi))</f>
        <v>0</v>
      </c>
      <c r="Q34" s="22" t="n">
        <f aca="false">IF(OR($A34="",N(L34)=0),0,CEILING(L34*(1+IF($O34="",Taux_Paye,$O34))-0.005,Pas_Arrondi))</f>
        <v>0</v>
      </c>
      <c r="R34" s="22" t="n">
        <f aca="false">IF(OR($A34="",N(M34)=0),0,CEILING(M34*(1+IF($O34="",Taux_Jur,$O34))-0.005,Pas_Arrondi))</f>
        <v>0</v>
      </c>
      <c r="S34" s="22" t="n">
        <f aca="false">IF(OR($A34="",N(N34)=0),0,CEILING(N34*(1+IF($O34="",Taux_PA,$O34))-0.005,Pas_Arrondi))</f>
        <v>0</v>
      </c>
      <c r="T34" s="22" t="str">
        <f aca="false">IF($A34="","",SUM(K34:N34))</f>
        <v/>
      </c>
      <c r="U34" s="22" t="str">
        <f aca="false">IF($A34="","",SUM(P34:S34))</f>
        <v/>
      </c>
      <c r="V34" s="22" t="str">
        <f aca="false">IF($A34="","",U34-T34)</f>
        <v/>
      </c>
      <c r="W34" s="23" t="str">
        <f aca="false">IF(OR($A34="",N(T34)=0),"",V34/T34)</f>
        <v/>
      </c>
      <c r="X34" s="18"/>
      <c r="Y34" s="18"/>
      <c r="Z34" s="24" t="str">
        <f aca="false">IF(AND($A34&lt;&gt;"",$X34="Oui",OR(Filtre_Masse="Tous les clients à envoyer",$Y34&lt;&gt;"Email")),MAX(Z$1:Z33)+1,"")</f>
        <v/>
      </c>
    </row>
    <row r="35" customFormat="false" ht="15" hidden="false" customHeight="false" outlineLevel="0" collapsed="false">
      <c r="A35" s="18"/>
      <c r="B35" s="18"/>
      <c r="C35" s="18"/>
      <c r="D35" s="18"/>
      <c r="E35" s="18"/>
      <c r="F35" s="18"/>
      <c r="G35" s="18"/>
      <c r="H35" s="19"/>
      <c r="I35" s="18"/>
      <c r="J35" s="18"/>
      <c r="K35" s="20"/>
      <c r="L35" s="20"/>
      <c r="M35" s="20"/>
      <c r="N35" s="20"/>
      <c r="O35" s="21"/>
      <c r="P35" s="22" t="n">
        <f aca="false">IF(OR($A35="",N(K35)=0),0,CEILING(K35*(1+IF($O35="",Taux_Compta,$O35))-0.005,Pas_Arrondi))</f>
        <v>0</v>
      </c>
      <c r="Q35" s="22" t="n">
        <f aca="false">IF(OR($A35="",N(L35)=0),0,CEILING(L35*(1+IF($O35="",Taux_Paye,$O35))-0.005,Pas_Arrondi))</f>
        <v>0</v>
      </c>
      <c r="R35" s="22" t="n">
        <f aca="false">IF(OR($A35="",N(M35)=0),0,CEILING(M35*(1+IF($O35="",Taux_Jur,$O35))-0.005,Pas_Arrondi))</f>
        <v>0</v>
      </c>
      <c r="S35" s="22" t="n">
        <f aca="false">IF(OR($A35="",N(N35)=0),0,CEILING(N35*(1+IF($O35="",Taux_PA,$O35))-0.005,Pas_Arrondi))</f>
        <v>0</v>
      </c>
      <c r="T35" s="22" t="str">
        <f aca="false">IF($A35="","",SUM(K35:N35))</f>
        <v/>
      </c>
      <c r="U35" s="22" t="str">
        <f aca="false">IF($A35="","",SUM(P35:S35))</f>
        <v/>
      </c>
      <c r="V35" s="22" t="str">
        <f aca="false">IF($A35="","",U35-T35)</f>
        <v/>
      </c>
      <c r="W35" s="23" t="str">
        <f aca="false">IF(OR($A35="",N(T35)=0),"",V35/T35)</f>
        <v/>
      </c>
      <c r="X35" s="18"/>
      <c r="Y35" s="18"/>
      <c r="Z35" s="24" t="str">
        <f aca="false">IF(AND($A35&lt;&gt;"",$X35="Oui",OR(Filtre_Masse="Tous les clients à envoyer",$Y35&lt;&gt;"Email")),MAX(Z$1:Z34)+1,"")</f>
        <v/>
      </c>
    </row>
    <row r="36" customFormat="false" ht="15" hidden="false" customHeight="false" outlineLevel="0" collapsed="false">
      <c r="A36" s="18"/>
      <c r="B36" s="18"/>
      <c r="C36" s="18"/>
      <c r="D36" s="18"/>
      <c r="E36" s="18"/>
      <c r="F36" s="18"/>
      <c r="G36" s="18"/>
      <c r="H36" s="19"/>
      <c r="I36" s="18"/>
      <c r="J36" s="18"/>
      <c r="K36" s="20"/>
      <c r="L36" s="20"/>
      <c r="M36" s="20"/>
      <c r="N36" s="20"/>
      <c r="O36" s="21"/>
      <c r="P36" s="22" t="n">
        <f aca="false">IF(OR($A36="",N(K36)=0),0,CEILING(K36*(1+IF($O36="",Taux_Compta,$O36))-0.005,Pas_Arrondi))</f>
        <v>0</v>
      </c>
      <c r="Q36" s="22" t="n">
        <f aca="false">IF(OR($A36="",N(L36)=0),0,CEILING(L36*(1+IF($O36="",Taux_Paye,$O36))-0.005,Pas_Arrondi))</f>
        <v>0</v>
      </c>
      <c r="R36" s="22" t="n">
        <f aca="false">IF(OR($A36="",N(M36)=0),0,CEILING(M36*(1+IF($O36="",Taux_Jur,$O36))-0.005,Pas_Arrondi))</f>
        <v>0</v>
      </c>
      <c r="S36" s="22" t="n">
        <f aca="false">IF(OR($A36="",N(N36)=0),0,CEILING(N36*(1+IF($O36="",Taux_PA,$O36))-0.005,Pas_Arrondi))</f>
        <v>0</v>
      </c>
      <c r="T36" s="22" t="str">
        <f aca="false">IF($A36="","",SUM(K36:N36))</f>
        <v/>
      </c>
      <c r="U36" s="22" t="str">
        <f aca="false">IF($A36="","",SUM(P36:S36))</f>
        <v/>
      </c>
      <c r="V36" s="22" t="str">
        <f aca="false">IF($A36="","",U36-T36)</f>
        <v/>
      </c>
      <c r="W36" s="23" t="str">
        <f aca="false">IF(OR($A36="",N(T36)=0),"",V36/T36)</f>
        <v/>
      </c>
      <c r="X36" s="18"/>
      <c r="Y36" s="18"/>
      <c r="Z36" s="24" t="str">
        <f aca="false">IF(AND($A36&lt;&gt;"",$X36="Oui",OR(Filtre_Masse="Tous les clients à envoyer",$Y36&lt;&gt;"Email")),MAX(Z$1:Z35)+1,"")</f>
        <v/>
      </c>
    </row>
    <row r="37" customFormat="false" ht="15" hidden="false" customHeight="false" outlineLevel="0" collapsed="false">
      <c r="A37" s="18"/>
      <c r="B37" s="18"/>
      <c r="C37" s="18"/>
      <c r="D37" s="18"/>
      <c r="E37" s="18"/>
      <c r="F37" s="18"/>
      <c r="G37" s="18"/>
      <c r="H37" s="19"/>
      <c r="I37" s="18"/>
      <c r="J37" s="18"/>
      <c r="K37" s="20"/>
      <c r="L37" s="20"/>
      <c r="M37" s="20"/>
      <c r="N37" s="20"/>
      <c r="O37" s="21"/>
      <c r="P37" s="22" t="n">
        <f aca="false">IF(OR($A37="",N(K37)=0),0,CEILING(K37*(1+IF($O37="",Taux_Compta,$O37))-0.005,Pas_Arrondi))</f>
        <v>0</v>
      </c>
      <c r="Q37" s="22" t="n">
        <f aca="false">IF(OR($A37="",N(L37)=0),0,CEILING(L37*(1+IF($O37="",Taux_Paye,$O37))-0.005,Pas_Arrondi))</f>
        <v>0</v>
      </c>
      <c r="R37" s="22" t="n">
        <f aca="false">IF(OR($A37="",N(M37)=0),0,CEILING(M37*(1+IF($O37="",Taux_Jur,$O37))-0.005,Pas_Arrondi))</f>
        <v>0</v>
      </c>
      <c r="S37" s="22" t="n">
        <f aca="false">IF(OR($A37="",N(N37)=0),0,CEILING(N37*(1+IF($O37="",Taux_PA,$O37))-0.005,Pas_Arrondi))</f>
        <v>0</v>
      </c>
      <c r="T37" s="22" t="str">
        <f aca="false">IF($A37="","",SUM(K37:N37))</f>
        <v/>
      </c>
      <c r="U37" s="22" t="str">
        <f aca="false">IF($A37="","",SUM(P37:S37))</f>
        <v/>
      </c>
      <c r="V37" s="22" t="str">
        <f aca="false">IF($A37="","",U37-T37)</f>
        <v/>
      </c>
      <c r="W37" s="23" t="str">
        <f aca="false">IF(OR($A37="",N(T37)=0),"",V37/T37)</f>
        <v/>
      </c>
      <c r="X37" s="18"/>
      <c r="Y37" s="18"/>
      <c r="Z37" s="24" t="str">
        <f aca="false">IF(AND($A37&lt;&gt;"",$X37="Oui",OR(Filtre_Masse="Tous les clients à envoyer",$Y37&lt;&gt;"Email")),MAX(Z$1:Z36)+1,"")</f>
        <v/>
      </c>
    </row>
    <row r="38" customFormat="false" ht="15" hidden="false" customHeight="false" outlineLevel="0" collapsed="false">
      <c r="A38" s="18"/>
      <c r="B38" s="18"/>
      <c r="C38" s="18"/>
      <c r="D38" s="18"/>
      <c r="E38" s="18"/>
      <c r="F38" s="18"/>
      <c r="G38" s="18"/>
      <c r="H38" s="19"/>
      <c r="I38" s="18"/>
      <c r="J38" s="18"/>
      <c r="K38" s="20"/>
      <c r="L38" s="20"/>
      <c r="M38" s="20"/>
      <c r="N38" s="20"/>
      <c r="O38" s="21"/>
      <c r="P38" s="22" t="n">
        <f aca="false">IF(OR($A38="",N(K38)=0),0,CEILING(K38*(1+IF($O38="",Taux_Compta,$O38))-0.005,Pas_Arrondi))</f>
        <v>0</v>
      </c>
      <c r="Q38" s="22" t="n">
        <f aca="false">IF(OR($A38="",N(L38)=0),0,CEILING(L38*(1+IF($O38="",Taux_Paye,$O38))-0.005,Pas_Arrondi))</f>
        <v>0</v>
      </c>
      <c r="R38" s="22" t="n">
        <f aca="false">IF(OR($A38="",N(M38)=0),0,CEILING(M38*(1+IF($O38="",Taux_Jur,$O38))-0.005,Pas_Arrondi))</f>
        <v>0</v>
      </c>
      <c r="S38" s="22" t="n">
        <f aca="false">IF(OR($A38="",N(N38)=0),0,CEILING(N38*(1+IF($O38="",Taux_PA,$O38))-0.005,Pas_Arrondi))</f>
        <v>0</v>
      </c>
      <c r="T38" s="22" t="str">
        <f aca="false">IF($A38="","",SUM(K38:N38))</f>
        <v/>
      </c>
      <c r="U38" s="22" t="str">
        <f aca="false">IF($A38="","",SUM(P38:S38))</f>
        <v/>
      </c>
      <c r="V38" s="22" t="str">
        <f aca="false">IF($A38="","",U38-T38)</f>
        <v/>
      </c>
      <c r="W38" s="23" t="str">
        <f aca="false">IF(OR($A38="",N(T38)=0),"",V38/T38)</f>
        <v/>
      </c>
      <c r="X38" s="18"/>
      <c r="Y38" s="18"/>
      <c r="Z38" s="24" t="str">
        <f aca="false">IF(AND($A38&lt;&gt;"",$X38="Oui",OR(Filtre_Masse="Tous les clients à envoyer",$Y38&lt;&gt;"Email")),MAX(Z$1:Z37)+1,"")</f>
        <v/>
      </c>
    </row>
    <row r="39" customFormat="false" ht="15" hidden="false" customHeight="false" outlineLevel="0" collapsed="false">
      <c r="A39" s="18"/>
      <c r="B39" s="18"/>
      <c r="C39" s="18"/>
      <c r="D39" s="18"/>
      <c r="E39" s="18"/>
      <c r="F39" s="18"/>
      <c r="G39" s="18"/>
      <c r="H39" s="19"/>
      <c r="I39" s="18"/>
      <c r="J39" s="18"/>
      <c r="K39" s="20"/>
      <c r="L39" s="20"/>
      <c r="M39" s="20"/>
      <c r="N39" s="20"/>
      <c r="O39" s="21"/>
      <c r="P39" s="22" t="n">
        <f aca="false">IF(OR($A39="",N(K39)=0),0,CEILING(K39*(1+IF($O39="",Taux_Compta,$O39))-0.005,Pas_Arrondi))</f>
        <v>0</v>
      </c>
      <c r="Q39" s="22" t="n">
        <f aca="false">IF(OR($A39="",N(L39)=0),0,CEILING(L39*(1+IF($O39="",Taux_Paye,$O39))-0.005,Pas_Arrondi))</f>
        <v>0</v>
      </c>
      <c r="R39" s="22" t="n">
        <f aca="false">IF(OR($A39="",N(M39)=0),0,CEILING(M39*(1+IF($O39="",Taux_Jur,$O39))-0.005,Pas_Arrondi))</f>
        <v>0</v>
      </c>
      <c r="S39" s="22" t="n">
        <f aca="false">IF(OR($A39="",N(N39)=0),0,CEILING(N39*(1+IF($O39="",Taux_PA,$O39))-0.005,Pas_Arrondi))</f>
        <v>0</v>
      </c>
      <c r="T39" s="22" t="str">
        <f aca="false">IF($A39="","",SUM(K39:N39))</f>
        <v/>
      </c>
      <c r="U39" s="22" t="str">
        <f aca="false">IF($A39="","",SUM(P39:S39))</f>
        <v/>
      </c>
      <c r="V39" s="22" t="str">
        <f aca="false">IF($A39="","",U39-T39)</f>
        <v/>
      </c>
      <c r="W39" s="23" t="str">
        <f aca="false">IF(OR($A39="",N(T39)=0),"",V39/T39)</f>
        <v/>
      </c>
      <c r="X39" s="18"/>
      <c r="Y39" s="18"/>
      <c r="Z39" s="24" t="str">
        <f aca="false">IF(AND($A39&lt;&gt;"",$X39="Oui",OR(Filtre_Masse="Tous les clients à envoyer",$Y39&lt;&gt;"Email")),MAX(Z$1:Z38)+1,"")</f>
        <v/>
      </c>
    </row>
    <row r="40" customFormat="false" ht="15" hidden="false" customHeight="false" outlineLevel="0" collapsed="false">
      <c r="A40" s="18"/>
      <c r="B40" s="18"/>
      <c r="C40" s="18"/>
      <c r="D40" s="18"/>
      <c r="E40" s="18"/>
      <c r="F40" s="18"/>
      <c r="G40" s="18"/>
      <c r="H40" s="19"/>
      <c r="I40" s="18"/>
      <c r="J40" s="18"/>
      <c r="K40" s="20"/>
      <c r="L40" s="20"/>
      <c r="M40" s="20"/>
      <c r="N40" s="20"/>
      <c r="O40" s="21"/>
      <c r="P40" s="22" t="n">
        <f aca="false">IF(OR($A40="",N(K40)=0),0,CEILING(K40*(1+IF($O40="",Taux_Compta,$O40))-0.005,Pas_Arrondi))</f>
        <v>0</v>
      </c>
      <c r="Q40" s="22" t="n">
        <f aca="false">IF(OR($A40="",N(L40)=0),0,CEILING(L40*(1+IF($O40="",Taux_Paye,$O40))-0.005,Pas_Arrondi))</f>
        <v>0</v>
      </c>
      <c r="R40" s="22" t="n">
        <f aca="false">IF(OR($A40="",N(M40)=0),0,CEILING(M40*(1+IF($O40="",Taux_Jur,$O40))-0.005,Pas_Arrondi))</f>
        <v>0</v>
      </c>
      <c r="S40" s="22" t="n">
        <f aca="false">IF(OR($A40="",N(N40)=0),0,CEILING(N40*(1+IF($O40="",Taux_PA,$O40))-0.005,Pas_Arrondi))</f>
        <v>0</v>
      </c>
      <c r="T40" s="22" t="str">
        <f aca="false">IF($A40="","",SUM(K40:N40))</f>
        <v/>
      </c>
      <c r="U40" s="22" t="str">
        <f aca="false">IF($A40="","",SUM(P40:S40))</f>
        <v/>
      </c>
      <c r="V40" s="22" t="str">
        <f aca="false">IF($A40="","",U40-T40)</f>
        <v/>
      </c>
      <c r="W40" s="23" t="str">
        <f aca="false">IF(OR($A40="",N(T40)=0),"",V40/T40)</f>
        <v/>
      </c>
      <c r="X40" s="18"/>
      <c r="Y40" s="18"/>
      <c r="Z40" s="24" t="str">
        <f aca="false">IF(AND($A40&lt;&gt;"",$X40="Oui",OR(Filtre_Masse="Tous les clients à envoyer",$Y40&lt;&gt;"Email")),MAX(Z$1:Z39)+1,"")</f>
        <v/>
      </c>
    </row>
    <row r="41" customFormat="false" ht="15" hidden="false" customHeight="false" outlineLevel="0" collapsed="false">
      <c r="A41" s="18"/>
      <c r="B41" s="18"/>
      <c r="C41" s="18"/>
      <c r="D41" s="18"/>
      <c r="E41" s="18"/>
      <c r="F41" s="18"/>
      <c r="G41" s="18"/>
      <c r="H41" s="19"/>
      <c r="I41" s="18"/>
      <c r="J41" s="18"/>
      <c r="K41" s="20"/>
      <c r="L41" s="20"/>
      <c r="M41" s="20"/>
      <c r="N41" s="20"/>
      <c r="O41" s="21"/>
      <c r="P41" s="22" t="n">
        <f aca="false">IF(OR($A41="",N(K41)=0),0,CEILING(K41*(1+IF($O41="",Taux_Compta,$O41))-0.005,Pas_Arrondi))</f>
        <v>0</v>
      </c>
      <c r="Q41" s="22" t="n">
        <f aca="false">IF(OR($A41="",N(L41)=0),0,CEILING(L41*(1+IF($O41="",Taux_Paye,$O41))-0.005,Pas_Arrondi))</f>
        <v>0</v>
      </c>
      <c r="R41" s="22" t="n">
        <f aca="false">IF(OR($A41="",N(M41)=0),0,CEILING(M41*(1+IF($O41="",Taux_Jur,$O41))-0.005,Pas_Arrondi))</f>
        <v>0</v>
      </c>
      <c r="S41" s="22" t="n">
        <f aca="false">IF(OR($A41="",N(N41)=0),0,CEILING(N41*(1+IF($O41="",Taux_PA,$O41))-0.005,Pas_Arrondi))</f>
        <v>0</v>
      </c>
      <c r="T41" s="22" t="str">
        <f aca="false">IF($A41="","",SUM(K41:N41))</f>
        <v/>
      </c>
      <c r="U41" s="22" t="str">
        <f aca="false">IF($A41="","",SUM(P41:S41))</f>
        <v/>
      </c>
      <c r="V41" s="22" t="str">
        <f aca="false">IF($A41="","",U41-T41)</f>
        <v/>
      </c>
      <c r="W41" s="23" t="str">
        <f aca="false">IF(OR($A41="",N(T41)=0),"",V41/T41)</f>
        <v/>
      </c>
      <c r="X41" s="18"/>
      <c r="Y41" s="18"/>
      <c r="Z41" s="24" t="str">
        <f aca="false">IF(AND($A41&lt;&gt;"",$X41="Oui",OR(Filtre_Masse="Tous les clients à envoyer",$Y41&lt;&gt;"Email")),MAX(Z$1:Z40)+1,"")</f>
        <v/>
      </c>
    </row>
    <row r="42" customFormat="false" ht="15" hidden="false" customHeight="false" outlineLevel="0" collapsed="false">
      <c r="A42" s="18"/>
      <c r="B42" s="18"/>
      <c r="C42" s="18"/>
      <c r="D42" s="18"/>
      <c r="E42" s="18"/>
      <c r="F42" s="18"/>
      <c r="G42" s="18"/>
      <c r="H42" s="19"/>
      <c r="I42" s="18"/>
      <c r="J42" s="18"/>
      <c r="K42" s="20"/>
      <c r="L42" s="20"/>
      <c r="M42" s="20"/>
      <c r="N42" s="20"/>
      <c r="O42" s="21"/>
      <c r="P42" s="22" t="n">
        <f aca="false">IF(OR($A42="",N(K42)=0),0,CEILING(K42*(1+IF($O42="",Taux_Compta,$O42))-0.005,Pas_Arrondi))</f>
        <v>0</v>
      </c>
      <c r="Q42" s="22" t="n">
        <f aca="false">IF(OR($A42="",N(L42)=0),0,CEILING(L42*(1+IF($O42="",Taux_Paye,$O42))-0.005,Pas_Arrondi))</f>
        <v>0</v>
      </c>
      <c r="R42" s="22" t="n">
        <f aca="false">IF(OR($A42="",N(M42)=0),0,CEILING(M42*(1+IF($O42="",Taux_Jur,$O42))-0.005,Pas_Arrondi))</f>
        <v>0</v>
      </c>
      <c r="S42" s="22" t="n">
        <f aca="false">IF(OR($A42="",N(N42)=0),0,CEILING(N42*(1+IF($O42="",Taux_PA,$O42))-0.005,Pas_Arrondi))</f>
        <v>0</v>
      </c>
      <c r="T42" s="22" t="str">
        <f aca="false">IF($A42="","",SUM(K42:N42))</f>
        <v/>
      </c>
      <c r="U42" s="22" t="str">
        <f aca="false">IF($A42="","",SUM(P42:S42))</f>
        <v/>
      </c>
      <c r="V42" s="22" t="str">
        <f aca="false">IF($A42="","",U42-T42)</f>
        <v/>
      </c>
      <c r="W42" s="23" t="str">
        <f aca="false">IF(OR($A42="",N(T42)=0),"",V42/T42)</f>
        <v/>
      </c>
      <c r="X42" s="18"/>
      <c r="Y42" s="18"/>
      <c r="Z42" s="24" t="str">
        <f aca="false">IF(AND($A42&lt;&gt;"",$X42="Oui",OR(Filtre_Masse="Tous les clients à envoyer",$Y42&lt;&gt;"Email")),MAX(Z$1:Z41)+1,"")</f>
        <v/>
      </c>
    </row>
    <row r="43" customFormat="false" ht="15" hidden="false" customHeight="false" outlineLevel="0" collapsed="false">
      <c r="A43" s="18"/>
      <c r="B43" s="18"/>
      <c r="C43" s="18"/>
      <c r="D43" s="18"/>
      <c r="E43" s="18"/>
      <c r="F43" s="18"/>
      <c r="G43" s="18"/>
      <c r="H43" s="19"/>
      <c r="I43" s="18"/>
      <c r="J43" s="18"/>
      <c r="K43" s="20"/>
      <c r="L43" s="20"/>
      <c r="M43" s="20"/>
      <c r="N43" s="20"/>
      <c r="O43" s="21"/>
      <c r="P43" s="22" t="n">
        <f aca="false">IF(OR($A43="",N(K43)=0),0,CEILING(K43*(1+IF($O43="",Taux_Compta,$O43))-0.005,Pas_Arrondi))</f>
        <v>0</v>
      </c>
      <c r="Q43" s="22" t="n">
        <f aca="false">IF(OR($A43="",N(L43)=0),0,CEILING(L43*(1+IF($O43="",Taux_Paye,$O43))-0.005,Pas_Arrondi))</f>
        <v>0</v>
      </c>
      <c r="R43" s="22" t="n">
        <f aca="false">IF(OR($A43="",N(M43)=0),0,CEILING(M43*(1+IF($O43="",Taux_Jur,$O43))-0.005,Pas_Arrondi))</f>
        <v>0</v>
      </c>
      <c r="S43" s="22" t="n">
        <f aca="false">IF(OR($A43="",N(N43)=0),0,CEILING(N43*(1+IF($O43="",Taux_PA,$O43))-0.005,Pas_Arrondi))</f>
        <v>0</v>
      </c>
      <c r="T43" s="22" t="str">
        <f aca="false">IF($A43="","",SUM(K43:N43))</f>
        <v/>
      </c>
      <c r="U43" s="22" t="str">
        <f aca="false">IF($A43="","",SUM(P43:S43))</f>
        <v/>
      </c>
      <c r="V43" s="22" t="str">
        <f aca="false">IF($A43="","",U43-T43)</f>
        <v/>
      </c>
      <c r="W43" s="23" t="str">
        <f aca="false">IF(OR($A43="",N(T43)=0),"",V43/T43)</f>
        <v/>
      </c>
      <c r="X43" s="18"/>
      <c r="Y43" s="18"/>
      <c r="Z43" s="24" t="str">
        <f aca="false">IF(AND($A43&lt;&gt;"",$X43="Oui",OR(Filtre_Masse="Tous les clients à envoyer",$Y43&lt;&gt;"Email")),MAX(Z$1:Z42)+1,"")</f>
        <v/>
      </c>
    </row>
    <row r="44" customFormat="false" ht="15" hidden="false" customHeight="false" outlineLevel="0" collapsed="false">
      <c r="A44" s="18"/>
      <c r="B44" s="18"/>
      <c r="C44" s="18"/>
      <c r="D44" s="18"/>
      <c r="E44" s="18"/>
      <c r="F44" s="18"/>
      <c r="G44" s="18"/>
      <c r="H44" s="19"/>
      <c r="I44" s="18"/>
      <c r="J44" s="18"/>
      <c r="K44" s="20"/>
      <c r="L44" s="20"/>
      <c r="M44" s="20"/>
      <c r="N44" s="20"/>
      <c r="O44" s="21"/>
      <c r="P44" s="22" t="n">
        <f aca="false">IF(OR($A44="",N(K44)=0),0,CEILING(K44*(1+IF($O44="",Taux_Compta,$O44))-0.005,Pas_Arrondi))</f>
        <v>0</v>
      </c>
      <c r="Q44" s="22" t="n">
        <f aca="false">IF(OR($A44="",N(L44)=0),0,CEILING(L44*(1+IF($O44="",Taux_Paye,$O44))-0.005,Pas_Arrondi))</f>
        <v>0</v>
      </c>
      <c r="R44" s="22" t="n">
        <f aca="false">IF(OR($A44="",N(M44)=0),0,CEILING(M44*(1+IF($O44="",Taux_Jur,$O44))-0.005,Pas_Arrondi))</f>
        <v>0</v>
      </c>
      <c r="S44" s="22" t="n">
        <f aca="false">IF(OR($A44="",N(N44)=0),0,CEILING(N44*(1+IF($O44="",Taux_PA,$O44))-0.005,Pas_Arrondi))</f>
        <v>0</v>
      </c>
      <c r="T44" s="22" t="str">
        <f aca="false">IF($A44="","",SUM(K44:N44))</f>
        <v/>
      </c>
      <c r="U44" s="22" t="str">
        <f aca="false">IF($A44="","",SUM(P44:S44))</f>
        <v/>
      </c>
      <c r="V44" s="22" t="str">
        <f aca="false">IF($A44="","",U44-T44)</f>
        <v/>
      </c>
      <c r="W44" s="23" t="str">
        <f aca="false">IF(OR($A44="",N(T44)=0),"",V44/T44)</f>
        <v/>
      </c>
      <c r="X44" s="18"/>
      <c r="Y44" s="18"/>
      <c r="Z44" s="24" t="str">
        <f aca="false">IF(AND($A44&lt;&gt;"",$X44="Oui",OR(Filtre_Masse="Tous les clients à envoyer",$Y44&lt;&gt;"Email")),MAX(Z$1:Z43)+1,"")</f>
        <v/>
      </c>
    </row>
    <row r="45" customFormat="false" ht="15" hidden="false" customHeight="false" outlineLevel="0" collapsed="false">
      <c r="A45" s="18"/>
      <c r="B45" s="18"/>
      <c r="C45" s="18"/>
      <c r="D45" s="18"/>
      <c r="E45" s="18"/>
      <c r="F45" s="18"/>
      <c r="G45" s="18"/>
      <c r="H45" s="19"/>
      <c r="I45" s="18"/>
      <c r="J45" s="18"/>
      <c r="K45" s="20"/>
      <c r="L45" s="20"/>
      <c r="M45" s="20"/>
      <c r="N45" s="20"/>
      <c r="O45" s="21"/>
      <c r="P45" s="22" t="n">
        <f aca="false">IF(OR($A45="",N(K45)=0),0,CEILING(K45*(1+IF($O45="",Taux_Compta,$O45))-0.005,Pas_Arrondi))</f>
        <v>0</v>
      </c>
      <c r="Q45" s="22" t="n">
        <f aca="false">IF(OR($A45="",N(L45)=0),0,CEILING(L45*(1+IF($O45="",Taux_Paye,$O45))-0.005,Pas_Arrondi))</f>
        <v>0</v>
      </c>
      <c r="R45" s="22" t="n">
        <f aca="false">IF(OR($A45="",N(M45)=0),0,CEILING(M45*(1+IF($O45="",Taux_Jur,$O45))-0.005,Pas_Arrondi))</f>
        <v>0</v>
      </c>
      <c r="S45" s="22" t="n">
        <f aca="false">IF(OR($A45="",N(N45)=0),0,CEILING(N45*(1+IF($O45="",Taux_PA,$O45))-0.005,Pas_Arrondi))</f>
        <v>0</v>
      </c>
      <c r="T45" s="22" t="str">
        <f aca="false">IF($A45="","",SUM(K45:N45))</f>
        <v/>
      </c>
      <c r="U45" s="22" t="str">
        <f aca="false">IF($A45="","",SUM(P45:S45))</f>
        <v/>
      </c>
      <c r="V45" s="22" t="str">
        <f aca="false">IF($A45="","",U45-T45)</f>
        <v/>
      </c>
      <c r="W45" s="23" t="str">
        <f aca="false">IF(OR($A45="",N(T45)=0),"",V45/T45)</f>
        <v/>
      </c>
      <c r="X45" s="18"/>
      <c r="Y45" s="18"/>
      <c r="Z45" s="24" t="str">
        <f aca="false">IF(AND($A45&lt;&gt;"",$X45="Oui",OR(Filtre_Masse="Tous les clients à envoyer",$Y45&lt;&gt;"Email")),MAX(Z$1:Z44)+1,"")</f>
        <v/>
      </c>
    </row>
    <row r="46" customFormat="false" ht="15" hidden="false" customHeight="false" outlineLevel="0" collapsed="false">
      <c r="A46" s="18"/>
      <c r="B46" s="18"/>
      <c r="C46" s="18"/>
      <c r="D46" s="18"/>
      <c r="E46" s="18"/>
      <c r="F46" s="18"/>
      <c r="G46" s="18"/>
      <c r="H46" s="19"/>
      <c r="I46" s="18"/>
      <c r="J46" s="18"/>
      <c r="K46" s="20"/>
      <c r="L46" s="20"/>
      <c r="M46" s="20"/>
      <c r="N46" s="20"/>
      <c r="O46" s="21"/>
      <c r="P46" s="22" t="n">
        <f aca="false">IF(OR($A46="",N(K46)=0),0,CEILING(K46*(1+IF($O46="",Taux_Compta,$O46))-0.005,Pas_Arrondi))</f>
        <v>0</v>
      </c>
      <c r="Q46" s="22" t="n">
        <f aca="false">IF(OR($A46="",N(L46)=0),0,CEILING(L46*(1+IF($O46="",Taux_Paye,$O46))-0.005,Pas_Arrondi))</f>
        <v>0</v>
      </c>
      <c r="R46" s="22" t="n">
        <f aca="false">IF(OR($A46="",N(M46)=0),0,CEILING(M46*(1+IF($O46="",Taux_Jur,$O46))-0.005,Pas_Arrondi))</f>
        <v>0</v>
      </c>
      <c r="S46" s="22" t="n">
        <f aca="false">IF(OR($A46="",N(N46)=0),0,CEILING(N46*(1+IF($O46="",Taux_PA,$O46))-0.005,Pas_Arrondi))</f>
        <v>0</v>
      </c>
      <c r="T46" s="22" t="str">
        <f aca="false">IF($A46="","",SUM(K46:N46))</f>
        <v/>
      </c>
      <c r="U46" s="22" t="str">
        <f aca="false">IF($A46="","",SUM(P46:S46))</f>
        <v/>
      </c>
      <c r="V46" s="22" t="str">
        <f aca="false">IF($A46="","",U46-T46)</f>
        <v/>
      </c>
      <c r="W46" s="23" t="str">
        <f aca="false">IF(OR($A46="",N(T46)=0),"",V46/T46)</f>
        <v/>
      </c>
      <c r="X46" s="18"/>
      <c r="Y46" s="18"/>
      <c r="Z46" s="24" t="str">
        <f aca="false">IF(AND($A46&lt;&gt;"",$X46="Oui",OR(Filtre_Masse="Tous les clients à envoyer",$Y46&lt;&gt;"Email")),MAX(Z$1:Z45)+1,"")</f>
        <v/>
      </c>
    </row>
    <row r="47" customFormat="false" ht="15" hidden="false" customHeight="false" outlineLevel="0" collapsed="false">
      <c r="A47" s="18"/>
      <c r="B47" s="18"/>
      <c r="C47" s="18"/>
      <c r="D47" s="18"/>
      <c r="E47" s="18"/>
      <c r="F47" s="18"/>
      <c r="G47" s="18"/>
      <c r="H47" s="19"/>
      <c r="I47" s="18"/>
      <c r="J47" s="18"/>
      <c r="K47" s="20"/>
      <c r="L47" s="20"/>
      <c r="M47" s="20"/>
      <c r="N47" s="20"/>
      <c r="O47" s="21"/>
      <c r="P47" s="22" t="n">
        <f aca="false">IF(OR($A47="",N(K47)=0),0,CEILING(K47*(1+IF($O47="",Taux_Compta,$O47))-0.005,Pas_Arrondi))</f>
        <v>0</v>
      </c>
      <c r="Q47" s="22" t="n">
        <f aca="false">IF(OR($A47="",N(L47)=0),0,CEILING(L47*(1+IF($O47="",Taux_Paye,$O47))-0.005,Pas_Arrondi))</f>
        <v>0</v>
      </c>
      <c r="R47" s="22" t="n">
        <f aca="false">IF(OR($A47="",N(M47)=0),0,CEILING(M47*(1+IF($O47="",Taux_Jur,$O47))-0.005,Pas_Arrondi))</f>
        <v>0</v>
      </c>
      <c r="S47" s="22" t="n">
        <f aca="false">IF(OR($A47="",N(N47)=0),0,CEILING(N47*(1+IF($O47="",Taux_PA,$O47))-0.005,Pas_Arrondi))</f>
        <v>0</v>
      </c>
      <c r="T47" s="22" t="str">
        <f aca="false">IF($A47="","",SUM(K47:N47))</f>
        <v/>
      </c>
      <c r="U47" s="22" t="str">
        <f aca="false">IF($A47="","",SUM(P47:S47))</f>
        <v/>
      </c>
      <c r="V47" s="22" t="str">
        <f aca="false">IF($A47="","",U47-T47)</f>
        <v/>
      </c>
      <c r="W47" s="23" t="str">
        <f aca="false">IF(OR($A47="",N(T47)=0),"",V47/T47)</f>
        <v/>
      </c>
      <c r="X47" s="18"/>
      <c r="Y47" s="18"/>
      <c r="Z47" s="24" t="str">
        <f aca="false">IF(AND($A47&lt;&gt;"",$X47="Oui",OR(Filtre_Masse="Tous les clients à envoyer",$Y47&lt;&gt;"Email")),MAX(Z$1:Z46)+1,"")</f>
        <v/>
      </c>
    </row>
    <row r="48" customFormat="false" ht="15" hidden="false" customHeight="false" outlineLevel="0" collapsed="false">
      <c r="A48" s="18"/>
      <c r="B48" s="18"/>
      <c r="C48" s="18"/>
      <c r="D48" s="18"/>
      <c r="E48" s="18"/>
      <c r="F48" s="18"/>
      <c r="G48" s="18"/>
      <c r="H48" s="19"/>
      <c r="I48" s="18"/>
      <c r="J48" s="18"/>
      <c r="K48" s="20"/>
      <c r="L48" s="20"/>
      <c r="M48" s="20"/>
      <c r="N48" s="20"/>
      <c r="O48" s="21"/>
      <c r="P48" s="22" t="n">
        <f aca="false">IF(OR($A48="",N(K48)=0),0,CEILING(K48*(1+IF($O48="",Taux_Compta,$O48))-0.005,Pas_Arrondi))</f>
        <v>0</v>
      </c>
      <c r="Q48" s="22" t="n">
        <f aca="false">IF(OR($A48="",N(L48)=0),0,CEILING(L48*(1+IF($O48="",Taux_Paye,$O48))-0.005,Pas_Arrondi))</f>
        <v>0</v>
      </c>
      <c r="R48" s="22" t="n">
        <f aca="false">IF(OR($A48="",N(M48)=0),0,CEILING(M48*(1+IF($O48="",Taux_Jur,$O48))-0.005,Pas_Arrondi))</f>
        <v>0</v>
      </c>
      <c r="S48" s="22" t="n">
        <f aca="false">IF(OR($A48="",N(N48)=0),0,CEILING(N48*(1+IF($O48="",Taux_PA,$O48))-0.005,Pas_Arrondi))</f>
        <v>0</v>
      </c>
      <c r="T48" s="22" t="str">
        <f aca="false">IF($A48="","",SUM(K48:N48))</f>
        <v/>
      </c>
      <c r="U48" s="22" t="str">
        <f aca="false">IF($A48="","",SUM(P48:S48))</f>
        <v/>
      </c>
      <c r="V48" s="22" t="str">
        <f aca="false">IF($A48="","",U48-T48)</f>
        <v/>
      </c>
      <c r="W48" s="23" t="str">
        <f aca="false">IF(OR($A48="",N(T48)=0),"",V48/T48)</f>
        <v/>
      </c>
      <c r="X48" s="18"/>
      <c r="Y48" s="18"/>
      <c r="Z48" s="24" t="str">
        <f aca="false">IF(AND($A48&lt;&gt;"",$X48="Oui",OR(Filtre_Masse="Tous les clients à envoyer",$Y48&lt;&gt;"Email")),MAX(Z$1:Z47)+1,"")</f>
        <v/>
      </c>
    </row>
    <row r="49" customFormat="false" ht="15" hidden="false" customHeight="false" outlineLevel="0" collapsed="false">
      <c r="A49" s="18"/>
      <c r="B49" s="18"/>
      <c r="C49" s="18"/>
      <c r="D49" s="18"/>
      <c r="E49" s="18"/>
      <c r="F49" s="18"/>
      <c r="G49" s="18"/>
      <c r="H49" s="19"/>
      <c r="I49" s="18"/>
      <c r="J49" s="18"/>
      <c r="K49" s="20"/>
      <c r="L49" s="20"/>
      <c r="M49" s="20"/>
      <c r="N49" s="20"/>
      <c r="O49" s="21"/>
      <c r="P49" s="22" t="n">
        <f aca="false">IF(OR($A49="",N(K49)=0),0,CEILING(K49*(1+IF($O49="",Taux_Compta,$O49))-0.005,Pas_Arrondi))</f>
        <v>0</v>
      </c>
      <c r="Q49" s="22" t="n">
        <f aca="false">IF(OR($A49="",N(L49)=0),0,CEILING(L49*(1+IF($O49="",Taux_Paye,$O49))-0.005,Pas_Arrondi))</f>
        <v>0</v>
      </c>
      <c r="R49" s="22" t="n">
        <f aca="false">IF(OR($A49="",N(M49)=0),0,CEILING(M49*(1+IF($O49="",Taux_Jur,$O49))-0.005,Pas_Arrondi))</f>
        <v>0</v>
      </c>
      <c r="S49" s="22" t="n">
        <f aca="false">IF(OR($A49="",N(N49)=0),0,CEILING(N49*(1+IF($O49="",Taux_PA,$O49))-0.005,Pas_Arrondi))</f>
        <v>0</v>
      </c>
      <c r="T49" s="22" t="str">
        <f aca="false">IF($A49="","",SUM(K49:N49))</f>
        <v/>
      </c>
      <c r="U49" s="22" t="str">
        <f aca="false">IF($A49="","",SUM(P49:S49))</f>
        <v/>
      </c>
      <c r="V49" s="22" t="str">
        <f aca="false">IF($A49="","",U49-T49)</f>
        <v/>
      </c>
      <c r="W49" s="23" t="str">
        <f aca="false">IF(OR($A49="",N(T49)=0),"",V49/T49)</f>
        <v/>
      </c>
      <c r="X49" s="18"/>
      <c r="Y49" s="18"/>
      <c r="Z49" s="24" t="str">
        <f aca="false">IF(AND($A49&lt;&gt;"",$X49="Oui",OR(Filtre_Masse="Tous les clients à envoyer",$Y49&lt;&gt;"Email")),MAX(Z$1:Z48)+1,"")</f>
        <v/>
      </c>
    </row>
    <row r="50" customFormat="false" ht="15" hidden="false" customHeight="false" outlineLevel="0" collapsed="false">
      <c r="A50" s="18"/>
      <c r="B50" s="18"/>
      <c r="C50" s="18"/>
      <c r="D50" s="18"/>
      <c r="E50" s="18"/>
      <c r="F50" s="18"/>
      <c r="G50" s="18"/>
      <c r="H50" s="19"/>
      <c r="I50" s="18"/>
      <c r="J50" s="18"/>
      <c r="K50" s="20"/>
      <c r="L50" s="20"/>
      <c r="M50" s="20"/>
      <c r="N50" s="20"/>
      <c r="O50" s="21"/>
      <c r="P50" s="22" t="n">
        <f aca="false">IF(OR($A50="",N(K50)=0),0,CEILING(K50*(1+IF($O50="",Taux_Compta,$O50))-0.005,Pas_Arrondi))</f>
        <v>0</v>
      </c>
      <c r="Q50" s="22" t="n">
        <f aca="false">IF(OR($A50="",N(L50)=0),0,CEILING(L50*(1+IF($O50="",Taux_Paye,$O50))-0.005,Pas_Arrondi))</f>
        <v>0</v>
      </c>
      <c r="R50" s="22" t="n">
        <f aca="false">IF(OR($A50="",N(M50)=0),0,CEILING(M50*(1+IF($O50="",Taux_Jur,$O50))-0.005,Pas_Arrondi))</f>
        <v>0</v>
      </c>
      <c r="S50" s="22" t="n">
        <f aca="false">IF(OR($A50="",N(N50)=0),0,CEILING(N50*(1+IF($O50="",Taux_PA,$O50))-0.005,Pas_Arrondi))</f>
        <v>0</v>
      </c>
      <c r="T50" s="22" t="str">
        <f aca="false">IF($A50="","",SUM(K50:N50))</f>
        <v/>
      </c>
      <c r="U50" s="22" t="str">
        <f aca="false">IF($A50="","",SUM(P50:S50))</f>
        <v/>
      </c>
      <c r="V50" s="22" t="str">
        <f aca="false">IF($A50="","",U50-T50)</f>
        <v/>
      </c>
      <c r="W50" s="23" t="str">
        <f aca="false">IF(OR($A50="",N(T50)=0),"",V50/T50)</f>
        <v/>
      </c>
      <c r="X50" s="18"/>
      <c r="Y50" s="18"/>
      <c r="Z50" s="24" t="str">
        <f aca="false">IF(AND($A50&lt;&gt;"",$X50="Oui",OR(Filtre_Masse="Tous les clients à envoyer",$Y50&lt;&gt;"Email")),MAX(Z$1:Z49)+1,"")</f>
        <v/>
      </c>
    </row>
    <row r="51" customFormat="false" ht="15" hidden="false" customHeight="false" outlineLevel="0" collapsed="false">
      <c r="A51" s="18"/>
      <c r="B51" s="18"/>
      <c r="C51" s="18"/>
      <c r="D51" s="18"/>
      <c r="E51" s="18"/>
      <c r="F51" s="18"/>
      <c r="G51" s="18"/>
      <c r="H51" s="19"/>
      <c r="I51" s="18"/>
      <c r="J51" s="18"/>
      <c r="K51" s="20"/>
      <c r="L51" s="20"/>
      <c r="M51" s="20"/>
      <c r="N51" s="20"/>
      <c r="O51" s="21"/>
      <c r="P51" s="22" t="n">
        <f aca="false">IF(OR($A51="",N(K51)=0),0,CEILING(K51*(1+IF($O51="",Taux_Compta,$O51))-0.005,Pas_Arrondi))</f>
        <v>0</v>
      </c>
      <c r="Q51" s="22" t="n">
        <f aca="false">IF(OR($A51="",N(L51)=0),0,CEILING(L51*(1+IF($O51="",Taux_Paye,$O51))-0.005,Pas_Arrondi))</f>
        <v>0</v>
      </c>
      <c r="R51" s="22" t="n">
        <f aca="false">IF(OR($A51="",N(M51)=0),0,CEILING(M51*(1+IF($O51="",Taux_Jur,$O51))-0.005,Pas_Arrondi))</f>
        <v>0</v>
      </c>
      <c r="S51" s="22" t="n">
        <f aca="false">IF(OR($A51="",N(N51)=0),0,CEILING(N51*(1+IF($O51="",Taux_PA,$O51))-0.005,Pas_Arrondi))</f>
        <v>0</v>
      </c>
      <c r="T51" s="22" t="str">
        <f aca="false">IF($A51="","",SUM(K51:N51))</f>
        <v/>
      </c>
      <c r="U51" s="22" t="str">
        <f aca="false">IF($A51="","",SUM(P51:S51))</f>
        <v/>
      </c>
      <c r="V51" s="22" t="str">
        <f aca="false">IF($A51="","",U51-T51)</f>
        <v/>
      </c>
      <c r="W51" s="23" t="str">
        <f aca="false">IF(OR($A51="",N(T51)=0),"",V51/T51)</f>
        <v/>
      </c>
      <c r="X51" s="18"/>
      <c r="Y51" s="18"/>
      <c r="Z51" s="24" t="str">
        <f aca="false">IF(AND($A51&lt;&gt;"",$X51="Oui",OR(Filtre_Masse="Tous les clients à envoyer",$Y51&lt;&gt;"Email")),MAX(Z$1:Z50)+1,"")</f>
        <v/>
      </c>
    </row>
    <row r="52" customFormat="false" ht="15" hidden="false" customHeight="false" outlineLevel="0" collapsed="false">
      <c r="A52" s="18"/>
      <c r="B52" s="18"/>
      <c r="C52" s="18"/>
      <c r="D52" s="18"/>
      <c r="E52" s="18"/>
      <c r="F52" s="18"/>
      <c r="G52" s="18"/>
      <c r="H52" s="19"/>
      <c r="I52" s="18"/>
      <c r="J52" s="18"/>
      <c r="K52" s="20"/>
      <c r="L52" s="20"/>
      <c r="M52" s="20"/>
      <c r="N52" s="20"/>
      <c r="O52" s="21"/>
      <c r="P52" s="22" t="n">
        <f aca="false">IF(OR($A52="",N(K52)=0),0,CEILING(K52*(1+IF($O52="",Taux_Compta,$O52))-0.005,Pas_Arrondi))</f>
        <v>0</v>
      </c>
      <c r="Q52" s="22" t="n">
        <f aca="false">IF(OR($A52="",N(L52)=0),0,CEILING(L52*(1+IF($O52="",Taux_Paye,$O52))-0.005,Pas_Arrondi))</f>
        <v>0</v>
      </c>
      <c r="R52" s="22" t="n">
        <f aca="false">IF(OR($A52="",N(M52)=0),0,CEILING(M52*(1+IF($O52="",Taux_Jur,$O52))-0.005,Pas_Arrondi))</f>
        <v>0</v>
      </c>
      <c r="S52" s="22" t="n">
        <f aca="false">IF(OR($A52="",N(N52)=0),0,CEILING(N52*(1+IF($O52="",Taux_PA,$O52))-0.005,Pas_Arrondi))</f>
        <v>0</v>
      </c>
      <c r="T52" s="22" t="str">
        <f aca="false">IF($A52="","",SUM(K52:N52))</f>
        <v/>
      </c>
      <c r="U52" s="22" t="str">
        <f aca="false">IF($A52="","",SUM(P52:S52))</f>
        <v/>
      </c>
      <c r="V52" s="22" t="str">
        <f aca="false">IF($A52="","",U52-T52)</f>
        <v/>
      </c>
      <c r="W52" s="23" t="str">
        <f aca="false">IF(OR($A52="",N(T52)=0),"",V52/T52)</f>
        <v/>
      </c>
      <c r="X52" s="18"/>
      <c r="Y52" s="18"/>
      <c r="Z52" s="24" t="str">
        <f aca="false">IF(AND($A52&lt;&gt;"",$X52="Oui",OR(Filtre_Masse="Tous les clients à envoyer",$Y52&lt;&gt;"Email")),MAX(Z$1:Z51)+1,"")</f>
        <v/>
      </c>
    </row>
    <row r="53" customFormat="false" ht="15" hidden="false" customHeight="false" outlineLevel="0" collapsed="false">
      <c r="A53" s="18"/>
      <c r="B53" s="18"/>
      <c r="C53" s="18"/>
      <c r="D53" s="18"/>
      <c r="E53" s="18"/>
      <c r="F53" s="18"/>
      <c r="G53" s="18"/>
      <c r="H53" s="19"/>
      <c r="I53" s="18"/>
      <c r="J53" s="18"/>
      <c r="K53" s="20"/>
      <c r="L53" s="20"/>
      <c r="M53" s="20"/>
      <c r="N53" s="20"/>
      <c r="O53" s="21"/>
      <c r="P53" s="22" t="n">
        <f aca="false">IF(OR($A53="",N(K53)=0),0,CEILING(K53*(1+IF($O53="",Taux_Compta,$O53))-0.005,Pas_Arrondi))</f>
        <v>0</v>
      </c>
      <c r="Q53" s="22" t="n">
        <f aca="false">IF(OR($A53="",N(L53)=0),0,CEILING(L53*(1+IF($O53="",Taux_Paye,$O53))-0.005,Pas_Arrondi))</f>
        <v>0</v>
      </c>
      <c r="R53" s="22" t="n">
        <f aca="false">IF(OR($A53="",N(M53)=0),0,CEILING(M53*(1+IF($O53="",Taux_Jur,$O53))-0.005,Pas_Arrondi))</f>
        <v>0</v>
      </c>
      <c r="S53" s="22" t="n">
        <f aca="false">IF(OR($A53="",N(N53)=0),0,CEILING(N53*(1+IF($O53="",Taux_PA,$O53))-0.005,Pas_Arrondi))</f>
        <v>0</v>
      </c>
      <c r="T53" s="22" t="str">
        <f aca="false">IF($A53="","",SUM(K53:N53))</f>
        <v/>
      </c>
      <c r="U53" s="22" t="str">
        <f aca="false">IF($A53="","",SUM(P53:S53))</f>
        <v/>
      </c>
      <c r="V53" s="22" t="str">
        <f aca="false">IF($A53="","",U53-T53)</f>
        <v/>
      </c>
      <c r="W53" s="23" t="str">
        <f aca="false">IF(OR($A53="",N(T53)=0),"",V53/T53)</f>
        <v/>
      </c>
      <c r="X53" s="18"/>
      <c r="Y53" s="18"/>
      <c r="Z53" s="24" t="str">
        <f aca="false">IF(AND($A53&lt;&gt;"",$X53="Oui",OR(Filtre_Masse="Tous les clients à envoyer",$Y53&lt;&gt;"Email")),MAX(Z$1:Z52)+1,"")</f>
        <v/>
      </c>
    </row>
    <row r="54" customFormat="false" ht="15" hidden="false" customHeight="false" outlineLevel="0" collapsed="false">
      <c r="A54" s="18"/>
      <c r="B54" s="18"/>
      <c r="C54" s="18"/>
      <c r="D54" s="18"/>
      <c r="E54" s="18"/>
      <c r="F54" s="18"/>
      <c r="G54" s="18"/>
      <c r="H54" s="19"/>
      <c r="I54" s="18"/>
      <c r="J54" s="18"/>
      <c r="K54" s="20"/>
      <c r="L54" s="20"/>
      <c r="M54" s="20"/>
      <c r="N54" s="20"/>
      <c r="O54" s="21"/>
      <c r="P54" s="22" t="n">
        <f aca="false">IF(OR($A54="",N(K54)=0),0,CEILING(K54*(1+IF($O54="",Taux_Compta,$O54))-0.005,Pas_Arrondi))</f>
        <v>0</v>
      </c>
      <c r="Q54" s="22" t="n">
        <f aca="false">IF(OR($A54="",N(L54)=0),0,CEILING(L54*(1+IF($O54="",Taux_Paye,$O54))-0.005,Pas_Arrondi))</f>
        <v>0</v>
      </c>
      <c r="R54" s="22" t="n">
        <f aca="false">IF(OR($A54="",N(M54)=0),0,CEILING(M54*(1+IF($O54="",Taux_Jur,$O54))-0.005,Pas_Arrondi))</f>
        <v>0</v>
      </c>
      <c r="S54" s="22" t="n">
        <f aca="false">IF(OR($A54="",N(N54)=0),0,CEILING(N54*(1+IF($O54="",Taux_PA,$O54))-0.005,Pas_Arrondi))</f>
        <v>0</v>
      </c>
      <c r="T54" s="22" t="str">
        <f aca="false">IF($A54="","",SUM(K54:N54))</f>
        <v/>
      </c>
      <c r="U54" s="22" t="str">
        <f aca="false">IF($A54="","",SUM(P54:S54))</f>
        <v/>
      </c>
      <c r="V54" s="22" t="str">
        <f aca="false">IF($A54="","",U54-T54)</f>
        <v/>
      </c>
      <c r="W54" s="23" t="str">
        <f aca="false">IF(OR($A54="",N(T54)=0),"",V54/T54)</f>
        <v/>
      </c>
      <c r="X54" s="18"/>
      <c r="Y54" s="18"/>
      <c r="Z54" s="24" t="str">
        <f aca="false">IF(AND($A54&lt;&gt;"",$X54="Oui",OR(Filtre_Masse="Tous les clients à envoyer",$Y54&lt;&gt;"Email")),MAX(Z$1:Z53)+1,"")</f>
        <v/>
      </c>
    </row>
    <row r="55" customFormat="false" ht="15" hidden="false" customHeight="false" outlineLevel="0" collapsed="false">
      <c r="A55" s="18"/>
      <c r="B55" s="18"/>
      <c r="C55" s="18"/>
      <c r="D55" s="18"/>
      <c r="E55" s="18"/>
      <c r="F55" s="18"/>
      <c r="G55" s="18"/>
      <c r="H55" s="19"/>
      <c r="I55" s="18"/>
      <c r="J55" s="18"/>
      <c r="K55" s="20"/>
      <c r="L55" s="20"/>
      <c r="M55" s="20"/>
      <c r="N55" s="20"/>
      <c r="O55" s="21"/>
      <c r="P55" s="22" t="n">
        <f aca="false">IF(OR($A55="",N(K55)=0),0,CEILING(K55*(1+IF($O55="",Taux_Compta,$O55))-0.005,Pas_Arrondi))</f>
        <v>0</v>
      </c>
      <c r="Q55" s="22" t="n">
        <f aca="false">IF(OR($A55="",N(L55)=0),0,CEILING(L55*(1+IF($O55="",Taux_Paye,$O55))-0.005,Pas_Arrondi))</f>
        <v>0</v>
      </c>
      <c r="R55" s="22" t="n">
        <f aca="false">IF(OR($A55="",N(M55)=0),0,CEILING(M55*(1+IF($O55="",Taux_Jur,$O55))-0.005,Pas_Arrondi))</f>
        <v>0</v>
      </c>
      <c r="S55" s="22" t="n">
        <f aca="false">IF(OR($A55="",N(N55)=0),0,CEILING(N55*(1+IF($O55="",Taux_PA,$O55))-0.005,Pas_Arrondi))</f>
        <v>0</v>
      </c>
      <c r="T55" s="22" t="str">
        <f aca="false">IF($A55="","",SUM(K55:N55))</f>
        <v/>
      </c>
      <c r="U55" s="22" t="str">
        <f aca="false">IF($A55="","",SUM(P55:S55))</f>
        <v/>
      </c>
      <c r="V55" s="22" t="str">
        <f aca="false">IF($A55="","",U55-T55)</f>
        <v/>
      </c>
      <c r="W55" s="23" t="str">
        <f aca="false">IF(OR($A55="",N(T55)=0),"",V55/T55)</f>
        <v/>
      </c>
      <c r="X55" s="18"/>
      <c r="Y55" s="18"/>
      <c r="Z55" s="24" t="str">
        <f aca="false">IF(AND($A55&lt;&gt;"",$X55="Oui",OR(Filtre_Masse="Tous les clients à envoyer",$Y55&lt;&gt;"Email")),MAX(Z$1:Z54)+1,"")</f>
        <v/>
      </c>
    </row>
    <row r="56" customFormat="false" ht="15" hidden="false" customHeight="false" outlineLevel="0" collapsed="false">
      <c r="A56" s="18"/>
      <c r="B56" s="18"/>
      <c r="C56" s="18"/>
      <c r="D56" s="18"/>
      <c r="E56" s="18"/>
      <c r="F56" s="18"/>
      <c r="G56" s="18"/>
      <c r="H56" s="19"/>
      <c r="I56" s="18"/>
      <c r="J56" s="18"/>
      <c r="K56" s="20"/>
      <c r="L56" s="20"/>
      <c r="M56" s="20"/>
      <c r="N56" s="20"/>
      <c r="O56" s="21"/>
      <c r="P56" s="22" t="n">
        <f aca="false">IF(OR($A56="",N(K56)=0),0,CEILING(K56*(1+IF($O56="",Taux_Compta,$O56))-0.005,Pas_Arrondi))</f>
        <v>0</v>
      </c>
      <c r="Q56" s="22" t="n">
        <f aca="false">IF(OR($A56="",N(L56)=0),0,CEILING(L56*(1+IF($O56="",Taux_Paye,$O56))-0.005,Pas_Arrondi))</f>
        <v>0</v>
      </c>
      <c r="R56" s="22" t="n">
        <f aca="false">IF(OR($A56="",N(M56)=0),0,CEILING(M56*(1+IF($O56="",Taux_Jur,$O56))-0.005,Pas_Arrondi))</f>
        <v>0</v>
      </c>
      <c r="S56" s="22" t="n">
        <f aca="false">IF(OR($A56="",N(N56)=0),0,CEILING(N56*(1+IF($O56="",Taux_PA,$O56))-0.005,Pas_Arrondi))</f>
        <v>0</v>
      </c>
      <c r="T56" s="22" t="str">
        <f aca="false">IF($A56="","",SUM(K56:N56))</f>
        <v/>
      </c>
      <c r="U56" s="22" t="str">
        <f aca="false">IF($A56="","",SUM(P56:S56))</f>
        <v/>
      </c>
      <c r="V56" s="22" t="str">
        <f aca="false">IF($A56="","",U56-T56)</f>
        <v/>
      </c>
      <c r="W56" s="23" t="str">
        <f aca="false">IF(OR($A56="",N(T56)=0),"",V56/T56)</f>
        <v/>
      </c>
      <c r="X56" s="18"/>
      <c r="Y56" s="18"/>
      <c r="Z56" s="24" t="str">
        <f aca="false">IF(AND($A56&lt;&gt;"",$X56="Oui",OR(Filtre_Masse="Tous les clients à envoyer",$Y56&lt;&gt;"Email")),MAX(Z$1:Z55)+1,"")</f>
        <v/>
      </c>
    </row>
    <row r="57" customFormat="false" ht="15" hidden="false" customHeight="false" outlineLevel="0" collapsed="false">
      <c r="A57" s="18"/>
      <c r="B57" s="18"/>
      <c r="C57" s="18"/>
      <c r="D57" s="18"/>
      <c r="E57" s="18"/>
      <c r="F57" s="18"/>
      <c r="G57" s="18"/>
      <c r="H57" s="19"/>
      <c r="I57" s="18"/>
      <c r="J57" s="18"/>
      <c r="K57" s="20"/>
      <c r="L57" s="20"/>
      <c r="M57" s="20"/>
      <c r="N57" s="20"/>
      <c r="O57" s="21"/>
      <c r="P57" s="22" t="n">
        <f aca="false">IF(OR($A57="",N(K57)=0),0,CEILING(K57*(1+IF($O57="",Taux_Compta,$O57))-0.005,Pas_Arrondi))</f>
        <v>0</v>
      </c>
      <c r="Q57" s="22" t="n">
        <f aca="false">IF(OR($A57="",N(L57)=0),0,CEILING(L57*(1+IF($O57="",Taux_Paye,$O57))-0.005,Pas_Arrondi))</f>
        <v>0</v>
      </c>
      <c r="R57" s="22" t="n">
        <f aca="false">IF(OR($A57="",N(M57)=0),0,CEILING(M57*(1+IF($O57="",Taux_Jur,$O57))-0.005,Pas_Arrondi))</f>
        <v>0</v>
      </c>
      <c r="S57" s="22" t="n">
        <f aca="false">IF(OR($A57="",N(N57)=0),0,CEILING(N57*(1+IF($O57="",Taux_PA,$O57))-0.005,Pas_Arrondi))</f>
        <v>0</v>
      </c>
      <c r="T57" s="22" t="str">
        <f aca="false">IF($A57="","",SUM(K57:N57))</f>
        <v/>
      </c>
      <c r="U57" s="22" t="str">
        <f aca="false">IF($A57="","",SUM(P57:S57))</f>
        <v/>
      </c>
      <c r="V57" s="22" t="str">
        <f aca="false">IF($A57="","",U57-T57)</f>
        <v/>
      </c>
      <c r="W57" s="23" t="str">
        <f aca="false">IF(OR($A57="",N(T57)=0),"",V57/T57)</f>
        <v/>
      </c>
      <c r="X57" s="18"/>
      <c r="Y57" s="18"/>
      <c r="Z57" s="24" t="str">
        <f aca="false">IF(AND($A57&lt;&gt;"",$X57="Oui",OR(Filtre_Masse="Tous les clients à envoyer",$Y57&lt;&gt;"Email")),MAX(Z$1:Z56)+1,"")</f>
        <v/>
      </c>
    </row>
    <row r="58" customFormat="false" ht="15" hidden="false" customHeight="false" outlineLevel="0" collapsed="false">
      <c r="A58" s="18"/>
      <c r="B58" s="18"/>
      <c r="C58" s="18"/>
      <c r="D58" s="18"/>
      <c r="E58" s="18"/>
      <c r="F58" s="18"/>
      <c r="G58" s="18"/>
      <c r="H58" s="19"/>
      <c r="I58" s="18"/>
      <c r="J58" s="18"/>
      <c r="K58" s="20"/>
      <c r="L58" s="20"/>
      <c r="M58" s="20"/>
      <c r="N58" s="20"/>
      <c r="O58" s="21"/>
      <c r="P58" s="22" t="n">
        <f aca="false">IF(OR($A58="",N(K58)=0),0,CEILING(K58*(1+IF($O58="",Taux_Compta,$O58))-0.005,Pas_Arrondi))</f>
        <v>0</v>
      </c>
      <c r="Q58" s="22" t="n">
        <f aca="false">IF(OR($A58="",N(L58)=0),0,CEILING(L58*(1+IF($O58="",Taux_Paye,$O58))-0.005,Pas_Arrondi))</f>
        <v>0</v>
      </c>
      <c r="R58" s="22" t="n">
        <f aca="false">IF(OR($A58="",N(M58)=0),0,CEILING(M58*(1+IF($O58="",Taux_Jur,$O58))-0.005,Pas_Arrondi))</f>
        <v>0</v>
      </c>
      <c r="S58" s="22" t="n">
        <f aca="false">IF(OR($A58="",N(N58)=0),0,CEILING(N58*(1+IF($O58="",Taux_PA,$O58))-0.005,Pas_Arrondi))</f>
        <v>0</v>
      </c>
      <c r="T58" s="22" t="str">
        <f aca="false">IF($A58="","",SUM(K58:N58))</f>
        <v/>
      </c>
      <c r="U58" s="22" t="str">
        <f aca="false">IF($A58="","",SUM(P58:S58))</f>
        <v/>
      </c>
      <c r="V58" s="22" t="str">
        <f aca="false">IF($A58="","",U58-T58)</f>
        <v/>
      </c>
      <c r="W58" s="23" t="str">
        <f aca="false">IF(OR($A58="",N(T58)=0),"",V58/T58)</f>
        <v/>
      </c>
      <c r="X58" s="18"/>
      <c r="Y58" s="18"/>
      <c r="Z58" s="24" t="str">
        <f aca="false">IF(AND($A58&lt;&gt;"",$X58="Oui",OR(Filtre_Masse="Tous les clients à envoyer",$Y58&lt;&gt;"Email")),MAX(Z$1:Z57)+1,"")</f>
        <v/>
      </c>
    </row>
    <row r="59" customFormat="false" ht="15" hidden="false" customHeight="false" outlineLevel="0" collapsed="false">
      <c r="A59" s="18"/>
      <c r="B59" s="18"/>
      <c r="C59" s="18"/>
      <c r="D59" s="18"/>
      <c r="E59" s="18"/>
      <c r="F59" s="18"/>
      <c r="G59" s="18"/>
      <c r="H59" s="19"/>
      <c r="I59" s="18"/>
      <c r="J59" s="18"/>
      <c r="K59" s="20"/>
      <c r="L59" s="20"/>
      <c r="M59" s="20"/>
      <c r="N59" s="20"/>
      <c r="O59" s="21"/>
      <c r="P59" s="22" t="n">
        <f aca="false">IF(OR($A59="",N(K59)=0),0,CEILING(K59*(1+IF($O59="",Taux_Compta,$O59))-0.005,Pas_Arrondi))</f>
        <v>0</v>
      </c>
      <c r="Q59" s="22" t="n">
        <f aca="false">IF(OR($A59="",N(L59)=0),0,CEILING(L59*(1+IF($O59="",Taux_Paye,$O59))-0.005,Pas_Arrondi))</f>
        <v>0</v>
      </c>
      <c r="R59" s="22" t="n">
        <f aca="false">IF(OR($A59="",N(M59)=0),0,CEILING(M59*(1+IF($O59="",Taux_Jur,$O59))-0.005,Pas_Arrondi))</f>
        <v>0</v>
      </c>
      <c r="S59" s="22" t="n">
        <f aca="false">IF(OR($A59="",N(N59)=0),0,CEILING(N59*(1+IF($O59="",Taux_PA,$O59))-0.005,Pas_Arrondi))</f>
        <v>0</v>
      </c>
      <c r="T59" s="22" t="str">
        <f aca="false">IF($A59="","",SUM(K59:N59))</f>
        <v/>
      </c>
      <c r="U59" s="22" t="str">
        <f aca="false">IF($A59="","",SUM(P59:S59))</f>
        <v/>
      </c>
      <c r="V59" s="22" t="str">
        <f aca="false">IF($A59="","",U59-T59)</f>
        <v/>
      </c>
      <c r="W59" s="23" t="str">
        <f aca="false">IF(OR($A59="",N(T59)=0),"",V59/T59)</f>
        <v/>
      </c>
      <c r="X59" s="18"/>
      <c r="Y59" s="18"/>
      <c r="Z59" s="24" t="str">
        <f aca="false">IF(AND($A59&lt;&gt;"",$X59="Oui",OR(Filtre_Masse="Tous les clients à envoyer",$Y59&lt;&gt;"Email")),MAX(Z$1:Z58)+1,"")</f>
        <v/>
      </c>
    </row>
    <row r="60" customFormat="false" ht="15" hidden="false" customHeight="false" outlineLevel="0" collapsed="false">
      <c r="A60" s="18"/>
      <c r="B60" s="18"/>
      <c r="C60" s="18"/>
      <c r="D60" s="18"/>
      <c r="E60" s="18"/>
      <c r="F60" s="18"/>
      <c r="G60" s="18"/>
      <c r="H60" s="19"/>
      <c r="I60" s="18"/>
      <c r="J60" s="18"/>
      <c r="K60" s="20"/>
      <c r="L60" s="20"/>
      <c r="M60" s="20"/>
      <c r="N60" s="20"/>
      <c r="O60" s="21"/>
      <c r="P60" s="22" t="n">
        <f aca="false">IF(OR($A60="",N(K60)=0),0,CEILING(K60*(1+IF($O60="",Taux_Compta,$O60))-0.005,Pas_Arrondi))</f>
        <v>0</v>
      </c>
      <c r="Q60" s="22" t="n">
        <f aca="false">IF(OR($A60="",N(L60)=0),0,CEILING(L60*(1+IF($O60="",Taux_Paye,$O60))-0.005,Pas_Arrondi))</f>
        <v>0</v>
      </c>
      <c r="R60" s="22" t="n">
        <f aca="false">IF(OR($A60="",N(M60)=0),0,CEILING(M60*(1+IF($O60="",Taux_Jur,$O60))-0.005,Pas_Arrondi))</f>
        <v>0</v>
      </c>
      <c r="S60" s="22" t="n">
        <f aca="false">IF(OR($A60="",N(N60)=0),0,CEILING(N60*(1+IF($O60="",Taux_PA,$O60))-0.005,Pas_Arrondi))</f>
        <v>0</v>
      </c>
      <c r="T60" s="22" t="str">
        <f aca="false">IF($A60="","",SUM(K60:N60))</f>
        <v/>
      </c>
      <c r="U60" s="22" t="str">
        <f aca="false">IF($A60="","",SUM(P60:S60))</f>
        <v/>
      </c>
      <c r="V60" s="22" t="str">
        <f aca="false">IF($A60="","",U60-T60)</f>
        <v/>
      </c>
      <c r="W60" s="23" t="str">
        <f aca="false">IF(OR($A60="",N(T60)=0),"",V60/T60)</f>
        <v/>
      </c>
      <c r="X60" s="18"/>
      <c r="Y60" s="18"/>
      <c r="Z60" s="24" t="str">
        <f aca="false">IF(AND($A60&lt;&gt;"",$X60="Oui",OR(Filtre_Masse="Tous les clients à envoyer",$Y60&lt;&gt;"Email")),MAX(Z$1:Z59)+1,"")</f>
        <v/>
      </c>
    </row>
    <row r="61" customFormat="false" ht="15" hidden="false" customHeight="false" outlineLevel="0" collapsed="false">
      <c r="A61" s="18"/>
      <c r="B61" s="18"/>
      <c r="C61" s="18"/>
      <c r="D61" s="18"/>
      <c r="E61" s="18"/>
      <c r="F61" s="18"/>
      <c r="G61" s="18"/>
      <c r="H61" s="19"/>
      <c r="I61" s="18"/>
      <c r="J61" s="18"/>
      <c r="K61" s="20"/>
      <c r="L61" s="20"/>
      <c r="M61" s="20"/>
      <c r="N61" s="20"/>
      <c r="O61" s="21"/>
      <c r="P61" s="22" t="n">
        <f aca="false">IF(OR($A61="",N(K61)=0),0,CEILING(K61*(1+IF($O61="",Taux_Compta,$O61))-0.005,Pas_Arrondi))</f>
        <v>0</v>
      </c>
      <c r="Q61" s="22" t="n">
        <f aca="false">IF(OR($A61="",N(L61)=0),0,CEILING(L61*(1+IF($O61="",Taux_Paye,$O61))-0.005,Pas_Arrondi))</f>
        <v>0</v>
      </c>
      <c r="R61" s="22" t="n">
        <f aca="false">IF(OR($A61="",N(M61)=0),0,CEILING(M61*(1+IF($O61="",Taux_Jur,$O61))-0.005,Pas_Arrondi))</f>
        <v>0</v>
      </c>
      <c r="S61" s="22" t="n">
        <f aca="false">IF(OR($A61="",N(N61)=0),0,CEILING(N61*(1+IF($O61="",Taux_PA,$O61))-0.005,Pas_Arrondi))</f>
        <v>0</v>
      </c>
      <c r="T61" s="22" t="str">
        <f aca="false">IF($A61="","",SUM(K61:N61))</f>
        <v/>
      </c>
      <c r="U61" s="22" t="str">
        <f aca="false">IF($A61="","",SUM(P61:S61))</f>
        <v/>
      </c>
      <c r="V61" s="22" t="str">
        <f aca="false">IF($A61="","",U61-T61)</f>
        <v/>
      </c>
      <c r="W61" s="23" t="str">
        <f aca="false">IF(OR($A61="",N(T61)=0),"",V61/T61)</f>
        <v/>
      </c>
      <c r="X61" s="18"/>
      <c r="Y61" s="18"/>
      <c r="Z61" s="24" t="str">
        <f aca="false">IF(AND($A61&lt;&gt;"",$X61="Oui",OR(Filtre_Masse="Tous les clients à envoyer",$Y61&lt;&gt;"Email")),MAX(Z$1:Z60)+1,"")</f>
        <v/>
      </c>
    </row>
    <row r="62" customFormat="false" ht="15" hidden="false" customHeight="false" outlineLevel="0" collapsed="false">
      <c r="A62" s="18"/>
      <c r="B62" s="18"/>
      <c r="C62" s="18"/>
      <c r="D62" s="18"/>
      <c r="E62" s="18"/>
      <c r="F62" s="18"/>
      <c r="G62" s="18"/>
      <c r="H62" s="19"/>
      <c r="I62" s="18"/>
      <c r="J62" s="18"/>
      <c r="K62" s="20"/>
      <c r="L62" s="20"/>
      <c r="M62" s="20"/>
      <c r="N62" s="20"/>
      <c r="O62" s="21"/>
      <c r="P62" s="22" t="n">
        <f aca="false">IF(OR($A62="",N(K62)=0),0,CEILING(K62*(1+IF($O62="",Taux_Compta,$O62))-0.005,Pas_Arrondi))</f>
        <v>0</v>
      </c>
      <c r="Q62" s="22" t="n">
        <f aca="false">IF(OR($A62="",N(L62)=0),0,CEILING(L62*(1+IF($O62="",Taux_Paye,$O62))-0.005,Pas_Arrondi))</f>
        <v>0</v>
      </c>
      <c r="R62" s="22" t="n">
        <f aca="false">IF(OR($A62="",N(M62)=0),0,CEILING(M62*(1+IF($O62="",Taux_Jur,$O62))-0.005,Pas_Arrondi))</f>
        <v>0</v>
      </c>
      <c r="S62" s="22" t="n">
        <f aca="false">IF(OR($A62="",N(N62)=0),0,CEILING(N62*(1+IF($O62="",Taux_PA,$O62))-0.005,Pas_Arrondi))</f>
        <v>0</v>
      </c>
      <c r="T62" s="22" t="str">
        <f aca="false">IF($A62="","",SUM(K62:N62))</f>
        <v/>
      </c>
      <c r="U62" s="22" t="str">
        <f aca="false">IF($A62="","",SUM(P62:S62))</f>
        <v/>
      </c>
      <c r="V62" s="22" t="str">
        <f aca="false">IF($A62="","",U62-T62)</f>
        <v/>
      </c>
      <c r="W62" s="23" t="str">
        <f aca="false">IF(OR($A62="",N(T62)=0),"",V62/T62)</f>
        <v/>
      </c>
      <c r="X62" s="18"/>
      <c r="Y62" s="18"/>
      <c r="Z62" s="24" t="str">
        <f aca="false">IF(AND($A62&lt;&gt;"",$X62="Oui",OR(Filtre_Masse="Tous les clients à envoyer",$Y62&lt;&gt;"Email")),MAX(Z$1:Z61)+1,"")</f>
        <v/>
      </c>
    </row>
    <row r="63" customFormat="false" ht="15" hidden="false" customHeight="false" outlineLevel="0" collapsed="false">
      <c r="A63" s="18"/>
      <c r="B63" s="18"/>
      <c r="C63" s="18"/>
      <c r="D63" s="18"/>
      <c r="E63" s="18"/>
      <c r="F63" s="18"/>
      <c r="G63" s="18"/>
      <c r="H63" s="19"/>
      <c r="I63" s="18"/>
      <c r="J63" s="18"/>
      <c r="K63" s="20"/>
      <c r="L63" s="20"/>
      <c r="M63" s="20"/>
      <c r="N63" s="20"/>
      <c r="O63" s="21"/>
      <c r="P63" s="22" t="n">
        <f aca="false">IF(OR($A63="",N(K63)=0),0,CEILING(K63*(1+IF($O63="",Taux_Compta,$O63))-0.005,Pas_Arrondi))</f>
        <v>0</v>
      </c>
      <c r="Q63" s="22" t="n">
        <f aca="false">IF(OR($A63="",N(L63)=0),0,CEILING(L63*(1+IF($O63="",Taux_Paye,$O63))-0.005,Pas_Arrondi))</f>
        <v>0</v>
      </c>
      <c r="R63" s="22" t="n">
        <f aca="false">IF(OR($A63="",N(M63)=0),0,CEILING(M63*(1+IF($O63="",Taux_Jur,$O63))-0.005,Pas_Arrondi))</f>
        <v>0</v>
      </c>
      <c r="S63" s="22" t="n">
        <f aca="false">IF(OR($A63="",N(N63)=0),0,CEILING(N63*(1+IF($O63="",Taux_PA,$O63))-0.005,Pas_Arrondi))</f>
        <v>0</v>
      </c>
      <c r="T63" s="22" t="str">
        <f aca="false">IF($A63="","",SUM(K63:N63))</f>
        <v/>
      </c>
      <c r="U63" s="22" t="str">
        <f aca="false">IF($A63="","",SUM(P63:S63))</f>
        <v/>
      </c>
      <c r="V63" s="22" t="str">
        <f aca="false">IF($A63="","",U63-T63)</f>
        <v/>
      </c>
      <c r="W63" s="23" t="str">
        <f aca="false">IF(OR($A63="",N(T63)=0),"",V63/T63)</f>
        <v/>
      </c>
      <c r="X63" s="18"/>
      <c r="Y63" s="18"/>
      <c r="Z63" s="24" t="str">
        <f aca="false">IF(AND($A63&lt;&gt;"",$X63="Oui",OR(Filtre_Masse="Tous les clients à envoyer",$Y63&lt;&gt;"Email")),MAX(Z$1:Z62)+1,"")</f>
        <v/>
      </c>
    </row>
    <row r="64" customFormat="false" ht="15" hidden="false" customHeight="false" outlineLevel="0" collapsed="false">
      <c r="A64" s="18"/>
      <c r="B64" s="18"/>
      <c r="C64" s="18"/>
      <c r="D64" s="18"/>
      <c r="E64" s="18"/>
      <c r="F64" s="18"/>
      <c r="G64" s="18"/>
      <c r="H64" s="19"/>
      <c r="I64" s="18"/>
      <c r="J64" s="18"/>
      <c r="K64" s="20"/>
      <c r="L64" s="20"/>
      <c r="M64" s="20"/>
      <c r="N64" s="20"/>
      <c r="O64" s="21"/>
      <c r="P64" s="22" t="n">
        <f aca="false">IF(OR($A64="",N(K64)=0),0,CEILING(K64*(1+IF($O64="",Taux_Compta,$O64))-0.005,Pas_Arrondi))</f>
        <v>0</v>
      </c>
      <c r="Q64" s="22" t="n">
        <f aca="false">IF(OR($A64="",N(L64)=0),0,CEILING(L64*(1+IF($O64="",Taux_Paye,$O64))-0.005,Pas_Arrondi))</f>
        <v>0</v>
      </c>
      <c r="R64" s="22" t="n">
        <f aca="false">IF(OR($A64="",N(M64)=0),0,CEILING(M64*(1+IF($O64="",Taux_Jur,$O64))-0.005,Pas_Arrondi))</f>
        <v>0</v>
      </c>
      <c r="S64" s="22" t="n">
        <f aca="false">IF(OR($A64="",N(N64)=0),0,CEILING(N64*(1+IF($O64="",Taux_PA,$O64))-0.005,Pas_Arrondi))</f>
        <v>0</v>
      </c>
      <c r="T64" s="22" t="str">
        <f aca="false">IF($A64="","",SUM(K64:N64))</f>
        <v/>
      </c>
      <c r="U64" s="22" t="str">
        <f aca="false">IF($A64="","",SUM(P64:S64))</f>
        <v/>
      </c>
      <c r="V64" s="22" t="str">
        <f aca="false">IF($A64="","",U64-T64)</f>
        <v/>
      </c>
      <c r="W64" s="23" t="str">
        <f aca="false">IF(OR($A64="",N(T64)=0),"",V64/T64)</f>
        <v/>
      </c>
      <c r="X64" s="18"/>
      <c r="Y64" s="18"/>
      <c r="Z64" s="24" t="str">
        <f aca="false">IF(AND($A64&lt;&gt;"",$X64="Oui",OR(Filtre_Masse="Tous les clients à envoyer",$Y64&lt;&gt;"Email")),MAX(Z$1:Z63)+1,"")</f>
        <v/>
      </c>
    </row>
    <row r="65" customFormat="false" ht="15" hidden="false" customHeight="false" outlineLevel="0" collapsed="false">
      <c r="A65" s="18"/>
      <c r="B65" s="18"/>
      <c r="C65" s="18"/>
      <c r="D65" s="18"/>
      <c r="E65" s="18"/>
      <c r="F65" s="18"/>
      <c r="G65" s="18"/>
      <c r="H65" s="19"/>
      <c r="I65" s="18"/>
      <c r="J65" s="18"/>
      <c r="K65" s="20"/>
      <c r="L65" s="20"/>
      <c r="M65" s="20"/>
      <c r="N65" s="20"/>
      <c r="O65" s="21"/>
      <c r="P65" s="22" t="n">
        <f aca="false">IF(OR($A65="",N(K65)=0),0,CEILING(K65*(1+IF($O65="",Taux_Compta,$O65))-0.005,Pas_Arrondi))</f>
        <v>0</v>
      </c>
      <c r="Q65" s="22" t="n">
        <f aca="false">IF(OR($A65="",N(L65)=0),0,CEILING(L65*(1+IF($O65="",Taux_Paye,$O65))-0.005,Pas_Arrondi))</f>
        <v>0</v>
      </c>
      <c r="R65" s="22" t="n">
        <f aca="false">IF(OR($A65="",N(M65)=0),0,CEILING(M65*(1+IF($O65="",Taux_Jur,$O65))-0.005,Pas_Arrondi))</f>
        <v>0</v>
      </c>
      <c r="S65" s="22" t="n">
        <f aca="false">IF(OR($A65="",N(N65)=0),0,CEILING(N65*(1+IF($O65="",Taux_PA,$O65))-0.005,Pas_Arrondi))</f>
        <v>0</v>
      </c>
      <c r="T65" s="22" t="str">
        <f aca="false">IF($A65="","",SUM(K65:N65))</f>
        <v/>
      </c>
      <c r="U65" s="22" t="str">
        <f aca="false">IF($A65="","",SUM(P65:S65))</f>
        <v/>
      </c>
      <c r="V65" s="22" t="str">
        <f aca="false">IF($A65="","",U65-T65)</f>
        <v/>
      </c>
      <c r="W65" s="23" t="str">
        <f aca="false">IF(OR($A65="",N(T65)=0),"",V65/T65)</f>
        <v/>
      </c>
      <c r="X65" s="18"/>
      <c r="Y65" s="18"/>
      <c r="Z65" s="24" t="str">
        <f aca="false">IF(AND($A65&lt;&gt;"",$X65="Oui",OR(Filtre_Masse="Tous les clients à envoyer",$Y65&lt;&gt;"Email")),MAX(Z$1:Z64)+1,"")</f>
        <v/>
      </c>
    </row>
    <row r="66" customFormat="false" ht="15" hidden="false" customHeight="false" outlineLevel="0" collapsed="false">
      <c r="A66" s="18"/>
      <c r="B66" s="18"/>
      <c r="C66" s="18"/>
      <c r="D66" s="18"/>
      <c r="E66" s="18"/>
      <c r="F66" s="18"/>
      <c r="G66" s="18"/>
      <c r="H66" s="19"/>
      <c r="I66" s="18"/>
      <c r="J66" s="18"/>
      <c r="K66" s="20"/>
      <c r="L66" s="20"/>
      <c r="M66" s="20"/>
      <c r="N66" s="20"/>
      <c r="O66" s="21"/>
      <c r="P66" s="22" t="n">
        <f aca="false">IF(OR($A66="",N(K66)=0),0,CEILING(K66*(1+IF($O66="",Taux_Compta,$O66))-0.005,Pas_Arrondi))</f>
        <v>0</v>
      </c>
      <c r="Q66" s="22" t="n">
        <f aca="false">IF(OR($A66="",N(L66)=0),0,CEILING(L66*(1+IF($O66="",Taux_Paye,$O66))-0.005,Pas_Arrondi))</f>
        <v>0</v>
      </c>
      <c r="R66" s="22" t="n">
        <f aca="false">IF(OR($A66="",N(M66)=0),0,CEILING(M66*(1+IF($O66="",Taux_Jur,$O66))-0.005,Pas_Arrondi))</f>
        <v>0</v>
      </c>
      <c r="S66" s="22" t="n">
        <f aca="false">IF(OR($A66="",N(N66)=0),0,CEILING(N66*(1+IF($O66="",Taux_PA,$O66))-0.005,Pas_Arrondi))</f>
        <v>0</v>
      </c>
      <c r="T66" s="22" t="str">
        <f aca="false">IF($A66="","",SUM(K66:N66))</f>
        <v/>
      </c>
      <c r="U66" s="22" t="str">
        <f aca="false">IF($A66="","",SUM(P66:S66))</f>
        <v/>
      </c>
      <c r="V66" s="22" t="str">
        <f aca="false">IF($A66="","",U66-T66)</f>
        <v/>
      </c>
      <c r="W66" s="23" t="str">
        <f aca="false">IF(OR($A66="",N(T66)=0),"",V66/T66)</f>
        <v/>
      </c>
      <c r="X66" s="18"/>
      <c r="Y66" s="18"/>
      <c r="Z66" s="24" t="str">
        <f aca="false">IF(AND($A66&lt;&gt;"",$X66="Oui",OR(Filtre_Masse="Tous les clients à envoyer",$Y66&lt;&gt;"Email")),MAX(Z$1:Z65)+1,"")</f>
        <v/>
      </c>
    </row>
    <row r="67" customFormat="false" ht="15" hidden="false" customHeight="false" outlineLevel="0" collapsed="false">
      <c r="A67" s="18"/>
      <c r="B67" s="18"/>
      <c r="C67" s="18"/>
      <c r="D67" s="18"/>
      <c r="E67" s="18"/>
      <c r="F67" s="18"/>
      <c r="G67" s="18"/>
      <c r="H67" s="19"/>
      <c r="I67" s="18"/>
      <c r="J67" s="18"/>
      <c r="K67" s="20"/>
      <c r="L67" s="20"/>
      <c r="M67" s="20"/>
      <c r="N67" s="20"/>
      <c r="O67" s="21"/>
      <c r="P67" s="22" t="n">
        <f aca="false">IF(OR($A67="",N(K67)=0),0,CEILING(K67*(1+IF($O67="",Taux_Compta,$O67))-0.005,Pas_Arrondi))</f>
        <v>0</v>
      </c>
      <c r="Q67" s="22" t="n">
        <f aca="false">IF(OR($A67="",N(L67)=0),0,CEILING(L67*(1+IF($O67="",Taux_Paye,$O67))-0.005,Pas_Arrondi))</f>
        <v>0</v>
      </c>
      <c r="R67" s="22" t="n">
        <f aca="false">IF(OR($A67="",N(M67)=0),0,CEILING(M67*(1+IF($O67="",Taux_Jur,$O67))-0.005,Pas_Arrondi))</f>
        <v>0</v>
      </c>
      <c r="S67" s="22" t="n">
        <f aca="false">IF(OR($A67="",N(N67)=0),0,CEILING(N67*(1+IF($O67="",Taux_PA,$O67))-0.005,Pas_Arrondi))</f>
        <v>0</v>
      </c>
      <c r="T67" s="22" t="str">
        <f aca="false">IF($A67="","",SUM(K67:N67))</f>
        <v/>
      </c>
      <c r="U67" s="22" t="str">
        <f aca="false">IF($A67="","",SUM(P67:S67))</f>
        <v/>
      </c>
      <c r="V67" s="22" t="str">
        <f aca="false">IF($A67="","",U67-T67)</f>
        <v/>
      </c>
      <c r="W67" s="23" t="str">
        <f aca="false">IF(OR($A67="",N(T67)=0),"",V67/T67)</f>
        <v/>
      </c>
      <c r="X67" s="18"/>
      <c r="Y67" s="18"/>
      <c r="Z67" s="24" t="str">
        <f aca="false">IF(AND($A67&lt;&gt;"",$X67="Oui",OR(Filtre_Masse="Tous les clients à envoyer",$Y67&lt;&gt;"Email")),MAX(Z$1:Z66)+1,"")</f>
        <v/>
      </c>
    </row>
    <row r="68" customFormat="false" ht="15" hidden="false" customHeight="false" outlineLevel="0" collapsed="false">
      <c r="A68" s="18"/>
      <c r="B68" s="18"/>
      <c r="C68" s="18"/>
      <c r="D68" s="18"/>
      <c r="E68" s="18"/>
      <c r="F68" s="18"/>
      <c r="G68" s="18"/>
      <c r="H68" s="19"/>
      <c r="I68" s="18"/>
      <c r="J68" s="18"/>
      <c r="K68" s="20"/>
      <c r="L68" s="20"/>
      <c r="M68" s="20"/>
      <c r="N68" s="20"/>
      <c r="O68" s="21"/>
      <c r="P68" s="22" t="n">
        <f aca="false">IF(OR($A68="",N(K68)=0),0,CEILING(K68*(1+IF($O68="",Taux_Compta,$O68))-0.005,Pas_Arrondi))</f>
        <v>0</v>
      </c>
      <c r="Q68" s="22" t="n">
        <f aca="false">IF(OR($A68="",N(L68)=0),0,CEILING(L68*(1+IF($O68="",Taux_Paye,$O68))-0.005,Pas_Arrondi))</f>
        <v>0</v>
      </c>
      <c r="R68" s="22" t="n">
        <f aca="false">IF(OR($A68="",N(M68)=0),0,CEILING(M68*(1+IF($O68="",Taux_Jur,$O68))-0.005,Pas_Arrondi))</f>
        <v>0</v>
      </c>
      <c r="S68" s="22" t="n">
        <f aca="false">IF(OR($A68="",N(N68)=0),0,CEILING(N68*(1+IF($O68="",Taux_PA,$O68))-0.005,Pas_Arrondi))</f>
        <v>0</v>
      </c>
      <c r="T68" s="22" t="str">
        <f aca="false">IF($A68="","",SUM(K68:N68))</f>
        <v/>
      </c>
      <c r="U68" s="22" t="str">
        <f aca="false">IF($A68="","",SUM(P68:S68))</f>
        <v/>
      </c>
      <c r="V68" s="22" t="str">
        <f aca="false">IF($A68="","",U68-T68)</f>
        <v/>
      </c>
      <c r="W68" s="23" t="str">
        <f aca="false">IF(OR($A68="",N(T68)=0),"",V68/T68)</f>
        <v/>
      </c>
      <c r="X68" s="18"/>
      <c r="Y68" s="18"/>
      <c r="Z68" s="24" t="str">
        <f aca="false">IF(AND($A68&lt;&gt;"",$X68="Oui",OR(Filtre_Masse="Tous les clients à envoyer",$Y68&lt;&gt;"Email")),MAX(Z$1:Z67)+1,"")</f>
        <v/>
      </c>
    </row>
    <row r="69" customFormat="false" ht="15" hidden="false" customHeight="false" outlineLevel="0" collapsed="false">
      <c r="A69" s="18"/>
      <c r="B69" s="18"/>
      <c r="C69" s="18"/>
      <c r="D69" s="18"/>
      <c r="E69" s="18"/>
      <c r="F69" s="18"/>
      <c r="G69" s="18"/>
      <c r="H69" s="19"/>
      <c r="I69" s="18"/>
      <c r="J69" s="18"/>
      <c r="K69" s="20"/>
      <c r="L69" s="20"/>
      <c r="M69" s="20"/>
      <c r="N69" s="20"/>
      <c r="O69" s="21"/>
      <c r="P69" s="22" t="n">
        <f aca="false">IF(OR($A69="",N(K69)=0),0,CEILING(K69*(1+IF($O69="",Taux_Compta,$O69))-0.005,Pas_Arrondi))</f>
        <v>0</v>
      </c>
      <c r="Q69" s="22" t="n">
        <f aca="false">IF(OR($A69="",N(L69)=0),0,CEILING(L69*(1+IF($O69="",Taux_Paye,$O69))-0.005,Pas_Arrondi))</f>
        <v>0</v>
      </c>
      <c r="R69" s="22" t="n">
        <f aca="false">IF(OR($A69="",N(M69)=0),0,CEILING(M69*(1+IF($O69="",Taux_Jur,$O69))-0.005,Pas_Arrondi))</f>
        <v>0</v>
      </c>
      <c r="S69" s="22" t="n">
        <f aca="false">IF(OR($A69="",N(N69)=0),0,CEILING(N69*(1+IF($O69="",Taux_PA,$O69))-0.005,Pas_Arrondi))</f>
        <v>0</v>
      </c>
      <c r="T69" s="22" t="str">
        <f aca="false">IF($A69="","",SUM(K69:N69))</f>
        <v/>
      </c>
      <c r="U69" s="22" t="str">
        <f aca="false">IF($A69="","",SUM(P69:S69))</f>
        <v/>
      </c>
      <c r="V69" s="22" t="str">
        <f aca="false">IF($A69="","",U69-T69)</f>
        <v/>
      </c>
      <c r="W69" s="23" t="str">
        <f aca="false">IF(OR($A69="",N(T69)=0),"",V69/T69)</f>
        <v/>
      </c>
      <c r="X69" s="18"/>
      <c r="Y69" s="18"/>
      <c r="Z69" s="24" t="str">
        <f aca="false">IF(AND($A69&lt;&gt;"",$X69="Oui",OR(Filtre_Masse="Tous les clients à envoyer",$Y69&lt;&gt;"Email")),MAX(Z$1:Z68)+1,"")</f>
        <v/>
      </c>
    </row>
    <row r="70" customFormat="false" ht="15" hidden="false" customHeight="false" outlineLevel="0" collapsed="false">
      <c r="A70" s="18"/>
      <c r="B70" s="18"/>
      <c r="C70" s="18"/>
      <c r="D70" s="18"/>
      <c r="E70" s="18"/>
      <c r="F70" s="18"/>
      <c r="G70" s="18"/>
      <c r="H70" s="19"/>
      <c r="I70" s="18"/>
      <c r="J70" s="18"/>
      <c r="K70" s="20"/>
      <c r="L70" s="20"/>
      <c r="M70" s="20"/>
      <c r="N70" s="20"/>
      <c r="O70" s="21"/>
      <c r="P70" s="22" t="n">
        <f aca="false">IF(OR($A70="",N(K70)=0),0,CEILING(K70*(1+IF($O70="",Taux_Compta,$O70))-0.005,Pas_Arrondi))</f>
        <v>0</v>
      </c>
      <c r="Q70" s="22" t="n">
        <f aca="false">IF(OR($A70="",N(L70)=0),0,CEILING(L70*(1+IF($O70="",Taux_Paye,$O70))-0.005,Pas_Arrondi))</f>
        <v>0</v>
      </c>
      <c r="R70" s="22" t="n">
        <f aca="false">IF(OR($A70="",N(M70)=0),0,CEILING(M70*(1+IF($O70="",Taux_Jur,$O70))-0.005,Pas_Arrondi))</f>
        <v>0</v>
      </c>
      <c r="S70" s="22" t="n">
        <f aca="false">IF(OR($A70="",N(N70)=0),0,CEILING(N70*(1+IF($O70="",Taux_PA,$O70))-0.005,Pas_Arrondi))</f>
        <v>0</v>
      </c>
      <c r="T70" s="22" t="str">
        <f aca="false">IF($A70="","",SUM(K70:N70))</f>
        <v/>
      </c>
      <c r="U70" s="22" t="str">
        <f aca="false">IF($A70="","",SUM(P70:S70))</f>
        <v/>
      </c>
      <c r="V70" s="22" t="str">
        <f aca="false">IF($A70="","",U70-T70)</f>
        <v/>
      </c>
      <c r="W70" s="23" t="str">
        <f aca="false">IF(OR($A70="",N(T70)=0),"",V70/T70)</f>
        <v/>
      </c>
      <c r="X70" s="18"/>
      <c r="Y70" s="18"/>
      <c r="Z70" s="24" t="str">
        <f aca="false">IF(AND($A70&lt;&gt;"",$X70="Oui",OR(Filtre_Masse="Tous les clients à envoyer",$Y70&lt;&gt;"Email")),MAX(Z$1:Z69)+1,"")</f>
        <v/>
      </c>
    </row>
    <row r="71" customFormat="false" ht="15" hidden="false" customHeight="false" outlineLevel="0" collapsed="false">
      <c r="A71" s="18"/>
      <c r="B71" s="18"/>
      <c r="C71" s="18"/>
      <c r="D71" s="18"/>
      <c r="E71" s="18"/>
      <c r="F71" s="18"/>
      <c r="G71" s="18"/>
      <c r="H71" s="19"/>
      <c r="I71" s="18"/>
      <c r="J71" s="18"/>
      <c r="K71" s="20"/>
      <c r="L71" s="20"/>
      <c r="M71" s="20"/>
      <c r="N71" s="20"/>
      <c r="O71" s="21"/>
      <c r="P71" s="22" t="n">
        <f aca="false">IF(OR($A71="",N(K71)=0),0,CEILING(K71*(1+IF($O71="",Taux_Compta,$O71))-0.005,Pas_Arrondi))</f>
        <v>0</v>
      </c>
      <c r="Q71" s="22" t="n">
        <f aca="false">IF(OR($A71="",N(L71)=0),0,CEILING(L71*(1+IF($O71="",Taux_Paye,$O71))-0.005,Pas_Arrondi))</f>
        <v>0</v>
      </c>
      <c r="R71" s="22" t="n">
        <f aca="false">IF(OR($A71="",N(M71)=0),0,CEILING(M71*(1+IF($O71="",Taux_Jur,$O71))-0.005,Pas_Arrondi))</f>
        <v>0</v>
      </c>
      <c r="S71" s="22" t="n">
        <f aca="false">IF(OR($A71="",N(N71)=0),0,CEILING(N71*(1+IF($O71="",Taux_PA,$O71))-0.005,Pas_Arrondi))</f>
        <v>0</v>
      </c>
      <c r="T71" s="22" t="str">
        <f aca="false">IF($A71="","",SUM(K71:N71))</f>
        <v/>
      </c>
      <c r="U71" s="22" t="str">
        <f aca="false">IF($A71="","",SUM(P71:S71))</f>
        <v/>
      </c>
      <c r="V71" s="22" t="str">
        <f aca="false">IF($A71="","",U71-T71)</f>
        <v/>
      </c>
      <c r="W71" s="23" t="str">
        <f aca="false">IF(OR($A71="",N(T71)=0),"",V71/T71)</f>
        <v/>
      </c>
      <c r="X71" s="18"/>
      <c r="Y71" s="18"/>
      <c r="Z71" s="24" t="str">
        <f aca="false">IF(AND($A71&lt;&gt;"",$X71="Oui",OR(Filtre_Masse="Tous les clients à envoyer",$Y71&lt;&gt;"Email")),MAX(Z$1:Z70)+1,"")</f>
        <v/>
      </c>
    </row>
    <row r="72" customFormat="false" ht="15" hidden="false" customHeight="false" outlineLevel="0" collapsed="false">
      <c r="A72" s="18"/>
      <c r="B72" s="18"/>
      <c r="C72" s="18"/>
      <c r="D72" s="18"/>
      <c r="E72" s="18"/>
      <c r="F72" s="18"/>
      <c r="G72" s="18"/>
      <c r="H72" s="19"/>
      <c r="I72" s="18"/>
      <c r="J72" s="18"/>
      <c r="K72" s="20"/>
      <c r="L72" s="20"/>
      <c r="M72" s="20"/>
      <c r="N72" s="20"/>
      <c r="O72" s="21"/>
      <c r="P72" s="22" t="n">
        <f aca="false">IF(OR($A72="",N(K72)=0),0,CEILING(K72*(1+IF($O72="",Taux_Compta,$O72))-0.005,Pas_Arrondi))</f>
        <v>0</v>
      </c>
      <c r="Q72" s="22" t="n">
        <f aca="false">IF(OR($A72="",N(L72)=0),0,CEILING(L72*(1+IF($O72="",Taux_Paye,$O72))-0.005,Pas_Arrondi))</f>
        <v>0</v>
      </c>
      <c r="R72" s="22" t="n">
        <f aca="false">IF(OR($A72="",N(M72)=0),0,CEILING(M72*(1+IF($O72="",Taux_Jur,$O72))-0.005,Pas_Arrondi))</f>
        <v>0</v>
      </c>
      <c r="S72" s="22" t="n">
        <f aca="false">IF(OR($A72="",N(N72)=0),0,CEILING(N72*(1+IF($O72="",Taux_PA,$O72))-0.005,Pas_Arrondi))</f>
        <v>0</v>
      </c>
      <c r="T72" s="22" t="str">
        <f aca="false">IF($A72="","",SUM(K72:N72))</f>
        <v/>
      </c>
      <c r="U72" s="22" t="str">
        <f aca="false">IF($A72="","",SUM(P72:S72))</f>
        <v/>
      </c>
      <c r="V72" s="22" t="str">
        <f aca="false">IF($A72="","",U72-T72)</f>
        <v/>
      </c>
      <c r="W72" s="23" t="str">
        <f aca="false">IF(OR($A72="",N(T72)=0),"",V72/T72)</f>
        <v/>
      </c>
      <c r="X72" s="18"/>
      <c r="Y72" s="18"/>
      <c r="Z72" s="24" t="str">
        <f aca="false">IF(AND($A72&lt;&gt;"",$X72="Oui",OR(Filtre_Masse="Tous les clients à envoyer",$Y72&lt;&gt;"Email")),MAX(Z$1:Z71)+1,"")</f>
        <v/>
      </c>
    </row>
    <row r="73" customFormat="false" ht="15" hidden="false" customHeight="false" outlineLevel="0" collapsed="false">
      <c r="A73" s="18"/>
      <c r="B73" s="18"/>
      <c r="C73" s="18"/>
      <c r="D73" s="18"/>
      <c r="E73" s="18"/>
      <c r="F73" s="18"/>
      <c r="G73" s="18"/>
      <c r="H73" s="19"/>
      <c r="I73" s="18"/>
      <c r="J73" s="18"/>
      <c r="K73" s="20"/>
      <c r="L73" s="20"/>
      <c r="M73" s="20"/>
      <c r="N73" s="20"/>
      <c r="O73" s="21"/>
      <c r="P73" s="22" t="n">
        <f aca="false">IF(OR($A73="",N(K73)=0),0,CEILING(K73*(1+IF($O73="",Taux_Compta,$O73))-0.005,Pas_Arrondi))</f>
        <v>0</v>
      </c>
      <c r="Q73" s="22" t="n">
        <f aca="false">IF(OR($A73="",N(L73)=0),0,CEILING(L73*(1+IF($O73="",Taux_Paye,$O73))-0.005,Pas_Arrondi))</f>
        <v>0</v>
      </c>
      <c r="R73" s="22" t="n">
        <f aca="false">IF(OR($A73="",N(M73)=0),0,CEILING(M73*(1+IF($O73="",Taux_Jur,$O73))-0.005,Pas_Arrondi))</f>
        <v>0</v>
      </c>
      <c r="S73" s="22" t="n">
        <f aca="false">IF(OR($A73="",N(N73)=0),0,CEILING(N73*(1+IF($O73="",Taux_PA,$O73))-0.005,Pas_Arrondi))</f>
        <v>0</v>
      </c>
      <c r="T73" s="22" t="str">
        <f aca="false">IF($A73="","",SUM(K73:N73))</f>
        <v/>
      </c>
      <c r="U73" s="22" t="str">
        <f aca="false">IF($A73="","",SUM(P73:S73))</f>
        <v/>
      </c>
      <c r="V73" s="22" t="str">
        <f aca="false">IF($A73="","",U73-T73)</f>
        <v/>
      </c>
      <c r="W73" s="23" t="str">
        <f aca="false">IF(OR($A73="",N(T73)=0),"",V73/T73)</f>
        <v/>
      </c>
      <c r="X73" s="18"/>
      <c r="Y73" s="18"/>
      <c r="Z73" s="24" t="str">
        <f aca="false">IF(AND($A73&lt;&gt;"",$X73="Oui",OR(Filtre_Masse="Tous les clients à envoyer",$Y73&lt;&gt;"Email")),MAX(Z$1:Z72)+1,"")</f>
        <v/>
      </c>
    </row>
    <row r="74" customFormat="false" ht="15" hidden="false" customHeight="false" outlineLevel="0" collapsed="false">
      <c r="A74" s="18"/>
      <c r="B74" s="18"/>
      <c r="C74" s="18"/>
      <c r="D74" s="18"/>
      <c r="E74" s="18"/>
      <c r="F74" s="18"/>
      <c r="G74" s="18"/>
      <c r="H74" s="19"/>
      <c r="I74" s="18"/>
      <c r="J74" s="18"/>
      <c r="K74" s="20"/>
      <c r="L74" s="20"/>
      <c r="M74" s="20"/>
      <c r="N74" s="20"/>
      <c r="O74" s="21"/>
      <c r="P74" s="22" t="n">
        <f aca="false">IF(OR($A74="",N(K74)=0),0,CEILING(K74*(1+IF($O74="",Taux_Compta,$O74))-0.005,Pas_Arrondi))</f>
        <v>0</v>
      </c>
      <c r="Q74" s="22" t="n">
        <f aca="false">IF(OR($A74="",N(L74)=0),0,CEILING(L74*(1+IF($O74="",Taux_Paye,$O74))-0.005,Pas_Arrondi))</f>
        <v>0</v>
      </c>
      <c r="R74" s="22" t="n">
        <f aca="false">IF(OR($A74="",N(M74)=0),0,CEILING(M74*(1+IF($O74="",Taux_Jur,$O74))-0.005,Pas_Arrondi))</f>
        <v>0</v>
      </c>
      <c r="S74" s="22" t="n">
        <f aca="false">IF(OR($A74="",N(N74)=0),0,CEILING(N74*(1+IF($O74="",Taux_PA,$O74))-0.005,Pas_Arrondi))</f>
        <v>0</v>
      </c>
      <c r="T74" s="22" t="str">
        <f aca="false">IF($A74="","",SUM(K74:N74))</f>
        <v/>
      </c>
      <c r="U74" s="22" t="str">
        <f aca="false">IF($A74="","",SUM(P74:S74))</f>
        <v/>
      </c>
      <c r="V74" s="22" t="str">
        <f aca="false">IF($A74="","",U74-T74)</f>
        <v/>
      </c>
      <c r="W74" s="23" t="str">
        <f aca="false">IF(OR($A74="",N(T74)=0),"",V74/T74)</f>
        <v/>
      </c>
      <c r="X74" s="18"/>
      <c r="Y74" s="18"/>
      <c r="Z74" s="24" t="str">
        <f aca="false">IF(AND($A74&lt;&gt;"",$X74="Oui",OR(Filtre_Masse="Tous les clients à envoyer",$Y74&lt;&gt;"Email")),MAX(Z$1:Z73)+1,"")</f>
        <v/>
      </c>
    </row>
    <row r="75" customFormat="false" ht="15" hidden="false" customHeight="false" outlineLevel="0" collapsed="false">
      <c r="A75" s="18"/>
      <c r="B75" s="18"/>
      <c r="C75" s="18"/>
      <c r="D75" s="18"/>
      <c r="E75" s="18"/>
      <c r="F75" s="18"/>
      <c r="G75" s="18"/>
      <c r="H75" s="19"/>
      <c r="I75" s="18"/>
      <c r="J75" s="18"/>
      <c r="K75" s="20"/>
      <c r="L75" s="20"/>
      <c r="M75" s="20"/>
      <c r="N75" s="20"/>
      <c r="O75" s="21"/>
      <c r="P75" s="22" t="n">
        <f aca="false">IF(OR($A75="",N(K75)=0),0,CEILING(K75*(1+IF($O75="",Taux_Compta,$O75))-0.005,Pas_Arrondi))</f>
        <v>0</v>
      </c>
      <c r="Q75" s="22" t="n">
        <f aca="false">IF(OR($A75="",N(L75)=0),0,CEILING(L75*(1+IF($O75="",Taux_Paye,$O75))-0.005,Pas_Arrondi))</f>
        <v>0</v>
      </c>
      <c r="R75" s="22" t="n">
        <f aca="false">IF(OR($A75="",N(M75)=0),0,CEILING(M75*(1+IF($O75="",Taux_Jur,$O75))-0.005,Pas_Arrondi))</f>
        <v>0</v>
      </c>
      <c r="S75" s="22" t="n">
        <f aca="false">IF(OR($A75="",N(N75)=0),0,CEILING(N75*(1+IF($O75="",Taux_PA,$O75))-0.005,Pas_Arrondi))</f>
        <v>0</v>
      </c>
      <c r="T75" s="22" t="str">
        <f aca="false">IF($A75="","",SUM(K75:N75))</f>
        <v/>
      </c>
      <c r="U75" s="22" t="str">
        <f aca="false">IF($A75="","",SUM(P75:S75))</f>
        <v/>
      </c>
      <c r="V75" s="22" t="str">
        <f aca="false">IF($A75="","",U75-T75)</f>
        <v/>
      </c>
      <c r="W75" s="23" t="str">
        <f aca="false">IF(OR($A75="",N(T75)=0),"",V75/T75)</f>
        <v/>
      </c>
      <c r="X75" s="18"/>
      <c r="Y75" s="18"/>
      <c r="Z75" s="24" t="str">
        <f aca="false">IF(AND($A75&lt;&gt;"",$X75="Oui",OR(Filtre_Masse="Tous les clients à envoyer",$Y75&lt;&gt;"Email")),MAX(Z$1:Z74)+1,"")</f>
        <v/>
      </c>
    </row>
    <row r="76" customFormat="false" ht="15" hidden="false" customHeight="false" outlineLevel="0" collapsed="false">
      <c r="A76" s="18"/>
      <c r="B76" s="18"/>
      <c r="C76" s="18"/>
      <c r="D76" s="18"/>
      <c r="E76" s="18"/>
      <c r="F76" s="18"/>
      <c r="G76" s="18"/>
      <c r="H76" s="19"/>
      <c r="I76" s="18"/>
      <c r="J76" s="18"/>
      <c r="K76" s="20"/>
      <c r="L76" s="20"/>
      <c r="M76" s="20"/>
      <c r="N76" s="20"/>
      <c r="O76" s="21"/>
      <c r="P76" s="22" t="n">
        <f aca="false">IF(OR($A76="",N(K76)=0),0,CEILING(K76*(1+IF($O76="",Taux_Compta,$O76))-0.005,Pas_Arrondi))</f>
        <v>0</v>
      </c>
      <c r="Q76" s="22" t="n">
        <f aca="false">IF(OR($A76="",N(L76)=0),0,CEILING(L76*(1+IF($O76="",Taux_Paye,$O76))-0.005,Pas_Arrondi))</f>
        <v>0</v>
      </c>
      <c r="R76" s="22" t="n">
        <f aca="false">IF(OR($A76="",N(M76)=0),0,CEILING(M76*(1+IF($O76="",Taux_Jur,$O76))-0.005,Pas_Arrondi))</f>
        <v>0</v>
      </c>
      <c r="S76" s="22" t="n">
        <f aca="false">IF(OR($A76="",N(N76)=0),0,CEILING(N76*(1+IF($O76="",Taux_PA,$O76))-0.005,Pas_Arrondi))</f>
        <v>0</v>
      </c>
      <c r="T76" s="22" t="str">
        <f aca="false">IF($A76="","",SUM(K76:N76))</f>
        <v/>
      </c>
      <c r="U76" s="22" t="str">
        <f aca="false">IF($A76="","",SUM(P76:S76))</f>
        <v/>
      </c>
      <c r="V76" s="22" t="str">
        <f aca="false">IF($A76="","",U76-T76)</f>
        <v/>
      </c>
      <c r="W76" s="23" t="str">
        <f aca="false">IF(OR($A76="",N(T76)=0),"",V76/T76)</f>
        <v/>
      </c>
      <c r="X76" s="18"/>
      <c r="Y76" s="18"/>
      <c r="Z76" s="24" t="str">
        <f aca="false">IF(AND($A76&lt;&gt;"",$X76="Oui",OR(Filtre_Masse="Tous les clients à envoyer",$Y76&lt;&gt;"Email")),MAX(Z$1:Z75)+1,"")</f>
        <v/>
      </c>
    </row>
    <row r="77" customFormat="false" ht="15" hidden="false" customHeight="false" outlineLevel="0" collapsed="false">
      <c r="A77" s="18"/>
      <c r="B77" s="18"/>
      <c r="C77" s="18"/>
      <c r="D77" s="18"/>
      <c r="E77" s="18"/>
      <c r="F77" s="18"/>
      <c r="G77" s="18"/>
      <c r="H77" s="19"/>
      <c r="I77" s="18"/>
      <c r="J77" s="18"/>
      <c r="K77" s="20"/>
      <c r="L77" s="20"/>
      <c r="M77" s="20"/>
      <c r="N77" s="20"/>
      <c r="O77" s="21"/>
      <c r="P77" s="22" t="n">
        <f aca="false">IF(OR($A77="",N(K77)=0),0,CEILING(K77*(1+IF($O77="",Taux_Compta,$O77))-0.005,Pas_Arrondi))</f>
        <v>0</v>
      </c>
      <c r="Q77" s="22" t="n">
        <f aca="false">IF(OR($A77="",N(L77)=0),0,CEILING(L77*(1+IF($O77="",Taux_Paye,$O77))-0.005,Pas_Arrondi))</f>
        <v>0</v>
      </c>
      <c r="R77" s="22" t="n">
        <f aca="false">IF(OR($A77="",N(M77)=0),0,CEILING(M77*(1+IF($O77="",Taux_Jur,$O77))-0.005,Pas_Arrondi))</f>
        <v>0</v>
      </c>
      <c r="S77" s="22" t="n">
        <f aca="false">IF(OR($A77="",N(N77)=0),0,CEILING(N77*(1+IF($O77="",Taux_PA,$O77))-0.005,Pas_Arrondi))</f>
        <v>0</v>
      </c>
      <c r="T77" s="22" t="str">
        <f aca="false">IF($A77="","",SUM(K77:N77))</f>
        <v/>
      </c>
      <c r="U77" s="22" t="str">
        <f aca="false">IF($A77="","",SUM(P77:S77))</f>
        <v/>
      </c>
      <c r="V77" s="22" t="str">
        <f aca="false">IF($A77="","",U77-T77)</f>
        <v/>
      </c>
      <c r="W77" s="23" t="str">
        <f aca="false">IF(OR($A77="",N(T77)=0),"",V77/T77)</f>
        <v/>
      </c>
      <c r="X77" s="18"/>
      <c r="Y77" s="18"/>
      <c r="Z77" s="24" t="str">
        <f aca="false">IF(AND($A77&lt;&gt;"",$X77="Oui",OR(Filtre_Masse="Tous les clients à envoyer",$Y77&lt;&gt;"Email")),MAX(Z$1:Z76)+1,"")</f>
        <v/>
      </c>
    </row>
    <row r="78" customFormat="false" ht="15" hidden="false" customHeight="false" outlineLevel="0" collapsed="false">
      <c r="A78" s="18"/>
      <c r="B78" s="18"/>
      <c r="C78" s="18"/>
      <c r="D78" s="18"/>
      <c r="E78" s="18"/>
      <c r="F78" s="18"/>
      <c r="G78" s="18"/>
      <c r="H78" s="19"/>
      <c r="I78" s="18"/>
      <c r="J78" s="18"/>
      <c r="K78" s="20"/>
      <c r="L78" s="20"/>
      <c r="M78" s="20"/>
      <c r="N78" s="20"/>
      <c r="O78" s="21"/>
      <c r="P78" s="22" t="n">
        <f aca="false">IF(OR($A78="",N(K78)=0),0,CEILING(K78*(1+IF($O78="",Taux_Compta,$O78))-0.005,Pas_Arrondi))</f>
        <v>0</v>
      </c>
      <c r="Q78" s="22" t="n">
        <f aca="false">IF(OR($A78="",N(L78)=0),0,CEILING(L78*(1+IF($O78="",Taux_Paye,$O78))-0.005,Pas_Arrondi))</f>
        <v>0</v>
      </c>
      <c r="R78" s="22" t="n">
        <f aca="false">IF(OR($A78="",N(M78)=0),0,CEILING(M78*(1+IF($O78="",Taux_Jur,$O78))-0.005,Pas_Arrondi))</f>
        <v>0</v>
      </c>
      <c r="S78" s="22" t="n">
        <f aca="false">IF(OR($A78="",N(N78)=0),0,CEILING(N78*(1+IF($O78="",Taux_PA,$O78))-0.005,Pas_Arrondi))</f>
        <v>0</v>
      </c>
      <c r="T78" s="22" t="str">
        <f aca="false">IF($A78="","",SUM(K78:N78))</f>
        <v/>
      </c>
      <c r="U78" s="22" t="str">
        <f aca="false">IF($A78="","",SUM(P78:S78))</f>
        <v/>
      </c>
      <c r="V78" s="22" t="str">
        <f aca="false">IF($A78="","",U78-T78)</f>
        <v/>
      </c>
      <c r="W78" s="23" t="str">
        <f aca="false">IF(OR($A78="",N(T78)=0),"",V78/T78)</f>
        <v/>
      </c>
      <c r="X78" s="18"/>
      <c r="Y78" s="18"/>
      <c r="Z78" s="24" t="str">
        <f aca="false">IF(AND($A78&lt;&gt;"",$X78="Oui",OR(Filtre_Masse="Tous les clients à envoyer",$Y78&lt;&gt;"Email")),MAX(Z$1:Z77)+1,"")</f>
        <v/>
      </c>
    </row>
    <row r="79" customFormat="false" ht="15" hidden="false" customHeight="false" outlineLevel="0" collapsed="false">
      <c r="A79" s="18"/>
      <c r="B79" s="18"/>
      <c r="C79" s="18"/>
      <c r="D79" s="18"/>
      <c r="E79" s="18"/>
      <c r="F79" s="18"/>
      <c r="G79" s="18"/>
      <c r="H79" s="19"/>
      <c r="I79" s="18"/>
      <c r="J79" s="18"/>
      <c r="K79" s="20"/>
      <c r="L79" s="20"/>
      <c r="M79" s="20"/>
      <c r="N79" s="20"/>
      <c r="O79" s="21"/>
      <c r="P79" s="22" t="n">
        <f aca="false">IF(OR($A79="",N(K79)=0),0,CEILING(K79*(1+IF($O79="",Taux_Compta,$O79))-0.005,Pas_Arrondi))</f>
        <v>0</v>
      </c>
      <c r="Q79" s="22" t="n">
        <f aca="false">IF(OR($A79="",N(L79)=0),0,CEILING(L79*(1+IF($O79="",Taux_Paye,$O79))-0.005,Pas_Arrondi))</f>
        <v>0</v>
      </c>
      <c r="R79" s="22" t="n">
        <f aca="false">IF(OR($A79="",N(M79)=0),0,CEILING(M79*(1+IF($O79="",Taux_Jur,$O79))-0.005,Pas_Arrondi))</f>
        <v>0</v>
      </c>
      <c r="S79" s="22" t="n">
        <f aca="false">IF(OR($A79="",N(N79)=0),0,CEILING(N79*(1+IF($O79="",Taux_PA,$O79))-0.005,Pas_Arrondi))</f>
        <v>0</v>
      </c>
      <c r="T79" s="22" t="str">
        <f aca="false">IF($A79="","",SUM(K79:N79))</f>
        <v/>
      </c>
      <c r="U79" s="22" t="str">
        <f aca="false">IF($A79="","",SUM(P79:S79))</f>
        <v/>
      </c>
      <c r="V79" s="22" t="str">
        <f aca="false">IF($A79="","",U79-T79)</f>
        <v/>
      </c>
      <c r="W79" s="23" t="str">
        <f aca="false">IF(OR($A79="",N(T79)=0),"",V79/T79)</f>
        <v/>
      </c>
      <c r="X79" s="18"/>
      <c r="Y79" s="18"/>
      <c r="Z79" s="24" t="str">
        <f aca="false">IF(AND($A79&lt;&gt;"",$X79="Oui",OR(Filtre_Masse="Tous les clients à envoyer",$Y79&lt;&gt;"Email")),MAX(Z$1:Z78)+1,"")</f>
        <v/>
      </c>
    </row>
    <row r="80" customFormat="false" ht="15" hidden="false" customHeight="false" outlineLevel="0" collapsed="false">
      <c r="A80" s="18"/>
      <c r="B80" s="18"/>
      <c r="C80" s="18"/>
      <c r="D80" s="18"/>
      <c r="E80" s="18"/>
      <c r="F80" s="18"/>
      <c r="G80" s="18"/>
      <c r="H80" s="19"/>
      <c r="I80" s="18"/>
      <c r="J80" s="18"/>
      <c r="K80" s="20"/>
      <c r="L80" s="20"/>
      <c r="M80" s="20"/>
      <c r="N80" s="20"/>
      <c r="O80" s="21"/>
      <c r="P80" s="22" t="n">
        <f aca="false">IF(OR($A80="",N(K80)=0),0,CEILING(K80*(1+IF($O80="",Taux_Compta,$O80))-0.005,Pas_Arrondi))</f>
        <v>0</v>
      </c>
      <c r="Q80" s="22" t="n">
        <f aca="false">IF(OR($A80="",N(L80)=0),0,CEILING(L80*(1+IF($O80="",Taux_Paye,$O80))-0.005,Pas_Arrondi))</f>
        <v>0</v>
      </c>
      <c r="R80" s="22" t="n">
        <f aca="false">IF(OR($A80="",N(M80)=0),0,CEILING(M80*(1+IF($O80="",Taux_Jur,$O80))-0.005,Pas_Arrondi))</f>
        <v>0</v>
      </c>
      <c r="S80" s="22" t="n">
        <f aca="false">IF(OR($A80="",N(N80)=0),0,CEILING(N80*(1+IF($O80="",Taux_PA,$O80))-0.005,Pas_Arrondi))</f>
        <v>0</v>
      </c>
      <c r="T80" s="22" t="str">
        <f aca="false">IF($A80="","",SUM(K80:N80))</f>
        <v/>
      </c>
      <c r="U80" s="22" t="str">
        <f aca="false">IF($A80="","",SUM(P80:S80))</f>
        <v/>
      </c>
      <c r="V80" s="22" t="str">
        <f aca="false">IF($A80="","",U80-T80)</f>
        <v/>
      </c>
      <c r="W80" s="23" t="str">
        <f aca="false">IF(OR($A80="",N(T80)=0),"",V80/T80)</f>
        <v/>
      </c>
      <c r="X80" s="18"/>
      <c r="Y80" s="18"/>
      <c r="Z80" s="24" t="str">
        <f aca="false">IF(AND($A80&lt;&gt;"",$X80="Oui",OR(Filtre_Masse="Tous les clients à envoyer",$Y80&lt;&gt;"Email")),MAX(Z$1:Z79)+1,"")</f>
        <v/>
      </c>
    </row>
    <row r="81" customFormat="false" ht="15" hidden="false" customHeight="false" outlineLevel="0" collapsed="false">
      <c r="A81" s="18"/>
      <c r="B81" s="18"/>
      <c r="C81" s="18"/>
      <c r="D81" s="18"/>
      <c r="E81" s="18"/>
      <c r="F81" s="18"/>
      <c r="G81" s="18"/>
      <c r="H81" s="19"/>
      <c r="I81" s="18"/>
      <c r="J81" s="18"/>
      <c r="K81" s="20"/>
      <c r="L81" s="20"/>
      <c r="M81" s="20"/>
      <c r="N81" s="20"/>
      <c r="O81" s="21"/>
      <c r="P81" s="22" t="n">
        <f aca="false">IF(OR($A81="",N(K81)=0),0,CEILING(K81*(1+IF($O81="",Taux_Compta,$O81))-0.005,Pas_Arrondi))</f>
        <v>0</v>
      </c>
      <c r="Q81" s="22" t="n">
        <f aca="false">IF(OR($A81="",N(L81)=0),0,CEILING(L81*(1+IF($O81="",Taux_Paye,$O81))-0.005,Pas_Arrondi))</f>
        <v>0</v>
      </c>
      <c r="R81" s="22" t="n">
        <f aca="false">IF(OR($A81="",N(M81)=0),0,CEILING(M81*(1+IF($O81="",Taux_Jur,$O81))-0.005,Pas_Arrondi))</f>
        <v>0</v>
      </c>
      <c r="S81" s="22" t="n">
        <f aca="false">IF(OR($A81="",N(N81)=0),0,CEILING(N81*(1+IF($O81="",Taux_PA,$O81))-0.005,Pas_Arrondi))</f>
        <v>0</v>
      </c>
      <c r="T81" s="22" t="str">
        <f aca="false">IF($A81="","",SUM(K81:N81))</f>
        <v/>
      </c>
      <c r="U81" s="22" t="str">
        <f aca="false">IF($A81="","",SUM(P81:S81))</f>
        <v/>
      </c>
      <c r="V81" s="22" t="str">
        <f aca="false">IF($A81="","",U81-T81)</f>
        <v/>
      </c>
      <c r="W81" s="23" t="str">
        <f aca="false">IF(OR($A81="",N(T81)=0),"",V81/T81)</f>
        <v/>
      </c>
      <c r="X81" s="18"/>
      <c r="Y81" s="18"/>
      <c r="Z81" s="24" t="str">
        <f aca="false">IF(AND($A81&lt;&gt;"",$X81="Oui",OR(Filtre_Masse="Tous les clients à envoyer",$Y81&lt;&gt;"Email")),MAX(Z$1:Z80)+1,"")</f>
        <v/>
      </c>
    </row>
    <row r="82" customFormat="false" ht="15" hidden="false" customHeight="false" outlineLevel="0" collapsed="false">
      <c r="A82" s="18"/>
      <c r="B82" s="18"/>
      <c r="C82" s="18"/>
      <c r="D82" s="18"/>
      <c r="E82" s="18"/>
      <c r="F82" s="18"/>
      <c r="G82" s="18"/>
      <c r="H82" s="19"/>
      <c r="I82" s="18"/>
      <c r="J82" s="18"/>
      <c r="K82" s="20"/>
      <c r="L82" s="20"/>
      <c r="M82" s="20"/>
      <c r="N82" s="20"/>
      <c r="O82" s="21"/>
      <c r="P82" s="22" t="n">
        <f aca="false">IF(OR($A82="",N(K82)=0),0,CEILING(K82*(1+IF($O82="",Taux_Compta,$O82))-0.005,Pas_Arrondi))</f>
        <v>0</v>
      </c>
      <c r="Q82" s="22" t="n">
        <f aca="false">IF(OR($A82="",N(L82)=0),0,CEILING(L82*(1+IF($O82="",Taux_Paye,$O82))-0.005,Pas_Arrondi))</f>
        <v>0</v>
      </c>
      <c r="R82" s="22" t="n">
        <f aca="false">IF(OR($A82="",N(M82)=0),0,CEILING(M82*(1+IF($O82="",Taux_Jur,$O82))-0.005,Pas_Arrondi))</f>
        <v>0</v>
      </c>
      <c r="S82" s="22" t="n">
        <f aca="false">IF(OR($A82="",N(N82)=0),0,CEILING(N82*(1+IF($O82="",Taux_PA,$O82))-0.005,Pas_Arrondi))</f>
        <v>0</v>
      </c>
      <c r="T82" s="22" t="str">
        <f aca="false">IF($A82="","",SUM(K82:N82))</f>
        <v/>
      </c>
      <c r="U82" s="22" t="str">
        <f aca="false">IF($A82="","",SUM(P82:S82))</f>
        <v/>
      </c>
      <c r="V82" s="22" t="str">
        <f aca="false">IF($A82="","",U82-T82)</f>
        <v/>
      </c>
      <c r="W82" s="23" t="str">
        <f aca="false">IF(OR($A82="",N(T82)=0),"",V82/T82)</f>
        <v/>
      </c>
      <c r="X82" s="18"/>
      <c r="Y82" s="18"/>
      <c r="Z82" s="24" t="str">
        <f aca="false">IF(AND($A82&lt;&gt;"",$X82="Oui",OR(Filtre_Masse="Tous les clients à envoyer",$Y82&lt;&gt;"Email")),MAX(Z$1:Z81)+1,"")</f>
        <v/>
      </c>
    </row>
    <row r="83" customFormat="false" ht="15" hidden="false" customHeight="false" outlineLevel="0" collapsed="false">
      <c r="A83" s="18"/>
      <c r="B83" s="18"/>
      <c r="C83" s="18"/>
      <c r="D83" s="18"/>
      <c r="E83" s="18"/>
      <c r="F83" s="18"/>
      <c r="G83" s="18"/>
      <c r="H83" s="19"/>
      <c r="I83" s="18"/>
      <c r="J83" s="18"/>
      <c r="K83" s="20"/>
      <c r="L83" s="20"/>
      <c r="M83" s="20"/>
      <c r="N83" s="20"/>
      <c r="O83" s="21"/>
      <c r="P83" s="22" t="n">
        <f aca="false">IF(OR($A83="",N(K83)=0),0,CEILING(K83*(1+IF($O83="",Taux_Compta,$O83))-0.005,Pas_Arrondi))</f>
        <v>0</v>
      </c>
      <c r="Q83" s="22" t="n">
        <f aca="false">IF(OR($A83="",N(L83)=0),0,CEILING(L83*(1+IF($O83="",Taux_Paye,$O83))-0.005,Pas_Arrondi))</f>
        <v>0</v>
      </c>
      <c r="R83" s="22" t="n">
        <f aca="false">IF(OR($A83="",N(M83)=0),0,CEILING(M83*(1+IF($O83="",Taux_Jur,$O83))-0.005,Pas_Arrondi))</f>
        <v>0</v>
      </c>
      <c r="S83" s="22" t="n">
        <f aca="false">IF(OR($A83="",N(N83)=0),0,CEILING(N83*(1+IF($O83="",Taux_PA,$O83))-0.005,Pas_Arrondi))</f>
        <v>0</v>
      </c>
      <c r="T83" s="22" t="str">
        <f aca="false">IF($A83="","",SUM(K83:N83))</f>
        <v/>
      </c>
      <c r="U83" s="22" t="str">
        <f aca="false">IF($A83="","",SUM(P83:S83))</f>
        <v/>
      </c>
      <c r="V83" s="22" t="str">
        <f aca="false">IF($A83="","",U83-T83)</f>
        <v/>
      </c>
      <c r="W83" s="23" t="str">
        <f aca="false">IF(OR($A83="",N(T83)=0),"",V83/T83)</f>
        <v/>
      </c>
      <c r="X83" s="18"/>
      <c r="Y83" s="18"/>
      <c r="Z83" s="24" t="str">
        <f aca="false">IF(AND($A83&lt;&gt;"",$X83="Oui",OR(Filtre_Masse="Tous les clients à envoyer",$Y83&lt;&gt;"Email")),MAX(Z$1:Z82)+1,"")</f>
        <v/>
      </c>
    </row>
    <row r="84" customFormat="false" ht="15" hidden="false" customHeight="false" outlineLevel="0" collapsed="false">
      <c r="A84" s="18"/>
      <c r="B84" s="18"/>
      <c r="C84" s="18"/>
      <c r="D84" s="18"/>
      <c r="E84" s="18"/>
      <c r="F84" s="18"/>
      <c r="G84" s="18"/>
      <c r="H84" s="19"/>
      <c r="I84" s="18"/>
      <c r="J84" s="18"/>
      <c r="K84" s="20"/>
      <c r="L84" s="20"/>
      <c r="M84" s="20"/>
      <c r="N84" s="20"/>
      <c r="O84" s="21"/>
      <c r="P84" s="22" t="n">
        <f aca="false">IF(OR($A84="",N(K84)=0),0,CEILING(K84*(1+IF($O84="",Taux_Compta,$O84))-0.005,Pas_Arrondi))</f>
        <v>0</v>
      </c>
      <c r="Q84" s="22" t="n">
        <f aca="false">IF(OR($A84="",N(L84)=0),0,CEILING(L84*(1+IF($O84="",Taux_Paye,$O84))-0.005,Pas_Arrondi))</f>
        <v>0</v>
      </c>
      <c r="R84" s="22" t="n">
        <f aca="false">IF(OR($A84="",N(M84)=0),0,CEILING(M84*(1+IF($O84="",Taux_Jur,$O84))-0.005,Pas_Arrondi))</f>
        <v>0</v>
      </c>
      <c r="S84" s="22" t="n">
        <f aca="false">IF(OR($A84="",N(N84)=0),0,CEILING(N84*(1+IF($O84="",Taux_PA,$O84))-0.005,Pas_Arrondi))</f>
        <v>0</v>
      </c>
      <c r="T84" s="22" t="str">
        <f aca="false">IF($A84="","",SUM(K84:N84))</f>
        <v/>
      </c>
      <c r="U84" s="22" t="str">
        <f aca="false">IF($A84="","",SUM(P84:S84))</f>
        <v/>
      </c>
      <c r="V84" s="22" t="str">
        <f aca="false">IF($A84="","",U84-T84)</f>
        <v/>
      </c>
      <c r="W84" s="23" t="str">
        <f aca="false">IF(OR($A84="",N(T84)=0),"",V84/T84)</f>
        <v/>
      </c>
      <c r="X84" s="18"/>
      <c r="Y84" s="18"/>
      <c r="Z84" s="24" t="str">
        <f aca="false">IF(AND($A84&lt;&gt;"",$X84="Oui",OR(Filtre_Masse="Tous les clients à envoyer",$Y84&lt;&gt;"Email")),MAX(Z$1:Z83)+1,"")</f>
        <v/>
      </c>
    </row>
    <row r="85" customFormat="false" ht="15" hidden="false" customHeight="false" outlineLevel="0" collapsed="false">
      <c r="A85" s="18"/>
      <c r="B85" s="18"/>
      <c r="C85" s="18"/>
      <c r="D85" s="18"/>
      <c r="E85" s="18"/>
      <c r="F85" s="18"/>
      <c r="G85" s="18"/>
      <c r="H85" s="19"/>
      <c r="I85" s="18"/>
      <c r="J85" s="18"/>
      <c r="K85" s="20"/>
      <c r="L85" s="20"/>
      <c r="M85" s="20"/>
      <c r="N85" s="20"/>
      <c r="O85" s="21"/>
      <c r="P85" s="22" t="n">
        <f aca="false">IF(OR($A85="",N(K85)=0),0,CEILING(K85*(1+IF($O85="",Taux_Compta,$O85))-0.005,Pas_Arrondi))</f>
        <v>0</v>
      </c>
      <c r="Q85" s="22" t="n">
        <f aca="false">IF(OR($A85="",N(L85)=0),0,CEILING(L85*(1+IF($O85="",Taux_Paye,$O85))-0.005,Pas_Arrondi))</f>
        <v>0</v>
      </c>
      <c r="R85" s="22" t="n">
        <f aca="false">IF(OR($A85="",N(M85)=0),0,CEILING(M85*(1+IF($O85="",Taux_Jur,$O85))-0.005,Pas_Arrondi))</f>
        <v>0</v>
      </c>
      <c r="S85" s="22" t="n">
        <f aca="false">IF(OR($A85="",N(N85)=0),0,CEILING(N85*(1+IF($O85="",Taux_PA,$O85))-0.005,Pas_Arrondi))</f>
        <v>0</v>
      </c>
      <c r="T85" s="22" t="str">
        <f aca="false">IF($A85="","",SUM(K85:N85))</f>
        <v/>
      </c>
      <c r="U85" s="22" t="str">
        <f aca="false">IF($A85="","",SUM(P85:S85))</f>
        <v/>
      </c>
      <c r="V85" s="22" t="str">
        <f aca="false">IF($A85="","",U85-T85)</f>
        <v/>
      </c>
      <c r="W85" s="23" t="str">
        <f aca="false">IF(OR($A85="",N(T85)=0),"",V85/T85)</f>
        <v/>
      </c>
      <c r="X85" s="18"/>
      <c r="Y85" s="18"/>
      <c r="Z85" s="24" t="str">
        <f aca="false">IF(AND($A85&lt;&gt;"",$X85="Oui",OR(Filtre_Masse="Tous les clients à envoyer",$Y85&lt;&gt;"Email")),MAX(Z$1:Z84)+1,"")</f>
        <v/>
      </c>
    </row>
    <row r="86" customFormat="false" ht="15" hidden="false" customHeight="false" outlineLevel="0" collapsed="false">
      <c r="A86" s="18"/>
      <c r="B86" s="18"/>
      <c r="C86" s="18"/>
      <c r="D86" s="18"/>
      <c r="E86" s="18"/>
      <c r="F86" s="18"/>
      <c r="G86" s="18"/>
      <c r="H86" s="19"/>
      <c r="I86" s="18"/>
      <c r="J86" s="18"/>
      <c r="K86" s="20"/>
      <c r="L86" s="20"/>
      <c r="M86" s="20"/>
      <c r="N86" s="20"/>
      <c r="O86" s="21"/>
      <c r="P86" s="22" t="n">
        <f aca="false">IF(OR($A86="",N(K86)=0),0,CEILING(K86*(1+IF($O86="",Taux_Compta,$O86))-0.005,Pas_Arrondi))</f>
        <v>0</v>
      </c>
      <c r="Q86" s="22" t="n">
        <f aca="false">IF(OR($A86="",N(L86)=0),0,CEILING(L86*(1+IF($O86="",Taux_Paye,$O86))-0.005,Pas_Arrondi))</f>
        <v>0</v>
      </c>
      <c r="R86" s="22" t="n">
        <f aca="false">IF(OR($A86="",N(M86)=0),0,CEILING(M86*(1+IF($O86="",Taux_Jur,$O86))-0.005,Pas_Arrondi))</f>
        <v>0</v>
      </c>
      <c r="S86" s="22" t="n">
        <f aca="false">IF(OR($A86="",N(N86)=0),0,CEILING(N86*(1+IF($O86="",Taux_PA,$O86))-0.005,Pas_Arrondi))</f>
        <v>0</v>
      </c>
      <c r="T86" s="22" t="str">
        <f aca="false">IF($A86="","",SUM(K86:N86))</f>
        <v/>
      </c>
      <c r="U86" s="22" t="str">
        <f aca="false">IF($A86="","",SUM(P86:S86))</f>
        <v/>
      </c>
      <c r="V86" s="22" t="str">
        <f aca="false">IF($A86="","",U86-T86)</f>
        <v/>
      </c>
      <c r="W86" s="23" t="str">
        <f aca="false">IF(OR($A86="",N(T86)=0),"",V86/T86)</f>
        <v/>
      </c>
      <c r="X86" s="18"/>
      <c r="Y86" s="18"/>
      <c r="Z86" s="24" t="str">
        <f aca="false">IF(AND($A86&lt;&gt;"",$X86="Oui",OR(Filtre_Masse="Tous les clients à envoyer",$Y86&lt;&gt;"Email")),MAX(Z$1:Z85)+1,"")</f>
        <v/>
      </c>
    </row>
    <row r="87" customFormat="false" ht="15" hidden="false" customHeight="false" outlineLevel="0" collapsed="false">
      <c r="A87" s="18"/>
      <c r="B87" s="18"/>
      <c r="C87" s="18"/>
      <c r="D87" s="18"/>
      <c r="E87" s="18"/>
      <c r="F87" s="18"/>
      <c r="G87" s="18"/>
      <c r="H87" s="19"/>
      <c r="I87" s="18"/>
      <c r="J87" s="18"/>
      <c r="K87" s="20"/>
      <c r="L87" s="20"/>
      <c r="M87" s="20"/>
      <c r="N87" s="20"/>
      <c r="O87" s="21"/>
      <c r="P87" s="22" t="n">
        <f aca="false">IF(OR($A87="",N(K87)=0),0,CEILING(K87*(1+IF($O87="",Taux_Compta,$O87))-0.005,Pas_Arrondi))</f>
        <v>0</v>
      </c>
      <c r="Q87" s="22" t="n">
        <f aca="false">IF(OR($A87="",N(L87)=0),0,CEILING(L87*(1+IF($O87="",Taux_Paye,$O87))-0.005,Pas_Arrondi))</f>
        <v>0</v>
      </c>
      <c r="R87" s="22" t="n">
        <f aca="false">IF(OR($A87="",N(M87)=0),0,CEILING(M87*(1+IF($O87="",Taux_Jur,$O87))-0.005,Pas_Arrondi))</f>
        <v>0</v>
      </c>
      <c r="S87" s="22" t="n">
        <f aca="false">IF(OR($A87="",N(N87)=0),0,CEILING(N87*(1+IF($O87="",Taux_PA,$O87))-0.005,Pas_Arrondi))</f>
        <v>0</v>
      </c>
      <c r="T87" s="22" t="str">
        <f aca="false">IF($A87="","",SUM(K87:N87))</f>
        <v/>
      </c>
      <c r="U87" s="22" t="str">
        <f aca="false">IF($A87="","",SUM(P87:S87))</f>
        <v/>
      </c>
      <c r="V87" s="22" t="str">
        <f aca="false">IF($A87="","",U87-T87)</f>
        <v/>
      </c>
      <c r="W87" s="23" t="str">
        <f aca="false">IF(OR($A87="",N(T87)=0),"",V87/T87)</f>
        <v/>
      </c>
      <c r="X87" s="18"/>
      <c r="Y87" s="18"/>
      <c r="Z87" s="24" t="str">
        <f aca="false">IF(AND($A87&lt;&gt;"",$X87="Oui",OR(Filtre_Masse="Tous les clients à envoyer",$Y87&lt;&gt;"Email")),MAX(Z$1:Z86)+1,"")</f>
        <v/>
      </c>
    </row>
    <row r="88" customFormat="false" ht="15" hidden="false" customHeight="false" outlineLevel="0" collapsed="false">
      <c r="A88" s="18"/>
      <c r="B88" s="18"/>
      <c r="C88" s="18"/>
      <c r="D88" s="18"/>
      <c r="E88" s="18"/>
      <c r="F88" s="18"/>
      <c r="G88" s="18"/>
      <c r="H88" s="19"/>
      <c r="I88" s="18"/>
      <c r="J88" s="18"/>
      <c r="K88" s="20"/>
      <c r="L88" s="20"/>
      <c r="M88" s="20"/>
      <c r="N88" s="20"/>
      <c r="O88" s="21"/>
      <c r="P88" s="22" t="n">
        <f aca="false">IF(OR($A88="",N(K88)=0),0,CEILING(K88*(1+IF($O88="",Taux_Compta,$O88))-0.005,Pas_Arrondi))</f>
        <v>0</v>
      </c>
      <c r="Q88" s="22" t="n">
        <f aca="false">IF(OR($A88="",N(L88)=0),0,CEILING(L88*(1+IF($O88="",Taux_Paye,$O88))-0.005,Pas_Arrondi))</f>
        <v>0</v>
      </c>
      <c r="R88" s="22" t="n">
        <f aca="false">IF(OR($A88="",N(M88)=0),0,CEILING(M88*(1+IF($O88="",Taux_Jur,$O88))-0.005,Pas_Arrondi))</f>
        <v>0</v>
      </c>
      <c r="S88" s="22" t="n">
        <f aca="false">IF(OR($A88="",N(N88)=0),0,CEILING(N88*(1+IF($O88="",Taux_PA,$O88))-0.005,Pas_Arrondi))</f>
        <v>0</v>
      </c>
      <c r="T88" s="22" t="str">
        <f aca="false">IF($A88="","",SUM(K88:N88))</f>
        <v/>
      </c>
      <c r="U88" s="22" t="str">
        <f aca="false">IF($A88="","",SUM(P88:S88))</f>
        <v/>
      </c>
      <c r="V88" s="22" t="str">
        <f aca="false">IF($A88="","",U88-T88)</f>
        <v/>
      </c>
      <c r="W88" s="23" t="str">
        <f aca="false">IF(OR($A88="",N(T88)=0),"",V88/T88)</f>
        <v/>
      </c>
      <c r="X88" s="18"/>
      <c r="Y88" s="18"/>
      <c r="Z88" s="24" t="str">
        <f aca="false">IF(AND($A88&lt;&gt;"",$X88="Oui",OR(Filtre_Masse="Tous les clients à envoyer",$Y88&lt;&gt;"Email")),MAX(Z$1:Z87)+1,"")</f>
        <v/>
      </c>
    </row>
    <row r="89" customFormat="false" ht="15" hidden="false" customHeight="false" outlineLevel="0" collapsed="false">
      <c r="A89" s="18"/>
      <c r="B89" s="18"/>
      <c r="C89" s="18"/>
      <c r="D89" s="18"/>
      <c r="E89" s="18"/>
      <c r="F89" s="18"/>
      <c r="G89" s="18"/>
      <c r="H89" s="19"/>
      <c r="I89" s="18"/>
      <c r="J89" s="18"/>
      <c r="K89" s="20"/>
      <c r="L89" s="20"/>
      <c r="M89" s="20"/>
      <c r="N89" s="20"/>
      <c r="O89" s="21"/>
      <c r="P89" s="22" t="n">
        <f aca="false">IF(OR($A89="",N(K89)=0),0,CEILING(K89*(1+IF($O89="",Taux_Compta,$O89))-0.005,Pas_Arrondi))</f>
        <v>0</v>
      </c>
      <c r="Q89" s="22" t="n">
        <f aca="false">IF(OR($A89="",N(L89)=0),0,CEILING(L89*(1+IF($O89="",Taux_Paye,$O89))-0.005,Pas_Arrondi))</f>
        <v>0</v>
      </c>
      <c r="R89" s="22" t="n">
        <f aca="false">IF(OR($A89="",N(M89)=0),0,CEILING(M89*(1+IF($O89="",Taux_Jur,$O89))-0.005,Pas_Arrondi))</f>
        <v>0</v>
      </c>
      <c r="S89" s="22" t="n">
        <f aca="false">IF(OR($A89="",N(N89)=0),0,CEILING(N89*(1+IF($O89="",Taux_PA,$O89))-0.005,Pas_Arrondi))</f>
        <v>0</v>
      </c>
      <c r="T89" s="22" t="str">
        <f aca="false">IF($A89="","",SUM(K89:N89))</f>
        <v/>
      </c>
      <c r="U89" s="22" t="str">
        <f aca="false">IF($A89="","",SUM(P89:S89))</f>
        <v/>
      </c>
      <c r="V89" s="22" t="str">
        <f aca="false">IF($A89="","",U89-T89)</f>
        <v/>
      </c>
      <c r="W89" s="23" t="str">
        <f aca="false">IF(OR($A89="",N(T89)=0),"",V89/T89)</f>
        <v/>
      </c>
      <c r="X89" s="18"/>
      <c r="Y89" s="18"/>
      <c r="Z89" s="24" t="str">
        <f aca="false">IF(AND($A89&lt;&gt;"",$X89="Oui",OR(Filtre_Masse="Tous les clients à envoyer",$Y89&lt;&gt;"Email")),MAX(Z$1:Z88)+1,"")</f>
        <v/>
      </c>
    </row>
    <row r="90" customFormat="false" ht="15" hidden="false" customHeight="false" outlineLevel="0" collapsed="false">
      <c r="A90" s="18"/>
      <c r="B90" s="18"/>
      <c r="C90" s="18"/>
      <c r="D90" s="18"/>
      <c r="E90" s="18"/>
      <c r="F90" s="18"/>
      <c r="G90" s="18"/>
      <c r="H90" s="19"/>
      <c r="I90" s="18"/>
      <c r="J90" s="18"/>
      <c r="K90" s="20"/>
      <c r="L90" s="20"/>
      <c r="M90" s="20"/>
      <c r="N90" s="20"/>
      <c r="O90" s="21"/>
      <c r="P90" s="22" t="n">
        <f aca="false">IF(OR($A90="",N(K90)=0),0,CEILING(K90*(1+IF($O90="",Taux_Compta,$O90))-0.005,Pas_Arrondi))</f>
        <v>0</v>
      </c>
      <c r="Q90" s="22" t="n">
        <f aca="false">IF(OR($A90="",N(L90)=0),0,CEILING(L90*(1+IF($O90="",Taux_Paye,$O90))-0.005,Pas_Arrondi))</f>
        <v>0</v>
      </c>
      <c r="R90" s="22" t="n">
        <f aca="false">IF(OR($A90="",N(M90)=0),0,CEILING(M90*(1+IF($O90="",Taux_Jur,$O90))-0.005,Pas_Arrondi))</f>
        <v>0</v>
      </c>
      <c r="S90" s="22" t="n">
        <f aca="false">IF(OR($A90="",N(N90)=0),0,CEILING(N90*(1+IF($O90="",Taux_PA,$O90))-0.005,Pas_Arrondi))</f>
        <v>0</v>
      </c>
      <c r="T90" s="22" t="str">
        <f aca="false">IF($A90="","",SUM(K90:N90))</f>
        <v/>
      </c>
      <c r="U90" s="22" t="str">
        <f aca="false">IF($A90="","",SUM(P90:S90))</f>
        <v/>
      </c>
      <c r="V90" s="22" t="str">
        <f aca="false">IF($A90="","",U90-T90)</f>
        <v/>
      </c>
      <c r="W90" s="23" t="str">
        <f aca="false">IF(OR($A90="",N(T90)=0),"",V90/T90)</f>
        <v/>
      </c>
      <c r="X90" s="18"/>
      <c r="Y90" s="18"/>
      <c r="Z90" s="24" t="str">
        <f aca="false">IF(AND($A90&lt;&gt;"",$X90="Oui",OR(Filtre_Masse="Tous les clients à envoyer",$Y90&lt;&gt;"Email")),MAX(Z$1:Z89)+1,"")</f>
        <v/>
      </c>
    </row>
    <row r="91" customFormat="false" ht="15" hidden="false" customHeight="false" outlineLevel="0" collapsed="false">
      <c r="A91" s="18"/>
      <c r="B91" s="18"/>
      <c r="C91" s="18"/>
      <c r="D91" s="18"/>
      <c r="E91" s="18"/>
      <c r="F91" s="18"/>
      <c r="G91" s="18"/>
      <c r="H91" s="19"/>
      <c r="I91" s="18"/>
      <c r="J91" s="18"/>
      <c r="K91" s="20"/>
      <c r="L91" s="20"/>
      <c r="M91" s="20"/>
      <c r="N91" s="20"/>
      <c r="O91" s="21"/>
      <c r="P91" s="22" t="n">
        <f aca="false">IF(OR($A91="",N(K91)=0),0,CEILING(K91*(1+IF($O91="",Taux_Compta,$O91))-0.005,Pas_Arrondi))</f>
        <v>0</v>
      </c>
      <c r="Q91" s="22" t="n">
        <f aca="false">IF(OR($A91="",N(L91)=0),0,CEILING(L91*(1+IF($O91="",Taux_Paye,$O91))-0.005,Pas_Arrondi))</f>
        <v>0</v>
      </c>
      <c r="R91" s="22" t="n">
        <f aca="false">IF(OR($A91="",N(M91)=0),0,CEILING(M91*(1+IF($O91="",Taux_Jur,$O91))-0.005,Pas_Arrondi))</f>
        <v>0</v>
      </c>
      <c r="S91" s="22" t="n">
        <f aca="false">IF(OR($A91="",N(N91)=0),0,CEILING(N91*(1+IF($O91="",Taux_PA,$O91))-0.005,Pas_Arrondi))</f>
        <v>0</v>
      </c>
      <c r="T91" s="22" t="str">
        <f aca="false">IF($A91="","",SUM(K91:N91))</f>
        <v/>
      </c>
      <c r="U91" s="22" t="str">
        <f aca="false">IF($A91="","",SUM(P91:S91))</f>
        <v/>
      </c>
      <c r="V91" s="22" t="str">
        <f aca="false">IF($A91="","",U91-T91)</f>
        <v/>
      </c>
      <c r="W91" s="23" t="str">
        <f aca="false">IF(OR($A91="",N(T91)=0),"",V91/T91)</f>
        <v/>
      </c>
      <c r="X91" s="18"/>
      <c r="Y91" s="18"/>
      <c r="Z91" s="24" t="str">
        <f aca="false">IF(AND($A91&lt;&gt;"",$X91="Oui",OR(Filtre_Masse="Tous les clients à envoyer",$Y91&lt;&gt;"Email")),MAX(Z$1:Z90)+1,"")</f>
        <v/>
      </c>
    </row>
    <row r="92" customFormat="false" ht="15" hidden="false" customHeight="false" outlineLevel="0" collapsed="false">
      <c r="A92" s="18"/>
      <c r="B92" s="18"/>
      <c r="C92" s="18"/>
      <c r="D92" s="18"/>
      <c r="E92" s="18"/>
      <c r="F92" s="18"/>
      <c r="G92" s="18"/>
      <c r="H92" s="19"/>
      <c r="I92" s="18"/>
      <c r="J92" s="18"/>
      <c r="K92" s="20"/>
      <c r="L92" s="20"/>
      <c r="M92" s="20"/>
      <c r="N92" s="20"/>
      <c r="O92" s="21"/>
      <c r="P92" s="22" t="n">
        <f aca="false">IF(OR($A92="",N(K92)=0),0,CEILING(K92*(1+IF($O92="",Taux_Compta,$O92))-0.005,Pas_Arrondi))</f>
        <v>0</v>
      </c>
      <c r="Q92" s="22" t="n">
        <f aca="false">IF(OR($A92="",N(L92)=0),0,CEILING(L92*(1+IF($O92="",Taux_Paye,$O92))-0.005,Pas_Arrondi))</f>
        <v>0</v>
      </c>
      <c r="R92" s="22" t="n">
        <f aca="false">IF(OR($A92="",N(M92)=0),0,CEILING(M92*(1+IF($O92="",Taux_Jur,$O92))-0.005,Pas_Arrondi))</f>
        <v>0</v>
      </c>
      <c r="S92" s="22" t="n">
        <f aca="false">IF(OR($A92="",N(N92)=0),0,CEILING(N92*(1+IF($O92="",Taux_PA,$O92))-0.005,Pas_Arrondi))</f>
        <v>0</v>
      </c>
      <c r="T92" s="22" t="str">
        <f aca="false">IF($A92="","",SUM(K92:N92))</f>
        <v/>
      </c>
      <c r="U92" s="22" t="str">
        <f aca="false">IF($A92="","",SUM(P92:S92))</f>
        <v/>
      </c>
      <c r="V92" s="22" t="str">
        <f aca="false">IF($A92="","",U92-T92)</f>
        <v/>
      </c>
      <c r="W92" s="23" t="str">
        <f aca="false">IF(OR($A92="",N(T92)=0),"",V92/T92)</f>
        <v/>
      </c>
      <c r="X92" s="18"/>
      <c r="Y92" s="18"/>
      <c r="Z92" s="24" t="str">
        <f aca="false">IF(AND($A92&lt;&gt;"",$X92="Oui",OR(Filtre_Masse="Tous les clients à envoyer",$Y92&lt;&gt;"Email")),MAX(Z$1:Z91)+1,"")</f>
        <v/>
      </c>
    </row>
    <row r="93" customFormat="false" ht="15" hidden="false" customHeight="false" outlineLevel="0" collapsed="false">
      <c r="A93" s="18"/>
      <c r="B93" s="18"/>
      <c r="C93" s="18"/>
      <c r="D93" s="18"/>
      <c r="E93" s="18"/>
      <c r="F93" s="18"/>
      <c r="G93" s="18"/>
      <c r="H93" s="19"/>
      <c r="I93" s="18"/>
      <c r="J93" s="18"/>
      <c r="K93" s="20"/>
      <c r="L93" s="20"/>
      <c r="M93" s="20"/>
      <c r="N93" s="20"/>
      <c r="O93" s="21"/>
      <c r="P93" s="22" t="n">
        <f aca="false">IF(OR($A93="",N(K93)=0),0,CEILING(K93*(1+IF($O93="",Taux_Compta,$O93))-0.005,Pas_Arrondi))</f>
        <v>0</v>
      </c>
      <c r="Q93" s="22" t="n">
        <f aca="false">IF(OR($A93="",N(L93)=0),0,CEILING(L93*(1+IF($O93="",Taux_Paye,$O93))-0.005,Pas_Arrondi))</f>
        <v>0</v>
      </c>
      <c r="R93" s="22" t="n">
        <f aca="false">IF(OR($A93="",N(M93)=0),0,CEILING(M93*(1+IF($O93="",Taux_Jur,$O93))-0.005,Pas_Arrondi))</f>
        <v>0</v>
      </c>
      <c r="S93" s="22" t="n">
        <f aca="false">IF(OR($A93="",N(N93)=0),0,CEILING(N93*(1+IF($O93="",Taux_PA,$O93))-0.005,Pas_Arrondi))</f>
        <v>0</v>
      </c>
      <c r="T93" s="22" t="str">
        <f aca="false">IF($A93="","",SUM(K93:N93))</f>
        <v/>
      </c>
      <c r="U93" s="22" t="str">
        <f aca="false">IF($A93="","",SUM(P93:S93))</f>
        <v/>
      </c>
      <c r="V93" s="22" t="str">
        <f aca="false">IF($A93="","",U93-T93)</f>
        <v/>
      </c>
      <c r="W93" s="23" t="str">
        <f aca="false">IF(OR($A93="",N(T93)=0),"",V93/T93)</f>
        <v/>
      </c>
      <c r="X93" s="18"/>
      <c r="Y93" s="18"/>
      <c r="Z93" s="24" t="str">
        <f aca="false">IF(AND($A93&lt;&gt;"",$X93="Oui",OR(Filtre_Masse="Tous les clients à envoyer",$Y93&lt;&gt;"Email")),MAX(Z$1:Z92)+1,"")</f>
        <v/>
      </c>
    </row>
    <row r="94" customFormat="false" ht="15" hidden="false" customHeight="false" outlineLevel="0" collapsed="false">
      <c r="A94" s="18"/>
      <c r="B94" s="18"/>
      <c r="C94" s="18"/>
      <c r="D94" s="18"/>
      <c r="E94" s="18"/>
      <c r="F94" s="18"/>
      <c r="G94" s="18"/>
      <c r="H94" s="19"/>
      <c r="I94" s="18"/>
      <c r="J94" s="18"/>
      <c r="K94" s="20"/>
      <c r="L94" s="20"/>
      <c r="M94" s="20"/>
      <c r="N94" s="20"/>
      <c r="O94" s="21"/>
      <c r="P94" s="22" t="n">
        <f aca="false">IF(OR($A94="",N(K94)=0),0,CEILING(K94*(1+IF($O94="",Taux_Compta,$O94))-0.005,Pas_Arrondi))</f>
        <v>0</v>
      </c>
      <c r="Q94" s="22" t="n">
        <f aca="false">IF(OR($A94="",N(L94)=0),0,CEILING(L94*(1+IF($O94="",Taux_Paye,$O94))-0.005,Pas_Arrondi))</f>
        <v>0</v>
      </c>
      <c r="R94" s="22" t="n">
        <f aca="false">IF(OR($A94="",N(M94)=0),0,CEILING(M94*(1+IF($O94="",Taux_Jur,$O94))-0.005,Pas_Arrondi))</f>
        <v>0</v>
      </c>
      <c r="S94" s="22" t="n">
        <f aca="false">IF(OR($A94="",N(N94)=0),0,CEILING(N94*(1+IF($O94="",Taux_PA,$O94))-0.005,Pas_Arrondi))</f>
        <v>0</v>
      </c>
      <c r="T94" s="22" t="str">
        <f aca="false">IF($A94="","",SUM(K94:N94))</f>
        <v/>
      </c>
      <c r="U94" s="22" t="str">
        <f aca="false">IF($A94="","",SUM(P94:S94))</f>
        <v/>
      </c>
      <c r="V94" s="22" t="str">
        <f aca="false">IF($A94="","",U94-T94)</f>
        <v/>
      </c>
      <c r="W94" s="23" t="str">
        <f aca="false">IF(OR($A94="",N(T94)=0),"",V94/T94)</f>
        <v/>
      </c>
      <c r="X94" s="18"/>
      <c r="Y94" s="18"/>
      <c r="Z94" s="24" t="str">
        <f aca="false">IF(AND($A94&lt;&gt;"",$X94="Oui",OR(Filtre_Masse="Tous les clients à envoyer",$Y94&lt;&gt;"Email")),MAX(Z$1:Z93)+1,"")</f>
        <v/>
      </c>
    </row>
    <row r="95" customFormat="false" ht="15" hidden="false" customHeight="false" outlineLevel="0" collapsed="false">
      <c r="A95" s="18"/>
      <c r="B95" s="18"/>
      <c r="C95" s="18"/>
      <c r="D95" s="18"/>
      <c r="E95" s="18"/>
      <c r="F95" s="18"/>
      <c r="G95" s="18"/>
      <c r="H95" s="19"/>
      <c r="I95" s="18"/>
      <c r="J95" s="18"/>
      <c r="K95" s="20"/>
      <c r="L95" s="20"/>
      <c r="M95" s="20"/>
      <c r="N95" s="20"/>
      <c r="O95" s="21"/>
      <c r="P95" s="22" t="n">
        <f aca="false">IF(OR($A95="",N(K95)=0),0,CEILING(K95*(1+IF($O95="",Taux_Compta,$O95))-0.005,Pas_Arrondi))</f>
        <v>0</v>
      </c>
      <c r="Q95" s="22" t="n">
        <f aca="false">IF(OR($A95="",N(L95)=0),0,CEILING(L95*(1+IF($O95="",Taux_Paye,$O95))-0.005,Pas_Arrondi))</f>
        <v>0</v>
      </c>
      <c r="R95" s="22" t="n">
        <f aca="false">IF(OR($A95="",N(M95)=0),0,CEILING(M95*(1+IF($O95="",Taux_Jur,$O95))-0.005,Pas_Arrondi))</f>
        <v>0</v>
      </c>
      <c r="S95" s="22" t="n">
        <f aca="false">IF(OR($A95="",N(N95)=0),0,CEILING(N95*(1+IF($O95="",Taux_PA,$O95))-0.005,Pas_Arrondi))</f>
        <v>0</v>
      </c>
      <c r="T95" s="22" t="str">
        <f aca="false">IF($A95="","",SUM(K95:N95))</f>
        <v/>
      </c>
      <c r="U95" s="22" t="str">
        <f aca="false">IF($A95="","",SUM(P95:S95))</f>
        <v/>
      </c>
      <c r="V95" s="22" t="str">
        <f aca="false">IF($A95="","",U95-T95)</f>
        <v/>
      </c>
      <c r="W95" s="23" t="str">
        <f aca="false">IF(OR($A95="",N(T95)=0),"",V95/T95)</f>
        <v/>
      </c>
      <c r="X95" s="18"/>
      <c r="Y95" s="18"/>
      <c r="Z95" s="24" t="str">
        <f aca="false">IF(AND($A95&lt;&gt;"",$X95="Oui",OR(Filtre_Masse="Tous les clients à envoyer",$Y95&lt;&gt;"Email")),MAX(Z$1:Z94)+1,"")</f>
        <v/>
      </c>
    </row>
    <row r="96" customFormat="false" ht="15" hidden="false" customHeight="false" outlineLevel="0" collapsed="false">
      <c r="A96" s="18"/>
      <c r="B96" s="18"/>
      <c r="C96" s="18"/>
      <c r="D96" s="18"/>
      <c r="E96" s="18"/>
      <c r="F96" s="18"/>
      <c r="G96" s="18"/>
      <c r="H96" s="19"/>
      <c r="I96" s="18"/>
      <c r="J96" s="18"/>
      <c r="K96" s="20"/>
      <c r="L96" s="20"/>
      <c r="M96" s="20"/>
      <c r="N96" s="20"/>
      <c r="O96" s="21"/>
      <c r="P96" s="22" t="n">
        <f aca="false">IF(OR($A96="",N(K96)=0),0,CEILING(K96*(1+IF($O96="",Taux_Compta,$O96))-0.005,Pas_Arrondi))</f>
        <v>0</v>
      </c>
      <c r="Q96" s="22" t="n">
        <f aca="false">IF(OR($A96="",N(L96)=0),0,CEILING(L96*(1+IF($O96="",Taux_Paye,$O96))-0.005,Pas_Arrondi))</f>
        <v>0</v>
      </c>
      <c r="R96" s="22" t="n">
        <f aca="false">IF(OR($A96="",N(M96)=0),0,CEILING(M96*(1+IF($O96="",Taux_Jur,$O96))-0.005,Pas_Arrondi))</f>
        <v>0</v>
      </c>
      <c r="S96" s="22" t="n">
        <f aca="false">IF(OR($A96="",N(N96)=0),0,CEILING(N96*(1+IF($O96="",Taux_PA,$O96))-0.005,Pas_Arrondi))</f>
        <v>0</v>
      </c>
      <c r="T96" s="22" t="str">
        <f aca="false">IF($A96="","",SUM(K96:N96))</f>
        <v/>
      </c>
      <c r="U96" s="22" t="str">
        <f aca="false">IF($A96="","",SUM(P96:S96))</f>
        <v/>
      </c>
      <c r="V96" s="22" t="str">
        <f aca="false">IF($A96="","",U96-T96)</f>
        <v/>
      </c>
      <c r="W96" s="23" t="str">
        <f aca="false">IF(OR($A96="",N(T96)=0),"",V96/T96)</f>
        <v/>
      </c>
      <c r="X96" s="18"/>
      <c r="Y96" s="18"/>
      <c r="Z96" s="24" t="str">
        <f aca="false">IF(AND($A96&lt;&gt;"",$X96="Oui",OR(Filtre_Masse="Tous les clients à envoyer",$Y96&lt;&gt;"Email")),MAX(Z$1:Z95)+1,"")</f>
        <v/>
      </c>
    </row>
    <row r="97" customFormat="false" ht="15" hidden="false" customHeight="false" outlineLevel="0" collapsed="false">
      <c r="A97" s="18"/>
      <c r="B97" s="18"/>
      <c r="C97" s="18"/>
      <c r="D97" s="18"/>
      <c r="E97" s="18"/>
      <c r="F97" s="18"/>
      <c r="G97" s="18"/>
      <c r="H97" s="19"/>
      <c r="I97" s="18"/>
      <c r="J97" s="18"/>
      <c r="K97" s="20"/>
      <c r="L97" s="20"/>
      <c r="M97" s="20"/>
      <c r="N97" s="20"/>
      <c r="O97" s="21"/>
      <c r="P97" s="22" t="n">
        <f aca="false">IF(OR($A97="",N(K97)=0),0,CEILING(K97*(1+IF($O97="",Taux_Compta,$O97))-0.005,Pas_Arrondi))</f>
        <v>0</v>
      </c>
      <c r="Q97" s="22" t="n">
        <f aca="false">IF(OR($A97="",N(L97)=0),0,CEILING(L97*(1+IF($O97="",Taux_Paye,$O97))-0.005,Pas_Arrondi))</f>
        <v>0</v>
      </c>
      <c r="R97" s="22" t="n">
        <f aca="false">IF(OR($A97="",N(M97)=0),0,CEILING(M97*(1+IF($O97="",Taux_Jur,$O97))-0.005,Pas_Arrondi))</f>
        <v>0</v>
      </c>
      <c r="S97" s="22" t="n">
        <f aca="false">IF(OR($A97="",N(N97)=0),0,CEILING(N97*(1+IF($O97="",Taux_PA,$O97))-0.005,Pas_Arrondi))</f>
        <v>0</v>
      </c>
      <c r="T97" s="22" t="str">
        <f aca="false">IF($A97="","",SUM(K97:N97))</f>
        <v/>
      </c>
      <c r="U97" s="22" t="str">
        <f aca="false">IF($A97="","",SUM(P97:S97))</f>
        <v/>
      </c>
      <c r="V97" s="22" t="str">
        <f aca="false">IF($A97="","",U97-T97)</f>
        <v/>
      </c>
      <c r="W97" s="23" t="str">
        <f aca="false">IF(OR($A97="",N(T97)=0),"",V97/T97)</f>
        <v/>
      </c>
      <c r="X97" s="18"/>
      <c r="Y97" s="18"/>
      <c r="Z97" s="24" t="str">
        <f aca="false">IF(AND($A97&lt;&gt;"",$X97="Oui",OR(Filtre_Masse="Tous les clients à envoyer",$Y97&lt;&gt;"Email")),MAX(Z$1:Z96)+1,"")</f>
        <v/>
      </c>
    </row>
    <row r="98" customFormat="false" ht="15" hidden="false" customHeight="false" outlineLevel="0" collapsed="false">
      <c r="A98" s="18"/>
      <c r="B98" s="18"/>
      <c r="C98" s="18"/>
      <c r="D98" s="18"/>
      <c r="E98" s="18"/>
      <c r="F98" s="18"/>
      <c r="G98" s="18"/>
      <c r="H98" s="19"/>
      <c r="I98" s="18"/>
      <c r="J98" s="18"/>
      <c r="K98" s="20"/>
      <c r="L98" s="20"/>
      <c r="M98" s="20"/>
      <c r="N98" s="20"/>
      <c r="O98" s="21"/>
      <c r="P98" s="22" t="n">
        <f aca="false">IF(OR($A98="",N(K98)=0),0,CEILING(K98*(1+IF($O98="",Taux_Compta,$O98))-0.005,Pas_Arrondi))</f>
        <v>0</v>
      </c>
      <c r="Q98" s="22" t="n">
        <f aca="false">IF(OR($A98="",N(L98)=0),0,CEILING(L98*(1+IF($O98="",Taux_Paye,$O98))-0.005,Pas_Arrondi))</f>
        <v>0</v>
      </c>
      <c r="R98" s="22" t="n">
        <f aca="false">IF(OR($A98="",N(M98)=0),0,CEILING(M98*(1+IF($O98="",Taux_Jur,$O98))-0.005,Pas_Arrondi))</f>
        <v>0</v>
      </c>
      <c r="S98" s="22" t="n">
        <f aca="false">IF(OR($A98="",N(N98)=0),0,CEILING(N98*(1+IF($O98="",Taux_PA,$O98))-0.005,Pas_Arrondi))</f>
        <v>0</v>
      </c>
      <c r="T98" s="22" t="str">
        <f aca="false">IF($A98="","",SUM(K98:N98))</f>
        <v/>
      </c>
      <c r="U98" s="22" t="str">
        <f aca="false">IF($A98="","",SUM(P98:S98))</f>
        <v/>
      </c>
      <c r="V98" s="22" t="str">
        <f aca="false">IF($A98="","",U98-T98)</f>
        <v/>
      </c>
      <c r="W98" s="23" t="str">
        <f aca="false">IF(OR($A98="",N(T98)=0),"",V98/T98)</f>
        <v/>
      </c>
      <c r="X98" s="18"/>
      <c r="Y98" s="18"/>
      <c r="Z98" s="24" t="str">
        <f aca="false">IF(AND($A98&lt;&gt;"",$X98="Oui",OR(Filtre_Masse="Tous les clients à envoyer",$Y98&lt;&gt;"Email")),MAX(Z$1:Z97)+1,"")</f>
        <v/>
      </c>
    </row>
    <row r="99" customFormat="false" ht="15" hidden="false" customHeight="false" outlineLevel="0" collapsed="false">
      <c r="A99" s="18"/>
      <c r="B99" s="18"/>
      <c r="C99" s="18"/>
      <c r="D99" s="18"/>
      <c r="E99" s="18"/>
      <c r="F99" s="18"/>
      <c r="G99" s="18"/>
      <c r="H99" s="19"/>
      <c r="I99" s="18"/>
      <c r="J99" s="18"/>
      <c r="K99" s="20"/>
      <c r="L99" s="20"/>
      <c r="M99" s="20"/>
      <c r="N99" s="20"/>
      <c r="O99" s="21"/>
      <c r="P99" s="22" t="n">
        <f aca="false">IF(OR($A99="",N(K99)=0),0,CEILING(K99*(1+IF($O99="",Taux_Compta,$O99))-0.005,Pas_Arrondi))</f>
        <v>0</v>
      </c>
      <c r="Q99" s="22" t="n">
        <f aca="false">IF(OR($A99="",N(L99)=0),0,CEILING(L99*(1+IF($O99="",Taux_Paye,$O99))-0.005,Pas_Arrondi))</f>
        <v>0</v>
      </c>
      <c r="R99" s="22" t="n">
        <f aca="false">IF(OR($A99="",N(M99)=0),0,CEILING(M99*(1+IF($O99="",Taux_Jur,$O99))-0.005,Pas_Arrondi))</f>
        <v>0</v>
      </c>
      <c r="S99" s="22" t="n">
        <f aca="false">IF(OR($A99="",N(N99)=0),0,CEILING(N99*(1+IF($O99="",Taux_PA,$O99))-0.005,Pas_Arrondi))</f>
        <v>0</v>
      </c>
      <c r="T99" s="22" t="str">
        <f aca="false">IF($A99="","",SUM(K99:N99))</f>
        <v/>
      </c>
      <c r="U99" s="22" t="str">
        <f aca="false">IF($A99="","",SUM(P99:S99))</f>
        <v/>
      </c>
      <c r="V99" s="22" t="str">
        <f aca="false">IF($A99="","",U99-T99)</f>
        <v/>
      </c>
      <c r="W99" s="23" t="str">
        <f aca="false">IF(OR($A99="",N(T99)=0),"",V99/T99)</f>
        <v/>
      </c>
      <c r="X99" s="18"/>
      <c r="Y99" s="18"/>
      <c r="Z99" s="24" t="str">
        <f aca="false">IF(AND($A99&lt;&gt;"",$X99="Oui",OR(Filtre_Masse="Tous les clients à envoyer",$Y99&lt;&gt;"Email")),MAX(Z$1:Z98)+1,"")</f>
        <v/>
      </c>
    </row>
    <row r="100" customFormat="false" ht="15" hidden="false" customHeight="false" outlineLevel="0" collapsed="false">
      <c r="A100" s="18"/>
      <c r="B100" s="18"/>
      <c r="C100" s="18"/>
      <c r="D100" s="18"/>
      <c r="E100" s="18"/>
      <c r="F100" s="18"/>
      <c r="G100" s="18"/>
      <c r="H100" s="19"/>
      <c r="I100" s="18"/>
      <c r="J100" s="18"/>
      <c r="K100" s="20"/>
      <c r="L100" s="20"/>
      <c r="M100" s="20"/>
      <c r="N100" s="20"/>
      <c r="O100" s="21"/>
      <c r="P100" s="22" t="n">
        <f aca="false">IF(OR($A100="",N(K100)=0),0,CEILING(K100*(1+IF($O100="",Taux_Compta,$O100))-0.005,Pas_Arrondi))</f>
        <v>0</v>
      </c>
      <c r="Q100" s="22" t="n">
        <f aca="false">IF(OR($A100="",N(L100)=0),0,CEILING(L100*(1+IF($O100="",Taux_Paye,$O100))-0.005,Pas_Arrondi))</f>
        <v>0</v>
      </c>
      <c r="R100" s="22" t="n">
        <f aca="false">IF(OR($A100="",N(M100)=0),0,CEILING(M100*(1+IF($O100="",Taux_Jur,$O100))-0.005,Pas_Arrondi))</f>
        <v>0</v>
      </c>
      <c r="S100" s="22" t="n">
        <f aca="false">IF(OR($A100="",N(N100)=0),0,CEILING(N100*(1+IF($O100="",Taux_PA,$O100))-0.005,Pas_Arrondi))</f>
        <v>0</v>
      </c>
      <c r="T100" s="22" t="str">
        <f aca="false">IF($A100="","",SUM(K100:N100))</f>
        <v/>
      </c>
      <c r="U100" s="22" t="str">
        <f aca="false">IF($A100="","",SUM(P100:S100))</f>
        <v/>
      </c>
      <c r="V100" s="22" t="str">
        <f aca="false">IF($A100="","",U100-T100)</f>
        <v/>
      </c>
      <c r="W100" s="23" t="str">
        <f aca="false">IF(OR($A100="",N(T100)=0),"",V100/T100)</f>
        <v/>
      </c>
      <c r="X100" s="18"/>
      <c r="Y100" s="18"/>
      <c r="Z100" s="24" t="str">
        <f aca="false">IF(AND($A100&lt;&gt;"",$X100="Oui",OR(Filtre_Masse="Tous les clients à envoyer",$Y100&lt;&gt;"Email")),MAX(Z$1:Z99)+1,"")</f>
        <v/>
      </c>
    </row>
    <row r="101" customFormat="false" ht="15" hidden="false" customHeight="false" outlineLevel="0" collapsed="false">
      <c r="A101" s="18"/>
      <c r="B101" s="18"/>
      <c r="C101" s="18"/>
      <c r="D101" s="18"/>
      <c r="E101" s="18"/>
      <c r="F101" s="18"/>
      <c r="G101" s="18"/>
      <c r="H101" s="19"/>
      <c r="I101" s="18"/>
      <c r="J101" s="18"/>
      <c r="K101" s="20"/>
      <c r="L101" s="20"/>
      <c r="M101" s="20"/>
      <c r="N101" s="20"/>
      <c r="O101" s="21"/>
      <c r="P101" s="22" t="n">
        <f aca="false">IF(OR($A101="",N(K101)=0),0,CEILING(K101*(1+IF($O101="",Taux_Compta,$O101))-0.005,Pas_Arrondi))</f>
        <v>0</v>
      </c>
      <c r="Q101" s="22" t="n">
        <f aca="false">IF(OR($A101="",N(L101)=0),0,CEILING(L101*(1+IF($O101="",Taux_Paye,$O101))-0.005,Pas_Arrondi))</f>
        <v>0</v>
      </c>
      <c r="R101" s="22" t="n">
        <f aca="false">IF(OR($A101="",N(M101)=0),0,CEILING(M101*(1+IF($O101="",Taux_Jur,$O101))-0.005,Pas_Arrondi))</f>
        <v>0</v>
      </c>
      <c r="S101" s="22" t="n">
        <f aca="false">IF(OR($A101="",N(N101)=0),0,CEILING(N101*(1+IF($O101="",Taux_PA,$O101))-0.005,Pas_Arrondi))</f>
        <v>0</v>
      </c>
      <c r="T101" s="22" t="str">
        <f aca="false">IF($A101="","",SUM(K101:N101))</f>
        <v/>
      </c>
      <c r="U101" s="22" t="str">
        <f aca="false">IF($A101="","",SUM(P101:S101))</f>
        <v/>
      </c>
      <c r="V101" s="22" t="str">
        <f aca="false">IF($A101="","",U101-T101)</f>
        <v/>
      </c>
      <c r="W101" s="23" t="str">
        <f aca="false">IF(OR($A101="",N(T101)=0),"",V101/T101)</f>
        <v/>
      </c>
      <c r="X101" s="18"/>
      <c r="Y101" s="18"/>
      <c r="Z101" s="24" t="str">
        <f aca="false">IF(AND($A101&lt;&gt;"",$X101="Oui",OR(Filtre_Masse="Tous les clients à envoyer",$Y101&lt;&gt;"Email")),MAX(Z$1:Z100)+1,"")</f>
        <v/>
      </c>
    </row>
    <row r="102" customFormat="false" ht="15" hidden="false" customHeight="false" outlineLevel="0" collapsed="false">
      <c r="A102" s="18"/>
      <c r="B102" s="18"/>
      <c r="C102" s="18"/>
      <c r="D102" s="18"/>
      <c r="E102" s="18"/>
      <c r="F102" s="18"/>
      <c r="G102" s="18"/>
      <c r="H102" s="19"/>
      <c r="I102" s="18"/>
      <c r="J102" s="18"/>
      <c r="K102" s="20"/>
      <c r="L102" s="20"/>
      <c r="M102" s="20"/>
      <c r="N102" s="20"/>
      <c r="O102" s="21"/>
      <c r="P102" s="22" t="n">
        <f aca="false">IF(OR($A102="",N(K102)=0),0,CEILING(K102*(1+IF($O102="",Taux_Compta,$O102))-0.005,Pas_Arrondi))</f>
        <v>0</v>
      </c>
      <c r="Q102" s="22" t="n">
        <f aca="false">IF(OR($A102="",N(L102)=0),0,CEILING(L102*(1+IF($O102="",Taux_Paye,$O102))-0.005,Pas_Arrondi))</f>
        <v>0</v>
      </c>
      <c r="R102" s="22" t="n">
        <f aca="false">IF(OR($A102="",N(M102)=0),0,CEILING(M102*(1+IF($O102="",Taux_Jur,$O102))-0.005,Pas_Arrondi))</f>
        <v>0</v>
      </c>
      <c r="S102" s="22" t="n">
        <f aca="false">IF(OR($A102="",N(N102)=0),0,CEILING(N102*(1+IF($O102="",Taux_PA,$O102))-0.005,Pas_Arrondi))</f>
        <v>0</v>
      </c>
      <c r="T102" s="22" t="str">
        <f aca="false">IF($A102="","",SUM(K102:N102))</f>
        <v/>
      </c>
      <c r="U102" s="22" t="str">
        <f aca="false">IF($A102="","",SUM(P102:S102))</f>
        <v/>
      </c>
      <c r="V102" s="22" t="str">
        <f aca="false">IF($A102="","",U102-T102)</f>
        <v/>
      </c>
      <c r="W102" s="23" t="str">
        <f aca="false">IF(OR($A102="",N(T102)=0),"",V102/T102)</f>
        <v/>
      </c>
      <c r="X102" s="18"/>
      <c r="Y102" s="18"/>
      <c r="Z102" s="24" t="str">
        <f aca="false">IF(AND($A102&lt;&gt;"",$X102="Oui",OR(Filtre_Masse="Tous les clients à envoyer",$Y102&lt;&gt;"Email")),MAX(Z$1:Z101)+1,"")</f>
        <v/>
      </c>
    </row>
    <row r="103" customFormat="false" ht="15" hidden="false" customHeight="false" outlineLevel="0" collapsed="false">
      <c r="A103" s="18"/>
      <c r="B103" s="18"/>
      <c r="C103" s="18"/>
      <c r="D103" s="18"/>
      <c r="E103" s="18"/>
      <c r="F103" s="18"/>
      <c r="G103" s="18"/>
      <c r="H103" s="19"/>
      <c r="I103" s="18"/>
      <c r="J103" s="18"/>
      <c r="K103" s="20"/>
      <c r="L103" s="20"/>
      <c r="M103" s="20"/>
      <c r="N103" s="20"/>
      <c r="O103" s="21"/>
      <c r="P103" s="22" t="n">
        <f aca="false">IF(OR($A103="",N(K103)=0),0,CEILING(K103*(1+IF($O103="",Taux_Compta,$O103))-0.005,Pas_Arrondi))</f>
        <v>0</v>
      </c>
      <c r="Q103" s="22" t="n">
        <f aca="false">IF(OR($A103="",N(L103)=0),0,CEILING(L103*(1+IF($O103="",Taux_Paye,$O103))-0.005,Pas_Arrondi))</f>
        <v>0</v>
      </c>
      <c r="R103" s="22" t="n">
        <f aca="false">IF(OR($A103="",N(M103)=0),0,CEILING(M103*(1+IF($O103="",Taux_Jur,$O103))-0.005,Pas_Arrondi))</f>
        <v>0</v>
      </c>
      <c r="S103" s="22" t="n">
        <f aca="false">IF(OR($A103="",N(N103)=0),0,CEILING(N103*(1+IF($O103="",Taux_PA,$O103))-0.005,Pas_Arrondi))</f>
        <v>0</v>
      </c>
      <c r="T103" s="22" t="str">
        <f aca="false">IF($A103="","",SUM(K103:N103))</f>
        <v/>
      </c>
      <c r="U103" s="22" t="str">
        <f aca="false">IF($A103="","",SUM(P103:S103))</f>
        <v/>
      </c>
      <c r="V103" s="22" t="str">
        <f aca="false">IF($A103="","",U103-T103)</f>
        <v/>
      </c>
      <c r="W103" s="23" t="str">
        <f aca="false">IF(OR($A103="",N(T103)=0),"",V103/T103)</f>
        <v/>
      </c>
      <c r="X103" s="18"/>
      <c r="Y103" s="18"/>
      <c r="Z103" s="24" t="str">
        <f aca="false">IF(AND($A103&lt;&gt;"",$X103="Oui",OR(Filtre_Masse="Tous les clients à envoyer",$Y103&lt;&gt;"Email")),MAX(Z$1:Z102)+1,"")</f>
        <v/>
      </c>
    </row>
    <row r="104" customFormat="false" ht="15" hidden="false" customHeight="false" outlineLevel="0" collapsed="false">
      <c r="A104" s="18"/>
      <c r="B104" s="18"/>
      <c r="C104" s="18"/>
      <c r="D104" s="18"/>
      <c r="E104" s="18"/>
      <c r="F104" s="18"/>
      <c r="G104" s="18"/>
      <c r="H104" s="19"/>
      <c r="I104" s="18"/>
      <c r="J104" s="18"/>
      <c r="K104" s="20"/>
      <c r="L104" s="20"/>
      <c r="M104" s="20"/>
      <c r="N104" s="20"/>
      <c r="O104" s="21"/>
      <c r="P104" s="22" t="n">
        <f aca="false">IF(OR($A104="",N(K104)=0),0,CEILING(K104*(1+IF($O104="",Taux_Compta,$O104))-0.005,Pas_Arrondi))</f>
        <v>0</v>
      </c>
      <c r="Q104" s="22" t="n">
        <f aca="false">IF(OR($A104="",N(L104)=0),0,CEILING(L104*(1+IF($O104="",Taux_Paye,$O104))-0.005,Pas_Arrondi))</f>
        <v>0</v>
      </c>
      <c r="R104" s="22" t="n">
        <f aca="false">IF(OR($A104="",N(M104)=0),0,CEILING(M104*(1+IF($O104="",Taux_Jur,$O104))-0.005,Pas_Arrondi))</f>
        <v>0</v>
      </c>
      <c r="S104" s="22" t="n">
        <f aca="false">IF(OR($A104="",N(N104)=0),0,CEILING(N104*(1+IF($O104="",Taux_PA,$O104))-0.005,Pas_Arrondi))</f>
        <v>0</v>
      </c>
      <c r="T104" s="22" t="str">
        <f aca="false">IF($A104="","",SUM(K104:N104))</f>
        <v/>
      </c>
      <c r="U104" s="22" t="str">
        <f aca="false">IF($A104="","",SUM(P104:S104))</f>
        <v/>
      </c>
      <c r="V104" s="22" t="str">
        <f aca="false">IF($A104="","",U104-T104)</f>
        <v/>
      </c>
      <c r="W104" s="23" t="str">
        <f aca="false">IF(OR($A104="",N(T104)=0),"",V104/T104)</f>
        <v/>
      </c>
      <c r="X104" s="18"/>
      <c r="Y104" s="18"/>
      <c r="Z104" s="24" t="str">
        <f aca="false">IF(AND($A104&lt;&gt;"",$X104="Oui",OR(Filtre_Masse="Tous les clients à envoyer",$Y104&lt;&gt;"Email")),MAX(Z$1:Z103)+1,"")</f>
        <v/>
      </c>
    </row>
    <row r="105" customFormat="false" ht="15" hidden="false" customHeight="false" outlineLevel="0" collapsed="false">
      <c r="A105" s="18"/>
      <c r="B105" s="18"/>
      <c r="C105" s="18"/>
      <c r="D105" s="18"/>
      <c r="E105" s="18"/>
      <c r="F105" s="18"/>
      <c r="G105" s="18"/>
      <c r="H105" s="19"/>
      <c r="I105" s="18"/>
      <c r="J105" s="18"/>
      <c r="K105" s="20"/>
      <c r="L105" s="20"/>
      <c r="M105" s="20"/>
      <c r="N105" s="20"/>
      <c r="O105" s="21"/>
      <c r="P105" s="22" t="n">
        <f aca="false">IF(OR($A105="",N(K105)=0),0,CEILING(K105*(1+IF($O105="",Taux_Compta,$O105))-0.005,Pas_Arrondi))</f>
        <v>0</v>
      </c>
      <c r="Q105" s="22" t="n">
        <f aca="false">IF(OR($A105="",N(L105)=0),0,CEILING(L105*(1+IF($O105="",Taux_Paye,$O105))-0.005,Pas_Arrondi))</f>
        <v>0</v>
      </c>
      <c r="R105" s="22" t="n">
        <f aca="false">IF(OR($A105="",N(M105)=0),0,CEILING(M105*(1+IF($O105="",Taux_Jur,$O105))-0.005,Pas_Arrondi))</f>
        <v>0</v>
      </c>
      <c r="S105" s="22" t="n">
        <f aca="false">IF(OR($A105="",N(N105)=0),0,CEILING(N105*(1+IF($O105="",Taux_PA,$O105))-0.005,Pas_Arrondi))</f>
        <v>0</v>
      </c>
      <c r="T105" s="22" t="str">
        <f aca="false">IF($A105="","",SUM(K105:N105))</f>
        <v/>
      </c>
      <c r="U105" s="22" t="str">
        <f aca="false">IF($A105="","",SUM(P105:S105))</f>
        <v/>
      </c>
      <c r="V105" s="22" t="str">
        <f aca="false">IF($A105="","",U105-T105)</f>
        <v/>
      </c>
      <c r="W105" s="23" t="str">
        <f aca="false">IF(OR($A105="",N(T105)=0),"",V105/T105)</f>
        <v/>
      </c>
      <c r="X105" s="18"/>
      <c r="Y105" s="18"/>
      <c r="Z105" s="24" t="str">
        <f aca="false">IF(AND($A105&lt;&gt;"",$X105="Oui",OR(Filtre_Masse="Tous les clients à envoyer",$Y105&lt;&gt;"Email")),MAX(Z$1:Z104)+1,"")</f>
        <v/>
      </c>
    </row>
    <row r="106" customFormat="false" ht="15" hidden="false" customHeight="false" outlineLevel="0" collapsed="false">
      <c r="A106" s="18"/>
      <c r="B106" s="18"/>
      <c r="C106" s="18"/>
      <c r="D106" s="18"/>
      <c r="E106" s="18"/>
      <c r="F106" s="18"/>
      <c r="G106" s="18"/>
      <c r="H106" s="19"/>
      <c r="I106" s="18"/>
      <c r="J106" s="18"/>
      <c r="K106" s="20"/>
      <c r="L106" s="20"/>
      <c r="M106" s="20"/>
      <c r="N106" s="20"/>
      <c r="O106" s="21"/>
      <c r="P106" s="22" t="n">
        <f aca="false">IF(OR($A106="",N(K106)=0),0,CEILING(K106*(1+IF($O106="",Taux_Compta,$O106))-0.005,Pas_Arrondi))</f>
        <v>0</v>
      </c>
      <c r="Q106" s="22" t="n">
        <f aca="false">IF(OR($A106="",N(L106)=0),0,CEILING(L106*(1+IF($O106="",Taux_Paye,$O106))-0.005,Pas_Arrondi))</f>
        <v>0</v>
      </c>
      <c r="R106" s="22" t="n">
        <f aca="false">IF(OR($A106="",N(M106)=0),0,CEILING(M106*(1+IF($O106="",Taux_Jur,$O106))-0.005,Pas_Arrondi))</f>
        <v>0</v>
      </c>
      <c r="S106" s="22" t="n">
        <f aca="false">IF(OR($A106="",N(N106)=0),0,CEILING(N106*(1+IF($O106="",Taux_PA,$O106))-0.005,Pas_Arrondi))</f>
        <v>0</v>
      </c>
      <c r="T106" s="22" t="str">
        <f aca="false">IF($A106="","",SUM(K106:N106))</f>
        <v/>
      </c>
      <c r="U106" s="22" t="str">
        <f aca="false">IF($A106="","",SUM(P106:S106))</f>
        <v/>
      </c>
      <c r="V106" s="22" t="str">
        <f aca="false">IF($A106="","",U106-T106)</f>
        <v/>
      </c>
      <c r="W106" s="23" t="str">
        <f aca="false">IF(OR($A106="",N(T106)=0),"",V106/T106)</f>
        <v/>
      </c>
      <c r="X106" s="18"/>
      <c r="Y106" s="18"/>
      <c r="Z106" s="24" t="str">
        <f aca="false">IF(AND($A106&lt;&gt;"",$X106="Oui",OR(Filtre_Masse="Tous les clients à envoyer",$Y106&lt;&gt;"Email")),MAX(Z$1:Z105)+1,"")</f>
        <v/>
      </c>
    </row>
    <row r="107" customFormat="false" ht="15" hidden="false" customHeight="false" outlineLevel="0" collapsed="false">
      <c r="A107" s="18"/>
      <c r="B107" s="18"/>
      <c r="C107" s="18"/>
      <c r="D107" s="18"/>
      <c r="E107" s="18"/>
      <c r="F107" s="18"/>
      <c r="G107" s="18"/>
      <c r="H107" s="19"/>
      <c r="I107" s="18"/>
      <c r="J107" s="18"/>
      <c r="K107" s="20"/>
      <c r="L107" s="20"/>
      <c r="M107" s="20"/>
      <c r="N107" s="20"/>
      <c r="O107" s="21"/>
      <c r="P107" s="22" t="n">
        <f aca="false">IF(OR($A107="",N(K107)=0),0,CEILING(K107*(1+IF($O107="",Taux_Compta,$O107))-0.005,Pas_Arrondi))</f>
        <v>0</v>
      </c>
      <c r="Q107" s="22" t="n">
        <f aca="false">IF(OR($A107="",N(L107)=0),0,CEILING(L107*(1+IF($O107="",Taux_Paye,$O107))-0.005,Pas_Arrondi))</f>
        <v>0</v>
      </c>
      <c r="R107" s="22" t="n">
        <f aca="false">IF(OR($A107="",N(M107)=0),0,CEILING(M107*(1+IF($O107="",Taux_Jur,$O107))-0.005,Pas_Arrondi))</f>
        <v>0</v>
      </c>
      <c r="S107" s="22" t="n">
        <f aca="false">IF(OR($A107="",N(N107)=0),0,CEILING(N107*(1+IF($O107="",Taux_PA,$O107))-0.005,Pas_Arrondi))</f>
        <v>0</v>
      </c>
      <c r="T107" s="22" t="str">
        <f aca="false">IF($A107="","",SUM(K107:N107))</f>
        <v/>
      </c>
      <c r="U107" s="22" t="str">
        <f aca="false">IF($A107="","",SUM(P107:S107))</f>
        <v/>
      </c>
      <c r="V107" s="22" t="str">
        <f aca="false">IF($A107="","",U107-T107)</f>
        <v/>
      </c>
      <c r="W107" s="23" t="str">
        <f aca="false">IF(OR($A107="",N(T107)=0),"",V107/T107)</f>
        <v/>
      </c>
      <c r="X107" s="18"/>
      <c r="Y107" s="18"/>
      <c r="Z107" s="24" t="str">
        <f aca="false">IF(AND($A107&lt;&gt;"",$X107="Oui",OR(Filtre_Masse="Tous les clients à envoyer",$Y107&lt;&gt;"Email")),MAX(Z$1:Z106)+1,"")</f>
        <v/>
      </c>
    </row>
    <row r="108" customFormat="false" ht="15" hidden="false" customHeight="false" outlineLevel="0" collapsed="false">
      <c r="A108" s="18"/>
      <c r="B108" s="18"/>
      <c r="C108" s="18"/>
      <c r="D108" s="18"/>
      <c r="E108" s="18"/>
      <c r="F108" s="18"/>
      <c r="G108" s="18"/>
      <c r="H108" s="19"/>
      <c r="I108" s="18"/>
      <c r="J108" s="18"/>
      <c r="K108" s="20"/>
      <c r="L108" s="20"/>
      <c r="M108" s="20"/>
      <c r="N108" s="20"/>
      <c r="O108" s="21"/>
      <c r="P108" s="22" t="n">
        <f aca="false">IF(OR($A108="",N(K108)=0),0,CEILING(K108*(1+IF($O108="",Taux_Compta,$O108))-0.005,Pas_Arrondi))</f>
        <v>0</v>
      </c>
      <c r="Q108" s="22" t="n">
        <f aca="false">IF(OR($A108="",N(L108)=0),0,CEILING(L108*(1+IF($O108="",Taux_Paye,$O108))-0.005,Pas_Arrondi))</f>
        <v>0</v>
      </c>
      <c r="R108" s="22" t="n">
        <f aca="false">IF(OR($A108="",N(M108)=0),0,CEILING(M108*(1+IF($O108="",Taux_Jur,$O108))-0.005,Pas_Arrondi))</f>
        <v>0</v>
      </c>
      <c r="S108" s="22" t="n">
        <f aca="false">IF(OR($A108="",N(N108)=0),0,CEILING(N108*(1+IF($O108="",Taux_PA,$O108))-0.005,Pas_Arrondi))</f>
        <v>0</v>
      </c>
      <c r="T108" s="22" t="str">
        <f aca="false">IF($A108="","",SUM(K108:N108))</f>
        <v/>
      </c>
      <c r="U108" s="22" t="str">
        <f aca="false">IF($A108="","",SUM(P108:S108))</f>
        <v/>
      </c>
      <c r="V108" s="22" t="str">
        <f aca="false">IF($A108="","",U108-T108)</f>
        <v/>
      </c>
      <c r="W108" s="23" t="str">
        <f aca="false">IF(OR($A108="",N(T108)=0),"",V108/T108)</f>
        <v/>
      </c>
      <c r="X108" s="18"/>
      <c r="Y108" s="18"/>
      <c r="Z108" s="24" t="str">
        <f aca="false">IF(AND($A108&lt;&gt;"",$X108="Oui",OR(Filtre_Masse="Tous les clients à envoyer",$Y108&lt;&gt;"Email")),MAX(Z$1:Z107)+1,"")</f>
        <v/>
      </c>
    </row>
    <row r="109" customFormat="false" ht="15" hidden="false" customHeight="false" outlineLevel="0" collapsed="false">
      <c r="A109" s="18"/>
      <c r="B109" s="18"/>
      <c r="C109" s="18"/>
      <c r="D109" s="18"/>
      <c r="E109" s="18"/>
      <c r="F109" s="18"/>
      <c r="G109" s="18"/>
      <c r="H109" s="19"/>
      <c r="I109" s="18"/>
      <c r="J109" s="18"/>
      <c r="K109" s="20"/>
      <c r="L109" s="20"/>
      <c r="M109" s="20"/>
      <c r="N109" s="20"/>
      <c r="O109" s="21"/>
      <c r="P109" s="22" t="n">
        <f aca="false">IF(OR($A109="",N(K109)=0),0,CEILING(K109*(1+IF($O109="",Taux_Compta,$O109))-0.005,Pas_Arrondi))</f>
        <v>0</v>
      </c>
      <c r="Q109" s="22" t="n">
        <f aca="false">IF(OR($A109="",N(L109)=0),0,CEILING(L109*(1+IF($O109="",Taux_Paye,$O109))-0.005,Pas_Arrondi))</f>
        <v>0</v>
      </c>
      <c r="R109" s="22" t="n">
        <f aca="false">IF(OR($A109="",N(M109)=0),0,CEILING(M109*(1+IF($O109="",Taux_Jur,$O109))-0.005,Pas_Arrondi))</f>
        <v>0</v>
      </c>
      <c r="S109" s="22" t="n">
        <f aca="false">IF(OR($A109="",N(N109)=0),0,CEILING(N109*(1+IF($O109="",Taux_PA,$O109))-0.005,Pas_Arrondi))</f>
        <v>0</v>
      </c>
      <c r="T109" s="22" t="str">
        <f aca="false">IF($A109="","",SUM(K109:N109))</f>
        <v/>
      </c>
      <c r="U109" s="22" t="str">
        <f aca="false">IF($A109="","",SUM(P109:S109))</f>
        <v/>
      </c>
      <c r="V109" s="22" t="str">
        <f aca="false">IF($A109="","",U109-T109)</f>
        <v/>
      </c>
      <c r="W109" s="23" t="str">
        <f aca="false">IF(OR($A109="",N(T109)=0),"",V109/T109)</f>
        <v/>
      </c>
      <c r="X109" s="18"/>
      <c r="Y109" s="18"/>
      <c r="Z109" s="24" t="str">
        <f aca="false">IF(AND($A109&lt;&gt;"",$X109="Oui",OR(Filtre_Masse="Tous les clients à envoyer",$Y109&lt;&gt;"Email")),MAX(Z$1:Z108)+1,"")</f>
        <v/>
      </c>
    </row>
    <row r="110" customFormat="false" ht="15" hidden="false" customHeight="false" outlineLevel="0" collapsed="false">
      <c r="A110" s="18"/>
      <c r="B110" s="18"/>
      <c r="C110" s="18"/>
      <c r="D110" s="18"/>
      <c r="E110" s="18"/>
      <c r="F110" s="18"/>
      <c r="G110" s="18"/>
      <c r="H110" s="19"/>
      <c r="I110" s="18"/>
      <c r="J110" s="18"/>
      <c r="K110" s="20"/>
      <c r="L110" s="20"/>
      <c r="M110" s="20"/>
      <c r="N110" s="20"/>
      <c r="O110" s="21"/>
      <c r="P110" s="22" t="n">
        <f aca="false">IF(OR($A110="",N(K110)=0),0,CEILING(K110*(1+IF($O110="",Taux_Compta,$O110))-0.005,Pas_Arrondi))</f>
        <v>0</v>
      </c>
      <c r="Q110" s="22" t="n">
        <f aca="false">IF(OR($A110="",N(L110)=0),0,CEILING(L110*(1+IF($O110="",Taux_Paye,$O110))-0.005,Pas_Arrondi))</f>
        <v>0</v>
      </c>
      <c r="R110" s="22" t="n">
        <f aca="false">IF(OR($A110="",N(M110)=0),0,CEILING(M110*(1+IF($O110="",Taux_Jur,$O110))-0.005,Pas_Arrondi))</f>
        <v>0</v>
      </c>
      <c r="S110" s="22" t="n">
        <f aca="false">IF(OR($A110="",N(N110)=0),0,CEILING(N110*(1+IF($O110="",Taux_PA,$O110))-0.005,Pas_Arrondi))</f>
        <v>0</v>
      </c>
      <c r="T110" s="22" t="str">
        <f aca="false">IF($A110="","",SUM(K110:N110))</f>
        <v/>
      </c>
      <c r="U110" s="22" t="str">
        <f aca="false">IF($A110="","",SUM(P110:S110))</f>
        <v/>
      </c>
      <c r="V110" s="22" t="str">
        <f aca="false">IF($A110="","",U110-T110)</f>
        <v/>
      </c>
      <c r="W110" s="23" t="str">
        <f aca="false">IF(OR($A110="",N(T110)=0),"",V110/T110)</f>
        <v/>
      </c>
      <c r="X110" s="18"/>
      <c r="Y110" s="18"/>
      <c r="Z110" s="24" t="str">
        <f aca="false">IF(AND($A110&lt;&gt;"",$X110="Oui",OR(Filtre_Masse="Tous les clients à envoyer",$Y110&lt;&gt;"Email")),MAX(Z$1:Z109)+1,"")</f>
        <v/>
      </c>
    </row>
    <row r="111" customFormat="false" ht="15" hidden="false" customHeight="false" outlineLevel="0" collapsed="false">
      <c r="A111" s="18"/>
      <c r="B111" s="18"/>
      <c r="C111" s="18"/>
      <c r="D111" s="18"/>
      <c r="E111" s="18"/>
      <c r="F111" s="18"/>
      <c r="G111" s="18"/>
      <c r="H111" s="19"/>
      <c r="I111" s="18"/>
      <c r="J111" s="18"/>
      <c r="K111" s="20"/>
      <c r="L111" s="20"/>
      <c r="M111" s="20"/>
      <c r="N111" s="20"/>
      <c r="O111" s="21"/>
      <c r="P111" s="22" t="n">
        <f aca="false">IF(OR($A111="",N(K111)=0),0,CEILING(K111*(1+IF($O111="",Taux_Compta,$O111))-0.005,Pas_Arrondi))</f>
        <v>0</v>
      </c>
      <c r="Q111" s="22" t="n">
        <f aca="false">IF(OR($A111="",N(L111)=0),0,CEILING(L111*(1+IF($O111="",Taux_Paye,$O111))-0.005,Pas_Arrondi))</f>
        <v>0</v>
      </c>
      <c r="R111" s="22" t="n">
        <f aca="false">IF(OR($A111="",N(M111)=0),0,CEILING(M111*(1+IF($O111="",Taux_Jur,$O111))-0.005,Pas_Arrondi))</f>
        <v>0</v>
      </c>
      <c r="S111" s="22" t="n">
        <f aca="false">IF(OR($A111="",N(N111)=0),0,CEILING(N111*(1+IF($O111="",Taux_PA,$O111))-0.005,Pas_Arrondi))</f>
        <v>0</v>
      </c>
      <c r="T111" s="22" t="str">
        <f aca="false">IF($A111="","",SUM(K111:N111))</f>
        <v/>
      </c>
      <c r="U111" s="22" t="str">
        <f aca="false">IF($A111="","",SUM(P111:S111))</f>
        <v/>
      </c>
      <c r="V111" s="22" t="str">
        <f aca="false">IF($A111="","",U111-T111)</f>
        <v/>
      </c>
      <c r="W111" s="23" t="str">
        <f aca="false">IF(OR($A111="",N(T111)=0),"",V111/T111)</f>
        <v/>
      </c>
      <c r="X111" s="18"/>
      <c r="Y111" s="18"/>
      <c r="Z111" s="24" t="str">
        <f aca="false">IF(AND($A111&lt;&gt;"",$X111="Oui",OR(Filtre_Masse="Tous les clients à envoyer",$Y111&lt;&gt;"Email")),MAX(Z$1:Z110)+1,"")</f>
        <v/>
      </c>
    </row>
    <row r="112" customFormat="false" ht="15" hidden="false" customHeight="false" outlineLevel="0" collapsed="false">
      <c r="A112" s="18"/>
      <c r="B112" s="18"/>
      <c r="C112" s="18"/>
      <c r="D112" s="18"/>
      <c r="E112" s="18"/>
      <c r="F112" s="18"/>
      <c r="G112" s="18"/>
      <c r="H112" s="19"/>
      <c r="I112" s="18"/>
      <c r="J112" s="18"/>
      <c r="K112" s="20"/>
      <c r="L112" s="20"/>
      <c r="M112" s="20"/>
      <c r="N112" s="20"/>
      <c r="O112" s="21"/>
      <c r="P112" s="22" t="n">
        <f aca="false">IF(OR($A112="",N(K112)=0),0,CEILING(K112*(1+IF($O112="",Taux_Compta,$O112))-0.005,Pas_Arrondi))</f>
        <v>0</v>
      </c>
      <c r="Q112" s="22" t="n">
        <f aca="false">IF(OR($A112="",N(L112)=0),0,CEILING(L112*(1+IF($O112="",Taux_Paye,$O112))-0.005,Pas_Arrondi))</f>
        <v>0</v>
      </c>
      <c r="R112" s="22" t="n">
        <f aca="false">IF(OR($A112="",N(M112)=0),0,CEILING(M112*(1+IF($O112="",Taux_Jur,$O112))-0.005,Pas_Arrondi))</f>
        <v>0</v>
      </c>
      <c r="S112" s="22" t="n">
        <f aca="false">IF(OR($A112="",N(N112)=0),0,CEILING(N112*(1+IF($O112="",Taux_PA,$O112))-0.005,Pas_Arrondi))</f>
        <v>0</v>
      </c>
      <c r="T112" s="22" t="str">
        <f aca="false">IF($A112="","",SUM(K112:N112))</f>
        <v/>
      </c>
      <c r="U112" s="22" t="str">
        <f aca="false">IF($A112="","",SUM(P112:S112))</f>
        <v/>
      </c>
      <c r="V112" s="22" t="str">
        <f aca="false">IF($A112="","",U112-T112)</f>
        <v/>
      </c>
      <c r="W112" s="23" t="str">
        <f aca="false">IF(OR($A112="",N(T112)=0),"",V112/T112)</f>
        <v/>
      </c>
      <c r="X112" s="18"/>
      <c r="Y112" s="18"/>
      <c r="Z112" s="24" t="str">
        <f aca="false">IF(AND($A112&lt;&gt;"",$X112="Oui",OR(Filtre_Masse="Tous les clients à envoyer",$Y112&lt;&gt;"Email")),MAX(Z$1:Z111)+1,"")</f>
        <v/>
      </c>
    </row>
    <row r="113" customFormat="false" ht="15" hidden="false" customHeight="false" outlineLevel="0" collapsed="false">
      <c r="A113" s="18"/>
      <c r="B113" s="18"/>
      <c r="C113" s="18"/>
      <c r="D113" s="18"/>
      <c r="E113" s="18"/>
      <c r="F113" s="18"/>
      <c r="G113" s="18"/>
      <c r="H113" s="19"/>
      <c r="I113" s="18"/>
      <c r="J113" s="18"/>
      <c r="K113" s="20"/>
      <c r="L113" s="20"/>
      <c r="M113" s="20"/>
      <c r="N113" s="20"/>
      <c r="O113" s="21"/>
      <c r="P113" s="22" t="n">
        <f aca="false">IF(OR($A113="",N(K113)=0),0,CEILING(K113*(1+IF($O113="",Taux_Compta,$O113))-0.005,Pas_Arrondi))</f>
        <v>0</v>
      </c>
      <c r="Q113" s="22" t="n">
        <f aca="false">IF(OR($A113="",N(L113)=0),0,CEILING(L113*(1+IF($O113="",Taux_Paye,$O113))-0.005,Pas_Arrondi))</f>
        <v>0</v>
      </c>
      <c r="R113" s="22" t="n">
        <f aca="false">IF(OR($A113="",N(M113)=0),0,CEILING(M113*(1+IF($O113="",Taux_Jur,$O113))-0.005,Pas_Arrondi))</f>
        <v>0</v>
      </c>
      <c r="S113" s="22" t="n">
        <f aca="false">IF(OR($A113="",N(N113)=0),0,CEILING(N113*(1+IF($O113="",Taux_PA,$O113))-0.005,Pas_Arrondi))</f>
        <v>0</v>
      </c>
      <c r="T113" s="22" t="str">
        <f aca="false">IF($A113="","",SUM(K113:N113))</f>
        <v/>
      </c>
      <c r="U113" s="22" t="str">
        <f aca="false">IF($A113="","",SUM(P113:S113))</f>
        <v/>
      </c>
      <c r="V113" s="22" t="str">
        <f aca="false">IF($A113="","",U113-T113)</f>
        <v/>
      </c>
      <c r="W113" s="23" t="str">
        <f aca="false">IF(OR($A113="",N(T113)=0),"",V113/T113)</f>
        <v/>
      </c>
      <c r="X113" s="18"/>
      <c r="Y113" s="18"/>
      <c r="Z113" s="24" t="str">
        <f aca="false">IF(AND($A113&lt;&gt;"",$X113="Oui",OR(Filtre_Masse="Tous les clients à envoyer",$Y113&lt;&gt;"Email")),MAX(Z$1:Z112)+1,"")</f>
        <v/>
      </c>
    </row>
    <row r="114" customFormat="false" ht="15" hidden="false" customHeight="false" outlineLevel="0" collapsed="false">
      <c r="A114" s="18"/>
      <c r="B114" s="18"/>
      <c r="C114" s="18"/>
      <c r="D114" s="18"/>
      <c r="E114" s="18"/>
      <c r="F114" s="18"/>
      <c r="G114" s="18"/>
      <c r="H114" s="19"/>
      <c r="I114" s="18"/>
      <c r="J114" s="18"/>
      <c r="K114" s="20"/>
      <c r="L114" s="20"/>
      <c r="M114" s="20"/>
      <c r="N114" s="20"/>
      <c r="O114" s="21"/>
      <c r="P114" s="22" t="n">
        <f aca="false">IF(OR($A114="",N(K114)=0),0,CEILING(K114*(1+IF($O114="",Taux_Compta,$O114))-0.005,Pas_Arrondi))</f>
        <v>0</v>
      </c>
      <c r="Q114" s="22" t="n">
        <f aca="false">IF(OR($A114="",N(L114)=0),0,CEILING(L114*(1+IF($O114="",Taux_Paye,$O114))-0.005,Pas_Arrondi))</f>
        <v>0</v>
      </c>
      <c r="R114" s="22" t="n">
        <f aca="false">IF(OR($A114="",N(M114)=0),0,CEILING(M114*(1+IF($O114="",Taux_Jur,$O114))-0.005,Pas_Arrondi))</f>
        <v>0</v>
      </c>
      <c r="S114" s="22" t="n">
        <f aca="false">IF(OR($A114="",N(N114)=0),0,CEILING(N114*(1+IF($O114="",Taux_PA,$O114))-0.005,Pas_Arrondi))</f>
        <v>0</v>
      </c>
      <c r="T114" s="22" t="str">
        <f aca="false">IF($A114="","",SUM(K114:N114))</f>
        <v/>
      </c>
      <c r="U114" s="22" t="str">
        <f aca="false">IF($A114="","",SUM(P114:S114))</f>
        <v/>
      </c>
      <c r="V114" s="22" t="str">
        <f aca="false">IF($A114="","",U114-T114)</f>
        <v/>
      </c>
      <c r="W114" s="23" t="str">
        <f aca="false">IF(OR($A114="",N(T114)=0),"",V114/T114)</f>
        <v/>
      </c>
      <c r="X114" s="18"/>
      <c r="Y114" s="18"/>
      <c r="Z114" s="24" t="str">
        <f aca="false">IF(AND($A114&lt;&gt;"",$X114="Oui",OR(Filtre_Masse="Tous les clients à envoyer",$Y114&lt;&gt;"Email")),MAX(Z$1:Z113)+1,"")</f>
        <v/>
      </c>
    </row>
    <row r="115" customFormat="false" ht="15" hidden="false" customHeight="false" outlineLevel="0" collapsed="false">
      <c r="A115" s="18"/>
      <c r="B115" s="18"/>
      <c r="C115" s="18"/>
      <c r="D115" s="18"/>
      <c r="E115" s="18"/>
      <c r="F115" s="18"/>
      <c r="G115" s="18"/>
      <c r="H115" s="19"/>
      <c r="I115" s="18"/>
      <c r="J115" s="18"/>
      <c r="K115" s="20"/>
      <c r="L115" s="20"/>
      <c r="M115" s="20"/>
      <c r="N115" s="20"/>
      <c r="O115" s="21"/>
      <c r="P115" s="22" t="n">
        <f aca="false">IF(OR($A115="",N(K115)=0),0,CEILING(K115*(1+IF($O115="",Taux_Compta,$O115))-0.005,Pas_Arrondi))</f>
        <v>0</v>
      </c>
      <c r="Q115" s="22" t="n">
        <f aca="false">IF(OR($A115="",N(L115)=0),0,CEILING(L115*(1+IF($O115="",Taux_Paye,$O115))-0.005,Pas_Arrondi))</f>
        <v>0</v>
      </c>
      <c r="R115" s="22" t="n">
        <f aca="false">IF(OR($A115="",N(M115)=0),0,CEILING(M115*(1+IF($O115="",Taux_Jur,$O115))-0.005,Pas_Arrondi))</f>
        <v>0</v>
      </c>
      <c r="S115" s="22" t="n">
        <f aca="false">IF(OR($A115="",N(N115)=0),0,CEILING(N115*(1+IF($O115="",Taux_PA,$O115))-0.005,Pas_Arrondi))</f>
        <v>0</v>
      </c>
      <c r="T115" s="22" t="str">
        <f aca="false">IF($A115="","",SUM(K115:N115))</f>
        <v/>
      </c>
      <c r="U115" s="22" t="str">
        <f aca="false">IF($A115="","",SUM(P115:S115))</f>
        <v/>
      </c>
      <c r="V115" s="22" t="str">
        <f aca="false">IF($A115="","",U115-T115)</f>
        <v/>
      </c>
      <c r="W115" s="23" t="str">
        <f aca="false">IF(OR($A115="",N(T115)=0),"",V115/T115)</f>
        <v/>
      </c>
      <c r="X115" s="18"/>
      <c r="Y115" s="18"/>
      <c r="Z115" s="24" t="str">
        <f aca="false">IF(AND($A115&lt;&gt;"",$X115="Oui",OR(Filtre_Masse="Tous les clients à envoyer",$Y115&lt;&gt;"Email")),MAX(Z$1:Z114)+1,"")</f>
        <v/>
      </c>
    </row>
    <row r="116" customFormat="false" ht="15" hidden="false" customHeight="false" outlineLevel="0" collapsed="false">
      <c r="A116" s="18"/>
      <c r="B116" s="18"/>
      <c r="C116" s="18"/>
      <c r="D116" s="18"/>
      <c r="E116" s="18"/>
      <c r="F116" s="18"/>
      <c r="G116" s="18"/>
      <c r="H116" s="19"/>
      <c r="I116" s="18"/>
      <c r="J116" s="18"/>
      <c r="K116" s="20"/>
      <c r="L116" s="20"/>
      <c r="M116" s="20"/>
      <c r="N116" s="20"/>
      <c r="O116" s="21"/>
      <c r="P116" s="22" t="n">
        <f aca="false">IF(OR($A116="",N(K116)=0),0,CEILING(K116*(1+IF($O116="",Taux_Compta,$O116))-0.005,Pas_Arrondi))</f>
        <v>0</v>
      </c>
      <c r="Q116" s="22" t="n">
        <f aca="false">IF(OR($A116="",N(L116)=0),0,CEILING(L116*(1+IF($O116="",Taux_Paye,$O116))-0.005,Pas_Arrondi))</f>
        <v>0</v>
      </c>
      <c r="R116" s="22" t="n">
        <f aca="false">IF(OR($A116="",N(M116)=0),0,CEILING(M116*(1+IF($O116="",Taux_Jur,$O116))-0.005,Pas_Arrondi))</f>
        <v>0</v>
      </c>
      <c r="S116" s="22" t="n">
        <f aca="false">IF(OR($A116="",N(N116)=0),0,CEILING(N116*(1+IF($O116="",Taux_PA,$O116))-0.005,Pas_Arrondi))</f>
        <v>0</v>
      </c>
      <c r="T116" s="22" t="str">
        <f aca="false">IF($A116="","",SUM(K116:N116))</f>
        <v/>
      </c>
      <c r="U116" s="22" t="str">
        <f aca="false">IF($A116="","",SUM(P116:S116))</f>
        <v/>
      </c>
      <c r="V116" s="22" t="str">
        <f aca="false">IF($A116="","",U116-T116)</f>
        <v/>
      </c>
      <c r="W116" s="23" t="str">
        <f aca="false">IF(OR($A116="",N(T116)=0),"",V116/T116)</f>
        <v/>
      </c>
      <c r="X116" s="18"/>
      <c r="Y116" s="18"/>
      <c r="Z116" s="24" t="str">
        <f aca="false">IF(AND($A116&lt;&gt;"",$X116="Oui",OR(Filtre_Masse="Tous les clients à envoyer",$Y116&lt;&gt;"Email")),MAX(Z$1:Z115)+1,"")</f>
        <v/>
      </c>
    </row>
    <row r="117" customFormat="false" ht="15" hidden="false" customHeight="false" outlineLevel="0" collapsed="false">
      <c r="A117" s="18"/>
      <c r="B117" s="18"/>
      <c r="C117" s="18"/>
      <c r="D117" s="18"/>
      <c r="E117" s="18"/>
      <c r="F117" s="18"/>
      <c r="G117" s="18"/>
      <c r="H117" s="19"/>
      <c r="I117" s="18"/>
      <c r="J117" s="18"/>
      <c r="K117" s="20"/>
      <c r="L117" s="20"/>
      <c r="M117" s="20"/>
      <c r="N117" s="20"/>
      <c r="O117" s="21"/>
      <c r="P117" s="22" t="n">
        <f aca="false">IF(OR($A117="",N(K117)=0),0,CEILING(K117*(1+IF($O117="",Taux_Compta,$O117))-0.005,Pas_Arrondi))</f>
        <v>0</v>
      </c>
      <c r="Q117" s="22" t="n">
        <f aca="false">IF(OR($A117="",N(L117)=0),0,CEILING(L117*(1+IF($O117="",Taux_Paye,$O117))-0.005,Pas_Arrondi))</f>
        <v>0</v>
      </c>
      <c r="R117" s="22" t="n">
        <f aca="false">IF(OR($A117="",N(M117)=0),0,CEILING(M117*(1+IF($O117="",Taux_Jur,$O117))-0.005,Pas_Arrondi))</f>
        <v>0</v>
      </c>
      <c r="S117" s="22" t="n">
        <f aca="false">IF(OR($A117="",N(N117)=0),0,CEILING(N117*(1+IF($O117="",Taux_PA,$O117))-0.005,Pas_Arrondi))</f>
        <v>0</v>
      </c>
      <c r="T117" s="22" t="str">
        <f aca="false">IF($A117="","",SUM(K117:N117))</f>
        <v/>
      </c>
      <c r="U117" s="22" t="str">
        <f aca="false">IF($A117="","",SUM(P117:S117))</f>
        <v/>
      </c>
      <c r="V117" s="22" t="str">
        <f aca="false">IF($A117="","",U117-T117)</f>
        <v/>
      </c>
      <c r="W117" s="23" t="str">
        <f aca="false">IF(OR($A117="",N(T117)=0),"",V117/T117)</f>
        <v/>
      </c>
      <c r="X117" s="18"/>
      <c r="Y117" s="18"/>
      <c r="Z117" s="24" t="str">
        <f aca="false">IF(AND($A117&lt;&gt;"",$X117="Oui",OR(Filtre_Masse="Tous les clients à envoyer",$Y117&lt;&gt;"Email")),MAX(Z$1:Z116)+1,"")</f>
        <v/>
      </c>
    </row>
    <row r="118" customFormat="false" ht="15" hidden="false" customHeight="false" outlineLevel="0" collapsed="false">
      <c r="A118" s="18"/>
      <c r="B118" s="18"/>
      <c r="C118" s="18"/>
      <c r="D118" s="18"/>
      <c r="E118" s="18"/>
      <c r="F118" s="18"/>
      <c r="G118" s="18"/>
      <c r="H118" s="19"/>
      <c r="I118" s="18"/>
      <c r="J118" s="18"/>
      <c r="K118" s="20"/>
      <c r="L118" s="20"/>
      <c r="M118" s="20"/>
      <c r="N118" s="20"/>
      <c r="O118" s="21"/>
      <c r="P118" s="22" t="n">
        <f aca="false">IF(OR($A118="",N(K118)=0),0,CEILING(K118*(1+IF($O118="",Taux_Compta,$O118))-0.005,Pas_Arrondi))</f>
        <v>0</v>
      </c>
      <c r="Q118" s="22" t="n">
        <f aca="false">IF(OR($A118="",N(L118)=0),0,CEILING(L118*(1+IF($O118="",Taux_Paye,$O118))-0.005,Pas_Arrondi))</f>
        <v>0</v>
      </c>
      <c r="R118" s="22" t="n">
        <f aca="false">IF(OR($A118="",N(M118)=0),0,CEILING(M118*(1+IF($O118="",Taux_Jur,$O118))-0.005,Pas_Arrondi))</f>
        <v>0</v>
      </c>
      <c r="S118" s="22" t="n">
        <f aca="false">IF(OR($A118="",N(N118)=0),0,CEILING(N118*(1+IF($O118="",Taux_PA,$O118))-0.005,Pas_Arrondi))</f>
        <v>0</v>
      </c>
      <c r="T118" s="22" t="str">
        <f aca="false">IF($A118="","",SUM(K118:N118))</f>
        <v/>
      </c>
      <c r="U118" s="22" t="str">
        <f aca="false">IF($A118="","",SUM(P118:S118))</f>
        <v/>
      </c>
      <c r="V118" s="22" t="str">
        <f aca="false">IF($A118="","",U118-T118)</f>
        <v/>
      </c>
      <c r="W118" s="23" t="str">
        <f aca="false">IF(OR($A118="",N(T118)=0),"",V118/T118)</f>
        <v/>
      </c>
      <c r="X118" s="18"/>
      <c r="Y118" s="18"/>
      <c r="Z118" s="24" t="str">
        <f aca="false">IF(AND($A118&lt;&gt;"",$X118="Oui",OR(Filtre_Masse="Tous les clients à envoyer",$Y118&lt;&gt;"Email")),MAX(Z$1:Z117)+1,"")</f>
        <v/>
      </c>
    </row>
    <row r="119" customFormat="false" ht="15" hidden="false" customHeight="false" outlineLevel="0" collapsed="false">
      <c r="A119" s="18"/>
      <c r="B119" s="18"/>
      <c r="C119" s="18"/>
      <c r="D119" s="18"/>
      <c r="E119" s="18"/>
      <c r="F119" s="18"/>
      <c r="G119" s="18"/>
      <c r="H119" s="19"/>
      <c r="I119" s="18"/>
      <c r="J119" s="18"/>
      <c r="K119" s="20"/>
      <c r="L119" s="20"/>
      <c r="M119" s="20"/>
      <c r="N119" s="20"/>
      <c r="O119" s="21"/>
      <c r="P119" s="22" t="n">
        <f aca="false">IF(OR($A119="",N(K119)=0),0,CEILING(K119*(1+IF($O119="",Taux_Compta,$O119))-0.005,Pas_Arrondi))</f>
        <v>0</v>
      </c>
      <c r="Q119" s="22" t="n">
        <f aca="false">IF(OR($A119="",N(L119)=0),0,CEILING(L119*(1+IF($O119="",Taux_Paye,$O119))-0.005,Pas_Arrondi))</f>
        <v>0</v>
      </c>
      <c r="R119" s="22" t="n">
        <f aca="false">IF(OR($A119="",N(M119)=0),0,CEILING(M119*(1+IF($O119="",Taux_Jur,$O119))-0.005,Pas_Arrondi))</f>
        <v>0</v>
      </c>
      <c r="S119" s="22" t="n">
        <f aca="false">IF(OR($A119="",N(N119)=0),0,CEILING(N119*(1+IF($O119="",Taux_PA,$O119))-0.005,Pas_Arrondi))</f>
        <v>0</v>
      </c>
      <c r="T119" s="22" t="str">
        <f aca="false">IF($A119="","",SUM(K119:N119))</f>
        <v/>
      </c>
      <c r="U119" s="22" t="str">
        <f aca="false">IF($A119="","",SUM(P119:S119))</f>
        <v/>
      </c>
      <c r="V119" s="22" t="str">
        <f aca="false">IF($A119="","",U119-T119)</f>
        <v/>
      </c>
      <c r="W119" s="23" t="str">
        <f aca="false">IF(OR($A119="",N(T119)=0),"",V119/T119)</f>
        <v/>
      </c>
      <c r="X119" s="18"/>
      <c r="Y119" s="18"/>
      <c r="Z119" s="24" t="str">
        <f aca="false">IF(AND($A119&lt;&gt;"",$X119="Oui",OR(Filtre_Masse="Tous les clients à envoyer",$Y119&lt;&gt;"Email")),MAX(Z$1:Z118)+1,"")</f>
        <v/>
      </c>
    </row>
    <row r="120" customFormat="false" ht="15" hidden="false" customHeight="false" outlineLevel="0" collapsed="false">
      <c r="A120" s="18"/>
      <c r="B120" s="18"/>
      <c r="C120" s="18"/>
      <c r="D120" s="18"/>
      <c r="E120" s="18"/>
      <c r="F120" s="18"/>
      <c r="G120" s="18"/>
      <c r="H120" s="19"/>
      <c r="I120" s="18"/>
      <c r="J120" s="18"/>
      <c r="K120" s="20"/>
      <c r="L120" s="20"/>
      <c r="M120" s="20"/>
      <c r="N120" s="20"/>
      <c r="O120" s="21"/>
      <c r="P120" s="22" t="n">
        <f aca="false">IF(OR($A120="",N(K120)=0),0,CEILING(K120*(1+IF($O120="",Taux_Compta,$O120))-0.005,Pas_Arrondi))</f>
        <v>0</v>
      </c>
      <c r="Q120" s="22" t="n">
        <f aca="false">IF(OR($A120="",N(L120)=0),0,CEILING(L120*(1+IF($O120="",Taux_Paye,$O120))-0.005,Pas_Arrondi))</f>
        <v>0</v>
      </c>
      <c r="R120" s="22" t="n">
        <f aca="false">IF(OR($A120="",N(M120)=0),0,CEILING(M120*(1+IF($O120="",Taux_Jur,$O120))-0.005,Pas_Arrondi))</f>
        <v>0</v>
      </c>
      <c r="S120" s="22" t="n">
        <f aca="false">IF(OR($A120="",N(N120)=0),0,CEILING(N120*(1+IF($O120="",Taux_PA,$O120))-0.005,Pas_Arrondi))</f>
        <v>0</v>
      </c>
      <c r="T120" s="22" t="str">
        <f aca="false">IF($A120="","",SUM(K120:N120))</f>
        <v/>
      </c>
      <c r="U120" s="22" t="str">
        <f aca="false">IF($A120="","",SUM(P120:S120))</f>
        <v/>
      </c>
      <c r="V120" s="22" t="str">
        <f aca="false">IF($A120="","",U120-T120)</f>
        <v/>
      </c>
      <c r="W120" s="23" t="str">
        <f aca="false">IF(OR($A120="",N(T120)=0),"",V120/T120)</f>
        <v/>
      </c>
      <c r="X120" s="18"/>
      <c r="Y120" s="18"/>
      <c r="Z120" s="24" t="str">
        <f aca="false">IF(AND($A120&lt;&gt;"",$X120="Oui",OR(Filtre_Masse="Tous les clients à envoyer",$Y120&lt;&gt;"Email")),MAX(Z$1:Z119)+1,"")</f>
        <v/>
      </c>
    </row>
    <row r="121" customFormat="false" ht="15" hidden="false" customHeight="false" outlineLevel="0" collapsed="false">
      <c r="A121" s="18"/>
      <c r="B121" s="18"/>
      <c r="C121" s="18"/>
      <c r="D121" s="18"/>
      <c r="E121" s="18"/>
      <c r="F121" s="18"/>
      <c r="G121" s="18"/>
      <c r="H121" s="19"/>
      <c r="I121" s="18"/>
      <c r="J121" s="18"/>
      <c r="K121" s="20"/>
      <c r="L121" s="20"/>
      <c r="M121" s="20"/>
      <c r="N121" s="20"/>
      <c r="O121" s="21"/>
      <c r="P121" s="22" t="n">
        <f aca="false">IF(OR($A121="",N(K121)=0),0,CEILING(K121*(1+IF($O121="",Taux_Compta,$O121))-0.005,Pas_Arrondi))</f>
        <v>0</v>
      </c>
      <c r="Q121" s="22" t="n">
        <f aca="false">IF(OR($A121="",N(L121)=0),0,CEILING(L121*(1+IF($O121="",Taux_Paye,$O121))-0.005,Pas_Arrondi))</f>
        <v>0</v>
      </c>
      <c r="R121" s="22" t="n">
        <f aca="false">IF(OR($A121="",N(M121)=0),0,CEILING(M121*(1+IF($O121="",Taux_Jur,$O121))-0.005,Pas_Arrondi))</f>
        <v>0</v>
      </c>
      <c r="S121" s="22" t="n">
        <f aca="false">IF(OR($A121="",N(N121)=0),0,CEILING(N121*(1+IF($O121="",Taux_PA,$O121))-0.005,Pas_Arrondi))</f>
        <v>0</v>
      </c>
      <c r="T121" s="22" t="str">
        <f aca="false">IF($A121="","",SUM(K121:N121))</f>
        <v/>
      </c>
      <c r="U121" s="22" t="str">
        <f aca="false">IF($A121="","",SUM(P121:S121))</f>
        <v/>
      </c>
      <c r="V121" s="22" t="str">
        <f aca="false">IF($A121="","",U121-T121)</f>
        <v/>
      </c>
      <c r="W121" s="23" t="str">
        <f aca="false">IF(OR($A121="",N(T121)=0),"",V121/T121)</f>
        <v/>
      </c>
      <c r="X121" s="18"/>
      <c r="Y121" s="18"/>
      <c r="Z121" s="24" t="str">
        <f aca="false">IF(AND($A121&lt;&gt;"",$X121="Oui",OR(Filtre_Masse="Tous les clients à envoyer",$Y121&lt;&gt;"Email")),MAX(Z$1:Z120)+1,"")</f>
        <v/>
      </c>
    </row>
    <row r="122" customFormat="false" ht="15" hidden="false" customHeight="false" outlineLevel="0" collapsed="false">
      <c r="A122" s="18"/>
      <c r="B122" s="18"/>
      <c r="C122" s="18"/>
      <c r="D122" s="18"/>
      <c r="E122" s="18"/>
      <c r="F122" s="18"/>
      <c r="G122" s="18"/>
      <c r="H122" s="19"/>
      <c r="I122" s="18"/>
      <c r="J122" s="18"/>
      <c r="K122" s="20"/>
      <c r="L122" s="20"/>
      <c r="M122" s="20"/>
      <c r="N122" s="20"/>
      <c r="O122" s="21"/>
      <c r="P122" s="22" t="n">
        <f aca="false">IF(OR($A122="",N(K122)=0),0,CEILING(K122*(1+IF($O122="",Taux_Compta,$O122))-0.005,Pas_Arrondi))</f>
        <v>0</v>
      </c>
      <c r="Q122" s="22" t="n">
        <f aca="false">IF(OR($A122="",N(L122)=0),0,CEILING(L122*(1+IF($O122="",Taux_Paye,$O122))-0.005,Pas_Arrondi))</f>
        <v>0</v>
      </c>
      <c r="R122" s="22" t="n">
        <f aca="false">IF(OR($A122="",N(M122)=0),0,CEILING(M122*(1+IF($O122="",Taux_Jur,$O122))-0.005,Pas_Arrondi))</f>
        <v>0</v>
      </c>
      <c r="S122" s="22" t="n">
        <f aca="false">IF(OR($A122="",N(N122)=0),0,CEILING(N122*(1+IF($O122="",Taux_PA,$O122))-0.005,Pas_Arrondi))</f>
        <v>0</v>
      </c>
      <c r="T122" s="22" t="str">
        <f aca="false">IF($A122="","",SUM(K122:N122))</f>
        <v/>
      </c>
      <c r="U122" s="22" t="str">
        <f aca="false">IF($A122="","",SUM(P122:S122))</f>
        <v/>
      </c>
      <c r="V122" s="22" t="str">
        <f aca="false">IF($A122="","",U122-T122)</f>
        <v/>
      </c>
      <c r="W122" s="23" t="str">
        <f aca="false">IF(OR($A122="",N(T122)=0),"",V122/T122)</f>
        <v/>
      </c>
      <c r="X122" s="18"/>
      <c r="Y122" s="18"/>
      <c r="Z122" s="24" t="str">
        <f aca="false">IF(AND($A122&lt;&gt;"",$X122="Oui",OR(Filtre_Masse="Tous les clients à envoyer",$Y122&lt;&gt;"Email")),MAX(Z$1:Z121)+1,"")</f>
        <v/>
      </c>
    </row>
    <row r="123" customFormat="false" ht="15" hidden="false" customHeight="false" outlineLevel="0" collapsed="false">
      <c r="A123" s="18"/>
      <c r="B123" s="18"/>
      <c r="C123" s="18"/>
      <c r="D123" s="18"/>
      <c r="E123" s="18"/>
      <c r="F123" s="18"/>
      <c r="G123" s="18"/>
      <c r="H123" s="19"/>
      <c r="I123" s="18"/>
      <c r="J123" s="18"/>
      <c r="K123" s="20"/>
      <c r="L123" s="20"/>
      <c r="M123" s="20"/>
      <c r="N123" s="20"/>
      <c r="O123" s="21"/>
      <c r="P123" s="22" t="n">
        <f aca="false">IF(OR($A123="",N(K123)=0),0,CEILING(K123*(1+IF($O123="",Taux_Compta,$O123))-0.005,Pas_Arrondi))</f>
        <v>0</v>
      </c>
      <c r="Q123" s="22" t="n">
        <f aca="false">IF(OR($A123="",N(L123)=0),0,CEILING(L123*(1+IF($O123="",Taux_Paye,$O123))-0.005,Pas_Arrondi))</f>
        <v>0</v>
      </c>
      <c r="R123" s="22" t="n">
        <f aca="false">IF(OR($A123="",N(M123)=0),0,CEILING(M123*(1+IF($O123="",Taux_Jur,$O123))-0.005,Pas_Arrondi))</f>
        <v>0</v>
      </c>
      <c r="S123" s="22" t="n">
        <f aca="false">IF(OR($A123="",N(N123)=0),0,CEILING(N123*(1+IF($O123="",Taux_PA,$O123))-0.005,Pas_Arrondi))</f>
        <v>0</v>
      </c>
      <c r="T123" s="22" t="str">
        <f aca="false">IF($A123="","",SUM(K123:N123))</f>
        <v/>
      </c>
      <c r="U123" s="22" t="str">
        <f aca="false">IF($A123="","",SUM(P123:S123))</f>
        <v/>
      </c>
      <c r="V123" s="22" t="str">
        <f aca="false">IF($A123="","",U123-T123)</f>
        <v/>
      </c>
      <c r="W123" s="23" t="str">
        <f aca="false">IF(OR($A123="",N(T123)=0),"",V123/T123)</f>
        <v/>
      </c>
      <c r="X123" s="18"/>
      <c r="Y123" s="18"/>
      <c r="Z123" s="24" t="str">
        <f aca="false">IF(AND($A123&lt;&gt;"",$X123="Oui",OR(Filtre_Masse="Tous les clients à envoyer",$Y123&lt;&gt;"Email")),MAX(Z$1:Z122)+1,"")</f>
        <v/>
      </c>
    </row>
    <row r="124" customFormat="false" ht="15" hidden="false" customHeight="false" outlineLevel="0" collapsed="false">
      <c r="A124" s="18"/>
      <c r="B124" s="18"/>
      <c r="C124" s="18"/>
      <c r="D124" s="18"/>
      <c r="E124" s="18"/>
      <c r="F124" s="18"/>
      <c r="G124" s="18"/>
      <c r="H124" s="19"/>
      <c r="I124" s="18"/>
      <c r="J124" s="18"/>
      <c r="K124" s="20"/>
      <c r="L124" s="20"/>
      <c r="M124" s="20"/>
      <c r="N124" s="20"/>
      <c r="O124" s="21"/>
      <c r="P124" s="22" t="n">
        <f aca="false">IF(OR($A124="",N(K124)=0),0,CEILING(K124*(1+IF($O124="",Taux_Compta,$O124))-0.005,Pas_Arrondi))</f>
        <v>0</v>
      </c>
      <c r="Q124" s="22" t="n">
        <f aca="false">IF(OR($A124="",N(L124)=0),0,CEILING(L124*(1+IF($O124="",Taux_Paye,$O124))-0.005,Pas_Arrondi))</f>
        <v>0</v>
      </c>
      <c r="R124" s="22" t="n">
        <f aca="false">IF(OR($A124="",N(M124)=0),0,CEILING(M124*(1+IF($O124="",Taux_Jur,$O124))-0.005,Pas_Arrondi))</f>
        <v>0</v>
      </c>
      <c r="S124" s="22" t="n">
        <f aca="false">IF(OR($A124="",N(N124)=0),0,CEILING(N124*(1+IF($O124="",Taux_PA,$O124))-0.005,Pas_Arrondi))</f>
        <v>0</v>
      </c>
      <c r="T124" s="22" t="str">
        <f aca="false">IF($A124="","",SUM(K124:N124))</f>
        <v/>
      </c>
      <c r="U124" s="22" t="str">
        <f aca="false">IF($A124="","",SUM(P124:S124))</f>
        <v/>
      </c>
      <c r="V124" s="22" t="str">
        <f aca="false">IF($A124="","",U124-T124)</f>
        <v/>
      </c>
      <c r="W124" s="23" t="str">
        <f aca="false">IF(OR($A124="",N(T124)=0),"",V124/T124)</f>
        <v/>
      </c>
      <c r="X124" s="18"/>
      <c r="Y124" s="18"/>
      <c r="Z124" s="24" t="str">
        <f aca="false">IF(AND($A124&lt;&gt;"",$X124="Oui",OR(Filtre_Masse="Tous les clients à envoyer",$Y124&lt;&gt;"Email")),MAX(Z$1:Z123)+1,"")</f>
        <v/>
      </c>
    </row>
    <row r="125" customFormat="false" ht="15" hidden="false" customHeight="false" outlineLevel="0" collapsed="false">
      <c r="A125" s="18"/>
      <c r="B125" s="18"/>
      <c r="C125" s="18"/>
      <c r="D125" s="18"/>
      <c r="E125" s="18"/>
      <c r="F125" s="18"/>
      <c r="G125" s="18"/>
      <c r="H125" s="19"/>
      <c r="I125" s="18"/>
      <c r="J125" s="18"/>
      <c r="K125" s="20"/>
      <c r="L125" s="20"/>
      <c r="M125" s="20"/>
      <c r="N125" s="20"/>
      <c r="O125" s="21"/>
      <c r="P125" s="22" t="n">
        <f aca="false">IF(OR($A125="",N(K125)=0),0,CEILING(K125*(1+IF($O125="",Taux_Compta,$O125))-0.005,Pas_Arrondi))</f>
        <v>0</v>
      </c>
      <c r="Q125" s="22" t="n">
        <f aca="false">IF(OR($A125="",N(L125)=0),0,CEILING(L125*(1+IF($O125="",Taux_Paye,$O125))-0.005,Pas_Arrondi))</f>
        <v>0</v>
      </c>
      <c r="R125" s="22" t="n">
        <f aca="false">IF(OR($A125="",N(M125)=0),0,CEILING(M125*(1+IF($O125="",Taux_Jur,$O125))-0.005,Pas_Arrondi))</f>
        <v>0</v>
      </c>
      <c r="S125" s="22" t="n">
        <f aca="false">IF(OR($A125="",N(N125)=0),0,CEILING(N125*(1+IF($O125="",Taux_PA,$O125))-0.005,Pas_Arrondi))</f>
        <v>0</v>
      </c>
      <c r="T125" s="22" t="str">
        <f aca="false">IF($A125="","",SUM(K125:N125))</f>
        <v/>
      </c>
      <c r="U125" s="22" t="str">
        <f aca="false">IF($A125="","",SUM(P125:S125))</f>
        <v/>
      </c>
      <c r="V125" s="22" t="str">
        <f aca="false">IF($A125="","",U125-T125)</f>
        <v/>
      </c>
      <c r="W125" s="23" t="str">
        <f aca="false">IF(OR($A125="",N(T125)=0),"",V125/T125)</f>
        <v/>
      </c>
      <c r="X125" s="18"/>
      <c r="Y125" s="18"/>
      <c r="Z125" s="24" t="str">
        <f aca="false">IF(AND($A125&lt;&gt;"",$X125="Oui",OR(Filtre_Masse="Tous les clients à envoyer",$Y125&lt;&gt;"Email")),MAX(Z$1:Z124)+1,"")</f>
        <v/>
      </c>
    </row>
    <row r="126" customFormat="false" ht="15" hidden="false" customHeight="false" outlineLevel="0" collapsed="false">
      <c r="A126" s="18"/>
      <c r="B126" s="18"/>
      <c r="C126" s="18"/>
      <c r="D126" s="18"/>
      <c r="E126" s="18"/>
      <c r="F126" s="18"/>
      <c r="G126" s="18"/>
      <c r="H126" s="19"/>
      <c r="I126" s="18"/>
      <c r="J126" s="18"/>
      <c r="K126" s="20"/>
      <c r="L126" s="20"/>
      <c r="M126" s="20"/>
      <c r="N126" s="20"/>
      <c r="O126" s="21"/>
      <c r="P126" s="22" t="n">
        <f aca="false">IF(OR($A126="",N(K126)=0),0,CEILING(K126*(1+IF($O126="",Taux_Compta,$O126))-0.005,Pas_Arrondi))</f>
        <v>0</v>
      </c>
      <c r="Q126" s="22" t="n">
        <f aca="false">IF(OR($A126="",N(L126)=0),0,CEILING(L126*(1+IF($O126="",Taux_Paye,$O126))-0.005,Pas_Arrondi))</f>
        <v>0</v>
      </c>
      <c r="R126" s="22" t="n">
        <f aca="false">IF(OR($A126="",N(M126)=0),0,CEILING(M126*(1+IF($O126="",Taux_Jur,$O126))-0.005,Pas_Arrondi))</f>
        <v>0</v>
      </c>
      <c r="S126" s="22" t="n">
        <f aca="false">IF(OR($A126="",N(N126)=0),0,CEILING(N126*(1+IF($O126="",Taux_PA,$O126))-0.005,Pas_Arrondi))</f>
        <v>0</v>
      </c>
      <c r="T126" s="22" t="str">
        <f aca="false">IF($A126="","",SUM(K126:N126))</f>
        <v/>
      </c>
      <c r="U126" s="22" t="str">
        <f aca="false">IF($A126="","",SUM(P126:S126))</f>
        <v/>
      </c>
      <c r="V126" s="22" t="str">
        <f aca="false">IF($A126="","",U126-T126)</f>
        <v/>
      </c>
      <c r="W126" s="23" t="str">
        <f aca="false">IF(OR($A126="",N(T126)=0),"",V126/T126)</f>
        <v/>
      </c>
      <c r="X126" s="18"/>
      <c r="Y126" s="18"/>
      <c r="Z126" s="24" t="str">
        <f aca="false">IF(AND($A126&lt;&gt;"",$X126="Oui",OR(Filtre_Masse="Tous les clients à envoyer",$Y126&lt;&gt;"Email")),MAX(Z$1:Z125)+1,"")</f>
        <v/>
      </c>
    </row>
    <row r="127" customFormat="false" ht="15" hidden="false" customHeight="false" outlineLevel="0" collapsed="false">
      <c r="A127" s="18"/>
      <c r="B127" s="18"/>
      <c r="C127" s="18"/>
      <c r="D127" s="18"/>
      <c r="E127" s="18"/>
      <c r="F127" s="18"/>
      <c r="G127" s="18"/>
      <c r="H127" s="19"/>
      <c r="I127" s="18"/>
      <c r="J127" s="18"/>
      <c r="K127" s="20"/>
      <c r="L127" s="20"/>
      <c r="M127" s="20"/>
      <c r="N127" s="20"/>
      <c r="O127" s="21"/>
      <c r="P127" s="22" t="n">
        <f aca="false">IF(OR($A127="",N(K127)=0),0,CEILING(K127*(1+IF($O127="",Taux_Compta,$O127))-0.005,Pas_Arrondi))</f>
        <v>0</v>
      </c>
      <c r="Q127" s="22" t="n">
        <f aca="false">IF(OR($A127="",N(L127)=0),0,CEILING(L127*(1+IF($O127="",Taux_Paye,$O127))-0.005,Pas_Arrondi))</f>
        <v>0</v>
      </c>
      <c r="R127" s="22" t="n">
        <f aca="false">IF(OR($A127="",N(M127)=0),0,CEILING(M127*(1+IF($O127="",Taux_Jur,$O127))-0.005,Pas_Arrondi))</f>
        <v>0</v>
      </c>
      <c r="S127" s="22" t="n">
        <f aca="false">IF(OR($A127="",N(N127)=0),0,CEILING(N127*(1+IF($O127="",Taux_PA,$O127))-0.005,Pas_Arrondi))</f>
        <v>0</v>
      </c>
      <c r="T127" s="22" t="str">
        <f aca="false">IF($A127="","",SUM(K127:N127))</f>
        <v/>
      </c>
      <c r="U127" s="22" t="str">
        <f aca="false">IF($A127="","",SUM(P127:S127))</f>
        <v/>
      </c>
      <c r="V127" s="22" t="str">
        <f aca="false">IF($A127="","",U127-T127)</f>
        <v/>
      </c>
      <c r="W127" s="23" t="str">
        <f aca="false">IF(OR($A127="",N(T127)=0),"",V127/T127)</f>
        <v/>
      </c>
      <c r="X127" s="18"/>
      <c r="Y127" s="18"/>
      <c r="Z127" s="24" t="str">
        <f aca="false">IF(AND($A127&lt;&gt;"",$X127="Oui",OR(Filtre_Masse="Tous les clients à envoyer",$Y127&lt;&gt;"Email")),MAX(Z$1:Z126)+1,"")</f>
        <v/>
      </c>
    </row>
    <row r="128" customFormat="false" ht="15" hidden="false" customHeight="false" outlineLevel="0" collapsed="false">
      <c r="A128" s="18"/>
      <c r="B128" s="18"/>
      <c r="C128" s="18"/>
      <c r="D128" s="18"/>
      <c r="E128" s="18"/>
      <c r="F128" s="18"/>
      <c r="G128" s="18"/>
      <c r="H128" s="19"/>
      <c r="I128" s="18"/>
      <c r="J128" s="18"/>
      <c r="K128" s="20"/>
      <c r="L128" s="20"/>
      <c r="M128" s="20"/>
      <c r="N128" s="20"/>
      <c r="O128" s="21"/>
      <c r="P128" s="22" t="n">
        <f aca="false">IF(OR($A128="",N(K128)=0),0,CEILING(K128*(1+IF($O128="",Taux_Compta,$O128))-0.005,Pas_Arrondi))</f>
        <v>0</v>
      </c>
      <c r="Q128" s="22" t="n">
        <f aca="false">IF(OR($A128="",N(L128)=0),0,CEILING(L128*(1+IF($O128="",Taux_Paye,$O128))-0.005,Pas_Arrondi))</f>
        <v>0</v>
      </c>
      <c r="R128" s="22" t="n">
        <f aca="false">IF(OR($A128="",N(M128)=0),0,CEILING(M128*(1+IF($O128="",Taux_Jur,$O128))-0.005,Pas_Arrondi))</f>
        <v>0</v>
      </c>
      <c r="S128" s="22" t="n">
        <f aca="false">IF(OR($A128="",N(N128)=0),0,CEILING(N128*(1+IF($O128="",Taux_PA,$O128))-0.005,Pas_Arrondi))</f>
        <v>0</v>
      </c>
      <c r="T128" s="22" t="str">
        <f aca="false">IF($A128="","",SUM(K128:N128))</f>
        <v/>
      </c>
      <c r="U128" s="22" t="str">
        <f aca="false">IF($A128="","",SUM(P128:S128))</f>
        <v/>
      </c>
      <c r="V128" s="22" t="str">
        <f aca="false">IF($A128="","",U128-T128)</f>
        <v/>
      </c>
      <c r="W128" s="23" t="str">
        <f aca="false">IF(OR($A128="",N(T128)=0),"",V128/T128)</f>
        <v/>
      </c>
      <c r="X128" s="18"/>
      <c r="Y128" s="18"/>
      <c r="Z128" s="24" t="str">
        <f aca="false">IF(AND($A128&lt;&gt;"",$X128="Oui",OR(Filtre_Masse="Tous les clients à envoyer",$Y128&lt;&gt;"Email")),MAX(Z$1:Z127)+1,"")</f>
        <v/>
      </c>
    </row>
    <row r="129" customFormat="false" ht="15" hidden="false" customHeight="false" outlineLevel="0" collapsed="false">
      <c r="A129" s="18"/>
      <c r="B129" s="18"/>
      <c r="C129" s="18"/>
      <c r="D129" s="18"/>
      <c r="E129" s="18"/>
      <c r="F129" s="18"/>
      <c r="G129" s="18"/>
      <c r="H129" s="19"/>
      <c r="I129" s="18"/>
      <c r="J129" s="18"/>
      <c r="K129" s="20"/>
      <c r="L129" s="20"/>
      <c r="M129" s="20"/>
      <c r="N129" s="20"/>
      <c r="O129" s="21"/>
      <c r="P129" s="22" t="n">
        <f aca="false">IF(OR($A129="",N(K129)=0),0,CEILING(K129*(1+IF($O129="",Taux_Compta,$O129))-0.005,Pas_Arrondi))</f>
        <v>0</v>
      </c>
      <c r="Q129" s="22" t="n">
        <f aca="false">IF(OR($A129="",N(L129)=0),0,CEILING(L129*(1+IF($O129="",Taux_Paye,$O129))-0.005,Pas_Arrondi))</f>
        <v>0</v>
      </c>
      <c r="R129" s="22" t="n">
        <f aca="false">IF(OR($A129="",N(M129)=0),0,CEILING(M129*(1+IF($O129="",Taux_Jur,$O129))-0.005,Pas_Arrondi))</f>
        <v>0</v>
      </c>
      <c r="S129" s="22" t="n">
        <f aca="false">IF(OR($A129="",N(N129)=0),0,CEILING(N129*(1+IF($O129="",Taux_PA,$O129))-0.005,Pas_Arrondi))</f>
        <v>0</v>
      </c>
      <c r="T129" s="22" t="str">
        <f aca="false">IF($A129="","",SUM(K129:N129))</f>
        <v/>
      </c>
      <c r="U129" s="22" t="str">
        <f aca="false">IF($A129="","",SUM(P129:S129))</f>
        <v/>
      </c>
      <c r="V129" s="22" t="str">
        <f aca="false">IF($A129="","",U129-T129)</f>
        <v/>
      </c>
      <c r="W129" s="23" t="str">
        <f aca="false">IF(OR($A129="",N(T129)=0),"",V129/T129)</f>
        <v/>
      </c>
      <c r="X129" s="18"/>
      <c r="Y129" s="18"/>
      <c r="Z129" s="24" t="str">
        <f aca="false">IF(AND($A129&lt;&gt;"",$X129="Oui",OR(Filtre_Masse="Tous les clients à envoyer",$Y129&lt;&gt;"Email")),MAX(Z$1:Z128)+1,"")</f>
        <v/>
      </c>
    </row>
    <row r="130" customFormat="false" ht="15" hidden="false" customHeight="false" outlineLevel="0" collapsed="false">
      <c r="A130" s="18"/>
      <c r="B130" s="18"/>
      <c r="C130" s="18"/>
      <c r="D130" s="18"/>
      <c r="E130" s="18"/>
      <c r="F130" s="18"/>
      <c r="G130" s="18"/>
      <c r="H130" s="19"/>
      <c r="I130" s="18"/>
      <c r="J130" s="18"/>
      <c r="K130" s="20"/>
      <c r="L130" s="20"/>
      <c r="M130" s="20"/>
      <c r="N130" s="20"/>
      <c r="O130" s="21"/>
      <c r="P130" s="22" t="n">
        <f aca="false">IF(OR($A130="",N(K130)=0),0,CEILING(K130*(1+IF($O130="",Taux_Compta,$O130))-0.005,Pas_Arrondi))</f>
        <v>0</v>
      </c>
      <c r="Q130" s="22" t="n">
        <f aca="false">IF(OR($A130="",N(L130)=0),0,CEILING(L130*(1+IF($O130="",Taux_Paye,$O130))-0.005,Pas_Arrondi))</f>
        <v>0</v>
      </c>
      <c r="R130" s="22" t="n">
        <f aca="false">IF(OR($A130="",N(M130)=0),0,CEILING(M130*(1+IF($O130="",Taux_Jur,$O130))-0.005,Pas_Arrondi))</f>
        <v>0</v>
      </c>
      <c r="S130" s="22" t="n">
        <f aca="false">IF(OR($A130="",N(N130)=0),0,CEILING(N130*(1+IF($O130="",Taux_PA,$O130))-0.005,Pas_Arrondi))</f>
        <v>0</v>
      </c>
      <c r="T130" s="22" t="str">
        <f aca="false">IF($A130="","",SUM(K130:N130))</f>
        <v/>
      </c>
      <c r="U130" s="22" t="str">
        <f aca="false">IF($A130="","",SUM(P130:S130))</f>
        <v/>
      </c>
      <c r="V130" s="22" t="str">
        <f aca="false">IF($A130="","",U130-T130)</f>
        <v/>
      </c>
      <c r="W130" s="23" t="str">
        <f aca="false">IF(OR($A130="",N(T130)=0),"",V130/T130)</f>
        <v/>
      </c>
      <c r="X130" s="18"/>
      <c r="Y130" s="18"/>
      <c r="Z130" s="24" t="str">
        <f aca="false">IF(AND($A130&lt;&gt;"",$X130="Oui",OR(Filtre_Masse="Tous les clients à envoyer",$Y130&lt;&gt;"Email")),MAX(Z$1:Z129)+1,"")</f>
        <v/>
      </c>
    </row>
    <row r="131" customFormat="false" ht="15" hidden="false" customHeight="false" outlineLevel="0" collapsed="false">
      <c r="A131" s="18"/>
      <c r="B131" s="18"/>
      <c r="C131" s="18"/>
      <c r="D131" s="18"/>
      <c r="E131" s="18"/>
      <c r="F131" s="18"/>
      <c r="G131" s="18"/>
      <c r="H131" s="19"/>
      <c r="I131" s="18"/>
      <c r="J131" s="18"/>
      <c r="K131" s="20"/>
      <c r="L131" s="20"/>
      <c r="M131" s="20"/>
      <c r="N131" s="20"/>
      <c r="O131" s="21"/>
      <c r="P131" s="22" t="n">
        <f aca="false">IF(OR($A131="",N(K131)=0),0,CEILING(K131*(1+IF($O131="",Taux_Compta,$O131))-0.005,Pas_Arrondi))</f>
        <v>0</v>
      </c>
      <c r="Q131" s="22" t="n">
        <f aca="false">IF(OR($A131="",N(L131)=0),0,CEILING(L131*(1+IF($O131="",Taux_Paye,$O131))-0.005,Pas_Arrondi))</f>
        <v>0</v>
      </c>
      <c r="R131" s="22" t="n">
        <f aca="false">IF(OR($A131="",N(M131)=0),0,CEILING(M131*(1+IF($O131="",Taux_Jur,$O131))-0.005,Pas_Arrondi))</f>
        <v>0</v>
      </c>
      <c r="S131" s="22" t="n">
        <f aca="false">IF(OR($A131="",N(N131)=0),0,CEILING(N131*(1+IF($O131="",Taux_PA,$O131))-0.005,Pas_Arrondi))</f>
        <v>0</v>
      </c>
      <c r="T131" s="22" t="str">
        <f aca="false">IF($A131="","",SUM(K131:N131))</f>
        <v/>
      </c>
      <c r="U131" s="22" t="str">
        <f aca="false">IF($A131="","",SUM(P131:S131))</f>
        <v/>
      </c>
      <c r="V131" s="22" t="str">
        <f aca="false">IF($A131="","",U131-T131)</f>
        <v/>
      </c>
      <c r="W131" s="23" t="str">
        <f aca="false">IF(OR($A131="",N(T131)=0),"",V131/T131)</f>
        <v/>
      </c>
      <c r="X131" s="18"/>
      <c r="Y131" s="18"/>
      <c r="Z131" s="24" t="str">
        <f aca="false">IF(AND($A131&lt;&gt;"",$X131="Oui",OR(Filtre_Masse="Tous les clients à envoyer",$Y131&lt;&gt;"Email")),MAX(Z$1:Z130)+1,"")</f>
        <v/>
      </c>
    </row>
    <row r="132" customFormat="false" ht="15" hidden="false" customHeight="false" outlineLevel="0" collapsed="false">
      <c r="A132" s="18"/>
      <c r="B132" s="18"/>
      <c r="C132" s="18"/>
      <c r="D132" s="18"/>
      <c r="E132" s="18"/>
      <c r="F132" s="18"/>
      <c r="G132" s="18"/>
      <c r="H132" s="19"/>
      <c r="I132" s="18"/>
      <c r="J132" s="18"/>
      <c r="K132" s="20"/>
      <c r="L132" s="20"/>
      <c r="M132" s="20"/>
      <c r="N132" s="20"/>
      <c r="O132" s="21"/>
      <c r="P132" s="22" t="n">
        <f aca="false">IF(OR($A132="",N(K132)=0),0,CEILING(K132*(1+IF($O132="",Taux_Compta,$O132))-0.005,Pas_Arrondi))</f>
        <v>0</v>
      </c>
      <c r="Q132" s="22" t="n">
        <f aca="false">IF(OR($A132="",N(L132)=0),0,CEILING(L132*(1+IF($O132="",Taux_Paye,$O132))-0.005,Pas_Arrondi))</f>
        <v>0</v>
      </c>
      <c r="R132" s="22" t="n">
        <f aca="false">IF(OR($A132="",N(M132)=0),0,CEILING(M132*(1+IF($O132="",Taux_Jur,$O132))-0.005,Pas_Arrondi))</f>
        <v>0</v>
      </c>
      <c r="S132" s="22" t="n">
        <f aca="false">IF(OR($A132="",N(N132)=0),0,CEILING(N132*(1+IF($O132="",Taux_PA,$O132))-0.005,Pas_Arrondi))</f>
        <v>0</v>
      </c>
      <c r="T132" s="22" t="str">
        <f aca="false">IF($A132="","",SUM(K132:N132))</f>
        <v/>
      </c>
      <c r="U132" s="22" t="str">
        <f aca="false">IF($A132="","",SUM(P132:S132))</f>
        <v/>
      </c>
      <c r="V132" s="22" t="str">
        <f aca="false">IF($A132="","",U132-T132)</f>
        <v/>
      </c>
      <c r="W132" s="23" t="str">
        <f aca="false">IF(OR($A132="",N(T132)=0),"",V132/T132)</f>
        <v/>
      </c>
      <c r="X132" s="18"/>
      <c r="Y132" s="18"/>
      <c r="Z132" s="24" t="str">
        <f aca="false">IF(AND($A132&lt;&gt;"",$X132="Oui",OR(Filtre_Masse="Tous les clients à envoyer",$Y132&lt;&gt;"Email")),MAX(Z$1:Z131)+1,"")</f>
        <v/>
      </c>
    </row>
    <row r="133" customFormat="false" ht="15" hidden="false" customHeight="false" outlineLevel="0" collapsed="false">
      <c r="A133" s="18"/>
      <c r="B133" s="18"/>
      <c r="C133" s="18"/>
      <c r="D133" s="18"/>
      <c r="E133" s="18"/>
      <c r="F133" s="18"/>
      <c r="G133" s="18"/>
      <c r="H133" s="19"/>
      <c r="I133" s="18"/>
      <c r="J133" s="18"/>
      <c r="K133" s="20"/>
      <c r="L133" s="20"/>
      <c r="M133" s="20"/>
      <c r="N133" s="20"/>
      <c r="O133" s="21"/>
      <c r="P133" s="22" t="n">
        <f aca="false">IF(OR($A133="",N(K133)=0),0,CEILING(K133*(1+IF($O133="",Taux_Compta,$O133))-0.005,Pas_Arrondi))</f>
        <v>0</v>
      </c>
      <c r="Q133" s="22" t="n">
        <f aca="false">IF(OR($A133="",N(L133)=0),0,CEILING(L133*(1+IF($O133="",Taux_Paye,$O133))-0.005,Pas_Arrondi))</f>
        <v>0</v>
      </c>
      <c r="R133" s="22" t="n">
        <f aca="false">IF(OR($A133="",N(M133)=0),0,CEILING(M133*(1+IF($O133="",Taux_Jur,$O133))-0.005,Pas_Arrondi))</f>
        <v>0</v>
      </c>
      <c r="S133" s="22" t="n">
        <f aca="false">IF(OR($A133="",N(N133)=0),0,CEILING(N133*(1+IF($O133="",Taux_PA,$O133))-0.005,Pas_Arrondi))</f>
        <v>0</v>
      </c>
      <c r="T133" s="22" t="str">
        <f aca="false">IF($A133="","",SUM(K133:N133))</f>
        <v/>
      </c>
      <c r="U133" s="22" t="str">
        <f aca="false">IF($A133="","",SUM(P133:S133))</f>
        <v/>
      </c>
      <c r="V133" s="22" t="str">
        <f aca="false">IF($A133="","",U133-T133)</f>
        <v/>
      </c>
      <c r="W133" s="23" t="str">
        <f aca="false">IF(OR($A133="",N(T133)=0),"",V133/T133)</f>
        <v/>
      </c>
      <c r="X133" s="18"/>
      <c r="Y133" s="18"/>
      <c r="Z133" s="24" t="str">
        <f aca="false">IF(AND($A133&lt;&gt;"",$X133="Oui",OR(Filtre_Masse="Tous les clients à envoyer",$Y133&lt;&gt;"Email")),MAX(Z$1:Z132)+1,"")</f>
        <v/>
      </c>
    </row>
    <row r="134" customFormat="false" ht="15" hidden="false" customHeight="false" outlineLevel="0" collapsed="false">
      <c r="A134" s="18"/>
      <c r="B134" s="18"/>
      <c r="C134" s="18"/>
      <c r="D134" s="18"/>
      <c r="E134" s="18"/>
      <c r="F134" s="18"/>
      <c r="G134" s="18"/>
      <c r="H134" s="19"/>
      <c r="I134" s="18"/>
      <c r="J134" s="18"/>
      <c r="K134" s="20"/>
      <c r="L134" s="20"/>
      <c r="M134" s="20"/>
      <c r="N134" s="20"/>
      <c r="O134" s="21"/>
      <c r="P134" s="22" t="n">
        <f aca="false">IF(OR($A134="",N(K134)=0),0,CEILING(K134*(1+IF($O134="",Taux_Compta,$O134))-0.005,Pas_Arrondi))</f>
        <v>0</v>
      </c>
      <c r="Q134" s="22" t="n">
        <f aca="false">IF(OR($A134="",N(L134)=0),0,CEILING(L134*(1+IF($O134="",Taux_Paye,$O134))-0.005,Pas_Arrondi))</f>
        <v>0</v>
      </c>
      <c r="R134" s="22" t="n">
        <f aca="false">IF(OR($A134="",N(M134)=0),0,CEILING(M134*(1+IF($O134="",Taux_Jur,$O134))-0.005,Pas_Arrondi))</f>
        <v>0</v>
      </c>
      <c r="S134" s="22" t="n">
        <f aca="false">IF(OR($A134="",N(N134)=0),0,CEILING(N134*(1+IF($O134="",Taux_PA,$O134))-0.005,Pas_Arrondi))</f>
        <v>0</v>
      </c>
      <c r="T134" s="22" t="str">
        <f aca="false">IF($A134="","",SUM(K134:N134))</f>
        <v/>
      </c>
      <c r="U134" s="22" t="str">
        <f aca="false">IF($A134="","",SUM(P134:S134))</f>
        <v/>
      </c>
      <c r="V134" s="22" t="str">
        <f aca="false">IF($A134="","",U134-T134)</f>
        <v/>
      </c>
      <c r="W134" s="23" t="str">
        <f aca="false">IF(OR($A134="",N(T134)=0),"",V134/T134)</f>
        <v/>
      </c>
      <c r="X134" s="18"/>
      <c r="Y134" s="18"/>
      <c r="Z134" s="24" t="str">
        <f aca="false">IF(AND($A134&lt;&gt;"",$X134="Oui",OR(Filtre_Masse="Tous les clients à envoyer",$Y134&lt;&gt;"Email")),MAX(Z$1:Z133)+1,"")</f>
        <v/>
      </c>
    </row>
    <row r="135" customFormat="false" ht="15" hidden="false" customHeight="false" outlineLevel="0" collapsed="false">
      <c r="A135" s="18"/>
      <c r="B135" s="18"/>
      <c r="C135" s="18"/>
      <c r="D135" s="18"/>
      <c r="E135" s="18"/>
      <c r="F135" s="18"/>
      <c r="G135" s="18"/>
      <c r="H135" s="19"/>
      <c r="I135" s="18"/>
      <c r="J135" s="18"/>
      <c r="K135" s="20"/>
      <c r="L135" s="20"/>
      <c r="M135" s="20"/>
      <c r="N135" s="20"/>
      <c r="O135" s="21"/>
      <c r="P135" s="22" t="n">
        <f aca="false">IF(OR($A135="",N(K135)=0),0,CEILING(K135*(1+IF($O135="",Taux_Compta,$O135))-0.005,Pas_Arrondi))</f>
        <v>0</v>
      </c>
      <c r="Q135" s="22" t="n">
        <f aca="false">IF(OR($A135="",N(L135)=0),0,CEILING(L135*(1+IF($O135="",Taux_Paye,$O135))-0.005,Pas_Arrondi))</f>
        <v>0</v>
      </c>
      <c r="R135" s="22" t="n">
        <f aca="false">IF(OR($A135="",N(M135)=0),0,CEILING(M135*(1+IF($O135="",Taux_Jur,$O135))-0.005,Pas_Arrondi))</f>
        <v>0</v>
      </c>
      <c r="S135" s="22" t="n">
        <f aca="false">IF(OR($A135="",N(N135)=0),0,CEILING(N135*(1+IF($O135="",Taux_PA,$O135))-0.005,Pas_Arrondi))</f>
        <v>0</v>
      </c>
      <c r="T135" s="22" t="str">
        <f aca="false">IF($A135="","",SUM(K135:N135))</f>
        <v/>
      </c>
      <c r="U135" s="22" t="str">
        <f aca="false">IF($A135="","",SUM(P135:S135))</f>
        <v/>
      </c>
      <c r="V135" s="22" t="str">
        <f aca="false">IF($A135="","",U135-T135)</f>
        <v/>
      </c>
      <c r="W135" s="23" t="str">
        <f aca="false">IF(OR($A135="",N(T135)=0),"",V135/T135)</f>
        <v/>
      </c>
      <c r="X135" s="18"/>
      <c r="Y135" s="18"/>
      <c r="Z135" s="24" t="str">
        <f aca="false">IF(AND($A135&lt;&gt;"",$X135="Oui",OR(Filtre_Masse="Tous les clients à envoyer",$Y135&lt;&gt;"Email")),MAX(Z$1:Z134)+1,"")</f>
        <v/>
      </c>
    </row>
    <row r="136" customFormat="false" ht="15" hidden="false" customHeight="false" outlineLevel="0" collapsed="false">
      <c r="A136" s="18"/>
      <c r="B136" s="18"/>
      <c r="C136" s="18"/>
      <c r="D136" s="18"/>
      <c r="E136" s="18"/>
      <c r="F136" s="18"/>
      <c r="G136" s="18"/>
      <c r="H136" s="19"/>
      <c r="I136" s="18"/>
      <c r="J136" s="18"/>
      <c r="K136" s="20"/>
      <c r="L136" s="20"/>
      <c r="M136" s="20"/>
      <c r="N136" s="20"/>
      <c r="O136" s="21"/>
      <c r="P136" s="22" t="n">
        <f aca="false">IF(OR($A136="",N(K136)=0),0,CEILING(K136*(1+IF($O136="",Taux_Compta,$O136))-0.005,Pas_Arrondi))</f>
        <v>0</v>
      </c>
      <c r="Q136" s="22" t="n">
        <f aca="false">IF(OR($A136="",N(L136)=0),0,CEILING(L136*(1+IF($O136="",Taux_Paye,$O136))-0.005,Pas_Arrondi))</f>
        <v>0</v>
      </c>
      <c r="R136" s="22" t="n">
        <f aca="false">IF(OR($A136="",N(M136)=0),0,CEILING(M136*(1+IF($O136="",Taux_Jur,$O136))-0.005,Pas_Arrondi))</f>
        <v>0</v>
      </c>
      <c r="S136" s="22" t="n">
        <f aca="false">IF(OR($A136="",N(N136)=0),0,CEILING(N136*(1+IF($O136="",Taux_PA,$O136))-0.005,Pas_Arrondi))</f>
        <v>0</v>
      </c>
      <c r="T136" s="22" t="str">
        <f aca="false">IF($A136="","",SUM(K136:N136))</f>
        <v/>
      </c>
      <c r="U136" s="22" t="str">
        <f aca="false">IF($A136="","",SUM(P136:S136))</f>
        <v/>
      </c>
      <c r="V136" s="22" t="str">
        <f aca="false">IF($A136="","",U136-T136)</f>
        <v/>
      </c>
      <c r="W136" s="23" t="str">
        <f aca="false">IF(OR($A136="",N(T136)=0),"",V136/T136)</f>
        <v/>
      </c>
      <c r="X136" s="18"/>
      <c r="Y136" s="18"/>
      <c r="Z136" s="24" t="str">
        <f aca="false">IF(AND($A136&lt;&gt;"",$X136="Oui",OR(Filtre_Masse="Tous les clients à envoyer",$Y136&lt;&gt;"Email")),MAX(Z$1:Z135)+1,"")</f>
        <v/>
      </c>
    </row>
    <row r="137" customFormat="false" ht="15" hidden="false" customHeight="false" outlineLevel="0" collapsed="false">
      <c r="A137" s="18"/>
      <c r="B137" s="18"/>
      <c r="C137" s="18"/>
      <c r="D137" s="18"/>
      <c r="E137" s="18"/>
      <c r="F137" s="18"/>
      <c r="G137" s="18"/>
      <c r="H137" s="19"/>
      <c r="I137" s="18"/>
      <c r="J137" s="18"/>
      <c r="K137" s="20"/>
      <c r="L137" s="20"/>
      <c r="M137" s="20"/>
      <c r="N137" s="20"/>
      <c r="O137" s="21"/>
      <c r="P137" s="22" t="n">
        <f aca="false">IF(OR($A137="",N(K137)=0),0,CEILING(K137*(1+IF($O137="",Taux_Compta,$O137))-0.005,Pas_Arrondi))</f>
        <v>0</v>
      </c>
      <c r="Q137" s="22" t="n">
        <f aca="false">IF(OR($A137="",N(L137)=0),0,CEILING(L137*(1+IF($O137="",Taux_Paye,$O137))-0.005,Pas_Arrondi))</f>
        <v>0</v>
      </c>
      <c r="R137" s="22" t="n">
        <f aca="false">IF(OR($A137="",N(M137)=0),0,CEILING(M137*(1+IF($O137="",Taux_Jur,$O137))-0.005,Pas_Arrondi))</f>
        <v>0</v>
      </c>
      <c r="S137" s="22" t="n">
        <f aca="false">IF(OR($A137="",N(N137)=0),0,CEILING(N137*(1+IF($O137="",Taux_PA,$O137))-0.005,Pas_Arrondi))</f>
        <v>0</v>
      </c>
      <c r="T137" s="22" t="str">
        <f aca="false">IF($A137="","",SUM(K137:N137))</f>
        <v/>
      </c>
      <c r="U137" s="22" t="str">
        <f aca="false">IF($A137="","",SUM(P137:S137))</f>
        <v/>
      </c>
      <c r="V137" s="22" t="str">
        <f aca="false">IF($A137="","",U137-T137)</f>
        <v/>
      </c>
      <c r="W137" s="23" t="str">
        <f aca="false">IF(OR($A137="",N(T137)=0),"",V137/T137)</f>
        <v/>
      </c>
      <c r="X137" s="18"/>
      <c r="Y137" s="18"/>
      <c r="Z137" s="24" t="str">
        <f aca="false">IF(AND($A137&lt;&gt;"",$X137="Oui",OR(Filtre_Masse="Tous les clients à envoyer",$Y137&lt;&gt;"Email")),MAX(Z$1:Z136)+1,"")</f>
        <v/>
      </c>
    </row>
    <row r="138" customFormat="false" ht="15" hidden="false" customHeight="false" outlineLevel="0" collapsed="false">
      <c r="A138" s="18"/>
      <c r="B138" s="18"/>
      <c r="C138" s="18"/>
      <c r="D138" s="18"/>
      <c r="E138" s="18"/>
      <c r="F138" s="18"/>
      <c r="G138" s="18"/>
      <c r="H138" s="19"/>
      <c r="I138" s="18"/>
      <c r="J138" s="18"/>
      <c r="K138" s="20"/>
      <c r="L138" s="20"/>
      <c r="M138" s="20"/>
      <c r="N138" s="20"/>
      <c r="O138" s="21"/>
      <c r="P138" s="22" t="n">
        <f aca="false">IF(OR($A138="",N(K138)=0),0,CEILING(K138*(1+IF($O138="",Taux_Compta,$O138))-0.005,Pas_Arrondi))</f>
        <v>0</v>
      </c>
      <c r="Q138" s="22" t="n">
        <f aca="false">IF(OR($A138="",N(L138)=0),0,CEILING(L138*(1+IF($O138="",Taux_Paye,$O138))-0.005,Pas_Arrondi))</f>
        <v>0</v>
      </c>
      <c r="R138" s="22" t="n">
        <f aca="false">IF(OR($A138="",N(M138)=0),0,CEILING(M138*(1+IF($O138="",Taux_Jur,$O138))-0.005,Pas_Arrondi))</f>
        <v>0</v>
      </c>
      <c r="S138" s="22" t="n">
        <f aca="false">IF(OR($A138="",N(N138)=0),0,CEILING(N138*(1+IF($O138="",Taux_PA,$O138))-0.005,Pas_Arrondi))</f>
        <v>0</v>
      </c>
      <c r="T138" s="22" t="str">
        <f aca="false">IF($A138="","",SUM(K138:N138))</f>
        <v/>
      </c>
      <c r="U138" s="22" t="str">
        <f aca="false">IF($A138="","",SUM(P138:S138))</f>
        <v/>
      </c>
      <c r="V138" s="22" t="str">
        <f aca="false">IF($A138="","",U138-T138)</f>
        <v/>
      </c>
      <c r="W138" s="23" t="str">
        <f aca="false">IF(OR($A138="",N(T138)=0),"",V138/T138)</f>
        <v/>
      </c>
      <c r="X138" s="18"/>
      <c r="Y138" s="18"/>
      <c r="Z138" s="24" t="str">
        <f aca="false">IF(AND($A138&lt;&gt;"",$X138="Oui",OR(Filtre_Masse="Tous les clients à envoyer",$Y138&lt;&gt;"Email")),MAX(Z$1:Z137)+1,"")</f>
        <v/>
      </c>
    </row>
    <row r="139" customFormat="false" ht="15" hidden="false" customHeight="false" outlineLevel="0" collapsed="false">
      <c r="A139" s="18"/>
      <c r="B139" s="18"/>
      <c r="C139" s="18"/>
      <c r="D139" s="18"/>
      <c r="E139" s="18"/>
      <c r="F139" s="18"/>
      <c r="G139" s="18"/>
      <c r="H139" s="19"/>
      <c r="I139" s="18"/>
      <c r="J139" s="18"/>
      <c r="K139" s="20"/>
      <c r="L139" s="20"/>
      <c r="M139" s="20"/>
      <c r="N139" s="20"/>
      <c r="O139" s="21"/>
      <c r="P139" s="22" t="n">
        <f aca="false">IF(OR($A139="",N(K139)=0),0,CEILING(K139*(1+IF($O139="",Taux_Compta,$O139))-0.005,Pas_Arrondi))</f>
        <v>0</v>
      </c>
      <c r="Q139" s="22" t="n">
        <f aca="false">IF(OR($A139="",N(L139)=0),0,CEILING(L139*(1+IF($O139="",Taux_Paye,$O139))-0.005,Pas_Arrondi))</f>
        <v>0</v>
      </c>
      <c r="R139" s="22" t="n">
        <f aca="false">IF(OR($A139="",N(M139)=0),0,CEILING(M139*(1+IF($O139="",Taux_Jur,$O139))-0.005,Pas_Arrondi))</f>
        <v>0</v>
      </c>
      <c r="S139" s="22" t="n">
        <f aca="false">IF(OR($A139="",N(N139)=0),0,CEILING(N139*(1+IF($O139="",Taux_PA,$O139))-0.005,Pas_Arrondi))</f>
        <v>0</v>
      </c>
      <c r="T139" s="22" t="str">
        <f aca="false">IF($A139="","",SUM(K139:N139))</f>
        <v/>
      </c>
      <c r="U139" s="22" t="str">
        <f aca="false">IF($A139="","",SUM(P139:S139))</f>
        <v/>
      </c>
      <c r="V139" s="22" t="str">
        <f aca="false">IF($A139="","",U139-T139)</f>
        <v/>
      </c>
      <c r="W139" s="23" t="str">
        <f aca="false">IF(OR($A139="",N(T139)=0),"",V139/T139)</f>
        <v/>
      </c>
      <c r="X139" s="18"/>
      <c r="Y139" s="18"/>
      <c r="Z139" s="24" t="str">
        <f aca="false">IF(AND($A139&lt;&gt;"",$X139="Oui",OR(Filtre_Masse="Tous les clients à envoyer",$Y139&lt;&gt;"Email")),MAX(Z$1:Z138)+1,"")</f>
        <v/>
      </c>
    </row>
    <row r="140" customFormat="false" ht="15" hidden="false" customHeight="false" outlineLevel="0" collapsed="false">
      <c r="A140" s="18"/>
      <c r="B140" s="18"/>
      <c r="C140" s="18"/>
      <c r="D140" s="18"/>
      <c r="E140" s="18"/>
      <c r="F140" s="18"/>
      <c r="G140" s="18"/>
      <c r="H140" s="19"/>
      <c r="I140" s="18"/>
      <c r="J140" s="18"/>
      <c r="K140" s="20"/>
      <c r="L140" s="20"/>
      <c r="M140" s="20"/>
      <c r="N140" s="20"/>
      <c r="O140" s="21"/>
      <c r="P140" s="22" t="n">
        <f aca="false">IF(OR($A140="",N(K140)=0),0,CEILING(K140*(1+IF($O140="",Taux_Compta,$O140))-0.005,Pas_Arrondi))</f>
        <v>0</v>
      </c>
      <c r="Q140" s="22" t="n">
        <f aca="false">IF(OR($A140="",N(L140)=0),0,CEILING(L140*(1+IF($O140="",Taux_Paye,$O140))-0.005,Pas_Arrondi))</f>
        <v>0</v>
      </c>
      <c r="R140" s="22" t="n">
        <f aca="false">IF(OR($A140="",N(M140)=0),0,CEILING(M140*(1+IF($O140="",Taux_Jur,$O140))-0.005,Pas_Arrondi))</f>
        <v>0</v>
      </c>
      <c r="S140" s="22" t="n">
        <f aca="false">IF(OR($A140="",N(N140)=0),0,CEILING(N140*(1+IF($O140="",Taux_PA,$O140))-0.005,Pas_Arrondi))</f>
        <v>0</v>
      </c>
      <c r="T140" s="22" t="str">
        <f aca="false">IF($A140="","",SUM(K140:N140))</f>
        <v/>
      </c>
      <c r="U140" s="22" t="str">
        <f aca="false">IF($A140="","",SUM(P140:S140))</f>
        <v/>
      </c>
      <c r="V140" s="22" t="str">
        <f aca="false">IF($A140="","",U140-T140)</f>
        <v/>
      </c>
      <c r="W140" s="23" t="str">
        <f aca="false">IF(OR($A140="",N(T140)=0),"",V140/T140)</f>
        <v/>
      </c>
      <c r="X140" s="18"/>
      <c r="Y140" s="18"/>
      <c r="Z140" s="24" t="str">
        <f aca="false">IF(AND($A140&lt;&gt;"",$X140="Oui",OR(Filtre_Masse="Tous les clients à envoyer",$Y140&lt;&gt;"Email")),MAX(Z$1:Z139)+1,"")</f>
        <v/>
      </c>
    </row>
    <row r="141" customFormat="false" ht="15" hidden="false" customHeight="false" outlineLevel="0" collapsed="false">
      <c r="A141" s="18"/>
      <c r="B141" s="18"/>
      <c r="C141" s="18"/>
      <c r="D141" s="18"/>
      <c r="E141" s="18"/>
      <c r="F141" s="18"/>
      <c r="G141" s="18"/>
      <c r="H141" s="19"/>
      <c r="I141" s="18"/>
      <c r="J141" s="18"/>
      <c r="K141" s="20"/>
      <c r="L141" s="20"/>
      <c r="M141" s="20"/>
      <c r="N141" s="20"/>
      <c r="O141" s="21"/>
      <c r="P141" s="22" t="n">
        <f aca="false">IF(OR($A141="",N(K141)=0),0,CEILING(K141*(1+IF($O141="",Taux_Compta,$O141))-0.005,Pas_Arrondi))</f>
        <v>0</v>
      </c>
      <c r="Q141" s="22" t="n">
        <f aca="false">IF(OR($A141="",N(L141)=0),0,CEILING(L141*(1+IF($O141="",Taux_Paye,$O141))-0.005,Pas_Arrondi))</f>
        <v>0</v>
      </c>
      <c r="R141" s="22" t="n">
        <f aca="false">IF(OR($A141="",N(M141)=0),0,CEILING(M141*(1+IF($O141="",Taux_Jur,$O141))-0.005,Pas_Arrondi))</f>
        <v>0</v>
      </c>
      <c r="S141" s="22" t="n">
        <f aca="false">IF(OR($A141="",N(N141)=0),0,CEILING(N141*(1+IF($O141="",Taux_PA,$O141))-0.005,Pas_Arrondi))</f>
        <v>0</v>
      </c>
      <c r="T141" s="22" t="str">
        <f aca="false">IF($A141="","",SUM(K141:N141))</f>
        <v/>
      </c>
      <c r="U141" s="22" t="str">
        <f aca="false">IF($A141="","",SUM(P141:S141))</f>
        <v/>
      </c>
      <c r="V141" s="22" t="str">
        <f aca="false">IF($A141="","",U141-T141)</f>
        <v/>
      </c>
      <c r="W141" s="23" t="str">
        <f aca="false">IF(OR($A141="",N(T141)=0),"",V141/T141)</f>
        <v/>
      </c>
      <c r="X141" s="18"/>
      <c r="Y141" s="18"/>
      <c r="Z141" s="24" t="str">
        <f aca="false">IF(AND($A141&lt;&gt;"",$X141="Oui",OR(Filtre_Masse="Tous les clients à envoyer",$Y141&lt;&gt;"Email")),MAX(Z$1:Z140)+1,"")</f>
        <v/>
      </c>
    </row>
    <row r="142" customFormat="false" ht="15" hidden="false" customHeight="false" outlineLevel="0" collapsed="false">
      <c r="A142" s="18"/>
      <c r="B142" s="18"/>
      <c r="C142" s="18"/>
      <c r="D142" s="18"/>
      <c r="E142" s="18"/>
      <c r="F142" s="18"/>
      <c r="G142" s="18"/>
      <c r="H142" s="19"/>
      <c r="I142" s="18"/>
      <c r="J142" s="18"/>
      <c r="K142" s="20"/>
      <c r="L142" s="20"/>
      <c r="M142" s="20"/>
      <c r="N142" s="20"/>
      <c r="O142" s="21"/>
      <c r="P142" s="22" t="n">
        <f aca="false">IF(OR($A142="",N(K142)=0),0,CEILING(K142*(1+IF($O142="",Taux_Compta,$O142))-0.005,Pas_Arrondi))</f>
        <v>0</v>
      </c>
      <c r="Q142" s="22" t="n">
        <f aca="false">IF(OR($A142="",N(L142)=0),0,CEILING(L142*(1+IF($O142="",Taux_Paye,$O142))-0.005,Pas_Arrondi))</f>
        <v>0</v>
      </c>
      <c r="R142" s="22" t="n">
        <f aca="false">IF(OR($A142="",N(M142)=0),0,CEILING(M142*(1+IF($O142="",Taux_Jur,$O142))-0.005,Pas_Arrondi))</f>
        <v>0</v>
      </c>
      <c r="S142" s="22" t="n">
        <f aca="false">IF(OR($A142="",N(N142)=0),0,CEILING(N142*(1+IF($O142="",Taux_PA,$O142))-0.005,Pas_Arrondi))</f>
        <v>0</v>
      </c>
      <c r="T142" s="22" t="str">
        <f aca="false">IF($A142="","",SUM(K142:N142))</f>
        <v/>
      </c>
      <c r="U142" s="22" t="str">
        <f aca="false">IF($A142="","",SUM(P142:S142))</f>
        <v/>
      </c>
      <c r="V142" s="22" t="str">
        <f aca="false">IF($A142="","",U142-T142)</f>
        <v/>
      </c>
      <c r="W142" s="23" t="str">
        <f aca="false">IF(OR($A142="",N(T142)=0),"",V142/T142)</f>
        <v/>
      </c>
      <c r="X142" s="18"/>
      <c r="Y142" s="18"/>
      <c r="Z142" s="24" t="str">
        <f aca="false">IF(AND($A142&lt;&gt;"",$X142="Oui",OR(Filtre_Masse="Tous les clients à envoyer",$Y142&lt;&gt;"Email")),MAX(Z$1:Z141)+1,"")</f>
        <v/>
      </c>
    </row>
    <row r="143" customFormat="false" ht="15" hidden="false" customHeight="false" outlineLevel="0" collapsed="false">
      <c r="A143" s="18"/>
      <c r="B143" s="18"/>
      <c r="C143" s="18"/>
      <c r="D143" s="18"/>
      <c r="E143" s="18"/>
      <c r="F143" s="18"/>
      <c r="G143" s="18"/>
      <c r="H143" s="19"/>
      <c r="I143" s="18"/>
      <c r="J143" s="18"/>
      <c r="K143" s="20"/>
      <c r="L143" s="20"/>
      <c r="M143" s="20"/>
      <c r="N143" s="20"/>
      <c r="O143" s="21"/>
      <c r="P143" s="22" t="n">
        <f aca="false">IF(OR($A143="",N(K143)=0),0,CEILING(K143*(1+IF($O143="",Taux_Compta,$O143))-0.005,Pas_Arrondi))</f>
        <v>0</v>
      </c>
      <c r="Q143" s="22" t="n">
        <f aca="false">IF(OR($A143="",N(L143)=0),0,CEILING(L143*(1+IF($O143="",Taux_Paye,$O143))-0.005,Pas_Arrondi))</f>
        <v>0</v>
      </c>
      <c r="R143" s="22" t="n">
        <f aca="false">IF(OR($A143="",N(M143)=0),0,CEILING(M143*(1+IF($O143="",Taux_Jur,$O143))-0.005,Pas_Arrondi))</f>
        <v>0</v>
      </c>
      <c r="S143" s="22" t="n">
        <f aca="false">IF(OR($A143="",N(N143)=0),0,CEILING(N143*(1+IF($O143="",Taux_PA,$O143))-0.005,Pas_Arrondi))</f>
        <v>0</v>
      </c>
      <c r="T143" s="22" t="str">
        <f aca="false">IF($A143="","",SUM(K143:N143))</f>
        <v/>
      </c>
      <c r="U143" s="22" t="str">
        <f aca="false">IF($A143="","",SUM(P143:S143))</f>
        <v/>
      </c>
      <c r="V143" s="22" t="str">
        <f aca="false">IF($A143="","",U143-T143)</f>
        <v/>
      </c>
      <c r="W143" s="23" t="str">
        <f aca="false">IF(OR($A143="",N(T143)=0),"",V143/T143)</f>
        <v/>
      </c>
      <c r="X143" s="18"/>
      <c r="Y143" s="18"/>
      <c r="Z143" s="24" t="str">
        <f aca="false">IF(AND($A143&lt;&gt;"",$X143="Oui",OR(Filtre_Masse="Tous les clients à envoyer",$Y143&lt;&gt;"Email")),MAX(Z$1:Z142)+1,"")</f>
        <v/>
      </c>
    </row>
    <row r="144" customFormat="false" ht="15" hidden="false" customHeight="false" outlineLevel="0" collapsed="false">
      <c r="A144" s="18"/>
      <c r="B144" s="18"/>
      <c r="C144" s="18"/>
      <c r="D144" s="18"/>
      <c r="E144" s="18"/>
      <c r="F144" s="18"/>
      <c r="G144" s="18"/>
      <c r="H144" s="19"/>
      <c r="I144" s="18"/>
      <c r="J144" s="18"/>
      <c r="K144" s="20"/>
      <c r="L144" s="20"/>
      <c r="M144" s="20"/>
      <c r="N144" s="20"/>
      <c r="O144" s="21"/>
      <c r="P144" s="22" t="n">
        <f aca="false">IF(OR($A144="",N(K144)=0),0,CEILING(K144*(1+IF($O144="",Taux_Compta,$O144))-0.005,Pas_Arrondi))</f>
        <v>0</v>
      </c>
      <c r="Q144" s="22" t="n">
        <f aca="false">IF(OR($A144="",N(L144)=0),0,CEILING(L144*(1+IF($O144="",Taux_Paye,$O144))-0.005,Pas_Arrondi))</f>
        <v>0</v>
      </c>
      <c r="R144" s="22" t="n">
        <f aca="false">IF(OR($A144="",N(M144)=0),0,CEILING(M144*(1+IF($O144="",Taux_Jur,$O144))-0.005,Pas_Arrondi))</f>
        <v>0</v>
      </c>
      <c r="S144" s="22" t="n">
        <f aca="false">IF(OR($A144="",N(N144)=0),0,CEILING(N144*(1+IF($O144="",Taux_PA,$O144))-0.005,Pas_Arrondi))</f>
        <v>0</v>
      </c>
      <c r="T144" s="22" t="str">
        <f aca="false">IF($A144="","",SUM(K144:N144))</f>
        <v/>
      </c>
      <c r="U144" s="22" t="str">
        <f aca="false">IF($A144="","",SUM(P144:S144))</f>
        <v/>
      </c>
      <c r="V144" s="22" t="str">
        <f aca="false">IF($A144="","",U144-T144)</f>
        <v/>
      </c>
      <c r="W144" s="23" t="str">
        <f aca="false">IF(OR($A144="",N(T144)=0),"",V144/T144)</f>
        <v/>
      </c>
      <c r="X144" s="18"/>
      <c r="Y144" s="18"/>
      <c r="Z144" s="24" t="str">
        <f aca="false">IF(AND($A144&lt;&gt;"",$X144="Oui",OR(Filtre_Masse="Tous les clients à envoyer",$Y144&lt;&gt;"Email")),MAX(Z$1:Z143)+1,"")</f>
        <v/>
      </c>
    </row>
    <row r="145" customFormat="false" ht="15" hidden="false" customHeight="false" outlineLevel="0" collapsed="false">
      <c r="A145" s="18"/>
      <c r="B145" s="18"/>
      <c r="C145" s="18"/>
      <c r="D145" s="18"/>
      <c r="E145" s="18"/>
      <c r="F145" s="18"/>
      <c r="G145" s="18"/>
      <c r="H145" s="19"/>
      <c r="I145" s="18"/>
      <c r="J145" s="18"/>
      <c r="K145" s="20"/>
      <c r="L145" s="20"/>
      <c r="M145" s="20"/>
      <c r="N145" s="20"/>
      <c r="O145" s="21"/>
      <c r="P145" s="22" t="n">
        <f aca="false">IF(OR($A145="",N(K145)=0),0,CEILING(K145*(1+IF($O145="",Taux_Compta,$O145))-0.005,Pas_Arrondi))</f>
        <v>0</v>
      </c>
      <c r="Q145" s="22" t="n">
        <f aca="false">IF(OR($A145="",N(L145)=0),0,CEILING(L145*(1+IF($O145="",Taux_Paye,$O145))-0.005,Pas_Arrondi))</f>
        <v>0</v>
      </c>
      <c r="R145" s="22" t="n">
        <f aca="false">IF(OR($A145="",N(M145)=0),0,CEILING(M145*(1+IF($O145="",Taux_Jur,$O145))-0.005,Pas_Arrondi))</f>
        <v>0</v>
      </c>
      <c r="S145" s="22" t="n">
        <f aca="false">IF(OR($A145="",N(N145)=0),0,CEILING(N145*(1+IF($O145="",Taux_PA,$O145))-0.005,Pas_Arrondi))</f>
        <v>0</v>
      </c>
      <c r="T145" s="22" t="str">
        <f aca="false">IF($A145="","",SUM(K145:N145))</f>
        <v/>
      </c>
      <c r="U145" s="22" t="str">
        <f aca="false">IF($A145="","",SUM(P145:S145))</f>
        <v/>
      </c>
      <c r="V145" s="22" t="str">
        <f aca="false">IF($A145="","",U145-T145)</f>
        <v/>
      </c>
      <c r="W145" s="23" t="str">
        <f aca="false">IF(OR($A145="",N(T145)=0),"",V145/T145)</f>
        <v/>
      </c>
      <c r="X145" s="18"/>
      <c r="Y145" s="18"/>
      <c r="Z145" s="24" t="str">
        <f aca="false">IF(AND($A145&lt;&gt;"",$X145="Oui",OR(Filtre_Masse="Tous les clients à envoyer",$Y145&lt;&gt;"Email")),MAX(Z$1:Z144)+1,"")</f>
        <v/>
      </c>
    </row>
    <row r="146" customFormat="false" ht="15" hidden="false" customHeight="false" outlineLevel="0" collapsed="false">
      <c r="A146" s="18"/>
      <c r="B146" s="18"/>
      <c r="C146" s="18"/>
      <c r="D146" s="18"/>
      <c r="E146" s="18"/>
      <c r="F146" s="18"/>
      <c r="G146" s="18"/>
      <c r="H146" s="19"/>
      <c r="I146" s="18"/>
      <c r="J146" s="18"/>
      <c r="K146" s="20"/>
      <c r="L146" s="20"/>
      <c r="M146" s="20"/>
      <c r="N146" s="20"/>
      <c r="O146" s="21"/>
      <c r="P146" s="22" t="n">
        <f aca="false">IF(OR($A146="",N(K146)=0),0,CEILING(K146*(1+IF($O146="",Taux_Compta,$O146))-0.005,Pas_Arrondi))</f>
        <v>0</v>
      </c>
      <c r="Q146" s="22" t="n">
        <f aca="false">IF(OR($A146="",N(L146)=0),0,CEILING(L146*(1+IF($O146="",Taux_Paye,$O146))-0.005,Pas_Arrondi))</f>
        <v>0</v>
      </c>
      <c r="R146" s="22" t="n">
        <f aca="false">IF(OR($A146="",N(M146)=0),0,CEILING(M146*(1+IF($O146="",Taux_Jur,$O146))-0.005,Pas_Arrondi))</f>
        <v>0</v>
      </c>
      <c r="S146" s="22" t="n">
        <f aca="false">IF(OR($A146="",N(N146)=0),0,CEILING(N146*(1+IF($O146="",Taux_PA,$O146))-0.005,Pas_Arrondi))</f>
        <v>0</v>
      </c>
      <c r="T146" s="22" t="str">
        <f aca="false">IF($A146="","",SUM(K146:N146))</f>
        <v/>
      </c>
      <c r="U146" s="22" t="str">
        <f aca="false">IF($A146="","",SUM(P146:S146))</f>
        <v/>
      </c>
      <c r="V146" s="22" t="str">
        <f aca="false">IF($A146="","",U146-T146)</f>
        <v/>
      </c>
      <c r="W146" s="23" t="str">
        <f aca="false">IF(OR($A146="",N(T146)=0),"",V146/T146)</f>
        <v/>
      </c>
      <c r="X146" s="18"/>
      <c r="Y146" s="18"/>
      <c r="Z146" s="24" t="str">
        <f aca="false">IF(AND($A146&lt;&gt;"",$X146="Oui",OR(Filtre_Masse="Tous les clients à envoyer",$Y146&lt;&gt;"Email")),MAX(Z$1:Z145)+1,"")</f>
        <v/>
      </c>
    </row>
    <row r="147" customFormat="false" ht="15" hidden="false" customHeight="false" outlineLevel="0" collapsed="false">
      <c r="A147" s="18"/>
      <c r="B147" s="18"/>
      <c r="C147" s="18"/>
      <c r="D147" s="18"/>
      <c r="E147" s="18"/>
      <c r="F147" s="18"/>
      <c r="G147" s="18"/>
      <c r="H147" s="19"/>
      <c r="I147" s="18"/>
      <c r="J147" s="18"/>
      <c r="K147" s="20"/>
      <c r="L147" s="20"/>
      <c r="M147" s="20"/>
      <c r="N147" s="20"/>
      <c r="O147" s="21"/>
      <c r="P147" s="22" t="n">
        <f aca="false">IF(OR($A147="",N(K147)=0),0,CEILING(K147*(1+IF($O147="",Taux_Compta,$O147))-0.005,Pas_Arrondi))</f>
        <v>0</v>
      </c>
      <c r="Q147" s="22" t="n">
        <f aca="false">IF(OR($A147="",N(L147)=0),0,CEILING(L147*(1+IF($O147="",Taux_Paye,$O147))-0.005,Pas_Arrondi))</f>
        <v>0</v>
      </c>
      <c r="R147" s="22" t="n">
        <f aca="false">IF(OR($A147="",N(M147)=0),0,CEILING(M147*(1+IF($O147="",Taux_Jur,$O147))-0.005,Pas_Arrondi))</f>
        <v>0</v>
      </c>
      <c r="S147" s="22" t="n">
        <f aca="false">IF(OR($A147="",N(N147)=0),0,CEILING(N147*(1+IF($O147="",Taux_PA,$O147))-0.005,Pas_Arrondi))</f>
        <v>0</v>
      </c>
      <c r="T147" s="22" t="str">
        <f aca="false">IF($A147="","",SUM(K147:N147))</f>
        <v/>
      </c>
      <c r="U147" s="22" t="str">
        <f aca="false">IF($A147="","",SUM(P147:S147))</f>
        <v/>
      </c>
      <c r="V147" s="22" t="str">
        <f aca="false">IF($A147="","",U147-T147)</f>
        <v/>
      </c>
      <c r="W147" s="23" t="str">
        <f aca="false">IF(OR($A147="",N(T147)=0),"",V147/T147)</f>
        <v/>
      </c>
      <c r="X147" s="18"/>
      <c r="Y147" s="18"/>
      <c r="Z147" s="24" t="str">
        <f aca="false">IF(AND($A147&lt;&gt;"",$X147="Oui",OR(Filtre_Masse="Tous les clients à envoyer",$Y147&lt;&gt;"Email")),MAX(Z$1:Z146)+1,"")</f>
        <v/>
      </c>
    </row>
    <row r="148" customFormat="false" ht="15" hidden="false" customHeight="false" outlineLevel="0" collapsed="false">
      <c r="A148" s="18"/>
      <c r="B148" s="18"/>
      <c r="C148" s="18"/>
      <c r="D148" s="18"/>
      <c r="E148" s="18"/>
      <c r="F148" s="18"/>
      <c r="G148" s="18"/>
      <c r="H148" s="19"/>
      <c r="I148" s="18"/>
      <c r="J148" s="18"/>
      <c r="K148" s="20"/>
      <c r="L148" s="20"/>
      <c r="M148" s="20"/>
      <c r="N148" s="20"/>
      <c r="O148" s="21"/>
      <c r="P148" s="22" t="n">
        <f aca="false">IF(OR($A148="",N(K148)=0),0,CEILING(K148*(1+IF($O148="",Taux_Compta,$O148))-0.005,Pas_Arrondi))</f>
        <v>0</v>
      </c>
      <c r="Q148" s="22" t="n">
        <f aca="false">IF(OR($A148="",N(L148)=0),0,CEILING(L148*(1+IF($O148="",Taux_Paye,$O148))-0.005,Pas_Arrondi))</f>
        <v>0</v>
      </c>
      <c r="R148" s="22" t="n">
        <f aca="false">IF(OR($A148="",N(M148)=0),0,CEILING(M148*(1+IF($O148="",Taux_Jur,$O148))-0.005,Pas_Arrondi))</f>
        <v>0</v>
      </c>
      <c r="S148" s="22" t="n">
        <f aca="false">IF(OR($A148="",N(N148)=0),0,CEILING(N148*(1+IF($O148="",Taux_PA,$O148))-0.005,Pas_Arrondi))</f>
        <v>0</v>
      </c>
      <c r="T148" s="22" t="str">
        <f aca="false">IF($A148="","",SUM(K148:N148))</f>
        <v/>
      </c>
      <c r="U148" s="22" t="str">
        <f aca="false">IF($A148="","",SUM(P148:S148))</f>
        <v/>
      </c>
      <c r="V148" s="22" t="str">
        <f aca="false">IF($A148="","",U148-T148)</f>
        <v/>
      </c>
      <c r="W148" s="23" t="str">
        <f aca="false">IF(OR($A148="",N(T148)=0),"",V148/T148)</f>
        <v/>
      </c>
      <c r="X148" s="18"/>
      <c r="Y148" s="18"/>
      <c r="Z148" s="24" t="str">
        <f aca="false">IF(AND($A148&lt;&gt;"",$X148="Oui",OR(Filtre_Masse="Tous les clients à envoyer",$Y148&lt;&gt;"Email")),MAX(Z$1:Z147)+1,"")</f>
        <v/>
      </c>
    </row>
    <row r="149" customFormat="false" ht="15" hidden="false" customHeight="false" outlineLevel="0" collapsed="false">
      <c r="A149" s="18"/>
      <c r="B149" s="18"/>
      <c r="C149" s="18"/>
      <c r="D149" s="18"/>
      <c r="E149" s="18"/>
      <c r="F149" s="18"/>
      <c r="G149" s="18"/>
      <c r="H149" s="19"/>
      <c r="I149" s="18"/>
      <c r="J149" s="18"/>
      <c r="K149" s="20"/>
      <c r="L149" s="20"/>
      <c r="M149" s="20"/>
      <c r="N149" s="20"/>
      <c r="O149" s="21"/>
      <c r="P149" s="22" t="n">
        <f aca="false">IF(OR($A149="",N(K149)=0),0,CEILING(K149*(1+IF($O149="",Taux_Compta,$O149))-0.005,Pas_Arrondi))</f>
        <v>0</v>
      </c>
      <c r="Q149" s="22" t="n">
        <f aca="false">IF(OR($A149="",N(L149)=0),0,CEILING(L149*(1+IF($O149="",Taux_Paye,$O149))-0.005,Pas_Arrondi))</f>
        <v>0</v>
      </c>
      <c r="R149" s="22" t="n">
        <f aca="false">IF(OR($A149="",N(M149)=0),0,CEILING(M149*(1+IF($O149="",Taux_Jur,$O149))-0.005,Pas_Arrondi))</f>
        <v>0</v>
      </c>
      <c r="S149" s="22" t="n">
        <f aca="false">IF(OR($A149="",N(N149)=0),0,CEILING(N149*(1+IF($O149="",Taux_PA,$O149))-0.005,Pas_Arrondi))</f>
        <v>0</v>
      </c>
      <c r="T149" s="22" t="str">
        <f aca="false">IF($A149="","",SUM(K149:N149))</f>
        <v/>
      </c>
      <c r="U149" s="22" t="str">
        <f aca="false">IF($A149="","",SUM(P149:S149))</f>
        <v/>
      </c>
      <c r="V149" s="22" t="str">
        <f aca="false">IF($A149="","",U149-T149)</f>
        <v/>
      </c>
      <c r="W149" s="23" t="str">
        <f aca="false">IF(OR($A149="",N(T149)=0),"",V149/T149)</f>
        <v/>
      </c>
      <c r="X149" s="18"/>
      <c r="Y149" s="18"/>
      <c r="Z149" s="24" t="str">
        <f aca="false">IF(AND($A149&lt;&gt;"",$X149="Oui",OR(Filtre_Masse="Tous les clients à envoyer",$Y149&lt;&gt;"Email")),MAX(Z$1:Z148)+1,"")</f>
        <v/>
      </c>
    </row>
    <row r="150" customFormat="false" ht="15" hidden="false" customHeight="false" outlineLevel="0" collapsed="false">
      <c r="A150" s="18"/>
      <c r="B150" s="18"/>
      <c r="C150" s="18"/>
      <c r="D150" s="18"/>
      <c r="E150" s="18"/>
      <c r="F150" s="18"/>
      <c r="G150" s="18"/>
      <c r="H150" s="19"/>
      <c r="I150" s="18"/>
      <c r="J150" s="18"/>
      <c r="K150" s="20"/>
      <c r="L150" s="20"/>
      <c r="M150" s="20"/>
      <c r="N150" s="20"/>
      <c r="O150" s="21"/>
      <c r="P150" s="22" t="n">
        <f aca="false">IF(OR($A150="",N(K150)=0),0,CEILING(K150*(1+IF($O150="",Taux_Compta,$O150))-0.005,Pas_Arrondi))</f>
        <v>0</v>
      </c>
      <c r="Q150" s="22" t="n">
        <f aca="false">IF(OR($A150="",N(L150)=0),0,CEILING(L150*(1+IF($O150="",Taux_Paye,$O150))-0.005,Pas_Arrondi))</f>
        <v>0</v>
      </c>
      <c r="R150" s="22" t="n">
        <f aca="false">IF(OR($A150="",N(M150)=0),0,CEILING(M150*(1+IF($O150="",Taux_Jur,$O150))-0.005,Pas_Arrondi))</f>
        <v>0</v>
      </c>
      <c r="S150" s="22" t="n">
        <f aca="false">IF(OR($A150="",N(N150)=0),0,CEILING(N150*(1+IF($O150="",Taux_PA,$O150))-0.005,Pas_Arrondi))</f>
        <v>0</v>
      </c>
      <c r="T150" s="22" t="str">
        <f aca="false">IF($A150="","",SUM(K150:N150))</f>
        <v/>
      </c>
      <c r="U150" s="22" t="str">
        <f aca="false">IF($A150="","",SUM(P150:S150))</f>
        <v/>
      </c>
      <c r="V150" s="22" t="str">
        <f aca="false">IF($A150="","",U150-T150)</f>
        <v/>
      </c>
      <c r="W150" s="23" t="str">
        <f aca="false">IF(OR($A150="",N(T150)=0),"",V150/T150)</f>
        <v/>
      </c>
      <c r="X150" s="18"/>
      <c r="Y150" s="18"/>
      <c r="Z150" s="24" t="str">
        <f aca="false">IF(AND($A150&lt;&gt;"",$X150="Oui",OR(Filtre_Masse="Tous les clients à envoyer",$Y150&lt;&gt;"Email")),MAX(Z$1:Z149)+1,"")</f>
        <v/>
      </c>
    </row>
    <row r="151" customFormat="false" ht="15" hidden="false" customHeight="false" outlineLevel="0" collapsed="false">
      <c r="A151" s="18"/>
      <c r="B151" s="18"/>
      <c r="C151" s="18"/>
      <c r="D151" s="18"/>
      <c r="E151" s="18"/>
      <c r="F151" s="18"/>
      <c r="G151" s="18"/>
      <c r="H151" s="19"/>
      <c r="I151" s="18"/>
      <c r="J151" s="18"/>
      <c r="K151" s="20"/>
      <c r="L151" s="20"/>
      <c r="M151" s="20"/>
      <c r="N151" s="20"/>
      <c r="O151" s="21"/>
      <c r="P151" s="22" t="n">
        <f aca="false">IF(OR($A151="",N(K151)=0),0,CEILING(K151*(1+IF($O151="",Taux_Compta,$O151))-0.005,Pas_Arrondi))</f>
        <v>0</v>
      </c>
      <c r="Q151" s="22" t="n">
        <f aca="false">IF(OR($A151="",N(L151)=0),0,CEILING(L151*(1+IF($O151="",Taux_Paye,$O151))-0.005,Pas_Arrondi))</f>
        <v>0</v>
      </c>
      <c r="R151" s="22" t="n">
        <f aca="false">IF(OR($A151="",N(M151)=0),0,CEILING(M151*(1+IF($O151="",Taux_Jur,$O151))-0.005,Pas_Arrondi))</f>
        <v>0</v>
      </c>
      <c r="S151" s="22" t="n">
        <f aca="false">IF(OR($A151="",N(N151)=0),0,CEILING(N151*(1+IF($O151="",Taux_PA,$O151))-0.005,Pas_Arrondi))</f>
        <v>0</v>
      </c>
      <c r="T151" s="22" t="str">
        <f aca="false">IF($A151="","",SUM(K151:N151))</f>
        <v/>
      </c>
      <c r="U151" s="22" t="str">
        <f aca="false">IF($A151="","",SUM(P151:S151))</f>
        <v/>
      </c>
      <c r="V151" s="22" t="str">
        <f aca="false">IF($A151="","",U151-T151)</f>
        <v/>
      </c>
      <c r="W151" s="23" t="str">
        <f aca="false">IF(OR($A151="",N(T151)=0),"",V151/T151)</f>
        <v/>
      </c>
      <c r="X151" s="18"/>
      <c r="Y151" s="18"/>
      <c r="Z151" s="24" t="str">
        <f aca="false">IF(AND($A151&lt;&gt;"",$X151="Oui",OR(Filtre_Masse="Tous les clients à envoyer",$Y151&lt;&gt;"Email")),MAX(Z$1:Z150)+1,"")</f>
        <v/>
      </c>
    </row>
    <row r="152" customFormat="false" ht="15" hidden="false" customHeight="false" outlineLevel="0" collapsed="false">
      <c r="A152" s="18"/>
      <c r="B152" s="18"/>
      <c r="C152" s="18"/>
      <c r="D152" s="18"/>
      <c r="E152" s="18"/>
      <c r="F152" s="18"/>
      <c r="G152" s="18"/>
      <c r="H152" s="19"/>
      <c r="I152" s="18"/>
      <c r="J152" s="18"/>
      <c r="K152" s="20"/>
      <c r="L152" s="20"/>
      <c r="M152" s="20"/>
      <c r="N152" s="20"/>
      <c r="O152" s="21"/>
      <c r="P152" s="22" t="n">
        <f aca="false">IF(OR($A152="",N(K152)=0),0,CEILING(K152*(1+IF($O152="",Taux_Compta,$O152))-0.005,Pas_Arrondi))</f>
        <v>0</v>
      </c>
      <c r="Q152" s="22" t="n">
        <f aca="false">IF(OR($A152="",N(L152)=0),0,CEILING(L152*(1+IF($O152="",Taux_Paye,$O152))-0.005,Pas_Arrondi))</f>
        <v>0</v>
      </c>
      <c r="R152" s="22" t="n">
        <f aca="false">IF(OR($A152="",N(M152)=0),0,CEILING(M152*(1+IF($O152="",Taux_Jur,$O152))-0.005,Pas_Arrondi))</f>
        <v>0</v>
      </c>
      <c r="S152" s="22" t="n">
        <f aca="false">IF(OR($A152="",N(N152)=0),0,CEILING(N152*(1+IF($O152="",Taux_PA,$O152))-0.005,Pas_Arrondi))</f>
        <v>0</v>
      </c>
      <c r="T152" s="22" t="str">
        <f aca="false">IF($A152="","",SUM(K152:N152))</f>
        <v/>
      </c>
      <c r="U152" s="22" t="str">
        <f aca="false">IF($A152="","",SUM(P152:S152))</f>
        <v/>
      </c>
      <c r="V152" s="22" t="str">
        <f aca="false">IF($A152="","",U152-T152)</f>
        <v/>
      </c>
      <c r="W152" s="23" t="str">
        <f aca="false">IF(OR($A152="",N(T152)=0),"",V152/T152)</f>
        <v/>
      </c>
      <c r="X152" s="18"/>
      <c r="Y152" s="18"/>
      <c r="Z152" s="24" t="str">
        <f aca="false">IF(AND($A152&lt;&gt;"",$X152="Oui",OR(Filtre_Masse="Tous les clients à envoyer",$Y152&lt;&gt;"Email")),MAX(Z$1:Z151)+1,"")</f>
        <v/>
      </c>
    </row>
    <row r="153" customFormat="false" ht="15" hidden="false" customHeight="false" outlineLevel="0" collapsed="false">
      <c r="A153" s="18"/>
      <c r="B153" s="18"/>
      <c r="C153" s="18"/>
      <c r="D153" s="18"/>
      <c r="E153" s="18"/>
      <c r="F153" s="18"/>
      <c r="G153" s="18"/>
      <c r="H153" s="19"/>
      <c r="I153" s="18"/>
      <c r="J153" s="18"/>
      <c r="K153" s="20"/>
      <c r="L153" s="20"/>
      <c r="M153" s="20"/>
      <c r="N153" s="20"/>
      <c r="O153" s="21"/>
      <c r="P153" s="22" t="n">
        <f aca="false">IF(OR($A153="",N(K153)=0),0,CEILING(K153*(1+IF($O153="",Taux_Compta,$O153))-0.005,Pas_Arrondi))</f>
        <v>0</v>
      </c>
      <c r="Q153" s="22" t="n">
        <f aca="false">IF(OR($A153="",N(L153)=0),0,CEILING(L153*(1+IF($O153="",Taux_Paye,$O153))-0.005,Pas_Arrondi))</f>
        <v>0</v>
      </c>
      <c r="R153" s="22" t="n">
        <f aca="false">IF(OR($A153="",N(M153)=0),0,CEILING(M153*(1+IF($O153="",Taux_Jur,$O153))-0.005,Pas_Arrondi))</f>
        <v>0</v>
      </c>
      <c r="S153" s="22" t="n">
        <f aca="false">IF(OR($A153="",N(N153)=0),0,CEILING(N153*(1+IF($O153="",Taux_PA,$O153))-0.005,Pas_Arrondi))</f>
        <v>0</v>
      </c>
      <c r="T153" s="22" t="str">
        <f aca="false">IF($A153="","",SUM(K153:N153))</f>
        <v/>
      </c>
      <c r="U153" s="22" t="str">
        <f aca="false">IF($A153="","",SUM(P153:S153))</f>
        <v/>
      </c>
      <c r="V153" s="22" t="str">
        <f aca="false">IF($A153="","",U153-T153)</f>
        <v/>
      </c>
      <c r="W153" s="23" t="str">
        <f aca="false">IF(OR($A153="",N(T153)=0),"",V153/T153)</f>
        <v/>
      </c>
      <c r="X153" s="18"/>
      <c r="Y153" s="18"/>
      <c r="Z153" s="24" t="str">
        <f aca="false">IF(AND($A153&lt;&gt;"",$X153="Oui",OR(Filtre_Masse="Tous les clients à envoyer",$Y153&lt;&gt;"Email")),MAX(Z$1:Z152)+1,"")</f>
        <v/>
      </c>
    </row>
    <row r="154" customFormat="false" ht="15" hidden="false" customHeight="false" outlineLevel="0" collapsed="false">
      <c r="A154" s="18"/>
      <c r="B154" s="18"/>
      <c r="C154" s="18"/>
      <c r="D154" s="18"/>
      <c r="E154" s="18"/>
      <c r="F154" s="18"/>
      <c r="G154" s="18"/>
      <c r="H154" s="19"/>
      <c r="I154" s="18"/>
      <c r="J154" s="18"/>
      <c r="K154" s="20"/>
      <c r="L154" s="20"/>
      <c r="M154" s="20"/>
      <c r="N154" s="20"/>
      <c r="O154" s="21"/>
      <c r="P154" s="22" t="n">
        <f aca="false">IF(OR($A154="",N(K154)=0),0,CEILING(K154*(1+IF($O154="",Taux_Compta,$O154))-0.005,Pas_Arrondi))</f>
        <v>0</v>
      </c>
      <c r="Q154" s="22" t="n">
        <f aca="false">IF(OR($A154="",N(L154)=0),0,CEILING(L154*(1+IF($O154="",Taux_Paye,$O154))-0.005,Pas_Arrondi))</f>
        <v>0</v>
      </c>
      <c r="R154" s="22" t="n">
        <f aca="false">IF(OR($A154="",N(M154)=0),0,CEILING(M154*(1+IF($O154="",Taux_Jur,$O154))-0.005,Pas_Arrondi))</f>
        <v>0</v>
      </c>
      <c r="S154" s="22" t="n">
        <f aca="false">IF(OR($A154="",N(N154)=0),0,CEILING(N154*(1+IF($O154="",Taux_PA,$O154))-0.005,Pas_Arrondi))</f>
        <v>0</v>
      </c>
      <c r="T154" s="22" t="str">
        <f aca="false">IF($A154="","",SUM(K154:N154))</f>
        <v/>
      </c>
      <c r="U154" s="22" t="str">
        <f aca="false">IF($A154="","",SUM(P154:S154))</f>
        <v/>
      </c>
      <c r="V154" s="22" t="str">
        <f aca="false">IF($A154="","",U154-T154)</f>
        <v/>
      </c>
      <c r="W154" s="23" t="str">
        <f aca="false">IF(OR($A154="",N(T154)=0),"",V154/T154)</f>
        <v/>
      </c>
      <c r="X154" s="18"/>
      <c r="Y154" s="18"/>
      <c r="Z154" s="24" t="str">
        <f aca="false">IF(AND($A154&lt;&gt;"",$X154="Oui",OR(Filtre_Masse="Tous les clients à envoyer",$Y154&lt;&gt;"Email")),MAX(Z$1:Z153)+1,"")</f>
        <v/>
      </c>
    </row>
    <row r="155" customFormat="false" ht="15" hidden="false" customHeight="false" outlineLevel="0" collapsed="false">
      <c r="A155" s="18"/>
      <c r="B155" s="18"/>
      <c r="C155" s="18"/>
      <c r="D155" s="18"/>
      <c r="E155" s="18"/>
      <c r="F155" s="18"/>
      <c r="G155" s="18"/>
      <c r="H155" s="19"/>
      <c r="I155" s="18"/>
      <c r="J155" s="18"/>
      <c r="K155" s="20"/>
      <c r="L155" s="20"/>
      <c r="M155" s="20"/>
      <c r="N155" s="20"/>
      <c r="O155" s="21"/>
      <c r="P155" s="22" t="n">
        <f aca="false">IF(OR($A155="",N(K155)=0),0,CEILING(K155*(1+IF($O155="",Taux_Compta,$O155))-0.005,Pas_Arrondi))</f>
        <v>0</v>
      </c>
      <c r="Q155" s="22" t="n">
        <f aca="false">IF(OR($A155="",N(L155)=0),0,CEILING(L155*(1+IF($O155="",Taux_Paye,$O155))-0.005,Pas_Arrondi))</f>
        <v>0</v>
      </c>
      <c r="R155" s="22" t="n">
        <f aca="false">IF(OR($A155="",N(M155)=0),0,CEILING(M155*(1+IF($O155="",Taux_Jur,$O155))-0.005,Pas_Arrondi))</f>
        <v>0</v>
      </c>
      <c r="S155" s="22" t="n">
        <f aca="false">IF(OR($A155="",N(N155)=0),0,CEILING(N155*(1+IF($O155="",Taux_PA,$O155))-0.005,Pas_Arrondi))</f>
        <v>0</v>
      </c>
      <c r="T155" s="22" t="str">
        <f aca="false">IF($A155="","",SUM(K155:N155))</f>
        <v/>
      </c>
      <c r="U155" s="22" t="str">
        <f aca="false">IF($A155="","",SUM(P155:S155))</f>
        <v/>
      </c>
      <c r="V155" s="22" t="str">
        <f aca="false">IF($A155="","",U155-T155)</f>
        <v/>
      </c>
      <c r="W155" s="23" t="str">
        <f aca="false">IF(OR($A155="",N(T155)=0),"",V155/T155)</f>
        <v/>
      </c>
      <c r="X155" s="18"/>
      <c r="Y155" s="18"/>
      <c r="Z155" s="24" t="str">
        <f aca="false">IF(AND($A155&lt;&gt;"",$X155="Oui",OR(Filtre_Masse="Tous les clients à envoyer",$Y155&lt;&gt;"Email")),MAX(Z$1:Z154)+1,"")</f>
        <v/>
      </c>
    </row>
    <row r="156" customFormat="false" ht="15" hidden="false" customHeight="false" outlineLevel="0" collapsed="false">
      <c r="A156" s="18"/>
      <c r="B156" s="18"/>
      <c r="C156" s="18"/>
      <c r="D156" s="18"/>
      <c r="E156" s="18"/>
      <c r="F156" s="18"/>
      <c r="G156" s="18"/>
      <c r="H156" s="19"/>
      <c r="I156" s="18"/>
      <c r="J156" s="18"/>
      <c r="K156" s="20"/>
      <c r="L156" s="20"/>
      <c r="M156" s="20"/>
      <c r="N156" s="20"/>
      <c r="O156" s="21"/>
      <c r="P156" s="22" t="n">
        <f aca="false">IF(OR($A156="",N(K156)=0),0,CEILING(K156*(1+IF($O156="",Taux_Compta,$O156))-0.005,Pas_Arrondi))</f>
        <v>0</v>
      </c>
      <c r="Q156" s="22" t="n">
        <f aca="false">IF(OR($A156="",N(L156)=0),0,CEILING(L156*(1+IF($O156="",Taux_Paye,$O156))-0.005,Pas_Arrondi))</f>
        <v>0</v>
      </c>
      <c r="R156" s="22" t="n">
        <f aca="false">IF(OR($A156="",N(M156)=0),0,CEILING(M156*(1+IF($O156="",Taux_Jur,$O156))-0.005,Pas_Arrondi))</f>
        <v>0</v>
      </c>
      <c r="S156" s="22" t="n">
        <f aca="false">IF(OR($A156="",N(N156)=0),0,CEILING(N156*(1+IF($O156="",Taux_PA,$O156))-0.005,Pas_Arrondi))</f>
        <v>0</v>
      </c>
      <c r="T156" s="22" t="str">
        <f aca="false">IF($A156="","",SUM(K156:N156))</f>
        <v/>
      </c>
      <c r="U156" s="22" t="str">
        <f aca="false">IF($A156="","",SUM(P156:S156))</f>
        <v/>
      </c>
      <c r="V156" s="22" t="str">
        <f aca="false">IF($A156="","",U156-T156)</f>
        <v/>
      </c>
      <c r="W156" s="23" t="str">
        <f aca="false">IF(OR($A156="",N(T156)=0),"",V156/T156)</f>
        <v/>
      </c>
      <c r="X156" s="18"/>
      <c r="Y156" s="18"/>
      <c r="Z156" s="24" t="str">
        <f aca="false">IF(AND($A156&lt;&gt;"",$X156="Oui",OR(Filtre_Masse="Tous les clients à envoyer",$Y156&lt;&gt;"Email")),MAX(Z$1:Z155)+1,"")</f>
        <v/>
      </c>
    </row>
    <row r="157" customFormat="false" ht="15" hidden="false" customHeight="false" outlineLevel="0" collapsed="false">
      <c r="A157" s="18"/>
      <c r="B157" s="18"/>
      <c r="C157" s="18"/>
      <c r="D157" s="18"/>
      <c r="E157" s="18"/>
      <c r="F157" s="18"/>
      <c r="G157" s="18"/>
      <c r="H157" s="19"/>
      <c r="I157" s="18"/>
      <c r="J157" s="18"/>
      <c r="K157" s="20"/>
      <c r="L157" s="20"/>
      <c r="M157" s="20"/>
      <c r="N157" s="20"/>
      <c r="O157" s="21"/>
      <c r="P157" s="22" t="n">
        <f aca="false">IF(OR($A157="",N(K157)=0),0,CEILING(K157*(1+IF($O157="",Taux_Compta,$O157))-0.005,Pas_Arrondi))</f>
        <v>0</v>
      </c>
      <c r="Q157" s="22" t="n">
        <f aca="false">IF(OR($A157="",N(L157)=0),0,CEILING(L157*(1+IF($O157="",Taux_Paye,$O157))-0.005,Pas_Arrondi))</f>
        <v>0</v>
      </c>
      <c r="R157" s="22" t="n">
        <f aca="false">IF(OR($A157="",N(M157)=0),0,CEILING(M157*(1+IF($O157="",Taux_Jur,$O157))-0.005,Pas_Arrondi))</f>
        <v>0</v>
      </c>
      <c r="S157" s="22" t="n">
        <f aca="false">IF(OR($A157="",N(N157)=0),0,CEILING(N157*(1+IF($O157="",Taux_PA,$O157))-0.005,Pas_Arrondi))</f>
        <v>0</v>
      </c>
      <c r="T157" s="22" t="str">
        <f aca="false">IF($A157="","",SUM(K157:N157))</f>
        <v/>
      </c>
      <c r="U157" s="22" t="str">
        <f aca="false">IF($A157="","",SUM(P157:S157))</f>
        <v/>
      </c>
      <c r="V157" s="22" t="str">
        <f aca="false">IF($A157="","",U157-T157)</f>
        <v/>
      </c>
      <c r="W157" s="23" t="str">
        <f aca="false">IF(OR($A157="",N(T157)=0),"",V157/T157)</f>
        <v/>
      </c>
      <c r="X157" s="18"/>
      <c r="Y157" s="18"/>
      <c r="Z157" s="24" t="str">
        <f aca="false">IF(AND($A157&lt;&gt;"",$X157="Oui",OR(Filtre_Masse="Tous les clients à envoyer",$Y157&lt;&gt;"Email")),MAX(Z$1:Z156)+1,"")</f>
        <v/>
      </c>
    </row>
    <row r="158" customFormat="false" ht="15" hidden="false" customHeight="false" outlineLevel="0" collapsed="false">
      <c r="A158" s="18"/>
      <c r="B158" s="18"/>
      <c r="C158" s="18"/>
      <c r="D158" s="18"/>
      <c r="E158" s="18"/>
      <c r="F158" s="18"/>
      <c r="G158" s="18"/>
      <c r="H158" s="19"/>
      <c r="I158" s="18"/>
      <c r="J158" s="18"/>
      <c r="K158" s="20"/>
      <c r="L158" s="20"/>
      <c r="M158" s="20"/>
      <c r="N158" s="20"/>
      <c r="O158" s="21"/>
      <c r="P158" s="22" t="n">
        <f aca="false">IF(OR($A158="",N(K158)=0),0,CEILING(K158*(1+IF($O158="",Taux_Compta,$O158))-0.005,Pas_Arrondi))</f>
        <v>0</v>
      </c>
      <c r="Q158" s="22" t="n">
        <f aca="false">IF(OR($A158="",N(L158)=0),0,CEILING(L158*(1+IF($O158="",Taux_Paye,$O158))-0.005,Pas_Arrondi))</f>
        <v>0</v>
      </c>
      <c r="R158" s="22" t="n">
        <f aca="false">IF(OR($A158="",N(M158)=0),0,CEILING(M158*(1+IF($O158="",Taux_Jur,$O158))-0.005,Pas_Arrondi))</f>
        <v>0</v>
      </c>
      <c r="S158" s="22" t="n">
        <f aca="false">IF(OR($A158="",N(N158)=0),0,CEILING(N158*(1+IF($O158="",Taux_PA,$O158))-0.005,Pas_Arrondi))</f>
        <v>0</v>
      </c>
      <c r="T158" s="22" t="str">
        <f aca="false">IF($A158="","",SUM(K158:N158))</f>
        <v/>
      </c>
      <c r="U158" s="22" t="str">
        <f aca="false">IF($A158="","",SUM(P158:S158))</f>
        <v/>
      </c>
      <c r="V158" s="22" t="str">
        <f aca="false">IF($A158="","",U158-T158)</f>
        <v/>
      </c>
      <c r="W158" s="23" t="str">
        <f aca="false">IF(OR($A158="",N(T158)=0),"",V158/T158)</f>
        <v/>
      </c>
      <c r="X158" s="18"/>
      <c r="Y158" s="18"/>
      <c r="Z158" s="24" t="str">
        <f aca="false">IF(AND($A158&lt;&gt;"",$X158="Oui",OR(Filtre_Masse="Tous les clients à envoyer",$Y158&lt;&gt;"Email")),MAX(Z$1:Z157)+1,"")</f>
        <v/>
      </c>
    </row>
    <row r="159" customFormat="false" ht="15" hidden="false" customHeight="false" outlineLevel="0" collapsed="false">
      <c r="A159" s="18"/>
      <c r="B159" s="18"/>
      <c r="C159" s="18"/>
      <c r="D159" s="18"/>
      <c r="E159" s="18"/>
      <c r="F159" s="18"/>
      <c r="G159" s="18"/>
      <c r="H159" s="19"/>
      <c r="I159" s="18"/>
      <c r="J159" s="18"/>
      <c r="K159" s="20"/>
      <c r="L159" s="20"/>
      <c r="M159" s="20"/>
      <c r="N159" s="20"/>
      <c r="O159" s="21"/>
      <c r="P159" s="22" t="n">
        <f aca="false">IF(OR($A159="",N(K159)=0),0,CEILING(K159*(1+IF($O159="",Taux_Compta,$O159))-0.005,Pas_Arrondi))</f>
        <v>0</v>
      </c>
      <c r="Q159" s="22" t="n">
        <f aca="false">IF(OR($A159="",N(L159)=0),0,CEILING(L159*(1+IF($O159="",Taux_Paye,$O159))-0.005,Pas_Arrondi))</f>
        <v>0</v>
      </c>
      <c r="R159" s="22" t="n">
        <f aca="false">IF(OR($A159="",N(M159)=0),0,CEILING(M159*(1+IF($O159="",Taux_Jur,$O159))-0.005,Pas_Arrondi))</f>
        <v>0</v>
      </c>
      <c r="S159" s="22" t="n">
        <f aca="false">IF(OR($A159="",N(N159)=0),0,CEILING(N159*(1+IF($O159="",Taux_PA,$O159))-0.005,Pas_Arrondi))</f>
        <v>0</v>
      </c>
      <c r="T159" s="22" t="str">
        <f aca="false">IF($A159="","",SUM(K159:N159))</f>
        <v/>
      </c>
      <c r="U159" s="22" t="str">
        <f aca="false">IF($A159="","",SUM(P159:S159))</f>
        <v/>
      </c>
      <c r="V159" s="22" t="str">
        <f aca="false">IF($A159="","",U159-T159)</f>
        <v/>
      </c>
      <c r="W159" s="23" t="str">
        <f aca="false">IF(OR($A159="",N(T159)=0),"",V159/T159)</f>
        <v/>
      </c>
      <c r="X159" s="18"/>
      <c r="Y159" s="18"/>
      <c r="Z159" s="24" t="str">
        <f aca="false">IF(AND($A159&lt;&gt;"",$X159="Oui",OR(Filtre_Masse="Tous les clients à envoyer",$Y159&lt;&gt;"Email")),MAX(Z$1:Z158)+1,"")</f>
        <v/>
      </c>
    </row>
    <row r="160" customFormat="false" ht="15" hidden="false" customHeight="false" outlineLevel="0" collapsed="false">
      <c r="A160" s="18"/>
      <c r="B160" s="18"/>
      <c r="C160" s="18"/>
      <c r="D160" s="18"/>
      <c r="E160" s="18"/>
      <c r="F160" s="18"/>
      <c r="G160" s="18"/>
      <c r="H160" s="19"/>
      <c r="I160" s="18"/>
      <c r="J160" s="18"/>
      <c r="K160" s="20"/>
      <c r="L160" s="20"/>
      <c r="M160" s="20"/>
      <c r="N160" s="20"/>
      <c r="O160" s="21"/>
      <c r="P160" s="22" t="n">
        <f aca="false">IF(OR($A160="",N(K160)=0),0,CEILING(K160*(1+IF($O160="",Taux_Compta,$O160))-0.005,Pas_Arrondi))</f>
        <v>0</v>
      </c>
      <c r="Q160" s="22" t="n">
        <f aca="false">IF(OR($A160="",N(L160)=0),0,CEILING(L160*(1+IF($O160="",Taux_Paye,$O160))-0.005,Pas_Arrondi))</f>
        <v>0</v>
      </c>
      <c r="R160" s="22" t="n">
        <f aca="false">IF(OR($A160="",N(M160)=0),0,CEILING(M160*(1+IF($O160="",Taux_Jur,$O160))-0.005,Pas_Arrondi))</f>
        <v>0</v>
      </c>
      <c r="S160" s="22" t="n">
        <f aca="false">IF(OR($A160="",N(N160)=0),0,CEILING(N160*(1+IF($O160="",Taux_PA,$O160))-0.005,Pas_Arrondi))</f>
        <v>0</v>
      </c>
      <c r="T160" s="22" t="str">
        <f aca="false">IF($A160="","",SUM(K160:N160))</f>
        <v/>
      </c>
      <c r="U160" s="22" t="str">
        <f aca="false">IF($A160="","",SUM(P160:S160))</f>
        <v/>
      </c>
      <c r="V160" s="22" t="str">
        <f aca="false">IF($A160="","",U160-T160)</f>
        <v/>
      </c>
      <c r="W160" s="23" t="str">
        <f aca="false">IF(OR($A160="",N(T160)=0),"",V160/T160)</f>
        <v/>
      </c>
      <c r="X160" s="18"/>
      <c r="Y160" s="18"/>
      <c r="Z160" s="24" t="str">
        <f aca="false">IF(AND($A160&lt;&gt;"",$X160="Oui",OR(Filtre_Masse="Tous les clients à envoyer",$Y160&lt;&gt;"Email")),MAX(Z$1:Z159)+1,"")</f>
        <v/>
      </c>
    </row>
    <row r="161" customFormat="false" ht="15" hidden="false" customHeight="false" outlineLevel="0" collapsed="false">
      <c r="A161" s="18"/>
      <c r="B161" s="18"/>
      <c r="C161" s="18"/>
      <c r="D161" s="18"/>
      <c r="E161" s="18"/>
      <c r="F161" s="18"/>
      <c r="G161" s="18"/>
      <c r="H161" s="19"/>
      <c r="I161" s="18"/>
      <c r="J161" s="18"/>
      <c r="K161" s="20"/>
      <c r="L161" s="20"/>
      <c r="M161" s="20"/>
      <c r="N161" s="20"/>
      <c r="O161" s="21"/>
      <c r="P161" s="22" t="n">
        <f aca="false">IF(OR($A161="",N(K161)=0),0,CEILING(K161*(1+IF($O161="",Taux_Compta,$O161))-0.005,Pas_Arrondi))</f>
        <v>0</v>
      </c>
      <c r="Q161" s="22" t="n">
        <f aca="false">IF(OR($A161="",N(L161)=0),0,CEILING(L161*(1+IF($O161="",Taux_Paye,$O161))-0.005,Pas_Arrondi))</f>
        <v>0</v>
      </c>
      <c r="R161" s="22" t="n">
        <f aca="false">IF(OR($A161="",N(M161)=0),0,CEILING(M161*(1+IF($O161="",Taux_Jur,$O161))-0.005,Pas_Arrondi))</f>
        <v>0</v>
      </c>
      <c r="S161" s="22" t="n">
        <f aca="false">IF(OR($A161="",N(N161)=0),0,CEILING(N161*(1+IF($O161="",Taux_PA,$O161))-0.005,Pas_Arrondi))</f>
        <v>0</v>
      </c>
      <c r="T161" s="22" t="str">
        <f aca="false">IF($A161="","",SUM(K161:N161))</f>
        <v/>
      </c>
      <c r="U161" s="22" t="str">
        <f aca="false">IF($A161="","",SUM(P161:S161))</f>
        <v/>
      </c>
      <c r="V161" s="22" t="str">
        <f aca="false">IF($A161="","",U161-T161)</f>
        <v/>
      </c>
      <c r="W161" s="23" t="str">
        <f aca="false">IF(OR($A161="",N(T161)=0),"",V161/T161)</f>
        <v/>
      </c>
      <c r="X161" s="18"/>
      <c r="Y161" s="18"/>
      <c r="Z161" s="24" t="str">
        <f aca="false">IF(AND($A161&lt;&gt;"",$X161="Oui",OR(Filtre_Masse="Tous les clients à envoyer",$Y161&lt;&gt;"Email")),MAX(Z$1:Z160)+1,"")</f>
        <v/>
      </c>
    </row>
    <row r="162" customFormat="false" ht="15" hidden="false" customHeight="false" outlineLevel="0" collapsed="false">
      <c r="A162" s="18"/>
      <c r="B162" s="18"/>
      <c r="C162" s="18"/>
      <c r="D162" s="18"/>
      <c r="E162" s="18"/>
      <c r="F162" s="18"/>
      <c r="G162" s="18"/>
      <c r="H162" s="19"/>
      <c r="I162" s="18"/>
      <c r="J162" s="18"/>
      <c r="K162" s="20"/>
      <c r="L162" s="20"/>
      <c r="M162" s="20"/>
      <c r="N162" s="20"/>
      <c r="O162" s="21"/>
      <c r="P162" s="22" t="n">
        <f aca="false">IF(OR($A162="",N(K162)=0),0,CEILING(K162*(1+IF($O162="",Taux_Compta,$O162))-0.005,Pas_Arrondi))</f>
        <v>0</v>
      </c>
      <c r="Q162" s="22" t="n">
        <f aca="false">IF(OR($A162="",N(L162)=0),0,CEILING(L162*(1+IF($O162="",Taux_Paye,$O162))-0.005,Pas_Arrondi))</f>
        <v>0</v>
      </c>
      <c r="R162" s="22" t="n">
        <f aca="false">IF(OR($A162="",N(M162)=0),0,CEILING(M162*(1+IF($O162="",Taux_Jur,$O162))-0.005,Pas_Arrondi))</f>
        <v>0</v>
      </c>
      <c r="S162" s="22" t="n">
        <f aca="false">IF(OR($A162="",N(N162)=0),0,CEILING(N162*(1+IF($O162="",Taux_PA,$O162))-0.005,Pas_Arrondi))</f>
        <v>0</v>
      </c>
      <c r="T162" s="22" t="str">
        <f aca="false">IF($A162="","",SUM(K162:N162))</f>
        <v/>
      </c>
      <c r="U162" s="22" t="str">
        <f aca="false">IF($A162="","",SUM(P162:S162))</f>
        <v/>
      </c>
      <c r="V162" s="22" t="str">
        <f aca="false">IF($A162="","",U162-T162)</f>
        <v/>
      </c>
      <c r="W162" s="23" t="str">
        <f aca="false">IF(OR($A162="",N(T162)=0),"",V162/T162)</f>
        <v/>
      </c>
      <c r="X162" s="18"/>
      <c r="Y162" s="18"/>
      <c r="Z162" s="24" t="str">
        <f aca="false">IF(AND($A162&lt;&gt;"",$X162="Oui",OR(Filtre_Masse="Tous les clients à envoyer",$Y162&lt;&gt;"Email")),MAX(Z$1:Z161)+1,"")</f>
        <v/>
      </c>
    </row>
    <row r="163" customFormat="false" ht="15" hidden="false" customHeight="false" outlineLevel="0" collapsed="false">
      <c r="A163" s="18"/>
      <c r="B163" s="18"/>
      <c r="C163" s="18"/>
      <c r="D163" s="18"/>
      <c r="E163" s="18"/>
      <c r="F163" s="18"/>
      <c r="G163" s="18"/>
      <c r="H163" s="19"/>
      <c r="I163" s="18"/>
      <c r="J163" s="18"/>
      <c r="K163" s="20"/>
      <c r="L163" s="20"/>
      <c r="M163" s="20"/>
      <c r="N163" s="20"/>
      <c r="O163" s="21"/>
      <c r="P163" s="22" t="n">
        <f aca="false">IF(OR($A163="",N(K163)=0),0,CEILING(K163*(1+IF($O163="",Taux_Compta,$O163))-0.005,Pas_Arrondi))</f>
        <v>0</v>
      </c>
      <c r="Q163" s="22" t="n">
        <f aca="false">IF(OR($A163="",N(L163)=0),0,CEILING(L163*(1+IF($O163="",Taux_Paye,$O163))-0.005,Pas_Arrondi))</f>
        <v>0</v>
      </c>
      <c r="R163" s="22" t="n">
        <f aca="false">IF(OR($A163="",N(M163)=0),0,CEILING(M163*(1+IF($O163="",Taux_Jur,$O163))-0.005,Pas_Arrondi))</f>
        <v>0</v>
      </c>
      <c r="S163" s="22" t="n">
        <f aca="false">IF(OR($A163="",N(N163)=0),0,CEILING(N163*(1+IF($O163="",Taux_PA,$O163))-0.005,Pas_Arrondi))</f>
        <v>0</v>
      </c>
      <c r="T163" s="22" t="str">
        <f aca="false">IF($A163="","",SUM(K163:N163))</f>
        <v/>
      </c>
      <c r="U163" s="22" t="str">
        <f aca="false">IF($A163="","",SUM(P163:S163))</f>
        <v/>
      </c>
      <c r="V163" s="22" t="str">
        <f aca="false">IF($A163="","",U163-T163)</f>
        <v/>
      </c>
      <c r="W163" s="23" t="str">
        <f aca="false">IF(OR($A163="",N(T163)=0),"",V163/T163)</f>
        <v/>
      </c>
      <c r="X163" s="18"/>
      <c r="Y163" s="18"/>
      <c r="Z163" s="24" t="str">
        <f aca="false">IF(AND($A163&lt;&gt;"",$X163="Oui",OR(Filtre_Masse="Tous les clients à envoyer",$Y163&lt;&gt;"Email")),MAX(Z$1:Z162)+1,"")</f>
        <v/>
      </c>
    </row>
    <row r="164" customFormat="false" ht="15" hidden="false" customHeight="false" outlineLevel="0" collapsed="false">
      <c r="A164" s="18"/>
      <c r="B164" s="18"/>
      <c r="C164" s="18"/>
      <c r="D164" s="18"/>
      <c r="E164" s="18"/>
      <c r="F164" s="18"/>
      <c r="G164" s="18"/>
      <c r="H164" s="19"/>
      <c r="I164" s="18"/>
      <c r="J164" s="18"/>
      <c r="K164" s="20"/>
      <c r="L164" s="20"/>
      <c r="M164" s="20"/>
      <c r="N164" s="20"/>
      <c r="O164" s="21"/>
      <c r="P164" s="22" t="n">
        <f aca="false">IF(OR($A164="",N(K164)=0),0,CEILING(K164*(1+IF($O164="",Taux_Compta,$O164))-0.005,Pas_Arrondi))</f>
        <v>0</v>
      </c>
      <c r="Q164" s="22" t="n">
        <f aca="false">IF(OR($A164="",N(L164)=0),0,CEILING(L164*(1+IF($O164="",Taux_Paye,$O164))-0.005,Pas_Arrondi))</f>
        <v>0</v>
      </c>
      <c r="R164" s="22" t="n">
        <f aca="false">IF(OR($A164="",N(M164)=0),0,CEILING(M164*(1+IF($O164="",Taux_Jur,$O164))-0.005,Pas_Arrondi))</f>
        <v>0</v>
      </c>
      <c r="S164" s="22" t="n">
        <f aca="false">IF(OR($A164="",N(N164)=0),0,CEILING(N164*(1+IF($O164="",Taux_PA,$O164))-0.005,Pas_Arrondi))</f>
        <v>0</v>
      </c>
      <c r="T164" s="22" t="str">
        <f aca="false">IF($A164="","",SUM(K164:N164))</f>
        <v/>
      </c>
      <c r="U164" s="22" t="str">
        <f aca="false">IF($A164="","",SUM(P164:S164))</f>
        <v/>
      </c>
      <c r="V164" s="22" t="str">
        <f aca="false">IF($A164="","",U164-T164)</f>
        <v/>
      </c>
      <c r="W164" s="23" t="str">
        <f aca="false">IF(OR($A164="",N(T164)=0),"",V164/T164)</f>
        <v/>
      </c>
      <c r="X164" s="18"/>
      <c r="Y164" s="18"/>
      <c r="Z164" s="24" t="str">
        <f aca="false">IF(AND($A164&lt;&gt;"",$X164="Oui",OR(Filtre_Masse="Tous les clients à envoyer",$Y164&lt;&gt;"Email")),MAX(Z$1:Z163)+1,"")</f>
        <v/>
      </c>
    </row>
    <row r="165" customFormat="false" ht="15" hidden="false" customHeight="false" outlineLevel="0" collapsed="false">
      <c r="A165" s="18"/>
      <c r="B165" s="18"/>
      <c r="C165" s="18"/>
      <c r="D165" s="18"/>
      <c r="E165" s="18"/>
      <c r="F165" s="18"/>
      <c r="G165" s="18"/>
      <c r="H165" s="19"/>
      <c r="I165" s="18"/>
      <c r="J165" s="18"/>
      <c r="K165" s="20"/>
      <c r="L165" s="20"/>
      <c r="M165" s="20"/>
      <c r="N165" s="20"/>
      <c r="O165" s="21"/>
      <c r="P165" s="22" t="n">
        <f aca="false">IF(OR($A165="",N(K165)=0),0,CEILING(K165*(1+IF($O165="",Taux_Compta,$O165))-0.005,Pas_Arrondi))</f>
        <v>0</v>
      </c>
      <c r="Q165" s="22" t="n">
        <f aca="false">IF(OR($A165="",N(L165)=0),0,CEILING(L165*(1+IF($O165="",Taux_Paye,$O165))-0.005,Pas_Arrondi))</f>
        <v>0</v>
      </c>
      <c r="R165" s="22" t="n">
        <f aca="false">IF(OR($A165="",N(M165)=0),0,CEILING(M165*(1+IF($O165="",Taux_Jur,$O165))-0.005,Pas_Arrondi))</f>
        <v>0</v>
      </c>
      <c r="S165" s="22" t="n">
        <f aca="false">IF(OR($A165="",N(N165)=0),0,CEILING(N165*(1+IF($O165="",Taux_PA,$O165))-0.005,Pas_Arrondi))</f>
        <v>0</v>
      </c>
      <c r="T165" s="22" t="str">
        <f aca="false">IF($A165="","",SUM(K165:N165))</f>
        <v/>
      </c>
      <c r="U165" s="22" t="str">
        <f aca="false">IF($A165="","",SUM(P165:S165))</f>
        <v/>
      </c>
      <c r="V165" s="22" t="str">
        <f aca="false">IF($A165="","",U165-T165)</f>
        <v/>
      </c>
      <c r="W165" s="23" t="str">
        <f aca="false">IF(OR($A165="",N(T165)=0),"",V165/T165)</f>
        <v/>
      </c>
      <c r="X165" s="18"/>
      <c r="Y165" s="18"/>
      <c r="Z165" s="24" t="str">
        <f aca="false">IF(AND($A165&lt;&gt;"",$X165="Oui",OR(Filtre_Masse="Tous les clients à envoyer",$Y165&lt;&gt;"Email")),MAX(Z$1:Z164)+1,"")</f>
        <v/>
      </c>
    </row>
    <row r="166" customFormat="false" ht="15" hidden="false" customHeight="false" outlineLevel="0" collapsed="false">
      <c r="A166" s="18"/>
      <c r="B166" s="18"/>
      <c r="C166" s="18"/>
      <c r="D166" s="18"/>
      <c r="E166" s="18"/>
      <c r="F166" s="18"/>
      <c r="G166" s="18"/>
      <c r="H166" s="19"/>
      <c r="I166" s="18"/>
      <c r="J166" s="18"/>
      <c r="K166" s="20"/>
      <c r="L166" s="20"/>
      <c r="M166" s="20"/>
      <c r="N166" s="20"/>
      <c r="O166" s="21"/>
      <c r="P166" s="22" t="n">
        <f aca="false">IF(OR($A166="",N(K166)=0),0,CEILING(K166*(1+IF($O166="",Taux_Compta,$O166))-0.005,Pas_Arrondi))</f>
        <v>0</v>
      </c>
      <c r="Q166" s="22" t="n">
        <f aca="false">IF(OR($A166="",N(L166)=0),0,CEILING(L166*(1+IF($O166="",Taux_Paye,$O166))-0.005,Pas_Arrondi))</f>
        <v>0</v>
      </c>
      <c r="R166" s="22" t="n">
        <f aca="false">IF(OR($A166="",N(M166)=0),0,CEILING(M166*(1+IF($O166="",Taux_Jur,$O166))-0.005,Pas_Arrondi))</f>
        <v>0</v>
      </c>
      <c r="S166" s="22" t="n">
        <f aca="false">IF(OR($A166="",N(N166)=0),0,CEILING(N166*(1+IF($O166="",Taux_PA,$O166))-0.005,Pas_Arrondi))</f>
        <v>0</v>
      </c>
      <c r="T166" s="22" t="str">
        <f aca="false">IF($A166="","",SUM(K166:N166))</f>
        <v/>
      </c>
      <c r="U166" s="22" t="str">
        <f aca="false">IF($A166="","",SUM(P166:S166))</f>
        <v/>
      </c>
      <c r="V166" s="22" t="str">
        <f aca="false">IF($A166="","",U166-T166)</f>
        <v/>
      </c>
      <c r="W166" s="23" t="str">
        <f aca="false">IF(OR($A166="",N(T166)=0),"",V166/T166)</f>
        <v/>
      </c>
      <c r="X166" s="18"/>
      <c r="Y166" s="18"/>
      <c r="Z166" s="24" t="str">
        <f aca="false">IF(AND($A166&lt;&gt;"",$X166="Oui",OR(Filtre_Masse="Tous les clients à envoyer",$Y166&lt;&gt;"Email")),MAX(Z$1:Z165)+1,"")</f>
        <v/>
      </c>
    </row>
    <row r="167" customFormat="false" ht="15" hidden="false" customHeight="false" outlineLevel="0" collapsed="false">
      <c r="A167" s="18"/>
      <c r="B167" s="18"/>
      <c r="C167" s="18"/>
      <c r="D167" s="18"/>
      <c r="E167" s="18"/>
      <c r="F167" s="18"/>
      <c r="G167" s="18"/>
      <c r="H167" s="19"/>
      <c r="I167" s="18"/>
      <c r="J167" s="18"/>
      <c r="K167" s="20"/>
      <c r="L167" s="20"/>
      <c r="M167" s="20"/>
      <c r="N167" s="20"/>
      <c r="O167" s="21"/>
      <c r="P167" s="22" t="n">
        <f aca="false">IF(OR($A167="",N(K167)=0),0,CEILING(K167*(1+IF($O167="",Taux_Compta,$O167))-0.005,Pas_Arrondi))</f>
        <v>0</v>
      </c>
      <c r="Q167" s="22" t="n">
        <f aca="false">IF(OR($A167="",N(L167)=0),0,CEILING(L167*(1+IF($O167="",Taux_Paye,$O167))-0.005,Pas_Arrondi))</f>
        <v>0</v>
      </c>
      <c r="R167" s="22" t="n">
        <f aca="false">IF(OR($A167="",N(M167)=0),0,CEILING(M167*(1+IF($O167="",Taux_Jur,$O167))-0.005,Pas_Arrondi))</f>
        <v>0</v>
      </c>
      <c r="S167" s="22" t="n">
        <f aca="false">IF(OR($A167="",N(N167)=0),0,CEILING(N167*(1+IF($O167="",Taux_PA,$O167))-0.005,Pas_Arrondi))</f>
        <v>0</v>
      </c>
      <c r="T167" s="22" t="str">
        <f aca="false">IF($A167="","",SUM(K167:N167))</f>
        <v/>
      </c>
      <c r="U167" s="22" t="str">
        <f aca="false">IF($A167="","",SUM(P167:S167))</f>
        <v/>
      </c>
      <c r="V167" s="22" t="str">
        <f aca="false">IF($A167="","",U167-T167)</f>
        <v/>
      </c>
      <c r="W167" s="23" t="str">
        <f aca="false">IF(OR($A167="",N(T167)=0),"",V167/T167)</f>
        <v/>
      </c>
      <c r="X167" s="18"/>
      <c r="Y167" s="18"/>
      <c r="Z167" s="24" t="str">
        <f aca="false">IF(AND($A167&lt;&gt;"",$X167="Oui",OR(Filtre_Masse="Tous les clients à envoyer",$Y167&lt;&gt;"Email")),MAX(Z$1:Z166)+1,"")</f>
        <v/>
      </c>
    </row>
    <row r="168" customFormat="false" ht="15" hidden="false" customHeight="false" outlineLevel="0" collapsed="false">
      <c r="A168" s="18"/>
      <c r="B168" s="18"/>
      <c r="C168" s="18"/>
      <c r="D168" s="18"/>
      <c r="E168" s="18"/>
      <c r="F168" s="18"/>
      <c r="G168" s="18"/>
      <c r="H168" s="19"/>
      <c r="I168" s="18"/>
      <c r="J168" s="18"/>
      <c r="K168" s="20"/>
      <c r="L168" s="20"/>
      <c r="M168" s="20"/>
      <c r="N168" s="20"/>
      <c r="O168" s="21"/>
      <c r="P168" s="22" t="n">
        <f aca="false">IF(OR($A168="",N(K168)=0),0,CEILING(K168*(1+IF($O168="",Taux_Compta,$O168))-0.005,Pas_Arrondi))</f>
        <v>0</v>
      </c>
      <c r="Q168" s="22" t="n">
        <f aca="false">IF(OR($A168="",N(L168)=0),0,CEILING(L168*(1+IF($O168="",Taux_Paye,$O168))-0.005,Pas_Arrondi))</f>
        <v>0</v>
      </c>
      <c r="R168" s="22" t="n">
        <f aca="false">IF(OR($A168="",N(M168)=0),0,CEILING(M168*(1+IF($O168="",Taux_Jur,$O168))-0.005,Pas_Arrondi))</f>
        <v>0</v>
      </c>
      <c r="S168" s="22" t="n">
        <f aca="false">IF(OR($A168="",N(N168)=0),0,CEILING(N168*(1+IF($O168="",Taux_PA,$O168))-0.005,Pas_Arrondi))</f>
        <v>0</v>
      </c>
      <c r="T168" s="22" t="str">
        <f aca="false">IF($A168="","",SUM(K168:N168))</f>
        <v/>
      </c>
      <c r="U168" s="22" t="str">
        <f aca="false">IF($A168="","",SUM(P168:S168))</f>
        <v/>
      </c>
      <c r="V168" s="22" t="str">
        <f aca="false">IF($A168="","",U168-T168)</f>
        <v/>
      </c>
      <c r="W168" s="23" t="str">
        <f aca="false">IF(OR($A168="",N(T168)=0),"",V168/T168)</f>
        <v/>
      </c>
      <c r="X168" s="18"/>
      <c r="Y168" s="18"/>
      <c r="Z168" s="24" t="str">
        <f aca="false">IF(AND($A168&lt;&gt;"",$X168="Oui",OR(Filtre_Masse="Tous les clients à envoyer",$Y168&lt;&gt;"Email")),MAX(Z$1:Z167)+1,"")</f>
        <v/>
      </c>
    </row>
    <row r="169" customFormat="false" ht="15" hidden="false" customHeight="false" outlineLevel="0" collapsed="false">
      <c r="A169" s="18"/>
      <c r="B169" s="18"/>
      <c r="C169" s="18"/>
      <c r="D169" s="18"/>
      <c r="E169" s="18"/>
      <c r="F169" s="18"/>
      <c r="G169" s="18"/>
      <c r="H169" s="19"/>
      <c r="I169" s="18"/>
      <c r="J169" s="18"/>
      <c r="K169" s="20"/>
      <c r="L169" s="20"/>
      <c r="M169" s="20"/>
      <c r="N169" s="20"/>
      <c r="O169" s="21"/>
      <c r="P169" s="22" t="n">
        <f aca="false">IF(OR($A169="",N(K169)=0),0,CEILING(K169*(1+IF($O169="",Taux_Compta,$O169))-0.005,Pas_Arrondi))</f>
        <v>0</v>
      </c>
      <c r="Q169" s="22" t="n">
        <f aca="false">IF(OR($A169="",N(L169)=0),0,CEILING(L169*(1+IF($O169="",Taux_Paye,$O169))-0.005,Pas_Arrondi))</f>
        <v>0</v>
      </c>
      <c r="R169" s="22" t="n">
        <f aca="false">IF(OR($A169="",N(M169)=0),0,CEILING(M169*(1+IF($O169="",Taux_Jur,$O169))-0.005,Pas_Arrondi))</f>
        <v>0</v>
      </c>
      <c r="S169" s="22" t="n">
        <f aca="false">IF(OR($A169="",N(N169)=0),0,CEILING(N169*(1+IF($O169="",Taux_PA,$O169))-0.005,Pas_Arrondi))</f>
        <v>0</v>
      </c>
      <c r="T169" s="22" t="str">
        <f aca="false">IF($A169="","",SUM(K169:N169))</f>
        <v/>
      </c>
      <c r="U169" s="22" t="str">
        <f aca="false">IF($A169="","",SUM(P169:S169))</f>
        <v/>
      </c>
      <c r="V169" s="22" t="str">
        <f aca="false">IF($A169="","",U169-T169)</f>
        <v/>
      </c>
      <c r="W169" s="23" t="str">
        <f aca="false">IF(OR($A169="",N(T169)=0),"",V169/T169)</f>
        <v/>
      </c>
      <c r="X169" s="18"/>
      <c r="Y169" s="18"/>
      <c r="Z169" s="24" t="str">
        <f aca="false">IF(AND($A169&lt;&gt;"",$X169="Oui",OR(Filtre_Masse="Tous les clients à envoyer",$Y169&lt;&gt;"Email")),MAX(Z$1:Z168)+1,"")</f>
        <v/>
      </c>
    </row>
    <row r="170" customFormat="false" ht="15" hidden="false" customHeight="false" outlineLevel="0" collapsed="false">
      <c r="A170" s="18"/>
      <c r="B170" s="18"/>
      <c r="C170" s="18"/>
      <c r="D170" s="18"/>
      <c r="E170" s="18"/>
      <c r="F170" s="18"/>
      <c r="G170" s="18"/>
      <c r="H170" s="19"/>
      <c r="I170" s="18"/>
      <c r="J170" s="18"/>
      <c r="K170" s="20"/>
      <c r="L170" s="20"/>
      <c r="M170" s="20"/>
      <c r="N170" s="20"/>
      <c r="O170" s="21"/>
      <c r="P170" s="22" t="n">
        <f aca="false">IF(OR($A170="",N(K170)=0),0,CEILING(K170*(1+IF($O170="",Taux_Compta,$O170))-0.005,Pas_Arrondi))</f>
        <v>0</v>
      </c>
      <c r="Q170" s="22" t="n">
        <f aca="false">IF(OR($A170="",N(L170)=0),0,CEILING(L170*(1+IF($O170="",Taux_Paye,$O170))-0.005,Pas_Arrondi))</f>
        <v>0</v>
      </c>
      <c r="R170" s="22" t="n">
        <f aca="false">IF(OR($A170="",N(M170)=0),0,CEILING(M170*(1+IF($O170="",Taux_Jur,$O170))-0.005,Pas_Arrondi))</f>
        <v>0</v>
      </c>
      <c r="S170" s="22" t="n">
        <f aca="false">IF(OR($A170="",N(N170)=0),0,CEILING(N170*(1+IF($O170="",Taux_PA,$O170))-0.005,Pas_Arrondi))</f>
        <v>0</v>
      </c>
      <c r="T170" s="22" t="str">
        <f aca="false">IF($A170="","",SUM(K170:N170))</f>
        <v/>
      </c>
      <c r="U170" s="22" t="str">
        <f aca="false">IF($A170="","",SUM(P170:S170))</f>
        <v/>
      </c>
      <c r="V170" s="22" t="str">
        <f aca="false">IF($A170="","",U170-T170)</f>
        <v/>
      </c>
      <c r="W170" s="23" t="str">
        <f aca="false">IF(OR($A170="",N(T170)=0),"",V170/T170)</f>
        <v/>
      </c>
      <c r="X170" s="18"/>
      <c r="Y170" s="18"/>
      <c r="Z170" s="24" t="str">
        <f aca="false">IF(AND($A170&lt;&gt;"",$X170="Oui",OR(Filtre_Masse="Tous les clients à envoyer",$Y170&lt;&gt;"Email")),MAX(Z$1:Z169)+1,"")</f>
        <v/>
      </c>
    </row>
    <row r="171" customFormat="false" ht="15" hidden="false" customHeight="false" outlineLevel="0" collapsed="false">
      <c r="A171" s="18"/>
      <c r="B171" s="18"/>
      <c r="C171" s="18"/>
      <c r="D171" s="18"/>
      <c r="E171" s="18"/>
      <c r="F171" s="18"/>
      <c r="G171" s="18"/>
      <c r="H171" s="19"/>
      <c r="I171" s="18"/>
      <c r="J171" s="18"/>
      <c r="K171" s="20"/>
      <c r="L171" s="20"/>
      <c r="M171" s="20"/>
      <c r="N171" s="20"/>
      <c r="O171" s="21"/>
      <c r="P171" s="22" t="n">
        <f aca="false">IF(OR($A171="",N(K171)=0),0,CEILING(K171*(1+IF($O171="",Taux_Compta,$O171))-0.005,Pas_Arrondi))</f>
        <v>0</v>
      </c>
      <c r="Q171" s="22" t="n">
        <f aca="false">IF(OR($A171="",N(L171)=0),0,CEILING(L171*(1+IF($O171="",Taux_Paye,$O171))-0.005,Pas_Arrondi))</f>
        <v>0</v>
      </c>
      <c r="R171" s="22" t="n">
        <f aca="false">IF(OR($A171="",N(M171)=0),0,CEILING(M171*(1+IF($O171="",Taux_Jur,$O171))-0.005,Pas_Arrondi))</f>
        <v>0</v>
      </c>
      <c r="S171" s="22" t="n">
        <f aca="false">IF(OR($A171="",N(N171)=0),0,CEILING(N171*(1+IF($O171="",Taux_PA,$O171))-0.005,Pas_Arrondi))</f>
        <v>0</v>
      </c>
      <c r="T171" s="22" t="str">
        <f aca="false">IF($A171="","",SUM(K171:N171))</f>
        <v/>
      </c>
      <c r="U171" s="22" t="str">
        <f aca="false">IF($A171="","",SUM(P171:S171))</f>
        <v/>
      </c>
      <c r="V171" s="22" t="str">
        <f aca="false">IF($A171="","",U171-T171)</f>
        <v/>
      </c>
      <c r="W171" s="23" t="str">
        <f aca="false">IF(OR($A171="",N(T171)=0),"",V171/T171)</f>
        <v/>
      </c>
      <c r="X171" s="18"/>
      <c r="Y171" s="18"/>
      <c r="Z171" s="24" t="str">
        <f aca="false">IF(AND($A171&lt;&gt;"",$X171="Oui",OR(Filtre_Masse="Tous les clients à envoyer",$Y171&lt;&gt;"Email")),MAX(Z$1:Z170)+1,"")</f>
        <v/>
      </c>
    </row>
    <row r="172" customFormat="false" ht="15" hidden="false" customHeight="false" outlineLevel="0" collapsed="false">
      <c r="A172" s="18"/>
      <c r="B172" s="18"/>
      <c r="C172" s="18"/>
      <c r="D172" s="18"/>
      <c r="E172" s="18"/>
      <c r="F172" s="18"/>
      <c r="G172" s="18"/>
      <c r="H172" s="19"/>
      <c r="I172" s="18"/>
      <c r="J172" s="18"/>
      <c r="K172" s="20"/>
      <c r="L172" s="20"/>
      <c r="M172" s="20"/>
      <c r="N172" s="20"/>
      <c r="O172" s="21"/>
      <c r="P172" s="22" t="n">
        <f aca="false">IF(OR($A172="",N(K172)=0),0,CEILING(K172*(1+IF($O172="",Taux_Compta,$O172))-0.005,Pas_Arrondi))</f>
        <v>0</v>
      </c>
      <c r="Q172" s="22" t="n">
        <f aca="false">IF(OR($A172="",N(L172)=0),0,CEILING(L172*(1+IF($O172="",Taux_Paye,$O172))-0.005,Pas_Arrondi))</f>
        <v>0</v>
      </c>
      <c r="R172" s="22" t="n">
        <f aca="false">IF(OR($A172="",N(M172)=0),0,CEILING(M172*(1+IF($O172="",Taux_Jur,$O172))-0.005,Pas_Arrondi))</f>
        <v>0</v>
      </c>
      <c r="S172" s="22" t="n">
        <f aca="false">IF(OR($A172="",N(N172)=0),0,CEILING(N172*(1+IF($O172="",Taux_PA,$O172))-0.005,Pas_Arrondi))</f>
        <v>0</v>
      </c>
      <c r="T172" s="22" t="str">
        <f aca="false">IF($A172="","",SUM(K172:N172))</f>
        <v/>
      </c>
      <c r="U172" s="22" t="str">
        <f aca="false">IF($A172="","",SUM(P172:S172))</f>
        <v/>
      </c>
      <c r="V172" s="22" t="str">
        <f aca="false">IF($A172="","",U172-T172)</f>
        <v/>
      </c>
      <c r="W172" s="23" t="str">
        <f aca="false">IF(OR($A172="",N(T172)=0),"",V172/T172)</f>
        <v/>
      </c>
      <c r="X172" s="18"/>
      <c r="Y172" s="18"/>
      <c r="Z172" s="24" t="str">
        <f aca="false">IF(AND($A172&lt;&gt;"",$X172="Oui",OR(Filtre_Masse="Tous les clients à envoyer",$Y172&lt;&gt;"Email")),MAX(Z$1:Z171)+1,"")</f>
        <v/>
      </c>
    </row>
    <row r="173" customFormat="false" ht="15" hidden="false" customHeight="false" outlineLevel="0" collapsed="false">
      <c r="A173" s="18"/>
      <c r="B173" s="18"/>
      <c r="C173" s="18"/>
      <c r="D173" s="18"/>
      <c r="E173" s="18"/>
      <c r="F173" s="18"/>
      <c r="G173" s="18"/>
      <c r="H173" s="19"/>
      <c r="I173" s="18"/>
      <c r="J173" s="18"/>
      <c r="K173" s="20"/>
      <c r="L173" s="20"/>
      <c r="M173" s="20"/>
      <c r="N173" s="20"/>
      <c r="O173" s="21"/>
      <c r="P173" s="22" t="n">
        <f aca="false">IF(OR($A173="",N(K173)=0),0,CEILING(K173*(1+IF($O173="",Taux_Compta,$O173))-0.005,Pas_Arrondi))</f>
        <v>0</v>
      </c>
      <c r="Q173" s="22" t="n">
        <f aca="false">IF(OR($A173="",N(L173)=0),0,CEILING(L173*(1+IF($O173="",Taux_Paye,$O173))-0.005,Pas_Arrondi))</f>
        <v>0</v>
      </c>
      <c r="R173" s="22" t="n">
        <f aca="false">IF(OR($A173="",N(M173)=0),0,CEILING(M173*(1+IF($O173="",Taux_Jur,$O173))-0.005,Pas_Arrondi))</f>
        <v>0</v>
      </c>
      <c r="S173" s="22" t="n">
        <f aca="false">IF(OR($A173="",N(N173)=0),0,CEILING(N173*(1+IF($O173="",Taux_PA,$O173))-0.005,Pas_Arrondi))</f>
        <v>0</v>
      </c>
      <c r="T173" s="22" t="str">
        <f aca="false">IF($A173="","",SUM(K173:N173))</f>
        <v/>
      </c>
      <c r="U173" s="22" t="str">
        <f aca="false">IF($A173="","",SUM(P173:S173))</f>
        <v/>
      </c>
      <c r="V173" s="22" t="str">
        <f aca="false">IF($A173="","",U173-T173)</f>
        <v/>
      </c>
      <c r="W173" s="23" t="str">
        <f aca="false">IF(OR($A173="",N(T173)=0),"",V173/T173)</f>
        <v/>
      </c>
      <c r="X173" s="18"/>
      <c r="Y173" s="18"/>
      <c r="Z173" s="24" t="str">
        <f aca="false">IF(AND($A173&lt;&gt;"",$X173="Oui",OR(Filtre_Masse="Tous les clients à envoyer",$Y173&lt;&gt;"Email")),MAX(Z$1:Z172)+1,"")</f>
        <v/>
      </c>
    </row>
    <row r="174" customFormat="false" ht="15" hidden="false" customHeight="false" outlineLevel="0" collapsed="false">
      <c r="A174" s="18"/>
      <c r="B174" s="18"/>
      <c r="C174" s="18"/>
      <c r="D174" s="18"/>
      <c r="E174" s="18"/>
      <c r="F174" s="18"/>
      <c r="G174" s="18"/>
      <c r="H174" s="19"/>
      <c r="I174" s="18"/>
      <c r="J174" s="18"/>
      <c r="K174" s="20"/>
      <c r="L174" s="20"/>
      <c r="M174" s="20"/>
      <c r="N174" s="20"/>
      <c r="O174" s="21"/>
      <c r="P174" s="22" t="n">
        <f aca="false">IF(OR($A174="",N(K174)=0),0,CEILING(K174*(1+IF($O174="",Taux_Compta,$O174))-0.005,Pas_Arrondi))</f>
        <v>0</v>
      </c>
      <c r="Q174" s="22" t="n">
        <f aca="false">IF(OR($A174="",N(L174)=0),0,CEILING(L174*(1+IF($O174="",Taux_Paye,$O174))-0.005,Pas_Arrondi))</f>
        <v>0</v>
      </c>
      <c r="R174" s="22" t="n">
        <f aca="false">IF(OR($A174="",N(M174)=0),0,CEILING(M174*(1+IF($O174="",Taux_Jur,$O174))-0.005,Pas_Arrondi))</f>
        <v>0</v>
      </c>
      <c r="S174" s="22" t="n">
        <f aca="false">IF(OR($A174="",N(N174)=0),0,CEILING(N174*(1+IF($O174="",Taux_PA,$O174))-0.005,Pas_Arrondi))</f>
        <v>0</v>
      </c>
      <c r="T174" s="22" t="str">
        <f aca="false">IF($A174="","",SUM(K174:N174))</f>
        <v/>
      </c>
      <c r="U174" s="22" t="str">
        <f aca="false">IF($A174="","",SUM(P174:S174))</f>
        <v/>
      </c>
      <c r="V174" s="22" t="str">
        <f aca="false">IF($A174="","",U174-T174)</f>
        <v/>
      </c>
      <c r="W174" s="23" t="str">
        <f aca="false">IF(OR($A174="",N(T174)=0),"",V174/T174)</f>
        <v/>
      </c>
      <c r="X174" s="18"/>
      <c r="Y174" s="18"/>
      <c r="Z174" s="24" t="str">
        <f aca="false">IF(AND($A174&lt;&gt;"",$X174="Oui",OR(Filtre_Masse="Tous les clients à envoyer",$Y174&lt;&gt;"Email")),MAX(Z$1:Z173)+1,"")</f>
        <v/>
      </c>
    </row>
    <row r="175" customFormat="false" ht="15" hidden="false" customHeight="false" outlineLevel="0" collapsed="false">
      <c r="A175" s="18"/>
      <c r="B175" s="18"/>
      <c r="C175" s="18"/>
      <c r="D175" s="18"/>
      <c r="E175" s="18"/>
      <c r="F175" s="18"/>
      <c r="G175" s="18"/>
      <c r="H175" s="19"/>
      <c r="I175" s="18"/>
      <c r="J175" s="18"/>
      <c r="K175" s="20"/>
      <c r="L175" s="20"/>
      <c r="M175" s="20"/>
      <c r="N175" s="20"/>
      <c r="O175" s="21"/>
      <c r="P175" s="22" t="n">
        <f aca="false">IF(OR($A175="",N(K175)=0),0,CEILING(K175*(1+IF($O175="",Taux_Compta,$O175))-0.005,Pas_Arrondi))</f>
        <v>0</v>
      </c>
      <c r="Q175" s="22" t="n">
        <f aca="false">IF(OR($A175="",N(L175)=0),0,CEILING(L175*(1+IF($O175="",Taux_Paye,$O175))-0.005,Pas_Arrondi))</f>
        <v>0</v>
      </c>
      <c r="R175" s="22" t="n">
        <f aca="false">IF(OR($A175="",N(M175)=0),0,CEILING(M175*(1+IF($O175="",Taux_Jur,$O175))-0.005,Pas_Arrondi))</f>
        <v>0</v>
      </c>
      <c r="S175" s="22" t="n">
        <f aca="false">IF(OR($A175="",N(N175)=0),0,CEILING(N175*(1+IF($O175="",Taux_PA,$O175))-0.005,Pas_Arrondi))</f>
        <v>0</v>
      </c>
      <c r="T175" s="22" t="str">
        <f aca="false">IF($A175="","",SUM(K175:N175))</f>
        <v/>
      </c>
      <c r="U175" s="22" t="str">
        <f aca="false">IF($A175="","",SUM(P175:S175))</f>
        <v/>
      </c>
      <c r="V175" s="22" t="str">
        <f aca="false">IF($A175="","",U175-T175)</f>
        <v/>
      </c>
      <c r="W175" s="23" t="str">
        <f aca="false">IF(OR($A175="",N(T175)=0),"",V175/T175)</f>
        <v/>
      </c>
      <c r="X175" s="18"/>
      <c r="Y175" s="18"/>
      <c r="Z175" s="24" t="str">
        <f aca="false">IF(AND($A175&lt;&gt;"",$X175="Oui",OR(Filtre_Masse="Tous les clients à envoyer",$Y175&lt;&gt;"Email")),MAX(Z$1:Z174)+1,"")</f>
        <v/>
      </c>
    </row>
    <row r="176" customFormat="false" ht="15" hidden="false" customHeight="false" outlineLevel="0" collapsed="false">
      <c r="A176" s="18"/>
      <c r="B176" s="18"/>
      <c r="C176" s="18"/>
      <c r="D176" s="18"/>
      <c r="E176" s="18"/>
      <c r="F176" s="18"/>
      <c r="G176" s="18"/>
      <c r="H176" s="19"/>
      <c r="I176" s="18"/>
      <c r="J176" s="18"/>
      <c r="K176" s="20"/>
      <c r="L176" s="20"/>
      <c r="M176" s="20"/>
      <c r="N176" s="20"/>
      <c r="O176" s="21"/>
      <c r="P176" s="22" t="n">
        <f aca="false">IF(OR($A176="",N(K176)=0),0,CEILING(K176*(1+IF($O176="",Taux_Compta,$O176))-0.005,Pas_Arrondi))</f>
        <v>0</v>
      </c>
      <c r="Q176" s="22" t="n">
        <f aca="false">IF(OR($A176="",N(L176)=0),0,CEILING(L176*(1+IF($O176="",Taux_Paye,$O176))-0.005,Pas_Arrondi))</f>
        <v>0</v>
      </c>
      <c r="R176" s="22" t="n">
        <f aca="false">IF(OR($A176="",N(M176)=0),0,CEILING(M176*(1+IF($O176="",Taux_Jur,$O176))-0.005,Pas_Arrondi))</f>
        <v>0</v>
      </c>
      <c r="S176" s="22" t="n">
        <f aca="false">IF(OR($A176="",N(N176)=0),0,CEILING(N176*(1+IF($O176="",Taux_PA,$O176))-0.005,Pas_Arrondi))</f>
        <v>0</v>
      </c>
      <c r="T176" s="22" t="str">
        <f aca="false">IF($A176="","",SUM(K176:N176))</f>
        <v/>
      </c>
      <c r="U176" s="22" t="str">
        <f aca="false">IF($A176="","",SUM(P176:S176))</f>
        <v/>
      </c>
      <c r="V176" s="22" t="str">
        <f aca="false">IF($A176="","",U176-T176)</f>
        <v/>
      </c>
      <c r="W176" s="23" t="str">
        <f aca="false">IF(OR($A176="",N(T176)=0),"",V176/T176)</f>
        <v/>
      </c>
      <c r="X176" s="18"/>
      <c r="Y176" s="18"/>
      <c r="Z176" s="24" t="str">
        <f aca="false">IF(AND($A176&lt;&gt;"",$X176="Oui",OR(Filtre_Masse="Tous les clients à envoyer",$Y176&lt;&gt;"Email")),MAX(Z$1:Z175)+1,"")</f>
        <v/>
      </c>
    </row>
    <row r="177" customFormat="false" ht="15" hidden="false" customHeight="false" outlineLevel="0" collapsed="false">
      <c r="A177" s="18"/>
      <c r="B177" s="18"/>
      <c r="C177" s="18"/>
      <c r="D177" s="18"/>
      <c r="E177" s="18"/>
      <c r="F177" s="18"/>
      <c r="G177" s="18"/>
      <c r="H177" s="19"/>
      <c r="I177" s="18"/>
      <c r="J177" s="18"/>
      <c r="K177" s="20"/>
      <c r="L177" s="20"/>
      <c r="M177" s="20"/>
      <c r="N177" s="20"/>
      <c r="O177" s="21"/>
      <c r="P177" s="22" t="n">
        <f aca="false">IF(OR($A177="",N(K177)=0),0,CEILING(K177*(1+IF($O177="",Taux_Compta,$O177))-0.005,Pas_Arrondi))</f>
        <v>0</v>
      </c>
      <c r="Q177" s="22" t="n">
        <f aca="false">IF(OR($A177="",N(L177)=0),0,CEILING(L177*(1+IF($O177="",Taux_Paye,$O177))-0.005,Pas_Arrondi))</f>
        <v>0</v>
      </c>
      <c r="R177" s="22" t="n">
        <f aca="false">IF(OR($A177="",N(M177)=0),0,CEILING(M177*(1+IF($O177="",Taux_Jur,$O177))-0.005,Pas_Arrondi))</f>
        <v>0</v>
      </c>
      <c r="S177" s="22" t="n">
        <f aca="false">IF(OR($A177="",N(N177)=0),0,CEILING(N177*(1+IF($O177="",Taux_PA,$O177))-0.005,Pas_Arrondi))</f>
        <v>0</v>
      </c>
      <c r="T177" s="22" t="str">
        <f aca="false">IF($A177="","",SUM(K177:N177))</f>
        <v/>
      </c>
      <c r="U177" s="22" t="str">
        <f aca="false">IF($A177="","",SUM(P177:S177))</f>
        <v/>
      </c>
      <c r="V177" s="22" t="str">
        <f aca="false">IF($A177="","",U177-T177)</f>
        <v/>
      </c>
      <c r="W177" s="23" t="str">
        <f aca="false">IF(OR($A177="",N(T177)=0),"",V177/T177)</f>
        <v/>
      </c>
      <c r="X177" s="18"/>
      <c r="Y177" s="18"/>
      <c r="Z177" s="24" t="str">
        <f aca="false">IF(AND($A177&lt;&gt;"",$X177="Oui",OR(Filtre_Masse="Tous les clients à envoyer",$Y177&lt;&gt;"Email")),MAX(Z$1:Z176)+1,"")</f>
        <v/>
      </c>
    </row>
    <row r="178" customFormat="false" ht="15" hidden="false" customHeight="false" outlineLevel="0" collapsed="false">
      <c r="A178" s="18"/>
      <c r="B178" s="18"/>
      <c r="C178" s="18"/>
      <c r="D178" s="18"/>
      <c r="E178" s="18"/>
      <c r="F178" s="18"/>
      <c r="G178" s="18"/>
      <c r="H178" s="19"/>
      <c r="I178" s="18"/>
      <c r="J178" s="18"/>
      <c r="K178" s="20"/>
      <c r="L178" s="20"/>
      <c r="M178" s="20"/>
      <c r="N178" s="20"/>
      <c r="O178" s="21"/>
      <c r="P178" s="22" t="n">
        <f aca="false">IF(OR($A178="",N(K178)=0),0,CEILING(K178*(1+IF($O178="",Taux_Compta,$O178))-0.005,Pas_Arrondi))</f>
        <v>0</v>
      </c>
      <c r="Q178" s="22" t="n">
        <f aca="false">IF(OR($A178="",N(L178)=0),0,CEILING(L178*(1+IF($O178="",Taux_Paye,$O178))-0.005,Pas_Arrondi))</f>
        <v>0</v>
      </c>
      <c r="R178" s="22" t="n">
        <f aca="false">IF(OR($A178="",N(M178)=0),0,CEILING(M178*(1+IF($O178="",Taux_Jur,$O178))-0.005,Pas_Arrondi))</f>
        <v>0</v>
      </c>
      <c r="S178" s="22" t="n">
        <f aca="false">IF(OR($A178="",N(N178)=0),0,CEILING(N178*(1+IF($O178="",Taux_PA,$O178))-0.005,Pas_Arrondi))</f>
        <v>0</v>
      </c>
      <c r="T178" s="22" t="str">
        <f aca="false">IF($A178="","",SUM(K178:N178))</f>
        <v/>
      </c>
      <c r="U178" s="22" t="str">
        <f aca="false">IF($A178="","",SUM(P178:S178))</f>
        <v/>
      </c>
      <c r="V178" s="22" t="str">
        <f aca="false">IF($A178="","",U178-T178)</f>
        <v/>
      </c>
      <c r="W178" s="23" t="str">
        <f aca="false">IF(OR($A178="",N(T178)=0),"",V178/T178)</f>
        <v/>
      </c>
      <c r="X178" s="18"/>
      <c r="Y178" s="18"/>
      <c r="Z178" s="24" t="str">
        <f aca="false">IF(AND($A178&lt;&gt;"",$X178="Oui",OR(Filtre_Masse="Tous les clients à envoyer",$Y178&lt;&gt;"Email")),MAX(Z$1:Z177)+1,"")</f>
        <v/>
      </c>
    </row>
    <row r="179" customFormat="false" ht="15" hidden="false" customHeight="false" outlineLevel="0" collapsed="false">
      <c r="A179" s="18"/>
      <c r="B179" s="18"/>
      <c r="C179" s="18"/>
      <c r="D179" s="18"/>
      <c r="E179" s="18"/>
      <c r="F179" s="18"/>
      <c r="G179" s="18"/>
      <c r="H179" s="19"/>
      <c r="I179" s="18"/>
      <c r="J179" s="18"/>
      <c r="K179" s="20"/>
      <c r="L179" s="20"/>
      <c r="M179" s="20"/>
      <c r="N179" s="20"/>
      <c r="O179" s="21"/>
      <c r="P179" s="22" t="n">
        <f aca="false">IF(OR($A179="",N(K179)=0),0,CEILING(K179*(1+IF($O179="",Taux_Compta,$O179))-0.005,Pas_Arrondi))</f>
        <v>0</v>
      </c>
      <c r="Q179" s="22" t="n">
        <f aca="false">IF(OR($A179="",N(L179)=0),0,CEILING(L179*(1+IF($O179="",Taux_Paye,$O179))-0.005,Pas_Arrondi))</f>
        <v>0</v>
      </c>
      <c r="R179" s="22" t="n">
        <f aca="false">IF(OR($A179="",N(M179)=0),0,CEILING(M179*(1+IF($O179="",Taux_Jur,$O179))-0.005,Pas_Arrondi))</f>
        <v>0</v>
      </c>
      <c r="S179" s="22" t="n">
        <f aca="false">IF(OR($A179="",N(N179)=0),0,CEILING(N179*(1+IF($O179="",Taux_PA,$O179))-0.005,Pas_Arrondi))</f>
        <v>0</v>
      </c>
      <c r="T179" s="22" t="str">
        <f aca="false">IF($A179="","",SUM(K179:N179))</f>
        <v/>
      </c>
      <c r="U179" s="22" t="str">
        <f aca="false">IF($A179="","",SUM(P179:S179))</f>
        <v/>
      </c>
      <c r="V179" s="22" t="str">
        <f aca="false">IF($A179="","",U179-T179)</f>
        <v/>
      </c>
      <c r="W179" s="23" t="str">
        <f aca="false">IF(OR($A179="",N(T179)=0),"",V179/T179)</f>
        <v/>
      </c>
      <c r="X179" s="18"/>
      <c r="Y179" s="18"/>
      <c r="Z179" s="24" t="str">
        <f aca="false">IF(AND($A179&lt;&gt;"",$X179="Oui",OR(Filtre_Masse="Tous les clients à envoyer",$Y179&lt;&gt;"Email")),MAX(Z$1:Z178)+1,"")</f>
        <v/>
      </c>
    </row>
    <row r="180" customFormat="false" ht="15" hidden="false" customHeight="false" outlineLevel="0" collapsed="false">
      <c r="A180" s="18"/>
      <c r="B180" s="18"/>
      <c r="C180" s="18"/>
      <c r="D180" s="18"/>
      <c r="E180" s="18"/>
      <c r="F180" s="18"/>
      <c r="G180" s="18"/>
      <c r="H180" s="19"/>
      <c r="I180" s="18"/>
      <c r="J180" s="18"/>
      <c r="K180" s="20"/>
      <c r="L180" s="20"/>
      <c r="M180" s="20"/>
      <c r="N180" s="20"/>
      <c r="O180" s="21"/>
      <c r="P180" s="22" t="n">
        <f aca="false">IF(OR($A180="",N(K180)=0),0,CEILING(K180*(1+IF($O180="",Taux_Compta,$O180))-0.005,Pas_Arrondi))</f>
        <v>0</v>
      </c>
      <c r="Q180" s="22" t="n">
        <f aca="false">IF(OR($A180="",N(L180)=0),0,CEILING(L180*(1+IF($O180="",Taux_Paye,$O180))-0.005,Pas_Arrondi))</f>
        <v>0</v>
      </c>
      <c r="R180" s="22" t="n">
        <f aca="false">IF(OR($A180="",N(M180)=0),0,CEILING(M180*(1+IF($O180="",Taux_Jur,$O180))-0.005,Pas_Arrondi))</f>
        <v>0</v>
      </c>
      <c r="S180" s="22" t="n">
        <f aca="false">IF(OR($A180="",N(N180)=0),0,CEILING(N180*(1+IF($O180="",Taux_PA,$O180))-0.005,Pas_Arrondi))</f>
        <v>0</v>
      </c>
      <c r="T180" s="22" t="str">
        <f aca="false">IF($A180="","",SUM(K180:N180))</f>
        <v/>
      </c>
      <c r="U180" s="22" t="str">
        <f aca="false">IF($A180="","",SUM(P180:S180))</f>
        <v/>
      </c>
      <c r="V180" s="22" t="str">
        <f aca="false">IF($A180="","",U180-T180)</f>
        <v/>
      </c>
      <c r="W180" s="23" t="str">
        <f aca="false">IF(OR($A180="",N(T180)=0),"",V180/T180)</f>
        <v/>
      </c>
      <c r="X180" s="18"/>
      <c r="Y180" s="18"/>
      <c r="Z180" s="24" t="str">
        <f aca="false">IF(AND($A180&lt;&gt;"",$X180="Oui",OR(Filtre_Masse="Tous les clients à envoyer",$Y180&lt;&gt;"Email")),MAX(Z$1:Z179)+1,"")</f>
        <v/>
      </c>
    </row>
    <row r="181" customFormat="false" ht="15" hidden="false" customHeight="false" outlineLevel="0" collapsed="false">
      <c r="A181" s="18"/>
      <c r="B181" s="18"/>
      <c r="C181" s="18"/>
      <c r="D181" s="18"/>
      <c r="E181" s="18"/>
      <c r="F181" s="18"/>
      <c r="G181" s="18"/>
      <c r="H181" s="19"/>
      <c r="I181" s="18"/>
      <c r="J181" s="18"/>
      <c r="K181" s="20"/>
      <c r="L181" s="20"/>
      <c r="M181" s="20"/>
      <c r="N181" s="20"/>
      <c r="O181" s="21"/>
      <c r="P181" s="22" t="n">
        <f aca="false">IF(OR($A181="",N(K181)=0),0,CEILING(K181*(1+IF($O181="",Taux_Compta,$O181))-0.005,Pas_Arrondi))</f>
        <v>0</v>
      </c>
      <c r="Q181" s="22" t="n">
        <f aca="false">IF(OR($A181="",N(L181)=0),0,CEILING(L181*(1+IF($O181="",Taux_Paye,$O181))-0.005,Pas_Arrondi))</f>
        <v>0</v>
      </c>
      <c r="R181" s="22" t="n">
        <f aca="false">IF(OR($A181="",N(M181)=0),0,CEILING(M181*(1+IF($O181="",Taux_Jur,$O181))-0.005,Pas_Arrondi))</f>
        <v>0</v>
      </c>
      <c r="S181" s="22" t="n">
        <f aca="false">IF(OR($A181="",N(N181)=0),0,CEILING(N181*(1+IF($O181="",Taux_PA,$O181))-0.005,Pas_Arrondi))</f>
        <v>0</v>
      </c>
      <c r="T181" s="22" t="str">
        <f aca="false">IF($A181="","",SUM(K181:N181))</f>
        <v/>
      </c>
      <c r="U181" s="22" t="str">
        <f aca="false">IF($A181="","",SUM(P181:S181))</f>
        <v/>
      </c>
      <c r="V181" s="22" t="str">
        <f aca="false">IF($A181="","",U181-T181)</f>
        <v/>
      </c>
      <c r="W181" s="23" t="str">
        <f aca="false">IF(OR($A181="",N(T181)=0),"",V181/T181)</f>
        <v/>
      </c>
      <c r="X181" s="18"/>
      <c r="Y181" s="18"/>
      <c r="Z181" s="24" t="str">
        <f aca="false">IF(AND($A181&lt;&gt;"",$X181="Oui",OR(Filtre_Masse="Tous les clients à envoyer",$Y181&lt;&gt;"Email")),MAX(Z$1:Z180)+1,"")</f>
        <v/>
      </c>
    </row>
    <row r="182" customFormat="false" ht="15" hidden="false" customHeight="false" outlineLevel="0" collapsed="false">
      <c r="A182" s="18"/>
      <c r="B182" s="18"/>
      <c r="C182" s="18"/>
      <c r="D182" s="18"/>
      <c r="E182" s="18"/>
      <c r="F182" s="18"/>
      <c r="G182" s="18"/>
      <c r="H182" s="19"/>
      <c r="I182" s="18"/>
      <c r="J182" s="18"/>
      <c r="K182" s="20"/>
      <c r="L182" s="20"/>
      <c r="M182" s="20"/>
      <c r="N182" s="20"/>
      <c r="O182" s="21"/>
      <c r="P182" s="22" t="n">
        <f aca="false">IF(OR($A182="",N(K182)=0),0,CEILING(K182*(1+IF($O182="",Taux_Compta,$O182))-0.005,Pas_Arrondi))</f>
        <v>0</v>
      </c>
      <c r="Q182" s="22" t="n">
        <f aca="false">IF(OR($A182="",N(L182)=0),0,CEILING(L182*(1+IF($O182="",Taux_Paye,$O182))-0.005,Pas_Arrondi))</f>
        <v>0</v>
      </c>
      <c r="R182" s="22" t="n">
        <f aca="false">IF(OR($A182="",N(M182)=0),0,CEILING(M182*(1+IF($O182="",Taux_Jur,$O182))-0.005,Pas_Arrondi))</f>
        <v>0</v>
      </c>
      <c r="S182" s="22" t="n">
        <f aca="false">IF(OR($A182="",N(N182)=0),0,CEILING(N182*(1+IF($O182="",Taux_PA,$O182))-0.005,Pas_Arrondi))</f>
        <v>0</v>
      </c>
      <c r="T182" s="22" t="str">
        <f aca="false">IF($A182="","",SUM(K182:N182))</f>
        <v/>
      </c>
      <c r="U182" s="22" t="str">
        <f aca="false">IF($A182="","",SUM(P182:S182))</f>
        <v/>
      </c>
      <c r="V182" s="22" t="str">
        <f aca="false">IF($A182="","",U182-T182)</f>
        <v/>
      </c>
      <c r="W182" s="23" t="str">
        <f aca="false">IF(OR($A182="",N(T182)=0),"",V182/T182)</f>
        <v/>
      </c>
      <c r="X182" s="18"/>
      <c r="Y182" s="18"/>
      <c r="Z182" s="24" t="str">
        <f aca="false">IF(AND($A182&lt;&gt;"",$X182="Oui",OR(Filtre_Masse="Tous les clients à envoyer",$Y182&lt;&gt;"Email")),MAX(Z$1:Z181)+1,"")</f>
        <v/>
      </c>
    </row>
    <row r="183" customFormat="false" ht="15" hidden="false" customHeight="false" outlineLevel="0" collapsed="false">
      <c r="A183" s="18"/>
      <c r="B183" s="18"/>
      <c r="C183" s="18"/>
      <c r="D183" s="18"/>
      <c r="E183" s="18"/>
      <c r="F183" s="18"/>
      <c r="G183" s="18"/>
      <c r="H183" s="19"/>
      <c r="I183" s="18"/>
      <c r="J183" s="18"/>
      <c r="K183" s="20"/>
      <c r="L183" s="20"/>
      <c r="M183" s="20"/>
      <c r="N183" s="20"/>
      <c r="O183" s="21"/>
      <c r="P183" s="22" t="n">
        <f aca="false">IF(OR($A183="",N(K183)=0),0,CEILING(K183*(1+IF($O183="",Taux_Compta,$O183))-0.005,Pas_Arrondi))</f>
        <v>0</v>
      </c>
      <c r="Q183" s="22" t="n">
        <f aca="false">IF(OR($A183="",N(L183)=0),0,CEILING(L183*(1+IF($O183="",Taux_Paye,$O183))-0.005,Pas_Arrondi))</f>
        <v>0</v>
      </c>
      <c r="R183" s="22" t="n">
        <f aca="false">IF(OR($A183="",N(M183)=0),0,CEILING(M183*(1+IF($O183="",Taux_Jur,$O183))-0.005,Pas_Arrondi))</f>
        <v>0</v>
      </c>
      <c r="S183" s="22" t="n">
        <f aca="false">IF(OR($A183="",N(N183)=0),0,CEILING(N183*(1+IF($O183="",Taux_PA,$O183))-0.005,Pas_Arrondi))</f>
        <v>0</v>
      </c>
      <c r="T183" s="22" t="str">
        <f aca="false">IF($A183="","",SUM(K183:N183))</f>
        <v/>
      </c>
      <c r="U183" s="22" t="str">
        <f aca="false">IF($A183="","",SUM(P183:S183))</f>
        <v/>
      </c>
      <c r="V183" s="22" t="str">
        <f aca="false">IF($A183="","",U183-T183)</f>
        <v/>
      </c>
      <c r="W183" s="23" t="str">
        <f aca="false">IF(OR($A183="",N(T183)=0),"",V183/T183)</f>
        <v/>
      </c>
      <c r="X183" s="18"/>
      <c r="Y183" s="18"/>
      <c r="Z183" s="24" t="str">
        <f aca="false">IF(AND($A183&lt;&gt;"",$X183="Oui",OR(Filtre_Masse="Tous les clients à envoyer",$Y183&lt;&gt;"Email")),MAX(Z$1:Z182)+1,"")</f>
        <v/>
      </c>
    </row>
    <row r="184" customFormat="false" ht="15" hidden="false" customHeight="false" outlineLevel="0" collapsed="false">
      <c r="A184" s="18"/>
      <c r="B184" s="18"/>
      <c r="C184" s="18"/>
      <c r="D184" s="18"/>
      <c r="E184" s="18"/>
      <c r="F184" s="18"/>
      <c r="G184" s="18"/>
      <c r="H184" s="19"/>
      <c r="I184" s="18"/>
      <c r="J184" s="18"/>
      <c r="K184" s="20"/>
      <c r="L184" s="20"/>
      <c r="M184" s="20"/>
      <c r="N184" s="20"/>
      <c r="O184" s="21"/>
      <c r="P184" s="22" t="n">
        <f aca="false">IF(OR($A184="",N(K184)=0),0,CEILING(K184*(1+IF($O184="",Taux_Compta,$O184))-0.005,Pas_Arrondi))</f>
        <v>0</v>
      </c>
      <c r="Q184" s="22" t="n">
        <f aca="false">IF(OR($A184="",N(L184)=0),0,CEILING(L184*(1+IF($O184="",Taux_Paye,$O184))-0.005,Pas_Arrondi))</f>
        <v>0</v>
      </c>
      <c r="R184" s="22" t="n">
        <f aca="false">IF(OR($A184="",N(M184)=0),0,CEILING(M184*(1+IF($O184="",Taux_Jur,$O184))-0.005,Pas_Arrondi))</f>
        <v>0</v>
      </c>
      <c r="S184" s="22" t="n">
        <f aca="false">IF(OR($A184="",N(N184)=0),0,CEILING(N184*(1+IF($O184="",Taux_PA,$O184))-0.005,Pas_Arrondi))</f>
        <v>0</v>
      </c>
      <c r="T184" s="22" t="str">
        <f aca="false">IF($A184="","",SUM(K184:N184))</f>
        <v/>
      </c>
      <c r="U184" s="22" t="str">
        <f aca="false">IF($A184="","",SUM(P184:S184))</f>
        <v/>
      </c>
      <c r="V184" s="22" t="str">
        <f aca="false">IF($A184="","",U184-T184)</f>
        <v/>
      </c>
      <c r="W184" s="23" t="str">
        <f aca="false">IF(OR($A184="",N(T184)=0),"",V184/T184)</f>
        <v/>
      </c>
      <c r="X184" s="18"/>
      <c r="Y184" s="18"/>
      <c r="Z184" s="24" t="str">
        <f aca="false">IF(AND($A184&lt;&gt;"",$X184="Oui",OR(Filtre_Masse="Tous les clients à envoyer",$Y184&lt;&gt;"Email")),MAX(Z$1:Z183)+1,"")</f>
        <v/>
      </c>
    </row>
    <row r="185" customFormat="false" ht="15" hidden="false" customHeight="false" outlineLevel="0" collapsed="false">
      <c r="A185" s="18"/>
      <c r="B185" s="18"/>
      <c r="C185" s="18"/>
      <c r="D185" s="18"/>
      <c r="E185" s="18"/>
      <c r="F185" s="18"/>
      <c r="G185" s="18"/>
      <c r="H185" s="19"/>
      <c r="I185" s="18"/>
      <c r="J185" s="18"/>
      <c r="K185" s="20"/>
      <c r="L185" s="20"/>
      <c r="M185" s="20"/>
      <c r="N185" s="20"/>
      <c r="O185" s="21"/>
      <c r="P185" s="22" t="n">
        <f aca="false">IF(OR($A185="",N(K185)=0),0,CEILING(K185*(1+IF($O185="",Taux_Compta,$O185))-0.005,Pas_Arrondi))</f>
        <v>0</v>
      </c>
      <c r="Q185" s="22" t="n">
        <f aca="false">IF(OR($A185="",N(L185)=0),0,CEILING(L185*(1+IF($O185="",Taux_Paye,$O185))-0.005,Pas_Arrondi))</f>
        <v>0</v>
      </c>
      <c r="R185" s="22" t="n">
        <f aca="false">IF(OR($A185="",N(M185)=0),0,CEILING(M185*(1+IF($O185="",Taux_Jur,$O185))-0.005,Pas_Arrondi))</f>
        <v>0</v>
      </c>
      <c r="S185" s="22" t="n">
        <f aca="false">IF(OR($A185="",N(N185)=0),0,CEILING(N185*(1+IF($O185="",Taux_PA,$O185))-0.005,Pas_Arrondi))</f>
        <v>0</v>
      </c>
      <c r="T185" s="22" t="str">
        <f aca="false">IF($A185="","",SUM(K185:N185))</f>
        <v/>
      </c>
      <c r="U185" s="22" t="str">
        <f aca="false">IF($A185="","",SUM(P185:S185))</f>
        <v/>
      </c>
      <c r="V185" s="22" t="str">
        <f aca="false">IF($A185="","",U185-T185)</f>
        <v/>
      </c>
      <c r="W185" s="23" t="str">
        <f aca="false">IF(OR($A185="",N(T185)=0),"",V185/T185)</f>
        <v/>
      </c>
      <c r="X185" s="18"/>
      <c r="Y185" s="18"/>
      <c r="Z185" s="24" t="str">
        <f aca="false">IF(AND($A185&lt;&gt;"",$X185="Oui",OR(Filtre_Masse="Tous les clients à envoyer",$Y185&lt;&gt;"Email")),MAX(Z$1:Z184)+1,"")</f>
        <v/>
      </c>
    </row>
    <row r="186" customFormat="false" ht="15" hidden="false" customHeight="false" outlineLevel="0" collapsed="false">
      <c r="A186" s="18"/>
      <c r="B186" s="18"/>
      <c r="C186" s="18"/>
      <c r="D186" s="18"/>
      <c r="E186" s="18"/>
      <c r="F186" s="18"/>
      <c r="G186" s="18"/>
      <c r="H186" s="19"/>
      <c r="I186" s="18"/>
      <c r="J186" s="18"/>
      <c r="K186" s="20"/>
      <c r="L186" s="20"/>
      <c r="M186" s="20"/>
      <c r="N186" s="20"/>
      <c r="O186" s="21"/>
      <c r="P186" s="22" t="n">
        <f aca="false">IF(OR($A186="",N(K186)=0),0,CEILING(K186*(1+IF($O186="",Taux_Compta,$O186))-0.005,Pas_Arrondi))</f>
        <v>0</v>
      </c>
      <c r="Q186" s="22" t="n">
        <f aca="false">IF(OR($A186="",N(L186)=0),0,CEILING(L186*(1+IF($O186="",Taux_Paye,$O186))-0.005,Pas_Arrondi))</f>
        <v>0</v>
      </c>
      <c r="R186" s="22" t="n">
        <f aca="false">IF(OR($A186="",N(M186)=0),0,CEILING(M186*(1+IF($O186="",Taux_Jur,$O186))-0.005,Pas_Arrondi))</f>
        <v>0</v>
      </c>
      <c r="S186" s="22" t="n">
        <f aca="false">IF(OR($A186="",N(N186)=0),0,CEILING(N186*(1+IF($O186="",Taux_PA,$O186))-0.005,Pas_Arrondi))</f>
        <v>0</v>
      </c>
      <c r="T186" s="22" t="str">
        <f aca="false">IF($A186="","",SUM(K186:N186))</f>
        <v/>
      </c>
      <c r="U186" s="22" t="str">
        <f aca="false">IF($A186="","",SUM(P186:S186))</f>
        <v/>
      </c>
      <c r="V186" s="22" t="str">
        <f aca="false">IF($A186="","",U186-T186)</f>
        <v/>
      </c>
      <c r="W186" s="23" t="str">
        <f aca="false">IF(OR($A186="",N(T186)=0),"",V186/T186)</f>
        <v/>
      </c>
      <c r="X186" s="18"/>
      <c r="Y186" s="18"/>
      <c r="Z186" s="24" t="str">
        <f aca="false">IF(AND($A186&lt;&gt;"",$X186="Oui",OR(Filtre_Masse="Tous les clients à envoyer",$Y186&lt;&gt;"Email")),MAX(Z$1:Z185)+1,"")</f>
        <v/>
      </c>
    </row>
    <row r="187" customFormat="false" ht="15" hidden="false" customHeight="false" outlineLevel="0" collapsed="false">
      <c r="A187" s="18"/>
      <c r="B187" s="18"/>
      <c r="C187" s="18"/>
      <c r="D187" s="18"/>
      <c r="E187" s="18"/>
      <c r="F187" s="18"/>
      <c r="G187" s="18"/>
      <c r="H187" s="19"/>
      <c r="I187" s="18"/>
      <c r="J187" s="18"/>
      <c r="K187" s="20"/>
      <c r="L187" s="20"/>
      <c r="M187" s="20"/>
      <c r="N187" s="20"/>
      <c r="O187" s="21"/>
      <c r="P187" s="22" t="n">
        <f aca="false">IF(OR($A187="",N(K187)=0),0,CEILING(K187*(1+IF($O187="",Taux_Compta,$O187))-0.005,Pas_Arrondi))</f>
        <v>0</v>
      </c>
      <c r="Q187" s="22" t="n">
        <f aca="false">IF(OR($A187="",N(L187)=0),0,CEILING(L187*(1+IF($O187="",Taux_Paye,$O187))-0.005,Pas_Arrondi))</f>
        <v>0</v>
      </c>
      <c r="R187" s="22" t="n">
        <f aca="false">IF(OR($A187="",N(M187)=0),0,CEILING(M187*(1+IF($O187="",Taux_Jur,$O187))-0.005,Pas_Arrondi))</f>
        <v>0</v>
      </c>
      <c r="S187" s="22" t="n">
        <f aca="false">IF(OR($A187="",N(N187)=0),0,CEILING(N187*(1+IF($O187="",Taux_PA,$O187))-0.005,Pas_Arrondi))</f>
        <v>0</v>
      </c>
      <c r="T187" s="22" t="str">
        <f aca="false">IF($A187="","",SUM(K187:N187))</f>
        <v/>
      </c>
      <c r="U187" s="22" t="str">
        <f aca="false">IF($A187="","",SUM(P187:S187))</f>
        <v/>
      </c>
      <c r="V187" s="22" t="str">
        <f aca="false">IF($A187="","",U187-T187)</f>
        <v/>
      </c>
      <c r="W187" s="23" t="str">
        <f aca="false">IF(OR($A187="",N(T187)=0),"",V187/T187)</f>
        <v/>
      </c>
      <c r="X187" s="18"/>
      <c r="Y187" s="18"/>
      <c r="Z187" s="24" t="str">
        <f aca="false">IF(AND($A187&lt;&gt;"",$X187="Oui",OR(Filtre_Masse="Tous les clients à envoyer",$Y187&lt;&gt;"Email")),MAX(Z$1:Z186)+1,"")</f>
        <v/>
      </c>
    </row>
    <row r="188" customFormat="false" ht="15" hidden="false" customHeight="false" outlineLevel="0" collapsed="false">
      <c r="A188" s="18"/>
      <c r="B188" s="18"/>
      <c r="C188" s="18"/>
      <c r="D188" s="18"/>
      <c r="E188" s="18"/>
      <c r="F188" s="18"/>
      <c r="G188" s="18"/>
      <c r="H188" s="19"/>
      <c r="I188" s="18"/>
      <c r="J188" s="18"/>
      <c r="K188" s="20"/>
      <c r="L188" s="20"/>
      <c r="M188" s="20"/>
      <c r="N188" s="20"/>
      <c r="O188" s="21"/>
      <c r="P188" s="22" t="n">
        <f aca="false">IF(OR($A188="",N(K188)=0),0,CEILING(K188*(1+IF($O188="",Taux_Compta,$O188))-0.005,Pas_Arrondi))</f>
        <v>0</v>
      </c>
      <c r="Q188" s="22" t="n">
        <f aca="false">IF(OR($A188="",N(L188)=0),0,CEILING(L188*(1+IF($O188="",Taux_Paye,$O188))-0.005,Pas_Arrondi))</f>
        <v>0</v>
      </c>
      <c r="R188" s="22" t="n">
        <f aca="false">IF(OR($A188="",N(M188)=0),0,CEILING(M188*(1+IF($O188="",Taux_Jur,$O188))-0.005,Pas_Arrondi))</f>
        <v>0</v>
      </c>
      <c r="S188" s="22" t="n">
        <f aca="false">IF(OR($A188="",N(N188)=0),0,CEILING(N188*(1+IF($O188="",Taux_PA,$O188))-0.005,Pas_Arrondi))</f>
        <v>0</v>
      </c>
      <c r="T188" s="22" t="str">
        <f aca="false">IF($A188="","",SUM(K188:N188))</f>
        <v/>
      </c>
      <c r="U188" s="22" t="str">
        <f aca="false">IF($A188="","",SUM(P188:S188))</f>
        <v/>
      </c>
      <c r="V188" s="22" t="str">
        <f aca="false">IF($A188="","",U188-T188)</f>
        <v/>
      </c>
      <c r="W188" s="23" t="str">
        <f aca="false">IF(OR($A188="",N(T188)=0),"",V188/T188)</f>
        <v/>
      </c>
      <c r="X188" s="18"/>
      <c r="Y188" s="18"/>
      <c r="Z188" s="24" t="str">
        <f aca="false">IF(AND($A188&lt;&gt;"",$X188="Oui",OR(Filtre_Masse="Tous les clients à envoyer",$Y188&lt;&gt;"Email")),MAX(Z$1:Z187)+1,"")</f>
        <v/>
      </c>
    </row>
    <row r="189" customFormat="false" ht="15" hidden="false" customHeight="false" outlineLevel="0" collapsed="false">
      <c r="A189" s="18"/>
      <c r="B189" s="18"/>
      <c r="C189" s="18"/>
      <c r="D189" s="18"/>
      <c r="E189" s="18"/>
      <c r="F189" s="18"/>
      <c r="G189" s="18"/>
      <c r="H189" s="19"/>
      <c r="I189" s="18"/>
      <c r="J189" s="18"/>
      <c r="K189" s="20"/>
      <c r="L189" s="20"/>
      <c r="M189" s="20"/>
      <c r="N189" s="20"/>
      <c r="O189" s="21"/>
      <c r="P189" s="22" t="n">
        <f aca="false">IF(OR($A189="",N(K189)=0),0,CEILING(K189*(1+IF($O189="",Taux_Compta,$O189))-0.005,Pas_Arrondi))</f>
        <v>0</v>
      </c>
      <c r="Q189" s="22" t="n">
        <f aca="false">IF(OR($A189="",N(L189)=0),0,CEILING(L189*(1+IF($O189="",Taux_Paye,$O189))-0.005,Pas_Arrondi))</f>
        <v>0</v>
      </c>
      <c r="R189" s="22" t="n">
        <f aca="false">IF(OR($A189="",N(M189)=0),0,CEILING(M189*(1+IF($O189="",Taux_Jur,$O189))-0.005,Pas_Arrondi))</f>
        <v>0</v>
      </c>
      <c r="S189" s="22" t="n">
        <f aca="false">IF(OR($A189="",N(N189)=0),0,CEILING(N189*(1+IF($O189="",Taux_PA,$O189))-0.005,Pas_Arrondi))</f>
        <v>0</v>
      </c>
      <c r="T189" s="22" t="str">
        <f aca="false">IF($A189="","",SUM(K189:N189))</f>
        <v/>
      </c>
      <c r="U189" s="22" t="str">
        <f aca="false">IF($A189="","",SUM(P189:S189))</f>
        <v/>
      </c>
      <c r="V189" s="22" t="str">
        <f aca="false">IF($A189="","",U189-T189)</f>
        <v/>
      </c>
      <c r="W189" s="23" t="str">
        <f aca="false">IF(OR($A189="",N(T189)=0),"",V189/T189)</f>
        <v/>
      </c>
      <c r="X189" s="18"/>
      <c r="Y189" s="18"/>
      <c r="Z189" s="24" t="str">
        <f aca="false">IF(AND($A189&lt;&gt;"",$X189="Oui",OR(Filtre_Masse="Tous les clients à envoyer",$Y189&lt;&gt;"Email")),MAX(Z$1:Z188)+1,"")</f>
        <v/>
      </c>
    </row>
    <row r="190" customFormat="false" ht="15" hidden="false" customHeight="false" outlineLevel="0" collapsed="false">
      <c r="A190" s="18"/>
      <c r="B190" s="18"/>
      <c r="C190" s="18"/>
      <c r="D190" s="18"/>
      <c r="E190" s="18"/>
      <c r="F190" s="18"/>
      <c r="G190" s="18"/>
      <c r="H190" s="19"/>
      <c r="I190" s="18"/>
      <c r="J190" s="18"/>
      <c r="K190" s="20"/>
      <c r="L190" s="20"/>
      <c r="M190" s="20"/>
      <c r="N190" s="20"/>
      <c r="O190" s="21"/>
      <c r="P190" s="22" t="n">
        <f aca="false">IF(OR($A190="",N(K190)=0),0,CEILING(K190*(1+IF($O190="",Taux_Compta,$O190))-0.005,Pas_Arrondi))</f>
        <v>0</v>
      </c>
      <c r="Q190" s="22" t="n">
        <f aca="false">IF(OR($A190="",N(L190)=0),0,CEILING(L190*(1+IF($O190="",Taux_Paye,$O190))-0.005,Pas_Arrondi))</f>
        <v>0</v>
      </c>
      <c r="R190" s="22" t="n">
        <f aca="false">IF(OR($A190="",N(M190)=0),0,CEILING(M190*(1+IF($O190="",Taux_Jur,$O190))-0.005,Pas_Arrondi))</f>
        <v>0</v>
      </c>
      <c r="S190" s="22" t="n">
        <f aca="false">IF(OR($A190="",N(N190)=0),0,CEILING(N190*(1+IF($O190="",Taux_PA,$O190))-0.005,Pas_Arrondi))</f>
        <v>0</v>
      </c>
      <c r="T190" s="22" t="str">
        <f aca="false">IF($A190="","",SUM(K190:N190))</f>
        <v/>
      </c>
      <c r="U190" s="22" t="str">
        <f aca="false">IF($A190="","",SUM(P190:S190))</f>
        <v/>
      </c>
      <c r="V190" s="22" t="str">
        <f aca="false">IF($A190="","",U190-T190)</f>
        <v/>
      </c>
      <c r="W190" s="23" t="str">
        <f aca="false">IF(OR($A190="",N(T190)=0),"",V190/T190)</f>
        <v/>
      </c>
      <c r="X190" s="18"/>
      <c r="Y190" s="18"/>
      <c r="Z190" s="24" t="str">
        <f aca="false">IF(AND($A190&lt;&gt;"",$X190="Oui",OR(Filtre_Masse="Tous les clients à envoyer",$Y190&lt;&gt;"Email")),MAX(Z$1:Z189)+1,"")</f>
        <v/>
      </c>
    </row>
    <row r="191" customFormat="false" ht="15" hidden="false" customHeight="false" outlineLevel="0" collapsed="false">
      <c r="A191" s="18"/>
      <c r="B191" s="18"/>
      <c r="C191" s="18"/>
      <c r="D191" s="18"/>
      <c r="E191" s="18"/>
      <c r="F191" s="18"/>
      <c r="G191" s="18"/>
      <c r="H191" s="19"/>
      <c r="I191" s="18"/>
      <c r="J191" s="18"/>
      <c r="K191" s="20"/>
      <c r="L191" s="20"/>
      <c r="M191" s="20"/>
      <c r="N191" s="20"/>
      <c r="O191" s="21"/>
      <c r="P191" s="22" t="n">
        <f aca="false">IF(OR($A191="",N(K191)=0),0,CEILING(K191*(1+IF($O191="",Taux_Compta,$O191))-0.005,Pas_Arrondi))</f>
        <v>0</v>
      </c>
      <c r="Q191" s="22" t="n">
        <f aca="false">IF(OR($A191="",N(L191)=0),0,CEILING(L191*(1+IF($O191="",Taux_Paye,$O191))-0.005,Pas_Arrondi))</f>
        <v>0</v>
      </c>
      <c r="R191" s="22" t="n">
        <f aca="false">IF(OR($A191="",N(M191)=0),0,CEILING(M191*(1+IF($O191="",Taux_Jur,$O191))-0.005,Pas_Arrondi))</f>
        <v>0</v>
      </c>
      <c r="S191" s="22" t="n">
        <f aca="false">IF(OR($A191="",N(N191)=0),0,CEILING(N191*(1+IF($O191="",Taux_PA,$O191))-0.005,Pas_Arrondi))</f>
        <v>0</v>
      </c>
      <c r="T191" s="22" t="str">
        <f aca="false">IF($A191="","",SUM(K191:N191))</f>
        <v/>
      </c>
      <c r="U191" s="22" t="str">
        <f aca="false">IF($A191="","",SUM(P191:S191))</f>
        <v/>
      </c>
      <c r="V191" s="22" t="str">
        <f aca="false">IF($A191="","",U191-T191)</f>
        <v/>
      </c>
      <c r="W191" s="23" t="str">
        <f aca="false">IF(OR($A191="",N(T191)=0),"",V191/T191)</f>
        <v/>
      </c>
      <c r="X191" s="18"/>
      <c r="Y191" s="18"/>
      <c r="Z191" s="24" t="str">
        <f aca="false">IF(AND($A191&lt;&gt;"",$X191="Oui",OR(Filtre_Masse="Tous les clients à envoyer",$Y191&lt;&gt;"Email")),MAX(Z$1:Z190)+1,"")</f>
        <v/>
      </c>
    </row>
    <row r="192" customFormat="false" ht="15" hidden="false" customHeight="false" outlineLevel="0" collapsed="false">
      <c r="A192" s="18"/>
      <c r="B192" s="18"/>
      <c r="C192" s="18"/>
      <c r="D192" s="18"/>
      <c r="E192" s="18"/>
      <c r="F192" s="18"/>
      <c r="G192" s="18"/>
      <c r="H192" s="19"/>
      <c r="I192" s="18"/>
      <c r="J192" s="18"/>
      <c r="K192" s="20"/>
      <c r="L192" s="20"/>
      <c r="M192" s="20"/>
      <c r="N192" s="20"/>
      <c r="O192" s="21"/>
      <c r="P192" s="22" t="n">
        <f aca="false">IF(OR($A192="",N(K192)=0),0,CEILING(K192*(1+IF($O192="",Taux_Compta,$O192))-0.005,Pas_Arrondi))</f>
        <v>0</v>
      </c>
      <c r="Q192" s="22" t="n">
        <f aca="false">IF(OR($A192="",N(L192)=0),0,CEILING(L192*(1+IF($O192="",Taux_Paye,$O192))-0.005,Pas_Arrondi))</f>
        <v>0</v>
      </c>
      <c r="R192" s="22" t="n">
        <f aca="false">IF(OR($A192="",N(M192)=0),0,CEILING(M192*(1+IF($O192="",Taux_Jur,$O192))-0.005,Pas_Arrondi))</f>
        <v>0</v>
      </c>
      <c r="S192" s="22" t="n">
        <f aca="false">IF(OR($A192="",N(N192)=0),0,CEILING(N192*(1+IF($O192="",Taux_PA,$O192))-0.005,Pas_Arrondi))</f>
        <v>0</v>
      </c>
      <c r="T192" s="22" t="str">
        <f aca="false">IF($A192="","",SUM(K192:N192))</f>
        <v/>
      </c>
      <c r="U192" s="22" t="str">
        <f aca="false">IF($A192="","",SUM(P192:S192))</f>
        <v/>
      </c>
      <c r="V192" s="22" t="str">
        <f aca="false">IF($A192="","",U192-T192)</f>
        <v/>
      </c>
      <c r="W192" s="23" t="str">
        <f aca="false">IF(OR($A192="",N(T192)=0),"",V192/T192)</f>
        <v/>
      </c>
      <c r="X192" s="18"/>
      <c r="Y192" s="18"/>
      <c r="Z192" s="24" t="str">
        <f aca="false">IF(AND($A192&lt;&gt;"",$X192="Oui",OR(Filtre_Masse="Tous les clients à envoyer",$Y192&lt;&gt;"Email")),MAX(Z$1:Z191)+1,"")</f>
        <v/>
      </c>
    </row>
    <row r="193" customFormat="false" ht="15" hidden="false" customHeight="false" outlineLevel="0" collapsed="false">
      <c r="A193" s="18"/>
      <c r="B193" s="18"/>
      <c r="C193" s="18"/>
      <c r="D193" s="18"/>
      <c r="E193" s="18"/>
      <c r="F193" s="18"/>
      <c r="G193" s="18"/>
      <c r="H193" s="19"/>
      <c r="I193" s="18"/>
      <c r="J193" s="18"/>
      <c r="K193" s="20"/>
      <c r="L193" s="20"/>
      <c r="M193" s="20"/>
      <c r="N193" s="20"/>
      <c r="O193" s="21"/>
      <c r="P193" s="22" t="n">
        <f aca="false">IF(OR($A193="",N(K193)=0),0,CEILING(K193*(1+IF($O193="",Taux_Compta,$O193))-0.005,Pas_Arrondi))</f>
        <v>0</v>
      </c>
      <c r="Q193" s="22" t="n">
        <f aca="false">IF(OR($A193="",N(L193)=0),0,CEILING(L193*(1+IF($O193="",Taux_Paye,$O193))-0.005,Pas_Arrondi))</f>
        <v>0</v>
      </c>
      <c r="R193" s="22" t="n">
        <f aca="false">IF(OR($A193="",N(M193)=0),0,CEILING(M193*(1+IF($O193="",Taux_Jur,$O193))-0.005,Pas_Arrondi))</f>
        <v>0</v>
      </c>
      <c r="S193" s="22" t="n">
        <f aca="false">IF(OR($A193="",N(N193)=0),0,CEILING(N193*(1+IF($O193="",Taux_PA,$O193))-0.005,Pas_Arrondi))</f>
        <v>0</v>
      </c>
      <c r="T193" s="22" t="str">
        <f aca="false">IF($A193="","",SUM(K193:N193))</f>
        <v/>
      </c>
      <c r="U193" s="22" t="str">
        <f aca="false">IF($A193="","",SUM(P193:S193))</f>
        <v/>
      </c>
      <c r="V193" s="22" t="str">
        <f aca="false">IF($A193="","",U193-T193)</f>
        <v/>
      </c>
      <c r="W193" s="23" t="str">
        <f aca="false">IF(OR($A193="",N(T193)=0),"",V193/T193)</f>
        <v/>
      </c>
      <c r="X193" s="18"/>
      <c r="Y193" s="18"/>
      <c r="Z193" s="24" t="str">
        <f aca="false">IF(AND($A193&lt;&gt;"",$X193="Oui",OR(Filtre_Masse="Tous les clients à envoyer",$Y193&lt;&gt;"Email")),MAX(Z$1:Z192)+1,"")</f>
        <v/>
      </c>
    </row>
    <row r="194" customFormat="false" ht="15" hidden="false" customHeight="false" outlineLevel="0" collapsed="false">
      <c r="A194" s="18"/>
      <c r="B194" s="18"/>
      <c r="C194" s="18"/>
      <c r="D194" s="18"/>
      <c r="E194" s="18"/>
      <c r="F194" s="18"/>
      <c r="G194" s="18"/>
      <c r="H194" s="19"/>
      <c r="I194" s="18"/>
      <c r="J194" s="18"/>
      <c r="K194" s="20"/>
      <c r="L194" s="20"/>
      <c r="M194" s="20"/>
      <c r="N194" s="20"/>
      <c r="O194" s="21"/>
      <c r="P194" s="22" t="n">
        <f aca="false">IF(OR($A194="",N(K194)=0),0,CEILING(K194*(1+IF($O194="",Taux_Compta,$O194))-0.005,Pas_Arrondi))</f>
        <v>0</v>
      </c>
      <c r="Q194" s="22" t="n">
        <f aca="false">IF(OR($A194="",N(L194)=0),0,CEILING(L194*(1+IF($O194="",Taux_Paye,$O194))-0.005,Pas_Arrondi))</f>
        <v>0</v>
      </c>
      <c r="R194" s="22" t="n">
        <f aca="false">IF(OR($A194="",N(M194)=0),0,CEILING(M194*(1+IF($O194="",Taux_Jur,$O194))-0.005,Pas_Arrondi))</f>
        <v>0</v>
      </c>
      <c r="S194" s="22" t="n">
        <f aca="false">IF(OR($A194="",N(N194)=0),0,CEILING(N194*(1+IF($O194="",Taux_PA,$O194))-0.005,Pas_Arrondi))</f>
        <v>0</v>
      </c>
      <c r="T194" s="22" t="str">
        <f aca="false">IF($A194="","",SUM(K194:N194))</f>
        <v/>
      </c>
      <c r="U194" s="22" t="str">
        <f aca="false">IF($A194="","",SUM(P194:S194))</f>
        <v/>
      </c>
      <c r="V194" s="22" t="str">
        <f aca="false">IF($A194="","",U194-T194)</f>
        <v/>
      </c>
      <c r="W194" s="23" t="str">
        <f aca="false">IF(OR($A194="",N(T194)=0),"",V194/T194)</f>
        <v/>
      </c>
      <c r="X194" s="18"/>
      <c r="Y194" s="18"/>
      <c r="Z194" s="24" t="str">
        <f aca="false">IF(AND($A194&lt;&gt;"",$X194="Oui",OR(Filtre_Masse="Tous les clients à envoyer",$Y194&lt;&gt;"Email")),MAX(Z$1:Z193)+1,"")</f>
        <v/>
      </c>
    </row>
    <row r="195" customFormat="false" ht="15" hidden="false" customHeight="false" outlineLevel="0" collapsed="false">
      <c r="A195" s="18"/>
      <c r="B195" s="18"/>
      <c r="C195" s="18"/>
      <c r="D195" s="18"/>
      <c r="E195" s="18"/>
      <c r="F195" s="18"/>
      <c r="G195" s="18"/>
      <c r="H195" s="19"/>
      <c r="I195" s="18"/>
      <c r="J195" s="18"/>
      <c r="K195" s="20"/>
      <c r="L195" s="20"/>
      <c r="M195" s="20"/>
      <c r="N195" s="20"/>
      <c r="O195" s="21"/>
      <c r="P195" s="22" t="n">
        <f aca="false">IF(OR($A195="",N(K195)=0),0,CEILING(K195*(1+IF($O195="",Taux_Compta,$O195))-0.005,Pas_Arrondi))</f>
        <v>0</v>
      </c>
      <c r="Q195" s="22" t="n">
        <f aca="false">IF(OR($A195="",N(L195)=0),0,CEILING(L195*(1+IF($O195="",Taux_Paye,$O195))-0.005,Pas_Arrondi))</f>
        <v>0</v>
      </c>
      <c r="R195" s="22" t="n">
        <f aca="false">IF(OR($A195="",N(M195)=0),0,CEILING(M195*(1+IF($O195="",Taux_Jur,$O195))-0.005,Pas_Arrondi))</f>
        <v>0</v>
      </c>
      <c r="S195" s="22" t="n">
        <f aca="false">IF(OR($A195="",N(N195)=0),0,CEILING(N195*(1+IF($O195="",Taux_PA,$O195))-0.005,Pas_Arrondi))</f>
        <v>0</v>
      </c>
      <c r="T195" s="22" t="str">
        <f aca="false">IF($A195="","",SUM(K195:N195))</f>
        <v/>
      </c>
      <c r="U195" s="22" t="str">
        <f aca="false">IF($A195="","",SUM(P195:S195))</f>
        <v/>
      </c>
      <c r="V195" s="22" t="str">
        <f aca="false">IF($A195="","",U195-T195)</f>
        <v/>
      </c>
      <c r="W195" s="23" t="str">
        <f aca="false">IF(OR($A195="",N(T195)=0),"",V195/T195)</f>
        <v/>
      </c>
      <c r="X195" s="18"/>
      <c r="Y195" s="18"/>
      <c r="Z195" s="24" t="str">
        <f aca="false">IF(AND($A195&lt;&gt;"",$X195="Oui",OR(Filtre_Masse="Tous les clients à envoyer",$Y195&lt;&gt;"Email")),MAX(Z$1:Z194)+1,"")</f>
        <v/>
      </c>
    </row>
    <row r="196" customFormat="false" ht="15" hidden="false" customHeight="false" outlineLevel="0" collapsed="false">
      <c r="A196" s="18"/>
      <c r="B196" s="18"/>
      <c r="C196" s="18"/>
      <c r="D196" s="18"/>
      <c r="E196" s="18"/>
      <c r="F196" s="18"/>
      <c r="G196" s="18"/>
      <c r="H196" s="19"/>
      <c r="I196" s="18"/>
      <c r="J196" s="18"/>
      <c r="K196" s="20"/>
      <c r="L196" s="20"/>
      <c r="M196" s="20"/>
      <c r="N196" s="20"/>
      <c r="O196" s="21"/>
      <c r="P196" s="22" t="n">
        <f aca="false">IF(OR($A196="",N(K196)=0),0,CEILING(K196*(1+IF($O196="",Taux_Compta,$O196))-0.005,Pas_Arrondi))</f>
        <v>0</v>
      </c>
      <c r="Q196" s="22" t="n">
        <f aca="false">IF(OR($A196="",N(L196)=0),0,CEILING(L196*(1+IF($O196="",Taux_Paye,$O196))-0.005,Pas_Arrondi))</f>
        <v>0</v>
      </c>
      <c r="R196" s="22" t="n">
        <f aca="false">IF(OR($A196="",N(M196)=0),0,CEILING(M196*(1+IF($O196="",Taux_Jur,$O196))-0.005,Pas_Arrondi))</f>
        <v>0</v>
      </c>
      <c r="S196" s="22" t="n">
        <f aca="false">IF(OR($A196="",N(N196)=0),0,CEILING(N196*(1+IF($O196="",Taux_PA,$O196))-0.005,Pas_Arrondi))</f>
        <v>0</v>
      </c>
      <c r="T196" s="22" t="str">
        <f aca="false">IF($A196="","",SUM(K196:N196))</f>
        <v/>
      </c>
      <c r="U196" s="22" t="str">
        <f aca="false">IF($A196="","",SUM(P196:S196))</f>
        <v/>
      </c>
      <c r="V196" s="22" t="str">
        <f aca="false">IF($A196="","",U196-T196)</f>
        <v/>
      </c>
      <c r="W196" s="23" t="str">
        <f aca="false">IF(OR($A196="",N(T196)=0),"",V196/T196)</f>
        <v/>
      </c>
      <c r="X196" s="18"/>
      <c r="Y196" s="18"/>
      <c r="Z196" s="24" t="str">
        <f aca="false">IF(AND($A196&lt;&gt;"",$X196="Oui",OR(Filtre_Masse="Tous les clients à envoyer",$Y196&lt;&gt;"Email")),MAX(Z$1:Z195)+1,"")</f>
        <v/>
      </c>
    </row>
    <row r="197" customFormat="false" ht="15" hidden="false" customHeight="false" outlineLevel="0" collapsed="false">
      <c r="A197" s="18"/>
      <c r="B197" s="18"/>
      <c r="C197" s="18"/>
      <c r="D197" s="18"/>
      <c r="E197" s="18"/>
      <c r="F197" s="18"/>
      <c r="G197" s="18"/>
      <c r="H197" s="19"/>
      <c r="I197" s="18"/>
      <c r="J197" s="18"/>
      <c r="K197" s="20"/>
      <c r="L197" s="20"/>
      <c r="M197" s="20"/>
      <c r="N197" s="20"/>
      <c r="O197" s="21"/>
      <c r="P197" s="22" t="n">
        <f aca="false">IF(OR($A197="",N(K197)=0),0,CEILING(K197*(1+IF($O197="",Taux_Compta,$O197))-0.005,Pas_Arrondi))</f>
        <v>0</v>
      </c>
      <c r="Q197" s="22" t="n">
        <f aca="false">IF(OR($A197="",N(L197)=0),0,CEILING(L197*(1+IF($O197="",Taux_Paye,$O197))-0.005,Pas_Arrondi))</f>
        <v>0</v>
      </c>
      <c r="R197" s="22" t="n">
        <f aca="false">IF(OR($A197="",N(M197)=0),0,CEILING(M197*(1+IF($O197="",Taux_Jur,$O197))-0.005,Pas_Arrondi))</f>
        <v>0</v>
      </c>
      <c r="S197" s="22" t="n">
        <f aca="false">IF(OR($A197="",N(N197)=0),0,CEILING(N197*(1+IF($O197="",Taux_PA,$O197))-0.005,Pas_Arrondi))</f>
        <v>0</v>
      </c>
      <c r="T197" s="22" t="str">
        <f aca="false">IF($A197="","",SUM(K197:N197))</f>
        <v/>
      </c>
      <c r="U197" s="22" t="str">
        <f aca="false">IF($A197="","",SUM(P197:S197))</f>
        <v/>
      </c>
      <c r="V197" s="22" t="str">
        <f aca="false">IF($A197="","",U197-T197)</f>
        <v/>
      </c>
      <c r="W197" s="23" t="str">
        <f aca="false">IF(OR($A197="",N(T197)=0),"",V197/T197)</f>
        <v/>
      </c>
      <c r="X197" s="18"/>
      <c r="Y197" s="18"/>
      <c r="Z197" s="24" t="str">
        <f aca="false">IF(AND($A197&lt;&gt;"",$X197="Oui",OR(Filtre_Masse="Tous les clients à envoyer",$Y197&lt;&gt;"Email")),MAX(Z$1:Z196)+1,"")</f>
        <v/>
      </c>
    </row>
    <row r="198" customFormat="false" ht="15" hidden="false" customHeight="false" outlineLevel="0" collapsed="false">
      <c r="A198" s="18"/>
      <c r="B198" s="18"/>
      <c r="C198" s="18"/>
      <c r="D198" s="18"/>
      <c r="E198" s="18"/>
      <c r="F198" s="18"/>
      <c r="G198" s="18"/>
      <c r="H198" s="19"/>
      <c r="I198" s="18"/>
      <c r="J198" s="18"/>
      <c r="K198" s="20"/>
      <c r="L198" s="20"/>
      <c r="M198" s="20"/>
      <c r="N198" s="20"/>
      <c r="O198" s="21"/>
      <c r="P198" s="22" t="n">
        <f aca="false">IF(OR($A198="",N(K198)=0),0,CEILING(K198*(1+IF($O198="",Taux_Compta,$O198))-0.005,Pas_Arrondi))</f>
        <v>0</v>
      </c>
      <c r="Q198" s="22" t="n">
        <f aca="false">IF(OR($A198="",N(L198)=0),0,CEILING(L198*(1+IF($O198="",Taux_Paye,$O198))-0.005,Pas_Arrondi))</f>
        <v>0</v>
      </c>
      <c r="R198" s="22" t="n">
        <f aca="false">IF(OR($A198="",N(M198)=0),0,CEILING(M198*(1+IF($O198="",Taux_Jur,$O198))-0.005,Pas_Arrondi))</f>
        <v>0</v>
      </c>
      <c r="S198" s="22" t="n">
        <f aca="false">IF(OR($A198="",N(N198)=0),0,CEILING(N198*(1+IF($O198="",Taux_PA,$O198))-0.005,Pas_Arrondi))</f>
        <v>0</v>
      </c>
      <c r="T198" s="22" t="str">
        <f aca="false">IF($A198="","",SUM(K198:N198))</f>
        <v/>
      </c>
      <c r="U198" s="22" t="str">
        <f aca="false">IF($A198="","",SUM(P198:S198))</f>
        <v/>
      </c>
      <c r="V198" s="22" t="str">
        <f aca="false">IF($A198="","",U198-T198)</f>
        <v/>
      </c>
      <c r="W198" s="23" t="str">
        <f aca="false">IF(OR($A198="",N(T198)=0),"",V198/T198)</f>
        <v/>
      </c>
      <c r="X198" s="18"/>
      <c r="Y198" s="18"/>
      <c r="Z198" s="24" t="str">
        <f aca="false">IF(AND($A198&lt;&gt;"",$X198="Oui",OR(Filtre_Masse="Tous les clients à envoyer",$Y198&lt;&gt;"Email")),MAX(Z$1:Z197)+1,"")</f>
        <v/>
      </c>
    </row>
    <row r="199" customFormat="false" ht="15" hidden="false" customHeight="false" outlineLevel="0" collapsed="false">
      <c r="A199" s="18"/>
      <c r="B199" s="18"/>
      <c r="C199" s="18"/>
      <c r="D199" s="18"/>
      <c r="E199" s="18"/>
      <c r="F199" s="18"/>
      <c r="G199" s="18"/>
      <c r="H199" s="19"/>
      <c r="I199" s="18"/>
      <c r="J199" s="18"/>
      <c r="K199" s="20"/>
      <c r="L199" s="20"/>
      <c r="M199" s="20"/>
      <c r="N199" s="20"/>
      <c r="O199" s="21"/>
      <c r="P199" s="22" t="n">
        <f aca="false">IF(OR($A199="",N(K199)=0),0,CEILING(K199*(1+IF($O199="",Taux_Compta,$O199))-0.005,Pas_Arrondi))</f>
        <v>0</v>
      </c>
      <c r="Q199" s="22" t="n">
        <f aca="false">IF(OR($A199="",N(L199)=0),0,CEILING(L199*(1+IF($O199="",Taux_Paye,$O199))-0.005,Pas_Arrondi))</f>
        <v>0</v>
      </c>
      <c r="R199" s="22" t="n">
        <f aca="false">IF(OR($A199="",N(M199)=0),0,CEILING(M199*(1+IF($O199="",Taux_Jur,$O199))-0.005,Pas_Arrondi))</f>
        <v>0</v>
      </c>
      <c r="S199" s="22" t="n">
        <f aca="false">IF(OR($A199="",N(N199)=0),0,CEILING(N199*(1+IF($O199="",Taux_PA,$O199))-0.005,Pas_Arrondi))</f>
        <v>0</v>
      </c>
      <c r="T199" s="22" t="str">
        <f aca="false">IF($A199="","",SUM(K199:N199))</f>
        <v/>
      </c>
      <c r="U199" s="22" t="str">
        <f aca="false">IF($A199="","",SUM(P199:S199))</f>
        <v/>
      </c>
      <c r="V199" s="22" t="str">
        <f aca="false">IF($A199="","",U199-T199)</f>
        <v/>
      </c>
      <c r="W199" s="23" t="str">
        <f aca="false">IF(OR($A199="",N(T199)=0),"",V199/T199)</f>
        <v/>
      </c>
      <c r="X199" s="18"/>
      <c r="Y199" s="18"/>
      <c r="Z199" s="24" t="str">
        <f aca="false">IF(AND($A199&lt;&gt;"",$X199="Oui",OR(Filtre_Masse="Tous les clients à envoyer",$Y199&lt;&gt;"Email")),MAX(Z$1:Z198)+1,"")</f>
        <v/>
      </c>
    </row>
    <row r="200" customFormat="false" ht="15" hidden="false" customHeight="false" outlineLevel="0" collapsed="false">
      <c r="A200" s="18"/>
      <c r="B200" s="18"/>
      <c r="C200" s="18"/>
      <c r="D200" s="18"/>
      <c r="E200" s="18"/>
      <c r="F200" s="18"/>
      <c r="G200" s="18"/>
      <c r="H200" s="19"/>
      <c r="I200" s="18"/>
      <c r="J200" s="18"/>
      <c r="K200" s="20"/>
      <c r="L200" s="20"/>
      <c r="M200" s="20"/>
      <c r="N200" s="20"/>
      <c r="O200" s="21"/>
      <c r="P200" s="22" t="n">
        <f aca="false">IF(OR($A200="",N(K200)=0),0,CEILING(K200*(1+IF($O200="",Taux_Compta,$O200))-0.005,Pas_Arrondi))</f>
        <v>0</v>
      </c>
      <c r="Q200" s="22" t="n">
        <f aca="false">IF(OR($A200="",N(L200)=0),0,CEILING(L200*(1+IF($O200="",Taux_Paye,$O200))-0.005,Pas_Arrondi))</f>
        <v>0</v>
      </c>
      <c r="R200" s="22" t="n">
        <f aca="false">IF(OR($A200="",N(M200)=0),0,CEILING(M200*(1+IF($O200="",Taux_Jur,$O200))-0.005,Pas_Arrondi))</f>
        <v>0</v>
      </c>
      <c r="S200" s="22" t="n">
        <f aca="false">IF(OR($A200="",N(N200)=0),0,CEILING(N200*(1+IF($O200="",Taux_PA,$O200))-0.005,Pas_Arrondi))</f>
        <v>0</v>
      </c>
      <c r="T200" s="22" t="str">
        <f aca="false">IF($A200="","",SUM(K200:N200))</f>
        <v/>
      </c>
      <c r="U200" s="22" t="str">
        <f aca="false">IF($A200="","",SUM(P200:S200))</f>
        <v/>
      </c>
      <c r="V200" s="22" t="str">
        <f aca="false">IF($A200="","",U200-T200)</f>
        <v/>
      </c>
      <c r="W200" s="23" t="str">
        <f aca="false">IF(OR($A200="",N(T200)=0),"",V200/T200)</f>
        <v/>
      </c>
      <c r="X200" s="18"/>
      <c r="Y200" s="18"/>
      <c r="Z200" s="24" t="str">
        <f aca="false">IF(AND($A200&lt;&gt;"",$X200="Oui",OR(Filtre_Masse="Tous les clients à envoyer",$Y200&lt;&gt;"Email")),MAX(Z$1:Z199)+1,"")</f>
        <v/>
      </c>
    </row>
    <row r="201" customFormat="false" ht="15" hidden="false" customHeight="false" outlineLevel="0" collapsed="false">
      <c r="A201" s="18"/>
      <c r="B201" s="18"/>
      <c r="C201" s="18"/>
      <c r="D201" s="18"/>
      <c r="E201" s="18"/>
      <c r="F201" s="18"/>
      <c r="G201" s="18"/>
      <c r="H201" s="19"/>
      <c r="I201" s="18"/>
      <c r="J201" s="18"/>
      <c r="K201" s="20"/>
      <c r="L201" s="20"/>
      <c r="M201" s="20"/>
      <c r="N201" s="20"/>
      <c r="O201" s="21"/>
      <c r="P201" s="22" t="n">
        <f aca="false">IF(OR($A201="",N(K201)=0),0,CEILING(K201*(1+IF($O201="",Taux_Compta,$O201))-0.005,Pas_Arrondi))</f>
        <v>0</v>
      </c>
      <c r="Q201" s="22" t="n">
        <f aca="false">IF(OR($A201="",N(L201)=0),0,CEILING(L201*(1+IF($O201="",Taux_Paye,$O201))-0.005,Pas_Arrondi))</f>
        <v>0</v>
      </c>
      <c r="R201" s="22" t="n">
        <f aca="false">IF(OR($A201="",N(M201)=0),0,CEILING(M201*(1+IF($O201="",Taux_Jur,$O201))-0.005,Pas_Arrondi))</f>
        <v>0</v>
      </c>
      <c r="S201" s="22" t="n">
        <f aca="false">IF(OR($A201="",N(N201)=0),0,CEILING(N201*(1+IF($O201="",Taux_PA,$O201))-0.005,Pas_Arrondi))</f>
        <v>0</v>
      </c>
      <c r="T201" s="22" t="str">
        <f aca="false">IF($A201="","",SUM(K201:N201))</f>
        <v/>
      </c>
      <c r="U201" s="22" t="str">
        <f aca="false">IF($A201="","",SUM(P201:S201))</f>
        <v/>
      </c>
      <c r="V201" s="22" t="str">
        <f aca="false">IF($A201="","",U201-T201)</f>
        <v/>
      </c>
      <c r="W201" s="23" t="str">
        <f aca="false">IF(OR($A201="",N(T201)=0),"",V201/T201)</f>
        <v/>
      </c>
      <c r="X201" s="18"/>
      <c r="Y201" s="18"/>
      <c r="Z201" s="24" t="str">
        <f aca="false">IF(AND($A201&lt;&gt;"",$X201="Oui",OR(Filtre_Masse="Tous les clients à envoyer",$Y201&lt;&gt;"Email")),MAX(Z$1:Z200)+1,"")</f>
        <v/>
      </c>
    </row>
    <row r="202" customFormat="false" ht="15" hidden="false" customHeight="false" outlineLevel="0" collapsed="false">
      <c r="A202" s="18"/>
      <c r="B202" s="18"/>
      <c r="C202" s="18"/>
      <c r="D202" s="18"/>
      <c r="E202" s="18"/>
      <c r="F202" s="18"/>
      <c r="G202" s="18"/>
      <c r="H202" s="19"/>
      <c r="I202" s="18"/>
      <c r="J202" s="18"/>
      <c r="K202" s="20"/>
      <c r="L202" s="20"/>
      <c r="M202" s="20"/>
      <c r="N202" s="20"/>
      <c r="O202" s="21"/>
      <c r="P202" s="22" t="n">
        <f aca="false">IF(OR($A202="",N(K202)=0),0,CEILING(K202*(1+IF($O202="",Taux_Compta,$O202))-0.005,Pas_Arrondi))</f>
        <v>0</v>
      </c>
      <c r="Q202" s="22" t="n">
        <f aca="false">IF(OR($A202="",N(L202)=0),0,CEILING(L202*(1+IF($O202="",Taux_Paye,$O202))-0.005,Pas_Arrondi))</f>
        <v>0</v>
      </c>
      <c r="R202" s="22" t="n">
        <f aca="false">IF(OR($A202="",N(M202)=0),0,CEILING(M202*(1+IF($O202="",Taux_Jur,$O202))-0.005,Pas_Arrondi))</f>
        <v>0</v>
      </c>
      <c r="S202" s="22" t="n">
        <f aca="false">IF(OR($A202="",N(N202)=0),0,CEILING(N202*(1+IF($O202="",Taux_PA,$O202))-0.005,Pas_Arrondi))</f>
        <v>0</v>
      </c>
      <c r="T202" s="22" t="str">
        <f aca="false">IF($A202="","",SUM(K202:N202))</f>
        <v/>
      </c>
      <c r="U202" s="22" t="str">
        <f aca="false">IF($A202="","",SUM(P202:S202))</f>
        <v/>
      </c>
      <c r="V202" s="22" t="str">
        <f aca="false">IF($A202="","",U202-T202)</f>
        <v/>
      </c>
      <c r="W202" s="23" t="str">
        <f aca="false">IF(OR($A202="",N(T202)=0),"",V202/T202)</f>
        <v/>
      </c>
      <c r="X202" s="18"/>
      <c r="Y202" s="18"/>
      <c r="Z202" s="24" t="str">
        <f aca="false">IF(AND($A202&lt;&gt;"",$X202="Oui",OR(Filtre_Masse="Tous les clients à envoyer",$Y202&lt;&gt;"Email")),MAX(Z$1:Z201)+1,"")</f>
        <v/>
      </c>
    </row>
    <row r="203" customFormat="false" ht="15" hidden="false" customHeight="false" outlineLevel="0" collapsed="false">
      <c r="A203" s="18"/>
      <c r="B203" s="18"/>
      <c r="C203" s="18"/>
      <c r="D203" s="18"/>
      <c r="E203" s="18"/>
      <c r="F203" s="18"/>
      <c r="G203" s="18"/>
      <c r="H203" s="19"/>
      <c r="I203" s="18"/>
      <c r="J203" s="18"/>
      <c r="K203" s="20"/>
      <c r="L203" s="20"/>
      <c r="M203" s="20"/>
      <c r="N203" s="20"/>
      <c r="O203" s="21"/>
      <c r="P203" s="22" t="n">
        <f aca="false">IF(OR($A203="",N(K203)=0),0,CEILING(K203*(1+IF($O203="",Taux_Compta,$O203))-0.005,Pas_Arrondi))</f>
        <v>0</v>
      </c>
      <c r="Q203" s="22" t="n">
        <f aca="false">IF(OR($A203="",N(L203)=0),0,CEILING(L203*(1+IF($O203="",Taux_Paye,$O203))-0.005,Pas_Arrondi))</f>
        <v>0</v>
      </c>
      <c r="R203" s="22" t="n">
        <f aca="false">IF(OR($A203="",N(M203)=0),0,CEILING(M203*(1+IF($O203="",Taux_Jur,$O203))-0.005,Pas_Arrondi))</f>
        <v>0</v>
      </c>
      <c r="S203" s="22" t="n">
        <f aca="false">IF(OR($A203="",N(N203)=0),0,CEILING(N203*(1+IF($O203="",Taux_PA,$O203))-0.005,Pas_Arrondi))</f>
        <v>0</v>
      </c>
      <c r="T203" s="22" t="str">
        <f aca="false">IF($A203="","",SUM(K203:N203))</f>
        <v/>
      </c>
      <c r="U203" s="22" t="str">
        <f aca="false">IF($A203="","",SUM(P203:S203))</f>
        <v/>
      </c>
      <c r="V203" s="22" t="str">
        <f aca="false">IF($A203="","",U203-T203)</f>
        <v/>
      </c>
      <c r="W203" s="23" t="str">
        <f aca="false">IF(OR($A203="",N(T203)=0),"",V203/T203)</f>
        <v/>
      </c>
      <c r="X203" s="18"/>
      <c r="Y203" s="18"/>
      <c r="Z203" s="24" t="str">
        <f aca="false">IF(AND($A203&lt;&gt;"",$X203="Oui",OR(Filtre_Masse="Tous les clients à envoyer",$Y203&lt;&gt;"Email")),MAX(Z$1:Z202)+1,"")</f>
        <v/>
      </c>
    </row>
    <row r="204" customFormat="false" ht="15" hidden="false" customHeight="false" outlineLevel="0" collapsed="false">
      <c r="A204" s="18"/>
      <c r="B204" s="18"/>
      <c r="C204" s="18"/>
      <c r="D204" s="18"/>
      <c r="E204" s="18"/>
      <c r="F204" s="18"/>
      <c r="G204" s="18"/>
      <c r="H204" s="19"/>
      <c r="I204" s="18"/>
      <c r="J204" s="18"/>
      <c r="K204" s="20"/>
      <c r="L204" s="20"/>
      <c r="M204" s="20"/>
      <c r="N204" s="20"/>
      <c r="O204" s="21"/>
      <c r="P204" s="22" t="n">
        <f aca="false">IF(OR($A204="",N(K204)=0),0,CEILING(K204*(1+IF($O204="",Taux_Compta,$O204))-0.005,Pas_Arrondi))</f>
        <v>0</v>
      </c>
      <c r="Q204" s="22" t="n">
        <f aca="false">IF(OR($A204="",N(L204)=0),0,CEILING(L204*(1+IF($O204="",Taux_Paye,$O204))-0.005,Pas_Arrondi))</f>
        <v>0</v>
      </c>
      <c r="R204" s="22" t="n">
        <f aca="false">IF(OR($A204="",N(M204)=0),0,CEILING(M204*(1+IF($O204="",Taux_Jur,$O204))-0.005,Pas_Arrondi))</f>
        <v>0</v>
      </c>
      <c r="S204" s="22" t="n">
        <f aca="false">IF(OR($A204="",N(N204)=0),0,CEILING(N204*(1+IF($O204="",Taux_PA,$O204))-0.005,Pas_Arrondi))</f>
        <v>0</v>
      </c>
      <c r="T204" s="22" t="str">
        <f aca="false">IF($A204="","",SUM(K204:N204))</f>
        <v/>
      </c>
      <c r="U204" s="22" t="str">
        <f aca="false">IF($A204="","",SUM(P204:S204))</f>
        <v/>
      </c>
      <c r="V204" s="22" t="str">
        <f aca="false">IF($A204="","",U204-T204)</f>
        <v/>
      </c>
      <c r="W204" s="23" t="str">
        <f aca="false">IF(OR($A204="",N(T204)=0),"",V204/T204)</f>
        <v/>
      </c>
      <c r="X204" s="18"/>
      <c r="Y204" s="18"/>
      <c r="Z204" s="24" t="str">
        <f aca="false">IF(AND($A204&lt;&gt;"",$X204="Oui",OR(Filtre_Masse="Tous les clients à envoyer",$Y204&lt;&gt;"Email")),MAX(Z$1:Z203)+1,"")</f>
        <v/>
      </c>
    </row>
    <row r="205" customFormat="false" ht="15" hidden="false" customHeight="false" outlineLevel="0" collapsed="false">
      <c r="A205" s="18"/>
      <c r="B205" s="18"/>
      <c r="C205" s="18"/>
      <c r="D205" s="18"/>
      <c r="E205" s="18"/>
      <c r="F205" s="18"/>
      <c r="G205" s="18"/>
      <c r="H205" s="19"/>
      <c r="I205" s="18"/>
      <c r="J205" s="18"/>
      <c r="K205" s="20"/>
      <c r="L205" s="20"/>
      <c r="M205" s="20"/>
      <c r="N205" s="20"/>
      <c r="O205" s="21"/>
      <c r="P205" s="22" t="n">
        <f aca="false">IF(OR($A205="",N(K205)=0),0,CEILING(K205*(1+IF($O205="",Taux_Compta,$O205))-0.005,Pas_Arrondi))</f>
        <v>0</v>
      </c>
      <c r="Q205" s="22" t="n">
        <f aca="false">IF(OR($A205="",N(L205)=0),0,CEILING(L205*(1+IF($O205="",Taux_Paye,$O205))-0.005,Pas_Arrondi))</f>
        <v>0</v>
      </c>
      <c r="R205" s="22" t="n">
        <f aca="false">IF(OR($A205="",N(M205)=0),0,CEILING(M205*(1+IF($O205="",Taux_Jur,$O205))-0.005,Pas_Arrondi))</f>
        <v>0</v>
      </c>
      <c r="S205" s="22" t="n">
        <f aca="false">IF(OR($A205="",N(N205)=0),0,CEILING(N205*(1+IF($O205="",Taux_PA,$O205))-0.005,Pas_Arrondi))</f>
        <v>0</v>
      </c>
      <c r="T205" s="22" t="str">
        <f aca="false">IF($A205="","",SUM(K205:N205))</f>
        <v/>
      </c>
      <c r="U205" s="22" t="str">
        <f aca="false">IF($A205="","",SUM(P205:S205))</f>
        <v/>
      </c>
      <c r="V205" s="22" t="str">
        <f aca="false">IF($A205="","",U205-T205)</f>
        <v/>
      </c>
      <c r="W205" s="23" t="str">
        <f aca="false">IF(OR($A205="",N(T205)=0),"",V205/T205)</f>
        <v/>
      </c>
      <c r="X205" s="18"/>
      <c r="Y205" s="18"/>
      <c r="Z205" s="24" t="str">
        <f aca="false">IF(AND($A205&lt;&gt;"",$X205="Oui",OR(Filtre_Masse="Tous les clients à envoyer",$Y205&lt;&gt;"Email")),MAX(Z$1:Z204)+1,"")</f>
        <v/>
      </c>
    </row>
    <row r="206" customFormat="false" ht="15" hidden="false" customHeight="false" outlineLevel="0" collapsed="false">
      <c r="A206" s="18"/>
      <c r="B206" s="18"/>
      <c r="C206" s="18"/>
      <c r="D206" s="18"/>
      <c r="E206" s="18"/>
      <c r="F206" s="18"/>
      <c r="G206" s="18"/>
      <c r="H206" s="19"/>
      <c r="I206" s="18"/>
      <c r="J206" s="18"/>
      <c r="K206" s="20"/>
      <c r="L206" s="20"/>
      <c r="M206" s="20"/>
      <c r="N206" s="20"/>
      <c r="O206" s="21"/>
      <c r="P206" s="22" t="n">
        <f aca="false">IF(OR($A206="",N(K206)=0),0,CEILING(K206*(1+IF($O206="",Taux_Compta,$O206))-0.005,Pas_Arrondi))</f>
        <v>0</v>
      </c>
      <c r="Q206" s="22" t="n">
        <f aca="false">IF(OR($A206="",N(L206)=0),0,CEILING(L206*(1+IF($O206="",Taux_Paye,$O206))-0.005,Pas_Arrondi))</f>
        <v>0</v>
      </c>
      <c r="R206" s="22" t="n">
        <f aca="false">IF(OR($A206="",N(M206)=0),0,CEILING(M206*(1+IF($O206="",Taux_Jur,$O206))-0.005,Pas_Arrondi))</f>
        <v>0</v>
      </c>
      <c r="S206" s="22" t="n">
        <f aca="false">IF(OR($A206="",N(N206)=0),0,CEILING(N206*(1+IF($O206="",Taux_PA,$O206))-0.005,Pas_Arrondi))</f>
        <v>0</v>
      </c>
      <c r="T206" s="22" t="str">
        <f aca="false">IF($A206="","",SUM(K206:N206))</f>
        <v/>
      </c>
      <c r="U206" s="22" t="str">
        <f aca="false">IF($A206="","",SUM(P206:S206))</f>
        <v/>
      </c>
      <c r="V206" s="22" t="str">
        <f aca="false">IF($A206="","",U206-T206)</f>
        <v/>
      </c>
      <c r="W206" s="23" t="str">
        <f aca="false">IF(OR($A206="",N(T206)=0),"",V206/T206)</f>
        <v/>
      </c>
      <c r="X206" s="18"/>
      <c r="Y206" s="18"/>
      <c r="Z206" s="24" t="str">
        <f aca="false">IF(AND($A206&lt;&gt;"",$X206="Oui",OR(Filtre_Masse="Tous les clients à envoyer",$Y206&lt;&gt;"Email")),MAX(Z$1:Z205)+1,"")</f>
        <v/>
      </c>
    </row>
    <row r="207" customFormat="false" ht="15" hidden="false" customHeight="false" outlineLevel="0" collapsed="false">
      <c r="A207" s="18"/>
      <c r="B207" s="18"/>
      <c r="C207" s="18"/>
      <c r="D207" s="18"/>
      <c r="E207" s="18"/>
      <c r="F207" s="18"/>
      <c r="G207" s="18"/>
      <c r="H207" s="19"/>
      <c r="I207" s="18"/>
      <c r="J207" s="18"/>
      <c r="K207" s="20"/>
      <c r="L207" s="20"/>
      <c r="M207" s="20"/>
      <c r="N207" s="20"/>
      <c r="O207" s="21"/>
      <c r="P207" s="22" t="n">
        <f aca="false">IF(OR($A207="",N(K207)=0),0,CEILING(K207*(1+IF($O207="",Taux_Compta,$O207))-0.005,Pas_Arrondi))</f>
        <v>0</v>
      </c>
      <c r="Q207" s="22" t="n">
        <f aca="false">IF(OR($A207="",N(L207)=0),0,CEILING(L207*(1+IF($O207="",Taux_Paye,$O207))-0.005,Pas_Arrondi))</f>
        <v>0</v>
      </c>
      <c r="R207" s="22" t="n">
        <f aca="false">IF(OR($A207="",N(M207)=0),0,CEILING(M207*(1+IF($O207="",Taux_Jur,$O207))-0.005,Pas_Arrondi))</f>
        <v>0</v>
      </c>
      <c r="S207" s="22" t="n">
        <f aca="false">IF(OR($A207="",N(N207)=0),0,CEILING(N207*(1+IF($O207="",Taux_PA,$O207))-0.005,Pas_Arrondi))</f>
        <v>0</v>
      </c>
      <c r="T207" s="22" t="str">
        <f aca="false">IF($A207="","",SUM(K207:N207))</f>
        <v/>
      </c>
      <c r="U207" s="22" t="str">
        <f aca="false">IF($A207="","",SUM(P207:S207))</f>
        <v/>
      </c>
      <c r="V207" s="22" t="str">
        <f aca="false">IF($A207="","",U207-T207)</f>
        <v/>
      </c>
      <c r="W207" s="23" t="str">
        <f aca="false">IF(OR($A207="",N(T207)=0),"",V207/T207)</f>
        <v/>
      </c>
      <c r="X207" s="18"/>
      <c r="Y207" s="18"/>
      <c r="Z207" s="24" t="str">
        <f aca="false">IF(AND($A207&lt;&gt;"",$X207="Oui",OR(Filtre_Masse="Tous les clients à envoyer",$Y207&lt;&gt;"Email")),MAX(Z$1:Z206)+1,"")</f>
        <v/>
      </c>
    </row>
    <row r="208" customFormat="false" ht="15" hidden="false" customHeight="false" outlineLevel="0" collapsed="false">
      <c r="A208" s="18"/>
      <c r="B208" s="18"/>
      <c r="C208" s="18"/>
      <c r="D208" s="18"/>
      <c r="E208" s="18"/>
      <c r="F208" s="18"/>
      <c r="G208" s="18"/>
      <c r="H208" s="19"/>
      <c r="I208" s="18"/>
      <c r="J208" s="18"/>
      <c r="K208" s="20"/>
      <c r="L208" s="20"/>
      <c r="M208" s="20"/>
      <c r="N208" s="20"/>
      <c r="O208" s="21"/>
      <c r="P208" s="22" t="n">
        <f aca="false">IF(OR($A208="",N(K208)=0),0,CEILING(K208*(1+IF($O208="",Taux_Compta,$O208))-0.005,Pas_Arrondi))</f>
        <v>0</v>
      </c>
      <c r="Q208" s="22" t="n">
        <f aca="false">IF(OR($A208="",N(L208)=0),0,CEILING(L208*(1+IF($O208="",Taux_Paye,$O208))-0.005,Pas_Arrondi))</f>
        <v>0</v>
      </c>
      <c r="R208" s="22" t="n">
        <f aca="false">IF(OR($A208="",N(M208)=0),0,CEILING(M208*(1+IF($O208="",Taux_Jur,$O208))-0.005,Pas_Arrondi))</f>
        <v>0</v>
      </c>
      <c r="S208" s="22" t="n">
        <f aca="false">IF(OR($A208="",N(N208)=0),0,CEILING(N208*(1+IF($O208="",Taux_PA,$O208))-0.005,Pas_Arrondi))</f>
        <v>0</v>
      </c>
      <c r="T208" s="22" t="str">
        <f aca="false">IF($A208="","",SUM(K208:N208))</f>
        <v/>
      </c>
      <c r="U208" s="22" t="str">
        <f aca="false">IF($A208="","",SUM(P208:S208))</f>
        <v/>
      </c>
      <c r="V208" s="22" t="str">
        <f aca="false">IF($A208="","",U208-T208)</f>
        <v/>
      </c>
      <c r="W208" s="23" t="str">
        <f aca="false">IF(OR($A208="",N(T208)=0),"",V208/T208)</f>
        <v/>
      </c>
      <c r="X208" s="18"/>
      <c r="Y208" s="18"/>
      <c r="Z208" s="24" t="str">
        <f aca="false">IF(AND($A208&lt;&gt;"",$X208="Oui",OR(Filtre_Masse="Tous les clients à envoyer",$Y208&lt;&gt;"Email")),MAX(Z$1:Z207)+1,"")</f>
        <v/>
      </c>
    </row>
    <row r="209" customFormat="false" ht="15" hidden="false" customHeight="false" outlineLevel="0" collapsed="false">
      <c r="A209" s="18"/>
      <c r="B209" s="18"/>
      <c r="C209" s="18"/>
      <c r="D209" s="18"/>
      <c r="E209" s="18"/>
      <c r="F209" s="18"/>
      <c r="G209" s="18"/>
      <c r="H209" s="19"/>
      <c r="I209" s="18"/>
      <c r="J209" s="18"/>
      <c r="K209" s="20"/>
      <c r="L209" s="20"/>
      <c r="M209" s="20"/>
      <c r="N209" s="20"/>
      <c r="O209" s="21"/>
      <c r="P209" s="22" t="n">
        <f aca="false">IF(OR($A209="",N(K209)=0),0,CEILING(K209*(1+IF($O209="",Taux_Compta,$O209))-0.005,Pas_Arrondi))</f>
        <v>0</v>
      </c>
      <c r="Q209" s="22" t="n">
        <f aca="false">IF(OR($A209="",N(L209)=0),0,CEILING(L209*(1+IF($O209="",Taux_Paye,$O209))-0.005,Pas_Arrondi))</f>
        <v>0</v>
      </c>
      <c r="R209" s="22" t="n">
        <f aca="false">IF(OR($A209="",N(M209)=0),0,CEILING(M209*(1+IF($O209="",Taux_Jur,$O209))-0.005,Pas_Arrondi))</f>
        <v>0</v>
      </c>
      <c r="S209" s="22" t="n">
        <f aca="false">IF(OR($A209="",N(N209)=0),0,CEILING(N209*(1+IF($O209="",Taux_PA,$O209))-0.005,Pas_Arrondi))</f>
        <v>0</v>
      </c>
      <c r="T209" s="22" t="str">
        <f aca="false">IF($A209="","",SUM(K209:N209))</f>
        <v/>
      </c>
      <c r="U209" s="22" t="str">
        <f aca="false">IF($A209="","",SUM(P209:S209))</f>
        <v/>
      </c>
      <c r="V209" s="22" t="str">
        <f aca="false">IF($A209="","",U209-T209)</f>
        <v/>
      </c>
      <c r="W209" s="23" t="str">
        <f aca="false">IF(OR($A209="",N(T209)=0),"",V209/T209)</f>
        <v/>
      </c>
      <c r="X209" s="18"/>
      <c r="Y209" s="18"/>
      <c r="Z209" s="24" t="str">
        <f aca="false">IF(AND($A209&lt;&gt;"",$X209="Oui",OR(Filtre_Masse="Tous les clients à envoyer",$Y209&lt;&gt;"Email")),MAX(Z$1:Z208)+1,"")</f>
        <v/>
      </c>
    </row>
    <row r="210" customFormat="false" ht="15" hidden="false" customHeight="false" outlineLevel="0" collapsed="false">
      <c r="A210" s="18"/>
      <c r="B210" s="18"/>
      <c r="C210" s="18"/>
      <c r="D210" s="18"/>
      <c r="E210" s="18"/>
      <c r="F210" s="18"/>
      <c r="G210" s="18"/>
      <c r="H210" s="19"/>
      <c r="I210" s="18"/>
      <c r="J210" s="18"/>
      <c r="K210" s="20"/>
      <c r="L210" s="20"/>
      <c r="M210" s="20"/>
      <c r="N210" s="20"/>
      <c r="O210" s="21"/>
      <c r="P210" s="22" t="n">
        <f aca="false">IF(OR($A210="",N(K210)=0),0,CEILING(K210*(1+IF($O210="",Taux_Compta,$O210))-0.005,Pas_Arrondi))</f>
        <v>0</v>
      </c>
      <c r="Q210" s="22" t="n">
        <f aca="false">IF(OR($A210="",N(L210)=0),0,CEILING(L210*(1+IF($O210="",Taux_Paye,$O210))-0.005,Pas_Arrondi))</f>
        <v>0</v>
      </c>
      <c r="R210" s="22" t="n">
        <f aca="false">IF(OR($A210="",N(M210)=0),0,CEILING(M210*(1+IF($O210="",Taux_Jur,$O210))-0.005,Pas_Arrondi))</f>
        <v>0</v>
      </c>
      <c r="S210" s="22" t="n">
        <f aca="false">IF(OR($A210="",N(N210)=0),0,CEILING(N210*(1+IF($O210="",Taux_PA,$O210))-0.005,Pas_Arrondi))</f>
        <v>0</v>
      </c>
      <c r="T210" s="22" t="str">
        <f aca="false">IF($A210="","",SUM(K210:N210))</f>
        <v/>
      </c>
      <c r="U210" s="22" t="str">
        <f aca="false">IF($A210="","",SUM(P210:S210))</f>
        <v/>
      </c>
      <c r="V210" s="22" t="str">
        <f aca="false">IF($A210="","",U210-T210)</f>
        <v/>
      </c>
      <c r="W210" s="23" t="str">
        <f aca="false">IF(OR($A210="",N(T210)=0),"",V210/T210)</f>
        <v/>
      </c>
      <c r="X210" s="18"/>
      <c r="Y210" s="18"/>
      <c r="Z210" s="24" t="str">
        <f aca="false">IF(AND($A210&lt;&gt;"",$X210="Oui",OR(Filtre_Masse="Tous les clients à envoyer",$Y210&lt;&gt;"Email")),MAX(Z$1:Z209)+1,"")</f>
        <v/>
      </c>
    </row>
    <row r="211" customFormat="false" ht="15" hidden="false" customHeight="false" outlineLevel="0" collapsed="false">
      <c r="A211" s="18"/>
      <c r="B211" s="18"/>
      <c r="C211" s="18"/>
      <c r="D211" s="18"/>
      <c r="E211" s="18"/>
      <c r="F211" s="18"/>
      <c r="G211" s="18"/>
      <c r="H211" s="19"/>
      <c r="I211" s="18"/>
      <c r="J211" s="18"/>
      <c r="K211" s="20"/>
      <c r="L211" s="20"/>
      <c r="M211" s="20"/>
      <c r="N211" s="20"/>
      <c r="O211" s="21"/>
      <c r="P211" s="22" t="n">
        <f aca="false">IF(OR($A211="",N(K211)=0),0,CEILING(K211*(1+IF($O211="",Taux_Compta,$O211))-0.005,Pas_Arrondi))</f>
        <v>0</v>
      </c>
      <c r="Q211" s="22" t="n">
        <f aca="false">IF(OR($A211="",N(L211)=0),0,CEILING(L211*(1+IF($O211="",Taux_Paye,$O211))-0.005,Pas_Arrondi))</f>
        <v>0</v>
      </c>
      <c r="R211" s="22" t="n">
        <f aca="false">IF(OR($A211="",N(M211)=0),0,CEILING(M211*(1+IF($O211="",Taux_Jur,$O211))-0.005,Pas_Arrondi))</f>
        <v>0</v>
      </c>
      <c r="S211" s="22" t="n">
        <f aca="false">IF(OR($A211="",N(N211)=0),0,CEILING(N211*(1+IF($O211="",Taux_PA,$O211))-0.005,Pas_Arrondi))</f>
        <v>0</v>
      </c>
      <c r="T211" s="22" t="str">
        <f aca="false">IF($A211="","",SUM(K211:N211))</f>
        <v/>
      </c>
      <c r="U211" s="22" t="str">
        <f aca="false">IF($A211="","",SUM(P211:S211))</f>
        <v/>
      </c>
      <c r="V211" s="22" t="str">
        <f aca="false">IF($A211="","",U211-T211)</f>
        <v/>
      </c>
      <c r="W211" s="23" t="str">
        <f aca="false">IF(OR($A211="",N(T211)=0),"",V211/T211)</f>
        <v/>
      </c>
      <c r="X211" s="18"/>
      <c r="Y211" s="18"/>
      <c r="Z211" s="24" t="str">
        <f aca="false">IF(AND($A211&lt;&gt;"",$X211="Oui",OR(Filtre_Masse="Tous les clients à envoyer",$Y211&lt;&gt;"Email")),MAX(Z$1:Z210)+1,"")</f>
        <v/>
      </c>
    </row>
    <row r="212" customFormat="false" ht="15" hidden="false" customHeight="false" outlineLevel="0" collapsed="false">
      <c r="A212" s="18"/>
      <c r="B212" s="18"/>
      <c r="C212" s="18"/>
      <c r="D212" s="18"/>
      <c r="E212" s="18"/>
      <c r="F212" s="18"/>
      <c r="G212" s="18"/>
      <c r="H212" s="19"/>
      <c r="I212" s="18"/>
      <c r="J212" s="18"/>
      <c r="K212" s="20"/>
      <c r="L212" s="20"/>
      <c r="M212" s="20"/>
      <c r="N212" s="20"/>
      <c r="O212" s="21"/>
      <c r="P212" s="22" t="n">
        <f aca="false">IF(OR($A212="",N(K212)=0),0,CEILING(K212*(1+IF($O212="",Taux_Compta,$O212))-0.005,Pas_Arrondi))</f>
        <v>0</v>
      </c>
      <c r="Q212" s="22" t="n">
        <f aca="false">IF(OR($A212="",N(L212)=0),0,CEILING(L212*(1+IF($O212="",Taux_Paye,$O212))-0.005,Pas_Arrondi))</f>
        <v>0</v>
      </c>
      <c r="R212" s="22" t="n">
        <f aca="false">IF(OR($A212="",N(M212)=0),0,CEILING(M212*(1+IF($O212="",Taux_Jur,$O212))-0.005,Pas_Arrondi))</f>
        <v>0</v>
      </c>
      <c r="S212" s="22" t="n">
        <f aca="false">IF(OR($A212="",N(N212)=0),0,CEILING(N212*(1+IF($O212="",Taux_PA,$O212))-0.005,Pas_Arrondi))</f>
        <v>0</v>
      </c>
      <c r="T212" s="22" t="str">
        <f aca="false">IF($A212="","",SUM(K212:N212))</f>
        <v/>
      </c>
      <c r="U212" s="22" t="str">
        <f aca="false">IF($A212="","",SUM(P212:S212))</f>
        <v/>
      </c>
      <c r="V212" s="22" t="str">
        <f aca="false">IF($A212="","",U212-T212)</f>
        <v/>
      </c>
      <c r="W212" s="23" t="str">
        <f aca="false">IF(OR($A212="",N(T212)=0),"",V212/T212)</f>
        <v/>
      </c>
      <c r="X212" s="18"/>
      <c r="Y212" s="18"/>
      <c r="Z212" s="24" t="str">
        <f aca="false">IF(AND($A212&lt;&gt;"",$X212="Oui",OR(Filtre_Masse="Tous les clients à envoyer",$Y212&lt;&gt;"Email")),MAX(Z$1:Z211)+1,"")</f>
        <v/>
      </c>
    </row>
    <row r="213" customFormat="false" ht="15" hidden="false" customHeight="false" outlineLevel="0" collapsed="false">
      <c r="A213" s="18"/>
      <c r="B213" s="18"/>
      <c r="C213" s="18"/>
      <c r="D213" s="18"/>
      <c r="E213" s="18"/>
      <c r="F213" s="18"/>
      <c r="G213" s="18"/>
      <c r="H213" s="19"/>
      <c r="I213" s="18"/>
      <c r="J213" s="18"/>
      <c r="K213" s="20"/>
      <c r="L213" s="20"/>
      <c r="M213" s="20"/>
      <c r="N213" s="20"/>
      <c r="O213" s="21"/>
      <c r="P213" s="22" t="n">
        <f aca="false">IF(OR($A213="",N(K213)=0),0,CEILING(K213*(1+IF($O213="",Taux_Compta,$O213))-0.005,Pas_Arrondi))</f>
        <v>0</v>
      </c>
      <c r="Q213" s="22" t="n">
        <f aca="false">IF(OR($A213="",N(L213)=0),0,CEILING(L213*(1+IF($O213="",Taux_Paye,$O213))-0.005,Pas_Arrondi))</f>
        <v>0</v>
      </c>
      <c r="R213" s="22" t="n">
        <f aca="false">IF(OR($A213="",N(M213)=0),0,CEILING(M213*(1+IF($O213="",Taux_Jur,$O213))-0.005,Pas_Arrondi))</f>
        <v>0</v>
      </c>
      <c r="S213" s="22" t="n">
        <f aca="false">IF(OR($A213="",N(N213)=0),0,CEILING(N213*(1+IF($O213="",Taux_PA,$O213))-0.005,Pas_Arrondi))</f>
        <v>0</v>
      </c>
      <c r="T213" s="22" t="str">
        <f aca="false">IF($A213="","",SUM(K213:N213))</f>
        <v/>
      </c>
      <c r="U213" s="22" t="str">
        <f aca="false">IF($A213="","",SUM(P213:S213))</f>
        <v/>
      </c>
      <c r="V213" s="22" t="str">
        <f aca="false">IF($A213="","",U213-T213)</f>
        <v/>
      </c>
      <c r="W213" s="23" t="str">
        <f aca="false">IF(OR($A213="",N(T213)=0),"",V213/T213)</f>
        <v/>
      </c>
      <c r="X213" s="18"/>
      <c r="Y213" s="18"/>
      <c r="Z213" s="24" t="str">
        <f aca="false">IF(AND($A213&lt;&gt;"",$X213="Oui",OR(Filtre_Masse="Tous les clients à envoyer",$Y213&lt;&gt;"Email")),MAX(Z$1:Z212)+1,"")</f>
        <v/>
      </c>
    </row>
    <row r="214" customFormat="false" ht="15" hidden="false" customHeight="false" outlineLevel="0" collapsed="false">
      <c r="A214" s="18"/>
      <c r="B214" s="18"/>
      <c r="C214" s="18"/>
      <c r="D214" s="18"/>
      <c r="E214" s="18"/>
      <c r="F214" s="18"/>
      <c r="G214" s="18"/>
      <c r="H214" s="19"/>
      <c r="I214" s="18"/>
      <c r="J214" s="18"/>
      <c r="K214" s="20"/>
      <c r="L214" s="20"/>
      <c r="M214" s="20"/>
      <c r="N214" s="20"/>
      <c r="O214" s="21"/>
      <c r="P214" s="22" t="n">
        <f aca="false">IF(OR($A214="",N(K214)=0),0,CEILING(K214*(1+IF($O214="",Taux_Compta,$O214))-0.005,Pas_Arrondi))</f>
        <v>0</v>
      </c>
      <c r="Q214" s="22" t="n">
        <f aca="false">IF(OR($A214="",N(L214)=0),0,CEILING(L214*(1+IF($O214="",Taux_Paye,$O214))-0.005,Pas_Arrondi))</f>
        <v>0</v>
      </c>
      <c r="R214" s="22" t="n">
        <f aca="false">IF(OR($A214="",N(M214)=0),0,CEILING(M214*(1+IF($O214="",Taux_Jur,$O214))-0.005,Pas_Arrondi))</f>
        <v>0</v>
      </c>
      <c r="S214" s="22" t="n">
        <f aca="false">IF(OR($A214="",N(N214)=0),0,CEILING(N214*(1+IF($O214="",Taux_PA,$O214))-0.005,Pas_Arrondi))</f>
        <v>0</v>
      </c>
      <c r="T214" s="22" t="str">
        <f aca="false">IF($A214="","",SUM(K214:N214))</f>
        <v/>
      </c>
      <c r="U214" s="22" t="str">
        <f aca="false">IF($A214="","",SUM(P214:S214))</f>
        <v/>
      </c>
      <c r="V214" s="22" t="str">
        <f aca="false">IF($A214="","",U214-T214)</f>
        <v/>
      </c>
      <c r="W214" s="23" t="str">
        <f aca="false">IF(OR($A214="",N(T214)=0),"",V214/T214)</f>
        <v/>
      </c>
      <c r="X214" s="18"/>
      <c r="Y214" s="18"/>
      <c r="Z214" s="24" t="str">
        <f aca="false">IF(AND($A214&lt;&gt;"",$X214="Oui",OR(Filtre_Masse="Tous les clients à envoyer",$Y214&lt;&gt;"Email")),MAX(Z$1:Z213)+1,"")</f>
        <v/>
      </c>
    </row>
    <row r="215" customFormat="false" ht="15" hidden="false" customHeight="false" outlineLevel="0" collapsed="false">
      <c r="A215" s="18"/>
      <c r="B215" s="18"/>
      <c r="C215" s="18"/>
      <c r="D215" s="18"/>
      <c r="E215" s="18"/>
      <c r="F215" s="18"/>
      <c r="G215" s="18"/>
      <c r="H215" s="19"/>
      <c r="I215" s="18"/>
      <c r="J215" s="18"/>
      <c r="K215" s="20"/>
      <c r="L215" s="20"/>
      <c r="M215" s="20"/>
      <c r="N215" s="20"/>
      <c r="O215" s="21"/>
      <c r="P215" s="22" t="n">
        <f aca="false">IF(OR($A215="",N(K215)=0),0,CEILING(K215*(1+IF($O215="",Taux_Compta,$O215))-0.005,Pas_Arrondi))</f>
        <v>0</v>
      </c>
      <c r="Q215" s="22" t="n">
        <f aca="false">IF(OR($A215="",N(L215)=0),0,CEILING(L215*(1+IF($O215="",Taux_Paye,$O215))-0.005,Pas_Arrondi))</f>
        <v>0</v>
      </c>
      <c r="R215" s="22" t="n">
        <f aca="false">IF(OR($A215="",N(M215)=0),0,CEILING(M215*(1+IF($O215="",Taux_Jur,$O215))-0.005,Pas_Arrondi))</f>
        <v>0</v>
      </c>
      <c r="S215" s="22" t="n">
        <f aca="false">IF(OR($A215="",N(N215)=0),0,CEILING(N215*(1+IF($O215="",Taux_PA,$O215))-0.005,Pas_Arrondi))</f>
        <v>0</v>
      </c>
      <c r="T215" s="22" t="str">
        <f aca="false">IF($A215="","",SUM(K215:N215))</f>
        <v/>
      </c>
      <c r="U215" s="22" t="str">
        <f aca="false">IF($A215="","",SUM(P215:S215))</f>
        <v/>
      </c>
      <c r="V215" s="22" t="str">
        <f aca="false">IF($A215="","",U215-T215)</f>
        <v/>
      </c>
      <c r="W215" s="23" t="str">
        <f aca="false">IF(OR($A215="",N(T215)=0),"",V215/T215)</f>
        <v/>
      </c>
      <c r="X215" s="18"/>
      <c r="Y215" s="18"/>
      <c r="Z215" s="24" t="str">
        <f aca="false">IF(AND($A215&lt;&gt;"",$X215="Oui",OR(Filtre_Masse="Tous les clients à envoyer",$Y215&lt;&gt;"Email")),MAX(Z$1:Z214)+1,"")</f>
        <v/>
      </c>
    </row>
    <row r="216" customFormat="false" ht="15" hidden="false" customHeight="false" outlineLevel="0" collapsed="false">
      <c r="A216" s="18"/>
      <c r="B216" s="18"/>
      <c r="C216" s="18"/>
      <c r="D216" s="18"/>
      <c r="E216" s="18"/>
      <c r="F216" s="18"/>
      <c r="G216" s="18"/>
      <c r="H216" s="19"/>
      <c r="I216" s="18"/>
      <c r="J216" s="18"/>
      <c r="K216" s="20"/>
      <c r="L216" s="20"/>
      <c r="M216" s="20"/>
      <c r="N216" s="20"/>
      <c r="O216" s="21"/>
      <c r="P216" s="22" t="n">
        <f aca="false">IF(OR($A216="",N(K216)=0),0,CEILING(K216*(1+IF($O216="",Taux_Compta,$O216))-0.005,Pas_Arrondi))</f>
        <v>0</v>
      </c>
      <c r="Q216" s="22" t="n">
        <f aca="false">IF(OR($A216="",N(L216)=0),0,CEILING(L216*(1+IF($O216="",Taux_Paye,$O216))-0.005,Pas_Arrondi))</f>
        <v>0</v>
      </c>
      <c r="R216" s="22" t="n">
        <f aca="false">IF(OR($A216="",N(M216)=0),0,CEILING(M216*(1+IF($O216="",Taux_Jur,$O216))-0.005,Pas_Arrondi))</f>
        <v>0</v>
      </c>
      <c r="S216" s="22" t="n">
        <f aca="false">IF(OR($A216="",N(N216)=0),0,CEILING(N216*(1+IF($O216="",Taux_PA,$O216))-0.005,Pas_Arrondi))</f>
        <v>0</v>
      </c>
      <c r="T216" s="22" t="str">
        <f aca="false">IF($A216="","",SUM(K216:N216))</f>
        <v/>
      </c>
      <c r="U216" s="22" t="str">
        <f aca="false">IF($A216="","",SUM(P216:S216))</f>
        <v/>
      </c>
      <c r="V216" s="22" t="str">
        <f aca="false">IF($A216="","",U216-T216)</f>
        <v/>
      </c>
      <c r="W216" s="23" t="str">
        <f aca="false">IF(OR($A216="",N(T216)=0),"",V216/T216)</f>
        <v/>
      </c>
      <c r="X216" s="18"/>
      <c r="Y216" s="18"/>
      <c r="Z216" s="24" t="str">
        <f aca="false">IF(AND($A216&lt;&gt;"",$X216="Oui",OR(Filtre_Masse="Tous les clients à envoyer",$Y216&lt;&gt;"Email")),MAX(Z$1:Z215)+1,"")</f>
        <v/>
      </c>
    </row>
    <row r="217" customFormat="false" ht="15" hidden="false" customHeight="false" outlineLevel="0" collapsed="false">
      <c r="A217" s="18"/>
      <c r="B217" s="18"/>
      <c r="C217" s="18"/>
      <c r="D217" s="18"/>
      <c r="E217" s="18"/>
      <c r="F217" s="18"/>
      <c r="G217" s="18"/>
      <c r="H217" s="19"/>
      <c r="I217" s="18"/>
      <c r="J217" s="18"/>
      <c r="K217" s="20"/>
      <c r="L217" s="20"/>
      <c r="M217" s="20"/>
      <c r="N217" s="20"/>
      <c r="O217" s="21"/>
      <c r="P217" s="22" t="n">
        <f aca="false">IF(OR($A217="",N(K217)=0),0,CEILING(K217*(1+IF($O217="",Taux_Compta,$O217))-0.005,Pas_Arrondi))</f>
        <v>0</v>
      </c>
      <c r="Q217" s="22" t="n">
        <f aca="false">IF(OR($A217="",N(L217)=0),0,CEILING(L217*(1+IF($O217="",Taux_Paye,$O217))-0.005,Pas_Arrondi))</f>
        <v>0</v>
      </c>
      <c r="R217" s="22" t="n">
        <f aca="false">IF(OR($A217="",N(M217)=0),0,CEILING(M217*(1+IF($O217="",Taux_Jur,$O217))-0.005,Pas_Arrondi))</f>
        <v>0</v>
      </c>
      <c r="S217" s="22" t="n">
        <f aca="false">IF(OR($A217="",N(N217)=0),0,CEILING(N217*(1+IF($O217="",Taux_PA,$O217))-0.005,Pas_Arrondi))</f>
        <v>0</v>
      </c>
      <c r="T217" s="22" t="str">
        <f aca="false">IF($A217="","",SUM(K217:N217))</f>
        <v/>
      </c>
      <c r="U217" s="22" t="str">
        <f aca="false">IF($A217="","",SUM(P217:S217))</f>
        <v/>
      </c>
      <c r="V217" s="22" t="str">
        <f aca="false">IF($A217="","",U217-T217)</f>
        <v/>
      </c>
      <c r="W217" s="23" t="str">
        <f aca="false">IF(OR($A217="",N(T217)=0),"",V217/T217)</f>
        <v/>
      </c>
      <c r="X217" s="18"/>
      <c r="Y217" s="18"/>
      <c r="Z217" s="24" t="str">
        <f aca="false">IF(AND($A217&lt;&gt;"",$X217="Oui",OR(Filtre_Masse="Tous les clients à envoyer",$Y217&lt;&gt;"Email")),MAX(Z$1:Z216)+1,"")</f>
        <v/>
      </c>
    </row>
    <row r="218" customFormat="false" ht="15" hidden="false" customHeight="false" outlineLevel="0" collapsed="false">
      <c r="A218" s="18"/>
      <c r="B218" s="18"/>
      <c r="C218" s="18"/>
      <c r="D218" s="18"/>
      <c r="E218" s="18"/>
      <c r="F218" s="18"/>
      <c r="G218" s="18"/>
      <c r="H218" s="19"/>
      <c r="I218" s="18"/>
      <c r="J218" s="18"/>
      <c r="K218" s="20"/>
      <c r="L218" s="20"/>
      <c r="M218" s="20"/>
      <c r="N218" s="20"/>
      <c r="O218" s="21"/>
      <c r="P218" s="22" t="n">
        <f aca="false">IF(OR($A218="",N(K218)=0),0,CEILING(K218*(1+IF($O218="",Taux_Compta,$O218))-0.005,Pas_Arrondi))</f>
        <v>0</v>
      </c>
      <c r="Q218" s="22" t="n">
        <f aca="false">IF(OR($A218="",N(L218)=0),0,CEILING(L218*(1+IF($O218="",Taux_Paye,$O218))-0.005,Pas_Arrondi))</f>
        <v>0</v>
      </c>
      <c r="R218" s="22" t="n">
        <f aca="false">IF(OR($A218="",N(M218)=0),0,CEILING(M218*(1+IF($O218="",Taux_Jur,$O218))-0.005,Pas_Arrondi))</f>
        <v>0</v>
      </c>
      <c r="S218" s="22" t="n">
        <f aca="false">IF(OR($A218="",N(N218)=0),0,CEILING(N218*(1+IF($O218="",Taux_PA,$O218))-0.005,Pas_Arrondi))</f>
        <v>0</v>
      </c>
      <c r="T218" s="22" t="str">
        <f aca="false">IF($A218="","",SUM(K218:N218))</f>
        <v/>
      </c>
      <c r="U218" s="22" t="str">
        <f aca="false">IF($A218="","",SUM(P218:S218))</f>
        <v/>
      </c>
      <c r="V218" s="22" t="str">
        <f aca="false">IF($A218="","",U218-T218)</f>
        <v/>
      </c>
      <c r="W218" s="23" t="str">
        <f aca="false">IF(OR($A218="",N(T218)=0),"",V218/T218)</f>
        <v/>
      </c>
      <c r="X218" s="18"/>
      <c r="Y218" s="18"/>
      <c r="Z218" s="24" t="str">
        <f aca="false">IF(AND($A218&lt;&gt;"",$X218="Oui",OR(Filtre_Masse="Tous les clients à envoyer",$Y218&lt;&gt;"Email")),MAX(Z$1:Z217)+1,"")</f>
        <v/>
      </c>
    </row>
    <row r="219" customFormat="false" ht="15" hidden="false" customHeight="false" outlineLevel="0" collapsed="false">
      <c r="A219" s="18"/>
      <c r="B219" s="18"/>
      <c r="C219" s="18"/>
      <c r="D219" s="18"/>
      <c r="E219" s="18"/>
      <c r="F219" s="18"/>
      <c r="G219" s="18"/>
      <c r="H219" s="19"/>
      <c r="I219" s="18"/>
      <c r="J219" s="18"/>
      <c r="K219" s="20"/>
      <c r="L219" s="20"/>
      <c r="M219" s="20"/>
      <c r="N219" s="20"/>
      <c r="O219" s="21"/>
      <c r="P219" s="22" t="n">
        <f aca="false">IF(OR($A219="",N(K219)=0),0,CEILING(K219*(1+IF($O219="",Taux_Compta,$O219))-0.005,Pas_Arrondi))</f>
        <v>0</v>
      </c>
      <c r="Q219" s="22" t="n">
        <f aca="false">IF(OR($A219="",N(L219)=0),0,CEILING(L219*(1+IF($O219="",Taux_Paye,$O219))-0.005,Pas_Arrondi))</f>
        <v>0</v>
      </c>
      <c r="R219" s="22" t="n">
        <f aca="false">IF(OR($A219="",N(M219)=0),0,CEILING(M219*(1+IF($O219="",Taux_Jur,$O219))-0.005,Pas_Arrondi))</f>
        <v>0</v>
      </c>
      <c r="S219" s="22" t="n">
        <f aca="false">IF(OR($A219="",N(N219)=0),0,CEILING(N219*(1+IF($O219="",Taux_PA,$O219))-0.005,Pas_Arrondi))</f>
        <v>0</v>
      </c>
      <c r="T219" s="22" t="str">
        <f aca="false">IF($A219="","",SUM(K219:N219))</f>
        <v/>
      </c>
      <c r="U219" s="22" t="str">
        <f aca="false">IF($A219="","",SUM(P219:S219))</f>
        <v/>
      </c>
      <c r="V219" s="22" t="str">
        <f aca="false">IF($A219="","",U219-T219)</f>
        <v/>
      </c>
      <c r="W219" s="23" t="str">
        <f aca="false">IF(OR($A219="",N(T219)=0),"",V219/T219)</f>
        <v/>
      </c>
      <c r="X219" s="18"/>
      <c r="Y219" s="18"/>
      <c r="Z219" s="24" t="str">
        <f aca="false">IF(AND($A219&lt;&gt;"",$X219="Oui",OR(Filtre_Masse="Tous les clients à envoyer",$Y219&lt;&gt;"Email")),MAX(Z$1:Z218)+1,"")</f>
        <v/>
      </c>
    </row>
    <row r="220" customFormat="false" ht="15" hidden="false" customHeight="false" outlineLevel="0" collapsed="false">
      <c r="A220" s="18"/>
      <c r="B220" s="18"/>
      <c r="C220" s="18"/>
      <c r="D220" s="18"/>
      <c r="E220" s="18"/>
      <c r="F220" s="18"/>
      <c r="G220" s="18"/>
      <c r="H220" s="19"/>
      <c r="I220" s="18"/>
      <c r="J220" s="18"/>
      <c r="K220" s="20"/>
      <c r="L220" s="20"/>
      <c r="M220" s="20"/>
      <c r="N220" s="20"/>
      <c r="O220" s="21"/>
      <c r="P220" s="22" t="n">
        <f aca="false">IF(OR($A220="",N(K220)=0),0,CEILING(K220*(1+IF($O220="",Taux_Compta,$O220))-0.005,Pas_Arrondi))</f>
        <v>0</v>
      </c>
      <c r="Q220" s="22" t="n">
        <f aca="false">IF(OR($A220="",N(L220)=0),0,CEILING(L220*(1+IF($O220="",Taux_Paye,$O220))-0.005,Pas_Arrondi))</f>
        <v>0</v>
      </c>
      <c r="R220" s="22" t="n">
        <f aca="false">IF(OR($A220="",N(M220)=0),0,CEILING(M220*(1+IF($O220="",Taux_Jur,$O220))-0.005,Pas_Arrondi))</f>
        <v>0</v>
      </c>
      <c r="S220" s="22" t="n">
        <f aca="false">IF(OR($A220="",N(N220)=0),0,CEILING(N220*(1+IF($O220="",Taux_PA,$O220))-0.005,Pas_Arrondi))</f>
        <v>0</v>
      </c>
      <c r="T220" s="22" t="str">
        <f aca="false">IF($A220="","",SUM(K220:N220))</f>
        <v/>
      </c>
      <c r="U220" s="22" t="str">
        <f aca="false">IF($A220="","",SUM(P220:S220))</f>
        <v/>
      </c>
      <c r="V220" s="22" t="str">
        <f aca="false">IF($A220="","",U220-T220)</f>
        <v/>
      </c>
      <c r="W220" s="23" t="str">
        <f aca="false">IF(OR($A220="",N(T220)=0),"",V220/T220)</f>
        <v/>
      </c>
      <c r="X220" s="18"/>
      <c r="Y220" s="18"/>
      <c r="Z220" s="24" t="str">
        <f aca="false">IF(AND($A220&lt;&gt;"",$X220="Oui",OR(Filtre_Masse="Tous les clients à envoyer",$Y220&lt;&gt;"Email")),MAX(Z$1:Z219)+1,"")</f>
        <v/>
      </c>
    </row>
    <row r="221" customFormat="false" ht="15" hidden="false" customHeight="false" outlineLevel="0" collapsed="false">
      <c r="A221" s="18"/>
      <c r="B221" s="18"/>
      <c r="C221" s="18"/>
      <c r="D221" s="18"/>
      <c r="E221" s="18"/>
      <c r="F221" s="18"/>
      <c r="G221" s="18"/>
      <c r="H221" s="19"/>
      <c r="I221" s="18"/>
      <c r="J221" s="18"/>
      <c r="K221" s="20"/>
      <c r="L221" s="20"/>
      <c r="M221" s="20"/>
      <c r="N221" s="20"/>
      <c r="O221" s="21"/>
      <c r="P221" s="22" t="n">
        <f aca="false">IF(OR($A221="",N(K221)=0),0,CEILING(K221*(1+IF($O221="",Taux_Compta,$O221))-0.005,Pas_Arrondi))</f>
        <v>0</v>
      </c>
      <c r="Q221" s="22" t="n">
        <f aca="false">IF(OR($A221="",N(L221)=0),0,CEILING(L221*(1+IF($O221="",Taux_Paye,$O221))-0.005,Pas_Arrondi))</f>
        <v>0</v>
      </c>
      <c r="R221" s="22" t="n">
        <f aca="false">IF(OR($A221="",N(M221)=0),0,CEILING(M221*(1+IF($O221="",Taux_Jur,$O221))-0.005,Pas_Arrondi))</f>
        <v>0</v>
      </c>
      <c r="S221" s="22" t="n">
        <f aca="false">IF(OR($A221="",N(N221)=0),0,CEILING(N221*(1+IF($O221="",Taux_PA,$O221))-0.005,Pas_Arrondi))</f>
        <v>0</v>
      </c>
      <c r="T221" s="22" t="str">
        <f aca="false">IF($A221="","",SUM(K221:N221))</f>
        <v/>
      </c>
      <c r="U221" s="22" t="str">
        <f aca="false">IF($A221="","",SUM(P221:S221))</f>
        <v/>
      </c>
      <c r="V221" s="22" t="str">
        <f aca="false">IF($A221="","",U221-T221)</f>
        <v/>
      </c>
      <c r="W221" s="23" t="str">
        <f aca="false">IF(OR($A221="",N(T221)=0),"",V221/T221)</f>
        <v/>
      </c>
      <c r="X221" s="18"/>
      <c r="Y221" s="18"/>
      <c r="Z221" s="24" t="str">
        <f aca="false">IF(AND($A221&lt;&gt;"",$X221="Oui",OR(Filtre_Masse="Tous les clients à envoyer",$Y221&lt;&gt;"Email")),MAX(Z$1:Z220)+1,"")</f>
        <v/>
      </c>
    </row>
    <row r="222" customFormat="false" ht="15" hidden="false" customHeight="false" outlineLevel="0" collapsed="false">
      <c r="A222" s="18"/>
      <c r="B222" s="18"/>
      <c r="C222" s="18"/>
      <c r="D222" s="18"/>
      <c r="E222" s="18"/>
      <c r="F222" s="18"/>
      <c r="G222" s="18"/>
      <c r="H222" s="19"/>
      <c r="I222" s="18"/>
      <c r="J222" s="18"/>
      <c r="K222" s="20"/>
      <c r="L222" s="20"/>
      <c r="M222" s="20"/>
      <c r="N222" s="20"/>
      <c r="O222" s="21"/>
      <c r="P222" s="22" t="n">
        <f aca="false">IF(OR($A222="",N(K222)=0),0,CEILING(K222*(1+IF($O222="",Taux_Compta,$O222))-0.005,Pas_Arrondi))</f>
        <v>0</v>
      </c>
      <c r="Q222" s="22" t="n">
        <f aca="false">IF(OR($A222="",N(L222)=0),0,CEILING(L222*(1+IF($O222="",Taux_Paye,$O222))-0.005,Pas_Arrondi))</f>
        <v>0</v>
      </c>
      <c r="R222" s="22" t="n">
        <f aca="false">IF(OR($A222="",N(M222)=0),0,CEILING(M222*(1+IF($O222="",Taux_Jur,$O222))-0.005,Pas_Arrondi))</f>
        <v>0</v>
      </c>
      <c r="S222" s="22" t="n">
        <f aca="false">IF(OR($A222="",N(N222)=0),0,CEILING(N222*(1+IF($O222="",Taux_PA,$O222))-0.005,Pas_Arrondi))</f>
        <v>0</v>
      </c>
      <c r="T222" s="22" t="str">
        <f aca="false">IF($A222="","",SUM(K222:N222))</f>
        <v/>
      </c>
      <c r="U222" s="22" t="str">
        <f aca="false">IF($A222="","",SUM(P222:S222))</f>
        <v/>
      </c>
      <c r="V222" s="22" t="str">
        <f aca="false">IF($A222="","",U222-T222)</f>
        <v/>
      </c>
      <c r="W222" s="23" t="str">
        <f aca="false">IF(OR($A222="",N(T222)=0),"",V222/T222)</f>
        <v/>
      </c>
      <c r="X222" s="18"/>
      <c r="Y222" s="18"/>
      <c r="Z222" s="24" t="str">
        <f aca="false">IF(AND($A222&lt;&gt;"",$X222="Oui",OR(Filtre_Masse="Tous les clients à envoyer",$Y222&lt;&gt;"Email")),MAX(Z$1:Z221)+1,"")</f>
        <v/>
      </c>
    </row>
    <row r="223" customFormat="false" ht="15" hidden="false" customHeight="false" outlineLevel="0" collapsed="false">
      <c r="A223" s="18"/>
      <c r="B223" s="18"/>
      <c r="C223" s="18"/>
      <c r="D223" s="18"/>
      <c r="E223" s="18"/>
      <c r="F223" s="18"/>
      <c r="G223" s="18"/>
      <c r="H223" s="19"/>
      <c r="I223" s="18"/>
      <c r="J223" s="18"/>
      <c r="K223" s="20"/>
      <c r="L223" s="20"/>
      <c r="M223" s="20"/>
      <c r="N223" s="20"/>
      <c r="O223" s="21"/>
      <c r="P223" s="22" t="n">
        <f aca="false">IF(OR($A223="",N(K223)=0),0,CEILING(K223*(1+IF($O223="",Taux_Compta,$O223))-0.005,Pas_Arrondi))</f>
        <v>0</v>
      </c>
      <c r="Q223" s="22" t="n">
        <f aca="false">IF(OR($A223="",N(L223)=0),0,CEILING(L223*(1+IF($O223="",Taux_Paye,$O223))-0.005,Pas_Arrondi))</f>
        <v>0</v>
      </c>
      <c r="R223" s="22" t="n">
        <f aca="false">IF(OR($A223="",N(M223)=0),0,CEILING(M223*(1+IF($O223="",Taux_Jur,$O223))-0.005,Pas_Arrondi))</f>
        <v>0</v>
      </c>
      <c r="S223" s="22" t="n">
        <f aca="false">IF(OR($A223="",N(N223)=0),0,CEILING(N223*(1+IF($O223="",Taux_PA,$O223))-0.005,Pas_Arrondi))</f>
        <v>0</v>
      </c>
      <c r="T223" s="22" t="str">
        <f aca="false">IF($A223="","",SUM(K223:N223))</f>
        <v/>
      </c>
      <c r="U223" s="22" t="str">
        <f aca="false">IF($A223="","",SUM(P223:S223))</f>
        <v/>
      </c>
      <c r="V223" s="22" t="str">
        <f aca="false">IF($A223="","",U223-T223)</f>
        <v/>
      </c>
      <c r="W223" s="23" t="str">
        <f aca="false">IF(OR($A223="",N(T223)=0),"",V223/T223)</f>
        <v/>
      </c>
      <c r="X223" s="18"/>
      <c r="Y223" s="18"/>
      <c r="Z223" s="24" t="str">
        <f aca="false">IF(AND($A223&lt;&gt;"",$X223="Oui",OR(Filtre_Masse="Tous les clients à envoyer",$Y223&lt;&gt;"Email")),MAX(Z$1:Z222)+1,"")</f>
        <v/>
      </c>
    </row>
    <row r="224" customFormat="false" ht="15" hidden="false" customHeight="false" outlineLevel="0" collapsed="false">
      <c r="A224" s="18"/>
      <c r="B224" s="18"/>
      <c r="C224" s="18"/>
      <c r="D224" s="18"/>
      <c r="E224" s="18"/>
      <c r="F224" s="18"/>
      <c r="G224" s="18"/>
      <c r="H224" s="19"/>
      <c r="I224" s="18"/>
      <c r="J224" s="18"/>
      <c r="K224" s="20"/>
      <c r="L224" s="20"/>
      <c r="M224" s="20"/>
      <c r="N224" s="20"/>
      <c r="O224" s="21"/>
      <c r="P224" s="22" t="n">
        <f aca="false">IF(OR($A224="",N(K224)=0),0,CEILING(K224*(1+IF($O224="",Taux_Compta,$O224))-0.005,Pas_Arrondi))</f>
        <v>0</v>
      </c>
      <c r="Q224" s="22" t="n">
        <f aca="false">IF(OR($A224="",N(L224)=0),0,CEILING(L224*(1+IF($O224="",Taux_Paye,$O224))-0.005,Pas_Arrondi))</f>
        <v>0</v>
      </c>
      <c r="R224" s="22" t="n">
        <f aca="false">IF(OR($A224="",N(M224)=0),0,CEILING(M224*(1+IF($O224="",Taux_Jur,$O224))-0.005,Pas_Arrondi))</f>
        <v>0</v>
      </c>
      <c r="S224" s="22" t="n">
        <f aca="false">IF(OR($A224="",N(N224)=0),0,CEILING(N224*(1+IF($O224="",Taux_PA,$O224))-0.005,Pas_Arrondi))</f>
        <v>0</v>
      </c>
      <c r="T224" s="22" t="str">
        <f aca="false">IF($A224="","",SUM(K224:N224))</f>
        <v/>
      </c>
      <c r="U224" s="22" t="str">
        <f aca="false">IF($A224="","",SUM(P224:S224))</f>
        <v/>
      </c>
      <c r="V224" s="22" t="str">
        <f aca="false">IF($A224="","",U224-T224)</f>
        <v/>
      </c>
      <c r="W224" s="23" t="str">
        <f aca="false">IF(OR($A224="",N(T224)=0),"",V224/T224)</f>
        <v/>
      </c>
      <c r="X224" s="18"/>
      <c r="Y224" s="18"/>
      <c r="Z224" s="24" t="str">
        <f aca="false">IF(AND($A224&lt;&gt;"",$X224="Oui",OR(Filtre_Masse="Tous les clients à envoyer",$Y224&lt;&gt;"Email")),MAX(Z$1:Z223)+1,"")</f>
        <v/>
      </c>
    </row>
    <row r="225" customFormat="false" ht="15" hidden="false" customHeight="false" outlineLevel="0" collapsed="false">
      <c r="A225" s="18"/>
      <c r="B225" s="18"/>
      <c r="C225" s="18"/>
      <c r="D225" s="18"/>
      <c r="E225" s="18"/>
      <c r="F225" s="18"/>
      <c r="G225" s="18"/>
      <c r="H225" s="19"/>
      <c r="I225" s="18"/>
      <c r="J225" s="18"/>
      <c r="K225" s="20"/>
      <c r="L225" s="20"/>
      <c r="M225" s="20"/>
      <c r="N225" s="20"/>
      <c r="O225" s="21"/>
      <c r="P225" s="22" t="n">
        <f aca="false">IF(OR($A225="",N(K225)=0),0,CEILING(K225*(1+IF($O225="",Taux_Compta,$O225))-0.005,Pas_Arrondi))</f>
        <v>0</v>
      </c>
      <c r="Q225" s="22" t="n">
        <f aca="false">IF(OR($A225="",N(L225)=0),0,CEILING(L225*(1+IF($O225="",Taux_Paye,$O225))-0.005,Pas_Arrondi))</f>
        <v>0</v>
      </c>
      <c r="R225" s="22" t="n">
        <f aca="false">IF(OR($A225="",N(M225)=0),0,CEILING(M225*(1+IF($O225="",Taux_Jur,$O225))-0.005,Pas_Arrondi))</f>
        <v>0</v>
      </c>
      <c r="S225" s="22" t="n">
        <f aca="false">IF(OR($A225="",N(N225)=0),0,CEILING(N225*(1+IF($O225="",Taux_PA,$O225))-0.005,Pas_Arrondi))</f>
        <v>0</v>
      </c>
      <c r="T225" s="22" t="str">
        <f aca="false">IF($A225="","",SUM(K225:N225))</f>
        <v/>
      </c>
      <c r="U225" s="22" t="str">
        <f aca="false">IF($A225="","",SUM(P225:S225))</f>
        <v/>
      </c>
      <c r="V225" s="22" t="str">
        <f aca="false">IF($A225="","",U225-T225)</f>
        <v/>
      </c>
      <c r="W225" s="23" t="str">
        <f aca="false">IF(OR($A225="",N(T225)=0),"",V225/T225)</f>
        <v/>
      </c>
      <c r="X225" s="18"/>
      <c r="Y225" s="18"/>
      <c r="Z225" s="24" t="str">
        <f aca="false">IF(AND($A225&lt;&gt;"",$X225="Oui",OR(Filtre_Masse="Tous les clients à envoyer",$Y225&lt;&gt;"Email")),MAX(Z$1:Z224)+1,"")</f>
        <v/>
      </c>
    </row>
    <row r="226" customFormat="false" ht="15" hidden="false" customHeight="false" outlineLevel="0" collapsed="false">
      <c r="A226" s="18"/>
      <c r="B226" s="18"/>
      <c r="C226" s="18"/>
      <c r="D226" s="18"/>
      <c r="E226" s="18"/>
      <c r="F226" s="18"/>
      <c r="G226" s="18"/>
      <c r="H226" s="19"/>
      <c r="I226" s="18"/>
      <c r="J226" s="18"/>
      <c r="K226" s="20"/>
      <c r="L226" s="20"/>
      <c r="M226" s="20"/>
      <c r="N226" s="20"/>
      <c r="O226" s="21"/>
      <c r="P226" s="22" t="n">
        <f aca="false">IF(OR($A226="",N(K226)=0),0,CEILING(K226*(1+IF($O226="",Taux_Compta,$O226))-0.005,Pas_Arrondi))</f>
        <v>0</v>
      </c>
      <c r="Q226" s="22" t="n">
        <f aca="false">IF(OR($A226="",N(L226)=0),0,CEILING(L226*(1+IF($O226="",Taux_Paye,$O226))-0.005,Pas_Arrondi))</f>
        <v>0</v>
      </c>
      <c r="R226" s="22" t="n">
        <f aca="false">IF(OR($A226="",N(M226)=0),0,CEILING(M226*(1+IF($O226="",Taux_Jur,$O226))-0.005,Pas_Arrondi))</f>
        <v>0</v>
      </c>
      <c r="S226" s="22" t="n">
        <f aca="false">IF(OR($A226="",N(N226)=0),0,CEILING(N226*(1+IF($O226="",Taux_PA,$O226))-0.005,Pas_Arrondi))</f>
        <v>0</v>
      </c>
      <c r="T226" s="22" t="str">
        <f aca="false">IF($A226="","",SUM(K226:N226))</f>
        <v/>
      </c>
      <c r="U226" s="22" t="str">
        <f aca="false">IF($A226="","",SUM(P226:S226))</f>
        <v/>
      </c>
      <c r="V226" s="22" t="str">
        <f aca="false">IF($A226="","",U226-T226)</f>
        <v/>
      </c>
      <c r="W226" s="23" t="str">
        <f aca="false">IF(OR($A226="",N(T226)=0),"",V226/T226)</f>
        <v/>
      </c>
      <c r="X226" s="18"/>
      <c r="Y226" s="18"/>
      <c r="Z226" s="24" t="str">
        <f aca="false">IF(AND($A226&lt;&gt;"",$X226="Oui",OR(Filtre_Masse="Tous les clients à envoyer",$Y226&lt;&gt;"Email")),MAX(Z$1:Z225)+1,"")</f>
        <v/>
      </c>
    </row>
    <row r="227" customFormat="false" ht="15" hidden="false" customHeight="false" outlineLevel="0" collapsed="false">
      <c r="A227" s="18"/>
      <c r="B227" s="18"/>
      <c r="C227" s="18"/>
      <c r="D227" s="18"/>
      <c r="E227" s="18"/>
      <c r="F227" s="18"/>
      <c r="G227" s="18"/>
      <c r="H227" s="19"/>
      <c r="I227" s="18"/>
      <c r="J227" s="18"/>
      <c r="K227" s="20"/>
      <c r="L227" s="20"/>
      <c r="M227" s="20"/>
      <c r="N227" s="20"/>
      <c r="O227" s="21"/>
      <c r="P227" s="22" t="n">
        <f aca="false">IF(OR($A227="",N(K227)=0),0,CEILING(K227*(1+IF($O227="",Taux_Compta,$O227))-0.005,Pas_Arrondi))</f>
        <v>0</v>
      </c>
      <c r="Q227" s="22" t="n">
        <f aca="false">IF(OR($A227="",N(L227)=0),0,CEILING(L227*(1+IF($O227="",Taux_Paye,$O227))-0.005,Pas_Arrondi))</f>
        <v>0</v>
      </c>
      <c r="R227" s="22" t="n">
        <f aca="false">IF(OR($A227="",N(M227)=0),0,CEILING(M227*(1+IF($O227="",Taux_Jur,$O227))-0.005,Pas_Arrondi))</f>
        <v>0</v>
      </c>
      <c r="S227" s="22" t="n">
        <f aca="false">IF(OR($A227="",N(N227)=0),0,CEILING(N227*(1+IF($O227="",Taux_PA,$O227))-0.005,Pas_Arrondi))</f>
        <v>0</v>
      </c>
      <c r="T227" s="22" t="str">
        <f aca="false">IF($A227="","",SUM(K227:N227))</f>
        <v/>
      </c>
      <c r="U227" s="22" t="str">
        <f aca="false">IF($A227="","",SUM(P227:S227))</f>
        <v/>
      </c>
      <c r="V227" s="22" t="str">
        <f aca="false">IF($A227="","",U227-T227)</f>
        <v/>
      </c>
      <c r="W227" s="23" t="str">
        <f aca="false">IF(OR($A227="",N(T227)=0),"",V227/T227)</f>
        <v/>
      </c>
      <c r="X227" s="18"/>
      <c r="Y227" s="18"/>
      <c r="Z227" s="24" t="str">
        <f aca="false">IF(AND($A227&lt;&gt;"",$X227="Oui",OR(Filtre_Masse="Tous les clients à envoyer",$Y227&lt;&gt;"Email")),MAX(Z$1:Z226)+1,"")</f>
        <v/>
      </c>
    </row>
    <row r="228" customFormat="false" ht="15" hidden="false" customHeight="false" outlineLevel="0" collapsed="false">
      <c r="A228" s="18"/>
      <c r="B228" s="18"/>
      <c r="C228" s="18"/>
      <c r="D228" s="18"/>
      <c r="E228" s="18"/>
      <c r="F228" s="18"/>
      <c r="G228" s="18"/>
      <c r="H228" s="19"/>
      <c r="I228" s="18"/>
      <c r="J228" s="18"/>
      <c r="K228" s="20"/>
      <c r="L228" s="20"/>
      <c r="M228" s="20"/>
      <c r="N228" s="20"/>
      <c r="O228" s="21"/>
      <c r="P228" s="22" t="n">
        <f aca="false">IF(OR($A228="",N(K228)=0),0,CEILING(K228*(1+IF($O228="",Taux_Compta,$O228))-0.005,Pas_Arrondi))</f>
        <v>0</v>
      </c>
      <c r="Q228" s="22" t="n">
        <f aca="false">IF(OR($A228="",N(L228)=0),0,CEILING(L228*(1+IF($O228="",Taux_Paye,$O228))-0.005,Pas_Arrondi))</f>
        <v>0</v>
      </c>
      <c r="R228" s="22" t="n">
        <f aca="false">IF(OR($A228="",N(M228)=0),0,CEILING(M228*(1+IF($O228="",Taux_Jur,$O228))-0.005,Pas_Arrondi))</f>
        <v>0</v>
      </c>
      <c r="S228" s="22" t="n">
        <f aca="false">IF(OR($A228="",N(N228)=0),0,CEILING(N228*(1+IF($O228="",Taux_PA,$O228))-0.005,Pas_Arrondi))</f>
        <v>0</v>
      </c>
      <c r="T228" s="22" t="str">
        <f aca="false">IF($A228="","",SUM(K228:N228))</f>
        <v/>
      </c>
      <c r="U228" s="22" t="str">
        <f aca="false">IF($A228="","",SUM(P228:S228))</f>
        <v/>
      </c>
      <c r="V228" s="22" t="str">
        <f aca="false">IF($A228="","",U228-T228)</f>
        <v/>
      </c>
      <c r="W228" s="23" t="str">
        <f aca="false">IF(OR($A228="",N(T228)=0),"",V228/T228)</f>
        <v/>
      </c>
      <c r="X228" s="18"/>
      <c r="Y228" s="18"/>
      <c r="Z228" s="24" t="str">
        <f aca="false">IF(AND($A228&lt;&gt;"",$X228="Oui",OR(Filtre_Masse="Tous les clients à envoyer",$Y228&lt;&gt;"Email")),MAX(Z$1:Z227)+1,"")</f>
        <v/>
      </c>
    </row>
    <row r="229" customFormat="false" ht="15" hidden="false" customHeight="false" outlineLevel="0" collapsed="false">
      <c r="A229" s="18"/>
      <c r="B229" s="18"/>
      <c r="C229" s="18"/>
      <c r="D229" s="18"/>
      <c r="E229" s="18"/>
      <c r="F229" s="18"/>
      <c r="G229" s="18"/>
      <c r="H229" s="19"/>
      <c r="I229" s="18"/>
      <c r="J229" s="18"/>
      <c r="K229" s="20"/>
      <c r="L229" s="20"/>
      <c r="M229" s="20"/>
      <c r="N229" s="20"/>
      <c r="O229" s="21"/>
      <c r="P229" s="22" t="n">
        <f aca="false">IF(OR($A229="",N(K229)=0),0,CEILING(K229*(1+IF($O229="",Taux_Compta,$O229))-0.005,Pas_Arrondi))</f>
        <v>0</v>
      </c>
      <c r="Q229" s="22" t="n">
        <f aca="false">IF(OR($A229="",N(L229)=0),0,CEILING(L229*(1+IF($O229="",Taux_Paye,$O229))-0.005,Pas_Arrondi))</f>
        <v>0</v>
      </c>
      <c r="R229" s="22" t="n">
        <f aca="false">IF(OR($A229="",N(M229)=0),0,CEILING(M229*(1+IF($O229="",Taux_Jur,$O229))-0.005,Pas_Arrondi))</f>
        <v>0</v>
      </c>
      <c r="S229" s="22" t="n">
        <f aca="false">IF(OR($A229="",N(N229)=0),0,CEILING(N229*(1+IF($O229="",Taux_PA,$O229))-0.005,Pas_Arrondi))</f>
        <v>0</v>
      </c>
      <c r="T229" s="22" t="str">
        <f aca="false">IF($A229="","",SUM(K229:N229))</f>
        <v/>
      </c>
      <c r="U229" s="22" t="str">
        <f aca="false">IF($A229="","",SUM(P229:S229))</f>
        <v/>
      </c>
      <c r="V229" s="22" t="str">
        <f aca="false">IF($A229="","",U229-T229)</f>
        <v/>
      </c>
      <c r="W229" s="23" t="str">
        <f aca="false">IF(OR($A229="",N(T229)=0),"",V229/T229)</f>
        <v/>
      </c>
      <c r="X229" s="18"/>
      <c r="Y229" s="18"/>
      <c r="Z229" s="24" t="str">
        <f aca="false">IF(AND($A229&lt;&gt;"",$X229="Oui",OR(Filtre_Masse="Tous les clients à envoyer",$Y229&lt;&gt;"Email")),MAX(Z$1:Z228)+1,"")</f>
        <v/>
      </c>
    </row>
    <row r="230" customFormat="false" ht="15" hidden="false" customHeight="false" outlineLevel="0" collapsed="false">
      <c r="A230" s="18"/>
      <c r="B230" s="18"/>
      <c r="C230" s="18"/>
      <c r="D230" s="18"/>
      <c r="E230" s="18"/>
      <c r="F230" s="18"/>
      <c r="G230" s="18"/>
      <c r="H230" s="19"/>
      <c r="I230" s="18"/>
      <c r="J230" s="18"/>
      <c r="K230" s="20"/>
      <c r="L230" s="20"/>
      <c r="M230" s="20"/>
      <c r="N230" s="20"/>
      <c r="O230" s="21"/>
      <c r="P230" s="22" t="n">
        <f aca="false">IF(OR($A230="",N(K230)=0),0,CEILING(K230*(1+IF($O230="",Taux_Compta,$O230))-0.005,Pas_Arrondi))</f>
        <v>0</v>
      </c>
      <c r="Q230" s="22" t="n">
        <f aca="false">IF(OR($A230="",N(L230)=0),0,CEILING(L230*(1+IF($O230="",Taux_Paye,$O230))-0.005,Pas_Arrondi))</f>
        <v>0</v>
      </c>
      <c r="R230" s="22" t="n">
        <f aca="false">IF(OR($A230="",N(M230)=0),0,CEILING(M230*(1+IF($O230="",Taux_Jur,$O230))-0.005,Pas_Arrondi))</f>
        <v>0</v>
      </c>
      <c r="S230" s="22" t="n">
        <f aca="false">IF(OR($A230="",N(N230)=0),0,CEILING(N230*(1+IF($O230="",Taux_PA,$O230))-0.005,Pas_Arrondi))</f>
        <v>0</v>
      </c>
      <c r="T230" s="22" t="str">
        <f aca="false">IF($A230="","",SUM(K230:N230))</f>
        <v/>
      </c>
      <c r="U230" s="22" t="str">
        <f aca="false">IF($A230="","",SUM(P230:S230))</f>
        <v/>
      </c>
      <c r="V230" s="22" t="str">
        <f aca="false">IF($A230="","",U230-T230)</f>
        <v/>
      </c>
      <c r="W230" s="23" t="str">
        <f aca="false">IF(OR($A230="",N(T230)=0),"",V230/T230)</f>
        <v/>
      </c>
      <c r="X230" s="18"/>
      <c r="Y230" s="18"/>
      <c r="Z230" s="24" t="str">
        <f aca="false">IF(AND($A230&lt;&gt;"",$X230="Oui",OR(Filtre_Masse="Tous les clients à envoyer",$Y230&lt;&gt;"Email")),MAX(Z$1:Z229)+1,"")</f>
        <v/>
      </c>
    </row>
    <row r="231" customFormat="false" ht="15" hidden="false" customHeight="false" outlineLevel="0" collapsed="false">
      <c r="A231" s="18"/>
      <c r="B231" s="18"/>
      <c r="C231" s="18"/>
      <c r="D231" s="18"/>
      <c r="E231" s="18"/>
      <c r="F231" s="18"/>
      <c r="G231" s="18"/>
      <c r="H231" s="19"/>
      <c r="I231" s="18"/>
      <c r="J231" s="18"/>
      <c r="K231" s="20"/>
      <c r="L231" s="20"/>
      <c r="M231" s="20"/>
      <c r="N231" s="20"/>
      <c r="O231" s="21"/>
      <c r="P231" s="22" t="n">
        <f aca="false">IF(OR($A231="",N(K231)=0),0,CEILING(K231*(1+IF($O231="",Taux_Compta,$O231))-0.005,Pas_Arrondi))</f>
        <v>0</v>
      </c>
      <c r="Q231" s="22" t="n">
        <f aca="false">IF(OR($A231="",N(L231)=0),0,CEILING(L231*(1+IF($O231="",Taux_Paye,$O231))-0.005,Pas_Arrondi))</f>
        <v>0</v>
      </c>
      <c r="R231" s="22" t="n">
        <f aca="false">IF(OR($A231="",N(M231)=0),0,CEILING(M231*(1+IF($O231="",Taux_Jur,$O231))-0.005,Pas_Arrondi))</f>
        <v>0</v>
      </c>
      <c r="S231" s="22" t="n">
        <f aca="false">IF(OR($A231="",N(N231)=0),0,CEILING(N231*(1+IF($O231="",Taux_PA,$O231))-0.005,Pas_Arrondi))</f>
        <v>0</v>
      </c>
      <c r="T231" s="22" t="str">
        <f aca="false">IF($A231="","",SUM(K231:N231))</f>
        <v/>
      </c>
      <c r="U231" s="22" t="str">
        <f aca="false">IF($A231="","",SUM(P231:S231))</f>
        <v/>
      </c>
      <c r="V231" s="22" t="str">
        <f aca="false">IF($A231="","",U231-T231)</f>
        <v/>
      </c>
      <c r="W231" s="23" t="str">
        <f aca="false">IF(OR($A231="",N(T231)=0),"",V231/T231)</f>
        <v/>
      </c>
      <c r="X231" s="18"/>
      <c r="Y231" s="18"/>
      <c r="Z231" s="24" t="str">
        <f aca="false">IF(AND($A231&lt;&gt;"",$X231="Oui",OR(Filtre_Masse="Tous les clients à envoyer",$Y231&lt;&gt;"Email")),MAX(Z$1:Z230)+1,"")</f>
        <v/>
      </c>
    </row>
    <row r="232" customFormat="false" ht="15" hidden="false" customHeight="false" outlineLevel="0" collapsed="false">
      <c r="A232" s="18"/>
      <c r="B232" s="18"/>
      <c r="C232" s="18"/>
      <c r="D232" s="18"/>
      <c r="E232" s="18"/>
      <c r="F232" s="18"/>
      <c r="G232" s="18"/>
      <c r="H232" s="19"/>
      <c r="I232" s="18"/>
      <c r="J232" s="18"/>
      <c r="K232" s="20"/>
      <c r="L232" s="20"/>
      <c r="M232" s="20"/>
      <c r="N232" s="20"/>
      <c r="O232" s="21"/>
      <c r="P232" s="22" t="n">
        <f aca="false">IF(OR($A232="",N(K232)=0),0,CEILING(K232*(1+IF($O232="",Taux_Compta,$O232))-0.005,Pas_Arrondi))</f>
        <v>0</v>
      </c>
      <c r="Q232" s="22" t="n">
        <f aca="false">IF(OR($A232="",N(L232)=0),0,CEILING(L232*(1+IF($O232="",Taux_Paye,$O232))-0.005,Pas_Arrondi))</f>
        <v>0</v>
      </c>
      <c r="R232" s="22" t="n">
        <f aca="false">IF(OR($A232="",N(M232)=0),0,CEILING(M232*(1+IF($O232="",Taux_Jur,$O232))-0.005,Pas_Arrondi))</f>
        <v>0</v>
      </c>
      <c r="S232" s="22" t="n">
        <f aca="false">IF(OR($A232="",N(N232)=0),0,CEILING(N232*(1+IF($O232="",Taux_PA,$O232))-0.005,Pas_Arrondi))</f>
        <v>0</v>
      </c>
      <c r="T232" s="22" t="str">
        <f aca="false">IF($A232="","",SUM(K232:N232))</f>
        <v/>
      </c>
      <c r="U232" s="22" t="str">
        <f aca="false">IF($A232="","",SUM(P232:S232))</f>
        <v/>
      </c>
      <c r="V232" s="22" t="str">
        <f aca="false">IF($A232="","",U232-T232)</f>
        <v/>
      </c>
      <c r="W232" s="23" t="str">
        <f aca="false">IF(OR($A232="",N(T232)=0),"",V232/T232)</f>
        <v/>
      </c>
      <c r="X232" s="18"/>
      <c r="Y232" s="18"/>
      <c r="Z232" s="24" t="str">
        <f aca="false">IF(AND($A232&lt;&gt;"",$X232="Oui",OR(Filtre_Masse="Tous les clients à envoyer",$Y232&lt;&gt;"Email")),MAX(Z$1:Z231)+1,"")</f>
        <v/>
      </c>
    </row>
    <row r="233" customFormat="false" ht="15" hidden="false" customHeight="false" outlineLevel="0" collapsed="false">
      <c r="A233" s="18"/>
      <c r="B233" s="18"/>
      <c r="C233" s="18"/>
      <c r="D233" s="18"/>
      <c r="E233" s="18"/>
      <c r="F233" s="18"/>
      <c r="G233" s="18"/>
      <c r="H233" s="19"/>
      <c r="I233" s="18"/>
      <c r="J233" s="18"/>
      <c r="K233" s="20"/>
      <c r="L233" s="20"/>
      <c r="M233" s="20"/>
      <c r="N233" s="20"/>
      <c r="O233" s="21"/>
      <c r="P233" s="22" t="n">
        <f aca="false">IF(OR($A233="",N(K233)=0),0,CEILING(K233*(1+IF($O233="",Taux_Compta,$O233))-0.005,Pas_Arrondi))</f>
        <v>0</v>
      </c>
      <c r="Q233" s="22" t="n">
        <f aca="false">IF(OR($A233="",N(L233)=0),0,CEILING(L233*(1+IF($O233="",Taux_Paye,$O233))-0.005,Pas_Arrondi))</f>
        <v>0</v>
      </c>
      <c r="R233" s="22" t="n">
        <f aca="false">IF(OR($A233="",N(M233)=0),0,CEILING(M233*(1+IF($O233="",Taux_Jur,$O233))-0.005,Pas_Arrondi))</f>
        <v>0</v>
      </c>
      <c r="S233" s="22" t="n">
        <f aca="false">IF(OR($A233="",N(N233)=0),0,CEILING(N233*(1+IF($O233="",Taux_PA,$O233))-0.005,Pas_Arrondi))</f>
        <v>0</v>
      </c>
      <c r="T233" s="22" t="str">
        <f aca="false">IF($A233="","",SUM(K233:N233))</f>
        <v/>
      </c>
      <c r="U233" s="22" t="str">
        <f aca="false">IF($A233="","",SUM(P233:S233))</f>
        <v/>
      </c>
      <c r="V233" s="22" t="str">
        <f aca="false">IF($A233="","",U233-T233)</f>
        <v/>
      </c>
      <c r="W233" s="23" t="str">
        <f aca="false">IF(OR($A233="",N(T233)=0),"",V233/T233)</f>
        <v/>
      </c>
      <c r="X233" s="18"/>
      <c r="Y233" s="18"/>
      <c r="Z233" s="24" t="str">
        <f aca="false">IF(AND($A233&lt;&gt;"",$X233="Oui",OR(Filtre_Masse="Tous les clients à envoyer",$Y233&lt;&gt;"Email")),MAX(Z$1:Z232)+1,"")</f>
        <v/>
      </c>
    </row>
    <row r="234" customFormat="false" ht="15" hidden="false" customHeight="false" outlineLevel="0" collapsed="false">
      <c r="A234" s="18"/>
      <c r="B234" s="18"/>
      <c r="C234" s="18"/>
      <c r="D234" s="18"/>
      <c r="E234" s="18"/>
      <c r="F234" s="18"/>
      <c r="G234" s="18"/>
      <c r="H234" s="19"/>
      <c r="I234" s="18"/>
      <c r="J234" s="18"/>
      <c r="K234" s="20"/>
      <c r="L234" s="20"/>
      <c r="M234" s="20"/>
      <c r="N234" s="20"/>
      <c r="O234" s="21"/>
      <c r="P234" s="22" t="n">
        <f aca="false">IF(OR($A234="",N(K234)=0),0,CEILING(K234*(1+IF($O234="",Taux_Compta,$O234))-0.005,Pas_Arrondi))</f>
        <v>0</v>
      </c>
      <c r="Q234" s="22" t="n">
        <f aca="false">IF(OR($A234="",N(L234)=0),0,CEILING(L234*(1+IF($O234="",Taux_Paye,$O234))-0.005,Pas_Arrondi))</f>
        <v>0</v>
      </c>
      <c r="R234" s="22" t="n">
        <f aca="false">IF(OR($A234="",N(M234)=0),0,CEILING(M234*(1+IF($O234="",Taux_Jur,$O234))-0.005,Pas_Arrondi))</f>
        <v>0</v>
      </c>
      <c r="S234" s="22" t="n">
        <f aca="false">IF(OR($A234="",N(N234)=0),0,CEILING(N234*(1+IF($O234="",Taux_PA,$O234))-0.005,Pas_Arrondi))</f>
        <v>0</v>
      </c>
      <c r="T234" s="22" t="str">
        <f aca="false">IF($A234="","",SUM(K234:N234))</f>
        <v/>
      </c>
      <c r="U234" s="22" t="str">
        <f aca="false">IF($A234="","",SUM(P234:S234))</f>
        <v/>
      </c>
      <c r="V234" s="22" t="str">
        <f aca="false">IF($A234="","",U234-T234)</f>
        <v/>
      </c>
      <c r="W234" s="23" t="str">
        <f aca="false">IF(OR($A234="",N(T234)=0),"",V234/T234)</f>
        <v/>
      </c>
      <c r="X234" s="18"/>
      <c r="Y234" s="18"/>
      <c r="Z234" s="24" t="str">
        <f aca="false">IF(AND($A234&lt;&gt;"",$X234="Oui",OR(Filtre_Masse="Tous les clients à envoyer",$Y234&lt;&gt;"Email")),MAX(Z$1:Z233)+1,"")</f>
        <v/>
      </c>
    </row>
    <row r="235" customFormat="false" ht="15" hidden="false" customHeight="false" outlineLevel="0" collapsed="false">
      <c r="A235" s="18"/>
      <c r="B235" s="18"/>
      <c r="C235" s="18"/>
      <c r="D235" s="18"/>
      <c r="E235" s="18"/>
      <c r="F235" s="18"/>
      <c r="G235" s="18"/>
      <c r="H235" s="19"/>
      <c r="I235" s="18"/>
      <c r="J235" s="18"/>
      <c r="K235" s="20"/>
      <c r="L235" s="20"/>
      <c r="M235" s="20"/>
      <c r="N235" s="20"/>
      <c r="O235" s="21"/>
      <c r="P235" s="22" t="n">
        <f aca="false">IF(OR($A235="",N(K235)=0),0,CEILING(K235*(1+IF($O235="",Taux_Compta,$O235))-0.005,Pas_Arrondi))</f>
        <v>0</v>
      </c>
      <c r="Q235" s="22" t="n">
        <f aca="false">IF(OR($A235="",N(L235)=0),0,CEILING(L235*(1+IF($O235="",Taux_Paye,$O235))-0.005,Pas_Arrondi))</f>
        <v>0</v>
      </c>
      <c r="R235" s="22" t="n">
        <f aca="false">IF(OR($A235="",N(M235)=0),0,CEILING(M235*(1+IF($O235="",Taux_Jur,$O235))-0.005,Pas_Arrondi))</f>
        <v>0</v>
      </c>
      <c r="S235" s="22" t="n">
        <f aca="false">IF(OR($A235="",N(N235)=0),0,CEILING(N235*(1+IF($O235="",Taux_PA,$O235))-0.005,Pas_Arrondi))</f>
        <v>0</v>
      </c>
      <c r="T235" s="22" t="str">
        <f aca="false">IF($A235="","",SUM(K235:N235))</f>
        <v/>
      </c>
      <c r="U235" s="22" t="str">
        <f aca="false">IF($A235="","",SUM(P235:S235))</f>
        <v/>
      </c>
      <c r="V235" s="22" t="str">
        <f aca="false">IF($A235="","",U235-T235)</f>
        <v/>
      </c>
      <c r="W235" s="23" t="str">
        <f aca="false">IF(OR($A235="",N(T235)=0),"",V235/T235)</f>
        <v/>
      </c>
      <c r="X235" s="18"/>
      <c r="Y235" s="18"/>
      <c r="Z235" s="24" t="str">
        <f aca="false">IF(AND($A235&lt;&gt;"",$X235="Oui",OR(Filtre_Masse="Tous les clients à envoyer",$Y235&lt;&gt;"Email")),MAX(Z$1:Z234)+1,"")</f>
        <v/>
      </c>
    </row>
    <row r="236" customFormat="false" ht="15" hidden="false" customHeight="false" outlineLevel="0" collapsed="false">
      <c r="A236" s="18"/>
      <c r="B236" s="18"/>
      <c r="C236" s="18"/>
      <c r="D236" s="18"/>
      <c r="E236" s="18"/>
      <c r="F236" s="18"/>
      <c r="G236" s="18"/>
      <c r="H236" s="19"/>
      <c r="I236" s="18"/>
      <c r="J236" s="18"/>
      <c r="K236" s="20"/>
      <c r="L236" s="20"/>
      <c r="M236" s="20"/>
      <c r="N236" s="20"/>
      <c r="O236" s="21"/>
      <c r="P236" s="22" t="n">
        <f aca="false">IF(OR($A236="",N(K236)=0),0,CEILING(K236*(1+IF($O236="",Taux_Compta,$O236))-0.005,Pas_Arrondi))</f>
        <v>0</v>
      </c>
      <c r="Q236" s="22" t="n">
        <f aca="false">IF(OR($A236="",N(L236)=0),0,CEILING(L236*(1+IF($O236="",Taux_Paye,$O236))-0.005,Pas_Arrondi))</f>
        <v>0</v>
      </c>
      <c r="R236" s="22" t="n">
        <f aca="false">IF(OR($A236="",N(M236)=0),0,CEILING(M236*(1+IF($O236="",Taux_Jur,$O236))-0.005,Pas_Arrondi))</f>
        <v>0</v>
      </c>
      <c r="S236" s="22" t="n">
        <f aca="false">IF(OR($A236="",N(N236)=0),0,CEILING(N236*(1+IF($O236="",Taux_PA,$O236))-0.005,Pas_Arrondi))</f>
        <v>0</v>
      </c>
      <c r="T236" s="22" t="str">
        <f aca="false">IF($A236="","",SUM(K236:N236))</f>
        <v/>
      </c>
      <c r="U236" s="22" t="str">
        <f aca="false">IF($A236="","",SUM(P236:S236))</f>
        <v/>
      </c>
      <c r="V236" s="22" t="str">
        <f aca="false">IF($A236="","",U236-T236)</f>
        <v/>
      </c>
      <c r="W236" s="23" t="str">
        <f aca="false">IF(OR($A236="",N(T236)=0),"",V236/T236)</f>
        <v/>
      </c>
      <c r="X236" s="18"/>
      <c r="Y236" s="18"/>
      <c r="Z236" s="24" t="str">
        <f aca="false">IF(AND($A236&lt;&gt;"",$X236="Oui",OR(Filtre_Masse="Tous les clients à envoyer",$Y236&lt;&gt;"Email")),MAX(Z$1:Z235)+1,"")</f>
        <v/>
      </c>
    </row>
    <row r="237" customFormat="false" ht="15" hidden="false" customHeight="false" outlineLevel="0" collapsed="false">
      <c r="A237" s="18"/>
      <c r="B237" s="18"/>
      <c r="C237" s="18"/>
      <c r="D237" s="18"/>
      <c r="E237" s="18"/>
      <c r="F237" s="18"/>
      <c r="G237" s="18"/>
      <c r="H237" s="19"/>
      <c r="I237" s="18"/>
      <c r="J237" s="18"/>
      <c r="K237" s="20"/>
      <c r="L237" s="20"/>
      <c r="M237" s="20"/>
      <c r="N237" s="20"/>
      <c r="O237" s="21"/>
      <c r="P237" s="22" t="n">
        <f aca="false">IF(OR($A237="",N(K237)=0),0,CEILING(K237*(1+IF($O237="",Taux_Compta,$O237))-0.005,Pas_Arrondi))</f>
        <v>0</v>
      </c>
      <c r="Q237" s="22" t="n">
        <f aca="false">IF(OR($A237="",N(L237)=0),0,CEILING(L237*(1+IF($O237="",Taux_Paye,$O237))-0.005,Pas_Arrondi))</f>
        <v>0</v>
      </c>
      <c r="R237" s="22" t="n">
        <f aca="false">IF(OR($A237="",N(M237)=0),0,CEILING(M237*(1+IF($O237="",Taux_Jur,$O237))-0.005,Pas_Arrondi))</f>
        <v>0</v>
      </c>
      <c r="S237" s="22" t="n">
        <f aca="false">IF(OR($A237="",N(N237)=0),0,CEILING(N237*(1+IF($O237="",Taux_PA,$O237))-0.005,Pas_Arrondi))</f>
        <v>0</v>
      </c>
      <c r="T237" s="22" t="str">
        <f aca="false">IF($A237="","",SUM(K237:N237))</f>
        <v/>
      </c>
      <c r="U237" s="22" t="str">
        <f aca="false">IF($A237="","",SUM(P237:S237))</f>
        <v/>
      </c>
      <c r="V237" s="22" t="str">
        <f aca="false">IF($A237="","",U237-T237)</f>
        <v/>
      </c>
      <c r="W237" s="23" t="str">
        <f aca="false">IF(OR($A237="",N(T237)=0),"",V237/T237)</f>
        <v/>
      </c>
      <c r="X237" s="18"/>
      <c r="Y237" s="18"/>
      <c r="Z237" s="24" t="str">
        <f aca="false">IF(AND($A237&lt;&gt;"",$X237="Oui",OR(Filtre_Masse="Tous les clients à envoyer",$Y237&lt;&gt;"Email")),MAX(Z$1:Z236)+1,"")</f>
        <v/>
      </c>
    </row>
    <row r="238" customFormat="false" ht="15" hidden="false" customHeight="false" outlineLevel="0" collapsed="false">
      <c r="A238" s="18"/>
      <c r="B238" s="18"/>
      <c r="C238" s="18"/>
      <c r="D238" s="18"/>
      <c r="E238" s="18"/>
      <c r="F238" s="18"/>
      <c r="G238" s="18"/>
      <c r="H238" s="19"/>
      <c r="I238" s="18"/>
      <c r="J238" s="18"/>
      <c r="K238" s="20"/>
      <c r="L238" s="20"/>
      <c r="M238" s="20"/>
      <c r="N238" s="20"/>
      <c r="O238" s="21"/>
      <c r="P238" s="22" t="n">
        <f aca="false">IF(OR($A238="",N(K238)=0),0,CEILING(K238*(1+IF($O238="",Taux_Compta,$O238))-0.005,Pas_Arrondi))</f>
        <v>0</v>
      </c>
      <c r="Q238" s="22" t="n">
        <f aca="false">IF(OR($A238="",N(L238)=0),0,CEILING(L238*(1+IF($O238="",Taux_Paye,$O238))-0.005,Pas_Arrondi))</f>
        <v>0</v>
      </c>
      <c r="R238" s="22" t="n">
        <f aca="false">IF(OR($A238="",N(M238)=0),0,CEILING(M238*(1+IF($O238="",Taux_Jur,$O238))-0.005,Pas_Arrondi))</f>
        <v>0</v>
      </c>
      <c r="S238" s="22" t="n">
        <f aca="false">IF(OR($A238="",N(N238)=0),0,CEILING(N238*(1+IF($O238="",Taux_PA,$O238))-0.005,Pas_Arrondi))</f>
        <v>0</v>
      </c>
      <c r="T238" s="22" t="str">
        <f aca="false">IF($A238="","",SUM(K238:N238))</f>
        <v/>
      </c>
      <c r="U238" s="22" t="str">
        <f aca="false">IF($A238="","",SUM(P238:S238))</f>
        <v/>
      </c>
      <c r="V238" s="22" t="str">
        <f aca="false">IF($A238="","",U238-T238)</f>
        <v/>
      </c>
      <c r="W238" s="23" t="str">
        <f aca="false">IF(OR($A238="",N(T238)=0),"",V238/T238)</f>
        <v/>
      </c>
      <c r="X238" s="18"/>
      <c r="Y238" s="18"/>
      <c r="Z238" s="24" t="str">
        <f aca="false">IF(AND($A238&lt;&gt;"",$X238="Oui",OR(Filtre_Masse="Tous les clients à envoyer",$Y238&lt;&gt;"Email")),MAX(Z$1:Z237)+1,"")</f>
        <v/>
      </c>
    </row>
    <row r="239" customFormat="false" ht="15" hidden="false" customHeight="false" outlineLevel="0" collapsed="false">
      <c r="A239" s="18"/>
      <c r="B239" s="18"/>
      <c r="C239" s="18"/>
      <c r="D239" s="18"/>
      <c r="E239" s="18"/>
      <c r="F239" s="18"/>
      <c r="G239" s="18"/>
      <c r="H239" s="19"/>
      <c r="I239" s="18"/>
      <c r="J239" s="18"/>
      <c r="K239" s="20"/>
      <c r="L239" s="20"/>
      <c r="M239" s="20"/>
      <c r="N239" s="20"/>
      <c r="O239" s="21"/>
      <c r="P239" s="22" t="n">
        <f aca="false">IF(OR($A239="",N(K239)=0),0,CEILING(K239*(1+IF($O239="",Taux_Compta,$O239))-0.005,Pas_Arrondi))</f>
        <v>0</v>
      </c>
      <c r="Q239" s="22" t="n">
        <f aca="false">IF(OR($A239="",N(L239)=0),0,CEILING(L239*(1+IF($O239="",Taux_Paye,$O239))-0.005,Pas_Arrondi))</f>
        <v>0</v>
      </c>
      <c r="R239" s="22" t="n">
        <f aca="false">IF(OR($A239="",N(M239)=0),0,CEILING(M239*(1+IF($O239="",Taux_Jur,$O239))-0.005,Pas_Arrondi))</f>
        <v>0</v>
      </c>
      <c r="S239" s="22" t="n">
        <f aca="false">IF(OR($A239="",N(N239)=0),0,CEILING(N239*(1+IF($O239="",Taux_PA,$O239))-0.005,Pas_Arrondi))</f>
        <v>0</v>
      </c>
      <c r="T239" s="22" t="str">
        <f aca="false">IF($A239="","",SUM(K239:N239))</f>
        <v/>
      </c>
      <c r="U239" s="22" t="str">
        <f aca="false">IF($A239="","",SUM(P239:S239))</f>
        <v/>
      </c>
      <c r="V239" s="22" t="str">
        <f aca="false">IF($A239="","",U239-T239)</f>
        <v/>
      </c>
      <c r="W239" s="23" t="str">
        <f aca="false">IF(OR($A239="",N(T239)=0),"",V239/T239)</f>
        <v/>
      </c>
      <c r="X239" s="18"/>
      <c r="Y239" s="18"/>
      <c r="Z239" s="24" t="str">
        <f aca="false">IF(AND($A239&lt;&gt;"",$X239="Oui",OR(Filtre_Masse="Tous les clients à envoyer",$Y239&lt;&gt;"Email")),MAX(Z$1:Z238)+1,"")</f>
        <v/>
      </c>
    </row>
    <row r="240" customFormat="false" ht="15" hidden="false" customHeight="false" outlineLevel="0" collapsed="false">
      <c r="A240" s="18"/>
      <c r="B240" s="18"/>
      <c r="C240" s="18"/>
      <c r="D240" s="18"/>
      <c r="E240" s="18"/>
      <c r="F240" s="18"/>
      <c r="G240" s="18"/>
      <c r="H240" s="19"/>
      <c r="I240" s="18"/>
      <c r="J240" s="18"/>
      <c r="K240" s="20"/>
      <c r="L240" s="20"/>
      <c r="M240" s="20"/>
      <c r="N240" s="20"/>
      <c r="O240" s="21"/>
      <c r="P240" s="22" t="n">
        <f aca="false">IF(OR($A240="",N(K240)=0),0,CEILING(K240*(1+IF($O240="",Taux_Compta,$O240))-0.005,Pas_Arrondi))</f>
        <v>0</v>
      </c>
      <c r="Q240" s="22" t="n">
        <f aca="false">IF(OR($A240="",N(L240)=0),0,CEILING(L240*(1+IF($O240="",Taux_Paye,$O240))-0.005,Pas_Arrondi))</f>
        <v>0</v>
      </c>
      <c r="R240" s="22" t="n">
        <f aca="false">IF(OR($A240="",N(M240)=0),0,CEILING(M240*(1+IF($O240="",Taux_Jur,$O240))-0.005,Pas_Arrondi))</f>
        <v>0</v>
      </c>
      <c r="S240" s="22" t="n">
        <f aca="false">IF(OR($A240="",N(N240)=0),0,CEILING(N240*(1+IF($O240="",Taux_PA,$O240))-0.005,Pas_Arrondi))</f>
        <v>0</v>
      </c>
      <c r="T240" s="22" t="str">
        <f aca="false">IF($A240="","",SUM(K240:N240))</f>
        <v/>
      </c>
      <c r="U240" s="22" t="str">
        <f aca="false">IF($A240="","",SUM(P240:S240))</f>
        <v/>
      </c>
      <c r="V240" s="22" t="str">
        <f aca="false">IF($A240="","",U240-T240)</f>
        <v/>
      </c>
      <c r="W240" s="23" t="str">
        <f aca="false">IF(OR($A240="",N(T240)=0),"",V240/T240)</f>
        <v/>
      </c>
      <c r="X240" s="18"/>
      <c r="Y240" s="18"/>
      <c r="Z240" s="24" t="str">
        <f aca="false">IF(AND($A240&lt;&gt;"",$X240="Oui",OR(Filtre_Masse="Tous les clients à envoyer",$Y240&lt;&gt;"Email")),MAX(Z$1:Z239)+1,"")</f>
        <v/>
      </c>
    </row>
    <row r="241" customFormat="false" ht="15" hidden="false" customHeight="false" outlineLevel="0" collapsed="false">
      <c r="A241" s="18"/>
      <c r="B241" s="18"/>
      <c r="C241" s="18"/>
      <c r="D241" s="18"/>
      <c r="E241" s="18"/>
      <c r="F241" s="18"/>
      <c r="G241" s="18"/>
      <c r="H241" s="19"/>
      <c r="I241" s="18"/>
      <c r="J241" s="18"/>
      <c r="K241" s="20"/>
      <c r="L241" s="20"/>
      <c r="M241" s="20"/>
      <c r="N241" s="20"/>
      <c r="O241" s="21"/>
      <c r="P241" s="22" t="n">
        <f aca="false">IF(OR($A241="",N(K241)=0),0,CEILING(K241*(1+IF($O241="",Taux_Compta,$O241))-0.005,Pas_Arrondi))</f>
        <v>0</v>
      </c>
      <c r="Q241" s="22" t="n">
        <f aca="false">IF(OR($A241="",N(L241)=0),0,CEILING(L241*(1+IF($O241="",Taux_Paye,$O241))-0.005,Pas_Arrondi))</f>
        <v>0</v>
      </c>
      <c r="R241" s="22" t="n">
        <f aca="false">IF(OR($A241="",N(M241)=0),0,CEILING(M241*(1+IF($O241="",Taux_Jur,$O241))-0.005,Pas_Arrondi))</f>
        <v>0</v>
      </c>
      <c r="S241" s="22" t="n">
        <f aca="false">IF(OR($A241="",N(N241)=0),0,CEILING(N241*(1+IF($O241="",Taux_PA,$O241))-0.005,Pas_Arrondi))</f>
        <v>0</v>
      </c>
      <c r="T241" s="22" t="str">
        <f aca="false">IF($A241="","",SUM(K241:N241))</f>
        <v/>
      </c>
      <c r="U241" s="22" t="str">
        <f aca="false">IF($A241="","",SUM(P241:S241))</f>
        <v/>
      </c>
      <c r="V241" s="22" t="str">
        <f aca="false">IF($A241="","",U241-T241)</f>
        <v/>
      </c>
      <c r="W241" s="23" t="str">
        <f aca="false">IF(OR($A241="",N(T241)=0),"",V241/T241)</f>
        <v/>
      </c>
      <c r="X241" s="18"/>
      <c r="Y241" s="18"/>
      <c r="Z241" s="24" t="str">
        <f aca="false">IF(AND($A241&lt;&gt;"",$X241="Oui",OR(Filtre_Masse="Tous les clients à envoyer",$Y241&lt;&gt;"Email")),MAX(Z$1:Z240)+1,"")</f>
        <v/>
      </c>
    </row>
    <row r="242" customFormat="false" ht="15" hidden="false" customHeight="false" outlineLevel="0" collapsed="false">
      <c r="A242" s="18"/>
      <c r="B242" s="18"/>
      <c r="C242" s="18"/>
      <c r="D242" s="18"/>
      <c r="E242" s="18"/>
      <c r="F242" s="18"/>
      <c r="G242" s="18"/>
      <c r="H242" s="19"/>
      <c r="I242" s="18"/>
      <c r="J242" s="18"/>
      <c r="K242" s="20"/>
      <c r="L242" s="20"/>
      <c r="M242" s="20"/>
      <c r="N242" s="20"/>
      <c r="O242" s="21"/>
      <c r="P242" s="22" t="n">
        <f aca="false">IF(OR($A242="",N(K242)=0),0,CEILING(K242*(1+IF($O242="",Taux_Compta,$O242))-0.005,Pas_Arrondi))</f>
        <v>0</v>
      </c>
      <c r="Q242" s="22" t="n">
        <f aca="false">IF(OR($A242="",N(L242)=0),0,CEILING(L242*(1+IF($O242="",Taux_Paye,$O242))-0.005,Pas_Arrondi))</f>
        <v>0</v>
      </c>
      <c r="R242" s="22" t="n">
        <f aca="false">IF(OR($A242="",N(M242)=0),0,CEILING(M242*(1+IF($O242="",Taux_Jur,$O242))-0.005,Pas_Arrondi))</f>
        <v>0</v>
      </c>
      <c r="S242" s="22" t="n">
        <f aca="false">IF(OR($A242="",N(N242)=0),0,CEILING(N242*(1+IF($O242="",Taux_PA,$O242))-0.005,Pas_Arrondi))</f>
        <v>0</v>
      </c>
      <c r="T242" s="22" t="str">
        <f aca="false">IF($A242="","",SUM(K242:N242))</f>
        <v/>
      </c>
      <c r="U242" s="22" t="str">
        <f aca="false">IF($A242="","",SUM(P242:S242))</f>
        <v/>
      </c>
      <c r="V242" s="22" t="str">
        <f aca="false">IF($A242="","",U242-T242)</f>
        <v/>
      </c>
      <c r="W242" s="23" t="str">
        <f aca="false">IF(OR($A242="",N(T242)=0),"",V242/T242)</f>
        <v/>
      </c>
      <c r="X242" s="18"/>
      <c r="Y242" s="18"/>
      <c r="Z242" s="24" t="str">
        <f aca="false">IF(AND($A242&lt;&gt;"",$X242="Oui",OR(Filtre_Masse="Tous les clients à envoyer",$Y242&lt;&gt;"Email")),MAX(Z$1:Z241)+1,"")</f>
        <v/>
      </c>
    </row>
    <row r="243" customFormat="false" ht="15" hidden="false" customHeight="false" outlineLevel="0" collapsed="false">
      <c r="A243" s="18"/>
      <c r="B243" s="18"/>
      <c r="C243" s="18"/>
      <c r="D243" s="18"/>
      <c r="E243" s="18"/>
      <c r="F243" s="18"/>
      <c r="G243" s="18"/>
      <c r="H243" s="19"/>
      <c r="I243" s="18"/>
      <c r="J243" s="18"/>
      <c r="K243" s="20"/>
      <c r="L243" s="20"/>
      <c r="M243" s="20"/>
      <c r="N243" s="20"/>
      <c r="O243" s="21"/>
      <c r="P243" s="22" t="n">
        <f aca="false">IF(OR($A243="",N(K243)=0),0,CEILING(K243*(1+IF($O243="",Taux_Compta,$O243))-0.005,Pas_Arrondi))</f>
        <v>0</v>
      </c>
      <c r="Q243" s="22" t="n">
        <f aca="false">IF(OR($A243="",N(L243)=0),0,CEILING(L243*(1+IF($O243="",Taux_Paye,$O243))-0.005,Pas_Arrondi))</f>
        <v>0</v>
      </c>
      <c r="R243" s="22" t="n">
        <f aca="false">IF(OR($A243="",N(M243)=0),0,CEILING(M243*(1+IF($O243="",Taux_Jur,$O243))-0.005,Pas_Arrondi))</f>
        <v>0</v>
      </c>
      <c r="S243" s="22" t="n">
        <f aca="false">IF(OR($A243="",N(N243)=0),0,CEILING(N243*(1+IF($O243="",Taux_PA,$O243))-0.005,Pas_Arrondi))</f>
        <v>0</v>
      </c>
      <c r="T243" s="22" t="str">
        <f aca="false">IF($A243="","",SUM(K243:N243))</f>
        <v/>
      </c>
      <c r="U243" s="22" t="str">
        <f aca="false">IF($A243="","",SUM(P243:S243))</f>
        <v/>
      </c>
      <c r="V243" s="22" t="str">
        <f aca="false">IF($A243="","",U243-T243)</f>
        <v/>
      </c>
      <c r="W243" s="23" t="str">
        <f aca="false">IF(OR($A243="",N(T243)=0),"",V243/T243)</f>
        <v/>
      </c>
      <c r="X243" s="18"/>
      <c r="Y243" s="18"/>
      <c r="Z243" s="24" t="str">
        <f aca="false">IF(AND($A243&lt;&gt;"",$X243="Oui",OR(Filtre_Masse="Tous les clients à envoyer",$Y243&lt;&gt;"Email")),MAX(Z$1:Z242)+1,"")</f>
        <v/>
      </c>
    </row>
    <row r="244" customFormat="false" ht="15" hidden="false" customHeight="false" outlineLevel="0" collapsed="false">
      <c r="A244" s="18"/>
      <c r="B244" s="18"/>
      <c r="C244" s="18"/>
      <c r="D244" s="18"/>
      <c r="E244" s="18"/>
      <c r="F244" s="18"/>
      <c r="G244" s="18"/>
      <c r="H244" s="19"/>
      <c r="I244" s="18"/>
      <c r="J244" s="18"/>
      <c r="K244" s="20"/>
      <c r="L244" s="20"/>
      <c r="M244" s="20"/>
      <c r="N244" s="20"/>
      <c r="O244" s="21"/>
      <c r="P244" s="22" t="n">
        <f aca="false">IF(OR($A244="",N(K244)=0),0,CEILING(K244*(1+IF($O244="",Taux_Compta,$O244))-0.005,Pas_Arrondi))</f>
        <v>0</v>
      </c>
      <c r="Q244" s="22" t="n">
        <f aca="false">IF(OR($A244="",N(L244)=0),0,CEILING(L244*(1+IF($O244="",Taux_Paye,$O244))-0.005,Pas_Arrondi))</f>
        <v>0</v>
      </c>
      <c r="R244" s="22" t="n">
        <f aca="false">IF(OR($A244="",N(M244)=0),0,CEILING(M244*(1+IF($O244="",Taux_Jur,$O244))-0.005,Pas_Arrondi))</f>
        <v>0</v>
      </c>
      <c r="S244" s="22" t="n">
        <f aca="false">IF(OR($A244="",N(N244)=0),0,CEILING(N244*(1+IF($O244="",Taux_PA,$O244))-0.005,Pas_Arrondi))</f>
        <v>0</v>
      </c>
      <c r="T244" s="22" t="str">
        <f aca="false">IF($A244="","",SUM(K244:N244))</f>
        <v/>
      </c>
      <c r="U244" s="22" t="str">
        <f aca="false">IF($A244="","",SUM(P244:S244))</f>
        <v/>
      </c>
      <c r="V244" s="22" t="str">
        <f aca="false">IF($A244="","",U244-T244)</f>
        <v/>
      </c>
      <c r="W244" s="23" t="str">
        <f aca="false">IF(OR($A244="",N(T244)=0),"",V244/T244)</f>
        <v/>
      </c>
      <c r="X244" s="18"/>
      <c r="Y244" s="18"/>
      <c r="Z244" s="24" t="str">
        <f aca="false">IF(AND($A244&lt;&gt;"",$X244="Oui",OR(Filtre_Masse="Tous les clients à envoyer",$Y244&lt;&gt;"Email")),MAX(Z$1:Z243)+1,"")</f>
        <v/>
      </c>
    </row>
    <row r="245" customFormat="false" ht="15" hidden="false" customHeight="false" outlineLevel="0" collapsed="false">
      <c r="A245" s="18"/>
      <c r="B245" s="18"/>
      <c r="C245" s="18"/>
      <c r="D245" s="18"/>
      <c r="E245" s="18"/>
      <c r="F245" s="18"/>
      <c r="G245" s="18"/>
      <c r="H245" s="19"/>
      <c r="I245" s="18"/>
      <c r="J245" s="18"/>
      <c r="K245" s="20"/>
      <c r="L245" s="20"/>
      <c r="M245" s="20"/>
      <c r="N245" s="20"/>
      <c r="O245" s="21"/>
      <c r="P245" s="22" t="n">
        <f aca="false">IF(OR($A245="",N(K245)=0),0,CEILING(K245*(1+IF($O245="",Taux_Compta,$O245))-0.005,Pas_Arrondi))</f>
        <v>0</v>
      </c>
      <c r="Q245" s="22" t="n">
        <f aca="false">IF(OR($A245="",N(L245)=0),0,CEILING(L245*(1+IF($O245="",Taux_Paye,$O245))-0.005,Pas_Arrondi))</f>
        <v>0</v>
      </c>
      <c r="R245" s="22" t="n">
        <f aca="false">IF(OR($A245="",N(M245)=0),0,CEILING(M245*(1+IF($O245="",Taux_Jur,$O245))-0.005,Pas_Arrondi))</f>
        <v>0</v>
      </c>
      <c r="S245" s="22" t="n">
        <f aca="false">IF(OR($A245="",N(N245)=0),0,CEILING(N245*(1+IF($O245="",Taux_PA,$O245))-0.005,Pas_Arrondi))</f>
        <v>0</v>
      </c>
      <c r="T245" s="22" t="str">
        <f aca="false">IF($A245="","",SUM(K245:N245))</f>
        <v/>
      </c>
      <c r="U245" s="22" t="str">
        <f aca="false">IF($A245="","",SUM(P245:S245))</f>
        <v/>
      </c>
      <c r="V245" s="22" t="str">
        <f aca="false">IF($A245="","",U245-T245)</f>
        <v/>
      </c>
      <c r="W245" s="23" t="str">
        <f aca="false">IF(OR($A245="",N(T245)=0),"",V245/T245)</f>
        <v/>
      </c>
      <c r="X245" s="18"/>
      <c r="Y245" s="18"/>
      <c r="Z245" s="24" t="str">
        <f aca="false">IF(AND($A245&lt;&gt;"",$X245="Oui",OR(Filtre_Masse="Tous les clients à envoyer",$Y245&lt;&gt;"Email")),MAX(Z$1:Z244)+1,"")</f>
        <v/>
      </c>
    </row>
    <row r="246" customFormat="false" ht="15" hidden="false" customHeight="false" outlineLevel="0" collapsed="false">
      <c r="A246" s="18"/>
      <c r="B246" s="18"/>
      <c r="C246" s="18"/>
      <c r="D246" s="18"/>
      <c r="E246" s="18"/>
      <c r="F246" s="18"/>
      <c r="G246" s="18"/>
      <c r="H246" s="19"/>
      <c r="I246" s="18"/>
      <c r="J246" s="18"/>
      <c r="K246" s="20"/>
      <c r="L246" s="20"/>
      <c r="M246" s="20"/>
      <c r="N246" s="20"/>
      <c r="O246" s="21"/>
      <c r="P246" s="22" t="n">
        <f aca="false">IF(OR($A246="",N(K246)=0),0,CEILING(K246*(1+IF($O246="",Taux_Compta,$O246))-0.005,Pas_Arrondi))</f>
        <v>0</v>
      </c>
      <c r="Q246" s="22" t="n">
        <f aca="false">IF(OR($A246="",N(L246)=0),0,CEILING(L246*(1+IF($O246="",Taux_Paye,$O246))-0.005,Pas_Arrondi))</f>
        <v>0</v>
      </c>
      <c r="R246" s="22" t="n">
        <f aca="false">IF(OR($A246="",N(M246)=0),0,CEILING(M246*(1+IF($O246="",Taux_Jur,$O246))-0.005,Pas_Arrondi))</f>
        <v>0</v>
      </c>
      <c r="S246" s="22" t="n">
        <f aca="false">IF(OR($A246="",N(N246)=0),0,CEILING(N246*(1+IF($O246="",Taux_PA,$O246))-0.005,Pas_Arrondi))</f>
        <v>0</v>
      </c>
      <c r="T246" s="22" t="str">
        <f aca="false">IF($A246="","",SUM(K246:N246))</f>
        <v/>
      </c>
      <c r="U246" s="22" t="str">
        <f aca="false">IF($A246="","",SUM(P246:S246))</f>
        <v/>
      </c>
      <c r="V246" s="22" t="str">
        <f aca="false">IF($A246="","",U246-T246)</f>
        <v/>
      </c>
      <c r="W246" s="23" t="str">
        <f aca="false">IF(OR($A246="",N(T246)=0),"",V246/T246)</f>
        <v/>
      </c>
      <c r="X246" s="18"/>
      <c r="Y246" s="18"/>
      <c r="Z246" s="24" t="str">
        <f aca="false">IF(AND($A246&lt;&gt;"",$X246="Oui",OR(Filtre_Masse="Tous les clients à envoyer",$Y246&lt;&gt;"Email")),MAX(Z$1:Z245)+1,"")</f>
        <v/>
      </c>
    </row>
    <row r="247" customFormat="false" ht="15" hidden="false" customHeight="false" outlineLevel="0" collapsed="false">
      <c r="A247" s="18"/>
      <c r="B247" s="18"/>
      <c r="C247" s="18"/>
      <c r="D247" s="18"/>
      <c r="E247" s="18"/>
      <c r="F247" s="18"/>
      <c r="G247" s="18"/>
      <c r="H247" s="19"/>
      <c r="I247" s="18"/>
      <c r="J247" s="18"/>
      <c r="K247" s="20"/>
      <c r="L247" s="20"/>
      <c r="M247" s="20"/>
      <c r="N247" s="20"/>
      <c r="O247" s="21"/>
      <c r="P247" s="22" t="n">
        <f aca="false">IF(OR($A247="",N(K247)=0),0,CEILING(K247*(1+IF($O247="",Taux_Compta,$O247))-0.005,Pas_Arrondi))</f>
        <v>0</v>
      </c>
      <c r="Q247" s="22" t="n">
        <f aca="false">IF(OR($A247="",N(L247)=0),0,CEILING(L247*(1+IF($O247="",Taux_Paye,$O247))-0.005,Pas_Arrondi))</f>
        <v>0</v>
      </c>
      <c r="R247" s="22" t="n">
        <f aca="false">IF(OR($A247="",N(M247)=0),0,CEILING(M247*(1+IF($O247="",Taux_Jur,$O247))-0.005,Pas_Arrondi))</f>
        <v>0</v>
      </c>
      <c r="S247" s="22" t="n">
        <f aca="false">IF(OR($A247="",N(N247)=0),0,CEILING(N247*(1+IF($O247="",Taux_PA,$O247))-0.005,Pas_Arrondi))</f>
        <v>0</v>
      </c>
      <c r="T247" s="22" t="str">
        <f aca="false">IF($A247="","",SUM(K247:N247))</f>
        <v/>
      </c>
      <c r="U247" s="22" t="str">
        <f aca="false">IF($A247="","",SUM(P247:S247))</f>
        <v/>
      </c>
      <c r="V247" s="22" t="str">
        <f aca="false">IF($A247="","",U247-T247)</f>
        <v/>
      </c>
      <c r="W247" s="23" t="str">
        <f aca="false">IF(OR($A247="",N(T247)=0),"",V247/T247)</f>
        <v/>
      </c>
      <c r="X247" s="18"/>
      <c r="Y247" s="18"/>
      <c r="Z247" s="24" t="str">
        <f aca="false">IF(AND($A247&lt;&gt;"",$X247="Oui",OR(Filtre_Masse="Tous les clients à envoyer",$Y247&lt;&gt;"Email")),MAX(Z$1:Z246)+1,"")</f>
        <v/>
      </c>
    </row>
    <row r="248" customFormat="false" ht="15" hidden="false" customHeight="false" outlineLevel="0" collapsed="false">
      <c r="A248" s="18"/>
      <c r="B248" s="18"/>
      <c r="C248" s="18"/>
      <c r="D248" s="18"/>
      <c r="E248" s="18"/>
      <c r="F248" s="18"/>
      <c r="G248" s="18"/>
      <c r="H248" s="19"/>
      <c r="I248" s="18"/>
      <c r="J248" s="18"/>
      <c r="K248" s="20"/>
      <c r="L248" s="20"/>
      <c r="M248" s="20"/>
      <c r="N248" s="20"/>
      <c r="O248" s="21"/>
      <c r="P248" s="22" t="n">
        <f aca="false">IF(OR($A248="",N(K248)=0),0,CEILING(K248*(1+IF($O248="",Taux_Compta,$O248))-0.005,Pas_Arrondi))</f>
        <v>0</v>
      </c>
      <c r="Q248" s="22" t="n">
        <f aca="false">IF(OR($A248="",N(L248)=0),0,CEILING(L248*(1+IF($O248="",Taux_Paye,$O248))-0.005,Pas_Arrondi))</f>
        <v>0</v>
      </c>
      <c r="R248" s="22" t="n">
        <f aca="false">IF(OR($A248="",N(M248)=0),0,CEILING(M248*(1+IF($O248="",Taux_Jur,$O248))-0.005,Pas_Arrondi))</f>
        <v>0</v>
      </c>
      <c r="S248" s="22" t="n">
        <f aca="false">IF(OR($A248="",N(N248)=0),0,CEILING(N248*(1+IF($O248="",Taux_PA,$O248))-0.005,Pas_Arrondi))</f>
        <v>0</v>
      </c>
      <c r="T248" s="22" t="str">
        <f aca="false">IF($A248="","",SUM(K248:N248))</f>
        <v/>
      </c>
      <c r="U248" s="22" t="str">
        <f aca="false">IF($A248="","",SUM(P248:S248))</f>
        <v/>
      </c>
      <c r="V248" s="22" t="str">
        <f aca="false">IF($A248="","",U248-T248)</f>
        <v/>
      </c>
      <c r="W248" s="23" t="str">
        <f aca="false">IF(OR($A248="",N(T248)=0),"",V248/T248)</f>
        <v/>
      </c>
      <c r="X248" s="18"/>
      <c r="Y248" s="18"/>
      <c r="Z248" s="24" t="str">
        <f aca="false">IF(AND($A248&lt;&gt;"",$X248="Oui",OR(Filtre_Masse="Tous les clients à envoyer",$Y248&lt;&gt;"Email")),MAX(Z$1:Z247)+1,"")</f>
        <v/>
      </c>
    </row>
    <row r="249" customFormat="false" ht="15" hidden="false" customHeight="false" outlineLevel="0" collapsed="false">
      <c r="A249" s="18"/>
      <c r="B249" s="18"/>
      <c r="C249" s="18"/>
      <c r="D249" s="18"/>
      <c r="E249" s="18"/>
      <c r="F249" s="18"/>
      <c r="G249" s="18"/>
      <c r="H249" s="19"/>
      <c r="I249" s="18"/>
      <c r="J249" s="18"/>
      <c r="K249" s="20"/>
      <c r="L249" s="20"/>
      <c r="M249" s="20"/>
      <c r="N249" s="20"/>
      <c r="O249" s="21"/>
      <c r="P249" s="22" t="n">
        <f aca="false">IF(OR($A249="",N(K249)=0),0,CEILING(K249*(1+IF($O249="",Taux_Compta,$O249))-0.005,Pas_Arrondi))</f>
        <v>0</v>
      </c>
      <c r="Q249" s="22" t="n">
        <f aca="false">IF(OR($A249="",N(L249)=0),0,CEILING(L249*(1+IF($O249="",Taux_Paye,$O249))-0.005,Pas_Arrondi))</f>
        <v>0</v>
      </c>
      <c r="R249" s="22" t="n">
        <f aca="false">IF(OR($A249="",N(M249)=0),0,CEILING(M249*(1+IF($O249="",Taux_Jur,$O249))-0.005,Pas_Arrondi))</f>
        <v>0</v>
      </c>
      <c r="S249" s="22" t="n">
        <f aca="false">IF(OR($A249="",N(N249)=0),0,CEILING(N249*(1+IF($O249="",Taux_PA,$O249))-0.005,Pas_Arrondi))</f>
        <v>0</v>
      </c>
      <c r="T249" s="22" t="str">
        <f aca="false">IF($A249="","",SUM(K249:N249))</f>
        <v/>
      </c>
      <c r="U249" s="22" t="str">
        <f aca="false">IF($A249="","",SUM(P249:S249))</f>
        <v/>
      </c>
      <c r="V249" s="22" t="str">
        <f aca="false">IF($A249="","",U249-T249)</f>
        <v/>
      </c>
      <c r="W249" s="23" t="str">
        <f aca="false">IF(OR($A249="",N(T249)=0),"",V249/T249)</f>
        <v/>
      </c>
      <c r="X249" s="18"/>
      <c r="Y249" s="18"/>
      <c r="Z249" s="24" t="str">
        <f aca="false">IF(AND($A249&lt;&gt;"",$X249="Oui",OR(Filtre_Masse="Tous les clients à envoyer",$Y249&lt;&gt;"Email")),MAX(Z$1:Z248)+1,"")</f>
        <v/>
      </c>
    </row>
    <row r="250" customFormat="false" ht="15" hidden="false" customHeight="false" outlineLevel="0" collapsed="false">
      <c r="A250" s="18"/>
      <c r="B250" s="18"/>
      <c r="C250" s="18"/>
      <c r="D250" s="18"/>
      <c r="E250" s="18"/>
      <c r="F250" s="18"/>
      <c r="G250" s="18"/>
      <c r="H250" s="19"/>
      <c r="I250" s="18"/>
      <c r="J250" s="18"/>
      <c r="K250" s="20"/>
      <c r="L250" s="20"/>
      <c r="M250" s="20"/>
      <c r="N250" s="20"/>
      <c r="O250" s="21"/>
      <c r="P250" s="22" t="n">
        <f aca="false">IF(OR($A250="",N(K250)=0),0,CEILING(K250*(1+IF($O250="",Taux_Compta,$O250))-0.005,Pas_Arrondi))</f>
        <v>0</v>
      </c>
      <c r="Q250" s="22" t="n">
        <f aca="false">IF(OR($A250="",N(L250)=0),0,CEILING(L250*(1+IF($O250="",Taux_Paye,$O250))-0.005,Pas_Arrondi))</f>
        <v>0</v>
      </c>
      <c r="R250" s="22" t="n">
        <f aca="false">IF(OR($A250="",N(M250)=0),0,CEILING(M250*(1+IF($O250="",Taux_Jur,$O250))-0.005,Pas_Arrondi))</f>
        <v>0</v>
      </c>
      <c r="S250" s="22" t="n">
        <f aca="false">IF(OR($A250="",N(N250)=0),0,CEILING(N250*(1+IF($O250="",Taux_PA,$O250))-0.005,Pas_Arrondi))</f>
        <v>0</v>
      </c>
      <c r="T250" s="22" t="str">
        <f aca="false">IF($A250="","",SUM(K250:N250))</f>
        <v/>
      </c>
      <c r="U250" s="22" t="str">
        <f aca="false">IF($A250="","",SUM(P250:S250))</f>
        <v/>
      </c>
      <c r="V250" s="22" t="str">
        <f aca="false">IF($A250="","",U250-T250)</f>
        <v/>
      </c>
      <c r="W250" s="23" t="str">
        <f aca="false">IF(OR($A250="",N(T250)=0),"",V250/T250)</f>
        <v/>
      </c>
      <c r="X250" s="18"/>
      <c r="Y250" s="18"/>
      <c r="Z250" s="24" t="str">
        <f aca="false">IF(AND($A250&lt;&gt;"",$X250="Oui",OR(Filtre_Masse="Tous les clients à envoyer",$Y250&lt;&gt;"Email")),MAX(Z$1:Z249)+1,"")</f>
        <v/>
      </c>
    </row>
    <row r="251" customFormat="false" ht="15" hidden="false" customHeight="false" outlineLevel="0" collapsed="false">
      <c r="A251" s="18"/>
      <c r="B251" s="18"/>
      <c r="C251" s="18"/>
      <c r="D251" s="18"/>
      <c r="E251" s="18"/>
      <c r="F251" s="18"/>
      <c r="G251" s="18"/>
      <c r="H251" s="19"/>
      <c r="I251" s="18"/>
      <c r="J251" s="18"/>
      <c r="K251" s="20"/>
      <c r="L251" s="20"/>
      <c r="M251" s="20"/>
      <c r="N251" s="20"/>
      <c r="O251" s="21"/>
      <c r="P251" s="22" t="n">
        <f aca="false">IF(OR($A251="",N(K251)=0),0,CEILING(K251*(1+IF($O251="",Taux_Compta,$O251))-0.005,Pas_Arrondi))</f>
        <v>0</v>
      </c>
      <c r="Q251" s="22" t="n">
        <f aca="false">IF(OR($A251="",N(L251)=0),0,CEILING(L251*(1+IF($O251="",Taux_Paye,$O251))-0.005,Pas_Arrondi))</f>
        <v>0</v>
      </c>
      <c r="R251" s="22" t="n">
        <f aca="false">IF(OR($A251="",N(M251)=0),0,CEILING(M251*(1+IF($O251="",Taux_Jur,$O251))-0.005,Pas_Arrondi))</f>
        <v>0</v>
      </c>
      <c r="S251" s="22" t="n">
        <f aca="false">IF(OR($A251="",N(N251)=0),0,CEILING(N251*(1+IF($O251="",Taux_PA,$O251))-0.005,Pas_Arrondi))</f>
        <v>0</v>
      </c>
      <c r="T251" s="22" t="str">
        <f aca="false">IF($A251="","",SUM(K251:N251))</f>
        <v/>
      </c>
      <c r="U251" s="22" t="str">
        <f aca="false">IF($A251="","",SUM(P251:S251))</f>
        <v/>
      </c>
      <c r="V251" s="22" t="str">
        <f aca="false">IF($A251="","",U251-T251)</f>
        <v/>
      </c>
      <c r="W251" s="23" t="str">
        <f aca="false">IF(OR($A251="",N(T251)=0),"",V251/T251)</f>
        <v/>
      </c>
      <c r="X251" s="18"/>
      <c r="Y251" s="18"/>
      <c r="Z251" s="24" t="str">
        <f aca="false">IF(AND($A251&lt;&gt;"",$X251="Oui",OR(Filtre_Masse="Tous les clients à envoyer",$Y251&lt;&gt;"Email")),MAX(Z$1:Z250)+1,"")</f>
        <v/>
      </c>
    </row>
    <row r="252" customFormat="false" ht="15" hidden="false" customHeight="false" outlineLevel="0" collapsed="false">
      <c r="A252" s="18"/>
      <c r="B252" s="18"/>
      <c r="C252" s="18"/>
      <c r="D252" s="18"/>
      <c r="E252" s="18"/>
      <c r="F252" s="18"/>
      <c r="G252" s="18"/>
      <c r="H252" s="19"/>
      <c r="I252" s="18"/>
      <c r="J252" s="18"/>
      <c r="K252" s="20"/>
      <c r="L252" s="20"/>
      <c r="M252" s="20"/>
      <c r="N252" s="20"/>
      <c r="O252" s="21"/>
      <c r="P252" s="22" t="n">
        <f aca="false">IF(OR($A252="",N(K252)=0),0,CEILING(K252*(1+IF($O252="",Taux_Compta,$O252))-0.005,Pas_Arrondi))</f>
        <v>0</v>
      </c>
      <c r="Q252" s="22" t="n">
        <f aca="false">IF(OR($A252="",N(L252)=0),0,CEILING(L252*(1+IF($O252="",Taux_Paye,$O252))-0.005,Pas_Arrondi))</f>
        <v>0</v>
      </c>
      <c r="R252" s="22" t="n">
        <f aca="false">IF(OR($A252="",N(M252)=0),0,CEILING(M252*(1+IF($O252="",Taux_Jur,$O252))-0.005,Pas_Arrondi))</f>
        <v>0</v>
      </c>
      <c r="S252" s="22" t="n">
        <f aca="false">IF(OR($A252="",N(N252)=0),0,CEILING(N252*(1+IF($O252="",Taux_PA,$O252))-0.005,Pas_Arrondi))</f>
        <v>0</v>
      </c>
      <c r="T252" s="22" t="str">
        <f aca="false">IF($A252="","",SUM(K252:N252))</f>
        <v/>
      </c>
      <c r="U252" s="22" t="str">
        <f aca="false">IF($A252="","",SUM(P252:S252))</f>
        <v/>
      </c>
      <c r="V252" s="22" t="str">
        <f aca="false">IF($A252="","",U252-T252)</f>
        <v/>
      </c>
      <c r="W252" s="23" t="str">
        <f aca="false">IF(OR($A252="",N(T252)=0),"",V252/T252)</f>
        <v/>
      </c>
      <c r="X252" s="18"/>
      <c r="Y252" s="18"/>
      <c r="Z252" s="24" t="str">
        <f aca="false">IF(AND($A252&lt;&gt;"",$X252="Oui",OR(Filtre_Masse="Tous les clients à envoyer",$Y252&lt;&gt;"Email")),MAX(Z$1:Z251)+1,"")</f>
        <v/>
      </c>
    </row>
    <row r="253" customFormat="false" ht="15" hidden="false" customHeight="false" outlineLevel="0" collapsed="false">
      <c r="A253" s="18"/>
      <c r="B253" s="18"/>
      <c r="C253" s="18"/>
      <c r="D253" s="18"/>
      <c r="E253" s="18"/>
      <c r="F253" s="18"/>
      <c r="G253" s="18"/>
      <c r="H253" s="19"/>
      <c r="I253" s="18"/>
      <c r="J253" s="18"/>
      <c r="K253" s="20"/>
      <c r="L253" s="20"/>
      <c r="M253" s="20"/>
      <c r="N253" s="20"/>
      <c r="O253" s="21"/>
      <c r="P253" s="22" t="n">
        <f aca="false">IF(OR($A253="",N(K253)=0),0,CEILING(K253*(1+IF($O253="",Taux_Compta,$O253))-0.005,Pas_Arrondi))</f>
        <v>0</v>
      </c>
      <c r="Q253" s="22" t="n">
        <f aca="false">IF(OR($A253="",N(L253)=0),0,CEILING(L253*(1+IF($O253="",Taux_Paye,$O253))-0.005,Pas_Arrondi))</f>
        <v>0</v>
      </c>
      <c r="R253" s="22" t="n">
        <f aca="false">IF(OR($A253="",N(M253)=0),0,CEILING(M253*(1+IF($O253="",Taux_Jur,$O253))-0.005,Pas_Arrondi))</f>
        <v>0</v>
      </c>
      <c r="S253" s="22" t="n">
        <f aca="false">IF(OR($A253="",N(N253)=0),0,CEILING(N253*(1+IF($O253="",Taux_PA,$O253))-0.005,Pas_Arrondi))</f>
        <v>0</v>
      </c>
      <c r="T253" s="22" t="str">
        <f aca="false">IF($A253="","",SUM(K253:N253))</f>
        <v/>
      </c>
      <c r="U253" s="22" t="str">
        <f aca="false">IF($A253="","",SUM(P253:S253))</f>
        <v/>
      </c>
      <c r="V253" s="22" t="str">
        <f aca="false">IF($A253="","",U253-T253)</f>
        <v/>
      </c>
      <c r="W253" s="23" t="str">
        <f aca="false">IF(OR($A253="",N(T253)=0),"",V253/T253)</f>
        <v/>
      </c>
      <c r="X253" s="18"/>
      <c r="Y253" s="18"/>
      <c r="Z253" s="24" t="str">
        <f aca="false">IF(AND($A253&lt;&gt;"",$X253="Oui",OR(Filtre_Masse="Tous les clients à envoyer",$Y253&lt;&gt;"Email")),MAX(Z$1:Z252)+1,"")</f>
        <v/>
      </c>
    </row>
    <row r="254" customFormat="false" ht="15" hidden="false" customHeight="false" outlineLevel="0" collapsed="false">
      <c r="A254" s="18"/>
      <c r="B254" s="18"/>
      <c r="C254" s="18"/>
      <c r="D254" s="18"/>
      <c r="E254" s="18"/>
      <c r="F254" s="18"/>
      <c r="G254" s="18"/>
      <c r="H254" s="19"/>
      <c r="I254" s="18"/>
      <c r="J254" s="18"/>
      <c r="K254" s="20"/>
      <c r="L254" s="20"/>
      <c r="M254" s="20"/>
      <c r="N254" s="20"/>
      <c r="O254" s="21"/>
      <c r="P254" s="22" t="n">
        <f aca="false">IF(OR($A254="",N(K254)=0),0,CEILING(K254*(1+IF($O254="",Taux_Compta,$O254))-0.005,Pas_Arrondi))</f>
        <v>0</v>
      </c>
      <c r="Q254" s="22" t="n">
        <f aca="false">IF(OR($A254="",N(L254)=0),0,CEILING(L254*(1+IF($O254="",Taux_Paye,$O254))-0.005,Pas_Arrondi))</f>
        <v>0</v>
      </c>
      <c r="R254" s="22" t="n">
        <f aca="false">IF(OR($A254="",N(M254)=0),0,CEILING(M254*(1+IF($O254="",Taux_Jur,$O254))-0.005,Pas_Arrondi))</f>
        <v>0</v>
      </c>
      <c r="S254" s="22" t="n">
        <f aca="false">IF(OR($A254="",N(N254)=0),0,CEILING(N254*(1+IF($O254="",Taux_PA,$O254))-0.005,Pas_Arrondi))</f>
        <v>0</v>
      </c>
      <c r="T254" s="22" t="str">
        <f aca="false">IF($A254="","",SUM(K254:N254))</f>
        <v/>
      </c>
      <c r="U254" s="22" t="str">
        <f aca="false">IF($A254="","",SUM(P254:S254))</f>
        <v/>
      </c>
      <c r="V254" s="22" t="str">
        <f aca="false">IF($A254="","",U254-T254)</f>
        <v/>
      </c>
      <c r="W254" s="23" t="str">
        <f aca="false">IF(OR($A254="",N(T254)=0),"",V254/T254)</f>
        <v/>
      </c>
      <c r="X254" s="18"/>
      <c r="Y254" s="18"/>
      <c r="Z254" s="24" t="str">
        <f aca="false">IF(AND($A254&lt;&gt;"",$X254="Oui",OR(Filtre_Masse="Tous les clients à envoyer",$Y254&lt;&gt;"Email")),MAX(Z$1:Z253)+1,"")</f>
        <v/>
      </c>
    </row>
    <row r="255" customFormat="false" ht="15" hidden="false" customHeight="false" outlineLevel="0" collapsed="false">
      <c r="A255" s="18"/>
      <c r="B255" s="18"/>
      <c r="C255" s="18"/>
      <c r="D255" s="18"/>
      <c r="E255" s="18"/>
      <c r="F255" s="18"/>
      <c r="G255" s="18"/>
      <c r="H255" s="19"/>
      <c r="I255" s="18"/>
      <c r="J255" s="18"/>
      <c r="K255" s="20"/>
      <c r="L255" s="20"/>
      <c r="M255" s="20"/>
      <c r="N255" s="20"/>
      <c r="O255" s="21"/>
      <c r="P255" s="22" t="n">
        <f aca="false">IF(OR($A255="",N(K255)=0),0,CEILING(K255*(1+IF($O255="",Taux_Compta,$O255))-0.005,Pas_Arrondi))</f>
        <v>0</v>
      </c>
      <c r="Q255" s="22" t="n">
        <f aca="false">IF(OR($A255="",N(L255)=0),0,CEILING(L255*(1+IF($O255="",Taux_Paye,$O255))-0.005,Pas_Arrondi))</f>
        <v>0</v>
      </c>
      <c r="R255" s="22" t="n">
        <f aca="false">IF(OR($A255="",N(M255)=0),0,CEILING(M255*(1+IF($O255="",Taux_Jur,$O255))-0.005,Pas_Arrondi))</f>
        <v>0</v>
      </c>
      <c r="S255" s="22" t="n">
        <f aca="false">IF(OR($A255="",N(N255)=0),0,CEILING(N255*(1+IF($O255="",Taux_PA,$O255))-0.005,Pas_Arrondi))</f>
        <v>0</v>
      </c>
      <c r="T255" s="22" t="str">
        <f aca="false">IF($A255="","",SUM(K255:N255))</f>
        <v/>
      </c>
      <c r="U255" s="22" t="str">
        <f aca="false">IF($A255="","",SUM(P255:S255))</f>
        <v/>
      </c>
      <c r="V255" s="22" t="str">
        <f aca="false">IF($A255="","",U255-T255)</f>
        <v/>
      </c>
      <c r="W255" s="23" t="str">
        <f aca="false">IF(OR($A255="",N(T255)=0),"",V255/T255)</f>
        <v/>
      </c>
      <c r="X255" s="18"/>
      <c r="Y255" s="18"/>
      <c r="Z255" s="24" t="str">
        <f aca="false">IF(AND($A255&lt;&gt;"",$X255="Oui",OR(Filtre_Masse="Tous les clients à envoyer",$Y255&lt;&gt;"Email")),MAX(Z$1:Z254)+1,"")</f>
        <v/>
      </c>
    </row>
    <row r="256" customFormat="false" ht="15" hidden="false" customHeight="false" outlineLevel="0" collapsed="false">
      <c r="A256" s="18"/>
      <c r="B256" s="18"/>
      <c r="C256" s="18"/>
      <c r="D256" s="18"/>
      <c r="E256" s="18"/>
      <c r="F256" s="18"/>
      <c r="G256" s="18"/>
      <c r="H256" s="19"/>
      <c r="I256" s="18"/>
      <c r="J256" s="18"/>
      <c r="K256" s="20"/>
      <c r="L256" s="20"/>
      <c r="M256" s="20"/>
      <c r="N256" s="20"/>
      <c r="O256" s="21"/>
      <c r="P256" s="22" t="n">
        <f aca="false">IF(OR($A256="",N(K256)=0),0,CEILING(K256*(1+IF($O256="",Taux_Compta,$O256))-0.005,Pas_Arrondi))</f>
        <v>0</v>
      </c>
      <c r="Q256" s="22" t="n">
        <f aca="false">IF(OR($A256="",N(L256)=0),0,CEILING(L256*(1+IF($O256="",Taux_Paye,$O256))-0.005,Pas_Arrondi))</f>
        <v>0</v>
      </c>
      <c r="R256" s="22" t="n">
        <f aca="false">IF(OR($A256="",N(M256)=0),0,CEILING(M256*(1+IF($O256="",Taux_Jur,$O256))-0.005,Pas_Arrondi))</f>
        <v>0</v>
      </c>
      <c r="S256" s="22" t="n">
        <f aca="false">IF(OR($A256="",N(N256)=0),0,CEILING(N256*(1+IF($O256="",Taux_PA,$O256))-0.005,Pas_Arrondi))</f>
        <v>0</v>
      </c>
      <c r="T256" s="22" t="str">
        <f aca="false">IF($A256="","",SUM(K256:N256))</f>
        <v/>
      </c>
      <c r="U256" s="22" t="str">
        <f aca="false">IF($A256="","",SUM(P256:S256))</f>
        <v/>
      </c>
      <c r="V256" s="22" t="str">
        <f aca="false">IF($A256="","",U256-T256)</f>
        <v/>
      </c>
      <c r="W256" s="23" t="str">
        <f aca="false">IF(OR($A256="",N(T256)=0),"",V256/T256)</f>
        <v/>
      </c>
      <c r="X256" s="18"/>
      <c r="Y256" s="18"/>
      <c r="Z256" s="24" t="str">
        <f aca="false">IF(AND($A256&lt;&gt;"",$X256="Oui",OR(Filtre_Masse="Tous les clients à envoyer",$Y256&lt;&gt;"Email")),MAX(Z$1:Z255)+1,"")</f>
        <v/>
      </c>
    </row>
    <row r="257" customFormat="false" ht="15" hidden="false" customHeight="false" outlineLevel="0" collapsed="false">
      <c r="A257" s="18"/>
      <c r="B257" s="18"/>
      <c r="C257" s="18"/>
      <c r="D257" s="18"/>
      <c r="E257" s="18"/>
      <c r="F257" s="18"/>
      <c r="G257" s="18"/>
      <c r="H257" s="19"/>
      <c r="I257" s="18"/>
      <c r="J257" s="18"/>
      <c r="K257" s="20"/>
      <c r="L257" s="20"/>
      <c r="M257" s="20"/>
      <c r="N257" s="20"/>
      <c r="O257" s="21"/>
      <c r="P257" s="22" t="n">
        <f aca="false">IF(OR($A257="",N(K257)=0),0,CEILING(K257*(1+IF($O257="",Taux_Compta,$O257))-0.005,Pas_Arrondi))</f>
        <v>0</v>
      </c>
      <c r="Q257" s="22" t="n">
        <f aca="false">IF(OR($A257="",N(L257)=0),0,CEILING(L257*(1+IF($O257="",Taux_Paye,$O257))-0.005,Pas_Arrondi))</f>
        <v>0</v>
      </c>
      <c r="R257" s="22" t="n">
        <f aca="false">IF(OR($A257="",N(M257)=0),0,CEILING(M257*(1+IF($O257="",Taux_Jur,$O257))-0.005,Pas_Arrondi))</f>
        <v>0</v>
      </c>
      <c r="S257" s="22" t="n">
        <f aca="false">IF(OR($A257="",N(N257)=0),0,CEILING(N257*(1+IF($O257="",Taux_PA,$O257))-0.005,Pas_Arrondi))</f>
        <v>0</v>
      </c>
      <c r="T257" s="22" t="str">
        <f aca="false">IF($A257="","",SUM(K257:N257))</f>
        <v/>
      </c>
      <c r="U257" s="22" t="str">
        <f aca="false">IF($A257="","",SUM(P257:S257))</f>
        <v/>
      </c>
      <c r="V257" s="22" t="str">
        <f aca="false">IF($A257="","",U257-T257)</f>
        <v/>
      </c>
      <c r="W257" s="23" t="str">
        <f aca="false">IF(OR($A257="",N(T257)=0),"",V257/T257)</f>
        <v/>
      </c>
      <c r="X257" s="18"/>
      <c r="Y257" s="18"/>
      <c r="Z257" s="24" t="str">
        <f aca="false">IF(AND($A257&lt;&gt;"",$X257="Oui",OR(Filtre_Masse="Tous les clients à envoyer",$Y257&lt;&gt;"Email")),MAX(Z$1:Z256)+1,"")</f>
        <v/>
      </c>
    </row>
    <row r="258" customFormat="false" ht="15" hidden="false" customHeight="false" outlineLevel="0" collapsed="false">
      <c r="A258" s="18"/>
      <c r="B258" s="18"/>
      <c r="C258" s="18"/>
      <c r="D258" s="18"/>
      <c r="E258" s="18"/>
      <c r="F258" s="18"/>
      <c r="G258" s="18"/>
      <c r="H258" s="19"/>
      <c r="I258" s="18"/>
      <c r="J258" s="18"/>
      <c r="K258" s="20"/>
      <c r="L258" s="20"/>
      <c r="M258" s="20"/>
      <c r="N258" s="20"/>
      <c r="O258" s="21"/>
      <c r="P258" s="22" t="n">
        <f aca="false">IF(OR($A258="",N(K258)=0),0,CEILING(K258*(1+IF($O258="",Taux_Compta,$O258))-0.005,Pas_Arrondi))</f>
        <v>0</v>
      </c>
      <c r="Q258" s="22" t="n">
        <f aca="false">IF(OR($A258="",N(L258)=0),0,CEILING(L258*(1+IF($O258="",Taux_Paye,$O258))-0.005,Pas_Arrondi))</f>
        <v>0</v>
      </c>
      <c r="R258" s="22" t="n">
        <f aca="false">IF(OR($A258="",N(M258)=0),0,CEILING(M258*(1+IF($O258="",Taux_Jur,$O258))-0.005,Pas_Arrondi))</f>
        <v>0</v>
      </c>
      <c r="S258" s="22" t="n">
        <f aca="false">IF(OR($A258="",N(N258)=0),0,CEILING(N258*(1+IF($O258="",Taux_PA,$O258))-0.005,Pas_Arrondi))</f>
        <v>0</v>
      </c>
      <c r="T258" s="22" t="str">
        <f aca="false">IF($A258="","",SUM(K258:N258))</f>
        <v/>
      </c>
      <c r="U258" s="22" t="str">
        <f aca="false">IF($A258="","",SUM(P258:S258))</f>
        <v/>
      </c>
      <c r="V258" s="22" t="str">
        <f aca="false">IF($A258="","",U258-T258)</f>
        <v/>
      </c>
      <c r="W258" s="23" t="str">
        <f aca="false">IF(OR($A258="",N(T258)=0),"",V258/T258)</f>
        <v/>
      </c>
      <c r="X258" s="18"/>
      <c r="Y258" s="18"/>
      <c r="Z258" s="24" t="str">
        <f aca="false">IF(AND($A258&lt;&gt;"",$X258="Oui",OR(Filtre_Masse="Tous les clients à envoyer",$Y258&lt;&gt;"Email")),MAX(Z$1:Z257)+1,"")</f>
        <v/>
      </c>
    </row>
    <row r="259" customFormat="false" ht="15" hidden="false" customHeight="false" outlineLevel="0" collapsed="false">
      <c r="A259" s="18"/>
      <c r="B259" s="18"/>
      <c r="C259" s="18"/>
      <c r="D259" s="18"/>
      <c r="E259" s="18"/>
      <c r="F259" s="18"/>
      <c r="G259" s="18"/>
      <c r="H259" s="19"/>
      <c r="I259" s="18"/>
      <c r="J259" s="18"/>
      <c r="K259" s="20"/>
      <c r="L259" s="20"/>
      <c r="M259" s="20"/>
      <c r="N259" s="20"/>
      <c r="O259" s="21"/>
      <c r="P259" s="22" t="n">
        <f aca="false">IF(OR($A259="",N(K259)=0),0,CEILING(K259*(1+IF($O259="",Taux_Compta,$O259))-0.005,Pas_Arrondi))</f>
        <v>0</v>
      </c>
      <c r="Q259" s="22" t="n">
        <f aca="false">IF(OR($A259="",N(L259)=0),0,CEILING(L259*(1+IF($O259="",Taux_Paye,$O259))-0.005,Pas_Arrondi))</f>
        <v>0</v>
      </c>
      <c r="R259" s="22" t="n">
        <f aca="false">IF(OR($A259="",N(M259)=0),0,CEILING(M259*(1+IF($O259="",Taux_Jur,$O259))-0.005,Pas_Arrondi))</f>
        <v>0</v>
      </c>
      <c r="S259" s="22" t="n">
        <f aca="false">IF(OR($A259="",N(N259)=0),0,CEILING(N259*(1+IF($O259="",Taux_PA,$O259))-0.005,Pas_Arrondi))</f>
        <v>0</v>
      </c>
      <c r="T259" s="22" t="str">
        <f aca="false">IF($A259="","",SUM(K259:N259))</f>
        <v/>
      </c>
      <c r="U259" s="22" t="str">
        <f aca="false">IF($A259="","",SUM(P259:S259))</f>
        <v/>
      </c>
      <c r="V259" s="22" t="str">
        <f aca="false">IF($A259="","",U259-T259)</f>
        <v/>
      </c>
      <c r="W259" s="23" t="str">
        <f aca="false">IF(OR($A259="",N(T259)=0),"",V259/T259)</f>
        <v/>
      </c>
      <c r="X259" s="18"/>
      <c r="Y259" s="18"/>
      <c r="Z259" s="24" t="str">
        <f aca="false">IF(AND($A259&lt;&gt;"",$X259="Oui",OR(Filtre_Masse="Tous les clients à envoyer",$Y259&lt;&gt;"Email")),MAX(Z$1:Z258)+1,"")</f>
        <v/>
      </c>
    </row>
    <row r="260" customFormat="false" ht="15" hidden="false" customHeight="false" outlineLevel="0" collapsed="false">
      <c r="A260" s="18"/>
      <c r="B260" s="18"/>
      <c r="C260" s="18"/>
      <c r="D260" s="18"/>
      <c r="E260" s="18"/>
      <c r="F260" s="18"/>
      <c r="G260" s="18"/>
      <c r="H260" s="19"/>
      <c r="I260" s="18"/>
      <c r="J260" s="18"/>
      <c r="K260" s="20"/>
      <c r="L260" s="20"/>
      <c r="M260" s="20"/>
      <c r="N260" s="20"/>
      <c r="O260" s="21"/>
      <c r="P260" s="22" t="n">
        <f aca="false">IF(OR($A260="",N(K260)=0),0,CEILING(K260*(1+IF($O260="",Taux_Compta,$O260))-0.005,Pas_Arrondi))</f>
        <v>0</v>
      </c>
      <c r="Q260" s="22" t="n">
        <f aca="false">IF(OR($A260="",N(L260)=0),0,CEILING(L260*(1+IF($O260="",Taux_Paye,$O260))-0.005,Pas_Arrondi))</f>
        <v>0</v>
      </c>
      <c r="R260" s="22" t="n">
        <f aca="false">IF(OR($A260="",N(M260)=0),0,CEILING(M260*(1+IF($O260="",Taux_Jur,$O260))-0.005,Pas_Arrondi))</f>
        <v>0</v>
      </c>
      <c r="S260" s="22" t="n">
        <f aca="false">IF(OR($A260="",N(N260)=0),0,CEILING(N260*(1+IF($O260="",Taux_PA,$O260))-0.005,Pas_Arrondi))</f>
        <v>0</v>
      </c>
      <c r="T260" s="22" t="str">
        <f aca="false">IF($A260="","",SUM(K260:N260))</f>
        <v/>
      </c>
      <c r="U260" s="22" t="str">
        <f aca="false">IF($A260="","",SUM(P260:S260))</f>
        <v/>
      </c>
      <c r="V260" s="22" t="str">
        <f aca="false">IF($A260="","",U260-T260)</f>
        <v/>
      </c>
      <c r="W260" s="23" t="str">
        <f aca="false">IF(OR($A260="",N(T260)=0),"",V260/T260)</f>
        <v/>
      </c>
      <c r="X260" s="18"/>
      <c r="Y260" s="18"/>
      <c r="Z260" s="24" t="str">
        <f aca="false">IF(AND($A260&lt;&gt;"",$X260="Oui",OR(Filtre_Masse="Tous les clients à envoyer",$Y260&lt;&gt;"Email")),MAX(Z$1:Z259)+1,"")</f>
        <v/>
      </c>
    </row>
    <row r="261" customFormat="false" ht="15" hidden="false" customHeight="false" outlineLevel="0" collapsed="false">
      <c r="A261" s="18"/>
      <c r="B261" s="18"/>
      <c r="C261" s="18"/>
      <c r="D261" s="18"/>
      <c r="E261" s="18"/>
      <c r="F261" s="18"/>
      <c r="G261" s="18"/>
      <c r="H261" s="19"/>
      <c r="I261" s="18"/>
      <c r="J261" s="18"/>
      <c r="K261" s="20"/>
      <c r="L261" s="20"/>
      <c r="M261" s="20"/>
      <c r="N261" s="20"/>
      <c r="O261" s="21"/>
      <c r="P261" s="22" t="n">
        <f aca="false">IF(OR($A261="",N(K261)=0),0,CEILING(K261*(1+IF($O261="",Taux_Compta,$O261))-0.005,Pas_Arrondi))</f>
        <v>0</v>
      </c>
      <c r="Q261" s="22" t="n">
        <f aca="false">IF(OR($A261="",N(L261)=0),0,CEILING(L261*(1+IF($O261="",Taux_Paye,$O261))-0.005,Pas_Arrondi))</f>
        <v>0</v>
      </c>
      <c r="R261" s="22" t="n">
        <f aca="false">IF(OR($A261="",N(M261)=0),0,CEILING(M261*(1+IF($O261="",Taux_Jur,$O261))-0.005,Pas_Arrondi))</f>
        <v>0</v>
      </c>
      <c r="S261" s="22" t="n">
        <f aca="false">IF(OR($A261="",N(N261)=0),0,CEILING(N261*(1+IF($O261="",Taux_PA,$O261))-0.005,Pas_Arrondi))</f>
        <v>0</v>
      </c>
      <c r="T261" s="22" t="str">
        <f aca="false">IF($A261="","",SUM(K261:N261))</f>
        <v/>
      </c>
      <c r="U261" s="22" t="str">
        <f aca="false">IF($A261="","",SUM(P261:S261))</f>
        <v/>
      </c>
      <c r="V261" s="22" t="str">
        <f aca="false">IF($A261="","",U261-T261)</f>
        <v/>
      </c>
      <c r="W261" s="23" t="str">
        <f aca="false">IF(OR($A261="",N(T261)=0),"",V261/T261)</f>
        <v/>
      </c>
      <c r="X261" s="18"/>
      <c r="Y261" s="18"/>
      <c r="Z261" s="24" t="str">
        <f aca="false">IF(AND($A261&lt;&gt;"",$X261="Oui",OR(Filtre_Masse="Tous les clients à envoyer",$Y261&lt;&gt;"Email")),MAX(Z$1:Z260)+1,"")</f>
        <v/>
      </c>
    </row>
    <row r="262" customFormat="false" ht="15" hidden="false" customHeight="false" outlineLevel="0" collapsed="false">
      <c r="A262" s="18"/>
      <c r="B262" s="18"/>
      <c r="C262" s="18"/>
      <c r="D262" s="18"/>
      <c r="E262" s="18"/>
      <c r="F262" s="18"/>
      <c r="G262" s="18"/>
      <c r="H262" s="19"/>
      <c r="I262" s="18"/>
      <c r="J262" s="18"/>
      <c r="K262" s="20"/>
      <c r="L262" s="20"/>
      <c r="M262" s="20"/>
      <c r="N262" s="20"/>
      <c r="O262" s="21"/>
      <c r="P262" s="22" t="n">
        <f aca="false">IF(OR($A262="",N(K262)=0),0,CEILING(K262*(1+IF($O262="",Taux_Compta,$O262))-0.005,Pas_Arrondi))</f>
        <v>0</v>
      </c>
      <c r="Q262" s="22" t="n">
        <f aca="false">IF(OR($A262="",N(L262)=0),0,CEILING(L262*(1+IF($O262="",Taux_Paye,$O262))-0.005,Pas_Arrondi))</f>
        <v>0</v>
      </c>
      <c r="R262" s="22" t="n">
        <f aca="false">IF(OR($A262="",N(M262)=0),0,CEILING(M262*(1+IF($O262="",Taux_Jur,$O262))-0.005,Pas_Arrondi))</f>
        <v>0</v>
      </c>
      <c r="S262" s="22" t="n">
        <f aca="false">IF(OR($A262="",N(N262)=0),0,CEILING(N262*(1+IF($O262="",Taux_PA,$O262))-0.005,Pas_Arrondi))</f>
        <v>0</v>
      </c>
      <c r="T262" s="22" t="str">
        <f aca="false">IF($A262="","",SUM(K262:N262))</f>
        <v/>
      </c>
      <c r="U262" s="22" t="str">
        <f aca="false">IF($A262="","",SUM(P262:S262))</f>
        <v/>
      </c>
      <c r="V262" s="22" t="str">
        <f aca="false">IF($A262="","",U262-T262)</f>
        <v/>
      </c>
      <c r="W262" s="23" t="str">
        <f aca="false">IF(OR($A262="",N(T262)=0),"",V262/T262)</f>
        <v/>
      </c>
      <c r="X262" s="18"/>
      <c r="Y262" s="18"/>
      <c r="Z262" s="24" t="str">
        <f aca="false">IF(AND($A262&lt;&gt;"",$X262="Oui",OR(Filtre_Masse="Tous les clients à envoyer",$Y262&lt;&gt;"Email")),MAX(Z$1:Z261)+1,"")</f>
        <v/>
      </c>
    </row>
    <row r="263" customFormat="false" ht="15" hidden="false" customHeight="false" outlineLevel="0" collapsed="false">
      <c r="A263" s="18"/>
      <c r="B263" s="18"/>
      <c r="C263" s="18"/>
      <c r="D263" s="18"/>
      <c r="E263" s="18"/>
      <c r="F263" s="18"/>
      <c r="G263" s="18"/>
      <c r="H263" s="19"/>
      <c r="I263" s="18"/>
      <c r="J263" s="18"/>
      <c r="K263" s="20"/>
      <c r="L263" s="20"/>
      <c r="M263" s="20"/>
      <c r="N263" s="20"/>
      <c r="O263" s="21"/>
      <c r="P263" s="22" t="n">
        <f aca="false">IF(OR($A263="",N(K263)=0),0,CEILING(K263*(1+IF($O263="",Taux_Compta,$O263))-0.005,Pas_Arrondi))</f>
        <v>0</v>
      </c>
      <c r="Q263" s="22" t="n">
        <f aca="false">IF(OR($A263="",N(L263)=0),0,CEILING(L263*(1+IF($O263="",Taux_Paye,$O263))-0.005,Pas_Arrondi))</f>
        <v>0</v>
      </c>
      <c r="R263" s="22" t="n">
        <f aca="false">IF(OR($A263="",N(M263)=0),0,CEILING(M263*(1+IF($O263="",Taux_Jur,$O263))-0.005,Pas_Arrondi))</f>
        <v>0</v>
      </c>
      <c r="S263" s="22" t="n">
        <f aca="false">IF(OR($A263="",N(N263)=0),0,CEILING(N263*(1+IF($O263="",Taux_PA,$O263))-0.005,Pas_Arrondi))</f>
        <v>0</v>
      </c>
      <c r="T263" s="22" t="str">
        <f aca="false">IF($A263="","",SUM(K263:N263))</f>
        <v/>
      </c>
      <c r="U263" s="22" t="str">
        <f aca="false">IF($A263="","",SUM(P263:S263))</f>
        <v/>
      </c>
      <c r="V263" s="22" t="str">
        <f aca="false">IF($A263="","",U263-T263)</f>
        <v/>
      </c>
      <c r="W263" s="23" t="str">
        <f aca="false">IF(OR($A263="",N(T263)=0),"",V263/T263)</f>
        <v/>
      </c>
      <c r="X263" s="18"/>
      <c r="Y263" s="18"/>
      <c r="Z263" s="24" t="str">
        <f aca="false">IF(AND($A263&lt;&gt;"",$X263="Oui",OR(Filtre_Masse="Tous les clients à envoyer",$Y263&lt;&gt;"Email")),MAX(Z$1:Z262)+1,"")</f>
        <v/>
      </c>
    </row>
    <row r="264" customFormat="false" ht="15" hidden="false" customHeight="false" outlineLevel="0" collapsed="false">
      <c r="A264" s="18"/>
      <c r="B264" s="18"/>
      <c r="C264" s="18"/>
      <c r="D264" s="18"/>
      <c r="E264" s="18"/>
      <c r="F264" s="18"/>
      <c r="G264" s="18"/>
      <c r="H264" s="19"/>
      <c r="I264" s="18"/>
      <c r="J264" s="18"/>
      <c r="K264" s="20"/>
      <c r="L264" s="20"/>
      <c r="M264" s="20"/>
      <c r="N264" s="20"/>
      <c r="O264" s="21"/>
      <c r="P264" s="22" t="n">
        <f aca="false">IF(OR($A264="",N(K264)=0),0,CEILING(K264*(1+IF($O264="",Taux_Compta,$O264))-0.005,Pas_Arrondi))</f>
        <v>0</v>
      </c>
      <c r="Q264" s="22" t="n">
        <f aca="false">IF(OR($A264="",N(L264)=0),0,CEILING(L264*(1+IF($O264="",Taux_Paye,$O264))-0.005,Pas_Arrondi))</f>
        <v>0</v>
      </c>
      <c r="R264" s="22" t="n">
        <f aca="false">IF(OR($A264="",N(M264)=0),0,CEILING(M264*(1+IF($O264="",Taux_Jur,$O264))-0.005,Pas_Arrondi))</f>
        <v>0</v>
      </c>
      <c r="S264" s="22" t="n">
        <f aca="false">IF(OR($A264="",N(N264)=0),0,CEILING(N264*(1+IF($O264="",Taux_PA,$O264))-0.005,Pas_Arrondi))</f>
        <v>0</v>
      </c>
      <c r="T264" s="22" t="str">
        <f aca="false">IF($A264="","",SUM(K264:N264))</f>
        <v/>
      </c>
      <c r="U264" s="22" t="str">
        <f aca="false">IF($A264="","",SUM(P264:S264))</f>
        <v/>
      </c>
      <c r="V264" s="22" t="str">
        <f aca="false">IF($A264="","",U264-T264)</f>
        <v/>
      </c>
      <c r="W264" s="23" t="str">
        <f aca="false">IF(OR($A264="",N(T264)=0),"",V264/T264)</f>
        <v/>
      </c>
      <c r="X264" s="18"/>
      <c r="Y264" s="18"/>
      <c r="Z264" s="24" t="str">
        <f aca="false">IF(AND($A264&lt;&gt;"",$X264="Oui",OR(Filtre_Masse="Tous les clients à envoyer",$Y264&lt;&gt;"Email")),MAX(Z$1:Z263)+1,"")</f>
        <v/>
      </c>
    </row>
    <row r="265" customFormat="false" ht="15" hidden="false" customHeight="false" outlineLevel="0" collapsed="false">
      <c r="A265" s="18"/>
      <c r="B265" s="18"/>
      <c r="C265" s="18"/>
      <c r="D265" s="18"/>
      <c r="E265" s="18"/>
      <c r="F265" s="18"/>
      <c r="G265" s="18"/>
      <c r="H265" s="19"/>
      <c r="I265" s="18"/>
      <c r="J265" s="18"/>
      <c r="K265" s="20"/>
      <c r="L265" s="20"/>
      <c r="M265" s="20"/>
      <c r="N265" s="20"/>
      <c r="O265" s="21"/>
      <c r="P265" s="22" t="n">
        <f aca="false">IF(OR($A265="",N(K265)=0),0,CEILING(K265*(1+IF($O265="",Taux_Compta,$O265))-0.005,Pas_Arrondi))</f>
        <v>0</v>
      </c>
      <c r="Q265" s="22" t="n">
        <f aca="false">IF(OR($A265="",N(L265)=0),0,CEILING(L265*(1+IF($O265="",Taux_Paye,$O265))-0.005,Pas_Arrondi))</f>
        <v>0</v>
      </c>
      <c r="R265" s="22" t="n">
        <f aca="false">IF(OR($A265="",N(M265)=0),0,CEILING(M265*(1+IF($O265="",Taux_Jur,$O265))-0.005,Pas_Arrondi))</f>
        <v>0</v>
      </c>
      <c r="S265" s="22" t="n">
        <f aca="false">IF(OR($A265="",N(N265)=0),0,CEILING(N265*(1+IF($O265="",Taux_PA,$O265))-0.005,Pas_Arrondi))</f>
        <v>0</v>
      </c>
      <c r="T265" s="22" t="str">
        <f aca="false">IF($A265="","",SUM(K265:N265))</f>
        <v/>
      </c>
      <c r="U265" s="22" t="str">
        <f aca="false">IF($A265="","",SUM(P265:S265))</f>
        <v/>
      </c>
      <c r="V265" s="22" t="str">
        <f aca="false">IF($A265="","",U265-T265)</f>
        <v/>
      </c>
      <c r="W265" s="23" t="str">
        <f aca="false">IF(OR($A265="",N(T265)=0),"",V265/T265)</f>
        <v/>
      </c>
      <c r="X265" s="18"/>
      <c r="Y265" s="18"/>
      <c r="Z265" s="24" t="str">
        <f aca="false">IF(AND($A265&lt;&gt;"",$X265="Oui",OR(Filtre_Masse="Tous les clients à envoyer",$Y265&lt;&gt;"Email")),MAX(Z$1:Z264)+1,"")</f>
        <v/>
      </c>
    </row>
    <row r="266" customFormat="false" ht="15" hidden="false" customHeight="false" outlineLevel="0" collapsed="false">
      <c r="A266" s="18"/>
      <c r="B266" s="18"/>
      <c r="C266" s="18"/>
      <c r="D266" s="18"/>
      <c r="E266" s="18"/>
      <c r="F266" s="18"/>
      <c r="G266" s="18"/>
      <c r="H266" s="19"/>
      <c r="I266" s="18"/>
      <c r="J266" s="18"/>
      <c r="K266" s="20"/>
      <c r="L266" s="20"/>
      <c r="M266" s="20"/>
      <c r="N266" s="20"/>
      <c r="O266" s="21"/>
      <c r="P266" s="22" t="n">
        <f aca="false">IF(OR($A266="",N(K266)=0),0,CEILING(K266*(1+IF($O266="",Taux_Compta,$O266))-0.005,Pas_Arrondi))</f>
        <v>0</v>
      </c>
      <c r="Q266" s="22" t="n">
        <f aca="false">IF(OR($A266="",N(L266)=0),0,CEILING(L266*(1+IF($O266="",Taux_Paye,$O266))-0.005,Pas_Arrondi))</f>
        <v>0</v>
      </c>
      <c r="R266" s="22" t="n">
        <f aca="false">IF(OR($A266="",N(M266)=0),0,CEILING(M266*(1+IF($O266="",Taux_Jur,$O266))-0.005,Pas_Arrondi))</f>
        <v>0</v>
      </c>
      <c r="S266" s="22" t="n">
        <f aca="false">IF(OR($A266="",N(N266)=0),0,CEILING(N266*(1+IF($O266="",Taux_PA,$O266))-0.005,Pas_Arrondi))</f>
        <v>0</v>
      </c>
      <c r="T266" s="22" t="str">
        <f aca="false">IF($A266="","",SUM(K266:N266))</f>
        <v/>
      </c>
      <c r="U266" s="22" t="str">
        <f aca="false">IF($A266="","",SUM(P266:S266))</f>
        <v/>
      </c>
      <c r="V266" s="22" t="str">
        <f aca="false">IF($A266="","",U266-T266)</f>
        <v/>
      </c>
      <c r="W266" s="23" t="str">
        <f aca="false">IF(OR($A266="",N(T266)=0),"",V266/T266)</f>
        <v/>
      </c>
      <c r="X266" s="18"/>
      <c r="Y266" s="18"/>
      <c r="Z266" s="24" t="str">
        <f aca="false">IF(AND($A266&lt;&gt;"",$X266="Oui",OR(Filtre_Masse="Tous les clients à envoyer",$Y266&lt;&gt;"Email")),MAX(Z$1:Z265)+1,"")</f>
        <v/>
      </c>
    </row>
    <row r="267" customFormat="false" ht="15" hidden="false" customHeight="false" outlineLevel="0" collapsed="false">
      <c r="A267" s="18"/>
      <c r="B267" s="18"/>
      <c r="C267" s="18"/>
      <c r="D267" s="18"/>
      <c r="E267" s="18"/>
      <c r="F267" s="18"/>
      <c r="G267" s="18"/>
      <c r="H267" s="19"/>
      <c r="I267" s="18"/>
      <c r="J267" s="18"/>
      <c r="K267" s="20"/>
      <c r="L267" s="20"/>
      <c r="M267" s="20"/>
      <c r="N267" s="20"/>
      <c r="O267" s="21"/>
      <c r="P267" s="22" t="n">
        <f aca="false">IF(OR($A267="",N(K267)=0),0,CEILING(K267*(1+IF($O267="",Taux_Compta,$O267))-0.005,Pas_Arrondi))</f>
        <v>0</v>
      </c>
      <c r="Q267" s="22" t="n">
        <f aca="false">IF(OR($A267="",N(L267)=0),0,CEILING(L267*(1+IF($O267="",Taux_Paye,$O267))-0.005,Pas_Arrondi))</f>
        <v>0</v>
      </c>
      <c r="R267" s="22" t="n">
        <f aca="false">IF(OR($A267="",N(M267)=0),0,CEILING(M267*(1+IF($O267="",Taux_Jur,$O267))-0.005,Pas_Arrondi))</f>
        <v>0</v>
      </c>
      <c r="S267" s="22" t="n">
        <f aca="false">IF(OR($A267="",N(N267)=0),0,CEILING(N267*(1+IF($O267="",Taux_PA,$O267))-0.005,Pas_Arrondi))</f>
        <v>0</v>
      </c>
      <c r="T267" s="22" t="str">
        <f aca="false">IF($A267="","",SUM(K267:N267))</f>
        <v/>
      </c>
      <c r="U267" s="22" t="str">
        <f aca="false">IF($A267="","",SUM(P267:S267))</f>
        <v/>
      </c>
      <c r="V267" s="22" t="str">
        <f aca="false">IF($A267="","",U267-T267)</f>
        <v/>
      </c>
      <c r="W267" s="23" t="str">
        <f aca="false">IF(OR($A267="",N(T267)=0),"",V267/T267)</f>
        <v/>
      </c>
      <c r="X267" s="18"/>
      <c r="Y267" s="18"/>
      <c r="Z267" s="24" t="str">
        <f aca="false">IF(AND($A267&lt;&gt;"",$X267="Oui",OR(Filtre_Masse="Tous les clients à envoyer",$Y267&lt;&gt;"Email")),MAX(Z$1:Z266)+1,"")</f>
        <v/>
      </c>
    </row>
    <row r="268" customFormat="false" ht="15" hidden="false" customHeight="false" outlineLevel="0" collapsed="false">
      <c r="A268" s="18"/>
      <c r="B268" s="18"/>
      <c r="C268" s="18"/>
      <c r="D268" s="18"/>
      <c r="E268" s="18"/>
      <c r="F268" s="18"/>
      <c r="G268" s="18"/>
      <c r="H268" s="19"/>
      <c r="I268" s="18"/>
      <c r="J268" s="18"/>
      <c r="K268" s="20"/>
      <c r="L268" s="20"/>
      <c r="M268" s="20"/>
      <c r="N268" s="20"/>
      <c r="O268" s="21"/>
      <c r="P268" s="22" t="n">
        <f aca="false">IF(OR($A268="",N(K268)=0),0,CEILING(K268*(1+IF($O268="",Taux_Compta,$O268))-0.005,Pas_Arrondi))</f>
        <v>0</v>
      </c>
      <c r="Q268" s="22" t="n">
        <f aca="false">IF(OR($A268="",N(L268)=0),0,CEILING(L268*(1+IF($O268="",Taux_Paye,$O268))-0.005,Pas_Arrondi))</f>
        <v>0</v>
      </c>
      <c r="R268" s="22" t="n">
        <f aca="false">IF(OR($A268="",N(M268)=0),0,CEILING(M268*(1+IF($O268="",Taux_Jur,$O268))-0.005,Pas_Arrondi))</f>
        <v>0</v>
      </c>
      <c r="S268" s="22" t="n">
        <f aca="false">IF(OR($A268="",N(N268)=0),0,CEILING(N268*(1+IF($O268="",Taux_PA,$O268))-0.005,Pas_Arrondi))</f>
        <v>0</v>
      </c>
      <c r="T268" s="22" t="str">
        <f aca="false">IF($A268="","",SUM(K268:N268))</f>
        <v/>
      </c>
      <c r="U268" s="22" t="str">
        <f aca="false">IF($A268="","",SUM(P268:S268))</f>
        <v/>
      </c>
      <c r="V268" s="22" t="str">
        <f aca="false">IF($A268="","",U268-T268)</f>
        <v/>
      </c>
      <c r="W268" s="23" t="str">
        <f aca="false">IF(OR($A268="",N(T268)=0),"",V268/T268)</f>
        <v/>
      </c>
      <c r="X268" s="18"/>
      <c r="Y268" s="18"/>
      <c r="Z268" s="24" t="str">
        <f aca="false">IF(AND($A268&lt;&gt;"",$X268="Oui",OR(Filtre_Masse="Tous les clients à envoyer",$Y268&lt;&gt;"Email")),MAX(Z$1:Z267)+1,"")</f>
        <v/>
      </c>
    </row>
    <row r="269" customFormat="false" ht="15" hidden="false" customHeight="false" outlineLevel="0" collapsed="false">
      <c r="A269" s="18"/>
      <c r="B269" s="18"/>
      <c r="C269" s="18"/>
      <c r="D269" s="18"/>
      <c r="E269" s="18"/>
      <c r="F269" s="18"/>
      <c r="G269" s="18"/>
      <c r="H269" s="19"/>
      <c r="I269" s="18"/>
      <c r="J269" s="18"/>
      <c r="K269" s="20"/>
      <c r="L269" s="20"/>
      <c r="M269" s="20"/>
      <c r="N269" s="20"/>
      <c r="O269" s="21"/>
      <c r="P269" s="22" t="n">
        <f aca="false">IF(OR($A269="",N(K269)=0),0,CEILING(K269*(1+IF($O269="",Taux_Compta,$O269))-0.005,Pas_Arrondi))</f>
        <v>0</v>
      </c>
      <c r="Q269" s="22" t="n">
        <f aca="false">IF(OR($A269="",N(L269)=0),0,CEILING(L269*(1+IF($O269="",Taux_Paye,$O269))-0.005,Pas_Arrondi))</f>
        <v>0</v>
      </c>
      <c r="R269" s="22" t="n">
        <f aca="false">IF(OR($A269="",N(M269)=0),0,CEILING(M269*(1+IF($O269="",Taux_Jur,$O269))-0.005,Pas_Arrondi))</f>
        <v>0</v>
      </c>
      <c r="S269" s="22" t="n">
        <f aca="false">IF(OR($A269="",N(N269)=0),0,CEILING(N269*(1+IF($O269="",Taux_PA,$O269))-0.005,Pas_Arrondi))</f>
        <v>0</v>
      </c>
      <c r="T269" s="22" t="str">
        <f aca="false">IF($A269="","",SUM(K269:N269))</f>
        <v/>
      </c>
      <c r="U269" s="22" t="str">
        <f aca="false">IF($A269="","",SUM(P269:S269))</f>
        <v/>
      </c>
      <c r="V269" s="22" t="str">
        <f aca="false">IF($A269="","",U269-T269)</f>
        <v/>
      </c>
      <c r="W269" s="23" t="str">
        <f aca="false">IF(OR($A269="",N(T269)=0),"",V269/T269)</f>
        <v/>
      </c>
      <c r="X269" s="18"/>
      <c r="Y269" s="18"/>
      <c r="Z269" s="24" t="str">
        <f aca="false">IF(AND($A269&lt;&gt;"",$X269="Oui",OR(Filtre_Masse="Tous les clients à envoyer",$Y269&lt;&gt;"Email")),MAX(Z$1:Z268)+1,"")</f>
        <v/>
      </c>
    </row>
    <row r="270" customFormat="false" ht="15" hidden="false" customHeight="false" outlineLevel="0" collapsed="false">
      <c r="A270" s="18"/>
      <c r="B270" s="18"/>
      <c r="C270" s="18"/>
      <c r="D270" s="18"/>
      <c r="E270" s="18"/>
      <c r="F270" s="18"/>
      <c r="G270" s="18"/>
      <c r="H270" s="19"/>
      <c r="I270" s="18"/>
      <c r="J270" s="18"/>
      <c r="K270" s="20"/>
      <c r="L270" s="20"/>
      <c r="M270" s="20"/>
      <c r="N270" s="20"/>
      <c r="O270" s="21"/>
      <c r="P270" s="22" t="n">
        <f aca="false">IF(OR($A270="",N(K270)=0),0,CEILING(K270*(1+IF($O270="",Taux_Compta,$O270))-0.005,Pas_Arrondi))</f>
        <v>0</v>
      </c>
      <c r="Q270" s="22" t="n">
        <f aca="false">IF(OR($A270="",N(L270)=0),0,CEILING(L270*(1+IF($O270="",Taux_Paye,$O270))-0.005,Pas_Arrondi))</f>
        <v>0</v>
      </c>
      <c r="R270" s="22" t="n">
        <f aca="false">IF(OR($A270="",N(M270)=0),0,CEILING(M270*(1+IF($O270="",Taux_Jur,$O270))-0.005,Pas_Arrondi))</f>
        <v>0</v>
      </c>
      <c r="S270" s="22" t="n">
        <f aca="false">IF(OR($A270="",N(N270)=0),0,CEILING(N270*(1+IF($O270="",Taux_PA,$O270))-0.005,Pas_Arrondi))</f>
        <v>0</v>
      </c>
      <c r="T270" s="22" t="str">
        <f aca="false">IF($A270="","",SUM(K270:N270))</f>
        <v/>
      </c>
      <c r="U270" s="22" t="str">
        <f aca="false">IF($A270="","",SUM(P270:S270))</f>
        <v/>
      </c>
      <c r="V270" s="22" t="str">
        <f aca="false">IF($A270="","",U270-T270)</f>
        <v/>
      </c>
      <c r="W270" s="23" t="str">
        <f aca="false">IF(OR($A270="",N(T270)=0),"",V270/T270)</f>
        <v/>
      </c>
      <c r="X270" s="18"/>
      <c r="Y270" s="18"/>
      <c r="Z270" s="24" t="str">
        <f aca="false">IF(AND($A270&lt;&gt;"",$X270="Oui",OR(Filtre_Masse="Tous les clients à envoyer",$Y270&lt;&gt;"Email")),MAX(Z$1:Z269)+1,"")</f>
        <v/>
      </c>
    </row>
    <row r="271" customFormat="false" ht="15" hidden="false" customHeight="false" outlineLevel="0" collapsed="false">
      <c r="A271" s="18"/>
      <c r="B271" s="18"/>
      <c r="C271" s="18"/>
      <c r="D271" s="18"/>
      <c r="E271" s="18"/>
      <c r="F271" s="18"/>
      <c r="G271" s="18"/>
      <c r="H271" s="19"/>
      <c r="I271" s="18"/>
      <c r="J271" s="18"/>
      <c r="K271" s="20"/>
      <c r="L271" s="20"/>
      <c r="M271" s="20"/>
      <c r="N271" s="20"/>
      <c r="O271" s="21"/>
      <c r="P271" s="22" t="n">
        <f aca="false">IF(OR($A271="",N(K271)=0),0,CEILING(K271*(1+IF($O271="",Taux_Compta,$O271))-0.005,Pas_Arrondi))</f>
        <v>0</v>
      </c>
      <c r="Q271" s="22" t="n">
        <f aca="false">IF(OR($A271="",N(L271)=0),0,CEILING(L271*(1+IF($O271="",Taux_Paye,$O271))-0.005,Pas_Arrondi))</f>
        <v>0</v>
      </c>
      <c r="R271" s="22" t="n">
        <f aca="false">IF(OR($A271="",N(M271)=0),0,CEILING(M271*(1+IF($O271="",Taux_Jur,$O271))-0.005,Pas_Arrondi))</f>
        <v>0</v>
      </c>
      <c r="S271" s="22" t="n">
        <f aca="false">IF(OR($A271="",N(N271)=0),0,CEILING(N271*(1+IF($O271="",Taux_PA,$O271))-0.005,Pas_Arrondi))</f>
        <v>0</v>
      </c>
      <c r="T271" s="22" t="str">
        <f aca="false">IF($A271="","",SUM(K271:N271))</f>
        <v/>
      </c>
      <c r="U271" s="22" t="str">
        <f aca="false">IF($A271="","",SUM(P271:S271))</f>
        <v/>
      </c>
      <c r="V271" s="22" t="str">
        <f aca="false">IF($A271="","",U271-T271)</f>
        <v/>
      </c>
      <c r="W271" s="23" t="str">
        <f aca="false">IF(OR($A271="",N(T271)=0),"",V271/T271)</f>
        <v/>
      </c>
      <c r="X271" s="18"/>
      <c r="Y271" s="18"/>
      <c r="Z271" s="24" t="str">
        <f aca="false">IF(AND($A271&lt;&gt;"",$X271="Oui",OR(Filtre_Masse="Tous les clients à envoyer",$Y271&lt;&gt;"Email")),MAX(Z$1:Z270)+1,"")</f>
        <v/>
      </c>
    </row>
    <row r="272" customFormat="false" ht="15" hidden="false" customHeight="false" outlineLevel="0" collapsed="false">
      <c r="A272" s="18"/>
      <c r="B272" s="18"/>
      <c r="C272" s="18"/>
      <c r="D272" s="18"/>
      <c r="E272" s="18"/>
      <c r="F272" s="18"/>
      <c r="G272" s="18"/>
      <c r="H272" s="19"/>
      <c r="I272" s="18"/>
      <c r="J272" s="18"/>
      <c r="K272" s="20"/>
      <c r="L272" s="20"/>
      <c r="M272" s="20"/>
      <c r="N272" s="20"/>
      <c r="O272" s="21"/>
      <c r="P272" s="22" t="n">
        <f aca="false">IF(OR($A272="",N(K272)=0),0,CEILING(K272*(1+IF($O272="",Taux_Compta,$O272))-0.005,Pas_Arrondi))</f>
        <v>0</v>
      </c>
      <c r="Q272" s="22" t="n">
        <f aca="false">IF(OR($A272="",N(L272)=0),0,CEILING(L272*(1+IF($O272="",Taux_Paye,$O272))-0.005,Pas_Arrondi))</f>
        <v>0</v>
      </c>
      <c r="R272" s="22" t="n">
        <f aca="false">IF(OR($A272="",N(M272)=0),0,CEILING(M272*(1+IF($O272="",Taux_Jur,$O272))-0.005,Pas_Arrondi))</f>
        <v>0</v>
      </c>
      <c r="S272" s="22" t="n">
        <f aca="false">IF(OR($A272="",N(N272)=0),0,CEILING(N272*(1+IF($O272="",Taux_PA,$O272))-0.005,Pas_Arrondi))</f>
        <v>0</v>
      </c>
      <c r="T272" s="22" t="str">
        <f aca="false">IF($A272="","",SUM(K272:N272))</f>
        <v/>
      </c>
      <c r="U272" s="22" t="str">
        <f aca="false">IF($A272="","",SUM(P272:S272))</f>
        <v/>
      </c>
      <c r="V272" s="22" t="str">
        <f aca="false">IF($A272="","",U272-T272)</f>
        <v/>
      </c>
      <c r="W272" s="23" t="str">
        <f aca="false">IF(OR($A272="",N(T272)=0),"",V272/T272)</f>
        <v/>
      </c>
      <c r="X272" s="18"/>
      <c r="Y272" s="18"/>
      <c r="Z272" s="24" t="str">
        <f aca="false">IF(AND($A272&lt;&gt;"",$X272="Oui",OR(Filtre_Masse="Tous les clients à envoyer",$Y272&lt;&gt;"Email")),MAX(Z$1:Z271)+1,"")</f>
        <v/>
      </c>
    </row>
    <row r="273" customFormat="false" ht="15" hidden="false" customHeight="false" outlineLevel="0" collapsed="false">
      <c r="A273" s="18"/>
      <c r="B273" s="18"/>
      <c r="C273" s="18"/>
      <c r="D273" s="18"/>
      <c r="E273" s="18"/>
      <c r="F273" s="18"/>
      <c r="G273" s="18"/>
      <c r="H273" s="19"/>
      <c r="I273" s="18"/>
      <c r="J273" s="18"/>
      <c r="K273" s="20"/>
      <c r="L273" s="20"/>
      <c r="M273" s="20"/>
      <c r="N273" s="20"/>
      <c r="O273" s="21"/>
      <c r="P273" s="22" t="n">
        <f aca="false">IF(OR($A273="",N(K273)=0),0,CEILING(K273*(1+IF($O273="",Taux_Compta,$O273))-0.005,Pas_Arrondi))</f>
        <v>0</v>
      </c>
      <c r="Q273" s="22" t="n">
        <f aca="false">IF(OR($A273="",N(L273)=0),0,CEILING(L273*(1+IF($O273="",Taux_Paye,$O273))-0.005,Pas_Arrondi))</f>
        <v>0</v>
      </c>
      <c r="R273" s="22" t="n">
        <f aca="false">IF(OR($A273="",N(M273)=0),0,CEILING(M273*(1+IF($O273="",Taux_Jur,$O273))-0.005,Pas_Arrondi))</f>
        <v>0</v>
      </c>
      <c r="S273" s="22" t="n">
        <f aca="false">IF(OR($A273="",N(N273)=0),0,CEILING(N273*(1+IF($O273="",Taux_PA,$O273))-0.005,Pas_Arrondi))</f>
        <v>0</v>
      </c>
      <c r="T273" s="22" t="str">
        <f aca="false">IF($A273="","",SUM(K273:N273))</f>
        <v/>
      </c>
      <c r="U273" s="22" t="str">
        <f aca="false">IF($A273="","",SUM(P273:S273))</f>
        <v/>
      </c>
      <c r="V273" s="22" t="str">
        <f aca="false">IF($A273="","",U273-T273)</f>
        <v/>
      </c>
      <c r="W273" s="23" t="str">
        <f aca="false">IF(OR($A273="",N(T273)=0),"",V273/T273)</f>
        <v/>
      </c>
      <c r="X273" s="18"/>
      <c r="Y273" s="18"/>
      <c r="Z273" s="24" t="str">
        <f aca="false">IF(AND($A273&lt;&gt;"",$X273="Oui",OR(Filtre_Masse="Tous les clients à envoyer",$Y273&lt;&gt;"Email")),MAX(Z$1:Z272)+1,"")</f>
        <v/>
      </c>
    </row>
    <row r="274" customFormat="false" ht="15" hidden="false" customHeight="false" outlineLevel="0" collapsed="false">
      <c r="A274" s="18"/>
      <c r="B274" s="18"/>
      <c r="C274" s="18"/>
      <c r="D274" s="18"/>
      <c r="E274" s="18"/>
      <c r="F274" s="18"/>
      <c r="G274" s="18"/>
      <c r="H274" s="19"/>
      <c r="I274" s="18"/>
      <c r="J274" s="18"/>
      <c r="K274" s="20"/>
      <c r="L274" s="20"/>
      <c r="M274" s="20"/>
      <c r="N274" s="20"/>
      <c r="O274" s="21"/>
      <c r="P274" s="22" t="n">
        <f aca="false">IF(OR($A274="",N(K274)=0),0,CEILING(K274*(1+IF($O274="",Taux_Compta,$O274))-0.005,Pas_Arrondi))</f>
        <v>0</v>
      </c>
      <c r="Q274" s="22" t="n">
        <f aca="false">IF(OR($A274="",N(L274)=0),0,CEILING(L274*(1+IF($O274="",Taux_Paye,$O274))-0.005,Pas_Arrondi))</f>
        <v>0</v>
      </c>
      <c r="R274" s="22" t="n">
        <f aca="false">IF(OR($A274="",N(M274)=0),0,CEILING(M274*(1+IF($O274="",Taux_Jur,$O274))-0.005,Pas_Arrondi))</f>
        <v>0</v>
      </c>
      <c r="S274" s="22" t="n">
        <f aca="false">IF(OR($A274="",N(N274)=0),0,CEILING(N274*(1+IF($O274="",Taux_PA,$O274))-0.005,Pas_Arrondi))</f>
        <v>0</v>
      </c>
      <c r="T274" s="22" t="str">
        <f aca="false">IF($A274="","",SUM(K274:N274))</f>
        <v/>
      </c>
      <c r="U274" s="22" t="str">
        <f aca="false">IF($A274="","",SUM(P274:S274))</f>
        <v/>
      </c>
      <c r="V274" s="22" t="str">
        <f aca="false">IF($A274="","",U274-T274)</f>
        <v/>
      </c>
      <c r="W274" s="23" t="str">
        <f aca="false">IF(OR($A274="",N(T274)=0),"",V274/T274)</f>
        <v/>
      </c>
      <c r="X274" s="18"/>
      <c r="Y274" s="18"/>
      <c r="Z274" s="24" t="str">
        <f aca="false">IF(AND($A274&lt;&gt;"",$X274="Oui",OR(Filtre_Masse="Tous les clients à envoyer",$Y274&lt;&gt;"Email")),MAX(Z$1:Z273)+1,"")</f>
        <v/>
      </c>
    </row>
    <row r="275" customFormat="false" ht="15" hidden="false" customHeight="false" outlineLevel="0" collapsed="false">
      <c r="A275" s="18"/>
      <c r="B275" s="18"/>
      <c r="C275" s="18"/>
      <c r="D275" s="18"/>
      <c r="E275" s="18"/>
      <c r="F275" s="18"/>
      <c r="G275" s="18"/>
      <c r="H275" s="19"/>
      <c r="I275" s="18"/>
      <c r="J275" s="18"/>
      <c r="K275" s="20"/>
      <c r="L275" s="20"/>
      <c r="M275" s="20"/>
      <c r="N275" s="20"/>
      <c r="O275" s="21"/>
      <c r="P275" s="22" t="n">
        <f aca="false">IF(OR($A275="",N(K275)=0),0,CEILING(K275*(1+IF($O275="",Taux_Compta,$O275))-0.005,Pas_Arrondi))</f>
        <v>0</v>
      </c>
      <c r="Q275" s="22" t="n">
        <f aca="false">IF(OR($A275="",N(L275)=0),0,CEILING(L275*(1+IF($O275="",Taux_Paye,$O275))-0.005,Pas_Arrondi))</f>
        <v>0</v>
      </c>
      <c r="R275" s="22" t="n">
        <f aca="false">IF(OR($A275="",N(M275)=0),0,CEILING(M275*(1+IF($O275="",Taux_Jur,$O275))-0.005,Pas_Arrondi))</f>
        <v>0</v>
      </c>
      <c r="S275" s="22" t="n">
        <f aca="false">IF(OR($A275="",N(N275)=0),0,CEILING(N275*(1+IF($O275="",Taux_PA,$O275))-0.005,Pas_Arrondi))</f>
        <v>0</v>
      </c>
      <c r="T275" s="22" t="str">
        <f aca="false">IF($A275="","",SUM(K275:N275))</f>
        <v/>
      </c>
      <c r="U275" s="22" t="str">
        <f aca="false">IF($A275="","",SUM(P275:S275))</f>
        <v/>
      </c>
      <c r="V275" s="22" t="str">
        <f aca="false">IF($A275="","",U275-T275)</f>
        <v/>
      </c>
      <c r="W275" s="23" t="str">
        <f aca="false">IF(OR($A275="",N(T275)=0),"",V275/T275)</f>
        <v/>
      </c>
      <c r="X275" s="18"/>
      <c r="Y275" s="18"/>
      <c r="Z275" s="24" t="str">
        <f aca="false">IF(AND($A275&lt;&gt;"",$X275="Oui",OR(Filtre_Masse="Tous les clients à envoyer",$Y275&lt;&gt;"Email")),MAX(Z$1:Z274)+1,"")</f>
        <v/>
      </c>
    </row>
    <row r="276" customFormat="false" ht="15" hidden="false" customHeight="false" outlineLevel="0" collapsed="false">
      <c r="A276" s="18"/>
      <c r="B276" s="18"/>
      <c r="C276" s="18"/>
      <c r="D276" s="18"/>
      <c r="E276" s="18"/>
      <c r="F276" s="18"/>
      <c r="G276" s="18"/>
      <c r="H276" s="19"/>
      <c r="I276" s="18"/>
      <c r="J276" s="18"/>
      <c r="K276" s="20"/>
      <c r="L276" s="20"/>
      <c r="M276" s="20"/>
      <c r="N276" s="20"/>
      <c r="O276" s="21"/>
      <c r="P276" s="22" t="n">
        <f aca="false">IF(OR($A276="",N(K276)=0),0,CEILING(K276*(1+IF($O276="",Taux_Compta,$O276))-0.005,Pas_Arrondi))</f>
        <v>0</v>
      </c>
      <c r="Q276" s="22" t="n">
        <f aca="false">IF(OR($A276="",N(L276)=0),0,CEILING(L276*(1+IF($O276="",Taux_Paye,$O276))-0.005,Pas_Arrondi))</f>
        <v>0</v>
      </c>
      <c r="R276" s="22" t="n">
        <f aca="false">IF(OR($A276="",N(M276)=0),0,CEILING(M276*(1+IF($O276="",Taux_Jur,$O276))-0.005,Pas_Arrondi))</f>
        <v>0</v>
      </c>
      <c r="S276" s="22" t="n">
        <f aca="false">IF(OR($A276="",N(N276)=0),0,CEILING(N276*(1+IF($O276="",Taux_PA,$O276))-0.005,Pas_Arrondi))</f>
        <v>0</v>
      </c>
      <c r="T276" s="22" t="str">
        <f aca="false">IF($A276="","",SUM(K276:N276))</f>
        <v/>
      </c>
      <c r="U276" s="22" t="str">
        <f aca="false">IF($A276="","",SUM(P276:S276))</f>
        <v/>
      </c>
      <c r="V276" s="22" t="str">
        <f aca="false">IF($A276="","",U276-T276)</f>
        <v/>
      </c>
      <c r="W276" s="23" t="str">
        <f aca="false">IF(OR($A276="",N(T276)=0),"",V276/T276)</f>
        <v/>
      </c>
      <c r="X276" s="18"/>
      <c r="Y276" s="18"/>
      <c r="Z276" s="24" t="str">
        <f aca="false">IF(AND($A276&lt;&gt;"",$X276="Oui",OR(Filtre_Masse="Tous les clients à envoyer",$Y276&lt;&gt;"Email")),MAX(Z$1:Z275)+1,"")</f>
        <v/>
      </c>
    </row>
    <row r="277" customFormat="false" ht="15" hidden="false" customHeight="false" outlineLevel="0" collapsed="false">
      <c r="A277" s="18"/>
      <c r="B277" s="18"/>
      <c r="C277" s="18"/>
      <c r="D277" s="18"/>
      <c r="E277" s="18"/>
      <c r="F277" s="18"/>
      <c r="G277" s="18"/>
      <c r="H277" s="19"/>
      <c r="I277" s="18"/>
      <c r="J277" s="18"/>
      <c r="K277" s="20"/>
      <c r="L277" s="20"/>
      <c r="M277" s="20"/>
      <c r="N277" s="20"/>
      <c r="O277" s="21"/>
      <c r="P277" s="22" t="n">
        <f aca="false">IF(OR($A277="",N(K277)=0),0,CEILING(K277*(1+IF($O277="",Taux_Compta,$O277))-0.005,Pas_Arrondi))</f>
        <v>0</v>
      </c>
      <c r="Q277" s="22" t="n">
        <f aca="false">IF(OR($A277="",N(L277)=0),0,CEILING(L277*(1+IF($O277="",Taux_Paye,$O277))-0.005,Pas_Arrondi))</f>
        <v>0</v>
      </c>
      <c r="R277" s="22" t="n">
        <f aca="false">IF(OR($A277="",N(M277)=0),0,CEILING(M277*(1+IF($O277="",Taux_Jur,$O277))-0.005,Pas_Arrondi))</f>
        <v>0</v>
      </c>
      <c r="S277" s="22" t="n">
        <f aca="false">IF(OR($A277="",N(N277)=0),0,CEILING(N277*(1+IF($O277="",Taux_PA,$O277))-0.005,Pas_Arrondi))</f>
        <v>0</v>
      </c>
      <c r="T277" s="22" t="str">
        <f aca="false">IF($A277="","",SUM(K277:N277))</f>
        <v/>
      </c>
      <c r="U277" s="22" t="str">
        <f aca="false">IF($A277="","",SUM(P277:S277))</f>
        <v/>
      </c>
      <c r="V277" s="22" t="str">
        <f aca="false">IF($A277="","",U277-T277)</f>
        <v/>
      </c>
      <c r="W277" s="23" t="str">
        <f aca="false">IF(OR($A277="",N(T277)=0),"",V277/T277)</f>
        <v/>
      </c>
      <c r="X277" s="18"/>
      <c r="Y277" s="18"/>
      <c r="Z277" s="24" t="str">
        <f aca="false">IF(AND($A277&lt;&gt;"",$X277="Oui",OR(Filtre_Masse="Tous les clients à envoyer",$Y277&lt;&gt;"Email")),MAX(Z$1:Z276)+1,"")</f>
        <v/>
      </c>
    </row>
    <row r="278" customFormat="false" ht="15" hidden="false" customHeight="false" outlineLevel="0" collapsed="false">
      <c r="A278" s="18"/>
      <c r="B278" s="18"/>
      <c r="C278" s="18"/>
      <c r="D278" s="18"/>
      <c r="E278" s="18"/>
      <c r="F278" s="18"/>
      <c r="G278" s="18"/>
      <c r="H278" s="19"/>
      <c r="I278" s="18"/>
      <c r="J278" s="18"/>
      <c r="K278" s="20"/>
      <c r="L278" s="20"/>
      <c r="M278" s="20"/>
      <c r="N278" s="20"/>
      <c r="O278" s="21"/>
      <c r="P278" s="22" t="n">
        <f aca="false">IF(OR($A278="",N(K278)=0),0,CEILING(K278*(1+IF($O278="",Taux_Compta,$O278))-0.005,Pas_Arrondi))</f>
        <v>0</v>
      </c>
      <c r="Q278" s="22" t="n">
        <f aca="false">IF(OR($A278="",N(L278)=0),0,CEILING(L278*(1+IF($O278="",Taux_Paye,$O278))-0.005,Pas_Arrondi))</f>
        <v>0</v>
      </c>
      <c r="R278" s="22" t="n">
        <f aca="false">IF(OR($A278="",N(M278)=0),0,CEILING(M278*(1+IF($O278="",Taux_Jur,$O278))-0.005,Pas_Arrondi))</f>
        <v>0</v>
      </c>
      <c r="S278" s="22" t="n">
        <f aca="false">IF(OR($A278="",N(N278)=0),0,CEILING(N278*(1+IF($O278="",Taux_PA,$O278))-0.005,Pas_Arrondi))</f>
        <v>0</v>
      </c>
      <c r="T278" s="22" t="str">
        <f aca="false">IF($A278="","",SUM(K278:N278))</f>
        <v/>
      </c>
      <c r="U278" s="22" t="str">
        <f aca="false">IF($A278="","",SUM(P278:S278))</f>
        <v/>
      </c>
      <c r="V278" s="22" t="str">
        <f aca="false">IF($A278="","",U278-T278)</f>
        <v/>
      </c>
      <c r="W278" s="23" t="str">
        <f aca="false">IF(OR($A278="",N(T278)=0),"",V278/T278)</f>
        <v/>
      </c>
      <c r="X278" s="18"/>
      <c r="Y278" s="18"/>
      <c r="Z278" s="24" t="str">
        <f aca="false">IF(AND($A278&lt;&gt;"",$X278="Oui",OR(Filtre_Masse="Tous les clients à envoyer",$Y278&lt;&gt;"Email")),MAX(Z$1:Z277)+1,"")</f>
        <v/>
      </c>
    </row>
    <row r="279" customFormat="false" ht="15" hidden="false" customHeight="false" outlineLevel="0" collapsed="false">
      <c r="A279" s="18"/>
      <c r="B279" s="18"/>
      <c r="C279" s="18"/>
      <c r="D279" s="18"/>
      <c r="E279" s="18"/>
      <c r="F279" s="18"/>
      <c r="G279" s="18"/>
      <c r="H279" s="19"/>
      <c r="I279" s="18"/>
      <c r="J279" s="18"/>
      <c r="K279" s="20"/>
      <c r="L279" s="20"/>
      <c r="M279" s="20"/>
      <c r="N279" s="20"/>
      <c r="O279" s="21"/>
      <c r="P279" s="22" t="n">
        <f aca="false">IF(OR($A279="",N(K279)=0),0,CEILING(K279*(1+IF($O279="",Taux_Compta,$O279))-0.005,Pas_Arrondi))</f>
        <v>0</v>
      </c>
      <c r="Q279" s="22" t="n">
        <f aca="false">IF(OR($A279="",N(L279)=0),0,CEILING(L279*(1+IF($O279="",Taux_Paye,$O279))-0.005,Pas_Arrondi))</f>
        <v>0</v>
      </c>
      <c r="R279" s="22" t="n">
        <f aca="false">IF(OR($A279="",N(M279)=0),0,CEILING(M279*(1+IF($O279="",Taux_Jur,$O279))-0.005,Pas_Arrondi))</f>
        <v>0</v>
      </c>
      <c r="S279" s="22" t="n">
        <f aca="false">IF(OR($A279="",N(N279)=0),0,CEILING(N279*(1+IF($O279="",Taux_PA,$O279))-0.005,Pas_Arrondi))</f>
        <v>0</v>
      </c>
      <c r="T279" s="22" t="str">
        <f aca="false">IF($A279="","",SUM(K279:N279))</f>
        <v/>
      </c>
      <c r="U279" s="22" t="str">
        <f aca="false">IF($A279="","",SUM(P279:S279))</f>
        <v/>
      </c>
      <c r="V279" s="22" t="str">
        <f aca="false">IF($A279="","",U279-T279)</f>
        <v/>
      </c>
      <c r="W279" s="23" t="str">
        <f aca="false">IF(OR($A279="",N(T279)=0),"",V279/T279)</f>
        <v/>
      </c>
      <c r="X279" s="18"/>
      <c r="Y279" s="18"/>
      <c r="Z279" s="24" t="str">
        <f aca="false">IF(AND($A279&lt;&gt;"",$X279="Oui",OR(Filtre_Masse="Tous les clients à envoyer",$Y279&lt;&gt;"Email")),MAX(Z$1:Z278)+1,"")</f>
        <v/>
      </c>
    </row>
    <row r="280" customFormat="false" ht="15" hidden="false" customHeight="false" outlineLevel="0" collapsed="false">
      <c r="A280" s="18"/>
      <c r="B280" s="18"/>
      <c r="C280" s="18"/>
      <c r="D280" s="18"/>
      <c r="E280" s="18"/>
      <c r="F280" s="18"/>
      <c r="G280" s="18"/>
      <c r="H280" s="19"/>
      <c r="I280" s="18"/>
      <c r="J280" s="18"/>
      <c r="K280" s="20"/>
      <c r="L280" s="20"/>
      <c r="M280" s="20"/>
      <c r="N280" s="20"/>
      <c r="O280" s="21"/>
      <c r="P280" s="22" t="n">
        <f aca="false">IF(OR($A280="",N(K280)=0),0,CEILING(K280*(1+IF($O280="",Taux_Compta,$O280))-0.005,Pas_Arrondi))</f>
        <v>0</v>
      </c>
      <c r="Q280" s="22" t="n">
        <f aca="false">IF(OR($A280="",N(L280)=0),0,CEILING(L280*(1+IF($O280="",Taux_Paye,$O280))-0.005,Pas_Arrondi))</f>
        <v>0</v>
      </c>
      <c r="R280" s="22" t="n">
        <f aca="false">IF(OR($A280="",N(M280)=0),0,CEILING(M280*(1+IF($O280="",Taux_Jur,$O280))-0.005,Pas_Arrondi))</f>
        <v>0</v>
      </c>
      <c r="S280" s="22" t="n">
        <f aca="false">IF(OR($A280="",N(N280)=0),0,CEILING(N280*(1+IF($O280="",Taux_PA,$O280))-0.005,Pas_Arrondi))</f>
        <v>0</v>
      </c>
      <c r="T280" s="22" t="str">
        <f aca="false">IF($A280="","",SUM(K280:N280))</f>
        <v/>
      </c>
      <c r="U280" s="22" t="str">
        <f aca="false">IF($A280="","",SUM(P280:S280))</f>
        <v/>
      </c>
      <c r="V280" s="22" t="str">
        <f aca="false">IF($A280="","",U280-T280)</f>
        <v/>
      </c>
      <c r="W280" s="23" t="str">
        <f aca="false">IF(OR($A280="",N(T280)=0),"",V280/T280)</f>
        <v/>
      </c>
      <c r="X280" s="18"/>
      <c r="Y280" s="18"/>
      <c r="Z280" s="24" t="str">
        <f aca="false">IF(AND($A280&lt;&gt;"",$X280="Oui",OR(Filtre_Masse="Tous les clients à envoyer",$Y280&lt;&gt;"Email")),MAX(Z$1:Z279)+1,"")</f>
        <v/>
      </c>
    </row>
    <row r="281" customFormat="false" ht="15" hidden="false" customHeight="false" outlineLevel="0" collapsed="false">
      <c r="A281" s="18"/>
      <c r="B281" s="18"/>
      <c r="C281" s="18"/>
      <c r="D281" s="18"/>
      <c r="E281" s="18"/>
      <c r="F281" s="18"/>
      <c r="G281" s="18"/>
      <c r="H281" s="19"/>
      <c r="I281" s="18"/>
      <c r="J281" s="18"/>
      <c r="K281" s="20"/>
      <c r="L281" s="20"/>
      <c r="M281" s="20"/>
      <c r="N281" s="20"/>
      <c r="O281" s="21"/>
      <c r="P281" s="22" t="n">
        <f aca="false">IF(OR($A281="",N(K281)=0),0,CEILING(K281*(1+IF($O281="",Taux_Compta,$O281))-0.005,Pas_Arrondi))</f>
        <v>0</v>
      </c>
      <c r="Q281" s="22" t="n">
        <f aca="false">IF(OR($A281="",N(L281)=0),0,CEILING(L281*(1+IF($O281="",Taux_Paye,$O281))-0.005,Pas_Arrondi))</f>
        <v>0</v>
      </c>
      <c r="R281" s="22" t="n">
        <f aca="false">IF(OR($A281="",N(M281)=0),0,CEILING(M281*(1+IF($O281="",Taux_Jur,$O281))-0.005,Pas_Arrondi))</f>
        <v>0</v>
      </c>
      <c r="S281" s="22" t="n">
        <f aca="false">IF(OR($A281="",N(N281)=0),0,CEILING(N281*(1+IF($O281="",Taux_PA,$O281))-0.005,Pas_Arrondi))</f>
        <v>0</v>
      </c>
      <c r="T281" s="22" t="str">
        <f aca="false">IF($A281="","",SUM(K281:N281))</f>
        <v/>
      </c>
      <c r="U281" s="22" t="str">
        <f aca="false">IF($A281="","",SUM(P281:S281))</f>
        <v/>
      </c>
      <c r="V281" s="22" t="str">
        <f aca="false">IF($A281="","",U281-T281)</f>
        <v/>
      </c>
      <c r="W281" s="23" t="str">
        <f aca="false">IF(OR($A281="",N(T281)=0),"",V281/T281)</f>
        <v/>
      </c>
      <c r="X281" s="18"/>
      <c r="Y281" s="18"/>
      <c r="Z281" s="24" t="str">
        <f aca="false">IF(AND($A281&lt;&gt;"",$X281="Oui",OR(Filtre_Masse="Tous les clients à envoyer",$Y281&lt;&gt;"Email")),MAX(Z$1:Z280)+1,"")</f>
        <v/>
      </c>
    </row>
    <row r="282" customFormat="false" ht="15" hidden="false" customHeight="false" outlineLevel="0" collapsed="false">
      <c r="A282" s="18"/>
      <c r="B282" s="18"/>
      <c r="C282" s="18"/>
      <c r="D282" s="18"/>
      <c r="E282" s="18"/>
      <c r="F282" s="18"/>
      <c r="G282" s="18"/>
      <c r="H282" s="19"/>
      <c r="I282" s="18"/>
      <c r="J282" s="18"/>
      <c r="K282" s="20"/>
      <c r="L282" s="20"/>
      <c r="M282" s="20"/>
      <c r="N282" s="20"/>
      <c r="O282" s="21"/>
      <c r="P282" s="22" t="n">
        <f aca="false">IF(OR($A282="",N(K282)=0),0,CEILING(K282*(1+IF($O282="",Taux_Compta,$O282))-0.005,Pas_Arrondi))</f>
        <v>0</v>
      </c>
      <c r="Q282" s="22" t="n">
        <f aca="false">IF(OR($A282="",N(L282)=0),0,CEILING(L282*(1+IF($O282="",Taux_Paye,$O282))-0.005,Pas_Arrondi))</f>
        <v>0</v>
      </c>
      <c r="R282" s="22" t="n">
        <f aca="false">IF(OR($A282="",N(M282)=0),0,CEILING(M282*(1+IF($O282="",Taux_Jur,$O282))-0.005,Pas_Arrondi))</f>
        <v>0</v>
      </c>
      <c r="S282" s="22" t="n">
        <f aca="false">IF(OR($A282="",N(N282)=0),0,CEILING(N282*(1+IF($O282="",Taux_PA,$O282))-0.005,Pas_Arrondi))</f>
        <v>0</v>
      </c>
      <c r="T282" s="22" t="str">
        <f aca="false">IF($A282="","",SUM(K282:N282))</f>
        <v/>
      </c>
      <c r="U282" s="22" t="str">
        <f aca="false">IF($A282="","",SUM(P282:S282))</f>
        <v/>
      </c>
      <c r="V282" s="22" t="str">
        <f aca="false">IF($A282="","",U282-T282)</f>
        <v/>
      </c>
      <c r="W282" s="23" t="str">
        <f aca="false">IF(OR($A282="",N(T282)=0),"",V282/T282)</f>
        <v/>
      </c>
      <c r="X282" s="18"/>
      <c r="Y282" s="18"/>
      <c r="Z282" s="24" t="str">
        <f aca="false">IF(AND($A282&lt;&gt;"",$X282="Oui",OR(Filtre_Masse="Tous les clients à envoyer",$Y282&lt;&gt;"Email")),MAX(Z$1:Z281)+1,"")</f>
        <v/>
      </c>
    </row>
    <row r="283" customFormat="false" ht="15" hidden="false" customHeight="false" outlineLevel="0" collapsed="false">
      <c r="A283" s="18"/>
      <c r="B283" s="18"/>
      <c r="C283" s="18"/>
      <c r="D283" s="18"/>
      <c r="E283" s="18"/>
      <c r="F283" s="18"/>
      <c r="G283" s="18"/>
      <c r="H283" s="19"/>
      <c r="I283" s="18"/>
      <c r="J283" s="18"/>
      <c r="K283" s="20"/>
      <c r="L283" s="20"/>
      <c r="M283" s="20"/>
      <c r="N283" s="20"/>
      <c r="O283" s="21"/>
      <c r="P283" s="22" t="n">
        <f aca="false">IF(OR($A283="",N(K283)=0),0,CEILING(K283*(1+IF($O283="",Taux_Compta,$O283))-0.005,Pas_Arrondi))</f>
        <v>0</v>
      </c>
      <c r="Q283" s="22" t="n">
        <f aca="false">IF(OR($A283="",N(L283)=0),0,CEILING(L283*(1+IF($O283="",Taux_Paye,$O283))-0.005,Pas_Arrondi))</f>
        <v>0</v>
      </c>
      <c r="R283" s="22" t="n">
        <f aca="false">IF(OR($A283="",N(M283)=0),0,CEILING(M283*(1+IF($O283="",Taux_Jur,$O283))-0.005,Pas_Arrondi))</f>
        <v>0</v>
      </c>
      <c r="S283" s="22" t="n">
        <f aca="false">IF(OR($A283="",N(N283)=0),0,CEILING(N283*(1+IF($O283="",Taux_PA,$O283))-0.005,Pas_Arrondi))</f>
        <v>0</v>
      </c>
      <c r="T283" s="22" t="str">
        <f aca="false">IF($A283="","",SUM(K283:N283))</f>
        <v/>
      </c>
      <c r="U283" s="22" t="str">
        <f aca="false">IF($A283="","",SUM(P283:S283))</f>
        <v/>
      </c>
      <c r="V283" s="22" t="str">
        <f aca="false">IF($A283="","",U283-T283)</f>
        <v/>
      </c>
      <c r="W283" s="23" t="str">
        <f aca="false">IF(OR($A283="",N(T283)=0),"",V283/T283)</f>
        <v/>
      </c>
      <c r="X283" s="18"/>
      <c r="Y283" s="18"/>
      <c r="Z283" s="24" t="str">
        <f aca="false">IF(AND($A283&lt;&gt;"",$X283="Oui",OR(Filtre_Masse="Tous les clients à envoyer",$Y283&lt;&gt;"Email")),MAX(Z$1:Z282)+1,"")</f>
        <v/>
      </c>
    </row>
    <row r="284" customFormat="false" ht="15" hidden="false" customHeight="false" outlineLevel="0" collapsed="false">
      <c r="A284" s="18"/>
      <c r="B284" s="18"/>
      <c r="C284" s="18"/>
      <c r="D284" s="18"/>
      <c r="E284" s="18"/>
      <c r="F284" s="18"/>
      <c r="G284" s="18"/>
      <c r="H284" s="19"/>
      <c r="I284" s="18"/>
      <c r="J284" s="18"/>
      <c r="K284" s="20"/>
      <c r="L284" s="20"/>
      <c r="M284" s="20"/>
      <c r="N284" s="20"/>
      <c r="O284" s="21"/>
      <c r="P284" s="22" t="n">
        <f aca="false">IF(OR($A284="",N(K284)=0),0,CEILING(K284*(1+IF($O284="",Taux_Compta,$O284))-0.005,Pas_Arrondi))</f>
        <v>0</v>
      </c>
      <c r="Q284" s="22" t="n">
        <f aca="false">IF(OR($A284="",N(L284)=0),0,CEILING(L284*(1+IF($O284="",Taux_Paye,$O284))-0.005,Pas_Arrondi))</f>
        <v>0</v>
      </c>
      <c r="R284" s="22" t="n">
        <f aca="false">IF(OR($A284="",N(M284)=0),0,CEILING(M284*(1+IF($O284="",Taux_Jur,$O284))-0.005,Pas_Arrondi))</f>
        <v>0</v>
      </c>
      <c r="S284" s="22" t="n">
        <f aca="false">IF(OR($A284="",N(N284)=0),0,CEILING(N284*(1+IF($O284="",Taux_PA,$O284))-0.005,Pas_Arrondi))</f>
        <v>0</v>
      </c>
      <c r="T284" s="22" t="str">
        <f aca="false">IF($A284="","",SUM(K284:N284))</f>
        <v/>
      </c>
      <c r="U284" s="22" t="str">
        <f aca="false">IF($A284="","",SUM(P284:S284))</f>
        <v/>
      </c>
      <c r="V284" s="22" t="str">
        <f aca="false">IF($A284="","",U284-T284)</f>
        <v/>
      </c>
      <c r="W284" s="23" t="str">
        <f aca="false">IF(OR($A284="",N(T284)=0),"",V284/T284)</f>
        <v/>
      </c>
      <c r="X284" s="18"/>
      <c r="Y284" s="18"/>
      <c r="Z284" s="24" t="str">
        <f aca="false">IF(AND($A284&lt;&gt;"",$X284="Oui",OR(Filtre_Masse="Tous les clients à envoyer",$Y284&lt;&gt;"Email")),MAX(Z$1:Z283)+1,"")</f>
        <v/>
      </c>
    </row>
    <row r="285" customFormat="false" ht="15" hidden="false" customHeight="false" outlineLevel="0" collapsed="false">
      <c r="A285" s="18"/>
      <c r="B285" s="18"/>
      <c r="C285" s="18"/>
      <c r="D285" s="18"/>
      <c r="E285" s="18"/>
      <c r="F285" s="18"/>
      <c r="G285" s="18"/>
      <c r="H285" s="19"/>
      <c r="I285" s="18"/>
      <c r="J285" s="18"/>
      <c r="K285" s="20"/>
      <c r="L285" s="20"/>
      <c r="M285" s="20"/>
      <c r="N285" s="20"/>
      <c r="O285" s="21"/>
      <c r="P285" s="22" t="n">
        <f aca="false">IF(OR($A285="",N(K285)=0),0,CEILING(K285*(1+IF($O285="",Taux_Compta,$O285))-0.005,Pas_Arrondi))</f>
        <v>0</v>
      </c>
      <c r="Q285" s="22" t="n">
        <f aca="false">IF(OR($A285="",N(L285)=0),0,CEILING(L285*(1+IF($O285="",Taux_Paye,$O285))-0.005,Pas_Arrondi))</f>
        <v>0</v>
      </c>
      <c r="R285" s="22" t="n">
        <f aca="false">IF(OR($A285="",N(M285)=0),0,CEILING(M285*(1+IF($O285="",Taux_Jur,$O285))-0.005,Pas_Arrondi))</f>
        <v>0</v>
      </c>
      <c r="S285" s="22" t="n">
        <f aca="false">IF(OR($A285="",N(N285)=0),0,CEILING(N285*(1+IF($O285="",Taux_PA,$O285))-0.005,Pas_Arrondi))</f>
        <v>0</v>
      </c>
      <c r="T285" s="22" t="str">
        <f aca="false">IF($A285="","",SUM(K285:N285))</f>
        <v/>
      </c>
      <c r="U285" s="22" t="str">
        <f aca="false">IF($A285="","",SUM(P285:S285))</f>
        <v/>
      </c>
      <c r="V285" s="22" t="str">
        <f aca="false">IF($A285="","",U285-T285)</f>
        <v/>
      </c>
      <c r="W285" s="23" t="str">
        <f aca="false">IF(OR($A285="",N(T285)=0),"",V285/T285)</f>
        <v/>
      </c>
      <c r="X285" s="18"/>
      <c r="Y285" s="18"/>
      <c r="Z285" s="24" t="str">
        <f aca="false">IF(AND($A285&lt;&gt;"",$X285="Oui",OR(Filtre_Masse="Tous les clients à envoyer",$Y285&lt;&gt;"Email")),MAX(Z$1:Z284)+1,"")</f>
        <v/>
      </c>
    </row>
    <row r="286" customFormat="false" ht="15" hidden="false" customHeight="false" outlineLevel="0" collapsed="false">
      <c r="A286" s="18"/>
      <c r="B286" s="18"/>
      <c r="C286" s="18"/>
      <c r="D286" s="18"/>
      <c r="E286" s="18"/>
      <c r="F286" s="18"/>
      <c r="G286" s="18"/>
      <c r="H286" s="19"/>
      <c r="I286" s="18"/>
      <c r="J286" s="18"/>
      <c r="K286" s="20"/>
      <c r="L286" s="20"/>
      <c r="M286" s="20"/>
      <c r="N286" s="20"/>
      <c r="O286" s="21"/>
      <c r="P286" s="22" t="n">
        <f aca="false">IF(OR($A286="",N(K286)=0),0,CEILING(K286*(1+IF($O286="",Taux_Compta,$O286))-0.005,Pas_Arrondi))</f>
        <v>0</v>
      </c>
      <c r="Q286" s="22" t="n">
        <f aca="false">IF(OR($A286="",N(L286)=0),0,CEILING(L286*(1+IF($O286="",Taux_Paye,$O286))-0.005,Pas_Arrondi))</f>
        <v>0</v>
      </c>
      <c r="R286" s="22" t="n">
        <f aca="false">IF(OR($A286="",N(M286)=0),0,CEILING(M286*(1+IF($O286="",Taux_Jur,$O286))-0.005,Pas_Arrondi))</f>
        <v>0</v>
      </c>
      <c r="S286" s="22" t="n">
        <f aca="false">IF(OR($A286="",N(N286)=0),0,CEILING(N286*(1+IF($O286="",Taux_PA,$O286))-0.005,Pas_Arrondi))</f>
        <v>0</v>
      </c>
      <c r="T286" s="22" t="str">
        <f aca="false">IF($A286="","",SUM(K286:N286))</f>
        <v/>
      </c>
      <c r="U286" s="22" t="str">
        <f aca="false">IF($A286="","",SUM(P286:S286))</f>
        <v/>
      </c>
      <c r="V286" s="22" t="str">
        <f aca="false">IF($A286="","",U286-T286)</f>
        <v/>
      </c>
      <c r="W286" s="23" t="str">
        <f aca="false">IF(OR($A286="",N(T286)=0),"",V286/T286)</f>
        <v/>
      </c>
      <c r="X286" s="18"/>
      <c r="Y286" s="18"/>
      <c r="Z286" s="24" t="str">
        <f aca="false">IF(AND($A286&lt;&gt;"",$X286="Oui",OR(Filtre_Masse="Tous les clients à envoyer",$Y286&lt;&gt;"Email")),MAX(Z$1:Z285)+1,"")</f>
        <v/>
      </c>
    </row>
    <row r="287" customFormat="false" ht="15" hidden="false" customHeight="false" outlineLevel="0" collapsed="false">
      <c r="A287" s="18"/>
      <c r="B287" s="18"/>
      <c r="C287" s="18"/>
      <c r="D287" s="18"/>
      <c r="E287" s="18"/>
      <c r="F287" s="18"/>
      <c r="G287" s="18"/>
      <c r="H287" s="19"/>
      <c r="I287" s="18"/>
      <c r="J287" s="18"/>
      <c r="K287" s="20"/>
      <c r="L287" s="20"/>
      <c r="M287" s="20"/>
      <c r="N287" s="20"/>
      <c r="O287" s="21"/>
      <c r="P287" s="22" t="n">
        <f aca="false">IF(OR($A287="",N(K287)=0),0,CEILING(K287*(1+IF($O287="",Taux_Compta,$O287))-0.005,Pas_Arrondi))</f>
        <v>0</v>
      </c>
      <c r="Q287" s="22" t="n">
        <f aca="false">IF(OR($A287="",N(L287)=0),0,CEILING(L287*(1+IF($O287="",Taux_Paye,$O287))-0.005,Pas_Arrondi))</f>
        <v>0</v>
      </c>
      <c r="R287" s="22" t="n">
        <f aca="false">IF(OR($A287="",N(M287)=0),0,CEILING(M287*(1+IF($O287="",Taux_Jur,$O287))-0.005,Pas_Arrondi))</f>
        <v>0</v>
      </c>
      <c r="S287" s="22" t="n">
        <f aca="false">IF(OR($A287="",N(N287)=0),0,CEILING(N287*(1+IF($O287="",Taux_PA,$O287))-0.005,Pas_Arrondi))</f>
        <v>0</v>
      </c>
      <c r="T287" s="22" t="str">
        <f aca="false">IF($A287="","",SUM(K287:N287))</f>
        <v/>
      </c>
      <c r="U287" s="22" t="str">
        <f aca="false">IF($A287="","",SUM(P287:S287))</f>
        <v/>
      </c>
      <c r="V287" s="22" t="str">
        <f aca="false">IF($A287="","",U287-T287)</f>
        <v/>
      </c>
      <c r="W287" s="23" t="str">
        <f aca="false">IF(OR($A287="",N(T287)=0),"",V287/T287)</f>
        <v/>
      </c>
      <c r="X287" s="18"/>
      <c r="Y287" s="18"/>
      <c r="Z287" s="24" t="str">
        <f aca="false">IF(AND($A287&lt;&gt;"",$X287="Oui",OR(Filtre_Masse="Tous les clients à envoyer",$Y287&lt;&gt;"Email")),MAX(Z$1:Z286)+1,"")</f>
        <v/>
      </c>
    </row>
    <row r="288" customFormat="false" ht="15" hidden="false" customHeight="false" outlineLevel="0" collapsed="false">
      <c r="A288" s="18"/>
      <c r="B288" s="18"/>
      <c r="C288" s="18"/>
      <c r="D288" s="18"/>
      <c r="E288" s="18"/>
      <c r="F288" s="18"/>
      <c r="G288" s="18"/>
      <c r="H288" s="19"/>
      <c r="I288" s="18"/>
      <c r="J288" s="18"/>
      <c r="K288" s="20"/>
      <c r="L288" s="20"/>
      <c r="M288" s="20"/>
      <c r="N288" s="20"/>
      <c r="O288" s="21"/>
      <c r="P288" s="22" t="n">
        <f aca="false">IF(OR($A288="",N(K288)=0),0,CEILING(K288*(1+IF($O288="",Taux_Compta,$O288))-0.005,Pas_Arrondi))</f>
        <v>0</v>
      </c>
      <c r="Q288" s="22" t="n">
        <f aca="false">IF(OR($A288="",N(L288)=0),0,CEILING(L288*(1+IF($O288="",Taux_Paye,$O288))-0.005,Pas_Arrondi))</f>
        <v>0</v>
      </c>
      <c r="R288" s="22" t="n">
        <f aca="false">IF(OR($A288="",N(M288)=0),0,CEILING(M288*(1+IF($O288="",Taux_Jur,$O288))-0.005,Pas_Arrondi))</f>
        <v>0</v>
      </c>
      <c r="S288" s="22" t="n">
        <f aca="false">IF(OR($A288="",N(N288)=0),0,CEILING(N288*(1+IF($O288="",Taux_PA,$O288))-0.005,Pas_Arrondi))</f>
        <v>0</v>
      </c>
      <c r="T288" s="22" t="str">
        <f aca="false">IF($A288="","",SUM(K288:N288))</f>
        <v/>
      </c>
      <c r="U288" s="22" t="str">
        <f aca="false">IF($A288="","",SUM(P288:S288))</f>
        <v/>
      </c>
      <c r="V288" s="22" t="str">
        <f aca="false">IF($A288="","",U288-T288)</f>
        <v/>
      </c>
      <c r="W288" s="23" t="str">
        <f aca="false">IF(OR($A288="",N(T288)=0),"",V288/T288)</f>
        <v/>
      </c>
      <c r="X288" s="18"/>
      <c r="Y288" s="18"/>
      <c r="Z288" s="24" t="str">
        <f aca="false">IF(AND($A288&lt;&gt;"",$X288="Oui",OR(Filtre_Masse="Tous les clients à envoyer",$Y288&lt;&gt;"Email")),MAX(Z$1:Z287)+1,"")</f>
        <v/>
      </c>
    </row>
    <row r="289" customFormat="false" ht="15" hidden="false" customHeight="false" outlineLevel="0" collapsed="false">
      <c r="A289" s="18"/>
      <c r="B289" s="18"/>
      <c r="C289" s="18"/>
      <c r="D289" s="18"/>
      <c r="E289" s="18"/>
      <c r="F289" s="18"/>
      <c r="G289" s="18"/>
      <c r="H289" s="19"/>
      <c r="I289" s="18"/>
      <c r="J289" s="18"/>
      <c r="K289" s="20"/>
      <c r="L289" s="20"/>
      <c r="M289" s="20"/>
      <c r="N289" s="20"/>
      <c r="O289" s="21"/>
      <c r="P289" s="22" t="n">
        <f aca="false">IF(OR($A289="",N(K289)=0),0,CEILING(K289*(1+IF($O289="",Taux_Compta,$O289))-0.005,Pas_Arrondi))</f>
        <v>0</v>
      </c>
      <c r="Q289" s="22" t="n">
        <f aca="false">IF(OR($A289="",N(L289)=0),0,CEILING(L289*(1+IF($O289="",Taux_Paye,$O289))-0.005,Pas_Arrondi))</f>
        <v>0</v>
      </c>
      <c r="R289" s="22" t="n">
        <f aca="false">IF(OR($A289="",N(M289)=0),0,CEILING(M289*(1+IF($O289="",Taux_Jur,$O289))-0.005,Pas_Arrondi))</f>
        <v>0</v>
      </c>
      <c r="S289" s="22" t="n">
        <f aca="false">IF(OR($A289="",N(N289)=0),0,CEILING(N289*(1+IF($O289="",Taux_PA,$O289))-0.005,Pas_Arrondi))</f>
        <v>0</v>
      </c>
      <c r="T289" s="22" t="str">
        <f aca="false">IF($A289="","",SUM(K289:N289))</f>
        <v/>
      </c>
      <c r="U289" s="22" t="str">
        <f aca="false">IF($A289="","",SUM(P289:S289))</f>
        <v/>
      </c>
      <c r="V289" s="22" t="str">
        <f aca="false">IF($A289="","",U289-T289)</f>
        <v/>
      </c>
      <c r="W289" s="23" t="str">
        <f aca="false">IF(OR($A289="",N(T289)=0),"",V289/T289)</f>
        <v/>
      </c>
      <c r="X289" s="18"/>
      <c r="Y289" s="18"/>
      <c r="Z289" s="24" t="str">
        <f aca="false">IF(AND($A289&lt;&gt;"",$X289="Oui",OR(Filtre_Masse="Tous les clients à envoyer",$Y289&lt;&gt;"Email")),MAX(Z$1:Z288)+1,"")</f>
        <v/>
      </c>
    </row>
    <row r="290" customFormat="false" ht="15" hidden="false" customHeight="false" outlineLevel="0" collapsed="false">
      <c r="A290" s="18"/>
      <c r="B290" s="18"/>
      <c r="C290" s="18"/>
      <c r="D290" s="18"/>
      <c r="E290" s="18"/>
      <c r="F290" s="18"/>
      <c r="G290" s="18"/>
      <c r="H290" s="19"/>
      <c r="I290" s="18"/>
      <c r="J290" s="18"/>
      <c r="K290" s="20"/>
      <c r="L290" s="20"/>
      <c r="M290" s="20"/>
      <c r="N290" s="20"/>
      <c r="O290" s="21"/>
      <c r="P290" s="22" t="n">
        <f aca="false">IF(OR($A290="",N(K290)=0),0,CEILING(K290*(1+IF($O290="",Taux_Compta,$O290))-0.005,Pas_Arrondi))</f>
        <v>0</v>
      </c>
      <c r="Q290" s="22" t="n">
        <f aca="false">IF(OR($A290="",N(L290)=0),0,CEILING(L290*(1+IF($O290="",Taux_Paye,$O290))-0.005,Pas_Arrondi))</f>
        <v>0</v>
      </c>
      <c r="R290" s="22" t="n">
        <f aca="false">IF(OR($A290="",N(M290)=0),0,CEILING(M290*(1+IF($O290="",Taux_Jur,$O290))-0.005,Pas_Arrondi))</f>
        <v>0</v>
      </c>
      <c r="S290" s="22" t="n">
        <f aca="false">IF(OR($A290="",N(N290)=0),0,CEILING(N290*(1+IF($O290="",Taux_PA,$O290))-0.005,Pas_Arrondi))</f>
        <v>0</v>
      </c>
      <c r="T290" s="22" t="str">
        <f aca="false">IF($A290="","",SUM(K290:N290))</f>
        <v/>
      </c>
      <c r="U290" s="22" t="str">
        <f aca="false">IF($A290="","",SUM(P290:S290))</f>
        <v/>
      </c>
      <c r="V290" s="22" t="str">
        <f aca="false">IF($A290="","",U290-T290)</f>
        <v/>
      </c>
      <c r="W290" s="23" t="str">
        <f aca="false">IF(OR($A290="",N(T290)=0),"",V290/T290)</f>
        <v/>
      </c>
      <c r="X290" s="18"/>
      <c r="Y290" s="18"/>
      <c r="Z290" s="24" t="str">
        <f aca="false">IF(AND($A290&lt;&gt;"",$X290="Oui",OR(Filtre_Masse="Tous les clients à envoyer",$Y290&lt;&gt;"Email")),MAX(Z$1:Z289)+1,"")</f>
        <v/>
      </c>
    </row>
    <row r="291" customFormat="false" ht="15" hidden="false" customHeight="false" outlineLevel="0" collapsed="false">
      <c r="A291" s="18"/>
      <c r="B291" s="18"/>
      <c r="C291" s="18"/>
      <c r="D291" s="18"/>
      <c r="E291" s="18"/>
      <c r="F291" s="18"/>
      <c r="G291" s="18"/>
      <c r="H291" s="19"/>
      <c r="I291" s="18"/>
      <c r="J291" s="18"/>
      <c r="K291" s="20"/>
      <c r="L291" s="20"/>
      <c r="M291" s="20"/>
      <c r="N291" s="20"/>
      <c r="O291" s="21"/>
      <c r="P291" s="22" t="n">
        <f aca="false">IF(OR($A291="",N(K291)=0),0,CEILING(K291*(1+IF($O291="",Taux_Compta,$O291))-0.005,Pas_Arrondi))</f>
        <v>0</v>
      </c>
      <c r="Q291" s="22" t="n">
        <f aca="false">IF(OR($A291="",N(L291)=0),0,CEILING(L291*(1+IF($O291="",Taux_Paye,$O291))-0.005,Pas_Arrondi))</f>
        <v>0</v>
      </c>
      <c r="R291" s="22" t="n">
        <f aca="false">IF(OR($A291="",N(M291)=0),0,CEILING(M291*(1+IF($O291="",Taux_Jur,$O291))-0.005,Pas_Arrondi))</f>
        <v>0</v>
      </c>
      <c r="S291" s="22" t="n">
        <f aca="false">IF(OR($A291="",N(N291)=0),0,CEILING(N291*(1+IF($O291="",Taux_PA,$O291))-0.005,Pas_Arrondi))</f>
        <v>0</v>
      </c>
      <c r="T291" s="22" t="str">
        <f aca="false">IF($A291="","",SUM(K291:N291))</f>
        <v/>
      </c>
      <c r="U291" s="22" t="str">
        <f aca="false">IF($A291="","",SUM(P291:S291))</f>
        <v/>
      </c>
      <c r="V291" s="22" t="str">
        <f aca="false">IF($A291="","",U291-T291)</f>
        <v/>
      </c>
      <c r="W291" s="23" t="str">
        <f aca="false">IF(OR($A291="",N(T291)=0),"",V291/T291)</f>
        <v/>
      </c>
      <c r="X291" s="18"/>
      <c r="Y291" s="18"/>
      <c r="Z291" s="24" t="str">
        <f aca="false">IF(AND($A291&lt;&gt;"",$X291="Oui",OR(Filtre_Masse="Tous les clients à envoyer",$Y291&lt;&gt;"Email")),MAX(Z$1:Z290)+1,"")</f>
        <v/>
      </c>
    </row>
    <row r="292" customFormat="false" ht="15" hidden="false" customHeight="false" outlineLevel="0" collapsed="false">
      <c r="A292" s="18"/>
      <c r="B292" s="18"/>
      <c r="C292" s="18"/>
      <c r="D292" s="18"/>
      <c r="E292" s="18"/>
      <c r="F292" s="18"/>
      <c r="G292" s="18"/>
      <c r="H292" s="19"/>
      <c r="I292" s="18"/>
      <c r="J292" s="18"/>
      <c r="K292" s="20"/>
      <c r="L292" s="20"/>
      <c r="M292" s="20"/>
      <c r="N292" s="20"/>
      <c r="O292" s="21"/>
      <c r="P292" s="22" t="n">
        <f aca="false">IF(OR($A292="",N(K292)=0),0,CEILING(K292*(1+IF($O292="",Taux_Compta,$O292))-0.005,Pas_Arrondi))</f>
        <v>0</v>
      </c>
      <c r="Q292" s="22" t="n">
        <f aca="false">IF(OR($A292="",N(L292)=0),0,CEILING(L292*(1+IF($O292="",Taux_Paye,$O292))-0.005,Pas_Arrondi))</f>
        <v>0</v>
      </c>
      <c r="R292" s="22" t="n">
        <f aca="false">IF(OR($A292="",N(M292)=0),0,CEILING(M292*(1+IF($O292="",Taux_Jur,$O292))-0.005,Pas_Arrondi))</f>
        <v>0</v>
      </c>
      <c r="S292" s="22" t="n">
        <f aca="false">IF(OR($A292="",N(N292)=0),0,CEILING(N292*(1+IF($O292="",Taux_PA,$O292))-0.005,Pas_Arrondi))</f>
        <v>0</v>
      </c>
      <c r="T292" s="22" t="str">
        <f aca="false">IF($A292="","",SUM(K292:N292))</f>
        <v/>
      </c>
      <c r="U292" s="22" t="str">
        <f aca="false">IF($A292="","",SUM(P292:S292))</f>
        <v/>
      </c>
      <c r="V292" s="22" t="str">
        <f aca="false">IF($A292="","",U292-T292)</f>
        <v/>
      </c>
      <c r="W292" s="23" t="str">
        <f aca="false">IF(OR($A292="",N(T292)=0),"",V292/T292)</f>
        <v/>
      </c>
      <c r="X292" s="18"/>
      <c r="Y292" s="18"/>
      <c r="Z292" s="24" t="str">
        <f aca="false">IF(AND($A292&lt;&gt;"",$X292="Oui",OR(Filtre_Masse="Tous les clients à envoyer",$Y292&lt;&gt;"Email")),MAX(Z$1:Z291)+1,"")</f>
        <v/>
      </c>
    </row>
    <row r="293" customFormat="false" ht="15" hidden="false" customHeight="false" outlineLevel="0" collapsed="false">
      <c r="A293" s="18"/>
      <c r="B293" s="18"/>
      <c r="C293" s="18"/>
      <c r="D293" s="18"/>
      <c r="E293" s="18"/>
      <c r="F293" s="18"/>
      <c r="G293" s="18"/>
      <c r="H293" s="19"/>
      <c r="I293" s="18"/>
      <c r="J293" s="18"/>
      <c r="K293" s="20"/>
      <c r="L293" s="20"/>
      <c r="M293" s="20"/>
      <c r="N293" s="20"/>
      <c r="O293" s="21"/>
      <c r="P293" s="22" t="n">
        <f aca="false">IF(OR($A293="",N(K293)=0),0,CEILING(K293*(1+IF($O293="",Taux_Compta,$O293))-0.005,Pas_Arrondi))</f>
        <v>0</v>
      </c>
      <c r="Q293" s="22" t="n">
        <f aca="false">IF(OR($A293="",N(L293)=0),0,CEILING(L293*(1+IF($O293="",Taux_Paye,$O293))-0.005,Pas_Arrondi))</f>
        <v>0</v>
      </c>
      <c r="R293" s="22" t="n">
        <f aca="false">IF(OR($A293="",N(M293)=0),0,CEILING(M293*(1+IF($O293="",Taux_Jur,$O293))-0.005,Pas_Arrondi))</f>
        <v>0</v>
      </c>
      <c r="S293" s="22" t="n">
        <f aca="false">IF(OR($A293="",N(N293)=0),0,CEILING(N293*(1+IF($O293="",Taux_PA,$O293))-0.005,Pas_Arrondi))</f>
        <v>0</v>
      </c>
      <c r="T293" s="22" t="str">
        <f aca="false">IF($A293="","",SUM(K293:N293))</f>
        <v/>
      </c>
      <c r="U293" s="22" t="str">
        <f aca="false">IF($A293="","",SUM(P293:S293))</f>
        <v/>
      </c>
      <c r="V293" s="22" t="str">
        <f aca="false">IF($A293="","",U293-T293)</f>
        <v/>
      </c>
      <c r="W293" s="23" t="str">
        <f aca="false">IF(OR($A293="",N(T293)=0),"",V293/T293)</f>
        <v/>
      </c>
      <c r="X293" s="18"/>
      <c r="Y293" s="18"/>
      <c r="Z293" s="24" t="str">
        <f aca="false">IF(AND($A293&lt;&gt;"",$X293="Oui",OR(Filtre_Masse="Tous les clients à envoyer",$Y293&lt;&gt;"Email")),MAX(Z$1:Z292)+1,"")</f>
        <v/>
      </c>
    </row>
    <row r="294" customFormat="false" ht="15" hidden="false" customHeight="false" outlineLevel="0" collapsed="false">
      <c r="A294" s="18"/>
      <c r="B294" s="18"/>
      <c r="C294" s="18"/>
      <c r="D294" s="18"/>
      <c r="E294" s="18"/>
      <c r="F294" s="18"/>
      <c r="G294" s="18"/>
      <c r="H294" s="19"/>
      <c r="I294" s="18"/>
      <c r="J294" s="18"/>
      <c r="K294" s="20"/>
      <c r="L294" s="20"/>
      <c r="M294" s="20"/>
      <c r="N294" s="20"/>
      <c r="O294" s="21"/>
      <c r="P294" s="22" t="n">
        <f aca="false">IF(OR($A294="",N(K294)=0),0,CEILING(K294*(1+IF($O294="",Taux_Compta,$O294))-0.005,Pas_Arrondi))</f>
        <v>0</v>
      </c>
      <c r="Q294" s="22" t="n">
        <f aca="false">IF(OR($A294="",N(L294)=0),0,CEILING(L294*(1+IF($O294="",Taux_Paye,$O294))-0.005,Pas_Arrondi))</f>
        <v>0</v>
      </c>
      <c r="R294" s="22" t="n">
        <f aca="false">IF(OR($A294="",N(M294)=0),0,CEILING(M294*(1+IF($O294="",Taux_Jur,$O294))-0.005,Pas_Arrondi))</f>
        <v>0</v>
      </c>
      <c r="S294" s="22" t="n">
        <f aca="false">IF(OR($A294="",N(N294)=0),0,CEILING(N294*(1+IF($O294="",Taux_PA,$O294))-0.005,Pas_Arrondi))</f>
        <v>0</v>
      </c>
      <c r="T294" s="22" t="str">
        <f aca="false">IF($A294="","",SUM(K294:N294))</f>
        <v/>
      </c>
      <c r="U294" s="22" t="str">
        <f aca="false">IF($A294="","",SUM(P294:S294))</f>
        <v/>
      </c>
      <c r="V294" s="22" t="str">
        <f aca="false">IF($A294="","",U294-T294)</f>
        <v/>
      </c>
      <c r="W294" s="23" t="str">
        <f aca="false">IF(OR($A294="",N(T294)=0),"",V294/T294)</f>
        <v/>
      </c>
      <c r="X294" s="18"/>
      <c r="Y294" s="18"/>
      <c r="Z294" s="24" t="str">
        <f aca="false">IF(AND($A294&lt;&gt;"",$X294="Oui",OR(Filtre_Masse="Tous les clients à envoyer",$Y294&lt;&gt;"Email")),MAX(Z$1:Z293)+1,"")</f>
        <v/>
      </c>
    </row>
    <row r="295" customFormat="false" ht="15" hidden="false" customHeight="false" outlineLevel="0" collapsed="false">
      <c r="A295" s="18"/>
      <c r="B295" s="18"/>
      <c r="C295" s="18"/>
      <c r="D295" s="18"/>
      <c r="E295" s="18"/>
      <c r="F295" s="18"/>
      <c r="G295" s="18"/>
      <c r="H295" s="19"/>
      <c r="I295" s="18"/>
      <c r="J295" s="18"/>
      <c r="K295" s="20"/>
      <c r="L295" s="20"/>
      <c r="M295" s="20"/>
      <c r="N295" s="20"/>
      <c r="O295" s="21"/>
      <c r="P295" s="22" t="n">
        <f aca="false">IF(OR($A295="",N(K295)=0),0,CEILING(K295*(1+IF($O295="",Taux_Compta,$O295))-0.005,Pas_Arrondi))</f>
        <v>0</v>
      </c>
      <c r="Q295" s="22" t="n">
        <f aca="false">IF(OR($A295="",N(L295)=0),0,CEILING(L295*(1+IF($O295="",Taux_Paye,$O295))-0.005,Pas_Arrondi))</f>
        <v>0</v>
      </c>
      <c r="R295" s="22" t="n">
        <f aca="false">IF(OR($A295="",N(M295)=0),0,CEILING(M295*(1+IF($O295="",Taux_Jur,$O295))-0.005,Pas_Arrondi))</f>
        <v>0</v>
      </c>
      <c r="S295" s="22" t="n">
        <f aca="false">IF(OR($A295="",N(N295)=0),0,CEILING(N295*(1+IF($O295="",Taux_PA,$O295))-0.005,Pas_Arrondi))</f>
        <v>0</v>
      </c>
      <c r="T295" s="22" t="str">
        <f aca="false">IF($A295="","",SUM(K295:N295))</f>
        <v/>
      </c>
      <c r="U295" s="22" t="str">
        <f aca="false">IF($A295="","",SUM(P295:S295))</f>
        <v/>
      </c>
      <c r="V295" s="22" t="str">
        <f aca="false">IF($A295="","",U295-T295)</f>
        <v/>
      </c>
      <c r="W295" s="23" t="str">
        <f aca="false">IF(OR($A295="",N(T295)=0),"",V295/T295)</f>
        <v/>
      </c>
      <c r="X295" s="18"/>
      <c r="Y295" s="18"/>
      <c r="Z295" s="24" t="str">
        <f aca="false">IF(AND($A295&lt;&gt;"",$X295="Oui",OR(Filtre_Masse="Tous les clients à envoyer",$Y295&lt;&gt;"Email")),MAX(Z$1:Z294)+1,"")</f>
        <v/>
      </c>
    </row>
    <row r="296" customFormat="false" ht="15" hidden="false" customHeight="false" outlineLevel="0" collapsed="false">
      <c r="A296" s="18"/>
      <c r="B296" s="18"/>
      <c r="C296" s="18"/>
      <c r="D296" s="18"/>
      <c r="E296" s="18"/>
      <c r="F296" s="18"/>
      <c r="G296" s="18"/>
      <c r="H296" s="19"/>
      <c r="I296" s="18"/>
      <c r="J296" s="18"/>
      <c r="K296" s="20"/>
      <c r="L296" s="20"/>
      <c r="M296" s="20"/>
      <c r="N296" s="20"/>
      <c r="O296" s="21"/>
      <c r="P296" s="22" t="n">
        <f aca="false">IF(OR($A296="",N(K296)=0),0,CEILING(K296*(1+IF($O296="",Taux_Compta,$O296))-0.005,Pas_Arrondi))</f>
        <v>0</v>
      </c>
      <c r="Q296" s="22" t="n">
        <f aca="false">IF(OR($A296="",N(L296)=0),0,CEILING(L296*(1+IF($O296="",Taux_Paye,$O296))-0.005,Pas_Arrondi))</f>
        <v>0</v>
      </c>
      <c r="R296" s="22" t="n">
        <f aca="false">IF(OR($A296="",N(M296)=0),0,CEILING(M296*(1+IF($O296="",Taux_Jur,$O296))-0.005,Pas_Arrondi))</f>
        <v>0</v>
      </c>
      <c r="S296" s="22" t="n">
        <f aca="false">IF(OR($A296="",N(N296)=0),0,CEILING(N296*(1+IF($O296="",Taux_PA,$O296))-0.005,Pas_Arrondi))</f>
        <v>0</v>
      </c>
      <c r="T296" s="22" t="str">
        <f aca="false">IF($A296="","",SUM(K296:N296))</f>
        <v/>
      </c>
      <c r="U296" s="22" t="str">
        <f aca="false">IF($A296="","",SUM(P296:S296))</f>
        <v/>
      </c>
      <c r="V296" s="22" t="str">
        <f aca="false">IF($A296="","",U296-T296)</f>
        <v/>
      </c>
      <c r="W296" s="23" t="str">
        <f aca="false">IF(OR($A296="",N(T296)=0),"",V296/T296)</f>
        <v/>
      </c>
      <c r="X296" s="18"/>
      <c r="Y296" s="18"/>
      <c r="Z296" s="24" t="str">
        <f aca="false">IF(AND($A296&lt;&gt;"",$X296="Oui",OR(Filtre_Masse="Tous les clients à envoyer",$Y296&lt;&gt;"Email")),MAX(Z$1:Z295)+1,"")</f>
        <v/>
      </c>
    </row>
    <row r="297" customFormat="false" ht="15" hidden="false" customHeight="false" outlineLevel="0" collapsed="false">
      <c r="A297" s="18"/>
      <c r="B297" s="18"/>
      <c r="C297" s="18"/>
      <c r="D297" s="18"/>
      <c r="E297" s="18"/>
      <c r="F297" s="18"/>
      <c r="G297" s="18"/>
      <c r="H297" s="19"/>
      <c r="I297" s="18"/>
      <c r="J297" s="18"/>
      <c r="K297" s="20"/>
      <c r="L297" s="20"/>
      <c r="M297" s="20"/>
      <c r="N297" s="20"/>
      <c r="O297" s="21"/>
      <c r="P297" s="22" t="n">
        <f aca="false">IF(OR($A297="",N(K297)=0),0,CEILING(K297*(1+IF($O297="",Taux_Compta,$O297))-0.005,Pas_Arrondi))</f>
        <v>0</v>
      </c>
      <c r="Q297" s="22" t="n">
        <f aca="false">IF(OR($A297="",N(L297)=0),0,CEILING(L297*(1+IF($O297="",Taux_Paye,$O297))-0.005,Pas_Arrondi))</f>
        <v>0</v>
      </c>
      <c r="R297" s="22" t="n">
        <f aca="false">IF(OR($A297="",N(M297)=0),0,CEILING(M297*(1+IF($O297="",Taux_Jur,$O297))-0.005,Pas_Arrondi))</f>
        <v>0</v>
      </c>
      <c r="S297" s="22" t="n">
        <f aca="false">IF(OR($A297="",N(N297)=0),0,CEILING(N297*(1+IF($O297="",Taux_PA,$O297))-0.005,Pas_Arrondi))</f>
        <v>0</v>
      </c>
      <c r="T297" s="22" t="str">
        <f aca="false">IF($A297="","",SUM(K297:N297))</f>
        <v/>
      </c>
      <c r="U297" s="22" t="str">
        <f aca="false">IF($A297="","",SUM(P297:S297))</f>
        <v/>
      </c>
      <c r="V297" s="22" t="str">
        <f aca="false">IF($A297="","",U297-T297)</f>
        <v/>
      </c>
      <c r="W297" s="23" t="str">
        <f aca="false">IF(OR($A297="",N(T297)=0),"",V297/T297)</f>
        <v/>
      </c>
      <c r="X297" s="18"/>
      <c r="Y297" s="18"/>
      <c r="Z297" s="24" t="str">
        <f aca="false">IF(AND($A297&lt;&gt;"",$X297="Oui",OR(Filtre_Masse="Tous les clients à envoyer",$Y297&lt;&gt;"Email")),MAX(Z$1:Z296)+1,"")</f>
        <v/>
      </c>
    </row>
    <row r="298" customFormat="false" ht="15" hidden="false" customHeight="false" outlineLevel="0" collapsed="false">
      <c r="A298" s="18"/>
      <c r="B298" s="18"/>
      <c r="C298" s="18"/>
      <c r="D298" s="18"/>
      <c r="E298" s="18"/>
      <c r="F298" s="18"/>
      <c r="G298" s="18"/>
      <c r="H298" s="19"/>
      <c r="I298" s="18"/>
      <c r="J298" s="18"/>
      <c r="K298" s="20"/>
      <c r="L298" s="20"/>
      <c r="M298" s="20"/>
      <c r="N298" s="20"/>
      <c r="O298" s="21"/>
      <c r="P298" s="22" t="n">
        <f aca="false">IF(OR($A298="",N(K298)=0),0,CEILING(K298*(1+IF($O298="",Taux_Compta,$O298))-0.005,Pas_Arrondi))</f>
        <v>0</v>
      </c>
      <c r="Q298" s="22" t="n">
        <f aca="false">IF(OR($A298="",N(L298)=0),0,CEILING(L298*(1+IF($O298="",Taux_Paye,$O298))-0.005,Pas_Arrondi))</f>
        <v>0</v>
      </c>
      <c r="R298" s="22" t="n">
        <f aca="false">IF(OR($A298="",N(M298)=0),0,CEILING(M298*(1+IF($O298="",Taux_Jur,$O298))-0.005,Pas_Arrondi))</f>
        <v>0</v>
      </c>
      <c r="S298" s="22" t="n">
        <f aca="false">IF(OR($A298="",N(N298)=0),0,CEILING(N298*(1+IF($O298="",Taux_PA,$O298))-0.005,Pas_Arrondi))</f>
        <v>0</v>
      </c>
      <c r="T298" s="22" t="str">
        <f aca="false">IF($A298="","",SUM(K298:N298))</f>
        <v/>
      </c>
      <c r="U298" s="22" t="str">
        <f aca="false">IF($A298="","",SUM(P298:S298))</f>
        <v/>
      </c>
      <c r="V298" s="22" t="str">
        <f aca="false">IF($A298="","",U298-T298)</f>
        <v/>
      </c>
      <c r="W298" s="23" t="str">
        <f aca="false">IF(OR($A298="",N(T298)=0),"",V298/T298)</f>
        <v/>
      </c>
      <c r="X298" s="18"/>
      <c r="Y298" s="18"/>
      <c r="Z298" s="24" t="str">
        <f aca="false">IF(AND($A298&lt;&gt;"",$X298="Oui",OR(Filtre_Masse="Tous les clients à envoyer",$Y298&lt;&gt;"Email")),MAX(Z$1:Z297)+1,"")</f>
        <v/>
      </c>
    </row>
    <row r="299" customFormat="false" ht="15" hidden="false" customHeight="false" outlineLevel="0" collapsed="false">
      <c r="A299" s="18"/>
      <c r="B299" s="18"/>
      <c r="C299" s="18"/>
      <c r="D299" s="18"/>
      <c r="E299" s="18"/>
      <c r="F299" s="18"/>
      <c r="G299" s="18"/>
      <c r="H299" s="19"/>
      <c r="I299" s="18"/>
      <c r="J299" s="18"/>
      <c r="K299" s="20"/>
      <c r="L299" s="20"/>
      <c r="M299" s="20"/>
      <c r="N299" s="20"/>
      <c r="O299" s="21"/>
      <c r="P299" s="22" t="n">
        <f aca="false">IF(OR($A299="",N(K299)=0),0,CEILING(K299*(1+IF($O299="",Taux_Compta,$O299))-0.005,Pas_Arrondi))</f>
        <v>0</v>
      </c>
      <c r="Q299" s="22" t="n">
        <f aca="false">IF(OR($A299="",N(L299)=0),0,CEILING(L299*(1+IF($O299="",Taux_Paye,$O299))-0.005,Pas_Arrondi))</f>
        <v>0</v>
      </c>
      <c r="R299" s="22" t="n">
        <f aca="false">IF(OR($A299="",N(M299)=0),0,CEILING(M299*(1+IF($O299="",Taux_Jur,$O299))-0.005,Pas_Arrondi))</f>
        <v>0</v>
      </c>
      <c r="S299" s="22" t="n">
        <f aca="false">IF(OR($A299="",N(N299)=0),0,CEILING(N299*(1+IF($O299="",Taux_PA,$O299))-0.005,Pas_Arrondi))</f>
        <v>0</v>
      </c>
      <c r="T299" s="22" t="str">
        <f aca="false">IF($A299="","",SUM(K299:N299))</f>
        <v/>
      </c>
      <c r="U299" s="22" t="str">
        <f aca="false">IF($A299="","",SUM(P299:S299))</f>
        <v/>
      </c>
      <c r="V299" s="22" t="str">
        <f aca="false">IF($A299="","",U299-T299)</f>
        <v/>
      </c>
      <c r="W299" s="23" t="str">
        <f aca="false">IF(OR($A299="",N(T299)=0),"",V299/T299)</f>
        <v/>
      </c>
      <c r="X299" s="18"/>
      <c r="Y299" s="18"/>
      <c r="Z299" s="24" t="str">
        <f aca="false">IF(AND($A299&lt;&gt;"",$X299="Oui",OR(Filtre_Masse="Tous les clients à envoyer",$Y299&lt;&gt;"Email")),MAX(Z$1:Z298)+1,"")</f>
        <v/>
      </c>
    </row>
    <row r="300" customFormat="false" ht="15" hidden="false" customHeight="false" outlineLevel="0" collapsed="false">
      <c r="A300" s="18"/>
      <c r="B300" s="18"/>
      <c r="C300" s="18"/>
      <c r="D300" s="18"/>
      <c r="E300" s="18"/>
      <c r="F300" s="18"/>
      <c r="G300" s="18"/>
      <c r="H300" s="19"/>
      <c r="I300" s="18"/>
      <c r="J300" s="18"/>
      <c r="K300" s="20"/>
      <c r="L300" s="20"/>
      <c r="M300" s="20"/>
      <c r="N300" s="20"/>
      <c r="O300" s="21"/>
      <c r="P300" s="22" t="n">
        <f aca="false">IF(OR($A300="",N(K300)=0),0,CEILING(K300*(1+IF($O300="",Taux_Compta,$O300))-0.005,Pas_Arrondi))</f>
        <v>0</v>
      </c>
      <c r="Q300" s="22" t="n">
        <f aca="false">IF(OR($A300="",N(L300)=0),0,CEILING(L300*(1+IF($O300="",Taux_Paye,$O300))-0.005,Pas_Arrondi))</f>
        <v>0</v>
      </c>
      <c r="R300" s="22" t="n">
        <f aca="false">IF(OR($A300="",N(M300)=0),0,CEILING(M300*(1+IF($O300="",Taux_Jur,$O300))-0.005,Pas_Arrondi))</f>
        <v>0</v>
      </c>
      <c r="S300" s="22" t="n">
        <f aca="false">IF(OR($A300="",N(N300)=0),0,CEILING(N300*(1+IF($O300="",Taux_PA,$O300))-0.005,Pas_Arrondi))</f>
        <v>0</v>
      </c>
      <c r="T300" s="22" t="str">
        <f aca="false">IF($A300="","",SUM(K300:N300))</f>
        <v/>
      </c>
      <c r="U300" s="22" t="str">
        <f aca="false">IF($A300="","",SUM(P300:S300))</f>
        <v/>
      </c>
      <c r="V300" s="22" t="str">
        <f aca="false">IF($A300="","",U300-T300)</f>
        <v/>
      </c>
      <c r="W300" s="23" t="str">
        <f aca="false">IF(OR($A300="",N(T300)=0),"",V300/T300)</f>
        <v/>
      </c>
      <c r="X300" s="18"/>
      <c r="Y300" s="18"/>
      <c r="Z300" s="24" t="str">
        <f aca="false">IF(AND($A300&lt;&gt;"",$X300="Oui",OR(Filtre_Masse="Tous les clients à envoyer",$Y300&lt;&gt;"Email")),MAX(Z$1:Z299)+1,"")</f>
        <v/>
      </c>
    </row>
    <row r="301" customFormat="false" ht="15" hidden="false" customHeight="false" outlineLevel="0" collapsed="false">
      <c r="A301" s="18"/>
      <c r="B301" s="18"/>
      <c r="C301" s="18"/>
      <c r="D301" s="18"/>
      <c r="E301" s="18"/>
      <c r="F301" s="18"/>
      <c r="G301" s="18"/>
      <c r="H301" s="19"/>
      <c r="I301" s="18"/>
      <c r="J301" s="18"/>
      <c r="K301" s="20"/>
      <c r="L301" s="20"/>
      <c r="M301" s="20"/>
      <c r="N301" s="20"/>
      <c r="O301" s="21"/>
      <c r="P301" s="22" t="n">
        <f aca="false">IF(OR($A301="",N(K301)=0),0,CEILING(K301*(1+IF($O301="",Taux_Compta,$O301))-0.005,Pas_Arrondi))</f>
        <v>0</v>
      </c>
      <c r="Q301" s="22" t="n">
        <f aca="false">IF(OR($A301="",N(L301)=0),0,CEILING(L301*(1+IF($O301="",Taux_Paye,$O301))-0.005,Pas_Arrondi))</f>
        <v>0</v>
      </c>
      <c r="R301" s="22" t="n">
        <f aca="false">IF(OR($A301="",N(M301)=0),0,CEILING(M301*(1+IF($O301="",Taux_Jur,$O301))-0.005,Pas_Arrondi))</f>
        <v>0</v>
      </c>
      <c r="S301" s="22" t="n">
        <f aca="false">IF(OR($A301="",N(N301)=0),0,CEILING(N301*(1+IF($O301="",Taux_PA,$O301))-0.005,Pas_Arrondi))</f>
        <v>0</v>
      </c>
      <c r="T301" s="22" t="str">
        <f aca="false">IF($A301="","",SUM(K301:N301))</f>
        <v/>
      </c>
      <c r="U301" s="22" t="str">
        <f aca="false">IF($A301="","",SUM(P301:S301))</f>
        <v/>
      </c>
      <c r="V301" s="22" t="str">
        <f aca="false">IF($A301="","",U301-T301)</f>
        <v/>
      </c>
      <c r="W301" s="23" t="str">
        <f aca="false">IF(OR($A301="",N(T301)=0),"",V301/T301)</f>
        <v/>
      </c>
      <c r="X301" s="18"/>
      <c r="Y301" s="18"/>
      <c r="Z301" s="24" t="str">
        <f aca="false">IF(AND($A301&lt;&gt;"",$X301="Oui",OR(Filtre_Masse="Tous les clients à envoyer",$Y301&lt;&gt;"Email")),MAX(Z$1:Z300)+1,"")</f>
        <v/>
      </c>
    </row>
    <row r="302" customFormat="false" ht="15" hidden="false" customHeight="false" outlineLevel="0" collapsed="false">
      <c r="A302" s="18"/>
      <c r="B302" s="18"/>
      <c r="C302" s="18"/>
      <c r="D302" s="18"/>
      <c r="E302" s="18"/>
      <c r="F302" s="18"/>
      <c r="G302" s="18"/>
      <c r="H302" s="19"/>
      <c r="I302" s="18"/>
      <c r="J302" s="18"/>
      <c r="K302" s="20"/>
      <c r="L302" s="20"/>
      <c r="M302" s="20"/>
      <c r="N302" s="20"/>
      <c r="O302" s="21"/>
      <c r="P302" s="22" t="n">
        <f aca="false">IF(OR($A302="",N(K302)=0),0,CEILING(K302*(1+IF($O302="",Taux_Compta,$O302))-0.005,Pas_Arrondi))</f>
        <v>0</v>
      </c>
      <c r="Q302" s="22" t="n">
        <f aca="false">IF(OR($A302="",N(L302)=0),0,CEILING(L302*(1+IF($O302="",Taux_Paye,$O302))-0.005,Pas_Arrondi))</f>
        <v>0</v>
      </c>
      <c r="R302" s="22" t="n">
        <f aca="false">IF(OR($A302="",N(M302)=0),0,CEILING(M302*(1+IF($O302="",Taux_Jur,$O302))-0.005,Pas_Arrondi))</f>
        <v>0</v>
      </c>
      <c r="S302" s="22" t="n">
        <f aca="false">IF(OR($A302="",N(N302)=0),0,CEILING(N302*(1+IF($O302="",Taux_PA,$O302))-0.005,Pas_Arrondi))</f>
        <v>0</v>
      </c>
      <c r="T302" s="22" t="str">
        <f aca="false">IF($A302="","",SUM(K302:N302))</f>
        <v/>
      </c>
      <c r="U302" s="22" t="str">
        <f aca="false">IF($A302="","",SUM(P302:S302))</f>
        <v/>
      </c>
      <c r="V302" s="22" t="str">
        <f aca="false">IF($A302="","",U302-T302)</f>
        <v/>
      </c>
      <c r="W302" s="23" t="str">
        <f aca="false">IF(OR($A302="",N(T302)=0),"",V302/T302)</f>
        <v/>
      </c>
      <c r="X302" s="18"/>
      <c r="Y302" s="18"/>
      <c r="Z302" s="24" t="str">
        <f aca="false">IF(AND($A302&lt;&gt;"",$X302="Oui",OR(Filtre_Masse="Tous les clients à envoyer",$Y302&lt;&gt;"Email")),MAX(Z$1:Z301)+1,"")</f>
        <v/>
      </c>
    </row>
    <row r="303" customFormat="false" ht="15" hidden="false" customHeight="false" outlineLevel="0" collapsed="false">
      <c r="A303" s="18"/>
      <c r="B303" s="18"/>
      <c r="C303" s="18"/>
      <c r="D303" s="18"/>
      <c r="E303" s="18"/>
      <c r="F303" s="18"/>
      <c r="G303" s="18"/>
      <c r="H303" s="19"/>
      <c r="I303" s="18"/>
      <c r="J303" s="18"/>
      <c r="K303" s="20"/>
      <c r="L303" s="20"/>
      <c r="M303" s="20"/>
      <c r="N303" s="20"/>
      <c r="O303" s="21"/>
      <c r="P303" s="22" t="n">
        <f aca="false">IF(OR($A303="",N(K303)=0),0,CEILING(K303*(1+IF($O303="",Taux_Compta,$O303))-0.005,Pas_Arrondi))</f>
        <v>0</v>
      </c>
      <c r="Q303" s="22" t="n">
        <f aca="false">IF(OR($A303="",N(L303)=0),0,CEILING(L303*(1+IF($O303="",Taux_Paye,$O303))-0.005,Pas_Arrondi))</f>
        <v>0</v>
      </c>
      <c r="R303" s="22" t="n">
        <f aca="false">IF(OR($A303="",N(M303)=0),0,CEILING(M303*(1+IF($O303="",Taux_Jur,$O303))-0.005,Pas_Arrondi))</f>
        <v>0</v>
      </c>
      <c r="S303" s="22" t="n">
        <f aca="false">IF(OR($A303="",N(N303)=0),0,CEILING(N303*(1+IF($O303="",Taux_PA,$O303))-0.005,Pas_Arrondi))</f>
        <v>0</v>
      </c>
      <c r="T303" s="22" t="str">
        <f aca="false">IF($A303="","",SUM(K303:N303))</f>
        <v/>
      </c>
      <c r="U303" s="22" t="str">
        <f aca="false">IF($A303="","",SUM(P303:S303))</f>
        <v/>
      </c>
      <c r="V303" s="22" t="str">
        <f aca="false">IF($A303="","",U303-T303)</f>
        <v/>
      </c>
      <c r="W303" s="23" t="str">
        <f aca="false">IF(OR($A303="",N(T303)=0),"",V303/T303)</f>
        <v/>
      </c>
      <c r="X303" s="18"/>
      <c r="Y303" s="18"/>
      <c r="Z303" s="24" t="str">
        <f aca="false">IF(AND($A303&lt;&gt;"",$X303="Oui",OR(Filtre_Masse="Tous les clients à envoyer",$Y303&lt;&gt;"Email")),MAX(Z$1:Z302)+1,"")</f>
        <v/>
      </c>
    </row>
    <row r="304" customFormat="false" ht="15" hidden="false" customHeight="false" outlineLevel="0" collapsed="false">
      <c r="A304" s="18"/>
      <c r="B304" s="18"/>
      <c r="C304" s="18"/>
      <c r="D304" s="18"/>
      <c r="E304" s="18"/>
      <c r="F304" s="18"/>
      <c r="G304" s="18"/>
      <c r="H304" s="19"/>
      <c r="I304" s="18"/>
      <c r="J304" s="18"/>
      <c r="K304" s="20"/>
      <c r="L304" s="20"/>
      <c r="M304" s="20"/>
      <c r="N304" s="20"/>
      <c r="O304" s="21"/>
      <c r="P304" s="22" t="n">
        <f aca="false">IF(OR($A304="",N(K304)=0),0,CEILING(K304*(1+IF($O304="",Taux_Compta,$O304))-0.005,Pas_Arrondi))</f>
        <v>0</v>
      </c>
      <c r="Q304" s="22" t="n">
        <f aca="false">IF(OR($A304="",N(L304)=0),0,CEILING(L304*(1+IF($O304="",Taux_Paye,$O304))-0.005,Pas_Arrondi))</f>
        <v>0</v>
      </c>
      <c r="R304" s="22" t="n">
        <f aca="false">IF(OR($A304="",N(M304)=0),0,CEILING(M304*(1+IF($O304="",Taux_Jur,$O304))-0.005,Pas_Arrondi))</f>
        <v>0</v>
      </c>
      <c r="S304" s="22" t="n">
        <f aca="false">IF(OR($A304="",N(N304)=0),0,CEILING(N304*(1+IF($O304="",Taux_PA,$O304))-0.005,Pas_Arrondi))</f>
        <v>0</v>
      </c>
      <c r="T304" s="22" t="str">
        <f aca="false">IF($A304="","",SUM(K304:N304))</f>
        <v/>
      </c>
      <c r="U304" s="22" t="str">
        <f aca="false">IF($A304="","",SUM(P304:S304))</f>
        <v/>
      </c>
      <c r="V304" s="22" t="str">
        <f aca="false">IF($A304="","",U304-T304)</f>
        <v/>
      </c>
      <c r="W304" s="23" t="str">
        <f aca="false">IF(OR($A304="",N(T304)=0),"",V304/T304)</f>
        <v/>
      </c>
      <c r="X304" s="18"/>
      <c r="Y304" s="18"/>
      <c r="Z304" s="24" t="str">
        <f aca="false">IF(AND($A304&lt;&gt;"",$X304="Oui",OR(Filtre_Masse="Tous les clients à envoyer",$Y304&lt;&gt;"Email")),MAX(Z$1:Z303)+1,"")</f>
        <v/>
      </c>
    </row>
    <row r="305" customFormat="false" ht="15" hidden="false" customHeight="false" outlineLevel="0" collapsed="false">
      <c r="A305" s="18"/>
      <c r="B305" s="18"/>
      <c r="C305" s="18"/>
      <c r="D305" s="18"/>
      <c r="E305" s="18"/>
      <c r="F305" s="18"/>
      <c r="G305" s="18"/>
      <c r="H305" s="19"/>
      <c r="I305" s="18"/>
      <c r="J305" s="18"/>
      <c r="K305" s="20"/>
      <c r="L305" s="20"/>
      <c r="M305" s="20"/>
      <c r="N305" s="20"/>
      <c r="O305" s="21"/>
      <c r="P305" s="22" t="n">
        <f aca="false">IF(OR($A305="",N(K305)=0),0,CEILING(K305*(1+IF($O305="",Taux_Compta,$O305))-0.005,Pas_Arrondi))</f>
        <v>0</v>
      </c>
      <c r="Q305" s="22" t="n">
        <f aca="false">IF(OR($A305="",N(L305)=0),0,CEILING(L305*(1+IF($O305="",Taux_Paye,$O305))-0.005,Pas_Arrondi))</f>
        <v>0</v>
      </c>
      <c r="R305" s="22" t="n">
        <f aca="false">IF(OR($A305="",N(M305)=0),0,CEILING(M305*(1+IF($O305="",Taux_Jur,$O305))-0.005,Pas_Arrondi))</f>
        <v>0</v>
      </c>
      <c r="S305" s="22" t="n">
        <f aca="false">IF(OR($A305="",N(N305)=0),0,CEILING(N305*(1+IF($O305="",Taux_PA,$O305))-0.005,Pas_Arrondi))</f>
        <v>0</v>
      </c>
      <c r="T305" s="22" t="str">
        <f aca="false">IF($A305="","",SUM(K305:N305))</f>
        <v/>
      </c>
      <c r="U305" s="22" t="str">
        <f aca="false">IF($A305="","",SUM(P305:S305))</f>
        <v/>
      </c>
      <c r="V305" s="22" t="str">
        <f aca="false">IF($A305="","",U305-T305)</f>
        <v/>
      </c>
      <c r="W305" s="23" t="str">
        <f aca="false">IF(OR($A305="",N(T305)=0),"",V305/T305)</f>
        <v/>
      </c>
      <c r="X305" s="18"/>
      <c r="Y305" s="18"/>
      <c r="Z305" s="24" t="str">
        <f aca="false">IF(AND($A305&lt;&gt;"",$X305="Oui",OR(Filtre_Masse="Tous les clients à envoyer",$Y305&lt;&gt;"Email")),MAX(Z$1:Z304)+1,"")</f>
        <v/>
      </c>
    </row>
    <row r="306" customFormat="false" ht="15" hidden="false" customHeight="false" outlineLevel="0" collapsed="false">
      <c r="A306" s="18"/>
      <c r="B306" s="18"/>
      <c r="C306" s="18"/>
      <c r="D306" s="18"/>
      <c r="E306" s="18"/>
      <c r="F306" s="18"/>
      <c r="G306" s="18"/>
      <c r="H306" s="19"/>
      <c r="I306" s="18"/>
      <c r="J306" s="18"/>
      <c r="K306" s="20"/>
      <c r="L306" s="20"/>
      <c r="M306" s="20"/>
      <c r="N306" s="20"/>
      <c r="O306" s="21"/>
      <c r="P306" s="22" t="n">
        <f aca="false">IF(OR($A306="",N(K306)=0),0,CEILING(K306*(1+IF($O306="",Taux_Compta,$O306))-0.005,Pas_Arrondi))</f>
        <v>0</v>
      </c>
      <c r="Q306" s="22" t="n">
        <f aca="false">IF(OR($A306="",N(L306)=0),0,CEILING(L306*(1+IF($O306="",Taux_Paye,$O306))-0.005,Pas_Arrondi))</f>
        <v>0</v>
      </c>
      <c r="R306" s="22" t="n">
        <f aca="false">IF(OR($A306="",N(M306)=0),0,CEILING(M306*(1+IF($O306="",Taux_Jur,$O306))-0.005,Pas_Arrondi))</f>
        <v>0</v>
      </c>
      <c r="S306" s="22" t="n">
        <f aca="false">IF(OR($A306="",N(N306)=0),0,CEILING(N306*(1+IF($O306="",Taux_PA,$O306))-0.005,Pas_Arrondi))</f>
        <v>0</v>
      </c>
      <c r="T306" s="22" t="str">
        <f aca="false">IF($A306="","",SUM(K306:N306))</f>
        <v/>
      </c>
      <c r="U306" s="22" t="str">
        <f aca="false">IF($A306="","",SUM(P306:S306))</f>
        <v/>
      </c>
      <c r="V306" s="22" t="str">
        <f aca="false">IF($A306="","",U306-T306)</f>
        <v/>
      </c>
      <c r="W306" s="23" t="str">
        <f aca="false">IF(OR($A306="",N(T306)=0),"",V306/T306)</f>
        <v/>
      </c>
      <c r="X306" s="18"/>
      <c r="Y306" s="18"/>
      <c r="Z306" s="24" t="str">
        <f aca="false">IF(AND($A306&lt;&gt;"",$X306="Oui",OR(Filtre_Masse="Tous les clients à envoyer",$Y306&lt;&gt;"Email")),MAX(Z$1:Z305)+1,"")</f>
        <v/>
      </c>
    </row>
    <row r="307" customFormat="false" ht="15" hidden="false" customHeight="false" outlineLevel="0" collapsed="false">
      <c r="A307" s="18"/>
      <c r="B307" s="18"/>
      <c r="C307" s="18"/>
      <c r="D307" s="18"/>
      <c r="E307" s="18"/>
      <c r="F307" s="18"/>
      <c r="G307" s="18"/>
      <c r="H307" s="19"/>
      <c r="I307" s="18"/>
      <c r="J307" s="18"/>
      <c r="K307" s="20"/>
      <c r="L307" s="20"/>
      <c r="M307" s="20"/>
      <c r="N307" s="20"/>
      <c r="O307" s="21"/>
      <c r="P307" s="22" t="n">
        <f aca="false">IF(OR($A307="",N(K307)=0),0,CEILING(K307*(1+IF($O307="",Taux_Compta,$O307))-0.005,Pas_Arrondi))</f>
        <v>0</v>
      </c>
      <c r="Q307" s="22" t="n">
        <f aca="false">IF(OR($A307="",N(L307)=0),0,CEILING(L307*(1+IF($O307="",Taux_Paye,$O307))-0.005,Pas_Arrondi))</f>
        <v>0</v>
      </c>
      <c r="R307" s="22" t="n">
        <f aca="false">IF(OR($A307="",N(M307)=0),0,CEILING(M307*(1+IF($O307="",Taux_Jur,$O307))-0.005,Pas_Arrondi))</f>
        <v>0</v>
      </c>
      <c r="S307" s="22" t="n">
        <f aca="false">IF(OR($A307="",N(N307)=0),0,CEILING(N307*(1+IF($O307="",Taux_PA,$O307))-0.005,Pas_Arrondi))</f>
        <v>0</v>
      </c>
      <c r="T307" s="22" t="str">
        <f aca="false">IF($A307="","",SUM(K307:N307))</f>
        <v/>
      </c>
      <c r="U307" s="22" t="str">
        <f aca="false">IF($A307="","",SUM(P307:S307))</f>
        <v/>
      </c>
      <c r="V307" s="22" t="str">
        <f aca="false">IF($A307="","",U307-T307)</f>
        <v/>
      </c>
      <c r="W307" s="23" t="str">
        <f aca="false">IF(OR($A307="",N(T307)=0),"",V307/T307)</f>
        <v/>
      </c>
      <c r="X307" s="18"/>
      <c r="Y307" s="18"/>
      <c r="Z307" s="24" t="str">
        <f aca="false">IF(AND($A307&lt;&gt;"",$X307="Oui",OR(Filtre_Masse="Tous les clients à envoyer",$Y307&lt;&gt;"Email")),MAX(Z$1:Z306)+1,"")</f>
        <v/>
      </c>
    </row>
    <row r="308" customFormat="false" ht="15" hidden="false" customHeight="false" outlineLevel="0" collapsed="false">
      <c r="A308" s="18"/>
      <c r="B308" s="18"/>
      <c r="C308" s="18"/>
      <c r="D308" s="18"/>
      <c r="E308" s="18"/>
      <c r="F308" s="18"/>
      <c r="G308" s="18"/>
      <c r="H308" s="19"/>
      <c r="I308" s="18"/>
      <c r="J308" s="18"/>
      <c r="K308" s="20"/>
      <c r="L308" s="20"/>
      <c r="M308" s="20"/>
      <c r="N308" s="20"/>
      <c r="O308" s="21"/>
      <c r="P308" s="22" t="n">
        <f aca="false">IF(OR($A308="",N(K308)=0),0,CEILING(K308*(1+IF($O308="",Taux_Compta,$O308))-0.005,Pas_Arrondi))</f>
        <v>0</v>
      </c>
      <c r="Q308" s="22" t="n">
        <f aca="false">IF(OR($A308="",N(L308)=0),0,CEILING(L308*(1+IF($O308="",Taux_Paye,$O308))-0.005,Pas_Arrondi))</f>
        <v>0</v>
      </c>
      <c r="R308" s="22" t="n">
        <f aca="false">IF(OR($A308="",N(M308)=0),0,CEILING(M308*(1+IF($O308="",Taux_Jur,$O308))-0.005,Pas_Arrondi))</f>
        <v>0</v>
      </c>
      <c r="S308" s="22" t="n">
        <f aca="false">IF(OR($A308="",N(N308)=0),0,CEILING(N308*(1+IF($O308="",Taux_PA,$O308))-0.005,Pas_Arrondi))</f>
        <v>0</v>
      </c>
      <c r="T308" s="22" t="str">
        <f aca="false">IF($A308="","",SUM(K308:N308))</f>
        <v/>
      </c>
      <c r="U308" s="22" t="str">
        <f aca="false">IF($A308="","",SUM(P308:S308))</f>
        <v/>
      </c>
      <c r="V308" s="22" t="str">
        <f aca="false">IF($A308="","",U308-T308)</f>
        <v/>
      </c>
      <c r="W308" s="23" t="str">
        <f aca="false">IF(OR($A308="",N(T308)=0),"",V308/T308)</f>
        <v/>
      </c>
      <c r="X308" s="18"/>
      <c r="Y308" s="18"/>
      <c r="Z308" s="24" t="str">
        <f aca="false">IF(AND($A308&lt;&gt;"",$X308="Oui",OR(Filtre_Masse="Tous les clients à envoyer",$Y308&lt;&gt;"Email")),MAX(Z$1:Z307)+1,"")</f>
        <v/>
      </c>
    </row>
    <row r="309" customFormat="false" ht="15" hidden="false" customHeight="false" outlineLevel="0" collapsed="false">
      <c r="A309" s="18"/>
      <c r="B309" s="18"/>
      <c r="C309" s="18"/>
      <c r="D309" s="18"/>
      <c r="E309" s="18"/>
      <c r="F309" s="18"/>
      <c r="G309" s="18"/>
      <c r="H309" s="19"/>
      <c r="I309" s="18"/>
      <c r="J309" s="18"/>
      <c r="K309" s="20"/>
      <c r="L309" s="20"/>
      <c r="M309" s="20"/>
      <c r="N309" s="20"/>
      <c r="O309" s="21"/>
      <c r="P309" s="22" t="n">
        <f aca="false">IF(OR($A309="",N(K309)=0),0,CEILING(K309*(1+IF($O309="",Taux_Compta,$O309))-0.005,Pas_Arrondi))</f>
        <v>0</v>
      </c>
      <c r="Q309" s="22" t="n">
        <f aca="false">IF(OR($A309="",N(L309)=0),0,CEILING(L309*(1+IF($O309="",Taux_Paye,$O309))-0.005,Pas_Arrondi))</f>
        <v>0</v>
      </c>
      <c r="R309" s="22" t="n">
        <f aca="false">IF(OR($A309="",N(M309)=0),0,CEILING(M309*(1+IF($O309="",Taux_Jur,$O309))-0.005,Pas_Arrondi))</f>
        <v>0</v>
      </c>
      <c r="S309" s="22" t="n">
        <f aca="false">IF(OR($A309="",N(N309)=0),0,CEILING(N309*(1+IF($O309="",Taux_PA,$O309))-0.005,Pas_Arrondi))</f>
        <v>0</v>
      </c>
      <c r="T309" s="22" t="str">
        <f aca="false">IF($A309="","",SUM(K309:N309))</f>
        <v/>
      </c>
      <c r="U309" s="22" t="str">
        <f aca="false">IF($A309="","",SUM(P309:S309))</f>
        <v/>
      </c>
      <c r="V309" s="22" t="str">
        <f aca="false">IF($A309="","",U309-T309)</f>
        <v/>
      </c>
      <c r="W309" s="23" t="str">
        <f aca="false">IF(OR($A309="",N(T309)=0),"",V309/T309)</f>
        <v/>
      </c>
      <c r="X309" s="18"/>
      <c r="Y309" s="18"/>
      <c r="Z309" s="24" t="str">
        <f aca="false">IF(AND($A309&lt;&gt;"",$X309="Oui",OR(Filtre_Masse="Tous les clients à envoyer",$Y309&lt;&gt;"Email")),MAX(Z$1:Z308)+1,"")</f>
        <v/>
      </c>
    </row>
    <row r="310" customFormat="false" ht="15" hidden="false" customHeight="false" outlineLevel="0" collapsed="false">
      <c r="A310" s="18"/>
      <c r="B310" s="18"/>
      <c r="C310" s="18"/>
      <c r="D310" s="18"/>
      <c r="E310" s="18"/>
      <c r="F310" s="18"/>
      <c r="G310" s="18"/>
      <c r="H310" s="19"/>
      <c r="I310" s="18"/>
      <c r="J310" s="18"/>
      <c r="K310" s="20"/>
      <c r="L310" s="20"/>
      <c r="M310" s="20"/>
      <c r="N310" s="20"/>
      <c r="O310" s="21"/>
      <c r="P310" s="22" t="n">
        <f aca="false">IF(OR($A310="",N(K310)=0),0,CEILING(K310*(1+IF($O310="",Taux_Compta,$O310))-0.005,Pas_Arrondi))</f>
        <v>0</v>
      </c>
      <c r="Q310" s="22" t="n">
        <f aca="false">IF(OR($A310="",N(L310)=0),0,CEILING(L310*(1+IF($O310="",Taux_Paye,$O310))-0.005,Pas_Arrondi))</f>
        <v>0</v>
      </c>
      <c r="R310" s="22" t="n">
        <f aca="false">IF(OR($A310="",N(M310)=0),0,CEILING(M310*(1+IF($O310="",Taux_Jur,$O310))-0.005,Pas_Arrondi))</f>
        <v>0</v>
      </c>
      <c r="S310" s="22" t="n">
        <f aca="false">IF(OR($A310="",N(N310)=0),0,CEILING(N310*(1+IF($O310="",Taux_PA,$O310))-0.005,Pas_Arrondi))</f>
        <v>0</v>
      </c>
      <c r="T310" s="22" t="str">
        <f aca="false">IF($A310="","",SUM(K310:N310))</f>
        <v/>
      </c>
      <c r="U310" s="22" t="str">
        <f aca="false">IF($A310="","",SUM(P310:S310))</f>
        <v/>
      </c>
      <c r="V310" s="22" t="str">
        <f aca="false">IF($A310="","",U310-T310)</f>
        <v/>
      </c>
      <c r="W310" s="23" t="str">
        <f aca="false">IF(OR($A310="",N(T310)=0),"",V310/T310)</f>
        <v/>
      </c>
      <c r="X310" s="18"/>
      <c r="Y310" s="18"/>
      <c r="Z310" s="24" t="str">
        <f aca="false">IF(AND($A310&lt;&gt;"",$X310="Oui",OR(Filtre_Masse="Tous les clients à envoyer",$Y310&lt;&gt;"Email")),MAX(Z$1:Z309)+1,"")</f>
        <v/>
      </c>
    </row>
    <row r="311" customFormat="false" ht="15" hidden="false" customHeight="false" outlineLevel="0" collapsed="false">
      <c r="A311" s="18"/>
      <c r="B311" s="18"/>
      <c r="C311" s="18"/>
      <c r="D311" s="18"/>
      <c r="E311" s="18"/>
      <c r="F311" s="18"/>
      <c r="G311" s="18"/>
      <c r="H311" s="19"/>
      <c r="I311" s="18"/>
      <c r="J311" s="18"/>
      <c r="K311" s="20"/>
      <c r="L311" s="20"/>
      <c r="M311" s="20"/>
      <c r="N311" s="20"/>
      <c r="O311" s="21"/>
      <c r="P311" s="22" t="n">
        <f aca="false">IF(OR($A311="",N(K311)=0),0,CEILING(K311*(1+IF($O311="",Taux_Compta,$O311))-0.005,Pas_Arrondi))</f>
        <v>0</v>
      </c>
      <c r="Q311" s="22" t="n">
        <f aca="false">IF(OR($A311="",N(L311)=0),0,CEILING(L311*(1+IF($O311="",Taux_Paye,$O311))-0.005,Pas_Arrondi))</f>
        <v>0</v>
      </c>
      <c r="R311" s="22" t="n">
        <f aca="false">IF(OR($A311="",N(M311)=0),0,CEILING(M311*(1+IF($O311="",Taux_Jur,$O311))-0.005,Pas_Arrondi))</f>
        <v>0</v>
      </c>
      <c r="S311" s="22" t="n">
        <f aca="false">IF(OR($A311="",N(N311)=0),0,CEILING(N311*(1+IF($O311="",Taux_PA,$O311))-0.005,Pas_Arrondi))</f>
        <v>0</v>
      </c>
      <c r="T311" s="22" t="str">
        <f aca="false">IF($A311="","",SUM(K311:N311))</f>
        <v/>
      </c>
      <c r="U311" s="22" t="str">
        <f aca="false">IF($A311="","",SUM(P311:S311))</f>
        <v/>
      </c>
      <c r="V311" s="22" t="str">
        <f aca="false">IF($A311="","",U311-T311)</f>
        <v/>
      </c>
      <c r="W311" s="23" t="str">
        <f aca="false">IF(OR($A311="",N(T311)=0),"",V311/T311)</f>
        <v/>
      </c>
      <c r="X311" s="18"/>
      <c r="Y311" s="18"/>
      <c r="Z311" s="24" t="str">
        <f aca="false">IF(AND($A311&lt;&gt;"",$X311="Oui",OR(Filtre_Masse="Tous les clients à envoyer",$Y311&lt;&gt;"Email")),MAX(Z$1:Z310)+1,"")</f>
        <v/>
      </c>
    </row>
    <row r="312" customFormat="false" ht="15" hidden="false" customHeight="false" outlineLevel="0" collapsed="false">
      <c r="A312" s="18"/>
      <c r="B312" s="18"/>
      <c r="C312" s="18"/>
      <c r="D312" s="18"/>
      <c r="E312" s="18"/>
      <c r="F312" s="18"/>
      <c r="G312" s="18"/>
      <c r="H312" s="19"/>
      <c r="I312" s="18"/>
      <c r="J312" s="18"/>
      <c r="K312" s="20"/>
      <c r="L312" s="20"/>
      <c r="M312" s="20"/>
      <c r="N312" s="20"/>
      <c r="O312" s="21"/>
      <c r="P312" s="22" t="n">
        <f aca="false">IF(OR($A312="",N(K312)=0),0,CEILING(K312*(1+IF($O312="",Taux_Compta,$O312))-0.005,Pas_Arrondi))</f>
        <v>0</v>
      </c>
      <c r="Q312" s="22" t="n">
        <f aca="false">IF(OR($A312="",N(L312)=0),0,CEILING(L312*(1+IF($O312="",Taux_Paye,$O312))-0.005,Pas_Arrondi))</f>
        <v>0</v>
      </c>
      <c r="R312" s="22" t="n">
        <f aca="false">IF(OR($A312="",N(M312)=0),0,CEILING(M312*(1+IF($O312="",Taux_Jur,$O312))-0.005,Pas_Arrondi))</f>
        <v>0</v>
      </c>
      <c r="S312" s="22" t="n">
        <f aca="false">IF(OR($A312="",N(N312)=0),0,CEILING(N312*(1+IF($O312="",Taux_PA,$O312))-0.005,Pas_Arrondi))</f>
        <v>0</v>
      </c>
      <c r="T312" s="22" t="str">
        <f aca="false">IF($A312="","",SUM(K312:N312))</f>
        <v/>
      </c>
      <c r="U312" s="22" t="str">
        <f aca="false">IF($A312="","",SUM(P312:S312))</f>
        <v/>
      </c>
      <c r="V312" s="22" t="str">
        <f aca="false">IF($A312="","",U312-T312)</f>
        <v/>
      </c>
      <c r="W312" s="23" t="str">
        <f aca="false">IF(OR($A312="",N(T312)=0),"",V312/T312)</f>
        <v/>
      </c>
      <c r="X312" s="18"/>
      <c r="Y312" s="18"/>
      <c r="Z312" s="24" t="str">
        <f aca="false">IF(AND($A312&lt;&gt;"",$X312="Oui",OR(Filtre_Masse="Tous les clients à envoyer",$Y312&lt;&gt;"Email")),MAX(Z$1:Z311)+1,"")</f>
        <v/>
      </c>
    </row>
    <row r="313" customFormat="false" ht="15" hidden="false" customHeight="false" outlineLevel="0" collapsed="false">
      <c r="A313" s="18"/>
      <c r="B313" s="18"/>
      <c r="C313" s="18"/>
      <c r="D313" s="18"/>
      <c r="E313" s="18"/>
      <c r="F313" s="18"/>
      <c r="G313" s="18"/>
      <c r="H313" s="19"/>
      <c r="I313" s="18"/>
      <c r="J313" s="18"/>
      <c r="K313" s="20"/>
      <c r="L313" s="20"/>
      <c r="M313" s="20"/>
      <c r="N313" s="20"/>
      <c r="O313" s="21"/>
      <c r="P313" s="22" t="n">
        <f aca="false">IF(OR($A313="",N(K313)=0),0,CEILING(K313*(1+IF($O313="",Taux_Compta,$O313))-0.005,Pas_Arrondi))</f>
        <v>0</v>
      </c>
      <c r="Q313" s="22" t="n">
        <f aca="false">IF(OR($A313="",N(L313)=0),0,CEILING(L313*(1+IF($O313="",Taux_Paye,$O313))-0.005,Pas_Arrondi))</f>
        <v>0</v>
      </c>
      <c r="R313" s="22" t="n">
        <f aca="false">IF(OR($A313="",N(M313)=0),0,CEILING(M313*(1+IF($O313="",Taux_Jur,$O313))-0.005,Pas_Arrondi))</f>
        <v>0</v>
      </c>
      <c r="S313" s="22" t="n">
        <f aca="false">IF(OR($A313="",N(N313)=0),0,CEILING(N313*(1+IF($O313="",Taux_PA,$O313))-0.005,Pas_Arrondi))</f>
        <v>0</v>
      </c>
      <c r="T313" s="22" t="str">
        <f aca="false">IF($A313="","",SUM(K313:N313))</f>
        <v/>
      </c>
      <c r="U313" s="22" t="str">
        <f aca="false">IF($A313="","",SUM(P313:S313))</f>
        <v/>
      </c>
      <c r="V313" s="22" t="str">
        <f aca="false">IF($A313="","",U313-T313)</f>
        <v/>
      </c>
      <c r="W313" s="23" t="str">
        <f aca="false">IF(OR($A313="",N(T313)=0),"",V313/T313)</f>
        <v/>
      </c>
      <c r="X313" s="18"/>
      <c r="Y313" s="18"/>
      <c r="Z313" s="24" t="str">
        <f aca="false">IF(AND($A313&lt;&gt;"",$X313="Oui",OR(Filtre_Masse="Tous les clients à envoyer",$Y313&lt;&gt;"Email")),MAX(Z$1:Z312)+1,"")</f>
        <v/>
      </c>
    </row>
    <row r="314" customFormat="false" ht="15" hidden="false" customHeight="false" outlineLevel="0" collapsed="false">
      <c r="A314" s="18"/>
      <c r="B314" s="18"/>
      <c r="C314" s="18"/>
      <c r="D314" s="18"/>
      <c r="E314" s="18"/>
      <c r="F314" s="18"/>
      <c r="G314" s="18"/>
      <c r="H314" s="19"/>
      <c r="I314" s="18"/>
      <c r="J314" s="18"/>
      <c r="K314" s="20"/>
      <c r="L314" s="20"/>
      <c r="M314" s="20"/>
      <c r="N314" s="20"/>
      <c r="O314" s="21"/>
      <c r="P314" s="22" t="n">
        <f aca="false">IF(OR($A314="",N(K314)=0),0,CEILING(K314*(1+IF($O314="",Taux_Compta,$O314))-0.005,Pas_Arrondi))</f>
        <v>0</v>
      </c>
      <c r="Q314" s="22" t="n">
        <f aca="false">IF(OR($A314="",N(L314)=0),0,CEILING(L314*(1+IF($O314="",Taux_Paye,$O314))-0.005,Pas_Arrondi))</f>
        <v>0</v>
      </c>
      <c r="R314" s="22" t="n">
        <f aca="false">IF(OR($A314="",N(M314)=0),0,CEILING(M314*(1+IF($O314="",Taux_Jur,$O314))-0.005,Pas_Arrondi))</f>
        <v>0</v>
      </c>
      <c r="S314" s="22" t="n">
        <f aca="false">IF(OR($A314="",N(N314)=0),0,CEILING(N314*(1+IF($O314="",Taux_PA,$O314))-0.005,Pas_Arrondi))</f>
        <v>0</v>
      </c>
      <c r="T314" s="22" t="str">
        <f aca="false">IF($A314="","",SUM(K314:N314))</f>
        <v/>
      </c>
      <c r="U314" s="22" t="str">
        <f aca="false">IF($A314="","",SUM(P314:S314))</f>
        <v/>
      </c>
      <c r="V314" s="22" t="str">
        <f aca="false">IF($A314="","",U314-T314)</f>
        <v/>
      </c>
      <c r="W314" s="23" t="str">
        <f aca="false">IF(OR($A314="",N(T314)=0),"",V314/T314)</f>
        <v/>
      </c>
      <c r="X314" s="18"/>
      <c r="Y314" s="18"/>
      <c r="Z314" s="24" t="str">
        <f aca="false">IF(AND($A314&lt;&gt;"",$X314="Oui",OR(Filtre_Masse="Tous les clients à envoyer",$Y314&lt;&gt;"Email")),MAX(Z$1:Z313)+1,"")</f>
        <v/>
      </c>
    </row>
    <row r="315" customFormat="false" ht="15" hidden="false" customHeight="false" outlineLevel="0" collapsed="false">
      <c r="A315" s="18"/>
      <c r="B315" s="18"/>
      <c r="C315" s="18"/>
      <c r="D315" s="18"/>
      <c r="E315" s="18"/>
      <c r="F315" s="18"/>
      <c r="G315" s="18"/>
      <c r="H315" s="19"/>
      <c r="I315" s="18"/>
      <c r="J315" s="18"/>
      <c r="K315" s="20"/>
      <c r="L315" s="20"/>
      <c r="M315" s="20"/>
      <c r="N315" s="20"/>
      <c r="O315" s="21"/>
      <c r="P315" s="22" t="n">
        <f aca="false">IF(OR($A315="",N(K315)=0),0,CEILING(K315*(1+IF($O315="",Taux_Compta,$O315))-0.005,Pas_Arrondi))</f>
        <v>0</v>
      </c>
      <c r="Q315" s="22" t="n">
        <f aca="false">IF(OR($A315="",N(L315)=0),0,CEILING(L315*(1+IF($O315="",Taux_Paye,$O315))-0.005,Pas_Arrondi))</f>
        <v>0</v>
      </c>
      <c r="R315" s="22" t="n">
        <f aca="false">IF(OR($A315="",N(M315)=0),0,CEILING(M315*(1+IF($O315="",Taux_Jur,$O315))-0.005,Pas_Arrondi))</f>
        <v>0</v>
      </c>
      <c r="S315" s="22" t="n">
        <f aca="false">IF(OR($A315="",N(N315)=0),0,CEILING(N315*(1+IF($O315="",Taux_PA,$O315))-0.005,Pas_Arrondi))</f>
        <v>0</v>
      </c>
      <c r="T315" s="22" t="str">
        <f aca="false">IF($A315="","",SUM(K315:N315))</f>
        <v/>
      </c>
      <c r="U315" s="22" t="str">
        <f aca="false">IF($A315="","",SUM(P315:S315))</f>
        <v/>
      </c>
      <c r="V315" s="22" t="str">
        <f aca="false">IF($A315="","",U315-T315)</f>
        <v/>
      </c>
      <c r="W315" s="23" t="str">
        <f aca="false">IF(OR($A315="",N(T315)=0),"",V315/T315)</f>
        <v/>
      </c>
      <c r="X315" s="18"/>
      <c r="Y315" s="18"/>
      <c r="Z315" s="24" t="str">
        <f aca="false">IF(AND($A315&lt;&gt;"",$X315="Oui",OR(Filtre_Masse="Tous les clients à envoyer",$Y315&lt;&gt;"Email")),MAX(Z$1:Z314)+1,"")</f>
        <v/>
      </c>
    </row>
    <row r="316" customFormat="false" ht="15" hidden="false" customHeight="false" outlineLevel="0" collapsed="false">
      <c r="A316" s="18"/>
      <c r="B316" s="18"/>
      <c r="C316" s="18"/>
      <c r="D316" s="18"/>
      <c r="E316" s="18"/>
      <c r="F316" s="18"/>
      <c r="G316" s="18"/>
      <c r="H316" s="19"/>
      <c r="I316" s="18"/>
      <c r="J316" s="18"/>
      <c r="K316" s="20"/>
      <c r="L316" s="20"/>
      <c r="M316" s="20"/>
      <c r="N316" s="20"/>
      <c r="O316" s="21"/>
      <c r="P316" s="22" t="n">
        <f aca="false">IF(OR($A316="",N(K316)=0),0,CEILING(K316*(1+IF($O316="",Taux_Compta,$O316))-0.005,Pas_Arrondi))</f>
        <v>0</v>
      </c>
      <c r="Q316" s="22" t="n">
        <f aca="false">IF(OR($A316="",N(L316)=0),0,CEILING(L316*(1+IF($O316="",Taux_Paye,$O316))-0.005,Pas_Arrondi))</f>
        <v>0</v>
      </c>
      <c r="R316" s="22" t="n">
        <f aca="false">IF(OR($A316="",N(M316)=0),0,CEILING(M316*(1+IF($O316="",Taux_Jur,$O316))-0.005,Pas_Arrondi))</f>
        <v>0</v>
      </c>
      <c r="S316" s="22" t="n">
        <f aca="false">IF(OR($A316="",N(N316)=0),0,CEILING(N316*(1+IF($O316="",Taux_PA,$O316))-0.005,Pas_Arrondi))</f>
        <v>0</v>
      </c>
      <c r="T316" s="22" t="str">
        <f aca="false">IF($A316="","",SUM(K316:N316))</f>
        <v/>
      </c>
      <c r="U316" s="22" t="str">
        <f aca="false">IF($A316="","",SUM(P316:S316))</f>
        <v/>
      </c>
      <c r="V316" s="22" t="str">
        <f aca="false">IF($A316="","",U316-T316)</f>
        <v/>
      </c>
      <c r="W316" s="23" t="str">
        <f aca="false">IF(OR($A316="",N(T316)=0),"",V316/T316)</f>
        <v/>
      </c>
      <c r="X316" s="18"/>
      <c r="Y316" s="18"/>
      <c r="Z316" s="24" t="str">
        <f aca="false">IF(AND($A316&lt;&gt;"",$X316="Oui",OR(Filtre_Masse="Tous les clients à envoyer",$Y316&lt;&gt;"Email")),MAX(Z$1:Z315)+1,"")</f>
        <v/>
      </c>
    </row>
    <row r="317" customFormat="false" ht="15" hidden="false" customHeight="false" outlineLevel="0" collapsed="false">
      <c r="A317" s="18"/>
      <c r="B317" s="18"/>
      <c r="C317" s="18"/>
      <c r="D317" s="18"/>
      <c r="E317" s="18"/>
      <c r="F317" s="18"/>
      <c r="G317" s="18"/>
      <c r="H317" s="19"/>
      <c r="I317" s="18"/>
      <c r="J317" s="18"/>
      <c r="K317" s="20"/>
      <c r="L317" s="20"/>
      <c r="M317" s="20"/>
      <c r="N317" s="20"/>
      <c r="O317" s="21"/>
      <c r="P317" s="22" t="n">
        <f aca="false">IF(OR($A317="",N(K317)=0),0,CEILING(K317*(1+IF($O317="",Taux_Compta,$O317))-0.005,Pas_Arrondi))</f>
        <v>0</v>
      </c>
      <c r="Q317" s="22" t="n">
        <f aca="false">IF(OR($A317="",N(L317)=0),0,CEILING(L317*(1+IF($O317="",Taux_Paye,$O317))-0.005,Pas_Arrondi))</f>
        <v>0</v>
      </c>
      <c r="R317" s="22" t="n">
        <f aca="false">IF(OR($A317="",N(M317)=0),0,CEILING(M317*(1+IF($O317="",Taux_Jur,$O317))-0.005,Pas_Arrondi))</f>
        <v>0</v>
      </c>
      <c r="S317" s="22" t="n">
        <f aca="false">IF(OR($A317="",N(N317)=0),0,CEILING(N317*(1+IF($O317="",Taux_PA,$O317))-0.005,Pas_Arrondi))</f>
        <v>0</v>
      </c>
      <c r="T317" s="22" t="str">
        <f aca="false">IF($A317="","",SUM(K317:N317))</f>
        <v/>
      </c>
      <c r="U317" s="22" t="str">
        <f aca="false">IF($A317="","",SUM(P317:S317))</f>
        <v/>
      </c>
      <c r="V317" s="22" t="str">
        <f aca="false">IF($A317="","",U317-T317)</f>
        <v/>
      </c>
      <c r="W317" s="23" t="str">
        <f aca="false">IF(OR($A317="",N(T317)=0),"",V317/T317)</f>
        <v/>
      </c>
      <c r="X317" s="18"/>
      <c r="Y317" s="18"/>
      <c r="Z317" s="24" t="str">
        <f aca="false">IF(AND($A317&lt;&gt;"",$X317="Oui",OR(Filtre_Masse="Tous les clients à envoyer",$Y317&lt;&gt;"Email")),MAX(Z$1:Z316)+1,"")</f>
        <v/>
      </c>
    </row>
    <row r="318" customFormat="false" ht="15" hidden="false" customHeight="false" outlineLevel="0" collapsed="false">
      <c r="A318" s="18"/>
      <c r="B318" s="18"/>
      <c r="C318" s="18"/>
      <c r="D318" s="18"/>
      <c r="E318" s="18"/>
      <c r="F318" s="18"/>
      <c r="G318" s="18"/>
      <c r="H318" s="19"/>
      <c r="I318" s="18"/>
      <c r="J318" s="18"/>
      <c r="K318" s="20"/>
      <c r="L318" s="20"/>
      <c r="M318" s="20"/>
      <c r="N318" s="20"/>
      <c r="O318" s="21"/>
      <c r="P318" s="22" t="n">
        <f aca="false">IF(OR($A318="",N(K318)=0),0,CEILING(K318*(1+IF($O318="",Taux_Compta,$O318))-0.005,Pas_Arrondi))</f>
        <v>0</v>
      </c>
      <c r="Q318" s="22" t="n">
        <f aca="false">IF(OR($A318="",N(L318)=0),0,CEILING(L318*(1+IF($O318="",Taux_Paye,$O318))-0.005,Pas_Arrondi))</f>
        <v>0</v>
      </c>
      <c r="R318" s="22" t="n">
        <f aca="false">IF(OR($A318="",N(M318)=0),0,CEILING(M318*(1+IF($O318="",Taux_Jur,$O318))-0.005,Pas_Arrondi))</f>
        <v>0</v>
      </c>
      <c r="S318" s="22" t="n">
        <f aca="false">IF(OR($A318="",N(N318)=0),0,CEILING(N318*(1+IF($O318="",Taux_PA,$O318))-0.005,Pas_Arrondi))</f>
        <v>0</v>
      </c>
      <c r="T318" s="22" t="str">
        <f aca="false">IF($A318="","",SUM(K318:N318))</f>
        <v/>
      </c>
      <c r="U318" s="22" t="str">
        <f aca="false">IF($A318="","",SUM(P318:S318))</f>
        <v/>
      </c>
      <c r="V318" s="22" t="str">
        <f aca="false">IF($A318="","",U318-T318)</f>
        <v/>
      </c>
      <c r="W318" s="23" t="str">
        <f aca="false">IF(OR($A318="",N(T318)=0),"",V318/T318)</f>
        <v/>
      </c>
      <c r="X318" s="18"/>
      <c r="Y318" s="18"/>
      <c r="Z318" s="24" t="str">
        <f aca="false">IF(AND($A318&lt;&gt;"",$X318="Oui",OR(Filtre_Masse="Tous les clients à envoyer",$Y318&lt;&gt;"Email")),MAX(Z$1:Z317)+1,"")</f>
        <v/>
      </c>
    </row>
    <row r="319" customFormat="false" ht="15" hidden="false" customHeight="false" outlineLevel="0" collapsed="false">
      <c r="A319" s="18"/>
      <c r="B319" s="18"/>
      <c r="C319" s="18"/>
      <c r="D319" s="18"/>
      <c r="E319" s="18"/>
      <c r="F319" s="18"/>
      <c r="G319" s="18"/>
      <c r="H319" s="19"/>
      <c r="I319" s="18"/>
      <c r="J319" s="18"/>
      <c r="K319" s="20"/>
      <c r="L319" s="20"/>
      <c r="M319" s="20"/>
      <c r="N319" s="20"/>
      <c r="O319" s="21"/>
      <c r="P319" s="22" t="n">
        <f aca="false">IF(OR($A319="",N(K319)=0),0,CEILING(K319*(1+IF($O319="",Taux_Compta,$O319))-0.005,Pas_Arrondi))</f>
        <v>0</v>
      </c>
      <c r="Q319" s="22" t="n">
        <f aca="false">IF(OR($A319="",N(L319)=0),0,CEILING(L319*(1+IF($O319="",Taux_Paye,$O319))-0.005,Pas_Arrondi))</f>
        <v>0</v>
      </c>
      <c r="R319" s="22" t="n">
        <f aca="false">IF(OR($A319="",N(M319)=0),0,CEILING(M319*(1+IF($O319="",Taux_Jur,$O319))-0.005,Pas_Arrondi))</f>
        <v>0</v>
      </c>
      <c r="S319" s="22" t="n">
        <f aca="false">IF(OR($A319="",N(N319)=0),0,CEILING(N319*(1+IF($O319="",Taux_PA,$O319))-0.005,Pas_Arrondi))</f>
        <v>0</v>
      </c>
      <c r="T319" s="22" t="str">
        <f aca="false">IF($A319="","",SUM(K319:N319))</f>
        <v/>
      </c>
      <c r="U319" s="22" t="str">
        <f aca="false">IF($A319="","",SUM(P319:S319))</f>
        <v/>
      </c>
      <c r="V319" s="22" t="str">
        <f aca="false">IF($A319="","",U319-T319)</f>
        <v/>
      </c>
      <c r="W319" s="23" t="str">
        <f aca="false">IF(OR($A319="",N(T319)=0),"",V319/T319)</f>
        <v/>
      </c>
      <c r="X319" s="18"/>
      <c r="Y319" s="18"/>
      <c r="Z319" s="24" t="str">
        <f aca="false">IF(AND($A319&lt;&gt;"",$X319="Oui",OR(Filtre_Masse="Tous les clients à envoyer",$Y319&lt;&gt;"Email")),MAX(Z$1:Z318)+1,"")</f>
        <v/>
      </c>
    </row>
    <row r="320" customFormat="false" ht="15" hidden="false" customHeight="false" outlineLevel="0" collapsed="false">
      <c r="A320" s="18"/>
      <c r="B320" s="18"/>
      <c r="C320" s="18"/>
      <c r="D320" s="18"/>
      <c r="E320" s="18"/>
      <c r="F320" s="18"/>
      <c r="G320" s="18"/>
      <c r="H320" s="19"/>
      <c r="I320" s="18"/>
      <c r="J320" s="18"/>
      <c r="K320" s="20"/>
      <c r="L320" s="20"/>
      <c r="M320" s="20"/>
      <c r="N320" s="20"/>
      <c r="O320" s="21"/>
      <c r="P320" s="22" t="n">
        <f aca="false">IF(OR($A320="",N(K320)=0),0,CEILING(K320*(1+IF($O320="",Taux_Compta,$O320))-0.005,Pas_Arrondi))</f>
        <v>0</v>
      </c>
      <c r="Q320" s="22" t="n">
        <f aca="false">IF(OR($A320="",N(L320)=0),0,CEILING(L320*(1+IF($O320="",Taux_Paye,$O320))-0.005,Pas_Arrondi))</f>
        <v>0</v>
      </c>
      <c r="R320" s="22" t="n">
        <f aca="false">IF(OR($A320="",N(M320)=0),0,CEILING(M320*(1+IF($O320="",Taux_Jur,$O320))-0.005,Pas_Arrondi))</f>
        <v>0</v>
      </c>
      <c r="S320" s="22" t="n">
        <f aca="false">IF(OR($A320="",N(N320)=0),0,CEILING(N320*(1+IF($O320="",Taux_PA,$O320))-0.005,Pas_Arrondi))</f>
        <v>0</v>
      </c>
      <c r="T320" s="22" t="str">
        <f aca="false">IF($A320="","",SUM(K320:N320))</f>
        <v/>
      </c>
      <c r="U320" s="22" t="str">
        <f aca="false">IF($A320="","",SUM(P320:S320))</f>
        <v/>
      </c>
      <c r="V320" s="22" t="str">
        <f aca="false">IF($A320="","",U320-T320)</f>
        <v/>
      </c>
      <c r="W320" s="23" t="str">
        <f aca="false">IF(OR($A320="",N(T320)=0),"",V320/T320)</f>
        <v/>
      </c>
      <c r="X320" s="18"/>
      <c r="Y320" s="18"/>
      <c r="Z320" s="24" t="str">
        <f aca="false">IF(AND($A320&lt;&gt;"",$X320="Oui",OR(Filtre_Masse="Tous les clients à envoyer",$Y320&lt;&gt;"Email")),MAX(Z$1:Z319)+1,"")</f>
        <v/>
      </c>
    </row>
    <row r="321" customFormat="false" ht="15" hidden="false" customHeight="false" outlineLevel="0" collapsed="false">
      <c r="A321" s="18"/>
      <c r="B321" s="18"/>
      <c r="C321" s="18"/>
      <c r="D321" s="18"/>
      <c r="E321" s="18"/>
      <c r="F321" s="18"/>
      <c r="G321" s="18"/>
      <c r="H321" s="19"/>
      <c r="I321" s="18"/>
      <c r="J321" s="18"/>
      <c r="K321" s="20"/>
      <c r="L321" s="20"/>
      <c r="M321" s="20"/>
      <c r="N321" s="20"/>
      <c r="O321" s="21"/>
      <c r="P321" s="22" t="n">
        <f aca="false">IF(OR($A321="",N(K321)=0),0,CEILING(K321*(1+IF($O321="",Taux_Compta,$O321))-0.005,Pas_Arrondi))</f>
        <v>0</v>
      </c>
      <c r="Q321" s="22" t="n">
        <f aca="false">IF(OR($A321="",N(L321)=0),0,CEILING(L321*(1+IF($O321="",Taux_Paye,$O321))-0.005,Pas_Arrondi))</f>
        <v>0</v>
      </c>
      <c r="R321" s="22" t="n">
        <f aca="false">IF(OR($A321="",N(M321)=0),0,CEILING(M321*(1+IF($O321="",Taux_Jur,$O321))-0.005,Pas_Arrondi))</f>
        <v>0</v>
      </c>
      <c r="S321" s="22" t="n">
        <f aca="false">IF(OR($A321="",N(N321)=0),0,CEILING(N321*(1+IF($O321="",Taux_PA,$O321))-0.005,Pas_Arrondi))</f>
        <v>0</v>
      </c>
      <c r="T321" s="22" t="str">
        <f aca="false">IF($A321="","",SUM(K321:N321))</f>
        <v/>
      </c>
      <c r="U321" s="22" t="str">
        <f aca="false">IF($A321="","",SUM(P321:S321))</f>
        <v/>
      </c>
      <c r="V321" s="22" t="str">
        <f aca="false">IF($A321="","",U321-T321)</f>
        <v/>
      </c>
      <c r="W321" s="23" t="str">
        <f aca="false">IF(OR($A321="",N(T321)=0),"",V321/T321)</f>
        <v/>
      </c>
      <c r="X321" s="18"/>
      <c r="Y321" s="18"/>
      <c r="Z321" s="24" t="str">
        <f aca="false">IF(AND($A321&lt;&gt;"",$X321="Oui",OR(Filtre_Masse="Tous les clients à envoyer",$Y321&lt;&gt;"Email")),MAX(Z$1:Z320)+1,"")</f>
        <v/>
      </c>
    </row>
    <row r="322" customFormat="false" ht="15" hidden="false" customHeight="false" outlineLevel="0" collapsed="false">
      <c r="A322" s="18"/>
      <c r="B322" s="18"/>
      <c r="C322" s="18"/>
      <c r="D322" s="18"/>
      <c r="E322" s="18"/>
      <c r="F322" s="18"/>
      <c r="G322" s="18"/>
      <c r="H322" s="19"/>
      <c r="I322" s="18"/>
      <c r="J322" s="18"/>
      <c r="K322" s="20"/>
      <c r="L322" s="20"/>
      <c r="M322" s="20"/>
      <c r="N322" s="20"/>
      <c r="O322" s="21"/>
      <c r="P322" s="22" t="n">
        <f aca="false">IF(OR($A322="",N(K322)=0),0,CEILING(K322*(1+IF($O322="",Taux_Compta,$O322))-0.005,Pas_Arrondi))</f>
        <v>0</v>
      </c>
      <c r="Q322" s="22" t="n">
        <f aca="false">IF(OR($A322="",N(L322)=0),0,CEILING(L322*(1+IF($O322="",Taux_Paye,$O322))-0.005,Pas_Arrondi))</f>
        <v>0</v>
      </c>
      <c r="R322" s="22" t="n">
        <f aca="false">IF(OR($A322="",N(M322)=0),0,CEILING(M322*(1+IF($O322="",Taux_Jur,$O322))-0.005,Pas_Arrondi))</f>
        <v>0</v>
      </c>
      <c r="S322" s="22" t="n">
        <f aca="false">IF(OR($A322="",N(N322)=0),0,CEILING(N322*(1+IF($O322="",Taux_PA,$O322))-0.005,Pas_Arrondi))</f>
        <v>0</v>
      </c>
      <c r="T322" s="22" t="str">
        <f aca="false">IF($A322="","",SUM(K322:N322))</f>
        <v/>
      </c>
      <c r="U322" s="22" t="str">
        <f aca="false">IF($A322="","",SUM(P322:S322))</f>
        <v/>
      </c>
      <c r="V322" s="22" t="str">
        <f aca="false">IF($A322="","",U322-T322)</f>
        <v/>
      </c>
      <c r="W322" s="23" t="str">
        <f aca="false">IF(OR($A322="",N(T322)=0),"",V322/T322)</f>
        <v/>
      </c>
      <c r="X322" s="18"/>
      <c r="Y322" s="18"/>
      <c r="Z322" s="24" t="str">
        <f aca="false">IF(AND($A322&lt;&gt;"",$X322="Oui",OR(Filtre_Masse="Tous les clients à envoyer",$Y322&lt;&gt;"Email")),MAX(Z$1:Z321)+1,"")</f>
        <v/>
      </c>
    </row>
    <row r="323" customFormat="false" ht="15" hidden="false" customHeight="false" outlineLevel="0" collapsed="false">
      <c r="A323" s="18"/>
      <c r="B323" s="18"/>
      <c r="C323" s="18"/>
      <c r="D323" s="18"/>
      <c r="E323" s="18"/>
      <c r="F323" s="18"/>
      <c r="G323" s="18"/>
      <c r="H323" s="19"/>
      <c r="I323" s="18"/>
      <c r="J323" s="18"/>
      <c r="K323" s="20"/>
      <c r="L323" s="20"/>
      <c r="M323" s="20"/>
      <c r="N323" s="20"/>
      <c r="O323" s="21"/>
      <c r="P323" s="22" t="n">
        <f aca="false">IF(OR($A323="",N(K323)=0),0,CEILING(K323*(1+IF($O323="",Taux_Compta,$O323))-0.005,Pas_Arrondi))</f>
        <v>0</v>
      </c>
      <c r="Q323" s="22" t="n">
        <f aca="false">IF(OR($A323="",N(L323)=0),0,CEILING(L323*(1+IF($O323="",Taux_Paye,$O323))-0.005,Pas_Arrondi))</f>
        <v>0</v>
      </c>
      <c r="R323" s="22" t="n">
        <f aca="false">IF(OR($A323="",N(M323)=0),0,CEILING(M323*(1+IF($O323="",Taux_Jur,$O323))-0.005,Pas_Arrondi))</f>
        <v>0</v>
      </c>
      <c r="S323" s="22" t="n">
        <f aca="false">IF(OR($A323="",N(N323)=0),0,CEILING(N323*(1+IF($O323="",Taux_PA,$O323))-0.005,Pas_Arrondi))</f>
        <v>0</v>
      </c>
      <c r="T323" s="22" t="str">
        <f aca="false">IF($A323="","",SUM(K323:N323))</f>
        <v/>
      </c>
      <c r="U323" s="22" t="str">
        <f aca="false">IF($A323="","",SUM(P323:S323))</f>
        <v/>
      </c>
      <c r="V323" s="22" t="str">
        <f aca="false">IF($A323="","",U323-T323)</f>
        <v/>
      </c>
      <c r="W323" s="23" t="str">
        <f aca="false">IF(OR($A323="",N(T323)=0),"",V323/T323)</f>
        <v/>
      </c>
      <c r="X323" s="18"/>
      <c r="Y323" s="18"/>
      <c r="Z323" s="24" t="str">
        <f aca="false">IF(AND($A323&lt;&gt;"",$X323="Oui",OR(Filtre_Masse="Tous les clients à envoyer",$Y323&lt;&gt;"Email")),MAX(Z$1:Z322)+1,"")</f>
        <v/>
      </c>
    </row>
    <row r="324" customFormat="false" ht="15" hidden="false" customHeight="false" outlineLevel="0" collapsed="false">
      <c r="A324" s="18"/>
      <c r="B324" s="18"/>
      <c r="C324" s="18"/>
      <c r="D324" s="18"/>
      <c r="E324" s="18"/>
      <c r="F324" s="18"/>
      <c r="G324" s="18"/>
      <c r="H324" s="19"/>
      <c r="I324" s="18"/>
      <c r="J324" s="18"/>
      <c r="K324" s="20"/>
      <c r="L324" s="20"/>
      <c r="M324" s="20"/>
      <c r="N324" s="20"/>
      <c r="O324" s="21"/>
      <c r="P324" s="22" t="n">
        <f aca="false">IF(OR($A324="",N(K324)=0),0,CEILING(K324*(1+IF($O324="",Taux_Compta,$O324))-0.005,Pas_Arrondi))</f>
        <v>0</v>
      </c>
      <c r="Q324" s="22" t="n">
        <f aca="false">IF(OR($A324="",N(L324)=0),0,CEILING(L324*(1+IF($O324="",Taux_Paye,$O324))-0.005,Pas_Arrondi))</f>
        <v>0</v>
      </c>
      <c r="R324" s="22" t="n">
        <f aca="false">IF(OR($A324="",N(M324)=0),0,CEILING(M324*(1+IF($O324="",Taux_Jur,$O324))-0.005,Pas_Arrondi))</f>
        <v>0</v>
      </c>
      <c r="S324" s="22" t="n">
        <f aca="false">IF(OR($A324="",N(N324)=0),0,CEILING(N324*(1+IF($O324="",Taux_PA,$O324))-0.005,Pas_Arrondi))</f>
        <v>0</v>
      </c>
      <c r="T324" s="22" t="str">
        <f aca="false">IF($A324="","",SUM(K324:N324))</f>
        <v/>
      </c>
      <c r="U324" s="22" t="str">
        <f aca="false">IF($A324="","",SUM(P324:S324))</f>
        <v/>
      </c>
      <c r="V324" s="22" t="str">
        <f aca="false">IF($A324="","",U324-T324)</f>
        <v/>
      </c>
      <c r="W324" s="23" t="str">
        <f aca="false">IF(OR($A324="",N(T324)=0),"",V324/T324)</f>
        <v/>
      </c>
      <c r="X324" s="18"/>
      <c r="Y324" s="18"/>
      <c r="Z324" s="24" t="str">
        <f aca="false">IF(AND($A324&lt;&gt;"",$X324="Oui",OR(Filtre_Masse="Tous les clients à envoyer",$Y324&lt;&gt;"Email")),MAX(Z$1:Z323)+1,"")</f>
        <v/>
      </c>
    </row>
    <row r="325" customFormat="false" ht="15" hidden="false" customHeight="false" outlineLevel="0" collapsed="false">
      <c r="A325" s="18"/>
      <c r="B325" s="18"/>
      <c r="C325" s="18"/>
      <c r="D325" s="18"/>
      <c r="E325" s="18"/>
      <c r="F325" s="18"/>
      <c r="G325" s="18"/>
      <c r="H325" s="19"/>
      <c r="I325" s="18"/>
      <c r="J325" s="18"/>
      <c r="K325" s="20"/>
      <c r="L325" s="20"/>
      <c r="M325" s="20"/>
      <c r="N325" s="20"/>
      <c r="O325" s="21"/>
      <c r="P325" s="22" t="n">
        <f aca="false">IF(OR($A325="",N(K325)=0),0,CEILING(K325*(1+IF($O325="",Taux_Compta,$O325))-0.005,Pas_Arrondi))</f>
        <v>0</v>
      </c>
      <c r="Q325" s="22" t="n">
        <f aca="false">IF(OR($A325="",N(L325)=0),0,CEILING(L325*(1+IF($O325="",Taux_Paye,$O325))-0.005,Pas_Arrondi))</f>
        <v>0</v>
      </c>
      <c r="R325" s="22" t="n">
        <f aca="false">IF(OR($A325="",N(M325)=0),0,CEILING(M325*(1+IF($O325="",Taux_Jur,$O325))-0.005,Pas_Arrondi))</f>
        <v>0</v>
      </c>
      <c r="S325" s="22" t="n">
        <f aca="false">IF(OR($A325="",N(N325)=0),0,CEILING(N325*(1+IF($O325="",Taux_PA,$O325))-0.005,Pas_Arrondi))</f>
        <v>0</v>
      </c>
      <c r="T325" s="22" t="str">
        <f aca="false">IF($A325="","",SUM(K325:N325))</f>
        <v/>
      </c>
      <c r="U325" s="22" t="str">
        <f aca="false">IF($A325="","",SUM(P325:S325))</f>
        <v/>
      </c>
      <c r="V325" s="22" t="str">
        <f aca="false">IF($A325="","",U325-T325)</f>
        <v/>
      </c>
      <c r="W325" s="23" t="str">
        <f aca="false">IF(OR($A325="",N(T325)=0),"",V325/T325)</f>
        <v/>
      </c>
      <c r="X325" s="18"/>
      <c r="Y325" s="18"/>
      <c r="Z325" s="24" t="str">
        <f aca="false">IF(AND($A325&lt;&gt;"",$X325="Oui",OR(Filtre_Masse="Tous les clients à envoyer",$Y325&lt;&gt;"Email")),MAX(Z$1:Z324)+1,"")</f>
        <v/>
      </c>
    </row>
    <row r="326" customFormat="false" ht="15" hidden="false" customHeight="false" outlineLevel="0" collapsed="false">
      <c r="A326" s="18"/>
      <c r="B326" s="18"/>
      <c r="C326" s="18"/>
      <c r="D326" s="18"/>
      <c r="E326" s="18"/>
      <c r="F326" s="18"/>
      <c r="G326" s="18"/>
      <c r="H326" s="19"/>
      <c r="I326" s="18"/>
      <c r="J326" s="18"/>
      <c r="K326" s="20"/>
      <c r="L326" s="20"/>
      <c r="M326" s="20"/>
      <c r="N326" s="20"/>
      <c r="O326" s="21"/>
      <c r="P326" s="22" t="n">
        <f aca="false">IF(OR($A326="",N(K326)=0),0,CEILING(K326*(1+IF($O326="",Taux_Compta,$O326))-0.005,Pas_Arrondi))</f>
        <v>0</v>
      </c>
      <c r="Q326" s="22" t="n">
        <f aca="false">IF(OR($A326="",N(L326)=0),0,CEILING(L326*(1+IF($O326="",Taux_Paye,$O326))-0.005,Pas_Arrondi))</f>
        <v>0</v>
      </c>
      <c r="R326" s="22" t="n">
        <f aca="false">IF(OR($A326="",N(M326)=0),0,CEILING(M326*(1+IF($O326="",Taux_Jur,$O326))-0.005,Pas_Arrondi))</f>
        <v>0</v>
      </c>
      <c r="S326" s="22" t="n">
        <f aca="false">IF(OR($A326="",N(N326)=0),0,CEILING(N326*(1+IF($O326="",Taux_PA,$O326))-0.005,Pas_Arrondi))</f>
        <v>0</v>
      </c>
      <c r="T326" s="22" t="str">
        <f aca="false">IF($A326="","",SUM(K326:N326))</f>
        <v/>
      </c>
      <c r="U326" s="22" t="str">
        <f aca="false">IF($A326="","",SUM(P326:S326))</f>
        <v/>
      </c>
      <c r="V326" s="22" t="str">
        <f aca="false">IF($A326="","",U326-T326)</f>
        <v/>
      </c>
      <c r="W326" s="23" t="str">
        <f aca="false">IF(OR($A326="",N(T326)=0),"",V326/T326)</f>
        <v/>
      </c>
      <c r="X326" s="18"/>
      <c r="Y326" s="18"/>
      <c r="Z326" s="24" t="str">
        <f aca="false">IF(AND($A326&lt;&gt;"",$X326="Oui",OR(Filtre_Masse="Tous les clients à envoyer",$Y326&lt;&gt;"Email")),MAX(Z$1:Z325)+1,"")</f>
        <v/>
      </c>
    </row>
    <row r="327" customFormat="false" ht="15" hidden="false" customHeight="false" outlineLevel="0" collapsed="false">
      <c r="A327" s="18"/>
      <c r="B327" s="18"/>
      <c r="C327" s="18"/>
      <c r="D327" s="18"/>
      <c r="E327" s="18"/>
      <c r="F327" s="18"/>
      <c r="G327" s="18"/>
      <c r="H327" s="19"/>
      <c r="I327" s="18"/>
      <c r="J327" s="18"/>
      <c r="K327" s="20"/>
      <c r="L327" s="20"/>
      <c r="M327" s="20"/>
      <c r="N327" s="20"/>
      <c r="O327" s="21"/>
      <c r="P327" s="22" t="n">
        <f aca="false">IF(OR($A327="",N(K327)=0),0,CEILING(K327*(1+IF($O327="",Taux_Compta,$O327))-0.005,Pas_Arrondi))</f>
        <v>0</v>
      </c>
      <c r="Q327" s="22" t="n">
        <f aca="false">IF(OR($A327="",N(L327)=0),0,CEILING(L327*(1+IF($O327="",Taux_Paye,$O327))-0.005,Pas_Arrondi))</f>
        <v>0</v>
      </c>
      <c r="R327" s="22" t="n">
        <f aca="false">IF(OR($A327="",N(M327)=0),0,CEILING(M327*(1+IF($O327="",Taux_Jur,$O327))-0.005,Pas_Arrondi))</f>
        <v>0</v>
      </c>
      <c r="S327" s="22" t="n">
        <f aca="false">IF(OR($A327="",N(N327)=0),0,CEILING(N327*(1+IF($O327="",Taux_PA,$O327))-0.005,Pas_Arrondi))</f>
        <v>0</v>
      </c>
      <c r="T327" s="22" t="str">
        <f aca="false">IF($A327="","",SUM(K327:N327))</f>
        <v/>
      </c>
      <c r="U327" s="22" t="str">
        <f aca="false">IF($A327="","",SUM(P327:S327))</f>
        <v/>
      </c>
      <c r="V327" s="22" t="str">
        <f aca="false">IF($A327="","",U327-T327)</f>
        <v/>
      </c>
      <c r="W327" s="23" t="str">
        <f aca="false">IF(OR($A327="",N(T327)=0),"",V327/T327)</f>
        <v/>
      </c>
      <c r="X327" s="18"/>
      <c r="Y327" s="18"/>
      <c r="Z327" s="24" t="str">
        <f aca="false">IF(AND($A327&lt;&gt;"",$X327="Oui",OR(Filtre_Masse="Tous les clients à envoyer",$Y327&lt;&gt;"Email")),MAX(Z$1:Z326)+1,"")</f>
        <v/>
      </c>
    </row>
    <row r="328" customFormat="false" ht="15" hidden="false" customHeight="false" outlineLevel="0" collapsed="false">
      <c r="A328" s="18"/>
      <c r="B328" s="18"/>
      <c r="C328" s="18"/>
      <c r="D328" s="18"/>
      <c r="E328" s="18"/>
      <c r="F328" s="18"/>
      <c r="G328" s="18"/>
      <c r="H328" s="19"/>
      <c r="I328" s="18"/>
      <c r="J328" s="18"/>
      <c r="K328" s="20"/>
      <c r="L328" s="20"/>
      <c r="M328" s="20"/>
      <c r="N328" s="20"/>
      <c r="O328" s="21"/>
      <c r="P328" s="22" t="n">
        <f aca="false">IF(OR($A328="",N(K328)=0),0,CEILING(K328*(1+IF($O328="",Taux_Compta,$O328))-0.005,Pas_Arrondi))</f>
        <v>0</v>
      </c>
      <c r="Q328" s="22" t="n">
        <f aca="false">IF(OR($A328="",N(L328)=0),0,CEILING(L328*(1+IF($O328="",Taux_Paye,$O328))-0.005,Pas_Arrondi))</f>
        <v>0</v>
      </c>
      <c r="R328" s="22" t="n">
        <f aca="false">IF(OR($A328="",N(M328)=0),0,CEILING(M328*(1+IF($O328="",Taux_Jur,$O328))-0.005,Pas_Arrondi))</f>
        <v>0</v>
      </c>
      <c r="S328" s="22" t="n">
        <f aca="false">IF(OR($A328="",N(N328)=0),0,CEILING(N328*(1+IF($O328="",Taux_PA,$O328))-0.005,Pas_Arrondi))</f>
        <v>0</v>
      </c>
      <c r="T328" s="22" t="str">
        <f aca="false">IF($A328="","",SUM(K328:N328))</f>
        <v/>
      </c>
      <c r="U328" s="22" t="str">
        <f aca="false">IF($A328="","",SUM(P328:S328))</f>
        <v/>
      </c>
      <c r="V328" s="22" t="str">
        <f aca="false">IF($A328="","",U328-T328)</f>
        <v/>
      </c>
      <c r="W328" s="23" t="str">
        <f aca="false">IF(OR($A328="",N(T328)=0),"",V328/T328)</f>
        <v/>
      </c>
      <c r="X328" s="18"/>
      <c r="Y328" s="18"/>
      <c r="Z328" s="24" t="str">
        <f aca="false">IF(AND($A328&lt;&gt;"",$X328="Oui",OR(Filtre_Masse="Tous les clients à envoyer",$Y328&lt;&gt;"Email")),MAX(Z$1:Z327)+1,"")</f>
        <v/>
      </c>
    </row>
    <row r="329" customFormat="false" ht="15" hidden="false" customHeight="false" outlineLevel="0" collapsed="false">
      <c r="A329" s="18"/>
      <c r="B329" s="18"/>
      <c r="C329" s="18"/>
      <c r="D329" s="18"/>
      <c r="E329" s="18"/>
      <c r="F329" s="18"/>
      <c r="G329" s="18"/>
      <c r="H329" s="19"/>
      <c r="I329" s="18"/>
      <c r="J329" s="18"/>
      <c r="K329" s="20"/>
      <c r="L329" s="20"/>
      <c r="M329" s="20"/>
      <c r="N329" s="20"/>
      <c r="O329" s="21"/>
      <c r="P329" s="22" t="n">
        <f aca="false">IF(OR($A329="",N(K329)=0),0,CEILING(K329*(1+IF($O329="",Taux_Compta,$O329))-0.005,Pas_Arrondi))</f>
        <v>0</v>
      </c>
      <c r="Q329" s="22" t="n">
        <f aca="false">IF(OR($A329="",N(L329)=0),0,CEILING(L329*(1+IF($O329="",Taux_Paye,$O329))-0.005,Pas_Arrondi))</f>
        <v>0</v>
      </c>
      <c r="R329" s="22" t="n">
        <f aca="false">IF(OR($A329="",N(M329)=0),0,CEILING(M329*(1+IF($O329="",Taux_Jur,$O329))-0.005,Pas_Arrondi))</f>
        <v>0</v>
      </c>
      <c r="S329" s="22" t="n">
        <f aca="false">IF(OR($A329="",N(N329)=0),0,CEILING(N329*(1+IF($O329="",Taux_PA,$O329))-0.005,Pas_Arrondi))</f>
        <v>0</v>
      </c>
      <c r="T329" s="22" t="str">
        <f aca="false">IF($A329="","",SUM(K329:N329))</f>
        <v/>
      </c>
      <c r="U329" s="22" t="str">
        <f aca="false">IF($A329="","",SUM(P329:S329))</f>
        <v/>
      </c>
      <c r="V329" s="22" t="str">
        <f aca="false">IF($A329="","",U329-T329)</f>
        <v/>
      </c>
      <c r="W329" s="23" t="str">
        <f aca="false">IF(OR($A329="",N(T329)=0),"",V329/T329)</f>
        <v/>
      </c>
      <c r="X329" s="18"/>
      <c r="Y329" s="18"/>
      <c r="Z329" s="24" t="str">
        <f aca="false">IF(AND($A329&lt;&gt;"",$X329="Oui",OR(Filtre_Masse="Tous les clients à envoyer",$Y329&lt;&gt;"Email")),MAX(Z$1:Z328)+1,"")</f>
        <v/>
      </c>
    </row>
    <row r="330" customFormat="false" ht="15" hidden="false" customHeight="false" outlineLevel="0" collapsed="false">
      <c r="A330" s="18"/>
      <c r="B330" s="18"/>
      <c r="C330" s="18"/>
      <c r="D330" s="18"/>
      <c r="E330" s="18"/>
      <c r="F330" s="18"/>
      <c r="G330" s="18"/>
      <c r="H330" s="19"/>
      <c r="I330" s="18"/>
      <c r="J330" s="18"/>
      <c r="K330" s="20"/>
      <c r="L330" s="20"/>
      <c r="M330" s="20"/>
      <c r="N330" s="20"/>
      <c r="O330" s="21"/>
      <c r="P330" s="22" t="n">
        <f aca="false">IF(OR($A330="",N(K330)=0),0,CEILING(K330*(1+IF($O330="",Taux_Compta,$O330))-0.005,Pas_Arrondi))</f>
        <v>0</v>
      </c>
      <c r="Q330" s="22" t="n">
        <f aca="false">IF(OR($A330="",N(L330)=0),0,CEILING(L330*(1+IF($O330="",Taux_Paye,$O330))-0.005,Pas_Arrondi))</f>
        <v>0</v>
      </c>
      <c r="R330" s="22" t="n">
        <f aca="false">IF(OR($A330="",N(M330)=0),0,CEILING(M330*(1+IF($O330="",Taux_Jur,$O330))-0.005,Pas_Arrondi))</f>
        <v>0</v>
      </c>
      <c r="S330" s="22" t="n">
        <f aca="false">IF(OR($A330="",N(N330)=0),0,CEILING(N330*(1+IF($O330="",Taux_PA,$O330))-0.005,Pas_Arrondi))</f>
        <v>0</v>
      </c>
      <c r="T330" s="22" t="str">
        <f aca="false">IF($A330="","",SUM(K330:N330))</f>
        <v/>
      </c>
      <c r="U330" s="22" t="str">
        <f aca="false">IF($A330="","",SUM(P330:S330))</f>
        <v/>
      </c>
      <c r="V330" s="22" t="str">
        <f aca="false">IF($A330="","",U330-T330)</f>
        <v/>
      </c>
      <c r="W330" s="23" t="str">
        <f aca="false">IF(OR($A330="",N(T330)=0),"",V330/T330)</f>
        <v/>
      </c>
      <c r="X330" s="18"/>
      <c r="Y330" s="18"/>
      <c r="Z330" s="24" t="str">
        <f aca="false">IF(AND($A330&lt;&gt;"",$X330="Oui",OR(Filtre_Masse="Tous les clients à envoyer",$Y330&lt;&gt;"Email")),MAX(Z$1:Z329)+1,"")</f>
        <v/>
      </c>
    </row>
    <row r="331" customFormat="false" ht="15" hidden="false" customHeight="false" outlineLevel="0" collapsed="false">
      <c r="A331" s="18"/>
      <c r="B331" s="18"/>
      <c r="C331" s="18"/>
      <c r="D331" s="18"/>
      <c r="E331" s="18"/>
      <c r="F331" s="18"/>
      <c r="G331" s="18"/>
      <c r="H331" s="19"/>
      <c r="I331" s="18"/>
      <c r="J331" s="18"/>
      <c r="K331" s="20"/>
      <c r="L331" s="20"/>
      <c r="M331" s="20"/>
      <c r="N331" s="20"/>
      <c r="O331" s="21"/>
      <c r="P331" s="22" t="n">
        <f aca="false">IF(OR($A331="",N(K331)=0),0,CEILING(K331*(1+IF($O331="",Taux_Compta,$O331))-0.005,Pas_Arrondi))</f>
        <v>0</v>
      </c>
      <c r="Q331" s="22" t="n">
        <f aca="false">IF(OR($A331="",N(L331)=0),0,CEILING(L331*(1+IF($O331="",Taux_Paye,$O331))-0.005,Pas_Arrondi))</f>
        <v>0</v>
      </c>
      <c r="R331" s="22" t="n">
        <f aca="false">IF(OR($A331="",N(M331)=0),0,CEILING(M331*(1+IF($O331="",Taux_Jur,$O331))-0.005,Pas_Arrondi))</f>
        <v>0</v>
      </c>
      <c r="S331" s="22" t="n">
        <f aca="false">IF(OR($A331="",N(N331)=0),0,CEILING(N331*(1+IF($O331="",Taux_PA,$O331))-0.005,Pas_Arrondi))</f>
        <v>0</v>
      </c>
      <c r="T331" s="22" t="str">
        <f aca="false">IF($A331="","",SUM(K331:N331))</f>
        <v/>
      </c>
      <c r="U331" s="22" t="str">
        <f aca="false">IF($A331="","",SUM(P331:S331))</f>
        <v/>
      </c>
      <c r="V331" s="22" t="str">
        <f aca="false">IF($A331="","",U331-T331)</f>
        <v/>
      </c>
      <c r="W331" s="23" t="str">
        <f aca="false">IF(OR($A331="",N(T331)=0),"",V331/T331)</f>
        <v/>
      </c>
      <c r="X331" s="18"/>
      <c r="Y331" s="18"/>
      <c r="Z331" s="24" t="str">
        <f aca="false">IF(AND($A331&lt;&gt;"",$X331="Oui",OR(Filtre_Masse="Tous les clients à envoyer",$Y331&lt;&gt;"Email")),MAX(Z$1:Z330)+1,"")</f>
        <v/>
      </c>
    </row>
    <row r="332" customFormat="false" ht="15" hidden="false" customHeight="false" outlineLevel="0" collapsed="false">
      <c r="A332" s="18"/>
      <c r="B332" s="18"/>
      <c r="C332" s="18"/>
      <c r="D332" s="18"/>
      <c r="E332" s="18"/>
      <c r="F332" s="18"/>
      <c r="G332" s="18"/>
      <c r="H332" s="19"/>
      <c r="I332" s="18"/>
      <c r="J332" s="18"/>
      <c r="K332" s="20"/>
      <c r="L332" s="20"/>
      <c r="M332" s="20"/>
      <c r="N332" s="20"/>
      <c r="O332" s="21"/>
      <c r="P332" s="22" t="n">
        <f aca="false">IF(OR($A332="",N(K332)=0),0,CEILING(K332*(1+IF($O332="",Taux_Compta,$O332))-0.005,Pas_Arrondi))</f>
        <v>0</v>
      </c>
      <c r="Q332" s="22" t="n">
        <f aca="false">IF(OR($A332="",N(L332)=0),0,CEILING(L332*(1+IF($O332="",Taux_Paye,$O332))-0.005,Pas_Arrondi))</f>
        <v>0</v>
      </c>
      <c r="R332" s="22" t="n">
        <f aca="false">IF(OR($A332="",N(M332)=0),0,CEILING(M332*(1+IF($O332="",Taux_Jur,$O332))-0.005,Pas_Arrondi))</f>
        <v>0</v>
      </c>
      <c r="S332" s="22" t="n">
        <f aca="false">IF(OR($A332="",N(N332)=0),0,CEILING(N332*(1+IF($O332="",Taux_PA,$O332))-0.005,Pas_Arrondi))</f>
        <v>0</v>
      </c>
      <c r="T332" s="22" t="str">
        <f aca="false">IF($A332="","",SUM(K332:N332))</f>
        <v/>
      </c>
      <c r="U332" s="22" t="str">
        <f aca="false">IF($A332="","",SUM(P332:S332))</f>
        <v/>
      </c>
      <c r="V332" s="22" t="str">
        <f aca="false">IF($A332="","",U332-T332)</f>
        <v/>
      </c>
      <c r="W332" s="23" t="str">
        <f aca="false">IF(OR($A332="",N(T332)=0),"",V332/T332)</f>
        <v/>
      </c>
      <c r="X332" s="18"/>
      <c r="Y332" s="18"/>
      <c r="Z332" s="24" t="str">
        <f aca="false">IF(AND($A332&lt;&gt;"",$X332="Oui",OR(Filtre_Masse="Tous les clients à envoyer",$Y332&lt;&gt;"Email")),MAX(Z$1:Z331)+1,"")</f>
        <v/>
      </c>
    </row>
    <row r="333" customFormat="false" ht="15" hidden="false" customHeight="false" outlineLevel="0" collapsed="false">
      <c r="A333" s="18"/>
      <c r="B333" s="18"/>
      <c r="C333" s="18"/>
      <c r="D333" s="18"/>
      <c r="E333" s="18"/>
      <c r="F333" s="18"/>
      <c r="G333" s="18"/>
      <c r="H333" s="19"/>
      <c r="I333" s="18"/>
      <c r="J333" s="18"/>
      <c r="K333" s="20"/>
      <c r="L333" s="20"/>
      <c r="M333" s="20"/>
      <c r="N333" s="20"/>
      <c r="O333" s="21"/>
      <c r="P333" s="22" t="n">
        <f aca="false">IF(OR($A333="",N(K333)=0),0,CEILING(K333*(1+IF($O333="",Taux_Compta,$O333))-0.005,Pas_Arrondi))</f>
        <v>0</v>
      </c>
      <c r="Q333" s="22" t="n">
        <f aca="false">IF(OR($A333="",N(L333)=0),0,CEILING(L333*(1+IF($O333="",Taux_Paye,$O333))-0.005,Pas_Arrondi))</f>
        <v>0</v>
      </c>
      <c r="R333" s="22" t="n">
        <f aca="false">IF(OR($A333="",N(M333)=0),0,CEILING(M333*(1+IF($O333="",Taux_Jur,$O333))-0.005,Pas_Arrondi))</f>
        <v>0</v>
      </c>
      <c r="S333" s="22" t="n">
        <f aca="false">IF(OR($A333="",N(N333)=0),0,CEILING(N333*(1+IF($O333="",Taux_PA,$O333))-0.005,Pas_Arrondi))</f>
        <v>0</v>
      </c>
      <c r="T333" s="22" t="str">
        <f aca="false">IF($A333="","",SUM(K333:N333))</f>
        <v/>
      </c>
      <c r="U333" s="22" t="str">
        <f aca="false">IF($A333="","",SUM(P333:S333))</f>
        <v/>
      </c>
      <c r="V333" s="22" t="str">
        <f aca="false">IF($A333="","",U333-T333)</f>
        <v/>
      </c>
      <c r="W333" s="23" t="str">
        <f aca="false">IF(OR($A333="",N(T333)=0),"",V333/T333)</f>
        <v/>
      </c>
      <c r="X333" s="18"/>
      <c r="Y333" s="18"/>
      <c r="Z333" s="24" t="str">
        <f aca="false">IF(AND($A333&lt;&gt;"",$X333="Oui",OR(Filtre_Masse="Tous les clients à envoyer",$Y333&lt;&gt;"Email")),MAX(Z$1:Z332)+1,"")</f>
        <v/>
      </c>
    </row>
    <row r="334" customFormat="false" ht="15" hidden="false" customHeight="false" outlineLevel="0" collapsed="false">
      <c r="A334" s="18"/>
      <c r="B334" s="18"/>
      <c r="C334" s="18"/>
      <c r="D334" s="18"/>
      <c r="E334" s="18"/>
      <c r="F334" s="18"/>
      <c r="G334" s="18"/>
      <c r="H334" s="19"/>
      <c r="I334" s="18"/>
      <c r="J334" s="18"/>
      <c r="K334" s="20"/>
      <c r="L334" s="20"/>
      <c r="M334" s="20"/>
      <c r="N334" s="20"/>
      <c r="O334" s="21"/>
      <c r="P334" s="22" t="n">
        <f aca="false">IF(OR($A334="",N(K334)=0),0,CEILING(K334*(1+IF($O334="",Taux_Compta,$O334))-0.005,Pas_Arrondi))</f>
        <v>0</v>
      </c>
      <c r="Q334" s="22" t="n">
        <f aca="false">IF(OR($A334="",N(L334)=0),0,CEILING(L334*(1+IF($O334="",Taux_Paye,$O334))-0.005,Pas_Arrondi))</f>
        <v>0</v>
      </c>
      <c r="R334" s="22" t="n">
        <f aca="false">IF(OR($A334="",N(M334)=0),0,CEILING(M334*(1+IF($O334="",Taux_Jur,$O334))-0.005,Pas_Arrondi))</f>
        <v>0</v>
      </c>
      <c r="S334" s="22" t="n">
        <f aca="false">IF(OR($A334="",N(N334)=0),0,CEILING(N334*(1+IF($O334="",Taux_PA,$O334))-0.005,Pas_Arrondi))</f>
        <v>0</v>
      </c>
      <c r="T334" s="22" t="str">
        <f aca="false">IF($A334="","",SUM(K334:N334))</f>
        <v/>
      </c>
      <c r="U334" s="22" t="str">
        <f aca="false">IF($A334="","",SUM(P334:S334))</f>
        <v/>
      </c>
      <c r="V334" s="22" t="str">
        <f aca="false">IF($A334="","",U334-T334)</f>
        <v/>
      </c>
      <c r="W334" s="23" t="str">
        <f aca="false">IF(OR($A334="",N(T334)=0),"",V334/T334)</f>
        <v/>
      </c>
      <c r="X334" s="18"/>
      <c r="Y334" s="18"/>
      <c r="Z334" s="24" t="str">
        <f aca="false">IF(AND($A334&lt;&gt;"",$X334="Oui",OR(Filtre_Masse="Tous les clients à envoyer",$Y334&lt;&gt;"Email")),MAX(Z$1:Z333)+1,"")</f>
        <v/>
      </c>
    </row>
    <row r="335" customFormat="false" ht="15" hidden="false" customHeight="false" outlineLevel="0" collapsed="false">
      <c r="A335" s="18"/>
      <c r="B335" s="18"/>
      <c r="C335" s="18"/>
      <c r="D335" s="18"/>
      <c r="E335" s="18"/>
      <c r="F335" s="18"/>
      <c r="G335" s="18"/>
      <c r="H335" s="19"/>
      <c r="I335" s="18"/>
      <c r="J335" s="18"/>
      <c r="K335" s="20"/>
      <c r="L335" s="20"/>
      <c r="M335" s="20"/>
      <c r="N335" s="20"/>
      <c r="O335" s="21"/>
      <c r="P335" s="22" t="n">
        <f aca="false">IF(OR($A335="",N(K335)=0),0,CEILING(K335*(1+IF($O335="",Taux_Compta,$O335))-0.005,Pas_Arrondi))</f>
        <v>0</v>
      </c>
      <c r="Q335" s="22" t="n">
        <f aca="false">IF(OR($A335="",N(L335)=0),0,CEILING(L335*(1+IF($O335="",Taux_Paye,$O335))-0.005,Pas_Arrondi))</f>
        <v>0</v>
      </c>
      <c r="R335" s="22" t="n">
        <f aca="false">IF(OR($A335="",N(M335)=0),0,CEILING(M335*(1+IF($O335="",Taux_Jur,$O335))-0.005,Pas_Arrondi))</f>
        <v>0</v>
      </c>
      <c r="S335" s="22" t="n">
        <f aca="false">IF(OR($A335="",N(N335)=0),0,CEILING(N335*(1+IF($O335="",Taux_PA,$O335))-0.005,Pas_Arrondi))</f>
        <v>0</v>
      </c>
      <c r="T335" s="22" t="str">
        <f aca="false">IF($A335="","",SUM(K335:N335))</f>
        <v/>
      </c>
      <c r="U335" s="22" t="str">
        <f aca="false">IF($A335="","",SUM(P335:S335))</f>
        <v/>
      </c>
      <c r="V335" s="22" t="str">
        <f aca="false">IF($A335="","",U335-T335)</f>
        <v/>
      </c>
      <c r="W335" s="23" t="str">
        <f aca="false">IF(OR($A335="",N(T335)=0),"",V335/T335)</f>
        <v/>
      </c>
      <c r="X335" s="18"/>
      <c r="Y335" s="18"/>
      <c r="Z335" s="24" t="str">
        <f aca="false">IF(AND($A335&lt;&gt;"",$X335="Oui",OR(Filtre_Masse="Tous les clients à envoyer",$Y335&lt;&gt;"Email")),MAX(Z$1:Z334)+1,"")</f>
        <v/>
      </c>
    </row>
    <row r="336" customFormat="false" ht="15" hidden="false" customHeight="false" outlineLevel="0" collapsed="false">
      <c r="A336" s="18"/>
      <c r="B336" s="18"/>
      <c r="C336" s="18"/>
      <c r="D336" s="18"/>
      <c r="E336" s="18"/>
      <c r="F336" s="18"/>
      <c r="G336" s="18"/>
      <c r="H336" s="19"/>
      <c r="I336" s="18"/>
      <c r="J336" s="18"/>
      <c r="K336" s="20"/>
      <c r="L336" s="20"/>
      <c r="M336" s="20"/>
      <c r="N336" s="20"/>
      <c r="O336" s="21"/>
      <c r="P336" s="22" t="n">
        <f aca="false">IF(OR($A336="",N(K336)=0),0,CEILING(K336*(1+IF($O336="",Taux_Compta,$O336))-0.005,Pas_Arrondi))</f>
        <v>0</v>
      </c>
      <c r="Q336" s="22" t="n">
        <f aca="false">IF(OR($A336="",N(L336)=0),0,CEILING(L336*(1+IF($O336="",Taux_Paye,$O336))-0.005,Pas_Arrondi))</f>
        <v>0</v>
      </c>
      <c r="R336" s="22" t="n">
        <f aca="false">IF(OR($A336="",N(M336)=0),0,CEILING(M336*(1+IF($O336="",Taux_Jur,$O336))-0.005,Pas_Arrondi))</f>
        <v>0</v>
      </c>
      <c r="S336" s="22" t="n">
        <f aca="false">IF(OR($A336="",N(N336)=0),0,CEILING(N336*(1+IF($O336="",Taux_PA,$O336))-0.005,Pas_Arrondi))</f>
        <v>0</v>
      </c>
      <c r="T336" s="22" t="str">
        <f aca="false">IF($A336="","",SUM(K336:N336))</f>
        <v/>
      </c>
      <c r="U336" s="22" t="str">
        <f aca="false">IF($A336="","",SUM(P336:S336))</f>
        <v/>
      </c>
      <c r="V336" s="22" t="str">
        <f aca="false">IF($A336="","",U336-T336)</f>
        <v/>
      </c>
      <c r="W336" s="23" t="str">
        <f aca="false">IF(OR($A336="",N(T336)=0),"",V336/T336)</f>
        <v/>
      </c>
      <c r="X336" s="18"/>
      <c r="Y336" s="18"/>
      <c r="Z336" s="24" t="str">
        <f aca="false">IF(AND($A336&lt;&gt;"",$X336="Oui",OR(Filtre_Masse="Tous les clients à envoyer",$Y336&lt;&gt;"Email")),MAX(Z$1:Z335)+1,"")</f>
        <v/>
      </c>
    </row>
    <row r="337" customFormat="false" ht="15" hidden="false" customHeight="false" outlineLevel="0" collapsed="false">
      <c r="A337" s="18"/>
      <c r="B337" s="18"/>
      <c r="C337" s="18"/>
      <c r="D337" s="18"/>
      <c r="E337" s="18"/>
      <c r="F337" s="18"/>
      <c r="G337" s="18"/>
      <c r="H337" s="19"/>
      <c r="I337" s="18"/>
      <c r="J337" s="18"/>
      <c r="K337" s="20"/>
      <c r="L337" s="20"/>
      <c r="M337" s="20"/>
      <c r="N337" s="20"/>
      <c r="O337" s="21"/>
      <c r="P337" s="22" t="n">
        <f aca="false">IF(OR($A337="",N(K337)=0),0,CEILING(K337*(1+IF($O337="",Taux_Compta,$O337))-0.005,Pas_Arrondi))</f>
        <v>0</v>
      </c>
      <c r="Q337" s="22" t="n">
        <f aca="false">IF(OR($A337="",N(L337)=0),0,CEILING(L337*(1+IF($O337="",Taux_Paye,$O337))-0.005,Pas_Arrondi))</f>
        <v>0</v>
      </c>
      <c r="R337" s="22" t="n">
        <f aca="false">IF(OR($A337="",N(M337)=0),0,CEILING(M337*(1+IF($O337="",Taux_Jur,$O337))-0.005,Pas_Arrondi))</f>
        <v>0</v>
      </c>
      <c r="S337" s="22" t="n">
        <f aca="false">IF(OR($A337="",N(N337)=0),0,CEILING(N337*(1+IF($O337="",Taux_PA,$O337))-0.005,Pas_Arrondi))</f>
        <v>0</v>
      </c>
      <c r="T337" s="22" t="str">
        <f aca="false">IF($A337="","",SUM(K337:N337))</f>
        <v/>
      </c>
      <c r="U337" s="22" t="str">
        <f aca="false">IF($A337="","",SUM(P337:S337))</f>
        <v/>
      </c>
      <c r="V337" s="22" t="str">
        <f aca="false">IF($A337="","",U337-T337)</f>
        <v/>
      </c>
      <c r="W337" s="23" t="str">
        <f aca="false">IF(OR($A337="",N(T337)=0),"",V337/T337)</f>
        <v/>
      </c>
      <c r="X337" s="18"/>
      <c r="Y337" s="18"/>
      <c r="Z337" s="24" t="str">
        <f aca="false">IF(AND($A337&lt;&gt;"",$X337="Oui",OR(Filtre_Masse="Tous les clients à envoyer",$Y337&lt;&gt;"Email")),MAX(Z$1:Z336)+1,"")</f>
        <v/>
      </c>
    </row>
    <row r="338" customFormat="false" ht="15" hidden="false" customHeight="false" outlineLevel="0" collapsed="false">
      <c r="A338" s="18"/>
      <c r="B338" s="18"/>
      <c r="C338" s="18"/>
      <c r="D338" s="18"/>
      <c r="E338" s="18"/>
      <c r="F338" s="18"/>
      <c r="G338" s="18"/>
      <c r="H338" s="19"/>
      <c r="I338" s="18"/>
      <c r="J338" s="18"/>
      <c r="K338" s="20"/>
      <c r="L338" s="20"/>
      <c r="M338" s="20"/>
      <c r="N338" s="20"/>
      <c r="O338" s="21"/>
      <c r="P338" s="22" t="n">
        <f aca="false">IF(OR($A338="",N(K338)=0),0,CEILING(K338*(1+IF($O338="",Taux_Compta,$O338))-0.005,Pas_Arrondi))</f>
        <v>0</v>
      </c>
      <c r="Q338" s="22" t="n">
        <f aca="false">IF(OR($A338="",N(L338)=0),0,CEILING(L338*(1+IF($O338="",Taux_Paye,$O338))-0.005,Pas_Arrondi))</f>
        <v>0</v>
      </c>
      <c r="R338" s="22" t="n">
        <f aca="false">IF(OR($A338="",N(M338)=0),0,CEILING(M338*(1+IF($O338="",Taux_Jur,$O338))-0.005,Pas_Arrondi))</f>
        <v>0</v>
      </c>
      <c r="S338" s="22" t="n">
        <f aca="false">IF(OR($A338="",N(N338)=0),0,CEILING(N338*(1+IF($O338="",Taux_PA,$O338))-0.005,Pas_Arrondi))</f>
        <v>0</v>
      </c>
      <c r="T338" s="22" t="str">
        <f aca="false">IF($A338="","",SUM(K338:N338))</f>
        <v/>
      </c>
      <c r="U338" s="22" t="str">
        <f aca="false">IF($A338="","",SUM(P338:S338))</f>
        <v/>
      </c>
      <c r="V338" s="22" t="str">
        <f aca="false">IF($A338="","",U338-T338)</f>
        <v/>
      </c>
      <c r="W338" s="23" t="str">
        <f aca="false">IF(OR($A338="",N(T338)=0),"",V338/T338)</f>
        <v/>
      </c>
      <c r="X338" s="18"/>
      <c r="Y338" s="18"/>
      <c r="Z338" s="24" t="str">
        <f aca="false">IF(AND($A338&lt;&gt;"",$X338="Oui",OR(Filtre_Masse="Tous les clients à envoyer",$Y338&lt;&gt;"Email")),MAX(Z$1:Z337)+1,"")</f>
        <v/>
      </c>
    </row>
    <row r="339" customFormat="false" ht="15" hidden="false" customHeight="false" outlineLevel="0" collapsed="false">
      <c r="A339" s="18"/>
      <c r="B339" s="18"/>
      <c r="C339" s="18"/>
      <c r="D339" s="18"/>
      <c r="E339" s="18"/>
      <c r="F339" s="18"/>
      <c r="G339" s="18"/>
      <c r="H339" s="19"/>
      <c r="I339" s="18"/>
      <c r="J339" s="18"/>
      <c r="K339" s="20"/>
      <c r="L339" s="20"/>
      <c r="M339" s="20"/>
      <c r="N339" s="20"/>
      <c r="O339" s="21"/>
      <c r="P339" s="22" t="n">
        <f aca="false">IF(OR($A339="",N(K339)=0),0,CEILING(K339*(1+IF($O339="",Taux_Compta,$O339))-0.005,Pas_Arrondi))</f>
        <v>0</v>
      </c>
      <c r="Q339" s="22" t="n">
        <f aca="false">IF(OR($A339="",N(L339)=0),0,CEILING(L339*(1+IF($O339="",Taux_Paye,$O339))-0.005,Pas_Arrondi))</f>
        <v>0</v>
      </c>
      <c r="R339" s="22" t="n">
        <f aca="false">IF(OR($A339="",N(M339)=0),0,CEILING(M339*(1+IF($O339="",Taux_Jur,$O339))-0.005,Pas_Arrondi))</f>
        <v>0</v>
      </c>
      <c r="S339" s="22" t="n">
        <f aca="false">IF(OR($A339="",N(N339)=0),0,CEILING(N339*(1+IF($O339="",Taux_PA,$O339))-0.005,Pas_Arrondi))</f>
        <v>0</v>
      </c>
      <c r="T339" s="22" t="str">
        <f aca="false">IF($A339="","",SUM(K339:N339))</f>
        <v/>
      </c>
      <c r="U339" s="22" t="str">
        <f aca="false">IF($A339="","",SUM(P339:S339))</f>
        <v/>
      </c>
      <c r="V339" s="22" t="str">
        <f aca="false">IF($A339="","",U339-T339)</f>
        <v/>
      </c>
      <c r="W339" s="23" t="str">
        <f aca="false">IF(OR($A339="",N(T339)=0),"",V339/T339)</f>
        <v/>
      </c>
      <c r="X339" s="18"/>
      <c r="Y339" s="18"/>
      <c r="Z339" s="24" t="str">
        <f aca="false">IF(AND($A339&lt;&gt;"",$X339="Oui",OR(Filtre_Masse="Tous les clients à envoyer",$Y339&lt;&gt;"Email")),MAX(Z$1:Z338)+1,"")</f>
        <v/>
      </c>
    </row>
    <row r="340" customFormat="false" ht="15" hidden="false" customHeight="false" outlineLevel="0" collapsed="false">
      <c r="A340" s="18"/>
      <c r="B340" s="18"/>
      <c r="C340" s="18"/>
      <c r="D340" s="18"/>
      <c r="E340" s="18"/>
      <c r="F340" s="18"/>
      <c r="G340" s="18"/>
      <c r="H340" s="19"/>
      <c r="I340" s="18"/>
      <c r="J340" s="18"/>
      <c r="K340" s="20"/>
      <c r="L340" s="20"/>
      <c r="M340" s="20"/>
      <c r="N340" s="20"/>
      <c r="O340" s="21"/>
      <c r="P340" s="22" t="n">
        <f aca="false">IF(OR($A340="",N(K340)=0),0,CEILING(K340*(1+IF($O340="",Taux_Compta,$O340))-0.005,Pas_Arrondi))</f>
        <v>0</v>
      </c>
      <c r="Q340" s="22" t="n">
        <f aca="false">IF(OR($A340="",N(L340)=0),0,CEILING(L340*(1+IF($O340="",Taux_Paye,$O340))-0.005,Pas_Arrondi))</f>
        <v>0</v>
      </c>
      <c r="R340" s="22" t="n">
        <f aca="false">IF(OR($A340="",N(M340)=0),0,CEILING(M340*(1+IF($O340="",Taux_Jur,$O340))-0.005,Pas_Arrondi))</f>
        <v>0</v>
      </c>
      <c r="S340" s="22" t="n">
        <f aca="false">IF(OR($A340="",N(N340)=0),0,CEILING(N340*(1+IF($O340="",Taux_PA,$O340))-0.005,Pas_Arrondi))</f>
        <v>0</v>
      </c>
      <c r="T340" s="22" t="str">
        <f aca="false">IF($A340="","",SUM(K340:N340))</f>
        <v/>
      </c>
      <c r="U340" s="22" t="str">
        <f aca="false">IF($A340="","",SUM(P340:S340))</f>
        <v/>
      </c>
      <c r="V340" s="22" t="str">
        <f aca="false">IF($A340="","",U340-T340)</f>
        <v/>
      </c>
      <c r="W340" s="23" t="str">
        <f aca="false">IF(OR($A340="",N(T340)=0),"",V340/T340)</f>
        <v/>
      </c>
      <c r="X340" s="18"/>
      <c r="Y340" s="18"/>
      <c r="Z340" s="24" t="str">
        <f aca="false">IF(AND($A340&lt;&gt;"",$X340="Oui",OR(Filtre_Masse="Tous les clients à envoyer",$Y340&lt;&gt;"Email")),MAX(Z$1:Z339)+1,"")</f>
        <v/>
      </c>
    </row>
    <row r="341" customFormat="false" ht="15" hidden="false" customHeight="false" outlineLevel="0" collapsed="false">
      <c r="A341" s="18"/>
      <c r="B341" s="18"/>
      <c r="C341" s="18"/>
      <c r="D341" s="18"/>
      <c r="E341" s="18"/>
      <c r="F341" s="18"/>
      <c r="G341" s="18"/>
      <c r="H341" s="19"/>
      <c r="I341" s="18"/>
      <c r="J341" s="18"/>
      <c r="K341" s="20"/>
      <c r="L341" s="20"/>
      <c r="M341" s="20"/>
      <c r="N341" s="20"/>
      <c r="O341" s="21"/>
      <c r="P341" s="22" t="n">
        <f aca="false">IF(OR($A341="",N(K341)=0),0,CEILING(K341*(1+IF($O341="",Taux_Compta,$O341))-0.005,Pas_Arrondi))</f>
        <v>0</v>
      </c>
      <c r="Q341" s="22" t="n">
        <f aca="false">IF(OR($A341="",N(L341)=0),0,CEILING(L341*(1+IF($O341="",Taux_Paye,$O341))-0.005,Pas_Arrondi))</f>
        <v>0</v>
      </c>
      <c r="R341" s="22" t="n">
        <f aca="false">IF(OR($A341="",N(M341)=0),0,CEILING(M341*(1+IF($O341="",Taux_Jur,$O341))-0.005,Pas_Arrondi))</f>
        <v>0</v>
      </c>
      <c r="S341" s="22" t="n">
        <f aca="false">IF(OR($A341="",N(N341)=0),0,CEILING(N341*(1+IF($O341="",Taux_PA,$O341))-0.005,Pas_Arrondi))</f>
        <v>0</v>
      </c>
      <c r="T341" s="22" t="str">
        <f aca="false">IF($A341="","",SUM(K341:N341))</f>
        <v/>
      </c>
      <c r="U341" s="22" t="str">
        <f aca="false">IF($A341="","",SUM(P341:S341))</f>
        <v/>
      </c>
      <c r="V341" s="22" t="str">
        <f aca="false">IF($A341="","",U341-T341)</f>
        <v/>
      </c>
      <c r="W341" s="23" t="str">
        <f aca="false">IF(OR($A341="",N(T341)=0),"",V341/T341)</f>
        <v/>
      </c>
      <c r="X341" s="18"/>
      <c r="Y341" s="18"/>
      <c r="Z341" s="24" t="str">
        <f aca="false">IF(AND($A341&lt;&gt;"",$X341="Oui",OR(Filtre_Masse="Tous les clients à envoyer",$Y341&lt;&gt;"Email")),MAX(Z$1:Z340)+1,"")</f>
        <v/>
      </c>
    </row>
    <row r="342" customFormat="false" ht="15" hidden="false" customHeight="false" outlineLevel="0" collapsed="false">
      <c r="A342" s="18"/>
      <c r="B342" s="18"/>
      <c r="C342" s="18"/>
      <c r="D342" s="18"/>
      <c r="E342" s="18"/>
      <c r="F342" s="18"/>
      <c r="G342" s="18"/>
      <c r="H342" s="19"/>
      <c r="I342" s="18"/>
      <c r="J342" s="18"/>
      <c r="K342" s="20"/>
      <c r="L342" s="20"/>
      <c r="M342" s="20"/>
      <c r="N342" s="20"/>
      <c r="O342" s="21"/>
      <c r="P342" s="22" t="n">
        <f aca="false">IF(OR($A342="",N(K342)=0),0,CEILING(K342*(1+IF($O342="",Taux_Compta,$O342))-0.005,Pas_Arrondi))</f>
        <v>0</v>
      </c>
      <c r="Q342" s="22" t="n">
        <f aca="false">IF(OR($A342="",N(L342)=0),0,CEILING(L342*(1+IF($O342="",Taux_Paye,$O342))-0.005,Pas_Arrondi))</f>
        <v>0</v>
      </c>
      <c r="R342" s="22" t="n">
        <f aca="false">IF(OR($A342="",N(M342)=0),0,CEILING(M342*(1+IF($O342="",Taux_Jur,$O342))-0.005,Pas_Arrondi))</f>
        <v>0</v>
      </c>
      <c r="S342" s="22" t="n">
        <f aca="false">IF(OR($A342="",N(N342)=0),0,CEILING(N342*(1+IF($O342="",Taux_PA,$O342))-0.005,Pas_Arrondi))</f>
        <v>0</v>
      </c>
      <c r="T342" s="22" t="str">
        <f aca="false">IF($A342="","",SUM(K342:N342))</f>
        <v/>
      </c>
      <c r="U342" s="22" t="str">
        <f aca="false">IF($A342="","",SUM(P342:S342))</f>
        <v/>
      </c>
      <c r="V342" s="22" t="str">
        <f aca="false">IF($A342="","",U342-T342)</f>
        <v/>
      </c>
      <c r="W342" s="23" t="str">
        <f aca="false">IF(OR($A342="",N(T342)=0),"",V342/T342)</f>
        <v/>
      </c>
      <c r="X342" s="18"/>
      <c r="Y342" s="18"/>
      <c r="Z342" s="24" t="str">
        <f aca="false">IF(AND($A342&lt;&gt;"",$X342="Oui",OR(Filtre_Masse="Tous les clients à envoyer",$Y342&lt;&gt;"Email")),MAX(Z$1:Z341)+1,"")</f>
        <v/>
      </c>
    </row>
    <row r="343" customFormat="false" ht="15" hidden="false" customHeight="false" outlineLevel="0" collapsed="false">
      <c r="A343" s="18"/>
      <c r="B343" s="18"/>
      <c r="C343" s="18"/>
      <c r="D343" s="18"/>
      <c r="E343" s="18"/>
      <c r="F343" s="18"/>
      <c r="G343" s="18"/>
      <c r="H343" s="19"/>
      <c r="I343" s="18"/>
      <c r="J343" s="18"/>
      <c r="K343" s="20"/>
      <c r="L343" s="20"/>
      <c r="M343" s="20"/>
      <c r="N343" s="20"/>
      <c r="O343" s="21"/>
      <c r="P343" s="22" t="n">
        <f aca="false">IF(OR($A343="",N(K343)=0),0,CEILING(K343*(1+IF($O343="",Taux_Compta,$O343))-0.005,Pas_Arrondi))</f>
        <v>0</v>
      </c>
      <c r="Q343" s="22" t="n">
        <f aca="false">IF(OR($A343="",N(L343)=0),0,CEILING(L343*(1+IF($O343="",Taux_Paye,$O343))-0.005,Pas_Arrondi))</f>
        <v>0</v>
      </c>
      <c r="R343" s="22" t="n">
        <f aca="false">IF(OR($A343="",N(M343)=0),0,CEILING(M343*(1+IF($O343="",Taux_Jur,$O343))-0.005,Pas_Arrondi))</f>
        <v>0</v>
      </c>
      <c r="S343" s="22" t="n">
        <f aca="false">IF(OR($A343="",N(N343)=0),0,CEILING(N343*(1+IF($O343="",Taux_PA,$O343))-0.005,Pas_Arrondi))</f>
        <v>0</v>
      </c>
      <c r="T343" s="22" t="str">
        <f aca="false">IF($A343="","",SUM(K343:N343))</f>
        <v/>
      </c>
      <c r="U343" s="22" t="str">
        <f aca="false">IF($A343="","",SUM(P343:S343))</f>
        <v/>
      </c>
      <c r="V343" s="22" t="str">
        <f aca="false">IF($A343="","",U343-T343)</f>
        <v/>
      </c>
      <c r="W343" s="23" t="str">
        <f aca="false">IF(OR($A343="",N(T343)=0),"",V343/T343)</f>
        <v/>
      </c>
      <c r="X343" s="18"/>
      <c r="Y343" s="18"/>
      <c r="Z343" s="24" t="str">
        <f aca="false">IF(AND($A343&lt;&gt;"",$X343="Oui",OR(Filtre_Masse="Tous les clients à envoyer",$Y343&lt;&gt;"Email")),MAX(Z$1:Z342)+1,"")</f>
        <v/>
      </c>
    </row>
    <row r="344" customFormat="false" ht="15" hidden="false" customHeight="false" outlineLevel="0" collapsed="false">
      <c r="A344" s="18"/>
      <c r="B344" s="18"/>
      <c r="C344" s="18"/>
      <c r="D344" s="18"/>
      <c r="E344" s="18"/>
      <c r="F344" s="18"/>
      <c r="G344" s="18"/>
      <c r="H344" s="19"/>
      <c r="I344" s="18"/>
      <c r="J344" s="18"/>
      <c r="K344" s="20"/>
      <c r="L344" s="20"/>
      <c r="M344" s="20"/>
      <c r="N344" s="20"/>
      <c r="O344" s="21"/>
      <c r="P344" s="22" t="n">
        <f aca="false">IF(OR($A344="",N(K344)=0),0,CEILING(K344*(1+IF($O344="",Taux_Compta,$O344))-0.005,Pas_Arrondi))</f>
        <v>0</v>
      </c>
      <c r="Q344" s="22" t="n">
        <f aca="false">IF(OR($A344="",N(L344)=0),0,CEILING(L344*(1+IF($O344="",Taux_Paye,$O344))-0.005,Pas_Arrondi))</f>
        <v>0</v>
      </c>
      <c r="R344" s="22" t="n">
        <f aca="false">IF(OR($A344="",N(M344)=0),0,CEILING(M344*(1+IF($O344="",Taux_Jur,$O344))-0.005,Pas_Arrondi))</f>
        <v>0</v>
      </c>
      <c r="S344" s="22" t="n">
        <f aca="false">IF(OR($A344="",N(N344)=0),0,CEILING(N344*(1+IF($O344="",Taux_PA,$O344))-0.005,Pas_Arrondi))</f>
        <v>0</v>
      </c>
      <c r="T344" s="22" t="str">
        <f aca="false">IF($A344="","",SUM(K344:N344))</f>
        <v/>
      </c>
      <c r="U344" s="22" t="str">
        <f aca="false">IF($A344="","",SUM(P344:S344))</f>
        <v/>
      </c>
      <c r="V344" s="22" t="str">
        <f aca="false">IF($A344="","",U344-T344)</f>
        <v/>
      </c>
      <c r="W344" s="23" t="str">
        <f aca="false">IF(OR($A344="",N(T344)=0),"",V344/T344)</f>
        <v/>
      </c>
      <c r="X344" s="18"/>
      <c r="Y344" s="18"/>
      <c r="Z344" s="24" t="str">
        <f aca="false">IF(AND($A344&lt;&gt;"",$X344="Oui",OR(Filtre_Masse="Tous les clients à envoyer",$Y344&lt;&gt;"Email")),MAX(Z$1:Z343)+1,"")</f>
        <v/>
      </c>
    </row>
    <row r="345" customFormat="false" ht="15" hidden="false" customHeight="false" outlineLevel="0" collapsed="false">
      <c r="A345" s="18"/>
      <c r="B345" s="18"/>
      <c r="C345" s="18"/>
      <c r="D345" s="18"/>
      <c r="E345" s="18"/>
      <c r="F345" s="18"/>
      <c r="G345" s="18"/>
      <c r="H345" s="19"/>
      <c r="I345" s="18"/>
      <c r="J345" s="18"/>
      <c r="K345" s="20"/>
      <c r="L345" s="20"/>
      <c r="M345" s="20"/>
      <c r="N345" s="20"/>
      <c r="O345" s="21"/>
      <c r="P345" s="22" t="n">
        <f aca="false">IF(OR($A345="",N(K345)=0),0,CEILING(K345*(1+IF($O345="",Taux_Compta,$O345))-0.005,Pas_Arrondi))</f>
        <v>0</v>
      </c>
      <c r="Q345" s="22" t="n">
        <f aca="false">IF(OR($A345="",N(L345)=0),0,CEILING(L345*(1+IF($O345="",Taux_Paye,$O345))-0.005,Pas_Arrondi))</f>
        <v>0</v>
      </c>
      <c r="R345" s="22" t="n">
        <f aca="false">IF(OR($A345="",N(M345)=0),0,CEILING(M345*(1+IF($O345="",Taux_Jur,$O345))-0.005,Pas_Arrondi))</f>
        <v>0</v>
      </c>
      <c r="S345" s="22" t="n">
        <f aca="false">IF(OR($A345="",N(N345)=0),0,CEILING(N345*(1+IF($O345="",Taux_PA,$O345))-0.005,Pas_Arrondi))</f>
        <v>0</v>
      </c>
      <c r="T345" s="22" t="str">
        <f aca="false">IF($A345="","",SUM(K345:N345))</f>
        <v/>
      </c>
      <c r="U345" s="22" t="str">
        <f aca="false">IF($A345="","",SUM(P345:S345))</f>
        <v/>
      </c>
      <c r="V345" s="22" t="str">
        <f aca="false">IF($A345="","",U345-T345)</f>
        <v/>
      </c>
      <c r="W345" s="23" t="str">
        <f aca="false">IF(OR($A345="",N(T345)=0),"",V345/T345)</f>
        <v/>
      </c>
      <c r="X345" s="18"/>
      <c r="Y345" s="18"/>
      <c r="Z345" s="24" t="str">
        <f aca="false">IF(AND($A345&lt;&gt;"",$X345="Oui",OR(Filtre_Masse="Tous les clients à envoyer",$Y345&lt;&gt;"Email")),MAX(Z$1:Z344)+1,"")</f>
        <v/>
      </c>
    </row>
    <row r="346" customFormat="false" ht="15" hidden="false" customHeight="false" outlineLevel="0" collapsed="false">
      <c r="A346" s="18"/>
      <c r="B346" s="18"/>
      <c r="C346" s="18"/>
      <c r="D346" s="18"/>
      <c r="E346" s="18"/>
      <c r="F346" s="18"/>
      <c r="G346" s="18"/>
      <c r="H346" s="19"/>
      <c r="I346" s="18"/>
      <c r="J346" s="18"/>
      <c r="K346" s="20"/>
      <c r="L346" s="20"/>
      <c r="M346" s="20"/>
      <c r="N346" s="20"/>
      <c r="O346" s="21"/>
      <c r="P346" s="22" t="n">
        <f aca="false">IF(OR($A346="",N(K346)=0),0,CEILING(K346*(1+IF($O346="",Taux_Compta,$O346))-0.005,Pas_Arrondi))</f>
        <v>0</v>
      </c>
      <c r="Q346" s="22" t="n">
        <f aca="false">IF(OR($A346="",N(L346)=0),0,CEILING(L346*(1+IF($O346="",Taux_Paye,$O346))-0.005,Pas_Arrondi))</f>
        <v>0</v>
      </c>
      <c r="R346" s="22" t="n">
        <f aca="false">IF(OR($A346="",N(M346)=0),0,CEILING(M346*(1+IF($O346="",Taux_Jur,$O346))-0.005,Pas_Arrondi))</f>
        <v>0</v>
      </c>
      <c r="S346" s="22" t="n">
        <f aca="false">IF(OR($A346="",N(N346)=0),0,CEILING(N346*(1+IF($O346="",Taux_PA,$O346))-0.005,Pas_Arrondi))</f>
        <v>0</v>
      </c>
      <c r="T346" s="22" t="str">
        <f aca="false">IF($A346="","",SUM(K346:N346))</f>
        <v/>
      </c>
      <c r="U346" s="22" t="str">
        <f aca="false">IF($A346="","",SUM(P346:S346))</f>
        <v/>
      </c>
      <c r="V346" s="22" t="str">
        <f aca="false">IF($A346="","",U346-T346)</f>
        <v/>
      </c>
      <c r="W346" s="23" t="str">
        <f aca="false">IF(OR($A346="",N(T346)=0),"",V346/T346)</f>
        <v/>
      </c>
      <c r="X346" s="18"/>
      <c r="Y346" s="18"/>
      <c r="Z346" s="24" t="str">
        <f aca="false">IF(AND($A346&lt;&gt;"",$X346="Oui",OR(Filtre_Masse="Tous les clients à envoyer",$Y346&lt;&gt;"Email")),MAX(Z$1:Z345)+1,"")</f>
        <v/>
      </c>
    </row>
    <row r="347" customFormat="false" ht="15" hidden="false" customHeight="false" outlineLevel="0" collapsed="false">
      <c r="A347" s="18"/>
      <c r="B347" s="18"/>
      <c r="C347" s="18"/>
      <c r="D347" s="18"/>
      <c r="E347" s="18"/>
      <c r="F347" s="18"/>
      <c r="G347" s="18"/>
      <c r="H347" s="19"/>
      <c r="I347" s="18"/>
      <c r="J347" s="18"/>
      <c r="K347" s="20"/>
      <c r="L347" s="20"/>
      <c r="M347" s="20"/>
      <c r="N347" s="20"/>
      <c r="O347" s="21"/>
      <c r="P347" s="22" t="n">
        <f aca="false">IF(OR($A347="",N(K347)=0),0,CEILING(K347*(1+IF($O347="",Taux_Compta,$O347))-0.005,Pas_Arrondi))</f>
        <v>0</v>
      </c>
      <c r="Q347" s="22" t="n">
        <f aca="false">IF(OR($A347="",N(L347)=0),0,CEILING(L347*(1+IF($O347="",Taux_Paye,$O347))-0.005,Pas_Arrondi))</f>
        <v>0</v>
      </c>
      <c r="R347" s="22" t="n">
        <f aca="false">IF(OR($A347="",N(M347)=0),0,CEILING(M347*(1+IF($O347="",Taux_Jur,$O347))-0.005,Pas_Arrondi))</f>
        <v>0</v>
      </c>
      <c r="S347" s="22" t="n">
        <f aca="false">IF(OR($A347="",N(N347)=0),0,CEILING(N347*(1+IF($O347="",Taux_PA,$O347))-0.005,Pas_Arrondi))</f>
        <v>0</v>
      </c>
      <c r="T347" s="22" t="str">
        <f aca="false">IF($A347="","",SUM(K347:N347))</f>
        <v/>
      </c>
      <c r="U347" s="22" t="str">
        <f aca="false">IF($A347="","",SUM(P347:S347))</f>
        <v/>
      </c>
      <c r="V347" s="22" t="str">
        <f aca="false">IF($A347="","",U347-T347)</f>
        <v/>
      </c>
      <c r="W347" s="23" t="str">
        <f aca="false">IF(OR($A347="",N(T347)=0),"",V347/T347)</f>
        <v/>
      </c>
      <c r="X347" s="18"/>
      <c r="Y347" s="18"/>
      <c r="Z347" s="24" t="str">
        <f aca="false">IF(AND($A347&lt;&gt;"",$X347="Oui",OR(Filtre_Masse="Tous les clients à envoyer",$Y347&lt;&gt;"Email")),MAX(Z$1:Z346)+1,"")</f>
        <v/>
      </c>
    </row>
    <row r="348" customFormat="false" ht="15" hidden="false" customHeight="false" outlineLevel="0" collapsed="false">
      <c r="A348" s="18"/>
      <c r="B348" s="18"/>
      <c r="C348" s="18"/>
      <c r="D348" s="18"/>
      <c r="E348" s="18"/>
      <c r="F348" s="18"/>
      <c r="G348" s="18"/>
      <c r="H348" s="19"/>
      <c r="I348" s="18"/>
      <c r="J348" s="18"/>
      <c r="K348" s="20"/>
      <c r="L348" s="20"/>
      <c r="M348" s="20"/>
      <c r="N348" s="20"/>
      <c r="O348" s="21"/>
      <c r="P348" s="22" t="n">
        <f aca="false">IF(OR($A348="",N(K348)=0),0,CEILING(K348*(1+IF($O348="",Taux_Compta,$O348))-0.005,Pas_Arrondi))</f>
        <v>0</v>
      </c>
      <c r="Q348" s="22" t="n">
        <f aca="false">IF(OR($A348="",N(L348)=0),0,CEILING(L348*(1+IF($O348="",Taux_Paye,$O348))-0.005,Pas_Arrondi))</f>
        <v>0</v>
      </c>
      <c r="R348" s="22" t="n">
        <f aca="false">IF(OR($A348="",N(M348)=0),0,CEILING(M348*(1+IF($O348="",Taux_Jur,$O348))-0.005,Pas_Arrondi))</f>
        <v>0</v>
      </c>
      <c r="S348" s="22" t="n">
        <f aca="false">IF(OR($A348="",N(N348)=0),0,CEILING(N348*(1+IF($O348="",Taux_PA,$O348))-0.005,Pas_Arrondi))</f>
        <v>0</v>
      </c>
      <c r="T348" s="22" t="str">
        <f aca="false">IF($A348="","",SUM(K348:N348))</f>
        <v/>
      </c>
      <c r="U348" s="22" t="str">
        <f aca="false">IF($A348="","",SUM(P348:S348))</f>
        <v/>
      </c>
      <c r="V348" s="22" t="str">
        <f aca="false">IF($A348="","",U348-T348)</f>
        <v/>
      </c>
      <c r="W348" s="23" t="str">
        <f aca="false">IF(OR($A348="",N(T348)=0),"",V348/T348)</f>
        <v/>
      </c>
      <c r="X348" s="18"/>
      <c r="Y348" s="18"/>
      <c r="Z348" s="24" t="str">
        <f aca="false">IF(AND($A348&lt;&gt;"",$X348="Oui",OR(Filtre_Masse="Tous les clients à envoyer",$Y348&lt;&gt;"Email")),MAX(Z$1:Z347)+1,"")</f>
        <v/>
      </c>
    </row>
    <row r="349" customFormat="false" ht="15" hidden="false" customHeight="false" outlineLevel="0" collapsed="false">
      <c r="A349" s="18"/>
      <c r="B349" s="18"/>
      <c r="C349" s="18"/>
      <c r="D349" s="18"/>
      <c r="E349" s="18"/>
      <c r="F349" s="18"/>
      <c r="G349" s="18"/>
      <c r="H349" s="19"/>
      <c r="I349" s="18"/>
      <c r="J349" s="18"/>
      <c r="K349" s="20"/>
      <c r="L349" s="20"/>
      <c r="M349" s="20"/>
      <c r="N349" s="20"/>
      <c r="O349" s="21"/>
      <c r="P349" s="22" t="n">
        <f aca="false">IF(OR($A349="",N(K349)=0),0,CEILING(K349*(1+IF($O349="",Taux_Compta,$O349))-0.005,Pas_Arrondi))</f>
        <v>0</v>
      </c>
      <c r="Q349" s="22" t="n">
        <f aca="false">IF(OR($A349="",N(L349)=0),0,CEILING(L349*(1+IF($O349="",Taux_Paye,$O349))-0.005,Pas_Arrondi))</f>
        <v>0</v>
      </c>
      <c r="R349" s="22" t="n">
        <f aca="false">IF(OR($A349="",N(M349)=0),0,CEILING(M349*(1+IF($O349="",Taux_Jur,$O349))-0.005,Pas_Arrondi))</f>
        <v>0</v>
      </c>
      <c r="S349" s="22" t="n">
        <f aca="false">IF(OR($A349="",N(N349)=0),0,CEILING(N349*(1+IF($O349="",Taux_PA,$O349))-0.005,Pas_Arrondi))</f>
        <v>0</v>
      </c>
      <c r="T349" s="22" t="str">
        <f aca="false">IF($A349="","",SUM(K349:N349))</f>
        <v/>
      </c>
      <c r="U349" s="22" t="str">
        <f aca="false">IF($A349="","",SUM(P349:S349))</f>
        <v/>
      </c>
      <c r="V349" s="22" t="str">
        <f aca="false">IF($A349="","",U349-T349)</f>
        <v/>
      </c>
      <c r="W349" s="23" t="str">
        <f aca="false">IF(OR($A349="",N(T349)=0),"",V349/T349)</f>
        <v/>
      </c>
      <c r="X349" s="18"/>
      <c r="Y349" s="18"/>
      <c r="Z349" s="24" t="str">
        <f aca="false">IF(AND($A349&lt;&gt;"",$X349="Oui",OR(Filtre_Masse="Tous les clients à envoyer",$Y349&lt;&gt;"Email")),MAX(Z$1:Z348)+1,"")</f>
        <v/>
      </c>
    </row>
    <row r="350" customFormat="false" ht="15" hidden="false" customHeight="false" outlineLevel="0" collapsed="false">
      <c r="A350" s="18"/>
      <c r="B350" s="18"/>
      <c r="C350" s="18"/>
      <c r="D350" s="18"/>
      <c r="E350" s="18"/>
      <c r="F350" s="18"/>
      <c r="G350" s="18"/>
      <c r="H350" s="19"/>
      <c r="I350" s="18"/>
      <c r="J350" s="18"/>
      <c r="K350" s="20"/>
      <c r="L350" s="20"/>
      <c r="M350" s="20"/>
      <c r="N350" s="20"/>
      <c r="O350" s="21"/>
      <c r="P350" s="22" t="n">
        <f aca="false">IF(OR($A350="",N(K350)=0),0,CEILING(K350*(1+IF($O350="",Taux_Compta,$O350))-0.005,Pas_Arrondi))</f>
        <v>0</v>
      </c>
      <c r="Q350" s="22" t="n">
        <f aca="false">IF(OR($A350="",N(L350)=0),0,CEILING(L350*(1+IF($O350="",Taux_Paye,$O350))-0.005,Pas_Arrondi))</f>
        <v>0</v>
      </c>
      <c r="R350" s="22" t="n">
        <f aca="false">IF(OR($A350="",N(M350)=0),0,CEILING(M350*(1+IF($O350="",Taux_Jur,$O350))-0.005,Pas_Arrondi))</f>
        <v>0</v>
      </c>
      <c r="S350" s="22" t="n">
        <f aca="false">IF(OR($A350="",N(N350)=0),0,CEILING(N350*(1+IF($O350="",Taux_PA,$O350))-0.005,Pas_Arrondi))</f>
        <v>0</v>
      </c>
      <c r="T350" s="22" t="str">
        <f aca="false">IF($A350="","",SUM(K350:N350))</f>
        <v/>
      </c>
      <c r="U350" s="22" t="str">
        <f aca="false">IF($A350="","",SUM(P350:S350))</f>
        <v/>
      </c>
      <c r="V350" s="22" t="str">
        <f aca="false">IF($A350="","",U350-T350)</f>
        <v/>
      </c>
      <c r="W350" s="23" t="str">
        <f aca="false">IF(OR($A350="",N(T350)=0),"",V350/T350)</f>
        <v/>
      </c>
      <c r="X350" s="18"/>
      <c r="Y350" s="18"/>
      <c r="Z350" s="24" t="str">
        <f aca="false">IF(AND($A350&lt;&gt;"",$X350="Oui",OR(Filtre_Masse="Tous les clients à envoyer",$Y350&lt;&gt;"Email")),MAX(Z$1:Z349)+1,"")</f>
        <v/>
      </c>
    </row>
    <row r="351" customFormat="false" ht="15" hidden="false" customHeight="false" outlineLevel="0" collapsed="false">
      <c r="A351" s="18"/>
      <c r="B351" s="18"/>
      <c r="C351" s="18"/>
      <c r="D351" s="18"/>
      <c r="E351" s="18"/>
      <c r="F351" s="18"/>
      <c r="G351" s="18"/>
      <c r="H351" s="19"/>
      <c r="I351" s="18"/>
      <c r="J351" s="18"/>
      <c r="K351" s="20"/>
      <c r="L351" s="20"/>
      <c r="M351" s="20"/>
      <c r="N351" s="20"/>
      <c r="O351" s="21"/>
      <c r="P351" s="22" t="n">
        <f aca="false">IF(OR($A351="",N(K351)=0),0,CEILING(K351*(1+IF($O351="",Taux_Compta,$O351))-0.005,Pas_Arrondi))</f>
        <v>0</v>
      </c>
      <c r="Q351" s="22" t="n">
        <f aca="false">IF(OR($A351="",N(L351)=0),0,CEILING(L351*(1+IF($O351="",Taux_Paye,$O351))-0.005,Pas_Arrondi))</f>
        <v>0</v>
      </c>
      <c r="R351" s="22" t="n">
        <f aca="false">IF(OR($A351="",N(M351)=0),0,CEILING(M351*(1+IF($O351="",Taux_Jur,$O351))-0.005,Pas_Arrondi))</f>
        <v>0</v>
      </c>
      <c r="S351" s="22" t="n">
        <f aca="false">IF(OR($A351="",N(N351)=0),0,CEILING(N351*(1+IF($O351="",Taux_PA,$O351))-0.005,Pas_Arrondi))</f>
        <v>0</v>
      </c>
      <c r="T351" s="22" t="str">
        <f aca="false">IF($A351="","",SUM(K351:N351))</f>
        <v/>
      </c>
      <c r="U351" s="22" t="str">
        <f aca="false">IF($A351="","",SUM(P351:S351))</f>
        <v/>
      </c>
      <c r="V351" s="22" t="str">
        <f aca="false">IF($A351="","",U351-T351)</f>
        <v/>
      </c>
      <c r="W351" s="23" t="str">
        <f aca="false">IF(OR($A351="",N(T351)=0),"",V351/T351)</f>
        <v/>
      </c>
      <c r="X351" s="18"/>
      <c r="Y351" s="18"/>
      <c r="Z351" s="24" t="str">
        <f aca="false">IF(AND($A351&lt;&gt;"",$X351="Oui",OR(Filtre_Masse="Tous les clients à envoyer",$Y351&lt;&gt;"Email")),MAX(Z$1:Z350)+1,"")</f>
        <v/>
      </c>
    </row>
    <row r="352" customFormat="false" ht="15" hidden="false" customHeight="false" outlineLevel="0" collapsed="false">
      <c r="A352" s="18"/>
      <c r="B352" s="18"/>
      <c r="C352" s="18"/>
      <c r="D352" s="18"/>
      <c r="E352" s="18"/>
      <c r="F352" s="18"/>
      <c r="G352" s="18"/>
      <c r="H352" s="19"/>
      <c r="I352" s="18"/>
      <c r="J352" s="18"/>
      <c r="K352" s="20"/>
      <c r="L352" s="20"/>
      <c r="M352" s="20"/>
      <c r="N352" s="20"/>
      <c r="O352" s="21"/>
      <c r="P352" s="22" t="n">
        <f aca="false">IF(OR($A352="",N(K352)=0),0,CEILING(K352*(1+IF($O352="",Taux_Compta,$O352))-0.005,Pas_Arrondi))</f>
        <v>0</v>
      </c>
      <c r="Q352" s="22" t="n">
        <f aca="false">IF(OR($A352="",N(L352)=0),0,CEILING(L352*(1+IF($O352="",Taux_Paye,$O352))-0.005,Pas_Arrondi))</f>
        <v>0</v>
      </c>
      <c r="R352" s="22" t="n">
        <f aca="false">IF(OR($A352="",N(M352)=0),0,CEILING(M352*(1+IF($O352="",Taux_Jur,$O352))-0.005,Pas_Arrondi))</f>
        <v>0</v>
      </c>
      <c r="S352" s="22" t="n">
        <f aca="false">IF(OR($A352="",N(N352)=0),0,CEILING(N352*(1+IF($O352="",Taux_PA,$O352))-0.005,Pas_Arrondi))</f>
        <v>0</v>
      </c>
      <c r="T352" s="22" t="str">
        <f aca="false">IF($A352="","",SUM(K352:N352))</f>
        <v/>
      </c>
      <c r="U352" s="22" t="str">
        <f aca="false">IF($A352="","",SUM(P352:S352))</f>
        <v/>
      </c>
      <c r="V352" s="22" t="str">
        <f aca="false">IF($A352="","",U352-T352)</f>
        <v/>
      </c>
      <c r="W352" s="23" t="str">
        <f aca="false">IF(OR($A352="",N(T352)=0),"",V352/T352)</f>
        <v/>
      </c>
      <c r="X352" s="18"/>
      <c r="Y352" s="18"/>
      <c r="Z352" s="24" t="str">
        <f aca="false">IF(AND($A352&lt;&gt;"",$X352="Oui",OR(Filtre_Masse="Tous les clients à envoyer",$Y352&lt;&gt;"Email")),MAX(Z$1:Z351)+1,"")</f>
        <v/>
      </c>
    </row>
    <row r="353" customFormat="false" ht="15" hidden="false" customHeight="false" outlineLevel="0" collapsed="false">
      <c r="A353" s="18"/>
      <c r="B353" s="18"/>
      <c r="C353" s="18"/>
      <c r="D353" s="18"/>
      <c r="E353" s="18"/>
      <c r="F353" s="18"/>
      <c r="G353" s="18"/>
      <c r="H353" s="19"/>
      <c r="I353" s="18"/>
      <c r="J353" s="18"/>
      <c r="K353" s="20"/>
      <c r="L353" s="20"/>
      <c r="M353" s="20"/>
      <c r="N353" s="20"/>
      <c r="O353" s="21"/>
      <c r="P353" s="22" t="n">
        <f aca="false">IF(OR($A353="",N(K353)=0),0,CEILING(K353*(1+IF($O353="",Taux_Compta,$O353))-0.005,Pas_Arrondi))</f>
        <v>0</v>
      </c>
      <c r="Q353" s="22" t="n">
        <f aca="false">IF(OR($A353="",N(L353)=0),0,CEILING(L353*(1+IF($O353="",Taux_Paye,$O353))-0.005,Pas_Arrondi))</f>
        <v>0</v>
      </c>
      <c r="R353" s="22" t="n">
        <f aca="false">IF(OR($A353="",N(M353)=0),0,CEILING(M353*(1+IF($O353="",Taux_Jur,$O353))-0.005,Pas_Arrondi))</f>
        <v>0</v>
      </c>
      <c r="S353" s="22" t="n">
        <f aca="false">IF(OR($A353="",N(N353)=0),0,CEILING(N353*(1+IF($O353="",Taux_PA,$O353))-0.005,Pas_Arrondi))</f>
        <v>0</v>
      </c>
      <c r="T353" s="22" t="str">
        <f aca="false">IF($A353="","",SUM(K353:N353))</f>
        <v/>
      </c>
      <c r="U353" s="22" t="str">
        <f aca="false">IF($A353="","",SUM(P353:S353))</f>
        <v/>
      </c>
      <c r="V353" s="22" t="str">
        <f aca="false">IF($A353="","",U353-T353)</f>
        <v/>
      </c>
      <c r="W353" s="23" t="str">
        <f aca="false">IF(OR($A353="",N(T353)=0),"",V353/T353)</f>
        <v/>
      </c>
      <c r="X353" s="18"/>
      <c r="Y353" s="18"/>
      <c r="Z353" s="24" t="str">
        <f aca="false">IF(AND($A353&lt;&gt;"",$X353="Oui",OR(Filtre_Masse="Tous les clients à envoyer",$Y353&lt;&gt;"Email")),MAX(Z$1:Z352)+1,"")</f>
        <v/>
      </c>
    </row>
    <row r="354" customFormat="false" ht="15" hidden="false" customHeight="false" outlineLevel="0" collapsed="false">
      <c r="A354" s="18"/>
      <c r="B354" s="18"/>
      <c r="C354" s="18"/>
      <c r="D354" s="18"/>
      <c r="E354" s="18"/>
      <c r="F354" s="18"/>
      <c r="G354" s="18"/>
      <c r="H354" s="19"/>
      <c r="I354" s="18"/>
      <c r="J354" s="18"/>
      <c r="K354" s="20"/>
      <c r="L354" s="20"/>
      <c r="M354" s="20"/>
      <c r="N354" s="20"/>
      <c r="O354" s="21"/>
      <c r="P354" s="22" t="n">
        <f aca="false">IF(OR($A354="",N(K354)=0),0,CEILING(K354*(1+IF($O354="",Taux_Compta,$O354))-0.005,Pas_Arrondi))</f>
        <v>0</v>
      </c>
      <c r="Q354" s="22" t="n">
        <f aca="false">IF(OR($A354="",N(L354)=0),0,CEILING(L354*(1+IF($O354="",Taux_Paye,$O354))-0.005,Pas_Arrondi))</f>
        <v>0</v>
      </c>
      <c r="R354" s="22" t="n">
        <f aca="false">IF(OR($A354="",N(M354)=0),0,CEILING(M354*(1+IF($O354="",Taux_Jur,$O354))-0.005,Pas_Arrondi))</f>
        <v>0</v>
      </c>
      <c r="S354" s="22" t="n">
        <f aca="false">IF(OR($A354="",N(N354)=0),0,CEILING(N354*(1+IF($O354="",Taux_PA,$O354))-0.005,Pas_Arrondi))</f>
        <v>0</v>
      </c>
      <c r="T354" s="22" t="str">
        <f aca="false">IF($A354="","",SUM(K354:N354))</f>
        <v/>
      </c>
      <c r="U354" s="22" t="str">
        <f aca="false">IF($A354="","",SUM(P354:S354))</f>
        <v/>
      </c>
      <c r="V354" s="22" t="str">
        <f aca="false">IF($A354="","",U354-T354)</f>
        <v/>
      </c>
      <c r="W354" s="23" t="str">
        <f aca="false">IF(OR($A354="",N(T354)=0),"",V354/T354)</f>
        <v/>
      </c>
      <c r="X354" s="18"/>
      <c r="Y354" s="18"/>
      <c r="Z354" s="24" t="str">
        <f aca="false">IF(AND($A354&lt;&gt;"",$X354="Oui",OR(Filtre_Masse="Tous les clients à envoyer",$Y354&lt;&gt;"Email")),MAX(Z$1:Z353)+1,"")</f>
        <v/>
      </c>
    </row>
    <row r="355" customFormat="false" ht="15" hidden="false" customHeight="false" outlineLevel="0" collapsed="false">
      <c r="A355" s="18"/>
      <c r="B355" s="18"/>
      <c r="C355" s="18"/>
      <c r="D355" s="18"/>
      <c r="E355" s="18"/>
      <c r="F355" s="18"/>
      <c r="G355" s="18"/>
      <c r="H355" s="19"/>
      <c r="I355" s="18"/>
      <c r="J355" s="18"/>
      <c r="K355" s="20"/>
      <c r="L355" s="20"/>
      <c r="M355" s="20"/>
      <c r="N355" s="20"/>
      <c r="O355" s="21"/>
      <c r="P355" s="22" t="n">
        <f aca="false">IF(OR($A355="",N(K355)=0),0,CEILING(K355*(1+IF($O355="",Taux_Compta,$O355))-0.005,Pas_Arrondi))</f>
        <v>0</v>
      </c>
      <c r="Q355" s="22" t="n">
        <f aca="false">IF(OR($A355="",N(L355)=0),0,CEILING(L355*(1+IF($O355="",Taux_Paye,$O355))-0.005,Pas_Arrondi))</f>
        <v>0</v>
      </c>
      <c r="R355" s="22" t="n">
        <f aca="false">IF(OR($A355="",N(M355)=0),0,CEILING(M355*(1+IF($O355="",Taux_Jur,$O355))-0.005,Pas_Arrondi))</f>
        <v>0</v>
      </c>
      <c r="S355" s="22" t="n">
        <f aca="false">IF(OR($A355="",N(N355)=0),0,CEILING(N355*(1+IF($O355="",Taux_PA,$O355))-0.005,Pas_Arrondi))</f>
        <v>0</v>
      </c>
      <c r="T355" s="22" t="str">
        <f aca="false">IF($A355="","",SUM(K355:N355))</f>
        <v/>
      </c>
      <c r="U355" s="22" t="str">
        <f aca="false">IF($A355="","",SUM(P355:S355))</f>
        <v/>
      </c>
      <c r="V355" s="22" t="str">
        <f aca="false">IF($A355="","",U355-T355)</f>
        <v/>
      </c>
      <c r="W355" s="23" t="str">
        <f aca="false">IF(OR($A355="",N(T355)=0),"",V355/T355)</f>
        <v/>
      </c>
      <c r="X355" s="18"/>
      <c r="Y355" s="18"/>
      <c r="Z355" s="24" t="str">
        <f aca="false">IF(AND($A355&lt;&gt;"",$X355="Oui",OR(Filtre_Masse="Tous les clients à envoyer",$Y355&lt;&gt;"Email")),MAX(Z$1:Z354)+1,"")</f>
        <v/>
      </c>
    </row>
    <row r="356" customFormat="false" ht="15" hidden="false" customHeight="false" outlineLevel="0" collapsed="false">
      <c r="A356" s="18"/>
      <c r="B356" s="18"/>
      <c r="C356" s="18"/>
      <c r="D356" s="18"/>
      <c r="E356" s="18"/>
      <c r="F356" s="18"/>
      <c r="G356" s="18"/>
      <c r="H356" s="19"/>
      <c r="I356" s="18"/>
      <c r="J356" s="18"/>
      <c r="K356" s="20"/>
      <c r="L356" s="20"/>
      <c r="M356" s="20"/>
      <c r="N356" s="20"/>
      <c r="O356" s="21"/>
      <c r="P356" s="22" t="n">
        <f aca="false">IF(OR($A356="",N(K356)=0),0,CEILING(K356*(1+IF($O356="",Taux_Compta,$O356))-0.005,Pas_Arrondi))</f>
        <v>0</v>
      </c>
      <c r="Q356" s="22" t="n">
        <f aca="false">IF(OR($A356="",N(L356)=0),0,CEILING(L356*(1+IF($O356="",Taux_Paye,$O356))-0.005,Pas_Arrondi))</f>
        <v>0</v>
      </c>
      <c r="R356" s="22" t="n">
        <f aca="false">IF(OR($A356="",N(M356)=0),0,CEILING(M356*(1+IF($O356="",Taux_Jur,$O356))-0.005,Pas_Arrondi))</f>
        <v>0</v>
      </c>
      <c r="S356" s="22" t="n">
        <f aca="false">IF(OR($A356="",N(N356)=0),0,CEILING(N356*(1+IF($O356="",Taux_PA,$O356))-0.005,Pas_Arrondi))</f>
        <v>0</v>
      </c>
      <c r="T356" s="22" t="str">
        <f aca="false">IF($A356="","",SUM(K356:N356))</f>
        <v/>
      </c>
      <c r="U356" s="22" t="str">
        <f aca="false">IF($A356="","",SUM(P356:S356))</f>
        <v/>
      </c>
      <c r="V356" s="22" t="str">
        <f aca="false">IF($A356="","",U356-T356)</f>
        <v/>
      </c>
      <c r="W356" s="23" t="str">
        <f aca="false">IF(OR($A356="",N(T356)=0),"",V356/T356)</f>
        <v/>
      </c>
      <c r="X356" s="18"/>
      <c r="Y356" s="18"/>
      <c r="Z356" s="24" t="str">
        <f aca="false">IF(AND($A356&lt;&gt;"",$X356="Oui",OR(Filtre_Masse="Tous les clients à envoyer",$Y356&lt;&gt;"Email")),MAX(Z$1:Z355)+1,"")</f>
        <v/>
      </c>
    </row>
    <row r="357" customFormat="false" ht="15" hidden="false" customHeight="false" outlineLevel="0" collapsed="false">
      <c r="A357" s="18"/>
      <c r="B357" s="18"/>
      <c r="C357" s="18"/>
      <c r="D357" s="18"/>
      <c r="E357" s="18"/>
      <c r="F357" s="18"/>
      <c r="G357" s="18"/>
      <c r="H357" s="19"/>
      <c r="I357" s="18"/>
      <c r="J357" s="18"/>
      <c r="K357" s="20"/>
      <c r="L357" s="20"/>
      <c r="M357" s="20"/>
      <c r="N357" s="20"/>
      <c r="O357" s="21"/>
      <c r="P357" s="22" t="n">
        <f aca="false">IF(OR($A357="",N(K357)=0),0,CEILING(K357*(1+IF($O357="",Taux_Compta,$O357))-0.005,Pas_Arrondi))</f>
        <v>0</v>
      </c>
      <c r="Q357" s="22" t="n">
        <f aca="false">IF(OR($A357="",N(L357)=0),0,CEILING(L357*(1+IF($O357="",Taux_Paye,$O357))-0.005,Pas_Arrondi))</f>
        <v>0</v>
      </c>
      <c r="R357" s="22" t="n">
        <f aca="false">IF(OR($A357="",N(M357)=0),0,CEILING(M357*(1+IF($O357="",Taux_Jur,$O357))-0.005,Pas_Arrondi))</f>
        <v>0</v>
      </c>
      <c r="S357" s="22" t="n">
        <f aca="false">IF(OR($A357="",N(N357)=0),0,CEILING(N357*(1+IF($O357="",Taux_PA,$O357))-0.005,Pas_Arrondi))</f>
        <v>0</v>
      </c>
      <c r="T357" s="22" t="str">
        <f aca="false">IF($A357="","",SUM(K357:N357))</f>
        <v/>
      </c>
      <c r="U357" s="22" t="str">
        <f aca="false">IF($A357="","",SUM(P357:S357))</f>
        <v/>
      </c>
      <c r="V357" s="22" t="str">
        <f aca="false">IF($A357="","",U357-T357)</f>
        <v/>
      </c>
      <c r="W357" s="23" t="str">
        <f aca="false">IF(OR($A357="",N(T357)=0),"",V357/T357)</f>
        <v/>
      </c>
      <c r="X357" s="18"/>
      <c r="Y357" s="18"/>
      <c r="Z357" s="24" t="str">
        <f aca="false">IF(AND($A357&lt;&gt;"",$X357="Oui",OR(Filtre_Masse="Tous les clients à envoyer",$Y357&lt;&gt;"Email")),MAX(Z$1:Z356)+1,"")</f>
        <v/>
      </c>
    </row>
    <row r="358" customFormat="false" ht="15" hidden="false" customHeight="false" outlineLevel="0" collapsed="false">
      <c r="A358" s="18"/>
      <c r="B358" s="18"/>
      <c r="C358" s="18"/>
      <c r="D358" s="18"/>
      <c r="E358" s="18"/>
      <c r="F358" s="18"/>
      <c r="G358" s="18"/>
      <c r="H358" s="19"/>
      <c r="I358" s="18"/>
      <c r="J358" s="18"/>
      <c r="K358" s="20"/>
      <c r="L358" s="20"/>
      <c r="M358" s="20"/>
      <c r="N358" s="20"/>
      <c r="O358" s="21"/>
      <c r="P358" s="22" t="n">
        <f aca="false">IF(OR($A358="",N(K358)=0),0,CEILING(K358*(1+IF($O358="",Taux_Compta,$O358))-0.005,Pas_Arrondi))</f>
        <v>0</v>
      </c>
      <c r="Q358" s="22" t="n">
        <f aca="false">IF(OR($A358="",N(L358)=0),0,CEILING(L358*(1+IF($O358="",Taux_Paye,$O358))-0.005,Pas_Arrondi))</f>
        <v>0</v>
      </c>
      <c r="R358" s="22" t="n">
        <f aca="false">IF(OR($A358="",N(M358)=0),0,CEILING(M358*(1+IF($O358="",Taux_Jur,$O358))-0.005,Pas_Arrondi))</f>
        <v>0</v>
      </c>
      <c r="S358" s="22" t="n">
        <f aca="false">IF(OR($A358="",N(N358)=0),0,CEILING(N358*(1+IF($O358="",Taux_PA,$O358))-0.005,Pas_Arrondi))</f>
        <v>0</v>
      </c>
      <c r="T358" s="22" t="str">
        <f aca="false">IF($A358="","",SUM(K358:N358))</f>
        <v/>
      </c>
      <c r="U358" s="22" t="str">
        <f aca="false">IF($A358="","",SUM(P358:S358))</f>
        <v/>
      </c>
      <c r="V358" s="22" t="str">
        <f aca="false">IF($A358="","",U358-T358)</f>
        <v/>
      </c>
      <c r="W358" s="23" t="str">
        <f aca="false">IF(OR($A358="",N(T358)=0),"",V358/T358)</f>
        <v/>
      </c>
      <c r="X358" s="18"/>
      <c r="Y358" s="18"/>
      <c r="Z358" s="24" t="str">
        <f aca="false">IF(AND($A358&lt;&gt;"",$X358="Oui",OR(Filtre_Masse="Tous les clients à envoyer",$Y358&lt;&gt;"Email")),MAX(Z$1:Z357)+1,"")</f>
        <v/>
      </c>
    </row>
    <row r="359" customFormat="false" ht="15" hidden="false" customHeight="false" outlineLevel="0" collapsed="false">
      <c r="A359" s="18"/>
      <c r="B359" s="18"/>
      <c r="C359" s="18"/>
      <c r="D359" s="18"/>
      <c r="E359" s="18"/>
      <c r="F359" s="18"/>
      <c r="G359" s="18"/>
      <c r="H359" s="19"/>
      <c r="I359" s="18"/>
      <c r="J359" s="18"/>
      <c r="K359" s="20"/>
      <c r="L359" s="20"/>
      <c r="M359" s="20"/>
      <c r="N359" s="20"/>
      <c r="O359" s="21"/>
      <c r="P359" s="22" t="n">
        <f aca="false">IF(OR($A359="",N(K359)=0),0,CEILING(K359*(1+IF($O359="",Taux_Compta,$O359))-0.005,Pas_Arrondi))</f>
        <v>0</v>
      </c>
      <c r="Q359" s="22" t="n">
        <f aca="false">IF(OR($A359="",N(L359)=0),0,CEILING(L359*(1+IF($O359="",Taux_Paye,$O359))-0.005,Pas_Arrondi))</f>
        <v>0</v>
      </c>
      <c r="R359" s="22" t="n">
        <f aca="false">IF(OR($A359="",N(M359)=0),0,CEILING(M359*(1+IF($O359="",Taux_Jur,$O359))-0.005,Pas_Arrondi))</f>
        <v>0</v>
      </c>
      <c r="S359" s="22" t="n">
        <f aca="false">IF(OR($A359="",N(N359)=0),0,CEILING(N359*(1+IF($O359="",Taux_PA,$O359))-0.005,Pas_Arrondi))</f>
        <v>0</v>
      </c>
      <c r="T359" s="22" t="str">
        <f aca="false">IF($A359="","",SUM(K359:N359))</f>
        <v/>
      </c>
      <c r="U359" s="22" t="str">
        <f aca="false">IF($A359="","",SUM(P359:S359))</f>
        <v/>
      </c>
      <c r="V359" s="22" t="str">
        <f aca="false">IF($A359="","",U359-T359)</f>
        <v/>
      </c>
      <c r="W359" s="23" t="str">
        <f aca="false">IF(OR($A359="",N(T359)=0),"",V359/T359)</f>
        <v/>
      </c>
      <c r="X359" s="18"/>
      <c r="Y359" s="18"/>
      <c r="Z359" s="24" t="str">
        <f aca="false">IF(AND($A359&lt;&gt;"",$X359="Oui",OR(Filtre_Masse="Tous les clients à envoyer",$Y359&lt;&gt;"Email")),MAX(Z$1:Z358)+1,"")</f>
        <v/>
      </c>
    </row>
    <row r="360" customFormat="false" ht="15" hidden="false" customHeight="false" outlineLevel="0" collapsed="false">
      <c r="A360" s="18"/>
      <c r="B360" s="18"/>
      <c r="C360" s="18"/>
      <c r="D360" s="18"/>
      <c r="E360" s="18"/>
      <c r="F360" s="18"/>
      <c r="G360" s="18"/>
      <c r="H360" s="19"/>
      <c r="I360" s="18"/>
      <c r="J360" s="18"/>
      <c r="K360" s="20"/>
      <c r="L360" s="20"/>
      <c r="M360" s="20"/>
      <c r="N360" s="20"/>
      <c r="O360" s="21"/>
      <c r="P360" s="22" t="n">
        <f aca="false">IF(OR($A360="",N(K360)=0),0,CEILING(K360*(1+IF($O360="",Taux_Compta,$O360))-0.005,Pas_Arrondi))</f>
        <v>0</v>
      </c>
      <c r="Q360" s="22" t="n">
        <f aca="false">IF(OR($A360="",N(L360)=0),0,CEILING(L360*(1+IF($O360="",Taux_Paye,$O360))-0.005,Pas_Arrondi))</f>
        <v>0</v>
      </c>
      <c r="R360" s="22" t="n">
        <f aca="false">IF(OR($A360="",N(M360)=0),0,CEILING(M360*(1+IF($O360="",Taux_Jur,$O360))-0.005,Pas_Arrondi))</f>
        <v>0</v>
      </c>
      <c r="S360" s="22" t="n">
        <f aca="false">IF(OR($A360="",N(N360)=0),0,CEILING(N360*(1+IF($O360="",Taux_PA,$O360))-0.005,Pas_Arrondi))</f>
        <v>0</v>
      </c>
      <c r="T360" s="22" t="str">
        <f aca="false">IF($A360="","",SUM(K360:N360))</f>
        <v/>
      </c>
      <c r="U360" s="22" t="str">
        <f aca="false">IF($A360="","",SUM(P360:S360))</f>
        <v/>
      </c>
      <c r="V360" s="22" t="str">
        <f aca="false">IF($A360="","",U360-T360)</f>
        <v/>
      </c>
      <c r="W360" s="23" t="str">
        <f aca="false">IF(OR($A360="",N(T360)=0),"",V360/T360)</f>
        <v/>
      </c>
      <c r="X360" s="18"/>
      <c r="Y360" s="18"/>
      <c r="Z360" s="24" t="str">
        <f aca="false">IF(AND($A360&lt;&gt;"",$X360="Oui",OR(Filtre_Masse="Tous les clients à envoyer",$Y360&lt;&gt;"Email")),MAX(Z$1:Z359)+1,"")</f>
        <v/>
      </c>
    </row>
    <row r="361" customFormat="false" ht="15" hidden="false" customHeight="false" outlineLevel="0" collapsed="false">
      <c r="A361" s="18"/>
      <c r="B361" s="18"/>
      <c r="C361" s="18"/>
      <c r="D361" s="18"/>
      <c r="E361" s="18"/>
      <c r="F361" s="18"/>
      <c r="G361" s="18"/>
      <c r="H361" s="19"/>
      <c r="I361" s="18"/>
      <c r="J361" s="18"/>
      <c r="K361" s="20"/>
      <c r="L361" s="20"/>
      <c r="M361" s="20"/>
      <c r="N361" s="20"/>
      <c r="O361" s="21"/>
      <c r="P361" s="22" t="n">
        <f aca="false">IF(OR($A361="",N(K361)=0),0,CEILING(K361*(1+IF($O361="",Taux_Compta,$O361))-0.005,Pas_Arrondi))</f>
        <v>0</v>
      </c>
      <c r="Q361" s="22" t="n">
        <f aca="false">IF(OR($A361="",N(L361)=0),0,CEILING(L361*(1+IF($O361="",Taux_Paye,$O361))-0.005,Pas_Arrondi))</f>
        <v>0</v>
      </c>
      <c r="R361" s="22" t="n">
        <f aca="false">IF(OR($A361="",N(M361)=0),0,CEILING(M361*(1+IF($O361="",Taux_Jur,$O361))-0.005,Pas_Arrondi))</f>
        <v>0</v>
      </c>
      <c r="S361" s="22" t="n">
        <f aca="false">IF(OR($A361="",N(N361)=0),0,CEILING(N361*(1+IF($O361="",Taux_PA,$O361))-0.005,Pas_Arrondi))</f>
        <v>0</v>
      </c>
      <c r="T361" s="22" t="str">
        <f aca="false">IF($A361="","",SUM(K361:N361))</f>
        <v/>
      </c>
      <c r="U361" s="22" t="str">
        <f aca="false">IF($A361="","",SUM(P361:S361))</f>
        <v/>
      </c>
      <c r="V361" s="22" t="str">
        <f aca="false">IF($A361="","",U361-T361)</f>
        <v/>
      </c>
      <c r="W361" s="23" t="str">
        <f aca="false">IF(OR($A361="",N(T361)=0),"",V361/T361)</f>
        <v/>
      </c>
      <c r="X361" s="18"/>
      <c r="Y361" s="18"/>
      <c r="Z361" s="24" t="str">
        <f aca="false">IF(AND($A361&lt;&gt;"",$X361="Oui",OR(Filtre_Masse="Tous les clients à envoyer",$Y361&lt;&gt;"Email")),MAX(Z$1:Z360)+1,"")</f>
        <v/>
      </c>
    </row>
    <row r="362" customFormat="false" ht="15" hidden="false" customHeight="false" outlineLevel="0" collapsed="false">
      <c r="A362" s="18"/>
      <c r="B362" s="18"/>
      <c r="C362" s="18"/>
      <c r="D362" s="18"/>
      <c r="E362" s="18"/>
      <c r="F362" s="18"/>
      <c r="G362" s="18"/>
      <c r="H362" s="19"/>
      <c r="I362" s="18"/>
      <c r="J362" s="18"/>
      <c r="K362" s="20"/>
      <c r="L362" s="20"/>
      <c r="M362" s="20"/>
      <c r="N362" s="20"/>
      <c r="O362" s="21"/>
      <c r="P362" s="22" t="n">
        <f aca="false">IF(OR($A362="",N(K362)=0),0,CEILING(K362*(1+IF($O362="",Taux_Compta,$O362))-0.005,Pas_Arrondi))</f>
        <v>0</v>
      </c>
      <c r="Q362" s="22" t="n">
        <f aca="false">IF(OR($A362="",N(L362)=0),0,CEILING(L362*(1+IF($O362="",Taux_Paye,$O362))-0.005,Pas_Arrondi))</f>
        <v>0</v>
      </c>
      <c r="R362" s="22" t="n">
        <f aca="false">IF(OR($A362="",N(M362)=0),0,CEILING(M362*(1+IF($O362="",Taux_Jur,$O362))-0.005,Pas_Arrondi))</f>
        <v>0</v>
      </c>
      <c r="S362" s="22" t="n">
        <f aca="false">IF(OR($A362="",N(N362)=0),0,CEILING(N362*(1+IF($O362="",Taux_PA,$O362))-0.005,Pas_Arrondi))</f>
        <v>0</v>
      </c>
      <c r="T362" s="22" t="str">
        <f aca="false">IF($A362="","",SUM(K362:N362))</f>
        <v/>
      </c>
      <c r="U362" s="22" t="str">
        <f aca="false">IF($A362="","",SUM(P362:S362))</f>
        <v/>
      </c>
      <c r="V362" s="22" t="str">
        <f aca="false">IF($A362="","",U362-T362)</f>
        <v/>
      </c>
      <c r="W362" s="23" t="str">
        <f aca="false">IF(OR($A362="",N(T362)=0),"",V362/T362)</f>
        <v/>
      </c>
      <c r="X362" s="18"/>
      <c r="Y362" s="18"/>
      <c r="Z362" s="24" t="str">
        <f aca="false">IF(AND($A362&lt;&gt;"",$X362="Oui",OR(Filtre_Masse="Tous les clients à envoyer",$Y362&lt;&gt;"Email")),MAX(Z$1:Z361)+1,"")</f>
        <v/>
      </c>
    </row>
    <row r="363" customFormat="false" ht="15" hidden="false" customHeight="false" outlineLevel="0" collapsed="false">
      <c r="A363" s="18"/>
      <c r="B363" s="18"/>
      <c r="C363" s="18"/>
      <c r="D363" s="18"/>
      <c r="E363" s="18"/>
      <c r="F363" s="18"/>
      <c r="G363" s="18"/>
      <c r="H363" s="19"/>
      <c r="I363" s="18"/>
      <c r="J363" s="18"/>
      <c r="K363" s="20"/>
      <c r="L363" s="20"/>
      <c r="M363" s="20"/>
      <c r="N363" s="20"/>
      <c r="O363" s="21"/>
      <c r="P363" s="22" t="n">
        <f aca="false">IF(OR($A363="",N(K363)=0),0,CEILING(K363*(1+IF($O363="",Taux_Compta,$O363))-0.005,Pas_Arrondi))</f>
        <v>0</v>
      </c>
      <c r="Q363" s="22" t="n">
        <f aca="false">IF(OR($A363="",N(L363)=0),0,CEILING(L363*(1+IF($O363="",Taux_Paye,$O363))-0.005,Pas_Arrondi))</f>
        <v>0</v>
      </c>
      <c r="R363" s="22" t="n">
        <f aca="false">IF(OR($A363="",N(M363)=0),0,CEILING(M363*(1+IF($O363="",Taux_Jur,$O363))-0.005,Pas_Arrondi))</f>
        <v>0</v>
      </c>
      <c r="S363" s="22" t="n">
        <f aca="false">IF(OR($A363="",N(N363)=0),0,CEILING(N363*(1+IF($O363="",Taux_PA,$O363))-0.005,Pas_Arrondi))</f>
        <v>0</v>
      </c>
      <c r="T363" s="22" t="str">
        <f aca="false">IF($A363="","",SUM(K363:N363))</f>
        <v/>
      </c>
      <c r="U363" s="22" t="str">
        <f aca="false">IF($A363="","",SUM(P363:S363))</f>
        <v/>
      </c>
      <c r="V363" s="22" t="str">
        <f aca="false">IF($A363="","",U363-T363)</f>
        <v/>
      </c>
      <c r="W363" s="23" t="str">
        <f aca="false">IF(OR($A363="",N(T363)=0),"",V363/T363)</f>
        <v/>
      </c>
      <c r="X363" s="18"/>
      <c r="Y363" s="18"/>
      <c r="Z363" s="24" t="str">
        <f aca="false">IF(AND($A363&lt;&gt;"",$X363="Oui",OR(Filtre_Masse="Tous les clients à envoyer",$Y363&lt;&gt;"Email")),MAX(Z$1:Z362)+1,"")</f>
        <v/>
      </c>
    </row>
    <row r="364" customFormat="false" ht="15" hidden="false" customHeight="false" outlineLevel="0" collapsed="false">
      <c r="A364" s="18"/>
      <c r="B364" s="18"/>
      <c r="C364" s="18"/>
      <c r="D364" s="18"/>
      <c r="E364" s="18"/>
      <c r="F364" s="18"/>
      <c r="G364" s="18"/>
      <c r="H364" s="19"/>
      <c r="I364" s="18"/>
      <c r="J364" s="18"/>
      <c r="K364" s="20"/>
      <c r="L364" s="20"/>
      <c r="M364" s="20"/>
      <c r="N364" s="20"/>
      <c r="O364" s="21"/>
      <c r="P364" s="22" t="n">
        <f aca="false">IF(OR($A364="",N(K364)=0),0,CEILING(K364*(1+IF($O364="",Taux_Compta,$O364))-0.005,Pas_Arrondi))</f>
        <v>0</v>
      </c>
      <c r="Q364" s="22" t="n">
        <f aca="false">IF(OR($A364="",N(L364)=0),0,CEILING(L364*(1+IF($O364="",Taux_Paye,$O364))-0.005,Pas_Arrondi))</f>
        <v>0</v>
      </c>
      <c r="R364" s="22" t="n">
        <f aca="false">IF(OR($A364="",N(M364)=0),0,CEILING(M364*(1+IF($O364="",Taux_Jur,$O364))-0.005,Pas_Arrondi))</f>
        <v>0</v>
      </c>
      <c r="S364" s="22" t="n">
        <f aca="false">IF(OR($A364="",N(N364)=0),0,CEILING(N364*(1+IF($O364="",Taux_PA,$O364))-0.005,Pas_Arrondi))</f>
        <v>0</v>
      </c>
      <c r="T364" s="22" t="str">
        <f aca="false">IF($A364="","",SUM(K364:N364))</f>
        <v/>
      </c>
      <c r="U364" s="22" t="str">
        <f aca="false">IF($A364="","",SUM(P364:S364))</f>
        <v/>
      </c>
      <c r="V364" s="22" t="str">
        <f aca="false">IF($A364="","",U364-T364)</f>
        <v/>
      </c>
      <c r="W364" s="23" t="str">
        <f aca="false">IF(OR($A364="",N(T364)=0),"",V364/T364)</f>
        <v/>
      </c>
      <c r="X364" s="18"/>
      <c r="Y364" s="18"/>
      <c r="Z364" s="24" t="str">
        <f aca="false">IF(AND($A364&lt;&gt;"",$X364="Oui",OR(Filtre_Masse="Tous les clients à envoyer",$Y364&lt;&gt;"Email")),MAX(Z$1:Z363)+1,"")</f>
        <v/>
      </c>
    </row>
    <row r="365" customFormat="false" ht="15" hidden="false" customHeight="false" outlineLevel="0" collapsed="false">
      <c r="A365" s="18"/>
      <c r="B365" s="18"/>
      <c r="C365" s="18"/>
      <c r="D365" s="18"/>
      <c r="E365" s="18"/>
      <c r="F365" s="18"/>
      <c r="G365" s="18"/>
      <c r="H365" s="19"/>
      <c r="I365" s="18"/>
      <c r="J365" s="18"/>
      <c r="K365" s="20"/>
      <c r="L365" s="20"/>
      <c r="M365" s="20"/>
      <c r="N365" s="20"/>
      <c r="O365" s="21"/>
      <c r="P365" s="22" t="n">
        <f aca="false">IF(OR($A365="",N(K365)=0),0,CEILING(K365*(1+IF($O365="",Taux_Compta,$O365))-0.005,Pas_Arrondi))</f>
        <v>0</v>
      </c>
      <c r="Q365" s="22" t="n">
        <f aca="false">IF(OR($A365="",N(L365)=0),0,CEILING(L365*(1+IF($O365="",Taux_Paye,$O365))-0.005,Pas_Arrondi))</f>
        <v>0</v>
      </c>
      <c r="R365" s="22" t="n">
        <f aca="false">IF(OR($A365="",N(M365)=0),0,CEILING(M365*(1+IF($O365="",Taux_Jur,$O365))-0.005,Pas_Arrondi))</f>
        <v>0</v>
      </c>
      <c r="S365" s="22" t="n">
        <f aca="false">IF(OR($A365="",N(N365)=0),0,CEILING(N365*(1+IF($O365="",Taux_PA,$O365))-0.005,Pas_Arrondi))</f>
        <v>0</v>
      </c>
      <c r="T365" s="22" t="str">
        <f aca="false">IF($A365="","",SUM(K365:N365))</f>
        <v/>
      </c>
      <c r="U365" s="22" t="str">
        <f aca="false">IF($A365="","",SUM(P365:S365))</f>
        <v/>
      </c>
      <c r="V365" s="22" t="str">
        <f aca="false">IF($A365="","",U365-T365)</f>
        <v/>
      </c>
      <c r="W365" s="23" t="str">
        <f aca="false">IF(OR($A365="",N(T365)=0),"",V365/T365)</f>
        <v/>
      </c>
      <c r="X365" s="18"/>
      <c r="Y365" s="18"/>
      <c r="Z365" s="24" t="str">
        <f aca="false">IF(AND($A365&lt;&gt;"",$X365="Oui",OR(Filtre_Masse="Tous les clients à envoyer",$Y365&lt;&gt;"Email")),MAX(Z$1:Z364)+1,"")</f>
        <v/>
      </c>
    </row>
    <row r="366" customFormat="false" ht="15" hidden="false" customHeight="false" outlineLevel="0" collapsed="false">
      <c r="A366" s="18"/>
      <c r="B366" s="18"/>
      <c r="C366" s="18"/>
      <c r="D366" s="18"/>
      <c r="E366" s="18"/>
      <c r="F366" s="18"/>
      <c r="G366" s="18"/>
      <c r="H366" s="19"/>
      <c r="I366" s="18"/>
      <c r="J366" s="18"/>
      <c r="K366" s="20"/>
      <c r="L366" s="20"/>
      <c r="M366" s="20"/>
      <c r="N366" s="20"/>
      <c r="O366" s="21"/>
      <c r="P366" s="22" t="n">
        <f aca="false">IF(OR($A366="",N(K366)=0),0,CEILING(K366*(1+IF($O366="",Taux_Compta,$O366))-0.005,Pas_Arrondi))</f>
        <v>0</v>
      </c>
      <c r="Q366" s="22" t="n">
        <f aca="false">IF(OR($A366="",N(L366)=0),0,CEILING(L366*(1+IF($O366="",Taux_Paye,$O366))-0.005,Pas_Arrondi))</f>
        <v>0</v>
      </c>
      <c r="R366" s="22" t="n">
        <f aca="false">IF(OR($A366="",N(M366)=0),0,CEILING(M366*(1+IF($O366="",Taux_Jur,$O366))-0.005,Pas_Arrondi))</f>
        <v>0</v>
      </c>
      <c r="S366" s="22" t="n">
        <f aca="false">IF(OR($A366="",N(N366)=0),0,CEILING(N366*(1+IF($O366="",Taux_PA,$O366))-0.005,Pas_Arrondi))</f>
        <v>0</v>
      </c>
      <c r="T366" s="22" t="str">
        <f aca="false">IF($A366="","",SUM(K366:N366))</f>
        <v/>
      </c>
      <c r="U366" s="22" t="str">
        <f aca="false">IF($A366="","",SUM(P366:S366))</f>
        <v/>
      </c>
      <c r="V366" s="22" t="str">
        <f aca="false">IF($A366="","",U366-T366)</f>
        <v/>
      </c>
      <c r="W366" s="23" t="str">
        <f aca="false">IF(OR($A366="",N(T366)=0),"",V366/T366)</f>
        <v/>
      </c>
      <c r="X366" s="18"/>
      <c r="Y366" s="18"/>
      <c r="Z366" s="24" t="str">
        <f aca="false">IF(AND($A366&lt;&gt;"",$X366="Oui",OR(Filtre_Masse="Tous les clients à envoyer",$Y366&lt;&gt;"Email")),MAX(Z$1:Z365)+1,"")</f>
        <v/>
      </c>
    </row>
    <row r="367" customFormat="false" ht="15" hidden="false" customHeight="false" outlineLevel="0" collapsed="false">
      <c r="A367" s="18"/>
      <c r="B367" s="18"/>
      <c r="C367" s="18"/>
      <c r="D367" s="18"/>
      <c r="E367" s="18"/>
      <c r="F367" s="18"/>
      <c r="G367" s="18"/>
      <c r="H367" s="19"/>
      <c r="I367" s="18"/>
      <c r="J367" s="18"/>
      <c r="K367" s="20"/>
      <c r="L367" s="20"/>
      <c r="M367" s="20"/>
      <c r="N367" s="20"/>
      <c r="O367" s="21"/>
      <c r="P367" s="22" t="n">
        <f aca="false">IF(OR($A367="",N(K367)=0),0,CEILING(K367*(1+IF($O367="",Taux_Compta,$O367))-0.005,Pas_Arrondi))</f>
        <v>0</v>
      </c>
      <c r="Q367" s="22" t="n">
        <f aca="false">IF(OR($A367="",N(L367)=0),0,CEILING(L367*(1+IF($O367="",Taux_Paye,$O367))-0.005,Pas_Arrondi))</f>
        <v>0</v>
      </c>
      <c r="R367" s="22" t="n">
        <f aca="false">IF(OR($A367="",N(M367)=0),0,CEILING(M367*(1+IF($O367="",Taux_Jur,$O367))-0.005,Pas_Arrondi))</f>
        <v>0</v>
      </c>
      <c r="S367" s="22" t="n">
        <f aca="false">IF(OR($A367="",N(N367)=0),0,CEILING(N367*(1+IF($O367="",Taux_PA,$O367))-0.005,Pas_Arrondi))</f>
        <v>0</v>
      </c>
      <c r="T367" s="22" t="str">
        <f aca="false">IF($A367="","",SUM(K367:N367))</f>
        <v/>
      </c>
      <c r="U367" s="22" t="str">
        <f aca="false">IF($A367="","",SUM(P367:S367))</f>
        <v/>
      </c>
      <c r="V367" s="22" t="str">
        <f aca="false">IF($A367="","",U367-T367)</f>
        <v/>
      </c>
      <c r="W367" s="23" t="str">
        <f aca="false">IF(OR($A367="",N(T367)=0),"",V367/T367)</f>
        <v/>
      </c>
      <c r="X367" s="18"/>
      <c r="Y367" s="18"/>
      <c r="Z367" s="24" t="str">
        <f aca="false">IF(AND($A367&lt;&gt;"",$X367="Oui",OR(Filtre_Masse="Tous les clients à envoyer",$Y367&lt;&gt;"Email")),MAX(Z$1:Z366)+1,"")</f>
        <v/>
      </c>
    </row>
    <row r="368" customFormat="false" ht="15" hidden="false" customHeight="false" outlineLevel="0" collapsed="false">
      <c r="A368" s="18"/>
      <c r="B368" s="18"/>
      <c r="C368" s="18"/>
      <c r="D368" s="18"/>
      <c r="E368" s="18"/>
      <c r="F368" s="18"/>
      <c r="G368" s="18"/>
      <c r="H368" s="19"/>
      <c r="I368" s="18"/>
      <c r="J368" s="18"/>
      <c r="K368" s="20"/>
      <c r="L368" s="20"/>
      <c r="M368" s="20"/>
      <c r="N368" s="20"/>
      <c r="O368" s="21"/>
      <c r="P368" s="22" t="n">
        <f aca="false">IF(OR($A368="",N(K368)=0),0,CEILING(K368*(1+IF($O368="",Taux_Compta,$O368))-0.005,Pas_Arrondi))</f>
        <v>0</v>
      </c>
      <c r="Q368" s="22" t="n">
        <f aca="false">IF(OR($A368="",N(L368)=0),0,CEILING(L368*(1+IF($O368="",Taux_Paye,$O368))-0.005,Pas_Arrondi))</f>
        <v>0</v>
      </c>
      <c r="R368" s="22" t="n">
        <f aca="false">IF(OR($A368="",N(M368)=0),0,CEILING(M368*(1+IF($O368="",Taux_Jur,$O368))-0.005,Pas_Arrondi))</f>
        <v>0</v>
      </c>
      <c r="S368" s="22" t="n">
        <f aca="false">IF(OR($A368="",N(N368)=0),0,CEILING(N368*(1+IF($O368="",Taux_PA,$O368))-0.005,Pas_Arrondi))</f>
        <v>0</v>
      </c>
      <c r="T368" s="22" t="str">
        <f aca="false">IF($A368="","",SUM(K368:N368))</f>
        <v/>
      </c>
      <c r="U368" s="22" t="str">
        <f aca="false">IF($A368="","",SUM(P368:S368))</f>
        <v/>
      </c>
      <c r="V368" s="22" t="str">
        <f aca="false">IF($A368="","",U368-T368)</f>
        <v/>
      </c>
      <c r="W368" s="23" t="str">
        <f aca="false">IF(OR($A368="",N(T368)=0),"",V368/T368)</f>
        <v/>
      </c>
      <c r="X368" s="18"/>
      <c r="Y368" s="18"/>
      <c r="Z368" s="24" t="str">
        <f aca="false">IF(AND($A368&lt;&gt;"",$X368="Oui",OR(Filtre_Masse="Tous les clients à envoyer",$Y368&lt;&gt;"Email")),MAX(Z$1:Z367)+1,"")</f>
        <v/>
      </c>
    </row>
    <row r="369" customFormat="false" ht="15" hidden="false" customHeight="false" outlineLevel="0" collapsed="false">
      <c r="A369" s="18"/>
      <c r="B369" s="18"/>
      <c r="C369" s="18"/>
      <c r="D369" s="18"/>
      <c r="E369" s="18"/>
      <c r="F369" s="18"/>
      <c r="G369" s="18"/>
      <c r="H369" s="19"/>
      <c r="I369" s="18"/>
      <c r="J369" s="18"/>
      <c r="K369" s="20"/>
      <c r="L369" s="20"/>
      <c r="M369" s="20"/>
      <c r="N369" s="20"/>
      <c r="O369" s="21"/>
      <c r="P369" s="22" t="n">
        <f aca="false">IF(OR($A369="",N(K369)=0),0,CEILING(K369*(1+IF($O369="",Taux_Compta,$O369))-0.005,Pas_Arrondi))</f>
        <v>0</v>
      </c>
      <c r="Q369" s="22" t="n">
        <f aca="false">IF(OR($A369="",N(L369)=0),0,CEILING(L369*(1+IF($O369="",Taux_Paye,$O369))-0.005,Pas_Arrondi))</f>
        <v>0</v>
      </c>
      <c r="R369" s="22" t="n">
        <f aca="false">IF(OR($A369="",N(M369)=0),0,CEILING(M369*(1+IF($O369="",Taux_Jur,$O369))-0.005,Pas_Arrondi))</f>
        <v>0</v>
      </c>
      <c r="S369" s="22" t="n">
        <f aca="false">IF(OR($A369="",N(N369)=0),0,CEILING(N369*(1+IF($O369="",Taux_PA,$O369))-0.005,Pas_Arrondi))</f>
        <v>0</v>
      </c>
      <c r="T369" s="22" t="str">
        <f aca="false">IF($A369="","",SUM(K369:N369))</f>
        <v/>
      </c>
      <c r="U369" s="22" t="str">
        <f aca="false">IF($A369="","",SUM(P369:S369))</f>
        <v/>
      </c>
      <c r="V369" s="22" t="str">
        <f aca="false">IF($A369="","",U369-T369)</f>
        <v/>
      </c>
      <c r="W369" s="23" t="str">
        <f aca="false">IF(OR($A369="",N(T369)=0),"",V369/T369)</f>
        <v/>
      </c>
      <c r="X369" s="18"/>
      <c r="Y369" s="18"/>
      <c r="Z369" s="24" t="str">
        <f aca="false">IF(AND($A369&lt;&gt;"",$X369="Oui",OR(Filtre_Masse="Tous les clients à envoyer",$Y369&lt;&gt;"Email")),MAX(Z$1:Z368)+1,"")</f>
        <v/>
      </c>
    </row>
    <row r="370" customFormat="false" ht="15" hidden="false" customHeight="false" outlineLevel="0" collapsed="false">
      <c r="A370" s="18"/>
      <c r="B370" s="18"/>
      <c r="C370" s="18"/>
      <c r="D370" s="18"/>
      <c r="E370" s="18"/>
      <c r="F370" s="18"/>
      <c r="G370" s="18"/>
      <c r="H370" s="19"/>
      <c r="I370" s="18"/>
      <c r="J370" s="18"/>
      <c r="K370" s="20"/>
      <c r="L370" s="20"/>
      <c r="M370" s="20"/>
      <c r="N370" s="20"/>
      <c r="O370" s="21"/>
      <c r="P370" s="22" t="n">
        <f aca="false">IF(OR($A370="",N(K370)=0),0,CEILING(K370*(1+IF($O370="",Taux_Compta,$O370))-0.005,Pas_Arrondi))</f>
        <v>0</v>
      </c>
      <c r="Q370" s="22" t="n">
        <f aca="false">IF(OR($A370="",N(L370)=0),0,CEILING(L370*(1+IF($O370="",Taux_Paye,$O370))-0.005,Pas_Arrondi))</f>
        <v>0</v>
      </c>
      <c r="R370" s="22" t="n">
        <f aca="false">IF(OR($A370="",N(M370)=0),0,CEILING(M370*(1+IF($O370="",Taux_Jur,$O370))-0.005,Pas_Arrondi))</f>
        <v>0</v>
      </c>
      <c r="S370" s="22" t="n">
        <f aca="false">IF(OR($A370="",N(N370)=0),0,CEILING(N370*(1+IF($O370="",Taux_PA,$O370))-0.005,Pas_Arrondi))</f>
        <v>0</v>
      </c>
      <c r="T370" s="22" t="str">
        <f aca="false">IF($A370="","",SUM(K370:N370))</f>
        <v/>
      </c>
      <c r="U370" s="22" t="str">
        <f aca="false">IF($A370="","",SUM(P370:S370))</f>
        <v/>
      </c>
      <c r="V370" s="22" t="str">
        <f aca="false">IF($A370="","",U370-T370)</f>
        <v/>
      </c>
      <c r="W370" s="23" t="str">
        <f aca="false">IF(OR($A370="",N(T370)=0),"",V370/T370)</f>
        <v/>
      </c>
      <c r="X370" s="18"/>
      <c r="Y370" s="18"/>
      <c r="Z370" s="24" t="str">
        <f aca="false">IF(AND($A370&lt;&gt;"",$X370="Oui",OR(Filtre_Masse="Tous les clients à envoyer",$Y370&lt;&gt;"Email")),MAX(Z$1:Z369)+1,"")</f>
        <v/>
      </c>
    </row>
    <row r="371" customFormat="false" ht="15" hidden="false" customHeight="false" outlineLevel="0" collapsed="false">
      <c r="A371" s="18"/>
      <c r="B371" s="18"/>
      <c r="C371" s="18"/>
      <c r="D371" s="18"/>
      <c r="E371" s="18"/>
      <c r="F371" s="18"/>
      <c r="G371" s="18"/>
      <c r="H371" s="19"/>
      <c r="I371" s="18"/>
      <c r="J371" s="18"/>
      <c r="K371" s="20"/>
      <c r="L371" s="20"/>
      <c r="M371" s="20"/>
      <c r="N371" s="20"/>
      <c r="O371" s="21"/>
      <c r="P371" s="22" t="n">
        <f aca="false">IF(OR($A371="",N(K371)=0),0,CEILING(K371*(1+IF($O371="",Taux_Compta,$O371))-0.005,Pas_Arrondi))</f>
        <v>0</v>
      </c>
      <c r="Q371" s="22" t="n">
        <f aca="false">IF(OR($A371="",N(L371)=0),0,CEILING(L371*(1+IF($O371="",Taux_Paye,$O371))-0.005,Pas_Arrondi))</f>
        <v>0</v>
      </c>
      <c r="R371" s="22" t="n">
        <f aca="false">IF(OR($A371="",N(M371)=0),0,CEILING(M371*(1+IF($O371="",Taux_Jur,$O371))-0.005,Pas_Arrondi))</f>
        <v>0</v>
      </c>
      <c r="S371" s="22" t="n">
        <f aca="false">IF(OR($A371="",N(N371)=0),0,CEILING(N371*(1+IF($O371="",Taux_PA,$O371))-0.005,Pas_Arrondi))</f>
        <v>0</v>
      </c>
      <c r="T371" s="22" t="str">
        <f aca="false">IF($A371="","",SUM(K371:N371))</f>
        <v/>
      </c>
      <c r="U371" s="22" t="str">
        <f aca="false">IF($A371="","",SUM(P371:S371))</f>
        <v/>
      </c>
      <c r="V371" s="22" t="str">
        <f aca="false">IF($A371="","",U371-T371)</f>
        <v/>
      </c>
      <c r="W371" s="23" t="str">
        <f aca="false">IF(OR($A371="",N(T371)=0),"",V371/T371)</f>
        <v/>
      </c>
      <c r="X371" s="18"/>
      <c r="Y371" s="18"/>
      <c r="Z371" s="24" t="str">
        <f aca="false">IF(AND($A371&lt;&gt;"",$X371="Oui",OR(Filtre_Masse="Tous les clients à envoyer",$Y371&lt;&gt;"Email")),MAX(Z$1:Z370)+1,"")</f>
        <v/>
      </c>
    </row>
    <row r="372" customFormat="false" ht="15" hidden="false" customHeight="false" outlineLevel="0" collapsed="false">
      <c r="A372" s="18"/>
      <c r="B372" s="18"/>
      <c r="C372" s="18"/>
      <c r="D372" s="18"/>
      <c r="E372" s="18"/>
      <c r="F372" s="18"/>
      <c r="G372" s="18"/>
      <c r="H372" s="19"/>
      <c r="I372" s="18"/>
      <c r="J372" s="18"/>
      <c r="K372" s="20"/>
      <c r="L372" s="20"/>
      <c r="M372" s="20"/>
      <c r="N372" s="20"/>
      <c r="O372" s="21"/>
      <c r="P372" s="22" t="n">
        <f aca="false">IF(OR($A372="",N(K372)=0),0,CEILING(K372*(1+IF($O372="",Taux_Compta,$O372))-0.005,Pas_Arrondi))</f>
        <v>0</v>
      </c>
      <c r="Q372" s="22" t="n">
        <f aca="false">IF(OR($A372="",N(L372)=0),0,CEILING(L372*(1+IF($O372="",Taux_Paye,$O372))-0.005,Pas_Arrondi))</f>
        <v>0</v>
      </c>
      <c r="R372" s="22" t="n">
        <f aca="false">IF(OR($A372="",N(M372)=0),0,CEILING(M372*(1+IF($O372="",Taux_Jur,$O372))-0.005,Pas_Arrondi))</f>
        <v>0</v>
      </c>
      <c r="S372" s="22" t="n">
        <f aca="false">IF(OR($A372="",N(N372)=0),0,CEILING(N372*(1+IF($O372="",Taux_PA,$O372))-0.005,Pas_Arrondi))</f>
        <v>0</v>
      </c>
      <c r="T372" s="22" t="str">
        <f aca="false">IF($A372="","",SUM(K372:N372))</f>
        <v/>
      </c>
      <c r="U372" s="22" t="str">
        <f aca="false">IF($A372="","",SUM(P372:S372))</f>
        <v/>
      </c>
      <c r="V372" s="22" t="str">
        <f aca="false">IF($A372="","",U372-T372)</f>
        <v/>
      </c>
      <c r="W372" s="23" t="str">
        <f aca="false">IF(OR($A372="",N(T372)=0),"",V372/T372)</f>
        <v/>
      </c>
      <c r="X372" s="18"/>
      <c r="Y372" s="18"/>
      <c r="Z372" s="24" t="str">
        <f aca="false">IF(AND($A372&lt;&gt;"",$X372="Oui",OR(Filtre_Masse="Tous les clients à envoyer",$Y372&lt;&gt;"Email")),MAX(Z$1:Z371)+1,"")</f>
        <v/>
      </c>
    </row>
    <row r="373" customFormat="false" ht="15" hidden="false" customHeight="false" outlineLevel="0" collapsed="false">
      <c r="A373" s="18"/>
      <c r="B373" s="18"/>
      <c r="C373" s="18"/>
      <c r="D373" s="18"/>
      <c r="E373" s="18"/>
      <c r="F373" s="18"/>
      <c r="G373" s="18"/>
      <c r="H373" s="19"/>
      <c r="I373" s="18"/>
      <c r="J373" s="18"/>
      <c r="K373" s="20"/>
      <c r="L373" s="20"/>
      <c r="M373" s="20"/>
      <c r="N373" s="20"/>
      <c r="O373" s="21"/>
      <c r="P373" s="22" t="n">
        <f aca="false">IF(OR($A373="",N(K373)=0),0,CEILING(K373*(1+IF($O373="",Taux_Compta,$O373))-0.005,Pas_Arrondi))</f>
        <v>0</v>
      </c>
      <c r="Q373" s="22" t="n">
        <f aca="false">IF(OR($A373="",N(L373)=0),0,CEILING(L373*(1+IF($O373="",Taux_Paye,$O373))-0.005,Pas_Arrondi))</f>
        <v>0</v>
      </c>
      <c r="R373" s="22" t="n">
        <f aca="false">IF(OR($A373="",N(M373)=0),0,CEILING(M373*(1+IF($O373="",Taux_Jur,$O373))-0.005,Pas_Arrondi))</f>
        <v>0</v>
      </c>
      <c r="S373" s="22" t="n">
        <f aca="false">IF(OR($A373="",N(N373)=0),0,CEILING(N373*(1+IF($O373="",Taux_PA,$O373))-0.005,Pas_Arrondi))</f>
        <v>0</v>
      </c>
      <c r="T373" s="22" t="str">
        <f aca="false">IF($A373="","",SUM(K373:N373))</f>
        <v/>
      </c>
      <c r="U373" s="22" t="str">
        <f aca="false">IF($A373="","",SUM(P373:S373))</f>
        <v/>
      </c>
      <c r="V373" s="22" t="str">
        <f aca="false">IF($A373="","",U373-T373)</f>
        <v/>
      </c>
      <c r="W373" s="23" t="str">
        <f aca="false">IF(OR($A373="",N(T373)=0),"",V373/T373)</f>
        <v/>
      </c>
      <c r="X373" s="18"/>
      <c r="Y373" s="18"/>
      <c r="Z373" s="24" t="str">
        <f aca="false">IF(AND($A373&lt;&gt;"",$X373="Oui",OR(Filtre_Masse="Tous les clients à envoyer",$Y373&lt;&gt;"Email")),MAX(Z$1:Z372)+1,"")</f>
        <v/>
      </c>
    </row>
    <row r="374" customFormat="false" ht="15" hidden="false" customHeight="false" outlineLevel="0" collapsed="false">
      <c r="A374" s="18"/>
      <c r="B374" s="18"/>
      <c r="C374" s="18"/>
      <c r="D374" s="18"/>
      <c r="E374" s="18"/>
      <c r="F374" s="18"/>
      <c r="G374" s="18"/>
      <c r="H374" s="19"/>
      <c r="I374" s="18"/>
      <c r="J374" s="18"/>
      <c r="K374" s="20"/>
      <c r="L374" s="20"/>
      <c r="M374" s="20"/>
      <c r="N374" s="20"/>
      <c r="O374" s="21"/>
      <c r="P374" s="22" t="n">
        <f aca="false">IF(OR($A374="",N(K374)=0),0,CEILING(K374*(1+IF($O374="",Taux_Compta,$O374))-0.005,Pas_Arrondi))</f>
        <v>0</v>
      </c>
      <c r="Q374" s="22" t="n">
        <f aca="false">IF(OR($A374="",N(L374)=0),0,CEILING(L374*(1+IF($O374="",Taux_Paye,$O374))-0.005,Pas_Arrondi))</f>
        <v>0</v>
      </c>
      <c r="R374" s="22" t="n">
        <f aca="false">IF(OR($A374="",N(M374)=0),0,CEILING(M374*(1+IF($O374="",Taux_Jur,$O374))-0.005,Pas_Arrondi))</f>
        <v>0</v>
      </c>
      <c r="S374" s="22" t="n">
        <f aca="false">IF(OR($A374="",N(N374)=0),0,CEILING(N374*(1+IF($O374="",Taux_PA,$O374))-0.005,Pas_Arrondi))</f>
        <v>0</v>
      </c>
      <c r="T374" s="22" t="str">
        <f aca="false">IF($A374="","",SUM(K374:N374))</f>
        <v/>
      </c>
      <c r="U374" s="22" t="str">
        <f aca="false">IF($A374="","",SUM(P374:S374))</f>
        <v/>
      </c>
      <c r="V374" s="22" t="str">
        <f aca="false">IF($A374="","",U374-T374)</f>
        <v/>
      </c>
      <c r="W374" s="23" t="str">
        <f aca="false">IF(OR($A374="",N(T374)=0),"",V374/T374)</f>
        <v/>
      </c>
      <c r="X374" s="18"/>
      <c r="Y374" s="18"/>
      <c r="Z374" s="24" t="str">
        <f aca="false">IF(AND($A374&lt;&gt;"",$X374="Oui",OR(Filtre_Masse="Tous les clients à envoyer",$Y374&lt;&gt;"Email")),MAX(Z$1:Z373)+1,"")</f>
        <v/>
      </c>
    </row>
    <row r="375" customFormat="false" ht="15" hidden="false" customHeight="false" outlineLevel="0" collapsed="false">
      <c r="A375" s="18"/>
      <c r="B375" s="18"/>
      <c r="C375" s="18"/>
      <c r="D375" s="18"/>
      <c r="E375" s="18"/>
      <c r="F375" s="18"/>
      <c r="G375" s="18"/>
      <c r="H375" s="19"/>
      <c r="I375" s="18"/>
      <c r="J375" s="18"/>
      <c r="K375" s="20"/>
      <c r="L375" s="20"/>
      <c r="M375" s="20"/>
      <c r="N375" s="20"/>
      <c r="O375" s="21"/>
      <c r="P375" s="22" t="n">
        <f aca="false">IF(OR($A375="",N(K375)=0),0,CEILING(K375*(1+IF($O375="",Taux_Compta,$O375))-0.005,Pas_Arrondi))</f>
        <v>0</v>
      </c>
      <c r="Q375" s="22" t="n">
        <f aca="false">IF(OR($A375="",N(L375)=0),0,CEILING(L375*(1+IF($O375="",Taux_Paye,$O375))-0.005,Pas_Arrondi))</f>
        <v>0</v>
      </c>
      <c r="R375" s="22" t="n">
        <f aca="false">IF(OR($A375="",N(M375)=0),0,CEILING(M375*(1+IF($O375="",Taux_Jur,$O375))-0.005,Pas_Arrondi))</f>
        <v>0</v>
      </c>
      <c r="S375" s="22" t="n">
        <f aca="false">IF(OR($A375="",N(N375)=0),0,CEILING(N375*(1+IF($O375="",Taux_PA,$O375))-0.005,Pas_Arrondi))</f>
        <v>0</v>
      </c>
      <c r="T375" s="22" t="str">
        <f aca="false">IF($A375="","",SUM(K375:N375))</f>
        <v/>
      </c>
      <c r="U375" s="22" t="str">
        <f aca="false">IF($A375="","",SUM(P375:S375))</f>
        <v/>
      </c>
      <c r="V375" s="22" t="str">
        <f aca="false">IF($A375="","",U375-T375)</f>
        <v/>
      </c>
      <c r="W375" s="23" t="str">
        <f aca="false">IF(OR($A375="",N(T375)=0),"",V375/T375)</f>
        <v/>
      </c>
      <c r="X375" s="18"/>
      <c r="Y375" s="18"/>
      <c r="Z375" s="24" t="str">
        <f aca="false">IF(AND($A375&lt;&gt;"",$X375="Oui",OR(Filtre_Masse="Tous les clients à envoyer",$Y375&lt;&gt;"Email")),MAX(Z$1:Z374)+1,"")</f>
        <v/>
      </c>
    </row>
    <row r="376" customFormat="false" ht="15" hidden="false" customHeight="false" outlineLevel="0" collapsed="false">
      <c r="A376" s="18"/>
      <c r="B376" s="18"/>
      <c r="C376" s="18"/>
      <c r="D376" s="18"/>
      <c r="E376" s="18"/>
      <c r="F376" s="18"/>
      <c r="G376" s="18"/>
      <c r="H376" s="19"/>
      <c r="I376" s="18"/>
      <c r="J376" s="18"/>
      <c r="K376" s="20"/>
      <c r="L376" s="20"/>
      <c r="M376" s="20"/>
      <c r="N376" s="20"/>
      <c r="O376" s="21"/>
      <c r="P376" s="22" t="n">
        <f aca="false">IF(OR($A376="",N(K376)=0),0,CEILING(K376*(1+IF($O376="",Taux_Compta,$O376))-0.005,Pas_Arrondi))</f>
        <v>0</v>
      </c>
      <c r="Q376" s="22" t="n">
        <f aca="false">IF(OR($A376="",N(L376)=0),0,CEILING(L376*(1+IF($O376="",Taux_Paye,$O376))-0.005,Pas_Arrondi))</f>
        <v>0</v>
      </c>
      <c r="R376" s="22" t="n">
        <f aca="false">IF(OR($A376="",N(M376)=0),0,CEILING(M376*(1+IF($O376="",Taux_Jur,$O376))-0.005,Pas_Arrondi))</f>
        <v>0</v>
      </c>
      <c r="S376" s="22" t="n">
        <f aca="false">IF(OR($A376="",N(N376)=0),0,CEILING(N376*(1+IF($O376="",Taux_PA,$O376))-0.005,Pas_Arrondi))</f>
        <v>0</v>
      </c>
      <c r="T376" s="22" t="str">
        <f aca="false">IF($A376="","",SUM(K376:N376))</f>
        <v/>
      </c>
      <c r="U376" s="22" t="str">
        <f aca="false">IF($A376="","",SUM(P376:S376))</f>
        <v/>
      </c>
      <c r="V376" s="22" t="str">
        <f aca="false">IF($A376="","",U376-T376)</f>
        <v/>
      </c>
      <c r="W376" s="23" t="str">
        <f aca="false">IF(OR($A376="",N(T376)=0),"",V376/T376)</f>
        <v/>
      </c>
      <c r="X376" s="18"/>
      <c r="Y376" s="18"/>
      <c r="Z376" s="24" t="str">
        <f aca="false">IF(AND($A376&lt;&gt;"",$X376="Oui",OR(Filtre_Masse="Tous les clients à envoyer",$Y376&lt;&gt;"Email")),MAX(Z$1:Z375)+1,"")</f>
        <v/>
      </c>
    </row>
    <row r="377" customFormat="false" ht="15" hidden="false" customHeight="false" outlineLevel="0" collapsed="false">
      <c r="A377" s="18"/>
      <c r="B377" s="18"/>
      <c r="C377" s="18"/>
      <c r="D377" s="18"/>
      <c r="E377" s="18"/>
      <c r="F377" s="18"/>
      <c r="G377" s="18"/>
      <c r="H377" s="19"/>
      <c r="I377" s="18"/>
      <c r="J377" s="18"/>
      <c r="K377" s="20"/>
      <c r="L377" s="20"/>
      <c r="M377" s="20"/>
      <c r="N377" s="20"/>
      <c r="O377" s="21"/>
      <c r="P377" s="22" t="n">
        <f aca="false">IF(OR($A377="",N(K377)=0),0,CEILING(K377*(1+IF($O377="",Taux_Compta,$O377))-0.005,Pas_Arrondi))</f>
        <v>0</v>
      </c>
      <c r="Q377" s="22" t="n">
        <f aca="false">IF(OR($A377="",N(L377)=0),0,CEILING(L377*(1+IF($O377="",Taux_Paye,$O377))-0.005,Pas_Arrondi))</f>
        <v>0</v>
      </c>
      <c r="R377" s="22" t="n">
        <f aca="false">IF(OR($A377="",N(M377)=0),0,CEILING(M377*(1+IF($O377="",Taux_Jur,$O377))-0.005,Pas_Arrondi))</f>
        <v>0</v>
      </c>
      <c r="S377" s="22" t="n">
        <f aca="false">IF(OR($A377="",N(N377)=0),0,CEILING(N377*(1+IF($O377="",Taux_PA,$O377))-0.005,Pas_Arrondi))</f>
        <v>0</v>
      </c>
      <c r="T377" s="22" t="str">
        <f aca="false">IF($A377="","",SUM(K377:N377))</f>
        <v/>
      </c>
      <c r="U377" s="22" t="str">
        <f aca="false">IF($A377="","",SUM(P377:S377))</f>
        <v/>
      </c>
      <c r="V377" s="22" t="str">
        <f aca="false">IF($A377="","",U377-T377)</f>
        <v/>
      </c>
      <c r="W377" s="23" t="str">
        <f aca="false">IF(OR($A377="",N(T377)=0),"",V377/T377)</f>
        <v/>
      </c>
      <c r="X377" s="18"/>
      <c r="Y377" s="18"/>
      <c r="Z377" s="24" t="str">
        <f aca="false">IF(AND($A377&lt;&gt;"",$X377="Oui",OR(Filtre_Masse="Tous les clients à envoyer",$Y377&lt;&gt;"Email")),MAX(Z$1:Z376)+1,"")</f>
        <v/>
      </c>
    </row>
    <row r="378" customFormat="false" ht="15" hidden="false" customHeight="false" outlineLevel="0" collapsed="false">
      <c r="A378" s="18"/>
      <c r="B378" s="18"/>
      <c r="C378" s="18"/>
      <c r="D378" s="18"/>
      <c r="E378" s="18"/>
      <c r="F378" s="18"/>
      <c r="G378" s="18"/>
      <c r="H378" s="19"/>
      <c r="I378" s="18"/>
      <c r="J378" s="18"/>
      <c r="K378" s="20"/>
      <c r="L378" s="20"/>
      <c r="M378" s="20"/>
      <c r="N378" s="20"/>
      <c r="O378" s="21"/>
      <c r="P378" s="22" t="n">
        <f aca="false">IF(OR($A378="",N(K378)=0),0,CEILING(K378*(1+IF($O378="",Taux_Compta,$O378))-0.005,Pas_Arrondi))</f>
        <v>0</v>
      </c>
      <c r="Q378" s="22" t="n">
        <f aca="false">IF(OR($A378="",N(L378)=0),0,CEILING(L378*(1+IF($O378="",Taux_Paye,$O378))-0.005,Pas_Arrondi))</f>
        <v>0</v>
      </c>
      <c r="R378" s="22" t="n">
        <f aca="false">IF(OR($A378="",N(M378)=0),0,CEILING(M378*(1+IF($O378="",Taux_Jur,$O378))-0.005,Pas_Arrondi))</f>
        <v>0</v>
      </c>
      <c r="S378" s="22" t="n">
        <f aca="false">IF(OR($A378="",N(N378)=0),0,CEILING(N378*(1+IF($O378="",Taux_PA,$O378))-0.005,Pas_Arrondi))</f>
        <v>0</v>
      </c>
      <c r="T378" s="22" t="str">
        <f aca="false">IF($A378="","",SUM(K378:N378))</f>
        <v/>
      </c>
      <c r="U378" s="22" t="str">
        <f aca="false">IF($A378="","",SUM(P378:S378))</f>
        <v/>
      </c>
      <c r="V378" s="22" t="str">
        <f aca="false">IF($A378="","",U378-T378)</f>
        <v/>
      </c>
      <c r="W378" s="23" t="str">
        <f aca="false">IF(OR($A378="",N(T378)=0),"",V378/T378)</f>
        <v/>
      </c>
      <c r="X378" s="18"/>
      <c r="Y378" s="18"/>
      <c r="Z378" s="24" t="str">
        <f aca="false">IF(AND($A378&lt;&gt;"",$X378="Oui",OR(Filtre_Masse="Tous les clients à envoyer",$Y378&lt;&gt;"Email")),MAX(Z$1:Z377)+1,"")</f>
        <v/>
      </c>
    </row>
    <row r="379" customFormat="false" ht="15" hidden="false" customHeight="false" outlineLevel="0" collapsed="false">
      <c r="A379" s="18"/>
      <c r="B379" s="18"/>
      <c r="C379" s="18"/>
      <c r="D379" s="18"/>
      <c r="E379" s="18"/>
      <c r="F379" s="18"/>
      <c r="G379" s="18"/>
      <c r="H379" s="19"/>
      <c r="I379" s="18"/>
      <c r="J379" s="18"/>
      <c r="K379" s="20"/>
      <c r="L379" s="20"/>
      <c r="M379" s="20"/>
      <c r="N379" s="20"/>
      <c r="O379" s="21"/>
      <c r="P379" s="22" t="n">
        <f aca="false">IF(OR($A379="",N(K379)=0),0,CEILING(K379*(1+IF($O379="",Taux_Compta,$O379))-0.005,Pas_Arrondi))</f>
        <v>0</v>
      </c>
      <c r="Q379" s="22" t="n">
        <f aca="false">IF(OR($A379="",N(L379)=0),0,CEILING(L379*(1+IF($O379="",Taux_Paye,$O379))-0.005,Pas_Arrondi))</f>
        <v>0</v>
      </c>
      <c r="R379" s="22" t="n">
        <f aca="false">IF(OR($A379="",N(M379)=0),0,CEILING(M379*(1+IF($O379="",Taux_Jur,$O379))-0.005,Pas_Arrondi))</f>
        <v>0</v>
      </c>
      <c r="S379" s="22" t="n">
        <f aca="false">IF(OR($A379="",N(N379)=0),0,CEILING(N379*(1+IF($O379="",Taux_PA,$O379))-0.005,Pas_Arrondi))</f>
        <v>0</v>
      </c>
      <c r="T379" s="22" t="str">
        <f aca="false">IF($A379="","",SUM(K379:N379))</f>
        <v/>
      </c>
      <c r="U379" s="22" t="str">
        <f aca="false">IF($A379="","",SUM(P379:S379))</f>
        <v/>
      </c>
      <c r="V379" s="22" t="str">
        <f aca="false">IF($A379="","",U379-T379)</f>
        <v/>
      </c>
      <c r="W379" s="23" t="str">
        <f aca="false">IF(OR($A379="",N(T379)=0),"",V379/T379)</f>
        <v/>
      </c>
      <c r="X379" s="18"/>
      <c r="Y379" s="18"/>
      <c r="Z379" s="24" t="str">
        <f aca="false">IF(AND($A379&lt;&gt;"",$X379="Oui",OR(Filtre_Masse="Tous les clients à envoyer",$Y379&lt;&gt;"Email")),MAX(Z$1:Z378)+1,"")</f>
        <v/>
      </c>
    </row>
    <row r="380" customFormat="false" ht="15" hidden="false" customHeight="false" outlineLevel="0" collapsed="false">
      <c r="A380" s="18"/>
      <c r="B380" s="18"/>
      <c r="C380" s="18"/>
      <c r="D380" s="18"/>
      <c r="E380" s="18"/>
      <c r="F380" s="18"/>
      <c r="G380" s="18"/>
      <c r="H380" s="19"/>
      <c r="I380" s="18"/>
      <c r="J380" s="18"/>
      <c r="K380" s="20"/>
      <c r="L380" s="20"/>
      <c r="M380" s="20"/>
      <c r="N380" s="20"/>
      <c r="O380" s="21"/>
      <c r="P380" s="22" t="n">
        <f aca="false">IF(OR($A380="",N(K380)=0),0,CEILING(K380*(1+IF($O380="",Taux_Compta,$O380))-0.005,Pas_Arrondi))</f>
        <v>0</v>
      </c>
      <c r="Q380" s="22" t="n">
        <f aca="false">IF(OR($A380="",N(L380)=0),0,CEILING(L380*(1+IF($O380="",Taux_Paye,$O380))-0.005,Pas_Arrondi))</f>
        <v>0</v>
      </c>
      <c r="R380" s="22" t="n">
        <f aca="false">IF(OR($A380="",N(M380)=0),0,CEILING(M380*(1+IF($O380="",Taux_Jur,$O380))-0.005,Pas_Arrondi))</f>
        <v>0</v>
      </c>
      <c r="S380" s="22" t="n">
        <f aca="false">IF(OR($A380="",N(N380)=0),0,CEILING(N380*(1+IF($O380="",Taux_PA,$O380))-0.005,Pas_Arrondi))</f>
        <v>0</v>
      </c>
      <c r="T380" s="22" t="str">
        <f aca="false">IF($A380="","",SUM(K380:N380))</f>
        <v/>
      </c>
      <c r="U380" s="22" t="str">
        <f aca="false">IF($A380="","",SUM(P380:S380))</f>
        <v/>
      </c>
      <c r="V380" s="22" t="str">
        <f aca="false">IF($A380="","",U380-T380)</f>
        <v/>
      </c>
      <c r="W380" s="23" t="str">
        <f aca="false">IF(OR($A380="",N(T380)=0),"",V380/T380)</f>
        <v/>
      </c>
      <c r="X380" s="18"/>
      <c r="Y380" s="18"/>
      <c r="Z380" s="24" t="str">
        <f aca="false">IF(AND($A380&lt;&gt;"",$X380="Oui",OR(Filtre_Masse="Tous les clients à envoyer",$Y380&lt;&gt;"Email")),MAX(Z$1:Z379)+1,"")</f>
        <v/>
      </c>
    </row>
    <row r="381" customFormat="false" ht="15" hidden="false" customHeight="false" outlineLevel="0" collapsed="false">
      <c r="A381" s="18"/>
      <c r="B381" s="18"/>
      <c r="C381" s="18"/>
      <c r="D381" s="18"/>
      <c r="E381" s="18"/>
      <c r="F381" s="18"/>
      <c r="G381" s="18"/>
      <c r="H381" s="19"/>
      <c r="I381" s="18"/>
      <c r="J381" s="18"/>
      <c r="K381" s="20"/>
      <c r="L381" s="20"/>
      <c r="M381" s="20"/>
      <c r="N381" s="20"/>
      <c r="O381" s="21"/>
      <c r="P381" s="22" t="n">
        <f aca="false">IF(OR($A381="",N(K381)=0),0,CEILING(K381*(1+IF($O381="",Taux_Compta,$O381))-0.005,Pas_Arrondi))</f>
        <v>0</v>
      </c>
      <c r="Q381" s="22" t="n">
        <f aca="false">IF(OR($A381="",N(L381)=0),0,CEILING(L381*(1+IF($O381="",Taux_Paye,$O381))-0.005,Pas_Arrondi))</f>
        <v>0</v>
      </c>
      <c r="R381" s="22" t="n">
        <f aca="false">IF(OR($A381="",N(M381)=0),0,CEILING(M381*(1+IF($O381="",Taux_Jur,$O381))-0.005,Pas_Arrondi))</f>
        <v>0</v>
      </c>
      <c r="S381" s="22" t="n">
        <f aca="false">IF(OR($A381="",N(N381)=0),0,CEILING(N381*(1+IF($O381="",Taux_PA,$O381))-0.005,Pas_Arrondi))</f>
        <v>0</v>
      </c>
      <c r="T381" s="22" t="str">
        <f aca="false">IF($A381="","",SUM(K381:N381))</f>
        <v/>
      </c>
      <c r="U381" s="22" t="str">
        <f aca="false">IF($A381="","",SUM(P381:S381))</f>
        <v/>
      </c>
      <c r="V381" s="22" t="str">
        <f aca="false">IF($A381="","",U381-T381)</f>
        <v/>
      </c>
      <c r="W381" s="23" t="str">
        <f aca="false">IF(OR($A381="",N(T381)=0),"",V381/T381)</f>
        <v/>
      </c>
      <c r="X381" s="18"/>
      <c r="Y381" s="18"/>
      <c r="Z381" s="24" t="str">
        <f aca="false">IF(AND($A381&lt;&gt;"",$X381="Oui",OR(Filtre_Masse="Tous les clients à envoyer",$Y381&lt;&gt;"Email")),MAX(Z$1:Z380)+1,"")</f>
        <v/>
      </c>
    </row>
    <row r="382" customFormat="false" ht="15" hidden="false" customHeight="false" outlineLevel="0" collapsed="false">
      <c r="A382" s="18"/>
      <c r="B382" s="18"/>
      <c r="C382" s="18"/>
      <c r="D382" s="18"/>
      <c r="E382" s="18"/>
      <c r="F382" s="18"/>
      <c r="G382" s="18"/>
      <c r="H382" s="19"/>
      <c r="I382" s="18"/>
      <c r="J382" s="18"/>
      <c r="K382" s="20"/>
      <c r="L382" s="20"/>
      <c r="M382" s="20"/>
      <c r="N382" s="20"/>
      <c r="O382" s="21"/>
      <c r="P382" s="22" t="n">
        <f aca="false">IF(OR($A382="",N(K382)=0),0,CEILING(K382*(1+IF($O382="",Taux_Compta,$O382))-0.005,Pas_Arrondi))</f>
        <v>0</v>
      </c>
      <c r="Q382" s="22" t="n">
        <f aca="false">IF(OR($A382="",N(L382)=0),0,CEILING(L382*(1+IF($O382="",Taux_Paye,$O382))-0.005,Pas_Arrondi))</f>
        <v>0</v>
      </c>
      <c r="R382" s="22" t="n">
        <f aca="false">IF(OR($A382="",N(M382)=0),0,CEILING(M382*(1+IF($O382="",Taux_Jur,$O382))-0.005,Pas_Arrondi))</f>
        <v>0</v>
      </c>
      <c r="S382" s="22" t="n">
        <f aca="false">IF(OR($A382="",N(N382)=0),0,CEILING(N382*(1+IF($O382="",Taux_PA,$O382))-0.005,Pas_Arrondi))</f>
        <v>0</v>
      </c>
      <c r="T382" s="22" t="str">
        <f aca="false">IF($A382="","",SUM(K382:N382))</f>
        <v/>
      </c>
      <c r="U382" s="22" t="str">
        <f aca="false">IF($A382="","",SUM(P382:S382))</f>
        <v/>
      </c>
      <c r="V382" s="22" t="str">
        <f aca="false">IF($A382="","",U382-T382)</f>
        <v/>
      </c>
      <c r="W382" s="23" t="str">
        <f aca="false">IF(OR($A382="",N(T382)=0),"",V382/T382)</f>
        <v/>
      </c>
      <c r="X382" s="18"/>
      <c r="Y382" s="18"/>
      <c r="Z382" s="24" t="str">
        <f aca="false">IF(AND($A382&lt;&gt;"",$X382="Oui",OR(Filtre_Masse="Tous les clients à envoyer",$Y382&lt;&gt;"Email")),MAX(Z$1:Z381)+1,"")</f>
        <v/>
      </c>
    </row>
    <row r="383" customFormat="false" ht="15" hidden="false" customHeight="false" outlineLevel="0" collapsed="false">
      <c r="A383" s="18"/>
      <c r="B383" s="18"/>
      <c r="C383" s="18"/>
      <c r="D383" s="18"/>
      <c r="E383" s="18"/>
      <c r="F383" s="18"/>
      <c r="G383" s="18"/>
      <c r="H383" s="19"/>
      <c r="I383" s="18"/>
      <c r="J383" s="18"/>
      <c r="K383" s="20"/>
      <c r="L383" s="20"/>
      <c r="M383" s="20"/>
      <c r="N383" s="20"/>
      <c r="O383" s="21"/>
      <c r="P383" s="22" t="n">
        <f aca="false">IF(OR($A383="",N(K383)=0),0,CEILING(K383*(1+IF($O383="",Taux_Compta,$O383))-0.005,Pas_Arrondi))</f>
        <v>0</v>
      </c>
      <c r="Q383" s="22" t="n">
        <f aca="false">IF(OR($A383="",N(L383)=0),0,CEILING(L383*(1+IF($O383="",Taux_Paye,$O383))-0.005,Pas_Arrondi))</f>
        <v>0</v>
      </c>
      <c r="R383" s="22" t="n">
        <f aca="false">IF(OR($A383="",N(M383)=0),0,CEILING(M383*(1+IF($O383="",Taux_Jur,$O383))-0.005,Pas_Arrondi))</f>
        <v>0</v>
      </c>
      <c r="S383" s="22" t="n">
        <f aca="false">IF(OR($A383="",N(N383)=0),0,CEILING(N383*(1+IF($O383="",Taux_PA,$O383))-0.005,Pas_Arrondi))</f>
        <v>0</v>
      </c>
      <c r="T383" s="22" t="str">
        <f aca="false">IF($A383="","",SUM(K383:N383))</f>
        <v/>
      </c>
      <c r="U383" s="22" t="str">
        <f aca="false">IF($A383="","",SUM(P383:S383))</f>
        <v/>
      </c>
      <c r="V383" s="22" t="str">
        <f aca="false">IF($A383="","",U383-T383)</f>
        <v/>
      </c>
      <c r="W383" s="23" t="str">
        <f aca="false">IF(OR($A383="",N(T383)=0),"",V383/T383)</f>
        <v/>
      </c>
      <c r="X383" s="18"/>
      <c r="Y383" s="18"/>
      <c r="Z383" s="24" t="str">
        <f aca="false">IF(AND($A383&lt;&gt;"",$X383="Oui",OR(Filtre_Masse="Tous les clients à envoyer",$Y383&lt;&gt;"Email")),MAX(Z$1:Z382)+1,"")</f>
        <v/>
      </c>
    </row>
    <row r="384" customFormat="false" ht="15" hidden="false" customHeight="false" outlineLevel="0" collapsed="false">
      <c r="A384" s="18"/>
      <c r="B384" s="18"/>
      <c r="C384" s="18"/>
      <c r="D384" s="18"/>
      <c r="E384" s="18"/>
      <c r="F384" s="18"/>
      <c r="G384" s="18"/>
      <c r="H384" s="19"/>
      <c r="I384" s="18"/>
      <c r="J384" s="18"/>
      <c r="K384" s="20"/>
      <c r="L384" s="20"/>
      <c r="M384" s="20"/>
      <c r="N384" s="20"/>
      <c r="O384" s="21"/>
      <c r="P384" s="22" t="n">
        <f aca="false">IF(OR($A384="",N(K384)=0),0,CEILING(K384*(1+IF($O384="",Taux_Compta,$O384))-0.005,Pas_Arrondi))</f>
        <v>0</v>
      </c>
      <c r="Q384" s="22" t="n">
        <f aca="false">IF(OR($A384="",N(L384)=0),0,CEILING(L384*(1+IF($O384="",Taux_Paye,$O384))-0.005,Pas_Arrondi))</f>
        <v>0</v>
      </c>
      <c r="R384" s="22" t="n">
        <f aca="false">IF(OR($A384="",N(M384)=0),0,CEILING(M384*(1+IF($O384="",Taux_Jur,$O384))-0.005,Pas_Arrondi))</f>
        <v>0</v>
      </c>
      <c r="S384" s="22" t="n">
        <f aca="false">IF(OR($A384="",N(N384)=0),0,CEILING(N384*(1+IF($O384="",Taux_PA,$O384))-0.005,Pas_Arrondi))</f>
        <v>0</v>
      </c>
      <c r="T384" s="22" t="str">
        <f aca="false">IF($A384="","",SUM(K384:N384))</f>
        <v/>
      </c>
      <c r="U384" s="22" t="str">
        <f aca="false">IF($A384="","",SUM(P384:S384))</f>
        <v/>
      </c>
      <c r="V384" s="22" t="str">
        <f aca="false">IF($A384="","",U384-T384)</f>
        <v/>
      </c>
      <c r="W384" s="23" t="str">
        <f aca="false">IF(OR($A384="",N(T384)=0),"",V384/T384)</f>
        <v/>
      </c>
      <c r="X384" s="18"/>
      <c r="Y384" s="18"/>
      <c r="Z384" s="24" t="str">
        <f aca="false">IF(AND($A384&lt;&gt;"",$X384="Oui",OR(Filtre_Masse="Tous les clients à envoyer",$Y384&lt;&gt;"Email")),MAX(Z$1:Z383)+1,"")</f>
        <v/>
      </c>
    </row>
    <row r="385" customFormat="false" ht="15" hidden="false" customHeight="false" outlineLevel="0" collapsed="false">
      <c r="A385" s="18"/>
      <c r="B385" s="18"/>
      <c r="C385" s="18"/>
      <c r="D385" s="18"/>
      <c r="E385" s="18"/>
      <c r="F385" s="18"/>
      <c r="G385" s="18"/>
      <c r="H385" s="19"/>
      <c r="I385" s="18"/>
      <c r="J385" s="18"/>
      <c r="K385" s="20"/>
      <c r="L385" s="20"/>
      <c r="M385" s="20"/>
      <c r="N385" s="20"/>
      <c r="O385" s="21"/>
      <c r="P385" s="22" t="n">
        <f aca="false">IF(OR($A385="",N(K385)=0),0,CEILING(K385*(1+IF($O385="",Taux_Compta,$O385))-0.005,Pas_Arrondi))</f>
        <v>0</v>
      </c>
      <c r="Q385" s="22" t="n">
        <f aca="false">IF(OR($A385="",N(L385)=0),0,CEILING(L385*(1+IF($O385="",Taux_Paye,$O385))-0.005,Pas_Arrondi))</f>
        <v>0</v>
      </c>
      <c r="R385" s="22" t="n">
        <f aca="false">IF(OR($A385="",N(M385)=0),0,CEILING(M385*(1+IF($O385="",Taux_Jur,$O385))-0.005,Pas_Arrondi))</f>
        <v>0</v>
      </c>
      <c r="S385" s="22" t="n">
        <f aca="false">IF(OR($A385="",N(N385)=0),0,CEILING(N385*(1+IF($O385="",Taux_PA,$O385))-0.005,Pas_Arrondi))</f>
        <v>0</v>
      </c>
      <c r="T385" s="22" t="str">
        <f aca="false">IF($A385="","",SUM(K385:N385))</f>
        <v/>
      </c>
      <c r="U385" s="22" t="str">
        <f aca="false">IF($A385="","",SUM(P385:S385))</f>
        <v/>
      </c>
      <c r="V385" s="22" t="str">
        <f aca="false">IF($A385="","",U385-T385)</f>
        <v/>
      </c>
      <c r="W385" s="23" t="str">
        <f aca="false">IF(OR($A385="",N(T385)=0),"",V385/T385)</f>
        <v/>
      </c>
      <c r="X385" s="18"/>
      <c r="Y385" s="18"/>
      <c r="Z385" s="24" t="str">
        <f aca="false">IF(AND($A385&lt;&gt;"",$X385="Oui",OR(Filtre_Masse="Tous les clients à envoyer",$Y385&lt;&gt;"Email")),MAX(Z$1:Z384)+1,"")</f>
        <v/>
      </c>
    </row>
    <row r="386" customFormat="false" ht="15" hidden="false" customHeight="false" outlineLevel="0" collapsed="false">
      <c r="A386" s="18"/>
      <c r="B386" s="18"/>
      <c r="C386" s="18"/>
      <c r="D386" s="18"/>
      <c r="E386" s="18"/>
      <c r="F386" s="18"/>
      <c r="G386" s="18"/>
      <c r="H386" s="19"/>
      <c r="I386" s="18"/>
      <c r="J386" s="18"/>
      <c r="K386" s="20"/>
      <c r="L386" s="20"/>
      <c r="M386" s="20"/>
      <c r="N386" s="20"/>
      <c r="O386" s="21"/>
      <c r="P386" s="22" t="n">
        <f aca="false">IF(OR($A386="",N(K386)=0),0,CEILING(K386*(1+IF($O386="",Taux_Compta,$O386))-0.005,Pas_Arrondi))</f>
        <v>0</v>
      </c>
      <c r="Q386" s="22" t="n">
        <f aca="false">IF(OR($A386="",N(L386)=0),0,CEILING(L386*(1+IF($O386="",Taux_Paye,$O386))-0.005,Pas_Arrondi))</f>
        <v>0</v>
      </c>
      <c r="R386" s="22" t="n">
        <f aca="false">IF(OR($A386="",N(M386)=0),0,CEILING(M386*(1+IF($O386="",Taux_Jur,$O386))-0.005,Pas_Arrondi))</f>
        <v>0</v>
      </c>
      <c r="S386" s="22" t="n">
        <f aca="false">IF(OR($A386="",N(N386)=0),0,CEILING(N386*(1+IF($O386="",Taux_PA,$O386))-0.005,Pas_Arrondi))</f>
        <v>0</v>
      </c>
      <c r="T386" s="22" t="str">
        <f aca="false">IF($A386="","",SUM(K386:N386))</f>
        <v/>
      </c>
      <c r="U386" s="22" t="str">
        <f aca="false">IF($A386="","",SUM(P386:S386))</f>
        <v/>
      </c>
      <c r="V386" s="22" t="str">
        <f aca="false">IF($A386="","",U386-T386)</f>
        <v/>
      </c>
      <c r="W386" s="23" t="str">
        <f aca="false">IF(OR($A386="",N(T386)=0),"",V386/T386)</f>
        <v/>
      </c>
      <c r="X386" s="18"/>
      <c r="Y386" s="18"/>
      <c r="Z386" s="24" t="str">
        <f aca="false">IF(AND($A386&lt;&gt;"",$X386="Oui",OR(Filtre_Masse="Tous les clients à envoyer",$Y386&lt;&gt;"Email")),MAX(Z$1:Z385)+1,"")</f>
        <v/>
      </c>
    </row>
    <row r="387" customFormat="false" ht="15" hidden="false" customHeight="false" outlineLevel="0" collapsed="false">
      <c r="A387" s="18"/>
      <c r="B387" s="18"/>
      <c r="C387" s="18"/>
      <c r="D387" s="18"/>
      <c r="E387" s="18"/>
      <c r="F387" s="18"/>
      <c r="G387" s="18"/>
      <c r="H387" s="19"/>
      <c r="I387" s="18"/>
      <c r="J387" s="18"/>
      <c r="K387" s="20"/>
      <c r="L387" s="20"/>
      <c r="M387" s="20"/>
      <c r="N387" s="20"/>
      <c r="O387" s="21"/>
      <c r="P387" s="22" t="n">
        <f aca="false">IF(OR($A387="",N(K387)=0),0,CEILING(K387*(1+IF($O387="",Taux_Compta,$O387))-0.005,Pas_Arrondi))</f>
        <v>0</v>
      </c>
      <c r="Q387" s="22" t="n">
        <f aca="false">IF(OR($A387="",N(L387)=0),0,CEILING(L387*(1+IF($O387="",Taux_Paye,$O387))-0.005,Pas_Arrondi))</f>
        <v>0</v>
      </c>
      <c r="R387" s="22" t="n">
        <f aca="false">IF(OR($A387="",N(M387)=0),0,CEILING(M387*(1+IF($O387="",Taux_Jur,$O387))-0.005,Pas_Arrondi))</f>
        <v>0</v>
      </c>
      <c r="S387" s="22" t="n">
        <f aca="false">IF(OR($A387="",N(N387)=0),0,CEILING(N387*(1+IF($O387="",Taux_PA,$O387))-0.005,Pas_Arrondi))</f>
        <v>0</v>
      </c>
      <c r="T387" s="22" t="str">
        <f aca="false">IF($A387="","",SUM(K387:N387))</f>
        <v/>
      </c>
      <c r="U387" s="22" t="str">
        <f aca="false">IF($A387="","",SUM(P387:S387))</f>
        <v/>
      </c>
      <c r="V387" s="22" t="str">
        <f aca="false">IF($A387="","",U387-T387)</f>
        <v/>
      </c>
      <c r="W387" s="23" t="str">
        <f aca="false">IF(OR($A387="",N(T387)=0),"",V387/T387)</f>
        <v/>
      </c>
      <c r="X387" s="18"/>
      <c r="Y387" s="18"/>
      <c r="Z387" s="24" t="str">
        <f aca="false">IF(AND($A387&lt;&gt;"",$X387="Oui",OR(Filtre_Masse="Tous les clients à envoyer",$Y387&lt;&gt;"Email")),MAX(Z$1:Z386)+1,"")</f>
        <v/>
      </c>
    </row>
    <row r="388" customFormat="false" ht="15" hidden="false" customHeight="false" outlineLevel="0" collapsed="false">
      <c r="A388" s="18"/>
      <c r="B388" s="18"/>
      <c r="C388" s="18"/>
      <c r="D388" s="18"/>
      <c r="E388" s="18"/>
      <c r="F388" s="18"/>
      <c r="G388" s="18"/>
      <c r="H388" s="19"/>
      <c r="I388" s="18"/>
      <c r="J388" s="18"/>
      <c r="K388" s="20"/>
      <c r="L388" s="20"/>
      <c r="M388" s="20"/>
      <c r="N388" s="20"/>
      <c r="O388" s="21"/>
      <c r="P388" s="22" t="n">
        <f aca="false">IF(OR($A388="",N(K388)=0),0,CEILING(K388*(1+IF($O388="",Taux_Compta,$O388))-0.005,Pas_Arrondi))</f>
        <v>0</v>
      </c>
      <c r="Q388" s="22" t="n">
        <f aca="false">IF(OR($A388="",N(L388)=0),0,CEILING(L388*(1+IF($O388="",Taux_Paye,$O388))-0.005,Pas_Arrondi))</f>
        <v>0</v>
      </c>
      <c r="R388" s="22" t="n">
        <f aca="false">IF(OR($A388="",N(M388)=0),0,CEILING(M388*(1+IF($O388="",Taux_Jur,$O388))-0.005,Pas_Arrondi))</f>
        <v>0</v>
      </c>
      <c r="S388" s="22" t="n">
        <f aca="false">IF(OR($A388="",N(N388)=0),0,CEILING(N388*(1+IF($O388="",Taux_PA,$O388))-0.005,Pas_Arrondi))</f>
        <v>0</v>
      </c>
      <c r="T388" s="22" t="str">
        <f aca="false">IF($A388="","",SUM(K388:N388))</f>
        <v/>
      </c>
      <c r="U388" s="22" t="str">
        <f aca="false">IF($A388="","",SUM(P388:S388))</f>
        <v/>
      </c>
      <c r="V388" s="22" t="str">
        <f aca="false">IF($A388="","",U388-T388)</f>
        <v/>
      </c>
      <c r="W388" s="23" t="str">
        <f aca="false">IF(OR($A388="",N(T388)=0),"",V388/T388)</f>
        <v/>
      </c>
      <c r="X388" s="18"/>
      <c r="Y388" s="18"/>
      <c r="Z388" s="24" t="str">
        <f aca="false">IF(AND($A388&lt;&gt;"",$X388="Oui",OR(Filtre_Masse="Tous les clients à envoyer",$Y388&lt;&gt;"Email")),MAX(Z$1:Z387)+1,"")</f>
        <v/>
      </c>
    </row>
    <row r="389" customFormat="false" ht="15" hidden="false" customHeight="false" outlineLevel="0" collapsed="false">
      <c r="A389" s="18"/>
      <c r="B389" s="18"/>
      <c r="C389" s="18"/>
      <c r="D389" s="18"/>
      <c r="E389" s="18"/>
      <c r="F389" s="18"/>
      <c r="G389" s="18"/>
      <c r="H389" s="19"/>
      <c r="I389" s="18"/>
      <c r="J389" s="18"/>
      <c r="K389" s="20"/>
      <c r="L389" s="20"/>
      <c r="M389" s="20"/>
      <c r="N389" s="20"/>
      <c r="O389" s="21"/>
      <c r="P389" s="22" t="n">
        <f aca="false">IF(OR($A389="",N(K389)=0),0,CEILING(K389*(1+IF($O389="",Taux_Compta,$O389))-0.005,Pas_Arrondi))</f>
        <v>0</v>
      </c>
      <c r="Q389" s="22" t="n">
        <f aca="false">IF(OR($A389="",N(L389)=0),0,CEILING(L389*(1+IF($O389="",Taux_Paye,$O389))-0.005,Pas_Arrondi))</f>
        <v>0</v>
      </c>
      <c r="R389" s="22" t="n">
        <f aca="false">IF(OR($A389="",N(M389)=0),0,CEILING(M389*(1+IF($O389="",Taux_Jur,$O389))-0.005,Pas_Arrondi))</f>
        <v>0</v>
      </c>
      <c r="S389" s="22" t="n">
        <f aca="false">IF(OR($A389="",N(N389)=0),0,CEILING(N389*(1+IF($O389="",Taux_PA,$O389))-0.005,Pas_Arrondi))</f>
        <v>0</v>
      </c>
      <c r="T389" s="22" t="str">
        <f aca="false">IF($A389="","",SUM(K389:N389))</f>
        <v/>
      </c>
      <c r="U389" s="22" t="str">
        <f aca="false">IF($A389="","",SUM(P389:S389))</f>
        <v/>
      </c>
      <c r="V389" s="22" t="str">
        <f aca="false">IF($A389="","",U389-T389)</f>
        <v/>
      </c>
      <c r="W389" s="23" t="str">
        <f aca="false">IF(OR($A389="",N(T389)=0),"",V389/T389)</f>
        <v/>
      </c>
      <c r="X389" s="18"/>
      <c r="Y389" s="18"/>
      <c r="Z389" s="24" t="str">
        <f aca="false">IF(AND($A389&lt;&gt;"",$X389="Oui",OR(Filtre_Masse="Tous les clients à envoyer",$Y389&lt;&gt;"Email")),MAX(Z$1:Z388)+1,"")</f>
        <v/>
      </c>
    </row>
    <row r="390" customFormat="false" ht="15" hidden="false" customHeight="false" outlineLevel="0" collapsed="false">
      <c r="A390" s="18"/>
      <c r="B390" s="18"/>
      <c r="C390" s="18"/>
      <c r="D390" s="18"/>
      <c r="E390" s="18"/>
      <c r="F390" s="18"/>
      <c r="G390" s="18"/>
      <c r="H390" s="19"/>
      <c r="I390" s="18"/>
      <c r="J390" s="18"/>
      <c r="K390" s="20"/>
      <c r="L390" s="20"/>
      <c r="M390" s="20"/>
      <c r="N390" s="20"/>
      <c r="O390" s="21"/>
      <c r="P390" s="22" t="n">
        <f aca="false">IF(OR($A390="",N(K390)=0),0,CEILING(K390*(1+IF($O390="",Taux_Compta,$O390))-0.005,Pas_Arrondi))</f>
        <v>0</v>
      </c>
      <c r="Q390" s="22" t="n">
        <f aca="false">IF(OR($A390="",N(L390)=0),0,CEILING(L390*(1+IF($O390="",Taux_Paye,$O390))-0.005,Pas_Arrondi))</f>
        <v>0</v>
      </c>
      <c r="R390" s="22" t="n">
        <f aca="false">IF(OR($A390="",N(M390)=0),0,CEILING(M390*(1+IF($O390="",Taux_Jur,$O390))-0.005,Pas_Arrondi))</f>
        <v>0</v>
      </c>
      <c r="S390" s="22" t="n">
        <f aca="false">IF(OR($A390="",N(N390)=0),0,CEILING(N390*(1+IF($O390="",Taux_PA,$O390))-0.005,Pas_Arrondi))</f>
        <v>0</v>
      </c>
      <c r="T390" s="22" t="str">
        <f aca="false">IF($A390="","",SUM(K390:N390))</f>
        <v/>
      </c>
      <c r="U390" s="22" t="str">
        <f aca="false">IF($A390="","",SUM(P390:S390))</f>
        <v/>
      </c>
      <c r="V390" s="22" t="str">
        <f aca="false">IF($A390="","",U390-T390)</f>
        <v/>
      </c>
      <c r="W390" s="23" t="str">
        <f aca="false">IF(OR($A390="",N(T390)=0),"",V390/T390)</f>
        <v/>
      </c>
      <c r="X390" s="18"/>
      <c r="Y390" s="18"/>
      <c r="Z390" s="24" t="str">
        <f aca="false">IF(AND($A390&lt;&gt;"",$X390="Oui",OR(Filtre_Masse="Tous les clients à envoyer",$Y390&lt;&gt;"Email")),MAX(Z$1:Z389)+1,"")</f>
        <v/>
      </c>
    </row>
    <row r="391" customFormat="false" ht="15" hidden="false" customHeight="false" outlineLevel="0" collapsed="false">
      <c r="A391" s="18"/>
      <c r="B391" s="18"/>
      <c r="C391" s="18"/>
      <c r="D391" s="18"/>
      <c r="E391" s="18"/>
      <c r="F391" s="18"/>
      <c r="G391" s="18"/>
      <c r="H391" s="19"/>
      <c r="I391" s="18"/>
      <c r="J391" s="18"/>
      <c r="K391" s="20"/>
      <c r="L391" s="20"/>
      <c r="M391" s="20"/>
      <c r="N391" s="20"/>
      <c r="O391" s="21"/>
      <c r="P391" s="22" t="n">
        <f aca="false">IF(OR($A391="",N(K391)=0),0,CEILING(K391*(1+IF($O391="",Taux_Compta,$O391))-0.005,Pas_Arrondi))</f>
        <v>0</v>
      </c>
      <c r="Q391" s="22" t="n">
        <f aca="false">IF(OR($A391="",N(L391)=0),0,CEILING(L391*(1+IF($O391="",Taux_Paye,$O391))-0.005,Pas_Arrondi))</f>
        <v>0</v>
      </c>
      <c r="R391" s="22" t="n">
        <f aca="false">IF(OR($A391="",N(M391)=0),0,CEILING(M391*(1+IF($O391="",Taux_Jur,$O391))-0.005,Pas_Arrondi))</f>
        <v>0</v>
      </c>
      <c r="S391" s="22" t="n">
        <f aca="false">IF(OR($A391="",N(N391)=0),0,CEILING(N391*(1+IF($O391="",Taux_PA,$O391))-0.005,Pas_Arrondi))</f>
        <v>0</v>
      </c>
      <c r="T391" s="22" t="str">
        <f aca="false">IF($A391="","",SUM(K391:N391))</f>
        <v/>
      </c>
      <c r="U391" s="22" t="str">
        <f aca="false">IF($A391="","",SUM(P391:S391))</f>
        <v/>
      </c>
      <c r="V391" s="22" t="str">
        <f aca="false">IF($A391="","",U391-T391)</f>
        <v/>
      </c>
      <c r="W391" s="23" t="str">
        <f aca="false">IF(OR($A391="",N(T391)=0),"",V391/T391)</f>
        <v/>
      </c>
      <c r="X391" s="18"/>
      <c r="Y391" s="18"/>
      <c r="Z391" s="24" t="str">
        <f aca="false">IF(AND($A391&lt;&gt;"",$X391="Oui",OR(Filtre_Masse="Tous les clients à envoyer",$Y391&lt;&gt;"Email")),MAX(Z$1:Z390)+1,"")</f>
        <v/>
      </c>
    </row>
    <row r="392" customFormat="false" ht="15" hidden="false" customHeight="false" outlineLevel="0" collapsed="false">
      <c r="A392" s="18"/>
      <c r="B392" s="18"/>
      <c r="C392" s="18"/>
      <c r="D392" s="18"/>
      <c r="E392" s="18"/>
      <c r="F392" s="18"/>
      <c r="G392" s="18"/>
      <c r="H392" s="19"/>
      <c r="I392" s="18"/>
      <c r="J392" s="18"/>
      <c r="K392" s="20"/>
      <c r="L392" s="20"/>
      <c r="M392" s="20"/>
      <c r="N392" s="20"/>
      <c r="O392" s="21"/>
      <c r="P392" s="22" t="n">
        <f aca="false">IF(OR($A392="",N(K392)=0),0,CEILING(K392*(1+IF($O392="",Taux_Compta,$O392))-0.005,Pas_Arrondi))</f>
        <v>0</v>
      </c>
      <c r="Q392" s="22" t="n">
        <f aca="false">IF(OR($A392="",N(L392)=0),0,CEILING(L392*(1+IF($O392="",Taux_Paye,$O392))-0.005,Pas_Arrondi))</f>
        <v>0</v>
      </c>
      <c r="R392" s="22" t="n">
        <f aca="false">IF(OR($A392="",N(M392)=0),0,CEILING(M392*(1+IF($O392="",Taux_Jur,$O392))-0.005,Pas_Arrondi))</f>
        <v>0</v>
      </c>
      <c r="S392" s="22" t="n">
        <f aca="false">IF(OR($A392="",N(N392)=0),0,CEILING(N392*(1+IF($O392="",Taux_PA,$O392))-0.005,Pas_Arrondi))</f>
        <v>0</v>
      </c>
      <c r="T392" s="22" t="str">
        <f aca="false">IF($A392="","",SUM(K392:N392))</f>
        <v/>
      </c>
      <c r="U392" s="22" t="str">
        <f aca="false">IF($A392="","",SUM(P392:S392))</f>
        <v/>
      </c>
      <c r="V392" s="22" t="str">
        <f aca="false">IF($A392="","",U392-T392)</f>
        <v/>
      </c>
      <c r="W392" s="23" t="str">
        <f aca="false">IF(OR($A392="",N(T392)=0),"",V392/T392)</f>
        <v/>
      </c>
      <c r="X392" s="18"/>
      <c r="Y392" s="18"/>
      <c r="Z392" s="24" t="str">
        <f aca="false">IF(AND($A392&lt;&gt;"",$X392="Oui",OR(Filtre_Masse="Tous les clients à envoyer",$Y392&lt;&gt;"Email")),MAX(Z$1:Z391)+1,"")</f>
        <v/>
      </c>
    </row>
    <row r="393" customFormat="false" ht="15" hidden="false" customHeight="false" outlineLevel="0" collapsed="false">
      <c r="A393" s="18"/>
      <c r="B393" s="18"/>
      <c r="C393" s="18"/>
      <c r="D393" s="18"/>
      <c r="E393" s="18"/>
      <c r="F393" s="18"/>
      <c r="G393" s="18"/>
      <c r="H393" s="19"/>
      <c r="I393" s="18"/>
      <c r="J393" s="18"/>
      <c r="K393" s="20"/>
      <c r="L393" s="20"/>
      <c r="M393" s="20"/>
      <c r="N393" s="20"/>
      <c r="O393" s="21"/>
      <c r="P393" s="22" t="n">
        <f aca="false">IF(OR($A393="",N(K393)=0),0,CEILING(K393*(1+IF($O393="",Taux_Compta,$O393))-0.005,Pas_Arrondi))</f>
        <v>0</v>
      </c>
      <c r="Q393" s="22" t="n">
        <f aca="false">IF(OR($A393="",N(L393)=0),0,CEILING(L393*(1+IF($O393="",Taux_Paye,$O393))-0.005,Pas_Arrondi))</f>
        <v>0</v>
      </c>
      <c r="R393" s="22" t="n">
        <f aca="false">IF(OR($A393="",N(M393)=0),0,CEILING(M393*(1+IF($O393="",Taux_Jur,$O393))-0.005,Pas_Arrondi))</f>
        <v>0</v>
      </c>
      <c r="S393" s="22" t="n">
        <f aca="false">IF(OR($A393="",N(N393)=0),0,CEILING(N393*(1+IF($O393="",Taux_PA,$O393))-0.005,Pas_Arrondi))</f>
        <v>0</v>
      </c>
      <c r="T393" s="22" t="str">
        <f aca="false">IF($A393="","",SUM(K393:N393))</f>
        <v/>
      </c>
      <c r="U393" s="22" t="str">
        <f aca="false">IF($A393="","",SUM(P393:S393))</f>
        <v/>
      </c>
      <c r="V393" s="22" t="str">
        <f aca="false">IF($A393="","",U393-T393)</f>
        <v/>
      </c>
      <c r="W393" s="23" t="str">
        <f aca="false">IF(OR($A393="",N(T393)=0),"",V393/T393)</f>
        <v/>
      </c>
      <c r="X393" s="18"/>
      <c r="Y393" s="18"/>
      <c r="Z393" s="24" t="str">
        <f aca="false">IF(AND($A393&lt;&gt;"",$X393="Oui",OR(Filtre_Masse="Tous les clients à envoyer",$Y393&lt;&gt;"Email")),MAX(Z$1:Z392)+1,"")</f>
        <v/>
      </c>
    </row>
    <row r="394" customFormat="false" ht="15" hidden="false" customHeight="false" outlineLevel="0" collapsed="false">
      <c r="A394" s="18"/>
      <c r="B394" s="18"/>
      <c r="C394" s="18"/>
      <c r="D394" s="18"/>
      <c r="E394" s="18"/>
      <c r="F394" s="18"/>
      <c r="G394" s="18"/>
      <c r="H394" s="19"/>
      <c r="I394" s="18"/>
      <c r="J394" s="18"/>
      <c r="K394" s="20"/>
      <c r="L394" s="20"/>
      <c r="M394" s="20"/>
      <c r="N394" s="20"/>
      <c r="O394" s="21"/>
      <c r="P394" s="22" t="n">
        <f aca="false">IF(OR($A394="",N(K394)=0),0,CEILING(K394*(1+IF($O394="",Taux_Compta,$O394))-0.005,Pas_Arrondi))</f>
        <v>0</v>
      </c>
      <c r="Q394" s="22" t="n">
        <f aca="false">IF(OR($A394="",N(L394)=0),0,CEILING(L394*(1+IF($O394="",Taux_Paye,$O394))-0.005,Pas_Arrondi))</f>
        <v>0</v>
      </c>
      <c r="R394" s="22" t="n">
        <f aca="false">IF(OR($A394="",N(M394)=0),0,CEILING(M394*(1+IF($O394="",Taux_Jur,$O394))-0.005,Pas_Arrondi))</f>
        <v>0</v>
      </c>
      <c r="S394" s="22" t="n">
        <f aca="false">IF(OR($A394="",N(N394)=0),0,CEILING(N394*(1+IF($O394="",Taux_PA,$O394))-0.005,Pas_Arrondi))</f>
        <v>0</v>
      </c>
      <c r="T394" s="22" t="str">
        <f aca="false">IF($A394="","",SUM(K394:N394))</f>
        <v/>
      </c>
      <c r="U394" s="22" t="str">
        <f aca="false">IF($A394="","",SUM(P394:S394))</f>
        <v/>
      </c>
      <c r="V394" s="22" t="str">
        <f aca="false">IF($A394="","",U394-T394)</f>
        <v/>
      </c>
      <c r="W394" s="23" t="str">
        <f aca="false">IF(OR($A394="",N(T394)=0),"",V394/T394)</f>
        <v/>
      </c>
      <c r="X394" s="18"/>
      <c r="Y394" s="18"/>
      <c r="Z394" s="24" t="str">
        <f aca="false">IF(AND($A394&lt;&gt;"",$X394="Oui",OR(Filtre_Masse="Tous les clients à envoyer",$Y394&lt;&gt;"Email")),MAX(Z$1:Z393)+1,"")</f>
        <v/>
      </c>
    </row>
    <row r="395" customFormat="false" ht="15" hidden="false" customHeight="false" outlineLevel="0" collapsed="false">
      <c r="A395" s="18"/>
      <c r="B395" s="18"/>
      <c r="C395" s="18"/>
      <c r="D395" s="18"/>
      <c r="E395" s="18"/>
      <c r="F395" s="18"/>
      <c r="G395" s="18"/>
      <c r="H395" s="19"/>
      <c r="I395" s="18"/>
      <c r="J395" s="18"/>
      <c r="K395" s="20"/>
      <c r="L395" s="20"/>
      <c r="M395" s="20"/>
      <c r="N395" s="20"/>
      <c r="O395" s="21"/>
      <c r="P395" s="22" t="n">
        <f aca="false">IF(OR($A395="",N(K395)=0),0,CEILING(K395*(1+IF($O395="",Taux_Compta,$O395))-0.005,Pas_Arrondi))</f>
        <v>0</v>
      </c>
      <c r="Q395" s="22" t="n">
        <f aca="false">IF(OR($A395="",N(L395)=0),0,CEILING(L395*(1+IF($O395="",Taux_Paye,$O395))-0.005,Pas_Arrondi))</f>
        <v>0</v>
      </c>
      <c r="R395" s="22" t="n">
        <f aca="false">IF(OR($A395="",N(M395)=0),0,CEILING(M395*(1+IF($O395="",Taux_Jur,$O395))-0.005,Pas_Arrondi))</f>
        <v>0</v>
      </c>
      <c r="S395" s="22" t="n">
        <f aca="false">IF(OR($A395="",N(N395)=0),0,CEILING(N395*(1+IF($O395="",Taux_PA,$O395))-0.005,Pas_Arrondi))</f>
        <v>0</v>
      </c>
      <c r="T395" s="22" t="str">
        <f aca="false">IF($A395="","",SUM(K395:N395))</f>
        <v/>
      </c>
      <c r="U395" s="22" t="str">
        <f aca="false">IF($A395="","",SUM(P395:S395))</f>
        <v/>
      </c>
      <c r="V395" s="22" t="str">
        <f aca="false">IF($A395="","",U395-T395)</f>
        <v/>
      </c>
      <c r="W395" s="23" t="str">
        <f aca="false">IF(OR($A395="",N(T395)=0),"",V395/T395)</f>
        <v/>
      </c>
      <c r="X395" s="18"/>
      <c r="Y395" s="18"/>
      <c r="Z395" s="24" t="str">
        <f aca="false">IF(AND($A395&lt;&gt;"",$X395="Oui",OR(Filtre_Masse="Tous les clients à envoyer",$Y395&lt;&gt;"Email")),MAX(Z$1:Z394)+1,"")</f>
        <v/>
      </c>
    </row>
    <row r="396" customFormat="false" ht="15" hidden="false" customHeight="false" outlineLevel="0" collapsed="false">
      <c r="A396" s="18"/>
      <c r="B396" s="18"/>
      <c r="C396" s="18"/>
      <c r="D396" s="18"/>
      <c r="E396" s="18"/>
      <c r="F396" s="18"/>
      <c r="G396" s="18"/>
      <c r="H396" s="19"/>
      <c r="I396" s="18"/>
      <c r="J396" s="18"/>
      <c r="K396" s="20"/>
      <c r="L396" s="20"/>
      <c r="M396" s="20"/>
      <c r="N396" s="20"/>
      <c r="O396" s="21"/>
      <c r="P396" s="22" t="n">
        <f aca="false">IF(OR($A396="",N(K396)=0),0,CEILING(K396*(1+IF($O396="",Taux_Compta,$O396))-0.005,Pas_Arrondi))</f>
        <v>0</v>
      </c>
      <c r="Q396" s="22" t="n">
        <f aca="false">IF(OR($A396="",N(L396)=0),0,CEILING(L396*(1+IF($O396="",Taux_Paye,$O396))-0.005,Pas_Arrondi))</f>
        <v>0</v>
      </c>
      <c r="R396" s="22" t="n">
        <f aca="false">IF(OR($A396="",N(M396)=0),0,CEILING(M396*(1+IF($O396="",Taux_Jur,$O396))-0.005,Pas_Arrondi))</f>
        <v>0</v>
      </c>
      <c r="S396" s="22" t="n">
        <f aca="false">IF(OR($A396="",N(N396)=0),0,CEILING(N396*(1+IF($O396="",Taux_PA,$O396))-0.005,Pas_Arrondi))</f>
        <v>0</v>
      </c>
      <c r="T396" s="22" t="str">
        <f aca="false">IF($A396="","",SUM(K396:N396))</f>
        <v/>
      </c>
      <c r="U396" s="22" t="str">
        <f aca="false">IF($A396="","",SUM(P396:S396))</f>
        <v/>
      </c>
      <c r="V396" s="22" t="str">
        <f aca="false">IF($A396="","",U396-T396)</f>
        <v/>
      </c>
      <c r="W396" s="23" t="str">
        <f aca="false">IF(OR($A396="",N(T396)=0),"",V396/T396)</f>
        <v/>
      </c>
      <c r="X396" s="18"/>
      <c r="Y396" s="18"/>
      <c r="Z396" s="24" t="str">
        <f aca="false">IF(AND($A396&lt;&gt;"",$X396="Oui",OR(Filtre_Masse="Tous les clients à envoyer",$Y396&lt;&gt;"Email")),MAX(Z$1:Z395)+1,"")</f>
        <v/>
      </c>
    </row>
    <row r="397" customFormat="false" ht="15" hidden="false" customHeight="false" outlineLevel="0" collapsed="false">
      <c r="A397" s="18"/>
      <c r="B397" s="18"/>
      <c r="C397" s="18"/>
      <c r="D397" s="18"/>
      <c r="E397" s="18"/>
      <c r="F397" s="18"/>
      <c r="G397" s="18"/>
      <c r="H397" s="19"/>
      <c r="I397" s="18"/>
      <c r="J397" s="18"/>
      <c r="K397" s="20"/>
      <c r="L397" s="20"/>
      <c r="M397" s="20"/>
      <c r="N397" s="20"/>
      <c r="O397" s="21"/>
      <c r="P397" s="22" t="n">
        <f aca="false">IF(OR($A397="",N(K397)=0),0,CEILING(K397*(1+IF($O397="",Taux_Compta,$O397))-0.005,Pas_Arrondi))</f>
        <v>0</v>
      </c>
      <c r="Q397" s="22" t="n">
        <f aca="false">IF(OR($A397="",N(L397)=0),0,CEILING(L397*(1+IF($O397="",Taux_Paye,$O397))-0.005,Pas_Arrondi))</f>
        <v>0</v>
      </c>
      <c r="R397" s="22" t="n">
        <f aca="false">IF(OR($A397="",N(M397)=0),0,CEILING(M397*(1+IF($O397="",Taux_Jur,$O397))-0.005,Pas_Arrondi))</f>
        <v>0</v>
      </c>
      <c r="S397" s="22" t="n">
        <f aca="false">IF(OR($A397="",N(N397)=0),0,CEILING(N397*(1+IF($O397="",Taux_PA,$O397))-0.005,Pas_Arrondi))</f>
        <v>0</v>
      </c>
      <c r="T397" s="22" t="str">
        <f aca="false">IF($A397="","",SUM(K397:N397))</f>
        <v/>
      </c>
      <c r="U397" s="22" t="str">
        <f aca="false">IF($A397="","",SUM(P397:S397))</f>
        <v/>
      </c>
      <c r="V397" s="22" t="str">
        <f aca="false">IF($A397="","",U397-T397)</f>
        <v/>
      </c>
      <c r="W397" s="23" t="str">
        <f aca="false">IF(OR($A397="",N(T397)=0),"",V397/T397)</f>
        <v/>
      </c>
      <c r="X397" s="18"/>
      <c r="Y397" s="18"/>
      <c r="Z397" s="24" t="str">
        <f aca="false">IF(AND($A397&lt;&gt;"",$X397="Oui",OR(Filtre_Masse="Tous les clients à envoyer",$Y397&lt;&gt;"Email")),MAX(Z$1:Z396)+1,"")</f>
        <v/>
      </c>
    </row>
    <row r="398" customFormat="false" ht="15" hidden="false" customHeight="false" outlineLevel="0" collapsed="false">
      <c r="A398" s="18"/>
      <c r="B398" s="18"/>
      <c r="C398" s="18"/>
      <c r="D398" s="18"/>
      <c r="E398" s="18"/>
      <c r="F398" s="18"/>
      <c r="G398" s="18"/>
      <c r="H398" s="19"/>
      <c r="I398" s="18"/>
      <c r="J398" s="18"/>
      <c r="K398" s="20"/>
      <c r="L398" s="20"/>
      <c r="M398" s="20"/>
      <c r="N398" s="20"/>
      <c r="O398" s="21"/>
      <c r="P398" s="22" t="n">
        <f aca="false">IF(OR($A398="",N(K398)=0),0,CEILING(K398*(1+IF($O398="",Taux_Compta,$O398))-0.005,Pas_Arrondi))</f>
        <v>0</v>
      </c>
      <c r="Q398" s="22" t="n">
        <f aca="false">IF(OR($A398="",N(L398)=0),0,CEILING(L398*(1+IF($O398="",Taux_Paye,$O398))-0.005,Pas_Arrondi))</f>
        <v>0</v>
      </c>
      <c r="R398" s="22" t="n">
        <f aca="false">IF(OR($A398="",N(M398)=0),0,CEILING(M398*(1+IF($O398="",Taux_Jur,$O398))-0.005,Pas_Arrondi))</f>
        <v>0</v>
      </c>
      <c r="S398" s="22" t="n">
        <f aca="false">IF(OR($A398="",N(N398)=0),0,CEILING(N398*(1+IF($O398="",Taux_PA,$O398))-0.005,Pas_Arrondi))</f>
        <v>0</v>
      </c>
      <c r="T398" s="22" t="str">
        <f aca="false">IF($A398="","",SUM(K398:N398))</f>
        <v/>
      </c>
      <c r="U398" s="22" t="str">
        <f aca="false">IF($A398="","",SUM(P398:S398))</f>
        <v/>
      </c>
      <c r="V398" s="22" t="str">
        <f aca="false">IF($A398="","",U398-T398)</f>
        <v/>
      </c>
      <c r="W398" s="23" t="str">
        <f aca="false">IF(OR($A398="",N(T398)=0),"",V398/T398)</f>
        <v/>
      </c>
      <c r="X398" s="18"/>
      <c r="Y398" s="18"/>
      <c r="Z398" s="24" t="str">
        <f aca="false">IF(AND($A398&lt;&gt;"",$X398="Oui",OR(Filtre_Masse="Tous les clients à envoyer",$Y398&lt;&gt;"Email")),MAX(Z$1:Z397)+1,"")</f>
        <v/>
      </c>
    </row>
    <row r="399" customFormat="false" ht="15" hidden="false" customHeight="false" outlineLevel="0" collapsed="false">
      <c r="A399" s="18"/>
      <c r="B399" s="18"/>
      <c r="C399" s="18"/>
      <c r="D399" s="18"/>
      <c r="E399" s="18"/>
      <c r="F399" s="18"/>
      <c r="G399" s="18"/>
      <c r="H399" s="19"/>
      <c r="I399" s="18"/>
      <c r="J399" s="18"/>
      <c r="K399" s="20"/>
      <c r="L399" s="20"/>
      <c r="M399" s="20"/>
      <c r="N399" s="20"/>
      <c r="O399" s="21"/>
      <c r="P399" s="22" t="n">
        <f aca="false">IF(OR($A399="",N(K399)=0),0,CEILING(K399*(1+IF($O399="",Taux_Compta,$O399))-0.005,Pas_Arrondi))</f>
        <v>0</v>
      </c>
      <c r="Q399" s="22" t="n">
        <f aca="false">IF(OR($A399="",N(L399)=0),0,CEILING(L399*(1+IF($O399="",Taux_Paye,$O399))-0.005,Pas_Arrondi))</f>
        <v>0</v>
      </c>
      <c r="R399" s="22" t="n">
        <f aca="false">IF(OR($A399="",N(M399)=0),0,CEILING(M399*(1+IF($O399="",Taux_Jur,$O399))-0.005,Pas_Arrondi))</f>
        <v>0</v>
      </c>
      <c r="S399" s="22" t="n">
        <f aca="false">IF(OR($A399="",N(N399)=0),0,CEILING(N399*(1+IF($O399="",Taux_PA,$O399))-0.005,Pas_Arrondi))</f>
        <v>0</v>
      </c>
      <c r="T399" s="22" t="str">
        <f aca="false">IF($A399="","",SUM(K399:N399))</f>
        <v/>
      </c>
      <c r="U399" s="22" t="str">
        <f aca="false">IF($A399="","",SUM(P399:S399))</f>
        <v/>
      </c>
      <c r="V399" s="22" t="str">
        <f aca="false">IF($A399="","",U399-T399)</f>
        <v/>
      </c>
      <c r="W399" s="23" t="str">
        <f aca="false">IF(OR($A399="",N(T399)=0),"",V399/T399)</f>
        <v/>
      </c>
      <c r="X399" s="18"/>
      <c r="Y399" s="18"/>
      <c r="Z399" s="24" t="str">
        <f aca="false">IF(AND($A399&lt;&gt;"",$X399="Oui",OR(Filtre_Masse="Tous les clients à envoyer",$Y399&lt;&gt;"Email")),MAX(Z$1:Z398)+1,"")</f>
        <v/>
      </c>
    </row>
    <row r="400" customFormat="false" ht="15" hidden="false" customHeight="false" outlineLevel="0" collapsed="false">
      <c r="A400" s="18"/>
      <c r="B400" s="18"/>
      <c r="C400" s="18"/>
      <c r="D400" s="18"/>
      <c r="E400" s="18"/>
      <c r="F400" s="18"/>
      <c r="G400" s="18"/>
      <c r="H400" s="19"/>
      <c r="I400" s="18"/>
      <c r="J400" s="18"/>
      <c r="K400" s="20"/>
      <c r="L400" s="20"/>
      <c r="M400" s="20"/>
      <c r="N400" s="20"/>
      <c r="O400" s="21"/>
      <c r="P400" s="22" t="n">
        <f aca="false">IF(OR($A400="",N(K400)=0),0,CEILING(K400*(1+IF($O400="",Taux_Compta,$O400))-0.005,Pas_Arrondi))</f>
        <v>0</v>
      </c>
      <c r="Q400" s="22" t="n">
        <f aca="false">IF(OR($A400="",N(L400)=0),0,CEILING(L400*(1+IF($O400="",Taux_Paye,$O400))-0.005,Pas_Arrondi))</f>
        <v>0</v>
      </c>
      <c r="R400" s="22" t="n">
        <f aca="false">IF(OR($A400="",N(M400)=0),0,CEILING(M400*(1+IF($O400="",Taux_Jur,$O400))-0.005,Pas_Arrondi))</f>
        <v>0</v>
      </c>
      <c r="S400" s="22" t="n">
        <f aca="false">IF(OR($A400="",N(N400)=0),0,CEILING(N400*(1+IF($O400="",Taux_PA,$O400))-0.005,Pas_Arrondi))</f>
        <v>0</v>
      </c>
      <c r="T400" s="22" t="str">
        <f aca="false">IF($A400="","",SUM(K400:N400))</f>
        <v/>
      </c>
      <c r="U400" s="22" t="str">
        <f aca="false">IF($A400="","",SUM(P400:S400))</f>
        <v/>
      </c>
      <c r="V400" s="22" t="str">
        <f aca="false">IF($A400="","",U400-T400)</f>
        <v/>
      </c>
      <c r="W400" s="23" t="str">
        <f aca="false">IF(OR($A400="",N(T400)=0),"",V400/T400)</f>
        <v/>
      </c>
      <c r="X400" s="18"/>
      <c r="Y400" s="18"/>
      <c r="Z400" s="24" t="str">
        <f aca="false">IF(AND($A400&lt;&gt;"",$X400="Oui",OR(Filtre_Masse="Tous les clients à envoyer",$Y400&lt;&gt;"Email")),MAX(Z$1:Z399)+1,"")</f>
        <v/>
      </c>
    </row>
    <row r="401" customFormat="false" ht="15" hidden="false" customHeight="false" outlineLevel="0" collapsed="false">
      <c r="A401" s="18"/>
      <c r="B401" s="18"/>
      <c r="C401" s="18"/>
      <c r="D401" s="18"/>
      <c r="E401" s="18"/>
      <c r="F401" s="18"/>
      <c r="G401" s="18"/>
      <c r="H401" s="19"/>
      <c r="I401" s="18"/>
      <c r="J401" s="18"/>
      <c r="K401" s="20"/>
      <c r="L401" s="20"/>
      <c r="M401" s="20"/>
      <c r="N401" s="20"/>
      <c r="O401" s="21"/>
      <c r="P401" s="22" t="n">
        <f aca="false">IF(OR($A401="",N(K401)=0),0,CEILING(K401*(1+IF($O401="",Taux_Compta,$O401))-0.005,Pas_Arrondi))</f>
        <v>0</v>
      </c>
      <c r="Q401" s="22" t="n">
        <f aca="false">IF(OR($A401="",N(L401)=0),0,CEILING(L401*(1+IF($O401="",Taux_Paye,$O401))-0.005,Pas_Arrondi))</f>
        <v>0</v>
      </c>
      <c r="R401" s="22" t="n">
        <f aca="false">IF(OR($A401="",N(M401)=0),0,CEILING(M401*(1+IF($O401="",Taux_Jur,$O401))-0.005,Pas_Arrondi))</f>
        <v>0</v>
      </c>
      <c r="S401" s="22" t="n">
        <f aca="false">IF(OR($A401="",N(N401)=0),0,CEILING(N401*(1+IF($O401="",Taux_PA,$O401))-0.005,Pas_Arrondi))</f>
        <v>0</v>
      </c>
      <c r="T401" s="22" t="str">
        <f aca="false">IF($A401="","",SUM(K401:N401))</f>
        <v/>
      </c>
      <c r="U401" s="22" t="str">
        <f aca="false">IF($A401="","",SUM(P401:S401))</f>
        <v/>
      </c>
      <c r="V401" s="22" t="str">
        <f aca="false">IF($A401="","",U401-T401)</f>
        <v/>
      </c>
      <c r="W401" s="23" t="str">
        <f aca="false">IF(OR($A401="",N(T401)=0),"",V401/T401)</f>
        <v/>
      </c>
      <c r="X401" s="18"/>
      <c r="Y401" s="18"/>
      <c r="Z401" s="24" t="str">
        <f aca="false">IF(AND($A401&lt;&gt;"",$X401="Oui",OR(Filtre_Masse="Tous les clients à envoyer",$Y401&lt;&gt;"Email")),MAX(Z$1:Z400)+1,"")</f>
        <v/>
      </c>
    </row>
    <row r="402" customFormat="false" ht="15" hidden="false" customHeight="false" outlineLevel="0" collapsed="false">
      <c r="A402" s="18"/>
      <c r="B402" s="18"/>
      <c r="C402" s="18"/>
      <c r="D402" s="18"/>
      <c r="E402" s="18"/>
      <c r="F402" s="18"/>
      <c r="G402" s="18"/>
      <c r="H402" s="19"/>
      <c r="I402" s="18"/>
      <c r="J402" s="18"/>
      <c r="K402" s="20"/>
      <c r="L402" s="20"/>
      <c r="M402" s="20"/>
      <c r="N402" s="20"/>
      <c r="O402" s="21"/>
      <c r="P402" s="22" t="n">
        <f aca="false">IF(OR($A402="",N(K402)=0),0,CEILING(K402*(1+IF($O402="",Taux_Compta,$O402))-0.005,Pas_Arrondi))</f>
        <v>0</v>
      </c>
      <c r="Q402" s="22" t="n">
        <f aca="false">IF(OR($A402="",N(L402)=0),0,CEILING(L402*(1+IF($O402="",Taux_Paye,$O402))-0.005,Pas_Arrondi))</f>
        <v>0</v>
      </c>
      <c r="R402" s="22" t="n">
        <f aca="false">IF(OR($A402="",N(M402)=0),0,CEILING(M402*(1+IF($O402="",Taux_Jur,$O402))-0.005,Pas_Arrondi))</f>
        <v>0</v>
      </c>
      <c r="S402" s="22" t="n">
        <f aca="false">IF(OR($A402="",N(N402)=0),0,CEILING(N402*(1+IF($O402="",Taux_PA,$O402))-0.005,Pas_Arrondi))</f>
        <v>0</v>
      </c>
      <c r="T402" s="22" t="str">
        <f aca="false">IF($A402="","",SUM(K402:N402))</f>
        <v/>
      </c>
      <c r="U402" s="22" t="str">
        <f aca="false">IF($A402="","",SUM(P402:S402))</f>
        <v/>
      </c>
      <c r="V402" s="22" t="str">
        <f aca="false">IF($A402="","",U402-T402)</f>
        <v/>
      </c>
      <c r="W402" s="23" t="str">
        <f aca="false">IF(OR($A402="",N(T402)=0),"",V402/T402)</f>
        <v/>
      </c>
      <c r="X402" s="18"/>
      <c r="Y402" s="18"/>
      <c r="Z402" s="24" t="str">
        <f aca="false">IF(AND($A402&lt;&gt;"",$X402="Oui",OR(Filtre_Masse="Tous les clients à envoyer",$Y402&lt;&gt;"Email")),MAX(Z$1:Z401)+1,"")</f>
        <v/>
      </c>
    </row>
    <row r="403" customFormat="false" ht="15" hidden="false" customHeight="false" outlineLevel="0" collapsed="false">
      <c r="A403" s="18"/>
      <c r="B403" s="18"/>
      <c r="C403" s="18"/>
      <c r="D403" s="18"/>
      <c r="E403" s="18"/>
      <c r="F403" s="18"/>
      <c r="G403" s="18"/>
      <c r="H403" s="19"/>
      <c r="I403" s="18"/>
      <c r="J403" s="18"/>
      <c r="K403" s="20"/>
      <c r="L403" s="20"/>
      <c r="M403" s="20"/>
      <c r="N403" s="20"/>
      <c r="O403" s="21"/>
      <c r="P403" s="22" t="n">
        <f aca="false">IF(OR($A403="",N(K403)=0),0,CEILING(K403*(1+IF($O403="",Taux_Compta,$O403))-0.005,Pas_Arrondi))</f>
        <v>0</v>
      </c>
      <c r="Q403" s="22" t="n">
        <f aca="false">IF(OR($A403="",N(L403)=0),0,CEILING(L403*(1+IF($O403="",Taux_Paye,$O403))-0.005,Pas_Arrondi))</f>
        <v>0</v>
      </c>
      <c r="R403" s="22" t="n">
        <f aca="false">IF(OR($A403="",N(M403)=0),0,CEILING(M403*(1+IF($O403="",Taux_Jur,$O403))-0.005,Pas_Arrondi))</f>
        <v>0</v>
      </c>
      <c r="S403" s="22" t="n">
        <f aca="false">IF(OR($A403="",N(N403)=0),0,CEILING(N403*(1+IF($O403="",Taux_PA,$O403))-0.005,Pas_Arrondi))</f>
        <v>0</v>
      </c>
      <c r="T403" s="22" t="str">
        <f aca="false">IF($A403="","",SUM(K403:N403))</f>
        <v/>
      </c>
      <c r="U403" s="22" t="str">
        <f aca="false">IF($A403="","",SUM(P403:S403))</f>
        <v/>
      </c>
      <c r="V403" s="22" t="str">
        <f aca="false">IF($A403="","",U403-T403)</f>
        <v/>
      </c>
      <c r="W403" s="23" t="str">
        <f aca="false">IF(OR($A403="",N(T403)=0),"",V403/T403)</f>
        <v/>
      </c>
      <c r="X403" s="18"/>
      <c r="Y403" s="18"/>
      <c r="Z403" s="24" t="str">
        <f aca="false">IF(AND($A403&lt;&gt;"",$X403="Oui",OR(Filtre_Masse="Tous les clients à envoyer",$Y403&lt;&gt;"Email")),MAX(Z$1:Z402)+1,"")</f>
        <v/>
      </c>
    </row>
    <row r="404" customFormat="false" ht="15" hidden="false" customHeight="false" outlineLevel="0" collapsed="false">
      <c r="A404" s="18"/>
      <c r="B404" s="18"/>
      <c r="C404" s="18"/>
      <c r="D404" s="18"/>
      <c r="E404" s="18"/>
      <c r="F404" s="18"/>
      <c r="G404" s="18"/>
      <c r="H404" s="19"/>
      <c r="I404" s="18"/>
      <c r="J404" s="18"/>
      <c r="K404" s="20"/>
      <c r="L404" s="20"/>
      <c r="M404" s="20"/>
      <c r="N404" s="20"/>
      <c r="O404" s="21"/>
      <c r="P404" s="22" t="n">
        <f aca="false">IF(OR($A404="",N(K404)=0),0,CEILING(K404*(1+IF($O404="",Taux_Compta,$O404))-0.005,Pas_Arrondi))</f>
        <v>0</v>
      </c>
      <c r="Q404" s="22" t="n">
        <f aca="false">IF(OR($A404="",N(L404)=0),0,CEILING(L404*(1+IF($O404="",Taux_Paye,$O404))-0.005,Pas_Arrondi))</f>
        <v>0</v>
      </c>
      <c r="R404" s="22" t="n">
        <f aca="false">IF(OR($A404="",N(M404)=0),0,CEILING(M404*(1+IF($O404="",Taux_Jur,$O404))-0.005,Pas_Arrondi))</f>
        <v>0</v>
      </c>
      <c r="S404" s="22" t="n">
        <f aca="false">IF(OR($A404="",N(N404)=0),0,CEILING(N404*(1+IF($O404="",Taux_PA,$O404))-0.005,Pas_Arrondi))</f>
        <v>0</v>
      </c>
      <c r="T404" s="22" t="str">
        <f aca="false">IF($A404="","",SUM(K404:N404))</f>
        <v/>
      </c>
      <c r="U404" s="22" t="str">
        <f aca="false">IF($A404="","",SUM(P404:S404))</f>
        <v/>
      </c>
      <c r="V404" s="22" t="str">
        <f aca="false">IF($A404="","",U404-T404)</f>
        <v/>
      </c>
      <c r="W404" s="23" t="str">
        <f aca="false">IF(OR($A404="",N(T404)=0),"",V404/T404)</f>
        <v/>
      </c>
      <c r="X404" s="18"/>
      <c r="Y404" s="18"/>
      <c r="Z404" s="24" t="str">
        <f aca="false">IF(AND($A404&lt;&gt;"",$X404="Oui",OR(Filtre_Masse="Tous les clients à envoyer",$Y404&lt;&gt;"Email")),MAX(Z$1:Z403)+1,"")</f>
        <v/>
      </c>
    </row>
    <row r="405" customFormat="false" ht="15" hidden="false" customHeight="false" outlineLevel="0" collapsed="false">
      <c r="A405" s="18"/>
      <c r="B405" s="18"/>
      <c r="C405" s="18"/>
      <c r="D405" s="18"/>
      <c r="E405" s="18"/>
      <c r="F405" s="18"/>
      <c r="G405" s="18"/>
      <c r="H405" s="19"/>
      <c r="I405" s="18"/>
      <c r="J405" s="18"/>
      <c r="K405" s="20"/>
      <c r="L405" s="20"/>
      <c r="M405" s="20"/>
      <c r="N405" s="20"/>
      <c r="O405" s="21"/>
      <c r="P405" s="22" t="n">
        <f aca="false">IF(OR($A405="",N(K405)=0),0,CEILING(K405*(1+IF($O405="",Taux_Compta,$O405))-0.005,Pas_Arrondi))</f>
        <v>0</v>
      </c>
      <c r="Q405" s="22" t="n">
        <f aca="false">IF(OR($A405="",N(L405)=0),0,CEILING(L405*(1+IF($O405="",Taux_Paye,$O405))-0.005,Pas_Arrondi))</f>
        <v>0</v>
      </c>
      <c r="R405" s="22" t="n">
        <f aca="false">IF(OR($A405="",N(M405)=0),0,CEILING(M405*(1+IF($O405="",Taux_Jur,$O405))-0.005,Pas_Arrondi))</f>
        <v>0</v>
      </c>
      <c r="S405" s="22" t="n">
        <f aca="false">IF(OR($A405="",N(N405)=0),0,CEILING(N405*(1+IF($O405="",Taux_PA,$O405))-0.005,Pas_Arrondi))</f>
        <v>0</v>
      </c>
      <c r="T405" s="22" t="str">
        <f aca="false">IF($A405="","",SUM(K405:N405))</f>
        <v/>
      </c>
      <c r="U405" s="22" t="str">
        <f aca="false">IF($A405="","",SUM(P405:S405))</f>
        <v/>
      </c>
      <c r="V405" s="22" t="str">
        <f aca="false">IF($A405="","",U405-T405)</f>
        <v/>
      </c>
      <c r="W405" s="23" t="str">
        <f aca="false">IF(OR($A405="",N(T405)=0),"",V405/T405)</f>
        <v/>
      </c>
      <c r="X405" s="18"/>
      <c r="Y405" s="18"/>
      <c r="Z405" s="24" t="str">
        <f aca="false">IF(AND($A405&lt;&gt;"",$X405="Oui",OR(Filtre_Masse="Tous les clients à envoyer",$Y405&lt;&gt;"Email")),MAX(Z$1:Z404)+1,"")</f>
        <v/>
      </c>
    </row>
    <row r="406" customFormat="false" ht="15" hidden="false" customHeight="false" outlineLevel="0" collapsed="false">
      <c r="A406" s="18"/>
      <c r="B406" s="18"/>
      <c r="C406" s="18"/>
      <c r="D406" s="18"/>
      <c r="E406" s="18"/>
      <c r="F406" s="18"/>
      <c r="G406" s="18"/>
      <c r="H406" s="19"/>
      <c r="I406" s="18"/>
      <c r="J406" s="18"/>
      <c r="K406" s="20"/>
      <c r="L406" s="20"/>
      <c r="M406" s="20"/>
      <c r="N406" s="20"/>
      <c r="O406" s="21"/>
      <c r="P406" s="22" t="n">
        <f aca="false">IF(OR($A406="",N(K406)=0),0,CEILING(K406*(1+IF($O406="",Taux_Compta,$O406))-0.005,Pas_Arrondi))</f>
        <v>0</v>
      </c>
      <c r="Q406" s="22" t="n">
        <f aca="false">IF(OR($A406="",N(L406)=0),0,CEILING(L406*(1+IF($O406="",Taux_Paye,$O406))-0.005,Pas_Arrondi))</f>
        <v>0</v>
      </c>
      <c r="R406" s="22" t="n">
        <f aca="false">IF(OR($A406="",N(M406)=0),0,CEILING(M406*(1+IF($O406="",Taux_Jur,$O406))-0.005,Pas_Arrondi))</f>
        <v>0</v>
      </c>
      <c r="S406" s="22" t="n">
        <f aca="false">IF(OR($A406="",N(N406)=0),0,CEILING(N406*(1+IF($O406="",Taux_PA,$O406))-0.005,Pas_Arrondi))</f>
        <v>0</v>
      </c>
      <c r="T406" s="22" t="str">
        <f aca="false">IF($A406="","",SUM(K406:N406))</f>
        <v/>
      </c>
      <c r="U406" s="22" t="str">
        <f aca="false">IF($A406="","",SUM(P406:S406))</f>
        <v/>
      </c>
      <c r="V406" s="22" t="str">
        <f aca="false">IF($A406="","",U406-T406)</f>
        <v/>
      </c>
      <c r="W406" s="23" t="str">
        <f aca="false">IF(OR($A406="",N(T406)=0),"",V406/T406)</f>
        <v/>
      </c>
      <c r="X406" s="18"/>
      <c r="Y406" s="18"/>
      <c r="Z406" s="24" t="str">
        <f aca="false">IF(AND($A406&lt;&gt;"",$X406="Oui",OR(Filtre_Masse="Tous les clients à envoyer",$Y406&lt;&gt;"Email")),MAX(Z$1:Z405)+1,"")</f>
        <v/>
      </c>
    </row>
    <row r="407" customFormat="false" ht="15" hidden="false" customHeight="false" outlineLevel="0" collapsed="false">
      <c r="A407" s="18"/>
      <c r="B407" s="18"/>
      <c r="C407" s="18"/>
      <c r="D407" s="18"/>
      <c r="E407" s="18"/>
      <c r="F407" s="18"/>
      <c r="G407" s="18"/>
      <c r="H407" s="19"/>
      <c r="I407" s="18"/>
      <c r="J407" s="18"/>
      <c r="K407" s="20"/>
      <c r="L407" s="20"/>
      <c r="M407" s="20"/>
      <c r="N407" s="20"/>
      <c r="O407" s="21"/>
      <c r="P407" s="22" t="n">
        <f aca="false">IF(OR($A407="",N(K407)=0),0,CEILING(K407*(1+IF($O407="",Taux_Compta,$O407))-0.005,Pas_Arrondi))</f>
        <v>0</v>
      </c>
      <c r="Q407" s="22" t="n">
        <f aca="false">IF(OR($A407="",N(L407)=0),0,CEILING(L407*(1+IF($O407="",Taux_Paye,$O407))-0.005,Pas_Arrondi))</f>
        <v>0</v>
      </c>
      <c r="R407" s="22" t="n">
        <f aca="false">IF(OR($A407="",N(M407)=0),0,CEILING(M407*(1+IF($O407="",Taux_Jur,$O407))-0.005,Pas_Arrondi))</f>
        <v>0</v>
      </c>
      <c r="S407" s="22" t="n">
        <f aca="false">IF(OR($A407="",N(N407)=0),0,CEILING(N407*(1+IF($O407="",Taux_PA,$O407))-0.005,Pas_Arrondi))</f>
        <v>0</v>
      </c>
      <c r="T407" s="22" t="str">
        <f aca="false">IF($A407="","",SUM(K407:N407))</f>
        <v/>
      </c>
      <c r="U407" s="22" t="str">
        <f aca="false">IF($A407="","",SUM(P407:S407))</f>
        <v/>
      </c>
      <c r="V407" s="22" t="str">
        <f aca="false">IF($A407="","",U407-T407)</f>
        <v/>
      </c>
      <c r="W407" s="23" t="str">
        <f aca="false">IF(OR($A407="",N(T407)=0),"",V407/T407)</f>
        <v/>
      </c>
      <c r="X407" s="18"/>
      <c r="Y407" s="18"/>
      <c r="Z407" s="24" t="str">
        <f aca="false">IF(AND($A407&lt;&gt;"",$X407="Oui",OR(Filtre_Masse="Tous les clients à envoyer",$Y407&lt;&gt;"Email")),MAX(Z$1:Z406)+1,"")</f>
        <v/>
      </c>
    </row>
    <row r="408" customFormat="false" ht="15" hidden="false" customHeight="false" outlineLevel="0" collapsed="false">
      <c r="A408" s="18"/>
      <c r="B408" s="18"/>
      <c r="C408" s="18"/>
      <c r="D408" s="18"/>
      <c r="E408" s="18"/>
      <c r="F408" s="18"/>
      <c r="G408" s="18"/>
      <c r="H408" s="19"/>
      <c r="I408" s="18"/>
      <c r="J408" s="18"/>
      <c r="K408" s="20"/>
      <c r="L408" s="20"/>
      <c r="M408" s="20"/>
      <c r="N408" s="20"/>
      <c r="O408" s="21"/>
      <c r="P408" s="22" t="n">
        <f aca="false">IF(OR($A408="",N(K408)=0),0,CEILING(K408*(1+IF($O408="",Taux_Compta,$O408))-0.005,Pas_Arrondi))</f>
        <v>0</v>
      </c>
      <c r="Q408" s="22" t="n">
        <f aca="false">IF(OR($A408="",N(L408)=0),0,CEILING(L408*(1+IF($O408="",Taux_Paye,$O408))-0.005,Pas_Arrondi))</f>
        <v>0</v>
      </c>
      <c r="R408" s="22" t="n">
        <f aca="false">IF(OR($A408="",N(M408)=0),0,CEILING(M408*(1+IF($O408="",Taux_Jur,$O408))-0.005,Pas_Arrondi))</f>
        <v>0</v>
      </c>
      <c r="S408" s="22" t="n">
        <f aca="false">IF(OR($A408="",N(N408)=0),0,CEILING(N408*(1+IF($O408="",Taux_PA,$O408))-0.005,Pas_Arrondi))</f>
        <v>0</v>
      </c>
      <c r="T408" s="22" t="str">
        <f aca="false">IF($A408="","",SUM(K408:N408))</f>
        <v/>
      </c>
      <c r="U408" s="22" t="str">
        <f aca="false">IF($A408="","",SUM(P408:S408))</f>
        <v/>
      </c>
      <c r="V408" s="22" t="str">
        <f aca="false">IF($A408="","",U408-T408)</f>
        <v/>
      </c>
      <c r="W408" s="23" t="str">
        <f aca="false">IF(OR($A408="",N(T408)=0),"",V408/T408)</f>
        <v/>
      </c>
      <c r="X408" s="18"/>
      <c r="Y408" s="18"/>
      <c r="Z408" s="24" t="str">
        <f aca="false">IF(AND($A408&lt;&gt;"",$X408="Oui",OR(Filtre_Masse="Tous les clients à envoyer",$Y408&lt;&gt;"Email")),MAX(Z$1:Z407)+1,"")</f>
        <v/>
      </c>
    </row>
    <row r="409" customFormat="false" ht="15" hidden="false" customHeight="false" outlineLevel="0" collapsed="false">
      <c r="A409" s="18"/>
      <c r="B409" s="18"/>
      <c r="C409" s="18"/>
      <c r="D409" s="18"/>
      <c r="E409" s="18"/>
      <c r="F409" s="18"/>
      <c r="G409" s="18"/>
      <c r="H409" s="19"/>
      <c r="I409" s="18"/>
      <c r="J409" s="18"/>
      <c r="K409" s="20"/>
      <c r="L409" s="20"/>
      <c r="M409" s="20"/>
      <c r="N409" s="20"/>
      <c r="O409" s="21"/>
      <c r="P409" s="22" t="n">
        <f aca="false">IF(OR($A409="",N(K409)=0),0,CEILING(K409*(1+IF($O409="",Taux_Compta,$O409))-0.005,Pas_Arrondi))</f>
        <v>0</v>
      </c>
      <c r="Q409" s="22" t="n">
        <f aca="false">IF(OR($A409="",N(L409)=0),0,CEILING(L409*(1+IF($O409="",Taux_Paye,$O409))-0.005,Pas_Arrondi))</f>
        <v>0</v>
      </c>
      <c r="R409" s="22" t="n">
        <f aca="false">IF(OR($A409="",N(M409)=0),0,CEILING(M409*(1+IF($O409="",Taux_Jur,$O409))-0.005,Pas_Arrondi))</f>
        <v>0</v>
      </c>
      <c r="S409" s="22" t="n">
        <f aca="false">IF(OR($A409="",N(N409)=0),0,CEILING(N409*(1+IF($O409="",Taux_PA,$O409))-0.005,Pas_Arrondi))</f>
        <v>0</v>
      </c>
      <c r="T409" s="22" t="str">
        <f aca="false">IF($A409="","",SUM(K409:N409))</f>
        <v/>
      </c>
      <c r="U409" s="22" t="str">
        <f aca="false">IF($A409="","",SUM(P409:S409))</f>
        <v/>
      </c>
      <c r="V409" s="22" t="str">
        <f aca="false">IF($A409="","",U409-T409)</f>
        <v/>
      </c>
      <c r="W409" s="23" t="str">
        <f aca="false">IF(OR($A409="",N(T409)=0),"",V409/T409)</f>
        <v/>
      </c>
      <c r="X409" s="18"/>
      <c r="Y409" s="18"/>
      <c r="Z409" s="24" t="str">
        <f aca="false">IF(AND($A409&lt;&gt;"",$X409="Oui",OR(Filtre_Masse="Tous les clients à envoyer",$Y409&lt;&gt;"Email")),MAX(Z$1:Z408)+1,"")</f>
        <v/>
      </c>
    </row>
    <row r="410" customFormat="false" ht="15" hidden="false" customHeight="false" outlineLevel="0" collapsed="false">
      <c r="A410" s="18"/>
      <c r="B410" s="18"/>
      <c r="C410" s="18"/>
      <c r="D410" s="18"/>
      <c r="E410" s="18"/>
      <c r="F410" s="18"/>
      <c r="G410" s="18"/>
      <c r="H410" s="19"/>
      <c r="I410" s="18"/>
      <c r="J410" s="18"/>
      <c r="K410" s="20"/>
      <c r="L410" s="20"/>
      <c r="M410" s="20"/>
      <c r="N410" s="20"/>
      <c r="O410" s="21"/>
      <c r="P410" s="22" t="n">
        <f aca="false">IF(OR($A410="",N(K410)=0),0,CEILING(K410*(1+IF($O410="",Taux_Compta,$O410))-0.005,Pas_Arrondi))</f>
        <v>0</v>
      </c>
      <c r="Q410" s="22" t="n">
        <f aca="false">IF(OR($A410="",N(L410)=0),0,CEILING(L410*(1+IF($O410="",Taux_Paye,$O410))-0.005,Pas_Arrondi))</f>
        <v>0</v>
      </c>
      <c r="R410" s="22" t="n">
        <f aca="false">IF(OR($A410="",N(M410)=0),0,CEILING(M410*(1+IF($O410="",Taux_Jur,$O410))-0.005,Pas_Arrondi))</f>
        <v>0</v>
      </c>
      <c r="S410" s="22" t="n">
        <f aca="false">IF(OR($A410="",N(N410)=0),0,CEILING(N410*(1+IF($O410="",Taux_PA,$O410))-0.005,Pas_Arrondi))</f>
        <v>0</v>
      </c>
      <c r="T410" s="22" t="str">
        <f aca="false">IF($A410="","",SUM(K410:N410))</f>
        <v/>
      </c>
      <c r="U410" s="22" t="str">
        <f aca="false">IF($A410="","",SUM(P410:S410))</f>
        <v/>
      </c>
      <c r="V410" s="22" t="str">
        <f aca="false">IF($A410="","",U410-T410)</f>
        <v/>
      </c>
      <c r="W410" s="23" t="str">
        <f aca="false">IF(OR($A410="",N(T410)=0),"",V410/T410)</f>
        <v/>
      </c>
      <c r="X410" s="18"/>
      <c r="Y410" s="18"/>
      <c r="Z410" s="24" t="str">
        <f aca="false">IF(AND($A410&lt;&gt;"",$X410="Oui",OR(Filtre_Masse="Tous les clients à envoyer",$Y410&lt;&gt;"Email")),MAX(Z$1:Z409)+1,"")</f>
        <v/>
      </c>
    </row>
    <row r="411" customFormat="false" ht="15" hidden="false" customHeight="false" outlineLevel="0" collapsed="false">
      <c r="A411" s="18"/>
      <c r="B411" s="18"/>
      <c r="C411" s="18"/>
      <c r="D411" s="18"/>
      <c r="E411" s="18"/>
      <c r="F411" s="18"/>
      <c r="G411" s="18"/>
      <c r="H411" s="19"/>
      <c r="I411" s="18"/>
      <c r="J411" s="18"/>
      <c r="K411" s="20"/>
      <c r="L411" s="20"/>
      <c r="M411" s="20"/>
      <c r="N411" s="20"/>
      <c r="O411" s="21"/>
      <c r="P411" s="22" t="n">
        <f aca="false">IF(OR($A411="",N(K411)=0),0,CEILING(K411*(1+IF($O411="",Taux_Compta,$O411))-0.005,Pas_Arrondi))</f>
        <v>0</v>
      </c>
      <c r="Q411" s="22" t="n">
        <f aca="false">IF(OR($A411="",N(L411)=0),0,CEILING(L411*(1+IF($O411="",Taux_Paye,$O411))-0.005,Pas_Arrondi))</f>
        <v>0</v>
      </c>
      <c r="R411" s="22" t="n">
        <f aca="false">IF(OR($A411="",N(M411)=0),0,CEILING(M411*(1+IF($O411="",Taux_Jur,$O411))-0.005,Pas_Arrondi))</f>
        <v>0</v>
      </c>
      <c r="S411" s="22" t="n">
        <f aca="false">IF(OR($A411="",N(N411)=0),0,CEILING(N411*(1+IF($O411="",Taux_PA,$O411))-0.005,Pas_Arrondi))</f>
        <v>0</v>
      </c>
      <c r="T411" s="22" t="str">
        <f aca="false">IF($A411="","",SUM(K411:N411))</f>
        <v/>
      </c>
      <c r="U411" s="22" t="str">
        <f aca="false">IF($A411="","",SUM(P411:S411))</f>
        <v/>
      </c>
      <c r="V411" s="22" t="str">
        <f aca="false">IF($A411="","",U411-T411)</f>
        <v/>
      </c>
      <c r="W411" s="23" t="str">
        <f aca="false">IF(OR($A411="",N(T411)=0),"",V411/T411)</f>
        <v/>
      </c>
      <c r="X411" s="18"/>
      <c r="Y411" s="18"/>
      <c r="Z411" s="24" t="str">
        <f aca="false">IF(AND($A411&lt;&gt;"",$X411="Oui",OR(Filtre_Masse="Tous les clients à envoyer",$Y411&lt;&gt;"Email")),MAX(Z$1:Z410)+1,"")</f>
        <v/>
      </c>
    </row>
    <row r="412" customFormat="false" ht="15" hidden="false" customHeight="false" outlineLevel="0" collapsed="false">
      <c r="A412" s="18"/>
      <c r="B412" s="18"/>
      <c r="C412" s="18"/>
      <c r="D412" s="18"/>
      <c r="E412" s="18"/>
      <c r="F412" s="18"/>
      <c r="G412" s="18"/>
      <c r="H412" s="19"/>
      <c r="I412" s="18"/>
      <c r="J412" s="18"/>
      <c r="K412" s="20"/>
      <c r="L412" s="20"/>
      <c r="M412" s="20"/>
      <c r="N412" s="20"/>
      <c r="O412" s="21"/>
      <c r="P412" s="22" t="n">
        <f aca="false">IF(OR($A412="",N(K412)=0),0,CEILING(K412*(1+IF($O412="",Taux_Compta,$O412))-0.005,Pas_Arrondi))</f>
        <v>0</v>
      </c>
      <c r="Q412" s="22" t="n">
        <f aca="false">IF(OR($A412="",N(L412)=0),0,CEILING(L412*(1+IF($O412="",Taux_Paye,$O412))-0.005,Pas_Arrondi))</f>
        <v>0</v>
      </c>
      <c r="R412" s="22" t="n">
        <f aca="false">IF(OR($A412="",N(M412)=0),0,CEILING(M412*(1+IF($O412="",Taux_Jur,$O412))-0.005,Pas_Arrondi))</f>
        <v>0</v>
      </c>
      <c r="S412" s="22" t="n">
        <f aca="false">IF(OR($A412="",N(N412)=0),0,CEILING(N412*(1+IF($O412="",Taux_PA,$O412))-0.005,Pas_Arrondi))</f>
        <v>0</v>
      </c>
      <c r="T412" s="22" t="str">
        <f aca="false">IF($A412="","",SUM(K412:N412))</f>
        <v/>
      </c>
      <c r="U412" s="22" t="str">
        <f aca="false">IF($A412="","",SUM(P412:S412))</f>
        <v/>
      </c>
      <c r="V412" s="22" t="str">
        <f aca="false">IF($A412="","",U412-T412)</f>
        <v/>
      </c>
      <c r="W412" s="23" t="str">
        <f aca="false">IF(OR($A412="",N(T412)=0),"",V412/T412)</f>
        <v/>
      </c>
      <c r="X412" s="18"/>
      <c r="Y412" s="18"/>
      <c r="Z412" s="24" t="str">
        <f aca="false">IF(AND($A412&lt;&gt;"",$X412="Oui",OR(Filtre_Masse="Tous les clients à envoyer",$Y412&lt;&gt;"Email")),MAX(Z$1:Z411)+1,"")</f>
        <v/>
      </c>
    </row>
    <row r="413" customFormat="false" ht="15" hidden="false" customHeight="false" outlineLevel="0" collapsed="false">
      <c r="A413" s="18"/>
      <c r="B413" s="18"/>
      <c r="C413" s="18"/>
      <c r="D413" s="18"/>
      <c r="E413" s="18"/>
      <c r="F413" s="18"/>
      <c r="G413" s="18"/>
      <c r="H413" s="19"/>
      <c r="I413" s="18"/>
      <c r="J413" s="18"/>
      <c r="K413" s="20"/>
      <c r="L413" s="20"/>
      <c r="M413" s="20"/>
      <c r="N413" s="20"/>
      <c r="O413" s="21"/>
      <c r="P413" s="22" t="n">
        <f aca="false">IF(OR($A413="",N(K413)=0),0,CEILING(K413*(1+IF($O413="",Taux_Compta,$O413))-0.005,Pas_Arrondi))</f>
        <v>0</v>
      </c>
      <c r="Q413" s="22" t="n">
        <f aca="false">IF(OR($A413="",N(L413)=0),0,CEILING(L413*(1+IF($O413="",Taux_Paye,$O413))-0.005,Pas_Arrondi))</f>
        <v>0</v>
      </c>
      <c r="R413" s="22" t="n">
        <f aca="false">IF(OR($A413="",N(M413)=0),0,CEILING(M413*(1+IF($O413="",Taux_Jur,$O413))-0.005,Pas_Arrondi))</f>
        <v>0</v>
      </c>
      <c r="S413" s="22" t="n">
        <f aca="false">IF(OR($A413="",N(N413)=0),0,CEILING(N413*(1+IF($O413="",Taux_PA,$O413))-0.005,Pas_Arrondi))</f>
        <v>0</v>
      </c>
      <c r="T413" s="22" t="str">
        <f aca="false">IF($A413="","",SUM(K413:N413))</f>
        <v/>
      </c>
      <c r="U413" s="22" t="str">
        <f aca="false">IF($A413="","",SUM(P413:S413))</f>
        <v/>
      </c>
      <c r="V413" s="22" t="str">
        <f aca="false">IF($A413="","",U413-T413)</f>
        <v/>
      </c>
      <c r="W413" s="23" t="str">
        <f aca="false">IF(OR($A413="",N(T413)=0),"",V413/T413)</f>
        <v/>
      </c>
      <c r="X413" s="18"/>
      <c r="Y413" s="18"/>
      <c r="Z413" s="24" t="str">
        <f aca="false">IF(AND($A413&lt;&gt;"",$X413="Oui",OR(Filtre_Masse="Tous les clients à envoyer",$Y413&lt;&gt;"Email")),MAX(Z$1:Z412)+1,"")</f>
        <v/>
      </c>
    </row>
    <row r="414" customFormat="false" ht="15" hidden="false" customHeight="false" outlineLevel="0" collapsed="false">
      <c r="A414" s="18"/>
      <c r="B414" s="18"/>
      <c r="C414" s="18"/>
      <c r="D414" s="18"/>
      <c r="E414" s="18"/>
      <c r="F414" s="18"/>
      <c r="G414" s="18"/>
      <c r="H414" s="19"/>
      <c r="I414" s="18"/>
      <c r="J414" s="18"/>
      <c r="K414" s="20"/>
      <c r="L414" s="20"/>
      <c r="M414" s="20"/>
      <c r="N414" s="20"/>
      <c r="O414" s="21"/>
      <c r="P414" s="22" t="n">
        <f aca="false">IF(OR($A414="",N(K414)=0),0,CEILING(K414*(1+IF($O414="",Taux_Compta,$O414))-0.005,Pas_Arrondi))</f>
        <v>0</v>
      </c>
      <c r="Q414" s="22" t="n">
        <f aca="false">IF(OR($A414="",N(L414)=0),0,CEILING(L414*(1+IF($O414="",Taux_Paye,$O414))-0.005,Pas_Arrondi))</f>
        <v>0</v>
      </c>
      <c r="R414" s="22" t="n">
        <f aca="false">IF(OR($A414="",N(M414)=0),0,CEILING(M414*(1+IF($O414="",Taux_Jur,$O414))-0.005,Pas_Arrondi))</f>
        <v>0</v>
      </c>
      <c r="S414" s="22" t="n">
        <f aca="false">IF(OR($A414="",N(N414)=0),0,CEILING(N414*(1+IF($O414="",Taux_PA,$O414))-0.005,Pas_Arrondi))</f>
        <v>0</v>
      </c>
      <c r="T414" s="22" t="str">
        <f aca="false">IF($A414="","",SUM(K414:N414))</f>
        <v/>
      </c>
      <c r="U414" s="22" t="str">
        <f aca="false">IF($A414="","",SUM(P414:S414))</f>
        <v/>
      </c>
      <c r="V414" s="22" t="str">
        <f aca="false">IF($A414="","",U414-T414)</f>
        <v/>
      </c>
      <c r="W414" s="23" t="str">
        <f aca="false">IF(OR($A414="",N(T414)=0),"",V414/T414)</f>
        <v/>
      </c>
      <c r="X414" s="18"/>
      <c r="Y414" s="18"/>
      <c r="Z414" s="24" t="str">
        <f aca="false">IF(AND($A414&lt;&gt;"",$X414="Oui",OR(Filtre_Masse="Tous les clients à envoyer",$Y414&lt;&gt;"Email")),MAX(Z$1:Z413)+1,"")</f>
        <v/>
      </c>
    </row>
    <row r="415" customFormat="false" ht="15" hidden="false" customHeight="false" outlineLevel="0" collapsed="false">
      <c r="A415" s="18"/>
      <c r="B415" s="18"/>
      <c r="C415" s="18"/>
      <c r="D415" s="18"/>
      <c r="E415" s="18"/>
      <c r="F415" s="18"/>
      <c r="G415" s="18"/>
      <c r="H415" s="19"/>
      <c r="I415" s="18"/>
      <c r="J415" s="18"/>
      <c r="K415" s="20"/>
      <c r="L415" s="20"/>
      <c r="M415" s="20"/>
      <c r="N415" s="20"/>
      <c r="O415" s="21"/>
      <c r="P415" s="22" t="n">
        <f aca="false">IF(OR($A415="",N(K415)=0),0,CEILING(K415*(1+IF($O415="",Taux_Compta,$O415))-0.005,Pas_Arrondi))</f>
        <v>0</v>
      </c>
      <c r="Q415" s="22" t="n">
        <f aca="false">IF(OR($A415="",N(L415)=0),0,CEILING(L415*(1+IF($O415="",Taux_Paye,$O415))-0.005,Pas_Arrondi))</f>
        <v>0</v>
      </c>
      <c r="R415" s="22" t="n">
        <f aca="false">IF(OR($A415="",N(M415)=0),0,CEILING(M415*(1+IF($O415="",Taux_Jur,$O415))-0.005,Pas_Arrondi))</f>
        <v>0</v>
      </c>
      <c r="S415" s="22" t="n">
        <f aca="false">IF(OR($A415="",N(N415)=0),0,CEILING(N415*(1+IF($O415="",Taux_PA,$O415))-0.005,Pas_Arrondi))</f>
        <v>0</v>
      </c>
      <c r="T415" s="22" t="str">
        <f aca="false">IF($A415="","",SUM(K415:N415))</f>
        <v/>
      </c>
      <c r="U415" s="22" t="str">
        <f aca="false">IF($A415="","",SUM(P415:S415))</f>
        <v/>
      </c>
      <c r="V415" s="22" t="str">
        <f aca="false">IF($A415="","",U415-T415)</f>
        <v/>
      </c>
      <c r="W415" s="23" t="str">
        <f aca="false">IF(OR($A415="",N(T415)=0),"",V415/T415)</f>
        <v/>
      </c>
      <c r="X415" s="18"/>
      <c r="Y415" s="18"/>
      <c r="Z415" s="24" t="str">
        <f aca="false">IF(AND($A415&lt;&gt;"",$X415="Oui",OR(Filtre_Masse="Tous les clients à envoyer",$Y415&lt;&gt;"Email")),MAX(Z$1:Z414)+1,"")</f>
        <v/>
      </c>
    </row>
    <row r="416" customFormat="false" ht="15" hidden="false" customHeight="false" outlineLevel="0" collapsed="false">
      <c r="A416" s="18"/>
      <c r="B416" s="18"/>
      <c r="C416" s="18"/>
      <c r="D416" s="18"/>
      <c r="E416" s="18"/>
      <c r="F416" s="18"/>
      <c r="G416" s="18"/>
      <c r="H416" s="19"/>
      <c r="I416" s="18"/>
      <c r="J416" s="18"/>
      <c r="K416" s="20"/>
      <c r="L416" s="20"/>
      <c r="M416" s="20"/>
      <c r="N416" s="20"/>
      <c r="O416" s="21"/>
      <c r="P416" s="22" t="n">
        <f aca="false">IF(OR($A416="",N(K416)=0),0,CEILING(K416*(1+IF($O416="",Taux_Compta,$O416))-0.005,Pas_Arrondi))</f>
        <v>0</v>
      </c>
      <c r="Q416" s="22" t="n">
        <f aca="false">IF(OR($A416="",N(L416)=0),0,CEILING(L416*(1+IF($O416="",Taux_Paye,$O416))-0.005,Pas_Arrondi))</f>
        <v>0</v>
      </c>
      <c r="R416" s="22" t="n">
        <f aca="false">IF(OR($A416="",N(M416)=0),0,CEILING(M416*(1+IF($O416="",Taux_Jur,$O416))-0.005,Pas_Arrondi))</f>
        <v>0</v>
      </c>
      <c r="S416" s="22" t="n">
        <f aca="false">IF(OR($A416="",N(N416)=0),0,CEILING(N416*(1+IF($O416="",Taux_PA,$O416))-0.005,Pas_Arrondi))</f>
        <v>0</v>
      </c>
      <c r="T416" s="22" t="str">
        <f aca="false">IF($A416="","",SUM(K416:N416))</f>
        <v/>
      </c>
      <c r="U416" s="22" t="str">
        <f aca="false">IF($A416="","",SUM(P416:S416))</f>
        <v/>
      </c>
      <c r="V416" s="22" t="str">
        <f aca="false">IF($A416="","",U416-T416)</f>
        <v/>
      </c>
      <c r="W416" s="23" t="str">
        <f aca="false">IF(OR($A416="",N(T416)=0),"",V416/T416)</f>
        <v/>
      </c>
      <c r="X416" s="18"/>
      <c r="Y416" s="18"/>
      <c r="Z416" s="24" t="str">
        <f aca="false">IF(AND($A416&lt;&gt;"",$X416="Oui",OR(Filtre_Masse="Tous les clients à envoyer",$Y416&lt;&gt;"Email")),MAX(Z$1:Z415)+1,"")</f>
        <v/>
      </c>
    </row>
    <row r="417" customFormat="false" ht="15" hidden="false" customHeight="false" outlineLevel="0" collapsed="false">
      <c r="A417" s="18"/>
      <c r="B417" s="18"/>
      <c r="C417" s="18"/>
      <c r="D417" s="18"/>
      <c r="E417" s="18"/>
      <c r="F417" s="18"/>
      <c r="G417" s="18"/>
      <c r="H417" s="19"/>
      <c r="I417" s="18"/>
      <c r="J417" s="18"/>
      <c r="K417" s="20"/>
      <c r="L417" s="20"/>
      <c r="M417" s="20"/>
      <c r="N417" s="20"/>
      <c r="O417" s="21"/>
      <c r="P417" s="22" t="n">
        <f aca="false">IF(OR($A417="",N(K417)=0),0,CEILING(K417*(1+IF($O417="",Taux_Compta,$O417))-0.005,Pas_Arrondi))</f>
        <v>0</v>
      </c>
      <c r="Q417" s="22" t="n">
        <f aca="false">IF(OR($A417="",N(L417)=0),0,CEILING(L417*(1+IF($O417="",Taux_Paye,$O417))-0.005,Pas_Arrondi))</f>
        <v>0</v>
      </c>
      <c r="R417" s="22" t="n">
        <f aca="false">IF(OR($A417="",N(M417)=0),0,CEILING(M417*(1+IF($O417="",Taux_Jur,$O417))-0.005,Pas_Arrondi))</f>
        <v>0</v>
      </c>
      <c r="S417" s="22" t="n">
        <f aca="false">IF(OR($A417="",N(N417)=0),0,CEILING(N417*(1+IF($O417="",Taux_PA,$O417))-0.005,Pas_Arrondi))</f>
        <v>0</v>
      </c>
      <c r="T417" s="22" t="str">
        <f aca="false">IF($A417="","",SUM(K417:N417))</f>
        <v/>
      </c>
      <c r="U417" s="22" t="str">
        <f aca="false">IF($A417="","",SUM(P417:S417))</f>
        <v/>
      </c>
      <c r="V417" s="22" t="str">
        <f aca="false">IF($A417="","",U417-T417)</f>
        <v/>
      </c>
      <c r="W417" s="23" t="str">
        <f aca="false">IF(OR($A417="",N(T417)=0),"",V417/T417)</f>
        <v/>
      </c>
      <c r="X417" s="18"/>
      <c r="Y417" s="18"/>
      <c r="Z417" s="24" t="str">
        <f aca="false">IF(AND($A417&lt;&gt;"",$X417="Oui",OR(Filtre_Masse="Tous les clients à envoyer",$Y417&lt;&gt;"Email")),MAX(Z$1:Z416)+1,"")</f>
        <v/>
      </c>
    </row>
    <row r="418" customFormat="false" ht="15" hidden="false" customHeight="false" outlineLevel="0" collapsed="false">
      <c r="A418" s="18"/>
      <c r="B418" s="18"/>
      <c r="C418" s="18"/>
      <c r="D418" s="18"/>
      <c r="E418" s="18"/>
      <c r="F418" s="18"/>
      <c r="G418" s="18"/>
      <c r="H418" s="19"/>
      <c r="I418" s="18"/>
      <c r="J418" s="18"/>
      <c r="K418" s="20"/>
      <c r="L418" s="20"/>
      <c r="M418" s="20"/>
      <c r="N418" s="20"/>
      <c r="O418" s="21"/>
      <c r="P418" s="22" t="n">
        <f aca="false">IF(OR($A418="",N(K418)=0),0,CEILING(K418*(1+IF($O418="",Taux_Compta,$O418))-0.005,Pas_Arrondi))</f>
        <v>0</v>
      </c>
      <c r="Q418" s="22" t="n">
        <f aca="false">IF(OR($A418="",N(L418)=0),0,CEILING(L418*(1+IF($O418="",Taux_Paye,$O418))-0.005,Pas_Arrondi))</f>
        <v>0</v>
      </c>
      <c r="R418" s="22" t="n">
        <f aca="false">IF(OR($A418="",N(M418)=0),0,CEILING(M418*(1+IF($O418="",Taux_Jur,$O418))-0.005,Pas_Arrondi))</f>
        <v>0</v>
      </c>
      <c r="S418" s="22" t="n">
        <f aca="false">IF(OR($A418="",N(N418)=0),0,CEILING(N418*(1+IF($O418="",Taux_PA,$O418))-0.005,Pas_Arrondi))</f>
        <v>0</v>
      </c>
      <c r="T418" s="22" t="str">
        <f aca="false">IF($A418="","",SUM(K418:N418))</f>
        <v/>
      </c>
      <c r="U418" s="22" t="str">
        <f aca="false">IF($A418="","",SUM(P418:S418))</f>
        <v/>
      </c>
      <c r="V418" s="22" t="str">
        <f aca="false">IF($A418="","",U418-T418)</f>
        <v/>
      </c>
      <c r="W418" s="23" t="str">
        <f aca="false">IF(OR($A418="",N(T418)=0),"",V418/T418)</f>
        <v/>
      </c>
      <c r="X418" s="18"/>
      <c r="Y418" s="18"/>
      <c r="Z418" s="24" t="str">
        <f aca="false">IF(AND($A418&lt;&gt;"",$X418="Oui",OR(Filtre_Masse="Tous les clients à envoyer",$Y418&lt;&gt;"Email")),MAX(Z$1:Z417)+1,"")</f>
        <v/>
      </c>
    </row>
    <row r="419" customFormat="false" ht="15" hidden="false" customHeight="false" outlineLevel="0" collapsed="false">
      <c r="A419" s="18"/>
      <c r="B419" s="18"/>
      <c r="C419" s="18"/>
      <c r="D419" s="18"/>
      <c r="E419" s="18"/>
      <c r="F419" s="18"/>
      <c r="G419" s="18"/>
      <c r="H419" s="19"/>
      <c r="I419" s="18"/>
      <c r="J419" s="18"/>
      <c r="K419" s="20"/>
      <c r="L419" s="20"/>
      <c r="M419" s="20"/>
      <c r="N419" s="20"/>
      <c r="O419" s="21"/>
      <c r="P419" s="22" t="n">
        <f aca="false">IF(OR($A419="",N(K419)=0),0,CEILING(K419*(1+IF($O419="",Taux_Compta,$O419))-0.005,Pas_Arrondi))</f>
        <v>0</v>
      </c>
      <c r="Q419" s="22" t="n">
        <f aca="false">IF(OR($A419="",N(L419)=0),0,CEILING(L419*(1+IF($O419="",Taux_Paye,$O419))-0.005,Pas_Arrondi))</f>
        <v>0</v>
      </c>
      <c r="R419" s="22" t="n">
        <f aca="false">IF(OR($A419="",N(M419)=0),0,CEILING(M419*(1+IF($O419="",Taux_Jur,$O419))-0.005,Pas_Arrondi))</f>
        <v>0</v>
      </c>
      <c r="S419" s="22" t="n">
        <f aca="false">IF(OR($A419="",N(N419)=0),0,CEILING(N419*(1+IF($O419="",Taux_PA,$O419))-0.005,Pas_Arrondi))</f>
        <v>0</v>
      </c>
      <c r="T419" s="22" t="str">
        <f aca="false">IF($A419="","",SUM(K419:N419))</f>
        <v/>
      </c>
      <c r="U419" s="22" t="str">
        <f aca="false">IF($A419="","",SUM(P419:S419))</f>
        <v/>
      </c>
      <c r="V419" s="22" t="str">
        <f aca="false">IF($A419="","",U419-T419)</f>
        <v/>
      </c>
      <c r="W419" s="23" t="str">
        <f aca="false">IF(OR($A419="",N(T419)=0),"",V419/T419)</f>
        <v/>
      </c>
      <c r="X419" s="18"/>
      <c r="Y419" s="18"/>
      <c r="Z419" s="24" t="str">
        <f aca="false">IF(AND($A419&lt;&gt;"",$X419="Oui",OR(Filtre_Masse="Tous les clients à envoyer",$Y419&lt;&gt;"Email")),MAX(Z$1:Z418)+1,"")</f>
        <v/>
      </c>
    </row>
    <row r="420" customFormat="false" ht="15" hidden="false" customHeight="false" outlineLevel="0" collapsed="false">
      <c r="A420" s="18"/>
      <c r="B420" s="18"/>
      <c r="C420" s="18"/>
      <c r="D420" s="18"/>
      <c r="E420" s="18"/>
      <c r="F420" s="18"/>
      <c r="G420" s="18"/>
      <c r="H420" s="19"/>
      <c r="I420" s="18"/>
      <c r="J420" s="18"/>
      <c r="K420" s="20"/>
      <c r="L420" s="20"/>
      <c r="M420" s="20"/>
      <c r="N420" s="20"/>
      <c r="O420" s="21"/>
      <c r="P420" s="22" t="n">
        <f aca="false">IF(OR($A420="",N(K420)=0),0,CEILING(K420*(1+IF($O420="",Taux_Compta,$O420))-0.005,Pas_Arrondi))</f>
        <v>0</v>
      </c>
      <c r="Q420" s="22" t="n">
        <f aca="false">IF(OR($A420="",N(L420)=0),0,CEILING(L420*(1+IF($O420="",Taux_Paye,$O420))-0.005,Pas_Arrondi))</f>
        <v>0</v>
      </c>
      <c r="R420" s="22" t="n">
        <f aca="false">IF(OR($A420="",N(M420)=0),0,CEILING(M420*(1+IF($O420="",Taux_Jur,$O420))-0.005,Pas_Arrondi))</f>
        <v>0</v>
      </c>
      <c r="S420" s="22" t="n">
        <f aca="false">IF(OR($A420="",N(N420)=0),0,CEILING(N420*(1+IF($O420="",Taux_PA,$O420))-0.005,Pas_Arrondi))</f>
        <v>0</v>
      </c>
      <c r="T420" s="22" t="str">
        <f aca="false">IF($A420="","",SUM(K420:N420))</f>
        <v/>
      </c>
      <c r="U420" s="22" t="str">
        <f aca="false">IF($A420="","",SUM(P420:S420))</f>
        <v/>
      </c>
      <c r="V420" s="22" t="str">
        <f aca="false">IF($A420="","",U420-T420)</f>
        <v/>
      </c>
      <c r="W420" s="23" t="str">
        <f aca="false">IF(OR($A420="",N(T420)=0),"",V420/T420)</f>
        <v/>
      </c>
      <c r="X420" s="18"/>
      <c r="Y420" s="18"/>
      <c r="Z420" s="24" t="str">
        <f aca="false">IF(AND($A420&lt;&gt;"",$X420="Oui",OR(Filtre_Masse="Tous les clients à envoyer",$Y420&lt;&gt;"Email")),MAX(Z$1:Z419)+1,"")</f>
        <v/>
      </c>
    </row>
    <row r="421" customFormat="false" ht="15" hidden="false" customHeight="false" outlineLevel="0" collapsed="false">
      <c r="A421" s="18"/>
      <c r="B421" s="18"/>
      <c r="C421" s="18"/>
      <c r="D421" s="18"/>
      <c r="E421" s="18"/>
      <c r="F421" s="18"/>
      <c r="G421" s="18"/>
      <c r="H421" s="19"/>
      <c r="I421" s="18"/>
      <c r="J421" s="18"/>
      <c r="K421" s="20"/>
      <c r="L421" s="20"/>
      <c r="M421" s="20"/>
      <c r="N421" s="20"/>
      <c r="O421" s="21"/>
      <c r="P421" s="22" t="n">
        <f aca="false">IF(OR($A421="",N(K421)=0),0,CEILING(K421*(1+IF($O421="",Taux_Compta,$O421))-0.005,Pas_Arrondi))</f>
        <v>0</v>
      </c>
      <c r="Q421" s="22" t="n">
        <f aca="false">IF(OR($A421="",N(L421)=0),0,CEILING(L421*(1+IF($O421="",Taux_Paye,$O421))-0.005,Pas_Arrondi))</f>
        <v>0</v>
      </c>
      <c r="R421" s="22" t="n">
        <f aca="false">IF(OR($A421="",N(M421)=0),0,CEILING(M421*(1+IF($O421="",Taux_Jur,$O421))-0.005,Pas_Arrondi))</f>
        <v>0</v>
      </c>
      <c r="S421" s="22" t="n">
        <f aca="false">IF(OR($A421="",N(N421)=0),0,CEILING(N421*(1+IF($O421="",Taux_PA,$O421))-0.005,Pas_Arrondi))</f>
        <v>0</v>
      </c>
      <c r="T421" s="22" t="str">
        <f aca="false">IF($A421="","",SUM(K421:N421))</f>
        <v/>
      </c>
      <c r="U421" s="22" t="str">
        <f aca="false">IF($A421="","",SUM(P421:S421))</f>
        <v/>
      </c>
      <c r="V421" s="22" t="str">
        <f aca="false">IF($A421="","",U421-T421)</f>
        <v/>
      </c>
      <c r="W421" s="23" t="str">
        <f aca="false">IF(OR($A421="",N(T421)=0),"",V421/T421)</f>
        <v/>
      </c>
      <c r="X421" s="18"/>
      <c r="Y421" s="18"/>
      <c r="Z421" s="24" t="str">
        <f aca="false">IF(AND($A421&lt;&gt;"",$X421="Oui",OR(Filtre_Masse="Tous les clients à envoyer",$Y421&lt;&gt;"Email")),MAX(Z$1:Z420)+1,"")</f>
        <v/>
      </c>
    </row>
    <row r="422" customFormat="false" ht="15" hidden="false" customHeight="false" outlineLevel="0" collapsed="false">
      <c r="A422" s="18"/>
      <c r="B422" s="18"/>
      <c r="C422" s="18"/>
      <c r="D422" s="18"/>
      <c r="E422" s="18"/>
      <c r="F422" s="18"/>
      <c r="G422" s="18"/>
      <c r="H422" s="19"/>
      <c r="I422" s="18"/>
      <c r="J422" s="18"/>
      <c r="K422" s="20"/>
      <c r="L422" s="20"/>
      <c r="M422" s="20"/>
      <c r="N422" s="20"/>
      <c r="O422" s="21"/>
      <c r="P422" s="22" t="n">
        <f aca="false">IF(OR($A422="",N(K422)=0),0,CEILING(K422*(1+IF($O422="",Taux_Compta,$O422))-0.005,Pas_Arrondi))</f>
        <v>0</v>
      </c>
      <c r="Q422" s="22" t="n">
        <f aca="false">IF(OR($A422="",N(L422)=0),0,CEILING(L422*(1+IF($O422="",Taux_Paye,$O422))-0.005,Pas_Arrondi))</f>
        <v>0</v>
      </c>
      <c r="R422" s="22" t="n">
        <f aca="false">IF(OR($A422="",N(M422)=0),0,CEILING(M422*(1+IF($O422="",Taux_Jur,$O422))-0.005,Pas_Arrondi))</f>
        <v>0</v>
      </c>
      <c r="S422" s="22" t="n">
        <f aca="false">IF(OR($A422="",N(N422)=0),0,CEILING(N422*(1+IF($O422="",Taux_PA,$O422))-0.005,Pas_Arrondi))</f>
        <v>0</v>
      </c>
      <c r="T422" s="22" t="str">
        <f aca="false">IF($A422="","",SUM(K422:N422))</f>
        <v/>
      </c>
      <c r="U422" s="22" t="str">
        <f aca="false">IF($A422="","",SUM(P422:S422))</f>
        <v/>
      </c>
      <c r="V422" s="22" t="str">
        <f aca="false">IF($A422="","",U422-T422)</f>
        <v/>
      </c>
      <c r="W422" s="23" t="str">
        <f aca="false">IF(OR($A422="",N(T422)=0),"",V422/T422)</f>
        <v/>
      </c>
      <c r="X422" s="18"/>
      <c r="Y422" s="18"/>
      <c r="Z422" s="24" t="str">
        <f aca="false">IF(AND($A422&lt;&gt;"",$X422="Oui",OR(Filtre_Masse="Tous les clients à envoyer",$Y422&lt;&gt;"Email")),MAX(Z$1:Z421)+1,"")</f>
        <v/>
      </c>
    </row>
    <row r="423" customFormat="false" ht="15" hidden="false" customHeight="false" outlineLevel="0" collapsed="false">
      <c r="A423" s="18"/>
      <c r="B423" s="18"/>
      <c r="C423" s="18"/>
      <c r="D423" s="18"/>
      <c r="E423" s="18"/>
      <c r="F423" s="18"/>
      <c r="G423" s="18"/>
      <c r="H423" s="19"/>
      <c r="I423" s="18"/>
      <c r="J423" s="18"/>
      <c r="K423" s="20"/>
      <c r="L423" s="20"/>
      <c r="M423" s="20"/>
      <c r="N423" s="20"/>
      <c r="O423" s="21"/>
      <c r="P423" s="22" t="n">
        <f aca="false">IF(OR($A423="",N(K423)=0),0,CEILING(K423*(1+IF($O423="",Taux_Compta,$O423))-0.005,Pas_Arrondi))</f>
        <v>0</v>
      </c>
      <c r="Q423" s="22" t="n">
        <f aca="false">IF(OR($A423="",N(L423)=0),0,CEILING(L423*(1+IF($O423="",Taux_Paye,$O423))-0.005,Pas_Arrondi))</f>
        <v>0</v>
      </c>
      <c r="R423" s="22" t="n">
        <f aca="false">IF(OR($A423="",N(M423)=0),0,CEILING(M423*(1+IF($O423="",Taux_Jur,$O423))-0.005,Pas_Arrondi))</f>
        <v>0</v>
      </c>
      <c r="S423" s="22" t="n">
        <f aca="false">IF(OR($A423="",N(N423)=0),0,CEILING(N423*(1+IF($O423="",Taux_PA,$O423))-0.005,Pas_Arrondi))</f>
        <v>0</v>
      </c>
      <c r="T423" s="22" t="str">
        <f aca="false">IF($A423="","",SUM(K423:N423))</f>
        <v/>
      </c>
      <c r="U423" s="22" t="str">
        <f aca="false">IF($A423="","",SUM(P423:S423))</f>
        <v/>
      </c>
      <c r="V423" s="22" t="str">
        <f aca="false">IF($A423="","",U423-T423)</f>
        <v/>
      </c>
      <c r="W423" s="23" t="str">
        <f aca="false">IF(OR($A423="",N(T423)=0),"",V423/T423)</f>
        <v/>
      </c>
      <c r="X423" s="18"/>
      <c r="Y423" s="18"/>
      <c r="Z423" s="24" t="str">
        <f aca="false">IF(AND($A423&lt;&gt;"",$X423="Oui",OR(Filtre_Masse="Tous les clients à envoyer",$Y423&lt;&gt;"Email")),MAX(Z$1:Z422)+1,"")</f>
        <v/>
      </c>
    </row>
    <row r="424" customFormat="false" ht="15" hidden="false" customHeight="false" outlineLevel="0" collapsed="false">
      <c r="A424" s="18"/>
      <c r="B424" s="18"/>
      <c r="C424" s="18"/>
      <c r="D424" s="18"/>
      <c r="E424" s="18"/>
      <c r="F424" s="18"/>
      <c r="G424" s="18"/>
      <c r="H424" s="19"/>
      <c r="I424" s="18"/>
      <c r="J424" s="18"/>
      <c r="K424" s="20"/>
      <c r="L424" s="20"/>
      <c r="M424" s="20"/>
      <c r="N424" s="20"/>
      <c r="O424" s="21"/>
      <c r="P424" s="22" t="n">
        <f aca="false">IF(OR($A424="",N(K424)=0),0,CEILING(K424*(1+IF($O424="",Taux_Compta,$O424))-0.005,Pas_Arrondi))</f>
        <v>0</v>
      </c>
      <c r="Q424" s="22" t="n">
        <f aca="false">IF(OR($A424="",N(L424)=0),0,CEILING(L424*(1+IF($O424="",Taux_Paye,$O424))-0.005,Pas_Arrondi))</f>
        <v>0</v>
      </c>
      <c r="R424" s="22" t="n">
        <f aca="false">IF(OR($A424="",N(M424)=0),0,CEILING(M424*(1+IF($O424="",Taux_Jur,$O424))-0.005,Pas_Arrondi))</f>
        <v>0</v>
      </c>
      <c r="S424" s="22" t="n">
        <f aca="false">IF(OR($A424="",N(N424)=0),0,CEILING(N424*(1+IF($O424="",Taux_PA,$O424))-0.005,Pas_Arrondi))</f>
        <v>0</v>
      </c>
      <c r="T424" s="22" t="str">
        <f aca="false">IF($A424="","",SUM(K424:N424))</f>
        <v/>
      </c>
      <c r="U424" s="22" t="str">
        <f aca="false">IF($A424="","",SUM(P424:S424))</f>
        <v/>
      </c>
      <c r="V424" s="22" t="str">
        <f aca="false">IF($A424="","",U424-T424)</f>
        <v/>
      </c>
      <c r="W424" s="23" t="str">
        <f aca="false">IF(OR($A424="",N(T424)=0),"",V424/T424)</f>
        <v/>
      </c>
      <c r="X424" s="18"/>
      <c r="Y424" s="18"/>
      <c r="Z424" s="24" t="str">
        <f aca="false">IF(AND($A424&lt;&gt;"",$X424="Oui",OR(Filtre_Masse="Tous les clients à envoyer",$Y424&lt;&gt;"Email")),MAX(Z$1:Z423)+1,"")</f>
        <v/>
      </c>
    </row>
    <row r="425" customFormat="false" ht="15" hidden="false" customHeight="false" outlineLevel="0" collapsed="false">
      <c r="A425" s="18"/>
      <c r="B425" s="18"/>
      <c r="C425" s="18"/>
      <c r="D425" s="18"/>
      <c r="E425" s="18"/>
      <c r="F425" s="18"/>
      <c r="G425" s="18"/>
      <c r="H425" s="19"/>
      <c r="I425" s="18"/>
      <c r="J425" s="18"/>
      <c r="K425" s="20"/>
      <c r="L425" s="20"/>
      <c r="M425" s="20"/>
      <c r="N425" s="20"/>
      <c r="O425" s="21"/>
      <c r="P425" s="22" t="n">
        <f aca="false">IF(OR($A425="",N(K425)=0),0,CEILING(K425*(1+IF($O425="",Taux_Compta,$O425))-0.005,Pas_Arrondi))</f>
        <v>0</v>
      </c>
      <c r="Q425" s="22" t="n">
        <f aca="false">IF(OR($A425="",N(L425)=0),0,CEILING(L425*(1+IF($O425="",Taux_Paye,$O425))-0.005,Pas_Arrondi))</f>
        <v>0</v>
      </c>
      <c r="R425" s="22" t="n">
        <f aca="false">IF(OR($A425="",N(M425)=0),0,CEILING(M425*(1+IF($O425="",Taux_Jur,$O425))-0.005,Pas_Arrondi))</f>
        <v>0</v>
      </c>
      <c r="S425" s="22" t="n">
        <f aca="false">IF(OR($A425="",N(N425)=0),0,CEILING(N425*(1+IF($O425="",Taux_PA,$O425))-0.005,Pas_Arrondi))</f>
        <v>0</v>
      </c>
      <c r="T425" s="22" t="str">
        <f aca="false">IF($A425="","",SUM(K425:N425))</f>
        <v/>
      </c>
      <c r="U425" s="22" t="str">
        <f aca="false">IF($A425="","",SUM(P425:S425))</f>
        <v/>
      </c>
      <c r="V425" s="22" t="str">
        <f aca="false">IF($A425="","",U425-T425)</f>
        <v/>
      </c>
      <c r="W425" s="23" t="str">
        <f aca="false">IF(OR($A425="",N(T425)=0),"",V425/T425)</f>
        <v/>
      </c>
      <c r="X425" s="18"/>
      <c r="Y425" s="18"/>
      <c r="Z425" s="24" t="str">
        <f aca="false">IF(AND($A425&lt;&gt;"",$X425="Oui",OR(Filtre_Masse="Tous les clients à envoyer",$Y425&lt;&gt;"Email")),MAX(Z$1:Z424)+1,"")</f>
        <v/>
      </c>
    </row>
    <row r="426" customFormat="false" ht="15" hidden="false" customHeight="false" outlineLevel="0" collapsed="false">
      <c r="A426" s="18"/>
      <c r="B426" s="18"/>
      <c r="C426" s="18"/>
      <c r="D426" s="18"/>
      <c r="E426" s="18"/>
      <c r="F426" s="18"/>
      <c r="G426" s="18"/>
      <c r="H426" s="19"/>
      <c r="I426" s="18"/>
      <c r="J426" s="18"/>
      <c r="K426" s="20"/>
      <c r="L426" s="20"/>
      <c r="M426" s="20"/>
      <c r="N426" s="20"/>
      <c r="O426" s="21"/>
      <c r="P426" s="22" t="n">
        <f aca="false">IF(OR($A426="",N(K426)=0),0,CEILING(K426*(1+IF($O426="",Taux_Compta,$O426))-0.005,Pas_Arrondi))</f>
        <v>0</v>
      </c>
      <c r="Q426" s="22" t="n">
        <f aca="false">IF(OR($A426="",N(L426)=0),0,CEILING(L426*(1+IF($O426="",Taux_Paye,$O426))-0.005,Pas_Arrondi))</f>
        <v>0</v>
      </c>
      <c r="R426" s="22" t="n">
        <f aca="false">IF(OR($A426="",N(M426)=0),0,CEILING(M426*(1+IF($O426="",Taux_Jur,$O426))-0.005,Pas_Arrondi))</f>
        <v>0</v>
      </c>
      <c r="S426" s="22" t="n">
        <f aca="false">IF(OR($A426="",N(N426)=0),0,CEILING(N426*(1+IF($O426="",Taux_PA,$O426))-0.005,Pas_Arrondi))</f>
        <v>0</v>
      </c>
      <c r="T426" s="22" t="str">
        <f aca="false">IF($A426="","",SUM(K426:N426))</f>
        <v/>
      </c>
      <c r="U426" s="22" t="str">
        <f aca="false">IF($A426="","",SUM(P426:S426))</f>
        <v/>
      </c>
      <c r="V426" s="22" t="str">
        <f aca="false">IF($A426="","",U426-T426)</f>
        <v/>
      </c>
      <c r="W426" s="23" t="str">
        <f aca="false">IF(OR($A426="",N(T426)=0),"",V426/T426)</f>
        <v/>
      </c>
      <c r="X426" s="18"/>
      <c r="Y426" s="18"/>
      <c r="Z426" s="24" t="str">
        <f aca="false">IF(AND($A426&lt;&gt;"",$X426="Oui",OR(Filtre_Masse="Tous les clients à envoyer",$Y426&lt;&gt;"Email")),MAX(Z$1:Z425)+1,"")</f>
        <v/>
      </c>
    </row>
    <row r="427" customFormat="false" ht="15" hidden="false" customHeight="false" outlineLevel="0" collapsed="false">
      <c r="A427" s="18"/>
      <c r="B427" s="18"/>
      <c r="C427" s="18"/>
      <c r="D427" s="18"/>
      <c r="E427" s="18"/>
      <c r="F427" s="18"/>
      <c r="G427" s="18"/>
      <c r="H427" s="19"/>
      <c r="I427" s="18"/>
      <c r="J427" s="18"/>
      <c r="K427" s="20"/>
      <c r="L427" s="20"/>
      <c r="M427" s="20"/>
      <c r="N427" s="20"/>
      <c r="O427" s="21"/>
      <c r="P427" s="22" t="n">
        <f aca="false">IF(OR($A427="",N(K427)=0),0,CEILING(K427*(1+IF($O427="",Taux_Compta,$O427))-0.005,Pas_Arrondi))</f>
        <v>0</v>
      </c>
      <c r="Q427" s="22" t="n">
        <f aca="false">IF(OR($A427="",N(L427)=0),0,CEILING(L427*(1+IF($O427="",Taux_Paye,$O427))-0.005,Pas_Arrondi))</f>
        <v>0</v>
      </c>
      <c r="R427" s="22" t="n">
        <f aca="false">IF(OR($A427="",N(M427)=0),0,CEILING(M427*(1+IF($O427="",Taux_Jur,$O427))-0.005,Pas_Arrondi))</f>
        <v>0</v>
      </c>
      <c r="S427" s="22" t="n">
        <f aca="false">IF(OR($A427="",N(N427)=0),0,CEILING(N427*(1+IF($O427="",Taux_PA,$O427))-0.005,Pas_Arrondi))</f>
        <v>0</v>
      </c>
      <c r="T427" s="22" t="str">
        <f aca="false">IF($A427="","",SUM(K427:N427))</f>
        <v/>
      </c>
      <c r="U427" s="22" t="str">
        <f aca="false">IF($A427="","",SUM(P427:S427))</f>
        <v/>
      </c>
      <c r="V427" s="22" t="str">
        <f aca="false">IF($A427="","",U427-T427)</f>
        <v/>
      </c>
      <c r="W427" s="23" t="str">
        <f aca="false">IF(OR($A427="",N(T427)=0),"",V427/T427)</f>
        <v/>
      </c>
      <c r="X427" s="18"/>
      <c r="Y427" s="18"/>
      <c r="Z427" s="24" t="str">
        <f aca="false">IF(AND($A427&lt;&gt;"",$X427="Oui",OR(Filtre_Masse="Tous les clients à envoyer",$Y427&lt;&gt;"Email")),MAX(Z$1:Z426)+1,"")</f>
        <v/>
      </c>
    </row>
    <row r="428" customFormat="false" ht="15" hidden="false" customHeight="false" outlineLevel="0" collapsed="false">
      <c r="A428" s="18"/>
      <c r="B428" s="18"/>
      <c r="C428" s="18"/>
      <c r="D428" s="18"/>
      <c r="E428" s="18"/>
      <c r="F428" s="18"/>
      <c r="G428" s="18"/>
      <c r="H428" s="19"/>
      <c r="I428" s="18"/>
      <c r="J428" s="18"/>
      <c r="K428" s="20"/>
      <c r="L428" s="20"/>
      <c r="M428" s="20"/>
      <c r="N428" s="20"/>
      <c r="O428" s="21"/>
      <c r="P428" s="22" t="n">
        <f aca="false">IF(OR($A428="",N(K428)=0),0,CEILING(K428*(1+IF($O428="",Taux_Compta,$O428))-0.005,Pas_Arrondi))</f>
        <v>0</v>
      </c>
      <c r="Q428" s="22" t="n">
        <f aca="false">IF(OR($A428="",N(L428)=0),0,CEILING(L428*(1+IF($O428="",Taux_Paye,$O428))-0.005,Pas_Arrondi))</f>
        <v>0</v>
      </c>
      <c r="R428" s="22" t="n">
        <f aca="false">IF(OR($A428="",N(M428)=0),0,CEILING(M428*(1+IF($O428="",Taux_Jur,$O428))-0.005,Pas_Arrondi))</f>
        <v>0</v>
      </c>
      <c r="S428" s="22" t="n">
        <f aca="false">IF(OR($A428="",N(N428)=0),0,CEILING(N428*(1+IF($O428="",Taux_PA,$O428))-0.005,Pas_Arrondi))</f>
        <v>0</v>
      </c>
      <c r="T428" s="22" t="str">
        <f aca="false">IF($A428="","",SUM(K428:N428))</f>
        <v/>
      </c>
      <c r="U428" s="22" t="str">
        <f aca="false">IF($A428="","",SUM(P428:S428))</f>
        <v/>
      </c>
      <c r="V428" s="22" t="str">
        <f aca="false">IF($A428="","",U428-T428)</f>
        <v/>
      </c>
      <c r="W428" s="23" t="str">
        <f aca="false">IF(OR($A428="",N(T428)=0),"",V428/T428)</f>
        <v/>
      </c>
      <c r="X428" s="18"/>
      <c r="Y428" s="18"/>
      <c r="Z428" s="24" t="str">
        <f aca="false">IF(AND($A428&lt;&gt;"",$X428="Oui",OR(Filtre_Masse="Tous les clients à envoyer",$Y428&lt;&gt;"Email")),MAX(Z$1:Z427)+1,"")</f>
        <v/>
      </c>
    </row>
    <row r="429" customFormat="false" ht="15" hidden="false" customHeight="false" outlineLevel="0" collapsed="false">
      <c r="A429" s="18"/>
      <c r="B429" s="18"/>
      <c r="C429" s="18"/>
      <c r="D429" s="18"/>
      <c r="E429" s="18"/>
      <c r="F429" s="18"/>
      <c r="G429" s="18"/>
      <c r="H429" s="19"/>
      <c r="I429" s="18"/>
      <c r="J429" s="18"/>
      <c r="K429" s="20"/>
      <c r="L429" s="20"/>
      <c r="M429" s="20"/>
      <c r="N429" s="20"/>
      <c r="O429" s="21"/>
      <c r="P429" s="22" t="n">
        <f aca="false">IF(OR($A429="",N(K429)=0),0,CEILING(K429*(1+IF($O429="",Taux_Compta,$O429))-0.005,Pas_Arrondi))</f>
        <v>0</v>
      </c>
      <c r="Q429" s="22" t="n">
        <f aca="false">IF(OR($A429="",N(L429)=0),0,CEILING(L429*(1+IF($O429="",Taux_Paye,$O429))-0.005,Pas_Arrondi))</f>
        <v>0</v>
      </c>
      <c r="R429" s="22" t="n">
        <f aca="false">IF(OR($A429="",N(M429)=0),0,CEILING(M429*(1+IF($O429="",Taux_Jur,$O429))-0.005,Pas_Arrondi))</f>
        <v>0</v>
      </c>
      <c r="S429" s="22" t="n">
        <f aca="false">IF(OR($A429="",N(N429)=0),0,CEILING(N429*(1+IF($O429="",Taux_PA,$O429))-0.005,Pas_Arrondi))</f>
        <v>0</v>
      </c>
      <c r="T429" s="22" t="str">
        <f aca="false">IF($A429="","",SUM(K429:N429))</f>
        <v/>
      </c>
      <c r="U429" s="22" t="str">
        <f aca="false">IF($A429="","",SUM(P429:S429))</f>
        <v/>
      </c>
      <c r="V429" s="22" t="str">
        <f aca="false">IF($A429="","",U429-T429)</f>
        <v/>
      </c>
      <c r="W429" s="23" t="str">
        <f aca="false">IF(OR($A429="",N(T429)=0),"",V429/T429)</f>
        <v/>
      </c>
      <c r="X429" s="18"/>
      <c r="Y429" s="18"/>
      <c r="Z429" s="24" t="str">
        <f aca="false">IF(AND($A429&lt;&gt;"",$X429="Oui",OR(Filtre_Masse="Tous les clients à envoyer",$Y429&lt;&gt;"Email")),MAX(Z$1:Z428)+1,"")</f>
        <v/>
      </c>
    </row>
    <row r="430" customFormat="false" ht="15" hidden="false" customHeight="false" outlineLevel="0" collapsed="false">
      <c r="A430" s="18"/>
      <c r="B430" s="18"/>
      <c r="C430" s="18"/>
      <c r="D430" s="18"/>
      <c r="E430" s="18"/>
      <c r="F430" s="18"/>
      <c r="G430" s="18"/>
      <c r="H430" s="19"/>
      <c r="I430" s="18"/>
      <c r="J430" s="18"/>
      <c r="K430" s="20"/>
      <c r="L430" s="20"/>
      <c r="M430" s="20"/>
      <c r="N430" s="20"/>
      <c r="O430" s="21"/>
      <c r="P430" s="22" t="n">
        <f aca="false">IF(OR($A430="",N(K430)=0),0,CEILING(K430*(1+IF($O430="",Taux_Compta,$O430))-0.005,Pas_Arrondi))</f>
        <v>0</v>
      </c>
      <c r="Q430" s="22" t="n">
        <f aca="false">IF(OR($A430="",N(L430)=0),0,CEILING(L430*(1+IF($O430="",Taux_Paye,$O430))-0.005,Pas_Arrondi))</f>
        <v>0</v>
      </c>
      <c r="R430" s="22" t="n">
        <f aca="false">IF(OR($A430="",N(M430)=0),0,CEILING(M430*(1+IF($O430="",Taux_Jur,$O430))-0.005,Pas_Arrondi))</f>
        <v>0</v>
      </c>
      <c r="S430" s="22" t="n">
        <f aca="false">IF(OR($A430="",N(N430)=0),0,CEILING(N430*(1+IF($O430="",Taux_PA,$O430))-0.005,Pas_Arrondi))</f>
        <v>0</v>
      </c>
      <c r="T430" s="22" t="str">
        <f aca="false">IF($A430="","",SUM(K430:N430))</f>
        <v/>
      </c>
      <c r="U430" s="22" t="str">
        <f aca="false">IF($A430="","",SUM(P430:S430))</f>
        <v/>
      </c>
      <c r="V430" s="22" t="str">
        <f aca="false">IF($A430="","",U430-T430)</f>
        <v/>
      </c>
      <c r="W430" s="23" t="str">
        <f aca="false">IF(OR($A430="",N(T430)=0),"",V430/T430)</f>
        <v/>
      </c>
      <c r="X430" s="18"/>
      <c r="Y430" s="18"/>
      <c r="Z430" s="24" t="str">
        <f aca="false">IF(AND($A430&lt;&gt;"",$X430="Oui",OR(Filtre_Masse="Tous les clients à envoyer",$Y430&lt;&gt;"Email")),MAX(Z$1:Z429)+1,"")</f>
        <v/>
      </c>
    </row>
    <row r="431" customFormat="false" ht="15" hidden="false" customHeight="false" outlineLevel="0" collapsed="false">
      <c r="A431" s="18"/>
      <c r="B431" s="18"/>
      <c r="C431" s="18"/>
      <c r="D431" s="18"/>
      <c r="E431" s="18"/>
      <c r="F431" s="18"/>
      <c r="G431" s="18"/>
      <c r="H431" s="19"/>
      <c r="I431" s="18"/>
      <c r="J431" s="18"/>
      <c r="K431" s="20"/>
      <c r="L431" s="20"/>
      <c r="M431" s="20"/>
      <c r="N431" s="20"/>
      <c r="O431" s="21"/>
      <c r="P431" s="22" t="n">
        <f aca="false">IF(OR($A431="",N(K431)=0),0,CEILING(K431*(1+IF($O431="",Taux_Compta,$O431))-0.005,Pas_Arrondi))</f>
        <v>0</v>
      </c>
      <c r="Q431" s="22" t="n">
        <f aca="false">IF(OR($A431="",N(L431)=0),0,CEILING(L431*(1+IF($O431="",Taux_Paye,$O431))-0.005,Pas_Arrondi))</f>
        <v>0</v>
      </c>
      <c r="R431" s="22" t="n">
        <f aca="false">IF(OR($A431="",N(M431)=0),0,CEILING(M431*(1+IF($O431="",Taux_Jur,$O431))-0.005,Pas_Arrondi))</f>
        <v>0</v>
      </c>
      <c r="S431" s="22" t="n">
        <f aca="false">IF(OR($A431="",N(N431)=0),0,CEILING(N431*(1+IF($O431="",Taux_PA,$O431))-0.005,Pas_Arrondi))</f>
        <v>0</v>
      </c>
      <c r="T431" s="22" t="str">
        <f aca="false">IF($A431="","",SUM(K431:N431))</f>
        <v/>
      </c>
      <c r="U431" s="22" t="str">
        <f aca="false">IF($A431="","",SUM(P431:S431))</f>
        <v/>
      </c>
      <c r="V431" s="22" t="str">
        <f aca="false">IF($A431="","",U431-T431)</f>
        <v/>
      </c>
      <c r="W431" s="23" t="str">
        <f aca="false">IF(OR($A431="",N(T431)=0),"",V431/T431)</f>
        <v/>
      </c>
      <c r="X431" s="18"/>
      <c r="Y431" s="18"/>
      <c r="Z431" s="24" t="str">
        <f aca="false">IF(AND($A431&lt;&gt;"",$X431="Oui",OR(Filtre_Masse="Tous les clients à envoyer",$Y431&lt;&gt;"Email")),MAX(Z$1:Z430)+1,"")</f>
        <v/>
      </c>
    </row>
    <row r="432" customFormat="false" ht="15" hidden="false" customHeight="false" outlineLevel="0" collapsed="false">
      <c r="A432" s="18"/>
      <c r="B432" s="18"/>
      <c r="C432" s="18"/>
      <c r="D432" s="18"/>
      <c r="E432" s="18"/>
      <c r="F432" s="18"/>
      <c r="G432" s="18"/>
      <c r="H432" s="19"/>
      <c r="I432" s="18"/>
      <c r="J432" s="18"/>
      <c r="K432" s="20"/>
      <c r="L432" s="20"/>
      <c r="M432" s="20"/>
      <c r="N432" s="20"/>
      <c r="O432" s="21"/>
      <c r="P432" s="22" t="n">
        <f aca="false">IF(OR($A432="",N(K432)=0),0,CEILING(K432*(1+IF($O432="",Taux_Compta,$O432))-0.005,Pas_Arrondi))</f>
        <v>0</v>
      </c>
      <c r="Q432" s="22" t="n">
        <f aca="false">IF(OR($A432="",N(L432)=0),0,CEILING(L432*(1+IF($O432="",Taux_Paye,$O432))-0.005,Pas_Arrondi))</f>
        <v>0</v>
      </c>
      <c r="R432" s="22" t="n">
        <f aca="false">IF(OR($A432="",N(M432)=0),0,CEILING(M432*(1+IF($O432="",Taux_Jur,$O432))-0.005,Pas_Arrondi))</f>
        <v>0</v>
      </c>
      <c r="S432" s="22" t="n">
        <f aca="false">IF(OR($A432="",N(N432)=0),0,CEILING(N432*(1+IF($O432="",Taux_PA,$O432))-0.005,Pas_Arrondi))</f>
        <v>0</v>
      </c>
      <c r="T432" s="22" t="str">
        <f aca="false">IF($A432="","",SUM(K432:N432))</f>
        <v/>
      </c>
      <c r="U432" s="22" t="str">
        <f aca="false">IF($A432="","",SUM(P432:S432))</f>
        <v/>
      </c>
      <c r="V432" s="22" t="str">
        <f aca="false">IF($A432="","",U432-T432)</f>
        <v/>
      </c>
      <c r="W432" s="23" t="str">
        <f aca="false">IF(OR($A432="",N(T432)=0),"",V432/T432)</f>
        <v/>
      </c>
      <c r="X432" s="18"/>
      <c r="Y432" s="18"/>
      <c r="Z432" s="24" t="str">
        <f aca="false">IF(AND($A432&lt;&gt;"",$X432="Oui",OR(Filtre_Masse="Tous les clients à envoyer",$Y432&lt;&gt;"Email")),MAX(Z$1:Z431)+1,"")</f>
        <v/>
      </c>
    </row>
    <row r="433" customFormat="false" ht="15" hidden="false" customHeight="false" outlineLevel="0" collapsed="false">
      <c r="A433" s="18"/>
      <c r="B433" s="18"/>
      <c r="C433" s="18"/>
      <c r="D433" s="18"/>
      <c r="E433" s="18"/>
      <c r="F433" s="18"/>
      <c r="G433" s="18"/>
      <c r="H433" s="19"/>
      <c r="I433" s="18"/>
      <c r="J433" s="18"/>
      <c r="K433" s="20"/>
      <c r="L433" s="20"/>
      <c r="M433" s="20"/>
      <c r="N433" s="20"/>
      <c r="O433" s="21"/>
      <c r="P433" s="22" t="n">
        <f aca="false">IF(OR($A433="",N(K433)=0),0,CEILING(K433*(1+IF($O433="",Taux_Compta,$O433))-0.005,Pas_Arrondi))</f>
        <v>0</v>
      </c>
      <c r="Q433" s="22" t="n">
        <f aca="false">IF(OR($A433="",N(L433)=0),0,CEILING(L433*(1+IF($O433="",Taux_Paye,$O433))-0.005,Pas_Arrondi))</f>
        <v>0</v>
      </c>
      <c r="R433" s="22" t="n">
        <f aca="false">IF(OR($A433="",N(M433)=0),0,CEILING(M433*(1+IF($O433="",Taux_Jur,$O433))-0.005,Pas_Arrondi))</f>
        <v>0</v>
      </c>
      <c r="S433" s="22" t="n">
        <f aca="false">IF(OR($A433="",N(N433)=0),0,CEILING(N433*(1+IF($O433="",Taux_PA,$O433))-0.005,Pas_Arrondi))</f>
        <v>0</v>
      </c>
      <c r="T433" s="22" t="str">
        <f aca="false">IF($A433="","",SUM(K433:N433))</f>
        <v/>
      </c>
      <c r="U433" s="22" t="str">
        <f aca="false">IF($A433="","",SUM(P433:S433))</f>
        <v/>
      </c>
      <c r="V433" s="22" t="str">
        <f aca="false">IF($A433="","",U433-T433)</f>
        <v/>
      </c>
      <c r="W433" s="23" t="str">
        <f aca="false">IF(OR($A433="",N(T433)=0),"",V433/T433)</f>
        <v/>
      </c>
      <c r="X433" s="18"/>
      <c r="Y433" s="18"/>
      <c r="Z433" s="24" t="str">
        <f aca="false">IF(AND($A433&lt;&gt;"",$X433="Oui",OR(Filtre_Masse="Tous les clients à envoyer",$Y433&lt;&gt;"Email")),MAX(Z$1:Z432)+1,"")</f>
        <v/>
      </c>
    </row>
    <row r="434" customFormat="false" ht="15" hidden="false" customHeight="false" outlineLevel="0" collapsed="false">
      <c r="A434" s="18"/>
      <c r="B434" s="18"/>
      <c r="C434" s="18"/>
      <c r="D434" s="18"/>
      <c r="E434" s="18"/>
      <c r="F434" s="18"/>
      <c r="G434" s="18"/>
      <c r="H434" s="19"/>
      <c r="I434" s="18"/>
      <c r="J434" s="18"/>
      <c r="K434" s="20"/>
      <c r="L434" s="20"/>
      <c r="M434" s="20"/>
      <c r="N434" s="20"/>
      <c r="O434" s="21"/>
      <c r="P434" s="22" t="n">
        <f aca="false">IF(OR($A434="",N(K434)=0),0,CEILING(K434*(1+IF($O434="",Taux_Compta,$O434))-0.005,Pas_Arrondi))</f>
        <v>0</v>
      </c>
      <c r="Q434" s="22" t="n">
        <f aca="false">IF(OR($A434="",N(L434)=0),0,CEILING(L434*(1+IF($O434="",Taux_Paye,$O434))-0.005,Pas_Arrondi))</f>
        <v>0</v>
      </c>
      <c r="R434" s="22" t="n">
        <f aca="false">IF(OR($A434="",N(M434)=0),0,CEILING(M434*(1+IF($O434="",Taux_Jur,$O434))-0.005,Pas_Arrondi))</f>
        <v>0</v>
      </c>
      <c r="S434" s="22" t="n">
        <f aca="false">IF(OR($A434="",N(N434)=0),0,CEILING(N434*(1+IF($O434="",Taux_PA,$O434))-0.005,Pas_Arrondi))</f>
        <v>0</v>
      </c>
      <c r="T434" s="22" t="str">
        <f aca="false">IF($A434="","",SUM(K434:N434))</f>
        <v/>
      </c>
      <c r="U434" s="22" t="str">
        <f aca="false">IF($A434="","",SUM(P434:S434))</f>
        <v/>
      </c>
      <c r="V434" s="22" t="str">
        <f aca="false">IF($A434="","",U434-T434)</f>
        <v/>
      </c>
      <c r="W434" s="23" t="str">
        <f aca="false">IF(OR($A434="",N(T434)=0),"",V434/T434)</f>
        <v/>
      </c>
      <c r="X434" s="18"/>
      <c r="Y434" s="18"/>
      <c r="Z434" s="24" t="str">
        <f aca="false">IF(AND($A434&lt;&gt;"",$X434="Oui",OR(Filtre_Masse="Tous les clients à envoyer",$Y434&lt;&gt;"Email")),MAX(Z$1:Z433)+1,"")</f>
        <v/>
      </c>
    </row>
    <row r="435" customFormat="false" ht="15" hidden="false" customHeight="false" outlineLevel="0" collapsed="false">
      <c r="A435" s="18"/>
      <c r="B435" s="18"/>
      <c r="C435" s="18"/>
      <c r="D435" s="18"/>
      <c r="E435" s="18"/>
      <c r="F435" s="18"/>
      <c r="G435" s="18"/>
      <c r="H435" s="19"/>
      <c r="I435" s="18"/>
      <c r="J435" s="18"/>
      <c r="K435" s="20"/>
      <c r="L435" s="20"/>
      <c r="M435" s="20"/>
      <c r="N435" s="20"/>
      <c r="O435" s="21"/>
      <c r="P435" s="22" t="n">
        <f aca="false">IF(OR($A435="",N(K435)=0),0,CEILING(K435*(1+IF($O435="",Taux_Compta,$O435))-0.005,Pas_Arrondi))</f>
        <v>0</v>
      </c>
      <c r="Q435" s="22" t="n">
        <f aca="false">IF(OR($A435="",N(L435)=0),0,CEILING(L435*(1+IF($O435="",Taux_Paye,$O435))-0.005,Pas_Arrondi))</f>
        <v>0</v>
      </c>
      <c r="R435" s="22" t="n">
        <f aca="false">IF(OR($A435="",N(M435)=0),0,CEILING(M435*(1+IF($O435="",Taux_Jur,$O435))-0.005,Pas_Arrondi))</f>
        <v>0</v>
      </c>
      <c r="S435" s="22" t="n">
        <f aca="false">IF(OR($A435="",N(N435)=0),0,CEILING(N435*(1+IF($O435="",Taux_PA,$O435))-0.005,Pas_Arrondi))</f>
        <v>0</v>
      </c>
      <c r="T435" s="22" t="str">
        <f aca="false">IF($A435="","",SUM(K435:N435))</f>
        <v/>
      </c>
      <c r="U435" s="22" t="str">
        <f aca="false">IF($A435="","",SUM(P435:S435))</f>
        <v/>
      </c>
      <c r="V435" s="22" t="str">
        <f aca="false">IF($A435="","",U435-T435)</f>
        <v/>
      </c>
      <c r="W435" s="23" t="str">
        <f aca="false">IF(OR($A435="",N(T435)=0),"",V435/T435)</f>
        <v/>
      </c>
      <c r="X435" s="18"/>
      <c r="Y435" s="18"/>
      <c r="Z435" s="24" t="str">
        <f aca="false">IF(AND($A435&lt;&gt;"",$X435="Oui",OR(Filtre_Masse="Tous les clients à envoyer",$Y435&lt;&gt;"Email")),MAX(Z$1:Z434)+1,"")</f>
        <v/>
      </c>
    </row>
    <row r="436" customFormat="false" ht="15" hidden="false" customHeight="false" outlineLevel="0" collapsed="false">
      <c r="A436" s="18"/>
      <c r="B436" s="18"/>
      <c r="C436" s="18"/>
      <c r="D436" s="18"/>
      <c r="E436" s="18"/>
      <c r="F436" s="18"/>
      <c r="G436" s="18"/>
      <c r="H436" s="19"/>
      <c r="I436" s="18"/>
      <c r="J436" s="18"/>
      <c r="K436" s="20"/>
      <c r="L436" s="20"/>
      <c r="M436" s="20"/>
      <c r="N436" s="20"/>
      <c r="O436" s="21"/>
      <c r="P436" s="22" t="n">
        <f aca="false">IF(OR($A436="",N(K436)=0),0,CEILING(K436*(1+IF($O436="",Taux_Compta,$O436))-0.005,Pas_Arrondi))</f>
        <v>0</v>
      </c>
      <c r="Q436" s="22" t="n">
        <f aca="false">IF(OR($A436="",N(L436)=0),0,CEILING(L436*(1+IF($O436="",Taux_Paye,$O436))-0.005,Pas_Arrondi))</f>
        <v>0</v>
      </c>
      <c r="R436" s="22" t="n">
        <f aca="false">IF(OR($A436="",N(M436)=0),0,CEILING(M436*(1+IF($O436="",Taux_Jur,$O436))-0.005,Pas_Arrondi))</f>
        <v>0</v>
      </c>
      <c r="S436" s="22" t="n">
        <f aca="false">IF(OR($A436="",N(N436)=0),0,CEILING(N436*(1+IF($O436="",Taux_PA,$O436))-0.005,Pas_Arrondi))</f>
        <v>0</v>
      </c>
      <c r="T436" s="22" t="str">
        <f aca="false">IF($A436="","",SUM(K436:N436))</f>
        <v/>
      </c>
      <c r="U436" s="22" t="str">
        <f aca="false">IF($A436="","",SUM(P436:S436))</f>
        <v/>
      </c>
      <c r="V436" s="22" t="str">
        <f aca="false">IF($A436="","",U436-T436)</f>
        <v/>
      </c>
      <c r="W436" s="23" t="str">
        <f aca="false">IF(OR($A436="",N(T436)=0),"",V436/T436)</f>
        <v/>
      </c>
      <c r="X436" s="18"/>
      <c r="Y436" s="18"/>
      <c r="Z436" s="24" t="str">
        <f aca="false">IF(AND($A436&lt;&gt;"",$X436="Oui",OR(Filtre_Masse="Tous les clients à envoyer",$Y436&lt;&gt;"Email")),MAX(Z$1:Z435)+1,"")</f>
        <v/>
      </c>
    </row>
    <row r="437" customFormat="false" ht="15" hidden="false" customHeight="false" outlineLevel="0" collapsed="false">
      <c r="A437" s="18"/>
      <c r="B437" s="18"/>
      <c r="C437" s="18"/>
      <c r="D437" s="18"/>
      <c r="E437" s="18"/>
      <c r="F437" s="18"/>
      <c r="G437" s="18"/>
      <c r="H437" s="19"/>
      <c r="I437" s="18"/>
      <c r="J437" s="18"/>
      <c r="K437" s="20"/>
      <c r="L437" s="20"/>
      <c r="M437" s="20"/>
      <c r="N437" s="20"/>
      <c r="O437" s="21"/>
      <c r="P437" s="22" t="n">
        <f aca="false">IF(OR($A437="",N(K437)=0),0,CEILING(K437*(1+IF($O437="",Taux_Compta,$O437))-0.005,Pas_Arrondi))</f>
        <v>0</v>
      </c>
      <c r="Q437" s="22" t="n">
        <f aca="false">IF(OR($A437="",N(L437)=0),0,CEILING(L437*(1+IF($O437="",Taux_Paye,$O437))-0.005,Pas_Arrondi))</f>
        <v>0</v>
      </c>
      <c r="R437" s="22" t="n">
        <f aca="false">IF(OR($A437="",N(M437)=0),0,CEILING(M437*(1+IF($O437="",Taux_Jur,$O437))-0.005,Pas_Arrondi))</f>
        <v>0</v>
      </c>
      <c r="S437" s="22" t="n">
        <f aca="false">IF(OR($A437="",N(N437)=0),0,CEILING(N437*(1+IF($O437="",Taux_PA,$O437))-0.005,Pas_Arrondi))</f>
        <v>0</v>
      </c>
      <c r="T437" s="22" t="str">
        <f aca="false">IF($A437="","",SUM(K437:N437))</f>
        <v/>
      </c>
      <c r="U437" s="22" t="str">
        <f aca="false">IF($A437="","",SUM(P437:S437))</f>
        <v/>
      </c>
      <c r="V437" s="22" t="str">
        <f aca="false">IF($A437="","",U437-T437)</f>
        <v/>
      </c>
      <c r="W437" s="23" t="str">
        <f aca="false">IF(OR($A437="",N(T437)=0),"",V437/T437)</f>
        <v/>
      </c>
      <c r="X437" s="18"/>
      <c r="Y437" s="18"/>
      <c r="Z437" s="24" t="str">
        <f aca="false">IF(AND($A437&lt;&gt;"",$X437="Oui",OR(Filtre_Masse="Tous les clients à envoyer",$Y437&lt;&gt;"Email")),MAX(Z$1:Z436)+1,"")</f>
        <v/>
      </c>
    </row>
    <row r="438" customFormat="false" ht="15" hidden="false" customHeight="false" outlineLevel="0" collapsed="false">
      <c r="A438" s="18"/>
      <c r="B438" s="18"/>
      <c r="C438" s="18"/>
      <c r="D438" s="18"/>
      <c r="E438" s="18"/>
      <c r="F438" s="18"/>
      <c r="G438" s="18"/>
      <c r="H438" s="19"/>
      <c r="I438" s="18"/>
      <c r="J438" s="18"/>
      <c r="K438" s="20"/>
      <c r="L438" s="20"/>
      <c r="M438" s="20"/>
      <c r="N438" s="20"/>
      <c r="O438" s="21"/>
      <c r="P438" s="22" t="n">
        <f aca="false">IF(OR($A438="",N(K438)=0),0,CEILING(K438*(1+IF($O438="",Taux_Compta,$O438))-0.005,Pas_Arrondi))</f>
        <v>0</v>
      </c>
      <c r="Q438" s="22" t="n">
        <f aca="false">IF(OR($A438="",N(L438)=0),0,CEILING(L438*(1+IF($O438="",Taux_Paye,$O438))-0.005,Pas_Arrondi))</f>
        <v>0</v>
      </c>
      <c r="R438" s="22" t="n">
        <f aca="false">IF(OR($A438="",N(M438)=0),0,CEILING(M438*(1+IF($O438="",Taux_Jur,$O438))-0.005,Pas_Arrondi))</f>
        <v>0</v>
      </c>
      <c r="S438" s="22" t="n">
        <f aca="false">IF(OR($A438="",N(N438)=0),0,CEILING(N438*(1+IF($O438="",Taux_PA,$O438))-0.005,Pas_Arrondi))</f>
        <v>0</v>
      </c>
      <c r="T438" s="22" t="str">
        <f aca="false">IF($A438="","",SUM(K438:N438))</f>
        <v/>
      </c>
      <c r="U438" s="22" t="str">
        <f aca="false">IF($A438="","",SUM(P438:S438))</f>
        <v/>
      </c>
      <c r="V438" s="22" t="str">
        <f aca="false">IF($A438="","",U438-T438)</f>
        <v/>
      </c>
      <c r="W438" s="23" t="str">
        <f aca="false">IF(OR($A438="",N(T438)=0),"",V438/T438)</f>
        <v/>
      </c>
      <c r="X438" s="18"/>
      <c r="Y438" s="18"/>
      <c r="Z438" s="24" t="str">
        <f aca="false">IF(AND($A438&lt;&gt;"",$X438="Oui",OR(Filtre_Masse="Tous les clients à envoyer",$Y438&lt;&gt;"Email")),MAX(Z$1:Z437)+1,"")</f>
        <v/>
      </c>
    </row>
    <row r="439" customFormat="false" ht="15" hidden="false" customHeight="false" outlineLevel="0" collapsed="false">
      <c r="A439" s="18"/>
      <c r="B439" s="18"/>
      <c r="C439" s="18"/>
      <c r="D439" s="18"/>
      <c r="E439" s="18"/>
      <c r="F439" s="18"/>
      <c r="G439" s="18"/>
      <c r="H439" s="19"/>
      <c r="I439" s="18"/>
      <c r="J439" s="18"/>
      <c r="K439" s="20"/>
      <c r="L439" s="20"/>
      <c r="M439" s="20"/>
      <c r="N439" s="20"/>
      <c r="O439" s="21"/>
      <c r="P439" s="22" t="n">
        <f aca="false">IF(OR($A439="",N(K439)=0),0,CEILING(K439*(1+IF($O439="",Taux_Compta,$O439))-0.005,Pas_Arrondi))</f>
        <v>0</v>
      </c>
      <c r="Q439" s="22" t="n">
        <f aca="false">IF(OR($A439="",N(L439)=0),0,CEILING(L439*(1+IF($O439="",Taux_Paye,$O439))-0.005,Pas_Arrondi))</f>
        <v>0</v>
      </c>
      <c r="R439" s="22" t="n">
        <f aca="false">IF(OR($A439="",N(M439)=0),0,CEILING(M439*(1+IF($O439="",Taux_Jur,$O439))-0.005,Pas_Arrondi))</f>
        <v>0</v>
      </c>
      <c r="S439" s="22" t="n">
        <f aca="false">IF(OR($A439="",N(N439)=0),0,CEILING(N439*(1+IF($O439="",Taux_PA,$O439))-0.005,Pas_Arrondi))</f>
        <v>0</v>
      </c>
      <c r="T439" s="22" t="str">
        <f aca="false">IF($A439="","",SUM(K439:N439))</f>
        <v/>
      </c>
      <c r="U439" s="22" t="str">
        <f aca="false">IF($A439="","",SUM(P439:S439))</f>
        <v/>
      </c>
      <c r="V439" s="22" t="str">
        <f aca="false">IF($A439="","",U439-T439)</f>
        <v/>
      </c>
      <c r="W439" s="23" t="str">
        <f aca="false">IF(OR($A439="",N(T439)=0),"",V439/T439)</f>
        <v/>
      </c>
      <c r="X439" s="18"/>
      <c r="Y439" s="18"/>
      <c r="Z439" s="24" t="str">
        <f aca="false">IF(AND($A439&lt;&gt;"",$X439="Oui",OR(Filtre_Masse="Tous les clients à envoyer",$Y439&lt;&gt;"Email")),MAX(Z$1:Z438)+1,"")</f>
        <v/>
      </c>
    </row>
    <row r="440" customFormat="false" ht="15" hidden="false" customHeight="false" outlineLevel="0" collapsed="false">
      <c r="A440" s="18"/>
      <c r="B440" s="18"/>
      <c r="C440" s="18"/>
      <c r="D440" s="18"/>
      <c r="E440" s="18"/>
      <c r="F440" s="18"/>
      <c r="G440" s="18"/>
      <c r="H440" s="19"/>
      <c r="I440" s="18"/>
      <c r="J440" s="18"/>
      <c r="K440" s="20"/>
      <c r="L440" s="20"/>
      <c r="M440" s="20"/>
      <c r="N440" s="20"/>
      <c r="O440" s="21"/>
      <c r="P440" s="22" t="n">
        <f aca="false">IF(OR($A440="",N(K440)=0),0,CEILING(K440*(1+IF($O440="",Taux_Compta,$O440))-0.005,Pas_Arrondi))</f>
        <v>0</v>
      </c>
      <c r="Q440" s="22" t="n">
        <f aca="false">IF(OR($A440="",N(L440)=0),0,CEILING(L440*(1+IF($O440="",Taux_Paye,$O440))-0.005,Pas_Arrondi))</f>
        <v>0</v>
      </c>
      <c r="R440" s="22" t="n">
        <f aca="false">IF(OR($A440="",N(M440)=0),0,CEILING(M440*(1+IF($O440="",Taux_Jur,$O440))-0.005,Pas_Arrondi))</f>
        <v>0</v>
      </c>
      <c r="S440" s="22" t="n">
        <f aca="false">IF(OR($A440="",N(N440)=0),0,CEILING(N440*(1+IF($O440="",Taux_PA,$O440))-0.005,Pas_Arrondi))</f>
        <v>0</v>
      </c>
      <c r="T440" s="22" t="str">
        <f aca="false">IF($A440="","",SUM(K440:N440))</f>
        <v/>
      </c>
      <c r="U440" s="22" t="str">
        <f aca="false">IF($A440="","",SUM(P440:S440))</f>
        <v/>
      </c>
      <c r="V440" s="22" t="str">
        <f aca="false">IF($A440="","",U440-T440)</f>
        <v/>
      </c>
      <c r="W440" s="23" t="str">
        <f aca="false">IF(OR($A440="",N(T440)=0),"",V440/T440)</f>
        <v/>
      </c>
      <c r="X440" s="18"/>
      <c r="Y440" s="18"/>
      <c r="Z440" s="24" t="str">
        <f aca="false">IF(AND($A440&lt;&gt;"",$X440="Oui",OR(Filtre_Masse="Tous les clients à envoyer",$Y440&lt;&gt;"Email")),MAX(Z$1:Z439)+1,"")</f>
        <v/>
      </c>
    </row>
    <row r="441" customFormat="false" ht="15" hidden="false" customHeight="false" outlineLevel="0" collapsed="false">
      <c r="A441" s="18"/>
      <c r="B441" s="18"/>
      <c r="C441" s="18"/>
      <c r="D441" s="18"/>
      <c r="E441" s="18"/>
      <c r="F441" s="18"/>
      <c r="G441" s="18"/>
      <c r="H441" s="19"/>
      <c r="I441" s="18"/>
      <c r="J441" s="18"/>
      <c r="K441" s="20"/>
      <c r="L441" s="20"/>
      <c r="M441" s="20"/>
      <c r="N441" s="20"/>
      <c r="O441" s="21"/>
      <c r="P441" s="22" t="n">
        <f aca="false">IF(OR($A441="",N(K441)=0),0,CEILING(K441*(1+IF($O441="",Taux_Compta,$O441))-0.005,Pas_Arrondi))</f>
        <v>0</v>
      </c>
      <c r="Q441" s="22" t="n">
        <f aca="false">IF(OR($A441="",N(L441)=0),0,CEILING(L441*(1+IF($O441="",Taux_Paye,$O441))-0.005,Pas_Arrondi))</f>
        <v>0</v>
      </c>
      <c r="R441" s="22" t="n">
        <f aca="false">IF(OR($A441="",N(M441)=0),0,CEILING(M441*(1+IF($O441="",Taux_Jur,$O441))-0.005,Pas_Arrondi))</f>
        <v>0</v>
      </c>
      <c r="S441" s="22" t="n">
        <f aca="false">IF(OR($A441="",N(N441)=0),0,CEILING(N441*(1+IF($O441="",Taux_PA,$O441))-0.005,Pas_Arrondi))</f>
        <v>0</v>
      </c>
      <c r="T441" s="22" t="str">
        <f aca="false">IF($A441="","",SUM(K441:N441))</f>
        <v/>
      </c>
      <c r="U441" s="22" t="str">
        <f aca="false">IF($A441="","",SUM(P441:S441))</f>
        <v/>
      </c>
      <c r="V441" s="22" t="str">
        <f aca="false">IF($A441="","",U441-T441)</f>
        <v/>
      </c>
      <c r="W441" s="23" t="str">
        <f aca="false">IF(OR($A441="",N(T441)=0),"",V441/T441)</f>
        <v/>
      </c>
      <c r="X441" s="18"/>
      <c r="Y441" s="18"/>
      <c r="Z441" s="24" t="str">
        <f aca="false">IF(AND($A441&lt;&gt;"",$X441="Oui",OR(Filtre_Masse="Tous les clients à envoyer",$Y441&lt;&gt;"Email")),MAX(Z$1:Z440)+1,"")</f>
        <v/>
      </c>
    </row>
    <row r="442" customFormat="false" ht="15" hidden="false" customHeight="false" outlineLevel="0" collapsed="false">
      <c r="A442" s="18"/>
      <c r="B442" s="18"/>
      <c r="C442" s="18"/>
      <c r="D442" s="18"/>
      <c r="E442" s="18"/>
      <c r="F442" s="18"/>
      <c r="G442" s="18"/>
      <c r="H442" s="19"/>
      <c r="I442" s="18"/>
      <c r="J442" s="18"/>
      <c r="K442" s="20"/>
      <c r="L442" s="20"/>
      <c r="M442" s="20"/>
      <c r="N442" s="20"/>
      <c r="O442" s="21"/>
      <c r="P442" s="22" t="n">
        <f aca="false">IF(OR($A442="",N(K442)=0),0,CEILING(K442*(1+IF($O442="",Taux_Compta,$O442))-0.005,Pas_Arrondi))</f>
        <v>0</v>
      </c>
      <c r="Q442" s="22" t="n">
        <f aca="false">IF(OR($A442="",N(L442)=0),0,CEILING(L442*(1+IF($O442="",Taux_Paye,$O442))-0.005,Pas_Arrondi))</f>
        <v>0</v>
      </c>
      <c r="R442" s="22" t="n">
        <f aca="false">IF(OR($A442="",N(M442)=0),0,CEILING(M442*(1+IF($O442="",Taux_Jur,$O442))-0.005,Pas_Arrondi))</f>
        <v>0</v>
      </c>
      <c r="S442" s="22" t="n">
        <f aca="false">IF(OR($A442="",N(N442)=0),0,CEILING(N442*(1+IF($O442="",Taux_PA,$O442))-0.005,Pas_Arrondi))</f>
        <v>0</v>
      </c>
      <c r="T442" s="22" t="str">
        <f aca="false">IF($A442="","",SUM(K442:N442))</f>
        <v/>
      </c>
      <c r="U442" s="22" t="str">
        <f aca="false">IF($A442="","",SUM(P442:S442))</f>
        <v/>
      </c>
      <c r="V442" s="22" t="str">
        <f aca="false">IF($A442="","",U442-T442)</f>
        <v/>
      </c>
      <c r="W442" s="23" t="str">
        <f aca="false">IF(OR($A442="",N(T442)=0),"",V442/T442)</f>
        <v/>
      </c>
      <c r="X442" s="18"/>
      <c r="Y442" s="18"/>
      <c r="Z442" s="24" t="str">
        <f aca="false">IF(AND($A442&lt;&gt;"",$X442="Oui",OR(Filtre_Masse="Tous les clients à envoyer",$Y442&lt;&gt;"Email")),MAX(Z$1:Z441)+1,"")</f>
        <v/>
      </c>
    </row>
    <row r="443" customFormat="false" ht="15" hidden="false" customHeight="false" outlineLevel="0" collapsed="false">
      <c r="A443" s="18"/>
      <c r="B443" s="18"/>
      <c r="C443" s="18"/>
      <c r="D443" s="18"/>
      <c r="E443" s="18"/>
      <c r="F443" s="18"/>
      <c r="G443" s="18"/>
      <c r="H443" s="19"/>
      <c r="I443" s="18"/>
      <c r="J443" s="18"/>
      <c r="K443" s="20"/>
      <c r="L443" s="20"/>
      <c r="M443" s="20"/>
      <c r="N443" s="20"/>
      <c r="O443" s="21"/>
      <c r="P443" s="22" t="n">
        <f aca="false">IF(OR($A443="",N(K443)=0),0,CEILING(K443*(1+IF($O443="",Taux_Compta,$O443))-0.005,Pas_Arrondi))</f>
        <v>0</v>
      </c>
      <c r="Q443" s="22" t="n">
        <f aca="false">IF(OR($A443="",N(L443)=0),0,CEILING(L443*(1+IF($O443="",Taux_Paye,$O443))-0.005,Pas_Arrondi))</f>
        <v>0</v>
      </c>
      <c r="R443" s="22" t="n">
        <f aca="false">IF(OR($A443="",N(M443)=0),0,CEILING(M443*(1+IF($O443="",Taux_Jur,$O443))-0.005,Pas_Arrondi))</f>
        <v>0</v>
      </c>
      <c r="S443" s="22" t="n">
        <f aca="false">IF(OR($A443="",N(N443)=0),0,CEILING(N443*(1+IF($O443="",Taux_PA,$O443))-0.005,Pas_Arrondi))</f>
        <v>0</v>
      </c>
      <c r="T443" s="22" t="str">
        <f aca="false">IF($A443="","",SUM(K443:N443))</f>
        <v/>
      </c>
      <c r="U443" s="22" t="str">
        <f aca="false">IF($A443="","",SUM(P443:S443))</f>
        <v/>
      </c>
      <c r="V443" s="22" t="str">
        <f aca="false">IF($A443="","",U443-T443)</f>
        <v/>
      </c>
      <c r="W443" s="23" t="str">
        <f aca="false">IF(OR($A443="",N(T443)=0),"",V443/T443)</f>
        <v/>
      </c>
      <c r="X443" s="18"/>
      <c r="Y443" s="18"/>
      <c r="Z443" s="24" t="str">
        <f aca="false">IF(AND($A443&lt;&gt;"",$X443="Oui",OR(Filtre_Masse="Tous les clients à envoyer",$Y443&lt;&gt;"Email")),MAX(Z$1:Z442)+1,"")</f>
        <v/>
      </c>
    </row>
    <row r="444" customFormat="false" ht="15" hidden="false" customHeight="false" outlineLevel="0" collapsed="false">
      <c r="A444" s="18"/>
      <c r="B444" s="18"/>
      <c r="C444" s="18"/>
      <c r="D444" s="18"/>
      <c r="E444" s="18"/>
      <c r="F444" s="18"/>
      <c r="G444" s="18"/>
      <c r="H444" s="19"/>
      <c r="I444" s="18"/>
      <c r="J444" s="18"/>
      <c r="K444" s="20"/>
      <c r="L444" s="20"/>
      <c r="M444" s="20"/>
      <c r="N444" s="20"/>
      <c r="O444" s="21"/>
      <c r="P444" s="22" t="n">
        <f aca="false">IF(OR($A444="",N(K444)=0),0,CEILING(K444*(1+IF($O444="",Taux_Compta,$O444))-0.005,Pas_Arrondi))</f>
        <v>0</v>
      </c>
      <c r="Q444" s="22" t="n">
        <f aca="false">IF(OR($A444="",N(L444)=0),0,CEILING(L444*(1+IF($O444="",Taux_Paye,$O444))-0.005,Pas_Arrondi))</f>
        <v>0</v>
      </c>
      <c r="R444" s="22" t="n">
        <f aca="false">IF(OR($A444="",N(M444)=0),0,CEILING(M444*(1+IF($O444="",Taux_Jur,$O444))-0.005,Pas_Arrondi))</f>
        <v>0</v>
      </c>
      <c r="S444" s="22" t="n">
        <f aca="false">IF(OR($A444="",N(N444)=0),0,CEILING(N444*(1+IF($O444="",Taux_PA,$O444))-0.005,Pas_Arrondi))</f>
        <v>0</v>
      </c>
      <c r="T444" s="22" t="str">
        <f aca="false">IF($A444="","",SUM(K444:N444))</f>
        <v/>
      </c>
      <c r="U444" s="22" t="str">
        <f aca="false">IF($A444="","",SUM(P444:S444))</f>
        <v/>
      </c>
      <c r="V444" s="22" t="str">
        <f aca="false">IF($A444="","",U444-T444)</f>
        <v/>
      </c>
      <c r="W444" s="23" t="str">
        <f aca="false">IF(OR($A444="",N(T444)=0),"",V444/T444)</f>
        <v/>
      </c>
      <c r="X444" s="18"/>
      <c r="Y444" s="18"/>
      <c r="Z444" s="24" t="str">
        <f aca="false">IF(AND($A444&lt;&gt;"",$X444="Oui",OR(Filtre_Masse="Tous les clients à envoyer",$Y444&lt;&gt;"Email")),MAX(Z$1:Z443)+1,"")</f>
        <v/>
      </c>
    </row>
    <row r="445" customFormat="false" ht="15" hidden="false" customHeight="false" outlineLevel="0" collapsed="false">
      <c r="A445" s="18"/>
      <c r="B445" s="18"/>
      <c r="C445" s="18"/>
      <c r="D445" s="18"/>
      <c r="E445" s="18"/>
      <c r="F445" s="18"/>
      <c r="G445" s="18"/>
      <c r="H445" s="19"/>
      <c r="I445" s="18"/>
      <c r="J445" s="18"/>
      <c r="K445" s="20"/>
      <c r="L445" s="20"/>
      <c r="M445" s="20"/>
      <c r="N445" s="20"/>
      <c r="O445" s="21"/>
      <c r="P445" s="22" t="n">
        <f aca="false">IF(OR($A445="",N(K445)=0),0,CEILING(K445*(1+IF($O445="",Taux_Compta,$O445))-0.005,Pas_Arrondi))</f>
        <v>0</v>
      </c>
      <c r="Q445" s="22" t="n">
        <f aca="false">IF(OR($A445="",N(L445)=0),0,CEILING(L445*(1+IF($O445="",Taux_Paye,$O445))-0.005,Pas_Arrondi))</f>
        <v>0</v>
      </c>
      <c r="R445" s="22" t="n">
        <f aca="false">IF(OR($A445="",N(M445)=0),0,CEILING(M445*(1+IF($O445="",Taux_Jur,$O445))-0.005,Pas_Arrondi))</f>
        <v>0</v>
      </c>
      <c r="S445" s="22" t="n">
        <f aca="false">IF(OR($A445="",N(N445)=0),0,CEILING(N445*(1+IF($O445="",Taux_PA,$O445))-0.005,Pas_Arrondi))</f>
        <v>0</v>
      </c>
      <c r="T445" s="22" t="str">
        <f aca="false">IF($A445="","",SUM(K445:N445))</f>
        <v/>
      </c>
      <c r="U445" s="22" t="str">
        <f aca="false">IF($A445="","",SUM(P445:S445))</f>
        <v/>
      </c>
      <c r="V445" s="22" t="str">
        <f aca="false">IF($A445="","",U445-T445)</f>
        <v/>
      </c>
      <c r="W445" s="23" t="str">
        <f aca="false">IF(OR($A445="",N(T445)=0),"",V445/T445)</f>
        <v/>
      </c>
      <c r="X445" s="18"/>
      <c r="Y445" s="18"/>
      <c r="Z445" s="24" t="str">
        <f aca="false">IF(AND($A445&lt;&gt;"",$X445="Oui",OR(Filtre_Masse="Tous les clients à envoyer",$Y445&lt;&gt;"Email")),MAX(Z$1:Z444)+1,"")</f>
        <v/>
      </c>
    </row>
    <row r="446" customFormat="false" ht="15" hidden="false" customHeight="false" outlineLevel="0" collapsed="false">
      <c r="A446" s="18"/>
      <c r="B446" s="18"/>
      <c r="C446" s="18"/>
      <c r="D446" s="18"/>
      <c r="E446" s="18"/>
      <c r="F446" s="18"/>
      <c r="G446" s="18"/>
      <c r="H446" s="19"/>
      <c r="I446" s="18"/>
      <c r="J446" s="18"/>
      <c r="K446" s="20"/>
      <c r="L446" s="20"/>
      <c r="M446" s="20"/>
      <c r="N446" s="20"/>
      <c r="O446" s="21"/>
      <c r="P446" s="22" t="n">
        <f aca="false">IF(OR($A446="",N(K446)=0),0,CEILING(K446*(1+IF($O446="",Taux_Compta,$O446))-0.005,Pas_Arrondi))</f>
        <v>0</v>
      </c>
      <c r="Q446" s="22" t="n">
        <f aca="false">IF(OR($A446="",N(L446)=0),0,CEILING(L446*(1+IF($O446="",Taux_Paye,$O446))-0.005,Pas_Arrondi))</f>
        <v>0</v>
      </c>
      <c r="R446" s="22" t="n">
        <f aca="false">IF(OR($A446="",N(M446)=0),0,CEILING(M446*(1+IF($O446="",Taux_Jur,$O446))-0.005,Pas_Arrondi))</f>
        <v>0</v>
      </c>
      <c r="S446" s="22" t="n">
        <f aca="false">IF(OR($A446="",N(N446)=0),0,CEILING(N446*(1+IF($O446="",Taux_PA,$O446))-0.005,Pas_Arrondi))</f>
        <v>0</v>
      </c>
      <c r="T446" s="22" t="str">
        <f aca="false">IF($A446="","",SUM(K446:N446))</f>
        <v/>
      </c>
      <c r="U446" s="22" t="str">
        <f aca="false">IF($A446="","",SUM(P446:S446))</f>
        <v/>
      </c>
      <c r="V446" s="22" t="str">
        <f aca="false">IF($A446="","",U446-T446)</f>
        <v/>
      </c>
      <c r="W446" s="23" t="str">
        <f aca="false">IF(OR($A446="",N(T446)=0),"",V446/T446)</f>
        <v/>
      </c>
      <c r="X446" s="18"/>
      <c r="Y446" s="18"/>
      <c r="Z446" s="24" t="str">
        <f aca="false">IF(AND($A446&lt;&gt;"",$X446="Oui",OR(Filtre_Masse="Tous les clients à envoyer",$Y446&lt;&gt;"Email")),MAX(Z$1:Z445)+1,"")</f>
        <v/>
      </c>
    </row>
    <row r="447" customFormat="false" ht="15" hidden="false" customHeight="false" outlineLevel="0" collapsed="false">
      <c r="A447" s="18"/>
      <c r="B447" s="18"/>
      <c r="C447" s="18"/>
      <c r="D447" s="18"/>
      <c r="E447" s="18"/>
      <c r="F447" s="18"/>
      <c r="G447" s="18"/>
      <c r="H447" s="19"/>
      <c r="I447" s="18"/>
      <c r="J447" s="18"/>
      <c r="K447" s="20"/>
      <c r="L447" s="20"/>
      <c r="M447" s="20"/>
      <c r="N447" s="20"/>
      <c r="O447" s="21"/>
      <c r="P447" s="22" t="n">
        <f aca="false">IF(OR($A447="",N(K447)=0),0,CEILING(K447*(1+IF($O447="",Taux_Compta,$O447))-0.005,Pas_Arrondi))</f>
        <v>0</v>
      </c>
      <c r="Q447" s="22" t="n">
        <f aca="false">IF(OR($A447="",N(L447)=0),0,CEILING(L447*(1+IF($O447="",Taux_Paye,$O447))-0.005,Pas_Arrondi))</f>
        <v>0</v>
      </c>
      <c r="R447" s="22" t="n">
        <f aca="false">IF(OR($A447="",N(M447)=0),0,CEILING(M447*(1+IF($O447="",Taux_Jur,$O447))-0.005,Pas_Arrondi))</f>
        <v>0</v>
      </c>
      <c r="S447" s="22" t="n">
        <f aca="false">IF(OR($A447="",N(N447)=0),0,CEILING(N447*(1+IF($O447="",Taux_PA,$O447))-0.005,Pas_Arrondi))</f>
        <v>0</v>
      </c>
      <c r="T447" s="22" t="str">
        <f aca="false">IF($A447="","",SUM(K447:N447))</f>
        <v/>
      </c>
      <c r="U447" s="22" t="str">
        <f aca="false">IF($A447="","",SUM(P447:S447))</f>
        <v/>
      </c>
      <c r="V447" s="22" t="str">
        <f aca="false">IF($A447="","",U447-T447)</f>
        <v/>
      </c>
      <c r="W447" s="23" t="str">
        <f aca="false">IF(OR($A447="",N(T447)=0),"",V447/T447)</f>
        <v/>
      </c>
      <c r="X447" s="18"/>
      <c r="Y447" s="18"/>
      <c r="Z447" s="24" t="str">
        <f aca="false">IF(AND($A447&lt;&gt;"",$X447="Oui",OR(Filtre_Masse="Tous les clients à envoyer",$Y447&lt;&gt;"Email")),MAX(Z$1:Z446)+1,"")</f>
        <v/>
      </c>
    </row>
    <row r="448" customFormat="false" ht="15" hidden="false" customHeight="false" outlineLevel="0" collapsed="false">
      <c r="A448" s="18"/>
      <c r="B448" s="18"/>
      <c r="C448" s="18"/>
      <c r="D448" s="18"/>
      <c r="E448" s="18"/>
      <c r="F448" s="18"/>
      <c r="G448" s="18"/>
      <c r="H448" s="19"/>
      <c r="I448" s="18"/>
      <c r="J448" s="18"/>
      <c r="K448" s="20"/>
      <c r="L448" s="20"/>
      <c r="M448" s="20"/>
      <c r="N448" s="20"/>
      <c r="O448" s="21"/>
      <c r="P448" s="22" t="n">
        <f aca="false">IF(OR($A448="",N(K448)=0),0,CEILING(K448*(1+IF($O448="",Taux_Compta,$O448))-0.005,Pas_Arrondi))</f>
        <v>0</v>
      </c>
      <c r="Q448" s="22" t="n">
        <f aca="false">IF(OR($A448="",N(L448)=0),0,CEILING(L448*(1+IF($O448="",Taux_Paye,$O448))-0.005,Pas_Arrondi))</f>
        <v>0</v>
      </c>
      <c r="R448" s="22" t="n">
        <f aca="false">IF(OR($A448="",N(M448)=0),0,CEILING(M448*(1+IF($O448="",Taux_Jur,$O448))-0.005,Pas_Arrondi))</f>
        <v>0</v>
      </c>
      <c r="S448" s="22" t="n">
        <f aca="false">IF(OR($A448="",N(N448)=0),0,CEILING(N448*(1+IF($O448="",Taux_PA,$O448))-0.005,Pas_Arrondi))</f>
        <v>0</v>
      </c>
      <c r="T448" s="22" t="str">
        <f aca="false">IF($A448="","",SUM(K448:N448))</f>
        <v/>
      </c>
      <c r="U448" s="22" t="str">
        <f aca="false">IF($A448="","",SUM(P448:S448))</f>
        <v/>
      </c>
      <c r="V448" s="22" t="str">
        <f aca="false">IF($A448="","",U448-T448)</f>
        <v/>
      </c>
      <c r="W448" s="23" t="str">
        <f aca="false">IF(OR($A448="",N(T448)=0),"",V448/T448)</f>
        <v/>
      </c>
      <c r="X448" s="18"/>
      <c r="Y448" s="18"/>
      <c r="Z448" s="24" t="str">
        <f aca="false">IF(AND($A448&lt;&gt;"",$X448="Oui",OR(Filtre_Masse="Tous les clients à envoyer",$Y448&lt;&gt;"Email")),MAX(Z$1:Z447)+1,"")</f>
        <v/>
      </c>
    </row>
    <row r="449" customFormat="false" ht="15" hidden="false" customHeight="false" outlineLevel="0" collapsed="false">
      <c r="A449" s="18"/>
      <c r="B449" s="18"/>
      <c r="C449" s="18"/>
      <c r="D449" s="18"/>
      <c r="E449" s="18"/>
      <c r="F449" s="18"/>
      <c r="G449" s="18"/>
      <c r="H449" s="19"/>
      <c r="I449" s="18"/>
      <c r="J449" s="18"/>
      <c r="K449" s="20"/>
      <c r="L449" s="20"/>
      <c r="M449" s="20"/>
      <c r="N449" s="20"/>
      <c r="O449" s="21"/>
      <c r="P449" s="22" t="n">
        <f aca="false">IF(OR($A449="",N(K449)=0),0,CEILING(K449*(1+IF($O449="",Taux_Compta,$O449))-0.005,Pas_Arrondi))</f>
        <v>0</v>
      </c>
      <c r="Q449" s="22" t="n">
        <f aca="false">IF(OR($A449="",N(L449)=0),0,CEILING(L449*(1+IF($O449="",Taux_Paye,$O449))-0.005,Pas_Arrondi))</f>
        <v>0</v>
      </c>
      <c r="R449" s="22" t="n">
        <f aca="false">IF(OR($A449="",N(M449)=0),0,CEILING(M449*(1+IF($O449="",Taux_Jur,$O449))-0.005,Pas_Arrondi))</f>
        <v>0</v>
      </c>
      <c r="S449" s="22" t="n">
        <f aca="false">IF(OR($A449="",N(N449)=0),0,CEILING(N449*(1+IF($O449="",Taux_PA,$O449))-0.005,Pas_Arrondi))</f>
        <v>0</v>
      </c>
      <c r="T449" s="22" t="str">
        <f aca="false">IF($A449="","",SUM(K449:N449))</f>
        <v/>
      </c>
      <c r="U449" s="22" t="str">
        <f aca="false">IF($A449="","",SUM(P449:S449))</f>
        <v/>
      </c>
      <c r="V449" s="22" t="str">
        <f aca="false">IF($A449="","",U449-T449)</f>
        <v/>
      </c>
      <c r="W449" s="23" t="str">
        <f aca="false">IF(OR($A449="",N(T449)=0),"",V449/T449)</f>
        <v/>
      </c>
      <c r="X449" s="18"/>
      <c r="Y449" s="18"/>
      <c r="Z449" s="24" t="str">
        <f aca="false">IF(AND($A449&lt;&gt;"",$X449="Oui",OR(Filtre_Masse="Tous les clients à envoyer",$Y449&lt;&gt;"Email")),MAX(Z$1:Z448)+1,"")</f>
        <v/>
      </c>
    </row>
    <row r="450" customFormat="false" ht="15" hidden="false" customHeight="false" outlineLevel="0" collapsed="false">
      <c r="A450" s="18"/>
      <c r="B450" s="18"/>
      <c r="C450" s="18"/>
      <c r="D450" s="18"/>
      <c r="E450" s="18"/>
      <c r="F450" s="18"/>
      <c r="G450" s="18"/>
      <c r="H450" s="19"/>
      <c r="I450" s="18"/>
      <c r="J450" s="18"/>
      <c r="K450" s="20"/>
      <c r="L450" s="20"/>
      <c r="M450" s="20"/>
      <c r="N450" s="20"/>
      <c r="O450" s="21"/>
      <c r="P450" s="22" t="n">
        <f aca="false">IF(OR($A450="",N(K450)=0),0,CEILING(K450*(1+IF($O450="",Taux_Compta,$O450))-0.005,Pas_Arrondi))</f>
        <v>0</v>
      </c>
      <c r="Q450" s="22" t="n">
        <f aca="false">IF(OR($A450="",N(L450)=0),0,CEILING(L450*(1+IF($O450="",Taux_Paye,$O450))-0.005,Pas_Arrondi))</f>
        <v>0</v>
      </c>
      <c r="R450" s="22" t="n">
        <f aca="false">IF(OR($A450="",N(M450)=0),0,CEILING(M450*(1+IF($O450="",Taux_Jur,$O450))-0.005,Pas_Arrondi))</f>
        <v>0</v>
      </c>
      <c r="S450" s="22" t="n">
        <f aca="false">IF(OR($A450="",N(N450)=0),0,CEILING(N450*(1+IF($O450="",Taux_PA,$O450))-0.005,Pas_Arrondi))</f>
        <v>0</v>
      </c>
      <c r="T450" s="22" t="str">
        <f aca="false">IF($A450="","",SUM(K450:N450))</f>
        <v/>
      </c>
      <c r="U450" s="22" t="str">
        <f aca="false">IF($A450="","",SUM(P450:S450))</f>
        <v/>
      </c>
      <c r="V450" s="22" t="str">
        <f aca="false">IF($A450="","",U450-T450)</f>
        <v/>
      </c>
      <c r="W450" s="23" t="str">
        <f aca="false">IF(OR($A450="",N(T450)=0),"",V450/T450)</f>
        <v/>
      </c>
      <c r="X450" s="18"/>
      <c r="Y450" s="18"/>
      <c r="Z450" s="24" t="str">
        <f aca="false">IF(AND($A450&lt;&gt;"",$X450="Oui",OR(Filtre_Masse="Tous les clients à envoyer",$Y450&lt;&gt;"Email")),MAX(Z$1:Z449)+1,"")</f>
        <v/>
      </c>
    </row>
    <row r="451" customFormat="false" ht="15" hidden="false" customHeight="false" outlineLevel="0" collapsed="false">
      <c r="A451" s="18"/>
      <c r="B451" s="18"/>
      <c r="C451" s="18"/>
      <c r="D451" s="18"/>
      <c r="E451" s="18"/>
      <c r="F451" s="18"/>
      <c r="G451" s="18"/>
      <c r="H451" s="19"/>
      <c r="I451" s="18"/>
      <c r="J451" s="18"/>
      <c r="K451" s="20"/>
      <c r="L451" s="20"/>
      <c r="M451" s="20"/>
      <c r="N451" s="20"/>
      <c r="O451" s="21"/>
      <c r="P451" s="22" t="n">
        <f aca="false">IF(OR($A451="",N(K451)=0),0,CEILING(K451*(1+IF($O451="",Taux_Compta,$O451))-0.005,Pas_Arrondi))</f>
        <v>0</v>
      </c>
      <c r="Q451" s="22" t="n">
        <f aca="false">IF(OR($A451="",N(L451)=0),0,CEILING(L451*(1+IF($O451="",Taux_Paye,$O451))-0.005,Pas_Arrondi))</f>
        <v>0</v>
      </c>
      <c r="R451" s="22" t="n">
        <f aca="false">IF(OR($A451="",N(M451)=0),0,CEILING(M451*(1+IF($O451="",Taux_Jur,$O451))-0.005,Pas_Arrondi))</f>
        <v>0</v>
      </c>
      <c r="S451" s="22" t="n">
        <f aca="false">IF(OR($A451="",N(N451)=0),0,CEILING(N451*(1+IF($O451="",Taux_PA,$O451))-0.005,Pas_Arrondi))</f>
        <v>0</v>
      </c>
      <c r="T451" s="22" t="str">
        <f aca="false">IF($A451="","",SUM(K451:N451))</f>
        <v/>
      </c>
      <c r="U451" s="22" t="str">
        <f aca="false">IF($A451="","",SUM(P451:S451))</f>
        <v/>
      </c>
      <c r="V451" s="22" t="str">
        <f aca="false">IF($A451="","",U451-T451)</f>
        <v/>
      </c>
      <c r="W451" s="23" t="str">
        <f aca="false">IF(OR($A451="",N(T451)=0),"",V451/T451)</f>
        <v/>
      </c>
      <c r="X451" s="18"/>
      <c r="Y451" s="18"/>
      <c r="Z451" s="24" t="str">
        <f aca="false">IF(AND($A451&lt;&gt;"",$X451="Oui",OR(Filtre_Masse="Tous les clients à envoyer",$Y451&lt;&gt;"Email")),MAX(Z$1:Z450)+1,"")</f>
        <v/>
      </c>
    </row>
    <row r="452" customFormat="false" ht="15" hidden="false" customHeight="false" outlineLevel="0" collapsed="false">
      <c r="A452" s="18"/>
      <c r="B452" s="18"/>
      <c r="C452" s="18"/>
      <c r="D452" s="18"/>
      <c r="E452" s="18"/>
      <c r="F452" s="18"/>
      <c r="G452" s="18"/>
      <c r="H452" s="19"/>
      <c r="I452" s="18"/>
      <c r="J452" s="18"/>
      <c r="K452" s="20"/>
      <c r="L452" s="20"/>
      <c r="M452" s="20"/>
      <c r="N452" s="20"/>
      <c r="O452" s="21"/>
      <c r="P452" s="22" t="n">
        <f aca="false">IF(OR($A452="",N(K452)=0),0,CEILING(K452*(1+IF($O452="",Taux_Compta,$O452))-0.005,Pas_Arrondi))</f>
        <v>0</v>
      </c>
      <c r="Q452" s="22" t="n">
        <f aca="false">IF(OR($A452="",N(L452)=0),0,CEILING(L452*(1+IF($O452="",Taux_Paye,$O452))-0.005,Pas_Arrondi))</f>
        <v>0</v>
      </c>
      <c r="R452" s="22" t="n">
        <f aca="false">IF(OR($A452="",N(M452)=0),0,CEILING(M452*(1+IF($O452="",Taux_Jur,$O452))-0.005,Pas_Arrondi))</f>
        <v>0</v>
      </c>
      <c r="S452" s="22" t="n">
        <f aca="false">IF(OR($A452="",N(N452)=0),0,CEILING(N452*(1+IF($O452="",Taux_PA,$O452))-0.005,Pas_Arrondi))</f>
        <v>0</v>
      </c>
      <c r="T452" s="22" t="str">
        <f aca="false">IF($A452="","",SUM(K452:N452))</f>
        <v/>
      </c>
      <c r="U452" s="22" t="str">
        <f aca="false">IF($A452="","",SUM(P452:S452))</f>
        <v/>
      </c>
      <c r="V452" s="22" t="str">
        <f aca="false">IF($A452="","",U452-T452)</f>
        <v/>
      </c>
      <c r="W452" s="23" t="str">
        <f aca="false">IF(OR($A452="",N(T452)=0),"",V452/T452)</f>
        <v/>
      </c>
      <c r="X452" s="18"/>
      <c r="Y452" s="18"/>
      <c r="Z452" s="24" t="str">
        <f aca="false">IF(AND($A452&lt;&gt;"",$X452="Oui",OR(Filtre_Masse="Tous les clients à envoyer",$Y452&lt;&gt;"Email")),MAX(Z$1:Z451)+1,"")</f>
        <v/>
      </c>
    </row>
    <row r="453" customFormat="false" ht="15" hidden="false" customHeight="false" outlineLevel="0" collapsed="false">
      <c r="A453" s="18"/>
      <c r="B453" s="18"/>
      <c r="C453" s="18"/>
      <c r="D453" s="18"/>
      <c r="E453" s="18"/>
      <c r="F453" s="18"/>
      <c r="G453" s="18"/>
      <c r="H453" s="19"/>
      <c r="I453" s="18"/>
      <c r="J453" s="18"/>
      <c r="K453" s="20"/>
      <c r="L453" s="20"/>
      <c r="M453" s="20"/>
      <c r="N453" s="20"/>
      <c r="O453" s="21"/>
      <c r="P453" s="22" t="n">
        <f aca="false">IF(OR($A453="",N(K453)=0),0,CEILING(K453*(1+IF($O453="",Taux_Compta,$O453))-0.005,Pas_Arrondi))</f>
        <v>0</v>
      </c>
      <c r="Q453" s="22" t="n">
        <f aca="false">IF(OR($A453="",N(L453)=0),0,CEILING(L453*(1+IF($O453="",Taux_Paye,$O453))-0.005,Pas_Arrondi))</f>
        <v>0</v>
      </c>
      <c r="R453" s="22" t="n">
        <f aca="false">IF(OR($A453="",N(M453)=0),0,CEILING(M453*(1+IF($O453="",Taux_Jur,$O453))-0.005,Pas_Arrondi))</f>
        <v>0</v>
      </c>
      <c r="S453" s="22" t="n">
        <f aca="false">IF(OR($A453="",N(N453)=0),0,CEILING(N453*(1+IF($O453="",Taux_PA,$O453))-0.005,Pas_Arrondi))</f>
        <v>0</v>
      </c>
      <c r="T453" s="22" t="str">
        <f aca="false">IF($A453="","",SUM(K453:N453))</f>
        <v/>
      </c>
      <c r="U453" s="22" t="str">
        <f aca="false">IF($A453="","",SUM(P453:S453))</f>
        <v/>
      </c>
      <c r="V453" s="22" t="str">
        <f aca="false">IF($A453="","",U453-T453)</f>
        <v/>
      </c>
      <c r="W453" s="23" t="str">
        <f aca="false">IF(OR($A453="",N(T453)=0),"",V453/T453)</f>
        <v/>
      </c>
      <c r="X453" s="18"/>
      <c r="Y453" s="18"/>
      <c r="Z453" s="24" t="str">
        <f aca="false">IF(AND($A453&lt;&gt;"",$X453="Oui",OR(Filtre_Masse="Tous les clients à envoyer",$Y453&lt;&gt;"Email")),MAX(Z$1:Z452)+1,"")</f>
        <v/>
      </c>
    </row>
    <row r="454" customFormat="false" ht="15" hidden="false" customHeight="false" outlineLevel="0" collapsed="false">
      <c r="A454" s="18"/>
      <c r="B454" s="18"/>
      <c r="C454" s="18"/>
      <c r="D454" s="18"/>
      <c r="E454" s="18"/>
      <c r="F454" s="18"/>
      <c r="G454" s="18"/>
      <c r="H454" s="19"/>
      <c r="I454" s="18"/>
      <c r="J454" s="18"/>
      <c r="K454" s="20"/>
      <c r="L454" s="20"/>
      <c r="M454" s="20"/>
      <c r="N454" s="20"/>
      <c r="O454" s="21"/>
      <c r="P454" s="22" t="n">
        <f aca="false">IF(OR($A454="",N(K454)=0),0,CEILING(K454*(1+IF($O454="",Taux_Compta,$O454))-0.005,Pas_Arrondi))</f>
        <v>0</v>
      </c>
      <c r="Q454" s="22" t="n">
        <f aca="false">IF(OR($A454="",N(L454)=0),0,CEILING(L454*(1+IF($O454="",Taux_Paye,$O454))-0.005,Pas_Arrondi))</f>
        <v>0</v>
      </c>
      <c r="R454" s="22" t="n">
        <f aca="false">IF(OR($A454="",N(M454)=0),0,CEILING(M454*(1+IF($O454="",Taux_Jur,$O454))-0.005,Pas_Arrondi))</f>
        <v>0</v>
      </c>
      <c r="S454" s="22" t="n">
        <f aca="false">IF(OR($A454="",N(N454)=0),0,CEILING(N454*(1+IF($O454="",Taux_PA,$O454))-0.005,Pas_Arrondi))</f>
        <v>0</v>
      </c>
      <c r="T454" s="22" t="str">
        <f aca="false">IF($A454="","",SUM(K454:N454))</f>
        <v/>
      </c>
      <c r="U454" s="22" t="str">
        <f aca="false">IF($A454="","",SUM(P454:S454))</f>
        <v/>
      </c>
      <c r="V454" s="22" t="str">
        <f aca="false">IF($A454="","",U454-T454)</f>
        <v/>
      </c>
      <c r="W454" s="23" t="str">
        <f aca="false">IF(OR($A454="",N(T454)=0),"",V454/T454)</f>
        <v/>
      </c>
      <c r="X454" s="18"/>
      <c r="Y454" s="18"/>
      <c r="Z454" s="24" t="str">
        <f aca="false">IF(AND($A454&lt;&gt;"",$X454="Oui",OR(Filtre_Masse="Tous les clients à envoyer",$Y454&lt;&gt;"Email")),MAX(Z$1:Z453)+1,"")</f>
        <v/>
      </c>
    </row>
    <row r="455" customFormat="false" ht="15" hidden="false" customHeight="false" outlineLevel="0" collapsed="false">
      <c r="A455" s="18"/>
      <c r="B455" s="18"/>
      <c r="C455" s="18"/>
      <c r="D455" s="18"/>
      <c r="E455" s="18"/>
      <c r="F455" s="18"/>
      <c r="G455" s="18"/>
      <c r="H455" s="19"/>
      <c r="I455" s="18"/>
      <c r="J455" s="18"/>
      <c r="K455" s="20"/>
      <c r="L455" s="20"/>
      <c r="M455" s="20"/>
      <c r="N455" s="20"/>
      <c r="O455" s="21"/>
      <c r="P455" s="22" t="n">
        <f aca="false">IF(OR($A455="",N(K455)=0),0,CEILING(K455*(1+IF($O455="",Taux_Compta,$O455))-0.005,Pas_Arrondi))</f>
        <v>0</v>
      </c>
      <c r="Q455" s="22" t="n">
        <f aca="false">IF(OR($A455="",N(L455)=0),0,CEILING(L455*(1+IF($O455="",Taux_Paye,$O455))-0.005,Pas_Arrondi))</f>
        <v>0</v>
      </c>
      <c r="R455" s="22" t="n">
        <f aca="false">IF(OR($A455="",N(M455)=0),0,CEILING(M455*(1+IF($O455="",Taux_Jur,$O455))-0.005,Pas_Arrondi))</f>
        <v>0</v>
      </c>
      <c r="S455" s="22" t="n">
        <f aca="false">IF(OR($A455="",N(N455)=0),0,CEILING(N455*(1+IF($O455="",Taux_PA,$O455))-0.005,Pas_Arrondi))</f>
        <v>0</v>
      </c>
      <c r="T455" s="22" t="str">
        <f aca="false">IF($A455="","",SUM(K455:N455))</f>
        <v/>
      </c>
      <c r="U455" s="22" t="str">
        <f aca="false">IF($A455="","",SUM(P455:S455))</f>
        <v/>
      </c>
      <c r="V455" s="22" t="str">
        <f aca="false">IF($A455="","",U455-T455)</f>
        <v/>
      </c>
      <c r="W455" s="23" t="str">
        <f aca="false">IF(OR($A455="",N(T455)=0),"",V455/T455)</f>
        <v/>
      </c>
      <c r="X455" s="18"/>
      <c r="Y455" s="18"/>
      <c r="Z455" s="24" t="str">
        <f aca="false">IF(AND($A455&lt;&gt;"",$X455="Oui",OR(Filtre_Masse="Tous les clients à envoyer",$Y455&lt;&gt;"Email")),MAX(Z$1:Z454)+1,"")</f>
        <v/>
      </c>
    </row>
    <row r="456" customFormat="false" ht="15" hidden="false" customHeight="false" outlineLevel="0" collapsed="false">
      <c r="A456" s="18"/>
      <c r="B456" s="18"/>
      <c r="C456" s="18"/>
      <c r="D456" s="18"/>
      <c r="E456" s="18"/>
      <c r="F456" s="18"/>
      <c r="G456" s="18"/>
      <c r="H456" s="19"/>
      <c r="I456" s="18"/>
      <c r="J456" s="18"/>
      <c r="K456" s="20"/>
      <c r="L456" s="20"/>
      <c r="M456" s="20"/>
      <c r="N456" s="20"/>
      <c r="O456" s="21"/>
      <c r="P456" s="22" t="n">
        <f aca="false">IF(OR($A456="",N(K456)=0),0,CEILING(K456*(1+IF($O456="",Taux_Compta,$O456))-0.005,Pas_Arrondi))</f>
        <v>0</v>
      </c>
      <c r="Q456" s="22" t="n">
        <f aca="false">IF(OR($A456="",N(L456)=0),0,CEILING(L456*(1+IF($O456="",Taux_Paye,$O456))-0.005,Pas_Arrondi))</f>
        <v>0</v>
      </c>
      <c r="R456" s="22" t="n">
        <f aca="false">IF(OR($A456="",N(M456)=0),0,CEILING(M456*(1+IF($O456="",Taux_Jur,$O456))-0.005,Pas_Arrondi))</f>
        <v>0</v>
      </c>
      <c r="S456" s="22" t="n">
        <f aca="false">IF(OR($A456="",N(N456)=0),0,CEILING(N456*(1+IF($O456="",Taux_PA,$O456))-0.005,Pas_Arrondi))</f>
        <v>0</v>
      </c>
      <c r="T456" s="22" t="str">
        <f aca="false">IF($A456="","",SUM(K456:N456))</f>
        <v/>
      </c>
      <c r="U456" s="22" t="str">
        <f aca="false">IF($A456="","",SUM(P456:S456))</f>
        <v/>
      </c>
      <c r="V456" s="22" t="str">
        <f aca="false">IF($A456="","",U456-T456)</f>
        <v/>
      </c>
      <c r="W456" s="23" t="str">
        <f aca="false">IF(OR($A456="",N(T456)=0),"",V456/T456)</f>
        <v/>
      </c>
      <c r="X456" s="18"/>
      <c r="Y456" s="18"/>
      <c r="Z456" s="24" t="str">
        <f aca="false">IF(AND($A456&lt;&gt;"",$X456="Oui",OR(Filtre_Masse="Tous les clients à envoyer",$Y456&lt;&gt;"Email")),MAX(Z$1:Z455)+1,"")</f>
        <v/>
      </c>
    </row>
    <row r="457" customFormat="false" ht="15" hidden="false" customHeight="false" outlineLevel="0" collapsed="false">
      <c r="A457" s="18"/>
      <c r="B457" s="18"/>
      <c r="C457" s="18"/>
      <c r="D457" s="18"/>
      <c r="E457" s="18"/>
      <c r="F457" s="18"/>
      <c r="G457" s="18"/>
      <c r="H457" s="19"/>
      <c r="I457" s="18"/>
      <c r="J457" s="18"/>
      <c r="K457" s="20"/>
      <c r="L457" s="20"/>
      <c r="M457" s="20"/>
      <c r="N457" s="20"/>
      <c r="O457" s="21"/>
      <c r="P457" s="22" t="n">
        <f aca="false">IF(OR($A457="",N(K457)=0),0,CEILING(K457*(1+IF($O457="",Taux_Compta,$O457))-0.005,Pas_Arrondi))</f>
        <v>0</v>
      </c>
      <c r="Q457" s="22" t="n">
        <f aca="false">IF(OR($A457="",N(L457)=0),0,CEILING(L457*(1+IF($O457="",Taux_Paye,$O457))-0.005,Pas_Arrondi))</f>
        <v>0</v>
      </c>
      <c r="R457" s="22" t="n">
        <f aca="false">IF(OR($A457="",N(M457)=0),0,CEILING(M457*(1+IF($O457="",Taux_Jur,$O457))-0.005,Pas_Arrondi))</f>
        <v>0</v>
      </c>
      <c r="S457" s="22" t="n">
        <f aca="false">IF(OR($A457="",N(N457)=0),0,CEILING(N457*(1+IF($O457="",Taux_PA,$O457))-0.005,Pas_Arrondi))</f>
        <v>0</v>
      </c>
      <c r="T457" s="22" t="str">
        <f aca="false">IF($A457="","",SUM(K457:N457))</f>
        <v/>
      </c>
      <c r="U457" s="22" t="str">
        <f aca="false">IF($A457="","",SUM(P457:S457))</f>
        <v/>
      </c>
      <c r="V457" s="22" t="str">
        <f aca="false">IF($A457="","",U457-T457)</f>
        <v/>
      </c>
      <c r="W457" s="23" t="str">
        <f aca="false">IF(OR($A457="",N(T457)=0),"",V457/T457)</f>
        <v/>
      </c>
      <c r="X457" s="18"/>
      <c r="Y457" s="18"/>
      <c r="Z457" s="24" t="str">
        <f aca="false">IF(AND($A457&lt;&gt;"",$X457="Oui",OR(Filtre_Masse="Tous les clients à envoyer",$Y457&lt;&gt;"Email")),MAX(Z$1:Z456)+1,"")</f>
        <v/>
      </c>
    </row>
    <row r="458" customFormat="false" ht="15" hidden="false" customHeight="false" outlineLevel="0" collapsed="false">
      <c r="A458" s="18"/>
      <c r="B458" s="18"/>
      <c r="C458" s="18"/>
      <c r="D458" s="18"/>
      <c r="E458" s="18"/>
      <c r="F458" s="18"/>
      <c r="G458" s="18"/>
      <c r="H458" s="19"/>
      <c r="I458" s="18"/>
      <c r="J458" s="18"/>
      <c r="K458" s="20"/>
      <c r="L458" s="20"/>
      <c r="M458" s="20"/>
      <c r="N458" s="20"/>
      <c r="O458" s="21"/>
      <c r="P458" s="22" t="n">
        <f aca="false">IF(OR($A458="",N(K458)=0),0,CEILING(K458*(1+IF($O458="",Taux_Compta,$O458))-0.005,Pas_Arrondi))</f>
        <v>0</v>
      </c>
      <c r="Q458" s="22" t="n">
        <f aca="false">IF(OR($A458="",N(L458)=0),0,CEILING(L458*(1+IF($O458="",Taux_Paye,$O458))-0.005,Pas_Arrondi))</f>
        <v>0</v>
      </c>
      <c r="R458" s="22" t="n">
        <f aca="false">IF(OR($A458="",N(M458)=0),0,CEILING(M458*(1+IF($O458="",Taux_Jur,$O458))-0.005,Pas_Arrondi))</f>
        <v>0</v>
      </c>
      <c r="S458" s="22" t="n">
        <f aca="false">IF(OR($A458="",N(N458)=0),0,CEILING(N458*(1+IF($O458="",Taux_PA,$O458))-0.005,Pas_Arrondi))</f>
        <v>0</v>
      </c>
      <c r="T458" s="22" t="str">
        <f aca="false">IF($A458="","",SUM(K458:N458))</f>
        <v/>
      </c>
      <c r="U458" s="22" t="str">
        <f aca="false">IF($A458="","",SUM(P458:S458))</f>
        <v/>
      </c>
      <c r="V458" s="22" t="str">
        <f aca="false">IF($A458="","",U458-T458)</f>
        <v/>
      </c>
      <c r="W458" s="23" t="str">
        <f aca="false">IF(OR($A458="",N(T458)=0),"",V458/T458)</f>
        <v/>
      </c>
      <c r="X458" s="18"/>
      <c r="Y458" s="18"/>
      <c r="Z458" s="24" t="str">
        <f aca="false">IF(AND($A458&lt;&gt;"",$X458="Oui",OR(Filtre_Masse="Tous les clients à envoyer",$Y458&lt;&gt;"Email")),MAX(Z$1:Z457)+1,"")</f>
        <v/>
      </c>
    </row>
    <row r="459" customFormat="false" ht="15" hidden="false" customHeight="false" outlineLevel="0" collapsed="false">
      <c r="A459" s="18"/>
      <c r="B459" s="18"/>
      <c r="C459" s="18"/>
      <c r="D459" s="18"/>
      <c r="E459" s="18"/>
      <c r="F459" s="18"/>
      <c r="G459" s="18"/>
      <c r="H459" s="19"/>
      <c r="I459" s="18"/>
      <c r="J459" s="18"/>
      <c r="K459" s="20"/>
      <c r="L459" s="20"/>
      <c r="M459" s="20"/>
      <c r="N459" s="20"/>
      <c r="O459" s="21"/>
      <c r="P459" s="22" t="n">
        <f aca="false">IF(OR($A459="",N(K459)=0),0,CEILING(K459*(1+IF($O459="",Taux_Compta,$O459))-0.005,Pas_Arrondi))</f>
        <v>0</v>
      </c>
      <c r="Q459" s="22" t="n">
        <f aca="false">IF(OR($A459="",N(L459)=0),0,CEILING(L459*(1+IF($O459="",Taux_Paye,$O459))-0.005,Pas_Arrondi))</f>
        <v>0</v>
      </c>
      <c r="R459" s="22" t="n">
        <f aca="false">IF(OR($A459="",N(M459)=0),0,CEILING(M459*(1+IF($O459="",Taux_Jur,$O459))-0.005,Pas_Arrondi))</f>
        <v>0</v>
      </c>
      <c r="S459" s="22" t="n">
        <f aca="false">IF(OR($A459="",N(N459)=0),0,CEILING(N459*(1+IF($O459="",Taux_PA,$O459))-0.005,Pas_Arrondi))</f>
        <v>0</v>
      </c>
      <c r="T459" s="22" t="str">
        <f aca="false">IF($A459="","",SUM(K459:N459))</f>
        <v/>
      </c>
      <c r="U459" s="22" t="str">
        <f aca="false">IF($A459="","",SUM(P459:S459))</f>
        <v/>
      </c>
      <c r="V459" s="22" t="str">
        <f aca="false">IF($A459="","",U459-T459)</f>
        <v/>
      </c>
      <c r="W459" s="23" t="str">
        <f aca="false">IF(OR($A459="",N(T459)=0),"",V459/T459)</f>
        <v/>
      </c>
      <c r="X459" s="18"/>
      <c r="Y459" s="18"/>
      <c r="Z459" s="24" t="str">
        <f aca="false">IF(AND($A459&lt;&gt;"",$X459="Oui",OR(Filtre_Masse="Tous les clients à envoyer",$Y459&lt;&gt;"Email")),MAX(Z$1:Z458)+1,"")</f>
        <v/>
      </c>
    </row>
    <row r="460" customFormat="false" ht="15" hidden="false" customHeight="false" outlineLevel="0" collapsed="false">
      <c r="A460" s="18"/>
      <c r="B460" s="18"/>
      <c r="C460" s="18"/>
      <c r="D460" s="18"/>
      <c r="E460" s="18"/>
      <c r="F460" s="18"/>
      <c r="G460" s="18"/>
      <c r="H460" s="19"/>
      <c r="I460" s="18"/>
      <c r="J460" s="18"/>
      <c r="K460" s="20"/>
      <c r="L460" s="20"/>
      <c r="M460" s="20"/>
      <c r="N460" s="20"/>
      <c r="O460" s="21"/>
      <c r="P460" s="22" t="n">
        <f aca="false">IF(OR($A460="",N(K460)=0),0,CEILING(K460*(1+IF($O460="",Taux_Compta,$O460))-0.005,Pas_Arrondi))</f>
        <v>0</v>
      </c>
      <c r="Q460" s="22" t="n">
        <f aca="false">IF(OR($A460="",N(L460)=0),0,CEILING(L460*(1+IF($O460="",Taux_Paye,$O460))-0.005,Pas_Arrondi))</f>
        <v>0</v>
      </c>
      <c r="R460" s="22" t="n">
        <f aca="false">IF(OR($A460="",N(M460)=0),0,CEILING(M460*(1+IF($O460="",Taux_Jur,$O460))-0.005,Pas_Arrondi))</f>
        <v>0</v>
      </c>
      <c r="S460" s="22" t="n">
        <f aca="false">IF(OR($A460="",N(N460)=0),0,CEILING(N460*(1+IF($O460="",Taux_PA,$O460))-0.005,Pas_Arrondi))</f>
        <v>0</v>
      </c>
      <c r="T460" s="22" t="str">
        <f aca="false">IF($A460="","",SUM(K460:N460))</f>
        <v/>
      </c>
      <c r="U460" s="22" t="str">
        <f aca="false">IF($A460="","",SUM(P460:S460))</f>
        <v/>
      </c>
      <c r="V460" s="22" t="str">
        <f aca="false">IF($A460="","",U460-T460)</f>
        <v/>
      </c>
      <c r="W460" s="23" t="str">
        <f aca="false">IF(OR($A460="",N(T460)=0),"",V460/T460)</f>
        <v/>
      </c>
      <c r="X460" s="18"/>
      <c r="Y460" s="18"/>
      <c r="Z460" s="24" t="str">
        <f aca="false">IF(AND($A460&lt;&gt;"",$X460="Oui",OR(Filtre_Masse="Tous les clients à envoyer",$Y460&lt;&gt;"Email")),MAX(Z$1:Z459)+1,"")</f>
        <v/>
      </c>
    </row>
    <row r="461" customFormat="false" ht="15" hidden="false" customHeight="false" outlineLevel="0" collapsed="false">
      <c r="A461" s="18"/>
      <c r="B461" s="18"/>
      <c r="C461" s="18"/>
      <c r="D461" s="18"/>
      <c r="E461" s="18"/>
      <c r="F461" s="18"/>
      <c r="G461" s="18"/>
      <c r="H461" s="19"/>
      <c r="I461" s="18"/>
      <c r="J461" s="18"/>
      <c r="K461" s="20"/>
      <c r="L461" s="20"/>
      <c r="M461" s="20"/>
      <c r="N461" s="20"/>
      <c r="O461" s="21"/>
      <c r="P461" s="22" t="n">
        <f aca="false">IF(OR($A461="",N(K461)=0),0,CEILING(K461*(1+IF($O461="",Taux_Compta,$O461))-0.005,Pas_Arrondi))</f>
        <v>0</v>
      </c>
      <c r="Q461" s="22" t="n">
        <f aca="false">IF(OR($A461="",N(L461)=0),0,CEILING(L461*(1+IF($O461="",Taux_Paye,$O461))-0.005,Pas_Arrondi))</f>
        <v>0</v>
      </c>
      <c r="R461" s="22" t="n">
        <f aca="false">IF(OR($A461="",N(M461)=0),0,CEILING(M461*(1+IF($O461="",Taux_Jur,$O461))-0.005,Pas_Arrondi))</f>
        <v>0</v>
      </c>
      <c r="S461" s="22" t="n">
        <f aca="false">IF(OR($A461="",N(N461)=0),0,CEILING(N461*(1+IF($O461="",Taux_PA,$O461))-0.005,Pas_Arrondi))</f>
        <v>0</v>
      </c>
      <c r="T461" s="22" t="str">
        <f aca="false">IF($A461="","",SUM(K461:N461))</f>
        <v/>
      </c>
      <c r="U461" s="22" t="str">
        <f aca="false">IF($A461="","",SUM(P461:S461))</f>
        <v/>
      </c>
      <c r="V461" s="22" t="str">
        <f aca="false">IF($A461="","",U461-T461)</f>
        <v/>
      </c>
      <c r="W461" s="23" t="str">
        <f aca="false">IF(OR($A461="",N(T461)=0),"",V461/T461)</f>
        <v/>
      </c>
      <c r="X461" s="18"/>
      <c r="Y461" s="18"/>
      <c r="Z461" s="24" t="str">
        <f aca="false">IF(AND($A461&lt;&gt;"",$X461="Oui",OR(Filtre_Masse="Tous les clients à envoyer",$Y461&lt;&gt;"Email")),MAX(Z$1:Z460)+1,"")</f>
        <v/>
      </c>
    </row>
    <row r="462" customFormat="false" ht="15" hidden="false" customHeight="false" outlineLevel="0" collapsed="false">
      <c r="A462" s="18"/>
      <c r="B462" s="18"/>
      <c r="C462" s="18"/>
      <c r="D462" s="18"/>
      <c r="E462" s="18"/>
      <c r="F462" s="18"/>
      <c r="G462" s="18"/>
      <c r="H462" s="19"/>
      <c r="I462" s="18"/>
      <c r="J462" s="18"/>
      <c r="K462" s="20"/>
      <c r="L462" s="20"/>
      <c r="M462" s="20"/>
      <c r="N462" s="20"/>
      <c r="O462" s="21"/>
      <c r="P462" s="22" t="n">
        <f aca="false">IF(OR($A462="",N(K462)=0),0,CEILING(K462*(1+IF($O462="",Taux_Compta,$O462))-0.005,Pas_Arrondi))</f>
        <v>0</v>
      </c>
      <c r="Q462" s="22" t="n">
        <f aca="false">IF(OR($A462="",N(L462)=0),0,CEILING(L462*(1+IF($O462="",Taux_Paye,$O462))-0.005,Pas_Arrondi))</f>
        <v>0</v>
      </c>
      <c r="R462" s="22" t="n">
        <f aca="false">IF(OR($A462="",N(M462)=0),0,CEILING(M462*(1+IF($O462="",Taux_Jur,$O462))-0.005,Pas_Arrondi))</f>
        <v>0</v>
      </c>
      <c r="S462" s="22" t="n">
        <f aca="false">IF(OR($A462="",N(N462)=0),0,CEILING(N462*(1+IF($O462="",Taux_PA,$O462))-0.005,Pas_Arrondi))</f>
        <v>0</v>
      </c>
      <c r="T462" s="22" t="str">
        <f aca="false">IF($A462="","",SUM(K462:N462))</f>
        <v/>
      </c>
      <c r="U462" s="22" t="str">
        <f aca="false">IF($A462="","",SUM(P462:S462))</f>
        <v/>
      </c>
      <c r="V462" s="22" t="str">
        <f aca="false">IF($A462="","",U462-T462)</f>
        <v/>
      </c>
      <c r="W462" s="23" t="str">
        <f aca="false">IF(OR($A462="",N(T462)=0),"",V462/T462)</f>
        <v/>
      </c>
      <c r="X462" s="18"/>
      <c r="Y462" s="18"/>
      <c r="Z462" s="24" t="str">
        <f aca="false">IF(AND($A462&lt;&gt;"",$X462="Oui",OR(Filtre_Masse="Tous les clients à envoyer",$Y462&lt;&gt;"Email")),MAX(Z$1:Z461)+1,"")</f>
        <v/>
      </c>
    </row>
    <row r="463" customFormat="false" ht="15" hidden="false" customHeight="false" outlineLevel="0" collapsed="false">
      <c r="A463" s="18"/>
      <c r="B463" s="18"/>
      <c r="C463" s="18"/>
      <c r="D463" s="18"/>
      <c r="E463" s="18"/>
      <c r="F463" s="18"/>
      <c r="G463" s="18"/>
      <c r="H463" s="19"/>
      <c r="I463" s="18"/>
      <c r="J463" s="18"/>
      <c r="K463" s="20"/>
      <c r="L463" s="20"/>
      <c r="M463" s="20"/>
      <c r="N463" s="20"/>
      <c r="O463" s="21"/>
      <c r="P463" s="22" t="n">
        <f aca="false">IF(OR($A463="",N(K463)=0),0,CEILING(K463*(1+IF($O463="",Taux_Compta,$O463))-0.005,Pas_Arrondi))</f>
        <v>0</v>
      </c>
      <c r="Q463" s="22" t="n">
        <f aca="false">IF(OR($A463="",N(L463)=0),0,CEILING(L463*(1+IF($O463="",Taux_Paye,$O463))-0.005,Pas_Arrondi))</f>
        <v>0</v>
      </c>
      <c r="R463" s="22" t="n">
        <f aca="false">IF(OR($A463="",N(M463)=0),0,CEILING(M463*(1+IF($O463="",Taux_Jur,$O463))-0.005,Pas_Arrondi))</f>
        <v>0</v>
      </c>
      <c r="S463" s="22" t="n">
        <f aca="false">IF(OR($A463="",N(N463)=0),0,CEILING(N463*(1+IF($O463="",Taux_PA,$O463))-0.005,Pas_Arrondi))</f>
        <v>0</v>
      </c>
      <c r="T463" s="22" t="str">
        <f aca="false">IF($A463="","",SUM(K463:N463))</f>
        <v/>
      </c>
      <c r="U463" s="22" t="str">
        <f aca="false">IF($A463="","",SUM(P463:S463))</f>
        <v/>
      </c>
      <c r="V463" s="22" t="str">
        <f aca="false">IF($A463="","",U463-T463)</f>
        <v/>
      </c>
      <c r="W463" s="23" t="str">
        <f aca="false">IF(OR($A463="",N(T463)=0),"",V463/T463)</f>
        <v/>
      </c>
      <c r="X463" s="18"/>
      <c r="Y463" s="18"/>
      <c r="Z463" s="24" t="str">
        <f aca="false">IF(AND($A463&lt;&gt;"",$X463="Oui",OR(Filtre_Masse="Tous les clients à envoyer",$Y463&lt;&gt;"Email")),MAX(Z$1:Z462)+1,"")</f>
        <v/>
      </c>
    </row>
    <row r="464" customFormat="false" ht="15" hidden="false" customHeight="false" outlineLevel="0" collapsed="false">
      <c r="A464" s="18"/>
      <c r="B464" s="18"/>
      <c r="C464" s="18"/>
      <c r="D464" s="18"/>
      <c r="E464" s="18"/>
      <c r="F464" s="18"/>
      <c r="G464" s="18"/>
      <c r="H464" s="19"/>
      <c r="I464" s="18"/>
      <c r="J464" s="18"/>
      <c r="K464" s="20"/>
      <c r="L464" s="20"/>
      <c r="M464" s="20"/>
      <c r="N464" s="20"/>
      <c r="O464" s="21"/>
      <c r="P464" s="22" t="n">
        <f aca="false">IF(OR($A464="",N(K464)=0),0,CEILING(K464*(1+IF($O464="",Taux_Compta,$O464))-0.005,Pas_Arrondi))</f>
        <v>0</v>
      </c>
      <c r="Q464" s="22" t="n">
        <f aca="false">IF(OR($A464="",N(L464)=0),0,CEILING(L464*(1+IF($O464="",Taux_Paye,$O464))-0.005,Pas_Arrondi))</f>
        <v>0</v>
      </c>
      <c r="R464" s="22" t="n">
        <f aca="false">IF(OR($A464="",N(M464)=0),0,CEILING(M464*(1+IF($O464="",Taux_Jur,$O464))-0.005,Pas_Arrondi))</f>
        <v>0</v>
      </c>
      <c r="S464" s="22" t="n">
        <f aca="false">IF(OR($A464="",N(N464)=0),0,CEILING(N464*(1+IF($O464="",Taux_PA,$O464))-0.005,Pas_Arrondi))</f>
        <v>0</v>
      </c>
      <c r="T464" s="22" t="str">
        <f aca="false">IF($A464="","",SUM(K464:N464))</f>
        <v/>
      </c>
      <c r="U464" s="22" t="str">
        <f aca="false">IF($A464="","",SUM(P464:S464))</f>
        <v/>
      </c>
      <c r="V464" s="22" t="str">
        <f aca="false">IF($A464="","",U464-T464)</f>
        <v/>
      </c>
      <c r="W464" s="23" t="str">
        <f aca="false">IF(OR($A464="",N(T464)=0),"",V464/T464)</f>
        <v/>
      </c>
      <c r="X464" s="18"/>
      <c r="Y464" s="18"/>
      <c r="Z464" s="24" t="str">
        <f aca="false">IF(AND($A464&lt;&gt;"",$X464="Oui",OR(Filtre_Masse="Tous les clients à envoyer",$Y464&lt;&gt;"Email")),MAX(Z$1:Z463)+1,"")</f>
        <v/>
      </c>
    </row>
    <row r="465" customFormat="false" ht="15" hidden="false" customHeight="false" outlineLevel="0" collapsed="false">
      <c r="A465" s="18"/>
      <c r="B465" s="18"/>
      <c r="C465" s="18"/>
      <c r="D465" s="18"/>
      <c r="E465" s="18"/>
      <c r="F465" s="18"/>
      <c r="G465" s="18"/>
      <c r="H465" s="19"/>
      <c r="I465" s="18"/>
      <c r="J465" s="18"/>
      <c r="K465" s="20"/>
      <c r="L465" s="20"/>
      <c r="M465" s="20"/>
      <c r="N465" s="20"/>
      <c r="O465" s="21"/>
      <c r="P465" s="22" t="n">
        <f aca="false">IF(OR($A465="",N(K465)=0),0,CEILING(K465*(1+IF($O465="",Taux_Compta,$O465))-0.005,Pas_Arrondi))</f>
        <v>0</v>
      </c>
      <c r="Q465" s="22" t="n">
        <f aca="false">IF(OR($A465="",N(L465)=0),0,CEILING(L465*(1+IF($O465="",Taux_Paye,$O465))-0.005,Pas_Arrondi))</f>
        <v>0</v>
      </c>
      <c r="R465" s="22" t="n">
        <f aca="false">IF(OR($A465="",N(M465)=0),0,CEILING(M465*(1+IF($O465="",Taux_Jur,$O465))-0.005,Pas_Arrondi))</f>
        <v>0</v>
      </c>
      <c r="S465" s="22" t="n">
        <f aca="false">IF(OR($A465="",N(N465)=0),0,CEILING(N465*(1+IF($O465="",Taux_PA,$O465))-0.005,Pas_Arrondi))</f>
        <v>0</v>
      </c>
      <c r="T465" s="22" t="str">
        <f aca="false">IF($A465="","",SUM(K465:N465))</f>
        <v/>
      </c>
      <c r="U465" s="22" t="str">
        <f aca="false">IF($A465="","",SUM(P465:S465))</f>
        <v/>
      </c>
      <c r="V465" s="22" t="str">
        <f aca="false">IF($A465="","",U465-T465)</f>
        <v/>
      </c>
      <c r="W465" s="23" t="str">
        <f aca="false">IF(OR($A465="",N(T465)=0),"",V465/T465)</f>
        <v/>
      </c>
      <c r="X465" s="18"/>
      <c r="Y465" s="18"/>
      <c r="Z465" s="24" t="str">
        <f aca="false">IF(AND($A465&lt;&gt;"",$X465="Oui",OR(Filtre_Masse="Tous les clients à envoyer",$Y465&lt;&gt;"Email")),MAX(Z$1:Z464)+1,"")</f>
        <v/>
      </c>
    </row>
    <row r="466" customFormat="false" ht="15" hidden="false" customHeight="false" outlineLevel="0" collapsed="false">
      <c r="A466" s="18"/>
      <c r="B466" s="18"/>
      <c r="C466" s="18"/>
      <c r="D466" s="18"/>
      <c r="E466" s="18"/>
      <c r="F466" s="18"/>
      <c r="G466" s="18"/>
      <c r="H466" s="19"/>
      <c r="I466" s="18"/>
      <c r="J466" s="18"/>
      <c r="K466" s="20"/>
      <c r="L466" s="20"/>
      <c r="M466" s="20"/>
      <c r="N466" s="20"/>
      <c r="O466" s="21"/>
      <c r="P466" s="22" t="n">
        <f aca="false">IF(OR($A466="",N(K466)=0),0,CEILING(K466*(1+IF($O466="",Taux_Compta,$O466))-0.005,Pas_Arrondi))</f>
        <v>0</v>
      </c>
      <c r="Q466" s="22" t="n">
        <f aca="false">IF(OR($A466="",N(L466)=0),0,CEILING(L466*(1+IF($O466="",Taux_Paye,$O466))-0.005,Pas_Arrondi))</f>
        <v>0</v>
      </c>
      <c r="R466" s="22" t="n">
        <f aca="false">IF(OR($A466="",N(M466)=0),0,CEILING(M466*(1+IF($O466="",Taux_Jur,$O466))-0.005,Pas_Arrondi))</f>
        <v>0</v>
      </c>
      <c r="S466" s="22" t="n">
        <f aca="false">IF(OR($A466="",N(N466)=0),0,CEILING(N466*(1+IF($O466="",Taux_PA,$O466))-0.005,Pas_Arrondi))</f>
        <v>0</v>
      </c>
      <c r="T466" s="22" t="str">
        <f aca="false">IF($A466="","",SUM(K466:N466))</f>
        <v/>
      </c>
      <c r="U466" s="22" t="str">
        <f aca="false">IF($A466="","",SUM(P466:S466))</f>
        <v/>
      </c>
      <c r="V466" s="22" t="str">
        <f aca="false">IF($A466="","",U466-T466)</f>
        <v/>
      </c>
      <c r="W466" s="23" t="str">
        <f aca="false">IF(OR($A466="",N(T466)=0),"",V466/T466)</f>
        <v/>
      </c>
      <c r="X466" s="18"/>
      <c r="Y466" s="18"/>
      <c r="Z466" s="24" t="str">
        <f aca="false">IF(AND($A466&lt;&gt;"",$X466="Oui",OR(Filtre_Masse="Tous les clients à envoyer",$Y466&lt;&gt;"Email")),MAX(Z$1:Z465)+1,"")</f>
        <v/>
      </c>
    </row>
    <row r="467" customFormat="false" ht="15" hidden="false" customHeight="false" outlineLevel="0" collapsed="false">
      <c r="A467" s="18"/>
      <c r="B467" s="18"/>
      <c r="C467" s="18"/>
      <c r="D467" s="18"/>
      <c r="E467" s="18"/>
      <c r="F467" s="18"/>
      <c r="G467" s="18"/>
      <c r="H467" s="19"/>
      <c r="I467" s="18"/>
      <c r="J467" s="18"/>
      <c r="K467" s="20"/>
      <c r="L467" s="20"/>
      <c r="M467" s="20"/>
      <c r="N467" s="20"/>
      <c r="O467" s="21"/>
      <c r="P467" s="22" t="n">
        <f aca="false">IF(OR($A467="",N(K467)=0),0,CEILING(K467*(1+IF($O467="",Taux_Compta,$O467))-0.005,Pas_Arrondi))</f>
        <v>0</v>
      </c>
      <c r="Q467" s="22" t="n">
        <f aca="false">IF(OR($A467="",N(L467)=0),0,CEILING(L467*(1+IF($O467="",Taux_Paye,$O467))-0.005,Pas_Arrondi))</f>
        <v>0</v>
      </c>
      <c r="R467" s="22" t="n">
        <f aca="false">IF(OR($A467="",N(M467)=0),0,CEILING(M467*(1+IF($O467="",Taux_Jur,$O467))-0.005,Pas_Arrondi))</f>
        <v>0</v>
      </c>
      <c r="S467" s="22" t="n">
        <f aca="false">IF(OR($A467="",N(N467)=0),0,CEILING(N467*(1+IF($O467="",Taux_PA,$O467))-0.005,Pas_Arrondi))</f>
        <v>0</v>
      </c>
      <c r="T467" s="22" t="str">
        <f aca="false">IF($A467="","",SUM(K467:N467))</f>
        <v/>
      </c>
      <c r="U467" s="22" t="str">
        <f aca="false">IF($A467="","",SUM(P467:S467))</f>
        <v/>
      </c>
      <c r="V467" s="22" t="str">
        <f aca="false">IF($A467="","",U467-T467)</f>
        <v/>
      </c>
      <c r="W467" s="23" t="str">
        <f aca="false">IF(OR($A467="",N(T467)=0),"",V467/T467)</f>
        <v/>
      </c>
      <c r="X467" s="18"/>
      <c r="Y467" s="18"/>
      <c r="Z467" s="24" t="str">
        <f aca="false">IF(AND($A467&lt;&gt;"",$X467="Oui",OR(Filtre_Masse="Tous les clients à envoyer",$Y467&lt;&gt;"Email")),MAX(Z$1:Z466)+1,"")</f>
        <v/>
      </c>
    </row>
    <row r="468" customFormat="false" ht="15" hidden="false" customHeight="false" outlineLevel="0" collapsed="false">
      <c r="A468" s="18"/>
      <c r="B468" s="18"/>
      <c r="C468" s="18"/>
      <c r="D468" s="18"/>
      <c r="E468" s="18"/>
      <c r="F468" s="18"/>
      <c r="G468" s="18"/>
      <c r="H468" s="19"/>
      <c r="I468" s="18"/>
      <c r="J468" s="18"/>
      <c r="K468" s="20"/>
      <c r="L468" s="20"/>
      <c r="M468" s="20"/>
      <c r="N468" s="20"/>
      <c r="O468" s="21"/>
      <c r="P468" s="22" t="n">
        <f aca="false">IF(OR($A468="",N(K468)=0),0,CEILING(K468*(1+IF($O468="",Taux_Compta,$O468))-0.005,Pas_Arrondi))</f>
        <v>0</v>
      </c>
      <c r="Q468" s="22" t="n">
        <f aca="false">IF(OR($A468="",N(L468)=0),0,CEILING(L468*(1+IF($O468="",Taux_Paye,$O468))-0.005,Pas_Arrondi))</f>
        <v>0</v>
      </c>
      <c r="R468" s="22" t="n">
        <f aca="false">IF(OR($A468="",N(M468)=0),0,CEILING(M468*(1+IF($O468="",Taux_Jur,$O468))-0.005,Pas_Arrondi))</f>
        <v>0</v>
      </c>
      <c r="S468" s="22" t="n">
        <f aca="false">IF(OR($A468="",N(N468)=0),0,CEILING(N468*(1+IF($O468="",Taux_PA,$O468))-0.005,Pas_Arrondi))</f>
        <v>0</v>
      </c>
      <c r="T468" s="22" t="str">
        <f aca="false">IF($A468="","",SUM(K468:N468))</f>
        <v/>
      </c>
      <c r="U468" s="22" t="str">
        <f aca="false">IF($A468="","",SUM(P468:S468))</f>
        <v/>
      </c>
      <c r="V468" s="22" t="str">
        <f aca="false">IF($A468="","",U468-T468)</f>
        <v/>
      </c>
      <c r="W468" s="23" t="str">
        <f aca="false">IF(OR($A468="",N(T468)=0),"",V468/T468)</f>
        <v/>
      </c>
      <c r="X468" s="18"/>
      <c r="Y468" s="18"/>
      <c r="Z468" s="24" t="str">
        <f aca="false">IF(AND($A468&lt;&gt;"",$X468="Oui",OR(Filtre_Masse="Tous les clients à envoyer",$Y468&lt;&gt;"Email")),MAX(Z$1:Z467)+1,"")</f>
        <v/>
      </c>
    </row>
    <row r="469" customFormat="false" ht="15" hidden="false" customHeight="false" outlineLevel="0" collapsed="false">
      <c r="A469" s="18"/>
      <c r="B469" s="18"/>
      <c r="C469" s="18"/>
      <c r="D469" s="18"/>
      <c r="E469" s="18"/>
      <c r="F469" s="18"/>
      <c r="G469" s="18"/>
      <c r="H469" s="19"/>
      <c r="I469" s="18"/>
      <c r="J469" s="18"/>
      <c r="K469" s="20"/>
      <c r="L469" s="20"/>
      <c r="M469" s="20"/>
      <c r="N469" s="20"/>
      <c r="O469" s="21"/>
      <c r="P469" s="22" t="n">
        <f aca="false">IF(OR($A469="",N(K469)=0),0,CEILING(K469*(1+IF($O469="",Taux_Compta,$O469))-0.005,Pas_Arrondi))</f>
        <v>0</v>
      </c>
      <c r="Q469" s="22" t="n">
        <f aca="false">IF(OR($A469="",N(L469)=0),0,CEILING(L469*(1+IF($O469="",Taux_Paye,$O469))-0.005,Pas_Arrondi))</f>
        <v>0</v>
      </c>
      <c r="R469" s="22" t="n">
        <f aca="false">IF(OR($A469="",N(M469)=0),0,CEILING(M469*(1+IF($O469="",Taux_Jur,$O469))-0.005,Pas_Arrondi))</f>
        <v>0</v>
      </c>
      <c r="S469" s="22" t="n">
        <f aca="false">IF(OR($A469="",N(N469)=0),0,CEILING(N469*(1+IF($O469="",Taux_PA,$O469))-0.005,Pas_Arrondi))</f>
        <v>0</v>
      </c>
      <c r="T469" s="22" t="str">
        <f aca="false">IF($A469="","",SUM(K469:N469))</f>
        <v/>
      </c>
      <c r="U469" s="22" t="str">
        <f aca="false">IF($A469="","",SUM(P469:S469))</f>
        <v/>
      </c>
      <c r="V469" s="22" t="str">
        <f aca="false">IF($A469="","",U469-T469)</f>
        <v/>
      </c>
      <c r="W469" s="23" t="str">
        <f aca="false">IF(OR($A469="",N(T469)=0),"",V469/T469)</f>
        <v/>
      </c>
      <c r="X469" s="18"/>
      <c r="Y469" s="18"/>
      <c r="Z469" s="24" t="str">
        <f aca="false">IF(AND($A469&lt;&gt;"",$X469="Oui",OR(Filtre_Masse="Tous les clients à envoyer",$Y469&lt;&gt;"Email")),MAX(Z$1:Z468)+1,"")</f>
        <v/>
      </c>
    </row>
    <row r="470" customFormat="false" ht="15" hidden="false" customHeight="false" outlineLevel="0" collapsed="false">
      <c r="A470" s="18"/>
      <c r="B470" s="18"/>
      <c r="C470" s="18"/>
      <c r="D470" s="18"/>
      <c r="E470" s="18"/>
      <c r="F470" s="18"/>
      <c r="G470" s="18"/>
      <c r="H470" s="19"/>
      <c r="I470" s="18"/>
      <c r="J470" s="18"/>
      <c r="K470" s="20"/>
      <c r="L470" s="20"/>
      <c r="M470" s="20"/>
      <c r="N470" s="20"/>
      <c r="O470" s="21"/>
      <c r="P470" s="22" t="n">
        <f aca="false">IF(OR($A470="",N(K470)=0),0,CEILING(K470*(1+IF($O470="",Taux_Compta,$O470))-0.005,Pas_Arrondi))</f>
        <v>0</v>
      </c>
      <c r="Q470" s="22" t="n">
        <f aca="false">IF(OR($A470="",N(L470)=0),0,CEILING(L470*(1+IF($O470="",Taux_Paye,$O470))-0.005,Pas_Arrondi))</f>
        <v>0</v>
      </c>
      <c r="R470" s="22" t="n">
        <f aca="false">IF(OR($A470="",N(M470)=0),0,CEILING(M470*(1+IF($O470="",Taux_Jur,$O470))-0.005,Pas_Arrondi))</f>
        <v>0</v>
      </c>
      <c r="S470" s="22" t="n">
        <f aca="false">IF(OR($A470="",N(N470)=0),0,CEILING(N470*(1+IF($O470="",Taux_PA,$O470))-0.005,Pas_Arrondi))</f>
        <v>0</v>
      </c>
      <c r="T470" s="22" t="str">
        <f aca="false">IF($A470="","",SUM(K470:N470))</f>
        <v/>
      </c>
      <c r="U470" s="22" t="str">
        <f aca="false">IF($A470="","",SUM(P470:S470))</f>
        <v/>
      </c>
      <c r="V470" s="22" t="str">
        <f aca="false">IF($A470="","",U470-T470)</f>
        <v/>
      </c>
      <c r="W470" s="23" t="str">
        <f aca="false">IF(OR($A470="",N(T470)=0),"",V470/T470)</f>
        <v/>
      </c>
      <c r="X470" s="18"/>
      <c r="Y470" s="18"/>
      <c r="Z470" s="24" t="str">
        <f aca="false">IF(AND($A470&lt;&gt;"",$X470="Oui",OR(Filtre_Masse="Tous les clients à envoyer",$Y470&lt;&gt;"Email")),MAX(Z$1:Z469)+1,"")</f>
        <v/>
      </c>
    </row>
    <row r="471" customFormat="false" ht="15" hidden="false" customHeight="false" outlineLevel="0" collapsed="false">
      <c r="A471" s="18"/>
      <c r="B471" s="18"/>
      <c r="C471" s="18"/>
      <c r="D471" s="18"/>
      <c r="E471" s="18"/>
      <c r="F471" s="18"/>
      <c r="G471" s="18"/>
      <c r="H471" s="19"/>
      <c r="I471" s="18"/>
      <c r="J471" s="18"/>
      <c r="K471" s="20"/>
      <c r="L471" s="20"/>
      <c r="M471" s="20"/>
      <c r="N471" s="20"/>
      <c r="O471" s="21"/>
      <c r="P471" s="22" t="n">
        <f aca="false">IF(OR($A471="",N(K471)=0),0,CEILING(K471*(1+IF($O471="",Taux_Compta,$O471))-0.005,Pas_Arrondi))</f>
        <v>0</v>
      </c>
      <c r="Q471" s="22" t="n">
        <f aca="false">IF(OR($A471="",N(L471)=0),0,CEILING(L471*(1+IF($O471="",Taux_Paye,$O471))-0.005,Pas_Arrondi))</f>
        <v>0</v>
      </c>
      <c r="R471" s="22" t="n">
        <f aca="false">IF(OR($A471="",N(M471)=0),0,CEILING(M471*(1+IF($O471="",Taux_Jur,$O471))-0.005,Pas_Arrondi))</f>
        <v>0</v>
      </c>
      <c r="S471" s="22" t="n">
        <f aca="false">IF(OR($A471="",N(N471)=0),0,CEILING(N471*(1+IF($O471="",Taux_PA,$O471))-0.005,Pas_Arrondi))</f>
        <v>0</v>
      </c>
      <c r="T471" s="22" t="str">
        <f aca="false">IF($A471="","",SUM(K471:N471))</f>
        <v/>
      </c>
      <c r="U471" s="22" t="str">
        <f aca="false">IF($A471="","",SUM(P471:S471))</f>
        <v/>
      </c>
      <c r="V471" s="22" t="str">
        <f aca="false">IF($A471="","",U471-T471)</f>
        <v/>
      </c>
      <c r="W471" s="23" t="str">
        <f aca="false">IF(OR($A471="",N(T471)=0),"",V471/T471)</f>
        <v/>
      </c>
      <c r="X471" s="18"/>
      <c r="Y471" s="18"/>
      <c r="Z471" s="24" t="str">
        <f aca="false">IF(AND($A471&lt;&gt;"",$X471="Oui",OR(Filtre_Masse="Tous les clients à envoyer",$Y471&lt;&gt;"Email")),MAX(Z$1:Z470)+1,"")</f>
        <v/>
      </c>
    </row>
    <row r="472" customFormat="false" ht="15" hidden="false" customHeight="false" outlineLevel="0" collapsed="false">
      <c r="A472" s="18"/>
      <c r="B472" s="18"/>
      <c r="C472" s="18"/>
      <c r="D472" s="18"/>
      <c r="E472" s="18"/>
      <c r="F472" s="18"/>
      <c r="G472" s="18"/>
      <c r="H472" s="19"/>
      <c r="I472" s="18"/>
      <c r="J472" s="18"/>
      <c r="K472" s="20"/>
      <c r="L472" s="20"/>
      <c r="M472" s="20"/>
      <c r="N472" s="20"/>
      <c r="O472" s="21"/>
      <c r="P472" s="22" t="n">
        <f aca="false">IF(OR($A472="",N(K472)=0),0,CEILING(K472*(1+IF($O472="",Taux_Compta,$O472))-0.005,Pas_Arrondi))</f>
        <v>0</v>
      </c>
      <c r="Q472" s="22" t="n">
        <f aca="false">IF(OR($A472="",N(L472)=0),0,CEILING(L472*(1+IF($O472="",Taux_Paye,$O472))-0.005,Pas_Arrondi))</f>
        <v>0</v>
      </c>
      <c r="R472" s="22" t="n">
        <f aca="false">IF(OR($A472="",N(M472)=0),0,CEILING(M472*(1+IF($O472="",Taux_Jur,$O472))-0.005,Pas_Arrondi))</f>
        <v>0</v>
      </c>
      <c r="S472" s="22" t="n">
        <f aca="false">IF(OR($A472="",N(N472)=0),0,CEILING(N472*(1+IF($O472="",Taux_PA,$O472))-0.005,Pas_Arrondi))</f>
        <v>0</v>
      </c>
      <c r="T472" s="22" t="str">
        <f aca="false">IF($A472="","",SUM(K472:N472))</f>
        <v/>
      </c>
      <c r="U472" s="22" t="str">
        <f aca="false">IF($A472="","",SUM(P472:S472))</f>
        <v/>
      </c>
      <c r="V472" s="22" t="str">
        <f aca="false">IF($A472="","",U472-T472)</f>
        <v/>
      </c>
      <c r="W472" s="23" t="str">
        <f aca="false">IF(OR($A472="",N(T472)=0),"",V472/T472)</f>
        <v/>
      </c>
      <c r="X472" s="18"/>
      <c r="Y472" s="18"/>
      <c r="Z472" s="24" t="str">
        <f aca="false">IF(AND($A472&lt;&gt;"",$X472="Oui",OR(Filtre_Masse="Tous les clients à envoyer",$Y472&lt;&gt;"Email")),MAX(Z$1:Z471)+1,"")</f>
        <v/>
      </c>
    </row>
    <row r="473" customFormat="false" ht="15" hidden="false" customHeight="false" outlineLevel="0" collapsed="false">
      <c r="A473" s="18"/>
      <c r="B473" s="18"/>
      <c r="C473" s="18"/>
      <c r="D473" s="18"/>
      <c r="E473" s="18"/>
      <c r="F473" s="18"/>
      <c r="G473" s="18"/>
      <c r="H473" s="19"/>
      <c r="I473" s="18"/>
      <c r="J473" s="18"/>
      <c r="K473" s="20"/>
      <c r="L473" s="20"/>
      <c r="M473" s="20"/>
      <c r="N473" s="20"/>
      <c r="O473" s="21"/>
      <c r="P473" s="22" t="n">
        <f aca="false">IF(OR($A473="",N(K473)=0),0,CEILING(K473*(1+IF($O473="",Taux_Compta,$O473))-0.005,Pas_Arrondi))</f>
        <v>0</v>
      </c>
      <c r="Q473" s="22" t="n">
        <f aca="false">IF(OR($A473="",N(L473)=0),0,CEILING(L473*(1+IF($O473="",Taux_Paye,$O473))-0.005,Pas_Arrondi))</f>
        <v>0</v>
      </c>
      <c r="R473" s="22" t="n">
        <f aca="false">IF(OR($A473="",N(M473)=0),0,CEILING(M473*(1+IF($O473="",Taux_Jur,$O473))-0.005,Pas_Arrondi))</f>
        <v>0</v>
      </c>
      <c r="S473" s="22" t="n">
        <f aca="false">IF(OR($A473="",N(N473)=0),0,CEILING(N473*(1+IF($O473="",Taux_PA,$O473))-0.005,Pas_Arrondi))</f>
        <v>0</v>
      </c>
      <c r="T473" s="22" t="str">
        <f aca="false">IF($A473="","",SUM(K473:N473))</f>
        <v/>
      </c>
      <c r="U473" s="22" t="str">
        <f aca="false">IF($A473="","",SUM(P473:S473))</f>
        <v/>
      </c>
      <c r="V473" s="22" t="str">
        <f aca="false">IF($A473="","",U473-T473)</f>
        <v/>
      </c>
      <c r="W473" s="23" t="str">
        <f aca="false">IF(OR($A473="",N(T473)=0),"",V473/T473)</f>
        <v/>
      </c>
      <c r="X473" s="18"/>
      <c r="Y473" s="18"/>
      <c r="Z473" s="24" t="str">
        <f aca="false">IF(AND($A473&lt;&gt;"",$X473="Oui",OR(Filtre_Masse="Tous les clients à envoyer",$Y473&lt;&gt;"Email")),MAX(Z$1:Z472)+1,"")</f>
        <v/>
      </c>
    </row>
    <row r="474" customFormat="false" ht="15" hidden="false" customHeight="false" outlineLevel="0" collapsed="false">
      <c r="A474" s="18"/>
      <c r="B474" s="18"/>
      <c r="C474" s="18"/>
      <c r="D474" s="18"/>
      <c r="E474" s="18"/>
      <c r="F474" s="18"/>
      <c r="G474" s="18"/>
      <c r="H474" s="19"/>
      <c r="I474" s="18"/>
      <c r="J474" s="18"/>
      <c r="K474" s="20"/>
      <c r="L474" s="20"/>
      <c r="M474" s="20"/>
      <c r="N474" s="20"/>
      <c r="O474" s="21"/>
      <c r="P474" s="22" t="n">
        <f aca="false">IF(OR($A474="",N(K474)=0),0,CEILING(K474*(1+IF($O474="",Taux_Compta,$O474))-0.005,Pas_Arrondi))</f>
        <v>0</v>
      </c>
      <c r="Q474" s="22" t="n">
        <f aca="false">IF(OR($A474="",N(L474)=0),0,CEILING(L474*(1+IF($O474="",Taux_Paye,$O474))-0.005,Pas_Arrondi))</f>
        <v>0</v>
      </c>
      <c r="R474" s="22" t="n">
        <f aca="false">IF(OR($A474="",N(M474)=0),0,CEILING(M474*(1+IF($O474="",Taux_Jur,$O474))-0.005,Pas_Arrondi))</f>
        <v>0</v>
      </c>
      <c r="S474" s="22" t="n">
        <f aca="false">IF(OR($A474="",N(N474)=0),0,CEILING(N474*(1+IF($O474="",Taux_PA,$O474))-0.005,Pas_Arrondi))</f>
        <v>0</v>
      </c>
      <c r="T474" s="22" t="str">
        <f aca="false">IF($A474="","",SUM(K474:N474))</f>
        <v/>
      </c>
      <c r="U474" s="22" t="str">
        <f aca="false">IF($A474="","",SUM(P474:S474))</f>
        <v/>
      </c>
      <c r="V474" s="22" t="str">
        <f aca="false">IF($A474="","",U474-T474)</f>
        <v/>
      </c>
      <c r="W474" s="23" t="str">
        <f aca="false">IF(OR($A474="",N(T474)=0),"",V474/T474)</f>
        <v/>
      </c>
      <c r="X474" s="18"/>
      <c r="Y474" s="18"/>
      <c r="Z474" s="24" t="str">
        <f aca="false">IF(AND($A474&lt;&gt;"",$X474="Oui",OR(Filtre_Masse="Tous les clients à envoyer",$Y474&lt;&gt;"Email")),MAX(Z$1:Z473)+1,"")</f>
        <v/>
      </c>
    </row>
    <row r="475" customFormat="false" ht="15" hidden="false" customHeight="false" outlineLevel="0" collapsed="false">
      <c r="A475" s="18"/>
      <c r="B475" s="18"/>
      <c r="C475" s="18"/>
      <c r="D475" s="18"/>
      <c r="E475" s="18"/>
      <c r="F475" s="18"/>
      <c r="G475" s="18"/>
      <c r="H475" s="19"/>
      <c r="I475" s="18"/>
      <c r="J475" s="18"/>
      <c r="K475" s="20"/>
      <c r="L475" s="20"/>
      <c r="M475" s="20"/>
      <c r="N475" s="20"/>
      <c r="O475" s="21"/>
      <c r="P475" s="22" t="n">
        <f aca="false">IF(OR($A475="",N(K475)=0),0,CEILING(K475*(1+IF($O475="",Taux_Compta,$O475))-0.005,Pas_Arrondi))</f>
        <v>0</v>
      </c>
      <c r="Q475" s="22" t="n">
        <f aca="false">IF(OR($A475="",N(L475)=0),0,CEILING(L475*(1+IF($O475="",Taux_Paye,$O475))-0.005,Pas_Arrondi))</f>
        <v>0</v>
      </c>
      <c r="R475" s="22" t="n">
        <f aca="false">IF(OR($A475="",N(M475)=0),0,CEILING(M475*(1+IF($O475="",Taux_Jur,$O475))-0.005,Pas_Arrondi))</f>
        <v>0</v>
      </c>
      <c r="S475" s="22" t="n">
        <f aca="false">IF(OR($A475="",N(N475)=0),0,CEILING(N475*(1+IF($O475="",Taux_PA,$O475))-0.005,Pas_Arrondi))</f>
        <v>0</v>
      </c>
      <c r="T475" s="22" t="str">
        <f aca="false">IF($A475="","",SUM(K475:N475))</f>
        <v/>
      </c>
      <c r="U475" s="22" t="str">
        <f aca="false">IF($A475="","",SUM(P475:S475))</f>
        <v/>
      </c>
      <c r="V475" s="22" t="str">
        <f aca="false">IF($A475="","",U475-T475)</f>
        <v/>
      </c>
      <c r="W475" s="23" t="str">
        <f aca="false">IF(OR($A475="",N(T475)=0),"",V475/T475)</f>
        <v/>
      </c>
      <c r="X475" s="18"/>
      <c r="Y475" s="18"/>
      <c r="Z475" s="24" t="str">
        <f aca="false">IF(AND($A475&lt;&gt;"",$X475="Oui",OR(Filtre_Masse="Tous les clients à envoyer",$Y475&lt;&gt;"Email")),MAX(Z$1:Z474)+1,"")</f>
        <v/>
      </c>
    </row>
    <row r="476" customFormat="false" ht="15" hidden="false" customHeight="false" outlineLevel="0" collapsed="false">
      <c r="A476" s="18"/>
      <c r="B476" s="18"/>
      <c r="C476" s="18"/>
      <c r="D476" s="18"/>
      <c r="E476" s="18"/>
      <c r="F476" s="18"/>
      <c r="G476" s="18"/>
      <c r="H476" s="19"/>
      <c r="I476" s="18"/>
      <c r="J476" s="18"/>
      <c r="K476" s="20"/>
      <c r="L476" s="20"/>
      <c r="M476" s="20"/>
      <c r="N476" s="20"/>
      <c r="O476" s="21"/>
      <c r="P476" s="22" t="n">
        <f aca="false">IF(OR($A476="",N(K476)=0),0,CEILING(K476*(1+IF($O476="",Taux_Compta,$O476))-0.005,Pas_Arrondi))</f>
        <v>0</v>
      </c>
      <c r="Q476" s="22" t="n">
        <f aca="false">IF(OR($A476="",N(L476)=0),0,CEILING(L476*(1+IF($O476="",Taux_Paye,$O476))-0.005,Pas_Arrondi))</f>
        <v>0</v>
      </c>
      <c r="R476" s="22" t="n">
        <f aca="false">IF(OR($A476="",N(M476)=0),0,CEILING(M476*(1+IF($O476="",Taux_Jur,$O476))-0.005,Pas_Arrondi))</f>
        <v>0</v>
      </c>
      <c r="S476" s="22" t="n">
        <f aca="false">IF(OR($A476="",N(N476)=0),0,CEILING(N476*(1+IF($O476="",Taux_PA,$O476))-0.005,Pas_Arrondi))</f>
        <v>0</v>
      </c>
      <c r="T476" s="22" t="str">
        <f aca="false">IF($A476="","",SUM(K476:N476))</f>
        <v/>
      </c>
      <c r="U476" s="22" t="str">
        <f aca="false">IF($A476="","",SUM(P476:S476))</f>
        <v/>
      </c>
      <c r="V476" s="22" t="str">
        <f aca="false">IF($A476="","",U476-T476)</f>
        <v/>
      </c>
      <c r="W476" s="23" t="str">
        <f aca="false">IF(OR($A476="",N(T476)=0),"",V476/T476)</f>
        <v/>
      </c>
      <c r="X476" s="18"/>
      <c r="Y476" s="18"/>
      <c r="Z476" s="24" t="str">
        <f aca="false">IF(AND($A476&lt;&gt;"",$X476="Oui",OR(Filtre_Masse="Tous les clients à envoyer",$Y476&lt;&gt;"Email")),MAX(Z$1:Z475)+1,"")</f>
        <v/>
      </c>
    </row>
    <row r="477" customFormat="false" ht="15" hidden="false" customHeight="false" outlineLevel="0" collapsed="false">
      <c r="A477" s="18"/>
      <c r="B477" s="18"/>
      <c r="C477" s="18"/>
      <c r="D477" s="18"/>
      <c r="E477" s="18"/>
      <c r="F477" s="18"/>
      <c r="G477" s="18"/>
      <c r="H477" s="19"/>
      <c r="I477" s="18"/>
      <c r="J477" s="18"/>
      <c r="K477" s="20"/>
      <c r="L477" s="20"/>
      <c r="M477" s="20"/>
      <c r="N477" s="20"/>
      <c r="O477" s="21"/>
      <c r="P477" s="22" t="n">
        <f aca="false">IF(OR($A477="",N(K477)=0),0,CEILING(K477*(1+IF($O477="",Taux_Compta,$O477))-0.005,Pas_Arrondi))</f>
        <v>0</v>
      </c>
      <c r="Q477" s="22" t="n">
        <f aca="false">IF(OR($A477="",N(L477)=0),0,CEILING(L477*(1+IF($O477="",Taux_Paye,$O477))-0.005,Pas_Arrondi))</f>
        <v>0</v>
      </c>
      <c r="R477" s="22" t="n">
        <f aca="false">IF(OR($A477="",N(M477)=0),0,CEILING(M477*(1+IF($O477="",Taux_Jur,$O477))-0.005,Pas_Arrondi))</f>
        <v>0</v>
      </c>
      <c r="S477" s="22" t="n">
        <f aca="false">IF(OR($A477="",N(N477)=0),0,CEILING(N477*(1+IF($O477="",Taux_PA,$O477))-0.005,Pas_Arrondi))</f>
        <v>0</v>
      </c>
      <c r="T477" s="22" t="str">
        <f aca="false">IF($A477="","",SUM(K477:N477))</f>
        <v/>
      </c>
      <c r="U477" s="22" t="str">
        <f aca="false">IF($A477="","",SUM(P477:S477))</f>
        <v/>
      </c>
      <c r="V477" s="22" t="str">
        <f aca="false">IF($A477="","",U477-T477)</f>
        <v/>
      </c>
      <c r="W477" s="23" t="str">
        <f aca="false">IF(OR($A477="",N(T477)=0),"",V477/T477)</f>
        <v/>
      </c>
      <c r="X477" s="18"/>
      <c r="Y477" s="18"/>
      <c r="Z477" s="24" t="str">
        <f aca="false">IF(AND($A477&lt;&gt;"",$X477="Oui",OR(Filtre_Masse="Tous les clients à envoyer",$Y477&lt;&gt;"Email")),MAX(Z$1:Z476)+1,"")</f>
        <v/>
      </c>
    </row>
    <row r="478" customFormat="false" ht="15" hidden="false" customHeight="false" outlineLevel="0" collapsed="false">
      <c r="A478" s="18"/>
      <c r="B478" s="18"/>
      <c r="C478" s="18"/>
      <c r="D478" s="18"/>
      <c r="E478" s="18"/>
      <c r="F478" s="18"/>
      <c r="G478" s="18"/>
      <c r="H478" s="19"/>
      <c r="I478" s="18"/>
      <c r="J478" s="18"/>
      <c r="K478" s="20"/>
      <c r="L478" s="20"/>
      <c r="M478" s="20"/>
      <c r="N478" s="20"/>
      <c r="O478" s="21"/>
      <c r="P478" s="22" t="n">
        <f aca="false">IF(OR($A478="",N(K478)=0),0,CEILING(K478*(1+IF($O478="",Taux_Compta,$O478))-0.005,Pas_Arrondi))</f>
        <v>0</v>
      </c>
      <c r="Q478" s="22" t="n">
        <f aca="false">IF(OR($A478="",N(L478)=0),0,CEILING(L478*(1+IF($O478="",Taux_Paye,$O478))-0.005,Pas_Arrondi))</f>
        <v>0</v>
      </c>
      <c r="R478" s="22" t="n">
        <f aca="false">IF(OR($A478="",N(M478)=0),0,CEILING(M478*(1+IF($O478="",Taux_Jur,$O478))-0.005,Pas_Arrondi))</f>
        <v>0</v>
      </c>
      <c r="S478" s="22" t="n">
        <f aca="false">IF(OR($A478="",N(N478)=0),0,CEILING(N478*(1+IF($O478="",Taux_PA,$O478))-0.005,Pas_Arrondi))</f>
        <v>0</v>
      </c>
      <c r="T478" s="22" t="str">
        <f aca="false">IF($A478="","",SUM(K478:N478))</f>
        <v/>
      </c>
      <c r="U478" s="22" t="str">
        <f aca="false">IF($A478="","",SUM(P478:S478))</f>
        <v/>
      </c>
      <c r="V478" s="22" t="str">
        <f aca="false">IF($A478="","",U478-T478)</f>
        <v/>
      </c>
      <c r="W478" s="23" t="str">
        <f aca="false">IF(OR($A478="",N(T478)=0),"",V478/T478)</f>
        <v/>
      </c>
      <c r="X478" s="18"/>
      <c r="Y478" s="18"/>
      <c r="Z478" s="24" t="str">
        <f aca="false">IF(AND($A478&lt;&gt;"",$X478="Oui",OR(Filtre_Masse="Tous les clients à envoyer",$Y478&lt;&gt;"Email")),MAX(Z$1:Z477)+1,"")</f>
        <v/>
      </c>
    </row>
    <row r="479" customFormat="false" ht="15" hidden="false" customHeight="false" outlineLevel="0" collapsed="false">
      <c r="A479" s="18"/>
      <c r="B479" s="18"/>
      <c r="C479" s="18"/>
      <c r="D479" s="18"/>
      <c r="E479" s="18"/>
      <c r="F479" s="18"/>
      <c r="G479" s="18"/>
      <c r="H479" s="19"/>
      <c r="I479" s="18"/>
      <c r="J479" s="18"/>
      <c r="K479" s="20"/>
      <c r="L479" s="20"/>
      <c r="M479" s="20"/>
      <c r="N479" s="20"/>
      <c r="O479" s="21"/>
      <c r="P479" s="22" t="n">
        <f aca="false">IF(OR($A479="",N(K479)=0),0,CEILING(K479*(1+IF($O479="",Taux_Compta,$O479))-0.005,Pas_Arrondi))</f>
        <v>0</v>
      </c>
      <c r="Q479" s="22" t="n">
        <f aca="false">IF(OR($A479="",N(L479)=0),0,CEILING(L479*(1+IF($O479="",Taux_Paye,$O479))-0.005,Pas_Arrondi))</f>
        <v>0</v>
      </c>
      <c r="R479" s="22" t="n">
        <f aca="false">IF(OR($A479="",N(M479)=0),0,CEILING(M479*(1+IF($O479="",Taux_Jur,$O479))-0.005,Pas_Arrondi))</f>
        <v>0</v>
      </c>
      <c r="S479" s="22" t="n">
        <f aca="false">IF(OR($A479="",N(N479)=0),0,CEILING(N479*(1+IF($O479="",Taux_PA,$O479))-0.005,Pas_Arrondi))</f>
        <v>0</v>
      </c>
      <c r="T479" s="22" t="str">
        <f aca="false">IF($A479="","",SUM(K479:N479))</f>
        <v/>
      </c>
      <c r="U479" s="22" t="str">
        <f aca="false">IF($A479="","",SUM(P479:S479))</f>
        <v/>
      </c>
      <c r="V479" s="22" t="str">
        <f aca="false">IF($A479="","",U479-T479)</f>
        <v/>
      </c>
      <c r="W479" s="23" t="str">
        <f aca="false">IF(OR($A479="",N(T479)=0),"",V479/T479)</f>
        <v/>
      </c>
      <c r="X479" s="18"/>
      <c r="Y479" s="18"/>
      <c r="Z479" s="24" t="str">
        <f aca="false">IF(AND($A479&lt;&gt;"",$X479="Oui",OR(Filtre_Masse="Tous les clients à envoyer",$Y479&lt;&gt;"Email")),MAX(Z$1:Z478)+1,"")</f>
        <v/>
      </c>
    </row>
    <row r="480" customFormat="false" ht="15" hidden="false" customHeight="false" outlineLevel="0" collapsed="false">
      <c r="A480" s="18"/>
      <c r="B480" s="18"/>
      <c r="C480" s="18"/>
      <c r="D480" s="18"/>
      <c r="E480" s="18"/>
      <c r="F480" s="18"/>
      <c r="G480" s="18"/>
      <c r="H480" s="19"/>
      <c r="I480" s="18"/>
      <c r="J480" s="18"/>
      <c r="K480" s="20"/>
      <c r="L480" s="20"/>
      <c r="M480" s="20"/>
      <c r="N480" s="20"/>
      <c r="O480" s="21"/>
      <c r="P480" s="22" t="n">
        <f aca="false">IF(OR($A480="",N(K480)=0),0,CEILING(K480*(1+IF($O480="",Taux_Compta,$O480))-0.005,Pas_Arrondi))</f>
        <v>0</v>
      </c>
      <c r="Q480" s="22" t="n">
        <f aca="false">IF(OR($A480="",N(L480)=0),0,CEILING(L480*(1+IF($O480="",Taux_Paye,$O480))-0.005,Pas_Arrondi))</f>
        <v>0</v>
      </c>
      <c r="R480" s="22" t="n">
        <f aca="false">IF(OR($A480="",N(M480)=0),0,CEILING(M480*(1+IF($O480="",Taux_Jur,$O480))-0.005,Pas_Arrondi))</f>
        <v>0</v>
      </c>
      <c r="S480" s="22" t="n">
        <f aca="false">IF(OR($A480="",N(N480)=0),0,CEILING(N480*(1+IF($O480="",Taux_PA,$O480))-0.005,Pas_Arrondi))</f>
        <v>0</v>
      </c>
      <c r="T480" s="22" t="str">
        <f aca="false">IF($A480="","",SUM(K480:N480))</f>
        <v/>
      </c>
      <c r="U480" s="22" t="str">
        <f aca="false">IF($A480="","",SUM(P480:S480))</f>
        <v/>
      </c>
      <c r="V480" s="22" t="str">
        <f aca="false">IF($A480="","",U480-T480)</f>
        <v/>
      </c>
      <c r="W480" s="23" t="str">
        <f aca="false">IF(OR($A480="",N(T480)=0),"",V480/T480)</f>
        <v/>
      </c>
      <c r="X480" s="18"/>
      <c r="Y480" s="18"/>
      <c r="Z480" s="24" t="str">
        <f aca="false">IF(AND($A480&lt;&gt;"",$X480="Oui",OR(Filtre_Masse="Tous les clients à envoyer",$Y480&lt;&gt;"Email")),MAX(Z$1:Z479)+1,"")</f>
        <v/>
      </c>
    </row>
    <row r="481" customFormat="false" ht="15" hidden="false" customHeight="false" outlineLevel="0" collapsed="false">
      <c r="A481" s="18"/>
      <c r="B481" s="18"/>
      <c r="C481" s="18"/>
      <c r="D481" s="18"/>
      <c r="E481" s="18"/>
      <c r="F481" s="18"/>
      <c r="G481" s="18"/>
      <c r="H481" s="19"/>
      <c r="I481" s="18"/>
      <c r="J481" s="18"/>
      <c r="K481" s="20"/>
      <c r="L481" s="20"/>
      <c r="M481" s="20"/>
      <c r="N481" s="20"/>
      <c r="O481" s="21"/>
      <c r="P481" s="22" t="n">
        <f aca="false">IF(OR($A481="",N(K481)=0),0,CEILING(K481*(1+IF($O481="",Taux_Compta,$O481))-0.005,Pas_Arrondi))</f>
        <v>0</v>
      </c>
      <c r="Q481" s="22" t="n">
        <f aca="false">IF(OR($A481="",N(L481)=0),0,CEILING(L481*(1+IF($O481="",Taux_Paye,$O481))-0.005,Pas_Arrondi))</f>
        <v>0</v>
      </c>
      <c r="R481" s="22" t="n">
        <f aca="false">IF(OR($A481="",N(M481)=0),0,CEILING(M481*(1+IF($O481="",Taux_Jur,$O481))-0.005,Pas_Arrondi))</f>
        <v>0</v>
      </c>
      <c r="S481" s="22" t="n">
        <f aca="false">IF(OR($A481="",N(N481)=0),0,CEILING(N481*(1+IF($O481="",Taux_PA,$O481))-0.005,Pas_Arrondi))</f>
        <v>0</v>
      </c>
      <c r="T481" s="22" t="str">
        <f aca="false">IF($A481="","",SUM(K481:N481))</f>
        <v/>
      </c>
      <c r="U481" s="22" t="str">
        <f aca="false">IF($A481="","",SUM(P481:S481))</f>
        <v/>
      </c>
      <c r="V481" s="22" t="str">
        <f aca="false">IF($A481="","",U481-T481)</f>
        <v/>
      </c>
      <c r="W481" s="23" t="str">
        <f aca="false">IF(OR($A481="",N(T481)=0),"",V481/T481)</f>
        <v/>
      </c>
      <c r="X481" s="18"/>
      <c r="Y481" s="18"/>
      <c r="Z481" s="24" t="str">
        <f aca="false">IF(AND($A481&lt;&gt;"",$X481="Oui",OR(Filtre_Masse="Tous les clients à envoyer",$Y481&lt;&gt;"Email")),MAX(Z$1:Z480)+1,"")</f>
        <v/>
      </c>
    </row>
    <row r="482" customFormat="false" ht="15" hidden="false" customHeight="false" outlineLevel="0" collapsed="false">
      <c r="A482" s="18"/>
      <c r="B482" s="18"/>
      <c r="C482" s="18"/>
      <c r="D482" s="18"/>
      <c r="E482" s="18"/>
      <c r="F482" s="18"/>
      <c r="G482" s="18"/>
      <c r="H482" s="19"/>
      <c r="I482" s="18"/>
      <c r="J482" s="18"/>
      <c r="K482" s="20"/>
      <c r="L482" s="20"/>
      <c r="M482" s="20"/>
      <c r="N482" s="20"/>
      <c r="O482" s="21"/>
      <c r="P482" s="22" t="n">
        <f aca="false">IF(OR($A482="",N(K482)=0),0,CEILING(K482*(1+IF($O482="",Taux_Compta,$O482))-0.005,Pas_Arrondi))</f>
        <v>0</v>
      </c>
      <c r="Q482" s="22" t="n">
        <f aca="false">IF(OR($A482="",N(L482)=0),0,CEILING(L482*(1+IF($O482="",Taux_Paye,$O482))-0.005,Pas_Arrondi))</f>
        <v>0</v>
      </c>
      <c r="R482" s="22" t="n">
        <f aca="false">IF(OR($A482="",N(M482)=0),0,CEILING(M482*(1+IF($O482="",Taux_Jur,$O482))-0.005,Pas_Arrondi))</f>
        <v>0</v>
      </c>
      <c r="S482" s="22" t="n">
        <f aca="false">IF(OR($A482="",N(N482)=0),0,CEILING(N482*(1+IF($O482="",Taux_PA,$O482))-0.005,Pas_Arrondi))</f>
        <v>0</v>
      </c>
      <c r="T482" s="22" t="str">
        <f aca="false">IF($A482="","",SUM(K482:N482))</f>
        <v/>
      </c>
      <c r="U482" s="22" t="str">
        <f aca="false">IF($A482="","",SUM(P482:S482))</f>
        <v/>
      </c>
      <c r="V482" s="22" t="str">
        <f aca="false">IF($A482="","",U482-T482)</f>
        <v/>
      </c>
      <c r="W482" s="23" t="str">
        <f aca="false">IF(OR($A482="",N(T482)=0),"",V482/T482)</f>
        <v/>
      </c>
      <c r="X482" s="18"/>
      <c r="Y482" s="18"/>
      <c r="Z482" s="24" t="str">
        <f aca="false">IF(AND($A482&lt;&gt;"",$X482="Oui",OR(Filtre_Masse="Tous les clients à envoyer",$Y482&lt;&gt;"Email")),MAX(Z$1:Z481)+1,"")</f>
        <v/>
      </c>
    </row>
    <row r="483" customFormat="false" ht="15" hidden="false" customHeight="false" outlineLevel="0" collapsed="false">
      <c r="A483" s="18"/>
      <c r="B483" s="18"/>
      <c r="C483" s="18"/>
      <c r="D483" s="18"/>
      <c r="E483" s="18"/>
      <c r="F483" s="18"/>
      <c r="G483" s="18"/>
      <c r="H483" s="19"/>
      <c r="I483" s="18"/>
      <c r="J483" s="18"/>
      <c r="K483" s="20"/>
      <c r="L483" s="20"/>
      <c r="M483" s="20"/>
      <c r="N483" s="20"/>
      <c r="O483" s="21"/>
      <c r="P483" s="22" t="n">
        <f aca="false">IF(OR($A483="",N(K483)=0),0,CEILING(K483*(1+IF($O483="",Taux_Compta,$O483))-0.005,Pas_Arrondi))</f>
        <v>0</v>
      </c>
      <c r="Q483" s="22" t="n">
        <f aca="false">IF(OR($A483="",N(L483)=0),0,CEILING(L483*(1+IF($O483="",Taux_Paye,$O483))-0.005,Pas_Arrondi))</f>
        <v>0</v>
      </c>
      <c r="R483" s="22" t="n">
        <f aca="false">IF(OR($A483="",N(M483)=0),0,CEILING(M483*(1+IF($O483="",Taux_Jur,$O483))-0.005,Pas_Arrondi))</f>
        <v>0</v>
      </c>
      <c r="S483" s="22" t="n">
        <f aca="false">IF(OR($A483="",N(N483)=0),0,CEILING(N483*(1+IF($O483="",Taux_PA,$O483))-0.005,Pas_Arrondi))</f>
        <v>0</v>
      </c>
      <c r="T483" s="22" t="str">
        <f aca="false">IF($A483="","",SUM(K483:N483))</f>
        <v/>
      </c>
      <c r="U483" s="22" t="str">
        <f aca="false">IF($A483="","",SUM(P483:S483))</f>
        <v/>
      </c>
      <c r="V483" s="22" t="str">
        <f aca="false">IF($A483="","",U483-T483)</f>
        <v/>
      </c>
      <c r="W483" s="23" t="str">
        <f aca="false">IF(OR($A483="",N(T483)=0),"",V483/T483)</f>
        <v/>
      </c>
      <c r="X483" s="18"/>
      <c r="Y483" s="18"/>
      <c r="Z483" s="24" t="str">
        <f aca="false">IF(AND($A483&lt;&gt;"",$X483="Oui",OR(Filtre_Masse="Tous les clients à envoyer",$Y483&lt;&gt;"Email")),MAX(Z$1:Z482)+1,"")</f>
        <v/>
      </c>
    </row>
    <row r="484" customFormat="false" ht="15" hidden="false" customHeight="false" outlineLevel="0" collapsed="false">
      <c r="A484" s="18"/>
      <c r="B484" s="18"/>
      <c r="C484" s="18"/>
      <c r="D484" s="18"/>
      <c r="E484" s="18"/>
      <c r="F484" s="18"/>
      <c r="G484" s="18"/>
      <c r="H484" s="19"/>
      <c r="I484" s="18"/>
      <c r="J484" s="18"/>
      <c r="K484" s="20"/>
      <c r="L484" s="20"/>
      <c r="M484" s="20"/>
      <c r="N484" s="20"/>
      <c r="O484" s="21"/>
      <c r="P484" s="22" t="n">
        <f aca="false">IF(OR($A484="",N(K484)=0),0,CEILING(K484*(1+IF($O484="",Taux_Compta,$O484))-0.005,Pas_Arrondi))</f>
        <v>0</v>
      </c>
      <c r="Q484" s="22" t="n">
        <f aca="false">IF(OR($A484="",N(L484)=0),0,CEILING(L484*(1+IF($O484="",Taux_Paye,$O484))-0.005,Pas_Arrondi))</f>
        <v>0</v>
      </c>
      <c r="R484" s="22" t="n">
        <f aca="false">IF(OR($A484="",N(M484)=0),0,CEILING(M484*(1+IF($O484="",Taux_Jur,$O484))-0.005,Pas_Arrondi))</f>
        <v>0</v>
      </c>
      <c r="S484" s="22" t="n">
        <f aca="false">IF(OR($A484="",N(N484)=0),0,CEILING(N484*(1+IF($O484="",Taux_PA,$O484))-0.005,Pas_Arrondi))</f>
        <v>0</v>
      </c>
      <c r="T484" s="22" t="str">
        <f aca="false">IF($A484="","",SUM(K484:N484))</f>
        <v/>
      </c>
      <c r="U484" s="22" t="str">
        <f aca="false">IF($A484="","",SUM(P484:S484))</f>
        <v/>
      </c>
      <c r="V484" s="22" t="str">
        <f aca="false">IF($A484="","",U484-T484)</f>
        <v/>
      </c>
      <c r="W484" s="23" t="str">
        <f aca="false">IF(OR($A484="",N(T484)=0),"",V484/T484)</f>
        <v/>
      </c>
      <c r="X484" s="18"/>
      <c r="Y484" s="18"/>
      <c r="Z484" s="24" t="str">
        <f aca="false">IF(AND($A484&lt;&gt;"",$X484="Oui",OR(Filtre_Masse="Tous les clients à envoyer",$Y484&lt;&gt;"Email")),MAX(Z$1:Z483)+1,"")</f>
        <v/>
      </c>
    </row>
    <row r="485" customFormat="false" ht="15" hidden="false" customHeight="false" outlineLevel="0" collapsed="false">
      <c r="A485" s="18"/>
      <c r="B485" s="18"/>
      <c r="C485" s="18"/>
      <c r="D485" s="18"/>
      <c r="E485" s="18"/>
      <c r="F485" s="18"/>
      <c r="G485" s="18"/>
      <c r="H485" s="19"/>
      <c r="I485" s="18"/>
      <c r="J485" s="18"/>
      <c r="K485" s="20"/>
      <c r="L485" s="20"/>
      <c r="M485" s="20"/>
      <c r="N485" s="20"/>
      <c r="O485" s="21"/>
      <c r="P485" s="22" t="n">
        <f aca="false">IF(OR($A485="",N(K485)=0),0,CEILING(K485*(1+IF($O485="",Taux_Compta,$O485))-0.005,Pas_Arrondi))</f>
        <v>0</v>
      </c>
      <c r="Q485" s="22" t="n">
        <f aca="false">IF(OR($A485="",N(L485)=0),0,CEILING(L485*(1+IF($O485="",Taux_Paye,$O485))-0.005,Pas_Arrondi))</f>
        <v>0</v>
      </c>
      <c r="R485" s="22" t="n">
        <f aca="false">IF(OR($A485="",N(M485)=0),0,CEILING(M485*(1+IF($O485="",Taux_Jur,$O485))-0.005,Pas_Arrondi))</f>
        <v>0</v>
      </c>
      <c r="S485" s="22" t="n">
        <f aca="false">IF(OR($A485="",N(N485)=0),0,CEILING(N485*(1+IF($O485="",Taux_PA,$O485))-0.005,Pas_Arrondi))</f>
        <v>0</v>
      </c>
      <c r="T485" s="22" t="str">
        <f aca="false">IF($A485="","",SUM(K485:N485))</f>
        <v/>
      </c>
      <c r="U485" s="22" t="str">
        <f aca="false">IF($A485="","",SUM(P485:S485))</f>
        <v/>
      </c>
      <c r="V485" s="22" t="str">
        <f aca="false">IF($A485="","",U485-T485)</f>
        <v/>
      </c>
      <c r="W485" s="23" t="str">
        <f aca="false">IF(OR($A485="",N(T485)=0),"",V485/T485)</f>
        <v/>
      </c>
      <c r="X485" s="18"/>
      <c r="Y485" s="18"/>
      <c r="Z485" s="24" t="str">
        <f aca="false">IF(AND($A485&lt;&gt;"",$X485="Oui",OR(Filtre_Masse="Tous les clients à envoyer",$Y485&lt;&gt;"Email")),MAX(Z$1:Z484)+1,"")</f>
        <v/>
      </c>
    </row>
    <row r="486" customFormat="false" ht="15" hidden="false" customHeight="false" outlineLevel="0" collapsed="false">
      <c r="A486" s="18"/>
      <c r="B486" s="18"/>
      <c r="C486" s="18"/>
      <c r="D486" s="18"/>
      <c r="E486" s="18"/>
      <c r="F486" s="18"/>
      <c r="G486" s="18"/>
      <c r="H486" s="19"/>
      <c r="I486" s="18"/>
      <c r="J486" s="18"/>
      <c r="K486" s="20"/>
      <c r="L486" s="20"/>
      <c r="M486" s="20"/>
      <c r="N486" s="20"/>
      <c r="O486" s="21"/>
      <c r="P486" s="22" t="n">
        <f aca="false">IF(OR($A486="",N(K486)=0),0,CEILING(K486*(1+IF($O486="",Taux_Compta,$O486))-0.005,Pas_Arrondi))</f>
        <v>0</v>
      </c>
      <c r="Q486" s="22" t="n">
        <f aca="false">IF(OR($A486="",N(L486)=0),0,CEILING(L486*(1+IF($O486="",Taux_Paye,$O486))-0.005,Pas_Arrondi))</f>
        <v>0</v>
      </c>
      <c r="R486" s="22" t="n">
        <f aca="false">IF(OR($A486="",N(M486)=0),0,CEILING(M486*(1+IF($O486="",Taux_Jur,$O486))-0.005,Pas_Arrondi))</f>
        <v>0</v>
      </c>
      <c r="S486" s="22" t="n">
        <f aca="false">IF(OR($A486="",N(N486)=0),0,CEILING(N486*(1+IF($O486="",Taux_PA,$O486))-0.005,Pas_Arrondi))</f>
        <v>0</v>
      </c>
      <c r="T486" s="22" t="str">
        <f aca="false">IF($A486="","",SUM(K486:N486))</f>
        <v/>
      </c>
      <c r="U486" s="22" t="str">
        <f aca="false">IF($A486="","",SUM(P486:S486))</f>
        <v/>
      </c>
      <c r="V486" s="22" t="str">
        <f aca="false">IF($A486="","",U486-T486)</f>
        <v/>
      </c>
      <c r="W486" s="23" t="str">
        <f aca="false">IF(OR($A486="",N(T486)=0),"",V486/T486)</f>
        <v/>
      </c>
      <c r="X486" s="18"/>
      <c r="Y486" s="18"/>
      <c r="Z486" s="24" t="str">
        <f aca="false">IF(AND($A486&lt;&gt;"",$X486="Oui",OR(Filtre_Masse="Tous les clients à envoyer",$Y486&lt;&gt;"Email")),MAX(Z$1:Z485)+1,"")</f>
        <v/>
      </c>
    </row>
    <row r="487" customFormat="false" ht="15" hidden="false" customHeight="false" outlineLevel="0" collapsed="false">
      <c r="A487" s="18"/>
      <c r="B487" s="18"/>
      <c r="C487" s="18"/>
      <c r="D487" s="18"/>
      <c r="E487" s="18"/>
      <c r="F487" s="18"/>
      <c r="G487" s="18"/>
      <c r="H487" s="19"/>
      <c r="I487" s="18"/>
      <c r="J487" s="18"/>
      <c r="K487" s="20"/>
      <c r="L487" s="20"/>
      <c r="M487" s="20"/>
      <c r="N487" s="20"/>
      <c r="O487" s="21"/>
      <c r="P487" s="22" t="n">
        <f aca="false">IF(OR($A487="",N(K487)=0),0,CEILING(K487*(1+IF($O487="",Taux_Compta,$O487))-0.005,Pas_Arrondi))</f>
        <v>0</v>
      </c>
      <c r="Q487" s="22" t="n">
        <f aca="false">IF(OR($A487="",N(L487)=0),0,CEILING(L487*(1+IF($O487="",Taux_Paye,$O487))-0.005,Pas_Arrondi))</f>
        <v>0</v>
      </c>
      <c r="R487" s="22" t="n">
        <f aca="false">IF(OR($A487="",N(M487)=0),0,CEILING(M487*(1+IF($O487="",Taux_Jur,$O487))-0.005,Pas_Arrondi))</f>
        <v>0</v>
      </c>
      <c r="S487" s="22" t="n">
        <f aca="false">IF(OR($A487="",N(N487)=0),0,CEILING(N487*(1+IF($O487="",Taux_PA,$O487))-0.005,Pas_Arrondi))</f>
        <v>0</v>
      </c>
      <c r="T487" s="22" t="str">
        <f aca="false">IF($A487="","",SUM(K487:N487))</f>
        <v/>
      </c>
      <c r="U487" s="22" t="str">
        <f aca="false">IF($A487="","",SUM(P487:S487))</f>
        <v/>
      </c>
      <c r="V487" s="22" t="str">
        <f aca="false">IF($A487="","",U487-T487)</f>
        <v/>
      </c>
      <c r="W487" s="23" t="str">
        <f aca="false">IF(OR($A487="",N(T487)=0),"",V487/T487)</f>
        <v/>
      </c>
      <c r="X487" s="18"/>
      <c r="Y487" s="18"/>
      <c r="Z487" s="24" t="str">
        <f aca="false">IF(AND($A487&lt;&gt;"",$X487="Oui",OR(Filtre_Masse="Tous les clients à envoyer",$Y487&lt;&gt;"Email")),MAX(Z$1:Z486)+1,"")</f>
        <v/>
      </c>
    </row>
    <row r="488" customFormat="false" ht="15" hidden="false" customHeight="false" outlineLevel="0" collapsed="false">
      <c r="A488" s="18"/>
      <c r="B488" s="18"/>
      <c r="C488" s="18"/>
      <c r="D488" s="18"/>
      <c r="E488" s="18"/>
      <c r="F488" s="18"/>
      <c r="G488" s="18"/>
      <c r="H488" s="19"/>
      <c r="I488" s="18"/>
      <c r="J488" s="18"/>
      <c r="K488" s="20"/>
      <c r="L488" s="20"/>
      <c r="M488" s="20"/>
      <c r="N488" s="20"/>
      <c r="O488" s="21"/>
      <c r="P488" s="22" t="n">
        <f aca="false">IF(OR($A488="",N(K488)=0),0,CEILING(K488*(1+IF($O488="",Taux_Compta,$O488))-0.005,Pas_Arrondi))</f>
        <v>0</v>
      </c>
      <c r="Q488" s="22" t="n">
        <f aca="false">IF(OR($A488="",N(L488)=0),0,CEILING(L488*(1+IF($O488="",Taux_Paye,$O488))-0.005,Pas_Arrondi))</f>
        <v>0</v>
      </c>
      <c r="R488" s="22" t="n">
        <f aca="false">IF(OR($A488="",N(M488)=0),0,CEILING(M488*(1+IF($O488="",Taux_Jur,$O488))-0.005,Pas_Arrondi))</f>
        <v>0</v>
      </c>
      <c r="S488" s="22" t="n">
        <f aca="false">IF(OR($A488="",N(N488)=0),0,CEILING(N488*(1+IF($O488="",Taux_PA,$O488))-0.005,Pas_Arrondi))</f>
        <v>0</v>
      </c>
      <c r="T488" s="22" t="str">
        <f aca="false">IF($A488="","",SUM(K488:N488))</f>
        <v/>
      </c>
      <c r="U488" s="22" t="str">
        <f aca="false">IF($A488="","",SUM(P488:S488))</f>
        <v/>
      </c>
      <c r="V488" s="22" t="str">
        <f aca="false">IF($A488="","",U488-T488)</f>
        <v/>
      </c>
      <c r="W488" s="23" t="str">
        <f aca="false">IF(OR($A488="",N(T488)=0),"",V488/T488)</f>
        <v/>
      </c>
      <c r="X488" s="18"/>
      <c r="Y488" s="18"/>
      <c r="Z488" s="24" t="str">
        <f aca="false">IF(AND($A488&lt;&gt;"",$X488="Oui",OR(Filtre_Masse="Tous les clients à envoyer",$Y488&lt;&gt;"Email")),MAX(Z$1:Z487)+1,"")</f>
        <v/>
      </c>
    </row>
    <row r="489" customFormat="false" ht="15" hidden="false" customHeight="false" outlineLevel="0" collapsed="false">
      <c r="A489" s="18"/>
      <c r="B489" s="18"/>
      <c r="C489" s="18"/>
      <c r="D489" s="18"/>
      <c r="E489" s="18"/>
      <c r="F489" s="18"/>
      <c r="G489" s="18"/>
      <c r="H489" s="19"/>
      <c r="I489" s="18"/>
      <c r="J489" s="18"/>
      <c r="K489" s="20"/>
      <c r="L489" s="20"/>
      <c r="M489" s="20"/>
      <c r="N489" s="20"/>
      <c r="O489" s="21"/>
      <c r="P489" s="22" t="n">
        <f aca="false">IF(OR($A489="",N(K489)=0),0,CEILING(K489*(1+IF($O489="",Taux_Compta,$O489))-0.005,Pas_Arrondi))</f>
        <v>0</v>
      </c>
      <c r="Q489" s="22" t="n">
        <f aca="false">IF(OR($A489="",N(L489)=0),0,CEILING(L489*(1+IF($O489="",Taux_Paye,$O489))-0.005,Pas_Arrondi))</f>
        <v>0</v>
      </c>
      <c r="R489" s="22" t="n">
        <f aca="false">IF(OR($A489="",N(M489)=0),0,CEILING(M489*(1+IF($O489="",Taux_Jur,$O489))-0.005,Pas_Arrondi))</f>
        <v>0</v>
      </c>
      <c r="S489" s="22" t="n">
        <f aca="false">IF(OR($A489="",N(N489)=0),0,CEILING(N489*(1+IF($O489="",Taux_PA,$O489))-0.005,Pas_Arrondi))</f>
        <v>0</v>
      </c>
      <c r="T489" s="22" t="str">
        <f aca="false">IF($A489="","",SUM(K489:N489))</f>
        <v/>
      </c>
      <c r="U489" s="22" t="str">
        <f aca="false">IF($A489="","",SUM(P489:S489))</f>
        <v/>
      </c>
      <c r="V489" s="22" t="str">
        <f aca="false">IF($A489="","",U489-T489)</f>
        <v/>
      </c>
      <c r="W489" s="23" t="str">
        <f aca="false">IF(OR($A489="",N(T489)=0),"",V489/T489)</f>
        <v/>
      </c>
      <c r="X489" s="18"/>
      <c r="Y489" s="18"/>
      <c r="Z489" s="24" t="str">
        <f aca="false">IF(AND($A489&lt;&gt;"",$X489="Oui",OR(Filtre_Masse="Tous les clients à envoyer",$Y489&lt;&gt;"Email")),MAX(Z$1:Z488)+1,"")</f>
        <v/>
      </c>
    </row>
    <row r="490" customFormat="false" ht="15" hidden="false" customHeight="false" outlineLevel="0" collapsed="false">
      <c r="A490" s="18"/>
      <c r="B490" s="18"/>
      <c r="C490" s="18"/>
      <c r="D490" s="18"/>
      <c r="E490" s="18"/>
      <c r="F490" s="18"/>
      <c r="G490" s="18"/>
      <c r="H490" s="19"/>
      <c r="I490" s="18"/>
      <c r="J490" s="18"/>
      <c r="K490" s="20"/>
      <c r="L490" s="20"/>
      <c r="M490" s="20"/>
      <c r="N490" s="20"/>
      <c r="O490" s="21"/>
      <c r="P490" s="22" t="n">
        <f aca="false">IF(OR($A490="",N(K490)=0),0,CEILING(K490*(1+IF($O490="",Taux_Compta,$O490))-0.005,Pas_Arrondi))</f>
        <v>0</v>
      </c>
      <c r="Q490" s="22" t="n">
        <f aca="false">IF(OR($A490="",N(L490)=0),0,CEILING(L490*(1+IF($O490="",Taux_Paye,$O490))-0.005,Pas_Arrondi))</f>
        <v>0</v>
      </c>
      <c r="R490" s="22" t="n">
        <f aca="false">IF(OR($A490="",N(M490)=0),0,CEILING(M490*(1+IF($O490="",Taux_Jur,$O490))-0.005,Pas_Arrondi))</f>
        <v>0</v>
      </c>
      <c r="S490" s="22" t="n">
        <f aca="false">IF(OR($A490="",N(N490)=0),0,CEILING(N490*(1+IF($O490="",Taux_PA,$O490))-0.005,Pas_Arrondi))</f>
        <v>0</v>
      </c>
      <c r="T490" s="22" t="str">
        <f aca="false">IF($A490="","",SUM(K490:N490))</f>
        <v/>
      </c>
      <c r="U490" s="22" t="str">
        <f aca="false">IF($A490="","",SUM(P490:S490))</f>
        <v/>
      </c>
      <c r="V490" s="22" t="str">
        <f aca="false">IF($A490="","",U490-T490)</f>
        <v/>
      </c>
      <c r="W490" s="23" t="str">
        <f aca="false">IF(OR($A490="",N(T490)=0),"",V490/T490)</f>
        <v/>
      </c>
      <c r="X490" s="18"/>
      <c r="Y490" s="18"/>
      <c r="Z490" s="24" t="str">
        <f aca="false">IF(AND($A490&lt;&gt;"",$X490="Oui",OR(Filtre_Masse="Tous les clients à envoyer",$Y490&lt;&gt;"Email")),MAX(Z$1:Z489)+1,"")</f>
        <v/>
      </c>
    </row>
    <row r="491" customFormat="false" ht="15" hidden="false" customHeight="false" outlineLevel="0" collapsed="false">
      <c r="A491" s="18"/>
      <c r="B491" s="18"/>
      <c r="C491" s="18"/>
      <c r="D491" s="18"/>
      <c r="E491" s="18"/>
      <c r="F491" s="18"/>
      <c r="G491" s="18"/>
      <c r="H491" s="19"/>
      <c r="I491" s="18"/>
      <c r="J491" s="18"/>
      <c r="K491" s="20"/>
      <c r="L491" s="20"/>
      <c r="M491" s="20"/>
      <c r="N491" s="20"/>
      <c r="O491" s="21"/>
      <c r="P491" s="22" t="n">
        <f aca="false">IF(OR($A491="",N(K491)=0),0,CEILING(K491*(1+IF($O491="",Taux_Compta,$O491))-0.005,Pas_Arrondi))</f>
        <v>0</v>
      </c>
      <c r="Q491" s="22" t="n">
        <f aca="false">IF(OR($A491="",N(L491)=0),0,CEILING(L491*(1+IF($O491="",Taux_Paye,$O491))-0.005,Pas_Arrondi))</f>
        <v>0</v>
      </c>
      <c r="R491" s="22" t="n">
        <f aca="false">IF(OR($A491="",N(M491)=0),0,CEILING(M491*(1+IF($O491="",Taux_Jur,$O491))-0.005,Pas_Arrondi))</f>
        <v>0</v>
      </c>
      <c r="S491" s="22" t="n">
        <f aca="false">IF(OR($A491="",N(N491)=0),0,CEILING(N491*(1+IF($O491="",Taux_PA,$O491))-0.005,Pas_Arrondi))</f>
        <v>0</v>
      </c>
      <c r="T491" s="22" t="str">
        <f aca="false">IF($A491="","",SUM(K491:N491))</f>
        <v/>
      </c>
      <c r="U491" s="22" t="str">
        <f aca="false">IF($A491="","",SUM(P491:S491))</f>
        <v/>
      </c>
      <c r="V491" s="22" t="str">
        <f aca="false">IF($A491="","",U491-T491)</f>
        <v/>
      </c>
      <c r="W491" s="23" t="str">
        <f aca="false">IF(OR($A491="",N(T491)=0),"",V491/T491)</f>
        <v/>
      </c>
      <c r="X491" s="18"/>
      <c r="Y491" s="18"/>
      <c r="Z491" s="24" t="str">
        <f aca="false">IF(AND($A491&lt;&gt;"",$X491="Oui",OR(Filtre_Masse="Tous les clients à envoyer",$Y491&lt;&gt;"Email")),MAX(Z$1:Z490)+1,"")</f>
        <v/>
      </c>
    </row>
    <row r="492" customFormat="false" ht="15" hidden="false" customHeight="false" outlineLevel="0" collapsed="false">
      <c r="A492" s="18"/>
      <c r="B492" s="18"/>
      <c r="C492" s="18"/>
      <c r="D492" s="18"/>
      <c r="E492" s="18"/>
      <c r="F492" s="18"/>
      <c r="G492" s="18"/>
      <c r="H492" s="19"/>
      <c r="I492" s="18"/>
      <c r="J492" s="18"/>
      <c r="K492" s="20"/>
      <c r="L492" s="20"/>
      <c r="M492" s="20"/>
      <c r="N492" s="20"/>
      <c r="O492" s="21"/>
      <c r="P492" s="22" t="n">
        <f aca="false">IF(OR($A492="",N(K492)=0),0,CEILING(K492*(1+IF($O492="",Taux_Compta,$O492))-0.005,Pas_Arrondi))</f>
        <v>0</v>
      </c>
      <c r="Q492" s="22" t="n">
        <f aca="false">IF(OR($A492="",N(L492)=0),0,CEILING(L492*(1+IF($O492="",Taux_Paye,$O492))-0.005,Pas_Arrondi))</f>
        <v>0</v>
      </c>
      <c r="R492" s="22" t="n">
        <f aca="false">IF(OR($A492="",N(M492)=0),0,CEILING(M492*(1+IF($O492="",Taux_Jur,$O492))-0.005,Pas_Arrondi))</f>
        <v>0</v>
      </c>
      <c r="S492" s="22" t="n">
        <f aca="false">IF(OR($A492="",N(N492)=0),0,CEILING(N492*(1+IF($O492="",Taux_PA,$O492))-0.005,Pas_Arrondi))</f>
        <v>0</v>
      </c>
      <c r="T492" s="22" t="str">
        <f aca="false">IF($A492="","",SUM(K492:N492))</f>
        <v/>
      </c>
      <c r="U492" s="22" t="str">
        <f aca="false">IF($A492="","",SUM(P492:S492))</f>
        <v/>
      </c>
      <c r="V492" s="22" t="str">
        <f aca="false">IF($A492="","",U492-T492)</f>
        <v/>
      </c>
      <c r="W492" s="23" t="str">
        <f aca="false">IF(OR($A492="",N(T492)=0),"",V492/T492)</f>
        <v/>
      </c>
      <c r="X492" s="18"/>
      <c r="Y492" s="18"/>
      <c r="Z492" s="24" t="str">
        <f aca="false">IF(AND($A492&lt;&gt;"",$X492="Oui",OR(Filtre_Masse="Tous les clients à envoyer",$Y492&lt;&gt;"Email")),MAX(Z$1:Z491)+1,"")</f>
        <v/>
      </c>
    </row>
    <row r="493" customFormat="false" ht="15" hidden="false" customHeight="false" outlineLevel="0" collapsed="false">
      <c r="A493" s="18"/>
      <c r="B493" s="18"/>
      <c r="C493" s="18"/>
      <c r="D493" s="18"/>
      <c r="E493" s="18"/>
      <c r="F493" s="18"/>
      <c r="G493" s="18"/>
      <c r="H493" s="19"/>
      <c r="I493" s="18"/>
      <c r="J493" s="18"/>
      <c r="K493" s="20"/>
      <c r="L493" s="20"/>
      <c r="M493" s="20"/>
      <c r="N493" s="20"/>
      <c r="O493" s="21"/>
      <c r="P493" s="22" t="n">
        <f aca="false">IF(OR($A493="",N(K493)=0),0,CEILING(K493*(1+IF($O493="",Taux_Compta,$O493))-0.005,Pas_Arrondi))</f>
        <v>0</v>
      </c>
      <c r="Q493" s="22" t="n">
        <f aca="false">IF(OR($A493="",N(L493)=0),0,CEILING(L493*(1+IF($O493="",Taux_Paye,$O493))-0.005,Pas_Arrondi))</f>
        <v>0</v>
      </c>
      <c r="R493" s="22" t="n">
        <f aca="false">IF(OR($A493="",N(M493)=0),0,CEILING(M493*(1+IF($O493="",Taux_Jur,$O493))-0.005,Pas_Arrondi))</f>
        <v>0</v>
      </c>
      <c r="S493" s="22" t="n">
        <f aca="false">IF(OR($A493="",N(N493)=0),0,CEILING(N493*(1+IF($O493="",Taux_PA,$O493))-0.005,Pas_Arrondi))</f>
        <v>0</v>
      </c>
      <c r="T493" s="22" t="str">
        <f aca="false">IF($A493="","",SUM(K493:N493))</f>
        <v/>
      </c>
      <c r="U493" s="22" t="str">
        <f aca="false">IF($A493="","",SUM(P493:S493))</f>
        <v/>
      </c>
      <c r="V493" s="22" t="str">
        <f aca="false">IF($A493="","",U493-T493)</f>
        <v/>
      </c>
      <c r="W493" s="23" t="str">
        <f aca="false">IF(OR($A493="",N(T493)=0),"",V493/T493)</f>
        <v/>
      </c>
      <c r="X493" s="18"/>
      <c r="Y493" s="18"/>
      <c r="Z493" s="24" t="str">
        <f aca="false">IF(AND($A493&lt;&gt;"",$X493="Oui",OR(Filtre_Masse="Tous les clients à envoyer",$Y493&lt;&gt;"Email")),MAX(Z$1:Z492)+1,"")</f>
        <v/>
      </c>
    </row>
    <row r="494" customFormat="false" ht="15" hidden="false" customHeight="false" outlineLevel="0" collapsed="false">
      <c r="A494" s="18"/>
      <c r="B494" s="18"/>
      <c r="C494" s="18"/>
      <c r="D494" s="18"/>
      <c r="E494" s="18"/>
      <c r="F494" s="18"/>
      <c r="G494" s="18"/>
      <c r="H494" s="19"/>
      <c r="I494" s="18"/>
      <c r="J494" s="18"/>
      <c r="K494" s="20"/>
      <c r="L494" s="20"/>
      <c r="M494" s="20"/>
      <c r="N494" s="20"/>
      <c r="O494" s="21"/>
      <c r="P494" s="22" t="n">
        <f aca="false">IF(OR($A494="",N(K494)=0),0,CEILING(K494*(1+IF($O494="",Taux_Compta,$O494))-0.005,Pas_Arrondi))</f>
        <v>0</v>
      </c>
      <c r="Q494" s="22" t="n">
        <f aca="false">IF(OR($A494="",N(L494)=0),0,CEILING(L494*(1+IF($O494="",Taux_Paye,$O494))-0.005,Pas_Arrondi))</f>
        <v>0</v>
      </c>
      <c r="R494" s="22" t="n">
        <f aca="false">IF(OR($A494="",N(M494)=0),0,CEILING(M494*(1+IF($O494="",Taux_Jur,$O494))-0.005,Pas_Arrondi))</f>
        <v>0</v>
      </c>
      <c r="S494" s="22" t="n">
        <f aca="false">IF(OR($A494="",N(N494)=0),0,CEILING(N494*(1+IF($O494="",Taux_PA,$O494))-0.005,Pas_Arrondi))</f>
        <v>0</v>
      </c>
      <c r="T494" s="22" t="str">
        <f aca="false">IF($A494="","",SUM(K494:N494))</f>
        <v/>
      </c>
      <c r="U494" s="22" t="str">
        <f aca="false">IF($A494="","",SUM(P494:S494))</f>
        <v/>
      </c>
      <c r="V494" s="22" t="str">
        <f aca="false">IF($A494="","",U494-T494)</f>
        <v/>
      </c>
      <c r="W494" s="23" t="str">
        <f aca="false">IF(OR($A494="",N(T494)=0),"",V494/T494)</f>
        <v/>
      </c>
      <c r="X494" s="18"/>
      <c r="Y494" s="18"/>
      <c r="Z494" s="24" t="str">
        <f aca="false">IF(AND($A494&lt;&gt;"",$X494="Oui",OR(Filtre_Masse="Tous les clients à envoyer",$Y494&lt;&gt;"Email")),MAX(Z$1:Z493)+1,"")</f>
        <v/>
      </c>
    </row>
    <row r="495" customFormat="false" ht="15" hidden="false" customHeight="false" outlineLevel="0" collapsed="false">
      <c r="A495" s="18"/>
      <c r="B495" s="18"/>
      <c r="C495" s="18"/>
      <c r="D495" s="18"/>
      <c r="E495" s="18"/>
      <c r="F495" s="18"/>
      <c r="G495" s="18"/>
      <c r="H495" s="19"/>
      <c r="I495" s="18"/>
      <c r="J495" s="18"/>
      <c r="K495" s="20"/>
      <c r="L495" s="20"/>
      <c r="M495" s="20"/>
      <c r="N495" s="20"/>
      <c r="O495" s="21"/>
      <c r="P495" s="22" t="n">
        <f aca="false">IF(OR($A495="",N(K495)=0),0,CEILING(K495*(1+IF($O495="",Taux_Compta,$O495))-0.005,Pas_Arrondi))</f>
        <v>0</v>
      </c>
      <c r="Q495" s="22" t="n">
        <f aca="false">IF(OR($A495="",N(L495)=0),0,CEILING(L495*(1+IF($O495="",Taux_Paye,$O495))-0.005,Pas_Arrondi))</f>
        <v>0</v>
      </c>
      <c r="R495" s="22" t="n">
        <f aca="false">IF(OR($A495="",N(M495)=0),0,CEILING(M495*(1+IF($O495="",Taux_Jur,$O495))-0.005,Pas_Arrondi))</f>
        <v>0</v>
      </c>
      <c r="S495" s="22" t="n">
        <f aca="false">IF(OR($A495="",N(N495)=0),0,CEILING(N495*(1+IF($O495="",Taux_PA,$O495))-0.005,Pas_Arrondi))</f>
        <v>0</v>
      </c>
      <c r="T495" s="22" t="str">
        <f aca="false">IF($A495="","",SUM(K495:N495))</f>
        <v/>
      </c>
      <c r="U495" s="22" t="str">
        <f aca="false">IF($A495="","",SUM(P495:S495))</f>
        <v/>
      </c>
      <c r="V495" s="22" t="str">
        <f aca="false">IF($A495="","",U495-T495)</f>
        <v/>
      </c>
      <c r="W495" s="23" t="str">
        <f aca="false">IF(OR($A495="",N(T495)=0),"",V495/T495)</f>
        <v/>
      </c>
      <c r="X495" s="18"/>
      <c r="Y495" s="18"/>
      <c r="Z495" s="24" t="str">
        <f aca="false">IF(AND($A495&lt;&gt;"",$X495="Oui",OR(Filtre_Masse="Tous les clients à envoyer",$Y495&lt;&gt;"Email")),MAX(Z$1:Z494)+1,"")</f>
        <v/>
      </c>
    </row>
    <row r="496" customFormat="false" ht="15" hidden="false" customHeight="false" outlineLevel="0" collapsed="false">
      <c r="A496" s="18"/>
      <c r="B496" s="18"/>
      <c r="C496" s="18"/>
      <c r="D496" s="18"/>
      <c r="E496" s="18"/>
      <c r="F496" s="18"/>
      <c r="G496" s="18"/>
      <c r="H496" s="19"/>
      <c r="I496" s="18"/>
      <c r="J496" s="18"/>
      <c r="K496" s="20"/>
      <c r="L496" s="20"/>
      <c r="M496" s="20"/>
      <c r="N496" s="20"/>
      <c r="O496" s="21"/>
      <c r="P496" s="22" t="n">
        <f aca="false">IF(OR($A496="",N(K496)=0),0,CEILING(K496*(1+IF($O496="",Taux_Compta,$O496))-0.005,Pas_Arrondi))</f>
        <v>0</v>
      </c>
      <c r="Q496" s="22" t="n">
        <f aca="false">IF(OR($A496="",N(L496)=0),0,CEILING(L496*(1+IF($O496="",Taux_Paye,$O496))-0.005,Pas_Arrondi))</f>
        <v>0</v>
      </c>
      <c r="R496" s="22" t="n">
        <f aca="false">IF(OR($A496="",N(M496)=0),0,CEILING(M496*(1+IF($O496="",Taux_Jur,$O496))-0.005,Pas_Arrondi))</f>
        <v>0</v>
      </c>
      <c r="S496" s="22" t="n">
        <f aca="false">IF(OR($A496="",N(N496)=0),0,CEILING(N496*(1+IF($O496="",Taux_PA,$O496))-0.005,Pas_Arrondi))</f>
        <v>0</v>
      </c>
      <c r="T496" s="22" t="str">
        <f aca="false">IF($A496="","",SUM(K496:N496))</f>
        <v/>
      </c>
      <c r="U496" s="22" t="str">
        <f aca="false">IF($A496="","",SUM(P496:S496))</f>
        <v/>
      </c>
      <c r="V496" s="22" t="str">
        <f aca="false">IF($A496="","",U496-T496)</f>
        <v/>
      </c>
      <c r="W496" s="23" t="str">
        <f aca="false">IF(OR($A496="",N(T496)=0),"",V496/T496)</f>
        <v/>
      </c>
      <c r="X496" s="18"/>
      <c r="Y496" s="18"/>
      <c r="Z496" s="24" t="str">
        <f aca="false">IF(AND($A496&lt;&gt;"",$X496="Oui",OR(Filtre_Masse="Tous les clients à envoyer",$Y496&lt;&gt;"Email")),MAX(Z$1:Z495)+1,"")</f>
        <v/>
      </c>
    </row>
    <row r="497" customFormat="false" ht="15" hidden="false" customHeight="false" outlineLevel="0" collapsed="false">
      <c r="A497" s="18"/>
      <c r="B497" s="18"/>
      <c r="C497" s="18"/>
      <c r="D497" s="18"/>
      <c r="E497" s="18"/>
      <c r="F497" s="18"/>
      <c r="G497" s="18"/>
      <c r="H497" s="19"/>
      <c r="I497" s="18"/>
      <c r="J497" s="18"/>
      <c r="K497" s="20"/>
      <c r="L497" s="20"/>
      <c r="M497" s="20"/>
      <c r="N497" s="20"/>
      <c r="O497" s="21"/>
      <c r="P497" s="22" t="n">
        <f aca="false">IF(OR($A497="",N(K497)=0),0,CEILING(K497*(1+IF($O497="",Taux_Compta,$O497))-0.005,Pas_Arrondi))</f>
        <v>0</v>
      </c>
      <c r="Q497" s="22" t="n">
        <f aca="false">IF(OR($A497="",N(L497)=0),0,CEILING(L497*(1+IF($O497="",Taux_Paye,$O497))-0.005,Pas_Arrondi))</f>
        <v>0</v>
      </c>
      <c r="R497" s="22" t="n">
        <f aca="false">IF(OR($A497="",N(M497)=0),0,CEILING(M497*(1+IF($O497="",Taux_Jur,$O497))-0.005,Pas_Arrondi))</f>
        <v>0</v>
      </c>
      <c r="S497" s="22" t="n">
        <f aca="false">IF(OR($A497="",N(N497)=0),0,CEILING(N497*(1+IF($O497="",Taux_PA,$O497))-0.005,Pas_Arrondi))</f>
        <v>0</v>
      </c>
      <c r="T497" s="22" t="str">
        <f aca="false">IF($A497="","",SUM(K497:N497))</f>
        <v/>
      </c>
      <c r="U497" s="22" t="str">
        <f aca="false">IF($A497="","",SUM(P497:S497))</f>
        <v/>
      </c>
      <c r="V497" s="22" t="str">
        <f aca="false">IF($A497="","",U497-T497)</f>
        <v/>
      </c>
      <c r="W497" s="23" t="str">
        <f aca="false">IF(OR($A497="",N(T497)=0),"",V497/T497)</f>
        <v/>
      </c>
      <c r="X497" s="18"/>
      <c r="Y497" s="18"/>
      <c r="Z497" s="24" t="str">
        <f aca="false">IF(AND($A497&lt;&gt;"",$X497="Oui",OR(Filtre_Masse="Tous les clients à envoyer",$Y497&lt;&gt;"Email")),MAX(Z$1:Z496)+1,"")</f>
        <v/>
      </c>
    </row>
    <row r="498" customFormat="false" ht="15" hidden="false" customHeight="false" outlineLevel="0" collapsed="false">
      <c r="A498" s="18"/>
      <c r="B498" s="18"/>
      <c r="C498" s="18"/>
      <c r="D498" s="18"/>
      <c r="E498" s="18"/>
      <c r="F498" s="18"/>
      <c r="G498" s="18"/>
      <c r="H498" s="19"/>
      <c r="I498" s="18"/>
      <c r="J498" s="18"/>
      <c r="K498" s="20"/>
      <c r="L498" s="20"/>
      <c r="M498" s="20"/>
      <c r="N498" s="20"/>
      <c r="O498" s="21"/>
      <c r="P498" s="22" t="n">
        <f aca="false">IF(OR($A498="",N(K498)=0),0,CEILING(K498*(1+IF($O498="",Taux_Compta,$O498))-0.005,Pas_Arrondi))</f>
        <v>0</v>
      </c>
      <c r="Q498" s="22" t="n">
        <f aca="false">IF(OR($A498="",N(L498)=0),0,CEILING(L498*(1+IF($O498="",Taux_Paye,$O498))-0.005,Pas_Arrondi))</f>
        <v>0</v>
      </c>
      <c r="R498" s="22" t="n">
        <f aca="false">IF(OR($A498="",N(M498)=0),0,CEILING(M498*(1+IF($O498="",Taux_Jur,$O498))-0.005,Pas_Arrondi))</f>
        <v>0</v>
      </c>
      <c r="S498" s="22" t="n">
        <f aca="false">IF(OR($A498="",N(N498)=0),0,CEILING(N498*(1+IF($O498="",Taux_PA,$O498))-0.005,Pas_Arrondi))</f>
        <v>0</v>
      </c>
      <c r="T498" s="22" t="str">
        <f aca="false">IF($A498="","",SUM(K498:N498))</f>
        <v/>
      </c>
      <c r="U498" s="22" t="str">
        <f aca="false">IF($A498="","",SUM(P498:S498))</f>
        <v/>
      </c>
      <c r="V498" s="22" t="str">
        <f aca="false">IF($A498="","",U498-T498)</f>
        <v/>
      </c>
      <c r="W498" s="23" t="str">
        <f aca="false">IF(OR($A498="",N(T498)=0),"",V498/T498)</f>
        <v/>
      </c>
      <c r="X498" s="18"/>
      <c r="Y498" s="18"/>
      <c r="Z498" s="24" t="str">
        <f aca="false">IF(AND($A498&lt;&gt;"",$X498="Oui",OR(Filtre_Masse="Tous les clients à envoyer",$Y498&lt;&gt;"Email")),MAX(Z$1:Z497)+1,"")</f>
        <v/>
      </c>
    </row>
    <row r="499" customFormat="false" ht="15" hidden="false" customHeight="false" outlineLevel="0" collapsed="false">
      <c r="A499" s="18"/>
      <c r="B499" s="18"/>
      <c r="C499" s="18"/>
      <c r="D499" s="18"/>
      <c r="E499" s="18"/>
      <c r="F499" s="18"/>
      <c r="G499" s="18"/>
      <c r="H499" s="19"/>
      <c r="I499" s="18"/>
      <c r="J499" s="18"/>
      <c r="K499" s="20"/>
      <c r="L499" s="20"/>
      <c r="M499" s="20"/>
      <c r="N499" s="20"/>
      <c r="O499" s="21"/>
      <c r="P499" s="22" t="n">
        <f aca="false">IF(OR($A499="",N(K499)=0),0,CEILING(K499*(1+IF($O499="",Taux_Compta,$O499))-0.005,Pas_Arrondi))</f>
        <v>0</v>
      </c>
      <c r="Q499" s="22" t="n">
        <f aca="false">IF(OR($A499="",N(L499)=0),0,CEILING(L499*(1+IF($O499="",Taux_Paye,$O499))-0.005,Pas_Arrondi))</f>
        <v>0</v>
      </c>
      <c r="R499" s="22" t="n">
        <f aca="false">IF(OR($A499="",N(M499)=0),0,CEILING(M499*(1+IF($O499="",Taux_Jur,$O499))-0.005,Pas_Arrondi))</f>
        <v>0</v>
      </c>
      <c r="S499" s="22" t="n">
        <f aca="false">IF(OR($A499="",N(N499)=0),0,CEILING(N499*(1+IF($O499="",Taux_PA,$O499))-0.005,Pas_Arrondi))</f>
        <v>0</v>
      </c>
      <c r="T499" s="22" t="str">
        <f aca="false">IF($A499="","",SUM(K499:N499))</f>
        <v/>
      </c>
      <c r="U499" s="22" t="str">
        <f aca="false">IF($A499="","",SUM(P499:S499))</f>
        <v/>
      </c>
      <c r="V499" s="22" t="str">
        <f aca="false">IF($A499="","",U499-T499)</f>
        <v/>
      </c>
      <c r="W499" s="23" t="str">
        <f aca="false">IF(OR($A499="",N(T499)=0),"",V499/T499)</f>
        <v/>
      </c>
      <c r="X499" s="18"/>
      <c r="Y499" s="18"/>
      <c r="Z499" s="24" t="str">
        <f aca="false">IF(AND($A499&lt;&gt;"",$X499="Oui",OR(Filtre_Masse="Tous les clients à envoyer",$Y499&lt;&gt;"Email")),MAX(Z$1:Z498)+1,"")</f>
        <v/>
      </c>
    </row>
    <row r="500" customFormat="false" ht="15" hidden="false" customHeight="false" outlineLevel="0" collapsed="false">
      <c r="A500" s="18"/>
      <c r="B500" s="18"/>
      <c r="C500" s="18"/>
      <c r="D500" s="18"/>
      <c r="E500" s="18"/>
      <c r="F500" s="18"/>
      <c r="G500" s="18"/>
      <c r="H500" s="19"/>
      <c r="I500" s="18"/>
      <c r="J500" s="18"/>
      <c r="K500" s="20"/>
      <c r="L500" s="20"/>
      <c r="M500" s="20"/>
      <c r="N500" s="20"/>
      <c r="O500" s="21"/>
      <c r="P500" s="22" t="n">
        <f aca="false">IF(OR($A500="",N(K500)=0),0,CEILING(K500*(1+IF($O500="",Taux_Compta,$O500))-0.005,Pas_Arrondi))</f>
        <v>0</v>
      </c>
      <c r="Q500" s="22" t="n">
        <f aca="false">IF(OR($A500="",N(L500)=0),0,CEILING(L500*(1+IF($O500="",Taux_Paye,$O500))-0.005,Pas_Arrondi))</f>
        <v>0</v>
      </c>
      <c r="R500" s="22" t="n">
        <f aca="false">IF(OR($A500="",N(M500)=0),0,CEILING(M500*(1+IF($O500="",Taux_Jur,$O500))-0.005,Pas_Arrondi))</f>
        <v>0</v>
      </c>
      <c r="S500" s="22" t="n">
        <f aca="false">IF(OR($A500="",N(N500)=0),0,CEILING(N500*(1+IF($O500="",Taux_PA,$O500))-0.005,Pas_Arrondi))</f>
        <v>0</v>
      </c>
      <c r="T500" s="22" t="str">
        <f aca="false">IF($A500="","",SUM(K500:N500))</f>
        <v/>
      </c>
      <c r="U500" s="22" t="str">
        <f aca="false">IF($A500="","",SUM(P500:S500))</f>
        <v/>
      </c>
      <c r="V500" s="22" t="str">
        <f aca="false">IF($A500="","",U500-T500)</f>
        <v/>
      </c>
      <c r="W500" s="23" t="str">
        <f aca="false">IF(OR($A500="",N(T500)=0),"",V500/T500)</f>
        <v/>
      </c>
      <c r="X500" s="18"/>
      <c r="Y500" s="18"/>
      <c r="Z500" s="24" t="str">
        <f aca="false">IF(AND($A500&lt;&gt;"",$X500="Oui",OR(Filtre_Masse="Tous les clients à envoyer",$Y500&lt;&gt;"Email")),MAX(Z$1:Z499)+1,"")</f>
        <v/>
      </c>
    </row>
    <row r="501" customFormat="false" ht="15" hidden="false" customHeight="false" outlineLevel="0" collapsed="false">
      <c r="A501" s="18"/>
      <c r="B501" s="18"/>
      <c r="C501" s="18"/>
      <c r="D501" s="18"/>
      <c r="E501" s="18"/>
      <c r="F501" s="18"/>
      <c r="G501" s="18"/>
      <c r="H501" s="19"/>
      <c r="I501" s="18"/>
      <c r="J501" s="18"/>
      <c r="K501" s="20"/>
      <c r="L501" s="20"/>
      <c r="M501" s="20"/>
      <c r="N501" s="20"/>
      <c r="O501" s="21"/>
      <c r="P501" s="22" t="n">
        <f aca="false">IF(OR($A501="",N(K501)=0),0,CEILING(K501*(1+IF($O501="",Taux_Compta,$O501))-0.005,Pas_Arrondi))</f>
        <v>0</v>
      </c>
      <c r="Q501" s="22" t="n">
        <f aca="false">IF(OR($A501="",N(L501)=0),0,CEILING(L501*(1+IF($O501="",Taux_Paye,$O501))-0.005,Pas_Arrondi))</f>
        <v>0</v>
      </c>
      <c r="R501" s="22" t="n">
        <f aca="false">IF(OR($A501="",N(M501)=0),0,CEILING(M501*(1+IF($O501="",Taux_Jur,$O501))-0.005,Pas_Arrondi))</f>
        <v>0</v>
      </c>
      <c r="S501" s="22" t="n">
        <f aca="false">IF(OR($A501="",N(N501)=0),0,CEILING(N501*(1+IF($O501="",Taux_PA,$O501))-0.005,Pas_Arrondi))</f>
        <v>0</v>
      </c>
      <c r="T501" s="22" t="str">
        <f aca="false">IF($A501="","",SUM(K501:N501))</f>
        <v/>
      </c>
      <c r="U501" s="22" t="str">
        <f aca="false">IF($A501="","",SUM(P501:S501))</f>
        <v/>
      </c>
      <c r="V501" s="22" t="str">
        <f aca="false">IF($A501="","",U501-T501)</f>
        <v/>
      </c>
      <c r="W501" s="23" t="str">
        <f aca="false">IF(OR($A501="",N(T501)=0),"",V501/T501)</f>
        <v/>
      </c>
      <c r="X501" s="18"/>
      <c r="Y501" s="18"/>
      <c r="Z501" s="24" t="str">
        <f aca="false">IF(AND($A501&lt;&gt;"",$X501="Oui",OR(Filtre_Masse="Tous les clients à envoyer",$Y501&lt;&gt;"Email")),MAX(Z$1:Z500)+1,"")</f>
        <v/>
      </c>
    </row>
  </sheetData>
  <autoFilter ref="A1:Z501"/>
  <dataValidations count="3">
    <dataValidation allowBlank="true" errorStyle="stop" operator="between" showDropDown="false" showErrorMessage="false" showInputMessage="false" sqref="B2:B501" type="list">
      <formula1>"M.,Mme,M. et Mme"</formula1>
      <formula2>0</formula2>
    </dataValidation>
    <dataValidation allowBlank="true" errorStyle="stop" operator="between" showDropDown="false" showErrorMessage="false" showInputMessage="false" sqref="X2:X501" type="list">
      <formula1>"Oui,Non"</formula1>
      <formula2>0</formula2>
    </dataValidation>
    <dataValidation allowBlank="true" errorStyle="stop" operator="between" showDropDown="false" showErrorMessage="false" showInputMessage="false" sqref="Y2:Y501" type="list">
      <formula1>"Courrier,Email,Les deux"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O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44"/>
    <col collapsed="false" customWidth="true" hidden="false" outlineLevel="0" max="3" min="3" style="0" width="14"/>
    <col collapsed="false" customWidth="true" hidden="false" outlineLevel="0" max="4" min="4" style="0" width="9"/>
    <col collapsed="false" customWidth="true" hidden="false" outlineLevel="0" max="5" min="5" style="0" width="14"/>
    <col collapsed="false" customWidth="true" hidden="false" outlineLevel="0" max="6" min="6" style="0" width="13"/>
    <col collapsed="false" customWidth="true" hidden="false" outlineLevel="0" max="8" min="7" style="0" width="3"/>
    <col collapsed="false" customWidth="true" hidden="false" outlineLevel="0" max="9" min="9" style="0" width="22"/>
    <col collapsed="false" customWidth="true" hidden="false" outlineLevel="0" max="10" min="10" style="0" width="16"/>
    <col collapsed="false" customWidth="true" hidden="false" outlineLevel="0" max="12" min="11" style="0" width="12"/>
    <col collapsed="false" customWidth="true" hidden="false" outlineLevel="0" max="15" min="13" style="0" width="6"/>
  </cols>
  <sheetData>
    <row r="1" customFormat="false" ht="15" hidden="false" customHeight="false" outlineLevel="0" collapsed="false">
      <c r="B1" s="10"/>
      <c r="C1" s="10"/>
      <c r="D1" s="10"/>
      <c r="E1" s="10"/>
      <c r="F1" s="10"/>
      <c r="J1" s="25" t="s">
        <v>142</v>
      </c>
      <c r="K1" s="25" t="n">
        <f aca="false">IFERROR(MATCH(Client_Selectionne,Codes_Clients,0),0)</f>
        <v>1</v>
      </c>
      <c r="L1" s="25"/>
      <c r="M1" s="25"/>
      <c r="N1" s="25"/>
      <c r="O1" s="25"/>
    </row>
    <row r="2" customFormat="false" ht="21.75" hidden="false" customHeight="true" outlineLevel="0" collapsed="false">
      <c r="B2" s="26" t="str">
        <f aca="false">Cab_Nom</f>
        <v>ALTHO EXPERTISE</v>
      </c>
      <c r="C2" s="26"/>
      <c r="D2" s="10"/>
      <c r="E2" s="27" t="str">
        <f aca="false">"Réf. client : "&amp;Client_Selectionne</f>
        <v>Réf. client : C001</v>
      </c>
      <c r="F2" s="27"/>
      <c r="I2" s="28" t="s">
        <v>143</v>
      </c>
      <c r="J2" s="25" t="s">
        <v>144</v>
      </c>
      <c r="K2" s="25" t="str">
        <f aca="false">IF(IF($K$1=0,"",INDEX(Clients!$B$2:$B$501,$K$1)&amp;"")="Mme","Madame",IF(IF($K$1=0,"",INDEX(Clients!$B$2:$B$501,$K$1)&amp;"")="M.","Monsieur","Madame, Monsieur"))</f>
        <v>Monsieur</v>
      </c>
      <c r="L2" s="25"/>
      <c r="M2" s="25"/>
      <c r="N2" s="25"/>
      <c r="O2" s="25"/>
    </row>
    <row r="3" customFormat="false" ht="15" hidden="false" customHeight="false" outlineLevel="0" collapsed="false">
      <c r="B3" s="29" t="str">
        <f aca="false">Cab_Adr1</f>
        <v>141 rue Charles de Gaulle</v>
      </c>
      <c r="C3" s="29"/>
      <c r="D3" s="10"/>
      <c r="E3" s="10"/>
      <c r="F3" s="10"/>
      <c r="I3" s="30" t="s">
        <v>114</v>
      </c>
      <c r="J3" s="25" t="s">
        <v>145</v>
      </c>
      <c r="K3" s="25" t="str">
        <f aca="false">DAY(Date_Effet)&amp;IF(DAY(Date_Effet)=1,"er","")&amp;" "&amp;INDEX(Liste_Mois,MONTH(Date_Effet))&amp;" "&amp;YEAR(Date_Effet)</f>
        <v>1er janvier 2027</v>
      </c>
      <c r="L3" s="25"/>
      <c r="M3" s="25"/>
      <c r="N3" s="25"/>
      <c r="O3" s="25"/>
    </row>
    <row r="4" customFormat="false" ht="15" hidden="false" customHeight="false" outlineLevel="0" collapsed="false">
      <c r="B4" s="29" t="str">
        <f aca="false">Cab_CPVille</f>
        <v>95130 LE PLESSIS-BOUCHARD</v>
      </c>
      <c r="C4" s="29"/>
      <c r="D4" s="10"/>
      <c r="E4" s="10"/>
      <c r="F4" s="10"/>
      <c r="I4" s="31" t="str">
        <f aca="false">IFERROR(INDEX(Clients!$E$2:$E$501,MATCH(Client_Selectionne,Codes_Clients,0)),"Code introuvable")</f>
        <v>SARL DURAND BÂTIMENT</v>
      </c>
      <c r="J4" s="25" t="s">
        <v>146</v>
      </c>
      <c r="K4" s="25" t="str">
        <f aca="false">IF(SUM($K$28:$K$31)=0,"",FIXED((SUM($L$28:$L$31)/SUM($K$28:$K$31)-1)*100,1)&amp;" %")</f>
        <v>3.5 %</v>
      </c>
      <c r="L4" s="25"/>
      <c r="M4" s="25"/>
      <c r="N4" s="25"/>
      <c r="O4" s="25"/>
    </row>
    <row r="5" customFormat="false" ht="15" hidden="false" customHeight="false" outlineLevel="0" collapsed="false">
      <c r="B5" s="29" t="str">
        <f aca="false">Cab_Contact</f>
        <v>Tél. 01 34 14 53 45  ·  altho@altho-experts.com  ·  altho-experts.com</v>
      </c>
      <c r="C5" s="29"/>
      <c r="D5" s="10"/>
      <c r="E5" s="10"/>
      <c r="F5" s="10"/>
      <c r="J5" s="25"/>
      <c r="K5" s="25"/>
      <c r="L5" s="25"/>
      <c r="M5" s="25"/>
      <c r="N5" s="25"/>
      <c r="O5" s="25"/>
    </row>
    <row r="6" customFormat="false" ht="6" hidden="false" customHeight="true" outlineLevel="0" collapsed="false">
      <c r="B6" s="32"/>
      <c r="C6" s="32"/>
      <c r="D6" s="32"/>
      <c r="E6" s="32"/>
      <c r="F6" s="32"/>
      <c r="I6" s="33" t="s">
        <v>147</v>
      </c>
      <c r="J6" s="33"/>
      <c r="K6" s="33"/>
      <c r="L6" s="33"/>
      <c r="M6" s="25"/>
      <c r="N6" s="25"/>
      <c r="O6" s="25"/>
    </row>
    <row r="7" customFormat="false" ht="13.5" hidden="false" customHeight="true" outlineLevel="0" collapsed="false">
      <c r="B7" s="10"/>
      <c r="C7" s="10"/>
      <c r="D7" s="10"/>
      <c r="E7" s="10"/>
      <c r="F7" s="10"/>
      <c r="I7" s="33"/>
      <c r="J7" s="33"/>
      <c r="K7" s="33"/>
      <c r="L7" s="33"/>
      <c r="M7" s="25"/>
      <c r="N7" s="25"/>
      <c r="O7" s="25"/>
    </row>
    <row r="8" customFormat="false" ht="13.5" hidden="false" customHeight="true" outlineLevel="0" collapsed="false">
      <c r="B8" s="10"/>
      <c r="C8" s="10"/>
      <c r="D8" s="10"/>
      <c r="E8" s="10"/>
      <c r="F8" s="10"/>
      <c r="I8" s="33"/>
      <c r="J8" s="33"/>
      <c r="K8" s="33"/>
      <c r="L8" s="33"/>
      <c r="M8" s="25"/>
      <c r="N8" s="25"/>
      <c r="O8" s="25"/>
    </row>
    <row r="9" customFormat="false" ht="13.5" hidden="false" customHeight="true" outlineLevel="0" collapsed="false">
      <c r="B9" s="10"/>
      <c r="C9" s="10"/>
      <c r="D9" s="10"/>
      <c r="E9" s="10"/>
      <c r="F9" s="10"/>
      <c r="I9" s="33"/>
      <c r="J9" s="33"/>
      <c r="K9" s="33"/>
      <c r="L9" s="33"/>
      <c r="M9" s="25"/>
      <c r="N9" s="25"/>
      <c r="O9" s="25"/>
    </row>
    <row r="10" customFormat="false" ht="15" hidden="false" customHeight="true" outlineLevel="0" collapsed="false">
      <c r="B10" s="10"/>
      <c r="C10" s="10"/>
      <c r="D10" s="34" t="str">
        <f aca="false">IF($K$1=0,"",INDEX(Clients!$E$2:$E$501,$K$1)&amp;"")</f>
        <v>SARL DURAND BÂTIMENT</v>
      </c>
      <c r="E10" s="34"/>
      <c r="F10" s="34"/>
      <c r="I10" s="33"/>
      <c r="J10" s="33"/>
      <c r="K10" s="33"/>
      <c r="L10" s="33"/>
      <c r="M10" s="25"/>
      <c r="N10" s="25"/>
      <c r="O10" s="25"/>
    </row>
    <row r="11" customFormat="false" ht="15" hidden="false" customHeight="true" outlineLevel="0" collapsed="false">
      <c r="B11" s="10"/>
      <c r="C11" s="10"/>
      <c r="D11" s="35" t="str">
        <f aca="false">IF(IF($K$1=0,"",INDEX(Clients!$D$2:$D$501,$K$1)&amp;"")="","","À l'attention de "&amp;TRIM(IF($K$1=0,"",INDEX(Clients!$B$2:$B$501,$K$1)&amp;"")&amp;" "&amp;IF($K$1=0,"",INDEX(Clients!$C$2:$C$501,$K$1)&amp;"")&amp;" "&amp;IF($K$1=0,"",INDEX(Clients!$D$2:$D$501,$K$1)&amp;"")))</f>
        <v>À l'attention de M. Pierre DURAND</v>
      </c>
      <c r="E11" s="35"/>
      <c r="F11" s="35"/>
      <c r="J11" s="25"/>
      <c r="K11" s="25"/>
      <c r="L11" s="25"/>
      <c r="M11" s="25"/>
      <c r="N11" s="25"/>
      <c r="O11" s="25"/>
    </row>
    <row r="12" customFormat="false" ht="15" hidden="false" customHeight="true" outlineLevel="0" collapsed="false">
      <c r="B12" s="10"/>
      <c r="C12" s="10"/>
      <c r="D12" s="35" t="str">
        <f aca="false">IF($K$1=0,"",INDEX(Clients!$F$2:$F$501,$K$1)&amp;"")</f>
        <v>5 avenue des Tilleuls</v>
      </c>
      <c r="E12" s="35"/>
      <c r="F12" s="35"/>
      <c r="J12" s="25"/>
      <c r="K12" s="25"/>
      <c r="L12" s="25"/>
      <c r="M12" s="25"/>
      <c r="N12" s="25"/>
      <c r="O12" s="25"/>
    </row>
    <row r="13" customFormat="false" ht="15" hidden="false" customHeight="true" outlineLevel="0" collapsed="false">
      <c r="B13" s="10"/>
      <c r="C13" s="10"/>
      <c r="D13" s="35" t="str">
        <f aca="false">IF(IF($K$1=0,"",INDEX(Clients!$G$2:$G$501,$K$1)&amp;"")="",TRIM(IF($K$1=0,"",INDEX(Clients!$H$2:$H$501,$K$1)&amp;"")&amp;" "&amp;UPPER(IF($K$1=0,"",INDEX(Clients!$I$2:$I$501,$K$1)&amp;""))),IF($K$1=0,"",INDEX(Clients!$G$2:$G$501,$K$1)&amp;""))</f>
        <v>69100 VILLEURBANNE</v>
      </c>
      <c r="E13" s="35"/>
      <c r="F13" s="35"/>
      <c r="J13" s="25"/>
      <c r="K13" s="25"/>
      <c r="L13" s="25"/>
      <c r="M13" s="25"/>
      <c r="N13" s="25"/>
      <c r="O13" s="25"/>
    </row>
    <row r="14" customFormat="false" ht="15" hidden="false" customHeight="true" outlineLevel="0" collapsed="false">
      <c r="B14" s="10"/>
      <c r="C14" s="10"/>
      <c r="D14" s="35" t="str">
        <f aca="false">IF(IF($K$1=0,"",INDEX(Clients!$G$2:$G$501,$K$1)&amp;"")="","",TRIM(IF($K$1=0,"",INDEX(Clients!$H$2:$H$501,$K$1)&amp;"")&amp;" "&amp;UPPER(IF($K$1=0,"",INDEX(Clients!$I$2:$I$501,$K$1)&amp;""))))</f>
        <v/>
      </c>
      <c r="E14" s="35"/>
      <c r="F14" s="35"/>
      <c r="J14" s="25"/>
      <c r="K14" s="25"/>
      <c r="L14" s="25"/>
      <c r="M14" s="25"/>
      <c r="N14" s="25"/>
      <c r="O14" s="25"/>
    </row>
    <row r="15" customFormat="false" ht="25.5" hidden="false" customHeight="true" outlineLevel="0" collapsed="false">
      <c r="B15" s="10"/>
      <c r="C15" s="10"/>
      <c r="D15" s="10"/>
      <c r="E15" s="10"/>
      <c r="F15" s="10"/>
      <c r="J15" s="25"/>
      <c r="K15" s="25"/>
      <c r="L15" s="25"/>
      <c r="M15" s="25"/>
      <c r="N15" s="25"/>
      <c r="O15" s="25"/>
    </row>
    <row r="16" customFormat="false" ht="15" hidden="false" customHeight="false" outlineLevel="0" collapsed="false">
      <c r="B16" s="10"/>
      <c r="C16" s="10"/>
      <c r="D16" s="36" t="str">
        <f aca="false">Cab_Ville&amp;", le "&amp;DAY(Date_Courrier)&amp;IF(DAY(Date_Courrier)=1,"er","")&amp;" "&amp;INDEX(Liste_Mois,MONTH(Date_Courrier))&amp;" "&amp;YEAR(Date_Courrier)</f>
        <v>Le Plessis-Bouchard, le 22 septembre 2026</v>
      </c>
      <c r="E16" s="36"/>
      <c r="F16" s="36"/>
      <c r="J16" s="25"/>
      <c r="K16" s="25"/>
      <c r="L16" s="25"/>
      <c r="M16" s="25"/>
      <c r="N16" s="25"/>
      <c r="O16" s="25"/>
    </row>
    <row r="17" customFormat="false" ht="19.5" hidden="false" customHeight="true" outlineLevel="0" collapsed="false">
      <c r="B17" s="10"/>
      <c r="C17" s="10"/>
      <c r="D17" s="10"/>
      <c r="E17" s="10"/>
      <c r="F17" s="10"/>
      <c r="J17" s="25"/>
      <c r="K17" s="25"/>
      <c r="L17" s="25"/>
      <c r="M17" s="25"/>
      <c r="N17" s="25"/>
      <c r="O17" s="25"/>
    </row>
    <row r="18" customFormat="false" ht="15" hidden="false" customHeight="false" outlineLevel="0" collapsed="false">
      <c r="B18" s="34" t="str">
        <f aca="false">SUBSTITUTE(SUBSTITUTE(SUBSTITUTE(SUBSTITUTE(SUBSTITUTE(Txt_Objet,"{cabinet}",Cab_Nom),"{societe}",IF($K$1=0,"",INDEX(Clients!$E$2:$E$501,$K$1)&amp;"")),"{date_effet}",$K$3),"{hausse}",$K$4),"{civilite}",$K$2)</f>
        <v>Objet : révision de nos honoraires au 1er janvier 2027</v>
      </c>
      <c r="C18" s="34"/>
      <c r="D18" s="34"/>
      <c r="E18" s="34"/>
      <c r="F18" s="34"/>
      <c r="J18" s="25"/>
      <c r="K18" s="25"/>
      <c r="L18" s="25"/>
      <c r="M18" s="25"/>
      <c r="N18" s="25"/>
      <c r="O18" s="25"/>
    </row>
    <row r="19" customFormat="false" ht="13.5" hidden="false" customHeight="true" outlineLevel="0" collapsed="false">
      <c r="B19" s="10"/>
      <c r="C19" s="10"/>
      <c r="D19" s="10"/>
      <c r="E19" s="10"/>
      <c r="F19" s="10"/>
      <c r="J19" s="25"/>
      <c r="K19" s="25"/>
      <c r="L19" s="25"/>
      <c r="M19" s="25"/>
      <c r="N19" s="25"/>
      <c r="O19" s="25"/>
    </row>
    <row r="20" customFormat="false" ht="15" hidden="false" customHeight="false" outlineLevel="0" collapsed="false">
      <c r="B20" s="10" t="str">
        <f aca="false">$K$2&amp;","</f>
        <v>Monsieur,</v>
      </c>
      <c r="C20" s="10"/>
      <c r="D20" s="10"/>
      <c r="E20" s="10"/>
      <c r="F20" s="10"/>
      <c r="J20" s="25"/>
      <c r="K20" s="25"/>
      <c r="L20" s="25"/>
      <c r="M20" s="25"/>
      <c r="N20" s="25"/>
      <c r="O20" s="25"/>
    </row>
    <row r="21" customFormat="false" ht="6" hidden="false" customHeight="true" outlineLevel="0" collapsed="false">
      <c r="B21" s="10"/>
      <c r="C21" s="10"/>
      <c r="D21" s="10"/>
      <c r="E21" s="10"/>
      <c r="F21" s="10"/>
      <c r="J21" s="25"/>
      <c r="K21" s="25"/>
      <c r="L21" s="25"/>
      <c r="M21" s="25"/>
      <c r="N21" s="25"/>
      <c r="O21" s="25"/>
    </row>
    <row r="22" customFormat="false" ht="36.75" hidden="false" customHeight="true" outlineLevel="0" collapsed="false">
      <c r="B22" s="37" t="str">
        <f aca="false">SUBSTITUTE(SUBSTITUTE(SUBSTITUTE(SUBSTITUTE(SUBSTITUTE(Txt_P1,"{cabinet}",Cab_Nom),"{societe}",IF($K$1=0,"",INDEX(Clients!$E$2:$E$501,$K$1)&amp;"")),"{date_effet}",$K$3),"{hausse}",$K$4),"{civilite}",$K$2)</f>
        <v>Nous tenons tout d'abord à vous remercier pour la confiance que vous accordez à ALTHO EXPERTISE. Comme chaque année, et conformément aux dispositions de votre lettre de mission, nous procédons à la révision de nos honoraires.</v>
      </c>
      <c r="C22" s="37"/>
      <c r="D22" s="37"/>
      <c r="E22" s="37"/>
      <c r="F22" s="37"/>
      <c r="J22" s="25"/>
      <c r="K22" s="25"/>
      <c r="L22" s="25"/>
      <c r="M22" s="25"/>
      <c r="N22" s="25"/>
      <c r="O22" s="25"/>
    </row>
    <row r="23" customFormat="false" ht="49.5" hidden="false" customHeight="true" outlineLevel="0" collapsed="false">
      <c r="B23" s="37" t="str">
        <f aca="false">SUBSTITUTE(SUBSTITUTE(SUBSTITUTE(SUBSTITUTE(SUBSTITUTE(Txt_P2,"{cabinet}",Cab_Nom),"{societe}",IF($K$1=0,"",INDEX(Clients!$E$2:$E$501,$K$1)&amp;"")),"{date_effet}",$K$3),"{hausse}",$K$4),"{civilite}",$K$2)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3" s="37"/>
      <c r="D23" s="37"/>
      <c r="E23" s="37"/>
      <c r="F23" s="37"/>
      <c r="J23" s="25"/>
      <c r="K23" s="25"/>
      <c r="L23" s="25"/>
      <c r="M23" s="25"/>
      <c r="N23" s="25"/>
      <c r="O23" s="25"/>
    </row>
    <row r="24" customFormat="false" ht="63" hidden="false" customHeight="true" outlineLevel="0" collapsed="false">
      <c r="B24" s="37" t="str">
        <f aca="false">SUBSTITUTE(SUBSTITUTE(SUBSTITUTE(SUBSTITUTE(SUBSTITUTE(Txt_P3,"{cabinet}",Cab_Nom),"{societe}",IF($K$1=0,"",INDEX(Clients!$E$2:$E$501,$K$1)&amp;"")),"{date_effet}",$K$3),"{hausse}",$K$4),"{civilite}",$K$2)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4" s="37"/>
      <c r="D24" s="37"/>
      <c r="E24" s="37"/>
      <c r="F24" s="37"/>
      <c r="J24" s="25"/>
      <c r="K24" s="25"/>
      <c r="L24" s="25"/>
      <c r="M24" s="25"/>
      <c r="N24" s="25"/>
      <c r="O24" s="25"/>
    </row>
    <row r="25" customFormat="false" ht="24" hidden="false" customHeight="true" outlineLevel="0" collapsed="false">
      <c r="B25" s="37" t="str">
        <f aca="false">SUBSTITUTE(SUBSTITUTE(SUBSTITUTE(SUBSTITUTE(SUBSTITUTE(Txt_P4,"{cabinet}",Cab_Nom),"{societe}",IF($K$1=0,"",INDEX(Clients!$E$2:$E$501,$K$1)&amp;"")),"{date_effet}",$K$3),"{hausse}",$K$4),"{civilite}",$K$2)</f>
        <v>À compter du 1er janvier 2027, vos honoraires annuels hors taxes évolueront ainsi (évolution globale : 3.5 %) :</v>
      </c>
      <c r="C25" s="37"/>
      <c r="D25" s="37"/>
      <c r="E25" s="37"/>
      <c r="F25" s="37"/>
      <c r="J25" s="25"/>
      <c r="K25" s="25"/>
      <c r="L25" s="25"/>
      <c r="M25" s="25"/>
      <c r="N25" s="25"/>
      <c r="O25" s="25"/>
    </row>
    <row r="26" customFormat="false" ht="3.75" hidden="false" customHeight="true" outlineLevel="0" collapsed="false">
      <c r="B26" s="10"/>
      <c r="C26" s="10"/>
      <c r="D26" s="10"/>
      <c r="E26" s="10"/>
      <c r="F26" s="10"/>
      <c r="J26" s="25"/>
      <c r="K26" s="25"/>
      <c r="L26" s="25"/>
      <c r="M26" s="25"/>
      <c r="N26" s="25"/>
      <c r="O26" s="25"/>
    </row>
    <row r="27" customFormat="false" ht="18" hidden="false" customHeight="true" outlineLevel="0" collapsed="false">
      <c r="B27" s="38" t="s">
        <v>148</v>
      </c>
      <c r="C27" s="39" t="s">
        <v>149</v>
      </c>
      <c r="D27" s="39" t="s">
        <v>150</v>
      </c>
      <c r="E27" s="39" t="s">
        <v>151</v>
      </c>
      <c r="F27" s="39" t="s">
        <v>109</v>
      </c>
      <c r="J27" s="25" t="s">
        <v>152</v>
      </c>
      <c r="K27" s="25" t="s">
        <v>153</v>
      </c>
      <c r="L27" s="25" t="s">
        <v>154</v>
      </c>
      <c r="M27" s="25" t="s">
        <v>155</v>
      </c>
      <c r="N27" s="25" t="s">
        <v>156</v>
      </c>
      <c r="O27" s="25" t="s">
        <v>157</v>
      </c>
    </row>
    <row r="28" customFormat="false" ht="16.5" hidden="false" customHeight="true" outlineLevel="0" collapsed="false">
      <c r="B28" s="40" t="str">
        <f aca="false">IFERROR(INDEX($J$28:$J$31,MATCH($O28,$N$28:$N$31,0)),"")</f>
        <v>Mission comptable (tenue, révision, bilan, liasse fiscale)</v>
      </c>
      <c r="C28" s="41" t="n">
        <f aca="false">IFERROR(INDEX($K$28:$K$31,MATCH($O28,$N$28:$N$31,0)),"")</f>
        <v>3600</v>
      </c>
      <c r="D28" s="42" t="n">
        <f aca="false">IF(OR(E28="",N(C28)=0),"",E28/C28-1)</f>
        <v>0.0349999999999999</v>
      </c>
      <c r="E28" s="41" t="n">
        <f aca="false">IFERROR(INDEX($L$28:$L$31,MATCH($O28,$N$28:$N$31,0)),"")</f>
        <v>3726</v>
      </c>
      <c r="F28" s="41" t="n">
        <f aca="false">IF(E28="","",E28-C28)</f>
        <v>126</v>
      </c>
      <c r="J28" s="25" t="str">
        <f aca="false">Lib_Compta</f>
        <v>Mission comptable (tenue, révision, bilan, liasse fiscale)</v>
      </c>
      <c r="K28" s="25" t="n">
        <f aca="false">IF($K$1=0,0,N(INDEX(Clients!$K$2:$K$501,$K$1)))</f>
        <v>3600</v>
      </c>
      <c r="L28" s="25" t="n">
        <f aca="false">IF($K$1=0,0,N(INDEX(Clients!$P$2:$P$501,$K$1)))</f>
        <v>3726</v>
      </c>
      <c r="M28" s="25" t="n">
        <f aca="false">IF(OR(K28&lt;&gt;0,L28&lt;&gt;0),1,0)</f>
        <v>1</v>
      </c>
      <c r="N28" s="25" t="n">
        <f aca="false">IF(M28=1,SUM($M$28:M28),"")</f>
        <v>1</v>
      </c>
      <c r="O28" s="25" t="n">
        <v>1</v>
      </c>
    </row>
    <row r="29" customFormat="false" ht="16.5" hidden="false" customHeight="true" outlineLevel="0" collapsed="false">
      <c r="B29" s="40" t="str">
        <f aca="false">IFERROR(INDEX($J$28:$J$31,MATCH($O29,$N$28:$N$31,0)),"")</f>
        <v>Mission sociale (bulletins de paie, DSN, déclarations sociales)</v>
      </c>
      <c r="C29" s="41" t="n">
        <f aca="false">IFERROR(INDEX($K$28:$K$31,MATCH($O29,$N$28:$N$31,0)),"")</f>
        <v>1800</v>
      </c>
      <c r="D29" s="42" t="n">
        <f aca="false">IF(OR(E29="",N(C29)=0),"",E29/C29-1)</f>
        <v>0.04</v>
      </c>
      <c r="E29" s="41" t="n">
        <f aca="false">IFERROR(INDEX($L$28:$L$31,MATCH($O29,$N$28:$N$31,0)),"")</f>
        <v>1872</v>
      </c>
      <c r="F29" s="41" t="n">
        <f aca="false">IF(E29="","",E29-C29)</f>
        <v>72</v>
      </c>
      <c r="J29" s="25" t="str">
        <f aca="false">Lib_Paye</f>
        <v>Mission sociale (bulletins de paie, DSN, déclarations sociales)</v>
      </c>
      <c r="K29" s="25" t="n">
        <f aca="false">IF($K$1=0,0,N(INDEX(Clients!$L$2:$L$501,$K$1)))</f>
        <v>1800</v>
      </c>
      <c r="L29" s="25" t="n">
        <f aca="false">IF($K$1=0,0,N(INDEX(Clients!$Q$2:$Q$501,$K$1)))</f>
        <v>1872</v>
      </c>
      <c r="M29" s="25" t="n">
        <f aca="false">IF(OR(K29&lt;&gt;0,L29&lt;&gt;0),1,0)</f>
        <v>1</v>
      </c>
      <c r="N29" s="25" t="n">
        <f aca="false">IF(M29=1,SUM($M$28:M29),"")</f>
        <v>2</v>
      </c>
      <c r="O29" s="25" t="n">
        <v>2</v>
      </c>
    </row>
    <row r="30" customFormat="false" ht="16.5" hidden="false" customHeight="true" outlineLevel="0" collapsed="false">
      <c r="B30" s="40" t="str">
        <f aca="false">IFERROR(INDEX($J$28:$J$31,MATCH($O30,$N$28:$N$31,0)),"")</f>
        <v>Mission juridique (approbation des comptes, secrétariat juridique)</v>
      </c>
      <c r="C30" s="41" t="n">
        <f aca="false">IFERROR(INDEX($K$28:$K$31,MATCH($O30,$N$28:$N$31,0)),"")</f>
        <v>600</v>
      </c>
      <c r="D30" s="42" t="n">
        <f aca="false">IF(OR(E30="",N(C30)=0),"",E30/C30-1)</f>
        <v>0.03</v>
      </c>
      <c r="E30" s="41" t="n">
        <f aca="false">IFERROR(INDEX($L$28:$L$31,MATCH($O30,$N$28:$N$31,0)),"")</f>
        <v>618</v>
      </c>
      <c r="F30" s="41" t="n">
        <f aca="false">IF(E30="","",E30-C30)</f>
        <v>18</v>
      </c>
      <c r="J30" s="25" t="str">
        <f aca="false">Lib_Jur</f>
        <v>Mission juridique (approbation des comptes, secrétariat juridique)</v>
      </c>
      <c r="K30" s="25" t="n">
        <f aca="false">IF($K$1=0,0,N(INDEX(Clients!$M$2:$M$501,$K$1)))</f>
        <v>600</v>
      </c>
      <c r="L30" s="25" t="n">
        <f aca="false">IF($K$1=0,0,N(INDEX(Clients!$R$2:$R$501,$K$1)))</f>
        <v>618</v>
      </c>
      <c r="M30" s="25" t="n">
        <f aca="false">IF(OR(K30&lt;&gt;0,L30&lt;&gt;0),1,0)</f>
        <v>1</v>
      </c>
      <c r="N30" s="25" t="n">
        <f aca="false">IF(M30=1,SUM($M$28:M30),"")</f>
        <v>3</v>
      </c>
      <c r="O30" s="25" t="n">
        <v>3</v>
      </c>
    </row>
    <row r="31" customFormat="false" ht="16.5" hidden="false" customHeight="true" outlineLevel="0" collapsed="false">
      <c r="B31" s="40" t="str">
        <f aca="false">IFERROR(INDEX($J$28:$J$31,MATCH($O31,$N$28:$N$31,0)),"")</f>
        <v>Plateforme agréée – facturation électronique</v>
      </c>
      <c r="C31" s="41" t="n">
        <f aca="false">IFERROR(INDEX($K$28:$K$31,MATCH($O31,$N$28:$N$31,0)),"")</f>
        <v>240</v>
      </c>
      <c r="D31" s="42" t="n">
        <f aca="false">IF(OR(E31="",N(C31)=0),"",E31/C31-1)</f>
        <v>0</v>
      </c>
      <c r="E31" s="41" t="n">
        <f aca="false">IFERROR(INDEX($L$28:$L$31,MATCH($O31,$N$28:$N$31,0)),"")</f>
        <v>240</v>
      </c>
      <c r="F31" s="41" t="n">
        <f aca="false">IF(E31="","",E31-C31)</f>
        <v>0</v>
      </c>
      <c r="J31" s="25" t="str">
        <f aca="false">Lib_PA</f>
        <v>Plateforme agréée – facturation électronique</v>
      </c>
      <c r="K31" s="25" t="n">
        <f aca="false">IF($K$1=0,0,N(INDEX(Clients!$N$2:$N$501,$K$1)))</f>
        <v>240</v>
      </c>
      <c r="L31" s="25" t="n">
        <f aca="false">IF($K$1=0,0,N(INDEX(Clients!$S$2:$S$501,$K$1)))</f>
        <v>240</v>
      </c>
      <c r="M31" s="25" t="n">
        <f aca="false">IF(OR(K31&lt;&gt;0,L31&lt;&gt;0),1,0)</f>
        <v>1</v>
      </c>
      <c r="N31" s="25" t="n">
        <f aca="false">IF(M31=1,SUM($M$28:M31),"")</f>
        <v>4</v>
      </c>
      <c r="O31" s="25" t="n">
        <v>4</v>
      </c>
    </row>
    <row r="32" customFormat="false" ht="18" hidden="false" customHeight="true" outlineLevel="0" collapsed="false">
      <c r="B32" s="43" t="s">
        <v>158</v>
      </c>
      <c r="C32" s="44" t="n">
        <f aca="false">SUM(K28:K31)</f>
        <v>6240</v>
      </c>
      <c r="D32" s="45" t="n">
        <f aca="false">IF(N(C32)=0,"",E32/C32-1)</f>
        <v>0.0346153846153847</v>
      </c>
      <c r="E32" s="44" t="n">
        <f aca="false">SUM(L28:L31)</f>
        <v>6456</v>
      </c>
      <c r="F32" s="44" t="n">
        <f aca="false">E32-C32</f>
        <v>216</v>
      </c>
    </row>
    <row r="33" customFormat="false" ht="15" hidden="false" customHeight="false" outlineLevel="0" collapsed="false">
      <c r="B33" s="46" t="str">
        <f aca="false">IF(N(Nb_Mensualites)=0,"","Soit "&amp;FIXED(E32/Nb_Mensualites,2)&amp;" € HT par échéance ("&amp;Nb_Mensualites&amp;" échéances), "&amp;FIXED(E32/Nb_Mensualites*(1+Taux_TVA),2)&amp;" € TTC.")</f>
        <v>Soit 538.00 € HT par échéance (12 échéances), 645.60 € TTC.</v>
      </c>
      <c r="C33" s="46"/>
      <c r="D33" s="46"/>
      <c r="E33" s="46"/>
      <c r="F33" s="46"/>
    </row>
    <row r="34" customFormat="false" ht="7.5" hidden="false" customHeight="true" outlineLevel="0" collapsed="false">
      <c r="B34" s="10"/>
      <c r="C34" s="10"/>
      <c r="D34" s="10"/>
      <c r="E34" s="10"/>
      <c r="F34" s="10"/>
    </row>
    <row r="35" customFormat="false" ht="36.75" hidden="false" customHeight="true" outlineLevel="0" collapsed="false">
      <c r="B35" s="37" t="str">
        <f aca="false">SUBSTITUTE(SUBSTITUTE(SUBSTITUTE(SUBSTITUTE(SUBSTITUTE(Txt_P5,"{cabinet}",Cab_Nom),"{societe}",IF($K$1=0,"",INDEX(Clients!$E$2:$E$501,$K$1)&amp;"")),"{date_effet}",$K$3),"{hausse}",$K$4),"{civilite}",$K$2)</f>
        <v>Les autres conditions de votre lettre de mission demeurent inchangées. Les nouveaux montants seront appliqués automatiquement sur vos prochaines factures et échéances de prélèvement.</v>
      </c>
      <c r="C35" s="37"/>
      <c r="D35" s="37"/>
      <c r="E35" s="37"/>
      <c r="F35" s="37"/>
    </row>
    <row r="36" customFormat="false" ht="36.75" hidden="false" customHeight="true" outlineLevel="0" collapsed="false">
      <c r="B36" s="37" t="str">
        <f aca="false">SUBSTITUTE(SUBSTITUTE(SUBSTITUTE(SUBSTITUTE(SUBSTITUTE(Txt_P6,"{cabinet}",Cab_Nom),"{societe}",IF($K$1=0,"",INDEX(Clients!$E$2:$E$501,$K$1)&amp;"")),"{date_effet}",$K$3),"{hausse}",$K$4),"{civilite}",$K$2)</f>
        <v>Votre interlocuteur habituel reste à votre entière disposition pour répondre à vos questions et faire le point sur l'évolution de vos besoins.</v>
      </c>
      <c r="C36" s="37"/>
      <c r="D36" s="37"/>
      <c r="E36" s="37"/>
      <c r="F36" s="37"/>
    </row>
    <row r="37" customFormat="false" ht="24" hidden="false" customHeight="true" outlineLevel="0" collapsed="false">
      <c r="B37" s="37" t="str">
        <f aca="false">SUBSTITUTE(SUBSTITUTE(SUBSTITUTE(SUBSTITUTE(SUBSTITUTE(Txt_Politesse,"{cabinet}",Cab_Nom),"{societe}",IF($K$1=0,"",INDEX(Clients!$E$2:$E$501,$K$1)&amp;"")),"{date_effet}",$K$3),"{hausse}",$K$4),"{civilite}",$K$2)</f>
        <v>Nous vous prions d'agréer, Monsieur, l'expression de nos salutations distinguées.</v>
      </c>
      <c r="C37" s="37"/>
      <c r="D37" s="37"/>
      <c r="E37" s="37"/>
      <c r="F37" s="37"/>
    </row>
    <row r="38" customFormat="false" ht="15" hidden="false" customHeight="false" outlineLevel="0" collapsed="false">
      <c r="B38" s="10"/>
      <c r="C38" s="10"/>
      <c r="D38" s="10"/>
      <c r="E38" s="10"/>
      <c r="F38" s="10"/>
    </row>
    <row r="39" customFormat="false" ht="15" hidden="false" customHeight="false" outlineLevel="0" collapsed="false">
      <c r="B39" s="10"/>
      <c r="C39" s="10"/>
      <c r="D39" s="34" t="str">
        <f aca="false">Signataire</f>
        <v>Prénom NOM</v>
      </c>
      <c r="E39" s="34"/>
      <c r="F39" s="34"/>
    </row>
    <row r="40" customFormat="false" ht="15" hidden="false" customHeight="false" outlineLevel="0" collapsed="false">
      <c r="B40" s="10"/>
      <c r="C40" s="10"/>
      <c r="D40" s="47" t="str">
        <f aca="false">Signataire_Titre</f>
        <v>Expert-comptable associé</v>
      </c>
      <c r="E40" s="47"/>
      <c r="F40" s="47"/>
    </row>
    <row r="41" customFormat="false" ht="15.75" hidden="false" customHeight="true" outlineLevel="0" collapsed="false">
      <c r="B41" s="10"/>
      <c r="C41" s="10"/>
      <c r="D41" s="10"/>
      <c r="E41" s="10"/>
      <c r="F41" s="10"/>
    </row>
    <row r="42" customFormat="false" ht="15.75" hidden="false" customHeight="true" outlineLevel="0" collapsed="false">
      <c r="B42" s="10"/>
      <c r="C42" s="10"/>
      <c r="D42" s="10"/>
      <c r="E42" s="10"/>
      <c r="F42" s="10"/>
    </row>
    <row r="43" customFormat="false" ht="15.75" hidden="false" customHeight="true" outlineLevel="0" collapsed="false">
      <c r="B43" s="10"/>
      <c r="C43" s="10"/>
      <c r="D43" s="10"/>
      <c r="E43" s="10"/>
      <c r="F43" s="10"/>
    </row>
    <row r="44" customFormat="false" ht="15.75" hidden="false" customHeight="true" outlineLevel="0" collapsed="false">
      <c r="B44" s="10"/>
      <c r="C44" s="10"/>
      <c r="D44" s="10"/>
      <c r="E44" s="10"/>
      <c r="F44" s="10"/>
    </row>
    <row r="45" customFormat="false" ht="24" hidden="false" customHeight="true" outlineLevel="0" collapsed="false">
      <c r="B45" s="48" t="str">
        <f aca="false">Cab_Mentions</f>
        <v>ALTHO EXPERTISE · SAS au capital de 10 000 € · RCS Pontoise 919 706 325 · TVA FR62919706325 · Société d'expertise comptable inscrite au Tableau de l'Ordre des experts-comptables de Paris Île-de-France</v>
      </c>
      <c r="C45" s="48"/>
      <c r="D45" s="48"/>
      <c r="E45" s="48"/>
      <c r="F45" s="48"/>
    </row>
  </sheetData>
  <mergeCells count="24">
    <mergeCell ref="B2:C2"/>
    <mergeCell ref="E2:F2"/>
    <mergeCell ref="B3:C3"/>
    <mergeCell ref="B4:C4"/>
    <mergeCell ref="B5:C5"/>
    <mergeCell ref="I6:L10"/>
    <mergeCell ref="D10:F10"/>
    <mergeCell ref="D11:F11"/>
    <mergeCell ref="D12:F12"/>
    <mergeCell ref="D13:F13"/>
    <mergeCell ref="D14:F14"/>
    <mergeCell ref="D16:F16"/>
    <mergeCell ref="B18:F18"/>
    <mergeCell ref="B22:F22"/>
    <mergeCell ref="B23:F23"/>
    <mergeCell ref="B24:F24"/>
    <mergeCell ref="B25:F25"/>
    <mergeCell ref="B33:F33"/>
    <mergeCell ref="B35:F35"/>
    <mergeCell ref="B36:F36"/>
    <mergeCell ref="B37:F37"/>
    <mergeCell ref="D39:F39"/>
    <mergeCell ref="D40:F40"/>
    <mergeCell ref="B45:F45"/>
  </mergeCells>
  <conditionalFormatting sqref="B28:F31">
    <cfRule type="expression" priority="2" aboveAverage="0" equalAverage="0" bottom="0" percent="0" rank="0" text="" dxfId="7">
      <formula>$B28&lt;&gt;""</formula>
    </cfRule>
  </conditionalFormatting>
  <dataValidations count="1">
    <dataValidation allowBlank="false" errorStyle="stop" operator="between" showDropDown="false" showErrorMessage="false" showInputMessage="false" sqref="I3" type="list">
      <formula1>Codes_Clients</formula1>
      <formula2>0</formula2>
    </dataValidation>
  </dataValidations>
  <printOptions headings="false" gridLines="false" gridLinesSet="true" horizontalCentered="true" verticalCentered="false"/>
  <pageMargins left="0.6" right="0.6"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O13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44"/>
    <col collapsed="false" customWidth="true" hidden="false" outlineLevel="0" max="3" min="3" style="0" width="14"/>
    <col collapsed="false" customWidth="true" hidden="false" outlineLevel="0" max="4" min="4" style="0" width="9"/>
    <col collapsed="false" customWidth="true" hidden="false" outlineLevel="0" max="5" min="5" style="0" width="14"/>
    <col collapsed="false" customWidth="true" hidden="false" outlineLevel="0" max="6" min="6" style="0" width="13"/>
    <col collapsed="false" customWidth="true" hidden="false" outlineLevel="0" max="8" min="7" style="0" width="3"/>
    <col collapsed="false" customWidth="true" hidden="false" outlineLevel="0" max="9" min="9" style="0" width="22"/>
    <col collapsed="false" customWidth="true" hidden="false" outlineLevel="0" max="10" min="10" style="0" width="16"/>
    <col collapsed="false" customWidth="true" hidden="false" outlineLevel="0" max="12" min="11" style="0" width="12"/>
    <col collapsed="false" customWidth="true" hidden="false" outlineLevel="0" max="15" min="13" style="0" width="6"/>
  </cols>
  <sheetData>
    <row r="1" customFormat="false" ht="15" hidden="false" customHeight="false" outlineLevel="0" collapsed="false">
      <c r="B1" s="10"/>
      <c r="C1" s="10"/>
      <c r="D1" s="10"/>
      <c r="E1" s="10"/>
      <c r="F1" s="10"/>
      <c r="J1" s="25" t="s">
        <v>142</v>
      </c>
      <c r="K1" s="25" t="n">
        <f aca="false">IFERROR(MATCH(1,Clients!$Z$2:$Z$501,0),0)</f>
        <v>1</v>
      </c>
      <c r="L1" s="25"/>
      <c r="M1" s="25"/>
      <c r="N1" s="25"/>
      <c r="O1" s="25"/>
    </row>
    <row r="2" customFormat="false" ht="21.75" hidden="false" customHeight="true" outlineLevel="0" collapsed="false">
      <c r="B2" s="26" t="str">
        <f aca="false">Cab_Nom</f>
        <v>ALTHO EXPERTISE</v>
      </c>
      <c r="C2" s="26"/>
      <c r="D2" s="10"/>
      <c r="E2" s="27" t="str">
        <f aca="false">IF($K$1=0,"","Réf. client : "&amp;INDEX(Clients!$A$2:$A$501,$K$1))</f>
        <v>Réf. client : C001</v>
      </c>
      <c r="F2" s="27"/>
      <c r="I2" s="28" t="s">
        <v>159</v>
      </c>
      <c r="J2" s="25" t="s">
        <v>144</v>
      </c>
      <c r="K2" s="25" t="str">
        <f aca="false">IF(IF($K$1=0,"",INDEX(Clients!$B$2:$B$501,$K$1)&amp;"")="Mme","Madame",IF(IF($K$1=0,"",INDEX(Clients!$B$2:$B$501,$K$1)&amp;"")="M.","Monsieur","Madame, Monsieur"))</f>
        <v>Monsieur</v>
      </c>
      <c r="L2" s="25"/>
      <c r="M2" s="25"/>
      <c r="N2" s="25"/>
      <c r="O2" s="25"/>
    </row>
    <row r="3" customFormat="false" ht="17.35" hidden="false" customHeight="false" outlineLevel="0" collapsed="false">
      <c r="B3" s="29" t="str">
        <f aca="false">Cab_Adr1</f>
        <v>141 rue Charles de Gaulle</v>
      </c>
      <c r="C3" s="29"/>
      <c r="D3" s="10"/>
      <c r="E3" s="10"/>
      <c r="F3" s="10"/>
      <c r="I3" s="49" t="n">
        <f aca="false">Nb_Courriers</f>
        <v>2</v>
      </c>
      <c r="J3" s="25" t="s">
        <v>145</v>
      </c>
      <c r="K3" s="25" t="str">
        <f aca="false">DAY(Date_Effet)&amp;IF(DAY(Date_Effet)=1,"er","")&amp;" "&amp;INDEX(Liste_Mois,MONTH(Date_Effet))&amp;" "&amp;YEAR(Date_Effet)</f>
        <v>1er janvier 2027</v>
      </c>
      <c r="L3" s="25"/>
      <c r="M3" s="25"/>
      <c r="N3" s="25"/>
      <c r="O3" s="25"/>
    </row>
    <row r="4" customFormat="false" ht="15" hidden="false" customHeight="false" outlineLevel="0" collapsed="false">
      <c r="B4" s="29" t="str">
        <f aca="false">Cab_CPVille</f>
        <v>95130 LE PLESSIS-BOUCHARD</v>
      </c>
      <c r="C4" s="29"/>
      <c r="D4" s="10"/>
      <c r="E4" s="10"/>
      <c r="F4" s="10"/>
      <c r="J4" s="25" t="s">
        <v>146</v>
      </c>
      <c r="K4" s="25" t="str">
        <f aca="false">IF(SUM($K$28:$K$31)=0,"",FIXED((SUM($L$28:$L$31)/SUM($K$28:$K$31)-1)*100,1)&amp;" %")</f>
        <v>3.5 %</v>
      </c>
      <c r="L4" s="25"/>
      <c r="M4" s="25"/>
      <c r="N4" s="25"/>
      <c r="O4" s="25"/>
    </row>
    <row r="5" customFormat="false" ht="15" hidden="false" customHeight="true" outlineLevel="0" collapsed="false">
      <c r="B5" s="29" t="str">
        <f aca="false">Cab_Contact</f>
        <v>Tél. 01 34 14 53 45  ·  altho@altho-experts.com  ·  altho-experts.com</v>
      </c>
      <c r="C5" s="29"/>
      <c r="D5" s="10"/>
      <c r="E5" s="10"/>
      <c r="F5" s="10"/>
      <c r="I5" s="33" t="s">
        <v>160</v>
      </c>
      <c r="J5" s="33"/>
      <c r="K5" s="33"/>
      <c r="L5" s="33"/>
      <c r="M5" s="25"/>
      <c r="N5" s="25"/>
      <c r="O5" s="25"/>
    </row>
    <row r="6" customFormat="false" ht="6" hidden="false" customHeight="true" outlineLevel="0" collapsed="false">
      <c r="B6" s="32"/>
      <c r="C6" s="32"/>
      <c r="D6" s="32"/>
      <c r="E6" s="32"/>
      <c r="F6" s="32"/>
      <c r="I6" s="33"/>
      <c r="J6" s="33"/>
      <c r="K6" s="33"/>
      <c r="L6" s="33"/>
      <c r="M6" s="25"/>
      <c r="N6" s="25"/>
      <c r="O6" s="25"/>
    </row>
    <row r="7" customFormat="false" ht="13.5" hidden="false" customHeight="true" outlineLevel="0" collapsed="false">
      <c r="B7" s="10"/>
      <c r="C7" s="10"/>
      <c r="D7" s="10"/>
      <c r="E7" s="10"/>
      <c r="F7" s="10"/>
      <c r="I7" s="33"/>
      <c r="J7" s="33"/>
      <c r="K7" s="33"/>
      <c r="L7" s="33"/>
      <c r="M7" s="25"/>
      <c r="N7" s="25"/>
      <c r="O7" s="25"/>
    </row>
    <row r="8" customFormat="false" ht="13.5" hidden="false" customHeight="true" outlineLevel="0" collapsed="false">
      <c r="B8" s="10"/>
      <c r="C8" s="10"/>
      <c r="D8" s="10"/>
      <c r="E8" s="10"/>
      <c r="F8" s="10"/>
      <c r="I8" s="33"/>
      <c r="J8" s="33"/>
      <c r="K8" s="33"/>
      <c r="L8" s="33"/>
      <c r="M8" s="25"/>
      <c r="N8" s="25"/>
      <c r="O8" s="25"/>
    </row>
    <row r="9" customFormat="false" ht="13.5" hidden="false" customHeight="true" outlineLevel="0" collapsed="false">
      <c r="B9" s="10"/>
      <c r="C9" s="10"/>
      <c r="D9" s="10"/>
      <c r="E9" s="10"/>
      <c r="F9" s="10"/>
      <c r="I9" s="33"/>
      <c r="J9" s="33"/>
      <c r="K9" s="33"/>
      <c r="L9" s="33"/>
      <c r="M9" s="25"/>
      <c r="N9" s="25"/>
      <c r="O9" s="25"/>
    </row>
    <row r="10" customFormat="false" ht="15" hidden="false" customHeight="true" outlineLevel="0" collapsed="false">
      <c r="B10" s="10"/>
      <c r="C10" s="10"/>
      <c r="D10" s="34" t="str">
        <f aca="false">IF($K$1=0,"",INDEX(Clients!$E$2:$E$501,$K$1)&amp;"")</f>
        <v>SARL DURAND BÂTIMENT</v>
      </c>
      <c r="E10" s="34"/>
      <c r="F10" s="34"/>
      <c r="I10" s="33"/>
      <c r="J10" s="33"/>
      <c r="K10" s="33"/>
      <c r="L10" s="33"/>
      <c r="M10" s="25"/>
      <c r="N10" s="25"/>
      <c r="O10" s="25"/>
    </row>
    <row r="11" customFormat="false" ht="15" hidden="false" customHeight="true" outlineLevel="0" collapsed="false">
      <c r="B11" s="10"/>
      <c r="C11" s="10"/>
      <c r="D11" s="35" t="str">
        <f aca="false">IF(IF($K$1=0,"",INDEX(Clients!$D$2:$D$501,$K$1)&amp;"")="","","À l'attention de "&amp;TRIM(IF($K$1=0,"",INDEX(Clients!$B$2:$B$501,$K$1)&amp;"")&amp;" "&amp;IF($K$1=0,"",INDEX(Clients!$C$2:$C$501,$K$1)&amp;"")&amp;" "&amp;IF($K$1=0,"",INDEX(Clients!$D$2:$D$501,$K$1)&amp;"")))</f>
        <v>À l'attention de M. Pierre DURAND</v>
      </c>
      <c r="E11" s="35"/>
      <c r="F11" s="35"/>
      <c r="I11" s="33"/>
      <c r="J11" s="33"/>
      <c r="K11" s="33"/>
      <c r="L11" s="33"/>
      <c r="M11" s="25"/>
      <c r="N11" s="25"/>
      <c r="O11" s="25"/>
    </row>
    <row r="12" customFormat="false" ht="15" hidden="false" customHeight="true" outlineLevel="0" collapsed="false">
      <c r="B12" s="10"/>
      <c r="C12" s="10"/>
      <c r="D12" s="35" t="str">
        <f aca="false">IF($K$1=0,"",INDEX(Clients!$F$2:$F$501,$K$1)&amp;"")</f>
        <v>5 avenue des Tilleuls</v>
      </c>
      <c r="E12" s="35"/>
      <c r="F12" s="35"/>
      <c r="I12" s="33"/>
      <c r="J12" s="33"/>
      <c r="K12" s="33"/>
      <c r="L12" s="33"/>
      <c r="M12" s="25"/>
      <c r="N12" s="25"/>
      <c r="O12" s="25"/>
    </row>
    <row r="13" customFormat="false" ht="15" hidden="false" customHeight="true" outlineLevel="0" collapsed="false">
      <c r="B13" s="10"/>
      <c r="C13" s="10"/>
      <c r="D13" s="35" t="str">
        <f aca="false">IF(IF($K$1=0,"",INDEX(Clients!$G$2:$G$501,$K$1)&amp;"")="",TRIM(IF($K$1=0,"",INDEX(Clients!$H$2:$H$501,$K$1)&amp;"")&amp;" "&amp;UPPER(IF($K$1=0,"",INDEX(Clients!$I$2:$I$501,$K$1)&amp;""))),IF($K$1=0,"",INDEX(Clients!$G$2:$G$501,$K$1)&amp;""))</f>
        <v>69100 VILLEURBANNE</v>
      </c>
      <c r="E13" s="35"/>
      <c r="F13" s="35"/>
      <c r="J13" s="25"/>
      <c r="K13" s="25"/>
      <c r="L13" s="25"/>
      <c r="M13" s="25"/>
      <c r="N13" s="25"/>
      <c r="O13" s="25"/>
    </row>
    <row r="14" customFormat="false" ht="15" hidden="false" customHeight="true" outlineLevel="0" collapsed="false">
      <c r="B14" s="10"/>
      <c r="C14" s="10"/>
      <c r="D14" s="35" t="str">
        <f aca="false">IF(IF($K$1=0,"",INDEX(Clients!$G$2:$G$501,$K$1)&amp;"")="","",TRIM(IF($K$1=0,"",INDEX(Clients!$H$2:$H$501,$K$1)&amp;"")&amp;" "&amp;UPPER(IF($K$1=0,"",INDEX(Clients!$I$2:$I$501,$K$1)&amp;""))))</f>
        <v/>
      </c>
      <c r="E14" s="35"/>
      <c r="F14" s="35"/>
      <c r="J14" s="25"/>
      <c r="K14" s="25"/>
      <c r="L14" s="25"/>
      <c r="M14" s="25"/>
      <c r="N14" s="25"/>
      <c r="O14" s="25"/>
    </row>
    <row r="15" customFormat="false" ht="25.5" hidden="false" customHeight="true" outlineLevel="0" collapsed="false">
      <c r="B15" s="10"/>
      <c r="C15" s="10"/>
      <c r="D15" s="10"/>
      <c r="E15" s="10"/>
      <c r="F15" s="10"/>
      <c r="J15" s="25"/>
      <c r="K15" s="25"/>
      <c r="L15" s="25"/>
      <c r="M15" s="25"/>
      <c r="N15" s="25"/>
      <c r="O15" s="25"/>
    </row>
    <row r="16" customFormat="false" ht="15" hidden="false" customHeight="false" outlineLevel="0" collapsed="false">
      <c r="B16" s="10"/>
      <c r="C16" s="10"/>
      <c r="D16" s="36" t="str">
        <f aca="false">Cab_Ville&amp;", le "&amp;DAY(Date_Courrier)&amp;IF(DAY(Date_Courrier)=1,"er","")&amp;" "&amp;INDEX(Liste_Mois,MONTH(Date_Courrier))&amp;" "&amp;YEAR(Date_Courrier)</f>
        <v>Le Plessis-Bouchard, le 22 septembre 2026</v>
      </c>
      <c r="E16" s="36"/>
      <c r="F16" s="36"/>
      <c r="J16" s="25"/>
      <c r="K16" s="25"/>
      <c r="L16" s="25"/>
      <c r="M16" s="25"/>
      <c r="N16" s="25"/>
      <c r="O16" s="25"/>
    </row>
    <row r="17" customFormat="false" ht="19.5" hidden="false" customHeight="true" outlineLevel="0" collapsed="false">
      <c r="B17" s="10"/>
      <c r="C17" s="10"/>
      <c r="D17" s="10"/>
      <c r="E17" s="10"/>
      <c r="F17" s="10"/>
      <c r="J17" s="25"/>
      <c r="K17" s="25"/>
      <c r="L17" s="25"/>
      <c r="M17" s="25"/>
      <c r="N17" s="25"/>
      <c r="O17" s="25"/>
    </row>
    <row r="18" customFormat="false" ht="15" hidden="false" customHeight="false" outlineLevel="0" collapsed="false">
      <c r="B18" s="34" t="str">
        <f aca="false">SUBSTITUTE(SUBSTITUTE(SUBSTITUTE(SUBSTITUTE(SUBSTITUTE(Txt_Objet,"{cabinet}",Cab_Nom),"{societe}",IF($K$1=0,"",INDEX(Clients!$E$2:$E$501,$K$1)&amp;"")),"{date_effet}",$K$3),"{hausse}",$K$4),"{civilite}",$K$2)</f>
        <v>Objet : révision de nos honoraires au 1er janvier 2027</v>
      </c>
      <c r="C18" s="34"/>
      <c r="D18" s="34"/>
      <c r="E18" s="34"/>
      <c r="F18" s="34"/>
      <c r="J18" s="25"/>
      <c r="K18" s="25"/>
      <c r="L18" s="25"/>
      <c r="M18" s="25"/>
      <c r="N18" s="25"/>
      <c r="O18" s="25"/>
    </row>
    <row r="19" customFormat="false" ht="13.5" hidden="false" customHeight="true" outlineLevel="0" collapsed="false">
      <c r="B19" s="10"/>
      <c r="C19" s="10"/>
      <c r="D19" s="10"/>
      <c r="E19" s="10"/>
      <c r="F19" s="10"/>
      <c r="J19" s="25"/>
      <c r="K19" s="25"/>
      <c r="L19" s="25"/>
      <c r="M19" s="25"/>
      <c r="N19" s="25"/>
      <c r="O19" s="25"/>
    </row>
    <row r="20" customFormat="false" ht="15" hidden="false" customHeight="false" outlineLevel="0" collapsed="false">
      <c r="B20" s="10" t="str">
        <f aca="false">$K$2&amp;","</f>
        <v>Monsieur,</v>
      </c>
      <c r="C20" s="10"/>
      <c r="D20" s="10"/>
      <c r="E20" s="10"/>
      <c r="F20" s="10"/>
      <c r="J20" s="25"/>
      <c r="K20" s="25"/>
      <c r="L20" s="25"/>
      <c r="M20" s="25"/>
      <c r="N20" s="25"/>
      <c r="O20" s="25"/>
    </row>
    <row r="21" customFormat="false" ht="6" hidden="false" customHeight="true" outlineLevel="0" collapsed="false">
      <c r="B21" s="10"/>
      <c r="C21" s="10"/>
      <c r="D21" s="10"/>
      <c r="E21" s="10"/>
      <c r="F21" s="10"/>
      <c r="J21" s="25"/>
      <c r="K21" s="25"/>
      <c r="L21" s="25"/>
      <c r="M21" s="25"/>
      <c r="N21" s="25"/>
      <c r="O21" s="25"/>
    </row>
    <row r="22" customFormat="false" ht="36.75" hidden="false" customHeight="true" outlineLevel="0" collapsed="false">
      <c r="B22" s="37" t="str">
        <f aca="false">SUBSTITUTE(SUBSTITUTE(SUBSTITUTE(SUBSTITUTE(SUBSTITUTE(Txt_P1,"{cabinet}",Cab_Nom),"{societe}",IF($K$1=0,"",INDEX(Clients!$E$2:$E$501,$K$1)&amp;"")),"{date_effet}",$K$3),"{hausse}",$K$4),"{civilite}",$K$2)</f>
        <v>Nous tenons tout d'abord à vous remercier pour la confiance que vous accordez à ALTHO EXPERTISE. Comme chaque année, et conformément aux dispositions de votre lettre de mission, nous procédons à la révision de nos honoraires.</v>
      </c>
      <c r="C22" s="37"/>
      <c r="D22" s="37"/>
      <c r="E22" s="37"/>
      <c r="F22" s="37"/>
      <c r="J22" s="25"/>
      <c r="K22" s="25"/>
      <c r="L22" s="25"/>
      <c r="M22" s="25"/>
      <c r="N22" s="25"/>
      <c r="O22" s="25"/>
    </row>
    <row r="23" customFormat="false" ht="49.5" hidden="false" customHeight="true" outlineLevel="0" collapsed="false">
      <c r="B23" s="37" t="str">
        <f aca="false">SUBSTITUTE(SUBSTITUTE(SUBSTITUTE(SUBSTITUTE(SUBSTITUTE(Txt_P2,"{cabinet}",Cab_Nom),"{societe}",IF($K$1=0,"",INDEX(Clients!$E$2:$E$501,$K$1)&amp;"")),"{date_effet}",$K$3),"{hausse}",$K$4),"{civilite}",$K$2)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3" s="37"/>
      <c r="D23" s="37"/>
      <c r="E23" s="37"/>
      <c r="F23" s="37"/>
      <c r="J23" s="25"/>
      <c r="K23" s="25"/>
      <c r="L23" s="25"/>
      <c r="M23" s="25"/>
      <c r="N23" s="25"/>
      <c r="O23" s="25"/>
    </row>
    <row r="24" customFormat="false" ht="63" hidden="false" customHeight="true" outlineLevel="0" collapsed="false">
      <c r="B24" s="37" t="str">
        <f aca="false">SUBSTITUTE(SUBSTITUTE(SUBSTITUTE(SUBSTITUTE(SUBSTITUTE(Txt_P3,"{cabinet}",Cab_Nom),"{societe}",IF($K$1=0,"",INDEX(Clients!$E$2:$E$501,$K$1)&amp;"")),"{date_effet}",$K$3),"{hausse}",$K$4),"{civilite}",$K$2)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4" s="37"/>
      <c r="D24" s="37"/>
      <c r="E24" s="37"/>
      <c r="F24" s="37"/>
      <c r="J24" s="25"/>
      <c r="K24" s="25"/>
      <c r="L24" s="25"/>
      <c r="M24" s="25"/>
      <c r="N24" s="25"/>
      <c r="O24" s="25"/>
    </row>
    <row r="25" customFormat="false" ht="24" hidden="false" customHeight="true" outlineLevel="0" collapsed="false">
      <c r="B25" s="37" t="str">
        <f aca="false">SUBSTITUTE(SUBSTITUTE(SUBSTITUTE(SUBSTITUTE(SUBSTITUTE(Txt_P4,"{cabinet}",Cab_Nom),"{societe}",IF($K$1=0,"",INDEX(Clients!$E$2:$E$501,$K$1)&amp;"")),"{date_effet}",$K$3),"{hausse}",$K$4),"{civilite}",$K$2)</f>
        <v>À compter du 1er janvier 2027, vos honoraires annuels hors taxes évolueront ainsi (évolution globale : 3.5 %) :</v>
      </c>
      <c r="C25" s="37"/>
      <c r="D25" s="37"/>
      <c r="E25" s="37"/>
      <c r="F25" s="37"/>
      <c r="J25" s="25"/>
      <c r="K25" s="25"/>
      <c r="L25" s="25"/>
      <c r="M25" s="25"/>
      <c r="N25" s="25"/>
      <c r="O25" s="25"/>
    </row>
    <row r="26" customFormat="false" ht="3.75" hidden="false" customHeight="true" outlineLevel="0" collapsed="false">
      <c r="B26" s="10"/>
      <c r="C26" s="10"/>
      <c r="D26" s="10"/>
      <c r="E26" s="10"/>
      <c r="F26" s="10"/>
      <c r="J26" s="25"/>
      <c r="K26" s="25"/>
      <c r="L26" s="25"/>
      <c r="M26" s="25"/>
      <c r="N26" s="25"/>
      <c r="O26" s="25"/>
    </row>
    <row r="27" customFormat="false" ht="18" hidden="false" customHeight="true" outlineLevel="0" collapsed="false">
      <c r="B27" s="38" t="s">
        <v>148</v>
      </c>
      <c r="C27" s="39" t="s">
        <v>149</v>
      </c>
      <c r="D27" s="39" t="s">
        <v>150</v>
      </c>
      <c r="E27" s="39" t="s">
        <v>151</v>
      </c>
      <c r="F27" s="39" t="s">
        <v>109</v>
      </c>
      <c r="J27" s="25" t="s">
        <v>152</v>
      </c>
      <c r="K27" s="25" t="s">
        <v>153</v>
      </c>
      <c r="L27" s="25" t="s">
        <v>154</v>
      </c>
      <c r="M27" s="25" t="s">
        <v>155</v>
      </c>
      <c r="N27" s="25" t="s">
        <v>156</v>
      </c>
      <c r="O27" s="25" t="s">
        <v>157</v>
      </c>
    </row>
    <row r="28" customFormat="false" ht="16.5" hidden="false" customHeight="true" outlineLevel="0" collapsed="false">
      <c r="B28" s="40" t="str">
        <f aca="false">IFERROR(INDEX($J$28:$J$31,MATCH($O28,$N$28:$N$31,0)),"")</f>
        <v>Mission comptable (tenue, révision, bilan, liasse fiscale)</v>
      </c>
      <c r="C28" s="41" t="n">
        <f aca="false">IFERROR(INDEX($K$28:$K$31,MATCH($O28,$N$28:$N$31,0)),"")</f>
        <v>3600</v>
      </c>
      <c r="D28" s="42" t="n">
        <f aca="false">IF(OR(E28="",N(C28)=0),"",E28/C28-1)</f>
        <v>0.0349999999999999</v>
      </c>
      <c r="E28" s="41" t="n">
        <f aca="false">IFERROR(INDEX($L$28:$L$31,MATCH($O28,$N$28:$N$31,0)),"")</f>
        <v>3726</v>
      </c>
      <c r="F28" s="41" t="n">
        <f aca="false">IF(E28="","",E28-C28)</f>
        <v>126</v>
      </c>
      <c r="J28" s="25" t="str">
        <f aca="false">Lib_Compta</f>
        <v>Mission comptable (tenue, révision, bilan, liasse fiscale)</v>
      </c>
      <c r="K28" s="25" t="n">
        <f aca="false">IF($K$1=0,0,N(INDEX(Clients!$K$2:$K$501,$K$1)))</f>
        <v>3600</v>
      </c>
      <c r="L28" s="25" t="n">
        <f aca="false">IF($K$1=0,0,N(INDEX(Clients!$P$2:$P$501,$K$1)))</f>
        <v>3726</v>
      </c>
      <c r="M28" s="25" t="n">
        <f aca="false">IF(OR(K28&lt;&gt;0,L28&lt;&gt;0),1,0)</f>
        <v>1</v>
      </c>
      <c r="N28" s="25" t="n">
        <f aca="false">IF(M28=1,SUM($M$28:M28),"")</f>
        <v>1</v>
      </c>
      <c r="O28" s="25" t="n">
        <v>1</v>
      </c>
    </row>
    <row r="29" customFormat="false" ht="16.5" hidden="false" customHeight="true" outlineLevel="0" collapsed="false">
      <c r="B29" s="40" t="str">
        <f aca="false">IFERROR(INDEX($J$28:$J$31,MATCH($O29,$N$28:$N$31,0)),"")</f>
        <v>Mission sociale (bulletins de paie, DSN, déclarations sociales)</v>
      </c>
      <c r="C29" s="41" t="n">
        <f aca="false">IFERROR(INDEX($K$28:$K$31,MATCH($O29,$N$28:$N$31,0)),"")</f>
        <v>1800</v>
      </c>
      <c r="D29" s="42" t="n">
        <f aca="false">IF(OR(E29="",N(C29)=0),"",E29/C29-1)</f>
        <v>0.04</v>
      </c>
      <c r="E29" s="41" t="n">
        <f aca="false">IFERROR(INDEX($L$28:$L$31,MATCH($O29,$N$28:$N$31,0)),"")</f>
        <v>1872</v>
      </c>
      <c r="F29" s="41" t="n">
        <f aca="false">IF(E29="","",E29-C29)</f>
        <v>72</v>
      </c>
      <c r="J29" s="25" t="str">
        <f aca="false">Lib_Paye</f>
        <v>Mission sociale (bulletins de paie, DSN, déclarations sociales)</v>
      </c>
      <c r="K29" s="25" t="n">
        <f aca="false">IF($K$1=0,0,N(INDEX(Clients!$L$2:$L$501,$K$1)))</f>
        <v>1800</v>
      </c>
      <c r="L29" s="25" t="n">
        <f aca="false">IF($K$1=0,0,N(INDEX(Clients!$Q$2:$Q$501,$K$1)))</f>
        <v>1872</v>
      </c>
      <c r="M29" s="25" t="n">
        <f aca="false">IF(OR(K29&lt;&gt;0,L29&lt;&gt;0),1,0)</f>
        <v>1</v>
      </c>
      <c r="N29" s="25" t="n">
        <f aca="false">IF(M29=1,SUM($M$28:M29),"")</f>
        <v>2</v>
      </c>
      <c r="O29" s="25" t="n">
        <v>2</v>
      </c>
    </row>
    <row r="30" customFormat="false" ht="16.5" hidden="false" customHeight="true" outlineLevel="0" collapsed="false">
      <c r="B30" s="40" t="str">
        <f aca="false">IFERROR(INDEX($J$28:$J$31,MATCH($O30,$N$28:$N$31,0)),"")</f>
        <v>Mission juridique (approbation des comptes, secrétariat juridique)</v>
      </c>
      <c r="C30" s="41" t="n">
        <f aca="false">IFERROR(INDEX($K$28:$K$31,MATCH($O30,$N$28:$N$31,0)),"")</f>
        <v>600</v>
      </c>
      <c r="D30" s="42" t="n">
        <f aca="false">IF(OR(E30="",N(C30)=0),"",E30/C30-1)</f>
        <v>0.03</v>
      </c>
      <c r="E30" s="41" t="n">
        <f aca="false">IFERROR(INDEX($L$28:$L$31,MATCH($O30,$N$28:$N$31,0)),"")</f>
        <v>618</v>
      </c>
      <c r="F30" s="41" t="n">
        <f aca="false">IF(E30="","",E30-C30)</f>
        <v>18</v>
      </c>
      <c r="J30" s="25" t="str">
        <f aca="false">Lib_Jur</f>
        <v>Mission juridique (approbation des comptes, secrétariat juridique)</v>
      </c>
      <c r="K30" s="25" t="n">
        <f aca="false">IF($K$1=0,0,N(INDEX(Clients!$M$2:$M$501,$K$1)))</f>
        <v>600</v>
      </c>
      <c r="L30" s="25" t="n">
        <f aca="false">IF($K$1=0,0,N(INDEX(Clients!$R$2:$R$501,$K$1)))</f>
        <v>618</v>
      </c>
      <c r="M30" s="25" t="n">
        <f aca="false">IF(OR(K30&lt;&gt;0,L30&lt;&gt;0),1,0)</f>
        <v>1</v>
      </c>
      <c r="N30" s="25" t="n">
        <f aca="false">IF(M30=1,SUM($M$28:M30),"")</f>
        <v>3</v>
      </c>
      <c r="O30" s="25" t="n">
        <v>3</v>
      </c>
    </row>
    <row r="31" customFormat="false" ht="16.5" hidden="false" customHeight="true" outlineLevel="0" collapsed="false">
      <c r="B31" s="40" t="str">
        <f aca="false">IFERROR(INDEX($J$28:$J$31,MATCH($O31,$N$28:$N$31,0)),"")</f>
        <v>Plateforme agréée – facturation électronique</v>
      </c>
      <c r="C31" s="41" t="n">
        <f aca="false">IFERROR(INDEX($K$28:$K$31,MATCH($O31,$N$28:$N$31,0)),"")</f>
        <v>240</v>
      </c>
      <c r="D31" s="42" t="n">
        <f aca="false">IF(OR(E31="",N(C31)=0),"",E31/C31-1)</f>
        <v>0</v>
      </c>
      <c r="E31" s="41" t="n">
        <f aca="false">IFERROR(INDEX($L$28:$L$31,MATCH($O31,$N$28:$N$31,0)),"")</f>
        <v>240</v>
      </c>
      <c r="F31" s="41" t="n">
        <f aca="false">IF(E31="","",E31-C31)</f>
        <v>0</v>
      </c>
      <c r="J31" s="25" t="str">
        <f aca="false">Lib_PA</f>
        <v>Plateforme agréée – facturation électronique</v>
      </c>
      <c r="K31" s="25" t="n">
        <f aca="false">IF($K$1=0,0,N(INDEX(Clients!$N$2:$N$501,$K$1)))</f>
        <v>240</v>
      </c>
      <c r="L31" s="25" t="n">
        <f aca="false">IF($K$1=0,0,N(INDEX(Clients!$S$2:$S$501,$K$1)))</f>
        <v>240</v>
      </c>
      <c r="M31" s="25" t="n">
        <f aca="false">IF(OR(K31&lt;&gt;0,L31&lt;&gt;0),1,0)</f>
        <v>1</v>
      </c>
      <c r="N31" s="25" t="n">
        <f aca="false">IF(M31=1,SUM($M$28:M31),"")</f>
        <v>4</v>
      </c>
      <c r="O31" s="25" t="n">
        <v>4</v>
      </c>
    </row>
    <row r="32" customFormat="false" ht="18" hidden="false" customHeight="true" outlineLevel="0" collapsed="false">
      <c r="B32" s="43" t="s">
        <v>158</v>
      </c>
      <c r="C32" s="44" t="n">
        <f aca="false">SUM(K28:K31)</f>
        <v>6240</v>
      </c>
      <c r="D32" s="45" t="n">
        <f aca="false">IF(N(C32)=0,"",E32/C32-1)</f>
        <v>0.0346153846153847</v>
      </c>
      <c r="E32" s="44" t="n">
        <f aca="false">SUM(L28:L31)</f>
        <v>6456</v>
      </c>
      <c r="F32" s="44" t="n">
        <f aca="false">E32-C32</f>
        <v>216</v>
      </c>
    </row>
    <row r="33" customFormat="false" ht="15" hidden="false" customHeight="false" outlineLevel="0" collapsed="false">
      <c r="B33" s="46" t="str">
        <f aca="false">IF(N(Nb_Mensualites)=0,"","Soit "&amp;FIXED(E32/Nb_Mensualites,2)&amp;" € HT par échéance ("&amp;Nb_Mensualites&amp;" échéances), "&amp;FIXED(E32/Nb_Mensualites*(1+Taux_TVA),2)&amp;" € TTC.")</f>
        <v>Soit 538.00 € HT par échéance (12 échéances), 645.60 € TTC.</v>
      </c>
      <c r="C33" s="46"/>
      <c r="D33" s="46"/>
      <c r="E33" s="46"/>
      <c r="F33" s="46"/>
    </row>
    <row r="34" customFormat="false" ht="7.5" hidden="false" customHeight="true" outlineLevel="0" collapsed="false">
      <c r="B34" s="10"/>
      <c r="C34" s="10"/>
      <c r="D34" s="10"/>
      <c r="E34" s="10"/>
      <c r="F34" s="10"/>
    </row>
    <row r="35" customFormat="false" ht="36.75" hidden="false" customHeight="true" outlineLevel="0" collapsed="false">
      <c r="B35" s="37" t="str">
        <f aca="false">SUBSTITUTE(SUBSTITUTE(SUBSTITUTE(SUBSTITUTE(SUBSTITUTE(Txt_P5,"{cabinet}",Cab_Nom),"{societe}",IF($K$1=0,"",INDEX(Clients!$E$2:$E$501,$K$1)&amp;"")),"{date_effet}",$K$3),"{hausse}",$K$4),"{civilite}",$K$2)</f>
        <v>Les autres conditions de votre lettre de mission demeurent inchangées. Les nouveaux montants seront appliqués automatiquement sur vos prochaines factures et échéances de prélèvement.</v>
      </c>
      <c r="C35" s="37"/>
      <c r="D35" s="37"/>
      <c r="E35" s="37"/>
      <c r="F35" s="37"/>
    </row>
    <row r="36" customFormat="false" ht="36.75" hidden="false" customHeight="true" outlineLevel="0" collapsed="false">
      <c r="B36" s="37" t="str">
        <f aca="false">SUBSTITUTE(SUBSTITUTE(SUBSTITUTE(SUBSTITUTE(SUBSTITUTE(Txt_P6,"{cabinet}",Cab_Nom),"{societe}",IF($K$1=0,"",INDEX(Clients!$E$2:$E$501,$K$1)&amp;"")),"{date_effet}",$K$3),"{hausse}",$K$4),"{civilite}",$K$2)</f>
        <v>Votre interlocuteur habituel reste à votre entière disposition pour répondre à vos questions et faire le point sur l'évolution de vos besoins.</v>
      </c>
      <c r="C36" s="37"/>
      <c r="D36" s="37"/>
      <c r="E36" s="37"/>
      <c r="F36" s="37"/>
    </row>
    <row r="37" customFormat="false" ht="24" hidden="false" customHeight="true" outlineLevel="0" collapsed="false">
      <c r="B37" s="37" t="str">
        <f aca="false">SUBSTITUTE(SUBSTITUTE(SUBSTITUTE(SUBSTITUTE(SUBSTITUTE(Txt_Politesse,"{cabinet}",Cab_Nom),"{societe}",IF($K$1=0,"",INDEX(Clients!$E$2:$E$501,$K$1)&amp;"")),"{date_effet}",$K$3),"{hausse}",$K$4),"{civilite}",$K$2)</f>
        <v>Nous vous prions d'agréer, Monsieur, l'expression de nos salutations distinguées.</v>
      </c>
      <c r="C37" s="37"/>
      <c r="D37" s="37"/>
      <c r="E37" s="37"/>
      <c r="F37" s="37"/>
    </row>
    <row r="38" customFormat="false" ht="15" hidden="false" customHeight="false" outlineLevel="0" collapsed="false">
      <c r="B38" s="10"/>
      <c r="C38" s="10"/>
      <c r="D38" s="10"/>
      <c r="E38" s="10"/>
      <c r="F38" s="10"/>
    </row>
    <row r="39" customFormat="false" ht="15" hidden="false" customHeight="false" outlineLevel="0" collapsed="false">
      <c r="B39" s="10"/>
      <c r="C39" s="10"/>
      <c r="D39" s="34" t="str">
        <f aca="false">Signataire</f>
        <v>Prénom NOM</v>
      </c>
      <c r="E39" s="34"/>
      <c r="F39" s="34"/>
    </row>
    <row r="40" customFormat="false" ht="15" hidden="false" customHeight="false" outlineLevel="0" collapsed="false">
      <c r="B40" s="10"/>
      <c r="C40" s="10"/>
      <c r="D40" s="47" t="str">
        <f aca="false">Signataire_Titre</f>
        <v>Expert-comptable associé</v>
      </c>
      <c r="E40" s="47"/>
      <c r="F40" s="47"/>
    </row>
    <row r="41" customFormat="false" ht="15.75" hidden="false" customHeight="true" outlineLevel="0" collapsed="false">
      <c r="B41" s="10"/>
      <c r="C41" s="10"/>
      <c r="D41" s="10"/>
      <c r="E41" s="10"/>
      <c r="F41" s="10"/>
    </row>
    <row r="42" customFormat="false" ht="15.75" hidden="false" customHeight="true" outlineLevel="0" collapsed="false">
      <c r="B42" s="10"/>
      <c r="C42" s="10"/>
      <c r="D42" s="10"/>
      <c r="E42" s="10"/>
      <c r="F42" s="10"/>
    </row>
    <row r="43" customFormat="false" ht="15.75" hidden="false" customHeight="true" outlineLevel="0" collapsed="false">
      <c r="B43" s="10"/>
      <c r="C43" s="10"/>
      <c r="D43" s="10"/>
      <c r="E43" s="10"/>
      <c r="F43" s="10"/>
    </row>
    <row r="44" customFormat="false" ht="15.75" hidden="false" customHeight="true" outlineLevel="0" collapsed="false">
      <c r="B44" s="10"/>
      <c r="C44" s="10"/>
      <c r="D44" s="10"/>
      <c r="E44" s="10"/>
      <c r="F44" s="10"/>
    </row>
    <row r="45" customFormat="false" ht="24" hidden="false" customHeight="true" outlineLevel="0" collapsed="false">
      <c r="B45" s="48" t="str">
        <f aca="false">Cab_Mentions</f>
        <v>ALTHO EXPERTISE · SAS au capital de 10 000 € · RCS Pontoise 919 706 325 · TVA FR62919706325 · Société d'expertise comptable inscrite au Tableau de l'Ordre des experts-comptables de Paris Île-de-France</v>
      </c>
      <c r="C45" s="48"/>
      <c r="D45" s="48"/>
      <c r="E45" s="48"/>
      <c r="F45" s="48"/>
    </row>
    <row r="46" customFormat="false" ht="15" hidden="false" customHeight="false" outlineLevel="0" collapsed="false">
      <c r="B46" s="10"/>
      <c r="C46" s="10"/>
      <c r="D46" s="10"/>
      <c r="E46" s="10"/>
      <c r="F46" s="10"/>
      <c r="J46" s="25" t="s">
        <v>142</v>
      </c>
      <c r="K46" s="25" t="n">
        <f aca="false">IFERROR(MATCH(2,Clients!$Z$2:$Z$501,0),0)</f>
        <v>3</v>
      </c>
      <c r="L46" s="25"/>
      <c r="M46" s="25"/>
      <c r="N46" s="25"/>
      <c r="O46" s="25"/>
    </row>
    <row r="47" customFormat="false" ht="21.75" hidden="false" customHeight="true" outlineLevel="0" collapsed="false">
      <c r="B47" s="26" t="str">
        <f aca="false">Cab_Nom</f>
        <v>ALTHO EXPERTISE</v>
      </c>
      <c r="C47" s="26"/>
      <c r="D47" s="10"/>
      <c r="E47" s="27" t="str">
        <f aca="false">IF($K$46=0,"","Réf. client : "&amp;INDEX(Clients!$A$2:$A$501,$K$46))</f>
        <v>Réf. client : C003</v>
      </c>
      <c r="F47" s="27"/>
      <c r="J47" s="25" t="s">
        <v>144</v>
      </c>
      <c r="K47" s="25" t="str">
        <f aca="false">IF(IF($K$46=0,"",INDEX(Clients!$B$2:$B$501,$K$46)&amp;"")="Mme","Madame",IF(IF($K$46=0,"",INDEX(Clients!$B$2:$B$501,$K$46)&amp;"")="M.","Monsieur","Madame, Monsieur"))</f>
        <v>Madame, Monsieur</v>
      </c>
      <c r="L47" s="25"/>
      <c r="M47" s="25"/>
      <c r="N47" s="25"/>
      <c r="O47" s="25"/>
    </row>
    <row r="48" customFormat="false" ht="15" hidden="false" customHeight="false" outlineLevel="0" collapsed="false">
      <c r="B48" s="29" t="str">
        <f aca="false">Cab_Adr1</f>
        <v>141 rue Charles de Gaulle</v>
      </c>
      <c r="C48" s="29"/>
      <c r="D48" s="10"/>
      <c r="E48" s="10"/>
      <c r="F48" s="10"/>
      <c r="J48" s="25" t="s">
        <v>145</v>
      </c>
      <c r="K48" s="25" t="str">
        <f aca="false">DAY(Date_Effet)&amp;IF(DAY(Date_Effet)=1,"er","")&amp;" "&amp;INDEX(Liste_Mois,MONTH(Date_Effet))&amp;" "&amp;YEAR(Date_Effet)</f>
        <v>1er janvier 2027</v>
      </c>
      <c r="L48" s="25"/>
      <c r="M48" s="25"/>
      <c r="N48" s="25"/>
      <c r="O48" s="25"/>
    </row>
    <row r="49" customFormat="false" ht="15" hidden="false" customHeight="false" outlineLevel="0" collapsed="false">
      <c r="B49" s="29" t="str">
        <f aca="false">Cab_CPVille</f>
        <v>95130 LE PLESSIS-BOUCHARD</v>
      </c>
      <c r="C49" s="29"/>
      <c r="D49" s="10"/>
      <c r="E49" s="10"/>
      <c r="F49" s="10"/>
      <c r="J49" s="25" t="s">
        <v>146</v>
      </c>
      <c r="K49" s="25" t="str">
        <f aca="false">IF(SUM($K$73:$K$76)=0,"",FIXED((SUM($L$73:$L$76)/SUM($K$73:$K$76)-1)*100,1)&amp;" %")</f>
        <v>3.5 %</v>
      </c>
      <c r="L49" s="25"/>
      <c r="M49" s="25"/>
      <c r="N49" s="25"/>
      <c r="O49" s="25"/>
    </row>
    <row r="50" customFormat="false" ht="15" hidden="false" customHeight="false" outlineLevel="0" collapsed="false">
      <c r="B50" s="29" t="str">
        <f aca="false">Cab_Contact</f>
        <v>Tél. 01 34 14 53 45  ·  altho@altho-experts.com  ·  altho-experts.com</v>
      </c>
      <c r="C50" s="29"/>
      <c r="D50" s="10"/>
      <c r="E50" s="10"/>
      <c r="F50" s="10"/>
      <c r="J50" s="25"/>
      <c r="K50" s="25"/>
      <c r="L50" s="25"/>
      <c r="M50" s="25"/>
      <c r="N50" s="25"/>
      <c r="O50" s="25"/>
    </row>
    <row r="51" customFormat="false" ht="6" hidden="false" customHeight="true" outlineLevel="0" collapsed="false">
      <c r="B51" s="32"/>
      <c r="C51" s="32"/>
      <c r="D51" s="32"/>
      <c r="E51" s="32"/>
      <c r="F51" s="32"/>
      <c r="J51" s="25"/>
      <c r="K51" s="25"/>
      <c r="L51" s="25"/>
      <c r="M51" s="25"/>
      <c r="N51" s="25"/>
      <c r="O51" s="25"/>
    </row>
    <row r="52" customFormat="false" ht="13.5" hidden="false" customHeight="true" outlineLevel="0" collapsed="false">
      <c r="B52" s="10"/>
      <c r="C52" s="10"/>
      <c r="D52" s="10"/>
      <c r="E52" s="10"/>
      <c r="F52" s="10"/>
      <c r="J52" s="25"/>
      <c r="K52" s="25"/>
      <c r="L52" s="25"/>
      <c r="M52" s="25"/>
      <c r="N52" s="25"/>
      <c r="O52" s="25"/>
    </row>
    <row r="53" customFormat="false" ht="13.5" hidden="false" customHeight="true" outlineLevel="0" collapsed="false">
      <c r="B53" s="10"/>
      <c r="C53" s="10"/>
      <c r="D53" s="10"/>
      <c r="E53" s="10"/>
      <c r="F53" s="10"/>
      <c r="J53" s="25"/>
      <c r="K53" s="25"/>
      <c r="L53" s="25"/>
      <c r="M53" s="25"/>
      <c r="N53" s="25"/>
      <c r="O53" s="25"/>
    </row>
    <row r="54" customFormat="false" ht="13.5" hidden="false" customHeight="true" outlineLevel="0" collapsed="false">
      <c r="B54" s="10"/>
      <c r="C54" s="10"/>
      <c r="D54" s="10"/>
      <c r="E54" s="10"/>
      <c r="F54" s="10"/>
      <c r="J54" s="25"/>
      <c r="K54" s="25"/>
      <c r="L54" s="25"/>
      <c r="M54" s="25"/>
      <c r="N54" s="25"/>
      <c r="O54" s="25"/>
    </row>
    <row r="55" customFormat="false" ht="15" hidden="false" customHeight="true" outlineLevel="0" collapsed="false">
      <c r="B55" s="10"/>
      <c r="C55" s="10"/>
      <c r="D55" s="34" t="str">
        <f aca="false">IF($K$46=0,"",INDEX(Clients!$E$2:$E$501,$K$46)&amp;"")</f>
        <v>EURL LES JARDINS DE CLAIRE</v>
      </c>
      <c r="E55" s="34"/>
      <c r="F55" s="34"/>
      <c r="J55" s="25"/>
      <c r="K55" s="25"/>
      <c r="L55" s="25"/>
      <c r="M55" s="25"/>
      <c r="N55" s="25"/>
      <c r="O55" s="25"/>
    </row>
    <row r="56" customFormat="false" ht="15" hidden="false" customHeight="true" outlineLevel="0" collapsed="false">
      <c r="B56" s="10"/>
      <c r="C56" s="10"/>
      <c r="D56" s="35" t="str">
        <f aca="false">IF(IF($K$46=0,"",INDEX(Clients!$D$2:$D$501,$K$46)&amp;"")="","","À l'attention de "&amp;TRIM(IF($K$46=0,"",INDEX(Clients!$B$2:$B$501,$K$46)&amp;"")&amp;" "&amp;IF($K$46=0,"",INDEX(Clients!$C$2:$C$501,$K$46)&amp;"")&amp;" "&amp;IF($K$46=0,"",INDEX(Clients!$D$2:$D$501,$K$46)&amp;"")))</f>
        <v/>
      </c>
      <c r="E56" s="35"/>
      <c r="F56" s="35"/>
      <c r="J56" s="25"/>
      <c r="K56" s="25"/>
      <c r="L56" s="25"/>
      <c r="M56" s="25"/>
      <c r="N56" s="25"/>
      <c r="O56" s="25"/>
    </row>
    <row r="57" customFormat="false" ht="15" hidden="false" customHeight="true" outlineLevel="0" collapsed="false">
      <c r="B57" s="10"/>
      <c r="C57" s="10"/>
      <c r="D57" s="35" t="str">
        <f aca="false">IF($K$46=0,"",INDEX(Clients!$F$2:$F$501,$K$46)&amp;"")</f>
        <v>18 chemin des Vignes</v>
      </c>
      <c r="E57" s="35"/>
      <c r="F57" s="35"/>
      <c r="J57" s="25"/>
      <c r="K57" s="25"/>
      <c r="L57" s="25"/>
      <c r="M57" s="25"/>
      <c r="N57" s="25"/>
      <c r="O57" s="25"/>
    </row>
    <row r="58" customFormat="false" ht="15" hidden="false" customHeight="true" outlineLevel="0" collapsed="false">
      <c r="B58" s="10"/>
      <c r="C58" s="10"/>
      <c r="D58" s="35" t="str">
        <f aca="false">IF(IF($K$46=0,"",INDEX(Clients!$G$2:$G$501,$K$46)&amp;"")="",TRIM(IF($K$46=0,"",INDEX(Clients!$H$2:$H$501,$K$46)&amp;"")&amp;" "&amp;UPPER(IF($K$46=0,"",INDEX(Clients!$I$2:$I$501,$K$46)&amp;""))),IF($K$46=0,"",INDEX(Clients!$G$2:$G$501,$K$46)&amp;""))</f>
        <v>69400 VILLEFRANCHE-SUR-SAÔNE</v>
      </c>
      <c r="E58" s="35"/>
      <c r="F58" s="35"/>
      <c r="J58" s="25"/>
      <c r="K58" s="25"/>
      <c r="L58" s="25"/>
      <c r="M58" s="25"/>
      <c r="N58" s="25"/>
      <c r="O58" s="25"/>
    </row>
    <row r="59" customFormat="false" ht="15" hidden="false" customHeight="true" outlineLevel="0" collapsed="false">
      <c r="B59" s="10"/>
      <c r="C59" s="10"/>
      <c r="D59" s="35" t="str">
        <f aca="false">IF(IF($K$46=0,"",INDEX(Clients!$G$2:$G$501,$K$46)&amp;"")="","",TRIM(IF($K$46=0,"",INDEX(Clients!$H$2:$H$501,$K$46)&amp;"")&amp;" "&amp;UPPER(IF($K$46=0,"",INDEX(Clients!$I$2:$I$501,$K$46)&amp;""))))</f>
        <v/>
      </c>
      <c r="E59" s="35"/>
      <c r="F59" s="35"/>
      <c r="J59" s="25"/>
      <c r="K59" s="25"/>
      <c r="L59" s="25"/>
      <c r="M59" s="25"/>
      <c r="N59" s="25"/>
      <c r="O59" s="25"/>
    </row>
    <row r="60" customFormat="false" ht="25.5" hidden="false" customHeight="true" outlineLevel="0" collapsed="false">
      <c r="B60" s="10"/>
      <c r="C60" s="10"/>
      <c r="D60" s="10"/>
      <c r="E60" s="10"/>
      <c r="F60" s="10"/>
      <c r="J60" s="25"/>
      <c r="K60" s="25"/>
      <c r="L60" s="25"/>
      <c r="M60" s="25"/>
      <c r="N60" s="25"/>
      <c r="O60" s="25"/>
    </row>
    <row r="61" customFormat="false" ht="15" hidden="false" customHeight="false" outlineLevel="0" collapsed="false">
      <c r="B61" s="10"/>
      <c r="C61" s="10"/>
      <c r="D61" s="36" t="str">
        <f aca="false">Cab_Ville&amp;", le "&amp;DAY(Date_Courrier)&amp;IF(DAY(Date_Courrier)=1,"er","")&amp;" "&amp;INDEX(Liste_Mois,MONTH(Date_Courrier))&amp;" "&amp;YEAR(Date_Courrier)</f>
        <v>Le Plessis-Bouchard, le 22 septembre 2026</v>
      </c>
      <c r="E61" s="36"/>
      <c r="F61" s="36"/>
      <c r="J61" s="25"/>
      <c r="K61" s="25"/>
      <c r="L61" s="25"/>
      <c r="M61" s="25"/>
      <c r="N61" s="25"/>
      <c r="O61" s="25"/>
    </row>
    <row r="62" customFormat="false" ht="19.5" hidden="false" customHeight="true" outlineLevel="0" collapsed="false">
      <c r="B62" s="10"/>
      <c r="C62" s="10"/>
      <c r="D62" s="10"/>
      <c r="E62" s="10"/>
      <c r="F62" s="10"/>
      <c r="J62" s="25"/>
      <c r="K62" s="25"/>
      <c r="L62" s="25"/>
      <c r="M62" s="25"/>
      <c r="N62" s="25"/>
      <c r="O62" s="25"/>
    </row>
    <row r="63" customFormat="false" ht="15" hidden="false" customHeight="false" outlineLevel="0" collapsed="false">
      <c r="B63" s="34" t="str">
        <f aca="false">SUBSTITUTE(SUBSTITUTE(SUBSTITUTE(SUBSTITUTE(SUBSTITUTE(Txt_Objet,"{cabinet}",Cab_Nom),"{societe}",IF($K$46=0,"",INDEX(Clients!$E$2:$E$501,$K$46)&amp;"")),"{date_effet}",$K$48),"{hausse}",$K$49),"{civilite}",$K$47)</f>
        <v>Objet : révision de nos honoraires au 1er janvier 2027</v>
      </c>
      <c r="C63" s="34"/>
      <c r="D63" s="34"/>
      <c r="E63" s="34"/>
      <c r="F63" s="34"/>
      <c r="J63" s="25"/>
      <c r="K63" s="25"/>
      <c r="L63" s="25"/>
      <c r="M63" s="25"/>
      <c r="N63" s="25"/>
      <c r="O63" s="25"/>
    </row>
    <row r="64" customFormat="false" ht="13.5" hidden="false" customHeight="true" outlineLevel="0" collapsed="false">
      <c r="B64" s="10"/>
      <c r="C64" s="10"/>
      <c r="D64" s="10"/>
      <c r="E64" s="10"/>
      <c r="F64" s="10"/>
      <c r="J64" s="25"/>
      <c r="K64" s="25"/>
      <c r="L64" s="25"/>
      <c r="M64" s="25"/>
      <c r="N64" s="25"/>
      <c r="O64" s="25"/>
    </row>
    <row r="65" customFormat="false" ht="15" hidden="false" customHeight="false" outlineLevel="0" collapsed="false">
      <c r="B65" s="10" t="str">
        <f aca="false">$K$47&amp;","</f>
        <v>Madame, Monsieur,</v>
      </c>
      <c r="C65" s="10"/>
      <c r="D65" s="10"/>
      <c r="E65" s="10"/>
      <c r="F65" s="10"/>
      <c r="J65" s="25"/>
      <c r="K65" s="25"/>
      <c r="L65" s="25"/>
      <c r="M65" s="25"/>
      <c r="N65" s="25"/>
      <c r="O65" s="25"/>
    </row>
    <row r="66" customFormat="false" ht="6" hidden="false" customHeight="true" outlineLevel="0" collapsed="false">
      <c r="B66" s="10"/>
      <c r="C66" s="10"/>
      <c r="D66" s="10"/>
      <c r="E66" s="10"/>
      <c r="F66" s="10"/>
      <c r="J66" s="25"/>
      <c r="K66" s="25"/>
      <c r="L66" s="25"/>
      <c r="M66" s="25"/>
      <c r="N66" s="25"/>
      <c r="O66" s="25"/>
    </row>
    <row r="67" customFormat="false" ht="36.75" hidden="false" customHeight="true" outlineLevel="0" collapsed="false">
      <c r="B67" s="37" t="str">
        <f aca="false">SUBSTITUTE(SUBSTITUTE(SUBSTITUTE(SUBSTITUTE(SUBSTITUTE(Txt_P1,"{cabinet}",Cab_Nom),"{societe}",IF($K$46=0,"",INDEX(Clients!$E$2:$E$501,$K$46)&amp;"")),"{date_effet}",$K$48),"{hausse}",$K$49),"{civilite}",$K$47)</f>
        <v>Nous tenons tout d'abord à vous remercier pour la confiance que vous accordez à ALTHO EXPERTISE. Comme chaque année, et conformément aux dispositions de votre lettre de mission, nous procédons à la révision de nos honoraires.</v>
      </c>
      <c r="C67" s="37"/>
      <c r="D67" s="37"/>
      <c r="E67" s="37"/>
      <c r="F67" s="37"/>
      <c r="J67" s="25"/>
      <c r="K67" s="25"/>
      <c r="L67" s="25"/>
      <c r="M67" s="25"/>
      <c r="N67" s="25"/>
      <c r="O67" s="25"/>
    </row>
    <row r="68" customFormat="false" ht="49.5" hidden="false" customHeight="true" outlineLevel="0" collapsed="false">
      <c r="B68" s="37" t="str">
        <f aca="false">SUBSTITUTE(SUBSTITUTE(SUBSTITUTE(SUBSTITUTE(SUBSTITUTE(Txt_P2,"{cabinet}",Cab_Nom),"{societe}",IF($K$46=0,"",INDEX(Clients!$E$2:$E$501,$K$46)&amp;"")),"{date_effet}",$K$48),"{hausse}",$K$49),"{civilite}",$K$47)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8" s="37"/>
      <c r="D68" s="37"/>
      <c r="E68" s="37"/>
      <c r="F68" s="37"/>
      <c r="J68" s="25"/>
      <c r="K68" s="25"/>
      <c r="L68" s="25"/>
      <c r="M68" s="25"/>
      <c r="N68" s="25"/>
      <c r="O68" s="25"/>
    </row>
    <row r="69" customFormat="false" ht="63" hidden="false" customHeight="true" outlineLevel="0" collapsed="false">
      <c r="B69" s="37" t="str">
        <f aca="false">SUBSTITUTE(SUBSTITUTE(SUBSTITUTE(SUBSTITUTE(SUBSTITUTE(Txt_P3,"{cabinet}",Cab_Nom),"{societe}",IF($K$46=0,"",INDEX(Clients!$E$2:$E$501,$K$46)&amp;"")),"{date_effet}",$K$48),"{hausse}",$K$49),"{civilite}",$K$47)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9" s="37"/>
      <c r="D69" s="37"/>
      <c r="E69" s="37"/>
      <c r="F69" s="37"/>
      <c r="J69" s="25"/>
      <c r="K69" s="25"/>
      <c r="L69" s="25"/>
      <c r="M69" s="25"/>
      <c r="N69" s="25"/>
      <c r="O69" s="25"/>
    </row>
    <row r="70" customFormat="false" ht="24" hidden="false" customHeight="true" outlineLevel="0" collapsed="false">
      <c r="B70" s="37" t="str">
        <f aca="false">SUBSTITUTE(SUBSTITUTE(SUBSTITUTE(SUBSTITUTE(SUBSTITUTE(Txt_P4,"{cabinet}",Cab_Nom),"{societe}",IF($K$46=0,"",INDEX(Clients!$E$2:$E$501,$K$46)&amp;"")),"{date_effet}",$K$48),"{hausse}",$K$49),"{civilite}",$K$47)</f>
        <v>À compter du 1er janvier 2027, vos honoraires annuels hors taxes évolueront ainsi (évolution globale : 3.5 %) :</v>
      </c>
      <c r="C70" s="37"/>
      <c r="D70" s="37"/>
      <c r="E70" s="37"/>
      <c r="F70" s="37"/>
      <c r="J70" s="25"/>
      <c r="K70" s="25"/>
      <c r="L70" s="25"/>
      <c r="M70" s="25"/>
      <c r="N70" s="25"/>
      <c r="O70" s="25"/>
    </row>
    <row r="71" customFormat="false" ht="3.75" hidden="false" customHeight="true" outlineLevel="0" collapsed="false">
      <c r="B71" s="10"/>
      <c r="C71" s="10"/>
      <c r="D71" s="10"/>
      <c r="E71" s="10"/>
      <c r="F71" s="10"/>
      <c r="J71" s="25"/>
      <c r="K71" s="25"/>
      <c r="L71" s="25"/>
      <c r="M71" s="25"/>
      <c r="N71" s="25"/>
      <c r="O71" s="25"/>
    </row>
    <row r="72" customFormat="false" ht="18" hidden="false" customHeight="true" outlineLevel="0" collapsed="false">
      <c r="B72" s="38" t="s">
        <v>148</v>
      </c>
      <c r="C72" s="39" t="s">
        <v>149</v>
      </c>
      <c r="D72" s="39" t="s">
        <v>150</v>
      </c>
      <c r="E72" s="39" t="s">
        <v>151</v>
      </c>
      <c r="F72" s="39" t="s">
        <v>109</v>
      </c>
      <c r="J72" s="25" t="s">
        <v>152</v>
      </c>
      <c r="K72" s="25" t="s">
        <v>153</v>
      </c>
      <c r="L72" s="25" t="s">
        <v>154</v>
      </c>
      <c r="M72" s="25" t="s">
        <v>155</v>
      </c>
      <c r="N72" s="25" t="s">
        <v>156</v>
      </c>
      <c r="O72" s="25" t="s">
        <v>157</v>
      </c>
    </row>
    <row r="73" customFormat="false" ht="16.5" hidden="false" customHeight="true" outlineLevel="0" collapsed="false">
      <c r="B73" s="40" t="str">
        <f aca="false">IFERROR(INDEX($J$73:$J$76,MATCH($O73,$N$73:$N$76,0)),"")</f>
        <v>Mission comptable (tenue, révision, bilan, liasse fiscale)</v>
      </c>
      <c r="C73" s="41" t="n">
        <f aca="false">IFERROR(INDEX($K$73:$K$76,MATCH($O73,$N$73:$N$76,0)),"")</f>
        <v>2400</v>
      </c>
      <c r="D73" s="42" t="n">
        <f aca="false">IF(OR(E73="",N(C73)=0),"",E73/C73-1)</f>
        <v>0.0349999999999999</v>
      </c>
      <c r="E73" s="41" t="n">
        <f aca="false">IFERROR(INDEX($L$73:$L$76,MATCH($O73,$N$73:$N$76,0)),"")</f>
        <v>2484</v>
      </c>
      <c r="F73" s="41" t="n">
        <f aca="false">IF(E73="","",E73-C73)</f>
        <v>84</v>
      </c>
      <c r="J73" s="25" t="str">
        <f aca="false">Lib_Compta</f>
        <v>Mission comptable (tenue, révision, bilan, liasse fiscale)</v>
      </c>
      <c r="K73" s="25" t="n">
        <f aca="false">IF($K$46=0,0,N(INDEX(Clients!$K$2:$K$501,$K$46)))</f>
        <v>2400</v>
      </c>
      <c r="L73" s="25" t="n">
        <f aca="false">IF($K$46=0,0,N(INDEX(Clients!$P$2:$P$501,$K$46)))</f>
        <v>2484</v>
      </c>
      <c r="M73" s="25" t="n">
        <f aca="false">IF(OR(K73&lt;&gt;0,L73&lt;&gt;0),1,0)</f>
        <v>1</v>
      </c>
      <c r="N73" s="25" t="n">
        <f aca="false">IF(M73=1,SUM($M$73:M73),"")</f>
        <v>1</v>
      </c>
      <c r="O73" s="25" t="n">
        <v>1</v>
      </c>
    </row>
    <row r="74" customFormat="false" ht="16.5" hidden="false" customHeight="true" outlineLevel="0" collapsed="false">
      <c r="B74" s="40" t="str">
        <f aca="false">IFERROR(INDEX($J$73:$J$76,MATCH($O74,$N$73:$N$76,0)),"")</f>
        <v>Mission sociale (bulletins de paie, DSN, déclarations sociales)</v>
      </c>
      <c r="C74" s="41" t="n">
        <f aca="false">IFERROR(INDEX($K$73:$K$76,MATCH($O74,$N$73:$N$76,0)),"")</f>
        <v>1200</v>
      </c>
      <c r="D74" s="42" t="n">
        <f aca="false">IF(OR(E74="",N(C74)=0),"",E74/C74-1)</f>
        <v>0.04</v>
      </c>
      <c r="E74" s="41" t="n">
        <f aca="false">IFERROR(INDEX($L$73:$L$76,MATCH($O74,$N$73:$N$76,0)),"")</f>
        <v>1248</v>
      </c>
      <c r="F74" s="41" t="n">
        <f aca="false">IF(E74="","",E74-C74)</f>
        <v>48</v>
      </c>
      <c r="J74" s="25" t="str">
        <f aca="false">Lib_Paye</f>
        <v>Mission sociale (bulletins de paie, DSN, déclarations sociales)</v>
      </c>
      <c r="K74" s="25" t="n">
        <f aca="false">IF($K$46=0,0,N(INDEX(Clients!$L$2:$L$501,$K$46)))</f>
        <v>1200</v>
      </c>
      <c r="L74" s="25" t="n">
        <f aca="false">IF($K$46=0,0,N(INDEX(Clients!$Q$2:$Q$501,$K$46)))</f>
        <v>1248</v>
      </c>
      <c r="M74" s="25" t="n">
        <f aca="false">IF(OR(K74&lt;&gt;0,L74&lt;&gt;0),1,0)</f>
        <v>1</v>
      </c>
      <c r="N74" s="25" t="n">
        <f aca="false">IF(M74=1,SUM($M$73:M74),"")</f>
        <v>2</v>
      </c>
      <c r="O74" s="25" t="n">
        <v>2</v>
      </c>
    </row>
    <row r="75" customFormat="false" ht="16.5" hidden="false" customHeight="true" outlineLevel="0" collapsed="false">
      <c r="B75" s="40" t="str">
        <f aca="false">IFERROR(INDEX($J$73:$J$76,MATCH($O75,$N$73:$N$76,0)),"")</f>
        <v>Plateforme agréée – facturation électronique</v>
      </c>
      <c r="C75" s="41" t="n">
        <f aca="false">IFERROR(INDEX($K$73:$K$76,MATCH($O75,$N$73:$N$76,0)),"")</f>
        <v>180</v>
      </c>
      <c r="D75" s="42" t="n">
        <f aca="false">IF(OR(E75="",N(C75)=0),"",E75/C75-1)</f>
        <v>0</v>
      </c>
      <c r="E75" s="41" t="n">
        <f aca="false">IFERROR(INDEX($L$73:$L$76,MATCH($O75,$N$73:$N$76,0)),"")</f>
        <v>180</v>
      </c>
      <c r="F75" s="41" t="n">
        <f aca="false">IF(E75="","",E75-C75)</f>
        <v>0</v>
      </c>
      <c r="J75" s="25" t="str">
        <f aca="false">Lib_Jur</f>
        <v>Mission juridique (approbation des comptes, secrétariat juridique)</v>
      </c>
      <c r="K75" s="25" t="n">
        <f aca="false">IF($K$46=0,0,N(INDEX(Clients!$M$2:$M$501,$K$46)))</f>
        <v>0</v>
      </c>
      <c r="L75" s="25" t="n">
        <f aca="false">IF($K$46=0,0,N(INDEX(Clients!$R$2:$R$501,$K$46)))</f>
        <v>0</v>
      </c>
      <c r="M75" s="25" t="n">
        <f aca="false">IF(OR(K75&lt;&gt;0,L75&lt;&gt;0),1,0)</f>
        <v>0</v>
      </c>
      <c r="N75" s="25" t="str">
        <f aca="false">IF(M75=1,SUM($M$73:M75),"")</f>
        <v/>
      </c>
      <c r="O75" s="25" t="n">
        <v>3</v>
      </c>
    </row>
    <row r="76" customFormat="false" ht="16.5" hidden="false" customHeight="true" outlineLevel="0" collapsed="false">
      <c r="B76" s="40" t="str">
        <f aca="false">IFERROR(INDEX($J$73:$J$76,MATCH($O76,$N$73:$N$76,0)),"")</f>
        <v/>
      </c>
      <c r="C76" s="41" t="str">
        <f aca="false">IFERROR(INDEX($K$73:$K$76,MATCH($O76,$N$73:$N$76,0)),"")</f>
        <v/>
      </c>
      <c r="D76" s="42" t="str">
        <f aca="false">IF(OR(E76="",N(C76)=0),"",E76/C76-1)</f>
        <v/>
      </c>
      <c r="E76" s="41" t="str">
        <f aca="false">IFERROR(INDEX($L$73:$L$76,MATCH($O76,$N$73:$N$76,0)),"")</f>
        <v/>
      </c>
      <c r="F76" s="41" t="str">
        <f aca="false">IF(E76="","",E76-C76)</f>
        <v/>
      </c>
      <c r="J76" s="25" t="str">
        <f aca="false">Lib_PA</f>
        <v>Plateforme agréée – facturation électronique</v>
      </c>
      <c r="K76" s="25" t="n">
        <f aca="false">IF($K$46=0,0,N(INDEX(Clients!$N$2:$N$501,$K$46)))</f>
        <v>180</v>
      </c>
      <c r="L76" s="25" t="n">
        <f aca="false">IF($K$46=0,0,N(INDEX(Clients!$S$2:$S$501,$K$46)))</f>
        <v>180</v>
      </c>
      <c r="M76" s="25" t="n">
        <f aca="false">IF(OR(K76&lt;&gt;0,L76&lt;&gt;0),1,0)</f>
        <v>1</v>
      </c>
      <c r="N76" s="25" t="n">
        <f aca="false">IF(M76=1,SUM($M$73:M76),"")</f>
        <v>3</v>
      </c>
      <c r="O76" s="25" t="n">
        <v>4</v>
      </c>
    </row>
    <row r="77" customFormat="false" ht="18" hidden="false" customHeight="true" outlineLevel="0" collapsed="false">
      <c r="B77" s="43" t="s">
        <v>158</v>
      </c>
      <c r="C77" s="44" t="n">
        <f aca="false">SUM(K73:K76)</f>
        <v>3780</v>
      </c>
      <c r="D77" s="45" t="n">
        <f aca="false">IF(N(C77)=0,"",E77/C77-1)</f>
        <v>0.034920634920635</v>
      </c>
      <c r="E77" s="44" t="n">
        <f aca="false">SUM(L73:L76)</f>
        <v>3912</v>
      </c>
      <c r="F77" s="44" t="n">
        <f aca="false">E77-C77</f>
        <v>132</v>
      </c>
    </row>
    <row r="78" customFormat="false" ht="15" hidden="false" customHeight="false" outlineLevel="0" collapsed="false">
      <c r="B78" s="46" t="str">
        <f aca="false">IF(N(Nb_Mensualites)=0,"","Soit "&amp;FIXED(E77/Nb_Mensualites,2)&amp;" € HT par échéance ("&amp;Nb_Mensualites&amp;" échéances), "&amp;FIXED(E77/Nb_Mensualites*(1+Taux_TVA),2)&amp;" € TTC.")</f>
        <v>Soit 326.00 € HT par échéance (12 échéances), 391.20 € TTC.</v>
      </c>
      <c r="C78" s="46"/>
      <c r="D78" s="46"/>
      <c r="E78" s="46"/>
      <c r="F78" s="46"/>
    </row>
    <row r="79" customFormat="false" ht="7.5" hidden="false" customHeight="true" outlineLevel="0" collapsed="false">
      <c r="B79" s="10"/>
      <c r="C79" s="10"/>
      <c r="D79" s="10"/>
      <c r="E79" s="10"/>
      <c r="F79" s="10"/>
    </row>
    <row r="80" customFormat="false" ht="36.75" hidden="false" customHeight="true" outlineLevel="0" collapsed="false">
      <c r="B80" s="37" t="str">
        <f aca="false">SUBSTITUTE(SUBSTITUTE(SUBSTITUTE(SUBSTITUTE(SUBSTITUTE(Txt_P5,"{cabinet}",Cab_Nom),"{societe}",IF($K$46=0,"",INDEX(Clients!$E$2:$E$501,$K$46)&amp;"")),"{date_effet}",$K$48),"{hausse}",$K$49),"{civilite}",$K$47)</f>
        <v>Les autres conditions de votre lettre de mission demeurent inchangées. Les nouveaux montants seront appliqués automatiquement sur vos prochaines factures et échéances de prélèvement.</v>
      </c>
      <c r="C80" s="37"/>
      <c r="D80" s="37"/>
      <c r="E80" s="37"/>
      <c r="F80" s="37"/>
    </row>
    <row r="81" customFormat="false" ht="36.75" hidden="false" customHeight="true" outlineLevel="0" collapsed="false">
      <c r="B81" s="37" t="str">
        <f aca="false">SUBSTITUTE(SUBSTITUTE(SUBSTITUTE(SUBSTITUTE(SUBSTITUTE(Txt_P6,"{cabinet}",Cab_Nom),"{societe}",IF($K$46=0,"",INDEX(Clients!$E$2:$E$501,$K$46)&amp;"")),"{date_effet}",$K$48),"{hausse}",$K$49),"{civilite}",$K$47)</f>
        <v>Votre interlocuteur habituel reste à votre entière disposition pour répondre à vos questions et faire le point sur l'évolution de vos besoins.</v>
      </c>
      <c r="C81" s="37"/>
      <c r="D81" s="37"/>
      <c r="E81" s="37"/>
      <c r="F81" s="37"/>
    </row>
    <row r="82" customFormat="false" ht="24" hidden="false" customHeight="true" outlineLevel="0" collapsed="false">
      <c r="B82" s="37" t="str">
        <f aca="false">SUBSTITUTE(SUBSTITUTE(SUBSTITUTE(SUBSTITUTE(SUBSTITUTE(Txt_Politesse,"{cabinet}",Cab_Nom),"{societe}",IF($K$46=0,"",INDEX(Clients!$E$2:$E$501,$K$46)&amp;"")),"{date_effet}",$K$48),"{hausse}",$K$49),"{civilite}",$K$47)</f>
        <v>Nous vous prions d'agréer, Madame, Monsieur, l'expression de nos salutations distinguées.</v>
      </c>
      <c r="C82" s="37"/>
      <c r="D82" s="37"/>
      <c r="E82" s="37"/>
      <c r="F82" s="37"/>
    </row>
    <row r="83" customFormat="false" ht="15" hidden="false" customHeight="false" outlineLevel="0" collapsed="false">
      <c r="B83" s="10"/>
      <c r="C83" s="10"/>
      <c r="D83" s="10"/>
      <c r="E83" s="10"/>
      <c r="F83" s="10"/>
    </row>
    <row r="84" customFormat="false" ht="15" hidden="false" customHeight="false" outlineLevel="0" collapsed="false">
      <c r="B84" s="10"/>
      <c r="C84" s="10"/>
      <c r="D84" s="34" t="str">
        <f aca="false">Signataire</f>
        <v>Prénom NOM</v>
      </c>
      <c r="E84" s="34"/>
      <c r="F84" s="34"/>
    </row>
    <row r="85" customFormat="false" ht="15" hidden="false" customHeight="false" outlineLevel="0" collapsed="false">
      <c r="B85" s="10"/>
      <c r="C85" s="10"/>
      <c r="D85" s="47" t="str">
        <f aca="false">Signataire_Titre</f>
        <v>Expert-comptable associé</v>
      </c>
      <c r="E85" s="47"/>
      <c r="F85" s="47"/>
    </row>
    <row r="86" customFormat="false" ht="15.75" hidden="false" customHeight="true" outlineLevel="0" collapsed="false">
      <c r="B86" s="10"/>
      <c r="C86" s="10"/>
      <c r="D86" s="10"/>
      <c r="E86" s="10"/>
      <c r="F86" s="10"/>
    </row>
    <row r="87" customFormat="false" ht="15.75" hidden="false" customHeight="true" outlineLevel="0" collapsed="false">
      <c r="B87" s="10"/>
      <c r="C87" s="10"/>
      <c r="D87" s="10"/>
      <c r="E87" s="10"/>
      <c r="F87" s="10"/>
    </row>
    <row r="88" customFormat="false" ht="15.75" hidden="false" customHeight="true" outlineLevel="0" collapsed="false">
      <c r="B88" s="10"/>
      <c r="C88" s="10"/>
      <c r="D88" s="10"/>
      <c r="E88" s="10"/>
      <c r="F88" s="10"/>
    </row>
    <row r="89" customFormat="false" ht="15.75" hidden="false" customHeight="true" outlineLevel="0" collapsed="false">
      <c r="B89" s="10"/>
      <c r="C89" s="10"/>
      <c r="D89" s="10"/>
      <c r="E89" s="10"/>
      <c r="F89" s="10"/>
    </row>
    <row r="90" customFormat="false" ht="24" hidden="false" customHeight="true" outlineLevel="0" collapsed="false">
      <c r="B90" s="48" t="str">
        <f aca="false">Cab_Mentions</f>
        <v>ALTHO EXPERTISE · SAS au capital de 10 000 € · RCS Pontoise 919 706 325 · TVA FR62919706325 · Société d'expertise comptable inscrite au Tableau de l'Ordre des experts-comptables de Paris Île-de-France</v>
      </c>
      <c r="C90" s="48"/>
      <c r="D90" s="48"/>
      <c r="E90" s="48"/>
      <c r="F90" s="48"/>
    </row>
    <row r="91" customFormat="false" ht="15" hidden="false" customHeight="false" outlineLevel="0" collapsed="false">
      <c r="B91" s="10"/>
      <c r="C91" s="10"/>
      <c r="D91" s="10"/>
      <c r="E91" s="10"/>
      <c r="F91" s="10"/>
      <c r="J91" s="25" t="s">
        <v>142</v>
      </c>
      <c r="K91" s="25" t="n">
        <f aca="false">IFERROR(MATCH(3,Clients!$Z$2:$Z$501,0),0)</f>
        <v>0</v>
      </c>
      <c r="L91" s="25"/>
      <c r="M91" s="25"/>
      <c r="N91" s="25"/>
      <c r="O91" s="25"/>
    </row>
    <row r="92" customFormat="false" ht="21.75" hidden="false" customHeight="true" outlineLevel="0" collapsed="false">
      <c r="B92" s="26" t="str">
        <f aca="false">Cab_Nom</f>
        <v>ALTHO EXPERTISE</v>
      </c>
      <c r="C92" s="26"/>
      <c r="D92" s="10"/>
      <c r="E92" s="27" t="str">
        <f aca="false">IF($K$91=0,"","Réf. client : "&amp;INDEX(Clients!$A$2:$A$501,$K$91))</f>
        <v/>
      </c>
      <c r="F92" s="27"/>
      <c r="J92" s="25" t="s">
        <v>144</v>
      </c>
      <c r="K92" s="25" t="str">
        <f aca="false">IF(IF($K$91=0,"",INDEX(Clients!$B$2:$B$501,$K$91)&amp;"")="Mme","Madame",IF(IF($K$91=0,"",INDEX(Clients!$B$2:$B$501,$K$91)&amp;"")="M.","Monsieur","Madame, Monsieur"))</f>
        <v>Madame, Monsieur</v>
      </c>
      <c r="L92" s="25"/>
      <c r="M92" s="25"/>
      <c r="N92" s="25"/>
      <c r="O92" s="25"/>
    </row>
    <row r="93" customFormat="false" ht="15" hidden="false" customHeight="false" outlineLevel="0" collapsed="false">
      <c r="B93" s="29" t="str">
        <f aca="false">Cab_Adr1</f>
        <v>141 rue Charles de Gaulle</v>
      </c>
      <c r="C93" s="29"/>
      <c r="D93" s="10"/>
      <c r="E93" s="10"/>
      <c r="F93" s="10"/>
      <c r="J93" s="25" t="s">
        <v>145</v>
      </c>
      <c r="K93" s="25" t="str">
        <f aca="false">DAY(Date_Effet)&amp;IF(DAY(Date_Effet)=1,"er","")&amp;" "&amp;INDEX(Liste_Mois,MONTH(Date_Effet))&amp;" "&amp;YEAR(Date_Effet)</f>
        <v>1er janvier 2027</v>
      </c>
      <c r="L93" s="25"/>
      <c r="M93" s="25"/>
      <c r="N93" s="25"/>
      <c r="O93" s="25"/>
    </row>
    <row r="94" customFormat="false" ht="15" hidden="false" customHeight="false" outlineLevel="0" collapsed="false">
      <c r="B94" s="29" t="str">
        <f aca="false">Cab_CPVille</f>
        <v>95130 LE PLESSIS-BOUCHARD</v>
      </c>
      <c r="C94" s="29"/>
      <c r="D94" s="10"/>
      <c r="E94" s="10"/>
      <c r="F94" s="10"/>
      <c r="J94" s="25" t="s">
        <v>146</v>
      </c>
      <c r="K94" s="25" t="str">
        <f aca="false">IF(SUM($K$118:$K$121)=0,"",FIXED((SUM($L$118:$L$121)/SUM($K$118:$K$121)-1)*100,1)&amp;" %")</f>
        <v/>
      </c>
      <c r="L94" s="25"/>
      <c r="M94" s="25"/>
      <c r="N94" s="25"/>
      <c r="O94" s="25"/>
    </row>
    <row r="95" customFormat="false" ht="15" hidden="false" customHeight="false" outlineLevel="0" collapsed="false">
      <c r="B95" s="29" t="str">
        <f aca="false">Cab_Contact</f>
        <v>Tél. 01 34 14 53 45  ·  altho@altho-experts.com  ·  altho-experts.com</v>
      </c>
      <c r="C95" s="29"/>
      <c r="D95" s="10"/>
      <c r="E95" s="10"/>
      <c r="F95" s="10"/>
      <c r="J95" s="25"/>
      <c r="K95" s="25"/>
      <c r="L95" s="25"/>
      <c r="M95" s="25"/>
      <c r="N95" s="25"/>
      <c r="O95" s="25"/>
    </row>
    <row r="96" customFormat="false" ht="6" hidden="false" customHeight="true" outlineLevel="0" collapsed="false">
      <c r="B96" s="32"/>
      <c r="C96" s="32"/>
      <c r="D96" s="32"/>
      <c r="E96" s="32"/>
      <c r="F96" s="32"/>
      <c r="J96" s="25"/>
      <c r="K96" s="25"/>
      <c r="L96" s="25"/>
      <c r="M96" s="25"/>
      <c r="N96" s="25"/>
      <c r="O96" s="25"/>
    </row>
    <row r="97" customFormat="false" ht="13.5" hidden="false" customHeight="true" outlineLevel="0" collapsed="false">
      <c r="B97" s="10"/>
      <c r="C97" s="10"/>
      <c r="D97" s="10"/>
      <c r="E97" s="10"/>
      <c r="F97" s="10"/>
      <c r="J97" s="25"/>
      <c r="K97" s="25"/>
      <c r="L97" s="25"/>
      <c r="M97" s="25"/>
      <c r="N97" s="25"/>
      <c r="O97" s="25"/>
    </row>
    <row r="98" customFormat="false" ht="13.5" hidden="false" customHeight="true" outlineLevel="0" collapsed="false">
      <c r="B98" s="10"/>
      <c r="C98" s="10"/>
      <c r="D98" s="10"/>
      <c r="E98" s="10"/>
      <c r="F98" s="10"/>
      <c r="J98" s="25"/>
      <c r="K98" s="25"/>
      <c r="L98" s="25"/>
      <c r="M98" s="25"/>
      <c r="N98" s="25"/>
      <c r="O98" s="25"/>
    </row>
    <row r="99" customFormat="false" ht="13.5" hidden="false" customHeight="true" outlineLevel="0" collapsed="false">
      <c r="B99" s="10"/>
      <c r="C99" s="10"/>
      <c r="D99" s="10"/>
      <c r="E99" s="10"/>
      <c r="F99" s="10"/>
      <c r="J99" s="25"/>
      <c r="K99" s="25"/>
      <c r="L99" s="25"/>
      <c r="M99" s="25"/>
      <c r="N99" s="25"/>
      <c r="O99" s="25"/>
    </row>
    <row r="100" customFormat="false" ht="15" hidden="false" customHeight="true" outlineLevel="0" collapsed="false">
      <c r="B100" s="10"/>
      <c r="C100" s="10"/>
      <c r="D100" s="34" t="str">
        <f aca="false">IF($K$91=0,"",INDEX(Clients!$E$2:$E$501,$K$91)&amp;"")</f>
        <v/>
      </c>
      <c r="E100" s="34"/>
      <c r="F100" s="34"/>
      <c r="J100" s="25"/>
      <c r="K100" s="25"/>
      <c r="L100" s="25"/>
      <c r="M100" s="25"/>
      <c r="N100" s="25"/>
      <c r="O100" s="25"/>
    </row>
    <row r="101" customFormat="false" ht="15" hidden="false" customHeight="true" outlineLevel="0" collapsed="false">
      <c r="B101" s="10"/>
      <c r="C101" s="10"/>
      <c r="D101" s="35" t="str">
        <f aca="false">IF(IF($K$91=0,"",INDEX(Clients!$D$2:$D$501,$K$91)&amp;"")="","","À l'attention de "&amp;TRIM(IF($K$91=0,"",INDEX(Clients!$B$2:$B$501,$K$91)&amp;"")&amp;" "&amp;IF($K$91=0,"",INDEX(Clients!$C$2:$C$501,$K$91)&amp;"")&amp;" "&amp;IF($K$91=0,"",INDEX(Clients!$D$2:$D$501,$K$91)&amp;"")))</f>
        <v/>
      </c>
      <c r="E101" s="35"/>
      <c r="F101" s="35"/>
      <c r="J101" s="25"/>
      <c r="K101" s="25"/>
      <c r="L101" s="25"/>
      <c r="M101" s="25"/>
      <c r="N101" s="25"/>
      <c r="O101" s="25"/>
    </row>
    <row r="102" customFormat="false" ht="15" hidden="false" customHeight="true" outlineLevel="0" collapsed="false">
      <c r="B102" s="10"/>
      <c r="C102" s="10"/>
      <c r="D102" s="35" t="str">
        <f aca="false">IF($K$91=0,"",INDEX(Clients!$F$2:$F$501,$K$91)&amp;"")</f>
        <v/>
      </c>
      <c r="E102" s="35"/>
      <c r="F102" s="35"/>
      <c r="J102" s="25"/>
      <c r="K102" s="25"/>
      <c r="L102" s="25"/>
      <c r="M102" s="25"/>
      <c r="N102" s="25"/>
      <c r="O102" s="25"/>
    </row>
    <row r="103" customFormat="false" ht="15" hidden="false" customHeight="true" outlineLevel="0" collapsed="false">
      <c r="B103" s="10"/>
      <c r="C103" s="10"/>
      <c r="D103" s="35" t="str">
        <f aca="false">IF(IF($K$91=0,"",INDEX(Clients!$G$2:$G$501,$K$91)&amp;"")="",TRIM(IF($K$91=0,"",INDEX(Clients!$H$2:$H$501,$K$91)&amp;"")&amp;" "&amp;UPPER(IF($K$91=0,"",INDEX(Clients!$I$2:$I$501,$K$91)&amp;""))),IF($K$91=0,"",INDEX(Clients!$G$2:$G$501,$K$91)&amp;""))</f>
        <v/>
      </c>
      <c r="E103" s="35"/>
      <c r="F103" s="35"/>
      <c r="J103" s="25"/>
      <c r="K103" s="25"/>
      <c r="L103" s="25"/>
      <c r="M103" s="25"/>
      <c r="N103" s="25"/>
      <c r="O103" s="25"/>
    </row>
    <row r="104" customFormat="false" ht="15" hidden="false" customHeight="true" outlineLevel="0" collapsed="false">
      <c r="B104" s="10"/>
      <c r="C104" s="10"/>
      <c r="D104" s="35" t="str">
        <f aca="false">IF(IF($K$91=0,"",INDEX(Clients!$G$2:$G$501,$K$91)&amp;"")="","",TRIM(IF($K$91=0,"",INDEX(Clients!$H$2:$H$501,$K$91)&amp;"")&amp;" "&amp;UPPER(IF($K$91=0,"",INDEX(Clients!$I$2:$I$501,$K$91)&amp;""))))</f>
        <v/>
      </c>
      <c r="E104" s="35"/>
      <c r="F104" s="35"/>
      <c r="J104" s="25"/>
      <c r="K104" s="25"/>
      <c r="L104" s="25"/>
      <c r="M104" s="25"/>
      <c r="N104" s="25"/>
      <c r="O104" s="25"/>
    </row>
    <row r="105" customFormat="false" ht="25.5" hidden="false" customHeight="true" outlineLevel="0" collapsed="false">
      <c r="B105" s="10"/>
      <c r="C105" s="10"/>
      <c r="D105" s="10"/>
      <c r="E105" s="10"/>
      <c r="F105" s="10"/>
      <c r="J105" s="25"/>
      <c r="K105" s="25"/>
      <c r="L105" s="25"/>
      <c r="M105" s="25"/>
      <c r="N105" s="25"/>
      <c r="O105" s="25"/>
    </row>
    <row r="106" customFormat="false" ht="15" hidden="false" customHeight="false" outlineLevel="0" collapsed="false">
      <c r="B106" s="10"/>
      <c r="C106" s="10"/>
      <c r="D106" s="36" t="str">
        <f aca="false">Cab_Ville&amp;", le "&amp;DAY(Date_Courrier)&amp;IF(DAY(Date_Courrier)=1,"er","")&amp;" "&amp;INDEX(Liste_Mois,MONTH(Date_Courrier))&amp;" "&amp;YEAR(Date_Courrier)</f>
        <v>Le Plessis-Bouchard, le 22 septembre 2026</v>
      </c>
      <c r="E106" s="36"/>
      <c r="F106" s="36"/>
      <c r="J106" s="25"/>
      <c r="K106" s="25"/>
      <c r="L106" s="25"/>
      <c r="M106" s="25"/>
      <c r="N106" s="25"/>
      <c r="O106" s="25"/>
    </row>
    <row r="107" customFormat="false" ht="19.5" hidden="false" customHeight="true" outlineLevel="0" collapsed="false">
      <c r="B107" s="10"/>
      <c r="C107" s="10"/>
      <c r="D107" s="10"/>
      <c r="E107" s="10"/>
      <c r="F107" s="10"/>
      <c r="J107" s="25"/>
      <c r="K107" s="25"/>
      <c r="L107" s="25"/>
      <c r="M107" s="25"/>
      <c r="N107" s="25"/>
      <c r="O107" s="25"/>
    </row>
    <row r="108" customFormat="false" ht="15" hidden="false" customHeight="false" outlineLevel="0" collapsed="false">
      <c r="B108" s="34" t="str">
        <f aca="false">SUBSTITUTE(SUBSTITUTE(SUBSTITUTE(SUBSTITUTE(SUBSTITUTE(Txt_Objet,"{cabinet}",Cab_Nom),"{societe}",IF($K$91=0,"",INDEX(Clients!$E$2:$E$501,$K$91)&amp;"")),"{date_effet}",$K$93),"{hausse}",$K$94),"{civilite}",$K$92)</f>
        <v>Objet : révision de nos honoraires au 1er janvier 2027</v>
      </c>
      <c r="C108" s="34"/>
      <c r="D108" s="34"/>
      <c r="E108" s="34"/>
      <c r="F108" s="34"/>
      <c r="J108" s="25"/>
      <c r="K108" s="25"/>
      <c r="L108" s="25"/>
      <c r="M108" s="25"/>
      <c r="N108" s="25"/>
      <c r="O108" s="25"/>
    </row>
    <row r="109" customFormat="false" ht="13.5" hidden="false" customHeight="true" outlineLevel="0" collapsed="false">
      <c r="B109" s="10"/>
      <c r="C109" s="10"/>
      <c r="D109" s="10"/>
      <c r="E109" s="10"/>
      <c r="F109" s="10"/>
      <c r="J109" s="25"/>
      <c r="K109" s="25"/>
      <c r="L109" s="25"/>
      <c r="M109" s="25"/>
      <c r="N109" s="25"/>
      <c r="O109" s="25"/>
    </row>
    <row r="110" customFormat="false" ht="15" hidden="false" customHeight="false" outlineLevel="0" collapsed="false">
      <c r="B110" s="10" t="str">
        <f aca="false">$K$92&amp;","</f>
        <v>Madame, Monsieur,</v>
      </c>
      <c r="C110" s="10"/>
      <c r="D110" s="10"/>
      <c r="E110" s="10"/>
      <c r="F110" s="10"/>
      <c r="J110" s="25"/>
      <c r="K110" s="25"/>
      <c r="L110" s="25"/>
      <c r="M110" s="25"/>
      <c r="N110" s="25"/>
      <c r="O110" s="25"/>
    </row>
    <row r="111" customFormat="false" ht="6" hidden="false" customHeight="true" outlineLevel="0" collapsed="false">
      <c r="B111" s="10"/>
      <c r="C111" s="10"/>
      <c r="D111" s="10"/>
      <c r="E111" s="10"/>
      <c r="F111" s="10"/>
      <c r="J111" s="25"/>
      <c r="K111" s="25"/>
      <c r="L111" s="25"/>
      <c r="M111" s="25"/>
      <c r="N111" s="25"/>
      <c r="O111" s="25"/>
    </row>
    <row r="112" customFormat="false" ht="36.75" hidden="false" customHeight="true" outlineLevel="0" collapsed="false">
      <c r="B112" s="37" t="str">
        <f aca="false">SUBSTITUTE(SUBSTITUTE(SUBSTITUTE(SUBSTITUTE(SUBSTITUTE(Txt_P1,"{cabinet}",Cab_Nom),"{societe}",IF($K$91=0,"",INDEX(Clients!$E$2:$E$501,$K$91)&amp;"")),"{date_effet}",$K$93),"{hausse}",$K$94),"{civilite}",$K$92)</f>
        <v>Nous tenons tout d'abord à vous remercier pour la confiance que vous accordez à ALTHO EXPERTISE. Comme chaque année, et conformément aux dispositions de votre lettre de mission, nous procédons à la révision de nos honoraires.</v>
      </c>
      <c r="C112" s="37"/>
      <c r="D112" s="37"/>
      <c r="E112" s="37"/>
      <c r="F112" s="37"/>
      <c r="J112" s="25"/>
      <c r="K112" s="25"/>
      <c r="L112" s="25"/>
      <c r="M112" s="25"/>
      <c r="N112" s="25"/>
      <c r="O112" s="25"/>
    </row>
    <row r="113" customFormat="false" ht="49.5" hidden="false" customHeight="true" outlineLevel="0" collapsed="false">
      <c r="B113" s="37" t="str">
        <f aca="false">SUBSTITUTE(SUBSTITUTE(SUBSTITUTE(SUBSTITUTE(SUBSTITUTE(Txt_P2,"{cabinet}",Cab_Nom),"{societe}",IF($K$91=0,"",INDEX(Clients!$E$2:$E$501,$K$91)&amp;"")),"{date_effet}",$K$93),"{hausse}",$K$94),"{civilite}",$K$92)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3" s="37"/>
      <c r="D113" s="37"/>
      <c r="E113" s="37"/>
      <c r="F113" s="37"/>
      <c r="J113" s="25"/>
      <c r="K113" s="25"/>
      <c r="L113" s="25"/>
      <c r="M113" s="25"/>
      <c r="N113" s="25"/>
      <c r="O113" s="25"/>
    </row>
    <row r="114" customFormat="false" ht="63" hidden="false" customHeight="true" outlineLevel="0" collapsed="false">
      <c r="B114" s="37" t="str">
        <f aca="false">SUBSTITUTE(SUBSTITUTE(SUBSTITUTE(SUBSTITUTE(SUBSTITUTE(Txt_P3,"{cabinet}",Cab_Nom),"{societe}",IF($K$91=0,"",INDEX(Clients!$E$2:$E$501,$K$91)&amp;"")),"{date_effet}",$K$93),"{hausse}",$K$94),"{civilite}",$K$92)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4" s="37"/>
      <c r="D114" s="37"/>
      <c r="E114" s="37"/>
      <c r="F114" s="37"/>
      <c r="J114" s="25"/>
      <c r="K114" s="25"/>
      <c r="L114" s="25"/>
      <c r="M114" s="25"/>
      <c r="N114" s="25"/>
      <c r="O114" s="25"/>
    </row>
    <row r="115" customFormat="false" ht="24" hidden="false" customHeight="true" outlineLevel="0" collapsed="false">
      <c r="B115" s="37" t="str">
        <f aca="false">SUBSTITUTE(SUBSTITUTE(SUBSTITUTE(SUBSTITUTE(SUBSTITUTE(Txt_P4,"{cabinet}",Cab_Nom),"{societe}",IF($K$91=0,"",INDEX(Clients!$E$2:$E$501,$K$91)&amp;"")),"{date_effet}",$K$93),"{hausse}",$K$94),"{civilite}",$K$92)</f>
        <v>À compter du 1er janvier 2027, vos honoraires annuels hors taxes évolueront ainsi (évolution globale : ) :</v>
      </c>
      <c r="C115" s="37"/>
      <c r="D115" s="37"/>
      <c r="E115" s="37"/>
      <c r="F115" s="37"/>
      <c r="J115" s="25"/>
      <c r="K115" s="25"/>
      <c r="L115" s="25"/>
      <c r="M115" s="25"/>
      <c r="N115" s="25"/>
      <c r="O115" s="25"/>
    </row>
    <row r="116" customFormat="false" ht="3.75" hidden="false" customHeight="true" outlineLevel="0" collapsed="false">
      <c r="B116" s="10"/>
      <c r="C116" s="10"/>
      <c r="D116" s="10"/>
      <c r="E116" s="10"/>
      <c r="F116" s="10"/>
      <c r="J116" s="25"/>
      <c r="K116" s="25"/>
      <c r="L116" s="25"/>
      <c r="M116" s="25"/>
      <c r="N116" s="25"/>
      <c r="O116" s="25"/>
    </row>
    <row r="117" customFormat="false" ht="18" hidden="false" customHeight="true" outlineLevel="0" collapsed="false">
      <c r="B117" s="38" t="s">
        <v>148</v>
      </c>
      <c r="C117" s="39" t="s">
        <v>149</v>
      </c>
      <c r="D117" s="39" t="s">
        <v>150</v>
      </c>
      <c r="E117" s="39" t="s">
        <v>151</v>
      </c>
      <c r="F117" s="39" t="s">
        <v>109</v>
      </c>
      <c r="J117" s="25" t="s">
        <v>152</v>
      </c>
      <c r="K117" s="25" t="s">
        <v>153</v>
      </c>
      <c r="L117" s="25" t="s">
        <v>154</v>
      </c>
      <c r="M117" s="25" t="s">
        <v>155</v>
      </c>
      <c r="N117" s="25" t="s">
        <v>156</v>
      </c>
      <c r="O117" s="25" t="s">
        <v>157</v>
      </c>
    </row>
    <row r="118" customFormat="false" ht="16.5" hidden="false" customHeight="true" outlineLevel="0" collapsed="false">
      <c r="B118" s="40" t="str">
        <f aca="false">IFERROR(INDEX($J$118:$J$121,MATCH($O118,$N$118:$N$121,0)),"")</f>
        <v/>
      </c>
      <c r="C118" s="41" t="str">
        <f aca="false">IFERROR(INDEX($K$118:$K$121,MATCH($O118,$N$118:$N$121,0)),"")</f>
        <v/>
      </c>
      <c r="D118" s="42" t="str">
        <f aca="false">IF(OR(E118="",N(C118)=0),"",E118/C118-1)</f>
        <v/>
      </c>
      <c r="E118" s="41" t="str">
        <f aca="false">IFERROR(INDEX($L$118:$L$121,MATCH($O118,$N$118:$N$121,0)),"")</f>
        <v/>
      </c>
      <c r="F118" s="41" t="str">
        <f aca="false">IF(E118="","",E118-C118)</f>
        <v/>
      </c>
      <c r="J118" s="25" t="str">
        <f aca="false">Lib_Compta</f>
        <v>Mission comptable (tenue, révision, bilan, liasse fiscale)</v>
      </c>
      <c r="K118" s="25" t="n">
        <f aca="false">IF($K$91=0,0,N(INDEX(Clients!$K$2:$K$501,$K$91)))</f>
        <v>0</v>
      </c>
      <c r="L118" s="25" t="n">
        <f aca="false">IF($K$91=0,0,N(INDEX(Clients!$P$2:$P$501,$K$91)))</f>
        <v>0</v>
      </c>
      <c r="M118" s="25" t="n">
        <f aca="false">IF(OR(K118&lt;&gt;0,L118&lt;&gt;0),1,0)</f>
        <v>0</v>
      </c>
      <c r="N118" s="25" t="str">
        <f aca="false">IF(M118=1,SUM($M$118:M118),"")</f>
        <v/>
      </c>
      <c r="O118" s="25" t="n">
        <v>1</v>
      </c>
    </row>
    <row r="119" customFormat="false" ht="16.5" hidden="false" customHeight="true" outlineLevel="0" collapsed="false">
      <c r="B119" s="40" t="str">
        <f aca="false">IFERROR(INDEX($J$118:$J$121,MATCH($O119,$N$118:$N$121,0)),"")</f>
        <v/>
      </c>
      <c r="C119" s="41" t="str">
        <f aca="false">IFERROR(INDEX($K$118:$K$121,MATCH($O119,$N$118:$N$121,0)),"")</f>
        <v/>
      </c>
      <c r="D119" s="42" t="str">
        <f aca="false">IF(OR(E119="",N(C119)=0),"",E119/C119-1)</f>
        <v/>
      </c>
      <c r="E119" s="41" t="str">
        <f aca="false">IFERROR(INDEX($L$118:$L$121,MATCH($O119,$N$118:$N$121,0)),"")</f>
        <v/>
      </c>
      <c r="F119" s="41" t="str">
        <f aca="false">IF(E119="","",E119-C119)</f>
        <v/>
      </c>
      <c r="J119" s="25" t="str">
        <f aca="false">Lib_Paye</f>
        <v>Mission sociale (bulletins de paie, DSN, déclarations sociales)</v>
      </c>
      <c r="K119" s="25" t="n">
        <f aca="false">IF($K$91=0,0,N(INDEX(Clients!$L$2:$L$501,$K$91)))</f>
        <v>0</v>
      </c>
      <c r="L119" s="25" t="n">
        <f aca="false">IF($K$91=0,0,N(INDEX(Clients!$Q$2:$Q$501,$K$91)))</f>
        <v>0</v>
      </c>
      <c r="M119" s="25" t="n">
        <f aca="false">IF(OR(K119&lt;&gt;0,L119&lt;&gt;0),1,0)</f>
        <v>0</v>
      </c>
      <c r="N119" s="25" t="str">
        <f aca="false">IF(M119=1,SUM($M$118:M119),"")</f>
        <v/>
      </c>
      <c r="O119" s="25" t="n">
        <v>2</v>
      </c>
    </row>
    <row r="120" customFormat="false" ht="16.5" hidden="false" customHeight="true" outlineLevel="0" collapsed="false">
      <c r="B120" s="40" t="str">
        <f aca="false">IFERROR(INDEX($J$118:$J$121,MATCH($O120,$N$118:$N$121,0)),"")</f>
        <v/>
      </c>
      <c r="C120" s="41" t="str">
        <f aca="false">IFERROR(INDEX($K$118:$K$121,MATCH($O120,$N$118:$N$121,0)),"")</f>
        <v/>
      </c>
      <c r="D120" s="42" t="str">
        <f aca="false">IF(OR(E120="",N(C120)=0),"",E120/C120-1)</f>
        <v/>
      </c>
      <c r="E120" s="41" t="str">
        <f aca="false">IFERROR(INDEX($L$118:$L$121,MATCH($O120,$N$118:$N$121,0)),"")</f>
        <v/>
      </c>
      <c r="F120" s="41" t="str">
        <f aca="false">IF(E120="","",E120-C120)</f>
        <v/>
      </c>
      <c r="J120" s="25" t="str">
        <f aca="false">Lib_Jur</f>
        <v>Mission juridique (approbation des comptes, secrétariat juridique)</v>
      </c>
      <c r="K120" s="25" t="n">
        <f aca="false">IF($K$91=0,0,N(INDEX(Clients!$M$2:$M$501,$K$91)))</f>
        <v>0</v>
      </c>
      <c r="L120" s="25" t="n">
        <f aca="false">IF($K$91=0,0,N(INDEX(Clients!$R$2:$R$501,$K$91)))</f>
        <v>0</v>
      </c>
      <c r="M120" s="25" t="n">
        <f aca="false">IF(OR(K120&lt;&gt;0,L120&lt;&gt;0),1,0)</f>
        <v>0</v>
      </c>
      <c r="N120" s="25" t="str">
        <f aca="false">IF(M120=1,SUM($M$118:M120),"")</f>
        <v/>
      </c>
      <c r="O120" s="25" t="n">
        <v>3</v>
      </c>
    </row>
    <row r="121" customFormat="false" ht="16.5" hidden="false" customHeight="true" outlineLevel="0" collapsed="false">
      <c r="B121" s="40" t="str">
        <f aca="false">IFERROR(INDEX($J$118:$J$121,MATCH($O121,$N$118:$N$121,0)),"")</f>
        <v/>
      </c>
      <c r="C121" s="41" t="str">
        <f aca="false">IFERROR(INDEX($K$118:$K$121,MATCH($O121,$N$118:$N$121,0)),"")</f>
        <v/>
      </c>
      <c r="D121" s="42" t="str">
        <f aca="false">IF(OR(E121="",N(C121)=0),"",E121/C121-1)</f>
        <v/>
      </c>
      <c r="E121" s="41" t="str">
        <f aca="false">IFERROR(INDEX($L$118:$L$121,MATCH($O121,$N$118:$N$121,0)),"")</f>
        <v/>
      </c>
      <c r="F121" s="41" t="str">
        <f aca="false">IF(E121="","",E121-C121)</f>
        <v/>
      </c>
      <c r="J121" s="25" t="str">
        <f aca="false">Lib_PA</f>
        <v>Plateforme agréée – facturation électronique</v>
      </c>
      <c r="K121" s="25" t="n">
        <f aca="false">IF($K$91=0,0,N(INDEX(Clients!$N$2:$N$501,$K$91)))</f>
        <v>0</v>
      </c>
      <c r="L121" s="25" t="n">
        <f aca="false">IF($K$91=0,0,N(INDEX(Clients!$S$2:$S$501,$K$91)))</f>
        <v>0</v>
      </c>
      <c r="M121" s="25" t="n">
        <f aca="false">IF(OR(K121&lt;&gt;0,L121&lt;&gt;0),1,0)</f>
        <v>0</v>
      </c>
      <c r="N121" s="25" t="str">
        <f aca="false">IF(M121=1,SUM($M$118:M121),"")</f>
        <v/>
      </c>
      <c r="O121" s="25" t="n">
        <v>4</v>
      </c>
    </row>
    <row r="122" customFormat="false" ht="18" hidden="false" customHeight="true" outlineLevel="0" collapsed="false">
      <c r="B122" s="43" t="s">
        <v>158</v>
      </c>
      <c r="C122" s="44" t="n">
        <f aca="false">SUM(K118:K121)</f>
        <v>0</v>
      </c>
      <c r="D122" s="45" t="str">
        <f aca="false">IF(N(C122)=0,"",E122/C122-1)</f>
        <v/>
      </c>
      <c r="E122" s="44" t="n">
        <f aca="false">SUM(L118:L121)</f>
        <v>0</v>
      </c>
      <c r="F122" s="44" t="n">
        <f aca="false">E122-C122</f>
        <v>0</v>
      </c>
    </row>
    <row r="123" customFormat="false" ht="15" hidden="false" customHeight="false" outlineLevel="0" collapsed="false">
      <c r="B123" s="46" t="str">
        <f aca="false">IF(N(Nb_Mensualites)=0,"","Soit "&amp;FIXED(E122/Nb_Mensualites,2)&amp;" € HT par échéance ("&amp;Nb_Mensualites&amp;" échéances), "&amp;FIXED(E122/Nb_Mensualites*(1+Taux_TVA),2)&amp;" € TTC.")</f>
        <v>Soit 0.00 € HT par échéance (12 échéances), 0.00 € TTC.</v>
      </c>
      <c r="C123" s="46"/>
      <c r="D123" s="46"/>
      <c r="E123" s="46"/>
      <c r="F123" s="46"/>
    </row>
    <row r="124" customFormat="false" ht="7.5" hidden="false" customHeight="true" outlineLevel="0" collapsed="false">
      <c r="B124" s="10"/>
      <c r="C124" s="10"/>
      <c r="D124" s="10"/>
      <c r="E124" s="10"/>
      <c r="F124" s="10"/>
    </row>
    <row r="125" customFormat="false" ht="36.75" hidden="false" customHeight="true" outlineLevel="0" collapsed="false">
      <c r="B125" s="37" t="str">
        <f aca="false">SUBSTITUTE(SUBSTITUTE(SUBSTITUTE(SUBSTITUTE(SUBSTITUTE(Txt_P5,"{cabinet}",Cab_Nom),"{societe}",IF($K$91=0,"",INDEX(Clients!$E$2:$E$501,$K$91)&amp;"")),"{date_effet}",$K$93),"{hausse}",$K$94),"{civilite}",$K$92)</f>
        <v>Les autres conditions de votre lettre de mission demeurent inchangées. Les nouveaux montants seront appliqués automatiquement sur vos prochaines factures et échéances de prélèvement.</v>
      </c>
      <c r="C125" s="37"/>
      <c r="D125" s="37"/>
      <c r="E125" s="37"/>
      <c r="F125" s="37"/>
    </row>
    <row r="126" customFormat="false" ht="36.75" hidden="false" customHeight="true" outlineLevel="0" collapsed="false">
      <c r="B126" s="37" t="str">
        <f aca="false">SUBSTITUTE(SUBSTITUTE(SUBSTITUTE(SUBSTITUTE(SUBSTITUTE(Txt_P6,"{cabinet}",Cab_Nom),"{societe}",IF($K$91=0,"",INDEX(Clients!$E$2:$E$501,$K$91)&amp;"")),"{date_effet}",$K$93),"{hausse}",$K$94),"{civilite}",$K$92)</f>
        <v>Votre interlocuteur habituel reste à votre entière disposition pour répondre à vos questions et faire le point sur l'évolution de vos besoins.</v>
      </c>
      <c r="C126" s="37"/>
      <c r="D126" s="37"/>
      <c r="E126" s="37"/>
      <c r="F126" s="37"/>
    </row>
    <row r="127" customFormat="false" ht="24" hidden="false" customHeight="true" outlineLevel="0" collapsed="false">
      <c r="B127" s="37" t="str">
        <f aca="false">SUBSTITUTE(SUBSTITUTE(SUBSTITUTE(SUBSTITUTE(SUBSTITUTE(Txt_Politesse,"{cabinet}",Cab_Nom),"{societe}",IF($K$91=0,"",INDEX(Clients!$E$2:$E$501,$K$91)&amp;"")),"{date_effet}",$K$93),"{hausse}",$K$94),"{civilite}",$K$92)</f>
        <v>Nous vous prions d'agréer, Madame, Monsieur, l'expression de nos salutations distinguées.</v>
      </c>
      <c r="C127" s="37"/>
      <c r="D127" s="37"/>
      <c r="E127" s="37"/>
      <c r="F127" s="37"/>
    </row>
    <row r="128" customFormat="false" ht="15" hidden="false" customHeight="false" outlineLevel="0" collapsed="false">
      <c r="B128" s="10"/>
      <c r="C128" s="10"/>
      <c r="D128" s="10"/>
      <c r="E128" s="10"/>
      <c r="F128" s="10"/>
    </row>
    <row r="129" customFormat="false" ht="15" hidden="false" customHeight="false" outlineLevel="0" collapsed="false">
      <c r="B129" s="10"/>
      <c r="C129" s="10"/>
      <c r="D129" s="34" t="str">
        <f aca="false">Signataire</f>
        <v>Prénom NOM</v>
      </c>
      <c r="E129" s="34"/>
      <c r="F129" s="34"/>
    </row>
    <row r="130" customFormat="false" ht="15" hidden="false" customHeight="false" outlineLevel="0" collapsed="false">
      <c r="B130" s="10"/>
      <c r="C130" s="10"/>
      <c r="D130" s="47" t="str">
        <f aca="false">Signataire_Titre</f>
        <v>Expert-comptable associé</v>
      </c>
      <c r="E130" s="47"/>
      <c r="F130" s="47"/>
    </row>
    <row r="131" customFormat="false" ht="15.75" hidden="false" customHeight="true" outlineLevel="0" collapsed="false">
      <c r="B131" s="10"/>
      <c r="C131" s="10"/>
      <c r="D131" s="10"/>
      <c r="E131" s="10"/>
      <c r="F131" s="10"/>
    </row>
    <row r="132" customFormat="false" ht="15.75" hidden="false" customHeight="true" outlineLevel="0" collapsed="false">
      <c r="B132" s="10"/>
      <c r="C132" s="10"/>
      <c r="D132" s="10"/>
      <c r="E132" s="10"/>
      <c r="F132" s="10"/>
    </row>
    <row r="133" customFormat="false" ht="15.75" hidden="false" customHeight="true" outlineLevel="0" collapsed="false">
      <c r="B133" s="10"/>
      <c r="C133" s="10"/>
      <c r="D133" s="10"/>
      <c r="E133" s="10"/>
      <c r="F133" s="10"/>
    </row>
    <row r="134" customFormat="false" ht="15.75" hidden="false" customHeight="true" outlineLevel="0" collapsed="false">
      <c r="B134" s="10"/>
      <c r="C134" s="10"/>
      <c r="D134" s="10"/>
      <c r="E134" s="10"/>
      <c r="F134" s="10"/>
    </row>
    <row r="135" customFormat="false" ht="24" hidden="false" customHeight="true" outlineLevel="0" collapsed="false">
      <c r="B135" s="48" t="str">
        <f aca="false">Cab_Mentions</f>
        <v>ALTHO EXPERTISE · SAS au capital de 10 000 € · RCS Pontoise 919 706 325 · TVA FR62919706325 · Société d'expertise comptable inscrite au Tableau de l'Ordre des experts-comptables de Paris Île-de-France</v>
      </c>
      <c r="C135" s="48"/>
      <c r="D135" s="48"/>
      <c r="E135" s="48"/>
      <c r="F135" s="48"/>
    </row>
    <row r="136" customFormat="false" ht="15" hidden="false" customHeight="false" outlineLevel="0" collapsed="false">
      <c r="B136" s="10"/>
      <c r="C136" s="10"/>
      <c r="D136" s="10"/>
      <c r="E136" s="10"/>
      <c r="F136" s="10"/>
      <c r="J136" s="25" t="s">
        <v>142</v>
      </c>
      <c r="K136" s="25" t="n">
        <f aca="false">IFERROR(MATCH(4,Clients!$Z$2:$Z$501,0),0)</f>
        <v>0</v>
      </c>
      <c r="L136" s="25"/>
      <c r="M136" s="25"/>
      <c r="N136" s="25"/>
      <c r="O136" s="25"/>
    </row>
    <row r="137" customFormat="false" ht="21.75" hidden="false" customHeight="true" outlineLevel="0" collapsed="false">
      <c r="B137" s="26" t="str">
        <f aca="false">Cab_Nom</f>
        <v>ALTHO EXPERTISE</v>
      </c>
      <c r="C137" s="26"/>
      <c r="D137" s="10"/>
      <c r="E137" s="27" t="str">
        <f aca="false">IF($K$136=0,"","Réf. client : "&amp;INDEX(Clients!$A$2:$A$501,$K$136))</f>
        <v/>
      </c>
      <c r="F137" s="27"/>
      <c r="J137" s="25" t="s">
        <v>144</v>
      </c>
      <c r="K137" s="25" t="str">
        <f aca="false">IF(IF($K$136=0,"",INDEX(Clients!$B$2:$B$501,$K$136)&amp;"")="Mme","Madame",IF(IF($K$136=0,"",INDEX(Clients!$B$2:$B$501,$K$136)&amp;"")="M.","Monsieur","Madame, Monsieur"))</f>
        <v>Madame, Monsieur</v>
      </c>
      <c r="L137" s="25"/>
      <c r="M137" s="25"/>
      <c r="N137" s="25"/>
      <c r="O137" s="25"/>
    </row>
    <row r="138" customFormat="false" ht="15" hidden="false" customHeight="false" outlineLevel="0" collapsed="false">
      <c r="B138" s="29" t="str">
        <f aca="false">Cab_Adr1</f>
        <v>141 rue Charles de Gaulle</v>
      </c>
      <c r="C138" s="29"/>
      <c r="D138" s="10"/>
      <c r="E138" s="10"/>
      <c r="F138" s="10"/>
      <c r="J138" s="25" t="s">
        <v>145</v>
      </c>
      <c r="K138" s="25" t="str">
        <f aca="false">DAY(Date_Effet)&amp;IF(DAY(Date_Effet)=1,"er","")&amp;" "&amp;INDEX(Liste_Mois,MONTH(Date_Effet))&amp;" "&amp;YEAR(Date_Effet)</f>
        <v>1er janvier 2027</v>
      </c>
      <c r="L138" s="25"/>
      <c r="M138" s="25"/>
      <c r="N138" s="25"/>
      <c r="O138" s="25"/>
    </row>
    <row r="139" customFormat="false" ht="15" hidden="false" customHeight="false" outlineLevel="0" collapsed="false">
      <c r="B139" s="29" t="str">
        <f aca="false">Cab_CPVille</f>
        <v>95130 LE PLESSIS-BOUCHARD</v>
      </c>
      <c r="C139" s="29"/>
      <c r="D139" s="10"/>
      <c r="E139" s="10"/>
      <c r="F139" s="10"/>
      <c r="J139" s="25" t="s">
        <v>146</v>
      </c>
      <c r="K139" s="25" t="str">
        <f aca="false">IF(SUM($K$163:$K$166)=0,"",FIXED((SUM($L$163:$L$166)/SUM($K$163:$K$166)-1)*100,1)&amp;" %")</f>
        <v/>
      </c>
      <c r="L139" s="25"/>
      <c r="M139" s="25"/>
      <c r="N139" s="25"/>
      <c r="O139" s="25"/>
    </row>
    <row r="140" customFormat="false" ht="15" hidden="false" customHeight="false" outlineLevel="0" collapsed="false">
      <c r="B140" s="29" t="str">
        <f aca="false">Cab_Contact</f>
        <v>Tél. 01 34 14 53 45  ·  altho@altho-experts.com  ·  altho-experts.com</v>
      </c>
      <c r="C140" s="29"/>
      <c r="D140" s="10"/>
      <c r="E140" s="10"/>
      <c r="F140" s="10"/>
      <c r="J140" s="25"/>
      <c r="K140" s="25"/>
      <c r="L140" s="25"/>
      <c r="M140" s="25"/>
      <c r="N140" s="25"/>
      <c r="O140" s="25"/>
    </row>
    <row r="141" customFormat="false" ht="6" hidden="false" customHeight="true" outlineLevel="0" collapsed="false">
      <c r="B141" s="32"/>
      <c r="C141" s="32"/>
      <c r="D141" s="32"/>
      <c r="E141" s="32"/>
      <c r="F141" s="32"/>
      <c r="J141" s="25"/>
      <c r="K141" s="25"/>
      <c r="L141" s="25"/>
      <c r="M141" s="25"/>
      <c r="N141" s="25"/>
      <c r="O141" s="25"/>
    </row>
    <row r="142" customFormat="false" ht="13.5" hidden="false" customHeight="true" outlineLevel="0" collapsed="false">
      <c r="B142" s="10"/>
      <c r="C142" s="10"/>
      <c r="D142" s="10"/>
      <c r="E142" s="10"/>
      <c r="F142" s="10"/>
      <c r="J142" s="25"/>
      <c r="K142" s="25"/>
      <c r="L142" s="25"/>
      <c r="M142" s="25"/>
      <c r="N142" s="25"/>
      <c r="O142" s="25"/>
    </row>
    <row r="143" customFormat="false" ht="13.5" hidden="false" customHeight="true" outlineLevel="0" collapsed="false">
      <c r="B143" s="10"/>
      <c r="C143" s="10"/>
      <c r="D143" s="10"/>
      <c r="E143" s="10"/>
      <c r="F143" s="10"/>
      <c r="J143" s="25"/>
      <c r="K143" s="25"/>
      <c r="L143" s="25"/>
      <c r="M143" s="25"/>
      <c r="N143" s="25"/>
      <c r="O143" s="25"/>
    </row>
    <row r="144" customFormat="false" ht="13.5" hidden="false" customHeight="true" outlineLevel="0" collapsed="false">
      <c r="B144" s="10"/>
      <c r="C144" s="10"/>
      <c r="D144" s="10"/>
      <c r="E144" s="10"/>
      <c r="F144" s="10"/>
      <c r="J144" s="25"/>
      <c r="K144" s="25"/>
      <c r="L144" s="25"/>
      <c r="M144" s="25"/>
      <c r="N144" s="25"/>
      <c r="O144" s="25"/>
    </row>
    <row r="145" customFormat="false" ht="15" hidden="false" customHeight="true" outlineLevel="0" collapsed="false">
      <c r="B145" s="10"/>
      <c r="C145" s="10"/>
      <c r="D145" s="34" t="str">
        <f aca="false">IF($K$136=0,"",INDEX(Clients!$E$2:$E$501,$K$136)&amp;"")</f>
        <v/>
      </c>
      <c r="E145" s="34"/>
      <c r="F145" s="34"/>
      <c r="J145" s="25"/>
      <c r="K145" s="25"/>
      <c r="L145" s="25"/>
      <c r="M145" s="25"/>
      <c r="N145" s="25"/>
      <c r="O145" s="25"/>
    </row>
    <row r="146" customFormat="false" ht="15" hidden="false" customHeight="true" outlineLevel="0" collapsed="false">
      <c r="B146" s="10"/>
      <c r="C146" s="10"/>
      <c r="D146" s="35" t="str">
        <f aca="false">IF(IF($K$136=0,"",INDEX(Clients!$D$2:$D$501,$K$136)&amp;"")="","","À l'attention de "&amp;TRIM(IF($K$136=0,"",INDEX(Clients!$B$2:$B$501,$K$136)&amp;"")&amp;" "&amp;IF($K$136=0,"",INDEX(Clients!$C$2:$C$501,$K$136)&amp;"")&amp;" "&amp;IF($K$136=0,"",INDEX(Clients!$D$2:$D$501,$K$136)&amp;"")))</f>
        <v/>
      </c>
      <c r="E146" s="35"/>
      <c r="F146" s="35"/>
      <c r="J146" s="25"/>
      <c r="K146" s="25"/>
      <c r="L146" s="25"/>
      <c r="M146" s="25"/>
      <c r="N146" s="25"/>
      <c r="O146" s="25"/>
    </row>
    <row r="147" customFormat="false" ht="15" hidden="false" customHeight="true" outlineLevel="0" collapsed="false">
      <c r="B147" s="10"/>
      <c r="C147" s="10"/>
      <c r="D147" s="35" t="str">
        <f aca="false">IF($K$136=0,"",INDEX(Clients!$F$2:$F$501,$K$136)&amp;"")</f>
        <v/>
      </c>
      <c r="E147" s="35"/>
      <c r="F147" s="35"/>
      <c r="J147" s="25"/>
      <c r="K147" s="25"/>
      <c r="L147" s="25"/>
      <c r="M147" s="25"/>
      <c r="N147" s="25"/>
      <c r="O147" s="25"/>
    </row>
    <row r="148" customFormat="false" ht="15" hidden="false" customHeight="true" outlineLevel="0" collapsed="false">
      <c r="B148" s="10"/>
      <c r="C148" s="10"/>
      <c r="D148" s="35" t="str">
        <f aca="false">IF(IF($K$136=0,"",INDEX(Clients!$G$2:$G$501,$K$136)&amp;"")="",TRIM(IF($K$136=0,"",INDEX(Clients!$H$2:$H$501,$K$136)&amp;"")&amp;" "&amp;UPPER(IF($K$136=0,"",INDEX(Clients!$I$2:$I$501,$K$136)&amp;""))),IF($K$136=0,"",INDEX(Clients!$G$2:$G$501,$K$136)&amp;""))</f>
        <v/>
      </c>
      <c r="E148" s="35"/>
      <c r="F148" s="35"/>
      <c r="J148" s="25"/>
      <c r="K148" s="25"/>
      <c r="L148" s="25"/>
      <c r="M148" s="25"/>
      <c r="N148" s="25"/>
      <c r="O148" s="25"/>
    </row>
    <row r="149" customFormat="false" ht="15" hidden="false" customHeight="true" outlineLevel="0" collapsed="false">
      <c r="B149" s="10"/>
      <c r="C149" s="10"/>
      <c r="D149" s="35" t="str">
        <f aca="false">IF(IF($K$136=0,"",INDEX(Clients!$G$2:$G$501,$K$136)&amp;"")="","",TRIM(IF($K$136=0,"",INDEX(Clients!$H$2:$H$501,$K$136)&amp;"")&amp;" "&amp;UPPER(IF($K$136=0,"",INDEX(Clients!$I$2:$I$501,$K$136)&amp;""))))</f>
        <v/>
      </c>
      <c r="E149" s="35"/>
      <c r="F149" s="35"/>
      <c r="J149" s="25"/>
      <c r="K149" s="25"/>
      <c r="L149" s="25"/>
      <c r="M149" s="25"/>
      <c r="N149" s="25"/>
      <c r="O149" s="25"/>
    </row>
    <row r="150" customFormat="false" ht="25.5" hidden="false" customHeight="true" outlineLevel="0" collapsed="false">
      <c r="B150" s="10"/>
      <c r="C150" s="10"/>
      <c r="D150" s="10"/>
      <c r="E150" s="10"/>
      <c r="F150" s="10"/>
      <c r="J150" s="25"/>
      <c r="K150" s="25"/>
      <c r="L150" s="25"/>
      <c r="M150" s="25"/>
      <c r="N150" s="25"/>
      <c r="O150" s="25"/>
    </row>
    <row r="151" customFormat="false" ht="15" hidden="false" customHeight="false" outlineLevel="0" collapsed="false">
      <c r="B151" s="10"/>
      <c r="C151" s="10"/>
      <c r="D151" s="36" t="str">
        <f aca="false">Cab_Ville&amp;", le "&amp;DAY(Date_Courrier)&amp;IF(DAY(Date_Courrier)=1,"er","")&amp;" "&amp;INDEX(Liste_Mois,MONTH(Date_Courrier))&amp;" "&amp;YEAR(Date_Courrier)</f>
        <v>Le Plessis-Bouchard, le 22 septembre 2026</v>
      </c>
      <c r="E151" s="36"/>
      <c r="F151" s="36"/>
      <c r="J151" s="25"/>
      <c r="K151" s="25"/>
      <c r="L151" s="25"/>
      <c r="M151" s="25"/>
      <c r="N151" s="25"/>
      <c r="O151" s="25"/>
    </row>
    <row r="152" customFormat="false" ht="19.5" hidden="false" customHeight="true" outlineLevel="0" collapsed="false">
      <c r="B152" s="10"/>
      <c r="C152" s="10"/>
      <c r="D152" s="10"/>
      <c r="E152" s="10"/>
      <c r="F152" s="10"/>
      <c r="J152" s="25"/>
      <c r="K152" s="25"/>
      <c r="L152" s="25"/>
      <c r="M152" s="25"/>
      <c r="N152" s="25"/>
      <c r="O152" s="25"/>
    </row>
    <row r="153" customFormat="false" ht="15" hidden="false" customHeight="false" outlineLevel="0" collapsed="false">
      <c r="B153" s="34" t="str">
        <f aca="false">SUBSTITUTE(SUBSTITUTE(SUBSTITUTE(SUBSTITUTE(SUBSTITUTE(Txt_Objet,"{cabinet}",Cab_Nom),"{societe}",IF($K$136=0,"",INDEX(Clients!$E$2:$E$501,$K$136)&amp;"")),"{date_effet}",$K$138),"{hausse}",$K$139),"{civilite}",$K$137)</f>
        <v>Objet : révision de nos honoraires au 1er janvier 2027</v>
      </c>
      <c r="C153" s="34"/>
      <c r="D153" s="34"/>
      <c r="E153" s="34"/>
      <c r="F153" s="34"/>
      <c r="J153" s="25"/>
      <c r="K153" s="25"/>
      <c r="L153" s="25"/>
      <c r="M153" s="25"/>
      <c r="N153" s="25"/>
      <c r="O153" s="25"/>
    </row>
    <row r="154" customFormat="false" ht="13.5" hidden="false" customHeight="true" outlineLevel="0" collapsed="false">
      <c r="B154" s="10"/>
      <c r="C154" s="10"/>
      <c r="D154" s="10"/>
      <c r="E154" s="10"/>
      <c r="F154" s="10"/>
      <c r="J154" s="25"/>
      <c r="K154" s="25"/>
      <c r="L154" s="25"/>
      <c r="M154" s="25"/>
      <c r="N154" s="25"/>
      <c r="O154" s="25"/>
    </row>
    <row r="155" customFormat="false" ht="15" hidden="false" customHeight="false" outlineLevel="0" collapsed="false">
      <c r="B155" s="10" t="str">
        <f aca="false">$K$137&amp;","</f>
        <v>Madame, Monsieur,</v>
      </c>
      <c r="C155" s="10"/>
      <c r="D155" s="10"/>
      <c r="E155" s="10"/>
      <c r="F155" s="10"/>
      <c r="J155" s="25"/>
      <c r="K155" s="25"/>
      <c r="L155" s="25"/>
      <c r="M155" s="25"/>
      <c r="N155" s="25"/>
      <c r="O155" s="25"/>
    </row>
    <row r="156" customFormat="false" ht="6" hidden="false" customHeight="true" outlineLevel="0" collapsed="false">
      <c r="B156" s="10"/>
      <c r="C156" s="10"/>
      <c r="D156" s="10"/>
      <c r="E156" s="10"/>
      <c r="F156" s="10"/>
      <c r="J156" s="25"/>
      <c r="K156" s="25"/>
      <c r="L156" s="25"/>
      <c r="M156" s="25"/>
      <c r="N156" s="25"/>
      <c r="O156" s="25"/>
    </row>
    <row r="157" customFormat="false" ht="36.75" hidden="false" customHeight="true" outlineLevel="0" collapsed="false">
      <c r="B157" s="37" t="str">
        <f aca="false">SUBSTITUTE(SUBSTITUTE(SUBSTITUTE(SUBSTITUTE(SUBSTITUTE(Txt_P1,"{cabinet}",Cab_Nom),"{societe}",IF($K$136=0,"",INDEX(Clients!$E$2:$E$501,$K$136)&amp;"")),"{date_effet}",$K$138),"{hausse}",$K$139),"{civilite}",$K$137)</f>
        <v>Nous tenons tout d'abord à vous remercier pour la confiance que vous accordez à ALTHO EXPERTISE. Comme chaque année, et conformément aux dispositions de votre lettre de mission, nous procédons à la révision de nos honoraires.</v>
      </c>
      <c r="C157" s="37"/>
      <c r="D157" s="37"/>
      <c r="E157" s="37"/>
      <c r="F157" s="37"/>
      <c r="J157" s="25"/>
      <c r="K157" s="25"/>
      <c r="L157" s="25"/>
      <c r="M157" s="25"/>
      <c r="N157" s="25"/>
      <c r="O157" s="25"/>
    </row>
    <row r="158" customFormat="false" ht="49.5" hidden="false" customHeight="true" outlineLevel="0" collapsed="false">
      <c r="B158" s="37" t="str">
        <f aca="false">SUBSTITUTE(SUBSTITUTE(SUBSTITUTE(SUBSTITUTE(SUBSTITUTE(Txt_P2,"{cabinet}",Cab_Nom),"{societe}",IF($K$136=0,"",INDEX(Clients!$E$2:$E$501,$K$136)&amp;"")),"{date_effet}",$K$138),"{hausse}",$K$139),"{civilite}",$K$137)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58" s="37"/>
      <c r="D158" s="37"/>
      <c r="E158" s="37"/>
      <c r="F158" s="37"/>
      <c r="J158" s="25"/>
      <c r="K158" s="25"/>
      <c r="L158" s="25"/>
      <c r="M158" s="25"/>
      <c r="N158" s="25"/>
      <c r="O158" s="25"/>
    </row>
    <row r="159" customFormat="false" ht="63" hidden="false" customHeight="true" outlineLevel="0" collapsed="false">
      <c r="B159" s="37" t="str">
        <f aca="false">SUBSTITUTE(SUBSTITUTE(SUBSTITUTE(SUBSTITUTE(SUBSTITUTE(Txt_P3,"{cabinet}",Cab_Nom),"{societe}",IF($K$136=0,"",INDEX(Clients!$E$2:$E$501,$K$136)&amp;"")),"{date_effet}",$K$138),"{hausse}",$K$139),"{civilite}",$K$137)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59" s="37"/>
      <c r="D159" s="37"/>
      <c r="E159" s="37"/>
      <c r="F159" s="37"/>
      <c r="J159" s="25"/>
      <c r="K159" s="25"/>
      <c r="L159" s="25"/>
      <c r="M159" s="25"/>
      <c r="N159" s="25"/>
      <c r="O159" s="25"/>
    </row>
    <row r="160" customFormat="false" ht="24" hidden="false" customHeight="true" outlineLevel="0" collapsed="false">
      <c r="B160" s="37" t="str">
        <f aca="false">SUBSTITUTE(SUBSTITUTE(SUBSTITUTE(SUBSTITUTE(SUBSTITUTE(Txt_P4,"{cabinet}",Cab_Nom),"{societe}",IF($K$136=0,"",INDEX(Clients!$E$2:$E$501,$K$136)&amp;"")),"{date_effet}",$K$138),"{hausse}",$K$139),"{civilite}",$K$137)</f>
        <v>À compter du 1er janvier 2027, vos honoraires annuels hors taxes évolueront ainsi (évolution globale : ) :</v>
      </c>
      <c r="C160" s="37"/>
      <c r="D160" s="37"/>
      <c r="E160" s="37"/>
      <c r="F160" s="37"/>
      <c r="J160" s="25"/>
      <c r="K160" s="25"/>
      <c r="L160" s="25"/>
      <c r="M160" s="25"/>
      <c r="N160" s="25"/>
      <c r="O160" s="25"/>
    </row>
    <row r="161" customFormat="false" ht="3.75" hidden="false" customHeight="true" outlineLevel="0" collapsed="false">
      <c r="B161" s="10"/>
      <c r="C161" s="10"/>
      <c r="D161" s="10"/>
      <c r="E161" s="10"/>
      <c r="F161" s="10"/>
      <c r="J161" s="25"/>
      <c r="K161" s="25"/>
      <c r="L161" s="25"/>
      <c r="M161" s="25"/>
      <c r="N161" s="25"/>
      <c r="O161" s="25"/>
    </row>
    <row r="162" customFormat="false" ht="18" hidden="false" customHeight="true" outlineLevel="0" collapsed="false">
      <c r="B162" s="38" t="s">
        <v>148</v>
      </c>
      <c r="C162" s="39" t="s">
        <v>149</v>
      </c>
      <c r="D162" s="39" t="s">
        <v>150</v>
      </c>
      <c r="E162" s="39" t="s">
        <v>151</v>
      </c>
      <c r="F162" s="39" t="s">
        <v>109</v>
      </c>
      <c r="J162" s="25" t="s">
        <v>152</v>
      </c>
      <c r="K162" s="25" t="s">
        <v>153</v>
      </c>
      <c r="L162" s="25" t="s">
        <v>154</v>
      </c>
      <c r="M162" s="25" t="s">
        <v>155</v>
      </c>
      <c r="N162" s="25" t="s">
        <v>156</v>
      </c>
      <c r="O162" s="25" t="s">
        <v>157</v>
      </c>
    </row>
    <row r="163" customFormat="false" ht="16.5" hidden="false" customHeight="true" outlineLevel="0" collapsed="false">
      <c r="B163" s="40" t="str">
        <f aca="false">IFERROR(INDEX($J$163:$J$166,MATCH($O163,$N$163:$N$166,0)),"")</f>
        <v/>
      </c>
      <c r="C163" s="41" t="str">
        <f aca="false">IFERROR(INDEX($K$163:$K$166,MATCH($O163,$N$163:$N$166,0)),"")</f>
        <v/>
      </c>
      <c r="D163" s="42" t="str">
        <f aca="false">IF(OR(E163="",N(C163)=0),"",E163/C163-1)</f>
        <v/>
      </c>
      <c r="E163" s="41" t="str">
        <f aca="false">IFERROR(INDEX($L$163:$L$166,MATCH($O163,$N$163:$N$166,0)),"")</f>
        <v/>
      </c>
      <c r="F163" s="41" t="str">
        <f aca="false">IF(E163="","",E163-C163)</f>
        <v/>
      </c>
      <c r="J163" s="25" t="str">
        <f aca="false">Lib_Compta</f>
        <v>Mission comptable (tenue, révision, bilan, liasse fiscale)</v>
      </c>
      <c r="K163" s="25" t="n">
        <f aca="false">IF($K$136=0,0,N(INDEX(Clients!$K$2:$K$501,$K$136)))</f>
        <v>0</v>
      </c>
      <c r="L163" s="25" t="n">
        <f aca="false">IF($K$136=0,0,N(INDEX(Clients!$P$2:$P$501,$K$136)))</f>
        <v>0</v>
      </c>
      <c r="M163" s="25" t="n">
        <f aca="false">IF(OR(K163&lt;&gt;0,L163&lt;&gt;0),1,0)</f>
        <v>0</v>
      </c>
      <c r="N163" s="25" t="str">
        <f aca="false">IF(M163=1,SUM($M$163:M163),"")</f>
        <v/>
      </c>
      <c r="O163" s="25" t="n">
        <v>1</v>
      </c>
    </row>
    <row r="164" customFormat="false" ht="16.5" hidden="false" customHeight="true" outlineLevel="0" collapsed="false">
      <c r="B164" s="40" t="str">
        <f aca="false">IFERROR(INDEX($J$163:$J$166,MATCH($O164,$N$163:$N$166,0)),"")</f>
        <v/>
      </c>
      <c r="C164" s="41" t="str">
        <f aca="false">IFERROR(INDEX($K$163:$K$166,MATCH($O164,$N$163:$N$166,0)),"")</f>
        <v/>
      </c>
      <c r="D164" s="42" t="str">
        <f aca="false">IF(OR(E164="",N(C164)=0),"",E164/C164-1)</f>
        <v/>
      </c>
      <c r="E164" s="41" t="str">
        <f aca="false">IFERROR(INDEX($L$163:$L$166,MATCH($O164,$N$163:$N$166,0)),"")</f>
        <v/>
      </c>
      <c r="F164" s="41" t="str">
        <f aca="false">IF(E164="","",E164-C164)</f>
        <v/>
      </c>
      <c r="J164" s="25" t="str">
        <f aca="false">Lib_Paye</f>
        <v>Mission sociale (bulletins de paie, DSN, déclarations sociales)</v>
      </c>
      <c r="K164" s="25" t="n">
        <f aca="false">IF($K$136=0,0,N(INDEX(Clients!$L$2:$L$501,$K$136)))</f>
        <v>0</v>
      </c>
      <c r="L164" s="25" t="n">
        <f aca="false">IF($K$136=0,0,N(INDEX(Clients!$Q$2:$Q$501,$K$136)))</f>
        <v>0</v>
      </c>
      <c r="M164" s="25" t="n">
        <f aca="false">IF(OR(K164&lt;&gt;0,L164&lt;&gt;0),1,0)</f>
        <v>0</v>
      </c>
      <c r="N164" s="25" t="str">
        <f aca="false">IF(M164=1,SUM($M$163:M164),"")</f>
        <v/>
      </c>
      <c r="O164" s="25" t="n">
        <v>2</v>
      </c>
    </row>
    <row r="165" customFormat="false" ht="16.5" hidden="false" customHeight="true" outlineLevel="0" collapsed="false">
      <c r="B165" s="40" t="str">
        <f aca="false">IFERROR(INDEX($J$163:$J$166,MATCH($O165,$N$163:$N$166,0)),"")</f>
        <v/>
      </c>
      <c r="C165" s="41" t="str">
        <f aca="false">IFERROR(INDEX($K$163:$K$166,MATCH($O165,$N$163:$N$166,0)),"")</f>
        <v/>
      </c>
      <c r="D165" s="42" t="str">
        <f aca="false">IF(OR(E165="",N(C165)=0),"",E165/C165-1)</f>
        <v/>
      </c>
      <c r="E165" s="41" t="str">
        <f aca="false">IFERROR(INDEX($L$163:$L$166,MATCH($O165,$N$163:$N$166,0)),"")</f>
        <v/>
      </c>
      <c r="F165" s="41" t="str">
        <f aca="false">IF(E165="","",E165-C165)</f>
        <v/>
      </c>
      <c r="J165" s="25" t="str">
        <f aca="false">Lib_Jur</f>
        <v>Mission juridique (approbation des comptes, secrétariat juridique)</v>
      </c>
      <c r="K165" s="25" t="n">
        <f aca="false">IF($K$136=0,0,N(INDEX(Clients!$M$2:$M$501,$K$136)))</f>
        <v>0</v>
      </c>
      <c r="L165" s="25" t="n">
        <f aca="false">IF($K$136=0,0,N(INDEX(Clients!$R$2:$R$501,$K$136)))</f>
        <v>0</v>
      </c>
      <c r="M165" s="25" t="n">
        <f aca="false">IF(OR(K165&lt;&gt;0,L165&lt;&gt;0),1,0)</f>
        <v>0</v>
      </c>
      <c r="N165" s="25" t="str">
        <f aca="false">IF(M165=1,SUM($M$163:M165),"")</f>
        <v/>
      </c>
      <c r="O165" s="25" t="n">
        <v>3</v>
      </c>
    </row>
    <row r="166" customFormat="false" ht="16.5" hidden="false" customHeight="true" outlineLevel="0" collapsed="false">
      <c r="B166" s="40" t="str">
        <f aca="false">IFERROR(INDEX($J$163:$J$166,MATCH($O166,$N$163:$N$166,0)),"")</f>
        <v/>
      </c>
      <c r="C166" s="41" t="str">
        <f aca="false">IFERROR(INDEX($K$163:$K$166,MATCH($O166,$N$163:$N$166,0)),"")</f>
        <v/>
      </c>
      <c r="D166" s="42" t="str">
        <f aca="false">IF(OR(E166="",N(C166)=0),"",E166/C166-1)</f>
        <v/>
      </c>
      <c r="E166" s="41" t="str">
        <f aca="false">IFERROR(INDEX($L$163:$L$166,MATCH($O166,$N$163:$N$166,0)),"")</f>
        <v/>
      </c>
      <c r="F166" s="41" t="str">
        <f aca="false">IF(E166="","",E166-C166)</f>
        <v/>
      </c>
      <c r="J166" s="25" t="str">
        <f aca="false">Lib_PA</f>
        <v>Plateforme agréée – facturation électronique</v>
      </c>
      <c r="K166" s="25" t="n">
        <f aca="false">IF($K$136=0,0,N(INDEX(Clients!$N$2:$N$501,$K$136)))</f>
        <v>0</v>
      </c>
      <c r="L166" s="25" t="n">
        <f aca="false">IF($K$136=0,0,N(INDEX(Clients!$S$2:$S$501,$K$136)))</f>
        <v>0</v>
      </c>
      <c r="M166" s="25" t="n">
        <f aca="false">IF(OR(K166&lt;&gt;0,L166&lt;&gt;0),1,0)</f>
        <v>0</v>
      </c>
      <c r="N166" s="25" t="str">
        <f aca="false">IF(M166=1,SUM($M$163:M166),"")</f>
        <v/>
      </c>
      <c r="O166" s="25" t="n">
        <v>4</v>
      </c>
    </row>
    <row r="167" customFormat="false" ht="18" hidden="false" customHeight="true" outlineLevel="0" collapsed="false">
      <c r="B167" s="43" t="s">
        <v>158</v>
      </c>
      <c r="C167" s="44" t="n">
        <f aca="false">SUM(K163:K166)</f>
        <v>0</v>
      </c>
      <c r="D167" s="45" t="str">
        <f aca="false">IF(N(C167)=0,"",E167/C167-1)</f>
        <v/>
      </c>
      <c r="E167" s="44" t="n">
        <f aca="false">SUM(L163:L166)</f>
        <v>0</v>
      </c>
      <c r="F167" s="44" t="n">
        <f aca="false">E167-C167</f>
        <v>0</v>
      </c>
    </row>
    <row r="168" customFormat="false" ht="15" hidden="false" customHeight="false" outlineLevel="0" collapsed="false">
      <c r="B168" s="46" t="str">
        <f aca="false">IF(N(Nb_Mensualites)=0,"","Soit "&amp;FIXED(E167/Nb_Mensualites,2)&amp;" € HT par échéance ("&amp;Nb_Mensualites&amp;" échéances), "&amp;FIXED(E167/Nb_Mensualites*(1+Taux_TVA),2)&amp;" € TTC.")</f>
        <v>Soit 0.00 € HT par échéance (12 échéances), 0.00 € TTC.</v>
      </c>
      <c r="C168" s="46"/>
      <c r="D168" s="46"/>
      <c r="E168" s="46"/>
      <c r="F168" s="46"/>
    </row>
    <row r="169" customFormat="false" ht="7.5" hidden="false" customHeight="true" outlineLevel="0" collapsed="false">
      <c r="B169" s="10"/>
      <c r="C169" s="10"/>
      <c r="D169" s="10"/>
      <c r="E169" s="10"/>
      <c r="F169" s="10"/>
    </row>
    <row r="170" customFormat="false" ht="36.75" hidden="false" customHeight="true" outlineLevel="0" collapsed="false">
      <c r="B170" s="37" t="str">
        <f aca="false">SUBSTITUTE(SUBSTITUTE(SUBSTITUTE(SUBSTITUTE(SUBSTITUTE(Txt_P5,"{cabinet}",Cab_Nom),"{societe}",IF($K$136=0,"",INDEX(Clients!$E$2:$E$501,$K$136)&amp;"")),"{date_effet}",$K$138),"{hausse}",$K$139),"{civilite}",$K$137)</f>
        <v>Les autres conditions de votre lettre de mission demeurent inchangées. Les nouveaux montants seront appliqués automatiquement sur vos prochaines factures et échéances de prélèvement.</v>
      </c>
      <c r="C170" s="37"/>
      <c r="D170" s="37"/>
      <c r="E170" s="37"/>
      <c r="F170" s="37"/>
    </row>
    <row r="171" customFormat="false" ht="36.75" hidden="false" customHeight="true" outlineLevel="0" collapsed="false">
      <c r="B171" s="37" t="str">
        <f aca="false">SUBSTITUTE(SUBSTITUTE(SUBSTITUTE(SUBSTITUTE(SUBSTITUTE(Txt_P6,"{cabinet}",Cab_Nom),"{societe}",IF($K$136=0,"",INDEX(Clients!$E$2:$E$501,$K$136)&amp;"")),"{date_effet}",$K$138),"{hausse}",$K$139),"{civilite}",$K$137)</f>
        <v>Votre interlocuteur habituel reste à votre entière disposition pour répondre à vos questions et faire le point sur l'évolution de vos besoins.</v>
      </c>
      <c r="C171" s="37"/>
      <c r="D171" s="37"/>
      <c r="E171" s="37"/>
      <c r="F171" s="37"/>
    </row>
    <row r="172" customFormat="false" ht="24" hidden="false" customHeight="true" outlineLevel="0" collapsed="false">
      <c r="B172" s="37" t="str">
        <f aca="false">SUBSTITUTE(SUBSTITUTE(SUBSTITUTE(SUBSTITUTE(SUBSTITUTE(Txt_Politesse,"{cabinet}",Cab_Nom),"{societe}",IF($K$136=0,"",INDEX(Clients!$E$2:$E$501,$K$136)&amp;"")),"{date_effet}",$K$138),"{hausse}",$K$139),"{civilite}",$K$137)</f>
        <v>Nous vous prions d'agréer, Madame, Monsieur, l'expression de nos salutations distinguées.</v>
      </c>
      <c r="C172" s="37"/>
      <c r="D172" s="37"/>
      <c r="E172" s="37"/>
      <c r="F172" s="37"/>
    </row>
    <row r="173" customFormat="false" ht="15" hidden="false" customHeight="false" outlineLevel="0" collapsed="false">
      <c r="B173" s="10"/>
      <c r="C173" s="10"/>
      <c r="D173" s="10"/>
      <c r="E173" s="10"/>
      <c r="F173" s="10"/>
    </row>
    <row r="174" customFormat="false" ht="15" hidden="false" customHeight="false" outlineLevel="0" collapsed="false">
      <c r="B174" s="10"/>
      <c r="C174" s="10"/>
      <c r="D174" s="34" t="str">
        <f aca="false">Signataire</f>
        <v>Prénom NOM</v>
      </c>
      <c r="E174" s="34"/>
      <c r="F174" s="34"/>
    </row>
    <row r="175" customFormat="false" ht="15" hidden="false" customHeight="false" outlineLevel="0" collapsed="false">
      <c r="B175" s="10"/>
      <c r="C175" s="10"/>
      <c r="D175" s="47" t="str">
        <f aca="false">Signataire_Titre</f>
        <v>Expert-comptable associé</v>
      </c>
      <c r="E175" s="47"/>
      <c r="F175" s="47"/>
    </row>
    <row r="176" customFormat="false" ht="15.75" hidden="false" customHeight="true" outlineLevel="0" collapsed="false">
      <c r="B176" s="10"/>
      <c r="C176" s="10"/>
      <c r="D176" s="10"/>
      <c r="E176" s="10"/>
      <c r="F176" s="10"/>
    </row>
    <row r="177" customFormat="false" ht="15.75" hidden="false" customHeight="true" outlineLevel="0" collapsed="false">
      <c r="B177" s="10"/>
      <c r="C177" s="10"/>
      <c r="D177" s="10"/>
      <c r="E177" s="10"/>
      <c r="F177" s="10"/>
    </row>
    <row r="178" customFormat="false" ht="15.75" hidden="false" customHeight="true" outlineLevel="0" collapsed="false">
      <c r="B178" s="10"/>
      <c r="C178" s="10"/>
      <c r="D178" s="10"/>
      <c r="E178" s="10"/>
      <c r="F178" s="10"/>
    </row>
    <row r="179" customFormat="false" ht="15.75" hidden="false" customHeight="true" outlineLevel="0" collapsed="false">
      <c r="B179" s="10"/>
      <c r="C179" s="10"/>
      <c r="D179" s="10"/>
      <c r="E179" s="10"/>
      <c r="F179" s="10"/>
    </row>
    <row r="180" customFormat="false" ht="24" hidden="false" customHeight="true" outlineLevel="0" collapsed="false">
      <c r="B180" s="48" t="str">
        <f aca="false">Cab_Mentions</f>
        <v>ALTHO EXPERTISE · SAS au capital de 10 000 € · RCS Pontoise 919 706 325 · TVA FR62919706325 · Société d'expertise comptable inscrite au Tableau de l'Ordre des experts-comptables de Paris Île-de-France</v>
      </c>
      <c r="C180" s="48"/>
      <c r="D180" s="48"/>
      <c r="E180" s="48"/>
      <c r="F180" s="48"/>
    </row>
    <row r="181" customFormat="false" ht="15" hidden="false" customHeight="false" outlineLevel="0" collapsed="false">
      <c r="B181" s="10"/>
      <c r="C181" s="10"/>
      <c r="D181" s="10"/>
      <c r="E181" s="10"/>
      <c r="F181" s="10"/>
      <c r="J181" s="25" t="s">
        <v>142</v>
      </c>
      <c r="K181" s="25" t="n">
        <f aca="false">IFERROR(MATCH(5,Clients!$Z$2:$Z$501,0),0)</f>
        <v>0</v>
      </c>
      <c r="L181" s="25"/>
      <c r="M181" s="25"/>
      <c r="N181" s="25"/>
      <c r="O181" s="25"/>
    </row>
    <row r="182" customFormat="false" ht="21.75" hidden="false" customHeight="true" outlineLevel="0" collapsed="false">
      <c r="B182" s="26" t="str">
        <f aca="false">Cab_Nom</f>
        <v>ALTHO EXPERTISE</v>
      </c>
      <c r="C182" s="26"/>
      <c r="D182" s="10"/>
      <c r="E182" s="27" t="str">
        <f aca="false">IF($K$181=0,"","Réf. client : "&amp;INDEX(Clients!$A$2:$A$501,$K$181))</f>
        <v/>
      </c>
      <c r="F182" s="27"/>
      <c r="J182" s="25" t="s">
        <v>144</v>
      </c>
      <c r="K182" s="25" t="str">
        <f aca="false">IF(IF($K$181=0,"",INDEX(Clients!$B$2:$B$501,$K$181)&amp;"")="Mme","Madame",IF(IF($K$181=0,"",INDEX(Clients!$B$2:$B$501,$K$181)&amp;"")="M.","Monsieur","Madame, Monsieur"))</f>
        <v>Madame, Monsieur</v>
      </c>
      <c r="L182" s="25"/>
      <c r="M182" s="25"/>
      <c r="N182" s="25"/>
      <c r="O182" s="25"/>
    </row>
    <row r="183" customFormat="false" ht="15" hidden="false" customHeight="false" outlineLevel="0" collapsed="false">
      <c r="B183" s="29" t="str">
        <f aca="false">Cab_Adr1</f>
        <v>141 rue Charles de Gaulle</v>
      </c>
      <c r="C183" s="29"/>
      <c r="D183" s="10"/>
      <c r="E183" s="10"/>
      <c r="F183" s="10"/>
      <c r="J183" s="25" t="s">
        <v>145</v>
      </c>
      <c r="K183" s="25" t="str">
        <f aca="false">DAY(Date_Effet)&amp;IF(DAY(Date_Effet)=1,"er","")&amp;" "&amp;INDEX(Liste_Mois,MONTH(Date_Effet))&amp;" "&amp;YEAR(Date_Effet)</f>
        <v>1er janvier 2027</v>
      </c>
      <c r="L183" s="25"/>
      <c r="M183" s="25"/>
      <c r="N183" s="25"/>
      <c r="O183" s="25"/>
    </row>
    <row r="184" customFormat="false" ht="15" hidden="false" customHeight="false" outlineLevel="0" collapsed="false">
      <c r="B184" s="29" t="str">
        <f aca="false">Cab_CPVille</f>
        <v>95130 LE PLESSIS-BOUCHARD</v>
      </c>
      <c r="C184" s="29"/>
      <c r="D184" s="10"/>
      <c r="E184" s="10"/>
      <c r="F184" s="10"/>
      <c r="J184" s="25" t="s">
        <v>146</v>
      </c>
      <c r="K184" s="25" t="str">
        <f aca="false">IF(SUM($K$208:$K$211)=0,"",FIXED((SUM($L$208:$L$211)/SUM($K$208:$K$211)-1)*100,1)&amp;" %")</f>
        <v/>
      </c>
      <c r="L184" s="25"/>
      <c r="M184" s="25"/>
      <c r="N184" s="25"/>
      <c r="O184" s="25"/>
    </row>
    <row r="185" customFormat="false" ht="15" hidden="false" customHeight="false" outlineLevel="0" collapsed="false">
      <c r="B185" s="29" t="str">
        <f aca="false">Cab_Contact</f>
        <v>Tél. 01 34 14 53 45  ·  altho@altho-experts.com  ·  altho-experts.com</v>
      </c>
      <c r="C185" s="29"/>
      <c r="D185" s="10"/>
      <c r="E185" s="10"/>
      <c r="F185" s="10"/>
      <c r="J185" s="25"/>
      <c r="K185" s="25"/>
      <c r="L185" s="25"/>
      <c r="M185" s="25"/>
      <c r="N185" s="25"/>
      <c r="O185" s="25"/>
    </row>
    <row r="186" customFormat="false" ht="6" hidden="false" customHeight="true" outlineLevel="0" collapsed="false">
      <c r="B186" s="32"/>
      <c r="C186" s="32"/>
      <c r="D186" s="32"/>
      <c r="E186" s="32"/>
      <c r="F186" s="32"/>
      <c r="J186" s="25"/>
      <c r="K186" s="25"/>
      <c r="L186" s="25"/>
      <c r="M186" s="25"/>
      <c r="N186" s="25"/>
      <c r="O186" s="25"/>
    </row>
    <row r="187" customFormat="false" ht="13.5" hidden="false" customHeight="true" outlineLevel="0" collapsed="false">
      <c r="B187" s="10"/>
      <c r="C187" s="10"/>
      <c r="D187" s="10"/>
      <c r="E187" s="10"/>
      <c r="F187" s="10"/>
      <c r="J187" s="25"/>
      <c r="K187" s="25"/>
      <c r="L187" s="25"/>
      <c r="M187" s="25"/>
      <c r="N187" s="25"/>
      <c r="O187" s="25"/>
    </row>
    <row r="188" customFormat="false" ht="13.5" hidden="false" customHeight="true" outlineLevel="0" collapsed="false">
      <c r="B188" s="10"/>
      <c r="C188" s="10"/>
      <c r="D188" s="10"/>
      <c r="E188" s="10"/>
      <c r="F188" s="10"/>
      <c r="J188" s="25"/>
      <c r="K188" s="25"/>
      <c r="L188" s="25"/>
      <c r="M188" s="25"/>
      <c r="N188" s="25"/>
      <c r="O188" s="25"/>
    </row>
    <row r="189" customFormat="false" ht="13.5" hidden="false" customHeight="true" outlineLevel="0" collapsed="false">
      <c r="B189" s="10"/>
      <c r="C189" s="10"/>
      <c r="D189" s="10"/>
      <c r="E189" s="10"/>
      <c r="F189" s="10"/>
      <c r="J189" s="25"/>
      <c r="K189" s="25"/>
      <c r="L189" s="25"/>
      <c r="M189" s="25"/>
      <c r="N189" s="25"/>
      <c r="O189" s="25"/>
    </row>
    <row r="190" customFormat="false" ht="15" hidden="false" customHeight="true" outlineLevel="0" collapsed="false">
      <c r="B190" s="10"/>
      <c r="C190" s="10"/>
      <c r="D190" s="34" t="str">
        <f aca="false">IF($K$181=0,"",INDEX(Clients!$E$2:$E$501,$K$181)&amp;"")</f>
        <v/>
      </c>
      <c r="E190" s="34"/>
      <c r="F190" s="34"/>
      <c r="J190" s="25"/>
      <c r="K190" s="25"/>
      <c r="L190" s="25"/>
      <c r="M190" s="25"/>
      <c r="N190" s="25"/>
      <c r="O190" s="25"/>
    </row>
    <row r="191" customFormat="false" ht="15" hidden="false" customHeight="true" outlineLevel="0" collapsed="false">
      <c r="B191" s="10"/>
      <c r="C191" s="10"/>
      <c r="D191" s="35" t="str">
        <f aca="false">IF(IF($K$181=0,"",INDEX(Clients!$D$2:$D$501,$K$181)&amp;"")="","","À l'attention de "&amp;TRIM(IF($K$181=0,"",INDEX(Clients!$B$2:$B$501,$K$181)&amp;"")&amp;" "&amp;IF($K$181=0,"",INDEX(Clients!$C$2:$C$501,$K$181)&amp;"")&amp;" "&amp;IF($K$181=0,"",INDEX(Clients!$D$2:$D$501,$K$181)&amp;"")))</f>
        <v/>
      </c>
      <c r="E191" s="35"/>
      <c r="F191" s="35"/>
      <c r="J191" s="25"/>
      <c r="K191" s="25"/>
      <c r="L191" s="25"/>
      <c r="M191" s="25"/>
      <c r="N191" s="25"/>
      <c r="O191" s="25"/>
    </row>
    <row r="192" customFormat="false" ht="15" hidden="false" customHeight="true" outlineLevel="0" collapsed="false">
      <c r="B192" s="10"/>
      <c r="C192" s="10"/>
      <c r="D192" s="35" t="str">
        <f aca="false">IF($K$181=0,"",INDEX(Clients!$F$2:$F$501,$K$181)&amp;"")</f>
        <v/>
      </c>
      <c r="E192" s="35"/>
      <c r="F192" s="35"/>
      <c r="J192" s="25"/>
      <c r="K192" s="25"/>
      <c r="L192" s="25"/>
      <c r="M192" s="25"/>
      <c r="N192" s="25"/>
      <c r="O192" s="25"/>
    </row>
    <row r="193" customFormat="false" ht="15" hidden="false" customHeight="true" outlineLevel="0" collapsed="false">
      <c r="B193" s="10"/>
      <c r="C193" s="10"/>
      <c r="D193" s="35" t="str">
        <f aca="false">IF(IF($K$181=0,"",INDEX(Clients!$G$2:$G$501,$K$181)&amp;"")="",TRIM(IF($K$181=0,"",INDEX(Clients!$H$2:$H$501,$K$181)&amp;"")&amp;" "&amp;UPPER(IF($K$181=0,"",INDEX(Clients!$I$2:$I$501,$K$181)&amp;""))),IF($K$181=0,"",INDEX(Clients!$G$2:$G$501,$K$181)&amp;""))</f>
        <v/>
      </c>
      <c r="E193" s="35"/>
      <c r="F193" s="35"/>
      <c r="J193" s="25"/>
      <c r="K193" s="25"/>
      <c r="L193" s="25"/>
      <c r="M193" s="25"/>
      <c r="N193" s="25"/>
      <c r="O193" s="25"/>
    </row>
    <row r="194" customFormat="false" ht="15" hidden="false" customHeight="true" outlineLevel="0" collapsed="false">
      <c r="B194" s="10"/>
      <c r="C194" s="10"/>
      <c r="D194" s="35" t="str">
        <f aca="false">IF(IF($K$181=0,"",INDEX(Clients!$G$2:$G$501,$K$181)&amp;"")="","",TRIM(IF($K$181=0,"",INDEX(Clients!$H$2:$H$501,$K$181)&amp;"")&amp;" "&amp;UPPER(IF($K$181=0,"",INDEX(Clients!$I$2:$I$501,$K$181)&amp;""))))</f>
        <v/>
      </c>
      <c r="E194" s="35"/>
      <c r="F194" s="35"/>
      <c r="J194" s="25"/>
      <c r="K194" s="25"/>
      <c r="L194" s="25"/>
      <c r="M194" s="25"/>
      <c r="N194" s="25"/>
      <c r="O194" s="25"/>
    </row>
    <row r="195" customFormat="false" ht="25.5" hidden="false" customHeight="true" outlineLevel="0" collapsed="false">
      <c r="B195" s="10"/>
      <c r="C195" s="10"/>
      <c r="D195" s="10"/>
      <c r="E195" s="10"/>
      <c r="F195" s="10"/>
      <c r="J195" s="25"/>
      <c r="K195" s="25"/>
      <c r="L195" s="25"/>
      <c r="M195" s="25"/>
      <c r="N195" s="25"/>
      <c r="O195" s="25"/>
    </row>
    <row r="196" customFormat="false" ht="15" hidden="false" customHeight="false" outlineLevel="0" collapsed="false">
      <c r="B196" s="10"/>
      <c r="C196" s="10"/>
      <c r="D196" s="36" t="str">
        <f aca="false">Cab_Ville&amp;", le "&amp;DAY(Date_Courrier)&amp;IF(DAY(Date_Courrier)=1,"er","")&amp;" "&amp;INDEX(Liste_Mois,MONTH(Date_Courrier))&amp;" "&amp;YEAR(Date_Courrier)</f>
        <v>Le Plessis-Bouchard, le 22 septembre 2026</v>
      </c>
      <c r="E196" s="36"/>
      <c r="F196" s="36"/>
      <c r="J196" s="25"/>
      <c r="K196" s="25"/>
      <c r="L196" s="25"/>
      <c r="M196" s="25"/>
      <c r="N196" s="25"/>
      <c r="O196" s="25"/>
    </row>
    <row r="197" customFormat="false" ht="19.5" hidden="false" customHeight="true" outlineLevel="0" collapsed="false">
      <c r="B197" s="10"/>
      <c r="C197" s="10"/>
      <c r="D197" s="10"/>
      <c r="E197" s="10"/>
      <c r="F197" s="10"/>
      <c r="J197" s="25"/>
      <c r="K197" s="25"/>
      <c r="L197" s="25"/>
      <c r="M197" s="25"/>
      <c r="N197" s="25"/>
      <c r="O197" s="25"/>
    </row>
    <row r="198" customFormat="false" ht="15" hidden="false" customHeight="false" outlineLevel="0" collapsed="false">
      <c r="B198" s="34" t="str">
        <f aca="false">SUBSTITUTE(SUBSTITUTE(SUBSTITUTE(SUBSTITUTE(SUBSTITUTE(Txt_Objet,"{cabinet}",Cab_Nom),"{societe}",IF($K$181=0,"",INDEX(Clients!$E$2:$E$501,$K$181)&amp;"")),"{date_effet}",$K$183),"{hausse}",$K$184),"{civilite}",$K$182)</f>
        <v>Objet : révision de nos honoraires au 1er janvier 2027</v>
      </c>
      <c r="C198" s="34"/>
      <c r="D198" s="34"/>
      <c r="E198" s="34"/>
      <c r="F198" s="34"/>
      <c r="J198" s="25"/>
      <c r="K198" s="25"/>
      <c r="L198" s="25"/>
      <c r="M198" s="25"/>
      <c r="N198" s="25"/>
      <c r="O198" s="25"/>
    </row>
    <row r="199" customFormat="false" ht="13.5" hidden="false" customHeight="true" outlineLevel="0" collapsed="false">
      <c r="B199" s="10"/>
      <c r="C199" s="10"/>
      <c r="D199" s="10"/>
      <c r="E199" s="10"/>
      <c r="F199" s="10"/>
      <c r="J199" s="25"/>
      <c r="K199" s="25"/>
      <c r="L199" s="25"/>
      <c r="M199" s="25"/>
      <c r="N199" s="25"/>
      <c r="O199" s="25"/>
    </row>
    <row r="200" customFormat="false" ht="15" hidden="false" customHeight="false" outlineLevel="0" collapsed="false">
      <c r="B200" s="10" t="str">
        <f aca="false">$K$182&amp;","</f>
        <v>Madame, Monsieur,</v>
      </c>
      <c r="C200" s="10"/>
      <c r="D200" s="10"/>
      <c r="E200" s="10"/>
      <c r="F200" s="10"/>
      <c r="J200" s="25"/>
      <c r="K200" s="25"/>
      <c r="L200" s="25"/>
      <c r="M200" s="25"/>
      <c r="N200" s="25"/>
      <c r="O200" s="25"/>
    </row>
    <row r="201" customFormat="false" ht="6" hidden="false" customHeight="true" outlineLevel="0" collapsed="false">
      <c r="B201" s="10"/>
      <c r="C201" s="10"/>
      <c r="D201" s="10"/>
      <c r="E201" s="10"/>
      <c r="F201" s="10"/>
      <c r="J201" s="25"/>
      <c r="K201" s="25"/>
      <c r="L201" s="25"/>
      <c r="M201" s="25"/>
      <c r="N201" s="25"/>
      <c r="O201" s="25"/>
    </row>
    <row r="202" customFormat="false" ht="36.75" hidden="false" customHeight="true" outlineLevel="0" collapsed="false">
      <c r="B202" s="37" t="str">
        <f aca="false">SUBSTITUTE(SUBSTITUTE(SUBSTITUTE(SUBSTITUTE(SUBSTITUTE(Txt_P1,"{cabinet}",Cab_Nom),"{societe}",IF($K$181=0,"",INDEX(Clients!$E$2:$E$501,$K$181)&amp;"")),"{date_effet}",$K$183),"{hausse}",$K$184),"{civilite}",$K$182)</f>
        <v>Nous tenons tout d'abord à vous remercier pour la confiance que vous accordez à ALTHO EXPERTISE. Comme chaque année, et conformément aux dispositions de votre lettre de mission, nous procédons à la révision de nos honoraires.</v>
      </c>
      <c r="C202" s="37"/>
      <c r="D202" s="37"/>
      <c r="E202" s="37"/>
      <c r="F202" s="37"/>
      <c r="J202" s="25"/>
      <c r="K202" s="25"/>
      <c r="L202" s="25"/>
      <c r="M202" s="25"/>
      <c r="N202" s="25"/>
      <c r="O202" s="25"/>
    </row>
    <row r="203" customFormat="false" ht="49.5" hidden="false" customHeight="true" outlineLevel="0" collapsed="false">
      <c r="B203" s="37" t="str">
        <f aca="false">SUBSTITUTE(SUBSTITUTE(SUBSTITUTE(SUBSTITUTE(SUBSTITUTE(Txt_P2,"{cabinet}",Cab_Nom),"{societe}",IF($K$181=0,"",INDEX(Clients!$E$2:$E$501,$K$181)&amp;"")),"{date_effet}",$K$183),"{hausse}",$K$184),"{civilite}",$K$182)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03" s="37"/>
      <c r="D203" s="37"/>
      <c r="E203" s="37"/>
      <c r="F203" s="37"/>
      <c r="J203" s="25"/>
      <c r="K203" s="25"/>
      <c r="L203" s="25"/>
      <c r="M203" s="25"/>
      <c r="N203" s="25"/>
      <c r="O203" s="25"/>
    </row>
    <row r="204" customFormat="false" ht="63" hidden="false" customHeight="true" outlineLevel="0" collapsed="false">
      <c r="B204" s="37" t="str">
        <f aca="false">SUBSTITUTE(SUBSTITUTE(SUBSTITUTE(SUBSTITUTE(SUBSTITUTE(Txt_P3,"{cabinet}",Cab_Nom),"{societe}",IF($K$181=0,"",INDEX(Clients!$E$2:$E$501,$K$181)&amp;"")),"{date_effet}",$K$183),"{hausse}",$K$184),"{civilite}",$K$182)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04" s="37"/>
      <c r="D204" s="37"/>
      <c r="E204" s="37"/>
      <c r="F204" s="37"/>
      <c r="J204" s="25"/>
      <c r="K204" s="25"/>
      <c r="L204" s="25"/>
      <c r="M204" s="25"/>
      <c r="N204" s="25"/>
      <c r="O204" s="25"/>
    </row>
    <row r="205" customFormat="false" ht="24" hidden="false" customHeight="true" outlineLevel="0" collapsed="false">
      <c r="B205" s="37" t="str">
        <f aca="false">SUBSTITUTE(SUBSTITUTE(SUBSTITUTE(SUBSTITUTE(SUBSTITUTE(Txt_P4,"{cabinet}",Cab_Nom),"{societe}",IF($K$181=0,"",INDEX(Clients!$E$2:$E$501,$K$181)&amp;"")),"{date_effet}",$K$183),"{hausse}",$K$184),"{civilite}",$K$182)</f>
        <v>À compter du 1er janvier 2027, vos honoraires annuels hors taxes évolueront ainsi (évolution globale : ) :</v>
      </c>
      <c r="C205" s="37"/>
      <c r="D205" s="37"/>
      <c r="E205" s="37"/>
      <c r="F205" s="37"/>
      <c r="J205" s="25"/>
      <c r="K205" s="25"/>
      <c r="L205" s="25"/>
      <c r="M205" s="25"/>
      <c r="N205" s="25"/>
      <c r="O205" s="25"/>
    </row>
    <row r="206" customFormat="false" ht="3.75" hidden="false" customHeight="true" outlineLevel="0" collapsed="false">
      <c r="B206" s="10"/>
      <c r="C206" s="10"/>
      <c r="D206" s="10"/>
      <c r="E206" s="10"/>
      <c r="F206" s="10"/>
      <c r="J206" s="25"/>
      <c r="K206" s="25"/>
      <c r="L206" s="25"/>
      <c r="M206" s="25"/>
      <c r="N206" s="25"/>
      <c r="O206" s="25"/>
    </row>
    <row r="207" customFormat="false" ht="18" hidden="false" customHeight="true" outlineLevel="0" collapsed="false">
      <c r="B207" s="38" t="s">
        <v>148</v>
      </c>
      <c r="C207" s="39" t="s">
        <v>149</v>
      </c>
      <c r="D207" s="39" t="s">
        <v>150</v>
      </c>
      <c r="E207" s="39" t="s">
        <v>151</v>
      </c>
      <c r="F207" s="39" t="s">
        <v>109</v>
      </c>
      <c r="J207" s="25" t="s">
        <v>152</v>
      </c>
      <c r="K207" s="25" t="s">
        <v>153</v>
      </c>
      <c r="L207" s="25" t="s">
        <v>154</v>
      </c>
      <c r="M207" s="25" t="s">
        <v>155</v>
      </c>
      <c r="N207" s="25" t="s">
        <v>156</v>
      </c>
      <c r="O207" s="25" t="s">
        <v>157</v>
      </c>
    </row>
    <row r="208" customFormat="false" ht="16.5" hidden="false" customHeight="true" outlineLevel="0" collapsed="false">
      <c r="B208" s="40" t="str">
        <f aca="false">IFERROR(INDEX($J$208:$J$211,MATCH($O208,$N$208:$N$211,0)),"")</f>
        <v/>
      </c>
      <c r="C208" s="41" t="str">
        <f aca="false">IFERROR(INDEX($K$208:$K$211,MATCH($O208,$N$208:$N$211,0)),"")</f>
        <v/>
      </c>
      <c r="D208" s="42" t="str">
        <f aca="false">IF(OR(E208="",N(C208)=0),"",E208/C208-1)</f>
        <v/>
      </c>
      <c r="E208" s="41" t="str">
        <f aca="false">IFERROR(INDEX($L$208:$L$211,MATCH($O208,$N$208:$N$211,0)),"")</f>
        <v/>
      </c>
      <c r="F208" s="41" t="str">
        <f aca="false">IF(E208="","",E208-C208)</f>
        <v/>
      </c>
      <c r="J208" s="25" t="str">
        <f aca="false">Lib_Compta</f>
        <v>Mission comptable (tenue, révision, bilan, liasse fiscale)</v>
      </c>
      <c r="K208" s="25" t="n">
        <f aca="false">IF($K$181=0,0,N(INDEX(Clients!$K$2:$K$501,$K$181)))</f>
        <v>0</v>
      </c>
      <c r="L208" s="25" t="n">
        <f aca="false">IF($K$181=0,0,N(INDEX(Clients!$P$2:$P$501,$K$181)))</f>
        <v>0</v>
      </c>
      <c r="M208" s="25" t="n">
        <f aca="false">IF(OR(K208&lt;&gt;0,L208&lt;&gt;0),1,0)</f>
        <v>0</v>
      </c>
      <c r="N208" s="25" t="str">
        <f aca="false">IF(M208=1,SUM($M$208:M208),"")</f>
        <v/>
      </c>
      <c r="O208" s="25" t="n">
        <v>1</v>
      </c>
    </row>
    <row r="209" customFormat="false" ht="16.5" hidden="false" customHeight="true" outlineLevel="0" collapsed="false">
      <c r="B209" s="40" t="str">
        <f aca="false">IFERROR(INDEX($J$208:$J$211,MATCH($O209,$N$208:$N$211,0)),"")</f>
        <v/>
      </c>
      <c r="C209" s="41" t="str">
        <f aca="false">IFERROR(INDEX($K$208:$K$211,MATCH($O209,$N$208:$N$211,0)),"")</f>
        <v/>
      </c>
      <c r="D209" s="42" t="str">
        <f aca="false">IF(OR(E209="",N(C209)=0),"",E209/C209-1)</f>
        <v/>
      </c>
      <c r="E209" s="41" t="str">
        <f aca="false">IFERROR(INDEX($L$208:$L$211,MATCH($O209,$N$208:$N$211,0)),"")</f>
        <v/>
      </c>
      <c r="F209" s="41" t="str">
        <f aca="false">IF(E209="","",E209-C209)</f>
        <v/>
      </c>
      <c r="J209" s="25" t="str">
        <f aca="false">Lib_Paye</f>
        <v>Mission sociale (bulletins de paie, DSN, déclarations sociales)</v>
      </c>
      <c r="K209" s="25" t="n">
        <f aca="false">IF($K$181=0,0,N(INDEX(Clients!$L$2:$L$501,$K$181)))</f>
        <v>0</v>
      </c>
      <c r="L209" s="25" t="n">
        <f aca="false">IF($K$181=0,0,N(INDEX(Clients!$Q$2:$Q$501,$K$181)))</f>
        <v>0</v>
      </c>
      <c r="M209" s="25" t="n">
        <f aca="false">IF(OR(K209&lt;&gt;0,L209&lt;&gt;0),1,0)</f>
        <v>0</v>
      </c>
      <c r="N209" s="25" t="str">
        <f aca="false">IF(M209=1,SUM($M$208:M209),"")</f>
        <v/>
      </c>
      <c r="O209" s="25" t="n">
        <v>2</v>
      </c>
    </row>
    <row r="210" customFormat="false" ht="16.5" hidden="false" customHeight="true" outlineLevel="0" collapsed="false">
      <c r="B210" s="40" t="str">
        <f aca="false">IFERROR(INDEX($J$208:$J$211,MATCH($O210,$N$208:$N$211,0)),"")</f>
        <v/>
      </c>
      <c r="C210" s="41" t="str">
        <f aca="false">IFERROR(INDEX($K$208:$K$211,MATCH($O210,$N$208:$N$211,0)),"")</f>
        <v/>
      </c>
      <c r="D210" s="42" t="str">
        <f aca="false">IF(OR(E210="",N(C210)=0),"",E210/C210-1)</f>
        <v/>
      </c>
      <c r="E210" s="41" t="str">
        <f aca="false">IFERROR(INDEX($L$208:$L$211,MATCH($O210,$N$208:$N$211,0)),"")</f>
        <v/>
      </c>
      <c r="F210" s="41" t="str">
        <f aca="false">IF(E210="","",E210-C210)</f>
        <v/>
      </c>
      <c r="J210" s="25" t="str">
        <f aca="false">Lib_Jur</f>
        <v>Mission juridique (approbation des comptes, secrétariat juridique)</v>
      </c>
      <c r="K210" s="25" t="n">
        <f aca="false">IF($K$181=0,0,N(INDEX(Clients!$M$2:$M$501,$K$181)))</f>
        <v>0</v>
      </c>
      <c r="L210" s="25" t="n">
        <f aca="false">IF($K$181=0,0,N(INDEX(Clients!$R$2:$R$501,$K$181)))</f>
        <v>0</v>
      </c>
      <c r="M210" s="25" t="n">
        <f aca="false">IF(OR(K210&lt;&gt;0,L210&lt;&gt;0),1,0)</f>
        <v>0</v>
      </c>
      <c r="N210" s="25" t="str">
        <f aca="false">IF(M210=1,SUM($M$208:M210),"")</f>
        <v/>
      </c>
      <c r="O210" s="25" t="n">
        <v>3</v>
      </c>
    </row>
    <row r="211" customFormat="false" ht="16.5" hidden="false" customHeight="true" outlineLevel="0" collapsed="false">
      <c r="B211" s="40" t="str">
        <f aca="false">IFERROR(INDEX($J$208:$J$211,MATCH($O211,$N$208:$N$211,0)),"")</f>
        <v/>
      </c>
      <c r="C211" s="41" t="str">
        <f aca="false">IFERROR(INDEX($K$208:$K$211,MATCH($O211,$N$208:$N$211,0)),"")</f>
        <v/>
      </c>
      <c r="D211" s="42" t="str">
        <f aca="false">IF(OR(E211="",N(C211)=0),"",E211/C211-1)</f>
        <v/>
      </c>
      <c r="E211" s="41" t="str">
        <f aca="false">IFERROR(INDEX($L$208:$L$211,MATCH($O211,$N$208:$N$211,0)),"")</f>
        <v/>
      </c>
      <c r="F211" s="41" t="str">
        <f aca="false">IF(E211="","",E211-C211)</f>
        <v/>
      </c>
      <c r="J211" s="25" t="str">
        <f aca="false">Lib_PA</f>
        <v>Plateforme agréée – facturation électronique</v>
      </c>
      <c r="K211" s="25" t="n">
        <f aca="false">IF($K$181=0,0,N(INDEX(Clients!$N$2:$N$501,$K$181)))</f>
        <v>0</v>
      </c>
      <c r="L211" s="25" t="n">
        <f aca="false">IF($K$181=0,0,N(INDEX(Clients!$S$2:$S$501,$K$181)))</f>
        <v>0</v>
      </c>
      <c r="M211" s="25" t="n">
        <f aca="false">IF(OR(K211&lt;&gt;0,L211&lt;&gt;0),1,0)</f>
        <v>0</v>
      </c>
      <c r="N211" s="25" t="str">
        <f aca="false">IF(M211=1,SUM($M$208:M211),"")</f>
        <v/>
      </c>
      <c r="O211" s="25" t="n">
        <v>4</v>
      </c>
    </row>
    <row r="212" customFormat="false" ht="18" hidden="false" customHeight="true" outlineLevel="0" collapsed="false">
      <c r="B212" s="43" t="s">
        <v>158</v>
      </c>
      <c r="C212" s="44" t="n">
        <f aca="false">SUM(K208:K211)</f>
        <v>0</v>
      </c>
      <c r="D212" s="45" t="str">
        <f aca="false">IF(N(C212)=0,"",E212/C212-1)</f>
        <v/>
      </c>
      <c r="E212" s="44" t="n">
        <f aca="false">SUM(L208:L211)</f>
        <v>0</v>
      </c>
      <c r="F212" s="44" t="n">
        <f aca="false">E212-C212</f>
        <v>0</v>
      </c>
    </row>
    <row r="213" customFormat="false" ht="15" hidden="false" customHeight="false" outlineLevel="0" collapsed="false">
      <c r="B213" s="46" t="str">
        <f aca="false">IF(N(Nb_Mensualites)=0,"","Soit "&amp;FIXED(E212/Nb_Mensualites,2)&amp;" € HT par échéance ("&amp;Nb_Mensualites&amp;" échéances), "&amp;FIXED(E212/Nb_Mensualites*(1+Taux_TVA),2)&amp;" € TTC.")</f>
        <v>Soit 0.00 € HT par échéance (12 échéances), 0.00 € TTC.</v>
      </c>
      <c r="C213" s="46"/>
      <c r="D213" s="46"/>
      <c r="E213" s="46"/>
      <c r="F213" s="46"/>
    </row>
    <row r="214" customFormat="false" ht="7.5" hidden="false" customHeight="true" outlineLevel="0" collapsed="false">
      <c r="B214" s="10"/>
      <c r="C214" s="10"/>
      <c r="D214" s="10"/>
      <c r="E214" s="10"/>
      <c r="F214" s="10"/>
    </row>
    <row r="215" customFormat="false" ht="36.75" hidden="false" customHeight="true" outlineLevel="0" collapsed="false">
      <c r="B215" s="37" t="str">
        <f aca="false">SUBSTITUTE(SUBSTITUTE(SUBSTITUTE(SUBSTITUTE(SUBSTITUTE(Txt_P5,"{cabinet}",Cab_Nom),"{societe}",IF($K$181=0,"",INDEX(Clients!$E$2:$E$501,$K$181)&amp;"")),"{date_effet}",$K$183),"{hausse}",$K$184),"{civilite}",$K$182)</f>
        <v>Les autres conditions de votre lettre de mission demeurent inchangées. Les nouveaux montants seront appliqués automatiquement sur vos prochaines factures et échéances de prélèvement.</v>
      </c>
      <c r="C215" s="37"/>
      <c r="D215" s="37"/>
      <c r="E215" s="37"/>
      <c r="F215" s="37"/>
    </row>
    <row r="216" customFormat="false" ht="36.75" hidden="false" customHeight="true" outlineLevel="0" collapsed="false">
      <c r="B216" s="37" t="str">
        <f aca="false">SUBSTITUTE(SUBSTITUTE(SUBSTITUTE(SUBSTITUTE(SUBSTITUTE(Txt_P6,"{cabinet}",Cab_Nom),"{societe}",IF($K$181=0,"",INDEX(Clients!$E$2:$E$501,$K$181)&amp;"")),"{date_effet}",$K$183),"{hausse}",$K$184),"{civilite}",$K$182)</f>
        <v>Votre interlocuteur habituel reste à votre entière disposition pour répondre à vos questions et faire le point sur l'évolution de vos besoins.</v>
      </c>
      <c r="C216" s="37"/>
      <c r="D216" s="37"/>
      <c r="E216" s="37"/>
      <c r="F216" s="37"/>
    </row>
    <row r="217" customFormat="false" ht="24" hidden="false" customHeight="true" outlineLevel="0" collapsed="false">
      <c r="B217" s="37" t="str">
        <f aca="false">SUBSTITUTE(SUBSTITUTE(SUBSTITUTE(SUBSTITUTE(SUBSTITUTE(Txt_Politesse,"{cabinet}",Cab_Nom),"{societe}",IF($K$181=0,"",INDEX(Clients!$E$2:$E$501,$K$181)&amp;"")),"{date_effet}",$K$183),"{hausse}",$K$184),"{civilite}",$K$182)</f>
        <v>Nous vous prions d'agréer, Madame, Monsieur, l'expression de nos salutations distinguées.</v>
      </c>
      <c r="C217" s="37"/>
      <c r="D217" s="37"/>
      <c r="E217" s="37"/>
      <c r="F217" s="37"/>
    </row>
    <row r="218" customFormat="false" ht="15" hidden="false" customHeight="false" outlineLevel="0" collapsed="false">
      <c r="B218" s="10"/>
      <c r="C218" s="10"/>
      <c r="D218" s="10"/>
      <c r="E218" s="10"/>
      <c r="F218" s="10"/>
    </row>
    <row r="219" customFormat="false" ht="15" hidden="false" customHeight="false" outlineLevel="0" collapsed="false">
      <c r="B219" s="10"/>
      <c r="C219" s="10"/>
      <c r="D219" s="34" t="str">
        <f aca="false">Signataire</f>
        <v>Prénom NOM</v>
      </c>
      <c r="E219" s="34"/>
      <c r="F219" s="34"/>
    </row>
    <row r="220" customFormat="false" ht="15" hidden="false" customHeight="false" outlineLevel="0" collapsed="false">
      <c r="B220" s="10"/>
      <c r="C220" s="10"/>
      <c r="D220" s="47" t="str">
        <f aca="false">Signataire_Titre</f>
        <v>Expert-comptable associé</v>
      </c>
      <c r="E220" s="47"/>
      <c r="F220" s="47"/>
    </row>
    <row r="221" customFormat="false" ht="15.75" hidden="false" customHeight="true" outlineLevel="0" collapsed="false">
      <c r="B221" s="10"/>
      <c r="C221" s="10"/>
      <c r="D221" s="10"/>
      <c r="E221" s="10"/>
      <c r="F221" s="10"/>
    </row>
    <row r="222" customFormat="false" ht="15.75" hidden="false" customHeight="true" outlineLevel="0" collapsed="false">
      <c r="B222" s="10"/>
      <c r="C222" s="10"/>
      <c r="D222" s="10"/>
      <c r="E222" s="10"/>
      <c r="F222" s="10"/>
    </row>
    <row r="223" customFormat="false" ht="15.75" hidden="false" customHeight="true" outlineLevel="0" collapsed="false">
      <c r="B223" s="10"/>
      <c r="C223" s="10"/>
      <c r="D223" s="10"/>
      <c r="E223" s="10"/>
      <c r="F223" s="10"/>
    </row>
    <row r="224" customFormat="false" ht="15.75" hidden="false" customHeight="true" outlineLevel="0" collapsed="false">
      <c r="B224" s="10"/>
      <c r="C224" s="10"/>
      <c r="D224" s="10"/>
      <c r="E224" s="10"/>
      <c r="F224" s="10"/>
    </row>
    <row r="225" customFormat="false" ht="24" hidden="false" customHeight="true" outlineLevel="0" collapsed="false">
      <c r="B225" s="48" t="str">
        <f aca="false">Cab_Mentions</f>
        <v>ALTHO EXPERTISE · SAS au capital de 10 000 € · RCS Pontoise 919 706 325 · TVA FR62919706325 · Société d'expertise comptable inscrite au Tableau de l'Ordre des experts-comptables de Paris Île-de-France</v>
      </c>
      <c r="C225" s="48"/>
      <c r="D225" s="48"/>
      <c r="E225" s="48"/>
      <c r="F225" s="48"/>
    </row>
    <row r="226" customFormat="false" ht="15" hidden="false" customHeight="false" outlineLevel="0" collapsed="false">
      <c r="B226" s="10"/>
      <c r="C226" s="10"/>
      <c r="D226" s="10"/>
      <c r="E226" s="10"/>
      <c r="F226" s="10"/>
      <c r="J226" s="25" t="s">
        <v>142</v>
      </c>
      <c r="K226" s="25" t="n">
        <f aca="false">IFERROR(MATCH(6,Clients!$Z$2:$Z$501,0),0)</f>
        <v>0</v>
      </c>
      <c r="L226" s="25"/>
      <c r="M226" s="25"/>
      <c r="N226" s="25"/>
      <c r="O226" s="25"/>
    </row>
    <row r="227" customFormat="false" ht="21.75" hidden="false" customHeight="true" outlineLevel="0" collapsed="false">
      <c r="B227" s="26" t="str">
        <f aca="false">Cab_Nom</f>
        <v>ALTHO EXPERTISE</v>
      </c>
      <c r="C227" s="26"/>
      <c r="D227" s="10"/>
      <c r="E227" s="27" t="str">
        <f aca="false">IF($K$226=0,"","Réf. client : "&amp;INDEX(Clients!$A$2:$A$501,$K$226))</f>
        <v/>
      </c>
      <c r="F227" s="27"/>
      <c r="J227" s="25" t="s">
        <v>144</v>
      </c>
      <c r="K227" s="25" t="str">
        <f aca="false">IF(IF($K$226=0,"",INDEX(Clients!$B$2:$B$501,$K$226)&amp;"")="Mme","Madame",IF(IF($K$226=0,"",INDEX(Clients!$B$2:$B$501,$K$226)&amp;"")="M.","Monsieur","Madame, Monsieur"))</f>
        <v>Madame, Monsieur</v>
      </c>
      <c r="L227" s="25"/>
      <c r="M227" s="25"/>
      <c r="N227" s="25"/>
      <c r="O227" s="25"/>
    </row>
    <row r="228" customFormat="false" ht="15" hidden="false" customHeight="false" outlineLevel="0" collapsed="false">
      <c r="B228" s="29" t="str">
        <f aca="false">Cab_Adr1</f>
        <v>141 rue Charles de Gaulle</v>
      </c>
      <c r="C228" s="29"/>
      <c r="D228" s="10"/>
      <c r="E228" s="10"/>
      <c r="F228" s="10"/>
      <c r="J228" s="25" t="s">
        <v>145</v>
      </c>
      <c r="K228" s="25" t="str">
        <f aca="false">DAY(Date_Effet)&amp;IF(DAY(Date_Effet)=1,"er","")&amp;" "&amp;INDEX(Liste_Mois,MONTH(Date_Effet))&amp;" "&amp;YEAR(Date_Effet)</f>
        <v>1er janvier 2027</v>
      </c>
      <c r="L228" s="25"/>
      <c r="M228" s="25"/>
      <c r="N228" s="25"/>
      <c r="O228" s="25"/>
    </row>
    <row r="229" customFormat="false" ht="15" hidden="false" customHeight="false" outlineLevel="0" collapsed="false">
      <c r="B229" s="29" t="str">
        <f aca="false">Cab_CPVille</f>
        <v>95130 LE PLESSIS-BOUCHARD</v>
      </c>
      <c r="C229" s="29"/>
      <c r="D229" s="10"/>
      <c r="E229" s="10"/>
      <c r="F229" s="10"/>
      <c r="J229" s="25" t="s">
        <v>146</v>
      </c>
      <c r="K229" s="25" t="str">
        <f aca="false">IF(SUM($K$253:$K$256)=0,"",FIXED((SUM($L$253:$L$256)/SUM($K$253:$K$256)-1)*100,1)&amp;" %")</f>
        <v/>
      </c>
      <c r="L229" s="25"/>
      <c r="M229" s="25"/>
      <c r="N229" s="25"/>
      <c r="O229" s="25"/>
    </row>
    <row r="230" customFormat="false" ht="15" hidden="false" customHeight="false" outlineLevel="0" collapsed="false">
      <c r="B230" s="29" t="str">
        <f aca="false">Cab_Contact</f>
        <v>Tél. 01 34 14 53 45  ·  altho@altho-experts.com  ·  altho-experts.com</v>
      </c>
      <c r="C230" s="29"/>
      <c r="D230" s="10"/>
      <c r="E230" s="10"/>
      <c r="F230" s="10"/>
      <c r="J230" s="25"/>
      <c r="K230" s="25"/>
      <c r="L230" s="25"/>
      <c r="M230" s="25"/>
      <c r="N230" s="25"/>
      <c r="O230" s="25"/>
    </row>
    <row r="231" customFormat="false" ht="6" hidden="false" customHeight="true" outlineLevel="0" collapsed="false">
      <c r="B231" s="32"/>
      <c r="C231" s="32"/>
      <c r="D231" s="32"/>
      <c r="E231" s="32"/>
      <c r="F231" s="32"/>
      <c r="J231" s="25"/>
      <c r="K231" s="25"/>
      <c r="L231" s="25"/>
      <c r="M231" s="25"/>
      <c r="N231" s="25"/>
      <c r="O231" s="25"/>
    </row>
    <row r="232" customFormat="false" ht="13.5" hidden="false" customHeight="true" outlineLevel="0" collapsed="false">
      <c r="B232" s="10"/>
      <c r="C232" s="10"/>
      <c r="D232" s="10"/>
      <c r="E232" s="10"/>
      <c r="F232" s="10"/>
      <c r="J232" s="25"/>
      <c r="K232" s="25"/>
      <c r="L232" s="25"/>
      <c r="M232" s="25"/>
      <c r="N232" s="25"/>
      <c r="O232" s="25"/>
    </row>
    <row r="233" customFormat="false" ht="13.5" hidden="false" customHeight="true" outlineLevel="0" collapsed="false">
      <c r="B233" s="10"/>
      <c r="C233" s="10"/>
      <c r="D233" s="10"/>
      <c r="E233" s="10"/>
      <c r="F233" s="10"/>
      <c r="J233" s="25"/>
      <c r="K233" s="25"/>
      <c r="L233" s="25"/>
      <c r="M233" s="25"/>
      <c r="N233" s="25"/>
      <c r="O233" s="25"/>
    </row>
    <row r="234" customFormat="false" ht="13.5" hidden="false" customHeight="true" outlineLevel="0" collapsed="false">
      <c r="B234" s="10"/>
      <c r="C234" s="10"/>
      <c r="D234" s="10"/>
      <c r="E234" s="10"/>
      <c r="F234" s="10"/>
      <c r="J234" s="25"/>
      <c r="K234" s="25"/>
      <c r="L234" s="25"/>
      <c r="M234" s="25"/>
      <c r="N234" s="25"/>
      <c r="O234" s="25"/>
    </row>
    <row r="235" customFormat="false" ht="15" hidden="false" customHeight="true" outlineLevel="0" collapsed="false">
      <c r="B235" s="10"/>
      <c r="C235" s="10"/>
      <c r="D235" s="34" t="str">
        <f aca="false">IF($K$226=0,"",INDEX(Clients!$E$2:$E$501,$K$226)&amp;"")</f>
        <v/>
      </c>
      <c r="E235" s="34"/>
      <c r="F235" s="34"/>
      <c r="J235" s="25"/>
      <c r="K235" s="25"/>
      <c r="L235" s="25"/>
      <c r="M235" s="25"/>
      <c r="N235" s="25"/>
      <c r="O235" s="25"/>
    </row>
    <row r="236" customFormat="false" ht="15" hidden="false" customHeight="true" outlineLevel="0" collapsed="false">
      <c r="B236" s="10"/>
      <c r="C236" s="10"/>
      <c r="D236" s="35" t="str">
        <f aca="false">IF(IF($K$226=0,"",INDEX(Clients!$D$2:$D$501,$K$226)&amp;"")="","","À l'attention de "&amp;TRIM(IF($K$226=0,"",INDEX(Clients!$B$2:$B$501,$K$226)&amp;"")&amp;" "&amp;IF($K$226=0,"",INDEX(Clients!$C$2:$C$501,$K$226)&amp;"")&amp;" "&amp;IF($K$226=0,"",INDEX(Clients!$D$2:$D$501,$K$226)&amp;"")))</f>
        <v/>
      </c>
      <c r="E236" s="35"/>
      <c r="F236" s="35"/>
      <c r="J236" s="25"/>
      <c r="K236" s="25"/>
      <c r="L236" s="25"/>
      <c r="M236" s="25"/>
      <c r="N236" s="25"/>
      <c r="O236" s="25"/>
    </row>
    <row r="237" customFormat="false" ht="15" hidden="false" customHeight="true" outlineLevel="0" collapsed="false">
      <c r="B237" s="10"/>
      <c r="C237" s="10"/>
      <c r="D237" s="35" t="str">
        <f aca="false">IF($K$226=0,"",INDEX(Clients!$F$2:$F$501,$K$226)&amp;"")</f>
        <v/>
      </c>
      <c r="E237" s="35"/>
      <c r="F237" s="35"/>
      <c r="J237" s="25"/>
      <c r="K237" s="25"/>
      <c r="L237" s="25"/>
      <c r="M237" s="25"/>
      <c r="N237" s="25"/>
      <c r="O237" s="25"/>
    </row>
    <row r="238" customFormat="false" ht="15" hidden="false" customHeight="true" outlineLevel="0" collapsed="false">
      <c r="B238" s="10"/>
      <c r="C238" s="10"/>
      <c r="D238" s="35" t="str">
        <f aca="false">IF(IF($K$226=0,"",INDEX(Clients!$G$2:$G$501,$K$226)&amp;"")="",TRIM(IF($K$226=0,"",INDEX(Clients!$H$2:$H$501,$K$226)&amp;"")&amp;" "&amp;UPPER(IF($K$226=0,"",INDEX(Clients!$I$2:$I$501,$K$226)&amp;""))),IF($K$226=0,"",INDEX(Clients!$G$2:$G$501,$K$226)&amp;""))</f>
        <v/>
      </c>
      <c r="E238" s="35"/>
      <c r="F238" s="35"/>
      <c r="J238" s="25"/>
      <c r="K238" s="25"/>
      <c r="L238" s="25"/>
      <c r="M238" s="25"/>
      <c r="N238" s="25"/>
      <c r="O238" s="25"/>
    </row>
    <row r="239" customFormat="false" ht="15" hidden="false" customHeight="true" outlineLevel="0" collapsed="false">
      <c r="B239" s="10"/>
      <c r="C239" s="10"/>
      <c r="D239" s="35" t="str">
        <f aca="false">IF(IF($K$226=0,"",INDEX(Clients!$G$2:$G$501,$K$226)&amp;"")="","",TRIM(IF($K$226=0,"",INDEX(Clients!$H$2:$H$501,$K$226)&amp;"")&amp;" "&amp;UPPER(IF($K$226=0,"",INDEX(Clients!$I$2:$I$501,$K$226)&amp;""))))</f>
        <v/>
      </c>
      <c r="E239" s="35"/>
      <c r="F239" s="35"/>
      <c r="J239" s="25"/>
      <c r="K239" s="25"/>
      <c r="L239" s="25"/>
      <c r="M239" s="25"/>
      <c r="N239" s="25"/>
      <c r="O239" s="25"/>
    </row>
    <row r="240" customFormat="false" ht="25.5" hidden="false" customHeight="true" outlineLevel="0" collapsed="false">
      <c r="B240" s="10"/>
      <c r="C240" s="10"/>
      <c r="D240" s="10"/>
      <c r="E240" s="10"/>
      <c r="F240" s="10"/>
      <c r="J240" s="25"/>
      <c r="K240" s="25"/>
      <c r="L240" s="25"/>
      <c r="M240" s="25"/>
      <c r="N240" s="25"/>
      <c r="O240" s="25"/>
    </row>
    <row r="241" customFormat="false" ht="15" hidden="false" customHeight="false" outlineLevel="0" collapsed="false">
      <c r="B241" s="10"/>
      <c r="C241" s="10"/>
      <c r="D241" s="36" t="str">
        <f aca="false">Cab_Ville&amp;", le "&amp;DAY(Date_Courrier)&amp;IF(DAY(Date_Courrier)=1,"er","")&amp;" "&amp;INDEX(Liste_Mois,MONTH(Date_Courrier))&amp;" "&amp;YEAR(Date_Courrier)</f>
        <v>Le Plessis-Bouchard, le 22 septembre 2026</v>
      </c>
      <c r="E241" s="36"/>
      <c r="F241" s="36"/>
      <c r="J241" s="25"/>
      <c r="K241" s="25"/>
      <c r="L241" s="25"/>
      <c r="M241" s="25"/>
      <c r="N241" s="25"/>
      <c r="O241" s="25"/>
    </row>
    <row r="242" customFormat="false" ht="19.5" hidden="false" customHeight="true" outlineLevel="0" collapsed="false">
      <c r="B242" s="10"/>
      <c r="C242" s="10"/>
      <c r="D242" s="10"/>
      <c r="E242" s="10"/>
      <c r="F242" s="10"/>
      <c r="J242" s="25"/>
      <c r="K242" s="25"/>
      <c r="L242" s="25"/>
      <c r="M242" s="25"/>
      <c r="N242" s="25"/>
      <c r="O242" s="25"/>
    </row>
    <row r="243" customFormat="false" ht="15" hidden="false" customHeight="false" outlineLevel="0" collapsed="false">
      <c r="B243" s="34" t="str">
        <f aca="false">SUBSTITUTE(SUBSTITUTE(SUBSTITUTE(SUBSTITUTE(SUBSTITUTE(Txt_Objet,"{cabinet}",Cab_Nom),"{societe}",IF($K$226=0,"",INDEX(Clients!$E$2:$E$501,$K$226)&amp;"")),"{date_effet}",$K$228),"{hausse}",$K$229),"{civilite}",$K$227)</f>
        <v>Objet : révision de nos honoraires au 1er janvier 2027</v>
      </c>
      <c r="C243" s="34"/>
      <c r="D243" s="34"/>
      <c r="E243" s="34"/>
      <c r="F243" s="34"/>
      <c r="J243" s="25"/>
      <c r="K243" s="25"/>
      <c r="L243" s="25"/>
      <c r="M243" s="25"/>
      <c r="N243" s="25"/>
      <c r="O243" s="25"/>
    </row>
    <row r="244" customFormat="false" ht="13.5" hidden="false" customHeight="true" outlineLevel="0" collapsed="false">
      <c r="B244" s="10"/>
      <c r="C244" s="10"/>
      <c r="D244" s="10"/>
      <c r="E244" s="10"/>
      <c r="F244" s="10"/>
      <c r="J244" s="25"/>
      <c r="K244" s="25"/>
      <c r="L244" s="25"/>
      <c r="M244" s="25"/>
      <c r="N244" s="25"/>
      <c r="O244" s="25"/>
    </row>
    <row r="245" customFormat="false" ht="15" hidden="false" customHeight="false" outlineLevel="0" collapsed="false">
      <c r="B245" s="10" t="str">
        <f aca="false">$K$227&amp;","</f>
        <v>Madame, Monsieur,</v>
      </c>
      <c r="C245" s="10"/>
      <c r="D245" s="10"/>
      <c r="E245" s="10"/>
      <c r="F245" s="10"/>
      <c r="J245" s="25"/>
      <c r="K245" s="25"/>
      <c r="L245" s="25"/>
      <c r="M245" s="25"/>
      <c r="N245" s="25"/>
      <c r="O245" s="25"/>
    </row>
    <row r="246" customFormat="false" ht="6" hidden="false" customHeight="true" outlineLevel="0" collapsed="false">
      <c r="B246" s="10"/>
      <c r="C246" s="10"/>
      <c r="D246" s="10"/>
      <c r="E246" s="10"/>
      <c r="F246" s="10"/>
      <c r="J246" s="25"/>
      <c r="K246" s="25"/>
      <c r="L246" s="25"/>
      <c r="M246" s="25"/>
      <c r="N246" s="25"/>
      <c r="O246" s="25"/>
    </row>
    <row r="247" customFormat="false" ht="36.75" hidden="false" customHeight="true" outlineLevel="0" collapsed="false">
      <c r="B247" s="37" t="str">
        <f aca="false">SUBSTITUTE(SUBSTITUTE(SUBSTITUTE(SUBSTITUTE(SUBSTITUTE(Txt_P1,"{cabinet}",Cab_Nom),"{societe}",IF($K$226=0,"",INDEX(Clients!$E$2:$E$501,$K$226)&amp;"")),"{date_effet}",$K$228),"{hausse}",$K$229),"{civilite}",$K$227)</f>
        <v>Nous tenons tout d'abord à vous remercier pour la confiance que vous accordez à ALTHO EXPERTISE. Comme chaque année, et conformément aux dispositions de votre lettre de mission, nous procédons à la révision de nos honoraires.</v>
      </c>
      <c r="C247" s="37"/>
      <c r="D247" s="37"/>
      <c r="E247" s="37"/>
      <c r="F247" s="37"/>
      <c r="J247" s="25"/>
      <c r="K247" s="25"/>
      <c r="L247" s="25"/>
      <c r="M247" s="25"/>
      <c r="N247" s="25"/>
      <c r="O247" s="25"/>
    </row>
    <row r="248" customFormat="false" ht="49.5" hidden="false" customHeight="true" outlineLevel="0" collapsed="false">
      <c r="B248" s="37" t="str">
        <f aca="false">SUBSTITUTE(SUBSTITUTE(SUBSTITUTE(SUBSTITUTE(SUBSTITUTE(Txt_P2,"{cabinet}",Cab_Nom),"{societe}",IF($K$226=0,"",INDEX(Clients!$E$2:$E$501,$K$226)&amp;"")),"{date_effet}",$K$228),"{hausse}",$K$229),"{civilite}",$K$227)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48" s="37"/>
      <c r="D248" s="37"/>
      <c r="E248" s="37"/>
      <c r="F248" s="37"/>
      <c r="J248" s="25"/>
      <c r="K248" s="25"/>
      <c r="L248" s="25"/>
      <c r="M248" s="25"/>
      <c r="N248" s="25"/>
      <c r="O248" s="25"/>
    </row>
    <row r="249" customFormat="false" ht="63" hidden="false" customHeight="true" outlineLevel="0" collapsed="false">
      <c r="B249" s="37" t="str">
        <f aca="false">SUBSTITUTE(SUBSTITUTE(SUBSTITUTE(SUBSTITUTE(SUBSTITUTE(Txt_P3,"{cabinet}",Cab_Nom),"{societe}",IF($K$226=0,"",INDEX(Clients!$E$2:$E$501,$K$226)&amp;"")),"{date_effet}",$K$228),"{hausse}",$K$229),"{civilite}",$K$227)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49" s="37"/>
      <c r="D249" s="37"/>
      <c r="E249" s="37"/>
      <c r="F249" s="37"/>
      <c r="J249" s="25"/>
      <c r="K249" s="25"/>
      <c r="L249" s="25"/>
      <c r="M249" s="25"/>
      <c r="N249" s="25"/>
      <c r="O249" s="25"/>
    </row>
    <row r="250" customFormat="false" ht="24" hidden="false" customHeight="true" outlineLevel="0" collapsed="false">
      <c r="B250" s="37" t="str">
        <f aca="false">SUBSTITUTE(SUBSTITUTE(SUBSTITUTE(SUBSTITUTE(SUBSTITUTE(Txt_P4,"{cabinet}",Cab_Nom),"{societe}",IF($K$226=0,"",INDEX(Clients!$E$2:$E$501,$K$226)&amp;"")),"{date_effet}",$K$228),"{hausse}",$K$229),"{civilite}",$K$227)</f>
        <v>À compter du 1er janvier 2027, vos honoraires annuels hors taxes évolueront ainsi (évolution globale : ) :</v>
      </c>
      <c r="C250" s="37"/>
      <c r="D250" s="37"/>
      <c r="E250" s="37"/>
      <c r="F250" s="37"/>
      <c r="J250" s="25"/>
      <c r="K250" s="25"/>
      <c r="L250" s="25"/>
      <c r="M250" s="25"/>
      <c r="N250" s="25"/>
      <c r="O250" s="25"/>
    </row>
    <row r="251" customFormat="false" ht="3.75" hidden="false" customHeight="true" outlineLevel="0" collapsed="false">
      <c r="B251" s="10"/>
      <c r="C251" s="10"/>
      <c r="D251" s="10"/>
      <c r="E251" s="10"/>
      <c r="F251" s="10"/>
      <c r="J251" s="25"/>
      <c r="K251" s="25"/>
      <c r="L251" s="25"/>
      <c r="M251" s="25"/>
      <c r="N251" s="25"/>
      <c r="O251" s="25"/>
    </row>
    <row r="252" customFormat="false" ht="18" hidden="false" customHeight="true" outlineLevel="0" collapsed="false">
      <c r="B252" s="38" t="s">
        <v>148</v>
      </c>
      <c r="C252" s="39" t="s">
        <v>149</v>
      </c>
      <c r="D252" s="39" t="s">
        <v>150</v>
      </c>
      <c r="E252" s="39" t="s">
        <v>151</v>
      </c>
      <c r="F252" s="39" t="s">
        <v>109</v>
      </c>
      <c r="J252" s="25" t="s">
        <v>152</v>
      </c>
      <c r="K252" s="25" t="s">
        <v>153</v>
      </c>
      <c r="L252" s="25" t="s">
        <v>154</v>
      </c>
      <c r="M252" s="25" t="s">
        <v>155</v>
      </c>
      <c r="N252" s="25" t="s">
        <v>156</v>
      </c>
      <c r="O252" s="25" t="s">
        <v>157</v>
      </c>
    </row>
    <row r="253" customFormat="false" ht="16.5" hidden="false" customHeight="true" outlineLevel="0" collapsed="false">
      <c r="B253" s="40" t="str">
        <f aca="false">IFERROR(INDEX($J$253:$J$256,MATCH($O253,$N$253:$N$256,0)),"")</f>
        <v/>
      </c>
      <c r="C253" s="41" t="str">
        <f aca="false">IFERROR(INDEX($K$253:$K$256,MATCH($O253,$N$253:$N$256,0)),"")</f>
        <v/>
      </c>
      <c r="D253" s="42" t="str">
        <f aca="false">IF(OR(E253="",N(C253)=0),"",E253/C253-1)</f>
        <v/>
      </c>
      <c r="E253" s="41" t="str">
        <f aca="false">IFERROR(INDEX($L$253:$L$256,MATCH($O253,$N$253:$N$256,0)),"")</f>
        <v/>
      </c>
      <c r="F253" s="41" t="str">
        <f aca="false">IF(E253="","",E253-C253)</f>
        <v/>
      </c>
      <c r="J253" s="25" t="str">
        <f aca="false">Lib_Compta</f>
        <v>Mission comptable (tenue, révision, bilan, liasse fiscale)</v>
      </c>
      <c r="K253" s="25" t="n">
        <f aca="false">IF($K$226=0,0,N(INDEX(Clients!$K$2:$K$501,$K$226)))</f>
        <v>0</v>
      </c>
      <c r="L253" s="25" t="n">
        <f aca="false">IF($K$226=0,0,N(INDEX(Clients!$P$2:$P$501,$K$226)))</f>
        <v>0</v>
      </c>
      <c r="M253" s="25" t="n">
        <f aca="false">IF(OR(K253&lt;&gt;0,L253&lt;&gt;0),1,0)</f>
        <v>0</v>
      </c>
      <c r="N253" s="25" t="str">
        <f aca="false">IF(M253=1,SUM($M$253:M253),"")</f>
        <v/>
      </c>
      <c r="O253" s="25" t="n">
        <v>1</v>
      </c>
    </row>
    <row r="254" customFormat="false" ht="16.5" hidden="false" customHeight="true" outlineLevel="0" collapsed="false">
      <c r="B254" s="40" t="str">
        <f aca="false">IFERROR(INDEX($J$253:$J$256,MATCH($O254,$N$253:$N$256,0)),"")</f>
        <v/>
      </c>
      <c r="C254" s="41" t="str">
        <f aca="false">IFERROR(INDEX($K$253:$K$256,MATCH($O254,$N$253:$N$256,0)),"")</f>
        <v/>
      </c>
      <c r="D254" s="42" t="str">
        <f aca="false">IF(OR(E254="",N(C254)=0),"",E254/C254-1)</f>
        <v/>
      </c>
      <c r="E254" s="41" t="str">
        <f aca="false">IFERROR(INDEX($L$253:$L$256,MATCH($O254,$N$253:$N$256,0)),"")</f>
        <v/>
      </c>
      <c r="F254" s="41" t="str">
        <f aca="false">IF(E254="","",E254-C254)</f>
        <v/>
      </c>
      <c r="J254" s="25" t="str">
        <f aca="false">Lib_Paye</f>
        <v>Mission sociale (bulletins de paie, DSN, déclarations sociales)</v>
      </c>
      <c r="K254" s="25" t="n">
        <f aca="false">IF($K$226=0,0,N(INDEX(Clients!$L$2:$L$501,$K$226)))</f>
        <v>0</v>
      </c>
      <c r="L254" s="25" t="n">
        <f aca="false">IF($K$226=0,0,N(INDEX(Clients!$Q$2:$Q$501,$K$226)))</f>
        <v>0</v>
      </c>
      <c r="M254" s="25" t="n">
        <f aca="false">IF(OR(K254&lt;&gt;0,L254&lt;&gt;0),1,0)</f>
        <v>0</v>
      </c>
      <c r="N254" s="25" t="str">
        <f aca="false">IF(M254=1,SUM($M$253:M254),"")</f>
        <v/>
      </c>
      <c r="O254" s="25" t="n">
        <v>2</v>
      </c>
    </row>
    <row r="255" customFormat="false" ht="16.5" hidden="false" customHeight="true" outlineLevel="0" collapsed="false">
      <c r="B255" s="40" t="str">
        <f aca="false">IFERROR(INDEX($J$253:$J$256,MATCH($O255,$N$253:$N$256,0)),"")</f>
        <v/>
      </c>
      <c r="C255" s="41" t="str">
        <f aca="false">IFERROR(INDEX($K$253:$K$256,MATCH($O255,$N$253:$N$256,0)),"")</f>
        <v/>
      </c>
      <c r="D255" s="42" t="str">
        <f aca="false">IF(OR(E255="",N(C255)=0),"",E255/C255-1)</f>
        <v/>
      </c>
      <c r="E255" s="41" t="str">
        <f aca="false">IFERROR(INDEX($L$253:$L$256,MATCH($O255,$N$253:$N$256,0)),"")</f>
        <v/>
      </c>
      <c r="F255" s="41" t="str">
        <f aca="false">IF(E255="","",E255-C255)</f>
        <v/>
      </c>
      <c r="J255" s="25" t="str">
        <f aca="false">Lib_Jur</f>
        <v>Mission juridique (approbation des comptes, secrétariat juridique)</v>
      </c>
      <c r="K255" s="25" t="n">
        <f aca="false">IF($K$226=0,0,N(INDEX(Clients!$M$2:$M$501,$K$226)))</f>
        <v>0</v>
      </c>
      <c r="L255" s="25" t="n">
        <f aca="false">IF($K$226=0,0,N(INDEX(Clients!$R$2:$R$501,$K$226)))</f>
        <v>0</v>
      </c>
      <c r="M255" s="25" t="n">
        <f aca="false">IF(OR(K255&lt;&gt;0,L255&lt;&gt;0),1,0)</f>
        <v>0</v>
      </c>
      <c r="N255" s="25" t="str">
        <f aca="false">IF(M255=1,SUM($M$253:M255),"")</f>
        <v/>
      </c>
      <c r="O255" s="25" t="n">
        <v>3</v>
      </c>
    </row>
    <row r="256" customFormat="false" ht="16.5" hidden="false" customHeight="true" outlineLevel="0" collapsed="false">
      <c r="B256" s="40" t="str">
        <f aca="false">IFERROR(INDEX($J$253:$J$256,MATCH($O256,$N$253:$N$256,0)),"")</f>
        <v/>
      </c>
      <c r="C256" s="41" t="str">
        <f aca="false">IFERROR(INDEX($K$253:$K$256,MATCH($O256,$N$253:$N$256,0)),"")</f>
        <v/>
      </c>
      <c r="D256" s="42" t="str">
        <f aca="false">IF(OR(E256="",N(C256)=0),"",E256/C256-1)</f>
        <v/>
      </c>
      <c r="E256" s="41" t="str">
        <f aca="false">IFERROR(INDEX($L$253:$L$256,MATCH($O256,$N$253:$N$256,0)),"")</f>
        <v/>
      </c>
      <c r="F256" s="41" t="str">
        <f aca="false">IF(E256="","",E256-C256)</f>
        <v/>
      </c>
      <c r="J256" s="25" t="str">
        <f aca="false">Lib_PA</f>
        <v>Plateforme agréée – facturation électronique</v>
      </c>
      <c r="K256" s="25" t="n">
        <f aca="false">IF($K$226=0,0,N(INDEX(Clients!$N$2:$N$501,$K$226)))</f>
        <v>0</v>
      </c>
      <c r="L256" s="25" t="n">
        <f aca="false">IF($K$226=0,0,N(INDEX(Clients!$S$2:$S$501,$K$226)))</f>
        <v>0</v>
      </c>
      <c r="M256" s="25" t="n">
        <f aca="false">IF(OR(K256&lt;&gt;0,L256&lt;&gt;0),1,0)</f>
        <v>0</v>
      </c>
      <c r="N256" s="25" t="str">
        <f aca="false">IF(M256=1,SUM($M$253:M256),"")</f>
        <v/>
      </c>
      <c r="O256" s="25" t="n">
        <v>4</v>
      </c>
    </row>
    <row r="257" customFormat="false" ht="18" hidden="false" customHeight="true" outlineLevel="0" collapsed="false">
      <c r="B257" s="43" t="s">
        <v>158</v>
      </c>
      <c r="C257" s="44" t="n">
        <f aca="false">SUM(K253:K256)</f>
        <v>0</v>
      </c>
      <c r="D257" s="45" t="str">
        <f aca="false">IF(N(C257)=0,"",E257/C257-1)</f>
        <v/>
      </c>
      <c r="E257" s="44" t="n">
        <f aca="false">SUM(L253:L256)</f>
        <v>0</v>
      </c>
      <c r="F257" s="44" t="n">
        <f aca="false">E257-C257</f>
        <v>0</v>
      </c>
    </row>
    <row r="258" customFormat="false" ht="15" hidden="false" customHeight="false" outlineLevel="0" collapsed="false">
      <c r="B258" s="46" t="str">
        <f aca="false">IF(N(Nb_Mensualites)=0,"","Soit "&amp;FIXED(E257/Nb_Mensualites,2)&amp;" € HT par échéance ("&amp;Nb_Mensualites&amp;" échéances), "&amp;FIXED(E257/Nb_Mensualites*(1+Taux_TVA),2)&amp;" € TTC.")</f>
        <v>Soit 0.00 € HT par échéance (12 échéances), 0.00 € TTC.</v>
      </c>
      <c r="C258" s="46"/>
      <c r="D258" s="46"/>
      <c r="E258" s="46"/>
      <c r="F258" s="46"/>
    </row>
    <row r="259" customFormat="false" ht="7.5" hidden="false" customHeight="true" outlineLevel="0" collapsed="false">
      <c r="B259" s="10"/>
      <c r="C259" s="10"/>
      <c r="D259" s="10"/>
      <c r="E259" s="10"/>
      <c r="F259" s="10"/>
    </row>
    <row r="260" customFormat="false" ht="36.75" hidden="false" customHeight="true" outlineLevel="0" collapsed="false">
      <c r="B260" s="37" t="str">
        <f aca="false">SUBSTITUTE(SUBSTITUTE(SUBSTITUTE(SUBSTITUTE(SUBSTITUTE(Txt_P5,"{cabinet}",Cab_Nom),"{societe}",IF($K$226=0,"",INDEX(Clients!$E$2:$E$501,$K$226)&amp;"")),"{date_effet}",$K$228),"{hausse}",$K$229),"{civilite}",$K$227)</f>
        <v>Les autres conditions de votre lettre de mission demeurent inchangées. Les nouveaux montants seront appliqués automatiquement sur vos prochaines factures et échéances de prélèvement.</v>
      </c>
      <c r="C260" s="37"/>
      <c r="D260" s="37"/>
      <c r="E260" s="37"/>
      <c r="F260" s="37"/>
    </row>
    <row r="261" customFormat="false" ht="36.75" hidden="false" customHeight="true" outlineLevel="0" collapsed="false">
      <c r="B261" s="37" t="str">
        <f aca="false">SUBSTITUTE(SUBSTITUTE(SUBSTITUTE(SUBSTITUTE(SUBSTITUTE(Txt_P6,"{cabinet}",Cab_Nom),"{societe}",IF($K$226=0,"",INDEX(Clients!$E$2:$E$501,$K$226)&amp;"")),"{date_effet}",$K$228),"{hausse}",$K$229),"{civilite}",$K$227)</f>
        <v>Votre interlocuteur habituel reste à votre entière disposition pour répondre à vos questions et faire le point sur l'évolution de vos besoins.</v>
      </c>
      <c r="C261" s="37"/>
      <c r="D261" s="37"/>
      <c r="E261" s="37"/>
      <c r="F261" s="37"/>
    </row>
    <row r="262" customFormat="false" ht="24" hidden="false" customHeight="true" outlineLevel="0" collapsed="false">
      <c r="B262" s="37" t="str">
        <f aca="false">SUBSTITUTE(SUBSTITUTE(SUBSTITUTE(SUBSTITUTE(SUBSTITUTE(Txt_Politesse,"{cabinet}",Cab_Nom),"{societe}",IF($K$226=0,"",INDEX(Clients!$E$2:$E$501,$K$226)&amp;"")),"{date_effet}",$K$228),"{hausse}",$K$229),"{civilite}",$K$227)</f>
        <v>Nous vous prions d'agréer, Madame, Monsieur, l'expression de nos salutations distinguées.</v>
      </c>
      <c r="C262" s="37"/>
      <c r="D262" s="37"/>
      <c r="E262" s="37"/>
      <c r="F262" s="37"/>
    </row>
    <row r="263" customFormat="false" ht="15" hidden="false" customHeight="false" outlineLevel="0" collapsed="false">
      <c r="B263" s="10"/>
      <c r="C263" s="10"/>
      <c r="D263" s="10"/>
      <c r="E263" s="10"/>
      <c r="F263" s="10"/>
    </row>
    <row r="264" customFormat="false" ht="15" hidden="false" customHeight="false" outlineLevel="0" collapsed="false">
      <c r="B264" s="10"/>
      <c r="C264" s="10"/>
      <c r="D264" s="34" t="str">
        <f aca="false">Signataire</f>
        <v>Prénom NOM</v>
      </c>
      <c r="E264" s="34"/>
      <c r="F264" s="34"/>
    </row>
    <row r="265" customFormat="false" ht="15" hidden="false" customHeight="false" outlineLevel="0" collapsed="false">
      <c r="B265" s="10"/>
      <c r="C265" s="10"/>
      <c r="D265" s="47" t="str">
        <f aca="false">Signataire_Titre</f>
        <v>Expert-comptable associé</v>
      </c>
      <c r="E265" s="47"/>
      <c r="F265" s="47"/>
    </row>
    <row r="266" customFormat="false" ht="15.75" hidden="false" customHeight="true" outlineLevel="0" collapsed="false">
      <c r="B266" s="10"/>
      <c r="C266" s="10"/>
      <c r="D266" s="10"/>
      <c r="E266" s="10"/>
      <c r="F266" s="10"/>
    </row>
    <row r="267" customFormat="false" ht="15.75" hidden="false" customHeight="true" outlineLevel="0" collapsed="false">
      <c r="B267" s="10"/>
      <c r="C267" s="10"/>
      <c r="D267" s="10"/>
      <c r="E267" s="10"/>
      <c r="F267" s="10"/>
    </row>
    <row r="268" customFormat="false" ht="15.75" hidden="false" customHeight="true" outlineLevel="0" collapsed="false">
      <c r="B268" s="10"/>
      <c r="C268" s="10"/>
      <c r="D268" s="10"/>
      <c r="E268" s="10"/>
      <c r="F268" s="10"/>
    </row>
    <row r="269" customFormat="false" ht="15.75" hidden="false" customHeight="true" outlineLevel="0" collapsed="false">
      <c r="B269" s="10"/>
      <c r="C269" s="10"/>
      <c r="D269" s="10"/>
      <c r="E269" s="10"/>
      <c r="F269" s="10"/>
    </row>
    <row r="270" customFormat="false" ht="24" hidden="false" customHeight="true" outlineLevel="0" collapsed="false">
      <c r="B270" s="48" t="str">
        <f aca="false">Cab_Mentions</f>
        <v>ALTHO EXPERTISE · SAS au capital de 10 000 € · RCS Pontoise 919 706 325 · TVA FR62919706325 · Société d'expertise comptable inscrite au Tableau de l'Ordre des experts-comptables de Paris Île-de-France</v>
      </c>
      <c r="C270" s="48"/>
      <c r="D270" s="48"/>
      <c r="E270" s="48"/>
      <c r="F270" s="48"/>
    </row>
    <row r="271" customFormat="false" ht="15" hidden="false" customHeight="false" outlineLevel="0" collapsed="false">
      <c r="B271" s="10"/>
      <c r="C271" s="10"/>
      <c r="D271" s="10"/>
      <c r="E271" s="10"/>
      <c r="F271" s="10"/>
      <c r="J271" s="25" t="s">
        <v>142</v>
      </c>
      <c r="K271" s="25" t="n">
        <f aca="false">IFERROR(MATCH(7,Clients!$Z$2:$Z$501,0),0)</f>
        <v>0</v>
      </c>
      <c r="L271" s="25"/>
      <c r="M271" s="25"/>
      <c r="N271" s="25"/>
      <c r="O271" s="25"/>
    </row>
    <row r="272" customFormat="false" ht="21.75" hidden="false" customHeight="true" outlineLevel="0" collapsed="false">
      <c r="B272" s="26" t="str">
        <f aca="false">Cab_Nom</f>
        <v>ALTHO EXPERTISE</v>
      </c>
      <c r="C272" s="26"/>
      <c r="D272" s="10"/>
      <c r="E272" s="27" t="str">
        <f aca="false">IF($K$271=0,"","Réf. client : "&amp;INDEX(Clients!$A$2:$A$501,$K$271))</f>
        <v/>
      </c>
      <c r="F272" s="27"/>
      <c r="J272" s="25" t="s">
        <v>144</v>
      </c>
      <c r="K272" s="25" t="str">
        <f aca="false">IF(IF($K$271=0,"",INDEX(Clients!$B$2:$B$501,$K$271)&amp;"")="Mme","Madame",IF(IF($K$271=0,"",INDEX(Clients!$B$2:$B$501,$K$271)&amp;"")="M.","Monsieur","Madame, Monsieur"))</f>
        <v>Madame, Monsieur</v>
      </c>
      <c r="L272" s="25"/>
      <c r="M272" s="25"/>
      <c r="N272" s="25"/>
      <c r="O272" s="25"/>
    </row>
    <row r="273" customFormat="false" ht="15" hidden="false" customHeight="false" outlineLevel="0" collapsed="false">
      <c r="B273" s="29" t="str">
        <f aca="false">Cab_Adr1</f>
        <v>141 rue Charles de Gaulle</v>
      </c>
      <c r="C273" s="29"/>
      <c r="D273" s="10"/>
      <c r="E273" s="10"/>
      <c r="F273" s="10"/>
      <c r="J273" s="25" t="s">
        <v>145</v>
      </c>
      <c r="K273" s="25" t="str">
        <f aca="false">DAY(Date_Effet)&amp;IF(DAY(Date_Effet)=1,"er","")&amp;" "&amp;INDEX(Liste_Mois,MONTH(Date_Effet))&amp;" "&amp;YEAR(Date_Effet)</f>
        <v>1er janvier 2027</v>
      </c>
      <c r="L273" s="25"/>
      <c r="M273" s="25"/>
      <c r="N273" s="25"/>
      <c r="O273" s="25"/>
    </row>
    <row r="274" customFormat="false" ht="15" hidden="false" customHeight="false" outlineLevel="0" collapsed="false">
      <c r="B274" s="29" t="str">
        <f aca="false">Cab_CPVille</f>
        <v>95130 LE PLESSIS-BOUCHARD</v>
      </c>
      <c r="C274" s="29"/>
      <c r="D274" s="10"/>
      <c r="E274" s="10"/>
      <c r="F274" s="10"/>
      <c r="J274" s="25" t="s">
        <v>146</v>
      </c>
      <c r="K274" s="25" t="str">
        <f aca="false">IF(SUM($K$298:$K$301)=0,"",FIXED((SUM($L$298:$L$301)/SUM($K$298:$K$301)-1)*100,1)&amp;" %")</f>
        <v/>
      </c>
      <c r="L274" s="25"/>
      <c r="M274" s="25"/>
      <c r="N274" s="25"/>
      <c r="O274" s="25"/>
    </row>
    <row r="275" customFormat="false" ht="15" hidden="false" customHeight="false" outlineLevel="0" collapsed="false">
      <c r="B275" s="29" t="str">
        <f aca="false">Cab_Contact</f>
        <v>Tél. 01 34 14 53 45  ·  altho@altho-experts.com  ·  altho-experts.com</v>
      </c>
      <c r="C275" s="29"/>
      <c r="D275" s="10"/>
      <c r="E275" s="10"/>
      <c r="F275" s="10"/>
      <c r="J275" s="25"/>
      <c r="K275" s="25"/>
      <c r="L275" s="25"/>
      <c r="M275" s="25"/>
      <c r="N275" s="25"/>
      <c r="O275" s="25"/>
    </row>
    <row r="276" customFormat="false" ht="6" hidden="false" customHeight="true" outlineLevel="0" collapsed="false">
      <c r="B276" s="32"/>
      <c r="C276" s="32"/>
      <c r="D276" s="32"/>
      <c r="E276" s="32"/>
      <c r="F276" s="32"/>
      <c r="J276" s="25"/>
      <c r="K276" s="25"/>
      <c r="L276" s="25"/>
      <c r="M276" s="25"/>
      <c r="N276" s="25"/>
      <c r="O276" s="25"/>
    </row>
    <row r="277" customFormat="false" ht="13.5" hidden="false" customHeight="true" outlineLevel="0" collapsed="false">
      <c r="B277" s="10"/>
      <c r="C277" s="10"/>
      <c r="D277" s="10"/>
      <c r="E277" s="10"/>
      <c r="F277" s="10"/>
      <c r="J277" s="25"/>
      <c r="K277" s="25"/>
      <c r="L277" s="25"/>
      <c r="M277" s="25"/>
      <c r="N277" s="25"/>
      <c r="O277" s="25"/>
    </row>
    <row r="278" customFormat="false" ht="13.5" hidden="false" customHeight="true" outlineLevel="0" collapsed="false">
      <c r="B278" s="10"/>
      <c r="C278" s="10"/>
      <c r="D278" s="10"/>
      <c r="E278" s="10"/>
      <c r="F278" s="10"/>
      <c r="J278" s="25"/>
      <c r="K278" s="25"/>
      <c r="L278" s="25"/>
      <c r="M278" s="25"/>
      <c r="N278" s="25"/>
      <c r="O278" s="25"/>
    </row>
    <row r="279" customFormat="false" ht="13.5" hidden="false" customHeight="true" outlineLevel="0" collapsed="false">
      <c r="B279" s="10"/>
      <c r="C279" s="10"/>
      <c r="D279" s="10"/>
      <c r="E279" s="10"/>
      <c r="F279" s="10"/>
      <c r="J279" s="25"/>
      <c r="K279" s="25"/>
      <c r="L279" s="25"/>
      <c r="M279" s="25"/>
      <c r="N279" s="25"/>
      <c r="O279" s="25"/>
    </row>
    <row r="280" customFormat="false" ht="15" hidden="false" customHeight="true" outlineLevel="0" collapsed="false">
      <c r="B280" s="10"/>
      <c r="C280" s="10"/>
      <c r="D280" s="34" t="str">
        <f aca="false">IF($K$271=0,"",INDEX(Clients!$E$2:$E$501,$K$271)&amp;"")</f>
        <v/>
      </c>
      <c r="E280" s="34"/>
      <c r="F280" s="34"/>
      <c r="J280" s="25"/>
      <c r="K280" s="25"/>
      <c r="L280" s="25"/>
      <c r="M280" s="25"/>
      <c r="N280" s="25"/>
      <c r="O280" s="25"/>
    </row>
    <row r="281" customFormat="false" ht="15" hidden="false" customHeight="true" outlineLevel="0" collapsed="false">
      <c r="B281" s="10"/>
      <c r="C281" s="10"/>
      <c r="D281" s="35" t="str">
        <f aca="false">IF(IF($K$271=0,"",INDEX(Clients!$D$2:$D$501,$K$271)&amp;"")="","","À l'attention de "&amp;TRIM(IF($K$271=0,"",INDEX(Clients!$B$2:$B$501,$K$271)&amp;"")&amp;" "&amp;IF($K$271=0,"",INDEX(Clients!$C$2:$C$501,$K$271)&amp;"")&amp;" "&amp;IF($K$271=0,"",INDEX(Clients!$D$2:$D$501,$K$271)&amp;"")))</f>
        <v/>
      </c>
      <c r="E281" s="35"/>
      <c r="F281" s="35"/>
      <c r="J281" s="25"/>
      <c r="K281" s="25"/>
      <c r="L281" s="25"/>
      <c r="M281" s="25"/>
      <c r="N281" s="25"/>
      <c r="O281" s="25"/>
    </row>
    <row r="282" customFormat="false" ht="15" hidden="false" customHeight="true" outlineLevel="0" collapsed="false">
      <c r="B282" s="10"/>
      <c r="C282" s="10"/>
      <c r="D282" s="35" t="str">
        <f aca="false">IF($K$271=0,"",INDEX(Clients!$F$2:$F$501,$K$271)&amp;"")</f>
        <v/>
      </c>
      <c r="E282" s="35"/>
      <c r="F282" s="35"/>
      <c r="J282" s="25"/>
      <c r="K282" s="25"/>
      <c r="L282" s="25"/>
      <c r="M282" s="25"/>
      <c r="N282" s="25"/>
      <c r="O282" s="25"/>
    </row>
    <row r="283" customFormat="false" ht="15" hidden="false" customHeight="true" outlineLevel="0" collapsed="false">
      <c r="B283" s="10"/>
      <c r="C283" s="10"/>
      <c r="D283" s="35" t="str">
        <f aca="false">IF(IF($K$271=0,"",INDEX(Clients!$G$2:$G$501,$K$271)&amp;"")="",TRIM(IF($K$271=0,"",INDEX(Clients!$H$2:$H$501,$K$271)&amp;"")&amp;" "&amp;UPPER(IF($K$271=0,"",INDEX(Clients!$I$2:$I$501,$K$271)&amp;""))),IF($K$271=0,"",INDEX(Clients!$G$2:$G$501,$K$271)&amp;""))</f>
        <v/>
      </c>
      <c r="E283" s="35"/>
      <c r="F283" s="35"/>
      <c r="J283" s="25"/>
      <c r="K283" s="25"/>
      <c r="L283" s="25"/>
      <c r="M283" s="25"/>
      <c r="N283" s="25"/>
      <c r="O283" s="25"/>
    </row>
    <row r="284" customFormat="false" ht="15" hidden="false" customHeight="true" outlineLevel="0" collapsed="false">
      <c r="B284" s="10"/>
      <c r="C284" s="10"/>
      <c r="D284" s="35" t="str">
        <f aca="false">IF(IF($K$271=0,"",INDEX(Clients!$G$2:$G$501,$K$271)&amp;"")="","",TRIM(IF($K$271=0,"",INDEX(Clients!$H$2:$H$501,$K$271)&amp;"")&amp;" "&amp;UPPER(IF($K$271=0,"",INDEX(Clients!$I$2:$I$501,$K$271)&amp;""))))</f>
        <v/>
      </c>
      <c r="E284" s="35"/>
      <c r="F284" s="35"/>
      <c r="J284" s="25"/>
      <c r="K284" s="25"/>
      <c r="L284" s="25"/>
      <c r="M284" s="25"/>
      <c r="N284" s="25"/>
      <c r="O284" s="25"/>
    </row>
    <row r="285" customFormat="false" ht="25.5" hidden="false" customHeight="true" outlineLevel="0" collapsed="false">
      <c r="B285" s="10"/>
      <c r="C285" s="10"/>
      <c r="D285" s="10"/>
      <c r="E285" s="10"/>
      <c r="F285" s="10"/>
      <c r="J285" s="25"/>
      <c r="K285" s="25"/>
      <c r="L285" s="25"/>
      <c r="M285" s="25"/>
      <c r="N285" s="25"/>
      <c r="O285" s="25"/>
    </row>
    <row r="286" customFormat="false" ht="15" hidden="false" customHeight="false" outlineLevel="0" collapsed="false">
      <c r="B286" s="10"/>
      <c r="C286" s="10"/>
      <c r="D286" s="36" t="str">
        <f aca="false">Cab_Ville&amp;", le "&amp;DAY(Date_Courrier)&amp;IF(DAY(Date_Courrier)=1,"er","")&amp;" "&amp;INDEX(Liste_Mois,MONTH(Date_Courrier))&amp;" "&amp;YEAR(Date_Courrier)</f>
        <v>Le Plessis-Bouchard, le 22 septembre 2026</v>
      </c>
      <c r="E286" s="36"/>
      <c r="F286" s="36"/>
      <c r="J286" s="25"/>
      <c r="K286" s="25"/>
      <c r="L286" s="25"/>
      <c r="M286" s="25"/>
      <c r="N286" s="25"/>
      <c r="O286" s="25"/>
    </row>
    <row r="287" customFormat="false" ht="19.5" hidden="false" customHeight="true" outlineLevel="0" collapsed="false">
      <c r="B287" s="10"/>
      <c r="C287" s="10"/>
      <c r="D287" s="10"/>
      <c r="E287" s="10"/>
      <c r="F287" s="10"/>
      <c r="J287" s="25"/>
      <c r="K287" s="25"/>
      <c r="L287" s="25"/>
      <c r="M287" s="25"/>
      <c r="N287" s="25"/>
      <c r="O287" s="25"/>
    </row>
    <row r="288" customFormat="false" ht="15" hidden="false" customHeight="false" outlineLevel="0" collapsed="false">
      <c r="B288" s="34" t="str">
        <f aca="false">SUBSTITUTE(SUBSTITUTE(SUBSTITUTE(SUBSTITUTE(SUBSTITUTE(Txt_Objet,"{cabinet}",Cab_Nom),"{societe}",IF($K$271=0,"",INDEX(Clients!$E$2:$E$501,$K$271)&amp;"")),"{date_effet}",$K$273),"{hausse}",$K$274),"{civilite}",$K$272)</f>
        <v>Objet : révision de nos honoraires au 1er janvier 2027</v>
      </c>
      <c r="C288" s="34"/>
      <c r="D288" s="34"/>
      <c r="E288" s="34"/>
      <c r="F288" s="34"/>
      <c r="J288" s="25"/>
      <c r="K288" s="25"/>
      <c r="L288" s="25"/>
      <c r="M288" s="25"/>
      <c r="N288" s="25"/>
      <c r="O288" s="25"/>
    </row>
    <row r="289" customFormat="false" ht="13.5" hidden="false" customHeight="true" outlineLevel="0" collapsed="false">
      <c r="B289" s="10"/>
      <c r="C289" s="10"/>
      <c r="D289" s="10"/>
      <c r="E289" s="10"/>
      <c r="F289" s="10"/>
      <c r="J289" s="25"/>
      <c r="K289" s="25"/>
      <c r="L289" s="25"/>
      <c r="M289" s="25"/>
      <c r="N289" s="25"/>
      <c r="O289" s="25"/>
    </row>
    <row r="290" customFormat="false" ht="15" hidden="false" customHeight="false" outlineLevel="0" collapsed="false">
      <c r="B290" s="10" t="str">
        <f aca="false">$K$272&amp;","</f>
        <v>Madame, Monsieur,</v>
      </c>
      <c r="C290" s="10"/>
      <c r="D290" s="10"/>
      <c r="E290" s="10"/>
      <c r="F290" s="10"/>
      <c r="J290" s="25"/>
      <c r="K290" s="25"/>
      <c r="L290" s="25"/>
      <c r="M290" s="25"/>
      <c r="N290" s="25"/>
      <c r="O290" s="25"/>
    </row>
    <row r="291" customFormat="false" ht="6" hidden="false" customHeight="true" outlineLevel="0" collapsed="false">
      <c r="B291" s="10"/>
      <c r="C291" s="10"/>
      <c r="D291" s="10"/>
      <c r="E291" s="10"/>
      <c r="F291" s="10"/>
      <c r="J291" s="25"/>
      <c r="K291" s="25"/>
      <c r="L291" s="25"/>
      <c r="M291" s="25"/>
      <c r="N291" s="25"/>
      <c r="O291" s="25"/>
    </row>
    <row r="292" customFormat="false" ht="36.75" hidden="false" customHeight="true" outlineLevel="0" collapsed="false">
      <c r="B292" s="37" t="str">
        <f aca="false">SUBSTITUTE(SUBSTITUTE(SUBSTITUTE(SUBSTITUTE(SUBSTITUTE(Txt_P1,"{cabinet}",Cab_Nom),"{societe}",IF($K$271=0,"",INDEX(Clients!$E$2:$E$501,$K$271)&amp;"")),"{date_effet}",$K$273),"{hausse}",$K$274),"{civilite}",$K$272)</f>
        <v>Nous tenons tout d'abord à vous remercier pour la confiance que vous accordez à ALTHO EXPERTISE. Comme chaque année, et conformément aux dispositions de votre lettre de mission, nous procédons à la révision de nos honoraires.</v>
      </c>
      <c r="C292" s="37"/>
      <c r="D292" s="37"/>
      <c r="E292" s="37"/>
      <c r="F292" s="37"/>
      <c r="J292" s="25"/>
      <c r="K292" s="25"/>
      <c r="L292" s="25"/>
      <c r="M292" s="25"/>
      <c r="N292" s="25"/>
      <c r="O292" s="25"/>
    </row>
    <row r="293" customFormat="false" ht="49.5" hidden="false" customHeight="true" outlineLevel="0" collapsed="false">
      <c r="B293" s="37" t="str">
        <f aca="false">SUBSTITUTE(SUBSTITUTE(SUBSTITUTE(SUBSTITUTE(SUBSTITUTE(Txt_P2,"{cabinet}",Cab_Nom),"{societe}",IF($K$271=0,"",INDEX(Clients!$E$2:$E$501,$K$271)&amp;"")),"{date_effet}",$K$273),"{hausse}",$K$274),"{civilite}",$K$272)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93" s="37"/>
      <c r="D293" s="37"/>
      <c r="E293" s="37"/>
      <c r="F293" s="37"/>
      <c r="J293" s="25"/>
      <c r="K293" s="25"/>
      <c r="L293" s="25"/>
      <c r="M293" s="25"/>
      <c r="N293" s="25"/>
      <c r="O293" s="25"/>
    </row>
    <row r="294" customFormat="false" ht="63" hidden="false" customHeight="true" outlineLevel="0" collapsed="false">
      <c r="B294" s="37" t="str">
        <f aca="false">SUBSTITUTE(SUBSTITUTE(SUBSTITUTE(SUBSTITUTE(SUBSTITUTE(Txt_P3,"{cabinet}",Cab_Nom),"{societe}",IF($K$271=0,"",INDEX(Clients!$E$2:$E$501,$K$271)&amp;"")),"{date_effet}",$K$273),"{hausse}",$K$274),"{civilite}",$K$272)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94" s="37"/>
      <c r="D294" s="37"/>
      <c r="E294" s="37"/>
      <c r="F294" s="37"/>
      <c r="J294" s="25"/>
      <c r="K294" s="25"/>
      <c r="L294" s="25"/>
      <c r="M294" s="25"/>
      <c r="N294" s="25"/>
      <c r="O294" s="25"/>
    </row>
    <row r="295" customFormat="false" ht="24" hidden="false" customHeight="true" outlineLevel="0" collapsed="false">
      <c r="B295" s="37" t="str">
        <f aca="false">SUBSTITUTE(SUBSTITUTE(SUBSTITUTE(SUBSTITUTE(SUBSTITUTE(Txt_P4,"{cabinet}",Cab_Nom),"{societe}",IF($K$271=0,"",INDEX(Clients!$E$2:$E$501,$K$271)&amp;"")),"{date_effet}",$K$273),"{hausse}",$K$274),"{civilite}",$K$272)</f>
        <v>À compter du 1er janvier 2027, vos honoraires annuels hors taxes évolueront ainsi (évolution globale : ) :</v>
      </c>
      <c r="C295" s="37"/>
      <c r="D295" s="37"/>
      <c r="E295" s="37"/>
      <c r="F295" s="37"/>
      <c r="J295" s="25"/>
      <c r="K295" s="25"/>
      <c r="L295" s="25"/>
      <c r="M295" s="25"/>
      <c r="N295" s="25"/>
      <c r="O295" s="25"/>
    </row>
    <row r="296" customFormat="false" ht="3.75" hidden="false" customHeight="true" outlineLevel="0" collapsed="false">
      <c r="B296" s="10"/>
      <c r="C296" s="10"/>
      <c r="D296" s="10"/>
      <c r="E296" s="10"/>
      <c r="F296" s="10"/>
      <c r="J296" s="25"/>
      <c r="K296" s="25"/>
      <c r="L296" s="25"/>
      <c r="M296" s="25"/>
      <c r="N296" s="25"/>
      <c r="O296" s="25"/>
    </row>
    <row r="297" customFormat="false" ht="18" hidden="false" customHeight="true" outlineLevel="0" collapsed="false">
      <c r="B297" s="38" t="s">
        <v>148</v>
      </c>
      <c r="C297" s="39" t="s">
        <v>149</v>
      </c>
      <c r="D297" s="39" t="s">
        <v>150</v>
      </c>
      <c r="E297" s="39" t="s">
        <v>151</v>
      </c>
      <c r="F297" s="39" t="s">
        <v>109</v>
      </c>
      <c r="J297" s="25" t="s">
        <v>152</v>
      </c>
      <c r="K297" s="25" t="s">
        <v>153</v>
      </c>
      <c r="L297" s="25" t="s">
        <v>154</v>
      </c>
      <c r="M297" s="25" t="s">
        <v>155</v>
      </c>
      <c r="N297" s="25" t="s">
        <v>156</v>
      </c>
      <c r="O297" s="25" t="s">
        <v>157</v>
      </c>
    </row>
    <row r="298" customFormat="false" ht="16.5" hidden="false" customHeight="true" outlineLevel="0" collapsed="false">
      <c r="B298" s="40" t="str">
        <f aca="false">IFERROR(INDEX($J$298:$J$301,MATCH($O298,$N$298:$N$301,0)),"")</f>
        <v/>
      </c>
      <c r="C298" s="41" t="str">
        <f aca="false">IFERROR(INDEX($K$298:$K$301,MATCH($O298,$N$298:$N$301,0)),"")</f>
        <v/>
      </c>
      <c r="D298" s="42" t="str">
        <f aca="false">IF(OR(E298="",N(C298)=0),"",E298/C298-1)</f>
        <v/>
      </c>
      <c r="E298" s="41" t="str">
        <f aca="false">IFERROR(INDEX($L$298:$L$301,MATCH($O298,$N$298:$N$301,0)),"")</f>
        <v/>
      </c>
      <c r="F298" s="41" t="str">
        <f aca="false">IF(E298="","",E298-C298)</f>
        <v/>
      </c>
      <c r="J298" s="25" t="str">
        <f aca="false">Lib_Compta</f>
        <v>Mission comptable (tenue, révision, bilan, liasse fiscale)</v>
      </c>
      <c r="K298" s="25" t="n">
        <f aca="false">IF($K$271=0,0,N(INDEX(Clients!$K$2:$K$501,$K$271)))</f>
        <v>0</v>
      </c>
      <c r="L298" s="25" t="n">
        <f aca="false">IF($K$271=0,0,N(INDEX(Clients!$P$2:$P$501,$K$271)))</f>
        <v>0</v>
      </c>
      <c r="M298" s="25" t="n">
        <f aca="false">IF(OR(K298&lt;&gt;0,L298&lt;&gt;0),1,0)</f>
        <v>0</v>
      </c>
      <c r="N298" s="25" t="str">
        <f aca="false">IF(M298=1,SUM($M$298:M298),"")</f>
        <v/>
      </c>
      <c r="O298" s="25" t="n">
        <v>1</v>
      </c>
    </row>
    <row r="299" customFormat="false" ht="16.5" hidden="false" customHeight="true" outlineLevel="0" collapsed="false">
      <c r="B299" s="40" t="str">
        <f aca="false">IFERROR(INDEX($J$298:$J$301,MATCH($O299,$N$298:$N$301,0)),"")</f>
        <v/>
      </c>
      <c r="C299" s="41" t="str">
        <f aca="false">IFERROR(INDEX($K$298:$K$301,MATCH($O299,$N$298:$N$301,0)),"")</f>
        <v/>
      </c>
      <c r="D299" s="42" t="str">
        <f aca="false">IF(OR(E299="",N(C299)=0),"",E299/C299-1)</f>
        <v/>
      </c>
      <c r="E299" s="41" t="str">
        <f aca="false">IFERROR(INDEX($L$298:$L$301,MATCH($O299,$N$298:$N$301,0)),"")</f>
        <v/>
      </c>
      <c r="F299" s="41" t="str">
        <f aca="false">IF(E299="","",E299-C299)</f>
        <v/>
      </c>
      <c r="J299" s="25" t="str">
        <f aca="false">Lib_Paye</f>
        <v>Mission sociale (bulletins de paie, DSN, déclarations sociales)</v>
      </c>
      <c r="K299" s="25" t="n">
        <f aca="false">IF($K$271=0,0,N(INDEX(Clients!$L$2:$L$501,$K$271)))</f>
        <v>0</v>
      </c>
      <c r="L299" s="25" t="n">
        <f aca="false">IF($K$271=0,0,N(INDEX(Clients!$Q$2:$Q$501,$K$271)))</f>
        <v>0</v>
      </c>
      <c r="M299" s="25" t="n">
        <f aca="false">IF(OR(K299&lt;&gt;0,L299&lt;&gt;0),1,0)</f>
        <v>0</v>
      </c>
      <c r="N299" s="25" t="str">
        <f aca="false">IF(M299=1,SUM($M$298:M299),"")</f>
        <v/>
      </c>
      <c r="O299" s="25" t="n">
        <v>2</v>
      </c>
    </row>
    <row r="300" customFormat="false" ht="16.5" hidden="false" customHeight="true" outlineLevel="0" collapsed="false">
      <c r="B300" s="40" t="str">
        <f aca="false">IFERROR(INDEX($J$298:$J$301,MATCH($O300,$N$298:$N$301,0)),"")</f>
        <v/>
      </c>
      <c r="C300" s="41" t="str">
        <f aca="false">IFERROR(INDEX($K$298:$K$301,MATCH($O300,$N$298:$N$301,0)),"")</f>
        <v/>
      </c>
      <c r="D300" s="42" t="str">
        <f aca="false">IF(OR(E300="",N(C300)=0),"",E300/C300-1)</f>
        <v/>
      </c>
      <c r="E300" s="41" t="str">
        <f aca="false">IFERROR(INDEX($L$298:$L$301,MATCH($O300,$N$298:$N$301,0)),"")</f>
        <v/>
      </c>
      <c r="F300" s="41" t="str">
        <f aca="false">IF(E300="","",E300-C300)</f>
        <v/>
      </c>
      <c r="J300" s="25" t="str">
        <f aca="false">Lib_Jur</f>
        <v>Mission juridique (approbation des comptes, secrétariat juridique)</v>
      </c>
      <c r="K300" s="25" t="n">
        <f aca="false">IF($K$271=0,0,N(INDEX(Clients!$M$2:$M$501,$K$271)))</f>
        <v>0</v>
      </c>
      <c r="L300" s="25" t="n">
        <f aca="false">IF($K$271=0,0,N(INDEX(Clients!$R$2:$R$501,$K$271)))</f>
        <v>0</v>
      </c>
      <c r="M300" s="25" t="n">
        <f aca="false">IF(OR(K300&lt;&gt;0,L300&lt;&gt;0),1,0)</f>
        <v>0</v>
      </c>
      <c r="N300" s="25" t="str">
        <f aca="false">IF(M300=1,SUM($M$298:M300),"")</f>
        <v/>
      </c>
      <c r="O300" s="25" t="n">
        <v>3</v>
      </c>
    </row>
    <row r="301" customFormat="false" ht="16.5" hidden="false" customHeight="true" outlineLevel="0" collapsed="false">
      <c r="B301" s="40" t="str">
        <f aca="false">IFERROR(INDEX($J$298:$J$301,MATCH($O301,$N$298:$N$301,0)),"")</f>
        <v/>
      </c>
      <c r="C301" s="41" t="str">
        <f aca="false">IFERROR(INDEX($K$298:$K$301,MATCH($O301,$N$298:$N$301,0)),"")</f>
        <v/>
      </c>
      <c r="D301" s="42" t="str">
        <f aca="false">IF(OR(E301="",N(C301)=0),"",E301/C301-1)</f>
        <v/>
      </c>
      <c r="E301" s="41" t="str">
        <f aca="false">IFERROR(INDEX($L$298:$L$301,MATCH($O301,$N$298:$N$301,0)),"")</f>
        <v/>
      </c>
      <c r="F301" s="41" t="str">
        <f aca="false">IF(E301="","",E301-C301)</f>
        <v/>
      </c>
      <c r="J301" s="25" t="str">
        <f aca="false">Lib_PA</f>
        <v>Plateforme agréée – facturation électronique</v>
      </c>
      <c r="K301" s="25" t="n">
        <f aca="false">IF($K$271=0,0,N(INDEX(Clients!$N$2:$N$501,$K$271)))</f>
        <v>0</v>
      </c>
      <c r="L301" s="25" t="n">
        <f aca="false">IF($K$271=0,0,N(INDEX(Clients!$S$2:$S$501,$K$271)))</f>
        <v>0</v>
      </c>
      <c r="M301" s="25" t="n">
        <f aca="false">IF(OR(K301&lt;&gt;0,L301&lt;&gt;0),1,0)</f>
        <v>0</v>
      </c>
      <c r="N301" s="25" t="str">
        <f aca="false">IF(M301=1,SUM($M$298:M301),"")</f>
        <v/>
      </c>
      <c r="O301" s="25" t="n">
        <v>4</v>
      </c>
    </row>
    <row r="302" customFormat="false" ht="18" hidden="false" customHeight="true" outlineLevel="0" collapsed="false">
      <c r="B302" s="43" t="s">
        <v>158</v>
      </c>
      <c r="C302" s="44" t="n">
        <f aca="false">SUM(K298:K301)</f>
        <v>0</v>
      </c>
      <c r="D302" s="45" t="str">
        <f aca="false">IF(N(C302)=0,"",E302/C302-1)</f>
        <v/>
      </c>
      <c r="E302" s="44" t="n">
        <f aca="false">SUM(L298:L301)</f>
        <v>0</v>
      </c>
      <c r="F302" s="44" t="n">
        <f aca="false">E302-C302</f>
        <v>0</v>
      </c>
    </row>
    <row r="303" customFormat="false" ht="15" hidden="false" customHeight="false" outlineLevel="0" collapsed="false">
      <c r="B303" s="46" t="str">
        <f aca="false">IF(N(Nb_Mensualites)=0,"","Soit "&amp;FIXED(E302/Nb_Mensualites,2)&amp;" € HT par échéance ("&amp;Nb_Mensualites&amp;" échéances), "&amp;FIXED(E302/Nb_Mensualites*(1+Taux_TVA),2)&amp;" € TTC.")</f>
        <v>Soit 0.00 € HT par échéance (12 échéances), 0.00 € TTC.</v>
      </c>
      <c r="C303" s="46"/>
      <c r="D303" s="46"/>
      <c r="E303" s="46"/>
      <c r="F303" s="46"/>
    </row>
    <row r="304" customFormat="false" ht="7.5" hidden="false" customHeight="true" outlineLevel="0" collapsed="false">
      <c r="B304" s="10"/>
      <c r="C304" s="10"/>
      <c r="D304" s="10"/>
      <c r="E304" s="10"/>
      <c r="F304" s="10"/>
    </row>
    <row r="305" customFormat="false" ht="36.75" hidden="false" customHeight="true" outlineLevel="0" collapsed="false">
      <c r="B305" s="37" t="str">
        <f aca="false">SUBSTITUTE(SUBSTITUTE(SUBSTITUTE(SUBSTITUTE(SUBSTITUTE(Txt_P5,"{cabinet}",Cab_Nom),"{societe}",IF($K$271=0,"",INDEX(Clients!$E$2:$E$501,$K$271)&amp;"")),"{date_effet}",$K$273),"{hausse}",$K$274),"{civilite}",$K$272)</f>
        <v>Les autres conditions de votre lettre de mission demeurent inchangées. Les nouveaux montants seront appliqués automatiquement sur vos prochaines factures et échéances de prélèvement.</v>
      </c>
      <c r="C305" s="37"/>
      <c r="D305" s="37"/>
      <c r="E305" s="37"/>
      <c r="F305" s="37"/>
    </row>
    <row r="306" customFormat="false" ht="36.75" hidden="false" customHeight="true" outlineLevel="0" collapsed="false">
      <c r="B306" s="37" t="str">
        <f aca="false">SUBSTITUTE(SUBSTITUTE(SUBSTITUTE(SUBSTITUTE(SUBSTITUTE(Txt_P6,"{cabinet}",Cab_Nom),"{societe}",IF($K$271=0,"",INDEX(Clients!$E$2:$E$501,$K$271)&amp;"")),"{date_effet}",$K$273),"{hausse}",$K$274),"{civilite}",$K$272)</f>
        <v>Votre interlocuteur habituel reste à votre entière disposition pour répondre à vos questions et faire le point sur l'évolution de vos besoins.</v>
      </c>
      <c r="C306" s="37"/>
      <c r="D306" s="37"/>
      <c r="E306" s="37"/>
      <c r="F306" s="37"/>
    </row>
    <row r="307" customFormat="false" ht="24" hidden="false" customHeight="true" outlineLevel="0" collapsed="false">
      <c r="B307" s="37" t="str">
        <f aca="false">SUBSTITUTE(SUBSTITUTE(SUBSTITUTE(SUBSTITUTE(SUBSTITUTE(Txt_Politesse,"{cabinet}",Cab_Nom),"{societe}",IF($K$271=0,"",INDEX(Clients!$E$2:$E$501,$K$271)&amp;"")),"{date_effet}",$K$273),"{hausse}",$K$274),"{civilite}",$K$272)</f>
        <v>Nous vous prions d'agréer, Madame, Monsieur, l'expression de nos salutations distinguées.</v>
      </c>
      <c r="C307" s="37"/>
      <c r="D307" s="37"/>
      <c r="E307" s="37"/>
      <c r="F307" s="37"/>
    </row>
    <row r="308" customFormat="false" ht="15" hidden="false" customHeight="false" outlineLevel="0" collapsed="false">
      <c r="B308" s="10"/>
      <c r="C308" s="10"/>
      <c r="D308" s="10"/>
      <c r="E308" s="10"/>
      <c r="F308" s="10"/>
    </row>
    <row r="309" customFormat="false" ht="15" hidden="false" customHeight="false" outlineLevel="0" collapsed="false">
      <c r="B309" s="10"/>
      <c r="C309" s="10"/>
      <c r="D309" s="34" t="str">
        <f aca="false">Signataire</f>
        <v>Prénom NOM</v>
      </c>
      <c r="E309" s="34"/>
      <c r="F309" s="34"/>
    </row>
    <row r="310" customFormat="false" ht="15" hidden="false" customHeight="false" outlineLevel="0" collapsed="false">
      <c r="B310" s="10"/>
      <c r="C310" s="10"/>
      <c r="D310" s="47" t="str">
        <f aca="false">Signataire_Titre</f>
        <v>Expert-comptable associé</v>
      </c>
      <c r="E310" s="47"/>
      <c r="F310" s="47"/>
    </row>
    <row r="311" customFormat="false" ht="15.75" hidden="false" customHeight="true" outlineLevel="0" collapsed="false">
      <c r="B311" s="10"/>
      <c r="C311" s="10"/>
      <c r="D311" s="10"/>
      <c r="E311" s="10"/>
      <c r="F311" s="10"/>
    </row>
    <row r="312" customFormat="false" ht="15.75" hidden="false" customHeight="true" outlineLevel="0" collapsed="false">
      <c r="B312" s="10"/>
      <c r="C312" s="10"/>
      <c r="D312" s="10"/>
      <c r="E312" s="10"/>
      <c r="F312" s="10"/>
    </row>
    <row r="313" customFormat="false" ht="15.75" hidden="false" customHeight="true" outlineLevel="0" collapsed="false">
      <c r="B313" s="10"/>
      <c r="C313" s="10"/>
      <c r="D313" s="10"/>
      <c r="E313" s="10"/>
      <c r="F313" s="10"/>
    </row>
    <row r="314" customFormat="false" ht="15.75" hidden="false" customHeight="true" outlineLevel="0" collapsed="false">
      <c r="B314" s="10"/>
      <c r="C314" s="10"/>
      <c r="D314" s="10"/>
      <c r="E314" s="10"/>
      <c r="F314" s="10"/>
    </row>
    <row r="315" customFormat="false" ht="24" hidden="false" customHeight="true" outlineLevel="0" collapsed="false">
      <c r="B315" s="48" t="str">
        <f aca="false">Cab_Mentions</f>
        <v>ALTHO EXPERTISE · SAS au capital de 10 000 € · RCS Pontoise 919 706 325 · TVA FR62919706325 · Société d'expertise comptable inscrite au Tableau de l'Ordre des experts-comptables de Paris Île-de-France</v>
      </c>
      <c r="C315" s="48"/>
      <c r="D315" s="48"/>
      <c r="E315" s="48"/>
      <c r="F315" s="48"/>
    </row>
    <row r="316" customFormat="false" ht="15" hidden="false" customHeight="false" outlineLevel="0" collapsed="false">
      <c r="B316" s="10"/>
      <c r="C316" s="10"/>
      <c r="D316" s="10"/>
      <c r="E316" s="10"/>
      <c r="F316" s="10"/>
      <c r="J316" s="25" t="s">
        <v>142</v>
      </c>
      <c r="K316" s="25" t="n">
        <f aca="false">IFERROR(MATCH(8,Clients!$Z$2:$Z$501,0),0)</f>
        <v>0</v>
      </c>
      <c r="L316" s="25"/>
      <c r="M316" s="25"/>
      <c r="N316" s="25"/>
      <c r="O316" s="25"/>
    </row>
    <row r="317" customFormat="false" ht="21.75" hidden="false" customHeight="true" outlineLevel="0" collapsed="false">
      <c r="B317" s="26" t="str">
        <f aca="false">Cab_Nom</f>
        <v>ALTHO EXPERTISE</v>
      </c>
      <c r="C317" s="26"/>
      <c r="D317" s="10"/>
      <c r="E317" s="27" t="str">
        <f aca="false">IF($K$316=0,"","Réf. client : "&amp;INDEX(Clients!$A$2:$A$501,$K$316))</f>
        <v/>
      </c>
      <c r="F317" s="27"/>
      <c r="J317" s="25" t="s">
        <v>144</v>
      </c>
      <c r="K317" s="25" t="str">
        <f aca="false">IF(IF($K$316=0,"",INDEX(Clients!$B$2:$B$501,$K$316)&amp;"")="Mme","Madame",IF(IF($K$316=0,"",INDEX(Clients!$B$2:$B$501,$K$316)&amp;"")="M.","Monsieur","Madame, Monsieur"))</f>
        <v>Madame, Monsieur</v>
      </c>
      <c r="L317" s="25"/>
      <c r="M317" s="25"/>
      <c r="N317" s="25"/>
      <c r="O317" s="25"/>
    </row>
    <row r="318" customFormat="false" ht="15" hidden="false" customHeight="false" outlineLevel="0" collapsed="false">
      <c r="B318" s="29" t="str">
        <f aca="false">Cab_Adr1</f>
        <v>141 rue Charles de Gaulle</v>
      </c>
      <c r="C318" s="29"/>
      <c r="D318" s="10"/>
      <c r="E318" s="10"/>
      <c r="F318" s="10"/>
      <c r="J318" s="25" t="s">
        <v>145</v>
      </c>
      <c r="K318" s="25" t="str">
        <f aca="false">DAY(Date_Effet)&amp;IF(DAY(Date_Effet)=1,"er","")&amp;" "&amp;INDEX(Liste_Mois,MONTH(Date_Effet))&amp;" "&amp;YEAR(Date_Effet)</f>
        <v>1er janvier 2027</v>
      </c>
      <c r="L318" s="25"/>
      <c r="M318" s="25"/>
      <c r="N318" s="25"/>
      <c r="O318" s="25"/>
    </row>
    <row r="319" customFormat="false" ht="15" hidden="false" customHeight="false" outlineLevel="0" collapsed="false">
      <c r="B319" s="29" t="str">
        <f aca="false">Cab_CPVille</f>
        <v>95130 LE PLESSIS-BOUCHARD</v>
      </c>
      <c r="C319" s="29"/>
      <c r="D319" s="10"/>
      <c r="E319" s="10"/>
      <c r="F319" s="10"/>
      <c r="J319" s="25" t="s">
        <v>146</v>
      </c>
      <c r="K319" s="25" t="str">
        <f aca="false">IF(SUM($K$343:$K$346)=0,"",FIXED((SUM($L$343:$L$346)/SUM($K$343:$K$346)-1)*100,1)&amp;" %")</f>
        <v/>
      </c>
      <c r="L319" s="25"/>
      <c r="M319" s="25"/>
      <c r="N319" s="25"/>
      <c r="O319" s="25"/>
    </row>
    <row r="320" customFormat="false" ht="15" hidden="false" customHeight="false" outlineLevel="0" collapsed="false">
      <c r="B320" s="29" t="str">
        <f aca="false">Cab_Contact</f>
        <v>Tél. 01 34 14 53 45  ·  altho@altho-experts.com  ·  altho-experts.com</v>
      </c>
      <c r="C320" s="29"/>
      <c r="D320" s="10"/>
      <c r="E320" s="10"/>
      <c r="F320" s="10"/>
      <c r="J320" s="25"/>
      <c r="K320" s="25"/>
      <c r="L320" s="25"/>
      <c r="M320" s="25"/>
      <c r="N320" s="25"/>
      <c r="O320" s="25"/>
    </row>
    <row r="321" customFormat="false" ht="6" hidden="false" customHeight="true" outlineLevel="0" collapsed="false">
      <c r="B321" s="32"/>
      <c r="C321" s="32"/>
      <c r="D321" s="32"/>
      <c r="E321" s="32"/>
      <c r="F321" s="32"/>
      <c r="J321" s="25"/>
      <c r="K321" s="25"/>
      <c r="L321" s="25"/>
      <c r="M321" s="25"/>
      <c r="N321" s="25"/>
      <c r="O321" s="25"/>
    </row>
    <row r="322" customFormat="false" ht="13.5" hidden="false" customHeight="true" outlineLevel="0" collapsed="false">
      <c r="B322" s="10"/>
      <c r="C322" s="10"/>
      <c r="D322" s="10"/>
      <c r="E322" s="10"/>
      <c r="F322" s="10"/>
      <c r="J322" s="25"/>
      <c r="K322" s="25"/>
      <c r="L322" s="25"/>
      <c r="M322" s="25"/>
      <c r="N322" s="25"/>
      <c r="O322" s="25"/>
    </row>
    <row r="323" customFormat="false" ht="13.5" hidden="false" customHeight="true" outlineLevel="0" collapsed="false">
      <c r="B323" s="10"/>
      <c r="C323" s="10"/>
      <c r="D323" s="10"/>
      <c r="E323" s="10"/>
      <c r="F323" s="10"/>
      <c r="J323" s="25"/>
      <c r="K323" s="25"/>
      <c r="L323" s="25"/>
      <c r="M323" s="25"/>
      <c r="N323" s="25"/>
      <c r="O323" s="25"/>
    </row>
    <row r="324" customFormat="false" ht="13.5" hidden="false" customHeight="true" outlineLevel="0" collapsed="false">
      <c r="B324" s="10"/>
      <c r="C324" s="10"/>
      <c r="D324" s="10"/>
      <c r="E324" s="10"/>
      <c r="F324" s="10"/>
      <c r="J324" s="25"/>
      <c r="K324" s="25"/>
      <c r="L324" s="25"/>
      <c r="M324" s="25"/>
      <c r="N324" s="25"/>
      <c r="O324" s="25"/>
    </row>
    <row r="325" customFormat="false" ht="15" hidden="false" customHeight="true" outlineLevel="0" collapsed="false">
      <c r="B325" s="10"/>
      <c r="C325" s="10"/>
      <c r="D325" s="34" t="str">
        <f aca="false">IF($K$316=0,"",INDEX(Clients!$E$2:$E$501,$K$316)&amp;"")</f>
        <v/>
      </c>
      <c r="E325" s="34"/>
      <c r="F325" s="34"/>
      <c r="J325" s="25"/>
      <c r="K325" s="25"/>
      <c r="L325" s="25"/>
      <c r="M325" s="25"/>
      <c r="N325" s="25"/>
      <c r="O325" s="25"/>
    </row>
    <row r="326" customFormat="false" ht="15" hidden="false" customHeight="true" outlineLevel="0" collapsed="false">
      <c r="B326" s="10"/>
      <c r="C326" s="10"/>
      <c r="D326" s="35" t="str">
        <f aca="false">IF(IF($K$316=0,"",INDEX(Clients!$D$2:$D$501,$K$316)&amp;"")="","","À l'attention de "&amp;TRIM(IF($K$316=0,"",INDEX(Clients!$B$2:$B$501,$K$316)&amp;"")&amp;" "&amp;IF($K$316=0,"",INDEX(Clients!$C$2:$C$501,$K$316)&amp;"")&amp;" "&amp;IF($K$316=0,"",INDEX(Clients!$D$2:$D$501,$K$316)&amp;"")))</f>
        <v/>
      </c>
      <c r="E326" s="35"/>
      <c r="F326" s="35"/>
      <c r="J326" s="25"/>
      <c r="K326" s="25"/>
      <c r="L326" s="25"/>
      <c r="M326" s="25"/>
      <c r="N326" s="25"/>
      <c r="O326" s="25"/>
    </row>
    <row r="327" customFormat="false" ht="15" hidden="false" customHeight="true" outlineLevel="0" collapsed="false">
      <c r="B327" s="10"/>
      <c r="C327" s="10"/>
      <c r="D327" s="35" t="str">
        <f aca="false">IF($K$316=0,"",INDEX(Clients!$F$2:$F$501,$K$316)&amp;"")</f>
        <v/>
      </c>
      <c r="E327" s="35"/>
      <c r="F327" s="35"/>
      <c r="J327" s="25"/>
      <c r="K327" s="25"/>
      <c r="L327" s="25"/>
      <c r="M327" s="25"/>
      <c r="N327" s="25"/>
      <c r="O327" s="25"/>
    </row>
    <row r="328" customFormat="false" ht="15" hidden="false" customHeight="true" outlineLevel="0" collapsed="false">
      <c r="B328" s="10"/>
      <c r="C328" s="10"/>
      <c r="D328" s="35" t="str">
        <f aca="false">IF(IF($K$316=0,"",INDEX(Clients!$G$2:$G$501,$K$316)&amp;"")="",TRIM(IF($K$316=0,"",INDEX(Clients!$H$2:$H$501,$K$316)&amp;"")&amp;" "&amp;UPPER(IF($K$316=0,"",INDEX(Clients!$I$2:$I$501,$K$316)&amp;""))),IF($K$316=0,"",INDEX(Clients!$G$2:$G$501,$K$316)&amp;""))</f>
        <v/>
      </c>
      <c r="E328" s="35"/>
      <c r="F328" s="35"/>
      <c r="J328" s="25"/>
      <c r="K328" s="25"/>
      <c r="L328" s="25"/>
      <c r="M328" s="25"/>
      <c r="N328" s="25"/>
      <c r="O328" s="25"/>
    </row>
    <row r="329" customFormat="false" ht="15" hidden="false" customHeight="true" outlineLevel="0" collapsed="false">
      <c r="B329" s="10"/>
      <c r="C329" s="10"/>
      <c r="D329" s="35" t="str">
        <f aca="false">IF(IF($K$316=0,"",INDEX(Clients!$G$2:$G$501,$K$316)&amp;"")="","",TRIM(IF($K$316=0,"",INDEX(Clients!$H$2:$H$501,$K$316)&amp;"")&amp;" "&amp;UPPER(IF($K$316=0,"",INDEX(Clients!$I$2:$I$501,$K$316)&amp;""))))</f>
        <v/>
      </c>
      <c r="E329" s="35"/>
      <c r="F329" s="35"/>
      <c r="J329" s="25"/>
      <c r="K329" s="25"/>
      <c r="L329" s="25"/>
      <c r="M329" s="25"/>
      <c r="N329" s="25"/>
      <c r="O329" s="25"/>
    </row>
    <row r="330" customFormat="false" ht="25.5" hidden="false" customHeight="true" outlineLevel="0" collapsed="false">
      <c r="B330" s="10"/>
      <c r="C330" s="10"/>
      <c r="D330" s="10"/>
      <c r="E330" s="10"/>
      <c r="F330" s="10"/>
      <c r="J330" s="25"/>
      <c r="K330" s="25"/>
      <c r="L330" s="25"/>
      <c r="M330" s="25"/>
      <c r="N330" s="25"/>
      <c r="O330" s="25"/>
    </row>
    <row r="331" customFormat="false" ht="15" hidden="false" customHeight="false" outlineLevel="0" collapsed="false">
      <c r="B331" s="10"/>
      <c r="C331" s="10"/>
      <c r="D331" s="36" t="str">
        <f aca="false">Cab_Ville&amp;", le "&amp;DAY(Date_Courrier)&amp;IF(DAY(Date_Courrier)=1,"er","")&amp;" "&amp;INDEX(Liste_Mois,MONTH(Date_Courrier))&amp;" "&amp;YEAR(Date_Courrier)</f>
        <v>Le Plessis-Bouchard, le 22 septembre 2026</v>
      </c>
      <c r="E331" s="36"/>
      <c r="F331" s="36"/>
      <c r="J331" s="25"/>
      <c r="K331" s="25"/>
      <c r="L331" s="25"/>
      <c r="M331" s="25"/>
      <c r="N331" s="25"/>
      <c r="O331" s="25"/>
    </row>
    <row r="332" customFormat="false" ht="19.5" hidden="false" customHeight="true" outlineLevel="0" collapsed="false">
      <c r="B332" s="10"/>
      <c r="C332" s="10"/>
      <c r="D332" s="10"/>
      <c r="E332" s="10"/>
      <c r="F332" s="10"/>
      <c r="J332" s="25"/>
      <c r="K332" s="25"/>
      <c r="L332" s="25"/>
      <c r="M332" s="25"/>
      <c r="N332" s="25"/>
      <c r="O332" s="25"/>
    </row>
    <row r="333" customFormat="false" ht="15" hidden="false" customHeight="false" outlineLevel="0" collapsed="false">
      <c r="B333" s="34" t="str">
        <f aca="false">SUBSTITUTE(SUBSTITUTE(SUBSTITUTE(SUBSTITUTE(SUBSTITUTE(Txt_Objet,"{cabinet}",Cab_Nom),"{societe}",IF($K$316=0,"",INDEX(Clients!$E$2:$E$501,$K$316)&amp;"")),"{date_effet}",$K$318),"{hausse}",$K$319),"{civilite}",$K$317)</f>
        <v>Objet : révision de nos honoraires au 1er janvier 2027</v>
      </c>
      <c r="C333" s="34"/>
      <c r="D333" s="34"/>
      <c r="E333" s="34"/>
      <c r="F333" s="34"/>
      <c r="J333" s="25"/>
      <c r="K333" s="25"/>
      <c r="L333" s="25"/>
      <c r="M333" s="25"/>
      <c r="N333" s="25"/>
      <c r="O333" s="25"/>
    </row>
    <row r="334" customFormat="false" ht="13.5" hidden="false" customHeight="true" outlineLevel="0" collapsed="false">
      <c r="B334" s="10"/>
      <c r="C334" s="10"/>
      <c r="D334" s="10"/>
      <c r="E334" s="10"/>
      <c r="F334" s="10"/>
      <c r="J334" s="25"/>
      <c r="K334" s="25"/>
      <c r="L334" s="25"/>
      <c r="M334" s="25"/>
      <c r="N334" s="25"/>
      <c r="O334" s="25"/>
    </row>
    <row r="335" customFormat="false" ht="15" hidden="false" customHeight="false" outlineLevel="0" collapsed="false">
      <c r="B335" s="10" t="str">
        <f aca="false">$K$317&amp;","</f>
        <v>Madame, Monsieur,</v>
      </c>
      <c r="C335" s="10"/>
      <c r="D335" s="10"/>
      <c r="E335" s="10"/>
      <c r="F335" s="10"/>
      <c r="J335" s="25"/>
      <c r="K335" s="25"/>
      <c r="L335" s="25"/>
      <c r="M335" s="25"/>
      <c r="N335" s="25"/>
      <c r="O335" s="25"/>
    </row>
    <row r="336" customFormat="false" ht="6" hidden="false" customHeight="true" outlineLevel="0" collapsed="false">
      <c r="B336" s="10"/>
      <c r="C336" s="10"/>
      <c r="D336" s="10"/>
      <c r="E336" s="10"/>
      <c r="F336" s="10"/>
      <c r="J336" s="25"/>
      <c r="K336" s="25"/>
      <c r="L336" s="25"/>
      <c r="M336" s="25"/>
      <c r="N336" s="25"/>
      <c r="O336" s="25"/>
    </row>
    <row r="337" customFormat="false" ht="36.75" hidden="false" customHeight="true" outlineLevel="0" collapsed="false">
      <c r="B337" s="37" t="str">
        <f aca="false">SUBSTITUTE(SUBSTITUTE(SUBSTITUTE(SUBSTITUTE(SUBSTITUTE(Txt_P1,"{cabinet}",Cab_Nom),"{societe}",IF($K$316=0,"",INDEX(Clients!$E$2:$E$501,$K$316)&amp;"")),"{date_effet}",$K$318),"{hausse}",$K$319),"{civilite}",$K$317)</f>
        <v>Nous tenons tout d'abord à vous remercier pour la confiance que vous accordez à ALTHO EXPERTISE. Comme chaque année, et conformément aux dispositions de votre lettre de mission, nous procédons à la révision de nos honoraires.</v>
      </c>
      <c r="C337" s="37"/>
      <c r="D337" s="37"/>
      <c r="E337" s="37"/>
      <c r="F337" s="37"/>
      <c r="J337" s="25"/>
      <c r="K337" s="25"/>
      <c r="L337" s="25"/>
      <c r="M337" s="25"/>
      <c r="N337" s="25"/>
      <c r="O337" s="25"/>
    </row>
    <row r="338" customFormat="false" ht="49.5" hidden="false" customHeight="true" outlineLevel="0" collapsed="false">
      <c r="B338" s="37" t="str">
        <f aca="false">SUBSTITUTE(SUBSTITUTE(SUBSTITUTE(SUBSTITUTE(SUBSTITUTE(Txt_P2,"{cabinet}",Cab_Nom),"{societe}",IF($K$316=0,"",INDEX(Clients!$E$2:$E$501,$K$316)&amp;"")),"{date_effet}",$K$318),"{hausse}",$K$319),"{civilite}",$K$317)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38" s="37"/>
      <c r="D338" s="37"/>
      <c r="E338" s="37"/>
      <c r="F338" s="37"/>
      <c r="J338" s="25"/>
      <c r="K338" s="25"/>
      <c r="L338" s="25"/>
      <c r="M338" s="25"/>
      <c r="N338" s="25"/>
      <c r="O338" s="25"/>
    </row>
    <row r="339" customFormat="false" ht="63" hidden="false" customHeight="true" outlineLevel="0" collapsed="false">
      <c r="B339" s="37" t="str">
        <f aca="false">SUBSTITUTE(SUBSTITUTE(SUBSTITUTE(SUBSTITUTE(SUBSTITUTE(Txt_P3,"{cabinet}",Cab_Nom),"{societe}",IF($K$316=0,"",INDEX(Clients!$E$2:$E$501,$K$316)&amp;"")),"{date_effet}",$K$318),"{hausse}",$K$319),"{civilite}",$K$317)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39" s="37"/>
      <c r="D339" s="37"/>
      <c r="E339" s="37"/>
      <c r="F339" s="37"/>
      <c r="J339" s="25"/>
      <c r="K339" s="25"/>
      <c r="L339" s="25"/>
      <c r="M339" s="25"/>
      <c r="N339" s="25"/>
      <c r="O339" s="25"/>
    </row>
    <row r="340" customFormat="false" ht="24" hidden="false" customHeight="true" outlineLevel="0" collapsed="false">
      <c r="B340" s="37" t="str">
        <f aca="false">SUBSTITUTE(SUBSTITUTE(SUBSTITUTE(SUBSTITUTE(SUBSTITUTE(Txt_P4,"{cabinet}",Cab_Nom),"{societe}",IF($K$316=0,"",INDEX(Clients!$E$2:$E$501,$K$316)&amp;"")),"{date_effet}",$K$318),"{hausse}",$K$319),"{civilite}",$K$317)</f>
        <v>À compter du 1er janvier 2027, vos honoraires annuels hors taxes évolueront ainsi (évolution globale : ) :</v>
      </c>
      <c r="C340" s="37"/>
      <c r="D340" s="37"/>
      <c r="E340" s="37"/>
      <c r="F340" s="37"/>
      <c r="J340" s="25"/>
      <c r="K340" s="25"/>
      <c r="L340" s="25"/>
      <c r="M340" s="25"/>
      <c r="N340" s="25"/>
      <c r="O340" s="25"/>
    </row>
    <row r="341" customFormat="false" ht="3.75" hidden="false" customHeight="true" outlineLevel="0" collapsed="false">
      <c r="B341" s="10"/>
      <c r="C341" s="10"/>
      <c r="D341" s="10"/>
      <c r="E341" s="10"/>
      <c r="F341" s="10"/>
      <c r="J341" s="25"/>
      <c r="K341" s="25"/>
      <c r="L341" s="25"/>
      <c r="M341" s="25"/>
      <c r="N341" s="25"/>
      <c r="O341" s="25"/>
    </row>
    <row r="342" customFormat="false" ht="18" hidden="false" customHeight="true" outlineLevel="0" collapsed="false">
      <c r="B342" s="38" t="s">
        <v>148</v>
      </c>
      <c r="C342" s="39" t="s">
        <v>149</v>
      </c>
      <c r="D342" s="39" t="s">
        <v>150</v>
      </c>
      <c r="E342" s="39" t="s">
        <v>151</v>
      </c>
      <c r="F342" s="39" t="s">
        <v>109</v>
      </c>
      <c r="J342" s="25" t="s">
        <v>152</v>
      </c>
      <c r="K342" s="25" t="s">
        <v>153</v>
      </c>
      <c r="L342" s="25" t="s">
        <v>154</v>
      </c>
      <c r="M342" s="25" t="s">
        <v>155</v>
      </c>
      <c r="N342" s="25" t="s">
        <v>156</v>
      </c>
      <c r="O342" s="25" t="s">
        <v>157</v>
      </c>
    </row>
    <row r="343" customFormat="false" ht="16.5" hidden="false" customHeight="true" outlineLevel="0" collapsed="false">
      <c r="B343" s="40" t="str">
        <f aca="false">IFERROR(INDEX($J$343:$J$346,MATCH($O343,$N$343:$N$346,0)),"")</f>
        <v/>
      </c>
      <c r="C343" s="41" t="str">
        <f aca="false">IFERROR(INDEX($K$343:$K$346,MATCH($O343,$N$343:$N$346,0)),"")</f>
        <v/>
      </c>
      <c r="D343" s="42" t="str">
        <f aca="false">IF(OR(E343="",N(C343)=0),"",E343/C343-1)</f>
        <v/>
      </c>
      <c r="E343" s="41" t="str">
        <f aca="false">IFERROR(INDEX($L$343:$L$346,MATCH($O343,$N$343:$N$346,0)),"")</f>
        <v/>
      </c>
      <c r="F343" s="41" t="str">
        <f aca="false">IF(E343="","",E343-C343)</f>
        <v/>
      </c>
      <c r="J343" s="25" t="str">
        <f aca="false">Lib_Compta</f>
        <v>Mission comptable (tenue, révision, bilan, liasse fiscale)</v>
      </c>
      <c r="K343" s="25" t="n">
        <f aca="false">IF($K$316=0,0,N(INDEX(Clients!$K$2:$K$501,$K$316)))</f>
        <v>0</v>
      </c>
      <c r="L343" s="25" t="n">
        <f aca="false">IF($K$316=0,0,N(INDEX(Clients!$P$2:$P$501,$K$316)))</f>
        <v>0</v>
      </c>
      <c r="M343" s="25" t="n">
        <f aca="false">IF(OR(K343&lt;&gt;0,L343&lt;&gt;0),1,0)</f>
        <v>0</v>
      </c>
      <c r="N343" s="25" t="str">
        <f aca="false">IF(M343=1,SUM($M$343:M343),"")</f>
        <v/>
      </c>
      <c r="O343" s="25" t="n">
        <v>1</v>
      </c>
    </row>
    <row r="344" customFormat="false" ht="16.5" hidden="false" customHeight="true" outlineLevel="0" collapsed="false">
      <c r="B344" s="40" t="str">
        <f aca="false">IFERROR(INDEX($J$343:$J$346,MATCH($O344,$N$343:$N$346,0)),"")</f>
        <v/>
      </c>
      <c r="C344" s="41" t="str">
        <f aca="false">IFERROR(INDEX($K$343:$K$346,MATCH($O344,$N$343:$N$346,0)),"")</f>
        <v/>
      </c>
      <c r="D344" s="42" t="str">
        <f aca="false">IF(OR(E344="",N(C344)=0),"",E344/C344-1)</f>
        <v/>
      </c>
      <c r="E344" s="41" t="str">
        <f aca="false">IFERROR(INDEX($L$343:$L$346,MATCH($O344,$N$343:$N$346,0)),"")</f>
        <v/>
      </c>
      <c r="F344" s="41" t="str">
        <f aca="false">IF(E344="","",E344-C344)</f>
        <v/>
      </c>
      <c r="J344" s="25" t="str">
        <f aca="false">Lib_Paye</f>
        <v>Mission sociale (bulletins de paie, DSN, déclarations sociales)</v>
      </c>
      <c r="K344" s="25" t="n">
        <f aca="false">IF($K$316=0,0,N(INDEX(Clients!$L$2:$L$501,$K$316)))</f>
        <v>0</v>
      </c>
      <c r="L344" s="25" t="n">
        <f aca="false">IF($K$316=0,0,N(INDEX(Clients!$Q$2:$Q$501,$K$316)))</f>
        <v>0</v>
      </c>
      <c r="M344" s="25" t="n">
        <f aca="false">IF(OR(K344&lt;&gt;0,L344&lt;&gt;0),1,0)</f>
        <v>0</v>
      </c>
      <c r="N344" s="25" t="str">
        <f aca="false">IF(M344=1,SUM($M$343:M344),"")</f>
        <v/>
      </c>
      <c r="O344" s="25" t="n">
        <v>2</v>
      </c>
    </row>
    <row r="345" customFormat="false" ht="16.5" hidden="false" customHeight="true" outlineLevel="0" collapsed="false">
      <c r="B345" s="40" t="str">
        <f aca="false">IFERROR(INDEX($J$343:$J$346,MATCH($O345,$N$343:$N$346,0)),"")</f>
        <v/>
      </c>
      <c r="C345" s="41" t="str">
        <f aca="false">IFERROR(INDEX($K$343:$K$346,MATCH($O345,$N$343:$N$346,0)),"")</f>
        <v/>
      </c>
      <c r="D345" s="42" t="str">
        <f aca="false">IF(OR(E345="",N(C345)=0),"",E345/C345-1)</f>
        <v/>
      </c>
      <c r="E345" s="41" t="str">
        <f aca="false">IFERROR(INDEX($L$343:$L$346,MATCH($O345,$N$343:$N$346,0)),"")</f>
        <v/>
      </c>
      <c r="F345" s="41" t="str">
        <f aca="false">IF(E345="","",E345-C345)</f>
        <v/>
      </c>
      <c r="J345" s="25" t="str">
        <f aca="false">Lib_Jur</f>
        <v>Mission juridique (approbation des comptes, secrétariat juridique)</v>
      </c>
      <c r="K345" s="25" t="n">
        <f aca="false">IF($K$316=0,0,N(INDEX(Clients!$M$2:$M$501,$K$316)))</f>
        <v>0</v>
      </c>
      <c r="L345" s="25" t="n">
        <f aca="false">IF($K$316=0,0,N(INDEX(Clients!$R$2:$R$501,$K$316)))</f>
        <v>0</v>
      </c>
      <c r="M345" s="25" t="n">
        <f aca="false">IF(OR(K345&lt;&gt;0,L345&lt;&gt;0),1,0)</f>
        <v>0</v>
      </c>
      <c r="N345" s="25" t="str">
        <f aca="false">IF(M345=1,SUM($M$343:M345),"")</f>
        <v/>
      </c>
      <c r="O345" s="25" t="n">
        <v>3</v>
      </c>
    </row>
    <row r="346" customFormat="false" ht="16.5" hidden="false" customHeight="true" outlineLevel="0" collapsed="false">
      <c r="B346" s="40" t="str">
        <f aca="false">IFERROR(INDEX($J$343:$J$346,MATCH($O346,$N$343:$N$346,0)),"")</f>
        <v/>
      </c>
      <c r="C346" s="41" t="str">
        <f aca="false">IFERROR(INDEX($K$343:$K$346,MATCH($O346,$N$343:$N$346,0)),"")</f>
        <v/>
      </c>
      <c r="D346" s="42" t="str">
        <f aca="false">IF(OR(E346="",N(C346)=0),"",E346/C346-1)</f>
        <v/>
      </c>
      <c r="E346" s="41" t="str">
        <f aca="false">IFERROR(INDEX($L$343:$L$346,MATCH($O346,$N$343:$N$346,0)),"")</f>
        <v/>
      </c>
      <c r="F346" s="41" t="str">
        <f aca="false">IF(E346="","",E346-C346)</f>
        <v/>
      </c>
      <c r="J346" s="25" t="str">
        <f aca="false">Lib_PA</f>
        <v>Plateforme agréée – facturation électronique</v>
      </c>
      <c r="K346" s="25" t="n">
        <f aca="false">IF($K$316=0,0,N(INDEX(Clients!$N$2:$N$501,$K$316)))</f>
        <v>0</v>
      </c>
      <c r="L346" s="25" t="n">
        <f aca="false">IF($K$316=0,0,N(INDEX(Clients!$S$2:$S$501,$K$316)))</f>
        <v>0</v>
      </c>
      <c r="M346" s="25" t="n">
        <f aca="false">IF(OR(K346&lt;&gt;0,L346&lt;&gt;0),1,0)</f>
        <v>0</v>
      </c>
      <c r="N346" s="25" t="str">
        <f aca="false">IF(M346=1,SUM($M$343:M346),"")</f>
        <v/>
      </c>
      <c r="O346" s="25" t="n">
        <v>4</v>
      </c>
    </row>
    <row r="347" customFormat="false" ht="18" hidden="false" customHeight="true" outlineLevel="0" collapsed="false">
      <c r="B347" s="43" t="s">
        <v>158</v>
      </c>
      <c r="C347" s="44" t="n">
        <f aca="false">SUM(K343:K346)</f>
        <v>0</v>
      </c>
      <c r="D347" s="45" t="str">
        <f aca="false">IF(N(C347)=0,"",E347/C347-1)</f>
        <v/>
      </c>
      <c r="E347" s="44" t="n">
        <f aca="false">SUM(L343:L346)</f>
        <v>0</v>
      </c>
      <c r="F347" s="44" t="n">
        <f aca="false">E347-C347</f>
        <v>0</v>
      </c>
    </row>
    <row r="348" customFormat="false" ht="15" hidden="false" customHeight="false" outlineLevel="0" collapsed="false">
      <c r="B348" s="46" t="str">
        <f aca="false">IF(N(Nb_Mensualites)=0,"","Soit "&amp;FIXED(E347/Nb_Mensualites,2)&amp;" € HT par échéance ("&amp;Nb_Mensualites&amp;" échéances), "&amp;FIXED(E347/Nb_Mensualites*(1+Taux_TVA),2)&amp;" € TTC.")</f>
        <v>Soit 0.00 € HT par échéance (12 échéances), 0.00 € TTC.</v>
      </c>
      <c r="C348" s="46"/>
      <c r="D348" s="46"/>
      <c r="E348" s="46"/>
      <c r="F348" s="46"/>
    </row>
    <row r="349" customFormat="false" ht="7.5" hidden="false" customHeight="true" outlineLevel="0" collapsed="false">
      <c r="B349" s="10"/>
      <c r="C349" s="10"/>
      <c r="D349" s="10"/>
      <c r="E349" s="10"/>
      <c r="F349" s="10"/>
    </row>
    <row r="350" customFormat="false" ht="36.75" hidden="false" customHeight="true" outlineLevel="0" collapsed="false">
      <c r="B350" s="37" t="str">
        <f aca="false">SUBSTITUTE(SUBSTITUTE(SUBSTITUTE(SUBSTITUTE(SUBSTITUTE(Txt_P5,"{cabinet}",Cab_Nom),"{societe}",IF($K$316=0,"",INDEX(Clients!$E$2:$E$501,$K$316)&amp;"")),"{date_effet}",$K$318),"{hausse}",$K$319),"{civilite}",$K$317)</f>
        <v>Les autres conditions de votre lettre de mission demeurent inchangées. Les nouveaux montants seront appliqués automatiquement sur vos prochaines factures et échéances de prélèvement.</v>
      </c>
      <c r="C350" s="37"/>
      <c r="D350" s="37"/>
      <c r="E350" s="37"/>
      <c r="F350" s="37"/>
    </row>
    <row r="351" customFormat="false" ht="36.75" hidden="false" customHeight="true" outlineLevel="0" collapsed="false">
      <c r="B351" s="37" t="str">
        <f aca="false">SUBSTITUTE(SUBSTITUTE(SUBSTITUTE(SUBSTITUTE(SUBSTITUTE(Txt_P6,"{cabinet}",Cab_Nom),"{societe}",IF($K$316=0,"",INDEX(Clients!$E$2:$E$501,$K$316)&amp;"")),"{date_effet}",$K$318),"{hausse}",$K$319),"{civilite}",$K$317)</f>
        <v>Votre interlocuteur habituel reste à votre entière disposition pour répondre à vos questions et faire le point sur l'évolution de vos besoins.</v>
      </c>
      <c r="C351" s="37"/>
      <c r="D351" s="37"/>
      <c r="E351" s="37"/>
      <c r="F351" s="37"/>
    </row>
    <row r="352" customFormat="false" ht="24" hidden="false" customHeight="true" outlineLevel="0" collapsed="false">
      <c r="B352" s="37" t="str">
        <f aca="false">SUBSTITUTE(SUBSTITUTE(SUBSTITUTE(SUBSTITUTE(SUBSTITUTE(Txt_Politesse,"{cabinet}",Cab_Nom),"{societe}",IF($K$316=0,"",INDEX(Clients!$E$2:$E$501,$K$316)&amp;"")),"{date_effet}",$K$318),"{hausse}",$K$319),"{civilite}",$K$317)</f>
        <v>Nous vous prions d'agréer, Madame, Monsieur, l'expression de nos salutations distinguées.</v>
      </c>
      <c r="C352" s="37"/>
      <c r="D352" s="37"/>
      <c r="E352" s="37"/>
      <c r="F352" s="37"/>
    </row>
    <row r="353" customFormat="false" ht="15" hidden="false" customHeight="false" outlineLevel="0" collapsed="false">
      <c r="B353" s="10"/>
      <c r="C353" s="10"/>
      <c r="D353" s="10"/>
      <c r="E353" s="10"/>
      <c r="F353" s="10"/>
    </row>
    <row r="354" customFormat="false" ht="15" hidden="false" customHeight="false" outlineLevel="0" collapsed="false">
      <c r="B354" s="10"/>
      <c r="C354" s="10"/>
      <c r="D354" s="34" t="str">
        <f aca="false">Signataire</f>
        <v>Prénom NOM</v>
      </c>
      <c r="E354" s="34"/>
      <c r="F354" s="34"/>
    </row>
    <row r="355" customFormat="false" ht="15" hidden="false" customHeight="false" outlineLevel="0" collapsed="false">
      <c r="B355" s="10"/>
      <c r="C355" s="10"/>
      <c r="D355" s="47" t="str">
        <f aca="false">Signataire_Titre</f>
        <v>Expert-comptable associé</v>
      </c>
      <c r="E355" s="47"/>
      <c r="F355" s="47"/>
    </row>
    <row r="356" customFormat="false" ht="15.75" hidden="false" customHeight="true" outlineLevel="0" collapsed="false">
      <c r="B356" s="10"/>
      <c r="C356" s="10"/>
      <c r="D356" s="10"/>
      <c r="E356" s="10"/>
      <c r="F356" s="10"/>
    </row>
    <row r="357" customFormat="false" ht="15.75" hidden="false" customHeight="true" outlineLevel="0" collapsed="false">
      <c r="B357" s="10"/>
      <c r="C357" s="10"/>
      <c r="D357" s="10"/>
      <c r="E357" s="10"/>
      <c r="F357" s="10"/>
    </row>
    <row r="358" customFormat="false" ht="15.75" hidden="false" customHeight="true" outlineLevel="0" collapsed="false">
      <c r="B358" s="10"/>
      <c r="C358" s="10"/>
      <c r="D358" s="10"/>
      <c r="E358" s="10"/>
      <c r="F358" s="10"/>
    </row>
    <row r="359" customFormat="false" ht="15.75" hidden="false" customHeight="true" outlineLevel="0" collapsed="false">
      <c r="B359" s="10"/>
      <c r="C359" s="10"/>
      <c r="D359" s="10"/>
      <c r="E359" s="10"/>
      <c r="F359" s="10"/>
    </row>
    <row r="360" customFormat="false" ht="24" hidden="false" customHeight="true" outlineLevel="0" collapsed="false">
      <c r="B360" s="48" t="str">
        <f aca="false">Cab_Mentions</f>
        <v>ALTHO EXPERTISE · SAS au capital de 10 000 € · RCS Pontoise 919 706 325 · TVA FR62919706325 · Société d'expertise comptable inscrite au Tableau de l'Ordre des experts-comptables de Paris Île-de-France</v>
      </c>
      <c r="C360" s="48"/>
      <c r="D360" s="48"/>
      <c r="E360" s="48"/>
      <c r="F360" s="48"/>
    </row>
    <row r="361" customFormat="false" ht="15" hidden="false" customHeight="false" outlineLevel="0" collapsed="false">
      <c r="B361" s="10"/>
      <c r="C361" s="10"/>
      <c r="D361" s="10"/>
      <c r="E361" s="10"/>
      <c r="F361" s="10"/>
      <c r="J361" s="25" t="s">
        <v>142</v>
      </c>
      <c r="K361" s="25" t="n">
        <f aca="false">IFERROR(MATCH(9,Clients!$Z$2:$Z$501,0),0)</f>
        <v>0</v>
      </c>
      <c r="L361" s="25"/>
      <c r="M361" s="25"/>
      <c r="N361" s="25"/>
      <c r="O361" s="25"/>
    </row>
    <row r="362" customFormat="false" ht="21.75" hidden="false" customHeight="true" outlineLevel="0" collapsed="false">
      <c r="B362" s="26" t="str">
        <f aca="false">Cab_Nom</f>
        <v>ALTHO EXPERTISE</v>
      </c>
      <c r="C362" s="26"/>
      <c r="D362" s="10"/>
      <c r="E362" s="27" t="str">
        <f aca="false">IF($K$361=0,"","Réf. client : "&amp;INDEX(Clients!$A$2:$A$501,$K$361))</f>
        <v/>
      </c>
      <c r="F362" s="27"/>
      <c r="J362" s="25" t="s">
        <v>144</v>
      </c>
      <c r="K362" s="25" t="str">
        <f aca="false">IF(IF($K$361=0,"",INDEX(Clients!$B$2:$B$501,$K$361)&amp;"")="Mme","Madame",IF(IF($K$361=0,"",INDEX(Clients!$B$2:$B$501,$K$361)&amp;"")="M.","Monsieur","Madame, Monsieur"))</f>
        <v>Madame, Monsieur</v>
      </c>
      <c r="L362" s="25"/>
      <c r="M362" s="25"/>
      <c r="N362" s="25"/>
      <c r="O362" s="25"/>
    </row>
    <row r="363" customFormat="false" ht="15" hidden="false" customHeight="false" outlineLevel="0" collapsed="false">
      <c r="B363" s="29" t="str">
        <f aca="false">Cab_Adr1</f>
        <v>141 rue Charles de Gaulle</v>
      </c>
      <c r="C363" s="29"/>
      <c r="D363" s="10"/>
      <c r="E363" s="10"/>
      <c r="F363" s="10"/>
      <c r="J363" s="25" t="s">
        <v>145</v>
      </c>
      <c r="K363" s="25" t="str">
        <f aca="false">DAY(Date_Effet)&amp;IF(DAY(Date_Effet)=1,"er","")&amp;" "&amp;INDEX(Liste_Mois,MONTH(Date_Effet))&amp;" "&amp;YEAR(Date_Effet)</f>
        <v>1er janvier 2027</v>
      </c>
      <c r="L363" s="25"/>
      <c r="M363" s="25"/>
      <c r="N363" s="25"/>
      <c r="O363" s="25"/>
    </row>
    <row r="364" customFormat="false" ht="15" hidden="false" customHeight="false" outlineLevel="0" collapsed="false">
      <c r="B364" s="29" t="str">
        <f aca="false">Cab_CPVille</f>
        <v>95130 LE PLESSIS-BOUCHARD</v>
      </c>
      <c r="C364" s="29"/>
      <c r="D364" s="10"/>
      <c r="E364" s="10"/>
      <c r="F364" s="10"/>
      <c r="J364" s="25" t="s">
        <v>146</v>
      </c>
      <c r="K364" s="25" t="str">
        <f aca="false">IF(SUM($K$388:$K$391)=0,"",FIXED((SUM($L$388:$L$391)/SUM($K$388:$K$391)-1)*100,1)&amp;" %")</f>
        <v/>
      </c>
      <c r="L364" s="25"/>
      <c r="M364" s="25"/>
      <c r="N364" s="25"/>
      <c r="O364" s="25"/>
    </row>
    <row r="365" customFormat="false" ht="15" hidden="false" customHeight="false" outlineLevel="0" collapsed="false">
      <c r="B365" s="29" t="str">
        <f aca="false">Cab_Contact</f>
        <v>Tél. 01 34 14 53 45  ·  altho@altho-experts.com  ·  altho-experts.com</v>
      </c>
      <c r="C365" s="29"/>
      <c r="D365" s="10"/>
      <c r="E365" s="10"/>
      <c r="F365" s="10"/>
      <c r="J365" s="25"/>
      <c r="K365" s="25"/>
      <c r="L365" s="25"/>
      <c r="M365" s="25"/>
      <c r="N365" s="25"/>
      <c r="O365" s="25"/>
    </row>
    <row r="366" customFormat="false" ht="6" hidden="false" customHeight="true" outlineLevel="0" collapsed="false">
      <c r="B366" s="32"/>
      <c r="C366" s="32"/>
      <c r="D366" s="32"/>
      <c r="E366" s="32"/>
      <c r="F366" s="32"/>
      <c r="J366" s="25"/>
      <c r="K366" s="25"/>
      <c r="L366" s="25"/>
      <c r="M366" s="25"/>
      <c r="N366" s="25"/>
      <c r="O366" s="25"/>
    </row>
    <row r="367" customFormat="false" ht="13.5" hidden="false" customHeight="true" outlineLevel="0" collapsed="false">
      <c r="B367" s="10"/>
      <c r="C367" s="10"/>
      <c r="D367" s="10"/>
      <c r="E367" s="10"/>
      <c r="F367" s="10"/>
      <c r="J367" s="25"/>
      <c r="K367" s="25"/>
      <c r="L367" s="25"/>
      <c r="M367" s="25"/>
      <c r="N367" s="25"/>
      <c r="O367" s="25"/>
    </row>
    <row r="368" customFormat="false" ht="13.5" hidden="false" customHeight="true" outlineLevel="0" collapsed="false">
      <c r="B368" s="10"/>
      <c r="C368" s="10"/>
      <c r="D368" s="10"/>
      <c r="E368" s="10"/>
      <c r="F368" s="10"/>
      <c r="J368" s="25"/>
      <c r="K368" s="25"/>
      <c r="L368" s="25"/>
      <c r="M368" s="25"/>
      <c r="N368" s="25"/>
      <c r="O368" s="25"/>
    </row>
    <row r="369" customFormat="false" ht="13.5" hidden="false" customHeight="true" outlineLevel="0" collapsed="false">
      <c r="B369" s="10"/>
      <c r="C369" s="10"/>
      <c r="D369" s="10"/>
      <c r="E369" s="10"/>
      <c r="F369" s="10"/>
      <c r="J369" s="25"/>
      <c r="K369" s="25"/>
      <c r="L369" s="25"/>
      <c r="M369" s="25"/>
      <c r="N369" s="25"/>
      <c r="O369" s="25"/>
    </row>
    <row r="370" customFormat="false" ht="15" hidden="false" customHeight="true" outlineLevel="0" collapsed="false">
      <c r="B370" s="10"/>
      <c r="C370" s="10"/>
      <c r="D370" s="34" t="str">
        <f aca="false">IF($K$361=0,"",INDEX(Clients!$E$2:$E$501,$K$361)&amp;"")</f>
        <v/>
      </c>
      <c r="E370" s="34"/>
      <c r="F370" s="34"/>
      <c r="J370" s="25"/>
      <c r="K370" s="25"/>
      <c r="L370" s="25"/>
      <c r="M370" s="25"/>
      <c r="N370" s="25"/>
      <c r="O370" s="25"/>
    </row>
    <row r="371" customFormat="false" ht="15" hidden="false" customHeight="true" outlineLevel="0" collapsed="false">
      <c r="B371" s="10"/>
      <c r="C371" s="10"/>
      <c r="D371" s="35" t="str">
        <f aca="false">IF(IF($K$361=0,"",INDEX(Clients!$D$2:$D$501,$K$361)&amp;"")="","","À l'attention de "&amp;TRIM(IF($K$361=0,"",INDEX(Clients!$B$2:$B$501,$K$361)&amp;"")&amp;" "&amp;IF($K$361=0,"",INDEX(Clients!$C$2:$C$501,$K$361)&amp;"")&amp;" "&amp;IF($K$361=0,"",INDEX(Clients!$D$2:$D$501,$K$361)&amp;"")))</f>
        <v/>
      </c>
      <c r="E371" s="35"/>
      <c r="F371" s="35"/>
      <c r="J371" s="25"/>
      <c r="K371" s="25"/>
      <c r="L371" s="25"/>
      <c r="M371" s="25"/>
      <c r="N371" s="25"/>
      <c r="O371" s="25"/>
    </row>
    <row r="372" customFormat="false" ht="15" hidden="false" customHeight="true" outlineLevel="0" collapsed="false">
      <c r="B372" s="10"/>
      <c r="C372" s="10"/>
      <c r="D372" s="35" t="str">
        <f aca="false">IF($K$361=0,"",INDEX(Clients!$F$2:$F$501,$K$361)&amp;"")</f>
        <v/>
      </c>
      <c r="E372" s="35"/>
      <c r="F372" s="35"/>
      <c r="J372" s="25"/>
      <c r="K372" s="25"/>
      <c r="L372" s="25"/>
      <c r="M372" s="25"/>
      <c r="N372" s="25"/>
      <c r="O372" s="25"/>
    </row>
    <row r="373" customFormat="false" ht="15" hidden="false" customHeight="true" outlineLevel="0" collapsed="false">
      <c r="B373" s="10"/>
      <c r="C373" s="10"/>
      <c r="D373" s="35" t="str">
        <f aca="false">IF(IF($K$361=0,"",INDEX(Clients!$G$2:$G$501,$K$361)&amp;"")="",TRIM(IF($K$361=0,"",INDEX(Clients!$H$2:$H$501,$K$361)&amp;"")&amp;" "&amp;UPPER(IF($K$361=0,"",INDEX(Clients!$I$2:$I$501,$K$361)&amp;""))),IF($K$361=0,"",INDEX(Clients!$G$2:$G$501,$K$361)&amp;""))</f>
        <v/>
      </c>
      <c r="E373" s="35"/>
      <c r="F373" s="35"/>
      <c r="J373" s="25"/>
      <c r="K373" s="25"/>
      <c r="L373" s="25"/>
      <c r="M373" s="25"/>
      <c r="N373" s="25"/>
      <c r="O373" s="25"/>
    </row>
    <row r="374" customFormat="false" ht="15" hidden="false" customHeight="true" outlineLevel="0" collapsed="false">
      <c r="B374" s="10"/>
      <c r="C374" s="10"/>
      <c r="D374" s="35" t="str">
        <f aca="false">IF(IF($K$361=0,"",INDEX(Clients!$G$2:$G$501,$K$361)&amp;"")="","",TRIM(IF($K$361=0,"",INDEX(Clients!$H$2:$H$501,$K$361)&amp;"")&amp;" "&amp;UPPER(IF($K$361=0,"",INDEX(Clients!$I$2:$I$501,$K$361)&amp;""))))</f>
        <v/>
      </c>
      <c r="E374" s="35"/>
      <c r="F374" s="35"/>
      <c r="J374" s="25"/>
      <c r="K374" s="25"/>
      <c r="L374" s="25"/>
      <c r="M374" s="25"/>
      <c r="N374" s="25"/>
      <c r="O374" s="25"/>
    </row>
    <row r="375" customFormat="false" ht="25.5" hidden="false" customHeight="true" outlineLevel="0" collapsed="false">
      <c r="B375" s="10"/>
      <c r="C375" s="10"/>
      <c r="D375" s="10"/>
      <c r="E375" s="10"/>
      <c r="F375" s="10"/>
      <c r="J375" s="25"/>
      <c r="K375" s="25"/>
      <c r="L375" s="25"/>
      <c r="M375" s="25"/>
      <c r="N375" s="25"/>
      <c r="O375" s="25"/>
    </row>
    <row r="376" customFormat="false" ht="15" hidden="false" customHeight="false" outlineLevel="0" collapsed="false">
      <c r="B376" s="10"/>
      <c r="C376" s="10"/>
      <c r="D376" s="36" t="str">
        <f aca="false">Cab_Ville&amp;", le "&amp;DAY(Date_Courrier)&amp;IF(DAY(Date_Courrier)=1,"er","")&amp;" "&amp;INDEX(Liste_Mois,MONTH(Date_Courrier))&amp;" "&amp;YEAR(Date_Courrier)</f>
        <v>Le Plessis-Bouchard, le 22 septembre 2026</v>
      </c>
      <c r="E376" s="36"/>
      <c r="F376" s="36"/>
      <c r="J376" s="25"/>
      <c r="K376" s="25"/>
      <c r="L376" s="25"/>
      <c r="M376" s="25"/>
      <c r="N376" s="25"/>
      <c r="O376" s="25"/>
    </row>
    <row r="377" customFormat="false" ht="19.5" hidden="false" customHeight="true" outlineLevel="0" collapsed="false">
      <c r="B377" s="10"/>
      <c r="C377" s="10"/>
      <c r="D377" s="10"/>
      <c r="E377" s="10"/>
      <c r="F377" s="10"/>
      <c r="J377" s="25"/>
      <c r="K377" s="25"/>
      <c r="L377" s="25"/>
      <c r="M377" s="25"/>
      <c r="N377" s="25"/>
      <c r="O377" s="25"/>
    </row>
    <row r="378" customFormat="false" ht="15" hidden="false" customHeight="false" outlineLevel="0" collapsed="false">
      <c r="B378" s="34" t="str">
        <f aca="false">SUBSTITUTE(SUBSTITUTE(SUBSTITUTE(SUBSTITUTE(SUBSTITUTE(Txt_Objet,"{cabinet}",Cab_Nom),"{societe}",IF($K$361=0,"",INDEX(Clients!$E$2:$E$501,$K$361)&amp;"")),"{date_effet}",$K$363),"{hausse}",$K$364),"{civilite}",$K$362)</f>
        <v>Objet : révision de nos honoraires au 1er janvier 2027</v>
      </c>
      <c r="C378" s="34"/>
      <c r="D378" s="34"/>
      <c r="E378" s="34"/>
      <c r="F378" s="34"/>
      <c r="J378" s="25"/>
      <c r="K378" s="25"/>
      <c r="L378" s="25"/>
      <c r="M378" s="25"/>
      <c r="N378" s="25"/>
      <c r="O378" s="25"/>
    </row>
    <row r="379" customFormat="false" ht="13.5" hidden="false" customHeight="true" outlineLevel="0" collapsed="false">
      <c r="B379" s="10"/>
      <c r="C379" s="10"/>
      <c r="D379" s="10"/>
      <c r="E379" s="10"/>
      <c r="F379" s="10"/>
      <c r="J379" s="25"/>
      <c r="K379" s="25"/>
      <c r="L379" s="25"/>
      <c r="M379" s="25"/>
      <c r="N379" s="25"/>
      <c r="O379" s="25"/>
    </row>
    <row r="380" customFormat="false" ht="15" hidden="false" customHeight="false" outlineLevel="0" collapsed="false">
      <c r="B380" s="10" t="str">
        <f aca="false">$K$362&amp;","</f>
        <v>Madame, Monsieur,</v>
      </c>
      <c r="C380" s="10"/>
      <c r="D380" s="10"/>
      <c r="E380" s="10"/>
      <c r="F380" s="10"/>
      <c r="J380" s="25"/>
      <c r="K380" s="25"/>
      <c r="L380" s="25"/>
      <c r="M380" s="25"/>
      <c r="N380" s="25"/>
      <c r="O380" s="25"/>
    </row>
    <row r="381" customFormat="false" ht="6" hidden="false" customHeight="true" outlineLevel="0" collapsed="false">
      <c r="B381" s="10"/>
      <c r="C381" s="10"/>
      <c r="D381" s="10"/>
      <c r="E381" s="10"/>
      <c r="F381" s="10"/>
      <c r="J381" s="25"/>
      <c r="K381" s="25"/>
      <c r="L381" s="25"/>
      <c r="M381" s="25"/>
      <c r="N381" s="25"/>
      <c r="O381" s="25"/>
    </row>
    <row r="382" customFormat="false" ht="36.75" hidden="false" customHeight="true" outlineLevel="0" collapsed="false">
      <c r="B382" s="37" t="str">
        <f aca="false">SUBSTITUTE(SUBSTITUTE(SUBSTITUTE(SUBSTITUTE(SUBSTITUTE(Txt_P1,"{cabinet}",Cab_Nom),"{societe}",IF($K$361=0,"",INDEX(Clients!$E$2:$E$501,$K$361)&amp;"")),"{date_effet}",$K$363),"{hausse}",$K$364),"{civilite}",$K$362)</f>
        <v>Nous tenons tout d'abord à vous remercier pour la confiance que vous accordez à ALTHO EXPERTISE. Comme chaque année, et conformément aux dispositions de votre lettre de mission, nous procédons à la révision de nos honoraires.</v>
      </c>
      <c r="C382" s="37"/>
      <c r="D382" s="37"/>
      <c r="E382" s="37"/>
      <c r="F382" s="37"/>
      <c r="J382" s="25"/>
      <c r="K382" s="25"/>
      <c r="L382" s="25"/>
      <c r="M382" s="25"/>
      <c r="N382" s="25"/>
      <c r="O382" s="25"/>
    </row>
    <row r="383" customFormat="false" ht="49.5" hidden="false" customHeight="true" outlineLevel="0" collapsed="false">
      <c r="B383" s="37" t="str">
        <f aca="false">SUBSTITUTE(SUBSTITUTE(SUBSTITUTE(SUBSTITUTE(SUBSTITUTE(Txt_P2,"{cabinet}",Cab_Nom),"{societe}",IF($K$361=0,"",INDEX(Clients!$E$2:$E$501,$K$361)&amp;"")),"{date_effet}",$K$363),"{hausse}",$K$364),"{civilite}",$K$362)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83" s="37"/>
      <c r="D383" s="37"/>
      <c r="E383" s="37"/>
      <c r="F383" s="37"/>
      <c r="J383" s="25"/>
      <c r="K383" s="25"/>
      <c r="L383" s="25"/>
      <c r="M383" s="25"/>
      <c r="N383" s="25"/>
      <c r="O383" s="25"/>
    </row>
    <row r="384" customFormat="false" ht="63" hidden="false" customHeight="true" outlineLevel="0" collapsed="false">
      <c r="B384" s="37" t="str">
        <f aca="false">SUBSTITUTE(SUBSTITUTE(SUBSTITUTE(SUBSTITUTE(SUBSTITUTE(Txt_P3,"{cabinet}",Cab_Nom),"{societe}",IF($K$361=0,"",INDEX(Clients!$E$2:$E$501,$K$361)&amp;"")),"{date_effet}",$K$363),"{hausse}",$K$364),"{civilite}",$K$362)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84" s="37"/>
      <c r="D384" s="37"/>
      <c r="E384" s="37"/>
      <c r="F384" s="37"/>
      <c r="J384" s="25"/>
      <c r="K384" s="25"/>
      <c r="L384" s="25"/>
      <c r="M384" s="25"/>
      <c r="N384" s="25"/>
      <c r="O384" s="25"/>
    </row>
    <row r="385" customFormat="false" ht="24" hidden="false" customHeight="true" outlineLevel="0" collapsed="false">
      <c r="B385" s="37" t="str">
        <f aca="false">SUBSTITUTE(SUBSTITUTE(SUBSTITUTE(SUBSTITUTE(SUBSTITUTE(Txt_P4,"{cabinet}",Cab_Nom),"{societe}",IF($K$361=0,"",INDEX(Clients!$E$2:$E$501,$K$361)&amp;"")),"{date_effet}",$K$363),"{hausse}",$K$364),"{civilite}",$K$362)</f>
        <v>À compter du 1er janvier 2027, vos honoraires annuels hors taxes évolueront ainsi (évolution globale : ) :</v>
      </c>
      <c r="C385" s="37"/>
      <c r="D385" s="37"/>
      <c r="E385" s="37"/>
      <c r="F385" s="37"/>
      <c r="J385" s="25"/>
      <c r="K385" s="25"/>
      <c r="L385" s="25"/>
      <c r="M385" s="25"/>
      <c r="N385" s="25"/>
      <c r="O385" s="25"/>
    </row>
    <row r="386" customFormat="false" ht="3.75" hidden="false" customHeight="true" outlineLevel="0" collapsed="false">
      <c r="B386" s="10"/>
      <c r="C386" s="10"/>
      <c r="D386" s="10"/>
      <c r="E386" s="10"/>
      <c r="F386" s="10"/>
      <c r="J386" s="25"/>
      <c r="K386" s="25"/>
      <c r="L386" s="25"/>
      <c r="M386" s="25"/>
      <c r="N386" s="25"/>
      <c r="O386" s="25"/>
    </row>
    <row r="387" customFormat="false" ht="18" hidden="false" customHeight="true" outlineLevel="0" collapsed="false">
      <c r="B387" s="38" t="s">
        <v>148</v>
      </c>
      <c r="C387" s="39" t="s">
        <v>149</v>
      </c>
      <c r="D387" s="39" t="s">
        <v>150</v>
      </c>
      <c r="E387" s="39" t="s">
        <v>151</v>
      </c>
      <c r="F387" s="39" t="s">
        <v>109</v>
      </c>
      <c r="J387" s="25" t="s">
        <v>152</v>
      </c>
      <c r="K387" s="25" t="s">
        <v>153</v>
      </c>
      <c r="L387" s="25" t="s">
        <v>154</v>
      </c>
      <c r="M387" s="25" t="s">
        <v>155</v>
      </c>
      <c r="N387" s="25" t="s">
        <v>156</v>
      </c>
      <c r="O387" s="25" t="s">
        <v>157</v>
      </c>
    </row>
    <row r="388" customFormat="false" ht="16.5" hidden="false" customHeight="true" outlineLevel="0" collapsed="false">
      <c r="B388" s="40" t="str">
        <f aca="false">IFERROR(INDEX($J$388:$J$391,MATCH($O388,$N$388:$N$391,0)),"")</f>
        <v/>
      </c>
      <c r="C388" s="41" t="str">
        <f aca="false">IFERROR(INDEX($K$388:$K$391,MATCH($O388,$N$388:$N$391,0)),"")</f>
        <v/>
      </c>
      <c r="D388" s="42" t="str">
        <f aca="false">IF(OR(E388="",N(C388)=0),"",E388/C388-1)</f>
        <v/>
      </c>
      <c r="E388" s="41" t="str">
        <f aca="false">IFERROR(INDEX($L$388:$L$391,MATCH($O388,$N$388:$N$391,0)),"")</f>
        <v/>
      </c>
      <c r="F388" s="41" t="str">
        <f aca="false">IF(E388="","",E388-C388)</f>
        <v/>
      </c>
      <c r="J388" s="25" t="str">
        <f aca="false">Lib_Compta</f>
        <v>Mission comptable (tenue, révision, bilan, liasse fiscale)</v>
      </c>
      <c r="K388" s="25" t="n">
        <f aca="false">IF($K$361=0,0,N(INDEX(Clients!$K$2:$K$501,$K$361)))</f>
        <v>0</v>
      </c>
      <c r="L388" s="25" t="n">
        <f aca="false">IF($K$361=0,0,N(INDEX(Clients!$P$2:$P$501,$K$361)))</f>
        <v>0</v>
      </c>
      <c r="M388" s="25" t="n">
        <f aca="false">IF(OR(K388&lt;&gt;0,L388&lt;&gt;0),1,0)</f>
        <v>0</v>
      </c>
      <c r="N388" s="25" t="str">
        <f aca="false">IF(M388=1,SUM($M$388:M388),"")</f>
        <v/>
      </c>
      <c r="O388" s="25" t="n">
        <v>1</v>
      </c>
    </row>
    <row r="389" customFormat="false" ht="16.5" hidden="false" customHeight="true" outlineLevel="0" collapsed="false">
      <c r="B389" s="40" t="str">
        <f aca="false">IFERROR(INDEX($J$388:$J$391,MATCH($O389,$N$388:$N$391,0)),"")</f>
        <v/>
      </c>
      <c r="C389" s="41" t="str">
        <f aca="false">IFERROR(INDEX($K$388:$K$391,MATCH($O389,$N$388:$N$391,0)),"")</f>
        <v/>
      </c>
      <c r="D389" s="42" t="str">
        <f aca="false">IF(OR(E389="",N(C389)=0),"",E389/C389-1)</f>
        <v/>
      </c>
      <c r="E389" s="41" t="str">
        <f aca="false">IFERROR(INDEX($L$388:$L$391,MATCH($O389,$N$388:$N$391,0)),"")</f>
        <v/>
      </c>
      <c r="F389" s="41" t="str">
        <f aca="false">IF(E389="","",E389-C389)</f>
        <v/>
      </c>
      <c r="J389" s="25" t="str">
        <f aca="false">Lib_Paye</f>
        <v>Mission sociale (bulletins de paie, DSN, déclarations sociales)</v>
      </c>
      <c r="K389" s="25" t="n">
        <f aca="false">IF($K$361=0,0,N(INDEX(Clients!$L$2:$L$501,$K$361)))</f>
        <v>0</v>
      </c>
      <c r="L389" s="25" t="n">
        <f aca="false">IF($K$361=0,0,N(INDEX(Clients!$Q$2:$Q$501,$K$361)))</f>
        <v>0</v>
      </c>
      <c r="M389" s="25" t="n">
        <f aca="false">IF(OR(K389&lt;&gt;0,L389&lt;&gt;0),1,0)</f>
        <v>0</v>
      </c>
      <c r="N389" s="25" t="str">
        <f aca="false">IF(M389=1,SUM($M$388:M389),"")</f>
        <v/>
      </c>
      <c r="O389" s="25" t="n">
        <v>2</v>
      </c>
    </row>
    <row r="390" customFormat="false" ht="16.5" hidden="false" customHeight="true" outlineLevel="0" collapsed="false">
      <c r="B390" s="40" t="str">
        <f aca="false">IFERROR(INDEX($J$388:$J$391,MATCH($O390,$N$388:$N$391,0)),"")</f>
        <v/>
      </c>
      <c r="C390" s="41" t="str">
        <f aca="false">IFERROR(INDEX($K$388:$K$391,MATCH($O390,$N$388:$N$391,0)),"")</f>
        <v/>
      </c>
      <c r="D390" s="42" t="str">
        <f aca="false">IF(OR(E390="",N(C390)=0),"",E390/C390-1)</f>
        <v/>
      </c>
      <c r="E390" s="41" t="str">
        <f aca="false">IFERROR(INDEX($L$388:$L$391,MATCH($O390,$N$388:$N$391,0)),"")</f>
        <v/>
      </c>
      <c r="F390" s="41" t="str">
        <f aca="false">IF(E390="","",E390-C390)</f>
        <v/>
      </c>
      <c r="J390" s="25" t="str">
        <f aca="false">Lib_Jur</f>
        <v>Mission juridique (approbation des comptes, secrétariat juridique)</v>
      </c>
      <c r="K390" s="25" t="n">
        <f aca="false">IF($K$361=0,0,N(INDEX(Clients!$M$2:$M$501,$K$361)))</f>
        <v>0</v>
      </c>
      <c r="L390" s="25" t="n">
        <f aca="false">IF($K$361=0,0,N(INDEX(Clients!$R$2:$R$501,$K$361)))</f>
        <v>0</v>
      </c>
      <c r="M390" s="25" t="n">
        <f aca="false">IF(OR(K390&lt;&gt;0,L390&lt;&gt;0),1,0)</f>
        <v>0</v>
      </c>
      <c r="N390" s="25" t="str">
        <f aca="false">IF(M390=1,SUM($M$388:M390),"")</f>
        <v/>
      </c>
      <c r="O390" s="25" t="n">
        <v>3</v>
      </c>
    </row>
    <row r="391" customFormat="false" ht="16.5" hidden="false" customHeight="true" outlineLevel="0" collapsed="false">
      <c r="B391" s="40" t="str">
        <f aca="false">IFERROR(INDEX($J$388:$J$391,MATCH($O391,$N$388:$N$391,0)),"")</f>
        <v/>
      </c>
      <c r="C391" s="41" t="str">
        <f aca="false">IFERROR(INDEX($K$388:$K$391,MATCH($O391,$N$388:$N$391,0)),"")</f>
        <v/>
      </c>
      <c r="D391" s="42" t="str">
        <f aca="false">IF(OR(E391="",N(C391)=0),"",E391/C391-1)</f>
        <v/>
      </c>
      <c r="E391" s="41" t="str">
        <f aca="false">IFERROR(INDEX($L$388:$L$391,MATCH($O391,$N$388:$N$391,0)),"")</f>
        <v/>
      </c>
      <c r="F391" s="41" t="str">
        <f aca="false">IF(E391="","",E391-C391)</f>
        <v/>
      </c>
      <c r="J391" s="25" t="str">
        <f aca="false">Lib_PA</f>
        <v>Plateforme agréée – facturation électronique</v>
      </c>
      <c r="K391" s="25" t="n">
        <f aca="false">IF($K$361=0,0,N(INDEX(Clients!$N$2:$N$501,$K$361)))</f>
        <v>0</v>
      </c>
      <c r="L391" s="25" t="n">
        <f aca="false">IF($K$361=0,0,N(INDEX(Clients!$S$2:$S$501,$K$361)))</f>
        <v>0</v>
      </c>
      <c r="M391" s="25" t="n">
        <f aca="false">IF(OR(K391&lt;&gt;0,L391&lt;&gt;0),1,0)</f>
        <v>0</v>
      </c>
      <c r="N391" s="25" t="str">
        <f aca="false">IF(M391=1,SUM($M$388:M391),"")</f>
        <v/>
      </c>
      <c r="O391" s="25" t="n">
        <v>4</v>
      </c>
    </row>
    <row r="392" customFormat="false" ht="18" hidden="false" customHeight="true" outlineLevel="0" collapsed="false">
      <c r="B392" s="43" t="s">
        <v>158</v>
      </c>
      <c r="C392" s="44" t="n">
        <f aca="false">SUM(K388:K391)</f>
        <v>0</v>
      </c>
      <c r="D392" s="45" t="str">
        <f aca="false">IF(N(C392)=0,"",E392/C392-1)</f>
        <v/>
      </c>
      <c r="E392" s="44" t="n">
        <f aca="false">SUM(L388:L391)</f>
        <v>0</v>
      </c>
      <c r="F392" s="44" t="n">
        <f aca="false">E392-C392</f>
        <v>0</v>
      </c>
    </row>
    <row r="393" customFormat="false" ht="15" hidden="false" customHeight="false" outlineLevel="0" collapsed="false">
      <c r="B393" s="46" t="str">
        <f aca="false">IF(N(Nb_Mensualites)=0,"","Soit "&amp;FIXED(E392/Nb_Mensualites,2)&amp;" € HT par échéance ("&amp;Nb_Mensualites&amp;" échéances), "&amp;FIXED(E392/Nb_Mensualites*(1+Taux_TVA),2)&amp;" € TTC.")</f>
        <v>Soit 0.00 € HT par échéance (12 échéances), 0.00 € TTC.</v>
      </c>
      <c r="C393" s="46"/>
      <c r="D393" s="46"/>
      <c r="E393" s="46"/>
      <c r="F393" s="46"/>
    </row>
    <row r="394" customFormat="false" ht="7.5" hidden="false" customHeight="true" outlineLevel="0" collapsed="false">
      <c r="B394" s="10"/>
      <c r="C394" s="10"/>
      <c r="D394" s="10"/>
      <c r="E394" s="10"/>
      <c r="F394" s="10"/>
    </row>
    <row r="395" customFormat="false" ht="36.75" hidden="false" customHeight="true" outlineLevel="0" collapsed="false">
      <c r="B395" s="37" t="str">
        <f aca="false">SUBSTITUTE(SUBSTITUTE(SUBSTITUTE(SUBSTITUTE(SUBSTITUTE(Txt_P5,"{cabinet}",Cab_Nom),"{societe}",IF($K$361=0,"",INDEX(Clients!$E$2:$E$501,$K$361)&amp;"")),"{date_effet}",$K$363),"{hausse}",$K$364),"{civilite}",$K$362)</f>
        <v>Les autres conditions de votre lettre de mission demeurent inchangées. Les nouveaux montants seront appliqués automatiquement sur vos prochaines factures et échéances de prélèvement.</v>
      </c>
      <c r="C395" s="37"/>
      <c r="D395" s="37"/>
      <c r="E395" s="37"/>
      <c r="F395" s="37"/>
    </row>
    <row r="396" customFormat="false" ht="36.75" hidden="false" customHeight="true" outlineLevel="0" collapsed="false">
      <c r="B396" s="37" t="str">
        <f aca="false">SUBSTITUTE(SUBSTITUTE(SUBSTITUTE(SUBSTITUTE(SUBSTITUTE(Txt_P6,"{cabinet}",Cab_Nom),"{societe}",IF($K$361=0,"",INDEX(Clients!$E$2:$E$501,$K$361)&amp;"")),"{date_effet}",$K$363),"{hausse}",$K$364),"{civilite}",$K$362)</f>
        <v>Votre interlocuteur habituel reste à votre entière disposition pour répondre à vos questions et faire le point sur l'évolution de vos besoins.</v>
      </c>
      <c r="C396" s="37"/>
      <c r="D396" s="37"/>
      <c r="E396" s="37"/>
      <c r="F396" s="37"/>
    </row>
    <row r="397" customFormat="false" ht="24" hidden="false" customHeight="true" outlineLevel="0" collapsed="false">
      <c r="B397" s="37" t="str">
        <f aca="false">SUBSTITUTE(SUBSTITUTE(SUBSTITUTE(SUBSTITUTE(SUBSTITUTE(Txt_Politesse,"{cabinet}",Cab_Nom),"{societe}",IF($K$361=0,"",INDEX(Clients!$E$2:$E$501,$K$361)&amp;"")),"{date_effet}",$K$363),"{hausse}",$K$364),"{civilite}",$K$362)</f>
        <v>Nous vous prions d'agréer, Madame, Monsieur, l'expression de nos salutations distinguées.</v>
      </c>
      <c r="C397" s="37"/>
      <c r="D397" s="37"/>
      <c r="E397" s="37"/>
      <c r="F397" s="37"/>
    </row>
    <row r="398" customFormat="false" ht="15" hidden="false" customHeight="false" outlineLevel="0" collapsed="false">
      <c r="B398" s="10"/>
      <c r="C398" s="10"/>
      <c r="D398" s="10"/>
      <c r="E398" s="10"/>
      <c r="F398" s="10"/>
    </row>
    <row r="399" customFormat="false" ht="15" hidden="false" customHeight="false" outlineLevel="0" collapsed="false">
      <c r="B399" s="10"/>
      <c r="C399" s="10"/>
      <c r="D399" s="34" t="str">
        <f aca="false">Signataire</f>
        <v>Prénom NOM</v>
      </c>
      <c r="E399" s="34"/>
      <c r="F399" s="34"/>
    </row>
    <row r="400" customFormat="false" ht="15" hidden="false" customHeight="false" outlineLevel="0" collapsed="false">
      <c r="B400" s="10"/>
      <c r="C400" s="10"/>
      <c r="D400" s="47" t="str">
        <f aca="false">Signataire_Titre</f>
        <v>Expert-comptable associé</v>
      </c>
      <c r="E400" s="47"/>
      <c r="F400" s="47"/>
    </row>
    <row r="401" customFormat="false" ht="15.75" hidden="false" customHeight="true" outlineLevel="0" collapsed="false">
      <c r="B401" s="10"/>
      <c r="C401" s="10"/>
      <c r="D401" s="10"/>
      <c r="E401" s="10"/>
      <c r="F401" s="10"/>
    </row>
    <row r="402" customFormat="false" ht="15.75" hidden="false" customHeight="true" outlineLevel="0" collapsed="false">
      <c r="B402" s="10"/>
      <c r="C402" s="10"/>
      <c r="D402" s="10"/>
      <c r="E402" s="10"/>
      <c r="F402" s="10"/>
    </row>
    <row r="403" customFormat="false" ht="15.75" hidden="false" customHeight="true" outlineLevel="0" collapsed="false">
      <c r="B403" s="10"/>
      <c r="C403" s="10"/>
      <c r="D403" s="10"/>
      <c r="E403" s="10"/>
      <c r="F403" s="10"/>
    </row>
    <row r="404" customFormat="false" ht="15.75" hidden="false" customHeight="true" outlineLevel="0" collapsed="false">
      <c r="B404" s="10"/>
      <c r="C404" s="10"/>
      <c r="D404" s="10"/>
      <c r="E404" s="10"/>
      <c r="F404" s="10"/>
    </row>
    <row r="405" customFormat="false" ht="24" hidden="false" customHeight="true" outlineLevel="0" collapsed="false">
      <c r="B405" s="48" t="str">
        <f aca="false">Cab_Mentions</f>
        <v>ALTHO EXPERTISE · SAS au capital de 10 000 € · RCS Pontoise 919 706 325 · TVA FR62919706325 · Société d'expertise comptable inscrite au Tableau de l'Ordre des experts-comptables de Paris Île-de-France</v>
      </c>
      <c r="C405" s="48"/>
      <c r="D405" s="48"/>
      <c r="E405" s="48"/>
      <c r="F405" s="48"/>
    </row>
    <row r="406" customFormat="false" ht="15" hidden="false" customHeight="false" outlineLevel="0" collapsed="false">
      <c r="B406" s="10"/>
      <c r="C406" s="10"/>
      <c r="D406" s="10"/>
      <c r="E406" s="10"/>
      <c r="F406" s="10"/>
      <c r="J406" s="25" t="s">
        <v>142</v>
      </c>
      <c r="K406" s="25" t="n">
        <f aca="false">IFERROR(MATCH(10,Clients!$Z$2:$Z$501,0),0)</f>
        <v>0</v>
      </c>
      <c r="L406" s="25"/>
      <c r="M406" s="25"/>
      <c r="N406" s="25"/>
      <c r="O406" s="25"/>
    </row>
    <row r="407" customFormat="false" ht="21.75" hidden="false" customHeight="true" outlineLevel="0" collapsed="false">
      <c r="B407" s="26" t="str">
        <f aca="false">Cab_Nom</f>
        <v>ALTHO EXPERTISE</v>
      </c>
      <c r="C407" s="26"/>
      <c r="D407" s="10"/>
      <c r="E407" s="27" t="str">
        <f aca="false">IF($K$406=0,"","Réf. client : "&amp;INDEX(Clients!$A$2:$A$501,$K$406))</f>
        <v/>
      </c>
      <c r="F407" s="27"/>
      <c r="J407" s="25" t="s">
        <v>144</v>
      </c>
      <c r="K407" s="25" t="str">
        <f aca="false">IF(IF($K$406=0,"",INDEX(Clients!$B$2:$B$501,$K$406)&amp;"")="Mme","Madame",IF(IF($K$406=0,"",INDEX(Clients!$B$2:$B$501,$K$406)&amp;"")="M.","Monsieur","Madame, Monsieur"))</f>
        <v>Madame, Monsieur</v>
      </c>
      <c r="L407" s="25"/>
      <c r="M407" s="25"/>
      <c r="N407" s="25"/>
      <c r="O407" s="25"/>
    </row>
    <row r="408" customFormat="false" ht="15" hidden="false" customHeight="false" outlineLevel="0" collapsed="false">
      <c r="B408" s="29" t="str">
        <f aca="false">Cab_Adr1</f>
        <v>141 rue Charles de Gaulle</v>
      </c>
      <c r="C408" s="29"/>
      <c r="D408" s="10"/>
      <c r="E408" s="10"/>
      <c r="F408" s="10"/>
      <c r="J408" s="25" t="s">
        <v>145</v>
      </c>
      <c r="K408" s="25" t="str">
        <f aca="false">DAY(Date_Effet)&amp;IF(DAY(Date_Effet)=1,"er","")&amp;" "&amp;INDEX(Liste_Mois,MONTH(Date_Effet))&amp;" "&amp;YEAR(Date_Effet)</f>
        <v>1er janvier 2027</v>
      </c>
      <c r="L408" s="25"/>
      <c r="M408" s="25"/>
      <c r="N408" s="25"/>
      <c r="O408" s="25"/>
    </row>
    <row r="409" customFormat="false" ht="15" hidden="false" customHeight="false" outlineLevel="0" collapsed="false">
      <c r="B409" s="29" t="str">
        <f aca="false">Cab_CPVille</f>
        <v>95130 LE PLESSIS-BOUCHARD</v>
      </c>
      <c r="C409" s="29"/>
      <c r="D409" s="10"/>
      <c r="E409" s="10"/>
      <c r="F409" s="10"/>
      <c r="J409" s="25" t="s">
        <v>146</v>
      </c>
      <c r="K409" s="25" t="str">
        <f aca="false">IF(SUM($K$433:$K$436)=0,"",FIXED((SUM($L$433:$L$436)/SUM($K$433:$K$436)-1)*100,1)&amp;" %")</f>
        <v/>
      </c>
      <c r="L409" s="25"/>
      <c r="M409" s="25"/>
      <c r="N409" s="25"/>
      <c r="O409" s="25"/>
    </row>
    <row r="410" customFormat="false" ht="15" hidden="false" customHeight="false" outlineLevel="0" collapsed="false">
      <c r="B410" s="29" t="str">
        <f aca="false">Cab_Contact</f>
        <v>Tél. 01 34 14 53 45  ·  altho@altho-experts.com  ·  altho-experts.com</v>
      </c>
      <c r="C410" s="29"/>
      <c r="D410" s="10"/>
      <c r="E410" s="10"/>
      <c r="F410" s="10"/>
      <c r="J410" s="25"/>
      <c r="K410" s="25"/>
      <c r="L410" s="25"/>
      <c r="M410" s="25"/>
      <c r="N410" s="25"/>
      <c r="O410" s="25"/>
    </row>
    <row r="411" customFormat="false" ht="6" hidden="false" customHeight="true" outlineLevel="0" collapsed="false">
      <c r="B411" s="32"/>
      <c r="C411" s="32"/>
      <c r="D411" s="32"/>
      <c r="E411" s="32"/>
      <c r="F411" s="32"/>
      <c r="J411" s="25"/>
      <c r="K411" s="25"/>
      <c r="L411" s="25"/>
      <c r="M411" s="25"/>
      <c r="N411" s="25"/>
      <c r="O411" s="25"/>
    </row>
    <row r="412" customFormat="false" ht="13.5" hidden="false" customHeight="true" outlineLevel="0" collapsed="false">
      <c r="B412" s="10"/>
      <c r="C412" s="10"/>
      <c r="D412" s="10"/>
      <c r="E412" s="10"/>
      <c r="F412" s="10"/>
      <c r="J412" s="25"/>
      <c r="K412" s="25"/>
      <c r="L412" s="25"/>
      <c r="M412" s="25"/>
      <c r="N412" s="25"/>
      <c r="O412" s="25"/>
    </row>
    <row r="413" customFormat="false" ht="13.5" hidden="false" customHeight="true" outlineLevel="0" collapsed="false">
      <c r="B413" s="10"/>
      <c r="C413" s="10"/>
      <c r="D413" s="10"/>
      <c r="E413" s="10"/>
      <c r="F413" s="10"/>
      <c r="J413" s="25"/>
      <c r="K413" s="25"/>
      <c r="L413" s="25"/>
      <c r="M413" s="25"/>
      <c r="N413" s="25"/>
      <c r="O413" s="25"/>
    </row>
    <row r="414" customFormat="false" ht="13.5" hidden="false" customHeight="true" outlineLevel="0" collapsed="false">
      <c r="B414" s="10"/>
      <c r="C414" s="10"/>
      <c r="D414" s="10"/>
      <c r="E414" s="10"/>
      <c r="F414" s="10"/>
      <c r="J414" s="25"/>
      <c r="K414" s="25"/>
      <c r="L414" s="25"/>
      <c r="M414" s="25"/>
      <c r="N414" s="25"/>
      <c r="O414" s="25"/>
    </row>
    <row r="415" customFormat="false" ht="15" hidden="false" customHeight="true" outlineLevel="0" collapsed="false">
      <c r="B415" s="10"/>
      <c r="C415" s="10"/>
      <c r="D415" s="34" t="str">
        <f aca="false">IF($K$406=0,"",INDEX(Clients!$E$2:$E$501,$K$406)&amp;"")</f>
        <v/>
      </c>
      <c r="E415" s="34"/>
      <c r="F415" s="34"/>
      <c r="J415" s="25"/>
      <c r="K415" s="25"/>
      <c r="L415" s="25"/>
      <c r="M415" s="25"/>
      <c r="N415" s="25"/>
      <c r="O415" s="25"/>
    </row>
    <row r="416" customFormat="false" ht="15" hidden="false" customHeight="true" outlineLevel="0" collapsed="false">
      <c r="B416" s="10"/>
      <c r="C416" s="10"/>
      <c r="D416" s="35" t="str">
        <f aca="false">IF(IF($K$406=0,"",INDEX(Clients!$D$2:$D$501,$K$406)&amp;"")="","","À l'attention de "&amp;TRIM(IF($K$406=0,"",INDEX(Clients!$B$2:$B$501,$K$406)&amp;"")&amp;" "&amp;IF($K$406=0,"",INDEX(Clients!$C$2:$C$501,$K$406)&amp;"")&amp;" "&amp;IF($K$406=0,"",INDEX(Clients!$D$2:$D$501,$K$406)&amp;"")))</f>
        <v/>
      </c>
      <c r="E416" s="35"/>
      <c r="F416" s="35"/>
      <c r="J416" s="25"/>
      <c r="K416" s="25"/>
      <c r="L416" s="25"/>
      <c r="M416" s="25"/>
      <c r="N416" s="25"/>
      <c r="O416" s="25"/>
    </row>
    <row r="417" customFormat="false" ht="15" hidden="false" customHeight="true" outlineLevel="0" collapsed="false">
      <c r="B417" s="10"/>
      <c r="C417" s="10"/>
      <c r="D417" s="35" t="str">
        <f aca="false">IF($K$406=0,"",INDEX(Clients!$F$2:$F$501,$K$406)&amp;"")</f>
        <v/>
      </c>
      <c r="E417" s="35"/>
      <c r="F417" s="35"/>
      <c r="J417" s="25"/>
      <c r="K417" s="25"/>
      <c r="L417" s="25"/>
      <c r="M417" s="25"/>
      <c r="N417" s="25"/>
      <c r="O417" s="25"/>
    </row>
    <row r="418" customFormat="false" ht="15" hidden="false" customHeight="true" outlineLevel="0" collapsed="false">
      <c r="B418" s="10"/>
      <c r="C418" s="10"/>
      <c r="D418" s="35" t="str">
        <f aca="false">IF(IF($K$406=0,"",INDEX(Clients!$G$2:$G$501,$K$406)&amp;"")="",TRIM(IF($K$406=0,"",INDEX(Clients!$H$2:$H$501,$K$406)&amp;"")&amp;" "&amp;UPPER(IF($K$406=0,"",INDEX(Clients!$I$2:$I$501,$K$406)&amp;""))),IF($K$406=0,"",INDEX(Clients!$G$2:$G$501,$K$406)&amp;""))</f>
        <v/>
      </c>
      <c r="E418" s="35"/>
      <c r="F418" s="35"/>
      <c r="J418" s="25"/>
      <c r="K418" s="25"/>
      <c r="L418" s="25"/>
      <c r="M418" s="25"/>
      <c r="N418" s="25"/>
      <c r="O418" s="25"/>
    </row>
    <row r="419" customFormat="false" ht="15" hidden="false" customHeight="true" outlineLevel="0" collapsed="false">
      <c r="B419" s="10"/>
      <c r="C419" s="10"/>
      <c r="D419" s="35" t="str">
        <f aca="false">IF(IF($K$406=0,"",INDEX(Clients!$G$2:$G$501,$K$406)&amp;"")="","",TRIM(IF($K$406=0,"",INDEX(Clients!$H$2:$H$501,$K$406)&amp;"")&amp;" "&amp;UPPER(IF($K$406=0,"",INDEX(Clients!$I$2:$I$501,$K$406)&amp;""))))</f>
        <v/>
      </c>
      <c r="E419" s="35"/>
      <c r="F419" s="35"/>
      <c r="J419" s="25"/>
      <c r="K419" s="25"/>
      <c r="L419" s="25"/>
      <c r="M419" s="25"/>
      <c r="N419" s="25"/>
      <c r="O419" s="25"/>
    </row>
    <row r="420" customFormat="false" ht="25.5" hidden="false" customHeight="true" outlineLevel="0" collapsed="false">
      <c r="B420" s="10"/>
      <c r="C420" s="10"/>
      <c r="D420" s="10"/>
      <c r="E420" s="10"/>
      <c r="F420" s="10"/>
      <c r="J420" s="25"/>
      <c r="K420" s="25"/>
      <c r="L420" s="25"/>
      <c r="M420" s="25"/>
      <c r="N420" s="25"/>
      <c r="O420" s="25"/>
    </row>
    <row r="421" customFormat="false" ht="15" hidden="false" customHeight="false" outlineLevel="0" collapsed="false">
      <c r="B421" s="10"/>
      <c r="C421" s="10"/>
      <c r="D421" s="36" t="str">
        <f aca="false">Cab_Ville&amp;", le "&amp;DAY(Date_Courrier)&amp;IF(DAY(Date_Courrier)=1,"er","")&amp;" "&amp;INDEX(Liste_Mois,MONTH(Date_Courrier))&amp;" "&amp;YEAR(Date_Courrier)</f>
        <v>Le Plessis-Bouchard, le 22 septembre 2026</v>
      </c>
      <c r="E421" s="36"/>
      <c r="F421" s="36"/>
      <c r="J421" s="25"/>
      <c r="K421" s="25"/>
      <c r="L421" s="25"/>
      <c r="M421" s="25"/>
      <c r="N421" s="25"/>
      <c r="O421" s="25"/>
    </row>
    <row r="422" customFormat="false" ht="19.5" hidden="false" customHeight="true" outlineLevel="0" collapsed="false">
      <c r="B422" s="10"/>
      <c r="C422" s="10"/>
      <c r="D422" s="10"/>
      <c r="E422" s="10"/>
      <c r="F422" s="10"/>
      <c r="J422" s="25"/>
      <c r="K422" s="25"/>
      <c r="L422" s="25"/>
      <c r="M422" s="25"/>
      <c r="N422" s="25"/>
      <c r="O422" s="25"/>
    </row>
    <row r="423" customFormat="false" ht="15" hidden="false" customHeight="false" outlineLevel="0" collapsed="false">
      <c r="B423" s="34" t="str">
        <f aca="false">SUBSTITUTE(SUBSTITUTE(SUBSTITUTE(SUBSTITUTE(SUBSTITUTE(Txt_Objet,"{cabinet}",Cab_Nom),"{societe}",IF($K$406=0,"",INDEX(Clients!$E$2:$E$501,$K$406)&amp;"")),"{date_effet}",$K$408),"{hausse}",$K$409),"{civilite}",$K$407)</f>
        <v>Objet : révision de nos honoraires au 1er janvier 2027</v>
      </c>
      <c r="C423" s="34"/>
      <c r="D423" s="34"/>
      <c r="E423" s="34"/>
      <c r="F423" s="34"/>
      <c r="J423" s="25"/>
      <c r="K423" s="25"/>
      <c r="L423" s="25"/>
      <c r="M423" s="25"/>
      <c r="N423" s="25"/>
      <c r="O423" s="25"/>
    </row>
    <row r="424" customFormat="false" ht="13.5" hidden="false" customHeight="true" outlineLevel="0" collapsed="false">
      <c r="B424" s="10"/>
      <c r="C424" s="10"/>
      <c r="D424" s="10"/>
      <c r="E424" s="10"/>
      <c r="F424" s="10"/>
      <c r="J424" s="25"/>
      <c r="K424" s="25"/>
      <c r="L424" s="25"/>
      <c r="M424" s="25"/>
      <c r="N424" s="25"/>
      <c r="O424" s="25"/>
    </row>
    <row r="425" customFormat="false" ht="15" hidden="false" customHeight="false" outlineLevel="0" collapsed="false">
      <c r="B425" s="10" t="str">
        <f aca="false">$K$407&amp;","</f>
        <v>Madame, Monsieur,</v>
      </c>
      <c r="C425" s="10"/>
      <c r="D425" s="10"/>
      <c r="E425" s="10"/>
      <c r="F425" s="10"/>
      <c r="J425" s="25"/>
      <c r="K425" s="25"/>
      <c r="L425" s="25"/>
      <c r="M425" s="25"/>
      <c r="N425" s="25"/>
      <c r="O425" s="25"/>
    </row>
    <row r="426" customFormat="false" ht="6" hidden="false" customHeight="true" outlineLevel="0" collapsed="false">
      <c r="B426" s="10"/>
      <c r="C426" s="10"/>
      <c r="D426" s="10"/>
      <c r="E426" s="10"/>
      <c r="F426" s="10"/>
      <c r="J426" s="25"/>
      <c r="K426" s="25"/>
      <c r="L426" s="25"/>
      <c r="M426" s="25"/>
      <c r="N426" s="25"/>
      <c r="O426" s="25"/>
    </row>
    <row r="427" customFormat="false" ht="36.75" hidden="false" customHeight="true" outlineLevel="0" collapsed="false">
      <c r="B427" s="37" t="str">
        <f aca="false">SUBSTITUTE(SUBSTITUTE(SUBSTITUTE(SUBSTITUTE(SUBSTITUTE(Txt_P1,"{cabinet}",Cab_Nom),"{societe}",IF($K$406=0,"",INDEX(Clients!$E$2:$E$501,$K$406)&amp;"")),"{date_effet}",$K$408),"{hausse}",$K$409),"{civilite}",$K$407)</f>
        <v>Nous tenons tout d'abord à vous remercier pour la confiance que vous accordez à ALTHO EXPERTISE. Comme chaque année, et conformément aux dispositions de votre lettre de mission, nous procédons à la révision de nos honoraires.</v>
      </c>
      <c r="C427" s="37"/>
      <c r="D427" s="37"/>
      <c r="E427" s="37"/>
      <c r="F427" s="37"/>
      <c r="J427" s="25"/>
      <c r="K427" s="25"/>
      <c r="L427" s="25"/>
      <c r="M427" s="25"/>
      <c r="N427" s="25"/>
      <c r="O427" s="25"/>
    </row>
    <row r="428" customFormat="false" ht="49.5" hidden="false" customHeight="true" outlineLevel="0" collapsed="false">
      <c r="B428" s="37" t="str">
        <f aca="false">SUBSTITUTE(SUBSTITUTE(SUBSTITUTE(SUBSTITUTE(SUBSTITUTE(Txt_P2,"{cabinet}",Cab_Nom),"{societe}",IF($K$406=0,"",INDEX(Clients!$E$2:$E$501,$K$406)&amp;"")),"{date_effet}",$K$408),"{hausse}",$K$409),"{civilite}",$K$407)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28" s="37"/>
      <c r="D428" s="37"/>
      <c r="E428" s="37"/>
      <c r="F428" s="37"/>
      <c r="J428" s="25"/>
      <c r="K428" s="25"/>
      <c r="L428" s="25"/>
      <c r="M428" s="25"/>
      <c r="N428" s="25"/>
      <c r="O428" s="25"/>
    </row>
    <row r="429" customFormat="false" ht="63" hidden="false" customHeight="true" outlineLevel="0" collapsed="false">
      <c r="B429" s="37" t="str">
        <f aca="false">SUBSTITUTE(SUBSTITUTE(SUBSTITUTE(SUBSTITUTE(SUBSTITUTE(Txt_P3,"{cabinet}",Cab_Nom),"{societe}",IF($K$406=0,"",INDEX(Clients!$E$2:$E$501,$K$406)&amp;"")),"{date_effet}",$K$408),"{hausse}",$K$409),"{civilite}",$K$407)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29" s="37"/>
      <c r="D429" s="37"/>
      <c r="E429" s="37"/>
      <c r="F429" s="37"/>
      <c r="J429" s="25"/>
      <c r="K429" s="25"/>
      <c r="L429" s="25"/>
      <c r="M429" s="25"/>
      <c r="N429" s="25"/>
      <c r="O429" s="25"/>
    </row>
    <row r="430" customFormat="false" ht="24" hidden="false" customHeight="true" outlineLevel="0" collapsed="false">
      <c r="B430" s="37" t="str">
        <f aca="false">SUBSTITUTE(SUBSTITUTE(SUBSTITUTE(SUBSTITUTE(SUBSTITUTE(Txt_P4,"{cabinet}",Cab_Nom),"{societe}",IF($K$406=0,"",INDEX(Clients!$E$2:$E$501,$K$406)&amp;"")),"{date_effet}",$K$408),"{hausse}",$K$409),"{civilite}",$K$407)</f>
        <v>À compter du 1er janvier 2027, vos honoraires annuels hors taxes évolueront ainsi (évolution globale : ) :</v>
      </c>
      <c r="C430" s="37"/>
      <c r="D430" s="37"/>
      <c r="E430" s="37"/>
      <c r="F430" s="37"/>
      <c r="J430" s="25"/>
      <c r="K430" s="25"/>
      <c r="L430" s="25"/>
      <c r="M430" s="25"/>
      <c r="N430" s="25"/>
      <c r="O430" s="25"/>
    </row>
    <row r="431" customFormat="false" ht="3.75" hidden="false" customHeight="true" outlineLevel="0" collapsed="false">
      <c r="B431" s="10"/>
      <c r="C431" s="10"/>
      <c r="D431" s="10"/>
      <c r="E431" s="10"/>
      <c r="F431" s="10"/>
      <c r="J431" s="25"/>
      <c r="K431" s="25"/>
      <c r="L431" s="25"/>
      <c r="M431" s="25"/>
      <c r="N431" s="25"/>
      <c r="O431" s="25"/>
    </row>
    <row r="432" customFormat="false" ht="18" hidden="false" customHeight="true" outlineLevel="0" collapsed="false">
      <c r="B432" s="38" t="s">
        <v>148</v>
      </c>
      <c r="C432" s="39" t="s">
        <v>149</v>
      </c>
      <c r="D432" s="39" t="s">
        <v>150</v>
      </c>
      <c r="E432" s="39" t="s">
        <v>151</v>
      </c>
      <c r="F432" s="39" t="s">
        <v>109</v>
      </c>
      <c r="J432" s="25" t="s">
        <v>152</v>
      </c>
      <c r="K432" s="25" t="s">
        <v>153</v>
      </c>
      <c r="L432" s="25" t="s">
        <v>154</v>
      </c>
      <c r="M432" s="25" t="s">
        <v>155</v>
      </c>
      <c r="N432" s="25" t="s">
        <v>156</v>
      </c>
      <c r="O432" s="25" t="s">
        <v>157</v>
      </c>
    </row>
    <row r="433" customFormat="false" ht="16.5" hidden="false" customHeight="true" outlineLevel="0" collapsed="false">
      <c r="B433" s="40" t="str">
        <f aca="false">IFERROR(INDEX($J$433:$J$436,MATCH($O433,$N$433:$N$436,0)),"")</f>
        <v/>
      </c>
      <c r="C433" s="41" t="str">
        <f aca="false">IFERROR(INDEX($K$433:$K$436,MATCH($O433,$N$433:$N$436,0)),"")</f>
        <v/>
      </c>
      <c r="D433" s="42" t="str">
        <f aca="false">IF(OR(E433="",N(C433)=0),"",E433/C433-1)</f>
        <v/>
      </c>
      <c r="E433" s="41" t="str">
        <f aca="false">IFERROR(INDEX($L$433:$L$436,MATCH($O433,$N$433:$N$436,0)),"")</f>
        <v/>
      </c>
      <c r="F433" s="41" t="str">
        <f aca="false">IF(E433="","",E433-C433)</f>
        <v/>
      </c>
      <c r="J433" s="25" t="str">
        <f aca="false">Lib_Compta</f>
        <v>Mission comptable (tenue, révision, bilan, liasse fiscale)</v>
      </c>
      <c r="K433" s="25" t="n">
        <f aca="false">IF($K$406=0,0,N(INDEX(Clients!$K$2:$K$501,$K$406)))</f>
        <v>0</v>
      </c>
      <c r="L433" s="25" t="n">
        <f aca="false">IF($K$406=0,0,N(INDEX(Clients!$P$2:$P$501,$K$406)))</f>
        <v>0</v>
      </c>
      <c r="M433" s="25" t="n">
        <f aca="false">IF(OR(K433&lt;&gt;0,L433&lt;&gt;0),1,0)</f>
        <v>0</v>
      </c>
      <c r="N433" s="25" t="str">
        <f aca="false">IF(M433=1,SUM($M$433:M433),"")</f>
        <v/>
      </c>
      <c r="O433" s="25" t="n">
        <v>1</v>
      </c>
    </row>
    <row r="434" customFormat="false" ht="16.5" hidden="false" customHeight="true" outlineLevel="0" collapsed="false">
      <c r="B434" s="40" t="str">
        <f aca="false">IFERROR(INDEX($J$433:$J$436,MATCH($O434,$N$433:$N$436,0)),"")</f>
        <v/>
      </c>
      <c r="C434" s="41" t="str">
        <f aca="false">IFERROR(INDEX($K$433:$K$436,MATCH($O434,$N$433:$N$436,0)),"")</f>
        <v/>
      </c>
      <c r="D434" s="42" t="str">
        <f aca="false">IF(OR(E434="",N(C434)=0),"",E434/C434-1)</f>
        <v/>
      </c>
      <c r="E434" s="41" t="str">
        <f aca="false">IFERROR(INDEX($L$433:$L$436,MATCH($O434,$N$433:$N$436,0)),"")</f>
        <v/>
      </c>
      <c r="F434" s="41" t="str">
        <f aca="false">IF(E434="","",E434-C434)</f>
        <v/>
      </c>
      <c r="J434" s="25" t="str">
        <f aca="false">Lib_Paye</f>
        <v>Mission sociale (bulletins de paie, DSN, déclarations sociales)</v>
      </c>
      <c r="K434" s="25" t="n">
        <f aca="false">IF($K$406=0,0,N(INDEX(Clients!$L$2:$L$501,$K$406)))</f>
        <v>0</v>
      </c>
      <c r="L434" s="25" t="n">
        <f aca="false">IF($K$406=0,0,N(INDEX(Clients!$Q$2:$Q$501,$K$406)))</f>
        <v>0</v>
      </c>
      <c r="M434" s="25" t="n">
        <f aca="false">IF(OR(K434&lt;&gt;0,L434&lt;&gt;0),1,0)</f>
        <v>0</v>
      </c>
      <c r="N434" s="25" t="str">
        <f aca="false">IF(M434=1,SUM($M$433:M434),"")</f>
        <v/>
      </c>
      <c r="O434" s="25" t="n">
        <v>2</v>
      </c>
    </row>
    <row r="435" customFormat="false" ht="16.5" hidden="false" customHeight="true" outlineLevel="0" collapsed="false">
      <c r="B435" s="40" t="str">
        <f aca="false">IFERROR(INDEX($J$433:$J$436,MATCH($O435,$N$433:$N$436,0)),"")</f>
        <v/>
      </c>
      <c r="C435" s="41" t="str">
        <f aca="false">IFERROR(INDEX($K$433:$K$436,MATCH($O435,$N$433:$N$436,0)),"")</f>
        <v/>
      </c>
      <c r="D435" s="42" t="str">
        <f aca="false">IF(OR(E435="",N(C435)=0),"",E435/C435-1)</f>
        <v/>
      </c>
      <c r="E435" s="41" t="str">
        <f aca="false">IFERROR(INDEX($L$433:$L$436,MATCH($O435,$N$433:$N$436,0)),"")</f>
        <v/>
      </c>
      <c r="F435" s="41" t="str">
        <f aca="false">IF(E435="","",E435-C435)</f>
        <v/>
      </c>
      <c r="J435" s="25" t="str">
        <f aca="false">Lib_Jur</f>
        <v>Mission juridique (approbation des comptes, secrétariat juridique)</v>
      </c>
      <c r="K435" s="25" t="n">
        <f aca="false">IF($K$406=0,0,N(INDEX(Clients!$M$2:$M$501,$K$406)))</f>
        <v>0</v>
      </c>
      <c r="L435" s="25" t="n">
        <f aca="false">IF($K$406=0,0,N(INDEX(Clients!$R$2:$R$501,$K$406)))</f>
        <v>0</v>
      </c>
      <c r="M435" s="25" t="n">
        <f aca="false">IF(OR(K435&lt;&gt;0,L435&lt;&gt;0),1,0)</f>
        <v>0</v>
      </c>
      <c r="N435" s="25" t="str">
        <f aca="false">IF(M435=1,SUM($M$433:M435),"")</f>
        <v/>
      </c>
      <c r="O435" s="25" t="n">
        <v>3</v>
      </c>
    </row>
    <row r="436" customFormat="false" ht="16.5" hidden="false" customHeight="true" outlineLevel="0" collapsed="false">
      <c r="B436" s="40" t="str">
        <f aca="false">IFERROR(INDEX($J$433:$J$436,MATCH($O436,$N$433:$N$436,0)),"")</f>
        <v/>
      </c>
      <c r="C436" s="41" t="str">
        <f aca="false">IFERROR(INDEX($K$433:$K$436,MATCH($O436,$N$433:$N$436,0)),"")</f>
        <v/>
      </c>
      <c r="D436" s="42" t="str">
        <f aca="false">IF(OR(E436="",N(C436)=0),"",E436/C436-1)</f>
        <v/>
      </c>
      <c r="E436" s="41" t="str">
        <f aca="false">IFERROR(INDEX($L$433:$L$436,MATCH($O436,$N$433:$N$436,0)),"")</f>
        <v/>
      </c>
      <c r="F436" s="41" t="str">
        <f aca="false">IF(E436="","",E436-C436)</f>
        <v/>
      </c>
      <c r="J436" s="25" t="str">
        <f aca="false">Lib_PA</f>
        <v>Plateforme agréée – facturation électronique</v>
      </c>
      <c r="K436" s="25" t="n">
        <f aca="false">IF($K$406=0,0,N(INDEX(Clients!$N$2:$N$501,$K$406)))</f>
        <v>0</v>
      </c>
      <c r="L436" s="25" t="n">
        <f aca="false">IF($K$406=0,0,N(INDEX(Clients!$S$2:$S$501,$K$406)))</f>
        <v>0</v>
      </c>
      <c r="M436" s="25" t="n">
        <f aca="false">IF(OR(K436&lt;&gt;0,L436&lt;&gt;0),1,0)</f>
        <v>0</v>
      </c>
      <c r="N436" s="25" t="str">
        <f aca="false">IF(M436=1,SUM($M$433:M436),"")</f>
        <v/>
      </c>
      <c r="O436" s="25" t="n">
        <v>4</v>
      </c>
    </row>
    <row r="437" customFormat="false" ht="18" hidden="false" customHeight="true" outlineLevel="0" collapsed="false">
      <c r="B437" s="43" t="s">
        <v>158</v>
      </c>
      <c r="C437" s="44" t="n">
        <f aca="false">SUM(K433:K436)</f>
        <v>0</v>
      </c>
      <c r="D437" s="45" t="str">
        <f aca="false">IF(N(C437)=0,"",E437/C437-1)</f>
        <v/>
      </c>
      <c r="E437" s="44" t="n">
        <f aca="false">SUM(L433:L436)</f>
        <v>0</v>
      </c>
      <c r="F437" s="44" t="n">
        <f aca="false">E437-C437</f>
        <v>0</v>
      </c>
    </row>
    <row r="438" customFormat="false" ht="15" hidden="false" customHeight="false" outlineLevel="0" collapsed="false">
      <c r="B438" s="46" t="str">
        <f aca="false">IF(N(Nb_Mensualites)=0,"","Soit "&amp;FIXED(E437/Nb_Mensualites,2)&amp;" € HT par échéance ("&amp;Nb_Mensualites&amp;" échéances), "&amp;FIXED(E437/Nb_Mensualites*(1+Taux_TVA),2)&amp;" € TTC.")</f>
        <v>Soit 0.00 € HT par échéance (12 échéances), 0.00 € TTC.</v>
      </c>
      <c r="C438" s="46"/>
      <c r="D438" s="46"/>
      <c r="E438" s="46"/>
      <c r="F438" s="46"/>
    </row>
    <row r="439" customFormat="false" ht="7.5" hidden="false" customHeight="true" outlineLevel="0" collapsed="false">
      <c r="B439" s="10"/>
      <c r="C439" s="10"/>
      <c r="D439" s="10"/>
      <c r="E439" s="10"/>
      <c r="F439" s="10"/>
    </row>
    <row r="440" customFormat="false" ht="36.75" hidden="false" customHeight="true" outlineLevel="0" collapsed="false">
      <c r="B440" s="37" t="str">
        <f aca="false">SUBSTITUTE(SUBSTITUTE(SUBSTITUTE(SUBSTITUTE(SUBSTITUTE(Txt_P5,"{cabinet}",Cab_Nom),"{societe}",IF($K$406=0,"",INDEX(Clients!$E$2:$E$501,$K$406)&amp;"")),"{date_effet}",$K$408),"{hausse}",$K$409),"{civilite}",$K$407)</f>
        <v>Les autres conditions de votre lettre de mission demeurent inchangées. Les nouveaux montants seront appliqués automatiquement sur vos prochaines factures et échéances de prélèvement.</v>
      </c>
      <c r="C440" s="37"/>
      <c r="D440" s="37"/>
      <c r="E440" s="37"/>
      <c r="F440" s="37"/>
    </row>
    <row r="441" customFormat="false" ht="36.75" hidden="false" customHeight="true" outlineLevel="0" collapsed="false">
      <c r="B441" s="37" t="str">
        <f aca="false">SUBSTITUTE(SUBSTITUTE(SUBSTITUTE(SUBSTITUTE(SUBSTITUTE(Txt_P6,"{cabinet}",Cab_Nom),"{societe}",IF($K$406=0,"",INDEX(Clients!$E$2:$E$501,$K$406)&amp;"")),"{date_effet}",$K$408),"{hausse}",$K$409),"{civilite}",$K$407)</f>
        <v>Votre interlocuteur habituel reste à votre entière disposition pour répondre à vos questions et faire le point sur l'évolution de vos besoins.</v>
      </c>
      <c r="C441" s="37"/>
      <c r="D441" s="37"/>
      <c r="E441" s="37"/>
      <c r="F441" s="37"/>
    </row>
    <row r="442" customFormat="false" ht="24" hidden="false" customHeight="true" outlineLevel="0" collapsed="false">
      <c r="B442" s="37" t="str">
        <f aca="false">SUBSTITUTE(SUBSTITUTE(SUBSTITUTE(SUBSTITUTE(SUBSTITUTE(Txt_Politesse,"{cabinet}",Cab_Nom),"{societe}",IF($K$406=0,"",INDEX(Clients!$E$2:$E$501,$K$406)&amp;"")),"{date_effet}",$K$408),"{hausse}",$K$409),"{civilite}",$K$407)</f>
        <v>Nous vous prions d'agréer, Madame, Monsieur, l'expression de nos salutations distinguées.</v>
      </c>
      <c r="C442" s="37"/>
      <c r="D442" s="37"/>
      <c r="E442" s="37"/>
      <c r="F442" s="37"/>
    </row>
    <row r="443" customFormat="false" ht="15" hidden="false" customHeight="false" outlineLevel="0" collapsed="false">
      <c r="B443" s="10"/>
      <c r="C443" s="10"/>
      <c r="D443" s="10"/>
      <c r="E443" s="10"/>
      <c r="F443" s="10"/>
    </row>
    <row r="444" customFormat="false" ht="15" hidden="false" customHeight="false" outlineLevel="0" collapsed="false">
      <c r="B444" s="10"/>
      <c r="C444" s="10"/>
      <c r="D444" s="34" t="str">
        <f aca="false">Signataire</f>
        <v>Prénom NOM</v>
      </c>
      <c r="E444" s="34"/>
      <c r="F444" s="34"/>
    </row>
    <row r="445" customFormat="false" ht="15" hidden="false" customHeight="false" outlineLevel="0" collapsed="false">
      <c r="B445" s="10"/>
      <c r="C445" s="10"/>
      <c r="D445" s="47" t="str">
        <f aca="false">Signataire_Titre</f>
        <v>Expert-comptable associé</v>
      </c>
      <c r="E445" s="47"/>
      <c r="F445" s="47"/>
    </row>
    <row r="446" customFormat="false" ht="15.75" hidden="false" customHeight="true" outlineLevel="0" collapsed="false">
      <c r="B446" s="10"/>
      <c r="C446" s="10"/>
      <c r="D446" s="10"/>
      <c r="E446" s="10"/>
      <c r="F446" s="10"/>
    </row>
    <row r="447" customFormat="false" ht="15.75" hidden="false" customHeight="true" outlineLevel="0" collapsed="false">
      <c r="B447" s="10"/>
      <c r="C447" s="10"/>
      <c r="D447" s="10"/>
      <c r="E447" s="10"/>
      <c r="F447" s="10"/>
    </row>
    <row r="448" customFormat="false" ht="15.75" hidden="false" customHeight="true" outlineLevel="0" collapsed="false">
      <c r="B448" s="10"/>
      <c r="C448" s="10"/>
      <c r="D448" s="10"/>
      <c r="E448" s="10"/>
      <c r="F448" s="10"/>
    </row>
    <row r="449" customFormat="false" ht="15.75" hidden="false" customHeight="true" outlineLevel="0" collapsed="false">
      <c r="B449" s="10"/>
      <c r="C449" s="10"/>
      <c r="D449" s="10"/>
      <c r="E449" s="10"/>
      <c r="F449" s="10"/>
    </row>
    <row r="450" customFormat="false" ht="24" hidden="false" customHeight="true" outlineLevel="0" collapsed="false">
      <c r="B450" s="48" t="str">
        <f aca="false">Cab_Mentions</f>
        <v>ALTHO EXPERTISE · SAS au capital de 10 000 € · RCS Pontoise 919 706 325 · TVA FR62919706325 · Société d'expertise comptable inscrite au Tableau de l'Ordre des experts-comptables de Paris Île-de-France</v>
      </c>
      <c r="C450" s="48"/>
      <c r="D450" s="48"/>
      <c r="E450" s="48"/>
      <c r="F450" s="48"/>
    </row>
    <row r="451" customFormat="false" ht="15" hidden="false" customHeight="false" outlineLevel="0" collapsed="false">
      <c r="B451" s="10"/>
      <c r="C451" s="10"/>
      <c r="D451" s="10"/>
      <c r="E451" s="10"/>
      <c r="F451" s="10"/>
      <c r="J451" s="25" t="s">
        <v>142</v>
      </c>
      <c r="K451" s="25" t="n">
        <f aca="false">IFERROR(MATCH(11,Clients!$Z$2:$Z$501,0),0)</f>
        <v>0</v>
      </c>
      <c r="L451" s="25"/>
      <c r="M451" s="25"/>
      <c r="N451" s="25"/>
      <c r="O451" s="25"/>
    </row>
    <row r="452" customFormat="false" ht="21.75" hidden="false" customHeight="true" outlineLevel="0" collapsed="false">
      <c r="B452" s="26" t="str">
        <f aca="false">Cab_Nom</f>
        <v>ALTHO EXPERTISE</v>
      </c>
      <c r="C452" s="26"/>
      <c r="D452" s="10"/>
      <c r="E452" s="27" t="str">
        <f aca="false">IF($K$451=0,"","Réf. client : "&amp;INDEX(Clients!$A$2:$A$501,$K$451))</f>
        <v/>
      </c>
      <c r="F452" s="27"/>
      <c r="J452" s="25" t="s">
        <v>144</v>
      </c>
      <c r="K452" s="25" t="str">
        <f aca="false">IF(IF($K$451=0,"",INDEX(Clients!$B$2:$B$501,$K$451)&amp;"")="Mme","Madame",IF(IF($K$451=0,"",INDEX(Clients!$B$2:$B$501,$K$451)&amp;"")="M.","Monsieur","Madame, Monsieur"))</f>
        <v>Madame, Monsieur</v>
      </c>
      <c r="L452" s="25"/>
      <c r="M452" s="25"/>
      <c r="N452" s="25"/>
      <c r="O452" s="25"/>
    </row>
    <row r="453" customFormat="false" ht="15" hidden="false" customHeight="false" outlineLevel="0" collapsed="false">
      <c r="B453" s="29" t="str">
        <f aca="false">Cab_Adr1</f>
        <v>141 rue Charles de Gaulle</v>
      </c>
      <c r="C453" s="29"/>
      <c r="D453" s="10"/>
      <c r="E453" s="10"/>
      <c r="F453" s="10"/>
      <c r="J453" s="25" t="s">
        <v>145</v>
      </c>
      <c r="K453" s="25" t="str">
        <f aca="false">DAY(Date_Effet)&amp;IF(DAY(Date_Effet)=1,"er","")&amp;" "&amp;INDEX(Liste_Mois,MONTH(Date_Effet))&amp;" "&amp;YEAR(Date_Effet)</f>
        <v>1er janvier 2027</v>
      </c>
      <c r="L453" s="25"/>
      <c r="M453" s="25"/>
      <c r="N453" s="25"/>
      <c r="O453" s="25"/>
    </row>
    <row r="454" customFormat="false" ht="15" hidden="false" customHeight="false" outlineLevel="0" collapsed="false">
      <c r="B454" s="29" t="str">
        <f aca="false">Cab_CPVille</f>
        <v>95130 LE PLESSIS-BOUCHARD</v>
      </c>
      <c r="C454" s="29"/>
      <c r="D454" s="10"/>
      <c r="E454" s="10"/>
      <c r="F454" s="10"/>
      <c r="J454" s="25" t="s">
        <v>146</v>
      </c>
      <c r="K454" s="25" t="str">
        <f aca="false">IF(SUM($K$478:$K$481)=0,"",FIXED((SUM($L$478:$L$481)/SUM($K$478:$K$481)-1)*100,1)&amp;" %")</f>
        <v/>
      </c>
      <c r="L454" s="25"/>
      <c r="M454" s="25"/>
      <c r="N454" s="25"/>
      <c r="O454" s="25"/>
    </row>
    <row r="455" customFormat="false" ht="15" hidden="false" customHeight="false" outlineLevel="0" collapsed="false">
      <c r="B455" s="29" t="str">
        <f aca="false">Cab_Contact</f>
        <v>Tél. 01 34 14 53 45  ·  altho@altho-experts.com  ·  altho-experts.com</v>
      </c>
      <c r="C455" s="29"/>
      <c r="D455" s="10"/>
      <c r="E455" s="10"/>
      <c r="F455" s="10"/>
      <c r="J455" s="25"/>
      <c r="K455" s="25"/>
      <c r="L455" s="25"/>
      <c r="M455" s="25"/>
      <c r="N455" s="25"/>
      <c r="O455" s="25"/>
    </row>
    <row r="456" customFormat="false" ht="6" hidden="false" customHeight="true" outlineLevel="0" collapsed="false">
      <c r="B456" s="32"/>
      <c r="C456" s="32"/>
      <c r="D456" s="32"/>
      <c r="E456" s="32"/>
      <c r="F456" s="32"/>
      <c r="J456" s="25"/>
      <c r="K456" s="25"/>
      <c r="L456" s="25"/>
      <c r="M456" s="25"/>
      <c r="N456" s="25"/>
      <c r="O456" s="25"/>
    </row>
    <row r="457" customFormat="false" ht="13.5" hidden="false" customHeight="true" outlineLevel="0" collapsed="false">
      <c r="B457" s="10"/>
      <c r="C457" s="10"/>
      <c r="D457" s="10"/>
      <c r="E457" s="10"/>
      <c r="F457" s="10"/>
      <c r="J457" s="25"/>
      <c r="K457" s="25"/>
      <c r="L457" s="25"/>
      <c r="M457" s="25"/>
      <c r="N457" s="25"/>
      <c r="O457" s="25"/>
    </row>
    <row r="458" customFormat="false" ht="13.5" hidden="false" customHeight="true" outlineLevel="0" collapsed="false">
      <c r="B458" s="10"/>
      <c r="C458" s="10"/>
      <c r="D458" s="10"/>
      <c r="E458" s="10"/>
      <c r="F458" s="10"/>
      <c r="J458" s="25"/>
      <c r="K458" s="25"/>
      <c r="L458" s="25"/>
      <c r="M458" s="25"/>
      <c r="N458" s="25"/>
      <c r="O458" s="25"/>
    </row>
    <row r="459" customFormat="false" ht="13.5" hidden="false" customHeight="true" outlineLevel="0" collapsed="false">
      <c r="B459" s="10"/>
      <c r="C459" s="10"/>
      <c r="D459" s="10"/>
      <c r="E459" s="10"/>
      <c r="F459" s="10"/>
      <c r="J459" s="25"/>
      <c r="K459" s="25"/>
      <c r="L459" s="25"/>
      <c r="M459" s="25"/>
      <c r="N459" s="25"/>
      <c r="O459" s="25"/>
    </row>
    <row r="460" customFormat="false" ht="15" hidden="false" customHeight="true" outlineLevel="0" collapsed="false">
      <c r="B460" s="10"/>
      <c r="C460" s="10"/>
      <c r="D460" s="34" t="str">
        <f aca="false">IF($K$451=0,"",INDEX(Clients!$E$2:$E$501,$K$451)&amp;"")</f>
        <v/>
      </c>
      <c r="E460" s="34"/>
      <c r="F460" s="34"/>
      <c r="J460" s="25"/>
      <c r="K460" s="25"/>
      <c r="L460" s="25"/>
      <c r="M460" s="25"/>
      <c r="N460" s="25"/>
      <c r="O460" s="25"/>
    </row>
    <row r="461" customFormat="false" ht="15" hidden="false" customHeight="true" outlineLevel="0" collapsed="false">
      <c r="B461" s="10"/>
      <c r="C461" s="10"/>
      <c r="D461" s="35" t="str">
        <f aca="false">IF(IF($K$451=0,"",INDEX(Clients!$D$2:$D$501,$K$451)&amp;"")="","","À l'attention de "&amp;TRIM(IF($K$451=0,"",INDEX(Clients!$B$2:$B$501,$K$451)&amp;"")&amp;" "&amp;IF($K$451=0,"",INDEX(Clients!$C$2:$C$501,$K$451)&amp;"")&amp;" "&amp;IF($K$451=0,"",INDEX(Clients!$D$2:$D$501,$K$451)&amp;"")))</f>
        <v/>
      </c>
      <c r="E461" s="35"/>
      <c r="F461" s="35"/>
      <c r="J461" s="25"/>
      <c r="K461" s="25"/>
      <c r="L461" s="25"/>
      <c r="M461" s="25"/>
      <c r="N461" s="25"/>
      <c r="O461" s="25"/>
    </row>
    <row r="462" customFormat="false" ht="15" hidden="false" customHeight="true" outlineLevel="0" collapsed="false">
      <c r="B462" s="10"/>
      <c r="C462" s="10"/>
      <c r="D462" s="35" t="str">
        <f aca="false">IF($K$451=0,"",INDEX(Clients!$F$2:$F$501,$K$451)&amp;"")</f>
        <v/>
      </c>
      <c r="E462" s="35"/>
      <c r="F462" s="35"/>
      <c r="J462" s="25"/>
      <c r="K462" s="25"/>
      <c r="L462" s="25"/>
      <c r="M462" s="25"/>
      <c r="N462" s="25"/>
      <c r="O462" s="25"/>
    </row>
    <row r="463" customFormat="false" ht="15" hidden="false" customHeight="true" outlineLevel="0" collapsed="false">
      <c r="B463" s="10"/>
      <c r="C463" s="10"/>
      <c r="D463" s="35" t="str">
        <f aca="false">IF(IF($K$451=0,"",INDEX(Clients!$G$2:$G$501,$K$451)&amp;"")="",TRIM(IF($K$451=0,"",INDEX(Clients!$H$2:$H$501,$K$451)&amp;"")&amp;" "&amp;UPPER(IF($K$451=0,"",INDEX(Clients!$I$2:$I$501,$K$451)&amp;""))),IF($K$451=0,"",INDEX(Clients!$G$2:$G$501,$K$451)&amp;""))</f>
        <v/>
      </c>
      <c r="E463" s="35"/>
      <c r="F463" s="35"/>
      <c r="J463" s="25"/>
      <c r="K463" s="25"/>
      <c r="L463" s="25"/>
      <c r="M463" s="25"/>
      <c r="N463" s="25"/>
      <c r="O463" s="25"/>
    </row>
    <row r="464" customFormat="false" ht="15" hidden="false" customHeight="true" outlineLevel="0" collapsed="false">
      <c r="B464" s="10"/>
      <c r="C464" s="10"/>
      <c r="D464" s="35" t="str">
        <f aca="false">IF(IF($K$451=0,"",INDEX(Clients!$G$2:$G$501,$K$451)&amp;"")="","",TRIM(IF($K$451=0,"",INDEX(Clients!$H$2:$H$501,$K$451)&amp;"")&amp;" "&amp;UPPER(IF($K$451=0,"",INDEX(Clients!$I$2:$I$501,$K$451)&amp;""))))</f>
        <v/>
      </c>
      <c r="E464" s="35"/>
      <c r="F464" s="35"/>
      <c r="J464" s="25"/>
      <c r="K464" s="25"/>
      <c r="L464" s="25"/>
      <c r="M464" s="25"/>
      <c r="N464" s="25"/>
      <c r="O464" s="25"/>
    </row>
    <row r="465" customFormat="false" ht="25.5" hidden="false" customHeight="true" outlineLevel="0" collapsed="false">
      <c r="B465" s="10"/>
      <c r="C465" s="10"/>
      <c r="D465" s="10"/>
      <c r="E465" s="10"/>
      <c r="F465" s="10"/>
      <c r="J465" s="25"/>
      <c r="K465" s="25"/>
      <c r="L465" s="25"/>
      <c r="M465" s="25"/>
      <c r="N465" s="25"/>
      <c r="O465" s="25"/>
    </row>
    <row r="466" customFormat="false" ht="15" hidden="false" customHeight="false" outlineLevel="0" collapsed="false">
      <c r="B466" s="10"/>
      <c r="C466" s="10"/>
      <c r="D466" s="36" t="str">
        <f aca="false">Cab_Ville&amp;", le "&amp;DAY(Date_Courrier)&amp;IF(DAY(Date_Courrier)=1,"er","")&amp;" "&amp;INDEX(Liste_Mois,MONTH(Date_Courrier))&amp;" "&amp;YEAR(Date_Courrier)</f>
        <v>Le Plessis-Bouchard, le 22 septembre 2026</v>
      </c>
      <c r="E466" s="36"/>
      <c r="F466" s="36"/>
      <c r="J466" s="25"/>
      <c r="K466" s="25"/>
      <c r="L466" s="25"/>
      <c r="M466" s="25"/>
      <c r="N466" s="25"/>
      <c r="O466" s="25"/>
    </row>
    <row r="467" customFormat="false" ht="19.5" hidden="false" customHeight="true" outlineLevel="0" collapsed="false">
      <c r="B467" s="10"/>
      <c r="C467" s="10"/>
      <c r="D467" s="10"/>
      <c r="E467" s="10"/>
      <c r="F467" s="10"/>
      <c r="J467" s="25"/>
      <c r="K467" s="25"/>
      <c r="L467" s="25"/>
      <c r="M467" s="25"/>
      <c r="N467" s="25"/>
      <c r="O467" s="25"/>
    </row>
    <row r="468" customFormat="false" ht="15" hidden="false" customHeight="false" outlineLevel="0" collapsed="false">
      <c r="B468" s="34" t="str">
        <f aca="false">SUBSTITUTE(SUBSTITUTE(SUBSTITUTE(SUBSTITUTE(SUBSTITUTE(Txt_Objet,"{cabinet}",Cab_Nom),"{societe}",IF($K$451=0,"",INDEX(Clients!$E$2:$E$501,$K$451)&amp;"")),"{date_effet}",$K$453),"{hausse}",$K$454),"{civilite}",$K$452)</f>
        <v>Objet : révision de nos honoraires au 1er janvier 2027</v>
      </c>
      <c r="C468" s="34"/>
      <c r="D468" s="34"/>
      <c r="E468" s="34"/>
      <c r="F468" s="34"/>
      <c r="J468" s="25"/>
      <c r="K468" s="25"/>
      <c r="L468" s="25"/>
      <c r="M468" s="25"/>
      <c r="N468" s="25"/>
      <c r="O468" s="25"/>
    </row>
    <row r="469" customFormat="false" ht="13.5" hidden="false" customHeight="true" outlineLevel="0" collapsed="false">
      <c r="B469" s="10"/>
      <c r="C469" s="10"/>
      <c r="D469" s="10"/>
      <c r="E469" s="10"/>
      <c r="F469" s="10"/>
      <c r="J469" s="25"/>
      <c r="K469" s="25"/>
      <c r="L469" s="25"/>
      <c r="M469" s="25"/>
      <c r="N469" s="25"/>
      <c r="O469" s="25"/>
    </row>
    <row r="470" customFormat="false" ht="15" hidden="false" customHeight="false" outlineLevel="0" collapsed="false">
      <c r="B470" s="10" t="str">
        <f aca="false">$K$452&amp;","</f>
        <v>Madame, Monsieur,</v>
      </c>
      <c r="C470" s="10"/>
      <c r="D470" s="10"/>
      <c r="E470" s="10"/>
      <c r="F470" s="10"/>
      <c r="J470" s="25"/>
      <c r="K470" s="25"/>
      <c r="L470" s="25"/>
      <c r="M470" s="25"/>
      <c r="N470" s="25"/>
      <c r="O470" s="25"/>
    </row>
    <row r="471" customFormat="false" ht="6" hidden="false" customHeight="true" outlineLevel="0" collapsed="false">
      <c r="B471" s="10"/>
      <c r="C471" s="10"/>
      <c r="D471" s="10"/>
      <c r="E471" s="10"/>
      <c r="F471" s="10"/>
      <c r="J471" s="25"/>
      <c r="K471" s="25"/>
      <c r="L471" s="25"/>
      <c r="M471" s="25"/>
      <c r="N471" s="25"/>
      <c r="O471" s="25"/>
    </row>
    <row r="472" customFormat="false" ht="36.75" hidden="false" customHeight="true" outlineLevel="0" collapsed="false">
      <c r="B472" s="37" t="str">
        <f aca="false">SUBSTITUTE(SUBSTITUTE(SUBSTITUTE(SUBSTITUTE(SUBSTITUTE(Txt_P1,"{cabinet}",Cab_Nom),"{societe}",IF($K$451=0,"",INDEX(Clients!$E$2:$E$501,$K$451)&amp;"")),"{date_effet}",$K$453),"{hausse}",$K$454),"{civilite}",$K$452)</f>
        <v>Nous tenons tout d'abord à vous remercier pour la confiance que vous accordez à ALTHO EXPERTISE. Comme chaque année, et conformément aux dispositions de votre lettre de mission, nous procédons à la révision de nos honoraires.</v>
      </c>
      <c r="C472" s="37"/>
      <c r="D472" s="37"/>
      <c r="E472" s="37"/>
      <c r="F472" s="37"/>
      <c r="J472" s="25"/>
      <c r="K472" s="25"/>
      <c r="L472" s="25"/>
      <c r="M472" s="25"/>
      <c r="N472" s="25"/>
      <c r="O472" s="25"/>
    </row>
    <row r="473" customFormat="false" ht="49.5" hidden="false" customHeight="true" outlineLevel="0" collapsed="false">
      <c r="B473" s="37" t="str">
        <f aca="false">SUBSTITUTE(SUBSTITUTE(SUBSTITUTE(SUBSTITUTE(SUBSTITUTE(Txt_P2,"{cabinet}",Cab_Nom),"{societe}",IF($K$451=0,"",INDEX(Clients!$E$2:$E$501,$K$451)&amp;"")),"{date_effet}",$K$453),"{hausse}",$K$454),"{civilite}",$K$452)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73" s="37"/>
      <c r="D473" s="37"/>
      <c r="E473" s="37"/>
      <c r="F473" s="37"/>
      <c r="J473" s="25"/>
      <c r="K473" s="25"/>
      <c r="L473" s="25"/>
      <c r="M473" s="25"/>
      <c r="N473" s="25"/>
      <c r="O473" s="25"/>
    </row>
    <row r="474" customFormat="false" ht="63" hidden="false" customHeight="true" outlineLevel="0" collapsed="false">
      <c r="B474" s="37" t="str">
        <f aca="false">SUBSTITUTE(SUBSTITUTE(SUBSTITUTE(SUBSTITUTE(SUBSTITUTE(Txt_P3,"{cabinet}",Cab_Nom),"{societe}",IF($K$451=0,"",INDEX(Clients!$E$2:$E$501,$K$451)&amp;"")),"{date_effet}",$K$453),"{hausse}",$K$454),"{civilite}",$K$452)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74" s="37"/>
      <c r="D474" s="37"/>
      <c r="E474" s="37"/>
      <c r="F474" s="37"/>
      <c r="J474" s="25"/>
      <c r="K474" s="25"/>
      <c r="L474" s="25"/>
      <c r="M474" s="25"/>
      <c r="N474" s="25"/>
      <c r="O474" s="25"/>
    </row>
    <row r="475" customFormat="false" ht="24" hidden="false" customHeight="true" outlineLevel="0" collapsed="false">
      <c r="B475" s="37" t="str">
        <f aca="false">SUBSTITUTE(SUBSTITUTE(SUBSTITUTE(SUBSTITUTE(SUBSTITUTE(Txt_P4,"{cabinet}",Cab_Nom),"{societe}",IF($K$451=0,"",INDEX(Clients!$E$2:$E$501,$K$451)&amp;"")),"{date_effet}",$K$453),"{hausse}",$K$454),"{civilite}",$K$452)</f>
        <v>À compter du 1er janvier 2027, vos honoraires annuels hors taxes évolueront ainsi (évolution globale : ) :</v>
      </c>
      <c r="C475" s="37"/>
      <c r="D475" s="37"/>
      <c r="E475" s="37"/>
      <c r="F475" s="37"/>
      <c r="J475" s="25"/>
      <c r="K475" s="25"/>
      <c r="L475" s="25"/>
      <c r="M475" s="25"/>
      <c r="N475" s="25"/>
      <c r="O475" s="25"/>
    </row>
    <row r="476" customFormat="false" ht="3.75" hidden="false" customHeight="true" outlineLevel="0" collapsed="false">
      <c r="B476" s="10"/>
      <c r="C476" s="10"/>
      <c r="D476" s="10"/>
      <c r="E476" s="10"/>
      <c r="F476" s="10"/>
      <c r="J476" s="25"/>
      <c r="K476" s="25"/>
      <c r="L476" s="25"/>
      <c r="M476" s="25"/>
      <c r="N476" s="25"/>
      <c r="O476" s="25"/>
    </row>
    <row r="477" customFormat="false" ht="18" hidden="false" customHeight="true" outlineLevel="0" collapsed="false">
      <c r="B477" s="38" t="s">
        <v>148</v>
      </c>
      <c r="C477" s="39" t="s">
        <v>149</v>
      </c>
      <c r="D477" s="39" t="s">
        <v>150</v>
      </c>
      <c r="E477" s="39" t="s">
        <v>151</v>
      </c>
      <c r="F477" s="39" t="s">
        <v>109</v>
      </c>
      <c r="J477" s="25" t="s">
        <v>152</v>
      </c>
      <c r="K477" s="25" t="s">
        <v>153</v>
      </c>
      <c r="L477" s="25" t="s">
        <v>154</v>
      </c>
      <c r="M477" s="25" t="s">
        <v>155</v>
      </c>
      <c r="N477" s="25" t="s">
        <v>156</v>
      </c>
      <c r="O477" s="25" t="s">
        <v>157</v>
      </c>
    </row>
    <row r="478" customFormat="false" ht="16.5" hidden="false" customHeight="true" outlineLevel="0" collapsed="false">
      <c r="B478" s="40" t="str">
        <f aca="false">IFERROR(INDEX($J$478:$J$481,MATCH($O478,$N$478:$N$481,0)),"")</f>
        <v/>
      </c>
      <c r="C478" s="41" t="str">
        <f aca="false">IFERROR(INDEX($K$478:$K$481,MATCH($O478,$N$478:$N$481,0)),"")</f>
        <v/>
      </c>
      <c r="D478" s="42" t="str">
        <f aca="false">IF(OR(E478="",N(C478)=0),"",E478/C478-1)</f>
        <v/>
      </c>
      <c r="E478" s="41" t="str">
        <f aca="false">IFERROR(INDEX($L$478:$L$481,MATCH($O478,$N$478:$N$481,0)),"")</f>
        <v/>
      </c>
      <c r="F478" s="41" t="str">
        <f aca="false">IF(E478="","",E478-C478)</f>
        <v/>
      </c>
      <c r="J478" s="25" t="str">
        <f aca="false">Lib_Compta</f>
        <v>Mission comptable (tenue, révision, bilan, liasse fiscale)</v>
      </c>
      <c r="K478" s="25" t="n">
        <f aca="false">IF($K$451=0,0,N(INDEX(Clients!$K$2:$K$501,$K$451)))</f>
        <v>0</v>
      </c>
      <c r="L478" s="25" t="n">
        <f aca="false">IF($K$451=0,0,N(INDEX(Clients!$P$2:$P$501,$K$451)))</f>
        <v>0</v>
      </c>
      <c r="M478" s="25" t="n">
        <f aca="false">IF(OR(K478&lt;&gt;0,L478&lt;&gt;0),1,0)</f>
        <v>0</v>
      </c>
      <c r="N478" s="25" t="str">
        <f aca="false">IF(M478=1,SUM($M$478:M478),"")</f>
        <v/>
      </c>
      <c r="O478" s="25" t="n">
        <v>1</v>
      </c>
    </row>
    <row r="479" customFormat="false" ht="16.5" hidden="false" customHeight="true" outlineLevel="0" collapsed="false">
      <c r="B479" s="40" t="str">
        <f aca="false">IFERROR(INDEX($J$478:$J$481,MATCH($O479,$N$478:$N$481,0)),"")</f>
        <v/>
      </c>
      <c r="C479" s="41" t="str">
        <f aca="false">IFERROR(INDEX($K$478:$K$481,MATCH($O479,$N$478:$N$481,0)),"")</f>
        <v/>
      </c>
      <c r="D479" s="42" t="str">
        <f aca="false">IF(OR(E479="",N(C479)=0),"",E479/C479-1)</f>
        <v/>
      </c>
      <c r="E479" s="41" t="str">
        <f aca="false">IFERROR(INDEX($L$478:$L$481,MATCH($O479,$N$478:$N$481,0)),"")</f>
        <v/>
      </c>
      <c r="F479" s="41" t="str">
        <f aca="false">IF(E479="","",E479-C479)</f>
        <v/>
      </c>
      <c r="J479" s="25" t="str">
        <f aca="false">Lib_Paye</f>
        <v>Mission sociale (bulletins de paie, DSN, déclarations sociales)</v>
      </c>
      <c r="K479" s="25" t="n">
        <f aca="false">IF($K$451=0,0,N(INDEX(Clients!$L$2:$L$501,$K$451)))</f>
        <v>0</v>
      </c>
      <c r="L479" s="25" t="n">
        <f aca="false">IF($K$451=0,0,N(INDEX(Clients!$Q$2:$Q$501,$K$451)))</f>
        <v>0</v>
      </c>
      <c r="M479" s="25" t="n">
        <f aca="false">IF(OR(K479&lt;&gt;0,L479&lt;&gt;0),1,0)</f>
        <v>0</v>
      </c>
      <c r="N479" s="25" t="str">
        <f aca="false">IF(M479=1,SUM($M$478:M479),"")</f>
        <v/>
      </c>
      <c r="O479" s="25" t="n">
        <v>2</v>
      </c>
    </row>
    <row r="480" customFormat="false" ht="16.5" hidden="false" customHeight="true" outlineLevel="0" collapsed="false">
      <c r="B480" s="40" t="str">
        <f aca="false">IFERROR(INDEX($J$478:$J$481,MATCH($O480,$N$478:$N$481,0)),"")</f>
        <v/>
      </c>
      <c r="C480" s="41" t="str">
        <f aca="false">IFERROR(INDEX($K$478:$K$481,MATCH($O480,$N$478:$N$481,0)),"")</f>
        <v/>
      </c>
      <c r="D480" s="42" t="str">
        <f aca="false">IF(OR(E480="",N(C480)=0),"",E480/C480-1)</f>
        <v/>
      </c>
      <c r="E480" s="41" t="str">
        <f aca="false">IFERROR(INDEX($L$478:$L$481,MATCH($O480,$N$478:$N$481,0)),"")</f>
        <v/>
      </c>
      <c r="F480" s="41" t="str">
        <f aca="false">IF(E480="","",E480-C480)</f>
        <v/>
      </c>
      <c r="J480" s="25" t="str">
        <f aca="false">Lib_Jur</f>
        <v>Mission juridique (approbation des comptes, secrétariat juridique)</v>
      </c>
      <c r="K480" s="25" t="n">
        <f aca="false">IF($K$451=0,0,N(INDEX(Clients!$M$2:$M$501,$K$451)))</f>
        <v>0</v>
      </c>
      <c r="L480" s="25" t="n">
        <f aca="false">IF($K$451=0,0,N(INDEX(Clients!$R$2:$R$501,$K$451)))</f>
        <v>0</v>
      </c>
      <c r="M480" s="25" t="n">
        <f aca="false">IF(OR(K480&lt;&gt;0,L480&lt;&gt;0),1,0)</f>
        <v>0</v>
      </c>
      <c r="N480" s="25" t="str">
        <f aca="false">IF(M480=1,SUM($M$478:M480),"")</f>
        <v/>
      </c>
      <c r="O480" s="25" t="n">
        <v>3</v>
      </c>
    </row>
    <row r="481" customFormat="false" ht="16.5" hidden="false" customHeight="true" outlineLevel="0" collapsed="false">
      <c r="B481" s="40" t="str">
        <f aca="false">IFERROR(INDEX($J$478:$J$481,MATCH($O481,$N$478:$N$481,0)),"")</f>
        <v/>
      </c>
      <c r="C481" s="41" t="str">
        <f aca="false">IFERROR(INDEX($K$478:$K$481,MATCH($O481,$N$478:$N$481,0)),"")</f>
        <v/>
      </c>
      <c r="D481" s="42" t="str">
        <f aca="false">IF(OR(E481="",N(C481)=0),"",E481/C481-1)</f>
        <v/>
      </c>
      <c r="E481" s="41" t="str">
        <f aca="false">IFERROR(INDEX($L$478:$L$481,MATCH($O481,$N$478:$N$481,0)),"")</f>
        <v/>
      </c>
      <c r="F481" s="41" t="str">
        <f aca="false">IF(E481="","",E481-C481)</f>
        <v/>
      </c>
      <c r="J481" s="25" t="str">
        <f aca="false">Lib_PA</f>
        <v>Plateforme agréée – facturation électronique</v>
      </c>
      <c r="K481" s="25" t="n">
        <f aca="false">IF($K$451=0,0,N(INDEX(Clients!$N$2:$N$501,$K$451)))</f>
        <v>0</v>
      </c>
      <c r="L481" s="25" t="n">
        <f aca="false">IF($K$451=0,0,N(INDEX(Clients!$S$2:$S$501,$K$451)))</f>
        <v>0</v>
      </c>
      <c r="M481" s="25" t="n">
        <f aca="false">IF(OR(K481&lt;&gt;0,L481&lt;&gt;0),1,0)</f>
        <v>0</v>
      </c>
      <c r="N481" s="25" t="str">
        <f aca="false">IF(M481=1,SUM($M$478:M481),"")</f>
        <v/>
      </c>
      <c r="O481" s="25" t="n">
        <v>4</v>
      </c>
    </row>
    <row r="482" customFormat="false" ht="18" hidden="false" customHeight="true" outlineLevel="0" collapsed="false">
      <c r="B482" s="43" t="s">
        <v>158</v>
      </c>
      <c r="C482" s="44" t="n">
        <f aca="false">SUM(K478:K481)</f>
        <v>0</v>
      </c>
      <c r="D482" s="45" t="str">
        <f aca="false">IF(N(C482)=0,"",E482/C482-1)</f>
        <v/>
      </c>
      <c r="E482" s="44" t="n">
        <f aca="false">SUM(L478:L481)</f>
        <v>0</v>
      </c>
      <c r="F482" s="44" t="n">
        <f aca="false">E482-C482</f>
        <v>0</v>
      </c>
    </row>
    <row r="483" customFormat="false" ht="15" hidden="false" customHeight="false" outlineLevel="0" collapsed="false">
      <c r="B483" s="46" t="str">
        <f aca="false">IF(N(Nb_Mensualites)=0,"","Soit "&amp;FIXED(E482/Nb_Mensualites,2)&amp;" € HT par échéance ("&amp;Nb_Mensualites&amp;" échéances), "&amp;FIXED(E482/Nb_Mensualites*(1+Taux_TVA),2)&amp;" € TTC.")</f>
        <v>Soit 0.00 € HT par échéance (12 échéances), 0.00 € TTC.</v>
      </c>
      <c r="C483" s="46"/>
      <c r="D483" s="46"/>
      <c r="E483" s="46"/>
      <c r="F483" s="46"/>
    </row>
    <row r="484" customFormat="false" ht="7.5" hidden="false" customHeight="true" outlineLevel="0" collapsed="false">
      <c r="B484" s="10"/>
      <c r="C484" s="10"/>
      <c r="D484" s="10"/>
      <c r="E484" s="10"/>
      <c r="F484" s="10"/>
    </row>
    <row r="485" customFormat="false" ht="36.75" hidden="false" customHeight="true" outlineLevel="0" collapsed="false">
      <c r="B485" s="37" t="str">
        <f aca="false">SUBSTITUTE(SUBSTITUTE(SUBSTITUTE(SUBSTITUTE(SUBSTITUTE(Txt_P5,"{cabinet}",Cab_Nom),"{societe}",IF($K$451=0,"",INDEX(Clients!$E$2:$E$501,$K$451)&amp;"")),"{date_effet}",$K$453),"{hausse}",$K$454),"{civilite}",$K$452)</f>
        <v>Les autres conditions de votre lettre de mission demeurent inchangées. Les nouveaux montants seront appliqués automatiquement sur vos prochaines factures et échéances de prélèvement.</v>
      </c>
      <c r="C485" s="37"/>
      <c r="D485" s="37"/>
      <c r="E485" s="37"/>
      <c r="F485" s="37"/>
    </row>
    <row r="486" customFormat="false" ht="36.75" hidden="false" customHeight="true" outlineLevel="0" collapsed="false">
      <c r="B486" s="37" t="str">
        <f aca="false">SUBSTITUTE(SUBSTITUTE(SUBSTITUTE(SUBSTITUTE(SUBSTITUTE(Txt_P6,"{cabinet}",Cab_Nom),"{societe}",IF($K$451=0,"",INDEX(Clients!$E$2:$E$501,$K$451)&amp;"")),"{date_effet}",$K$453),"{hausse}",$K$454),"{civilite}",$K$452)</f>
        <v>Votre interlocuteur habituel reste à votre entière disposition pour répondre à vos questions et faire le point sur l'évolution de vos besoins.</v>
      </c>
      <c r="C486" s="37"/>
      <c r="D486" s="37"/>
      <c r="E486" s="37"/>
      <c r="F486" s="37"/>
    </row>
    <row r="487" customFormat="false" ht="24" hidden="false" customHeight="true" outlineLevel="0" collapsed="false">
      <c r="B487" s="37" t="str">
        <f aca="false">SUBSTITUTE(SUBSTITUTE(SUBSTITUTE(SUBSTITUTE(SUBSTITUTE(Txt_Politesse,"{cabinet}",Cab_Nom),"{societe}",IF($K$451=0,"",INDEX(Clients!$E$2:$E$501,$K$451)&amp;"")),"{date_effet}",$K$453),"{hausse}",$K$454),"{civilite}",$K$452)</f>
        <v>Nous vous prions d'agréer, Madame, Monsieur, l'expression de nos salutations distinguées.</v>
      </c>
      <c r="C487" s="37"/>
      <c r="D487" s="37"/>
      <c r="E487" s="37"/>
      <c r="F487" s="37"/>
    </row>
    <row r="488" customFormat="false" ht="15" hidden="false" customHeight="false" outlineLevel="0" collapsed="false">
      <c r="B488" s="10"/>
      <c r="C488" s="10"/>
      <c r="D488" s="10"/>
      <c r="E488" s="10"/>
      <c r="F488" s="10"/>
    </row>
    <row r="489" customFormat="false" ht="15" hidden="false" customHeight="false" outlineLevel="0" collapsed="false">
      <c r="B489" s="10"/>
      <c r="C489" s="10"/>
      <c r="D489" s="34" t="str">
        <f aca="false">Signataire</f>
        <v>Prénom NOM</v>
      </c>
      <c r="E489" s="34"/>
      <c r="F489" s="34"/>
    </row>
    <row r="490" customFormat="false" ht="15" hidden="false" customHeight="false" outlineLevel="0" collapsed="false">
      <c r="B490" s="10"/>
      <c r="C490" s="10"/>
      <c r="D490" s="47" t="str">
        <f aca="false">Signataire_Titre</f>
        <v>Expert-comptable associé</v>
      </c>
      <c r="E490" s="47"/>
      <c r="F490" s="47"/>
    </row>
    <row r="491" customFormat="false" ht="15.75" hidden="false" customHeight="true" outlineLevel="0" collapsed="false">
      <c r="B491" s="10"/>
      <c r="C491" s="10"/>
      <c r="D491" s="10"/>
      <c r="E491" s="10"/>
      <c r="F491" s="10"/>
    </row>
    <row r="492" customFormat="false" ht="15.75" hidden="false" customHeight="true" outlineLevel="0" collapsed="false">
      <c r="B492" s="10"/>
      <c r="C492" s="10"/>
      <c r="D492" s="10"/>
      <c r="E492" s="10"/>
      <c r="F492" s="10"/>
    </row>
    <row r="493" customFormat="false" ht="15.75" hidden="false" customHeight="true" outlineLevel="0" collapsed="false">
      <c r="B493" s="10"/>
      <c r="C493" s="10"/>
      <c r="D493" s="10"/>
      <c r="E493" s="10"/>
      <c r="F493" s="10"/>
    </row>
    <row r="494" customFormat="false" ht="15.75" hidden="false" customHeight="true" outlineLevel="0" collapsed="false">
      <c r="B494" s="10"/>
      <c r="C494" s="10"/>
      <c r="D494" s="10"/>
      <c r="E494" s="10"/>
      <c r="F494" s="10"/>
    </row>
    <row r="495" customFormat="false" ht="24" hidden="false" customHeight="true" outlineLevel="0" collapsed="false">
      <c r="B495" s="48" t="str">
        <f aca="false">Cab_Mentions</f>
        <v>ALTHO EXPERTISE · SAS au capital de 10 000 € · RCS Pontoise 919 706 325 · TVA FR62919706325 · Société d'expertise comptable inscrite au Tableau de l'Ordre des experts-comptables de Paris Île-de-France</v>
      </c>
      <c r="C495" s="48"/>
      <c r="D495" s="48"/>
      <c r="E495" s="48"/>
      <c r="F495" s="48"/>
    </row>
    <row r="496" customFormat="false" ht="15" hidden="false" customHeight="false" outlineLevel="0" collapsed="false">
      <c r="B496" s="10"/>
      <c r="C496" s="10"/>
      <c r="D496" s="10"/>
      <c r="E496" s="10"/>
      <c r="F496" s="10"/>
      <c r="J496" s="25" t="s">
        <v>142</v>
      </c>
      <c r="K496" s="25" t="n">
        <f aca="false">IFERROR(MATCH(12,Clients!$Z$2:$Z$501,0),0)</f>
        <v>0</v>
      </c>
      <c r="L496" s="25"/>
      <c r="M496" s="25"/>
      <c r="N496" s="25"/>
      <c r="O496" s="25"/>
    </row>
    <row r="497" customFormat="false" ht="21.75" hidden="false" customHeight="true" outlineLevel="0" collapsed="false">
      <c r="B497" s="26" t="str">
        <f aca="false">Cab_Nom</f>
        <v>ALTHO EXPERTISE</v>
      </c>
      <c r="C497" s="26"/>
      <c r="D497" s="10"/>
      <c r="E497" s="27" t="str">
        <f aca="false">IF($K$496=0,"","Réf. client : "&amp;INDEX(Clients!$A$2:$A$501,$K$496))</f>
        <v/>
      </c>
      <c r="F497" s="27"/>
      <c r="J497" s="25" t="s">
        <v>144</v>
      </c>
      <c r="K497" s="25" t="str">
        <f aca="false">IF(IF($K$496=0,"",INDEX(Clients!$B$2:$B$501,$K$496)&amp;"")="Mme","Madame",IF(IF($K$496=0,"",INDEX(Clients!$B$2:$B$501,$K$496)&amp;"")="M.","Monsieur","Madame, Monsieur"))</f>
        <v>Madame, Monsieur</v>
      </c>
      <c r="L497" s="25"/>
      <c r="M497" s="25"/>
      <c r="N497" s="25"/>
      <c r="O497" s="25"/>
    </row>
    <row r="498" customFormat="false" ht="15" hidden="false" customHeight="false" outlineLevel="0" collapsed="false">
      <c r="B498" s="29" t="str">
        <f aca="false">Cab_Adr1</f>
        <v>141 rue Charles de Gaulle</v>
      </c>
      <c r="C498" s="29"/>
      <c r="D498" s="10"/>
      <c r="E498" s="10"/>
      <c r="F498" s="10"/>
      <c r="J498" s="25" t="s">
        <v>145</v>
      </c>
      <c r="K498" s="25" t="str">
        <f aca="false">DAY(Date_Effet)&amp;IF(DAY(Date_Effet)=1,"er","")&amp;" "&amp;INDEX(Liste_Mois,MONTH(Date_Effet))&amp;" "&amp;YEAR(Date_Effet)</f>
        <v>1er janvier 2027</v>
      </c>
      <c r="L498" s="25"/>
      <c r="M498" s="25"/>
      <c r="N498" s="25"/>
      <c r="O498" s="25"/>
    </row>
    <row r="499" customFormat="false" ht="15" hidden="false" customHeight="false" outlineLevel="0" collapsed="false">
      <c r="B499" s="29" t="str">
        <f aca="false">Cab_CPVille</f>
        <v>95130 LE PLESSIS-BOUCHARD</v>
      </c>
      <c r="C499" s="29"/>
      <c r="D499" s="10"/>
      <c r="E499" s="10"/>
      <c r="F499" s="10"/>
      <c r="J499" s="25" t="s">
        <v>146</v>
      </c>
      <c r="K499" s="25" t="str">
        <f aca="false">IF(SUM($K$523:$K$526)=0,"",FIXED((SUM($L$523:$L$526)/SUM($K$523:$K$526)-1)*100,1)&amp;" %")</f>
        <v/>
      </c>
      <c r="L499" s="25"/>
      <c r="M499" s="25"/>
      <c r="N499" s="25"/>
      <c r="O499" s="25"/>
    </row>
    <row r="500" customFormat="false" ht="15" hidden="false" customHeight="false" outlineLevel="0" collapsed="false">
      <c r="B500" s="29" t="str">
        <f aca="false">Cab_Contact</f>
        <v>Tél. 01 34 14 53 45  ·  altho@altho-experts.com  ·  altho-experts.com</v>
      </c>
      <c r="C500" s="29"/>
      <c r="D500" s="10"/>
      <c r="E500" s="10"/>
      <c r="F500" s="10"/>
      <c r="J500" s="25"/>
      <c r="K500" s="25"/>
      <c r="L500" s="25"/>
      <c r="M500" s="25"/>
      <c r="N500" s="25"/>
      <c r="O500" s="25"/>
    </row>
    <row r="501" customFormat="false" ht="6" hidden="false" customHeight="true" outlineLevel="0" collapsed="false">
      <c r="B501" s="32"/>
      <c r="C501" s="32"/>
      <c r="D501" s="32"/>
      <c r="E501" s="32"/>
      <c r="F501" s="32"/>
      <c r="J501" s="25"/>
      <c r="K501" s="25"/>
      <c r="L501" s="25"/>
      <c r="M501" s="25"/>
      <c r="N501" s="25"/>
      <c r="O501" s="25"/>
    </row>
    <row r="502" customFormat="false" ht="13.5" hidden="false" customHeight="true" outlineLevel="0" collapsed="false">
      <c r="B502" s="10"/>
      <c r="C502" s="10"/>
      <c r="D502" s="10"/>
      <c r="E502" s="10"/>
      <c r="F502" s="10"/>
      <c r="J502" s="25"/>
      <c r="K502" s="25"/>
      <c r="L502" s="25"/>
      <c r="M502" s="25"/>
      <c r="N502" s="25"/>
      <c r="O502" s="25"/>
    </row>
    <row r="503" customFormat="false" ht="13.5" hidden="false" customHeight="true" outlineLevel="0" collapsed="false">
      <c r="B503" s="10"/>
      <c r="C503" s="10"/>
      <c r="D503" s="10"/>
      <c r="E503" s="10"/>
      <c r="F503" s="10"/>
      <c r="J503" s="25"/>
      <c r="K503" s="25"/>
      <c r="L503" s="25"/>
      <c r="M503" s="25"/>
      <c r="N503" s="25"/>
      <c r="O503" s="25"/>
    </row>
    <row r="504" customFormat="false" ht="13.5" hidden="false" customHeight="true" outlineLevel="0" collapsed="false">
      <c r="B504" s="10"/>
      <c r="C504" s="10"/>
      <c r="D504" s="10"/>
      <c r="E504" s="10"/>
      <c r="F504" s="10"/>
      <c r="J504" s="25"/>
      <c r="K504" s="25"/>
      <c r="L504" s="25"/>
      <c r="M504" s="25"/>
      <c r="N504" s="25"/>
      <c r="O504" s="25"/>
    </row>
    <row r="505" customFormat="false" ht="15" hidden="false" customHeight="true" outlineLevel="0" collapsed="false">
      <c r="B505" s="10"/>
      <c r="C505" s="10"/>
      <c r="D505" s="34" t="str">
        <f aca="false">IF($K$496=0,"",INDEX(Clients!$E$2:$E$501,$K$496)&amp;"")</f>
        <v/>
      </c>
      <c r="E505" s="34"/>
      <c r="F505" s="34"/>
      <c r="J505" s="25"/>
      <c r="K505" s="25"/>
      <c r="L505" s="25"/>
      <c r="M505" s="25"/>
      <c r="N505" s="25"/>
      <c r="O505" s="25"/>
    </row>
    <row r="506" customFormat="false" ht="15" hidden="false" customHeight="true" outlineLevel="0" collapsed="false">
      <c r="B506" s="10"/>
      <c r="C506" s="10"/>
      <c r="D506" s="35" t="str">
        <f aca="false">IF(IF($K$496=0,"",INDEX(Clients!$D$2:$D$501,$K$496)&amp;"")="","","À l'attention de "&amp;TRIM(IF($K$496=0,"",INDEX(Clients!$B$2:$B$501,$K$496)&amp;"")&amp;" "&amp;IF($K$496=0,"",INDEX(Clients!$C$2:$C$501,$K$496)&amp;"")&amp;" "&amp;IF($K$496=0,"",INDEX(Clients!$D$2:$D$501,$K$496)&amp;"")))</f>
        <v/>
      </c>
      <c r="E506" s="35"/>
      <c r="F506" s="35"/>
      <c r="J506" s="25"/>
      <c r="K506" s="25"/>
      <c r="L506" s="25"/>
      <c r="M506" s="25"/>
      <c r="N506" s="25"/>
      <c r="O506" s="25"/>
    </row>
    <row r="507" customFormat="false" ht="15" hidden="false" customHeight="true" outlineLevel="0" collapsed="false">
      <c r="B507" s="10"/>
      <c r="C507" s="10"/>
      <c r="D507" s="35" t="str">
        <f aca="false">IF($K$496=0,"",INDEX(Clients!$F$2:$F$501,$K$496)&amp;"")</f>
        <v/>
      </c>
      <c r="E507" s="35"/>
      <c r="F507" s="35"/>
      <c r="J507" s="25"/>
      <c r="K507" s="25"/>
      <c r="L507" s="25"/>
      <c r="M507" s="25"/>
      <c r="N507" s="25"/>
      <c r="O507" s="25"/>
    </row>
    <row r="508" customFormat="false" ht="15" hidden="false" customHeight="true" outlineLevel="0" collapsed="false">
      <c r="B508" s="10"/>
      <c r="C508" s="10"/>
      <c r="D508" s="35" t="str">
        <f aca="false">IF(IF($K$496=0,"",INDEX(Clients!$G$2:$G$501,$K$496)&amp;"")="",TRIM(IF($K$496=0,"",INDEX(Clients!$H$2:$H$501,$K$496)&amp;"")&amp;" "&amp;UPPER(IF($K$496=0,"",INDEX(Clients!$I$2:$I$501,$K$496)&amp;""))),IF($K$496=0,"",INDEX(Clients!$G$2:$G$501,$K$496)&amp;""))</f>
        <v/>
      </c>
      <c r="E508" s="35"/>
      <c r="F508" s="35"/>
      <c r="J508" s="25"/>
      <c r="K508" s="25"/>
      <c r="L508" s="25"/>
      <c r="M508" s="25"/>
      <c r="N508" s="25"/>
      <c r="O508" s="25"/>
    </row>
    <row r="509" customFormat="false" ht="15" hidden="false" customHeight="true" outlineLevel="0" collapsed="false">
      <c r="B509" s="10"/>
      <c r="C509" s="10"/>
      <c r="D509" s="35" t="str">
        <f aca="false">IF(IF($K$496=0,"",INDEX(Clients!$G$2:$G$501,$K$496)&amp;"")="","",TRIM(IF($K$496=0,"",INDEX(Clients!$H$2:$H$501,$K$496)&amp;"")&amp;" "&amp;UPPER(IF($K$496=0,"",INDEX(Clients!$I$2:$I$501,$K$496)&amp;""))))</f>
        <v/>
      </c>
      <c r="E509" s="35"/>
      <c r="F509" s="35"/>
      <c r="J509" s="25"/>
      <c r="K509" s="25"/>
      <c r="L509" s="25"/>
      <c r="M509" s="25"/>
      <c r="N509" s="25"/>
      <c r="O509" s="25"/>
    </row>
    <row r="510" customFormat="false" ht="25.5" hidden="false" customHeight="true" outlineLevel="0" collapsed="false">
      <c r="B510" s="10"/>
      <c r="C510" s="10"/>
      <c r="D510" s="10"/>
      <c r="E510" s="10"/>
      <c r="F510" s="10"/>
      <c r="J510" s="25"/>
      <c r="K510" s="25"/>
      <c r="L510" s="25"/>
      <c r="M510" s="25"/>
      <c r="N510" s="25"/>
      <c r="O510" s="25"/>
    </row>
    <row r="511" customFormat="false" ht="15" hidden="false" customHeight="false" outlineLevel="0" collapsed="false">
      <c r="B511" s="10"/>
      <c r="C511" s="10"/>
      <c r="D511" s="36" t="str">
        <f aca="false">Cab_Ville&amp;", le "&amp;DAY(Date_Courrier)&amp;IF(DAY(Date_Courrier)=1,"er","")&amp;" "&amp;INDEX(Liste_Mois,MONTH(Date_Courrier))&amp;" "&amp;YEAR(Date_Courrier)</f>
        <v>Le Plessis-Bouchard, le 22 septembre 2026</v>
      </c>
      <c r="E511" s="36"/>
      <c r="F511" s="36"/>
      <c r="J511" s="25"/>
      <c r="K511" s="25"/>
      <c r="L511" s="25"/>
      <c r="M511" s="25"/>
      <c r="N511" s="25"/>
      <c r="O511" s="25"/>
    </row>
    <row r="512" customFormat="false" ht="19.5" hidden="false" customHeight="true" outlineLevel="0" collapsed="false">
      <c r="B512" s="10"/>
      <c r="C512" s="10"/>
      <c r="D512" s="10"/>
      <c r="E512" s="10"/>
      <c r="F512" s="10"/>
      <c r="J512" s="25"/>
      <c r="K512" s="25"/>
      <c r="L512" s="25"/>
      <c r="M512" s="25"/>
      <c r="N512" s="25"/>
      <c r="O512" s="25"/>
    </row>
    <row r="513" customFormat="false" ht="15" hidden="false" customHeight="false" outlineLevel="0" collapsed="false">
      <c r="B513" s="34" t="str">
        <f aca="false">SUBSTITUTE(SUBSTITUTE(SUBSTITUTE(SUBSTITUTE(SUBSTITUTE(Txt_Objet,"{cabinet}",Cab_Nom),"{societe}",IF($K$496=0,"",INDEX(Clients!$E$2:$E$501,$K$496)&amp;"")),"{date_effet}",$K$498),"{hausse}",$K$499),"{civilite}",$K$497)</f>
        <v>Objet : révision de nos honoraires au 1er janvier 2027</v>
      </c>
      <c r="C513" s="34"/>
      <c r="D513" s="34"/>
      <c r="E513" s="34"/>
      <c r="F513" s="34"/>
      <c r="J513" s="25"/>
      <c r="K513" s="25"/>
      <c r="L513" s="25"/>
      <c r="M513" s="25"/>
      <c r="N513" s="25"/>
      <c r="O513" s="25"/>
    </row>
    <row r="514" customFormat="false" ht="13.5" hidden="false" customHeight="true" outlineLevel="0" collapsed="false">
      <c r="B514" s="10"/>
      <c r="C514" s="10"/>
      <c r="D514" s="10"/>
      <c r="E514" s="10"/>
      <c r="F514" s="10"/>
      <c r="J514" s="25"/>
      <c r="K514" s="25"/>
      <c r="L514" s="25"/>
      <c r="M514" s="25"/>
      <c r="N514" s="25"/>
      <c r="O514" s="25"/>
    </row>
    <row r="515" customFormat="false" ht="15" hidden="false" customHeight="false" outlineLevel="0" collapsed="false">
      <c r="B515" s="10" t="str">
        <f aca="false">$K$497&amp;","</f>
        <v>Madame, Monsieur,</v>
      </c>
      <c r="C515" s="10"/>
      <c r="D515" s="10"/>
      <c r="E515" s="10"/>
      <c r="F515" s="10"/>
      <c r="J515" s="25"/>
      <c r="K515" s="25"/>
      <c r="L515" s="25"/>
      <c r="M515" s="25"/>
      <c r="N515" s="25"/>
      <c r="O515" s="25"/>
    </row>
    <row r="516" customFormat="false" ht="6" hidden="false" customHeight="true" outlineLevel="0" collapsed="false">
      <c r="B516" s="10"/>
      <c r="C516" s="10"/>
      <c r="D516" s="10"/>
      <c r="E516" s="10"/>
      <c r="F516" s="10"/>
      <c r="J516" s="25"/>
      <c r="K516" s="25"/>
      <c r="L516" s="25"/>
      <c r="M516" s="25"/>
      <c r="N516" s="25"/>
      <c r="O516" s="25"/>
    </row>
    <row r="517" customFormat="false" ht="36.75" hidden="false" customHeight="true" outlineLevel="0" collapsed="false">
      <c r="B517" s="37" t="str">
        <f aca="false">SUBSTITUTE(SUBSTITUTE(SUBSTITUTE(SUBSTITUTE(SUBSTITUTE(Txt_P1,"{cabinet}",Cab_Nom),"{societe}",IF($K$496=0,"",INDEX(Clients!$E$2:$E$501,$K$496)&amp;"")),"{date_effet}",$K$498),"{hausse}",$K$499),"{civilite}",$K$497)</f>
        <v>Nous tenons tout d'abord à vous remercier pour la confiance que vous accordez à ALTHO EXPERTISE. Comme chaque année, et conformément aux dispositions de votre lettre de mission, nous procédons à la révision de nos honoraires.</v>
      </c>
      <c r="C517" s="37"/>
      <c r="D517" s="37"/>
      <c r="E517" s="37"/>
      <c r="F517" s="37"/>
      <c r="J517" s="25"/>
      <c r="K517" s="25"/>
      <c r="L517" s="25"/>
      <c r="M517" s="25"/>
      <c r="N517" s="25"/>
      <c r="O517" s="25"/>
    </row>
    <row r="518" customFormat="false" ht="49.5" hidden="false" customHeight="true" outlineLevel="0" collapsed="false">
      <c r="B518" s="37" t="str">
        <f aca="false">SUBSTITUTE(SUBSTITUTE(SUBSTITUTE(SUBSTITUTE(SUBSTITUTE(Txt_P2,"{cabinet}",Cab_Nom),"{societe}",IF($K$496=0,"",INDEX(Clients!$E$2:$E$501,$K$496)&amp;"")),"{date_effet}",$K$498),"{hausse}",$K$499),"{civilite}",$K$497)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18" s="37"/>
      <c r="D518" s="37"/>
      <c r="E518" s="37"/>
      <c r="F518" s="37"/>
      <c r="J518" s="25"/>
      <c r="K518" s="25"/>
      <c r="L518" s="25"/>
      <c r="M518" s="25"/>
      <c r="N518" s="25"/>
      <c r="O518" s="25"/>
    </row>
    <row r="519" customFormat="false" ht="63" hidden="false" customHeight="true" outlineLevel="0" collapsed="false">
      <c r="B519" s="37" t="str">
        <f aca="false">SUBSTITUTE(SUBSTITUTE(SUBSTITUTE(SUBSTITUTE(SUBSTITUTE(Txt_P3,"{cabinet}",Cab_Nom),"{societe}",IF($K$496=0,"",INDEX(Clients!$E$2:$E$501,$K$496)&amp;"")),"{date_effet}",$K$498),"{hausse}",$K$499),"{civilite}",$K$497)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19" s="37"/>
      <c r="D519" s="37"/>
      <c r="E519" s="37"/>
      <c r="F519" s="37"/>
      <c r="J519" s="25"/>
      <c r="K519" s="25"/>
      <c r="L519" s="25"/>
      <c r="M519" s="25"/>
      <c r="N519" s="25"/>
      <c r="O519" s="25"/>
    </row>
    <row r="520" customFormat="false" ht="24" hidden="false" customHeight="true" outlineLevel="0" collapsed="false">
      <c r="B520" s="37" t="str">
        <f aca="false">SUBSTITUTE(SUBSTITUTE(SUBSTITUTE(SUBSTITUTE(SUBSTITUTE(Txt_P4,"{cabinet}",Cab_Nom),"{societe}",IF($K$496=0,"",INDEX(Clients!$E$2:$E$501,$K$496)&amp;"")),"{date_effet}",$K$498),"{hausse}",$K$499),"{civilite}",$K$497)</f>
        <v>À compter du 1er janvier 2027, vos honoraires annuels hors taxes évolueront ainsi (évolution globale : ) :</v>
      </c>
      <c r="C520" s="37"/>
      <c r="D520" s="37"/>
      <c r="E520" s="37"/>
      <c r="F520" s="37"/>
      <c r="J520" s="25"/>
      <c r="K520" s="25"/>
      <c r="L520" s="25"/>
      <c r="M520" s="25"/>
      <c r="N520" s="25"/>
      <c r="O520" s="25"/>
    </row>
    <row r="521" customFormat="false" ht="3.75" hidden="false" customHeight="true" outlineLevel="0" collapsed="false">
      <c r="B521" s="10"/>
      <c r="C521" s="10"/>
      <c r="D521" s="10"/>
      <c r="E521" s="10"/>
      <c r="F521" s="10"/>
      <c r="J521" s="25"/>
      <c r="K521" s="25"/>
      <c r="L521" s="25"/>
      <c r="M521" s="25"/>
      <c r="N521" s="25"/>
      <c r="O521" s="25"/>
    </row>
    <row r="522" customFormat="false" ht="18" hidden="false" customHeight="true" outlineLevel="0" collapsed="false">
      <c r="B522" s="38" t="s">
        <v>148</v>
      </c>
      <c r="C522" s="39" t="s">
        <v>149</v>
      </c>
      <c r="D522" s="39" t="s">
        <v>150</v>
      </c>
      <c r="E522" s="39" t="s">
        <v>151</v>
      </c>
      <c r="F522" s="39" t="s">
        <v>109</v>
      </c>
      <c r="J522" s="25" t="s">
        <v>152</v>
      </c>
      <c r="K522" s="25" t="s">
        <v>153</v>
      </c>
      <c r="L522" s="25" t="s">
        <v>154</v>
      </c>
      <c r="M522" s="25" t="s">
        <v>155</v>
      </c>
      <c r="N522" s="25" t="s">
        <v>156</v>
      </c>
      <c r="O522" s="25" t="s">
        <v>157</v>
      </c>
    </row>
    <row r="523" customFormat="false" ht="16.5" hidden="false" customHeight="true" outlineLevel="0" collapsed="false">
      <c r="B523" s="40" t="str">
        <f aca="false">IFERROR(INDEX($J$523:$J$526,MATCH($O523,$N$523:$N$526,0)),"")</f>
        <v/>
      </c>
      <c r="C523" s="41" t="str">
        <f aca="false">IFERROR(INDEX($K$523:$K$526,MATCH($O523,$N$523:$N$526,0)),"")</f>
        <v/>
      </c>
      <c r="D523" s="42" t="str">
        <f aca="false">IF(OR(E523="",N(C523)=0),"",E523/C523-1)</f>
        <v/>
      </c>
      <c r="E523" s="41" t="str">
        <f aca="false">IFERROR(INDEX($L$523:$L$526,MATCH($O523,$N$523:$N$526,0)),"")</f>
        <v/>
      </c>
      <c r="F523" s="41" t="str">
        <f aca="false">IF(E523="","",E523-C523)</f>
        <v/>
      </c>
      <c r="J523" s="25" t="str">
        <f aca="false">Lib_Compta</f>
        <v>Mission comptable (tenue, révision, bilan, liasse fiscale)</v>
      </c>
      <c r="K523" s="25" t="n">
        <f aca="false">IF($K$496=0,0,N(INDEX(Clients!$K$2:$K$501,$K$496)))</f>
        <v>0</v>
      </c>
      <c r="L523" s="25" t="n">
        <f aca="false">IF($K$496=0,0,N(INDEX(Clients!$P$2:$P$501,$K$496)))</f>
        <v>0</v>
      </c>
      <c r="M523" s="25" t="n">
        <f aca="false">IF(OR(K523&lt;&gt;0,L523&lt;&gt;0),1,0)</f>
        <v>0</v>
      </c>
      <c r="N523" s="25" t="str">
        <f aca="false">IF(M523=1,SUM($M$523:M523),"")</f>
        <v/>
      </c>
      <c r="O523" s="25" t="n">
        <v>1</v>
      </c>
    </row>
    <row r="524" customFormat="false" ht="16.5" hidden="false" customHeight="true" outlineLevel="0" collapsed="false">
      <c r="B524" s="40" t="str">
        <f aca="false">IFERROR(INDEX($J$523:$J$526,MATCH($O524,$N$523:$N$526,0)),"")</f>
        <v/>
      </c>
      <c r="C524" s="41" t="str">
        <f aca="false">IFERROR(INDEX($K$523:$K$526,MATCH($O524,$N$523:$N$526,0)),"")</f>
        <v/>
      </c>
      <c r="D524" s="42" t="str">
        <f aca="false">IF(OR(E524="",N(C524)=0),"",E524/C524-1)</f>
        <v/>
      </c>
      <c r="E524" s="41" t="str">
        <f aca="false">IFERROR(INDEX($L$523:$L$526,MATCH($O524,$N$523:$N$526,0)),"")</f>
        <v/>
      </c>
      <c r="F524" s="41" t="str">
        <f aca="false">IF(E524="","",E524-C524)</f>
        <v/>
      </c>
      <c r="J524" s="25" t="str">
        <f aca="false">Lib_Paye</f>
        <v>Mission sociale (bulletins de paie, DSN, déclarations sociales)</v>
      </c>
      <c r="K524" s="25" t="n">
        <f aca="false">IF($K$496=0,0,N(INDEX(Clients!$L$2:$L$501,$K$496)))</f>
        <v>0</v>
      </c>
      <c r="L524" s="25" t="n">
        <f aca="false">IF($K$496=0,0,N(INDEX(Clients!$Q$2:$Q$501,$K$496)))</f>
        <v>0</v>
      </c>
      <c r="M524" s="25" t="n">
        <f aca="false">IF(OR(K524&lt;&gt;0,L524&lt;&gt;0),1,0)</f>
        <v>0</v>
      </c>
      <c r="N524" s="25" t="str">
        <f aca="false">IF(M524=1,SUM($M$523:M524),"")</f>
        <v/>
      </c>
      <c r="O524" s="25" t="n">
        <v>2</v>
      </c>
    </row>
    <row r="525" customFormat="false" ht="16.5" hidden="false" customHeight="true" outlineLevel="0" collapsed="false">
      <c r="B525" s="40" t="str">
        <f aca="false">IFERROR(INDEX($J$523:$J$526,MATCH($O525,$N$523:$N$526,0)),"")</f>
        <v/>
      </c>
      <c r="C525" s="41" t="str">
        <f aca="false">IFERROR(INDEX($K$523:$K$526,MATCH($O525,$N$523:$N$526,0)),"")</f>
        <v/>
      </c>
      <c r="D525" s="42" t="str">
        <f aca="false">IF(OR(E525="",N(C525)=0),"",E525/C525-1)</f>
        <v/>
      </c>
      <c r="E525" s="41" t="str">
        <f aca="false">IFERROR(INDEX($L$523:$L$526,MATCH($O525,$N$523:$N$526,0)),"")</f>
        <v/>
      </c>
      <c r="F525" s="41" t="str">
        <f aca="false">IF(E525="","",E525-C525)</f>
        <v/>
      </c>
      <c r="J525" s="25" t="str">
        <f aca="false">Lib_Jur</f>
        <v>Mission juridique (approbation des comptes, secrétariat juridique)</v>
      </c>
      <c r="K525" s="25" t="n">
        <f aca="false">IF($K$496=0,0,N(INDEX(Clients!$M$2:$M$501,$K$496)))</f>
        <v>0</v>
      </c>
      <c r="L525" s="25" t="n">
        <f aca="false">IF($K$496=0,0,N(INDEX(Clients!$R$2:$R$501,$K$496)))</f>
        <v>0</v>
      </c>
      <c r="M525" s="25" t="n">
        <f aca="false">IF(OR(K525&lt;&gt;0,L525&lt;&gt;0),1,0)</f>
        <v>0</v>
      </c>
      <c r="N525" s="25" t="str">
        <f aca="false">IF(M525=1,SUM($M$523:M525),"")</f>
        <v/>
      </c>
      <c r="O525" s="25" t="n">
        <v>3</v>
      </c>
    </row>
    <row r="526" customFormat="false" ht="16.5" hidden="false" customHeight="true" outlineLevel="0" collapsed="false">
      <c r="B526" s="40" t="str">
        <f aca="false">IFERROR(INDEX($J$523:$J$526,MATCH($O526,$N$523:$N$526,0)),"")</f>
        <v/>
      </c>
      <c r="C526" s="41" t="str">
        <f aca="false">IFERROR(INDEX($K$523:$K$526,MATCH($O526,$N$523:$N$526,0)),"")</f>
        <v/>
      </c>
      <c r="D526" s="42" t="str">
        <f aca="false">IF(OR(E526="",N(C526)=0),"",E526/C526-1)</f>
        <v/>
      </c>
      <c r="E526" s="41" t="str">
        <f aca="false">IFERROR(INDEX($L$523:$L$526,MATCH($O526,$N$523:$N$526,0)),"")</f>
        <v/>
      </c>
      <c r="F526" s="41" t="str">
        <f aca="false">IF(E526="","",E526-C526)</f>
        <v/>
      </c>
      <c r="J526" s="25" t="str">
        <f aca="false">Lib_PA</f>
        <v>Plateforme agréée – facturation électronique</v>
      </c>
      <c r="K526" s="25" t="n">
        <f aca="false">IF($K$496=0,0,N(INDEX(Clients!$N$2:$N$501,$K$496)))</f>
        <v>0</v>
      </c>
      <c r="L526" s="25" t="n">
        <f aca="false">IF($K$496=0,0,N(INDEX(Clients!$S$2:$S$501,$K$496)))</f>
        <v>0</v>
      </c>
      <c r="M526" s="25" t="n">
        <f aca="false">IF(OR(K526&lt;&gt;0,L526&lt;&gt;0),1,0)</f>
        <v>0</v>
      </c>
      <c r="N526" s="25" t="str">
        <f aca="false">IF(M526=1,SUM($M$523:M526),"")</f>
        <v/>
      </c>
      <c r="O526" s="25" t="n">
        <v>4</v>
      </c>
    </row>
    <row r="527" customFormat="false" ht="18" hidden="false" customHeight="true" outlineLevel="0" collapsed="false">
      <c r="B527" s="43" t="s">
        <v>158</v>
      </c>
      <c r="C527" s="44" t="n">
        <f aca="false">SUM(K523:K526)</f>
        <v>0</v>
      </c>
      <c r="D527" s="45" t="str">
        <f aca="false">IF(N(C527)=0,"",E527/C527-1)</f>
        <v/>
      </c>
      <c r="E527" s="44" t="n">
        <f aca="false">SUM(L523:L526)</f>
        <v>0</v>
      </c>
      <c r="F527" s="44" t="n">
        <f aca="false">E527-C527</f>
        <v>0</v>
      </c>
    </row>
    <row r="528" customFormat="false" ht="15" hidden="false" customHeight="false" outlineLevel="0" collapsed="false">
      <c r="B528" s="46" t="str">
        <f aca="false">IF(N(Nb_Mensualites)=0,"","Soit "&amp;FIXED(E527/Nb_Mensualites,2)&amp;" € HT par échéance ("&amp;Nb_Mensualites&amp;" échéances), "&amp;FIXED(E527/Nb_Mensualites*(1+Taux_TVA),2)&amp;" € TTC.")</f>
        <v>Soit 0.00 € HT par échéance (12 échéances), 0.00 € TTC.</v>
      </c>
      <c r="C528" s="46"/>
      <c r="D528" s="46"/>
      <c r="E528" s="46"/>
      <c r="F528" s="46"/>
    </row>
    <row r="529" customFormat="false" ht="7.5" hidden="false" customHeight="true" outlineLevel="0" collapsed="false">
      <c r="B529" s="10"/>
      <c r="C529" s="10"/>
      <c r="D529" s="10"/>
      <c r="E529" s="10"/>
      <c r="F529" s="10"/>
    </row>
    <row r="530" customFormat="false" ht="36.75" hidden="false" customHeight="true" outlineLevel="0" collapsed="false">
      <c r="B530" s="37" t="str">
        <f aca="false">SUBSTITUTE(SUBSTITUTE(SUBSTITUTE(SUBSTITUTE(SUBSTITUTE(Txt_P5,"{cabinet}",Cab_Nom),"{societe}",IF($K$496=0,"",INDEX(Clients!$E$2:$E$501,$K$496)&amp;"")),"{date_effet}",$K$498),"{hausse}",$K$499),"{civilite}",$K$497)</f>
        <v>Les autres conditions de votre lettre de mission demeurent inchangées. Les nouveaux montants seront appliqués automatiquement sur vos prochaines factures et échéances de prélèvement.</v>
      </c>
      <c r="C530" s="37"/>
      <c r="D530" s="37"/>
      <c r="E530" s="37"/>
      <c r="F530" s="37"/>
    </row>
    <row r="531" customFormat="false" ht="36.75" hidden="false" customHeight="true" outlineLevel="0" collapsed="false">
      <c r="B531" s="37" t="str">
        <f aca="false">SUBSTITUTE(SUBSTITUTE(SUBSTITUTE(SUBSTITUTE(SUBSTITUTE(Txt_P6,"{cabinet}",Cab_Nom),"{societe}",IF($K$496=0,"",INDEX(Clients!$E$2:$E$501,$K$496)&amp;"")),"{date_effet}",$K$498),"{hausse}",$K$499),"{civilite}",$K$497)</f>
        <v>Votre interlocuteur habituel reste à votre entière disposition pour répondre à vos questions et faire le point sur l'évolution de vos besoins.</v>
      </c>
      <c r="C531" s="37"/>
      <c r="D531" s="37"/>
      <c r="E531" s="37"/>
      <c r="F531" s="37"/>
    </row>
    <row r="532" customFormat="false" ht="24" hidden="false" customHeight="true" outlineLevel="0" collapsed="false">
      <c r="B532" s="37" t="str">
        <f aca="false">SUBSTITUTE(SUBSTITUTE(SUBSTITUTE(SUBSTITUTE(SUBSTITUTE(Txt_Politesse,"{cabinet}",Cab_Nom),"{societe}",IF($K$496=0,"",INDEX(Clients!$E$2:$E$501,$K$496)&amp;"")),"{date_effet}",$K$498),"{hausse}",$K$499),"{civilite}",$K$497)</f>
        <v>Nous vous prions d'agréer, Madame, Monsieur, l'expression de nos salutations distinguées.</v>
      </c>
      <c r="C532" s="37"/>
      <c r="D532" s="37"/>
      <c r="E532" s="37"/>
      <c r="F532" s="37"/>
    </row>
    <row r="533" customFormat="false" ht="15" hidden="false" customHeight="false" outlineLevel="0" collapsed="false">
      <c r="B533" s="10"/>
      <c r="C533" s="10"/>
      <c r="D533" s="10"/>
      <c r="E533" s="10"/>
      <c r="F533" s="10"/>
    </row>
    <row r="534" customFormat="false" ht="15" hidden="false" customHeight="false" outlineLevel="0" collapsed="false">
      <c r="B534" s="10"/>
      <c r="C534" s="10"/>
      <c r="D534" s="34" t="str">
        <f aca="false">Signataire</f>
        <v>Prénom NOM</v>
      </c>
      <c r="E534" s="34"/>
      <c r="F534" s="34"/>
    </row>
    <row r="535" customFormat="false" ht="15" hidden="false" customHeight="false" outlineLevel="0" collapsed="false">
      <c r="B535" s="10"/>
      <c r="C535" s="10"/>
      <c r="D535" s="47" t="str">
        <f aca="false">Signataire_Titre</f>
        <v>Expert-comptable associé</v>
      </c>
      <c r="E535" s="47"/>
      <c r="F535" s="47"/>
    </row>
    <row r="536" customFormat="false" ht="15.75" hidden="false" customHeight="true" outlineLevel="0" collapsed="false">
      <c r="B536" s="10"/>
      <c r="C536" s="10"/>
      <c r="D536" s="10"/>
      <c r="E536" s="10"/>
      <c r="F536" s="10"/>
    </row>
    <row r="537" customFormat="false" ht="15.75" hidden="false" customHeight="true" outlineLevel="0" collapsed="false">
      <c r="B537" s="10"/>
      <c r="C537" s="10"/>
      <c r="D537" s="10"/>
      <c r="E537" s="10"/>
      <c r="F537" s="10"/>
    </row>
    <row r="538" customFormat="false" ht="15.75" hidden="false" customHeight="true" outlineLevel="0" collapsed="false">
      <c r="B538" s="10"/>
      <c r="C538" s="10"/>
      <c r="D538" s="10"/>
      <c r="E538" s="10"/>
      <c r="F538" s="10"/>
    </row>
    <row r="539" customFormat="false" ht="15.75" hidden="false" customHeight="true" outlineLevel="0" collapsed="false">
      <c r="B539" s="10"/>
      <c r="C539" s="10"/>
      <c r="D539" s="10"/>
      <c r="E539" s="10"/>
      <c r="F539" s="10"/>
    </row>
    <row r="540" customFormat="false" ht="24" hidden="false" customHeight="true" outlineLevel="0" collapsed="false">
      <c r="B540" s="48" t="str">
        <f aca="false">Cab_Mentions</f>
        <v>ALTHO EXPERTISE · SAS au capital de 10 000 € · RCS Pontoise 919 706 325 · TVA FR62919706325 · Société d'expertise comptable inscrite au Tableau de l'Ordre des experts-comptables de Paris Île-de-France</v>
      </c>
      <c r="C540" s="48"/>
      <c r="D540" s="48"/>
      <c r="E540" s="48"/>
      <c r="F540" s="48"/>
    </row>
    <row r="541" customFormat="false" ht="15" hidden="false" customHeight="false" outlineLevel="0" collapsed="false">
      <c r="B541" s="10"/>
      <c r="C541" s="10"/>
      <c r="D541" s="10"/>
      <c r="E541" s="10"/>
      <c r="F541" s="10"/>
      <c r="J541" s="25" t="s">
        <v>142</v>
      </c>
      <c r="K541" s="25" t="n">
        <f aca="false">IFERROR(MATCH(13,Clients!$Z$2:$Z$501,0),0)</f>
        <v>0</v>
      </c>
      <c r="L541" s="25"/>
      <c r="M541" s="25"/>
      <c r="N541" s="25"/>
      <c r="O541" s="25"/>
    </row>
    <row r="542" customFormat="false" ht="21.75" hidden="false" customHeight="true" outlineLevel="0" collapsed="false">
      <c r="B542" s="26" t="str">
        <f aca="false">Cab_Nom</f>
        <v>ALTHO EXPERTISE</v>
      </c>
      <c r="C542" s="26"/>
      <c r="D542" s="10"/>
      <c r="E542" s="27" t="str">
        <f aca="false">IF($K$541=0,"","Réf. client : "&amp;INDEX(Clients!$A$2:$A$501,$K$541))</f>
        <v/>
      </c>
      <c r="F542" s="27"/>
      <c r="J542" s="25" t="s">
        <v>144</v>
      </c>
      <c r="K542" s="25" t="str">
        <f aca="false">IF(IF($K$541=0,"",INDEX(Clients!$B$2:$B$501,$K$541)&amp;"")="Mme","Madame",IF(IF($K$541=0,"",INDEX(Clients!$B$2:$B$501,$K$541)&amp;"")="M.","Monsieur","Madame, Monsieur"))</f>
        <v>Madame, Monsieur</v>
      </c>
      <c r="L542" s="25"/>
      <c r="M542" s="25"/>
      <c r="N542" s="25"/>
      <c r="O542" s="25"/>
    </row>
    <row r="543" customFormat="false" ht="15" hidden="false" customHeight="false" outlineLevel="0" collapsed="false">
      <c r="B543" s="29" t="str">
        <f aca="false">Cab_Adr1</f>
        <v>141 rue Charles de Gaulle</v>
      </c>
      <c r="C543" s="29"/>
      <c r="D543" s="10"/>
      <c r="E543" s="10"/>
      <c r="F543" s="10"/>
      <c r="J543" s="25" t="s">
        <v>145</v>
      </c>
      <c r="K543" s="25" t="str">
        <f aca="false">DAY(Date_Effet)&amp;IF(DAY(Date_Effet)=1,"er","")&amp;" "&amp;INDEX(Liste_Mois,MONTH(Date_Effet))&amp;" "&amp;YEAR(Date_Effet)</f>
        <v>1er janvier 2027</v>
      </c>
      <c r="L543" s="25"/>
      <c r="M543" s="25"/>
      <c r="N543" s="25"/>
      <c r="O543" s="25"/>
    </row>
    <row r="544" customFormat="false" ht="15" hidden="false" customHeight="false" outlineLevel="0" collapsed="false">
      <c r="B544" s="29" t="str">
        <f aca="false">Cab_CPVille</f>
        <v>95130 LE PLESSIS-BOUCHARD</v>
      </c>
      <c r="C544" s="29"/>
      <c r="D544" s="10"/>
      <c r="E544" s="10"/>
      <c r="F544" s="10"/>
      <c r="J544" s="25" t="s">
        <v>146</v>
      </c>
      <c r="K544" s="25" t="str">
        <f aca="false">IF(SUM($K$568:$K$571)=0,"",FIXED((SUM($L$568:$L$571)/SUM($K$568:$K$571)-1)*100,1)&amp;" %")</f>
        <v/>
      </c>
      <c r="L544" s="25"/>
      <c r="M544" s="25"/>
      <c r="N544" s="25"/>
      <c r="O544" s="25"/>
    </row>
    <row r="545" customFormat="false" ht="15" hidden="false" customHeight="false" outlineLevel="0" collapsed="false">
      <c r="B545" s="29" t="str">
        <f aca="false">Cab_Contact</f>
        <v>Tél. 01 34 14 53 45  ·  altho@altho-experts.com  ·  altho-experts.com</v>
      </c>
      <c r="C545" s="29"/>
      <c r="D545" s="10"/>
      <c r="E545" s="10"/>
      <c r="F545" s="10"/>
      <c r="J545" s="25"/>
      <c r="K545" s="25"/>
      <c r="L545" s="25"/>
      <c r="M545" s="25"/>
      <c r="N545" s="25"/>
      <c r="O545" s="25"/>
    </row>
    <row r="546" customFormat="false" ht="6" hidden="false" customHeight="true" outlineLevel="0" collapsed="false">
      <c r="B546" s="32"/>
      <c r="C546" s="32"/>
      <c r="D546" s="32"/>
      <c r="E546" s="32"/>
      <c r="F546" s="32"/>
      <c r="J546" s="25"/>
      <c r="K546" s="25"/>
      <c r="L546" s="25"/>
      <c r="M546" s="25"/>
      <c r="N546" s="25"/>
      <c r="O546" s="25"/>
    </row>
    <row r="547" customFormat="false" ht="13.5" hidden="false" customHeight="true" outlineLevel="0" collapsed="false">
      <c r="B547" s="10"/>
      <c r="C547" s="10"/>
      <c r="D547" s="10"/>
      <c r="E547" s="10"/>
      <c r="F547" s="10"/>
      <c r="J547" s="25"/>
      <c r="K547" s="25"/>
      <c r="L547" s="25"/>
      <c r="M547" s="25"/>
      <c r="N547" s="25"/>
      <c r="O547" s="25"/>
    </row>
    <row r="548" customFormat="false" ht="13.5" hidden="false" customHeight="true" outlineLevel="0" collapsed="false">
      <c r="B548" s="10"/>
      <c r="C548" s="10"/>
      <c r="D548" s="10"/>
      <c r="E548" s="10"/>
      <c r="F548" s="10"/>
      <c r="J548" s="25"/>
      <c r="K548" s="25"/>
      <c r="L548" s="25"/>
      <c r="M548" s="25"/>
      <c r="N548" s="25"/>
      <c r="O548" s="25"/>
    </row>
    <row r="549" customFormat="false" ht="13.5" hidden="false" customHeight="true" outlineLevel="0" collapsed="false">
      <c r="B549" s="10"/>
      <c r="C549" s="10"/>
      <c r="D549" s="10"/>
      <c r="E549" s="10"/>
      <c r="F549" s="10"/>
      <c r="J549" s="25"/>
      <c r="K549" s="25"/>
      <c r="L549" s="25"/>
      <c r="M549" s="25"/>
      <c r="N549" s="25"/>
      <c r="O549" s="25"/>
    </row>
    <row r="550" customFormat="false" ht="15" hidden="false" customHeight="true" outlineLevel="0" collapsed="false">
      <c r="B550" s="10"/>
      <c r="C550" s="10"/>
      <c r="D550" s="34" t="str">
        <f aca="false">IF($K$541=0,"",INDEX(Clients!$E$2:$E$501,$K$541)&amp;"")</f>
        <v/>
      </c>
      <c r="E550" s="34"/>
      <c r="F550" s="34"/>
      <c r="J550" s="25"/>
      <c r="K550" s="25"/>
      <c r="L550" s="25"/>
      <c r="M550" s="25"/>
      <c r="N550" s="25"/>
      <c r="O550" s="25"/>
    </row>
    <row r="551" customFormat="false" ht="15" hidden="false" customHeight="true" outlineLevel="0" collapsed="false">
      <c r="B551" s="10"/>
      <c r="C551" s="10"/>
      <c r="D551" s="35" t="str">
        <f aca="false">IF(IF($K$541=0,"",INDEX(Clients!$D$2:$D$501,$K$541)&amp;"")="","","À l'attention de "&amp;TRIM(IF($K$541=0,"",INDEX(Clients!$B$2:$B$501,$K$541)&amp;"")&amp;" "&amp;IF($K$541=0,"",INDEX(Clients!$C$2:$C$501,$K$541)&amp;"")&amp;" "&amp;IF($K$541=0,"",INDEX(Clients!$D$2:$D$501,$K$541)&amp;"")))</f>
        <v/>
      </c>
      <c r="E551" s="35"/>
      <c r="F551" s="35"/>
      <c r="J551" s="25"/>
      <c r="K551" s="25"/>
      <c r="L551" s="25"/>
      <c r="M551" s="25"/>
      <c r="N551" s="25"/>
      <c r="O551" s="25"/>
    </row>
    <row r="552" customFormat="false" ht="15" hidden="false" customHeight="true" outlineLevel="0" collapsed="false">
      <c r="B552" s="10"/>
      <c r="C552" s="10"/>
      <c r="D552" s="35" t="str">
        <f aca="false">IF($K$541=0,"",INDEX(Clients!$F$2:$F$501,$K$541)&amp;"")</f>
        <v/>
      </c>
      <c r="E552" s="35"/>
      <c r="F552" s="35"/>
      <c r="J552" s="25"/>
      <c r="K552" s="25"/>
      <c r="L552" s="25"/>
      <c r="M552" s="25"/>
      <c r="N552" s="25"/>
      <c r="O552" s="25"/>
    </row>
    <row r="553" customFormat="false" ht="15" hidden="false" customHeight="true" outlineLevel="0" collapsed="false">
      <c r="B553" s="10"/>
      <c r="C553" s="10"/>
      <c r="D553" s="35" t="str">
        <f aca="false">IF(IF($K$541=0,"",INDEX(Clients!$G$2:$G$501,$K$541)&amp;"")="",TRIM(IF($K$541=0,"",INDEX(Clients!$H$2:$H$501,$K$541)&amp;"")&amp;" "&amp;UPPER(IF($K$541=0,"",INDEX(Clients!$I$2:$I$501,$K$541)&amp;""))),IF($K$541=0,"",INDEX(Clients!$G$2:$G$501,$K$541)&amp;""))</f>
        <v/>
      </c>
      <c r="E553" s="35"/>
      <c r="F553" s="35"/>
      <c r="J553" s="25"/>
      <c r="K553" s="25"/>
      <c r="L553" s="25"/>
      <c r="M553" s="25"/>
      <c r="N553" s="25"/>
      <c r="O553" s="25"/>
    </row>
    <row r="554" customFormat="false" ht="15" hidden="false" customHeight="true" outlineLevel="0" collapsed="false">
      <c r="B554" s="10"/>
      <c r="C554" s="10"/>
      <c r="D554" s="35" t="str">
        <f aca="false">IF(IF($K$541=0,"",INDEX(Clients!$G$2:$G$501,$K$541)&amp;"")="","",TRIM(IF($K$541=0,"",INDEX(Clients!$H$2:$H$501,$K$541)&amp;"")&amp;" "&amp;UPPER(IF($K$541=0,"",INDEX(Clients!$I$2:$I$501,$K$541)&amp;""))))</f>
        <v/>
      </c>
      <c r="E554" s="35"/>
      <c r="F554" s="35"/>
      <c r="J554" s="25"/>
      <c r="K554" s="25"/>
      <c r="L554" s="25"/>
      <c r="M554" s="25"/>
      <c r="N554" s="25"/>
      <c r="O554" s="25"/>
    </row>
    <row r="555" customFormat="false" ht="25.5" hidden="false" customHeight="true" outlineLevel="0" collapsed="false">
      <c r="B555" s="10"/>
      <c r="C555" s="10"/>
      <c r="D555" s="10"/>
      <c r="E555" s="10"/>
      <c r="F555" s="10"/>
      <c r="J555" s="25"/>
      <c r="K555" s="25"/>
      <c r="L555" s="25"/>
      <c r="M555" s="25"/>
      <c r="N555" s="25"/>
      <c r="O555" s="25"/>
    </row>
    <row r="556" customFormat="false" ht="15" hidden="false" customHeight="false" outlineLevel="0" collapsed="false">
      <c r="B556" s="10"/>
      <c r="C556" s="10"/>
      <c r="D556" s="36" t="str">
        <f aca="false">Cab_Ville&amp;", le "&amp;DAY(Date_Courrier)&amp;IF(DAY(Date_Courrier)=1,"er","")&amp;" "&amp;INDEX(Liste_Mois,MONTH(Date_Courrier))&amp;" "&amp;YEAR(Date_Courrier)</f>
        <v>Le Plessis-Bouchard, le 22 septembre 2026</v>
      </c>
      <c r="E556" s="36"/>
      <c r="F556" s="36"/>
      <c r="J556" s="25"/>
      <c r="K556" s="25"/>
      <c r="L556" s="25"/>
      <c r="M556" s="25"/>
      <c r="N556" s="25"/>
      <c r="O556" s="25"/>
    </row>
    <row r="557" customFormat="false" ht="19.5" hidden="false" customHeight="true" outlineLevel="0" collapsed="false">
      <c r="B557" s="10"/>
      <c r="C557" s="10"/>
      <c r="D557" s="10"/>
      <c r="E557" s="10"/>
      <c r="F557" s="10"/>
      <c r="J557" s="25"/>
      <c r="K557" s="25"/>
      <c r="L557" s="25"/>
      <c r="M557" s="25"/>
      <c r="N557" s="25"/>
      <c r="O557" s="25"/>
    </row>
    <row r="558" customFormat="false" ht="15" hidden="false" customHeight="false" outlineLevel="0" collapsed="false">
      <c r="B558" s="34" t="str">
        <f aca="false">SUBSTITUTE(SUBSTITUTE(SUBSTITUTE(SUBSTITUTE(SUBSTITUTE(Txt_Objet,"{cabinet}",Cab_Nom),"{societe}",IF($K$541=0,"",INDEX(Clients!$E$2:$E$501,$K$541)&amp;"")),"{date_effet}",$K$543),"{hausse}",$K$544),"{civilite}",$K$542)</f>
        <v>Objet : révision de nos honoraires au 1er janvier 2027</v>
      </c>
      <c r="C558" s="34"/>
      <c r="D558" s="34"/>
      <c r="E558" s="34"/>
      <c r="F558" s="34"/>
      <c r="J558" s="25"/>
      <c r="K558" s="25"/>
      <c r="L558" s="25"/>
      <c r="M558" s="25"/>
      <c r="N558" s="25"/>
      <c r="O558" s="25"/>
    </row>
    <row r="559" customFormat="false" ht="13.5" hidden="false" customHeight="true" outlineLevel="0" collapsed="false">
      <c r="B559" s="10"/>
      <c r="C559" s="10"/>
      <c r="D559" s="10"/>
      <c r="E559" s="10"/>
      <c r="F559" s="10"/>
      <c r="J559" s="25"/>
      <c r="K559" s="25"/>
      <c r="L559" s="25"/>
      <c r="M559" s="25"/>
      <c r="N559" s="25"/>
      <c r="O559" s="25"/>
    </row>
    <row r="560" customFormat="false" ht="15" hidden="false" customHeight="false" outlineLevel="0" collapsed="false">
      <c r="B560" s="10" t="str">
        <f aca="false">$K$542&amp;","</f>
        <v>Madame, Monsieur,</v>
      </c>
      <c r="C560" s="10"/>
      <c r="D560" s="10"/>
      <c r="E560" s="10"/>
      <c r="F560" s="10"/>
      <c r="J560" s="25"/>
      <c r="K560" s="25"/>
      <c r="L560" s="25"/>
      <c r="M560" s="25"/>
      <c r="N560" s="25"/>
      <c r="O560" s="25"/>
    </row>
    <row r="561" customFormat="false" ht="6" hidden="false" customHeight="true" outlineLevel="0" collapsed="false">
      <c r="B561" s="10"/>
      <c r="C561" s="10"/>
      <c r="D561" s="10"/>
      <c r="E561" s="10"/>
      <c r="F561" s="10"/>
      <c r="J561" s="25"/>
      <c r="K561" s="25"/>
      <c r="L561" s="25"/>
      <c r="M561" s="25"/>
      <c r="N561" s="25"/>
      <c r="O561" s="25"/>
    </row>
    <row r="562" customFormat="false" ht="36.75" hidden="false" customHeight="true" outlineLevel="0" collapsed="false">
      <c r="B562" s="37" t="str">
        <f aca="false">SUBSTITUTE(SUBSTITUTE(SUBSTITUTE(SUBSTITUTE(SUBSTITUTE(Txt_P1,"{cabinet}",Cab_Nom),"{societe}",IF($K$541=0,"",INDEX(Clients!$E$2:$E$501,$K$541)&amp;"")),"{date_effet}",$K$543),"{hausse}",$K$544),"{civilite}",$K$542)</f>
        <v>Nous tenons tout d'abord à vous remercier pour la confiance que vous accordez à ALTHO EXPERTISE. Comme chaque année, et conformément aux dispositions de votre lettre de mission, nous procédons à la révision de nos honoraires.</v>
      </c>
      <c r="C562" s="37"/>
      <c r="D562" s="37"/>
      <c r="E562" s="37"/>
      <c r="F562" s="37"/>
      <c r="J562" s="25"/>
      <c r="K562" s="25"/>
      <c r="L562" s="25"/>
      <c r="M562" s="25"/>
      <c r="N562" s="25"/>
      <c r="O562" s="25"/>
    </row>
    <row r="563" customFormat="false" ht="49.5" hidden="false" customHeight="true" outlineLevel="0" collapsed="false">
      <c r="B563" s="37" t="str">
        <f aca="false">SUBSTITUTE(SUBSTITUTE(SUBSTITUTE(SUBSTITUTE(SUBSTITUTE(Txt_P2,"{cabinet}",Cab_Nom),"{societe}",IF($K$541=0,"",INDEX(Clients!$E$2:$E$501,$K$541)&amp;"")),"{date_effet}",$K$543),"{hausse}",$K$544),"{civilite}",$K$542)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63" s="37"/>
      <c r="D563" s="37"/>
      <c r="E563" s="37"/>
      <c r="F563" s="37"/>
      <c r="J563" s="25"/>
      <c r="K563" s="25"/>
      <c r="L563" s="25"/>
      <c r="M563" s="25"/>
      <c r="N563" s="25"/>
      <c r="O563" s="25"/>
    </row>
    <row r="564" customFormat="false" ht="63" hidden="false" customHeight="true" outlineLevel="0" collapsed="false">
      <c r="B564" s="37" t="str">
        <f aca="false">SUBSTITUTE(SUBSTITUTE(SUBSTITUTE(SUBSTITUTE(SUBSTITUTE(Txt_P3,"{cabinet}",Cab_Nom),"{societe}",IF($K$541=0,"",INDEX(Clients!$E$2:$E$501,$K$541)&amp;"")),"{date_effet}",$K$543),"{hausse}",$K$544),"{civilite}",$K$542)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64" s="37"/>
      <c r="D564" s="37"/>
      <c r="E564" s="37"/>
      <c r="F564" s="37"/>
      <c r="J564" s="25"/>
      <c r="K564" s="25"/>
      <c r="L564" s="25"/>
      <c r="M564" s="25"/>
      <c r="N564" s="25"/>
      <c r="O564" s="25"/>
    </row>
    <row r="565" customFormat="false" ht="24" hidden="false" customHeight="true" outlineLevel="0" collapsed="false">
      <c r="B565" s="37" t="str">
        <f aca="false">SUBSTITUTE(SUBSTITUTE(SUBSTITUTE(SUBSTITUTE(SUBSTITUTE(Txt_P4,"{cabinet}",Cab_Nom),"{societe}",IF($K$541=0,"",INDEX(Clients!$E$2:$E$501,$K$541)&amp;"")),"{date_effet}",$K$543),"{hausse}",$K$544),"{civilite}",$K$542)</f>
        <v>À compter du 1er janvier 2027, vos honoraires annuels hors taxes évolueront ainsi (évolution globale : ) :</v>
      </c>
      <c r="C565" s="37"/>
      <c r="D565" s="37"/>
      <c r="E565" s="37"/>
      <c r="F565" s="37"/>
      <c r="J565" s="25"/>
      <c r="K565" s="25"/>
      <c r="L565" s="25"/>
      <c r="M565" s="25"/>
      <c r="N565" s="25"/>
      <c r="O565" s="25"/>
    </row>
    <row r="566" customFormat="false" ht="3.75" hidden="false" customHeight="true" outlineLevel="0" collapsed="false">
      <c r="B566" s="10"/>
      <c r="C566" s="10"/>
      <c r="D566" s="10"/>
      <c r="E566" s="10"/>
      <c r="F566" s="10"/>
      <c r="J566" s="25"/>
      <c r="K566" s="25"/>
      <c r="L566" s="25"/>
      <c r="M566" s="25"/>
      <c r="N566" s="25"/>
      <c r="O566" s="25"/>
    </row>
    <row r="567" customFormat="false" ht="18" hidden="false" customHeight="true" outlineLevel="0" collapsed="false">
      <c r="B567" s="38" t="s">
        <v>148</v>
      </c>
      <c r="C567" s="39" t="s">
        <v>149</v>
      </c>
      <c r="D567" s="39" t="s">
        <v>150</v>
      </c>
      <c r="E567" s="39" t="s">
        <v>151</v>
      </c>
      <c r="F567" s="39" t="s">
        <v>109</v>
      </c>
      <c r="J567" s="25" t="s">
        <v>152</v>
      </c>
      <c r="K567" s="25" t="s">
        <v>153</v>
      </c>
      <c r="L567" s="25" t="s">
        <v>154</v>
      </c>
      <c r="M567" s="25" t="s">
        <v>155</v>
      </c>
      <c r="N567" s="25" t="s">
        <v>156</v>
      </c>
      <c r="O567" s="25" t="s">
        <v>157</v>
      </c>
    </row>
    <row r="568" customFormat="false" ht="16.5" hidden="false" customHeight="true" outlineLevel="0" collapsed="false">
      <c r="B568" s="40" t="str">
        <f aca="false">IFERROR(INDEX($J$568:$J$571,MATCH($O568,$N$568:$N$571,0)),"")</f>
        <v/>
      </c>
      <c r="C568" s="41" t="str">
        <f aca="false">IFERROR(INDEX($K$568:$K$571,MATCH($O568,$N$568:$N$571,0)),"")</f>
        <v/>
      </c>
      <c r="D568" s="42" t="str">
        <f aca="false">IF(OR(E568="",N(C568)=0),"",E568/C568-1)</f>
        <v/>
      </c>
      <c r="E568" s="41" t="str">
        <f aca="false">IFERROR(INDEX($L$568:$L$571,MATCH($O568,$N$568:$N$571,0)),"")</f>
        <v/>
      </c>
      <c r="F568" s="41" t="str">
        <f aca="false">IF(E568="","",E568-C568)</f>
        <v/>
      </c>
      <c r="J568" s="25" t="str">
        <f aca="false">Lib_Compta</f>
        <v>Mission comptable (tenue, révision, bilan, liasse fiscale)</v>
      </c>
      <c r="K568" s="25" t="n">
        <f aca="false">IF($K$541=0,0,N(INDEX(Clients!$K$2:$K$501,$K$541)))</f>
        <v>0</v>
      </c>
      <c r="L568" s="25" t="n">
        <f aca="false">IF($K$541=0,0,N(INDEX(Clients!$P$2:$P$501,$K$541)))</f>
        <v>0</v>
      </c>
      <c r="M568" s="25" t="n">
        <f aca="false">IF(OR(K568&lt;&gt;0,L568&lt;&gt;0),1,0)</f>
        <v>0</v>
      </c>
      <c r="N568" s="25" t="str">
        <f aca="false">IF(M568=1,SUM($M$568:M568),"")</f>
        <v/>
      </c>
      <c r="O568" s="25" t="n">
        <v>1</v>
      </c>
    </row>
    <row r="569" customFormat="false" ht="16.5" hidden="false" customHeight="true" outlineLevel="0" collapsed="false">
      <c r="B569" s="40" t="str">
        <f aca="false">IFERROR(INDEX($J$568:$J$571,MATCH($O569,$N$568:$N$571,0)),"")</f>
        <v/>
      </c>
      <c r="C569" s="41" t="str">
        <f aca="false">IFERROR(INDEX($K$568:$K$571,MATCH($O569,$N$568:$N$571,0)),"")</f>
        <v/>
      </c>
      <c r="D569" s="42" t="str">
        <f aca="false">IF(OR(E569="",N(C569)=0),"",E569/C569-1)</f>
        <v/>
      </c>
      <c r="E569" s="41" t="str">
        <f aca="false">IFERROR(INDEX($L$568:$L$571,MATCH($O569,$N$568:$N$571,0)),"")</f>
        <v/>
      </c>
      <c r="F569" s="41" t="str">
        <f aca="false">IF(E569="","",E569-C569)</f>
        <v/>
      </c>
      <c r="J569" s="25" t="str">
        <f aca="false">Lib_Paye</f>
        <v>Mission sociale (bulletins de paie, DSN, déclarations sociales)</v>
      </c>
      <c r="K569" s="25" t="n">
        <f aca="false">IF($K$541=0,0,N(INDEX(Clients!$L$2:$L$501,$K$541)))</f>
        <v>0</v>
      </c>
      <c r="L569" s="25" t="n">
        <f aca="false">IF($K$541=0,0,N(INDEX(Clients!$Q$2:$Q$501,$K$541)))</f>
        <v>0</v>
      </c>
      <c r="M569" s="25" t="n">
        <f aca="false">IF(OR(K569&lt;&gt;0,L569&lt;&gt;0),1,0)</f>
        <v>0</v>
      </c>
      <c r="N569" s="25" t="str">
        <f aca="false">IF(M569=1,SUM($M$568:M569),"")</f>
        <v/>
      </c>
      <c r="O569" s="25" t="n">
        <v>2</v>
      </c>
    </row>
    <row r="570" customFormat="false" ht="16.5" hidden="false" customHeight="true" outlineLevel="0" collapsed="false">
      <c r="B570" s="40" t="str">
        <f aca="false">IFERROR(INDEX($J$568:$J$571,MATCH($O570,$N$568:$N$571,0)),"")</f>
        <v/>
      </c>
      <c r="C570" s="41" t="str">
        <f aca="false">IFERROR(INDEX($K$568:$K$571,MATCH($O570,$N$568:$N$571,0)),"")</f>
        <v/>
      </c>
      <c r="D570" s="42" t="str">
        <f aca="false">IF(OR(E570="",N(C570)=0),"",E570/C570-1)</f>
        <v/>
      </c>
      <c r="E570" s="41" t="str">
        <f aca="false">IFERROR(INDEX($L$568:$L$571,MATCH($O570,$N$568:$N$571,0)),"")</f>
        <v/>
      </c>
      <c r="F570" s="41" t="str">
        <f aca="false">IF(E570="","",E570-C570)</f>
        <v/>
      </c>
      <c r="J570" s="25" t="str">
        <f aca="false">Lib_Jur</f>
        <v>Mission juridique (approbation des comptes, secrétariat juridique)</v>
      </c>
      <c r="K570" s="25" t="n">
        <f aca="false">IF($K$541=0,0,N(INDEX(Clients!$M$2:$M$501,$K$541)))</f>
        <v>0</v>
      </c>
      <c r="L570" s="25" t="n">
        <f aca="false">IF($K$541=0,0,N(INDEX(Clients!$R$2:$R$501,$K$541)))</f>
        <v>0</v>
      </c>
      <c r="M570" s="25" t="n">
        <f aca="false">IF(OR(K570&lt;&gt;0,L570&lt;&gt;0),1,0)</f>
        <v>0</v>
      </c>
      <c r="N570" s="25" t="str">
        <f aca="false">IF(M570=1,SUM($M$568:M570),"")</f>
        <v/>
      </c>
      <c r="O570" s="25" t="n">
        <v>3</v>
      </c>
    </row>
    <row r="571" customFormat="false" ht="16.5" hidden="false" customHeight="true" outlineLevel="0" collapsed="false">
      <c r="B571" s="40" t="str">
        <f aca="false">IFERROR(INDEX($J$568:$J$571,MATCH($O571,$N$568:$N$571,0)),"")</f>
        <v/>
      </c>
      <c r="C571" s="41" t="str">
        <f aca="false">IFERROR(INDEX($K$568:$K$571,MATCH($O571,$N$568:$N$571,0)),"")</f>
        <v/>
      </c>
      <c r="D571" s="42" t="str">
        <f aca="false">IF(OR(E571="",N(C571)=0),"",E571/C571-1)</f>
        <v/>
      </c>
      <c r="E571" s="41" t="str">
        <f aca="false">IFERROR(INDEX($L$568:$L$571,MATCH($O571,$N$568:$N$571,0)),"")</f>
        <v/>
      </c>
      <c r="F571" s="41" t="str">
        <f aca="false">IF(E571="","",E571-C571)</f>
        <v/>
      </c>
      <c r="J571" s="25" t="str">
        <f aca="false">Lib_PA</f>
        <v>Plateforme agréée – facturation électronique</v>
      </c>
      <c r="K571" s="25" t="n">
        <f aca="false">IF($K$541=0,0,N(INDEX(Clients!$N$2:$N$501,$K$541)))</f>
        <v>0</v>
      </c>
      <c r="L571" s="25" t="n">
        <f aca="false">IF($K$541=0,0,N(INDEX(Clients!$S$2:$S$501,$K$541)))</f>
        <v>0</v>
      </c>
      <c r="M571" s="25" t="n">
        <f aca="false">IF(OR(K571&lt;&gt;0,L571&lt;&gt;0),1,0)</f>
        <v>0</v>
      </c>
      <c r="N571" s="25" t="str">
        <f aca="false">IF(M571=1,SUM($M$568:M571),"")</f>
        <v/>
      </c>
      <c r="O571" s="25" t="n">
        <v>4</v>
      </c>
    </row>
    <row r="572" customFormat="false" ht="18" hidden="false" customHeight="true" outlineLevel="0" collapsed="false">
      <c r="B572" s="43" t="s">
        <v>158</v>
      </c>
      <c r="C572" s="44" t="n">
        <f aca="false">SUM(K568:K571)</f>
        <v>0</v>
      </c>
      <c r="D572" s="45" t="str">
        <f aca="false">IF(N(C572)=0,"",E572/C572-1)</f>
        <v/>
      </c>
      <c r="E572" s="44" t="n">
        <f aca="false">SUM(L568:L571)</f>
        <v>0</v>
      </c>
      <c r="F572" s="44" t="n">
        <f aca="false">E572-C572</f>
        <v>0</v>
      </c>
    </row>
    <row r="573" customFormat="false" ht="15" hidden="false" customHeight="false" outlineLevel="0" collapsed="false">
      <c r="B573" s="46" t="str">
        <f aca="false">IF(N(Nb_Mensualites)=0,"","Soit "&amp;FIXED(E572/Nb_Mensualites,2)&amp;" € HT par échéance ("&amp;Nb_Mensualites&amp;" échéances), "&amp;FIXED(E572/Nb_Mensualites*(1+Taux_TVA),2)&amp;" € TTC.")</f>
        <v>Soit 0.00 € HT par échéance (12 échéances), 0.00 € TTC.</v>
      </c>
      <c r="C573" s="46"/>
      <c r="D573" s="46"/>
      <c r="E573" s="46"/>
      <c r="F573" s="46"/>
    </row>
    <row r="574" customFormat="false" ht="7.5" hidden="false" customHeight="true" outlineLevel="0" collapsed="false">
      <c r="B574" s="10"/>
      <c r="C574" s="10"/>
      <c r="D574" s="10"/>
      <c r="E574" s="10"/>
      <c r="F574" s="10"/>
    </row>
    <row r="575" customFormat="false" ht="36.75" hidden="false" customHeight="true" outlineLevel="0" collapsed="false">
      <c r="B575" s="37" t="str">
        <f aca="false">SUBSTITUTE(SUBSTITUTE(SUBSTITUTE(SUBSTITUTE(SUBSTITUTE(Txt_P5,"{cabinet}",Cab_Nom),"{societe}",IF($K$541=0,"",INDEX(Clients!$E$2:$E$501,$K$541)&amp;"")),"{date_effet}",$K$543),"{hausse}",$K$544),"{civilite}",$K$542)</f>
        <v>Les autres conditions de votre lettre de mission demeurent inchangées. Les nouveaux montants seront appliqués automatiquement sur vos prochaines factures et échéances de prélèvement.</v>
      </c>
      <c r="C575" s="37"/>
      <c r="D575" s="37"/>
      <c r="E575" s="37"/>
      <c r="F575" s="37"/>
    </row>
    <row r="576" customFormat="false" ht="36.75" hidden="false" customHeight="true" outlineLevel="0" collapsed="false">
      <c r="B576" s="37" t="str">
        <f aca="false">SUBSTITUTE(SUBSTITUTE(SUBSTITUTE(SUBSTITUTE(SUBSTITUTE(Txt_P6,"{cabinet}",Cab_Nom),"{societe}",IF($K$541=0,"",INDEX(Clients!$E$2:$E$501,$K$541)&amp;"")),"{date_effet}",$K$543),"{hausse}",$K$544),"{civilite}",$K$542)</f>
        <v>Votre interlocuteur habituel reste à votre entière disposition pour répondre à vos questions et faire le point sur l'évolution de vos besoins.</v>
      </c>
      <c r="C576" s="37"/>
      <c r="D576" s="37"/>
      <c r="E576" s="37"/>
      <c r="F576" s="37"/>
    </row>
    <row r="577" customFormat="false" ht="24" hidden="false" customHeight="true" outlineLevel="0" collapsed="false">
      <c r="B577" s="37" t="str">
        <f aca="false">SUBSTITUTE(SUBSTITUTE(SUBSTITUTE(SUBSTITUTE(SUBSTITUTE(Txt_Politesse,"{cabinet}",Cab_Nom),"{societe}",IF($K$541=0,"",INDEX(Clients!$E$2:$E$501,$K$541)&amp;"")),"{date_effet}",$K$543),"{hausse}",$K$544),"{civilite}",$K$542)</f>
        <v>Nous vous prions d'agréer, Madame, Monsieur, l'expression de nos salutations distinguées.</v>
      </c>
      <c r="C577" s="37"/>
      <c r="D577" s="37"/>
      <c r="E577" s="37"/>
      <c r="F577" s="37"/>
    </row>
    <row r="578" customFormat="false" ht="15" hidden="false" customHeight="false" outlineLevel="0" collapsed="false">
      <c r="B578" s="10"/>
      <c r="C578" s="10"/>
      <c r="D578" s="10"/>
      <c r="E578" s="10"/>
      <c r="F578" s="10"/>
    </row>
    <row r="579" customFormat="false" ht="15" hidden="false" customHeight="false" outlineLevel="0" collapsed="false">
      <c r="B579" s="10"/>
      <c r="C579" s="10"/>
      <c r="D579" s="34" t="str">
        <f aca="false">Signataire</f>
        <v>Prénom NOM</v>
      </c>
      <c r="E579" s="34"/>
      <c r="F579" s="34"/>
    </row>
    <row r="580" customFormat="false" ht="15" hidden="false" customHeight="false" outlineLevel="0" collapsed="false">
      <c r="B580" s="10"/>
      <c r="C580" s="10"/>
      <c r="D580" s="47" t="str">
        <f aca="false">Signataire_Titre</f>
        <v>Expert-comptable associé</v>
      </c>
      <c r="E580" s="47"/>
      <c r="F580" s="47"/>
    </row>
    <row r="581" customFormat="false" ht="15.75" hidden="false" customHeight="true" outlineLevel="0" collapsed="false">
      <c r="B581" s="10"/>
      <c r="C581" s="10"/>
      <c r="D581" s="10"/>
      <c r="E581" s="10"/>
      <c r="F581" s="10"/>
    </row>
    <row r="582" customFormat="false" ht="15.75" hidden="false" customHeight="true" outlineLevel="0" collapsed="false">
      <c r="B582" s="10"/>
      <c r="C582" s="10"/>
      <c r="D582" s="10"/>
      <c r="E582" s="10"/>
      <c r="F582" s="10"/>
    </row>
    <row r="583" customFormat="false" ht="15.75" hidden="false" customHeight="true" outlineLevel="0" collapsed="false">
      <c r="B583" s="10"/>
      <c r="C583" s="10"/>
      <c r="D583" s="10"/>
      <c r="E583" s="10"/>
      <c r="F583" s="10"/>
    </row>
    <row r="584" customFormat="false" ht="15.75" hidden="false" customHeight="true" outlineLevel="0" collapsed="false">
      <c r="B584" s="10"/>
      <c r="C584" s="10"/>
      <c r="D584" s="10"/>
      <c r="E584" s="10"/>
      <c r="F584" s="10"/>
    </row>
    <row r="585" customFormat="false" ht="24" hidden="false" customHeight="true" outlineLevel="0" collapsed="false">
      <c r="B585" s="48" t="str">
        <f aca="false">Cab_Mentions</f>
        <v>ALTHO EXPERTISE · SAS au capital de 10 000 € · RCS Pontoise 919 706 325 · TVA FR62919706325 · Société d'expertise comptable inscrite au Tableau de l'Ordre des experts-comptables de Paris Île-de-France</v>
      </c>
      <c r="C585" s="48"/>
      <c r="D585" s="48"/>
      <c r="E585" s="48"/>
      <c r="F585" s="48"/>
    </row>
    <row r="586" customFormat="false" ht="15" hidden="false" customHeight="false" outlineLevel="0" collapsed="false">
      <c r="B586" s="10"/>
      <c r="C586" s="10"/>
      <c r="D586" s="10"/>
      <c r="E586" s="10"/>
      <c r="F586" s="10"/>
      <c r="J586" s="25" t="s">
        <v>142</v>
      </c>
      <c r="K586" s="25" t="n">
        <f aca="false">IFERROR(MATCH(14,Clients!$Z$2:$Z$501,0),0)</f>
        <v>0</v>
      </c>
      <c r="L586" s="25"/>
      <c r="M586" s="25"/>
      <c r="N586" s="25"/>
      <c r="O586" s="25"/>
    </row>
    <row r="587" customFormat="false" ht="21.75" hidden="false" customHeight="true" outlineLevel="0" collapsed="false">
      <c r="B587" s="26" t="str">
        <f aca="false">Cab_Nom</f>
        <v>ALTHO EXPERTISE</v>
      </c>
      <c r="C587" s="26"/>
      <c r="D587" s="10"/>
      <c r="E587" s="27" t="str">
        <f aca="false">IF($K$586=0,"","Réf. client : "&amp;INDEX(Clients!$A$2:$A$501,$K$586))</f>
        <v/>
      </c>
      <c r="F587" s="27"/>
      <c r="J587" s="25" t="s">
        <v>144</v>
      </c>
      <c r="K587" s="25" t="str">
        <f aca="false">IF(IF($K$586=0,"",INDEX(Clients!$B$2:$B$501,$K$586)&amp;"")="Mme","Madame",IF(IF($K$586=0,"",INDEX(Clients!$B$2:$B$501,$K$586)&amp;"")="M.","Monsieur","Madame, Monsieur"))</f>
        <v>Madame, Monsieur</v>
      </c>
      <c r="L587" s="25"/>
      <c r="M587" s="25"/>
      <c r="N587" s="25"/>
      <c r="O587" s="25"/>
    </row>
    <row r="588" customFormat="false" ht="15" hidden="false" customHeight="false" outlineLevel="0" collapsed="false">
      <c r="B588" s="29" t="str">
        <f aca="false">Cab_Adr1</f>
        <v>141 rue Charles de Gaulle</v>
      </c>
      <c r="C588" s="29"/>
      <c r="D588" s="10"/>
      <c r="E588" s="10"/>
      <c r="F588" s="10"/>
      <c r="J588" s="25" t="s">
        <v>145</v>
      </c>
      <c r="K588" s="25" t="str">
        <f aca="false">DAY(Date_Effet)&amp;IF(DAY(Date_Effet)=1,"er","")&amp;" "&amp;INDEX(Liste_Mois,MONTH(Date_Effet))&amp;" "&amp;YEAR(Date_Effet)</f>
        <v>1er janvier 2027</v>
      </c>
      <c r="L588" s="25"/>
      <c r="M588" s="25"/>
      <c r="N588" s="25"/>
      <c r="O588" s="25"/>
    </row>
    <row r="589" customFormat="false" ht="15" hidden="false" customHeight="false" outlineLevel="0" collapsed="false">
      <c r="B589" s="29" t="str">
        <f aca="false">Cab_CPVille</f>
        <v>95130 LE PLESSIS-BOUCHARD</v>
      </c>
      <c r="C589" s="29"/>
      <c r="D589" s="10"/>
      <c r="E589" s="10"/>
      <c r="F589" s="10"/>
      <c r="J589" s="25" t="s">
        <v>146</v>
      </c>
      <c r="K589" s="25" t="str">
        <f aca="false">IF(SUM($K$613:$K$616)=0,"",FIXED((SUM($L$613:$L$616)/SUM($K$613:$K$616)-1)*100,1)&amp;" %")</f>
        <v/>
      </c>
      <c r="L589" s="25"/>
      <c r="M589" s="25"/>
      <c r="N589" s="25"/>
      <c r="O589" s="25"/>
    </row>
    <row r="590" customFormat="false" ht="15" hidden="false" customHeight="false" outlineLevel="0" collapsed="false">
      <c r="B590" s="29" t="str">
        <f aca="false">Cab_Contact</f>
        <v>Tél. 01 34 14 53 45  ·  altho@altho-experts.com  ·  altho-experts.com</v>
      </c>
      <c r="C590" s="29"/>
      <c r="D590" s="10"/>
      <c r="E590" s="10"/>
      <c r="F590" s="10"/>
      <c r="J590" s="25"/>
      <c r="K590" s="25"/>
      <c r="L590" s="25"/>
      <c r="M590" s="25"/>
      <c r="N590" s="25"/>
      <c r="O590" s="25"/>
    </row>
    <row r="591" customFormat="false" ht="6" hidden="false" customHeight="true" outlineLevel="0" collapsed="false">
      <c r="B591" s="32"/>
      <c r="C591" s="32"/>
      <c r="D591" s="32"/>
      <c r="E591" s="32"/>
      <c r="F591" s="32"/>
      <c r="J591" s="25"/>
      <c r="K591" s="25"/>
      <c r="L591" s="25"/>
      <c r="M591" s="25"/>
      <c r="N591" s="25"/>
      <c r="O591" s="25"/>
    </row>
    <row r="592" customFormat="false" ht="13.5" hidden="false" customHeight="true" outlineLevel="0" collapsed="false">
      <c r="B592" s="10"/>
      <c r="C592" s="10"/>
      <c r="D592" s="10"/>
      <c r="E592" s="10"/>
      <c r="F592" s="10"/>
      <c r="J592" s="25"/>
      <c r="K592" s="25"/>
      <c r="L592" s="25"/>
      <c r="M592" s="25"/>
      <c r="N592" s="25"/>
      <c r="O592" s="25"/>
    </row>
    <row r="593" customFormat="false" ht="13.5" hidden="false" customHeight="true" outlineLevel="0" collapsed="false">
      <c r="B593" s="10"/>
      <c r="C593" s="10"/>
      <c r="D593" s="10"/>
      <c r="E593" s="10"/>
      <c r="F593" s="10"/>
      <c r="J593" s="25"/>
      <c r="K593" s="25"/>
      <c r="L593" s="25"/>
      <c r="M593" s="25"/>
      <c r="N593" s="25"/>
      <c r="O593" s="25"/>
    </row>
    <row r="594" customFormat="false" ht="13.5" hidden="false" customHeight="true" outlineLevel="0" collapsed="false">
      <c r="B594" s="10"/>
      <c r="C594" s="10"/>
      <c r="D594" s="10"/>
      <c r="E594" s="10"/>
      <c r="F594" s="10"/>
      <c r="J594" s="25"/>
      <c r="K594" s="25"/>
      <c r="L594" s="25"/>
      <c r="M594" s="25"/>
      <c r="N594" s="25"/>
      <c r="O594" s="25"/>
    </row>
    <row r="595" customFormat="false" ht="15" hidden="false" customHeight="true" outlineLevel="0" collapsed="false">
      <c r="B595" s="10"/>
      <c r="C595" s="10"/>
      <c r="D595" s="34" t="str">
        <f aca="false">IF($K$586=0,"",INDEX(Clients!$E$2:$E$501,$K$586)&amp;"")</f>
        <v/>
      </c>
      <c r="E595" s="34"/>
      <c r="F595" s="34"/>
      <c r="J595" s="25"/>
      <c r="K595" s="25"/>
      <c r="L595" s="25"/>
      <c r="M595" s="25"/>
      <c r="N595" s="25"/>
      <c r="O595" s="25"/>
    </row>
    <row r="596" customFormat="false" ht="15" hidden="false" customHeight="true" outlineLevel="0" collapsed="false">
      <c r="B596" s="10"/>
      <c r="C596" s="10"/>
      <c r="D596" s="35" t="str">
        <f aca="false">IF(IF($K$586=0,"",INDEX(Clients!$D$2:$D$501,$K$586)&amp;"")="","","À l'attention de "&amp;TRIM(IF($K$586=0,"",INDEX(Clients!$B$2:$B$501,$K$586)&amp;"")&amp;" "&amp;IF($K$586=0,"",INDEX(Clients!$C$2:$C$501,$K$586)&amp;"")&amp;" "&amp;IF($K$586=0,"",INDEX(Clients!$D$2:$D$501,$K$586)&amp;"")))</f>
        <v/>
      </c>
      <c r="E596" s="35"/>
      <c r="F596" s="35"/>
      <c r="J596" s="25"/>
      <c r="K596" s="25"/>
      <c r="L596" s="25"/>
      <c r="M596" s="25"/>
      <c r="N596" s="25"/>
      <c r="O596" s="25"/>
    </row>
    <row r="597" customFormat="false" ht="15" hidden="false" customHeight="true" outlineLevel="0" collapsed="false">
      <c r="B597" s="10"/>
      <c r="C597" s="10"/>
      <c r="D597" s="35" t="str">
        <f aca="false">IF($K$586=0,"",INDEX(Clients!$F$2:$F$501,$K$586)&amp;"")</f>
        <v/>
      </c>
      <c r="E597" s="35"/>
      <c r="F597" s="35"/>
      <c r="J597" s="25"/>
      <c r="K597" s="25"/>
      <c r="L597" s="25"/>
      <c r="M597" s="25"/>
      <c r="N597" s="25"/>
      <c r="O597" s="25"/>
    </row>
    <row r="598" customFormat="false" ht="15" hidden="false" customHeight="true" outlineLevel="0" collapsed="false">
      <c r="B598" s="10"/>
      <c r="C598" s="10"/>
      <c r="D598" s="35" t="str">
        <f aca="false">IF(IF($K$586=0,"",INDEX(Clients!$G$2:$G$501,$K$586)&amp;"")="",TRIM(IF($K$586=0,"",INDEX(Clients!$H$2:$H$501,$K$586)&amp;"")&amp;" "&amp;UPPER(IF($K$586=0,"",INDEX(Clients!$I$2:$I$501,$K$586)&amp;""))),IF($K$586=0,"",INDEX(Clients!$G$2:$G$501,$K$586)&amp;""))</f>
        <v/>
      </c>
      <c r="E598" s="35"/>
      <c r="F598" s="35"/>
      <c r="J598" s="25"/>
      <c r="K598" s="25"/>
      <c r="L598" s="25"/>
      <c r="M598" s="25"/>
      <c r="N598" s="25"/>
      <c r="O598" s="25"/>
    </row>
    <row r="599" customFormat="false" ht="15" hidden="false" customHeight="true" outlineLevel="0" collapsed="false">
      <c r="B599" s="10"/>
      <c r="C599" s="10"/>
      <c r="D599" s="35" t="str">
        <f aca="false">IF(IF($K$586=0,"",INDEX(Clients!$G$2:$G$501,$K$586)&amp;"")="","",TRIM(IF($K$586=0,"",INDEX(Clients!$H$2:$H$501,$K$586)&amp;"")&amp;" "&amp;UPPER(IF($K$586=0,"",INDEX(Clients!$I$2:$I$501,$K$586)&amp;""))))</f>
        <v/>
      </c>
      <c r="E599" s="35"/>
      <c r="F599" s="35"/>
      <c r="J599" s="25"/>
      <c r="K599" s="25"/>
      <c r="L599" s="25"/>
      <c r="M599" s="25"/>
      <c r="N599" s="25"/>
      <c r="O599" s="25"/>
    </row>
    <row r="600" customFormat="false" ht="25.5" hidden="false" customHeight="true" outlineLevel="0" collapsed="false">
      <c r="B600" s="10"/>
      <c r="C600" s="10"/>
      <c r="D600" s="10"/>
      <c r="E600" s="10"/>
      <c r="F600" s="10"/>
      <c r="J600" s="25"/>
      <c r="K600" s="25"/>
      <c r="L600" s="25"/>
      <c r="M600" s="25"/>
      <c r="N600" s="25"/>
      <c r="O600" s="25"/>
    </row>
    <row r="601" customFormat="false" ht="15" hidden="false" customHeight="false" outlineLevel="0" collapsed="false">
      <c r="B601" s="10"/>
      <c r="C601" s="10"/>
      <c r="D601" s="36" t="str">
        <f aca="false">Cab_Ville&amp;", le "&amp;DAY(Date_Courrier)&amp;IF(DAY(Date_Courrier)=1,"er","")&amp;" "&amp;INDEX(Liste_Mois,MONTH(Date_Courrier))&amp;" "&amp;YEAR(Date_Courrier)</f>
        <v>Le Plessis-Bouchard, le 22 septembre 2026</v>
      </c>
      <c r="E601" s="36"/>
      <c r="F601" s="36"/>
      <c r="J601" s="25"/>
      <c r="K601" s="25"/>
      <c r="L601" s="25"/>
      <c r="M601" s="25"/>
      <c r="N601" s="25"/>
      <c r="O601" s="25"/>
    </row>
    <row r="602" customFormat="false" ht="19.5" hidden="false" customHeight="true" outlineLevel="0" collapsed="false">
      <c r="B602" s="10"/>
      <c r="C602" s="10"/>
      <c r="D602" s="10"/>
      <c r="E602" s="10"/>
      <c r="F602" s="10"/>
      <c r="J602" s="25"/>
      <c r="K602" s="25"/>
      <c r="L602" s="25"/>
      <c r="M602" s="25"/>
      <c r="N602" s="25"/>
      <c r="O602" s="25"/>
    </row>
    <row r="603" customFormat="false" ht="15" hidden="false" customHeight="false" outlineLevel="0" collapsed="false">
      <c r="B603" s="34" t="str">
        <f aca="false">SUBSTITUTE(SUBSTITUTE(SUBSTITUTE(SUBSTITUTE(SUBSTITUTE(Txt_Objet,"{cabinet}",Cab_Nom),"{societe}",IF($K$586=0,"",INDEX(Clients!$E$2:$E$501,$K$586)&amp;"")),"{date_effet}",$K$588),"{hausse}",$K$589),"{civilite}",$K$587)</f>
        <v>Objet : révision de nos honoraires au 1er janvier 2027</v>
      </c>
      <c r="C603" s="34"/>
      <c r="D603" s="34"/>
      <c r="E603" s="34"/>
      <c r="F603" s="34"/>
      <c r="J603" s="25"/>
      <c r="K603" s="25"/>
      <c r="L603" s="25"/>
      <c r="M603" s="25"/>
      <c r="N603" s="25"/>
      <c r="O603" s="25"/>
    </row>
    <row r="604" customFormat="false" ht="13.5" hidden="false" customHeight="true" outlineLevel="0" collapsed="false">
      <c r="B604" s="10"/>
      <c r="C604" s="10"/>
      <c r="D604" s="10"/>
      <c r="E604" s="10"/>
      <c r="F604" s="10"/>
      <c r="J604" s="25"/>
      <c r="K604" s="25"/>
      <c r="L604" s="25"/>
      <c r="M604" s="25"/>
      <c r="N604" s="25"/>
      <c r="O604" s="25"/>
    </row>
    <row r="605" customFormat="false" ht="15" hidden="false" customHeight="false" outlineLevel="0" collapsed="false">
      <c r="B605" s="10" t="str">
        <f aca="false">$K$587&amp;","</f>
        <v>Madame, Monsieur,</v>
      </c>
      <c r="C605" s="10"/>
      <c r="D605" s="10"/>
      <c r="E605" s="10"/>
      <c r="F605" s="10"/>
      <c r="J605" s="25"/>
      <c r="K605" s="25"/>
      <c r="L605" s="25"/>
      <c r="M605" s="25"/>
      <c r="N605" s="25"/>
      <c r="O605" s="25"/>
    </row>
    <row r="606" customFormat="false" ht="6" hidden="false" customHeight="true" outlineLevel="0" collapsed="false">
      <c r="B606" s="10"/>
      <c r="C606" s="10"/>
      <c r="D606" s="10"/>
      <c r="E606" s="10"/>
      <c r="F606" s="10"/>
      <c r="J606" s="25"/>
      <c r="K606" s="25"/>
      <c r="L606" s="25"/>
      <c r="M606" s="25"/>
      <c r="N606" s="25"/>
      <c r="O606" s="25"/>
    </row>
    <row r="607" customFormat="false" ht="36.75" hidden="false" customHeight="true" outlineLevel="0" collapsed="false">
      <c r="B607" s="37" t="str">
        <f aca="false">SUBSTITUTE(SUBSTITUTE(SUBSTITUTE(SUBSTITUTE(SUBSTITUTE(Txt_P1,"{cabinet}",Cab_Nom),"{societe}",IF($K$586=0,"",INDEX(Clients!$E$2:$E$501,$K$586)&amp;"")),"{date_effet}",$K$588),"{hausse}",$K$589),"{civilite}",$K$587)</f>
        <v>Nous tenons tout d'abord à vous remercier pour la confiance que vous accordez à ALTHO EXPERTISE. Comme chaque année, et conformément aux dispositions de votre lettre de mission, nous procédons à la révision de nos honoraires.</v>
      </c>
      <c r="C607" s="37"/>
      <c r="D607" s="37"/>
      <c r="E607" s="37"/>
      <c r="F607" s="37"/>
      <c r="J607" s="25"/>
      <c r="K607" s="25"/>
      <c r="L607" s="25"/>
      <c r="M607" s="25"/>
      <c r="N607" s="25"/>
      <c r="O607" s="25"/>
    </row>
    <row r="608" customFormat="false" ht="49.5" hidden="false" customHeight="true" outlineLevel="0" collapsed="false">
      <c r="B608" s="37" t="str">
        <f aca="false">SUBSTITUTE(SUBSTITUTE(SUBSTITUTE(SUBSTITUTE(SUBSTITUTE(Txt_P2,"{cabinet}",Cab_Nom),"{societe}",IF($K$586=0,"",INDEX(Clients!$E$2:$E$501,$K$586)&amp;"")),"{date_effet}",$K$588),"{hausse}",$K$589),"{civilite}",$K$587)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08" s="37"/>
      <c r="D608" s="37"/>
      <c r="E608" s="37"/>
      <c r="F608" s="37"/>
      <c r="J608" s="25"/>
      <c r="K608" s="25"/>
      <c r="L608" s="25"/>
      <c r="M608" s="25"/>
      <c r="N608" s="25"/>
      <c r="O608" s="25"/>
    </row>
    <row r="609" customFormat="false" ht="63" hidden="false" customHeight="true" outlineLevel="0" collapsed="false">
      <c r="B609" s="37" t="str">
        <f aca="false">SUBSTITUTE(SUBSTITUTE(SUBSTITUTE(SUBSTITUTE(SUBSTITUTE(Txt_P3,"{cabinet}",Cab_Nom),"{societe}",IF($K$586=0,"",INDEX(Clients!$E$2:$E$501,$K$586)&amp;"")),"{date_effet}",$K$588),"{hausse}",$K$589),"{civilite}",$K$587)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09" s="37"/>
      <c r="D609" s="37"/>
      <c r="E609" s="37"/>
      <c r="F609" s="37"/>
      <c r="J609" s="25"/>
      <c r="K609" s="25"/>
      <c r="L609" s="25"/>
      <c r="M609" s="25"/>
      <c r="N609" s="25"/>
      <c r="O609" s="25"/>
    </row>
    <row r="610" customFormat="false" ht="24" hidden="false" customHeight="true" outlineLevel="0" collapsed="false">
      <c r="B610" s="37" t="str">
        <f aca="false">SUBSTITUTE(SUBSTITUTE(SUBSTITUTE(SUBSTITUTE(SUBSTITUTE(Txt_P4,"{cabinet}",Cab_Nom),"{societe}",IF($K$586=0,"",INDEX(Clients!$E$2:$E$501,$K$586)&amp;"")),"{date_effet}",$K$588),"{hausse}",$K$589),"{civilite}",$K$587)</f>
        <v>À compter du 1er janvier 2027, vos honoraires annuels hors taxes évolueront ainsi (évolution globale : ) :</v>
      </c>
      <c r="C610" s="37"/>
      <c r="D610" s="37"/>
      <c r="E610" s="37"/>
      <c r="F610" s="37"/>
      <c r="J610" s="25"/>
      <c r="K610" s="25"/>
      <c r="L610" s="25"/>
      <c r="M610" s="25"/>
      <c r="N610" s="25"/>
      <c r="O610" s="25"/>
    </row>
    <row r="611" customFormat="false" ht="3.75" hidden="false" customHeight="true" outlineLevel="0" collapsed="false">
      <c r="B611" s="10"/>
      <c r="C611" s="10"/>
      <c r="D611" s="10"/>
      <c r="E611" s="10"/>
      <c r="F611" s="10"/>
      <c r="J611" s="25"/>
      <c r="K611" s="25"/>
      <c r="L611" s="25"/>
      <c r="M611" s="25"/>
      <c r="N611" s="25"/>
      <c r="O611" s="25"/>
    </row>
    <row r="612" customFormat="false" ht="18" hidden="false" customHeight="true" outlineLevel="0" collapsed="false">
      <c r="B612" s="38" t="s">
        <v>148</v>
      </c>
      <c r="C612" s="39" t="s">
        <v>149</v>
      </c>
      <c r="D612" s="39" t="s">
        <v>150</v>
      </c>
      <c r="E612" s="39" t="s">
        <v>151</v>
      </c>
      <c r="F612" s="39" t="s">
        <v>109</v>
      </c>
      <c r="J612" s="25" t="s">
        <v>152</v>
      </c>
      <c r="K612" s="25" t="s">
        <v>153</v>
      </c>
      <c r="L612" s="25" t="s">
        <v>154</v>
      </c>
      <c r="M612" s="25" t="s">
        <v>155</v>
      </c>
      <c r="N612" s="25" t="s">
        <v>156</v>
      </c>
      <c r="O612" s="25" t="s">
        <v>157</v>
      </c>
    </row>
    <row r="613" customFormat="false" ht="16.5" hidden="false" customHeight="true" outlineLevel="0" collapsed="false">
      <c r="B613" s="40" t="str">
        <f aca="false">IFERROR(INDEX($J$613:$J$616,MATCH($O613,$N$613:$N$616,0)),"")</f>
        <v/>
      </c>
      <c r="C613" s="41" t="str">
        <f aca="false">IFERROR(INDEX($K$613:$K$616,MATCH($O613,$N$613:$N$616,0)),"")</f>
        <v/>
      </c>
      <c r="D613" s="42" t="str">
        <f aca="false">IF(OR(E613="",N(C613)=0),"",E613/C613-1)</f>
        <v/>
      </c>
      <c r="E613" s="41" t="str">
        <f aca="false">IFERROR(INDEX($L$613:$L$616,MATCH($O613,$N$613:$N$616,0)),"")</f>
        <v/>
      </c>
      <c r="F613" s="41" t="str">
        <f aca="false">IF(E613="","",E613-C613)</f>
        <v/>
      </c>
      <c r="J613" s="25" t="str">
        <f aca="false">Lib_Compta</f>
        <v>Mission comptable (tenue, révision, bilan, liasse fiscale)</v>
      </c>
      <c r="K613" s="25" t="n">
        <f aca="false">IF($K$586=0,0,N(INDEX(Clients!$K$2:$K$501,$K$586)))</f>
        <v>0</v>
      </c>
      <c r="L613" s="25" t="n">
        <f aca="false">IF($K$586=0,0,N(INDEX(Clients!$P$2:$P$501,$K$586)))</f>
        <v>0</v>
      </c>
      <c r="M613" s="25" t="n">
        <f aca="false">IF(OR(K613&lt;&gt;0,L613&lt;&gt;0),1,0)</f>
        <v>0</v>
      </c>
      <c r="N613" s="25" t="str">
        <f aca="false">IF(M613=1,SUM($M$613:M613),"")</f>
        <v/>
      </c>
      <c r="O613" s="25" t="n">
        <v>1</v>
      </c>
    </row>
    <row r="614" customFormat="false" ht="16.5" hidden="false" customHeight="true" outlineLevel="0" collapsed="false">
      <c r="B614" s="40" t="str">
        <f aca="false">IFERROR(INDEX($J$613:$J$616,MATCH($O614,$N$613:$N$616,0)),"")</f>
        <v/>
      </c>
      <c r="C614" s="41" t="str">
        <f aca="false">IFERROR(INDEX($K$613:$K$616,MATCH($O614,$N$613:$N$616,0)),"")</f>
        <v/>
      </c>
      <c r="D614" s="42" t="str">
        <f aca="false">IF(OR(E614="",N(C614)=0),"",E614/C614-1)</f>
        <v/>
      </c>
      <c r="E614" s="41" t="str">
        <f aca="false">IFERROR(INDEX($L$613:$L$616,MATCH($O614,$N$613:$N$616,0)),"")</f>
        <v/>
      </c>
      <c r="F614" s="41" t="str">
        <f aca="false">IF(E614="","",E614-C614)</f>
        <v/>
      </c>
      <c r="J614" s="25" t="str">
        <f aca="false">Lib_Paye</f>
        <v>Mission sociale (bulletins de paie, DSN, déclarations sociales)</v>
      </c>
      <c r="K614" s="25" t="n">
        <f aca="false">IF($K$586=0,0,N(INDEX(Clients!$L$2:$L$501,$K$586)))</f>
        <v>0</v>
      </c>
      <c r="L614" s="25" t="n">
        <f aca="false">IF($K$586=0,0,N(INDEX(Clients!$Q$2:$Q$501,$K$586)))</f>
        <v>0</v>
      </c>
      <c r="M614" s="25" t="n">
        <f aca="false">IF(OR(K614&lt;&gt;0,L614&lt;&gt;0),1,0)</f>
        <v>0</v>
      </c>
      <c r="N614" s="25" t="str">
        <f aca="false">IF(M614=1,SUM($M$613:M614),"")</f>
        <v/>
      </c>
      <c r="O614" s="25" t="n">
        <v>2</v>
      </c>
    </row>
    <row r="615" customFormat="false" ht="16.5" hidden="false" customHeight="true" outlineLevel="0" collapsed="false">
      <c r="B615" s="40" t="str">
        <f aca="false">IFERROR(INDEX($J$613:$J$616,MATCH($O615,$N$613:$N$616,0)),"")</f>
        <v/>
      </c>
      <c r="C615" s="41" t="str">
        <f aca="false">IFERROR(INDEX($K$613:$K$616,MATCH($O615,$N$613:$N$616,0)),"")</f>
        <v/>
      </c>
      <c r="D615" s="42" t="str">
        <f aca="false">IF(OR(E615="",N(C615)=0),"",E615/C615-1)</f>
        <v/>
      </c>
      <c r="E615" s="41" t="str">
        <f aca="false">IFERROR(INDEX($L$613:$L$616,MATCH($O615,$N$613:$N$616,0)),"")</f>
        <v/>
      </c>
      <c r="F615" s="41" t="str">
        <f aca="false">IF(E615="","",E615-C615)</f>
        <v/>
      </c>
      <c r="J615" s="25" t="str">
        <f aca="false">Lib_Jur</f>
        <v>Mission juridique (approbation des comptes, secrétariat juridique)</v>
      </c>
      <c r="K615" s="25" t="n">
        <f aca="false">IF($K$586=0,0,N(INDEX(Clients!$M$2:$M$501,$K$586)))</f>
        <v>0</v>
      </c>
      <c r="L615" s="25" t="n">
        <f aca="false">IF($K$586=0,0,N(INDEX(Clients!$R$2:$R$501,$K$586)))</f>
        <v>0</v>
      </c>
      <c r="M615" s="25" t="n">
        <f aca="false">IF(OR(K615&lt;&gt;0,L615&lt;&gt;0),1,0)</f>
        <v>0</v>
      </c>
      <c r="N615" s="25" t="str">
        <f aca="false">IF(M615=1,SUM($M$613:M615),"")</f>
        <v/>
      </c>
      <c r="O615" s="25" t="n">
        <v>3</v>
      </c>
    </row>
    <row r="616" customFormat="false" ht="16.5" hidden="false" customHeight="true" outlineLevel="0" collapsed="false">
      <c r="B616" s="40" t="str">
        <f aca="false">IFERROR(INDEX($J$613:$J$616,MATCH($O616,$N$613:$N$616,0)),"")</f>
        <v/>
      </c>
      <c r="C616" s="41" t="str">
        <f aca="false">IFERROR(INDEX($K$613:$K$616,MATCH($O616,$N$613:$N$616,0)),"")</f>
        <v/>
      </c>
      <c r="D616" s="42" t="str">
        <f aca="false">IF(OR(E616="",N(C616)=0),"",E616/C616-1)</f>
        <v/>
      </c>
      <c r="E616" s="41" t="str">
        <f aca="false">IFERROR(INDEX($L$613:$L$616,MATCH($O616,$N$613:$N$616,0)),"")</f>
        <v/>
      </c>
      <c r="F616" s="41" t="str">
        <f aca="false">IF(E616="","",E616-C616)</f>
        <v/>
      </c>
      <c r="J616" s="25" t="str">
        <f aca="false">Lib_PA</f>
        <v>Plateforme agréée – facturation électronique</v>
      </c>
      <c r="K616" s="25" t="n">
        <f aca="false">IF($K$586=0,0,N(INDEX(Clients!$N$2:$N$501,$K$586)))</f>
        <v>0</v>
      </c>
      <c r="L616" s="25" t="n">
        <f aca="false">IF($K$586=0,0,N(INDEX(Clients!$S$2:$S$501,$K$586)))</f>
        <v>0</v>
      </c>
      <c r="M616" s="25" t="n">
        <f aca="false">IF(OR(K616&lt;&gt;0,L616&lt;&gt;0),1,0)</f>
        <v>0</v>
      </c>
      <c r="N616" s="25" t="str">
        <f aca="false">IF(M616=1,SUM($M$613:M616),"")</f>
        <v/>
      </c>
      <c r="O616" s="25" t="n">
        <v>4</v>
      </c>
    </row>
    <row r="617" customFormat="false" ht="18" hidden="false" customHeight="true" outlineLevel="0" collapsed="false">
      <c r="B617" s="43" t="s">
        <v>158</v>
      </c>
      <c r="C617" s="44" t="n">
        <f aca="false">SUM(K613:K616)</f>
        <v>0</v>
      </c>
      <c r="D617" s="45" t="str">
        <f aca="false">IF(N(C617)=0,"",E617/C617-1)</f>
        <v/>
      </c>
      <c r="E617" s="44" t="n">
        <f aca="false">SUM(L613:L616)</f>
        <v>0</v>
      </c>
      <c r="F617" s="44" t="n">
        <f aca="false">E617-C617</f>
        <v>0</v>
      </c>
    </row>
    <row r="618" customFormat="false" ht="15" hidden="false" customHeight="false" outlineLevel="0" collapsed="false">
      <c r="B618" s="46" t="str">
        <f aca="false">IF(N(Nb_Mensualites)=0,"","Soit "&amp;FIXED(E617/Nb_Mensualites,2)&amp;" € HT par échéance ("&amp;Nb_Mensualites&amp;" échéances), "&amp;FIXED(E617/Nb_Mensualites*(1+Taux_TVA),2)&amp;" € TTC.")</f>
        <v>Soit 0.00 € HT par échéance (12 échéances), 0.00 € TTC.</v>
      </c>
      <c r="C618" s="46"/>
      <c r="D618" s="46"/>
      <c r="E618" s="46"/>
      <c r="F618" s="46"/>
    </row>
    <row r="619" customFormat="false" ht="7.5" hidden="false" customHeight="true" outlineLevel="0" collapsed="false">
      <c r="B619" s="10"/>
      <c r="C619" s="10"/>
      <c r="D619" s="10"/>
      <c r="E619" s="10"/>
      <c r="F619" s="10"/>
    </row>
    <row r="620" customFormat="false" ht="36.75" hidden="false" customHeight="true" outlineLevel="0" collapsed="false">
      <c r="B620" s="37" t="str">
        <f aca="false">SUBSTITUTE(SUBSTITUTE(SUBSTITUTE(SUBSTITUTE(SUBSTITUTE(Txt_P5,"{cabinet}",Cab_Nom),"{societe}",IF($K$586=0,"",INDEX(Clients!$E$2:$E$501,$K$586)&amp;"")),"{date_effet}",$K$588),"{hausse}",$K$589),"{civilite}",$K$587)</f>
        <v>Les autres conditions de votre lettre de mission demeurent inchangées. Les nouveaux montants seront appliqués automatiquement sur vos prochaines factures et échéances de prélèvement.</v>
      </c>
      <c r="C620" s="37"/>
      <c r="D620" s="37"/>
      <c r="E620" s="37"/>
      <c r="F620" s="37"/>
    </row>
    <row r="621" customFormat="false" ht="36.75" hidden="false" customHeight="true" outlineLevel="0" collapsed="false">
      <c r="B621" s="37" t="str">
        <f aca="false">SUBSTITUTE(SUBSTITUTE(SUBSTITUTE(SUBSTITUTE(SUBSTITUTE(Txt_P6,"{cabinet}",Cab_Nom),"{societe}",IF($K$586=0,"",INDEX(Clients!$E$2:$E$501,$K$586)&amp;"")),"{date_effet}",$K$588),"{hausse}",$K$589),"{civilite}",$K$587)</f>
        <v>Votre interlocuteur habituel reste à votre entière disposition pour répondre à vos questions et faire le point sur l'évolution de vos besoins.</v>
      </c>
      <c r="C621" s="37"/>
      <c r="D621" s="37"/>
      <c r="E621" s="37"/>
      <c r="F621" s="37"/>
    </row>
    <row r="622" customFormat="false" ht="24" hidden="false" customHeight="true" outlineLevel="0" collapsed="false">
      <c r="B622" s="37" t="str">
        <f aca="false">SUBSTITUTE(SUBSTITUTE(SUBSTITUTE(SUBSTITUTE(SUBSTITUTE(Txt_Politesse,"{cabinet}",Cab_Nom),"{societe}",IF($K$586=0,"",INDEX(Clients!$E$2:$E$501,$K$586)&amp;"")),"{date_effet}",$K$588),"{hausse}",$K$589),"{civilite}",$K$587)</f>
        <v>Nous vous prions d'agréer, Madame, Monsieur, l'expression de nos salutations distinguées.</v>
      </c>
      <c r="C622" s="37"/>
      <c r="D622" s="37"/>
      <c r="E622" s="37"/>
      <c r="F622" s="37"/>
    </row>
    <row r="623" customFormat="false" ht="15" hidden="false" customHeight="false" outlineLevel="0" collapsed="false">
      <c r="B623" s="10"/>
      <c r="C623" s="10"/>
      <c r="D623" s="10"/>
      <c r="E623" s="10"/>
      <c r="F623" s="10"/>
    </row>
    <row r="624" customFormat="false" ht="15" hidden="false" customHeight="false" outlineLevel="0" collapsed="false">
      <c r="B624" s="10"/>
      <c r="C624" s="10"/>
      <c r="D624" s="34" t="str">
        <f aca="false">Signataire</f>
        <v>Prénom NOM</v>
      </c>
      <c r="E624" s="34"/>
      <c r="F624" s="34"/>
    </row>
    <row r="625" customFormat="false" ht="15" hidden="false" customHeight="false" outlineLevel="0" collapsed="false">
      <c r="B625" s="10"/>
      <c r="C625" s="10"/>
      <c r="D625" s="47" t="str">
        <f aca="false">Signataire_Titre</f>
        <v>Expert-comptable associé</v>
      </c>
      <c r="E625" s="47"/>
      <c r="F625" s="47"/>
    </row>
    <row r="626" customFormat="false" ht="15.75" hidden="false" customHeight="true" outlineLevel="0" collapsed="false">
      <c r="B626" s="10"/>
      <c r="C626" s="10"/>
      <c r="D626" s="10"/>
      <c r="E626" s="10"/>
      <c r="F626" s="10"/>
    </row>
    <row r="627" customFormat="false" ht="15.75" hidden="false" customHeight="true" outlineLevel="0" collapsed="false">
      <c r="B627" s="10"/>
      <c r="C627" s="10"/>
      <c r="D627" s="10"/>
      <c r="E627" s="10"/>
      <c r="F627" s="10"/>
    </row>
    <row r="628" customFormat="false" ht="15.75" hidden="false" customHeight="true" outlineLevel="0" collapsed="false">
      <c r="B628" s="10"/>
      <c r="C628" s="10"/>
      <c r="D628" s="10"/>
      <c r="E628" s="10"/>
      <c r="F628" s="10"/>
    </row>
    <row r="629" customFormat="false" ht="15.75" hidden="false" customHeight="true" outlineLevel="0" collapsed="false">
      <c r="B629" s="10"/>
      <c r="C629" s="10"/>
      <c r="D629" s="10"/>
      <c r="E629" s="10"/>
      <c r="F629" s="10"/>
    </row>
    <row r="630" customFormat="false" ht="24" hidden="false" customHeight="true" outlineLevel="0" collapsed="false">
      <c r="B630" s="48" t="str">
        <f aca="false">Cab_Mentions</f>
        <v>ALTHO EXPERTISE · SAS au capital de 10 000 € · RCS Pontoise 919 706 325 · TVA FR62919706325 · Société d'expertise comptable inscrite au Tableau de l'Ordre des experts-comptables de Paris Île-de-France</v>
      </c>
      <c r="C630" s="48"/>
      <c r="D630" s="48"/>
      <c r="E630" s="48"/>
      <c r="F630" s="48"/>
    </row>
    <row r="631" customFormat="false" ht="15" hidden="false" customHeight="false" outlineLevel="0" collapsed="false">
      <c r="B631" s="10"/>
      <c r="C631" s="10"/>
      <c r="D631" s="10"/>
      <c r="E631" s="10"/>
      <c r="F631" s="10"/>
      <c r="J631" s="25" t="s">
        <v>142</v>
      </c>
      <c r="K631" s="25" t="n">
        <f aca="false">IFERROR(MATCH(15,Clients!$Z$2:$Z$501,0),0)</f>
        <v>0</v>
      </c>
      <c r="L631" s="25"/>
      <c r="M631" s="25"/>
      <c r="N631" s="25"/>
      <c r="O631" s="25"/>
    </row>
    <row r="632" customFormat="false" ht="21.75" hidden="false" customHeight="true" outlineLevel="0" collapsed="false">
      <c r="B632" s="26" t="str">
        <f aca="false">Cab_Nom</f>
        <v>ALTHO EXPERTISE</v>
      </c>
      <c r="C632" s="26"/>
      <c r="D632" s="10"/>
      <c r="E632" s="27" t="str">
        <f aca="false">IF($K$631=0,"","Réf. client : "&amp;INDEX(Clients!$A$2:$A$501,$K$631))</f>
        <v/>
      </c>
      <c r="F632" s="27"/>
      <c r="J632" s="25" t="s">
        <v>144</v>
      </c>
      <c r="K632" s="25" t="str">
        <f aca="false">IF(IF($K$631=0,"",INDEX(Clients!$B$2:$B$501,$K$631)&amp;"")="Mme","Madame",IF(IF($K$631=0,"",INDEX(Clients!$B$2:$B$501,$K$631)&amp;"")="M.","Monsieur","Madame, Monsieur"))</f>
        <v>Madame, Monsieur</v>
      </c>
      <c r="L632" s="25"/>
      <c r="M632" s="25"/>
      <c r="N632" s="25"/>
      <c r="O632" s="25"/>
    </row>
    <row r="633" customFormat="false" ht="15" hidden="false" customHeight="false" outlineLevel="0" collapsed="false">
      <c r="B633" s="29" t="str">
        <f aca="false">Cab_Adr1</f>
        <v>141 rue Charles de Gaulle</v>
      </c>
      <c r="C633" s="29"/>
      <c r="D633" s="10"/>
      <c r="E633" s="10"/>
      <c r="F633" s="10"/>
      <c r="J633" s="25" t="s">
        <v>145</v>
      </c>
      <c r="K633" s="25" t="str">
        <f aca="false">DAY(Date_Effet)&amp;IF(DAY(Date_Effet)=1,"er","")&amp;" "&amp;INDEX(Liste_Mois,MONTH(Date_Effet))&amp;" "&amp;YEAR(Date_Effet)</f>
        <v>1er janvier 2027</v>
      </c>
      <c r="L633" s="25"/>
      <c r="M633" s="25"/>
      <c r="N633" s="25"/>
      <c r="O633" s="25"/>
    </row>
    <row r="634" customFormat="false" ht="15" hidden="false" customHeight="false" outlineLevel="0" collapsed="false">
      <c r="B634" s="29" t="str">
        <f aca="false">Cab_CPVille</f>
        <v>95130 LE PLESSIS-BOUCHARD</v>
      </c>
      <c r="C634" s="29"/>
      <c r="D634" s="10"/>
      <c r="E634" s="10"/>
      <c r="F634" s="10"/>
      <c r="J634" s="25" t="s">
        <v>146</v>
      </c>
      <c r="K634" s="25" t="str">
        <f aca="false">IF(SUM($K$658:$K$661)=0,"",FIXED((SUM($L$658:$L$661)/SUM($K$658:$K$661)-1)*100,1)&amp;" %")</f>
        <v/>
      </c>
      <c r="L634" s="25"/>
      <c r="M634" s="25"/>
      <c r="N634" s="25"/>
      <c r="O634" s="25"/>
    </row>
    <row r="635" customFormat="false" ht="15" hidden="false" customHeight="false" outlineLevel="0" collapsed="false">
      <c r="B635" s="29" t="str">
        <f aca="false">Cab_Contact</f>
        <v>Tél. 01 34 14 53 45  ·  altho@altho-experts.com  ·  altho-experts.com</v>
      </c>
      <c r="C635" s="29"/>
      <c r="D635" s="10"/>
      <c r="E635" s="10"/>
      <c r="F635" s="10"/>
      <c r="J635" s="25"/>
      <c r="K635" s="25"/>
      <c r="L635" s="25"/>
      <c r="M635" s="25"/>
      <c r="N635" s="25"/>
      <c r="O635" s="25"/>
    </row>
    <row r="636" customFormat="false" ht="6" hidden="false" customHeight="true" outlineLevel="0" collapsed="false">
      <c r="B636" s="32"/>
      <c r="C636" s="32"/>
      <c r="D636" s="32"/>
      <c r="E636" s="32"/>
      <c r="F636" s="32"/>
      <c r="J636" s="25"/>
      <c r="K636" s="25"/>
      <c r="L636" s="25"/>
      <c r="M636" s="25"/>
      <c r="N636" s="25"/>
      <c r="O636" s="25"/>
    </row>
    <row r="637" customFormat="false" ht="13.5" hidden="false" customHeight="true" outlineLevel="0" collapsed="false">
      <c r="B637" s="10"/>
      <c r="C637" s="10"/>
      <c r="D637" s="10"/>
      <c r="E637" s="10"/>
      <c r="F637" s="10"/>
      <c r="J637" s="25"/>
      <c r="K637" s="25"/>
      <c r="L637" s="25"/>
      <c r="M637" s="25"/>
      <c r="N637" s="25"/>
      <c r="O637" s="25"/>
    </row>
    <row r="638" customFormat="false" ht="13.5" hidden="false" customHeight="true" outlineLevel="0" collapsed="false">
      <c r="B638" s="10"/>
      <c r="C638" s="10"/>
      <c r="D638" s="10"/>
      <c r="E638" s="10"/>
      <c r="F638" s="10"/>
      <c r="J638" s="25"/>
      <c r="K638" s="25"/>
      <c r="L638" s="25"/>
      <c r="M638" s="25"/>
      <c r="N638" s="25"/>
      <c r="O638" s="25"/>
    </row>
    <row r="639" customFormat="false" ht="13.5" hidden="false" customHeight="true" outlineLevel="0" collapsed="false">
      <c r="B639" s="10"/>
      <c r="C639" s="10"/>
      <c r="D639" s="10"/>
      <c r="E639" s="10"/>
      <c r="F639" s="10"/>
      <c r="J639" s="25"/>
      <c r="K639" s="25"/>
      <c r="L639" s="25"/>
      <c r="M639" s="25"/>
      <c r="N639" s="25"/>
      <c r="O639" s="25"/>
    </row>
    <row r="640" customFormat="false" ht="15" hidden="false" customHeight="true" outlineLevel="0" collapsed="false">
      <c r="B640" s="10"/>
      <c r="C640" s="10"/>
      <c r="D640" s="34" t="str">
        <f aca="false">IF($K$631=0,"",INDEX(Clients!$E$2:$E$501,$K$631)&amp;"")</f>
        <v/>
      </c>
      <c r="E640" s="34"/>
      <c r="F640" s="34"/>
      <c r="J640" s="25"/>
      <c r="K640" s="25"/>
      <c r="L640" s="25"/>
      <c r="M640" s="25"/>
      <c r="N640" s="25"/>
      <c r="O640" s="25"/>
    </row>
    <row r="641" customFormat="false" ht="15" hidden="false" customHeight="true" outlineLevel="0" collapsed="false">
      <c r="B641" s="10"/>
      <c r="C641" s="10"/>
      <c r="D641" s="35" t="str">
        <f aca="false">IF(IF($K$631=0,"",INDEX(Clients!$D$2:$D$501,$K$631)&amp;"")="","","À l'attention de "&amp;TRIM(IF($K$631=0,"",INDEX(Clients!$B$2:$B$501,$K$631)&amp;"")&amp;" "&amp;IF($K$631=0,"",INDEX(Clients!$C$2:$C$501,$K$631)&amp;"")&amp;" "&amp;IF($K$631=0,"",INDEX(Clients!$D$2:$D$501,$K$631)&amp;"")))</f>
        <v/>
      </c>
      <c r="E641" s="35"/>
      <c r="F641" s="35"/>
      <c r="J641" s="25"/>
      <c r="K641" s="25"/>
      <c r="L641" s="25"/>
      <c r="M641" s="25"/>
      <c r="N641" s="25"/>
      <c r="O641" s="25"/>
    </row>
    <row r="642" customFormat="false" ht="15" hidden="false" customHeight="true" outlineLevel="0" collapsed="false">
      <c r="B642" s="10"/>
      <c r="C642" s="10"/>
      <c r="D642" s="35" t="str">
        <f aca="false">IF($K$631=0,"",INDEX(Clients!$F$2:$F$501,$K$631)&amp;"")</f>
        <v/>
      </c>
      <c r="E642" s="35"/>
      <c r="F642" s="35"/>
      <c r="J642" s="25"/>
      <c r="K642" s="25"/>
      <c r="L642" s="25"/>
      <c r="M642" s="25"/>
      <c r="N642" s="25"/>
      <c r="O642" s="25"/>
    </row>
    <row r="643" customFormat="false" ht="15" hidden="false" customHeight="true" outlineLevel="0" collapsed="false">
      <c r="B643" s="10"/>
      <c r="C643" s="10"/>
      <c r="D643" s="35" t="str">
        <f aca="false">IF(IF($K$631=0,"",INDEX(Clients!$G$2:$G$501,$K$631)&amp;"")="",TRIM(IF($K$631=0,"",INDEX(Clients!$H$2:$H$501,$K$631)&amp;"")&amp;" "&amp;UPPER(IF($K$631=0,"",INDEX(Clients!$I$2:$I$501,$K$631)&amp;""))),IF($K$631=0,"",INDEX(Clients!$G$2:$G$501,$K$631)&amp;""))</f>
        <v/>
      </c>
      <c r="E643" s="35"/>
      <c r="F643" s="35"/>
      <c r="J643" s="25"/>
      <c r="K643" s="25"/>
      <c r="L643" s="25"/>
      <c r="M643" s="25"/>
      <c r="N643" s="25"/>
      <c r="O643" s="25"/>
    </row>
    <row r="644" customFormat="false" ht="15" hidden="false" customHeight="true" outlineLevel="0" collapsed="false">
      <c r="B644" s="10"/>
      <c r="C644" s="10"/>
      <c r="D644" s="35" t="str">
        <f aca="false">IF(IF($K$631=0,"",INDEX(Clients!$G$2:$G$501,$K$631)&amp;"")="","",TRIM(IF($K$631=0,"",INDEX(Clients!$H$2:$H$501,$K$631)&amp;"")&amp;" "&amp;UPPER(IF($K$631=0,"",INDEX(Clients!$I$2:$I$501,$K$631)&amp;""))))</f>
        <v/>
      </c>
      <c r="E644" s="35"/>
      <c r="F644" s="35"/>
      <c r="J644" s="25"/>
      <c r="K644" s="25"/>
      <c r="L644" s="25"/>
      <c r="M644" s="25"/>
      <c r="N644" s="25"/>
      <c r="O644" s="25"/>
    </row>
    <row r="645" customFormat="false" ht="25.5" hidden="false" customHeight="true" outlineLevel="0" collapsed="false">
      <c r="B645" s="10"/>
      <c r="C645" s="10"/>
      <c r="D645" s="10"/>
      <c r="E645" s="10"/>
      <c r="F645" s="10"/>
      <c r="J645" s="25"/>
      <c r="K645" s="25"/>
      <c r="L645" s="25"/>
      <c r="M645" s="25"/>
      <c r="N645" s="25"/>
      <c r="O645" s="25"/>
    </row>
    <row r="646" customFormat="false" ht="15" hidden="false" customHeight="false" outlineLevel="0" collapsed="false">
      <c r="B646" s="10"/>
      <c r="C646" s="10"/>
      <c r="D646" s="36" t="str">
        <f aca="false">Cab_Ville&amp;", le "&amp;DAY(Date_Courrier)&amp;IF(DAY(Date_Courrier)=1,"er","")&amp;" "&amp;INDEX(Liste_Mois,MONTH(Date_Courrier))&amp;" "&amp;YEAR(Date_Courrier)</f>
        <v>Le Plessis-Bouchard, le 22 septembre 2026</v>
      </c>
      <c r="E646" s="36"/>
      <c r="F646" s="36"/>
      <c r="J646" s="25"/>
      <c r="K646" s="25"/>
      <c r="L646" s="25"/>
      <c r="M646" s="25"/>
      <c r="N646" s="25"/>
      <c r="O646" s="25"/>
    </row>
    <row r="647" customFormat="false" ht="19.5" hidden="false" customHeight="true" outlineLevel="0" collapsed="false">
      <c r="B647" s="10"/>
      <c r="C647" s="10"/>
      <c r="D647" s="10"/>
      <c r="E647" s="10"/>
      <c r="F647" s="10"/>
      <c r="J647" s="25"/>
      <c r="K647" s="25"/>
      <c r="L647" s="25"/>
      <c r="M647" s="25"/>
      <c r="N647" s="25"/>
      <c r="O647" s="25"/>
    </row>
    <row r="648" customFormat="false" ht="15" hidden="false" customHeight="false" outlineLevel="0" collapsed="false">
      <c r="B648" s="34" t="str">
        <f aca="false">SUBSTITUTE(SUBSTITUTE(SUBSTITUTE(SUBSTITUTE(SUBSTITUTE(Txt_Objet,"{cabinet}",Cab_Nom),"{societe}",IF($K$631=0,"",INDEX(Clients!$E$2:$E$501,$K$631)&amp;"")),"{date_effet}",$K$633),"{hausse}",$K$634),"{civilite}",$K$632)</f>
        <v>Objet : révision de nos honoraires au 1er janvier 2027</v>
      </c>
      <c r="C648" s="34"/>
      <c r="D648" s="34"/>
      <c r="E648" s="34"/>
      <c r="F648" s="34"/>
      <c r="J648" s="25"/>
      <c r="K648" s="25"/>
      <c r="L648" s="25"/>
      <c r="M648" s="25"/>
      <c r="N648" s="25"/>
      <c r="O648" s="25"/>
    </row>
    <row r="649" customFormat="false" ht="13.5" hidden="false" customHeight="true" outlineLevel="0" collapsed="false">
      <c r="B649" s="10"/>
      <c r="C649" s="10"/>
      <c r="D649" s="10"/>
      <c r="E649" s="10"/>
      <c r="F649" s="10"/>
      <c r="J649" s="25"/>
      <c r="K649" s="25"/>
      <c r="L649" s="25"/>
      <c r="M649" s="25"/>
      <c r="N649" s="25"/>
      <c r="O649" s="25"/>
    </row>
    <row r="650" customFormat="false" ht="15" hidden="false" customHeight="false" outlineLevel="0" collapsed="false">
      <c r="B650" s="10" t="str">
        <f aca="false">$K$632&amp;","</f>
        <v>Madame, Monsieur,</v>
      </c>
      <c r="C650" s="10"/>
      <c r="D650" s="10"/>
      <c r="E650" s="10"/>
      <c r="F650" s="10"/>
      <c r="J650" s="25"/>
      <c r="K650" s="25"/>
      <c r="L650" s="25"/>
      <c r="M650" s="25"/>
      <c r="N650" s="25"/>
      <c r="O650" s="25"/>
    </row>
    <row r="651" customFormat="false" ht="6" hidden="false" customHeight="true" outlineLevel="0" collapsed="false">
      <c r="B651" s="10"/>
      <c r="C651" s="10"/>
      <c r="D651" s="10"/>
      <c r="E651" s="10"/>
      <c r="F651" s="10"/>
      <c r="J651" s="25"/>
      <c r="K651" s="25"/>
      <c r="L651" s="25"/>
      <c r="M651" s="25"/>
      <c r="N651" s="25"/>
      <c r="O651" s="25"/>
    </row>
    <row r="652" customFormat="false" ht="36.75" hidden="false" customHeight="true" outlineLevel="0" collapsed="false">
      <c r="B652" s="37" t="str">
        <f aca="false">SUBSTITUTE(SUBSTITUTE(SUBSTITUTE(SUBSTITUTE(SUBSTITUTE(Txt_P1,"{cabinet}",Cab_Nom),"{societe}",IF($K$631=0,"",INDEX(Clients!$E$2:$E$501,$K$631)&amp;"")),"{date_effet}",$K$633),"{hausse}",$K$634),"{civilite}",$K$632)</f>
        <v>Nous tenons tout d'abord à vous remercier pour la confiance que vous accordez à ALTHO EXPERTISE. Comme chaque année, et conformément aux dispositions de votre lettre de mission, nous procédons à la révision de nos honoraires.</v>
      </c>
      <c r="C652" s="37"/>
      <c r="D652" s="37"/>
      <c r="E652" s="37"/>
      <c r="F652" s="37"/>
      <c r="J652" s="25"/>
      <c r="K652" s="25"/>
      <c r="L652" s="25"/>
      <c r="M652" s="25"/>
      <c r="N652" s="25"/>
      <c r="O652" s="25"/>
    </row>
    <row r="653" customFormat="false" ht="49.5" hidden="false" customHeight="true" outlineLevel="0" collapsed="false">
      <c r="B653" s="37" t="str">
        <f aca="false">SUBSTITUTE(SUBSTITUTE(SUBSTITUTE(SUBSTITUTE(SUBSTITUTE(Txt_P2,"{cabinet}",Cab_Nom),"{societe}",IF($K$631=0,"",INDEX(Clients!$E$2:$E$501,$K$631)&amp;"")),"{date_effet}",$K$633),"{hausse}",$K$634),"{civilite}",$K$632)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53" s="37"/>
      <c r="D653" s="37"/>
      <c r="E653" s="37"/>
      <c r="F653" s="37"/>
      <c r="J653" s="25"/>
      <c r="K653" s="25"/>
      <c r="L653" s="25"/>
      <c r="M653" s="25"/>
      <c r="N653" s="25"/>
      <c r="O653" s="25"/>
    </row>
    <row r="654" customFormat="false" ht="63" hidden="false" customHeight="true" outlineLevel="0" collapsed="false">
      <c r="B654" s="37" t="str">
        <f aca="false">SUBSTITUTE(SUBSTITUTE(SUBSTITUTE(SUBSTITUTE(SUBSTITUTE(Txt_P3,"{cabinet}",Cab_Nom),"{societe}",IF($K$631=0,"",INDEX(Clients!$E$2:$E$501,$K$631)&amp;"")),"{date_effet}",$K$633),"{hausse}",$K$634),"{civilite}",$K$632)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54" s="37"/>
      <c r="D654" s="37"/>
      <c r="E654" s="37"/>
      <c r="F654" s="37"/>
      <c r="J654" s="25"/>
      <c r="K654" s="25"/>
      <c r="L654" s="25"/>
      <c r="M654" s="25"/>
      <c r="N654" s="25"/>
      <c r="O654" s="25"/>
    </row>
    <row r="655" customFormat="false" ht="24" hidden="false" customHeight="true" outlineLevel="0" collapsed="false">
      <c r="B655" s="37" t="str">
        <f aca="false">SUBSTITUTE(SUBSTITUTE(SUBSTITUTE(SUBSTITUTE(SUBSTITUTE(Txt_P4,"{cabinet}",Cab_Nom),"{societe}",IF($K$631=0,"",INDEX(Clients!$E$2:$E$501,$K$631)&amp;"")),"{date_effet}",$K$633),"{hausse}",$K$634),"{civilite}",$K$632)</f>
        <v>À compter du 1er janvier 2027, vos honoraires annuels hors taxes évolueront ainsi (évolution globale : ) :</v>
      </c>
      <c r="C655" s="37"/>
      <c r="D655" s="37"/>
      <c r="E655" s="37"/>
      <c r="F655" s="37"/>
      <c r="J655" s="25"/>
      <c r="K655" s="25"/>
      <c r="L655" s="25"/>
      <c r="M655" s="25"/>
      <c r="N655" s="25"/>
      <c r="O655" s="25"/>
    </row>
    <row r="656" customFormat="false" ht="3.75" hidden="false" customHeight="true" outlineLevel="0" collapsed="false">
      <c r="B656" s="10"/>
      <c r="C656" s="10"/>
      <c r="D656" s="10"/>
      <c r="E656" s="10"/>
      <c r="F656" s="10"/>
      <c r="J656" s="25"/>
      <c r="K656" s="25"/>
      <c r="L656" s="25"/>
      <c r="M656" s="25"/>
      <c r="N656" s="25"/>
      <c r="O656" s="25"/>
    </row>
    <row r="657" customFormat="false" ht="18" hidden="false" customHeight="true" outlineLevel="0" collapsed="false">
      <c r="B657" s="38" t="s">
        <v>148</v>
      </c>
      <c r="C657" s="39" t="s">
        <v>149</v>
      </c>
      <c r="D657" s="39" t="s">
        <v>150</v>
      </c>
      <c r="E657" s="39" t="s">
        <v>151</v>
      </c>
      <c r="F657" s="39" t="s">
        <v>109</v>
      </c>
      <c r="J657" s="25" t="s">
        <v>152</v>
      </c>
      <c r="K657" s="25" t="s">
        <v>153</v>
      </c>
      <c r="L657" s="25" t="s">
        <v>154</v>
      </c>
      <c r="M657" s="25" t="s">
        <v>155</v>
      </c>
      <c r="N657" s="25" t="s">
        <v>156</v>
      </c>
      <c r="O657" s="25" t="s">
        <v>157</v>
      </c>
    </row>
    <row r="658" customFormat="false" ht="16.5" hidden="false" customHeight="true" outlineLevel="0" collapsed="false">
      <c r="B658" s="40" t="str">
        <f aca="false">IFERROR(INDEX($J$658:$J$661,MATCH($O658,$N$658:$N$661,0)),"")</f>
        <v/>
      </c>
      <c r="C658" s="41" t="str">
        <f aca="false">IFERROR(INDEX($K$658:$K$661,MATCH($O658,$N$658:$N$661,0)),"")</f>
        <v/>
      </c>
      <c r="D658" s="42" t="str">
        <f aca="false">IF(OR(E658="",N(C658)=0),"",E658/C658-1)</f>
        <v/>
      </c>
      <c r="E658" s="41" t="str">
        <f aca="false">IFERROR(INDEX($L$658:$L$661,MATCH($O658,$N$658:$N$661,0)),"")</f>
        <v/>
      </c>
      <c r="F658" s="41" t="str">
        <f aca="false">IF(E658="","",E658-C658)</f>
        <v/>
      </c>
      <c r="J658" s="25" t="str">
        <f aca="false">Lib_Compta</f>
        <v>Mission comptable (tenue, révision, bilan, liasse fiscale)</v>
      </c>
      <c r="K658" s="25" t="n">
        <f aca="false">IF($K$631=0,0,N(INDEX(Clients!$K$2:$K$501,$K$631)))</f>
        <v>0</v>
      </c>
      <c r="L658" s="25" t="n">
        <f aca="false">IF($K$631=0,0,N(INDEX(Clients!$P$2:$P$501,$K$631)))</f>
        <v>0</v>
      </c>
      <c r="M658" s="25" t="n">
        <f aca="false">IF(OR(K658&lt;&gt;0,L658&lt;&gt;0),1,0)</f>
        <v>0</v>
      </c>
      <c r="N658" s="25" t="str">
        <f aca="false">IF(M658=1,SUM($M$658:M658),"")</f>
        <v/>
      </c>
      <c r="O658" s="25" t="n">
        <v>1</v>
      </c>
    </row>
    <row r="659" customFormat="false" ht="16.5" hidden="false" customHeight="true" outlineLevel="0" collapsed="false">
      <c r="B659" s="40" t="str">
        <f aca="false">IFERROR(INDEX($J$658:$J$661,MATCH($O659,$N$658:$N$661,0)),"")</f>
        <v/>
      </c>
      <c r="C659" s="41" t="str">
        <f aca="false">IFERROR(INDEX($K$658:$K$661,MATCH($O659,$N$658:$N$661,0)),"")</f>
        <v/>
      </c>
      <c r="D659" s="42" t="str">
        <f aca="false">IF(OR(E659="",N(C659)=0),"",E659/C659-1)</f>
        <v/>
      </c>
      <c r="E659" s="41" t="str">
        <f aca="false">IFERROR(INDEX($L$658:$L$661,MATCH($O659,$N$658:$N$661,0)),"")</f>
        <v/>
      </c>
      <c r="F659" s="41" t="str">
        <f aca="false">IF(E659="","",E659-C659)</f>
        <v/>
      </c>
      <c r="J659" s="25" t="str">
        <f aca="false">Lib_Paye</f>
        <v>Mission sociale (bulletins de paie, DSN, déclarations sociales)</v>
      </c>
      <c r="K659" s="25" t="n">
        <f aca="false">IF($K$631=0,0,N(INDEX(Clients!$L$2:$L$501,$K$631)))</f>
        <v>0</v>
      </c>
      <c r="L659" s="25" t="n">
        <f aca="false">IF($K$631=0,0,N(INDEX(Clients!$Q$2:$Q$501,$K$631)))</f>
        <v>0</v>
      </c>
      <c r="M659" s="25" t="n">
        <f aca="false">IF(OR(K659&lt;&gt;0,L659&lt;&gt;0),1,0)</f>
        <v>0</v>
      </c>
      <c r="N659" s="25" t="str">
        <f aca="false">IF(M659=1,SUM($M$658:M659),"")</f>
        <v/>
      </c>
      <c r="O659" s="25" t="n">
        <v>2</v>
      </c>
    </row>
    <row r="660" customFormat="false" ht="16.5" hidden="false" customHeight="true" outlineLevel="0" collapsed="false">
      <c r="B660" s="40" t="str">
        <f aca="false">IFERROR(INDEX($J$658:$J$661,MATCH($O660,$N$658:$N$661,0)),"")</f>
        <v/>
      </c>
      <c r="C660" s="41" t="str">
        <f aca="false">IFERROR(INDEX($K$658:$K$661,MATCH($O660,$N$658:$N$661,0)),"")</f>
        <v/>
      </c>
      <c r="D660" s="42" t="str">
        <f aca="false">IF(OR(E660="",N(C660)=0),"",E660/C660-1)</f>
        <v/>
      </c>
      <c r="E660" s="41" t="str">
        <f aca="false">IFERROR(INDEX($L$658:$L$661,MATCH($O660,$N$658:$N$661,0)),"")</f>
        <v/>
      </c>
      <c r="F660" s="41" t="str">
        <f aca="false">IF(E660="","",E660-C660)</f>
        <v/>
      </c>
      <c r="J660" s="25" t="str">
        <f aca="false">Lib_Jur</f>
        <v>Mission juridique (approbation des comptes, secrétariat juridique)</v>
      </c>
      <c r="K660" s="25" t="n">
        <f aca="false">IF($K$631=0,0,N(INDEX(Clients!$M$2:$M$501,$K$631)))</f>
        <v>0</v>
      </c>
      <c r="L660" s="25" t="n">
        <f aca="false">IF($K$631=0,0,N(INDEX(Clients!$R$2:$R$501,$K$631)))</f>
        <v>0</v>
      </c>
      <c r="M660" s="25" t="n">
        <f aca="false">IF(OR(K660&lt;&gt;0,L660&lt;&gt;0),1,0)</f>
        <v>0</v>
      </c>
      <c r="N660" s="25" t="str">
        <f aca="false">IF(M660=1,SUM($M$658:M660),"")</f>
        <v/>
      </c>
      <c r="O660" s="25" t="n">
        <v>3</v>
      </c>
    </row>
    <row r="661" customFormat="false" ht="16.5" hidden="false" customHeight="true" outlineLevel="0" collapsed="false">
      <c r="B661" s="40" t="str">
        <f aca="false">IFERROR(INDEX($J$658:$J$661,MATCH($O661,$N$658:$N$661,0)),"")</f>
        <v/>
      </c>
      <c r="C661" s="41" t="str">
        <f aca="false">IFERROR(INDEX($K$658:$K$661,MATCH($O661,$N$658:$N$661,0)),"")</f>
        <v/>
      </c>
      <c r="D661" s="42" t="str">
        <f aca="false">IF(OR(E661="",N(C661)=0),"",E661/C661-1)</f>
        <v/>
      </c>
      <c r="E661" s="41" t="str">
        <f aca="false">IFERROR(INDEX($L$658:$L$661,MATCH($O661,$N$658:$N$661,0)),"")</f>
        <v/>
      </c>
      <c r="F661" s="41" t="str">
        <f aca="false">IF(E661="","",E661-C661)</f>
        <v/>
      </c>
      <c r="J661" s="25" t="str">
        <f aca="false">Lib_PA</f>
        <v>Plateforme agréée – facturation électronique</v>
      </c>
      <c r="K661" s="25" t="n">
        <f aca="false">IF($K$631=0,0,N(INDEX(Clients!$N$2:$N$501,$K$631)))</f>
        <v>0</v>
      </c>
      <c r="L661" s="25" t="n">
        <f aca="false">IF($K$631=0,0,N(INDEX(Clients!$S$2:$S$501,$K$631)))</f>
        <v>0</v>
      </c>
      <c r="M661" s="25" t="n">
        <f aca="false">IF(OR(K661&lt;&gt;0,L661&lt;&gt;0),1,0)</f>
        <v>0</v>
      </c>
      <c r="N661" s="25" t="str">
        <f aca="false">IF(M661=1,SUM($M$658:M661),"")</f>
        <v/>
      </c>
      <c r="O661" s="25" t="n">
        <v>4</v>
      </c>
    </row>
    <row r="662" customFormat="false" ht="18" hidden="false" customHeight="true" outlineLevel="0" collapsed="false">
      <c r="B662" s="43" t="s">
        <v>158</v>
      </c>
      <c r="C662" s="44" t="n">
        <f aca="false">SUM(K658:K661)</f>
        <v>0</v>
      </c>
      <c r="D662" s="45" t="str">
        <f aca="false">IF(N(C662)=0,"",E662/C662-1)</f>
        <v/>
      </c>
      <c r="E662" s="44" t="n">
        <f aca="false">SUM(L658:L661)</f>
        <v>0</v>
      </c>
      <c r="F662" s="44" t="n">
        <f aca="false">E662-C662</f>
        <v>0</v>
      </c>
    </row>
    <row r="663" customFormat="false" ht="15" hidden="false" customHeight="false" outlineLevel="0" collapsed="false">
      <c r="B663" s="46" t="str">
        <f aca="false">IF(N(Nb_Mensualites)=0,"","Soit "&amp;FIXED(E662/Nb_Mensualites,2)&amp;" € HT par échéance ("&amp;Nb_Mensualites&amp;" échéances), "&amp;FIXED(E662/Nb_Mensualites*(1+Taux_TVA),2)&amp;" € TTC.")</f>
        <v>Soit 0.00 € HT par échéance (12 échéances), 0.00 € TTC.</v>
      </c>
      <c r="C663" s="46"/>
      <c r="D663" s="46"/>
      <c r="E663" s="46"/>
      <c r="F663" s="46"/>
    </row>
    <row r="664" customFormat="false" ht="7.5" hidden="false" customHeight="true" outlineLevel="0" collapsed="false">
      <c r="B664" s="10"/>
      <c r="C664" s="10"/>
      <c r="D664" s="10"/>
      <c r="E664" s="10"/>
      <c r="F664" s="10"/>
    </row>
    <row r="665" customFormat="false" ht="36.75" hidden="false" customHeight="true" outlineLevel="0" collapsed="false">
      <c r="B665" s="37" t="str">
        <f aca="false">SUBSTITUTE(SUBSTITUTE(SUBSTITUTE(SUBSTITUTE(SUBSTITUTE(Txt_P5,"{cabinet}",Cab_Nom),"{societe}",IF($K$631=0,"",INDEX(Clients!$E$2:$E$501,$K$631)&amp;"")),"{date_effet}",$K$633),"{hausse}",$K$634),"{civilite}",$K$632)</f>
        <v>Les autres conditions de votre lettre de mission demeurent inchangées. Les nouveaux montants seront appliqués automatiquement sur vos prochaines factures et échéances de prélèvement.</v>
      </c>
      <c r="C665" s="37"/>
      <c r="D665" s="37"/>
      <c r="E665" s="37"/>
      <c r="F665" s="37"/>
    </row>
    <row r="666" customFormat="false" ht="36.75" hidden="false" customHeight="true" outlineLevel="0" collapsed="false">
      <c r="B666" s="37" t="str">
        <f aca="false">SUBSTITUTE(SUBSTITUTE(SUBSTITUTE(SUBSTITUTE(SUBSTITUTE(Txt_P6,"{cabinet}",Cab_Nom),"{societe}",IF($K$631=0,"",INDEX(Clients!$E$2:$E$501,$K$631)&amp;"")),"{date_effet}",$K$633),"{hausse}",$K$634),"{civilite}",$K$632)</f>
        <v>Votre interlocuteur habituel reste à votre entière disposition pour répondre à vos questions et faire le point sur l'évolution de vos besoins.</v>
      </c>
      <c r="C666" s="37"/>
      <c r="D666" s="37"/>
      <c r="E666" s="37"/>
      <c r="F666" s="37"/>
    </row>
    <row r="667" customFormat="false" ht="24" hidden="false" customHeight="true" outlineLevel="0" collapsed="false">
      <c r="B667" s="37" t="str">
        <f aca="false">SUBSTITUTE(SUBSTITUTE(SUBSTITUTE(SUBSTITUTE(SUBSTITUTE(Txt_Politesse,"{cabinet}",Cab_Nom),"{societe}",IF($K$631=0,"",INDEX(Clients!$E$2:$E$501,$K$631)&amp;"")),"{date_effet}",$K$633),"{hausse}",$K$634),"{civilite}",$K$632)</f>
        <v>Nous vous prions d'agréer, Madame, Monsieur, l'expression de nos salutations distinguées.</v>
      </c>
      <c r="C667" s="37"/>
      <c r="D667" s="37"/>
      <c r="E667" s="37"/>
      <c r="F667" s="37"/>
    </row>
    <row r="668" customFormat="false" ht="15" hidden="false" customHeight="false" outlineLevel="0" collapsed="false">
      <c r="B668" s="10"/>
      <c r="C668" s="10"/>
      <c r="D668" s="10"/>
      <c r="E668" s="10"/>
      <c r="F668" s="10"/>
    </row>
    <row r="669" customFormat="false" ht="15" hidden="false" customHeight="false" outlineLevel="0" collapsed="false">
      <c r="B669" s="10"/>
      <c r="C669" s="10"/>
      <c r="D669" s="34" t="str">
        <f aca="false">Signataire</f>
        <v>Prénom NOM</v>
      </c>
      <c r="E669" s="34"/>
      <c r="F669" s="34"/>
    </row>
    <row r="670" customFormat="false" ht="15" hidden="false" customHeight="false" outlineLevel="0" collapsed="false">
      <c r="B670" s="10"/>
      <c r="C670" s="10"/>
      <c r="D670" s="47" t="str">
        <f aca="false">Signataire_Titre</f>
        <v>Expert-comptable associé</v>
      </c>
      <c r="E670" s="47"/>
      <c r="F670" s="47"/>
    </row>
    <row r="671" customFormat="false" ht="15.75" hidden="false" customHeight="true" outlineLevel="0" collapsed="false">
      <c r="B671" s="10"/>
      <c r="C671" s="10"/>
      <c r="D671" s="10"/>
      <c r="E671" s="10"/>
      <c r="F671" s="10"/>
    </row>
    <row r="672" customFormat="false" ht="15.75" hidden="false" customHeight="true" outlineLevel="0" collapsed="false">
      <c r="B672" s="10"/>
      <c r="C672" s="10"/>
      <c r="D672" s="10"/>
      <c r="E672" s="10"/>
      <c r="F672" s="10"/>
    </row>
    <row r="673" customFormat="false" ht="15.75" hidden="false" customHeight="true" outlineLevel="0" collapsed="false">
      <c r="B673" s="10"/>
      <c r="C673" s="10"/>
      <c r="D673" s="10"/>
      <c r="E673" s="10"/>
      <c r="F673" s="10"/>
    </row>
    <row r="674" customFormat="false" ht="15.75" hidden="false" customHeight="true" outlineLevel="0" collapsed="false">
      <c r="B674" s="10"/>
      <c r="C674" s="10"/>
      <c r="D674" s="10"/>
      <c r="E674" s="10"/>
      <c r="F674" s="10"/>
    </row>
    <row r="675" customFormat="false" ht="24" hidden="false" customHeight="true" outlineLevel="0" collapsed="false">
      <c r="B675" s="48" t="str">
        <f aca="false">Cab_Mentions</f>
        <v>ALTHO EXPERTISE · SAS au capital de 10 000 € · RCS Pontoise 919 706 325 · TVA FR62919706325 · Société d'expertise comptable inscrite au Tableau de l'Ordre des experts-comptables de Paris Île-de-France</v>
      </c>
      <c r="C675" s="48"/>
      <c r="D675" s="48"/>
      <c r="E675" s="48"/>
      <c r="F675" s="48"/>
    </row>
    <row r="676" customFormat="false" ht="15" hidden="false" customHeight="false" outlineLevel="0" collapsed="false">
      <c r="B676" s="10"/>
      <c r="C676" s="10"/>
      <c r="D676" s="10"/>
      <c r="E676" s="10"/>
      <c r="F676" s="10"/>
      <c r="J676" s="25" t="s">
        <v>142</v>
      </c>
      <c r="K676" s="25" t="n">
        <f aca="false">IFERROR(MATCH(16,Clients!$Z$2:$Z$501,0),0)</f>
        <v>0</v>
      </c>
      <c r="L676" s="25"/>
      <c r="M676" s="25"/>
      <c r="N676" s="25"/>
      <c r="O676" s="25"/>
    </row>
    <row r="677" customFormat="false" ht="21.75" hidden="false" customHeight="true" outlineLevel="0" collapsed="false">
      <c r="B677" s="26" t="str">
        <f aca="false">Cab_Nom</f>
        <v>ALTHO EXPERTISE</v>
      </c>
      <c r="C677" s="26"/>
      <c r="D677" s="10"/>
      <c r="E677" s="27" t="str">
        <f aca="false">IF($K$676=0,"","Réf. client : "&amp;INDEX(Clients!$A$2:$A$501,$K$676))</f>
        <v/>
      </c>
      <c r="F677" s="27"/>
      <c r="J677" s="25" t="s">
        <v>144</v>
      </c>
      <c r="K677" s="25" t="str">
        <f aca="false">IF(IF($K$676=0,"",INDEX(Clients!$B$2:$B$501,$K$676)&amp;"")="Mme","Madame",IF(IF($K$676=0,"",INDEX(Clients!$B$2:$B$501,$K$676)&amp;"")="M.","Monsieur","Madame, Monsieur"))</f>
        <v>Madame, Monsieur</v>
      </c>
      <c r="L677" s="25"/>
      <c r="M677" s="25"/>
      <c r="N677" s="25"/>
      <c r="O677" s="25"/>
    </row>
    <row r="678" customFormat="false" ht="15" hidden="false" customHeight="false" outlineLevel="0" collapsed="false">
      <c r="B678" s="29" t="str">
        <f aca="false">Cab_Adr1</f>
        <v>141 rue Charles de Gaulle</v>
      </c>
      <c r="C678" s="29"/>
      <c r="D678" s="10"/>
      <c r="E678" s="10"/>
      <c r="F678" s="10"/>
      <c r="J678" s="25" t="s">
        <v>145</v>
      </c>
      <c r="K678" s="25" t="str">
        <f aca="false">DAY(Date_Effet)&amp;IF(DAY(Date_Effet)=1,"er","")&amp;" "&amp;INDEX(Liste_Mois,MONTH(Date_Effet))&amp;" "&amp;YEAR(Date_Effet)</f>
        <v>1er janvier 2027</v>
      </c>
      <c r="L678" s="25"/>
      <c r="M678" s="25"/>
      <c r="N678" s="25"/>
      <c r="O678" s="25"/>
    </row>
    <row r="679" customFormat="false" ht="15" hidden="false" customHeight="false" outlineLevel="0" collapsed="false">
      <c r="B679" s="29" t="str">
        <f aca="false">Cab_CPVille</f>
        <v>95130 LE PLESSIS-BOUCHARD</v>
      </c>
      <c r="C679" s="29"/>
      <c r="D679" s="10"/>
      <c r="E679" s="10"/>
      <c r="F679" s="10"/>
      <c r="J679" s="25" t="s">
        <v>146</v>
      </c>
      <c r="K679" s="25" t="str">
        <f aca="false">IF(SUM($K$703:$K$706)=0,"",FIXED((SUM($L$703:$L$706)/SUM($K$703:$K$706)-1)*100,1)&amp;" %")</f>
        <v/>
      </c>
      <c r="L679" s="25"/>
      <c r="M679" s="25"/>
      <c r="N679" s="25"/>
      <c r="O679" s="25"/>
    </row>
    <row r="680" customFormat="false" ht="15" hidden="false" customHeight="false" outlineLevel="0" collapsed="false">
      <c r="B680" s="29" t="str">
        <f aca="false">Cab_Contact</f>
        <v>Tél. 01 34 14 53 45  ·  altho@altho-experts.com  ·  altho-experts.com</v>
      </c>
      <c r="C680" s="29"/>
      <c r="D680" s="10"/>
      <c r="E680" s="10"/>
      <c r="F680" s="10"/>
      <c r="J680" s="25"/>
      <c r="K680" s="25"/>
      <c r="L680" s="25"/>
      <c r="M680" s="25"/>
      <c r="N680" s="25"/>
      <c r="O680" s="25"/>
    </row>
    <row r="681" customFormat="false" ht="6" hidden="false" customHeight="true" outlineLevel="0" collapsed="false">
      <c r="B681" s="32"/>
      <c r="C681" s="32"/>
      <c r="D681" s="32"/>
      <c r="E681" s="32"/>
      <c r="F681" s="32"/>
      <c r="J681" s="25"/>
      <c r="K681" s="25"/>
      <c r="L681" s="25"/>
      <c r="M681" s="25"/>
      <c r="N681" s="25"/>
      <c r="O681" s="25"/>
    </row>
    <row r="682" customFormat="false" ht="13.5" hidden="false" customHeight="true" outlineLevel="0" collapsed="false">
      <c r="B682" s="10"/>
      <c r="C682" s="10"/>
      <c r="D682" s="10"/>
      <c r="E682" s="10"/>
      <c r="F682" s="10"/>
      <c r="J682" s="25"/>
      <c r="K682" s="25"/>
      <c r="L682" s="25"/>
      <c r="M682" s="25"/>
      <c r="N682" s="25"/>
      <c r="O682" s="25"/>
    </row>
    <row r="683" customFormat="false" ht="13.5" hidden="false" customHeight="true" outlineLevel="0" collapsed="false">
      <c r="B683" s="10"/>
      <c r="C683" s="10"/>
      <c r="D683" s="10"/>
      <c r="E683" s="10"/>
      <c r="F683" s="10"/>
      <c r="J683" s="25"/>
      <c r="K683" s="25"/>
      <c r="L683" s="25"/>
      <c r="M683" s="25"/>
      <c r="N683" s="25"/>
      <c r="O683" s="25"/>
    </row>
    <row r="684" customFormat="false" ht="13.5" hidden="false" customHeight="true" outlineLevel="0" collapsed="false">
      <c r="B684" s="10"/>
      <c r="C684" s="10"/>
      <c r="D684" s="10"/>
      <c r="E684" s="10"/>
      <c r="F684" s="10"/>
      <c r="J684" s="25"/>
      <c r="K684" s="25"/>
      <c r="L684" s="25"/>
      <c r="M684" s="25"/>
      <c r="N684" s="25"/>
      <c r="O684" s="25"/>
    </row>
    <row r="685" customFormat="false" ht="15" hidden="false" customHeight="true" outlineLevel="0" collapsed="false">
      <c r="B685" s="10"/>
      <c r="C685" s="10"/>
      <c r="D685" s="34" t="str">
        <f aca="false">IF($K$676=0,"",INDEX(Clients!$E$2:$E$501,$K$676)&amp;"")</f>
        <v/>
      </c>
      <c r="E685" s="34"/>
      <c r="F685" s="34"/>
      <c r="J685" s="25"/>
      <c r="K685" s="25"/>
      <c r="L685" s="25"/>
      <c r="M685" s="25"/>
      <c r="N685" s="25"/>
      <c r="O685" s="25"/>
    </row>
    <row r="686" customFormat="false" ht="15" hidden="false" customHeight="true" outlineLevel="0" collapsed="false">
      <c r="B686" s="10"/>
      <c r="C686" s="10"/>
      <c r="D686" s="35" t="str">
        <f aca="false">IF(IF($K$676=0,"",INDEX(Clients!$D$2:$D$501,$K$676)&amp;"")="","","À l'attention de "&amp;TRIM(IF($K$676=0,"",INDEX(Clients!$B$2:$B$501,$K$676)&amp;"")&amp;" "&amp;IF($K$676=0,"",INDEX(Clients!$C$2:$C$501,$K$676)&amp;"")&amp;" "&amp;IF($K$676=0,"",INDEX(Clients!$D$2:$D$501,$K$676)&amp;"")))</f>
        <v/>
      </c>
      <c r="E686" s="35"/>
      <c r="F686" s="35"/>
      <c r="J686" s="25"/>
      <c r="K686" s="25"/>
      <c r="L686" s="25"/>
      <c r="M686" s="25"/>
      <c r="N686" s="25"/>
      <c r="O686" s="25"/>
    </row>
    <row r="687" customFormat="false" ht="15" hidden="false" customHeight="true" outlineLevel="0" collapsed="false">
      <c r="B687" s="10"/>
      <c r="C687" s="10"/>
      <c r="D687" s="35" t="str">
        <f aca="false">IF($K$676=0,"",INDEX(Clients!$F$2:$F$501,$K$676)&amp;"")</f>
        <v/>
      </c>
      <c r="E687" s="35"/>
      <c r="F687" s="35"/>
      <c r="J687" s="25"/>
      <c r="K687" s="25"/>
      <c r="L687" s="25"/>
      <c r="M687" s="25"/>
      <c r="N687" s="25"/>
      <c r="O687" s="25"/>
    </row>
    <row r="688" customFormat="false" ht="15" hidden="false" customHeight="true" outlineLevel="0" collapsed="false">
      <c r="B688" s="10"/>
      <c r="C688" s="10"/>
      <c r="D688" s="35" t="str">
        <f aca="false">IF(IF($K$676=0,"",INDEX(Clients!$G$2:$G$501,$K$676)&amp;"")="",TRIM(IF($K$676=0,"",INDEX(Clients!$H$2:$H$501,$K$676)&amp;"")&amp;" "&amp;UPPER(IF($K$676=0,"",INDEX(Clients!$I$2:$I$501,$K$676)&amp;""))),IF($K$676=0,"",INDEX(Clients!$G$2:$G$501,$K$676)&amp;""))</f>
        <v/>
      </c>
      <c r="E688" s="35"/>
      <c r="F688" s="35"/>
      <c r="J688" s="25"/>
      <c r="K688" s="25"/>
      <c r="L688" s="25"/>
      <c r="M688" s="25"/>
      <c r="N688" s="25"/>
      <c r="O688" s="25"/>
    </row>
    <row r="689" customFormat="false" ht="15" hidden="false" customHeight="true" outlineLevel="0" collapsed="false">
      <c r="B689" s="10"/>
      <c r="C689" s="10"/>
      <c r="D689" s="35" t="str">
        <f aca="false">IF(IF($K$676=0,"",INDEX(Clients!$G$2:$G$501,$K$676)&amp;"")="","",TRIM(IF($K$676=0,"",INDEX(Clients!$H$2:$H$501,$K$676)&amp;"")&amp;" "&amp;UPPER(IF($K$676=0,"",INDEX(Clients!$I$2:$I$501,$K$676)&amp;""))))</f>
        <v/>
      </c>
      <c r="E689" s="35"/>
      <c r="F689" s="35"/>
      <c r="J689" s="25"/>
      <c r="K689" s="25"/>
      <c r="L689" s="25"/>
      <c r="M689" s="25"/>
      <c r="N689" s="25"/>
      <c r="O689" s="25"/>
    </row>
    <row r="690" customFormat="false" ht="25.5" hidden="false" customHeight="true" outlineLevel="0" collapsed="false">
      <c r="B690" s="10"/>
      <c r="C690" s="10"/>
      <c r="D690" s="10"/>
      <c r="E690" s="10"/>
      <c r="F690" s="10"/>
      <c r="J690" s="25"/>
      <c r="K690" s="25"/>
      <c r="L690" s="25"/>
      <c r="M690" s="25"/>
      <c r="N690" s="25"/>
      <c r="O690" s="25"/>
    </row>
    <row r="691" customFormat="false" ht="15" hidden="false" customHeight="false" outlineLevel="0" collapsed="false">
      <c r="B691" s="10"/>
      <c r="C691" s="10"/>
      <c r="D691" s="36" t="str">
        <f aca="false">Cab_Ville&amp;", le "&amp;DAY(Date_Courrier)&amp;IF(DAY(Date_Courrier)=1,"er","")&amp;" "&amp;INDEX(Liste_Mois,MONTH(Date_Courrier))&amp;" "&amp;YEAR(Date_Courrier)</f>
        <v>Le Plessis-Bouchard, le 22 septembre 2026</v>
      </c>
      <c r="E691" s="36"/>
      <c r="F691" s="36"/>
      <c r="J691" s="25"/>
      <c r="K691" s="25"/>
      <c r="L691" s="25"/>
      <c r="M691" s="25"/>
      <c r="N691" s="25"/>
      <c r="O691" s="25"/>
    </row>
    <row r="692" customFormat="false" ht="19.5" hidden="false" customHeight="true" outlineLevel="0" collapsed="false">
      <c r="B692" s="10"/>
      <c r="C692" s="10"/>
      <c r="D692" s="10"/>
      <c r="E692" s="10"/>
      <c r="F692" s="10"/>
      <c r="J692" s="25"/>
      <c r="K692" s="25"/>
      <c r="L692" s="25"/>
      <c r="M692" s="25"/>
      <c r="N692" s="25"/>
      <c r="O692" s="25"/>
    </row>
    <row r="693" customFormat="false" ht="15" hidden="false" customHeight="false" outlineLevel="0" collapsed="false">
      <c r="B693" s="34" t="str">
        <f aca="false">SUBSTITUTE(SUBSTITUTE(SUBSTITUTE(SUBSTITUTE(SUBSTITUTE(Txt_Objet,"{cabinet}",Cab_Nom),"{societe}",IF($K$676=0,"",INDEX(Clients!$E$2:$E$501,$K$676)&amp;"")),"{date_effet}",$K$678),"{hausse}",$K$679),"{civilite}",$K$677)</f>
        <v>Objet : révision de nos honoraires au 1er janvier 2027</v>
      </c>
      <c r="C693" s="34"/>
      <c r="D693" s="34"/>
      <c r="E693" s="34"/>
      <c r="F693" s="34"/>
      <c r="J693" s="25"/>
      <c r="K693" s="25"/>
      <c r="L693" s="25"/>
      <c r="M693" s="25"/>
      <c r="N693" s="25"/>
      <c r="O693" s="25"/>
    </row>
    <row r="694" customFormat="false" ht="13.5" hidden="false" customHeight="true" outlineLevel="0" collapsed="false">
      <c r="B694" s="10"/>
      <c r="C694" s="10"/>
      <c r="D694" s="10"/>
      <c r="E694" s="10"/>
      <c r="F694" s="10"/>
      <c r="J694" s="25"/>
      <c r="K694" s="25"/>
      <c r="L694" s="25"/>
      <c r="M694" s="25"/>
      <c r="N694" s="25"/>
      <c r="O694" s="25"/>
    </row>
    <row r="695" customFormat="false" ht="15" hidden="false" customHeight="false" outlineLevel="0" collapsed="false">
      <c r="B695" s="10" t="str">
        <f aca="false">$K$677&amp;","</f>
        <v>Madame, Monsieur,</v>
      </c>
      <c r="C695" s="10"/>
      <c r="D695" s="10"/>
      <c r="E695" s="10"/>
      <c r="F695" s="10"/>
      <c r="J695" s="25"/>
      <c r="K695" s="25"/>
      <c r="L695" s="25"/>
      <c r="M695" s="25"/>
      <c r="N695" s="25"/>
      <c r="O695" s="25"/>
    </row>
    <row r="696" customFormat="false" ht="6" hidden="false" customHeight="true" outlineLevel="0" collapsed="false">
      <c r="B696" s="10"/>
      <c r="C696" s="10"/>
      <c r="D696" s="10"/>
      <c r="E696" s="10"/>
      <c r="F696" s="10"/>
      <c r="J696" s="25"/>
      <c r="K696" s="25"/>
      <c r="L696" s="25"/>
      <c r="M696" s="25"/>
      <c r="N696" s="25"/>
      <c r="O696" s="25"/>
    </row>
    <row r="697" customFormat="false" ht="36.75" hidden="false" customHeight="true" outlineLevel="0" collapsed="false">
      <c r="B697" s="37" t="str">
        <f aca="false">SUBSTITUTE(SUBSTITUTE(SUBSTITUTE(SUBSTITUTE(SUBSTITUTE(Txt_P1,"{cabinet}",Cab_Nom),"{societe}",IF($K$676=0,"",INDEX(Clients!$E$2:$E$501,$K$676)&amp;"")),"{date_effet}",$K$678),"{hausse}",$K$679),"{civilite}",$K$677)</f>
        <v>Nous tenons tout d'abord à vous remercier pour la confiance que vous accordez à ALTHO EXPERTISE. Comme chaque année, et conformément aux dispositions de votre lettre de mission, nous procédons à la révision de nos honoraires.</v>
      </c>
      <c r="C697" s="37"/>
      <c r="D697" s="37"/>
      <c r="E697" s="37"/>
      <c r="F697" s="37"/>
      <c r="J697" s="25"/>
      <c r="K697" s="25"/>
      <c r="L697" s="25"/>
      <c r="M697" s="25"/>
      <c r="N697" s="25"/>
      <c r="O697" s="25"/>
    </row>
    <row r="698" customFormat="false" ht="49.5" hidden="false" customHeight="true" outlineLevel="0" collapsed="false">
      <c r="B698" s="37" t="str">
        <f aca="false">SUBSTITUTE(SUBSTITUTE(SUBSTITUTE(SUBSTITUTE(SUBSTITUTE(Txt_P2,"{cabinet}",Cab_Nom),"{societe}",IF($K$676=0,"",INDEX(Clients!$E$2:$E$501,$K$676)&amp;"")),"{date_effet}",$K$678),"{hausse}",$K$679),"{civilite}",$K$677)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98" s="37"/>
      <c r="D698" s="37"/>
      <c r="E698" s="37"/>
      <c r="F698" s="37"/>
      <c r="J698" s="25"/>
      <c r="K698" s="25"/>
      <c r="L698" s="25"/>
      <c r="M698" s="25"/>
      <c r="N698" s="25"/>
      <c r="O698" s="25"/>
    </row>
    <row r="699" customFormat="false" ht="63" hidden="false" customHeight="true" outlineLevel="0" collapsed="false">
      <c r="B699" s="37" t="str">
        <f aca="false">SUBSTITUTE(SUBSTITUTE(SUBSTITUTE(SUBSTITUTE(SUBSTITUTE(Txt_P3,"{cabinet}",Cab_Nom),"{societe}",IF($K$676=0,"",INDEX(Clients!$E$2:$E$501,$K$676)&amp;"")),"{date_effet}",$K$678),"{hausse}",$K$679),"{civilite}",$K$677)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99" s="37"/>
      <c r="D699" s="37"/>
      <c r="E699" s="37"/>
      <c r="F699" s="37"/>
      <c r="J699" s="25"/>
      <c r="K699" s="25"/>
      <c r="L699" s="25"/>
      <c r="M699" s="25"/>
      <c r="N699" s="25"/>
      <c r="O699" s="25"/>
    </row>
    <row r="700" customFormat="false" ht="24" hidden="false" customHeight="true" outlineLevel="0" collapsed="false">
      <c r="B700" s="37" t="str">
        <f aca="false">SUBSTITUTE(SUBSTITUTE(SUBSTITUTE(SUBSTITUTE(SUBSTITUTE(Txt_P4,"{cabinet}",Cab_Nom),"{societe}",IF($K$676=0,"",INDEX(Clients!$E$2:$E$501,$K$676)&amp;"")),"{date_effet}",$K$678),"{hausse}",$K$679),"{civilite}",$K$677)</f>
        <v>À compter du 1er janvier 2027, vos honoraires annuels hors taxes évolueront ainsi (évolution globale : ) :</v>
      </c>
      <c r="C700" s="37"/>
      <c r="D700" s="37"/>
      <c r="E700" s="37"/>
      <c r="F700" s="37"/>
      <c r="J700" s="25"/>
      <c r="K700" s="25"/>
      <c r="L700" s="25"/>
      <c r="M700" s="25"/>
      <c r="N700" s="25"/>
      <c r="O700" s="25"/>
    </row>
    <row r="701" customFormat="false" ht="3.75" hidden="false" customHeight="true" outlineLevel="0" collapsed="false">
      <c r="B701" s="10"/>
      <c r="C701" s="10"/>
      <c r="D701" s="10"/>
      <c r="E701" s="10"/>
      <c r="F701" s="10"/>
      <c r="J701" s="25"/>
      <c r="K701" s="25"/>
      <c r="L701" s="25"/>
      <c r="M701" s="25"/>
      <c r="N701" s="25"/>
      <c r="O701" s="25"/>
    </row>
    <row r="702" customFormat="false" ht="18" hidden="false" customHeight="true" outlineLevel="0" collapsed="false">
      <c r="B702" s="38" t="s">
        <v>148</v>
      </c>
      <c r="C702" s="39" t="s">
        <v>149</v>
      </c>
      <c r="D702" s="39" t="s">
        <v>150</v>
      </c>
      <c r="E702" s="39" t="s">
        <v>151</v>
      </c>
      <c r="F702" s="39" t="s">
        <v>109</v>
      </c>
      <c r="J702" s="25" t="s">
        <v>152</v>
      </c>
      <c r="K702" s="25" t="s">
        <v>153</v>
      </c>
      <c r="L702" s="25" t="s">
        <v>154</v>
      </c>
      <c r="M702" s="25" t="s">
        <v>155</v>
      </c>
      <c r="N702" s="25" t="s">
        <v>156</v>
      </c>
      <c r="O702" s="25" t="s">
        <v>157</v>
      </c>
    </row>
    <row r="703" customFormat="false" ht="16.5" hidden="false" customHeight="true" outlineLevel="0" collapsed="false">
      <c r="B703" s="40" t="str">
        <f aca="false">IFERROR(INDEX($J$703:$J$706,MATCH($O703,$N$703:$N$706,0)),"")</f>
        <v/>
      </c>
      <c r="C703" s="41" t="str">
        <f aca="false">IFERROR(INDEX($K$703:$K$706,MATCH($O703,$N$703:$N$706,0)),"")</f>
        <v/>
      </c>
      <c r="D703" s="42" t="str">
        <f aca="false">IF(OR(E703="",N(C703)=0),"",E703/C703-1)</f>
        <v/>
      </c>
      <c r="E703" s="41" t="str">
        <f aca="false">IFERROR(INDEX($L$703:$L$706,MATCH($O703,$N$703:$N$706,0)),"")</f>
        <v/>
      </c>
      <c r="F703" s="41" t="str">
        <f aca="false">IF(E703="","",E703-C703)</f>
        <v/>
      </c>
      <c r="J703" s="25" t="str">
        <f aca="false">Lib_Compta</f>
        <v>Mission comptable (tenue, révision, bilan, liasse fiscale)</v>
      </c>
      <c r="K703" s="25" t="n">
        <f aca="false">IF($K$676=0,0,N(INDEX(Clients!$K$2:$K$501,$K$676)))</f>
        <v>0</v>
      </c>
      <c r="L703" s="25" t="n">
        <f aca="false">IF($K$676=0,0,N(INDEX(Clients!$P$2:$P$501,$K$676)))</f>
        <v>0</v>
      </c>
      <c r="M703" s="25" t="n">
        <f aca="false">IF(OR(K703&lt;&gt;0,L703&lt;&gt;0),1,0)</f>
        <v>0</v>
      </c>
      <c r="N703" s="25" t="str">
        <f aca="false">IF(M703=1,SUM($M$703:M703),"")</f>
        <v/>
      </c>
      <c r="O703" s="25" t="n">
        <v>1</v>
      </c>
    </row>
    <row r="704" customFormat="false" ht="16.5" hidden="false" customHeight="true" outlineLevel="0" collapsed="false">
      <c r="B704" s="40" t="str">
        <f aca="false">IFERROR(INDEX($J$703:$J$706,MATCH($O704,$N$703:$N$706,0)),"")</f>
        <v/>
      </c>
      <c r="C704" s="41" t="str">
        <f aca="false">IFERROR(INDEX($K$703:$K$706,MATCH($O704,$N$703:$N$706,0)),"")</f>
        <v/>
      </c>
      <c r="D704" s="42" t="str">
        <f aca="false">IF(OR(E704="",N(C704)=0),"",E704/C704-1)</f>
        <v/>
      </c>
      <c r="E704" s="41" t="str">
        <f aca="false">IFERROR(INDEX($L$703:$L$706,MATCH($O704,$N$703:$N$706,0)),"")</f>
        <v/>
      </c>
      <c r="F704" s="41" t="str">
        <f aca="false">IF(E704="","",E704-C704)</f>
        <v/>
      </c>
      <c r="J704" s="25" t="str">
        <f aca="false">Lib_Paye</f>
        <v>Mission sociale (bulletins de paie, DSN, déclarations sociales)</v>
      </c>
      <c r="K704" s="25" t="n">
        <f aca="false">IF($K$676=0,0,N(INDEX(Clients!$L$2:$L$501,$K$676)))</f>
        <v>0</v>
      </c>
      <c r="L704" s="25" t="n">
        <f aca="false">IF($K$676=0,0,N(INDEX(Clients!$Q$2:$Q$501,$K$676)))</f>
        <v>0</v>
      </c>
      <c r="M704" s="25" t="n">
        <f aca="false">IF(OR(K704&lt;&gt;0,L704&lt;&gt;0),1,0)</f>
        <v>0</v>
      </c>
      <c r="N704" s="25" t="str">
        <f aca="false">IF(M704=1,SUM($M$703:M704),"")</f>
        <v/>
      </c>
      <c r="O704" s="25" t="n">
        <v>2</v>
      </c>
    </row>
    <row r="705" customFormat="false" ht="16.5" hidden="false" customHeight="true" outlineLevel="0" collapsed="false">
      <c r="B705" s="40" t="str">
        <f aca="false">IFERROR(INDEX($J$703:$J$706,MATCH($O705,$N$703:$N$706,0)),"")</f>
        <v/>
      </c>
      <c r="C705" s="41" t="str">
        <f aca="false">IFERROR(INDEX($K$703:$K$706,MATCH($O705,$N$703:$N$706,0)),"")</f>
        <v/>
      </c>
      <c r="D705" s="42" t="str">
        <f aca="false">IF(OR(E705="",N(C705)=0),"",E705/C705-1)</f>
        <v/>
      </c>
      <c r="E705" s="41" t="str">
        <f aca="false">IFERROR(INDEX($L$703:$L$706,MATCH($O705,$N$703:$N$706,0)),"")</f>
        <v/>
      </c>
      <c r="F705" s="41" t="str">
        <f aca="false">IF(E705="","",E705-C705)</f>
        <v/>
      </c>
      <c r="J705" s="25" t="str">
        <f aca="false">Lib_Jur</f>
        <v>Mission juridique (approbation des comptes, secrétariat juridique)</v>
      </c>
      <c r="K705" s="25" t="n">
        <f aca="false">IF($K$676=0,0,N(INDEX(Clients!$M$2:$M$501,$K$676)))</f>
        <v>0</v>
      </c>
      <c r="L705" s="25" t="n">
        <f aca="false">IF($K$676=0,0,N(INDEX(Clients!$R$2:$R$501,$K$676)))</f>
        <v>0</v>
      </c>
      <c r="M705" s="25" t="n">
        <f aca="false">IF(OR(K705&lt;&gt;0,L705&lt;&gt;0),1,0)</f>
        <v>0</v>
      </c>
      <c r="N705" s="25" t="str">
        <f aca="false">IF(M705=1,SUM($M$703:M705),"")</f>
        <v/>
      </c>
      <c r="O705" s="25" t="n">
        <v>3</v>
      </c>
    </row>
    <row r="706" customFormat="false" ht="16.5" hidden="false" customHeight="true" outlineLevel="0" collapsed="false">
      <c r="B706" s="40" t="str">
        <f aca="false">IFERROR(INDEX($J$703:$J$706,MATCH($O706,$N$703:$N$706,0)),"")</f>
        <v/>
      </c>
      <c r="C706" s="41" t="str">
        <f aca="false">IFERROR(INDEX($K$703:$K$706,MATCH($O706,$N$703:$N$706,0)),"")</f>
        <v/>
      </c>
      <c r="D706" s="42" t="str">
        <f aca="false">IF(OR(E706="",N(C706)=0),"",E706/C706-1)</f>
        <v/>
      </c>
      <c r="E706" s="41" t="str">
        <f aca="false">IFERROR(INDEX($L$703:$L$706,MATCH($O706,$N$703:$N$706,0)),"")</f>
        <v/>
      </c>
      <c r="F706" s="41" t="str">
        <f aca="false">IF(E706="","",E706-C706)</f>
        <v/>
      </c>
      <c r="J706" s="25" t="str">
        <f aca="false">Lib_PA</f>
        <v>Plateforme agréée – facturation électronique</v>
      </c>
      <c r="K706" s="25" t="n">
        <f aca="false">IF($K$676=0,0,N(INDEX(Clients!$N$2:$N$501,$K$676)))</f>
        <v>0</v>
      </c>
      <c r="L706" s="25" t="n">
        <f aca="false">IF($K$676=0,0,N(INDEX(Clients!$S$2:$S$501,$K$676)))</f>
        <v>0</v>
      </c>
      <c r="M706" s="25" t="n">
        <f aca="false">IF(OR(K706&lt;&gt;0,L706&lt;&gt;0),1,0)</f>
        <v>0</v>
      </c>
      <c r="N706" s="25" t="str">
        <f aca="false">IF(M706=1,SUM($M$703:M706),"")</f>
        <v/>
      </c>
      <c r="O706" s="25" t="n">
        <v>4</v>
      </c>
    </row>
    <row r="707" customFormat="false" ht="18" hidden="false" customHeight="true" outlineLevel="0" collapsed="false">
      <c r="B707" s="43" t="s">
        <v>158</v>
      </c>
      <c r="C707" s="44" t="n">
        <f aca="false">SUM(K703:K706)</f>
        <v>0</v>
      </c>
      <c r="D707" s="45" t="str">
        <f aca="false">IF(N(C707)=0,"",E707/C707-1)</f>
        <v/>
      </c>
      <c r="E707" s="44" t="n">
        <f aca="false">SUM(L703:L706)</f>
        <v>0</v>
      </c>
      <c r="F707" s="44" t="n">
        <f aca="false">E707-C707</f>
        <v>0</v>
      </c>
    </row>
    <row r="708" customFormat="false" ht="15" hidden="false" customHeight="false" outlineLevel="0" collapsed="false">
      <c r="B708" s="46" t="str">
        <f aca="false">IF(N(Nb_Mensualites)=0,"","Soit "&amp;FIXED(E707/Nb_Mensualites,2)&amp;" € HT par échéance ("&amp;Nb_Mensualites&amp;" échéances), "&amp;FIXED(E707/Nb_Mensualites*(1+Taux_TVA),2)&amp;" € TTC.")</f>
        <v>Soit 0.00 € HT par échéance (12 échéances), 0.00 € TTC.</v>
      </c>
      <c r="C708" s="46"/>
      <c r="D708" s="46"/>
      <c r="E708" s="46"/>
      <c r="F708" s="46"/>
    </row>
    <row r="709" customFormat="false" ht="7.5" hidden="false" customHeight="true" outlineLevel="0" collapsed="false">
      <c r="B709" s="10"/>
      <c r="C709" s="10"/>
      <c r="D709" s="10"/>
      <c r="E709" s="10"/>
      <c r="F709" s="10"/>
    </row>
    <row r="710" customFormat="false" ht="36.75" hidden="false" customHeight="true" outlineLevel="0" collapsed="false">
      <c r="B710" s="37" t="str">
        <f aca="false">SUBSTITUTE(SUBSTITUTE(SUBSTITUTE(SUBSTITUTE(SUBSTITUTE(Txt_P5,"{cabinet}",Cab_Nom),"{societe}",IF($K$676=0,"",INDEX(Clients!$E$2:$E$501,$K$676)&amp;"")),"{date_effet}",$K$678),"{hausse}",$K$679),"{civilite}",$K$677)</f>
        <v>Les autres conditions de votre lettre de mission demeurent inchangées. Les nouveaux montants seront appliqués automatiquement sur vos prochaines factures et échéances de prélèvement.</v>
      </c>
      <c r="C710" s="37"/>
      <c r="D710" s="37"/>
      <c r="E710" s="37"/>
      <c r="F710" s="37"/>
    </row>
    <row r="711" customFormat="false" ht="36.75" hidden="false" customHeight="true" outlineLevel="0" collapsed="false">
      <c r="B711" s="37" t="str">
        <f aca="false">SUBSTITUTE(SUBSTITUTE(SUBSTITUTE(SUBSTITUTE(SUBSTITUTE(Txt_P6,"{cabinet}",Cab_Nom),"{societe}",IF($K$676=0,"",INDEX(Clients!$E$2:$E$501,$K$676)&amp;"")),"{date_effet}",$K$678),"{hausse}",$K$679),"{civilite}",$K$677)</f>
        <v>Votre interlocuteur habituel reste à votre entière disposition pour répondre à vos questions et faire le point sur l'évolution de vos besoins.</v>
      </c>
      <c r="C711" s="37"/>
      <c r="D711" s="37"/>
      <c r="E711" s="37"/>
      <c r="F711" s="37"/>
    </row>
    <row r="712" customFormat="false" ht="24" hidden="false" customHeight="true" outlineLevel="0" collapsed="false">
      <c r="B712" s="37" t="str">
        <f aca="false">SUBSTITUTE(SUBSTITUTE(SUBSTITUTE(SUBSTITUTE(SUBSTITUTE(Txt_Politesse,"{cabinet}",Cab_Nom),"{societe}",IF($K$676=0,"",INDEX(Clients!$E$2:$E$501,$K$676)&amp;"")),"{date_effet}",$K$678),"{hausse}",$K$679),"{civilite}",$K$677)</f>
        <v>Nous vous prions d'agréer, Madame, Monsieur, l'expression de nos salutations distinguées.</v>
      </c>
      <c r="C712" s="37"/>
      <c r="D712" s="37"/>
      <c r="E712" s="37"/>
      <c r="F712" s="37"/>
    </row>
    <row r="713" customFormat="false" ht="15" hidden="false" customHeight="false" outlineLevel="0" collapsed="false">
      <c r="B713" s="10"/>
      <c r="C713" s="10"/>
      <c r="D713" s="10"/>
      <c r="E713" s="10"/>
      <c r="F713" s="10"/>
    </row>
    <row r="714" customFormat="false" ht="15" hidden="false" customHeight="false" outlineLevel="0" collapsed="false">
      <c r="B714" s="10"/>
      <c r="C714" s="10"/>
      <c r="D714" s="34" t="str">
        <f aca="false">Signataire</f>
        <v>Prénom NOM</v>
      </c>
      <c r="E714" s="34"/>
      <c r="F714" s="34"/>
    </row>
    <row r="715" customFormat="false" ht="15" hidden="false" customHeight="false" outlineLevel="0" collapsed="false">
      <c r="B715" s="10"/>
      <c r="C715" s="10"/>
      <c r="D715" s="47" t="str">
        <f aca="false">Signataire_Titre</f>
        <v>Expert-comptable associé</v>
      </c>
      <c r="E715" s="47"/>
      <c r="F715" s="47"/>
    </row>
    <row r="716" customFormat="false" ht="15.75" hidden="false" customHeight="true" outlineLevel="0" collapsed="false">
      <c r="B716" s="10"/>
      <c r="C716" s="10"/>
      <c r="D716" s="10"/>
      <c r="E716" s="10"/>
      <c r="F716" s="10"/>
    </row>
    <row r="717" customFormat="false" ht="15.75" hidden="false" customHeight="true" outlineLevel="0" collapsed="false">
      <c r="B717" s="10"/>
      <c r="C717" s="10"/>
      <c r="D717" s="10"/>
      <c r="E717" s="10"/>
      <c r="F717" s="10"/>
    </row>
    <row r="718" customFormat="false" ht="15.75" hidden="false" customHeight="true" outlineLevel="0" collapsed="false">
      <c r="B718" s="10"/>
      <c r="C718" s="10"/>
      <c r="D718" s="10"/>
      <c r="E718" s="10"/>
      <c r="F718" s="10"/>
    </row>
    <row r="719" customFormat="false" ht="15.75" hidden="false" customHeight="true" outlineLevel="0" collapsed="false">
      <c r="B719" s="10"/>
      <c r="C719" s="10"/>
      <c r="D719" s="10"/>
      <c r="E719" s="10"/>
      <c r="F719" s="10"/>
    </row>
    <row r="720" customFormat="false" ht="24" hidden="false" customHeight="true" outlineLevel="0" collapsed="false">
      <c r="B720" s="48" t="str">
        <f aca="false">Cab_Mentions</f>
        <v>ALTHO EXPERTISE · SAS au capital de 10 000 € · RCS Pontoise 919 706 325 · TVA FR62919706325 · Société d'expertise comptable inscrite au Tableau de l'Ordre des experts-comptables de Paris Île-de-France</v>
      </c>
      <c r="C720" s="48"/>
      <c r="D720" s="48"/>
      <c r="E720" s="48"/>
      <c r="F720" s="48"/>
    </row>
    <row r="721" customFormat="false" ht="15" hidden="false" customHeight="false" outlineLevel="0" collapsed="false">
      <c r="B721" s="10"/>
      <c r="C721" s="10"/>
      <c r="D721" s="10"/>
      <c r="E721" s="10"/>
      <c r="F721" s="10"/>
      <c r="J721" s="25" t="s">
        <v>142</v>
      </c>
      <c r="K721" s="25" t="n">
        <f aca="false">IFERROR(MATCH(17,Clients!$Z$2:$Z$501,0),0)</f>
        <v>0</v>
      </c>
      <c r="L721" s="25"/>
      <c r="M721" s="25"/>
      <c r="N721" s="25"/>
      <c r="O721" s="25"/>
    </row>
    <row r="722" customFormat="false" ht="21.75" hidden="false" customHeight="true" outlineLevel="0" collapsed="false">
      <c r="B722" s="26" t="str">
        <f aca="false">Cab_Nom</f>
        <v>ALTHO EXPERTISE</v>
      </c>
      <c r="C722" s="26"/>
      <c r="D722" s="10"/>
      <c r="E722" s="27" t="str">
        <f aca="false">IF($K$721=0,"","Réf. client : "&amp;INDEX(Clients!$A$2:$A$501,$K$721))</f>
        <v/>
      </c>
      <c r="F722" s="27"/>
      <c r="J722" s="25" t="s">
        <v>144</v>
      </c>
      <c r="K722" s="25" t="str">
        <f aca="false">IF(IF($K$721=0,"",INDEX(Clients!$B$2:$B$501,$K$721)&amp;"")="Mme","Madame",IF(IF($K$721=0,"",INDEX(Clients!$B$2:$B$501,$K$721)&amp;"")="M.","Monsieur","Madame, Monsieur"))</f>
        <v>Madame, Monsieur</v>
      </c>
      <c r="L722" s="25"/>
      <c r="M722" s="25"/>
      <c r="N722" s="25"/>
      <c r="O722" s="25"/>
    </row>
    <row r="723" customFormat="false" ht="15" hidden="false" customHeight="false" outlineLevel="0" collapsed="false">
      <c r="B723" s="29" t="str">
        <f aca="false">Cab_Adr1</f>
        <v>141 rue Charles de Gaulle</v>
      </c>
      <c r="C723" s="29"/>
      <c r="D723" s="10"/>
      <c r="E723" s="10"/>
      <c r="F723" s="10"/>
      <c r="J723" s="25" t="s">
        <v>145</v>
      </c>
      <c r="K723" s="25" t="str">
        <f aca="false">DAY(Date_Effet)&amp;IF(DAY(Date_Effet)=1,"er","")&amp;" "&amp;INDEX(Liste_Mois,MONTH(Date_Effet))&amp;" "&amp;YEAR(Date_Effet)</f>
        <v>1er janvier 2027</v>
      </c>
      <c r="L723" s="25"/>
      <c r="M723" s="25"/>
      <c r="N723" s="25"/>
      <c r="O723" s="25"/>
    </row>
    <row r="724" customFormat="false" ht="15" hidden="false" customHeight="false" outlineLevel="0" collapsed="false">
      <c r="B724" s="29" t="str">
        <f aca="false">Cab_CPVille</f>
        <v>95130 LE PLESSIS-BOUCHARD</v>
      </c>
      <c r="C724" s="29"/>
      <c r="D724" s="10"/>
      <c r="E724" s="10"/>
      <c r="F724" s="10"/>
      <c r="J724" s="25" t="s">
        <v>146</v>
      </c>
      <c r="K724" s="25" t="str">
        <f aca="false">IF(SUM($K$748:$K$751)=0,"",FIXED((SUM($L$748:$L$751)/SUM($K$748:$K$751)-1)*100,1)&amp;" %")</f>
        <v/>
      </c>
      <c r="L724" s="25"/>
      <c r="M724" s="25"/>
      <c r="N724" s="25"/>
      <c r="O724" s="25"/>
    </row>
    <row r="725" customFormat="false" ht="15" hidden="false" customHeight="false" outlineLevel="0" collapsed="false">
      <c r="B725" s="29" t="str">
        <f aca="false">Cab_Contact</f>
        <v>Tél. 01 34 14 53 45  ·  altho@altho-experts.com  ·  altho-experts.com</v>
      </c>
      <c r="C725" s="29"/>
      <c r="D725" s="10"/>
      <c r="E725" s="10"/>
      <c r="F725" s="10"/>
      <c r="J725" s="25"/>
      <c r="K725" s="25"/>
      <c r="L725" s="25"/>
      <c r="M725" s="25"/>
      <c r="N725" s="25"/>
      <c r="O725" s="25"/>
    </row>
    <row r="726" customFormat="false" ht="6" hidden="false" customHeight="true" outlineLevel="0" collapsed="false">
      <c r="B726" s="32"/>
      <c r="C726" s="32"/>
      <c r="D726" s="32"/>
      <c r="E726" s="32"/>
      <c r="F726" s="32"/>
      <c r="J726" s="25"/>
      <c r="K726" s="25"/>
      <c r="L726" s="25"/>
      <c r="M726" s="25"/>
      <c r="N726" s="25"/>
      <c r="O726" s="25"/>
    </row>
    <row r="727" customFormat="false" ht="13.5" hidden="false" customHeight="true" outlineLevel="0" collapsed="false">
      <c r="B727" s="10"/>
      <c r="C727" s="10"/>
      <c r="D727" s="10"/>
      <c r="E727" s="10"/>
      <c r="F727" s="10"/>
      <c r="J727" s="25"/>
      <c r="K727" s="25"/>
      <c r="L727" s="25"/>
      <c r="M727" s="25"/>
      <c r="N727" s="25"/>
      <c r="O727" s="25"/>
    </row>
    <row r="728" customFormat="false" ht="13.5" hidden="false" customHeight="true" outlineLevel="0" collapsed="false">
      <c r="B728" s="10"/>
      <c r="C728" s="10"/>
      <c r="D728" s="10"/>
      <c r="E728" s="10"/>
      <c r="F728" s="10"/>
      <c r="J728" s="25"/>
      <c r="K728" s="25"/>
      <c r="L728" s="25"/>
      <c r="M728" s="25"/>
      <c r="N728" s="25"/>
      <c r="O728" s="25"/>
    </row>
    <row r="729" customFormat="false" ht="13.5" hidden="false" customHeight="true" outlineLevel="0" collapsed="false">
      <c r="B729" s="10"/>
      <c r="C729" s="10"/>
      <c r="D729" s="10"/>
      <c r="E729" s="10"/>
      <c r="F729" s="10"/>
      <c r="J729" s="25"/>
      <c r="K729" s="25"/>
      <c r="L729" s="25"/>
      <c r="M729" s="25"/>
      <c r="N729" s="25"/>
      <c r="O729" s="25"/>
    </row>
    <row r="730" customFormat="false" ht="15" hidden="false" customHeight="true" outlineLevel="0" collapsed="false">
      <c r="B730" s="10"/>
      <c r="C730" s="10"/>
      <c r="D730" s="34" t="str">
        <f aca="false">IF($K$721=0,"",INDEX(Clients!$E$2:$E$501,$K$721)&amp;"")</f>
        <v/>
      </c>
      <c r="E730" s="34"/>
      <c r="F730" s="34"/>
      <c r="J730" s="25"/>
      <c r="K730" s="25"/>
      <c r="L730" s="25"/>
      <c r="M730" s="25"/>
      <c r="N730" s="25"/>
      <c r="O730" s="25"/>
    </row>
    <row r="731" customFormat="false" ht="15" hidden="false" customHeight="true" outlineLevel="0" collapsed="false">
      <c r="B731" s="10"/>
      <c r="C731" s="10"/>
      <c r="D731" s="35" t="str">
        <f aca="false">IF(IF($K$721=0,"",INDEX(Clients!$D$2:$D$501,$K$721)&amp;"")="","","À l'attention de "&amp;TRIM(IF($K$721=0,"",INDEX(Clients!$B$2:$B$501,$K$721)&amp;"")&amp;" "&amp;IF($K$721=0,"",INDEX(Clients!$C$2:$C$501,$K$721)&amp;"")&amp;" "&amp;IF($K$721=0,"",INDEX(Clients!$D$2:$D$501,$K$721)&amp;"")))</f>
        <v/>
      </c>
      <c r="E731" s="35"/>
      <c r="F731" s="35"/>
      <c r="J731" s="25"/>
      <c r="K731" s="25"/>
      <c r="L731" s="25"/>
      <c r="M731" s="25"/>
      <c r="N731" s="25"/>
      <c r="O731" s="25"/>
    </row>
    <row r="732" customFormat="false" ht="15" hidden="false" customHeight="true" outlineLevel="0" collapsed="false">
      <c r="B732" s="10"/>
      <c r="C732" s="10"/>
      <c r="D732" s="35" t="str">
        <f aca="false">IF($K$721=0,"",INDEX(Clients!$F$2:$F$501,$K$721)&amp;"")</f>
        <v/>
      </c>
      <c r="E732" s="35"/>
      <c r="F732" s="35"/>
      <c r="J732" s="25"/>
      <c r="K732" s="25"/>
      <c r="L732" s="25"/>
      <c r="M732" s="25"/>
      <c r="N732" s="25"/>
      <c r="O732" s="25"/>
    </row>
    <row r="733" customFormat="false" ht="15" hidden="false" customHeight="true" outlineLevel="0" collapsed="false">
      <c r="B733" s="10"/>
      <c r="C733" s="10"/>
      <c r="D733" s="35" t="str">
        <f aca="false">IF(IF($K$721=0,"",INDEX(Clients!$G$2:$G$501,$K$721)&amp;"")="",TRIM(IF($K$721=0,"",INDEX(Clients!$H$2:$H$501,$K$721)&amp;"")&amp;" "&amp;UPPER(IF($K$721=0,"",INDEX(Clients!$I$2:$I$501,$K$721)&amp;""))),IF($K$721=0,"",INDEX(Clients!$G$2:$G$501,$K$721)&amp;""))</f>
        <v/>
      </c>
      <c r="E733" s="35"/>
      <c r="F733" s="35"/>
      <c r="J733" s="25"/>
      <c r="K733" s="25"/>
      <c r="L733" s="25"/>
      <c r="M733" s="25"/>
      <c r="N733" s="25"/>
      <c r="O733" s="25"/>
    </row>
    <row r="734" customFormat="false" ht="15" hidden="false" customHeight="true" outlineLevel="0" collapsed="false">
      <c r="B734" s="10"/>
      <c r="C734" s="10"/>
      <c r="D734" s="35" t="str">
        <f aca="false">IF(IF($K$721=0,"",INDEX(Clients!$G$2:$G$501,$K$721)&amp;"")="","",TRIM(IF($K$721=0,"",INDEX(Clients!$H$2:$H$501,$K$721)&amp;"")&amp;" "&amp;UPPER(IF($K$721=0,"",INDEX(Clients!$I$2:$I$501,$K$721)&amp;""))))</f>
        <v/>
      </c>
      <c r="E734" s="35"/>
      <c r="F734" s="35"/>
      <c r="J734" s="25"/>
      <c r="K734" s="25"/>
      <c r="L734" s="25"/>
      <c r="M734" s="25"/>
      <c r="N734" s="25"/>
      <c r="O734" s="25"/>
    </row>
    <row r="735" customFormat="false" ht="25.5" hidden="false" customHeight="true" outlineLevel="0" collapsed="false">
      <c r="B735" s="10"/>
      <c r="C735" s="10"/>
      <c r="D735" s="10"/>
      <c r="E735" s="10"/>
      <c r="F735" s="10"/>
      <c r="J735" s="25"/>
      <c r="K735" s="25"/>
      <c r="L735" s="25"/>
      <c r="M735" s="25"/>
      <c r="N735" s="25"/>
      <c r="O735" s="25"/>
    </row>
    <row r="736" customFormat="false" ht="15" hidden="false" customHeight="false" outlineLevel="0" collapsed="false">
      <c r="B736" s="10"/>
      <c r="C736" s="10"/>
      <c r="D736" s="36" t="str">
        <f aca="false">Cab_Ville&amp;", le "&amp;DAY(Date_Courrier)&amp;IF(DAY(Date_Courrier)=1,"er","")&amp;" "&amp;INDEX(Liste_Mois,MONTH(Date_Courrier))&amp;" "&amp;YEAR(Date_Courrier)</f>
        <v>Le Plessis-Bouchard, le 22 septembre 2026</v>
      </c>
      <c r="E736" s="36"/>
      <c r="F736" s="36"/>
      <c r="J736" s="25"/>
      <c r="K736" s="25"/>
      <c r="L736" s="25"/>
      <c r="M736" s="25"/>
      <c r="N736" s="25"/>
      <c r="O736" s="25"/>
    </row>
    <row r="737" customFormat="false" ht="19.5" hidden="false" customHeight="true" outlineLevel="0" collapsed="false">
      <c r="B737" s="10"/>
      <c r="C737" s="10"/>
      <c r="D737" s="10"/>
      <c r="E737" s="10"/>
      <c r="F737" s="10"/>
      <c r="J737" s="25"/>
      <c r="K737" s="25"/>
      <c r="L737" s="25"/>
      <c r="M737" s="25"/>
      <c r="N737" s="25"/>
      <c r="O737" s="25"/>
    </row>
    <row r="738" customFormat="false" ht="15" hidden="false" customHeight="false" outlineLevel="0" collapsed="false">
      <c r="B738" s="34" t="str">
        <f aca="false">SUBSTITUTE(SUBSTITUTE(SUBSTITUTE(SUBSTITUTE(SUBSTITUTE(Txt_Objet,"{cabinet}",Cab_Nom),"{societe}",IF($K$721=0,"",INDEX(Clients!$E$2:$E$501,$K$721)&amp;"")),"{date_effet}",$K$723),"{hausse}",$K$724),"{civilite}",$K$722)</f>
        <v>Objet : révision de nos honoraires au 1er janvier 2027</v>
      </c>
      <c r="C738" s="34"/>
      <c r="D738" s="34"/>
      <c r="E738" s="34"/>
      <c r="F738" s="34"/>
      <c r="J738" s="25"/>
      <c r="K738" s="25"/>
      <c r="L738" s="25"/>
      <c r="M738" s="25"/>
      <c r="N738" s="25"/>
      <c r="O738" s="25"/>
    </row>
    <row r="739" customFormat="false" ht="13.5" hidden="false" customHeight="true" outlineLevel="0" collapsed="false">
      <c r="B739" s="10"/>
      <c r="C739" s="10"/>
      <c r="D739" s="10"/>
      <c r="E739" s="10"/>
      <c r="F739" s="10"/>
      <c r="J739" s="25"/>
      <c r="K739" s="25"/>
      <c r="L739" s="25"/>
      <c r="M739" s="25"/>
      <c r="N739" s="25"/>
      <c r="O739" s="25"/>
    </row>
    <row r="740" customFormat="false" ht="15" hidden="false" customHeight="false" outlineLevel="0" collapsed="false">
      <c r="B740" s="10" t="str">
        <f aca="false">$K$722&amp;","</f>
        <v>Madame, Monsieur,</v>
      </c>
      <c r="C740" s="10"/>
      <c r="D740" s="10"/>
      <c r="E740" s="10"/>
      <c r="F740" s="10"/>
      <c r="J740" s="25"/>
      <c r="K740" s="25"/>
      <c r="L740" s="25"/>
      <c r="M740" s="25"/>
      <c r="N740" s="25"/>
      <c r="O740" s="25"/>
    </row>
    <row r="741" customFormat="false" ht="6" hidden="false" customHeight="true" outlineLevel="0" collapsed="false">
      <c r="B741" s="10"/>
      <c r="C741" s="10"/>
      <c r="D741" s="10"/>
      <c r="E741" s="10"/>
      <c r="F741" s="10"/>
      <c r="J741" s="25"/>
      <c r="K741" s="25"/>
      <c r="L741" s="25"/>
      <c r="M741" s="25"/>
      <c r="N741" s="25"/>
      <c r="O741" s="25"/>
    </row>
    <row r="742" customFormat="false" ht="36.75" hidden="false" customHeight="true" outlineLevel="0" collapsed="false">
      <c r="B742" s="37" t="str">
        <f aca="false">SUBSTITUTE(SUBSTITUTE(SUBSTITUTE(SUBSTITUTE(SUBSTITUTE(Txt_P1,"{cabinet}",Cab_Nom),"{societe}",IF($K$721=0,"",INDEX(Clients!$E$2:$E$501,$K$721)&amp;"")),"{date_effet}",$K$723),"{hausse}",$K$724),"{civilite}",$K$722)</f>
        <v>Nous tenons tout d'abord à vous remercier pour la confiance que vous accordez à ALTHO EXPERTISE. Comme chaque année, et conformément aux dispositions de votre lettre de mission, nous procédons à la révision de nos honoraires.</v>
      </c>
      <c r="C742" s="37"/>
      <c r="D742" s="37"/>
      <c r="E742" s="37"/>
      <c r="F742" s="37"/>
      <c r="J742" s="25"/>
      <c r="K742" s="25"/>
      <c r="L742" s="25"/>
      <c r="M742" s="25"/>
      <c r="N742" s="25"/>
      <c r="O742" s="25"/>
    </row>
    <row r="743" customFormat="false" ht="49.5" hidden="false" customHeight="true" outlineLevel="0" collapsed="false">
      <c r="B743" s="37" t="str">
        <f aca="false">SUBSTITUTE(SUBSTITUTE(SUBSTITUTE(SUBSTITUTE(SUBSTITUTE(Txt_P2,"{cabinet}",Cab_Nom),"{societe}",IF($K$721=0,"",INDEX(Clients!$E$2:$E$501,$K$721)&amp;"")),"{date_effet}",$K$723),"{hausse}",$K$724),"{civilite}",$K$722)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43" s="37"/>
      <c r="D743" s="37"/>
      <c r="E743" s="37"/>
      <c r="F743" s="37"/>
      <c r="J743" s="25"/>
      <c r="K743" s="25"/>
      <c r="L743" s="25"/>
      <c r="M743" s="25"/>
      <c r="N743" s="25"/>
      <c r="O743" s="25"/>
    </row>
    <row r="744" customFormat="false" ht="63" hidden="false" customHeight="true" outlineLevel="0" collapsed="false">
      <c r="B744" s="37" t="str">
        <f aca="false">SUBSTITUTE(SUBSTITUTE(SUBSTITUTE(SUBSTITUTE(SUBSTITUTE(Txt_P3,"{cabinet}",Cab_Nom),"{societe}",IF($K$721=0,"",INDEX(Clients!$E$2:$E$501,$K$721)&amp;"")),"{date_effet}",$K$723),"{hausse}",$K$724),"{civilite}",$K$722)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44" s="37"/>
      <c r="D744" s="37"/>
      <c r="E744" s="37"/>
      <c r="F744" s="37"/>
      <c r="J744" s="25"/>
      <c r="K744" s="25"/>
      <c r="L744" s="25"/>
      <c r="M744" s="25"/>
      <c r="N744" s="25"/>
      <c r="O744" s="25"/>
    </row>
    <row r="745" customFormat="false" ht="24" hidden="false" customHeight="true" outlineLevel="0" collapsed="false">
      <c r="B745" s="37" t="str">
        <f aca="false">SUBSTITUTE(SUBSTITUTE(SUBSTITUTE(SUBSTITUTE(SUBSTITUTE(Txt_P4,"{cabinet}",Cab_Nom),"{societe}",IF($K$721=0,"",INDEX(Clients!$E$2:$E$501,$K$721)&amp;"")),"{date_effet}",$K$723),"{hausse}",$K$724),"{civilite}",$K$722)</f>
        <v>À compter du 1er janvier 2027, vos honoraires annuels hors taxes évolueront ainsi (évolution globale : ) :</v>
      </c>
      <c r="C745" s="37"/>
      <c r="D745" s="37"/>
      <c r="E745" s="37"/>
      <c r="F745" s="37"/>
      <c r="J745" s="25"/>
      <c r="K745" s="25"/>
      <c r="L745" s="25"/>
      <c r="M745" s="25"/>
      <c r="N745" s="25"/>
      <c r="O745" s="25"/>
    </row>
    <row r="746" customFormat="false" ht="3.75" hidden="false" customHeight="true" outlineLevel="0" collapsed="false">
      <c r="B746" s="10"/>
      <c r="C746" s="10"/>
      <c r="D746" s="10"/>
      <c r="E746" s="10"/>
      <c r="F746" s="10"/>
      <c r="J746" s="25"/>
      <c r="K746" s="25"/>
      <c r="L746" s="25"/>
      <c r="M746" s="25"/>
      <c r="N746" s="25"/>
      <c r="O746" s="25"/>
    </row>
    <row r="747" customFormat="false" ht="18" hidden="false" customHeight="true" outlineLevel="0" collapsed="false">
      <c r="B747" s="38" t="s">
        <v>148</v>
      </c>
      <c r="C747" s="39" t="s">
        <v>149</v>
      </c>
      <c r="D747" s="39" t="s">
        <v>150</v>
      </c>
      <c r="E747" s="39" t="s">
        <v>151</v>
      </c>
      <c r="F747" s="39" t="s">
        <v>109</v>
      </c>
      <c r="J747" s="25" t="s">
        <v>152</v>
      </c>
      <c r="K747" s="25" t="s">
        <v>153</v>
      </c>
      <c r="L747" s="25" t="s">
        <v>154</v>
      </c>
      <c r="M747" s="25" t="s">
        <v>155</v>
      </c>
      <c r="N747" s="25" t="s">
        <v>156</v>
      </c>
      <c r="O747" s="25" t="s">
        <v>157</v>
      </c>
    </row>
    <row r="748" customFormat="false" ht="16.5" hidden="false" customHeight="true" outlineLevel="0" collapsed="false">
      <c r="B748" s="40" t="str">
        <f aca="false">IFERROR(INDEX($J$748:$J$751,MATCH($O748,$N$748:$N$751,0)),"")</f>
        <v/>
      </c>
      <c r="C748" s="41" t="str">
        <f aca="false">IFERROR(INDEX($K$748:$K$751,MATCH($O748,$N$748:$N$751,0)),"")</f>
        <v/>
      </c>
      <c r="D748" s="42" t="str">
        <f aca="false">IF(OR(E748="",N(C748)=0),"",E748/C748-1)</f>
        <v/>
      </c>
      <c r="E748" s="41" t="str">
        <f aca="false">IFERROR(INDEX($L$748:$L$751,MATCH($O748,$N$748:$N$751,0)),"")</f>
        <v/>
      </c>
      <c r="F748" s="41" t="str">
        <f aca="false">IF(E748="","",E748-C748)</f>
        <v/>
      </c>
      <c r="J748" s="25" t="str">
        <f aca="false">Lib_Compta</f>
        <v>Mission comptable (tenue, révision, bilan, liasse fiscale)</v>
      </c>
      <c r="K748" s="25" t="n">
        <f aca="false">IF($K$721=0,0,N(INDEX(Clients!$K$2:$K$501,$K$721)))</f>
        <v>0</v>
      </c>
      <c r="L748" s="25" t="n">
        <f aca="false">IF($K$721=0,0,N(INDEX(Clients!$P$2:$P$501,$K$721)))</f>
        <v>0</v>
      </c>
      <c r="M748" s="25" t="n">
        <f aca="false">IF(OR(K748&lt;&gt;0,L748&lt;&gt;0),1,0)</f>
        <v>0</v>
      </c>
      <c r="N748" s="25" t="str">
        <f aca="false">IF(M748=1,SUM($M$748:M748),"")</f>
        <v/>
      </c>
      <c r="O748" s="25" t="n">
        <v>1</v>
      </c>
    </row>
    <row r="749" customFormat="false" ht="16.5" hidden="false" customHeight="true" outlineLevel="0" collapsed="false">
      <c r="B749" s="40" t="str">
        <f aca="false">IFERROR(INDEX($J$748:$J$751,MATCH($O749,$N$748:$N$751,0)),"")</f>
        <v/>
      </c>
      <c r="C749" s="41" t="str">
        <f aca="false">IFERROR(INDEX($K$748:$K$751,MATCH($O749,$N$748:$N$751,0)),"")</f>
        <v/>
      </c>
      <c r="D749" s="42" t="str">
        <f aca="false">IF(OR(E749="",N(C749)=0),"",E749/C749-1)</f>
        <v/>
      </c>
      <c r="E749" s="41" t="str">
        <f aca="false">IFERROR(INDEX($L$748:$L$751,MATCH($O749,$N$748:$N$751,0)),"")</f>
        <v/>
      </c>
      <c r="F749" s="41" t="str">
        <f aca="false">IF(E749="","",E749-C749)</f>
        <v/>
      </c>
      <c r="J749" s="25" t="str">
        <f aca="false">Lib_Paye</f>
        <v>Mission sociale (bulletins de paie, DSN, déclarations sociales)</v>
      </c>
      <c r="K749" s="25" t="n">
        <f aca="false">IF($K$721=0,0,N(INDEX(Clients!$L$2:$L$501,$K$721)))</f>
        <v>0</v>
      </c>
      <c r="L749" s="25" t="n">
        <f aca="false">IF($K$721=0,0,N(INDEX(Clients!$Q$2:$Q$501,$K$721)))</f>
        <v>0</v>
      </c>
      <c r="M749" s="25" t="n">
        <f aca="false">IF(OR(K749&lt;&gt;0,L749&lt;&gt;0),1,0)</f>
        <v>0</v>
      </c>
      <c r="N749" s="25" t="str">
        <f aca="false">IF(M749=1,SUM($M$748:M749),"")</f>
        <v/>
      </c>
      <c r="O749" s="25" t="n">
        <v>2</v>
      </c>
    </row>
    <row r="750" customFormat="false" ht="16.5" hidden="false" customHeight="true" outlineLevel="0" collapsed="false">
      <c r="B750" s="40" t="str">
        <f aca="false">IFERROR(INDEX($J$748:$J$751,MATCH($O750,$N$748:$N$751,0)),"")</f>
        <v/>
      </c>
      <c r="C750" s="41" t="str">
        <f aca="false">IFERROR(INDEX($K$748:$K$751,MATCH($O750,$N$748:$N$751,0)),"")</f>
        <v/>
      </c>
      <c r="D750" s="42" t="str">
        <f aca="false">IF(OR(E750="",N(C750)=0),"",E750/C750-1)</f>
        <v/>
      </c>
      <c r="E750" s="41" t="str">
        <f aca="false">IFERROR(INDEX($L$748:$L$751,MATCH($O750,$N$748:$N$751,0)),"")</f>
        <v/>
      </c>
      <c r="F750" s="41" t="str">
        <f aca="false">IF(E750="","",E750-C750)</f>
        <v/>
      </c>
      <c r="J750" s="25" t="str">
        <f aca="false">Lib_Jur</f>
        <v>Mission juridique (approbation des comptes, secrétariat juridique)</v>
      </c>
      <c r="K750" s="25" t="n">
        <f aca="false">IF($K$721=0,0,N(INDEX(Clients!$M$2:$M$501,$K$721)))</f>
        <v>0</v>
      </c>
      <c r="L750" s="25" t="n">
        <f aca="false">IF($K$721=0,0,N(INDEX(Clients!$R$2:$R$501,$K$721)))</f>
        <v>0</v>
      </c>
      <c r="M750" s="25" t="n">
        <f aca="false">IF(OR(K750&lt;&gt;0,L750&lt;&gt;0),1,0)</f>
        <v>0</v>
      </c>
      <c r="N750" s="25" t="str">
        <f aca="false">IF(M750=1,SUM($M$748:M750),"")</f>
        <v/>
      </c>
      <c r="O750" s="25" t="n">
        <v>3</v>
      </c>
    </row>
    <row r="751" customFormat="false" ht="16.5" hidden="false" customHeight="true" outlineLevel="0" collapsed="false">
      <c r="B751" s="40" t="str">
        <f aca="false">IFERROR(INDEX($J$748:$J$751,MATCH($O751,$N$748:$N$751,0)),"")</f>
        <v/>
      </c>
      <c r="C751" s="41" t="str">
        <f aca="false">IFERROR(INDEX($K$748:$K$751,MATCH($O751,$N$748:$N$751,0)),"")</f>
        <v/>
      </c>
      <c r="D751" s="42" t="str">
        <f aca="false">IF(OR(E751="",N(C751)=0),"",E751/C751-1)</f>
        <v/>
      </c>
      <c r="E751" s="41" t="str">
        <f aca="false">IFERROR(INDEX($L$748:$L$751,MATCH($O751,$N$748:$N$751,0)),"")</f>
        <v/>
      </c>
      <c r="F751" s="41" t="str">
        <f aca="false">IF(E751="","",E751-C751)</f>
        <v/>
      </c>
      <c r="J751" s="25" t="str">
        <f aca="false">Lib_PA</f>
        <v>Plateforme agréée – facturation électronique</v>
      </c>
      <c r="K751" s="25" t="n">
        <f aca="false">IF($K$721=0,0,N(INDEX(Clients!$N$2:$N$501,$K$721)))</f>
        <v>0</v>
      </c>
      <c r="L751" s="25" t="n">
        <f aca="false">IF($K$721=0,0,N(INDEX(Clients!$S$2:$S$501,$K$721)))</f>
        <v>0</v>
      </c>
      <c r="M751" s="25" t="n">
        <f aca="false">IF(OR(K751&lt;&gt;0,L751&lt;&gt;0),1,0)</f>
        <v>0</v>
      </c>
      <c r="N751" s="25" t="str">
        <f aca="false">IF(M751=1,SUM($M$748:M751),"")</f>
        <v/>
      </c>
      <c r="O751" s="25" t="n">
        <v>4</v>
      </c>
    </row>
    <row r="752" customFormat="false" ht="18" hidden="false" customHeight="true" outlineLevel="0" collapsed="false">
      <c r="B752" s="43" t="s">
        <v>158</v>
      </c>
      <c r="C752" s="44" t="n">
        <f aca="false">SUM(K748:K751)</f>
        <v>0</v>
      </c>
      <c r="D752" s="45" t="str">
        <f aca="false">IF(N(C752)=0,"",E752/C752-1)</f>
        <v/>
      </c>
      <c r="E752" s="44" t="n">
        <f aca="false">SUM(L748:L751)</f>
        <v>0</v>
      </c>
      <c r="F752" s="44" t="n">
        <f aca="false">E752-C752</f>
        <v>0</v>
      </c>
    </row>
    <row r="753" customFormat="false" ht="15" hidden="false" customHeight="false" outlineLevel="0" collapsed="false">
      <c r="B753" s="46" t="str">
        <f aca="false">IF(N(Nb_Mensualites)=0,"","Soit "&amp;FIXED(E752/Nb_Mensualites,2)&amp;" € HT par échéance ("&amp;Nb_Mensualites&amp;" échéances), "&amp;FIXED(E752/Nb_Mensualites*(1+Taux_TVA),2)&amp;" € TTC.")</f>
        <v>Soit 0.00 € HT par échéance (12 échéances), 0.00 € TTC.</v>
      </c>
      <c r="C753" s="46"/>
      <c r="D753" s="46"/>
      <c r="E753" s="46"/>
      <c r="F753" s="46"/>
    </row>
    <row r="754" customFormat="false" ht="7.5" hidden="false" customHeight="true" outlineLevel="0" collapsed="false">
      <c r="B754" s="10"/>
      <c r="C754" s="10"/>
      <c r="D754" s="10"/>
      <c r="E754" s="10"/>
      <c r="F754" s="10"/>
    </row>
    <row r="755" customFormat="false" ht="36.75" hidden="false" customHeight="true" outlineLevel="0" collapsed="false">
      <c r="B755" s="37" t="str">
        <f aca="false">SUBSTITUTE(SUBSTITUTE(SUBSTITUTE(SUBSTITUTE(SUBSTITUTE(Txt_P5,"{cabinet}",Cab_Nom),"{societe}",IF($K$721=0,"",INDEX(Clients!$E$2:$E$501,$K$721)&amp;"")),"{date_effet}",$K$723),"{hausse}",$K$724),"{civilite}",$K$722)</f>
        <v>Les autres conditions de votre lettre de mission demeurent inchangées. Les nouveaux montants seront appliqués automatiquement sur vos prochaines factures et échéances de prélèvement.</v>
      </c>
      <c r="C755" s="37"/>
      <c r="D755" s="37"/>
      <c r="E755" s="37"/>
      <c r="F755" s="37"/>
    </row>
    <row r="756" customFormat="false" ht="36.75" hidden="false" customHeight="true" outlineLevel="0" collapsed="false">
      <c r="B756" s="37" t="str">
        <f aca="false">SUBSTITUTE(SUBSTITUTE(SUBSTITUTE(SUBSTITUTE(SUBSTITUTE(Txt_P6,"{cabinet}",Cab_Nom),"{societe}",IF($K$721=0,"",INDEX(Clients!$E$2:$E$501,$K$721)&amp;"")),"{date_effet}",$K$723),"{hausse}",$K$724),"{civilite}",$K$722)</f>
        <v>Votre interlocuteur habituel reste à votre entière disposition pour répondre à vos questions et faire le point sur l'évolution de vos besoins.</v>
      </c>
      <c r="C756" s="37"/>
      <c r="D756" s="37"/>
      <c r="E756" s="37"/>
      <c r="F756" s="37"/>
    </row>
    <row r="757" customFormat="false" ht="24" hidden="false" customHeight="true" outlineLevel="0" collapsed="false">
      <c r="B757" s="37" t="str">
        <f aca="false">SUBSTITUTE(SUBSTITUTE(SUBSTITUTE(SUBSTITUTE(SUBSTITUTE(Txt_Politesse,"{cabinet}",Cab_Nom),"{societe}",IF($K$721=0,"",INDEX(Clients!$E$2:$E$501,$K$721)&amp;"")),"{date_effet}",$K$723),"{hausse}",$K$724),"{civilite}",$K$722)</f>
        <v>Nous vous prions d'agréer, Madame, Monsieur, l'expression de nos salutations distinguées.</v>
      </c>
      <c r="C757" s="37"/>
      <c r="D757" s="37"/>
      <c r="E757" s="37"/>
      <c r="F757" s="37"/>
    </row>
    <row r="758" customFormat="false" ht="15" hidden="false" customHeight="false" outlineLevel="0" collapsed="false">
      <c r="B758" s="10"/>
      <c r="C758" s="10"/>
      <c r="D758" s="10"/>
      <c r="E758" s="10"/>
      <c r="F758" s="10"/>
    </row>
    <row r="759" customFormat="false" ht="15" hidden="false" customHeight="false" outlineLevel="0" collapsed="false">
      <c r="B759" s="10"/>
      <c r="C759" s="10"/>
      <c r="D759" s="34" t="str">
        <f aca="false">Signataire</f>
        <v>Prénom NOM</v>
      </c>
      <c r="E759" s="34"/>
      <c r="F759" s="34"/>
    </row>
    <row r="760" customFormat="false" ht="15" hidden="false" customHeight="false" outlineLevel="0" collapsed="false">
      <c r="B760" s="10"/>
      <c r="C760" s="10"/>
      <c r="D760" s="47" t="str">
        <f aca="false">Signataire_Titre</f>
        <v>Expert-comptable associé</v>
      </c>
      <c r="E760" s="47"/>
      <c r="F760" s="47"/>
    </row>
    <row r="761" customFormat="false" ht="15.75" hidden="false" customHeight="true" outlineLevel="0" collapsed="false">
      <c r="B761" s="10"/>
      <c r="C761" s="10"/>
      <c r="D761" s="10"/>
      <c r="E761" s="10"/>
      <c r="F761" s="10"/>
    </row>
    <row r="762" customFormat="false" ht="15.75" hidden="false" customHeight="true" outlineLevel="0" collapsed="false">
      <c r="B762" s="10"/>
      <c r="C762" s="10"/>
      <c r="D762" s="10"/>
      <c r="E762" s="10"/>
      <c r="F762" s="10"/>
    </row>
    <row r="763" customFormat="false" ht="15.75" hidden="false" customHeight="true" outlineLevel="0" collapsed="false">
      <c r="B763" s="10"/>
      <c r="C763" s="10"/>
      <c r="D763" s="10"/>
      <c r="E763" s="10"/>
      <c r="F763" s="10"/>
    </row>
    <row r="764" customFormat="false" ht="15.75" hidden="false" customHeight="true" outlineLevel="0" collapsed="false">
      <c r="B764" s="10"/>
      <c r="C764" s="10"/>
      <c r="D764" s="10"/>
      <c r="E764" s="10"/>
      <c r="F764" s="10"/>
    </row>
    <row r="765" customFormat="false" ht="24" hidden="false" customHeight="true" outlineLevel="0" collapsed="false">
      <c r="B765" s="48" t="str">
        <f aca="false">Cab_Mentions</f>
        <v>ALTHO EXPERTISE · SAS au capital de 10 000 € · RCS Pontoise 919 706 325 · TVA FR62919706325 · Société d'expertise comptable inscrite au Tableau de l'Ordre des experts-comptables de Paris Île-de-France</v>
      </c>
      <c r="C765" s="48"/>
      <c r="D765" s="48"/>
      <c r="E765" s="48"/>
      <c r="F765" s="48"/>
    </row>
    <row r="766" customFormat="false" ht="15" hidden="false" customHeight="false" outlineLevel="0" collapsed="false">
      <c r="B766" s="10"/>
      <c r="C766" s="10"/>
      <c r="D766" s="10"/>
      <c r="E766" s="10"/>
      <c r="F766" s="10"/>
      <c r="J766" s="25" t="s">
        <v>142</v>
      </c>
      <c r="K766" s="25" t="n">
        <f aca="false">IFERROR(MATCH(18,Clients!$Z$2:$Z$501,0),0)</f>
        <v>0</v>
      </c>
      <c r="L766" s="25"/>
      <c r="M766" s="25"/>
      <c r="N766" s="25"/>
      <c r="O766" s="25"/>
    </row>
    <row r="767" customFormat="false" ht="21.75" hidden="false" customHeight="true" outlineLevel="0" collapsed="false">
      <c r="B767" s="26" t="str">
        <f aca="false">Cab_Nom</f>
        <v>ALTHO EXPERTISE</v>
      </c>
      <c r="C767" s="26"/>
      <c r="D767" s="10"/>
      <c r="E767" s="27" t="str">
        <f aca="false">IF($K$766=0,"","Réf. client : "&amp;INDEX(Clients!$A$2:$A$501,$K$766))</f>
        <v/>
      </c>
      <c r="F767" s="27"/>
      <c r="J767" s="25" t="s">
        <v>144</v>
      </c>
      <c r="K767" s="25" t="str">
        <f aca="false">IF(IF($K$766=0,"",INDEX(Clients!$B$2:$B$501,$K$766)&amp;"")="Mme","Madame",IF(IF($K$766=0,"",INDEX(Clients!$B$2:$B$501,$K$766)&amp;"")="M.","Monsieur","Madame, Monsieur"))</f>
        <v>Madame, Monsieur</v>
      </c>
      <c r="L767" s="25"/>
      <c r="M767" s="25"/>
      <c r="N767" s="25"/>
      <c r="O767" s="25"/>
    </row>
    <row r="768" customFormat="false" ht="15" hidden="false" customHeight="false" outlineLevel="0" collapsed="false">
      <c r="B768" s="29" t="str">
        <f aca="false">Cab_Adr1</f>
        <v>141 rue Charles de Gaulle</v>
      </c>
      <c r="C768" s="29"/>
      <c r="D768" s="10"/>
      <c r="E768" s="10"/>
      <c r="F768" s="10"/>
      <c r="J768" s="25" t="s">
        <v>145</v>
      </c>
      <c r="K768" s="25" t="str">
        <f aca="false">DAY(Date_Effet)&amp;IF(DAY(Date_Effet)=1,"er","")&amp;" "&amp;INDEX(Liste_Mois,MONTH(Date_Effet))&amp;" "&amp;YEAR(Date_Effet)</f>
        <v>1er janvier 2027</v>
      </c>
      <c r="L768" s="25"/>
      <c r="M768" s="25"/>
      <c r="N768" s="25"/>
      <c r="O768" s="25"/>
    </row>
    <row r="769" customFormat="false" ht="15" hidden="false" customHeight="false" outlineLevel="0" collapsed="false">
      <c r="B769" s="29" t="str">
        <f aca="false">Cab_CPVille</f>
        <v>95130 LE PLESSIS-BOUCHARD</v>
      </c>
      <c r="C769" s="29"/>
      <c r="D769" s="10"/>
      <c r="E769" s="10"/>
      <c r="F769" s="10"/>
      <c r="J769" s="25" t="s">
        <v>146</v>
      </c>
      <c r="K769" s="25" t="str">
        <f aca="false">IF(SUM($K$793:$K$796)=0,"",FIXED((SUM($L$793:$L$796)/SUM($K$793:$K$796)-1)*100,1)&amp;" %")</f>
        <v/>
      </c>
      <c r="L769" s="25"/>
      <c r="M769" s="25"/>
      <c r="N769" s="25"/>
      <c r="O769" s="25"/>
    </row>
    <row r="770" customFormat="false" ht="15" hidden="false" customHeight="false" outlineLevel="0" collapsed="false">
      <c r="B770" s="29" t="str">
        <f aca="false">Cab_Contact</f>
        <v>Tél. 01 34 14 53 45  ·  altho@altho-experts.com  ·  altho-experts.com</v>
      </c>
      <c r="C770" s="29"/>
      <c r="D770" s="10"/>
      <c r="E770" s="10"/>
      <c r="F770" s="10"/>
      <c r="J770" s="25"/>
      <c r="K770" s="25"/>
      <c r="L770" s="25"/>
      <c r="M770" s="25"/>
      <c r="N770" s="25"/>
      <c r="O770" s="25"/>
    </row>
    <row r="771" customFormat="false" ht="6" hidden="false" customHeight="true" outlineLevel="0" collapsed="false">
      <c r="B771" s="32"/>
      <c r="C771" s="32"/>
      <c r="D771" s="32"/>
      <c r="E771" s="32"/>
      <c r="F771" s="32"/>
      <c r="J771" s="25"/>
      <c r="K771" s="25"/>
      <c r="L771" s="25"/>
      <c r="M771" s="25"/>
      <c r="N771" s="25"/>
      <c r="O771" s="25"/>
    </row>
    <row r="772" customFormat="false" ht="13.5" hidden="false" customHeight="true" outlineLevel="0" collapsed="false">
      <c r="B772" s="10"/>
      <c r="C772" s="10"/>
      <c r="D772" s="10"/>
      <c r="E772" s="10"/>
      <c r="F772" s="10"/>
      <c r="J772" s="25"/>
      <c r="K772" s="25"/>
      <c r="L772" s="25"/>
      <c r="M772" s="25"/>
      <c r="N772" s="25"/>
      <c r="O772" s="25"/>
    </row>
    <row r="773" customFormat="false" ht="13.5" hidden="false" customHeight="true" outlineLevel="0" collapsed="false">
      <c r="B773" s="10"/>
      <c r="C773" s="10"/>
      <c r="D773" s="10"/>
      <c r="E773" s="10"/>
      <c r="F773" s="10"/>
      <c r="J773" s="25"/>
      <c r="K773" s="25"/>
      <c r="L773" s="25"/>
      <c r="M773" s="25"/>
      <c r="N773" s="25"/>
      <c r="O773" s="25"/>
    </row>
    <row r="774" customFormat="false" ht="13.5" hidden="false" customHeight="true" outlineLevel="0" collapsed="false">
      <c r="B774" s="10"/>
      <c r="C774" s="10"/>
      <c r="D774" s="10"/>
      <c r="E774" s="10"/>
      <c r="F774" s="10"/>
      <c r="J774" s="25"/>
      <c r="K774" s="25"/>
      <c r="L774" s="25"/>
      <c r="M774" s="25"/>
      <c r="N774" s="25"/>
      <c r="O774" s="25"/>
    </row>
    <row r="775" customFormat="false" ht="15" hidden="false" customHeight="true" outlineLevel="0" collapsed="false">
      <c r="B775" s="10"/>
      <c r="C775" s="10"/>
      <c r="D775" s="34" t="str">
        <f aca="false">IF($K$766=0,"",INDEX(Clients!$E$2:$E$501,$K$766)&amp;"")</f>
        <v/>
      </c>
      <c r="E775" s="34"/>
      <c r="F775" s="34"/>
      <c r="J775" s="25"/>
      <c r="K775" s="25"/>
      <c r="L775" s="25"/>
      <c r="M775" s="25"/>
      <c r="N775" s="25"/>
      <c r="O775" s="25"/>
    </row>
    <row r="776" customFormat="false" ht="15" hidden="false" customHeight="true" outlineLevel="0" collapsed="false">
      <c r="B776" s="10"/>
      <c r="C776" s="10"/>
      <c r="D776" s="35" t="str">
        <f aca="false">IF(IF($K$766=0,"",INDEX(Clients!$D$2:$D$501,$K$766)&amp;"")="","","À l'attention de "&amp;TRIM(IF($K$766=0,"",INDEX(Clients!$B$2:$B$501,$K$766)&amp;"")&amp;" "&amp;IF($K$766=0,"",INDEX(Clients!$C$2:$C$501,$K$766)&amp;"")&amp;" "&amp;IF($K$766=0,"",INDEX(Clients!$D$2:$D$501,$K$766)&amp;"")))</f>
        <v/>
      </c>
      <c r="E776" s="35"/>
      <c r="F776" s="35"/>
      <c r="J776" s="25"/>
      <c r="K776" s="25"/>
      <c r="L776" s="25"/>
      <c r="M776" s="25"/>
      <c r="N776" s="25"/>
      <c r="O776" s="25"/>
    </row>
    <row r="777" customFormat="false" ht="15" hidden="false" customHeight="true" outlineLevel="0" collapsed="false">
      <c r="B777" s="10"/>
      <c r="C777" s="10"/>
      <c r="D777" s="35" t="str">
        <f aca="false">IF($K$766=0,"",INDEX(Clients!$F$2:$F$501,$K$766)&amp;"")</f>
        <v/>
      </c>
      <c r="E777" s="35"/>
      <c r="F777" s="35"/>
      <c r="J777" s="25"/>
      <c r="K777" s="25"/>
      <c r="L777" s="25"/>
      <c r="M777" s="25"/>
      <c r="N777" s="25"/>
      <c r="O777" s="25"/>
    </row>
    <row r="778" customFormat="false" ht="15" hidden="false" customHeight="true" outlineLevel="0" collapsed="false">
      <c r="B778" s="10"/>
      <c r="C778" s="10"/>
      <c r="D778" s="35" t="str">
        <f aca="false">IF(IF($K$766=0,"",INDEX(Clients!$G$2:$G$501,$K$766)&amp;"")="",TRIM(IF($K$766=0,"",INDEX(Clients!$H$2:$H$501,$K$766)&amp;"")&amp;" "&amp;UPPER(IF($K$766=0,"",INDEX(Clients!$I$2:$I$501,$K$766)&amp;""))),IF($K$766=0,"",INDEX(Clients!$G$2:$G$501,$K$766)&amp;""))</f>
        <v/>
      </c>
      <c r="E778" s="35"/>
      <c r="F778" s="35"/>
      <c r="J778" s="25"/>
      <c r="K778" s="25"/>
      <c r="L778" s="25"/>
      <c r="M778" s="25"/>
      <c r="N778" s="25"/>
      <c r="O778" s="25"/>
    </row>
    <row r="779" customFormat="false" ht="15" hidden="false" customHeight="true" outlineLevel="0" collapsed="false">
      <c r="B779" s="10"/>
      <c r="C779" s="10"/>
      <c r="D779" s="35" t="str">
        <f aca="false">IF(IF($K$766=0,"",INDEX(Clients!$G$2:$G$501,$K$766)&amp;"")="","",TRIM(IF($K$766=0,"",INDEX(Clients!$H$2:$H$501,$K$766)&amp;"")&amp;" "&amp;UPPER(IF($K$766=0,"",INDEX(Clients!$I$2:$I$501,$K$766)&amp;""))))</f>
        <v/>
      </c>
      <c r="E779" s="35"/>
      <c r="F779" s="35"/>
      <c r="J779" s="25"/>
      <c r="K779" s="25"/>
      <c r="L779" s="25"/>
      <c r="M779" s="25"/>
      <c r="N779" s="25"/>
      <c r="O779" s="25"/>
    </row>
    <row r="780" customFormat="false" ht="25.5" hidden="false" customHeight="true" outlineLevel="0" collapsed="false">
      <c r="B780" s="10"/>
      <c r="C780" s="10"/>
      <c r="D780" s="10"/>
      <c r="E780" s="10"/>
      <c r="F780" s="10"/>
      <c r="J780" s="25"/>
      <c r="K780" s="25"/>
      <c r="L780" s="25"/>
      <c r="M780" s="25"/>
      <c r="N780" s="25"/>
      <c r="O780" s="25"/>
    </row>
    <row r="781" customFormat="false" ht="15" hidden="false" customHeight="false" outlineLevel="0" collapsed="false">
      <c r="B781" s="10"/>
      <c r="C781" s="10"/>
      <c r="D781" s="36" t="str">
        <f aca="false">Cab_Ville&amp;", le "&amp;DAY(Date_Courrier)&amp;IF(DAY(Date_Courrier)=1,"er","")&amp;" "&amp;INDEX(Liste_Mois,MONTH(Date_Courrier))&amp;" "&amp;YEAR(Date_Courrier)</f>
        <v>Le Plessis-Bouchard, le 22 septembre 2026</v>
      </c>
      <c r="E781" s="36"/>
      <c r="F781" s="36"/>
      <c r="J781" s="25"/>
      <c r="K781" s="25"/>
      <c r="L781" s="25"/>
      <c r="M781" s="25"/>
      <c r="N781" s="25"/>
      <c r="O781" s="25"/>
    </row>
    <row r="782" customFormat="false" ht="19.5" hidden="false" customHeight="true" outlineLevel="0" collapsed="false">
      <c r="B782" s="10"/>
      <c r="C782" s="10"/>
      <c r="D782" s="10"/>
      <c r="E782" s="10"/>
      <c r="F782" s="10"/>
      <c r="J782" s="25"/>
      <c r="K782" s="25"/>
      <c r="L782" s="25"/>
      <c r="M782" s="25"/>
      <c r="N782" s="25"/>
      <c r="O782" s="25"/>
    </row>
    <row r="783" customFormat="false" ht="15" hidden="false" customHeight="false" outlineLevel="0" collapsed="false">
      <c r="B783" s="34" t="str">
        <f aca="false">SUBSTITUTE(SUBSTITUTE(SUBSTITUTE(SUBSTITUTE(SUBSTITUTE(Txt_Objet,"{cabinet}",Cab_Nom),"{societe}",IF($K$766=0,"",INDEX(Clients!$E$2:$E$501,$K$766)&amp;"")),"{date_effet}",$K$768),"{hausse}",$K$769),"{civilite}",$K$767)</f>
        <v>Objet : révision de nos honoraires au 1er janvier 2027</v>
      </c>
      <c r="C783" s="34"/>
      <c r="D783" s="34"/>
      <c r="E783" s="34"/>
      <c r="F783" s="34"/>
      <c r="J783" s="25"/>
      <c r="K783" s="25"/>
      <c r="L783" s="25"/>
      <c r="M783" s="25"/>
      <c r="N783" s="25"/>
      <c r="O783" s="25"/>
    </row>
    <row r="784" customFormat="false" ht="13.5" hidden="false" customHeight="true" outlineLevel="0" collapsed="false">
      <c r="B784" s="10"/>
      <c r="C784" s="10"/>
      <c r="D784" s="10"/>
      <c r="E784" s="10"/>
      <c r="F784" s="10"/>
      <c r="J784" s="25"/>
      <c r="K784" s="25"/>
      <c r="L784" s="25"/>
      <c r="M784" s="25"/>
      <c r="N784" s="25"/>
      <c r="O784" s="25"/>
    </row>
    <row r="785" customFormat="false" ht="15" hidden="false" customHeight="false" outlineLevel="0" collapsed="false">
      <c r="B785" s="10" t="str">
        <f aca="false">$K$767&amp;","</f>
        <v>Madame, Monsieur,</v>
      </c>
      <c r="C785" s="10"/>
      <c r="D785" s="10"/>
      <c r="E785" s="10"/>
      <c r="F785" s="10"/>
      <c r="J785" s="25"/>
      <c r="K785" s="25"/>
      <c r="L785" s="25"/>
      <c r="M785" s="25"/>
      <c r="N785" s="25"/>
      <c r="O785" s="25"/>
    </row>
    <row r="786" customFormat="false" ht="6" hidden="false" customHeight="true" outlineLevel="0" collapsed="false">
      <c r="B786" s="10"/>
      <c r="C786" s="10"/>
      <c r="D786" s="10"/>
      <c r="E786" s="10"/>
      <c r="F786" s="10"/>
      <c r="J786" s="25"/>
      <c r="K786" s="25"/>
      <c r="L786" s="25"/>
      <c r="M786" s="25"/>
      <c r="N786" s="25"/>
      <c r="O786" s="25"/>
    </row>
    <row r="787" customFormat="false" ht="36.75" hidden="false" customHeight="true" outlineLevel="0" collapsed="false">
      <c r="B787" s="37" t="str">
        <f aca="false">SUBSTITUTE(SUBSTITUTE(SUBSTITUTE(SUBSTITUTE(SUBSTITUTE(Txt_P1,"{cabinet}",Cab_Nom),"{societe}",IF($K$766=0,"",INDEX(Clients!$E$2:$E$501,$K$766)&amp;"")),"{date_effet}",$K$768),"{hausse}",$K$769),"{civilite}",$K$767)</f>
        <v>Nous tenons tout d'abord à vous remercier pour la confiance que vous accordez à ALTHO EXPERTISE. Comme chaque année, et conformément aux dispositions de votre lettre de mission, nous procédons à la révision de nos honoraires.</v>
      </c>
      <c r="C787" s="37"/>
      <c r="D787" s="37"/>
      <c r="E787" s="37"/>
      <c r="F787" s="37"/>
      <c r="J787" s="25"/>
      <c r="K787" s="25"/>
      <c r="L787" s="25"/>
      <c r="M787" s="25"/>
      <c r="N787" s="25"/>
      <c r="O787" s="25"/>
    </row>
    <row r="788" customFormat="false" ht="49.5" hidden="false" customHeight="true" outlineLevel="0" collapsed="false">
      <c r="B788" s="37" t="str">
        <f aca="false">SUBSTITUTE(SUBSTITUTE(SUBSTITUTE(SUBSTITUTE(SUBSTITUTE(Txt_P2,"{cabinet}",Cab_Nom),"{societe}",IF($K$766=0,"",INDEX(Clients!$E$2:$E$501,$K$766)&amp;"")),"{date_effet}",$K$768),"{hausse}",$K$769),"{civilite}",$K$767)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88" s="37"/>
      <c r="D788" s="37"/>
      <c r="E788" s="37"/>
      <c r="F788" s="37"/>
      <c r="J788" s="25"/>
      <c r="K788" s="25"/>
      <c r="L788" s="25"/>
      <c r="M788" s="25"/>
      <c r="N788" s="25"/>
      <c r="O788" s="25"/>
    </row>
    <row r="789" customFormat="false" ht="63" hidden="false" customHeight="true" outlineLevel="0" collapsed="false">
      <c r="B789" s="37" t="str">
        <f aca="false">SUBSTITUTE(SUBSTITUTE(SUBSTITUTE(SUBSTITUTE(SUBSTITUTE(Txt_P3,"{cabinet}",Cab_Nom),"{societe}",IF($K$766=0,"",INDEX(Clients!$E$2:$E$501,$K$766)&amp;"")),"{date_effet}",$K$768),"{hausse}",$K$769),"{civilite}",$K$767)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89" s="37"/>
      <c r="D789" s="37"/>
      <c r="E789" s="37"/>
      <c r="F789" s="37"/>
      <c r="J789" s="25"/>
      <c r="K789" s="25"/>
      <c r="L789" s="25"/>
      <c r="M789" s="25"/>
      <c r="N789" s="25"/>
      <c r="O789" s="25"/>
    </row>
    <row r="790" customFormat="false" ht="24" hidden="false" customHeight="true" outlineLevel="0" collapsed="false">
      <c r="B790" s="37" t="str">
        <f aca="false">SUBSTITUTE(SUBSTITUTE(SUBSTITUTE(SUBSTITUTE(SUBSTITUTE(Txt_P4,"{cabinet}",Cab_Nom),"{societe}",IF($K$766=0,"",INDEX(Clients!$E$2:$E$501,$K$766)&amp;"")),"{date_effet}",$K$768),"{hausse}",$K$769),"{civilite}",$K$767)</f>
        <v>À compter du 1er janvier 2027, vos honoraires annuels hors taxes évolueront ainsi (évolution globale : ) :</v>
      </c>
      <c r="C790" s="37"/>
      <c r="D790" s="37"/>
      <c r="E790" s="37"/>
      <c r="F790" s="37"/>
      <c r="J790" s="25"/>
      <c r="K790" s="25"/>
      <c r="L790" s="25"/>
      <c r="M790" s="25"/>
      <c r="N790" s="25"/>
      <c r="O790" s="25"/>
    </row>
    <row r="791" customFormat="false" ht="3.75" hidden="false" customHeight="true" outlineLevel="0" collapsed="false">
      <c r="B791" s="10"/>
      <c r="C791" s="10"/>
      <c r="D791" s="10"/>
      <c r="E791" s="10"/>
      <c r="F791" s="10"/>
      <c r="J791" s="25"/>
      <c r="K791" s="25"/>
      <c r="L791" s="25"/>
      <c r="M791" s="25"/>
      <c r="N791" s="25"/>
      <c r="O791" s="25"/>
    </row>
    <row r="792" customFormat="false" ht="18" hidden="false" customHeight="true" outlineLevel="0" collapsed="false">
      <c r="B792" s="38" t="s">
        <v>148</v>
      </c>
      <c r="C792" s="39" t="s">
        <v>149</v>
      </c>
      <c r="D792" s="39" t="s">
        <v>150</v>
      </c>
      <c r="E792" s="39" t="s">
        <v>151</v>
      </c>
      <c r="F792" s="39" t="s">
        <v>109</v>
      </c>
      <c r="J792" s="25" t="s">
        <v>152</v>
      </c>
      <c r="K792" s="25" t="s">
        <v>153</v>
      </c>
      <c r="L792" s="25" t="s">
        <v>154</v>
      </c>
      <c r="M792" s="25" t="s">
        <v>155</v>
      </c>
      <c r="N792" s="25" t="s">
        <v>156</v>
      </c>
      <c r="O792" s="25" t="s">
        <v>157</v>
      </c>
    </row>
    <row r="793" customFormat="false" ht="16.5" hidden="false" customHeight="true" outlineLevel="0" collapsed="false">
      <c r="B793" s="40" t="str">
        <f aca="false">IFERROR(INDEX($J$793:$J$796,MATCH($O793,$N$793:$N$796,0)),"")</f>
        <v/>
      </c>
      <c r="C793" s="41" t="str">
        <f aca="false">IFERROR(INDEX($K$793:$K$796,MATCH($O793,$N$793:$N$796,0)),"")</f>
        <v/>
      </c>
      <c r="D793" s="42" t="str">
        <f aca="false">IF(OR(E793="",N(C793)=0),"",E793/C793-1)</f>
        <v/>
      </c>
      <c r="E793" s="41" t="str">
        <f aca="false">IFERROR(INDEX($L$793:$L$796,MATCH($O793,$N$793:$N$796,0)),"")</f>
        <v/>
      </c>
      <c r="F793" s="41" t="str">
        <f aca="false">IF(E793="","",E793-C793)</f>
        <v/>
      </c>
      <c r="J793" s="25" t="str">
        <f aca="false">Lib_Compta</f>
        <v>Mission comptable (tenue, révision, bilan, liasse fiscale)</v>
      </c>
      <c r="K793" s="25" t="n">
        <f aca="false">IF($K$766=0,0,N(INDEX(Clients!$K$2:$K$501,$K$766)))</f>
        <v>0</v>
      </c>
      <c r="L793" s="25" t="n">
        <f aca="false">IF($K$766=0,0,N(INDEX(Clients!$P$2:$P$501,$K$766)))</f>
        <v>0</v>
      </c>
      <c r="M793" s="25" t="n">
        <f aca="false">IF(OR(K793&lt;&gt;0,L793&lt;&gt;0),1,0)</f>
        <v>0</v>
      </c>
      <c r="N793" s="25" t="str">
        <f aca="false">IF(M793=1,SUM($M$793:M793),"")</f>
        <v/>
      </c>
      <c r="O793" s="25" t="n">
        <v>1</v>
      </c>
    </row>
    <row r="794" customFormat="false" ht="16.5" hidden="false" customHeight="true" outlineLevel="0" collapsed="false">
      <c r="B794" s="40" t="str">
        <f aca="false">IFERROR(INDEX($J$793:$J$796,MATCH($O794,$N$793:$N$796,0)),"")</f>
        <v/>
      </c>
      <c r="C794" s="41" t="str">
        <f aca="false">IFERROR(INDEX($K$793:$K$796,MATCH($O794,$N$793:$N$796,0)),"")</f>
        <v/>
      </c>
      <c r="D794" s="42" t="str">
        <f aca="false">IF(OR(E794="",N(C794)=0),"",E794/C794-1)</f>
        <v/>
      </c>
      <c r="E794" s="41" t="str">
        <f aca="false">IFERROR(INDEX($L$793:$L$796,MATCH($O794,$N$793:$N$796,0)),"")</f>
        <v/>
      </c>
      <c r="F794" s="41" t="str">
        <f aca="false">IF(E794="","",E794-C794)</f>
        <v/>
      </c>
      <c r="J794" s="25" t="str">
        <f aca="false">Lib_Paye</f>
        <v>Mission sociale (bulletins de paie, DSN, déclarations sociales)</v>
      </c>
      <c r="K794" s="25" t="n">
        <f aca="false">IF($K$766=0,0,N(INDEX(Clients!$L$2:$L$501,$K$766)))</f>
        <v>0</v>
      </c>
      <c r="L794" s="25" t="n">
        <f aca="false">IF($K$766=0,0,N(INDEX(Clients!$Q$2:$Q$501,$K$766)))</f>
        <v>0</v>
      </c>
      <c r="M794" s="25" t="n">
        <f aca="false">IF(OR(K794&lt;&gt;0,L794&lt;&gt;0),1,0)</f>
        <v>0</v>
      </c>
      <c r="N794" s="25" t="str">
        <f aca="false">IF(M794=1,SUM($M$793:M794),"")</f>
        <v/>
      </c>
      <c r="O794" s="25" t="n">
        <v>2</v>
      </c>
    </row>
    <row r="795" customFormat="false" ht="16.5" hidden="false" customHeight="true" outlineLevel="0" collapsed="false">
      <c r="B795" s="40" t="str">
        <f aca="false">IFERROR(INDEX($J$793:$J$796,MATCH($O795,$N$793:$N$796,0)),"")</f>
        <v/>
      </c>
      <c r="C795" s="41" t="str">
        <f aca="false">IFERROR(INDEX($K$793:$K$796,MATCH($O795,$N$793:$N$796,0)),"")</f>
        <v/>
      </c>
      <c r="D795" s="42" t="str">
        <f aca="false">IF(OR(E795="",N(C795)=0),"",E795/C795-1)</f>
        <v/>
      </c>
      <c r="E795" s="41" t="str">
        <f aca="false">IFERROR(INDEX($L$793:$L$796,MATCH($O795,$N$793:$N$796,0)),"")</f>
        <v/>
      </c>
      <c r="F795" s="41" t="str">
        <f aca="false">IF(E795="","",E795-C795)</f>
        <v/>
      </c>
      <c r="J795" s="25" t="str">
        <f aca="false">Lib_Jur</f>
        <v>Mission juridique (approbation des comptes, secrétariat juridique)</v>
      </c>
      <c r="K795" s="25" t="n">
        <f aca="false">IF($K$766=0,0,N(INDEX(Clients!$M$2:$M$501,$K$766)))</f>
        <v>0</v>
      </c>
      <c r="L795" s="25" t="n">
        <f aca="false">IF($K$766=0,0,N(INDEX(Clients!$R$2:$R$501,$K$766)))</f>
        <v>0</v>
      </c>
      <c r="M795" s="25" t="n">
        <f aca="false">IF(OR(K795&lt;&gt;0,L795&lt;&gt;0),1,0)</f>
        <v>0</v>
      </c>
      <c r="N795" s="25" t="str">
        <f aca="false">IF(M795=1,SUM($M$793:M795),"")</f>
        <v/>
      </c>
      <c r="O795" s="25" t="n">
        <v>3</v>
      </c>
    </row>
    <row r="796" customFormat="false" ht="16.5" hidden="false" customHeight="true" outlineLevel="0" collapsed="false">
      <c r="B796" s="40" t="str">
        <f aca="false">IFERROR(INDEX($J$793:$J$796,MATCH($O796,$N$793:$N$796,0)),"")</f>
        <v/>
      </c>
      <c r="C796" s="41" t="str">
        <f aca="false">IFERROR(INDEX($K$793:$K$796,MATCH($O796,$N$793:$N$796,0)),"")</f>
        <v/>
      </c>
      <c r="D796" s="42" t="str">
        <f aca="false">IF(OR(E796="",N(C796)=0),"",E796/C796-1)</f>
        <v/>
      </c>
      <c r="E796" s="41" t="str">
        <f aca="false">IFERROR(INDEX($L$793:$L$796,MATCH($O796,$N$793:$N$796,0)),"")</f>
        <v/>
      </c>
      <c r="F796" s="41" t="str">
        <f aca="false">IF(E796="","",E796-C796)</f>
        <v/>
      </c>
      <c r="J796" s="25" t="str">
        <f aca="false">Lib_PA</f>
        <v>Plateforme agréée – facturation électronique</v>
      </c>
      <c r="K796" s="25" t="n">
        <f aca="false">IF($K$766=0,0,N(INDEX(Clients!$N$2:$N$501,$K$766)))</f>
        <v>0</v>
      </c>
      <c r="L796" s="25" t="n">
        <f aca="false">IF($K$766=0,0,N(INDEX(Clients!$S$2:$S$501,$K$766)))</f>
        <v>0</v>
      </c>
      <c r="M796" s="25" t="n">
        <f aca="false">IF(OR(K796&lt;&gt;0,L796&lt;&gt;0),1,0)</f>
        <v>0</v>
      </c>
      <c r="N796" s="25" t="str">
        <f aca="false">IF(M796=1,SUM($M$793:M796),"")</f>
        <v/>
      </c>
      <c r="O796" s="25" t="n">
        <v>4</v>
      </c>
    </row>
    <row r="797" customFormat="false" ht="18" hidden="false" customHeight="true" outlineLevel="0" collapsed="false">
      <c r="B797" s="43" t="s">
        <v>158</v>
      </c>
      <c r="C797" s="44" t="n">
        <f aca="false">SUM(K793:K796)</f>
        <v>0</v>
      </c>
      <c r="D797" s="45" t="str">
        <f aca="false">IF(N(C797)=0,"",E797/C797-1)</f>
        <v/>
      </c>
      <c r="E797" s="44" t="n">
        <f aca="false">SUM(L793:L796)</f>
        <v>0</v>
      </c>
      <c r="F797" s="44" t="n">
        <f aca="false">E797-C797</f>
        <v>0</v>
      </c>
    </row>
    <row r="798" customFormat="false" ht="15" hidden="false" customHeight="false" outlineLevel="0" collapsed="false">
      <c r="B798" s="46" t="str">
        <f aca="false">IF(N(Nb_Mensualites)=0,"","Soit "&amp;FIXED(E797/Nb_Mensualites,2)&amp;" € HT par échéance ("&amp;Nb_Mensualites&amp;" échéances), "&amp;FIXED(E797/Nb_Mensualites*(1+Taux_TVA),2)&amp;" € TTC.")</f>
        <v>Soit 0.00 € HT par échéance (12 échéances), 0.00 € TTC.</v>
      </c>
      <c r="C798" s="46"/>
      <c r="D798" s="46"/>
      <c r="E798" s="46"/>
      <c r="F798" s="46"/>
    </row>
    <row r="799" customFormat="false" ht="7.5" hidden="false" customHeight="true" outlineLevel="0" collapsed="false">
      <c r="B799" s="10"/>
      <c r="C799" s="10"/>
      <c r="D799" s="10"/>
      <c r="E799" s="10"/>
      <c r="F799" s="10"/>
    </row>
    <row r="800" customFormat="false" ht="36.75" hidden="false" customHeight="true" outlineLevel="0" collapsed="false">
      <c r="B800" s="37" t="str">
        <f aca="false">SUBSTITUTE(SUBSTITUTE(SUBSTITUTE(SUBSTITUTE(SUBSTITUTE(Txt_P5,"{cabinet}",Cab_Nom),"{societe}",IF($K$766=0,"",INDEX(Clients!$E$2:$E$501,$K$766)&amp;"")),"{date_effet}",$K$768),"{hausse}",$K$769),"{civilite}",$K$767)</f>
        <v>Les autres conditions de votre lettre de mission demeurent inchangées. Les nouveaux montants seront appliqués automatiquement sur vos prochaines factures et échéances de prélèvement.</v>
      </c>
      <c r="C800" s="37"/>
      <c r="D800" s="37"/>
      <c r="E800" s="37"/>
      <c r="F800" s="37"/>
    </row>
    <row r="801" customFormat="false" ht="36.75" hidden="false" customHeight="true" outlineLevel="0" collapsed="false">
      <c r="B801" s="37" t="str">
        <f aca="false">SUBSTITUTE(SUBSTITUTE(SUBSTITUTE(SUBSTITUTE(SUBSTITUTE(Txt_P6,"{cabinet}",Cab_Nom),"{societe}",IF($K$766=0,"",INDEX(Clients!$E$2:$E$501,$K$766)&amp;"")),"{date_effet}",$K$768),"{hausse}",$K$769),"{civilite}",$K$767)</f>
        <v>Votre interlocuteur habituel reste à votre entière disposition pour répondre à vos questions et faire le point sur l'évolution de vos besoins.</v>
      </c>
      <c r="C801" s="37"/>
      <c r="D801" s="37"/>
      <c r="E801" s="37"/>
      <c r="F801" s="37"/>
    </row>
    <row r="802" customFormat="false" ht="24" hidden="false" customHeight="true" outlineLevel="0" collapsed="false">
      <c r="B802" s="37" t="str">
        <f aca="false">SUBSTITUTE(SUBSTITUTE(SUBSTITUTE(SUBSTITUTE(SUBSTITUTE(Txt_Politesse,"{cabinet}",Cab_Nom),"{societe}",IF($K$766=0,"",INDEX(Clients!$E$2:$E$501,$K$766)&amp;"")),"{date_effet}",$K$768),"{hausse}",$K$769),"{civilite}",$K$767)</f>
        <v>Nous vous prions d'agréer, Madame, Monsieur, l'expression de nos salutations distinguées.</v>
      </c>
      <c r="C802" s="37"/>
      <c r="D802" s="37"/>
      <c r="E802" s="37"/>
      <c r="F802" s="37"/>
    </row>
    <row r="803" customFormat="false" ht="15" hidden="false" customHeight="false" outlineLevel="0" collapsed="false">
      <c r="B803" s="10"/>
      <c r="C803" s="10"/>
      <c r="D803" s="10"/>
      <c r="E803" s="10"/>
      <c r="F803" s="10"/>
    </row>
    <row r="804" customFormat="false" ht="15" hidden="false" customHeight="false" outlineLevel="0" collapsed="false">
      <c r="B804" s="10"/>
      <c r="C804" s="10"/>
      <c r="D804" s="34" t="str">
        <f aca="false">Signataire</f>
        <v>Prénom NOM</v>
      </c>
      <c r="E804" s="34"/>
      <c r="F804" s="34"/>
    </row>
    <row r="805" customFormat="false" ht="15" hidden="false" customHeight="false" outlineLevel="0" collapsed="false">
      <c r="B805" s="10"/>
      <c r="C805" s="10"/>
      <c r="D805" s="47" t="str">
        <f aca="false">Signataire_Titre</f>
        <v>Expert-comptable associé</v>
      </c>
      <c r="E805" s="47"/>
      <c r="F805" s="47"/>
    </row>
    <row r="806" customFormat="false" ht="15.75" hidden="false" customHeight="true" outlineLevel="0" collapsed="false">
      <c r="B806" s="10"/>
      <c r="C806" s="10"/>
      <c r="D806" s="10"/>
      <c r="E806" s="10"/>
      <c r="F806" s="10"/>
    </row>
    <row r="807" customFormat="false" ht="15.75" hidden="false" customHeight="true" outlineLevel="0" collapsed="false">
      <c r="B807" s="10"/>
      <c r="C807" s="10"/>
      <c r="D807" s="10"/>
      <c r="E807" s="10"/>
      <c r="F807" s="10"/>
    </row>
    <row r="808" customFormat="false" ht="15.75" hidden="false" customHeight="true" outlineLevel="0" collapsed="false">
      <c r="B808" s="10"/>
      <c r="C808" s="10"/>
      <c r="D808" s="10"/>
      <c r="E808" s="10"/>
      <c r="F808" s="10"/>
    </row>
    <row r="809" customFormat="false" ht="15.75" hidden="false" customHeight="true" outlineLevel="0" collapsed="false">
      <c r="B809" s="10"/>
      <c r="C809" s="10"/>
      <c r="D809" s="10"/>
      <c r="E809" s="10"/>
      <c r="F809" s="10"/>
    </row>
    <row r="810" customFormat="false" ht="24" hidden="false" customHeight="true" outlineLevel="0" collapsed="false">
      <c r="B810" s="48" t="str">
        <f aca="false">Cab_Mentions</f>
        <v>ALTHO EXPERTISE · SAS au capital de 10 000 € · RCS Pontoise 919 706 325 · TVA FR62919706325 · Société d'expertise comptable inscrite au Tableau de l'Ordre des experts-comptables de Paris Île-de-France</v>
      </c>
      <c r="C810" s="48"/>
      <c r="D810" s="48"/>
      <c r="E810" s="48"/>
      <c r="F810" s="48"/>
    </row>
    <row r="811" customFormat="false" ht="15" hidden="false" customHeight="false" outlineLevel="0" collapsed="false">
      <c r="B811" s="10"/>
      <c r="C811" s="10"/>
      <c r="D811" s="10"/>
      <c r="E811" s="10"/>
      <c r="F811" s="10"/>
      <c r="J811" s="25" t="s">
        <v>142</v>
      </c>
      <c r="K811" s="25" t="n">
        <f aca="false">IFERROR(MATCH(19,Clients!$Z$2:$Z$501,0),0)</f>
        <v>0</v>
      </c>
      <c r="L811" s="25"/>
      <c r="M811" s="25"/>
      <c r="N811" s="25"/>
      <c r="O811" s="25"/>
    </row>
    <row r="812" customFormat="false" ht="21.75" hidden="false" customHeight="true" outlineLevel="0" collapsed="false">
      <c r="B812" s="26" t="str">
        <f aca="false">Cab_Nom</f>
        <v>ALTHO EXPERTISE</v>
      </c>
      <c r="C812" s="26"/>
      <c r="D812" s="10"/>
      <c r="E812" s="27" t="str">
        <f aca="false">IF($K$811=0,"","Réf. client : "&amp;INDEX(Clients!$A$2:$A$501,$K$811))</f>
        <v/>
      </c>
      <c r="F812" s="27"/>
      <c r="J812" s="25" t="s">
        <v>144</v>
      </c>
      <c r="K812" s="25" t="str">
        <f aca="false">IF(IF($K$811=0,"",INDEX(Clients!$B$2:$B$501,$K$811)&amp;"")="Mme","Madame",IF(IF($K$811=0,"",INDEX(Clients!$B$2:$B$501,$K$811)&amp;"")="M.","Monsieur","Madame, Monsieur"))</f>
        <v>Madame, Monsieur</v>
      </c>
      <c r="L812" s="25"/>
      <c r="M812" s="25"/>
      <c r="N812" s="25"/>
      <c r="O812" s="25"/>
    </row>
    <row r="813" customFormat="false" ht="15" hidden="false" customHeight="false" outlineLevel="0" collapsed="false">
      <c r="B813" s="29" t="str">
        <f aca="false">Cab_Adr1</f>
        <v>141 rue Charles de Gaulle</v>
      </c>
      <c r="C813" s="29"/>
      <c r="D813" s="10"/>
      <c r="E813" s="10"/>
      <c r="F813" s="10"/>
      <c r="J813" s="25" t="s">
        <v>145</v>
      </c>
      <c r="K813" s="25" t="str">
        <f aca="false">DAY(Date_Effet)&amp;IF(DAY(Date_Effet)=1,"er","")&amp;" "&amp;INDEX(Liste_Mois,MONTH(Date_Effet))&amp;" "&amp;YEAR(Date_Effet)</f>
        <v>1er janvier 2027</v>
      </c>
      <c r="L813" s="25"/>
      <c r="M813" s="25"/>
      <c r="N813" s="25"/>
      <c r="O813" s="25"/>
    </row>
    <row r="814" customFormat="false" ht="15" hidden="false" customHeight="false" outlineLevel="0" collapsed="false">
      <c r="B814" s="29" t="str">
        <f aca="false">Cab_CPVille</f>
        <v>95130 LE PLESSIS-BOUCHARD</v>
      </c>
      <c r="C814" s="29"/>
      <c r="D814" s="10"/>
      <c r="E814" s="10"/>
      <c r="F814" s="10"/>
      <c r="J814" s="25" t="s">
        <v>146</v>
      </c>
      <c r="K814" s="25" t="str">
        <f aca="false">IF(SUM($K$838:$K$841)=0,"",FIXED((SUM($L$838:$L$841)/SUM($K$838:$K$841)-1)*100,1)&amp;" %")</f>
        <v/>
      </c>
      <c r="L814" s="25"/>
      <c r="M814" s="25"/>
      <c r="N814" s="25"/>
      <c r="O814" s="25"/>
    </row>
    <row r="815" customFormat="false" ht="15" hidden="false" customHeight="false" outlineLevel="0" collapsed="false">
      <c r="B815" s="29" t="str">
        <f aca="false">Cab_Contact</f>
        <v>Tél. 01 34 14 53 45  ·  altho@altho-experts.com  ·  altho-experts.com</v>
      </c>
      <c r="C815" s="29"/>
      <c r="D815" s="10"/>
      <c r="E815" s="10"/>
      <c r="F815" s="10"/>
      <c r="J815" s="25"/>
      <c r="K815" s="25"/>
      <c r="L815" s="25"/>
      <c r="M815" s="25"/>
      <c r="N815" s="25"/>
      <c r="O815" s="25"/>
    </row>
    <row r="816" customFormat="false" ht="6" hidden="false" customHeight="true" outlineLevel="0" collapsed="false">
      <c r="B816" s="32"/>
      <c r="C816" s="32"/>
      <c r="D816" s="32"/>
      <c r="E816" s="32"/>
      <c r="F816" s="32"/>
      <c r="J816" s="25"/>
      <c r="K816" s="25"/>
      <c r="L816" s="25"/>
      <c r="M816" s="25"/>
      <c r="N816" s="25"/>
      <c r="O816" s="25"/>
    </row>
    <row r="817" customFormat="false" ht="13.5" hidden="false" customHeight="true" outlineLevel="0" collapsed="false">
      <c r="B817" s="10"/>
      <c r="C817" s="10"/>
      <c r="D817" s="10"/>
      <c r="E817" s="10"/>
      <c r="F817" s="10"/>
      <c r="J817" s="25"/>
      <c r="K817" s="25"/>
      <c r="L817" s="25"/>
      <c r="M817" s="25"/>
      <c r="N817" s="25"/>
      <c r="O817" s="25"/>
    </row>
    <row r="818" customFormat="false" ht="13.5" hidden="false" customHeight="true" outlineLevel="0" collapsed="false">
      <c r="B818" s="10"/>
      <c r="C818" s="10"/>
      <c r="D818" s="10"/>
      <c r="E818" s="10"/>
      <c r="F818" s="10"/>
      <c r="J818" s="25"/>
      <c r="K818" s="25"/>
      <c r="L818" s="25"/>
      <c r="M818" s="25"/>
      <c r="N818" s="25"/>
      <c r="O818" s="25"/>
    </row>
    <row r="819" customFormat="false" ht="13.5" hidden="false" customHeight="true" outlineLevel="0" collapsed="false">
      <c r="B819" s="10"/>
      <c r="C819" s="10"/>
      <c r="D819" s="10"/>
      <c r="E819" s="10"/>
      <c r="F819" s="10"/>
      <c r="J819" s="25"/>
      <c r="K819" s="25"/>
      <c r="L819" s="25"/>
      <c r="M819" s="25"/>
      <c r="N819" s="25"/>
      <c r="O819" s="25"/>
    </row>
    <row r="820" customFormat="false" ht="15" hidden="false" customHeight="true" outlineLevel="0" collapsed="false">
      <c r="B820" s="10"/>
      <c r="C820" s="10"/>
      <c r="D820" s="34" t="str">
        <f aca="false">IF($K$811=0,"",INDEX(Clients!$E$2:$E$501,$K$811)&amp;"")</f>
        <v/>
      </c>
      <c r="E820" s="34"/>
      <c r="F820" s="34"/>
      <c r="J820" s="25"/>
      <c r="K820" s="25"/>
      <c r="L820" s="25"/>
      <c r="M820" s="25"/>
      <c r="N820" s="25"/>
      <c r="O820" s="25"/>
    </row>
    <row r="821" customFormat="false" ht="15" hidden="false" customHeight="true" outlineLevel="0" collapsed="false">
      <c r="B821" s="10"/>
      <c r="C821" s="10"/>
      <c r="D821" s="35" t="str">
        <f aca="false">IF(IF($K$811=0,"",INDEX(Clients!$D$2:$D$501,$K$811)&amp;"")="","","À l'attention de "&amp;TRIM(IF($K$811=0,"",INDEX(Clients!$B$2:$B$501,$K$811)&amp;"")&amp;" "&amp;IF($K$811=0,"",INDEX(Clients!$C$2:$C$501,$K$811)&amp;"")&amp;" "&amp;IF($K$811=0,"",INDEX(Clients!$D$2:$D$501,$K$811)&amp;"")))</f>
        <v/>
      </c>
      <c r="E821" s="35"/>
      <c r="F821" s="35"/>
      <c r="J821" s="25"/>
      <c r="K821" s="25"/>
      <c r="L821" s="25"/>
      <c r="M821" s="25"/>
      <c r="N821" s="25"/>
      <c r="O821" s="25"/>
    </row>
    <row r="822" customFormat="false" ht="15" hidden="false" customHeight="true" outlineLevel="0" collapsed="false">
      <c r="B822" s="10"/>
      <c r="C822" s="10"/>
      <c r="D822" s="35" t="str">
        <f aca="false">IF($K$811=0,"",INDEX(Clients!$F$2:$F$501,$K$811)&amp;"")</f>
        <v/>
      </c>
      <c r="E822" s="35"/>
      <c r="F822" s="35"/>
      <c r="J822" s="25"/>
      <c r="K822" s="25"/>
      <c r="L822" s="25"/>
      <c r="M822" s="25"/>
      <c r="N822" s="25"/>
      <c r="O822" s="25"/>
    </row>
    <row r="823" customFormat="false" ht="15" hidden="false" customHeight="true" outlineLevel="0" collapsed="false">
      <c r="B823" s="10"/>
      <c r="C823" s="10"/>
      <c r="D823" s="35" t="str">
        <f aca="false">IF(IF($K$811=0,"",INDEX(Clients!$G$2:$G$501,$K$811)&amp;"")="",TRIM(IF($K$811=0,"",INDEX(Clients!$H$2:$H$501,$K$811)&amp;"")&amp;" "&amp;UPPER(IF($K$811=0,"",INDEX(Clients!$I$2:$I$501,$K$811)&amp;""))),IF($K$811=0,"",INDEX(Clients!$G$2:$G$501,$K$811)&amp;""))</f>
        <v/>
      </c>
      <c r="E823" s="35"/>
      <c r="F823" s="35"/>
      <c r="J823" s="25"/>
      <c r="K823" s="25"/>
      <c r="L823" s="25"/>
      <c r="M823" s="25"/>
      <c r="N823" s="25"/>
      <c r="O823" s="25"/>
    </row>
    <row r="824" customFormat="false" ht="15" hidden="false" customHeight="true" outlineLevel="0" collapsed="false">
      <c r="B824" s="10"/>
      <c r="C824" s="10"/>
      <c r="D824" s="35" t="str">
        <f aca="false">IF(IF($K$811=0,"",INDEX(Clients!$G$2:$G$501,$K$811)&amp;"")="","",TRIM(IF($K$811=0,"",INDEX(Clients!$H$2:$H$501,$K$811)&amp;"")&amp;" "&amp;UPPER(IF($K$811=0,"",INDEX(Clients!$I$2:$I$501,$K$811)&amp;""))))</f>
        <v/>
      </c>
      <c r="E824" s="35"/>
      <c r="F824" s="35"/>
      <c r="J824" s="25"/>
      <c r="K824" s="25"/>
      <c r="L824" s="25"/>
      <c r="M824" s="25"/>
      <c r="N824" s="25"/>
      <c r="O824" s="25"/>
    </row>
    <row r="825" customFormat="false" ht="25.5" hidden="false" customHeight="true" outlineLevel="0" collapsed="false">
      <c r="B825" s="10"/>
      <c r="C825" s="10"/>
      <c r="D825" s="10"/>
      <c r="E825" s="10"/>
      <c r="F825" s="10"/>
      <c r="J825" s="25"/>
      <c r="K825" s="25"/>
      <c r="L825" s="25"/>
      <c r="M825" s="25"/>
      <c r="N825" s="25"/>
      <c r="O825" s="25"/>
    </row>
    <row r="826" customFormat="false" ht="15" hidden="false" customHeight="false" outlineLevel="0" collapsed="false">
      <c r="B826" s="10"/>
      <c r="C826" s="10"/>
      <c r="D826" s="36" t="str">
        <f aca="false">Cab_Ville&amp;", le "&amp;DAY(Date_Courrier)&amp;IF(DAY(Date_Courrier)=1,"er","")&amp;" "&amp;INDEX(Liste_Mois,MONTH(Date_Courrier))&amp;" "&amp;YEAR(Date_Courrier)</f>
        <v>Le Plessis-Bouchard, le 22 septembre 2026</v>
      </c>
      <c r="E826" s="36"/>
      <c r="F826" s="36"/>
      <c r="J826" s="25"/>
      <c r="K826" s="25"/>
      <c r="L826" s="25"/>
      <c r="M826" s="25"/>
      <c r="N826" s="25"/>
      <c r="O826" s="25"/>
    </row>
    <row r="827" customFormat="false" ht="19.5" hidden="false" customHeight="true" outlineLevel="0" collapsed="false">
      <c r="B827" s="10"/>
      <c r="C827" s="10"/>
      <c r="D827" s="10"/>
      <c r="E827" s="10"/>
      <c r="F827" s="10"/>
      <c r="J827" s="25"/>
      <c r="K827" s="25"/>
      <c r="L827" s="25"/>
      <c r="M827" s="25"/>
      <c r="N827" s="25"/>
      <c r="O827" s="25"/>
    </row>
    <row r="828" customFormat="false" ht="15" hidden="false" customHeight="false" outlineLevel="0" collapsed="false">
      <c r="B828" s="34" t="str">
        <f aca="false">SUBSTITUTE(SUBSTITUTE(SUBSTITUTE(SUBSTITUTE(SUBSTITUTE(Txt_Objet,"{cabinet}",Cab_Nom),"{societe}",IF($K$811=0,"",INDEX(Clients!$E$2:$E$501,$K$811)&amp;"")),"{date_effet}",$K$813),"{hausse}",$K$814),"{civilite}",$K$812)</f>
        <v>Objet : révision de nos honoraires au 1er janvier 2027</v>
      </c>
      <c r="C828" s="34"/>
      <c r="D828" s="34"/>
      <c r="E828" s="34"/>
      <c r="F828" s="34"/>
      <c r="J828" s="25"/>
      <c r="K828" s="25"/>
      <c r="L828" s="25"/>
      <c r="M828" s="25"/>
      <c r="N828" s="25"/>
      <c r="O828" s="25"/>
    </row>
    <row r="829" customFormat="false" ht="13.5" hidden="false" customHeight="true" outlineLevel="0" collapsed="false">
      <c r="B829" s="10"/>
      <c r="C829" s="10"/>
      <c r="D829" s="10"/>
      <c r="E829" s="10"/>
      <c r="F829" s="10"/>
      <c r="J829" s="25"/>
      <c r="K829" s="25"/>
      <c r="L829" s="25"/>
      <c r="M829" s="25"/>
      <c r="N829" s="25"/>
      <c r="O829" s="25"/>
    </row>
    <row r="830" customFormat="false" ht="15" hidden="false" customHeight="false" outlineLevel="0" collapsed="false">
      <c r="B830" s="10" t="str">
        <f aca="false">$K$812&amp;","</f>
        <v>Madame, Monsieur,</v>
      </c>
      <c r="C830" s="10"/>
      <c r="D830" s="10"/>
      <c r="E830" s="10"/>
      <c r="F830" s="10"/>
      <c r="J830" s="25"/>
      <c r="K830" s="25"/>
      <c r="L830" s="25"/>
      <c r="M830" s="25"/>
      <c r="N830" s="25"/>
      <c r="O830" s="25"/>
    </row>
    <row r="831" customFormat="false" ht="6" hidden="false" customHeight="true" outlineLevel="0" collapsed="false">
      <c r="B831" s="10"/>
      <c r="C831" s="10"/>
      <c r="D831" s="10"/>
      <c r="E831" s="10"/>
      <c r="F831" s="10"/>
      <c r="J831" s="25"/>
      <c r="K831" s="25"/>
      <c r="L831" s="25"/>
      <c r="M831" s="25"/>
      <c r="N831" s="25"/>
      <c r="O831" s="25"/>
    </row>
    <row r="832" customFormat="false" ht="36.75" hidden="false" customHeight="true" outlineLevel="0" collapsed="false">
      <c r="B832" s="37" t="str">
        <f aca="false">SUBSTITUTE(SUBSTITUTE(SUBSTITUTE(SUBSTITUTE(SUBSTITUTE(Txt_P1,"{cabinet}",Cab_Nom),"{societe}",IF($K$811=0,"",INDEX(Clients!$E$2:$E$501,$K$811)&amp;"")),"{date_effet}",$K$813),"{hausse}",$K$814),"{civilite}",$K$812)</f>
        <v>Nous tenons tout d'abord à vous remercier pour la confiance que vous accordez à ALTHO EXPERTISE. Comme chaque année, et conformément aux dispositions de votre lettre de mission, nous procédons à la révision de nos honoraires.</v>
      </c>
      <c r="C832" s="37"/>
      <c r="D832" s="37"/>
      <c r="E832" s="37"/>
      <c r="F832" s="37"/>
      <c r="J832" s="25"/>
      <c r="K832" s="25"/>
      <c r="L832" s="25"/>
      <c r="M832" s="25"/>
      <c r="N832" s="25"/>
      <c r="O832" s="25"/>
    </row>
    <row r="833" customFormat="false" ht="49.5" hidden="false" customHeight="true" outlineLevel="0" collapsed="false">
      <c r="B833" s="37" t="str">
        <f aca="false">SUBSTITUTE(SUBSTITUTE(SUBSTITUTE(SUBSTITUTE(SUBSTITUTE(Txt_P2,"{cabinet}",Cab_Nom),"{societe}",IF($K$811=0,"",INDEX(Clients!$E$2:$E$501,$K$811)&amp;"")),"{date_effet}",$K$813),"{hausse}",$K$814),"{civilite}",$K$812)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33" s="37"/>
      <c r="D833" s="37"/>
      <c r="E833" s="37"/>
      <c r="F833" s="37"/>
      <c r="J833" s="25"/>
      <c r="K833" s="25"/>
      <c r="L833" s="25"/>
      <c r="M833" s="25"/>
      <c r="N833" s="25"/>
      <c r="O833" s="25"/>
    </row>
    <row r="834" customFormat="false" ht="63" hidden="false" customHeight="true" outlineLevel="0" collapsed="false">
      <c r="B834" s="37" t="str">
        <f aca="false">SUBSTITUTE(SUBSTITUTE(SUBSTITUTE(SUBSTITUTE(SUBSTITUTE(Txt_P3,"{cabinet}",Cab_Nom),"{societe}",IF($K$811=0,"",INDEX(Clients!$E$2:$E$501,$K$811)&amp;"")),"{date_effet}",$K$813),"{hausse}",$K$814),"{civilite}",$K$812)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34" s="37"/>
      <c r="D834" s="37"/>
      <c r="E834" s="37"/>
      <c r="F834" s="37"/>
      <c r="J834" s="25"/>
      <c r="K834" s="25"/>
      <c r="L834" s="25"/>
      <c r="M834" s="25"/>
      <c r="N834" s="25"/>
      <c r="O834" s="25"/>
    </row>
    <row r="835" customFormat="false" ht="24" hidden="false" customHeight="true" outlineLevel="0" collapsed="false">
      <c r="B835" s="37" t="str">
        <f aca="false">SUBSTITUTE(SUBSTITUTE(SUBSTITUTE(SUBSTITUTE(SUBSTITUTE(Txt_P4,"{cabinet}",Cab_Nom),"{societe}",IF($K$811=0,"",INDEX(Clients!$E$2:$E$501,$K$811)&amp;"")),"{date_effet}",$K$813),"{hausse}",$K$814),"{civilite}",$K$812)</f>
        <v>À compter du 1er janvier 2027, vos honoraires annuels hors taxes évolueront ainsi (évolution globale : ) :</v>
      </c>
      <c r="C835" s="37"/>
      <c r="D835" s="37"/>
      <c r="E835" s="37"/>
      <c r="F835" s="37"/>
      <c r="J835" s="25"/>
      <c r="K835" s="25"/>
      <c r="L835" s="25"/>
      <c r="M835" s="25"/>
      <c r="N835" s="25"/>
      <c r="O835" s="25"/>
    </row>
    <row r="836" customFormat="false" ht="3.75" hidden="false" customHeight="true" outlineLevel="0" collapsed="false">
      <c r="B836" s="10"/>
      <c r="C836" s="10"/>
      <c r="D836" s="10"/>
      <c r="E836" s="10"/>
      <c r="F836" s="10"/>
      <c r="J836" s="25"/>
      <c r="K836" s="25"/>
      <c r="L836" s="25"/>
      <c r="M836" s="25"/>
      <c r="N836" s="25"/>
      <c r="O836" s="25"/>
    </row>
    <row r="837" customFormat="false" ht="18" hidden="false" customHeight="true" outlineLevel="0" collapsed="false">
      <c r="B837" s="38" t="s">
        <v>148</v>
      </c>
      <c r="C837" s="39" t="s">
        <v>149</v>
      </c>
      <c r="D837" s="39" t="s">
        <v>150</v>
      </c>
      <c r="E837" s="39" t="s">
        <v>151</v>
      </c>
      <c r="F837" s="39" t="s">
        <v>109</v>
      </c>
      <c r="J837" s="25" t="s">
        <v>152</v>
      </c>
      <c r="K837" s="25" t="s">
        <v>153</v>
      </c>
      <c r="L837" s="25" t="s">
        <v>154</v>
      </c>
      <c r="M837" s="25" t="s">
        <v>155</v>
      </c>
      <c r="N837" s="25" t="s">
        <v>156</v>
      </c>
      <c r="O837" s="25" t="s">
        <v>157</v>
      </c>
    </row>
    <row r="838" customFormat="false" ht="16.5" hidden="false" customHeight="true" outlineLevel="0" collapsed="false">
      <c r="B838" s="40" t="str">
        <f aca="false">IFERROR(INDEX($J$838:$J$841,MATCH($O838,$N$838:$N$841,0)),"")</f>
        <v/>
      </c>
      <c r="C838" s="41" t="str">
        <f aca="false">IFERROR(INDEX($K$838:$K$841,MATCH($O838,$N$838:$N$841,0)),"")</f>
        <v/>
      </c>
      <c r="D838" s="42" t="str">
        <f aca="false">IF(OR(E838="",N(C838)=0),"",E838/C838-1)</f>
        <v/>
      </c>
      <c r="E838" s="41" t="str">
        <f aca="false">IFERROR(INDEX($L$838:$L$841,MATCH($O838,$N$838:$N$841,0)),"")</f>
        <v/>
      </c>
      <c r="F838" s="41" t="str">
        <f aca="false">IF(E838="","",E838-C838)</f>
        <v/>
      </c>
      <c r="J838" s="25" t="str">
        <f aca="false">Lib_Compta</f>
        <v>Mission comptable (tenue, révision, bilan, liasse fiscale)</v>
      </c>
      <c r="K838" s="25" t="n">
        <f aca="false">IF($K$811=0,0,N(INDEX(Clients!$K$2:$K$501,$K$811)))</f>
        <v>0</v>
      </c>
      <c r="L838" s="25" t="n">
        <f aca="false">IF($K$811=0,0,N(INDEX(Clients!$P$2:$P$501,$K$811)))</f>
        <v>0</v>
      </c>
      <c r="M838" s="25" t="n">
        <f aca="false">IF(OR(K838&lt;&gt;0,L838&lt;&gt;0),1,0)</f>
        <v>0</v>
      </c>
      <c r="N838" s="25" t="str">
        <f aca="false">IF(M838=1,SUM($M$838:M838),"")</f>
        <v/>
      </c>
      <c r="O838" s="25" t="n">
        <v>1</v>
      </c>
    </row>
    <row r="839" customFormat="false" ht="16.5" hidden="false" customHeight="true" outlineLevel="0" collapsed="false">
      <c r="B839" s="40" t="str">
        <f aca="false">IFERROR(INDEX($J$838:$J$841,MATCH($O839,$N$838:$N$841,0)),"")</f>
        <v/>
      </c>
      <c r="C839" s="41" t="str">
        <f aca="false">IFERROR(INDEX($K$838:$K$841,MATCH($O839,$N$838:$N$841,0)),"")</f>
        <v/>
      </c>
      <c r="D839" s="42" t="str">
        <f aca="false">IF(OR(E839="",N(C839)=0),"",E839/C839-1)</f>
        <v/>
      </c>
      <c r="E839" s="41" t="str">
        <f aca="false">IFERROR(INDEX($L$838:$L$841,MATCH($O839,$N$838:$N$841,0)),"")</f>
        <v/>
      </c>
      <c r="F839" s="41" t="str">
        <f aca="false">IF(E839="","",E839-C839)</f>
        <v/>
      </c>
      <c r="J839" s="25" t="str">
        <f aca="false">Lib_Paye</f>
        <v>Mission sociale (bulletins de paie, DSN, déclarations sociales)</v>
      </c>
      <c r="K839" s="25" t="n">
        <f aca="false">IF($K$811=0,0,N(INDEX(Clients!$L$2:$L$501,$K$811)))</f>
        <v>0</v>
      </c>
      <c r="L839" s="25" t="n">
        <f aca="false">IF($K$811=0,0,N(INDEX(Clients!$Q$2:$Q$501,$K$811)))</f>
        <v>0</v>
      </c>
      <c r="M839" s="25" t="n">
        <f aca="false">IF(OR(K839&lt;&gt;0,L839&lt;&gt;0),1,0)</f>
        <v>0</v>
      </c>
      <c r="N839" s="25" t="str">
        <f aca="false">IF(M839=1,SUM($M$838:M839),"")</f>
        <v/>
      </c>
      <c r="O839" s="25" t="n">
        <v>2</v>
      </c>
    </row>
    <row r="840" customFormat="false" ht="16.5" hidden="false" customHeight="true" outlineLevel="0" collapsed="false">
      <c r="B840" s="40" t="str">
        <f aca="false">IFERROR(INDEX($J$838:$J$841,MATCH($O840,$N$838:$N$841,0)),"")</f>
        <v/>
      </c>
      <c r="C840" s="41" t="str">
        <f aca="false">IFERROR(INDEX($K$838:$K$841,MATCH($O840,$N$838:$N$841,0)),"")</f>
        <v/>
      </c>
      <c r="D840" s="42" t="str">
        <f aca="false">IF(OR(E840="",N(C840)=0),"",E840/C840-1)</f>
        <v/>
      </c>
      <c r="E840" s="41" t="str">
        <f aca="false">IFERROR(INDEX($L$838:$L$841,MATCH($O840,$N$838:$N$841,0)),"")</f>
        <v/>
      </c>
      <c r="F840" s="41" t="str">
        <f aca="false">IF(E840="","",E840-C840)</f>
        <v/>
      </c>
      <c r="J840" s="25" t="str">
        <f aca="false">Lib_Jur</f>
        <v>Mission juridique (approbation des comptes, secrétariat juridique)</v>
      </c>
      <c r="K840" s="25" t="n">
        <f aca="false">IF($K$811=0,0,N(INDEX(Clients!$M$2:$M$501,$K$811)))</f>
        <v>0</v>
      </c>
      <c r="L840" s="25" t="n">
        <f aca="false">IF($K$811=0,0,N(INDEX(Clients!$R$2:$R$501,$K$811)))</f>
        <v>0</v>
      </c>
      <c r="M840" s="25" t="n">
        <f aca="false">IF(OR(K840&lt;&gt;0,L840&lt;&gt;0),1,0)</f>
        <v>0</v>
      </c>
      <c r="N840" s="25" t="str">
        <f aca="false">IF(M840=1,SUM($M$838:M840),"")</f>
        <v/>
      </c>
      <c r="O840" s="25" t="n">
        <v>3</v>
      </c>
    </row>
    <row r="841" customFormat="false" ht="16.5" hidden="false" customHeight="true" outlineLevel="0" collapsed="false">
      <c r="B841" s="40" t="str">
        <f aca="false">IFERROR(INDEX($J$838:$J$841,MATCH($O841,$N$838:$N$841,0)),"")</f>
        <v/>
      </c>
      <c r="C841" s="41" t="str">
        <f aca="false">IFERROR(INDEX($K$838:$K$841,MATCH($O841,$N$838:$N$841,0)),"")</f>
        <v/>
      </c>
      <c r="D841" s="42" t="str">
        <f aca="false">IF(OR(E841="",N(C841)=0),"",E841/C841-1)</f>
        <v/>
      </c>
      <c r="E841" s="41" t="str">
        <f aca="false">IFERROR(INDEX($L$838:$L$841,MATCH($O841,$N$838:$N$841,0)),"")</f>
        <v/>
      </c>
      <c r="F841" s="41" t="str">
        <f aca="false">IF(E841="","",E841-C841)</f>
        <v/>
      </c>
      <c r="J841" s="25" t="str">
        <f aca="false">Lib_PA</f>
        <v>Plateforme agréée – facturation électronique</v>
      </c>
      <c r="K841" s="25" t="n">
        <f aca="false">IF($K$811=0,0,N(INDEX(Clients!$N$2:$N$501,$K$811)))</f>
        <v>0</v>
      </c>
      <c r="L841" s="25" t="n">
        <f aca="false">IF($K$811=0,0,N(INDEX(Clients!$S$2:$S$501,$K$811)))</f>
        <v>0</v>
      </c>
      <c r="M841" s="25" t="n">
        <f aca="false">IF(OR(K841&lt;&gt;0,L841&lt;&gt;0),1,0)</f>
        <v>0</v>
      </c>
      <c r="N841" s="25" t="str">
        <f aca="false">IF(M841=1,SUM($M$838:M841),"")</f>
        <v/>
      </c>
      <c r="O841" s="25" t="n">
        <v>4</v>
      </c>
    </row>
    <row r="842" customFormat="false" ht="18" hidden="false" customHeight="true" outlineLevel="0" collapsed="false">
      <c r="B842" s="43" t="s">
        <v>158</v>
      </c>
      <c r="C842" s="44" t="n">
        <f aca="false">SUM(K838:K841)</f>
        <v>0</v>
      </c>
      <c r="D842" s="45" t="str">
        <f aca="false">IF(N(C842)=0,"",E842/C842-1)</f>
        <v/>
      </c>
      <c r="E842" s="44" t="n">
        <f aca="false">SUM(L838:L841)</f>
        <v>0</v>
      </c>
      <c r="F842" s="44" t="n">
        <f aca="false">E842-C842</f>
        <v>0</v>
      </c>
    </row>
    <row r="843" customFormat="false" ht="15" hidden="false" customHeight="false" outlineLevel="0" collapsed="false">
      <c r="B843" s="46" t="str">
        <f aca="false">IF(N(Nb_Mensualites)=0,"","Soit "&amp;FIXED(E842/Nb_Mensualites,2)&amp;" € HT par échéance ("&amp;Nb_Mensualites&amp;" échéances), "&amp;FIXED(E842/Nb_Mensualites*(1+Taux_TVA),2)&amp;" € TTC.")</f>
        <v>Soit 0.00 € HT par échéance (12 échéances), 0.00 € TTC.</v>
      </c>
      <c r="C843" s="46"/>
      <c r="D843" s="46"/>
      <c r="E843" s="46"/>
      <c r="F843" s="46"/>
    </row>
    <row r="844" customFormat="false" ht="7.5" hidden="false" customHeight="true" outlineLevel="0" collapsed="false">
      <c r="B844" s="10"/>
      <c r="C844" s="10"/>
      <c r="D844" s="10"/>
      <c r="E844" s="10"/>
      <c r="F844" s="10"/>
    </row>
    <row r="845" customFormat="false" ht="36.75" hidden="false" customHeight="true" outlineLevel="0" collapsed="false">
      <c r="B845" s="37" t="str">
        <f aca="false">SUBSTITUTE(SUBSTITUTE(SUBSTITUTE(SUBSTITUTE(SUBSTITUTE(Txt_P5,"{cabinet}",Cab_Nom),"{societe}",IF($K$811=0,"",INDEX(Clients!$E$2:$E$501,$K$811)&amp;"")),"{date_effet}",$K$813),"{hausse}",$K$814),"{civilite}",$K$812)</f>
        <v>Les autres conditions de votre lettre de mission demeurent inchangées. Les nouveaux montants seront appliqués automatiquement sur vos prochaines factures et échéances de prélèvement.</v>
      </c>
      <c r="C845" s="37"/>
      <c r="D845" s="37"/>
      <c r="E845" s="37"/>
      <c r="F845" s="37"/>
    </row>
    <row r="846" customFormat="false" ht="36.75" hidden="false" customHeight="true" outlineLevel="0" collapsed="false">
      <c r="B846" s="37" t="str">
        <f aca="false">SUBSTITUTE(SUBSTITUTE(SUBSTITUTE(SUBSTITUTE(SUBSTITUTE(Txt_P6,"{cabinet}",Cab_Nom),"{societe}",IF($K$811=0,"",INDEX(Clients!$E$2:$E$501,$K$811)&amp;"")),"{date_effet}",$K$813),"{hausse}",$K$814),"{civilite}",$K$812)</f>
        <v>Votre interlocuteur habituel reste à votre entière disposition pour répondre à vos questions et faire le point sur l'évolution de vos besoins.</v>
      </c>
      <c r="C846" s="37"/>
      <c r="D846" s="37"/>
      <c r="E846" s="37"/>
      <c r="F846" s="37"/>
    </row>
    <row r="847" customFormat="false" ht="24" hidden="false" customHeight="true" outlineLevel="0" collapsed="false">
      <c r="B847" s="37" t="str">
        <f aca="false">SUBSTITUTE(SUBSTITUTE(SUBSTITUTE(SUBSTITUTE(SUBSTITUTE(Txt_Politesse,"{cabinet}",Cab_Nom),"{societe}",IF($K$811=0,"",INDEX(Clients!$E$2:$E$501,$K$811)&amp;"")),"{date_effet}",$K$813),"{hausse}",$K$814),"{civilite}",$K$812)</f>
        <v>Nous vous prions d'agréer, Madame, Monsieur, l'expression de nos salutations distinguées.</v>
      </c>
      <c r="C847" s="37"/>
      <c r="D847" s="37"/>
      <c r="E847" s="37"/>
      <c r="F847" s="37"/>
    </row>
    <row r="848" customFormat="false" ht="15" hidden="false" customHeight="false" outlineLevel="0" collapsed="false">
      <c r="B848" s="10"/>
      <c r="C848" s="10"/>
      <c r="D848" s="10"/>
      <c r="E848" s="10"/>
      <c r="F848" s="10"/>
    </row>
    <row r="849" customFormat="false" ht="15" hidden="false" customHeight="false" outlineLevel="0" collapsed="false">
      <c r="B849" s="10"/>
      <c r="C849" s="10"/>
      <c r="D849" s="34" t="str">
        <f aca="false">Signataire</f>
        <v>Prénom NOM</v>
      </c>
      <c r="E849" s="34"/>
      <c r="F849" s="34"/>
    </row>
    <row r="850" customFormat="false" ht="15" hidden="false" customHeight="false" outlineLevel="0" collapsed="false">
      <c r="B850" s="10"/>
      <c r="C850" s="10"/>
      <c r="D850" s="47" t="str">
        <f aca="false">Signataire_Titre</f>
        <v>Expert-comptable associé</v>
      </c>
      <c r="E850" s="47"/>
      <c r="F850" s="47"/>
    </row>
    <row r="851" customFormat="false" ht="15.75" hidden="false" customHeight="true" outlineLevel="0" collapsed="false">
      <c r="B851" s="10"/>
      <c r="C851" s="10"/>
      <c r="D851" s="10"/>
      <c r="E851" s="10"/>
      <c r="F851" s="10"/>
    </row>
    <row r="852" customFormat="false" ht="15.75" hidden="false" customHeight="true" outlineLevel="0" collapsed="false">
      <c r="B852" s="10"/>
      <c r="C852" s="10"/>
      <c r="D852" s="10"/>
      <c r="E852" s="10"/>
      <c r="F852" s="10"/>
    </row>
    <row r="853" customFormat="false" ht="15.75" hidden="false" customHeight="true" outlineLevel="0" collapsed="false">
      <c r="B853" s="10"/>
      <c r="C853" s="10"/>
      <c r="D853" s="10"/>
      <c r="E853" s="10"/>
      <c r="F853" s="10"/>
    </row>
    <row r="854" customFormat="false" ht="15.75" hidden="false" customHeight="true" outlineLevel="0" collapsed="false">
      <c r="B854" s="10"/>
      <c r="C854" s="10"/>
      <c r="D854" s="10"/>
      <c r="E854" s="10"/>
      <c r="F854" s="10"/>
    </row>
    <row r="855" customFormat="false" ht="24" hidden="false" customHeight="true" outlineLevel="0" collapsed="false">
      <c r="B855" s="48" t="str">
        <f aca="false">Cab_Mentions</f>
        <v>ALTHO EXPERTISE · SAS au capital de 10 000 € · RCS Pontoise 919 706 325 · TVA FR62919706325 · Société d'expertise comptable inscrite au Tableau de l'Ordre des experts-comptables de Paris Île-de-France</v>
      </c>
      <c r="C855" s="48"/>
      <c r="D855" s="48"/>
      <c r="E855" s="48"/>
      <c r="F855" s="48"/>
    </row>
    <row r="856" customFormat="false" ht="15" hidden="false" customHeight="false" outlineLevel="0" collapsed="false">
      <c r="B856" s="10"/>
      <c r="C856" s="10"/>
      <c r="D856" s="10"/>
      <c r="E856" s="10"/>
      <c r="F856" s="10"/>
      <c r="J856" s="25" t="s">
        <v>142</v>
      </c>
      <c r="K856" s="25" t="n">
        <f aca="false">IFERROR(MATCH(20,Clients!$Z$2:$Z$501,0),0)</f>
        <v>0</v>
      </c>
      <c r="L856" s="25"/>
      <c r="M856" s="25"/>
      <c r="N856" s="25"/>
      <c r="O856" s="25"/>
    </row>
    <row r="857" customFormat="false" ht="21.75" hidden="false" customHeight="true" outlineLevel="0" collapsed="false">
      <c r="B857" s="26" t="str">
        <f aca="false">Cab_Nom</f>
        <v>ALTHO EXPERTISE</v>
      </c>
      <c r="C857" s="26"/>
      <c r="D857" s="10"/>
      <c r="E857" s="27" t="str">
        <f aca="false">IF($K$856=0,"","Réf. client : "&amp;INDEX(Clients!$A$2:$A$501,$K$856))</f>
        <v/>
      </c>
      <c r="F857" s="27"/>
      <c r="J857" s="25" t="s">
        <v>144</v>
      </c>
      <c r="K857" s="25" t="str">
        <f aca="false">IF(IF($K$856=0,"",INDEX(Clients!$B$2:$B$501,$K$856)&amp;"")="Mme","Madame",IF(IF($K$856=0,"",INDEX(Clients!$B$2:$B$501,$K$856)&amp;"")="M.","Monsieur","Madame, Monsieur"))</f>
        <v>Madame, Monsieur</v>
      </c>
      <c r="L857" s="25"/>
      <c r="M857" s="25"/>
      <c r="N857" s="25"/>
      <c r="O857" s="25"/>
    </row>
    <row r="858" customFormat="false" ht="15" hidden="false" customHeight="false" outlineLevel="0" collapsed="false">
      <c r="B858" s="29" t="str">
        <f aca="false">Cab_Adr1</f>
        <v>141 rue Charles de Gaulle</v>
      </c>
      <c r="C858" s="29"/>
      <c r="D858" s="10"/>
      <c r="E858" s="10"/>
      <c r="F858" s="10"/>
      <c r="J858" s="25" t="s">
        <v>145</v>
      </c>
      <c r="K858" s="25" t="str">
        <f aca="false">DAY(Date_Effet)&amp;IF(DAY(Date_Effet)=1,"er","")&amp;" "&amp;INDEX(Liste_Mois,MONTH(Date_Effet))&amp;" "&amp;YEAR(Date_Effet)</f>
        <v>1er janvier 2027</v>
      </c>
      <c r="L858" s="25"/>
      <c r="M858" s="25"/>
      <c r="N858" s="25"/>
      <c r="O858" s="25"/>
    </row>
    <row r="859" customFormat="false" ht="15" hidden="false" customHeight="false" outlineLevel="0" collapsed="false">
      <c r="B859" s="29" t="str">
        <f aca="false">Cab_CPVille</f>
        <v>95130 LE PLESSIS-BOUCHARD</v>
      </c>
      <c r="C859" s="29"/>
      <c r="D859" s="10"/>
      <c r="E859" s="10"/>
      <c r="F859" s="10"/>
      <c r="J859" s="25" t="s">
        <v>146</v>
      </c>
      <c r="K859" s="25" t="str">
        <f aca="false">IF(SUM($K$883:$K$886)=0,"",FIXED((SUM($L$883:$L$886)/SUM($K$883:$K$886)-1)*100,1)&amp;" %")</f>
        <v/>
      </c>
      <c r="L859" s="25"/>
      <c r="M859" s="25"/>
      <c r="N859" s="25"/>
      <c r="O859" s="25"/>
    </row>
    <row r="860" customFormat="false" ht="15" hidden="false" customHeight="false" outlineLevel="0" collapsed="false">
      <c r="B860" s="29" t="str">
        <f aca="false">Cab_Contact</f>
        <v>Tél. 01 34 14 53 45  ·  altho@altho-experts.com  ·  altho-experts.com</v>
      </c>
      <c r="C860" s="29"/>
      <c r="D860" s="10"/>
      <c r="E860" s="10"/>
      <c r="F860" s="10"/>
      <c r="J860" s="25"/>
      <c r="K860" s="25"/>
      <c r="L860" s="25"/>
      <c r="M860" s="25"/>
      <c r="N860" s="25"/>
      <c r="O860" s="25"/>
    </row>
    <row r="861" customFormat="false" ht="6" hidden="false" customHeight="true" outlineLevel="0" collapsed="false">
      <c r="B861" s="32"/>
      <c r="C861" s="32"/>
      <c r="D861" s="32"/>
      <c r="E861" s="32"/>
      <c r="F861" s="32"/>
      <c r="J861" s="25"/>
      <c r="K861" s="25"/>
      <c r="L861" s="25"/>
      <c r="M861" s="25"/>
      <c r="N861" s="25"/>
      <c r="O861" s="25"/>
    </row>
    <row r="862" customFormat="false" ht="13.5" hidden="false" customHeight="true" outlineLevel="0" collapsed="false">
      <c r="B862" s="10"/>
      <c r="C862" s="10"/>
      <c r="D862" s="10"/>
      <c r="E862" s="10"/>
      <c r="F862" s="10"/>
      <c r="J862" s="25"/>
      <c r="K862" s="25"/>
      <c r="L862" s="25"/>
      <c r="M862" s="25"/>
      <c r="N862" s="25"/>
      <c r="O862" s="25"/>
    </row>
    <row r="863" customFormat="false" ht="13.5" hidden="false" customHeight="true" outlineLevel="0" collapsed="false">
      <c r="B863" s="10"/>
      <c r="C863" s="10"/>
      <c r="D863" s="10"/>
      <c r="E863" s="10"/>
      <c r="F863" s="10"/>
      <c r="J863" s="25"/>
      <c r="K863" s="25"/>
      <c r="L863" s="25"/>
      <c r="M863" s="25"/>
      <c r="N863" s="25"/>
      <c r="O863" s="25"/>
    </row>
    <row r="864" customFormat="false" ht="13.5" hidden="false" customHeight="true" outlineLevel="0" collapsed="false">
      <c r="B864" s="10"/>
      <c r="C864" s="10"/>
      <c r="D864" s="10"/>
      <c r="E864" s="10"/>
      <c r="F864" s="10"/>
      <c r="J864" s="25"/>
      <c r="K864" s="25"/>
      <c r="L864" s="25"/>
      <c r="M864" s="25"/>
      <c r="N864" s="25"/>
      <c r="O864" s="25"/>
    </row>
    <row r="865" customFormat="false" ht="15" hidden="false" customHeight="true" outlineLevel="0" collapsed="false">
      <c r="B865" s="10"/>
      <c r="C865" s="10"/>
      <c r="D865" s="34" t="str">
        <f aca="false">IF($K$856=0,"",INDEX(Clients!$E$2:$E$501,$K$856)&amp;"")</f>
        <v/>
      </c>
      <c r="E865" s="34"/>
      <c r="F865" s="34"/>
      <c r="J865" s="25"/>
      <c r="K865" s="25"/>
      <c r="L865" s="25"/>
      <c r="M865" s="25"/>
      <c r="N865" s="25"/>
      <c r="O865" s="25"/>
    </row>
    <row r="866" customFormat="false" ht="15" hidden="false" customHeight="true" outlineLevel="0" collapsed="false">
      <c r="B866" s="10"/>
      <c r="C866" s="10"/>
      <c r="D866" s="35" t="str">
        <f aca="false">IF(IF($K$856=0,"",INDEX(Clients!$D$2:$D$501,$K$856)&amp;"")="","","À l'attention de "&amp;TRIM(IF($K$856=0,"",INDEX(Clients!$B$2:$B$501,$K$856)&amp;"")&amp;" "&amp;IF($K$856=0,"",INDEX(Clients!$C$2:$C$501,$K$856)&amp;"")&amp;" "&amp;IF($K$856=0,"",INDEX(Clients!$D$2:$D$501,$K$856)&amp;"")))</f>
        <v/>
      </c>
      <c r="E866" s="35"/>
      <c r="F866" s="35"/>
      <c r="J866" s="25"/>
      <c r="K866" s="25"/>
      <c r="L866" s="25"/>
      <c r="M866" s="25"/>
      <c r="N866" s="25"/>
      <c r="O866" s="25"/>
    </row>
    <row r="867" customFormat="false" ht="15" hidden="false" customHeight="true" outlineLevel="0" collapsed="false">
      <c r="B867" s="10"/>
      <c r="C867" s="10"/>
      <c r="D867" s="35" t="str">
        <f aca="false">IF($K$856=0,"",INDEX(Clients!$F$2:$F$501,$K$856)&amp;"")</f>
        <v/>
      </c>
      <c r="E867" s="35"/>
      <c r="F867" s="35"/>
      <c r="J867" s="25"/>
      <c r="K867" s="25"/>
      <c r="L867" s="25"/>
      <c r="M867" s="25"/>
      <c r="N867" s="25"/>
      <c r="O867" s="25"/>
    </row>
    <row r="868" customFormat="false" ht="15" hidden="false" customHeight="true" outlineLevel="0" collapsed="false">
      <c r="B868" s="10"/>
      <c r="C868" s="10"/>
      <c r="D868" s="35" t="str">
        <f aca="false">IF(IF($K$856=0,"",INDEX(Clients!$G$2:$G$501,$K$856)&amp;"")="",TRIM(IF($K$856=0,"",INDEX(Clients!$H$2:$H$501,$K$856)&amp;"")&amp;" "&amp;UPPER(IF($K$856=0,"",INDEX(Clients!$I$2:$I$501,$K$856)&amp;""))),IF($K$856=0,"",INDEX(Clients!$G$2:$G$501,$K$856)&amp;""))</f>
        <v/>
      </c>
      <c r="E868" s="35"/>
      <c r="F868" s="35"/>
      <c r="J868" s="25"/>
      <c r="K868" s="25"/>
      <c r="L868" s="25"/>
      <c r="M868" s="25"/>
      <c r="N868" s="25"/>
      <c r="O868" s="25"/>
    </row>
    <row r="869" customFormat="false" ht="15" hidden="false" customHeight="true" outlineLevel="0" collapsed="false">
      <c r="B869" s="10"/>
      <c r="C869" s="10"/>
      <c r="D869" s="35" t="str">
        <f aca="false">IF(IF($K$856=0,"",INDEX(Clients!$G$2:$G$501,$K$856)&amp;"")="","",TRIM(IF($K$856=0,"",INDEX(Clients!$H$2:$H$501,$K$856)&amp;"")&amp;" "&amp;UPPER(IF($K$856=0,"",INDEX(Clients!$I$2:$I$501,$K$856)&amp;""))))</f>
        <v/>
      </c>
      <c r="E869" s="35"/>
      <c r="F869" s="35"/>
      <c r="J869" s="25"/>
      <c r="K869" s="25"/>
      <c r="L869" s="25"/>
      <c r="M869" s="25"/>
      <c r="N869" s="25"/>
      <c r="O869" s="25"/>
    </row>
    <row r="870" customFormat="false" ht="25.5" hidden="false" customHeight="true" outlineLevel="0" collapsed="false">
      <c r="B870" s="10"/>
      <c r="C870" s="10"/>
      <c r="D870" s="10"/>
      <c r="E870" s="10"/>
      <c r="F870" s="10"/>
      <c r="J870" s="25"/>
      <c r="K870" s="25"/>
      <c r="L870" s="25"/>
      <c r="M870" s="25"/>
      <c r="N870" s="25"/>
      <c r="O870" s="25"/>
    </row>
    <row r="871" customFormat="false" ht="15" hidden="false" customHeight="false" outlineLevel="0" collapsed="false">
      <c r="B871" s="10"/>
      <c r="C871" s="10"/>
      <c r="D871" s="36" t="str">
        <f aca="false">Cab_Ville&amp;", le "&amp;DAY(Date_Courrier)&amp;IF(DAY(Date_Courrier)=1,"er","")&amp;" "&amp;INDEX(Liste_Mois,MONTH(Date_Courrier))&amp;" "&amp;YEAR(Date_Courrier)</f>
        <v>Le Plessis-Bouchard, le 22 septembre 2026</v>
      </c>
      <c r="E871" s="36"/>
      <c r="F871" s="36"/>
      <c r="J871" s="25"/>
      <c r="K871" s="25"/>
      <c r="L871" s="25"/>
      <c r="M871" s="25"/>
      <c r="N871" s="25"/>
      <c r="O871" s="25"/>
    </row>
    <row r="872" customFormat="false" ht="19.5" hidden="false" customHeight="true" outlineLevel="0" collapsed="false">
      <c r="B872" s="10"/>
      <c r="C872" s="10"/>
      <c r="D872" s="10"/>
      <c r="E872" s="10"/>
      <c r="F872" s="10"/>
      <c r="J872" s="25"/>
      <c r="K872" s="25"/>
      <c r="L872" s="25"/>
      <c r="M872" s="25"/>
      <c r="N872" s="25"/>
      <c r="O872" s="25"/>
    </row>
    <row r="873" customFormat="false" ht="15" hidden="false" customHeight="false" outlineLevel="0" collapsed="false">
      <c r="B873" s="34" t="str">
        <f aca="false">SUBSTITUTE(SUBSTITUTE(SUBSTITUTE(SUBSTITUTE(SUBSTITUTE(Txt_Objet,"{cabinet}",Cab_Nom),"{societe}",IF($K$856=0,"",INDEX(Clients!$E$2:$E$501,$K$856)&amp;"")),"{date_effet}",$K$858),"{hausse}",$K$859),"{civilite}",$K$857)</f>
        <v>Objet : révision de nos honoraires au 1er janvier 2027</v>
      </c>
      <c r="C873" s="34"/>
      <c r="D873" s="34"/>
      <c r="E873" s="34"/>
      <c r="F873" s="34"/>
      <c r="J873" s="25"/>
      <c r="K873" s="25"/>
      <c r="L873" s="25"/>
      <c r="M873" s="25"/>
      <c r="N873" s="25"/>
      <c r="O873" s="25"/>
    </row>
    <row r="874" customFormat="false" ht="13.5" hidden="false" customHeight="true" outlineLevel="0" collapsed="false">
      <c r="B874" s="10"/>
      <c r="C874" s="10"/>
      <c r="D874" s="10"/>
      <c r="E874" s="10"/>
      <c r="F874" s="10"/>
      <c r="J874" s="25"/>
      <c r="K874" s="25"/>
      <c r="L874" s="25"/>
      <c r="M874" s="25"/>
      <c r="N874" s="25"/>
      <c r="O874" s="25"/>
    </row>
    <row r="875" customFormat="false" ht="15" hidden="false" customHeight="false" outlineLevel="0" collapsed="false">
      <c r="B875" s="10" t="str">
        <f aca="false">$K$857&amp;","</f>
        <v>Madame, Monsieur,</v>
      </c>
      <c r="C875" s="10"/>
      <c r="D875" s="10"/>
      <c r="E875" s="10"/>
      <c r="F875" s="10"/>
      <c r="J875" s="25"/>
      <c r="K875" s="25"/>
      <c r="L875" s="25"/>
      <c r="M875" s="25"/>
      <c r="N875" s="25"/>
      <c r="O875" s="25"/>
    </row>
    <row r="876" customFormat="false" ht="6" hidden="false" customHeight="true" outlineLevel="0" collapsed="false">
      <c r="B876" s="10"/>
      <c r="C876" s="10"/>
      <c r="D876" s="10"/>
      <c r="E876" s="10"/>
      <c r="F876" s="10"/>
      <c r="J876" s="25"/>
      <c r="K876" s="25"/>
      <c r="L876" s="25"/>
      <c r="M876" s="25"/>
      <c r="N876" s="25"/>
      <c r="O876" s="25"/>
    </row>
    <row r="877" customFormat="false" ht="36.75" hidden="false" customHeight="true" outlineLevel="0" collapsed="false">
      <c r="B877" s="37" t="str">
        <f aca="false">SUBSTITUTE(SUBSTITUTE(SUBSTITUTE(SUBSTITUTE(SUBSTITUTE(Txt_P1,"{cabinet}",Cab_Nom),"{societe}",IF($K$856=0,"",INDEX(Clients!$E$2:$E$501,$K$856)&amp;"")),"{date_effet}",$K$858),"{hausse}",$K$859),"{civilite}",$K$857)</f>
        <v>Nous tenons tout d'abord à vous remercier pour la confiance que vous accordez à ALTHO EXPERTISE. Comme chaque année, et conformément aux dispositions de votre lettre de mission, nous procédons à la révision de nos honoraires.</v>
      </c>
      <c r="C877" s="37"/>
      <c r="D877" s="37"/>
      <c r="E877" s="37"/>
      <c r="F877" s="37"/>
      <c r="J877" s="25"/>
      <c r="K877" s="25"/>
      <c r="L877" s="25"/>
      <c r="M877" s="25"/>
      <c r="N877" s="25"/>
      <c r="O877" s="25"/>
    </row>
    <row r="878" customFormat="false" ht="49.5" hidden="false" customHeight="true" outlineLevel="0" collapsed="false">
      <c r="B878" s="37" t="str">
        <f aca="false">SUBSTITUTE(SUBSTITUTE(SUBSTITUTE(SUBSTITUTE(SUBSTITUTE(Txt_P2,"{cabinet}",Cab_Nom),"{societe}",IF($K$856=0,"",INDEX(Clients!$E$2:$E$501,$K$856)&amp;"")),"{date_effet}",$K$858),"{hausse}",$K$859),"{civilite}",$K$857)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78" s="37"/>
      <c r="D878" s="37"/>
      <c r="E878" s="37"/>
      <c r="F878" s="37"/>
      <c r="J878" s="25"/>
      <c r="K878" s="25"/>
      <c r="L878" s="25"/>
      <c r="M878" s="25"/>
      <c r="N878" s="25"/>
      <c r="O878" s="25"/>
    </row>
    <row r="879" customFormat="false" ht="63" hidden="false" customHeight="true" outlineLevel="0" collapsed="false">
      <c r="B879" s="37" t="str">
        <f aca="false">SUBSTITUTE(SUBSTITUTE(SUBSTITUTE(SUBSTITUTE(SUBSTITUTE(Txt_P3,"{cabinet}",Cab_Nom),"{societe}",IF($K$856=0,"",INDEX(Clients!$E$2:$E$501,$K$856)&amp;"")),"{date_effet}",$K$858),"{hausse}",$K$859),"{civilite}",$K$857)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79" s="37"/>
      <c r="D879" s="37"/>
      <c r="E879" s="37"/>
      <c r="F879" s="37"/>
      <c r="J879" s="25"/>
      <c r="K879" s="25"/>
      <c r="L879" s="25"/>
      <c r="M879" s="25"/>
      <c r="N879" s="25"/>
      <c r="O879" s="25"/>
    </row>
    <row r="880" customFormat="false" ht="24" hidden="false" customHeight="true" outlineLevel="0" collapsed="false">
      <c r="B880" s="37" t="str">
        <f aca="false">SUBSTITUTE(SUBSTITUTE(SUBSTITUTE(SUBSTITUTE(SUBSTITUTE(Txt_P4,"{cabinet}",Cab_Nom),"{societe}",IF($K$856=0,"",INDEX(Clients!$E$2:$E$501,$K$856)&amp;"")),"{date_effet}",$K$858),"{hausse}",$K$859),"{civilite}",$K$857)</f>
        <v>À compter du 1er janvier 2027, vos honoraires annuels hors taxes évolueront ainsi (évolution globale : ) :</v>
      </c>
      <c r="C880" s="37"/>
      <c r="D880" s="37"/>
      <c r="E880" s="37"/>
      <c r="F880" s="37"/>
      <c r="J880" s="25"/>
      <c r="K880" s="25"/>
      <c r="L880" s="25"/>
      <c r="M880" s="25"/>
      <c r="N880" s="25"/>
      <c r="O880" s="25"/>
    </row>
    <row r="881" customFormat="false" ht="3.75" hidden="false" customHeight="true" outlineLevel="0" collapsed="false">
      <c r="B881" s="10"/>
      <c r="C881" s="10"/>
      <c r="D881" s="10"/>
      <c r="E881" s="10"/>
      <c r="F881" s="10"/>
      <c r="J881" s="25"/>
      <c r="K881" s="25"/>
      <c r="L881" s="25"/>
      <c r="M881" s="25"/>
      <c r="N881" s="25"/>
      <c r="O881" s="25"/>
    </row>
    <row r="882" customFormat="false" ht="18" hidden="false" customHeight="true" outlineLevel="0" collapsed="false">
      <c r="B882" s="38" t="s">
        <v>148</v>
      </c>
      <c r="C882" s="39" t="s">
        <v>149</v>
      </c>
      <c r="D882" s="39" t="s">
        <v>150</v>
      </c>
      <c r="E882" s="39" t="s">
        <v>151</v>
      </c>
      <c r="F882" s="39" t="s">
        <v>109</v>
      </c>
      <c r="J882" s="25" t="s">
        <v>152</v>
      </c>
      <c r="K882" s="25" t="s">
        <v>153</v>
      </c>
      <c r="L882" s="25" t="s">
        <v>154</v>
      </c>
      <c r="M882" s="25" t="s">
        <v>155</v>
      </c>
      <c r="N882" s="25" t="s">
        <v>156</v>
      </c>
      <c r="O882" s="25" t="s">
        <v>157</v>
      </c>
    </row>
    <row r="883" customFormat="false" ht="16.5" hidden="false" customHeight="true" outlineLevel="0" collapsed="false">
      <c r="B883" s="40" t="str">
        <f aca="false">IFERROR(INDEX($J$883:$J$886,MATCH($O883,$N$883:$N$886,0)),"")</f>
        <v/>
      </c>
      <c r="C883" s="41" t="str">
        <f aca="false">IFERROR(INDEX($K$883:$K$886,MATCH($O883,$N$883:$N$886,0)),"")</f>
        <v/>
      </c>
      <c r="D883" s="42" t="str">
        <f aca="false">IF(OR(E883="",N(C883)=0),"",E883/C883-1)</f>
        <v/>
      </c>
      <c r="E883" s="41" t="str">
        <f aca="false">IFERROR(INDEX($L$883:$L$886,MATCH($O883,$N$883:$N$886,0)),"")</f>
        <v/>
      </c>
      <c r="F883" s="41" t="str">
        <f aca="false">IF(E883="","",E883-C883)</f>
        <v/>
      </c>
      <c r="J883" s="25" t="str">
        <f aca="false">Lib_Compta</f>
        <v>Mission comptable (tenue, révision, bilan, liasse fiscale)</v>
      </c>
      <c r="K883" s="25" t="n">
        <f aca="false">IF($K$856=0,0,N(INDEX(Clients!$K$2:$K$501,$K$856)))</f>
        <v>0</v>
      </c>
      <c r="L883" s="25" t="n">
        <f aca="false">IF($K$856=0,0,N(INDEX(Clients!$P$2:$P$501,$K$856)))</f>
        <v>0</v>
      </c>
      <c r="M883" s="25" t="n">
        <f aca="false">IF(OR(K883&lt;&gt;0,L883&lt;&gt;0),1,0)</f>
        <v>0</v>
      </c>
      <c r="N883" s="25" t="str">
        <f aca="false">IF(M883=1,SUM($M$883:M883),"")</f>
        <v/>
      </c>
      <c r="O883" s="25" t="n">
        <v>1</v>
      </c>
    </row>
    <row r="884" customFormat="false" ht="16.5" hidden="false" customHeight="true" outlineLevel="0" collapsed="false">
      <c r="B884" s="40" t="str">
        <f aca="false">IFERROR(INDEX($J$883:$J$886,MATCH($O884,$N$883:$N$886,0)),"")</f>
        <v/>
      </c>
      <c r="C884" s="41" t="str">
        <f aca="false">IFERROR(INDEX($K$883:$K$886,MATCH($O884,$N$883:$N$886,0)),"")</f>
        <v/>
      </c>
      <c r="D884" s="42" t="str">
        <f aca="false">IF(OR(E884="",N(C884)=0),"",E884/C884-1)</f>
        <v/>
      </c>
      <c r="E884" s="41" t="str">
        <f aca="false">IFERROR(INDEX($L$883:$L$886,MATCH($O884,$N$883:$N$886,0)),"")</f>
        <v/>
      </c>
      <c r="F884" s="41" t="str">
        <f aca="false">IF(E884="","",E884-C884)</f>
        <v/>
      </c>
      <c r="J884" s="25" t="str">
        <f aca="false">Lib_Paye</f>
        <v>Mission sociale (bulletins de paie, DSN, déclarations sociales)</v>
      </c>
      <c r="K884" s="25" t="n">
        <f aca="false">IF($K$856=0,0,N(INDEX(Clients!$L$2:$L$501,$K$856)))</f>
        <v>0</v>
      </c>
      <c r="L884" s="25" t="n">
        <f aca="false">IF($K$856=0,0,N(INDEX(Clients!$Q$2:$Q$501,$K$856)))</f>
        <v>0</v>
      </c>
      <c r="M884" s="25" t="n">
        <f aca="false">IF(OR(K884&lt;&gt;0,L884&lt;&gt;0),1,0)</f>
        <v>0</v>
      </c>
      <c r="N884" s="25" t="str">
        <f aca="false">IF(M884=1,SUM($M$883:M884),"")</f>
        <v/>
      </c>
      <c r="O884" s="25" t="n">
        <v>2</v>
      </c>
    </row>
    <row r="885" customFormat="false" ht="16.5" hidden="false" customHeight="true" outlineLevel="0" collapsed="false">
      <c r="B885" s="40" t="str">
        <f aca="false">IFERROR(INDEX($J$883:$J$886,MATCH($O885,$N$883:$N$886,0)),"")</f>
        <v/>
      </c>
      <c r="C885" s="41" t="str">
        <f aca="false">IFERROR(INDEX($K$883:$K$886,MATCH($O885,$N$883:$N$886,0)),"")</f>
        <v/>
      </c>
      <c r="D885" s="42" t="str">
        <f aca="false">IF(OR(E885="",N(C885)=0),"",E885/C885-1)</f>
        <v/>
      </c>
      <c r="E885" s="41" t="str">
        <f aca="false">IFERROR(INDEX($L$883:$L$886,MATCH($O885,$N$883:$N$886,0)),"")</f>
        <v/>
      </c>
      <c r="F885" s="41" t="str">
        <f aca="false">IF(E885="","",E885-C885)</f>
        <v/>
      </c>
      <c r="J885" s="25" t="str">
        <f aca="false">Lib_Jur</f>
        <v>Mission juridique (approbation des comptes, secrétariat juridique)</v>
      </c>
      <c r="K885" s="25" t="n">
        <f aca="false">IF($K$856=0,0,N(INDEX(Clients!$M$2:$M$501,$K$856)))</f>
        <v>0</v>
      </c>
      <c r="L885" s="25" t="n">
        <f aca="false">IF($K$856=0,0,N(INDEX(Clients!$R$2:$R$501,$K$856)))</f>
        <v>0</v>
      </c>
      <c r="M885" s="25" t="n">
        <f aca="false">IF(OR(K885&lt;&gt;0,L885&lt;&gt;0),1,0)</f>
        <v>0</v>
      </c>
      <c r="N885" s="25" t="str">
        <f aca="false">IF(M885=1,SUM($M$883:M885),"")</f>
        <v/>
      </c>
      <c r="O885" s="25" t="n">
        <v>3</v>
      </c>
    </row>
    <row r="886" customFormat="false" ht="16.5" hidden="false" customHeight="true" outlineLevel="0" collapsed="false">
      <c r="B886" s="40" t="str">
        <f aca="false">IFERROR(INDEX($J$883:$J$886,MATCH($O886,$N$883:$N$886,0)),"")</f>
        <v/>
      </c>
      <c r="C886" s="41" t="str">
        <f aca="false">IFERROR(INDEX($K$883:$K$886,MATCH($O886,$N$883:$N$886,0)),"")</f>
        <v/>
      </c>
      <c r="D886" s="42" t="str">
        <f aca="false">IF(OR(E886="",N(C886)=0),"",E886/C886-1)</f>
        <v/>
      </c>
      <c r="E886" s="41" t="str">
        <f aca="false">IFERROR(INDEX($L$883:$L$886,MATCH($O886,$N$883:$N$886,0)),"")</f>
        <v/>
      </c>
      <c r="F886" s="41" t="str">
        <f aca="false">IF(E886="","",E886-C886)</f>
        <v/>
      </c>
      <c r="J886" s="25" t="str">
        <f aca="false">Lib_PA</f>
        <v>Plateforme agréée – facturation électronique</v>
      </c>
      <c r="K886" s="25" t="n">
        <f aca="false">IF($K$856=0,0,N(INDEX(Clients!$N$2:$N$501,$K$856)))</f>
        <v>0</v>
      </c>
      <c r="L886" s="25" t="n">
        <f aca="false">IF($K$856=0,0,N(INDEX(Clients!$S$2:$S$501,$K$856)))</f>
        <v>0</v>
      </c>
      <c r="M886" s="25" t="n">
        <f aca="false">IF(OR(K886&lt;&gt;0,L886&lt;&gt;0),1,0)</f>
        <v>0</v>
      </c>
      <c r="N886" s="25" t="str">
        <f aca="false">IF(M886=1,SUM($M$883:M886),"")</f>
        <v/>
      </c>
      <c r="O886" s="25" t="n">
        <v>4</v>
      </c>
    </row>
    <row r="887" customFormat="false" ht="18" hidden="false" customHeight="true" outlineLevel="0" collapsed="false">
      <c r="B887" s="43" t="s">
        <v>158</v>
      </c>
      <c r="C887" s="44" t="n">
        <f aca="false">SUM(K883:K886)</f>
        <v>0</v>
      </c>
      <c r="D887" s="45" t="str">
        <f aca="false">IF(N(C887)=0,"",E887/C887-1)</f>
        <v/>
      </c>
      <c r="E887" s="44" t="n">
        <f aca="false">SUM(L883:L886)</f>
        <v>0</v>
      </c>
      <c r="F887" s="44" t="n">
        <f aca="false">E887-C887</f>
        <v>0</v>
      </c>
    </row>
    <row r="888" customFormat="false" ht="15" hidden="false" customHeight="false" outlineLevel="0" collapsed="false">
      <c r="B888" s="46" t="str">
        <f aca="false">IF(N(Nb_Mensualites)=0,"","Soit "&amp;FIXED(E887/Nb_Mensualites,2)&amp;" € HT par échéance ("&amp;Nb_Mensualites&amp;" échéances), "&amp;FIXED(E887/Nb_Mensualites*(1+Taux_TVA),2)&amp;" € TTC.")</f>
        <v>Soit 0.00 € HT par échéance (12 échéances), 0.00 € TTC.</v>
      </c>
      <c r="C888" s="46"/>
      <c r="D888" s="46"/>
      <c r="E888" s="46"/>
      <c r="F888" s="46"/>
    </row>
    <row r="889" customFormat="false" ht="7.5" hidden="false" customHeight="true" outlineLevel="0" collapsed="false">
      <c r="B889" s="10"/>
      <c r="C889" s="10"/>
      <c r="D889" s="10"/>
      <c r="E889" s="10"/>
      <c r="F889" s="10"/>
    </row>
    <row r="890" customFormat="false" ht="36.75" hidden="false" customHeight="true" outlineLevel="0" collapsed="false">
      <c r="B890" s="37" t="str">
        <f aca="false">SUBSTITUTE(SUBSTITUTE(SUBSTITUTE(SUBSTITUTE(SUBSTITUTE(Txt_P5,"{cabinet}",Cab_Nom),"{societe}",IF($K$856=0,"",INDEX(Clients!$E$2:$E$501,$K$856)&amp;"")),"{date_effet}",$K$858),"{hausse}",$K$859),"{civilite}",$K$857)</f>
        <v>Les autres conditions de votre lettre de mission demeurent inchangées. Les nouveaux montants seront appliqués automatiquement sur vos prochaines factures et échéances de prélèvement.</v>
      </c>
      <c r="C890" s="37"/>
      <c r="D890" s="37"/>
      <c r="E890" s="37"/>
      <c r="F890" s="37"/>
    </row>
    <row r="891" customFormat="false" ht="36.75" hidden="false" customHeight="true" outlineLevel="0" collapsed="false">
      <c r="B891" s="37" t="str">
        <f aca="false">SUBSTITUTE(SUBSTITUTE(SUBSTITUTE(SUBSTITUTE(SUBSTITUTE(Txt_P6,"{cabinet}",Cab_Nom),"{societe}",IF($K$856=0,"",INDEX(Clients!$E$2:$E$501,$K$856)&amp;"")),"{date_effet}",$K$858),"{hausse}",$K$859),"{civilite}",$K$857)</f>
        <v>Votre interlocuteur habituel reste à votre entière disposition pour répondre à vos questions et faire le point sur l'évolution de vos besoins.</v>
      </c>
      <c r="C891" s="37"/>
      <c r="D891" s="37"/>
      <c r="E891" s="37"/>
      <c r="F891" s="37"/>
    </row>
    <row r="892" customFormat="false" ht="24" hidden="false" customHeight="true" outlineLevel="0" collapsed="false">
      <c r="B892" s="37" t="str">
        <f aca="false">SUBSTITUTE(SUBSTITUTE(SUBSTITUTE(SUBSTITUTE(SUBSTITUTE(Txt_Politesse,"{cabinet}",Cab_Nom),"{societe}",IF($K$856=0,"",INDEX(Clients!$E$2:$E$501,$K$856)&amp;"")),"{date_effet}",$K$858),"{hausse}",$K$859),"{civilite}",$K$857)</f>
        <v>Nous vous prions d'agréer, Madame, Monsieur, l'expression de nos salutations distinguées.</v>
      </c>
      <c r="C892" s="37"/>
      <c r="D892" s="37"/>
      <c r="E892" s="37"/>
      <c r="F892" s="37"/>
    </row>
    <row r="893" customFormat="false" ht="15" hidden="false" customHeight="false" outlineLevel="0" collapsed="false">
      <c r="B893" s="10"/>
      <c r="C893" s="10"/>
      <c r="D893" s="10"/>
      <c r="E893" s="10"/>
      <c r="F893" s="10"/>
    </row>
    <row r="894" customFormat="false" ht="15" hidden="false" customHeight="false" outlineLevel="0" collapsed="false">
      <c r="B894" s="10"/>
      <c r="C894" s="10"/>
      <c r="D894" s="34" t="str">
        <f aca="false">Signataire</f>
        <v>Prénom NOM</v>
      </c>
      <c r="E894" s="34"/>
      <c r="F894" s="34"/>
    </row>
    <row r="895" customFormat="false" ht="15" hidden="false" customHeight="false" outlineLevel="0" collapsed="false">
      <c r="B895" s="10"/>
      <c r="C895" s="10"/>
      <c r="D895" s="47" t="str">
        <f aca="false">Signataire_Titre</f>
        <v>Expert-comptable associé</v>
      </c>
      <c r="E895" s="47"/>
      <c r="F895" s="47"/>
    </row>
    <row r="896" customFormat="false" ht="15.75" hidden="false" customHeight="true" outlineLevel="0" collapsed="false">
      <c r="B896" s="10"/>
      <c r="C896" s="10"/>
      <c r="D896" s="10"/>
      <c r="E896" s="10"/>
      <c r="F896" s="10"/>
    </row>
    <row r="897" customFormat="false" ht="15.75" hidden="false" customHeight="true" outlineLevel="0" collapsed="false">
      <c r="B897" s="10"/>
      <c r="C897" s="10"/>
      <c r="D897" s="10"/>
      <c r="E897" s="10"/>
      <c r="F897" s="10"/>
    </row>
    <row r="898" customFormat="false" ht="15.75" hidden="false" customHeight="true" outlineLevel="0" collapsed="false">
      <c r="B898" s="10"/>
      <c r="C898" s="10"/>
      <c r="D898" s="10"/>
      <c r="E898" s="10"/>
      <c r="F898" s="10"/>
    </row>
    <row r="899" customFormat="false" ht="15.75" hidden="false" customHeight="true" outlineLevel="0" collapsed="false">
      <c r="B899" s="10"/>
      <c r="C899" s="10"/>
      <c r="D899" s="10"/>
      <c r="E899" s="10"/>
      <c r="F899" s="10"/>
    </row>
    <row r="900" customFormat="false" ht="24" hidden="false" customHeight="true" outlineLevel="0" collapsed="false">
      <c r="B900" s="48" t="str">
        <f aca="false">Cab_Mentions</f>
        <v>ALTHO EXPERTISE · SAS au capital de 10 000 € · RCS Pontoise 919 706 325 · TVA FR62919706325 · Société d'expertise comptable inscrite au Tableau de l'Ordre des experts-comptables de Paris Île-de-France</v>
      </c>
      <c r="C900" s="48"/>
      <c r="D900" s="48"/>
      <c r="E900" s="48"/>
      <c r="F900" s="48"/>
    </row>
    <row r="901" customFormat="false" ht="15" hidden="false" customHeight="false" outlineLevel="0" collapsed="false">
      <c r="B901" s="10"/>
      <c r="C901" s="10"/>
      <c r="D901" s="10"/>
      <c r="E901" s="10"/>
      <c r="F901" s="10"/>
      <c r="J901" s="25" t="s">
        <v>142</v>
      </c>
      <c r="K901" s="25" t="n">
        <f aca="false">IFERROR(MATCH(21,Clients!$Z$2:$Z$501,0),0)</f>
        <v>0</v>
      </c>
      <c r="L901" s="25"/>
      <c r="M901" s="25"/>
      <c r="N901" s="25"/>
      <c r="O901" s="25"/>
    </row>
    <row r="902" customFormat="false" ht="21.75" hidden="false" customHeight="true" outlineLevel="0" collapsed="false">
      <c r="B902" s="26" t="str">
        <f aca="false">Cab_Nom</f>
        <v>ALTHO EXPERTISE</v>
      </c>
      <c r="C902" s="26"/>
      <c r="D902" s="10"/>
      <c r="E902" s="27" t="str">
        <f aca="false">IF($K$901=0,"","Réf. client : "&amp;INDEX(Clients!$A$2:$A$501,$K$901))</f>
        <v/>
      </c>
      <c r="F902" s="27"/>
      <c r="J902" s="25" t="s">
        <v>144</v>
      </c>
      <c r="K902" s="25" t="str">
        <f aca="false">IF(IF($K$901=0,"",INDEX(Clients!$B$2:$B$501,$K$901)&amp;"")="Mme","Madame",IF(IF($K$901=0,"",INDEX(Clients!$B$2:$B$501,$K$901)&amp;"")="M.","Monsieur","Madame, Monsieur"))</f>
        <v>Madame, Monsieur</v>
      </c>
      <c r="L902" s="25"/>
      <c r="M902" s="25"/>
      <c r="N902" s="25"/>
      <c r="O902" s="25"/>
    </row>
    <row r="903" customFormat="false" ht="15" hidden="false" customHeight="false" outlineLevel="0" collapsed="false">
      <c r="B903" s="29" t="str">
        <f aca="false">Cab_Adr1</f>
        <v>141 rue Charles de Gaulle</v>
      </c>
      <c r="C903" s="29"/>
      <c r="D903" s="10"/>
      <c r="E903" s="10"/>
      <c r="F903" s="10"/>
      <c r="J903" s="25" t="s">
        <v>145</v>
      </c>
      <c r="K903" s="25" t="str">
        <f aca="false">DAY(Date_Effet)&amp;IF(DAY(Date_Effet)=1,"er","")&amp;" "&amp;INDEX(Liste_Mois,MONTH(Date_Effet))&amp;" "&amp;YEAR(Date_Effet)</f>
        <v>1er janvier 2027</v>
      </c>
      <c r="L903" s="25"/>
      <c r="M903" s="25"/>
      <c r="N903" s="25"/>
      <c r="O903" s="25"/>
    </row>
    <row r="904" customFormat="false" ht="15" hidden="false" customHeight="false" outlineLevel="0" collapsed="false">
      <c r="B904" s="29" t="str">
        <f aca="false">Cab_CPVille</f>
        <v>95130 LE PLESSIS-BOUCHARD</v>
      </c>
      <c r="C904" s="29"/>
      <c r="D904" s="10"/>
      <c r="E904" s="10"/>
      <c r="F904" s="10"/>
      <c r="J904" s="25" t="s">
        <v>146</v>
      </c>
      <c r="K904" s="25" t="str">
        <f aca="false">IF(SUM($K$928:$K$931)=0,"",FIXED((SUM($L$928:$L$931)/SUM($K$928:$K$931)-1)*100,1)&amp;" %")</f>
        <v/>
      </c>
      <c r="L904" s="25"/>
      <c r="M904" s="25"/>
      <c r="N904" s="25"/>
      <c r="O904" s="25"/>
    </row>
    <row r="905" customFormat="false" ht="15" hidden="false" customHeight="false" outlineLevel="0" collapsed="false">
      <c r="B905" s="29" t="str">
        <f aca="false">Cab_Contact</f>
        <v>Tél. 01 34 14 53 45  ·  altho@altho-experts.com  ·  altho-experts.com</v>
      </c>
      <c r="C905" s="29"/>
      <c r="D905" s="10"/>
      <c r="E905" s="10"/>
      <c r="F905" s="10"/>
      <c r="J905" s="25"/>
      <c r="K905" s="25"/>
      <c r="L905" s="25"/>
      <c r="M905" s="25"/>
      <c r="N905" s="25"/>
      <c r="O905" s="25"/>
    </row>
    <row r="906" customFormat="false" ht="6" hidden="false" customHeight="true" outlineLevel="0" collapsed="false">
      <c r="B906" s="32"/>
      <c r="C906" s="32"/>
      <c r="D906" s="32"/>
      <c r="E906" s="32"/>
      <c r="F906" s="32"/>
      <c r="J906" s="25"/>
      <c r="K906" s="25"/>
      <c r="L906" s="25"/>
      <c r="M906" s="25"/>
      <c r="N906" s="25"/>
      <c r="O906" s="25"/>
    </row>
    <row r="907" customFormat="false" ht="13.5" hidden="false" customHeight="true" outlineLevel="0" collapsed="false">
      <c r="B907" s="10"/>
      <c r="C907" s="10"/>
      <c r="D907" s="10"/>
      <c r="E907" s="10"/>
      <c r="F907" s="10"/>
      <c r="J907" s="25"/>
      <c r="K907" s="25"/>
      <c r="L907" s="25"/>
      <c r="M907" s="25"/>
      <c r="N907" s="25"/>
      <c r="O907" s="25"/>
    </row>
    <row r="908" customFormat="false" ht="13.5" hidden="false" customHeight="true" outlineLevel="0" collapsed="false">
      <c r="B908" s="10"/>
      <c r="C908" s="10"/>
      <c r="D908" s="10"/>
      <c r="E908" s="10"/>
      <c r="F908" s="10"/>
      <c r="J908" s="25"/>
      <c r="K908" s="25"/>
      <c r="L908" s="25"/>
      <c r="M908" s="25"/>
      <c r="N908" s="25"/>
      <c r="O908" s="25"/>
    </row>
    <row r="909" customFormat="false" ht="13.5" hidden="false" customHeight="true" outlineLevel="0" collapsed="false">
      <c r="B909" s="10"/>
      <c r="C909" s="10"/>
      <c r="D909" s="10"/>
      <c r="E909" s="10"/>
      <c r="F909" s="10"/>
      <c r="J909" s="25"/>
      <c r="K909" s="25"/>
      <c r="L909" s="25"/>
      <c r="M909" s="25"/>
      <c r="N909" s="25"/>
      <c r="O909" s="25"/>
    </row>
    <row r="910" customFormat="false" ht="15" hidden="false" customHeight="true" outlineLevel="0" collapsed="false">
      <c r="B910" s="10"/>
      <c r="C910" s="10"/>
      <c r="D910" s="34" t="str">
        <f aca="false">IF($K$901=0,"",INDEX(Clients!$E$2:$E$501,$K$901)&amp;"")</f>
        <v/>
      </c>
      <c r="E910" s="34"/>
      <c r="F910" s="34"/>
      <c r="J910" s="25"/>
      <c r="K910" s="25"/>
      <c r="L910" s="25"/>
      <c r="M910" s="25"/>
      <c r="N910" s="25"/>
      <c r="O910" s="25"/>
    </row>
    <row r="911" customFormat="false" ht="15" hidden="false" customHeight="true" outlineLevel="0" collapsed="false">
      <c r="B911" s="10"/>
      <c r="C911" s="10"/>
      <c r="D911" s="35" t="str">
        <f aca="false">IF(IF($K$901=0,"",INDEX(Clients!$D$2:$D$501,$K$901)&amp;"")="","","À l'attention de "&amp;TRIM(IF($K$901=0,"",INDEX(Clients!$B$2:$B$501,$K$901)&amp;"")&amp;" "&amp;IF($K$901=0,"",INDEX(Clients!$C$2:$C$501,$K$901)&amp;"")&amp;" "&amp;IF($K$901=0,"",INDEX(Clients!$D$2:$D$501,$K$901)&amp;"")))</f>
        <v/>
      </c>
      <c r="E911" s="35"/>
      <c r="F911" s="35"/>
      <c r="J911" s="25"/>
      <c r="K911" s="25"/>
      <c r="L911" s="25"/>
      <c r="M911" s="25"/>
      <c r="N911" s="25"/>
      <c r="O911" s="25"/>
    </row>
    <row r="912" customFormat="false" ht="15" hidden="false" customHeight="true" outlineLevel="0" collapsed="false">
      <c r="B912" s="10"/>
      <c r="C912" s="10"/>
      <c r="D912" s="35" t="str">
        <f aca="false">IF($K$901=0,"",INDEX(Clients!$F$2:$F$501,$K$901)&amp;"")</f>
        <v/>
      </c>
      <c r="E912" s="35"/>
      <c r="F912" s="35"/>
      <c r="J912" s="25"/>
      <c r="K912" s="25"/>
      <c r="L912" s="25"/>
      <c r="M912" s="25"/>
      <c r="N912" s="25"/>
      <c r="O912" s="25"/>
    </row>
    <row r="913" customFormat="false" ht="15" hidden="false" customHeight="true" outlineLevel="0" collapsed="false">
      <c r="B913" s="10"/>
      <c r="C913" s="10"/>
      <c r="D913" s="35" t="str">
        <f aca="false">IF(IF($K$901=0,"",INDEX(Clients!$G$2:$G$501,$K$901)&amp;"")="",TRIM(IF($K$901=0,"",INDEX(Clients!$H$2:$H$501,$K$901)&amp;"")&amp;" "&amp;UPPER(IF($K$901=0,"",INDEX(Clients!$I$2:$I$501,$K$901)&amp;""))),IF($K$901=0,"",INDEX(Clients!$G$2:$G$501,$K$901)&amp;""))</f>
        <v/>
      </c>
      <c r="E913" s="35"/>
      <c r="F913" s="35"/>
      <c r="J913" s="25"/>
      <c r="K913" s="25"/>
      <c r="L913" s="25"/>
      <c r="M913" s="25"/>
      <c r="N913" s="25"/>
      <c r="O913" s="25"/>
    </row>
    <row r="914" customFormat="false" ht="15" hidden="false" customHeight="true" outlineLevel="0" collapsed="false">
      <c r="B914" s="10"/>
      <c r="C914" s="10"/>
      <c r="D914" s="35" t="str">
        <f aca="false">IF(IF($K$901=0,"",INDEX(Clients!$G$2:$G$501,$K$901)&amp;"")="","",TRIM(IF($K$901=0,"",INDEX(Clients!$H$2:$H$501,$K$901)&amp;"")&amp;" "&amp;UPPER(IF($K$901=0,"",INDEX(Clients!$I$2:$I$501,$K$901)&amp;""))))</f>
        <v/>
      </c>
      <c r="E914" s="35"/>
      <c r="F914" s="35"/>
      <c r="J914" s="25"/>
      <c r="K914" s="25"/>
      <c r="L914" s="25"/>
      <c r="M914" s="25"/>
      <c r="N914" s="25"/>
      <c r="O914" s="25"/>
    </row>
    <row r="915" customFormat="false" ht="25.5" hidden="false" customHeight="true" outlineLevel="0" collapsed="false">
      <c r="B915" s="10"/>
      <c r="C915" s="10"/>
      <c r="D915" s="10"/>
      <c r="E915" s="10"/>
      <c r="F915" s="10"/>
      <c r="J915" s="25"/>
      <c r="K915" s="25"/>
      <c r="L915" s="25"/>
      <c r="M915" s="25"/>
      <c r="N915" s="25"/>
      <c r="O915" s="25"/>
    </row>
    <row r="916" customFormat="false" ht="15" hidden="false" customHeight="false" outlineLevel="0" collapsed="false">
      <c r="B916" s="10"/>
      <c r="C916" s="10"/>
      <c r="D916" s="36" t="str">
        <f aca="false">Cab_Ville&amp;", le "&amp;DAY(Date_Courrier)&amp;IF(DAY(Date_Courrier)=1,"er","")&amp;" "&amp;INDEX(Liste_Mois,MONTH(Date_Courrier))&amp;" "&amp;YEAR(Date_Courrier)</f>
        <v>Le Plessis-Bouchard, le 22 septembre 2026</v>
      </c>
      <c r="E916" s="36"/>
      <c r="F916" s="36"/>
      <c r="J916" s="25"/>
      <c r="K916" s="25"/>
      <c r="L916" s="25"/>
      <c r="M916" s="25"/>
      <c r="N916" s="25"/>
      <c r="O916" s="25"/>
    </row>
    <row r="917" customFormat="false" ht="19.5" hidden="false" customHeight="true" outlineLevel="0" collapsed="false">
      <c r="B917" s="10"/>
      <c r="C917" s="10"/>
      <c r="D917" s="10"/>
      <c r="E917" s="10"/>
      <c r="F917" s="10"/>
      <c r="J917" s="25"/>
      <c r="K917" s="25"/>
      <c r="L917" s="25"/>
      <c r="M917" s="25"/>
      <c r="N917" s="25"/>
      <c r="O917" s="25"/>
    </row>
    <row r="918" customFormat="false" ht="15" hidden="false" customHeight="false" outlineLevel="0" collapsed="false">
      <c r="B918" s="34" t="str">
        <f aca="false">SUBSTITUTE(SUBSTITUTE(SUBSTITUTE(SUBSTITUTE(SUBSTITUTE(Txt_Objet,"{cabinet}",Cab_Nom),"{societe}",IF($K$901=0,"",INDEX(Clients!$E$2:$E$501,$K$901)&amp;"")),"{date_effet}",$K$903),"{hausse}",$K$904),"{civilite}",$K$902)</f>
        <v>Objet : révision de nos honoraires au 1er janvier 2027</v>
      </c>
      <c r="C918" s="34"/>
      <c r="D918" s="34"/>
      <c r="E918" s="34"/>
      <c r="F918" s="34"/>
      <c r="J918" s="25"/>
      <c r="K918" s="25"/>
      <c r="L918" s="25"/>
      <c r="M918" s="25"/>
      <c r="N918" s="25"/>
      <c r="O918" s="25"/>
    </row>
    <row r="919" customFormat="false" ht="13.5" hidden="false" customHeight="true" outlineLevel="0" collapsed="false">
      <c r="B919" s="10"/>
      <c r="C919" s="10"/>
      <c r="D919" s="10"/>
      <c r="E919" s="10"/>
      <c r="F919" s="10"/>
      <c r="J919" s="25"/>
      <c r="K919" s="25"/>
      <c r="L919" s="25"/>
      <c r="M919" s="25"/>
      <c r="N919" s="25"/>
      <c r="O919" s="25"/>
    </row>
    <row r="920" customFormat="false" ht="15" hidden="false" customHeight="false" outlineLevel="0" collapsed="false">
      <c r="B920" s="10" t="str">
        <f aca="false">$K$902&amp;","</f>
        <v>Madame, Monsieur,</v>
      </c>
      <c r="C920" s="10"/>
      <c r="D920" s="10"/>
      <c r="E920" s="10"/>
      <c r="F920" s="10"/>
      <c r="J920" s="25"/>
      <c r="K920" s="25"/>
      <c r="L920" s="25"/>
      <c r="M920" s="25"/>
      <c r="N920" s="25"/>
      <c r="O920" s="25"/>
    </row>
    <row r="921" customFormat="false" ht="6" hidden="false" customHeight="true" outlineLevel="0" collapsed="false">
      <c r="B921" s="10"/>
      <c r="C921" s="10"/>
      <c r="D921" s="10"/>
      <c r="E921" s="10"/>
      <c r="F921" s="10"/>
      <c r="J921" s="25"/>
      <c r="K921" s="25"/>
      <c r="L921" s="25"/>
      <c r="M921" s="25"/>
      <c r="N921" s="25"/>
      <c r="O921" s="25"/>
    </row>
    <row r="922" customFormat="false" ht="36.75" hidden="false" customHeight="true" outlineLevel="0" collapsed="false">
      <c r="B922" s="37" t="str">
        <f aca="false">SUBSTITUTE(SUBSTITUTE(SUBSTITUTE(SUBSTITUTE(SUBSTITUTE(Txt_P1,"{cabinet}",Cab_Nom),"{societe}",IF($K$901=0,"",INDEX(Clients!$E$2:$E$501,$K$901)&amp;"")),"{date_effet}",$K$903),"{hausse}",$K$904),"{civilite}",$K$902)</f>
        <v>Nous tenons tout d'abord à vous remercier pour la confiance que vous accordez à ALTHO EXPERTISE. Comme chaque année, et conformément aux dispositions de votre lettre de mission, nous procédons à la révision de nos honoraires.</v>
      </c>
      <c r="C922" s="37"/>
      <c r="D922" s="37"/>
      <c r="E922" s="37"/>
      <c r="F922" s="37"/>
      <c r="J922" s="25"/>
      <c r="K922" s="25"/>
      <c r="L922" s="25"/>
      <c r="M922" s="25"/>
      <c r="N922" s="25"/>
      <c r="O922" s="25"/>
    </row>
    <row r="923" customFormat="false" ht="49.5" hidden="false" customHeight="true" outlineLevel="0" collapsed="false">
      <c r="B923" s="37" t="str">
        <f aca="false">SUBSTITUTE(SUBSTITUTE(SUBSTITUTE(SUBSTITUTE(SUBSTITUTE(Txt_P2,"{cabinet}",Cab_Nom),"{societe}",IF($K$901=0,"",INDEX(Clients!$E$2:$E$501,$K$901)&amp;"")),"{date_effet}",$K$903),"{hausse}",$K$904),"{civilite}",$K$902)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23" s="37"/>
      <c r="D923" s="37"/>
      <c r="E923" s="37"/>
      <c r="F923" s="37"/>
      <c r="J923" s="25"/>
      <c r="K923" s="25"/>
      <c r="L923" s="25"/>
      <c r="M923" s="25"/>
      <c r="N923" s="25"/>
      <c r="O923" s="25"/>
    </row>
    <row r="924" customFormat="false" ht="63" hidden="false" customHeight="true" outlineLevel="0" collapsed="false">
      <c r="B924" s="37" t="str">
        <f aca="false">SUBSTITUTE(SUBSTITUTE(SUBSTITUTE(SUBSTITUTE(SUBSTITUTE(Txt_P3,"{cabinet}",Cab_Nom),"{societe}",IF($K$901=0,"",INDEX(Clients!$E$2:$E$501,$K$901)&amp;"")),"{date_effet}",$K$903),"{hausse}",$K$904),"{civilite}",$K$902)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24" s="37"/>
      <c r="D924" s="37"/>
      <c r="E924" s="37"/>
      <c r="F924" s="37"/>
      <c r="J924" s="25"/>
      <c r="K924" s="25"/>
      <c r="L924" s="25"/>
      <c r="M924" s="25"/>
      <c r="N924" s="25"/>
      <c r="O924" s="25"/>
    </row>
    <row r="925" customFormat="false" ht="24" hidden="false" customHeight="true" outlineLevel="0" collapsed="false">
      <c r="B925" s="37" t="str">
        <f aca="false">SUBSTITUTE(SUBSTITUTE(SUBSTITUTE(SUBSTITUTE(SUBSTITUTE(Txt_P4,"{cabinet}",Cab_Nom),"{societe}",IF($K$901=0,"",INDEX(Clients!$E$2:$E$501,$K$901)&amp;"")),"{date_effet}",$K$903),"{hausse}",$K$904),"{civilite}",$K$902)</f>
        <v>À compter du 1er janvier 2027, vos honoraires annuels hors taxes évolueront ainsi (évolution globale : ) :</v>
      </c>
      <c r="C925" s="37"/>
      <c r="D925" s="37"/>
      <c r="E925" s="37"/>
      <c r="F925" s="37"/>
      <c r="J925" s="25"/>
      <c r="K925" s="25"/>
      <c r="L925" s="25"/>
      <c r="M925" s="25"/>
      <c r="N925" s="25"/>
      <c r="O925" s="25"/>
    </row>
    <row r="926" customFormat="false" ht="3.75" hidden="false" customHeight="true" outlineLevel="0" collapsed="false">
      <c r="B926" s="10"/>
      <c r="C926" s="10"/>
      <c r="D926" s="10"/>
      <c r="E926" s="10"/>
      <c r="F926" s="10"/>
      <c r="J926" s="25"/>
      <c r="K926" s="25"/>
      <c r="L926" s="25"/>
      <c r="M926" s="25"/>
      <c r="N926" s="25"/>
      <c r="O926" s="25"/>
    </row>
    <row r="927" customFormat="false" ht="18" hidden="false" customHeight="true" outlineLevel="0" collapsed="false">
      <c r="B927" s="38" t="s">
        <v>148</v>
      </c>
      <c r="C927" s="39" t="s">
        <v>149</v>
      </c>
      <c r="D927" s="39" t="s">
        <v>150</v>
      </c>
      <c r="E927" s="39" t="s">
        <v>151</v>
      </c>
      <c r="F927" s="39" t="s">
        <v>109</v>
      </c>
      <c r="J927" s="25" t="s">
        <v>152</v>
      </c>
      <c r="K927" s="25" t="s">
        <v>153</v>
      </c>
      <c r="L927" s="25" t="s">
        <v>154</v>
      </c>
      <c r="M927" s="25" t="s">
        <v>155</v>
      </c>
      <c r="N927" s="25" t="s">
        <v>156</v>
      </c>
      <c r="O927" s="25" t="s">
        <v>157</v>
      </c>
    </row>
    <row r="928" customFormat="false" ht="16.5" hidden="false" customHeight="true" outlineLevel="0" collapsed="false">
      <c r="B928" s="40" t="str">
        <f aca="false">IFERROR(INDEX($J$928:$J$931,MATCH($O928,$N$928:$N$931,0)),"")</f>
        <v/>
      </c>
      <c r="C928" s="41" t="str">
        <f aca="false">IFERROR(INDEX($K$928:$K$931,MATCH($O928,$N$928:$N$931,0)),"")</f>
        <v/>
      </c>
      <c r="D928" s="42" t="str">
        <f aca="false">IF(OR(E928="",N(C928)=0),"",E928/C928-1)</f>
        <v/>
      </c>
      <c r="E928" s="41" t="str">
        <f aca="false">IFERROR(INDEX($L$928:$L$931,MATCH($O928,$N$928:$N$931,0)),"")</f>
        <v/>
      </c>
      <c r="F928" s="41" t="str">
        <f aca="false">IF(E928="","",E928-C928)</f>
        <v/>
      </c>
      <c r="J928" s="25" t="str">
        <f aca="false">Lib_Compta</f>
        <v>Mission comptable (tenue, révision, bilan, liasse fiscale)</v>
      </c>
      <c r="K928" s="25" t="n">
        <f aca="false">IF($K$901=0,0,N(INDEX(Clients!$K$2:$K$501,$K$901)))</f>
        <v>0</v>
      </c>
      <c r="L928" s="25" t="n">
        <f aca="false">IF($K$901=0,0,N(INDEX(Clients!$P$2:$P$501,$K$901)))</f>
        <v>0</v>
      </c>
      <c r="M928" s="25" t="n">
        <f aca="false">IF(OR(K928&lt;&gt;0,L928&lt;&gt;0),1,0)</f>
        <v>0</v>
      </c>
      <c r="N928" s="25" t="str">
        <f aca="false">IF(M928=1,SUM($M$928:M928),"")</f>
        <v/>
      </c>
      <c r="O928" s="25" t="n">
        <v>1</v>
      </c>
    </row>
    <row r="929" customFormat="false" ht="16.5" hidden="false" customHeight="true" outlineLevel="0" collapsed="false">
      <c r="B929" s="40" t="str">
        <f aca="false">IFERROR(INDEX($J$928:$J$931,MATCH($O929,$N$928:$N$931,0)),"")</f>
        <v/>
      </c>
      <c r="C929" s="41" t="str">
        <f aca="false">IFERROR(INDEX($K$928:$K$931,MATCH($O929,$N$928:$N$931,0)),"")</f>
        <v/>
      </c>
      <c r="D929" s="42" t="str">
        <f aca="false">IF(OR(E929="",N(C929)=0),"",E929/C929-1)</f>
        <v/>
      </c>
      <c r="E929" s="41" t="str">
        <f aca="false">IFERROR(INDEX($L$928:$L$931,MATCH($O929,$N$928:$N$931,0)),"")</f>
        <v/>
      </c>
      <c r="F929" s="41" t="str">
        <f aca="false">IF(E929="","",E929-C929)</f>
        <v/>
      </c>
      <c r="J929" s="25" t="str">
        <f aca="false">Lib_Paye</f>
        <v>Mission sociale (bulletins de paie, DSN, déclarations sociales)</v>
      </c>
      <c r="K929" s="25" t="n">
        <f aca="false">IF($K$901=0,0,N(INDEX(Clients!$L$2:$L$501,$K$901)))</f>
        <v>0</v>
      </c>
      <c r="L929" s="25" t="n">
        <f aca="false">IF($K$901=0,0,N(INDEX(Clients!$Q$2:$Q$501,$K$901)))</f>
        <v>0</v>
      </c>
      <c r="M929" s="25" t="n">
        <f aca="false">IF(OR(K929&lt;&gt;0,L929&lt;&gt;0),1,0)</f>
        <v>0</v>
      </c>
      <c r="N929" s="25" t="str">
        <f aca="false">IF(M929=1,SUM($M$928:M929),"")</f>
        <v/>
      </c>
      <c r="O929" s="25" t="n">
        <v>2</v>
      </c>
    </row>
    <row r="930" customFormat="false" ht="16.5" hidden="false" customHeight="true" outlineLevel="0" collapsed="false">
      <c r="B930" s="40" t="str">
        <f aca="false">IFERROR(INDEX($J$928:$J$931,MATCH($O930,$N$928:$N$931,0)),"")</f>
        <v/>
      </c>
      <c r="C930" s="41" t="str">
        <f aca="false">IFERROR(INDEX($K$928:$K$931,MATCH($O930,$N$928:$N$931,0)),"")</f>
        <v/>
      </c>
      <c r="D930" s="42" t="str">
        <f aca="false">IF(OR(E930="",N(C930)=0),"",E930/C930-1)</f>
        <v/>
      </c>
      <c r="E930" s="41" t="str">
        <f aca="false">IFERROR(INDEX($L$928:$L$931,MATCH($O930,$N$928:$N$931,0)),"")</f>
        <v/>
      </c>
      <c r="F930" s="41" t="str">
        <f aca="false">IF(E930="","",E930-C930)</f>
        <v/>
      </c>
      <c r="J930" s="25" t="str">
        <f aca="false">Lib_Jur</f>
        <v>Mission juridique (approbation des comptes, secrétariat juridique)</v>
      </c>
      <c r="K930" s="25" t="n">
        <f aca="false">IF($K$901=0,0,N(INDEX(Clients!$M$2:$M$501,$K$901)))</f>
        <v>0</v>
      </c>
      <c r="L930" s="25" t="n">
        <f aca="false">IF($K$901=0,0,N(INDEX(Clients!$R$2:$R$501,$K$901)))</f>
        <v>0</v>
      </c>
      <c r="M930" s="25" t="n">
        <f aca="false">IF(OR(K930&lt;&gt;0,L930&lt;&gt;0),1,0)</f>
        <v>0</v>
      </c>
      <c r="N930" s="25" t="str">
        <f aca="false">IF(M930=1,SUM($M$928:M930),"")</f>
        <v/>
      </c>
      <c r="O930" s="25" t="n">
        <v>3</v>
      </c>
    </row>
    <row r="931" customFormat="false" ht="16.5" hidden="false" customHeight="true" outlineLevel="0" collapsed="false">
      <c r="B931" s="40" t="str">
        <f aca="false">IFERROR(INDEX($J$928:$J$931,MATCH($O931,$N$928:$N$931,0)),"")</f>
        <v/>
      </c>
      <c r="C931" s="41" t="str">
        <f aca="false">IFERROR(INDEX($K$928:$K$931,MATCH($O931,$N$928:$N$931,0)),"")</f>
        <v/>
      </c>
      <c r="D931" s="42" t="str">
        <f aca="false">IF(OR(E931="",N(C931)=0),"",E931/C931-1)</f>
        <v/>
      </c>
      <c r="E931" s="41" t="str">
        <f aca="false">IFERROR(INDEX($L$928:$L$931,MATCH($O931,$N$928:$N$931,0)),"")</f>
        <v/>
      </c>
      <c r="F931" s="41" t="str">
        <f aca="false">IF(E931="","",E931-C931)</f>
        <v/>
      </c>
      <c r="J931" s="25" t="str">
        <f aca="false">Lib_PA</f>
        <v>Plateforme agréée – facturation électronique</v>
      </c>
      <c r="K931" s="25" t="n">
        <f aca="false">IF($K$901=0,0,N(INDEX(Clients!$N$2:$N$501,$K$901)))</f>
        <v>0</v>
      </c>
      <c r="L931" s="25" t="n">
        <f aca="false">IF($K$901=0,0,N(INDEX(Clients!$S$2:$S$501,$K$901)))</f>
        <v>0</v>
      </c>
      <c r="M931" s="25" t="n">
        <f aca="false">IF(OR(K931&lt;&gt;0,L931&lt;&gt;0),1,0)</f>
        <v>0</v>
      </c>
      <c r="N931" s="25" t="str">
        <f aca="false">IF(M931=1,SUM($M$928:M931),"")</f>
        <v/>
      </c>
      <c r="O931" s="25" t="n">
        <v>4</v>
      </c>
    </row>
    <row r="932" customFormat="false" ht="18" hidden="false" customHeight="true" outlineLevel="0" collapsed="false">
      <c r="B932" s="43" t="s">
        <v>158</v>
      </c>
      <c r="C932" s="44" t="n">
        <f aca="false">SUM(K928:K931)</f>
        <v>0</v>
      </c>
      <c r="D932" s="45" t="str">
        <f aca="false">IF(N(C932)=0,"",E932/C932-1)</f>
        <v/>
      </c>
      <c r="E932" s="44" t="n">
        <f aca="false">SUM(L928:L931)</f>
        <v>0</v>
      </c>
      <c r="F932" s="44" t="n">
        <f aca="false">E932-C932</f>
        <v>0</v>
      </c>
    </row>
    <row r="933" customFormat="false" ht="15" hidden="false" customHeight="false" outlineLevel="0" collapsed="false">
      <c r="B933" s="46" t="str">
        <f aca="false">IF(N(Nb_Mensualites)=0,"","Soit "&amp;FIXED(E932/Nb_Mensualites,2)&amp;" € HT par échéance ("&amp;Nb_Mensualites&amp;" échéances), "&amp;FIXED(E932/Nb_Mensualites*(1+Taux_TVA),2)&amp;" € TTC.")</f>
        <v>Soit 0.00 € HT par échéance (12 échéances), 0.00 € TTC.</v>
      </c>
      <c r="C933" s="46"/>
      <c r="D933" s="46"/>
      <c r="E933" s="46"/>
      <c r="F933" s="46"/>
    </row>
    <row r="934" customFormat="false" ht="7.5" hidden="false" customHeight="true" outlineLevel="0" collapsed="false">
      <c r="B934" s="10"/>
      <c r="C934" s="10"/>
      <c r="D934" s="10"/>
      <c r="E934" s="10"/>
      <c r="F934" s="10"/>
    </row>
    <row r="935" customFormat="false" ht="36.75" hidden="false" customHeight="true" outlineLevel="0" collapsed="false">
      <c r="B935" s="37" t="str">
        <f aca="false">SUBSTITUTE(SUBSTITUTE(SUBSTITUTE(SUBSTITUTE(SUBSTITUTE(Txt_P5,"{cabinet}",Cab_Nom),"{societe}",IF($K$901=0,"",INDEX(Clients!$E$2:$E$501,$K$901)&amp;"")),"{date_effet}",$K$903),"{hausse}",$K$904),"{civilite}",$K$902)</f>
        <v>Les autres conditions de votre lettre de mission demeurent inchangées. Les nouveaux montants seront appliqués automatiquement sur vos prochaines factures et échéances de prélèvement.</v>
      </c>
      <c r="C935" s="37"/>
      <c r="D935" s="37"/>
      <c r="E935" s="37"/>
      <c r="F935" s="37"/>
    </row>
    <row r="936" customFormat="false" ht="36.75" hidden="false" customHeight="true" outlineLevel="0" collapsed="false">
      <c r="B936" s="37" t="str">
        <f aca="false">SUBSTITUTE(SUBSTITUTE(SUBSTITUTE(SUBSTITUTE(SUBSTITUTE(Txt_P6,"{cabinet}",Cab_Nom),"{societe}",IF($K$901=0,"",INDEX(Clients!$E$2:$E$501,$K$901)&amp;"")),"{date_effet}",$K$903),"{hausse}",$K$904),"{civilite}",$K$902)</f>
        <v>Votre interlocuteur habituel reste à votre entière disposition pour répondre à vos questions et faire le point sur l'évolution de vos besoins.</v>
      </c>
      <c r="C936" s="37"/>
      <c r="D936" s="37"/>
      <c r="E936" s="37"/>
      <c r="F936" s="37"/>
    </row>
    <row r="937" customFormat="false" ht="24" hidden="false" customHeight="true" outlineLevel="0" collapsed="false">
      <c r="B937" s="37" t="str">
        <f aca="false">SUBSTITUTE(SUBSTITUTE(SUBSTITUTE(SUBSTITUTE(SUBSTITUTE(Txt_Politesse,"{cabinet}",Cab_Nom),"{societe}",IF($K$901=0,"",INDEX(Clients!$E$2:$E$501,$K$901)&amp;"")),"{date_effet}",$K$903),"{hausse}",$K$904),"{civilite}",$K$902)</f>
        <v>Nous vous prions d'agréer, Madame, Monsieur, l'expression de nos salutations distinguées.</v>
      </c>
      <c r="C937" s="37"/>
      <c r="D937" s="37"/>
      <c r="E937" s="37"/>
      <c r="F937" s="37"/>
    </row>
    <row r="938" customFormat="false" ht="15" hidden="false" customHeight="false" outlineLevel="0" collapsed="false">
      <c r="B938" s="10"/>
      <c r="C938" s="10"/>
      <c r="D938" s="10"/>
      <c r="E938" s="10"/>
      <c r="F938" s="10"/>
    </row>
    <row r="939" customFormat="false" ht="15" hidden="false" customHeight="false" outlineLevel="0" collapsed="false">
      <c r="B939" s="10"/>
      <c r="C939" s="10"/>
      <c r="D939" s="34" t="str">
        <f aca="false">Signataire</f>
        <v>Prénom NOM</v>
      </c>
      <c r="E939" s="34"/>
      <c r="F939" s="34"/>
    </row>
    <row r="940" customFormat="false" ht="15" hidden="false" customHeight="false" outlineLevel="0" collapsed="false">
      <c r="B940" s="10"/>
      <c r="C940" s="10"/>
      <c r="D940" s="47" t="str">
        <f aca="false">Signataire_Titre</f>
        <v>Expert-comptable associé</v>
      </c>
      <c r="E940" s="47"/>
      <c r="F940" s="47"/>
    </row>
    <row r="941" customFormat="false" ht="15.75" hidden="false" customHeight="true" outlineLevel="0" collapsed="false">
      <c r="B941" s="10"/>
      <c r="C941" s="10"/>
      <c r="D941" s="10"/>
      <c r="E941" s="10"/>
      <c r="F941" s="10"/>
    </row>
    <row r="942" customFormat="false" ht="15.75" hidden="false" customHeight="true" outlineLevel="0" collapsed="false">
      <c r="B942" s="10"/>
      <c r="C942" s="10"/>
      <c r="D942" s="10"/>
      <c r="E942" s="10"/>
      <c r="F942" s="10"/>
    </row>
    <row r="943" customFormat="false" ht="15.75" hidden="false" customHeight="true" outlineLevel="0" collapsed="false">
      <c r="B943" s="10"/>
      <c r="C943" s="10"/>
      <c r="D943" s="10"/>
      <c r="E943" s="10"/>
      <c r="F943" s="10"/>
    </row>
    <row r="944" customFormat="false" ht="15.75" hidden="false" customHeight="true" outlineLevel="0" collapsed="false">
      <c r="B944" s="10"/>
      <c r="C944" s="10"/>
      <c r="D944" s="10"/>
      <c r="E944" s="10"/>
      <c r="F944" s="10"/>
    </row>
    <row r="945" customFormat="false" ht="24" hidden="false" customHeight="true" outlineLevel="0" collapsed="false">
      <c r="B945" s="48" t="str">
        <f aca="false">Cab_Mentions</f>
        <v>ALTHO EXPERTISE · SAS au capital de 10 000 € · RCS Pontoise 919 706 325 · TVA FR62919706325 · Société d'expertise comptable inscrite au Tableau de l'Ordre des experts-comptables de Paris Île-de-France</v>
      </c>
      <c r="C945" s="48"/>
      <c r="D945" s="48"/>
      <c r="E945" s="48"/>
      <c r="F945" s="48"/>
    </row>
    <row r="946" customFormat="false" ht="15" hidden="false" customHeight="false" outlineLevel="0" collapsed="false">
      <c r="B946" s="10"/>
      <c r="C946" s="10"/>
      <c r="D946" s="10"/>
      <c r="E946" s="10"/>
      <c r="F946" s="10"/>
      <c r="J946" s="25" t="s">
        <v>142</v>
      </c>
      <c r="K946" s="25" t="n">
        <f aca="false">IFERROR(MATCH(22,Clients!$Z$2:$Z$501,0),0)</f>
        <v>0</v>
      </c>
      <c r="L946" s="25"/>
      <c r="M946" s="25"/>
      <c r="N946" s="25"/>
      <c r="O946" s="25"/>
    </row>
    <row r="947" customFormat="false" ht="21.75" hidden="false" customHeight="true" outlineLevel="0" collapsed="false">
      <c r="B947" s="26" t="str">
        <f aca="false">Cab_Nom</f>
        <v>ALTHO EXPERTISE</v>
      </c>
      <c r="C947" s="26"/>
      <c r="D947" s="10"/>
      <c r="E947" s="27" t="str">
        <f aca="false">IF($K$946=0,"","Réf. client : "&amp;INDEX(Clients!$A$2:$A$501,$K$946))</f>
        <v/>
      </c>
      <c r="F947" s="27"/>
      <c r="J947" s="25" t="s">
        <v>144</v>
      </c>
      <c r="K947" s="25" t="str">
        <f aca="false">IF(IF($K$946=0,"",INDEX(Clients!$B$2:$B$501,$K$946)&amp;"")="Mme","Madame",IF(IF($K$946=0,"",INDEX(Clients!$B$2:$B$501,$K$946)&amp;"")="M.","Monsieur","Madame, Monsieur"))</f>
        <v>Madame, Monsieur</v>
      </c>
      <c r="L947" s="25"/>
      <c r="M947" s="25"/>
      <c r="N947" s="25"/>
      <c r="O947" s="25"/>
    </row>
    <row r="948" customFormat="false" ht="15" hidden="false" customHeight="false" outlineLevel="0" collapsed="false">
      <c r="B948" s="29" t="str">
        <f aca="false">Cab_Adr1</f>
        <v>141 rue Charles de Gaulle</v>
      </c>
      <c r="C948" s="29"/>
      <c r="D948" s="10"/>
      <c r="E948" s="10"/>
      <c r="F948" s="10"/>
      <c r="J948" s="25" t="s">
        <v>145</v>
      </c>
      <c r="K948" s="25" t="str">
        <f aca="false">DAY(Date_Effet)&amp;IF(DAY(Date_Effet)=1,"er","")&amp;" "&amp;INDEX(Liste_Mois,MONTH(Date_Effet))&amp;" "&amp;YEAR(Date_Effet)</f>
        <v>1er janvier 2027</v>
      </c>
      <c r="L948" s="25"/>
      <c r="M948" s="25"/>
      <c r="N948" s="25"/>
      <c r="O948" s="25"/>
    </row>
    <row r="949" customFormat="false" ht="15" hidden="false" customHeight="false" outlineLevel="0" collapsed="false">
      <c r="B949" s="29" t="str">
        <f aca="false">Cab_CPVille</f>
        <v>95130 LE PLESSIS-BOUCHARD</v>
      </c>
      <c r="C949" s="29"/>
      <c r="D949" s="10"/>
      <c r="E949" s="10"/>
      <c r="F949" s="10"/>
      <c r="J949" s="25" t="s">
        <v>146</v>
      </c>
      <c r="K949" s="25" t="str">
        <f aca="false">IF(SUM($K$973:$K$976)=0,"",FIXED((SUM($L$973:$L$976)/SUM($K$973:$K$976)-1)*100,1)&amp;" %")</f>
        <v/>
      </c>
      <c r="L949" s="25"/>
      <c r="M949" s="25"/>
      <c r="N949" s="25"/>
      <c r="O949" s="25"/>
    </row>
    <row r="950" customFormat="false" ht="15" hidden="false" customHeight="false" outlineLevel="0" collapsed="false">
      <c r="B950" s="29" t="str">
        <f aca="false">Cab_Contact</f>
        <v>Tél. 01 34 14 53 45  ·  altho@altho-experts.com  ·  altho-experts.com</v>
      </c>
      <c r="C950" s="29"/>
      <c r="D950" s="10"/>
      <c r="E950" s="10"/>
      <c r="F950" s="10"/>
      <c r="J950" s="25"/>
      <c r="K950" s="25"/>
      <c r="L950" s="25"/>
      <c r="M950" s="25"/>
      <c r="N950" s="25"/>
      <c r="O950" s="25"/>
    </row>
    <row r="951" customFormat="false" ht="6" hidden="false" customHeight="true" outlineLevel="0" collapsed="false">
      <c r="B951" s="32"/>
      <c r="C951" s="32"/>
      <c r="D951" s="32"/>
      <c r="E951" s="32"/>
      <c r="F951" s="32"/>
      <c r="J951" s="25"/>
      <c r="K951" s="25"/>
      <c r="L951" s="25"/>
      <c r="M951" s="25"/>
      <c r="N951" s="25"/>
      <c r="O951" s="25"/>
    </row>
    <row r="952" customFormat="false" ht="13.5" hidden="false" customHeight="true" outlineLevel="0" collapsed="false">
      <c r="B952" s="10"/>
      <c r="C952" s="10"/>
      <c r="D952" s="10"/>
      <c r="E952" s="10"/>
      <c r="F952" s="10"/>
      <c r="J952" s="25"/>
      <c r="K952" s="25"/>
      <c r="L952" s="25"/>
      <c r="M952" s="25"/>
      <c r="N952" s="25"/>
      <c r="O952" s="25"/>
    </row>
    <row r="953" customFormat="false" ht="13.5" hidden="false" customHeight="true" outlineLevel="0" collapsed="false">
      <c r="B953" s="10"/>
      <c r="C953" s="10"/>
      <c r="D953" s="10"/>
      <c r="E953" s="10"/>
      <c r="F953" s="10"/>
      <c r="J953" s="25"/>
      <c r="K953" s="25"/>
      <c r="L953" s="25"/>
      <c r="M953" s="25"/>
      <c r="N953" s="25"/>
      <c r="O953" s="25"/>
    </row>
    <row r="954" customFormat="false" ht="13.5" hidden="false" customHeight="true" outlineLevel="0" collapsed="false">
      <c r="B954" s="10"/>
      <c r="C954" s="10"/>
      <c r="D954" s="10"/>
      <c r="E954" s="10"/>
      <c r="F954" s="10"/>
      <c r="J954" s="25"/>
      <c r="K954" s="25"/>
      <c r="L954" s="25"/>
      <c r="M954" s="25"/>
      <c r="N954" s="25"/>
      <c r="O954" s="25"/>
    </row>
    <row r="955" customFormat="false" ht="15" hidden="false" customHeight="true" outlineLevel="0" collapsed="false">
      <c r="B955" s="10"/>
      <c r="C955" s="10"/>
      <c r="D955" s="34" t="str">
        <f aca="false">IF($K$946=0,"",INDEX(Clients!$E$2:$E$501,$K$946)&amp;"")</f>
        <v/>
      </c>
      <c r="E955" s="34"/>
      <c r="F955" s="34"/>
      <c r="J955" s="25"/>
      <c r="K955" s="25"/>
      <c r="L955" s="25"/>
      <c r="M955" s="25"/>
      <c r="N955" s="25"/>
      <c r="O955" s="25"/>
    </row>
    <row r="956" customFormat="false" ht="15" hidden="false" customHeight="true" outlineLevel="0" collapsed="false">
      <c r="B956" s="10"/>
      <c r="C956" s="10"/>
      <c r="D956" s="35" t="str">
        <f aca="false">IF(IF($K$946=0,"",INDEX(Clients!$D$2:$D$501,$K$946)&amp;"")="","","À l'attention de "&amp;TRIM(IF($K$946=0,"",INDEX(Clients!$B$2:$B$501,$K$946)&amp;"")&amp;" "&amp;IF($K$946=0,"",INDEX(Clients!$C$2:$C$501,$K$946)&amp;"")&amp;" "&amp;IF($K$946=0,"",INDEX(Clients!$D$2:$D$501,$K$946)&amp;"")))</f>
        <v/>
      </c>
      <c r="E956" s="35"/>
      <c r="F956" s="35"/>
      <c r="J956" s="25"/>
      <c r="K956" s="25"/>
      <c r="L956" s="25"/>
      <c r="M956" s="25"/>
      <c r="N956" s="25"/>
      <c r="O956" s="25"/>
    </row>
    <row r="957" customFormat="false" ht="15" hidden="false" customHeight="true" outlineLevel="0" collapsed="false">
      <c r="B957" s="10"/>
      <c r="C957" s="10"/>
      <c r="D957" s="35" t="str">
        <f aca="false">IF($K$946=0,"",INDEX(Clients!$F$2:$F$501,$K$946)&amp;"")</f>
        <v/>
      </c>
      <c r="E957" s="35"/>
      <c r="F957" s="35"/>
      <c r="J957" s="25"/>
      <c r="K957" s="25"/>
      <c r="L957" s="25"/>
      <c r="M957" s="25"/>
      <c r="N957" s="25"/>
      <c r="O957" s="25"/>
    </row>
    <row r="958" customFormat="false" ht="15" hidden="false" customHeight="true" outlineLevel="0" collapsed="false">
      <c r="B958" s="10"/>
      <c r="C958" s="10"/>
      <c r="D958" s="35" t="str">
        <f aca="false">IF(IF($K$946=0,"",INDEX(Clients!$G$2:$G$501,$K$946)&amp;"")="",TRIM(IF($K$946=0,"",INDEX(Clients!$H$2:$H$501,$K$946)&amp;"")&amp;" "&amp;UPPER(IF($K$946=0,"",INDEX(Clients!$I$2:$I$501,$K$946)&amp;""))),IF($K$946=0,"",INDEX(Clients!$G$2:$G$501,$K$946)&amp;""))</f>
        <v/>
      </c>
      <c r="E958" s="35"/>
      <c r="F958" s="35"/>
      <c r="J958" s="25"/>
      <c r="K958" s="25"/>
      <c r="L958" s="25"/>
      <c r="M958" s="25"/>
      <c r="N958" s="25"/>
      <c r="O958" s="25"/>
    </row>
    <row r="959" customFormat="false" ht="15" hidden="false" customHeight="true" outlineLevel="0" collapsed="false">
      <c r="B959" s="10"/>
      <c r="C959" s="10"/>
      <c r="D959" s="35" t="str">
        <f aca="false">IF(IF($K$946=0,"",INDEX(Clients!$G$2:$G$501,$K$946)&amp;"")="","",TRIM(IF($K$946=0,"",INDEX(Clients!$H$2:$H$501,$K$946)&amp;"")&amp;" "&amp;UPPER(IF($K$946=0,"",INDEX(Clients!$I$2:$I$501,$K$946)&amp;""))))</f>
        <v/>
      </c>
      <c r="E959" s="35"/>
      <c r="F959" s="35"/>
      <c r="J959" s="25"/>
      <c r="K959" s="25"/>
      <c r="L959" s="25"/>
      <c r="M959" s="25"/>
      <c r="N959" s="25"/>
      <c r="O959" s="25"/>
    </row>
    <row r="960" customFormat="false" ht="25.5" hidden="false" customHeight="true" outlineLevel="0" collapsed="false">
      <c r="B960" s="10"/>
      <c r="C960" s="10"/>
      <c r="D960" s="10"/>
      <c r="E960" s="10"/>
      <c r="F960" s="10"/>
      <c r="J960" s="25"/>
      <c r="K960" s="25"/>
      <c r="L960" s="25"/>
      <c r="M960" s="25"/>
      <c r="N960" s="25"/>
      <c r="O960" s="25"/>
    </row>
    <row r="961" customFormat="false" ht="15" hidden="false" customHeight="false" outlineLevel="0" collapsed="false">
      <c r="B961" s="10"/>
      <c r="C961" s="10"/>
      <c r="D961" s="36" t="str">
        <f aca="false">Cab_Ville&amp;", le "&amp;DAY(Date_Courrier)&amp;IF(DAY(Date_Courrier)=1,"er","")&amp;" "&amp;INDEX(Liste_Mois,MONTH(Date_Courrier))&amp;" "&amp;YEAR(Date_Courrier)</f>
        <v>Le Plessis-Bouchard, le 22 septembre 2026</v>
      </c>
      <c r="E961" s="36"/>
      <c r="F961" s="36"/>
      <c r="J961" s="25"/>
      <c r="K961" s="25"/>
      <c r="L961" s="25"/>
      <c r="M961" s="25"/>
      <c r="N961" s="25"/>
      <c r="O961" s="25"/>
    </row>
    <row r="962" customFormat="false" ht="19.5" hidden="false" customHeight="true" outlineLevel="0" collapsed="false">
      <c r="B962" s="10"/>
      <c r="C962" s="10"/>
      <c r="D962" s="10"/>
      <c r="E962" s="10"/>
      <c r="F962" s="10"/>
      <c r="J962" s="25"/>
      <c r="K962" s="25"/>
      <c r="L962" s="25"/>
      <c r="M962" s="25"/>
      <c r="N962" s="25"/>
      <c r="O962" s="25"/>
    </row>
    <row r="963" customFormat="false" ht="15" hidden="false" customHeight="false" outlineLevel="0" collapsed="false">
      <c r="B963" s="34" t="str">
        <f aca="false">SUBSTITUTE(SUBSTITUTE(SUBSTITUTE(SUBSTITUTE(SUBSTITUTE(Txt_Objet,"{cabinet}",Cab_Nom),"{societe}",IF($K$946=0,"",INDEX(Clients!$E$2:$E$501,$K$946)&amp;"")),"{date_effet}",$K$948),"{hausse}",$K$949),"{civilite}",$K$947)</f>
        <v>Objet : révision de nos honoraires au 1er janvier 2027</v>
      </c>
      <c r="C963" s="34"/>
      <c r="D963" s="34"/>
      <c r="E963" s="34"/>
      <c r="F963" s="34"/>
      <c r="J963" s="25"/>
      <c r="K963" s="25"/>
      <c r="L963" s="25"/>
      <c r="M963" s="25"/>
      <c r="N963" s="25"/>
      <c r="O963" s="25"/>
    </row>
    <row r="964" customFormat="false" ht="13.5" hidden="false" customHeight="true" outlineLevel="0" collapsed="false">
      <c r="B964" s="10"/>
      <c r="C964" s="10"/>
      <c r="D964" s="10"/>
      <c r="E964" s="10"/>
      <c r="F964" s="10"/>
      <c r="J964" s="25"/>
      <c r="K964" s="25"/>
      <c r="L964" s="25"/>
      <c r="M964" s="25"/>
      <c r="N964" s="25"/>
      <c r="O964" s="25"/>
    </row>
    <row r="965" customFormat="false" ht="15" hidden="false" customHeight="false" outlineLevel="0" collapsed="false">
      <c r="B965" s="10" t="str">
        <f aca="false">$K$947&amp;","</f>
        <v>Madame, Monsieur,</v>
      </c>
      <c r="C965" s="10"/>
      <c r="D965" s="10"/>
      <c r="E965" s="10"/>
      <c r="F965" s="10"/>
      <c r="J965" s="25"/>
      <c r="K965" s="25"/>
      <c r="L965" s="25"/>
      <c r="M965" s="25"/>
      <c r="N965" s="25"/>
      <c r="O965" s="25"/>
    </row>
    <row r="966" customFormat="false" ht="6" hidden="false" customHeight="true" outlineLevel="0" collapsed="false">
      <c r="B966" s="10"/>
      <c r="C966" s="10"/>
      <c r="D966" s="10"/>
      <c r="E966" s="10"/>
      <c r="F966" s="10"/>
      <c r="J966" s="25"/>
      <c r="K966" s="25"/>
      <c r="L966" s="25"/>
      <c r="M966" s="25"/>
      <c r="N966" s="25"/>
      <c r="O966" s="25"/>
    </row>
    <row r="967" customFormat="false" ht="36.75" hidden="false" customHeight="true" outlineLevel="0" collapsed="false">
      <c r="B967" s="37" t="str">
        <f aca="false">SUBSTITUTE(SUBSTITUTE(SUBSTITUTE(SUBSTITUTE(SUBSTITUTE(Txt_P1,"{cabinet}",Cab_Nom),"{societe}",IF($K$946=0,"",INDEX(Clients!$E$2:$E$501,$K$946)&amp;"")),"{date_effet}",$K$948),"{hausse}",$K$949),"{civilite}",$K$947)</f>
        <v>Nous tenons tout d'abord à vous remercier pour la confiance que vous accordez à ALTHO EXPERTISE. Comme chaque année, et conformément aux dispositions de votre lettre de mission, nous procédons à la révision de nos honoraires.</v>
      </c>
      <c r="C967" s="37"/>
      <c r="D967" s="37"/>
      <c r="E967" s="37"/>
      <c r="F967" s="37"/>
      <c r="J967" s="25"/>
      <c r="K967" s="25"/>
      <c r="L967" s="25"/>
      <c r="M967" s="25"/>
      <c r="N967" s="25"/>
      <c r="O967" s="25"/>
    </row>
    <row r="968" customFormat="false" ht="49.5" hidden="false" customHeight="true" outlineLevel="0" collapsed="false">
      <c r="B968" s="37" t="str">
        <f aca="false">SUBSTITUTE(SUBSTITUTE(SUBSTITUTE(SUBSTITUTE(SUBSTITUTE(Txt_P2,"{cabinet}",Cab_Nom),"{societe}",IF($K$946=0,"",INDEX(Clients!$E$2:$E$501,$K$946)&amp;"")),"{date_effet}",$K$948),"{hausse}",$K$949),"{civilite}",$K$947)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68" s="37"/>
      <c r="D968" s="37"/>
      <c r="E968" s="37"/>
      <c r="F968" s="37"/>
      <c r="J968" s="25"/>
      <c r="K968" s="25"/>
      <c r="L968" s="25"/>
      <c r="M968" s="25"/>
      <c r="N968" s="25"/>
      <c r="O968" s="25"/>
    </row>
    <row r="969" customFormat="false" ht="63" hidden="false" customHeight="true" outlineLevel="0" collapsed="false">
      <c r="B969" s="37" t="str">
        <f aca="false">SUBSTITUTE(SUBSTITUTE(SUBSTITUTE(SUBSTITUTE(SUBSTITUTE(Txt_P3,"{cabinet}",Cab_Nom),"{societe}",IF($K$946=0,"",INDEX(Clients!$E$2:$E$501,$K$946)&amp;"")),"{date_effet}",$K$948),"{hausse}",$K$949),"{civilite}",$K$947)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69" s="37"/>
      <c r="D969" s="37"/>
      <c r="E969" s="37"/>
      <c r="F969" s="37"/>
      <c r="J969" s="25"/>
      <c r="K969" s="25"/>
      <c r="L969" s="25"/>
      <c r="M969" s="25"/>
      <c r="N969" s="25"/>
      <c r="O969" s="25"/>
    </row>
    <row r="970" customFormat="false" ht="24" hidden="false" customHeight="true" outlineLevel="0" collapsed="false">
      <c r="B970" s="37" t="str">
        <f aca="false">SUBSTITUTE(SUBSTITUTE(SUBSTITUTE(SUBSTITUTE(SUBSTITUTE(Txt_P4,"{cabinet}",Cab_Nom),"{societe}",IF($K$946=0,"",INDEX(Clients!$E$2:$E$501,$K$946)&amp;"")),"{date_effet}",$K$948),"{hausse}",$K$949),"{civilite}",$K$947)</f>
        <v>À compter du 1er janvier 2027, vos honoraires annuels hors taxes évolueront ainsi (évolution globale : ) :</v>
      </c>
      <c r="C970" s="37"/>
      <c r="D970" s="37"/>
      <c r="E970" s="37"/>
      <c r="F970" s="37"/>
      <c r="J970" s="25"/>
      <c r="K970" s="25"/>
      <c r="L970" s="25"/>
      <c r="M970" s="25"/>
      <c r="N970" s="25"/>
      <c r="O970" s="25"/>
    </row>
    <row r="971" customFormat="false" ht="3.75" hidden="false" customHeight="true" outlineLevel="0" collapsed="false">
      <c r="B971" s="10"/>
      <c r="C971" s="10"/>
      <c r="D971" s="10"/>
      <c r="E971" s="10"/>
      <c r="F971" s="10"/>
      <c r="J971" s="25"/>
      <c r="K971" s="25"/>
      <c r="L971" s="25"/>
      <c r="M971" s="25"/>
      <c r="N971" s="25"/>
      <c r="O971" s="25"/>
    </row>
    <row r="972" customFormat="false" ht="18" hidden="false" customHeight="true" outlineLevel="0" collapsed="false">
      <c r="B972" s="38" t="s">
        <v>148</v>
      </c>
      <c r="C972" s="39" t="s">
        <v>149</v>
      </c>
      <c r="D972" s="39" t="s">
        <v>150</v>
      </c>
      <c r="E972" s="39" t="s">
        <v>151</v>
      </c>
      <c r="F972" s="39" t="s">
        <v>109</v>
      </c>
      <c r="J972" s="25" t="s">
        <v>152</v>
      </c>
      <c r="K972" s="25" t="s">
        <v>153</v>
      </c>
      <c r="L972" s="25" t="s">
        <v>154</v>
      </c>
      <c r="M972" s="25" t="s">
        <v>155</v>
      </c>
      <c r="N972" s="25" t="s">
        <v>156</v>
      </c>
      <c r="O972" s="25" t="s">
        <v>157</v>
      </c>
    </row>
    <row r="973" customFormat="false" ht="16.5" hidden="false" customHeight="true" outlineLevel="0" collapsed="false">
      <c r="B973" s="40" t="str">
        <f aca="false">IFERROR(INDEX($J$973:$J$976,MATCH($O973,$N$973:$N$976,0)),"")</f>
        <v/>
      </c>
      <c r="C973" s="41" t="str">
        <f aca="false">IFERROR(INDEX($K$973:$K$976,MATCH($O973,$N$973:$N$976,0)),"")</f>
        <v/>
      </c>
      <c r="D973" s="42" t="str">
        <f aca="false">IF(OR(E973="",N(C973)=0),"",E973/C973-1)</f>
        <v/>
      </c>
      <c r="E973" s="41" t="str">
        <f aca="false">IFERROR(INDEX($L$973:$L$976,MATCH($O973,$N$973:$N$976,0)),"")</f>
        <v/>
      </c>
      <c r="F973" s="41" t="str">
        <f aca="false">IF(E973="","",E973-C973)</f>
        <v/>
      </c>
      <c r="J973" s="25" t="str">
        <f aca="false">Lib_Compta</f>
        <v>Mission comptable (tenue, révision, bilan, liasse fiscale)</v>
      </c>
      <c r="K973" s="25" t="n">
        <f aca="false">IF($K$946=0,0,N(INDEX(Clients!$K$2:$K$501,$K$946)))</f>
        <v>0</v>
      </c>
      <c r="L973" s="25" t="n">
        <f aca="false">IF($K$946=0,0,N(INDEX(Clients!$P$2:$P$501,$K$946)))</f>
        <v>0</v>
      </c>
      <c r="M973" s="25" t="n">
        <f aca="false">IF(OR(K973&lt;&gt;0,L973&lt;&gt;0),1,0)</f>
        <v>0</v>
      </c>
      <c r="N973" s="25" t="str">
        <f aca="false">IF(M973=1,SUM($M$973:M973),"")</f>
        <v/>
      </c>
      <c r="O973" s="25" t="n">
        <v>1</v>
      </c>
    </row>
    <row r="974" customFormat="false" ht="16.5" hidden="false" customHeight="true" outlineLevel="0" collapsed="false">
      <c r="B974" s="40" t="str">
        <f aca="false">IFERROR(INDEX($J$973:$J$976,MATCH($O974,$N$973:$N$976,0)),"")</f>
        <v/>
      </c>
      <c r="C974" s="41" t="str">
        <f aca="false">IFERROR(INDEX($K$973:$K$976,MATCH($O974,$N$973:$N$976,0)),"")</f>
        <v/>
      </c>
      <c r="D974" s="42" t="str">
        <f aca="false">IF(OR(E974="",N(C974)=0),"",E974/C974-1)</f>
        <v/>
      </c>
      <c r="E974" s="41" t="str">
        <f aca="false">IFERROR(INDEX($L$973:$L$976,MATCH($O974,$N$973:$N$976,0)),"")</f>
        <v/>
      </c>
      <c r="F974" s="41" t="str">
        <f aca="false">IF(E974="","",E974-C974)</f>
        <v/>
      </c>
      <c r="J974" s="25" t="str">
        <f aca="false">Lib_Paye</f>
        <v>Mission sociale (bulletins de paie, DSN, déclarations sociales)</v>
      </c>
      <c r="K974" s="25" t="n">
        <f aca="false">IF($K$946=0,0,N(INDEX(Clients!$L$2:$L$501,$K$946)))</f>
        <v>0</v>
      </c>
      <c r="L974" s="25" t="n">
        <f aca="false">IF($K$946=0,0,N(INDEX(Clients!$Q$2:$Q$501,$K$946)))</f>
        <v>0</v>
      </c>
      <c r="M974" s="25" t="n">
        <f aca="false">IF(OR(K974&lt;&gt;0,L974&lt;&gt;0),1,0)</f>
        <v>0</v>
      </c>
      <c r="N974" s="25" t="str">
        <f aca="false">IF(M974=1,SUM($M$973:M974),"")</f>
        <v/>
      </c>
      <c r="O974" s="25" t="n">
        <v>2</v>
      </c>
    </row>
    <row r="975" customFormat="false" ht="16.5" hidden="false" customHeight="true" outlineLevel="0" collapsed="false">
      <c r="B975" s="40" t="str">
        <f aca="false">IFERROR(INDEX($J$973:$J$976,MATCH($O975,$N$973:$N$976,0)),"")</f>
        <v/>
      </c>
      <c r="C975" s="41" t="str">
        <f aca="false">IFERROR(INDEX($K$973:$K$976,MATCH($O975,$N$973:$N$976,0)),"")</f>
        <v/>
      </c>
      <c r="D975" s="42" t="str">
        <f aca="false">IF(OR(E975="",N(C975)=0),"",E975/C975-1)</f>
        <v/>
      </c>
      <c r="E975" s="41" t="str">
        <f aca="false">IFERROR(INDEX($L$973:$L$976,MATCH($O975,$N$973:$N$976,0)),"")</f>
        <v/>
      </c>
      <c r="F975" s="41" t="str">
        <f aca="false">IF(E975="","",E975-C975)</f>
        <v/>
      </c>
      <c r="J975" s="25" t="str">
        <f aca="false">Lib_Jur</f>
        <v>Mission juridique (approbation des comptes, secrétariat juridique)</v>
      </c>
      <c r="K975" s="25" t="n">
        <f aca="false">IF($K$946=0,0,N(INDEX(Clients!$M$2:$M$501,$K$946)))</f>
        <v>0</v>
      </c>
      <c r="L975" s="25" t="n">
        <f aca="false">IF($K$946=0,0,N(INDEX(Clients!$R$2:$R$501,$K$946)))</f>
        <v>0</v>
      </c>
      <c r="M975" s="25" t="n">
        <f aca="false">IF(OR(K975&lt;&gt;0,L975&lt;&gt;0),1,0)</f>
        <v>0</v>
      </c>
      <c r="N975" s="25" t="str">
        <f aca="false">IF(M975=1,SUM($M$973:M975),"")</f>
        <v/>
      </c>
      <c r="O975" s="25" t="n">
        <v>3</v>
      </c>
    </row>
    <row r="976" customFormat="false" ht="16.5" hidden="false" customHeight="true" outlineLevel="0" collapsed="false">
      <c r="B976" s="40" t="str">
        <f aca="false">IFERROR(INDEX($J$973:$J$976,MATCH($O976,$N$973:$N$976,0)),"")</f>
        <v/>
      </c>
      <c r="C976" s="41" t="str">
        <f aca="false">IFERROR(INDEX($K$973:$K$976,MATCH($O976,$N$973:$N$976,0)),"")</f>
        <v/>
      </c>
      <c r="D976" s="42" t="str">
        <f aca="false">IF(OR(E976="",N(C976)=0),"",E976/C976-1)</f>
        <v/>
      </c>
      <c r="E976" s="41" t="str">
        <f aca="false">IFERROR(INDEX($L$973:$L$976,MATCH($O976,$N$973:$N$976,0)),"")</f>
        <v/>
      </c>
      <c r="F976" s="41" t="str">
        <f aca="false">IF(E976="","",E976-C976)</f>
        <v/>
      </c>
      <c r="J976" s="25" t="str">
        <f aca="false">Lib_PA</f>
        <v>Plateforme agréée – facturation électronique</v>
      </c>
      <c r="K976" s="25" t="n">
        <f aca="false">IF($K$946=0,0,N(INDEX(Clients!$N$2:$N$501,$K$946)))</f>
        <v>0</v>
      </c>
      <c r="L976" s="25" t="n">
        <f aca="false">IF($K$946=0,0,N(INDEX(Clients!$S$2:$S$501,$K$946)))</f>
        <v>0</v>
      </c>
      <c r="M976" s="25" t="n">
        <f aca="false">IF(OR(K976&lt;&gt;0,L976&lt;&gt;0),1,0)</f>
        <v>0</v>
      </c>
      <c r="N976" s="25" t="str">
        <f aca="false">IF(M976=1,SUM($M$973:M976),"")</f>
        <v/>
      </c>
      <c r="O976" s="25" t="n">
        <v>4</v>
      </c>
    </row>
    <row r="977" customFormat="false" ht="18" hidden="false" customHeight="true" outlineLevel="0" collapsed="false">
      <c r="B977" s="43" t="s">
        <v>158</v>
      </c>
      <c r="C977" s="44" t="n">
        <f aca="false">SUM(K973:K976)</f>
        <v>0</v>
      </c>
      <c r="D977" s="45" t="str">
        <f aca="false">IF(N(C977)=0,"",E977/C977-1)</f>
        <v/>
      </c>
      <c r="E977" s="44" t="n">
        <f aca="false">SUM(L973:L976)</f>
        <v>0</v>
      </c>
      <c r="F977" s="44" t="n">
        <f aca="false">E977-C977</f>
        <v>0</v>
      </c>
    </row>
    <row r="978" customFormat="false" ht="15" hidden="false" customHeight="false" outlineLevel="0" collapsed="false">
      <c r="B978" s="46" t="str">
        <f aca="false">IF(N(Nb_Mensualites)=0,"","Soit "&amp;FIXED(E977/Nb_Mensualites,2)&amp;" € HT par échéance ("&amp;Nb_Mensualites&amp;" échéances), "&amp;FIXED(E977/Nb_Mensualites*(1+Taux_TVA),2)&amp;" € TTC.")</f>
        <v>Soit 0.00 € HT par échéance (12 échéances), 0.00 € TTC.</v>
      </c>
      <c r="C978" s="46"/>
      <c r="D978" s="46"/>
      <c r="E978" s="46"/>
      <c r="F978" s="46"/>
    </row>
    <row r="979" customFormat="false" ht="7.5" hidden="false" customHeight="true" outlineLevel="0" collapsed="false">
      <c r="B979" s="10"/>
      <c r="C979" s="10"/>
      <c r="D979" s="10"/>
      <c r="E979" s="10"/>
      <c r="F979" s="10"/>
    </row>
    <row r="980" customFormat="false" ht="36.75" hidden="false" customHeight="true" outlineLevel="0" collapsed="false">
      <c r="B980" s="37" t="str">
        <f aca="false">SUBSTITUTE(SUBSTITUTE(SUBSTITUTE(SUBSTITUTE(SUBSTITUTE(Txt_P5,"{cabinet}",Cab_Nom),"{societe}",IF($K$946=0,"",INDEX(Clients!$E$2:$E$501,$K$946)&amp;"")),"{date_effet}",$K$948),"{hausse}",$K$949),"{civilite}",$K$947)</f>
        <v>Les autres conditions de votre lettre de mission demeurent inchangées. Les nouveaux montants seront appliqués automatiquement sur vos prochaines factures et échéances de prélèvement.</v>
      </c>
      <c r="C980" s="37"/>
      <c r="D980" s="37"/>
      <c r="E980" s="37"/>
      <c r="F980" s="37"/>
    </row>
    <row r="981" customFormat="false" ht="36.75" hidden="false" customHeight="true" outlineLevel="0" collapsed="false">
      <c r="B981" s="37" t="str">
        <f aca="false">SUBSTITUTE(SUBSTITUTE(SUBSTITUTE(SUBSTITUTE(SUBSTITUTE(Txt_P6,"{cabinet}",Cab_Nom),"{societe}",IF($K$946=0,"",INDEX(Clients!$E$2:$E$501,$K$946)&amp;"")),"{date_effet}",$K$948),"{hausse}",$K$949),"{civilite}",$K$947)</f>
        <v>Votre interlocuteur habituel reste à votre entière disposition pour répondre à vos questions et faire le point sur l'évolution de vos besoins.</v>
      </c>
      <c r="C981" s="37"/>
      <c r="D981" s="37"/>
      <c r="E981" s="37"/>
      <c r="F981" s="37"/>
    </row>
    <row r="982" customFormat="false" ht="24" hidden="false" customHeight="true" outlineLevel="0" collapsed="false">
      <c r="B982" s="37" t="str">
        <f aca="false">SUBSTITUTE(SUBSTITUTE(SUBSTITUTE(SUBSTITUTE(SUBSTITUTE(Txt_Politesse,"{cabinet}",Cab_Nom),"{societe}",IF($K$946=0,"",INDEX(Clients!$E$2:$E$501,$K$946)&amp;"")),"{date_effet}",$K$948),"{hausse}",$K$949),"{civilite}",$K$947)</f>
        <v>Nous vous prions d'agréer, Madame, Monsieur, l'expression de nos salutations distinguées.</v>
      </c>
      <c r="C982" s="37"/>
      <c r="D982" s="37"/>
      <c r="E982" s="37"/>
      <c r="F982" s="37"/>
    </row>
    <row r="983" customFormat="false" ht="15" hidden="false" customHeight="false" outlineLevel="0" collapsed="false">
      <c r="B983" s="10"/>
      <c r="C983" s="10"/>
      <c r="D983" s="10"/>
      <c r="E983" s="10"/>
      <c r="F983" s="10"/>
    </row>
    <row r="984" customFormat="false" ht="15" hidden="false" customHeight="false" outlineLevel="0" collapsed="false">
      <c r="B984" s="10"/>
      <c r="C984" s="10"/>
      <c r="D984" s="34" t="str">
        <f aca="false">Signataire</f>
        <v>Prénom NOM</v>
      </c>
      <c r="E984" s="34"/>
      <c r="F984" s="34"/>
    </row>
    <row r="985" customFormat="false" ht="15" hidden="false" customHeight="false" outlineLevel="0" collapsed="false">
      <c r="B985" s="10"/>
      <c r="C985" s="10"/>
      <c r="D985" s="47" t="str">
        <f aca="false">Signataire_Titre</f>
        <v>Expert-comptable associé</v>
      </c>
      <c r="E985" s="47"/>
      <c r="F985" s="47"/>
    </row>
    <row r="986" customFormat="false" ht="15.75" hidden="false" customHeight="true" outlineLevel="0" collapsed="false">
      <c r="B986" s="10"/>
      <c r="C986" s="10"/>
      <c r="D986" s="10"/>
      <c r="E986" s="10"/>
      <c r="F986" s="10"/>
    </row>
    <row r="987" customFormat="false" ht="15.75" hidden="false" customHeight="true" outlineLevel="0" collapsed="false">
      <c r="B987" s="10"/>
      <c r="C987" s="10"/>
      <c r="D987" s="10"/>
      <c r="E987" s="10"/>
      <c r="F987" s="10"/>
    </row>
    <row r="988" customFormat="false" ht="15.75" hidden="false" customHeight="true" outlineLevel="0" collapsed="false">
      <c r="B988" s="10"/>
      <c r="C988" s="10"/>
      <c r="D988" s="10"/>
      <c r="E988" s="10"/>
      <c r="F988" s="10"/>
    </row>
    <row r="989" customFormat="false" ht="15.75" hidden="false" customHeight="true" outlineLevel="0" collapsed="false">
      <c r="B989" s="10"/>
      <c r="C989" s="10"/>
      <c r="D989" s="10"/>
      <c r="E989" s="10"/>
      <c r="F989" s="10"/>
    </row>
    <row r="990" customFormat="false" ht="24" hidden="false" customHeight="true" outlineLevel="0" collapsed="false">
      <c r="B990" s="48" t="str">
        <f aca="false">Cab_Mentions</f>
        <v>ALTHO EXPERTISE · SAS au capital de 10 000 € · RCS Pontoise 919 706 325 · TVA FR62919706325 · Société d'expertise comptable inscrite au Tableau de l'Ordre des experts-comptables de Paris Île-de-France</v>
      </c>
      <c r="C990" s="48"/>
      <c r="D990" s="48"/>
      <c r="E990" s="48"/>
      <c r="F990" s="48"/>
    </row>
    <row r="991" customFormat="false" ht="15" hidden="false" customHeight="false" outlineLevel="0" collapsed="false">
      <c r="B991" s="10"/>
      <c r="C991" s="10"/>
      <c r="D991" s="10"/>
      <c r="E991" s="10"/>
      <c r="F991" s="10"/>
      <c r="J991" s="25" t="s">
        <v>142</v>
      </c>
      <c r="K991" s="25" t="n">
        <f aca="false">IFERROR(MATCH(23,Clients!$Z$2:$Z$501,0),0)</f>
        <v>0</v>
      </c>
      <c r="L991" s="25"/>
      <c r="M991" s="25"/>
      <c r="N991" s="25"/>
      <c r="O991" s="25"/>
    </row>
    <row r="992" customFormat="false" ht="21.75" hidden="false" customHeight="true" outlineLevel="0" collapsed="false">
      <c r="B992" s="26" t="str">
        <f aca="false">Cab_Nom</f>
        <v>ALTHO EXPERTISE</v>
      </c>
      <c r="C992" s="26"/>
      <c r="D992" s="10"/>
      <c r="E992" s="27" t="str">
        <f aca="false">IF($K$991=0,"","Réf. client : "&amp;INDEX(Clients!$A$2:$A$501,$K$991))</f>
        <v/>
      </c>
      <c r="F992" s="27"/>
      <c r="J992" s="25" t="s">
        <v>144</v>
      </c>
      <c r="K992" s="25" t="str">
        <f aca="false">IF(IF($K$991=0,"",INDEX(Clients!$B$2:$B$501,$K$991)&amp;"")="Mme","Madame",IF(IF($K$991=0,"",INDEX(Clients!$B$2:$B$501,$K$991)&amp;"")="M.","Monsieur","Madame, Monsieur"))</f>
        <v>Madame, Monsieur</v>
      </c>
      <c r="L992" s="25"/>
      <c r="M992" s="25"/>
      <c r="N992" s="25"/>
      <c r="O992" s="25"/>
    </row>
    <row r="993" customFormat="false" ht="15" hidden="false" customHeight="false" outlineLevel="0" collapsed="false">
      <c r="B993" s="29" t="str">
        <f aca="false">Cab_Adr1</f>
        <v>141 rue Charles de Gaulle</v>
      </c>
      <c r="C993" s="29"/>
      <c r="D993" s="10"/>
      <c r="E993" s="10"/>
      <c r="F993" s="10"/>
      <c r="J993" s="25" t="s">
        <v>145</v>
      </c>
      <c r="K993" s="25" t="str">
        <f aca="false">DAY(Date_Effet)&amp;IF(DAY(Date_Effet)=1,"er","")&amp;" "&amp;INDEX(Liste_Mois,MONTH(Date_Effet))&amp;" "&amp;YEAR(Date_Effet)</f>
        <v>1er janvier 2027</v>
      </c>
      <c r="L993" s="25"/>
      <c r="M993" s="25"/>
      <c r="N993" s="25"/>
      <c r="O993" s="25"/>
    </row>
    <row r="994" customFormat="false" ht="15" hidden="false" customHeight="false" outlineLevel="0" collapsed="false">
      <c r="B994" s="29" t="str">
        <f aca="false">Cab_CPVille</f>
        <v>95130 LE PLESSIS-BOUCHARD</v>
      </c>
      <c r="C994" s="29"/>
      <c r="D994" s="10"/>
      <c r="E994" s="10"/>
      <c r="F994" s="10"/>
      <c r="J994" s="25" t="s">
        <v>146</v>
      </c>
      <c r="K994" s="25" t="str">
        <f aca="false">IF(SUM($K$1018:$K$1021)=0,"",FIXED((SUM($L$1018:$L$1021)/SUM($K$1018:$K$1021)-1)*100,1)&amp;" %")</f>
        <v/>
      </c>
      <c r="L994" s="25"/>
      <c r="M994" s="25"/>
      <c r="N994" s="25"/>
      <c r="O994" s="25"/>
    </row>
    <row r="995" customFormat="false" ht="15" hidden="false" customHeight="false" outlineLevel="0" collapsed="false">
      <c r="B995" s="29" t="str">
        <f aca="false">Cab_Contact</f>
        <v>Tél. 01 34 14 53 45  ·  altho@altho-experts.com  ·  altho-experts.com</v>
      </c>
      <c r="C995" s="29"/>
      <c r="D995" s="10"/>
      <c r="E995" s="10"/>
      <c r="F995" s="10"/>
      <c r="J995" s="25"/>
      <c r="K995" s="25"/>
      <c r="L995" s="25"/>
      <c r="M995" s="25"/>
      <c r="N995" s="25"/>
      <c r="O995" s="25"/>
    </row>
    <row r="996" customFormat="false" ht="6" hidden="false" customHeight="true" outlineLevel="0" collapsed="false">
      <c r="B996" s="32"/>
      <c r="C996" s="32"/>
      <c r="D996" s="32"/>
      <c r="E996" s="32"/>
      <c r="F996" s="32"/>
      <c r="J996" s="25"/>
      <c r="K996" s="25"/>
      <c r="L996" s="25"/>
      <c r="M996" s="25"/>
      <c r="N996" s="25"/>
      <c r="O996" s="25"/>
    </row>
    <row r="997" customFormat="false" ht="13.5" hidden="false" customHeight="true" outlineLevel="0" collapsed="false">
      <c r="B997" s="10"/>
      <c r="C997" s="10"/>
      <c r="D997" s="10"/>
      <c r="E997" s="10"/>
      <c r="F997" s="10"/>
      <c r="J997" s="25"/>
      <c r="K997" s="25"/>
      <c r="L997" s="25"/>
      <c r="M997" s="25"/>
      <c r="N997" s="25"/>
      <c r="O997" s="25"/>
    </row>
    <row r="998" customFormat="false" ht="13.5" hidden="false" customHeight="true" outlineLevel="0" collapsed="false">
      <c r="B998" s="10"/>
      <c r="C998" s="10"/>
      <c r="D998" s="10"/>
      <c r="E998" s="10"/>
      <c r="F998" s="10"/>
      <c r="J998" s="25"/>
      <c r="K998" s="25"/>
      <c r="L998" s="25"/>
      <c r="M998" s="25"/>
      <c r="N998" s="25"/>
      <c r="O998" s="25"/>
    </row>
    <row r="999" customFormat="false" ht="13.5" hidden="false" customHeight="true" outlineLevel="0" collapsed="false">
      <c r="B999" s="10"/>
      <c r="C999" s="10"/>
      <c r="D999" s="10"/>
      <c r="E999" s="10"/>
      <c r="F999" s="10"/>
      <c r="J999" s="25"/>
      <c r="K999" s="25"/>
      <c r="L999" s="25"/>
      <c r="M999" s="25"/>
      <c r="N999" s="25"/>
      <c r="O999" s="25"/>
    </row>
    <row r="1000" customFormat="false" ht="15" hidden="false" customHeight="true" outlineLevel="0" collapsed="false">
      <c r="B1000" s="10"/>
      <c r="C1000" s="10"/>
      <c r="D1000" s="34" t="str">
        <f aca="false">IF($K$991=0,"",INDEX(Clients!$E$2:$E$501,$K$991)&amp;"")</f>
        <v/>
      </c>
      <c r="E1000" s="34"/>
      <c r="F1000" s="34"/>
      <c r="J1000" s="25"/>
      <c r="K1000" s="25"/>
      <c r="L1000" s="25"/>
      <c r="M1000" s="25"/>
      <c r="N1000" s="25"/>
      <c r="O1000" s="25"/>
    </row>
    <row r="1001" customFormat="false" ht="15" hidden="false" customHeight="true" outlineLevel="0" collapsed="false">
      <c r="B1001" s="10"/>
      <c r="C1001" s="10"/>
      <c r="D1001" s="35" t="str">
        <f aca="false">IF(IF($K$991=0,"",INDEX(Clients!$D$2:$D$501,$K$991)&amp;"")="","","À l'attention de "&amp;TRIM(IF($K$991=0,"",INDEX(Clients!$B$2:$B$501,$K$991)&amp;"")&amp;" "&amp;IF($K$991=0,"",INDEX(Clients!$C$2:$C$501,$K$991)&amp;"")&amp;" "&amp;IF($K$991=0,"",INDEX(Clients!$D$2:$D$501,$K$991)&amp;"")))</f>
        <v/>
      </c>
      <c r="E1001" s="35"/>
      <c r="F1001" s="35"/>
      <c r="J1001" s="25"/>
      <c r="K1001" s="25"/>
      <c r="L1001" s="25"/>
      <c r="M1001" s="25"/>
      <c r="N1001" s="25"/>
      <c r="O1001" s="25"/>
    </row>
    <row r="1002" customFormat="false" ht="15" hidden="false" customHeight="true" outlineLevel="0" collapsed="false">
      <c r="B1002" s="10"/>
      <c r="C1002" s="10"/>
      <c r="D1002" s="35" t="str">
        <f aca="false">IF($K$991=0,"",INDEX(Clients!$F$2:$F$501,$K$991)&amp;"")</f>
        <v/>
      </c>
      <c r="E1002" s="35"/>
      <c r="F1002" s="35"/>
      <c r="J1002" s="25"/>
      <c r="K1002" s="25"/>
      <c r="L1002" s="25"/>
      <c r="M1002" s="25"/>
      <c r="N1002" s="25"/>
      <c r="O1002" s="25"/>
    </row>
    <row r="1003" customFormat="false" ht="15" hidden="false" customHeight="true" outlineLevel="0" collapsed="false">
      <c r="B1003" s="10"/>
      <c r="C1003" s="10"/>
      <c r="D1003" s="35" t="str">
        <f aca="false">IF(IF($K$991=0,"",INDEX(Clients!$G$2:$G$501,$K$991)&amp;"")="",TRIM(IF($K$991=0,"",INDEX(Clients!$H$2:$H$501,$K$991)&amp;"")&amp;" "&amp;UPPER(IF($K$991=0,"",INDEX(Clients!$I$2:$I$501,$K$991)&amp;""))),IF($K$991=0,"",INDEX(Clients!$G$2:$G$501,$K$991)&amp;""))</f>
        <v/>
      </c>
      <c r="E1003" s="35"/>
      <c r="F1003" s="35"/>
      <c r="J1003" s="25"/>
      <c r="K1003" s="25"/>
      <c r="L1003" s="25"/>
      <c r="M1003" s="25"/>
      <c r="N1003" s="25"/>
      <c r="O1003" s="25"/>
    </row>
    <row r="1004" customFormat="false" ht="15" hidden="false" customHeight="true" outlineLevel="0" collapsed="false">
      <c r="B1004" s="10"/>
      <c r="C1004" s="10"/>
      <c r="D1004" s="35" t="str">
        <f aca="false">IF(IF($K$991=0,"",INDEX(Clients!$G$2:$G$501,$K$991)&amp;"")="","",TRIM(IF($K$991=0,"",INDEX(Clients!$H$2:$H$501,$K$991)&amp;"")&amp;" "&amp;UPPER(IF($K$991=0,"",INDEX(Clients!$I$2:$I$501,$K$991)&amp;""))))</f>
        <v/>
      </c>
      <c r="E1004" s="35"/>
      <c r="F1004" s="35"/>
      <c r="J1004" s="25"/>
      <c r="K1004" s="25"/>
      <c r="L1004" s="25"/>
      <c r="M1004" s="25"/>
      <c r="N1004" s="25"/>
      <c r="O1004" s="25"/>
    </row>
    <row r="1005" customFormat="false" ht="25.5" hidden="false" customHeight="true" outlineLevel="0" collapsed="false">
      <c r="B1005" s="10"/>
      <c r="C1005" s="10"/>
      <c r="D1005" s="10"/>
      <c r="E1005" s="10"/>
      <c r="F1005" s="10"/>
      <c r="J1005" s="25"/>
      <c r="K1005" s="25"/>
      <c r="L1005" s="25"/>
      <c r="M1005" s="25"/>
      <c r="N1005" s="25"/>
      <c r="O1005" s="25"/>
    </row>
    <row r="1006" customFormat="false" ht="15" hidden="false" customHeight="false" outlineLevel="0" collapsed="false">
      <c r="B1006" s="10"/>
      <c r="C1006" s="10"/>
      <c r="D1006" s="36" t="str">
        <f aca="false">Cab_Ville&amp;", le "&amp;DAY(Date_Courrier)&amp;IF(DAY(Date_Courrier)=1,"er","")&amp;" "&amp;INDEX(Liste_Mois,MONTH(Date_Courrier))&amp;" "&amp;YEAR(Date_Courrier)</f>
        <v>Le Plessis-Bouchard, le 22 septembre 2026</v>
      </c>
      <c r="E1006" s="36"/>
      <c r="F1006" s="36"/>
      <c r="J1006" s="25"/>
      <c r="K1006" s="25"/>
      <c r="L1006" s="25"/>
      <c r="M1006" s="25"/>
      <c r="N1006" s="25"/>
      <c r="O1006" s="25"/>
    </row>
    <row r="1007" customFormat="false" ht="19.5" hidden="false" customHeight="true" outlineLevel="0" collapsed="false">
      <c r="B1007" s="10"/>
      <c r="C1007" s="10"/>
      <c r="D1007" s="10"/>
      <c r="E1007" s="10"/>
      <c r="F1007" s="10"/>
      <c r="J1007" s="25"/>
      <c r="K1007" s="25"/>
      <c r="L1007" s="25"/>
      <c r="M1007" s="25"/>
      <c r="N1007" s="25"/>
      <c r="O1007" s="25"/>
    </row>
    <row r="1008" customFormat="false" ht="15" hidden="false" customHeight="false" outlineLevel="0" collapsed="false">
      <c r="B1008" s="34" t="str">
        <f aca="false">SUBSTITUTE(SUBSTITUTE(SUBSTITUTE(SUBSTITUTE(SUBSTITUTE(Txt_Objet,"{cabinet}",Cab_Nom),"{societe}",IF($K$991=0,"",INDEX(Clients!$E$2:$E$501,$K$991)&amp;"")),"{date_effet}",$K$993),"{hausse}",$K$994),"{civilite}",$K$992)</f>
        <v>Objet : révision de nos honoraires au 1er janvier 2027</v>
      </c>
      <c r="C1008" s="34"/>
      <c r="D1008" s="34"/>
      <c r="E1008" s="34"/>
      <c r="F1008" s="34"/>
      <c r="J1008" s="25"/>
      <c r="K1008" s="25"/>
      <c r="L1008" s="25"/>
      <c r="M1008" s="25"/>
      <c r="N1008" s="25"/>
      <c r="O1008" s="25"/>
    </row>
    <row r="1009" customFormat="false" ht="13.5" hidden="false" customHeight="true" outlineLevel="0" collapsed="false">
      <c r="B1009" s="10"/>
      <c r="C1009" s="10"/>
      <c r="D1009" s="10"/>
      <c r="E1009" s="10"/>
      <c r="F1009" s="10"/>
      <c r="J1009" s="25"/>
      <c r="K1009" s="25"/>
      <c r="L1009" s="25"/>
      <c r="M1009" s="25"/>
      <c r="N1009" s="25"/>
      <c r="O1009" s="25"/>
    </row>
    <row r="1010" customFormat="false" ht="15" hidden="false" customHeight="false" outlineLevel="0" collapsed="false">
      <c r="B1010" s="10" t="str">
        <f aca="false">$K$992&amp;","</f>
        <v>Madame, Monsieur,</v>
      </c>
      <c r="C1010" s="10"/>
      <c r="D1010" s="10"/>
      <c r="E1010" s="10"/>
      <c r="F1010" s="10"/>
      <c r="J1010" s="25"/>
      <c r="K1010" s="25"/>
      <c r="L1010" s="25"/>
      <c r="M1010" s="25"/>
      <c r="N1010" s="25"/>
      <c r="O1010" s="25"/>
    </row>
    <row r="1011" customFormat="false" ht="6" hidden="false" customHeight="true" outlineLevel="0" collapsed="false">
      <c r="B1011" s="10"/>
      <c r="C1011" s="10"/>
      <c r="D1011" s="10"/>
      <c r="E1011" s="10"/>
      <c r="F1011" s="10"/>
      <c r="J1011" s="25"/>
      <c r="K1011" s="25"/>
      <c r="L1011" s="25"/>
      <c r="M1011" s="25"/>
      <c r="N1011" s="25"/>
      <c r="O1011" s="25"/>
    </row>
    <row r="1012" customFormat="false" ht="36.75" hidden="false" customHeight="true" outlineLevel="0" collapsed="false">
      <c r="B1012" s="37" t="str">
        <f aca="false">SUBSTITUTE(SUBSTITUTE(SUBSTITUTE(SUBSTITUTE(SUBSTITUTE(Txt_P1,"{cabinet}",Cab_Nom),"{societe}",IF($K$991=0,"",INDEX(Clients!$E$2:$E$501,$K$991)&amp;"")),"{date_effet}",$K$993),"{hausse}",$K$994),"{civilite}",$K$992)</f>
        <v>Nous tenons tout d'abord à vous remercier pour la confiance que vous accordez à ALTHO EXPERTISE. Comme chaque année, et conformément aux dispositions de votre lettre de mission, nous procédons à la révision de nos honoraires.</v>
      </c>
      <c r="C1012" s="37"/>
      <c r="D1012" s="37"/>
      <c r="E1012" s="37"/>
      <c r="F1012" s="37"/>
      <c r="J1012" s="25"/>
      <c r="K1012" s="25"/>
      <c r="L1012" s="25"/>
      <c r="M1012" s="25"/>
      <c r="N1012" s="25"/>
      <c r="O1012" s="25"/>
    </row>
    <row r="1013" customFormat="false" ht="49.5" hidden="false" customHeight="true" outlineLevel="0" collapsed="false">
      <c r="B1013" s="37" t="str">
        <f aca="false">SUBSTITUTE(SUBSTITUTE(SUBSTITUTE(SUBSTITUTE(SUBSTITUTE(Txt_P2,"{cabinet}",Cab_Nom),"{societe}",IF($K$991=0,"",INDEX(Clients!$E$2:$E$501,$K$991)&amp;"")),"{date_effet}",$K$993),"{hausse}",$K$994),"{civilite}",$K$992)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13" s="37"/>
      <c r="D1013" s="37"/>
      <c r="E1013" s="37"/>
      <c r="F1013" s="37"/>
      <c r="J1013" s="25"/>
      <c r="K1013" s="25"/>
      <c r="L1013" s="25"/>
      <c r="M1013" s="25"/>
      <c r="N1013" s="25"/>
      <c r="O1013" s="25"/>
    </row>
    <row r="1014" customFormat="false" ht="63" hidden="false" customHeight="true" outlineLevel="0" collapsed="false">
      <c r="B1014" s="37" t="str">
        <f aca="false">SUBSTITUTE(SUBSTITUTE(SUBSTITUTE(SUBSTITUTE(SUBSTITUTE(Txt_P3,"{cabinet}",Cab_Nom),"{societe}",IF($K$991=0,"",INDEX(Clients!$E$2:$E$501,$K$991)&amp;"")),"{date_effet}",$K$993),"{hausse}",$K$994),"{civilite}",$K$992)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14" s="37"/>
      <c r="D1014" s="37"/>
      <c r="E1014" s="37"/>
      <c r="F1014" s="37"/>
      <c r="J1014" s="25"/>
      <c r="K1014" s="25"/>
      <c r="L1014" s="25"/>
      <c r="M1014" s="25"/>
      <c r="N1014" s="25"/>
      <c r="O1014" s="25"/>
    </row>
    <row r="1015" customFormat="false" ht="24" hidden="false" customHeight="true" outlineLevel="0" collapsed="false">
      <c r="B1015" s="37" t="str">
        <f aca="false">SUBSTITUTE(SUBSTITUTE(SUBSTITUTE(SUBSTITUTE(SUBSTITUTE(Txt_P4,"{cabinet}",Cab_Nom),"{societe}",IF($K$991=0,"",INDEX(Clients!$E$2:$E$501,$K$991)&amp;"")),"{date_effet}",$K$993),"{hausse}",$K$994),"{civilite}",$K$992)</f>
        <v>À compter du 1er janvier 2027, vos honoraires annuels hors taxes évolueront ainsi (évolution globale : ) :</v>
      </c>
      <c r="C1015" s="37"/>
      <c r="D1015" s="37"/>
      <c r="E1015" s="37"/>
      <c r="F1015" s="37"/>
      <c r="J1015" s="25"/>
      <c r="K1015" s="25"/>
      <c r="L1015" s="25"/>
      <c r="M1015" s="25"/>
      <c r="N1015" s="25"/>
      <c r="O1015" s="25"/>
    </row>
    <row r="1016" customFormat="false" ht="3.75" hidden="false" customHeight="true" outlineLevel="0" collapsed="false">
      <c r="B1016" s="10"/>
      <c r="C1016" s="10"/>
      <c r="D1016" s="10"/>
      <c r="E1016" s="10"/>
      <c r="F1016" s="10"/>
      <c r="J1016" s="25"/>
      <c r="K1016" s="25"/>
      <c r="L1016" s="25"/>
      <c r="M1016" s="25"/>
      <c r="N1016" s="25"/>
      <c r="O1016" s="25"/>
    </row>
    <row r="1017" customFormat="false" ht="18" hidden="false" customHeight="true" outlineLevel="0" collapsed="false">
      <c r="B1017" s="38" t="s">
        <v>148</v>
      </c>
      <c r="C1017" s="39" t="s">
        <v>149</v>
      </c>
      <c r="D1017" s="39" t="s">
        <v>150</v>
      </c>
      <c r="E1017" s="39" t="s">
        <v>151</v>
      </c>
      <c r="F1017" s="39" t="s">
        <v>109</v>
      </c>
      <c r="J1017" s="25" t="s">
        <v>152</v>
      </c>
      <c r="K1017" s="25" t="s">
        <v>153</v>
      </c>
      <c r="L1017" s="25" t="s">
        <v>154</v>
      </c>
      <c r="M1017" s="25" t="s">
        <v>155</v>
      </c>
      <c r="N1017" s="25" t="s">
        <v>156</v>
      </c>
      <c r="O1017" s="25" t="s">
        <v>157</v>
      </c>
    </row>
    <row r="1018" customFormat="false" ht="16.5" hidden="false" customHeight="true" outlineLevel="0" collapsed="false">
      <c r="B1018" s="40" t="str">
        <f aca="false">IFERROR(INDEX($J$1018:$J$1021,MATCH($O1018,$N$1018:$N$1021,0)),"")</f>
        <v/>
      </c>
      <c r="C1018" s="41" t="str">
        <f aca="false">IFERROR(INDEX($K$1018:$K$1021,MATCH($O1018,$N$1018:$N$1021,0)),"")</f>
        <v/>
      </c>
      <c r="D1018" s="42" t="str">
        <f aca="false">IF(OR(E1018="",N(C1018)=0),"",E1018/C1018-1)</f>
        <v/>
      </c>
      <c r="E1018" s="41" t="str">
        <f aca="false">IFERROR(INDEX($L$1018:$L$1021,MATCH($O1018,$N$1018:$N$1021,0)),"")</f>
        <v/>
      </c>
      <c r="F1018" s="41" t="str">
        <f aca="false">IF(E1018="","",E1018-C1018)</f>
        <v/>
      </c>
      <c r="J1018" s="25" t="str">
        <f aca="false">Lib_Compta</f>
        <v>Mission comptable (tenue, révision, bilan, liasse fiscale)</v>
      </c>
      <c r="K1018" s="25" t="n">
        <f aca="false">IF($K$991=0,0,N(INDEX(Clients!$K$2:$K$501,$K$991)))</f>
        <v>0</v>
      </c>
      <c r="L1018" s="25" t="n">
        <f aca="false">IF($K$991=0,0,N(INDEX(Clients!$P$2:$P$501,$K$991)))</f>
        <v>0</v>
      </c>
      <c r="M1018" s="25" t="n">
        <f aca="false">IF(OR(K1018&lt;&gt;0,L1018&lt;&gt;0),1,0)</f>
        <v>0</v>
      </c>
      <c r="N1018" s="25" t="str">
        <f aca="false">IF(M1018=1,SUM($M$1018:M1018),"")</f>
        <v/>
      </c>
      <c r="O1018" s="25" t="n">
        <v>1</v>
      </c>
    </row>
    <row r="1019" customFormat="false" ht="16.5" hidden="false" customHeight="true" outlineLevel="0" collapsed="false">
      <c r="B1019" s="40" t="str">
        <f aca="false">IFERROR(INDEX($J$1018:$J$1021,MATCH($O1019,$N$1018:$N$1021,0)),"")</f>
        <v/>
      </c>
      <c r="C1019" s="41" t="str">
        <f aca="false">IFERROR(INDEX($K$1018:$K$1021,MATCH($O1019,$N$1018:$N$1021,0)),"")</f>
        <v/>
      </c>
      <c r="D1019" s="42" t="str">
        <f aca="false">IF(OR(E1019="",N(C1019)=0),"",E1019/C1019-1)</f>
        <v/>
      </c>
      <c r="E1019" s="41" t="str">
        <f aca="false">IFERROR(INDEX($L$1018:$L$1021,MATCH($O1019,$N$1018:$N$1021,0)),"")</f>
        <v/>
      </c>
      <c r="F1019" s="41" t="str">
        <f aca="false">IF(E1019="","",E1019-C1019)</f>
        <v/>
      </c>
      <c r="J1019" s="25" t="str">
        <f aca="false">Lib_Paye</f>
        <v>Mission sociale (bulletins de paie, DSN, déclarations sociales)</v>
      </c>
      <c r="K1019" s="25" t="n">
        <f aca="false">IF($K$991=0,0,N(INDEX(Clients!$L$2:$L$501,$K$991)))</f>
        <v>0</v>
      </c>
      <c r="L1019" s="25" t="n">
        <f aca="false">IF($K$991=0,0,N(INDEX(Clients!$Q$2:$Q$501,$K$991)))</f>
        <v>0</v>
      </c>
      <c r="M1019" s="25" t="n">
        <f aca="false">IF(OR(K1019&lt;&gt;0,L1019&lt;&gt;0),1,0)</f>
        <v>0</v>
      </c>
      <c r="N1019" s="25" t="str">
        <f aca="false">IF(M1019=1,SUM($M$1018:M1019),"")</f>
        <v/>
      </c>
      <c r="O1019" s="25" t="n">
        <v>2</v>
      </c>
    </row>
    <row r="1020" customFormat="false" ht="16.5" hidden="false" customHeight="true" outlineLevel="0" collapsed="false">
      <c r="B1020" s="40" t="str">
        <f aca="false">IFERROR(INDEX($J$1018:$J$1021,MATCH($O1020,$N$1018:$N$1021,0)),"")</f>
        <v/>
      </c>
      <c r="C1020" s="41" t="str">
        <f aca="false">IFERROR(INDEX($K$1018:$K$1021,MATCH($O1020,$N$1018:$N$1021,0)),"")</f>
        <v/>
      </c>
      <c r="D1020" s="42" t="str">
        <f aca="false">IF(OR(E1020="",N(C1020)=0),"",E1020/C1020-1)</f>
        <v/>
      </c>
      <c r="E1020" s="41" t="str">
        <f aca="false">IFERROR(INDEX($L$1018:$L$1021,MATCH($O1020,$N$1018:$N$1021,0)),"")</f>
        <v/>
      </c>
      <c r="F1020" s="41" t="str">
        <f aca="false">IF(E1020="","",E1020-C1020)</f>
        <v/>
      </c>
      <c r="J1020" s="25" t="str">
        <f aca="false">Lib_Jur</f>
        <v>Mission juridique (approbation des comptes, secrétariat juridique)</v>
      </c>
      <c r="K1020" s="25" t="n">
        <f aca="false">IF($K$991=0,0,N(INDEX(Clients!$M$2:$M$501,$K$991)))</f>
        <v>0</v>
      </c>
      <c r="L1020" s="25" t="n">
        <f aca="false">IF($K$991=0,0,N(INDEX(Clients!$R$2:$R$501,$K$991)))</f>
        <v>0</v>
      </c>
      <c r="M1020" s="25" t="n">
        <f aca="false">IF(OR(K1020&lt;&gt;0,L1020&lt;&gt;0),1,0)</f>
        <v>0</v>
      </c>
      <c r="N1020" s="25" t="str">
        <f aca="false">IF(M1020=1,SUM($M$1018:M1020),"")</f>
        <v/>
      </c>
      <c r="O1020" s="25" t="n">
        <v>3</v>
      </c>
    </row>
    <row r="1021" customFormat="false" ht="16.5" hidden="false" customHeight="true" outlineLevel="0" collapsed="false">
      <c r="B1021" s="40" t="str">
        <f aca="false">IFERROR(INDEX($J$1018:$J$1021,MATCH($O1021,$N$1018:$N$1021,0)),"")</f>
        <v/>
      </c>
      <c r="C1021" s="41" t="str">
        <f aca="false">IFERROR(INDEX($K$1018:$K$1021,MATCH($O1021,$N$1018:$N$1021,0)),"")</f>
        <v/>
      </c>
      <c r="D1021" s="42" t="str">
        <f aca="false">IF(OR(E1021="",N(C1021)=0),"",E1021/C1021-1)</f>
        <v/>
      </c>
      <c r="E1021" s="41" t="str">
        <f aca="false">IFERROR(INDEX($L$1018:$L$1021,MATCH($O1021,$N$1018:$N$1021,0)),"")</f>
        <v/>
      </c>
      <c r="F1021" s="41" t="str">
        <f aca="false">IF(E1021="","",E1021-C1021)</f>
        <v/>
      </c>
      <c r="J1021" s="25" t="str">
        <f aca="false">Lib_PA</f>
        <v>Plateforme agréée – facturation électronique</v>
      </c>
      <c r="K1021" s="25" t="n">
        <f aca="false">IF($K$991=0,0,N(INDEX(Clients!$N$2:$N$501,$K$991)))</f>
        <v>0</v>
      </c>
      <c r="L1021" s="25" t="n">
        <f aca="false">IF($K$991=0,0,N(INDEX(Clients!$S$2:$S$501,$K$991)))</f>
        <v>0</v>
      </c>
      <c r="M1021" s="25" t="n">
        <f aca="false">IF(OR(K1021&lt;&gt;0,L1021&lt;&gt;0),1,0)</f>
        <v>0</v>
      </c>
      <c r="N1021" s="25" t="str">
        <f aca="false">IF(M1021=1,SUM($M$1018:M1021),"")</f>
        <v/>
      </c>
      <c r="O1021" s="25" t="n">
        <v>4</v>
      </c>
    </row>
    <row r="1022" customFormat="false" ht="18" hidden="false" customHeight="true" outlineLevel="0" collapsed="false">
      <c r="B1022" s="43" t="s">
        <v>158</v>
      </c>
      <c r="C1022" s="44" t="n">
        <f aca="false">SUM(K1018:K1021)</f>
        <v>0</v>
      </c>
      <c r="D1022" s="45" t="str">
        <f aca="false">IF(N(C1022)=0,"",E1022/C1022-1)</f>
        <v/>
      </c>
      <c r="E1022" s="44" t="n">
        <f aca="false">SUM(L1018:L1021)</f>
        <v>0</v>
      </c>
      <c r="F1022" s="44" t="n">
        <f aca="false">E1022-C1022</f>
        <v>0</v>
      </c>
    </row>
    <row r="1023" customFormat="false" ht="15" hidden="false" customHeight="false" outlineLevel="0" collapsed="false">
      <c r="B1023" s="46" t="str">
        <f aca="false">IF(N(Nb_Mensualites)=0,"","Soit "&amp;FIXED(E1022/Nb_Mensualites,2)&amp;" € HT par échéance ("&amp;Nb_Mensualites&amp;" échéances), "&amp;FIXED(E1022/Nb_Mensualites*(1+Taux_TVA),2)&amp;" € TTC.")</f>
        <v>Soit 0.00 € HT par échéance (12 échéances), 0.00 € TTC.</v>
      </c>
      <c r="C1023" s="46"/>
      <c r="D1023" s="46"/>
      <c r="E1023" s="46"/>
      <c r="F1023" s="46"/>
    </row>
    <row r="1024" customFormat="false" ht="7.5" hidden="false" customHeight="true" outlineLevel="0" collapsed="false">
      <c r="B1024" s="10"/>
      <c r="C1024" s="10"/>
      <c r="D1024" s="10"/>
      <c r="E1024" s="10"/>
      <c r="F1024" s="10"/>
    </row>
    <row r="1025" customFormat="false" ht="36.75" hidden="false" customHeight="true" outlineLevel="0" collapsed="false">
      <c r="B1025" s="37" t="str">
        <f aca="false">SUBSTITUTE(SUBSTITUTE(SUBSTITUTE(SUBSTITUTE(SUBSTITUTE(Txt_P5,"{cabinet}",Cab_Nom),"{societe}",IF($K$991=0,"",INDEX(Clients!$E$2:$E$501,$K$991)&amp;"")),"{date_effet}",$K$993),"{hausse}",$K$994),"{civilite}",$K$992)</f>
        <v>Les autres conditions de votre lettre de mission demeurent inchangées. Les nouveaux montants seront appliqués automatiquement sur vos prochaines factures et échéances de prélèvement.</v>
      </c>
      <c r="C1025" s="37"/>
      <c r="D1025" s="37"/>
      <c r="E1025" s="37"/>
      <c r="F1025" s="37"/>
    </row>
    <row r="1026" customFormat="false" ht="36.75" hidden="false" customHeight="true" outlineLevel="0" collapsed="false">
      <c r="B1026" s="37" t="str">
        <f aca="false">SUBSTITUTE(SUBSTITUTE(SUBSTITUTE(SUBSTITUTE(SUBSTITUTE(Txt_P6,"{cabinet}",Cab_Nom),"{societe}",IF($K$991=0,"",INDEX(Clients!$E$2:$E$501,$K$991)&amp;"")),"{date_effet}",$K$993),"{hausse}",$K$994),"{civilite}",$K$992)</f>
        <v>Votre interlocuteur habituel reste à votre entière disposition pour répondre à vos questions et faire le point sur l'évolution de vos besoins.</v>
      </c>
      <c r="C1026" s="37"/>
      <c r="D1026" s="37"/>
      <c r="E1026" s="37"/>
      <c r="F1026" s="37"/>
    </row>
    <row r="1027" customFormat="false" ht="24" hidden="false" customHeight="true" outlineLevel="0" collapsed="false">
      <c r="B1027" s="37" t="str">
        <f aca="false">SUBSTITUTE(SUBSTITUTE(SUBSTITUTE(SUBSTITUTE(SUBSTITUTE(Txt_Politesse,"{cabinet}",Cab_Nom),"{societe}",IF($K$991=0,"",INDEX(Clients!$E$2:$E$501,$K$991)&amp;"")),"{date_effet}",$K$993),"{hausse}",$K$994),"{civilite}",$K$992)</f>
        <v>Nous vous prions d'agréer, Madame, Monsieur, l'expression de nos salutations distinguées.</v>
      </c>
      <c r="C1027" s="37"/>
      <c r="D1027" s="37"/>
      <c r="E1027" s="37"/>
      <c r="F1027" s="37"/>
    </row>
    <row r="1028" customFormat="false" ht="15" hidden="false" customHeight="false" outlineLevel="0" collapsed="false">
      <c r="B1028" s="10"/>
      <c r="C1028" s="10"/>
      <c r="D1028" s="10"/>
      <c r="E1028" s="10"/>
      <c r="F1028" s="10"/>
    </row>
    <row r="1029" customFormat="false" ht="15" hidden="false" customHeight="false" outlineLevel="0" collapsed="false">
      <c r="B1029" s="10"/>
      <c r="C1029" s="10"/>
      <c r="D1029" s="34" t="str">
        <f aca="false">Signataire</f>
        <v>Prénom NOM</v>
      </c>
      <c r="E1029" s="34"/>
      <c r="F1029" s="34"/>
    </row>
    <row r="1030" customFormat="false" ht="15" hidden="false" customHeight="false" outlineLevel="0" collapsed="false">
      <c r="B1030" s="10"/>
      <c r="C1030" s="10"/>
      <c r="D1030" s="47" t="str">
        <f aca="false">Signataire_Titre</f>
        <v>Expert-comptable associé</v>
      </c>
      <c r="E1030" s="47"/>
      <c r="F1030" s="47"/>
    </row>
    <row r="1031" customFormat="false" ht="15.75" hidden="false" customHeight="true" outlineLevel="0" collapsed="false">
      <c r="B1031" s="10"/>
      <c r="C1031" s="10"/>
      <c r="D1031" s="10"/>
      <c r="E1031" s="10"/>
      <c r="F1031" s="10"/>
    </row>
    <row r="1032" customFormat="false" ht="15.75" hidden="false" customHeight="true" outlineLevel="0" collapsed="false">
      <c r="B1032" s="10"/>
      <c r="C1032" s="10"/>
      <c r="D1032" s="10"/>
      <c r="E1032" s="10"/>
      <c r="F1032" s="10"/>
    </row>
    <row r="1033" customFormat="false" ht="15.75" hidden="false" customHeight="true" outlineLevel="0" collapsed="false">
      <c r="B1033" s="10"/>
      <c r="C1033" s="10"/>
      <c r="D1033" s="10"/>
      <c r="E1033" s="10"/>
      <c r="F1033" s="10"/>
    </row>
    <row r="1034" customFormat="false" ht="15.75" hidden="false" customHeight="true" outlineLevel="0" collapsed="false">
      <c r="B1034" s="10"/>
      <c r="C1034" s="10"/>
      <c r="D1034" s="10"/>
      <c r="E1034" s="10"/>
      <c r="F1034" s="10"/>
    </row>
    <row r="1035" customFormat="false" ht="24" hidden="false" customHeight="true" outlineLevel="0" collapsed="false">
      <c r="B1035" s="48" t="str">
        <f aca="false">Cab_Mentions</f>
        <v>ALTHO EXPERTISE · SAS au capital de 10 000 € · RCS Pontoise 919 706 325 · TVA FR62919706325 · Société d'expertise comptable inscrite au Tableau de l'Ordre des experts-comptables de Paris Île-de-France</v>
      </c>
      <c r="C1035" s="48"/>
      <c r="D1035" s="48"/>
      <c r="E1035" s="48"/>
      <c r="F1035" s="48"/>
    </row>
    <row r="1036" customFormat="false" ht="15" hidden="false" customHeight="false" outlineLevel="0" collapsed="false">
      <c r="B1036" s="10"/>
      <c r="C1036" s="10"/>
      <c r="D1036" s="10"/>
      <c r="E1036" s="10"/>
      <c r="F1036" s="10"/>
      <c r="J1036" s="25" t="s">
        <v>142</v>
      </c>
      <c r="K1036" s="25" t="n">
        <f aca="false">IFERROR(MATCH(24,Clients!$Z$2:$Z$501,0),0)</f>
        <v>0</v>
      </c>
      <c r="L1036" s="25"/>
      <c r="M1036" s="25"/>
      <c r="N1036" s="25"/>
      <c r="O1036" s="25"/>
    </row>
    <row r="1037" customFormat="false" ht="21.75" hidden="false" customHeight="true" outlineLevel="0" collapsed="false">
      <c r="B1037" s="26" t="str">
        <f aca="false">Cab_Nom</f>
        <v>ALTHO EXPERTISE</v>
      </c>
      <c r="C1037" s="26"/>
      <c r="D1037" s="10"/>
      <c r="E1037" s="27" t="str">
        <f aca="false">IF($K$1036=0,"","Réf. client : "&amp;INDEX(Clients!$A$2:$A$501,$K$1036))</f>
        <v/>
      </c>
      <c r="F1037" s="27"/>
      <c r="J1037" s="25" t="s">
        <v>144</v>
      </c>
      <c r="K1037" s="25" t="str">
        <f aca="false">IF(IF($K$1036=0,"",INDEX(Clients!$B$2:$B$501,$K$1036)&amp;"")="Mme","Madame",IF(IF($K$1036=0,"",INDEX(Clients!$B$2:$B$501,$K$1036)&amp;"")="M.","Monsieur","Madame, Monsieur"))</f>
        <v>Madame, Monsieur</v>
      </c>
      <c r="L1037" s="25"/>
      <c r="M1037" s="25"/>
      <c r="N1037" s="25"/>
      <c r="O1037" s="25"/>
    </row>
    <row r="1038" customFormat="false" ht="15" hidden="false" customHeight="false" outlineLevel="0" collapsed="false">
      <c r="B1038" s="29" t="str">
        <f aca="false">Cab_Adr1</f>
        <v>141 rue Charles de Gaulle</v>
      </c>
      <c r="C1038" s="29"/>
      <c r="D1038" s="10"/>
      <c r="E1038" s="10"/>
      <c r="F1038" s="10"/>
      <c r="J1038" s="25" t="s">
        <v>145</v>
      </c>
      <c r="K1038" s="25" t="str">
        <f aca="false">DAY(Date_Effet)&amp;IF(DAY(Date_Effet)=1,"er","")&amp;" "&amp;INDEX(Liste_Mois,MONTH(Date_Effet))&amp;" "&amp;YEAR(Date_Effet)</f>
        <v>1er janvier 2027</v>
      </c>
      <c r="L1038" s="25"/>
      <c r="M1038" s="25"/>
      <c r="N1038" s="25"/>
      <c r="O1038" s="25"/>
    </row>
    <row r="1039" customFormat="false" ht="15" hidden="false" customHeight="false" outlineLevel="0" collapsed="false">
      <c r="B1039" s="29" t="str">
        <f aca="false">Cab_CPVille</f>
        <v>95130 LE PLESSIS-BOUCHARD</v>
      </c>
      <c r="C1039" s="29"/>
      <c r="D1039" s="10"/>
      <c r="E1039" s="10"/>
      <c r="F1039" s="10"/>
      <c r="J1039" s="25" t="s">
        <v>146</v>
      </c>
      <c r="K1039" s="25" t="str">
        <f aca="false">IF(SUM($K$1063:$K$1066)=0,"",FIXED((SUM($L$1063:$L$1066)/SUM($K$1063:$K$1066)-1)*100,1)&amp;" %")</f>
        <v/>
      </c>
      <c r="L1039" s="25"/>
      <c r="M1039" s="25"/>
      <c r="N1039" s="25"/>
      <c r="O1039" s="25"/>
    </row>
    <row r="1040" customFormat="false" ht="15" hidden="false" customHeight="false" outlineLevel="0" collapsed="false">
      <c r="B1040" s="29" t="str">
        <f aca="false">Cab_Contact</f>
        <v>Tél. 01 34 14 53 45  ·  altho@altho-experts.com  ·  altho-experts.com</v>
      </c>
      <c r="C1040" s="29"/>
      <c r="D1040" s="10"/>
      <c r="E1040" s="10"/>
      <c r="F1040" s="10"/>
      <c r="J1040" s="25"/>
      <c r="K1040" s="25"/>
      <c r="L1040" s="25"/>
      <c r="M1040" s="25"/>
      <c r="N1040" s="25"/>
      <c r="O1040" s="25"/>
    </row>
    <row r="1041" customFormat="false" ht="6" hidden="false" customHeight="true" outlineLevel="0" collapsed="false">
      <c r="B1041" s="32"/>
      <c r="C1041" s="32"/>
      <c r="D1041" s="32"/>
      <c r="E1041" s="32"/>
      <c r="F1041" s="32"/>
      <c r="J1041" s="25"/>
      <c r="K1041" s="25"/>
      <c r="L1041" s="25"/>
      <c r="M1041" s="25"/>
      <c r="N1041" s="25"/>
      <c r="O1041" s="25"/>
    </row>
    <row r="1042" customFormat="false" ht="13.5" hidden="false" customHeight="true" outlineLevel="0" collapsed="false">
      <c r="B1042" s="10"/>
      <c r="C1042" s="10"/>
      <c r="D1042" s="10"/>
      <c r="E1042" s="10"/>
      <c r="F1042" s="10"/>
      <c r="J1042" s="25"/>
      <c r="K1042" s="25"/>
      <c r="L1042" s="25"/>
      <c r="M1042" s="25"/>
      <c r="N1042" s="25"/>
      <c r="O1042" s="25"/>
    </row>
    <row r="1043" customFormat="false" ht="13.5" hidden="false" customHeight="true" outlineLevel="0" collapsed="false">
      <c r="B1043" s="10"/>
      <c r="C1043" s="10"/>
      <c r="D1043" s="10"/>
      <c r="E1043" s="10"/>
      <c r="F1043" s="10"/>
      <c r="J1043" s="25"/>
      <c r="K1043" s="25"/>
      <c r="L1043" s="25"/>
      <c r="M1043" s="25"/>
      <c r="N1043" s="25"/>
      <c r="O1043" s="25"/>
    </row>
    <row r="1044" customFormat="false" ht="13.5" hidden="false" customHeight="true" outlineLevel="0" collapsed="false">
      <c r="B1044" s="10"/>
      <c r="C1044" s="10"/>
      <c r="D1044" s="10"/>
      <c r="E1044" s="10"/>
      <c r="F1044" s="10"/>
      <c r="J1044" s="25"/>
      <c r="K1044" s="25"/>
      <c r="L1044" s="25"/>
      <c r="M1044" s="25"/>
      <c r="N1044" s="25"/>
      <c r="O1044" s="25"/>
    </row>
    <row r="1045" customFormat="false" ht="15" hidden="false" customHeight="true" outlineLevel="0" collapsed="false">
      <c r="B1045" s="10"/>
      <c r="C1045" s="10"/>
      <c r="D1045" s="34" t="str">
        <f aca="false">IF($K$1036=0,"",INDEX(Clients!$E$2:$E$501,$K$1036)&amp;"")</f>
        <v/>
      </c>
      <c r="E1045" s="34"/>
      <c r="F1045" s="34"/>
      <c r="J1045" s="25"/>
      <c r="K1045" s="25"/>
      <c r="L1045" s="25"/>
      <c r="M1045" s="25"/>
      <c r="N1045" s="25"/>
      <c r="O1045" s="25"/>
    </row>
    <row r="1046" customFormat="false" ht="15" hidden="false" customHeight="true" outlineLevel="0" collapsed="false">
      <c r="B1046" s="10"/>
      <c r="C1046" s="10"/>
      <c r="D1046" s="35" t="str">
        <f aca="false">IF(IF($K$1036=0,"",INDEX(Clients!$D$2:$D$501,$K$1036)&amp;"")="","","À l'attention de "&amp;TRIM(IF($K$1036=0,"",INDEX(Clients!$B$2:$B$501,$K$1036)&amp;"")&amp;" "&amp;IF($K$1036=0,"",INDEX(Clients!$C$2:$C$501,$K$1036)&amp;"")&amp;" "&amp;IF($K$1036=0,"",INDEX(Clients!$D$2:$D$501,$K$1036)&amp;"")))</f>
        <v/>
      </c>
      <c r="E1046" s="35"/>
      <c r="F1046" s="35"/>
      <c r="J1046" s="25"/>
      <c r="K1046" s="25"/>
      <c r="L1046" s="25"/>
      <c r="M1046" s="25"/>
      <c r="N1046" s="25"/>
      <c r="O1046" s="25"/>
    </row>
    <row r="1047" customFormat="false" ht="15" hidden="false" customHeight="true" outlineLevel="0" collapsed="false">
      <c r="B1047" s="10"/>
      <c r="C1047" s="10"/>
      <c r="D1047" s="35" t="str">
        <f aca="false">IF($K$1036=0,"",INDEX(Clients!$F$2:$F$501,$K$1036)&amp;"")</f>
        <v/>
      </c>
      <c r="E1047" s="35"/>
      <c r="F1047" s="35"/>
      <c r="J1047" s="25"/>
      <c r="K1047" s="25"/>
      <c r="L1047" s="25"/>
      <c r="M1047" s="25"/>
      <c r="N1047" s="25"/>
      <c r="O1047" s="25"/>
    </row>
    <row r="1048" customFormat="false" ht="15" hidden="false" customHeight="true" outlineLevel="0" collapsed="false">
      <c r="B1048" s="10"/>
      <c r="C1048" s="10"/>
      <c r="D1048" s="35" t="str">
        <f aca="false">IF(IF($K$1036=0,"",INDEX(Clients!$G$2:$G$501,$K$1036)&amp;"")="",TRIM(IF($K$1036=0,"",INDEX(Clients!$H$2:$H$501,$K$1036)&amp;"")&amp;" "&amp;UPPER(IF($K$1036=0,"",INDEX(Clients!$I$2:$I$501,$K$1036)&amp;""))),IF($K$1036=0,"",INDEX(Clients!$G$2:$G$501,$K$1036)&amp;""))</f>
        <v/>
      </c>
      <c r="E1048" s="35"/>
      <c r="F1048" s="35"/>
      <c r="J1048" s="25"/>
      <c r="K1048" s="25"/>
      <c r="L1048" s="25"/>
      <c r="M1048" s="25"/>
      <c r="N1048" s="25"/>
      <c r="O1048" s="25"/>
    </row>
    <row r="1049" customFormat="false" ht="15" hidden="false" customHeight="true" outlineLevel="0" collapsed="false">
      <c r="B1049" s="10"/>
      <c r="C1049" s="10"/>
      <c r="D1049" s="35" t="str">
        <f aca="false">IF(IF($K$1036=0,"",INDEX(Clients!$G$2:$G$501,$K$1036)&amp;"")="","",TRIM(IF($K$1036=0,"",INDEX(Clients!$H$2:$H$501,$K$1036)&amp;"")&amp;" "&amp;UPPER(IF($K$1036=0,"",INDEX(Clients!$I$2:$I$501,$K$1036)&amp;""))))</f>
        <v/>
      </c>
      <c r="E1049" s="35"/>
      <c r="F1049" s="35"/>
      <c r="J1049" s="25"/>
      <c r="K1049" s="25"/>
      <c r="L1049" s="25"/>
      <c r="M1049" s="25"/>
      <c r="N1049" s="25"/>
      <c r="O1049" s="25"/>
    </row>
    <row r="1050" customFormat="false" ht="25.5" hidden="false" customHeight="true" outlineLevel="0" collapsed="false">
      <c r="B1050" s="10"/>
      <c r="C1050" s="10"/>
      <c r="D1050" s="10"/>
      <c r="E1050" s="10"/>
      <c r="F1050" s="10"/>
      <c r="J1050" s="25"/>
      <c r="K1050" s="25"/>
      <c r="L1050" s="25"/>
      <c r="M1050" s="25"/>
      <c r="N1050" s="25"/>
      <c r="O1050" s="25"/>
    </row>
    <row r="1051" customFormat="false" ht="15" hidden="false" customHeight="false" outlineLevel="0" collapsed="false">
      <c r="B1051" s="10"/>
      <c r="C1051" s="10"/>
      <c r="D1051" s="36" t="str">
        <f aca="false">Cab_Ville&amp;", le "&amp;DAY(Date_Courrier)&amp;IF(DAY(Date_Courrier)=1,"er","")&amp;" "&amp;INDEX(Liste_Mois,MONTH(Date_Courrier))&amp;" "&amp;YEAR(Date_Courrier)</f>
        <v>Le Plessis-Bouchard, le 22 septembre 2026</v>
      </c>
      <c r="E1051" s="36"/>
      <c r="F1051" s="36"/>
      <c r="J1051" s="25"/>
      <c r="K1051" s="25"/>
      <c r="L1051" s="25"/>
      <c r="M1051" s="25"/>
      <c r="N1051" s="25"/>
      <c r="O1051" s="25"/>
    </row>
    <row r="1052" customFormat="false" ht="19.5" hidden="false" customHeight="true" outlineLevel="0" collapsed="false">
      <c r="B1052" s="10"/>
      <c r="C1052" s="10"/>
      <c r="D1052" s="10"/>
      <c r="E1052" s="10"/>
      <c r="F1052" s="10"/>
      <c r="J1052" s="25"/>
      <c r="K1052" s="25"/>
      <c r="L1052" s="25"/>
      <c r="M1052" s="25"/>
      <c r="N1052" s="25"/>
      <c r="O1052" s="25"/>
    </row>
    <row r="1053" customFormat="false" ht="15" hidden="false" customHeight="false" outlineLevel="0" collapsed="false">
      <c r="B1053" s="34" t="str">
        <f aca="false">SUBSTITUTE(SUBSTITUTE(SUBSTITUTE(SUBSTITUTE(SUBSTITUTE(Txt_Objet,"{cabinet}",Cab_Nom),"{societe}",IF($K$1036=0,"",INDEX(Clients!$E$2:$E$501,$K$1036)&amp;"")),"{date_effet}",$K$1038),"{hausse}",$K$1039),"{civilite}",$K$1037)</f>
        <v>Objet : révision de nos honoraires au 1er janvier 2027</v>
      </c>
      <c r="C1053" s="34"/>
      <c r="D1053" s="34"/>
      <c r="E1053" s="34"/>
      <c r="F1053" s="34"/>
      <c r="J1053" s="25"/>
      <c r="K1053" s="25"/>
      <c r="L1053" s="25"/>
      <c r="M1053" s="25"/>
      <c r="N1053" s="25"/>
      <c r="O1053" s="25"/>
    </row>
    <row r="1054" customFormat="false" ht="13.5" hidden="false" customHeight="true" outlineLevel="0" collapsed="false">
      <c r="B1054" s="10"/>
      <c r="C1054" s="10"/>
      <c r="D1054" s="10"/>
      <c r="E1054" s="10"/>
      <c r="F1054" s="10"/>
      <c r="J1054" s="25"/>
      <c r="K1054" s="25"/>
      <c r="L1054" s="25"/>
      <c r="M1054" s="25"/>
      <c r="N1054" s="25"/>
      <c r="O1054" s="25"/>
    </row>
    <row r="1055" customFormat="false" ht="15" hidden="false" customHeight="false" outlineLevel="0" collapsed="false">
      <c r="B1055" s="10" t="str">
        <f aca="false">$K$1037&amp;","</f>
        <v>Madame, Monsieur,</v>
      </c>
      <c r="C1055" s="10"/>
      <c r="D1055" s="10"/>
      <c r="E1055" s="10"/>
      <c r="F1055" s="10"/>
      <c r="J1055" s="25"/>
      <c r="K1055" s="25"/>
      <c r="L1055" s="25"/>
      <c r="M1055" s="25"/>
      <c r="N1055" s="25"/>
      <c r="O1055" s="25"/>
    </row>
    <row r="1056" customFormat="false" ht="6" hidden="false" customHeight="true" outlineLevel="0" collapsed="false">
      <c r="B1056" s="10"/>
      <c r="C1056" s="10"/>
      <c r="D1056" s="10"/>
      <c r="E1056" s="10"/>
      <c r="F1056" s="10"/>
      <c r="J1056" s="25"/>
      <c r="K1056" s="25"/>
      <c r="L1056" s="25"/>
      <c r="M1056" s="25"/>
      <c r="N1056" s="25"/>
      <c r="O1056" s="25"/>
    </row>
    <row r="1057" customFormat="false" ht="36.75" hidden="false" customHeight="true" outlineLevel="0" collapsed="false">
      <c r="B1057" s="37" t="str">
        <f aca="false">SUBSTITUTE(SUBSTITUTE(SUBSTITUTE(SUBSTITUTE(SUBSTITUTE(Txt_P1,"{cabinet}",Cab_Nom),"{societe}",IF($K$1036=0,"",INDEX(Clients!$E$2:$E$501,$K$1036)&amp;"")),"{date_effet}",$K$1038),"{hausse}",$K$1039),"{civilite}",$K$1037)</f>
        <v>Nous tenons tout d'abord à vous remercier pour la confiance que vous accordez à ALTHO EXPERTISE. Comme chaque année, et conformément aux dispositions de votre lettre de mission, nous procédons à la révision de nos honoraires.</v>
      </c>
      <c r="C1057" s="37"/>
      <c r="D1057" s="37"/>
      <c r="E1057" s="37"/>
      <c r="F1057" s="37"/>
      <c r="J1057" s="25"/>
      <c r="K1057" s="25"/>
      <c r="L1057" s="25"/>
      <c r="M1057" s="25"/>
      <c r="N1057" s="25"/>
      <c r="O1057" s="25"/>
    </row>
    <row r="1058" customFormat="false" ht="49.5" hidden="false" customHeight="true" outlineLevel="0" collapsed="false">
      <c r="B1058" s="37" t="str">
        <f aca="false">SUBSTITUTE(SUBSTITUTE(SUBSTITUTE(SUBSTITUTE(SUBSTITUTE(Txt_P2,"{cabinet}",Cab_Nom),"{societe}",IF($K$1036=0,"",INDEX(Clients!$E$2:$E$501,$K$1036)&amp;"")),"{date_effet}",$K$1038),"{hausse}",$K$1039),"{civilite}",$K$1037)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58" s="37"/>
      <c r="D1058" s="37"/>
      <c r="E1058" s="37"/>
      <c r="F1058" s="37"/>
      <c r="J1058" s="25"/>
      <c r="K1058" s="25"/>
      <c r="L1058" s="25"/>
      <c r="M1058" s="25"/>
      <c r="N1058" s="25"/>
      <c r="O1058" s="25"/>
    </row>
    <row r="1059" customFormat="false" ht="63" hidden="false" customHeight="true" outlineLevel="0" collapsed="false">
      <c r="B1059" s="37" t="str">
        <f aca="false">SUBSTITUTE(SUBSTITUTE(SUBSTITUTE(SUBSTITUTE(SUBSTITUTE(Txt_P3,"{cabinet}",Cab_Nom),"{societe}",IF($K$1036=0,"",INDEX(Clients!$E$2:$E$501,$K$1036)&amp;"")),"{date_effet}",$K$1038),"{hausse}",$K$1039),"{civilite}",$K$1037)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59" s="37"/>
      <c r="D1059" s="37"/>
      <c r="E1059" s="37"/>
      <c r="F1059" s="37"/>
      <c r="J1059" s="25"/>
      <c r="K1059" s="25"/>
      <c r="L1059" s="25"/>
      <c r="M1059" s="25"/>
      <c r="N1059" s="25"/>
      <c r="O1059" s="25"/>
    </row>
    <row r="1060" customFormat="false" ht="24" hidden="false" customHeight="true" outlineLevel="0" collapsed="false">
      <c r="B1060" s="37" t="str">
        <f aca="false">SUBSTITUTE(SUBSTITUTE(SUBSTITUTE(SUBSTITUTE(SUBSTITUTE(Txt_P4,"{cabinet}",Cab_Nom),"{societe}",IF($K$1036=0,"",INDEX(Clients!$E$2:$E$501,$K$1036)&amp;"")),"{date_effet}",$K$1038),"{hausse}",$K$1039),"{civilite}",$K$1037)</f>
        <v>À compter du 1er janvier 2027, vos honoraires annuels hors taxes évolueront ainsi (évolution globale : ) :</v>
      </c>
      <c r="C1060" s="37"/>
      <c r="D1060" s="37"/>
      <c r="E1060" s="37"/>
      <c r="F1060" s="37"/>
      <c r="J1060" s="25"/>
      <c r="K1060" s="25"/>
      <c r="L1060" s="25"/>
      <c r="M1060" s="25"/>
      <c r="N1060" s="25"/>
      <c r="O1060" s="25"/>
    </row>
    <row r="1061" customFormat="false" ht="3.75" hidden="false" customHeight="true" outlineLevel="0" collapsed="false">
      <c r="B1061" s="10"/>
      <c r="C1061" s="10"/>
      <c r="D1061" s="10"/>
      <c r="E1061" s="10"/>
      <c r="F1061" s="10"/>
      <c r="J1061" s="25"/>
      <c r="K1061" s="25"/>
      <c r="L1061" s="25"/>
      <c r="M1061" s="25"/>
      <c r="N1061" s="25"/>
      <c r="O1061" s="25"/>
    </row>
    <row r="1062" customFormat="false" ht="18" hidden="false" customHeight="true" outlineLevel="0" collapsed="false">
      <c r="B1062" s="38" t="s">
        <v>148</v>
      </c>
      <c r="C1062" s="39" t="s">
        <v>149</v>
      </c>
      <c r="D1062" s="39" t="s">
        <v>150</v>
      </c>
      <c r="E1062" s="39" t="s">
        <v>151</v>
      </c>
      <c r="F1062" s="39" t="s">
        <v>109</v>
      </c>
      <c r="J1062" s="25" t="s">
        <v>152</v>
      </c>
      <c r="K1062" s="25" t="s">
        <v>153</v>
      </c>
      <c r="L1062" s="25" t="s">
        <v>154</v>
      </c>
      <c r="M1062" s="25" t="s">
        <v>155</v>
      </c>
      <c r="N1062" s="25" t="s">
        <v>156</v>
      </c>
      <c r="O1062" s="25" t="s">
        <v>157</v>
      </c>
    </row>
    <row r="1063" customFormat="false" ht="16.5" hidden="false" customHeight="true" outlineLevel="0" collapsed="false">
      <c r="B1063" s="40" t="str">
        <f aca="false">IFERROR(INDEX($J$1063:$J$1066,MATCH($O1063,$N$1063:$N$1066,0)),"")</f>
        <v/>
      </c>
      <c r="C1063" s="41" t="str">
        <f aca="false">IFERROR(INDEX($K$1063:$K$1066,MATCH($O1063,$N$1063:$N$1066,0)),"")</f>
        <v/>
      </c>
      <c r="D1063" s="42" t="str">
        <f aca="false">IF(OR(E1063="",N(C1063)=0),"",E1063/C1063-1)</f>
        <v/>
      </c>
      <c r="E1063" s="41" t="str">
        <f aca="false">IFERROR(INDEX($L$1063:$L$1066,MATCH($O1063,$N$1063:$N$1066,0)),"")</f>
        <v/>
      </c>
      <c r="F1063" s="41" t="str">
        <f aca="false">IF(E1063="","",E1063-C1063)</f>
        <v/>
      </c>
      <c r="J1063" s="25" t="str">
        <f aca="false">Lib_Compta</f>
        <v>Mission comptable (tenue, révision, bilan, liasse fiscale)</v>
      </c>
      <c r="K1063" s="25" t="n">
        <f aca="false">IF($K$1036=0,0,N(INDEX(Clients!$K$2:$K$501,$K$1036)))</f>
        <v>0</v>
      </c>
      <c r="L1063" s="25" t="n">
        <f aca="false">IF($K$1036=0,0,N(INDEX(Clients!$P$2:$P$501,$K$1036)))</f>
        <v>0</v>
      </c>
      <c r="M1063" s="25" t="n">
        <f aca="false">IF(OR(K1063&lt;&gt;0,L1063&lt;&gt;0),1,0)</f>
        <v>0</v>
      </c>
      <c r="N1063" s="25" t="str">
        <f aca="false">IF(M1063=1,SUM($M$1063:M1063),"")</f>
        <v/>
      </c>
      <c r="O1063" s="25" t="n">
        <v>1</v>
      </c>
    </row>
    <row r="1064" customFormat="false" ht="16.5" hidden="false" customHeight="true" outlineLevel="0" collapsed="false">
      <c r="B1064" s="40" t="str">
        <f aca="false">IFERROR(INDEX($J$1063:$J$1066,MATCH($O1064,$N$1063:$N$1066,0)),"")</f>
        <v/>
      </c>
      <c r="C1064" s="41" t="str">
        <f aca="false">IFERROR(INDEX($K$1063:$K$1066,MATCH($O1064,$N$1063:$N$1066,0)),"")</f>
        <v/>
      </c>
      <c r="D1064" s="42" t="str">
        <f aca="false">IF(OR(E1064="",N(C1064)=0),"",E1064/C1064-1)</f>
        <v/>
      </c>
      <c r="E1064" s="41" t="str">
        <f aca="false">IFERROR(INDEX($L$1063:$L$1066,MATCH($O1064,$N$1063:$N$1066,0)),"")</f>
        <v/>
      </c>
      <c r="F1064" s="41" t="str">
        <f aca="false">IF(E1064="","",E1064-C1064)</f>
        <v/>
      </c>
      <c r="J1064" s="25" t="str">
        <f aca="false">Lib_Paye</f>
        <v>Mission sociale (bulletins de paie, DSN, déclarations sociales)</v>
      </c>
      <c r="K1064" s="25" t="n">
        <f aca="false">IF($K$1036=0,0,N(INDEX(Clients!$L$2:$L$501,$K$1036)))</f>
        <v>0</v>
      </c>
      <c r="L1064" s="25" t="n">
        <f aca="false">IF($K$1036=0,0,N(INDEX(Clients!$Q$2:$Q$501,$K$1036)))</f>
        <v>0</v>
      </c>
      <c r="M1064" s="25" t="n">
        <f aca="false">IF(OR(K1064&lt;&gt;0,L1064&lt;&gt;0),1,0)</f>
        <v>0</v>
      </c>
      <c r="N1064" s="25" t="str">
        <f aca="false">IF(M1064=1,SUM($M$1063:M1064),"")</f>
        <v/>
      </c>
      <c r="O1064" s="25" t="n">
        <v>2</v>
      </c>
    </row>
    <row r="1065" customFormat="false" ht="16.5" hidden="false" customHeight="true" outlineLevel="0" collapsed="false">
      <c r="B1065" s="40" t="str">
        <f aca="false">IFERROR(INDEX($J$1063:$J$1066,MATCH($O1065,$N$1063:$N$1066,0)),"")</f>
        <v/>
      </c>
      <c r="C1065" s="41" t="str">
        <f aca="false">IFERROR(INDEX($K$1063:$K$1066,MATCH($O1065,$N$1063:$N$1066,0)),"")</f>
        <v/>
      </c>
      <c r="D1065" s="42" t="str">
        <f aca="false">IF(OR(E1065="",N(C1065)=0),"",E1065/C1065-1)</f>
        <v/>
      </c>
      <c r="E1065" s="41" t="str">
        <f aca="false">IFERROR(INDEX($L$1063:$L$1066,MATCH($O1065,$N$1063:$N$1066,0)),"")</f>
        <v/>
      </c>
      <c r="F1065" s="41" t="str">
        <f aca="false">IF(E1065="","",E1065-C1065)</f>
        <v/>
      </c>
      <c r="J1065" s="25" t="str">
        <f aca="false">Lib_Jur</f>
        <v>Mission juridique (approbation des comptes, secrétariat juridique)</v>
      </c>
      <c r="K1065" s="25" t="n">
        <f aca="false">IF($K$1036=0,0,N(INDEX(Clients!$M$2:$M$501,$K$1036)))</f>
        <v>0</v>
      </c>
      <c r="L1065" s="25" t="n">
        <f aca="false">IF($K$1036=0,0,N(INDEX(Clients!$R$2:$R$501,$K$1036)))</f>
        <v>0</v>
      </c>
      <c r="M1065" s="25" t="n">
        <f aca="false">IF(OR(K1065&lt;&gt;0,L1065&lt;&gt;0),1,0)</f>
        <v>0</v>
      </c>
      <c r="N1065" s="25" t="str">
        <f aca="false">IF(M1065=1,SUM($M$1063:M1065),"")</f>
        <v/>
      </c>
      <c r="O1065" s="25" t="n">
        <v>3</v>
      </c>
    </row>
    <row r="1066" customFormat="false" ht="16.5" hidden="false" customHeight="true" outlineLevel="0" collapsed="false">
      <c r="B1066" s="40" t="str">
        <f aca="false">IFERROR(INDEX($J$1063:$J$1066,MATCH($O1066,$N$1063:$N$1066,0)),"")</f>
        <v/>
      </c>
      <c r="C1066" s="41" t="str">
        <f aca="false">IFERROR(INDEX($K$1063:$K$1066,MATCH($O1066,$N$1063:$N$1066,0)),"")</f>
        <v/>
      </c>
      <c r="D1066" s="42" t="str">
        <f aca="false">IF(OR(E1066="",N(C1066)=0),"",E1066/C1066-1)</f>
        <v/>
      </c>
      <c r="E1066" s="41" t="str">
        <f aca="false">IFERROR(INDEX($L$1063:$L$1066,MATCH($O1066,$N$1063:$N$1066,0)),"")</f>
        <v/>
      </c>
      <c r="F1066" s="41" t="str">
        <f aca="false">IF(E1066="","",E1066-C1066)</f>
        <v/>
      </c>
      <c r="J1066" s="25" t="str">
        <f aca="false">Lib_PA</f>
        <v>Plateforme agréée – facturation électronique</v>
      </c>
      <c r="K1066" s="25" t="n">
        <f aca="false">IF($K$1036=0,0,N(INDEX(Clients!$N$2:$N$501,$K$1036)))</f>
        <v>0</v>
      </c>
      <c r="L1066" s="25" t="n">
        <f aca="false">IF($K$1036=0,0,N(INDEX(Clients!$S$2:$S$501,$K$1036)))</f>
        <v>0</v>
      </c>
      <c r="M1066" s="25" t="n">
        <f aca="false">IF(OR(K1066&lt;&gt;0,L1066&lt;&gt;0),1,0)</f>
        <v>0</v>
      </c>
      <c r="N1066" s="25" t="str">
        <f aca="false">IF(M1066=1,SUM($M$1063:M1066),"")</f>
        <v/>
      </c>
      <c r="O1066" s="25" t="n">
        <v>4</v>
      </c>
    </row>
    <row r="1067" customFormat="false" ht="18" hidden="false" customHeight="true" outlineLevel="0" collapsed="false">
      <c r="B1067" s="43" t="s">
        <v>158</v>
      </c>
      <c r="C1067" s="44" t="n">
        <f aca="false">SUM(K1063:K1066)</f>
        <v>0</v>
      </c>
      <c r="D1067" s="45" t="str">
        <f aca="false">IF(N(C1067)=0,"",E1067/C1067-1)</f>
        <v/>
      </c>
      <c r="E1067" s="44" t="n">
        <f aca="false">SUM(L1063:L1066)</f>
        <v>0</v>
      </c>
      <c r="F1067" s="44" t="n">
        <f aca="false">E1067-C1067</f>
        <v>0</v>
      </c>
    </row>
    <row r="1068" customFormat="false" ht="15" hidden="false" customHeight="false" outlineLevel="0" collapsed="false">
      <c r="B1068" s="46" t="str">
        <f aca="false">IF(N(Nb_Mensualites)=0,"","Soit "&amp;FIXED(E1067/Nb_Mensualites,2)&amp;" € HT par échéance ("&amp;Nb_Mensualites&amp;" échéances), "&amp;FIXED(E1067/Nb_Mensualites*(1+Taux_TVA),2)&amp;" € TTC.")</f>
        <v>Soit 0.00 € HT par échéance (12 échéances), 0.00 € TTC.</v>
      </c>
      <c r="C1068" s="46"/>
      <c r="D1068" s="46"/>
      <c r="E1068" s="46"/>
      <c r="F1068" s="46"/>
    </row>
    <row r="1069" customFormat="false" ht="7.5" hidden="false" customHeight="true" outlineLevel="0" collapsed="false">
      <c r="B1069" s="10"/>
      <c r="C1069" s="10"/>
      <c r="D1069" s="10"/>
      <c r="E1069" s="10"/>
      <c r="F1069" s="10"/>
    </row>
    <row r="1070" customFormat="false" ht="36.75" hidden="false" customHeight="true" outlineLevel="0" collapsed="false">
      <c r="B1070" s="37" t="str">
        <f aca="false">SUBSTITUTE(SUBSTITUTE(SUBSTITUTE(SUBSTITUTE(SUBSTITUTE(Txt_P5,"{cabinet}",Cab_Nom),"{societe}",IF($K$1036=0,"",INDEX(Clients!$E$2:$E$501,$K$1036)&amp;"")),"{date_effet}",$K$1038),"{hausse}",$K$1039),"{civilite}",$K$1037)</f>
        <v>Les autres conditions de votre lettre de mission demeurent inchangées. Les nouveaux montants seront appliqués automatiquement sur vos prochaines factures et échéances de prélèvement.</v>
      </c>
      <c r="C1070" s="37"/>
      <c r="D1070" s="37"/>
      <c r="E1070" s="37"/>
      <c r="F1070" s="37"/>
    </row>
    <row r="1071" customFormat="false" ht="36.75" hidden="false" customHeight="true" outlineLevel="0" collapsed="false">
      <c r="B1071" s="37" t="str">
        <f aca="false">SUBSTITUTE(SUBSTITUTE(SUBSTITUTE(SUBSTITUTE(SUBSTITUTE(Txt_P6,"{cabinet}",Cab_Nom),"{societe}",IF($K$1036=0,"",INDEX(Clients!$E$2:$E$501,$K$1036)&amp;"")),"{date_effet}",$K$1038),"{hausse}",$K$1039),"{civilite}",$K$1037)</f>
        <v>Votre interlocuteur habituel reste à votre entière disposition pour répondre à vos questions et faire le point sur l'évolution de vos besoins.</v>
      </c>
      <c r="C1071" s="37"/>
      <c r="D1071" s="37"/>
      <c r="E1071" s="37"/>
      <c r="F1071" s="37"/>
    </row>
    <row r="1072" customFormat="false" ht="24" hidden="false" customHeight="true" outlineLevel="0" collapsed="false">
      <c r="B1072" s="37" t="str">
        <f aca="false">SUBSTITUTE(SUBSTITUTE(SUBSTITUTE(SUBSTITUTE(SUBSTITUTE(Txt_Politesse,"{cabinet}",Cab_Nom),"{societe}",IF($K$1036=0,"",INDEX(Clients!$E$2:$E$501,$K$1036)&amp;"")),"{date_effet}",$K$1038),"{hausse}",$K$1039),"{civilite}",$K$1037)</f>
        <v>Nous vous prions d'agréer, Madame, Monsieur, l'expression de nos salutations distinguées.</v>
      </c>
      <c r="C1072" s="37"/>
      <c r="D1072" s="37"/>
      <c r="E1072" s="37"/>
      <c r="F1072" s="37"/>
    </row>
    <row r="1073" customFormat="false" ht="15" hidden="false" customHeight="false" outlineLevel="0" collapsed="false">
      <c r="B1073" s="10"/>
      <c r="C1073" s="10"/>
      <c r="D1073" s="10"/>
      <c r="E1073" s="10"/>
      <c r="F1073" s="10"/>
    </row>
    <row r="1074" customFormat="false" ht="15" hidden="false" customHeight="false" outlineLevel="0" collapsed="false">
      <c r="B1074" s="10"/>
      <c r="C1074" s="10"/>
      <c r="D1074" s="34" t="str">
        <f aca="false">Signataire</f>
        <v>Prénom NOM</v>
      </c>
      <c r="E1074" s="34"/>
      <c r="F1074" s="34"/>
    </row>
    <row r="1075" customFormat="false" ht="15" hidden="false" customHeight="false" outlineLevel="0" collapsed="false">
      <c r="B1075" s="10"/>
      <c r="C1075" s="10"/>
      <c r="D1075" s="47" t="str">
        <f aca="false">Signataire_Titre</f>
        <v>Expert-comptable associé</v>
      </c>
      <c r="E1075" s="47"/>
      <c r="F1075" s="47"/>
    </row>
    <row r="1076" customFormat="false" ht="15.75" hidden="false" customHeight="true" outlineLevel="0" collapsed="false">
      <c r="B1076" s="10"/>
      <c r="C1076" s="10"/>
      <c r="D1076" s="10"/>
      <c r="E1076" s="10"/>
      <c r="F1076" s="10"/>
    </row>
    <row r="1077" customFormat="false" ht="15.75" hidden="false" customHeight="true" outlineLevel="0" collapsed="false">
      <c r="B1077" s="10"/>
      <c r="C1077" s="10"/>
      <c r="D1077" s="10"/>
      <c r="E1077" s="10"/>
      <c r="F1077" s="10"/>
    </row>
    <row r="1078" customFormat="false" ht="15.75" hidden="false" customHeight="true" outlineLevel="0" collapsed="false">
      <c r="B1078" s="10"/>
      <c r="C1078" s="10"/>
      <c r="D1078" s="10"/>
      <c r="E1078" s="10"/>
      <c r="F1078" s="10"/>
    </row>
    <row r="1079" customFormat="false" ht="15.75" hidden="false" customHeight="true" outlineLevel="0" collapsed="false">
      <c r="B1079" s="10"/>
      <c r="C1079" s="10"/>
      <c r="D1079" s="10"/>
      <c r="E1079" s="10"/>
      <c r="F1079" s="10"/>
    </row>
    <row r="1080" customFormat="false" ht="24" hidden="false" customHeight="true" outlineLevel="0" collapsed="false">
      <c r="B1080" s="48" t="str">
        <f aca="false">Cab_Mentions</f>
        <v>ALTHO EXPERTISE · SAS au capital de 10 000 € · RCS Pontoise 919 706 325 · TVA FR62919706325 · Société d'expertise comptable inscrite au Tableau de l'Ordre des experts-comptables de Paris Île-de-France</v>
      </c>
      <c r="C1080" s="48"/>
      <c r="D1080" s="48"/>
      <c r="E1080" s="48"/>
      <c r="F1080" s="48"/>
    </row>
    <row r="1081" customFormat="false" ht="15" hidden="false" customHeight="false" outlineLevel="0" collapsed="false">
      <c r="B1081" s="10"/>
      <c r="C1081" s="10"/>
      <c r="D1081" s="10"/>
      <c r="E1081" s="10"/>
      <c r="F1081" s="10"/>
      <c r="J1081" s="25" t="s">
        <v>142</v>
      </c>
      <c r="K1081" s="25" t="n">
        <f aca="false">IFERROR(MATCH(25,Clients!$Z$2:$Z$501,0),0)</f>
        <v>0</v>
      </c>
      <c r="L1081" s="25"/>
      <c r="M1081" s="25"/>
      <c r="N1081" s="25"/>
      <c r="O1081" s="25"/>
    </row>
    <row r="1082" customFormat="false" ht="21.75" hidden="false" customHeight="true" outlineLevel="0" collapsed="false">
      <c r="B1082" s="26" t="str">
        <f aca="false">Cab_Nom</f>
        <v>ALTHO EXPERTISE</v>
      </c>
      <c r="C1082" s="26"/>
      <c r="D1082" s="10"/>
      <c r="E1082" s="27" t="str">
        <f aca="false">IF($K$1081=0,"","Réf. client : "&amp;INDEX(Clients!$A$2:$A$501,$K$1081))</f>
        <v/>
      </c>
      <c r="F1082" s="27"/>
      <c r="J1082" s="25" t="s">
        <v>144</v>
      </c>
      <c r="K1082" s="25" t="str">
        <f aca="false">IF(IF($K$1081=0,"",INDEX(Clients!$B$2:$B$501,$K$1081)&amp;"")="Mme","Madame",IF(IF($K$1081=0,"",INDEX(Clients!$B$2:$B$501,$K$1081)&amp;"")="M.","Monsieur","Madame, Monsieur"))</f>
        <v>Madame, Monsieur</v>
      </c>
      <c r="L1082" s="25"/>
      <c r="M1082" s="25"/>
      <c r="N1082" s="25"/>
      <c r="O1082" s="25"/>
    </row>
    <row r="1083" customFormat="false" ht="15" hidden="false" customHeight="false" outlineLevel="0" collapsed="false">
      <c r="B1083" s="29" t="str">
        <f aca="false">Cab_Adr1</f>
        <v>141 rue Charles de Gaulle</v>
      </c>
      <c r="C1083" s="29"/>
      <c r="D1083" s="10"/>
      <c r="E1083" s="10"/>
      <c r="F1083" s="10"/>
      <c r="J1083" s="25" t="s">
        <v>145</v>
      </c>
      <c r="K1083" s="25" t="str">
        <f aca="false">DAY(Date_Effet)&amp;IF(DAY(Date_Effet)=1,"er","")&amp;" "&amp;INDEX(Liste_Mois,MONTH(Date_Effet))&amp;" "&amp;YEAR(Date_Effet)</f>
        <v>1er janvier 2027</v>
      </c>
      <c r="L1083" s="25"/>
      <c r="M1083" s="25"/>
      <c r="N1083" s="25"/>
      <c r="O1083" s="25"/>
    </row>
    <row r="1084" customFormat="false" ht="15" hidden="false" customHeight="false" outlineLevel="0" collapsed="false">
      <c r="B1084" s="29" t="str">
        <f aca="false">Cab_CPVille</f>
        <v>95130 LE PLESSIS-BOUCHARD</v>
      </c>
      <c r="C1084" s="29"/>
      <c r="D1084" s="10"/>
      <c r="E1084" s="10"/>
      <c r="F1084" s="10"/>
      <c r="J1084" s="25" t="s">
        <v>146</v>
      </c>
      <c r="K1084" s="25" t="str">
        <f aca="false">IF(SUM($K$1108:$K$1111)=0,"",FIXED((SUM($L$1108:$L$1111)/SUM($K$1108:$K$1111)-1)*100,1)&amp;" %")</f>
        <v/>
      </c>
      <c r="L1084" s="25"/>
      <c r="M1084" s="25"/>
      <c r="N1084" s="25"/>
      <c r="O1084" s="25"/>
    </row>
    <row r="1085" customFormat="false" ht="15" hidden="false" customHeight="false" outlineLevel="0" collapsed="false">
      <c r="B1085" s="29" t="str">
        <f aca="false">Cab_Contact</f>
        <v>Tél. 01 34 14 53 45  ·  altho@altho-experts.com  ·  altho-experts.com</v>
      </c>
      <c r="C1085" s="29"/>
      <c r="D1085" s="10"/>
      <c r="E1085" s="10"/>
      <c r="F1085" s="10"/>
      <c r="J1085" s="25"/>
      <c r="K1085" s="25"/>
      <c r="L1085" s="25"/>
      <c r="M1085" s="25"/>
      <c r="N1085" s="25"/>
      <c r="O1085" s="25"/>
    </row>
    <row r="1086" customFormat="false" ht="6" hidden="false" customHeight="true" outlineLevel="0" collapsed="false">
      <c r="B1086" s="32"/>
      <c r="C1086" s="32"/>
      <c r="D1086" s="32"/>
      <c r="E1086" s="32"/>
      <c r="F1086" s="32"/>
      <c r="J1086" s="25"/>
      <c r="K1086" s="25"/>
      <c r="L1086" s="25"/>
      <c r="M1086" s="25"/>
      <c r="N1086" s="25"/>
      <c r="O1086" s="25"/>
    </row>
    <row r="1087" customFormat="false" ht="13.5" hidden="false" customHeight="true" outlineLevel="0" collapsed="false">
      <c r="B1087" s="10"/>
      <c r="C1087" s="10"/>
      <c r="D1087" s="10"/>
      <c r="E1087" s="10"/>
      <c r="F1087" s="10"/>
      <c r="J1087" s="25"/>
      <c r="K1087" s="25"/>
      <c r="L1087" s="25"/>
      <c r="M1087" s="25"/>
      <c r="N1087" s="25"/>
      <c r="O1087" s="25"/>
    </row>
    <row r="1088" customFormat="false" ht="13.5" hidden="false" customHeight="true" outlineLevel="0" collapsed="false">
      <c r="B1088" s="10"/>
      <c r="C1088" s="10"/>
      <c r="D1088" s="10"/>
      <c r="E1088" s="10"/>
      <c r="F1088" s="10"/>
      <c r="J1088" s="25"/>
      <c r="K1088" s="25"/>
      <c r="L1088" s="25"/>
      <c r="M1088" s="25"/>
      <c r="N1088" s="25"/>
      <c r="O1088" s="25"/>
    </row>
    <row r="1089" customFormat="false" ht="13.5" hidden="false" customHeight="true" outlineLevel="0" collapsed="false">
      <c r="B1089" s="10"/>
      <c r="C1089" s="10"/>
      <c r="D1089" s="10"/>
      <c r="E1089" s="10"/>
      <c r="F1089" s="10"/>
      <c r="J1089" s="25"/>
      <c r="K1089" s="25"/>
      <c r="L1089" s="25"/>
      <c r="M1089" s="25"/>
      <c r="N1089" s="25"/>
      <c r="O1089" s="25"/>
    </row>
    <row r="1090" customFormat="false" ht="15" hidden="false" customHeight="true" outlineLevel="0" collapsed="false">
      <c r="B1090" s="10"/>
      <c r="C1090" s="10"/>
      <c r="D1090" s="34" t="str">
        <f aca="false">IF($K$1081=0,"",INDEX(Clients!$E$2:$E$501,$K$1081)&amp;"")</f>
        <v/>
      </c>
      <c r="E1090" s="34"/>
      <c r="F1090" s="34"/>
      <c r="J1090" s="25"/>
      <c r="K1090" s="25"/>
      <c r="L1090" s="25"/>
      <c r="M1090" s="25"/>
      <c r="N1090" s="25"/>
      <c r="O1090" s="25"/>
    </row>
    <row r="1091" customFormat="false" ht="15" hidden="false" customHeight="true" outlineLevel="0" collapsed="false">
      <c r="B1091" s="10"/>
      <c r="C1091" s="10"/>
      <c r="D1091" s="35" t="str">
        <f aca="false">IF(IF($K$1081=0,"",INDEX(Clients!$D$2:$D$501,$K$1081)&amp;"")="","","À l'attention de "&amp;TRIM(IF($K$1081=0,"",INDEX(Clients!$B$2:$B$501,$K$1081)&amp;"")&amp;" "&amp;IF($K$1081=0,"",INDEX(Clients!$C$2:$C$501,$K$1081)&amp;"")&amp;" "&amp;IF($K$1081=0,"",INDEX(Clients!$D$2:$D$501,$K$1081)&amp;"")))</f>
        <v/>
      </c>
      <c r="E1091" s="35"/>
      <c r="F1091" s="35"/>
      <c r="J1091" s="25"/>
      <c r="K1091" s="25"/>
      <c r="L1091" s="25"/>
      <c r="M1091" s="25"/>
      <c r="N1091" s="25"/>
      <c r="O1091" s="25"/>
    </row>
    <row r="1092" customFormat="false" ht="15" hidden="false" customHeight="true" outlineLevel="0" collapsed="false">
      <c r="B1092" s="10"/>
      <c r="C1092" s="10"/>
      <c r="D1092" s="35" t="str">
        <f aca="false">IF($K$1081=0,"",INDEX(Clients!$F$2:$F$501,$K$1081)&amp;"")</f>
        <v/>
      </c>
      <c r="E1092" s="35"/>
      <c r="F1092" s="35"/>
      <c r="J1092" s="25"/>
      <c r="K1092" s="25"/>
      <c r="L1092" s="25"/>
      <c r="M1092" s="25"/>
      <c r="N1092" s="25"/>
      <c r="O1092" s="25"/>
    </row>
    <row r="1093" customFormat="false" ht="15" hidden="false" customHeight="true" outlineLevel="0" collapsed="false">
      <c r="B1093" s="10"/>
      <c r="C1093" s="10"/>
      <c r="D1093" s="35" t="str">
        <f aca="false">IF(IF($K$1081=0,"",INDEX(Clients!$G$2:$G$501,$K$1081)&amp;"")="",TRIM(IF($K$1081=0,"",INDEX(Clients!$H$2:$H$501,$K$1081)&amp;"")&amp;" "&amp;UPPER(IF($K$1081=0,"",INDEX(Clients!$I$2:$I$501,$K$1081)&amp;""))),IF($K$1081=0,"",INDEX(Clients!$G$2:$G$501,$K$1081)&amp;""))</f>
        <v/>
      </c>
      <c r="E1093" s="35"/>
      <c r="F1093" s="35"/>
      <c r="J1093" s="25"/>
      <c r="K1093" s="25"/>
      <c r="L1093" s="25"/>
      <c r="M1093" s="25"/>
      <c r="N1093" s="25"/>
      <c r="O1093" s="25"/>
    </row>
    <row r="1094" customFormat="false" ht="15" hidden="false" customHeight="true" outlineLevel="0" collapsed="false">
      <c r="B1094" s="10"/>
      <c r="C1094" s="10"/>
      <c r="D1094" s="35" t="str">
        <f aca="false">IF(IF($K$1081=0,"",INDEX(Clients!$G$2:$G$501,$K$1081)&amp;"")="","",TRIM(IF($K$1081=0,"",INDEX(Clients!$H$2:$H$501,$K$1081)&amp;"")&amp;" "&amp;UPPER(IF($K$1081=0,"",INDEX(Clients!$I$2:$I$501,$K$1081)&amp;""))))</f>
        <v/>
      </c>
      <c r="E1094" s="35"/>
      <c r="F1094" s="35"/>
      <c r="J1094" s="25"/>
      <c r="K1094" s="25"/>
      <c r="L1094" s="25"/>
      <c r="M1094" s="25"/>
      <c r="N1094" s="25"/>
      <c r="O1094" s="25"/>
    </row>
    <row r="1095" customFormat="false" ht="25.5" hidden="false" customHeight="true" outlineLevel="0" collapsed="false">
      <c r="B1095" s="10"/>
      <c r="C1095" s="10"/>
      <c r="D1095" s="10"/>
      <c r="E1095" s="10"/>
      <c r="F1095" s="10"/>
      <c r="J1095" s="25"/>
      <c r="K1095" s="25"/>
      <c r="L1095" s="25"/>
      <c r="M1095" s="25"/>
      <c r="N1095" s="25"/>
      <c r="O1095" s="25"/>
    </row>
    <row r="1096" customFormat="false" ht="15" hidden="false" customHeight="false" outlineLevel="0" collapsed="false">
      <c r="B1096" s="10"/>
      <c r="C1096" s="10"/>
      <c r="D1096" s="36" t="str">
        <f aca="false">Cab_Ville&amp;", le "&amp;DAY(Date_Courrier)&amp;IF(DAY(Date_Courrier)=1,"er","")&amp;" "&amp;INDEX(Liste_Mois,MONTH(Date_Courrier))&amp;" "&amp;YEAR(Date_Courrier)</f>
        <v>Le Plessis-Bouchard, le 22 septembre 2026</v>
      </c>
      <c r="E1096" s="36"/>
      <c r="F1096" s="36"/>
      <c r="J1096" s="25"/>
      <c r="K1096" s="25"/>
      <c r="L1096" s="25"/>
      <c r="M1096" s="25"/>
      <c r="N1096" s="25"/>
      <c r="O1096" s="25"/>
    </row>
    <row r="1097" customFormat="false" ht="19.5" hidden="false" customHeight="true" outlineLevel="0" collapsed="false">
      <c r="B1097" s="10"/>
      <c r="C1097" s="10"/>
      <c r="D1097" s="10"/>
      <c r="E1097" s="10"/>
      <c r="F1097" s="10"/>
      <c r="J1097" s="25"/>
      <c r="K1097" s="25"/>
      <c r="L1097" s="25"/>
      <c r="M1097" s="25"/>
      <c r="N1097" s="25"/>
      <c r="O1097" s="25"/>
    </row>
    <row r="1098" customFormat="false" ht="15" hidden="false" customHeight="false" outlineLevel="0" collapsed="false">
      <c r="B1098" s="34" t="str">
        <f aca="false">SUBSTITUTE(SUBSTITUTE(SUBSTITUTE(SUBSTITUTE(SUBSTITUTE(Txt_Objet,"{cabinet}",Cab_Nom),"{societe}",IF($K$1081=0,"",INDEX(Clients!$E$2:$E$501,$K$1081)&amp;"")),"{date_effet}",$K$1083),"{hausse}",$K$1084),"{civilite}",$K$1082)</f>
        <v>Objet : révision de nos honoraires au 1er janvier 2027</v>
      </c>
      <c r="C1098" s="34"/>
      <c r="D1098" s="34"/>
      <c r="E1098" s="34"/>
      <c r="F1098" s="34"/>
      <c r="J1098" s="25"/>
      <c r="K1098" s="25"/>
      <c r="L1098" s="25"/>
      <c r="M1098" s="25"/>
      <c r="N1098" s="25"/>
      <c r="O1098" s="25"/>
    </row>
    <row r="1099" customFormat="false" ht="13.5" hidden="false" customHeight="true" outlineLevel="0" collapsed="false">
      <c r="B1099" s="10"/>
      <c r="C1099" s="10"/>
      <c r="D1099" s="10"/>
      <c r="E1099" s="10"/>
      <c r="F1099" s="10"/>
      <c r="J1099" s="25"/>
      <c r="K1099" s="25"/>
      <c r="L1099" s="25"/>
      <c r="M1099" s="25"/>
      <c r="N1099" s="25"/>
      <c r="O1099" s="25"/>
    </row>
    <row r="1100" customFormat="false" ht="15" hidden="false" customHeight="false" outlineLevel="0" collapsed="false">
      <c r="B1100" s="10" t="str">
        <f aca="false">$K$1082&amp;","</f>
        <v>Madame, Monsieur,</v>
      </c>
      <c r="C1100" s="10"/>
      <c r="D1100" s="10"/>
      <c r="E1100" s="10"/>
      <c r="F1100" s="10"/>
      <c r="J1100" s="25"/>
      <c r="K1100" s="25"/>
      <c r="L1100" s="25"/>
      <c r="M1100" s="25"/>
      <c r="N1100" s="25"/>
      <c r="O1100" s="25"/>
    </row>
    <row r="1101" customFormat="false" ht="6" hidden="false" customHeight="true" outlineLevel="0" collapsed="false">
      <c r="B1101" s="10"/>
      <c r="C1101" s="10"/>
      <c r="D1101" s="10"/>
      <c r="E1101" s="10"/>
      <c r="F1101" s="10"/>
      <c r="J1101" s="25"/>
      <c r="K1101" s="25"/>
      <c r="L1101" s="25"/>
      <c r="M1101" s="25"/>
      <c r="N1101" s="25"/>
      <c r="O1101" s="25"/>
    </row>
    <row r="1102" customFormat="false" ht="36.75" hidden="false" customHeight="true" outlineLevel="0" collapsed="false">
      <c r="B1102" s="37" t="str">
        <f aca="false">SUBSTITUTE(SUBSTITUTE(SUBSTITUTE(SUBSTITUTE(SUBSTITUTE(Txt_P1,"{cabinet}",Cab_Nom),"{societe}",IF($K$1081=0,"",INDEX(Clients!$E$2:$E$501,$K$1081)&amp;"")),"{date_effet}",$K$1083),"{hausse}",$K$1084),"{civilite}",$K$1082)</f>
        <v>Nous tenons tout d'abord à vous remercier pour la confiance que vous accordez à ALTHO EXPERTISE. Comme chaque année, et conformément aux dispositions de votre lettre de mission, nous procédons à la révision de nos honoraires.</v>
      </c>
      <c r="C1102" s="37"/>
      <c r="D1102" s="37"/>
      <c r="E1102" s="37"/>
      <c r="F1102" s="37"/>
      <c r="J1102" s="25"/>
      <c r="K1102" s="25"/>
      <c r="L1102" s="25"/>
      <c r="M1102" s="25"/>
      <c r="N1102" s="25"/>
      <c r="O1102" s="25"/>
    </row>
    <row r="1103" customFormat="false" ht="49.5" hidden="false" customHeight="true" outlineLevel="0" collapsed="false">
      <c r="B1103" s="37" t="str">
        <f aca="false">SUBSTITUTE(SUBSTITUTE(SUBSTITUTE(SUBSTITUTE(SUBSTITUTE(Txt_P2,"{cabinet}",Cab_Nom),"{societe}",IF($K$1081=0,"",INDEX(Clients!$E$2:$E$501,$K$1081)&amp;"")),"{date_effet}",$K$1083),"{hausse}",$K$1084),"{civilite}",$K$1082)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03" s="37"/>
      <c r="D1103" s="37"/>
      <c r="E1103" s="37"/>
      <c r="F1103" s="37"/>
      <c r="J1103" s="25"/>
      <c r="K1103" s="25"/>
      <c r="L1103" s="25"/>
      <c r="M1103" s="25"/>
      <c r="N1103" s="25"/>
      <c r="O1103" s="25"/>
    </row>
    <row r="1104" customFormat="false" ht="63" hidden="false" customHeight="true" outlineLevel="0" collapsed="false">
      <c r="B1104" s="37" t="str">
        <f aca="false">SUBSTITUTE(SUBSTITUTE(SUBSTITUTE(SUBSTITUTE(SUBSTITUTE(Txt_P3,"{cabinet}",Cab_Nom),"{societe}",IF($K$1081=0,"",INDEX(Clients!$E$2:$E$501,$K$1081)&amp;"")),"{date_effet}",$K$1083),"{hausse}",$K$1084),"{civilite}",$K$1082)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04" s="37"/>
      <c r="D1104" s="37"/>
      <c r="E1104" s="37"/>
      <c r="F1104" s="37"/>
      <c r="J1104" s="25"/>
      <c r="K1104" s="25"/>
      <c r="L1104" s="25"/>
      <c r="M1104" s="25"/>
      <c r="N1104" s="25"/>
      <c r="O1104" s="25"/>
    </row>
    <row r="1105" customFormat="false" ht="24" hidden="false" customHeight="true" outlineLevel="0" collapsed="false">
      <c r="B1105" s="37" t="str">
        <f aca="false">SUBSTITUTE(SUBSTITUTE(SUBSTITUTE(SUBSTITUTE(SUBSTITUTE(Txt_P4,"{cabinet}",Cab_Nom),"{societe}",IF($K$1081=0,"",INDEX(Clients!$E$2:$E$501,$K$1081)&amp;"")),"{date_effet}",$K$1083),"{hausse}",$K$1084),"{civilite}",$K$1082)</f>
        <v>À compter du 1er janvier 2027, vos honoraires annuels hors taxes évolueront ainsi (évolution globale : ) :</v>
      </c>
      <c r="C1105" s="37"/>
      <c r="D1105" s="37"/>
      <c r="E1105" s="37"/>
      <c r="F1105" s="37"/>
      <c r="J1105" s="25"/>
      <c r="K1105" s="25"/>
      <c r="L1105" s="25"/>
      <c r="M1105" s="25"/>
      <c r="N1105" s="25"/>
      <c r="O1105" s="25"/>
    </row>
    <row r="1106" customFormat="false" ht="3.75" hidden="false" customHeight="true" outlineLevel="0" collapsed="false">
      <c r="B1106" s="10"/>
      <c r="C1106" s="10"/>
      <c r="D1106" s="10"/>
      <c r="E1106" s="10"/>
      <c r="F1106" s="10"/>
      <c r="J1106" s="25"/>
      <c r="K1106" s="25"/>
      <c r="L1106" s="25"/>
      <c r="M1106" s="25"/>
      <c r="N1106" s="25"/>
      <c r="O1106" s="25"/>
    </row>
    <row r="1107" customFormat="false" ht="18" hidden="false" customHeight="true" outlineLevel="0" collapsed="false">
      <c r="B1107" s="38" t="s">
        <v>148</v>
      </c>
      <c r="C1107" s="39" t="s">
        <v>149</v>
      </c>
      <c r="D1107" s="39" t="s">
        <v>150</v>
      </c>
      <c r="E1107" s="39" t="s">
        <v>151</v>
      </c>
      <c r="F1107" s="39" t="s">
        <v>109</v>
      </c>
      <c r="J1107" s="25" t="s">
        <v>152</v>
      </c>
      <c r="K1107" s="25" t="s">
        <v>153</v>
      </c>
      <c r="L1107" s="25" t="s">
        <v>154</v>
      </c>
      <c r="M1107" s="25" t="s">
        <v>155</v>
      </c>
      <c r="N1107" s="25" t="s">
        <v>156</v>
      </c>
      <c r="O1107" s="25" t="s">
        <v>157</v>
      </c>
    </row>
    <row r="1108" customFormat="false" ht="16.5" hidden="false" customHeight="true" outlineLevel="0" collapsed="false">
      <c r="B1108" s="40" t="str">
        <f aca="false">IFERROR(INDEX($J$1108:$J$1111,MATCH($O1108,$N$1108:$N$1111,0)),"")</f>
        <v/>
      </c>
      <c r="C1108" s="41" t="str">
        <f aca="false">IFERROR(INDEX($K$1108:$K$1111,MATCH($O1108,$N$1108:$N$1111,0)),"")</f>
        <v/>
      </c>
      <c r="D1108" s="42" t="str">
        <f aca="false">IF(OR(E1108="",N(C1108)=0),"",E1108/C1108-1)</f>
        <v/>
      </c>
      <c r="E1108" s="41" t="str">
        <f aca="false">IFERROR(INDEX($L$1108:$L$1111,MATCH($O1108,$N$1108:$N$1111,0)),"")</f>
        <v/>
      </c>
      <c r="F1108" s="41" t="str">
        <f aca="false">IF(E1108="","",E1108-C1108)</f>
        <v/>
      </c>
      <c r="J1108" s="25" t="str">
        <f aca="false">Lib_Compta</f>
        <v>Mission comptable (tenue, révision, bilan, liasse fiscale)</v>
      </c>
      <c r="K1108" s="25" t="n">
        <f aca="false">IF($K$1081=0,0,N(INDEX(Clients!$K$2:$K$501,$K$1081)))</f>
        <v>0</v>
      </c>
      <c r="L1108" s="25" t="n">
        <f aca="false">IF($K$1081=0,0,N(INDEX(Clients!$P$2:$P$501,$K$1081)))</f>
        <v>0</v>
      </c>
      <c r="M1108" s="25" t="n">
        <f aca="false">IF(OR(K1108&lt;&gt;0,L1108&lt;&gt;0),1,0)</f>
        <v>0</v>
      </c>
      <c r="N1108" s="25" t="str">
        <f aca="false">IF(M1108=1,SUM($M$1108:M1108),"")</f>
        <v/>
      </c>
      <c r="O1108" s="25" t="n">
        <v>1</v>
      </c>
    </row>
    <row r="1109" customFormat="false" ht="16.5" hidden="false" customHeight="true" outlineLevel="0" collapsed="false">
      <c r="B1109" s="40" t="str">
        <f aca="false">IFERROR(INDEX($J$1108:$J$1111,MATCH($O1109,$N$1108:$N$1111,0)),"")</f>
        <v/>
      </c>
      <c r="C1109" s="41" t="str">
        <f aca="false">IFERROR(INDEX($K$1108:$K$1111,MATCH($O1109,$N$1108:$N$1111,0)),"")</f>
        <v/>
      </c>
      <c r="D1109" s="42" t="str">
        <f aca="false">IF(OR(E1109="",N(C1109)=0),"",E1109/C1109-1)</f>
        <v/>
      </c>
      <c r="E1109" s="41" t="str">
        <f aca="false">IFERROR(INDEX($L$1108:$L$1111,MATCH($O1109,$N$1108:$N$1111,0)),"")</f>
        <v/>
      </c>
      <c r="F1109" s="41" t="str">
        <f aca="false">IF(E1109="","",E1109-C1109)</f>
        <v/>
      </c>
      <c r="J1109" s="25" t="str">
        <f aca="false">Lib_Paye</f>
        <v>Mission sociale (bulletins de paie, DSN, déclarations sociales)</v>
      </c>
      <c r="K1109" s="25" t="n">
        <f aca="false">IF($K$1081=0,0,N(INDEX(Clients!$L$2:$L$501,$K$1081)))</f>
        <v>0</v>
      </c>
      <c r="L1109" s="25" t="n">
        <f aca="false">IF($K$1081=0,0,N(INDEX(Clients!$Q$2:$Q$501,$K$1081)))</f>
        <v>0</v>
      </c>
      <c r="M1109" s="25" t="n">
        <f aca="false">IF(OR(K1109&lt;&gt;0,L1109&lt;&gt;0),1,0)</f>
        <v>0</v>
      </c>
      <c r="N1109" s="25" t="str">
        <f aca="false">IF(M1109=1,SUM($M$1108:M1109),"")</f>
        <v/>
      </c>
      <c r="O1109" s="25" t="n">
        <v>2</v>
      </c>
    </row>
    <row r="1110" customFormat="false" ht="16.5" hidden="false" customHeight="true" outlineLevel="0" collapsed="false">
      <c r="B1110" s="40" t="str">
        <f aca="false">IFERROR(INDEX($J$1108:$J$1111,MATCH($O1110,$N$1108:$N$1111,0)),"")</f>
        <v/>
      </c>
      <c r="C1110" s="41" t="str">
        <f aca="false">IFERROR(INDEX($K$1108:$K$1111,MATCH($O1110,$N$1108:$N$1111,0)),"")</f>
        <v/>
      </c>
      <c r="D1110" s="42" t="str">
        <f aca="false">IF(OR(E1110="",N(C1110)=0),"",E1110/C1110-1)</f>
        <v/>
      </c>
      <c r="E1110" s="41" t="str">
        <f aca="false">IFERROR(INDEX($L$1108:$L$1111,MATCH($O1110,$N$1108:$N$1111,0)),"")</f>
        <v/>
      </c>
      <c r="F1110" s="41" t="str">
        <f aca="false">IF(E1110="","",E1110-C1110)</f>
        <v/>
      </c>
      <c r="J1110" s="25" t="str">
        <f aca="false">Lib_Jur</f>
        <v>Mission juridique (approbation des comptes, secrétariat juridique)</v>
      </c>
      <c r="K1110" s="25" t="n">
        <f aca="false">IF($K$1081=0,0,N(INDEX(Clients!$M$2:$M$501,$K$1081)))</f>
        <v>0</v>
      </c>
      <c r="L1110" s="25" t="n">
        <f aca="false">IF($K$1081=0,0,N(INDEX(Clients!$R$2:$R$501,$K$1081)))</f>
        <v>0</v>
      </c>
      <c r="M1110" s="25" t="n">
        <f aca="false">IF(OR(K1110&lt;&gt;0,L1110&lt;&gt;0),1,0)</f>
        <v>0</v>
      </c>
      <c r="N1110" s="25" t="str">
        <f aca="false">IF(M1110=1,SUM($M$1108:M1110),"")</f>
        <v/>
      </c>
      <c r="O1110" s="25" t="n">
        <v>3</v>
      </c>
    </row>
    <row r="1111" customFormat="false" ht="16.5" hidden="false" customHeight="true" outlineLevel="0" collapsed="false">
      <c r="B1111" s="40" t="str">
        <f aca="false">IFERROR(INDEX($J$1108:$J$1111,MATCH($O1111,$N$1108:$N$1111,0)),"")</f>
        <v/>
      </c>
      <c r="C1111" s="41" t="str">
        <f aca="false">IFERROR(INDEX($K$1108:$K$1111,MATCH($O1111,$N$1108:$N$1111,0)),"")</f>
        <v/>
      </c>
      <c r="D1111" s="42" t="str">
        <f aca="false">IF(OR(E1111="",N(C1111)=0),"",E1111/C1111-1)</f>
        <v/>
      </c>
      <c r="E1111" s="41" t="str">
        <f aca="false">IFERROR(INDEX($L$1108:$L$1111,MATCH($O1111,$N$1108:$N$1111,0)),"")</f>
        <v/>
      </c>
      <c r="F1111" s="41" t="str">
        <f aca="false">IF(E1111="","",E1111-C1111)</f>
        <v/>
      </c>
      <c r="J1111" s="25" t="str">
        <f aca="false">Lib_PA</f>
        <v>Plateforme agréée – facturation électronique</v>
      </c>
      <c r="K1111" s="25" t="n">
        <f aca="false">IF($K$1081=0,0,N(INDEX(Clients!$N$2:$N$501,$K$1081)))</f>
        <v>0</v>
      </c>
      <c r="L1111" s="25" t="n">
        <f aca="false">IF($K$1081=0,0,N(INDEX(Clients!$S$2:$S$501,$K$1081)))</f>
        <v>0</v>
      </c>
      <c r="M1111" s="25" t="n">
        <f aca="false">IF(OR(K1111&lt;&gt;0,L1111&lt;&gt;0),1,0)</f>
        <v>0</v>
      </c>
      <c r="N1111" s="25" t="str">
        <f aca="false">IF(M1111=1,SUM($M$1108:M1111),"")</f>
        <v/>
      </c>
      <c r="O1111" s="25" t="n">
        <v>4</v>
      </c>
    </row>
    <row r="1112" customFormat="false" ht="18" hidden="false" customHeight="true" outlineLevel="0" collapsed="false">
      <c r="B1112" s="43" t="s">
        <v>158</v>
      </c>
      <c r="C1112" s="44" t="n">
        <f aca="false">SUM(K1108:K1111)</f>
        <v>0</v>
      </c>
      <c r="D1112" s="45" t="str">
        <f aca="false">IF(N(C1112)=0,"",E1112/C1112-1)</f>
        <v/>
      </c>
      <c r="E1112" s="44" t="n">
        <f aca="false">SUM(L1108:L1111)</f>
        <v>0</v>
      </c>
      <c r="F1112" s="44" t="n">
        <f aca="false">E1112-C1112</f>
        <v>0</v>
      </c>
    </row>
    <row r="1113" customFormat="false" ht="15" hidden="false" customHeight="false" outlineLevel="0" collapsed="false">
      <c r="B1113" s="46" t="str">
        <f aca="false">IF(N(Nb_Mensualites)=0,"","Soit "&amp;FIXED(E1112/Nb_Mensualites,2)&amp;" € HT par échéance ("&amp;Nb_Mensualites&amp;" échéances), "&amp;FIXED(E1112/Nb_Mensualites*(1+Taux_TVA),2)&amp;" € TTC.")</f>
        <v>Soit 0.00 € HT par échéance (12 échéances), 0.00 € TTC.</v>
      </c>
      <c r="C1113" s="46"/>
      <c r="D1113" s="46"/>
      <c r="E1113" s="46"/>
      <c r="F1113" s="46"/>
    </row>
    <row r="1114" customFormat="false" ht="7.5" hidden="false" customHeight="true" outlineLevel="0" collapsed="false">
      <c r="B1114" s="10"/>
      <c r="C1114" s="10"/>
      <c r="D1114" s="10"/>
      <c r="E1114" s="10"/>
      <c r="F1114" s="10"/>
    </row>
    <row r="1115" customFormat="false" ht="36.75" hidden="false" customHeight="true" outlineLevel="0" collapsed="false">
      <c r="B1115" s="37" t="str">
        <f aca="false">SUBSTITUTE(SUBSTITUTE(SUBSTITUTE(SUBSTITUTE(SUBSTITUTE(Txt_P5,"{cabinet}",Cab_Nom),"{societe}",IF($K$1081=0,"",INDEX(Clients!$E$2:$E$501,$K$1081)&amp;"")),"{date_effet}",$K$1083),"{hausse}",$K$1084),"{civilite}",$K$1082)</f>
        <v>Les autres conditions de votre lettre de mission demeurent inchangées. Les nouveaux montants seront appliqués automatiquement sur vos prochaines factures et échéances de prélèvement.</v>
      </c>
      <c r="C1115" s="37"/>
      <c r="D1115" s="37"/>
      <c r="E1115" s="37"/>
      <c r="F1115" s="37"/>
    </row>
    <row r="1116" customFormat="false" ht="36.75" hidden="false" customHeight="true" outlineLevel="0" collapsed="false">
      <c r="B1116" s="37" t="str">
        <f aca="false">SUBSTITUTE(SUBSTITUTE(SUBSTITUTE(SUBSTITUTE(SUBSTITUTE(Txt_P6,"{cabinet}",Cab_Nom),"{societe}",IF($K$1081=0,"",INDEX(Clients!$E$2:$E$501,$K$1081)&amp;"")),"{date_effet}",$K$1083),"{hausse}",$K$1084),"{civilite}",$K$1082)</f>
        <v>Votre interlocuteur habituel reste à votre entière disposition pour répondre à vos questions et faire le point sur l'évolution de vos besoins.</v>
      </c>
      <c r="C1116" s="37"/>
      <c r="D1116" s="37"/>
      <c r="E1116" s="37"/>
      <c r="F1116" s="37"/>
    </row>
    <row r="1117" customFormat="false" ht="24" hidden="false" customHeight="true" outlineLevel="0" collapsed="false">
      <c r="B1117" s="37" t="str">
        <f aca="false">SUBSTITUTE(SUBSTITUTE(SUBSTITUTE(SUBSTITUTE(SUBSTITUTE(Txt_Politesse,"{cabinet}",Cab_Nom),"{societe}",IF($K$1081=0,"",INDEX(Clients!$E$2:$E$501,$K$1081)&amp;"")),"{date_effet}",$K$1083),"{hausse}",$K$1084),"{civilite}",$K$1082)</f>
        <v>Nous vous prions d'agréer, Madame, Monsieur, l'expression de nos salutations distinguées.</v>
      </c>
      <c r="C1117" s="37"/>
      <c r="D1117" s="37"/>
      <c r="E1117" s="37"/>
      <c r="F1117" s="37"/>
    </row>
    <row r="1118" customFormat="false" ht="15" hidden="false" customHeight="false" outlineLevel="0" collapsed="false">
      <c r="B1118" s="10"/>
      <c r="C1118" s="10"/>
      <c r="D1118" s="10"/>
      <c r="E1118" s="10"/>
      <c r="F1118" s="10"/>
    </row>
    <row r="1119" customFormat="false" ht="15" hidden="false" customHeight="false" outlineLevel="0" collapsed="false">
      <c r="B1119" s="10"/>
      <c r="C1119" s="10"/>
      <c r="D1119" s="34" t="str">
        <f aca="false">Signataire</f>
        <v>Prénom NOM</v>
      </c>
      <c r="E1119" s="34"/>
      <c r="F1119" s="34"/>
    </row>
    <row r="1120" customFormat="false" ht="15" hidden="false" customHeight="false" outlineLevel="0" collapsed="false">
      <c r="B1120" s="10"/>
      <c r="C1120" s="10"/>
      <c r="D1120" s="47" t="str">
        <f aca="false">Signataire_Titre</f>
        <v>Expert-comptable associé</v>
      </c>
      <c r="E1120" s="47"/>
      <c r="F1120" s="47"/>
    </row>
    <row r="1121" customFormat="false" ht="15.75" hidden="false" customHeight="true" outlineLevel="0" collapsed="false">
      <c r="B1121" s="10"/>
      <c r="C1121" s="10"/>
      <c r="D1121" s="10"/>
      <c r="E1121" s="10"/>
      <c r="F1121" s="10"/>
    </row>
    <row r="1122" customFormat="false" ht="15.75" hidden="false" customHeight="true" outlineLevel="0" collapsed="false">
      <c r="B1122" s="10"/>
      <c r="C1122" s="10"/>
      <c r="D1122" s="10"/>
      <c r="E1122" s="10"/>
      <c r="F1122" s="10"/>
    </row>
    <row r="1123" customFormat="false" ht="15.75" hidden="false" customHeight="true" outlineLevel="0" collapsed="false">
      <c r="B1123" s="10"/>
      <c r="C1123" s="10"/>
      <c r="D1123" s="10"/>
      <c r="E1123" s="10"/>
      <c r="F1123" s="10"/>
    </row>
    <row r="1124" customFormat="false" ht="15.75" hidden="false" customHeight="true" outlineLevel="0" collapsed="false">
      <c r="B1124" s="10"/>
      <c r="C1124" s="10"/>
      <c r="D1124" s="10"/>
      <c r="E1124" s="10"/>
      <c r="F1124" s="10"/>
    </row>
    <row r="1125" customFormat="false" ht="24" hidden="false" customHeight="true" outlineLevel="0" collapsed="false">
      <c r="B1125" s="48" t="str">
        <f aca="false">Cab_Mentions</f>
        <v>ALTHO EXPERTISE · SAS au capital de 10 000 € · RCS Pontoise 919 706 325 · TVA FR62919706325 · Société d'expertise comptable inscrite au Tableau de l'Ordre des experts-comptables de Paris Île-de-France</v>
      </c>
      <c r="C1125" s="48"/>
      <c r="D1125" s="48"/>
      <c r="E1125" s="48"/>
      <c r="F1125" s="48"/>
    </row>
    <row r="1126" customFormat="false" ht="15" hidden="false" customHeight="false" outlineLevel="0" collapsed="false">
      <c r="B1126" s="10"/>
      <c r="C1126" s="10"/>
      <c r="D1126" s="10"/>
      <c r="E1126" s="10"/>
      <c r="F1126" s="10"/>
      <c r="J1126" s="25" t="s">
        <v>142</v>
      </c>
      <c r="K1126" s="25" t="n">
        <f aca="false">IFERROR(MATCH(26,Clients!$Z$2:$Z$501,0),0)</f>
        <v>0</v>
      </c>
      <c r="L1126" s="25"/>
      <c r="M1126" s="25"/>
      <c r="N1126" s="25"/>
      <c r="O1126" s="25"/>
    </row>
    <row r="1127" customFormat="false" ht="21.75" hidden="false" customHeight="true" outlineLevel="0" collapsed="false">
      <c r="B1127" s="26" t="str">
        <f aca="false">Cab_Nom</f>
        <v>ALTHO EXPERTISE</v>
      </c>
      <c r="C1127" s="26"/>
      <c r="D1127" s="10"/>
      <c r="E1127" s="27" t="str">
        <f aca="false">IF($K$1126=0,"","Réf. client : "&amp;INDEX(Clients!$A$2:$A$501,$K$1126))</f>
        <v/>
      </c>
      <c r="F1127" s="27"/>
      <c r="J1127" s="25" t="s">
        <v>144</v>
      </c>
      <c r="K1127" s="25" t="str">
        <f aca="false">IF(IF($K$1126=0,"",INDEX(Clients!$B$2:$B$501,$K$1126)&amp;"")="Mme","Madame",IF(IF($K$1126=0,"",INDEX(Clients!$B$2:$B$501,$K$1126)&amp;"")="M.","Monsieur","Madame, Monsieur"))</f>
        <v>Madame, Monsieur</v>
      </c>
      <c r="L1127" s="25"/>
      <c r="M1127" s="25"/>
      <c r="N1127" s="25"/>
      <c r="O1127" s="25"/>
    </row>
    <row r="1128" customFormat="false" ht="15" hidden="false" customHeight="false" outlineLevel="0" collapsed="false">
      <c r="B1128" s="29" t="str">
        <f aca="false">Cab_Adr1</f>
        <v>141 rue Charles de Gaulle</v>
      </c>
      <c r="C1128" s="29"/>
      <c r="D1128" s="10"/>
      <c r="E1128" s="10"/>
      <c r="F1128" s="10"/>
      <c r="J1128" s="25" t="s">
        <v>145</v>
      </c>
      <c r="K1128" s="25" t="str">
        <f aca="false">DAY(Date_Effet)&amp;IF(DAY(Date_Effet)=1,"er","")&amp;" "&amp;INDEX(Liste_Mois,MONTH(Date_Effet))&amp;" "&amp;YEAR(Date_Effet)</f>
        <v>1er janvier 2027</v>
      </c>
      <c r="L1128" s="25"/>
      <c r="M1128" s="25"/>
      <c r="N1128" s="25"/>
      <c r="O1128" s="25"/>
    </row>
    <row r="1129" customFormat="false" ht="15" hidden="false" customHeight="false" outlineLevel="0" collapsed="false">
      <c r="B1129" s="29" t="str">
        <f aca="false">Cab_CPVille</f>
        <v>95130 LE PLESSIS-BOUCHARD</v>
      </c>
      <c r="C1129" s="29"/>
      <c r="D1129" s="10"/>
      <c r="E1129" s="10"/>
      <c r="F1129" s="10"/>
      <c r="J1129" s="25" t="s">
        <v>146</v>
      </c>
      <c r="K1129" s="25" t="str">
        <f aca="false">IF(SUM($K$1153:$K$1156)=0,"",FIXED((SUM($L$1153:$L$1156)/SUM($K$1153:$K$1156)-1)*100,1)&amp;" %")</f>
        <v/>
      </c>
      <c r="L1129" s="25"/>
      <c r="M1129" s="25"/>
      <c r="N1129" s="25"/>
      <c r="O1129" s="25"/>
    </row>
    <row r="1130" customFormat="false" ht="15" hidden="false" customHeight="false" outlineLevel="0" collapsed="false">
      <c r="B1130" s="29" t="str">
        <f aca="false">Cab_Contact</f>
        <v>Tél. 01 34 14 53 45  ·  altho@altho-experts.com  ·  altho-experts.com</v>
      </c>
      <c r="C1130" s="29"/>
      <c r="D1130" s="10"/>
      <c r="E1130" s="10"/>
      <c r="F1130" s="10"/>
      <c r="J1130" s="25"/>
      <c r="K1130" s="25"/>
      <c r="L1130" s="25"/>
      <c r="M1130" s="25"/>
      <c r="N1130" s="25"/>
      <c r="O1130" s="25"/>
    </row>
    <row r="1131" customFormat="false" ht="6" hidden="false" customHeight="true" outlineLevel="0" collapsed="false">
      <c r="B1131" s="32"/>
      <c r="C1131" s="32"/>
      <c r="D1131" s="32"/>
      <c r="E1131" s="32"/>
      <c r="F1131" s="32"/>
      <c r="J1131" s="25"/>
      <c r="K1131" s="25"/>
      <c r="L1131" s="25"/>
      <c r="M1131" s="25"/>
      <c r="N1131" s="25"/>
      <c r="O1131" s="25"/>
    </row>
    <row r="1132" customFormat="false" ht="13.5" hidden="false" customHeight="true" outlineLevel="0" collapsed="false">
      <c r="B1132" s="10"/>
      <c r="C1132" s="10"/>
      <c r="D1132" s="10"/>
      <c r="E1132" s="10"/>
      <c r="F1132" s="10"/>
      <c r="J1132" s="25"/>
      <c r="K1132" s="25"/>
      <c r="L1132" s="25"/>
      <c r="M1132" s="25"/>
      <c r="N1132" s="25"/>
      <c r="O1132" s="25"/>
    </row>
    <row r="1133" customFormat="false" ht="13.5" hidden="false" customHeight="true" outlineLevel="0" collapsed="false">
      <c r="B1133" s="10"/>
      <c r="C1133" s="10"/>
      <c r="D1133" s="10"/>
      <c r="E1133" s="10"/>
      <c r="F1133" s="10"/>
      <c r="J1133" s="25"/>
      <c r="K1133" s="25"/>
      <c r="L1133" s="25"/>
      <c r="M1133" s="25"/>
      <c r="N1133" s="25"/>
      <c r="O1133" s="25"/>
    </row>
    <row r="1134" customFormat="false" ht="13.5" hidden="false" customHeight="true" outlineLevel="0" collapsed="false">
      <c r="B1134" s="10"/>
      <c r="C1134" s="10"/>
      <c r="D1134" s="10"/>
      <c r="E1134" s="10"/>
      <c r="F1134" s="10"/>
      <c r="J1134" s="25"/>
      <c r="K1134" s="25"/>
      <c r="L1134" s="25"/>
      <c r="M1134" s="25"/>
      <c r="N1134" s="25"/>
      <c r="O1134" s="25"/>
    </row>
    <row r="1135" customFormat="false" ht="15" hidden="false" customHeight="true" outlineLevel="0" collapsed="false">
      <c r="B1135" s="10"/>
      <c r="C1135" s="10"/>
      <c r="D1135" s="34" t="str">
        <f aca="false">IF($K$1126=0,"",INDEX(Clients!$E$2:$E$501,$K$1126)&amp;"")</f>
        <v/>
      </c>
      <c r="E1135" s="34"/>
      <c r="F1135" s="34"/>
      <c r="J1135" s="25"/>
      <c r="K1135" s="25"/>
      <c r="L1135" s="25"/>
      <c r="M1135" s="25"/>
      <c r="N1135" s="25"/>
      <c r="O1135" s="25"/>
    </row>
    <row r="1136" customFormat="false" ht="15" hidden="false" customHeight="true" outlineLevel="0" collapsed="false">
      <c r="B1136" s="10"/>
      <c r="C1136" s="10"/>
      <c r="D1136" s="35" t="str">
        <f aca="false">IF(IF($K$1126=0,"",INDEX(Clients!$D$2:$D$501,$K$1126)&amp;"")="","","À l'attention de "&amp;TRIM(IF($K$1126=0,"",INDEX(Clients!$B$2:$B$501,$K$1126)&amp;"")&amp;" "&amp;IF($K$1126=0,"",INDEX(Clients!$C$2:$C$501,$K$1126)&amp;"")&amp;" "&amp;IF($K$1126=0,"",INDEX(Clients!$D$2:$D$501,$K$1126)&amp;"")))</f>
        <v/>
      </c>
      <c r="E1136" s="35"/>
      <c r="F1136" s="35"/>
      <c r="J1136" s="25"/>
      <c r="K1136" s="25"/>
      <c r="L1136" s="25"/>
      <c r="M1136" s="25"/>
      <c r="N1136" s="25"/>
      <c r="O1136" s="25"/>
    </row>
    <row r="1137" customFormat="false" ht="15" hidden="false" customHeight="true" outlineLevel="0" collapsed="false">
      <c r="B1137" s="10"/>
      <c r="C1137" s="10"/>
      <c r="D1137" s="35" t="str">
        <f aca="false">IF($K$1126=0,"",INDEX(Clients!$F$2:$F$501,$K$1126)&amp;"")</f>
        <v/>
      </c>
      <c r="E1137" s="35"/>
      <c r="F1137" s="35"/>
      <c r="J1137" s="25"/>
      <c r="K1137" s="25"/>
      <c r="L1137" s="25"/>
      <c r="M1137" s="25"/>
      <c r="N1137" s="25"/>
      <c r="O1137" s="25"/>
    </row>
    <row r="1138" customFormat="false" ht="15" hidden="false" customHeight="true" outlineLevel="0" collapsed="false">
      <c r="B1138" s="10"/>
      <c r="C1138" s="10"/>
      <c r="D1138" s="35" t="str">
        <f aca="false">IF(IF($K$1126=0,"",INDEX(Clients!$G$2:$G$501,$K$1126)&amp;"")="",TRIM(IF($K$1126=0,"",INDEX(Clients!$H$2:$H$501,$K$1126)&amp;"")&amp;" "&amp;UPPER(IF($K$1126=0,"",INDEX(Clients!$I$2:$I$501,$K$1126)&amp;""))),IF($K$1126=0,"",INDEX(Clients!$G$2:$G$501,$K$1126)&amp;""))</f>
        <v/>
      </c>
      <c r="E1138" s="35"/>
      <c r="F1138" s="35"/>
      <c r="J1138" s="25"/>
      <c r="K1138" s="25"/>
      <c r="L1138" s="25"/>
      <c r="M1138" s="25"/>
      <c r="N1138" s="25"/>
      <c r="O1138" s="25"/>
    </row>
    <row r="1139" customFormat="false" ht="15" hidden="false" customHeight="true" outlineLevel="0" collapsed="false">
      <c r="B1139" s="10"/>
      <c r="C1139" s="10"/>
      <c r="D1139" s="35" t="str">
        <f aca="false">IF(IF($K$1126=0,"",INDEX(Clients!$G$2:$G$501,$K$1126)&amp;"")="","",TRIM(IF($K$1126=0,"",INDEX(Clients!$H$2:$H$501,$K$1126)&amp;"")&amp;" "&amp;UPPER(IF($K$1126=0,"",INDEX(Clients!$I$2:$I$501,$K$1126)&amp;""))))</f>
        <v/>
      </c>
      <c r="E1139" s="35"/>
      <c r="F1139" s="35"/>
      <c r="J1139" s="25"/>
      <c r="K1139" s="25"/>
      <c r="L1139" s="25"/>
      <c r="M1139" s="25"/>
      <c r="N1139" s="25"/>
      <c r="O1139" s="25"/>
    </row>
    <row r="1140" customFormat="false" ht="25.5" hidden="false" customHeight="true" outlineLevel="0" collapsed="false">
      <c r="B1140" s="10"/>
      <c r="C1140" s="10"/>
      <c r="D1140" s="10"/>
      <c r="E1140" s="10"/>
      <c r="F1140" s="10"/>
      <c r="J1140" s="25"/>
      <c r="K1140" s="25"/>
      <c r="L1140" s="25"/>
      <c r="M1140" s="25"/>
      <c r="N1140" s="25"/>
      <c r="O1140" s="25"/>
    </row>
    <row r="1141" customFormat="false" ht="15" hidden="false" customHeight="false" outlineLevel="0" collapsed="false">
      <c r="B1141" s="10"/>
      <c r="C1141" s="10"/>
      <c r="D1141" s="36" t="str">
        <f aca="false">Cab_Ville&amp;", le "&amp;DAY(Date_Courrier)&amp;IF(DAY(Date_Courrier)=1,"er","")&amp;" "&amp;INDEX(Liste_Mois,MONTH(Date_Courrier))&amp;" "&amp;YEAR(Date_Courrier)</f>
        <v>Le Plessis-Bouchard, le 22 septembre 2026</v>
      </c>
      <c r="E1141" s="36"/>
      <c r="F1141" s="36"/>
      <c r="J1141" s="25"/>
      <c r="K1141" s="25"/>
      <c r="L1141" s="25"/>
      <c r="M1141" s="25"/>
      <c r="N1141" s="25"/>
      <c r="O1141" s="25"/>
    </row>
    <row r="1142" customFormat="false" ht="19.5" hidden="false" customHeight="true" outlineLevel="0" collapsed="false">
      <c r="B1142" s="10"/>
      <c r="C1142" s="10"/>
      <c r="D1142" s="10"/>
      <c r="E1142" s="10"/>
      <c r="F1142" s="10"/>
      <c r="J1142" s="25"/>
      <c r="K1142" s="25"/>
      <c r="L1142" s="25"/>
      <c r="M1142" s="25"/>
      <c r="N1142" s="25"/>
      <c r="O1142" s="25"/>
    </row>
    <row r="1143" customFormat="false" ht="15" hidden="false" customHeight="false" outlineLevel="0" collapsed="false">
      <c r="B1143" s="34" t="str">
        <f aca="false">SUBSTITUTE(SUBSTITUTE(SUBSTITUTE(SUBSTITUTE(SUBSTITUTE(Txt_Objet,"{cabinet}",Cab_Nom),"{societe}",IF($K$1126=0,"",INDEX(Clients!$E$2:$E$501,$K$1126)&amp;"")),"{date_effet}",$K$1128),"{hausse}",$K$1129),"{civilite}",$K$1127)</f>
        <v>Objet : révision de nos honoraires au 1er janvier 2027</v>
      </c>
      <c r="C1143" s="34"/>
      <c r="D1143" s="34"/>
      <c r="E1143" s="34"/>
      <c r="F1143" s="34"/>
      <c r="J1143" s="25"/>
      <c r="K1143" s="25"/>
      <c r="L1143" s="25"/>
      <c r="M1143" s="25"/>
      <c r="N1143" s="25"/>
      <c r="O1143" s="25"/>
    </row>
    <row r="1144" customFormat="false" ht="13.5" hidden="false" customHeight="true" outlineLevel="0" collapsed="false">
      <c r="B1144" s="10"/>
      <c r="C1144" s="10"/>
      <c r="D1144" s="10"/>
      <c r="E1144" s="10"/>
      <c r="F1144" s="10"/>
      <c r="J1144" s="25"/>
      <c r="K1144" s="25"/>
      <c r="L1144" s="25"/>
      <c r="M1144" s="25"/>
      <c r="N1144" s="25"/>
      <c r="O1144" s="25"/>
    </row>
    <row r="1145" customFormat="false" ht="15" hidden="false" customHeight="false" outlineLevel="0" collapsed="false">
      <c r="B1145" s="10" t="str">
        <f aca="false">$K$1127&amp;","</f>
        <v>Madame, Monsieur,</v>
      </c>
      <c r="C1145" s="10"/>
      <c r="D1145" s="10"/>
      <c r="E1145" s="10"/>
      <c r="F1145" s="10"/>
      <c r="J1145" s="25"/>
      <c r="K1145" s="25"/>
      <c r="L1145" s="25"/>
      <c r="M1145" s="25"/>
      <c r="N1145" s="25"/>
      <c r="O1145" s="25"/>
    </row>
    <row r="1146" customFormat="false" ht="6" hidden="false" customHeight="true" outlineLevel="0" collapsed="false">
      <c r="B1146" s="10"/>
      <c r="C1146" s="10"/>
      <c r="D1146" s="10"/>
      <c r="E1146" s="10"/>
      <c r="F1146" s="10"/>
      <c r="J1146" s="25"/>
      <c r="K1146" s="25"/>
      <c r="L1146" s="25"/>
      <c r="M1146" s="25"/>
      <c r="N1146" s="25"/>
      <c r="O1146" s="25"/>
    </row>
    <row r="1147" customFormat="false" ht="36.75" hidden="false" customHeight="true" outlineLevel="0" collapsed="false">
      <c r="B1147" s="37" t="str">
        <f aca="false">SUBSTITUTE(SUBSTITUTE(SUBSTITUTE(SUBSTITUTE(SUBSTITUTE(Txt_P1,"{cabinet}",Cab_Nom),"{societe}",IF($K$1126=0,"",INDEX(Clients!$E$2:$E$501,$K$1126)&amp;"")),"{date_effet}",$K$1128),"{hausse}",$K$1129),"{civilite}",$K$1127)</f>
        <v>Nous tenons tout d'abord à vous remercier pour la confiance que vous accordez à ALTHO EXPERTISE. Comme chaque année, et conformément aux dispositions de votre lettre de mission, nous procédons à la révision de nos honoraires.</v>
      </c>
      <c r="C1147" s="37"/>
      <c r="D1147" s="37"/>
      <c r="E1147" s="37"/>
      <c r="F1147" s="37"/>
      <c r="J1147" s="25"/>
      <c r="K1147" s="25"/>
      <c r="L1147" s="25"/>
      <c r="M1147" s="25"/>
      <c r="N1147" s="25"/>
      <c r="O1147" s="25"/>
    </row>
    <row r="1148" customFormat="false" ht="49.5" hidden="false" customHeight="true" outlineLevel="0" collapsed="false">
      <c r="B1148" s="37" t="str">
        <f aca="false">SUBSTITUTE(SUBSTITUTE(SUBSTITUTE(SUBSTITUTE(SUBSTITUTE(Txt_P2,"{cabinet}",Cab_Nom),"{societe}",IF($K$1126=0,"",INDEX(Clients!$E$2:$E$501,$K$1126)&amp;"")),"{date_effet}",$K$1128),"{hausse}",$K$1129),"{civilite}",$K$1127)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48" s="37"/>
      <c r="D1148" s="37"/>
      <c r="E1148" s="37"/>
      <c r="F1148" s="37"/>
      <c r="J1148" s="25"/>
      <c r="K1148" s="25"/>
      <c r="L1148" s="25"/>
      <c r="M1148" s="25"/>
      <c r="N1148" s="25"/>
      <c r="O1148" s="25"/>
    </row>
    <row r="1149" customFormat="false" ht="63" hidden="false" customHeight="true" outlineLevel="0" collapsed="false">
      <c r="B1149" s="37" t="str">
        <f aca="false">SUBSTITUTE(SUBSTITUTE(SUBSTITUTE(SUBSTITUTE(SUBSTITUTE(Txt_P3,"{cabinet}",Cab_Nom),"{societe}",IF($K$1126=0,"",INDEX(Clients!$E$2:$E$501,$K$1126)&amp;"")),"{date_effet}",$K$1128),"{hausse}",$K$1129),"{civilite}",$K$1127)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49" s="37"/>
      <c r="D1149" s="37"/>
      <c r="E1149" s="37"/>
      <c r="F1149" s="37"/>
      <c r="J1149" s="25"/>
      <c r="K1149" s="25"/>
      <c r="L1149" s="25"/>
      <c r="M1149" s="25"/>
      <c r="N1149" s="25"/>
      <c r="O1149" s="25"/>
    </row>
    <row r="1150" customFormat="false" ht="24" hidden="false" customHeight="true" outlineLevel="0" collapsed="false">
      <c r="B1150" s="37" t="str">
        <f aca="false">SUBSTITUTE(SUBSTITUTE(SUBSTITUTE(SUBSTITUTE(SUBSTITUTE(Txt_P4,"{cabinet}",Cab_Nom),"{societe}",IF($K$1126=0,"",INDEX(Clients!$E$2:$E$501,$K$1126)&amp;"")),"{date_effet}",$K$1128),"{hausse}",$K$1129),"{civilite}",$K$1127)</f>
        <v>À compter du 1er janvier 2027, vos honoraires annuels hors taxes évolueront ainsi (évolution globale : ) :</v>
      </c>
      <c r="C1150" s="37"/>
      <c r="D1150" s="37"/>
      <c r="E1150" s="37"/>
      <c r="F1150" s="37"/>
      <c r="J1150" s="25"/>
      <c r="K1150" s="25"/>
      <c r="L1150" s="25"/>
      <c r="M1150" s="25"/>
      <c r="N1150" s="25"/>
      <c r="O1150" s="25"/>
    </row>
    <row r="1151" customFormat="false" ht="3.75" hidden="false" customHeight="true" outlineLevel="0" collapsed="false">
      <c r="B1151" s="10"/>
      <c r="C1151" s="10"/>
      <c r="D1151" s="10"/>
      <c r="E1151" s="10"/>
      <c r="F1151" s="10"/>
      <c r="J1151" s="25"/>
      <c r="K1151" s="25"/>
      <c r="L1151" s="25"/>
      <c r="M1151" s="25"/>
      <c r="N1151" s="25"/>
      <c r="O1151" s="25"/>
    </row>
    <row r="1152" customFormat="false" ht="18" hidden="false" customHeight="true" outlineLevel="0" collapsed="false">
      <c r="B1152" s="38" t="s">
        <v>148</v>
      </c>
      <c r="C1152" s="39" t="s">
        <v>149</v>
      </c>
      <c r="D1152" s="39" t="s">
        <v>150</v>
      </c>
      <c r="E1152" s="39" t="s">
        <v>151</v>
      </c>
      <c r="F1152" s="39" t="s">
        <v>109</v>
      </c>
      <c r="J1152" s="25" t="s">
        <v>152</v>
      </c>
      <c r="K1152" s="25" t="s">
        <v>153</v>
      </c>
      <c r="L1152" s="25" t="s">
        <v>154</v>
      </c>
      <c r="M1152" s="25" t="s">
        <v>155</v>
      </c>
      <c r="N1152" s="25" t="s">
        <v>156</v>
      </c>
      <c r="O1152" s="25" t="s">
        <v>157</v>
      </c>
    </row>
    <row r="1153" customFormat="false" ht="16.5" hidden="false" customHeight="true" outlineLevel="0" collapsed="false">
      <c r="B1153" s="40" t="str">
        <f aca="false">IFERROR(INDEX($J$1153:$J$1156,MATCH($O1153,$N$1153:$N$1156,0)),"")</f>
        <v/>
      </c>
      <c r="C1153" s="41" t="str">
        <f aca="false">IFERROR(INDEX($K$1153:$K$1156,MATCH($O1153,$N$1153:$N$1156,0)),"")</f>
        <v/>
      </c>
      <c r="D1153" s="42" t="str">
        <f aca="false">IF(OR(E1153="",N(C1153)=0),"",E1153/C1153-1)</f>
        <v/>
      </c>
      <c r="E1153" s="41" t="str">
        <f aca="false">IFERROR(INDEX($L$1153:$L$1156,MATCH($O1153,$N$1153:$N$1156,0)),"")</f>
        <v/>
      </c>
      <c r="F1153" s="41" t="str">
        <f aca="false">IF(E1153="","",E1153-C1153)</f>
        <v/>
      </c>
      <c r="J1153" s="25" t="str">
        <f aca="false">Lib_Compta</f>
        <v>Mission comptable (tenue, révision, bilan, liasse fiscale)</v>
      </c>
      <c r="K1153" s="25" t="n">
        <f aca="false">IF($K$1126=0,0,N(INDEX(Clients!$K$2:$K$501,$K$1126)))</f>
        <v>0</v>
      </c>
      <c r="L1153" s="25" t="n">
        <f aca="false">IF($K$1126=0,0,N(INDEX(Clients!$P$2:$P$501,$K$1126)))</f>
        <v>0</v>
      </c>
      <c r="M1153" s="25" t="n">
        <f aca="false">IF(OR(K1153&lt;&gt;0,L1153&lt;&gt;0),1,0)</f>
        <v>0</v>
      </c>
      <c r="N1153" s="25" t="str">
        <f aca="false">IF(M1153=1,SUM($M$1153:M1153),"")</f>
        <v/>
      </c>
      <c r="O1153" s="25" t="n">
        <v>1</v>
      </c>
    </row>
    <row r="1154" customFormat="false" ht="16.5" hidden="false" customHeight="true" outlineLevel="0" collapsed="false">
      <c r="B1154" s="40" t="str">
        <f aca="false">IFERROR(INDEX($J$1153:$J$1156,MATCH($O1154,$N$1153:$N$1156,0)),"")</f>
        <v/>
      </c>
      <c r="C1154" s="41" t="str">
        <f aca="false">IFERROR(INDEX($K$1153:$K$1156,MATCH($O1154,$N$1153:$N$1156,0)),"")</f>
        <v/>
      </c>
      <c r="D1154" s="42" t="str">
        <f aca="false">IF(OR(E1154="",N(C1154)=0),"",E1154/C1154-1)</f>
        <v/>
      </c>
      <c r="E1154" s="41" t="str">
        <f aca="false">IFERROR(INDEX($L$1153:$L$1156,MATCH($O1154,$N$1153:$N$1156,0)),"")</f>
        <v/>
      </c>
      <c r="F1154" s="41" t="str">
        <f aca="false">IF(E1154="","",E1154-C1154)</f>
        <v/>
      </c>
      <c r="J1154" s="25" t="str">
        <f aca="false">Lib_Paye</f>
        <v>Mission sociale (bulletins de paie, DSN, déclarations sociales)</v>
      </c>
      <c r="K1154" s="25" t="n">
        <f aca="false">IF($K$1126=0,0,N(INDEX(Clients!$L$2:$L$501,$K$1126)))</f>
        <v>0</v>
      </c>
      <c r="L1154" s="25" t="n">
        <f aca="false">IF($K$1126=0,0,N(INDEX(Clients!$Q$2:$Q$501,$K$1126)))</f>
        <v>0</v>
      </c>
      <c r="M1154" s="25" t="n">
        <f aca="false">IF(OR(K1154&lt;&gt;0,L1154&lt;&gt;0),1,0)</f>
        <v>0</v>
      </c>
      <c r="N1154" s="25" t="str">
        <f aca="false">IF(M1154=1,SUM($M$1153:M1154),"")</f>
        <v/>
      </c>
      <c r="O1154" s="25" t="n">
        <v>2</v>
      </c>
    </row>
    <row r="1155" customFormat="false" ht="16.5" hidden="false" customHeight="true" outlineLevel="0" collapsed="false">
      <c r="B1155" s="40" t="str">
        <f aca="false">IFERROR(INDEX($J$1153:$J$1156,MATCH($O1155,$N$1153:$N$1156,0)),"")</f>
        <v/>
      </c>
      <c r="C1155" s="41" t="str">
        <f aca="false">IFERROR(INDEX($K$1153:$K$1156,MATCH($O1155,$N$1153:$N$1156,0)),"")</f>
        <v/>
      </c>
      <c r="D1155" s="42" t="str">
        <f aca="false">IF(OR(E1155="",N(C1155)=0),"",E1155/C1155-1)</f>
        <v/>
      </c>
      <c r="E1155" s="41" t="str">
        <f aca="false">IFERROR(INDEX($L$1153:$L$1156,MATCH($O1155,$N$1153:$N$1156,0)),"")</f>
        <v/>
      </c>
      <c r="F1155" s="41" t="str">
        <f aca="false">IF(E1155="","",E1155-C1155)</f>
        <v/>
      </c>
      <c r="J1155" s="25" t="str">
        <f aca="false">Lib_Jur</f>
        <v>Mission juridique (approbation des comptes, secrétariat juridique)</v>
      </c>
      <c r="K1155" s="25" t="n">
        <f aca="false">IF($K$1126=0,0,N(INDEX(Clients!$M$2:$M$501,$K$1126)))</f>
        <v>0</v>
      </c>
      <c r="L1155" s="25" t="n">
        <f aca="false">IF($K$1126=0,0,N(INDEX(Clients!$R$2:$R$501,$K$1126)))</f>
        <v>0</v>
      </c>
      <c r="M1155" s="25" t="n">
        <f aca="false">IF(OR(K1155&lt;&gt;0,L1155&lt;&gt;0),1,0)</f>
        <v>0</v>
      </c>
      <c r="N1155" s="25" t="str">
        <f aca="false">IF(M1155=1,SUM($M$1153:M1155),"")</f>
        <v/>
      </c>
      <c r="O1155" s="25" t="n">
        <v>3</v>
      </c>
    </row>
    <row r="1156" customFormat="false" ht="16.5" hidden="false" customHeight="true" outlineLevel="0" collapsed="false">
      <c r="B1156" s="40" t="str">
        <f aca="false">IFERROR(INDEX($J$1153:$J$1156,MATCH($O1156,$N$1153:$N$1156,0)),"")</f>
        <v/>
      </c>
      <c r="C1156" s="41" t="str">
        <f aca="false">IFERROR(INDEX($K$1153:$K$1156,MATCH($O1156,$N$1153:$N$1156,0)),"")</f>
        <v/>
      </c>
      <c r="D1156" s="42" t="str">
        <f aca="false">IF(OR(E1156="",N(C1156)=0),"",E1156/C1156-1)</f>
        <v/>
      </c>
      <c r="E1156" s="41" t="str">
        <f aca="false">IFERROR(INDEX($L$1153:$L$1156,MATCH($O1156,$N$1153:$N$1156,0)),"")</f>
        <v/>
      </c>
      <c r="F1156" s="41" t="str">
        <f aca="false">IF(E1156="","",E1156-C1156)</f>
        <v/>
      </c>
      <c r="J1156" s="25" t="str">
        <f aca="false">Lib_PA</f>
        <v>Plateforme agréée – facturation électronique</v>
      </c>
      <c r="K1156" s="25" t="n">
        <f aca="false">IF($K$1126=0,0,N(INDEX(Clients!$N$2:$N$501,$K$1126)))</f>
        <v>0</v>
      </c>
      <c r="L1156" s="25" t="n">
        <f aca="false">IF($K$1126=0,0,N(INDEX(Clients!$S$2:$S$501,$K$1126)))</f>
        <v>0</v>
      </c>
      <c r="M1156" s="25" t="n">
        <f aca="false">IF(OR(K1156&lt;&gt;0,L1156&lt;&gt;0),1,0)</f>
        <v>0</v>
      </c>
      <c r="N1156" s="25" t="str">
        <f aca="false">IF(M1156=1,SUM($M$1153:M1156),"")</f>
        <v/>
      </c>
      <c r="O1156" s="25" t="n">
        <v>4</v>
      </c>
    </row>
    <row r="1157" customFormat="false" ht="18" hidden="false" customHeight="true" outlineLevel="0" collapsed="false">
      <c r="B1157" s="43" t="s">
        <v>158</v>
      </c>
      <c r="C1157" s="44" t="n">
        <f aca="false">SUM(K1153:K1156)</f>
        <v>0</v>
      </c>
      <c r="D1157" s="45" t="str">
        <f aca="false">IF(N(C1157)=0,"",E1157/C1157-1)</f>
        <v/>
      </c>
      <c r="E1157" s="44" t="n">
        <f aca="false">SUM(L1153:L1156)</f>
        <v>0</v>
      </c>
      <c r="F1157" s="44" t="n">
        <f aca="false">E1157-C1157</f>
        <v>0</v>
      </c>
    </row>
    <row r="1158" customFormat="false" ht="15" hidden="false" customHeight="false" outlineLevel="0" collapsed="false">
      <c r="B1158" s="46" t="str">
        <f aca="false">IF(N(Nb_Mensualites)=0,"","Soit "&amp;FIXED(E1157/Nb_Mensualites,2)&amp;" € HT par échéance ("&amp;Nb_Mensualites&amp;" échéances), "&amp;FIXED(E1157/Nb_Mensualites*(1+Taux_TVA),2)&amp;" € TTC.")</f>
        <v>Soit 0.00 € HT par échéance (12 échéances), 0.00 € TTC.</v>
      </c>
      <c r="C1158" s="46"/>
      <c r="D1158" s="46"/>
      <c r="E1158" s="46"/>
      <c r="F1158" s="46"/>
    </row>
    <row r="1159" customFormat="false" ht="7.5" hidden="false" customHeight="true" outlineLevel="0" collapsed="false">
      <c r="B1159" s="10"/>
      <c r="C1159" s="10"/>
      <c r="D1159" s="10"/>
      <c r="E1159" s="10"/>
      <c r="F1159" s="10"/>
    </row>
    <row r="1160" customFormat="false" ht="36.75" hidden="false" customHeight="true" outlineLevel="0" collapsed="false">
      <c r="B1160" s="37" t="str">
        <f aca="false">SUBSTITUTE(SUBSTITUTE(SUBSTITUTE(SUBSTITUTE(SUBSTITUTE(Txt_P5,"{cabinet}",Cab_Nom),"{societe}",IF($K$1126=0,"",INDEX(Clients!$E$2:$E$501,$K$1126)&amp;"")),"{date_effet}",$K$1128),"{hausse}",$K$1129),"{civilite}",$K$1127)</f>
        <v>Les autres conditions de votre lettre de mission demeurent inchangées. Les nouveaux montants seront appliqués automatiquement sur vos prochaines factures et échéances de prélèvement.</v>
      </c>
      <c r="C1160" s="37"/>
      <c r="D1160" s="37"/>
      <c r="E1160" s="37"/>
      <c r="F1160" s="37"/>
    </row>
    <row r="1161" customFormat="false" ht="36.75" hidden="false" customHeight="true" outlineLevel="0" collapsed="false">
      <c r="B1161" s="37" t="str">
        <f aca="false">SUBSTITUTE(SUBSTITUTE(SUBSTITUTE(SUBSTITUTE(SUBSTITUTE(Txt_P6,"{cabinet}",Cab_Nom),"{societe}",IF($K$1126=0,"",INDEX(Clients!$E$2:$E$501,$K$1126)&amp;"")),"{date_effet}",$K$1128),"{hausse}",$K$1129),"{civilite}",$K$1127)</f>
        <v>Votre interlocuteur habituel reste à votre entière disposition pour répondre à vos questions et faire le point sur l'évolution de vos besoins.</v>
      </c>
      <c r="C1161" s="37"/>
      <c r="D1161" s="37"/>
      <c r="E1161" s="37"/>
      <c r="F1161" s="37"/>
    </row>
    <row r="1162" customFormat="false" ht="24" hidden="false" customHeight="true" outlineLevel="0" collapsed="false">
      <c r="B1162" s="37" t="str">
        <f aca="false">SUBSTITUTE(SUBSTITUTE(SUBSTITUTE(SUBSTITUTE(SUBSTITUTE(Txt_Politesse,"{cabinet}",Cab_Nom),"{societe}",IF($K$1126=0,"",INDEX(Clients!$E$2:$E$501,$K$1126)&amp;"")),"{date_effet}",$K$1128),"{hausse}",$K$1129),"{civilite}",$K$1127)</f>
        <v>Nous vous prions d'agréer, Madame, Monsieur, l'expression de nos salutations distinguées.</v>
      </c>
      <c r="C1162" s="37"/>
      <c r="D1162" s="37"/>
      <c r="E1162" s="37"/>
      <c r="F1162" s="37"/>
    </row>
    <row r="1163" customFormat="false" ht="15" hidden="false" customHeight="false" outlineLevel="0" collapsed="false">
      <c r="B1163" s="10"/>
      <c r="C1163" s="10"/>
      <c r="D1163" s="10"/>
      <c r="E1163" s="10"/>
      <c r="F1163" s="10"/>
    </row>
    <row r="1164" customFormat="false" ht="15" hidden="false" customHeight="false" outlineLevel="0" collapsed="false">
      <c r="B1164" s="10"/>
      <c r="C1164" s="10"/>
      <c r="D1164" s="34" t="str">
        <f aca="false">Signataire</f>
        <v>Prénom NOM</v>
      </c>
      <c r="E1164" s="34"/>
      <c r="F1164" s="34"/>
    </row>
    <row r="1165" customFormat="false" ht="15" hidden="false" customHeight="false" outlineLevel="0" collapsed="false">
      <c r="B1165" s="10"/>
      <c r="C1165" s="10"/>
      <c r="D1165" s="47" t="str">
        <f aca="false">Signataire_Titre</f>
        <v>Expert-comptable associé</v>
      </c>
      <c r="E1165" s="47"/>
      <c r="F1165" s="47"/>
    </row>
    <row r="1166" customFormat="false" ht="15.75" hidden="false" customHeight="true" outlineLevel="0" collapsed="false">
      <c r="B1166" s="10"/>
      <c r="C1166" s="10"/>
      <c r="D1166" s="10"/>
      <c r="E1166" s="10"/>
      <c r="F1166" s="10"/>
    </row>
    <row r="1167" customFormat="false" ht="15.75" hidden="false" customHeight="true" outlineLevel="0" collapsed="false">
      <c r="B1167" s="10"/>
      <c r="C1167" s="10"/>
      <c r="D1167" s="10"/>
      <c r="E1167" s="10"/>
      <c r="F1167" s="10"/>
    </row>
    <row r="1168" customFormat="false" ht="15.75" hidden="false" customHeight="true" outlineLevel="0" collapsed="false">
      <c r="B1168" s="10"/>
      <c r="C1168" s="10"/>
      <c r="D1168" s="10"/>
      <c r="E1168" s="10"/>
      <c r="F1168" s="10"/>
    </row>
    <row r="1169" customFormat="false" ht="15.75" hidden="false" customHeight="true" outlineLevel="0" collapsed="false">
      <c r="B1169" s="10"/>
      <c r="C1169" s="10"/>
      <c r="D1169" s="10"/>
      <c r="E1169" s="10"/>
      <c r="F1169" s="10"/>
    </row>
    <row r="1170" customFormat="false" ht="24" hidden="false" customHeight="true" outlineLevel="0" collapsed="false">
      <c r="B1170" s="48" t="str">
        <f aca="false">Cab_Mentions</f>
        <v>ALTHO EXPERTISE · SAS au capital de 10 000 € · RCS Pontoise 919 706 325 · TVA FR62919706325 · Société d'expertise comptable inscrite au Tableau de l'Ordre des experts-comptables de Paris Île-de-France</v>
      </c>
      <c r="C1170" s="48"/>
      <c r="D1170" s="48"/>
      <c r="E1170" s="48"/>
      <c r="F1170" s="48"/>
    </row>
    <row r="1171" customFormat="false" ht="15" hidden="false" customHeight="false" outlineLevel="0" collapsed="false">
      <c r="B1171" s="10"/>
      <c r="C1171" s="10"/>
      <c r="D1171" s="10"/>
      <c r="E1171" s="10"/>
      <c r="F1171" s="10"/>
      <c r="J1171" s="25" t="s">
        <v>142</v>
      </c>
      <c r="K1171" s="25" t="n">
        <f aca="false">IFERROR(MATCH(27,Clients!$Z$2:$Z$501,0),0)</f>
        <v>0</v>
      </c>
      <c r="L1171" s="25"/>
      <c r="M1171" s="25"/>
      <c r="N1171" s="25"/>
      <c r="O1171" s="25"/>
    </row>
    <row r="1172" customFormat="false" ht="21.75" hidden="false" customHeight="true" outlineLevel="0" collapsed="false">
      <c r="B1172" s="26" t="str">
        <f aca="false">Cab_Nom</f>
        <v>ALTHO EXPERTISE</v>
      </c>
      <c r="C1172" s="26"/>
      <c r="D1172" s="10"/>
      <c r="E1172" s="27" t="str">
        <f aca="false">IF($K$1171=0,"","Réf. client : "&amp;INDEX(Clients!$A$2:$A$501,$K$1171))</f>
        <v/>
      </c>
      <c r="F1172" s="27"/>
      <c r="J1172" s="25" t="s">
        <v>144</v>
      </c>
      <c r="K1172" s="25" t="str">
        <f aca="false">IF(IF($K$1171=0,"",INDEX(Clients!$B$2:$B$501,$K$1171)&amp;"")="Mme","Madame",IF(IF($K$1171=0,"",INDEX(Clients!$B$2:$B$501,$K$1171)&amp;"")="M.","Monsieur","Madame, Monsieur"))</f>
        <v>Madame, Monsieur</v>
      </c>
      <c r="L1172" s="25"/>
      <c r="M1172" s="25"/>
      <c r="N1172" s="25"/>
      <c r="O1172" s="25"/>
    </row>
    <row r="1173" customFormat="false" ht="15" hidden="false" customHeight="false" outlineLevel="0" collapsed="false">
      <c r="B1173" s="29" t="str">
        <f aca="false">Cab_Adr1</f>
        <v>141 rue Charles de Gaulle</v>
      </c>
      <c r="C1173" s="29"/>
      <c r="D1173" s="10"/>
      <c r="E1173" s="10"/>
      <c r="F1173" s="10"/>
      <c r="J1173" s="25" t="s">
        <v>145</v>
      </c>
      <c r="K1173" s="25" t="str">
        <f aca="false">DAY(Date_Effet)&amp;IF(DAY(Date_Effet)=1,"er","")&amp;" "&amp;INDEX(Liste_Mois,MONTH(Date_Effet))&amp;" "&amp;YEAR(Date_Effet)</f>
        <v>1er janvier 2027</v>
      </c>
      <c r="L1173" s="25"/>
      <c r="M1173" s="25"/>
      <c r="N1173" s="25"/>
      <c r="O1173" s="25"/>
    </row>
    <row r="1174" customFormat="false" ht="15" hidden="false" customHeight="false" outlineLevel="0" collapsed="false">
      <c r="B1174" s="29" t="str">
        <f aca="false">Cab_CPVille</f>
        <v>95130 LE PLESSIS-BOUCHARD</v>
      </c>
      <c r="C1174" s="29"/>
      <c r="D1174" s="10"/>
      <c r="E1174" s="10"/>
      <c r="F1174" s="10"/>
      <c r="J1174" s="25" t="s">
        <v>146</v>
      </c>
      <c r="K1174" s="25" t="str">
        <f aca="false">IF(SUM($K$1198:$K$1201)=0,"",FIXED((SUM($L$1198:$L$1201)/SUM($K$1198:$K$1201)-1)*100,1)&amp;" %")</f>
        <v/>
      </c>
      <c r="L1174" s="25"/>
      <c r="M1174" s="25"/>
      <c r="N1174" s="25"/>
      <c r="O1174" s="25"/>
    </row>
    <row r="1175" customFormat="false" ht="15" hidden="false" customHeight="false" outlineLevel="0" collapsed="false">
      <c r="B1175" s="29" t="str">
        <f aca="false">Cab_Contact</f>
        <v>Tél. 01 34 14 53 45  ·  altho@altho-experts.com  ·  altho-experts.com</v>
      </c>
      <c r="C1175" s="29"/>
      <c r="D1175" s="10"/>
      <c r="E1175" s="10"/>
      <c r="F1175" s="10"/>
      <c r="J1175" s="25"/>
      <c r="K1175" s="25"/>
      <c r="L1175" s="25"/>
      <c r="M1175" s="25"/>
      <c r="N1175" s="25"/>
      <c r="O1175" s="25"/>
    </row>
    <row r="1176" customFormat="false" ht="6" hidden="false" customHeight="true" outlineLevel="0" collapsed="false">
      <c r="B1176" s="32"/>
      <c r="C1176" s="32"/>
      <c r="D1176" s="32"/>
      <c r="E1176" s="32"/>
      <c r="F1176" s="32"/>
      <c r="J1176" s="25"/>
      <c r="K1176" s="25"/>
      <c r="L1176" s="25"/>
      <c r="M1176" s="25"/>
      <c r="N1176" s="25"/>
      <c r="O1176" s="25"/>
    </row>
    <row r="1177" customFormat="false" ht="13.5" hidden="false" customHeight="true" outlineLevel="0" collapsed="false">
      <c r="B1177" s="10"/>
      <c r="C1177" s="10"/>
      <c r="D1177" s="10"/>
      <c r="E1177" s="10"/>
      <c r="F1177" s="10"/>
      <c r="J1177" s="25"/>
      <c r="K1177" s="25"/>
      <c r="L1177" s="25"/>
      <c r="M1177" s="25"/>
      <c r="N1177" s="25"/>
      <c r="O1177" s="25"/>
    </row>
    <row r="1178" customFormat="false" ht="13.5" hidden="false" customHeight="true" outlineLevel="0" collapsed="false">
      <c r="B1178" s="10"/>
      <c r="C1178" s="10"/>
      <c r="D1178" s="10"/>
      <c r="E1178" s="10"/>
      <c r="F1178" s="10"/>
      <c r="J1178" s="25"/>
      <c r="K1178" s="25"/>
      <c r="L1178" s="25"/>
      <c r="M1178" s="25"/>
      <c r="N1178" s="25"/>
      <c r="O1178" s="25"/>
    </row>
    <row r="1179" customFormat="false" ht="13.5" hidden="false" customHeight="true" outlineLevel="0" collapsed="false">
      <c r="B1179" s="10"/>
      <c r="C1179" s="10"/>
      <c r="D1179" s="10"/>
      <c r="E1179" s="10"/>
      <c r="F1179" s="10"/>
      <c r="J1179" s="25"/>
      <c r="K1179" s="25"/>
      <c r="L1179" s="25"/>
      <c r="M1179" s="25"/>
      <c r="N1179" s="25"/>
      <c r="O1179" s="25"/>
    </row>
    <row r="1180" customFormat="false" ht="15" hidden="false" customHeight="true" outlineLevel="0" collapsed="false">
      <c r="B1180" s="10"/>
      <c r="C1180" s="10"/>
      <c r="D1180" s="34" t="str">
        <f aca="false">IF($K$1171=0,"",INDEX(Clients!$E$2:$E$501,$K$1171)&amp;"")</f>
        <v/>
      </c>
      <c r="E1180" s="34"/>
      <c r="F1180" s="34"/>
      <c r="J1180" s="25"/>
      <c r="K1180" s="25"/>
      <c r="L1180" s="25"/>
      <c r="M1180" s="25"/>
      <c r="N1180" s="25"/>
      <c r="O1180" s="25"/>
    </row>
    <row r="1181" customFormat="false" ht="15" hidden="false" customHeight="true" outlineLevel="0" collapsed="false">
      <c r="B1181" s="10"/>
      <c r="C1181" s="10"/>
      <c r="D1181" s="35" t="str">
        <f aca="false">IF(IF($K$1171=0,"",INDEX(Clients!$D$2:$D$501,$K$1171)&amp;"")="","","À l'attention de "&amp;TRIM(IF($K$1171=0,"",INDEX(Clients!$B$2:$B$501,$K$1171)&amp;"")&amp;" "&amp;IF($K$1171=0,"",INDEX(Clients!$C$2:$C$501,$K$1171)&amp;"")&amp;" "&amp;IF($K$1171=0,"",INDEX(Clients!$D$2:$D$501,$K$1171)&amp;"")))</f>
        <v/>
      </c>
      <c r="E1181" s="35"/>
      <c r="F1181" s="35"/>
      <c r="J1181" s="25"/>
      <c r="K1181" s="25"/>
      <c r="L1181" s="25"/>
      <c r="M1181" s="25"/>
      <c r="N1181" s="25"/>
      <c r="O1181" s="25"/>
    </row>
    <row r="1182" customFormat="false" ht="15" hidden="false" customHeight="true" outlineLevel="0" collapsed="false">
      <c r="B1182" s="10"/>
      <c r="C1182" s="10"/>
      <c r="D1182" s="35" t="str">
        <f aca="false">IF($K$1171=0,"",INDEX(Clients!$F$2:$F$501,$K$1171)&amp;"")</f>
        <v/>
      </c>
      <c r="E1182" s="35"/>
      <c r="F1182" s="35"/>
      <c r="J1182" s="25"/>
      <c r="K1182" s="25"/>
      <c r="L1182" s="25"/>
      <c r="M1182" s="25"/>
      <c r="N1182" s="25"/>
      <c r="O1182" s="25"/>
    </row>
    <row r="1183" customFormat="false" ht="15" hidden="false" customHeight="true" outlineLevel="0" collapsed="false">
      <c r="B1183" s="10"/>
      <c r="C1183" s="10"/>
      <c r="D1183" s="35" t="str">
        <f aca="false">IF(IF($K$1171=0,"",INDEX(Clients!$G$2:$G$501,$K$1171)&amp;"")="",TRIM(IF($K$1171=0,"",INDEX(Clients!$H$2:$H$501,$K$1171)&amp;"")&amp;" "&amp;UPPER(IF($K$1171=0,"",INDEX(Clients!$I$2:$I$501,$K$1171)&amp;""))),IF($K$1171=0,"",INDEX(Clients!$G$2:$G$501,$K$1171)&amp;""))</f>
        <v/>
      </c>
      <c r="E1183" s="35"/>
      <c r="F1183" s="35"/>
      <c r="J1183" s="25"/>
      <c r="K1183" s="25"/>
      <c r="L1183" s="25"/>
      <c r="M1183" s="25"/>
      <c r="N1183" s="25"/>
      <c r="O1183" s="25"/>
    </row>
    <row r="1184" customFormat="false" ht="15" hidden="false" customHeight="true" outlineLevel="0" collapsed="false">
      <c r="B1184" s="10"/>
      <c r="C1184" s="10"/>
      <c r="D1184" s="35" t="str">
        <f aca="false">IF(IF($K$1171=0,"",INDEX(Clients!$G$2:$G$501,$K$1171)&amp;"")="","",TRIM(IF($K$1171=0,"",INDEX(Clients!$H$2:$H$501,$K$1171)&amp;"")&amp;" "&amp;UPPER(IF($K$1171=0,"",INDEX(Clients!$I$2:$I$501,$K$1171)&amp;""))))</f>
        <v/>
      </c>
      <c r="E1184" s="35"/>
      <c r="F1184" s="35"/>
      <c r="J1184" s="25"/>
      <c r="K1184" s="25"/>
      <c r="L1184" s="25"/>
      <c r="M1184" s="25"/>
      <c r="N1184" s="25"/>
      <c r="O1184" s="25"/>
    </row>
    <row r="1185" customFormat="false" ht="25.5" hidden="false" customHeight="true" outlineLevel="0" collapsed="false">
      <c r="B1185" s="10"/>
      <c r="C1185" s="10"/>
      <c r="D1185" s="10"/>
      <c r="E1185" s="10"/>
      <c r="F1185" s="10"/>
      <c r="J1185" s="25"/>
      <c r="K1185" s="25"/>
      <c r="L1185" s="25"/>
      <c r="M1185" s="25"/>
      <c r="N1185" s="25"/>
      <c r="O1185" s="25"/>
    </row>
    <row r="1186" customFormat="false" ht="15" hidden="false" customHeight="false" outlineLevel="0" collapsed="false">
      <c r="B1186" s="10"/>
      <c r="C1186" s="10"/>
      <c r="D1186" s="36" t="str">
        <f aca="false">Cab_Ville&amp;", le "&amp;DAY(Date_Courrier)&amp;IF(DAY(Date_Courrier)=1,"er","")&amp;" "&amp;INDEX(Liste_Mois,MONTH(Date_Courrier))&amp;" "&amp;YEAR(Date_Courrier)</f>
        <v>Le Plessis-Bouchard, le 22 septembre 2026</v>
      </c>
      <c r="E1186" s="36"/>
      <c r="F1186" s="36"/>
      <c r="J1186" s="25"/>
      <c r="K1186" s="25"/>
      <c r="L1186" s="25"/>
      <c r="M1186" s="25"/>
      <c r="N1186" s="25"/>
      <c r="O1186" s="25"/>
    </row>
    <row r="1187" customFormat="false" ht="19.5" hidden="false" customHeight="true" outlineLevel="0" collapsed="false">
      <c r="B1187" s="10"/>
      <c r="C1187" s="10"/>
      <c r="D1187" s="10"/>
      <c r="E1187" s="10"/>
      <c r="F1187" s="10"/>
      <c r="J1187" s="25"/>
      <c r="K1187" s="25"/>
      <c r="L1187" s="25"/>
      <c r="M1187" s="25"/>
      <c r="N1187" s="25"/>
      <c r="O1187" s="25"/>
    </row>
    <row r="1188" customFormat="false" ht="15" hidden="false" customHeight="false" outlineLevel="0" collapsed="false">
      <c r="B1188" s="34" t="str">
        <f aca="false">SUBSTITUTE(SUBSTITUTE(SUBSTITUTE(SUBSTITUTE(SUBSTITUTE(Txt_Objet,"{cabinet}",Cab_Nom),"{societe}",IF($K$1171=0,"",INDEX(Clients!$E$2:$E$501,$K$1171)&amp;"")),"{date_effet}",$K$1173),"{hausse}",$K$1174),"{civilite}",$K$1172)</f>
        <v>Objet : révision de nos honoraires au 1er janvier 2027</v>
      </c>
      <c r="C1188" s="34"/>
      <c r="D1188" s="34"/>
      <c r="E1188" s="34"/>
      <c r="F1188" s="34"/>
      <c r="J1188" s="25"/>
      <c r="K1188" s="25"/>
      <c r="L1188" s="25"/>
      <c r="M1188" s="25"/>
      <c r="N1188" s="25"/>
      <c r="O1188" s="25"/>
    </row>
    <row r="1189" customFormat="false" ht="13.5" hidden="false" customHeight="true" outlineLevel="0" collapsed="false">
      <c r="B1189" s="10"/>
      <c r="C1189" s="10"/>
      <c r="D1189" s="10"/>
      <c r="E1189" s="10"/>
      <c r="F1189" s="10"/>
      <c r="J1189" s="25"/>
      <c r="K1189" s="25"/>
      <c r="L1189" s="25"/>
      <c r="M1189" s="25"/>
      <c r="N1189" s="25"/>
      <c r="O1189" s="25"/>
    </row>
    <row r="1190" customFormat="false" ht="15" hidden="false" customHeight="false" outlineLevel="0" collapsed="false">
      <c r="B1190" s="10" t="str">
        <f aca="false">$K$1172&amp;","</f>
        <v>Madame, Monsieur,</v>
      </c>
      <c r="C1190" s="10"/>
      <c r="D1190" s="10"/>
      <c r="E1190" s="10"/>
      <c r="F1190" s="10"/>
      <c r="J1190" s="25"/>
      <c r="K1190" s="25"/>
      <c r="L1190" s="25"/>
      <c r="M1190" s="25"/>
      <c r="N1190" s="25"/>
      <c r="O1190" s="25"/>
    </row>
    <row r="1191" customFormat="false" ht="6" hidden="false" customHeight="true" outlineLevel="0" collapsed="false">
      <c r="B1191" s="10"/>
      <c r="C1191" s="10"/>
      <c r="D1191" s="10"/>
      <c r="E1191" s="10"/>
      <c r="F1191" s="10"/>
      <c r="J1191" s="25"/>
      <c r="K1191" s="25"/>
      <c r="L1191" s="25"/>
      <c r="M1191" s="25"/>
      <c r="N1191" s="25"/>
      <c r="O1191" s="25"/>
    </row>
    <row r="1192" customFormat="false" ht="36.75" hidden="false" customHeight="true" outlineLevel="0" collapsed="false">
      <c r="B1192" s="37" t="str">
        <f aca="false">SUBSTITUTE(SUBSTITUTE(SUBSTITUTE(SUBSTITUTE(SUBSTITUTE(Txt_P1,"{cabinet}",Cab_Nom),"{societe}",IF($K$1171=0,"",INDEX(Clients!$E$2:$E$501,$K$1171)&amp;"")),"{date_effet}",$K$1173),"{hausse}",$K$1174),"{civilite}",$K$1172)</f>
        <v>Nous tenons tout d'abord à vous remercier pour la confiance que vous accordez à ALTHO EXPERTISE. Comme chaque année, et conformément aux dispositions de votre lettre de mission, nous procédons à la révision de nos honoraires.</v>
      </c>
      <c r="C1192" s="37"/>
      <c r="D1192" s="37"/>
      <c r="E1192" s="37"/>
      <c r="F1192" s="37"/>
      <c r="J1192" s="25"/>
      <c r="K1192" s="25"/>
      <c r="L1192" s="25"/>
      <c r="M1192" s="25"/>
      <c r="N1192" s="25"/>
      <c r="O1192" s="25"/>
    </row>
    <row r="1193" customFormat="false" ht="49.5" hidden="false" customHeight="true" outlineLevel="0" collapsed="false">
      <c r="B1193" s="37" t="str">
        <f aca="false">SUBSTITUTE(SUBSTITUTE(SUBSTITUTE(SUBSTITUTE(SUBSTITUTE(Txt_P2,"{cabinet}",Cab_Nom),"{societe}",IF($K$1171=0,"",INDEX(Clients!$E$2:$E$501,$K$1171)&amp;"")),"{date_effet}",$K$1173),"{hausse}",$K$1174),"{civilite}",$K$1172)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93" s="37"/>
      <c r="D1193" s="37"/>
      <c r="E1193" s="37"/>
      <c r="F1193" s="37"/>
      <c r="J1193" s="25"/>
      <c r="K1193" s="25"/>
      <c r="L1193" s="25"/>
      <c r="M1193" s="25"/>
      <c r="N1193" s="25"/>
      <c r="O1193" s="25"/>
    </row>
    <row r="1194" customFormat="false" ht="63" hidden="false" customHeight="true" outlineLevel="0" collapsed="false">
      <c r="B1194" s="37" t="str">
        <f aca="false">SUBSTITUTE(SUBSTITUTE(SUBSTITUTE(SUBSTITUTE(SUBSTITUTE(Txt_P3,"{cabinet}",Cab_Nom),"{societe}",IF($K$1171=0,"",INDEX(Clients!$E$2:$E$501,$K$1171)&amp;"")),"{date_effet}",$K$1173),"{hausse}",$K$1174),"{civilite}",$K$1172)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94" s="37"/>
      <c r="D1194" s="37"/>
      <c r="E1194" s="37"/>
      <c r="F1194" s="37"/>
      <c r="J1194" s="25"/>
      <c r="K1194" s="25"/>
      <c r="L1194" s="25"/>
      <c r="M1194" s="25"/>
      <c r="N1194" s="25"/>
      <c r="O1194" s="25"/>
    </row>
    <row r="1195" customFormat="false" ht="24" hidden="false" customHeight="true" outlineLevel="0" collapsed="false">
      <c r="B1195" s="37" t="str">
        <f aca="false">SUBSTITUTE(SUBSTITUTE(SUBSTITUTE(SUBSTITUTE(SUBSTITUTE(Txt_P4,"{cabinet}",Cab_Nom),"{societe}",IF($K$1171=0,"",INDEX(Clients!$E$2:$E$501,$K$1171)&amp;"")),"{date_effet}",$K$1173),"{hausse}",$K$1174),"{civilite}",$K$1172)</f>
        <v>À compter du 1er janvier 2027, vos honoraires annuels hors taxes évolueront ainsi (évolution globale : ) :</v>
      </c>
      <c r="C1195" s="37"/>
      <c r="D1195" s="37"/>
      <c r="E1195" s="37"/>
      <c r="F1195" s="37"/>
      <c r="J1195" s="25"/>
      <c r="K1195" s="25"/>
      <c r="L1195" s="25"/>
      <c r="M1195" s="25"/>
      <c r="N1195" s="25"/>
      <c r="O1195" s="25"/>
    </row>
    <row r="1196" customFormat="false" ht="3.75" hidden="false" customHeight="true" outlineLevel="0" collapsed="false">
      <c r="B1196" s="10"/>
      <c r="C1196" s="10"/>
      <c r="D1196" s="10"/>
      <c r="E1196" s="10"/>
      <c r="F1196" s="10"/>
      <c r="J1196" s="25"/>
      <c r="K1196" s="25"/>
      <c r="L1196" s="25"/>
      <c r="M1196" s="25"/>
      <c r="N1196" s="25"/>
      <c r="O1196" s="25"/>
    </row>
    <row r="1197" customFormat="false" ht="18" hidden="false" customHeight="true" outlineLevel="0" collapsed="false">
      <c r="B1197" s="38" t="s">
        <v>148</v>
      </c>
      <c r="C1197" s="39" t="s">
        <v>149</v>
      </c>
      <c r="D1197" s="39" t="s">
        <v>150</v>
      </c>
      <c r="E1197" s="39" t="s">
        <v>151</v>
      </c>
      <c r="F1197" s="39" t="s">
        <v>109</v>
      </c>
      <c r="J1197" s="25" t="s">
        <v>152</v>
      </c>
      <c r="K1197" s="25" t="s">
        <v>153</v>
      </c>
      <c r="L1197" s="25" t="s">
        <v>154</v>
      </c>
      <c r="M1197" s="25" t="s">
        <v>155</v>
      </c>
      <c r="N1197" s="25" t="s">
        <v>156</v>
      </c>
      <c r="O1197" s="25" t="s">
        <v>157</v>
      </c>
    </row>
    <row r="1198" customFormat="false" ht="16.5" hidden="false" customHeight="true" outlineLevel="0" collapsed="false">
      <c r="B1198" s="40" t="str">
        <f aca="false">IFERROR(INDEX($J$1198:$J$1201,MATCH($O1198,$N$1198:$N$1201,0)),"")</f>
        <v/>
      </c>
      <c r="C1198" s="41" t="str">
        <f aca="false">IFERROR(INDEX($K$1198:$K$1201,MATCH($O1198,$N$1198:$N$1201,0)),"")</f>
        <v/>
      </c>
      <c r="D1198" s="42" t="str">
        <f aca="false">IF(OR(E1198="",N(C1198)=0),"",E1198/C1198-1)</f>
        <v/>
      </c>
      <c r="E1198" s="41" t="str">
        <f aca="false">IFERROR(INDEX($L$1198:$L$1201,MATCH($O1198,$N$1198:$N$1201,0)),"")</f>
        <v/>
      </c>
      <c r="F1198" s="41" t="str">
        <f aca="false">IF(E1198="","",E1198-C1198)</f>
        <v/>
      </c>
      <c r="J1198" s="25" t="str">
        <f aca="false">Lib_Compta</f>
        <v>Mission comptable (tenue, révision, bilan, liasse fiscale)</v>
      </c>
      <c r="K1198" s="25" t="n">
        <f aca="false">IF($K$1171=0,0,N(INDEX(Clients!$K$2:$K$501,$K$1171)))</f>
        <v>0</v>
      </c>
      <c r="L1198" s="25" t="n">
        <f aca="false">IF($K$1171=0,0,N(INDEX(Clients!$P$2:$P$501,$K$1171)))</f>
        <v>0</v>
      </c>
      <c r="M1198" s="25" t="n">
        <f aca="false">IF(OR(K1198&lt;&gt;0,L1198&lt;&gt;0),1,0)</f>
        <v>0</v>
      </c>
      <c r="N1198" s="25" t="str">
        <f aca="false">IF(M1198=1,SUM($M$1198:M1198),"")</f>
        <v/>
      </c>
      <c r="O1198" s="25" t="n">
        <v>1</v>
      </c>
    </row>
    <row r="1199" customFormat="false" ht="16.5" hidden="false" customHeight="true" outlineLevel="0" collapsed="false">
      <c r="B1199" s="40" t="str">
        <f aca="false">IFERROR(INDEX($J$1198:$J$1201,MATCH($O1199,$N$1198:$N$1201,0)),"")</f>
        <v/>
      </c>
      <c r="C1199" s="41" t="str">
        <f aca="false">IFERROR(INDEX($K$1198:$K$1201,MATCH($O1199,$N$1198:$N$1201,0)),"")</f>
        <v/>
      </c>
      <c r="D1199" s="42" t="str">
        <f aca="false">IF(OR(E1199="",N(C1199)=0),"",E1199/C1199-1)</f>
        <v/>
      </c>
      <c r="E1199" s="41" t="str">
        <f aca="false">IFERROR(INDEX($L$1198:$L$1201,MATCH($O1199,$N$1198:$N$1201,0)),"")</f>
        <v/>
      </c>
      <c r="F1199" s="41" t="str">
        <f aca="false">IF(E1199="","",E1199-C1199)</f>
        <v/>
      </c>
      <c r="J1199" s="25" t="str">
        <f aca="false">Lib_Paye</f>
        <v>Mission sociale (bulletins de paie, DSN, déclarations sociales)</v>
      </c>
      <c r="K1199" s="25" t="n">
        <f aca="false">IF($K$1171=0,0,N(INDEX(Clients!$L$2:$L$501,$K$1171)))</f>
        <v>0</v>
      </c>
      <c r="L1199" s="25" t="n">
        <f aca="false">IF($K$1171=0,0,N(INDEX(Clients!$Q$2:$Q$501,$K$1171)))</f>
        <v>0</v>
      </c>
      <c r="M1199" s="25" t="n">
        <f aca="false">IF(OR(K1199&lt;&gt;0,L1199&lt;&gt;0),1,0)</f>
        <v>0</v>
      </c>
      <c r="N1199" s="25" t="str">
        <f aca="false">IF(M1199=1,SUM($M$1198:M1199),"")</f>
        <v/>
      </c>
      <c r="O1199" s="25" t="n">
        <v>2</v>
      </c>
    </row>
    <row r="1200" customFormat="false" ht="16.5" hidden="false" customHeight="true" outlineLevel="0" collapsed="false">
      <c r="B1200" s="40" t="str">
        <f aca="false">IFERROR(INDEX($J$1198:$J$1201,MATCH($O1200,$N$1198:$N$1201,0)),"")</f>
        <v/>
      </c>
      <c r="C1200" s="41" t="str">
        <f aca="false">IFERROR(INDEX($K$1198:$K$1201,MATCH($O1200,$N$1198:$N$1201,0)),"")</f>
        <v/>
      </c>
      <c r="D1200" s="42" t="str">
        <f aca="false">IF(OR(E1200="",N(C1200)=0),"",E1200/C1200-1)</f>
        <v/>
      </c>
      <c r="E1200" s="41" t="str">
        <f aca="false">IFERROR(INDEX($L$1198:$L$1201,MATCH($O1200,$N$1198:$N$1201,0)),"")</f>
        <v/>
      </c>
      <c r="F1200" s="41" t="str">
        <f aca="false">IF(E1200="","",E1200-C1200)</f>
        <v/>
      </c>
      <c r="J1200" s="25" t="str">
        <f aca="false">Lib_Jur</f>
        <v>Mission juridique (approbation des comptes, secrétariat juridique)</v>
      </c>
      <c r="K1200" s="25" t="n">
        <f aca="false">IF($K$1171=0,0,N(INDEX(Clients!$M$2:$M$501,$K$1171)))</f>
        <v>0</v>
      </c>
      <c r="L1200" s="25" t="n">
        <f aca="false">IF($K$1171=0,0,N(INDEX(Clients!$R$2:$R$501,$K$1171)))</f>
        <v>0</v>
      </c>
      <c r="M1200" s="25" t="n">
        <f aca="false">IF(OR(K1200&lt;&gt;0,L1200&lt;&gt;0),1,0)</f>
        <v>0</v>
      </c>
      <c r="N1200" s="25" t="str">
        <f aca="false">IF(M1200=1,SUM($M$1198:M1200),"")</f>
        <v/>
      </c>
      <c r="O1200" s="25" t="n">
        <v>3</v>
      </c>
    </row>
    <row r="1201" customFormat="false" ht="16.5" hidden="false" customHeight="true" outlineLevel="0" collapsed="false">
      <c r="B1201" s="40" t="str">
        <f aca="false">IFERROR(INDEX($J$1198:$J$1201,MATCH($O1201,$N$1198:$N$1201,0)),"")</f>
        <v/>
      </c>
      <c r="C1201" s="41" t="str">
        <f aca="false">IFERROR(INDEX($K$1198:$K$1201,MATCH($O1201,$N$1198:$N$1201,0)),"")</f>
        <v/>
      </c>
      <c r="D1201" s="42" t="str">
        <f aca="false">IF(OR(E1201="",N(C1201)=0),"",E1201/C1201-1)</f>
        <v/>
      </c>
      <c r="E1201" s="41" t="str">
        <f aca="false">IFERROR(INDEX($L$1198:$L$1201,MATCH($O1201,$N$1198:$N$1201,0)),"")</f>
        <v/>
      </c>
      <c r="F1201" s="41" t="str">
        <f aca="false">IF(E1201="","",E1201-C1201)</f>
        <v/>
      </c>
      <c r="J1201" s="25" t="str">
        <f aca="false">Lib_PA</f>
        <v>Plateforme agréée – facturation électronique</v>
      </c>
      <c r="K1201" s="25" t="n">
        <f aca="false">IF($K$1171=0,0,N(INDEX(Clients!$N$2:$N$501,$K$1171)))</f>
        <v>0</v>
      </c>
      <c r="L1201" s="25" t="n">
        <f aca="false">IF($K$1171=0,0,N(INDEX(Clients!$S$2:$S$501,$K$1171)))</f>
        <v>0</v>
      </c>
      <c r="M1201" s="25" t="n">
        <f aca="false">IF(OR(K1201&lt;&gt;0,L1201&lt;&gt;0),1,0)</f>
        <v>0</v>
      </c>
      <c r="N1201" s="25" t="str">
        <f aca="false">IF(M1201=1,SUM($M$1198:M1201),"")</f>
        <v/>
      </c>
      <c r="O1201" s="25" t="n">
        <v>4</v>
      </c>
    </row>
    <row r="1202" customFormat="false" ht="18" hidden="false" customHeight="true" outlineLevel="0" collapsed="false">
      <c r="B1202" s="43" t="s">
        <v>158</v>
      </c>
      <c r="C1202" s="44" t="n">
        <f aca="false">SUM(K1198:K1201)</f>
        <v>0</v>
      </c>
      <c r="D1202" s="45" t="str">
        <f aca="false">IF(N(C1202)=0,"",E1202/C1202-1)</f>
        <v/>
      </c>
      <c r="E1202" s="44" t="n">
        <f aca="false">SUM(L1198:L1201)</f>
        <v>0</v>
      </c>
      <c r="F1202" s="44" t="n">
        <f aca="false">E1202-C1202</f>
        <v>0</v>
      </c>
    </row>
    <row r="1203" customFormat="false" ht="15" hidden="false" customHeight="false" outlineLevel="0" collapsed="false">
      <c r="B1203" s="46" t="str">
        <f aca="false">IF(N(Nb_Mensualites)=0,"","Soit "&amp;FIXED(E1202/Nb_Mensualites,2)&amp;" € HT par échéance ("&amp;Nb_Mensualites&amp;" échéances), "&amp;FIXED(E1202/Nb_Mensualites*(1+Taux_TVA),2)&amp;" € TTC.")</f>
        <v>Soit 0.00 € HT par échéance (12 échéances), 0.00 € TTC.</v>
      </c>
      <c r="C1203" s="46"/>
      <c r="D1203" s="46"/>
      <c r="E1203" s="46"/>
      <c r="F1203" s="46"/>
    </row>
    <row r="1204" customFormat="false" ht="7.5" hidden="false" customHeight="true" outlineLevel="0" collapsed="false">
      <c r="B1204" s="10"/>
      <c r="C1204" s="10"/>
      <c r="D1204" s="10"/>
      <c r="E1204" s="10"/>
      <c r="F1204" s="10"/>
    </row>
    <row r="1205" customFormat="false" ht="36.75" hidden="false" customHeight="true" outlineLevel="0" collapsed="false">
      <c r="B1205" s="37" t="str">
        <f aca="false">SUBSTITUTE(SUBSTITUTE(SUBSTITUTE(SUBSTITUTE(SUBSTITUTE(Txt_P5,"{cabinet}",Cab_Nom),"{societe}",IF($K$1171=0,"",INDEX(Clients!$E$2:$E$501,$K$1171)&amp;"")),"{date_effet}",$K$1173),"{hausse}",$K$1174),"{civilite}",$K$1172)</f>
        <v>Les autres conditions de votre lettre de mission demeurent inchangées. Les nouveaux montants seront appliqués automatiquement sur vos prochaines factures et échéances de prélèvement.</v>
      </c>
      <c r="C1205" s="37"/>
      <c r="D1205" s="37"/>
      <c r="E1205" s="37"/>
      <c r="F1205" s="37"/>
    </row>
    <row r="1206" customFormat="false" ht="36.75" hidden="false" customHeight="true" outlineLevel="0" collapsed="false">
      <c r="B1206" s="37" t="str">
        <f aca="false">SUBSTITUTE(SUBSTITUTE(SUBSTITUTE(SUBSTITUTE(SUBSTITUTE(Txt_P6,"{cabinet}",Cab_Nom),"{societe}",IF($K$1171=0,"",INDEX(Clients!$E$2:$E$501,$K$1171)&amp;"")),"{date_effet}",$K$1173),"{hausse}",$K$1174),"{civilite}",$K$1172)</f>
        <v>Votre interlocuteur habituel reste à votre entière disposition pour répondre à vos questions et faire le point sur l'évolution de vos besoins.</v>
      </c>
      <c r="C1206" s="37"/>
      <c r="D1206" s="37"/>
      <c r="E1206" s="37"/>
      <c r="F1206" s="37"/>
    </row>
    <row r="1207" customFormat="false" ht="24" hidden="false" customHeight="true" outlineLevel="0" collapsed="false">
      <c r="B1207" s="37" t="str">
        <f aca="false">SUBSTITUTE(SUBSTITUTE(SUBSTITUTE(SUBSTITUTE(SUBSTITUTE(Txt_Politesse,"{cabinet}",Cab_Nom),"{societe}",IF($K$1171=0,"",INDEX(Clients!$E$2:$E$501,$K$1171)&amp;"")),"{date_effet}",$K$1173),"{hausse}",$K$1174),"{civilite}",$K$1172)</f>
        <v>Nous vous prions d'agréer, Madame, Monsieur, l'expression de nos salutations distinguées.</v>
      </c>
      <c r="C1207" s="37"/>
      <c r="D1207" s="37"/>
      <c r="E1207" s="37"/>
      <c r="F1207" s="37"/>
    </row>
    <row r="1208" customFormat="false" ht="15" hidden="false" customHeight="false" outlineLevel="0" collapsed="false">
      <c r="B1208" s="10"/>
      <c r="C1208" s="10"/>
      <c r="D1208" s="10"/>
      <c r="E1208" s="10"/>
      <c r="F1208" s="10"/>
    </row>
    <row r="1209" customFormat="false" ht="15" hidden="false" customHeight="false" outlineLevel="0" collapsed="false">
      <c r="B1209" s="10"/>
      <c r="C1209" s="10"/>
      <c r="D1209" s="34" t="str">
        <f aca="false">Signataire</f>
        <v>Prénom NOM</v>
      </c>
      <c r="E1209" s="34"/>
      <c r="F1209" s="34"/>
    </row>
    <row r="1210" customFormat="false" ht="15" hidden="false" customHeight="false" outlineLevel="0" collapsed="false">
      <c r="B1210" s="10"/>
      <c r="C1210" s="10"/>
      <c r="D1210" s="47" t="str">
        <f aca="false">Signataire_Titre</f>
        <v>Expert-comptable associé</v>
      </c>
      <c r="E1210" s="47"/>
      <c r="F1210" s="47"/>
    </row>
    <row r="1211" customFormat="false" ht="15.75" hidden="false" customHeight="true" outlineLevel="0" collapsed="false">
      <c r="B1211" s="10"/>
      <c r="C1211" s="10"/>
      <c r="D1211" s="10"/>
      <c r="E1211" s="10"/>
      <c r="F1211" s="10"/>
    </row>
    <row r="1212" customFormat="false" ht="15.75" hidden="false" customHeight="true" outlineLevel="0" collapsed="false">
      <c r="B1212" s="10"/>
      <c r="C1212" s="10"/>
      <c r="D1212" s="10"/>
      <c r="E1212" s="10"/>
      <c r="F1212" s="10"/>
    </row>
    <row r="1213" customFormat="false" ht="15.75" hidden="false" customHeight="true" outlineLevel="0" collapsed="false">
      <c r="B1213" s="10"/>
      <c r="C1213" s="10"/>
      <c r="D1213" s="10"/>
      <c r="E1213" s="10"/>
      <c r="F1213" s="10"/>
    </row>
    <row r="1214" customFormat="false" ht="15.75" hidden="false" customHeight="true" outlineLevel="0" collapsed="false">
      <c r="B1214" s="10"/>
      <c r="C1214" s="10"/>
      <c r="D1214" s="10"/>
      <c r="E1214" s="10"/>
      <c r="F1214" s="10"/>
    </row>
    <row r="1215" customFormat="false" ht="24" hidden="false" customHeight="true" outlineLevel="0" collapsed="false">
      <c r="B1215" s="48" t="str">
        <f aca="false">Cab_Mentions</f>
        <v>ALTHO EXPERTISE · SAS au capital de 10 000 € · RCS Pontoise 919 706 325 · TVA FR62919706325 · Société d'expertise comptable inscrite au Tableau de l'Ordre des experts-comptables de Paris Île-de-France</v>
      </c>
      <c r="C1215" s="48"/>
      <c r="D1215" s="48"/>
      <c r="E1215" s="48"/>
      <c r="F1215" s="48"/>
    </row>
    <row r="1216" customFormat="false" ht="15" hidden="false" customHeight="false" outlineLevel="0" collapsed="false">
      <c r="B1216" s="10"/>
      <c r="C1216" s="10"/>
      <c r="D1216" s="10"/>
      <c r="E1216" s="10"/>
      <c r="F1216" s="10"/>
      <c r="J1216" s="25" t="s">
        <v>142</v>
      </c>
      <c r="K1216" s="25" t="n">
        <f aca="false">IFERROR(MATCH(28,Clients!$Z$2:$Z$501,0),0)</f>
        <v>0</v>
      </c>
      <c r="L1216" s="25"/>
      <c r="M1216" s="25"/>
      <c r="N1216" s="25"/>
      <c r="O1216" s="25"/>
    </row>
    <row r="1217" customFormat="false" ht="21.75" hidden="false" customHeight="true" outlineLevel="0" collapsed="false">
      <c r="B1217" s="26" t="str">
        <f aca="false">Cab_Nom</f>
        <v>ALTHO EXPERTISE</v>
      </c>
      <c r="C1217" s="26"/>
      <c r="D1217" s="10"/>
      <c r="E1217" s="27" t="str">
        <f aca="false">IF($K$1216=0,"","Réf. client : "&amp;INDEX(Clients!$A$2:$A$501,$K$1216))</f>
        <v/>
      </c>
      <c r="F1217" s="27"/>
      <c r="J1217" s="25" t="s">
        <v>144</v>
      </c>
      <c r="K1217" s="25" t="str">
        <f aca="false">IF(IF($K$1216=0,"",INDEX(Clients!$B$2:$B$501,$K$1216)&amp;"")="Mme","Madame",IF(IF($K$1216=0,"",INDEX(Clients!$B$2:$B$501,$K$1216)&amp;"")="M.","Monsieur","Madame, Monsieur"))</f>
        <v>Madame, Monsieur</v>
      </c>
      <c r="L1217" s="25"/>
      <c r="M1217" s="25"/>
      <c r="N1217" s="25"/>
      <c r="O1217" s="25"/>
    </row>
    <row r="1218" customFormat="false" ht="15" hidden="false" customHeight="false" outlineLevel="0" collapsed="false">
      <c r="B1218" s="29" t="str">
        <f aca="false">Cab_Adr1</f>
        <v>141 rue Charles de Gaulle</v>
      </c>
      <c r="C1218" s="29"/>
      <c r="D1218" s="10"/>
      <c r="E1218" s="10"/>
      <c r="F1218" s="10"/>
      <c r="J1218" s="25" t="s">
        <v>145</v>
      </c>
      <c r="K1218" s="25" t="str">
        <f aca="false">DAY(Date_Effet)&amp;IF(DAY(Date_Effet)=1,"er","")&amp;" "&amp;INDEX(Liste_Mois,MONTH(Date_Effet))&amp;" "&amp;YEAR(Date_Effet)</f>
        <v>1er janvier 2027</v>
      </c>
      <c r="L1218" s="25"/>
      <c r="M1218" s="25"/>
      <c r="N1218" s="25"/>
      <c r="O1218" s="25"/>
    </row>
    <row r="1219" customFormat="false" ht="15" hidden="false" customHeight="false" outlineLevel="0" collapsed="false">
      <c r="B1219" s="29" t="str">
        <f aca="false">Cab_CPVille</f>
        <v>95130 LE PLESSIS-BOUCHARD</v>
      </c>
      <c r="C1219" s="29"/>
      <c r="D1219" s="10"/>
      <c r="E1219" s="10"/>
      <c r="F1219" s="10"/>
      <c r="J1219" s="25" t="s">
        <v>146</v>
      </c>
      <c r="K1219" s="25" t="str">
        <f aca="false">IF(SUM($K$1243:$K$1246)=0,"",FIXED((SUM($L$1243:$L$1246)/SUM($K$1243:$K$1246)-1)*100,1)&amp;" %")</f>
        <v/>
      </c>
      <c r="L1219" s="25"/>
      <c r="M1219" s="25"/>
      <c r="N1219" s="25"/>
      <c r="O1219" s="25"/>
    </row>
    <row r="1220" customFormat="false" ht="15" hidden="false" customHeight="false" outlineLevel="0" collapsed="false">
      <c r="B1220" s="29" t="str">
        <f aca="false">Cab_Contact</f>
        <v>Tél. 01 34 14 53 45  ·  altho@altho-experts.com  ·  altho-experts.com</v>
      </c>
      <c r="C1220" s="29"/>
      <c r="D1220" s="10"/>
      <c r="E1220" s="10"/>
      <c r="F1220" s="10"/>
      <c r="J1220" s="25"/>
      <c r="K1220" s="25"/>
      <c r="L1220" s="25"/>
      <c r="M1220" s="25"/>
      <c r="N1220" s="25"/>
      <c r="O1220" s="25"/>
    </row>
    <row r="1221" customFormat="false" ht="6" hidden="false" customHeight="true" outlineLevel="0" collapsed="false">
      <c r="B1221" s="32"/>
      <c r="C1221" s="32"/>
      <c r="D1221" s="32"/>
      <c r="E1221" s="32"/>
      <c r="F1221" s="32"/>
      <c r="J1221" s="25"/>
      <c r="K1221" s="25"/>
      <c r="L1221" s="25"/>
      <c r="M1221" s="25"/>
      <c r="N1221" s="25"/>
      <c r="O1221" s="25"/>
    </row>
    <row r="1222" customFormat="false" ht="13.5" hidden="false" customHeight="true" outlineLevel="0" collapsed="false">
      <c r="B1222" s="10"/>
      <c r="C1222" s="10"/>
      <c r="D1222" s="10"/>
      <c r="E1222" s="10"/>
      <c r="F1222" s="10"/>
      <c r="J1222" s="25"/>
      <c r="K1222" s="25"/>
      <c r="L1222" s="25"/>
      <c r="M1222" s="25"/>
      <c r="N1222" s="25"/>
      <c r="O1222" s="25"/>
    </row>
    <row r="1223" customFormat="false" ht="13.5" hidden="false" customHeight="true" outlineLevel="0" collapsed="false">
      <c r="B1223" s="10"/>
      <c r="C1223" s="10"/>
      <c r="D1223" s="10"/>
      <c r="E1223" s="10"/>
      <c r="F1223" s="10"/>
      <c r="J1223" s="25"/>
      <c r="K1223" s="25"/>
      <c r="L1223" s="25"/>
      <c r="M1223" s="25"/>
      <c r="N1223" s="25"/>
      <c r="O1223" s="25"/>
    </row>
    <row r="1224" customFormat="false" ht="13.5" hidden="false" customHeight="true" outlineLevel="0" collapsed="false">
      <c r="B1224" s="10"/>
      <c r="C1224" s="10"/>
      <c r="D1224" s="10"/>
      <c r="E1224" s="10"/>
      <c r="F1224" s="10"/>
      <c r="J1224" s="25"/>
      <c r="K1224" s="25"/>
      <c r="L1224" s="25"/>
      <c r="M1224" s="25"/>
      <c r="N1224" s="25"/>
      <c r="O1224" s="25"/>
    </row>
    <row r="1225" customFormat="false" ht="15" hidden="false" customHeight="true" outlineLevel="0" collapsed="false">
      <c r="B1225" s="10"/>
      <c r="C1225" s="10"/>
      <c r="D1225" s="34" t="str">
        <f aca="false">IF($K$1216=0,"",INDEX(Clients!$E$2:$E$501,$K$1216)&amp;"")</f>
        <v/>
      </c>
      <c r="E1225" s="34"/>
      <c r="F1225" s="34"/>
      <c r="J1225" s="25"/>
      <c r="K1225" s="25"/>
      <c r="L1225" s="25"/>
      <c r="M1225" s="25"/>
      <c r="N1225" s="25"/>
      <c r="O1225" s="25"/>
    </row>
    <row r="1226" customFormat="false" ht="15" hidden="false" customHeight="true" outlineLevel="0" collapsed="false">
      <c r="B1226" s="10"/>
      <c r="C1226" s="10"/>
      <c r="D1226" s="35" t="str">
        <f aca="false">IF(IF($K$1216=0,"",INDEX(Clients!$D$2:$D$501,$K$1216)&amp;"")="","","À l'attention de "&amp;TRIM(IF($K$1216=0,"",INDEX(Clients!$B$2:$B$501,$K$1216)&amp;"")&amp;" "&amp;IF($K$1216=0,"",INDEX(Clients!$C$2:$C$501,$K$1216)&amp;"")&amp;" "&amp;IF($K$1216=0,"",INDEX(Clients!$D$2:$D$501,$K$1216)&amp;"")))</f>
        <v/>
      </c>
      <c r="E1226" s="35"/>
      <c r="F1226" s="35"/>
      <c r="J1226" s="25"/>
      <c r="K1226" s="25"/>
      <c r="L1226" s="25"/>
      <c r="M1226" s="25"/>
      <c r="N1226" s="25"/>
      <c r="O1226" s="25"/>
    </row>
    <row r="1227" customFormat="false" ht="15" hidden="false" customHeight="true" outlineLevel="0" collapsed="false">
      <c r="B1227" s="10"/>
      <c r="C1227" s="10"/>
      <c r="D1227" s="35" t="str">
        <f aca="false">IF($K$1216=0,"",INDEX(Clients!$F$2:$F$501,$K$1216)&amp;"")</f>
        <v/>
      </c>
      <c r="E1227" s="35"/>
      <c r="F1227" s="35"/>
      <c r="J1227" s="25"/>
      <c r="K1227" s="25"/>
      <c r="L1227" s="25"/>
      <c r="M1227" s="25"/>
      <c r="N1227" s="25"/>
      <c r="O1227" s="25"/>
    </row>
    <row r="1228" customFormat="false" ht="15" hidden="false" customHeight="true" outlineLevel="0" collapsed="false">
      <c r="B1228" s="10"/>
      <c r="C1228" s="10"/>
      <c r="D1228" s="35" t="str">
        <f aca="false">IF(IF($K$1216=0,"",INDEX(Clients!$G$2:$G$501,$K$1216)&amp;"")="",TRIM(IF($K$1216=0,"",INDEX(Clients!$H$2:$H$501,$K$1216)&amp;"")&amp;" "&amp;UPPER(IF($K$1216=0,"",INDEX(Clients!$I$2:$I$501,$K$1216)&amp;""))),IF($K$1216=0,"",INDEX(Clients!$G$2:$G$501,$K$1216)&amp;""))</f>
        <v/>
      </c>
      <c r="E1228" s="35"/>
      <c r="F1228" s="35"/>
      <c r="J1228" s="25"/>
      <c r="K1228" s="25"/>
      <c r="L1228" s="25"/>
      <c r="M1228" s="25"/>
      <c r="N1228" s="25"/>
      <c r="O1228" s="25"/>
    </row>
    <row r="1229" customFormat="false" ht="15" hidden="false" customHeight="true" outlineLevel="0" collapsed="false">
      <c r="B1229" s="10"/>
      <c r="C1229" s="10"/>
      <c r="D1229" s="35" t="str">
        <f aca="false">IF(IF($K$1216=0,"",INDEX(Clients!$G$2:$G$501,$K$1216)&amp;"")="","",TRIM(IF($K$1216=0,"",INDEX(Clients!$H$2:$H$501,$K$1216)&amp;"")&amp;" "&amp;UPPER(IF($K$1216=0,"",INDEX(Clients!$I$2:$I$501,$K$1216)&amp;""))))</f>
        <v/>
      </c>
      <c r="E1229" s="35"/>
      <c r="F1229" s="35"/>
      <c r="J1229" s="25"/>
      <c r="K1229" s="25"/>
      <c r="L1229" s="25"/>
      <c r="M1229" s="25"/>
      <c r="N1229" s="25"/>
      <c r="O1229" s="25"/>
    </row>
    <row r="1230" customFormat="false" ht="25.5" hidden="false" customHeight="true" outlineLevel="0" collapsed="false">
      <c r="B1230" s="10"/>
      <c r="C1230" s="10"/>
      <c r="D1230" s="10"/>
      <c r="E1230" s="10"/>
      <c r="F1230" s="10"/>
      <c r="J1230" s="25"/>
      <c r="K1230" s="25"/>
      <c r="L1230" s="25"/>
      <c r="M1230" s="25"/>
      <c r="N1230" s="25"/>
      <c r="O1230" s="25"/>
    </row>
    <row r="1231" customFormat="false" ht="15" hidden="false" customHeight="false" outlineLevel="0" collapsed="false">
      <c r="B1231" s="10"/>
      <c r="C1231" s="10"/>
      <c r="D1231" s="36" t="str">
        <f aca="false">Cab_Ville&amp;", le "&amp;DAY(Date_Courrier)&amp;IF(DAY(Date_Courrier)=1,"er","")&amp;" "&amp;INDEX(Liste_Mois,MONTH(Date_Courrier))&amp;" "&amp;YEAR(Date_Courrier)</f>
        <v>Le Plessis-Bouchard, le 22 septembre 2026</v>
      </c>
      <c r="E1231" s="36"/>
      <c r="F1231" s="36"/>
      <c r="J1231" s="25"/>
      <c r="K1231" s="25"/>
      <c r="L1231" s="25"/>
      <c r="M1231" s="25"/>
      <c r="N1231" s="25"/>
      <c r="O1231" s="25"/>
    </row>
    <row r="1232" customFormat="false" ht="19.5" hidden="false" customHeight="true" outlineLevel="0" collapsed="false">
      <c r="B1232" s="10"/>
      <c r="C1232" s="10"/>
      <c r="D1232" s="10"/>
      <c r="E1232" s="10"/>
      <c r="F1232" s="10"/>
      <c r="J1232" s="25"/>
      <c r="K1232" s="25"/>
      <c r="L1232" s="25"/>
      <c r="M1232" s="25"/>
      <c r="N1232" s="25"/>
      <c r="O1232" s="25"/>
    </row>
    <row r="1233" customFormat="false" ht="15" hidden="false" customHeight="false" outlineLevel="0" collapsed="false">
      <c r="B1233" s="34" t="str">
        <f aca="false">SUBSTITUTE(SUBSTITUTE(SUBSTITUTE(SUBSTITUTE(SUBSTITUTE(Txt_Objet,"{cabinet}",Cab_Nom),"{societe}",IF($K$1216=0,"",INDEX(Clients!$E$2:$E$501,$K$1216)&amp;"")),"{date_effet}",$K$1218),"{hausse}",$K$1219),"{civilite}",$K$1217)</f>
        <v>Objet : révision de nos honoraires au 1er janvier 2027</v>
      </c>
      <c r="C1233" s="34"/>
      <c r="D1233" s="34"/>
      <c r="E1233" s="34"/>
      <c r="F1233" s="34"/>
      <c r="J1233" s="25"/>
      <c r="K1233" s="25"/>
      <c r="L1233" s="25"/>
      <c r="M1233" s="25"/>
      <c r="N1233" s="25"/>
      <c r="O1233" s="25"/>
    </row>
    <row r="1234" customFormat="false" ht="13.5" hidden="false" customHeight="true" outlineLevel="0" collapsed="false">
      <c r="B1234" s="10"/>
      <c r="C1234" s="10"/>
      <c r="D1234" s="10"/>
      <c r="E1234" s="10"/>
      <c r="F1234" s="10"/>
      <c r="J1234" s="25"/>
      <c r="K1234" s="25"/>
      <c r="L1234" s="25"/>
      <c r="M1234" s="25"/>
      <c r="N1234" s="25"/>
      <c r="O1234" s="25"/>
    </row>
    <row r="1235" customFormat="false" ht="15" hidden="false" customHeight="false" outlineLevel="0" collapsed="false">
      <c r="B1235" s="10" t="str">
        <f aca="false">$K$1217&amp;","</f>
        <v>Madame, Monsieur,</v>
      </c>
      <c r="C1235" s="10"/>
      <c r="D1235" s="10"/>
      <c r="E1235" s="10"/>
      <c r="F1235" s="10"/>
      <c r="J1235" s="25"/>
      <c r="K1235" s="25"/>
      <c r="L1235" s="25"/>
      <c r="M1235" s="25"/>
      <c r="N1235" s="25"/>
      <c r="O1235" s="25"/>
    </row>
    <row r="1236" customFormat="false" ht="6" hidden="false" customHeight="true" outlineLevel="0" collapsed="false">
      <c r="B1236" s="10"/>
      <c r="C1236" s="10"/>
      <c r="D1236" s="10"/>
      <c r="E1236" s="10"/>
      <c r="F1236" s="10"/>
      <c r="J1236" s="25"/>
      <c r="K1236" s="25"/>
      <c r="L1236" s="25"/>
      <c r="M1236" s="25"/>
      <c r="N1236" s="25"/>
      <c r="O1236" s="25"/>
    </row>
    <row r="1237" customFormat="false" ht="36.75" hidden="false" customHeight="true" outlineLevel="0" collapsed="false">
      <c r="B1237" s="37" t="str">
        <f aca="false">SUBSTITUTE(SUBSTITUTE(SUBSTITUTE(SUBSTITUTE(SUBSTITUTE(Txt_P1,"{cabinet}",Cab_Nom),"{societe}",IF($K$1216=0,"",INDEX(Clients!$E$2:$E$501,$K$1216)&amp;"")),"{date_effet}",$K$1218),"{hausse}",$K$1219),"{civilite}",$K$1217)</f>
        <v>Nous tenons tout d'abord à vous remercier pour la confiance que vous accordez à ALTHO EXPERTISE. Comme chaque année, et conformément aux dispositions de votre lettre de mission, nous procédons à la révision de nos honoraires.</v>
      </c>
      <c r="C1237" s="37"/>
      <c r="D1237" s="37"/>
      <c r="E1237" s="37"/>
      <c r="F1237" s="37"/>
      <c r="J1237" s="25"/>
      <c r="K1237" s="25"/>
      <c r="L1237" s="25"/>
      <c r="M1237" s="25"/>
      <c r="N1237" s="25"/>
      <c r="O1237" s="25"/>
    </row>
    <row r="1238" customFormat="false" ht="49.5" hidden="false" customHeight="true" outlineLevel="0" collapsed="false">
      <c r="B1238" s="37" t="str">
        <f aca="false">SUBSTITUTE(SUBSTITUTE(SUBSTITUTE(SUBSTITUTE(SUBSTITUTE(Txt_P2,"{cabinet}",Cab_Nom),"{societe}",IF($K$1216=0,"",INDEX(Clients!$E$2:$E$501,$K$1216)&amp;"")),"{date_effet}",$K$1218),"{hausse}",$K$1219),"{civilite}",$K$1217)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38" s="37"/>
      <c r="D1238" s="37"/>
      <c r="E1238" s="37"/>
      <c r="F1238" s="37"/>
      <c r="J1238" s="25"/>
      <c r="K1238" s="25"/>
      <c r="L1238" s="25"/>
      <c r="M1238" s="25"/>
      <c r="N1238" s="25"/>
      <c r="O1238" s="25"/>
    </row>
    <row r="1239" customFormat="false" ht="63" hidden="false" customHeight="true" outlineLevel="0" collapsed="false">
      <c r="B1239" s="37" t="str">
        <f aca="false">SUBSTITUTE(SUBSTITUTE(SUBSTITUTE(SUBSTITUTE(SUBSTITUTE(Txt_P3,"{cabinet}",Cab_Nom),"{societe}",IF($K$1216=0,"",INDEX(Clients!$E$2:$E$501,$K$1216)&amp;"")),"{date_effet}",$K$1218),"{hausse}",$K$1219),"{civilite}",$K$1217)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39" s="37"/>
      <c r="D1239" s="37"/>
      <c r="E1239" s="37"/>
      <c r="F1239" s="37"/>
      <c r="J1239" s="25"/>
      <c r="K1239" s="25"/>
      <c r="L1239" s="25"/>
      <c r="M1239" s="25"/>
      <c r="N1239" s="25"/>
      <c r="O1239" s="25"/>
    </row>
    <row r="1240" customFormat="false" ht="24" hidden="false" customHeight="true" outlineLevel="0" collapsed="false">
      <c r="B1240" s="37" t="str">
        <f aca="false">SUBSTITUTE(SUBSTITUTE(SUBSTITUTE(SUBSTITUTE(SUBSTITUTE(Txt_P4,"{cabinet}",Cab_Nom),"{societe}",IF($K$1216=0,"",INDEX(Clients!$E$2:$E$501,$K$1216)&amp;"")),"{date_effet}",$K$1218),"{hausse}",$K$1219),"{civilite}",$K$1217)</f>
        <v>À compter du 1er janvier 2027, vos honoraires annuels hors taxes évolueront ainsi (évolution globale : ) :</v>
      </c>
      <c r="C1240" s="37"/>
      <c r="D1240" s="37"/>
      <c r="E1240" s="37"/>
      <c r="F1240" s="37"/>
      <c r="J1240" s="25"/>
      <c r="K1240" s="25"/>
      <c r="L1240" s="25"/>
      <c r="M1240" s="25"/>
      <c r="N1240" s="25"/>
      <c r="O1240" s="25"/>
    </row>
    <row r="1241" customFormat="false" ht="3.75" hidden="false" customHeight="true" outlineLevel="0" collapsed="false">
      <c r="B1241" s="10"/>
      <c r="C1241" s="10"/>
      <c r="D1241" s="10"/>
      <c r="E1241" s="10"/>
      <c r="F1241" s="10"/>
      <c r="J1241" s="25"/>
      <c r="K1241" s="25"/>
      <c r="L1241" s="25"/>
      <c r="M1241" s="25"/>
      <c r="N1241" s="25"/>
      <c r="O1241" s="25"/>
    </row>
    <row r="1242" customFormat="false" ht="18" hidden="false" customHeight="true" outlineLevel="0" collapsed="false">
      <c r="B1242" s="38" t="s">
        <v>148</v>
      </c>
      <c r="C1242" s="39" t="s">
        <v>149</v>
      </c>
      <c r="D1242" s="39" t="s">
        <v>150</v>
      </c>
      <c r="E1242" s="39" t="s">
        <v>151</v>
      </c>
      <c r="F1242" s="39" t="s">
        <v>109</v>
      </c>
      <c r="J1242" s="25" t="s">
        <v>152</v>
      </c>
      <c r="K1242" s="25" t="s">
        <v>153</v>
      </c>
      <c r="L1242" s="25" t="s">
        <v>154</v>
      </c>
      <c r="M1242" s="25" t="s">
        <v>155</v>
      </c>
      <c r="N1242" s="25" t="s">
        <v>156</v>
      </c>
      <c r="O1242" s="25" t="s">
        <v>157</v>
      </c>
    </row>
    <row r="1243" customFormat="false" ht="16.5" hidden="false" customHeight="true" outlineLevel="0" collapsed="false">
      <c r="B1243" s="40" t="str">
        <f aca="false">IFERROR(INDEX($J$1243:$J$1246,MATCH($O1243,$N$1243:$N$1246,0)),"")</f>
        <v/>
      </c>
      <c r="C1243" s="41" t="str">
        <f aca="false">IFERROR(INDEX($K$1243:$K$1246,MATCH($O1243,$N$1243:$N$1246,0)),"")</f>
        <v/>
      </c>
      <c r="D1243" s="42" t="str">
        <f aca="false">IF(OR(E1243="",N(C1243)=0),"",E1243/C1243-1)</f>
        <v/>
      </c>
      <c r="E1243" s="41" t="str">
        <f aca="false">IFERROR(INDEX($L$1243:$L$1246,MATCH($O1243,$N$1243:$N$1246,0)),"")</f>
        <v/>
      </c>
      <c r="F1243" s="41" t="str">
        <f aca="false">IF(E1243="","",E1243-C1243)</f>
        <v/>
      </c>
      <c r="J1243" s="25" t="str">
        <f aca="false">Lib_Compta</f>
        <v>Mission comptable (tenue, révision, bilan, liasse fiscale)</v>
      </c>
      <c r="K1243" s="25" t="n">
        <f aca="false">IF($K$1216=0,0,N(INDEX(Clients!$K$2:$K$501,$K$1216)))</f>
        <v>0</v>
      </c>
      <c r="L1243" s="25" t="n">
        <f aca="false">IF($K$1216=0,0,N(INDEX(Clients!$P$2:$P$501,$K$1216)))</f>
        <v>0</v>
      </c>
      <c r="M1243" s="25" t="n">
        <f aca="false">IF(OR(K1243&lt;&gt;0,L1243&lt;&gt;0),1,0)</f>
        <v>0</v>
      </c>
      <c r="N1243" s="25" t="str">
        <f aca="false">IF(M1243=1,SUM($M$1243:M1243),"")</f>
        <v/>
      </c>
      <c r="O1243" s="25" t="n">
        <v>1</v>
      </c>
    </row>
    <row r="1244" customFormat="false" ht="16.5" hidden="false" customHeight="true" outlineLevel="0" collapsed="false">
      <c r="B1244" s="40" t="str">
        <f aca="false">IFERROR(INDEX($J$1243:$J$1246,MATCH($O1244,$N$1243:$N$1246,0)),"")</f>
        <v/>
      </c>
      <c r="C1244" s="41" t="str">
        <f aca="false">IFERROR(INDEX($K$1243:$K$1246,MATCH($O1244,$N$1243:$N$1246,0)),"")</f>
        <v/>
      </c>
      <c r="D1244" s="42" t="str">
        <f aca="false">IF(OR(E1244="",N(C1244)=0),"",E1244/C1244-1)</f>
        <v/>
      </c>
      <c r="E1244" s="41" t="str">
        <f aca="false">IFERROR(INDEX($L$1243:$L$1246,MATCH($O1244,$N$1243:$N$1246,0)),"")</f>
        <v/>
      </c>
      <c r="F1244" s="41" t="str">
        <f aca="false">IF(E1244="","",E1244-C1244)</f>
        <v/>
      </c>
      <c r="J1244" s="25" t="str">
        <f aca="false">Lib_Paye</f>
        <v>Mission sociale (bulletins de paie, DSN, déclarations sociales)</v>
      </c>
      <c r="K1244" s="25" t="n">
        <f aca="false">IF($K$1216=0,0,N(INDEX(Clients!$L$2:$L$501,$K$1216)))</f>
        <v>0</v>
      </c>
      <c r="L1244" s="25" t="n">
        <f aca="false">IF($K$1216=0,0,N(INDEX(Clients!$Q$2:$Q$501,$K$1216)))</f>
        <v>0</v>
      </c>
      <c r="M1244" s="25" t="n">
        <f aca="false">IF(OR(K1244&lt;&gt;0,L1244&lt;&gt;0),1,0)</f>
        <v>0</v>
      </c>
      <c r="N1244" s="25" t="str">
        <f aca="false">IF(M1244=1,SUM($M$1243:M1244),"")</f>
        <v/>
      </c>
      <c r="O1244" s="25" t="n">
        <v>2</v>
      </c>
    </row>
    <row r="1245" customFormat="false" ht="16.5" hidden="false" customHeight="true" outlineLevel="0" collapsed="false">
      <c r="B1245" s="40" t="str">
        <f aca="false">IFERROR(INDEX($J$1243:$J$1246,MATCH($O1245,$N$1243:$N$1246,0)),"")</f>
        <v/>
      </c>
      <c r="C1245" s="41" t="str">
        <f aca="false">IFERROR(INDEX($K$1243:$K$1246,MATCH($O1245,$N$1243:$N$1246,0)),"")</f>
        <v/>
      </c>
      <c r="D1245" s="42" t="str">
        <f aca="false">IF(OR(E1245="",N(C1245)=0),"",E1245/C1245-1)</f>
        <v/>
      </c>
      <c r="E1245" s="41" t="str">
        <f aca="false">IFERROR(INDEX($L$1243:$L$1246,MATCH($O1245,$N$1243:$N$1246,0)),"")</f>
        <v/>
      </c>
      <c r="F1245" s="41" t="str">
        <f aca="false">IF(E1245="","",E1245-C1245)</f>
        <v/>
      </c>
      <c r="J1245" s="25" t="str">
        <f aca="false">Lib_Jur</f>
        <v>Mission juridique (approbation des comptes, secrétariat juridique)</v>
      </c>
      <c r="K1245" s="25" t="n">
        <f aca="false">IF($K$1216=0,0,N(INDEX(Clients!$M$2:$M$501,$K$1216)))</f>
        <v>0</v>
      </c>
      <c r="L1245" s="25" t="n">
        <f aca="false">IF($K$1216=0,0,N(INDEX(Clients!$R$2:$R$501,$K$1216)))</f>
        <v>0</v>
      </c>
      <c r="M1245" s="25" t="n">
        <f aca="false">IF(OR(K1245&lt;&gt;0,L1245&lt;&gt;0),1,0)</f>
        <v>0</v>
      </c>
      <c r="N1245" s="25" t="str">
        <f aca="false">IF(M1245=1,SUM($M$1243:M1245),"")</f>
        <v/>
      </c>
      <c r="O1245" s="25" t="n">
        <v>3</v>
      </c>
    </row>
    <row r="1246" customFormat="false" ht="16.5" hidden="false" customHeight="true" outlineLevel="0" collapsed="false">
      <c r="B1246" s="40" t="str">
        <f aca="false">IFERROR(INDEX($J$1243:$J$1246,MATCH($O1246,$N$1243:$N$1246,0)),"")</f>
        <v/>
      </c>
      <c r="C1246" s="41" t="str">
        <f aca="false">IFERROR(INDEX($K$1243:$K$1246,MATCH($O1246,$N$1243:$N$1246,0)),"")</f>
        <v/>
      </c>
      <c r="D1246" s="42" t="str">
        <f aca="false">IF(OR(E1246="",N(C1246)=0),"",E1246/C1246-1)</f>
        <v/>
      </c>
      <c r="E1246" s="41" t="str">
        <f aca="false">IFERROR(INDEX($L$1243:$L$1246,MATCH($O1246,$N$1243:$N$1246,0)),"")</f>
        <v/>
      </c>
      <c r="F1246" s="41" t="str">
        <f aca="false">IF(E1246="","",E1246-C1246)</f>
        <v/>
      </c>
      <c r="J1246" s="25" t="str">
        <f aca="false">Lib_PA</f>
        <v>Plateforme agréée – facturation électronique</v>
      </c>
      <c r="K1246" s="25" t="n">
        <f aca="false">IF($K$1216=0,0,N(INDEX(Clients!$N$2:$N$501,$K$1216)))</f>
        <v>0</v>
      </c>
      <c r="L1246" s="25" t="n">
        <f aca="false">IF($K$1216=0,0,N(INDEX(Clients!$S$2:$S$501,$K$1216)))</f>
        <v>0</v>
      </c>
      <c r="M1246" s="25" t="n">
        <f aca="false">IF(OR(K1246&lt;&gt;0,L1246&lt;&gt;0),1,0)</f>
        <v>0</v>
      </c>
      <c r="N1246" s="25" t="str">
        <f aca="false">IF(M1246=1,SUM($M$1243:M1246),"")</f>
        <v/>
      </c>
      <c r="O1246" s="25" t="n">
        <v>4</v>
      </c>
    </row>
    <row r="1247" customFormat="false" ht="18" hidden="false" customHeight="true" outlineLevel="0" collapsed="false">
      <c r="B1247" s="43" t="s">
        <v>158</v>
      </c>
      <c r="C1247" s="44" t="n">
        <f aca="false">SUM(K1243:K1246)</f>
        <v>0</v>
      </c>
      <c r="D1247" s="45" t="str">
        <f aca="false">IF(N(C1247)=0,"",E1247/C1247-1)</f>
        <v/>
      </c>
      <c r="E1247" s="44" t="n">
        <f aca="false">SUM(L1243:L1246)</f>
        <v>0</v>
      </c>
      <c r="F1247" s="44" t="n">
        <f aca="false">E1247-C1247</f>
        <v>0</v>
      </c>
    </row>
    <row r="1248" customFormat="false" ht="15" hidden="false" customHeight="false" outlineLevel="0" collapsed="false">
      <c r="B1248" s="46" t="str">
        <f aca="false">IF(N(Nb_Mensualites)=0,"","Soit "&amp;FIXED(E1247/Nb_Mensualites,2)&amp;" € HT par échéance ("&amp;Nb_Mensualites&amp;" échéances), "&amp;FIXED(E1247/Nb_Mensualites*(1+Taux_TVA),2)&amp;" € TTC.")</f>
        <v>Soit 0.00 € HT par échéance (12 échéances), 0.00 € TTC.</v>
      </c>
      <c r="C1248" s="46"/>
      <c r="D1248" s="46"/>
      <c r="E1248" s="46"/>
      <c r="F1248" s="46"/>
    </row>
    <row r="1249" customFormat="false" ht="7.5" hidden="false" customHeight="true" outlineLevel="0" collapsed="false">
      <c r="B1249" s="10"/>
      <c r="C1249" s="10"/>
      <c r="D1249" s="10"/>
      <c r="E1249" s="10"/>
      <c r="F1249" s="10"/>
    </row>
    <row r="1250" customFormat="false" ht="36.75" hidden="false" customHeight="true" outlineLevel="0" collapsed="false">
      <c r="B1250" s="37" t="str">
        <f aca="false">SUBSTITUTE(SUBSTITUTE(SUBSTITUTE(SUBSTITUTE(SUBSTITUTE(Txt_P5,"{cabinet}",Cab_Nom),"{societe}",IF($K$1216=0,"",INDEX(Clients!$E$2:$E$501,$K$1216)&amp;"")),"{date_effet}",$K$1218),"{hausse}",$K$1219),"{civilite}",$K$1217)</f>
        <v>Les autres conditions de votre lettre de mission demeurent inchangées. Les nouveaux montants seront appliqués automatiquement sur vos prochaines factures et échéances de prélèvement.</v>
      </c>
      <c r="C1250" s="37"/>
      <c r="D1250" s="37"/>
      <c r="E1250" s="37"/>
      <c r="F1250" s="37"/>
    </row>
    <row r="1251" customFormat="false" ht="36.75" hidden="false" customHeight="true" outlineLevel="0" collapsed="false">
      <c r="B1251" s="37" t="str">
        <f aca="false">SUBSTITUTE(SUBSTITUTE(SUBSTITUTE(SUBSTITUTE(SUBSTITUTE(Txt_P6,"{cabinet}",Cab_Nom),"{societe}",IF($K$1216=0,"",INDEX(Clients!$E$2:$E$501,$K$1216)&amp;"")),"{date_effet}",$K$1218),"{hausse}",$K$1219),"{civilite}",$K$1217)</f>
        <v>Votre interlocuteur habituel reste à votre entière disposition pour répondre à vos questions et faire le point sur l'évolution de vos besoins.</v>
      </c>
      <c r="C1251" s="37"/>
      <c r="D1251" s="37"/>
      <c r="E1251" s="37"/>
      <c r="F1251" s="37"/>
    </row>
    <row r="1252" customFormat="false" ht="24" hidden="false" customHeight="true" outlineLevel="0" collapsed="false">
      <c r="B1252" s="37" t="str">
        <f aca="false">SUBSTITUTE(SUBSTITUTE(SUBSTITUTE(SUBSTITUTE(SUBSTITUTE(Txt_Politesse,"{cabinet}",Cab_Nom),"{societe}",IF($K$1216=0,"",INDEX(Clients!$E$2:$E$501,$K$1216)&amp;"")),"{date_effet}",$K$1218),"{hausse}",$K$1219),"{civilite}",$K$1217)</f>
        <v>Nous vous prions d'agréer, Madame, Monsieur, l'expression de nos salutations distinguées.</v>
      </c>
      <c r="C1252" s="37"/>
      <c r="D1252" s="37"/>
      <c r="E1252" s="37"/>
      <c r="F1252" s="37"/>
    </row>
    <row r="1253" customFormat="false" ht="15" hidden="false" customHeight="false" outlineLevel="0" collapsed="false">
      <c r="B1253" s="10"/>
      <c r="C1253" s="10"/>
      <c r="D1253" s="10"/>
      <c r="E1253" s="10"/>
      <c r="F1253" s="10"/>
    </row>
    <row r="1254" customFormat="false" ht="15" hidden="false" customHeight="false" outlineLevel="0" collapsed="false">
      <c r="B1254" s="10"/>
      <c r="C1254" s="10"/>
      <c r="D1254" s="34" t="str">
        <f aca="false">Signataire</f>
        <v>Prénom NOM</v>
      </c>
      <c r="E1254" s="34"/>
      <c r="F1254" s="34"/>
    </row>
    <row r="1255" customFormat="false" ht="15" hidden="false" customHeight="false" outlineLevel="0" collapsed="false">
      <c r="B1255" s="10"/>
      <c r="C1255" s="10"/>
      <c r="D1255" s="47" t="str">
        <f aca="false">Signataire_Titre</f>
        <v>Expert-comptable associé</v>
      </c>
      <c r="E1255" s="47"/>
      <c r="F1255" s="47"/>
    </row>
    <row r="1256" customFormat="false" ht="15.75" hidden="false" customHeight="true" outlineLevel="0" collapsed="false">
      <c r="B1256" s="10"/>
      <c r="C1256" s="10"/>
      <c r="D1256" s="10"/>
      <c r="E1256" s="10"/>
      <c r="F1256" s="10"/>
    </row>
    <row r="1257" customFormat="false" ht="15.75" hidden="false" customHeight="true" outlineLevel="0" collapsed="false">
      <c r="B1257" s="10"/>
      <c r="C1257" s="10"/>
      <c r="D1257" s="10"/>
      <c r="E1257" s="10"/>
      <c r="F1257" s="10"/>
    </row>
    <row r="1258" customFormat="false" ht="15.75" hidden="false" customHeight="true" outlineLevel="0" collapsed="false">
      <c r="B1258" s="10"/>
      <c r="C1258" s="10"/>
      <c r="D1258" s="10"/>
      <c r="E1258" s="10"/>
      <c r="F1258" s="10"/>
    </row>
    <row r="1259" customFormat="false" ht="15.75" hidden="false" customHeight="true" outlineLevel="0" collapsed="false">
      <c r="B1259" s="10"/>
      <c r="C1259" s="10"/>
      <c r="D1259" s="10"/>
      <c r="E1259" s="10"/>
      <c r="F1259" s="10"/>
    </row>
    <row r="1260" customFormat="false" ht="24" hidden="false" customHeight="true" outlineLevel="0" collapsed="false">
      <c r="B1260" s="48" t="str">
        <f aca="false">Cab_Mentions</f>
        <v>ALTHO EXPERTISE · SAS au capital de 10 000 € · RCS Pontoise 919 706 325 · TVA FR62919706325 · Société d'expertise comptable inscrite au Tableau de l'Ordre des experts-comptables de Paris Île-de-France</v>
      </c>
      <c r="C1260" s="48"/>
      <c r="D1260" s="48"/>
      <c r="E1260" s="48"/>
      <c r="F1260" s="48"/>
    </row>
    <row r="1261" customFormat="false" ht="15" hidden="false" customHeight="false" outlineLevel="0" collapsed="false">
      <c r="B1261" s="10"/>
      <c r="C1261" s="10"/>
      <c r="D1261" s="10"/>
      <c r="E1261" s="10"/>
      <c r="F1261" s="10"/>
      <c r="J1261" s="25" t="s">
        <v>142</v>
      </c>
      <c r="K1261" s="25" t="n">
        <f aca="false">IFERROR(MATCH(29,Clients!$Z$2:$Z$501,0),0)</f>
        <v>0</v>
      </c>
      <c r="L1261" s="25"/>
      <c r="M1261" s="25"/>
      <c r="N1261" s="25"/>
      <c r="O1261" s="25"/>
    </row>
    <row r="1262" customFormat="false" ht="21.75" hidden="false" customHeight="true" outlineLevel="0" collapsed="false">
      <c r="B1262" s="26" t="str">
        <f aca="false">Cab_Nom</f>
        <v>ALTHO EXPERTISE</v>
      </c>
      <c r="C1262" s="26"/>
      <c r="D1262" s="10"/>
      <c r="E1262" s="27" t="str">
        <f aca="false">IF($K$1261=0,"","Réf. client : "&amp;INDEX(Clients!$A$2:$A$501,$K$1261))</f>
        <v/>
      </c>
      <c r="F1262" s="27"/>
      <c r="J1262" s="25" t="s">
        <v>144</v>
      </c>
      <c r="K1262" s="25" t="str">
        <f aca="false">IF(IF($K$1261=0,"",INDEX(Clients!$B$2:$B$501,$K$1261)&amp;"")="Mme","Madame",IF(IF($K$1261=0,"",INDEX(Clients!$B$2:$B$501,$K$1261)&amp;"")="M.","Monsieur","Madame, Monsieur"))</f>
        <v>Madame, Monsieur</v>
      </c>
      <c r="L1262" s="25"/>
      <c r="M1262" s="25"/>
      <c r="N1262" s="25"/>
      <c r="O1262" s="25"/>
    </row>
    <row r="1263" customFormat="false" ht="15" hidden="false" customHeight="false" outlineLevel="0" collapsed="false">
      <c r="B1263" s="29" t="str">
        <f aca="false">Cab_Adr1</f>
        <v>141 rue Charles de Gaulle</v>
      </c>
      <c r="C1263" s="29"/>
      <c r="D1263" s="10"/>
      <c r="E1263" s="10"/>
      <c r="F1263" s="10"/>
      <c r="J1263" s="25" t="s">
        <v>145</v>
      </c>
      <c r="K1263" s="25" t="str">
        <f aca="false">DAY(Date_Effet)&amp;IF(DAY(Date_Effet)=1,"er","")&amp;" "&amp;INDEX(Liste_Mois,MONTH(Date_Effet))&amp;" "&amp;YEAR(Date_Effet)</f>
        <v>1er janvier 2027</v>
      </c>
      <c r="L1263" s="25"/>
      <c r="M1263" s="25"/>
      <c r="N1263" s="25"/>
      <c r="O1263" s="25"/>
    </row>
    <row r="1264" customFormat="false" ht="15" hidden="false" customHeight="false" outlineLevel="0" collapsed="false">
      <c r="B1264" s="29" t="str">
        <f aca="false">Cab_CPVille</f>
        <v>95130 LE PLESSIS-BOUCHARD</v>
      </c>
      <c r="C1264" s="29"/>
      <c r="D1264" s="10"/>
      <c r="E1264" s="10"/>
      <c r="F1264" s="10"/>
      <c r="J1264" s="25" t="s">
        <v>146</v>
      </c>
      <c r="K1264" s="25" t="str">
        <f aca="false">IF(SUM($K$1288:$K$1291)=0,"",FIXED((SUM($L$1288:$L$1291)/SUM($K$1288:$K$1291)-1)*100,1)&amp;" %")</f>
        <v/>
      </c>
      <c r="L1264" s="25"/>
      <c r="M1264" s="25"/>
      <c r="N1264" s="25"/>
      <c r="O1264" s="25"/>
    </row>
    <row r="1265" customFormat="false" ht="15" hidden="false" customHeight="false" outlineLevel="0" collapsed="false">
      <c r="B1265" s="29" t="str">
        <f aca="false">Cab_Contact</f>
        <v>Tél. 01 34 14 53 45  ·  altho@altho-experts.com  ·  altho-experts.com</v>
      </c>
      <c r="C1265" s="29"/>
      <c r="D1265" s="10"/>
      <c r="E1265" s="10"/>
      <c r="F1265" s="10"/>
      <c r="J1265" s="25"/>
      <c r="K1265" s="25"/>
      <c r="L1265" s="25"/>
      <c r="M1265" s="25"/>
      <c r="N1265" s="25"/>
      <c r="O1265" s="25"/>
    </row>
    <row r="1266" customFormat="false" ht="6" hidden="false" customHeight="true" outlineLevel="0" collapsed="false">
      <c r="B1266" s="32"/>
      <c r="C1266" s="32"/>
      <c r="D1266" s="32"/>
      <c r="E1266" s="32"/>
      <c r="F1266" s="32"/>
      <c r="J1266" s="25"/>
      <c r="K1266" s="25"/>
      <c r="L1266" s="25"/>
      <c r="M1266" s="25"/>
      <c r="N1266" s="25"/>
      <c r="O1266" s="25"/>
    </row>
    <row r="1267" customFormat="false" ht="13.5" hidden="false" customHeight="true" outlineLevel="0" collapsed="false">
      <c r="B1267" s="10"/>
      <c r="C1267" s="10"/>
      <c r="D1267" s="10"/>
      <c r="E1267" s="10"/>
      <c r="F1267" s="10"/>
      <c r="J1267" s="25"/>
      <c r="K1267" s="25"/>
      <c r="L1267" s="25"/>
      <c r="M1267" s="25"/>
      <c r="N1267" s="25"/>
      <c r="O1267" s="25"/>
    </row>
    <row r="1268" customFormat="false" ht="13.5" hidden="false" customHeight="true" outlineLevel="0" collapsed="false">
      <c r="B1268" s="10"/>
      <c r="C1268" s="10"/>
      <c r="D1268" s="10"/>
      <c r="E1268" s="10"/>
      <c r="F1268" s="10"/>
      <c r="J1268" s="25"/>
      <c r="K1268" s="25"/>
      <c r="L1268" s="25"/>
      <c r="M1268" s="25"/>
      <c r="N1268" s="25"/>
      <c r="O1268" s="25"/>
    </row>
    <row r="1269" customFormat="false" ht="13.5" hidden="false" customHeight="true" outlineLevel="0" collapsed="false">
      <c r="B1269" s="10"/>
      <c r="C1269" s="10"/>
      <c r="D1269" s="10"/>
      <c r="E1269" s="10"/>
      <c r="F1269" s="10"/>
      <c r="J1269" s="25"/>
      <c r="K1269" s="25"/>
      <c r="L1269" s="25"/>
      <c r="M1269" s="25"/>
      <c r="N1269" s="25"/>
      <c r="O1269" s="25"/>
    </row>
    <row r="1270" customFormat="false" ht="15" hidden="false" customHeight="true" outlineLevel="0" collapsed="false">
      <c r="B1270" s="10"/>
      <c r="C1270" s="10"/>
      <c r="D1270" s="34" t="str">
        <f aca="false">IF($K$1261=0,"",INDEX(Clients!$E$2:$E$501,$K$1261)&amp;"")</f>
        <v/>
      </c>
      <c r="E1270" s="34"/>
      <c r="F1270" s="34"/>
      <c r="J1270" s="25"/>
      <c r="K1270" s="25"/>
      <c r="L1270" s="25"/>
      <c r="M1270" s="25"/>
      <c r="N1270" s="25"/>
      <c r="O1270" s="25"/>
    </row>
    <row r="1271" customFormat="false" ht="15" hidden="false" customHeight="true" outlineLevel="0" collapsed="false">
      <c r="B1271" s="10"/>
      <c r="C1271" s="10"/>
      <c r="D1271" s="35" t="str">
        <f aca="false">IF(IF($K$1261=0,"",INDEX(Clients!$D$2:$D$501,$K$1261)&amp;"")="","","À l'attention de "&amp;TRIM(IF($K$1261=0,"",INDEX(Clients!$B$2:$B$501,$K$1261)&amp;"")&amp;" "&amp;IF($K$1261=0,"",INDEX(Clients!$C$2:$C$501,$K$1261)&amp;"")&amp;" "&amp;IF($K$1261=0,"",INDEX(Clients!$D$2:$D$501,$K$1261)&amp;"")))</f>
        <v/>
      </c>
      <c r="E1271" s="35"/>
      <c r="F1271" s="35"/>
      <c r="J1271" s="25"/>
      <c r="K1271" s="25"/>
      <c r="L1271" s="25"/>
      <c r="M1271" s="25"/>
      <c r="N1271" s="25"/>
      <c r="O1271" s="25"/>
    </row>
    <row r="1272" customFormat="false" ht="15" hidden="false" customHeight="true" outlineLevel="0" collapsed="false">
      <c r="B1272" s="10"/>
      <c r="C1272" s="10"/>
      <c r="D1272" s="35" t="str">
        <f aca="false">IF($K$1261=0,"",INDEX(Clients!$F$2:$F$501,$K$1261)&amp;"")</f>
        <v/>
      </c>
      <c r="E1272" s="35"/>
      <c r="F1272" s="35"/>
      <c r="J1272" s="25"/>
      <c r="K1272" s="25"/>
      <c r="L1272" s="25"/>
      <c r="M1272" s="25"/>
      <c r="N1272" s="25"/>
      <c r="O1272" s="25"/>
    </row>
    <row r="1273" customFormat="false" ht="15" hidden="false" customHeight="true" outlineLevel="0" collapsed="false">
      <c r="B1273" s="10"/>
      <c r="C1273" s="10"/>
      <c r="D1273" s="35" t="str">
        <f aca="false">IF(IF($K$1261=0,"",INDEX(Clients!$G$2:$G$501,$K$1261)&amp;"")="",TRIM(IF($K$1261=0,"",INDEX(Clients!$H$2:$H$501,$K$1261)&amp;"")&amp;" "&amp;UPPER(IF($K$1261=0,"",INDEX(Clients!$I$2:$I$501,$K$1261)&amp;""))),IF($K$1261=0,"",INDEX(Clients!$G$2:$G$501,$K$1261)&amp;""))</f>
        <v/>
      </c>
      <c r="E1273" s="35"/>
      <c r="F1273" s="35"/>
      <c r="J1273" s="25"/>
      <c r="K1273" s="25"/>
      <c r="L1273" s="25"/>
      <c r="M1273" s="25"/>
      <c r="N1273" s="25"/>
      <c r="O1273" s="25"/>
    </row>
    <row r="1274" customFormat="false" ht="15" hidden="false" customHeight="true" outlineLevel="0" collapsed="false">
      <c r="B1274" s="10"/>
      <c r="C1274" s="10"/>
      <c r="D1274" s="35" t="str">
        <f aca="false">IF(IF($K$1261=0,"",INDEX(Clients!$G$2:$G$501,$K$1261)&amp;"")="","",TRIM(IF($K$1261=0,"",INDEX(Clients!$H$2:$H$501,$K$1261)&amp;"")&amp;" "&amp;UPPER(IF($K$1261=0,"",INDEX(Clients!$I$2:$I$501,$K$1261)&amp;""))))</f>
        <v/>
      </c>
      <c r="E1274" s="35"/>
      <c r="F1274" s="35"/>
      <c r="J1274" s="25"/>
      <c r="K1274" s="25"/>
      <c r="L1274" s="25"/>
      <c r="M1274" s="25"/>
      <c r="N1274" s="25"/>
      <c r="O1274" s="25"/>
    </row>
    <row r="1275" customFormat="false" ht="25.5" hidden="false" customHeight="true" outlineLevel="0" collapsed="false">
      <c r="B1275" s="10"/>
      <c r="C1275" s="10"/>
      <c r="D1275" s="10"/>
      <c r="E1275" s="10"/>
      <c r="F1275" s="10"/>
      <c r="J1275" s="25"/>
      <c r="K1275" s="25"/>
      <c r="L1275" s="25"/>
      <c r="M1275" s="25"/>
      <c r="N1275" s="25"/>
      <c r="O1275" s="25"/>
    </row>
    <row r="1276" customFormat="false" ht="15" hidden="false" customHeight="false" outlineLevel="0" collapsed="false">
      <c r="B1276" s="10"/>
      <c r="C1276" s="10"/>
      <c r="D1276" s="36" t="str">
        <f aca="false">Cab_Ville&amp;", le "&amp;DAY(Date_Courrier)&amp;IF(DAY(Date_Courrier)=1,"er","")&amp;" "&amp;INDEX(Liste_Mois,MONTH(Date_Courrier))&amp;" "&amp;YEAR(Date_Courrier)</f>
        <v>Le Plessis-Bouchard, le 22 septembre 2026</v>
      </c>
      <c r="E1276" s="36"/>
      <c r="F1276" s="36"/>
      <c r="J1276" s="25"/>
      <c r="K1276" s="25"/>
      <c r="L1276" s="25"/>
      <c r="M1276" s="25"/>
      <c r="N1276" s="25"/>
      <c r="O1276" s="25"/>
    </row>
    <row r="1277" customFormat="false" ht="19.5" hidden="false" customHeight="true" outlineLevel="0" collapsed="false">
      <c r="B1277" s="10"/>
      <c r="C1277" s="10"/>
      <c r="D1277" s="10"/>
      <c r="E1277" s="10"/>
      <c r="F1277" s="10"/>
      <c r="J1277" s="25"/>
      <c r="K1277" s="25"/>
      <c r="L1277" s="25"/>
      <c r="M1277" s="25"/>
      <c r="N1277" s="25"/>
      <c r="O1277" s="25"/>
    </row>
    <row r="1278" customFormat="false" ht="15" hidden="false" customHeight="false" outlineLevel="0" collapsed="false">
      <c r="B1278" s="34" t="str">
        <f aca="false">SUBSTITUTE(SUBSTITUTE(SUBSTITUTE(SUBSTITUTE(SUBSTITUTE(Txt_Objet,"{cabinet}",Cab_Nom),"{societe}",IF($K$1261=0,"",INDEX(Clients!$E$2:$E$501,$K$1261)&amp;"")),"{date_effet}",$K$1263),"{hausse}",$K$1264),"{civilite}",$K$1262)</f>
        <v>Objet : révision de nos honoraires au 1er janvier 2027</v>
      </c>
      <c r="C1278" s="34"/>
      <c r="D1278" s="34"/>
      <c r="E1278" s="34"/>
      <c r="F1278" s="34"/>
      <c r="J1278" s="25"/>
      <c r="K1278" s="25"/>
      <c r="L1278" s="25"/>
      <c r="M1278" s="25"/>
      <c r="N1278" s="25"/>
      <c r="O1278" s="25"/>
    </row>
    <row r="1279" customFormat="false" ht="13.5" hidden="false" customHeight="true" outlineLevel="0" collapsed="false">
      <c r="B1279" s="10"/>
      <c r="C1279" s="10"/>
      <c r="D1279" s="10"/>
      <c r="E1279" s="10"/>
      <c r="F1279" s="10"/>
      <c r="J1279" s="25"/>
      <c r="K1279" s="25"/>
      <c r="L1279" s="25"/>
      <c r="M1279" s="25"/>
      <c r="N1279" s="25"/>
      <c r="O1279" s="25"/>
    </row>
    <row r="1280" customFormat="false" ht="15" hidden="false" customHeight="false" outlineLevel="0" collapsed="false">
      <c r="B1280" s="10" t="str">
        <f aca="false">$K$1262&amp;","</f>
        <v>Madame, Monsieur,</v>
      </c>
      <c r="C1280" s="10"/>
      <c r="D1280" s="10"/>
      <c r="E1280" s="10"/>
      <c r="F1280" s="10"/>
      <c r="J1280" s="25"/>
      <c r="K1280" s="25"/>
      <c r="L1280" s="25"/>
      <c r="M1280" s="25"/>
      <c r="N1280" s="25"/>
      <c r="O1280" s="25"/>
    </row>
    <row r="1281" customFormat="false" ht="6" hidden="false" customHeight="true" outlineLevel="0" collapsed="false">
      <c r="B1281" s="10"/>
      <c r="C1281" s="10"/>
      <c r="D1281" s="10"/>
      <c r="E1281" s="10"/>
      <c r="F1281" s="10"/>
      <c r="J1281" s="25"/>
      <c r="K1281" s="25"/>
      <c r="L1281" s="25"/>
      <c r="M1281" s="25"/>
      <c r="N1281" s="25"/>
      <c r="O1281" s="25"/>
    </row>
    <row r="1282" customFormat="false" ht="36.75" hidden="false" customHeight="true" outlineLevel="0" collapsed="false">
      <c r="B1282" s="37" t="str">
        <f aca="false">SUBSTITUTE(SUBSTITUTE(SUBSTITUTE(SUBSTITUTE(SUBSTITUTE(Txt_P1,"{cabinet}",Cab_Nom),"{societe}",IF($K$1261=0,"",INDEX(Clients!$E$2:$E$501,$K$1261)&amp;"")),"{date_effet}",$K$1263),"{hausse}",$K$1264),"{civilite}",$K$1262)</f>
        <v>Nous tenons tout d'abord à vous remercier pour la confiance que vous accordez à ALTHO EXPERTISE. Comme chaque année, et conformément aux dispositions de votre lettre de mission, nous procédons à la révision de nos honoraires.</v>
      </c>
      <c r="C1282" s="37"/>
      <c r="D1282" s="37"/>
      <c r="E1282" s="37"/>
      <c r="F1282" s="37"/>
      <c r="J1282" s="25"/>
      <c r="K1282" s="25"/>
      <c r="L1282" s="25"/>
      <c r="M1282" s="25"/>
      <c r="N1282" s="25"/>
      <c r="O1282" s="25"/>
    </row>
    <row r="1283" customFormat="false" ht="49.5" hidden="false" customHeight="true" outlineLevel="0" collapsed="false">
      <c r="B1283" s="37" t="str">
        <f aca="false">SUBSTITUTE(SUBSTITUTE(SUBSTITUTE(SUBSTITUTE(SUBSTITUTE(Txt_P2,"{cabinet}",Cab_Nom),"{societe}",IF($K$1261=0,"",INDEX(Clients!$E$2:$E$501,$K$1261)&amp;"")),"{date_effet}",$K$1263),"{hausse}",$K$1264),"{civilite}",$K$1262)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83" s="37"/>
      <c r="D1283" s="37"/>
      <c r="E1283" s="37"/>
      <c r="F1283" s="37"/>
      <c r="J1283" s="25"/>
      <c r="K1283" s="25"/>
      <c r="L1283" s="25"/>
      <c r="M1283" s="25"/>
      <c r="N1283" s="25"/>
      <c r="O1283" s="25"/>
    </row>
    <row r="1284" customFormat="false" ht="63" hidden="false" customHeight="true" outlineLevel="0" collapsed="false">
      <c r="B1284" s="37" t="str">
        <f aca="false">SUBSTITUTE(SUBSTITUTE(SUBSTITUTE(SUBSTITUTE(SUBSTITUTE(Txt_P3,"{cabinet}",Cab_Nom),"{societe}",IF($K$1261=0,"",INDEX(Clients!$E$2:$E$501,$K$1261)&amp;"")),"{date_effet}",$K$1263),"{hausse}",$K$1264),"{civilite}",$K$1262)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84" s="37"/>
      <c r="D1284" s="37"/>
      <c r="E1284" s="37"/>
      <c r="F1284" s="37"/>
      <c r="J1284" s="25"/>
      <c r="K1284" s="25"/>
      <c r="L1284" s="25"/>
      <c r="M1284" s="25"/>
      <c r="N1284" s="25"/>
      <c r="O1284" s="25"/>
    </row>
    <row r="1285" customFormat="false" ht="24" hidden="false" customHeight="true" outlineLevel="0" collapsed="false">
      <c r="B1285" s="37" t="str">
        <f aca="false">SUBSTITUTE(SUBSTITUTE(SUBSTITUTE(SUBSTITUTE(SUBSTITUTE(Txt_P4,"{cabinet}",Cab_Nom),"{societe}",IF($K$1261=0,"",INDEX(Clients!$E$2:$E$501,$K$1261)&amp;"")),"{date_effet}",$K$1263),"{hausse}",$K$1264),"{civilite}",$K$1262)</f>
        <v>À compter du 1er janvier 2027, vos honoraires annuels hors taxes évolueront ainsi (évolution globale : ) :</v>
      </c>
      <c r="C1285" s="37"/>
      <c r="D1285" s="37"/>
      <c r="E1285" s="37"/>
      <c r="F1285" s="37"/>
      <c r="J1285" s="25"/>
      <c r="K1285" s="25"/>
      <c r="L1285" s="25"/>
      <c r="M1285" s="25"/>
      <c r="N1285" s="25"/>
      <c r="O1285" s="25"/>
    </row>
    <row r="1286" customFormat="false" ht="3.75" hidden="false" customHeight="true" outlineLevel="0" collapsed="false">
      <c r="B1286" s="10"/>
      <c r="C1286" s="10"/>
      <c r="D1286" s="10"/>
      <c r="E1286" s="10"/>
      <c r="F1286" s="10"/>
      <c r="J1286" s="25"/>
      <c r="K1286" s="25"/>
      <c r="L1286" s="25"/>
      <c r="M1286" s="25"/>
      <c r="N1286" s="25"/>
      <c r="O1286" s="25"/>
    </row>
    <row r="1287" customFormat="false" ht="18" hidden="false" customHeight="true" outlineLevel="0" collapsed="false">
      <c r="B1287" s="38" t="s">
        <v>148</v>
      </c>
      <c r="C1287" s="39" t="s">
        <v>149</v>
      </c>
      <c r="D1287" s="39" t="s">
        <v>150</v>
      </c>
      <c r="E1287" s="39" t="s">
        <v>151</v>
      </c>
      <c r="F1287" s="39" t="s">
        <v>109</v>
      </c>
      <c r="J1287" s="25" t="s">
        <v>152</v>
      </c>
      <c r="K1287" s="25" t="s">
        <v>153</v>
      </c>
      <c r="L1287" s="25" t="s">
        <v>154</v>
      </c>
      <c r="M1287" s="25" t="s">
        <v>155</v>
      </c>
      <c r="N1287" s="25" t="s">
        <v>156</v>
      </c>
      <c r="O1287" s="25" t="s">
        <v>157</v>
      </c>
    </row>
    <row r="1288" customFormat="false" ht="16.5" hidden="false" customHeight="true" outlineLevel="0" collapsed="false">
      <c r="B1288" s="40" t="str">
        <f aca="false">IFERROR(INDEX($J$1288:$J$1291,MATCH($O1288,$N$1288:$N$1291,0)),"")</f>
        <v/>
      </c>
      <c r="C1288" s="41" t="str">
        <f aca="false">IFERROR(INDEX($K$1288:$K$1291,MATCH($O1288,$N$1288:$N$1291,0)),"")</f>
        <v/>
      </c>
      <c r="D1288" s="42" t="str">
        <f aca="false">IF(OR(E1288="",N(C1288)=0),"",E1288/C1288-1)</f>
        <v/>
      </c>
      <c r="E1288" s="41" t="str">
        <f aca="false">IFERROR(INDEX($L$1288:$L$1291,MATCH($O1288,$N$1288:$N$1291,0)),"")</f>
        <v/>
      </c>
      <c r="F1288" s="41" t="str">
        <f aca="false">IF(E1288="","",E1288-C1288)</f>
        <v/>
      </c>
      <c r="J1288" s="25" t="str">
        <f aca="false">Lib_Compta</f>
        <v>Mission comptable (tenue, révision, bilan, liasse fiscale)</v>
      </c>
      <c r="K1288" s="25" t="n">
        <f aca="false">IF($K$1261=0,0,N(INDEX(Clients!$K$2:$K$501,$K$1261)))</f>
        <v>0</v>
      </c>
      <c r="L1288" s="25" t="n">
        <f aca="false">IF($K$1261=0,0,N(INDEX(Clients!$P$2:$P$501,$K$1261)))</f>
        <v>0</v>
      </c>
      <c r="M1288" s="25" t="n">
        <f aca="false">IF(OR(K1288&lt;&gt;0,L1288&lt;&gt;0),1,0)</f>
        <v>0</v>
      </c>
      <c r="N1288" s="25" t="str">
        <f aca="false">IF(M1288=1,SUM($M$1288:M1288),"")</f>
        <v/>
      </c>
      <c r="O1288" s="25" t="n">
        <v>1</v>
      </c>
    </row>
    <row r="1289" customFormat="false" ht="16.5" hidden="false" customHeight="true" outlineLevel="0" collapsed="false">
      <c r="B1289" s="40" t="str">
        <f aca="false">IFERROR(INDEX($J$1288:$J$1291,MATCH($O1289,$N$1288:$N$1291,0)),"")</f>
        <v/>
      </c>
      <c r="C1289" s="41" t="str">
        <f aca="false">IFERROR(INDEX($K$1288:$K$1291,MATCH($O1289,$N$1288:$N$1291,0)),"")</f>
        <v/>
      </c>
      <c r="D1289" s="42" t="str">
        <f aca="false">IF(OR(E1289="",N(C1289)=0),"",E1289/C1289-1)</f>
        <v/>
      </c>
      <c r="E1289" s="41" t="str">
        <f aca="false">IFERROR(INDEX($L$1288:$L$1291,MATCH($O1289,$N$1288:$N$1291,0)),"")</f>
        <v/>
      </c>
      <c r="F1289" s="41" t="str">
        <f aca="false">IF(E1289="","",E1289-C1289)</f>
        <v/>
      </c>
      <c r="J1289" s="25" t="str">
        <f aca="false">Lib_Paye</f>
        <v>Mission sociale (bulletins de paie, DSN, déclarations sociales)</v>
      </c>
      <c r="K1289" s="25" t="n">
        <f aca="false">IF($K$1261=0,0,N(INDEX(Clients!$L$2:$L$501,$K$1261)))</f>
        <v>0</v>
      </c>
      <c r="L1289" s="25" t="n">
        <f aca="false">IF($K$1261=0,0,N(INDEX(Clients!$Q$2:$Q$501,$K$1261)))</f>
        <v>0</v>
      </c>
      <c r="M1289" s="25" t="n">
        <f aca="false">IF(OR(K1289&lt;&gt;0,L1289&lt;&gt;0),1,0)</f>
        <v>0</v>
      </c>
      <c r="N1289" s="25" t="str">
        <f aca="false">IF(M1289=1,SUM($M$1288:M1289),"")</f>
        <v/>
      </c>
      <c r="O1289" s="25" t="n">
        <v>2</v>
      </c>
    </row>
    <row r="1290" customFormat="false" ht="16.5" hidden="false" customHeight="true" outlineLevel="0" collapsed="false">
      <c r="B1290" s="40" t="str">
        <f aca="false">IFERROR(INDEX($J$1288:$J$1291,MATCH($O1290,$N$1288:$N$1291,0)),"")</f>
        <v/>
      </c>
      <c r="C1290" s="41" t="str">
        <f aca="false">IFERROR(INDEX($K$1288:$K$1291,MATCH($O1290,$N$1288:$N$1291,0)),"")</f>
        <v/>
      </c>
      <c r="D1290" s="42" t="str">
        <f aca="false">IF(OR(E1290="",N(C1290)=0),"",E1290/C1290-1)</f>
        <v/>
      </c>
      <c r="E1290" s="41" t="str">
        <f aca="false">IFERROR(INDEX($L$1288:$L$1291,MATCH($O1290,$N$1288:$N$1291,0)),"")</f>
        <v/>
      </c>
      <c r="F1290" s="41" t="str">
        <f aca="false">IF(E1290="","",E1290-C1290)</f>
        <v/>
      </c>
      <c r="J1290" s="25" t="str">
        <f aca="false">Lib_Jur</f>
        <v>Mission juridique (approbation des comptes, secrétariat juridique)</v>
      </c>
      <c r="K1290" s="25" t="n">
        <f aca="false">IF($K$1261=0,0,N(INDEX(Clients!$M$2:$M$501,$K$1261)))</f>
        <v>0</v>
      </c>
      <c r="L1290" s="25" t="n">
        <f aca="false">IF($K$1261=0,0,N(INDEX(Clients!$R$2:$R$501,$K$1261)))</f>
        <v>0</v>
      </c>
      <c r="M1290" s="25" t="n">
        <f aca="false">IF(OR(K1290&lt;&gt;0,L1290&lt;&gt;0),1,0)</f>
        <v>0</v>
      </c>
      <c r="N1290" s="25" t="str">
        <f aca="false">IF(M1290=1,SUM($M$1288:M1290),"")</f>
        <v/>
      </c>
      <c r="O1290" s="25" t="n">
        <v>3</v>
      </c>
    </row>
    <row r="1291" customFormat="false" ht="16.5" hidden="false" customHeight="true" outlineLevel="0" collapsed="false">
      <c r="B1291" s="40" t="str">
        <f aca="false">IFERROR(INDEX($J$1288:$J$1291,MATCH($O1291,$N$1288:$N$1291,0)),"")</f>
        <v/>
      </c>
      <c r="C1291" s="41" t="str">
        <f aca="false">IFERROR(INDEX($K$1288:$K$1291,MATCH($O1291,$N$1288:$N$1291,0)),"")</f>
        <v/>
      </c>
      <c r="D1291" s="42" t="str">
        <f aca="false">IF(OR(E1291="",N(C1291)=0),"",E1291/C1291-1)</f>
        <v/>
      </c>
      <c r="E1291" s="41" t="str">
        <f aca="false">IFERROR(INDEX($L$1288:$L$1291,MATCH($O1291,$N$1288:$N$1291,0)),"")</f>
        <v/>
      </c>
      <c r="F1291" s="41" t="str">
        <f aca="false">IF(E1291="","",E1291-C1291)</f>
        <v/>
      </c>
      <c r="J1291" s="25" t="str">
        <f aca="false">Lib_PA</f>
        <v>Plateforme agréée – facturation électronique</v>
      </c>
      <c r="K1291" s="25" t="n">
        <f aca="false">IF($K$1261=0,0,N(INDEX(Clients!$N$2:$N$501,$K$1261)))</f>
        <v>0</v>
      </c>
      <c r="L1291" s="25" t="n">
        <f aca="false">IF($K$1261=0,0,N(INDEX(Clients!$S$2:$S$501,$K$1261)))</f>
        <v>0</v>
      </c>
      <c r="M1291" s="25" t="n">
        <f aca="false">IF(OR(K1291&lt;&gt;0,L1291&lt;&gt;0),1,0)</f>
        <v>0</v>
      </c>
      <c r="N1291" s="25" t="str">
        <f aca="false">IF(M1291=1,SUM($M$1288:M1291),"")</f>
        <v/>
      </c>
      <c r="O1291" s="25" t="n">
        <v>4</v>
      </c>
    </row>
    <row r="1292" customFormat="false" ht="18" hidden="false" customHeight="true" outlineLevel="0" collapsed="false">
      <c r="B1292" s="43" t="s">
        <v>158</v>
      </c>
      <c r="C1292" s="44" t="n">
        <f aca="false">SUM(K1288:K1291)</f>
        <v>0</v>
      </c>
      <c r="D1292" s="45" t="str">
        <f aca="false">IF(N(C1292)=0,"",E1292/C1292-1)</f>
        <v/>
      </c>
      <c r="E1292" s="44" t="n">
        <f aca="false">SUM(L1288:L1291)</f>
        <v>0</v>
      </c>
      <c r="F1292" s="44" t="n">
        <f aca="false">E1292-C1292</f>
        <v>0</v>
      </c>
    </row>
    <row r="1293" customFormat="false" ht="15" hidden="false" customHeight="false" outlineLevel="0" collapsed="false">
      <c r="B1293" s="46" t="str">
        <f aca="false">IF(N(Nb_Mensualites)=0,"","Soit "&amp;FIXED(E1292/Nb_Mensualites,2)&amp;" € HT par échéance ("&amp;Nb_Mensualites&amp;" échéances), "&amp;FIXED(E1292/Nb_Mensualites*(1+Taux_TVA),2)&amp;" € TTC.")</f>
        <v>Soit 0.00 € HT par échéance (12 échéances), 0.00 € TTC.</v>
      </c>
      <c r="C1293" s="46"/>
      <c r="D1293" s="46"/>
      <c r="E1293" s="46"/>
      <c r="F1293" s="46"/>
    </row>
    <row r="1294" customFormat="false" ht="7.5" hidden="false" customHeight="true" outlineLevel="0" collapsed="false">
      <c r="B1294" s="10"/>
      <c r="C1294" s="10"/>
      <c r="D1294" s="10"/>
      <c r="E1294" s="10"/>
      <c r="F1294" s="10"/>
    </row>
    <row r="1295" customFormat="false" ht="36.75" hidden="false" customHeight="true" outlineLevel="0" collapsed="false">
      <c r="B1295" s="37" t="str">
        <f aca="false">SUBSTITUTE(SUBSTITUTE(SUBSTITUTE(SUBSTITUTE(SUBSTITUTE(Txt_P5,"{cabinet}",Cab_Nom),"{societe}",IF($K$1261=0,"",INDEX(Clients!$E$2:$E$501,$K$1261)&amp;"")),"{date_effet}",$K$1263),"{hausse}",$K$1264),"{civilite}",$K$1262)</f>
        <v>Les autres conditions de votre lettre de mission demeurent inchangées. Les nouveaux montants seront appliqués automatiquement sur vos prochaines factures et échéances de prélèvement.</v>
      </c>
      <c r="C1295" s="37"/>
      <c r="D1295" s="37"/>
      <c r="E1295" s="37"/>
      <c r="F1295" s="37"/>
    </row>
    <row r="1296" customFormat="false" ht="36.75" hidden="false" customHeight="true" outlineLevel="0" collapsed="false">
      <c r="B1296" s="37" t="str">
        <f aca="false">SUBSTITUTE(SUBSTITUTE(SUBSTITUTE(SUBSTITUTE(SUBSTITUTE(Txt_P6,"{cabinet}",Cab_Nom),"{societe}",IF($K$1261=0,"",INDEX(Clients!$E$2:$E$501,$K$1261)&amp;"")),"{date_effet}",$K$1263),"{hausse}",$K$1264),"{civilite}",$K$1262)</f>
        <v>Votre interlocuteur habituel reste à votre entière disposition pour répondre à vos questions et faire le point sur l'évolution de vos besoins.</v>
      </c>
      <c r="C1296" s="37"/>
      <c r="D1296" s="37"/>
      <c r="E1296" s="37"/>
      <c r="F1296" s="37"/>
    </row>
    <row r="1297" customFormat="false" ht="24" hidden="false" customHeight="true" outlineLevel="0" collapsed="false">
      <c r="B1297" s="37" t="str">
        <f aca="false">SUBSTITUTE(SUBSTITUTE(SUBSTITUTE(SUBSTITUTE(SUBSTITUTE(Txt_Politesse,"{cabinet}",Cab_Nom),"{societe}",IF($K$1261=0,"",INDEX(Clients!$E$2:$E$501,$K$1261)&amp;"")),"{date_effet}",$K$1263),"{hausse}",$K$1264),"{civilite}",$K$1262)</f>
        <v>Nous vous prions d'agréer, Madame, Monsieur, l'expression de nos salutations distinguées.</v>
      </c>
      <c r="C1297" s="37"/>
      <c r="D1297" s="37"/>
      <c r="E1297" s="37"/>
      <c r="F1297" s="37"/>
    </row>
    <row r="1298" customFormat="false" ht="15" hidden="false" customHeight="false" outlineLevel="0" collapsed="false">
      <c r="B1298" s="10"/>
      <c r="C1298" s="10"/>
      <c r="D1298" s="10"/>
      <c r="E1298" s="10"/>
      <c r="F1298" s="10"/>
    </row>
    <row r="1299" customFormat="false" ht="15" hidden="false" customHeight="false" outlineLevel="0" collapsed="false">
      <c r="B1299" s="10"/>
      <c r="C1299" s="10"/>
      <c r="D1299" s="34" t="str">
        <f aca="false">Signataire</f>
        <v>Prénom NOM</v>
      </c>
      <c r="E1299" s="34"/>
      <c r="F1299" s="34"/>
    </row>
    <row r="1300" customFormat="false" ht="15" hidden="false" customHeight="false" outlineLevel="0" collapsed="false">
      <c r="B1300" s="10"/>
      <c r="C1300" s="10"/>
      <c r="D1300" s="47" t="str">
        <f aca="false">Signataire_Titre</f>
        <v>Expert-comptable associé</v>
      </c>
      <c r="E1300" s="47"/>
      <c r="F1300" s="47"/>
    </row>
    <row r="1301" customFormat="false" ht="15.75" hidden="false" customHeight="true" outlineLevel="0" collapsed="false">
      <c r="B1301" s="10"/>
      <c r="C1301" s="10"/>
      <c r="D1301" s="10"/>
      <c r="E1301" s="10"/>
      <c r="F1301" s="10"/>
    </row>
    <row r="1302" customFormat="false" ht="15.75" hidden="false" customHeight="true" outlineLevel="0" collapsed="false">
      <c r="B1302" s="10"/>
      <c r="C1302" s="10"/>
      <c r="D1302" s="10"/>
      <c r="E1302" s="10"/>
      <c r="F1302" s="10"/>
    </row>
    <row r="1303" customFormat="false" ht="15.75" hidden="false" customHeight="true" outlineLevel="0" collapsed="false">
      <c r="B1303" s="10"/>
      <c r="C1303" s="10"/>
      <c r="D1303" s="10"/>
      <c r="E1303" s="10"/>
      <c r="F1303" s="10"/>
    </row>
    <row r="1304" customFormat="false" ht="15.75" hidden="false" customHeight="true" outlineLevel="0" collapsed="false">
      <c r="B1304" s="10"/>
      <c r="C1304" s="10"/>
      <c r="D1304" s="10"/>
      <c r="E1304" s="10"/>
      <c r="F1304" s="10"/>
    </row>
    <row r="1305" customFormat="false" ht="24" hidden="false" customHeight="true" outlineLevel="0" collapsed="false">
      <c r="B1305" s="48" t="str">
        <f aca="false">Cab_Mentions</f>
        <v>ALTHO EXPERTISE · SAS au capital de 10 000 € · RCS Pontoise 919 706 325 · TVA FR62919706325 · Société d'expertise comptable inscrite au Tableau de l'Ordre des experts-comptables de Paris Île-de-France</v>
      </c>
      <c r="C1305" s="48"/>
      <c r="D1305" s="48"/>
      <c r="E1305" s="48"/>
      <c r="F1305" s="48"/>
    </row>
    <row r="1306" customFormat="false" ht="15" hidden="false" customHeight="false" outlineLevel="0" collapsed="false">
      <c r="B1306" s="10"/>
      <c r="C1306" s="10"/>
      <c r="D1306" s="10"/>
      <c r="E1306" s="10"/>
      <c r="F1306" s="10"/>
      <c r="J1306" s="25" t="s">
        <v>142</v>
      </c>
      <c r="K1306" s="25" t="n">
        <f aca="false">IFERROR(MATCH(30,Clients!$Z$2:$Z$501,0),0)</f>
        <v>0</v>
      </c>
      <c r="L1306" s="25"/>
      <c r="M1306" s="25"/>
      <c r="N1306" s="25"/>
      <c r="O1306" s="25"/>
    </row>
    <row r="1307" customFormat="false" ht="21.75" hidden="false" customHeight="true" outlineLevel="0" collapsed="false">
      <c r="B1307" s="26" t="str">
        <f aca="false">Cab_Nom</f>
        <v>ALTHO EXPERTISE</v>
      </c>
      <c r="C1307" s="26"/>
      <c r="D1307" s="10"/>
      <c r="E1307" s="27" t="str">
        <f aca="false">IF($K$1306=0,"","Réf. client : "&amp;INDEX(Clients!$A$2:$A$501,$K$1306))</f>
        <v/>
      </c>
      <c r="F1307" s="27"/>
      <c r="J1307" s="25" t="s">
        <v>144</v>
      </c>
      <c r="K1307" s="25" t="str">
        <f aca="false">IF(IF($K$1306=0,"",INDEX(Clients!$B$2:$B$501,$K$1306)&amp;"")="Mme","Madame",IF(IF($K$1306=0,"",INDEX(Clients!$B$2:$B$501,$K$1306)&amp;"")="M.","Monsieur","Madame, Monsieur"))</f>
        <v>Madame, Monsieur</v>
      </c>
      <c r="L1307" s="25"/>
      <c r="M1307" s="25"/>
      <c r="N1307" s="25"/>
      <c r="O1307" s="25"/>
    </row>
    <row r="1308" customFormat="false" ht="15" hidden="false" customHeight="false" outlineLevel="0" collapsed="false">
      <c r="B1308" s="29" t="str">
        <f aca="false">Cab_Adr1</f>
        <v>141 rue Charles de Gaulle</v>
      </c>
      <c r="C1308" s="29"/>
      <c r="D1308" s="10"/>
      <c r="E1308" s="10"/>
      <c r="F1308" s="10"/>
      <c r="J1308" s="25" t="s">
        <v>145</v>
      </c>
      <c r="K1308" s="25" t="str">
        <f aca="false">DAY(Date_Effet)&amp;IF(DAY(Date_Effet)=1,"er","")&amp;" "&amp;INDEX(Liste_Mois,MONTH(Date_Effet))&amp;" "&amp;YEAR(Date_Effet)</f>
        <v>1er janvier 2027</v>
      </c>
      <c r="L1308" s="25"/>
      <c r="M1308" s="25"/>
      <c r="N1308" s="25"/>
      <c r="O1308" s="25"/>
    </row>
    <row r="1309" customFormat="false" ht="15" hidden="false" customHeight="false" outlineLevel="0" collapsed="false">
      <c r="B1309" s="29" t="str">
        <f aca="false">Cab_CPVille</f>
        <v>95130 LE PLESSIS-BOUCHARD</v>
      </c>
      <c r="C1309" s="29"/>
      <c r="D1309" s="10"/>
      <c r="E1309" s="10"/>
      <c r="F1309" s="10"/>
      <c r="J1309" s="25" t="s">
        <v>146</v>
      </c>
      <c r="K1309" s="25" t="str">
        <f aca="false">IF(SUM($K$1333:$K$1336)=0,"",FIXED((SUM($L$1333:$L$1336)/SUM($K$1333:$K$1336)-1)*100,1)&amp;" %")</f>
        <v/>
      </c>
      <c r="L1309" s="25"/>
      <c r="M1309" s="25"/>
      <c r="N1309" s="25"/>
      <c r="O1309" s="25"/>
    </row>
    <row r="1310" customFormat="false" ht="15" hidden="false" customHeight="false" outlineLevel="0" collapsed="false">
      <c r="B1310" s="29" t="str">
        <f aca="false">Cab_Contact</f>
        <v>Tél. 01 34 14 53 45  ·  altho@altho-experts.com  ·  altho-experts.com</v>
      </c>
      <c r="C1310" s="29"/>
      <c r="D1310" s="10"/>
      <c r="E1310" s="10"/>
      <c r="F1310" s="10"/>
      <c r="J1310" s="25"/>
      <c r="K1310" s="25"/>
      <c r="L1310" s="25"/>
      <c r="M1310" s="25"/>
      <c r="N1310" s="25"/>
      <c r="O1310" s="25"/>
    </row>
    <row r="1311" customFormat="false" ht="6" hidden="false" customHeight="true" outlineLevel="0" collapsed="false">
      <c r="B1311" s="32"/>
      <c r="C1311" s="32"/>
      <c r="D1311" s="32"/>
      <c r="E1311" s="32"/>
      <c r="F1311" s="32"/>
      <c r="J1311" s="25"/>
      <c r="K1311" s="25"/>
      <c r="L1311" s="25"/>
      <c r="M1311" s="25"/>
      <c r="N1311" s="25"/>
      <c r="O1311" s="25"/>
    </row>
    <row r="1312" customFormat="false" ht="13.5" hidden="false" customHeight="true" outlineLevel="0" collapsed="false">
      <c r="B1312" s="10"/>
      <c r="C1312" s="10"/>
      <c r="D1312" s="10"/>
      <c r="E1312" s="10"/>
      <c r="F1312" s="10"/>
      <c r="J1312" s="25"/>
      <c r="K1312" s="25"/>
      <c r="L1312" s="25"/>
      <c r="M1312" s="25"/>
      <c r="N1312" s="25"/>
      <c r="O1312" s="25"/>
    </row>
    <row r="1313" customFormat="false" ht="13.5" hidden="false" customHeight="true" outlineLevel="0" collapsed="false">
      <c r="B1313" s="10"/>
      <c r="C1313" s="10"/>
      <c r="D1313" s="10"/>
      <c r="E1313" s="10"/>
      <c r="F1313" s="10"/>
      <c r="J1313" s="25"/>
      <c r="K1313" s="25"/>
      <c r="L1313" s="25"/>
      <c r="M1313" s="25"/>
      <c r="N1313" s="25"/>
      <c r="O1313" s="25"/>
    </row>
    <row r="1314" customFormat="false" ht="13.5" hidden="false" customHeight="true" outlineLevel="0" collapsed="false">
      <c r="B1314" s="10"/>
      <c r="C1314" s="10"/>
      <c r="D1314" s="10"/>
      <c r="E1314" s="10"/>
      <c r="F1314" s="10"/>
      <c r="J1314" s="25"/>
      <c r="K1314" s="25"/>
      <c r="L1314" s="25"/>
      <c r="M1314" s="25"/>
      <c r="N1314" s="25"/>
      <c r="O1314" s="25"/>
    </row>
    <row r="1315" customFormat="false" ht="15" hidden="false" customHeight="true" outlineLevel="0" collapsed="false">
      <c r="B1315" s="10"/>
      <c r="C1315" s="10"/>
      <c r="D1315" s="34" t="str">
        <f aca="false">IF($K$1306=0,"",INDEX(Clients!$E$2:$E$501,$K$1306)&amp;"")</f>
        <v/>
      </c>
      <c r="E1315" s="34"/>
      <c r="F1315" s="34"/>
      <c r="J1315" s="25"/>
      <c r="K1315" s="25"/>
      <c r="L1315" s="25"/>
      <c r="M1315" s="25"/>
      <c r="N1315" s="25"/>
      <c r="O1315" s="25"/>
    </row>
    <row r="1316" customFormat="false" ht="15" hidden="false" customHeight="true" outlineLevel="0" collapsed="false">
      <c r="B1316" s="10"/>
      <c r="C1316" s="10"/>
      <c r="D1316" s="35" t="str">
        <f aca="false">IF(IF($K$1306=0,"",INDEX(Clients!$D$2:$D$501,$K$1306)&amp;"")="","","À l'attention de "&amp;TRIM(IF($K$1306=0,"",INDEX(Clients!$B$2:$B$501,$K$1306)&amp;"")&amp;" "&amp;IF($K$1306=0,"",INDEX(Clients!$C$2:$C$501,$K$1306)&amp;"")&amp;" "&amp;IF($K$1306=0,"",INDEX(Clients!$D$2:$D$501,$K$1306)&amp;"")))</f>
        <v/>
      </c>
      <c r="E1316" s="35"/>
      <c r="F1316" s="35"/>
      <c r="J1316" s="25"/>
      <c r="K1316" s="25"/>
      <c r="L1316" s="25"/>
      <c r="M1316" s="25"/>
      <c r="N1316" s="25"/>
      <c r="O1316" s="25"/>
    </row>
    <row r="1317" customFormat="false" ht="15" hidden="false" customHeight="true" outlineLevel="0" collapsed="false">
      <c r="B1317" s="10"/>
      <c r="C1317" s="10"/>
      <c r="D1317" s="35" t="str">
        <f aca="false">IF($K$1306=0,"",INDEX(Clients!$F$2:$F$501,$K$1306)&amp;"")</f>
        <v/>
      </c>
      <c r="E1317" s="35"/>
      <c r="F1317" s="35"/>
      <c r="J1317" s="25"/>
      <c r="K1317" s="25"/>
      <c r="L1317" s="25"/>
      <c r="M1317" s="25"/>
      <c r="N1317" s="25"/>
      <c r="O1317" s="25"/>
    </row>
    <row r="1318" customFormat="false" ht="15" hidden="false" customHeight="true" outlineLevel="0" collapsed="false">
      <c r="B1318" s="10"/>
      <c r="C1318" s="10"/>
      <c r="D1318" s="35" t="str">
        <f aca="false">IF(IF($K$1306=0,"",INDEX(Clients!$G$2:$G$501,$K$1306)&amp;"")="",TRIM(IF($K$1306=0,"",INDEX(Clients!$H$2:$H$501,$K$1306)&amp;"")&amp;" "&amp;UPPER(IF($K$1306=0,"",INDEX(Clients!$I$2:$I$501,$K$1306)&amp;""))),IF($K$1306=0,"",INDEX(Clients!$G$2:$G$501,$K$1306)&amp;""))</f>
        <v/>
      </c>
      <c r="E1318" s="35"/>
      <c r="F1318" s="35"/>
      <c r="J1318" s="25"/>
      <c r="K1318" s="25"/>
      <c r="L1318" s="25"/>
      <c r="M1318" s="25"/>
      <c r="N1318" s="25"/>
      <c r="O1318" s="25"/>
    </row>
    <row r="1319" customFormat="false" ht="15" hidden="false" customHeight="true" outlineLevel="0" collapsed="false">
      <c r="B1319" s="10"/>
      <c r="C1319" s="10"/>
      <c r="D1319" s="35" t="str">
        <f aca="false">IF(IF($K$1306=0,"",INDEX(Clients!$G$2:$G$501,$K$1306)&amp;"")="","",TRIM(IF($K$1306=0,"",INDEX(Clients!$H$2:$H$501,$K$1306)&amp;"")&amp;" "&amp;UPPER(IF($K$1306=0,"",INDEX(Clients!$I$2:$I$501,$K$1306)&amp;""))))</f>
        <v/>
      </c>
      <c r="E1319" s="35"/>
      <c r="F1319" s="35"/>
      <c r="J1319" s="25"/>
      <c r="K1319" s="25"/>
      <c r="L1319" s="25"/>
      <c r="M1319" s="25"/>
      <c r="N1319" s="25"/>
      <c r="O1319" s="25"/>
    </row>
    <row r="1320" customFormat="false" ht="25.5" hidden="false" customHeight="true" outlineLevel="0" collapsed="false">
      <c r="B1320" s="10"/>
      <c r="C1320" s="10"/>
      <c r="D1320" s="10"/>
      <c r="E1320" s="10"/>
      <c r="F1320" s="10"/>
      <c r="J1320" s="25"/>
      <c r="K1320" s="25"/>
      <c r="L1320" s="25"/>
      <c r="M1320" s="25"/>
      <c r="N1320" s="25"/>
      <c r="O1320" s="25"/>
    </row>
    <row r="1321" customFormat="false" ht="15" hidden="false" customHeight="false" outlineLevel="0" collapsed="false">
      <c r="B1321" s="10"/>
      <c r="C1321" s="10"/>
      <c r="D1321" s="36" t="str">
        <f aca="false">Cab_Ville&amp;", le "&amp;DAY(Date_Courrier)&amp;IF(DAY(Date_Courrier)=1,"er","")&amp;" "&amp;INDEX(Liste_Mois,MONTH(Date_Courrier))&amp;" "&amp;YEAR(Date_Courrier)</f>
        <v>Le Plessis-Bouchard, le 22 septembre 2026</v>
      </c>
      <c r="E1321" s="36"/>
      <c r="F1321" s="36"/>
      <c r="J1321" s="25"/>
      <c r="K1321" s="25"/>
      <c r="L1321" s="25"/>
      <c r="M1321" s="25"/>
      <c r="N1321" s="25"/>
      <c r="O1321" s="25"/>
    </row>
    <row r="1322" customFormat="false" ht="19.5" hidden="false" customHeight="true" outlineLevel="0" collapsed="false">
      <c r="B1322" s="10"/>
      <c r="C1322" s="10"/>
      <c r="D1322" s="10"/>
      <c r="E1322" s="10"/>
      <c r="F1322" s="10"/>
      <c r="J1322" s="25"/>
      <c r="K1322" s="25"/>
      <c r="L1322" s="25"/>
      <c r="M1322" s="25"/>
      <c r="N1322" s="25"/>
      <c r="O1322" s="25"/>
    </row>
    <row r="1323" customFormat="false" ht="15" hidden="false" customHeight="false" outlineLevel="0" collapsed="false">
      <c r="B1323" s="34" t="str">
        <f aca="false">SUBSTITUTE(SUBSTITUTE(SUBSTITUTE(SUBSTITUTE(SUBSTITUTE(Txt_Objet,"{cabinet}",Cab_Nom),"{societe}",IF($K$1306=0,"",INDEX(Clients!$E$2:$E$501,$K$1306)&amp;"")),"{date_effet}",$K$1308),"{hausse}",$K$1309),"{civilite}",$K$1307)</f>
        <v>Objet : révision de nos honoraires au 1er janvier 2027</v>
      </c>
      <c r="C1323" s="34"/>
      <c r="D1323" s="34"/>
      <c r="E1323" s="34"/>
      <c r="F1323" s="34"/>
      <c r="J1323" s="25"/>
      <c r="K1323" s="25"/>
      <c r="L1323" s="25"/>
      <c r="M1323" s="25"/>
      <c r="N1323" s="25"/>
      <c r="O1323" s="25"/>
    </row>
    <row r="1324" customFormat="false" ht="13.5" hidden="false" customHeight="true" outlineLevel="0" collapsed="false">
      <c r="B1324" s="10"/>
      <c r="C1324" s="10"/>
      <c r="D1324" s="10"/>
      <c r="E1324" s="10"/>
      <c r="F1324" s="10"/>
      <c r="J1324" s="25"/>
      <c r="K1324" s="25"/>
      <c r="L1324" s="25"/>
      <c r="M1324" s="25"/>
      <c r="N1324" s="25"/>
      <c r="O1324" s="25"/>
    </row>
    <row r="1325" customFormat="false" ht="15" hidden="false" customHeight="false" outlineLevel="0" collapsed="false">
      <c r="B1325" s="10" t="str">
        <f aca="false">$K$1307&amp;","</f>
        <v>Madame, Monsieur,</v>
      </c>
      <c r="C1325" s="10"/>
      <c r="D1325" s="10"/>
      <c r="E1325" s="10"/>
      <c r="F1325" s="10"/>
      <c r="J1325" s="25"/>
      <c r="K1325" s="25"/>
      <c r="L1325" s="25"/>
      <c r="M1325" s="25"/>
      <c r="N1325" s="25"/>
      <c r="O1325" s="25"/>
    </row>
    <row r="1326" customFormat="false" ht="6" hidden="false" customHeight="true" outlineLevel="0" collapsed="false">
      <c r="B1326" s="10"/>
      <c r="C1326" s="10"/>
      <c r="D1326" s="10"/>
      <c r="E1326" s="10"/>
      <c r="F1326" s="10"/>
      <c r="J1326" s="25"/>
      <c r="K1326" s="25"/>
      <c r="L1326" s="25"/>
      <c r="M1326" s="25"/>
      <c r="N1326" s="25"/>
      <c r="O1326" s="25"/>
    </row>
    <row r="1327" customFormat="false" ht="36.75" hidden="false" customHeight="true" outlineLevel="0" collapsed="false">
      <c r="B1327" s="37" t="str">
        <f aca="false">SUBSTITUTE(SUBSTITUTE(SUBSTITUTE(SUBSTITUTE(SUBSTITUTE(Txt_P1,"{cabinet}",Cab_Nom),"{societe}",IF($K$1306=0,"",INDEX(Clients!$E$2:$E$501,$K$1306)&amp;"")),"{date_effet}",$K$1308),"{hausse}",$K$1309),"{civilite}",$K$1307)</f>
        <v>Nous tenons tout d'abord à vous remercier pour la confiance que vous accordez à ALTHO EXPERTISE. Comme chaque année, et conformément aux dispositions de votre lettre de mission, nous procédons à la révision de nos honoraires.</v>
      </c>
      <c r="C1327" s="37"/>
      <c r="D1327" s="37"/>
      <c r="E1327" s="37"/>
      <c r="F1327" s="37"/>
      <c r="J1327" s="25"/>
      <c r="K1327" s="25"/>
      <c r="L1327" s="25"/>
      <c r="M1327" s="25"/>
      <c r="N1327" s="25"/>
      <c r="O1327" s="25"/>
    </row>
    <row r="1328" customFormat="false" ht="49.5" hidden="false" customHeight="true" outlineLevel="0" collapsed="false">
      <c r="B1328" s="37" t="str">
        <f aca="false">SUBSTITUTE(SUBSTITUTE(SUBSTITUTE(SUBSTITUTE(SUBSTITUTE(Txt_P2,"{cabinet}",Cab_Nom),"{societe}",IF($K$1306=0,"",INDEX(Clients!$E$2:$E$501,$K$1306)&amp;"")),"{date_effet}",$K$1308),"{hausse}",$K$1309),"{civilite}",$K$1307)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28" s="37"/>
      <c r="D1328" s="37"/>
      <c r="E1328" s="37"/>
      <c r="F1328" s="37"/>
      <c r="J1328" s="25"/>
      <c r="K1328" s="25"/>
      <c r="L1328" s="25"/>
      <c r="M1328" s="25"/>
      <c r="N1328" s="25"/>
      <c r="O1328" s="25"/>
    </row>
    <row r="1329" customFormat="false" ht="63" hidden="false" customHeight="true" outlineLevel="0" collapsed="false">
      <c r="B1329" s="37" t="str">
        <f aca="false">SUBSTITUTE(SUBSTITUTE(SUBSTITUTE(SUBSTITUTE(SUBSTITUTE(Txt_P3,"{cabinet}",Cab_Nom),"{societe}",IF($K$1306=0,"",INDEX(Clients!$E$2:$E$501,$K$1306)&amp;"")),"{date_effet}",$K$1308),"{hausse}",$K$1309),"{civilite}",$K$1307)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29" s="37"/>
      <c r="D1329" s="37"/>
      <c r="E1329" s="37"/>
      <c r="F1329" s="37"/>
      <c r="J1329" s="25"/>
      <c r="K1329" s="25"/>
      <c r="L1329" s="25"/>
      <c r="M1329" s="25"/>
      <c r="N1329" s="25"/>
      <c r="O1329" s="25"/>
    </row>
    <row r="1330" customFormat="false" ht="24" hidden="false" customHeight="true" outlineLevel="0" collapsed="false">
      <c r="B1330" s="37" t="str">
        <f aca="false">SUBSTITUTE(SUBSTITUTE(SUBSTITUTE(SUBSTITUTE(SUBSTITUTE(Txt_P4,"{cabinet}",Cab_Nom),"{societe}",IF($K$1306=0,"",INDEX(Clients!$E$2:$E$501,$K$1306)&amp;"")),"{date_effet}",$K$1308),"{hausse}",$K$1309),"{civilite}",$K$1307)</f>
        <v>À compter du 1er janvier 2027, vos honoraires annuels hors taxes évolueront ainsi (évolution globale : ) :</v>
      </c>
      <c r="C1330" s="37"/>
      <c r="D1330" s="37"/>
      <c r="E1330" s="37"/>
      <c r="F1330" s="37"/>
      <c r="J1330" s="25"/>
      <c r="K1330" s="25"/>
      <c r="L1330" s="25"/>
      <c r="M1330" s="25"/>
      <c r="N1330" s="25"/>
      <c r="O1330" s="25"/>
    </row>
    <row r="1331" customFormat="false" ht="3.75" hidden="false" customHeight="true" outlineLevel="0" collapsed="false">
      <c r="B1331" s="10"/>
      <c r="C1331" s="10"/>
      <c r="D1331" s="10"/>
      <c r="E1331" s="10"/>
      <c r="F1331" s="10"/>
      <c r="J1331" s="25"/>
      <c r="K1331" s="25"/>
      <c r="L1331" s="25"/>
      <c r="M1331" s="25"/>
      <c r="N1331" s="25"/>
      <c r="O1331" s="25"/>
    </row>
    <row r="1332" customFormat="false" ht="18" hidden="false" customHeight="true" outlineLevel="0" collapsed="false">
      <c r="B1332" s="38" t="s">
        <v>148</v>
      </c>
      <c r="C1332" s="39" t="s">
        <v>149</v>
      </c>
      <c r="D1332" s="39" t="s">
        <v>150</v>
      </c>
      <c r="E1332" s="39" t="s">
        <v>151</v>
      </c>
      <c r="F1332" s="39" t="s">
        <v>109</v>
      </c>
      <c r="J1332" s="25" t="s">
        <v>152</v>
      </c>
      <c r="K1332" s="25" t="s">
        <v>153</v>
      </c>
      <c r="L1332" s="25" t="s">
        <v>154</v>
      </c>
      <c r="M1332" s="25" t="s">
        <v>155</v>
      </c>
      <c r="N1332" s="25" t="s">
        <v>156</v>
      </c>
      <c r="O1332" s="25" t="s">
        <v>157</v>
      </c>
    </row>
    <row r="1333" customFormat="false" ht="16.5" hidden="false" customHeight="true" outlineLevel="0" collapsed="false">
      <c r="B1333" s="40" t="str">
        <f aca="false">IFERROR(INDEX($J$1333:$J$1336,MATCH($O1333,$N$1333:$N$1336,0)),"")</f>
        <v/>
      </c>
      <c r="C1333" s="41" t="str">
        <f aca="false">IFERROR(INDEX($K$1333:$K$1336,MATCH($O1333,$N$1333:$N$1336,0)),"")</f>
        <v/>
      </c>
      <c r="D1333" s="42" t="str">
        <f aca="false">IF(OR(E1333="",N(C1333)=0),"",E1333/C1333-1)</f>
        <v/>
      </c>
      <c r="E1333" s="41" t="str">
        <f aca="false">IFERROR(INDEX($L$1333:$L$1336,MATCH($O1333,$N$1333:$N$1336,0)),"")</f>
        <v/>
      </c>
      <c r="F1333" s="41" t="str">
        <f aca="false">IF(E1333="","",E1333-C1333)</f>
        <v/>
      </c>
      <c r="J1333" s="25" t="str">
        <f aca="false">Lib_Compta</f>
        <v>Mission comptable (tenue, révision, bilan, liasse fiscale)</v>
      </c>
      <c r="K1333" s="25" t="n">
        <f aca="false">IF($K$1306=0,0,N(INDEX(Clients!$K$2:$K$501,$K$1306)))</f>
        <v>0</v>
      </c>
      <c r="L1333" s="25" t="n">
        <f aca="false">IF($K$1306=0,0,N(INDEX(Clients!$P$2:$P$501,$K$1306)))</f>
        <v>0</v>
      </c>
      <c r="M1333" s="25" t="n">
        <f aca="false">IF(OR(K1333&lt;&gt;0,L1333&lt;&gt;0),1,0)</f>
        <v>0</v>
      </c>
      <c r="N1333" s="25" t="str">
        <f aca="false">IF(M1333=1,SUM($M$1333:M1333),"")</f>
        <v/>
      </c>
      <c r="O1333" s="25" t="n">
        <v>1</v>
      </c>
    </row>
    <row r="1334" customFormat="false" ht="16.5" hidden="false" customHeight="true" outlineLevel="0" collapsed="false">
      <c r="B1334" s="40" t="str">
        <f aca="false">IFERROR(INDEX($J$1333:$J$1336,MATCH($O1334,$N$1333:$N$1336,0)),"")</f>
        <v/>
      </c>
      <c r="C1334" s="41" t="str">
        <f aca="false">IFERROR(INDEX($K$1333:$K$1336,MATCH($O1334,$N$1333:$N$1336,0)),"")</f>
        <v/>
      </c>
      <c r="D1334" s="42" t="str">
        <f aca="false">IF(OR(E1334="",N(C1334)=0),"",E1334/C1334-1)</f>
        <v/>
      </c>
      <c r="E1334" s="41" t="str">
        <f aca="false">IFERROR(INDEX($L$1333:$L$1336,MATCH($O1334,$N$1333:$N$1336,0)),"")</f>
        <v/>
      </c>
      <c r="F1334" s="41" t="str">
        <f aca="false">IF(E1334="","",E1334-C1334)</f>
        <v/>
      </c>
      <c r="J1334" s="25" t="str">
        <f aca="false">Lib_Paye</f>
        <v>Mission sociale (bulletins de paie, DSN, déclarations sociales)</v>
      </c>
      <c r="K1334" s="25" t="n">
        <f aca="false">IF($K$1306=0,0,N(INDEX(Clients!$L$2:$L$501,$K$1306)))</f>
        <v>0</v>
      </c>
      <c r="L1334" s="25" t="n">
        <f aca="false">IF($K$1306=0,0,N(INDEX(Clients!$Q$2:$Q$501,$K$1306)))</f>
        <v>0</v>
      </c>
      <c r="M1334" s="25" t="n">
        <f aca="false">IF(OR(K1334&lt;&gt;0,L1334&lt;&gt;0),1,0)</f>
        <v>0</v>
      </c>
      <c r="N1334" s="25" t="str">
        <f aca="false">IF(M1334=1,SUM($M$1333:M1334),"")</f>
        <v/>
      </c>
      <c r="O1334" s="25" t="n">
        <v>2</v>
      </c>
    </row>
    <row r="1335" customFormat="false" ht="16.5" hidden="false" customHeight="true" outlineLevel="0" collapsed="false">
      <c r="B1335" s="40" t="str">
        <f aca="false">IFERROR(INDEX($J$1333:$J$1336,MATCH($O1335,$N$1333:$N$1336,0)),"")</f>
        <v/>
      </c>
      <c r="C1335" s="41" t="str">
        <f aca="false">IFERROR(INDEX($K$1333:$K$1336,MATCH($O1335,$N$1333:$N$1336,0)),"")</f>
        <v/>
      </c>
      <c r="D1335" s="42" t="str">
        <f aca="false">IF(OR(E1335="",N(C1335)=0),"",E1335/C1335-1)</f>
        <v/>
      </c>
      <c r="E1335" s="41" t="str">
        <f aca="false">IFERROR(INDEX($L$1333:$L$1336,MATCH($O1335,$N$1333:$N$1336,0)),"")</f>
        <v/>
      </c>
      <c r="F1335" s="41" t="str">
        <f aca="false">IF(E1335="","",E1335-C1335)</f>
        <v/>
      </c>
      <c r="J1335" s="25" t="str">
        <f aca="false">Lib_Jur</f>
        <v>Mission juridique (approbation des comptes, secrétariat juridique)</v>
      </c>
      <c r="K1335" s="25" t="n">
        <f aca="false">IF($K$1306=0,0,N(INDEX(Clients!$M$2:$M$501,$K$1306)))</f>
        <v>0</v>
      </c>
      <c r="L1335" s="25" t="n">
        <f aca="false">IF($K$1306=0,0,N(INDEX(Clients!$R$2:$R$501,$K$1306)))</f>
        <v>0</v>
      </c>
      <c r="M1335" s="25" t="n">
        <f aca="false">IF(OR(K1335&lt;&gt;0,L1335&lt;&gt;0),1,0)</f>
        <v>0</v>
      </c>
      <c r="N1335" s="25" t="str">
        <f aca="false">IF(M1335=1,SUM($M$1333:M1335),"")</f>
        <v/>
      </c>
      <c r="O1335" s="25" t="n">
        <v>3</v>
      </c>
    </row>
    <row r="1336" customFormat="false" ht="16.5" hidden="false" customHeight="true" outlineLevel="0" collapsed="false">
      <c r="B1336" s="40" t="str">
        <f aca="false">IFERROR(INDEX($J$1333:$J$1336,MATCH($O1336,$N$1333:$N$1336,0)),"")</f>
        <v/>
      </c>
      <c r="C1336" s="41" t="str">
        <f aca="false">IFERROR(INDEX($K$1333:$K$1336,MATCH($O1336,$N$1333:$N$1336,0)),"")</f>
        <v/>
      </c>
      <c r="D1336" s="42" t="str">
        <f aca="false">IF(OR(E1336="",N(C1336)=0),"",E1336/C1336-1)</f>
        <v/>
      </c>
      <c r="E1336" s="41" t="str">
        <f aca="false">IFERROR(INDEX($L$1333:$L$1336,MATCH($O1336,$N$1333:$N$1336,0)),"")</f>
        <v/>
      </c>
      <c r="F1336" s="41" t="str">
        <f aca="false">IF(E1336="","",E1336-C1336)</f>
        <v/>
      </c>
      <c r="J1336" s="25" t="str">
        <f aca="false">Lib_PA</f>
        <v>Plateforme agréée – facturation électronique</v>
      </c>
      <c r="K1336" s="25" t="n">
        <f aca="false">IF($K$1306=0,0,N(INDEX(Clients!$N$2:$N$501,$K$1306)))</f>
        <v>0</v>
      </c>
      <c r="L1336" s="25" t="n">
        <f aca="false">IF($K$1306=0,0,N(INDEX(Clients!$S$2:$S$501,$K$1306)))</f>
        <v>0</v>
      </c>
      <c r="M1336" s="25" t="n">
        <f aca="false">IF(OR(K1336&lt;&gt;0,L1336&lt;&gt;0),1,0)</f>
        <v>0</v>
      </c>
      <c r="N1336" s="25" t="str">
        <f aca="false">IF(M1336=1,SUM($M$1333:M1336),"")</f>
        <v/>
      </c>
      <c r="O1336" s="25" t="n">
        <v>4</v>
      </c>
    </row>
    <row r="1337" customFormat="false" ht="18" hidden="false" customHeight="true" outlineLevel="0" collapsed="false">
      <c r="B1337" s="43" t="s">
        <v>158</v>
      </c>
      <c r="C1337" s="44" t="n">
        <f aca="false">SUM(K1333:K1336)</f>
        <v>0</v>
      </c>
      <c r="D1337" s="45" t="str">
        <f aca="false">IF(N(C1337)=0,"",E1337/C1337-1)</f>
        <v/>
      </c>
      <c r="E1337" s="44" t="n">
        <f aca="false">SUM(L1333:L1336)</f>
        <v>0</v>
      </c>
      <c r="F1337" s="44" t="n">
        <f aca="false">E1337-C1337</f>
        <v>0</v>
      </c>
    </row>
    <row r="1338" customFormat="false" ht="15" hidden="false" customHeight="false" outlineLevel="0" collapsed="false">
      <c r="B1338" s="46" t="str">
        <f aca="false">IF(N(Nb_Mensualites)=0,"","Soit "&amp;FIXED(E1337/Nb_Mensualites,2)&amp;" € HT par échéance ("&amp;Nb_Mensualites&amp;" échéances), "&amp;FIXED(E1337/Nb_Mensualites*(1+Taux_TVA),2)&amp;" € TTC.")</f>
        <v>Soit 0.00 € HT par échéance (12 échéances), 0.00 € TTC.</v>
      </c>
      <c r="C1338" s="46"/>
      <c r="D1338" s="46"/>
      <c r="E1338" s="46"/>
      <c r="F1338" s="46"/>
    </row>
    <row r="1339" customFormat="false" ht="7.5" hidden="false" customHeight="true" outlineLevel="0" collapsed="false">
      <c r="B1339" s="10"/>
      <c r="C1339" s="10"/>
      <c r="D1339" s="10"/>
      <c r="E1339" s="10"/>
      <c r="F1339" s="10"/>
    </row>
    <row r="1340" customFormat="false" ht="36.75" hidden="false" customHeight="true" outlineLevel="0" collapsed="false">
      <c r="B1340" s="37" t="str">
        <f aca="false">SUBSTITUTE(SUBSTITUTE(SUBSTITUTE(SUBSTITUTE(SUBSTITUTE(Txt_P5,"{cabinet}",Cab_Nom),"{societe}",IF($K$1306=0,"",INDEX(Clients!$E$2:$E$501,$K$1306)&amp;"")),"{date_effet}",$K$1308),"{hausse}",$K$1309),"{civilite}",$K$1307)</f>
        <v>Les autres conditions de votre lettre de mission demeurent inchangées. Les nouveaux montants seront appliqués automatiquement sur vos prochaines factures et échéances de prélèvement.</v>
      </c>
      <c r="C1340" s="37"/>
      <c r="D1340" s="37"/>
      <c r="E1340" s="37"/>
      <c r="F1340" s="37"/>
    </row>
    <row r="1341" customFormat="false" ht="36.75" hidden="false" customHeight="true" outlineLevel="0" collapsed="false">
      <c r="B1341" s="37" t="str">
        <f aca="false">SUBSTITUTE(SUBSTITUTE(SUBSTITUTE(SUBSTITUTE(SUBSTITUTE(Txt_P6,"{cabinet}",Cab_Nom),"{societe}",IF($K$1306=0,"",INDEX(Clients!$E$2:$E$501,$K$1306)&amp;"")),"{date_effet}",$K$1308),"{hausse}",$K$1309),"{civilite}",$K$1307)</f>
        <v>Votre interlocuteur habituel reste à votre entière disposition pour répondre à vos questions et faire le point sur l'évolution de vos besoins.</v>
      </c>
      <c r="C1341" s="37"/>
      <c r="D1341" s="37"/>
      <c r="E1341" s="37"/>
      <c r="F1341" s="37"/>
    </row>
    <row r="1342" customFormat="false" ht="24" hidden="false" customHeight="true" outlineLevel="0" collapsed="false">
      <c r="B1342" s="37" t="str">
        <f aca="false">SUBSTITUTE(SUBSTITUTE(SUBSTITUTE(SUBSTITUTE(SUBSTITUTE(Txt_Politesse,"{cabinet}",Cab_Nom),"{societe}",IF($K$1306=0,"",INDEX(Clients!$E$2:$E$501,$K$1306)&amp;"")),"{date_effet}",$K$1308),"{hausse}",$K$1309),"{civilite}",$K$1307)</f>
        <v>Nous vous prions d'agréer, Madame, Monsieur, l'expression de nos salutations distinguées.</v>
      </c>
      <c r="C1342" s="37"/>
      <c r="D1342" s="37"/>
      <c r="E1342" s="37"/>
      <c r="F1342" s="37"/>
    </row>
    <row r="1343" customFormat="false" ht="15" hidden="false" customHeight="false" outlineLevel="0" collapsed="false">
      <c r="B1343" s="10"/>
      <c r="C1343" s="10"/>
      <c r="D1343" s="10"/>
      <c r="E1343" s="10"/>
      <c r="F1343" s="10"/>
    </row>
    <row r="1344" customFormat="false" ht="15" hidden="false" customHeight="false" outlineLevel="0" collapsed="false">
      <c r="B1344" s="10"/>
      <c r="C1344" s="10"/>
      <c r="D1344" s="34" t="str">
        <f aca="false">Signataire</f>
        <v>Prénom NOM</v>
      </c>
      <c r="E1344" s="34"/>
      <c r="F1344" s="34"/>
    </row>
    <row r="1345" customFormat="false" ht="15" hidden="false" customHeight="false" outlineLevel="0" collapsed="false">
      <c r="B1345" s="10"/>
      <c r="C1345" s="10"/>
      <c r="D1345" s="47" t="str">
        <f aca="false">Signataire_Titre</f>
        <v>Expert-comptable associé</v>
      </c>
      <c r="E1345" s="47"/>
      <c r="F1345" s="47"/>
    </row>
    <row r="1346" customFormat="false" ht="15.75" hidden="false" customHeight="true" outlineLevel="0" collapsed="false">
      <c r="B1346" s="10"/>
      <c r="C1346" s="10"/>
      <c r="D1346" s="10"/>
      <c r="E1346" s="10"/>
      <c r="F1346" s="10"/>
    </row>
    <row r="1347" customFormat="false" ht="15.75" hidden="false" customHeight="true" outlineLevel="0" collapsed="false">
      <c r="B1347" s="10"/>
      <c r="C1347" s="10"/>
      <c r="D1347" s="10"/>
      <c r="E1347" s="10"/>
      <c r="F1347" s="10"/>
    </row>
    <row r="1348" customFormat="false" ht="15.75" hidden="false" customHeight="true" outlineLevel="0" collapsed="false">
      <c r="B1348" s="10"/>
      <c r="C1348" s="10"/>
      <c r="D1348" s="10"/>
      <c r="E1348" s="10"/>
      <c r="F1348" s="10"/>
    </row>
    <row r="1349" customFormat="false" ht="15.75" hidden="false" customHeight="true" outlineLevel="0" collapsed="false">
      <c r="B1349" s="10"/>
      <c r="C1349" s="10"/>
      <c r="D1349" s="10"/>
      <c r="E1349" s="10"/>
      <c r="F1349" s="10"/>
    </row>
    <row r="1350" customFormat="false" ht="24" hidden="false" customHeight="true" outlineLevel="0" collapsed="false">
      <c r="B1350" s="48" t="str">
        <f aca="false">Cab_Mentions</f>
        <v>ALTHO EXPERTISE · SAS au capital de 10 000 € · RCS Pontoise 919 706 325 · TVA FR62919706325 · Société d'expertise comptable inscrite au Tableau de l'Ordre des experts-comptables de Paris Île-de-France</v>
      </c>
      <c r="C1350" s="48"/>
      <c r="D1350" s="48"/>
      <c r="E1350" s="48"/>
      <c r="F1350" s="48"/>
    </row>
    <row r="1351" customFormat="false" ht="15" hidden="false" customHeight="false" outlineLevel="0" collapsed="false">
      <c r="B1351" s="10"/>
      <c r="C1351" s="10"/>
      <c r="D1351" s="10"/>
      <c r="E1351" s="10"/>
      <c r="F1351" s="10"/>
      <c r="J1351" s="25" t="s">
        <v>142</v>
      </c>
      <c r="K1351" s="25" t="n">
        <f aca="false">IFERROR(MATCH(31,Clients!$Z$2:$Z$501,0),0)</f>
        <v>0</v>
      </c>
      <c r="L1351" s="25"/>
      <c r="M1351" s="25"/>
      <c r="N1351" s="25"/>
      <c r="O1351" s="25"/>
    </row>
    <row r="1352" customFormat="false" ht="21.75" hidden="false" customHeight="true" outlineLevel="0" collapsed="false">
      <c r="B1352" s="26" t="str">
        <f aca="false">Cab_Nom</f>
        <v>ALTHO EXPERTISE</v>
      </c>
      <c r="C1352" s="26"/>
      <c r="D1352" s="10"/>
      <c r="E1352" s="27" t="str">
        <f aca="false">IF($K$1351=0,"","Réf. client : "&amp;INDEX(Clients!$A$2:$A$501,$K$1351))</f>
        <v/>
      </c>
      <c r="F1352" s="27"/>
      <c r="J1352" s="25" t="s">
        <v>144</v>
      </c>
      <c r="K1352" s="25" t="str">
        <f aca="false">IF(IF($K$1351=0,"",INDEX(Clients!$B$2:$B$501,$K$1351)&amp;"")="Mme","Madame",IF(IF($K$1351=0,"",INDEX(Clients!$B$2:$B$501,$K$1351)&amp;"")="M.","Monsieur","Madame, Monsieur"))</f>
        <v>Madame, Monsieur</v>
      </c>
      <c r="L1352" s="25"/>
      <c r="M1352" s="25"/>
      <c r="N1352" s="25"/>
      <c r="O1352" s="25"/>
    </row>
    <row r="1353" customFormat="false" ht="15" hidden="false" customHeight="false" outlineLevel="0" collapsed="false">
      <c r="B1353" s="29" t="str">
        <f aca="false">Cab_Adr1</f>
        <v>141 rue Charles de Gaulle</v>
      </c>
      <c r="C1353" s="29"/>
      <c r="D1353" s="10"/>
      <c r="E1353" s="10"/>
      <c r="F1353" s="10"/>
      <c r="J1353" s="25" t="s">
        <v>145</v>
      </c>
      <c r="K1353" s="25" t="str">
        <f aca="false">DAY(Date_Effet)&amp;IF(DAY(Date_Effet)=1,"er","")&amp;" "&amp;INDEX(Liste_Mois,MONTH(Date_Effet))&amp;" "&amp;YEAR(Date_Effet)</f>
        <v>1er janvier 2027</v>
      </c>
      <c r="L1353" s="25"/>
      <c r="M1353" s="25"/>
      <c r="N1353" s="25"/>
      <c r="O1353" s="25"/>
    </row>
    <row r="1354" customFormat="false" ht="15" hidden="false" customHeight="false" outlineLevel="0" collapsed="false">
      <c r="B1354" s="29" t="str">
        <f aca="false">Cab_CPVille</f>
        <v>95130 LE PLESSIS-BOUCHARD</v>
      </c>
      <c r="C1354" s="29"/>
      <c r="D1354" s="10"/>
      <c r="E1354" s="10"/>
      <c r="F1354" s="10"/>
      <c r="J1354" s="25" t="s">
        <v>146</v>
      </c>
      <c r="K1354" s="25" t="str">
        <f aca="false">IF(SUM($K$1378:$K$1381)=0,"",FIXED((SUM($L$1378:$L$1381)/SUM($K$1378:$K$1381)-1)*100,1)&amp;" %")</f>
        <v/>
      </c>
      <c r="L1354" s="25"/>
      <c r="M1354" s="25"/>
      <c r="N1354" s="25"/>
      <c r="O1354" s="25"/>
    </row>
    <row r="1355" customFormat="false" ht="15" hidden="false" customHeight="false" outlineLevel="0" collapsed="false">
      <c r="B1355" s="29" t="str">
        <f aca="false">Cab_Contact</f>
        <v>Tél. 01 34 14 53 45  ·  altho@altho-experts.com  ·  altho-experts.com</v>
      </c>
      <c r="C1355" s="29"/>
      <c r="D1355" s="10"/>
      <c r="E1355" s="10"/>
      <c r="F1355" s="10"/>
      <c r="J1355" s="25"/>
      <c r="K1355" s="25"/>
      <c r="L1355" s="25"/>
      <c r="M1355" s="25"/>
      <c r="N1355" s="25"/>
      <c r="O1355" s="25"/>
    </row>
    <row r="1356" customFormat="false" ht="6" hidden="false" customHeight="true" outlineLevel="0" collapsed="false">
      <c r="B1356" s="32"/>
      <c r="C1356" s="32"/>
      <c r="D1356" s="32"/>
      <c r="E1356" s="32"/>
      <c r="F1356" s="32"/>
      <c r="J1356" s="25"/>
      <c r="K1356" s="25"/>
      <c r="L1356" s="25"/>
      <c r="M1356" s="25"/>
      <c r="N1356" s="25"/>
      <c r="O1356" s="25"/>
    </row>
    <row r="1357" customFormat="false" ht="13.5" hidden="false" customHeight="true" outlineLevel="0" collapsed="false">
      <c r="B1357" s="10"/>
      <c r="C1357" s="10"/>
      <c r="D1357" s="10"/>
      <c r="E1357" s="10"/>
      <c r="F1357" s="10"/>
      <c r="J1357" s="25"/>
      <c r="K1357" s="25"/>
      <c r="L1357" s="25"/>
      <c r="M1357" s="25"/>
      <c r="N1357" s="25"/>
      <c r="O1357" s="25"/>
    </row>
    <row r="1358" customFormat="false" ht="13.5" hidden="false" customHeight="true" outlineLevel="0" collapsed="false">
      <c r="B1358" s="10"/>
      <c r="C1358" s="10"/>
      <c r="D1358" s="10"/>
      <c r="E1358" s="10"/>
      <c r="F1358" s="10"/>
      <c r="J1358" s="25"/>
      <c r="K1358" s="25"/>
      <c r="L1358" s="25"/>
      <c r="M1358" s="25"/>
      <c r="N1358" s="25"/>
      <c r="O1358" s="25"/>
    </row>
    <row r="1359" customFormat="false" ht="13.5" hidden="false" customHeight="true" outlineLevel="0" collapsed="false">
      <c r="B1359" s="10"/>
      <c r="C1359" s="10"/>
      <c r="D1359" s="10"/>
      <c r="E1359" s="10"/>
      <c r="F1359" s="10"/>
      <c r="J1359" s="25"/>
      <c r="K1359" s="25"/>
      <c r="L1359" s="25"/>
      <c r="M1359" s="25"/>
      <c r="N1359" s="25"/>
      <c r="O1359" s="25"/>
    </row>
    <row r="1360" customFormat="false" ht="15" hidden="false" customHeight="true" outlineLevel="0" collapsed="false">
      <c r="B1360" s="10"/>
      <c r="C1360" s="10"/>
      <c r="D1360" s="34" t="str">
        <f aca="false">IF($K$1351=0,"",INDEX(Clients!$E$2:$E$501,$K$1351)&amp;"")</f>
        <v/>
      </c>
      <c r="E1360" s="34"/>
      <c r="F1360" s="34"/>
      <c r="J1360" s="25"/>
      <c r="K1360" s="25"/>
      <c r="L1360" s="25"/>
      <c r="M1360" s="25"/>
      <c r="N1360" s="25"/>
      <c r="O1360" s="25"/>
    </row>
    <row r="1361" customFormat="false" ht="15" hidden="false" customHeight="true" outlineLevel="0" collapsed="false">
      <c r="B1361" s="10"/>
      <c r="C1361" s="10"/>
      <c r="D1361" s="35" t="str">
        <f aca="false">IF(IF($K$1351=0,"",INDEX(Clients!$D$2:$D$501,$K$1351)&amp;"")="","","À l'attention de "&amp;TRIM(IF($K$1351=0,"",INDEX(Clients!$B$2:$B$501,$K$1351)&amp;"")&amp;" "&amp;IF($K$1351=0,"",INDEX(Clients!$C$2:$C$501,$K$1351)&amp;"")&amp;" "&amp;IF($K$1351=0,"",INDEX(Clients!$D$2:$D$501,$K$1351)&amp;"")))</f>
        <v/>
      </c>
      <c r="E1361" s="35"/>
      <c r="F1361" s="35"/>
      <c r="J1361" s="25"/>
      <c r="K1361" s="25"/>
      <c r="L1361" s="25"/>
      <c r="M1361" s="25"/>
      <c r="N1361" s="25"/>
      <c r="O1361" s="25"/>
    </row>
    <row r="1362" customFormat="false" ht="15" hidden="false" customHeight="true" outlineLevel="0" collapsed="false">
      <c r="B1362" s="10"/>
      <c r="C1362" s="10"/>
      <c r="D1362" s="35" t="str">
        <f aca="false">IF($K$1351=0,"",INDEX(Clients!$F$2:$F$501,$K$1351)&amp;"")</f>
        <v/>
      </c>
      <c r="E1362" s="35"/>
      <c r="F1362" s="35"/>
      <c r="J1362" s="25"/>
      <c r="K1362" s="25"/>
      <c r="L1362" s="25"/>
      <c r="M1362" s="25"/>
      <c r="N1362" s="25"/>
      <c r="O1362" s="25"/>
    </row>
    <row r="1363" customFormat="false" ht="15" hidden="false" customHeight="true" outlineLevel="0" collapsed="false">
      <c r="B1363" s="10"/>
      <c r="C1363" s="10"/>
      <c r="D1363" s="35" t="str">
        <f aca="false">IF(IF($K$1351=0,"",INDEX(Clients!$G$2:$G$501,$K$1351)&amp;"")="",TRIM(IF($K$1351=0,"",INDEX(Clients!$H$2:$H$501,$K$1351)&amp;"")&amp;" "&amp;UPPER(IF($K$1351=0,"",INDEX(Clients!$I$2:$I$501,$K$1351)&amp;""))),IF($K$1351=0,"",INDEX(Clients!$G$2:$G$501,$K$1351)&amp;""))</f>
        <v/>
      </c>
      <c r="E1363" s="35"/>
      <c r="F1363" s="35"/>
      <c r="J1363" s="25"/>
      <c r="K1363" s="25"/>
      <c r="L1363" s="25"/>
      <c r="M1363" s="25"/>
      <c r="N1363" s="25"/>
      <c r="O1363" s="25"/>
    </row>
    <row r="1364" customFormat="false" ht="15" hidden="false" customHeight="true" outlineLevel="0" collapsed="false">
      <c r="B1364" s="10"/>
      <c r="C1364" s="10"/>
      <c r="D1364" s="35" t="str">
        <f aca="false">IF(IF($K$1351=0,"",INDEX(Clients!$G$2:$G$501,$K$1351)&amp;"")="","",TRIM(IF($K$1351=0,"",INDEX(Clients!$H$2:$H$501,$K$1351)&amp;"")&amp;" "&amp;UPPER(IF($K$1351=0,"",INDEX(Clients!$I$2:$I$501,$K$1351)&amp;""))))</f>
        <v/>
      </c>
      <c r="E1364" s="35"/>
      <c r="F1364" s="35"/>
      <c r="J1364" s="25"/>
      <c r="K1364" s="25"/>
      <c r="L1364" s="25"/>
      <c r="M1364" s="25"/>
      <c r="N1364" s="25"/>
      <c r="O1364" s="25"/>
    </row>
    <row r="1365" customFormat="false" ht="25.5" hidden="false" customHeight="true" outlineLevel="0" collapsed="false">
      <c r="B1365" s="10"/>
      <c r="C1365" s="10"/>
      <c r="D1365" s="10"/>
      <c r="E1365" s="10"/>
      <c r="F1365" s="10"/>
      <c r="J1365" s="25"/>
      <c r="K1365" s="25"/>
      <c r="L1365" s="25"/>
      <c r="M1365" s="25"/>
      <c r="N1365" s="25"/>
      <c r="O1365" s="25"/>
    </row>
    <row r="1366" customFormat="false" ht="15" hidden="false" customHeight="false" outlineLevel="0" collapsed="false">
      <c r="B1366" s="10"/>
      <c r="C1366" s="10"/>
      <c r="D1366" s="36" t="str">
        <f aca="false">Cab_Ville&amp;", le "&amp;DAY(Date_Courrier)&amp;IF(DAY(Date_Courrier)=1,"er","")&amp;" "&amp;INDEX(Liste_Mois,MONTH(Date_Courrier))&amp;" "&amp;YEAR(Date_Courrier)</f>
        <v>Le Plessis-Bouchard, le 22 septembre 2026</v>
      </c>
      <c r="E1366" s="36"/>
      <c r="F1366" s="36"/>
      <c r="J1366" s="25"/>
      <c r="K1366" s="25"/>
      <c r="L1366" s="25"/>
      <c r="M1366" s="25"/>
      <c r="N1366" s="25"/>
      <c r="O1366" s="25"/>
    </row>
    <row r="1367" customFormat="false" ht="19.5" hidden="false" customHeight="true" outlineLevel="0" collapsed="false">
      <c r="B1367" s="10"/>
      <c r="C1367" s="10"/>
      <c r="D1367" s="10"/>
      <c r="E1367" s="10"/>
      <c r="F1367" s="10"/>
      <c r="J1367" s="25"/>
      <c r="K1367" s="25"/>
      <c r="L1367" s="25"/>
      <c r="M1367" s="25"/>
      <c r="N1367" s="25"/>
      <c r="O1367" s="25"/>
    </row>
    <row r="1368" customFormat="false" ht="15" hidden="false" customHeight="false" outlineLevel="0" collapsed="false">
      <c r="B1368" s="34" t="str">
        <f aca="false">SUBSTITUTE(SUBSTITUTE(SUBSTITUTE(SUBSTITUTE(SUBSTITUTE(Txt_Objet,"{cabinet}",Cab_Nom),"{societe}",IF($K$1351=0,"",INDEX(Clients!$E$2:$E$501,$K$1351)&amp;"")),"{date_effet}",$K$1353),"{hausse}",$K$1354),"{civilite}",$K$1352)</f>
        <v>Objet : révision de nos honoraires au 1er janvier 2027</v>
      </c>
      <c r="C1368" s="34"/>
      <c r="D1368" s="34"/>
      <c r="E1368" s="34"/>
      <c r="F1368" s="34"/>
      <c r="J1368" s="25"/>
      <c r="K1368" s="25"/>
      <c r="L1368" s="25"/>
      <c r="M1368" s="25"/>
      <c r="N1368" s="25"/>
      <c r="O1368" s="25"/>
    </row>
    <row r="1369" customFormat="false" ht="13.5" hidden="false" customHeight="true" outlineLevel="0" collapsed="false">
      <c r="B1369" s="10"/>
      <c r="C1369" s="10"/>
      <c r="D1369" s="10"/>
      <c r="E1369" s="10"/>
      <c r="F1369" s="10"/>
      <c r="J1369" s="25"/>
      <c r="K1369" s="25"/>
      <c r="L1369" s="25"/>
      <c r="M1369" s="25"/>
      <c r="N1369" s="25"/>
      <c r="O1369" s="25"/>
    </row>
    <row r="1370" customFormat="false" ht="15" hidden="false" customHeight="false" outlineLevel="0" collapsed="false">
      <c r="B1370" s="10" t="str">
        <f aca="false">$K$1352&amp;","</f>
        <v>Madame, Monsieur,</v>
      </c>
      <c r="C1370" s="10"/>
      <c r="D1370" s="10"/>
      <c r="E1370" s="10"/>
      <c r="F1370" s="10"/>
      <c r="J1370" s="25"/>
      <c r="K1370" s="25"/>
      <c r="L1370" s="25"/>
      <c r="M1370" s="25"/>
      <c r="N1370" s="25"/>
      <c r="O1370" s="25"/>
    </row>
    <row r="1371" customFormat="false" ht="6" hidden="false" customHeight="true" outlineLevel="0" collapsed="false">
      <c r="B1371" s="10"/>
      <c r="C1371" s="10"/>
      <c r="D1371" s="10"/>
      <c r="E1371" s="10"/>
      <c r="F1371" s="10"/>
      <c r="J1371" s="25"/>
      <c r="K1371" s="25"/>
      <c r="L1371" s="25"/>
      <c r="M1371" s="25"/>
      <c r="N1371" s="25"/>
      <c r="O1371" s="25"/>
    </row>
    <row r="1372" customFormat="false" ht="36.75" hidden="false" customHeight="true" outlineLevel="0" collapsed="false">
      <c r="B1372" s="37" t="str">
        <f aca="false">SUBSTITUTE(SUBSTITUTE(SUBSTITUTE(SUBSTITUTE(SUBSTITUTE(Txt_P1,"{cabinet}",Cab_Nom),"{societe}",IF($K$1351=0,"",INDEX(Clients!$E$2:$E$501,$K$1351)&amp;"")),"{date_effet}",$K$1353),"{hausse}",$K$1354),"{civilite}",$K$1352)</f>
        <v>Nous tenons tout d'abord à vous remercier pour la confiance que vous accordez à ALTHO EXPERTISE. Comme chaque année, et conformément aux dispositions de votre lettre de mission, nous procédons à la révision de nos honoraires.</v>
      </c>
      <c r="C1372" s="37"/>
      <c r="D1372" s="37"/>
      <c r="E1372" s="37"/>
      <c r="F1372" s="37"/>
      <c r="J1372" s="25"/>
      <c r="K1372" s="25"/>
      <c r="L1372" s="25"/>
      <c r="M1372" s="25"/>
      <c r="N1372" s="25"/>
      <c r="O1372" s="25"/>
    </row>
    <row r="1373" customFormat="false" ht="49.5" hidden="false" customHeight="true" outlineLevel="0" collapsed="false">
      <c r="B1373" s="37" t="str">
        <f aca="false">SUBSTITUTE(SUBSTITUTE(SUBSTITUTE(SUBSTITUTE(SUBSTITUTE(Txt_P2,"{cabinet}",Cab_Nom),"{societe}",IF($K$1351=0,"",INDEX(Clients!$E$2:$E$501,$K$1351)&amp;"")),"{date_effet}",$K$1353),"{hausse}",$K$1354),"{civilite}",$K$1352)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73" s="37"/>
      <c r="D1373" s="37"/>
      <c r="E1373" s="37"/>
      <c r="F1373" s="37"/>
      <c r="J1373" s="25"/>
      <c r="K1373" s="25"/>
      <c r="L1373" s="25"/>
      <c r="M1373" s="25"/>
      <c r="N1373" s="25"/>
      <c r="O1373" s="25"/>
    </row>
    <row r="1374" customFormat="false" ht="63" hidden="false" customHeight="true" outlineLevel="0" collapsed="false">
      <c r="B1374" s="37" t="str">
        <f aca="false">SUBSTITUTE(SUBSTITUTE(SUBSTITUTE(SUBSTITUTE(SUBSTITUTE(Txt_P3,"{cabinet}",Cab_Nom),"{societe}",IF($K$1351=0,"",INDEX(Clients!$E$2:$E$501,$K$1351)&amp;"")),"{date_effet}",$K$1353),"{hausse}",$K$1354),"{civilite}",$K$1352)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74" s="37"/>
      <c r="D1374" s="37"/>
      <c r="E1374" s="37"/>
      <c r="F1374" s="37"/>
      <c r="J1374" s="25"/>
      <c r="K1374" s="25"/>
      <c r="L1374" s="25"/>
      <c r="M1374" s="25"/>
      <c r="N1374" s="25"/>
      <c r="O1374" s="25"/>
    </row>
    <row r="1375" customFormat="false" ht="24" hidden="false" customHeight="true" outlineLevel="0" collapsed="false">
      <c r="B1375" s="37" t="str">
        <f aca="false">SUBSTITUTE(SUBSTITUTE(SUBSTITUTE(SUBSTITUTE(SUBSTITUTE(Txt_P4,"{cabinet}",Cab_Nom),"{societe}",IF($K$1351=0,"",INDEX(Clients!$E$2:$E$501,$K$1351)&amp;"")),"{date_effet}",$K$1353),"{hausse}",$K$1354),"{civilite}",$K$1352)</f>
        <v>À compter du 1er janvier 2027, vos honoraires annuels hors taxes évolueront ainsi (évolution globale : ) :</v>
      </c>
      <c r="C1375" s="37"/>
      <c r="D1375" s="37"/>
      <c r="E1375" s="37"/>
      <c r="F1375" s="37"/>
      <c r="J1375" s="25"/>
      <c r="K1375" s="25"/>
      <c r="L1375" s="25"/>
      <c r="M1375" s="25"/>
      <c r="N1375" s="25"/>
      <c r="O1375" s="25"/>
    </row>
    <row r="1376" customFormat="false" ht="3.75" hidden="false" customHeight="true" outlineLevel="0" collapsed="false">
      <c r="B1376" s="10"/>
      <c r="C1376" s="10"/>
      <c r="D1376" s="10"/>
      <c r="E1376" s="10"/>
      <c r="F1376" s="10"/>
      <c r="J1376" s="25"/>
      <c r="K1376" s="25"/>
      <c r="L1376" s="25"/>
      <c r="M1376" s="25"/>
      <c r="N1376" s="25"/>
      <c r="O1376" s="25"/>
    </row>
    <row r="1377" customFormat="false" ht="18" hidden="false" customHeight="true" outlineLevel="0" collapsed="false">
      <c r="B1377" s="38" t="s">
        <v>148</v>
      </c>
      <c r="C1377" s="39" t="s">
        <v>149</v>
      </c>
      <c r="D1377" s="39" t="s">
        <v>150</v>
      </c>
      <c r="E1377" s="39" t="s">
        <v>151</v>
      </c>
      <c r="F1377" s="39" t="s">
        <v>109</v>
      </c>
      <c r="J1377" s="25" t="s">
        <v>152</v>
      </c>
      <c r="K1377" s="25" t="s">
        <v>153</v>
      </c>
      <c r="L1377" s="25" t="s">
        <v>154</v>
      </c>
      <c r="M1377" s="25" t="s">
        <v>155</v>
      </c>
      <c r="N1377" s="25" t="s">
        <v>156</v>
      </c>
      <c r="O1377" s="25" t="s">
        <v>157</v>
      </c>
    </row>
    <row r="1378" customFormat="false" ht="16.5" hidden="false" customHeight="true" outlineLevel="0" collapsed="false">
      <c r="B1378" s="40" t="str">
        <f aca="false">IFERROR(INDEX($J$1378:$J$1381,MATCH($O1378,$N$1378:$N$1381,0)),"")</f>
        <v/>
      </c>
      <c r="C1378" s="41" t="str">
        <f aca="false">IFERROR(INDEX($K$1378:$K$1381,MATCH($O1378,$N$1378:$N$1381,0)),"")</f>
        <v/>
      </c>
      <c r="D1378" s="42" t="str">
        <f aca="false">IF(OR(E1378="",N(C1378)=0),"",E1378/C1378-1)</f>
        <v/>
      </c>
      <c r="E1378" s="41" t="str">
        <f aca="false">IFERROR(INDEX($L$1378:$L$1381,MATCH($O1378,$N$1378:$N$1381,0)),"")</f>
        <v/>
      </c>
      <c r="F1378" s="41" t="str">
        <f aca="false">IF(E1378="","",E1378-C1378)</f>
        <v/>
      </c>
      <c r="J1378" s="25" t="str">
        <f aca="false">Lib_Compta</f>
        <v>Mission comptable (tenue, révision, bilan, liasse fiscale)</v>
      </c>
      <c r="K1378" s="25" t="n">
        <f aca="false">IF($K$1351=0,0,N(INDEX(Clients!$K$2:$K$501,$K$1351)))</f>
        <v>0</v>
      </c>
      <c r="L1378" s="25" t="n">
        <f aca="false">IF($K$1351=0,0,N(INDEX(Clients!$P$2:$P$501,$K$1351)))</f>
        <v>0</v>
      </c>
      <c r="M1378" s="25" t="n">
        <f aca="false">IF(OR(K1378&lt;&gt;0,L1378&lt;&gt;0),1,0)</f>
        <v>0</v>
      </c>
      <c r="N1378" s="25" t="str">
        <f aca="false">IF(M1378=1,SUM($M$1378:M1378),"")</f>
        <v/>
      </c>
      <c r="O1378" s="25" t="n">
        <v>1</v>
      </c>
    </row>
    <row r="1379" customFormat="false" ht="16.5" hidden="false" customHeight="true" outlineLevel="0" collapsed="false">
      <c r="B1379" s="40" t="str">
        <f aca="false">IFERROR(INDEX($J$1378:$J$1381,MATCH($O1379,$N$1378:$N$1381,0)),"")</f>
        <v/>
      </c>
      <c r="C1379" s="41" t="str">
        <f aca="false">IFERROR(INDEX($K$1378:$K$1381,MATCH($O1379,$N$1378:$N$1381,0)),"")</f>
        <v/>
      </c>
      <c r="D1379" s="42" t="str">
        <f aca="false">IF(OR(E1379="",N(C1379)=0),"",E1379/C1379-1)</f>
        <v/>
      </c>
      <c r="E1379" s="41" t="str">
        <f aca="false">IFERROR(INDEX($L$1378:$L$1381,MATCH($O1379,$N$1378:$N$1381,0)),"")</f>
        <v/>
      </c>
      <c r="F1379" s="41" t="str">
        <f aca="false">IF(E1379="","",E1379-C1379)</f>
        <v/>
      </c>
      <c r="J1379" s="25" t="str">
        <f aca="false">Lib_Paye</f>
        <v>Mission sociale (bulletins de paie, DSN, déclarations sociales)</v>
      </c>
      <c r="K1379" s="25" t="n">
        <f aca="false">IF($K$1351=0,0,N(INDEX(Clients!$L$2:$L$501,$K$1351)))</f>
        <v>0</v>
      </c>
      <c r="L1379" s="25" t="n">
        <f aca="false">IF($K$1351=0,0,N(INDEX(Clients!$Q$2:$Q$501,$K$1351)))</f>
        <v>0</v>
      </c>
      <c r="M1379" s="25" t="n">
        <f aca="false">IF(OR(K1379&lt;&gt;0,L1379&lt;&gt;0),1,0)</f>
        <v>0</v>
      </c>
      <c r="N1379" s="25" t="str">
        <f aca="false">IF(M1379=1,SUM($M$1378:M1379),"")</f>
        <v/>
      </c>
      <c r="O1379" s="25" t="n">
        <v>2</v>
      </c>
    </row>
    <row r="1380" customFormat="false" ht="16.5" hidden="false" customHeight="true" outlineLevel="0" collapsed="false">
      <c r="B1380" s="40" t="str">
        <f aca="false">IFERROR(INDEX($J$1378:$J$1381,MATCH($O1380,$N$1378:$N$1381,0)),"")</f>
        <v/>
      </c>
      <c r="C1380" s="41" t="str">
        <f aca="false">IFERROR(INDEX($K$1378:$K$1381,MATCH($O1380,$N$1378:$N$1381,0)),"")</f>
        <v/>
      </c>
      <c r="D1380" s="42" t="str">
        <f aca="false">IF(OR(E1380="",N(C1380)=0),"",E1380/C1380-1)</f>
        <v/>
      </c>
      <c r="E1380" s="41" t="str">
        <f aca="false">IFERROR(INDEX($L$1378:$L$1381,MATCH($O1380,$N$1378:$N$1381,0)),"")</f>
        <v/>
      </c>
      <c r="F1380" s="41" t="str">
        <f aca="false">IF(E1380="","",E1380-C1380)</f>
        <v/>
      </c>
      <c r="J1380" s="25" t="str">
        <f aca="false">Lib_Jur</f>
        <v>Mission juridique (approbation des comptes, secrétariat juridique)</v>
      </c>
      <c r="K1380" s="25" t="n">
        <f aca="false">IF($K$1351=0,0,N(INDEX(Clients!$M$2:$M$501,$K$1351)))</f>
        <v>0</v>
      </c>
      <c r="L1380" s="25" t="n">
        <f aca="false">IF($K$1351=0,0,N(INDEX(Clients!$R$2:$R$501,$K$1351)))</f>
        <v>0</v>
      </c>
      <c r="M1380" s="25" t="n">
        <f aca="false">IF(OR(K1380&lt;&gt;0,L1380&lt;&gt;0),1,0)</f>
        <v>0</v>
      </c>
      <c r="N1380" s="25" t="str">
        <f aca="false">IF(M1380=1,SUM($M$1378:M1380),"")</f>
        <v/>
      </c>
      <c r="O1380" s="25" t="n">
        <v>3</v>
      </c>
    </row>
    <row r="1381" customFormat="false" ht="16.5" hidden="false" customHeight="true" outlineLevel="0" collapsed="false">
      <c r="B1381" s="40" t="str">
        <f aca="false">IFERROR(INDEX($J$1378:$J$1381,MATCH($O1381,$N$1378:$N$1381,0)),"")</f>
        <v/>
      </c>
      <c r="C1381" s="41" t="str">
        <f aca="false">IFERROR(INDEX($K$1378:$K$1381,MATCH($O1381,$N$1378:$N$1381,0)),"")</f>
        <v/>
      </c>
      <c r="D1381" s="42" t="str">
        <f aca="false">IF(OR(E1381="",N(C1381)=0),"",E1381/C1381-1)</f>
        <v/>
      </c>
      <c r="E1381" s="41" t="str">
        <f aca="false">IFERROR(INDEX($L$1378:$L$1381,MATCH($O1381,$N$1378:$N$1381,0)),"")</f>
        <v/>
      </c>
      <c r="F1381" s="41" t="str">
        <f aca="false">IF(E1381="","",E1381-C1381)</f>
        <v/>
      </c>
      <c r="J1381" s="25" t="str">
        <f aca="false">Lib_PA</f>
        <v>Plateforme agréée – facturation électronique</v>
      </c>
      <c r="K1381" s="25" t="n">
        <f aca="false">IF($K$1351=0,0,N(INDEX(Clients!$N$2:$N$501,$K$1351)))</f>
        <v>0</v>
      </c>
      <c r="L1381" s="25" t="n">
        <f aca="false">IF($K$1351=0,0,N(INDEX(Clients!$S$2:$S$501,$K$1351)))</f>
        <v>0</v>
      </c>
      <c r="M1381" s="25" t="n">
        <f aca="false">IF(OR(K1381&lt;&gt;0,L1381&lt;&gt;0),1,0)</f>
        <v>0</v>
      </c>
      <c r="N1381" s="25" t="str">
        <f aca="false">IF(M1381=1,SUM($M$1378:M1381),"")</f>
        <v/>
      </c>
      <c r="O1381" s="25" t="n">
        <v>4</v>
      </c>
    </row>
    <row r="1382" customFormat="false" ht="18" hidden="false" customHeight="true" outlineLevel="0" collapsed="false">
      <c r="B1382" s="43" t="s">
        <v>158</v>
      </c>
      <c r="C1382" s="44" t="n">
        <f aca="false">SUM(K1378:K1381)</f>
        <v>0</v>
      </c>
      <c r="D1382" s="45" t="str">
        <f aca="false">IF(N(C1382)=0,"",E1382/C1382-1)</f>
        <v/>
      </c>
      <c r="E1382" s="44" t="n">
        <f aca="false">SUM(L1378:L1381)</f>
        <v>0</v>
      </c>
      <c r="F1382" s="44" t="n">
        <f aca="false">E1382-C1382</f>
        <v>0</v>
      </c>
    </row>
    <row r="1383" customFormat="false" ht="15" hidden="false" customHeight="false" outlineLevel="0" collapsed="false">
      <c r="B1383" s="46" t="str">
        <f aca="false">IF(N(Nb_Mensualites)=0,"","Soit "&amp;FIXED(E1382/Nb_Mensualites,2)&amp;" € HT par échéance ("&amp;Nb_Mensualites&amp;" échéances), "&amp;FIXED(E1382/Nb_Mensualites*(1+Taux_TVA),2)&amp;" € TTC.")</f>
        <v>Soit 0.00 € HT par échéance (12 échéances), 0.00 € TTC.</v>
      </c>
      <c r="C1383" s="46"/>
      <c r="D1383" s="46"/>
      <c r="E1383" s="46"/>
      <c r="F1383" s="46"/>
    </row>
    <row r="1384" customFormat="false" ht="7.5" hidden="false" customHeight="true" outlineLevel="0" collapsed="false">
      <c r="B1384" s="10"/>
      <c r="C1384" s="10"/>
      <c r="D1384" s="10"/>
      <c r="E1384" s="10"/>
      <c r="F1384" s="10"/>
    </row>
    <row r="1385" customFormat="false" ht="36.75" hidden="false" customHeight="true" outlineLevel="0" collapsed="false">
      <c r="B1385" s="37" t="str">
        <f aca="false">SUBSTITUTE(SUBSTITUTE(SUBSTITUTE(SUBSTITUTE(SUBSTITUTE(Txt_P5,"{cabinet}",Cab_Nom),"{societe}",IF($K$1351=0,"",INDEX(Clients!$E$2:$E$501,$K$1351)&amp;"")),"{date_effet}",$K$1353),"{hausse}",$K$1354),"{civilite}",$K$1352)</f>
        <v>Les autres conditions de votre lettre de mission demeurent inchangées. Les nouveaux montants seront appliqués automatiquement sur vos prochaines factures et échéances de prélèvement.</v>
      </c>
      <c r="C1385" s="37"/>
      <c r="D1385" s="37"/>
      <c r="E1385" s="37"/>
      <c r="F1385" s="37"/>
    </row>
    <row r="1386" customFormat="false" ht="36.75" hidden="false" customHeight="true" outlineLevel="0" collapsed="false">
      <c r="B1386" s="37" t="str">
        <f aca="false">SUBSTITUTE(SUBSTITUTE(SUBSTITUTE(SUBSTITUTE(SUBSTITUTE(Txt_P6,"{cabinet}",Cab_Nom),"{societe}",IF($K$1351=0,"",INDEX(Clients!$E$2:$E$501,$K$1351)&amp;"")),"{date_effet}",$K$1353),"{hausse}",$K$1354),"{civilite}",$K$1352)</f>
        <v>Votre interlocuteur habituel reste à votre entière disposition pour répondre à vos questions et faire le point sur l'évolution de vos besoins.</v>
      </c>
      <c r="C1386" s="37"/>
      <c r="D1386" s="37"/>
      <c r="E1386" s="37"/>
      <c r="F1386" s="37"/>
    </row>
    <row r="1387" customFormat="false" ht="24" hidden="false" customHeight="true" outlineLevel="0" collapsed="false">
      <c r="B1387" s="37" t="str">
        <f aca="false">SUBSTITUTE(SUBSTITUTE(SUBSTITUTE(SUBSTITUTE(SUBSTITUTE(Txt_Politesse,"{cabinet}",Cab_Nom),"{societe}",IF($K$1351=0,"",INDEX(Clients!$E$2:$E$501,$K$1351)&amp;"")),"{date_effet}",$K$1353),"{hausse}",$K$1354),"{civilite}",$K$1352)</f>
        <v>Nous vous prions d'agréer, Madame, Monsieur, l'expression de nos salutations distinguées.</v>
      </c>
      <c r="C1387" s="37"/>
      <c r="D1387" s="37"/>
      <c r="E1387" s="37"/>
      <c r="F1387" s="37"/>
    </row>
    <row r="1388" customFormat="false" ht="15" hidden="false" customHeight="false" outlineLevel="0" collapsed="false">
      <c r="B1388" s="10"/>
      <c r="C1388" s="10"/>
      <c r="D1388" s="10"/>
      <c r="E1388" s="10"/>
      <c r="F1388" s="10"/>
    </row>
    <row r="1389" customFormat="false" ht="15" hidden="false" customHeight="false" outlineLevel="0" collapsed="false">
      <c r="B1389" s="10"/>
      <c r="C1389" s="10"/>
      <c r="D1389" s="34" t="str">
        <f aca="false">Signataire</f>
        <v>Prénom NOM</v>
      </c>
      <c r="E1389" s="34"/>
      <c r="F1389" s="34"/>
    </row>
    <row r="1390" customFormat="false" ht="15" hidden="false" customHeight="false" outlineLevel="0" collapsed="false">
      <c r="B1390" s="10"/>
      <c r="C1390" s="10"/>
      <c r="D1390" s="47" t="str">
        <f aca="false">Signataire_Titre</f>
        <v>Expert-comptable associé</v>
      </c>
      <c r="E1390" s="47"/>
      <c r="F1390" s="47"/>
    </row>
    <row r="1391" customFormat="false" ht="15.75" hidden="false" customHeight="true" outlineLevel="0" collapsed="false">
      <c r="B1391" s="10"/>
      <c r="C1391" s="10"/>
      <c r="D1391" s="10"/>
      <c r="E1391" s="10"/>
      <c r="F1391" s="10"/>
    </row>
    <row r="1392" customFormat="false" ht="15.75" hidden="false" customHeight="true" outlineLevel="0" collapsed="false">
      <c r="B1392" s="10"/>
      <c r="C1392" s="10"/>
      <c r="D1392" s="10"/>
      <c r="E1392" s="10"/>
      <c r="F1392" s="10"/>
    </row>
    <row r="1393" customFormat="false" ht="15.75" hidden="false" customHeight="true" outlineLevel="0" collapsed="false">
      <c r="B1393" s="10"/>
      <c r="C1393" s="10"/>
      <c r="D1393" s="10"/>
      <c r="E1393" s="10"/>
      <c r="F1393" s="10"/>
    </row>
    <row r="1394" customFormat="false" ht="15.75" hidden="false" customHeight="true" outlineLevel="0" collapsed="false">
      <c r="B1394" s="10"/>
      <c r="C1394" s="10"/>
      <c r="D1394" s="10"/>
      <c r="E1394" s="10"/>
      <c r="F1394" s="10"/>
    </row>
    <row r="1395" customFormat="false" ht="24" hidden="false" customHeight="true" outlineLevel="0" collapsed="false">
      <c r="B1395" s="48" t="str">
        <f aca="false">Cab_Mentions</f>
        <v>ALTHO EXPERTISE · SAS au capital de 10 000 € · RCS Pontoise 919 706 325 · TVA FR62919706325 · Société d'expertise comptable inscrite au Tableau de l'Ordre des experts-comptables de Paris Île-de-France</v>
      </c>
      <c r="C1395" s="48"/>
      <c r="D1395" s="48"/>
      <c r="E1395" s="48"/>
      <c r="F1395" s="48"/>
    </row>
    <row r="1396" customFormat="false" ht="15" hidden="false" customHeight="false" outlineLevel="0" collapsed="false">
      <c r="B1396" s="10"/>
      <c r="C1396" s="10"/>
      <c r="D1396" s="10"/>
      <c r="E1396" s="10"/>
      <c r="F1396" s="10"/>
      <c r="J1396" s="25" t="s">
        <v>142</v>
      </c>
      <c r="K1396" s="25" t="n">
        <f aca="false">IFERROR(MATCH(32,Clients!$Z$2:$Z$501,0),0)</f>
        <v>0</v>
      </c>
      <c r="L1396" s="25"/>
      <c r="M1396" s="25"/>
      <c r="N1396" s="25"/>
      <c r="O1396" s="25"/>
    </row>
    <row r="1397" customFormat="false" ht="21.75" hidden="false" customHeight="true" outlineLevel="0" collapsed="false">
      <c r="B1397" s="26" t="str">
        <f aca="false">Cab_Nom</f>
        <v>ALTHO EXPERTISE</v>
      </c>
      <c r="C1397" s="26"/>
      <c r="D1397" s="10"/>
      <c r="E1397" s="27" t="str">
        <f aca="false">IF($K$1396=0,"","Réf. client : "&amp;INDEX(Clients!$A$2:$A$501,$K$1396))</f>
        <v/>
      </c>
      <c r="F1397" s="27"/>
      <c r="J1397" s="25" t="s">
        <v>144</v>
      </c>
      <c r="K1397" s="25" t="str">
        <f aca="false">IF(IF($K$1396=0,"",INDEX(Clients!$B$2:$B$501,$K$1396)&amp;"")="Mme","Madame",IF(IF($K$1396=0,"",INDEX(Clients!$B$2:$B$501,$K$1396)&amp;"")="M.","Monsieur","Madame, Monsieur"))</f>
        <v>Madame, Monsieur</v>
      </c>
      <c r="L1397" s="25"/>
      <c r="M1397" s="25"/>
      <c r="N1397" s="25"/>
      <c r="O1397" s="25"/>
    </row>
    <row r="1398" customFormat="false" ht="15" hidden="false" customHeight="false" outlineLevel="0" collapsed="false">
      <c r="B1398" s="29" t="str">
        <f aca="false">Cab_Adr1</f>
        <v>141 rue Charles de Gaulle</v>
      </c>
      <c r="C1398" s="29"/>
      <c r="D1398" s="10"/>
      <c r="E1398" s="10"/>
      <c r="F1398" s="10"/>
      <c r="J1398" s="25" t="s">
        <v>145</v>
      </c>
      <c r="K1398" s="25" t="str">
        <f aca="false">DAY(Date_Effet)&amp;IF(DAY(Date_Effet)=1,"er","")&amp;" "&amp;INDEX(Liste_Mois,MONTH(Date_Effet))&amp;" "&amp;YEAR(Date_Effet)</f>
        <v>1er janvier 2027</v>
      </c>
      <c r="L1398" s="25"/>
      <c r="M1398" s="25"/>
      <c r="N1398" s="25"/>
      <c r="O1398" s="25"/>
    </row>
    <row r="1399" customFormat="false" ht="15" hidden="false" customHeight="false" outlineLevel="0" collapsed="false">
      <c r="B1399" s="29" t="str">
        <f aca="false">Cab_CPVille</f>
        <v>95130 LE PLESSIS-BOUCHARD</v>
      </c>
      <c r="C1399" s="29"/>
      <c r="D1399" s="10"/>
      <c r="E1399" s="10"/>
      <c r="F1399" s="10"/>
      <c r="J1399" s="25" t="s">
        <v>146</v>
      </c>
      <c r="K1399" s="25" t="str">
        <f aca="false">IF(SUM($K$1423:$K$1426)=0,"",FIXED((SUM($L$1423:$L$1426)/SUM($K$1423:$K$1426)-1)*100,1)&amp;" %")</f>
        <v/>
      </c>
      <c r="L1399" s="25"/>
      <c r="M1399" s="25"/>
      <c r="N1399" s="25"/>
      <c r="O1399" s="25"/>
    </row>
    <row r="1400" customFormat="false" ht="15" hidden="false" customHeight="false" outlineLevel="0" collapsed="false">
      <c r="B1400" s="29" t="str">
        <f aca="false">Cab_Contact</f>
        <v>Tél. 01 34 14 53 45  ·  altho@altho-experts.com  ·  altho-experts.com</v>
      </c>
      <c r="C1400" s="29"/>
      <c r="D1400" s="10"/>
      <c r="E1400" s="10"/>
      <c r="F1400" s="10"/>
      <c r="J1400" s="25"/>
      <c r="K1400" s="25"/>
      <c r="L1400" s="25"/>
      <c r="M1400" s="25"/>
      <c r="N1400" s="25"/>
      <c r="O1400" s="25"/>
    </row>
    <row r="1401" customFormat="false" ht="6" hidden="false" customHeight="true" outlineLevel="0" collapsed="false">
      <c r="B1401" s="32"/>
      <c r="C1401" s="32"/>
      <c r="D1401" s="32"/>
      <c r="E1401" s="32"/>
      <c r="F1401" s="32"/>
      <c r="J1401" s="25"/>
      <c r="K1401" s="25"/>
      <c r="L1401" s="25"/>
      <c r="M1401" s="25"/>
      <c r="N1401" s="25"/>
      <c r="O1401" s="25"/>
    </row>
    <row r="1402" customFormat="false" ht="13.5" hidden="false" customHeight="true" outlineLevel="0" collapsed="false">
      <c r="B1402" s="10"/>
      <c r="C1402" s="10"/>
      <c r="D1402" s="10"/>
      <c r="E1402" s="10"/>
      <c r="F1402" s="10"/>
      <c r="J1402" s="25"/>
      <c r="K1402" s="25"/>
      <c r="L1402" s="25"/>
      <c r="M1402" s="25"/>
      <c r="N1402" s="25"/>
      <c r="O1402" s="25"/>
    </row>
    <row r="1403" customFormat="false" ht="13.5" hidden="false" customHeight="true" outlineLevel="0" collapsed="false">
      <c r="B1403" s="10"/>
      <c r="C1403" s="10"/>
      <c r="D1403" s="10"/>
      <c r="E1403" s="10"/>
      <c r="F1403" s="10"/>
      <c r="J1403" s="25"/>
      <c r="K1403" s="25"/>
      <c r="L1403" s="25"/>
      <c r="M1403" s="25"/>
      <c r="N1403" s="25"/>
      <c r="O1403" s="25"/>
    </row>
    <row r="1404" customFormat="false" ht="13.5" hidden="false" customHeight="true" outlineLevel="0" collapsed="false">
      <c r="B1404" s="10"/>
      <c r="C1404" s="10"/>
      <c r="D1404" s="10"/>
      <c r="E1404" s="10"/>
      <c r="F1404" s="10"/>
      <c r="J1404" s="25"/>
      <c r="K1404" s="25"/>
      <c r="L1404" s="25"/>
      <c r="M1404" s="25"/>
      <c r="N1404" s="25"/>
      <c r="O1404" s="25"/>
    </row>
    <row r="1405" customFormat="false" ht="15" hidden="false" customHeight="true" outlineLevel="0" collapsed="false">
      <c r="B1405" s="10"/>
      <c r="C1405" s="10"/>
      <c r="D1405" s="34" t="str">
        <f aca="false">IF($K$1396=0,"",INDEX(Clients!$E$2:$E$501,$K$1396)&amp;"")</f>
        <v/>
      </c>
      <c r="E1405" s="34"/>
      <c r="F1405" s="34"/>
      <c r="J1405" s="25"/>
      <c r="K1405" s="25"/>
      <c r="L1405" s="25"/>
      <c r="M1405" s="25"/>
      <c r="N1405" s="25"/>
      <c r="O1405" s="25"/>
    </row>
    <row r="1406" customFormat="false" ht="15" hidden="false" customHeight="true" outlineLevel="0" collapsed="false">
      <c r="B1406" s="10"/>
      <c r="C1406" s="10"/>
      <c r="D1406" s="35" t="str">
        <f aca="false">IF(IF($K$1396=0,"",INDEX(Clients!$D$2:$D$501,$K$1396)&amp;"")="","","À l'attention de "&amp;TRIM(IF($K$1396=0,"",INDEX(Clients!$B$2:$B$501,$K$1396)&amp;"")&amp;" "&amp;IF($K$1396=0,"",INDEX(Clients!$C$2:$C$501,$K$1396)&amp;"")&amp;" "&amp;IF($K$1396=0,"",INDEX(Clients!$D$2:$D$501,$K$1396)&amp;"")))</f>
        <v/>
      </c>
      <c r="E1406" s="35"/>
      <c r="F1406" s="35"/>
      <c r="J1406" s="25"/>
      <c r="K1406" s="25"/>
      <c r="L1406" s="25"/>
      <c r="M1406" s="25"/>
      <c r="N1406" s="25"/>
      <c r="O1406" s="25"/>
    </row>
    <row r="1407" customFormat="false" ht="15" hidden="false" customHeight="true" outlineLevel="0" collapsed="false">
      <c r="B1407" s="10"/>
      <c r="C1407" s="10"/>
      <c r="D1407" s="35" t="str">
        <f aca="false">IF($K$1396=0,"",INDEX(Clients!$F$2:$F$501,$K$1396)&amp;"")</f>
        <v/>
      </c>
      <c r="E1407" s="35"/>
      <c r="F1407" s="35"/>
      <c r="J1407" s="25"/>
      <c r="K1407" s="25"/>
      <c r="L1407" s="25"/>
      <c r="M1407" s="25"/>
      <c r="N1407" s="25"/>
      <c r="O1407" s="25"/>
    </row>
    <row r="1408" customFormat="false" ht="15" hidden="false" customHeight="true" outlineLevel="0" collapsed="false">
      <c r="B1408" s="10"/>
      <c r="C1408" s="10"/>
      <c r="D1408" s="35" t="str">
        <f aca="false">IF(IF($K$1396=0,"",INDEX(Clients!$G$2:$G$501,$K$1396)&amp;"")="",TRIM(IF($K$1396=0,"",INDEX(Clients!$H$2:$H$501,$K$1396)&amp;"")&amp;" "&amp;UPPER(IF($K$1396=0,"",INDEX(Clients!$I$2:$I$501,$K$1396)&amp;""))),IF($K$1396=0,"",INDEX(Clients!$G$2:$G$501,$K$1396)&amp;""))</f>
        <v/>
      </c>
      <c r="E1408" s="35"/>
      <c r="F1408" s="35"/>
      <c r="J1408" s="25"/>
      <c r="K1408" s="25"/>
      <c r="L1408" s="25"/>
      <c r="M1408" s="25"/>
      <c r="N1408" s="25"/>
      <c r="O1408" s="25"/>
    </row>
    <row r="1409" customFormat="false" ht="15" hidden="false" customHeight="true" outlineLevel="0" collapsed="false">
      <c r="B1409" s="10"/>
      <c r="C1409" s="10"/>
      <c r="D1409" s="35" t="str">
        <f aca="false">IF(IF($K$1396=0,"",INDEX(Clients!$G$2:$G$501,$K$1396)&amp;"")="","",TRIM(IF($K$1396=0,"",INDEX(Clients!$H$2:$H$501,$K$1396)&amp;"")&amp;" "&amp;UPPER(IF($K$1396=0,"",INDEX(Clients!$I$2:$I$501,$K$1396)&amp;""))))</f>
        <v/>
      </c>
      <c r="E1409" s="35"/>
      <c r="F1409" s="35"/>
      <c r="J1409" s="25"/>
      <c r="K1409" s="25"/>
      <c r="L1409" s="25"/>
      <c r="M1409" s="25"/>
      <c r="N1409" s="25"/>
      <c r="O1409" s="25"/>
    </row>
    <row r="1410" customFormat="false" ht="25.5" hidden="false" customHeight="true" outlineLevel="0" collapsed="false">
      <c r="B1410" s="10"/>
      <c r="C1410" s="10"/>
      <c r="D1410" s="10"/>
      <c r="E1410" s="10"/>
      <c r="F1410" s="10"/>
      <c r="J1410" s="25"/>
      <c r="K1410" s="25"/>
      <c r="L1410" s="25"/>
      <c r="M1410" s="25"/>
      <c r="N1410" s="25"/>
      <c r="O1410" s="25"/>
    </row>
    <row r="1411" customFormat="false" ht="15" hidden="false" customHeight="false" outlineLevel="0" collapsed="false">
      <c r="B1411" s="10"/>
      <c r="C1411" s="10"/>
      <c r="D1411" s="36" t="str">
        <f aca="false">Cab_Ville&amp;", le "&amp;DAY(Date_Courrier)&amp;IF(DAY(Date_Courrier)=1,"er","")&amp;" "&amp;INDEX(Liste_Mois,MONTH(Date_Courrier))&amp;" "&amp;YEAR(Date_Courrier)</f>
        <v>Le Plessis-Bouchard, le 22 septembre 2026</v>
      </c>
      <c r="E1411" s="36"/>
      <c r="F1411" s="36"/>
      <c r="J1411" s="25"/>
      <c r="K1411" s="25"/>
      <c r="L1411" s="25"/>
      <c r="M1411" s="25"/>
      <c r="N1411" s="25"/>
      <c r="O1411" s="25"/>
    </row>
    <row r="1412" customFormat="false" ht="19.5" hidden="false" customHeight="true" outlineLevel="0" collapsed="false">
      <c r="B1412" s="10"/>
      <c r="C1412" s="10"/>
      <c r="D1412" s="10"/>
      <c r="E1412" s="10"/>
      <c r="F1412" s="10"/>
      <c r="J1412" s="25"/>
      <c r="K1412" s="25"/>
      <c r="L1412" s="25"/>
      <c r="M1412" s="25"/>
      <c r="N1412" s="25"/>
      <c r="O1412" s="25"/>
    </row>
    <row r="1413" customFormat="false" ht="15" hidden="false" customHeight="false" outlineLevel="0" collapsed="false">
      <c r="B1413" s="34" t="str">
        <f aca="false">SUBSTITUTE(SUBSTITUTE(SUBSTITUTE(SUBSTITUTE(SUBSTITUTE(Txt_Objet,"{cabinet}",Cab_Nom),"{societe}",IF($K$1396=0,"",INDEX(Clients!$E$2:$E$501,$K$1396)&amp;"")),"{date_effet}",$K$1398),"{hausse}",$K$1399),"{civilite}",$K$1397)</f>
        <v>Objet : révision de nos honoraires au 1er janvier 2027</v>
      </c>
      <c r="C1413" s="34"/>
      <c r="D1413" s="34"/>
      <c r="E1413" s="34"/>
      <c r="F1413" s="34"/>
      <c r="J1413" s="25"/>
      <c r="K1413" s="25"/>
      <c r="L1413" s="25"/>
      <c r="M1413" s="25"/>
      <c r="N1413" s="25"/>
      <c r="O1413" s="25"/>
    </row>
    <row r="1414" customFormat="false" ht="13.5" hidden="false" customHeight="true" outlineLevel="0" collapsed="false">
      <c r="B1414" s="10"/>
      <c r="C1414" s="10"/>
      <c r="D1414" s="10"/>
      <c r="E1414" s="10"/>
      <c r="F1414" s="10"/>
      <c r="J1414" s="25"/>
      <c r="K1414" s="25"/>
      <c r="L1414" s="25"/>
      <c r="M1414" s="25"/>
      <c r="N1414" s="25"/>
      <c r="O1414" s="25"/>
    </row>
    <row r="1415" customFormat="false" ht="15" hidden="false" customHeight="false" outlineLevel="0" collapsed="false">
      <c r="B1415" s="10" t="str">
        <f aca="false">$K$1397&amp;","</f>
        <v>Madame, Monsieur,</v>
      </c>
      <c r="C1415" s="10"/>
      <c r="D1415" s="10"/>
      <c r="E1415" s="10"/>
      <c r="F1415" s="10"/>
      <c r="J1415" s="25"/>
      <c r="K1415" s="25"/>
      <c r="L1415" s="25"/>
      <c r="M1415" s="25"/>
      <c r="N1415" s="25"/>
      <c r="O1415" s="25"/>
    </row>
    <row r="1416" customFormat="false" ht="6" hidden="false" customHeight="true" outlineLevel="0" collapsed="false">
      <c r="B1416" s="10"/>
      <c r="C1416" s="10"/>
      <c r="D1416" s="10"/>
      <c r="E1416" s="10"/>
      <c r="F1416" s="10"/>
      <c r="J1416" s="25"/>
      <c r="K1416" s="25"/>
      <c r="L1416" s="25"/>
      <c r="M1416" s="25"/>
      <c r="N1416" s="25"/>
      <c r="O1416" s="25"/>
    </row>
    <row r="1417" customFormat="false" ht="36.75" hidden="false" customHeight="true" outlineLevel="0" collapsed="false">
      <c r="B1417" s="37" t="str">
        <f aca="false">SUBSTITUTE(SUBSTITUTE(SUBSTITUTE(SUBSTITUTE(SUBSTITUTE(Txt_P1,"{cabinet}",Cab_Nom),"{societe}",IF($K$1396=0,"",INDEX(Clients!$E$2:$E$501,$K$1396)&amp;"")),"{date_effet}",$K$1398),"{hausse}",$K$1399),"{civilite}",$K$1397)</f>
        <v>Nous tenons tout d'abord à vous remercier pour la confiance que vous accordez à ALTHO EXPERTISE. Comme chaque année, et conformément aux dispositions de votre lettre de mission, nous procédons à la révision de nos honoraires.</v>
      </c>
      <c r="C1417" s="37"/>
      <c r="D1417" s="37"/>
      <c r="E1417" s="37"/>
      <c r="F1417" s="37"/>
      <c r="J1417" s="25"/>
      <c r="K1417" s="25"/>
      <c r="L1417" s="25"/>
      <c r="M1417" s="25"/>
      <c r="N1417" s="25"/>
      <c r="O1417" s="25"/>
    </row>
    <row r="1418" customFormat="false" ht="49.5" hidden="false" customHeight="true" outlineLevel="0" collapsed="false">
      <c r="B1418" s="37" t="str">
        <f aca="false">SUBSTITUTE(SUBSTITUTE(SUBSTITUTE(SUBSTITUTE(SUBSTITUTE(Txt_P2,"{cabinet}",Cab_Nom),"{societe}",IF($K$1396=0,"",INDEX(Clients!$E$2:$E$501,$K$1396)&amp;"")),"{date_effet}",$K$1398),"{hausse}",$K$1399),"{civilite}",$K$1397)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418" s="37"/>
      <c r="D1418" s="37"/>
      <c r="E1418" s="37"/>
      <c r="F1418" s="37"/>
      <c r="J1418" s="25"/>
      <c r="K1418" s="25"/>
      <c r="L1418" s="25"/>
      <c r="M1418" s="25"/>
      <c r="N1418" s="25"/>
      <c r="O1418" s="25"/>
    </row>
    <row r="1419" customFormat="false" ht="63" hidden="false" customHeight="true" outlineLevel="0" collapsed="false">
      <c r="B1419" s="37" t="str">
        <f aca="false">SUBSTITUTE(SUBSTITUTE(SUBSTITUTE(SUBSTITUTE(SUBSTITUTE(Txt_P3,"{cabinet}",Cab_Nom),"{societe}",IF($K$1396=0,"",INDEX(Clients!$E$2:$E$501,$K$1396)&amp;"")),"{date_effet}",$K$1398),"{hausse}",$K$1399),"{civilite}",$K$1397)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419" s="37"/>
      <c r="D1419" s="37"/>
      <c r="E1419" s="37"/>
      <c r="F1419" s="37"/>
      <c r="J1419" s="25"/>
      <c r="K1419" s="25"/>
      <c r="L1419" s="25"/>
      <c r="M1419" s="25"/>
      <c r="N1419" s="25"/>
      <c r="O1419" s="25"/>
    </row>
    <row r="1420" customFormat="false" ht="24" hidden="false" customHeight="true" outlineLevel="0" collapsed="false">
      <c r="B1420" s="37" t="str">
        <f aca="false">SUBSTITUTE(SUBSTITUTE(SUBSTITUTE(SUBSTITUTE(SUBSTITUTE(Txt_P4,"{cabinet}",Cab_Nom),"{societe}",IF($K$1396=0,"",INDEX(Clients!$E$2:$E$501,$K$1396)&amp;"")),"{date_effet}",$K$1398),"{hausse}",$K$1399),"{civilite}",$K$1397)</f>
        <v>À compter du 1er janvier 2027, vos honoraires annuels hors taxes évolueront ainsi (évolution globale : ) :</v>
      </c>
      <c r="C1420" s="37"/>
      <c r="D1420" s="37"/>
      <c r="E1420" s="37"/>
      <c r="F1420" s="37"/>
      <c r="J1420" s="25"/>
      <c r="K1420" s="25"/>
      <c r="L1420" s="25"/>
      <c r="M1420" s="25"/>
      <c r="N1420" s="25"/>
      <c r="O1420" s="25"/>
    </row>
    <row r="1421" customFormat="false" ht="3.75" hidden="false" customHeight="true" outlineLevel="0" collapsed="false">
      <c r="B1421" s="10"/>
      <c r="C1421" s="10"/>
      <c r="D1421" s="10"/>
      <c r="E1421" s="10"/>
      <c r="F1421" s="10"/>
      <c r="J1421" s="25"/>
      <c r="K1421" s="25"/>
      <c r="L1421" s="25"/>
      <c r="M1421" s="25"/>
      <c r="N1421" s="25"/>
      <c r="O1421" s="25"/>
    </row>
    <row r="1422" customFormat="false" ht="18" hidden="false" customHeight="true" outlineLevel="0" collapsed="false">
      <c r="B1422" s="38" t="s">
        <v>148</v>
      </c>
      <c r="C1422" s="39" t="s">
        <v>149</v>
      </c>
      <c r="D1422" s="39" t="s">
        <v>150</v>
      </c>
      <c r="E1422" s="39" t="s">
        <v>151</v>
      </c>
      <c r="F1422" s="39" t="s">
        <v>109</v>
      </c>
      <c r="J1422" s="25" t="s">
        <v>152</v>
      </c>
      <c r="K1422" s="25" t="s">
        <v>153</v>
      </c>
      <c r="L1422" s="25" t="s">
        <v>154</v>
      </c>
      <c r="M1422" s="25" t="s">
        <v>155</v>
      </c>
      <c r="N1422" s="25" t="s">
        <v>156</v>
      </c>
      <c r="O1422" s="25" t="s">
        <v>157</v>
      </c>
    </row>
    <row r="1423" customFormat="false" ht="16.5" hidden="false" customHeight="true" outlineLevel="0" collapsed="false">
      <c r="B1423" s="40" t="str">
        <f aca="false">IFERROR(INDEX($J$1423:$J$1426,MATCH($O1423,$N$1423:$N$1426,0)),"")</f>
        <v/>
      </c>
      <c r="C1423" s="41" t="str">
        <f aca="false">IFERROR(INDEX($K$1423:$K$1426,MATCH($O1423,$N$1423:$N$1426,0)),"")</f>
        <v/>
      </c>
      <c r="D1423" s="42" t="str">
        <f aca="false">IF(OR(E1423="",N(C1423)=0),"",E1423/C1423-1)</f>
        <v/>
      </c>
      <c r="E1423" s="41" t="str">
        <f aca="false">IFERROR(INDEX($L$1423:$L$1426,MATCH($O1423,$N$1423:$N$1426,0)),"")</f>
        <v/>
      </c>
      <c r="F1423" s="41" t="str">
        <f aca="false">IF(E1423="","",E1423-C1423)</f>
        <v/>
      </c>
      <c r="J1423" s="25" t="str">
        <f aca="false">Lib_Compta</f>
        <v>Mission comptable (tenue, révision, bilan, liasse fiscale)</v>
      </c>
      <c r="K1423" s="25" t="n">
        <f aca="false">IF($K$1396=0,0,N(INDEX(Clients!$K$2:$K$501,$K$1396)))</f>
        <v>0</v>
      </c>
      <c r="L1423" s="25" t="n">
        <f aca="false">IF($K$1396=0,0,N(INDEX(Clients!$P$2:$P$501,$K$1396)))</f>
        <v>0</v>
      </c>
      <c r="M1423" s="25" t="n">
        <f aca="false">IF(OR(K1423&lt;&gt;0,L1423&lt;&gt;0),1,0)</f>
        <v>0</v>
      </c>
      <c r="N1423" s="25" t="str">
        <f aca="false">IF(M1423=1,SUM($M$1423:M1423),"")</f>
        <v/>
      </c>
      <c r="O1423" s="25" t="n">
        <v>1</v>
      </c>
    </row>
    <row r="1424" customFormat="false" ht="16.5" hidden="false" customHeight="true" outlineLevel="0" collapsed="false">
      <c r="B1424" s="40" t="str">
        <f aca="false">IFERROR(INDEX($J$1423:$J$1426,MATCH($O1424,$N$1423:$N$1426,0)),"")</f>
        <v/>
      </c>
      <c r="C1424" s="41" t="str">
        <f aca="false">IFERROR(INDEX($K$1423:$K$1426,MATCH($O1424,$N$1423:$N$1426,0)),"")</f>
        <v/>
      </c>
      <c r="D1424" s="42" t="str">
        <f aca="false">IF(OR(E1424="",N(C1424)=0),"",E1424/C1424-1)</f>
        <v/>
      </c>
      <c r="E1424" s="41" t="str">
        <f aca="false">IFERROR(INDEX($L$1423:$L$1426,MATCH($O1424,$N$1423:$N$1426,0)),"")</f>
        <v/>
      </c>
      <c r="F1424" s="41" t="str">
        <f aca="false">IF(E1424="","",E1424-C1424)</f>
        <v/>
      </c>
      <c r="J1424" s="25" t="str">
        <f aca="false">Lib_Paye</f>
        <v>Mission sociale (bulletins de paie, DSN, déclarations sociales)</v>
      </c>
      <c r="K1424" s="25" t="n">
        <f aca="false">IF($K$1396=0,0,N(INDEX(Clients!$L$2:$L$501,$K$1396)))</f>
        <v>0</v>
      </c>
      <c r="L1424" s="25" t="n">
        <f aca="false">IF($K$1396=0,0,N(INDEX(Clients!$Q$2:$Q$501,$K$1396)))</f>
        <v>0</v>
      </c>
      <c r="M1424" s="25" t="n">
        <f aca="false">IF(OR(K1424&lt;&gt;0,L1424&lt;&gt;0),1,0)</f>
        <v>0</v>
      </c>
      <c r="N1424" s="25" t="str">
        <f aca="false">IF(M1424=1,SUM($M$1423:M1424),"")</f>
        <v/>
      </c>
      <c r="O1424" s="25" t="n">
        <v>2</v>
      </c>
    </row>
    <row r="1425" customFormat="false" ht="16.5" hidden="false" customHeight="true" outlineLevel="0" collapsed="false">
      <c r="B1425" s="40" t="str">
        <f aca="false">IFERROR(INDEX($J$1423:$J$1426,MATCH($O1425,$N$1423:$N$1426,0)),"")</f>
        <v/>
      </c>
      <c r="C1425" s="41" t="str">
        <f aca="false">IFERROR(INDEX($K$1423:$K$1426,MATCH($O1425,$N$1423:$N$1426,0)),"")</f>
        <v/>
      </c>
      <c r="D1425" s="42" t="str">
        <f aca="false">IF(OR(E1425="",N(C1425)=0),"",E1425/C1425-1)</f>
        <v/>
      </c>
      <c r="E1425" s="41" t="str">
        <f aca="false">IFERROR(INDEX($L$1423:$L$1426,MATCH($O1425,$N$1423:$N$1426,0)),"")</f>
        <v/>
      </c>
      <c r="F1425" s="41" t="str">
        <f aca="false">IF(E1425="","",E1425-C1425)</f>
        <v/>
      </c>
      <c r="J1425" s="25" t="str">
        <f aca="false">Lib_Jur</f>
        <v>Mission juridique (approbation des comptes, secrétariat juridique)</v>
      </c>
      <c r="K1425" s="25" t="n">
        <f aca="false">IF($K$1396=0,0,N(INDEX(Clients!$M$2:$M$501,$K$1396)))</f>
        <v>0</v>
      </c>
      <c r="L1425" s="25" t="n">
        <f aca="false">IF($K$1396=0,0,N(INDEX(Clients!$R$2:$R$501,$K$1396)))</f>
        <v>0</v>
      </c>
      <c r="M1425" s="25" t="n">
        <f aca="false">IF(OR(K1425&lt;&gt;0,L1425&lt;&gt;0),1,0)</f>
        <v>0</v>
      </c>
      <c r="N1425" s="25" t="str">
        <f aca="false">IF(M1425=1,SUM($M$1423:M1425),"")</f>
        <v/>
      </c>
      <c r="O1425" s="25" t="n">
        <v>3</v>
      </c>
    </row>
    <row r="1426" customFormat="false" ht="16.5" hidden="false" customHeight="true" outlineLevel="0" collapsed="false">
      <c r="B1426" s="40" t="str">
        <f aca="false">IFERROR(INDEX($J$1423:$J$1426,MATCH($O1426,$N$1423:$N$1426,0)),"")</f>
        <v/>
      </c>
      <c r="C1426" s="41" t="str">
        <f aca="false">IFERROR(INDEX($K$1423:$K$1426,MATCH($O1426,$N$1423:$N$1426,0)),"")</f>
        <v/>
      </c>
      <c r="D1426" s="42" t="str">
        <f aca="false">IF(OR(E1426="",N(C1426)=0),"",E1426/C1426-1)</f>
        <v/>
      </c>
      <c r="E1426" s="41" t="str">
        <f aca="false">IFERROR(INDEX($L$1423:$L$1426,MATCH($O1426,$N$1423:$N$1426,0)),"")</f>
        <v/>
      </c>
      <c r="F1426" s="41" t="str">
        <f aca="false">IF(E1426="","",E1426-C1426)</f>
        <v/>
      </c>
      <c r="J1426" s="25" t="str">
        <f aca="false">Lib_PA</f>
        <v>Plateforme agréée – facturation électronique</v>
      </c>
      <c r="K1426" s="25" t="n">
        <f aca="false">IF($K$1396=0,0,N(INDEX(Clients!$N$2:$N$501,$K$1396)))</f>
        <v>0</v>
      </c>
      <c r="L1426" s="25" t="n">
        <f aca="false">IF($K$1396=0,0,N(INDEX(Clients!$S$2:$S$501,$K$1396)))</f>
        <v>0</v>
      </c>
      <c r="M1426" s="25" t="n">
        <f aca="false">IF(OR(K1426&lt;&gt;0,L1426&lt;&gt;0),1,0)</f>
        <v>0</v>
      </c>
      <c r="N1426" s="25" t="str">
        <f aca="false">IF(M1426=1,SUM($M$1423:M1426),"")</f>
        <v/>
      </c>
      <c r="O1426" s="25" t="n">
        <v>4</v>
      </c>
    </row>
    <row r="1427" customFormat="false" ht="18" hidden="false" customHeight="true" outlineLevel="0" collapsed="false">
      <c r="B1427" s="43" t="s">
        <v>158</v>
      </c>
      <c r="C1427" s="44" t="n">
        <f aca="false">SUM(K1423:K1426)</f>
        <v>0</v>
      </c>
      <c r="D1427" s="45" t="str">
        <f aca="false">IF(N(C1427)=0,"",E1427/C1427-1)</f>
        <v/>
      </c>
      <c r="E1427" s="44" t="n">
        <f aca="false">SUM(L1423:L1426)</f>
        <v>0</v>
      </c>
      <c r="F1427" s="44" t="n">
        <f aca="false">E1427-C1427</f>
        <v>0</v>
      </c>
    </row>
    <row r="1428" customFormat="false" ht="15" hidden="false" customHeight="false" outlineLevel="0" collapsed="false">
      <c r="B1428" s="46" t="str">
        <f aca="false">IF(N(Nb_Mensualites)=0,"","Soit "&amp;FIXED(E1427/Nb_Mensualites,2)&amp;" € HT par échéance ("&amp;Nb_Mensualites&amp;" échéances), "&amp;FIXED(E1427/Nb_Mensualites*(1+Taux_TVA),2)&amp;" € TTC.")</f>
        <v>Soit 0.00 € HT par échéance (12 échéances), 0.00 € TTC.</v>
      </c>
      <c r="C1428" s="46"/>
      <c r="D1428" s="46"/>
      <c r="E1428" s="46"/>
      <c r="F1428" s="46"/>
    </row>
    <row r="1429" customFormat="false" ht="7.5" hidden="false" customHeight="true" outlineLevel="0" collapsed="false">
      <c r="B1429" s="10"/>
      <c r="C1429" s="10"/>
      <c r="D1429" s="10"/>
      <c r="E1429" s="10"/>
      <c r="F1429" s="10"/>
    </row>
    <row r="1430" customFormat="false" ht="36.75" hidden="false" customHeight="true" outlineLevel="0" collapsed="false">
      <c r="B1430" s="37" t="str">
        <f aca="false">SUBSTITUTE(SUBSTITUTE(SUBSTITUTE(SUBSTITUTE(SUBSTITUTE(Txt_P5,"{cabinet}",Cab_Nom),"{societe}",IF($K$1396=0,"",INDEX(Clients!$E$2:$E$501,$K$1396)&amp;"")),"{date_effet}",$K$1398),"{hausse}",$K$1399),"{civilite}",$K$1397)</f>
        <v>Les autres conditions de votre lettre de mission demeurent inchangées. Les nouveaux montants seront appliqués automatiquement sur vos prochaines factures et échéances de prélèvement.</v>
      </c>
      <c r="C1430" s="37"/>
      <c r="D1430" s="37"/>
      <c r="E1430" s="37"/>
      <c r="F1430" s="37"/>
    </row>
    <row r="1431" customFormat="false" ht="36.75" hidden="false" customHeight="true" outlineLevel="0" collapsed="false">
      <c r="B1431" s="37" t="str">
        <f aca="false">SUBSTITUTE(SUBSTITUTE(SUBSTITUTE(SUBSTITUTE(SUBSTITUTE(Txt_P6,"{cabinet}",Cab_Nom),"{societe}",IF($K$1396=0,"",INDEX(Clients!$E$2:$E$501,$K$1396)&amp;"")),"{date_effet}",$K$1398),"{hausse}",$K$1399),"{civilite}",$K$1397)</f>
        <v>Votre interlocuteur habituel reste à votre entière disposition pour répondre à vos questions et faire le point sur l'évolution de vos besoins.</v>
      </c>
      <c r="C1431" s="37"/>
      <c r="D1431" s="37"/>
      <c r="E1431" s="37"/>
      <c r="F1431" s="37"/>
    </row>
    <row r="1432" customFormat="false" ht="24" hidden="false" customHeight="true" outlineLevel="0" collapsed="false">
      <c r="B1432" s="37" t="str">
        <f aca="false">SUBSTITUTE(SUBSTITUTE(SUBSTITUTE(SUBSTITUTE(SUBSTITUTE(Txt_Politesse,"{cabinet}",Cab_Nom),"{societe}",IF($K$1396=0,"",INDEX(Clients!$E$2:$E$501,$K$1396)&amp;"")),"{date_effet}",$K$1398),"{hausse}",$K$1399),"{civilite}",$K$1397)</f>
        <v>Nous vous prions d'agréer, Madame, Monsieur, l'expression de nos salutations distinguées.</v>
      </c>
      <c r="C1432" s="37"/>
      <c r="D1432" s="37"/>
      <c r="E1432" s="37"/>
      <c r="F1432" s="37"/>
    </row>
    <row r="1433" customFormat="false" ht="15" hidden="false" customHeight="false" outlineLevel="0" collapsed="false">
      <c r="B1433" s="10"/>
      <c r="C1433" s="10"/>
      <c r="D1433" s="10"/>
      <c r="E1433" s="10"/>
      <c r="F1433" s="10"/>
    </row>
    <row r="1434" customFormat="false" ht="15" hidden="false" customHeight="false" outlineLevel="0" collapsed="false">
      <c r="B1434" s="10"/>
      <c r="C1434" s="10"/>
      <c r="D1434" s="34" t="str">
        <f aca="false">Signataire</f>
        <v>Prénom NOM</v>
      </c>
      <c r="E1434" s="34"/>
      <c r="F1434" s="34"/>
    </row>
    <row r="1435" customFormat="false" ht="15" hidden="false" customHeight="false" outlineLevel="0" collapsed="false">
      <c r="B1435" s="10"/>
      <c r="C1435" s="10"/>
      <c r="D1435" s="47" t="str">
        <f aca="false">Signataire_Titre</f>
        <v>Expert-comptable associé</v>
      </c>
      <c r="E1435" s="47"/>
      <c r="F1435" s="47"/>
    </row>
    <row r="1436" customFormat="false" ht="15.75" hidden="false" customHeight="true" outlineLevel="0" collapsed="false">
      <c r="B1436" s="10"/>
      <c r="C1436" s="10"/>
      <c r="D1436" s="10"/>
      <c r="E1436" s="10"/>
      <c r="F1436" s="10"/>
    </row>
    <row r="1437" customFormat="false" ht="15.75" hidden="false" customHeight="true" outlineLevel="0" collapsed="false">
      <c r="B1437" s="10"/>
      <c r="C1437" s="10"/>
      <c r="D1437" s="10"/>
      <c r="E1437" s="10"/>
      <c r="F1437" s="10"/>
    </row>
    <row r="1438" customFormat="false" ht="15.75" hidden="false" customHeight="true" outlineLevel="0" collapsed="false">
      <c r="B1438" s="10"/>
      <c r="C1438" s="10"/>
      <c r="D1438" s="10"/>
      <c r="E1438" s="10"/>
      <c r="F1438" s="10"/>
    </row>
    <row r="1439" customFormat="false" ht="15.75" hidden="false" customHeight="true" outlineLevel="0" collapsed="false">
      <c r="B1439" s="10"/>
      <c r="C1439" s="10"/>
      <c r="D1439" s="10"/>
      <c r="E1439" s="10"/>
      <c r="F1439" s="10"/>
    </row>
    <row r="1440" customFormat="false" ht="24" hidden="false" customHeight="true" outlineLevel="0" collapsed="false">
      <c r="B1440" s="48" t="str">
        <f aca="false">Cab_Mentions</f>
        <v>ALTHO EXPERTISE · SAS au capital de 10 000 € · RCS Pontoise 919 706 325 · TVA FR62919706325 · Société d'expertise comptable inscrite au Tableau de l'Ordre des experts-comptables de Paris Île-de-France</v>
      </c>
      <c r="C1440" s="48"/>
      <c r="D1440" s="48"/>
      <c r="E1440" s="48"/>
      <c r="F1440" s="48"/>
    </row>
    <row r="1441" customFormat="false" ht="15" hidden="false" customHeight="false" outlineLevel="0" collapsed="false">
      <c r="B1441" s="10"/>
      <c r="C1441" s="10"/>
      <c r="D1441" s="10"/>
      <c r="E1441" s="10"/>
      <c r="F1441" s="10"/>
      <c r="J1441" s="25" t="s">
        <v>142</v>
      </c>
      <c r="K1441" s="25" t="n">
        <f aca="false">IFERROR(MATCH(33,Clients!$Z$2:$Z$501,0),0)</f>
        <v>0</v>
      </c>
      <c r="L1441" s="25"/>
      <c r="M1441" s="25"/>
      <c r="N1441" s="25"/>
      <c r="O1441" s="25"/>
    </row>
    <row r="1442" customFormat="false" ht="21.75" hidden="false" customHeight="true" outlineLevel="0" collapsed="false">
      <c r="B1442" s="26" t="str">
        <f aca="false">Cab_Nom</f>
        <v>ALTHO EXPERTISE</v>
      </c>
      <c r="C1442" s="26"/>
      <c r="D1442" s="10"/>
      <c r="E1442" s="27" t="str">
        <f aca="false">IF($K$1441=0,"","Réf. client : "&amp;INDEX(Clients!$A$2:$A$501,$K$1441))</f>
        <v/>
      </c>
      <c r="F1442" s="27"/>
      <c r="J1442" s="25" t="s">
        <v>144</v>
      </c>
      <c r="K1442" s="25" t="str">
        <f aca="false">IF(IF($K$1441=0,"",INDEX(Clients!$B$2:$B$501,$K$1441)&amp;"")="Mme","Madame",IF(IF($K$1441=0,"",INDEX(Clients!$B$2:$B$501,$K$1441)&amp;"")="M.","Monsieur","Madame, Monsieur"))</f>
        <v>Madame, Monsieur</v>
      </c>
      <c r="L1442" s="25"/>
      <c r="M1442" s="25"/>
      <c r="N1442" s="25"/>
      <c r="O1442" s="25"/>
    </row>
    <row r="1443" customFormat="false" ht="15" hidden="false" customHeight="false" outlineLevel="0" collapsed="false">
      <c r="B1443" s="29" t="str">
        <f aca="false">Cab_Adr1</f>
        <v>141 rue Charles de Gaulle</v>
      </c>
      <c r="C1443" s="29"/>
      <c r="D1443" s="10"/>
      <c r="E1443" s="10"/>
      <c r="F1443" s="10"/>
      <c r="J1443" s="25" t="s">
        <v>145</v>
      </c>
      <c r="K1443" s="25" t="str">
        <f aca="false">DAY(Date_Effet)&amp;IF(DAY(Date_Effet)=1,"er","")&amp;" "&amp;INDEX(Liste_Mois,MONTH(Date_Effet))&amp;" "&amp;YEAR(Date_Effet)</f>
        <v>1er janvier 2027</v>
      </c>
      <c r="L1443" s="25"/>
      <c r="M1443" s="25"/>
      <c r="N1443" s="25"/>
      <c r="O1443" s="25"/>
    </row>
    <row r="1444" customFormat="false" ht="15" hidden="false" customHeight="false" outlineLevel="0" collapsed="false">
      <c r="B1444" s="29" t="str">
        <f aca="false">Cab_CPVille</f>
        <v>95130 LE PLESSIS-BOUCHARD</v>
      </c>
      <c r="C1444" s="29"/>
      <c r="D1444" s="10"/>
      <c r="E1444" s="10"/>
      <c r="F1444" s="10"/>
      <c r="J1444" s="25" t="s">
        <v>146</v>
      </c>
      <c r="K1444" s="25" t="str">
        <f aca="false">IF(SUM($K$1468:$K$1471)=0,"",FIXED((SUM($L$1468:$L$1471)/SUM($K$1468:$K$1471)-1)*100,1)&amp;" %")</f>
        <v/>
      </c>
      <c r="L1444" s="25"/>
      <c r="M1444" s="25"/>
      <c r="N1444" s="25"/>
      <c r="O1444" s="25"/>
    </row>
    <row r="1445" customFormat="false" ht="15" hidden="false" customHeight="false" outlineLevel="0" collapsed="false">
      <c r="B1445" s="29" t="str">
        <f aca="false">Cab_Contact</f>
        <v>Tél. 01 34 14 53 45  ·  altho@altho-experts.com  ·  altho-experts.com</v>
      </c>
      <c r="C1445" s="29"/>
      <c r="D1445" s="10"/>
      <c r="E1445" s="10"/>
      <c r="F1445" s="10"/>
      <c r="J1445" s="25"/>
      <c r="K1445" s="25"/>
      <c r="L1445" s="25"/>
      <c r="M1445" s="25"/>
      <c r="N1445" s="25"/>
      <c r="O1445" s="25"/>
    </row>
    <row r="1446" customFormat="false" ht="6" hidden="false" customHeight="true" outlineLevel="0" collapsed="false">
      <c r="B1446" s="32"/>
      <c r="C1446" s="32"/>
      <c r="D1446" s="32"/>
      <c r="E1446" s="32"/>
      <c r="F1446" s="32"/>
      <c r="J1446" s="25"/>
      <c r="K1446" s="25"/>
      <c r="L1446" s="25"/>
      <c r="M1446" s="25"/>
      <c r="N1446" s="25"/>
      <c r="O1446" s="25"/>
    </row>
    <row r="1447" customFormat="false" ht="13.5" hidden="false" customHeight="true" outlineLevel="0" collapsed="false">
      <c r="B1447" s="10"/>
      <c r="C1447" s="10"/>
      <c r="D1447" s="10"/>
      <c r="E1447" s="10"/>
      <c r="F1447" s="10"/>
      <c r="J1447" s="25"/>
      <c r="K1447" s="25"/>
      <c r="L1447" s="25"/>
      <c r="M1447" s="25"/>
      <c r="N1447" s="25"/>
      <c r="O1447" s="25"/>
    </row>
    <row r="1448" customFormat="false" ht="13.5" hidden="false" customHeight="true" outlineLevel="0" collapsed="false">
      <c r="B1448" s="10"/>
      <c r="C1448" s="10"/>
      <c r="D1448" s="10"/>
      <c r="E1448" s="10"/>
      <c r="F1448" s="10"/>
      <c r="J1448" s="25"/>
      <c r="K1448" s="25"/>
      <c r="L1448" s="25"/>
      <c r="M1448" s="25"/>
      <c r="N1448" s="25"/>
      <c r="O1448" s="25"/>
    </row>
    <row r="1449" customFormat="false" ht="13.5" hidden="false" customHeight="true" outlineLevel="0" collapsed="false">
      <c r="B1449" s="10"/>
      <c r="C1449" s="10"/>
      <c r="D1449" s="10"/>
      <c r="E1449" s="10"/>
      <c r="F1449" s="10"/>
      <c r="J1449" s="25"/>
      <c r="K1449" s="25"/>
      <c r="L1449" s="25"/>
      <c r="M1449" s="25"/>
      <c r="N1449" s="25"/>
      <c r="O1449" s="25"/>
    </row>
    <row r="1450" customFormat="false" ht="15" hidden="false" customHeight="true" outlineLevel="0" collapsed="false">
      <c r="B1450" s="10"/>
      <c r="C1450" s="10"/>
      <c r="D1450" s="34" t="str">
        <f aca="false">IF($K$1441=0,"",INDEX(Clients!$E$2:$E$501,$K$1441)&amp;"")</f>
        <v/>
      </c>
      <c r="E1450" s="34"/>
      <c r="F1450" s="34"/>
      <c r="J1450" s="25"/>
      <c r="K1450" s="25"/>
      <c r="L1450" s="25"/>
      <c r="M1450" s="25"/>
      <c r="N1450" s="25"/>
      <c r="O1450" s="25"/>
    </row>
    <row r="1451" customFormat="false" ht="15" hidden="false" customHeight="true" outlineLevel="0" collapsed="false">
      <c r="B1451" s="10"/>
      <c r="C1451" s="10"/>
      <c r="D1451" s="35" t="str">
        <f aca="false">IF(IF($K$1441=0,"",INDEX(Clients!$D$2:$D$501,$K$1441)&amp;"")="","","À l'attention de "&amp;TRIM(IF($K$1441=0,"",INDEX(Clients!$B$2:$B$501,$K$1441)&amp;"")&amp;" "&amp;IF($K$1441=0,"",INDEX(Clients!$C$2:$C$501,$K$1441)&amp;"")&amp;" "&amp;IF($K$1441=0,"",INDEX(Clients!$D$2:$D$501,$K$1441)&amp;"")))</f>
        <v/>
      </c>
      <c r="E1451" s="35"/>
      <c r="F1451" s="35"/>
      <c r="J1451" s="25"/>
      <c r="K1451" s="25"/>
      <c r="L1451" s="25"/>
      <c r="M1451" s="25"/>
      <c r="N1451" s="25"/>
      <c r="O1451" s="25"/>
    </row>
    <row r="1452" customFormat="false" ht="15" hidden="false" customHeight="true" outlineLevel="0" collapsed="false">
      <c r="B1452" s="10"/>
      <c r="C1452" s="10"/>
      <c r="D1452" s="35" t="str">
        <f aca="false">IF($K$1441=0,"",INDEX(Clients!$F$2:$F$501,$K$1441)&amp;"")</f>
        <v/>
      </c>
      <c r="E1452" s="35"/>
      <c r="F1452" s="35"/>
      <c r="J1452" s="25"/>
      <c r="K1452" s="25"/>
      <c r="L1452" s="25"/>
      <c r="M1452" s="25"/>
      <c r="N1452" s="25"/>
      <c r="O1452" s="25"/>
    </row>
    <row r="1453" customFormat="false" ht="15" hidden="false" customHeight="true" outlineLevel="0" collapsed="false">
      <c r="B1453" s="10"/>
      <c r="C1453" s="10"/>
      <c r="D1453" s="35" t="str">
        <f aca="false">IF(IF($K$1441=0,"",INDEX(Clients!$G$2:$G$501,$K$1441)&amp;"")="",TRIM(IF($K$1441=0,"",INDEX(Clients!$H$2:$H$501,$K$1441)&amp;"")&amp;" "&amp;UPPER(IF($K$1441=0,"",INDEX(Clients!$I$2:$I$501,$K$1441)&amp;""))),IF($K$1441=0,"",INDEX(Clients!$G$2:$G$501,$K$1441)&amp;""))</f>
        <v/>
      </c>
      <c r="E1453" s="35"/>
      <c r="F1453" s="35"/>
      <c r="J1453" s="25"/>
      <c r="K1453" s="25"/>
      <c r="L1453" s="25"/>
      <c r="M1453" s="25"/>
      <c r="N1453" s="25"/>
      <c r="O1453" s="25"/>
    </row>
    <row r="1454" customFormat="false" ht="15" hidden="false" customHeight="true" outlineLevel="0" collapsed="false">
      <c r="B1454" s="10"/>
      <c r="C1454" s="10"/>
      <c r="D1454" s="35" t="str">
        <f aca="false">IF(IF($K$1441=0,"",INDEX(Clients!$G$2:$G$501,$K$1441)&amp;"")="","",TRIM(IF($K$1441=0,"",INDEX(Clients!$H$2:$H$501,$K$1441)&amp;"")&amp;" "&amp;UPPER(IF($K$1441=0,"",INDEX(Clients!$I$2:$I$501,$K$1441)&amp;""))))</f>
        <v/>
      </c>
      <c r="E1454" s="35"/>
      <c r="F1454" s="35"/>
      <c r="J1454" s="25"/>
      <c r="K1454" s="25"/>
      <c r="L1454" s="25"/>
      <c r="M1454" s="25"/>
      <c r="N1454" s="25"/>
      <c r="O1454" s="25"/>
    </row>
    <row r="1455" customFormat="false" ht="25.5" hidden="false" customHeight="true" outlineLevel="0" collapsed="false">
      <c r="B1455" s="10"/>
      <c r="C1455" s="10"/>
      <c r="D1455" s="10"/>
      <c r="E1455" s="10"/>
      <c r="F1455" s="10"/>
      <c r="J1455" s="25"/>
      <c r="K1455" s="25"/>
      <c r="L1455" s="25"/>
      <c r="M1455" s="25"/>
      <c r="N1455" s="25"/>
      <c r="O1455" s="25"/>
    </row>
    <row r="1456" customFormat="false" ht="15" hidden="false" customHeight="false" outlineLevel="0" collapsed="false">
      <c r="B1456" s="10"/>
      <c r="C1456" s="10"/>
      <c r="D1456" s="36" t="str">
        <f aca="false">Cab_Ville&amp;", le "&amp;DAY(Date_Courrier)&amp;IF(DAY(Date_Courrier)=1,"er","")&amp;" "&amp;INDEX(Liste_Mois,MONTH(Date_Courrier))&amp;" "&amp;YEAR(Date_Courrier)</f>
        <v>Le Plessis-Bouchard, le 22 septembre 2026</v>
      </c>
      <c r="E1456" s="36"/>
      <c r="F1456" s="36"/>
      <c r="J1456" s="25"/>
      <c r="K1456" s="25"/>
      <c r="L1456" s="25"/>
      <c r="M1456" s="25"/>
      <c r="N1456" s="25"/>
      <c r="O1456" s="25"/>
    </row>
    <row r="1457" customFormat="false" ht="19.5" hidden="false" customHeight="true" outlineLevel="0" collapsed="false">
      <c r="B1457" s="10"/>
      <c r="C1457" s="10"/>
      <c r="D1457" s="10"/>
      <c r="E1457" s="10"/>
      <c r="F1457" s="10"/>
      <c r="J1457" s="25"/>
      <c r="K1457" s="25"/>
      <c r="L1457" s="25"/>
      <c r="M1457" s="25"/>
      <c r="N1457" s="25"/>
      <c r="O1457" s="25"/>
    </row>
    <row r="1458" customFormat="false" ht="15" hidden="false" customHeight="false" outlineLevel="0" collapsed="false">
      <c r="B1458" s="34" t="str">
        <f aca="false">SUBSTITUTE(SUBSTITUTE(SUBSTITUTE(SUBSTITUTE(SUBSTITUTE(Txt_Objet,"{cabinet}",Cab_Nom),"{societe}",IF($K$1441=0,"",INDEX(Clients!$E$2:$E$501,$K$1441)&amp;"")),"{date_effet}",$K$1443),"{hausse}",$K$1444),"{civilite}",$K$1442)</f>
        <v>Objet : révision de nos honoraires au 1er janvier 2027</v>
      </c>
      <c r="C1458" s="34"/>
      <c r="D1458" s="34"/>
      <c r="E1458" s="34"/>
      <c r="F1458" s="34"/>
      <c r="J1458" s="25"/>
      <c r="K1458" s="25"/>
      <c r="L1458" s="25"/>
      <c r="M1458" s="25"/>
      <c r="N1458" s="25"/>
      <c r="O1458" s="25"/>
    </row>
    <row r="1459" customFormat="false" ht="13.5" hidden="false" customHeight="true" outlineLevel="0" collapsed="false">
      <c r="B1459" s="10"/>
      <c r="C1459" s="10"/>
      <c r="D1459" s="10"/>
      <c r="E1459" s="10"/>
      <c r="F1459" s="10"/>
      <c r="J1459" s="25"/>
      <c r="K1459" s="25"/>
      <c r="L1459" s="25"/>
      <c r="M1459" s="25"/>
      <c r="N1459" s="25"/>
      <c r="O1459" s="25"/>
    </row>
    <row r="1460" customFormat="false" ht="15" hidden="false" customHeight="false" outlineLevel="0" collapsed="false">
      <c r="B1460" s="10" t="str">
        <f aca="false">$K$1442&amp;","</f>
        <v>Madame, Monsieur,</v>
      </c>
      <c r="C1460" s="10"/>
      <c r="D1460" s="10"/>
      <c r="E1460" s="10"/>
      <c r="F1460" s="10"/>
      <c r="J1460" s="25"/>
      <c r="K1460" s="25"/>
      <c r="L1460" s="25"/>
      <c r="M1460" s="25"/>
      <c r="N1460" s="25"/>
      <c r="O1460" s="25"/>
    </row>
    <row r="1461" customFormat="false" ht="6" hidden="false" customHeight="true" outlineLevel="0" collapsed="false">
      <c r="B1461" s="10"/>
      <c r="C1461" s="10"/>
      <c r="D1461" s="10"/>
      <c r="E1461" s="10"/>
      <c r="F1461" s="10"/>
      <c r="J1461" s="25"/>
      <c r="K1461" s="25"/>
      <c r="L1461" s="25"/>
      <c r="M1461" s="25"/>
      <c r="N1461" s="25"/>
      <c r="O1461" s="25"/>
    </row>
    <row r="1462" customFormat="false" ht="36.75" hidden="false" customHeight="true" outlineLevel="0" collapsed="false">
      <c r="B1462" s="37" t="str">
        <f aca="false">SUBSTITUTE(SUBSTITUTE(SUBSTITUTE(SUBSTITUTE(SUBSTITUTE(Txt_P1,"{cabinet}",Cab_Nom),"{societe}",IF($K$1441=0,"",INDEX(Clients!$E$2:$E$501,$K$1441)&amp;"")),"{date_effet}",$K$1443),"{hausse}",$K$1444),"{civilite}",$K$1442)</f>
        <v>Nous tenons tout d'abord à vous remercier pour la confiance que vous accordez à ALTHO EXPERTISE. Comme chaque année, et conformément aux dispositions de votre lettre de mission, nous procédons à la révision de nos honoraires.</v>
      </c>
      <c r="C1462" s="37"/>
      <c r="D1462" s="37"/>
      <c r="E1462" s="37"/>
      <c r="F1462" s="37"/>
      <c r="J1462" s="25"/>
      <c r="K1462" s="25"/>
      <c r="L1462" s="25"/>
      <c r="M1462" s="25"/>
      <c r="N1462" s="25"/>
      <c r="O1462" s="25"/>
    </row>
    <row r="1463" customFormat="false" ht="49.5" hidden="false" customHeight="true" outlineLevel="0" collapsed="false">
      <c r="B1463" s="37" t="str">
        <f aca="false">SUBSTITUTE(SUBSTITUTE(SUBSTITUTE(SUBSTITUTE(SUBSTITUTE(Txt_P2,"{cabinet}",Cab_Nom),"{societe}",IF($K$1441=0,"",INDEX(Clients!$E$2:$E$501,$K$1441)&amp;"")),"{date_effet}",$K$1443),"{hausse}",$K$1444),"{civilite}",$K$1442)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463" s="37"/>
      <c r="D1463" s="37"/>
      <c r="E1463" s="37"/>
      <c r="F1463" s="37"/>
      <c r="J1463" s="25"/>
      <c r="K1463" s="25"/>
      <c r="L1463" s="25"/>
      <c r="M1463" s="25"/>
      <c r="N1463" s="25"/>
      <c r="O1463" s="25"/>
    </row>
    <row r="1464" customFormat="false" ht="63" hidden="false" customHeight="true" outlineLevel="0" collapsed="false">
      <c r="B1464" s="37" t="str">
        <f aca="false">SUBSTITUTE(SUBSTITUTE(SUBSTITUTE(SUBSTITUTE(SUBSTITUTE(Txt_P3,"{cabinet}",Cab_Nom),"{societe}",IF($K$1441=0,"",INDEX(Clients!$E$2:$E$501,$K$1441)&amp;"")),"{date_effet}",$K$1443),"{hausse}",$K$1444),"{civilite}",$K$1442)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464" s="37"/>
      <c r="D1464" s="37"/>
      <c r="E1464" s="37"/>
      <c r="F1464" s="37"/>
      <c r="J1464" s="25"/>
      <c r="K1464" s="25"/>
      <c r="L1464" s="25"/>
      <c r="M1464" s="25"/>
      <c r="N1464" s="25"/>
      <c r="O1464" s="25"/>
    </row>
    <row r="1465" customFormat="false" ht="24" hidden="false" customHeight="true" outlineLevel="0" collapsed="false">
      <c r="B1465" s="37" t="str">
        <f aca="false">SUBSTITUTE(SUBSTITUTE(SUBSTITUTE(SUBSTITUTE(SUBSTITUTE(Txt_P4,"{cabinet}",Cab_Nom),"{societe}",IF($K$1441=0,"",INDEX(Clients!$E$2:$E$501,$K$1441)&amp;"")),"{date_effet}",$K$1443),"{hausse}",$K$1444),"{civilite}",$K$1442)</f>
        <v>À compter du 1er janvier 2027, vos honoraires annuels hors taxes évolueront ainsi (évolution globale : ) :</v>
      </c>
      <c r="C1465" s="37"/>
      <c r="D1465" s="37"/>
      <c r="E1465" s="37"/>
      <c r="F1465" s="37"/>
      <c r="J1465" s="25"/>
      <c r="K1465" s="25"/>
      <c r="L1465" s="25"/>
      <c r="M1465" s="25"/>
      <c r="N1465" s="25"/>
      <c r="O1465" s="25"/>
    </row>
    <row r="1466" customFormat="false" ht="3.75" hidden="false" customHeight="true" outlineLevel="0" collapsed="false">
      <c r="B1466" s="10"/>
      <c r="C1466" s="10"/>
      <c r="D1466" s="10"/>
      <c r="E1466" s="10"/>
      <c r="F1466" s="10"/>
      <c r="J1466" s="25"/>
      <c r="K1466" s="25"/>
      <c r="L1466" s="25"/>
      <c r="M1466" s="25"/>
      <c r="N1466" s="25"/>
      <c r="O1466" s="25"/>
    </row>
    <row r="1467" customFormat="false" ht="18" hidden="false" customHeight="true" outlineLevel="0" collapsed="false">
      <c r="B1467" s="38" t="s">
        <v>148</v>
      </c>
      <c r="C1467" s="39" t="s">
        <v>149</v>
      </c>
      <c r="D1467" s="39" t="s">
        <v>150</v>
      </c>
      <c r="E1467" s="39" t="s">
        <v>151</v>
      </c>
      <c r="F1467" s="39" t="s">
        <v>109</v>
      </c>
      <c r="J1467" s="25" t="s">
        <v>152</v>
      </c>
      <c r="K1467" s="25" t="s">
        <v>153</v>
      </c>
      <c r="L1467" s="25" t="s">
        <v>154</v>
      </c>
      <c r="M1467" s="25" t="s">
        <v>155</v>
      </c>
      <c r="N1467" s="25" t="s">
        <v>156</v>
      </c>
      <c r="O1467" s="25" t="s">
        <v>157</v>
      </c>
    </row>
    <row r="1468" customFormat="false" ht="16.5" hidden="false" customHeight="true" outlineLevel="0" collapsed="false">
      <c r="B1468" s="40" t="str">
        <f aca="false">IFERROR(INDEX($J$1468:$J$1471,MATCH($O1468,$N$1468:$N$1471,0)),"")</f>
        <v/>
      </c>
      <c r="C1468" s="41" t="str">
        <f aca="false">IFERROR(INDEX($K$1468:$K$1471,MATCH($O1468,$N$1468:$N$1471,0)),"")</f>
        <v/>
      </c>
      <c r="D1468" s="42" t="str">
        <f aca="false">IF(OR(E1468="",N(C1468)=0),"",E1468/C1468-1)</f>
        <v/>
      </c>
      <c r="E1468" s="41" t="str">
        <f aca="false">IFERROR(INDEX($L$1468:$L$1471,MATCH($O1468,$N$1468:$N$1471,0)),"")</f>
        <v/>
      </c>
      <c r="F1468" s="41" t="str">
        <f aca="false">IF(E1468="","",E1468-C1468)</f>
        <v/>
      </c>
      <c r="J1468" s="25" t="str">
        <f aca="false">Lib_Compta</f>
        <v>Mission comptable (tenue, révision, bilan, liasse fiscale)</v>
      </c>
      <c r="K1468" s="25" t="n">
        <f aca="false">IF($K$1441=0,0,N(INDEX(Clients!$K$2:$K$501,$K$1441)))</f>
        <v>0</v>
      </c>
      <c r="L1468" s="25" t="n">
        <f aca="false">IF($K$1441=0,0,N(INDEX(Clients!$P$2:$P$501,$K$1441)))</f>
        <v>0</v>
      </c>
      <c r="M1468" s="25" t="n">
        <f aca="false">IF(OR(K1468&lt;&gt;0,L1468&lt;&gt;0),1,0)</f>
        <v>0</v>
      </c>
      <c r="N1468" s="25" t="str">
        <f aca="false">IF(M1468=1,SUM($M$1468:M1468),"")</f>
        <v/>
      </c>
      <c r="O1468" s="25" t="n">
        <v>1</v>
      </c>
    </row>
    <row r="1469" customFormat="false" ht="16.5" hidden="false" customHeight="true" outlineLevel="0" collapsed="false">
      <c r="B1469" s="40" t="str">
        <f aca="false">IFERROR(INDEX($J$1468:$J$1471,MATCH($O1469,$N$1468:$N$1471,0)),"")</f>
        <v/>
      </c>
      <c r="C1469" s="41" t="str">
        <f aca="false">IFERROR(INDEX($K$1468:$K$1471,MATCH($O1469,$N$1468:$N$1471,0)),"")</f>
        <v/>
      </c>
      <c r="D1469" s="42" t="str">
        <f aca="false">IF(OR(E1469="",N(C1469)=0),"",E1469/C1469-1)</f>
        <v/>
      </c>
      <c r="E1469" s="41" t="str">
        <f aca="false">IFERROR(INDEX($L$1468:$L$1471,MATCH($O1469,$N$1468:$N$1471,0)),"")</f>
        <v/>
      </c>
      <c r="F1469" s="41" t="str">
        <f aca="false">IF(E1469="","",E1469-C1469)</f>
        <v/>
      </c>
      <c r="J1469" s="25" t="str">
        <f aca="false">Lib_Paye</f>
        <v>Mission sociale (bulletins de paie, DSN, déclarations sociales)</v>
      </c>
      <c r="K1469" s="25" t="n">
        <f aca="false">IF($K$1441=0,0,N(INDEX(Clients!$L$2:$L$501,$K$1441)))</f>
        <v>0</v>
      </c>
      <c r="L1469" s="25" t="n">
        <f aca="false">IF($K$1441=0,0,N(INDEX(Clients!$Q$2:$Q$501,$K$1441)))</f>
        <v>0</v>
      </c>
      <c r="M1469" s="25" t="n">
        <f aca="false">IF(OR(K1469&lt;&gt;0,L1469&lt;&gt;0),1,0)</f>
        <v>0</v>
      </c>
      <c r="N1469" s="25" t="str">
        <f aca="false">IF(M1469=1,SUM($M$1468:M1469),"")</f>
        <v/>
      </c>
      <c r="O1469" s="25" t="n">
        <v>2</v>
      </c>
    </row>
    <row r="1470" customFormat="false" ht="16.5" hidden="false" customHeight="true" outlineLevel="0" collapsed="false">
      <c r="B1470" s="40" t="str">
        <f aca="false">IFERROR(INDEX($J$1468:$J$1471,MATCH($O1470,$N$1468:$N$1471,0)),"")</f>
        <v/>
      </c>
      <c r="C1470" s="41" t="str">
        <f aca="false">IFERROR(INDEX($K$1468:$K$1471,MATCH($O1470,$N$1468:$N$1471,0)),"")</f>
        <v/>
      </c>
      <c r="D1470" s="42" t="str">
        <f aca="false">IF(OR(E1470="",N(C1470)=0),"",E1470/C1470-1)</f>
        <v/>
      </c>
      <c r="E1470" s="41" t="str">
        <f aca="false">IFERROR(INDEX($L$1468:$L$1471,MATCH($O1470,$N$1468:$N$1471,0)),"")</f>
        <v/>
      </c>
      <c r="F1470" s="41" t="str">
        <f aca="false">IF(E1470="","",E1470-C1470)</f>
        <v/>
      </c>
      <c r="J1470" s="25" t="str">
        <f aca="false">Lib_Jur</f>
        <v>Mission juridique (approbation des comptes, secrétariat juridique)</v>
      </c>
      <c r="K1470" s="25" t="n">
        <f aca="false">IF($K$1441=0,0,N(INDEX(Clients!$M$2:$M$501,$K$1441)))</f>
        <v>0</v>
      </c>
      <c r="L1470" s="25" t="n">
        <f aca="false">IF($K$1441=0,0,N(INDEX(Clients!$R$2:$R$501,$K$1441)))</f>
        <v>0</v>
      </c>
      <c r="M1470" s="25" t="n">
        <f aca="false">IF(OR(K1470&lt;&gt;0,L1470&lt;&gt;0),1,0)</f>
        <v>0</v>
      </c>
      <c r="N1470" s="25" t="str">
        <f aca="false">IF(M1470=1,SUM($M$1468:M1470),"")</f>
        <v/>
      </c>
      <c r="O1470" s="25" t="n">
        <v>3</v>
      </c>
    </row>
    <row r="1471" customFormat="false" ht="16.5" hidden="false" customHeight="true" outlineLevel="0" collapsed="false">
      <c r="B1471" s="40" t="str">
        <f aca="false">IFERROR(INDEX($J$1468:$J$1471,MATCH($O1471,$N$1468:$N$1471,0)),"")</f>
        <v/>
      </c>
      <c r="C1471" s="41" t="str">
        <f aca="false">IFERROR(INDEX($K$1468:$K$1471,MATCH($O1471,$N$1468:$N$1471,0)),"")</f>
        <v/>
      </c>
      <c r="D1471" s="42" t="str">
        <f aca="false">IF(OR(E1471="",N(C1471)=0),"",E1471/C1471-1)</f>
        <v/>
      </c>
      <c r="E1471" s="41" t="str">
        <f aca="false">IFERROR(INDEX($L$1468:$L$1471,MATCH($O1471,$N$1468:$N$1471,0)),"")</f>
        <v/>
      </c>
      <c r="F1471" s="41" t="str">
        <f aca="false">IF(E1471="","",E1471-C1471)</f>
        <v/>
      </c>
      <c r="J1471" s="25" t="str">
        <f aca="false">Lib_PA</f>
        <v>Plateforme agréée – facturation électronique</v>
      </c>
      <c r="K1471" s="25" t="n">
        <f aca="false">IF($K$1441=0,0,N(INDEX(Clients!$N$2:$N$501,$K$1441)))</f>
        <v>0</v>
      </c>
      <c r="L1471" s="25" t="n">
        <f aca="false">IF($K$1441=0,0,N(INDEX(Clients!$S$2:$S$501,$K$1441)))</f>
        <v>0</v>
      </c>
      <c r="M1471" s="25" t="n">
        <f aca="false">IF(OR(K1471&lt;&gt;0,L1471&lt;&gt;0),1,0)</f>
        <v>0</v>
      </c>
      <c r="N1471" s="25" t="str">
        <f aca="false">IF(M1471=1,SUM($M$1468:M1471),"")</f>
        <v/>
      </c>
      <c r="O1471" s="25" t="n">
        <v>4</v>
      </c>
    </row>
    <row r="1472" customFormat="false" ht="18" hidden="false" customHeight="true" outlineLevel="0" collapsed="false">
      <c r="B1472" s="43" t="s">
        <v>158</v>
      </c>
      <c r="C1472" s="44" t="n">
        <f aca="false">SUM(K1468:K1471)</f>
        <v>0</v>
      </c>
      <c r="D1472" s="45" t="str">
        <f aca="false">IF(N(C1472)=0,"",E1472/C1472-1)</f>
        <v/>
      </c>
      <c r="E1472" s="44" t="n">
        <f aca="false">SUM(L1468:L1471)</f>
        <v>0</v>
      </c>
      <c r="F1472" s="44" t="n">
        <f aca="false">E1472-C1472</f>
        <v>0</v>
      </c>
    </row>
    <row r="1473" customFormat="false" ht="15" hidden="false" customHeight="false" outlineLevel="0" collapsed="false">
      <c r="B1473" s="46" t="str">
        <f aca="false">IF(N(Nb_Mensualites)=0,"","Soit "&amp;FIXED(E1472/Nb_Mensualites,2)&amp;" € HT par échéance ("&amp;Nb_Mensualites&amp;" échéances), "&amp;FIXED(E1472/Nb_Mensualites*(1+Taux_TVA),2)&amp;" € TTC.")</f>
        <v>Soit 0.00 € HT par échéance (12 échéances), 0.00 € TTC.</v>
      </c>
      <c r="C1473" s="46"/>
      <c r="D1473" s="46"/>
      <c r="E1473" s="46"/>
      <c r="F1473" s="46"/>
    </row>
    <row r="1474" customFormat="false" ht="7.5" hidden="false" customHeight="true" outlineLevel="0" collapsed="false">
      <c r="B1474" s="10"/>
      <c r="C1474" s="10"/>
      <c r="D1474" s="10"/>
      <c r="E1474" s="10"/>
      <c r="F1474" s="10"/>
    </row>
    <row r="1475" customFormat="false" ht="36.75" hidden="false" customHeight="true" outlineLevel="0" collapsed="false">
      <c r="B1475" s="37" t="str">
        <f aca="false">SUBSTITUTE(SUBSTITUTE(SUBSTITUTE(SUBSTITUTE(SUBSTITUTE(Txt_P5,"{cabinet}",Cab_Nom),"{societe}",IF($K$1441=0,"",INDEX(Clients!$E$2:$E$501,$K$1441)&amp;"")),"{date_effet}",$K$1443),"{hausse}",$K$1444),"{civilite}",$K$1442)</f>
        <v>Les autres conditions de votre lettre de mission demeurent inchangées. Les nouveaux montants seront appliqués automatiquement sur vos prochaines factures et échéances de prélèvement.</v>
      </c>
      <c r="C1475" s="37"/>
      <c r="D1475" s="37"/>
      <c r="E1475" s="37"/>
      <c r="F1475" s="37"/>
    </row>
    <row r="1476" customFormat="false" ht="36.75" hidden="false" customHeight="true" outlineLevel="0" collapsed="false">
      <c r="B1476" s="37" t="str">
        <f aca="false">SUBSTITUTE(SUBSTITUTE(SUBSTITUTE(SUBSTITUTE(SUBSTITUTE(Txt_P6,"{cabinet}",Cab_Nom),"{societe}",IF($K$1441=0,"",INDEX(Clients!$E$2:$E$501,$K$1441)&amp;"")),"{date_effet}",$K$1443),"{hausse}",$K$1444),"{civilite}",$K$1442)</f>
        <v>Votre interlocuteur habituel reste à votre entière disposition pour répondre à vos questions et faire le point sur l'évolution de vos besoins.</v>
      </c>
      <c r="C1476" s="37"/>
      <c r="D1476" s="37"/>
      <c r="E1476" s="37"/>
      <c r="F1476" s="37"/>
    </row>
    <row r="1477" customFormat="false" ht="24" hidden="false" customHeight="true" outlineLevel="0" collapsed="false">
      <c r="B1477" s="37" t="str">
        <f aca="false">SUBSTITUTE(SUBSTITUTE(SUBSTITUTE(SUBSTITUTE(SUBSTITUTE(Txt_Politesse,"{cabinet}",Cab_Nom),"{societe}",IF($K$1441=0,"",INDEX(Clients!$E$2:$E$501,$K$1441)&amp;"")),"{date_effet}",$K$1443),"{hausse}",$K$1444),"{civilite}",$K$1442)</f>
        <v>Nous vous prions d'agréer, Madame, Monsieur, l'expression de nos salutations distinguées.</v>
      </c>
      <c r="C1477" s="37"/>
      <c r="D1477" s="37"/>
      <c r="E1477" s="37"/>
      <c r="F1477" s="37"/>
    </row>
    <row r="1478" customFormat="false" ht="15" hidden="false" customHeight="false" outlineLevel="0" collapsed="false">
      <c r="B1478" s="10"/>
      <c r="C1478" s="10"/>
      <c r="D1478" s="10"/>
      <c r="E1478" s="10"/>
      <c r="F1478" s="10"/>
    </row>
    <row r="1479" customFormat="false" ht="15" hidden="false" customHeight="false" outlineLevel="0" collapsed="false">
      <c r="B1479" s="10"/>
      <c r="C1479" s="10"/>
      <c r="D1479" s="34" t="str">
        <f aca="false">Signataire</f>
        <v>Prénom NOM</v>
      </c>
      <c r="E1479" s="34"/>
      <c r="F1479" s="34"/>
    </row>
    <row r="1480" customFormat="false" ht="15" hidden="false" customHeight="false" outlineLevel="0" collapsed="false">
      <c r="B1480" s="10"/>
      <c r="C1480" s="10"/>
      <c r="D1480" s="47" t="str">
        <f aca="false">Signataire_Titre</f>
        <v>Expert-comptable associé</v>
      </c>
      <c r="E1480" s="47"/>
      <c r="F1480" s="47"/>
    </row>
    <row r="1481" customFormat="false" ht="15.75" hidden="false" customHeight="true" outlineLevel="0" collapsed="false">
      <c r="B1481" s="10"/>
      <c r="C1481" s="10"/>
      <c r="D1481" s="10"/>
      <c r="E1481" s="10"/>
      <c r="F1481" s="10"/>
    </row>
    <row r="1482" customFormat="false" ht="15.75" hidden="false" customHeight="true" outlineLevel="0" collapsed="false">
      <c r="B1482" s="10"/>
      <c r="C1482" s="10"/>
      <c r="D1482" s="10"/>
      <c r="E1482" s="10"/>
      <c r="F1482" s="10"/>
    </row>
    <row r="1483" customFormat="false" ht="15.75" hidden="false" customHeight="true" outlineLevel="0" collapsed="false">
      <c r="B1483" s="10"/>
      <c r="C1483" s="10"/>
      <c r="D1483" s="10"/>
      <c r="E1483" s="10"/>
      <c r="F1483" s="10"/>
    </row>
    <row r="1484" customFormat="false" ht="15.75" hidden="false" customHeight="true" outlineLevel="0" collapsed="false">
      <c r="B1484" s="10"/>
      <c r="C1484" s="10"/>
      <c r="D1484" s="10"/>
      <c r="E1484" s="10"/>
      <c r="F1484" s="10"/>
    </row>
    <row r="1485" customFormat="false" ht="24" hidden="false" customHeight="true" outlineLevel="0" collapsed="false">
      <c r="B1485" s="48" t="str">
        <f aca="false">Cab_Mentions</f>
        <v>ALTHO EXPERTISE · SAS au capital de 10 000 € · RCS Pontoise 919 706 325 · TVA FR62919706325 · Société d'expertise comptable inscrite au Tableau de l'Ordre des experts-comptables de Paris Île-de-France</v>
      </c>
      <c r="C1485" s="48"/>
      <c r="D1485" s="48"/>
      <c r="E1485" s="48"/>
      <c r="F1485" s="48"/>
    </row>
    <row r="1486" customFormat="false" ht="15" hidden="false" customHeight="false" outlineLevel="0" collapsed="false">
      <c r="B1486" s="10"/>
      <c r="C1486" s="10"/>
      <c r="D1486" s="10"/>
      <c r="E1486" s="10"/>
      <c r="F1486" s="10"/>
      <c r="J1486" s="25" t="s">
        <v>142</v>
      </c>
      <c r="K1486" s="25" t="n">
        <f aca="false">IFERROR(MATCH(34,Clients!$Z$2:$Z$501,0),0)</f>
        <v>0</v>
      </c>
      <c r="L1486" s="25"/>
      <c r="M1486" s="25"/>
      <c r="N1486" s="25"/>
      <c r="O1486" s="25"/>
    </row>
    <row r="1487" customFormat="false" ht="21.75" hidden="false" customHeight="true" outlineLevel="0" collapsed="false">
      <c r="B1487" s="26" t="str">
        <f aca="false">Cab_Nom</f>
        <v>ALTHO EXPERTISE</v>
      </c>
      <c r="C1487" s="26"/>
      <c r="D1487" s="10"/>
      <c r="E1487" s="27" t="str">
        <f aca="false">IF($K$1486=0,"","Réf. client : "&amp;INDEX(Clients!$A$2:$A$501,$K$1486))</f>
        <v/>
      </c>
      <c r="F1487" s="27"/>
      <c r="J1487" s="25" t="s">
        <v>144</v>
      </c>
      <c r="K1487" s="25" t="str">
        <f aca="false">IF(IF($K$1486=0,"",INDEX(Clients!$B$2:$B$501,$K$1486)&amp;"")="Mme","Madame",IF(IF($K$1486=0,"",INDEX(Clients!$B$2:$B$501,$K$1486)&amp;"")="M.","Monsieur","Madame, Monsieur"))</f>
        <v>Madame, Monsieur</v>
      </c>
      <c r="L1487" s="25"/>
      <c r="M1487" s="25"/>
      <c r="N1487" s="25"/>
      <c r="O1487" s="25"/>
    </row>
    <row r="1488" customFormat="false" ht="15" hidden="false" customHeight="false" outlineLevel="0" collapsed="false">
      <c r="B1488" s="29" t="str">
        <f aca="false">Cab_Adr1</f>
        <v>141 rue Charles de Gaulle</v>
      </c>
      <c r="C1488" s="29"/>
      <c r="D1488" s="10"/>
      <c r="E1488" s="10"/>
      <c r="F1488" s="10"/>
      <c r="J1488" s="25" t="s">
        <v>145</v>
      </c>
      <c r="K1488" s="25" t="str">
        <f aca="false">DAY(Date_Effet)&amp;IF(DAY(Date_Effet)=1,"er","")&amp;" "&amp;INDEX(Liste_Mois,MONTH(Date_Effet))&amp;" "&amp;YEAR(Date_Effet)</f>
        <v>1er janvier 2027</v>
      </c>
      <c r="L1488" s="25"/>
      <c r="M1488" s="25"/>
      <c r="N1488" s="25"/>
      <c r="O1488" s="25"/>
    </row>
    <row r="1489" customFormat="false" ht="15" hidden="false" customHeight="false" outlineLevel="0" collapsed="false">
      <c r="B1489" s="29" t="str">
        <f aca="false">Cab_CPVille</f>
        <v>95130 LE PLESSIS-BOUCHARD</v>
      </c>
      <c r="C1489" s="29"/>
      <c r="D1489" s="10"/>
      <c r="E1489" s="10"/>
      <c r="F1489" s="10"/>
      <c r="J1489" s="25" t="s">
        <v>146</v>
      </c>
      <c r="K1489" s="25" t="str">
        <f aca="false">IF(SUM($K$1513:$K$1516)=0,"",FIXED((SUM($L$1513:$L$1516)/SUM($K$1513:$K$1516)-1)*100,1)&amp;" %")</f>
        <v/>
      </c>
      <c r="L1489" s="25"/>
      <c r="M1489" s="25"/>
      <c r="N1489" s="25"/>
      <c r="O1489" s="25"/>
    </row>
    <row r="1490" customFormat="false" ht="15" hidden="false" customHeight="false" outlineLevel="0" collapsed="false">
      <c r="B1490" s="29" t="str">
        <f aca="false">Cab_Contact</f>
        <v>Tél. 01 34 14 53 45  ·  altho@altho-experts.com  ·  altho-experts.com</v>
      </c>
      <c r="C1490" s="29"/>
      <c r="D1490" s="10"/>
      <c r="E1490" s="10"/>
      <c r="F1490" s="10"/>
      <c r="J1490" s="25"/>
      <c r="K1490" s="25"/>
      <c r="L1490" s="25"/>
      <c r="M1490" s="25"/>
      <c r="N1490" s="25"/>
      <c r="O1490" s="25"/>
    </row>
    <row r="1491" customFormat="false" ht="6" hidden="false" customHeight="true" outlineLevel="0" collapsed="false">
      <c r="B1491" s="32"/>
      <c r="C1491" s="32"/>
      <c r="D1491" s="32"/>
      <c r="E1491" s="32"/>
      <c r="F1491" s="32"/>
      <c r="J1491" s="25"/>
      <c r="K1491" s="25"/>
      <c r="L1491" s="25"/>
      <c r="M1491" s="25"/>
      <c r="N1491" s="25"/>
      <c r="O1491" s="25"/>
    </row>
    <row r="1492" customFormat="false" ht="13.5" hidden="false" customHeight="true" outlineLevel="0" collapsed="false">
      <c r="B1492" s="10"/>
      <c r="C1492" s="10"/>
      <c r="D1492" s="10"/>
      <c r="E1492" s="10"/>
      <c r="F1492" s="10"/>
      <c r="J1492" s="25"/>
      <c r="K1492" s="25"/>
      <c r="L1492" s="25"/>
      <c r="M1492" s="25"/>
      <c r="N1492" s="25"/>
      <c r="O1492" s="25"/>
    </row>
    <row r="1493" customFormat="false" ht="13.5" hidden="false" customHeight="true" outlineLevel="0" collapsed="false">
      <c r="B1493" s="10"/>
      <c r="C1493" s="10"/>
      <c r="D1493" s="10"/>
      <c r="E1493" s="10"/>
      <c r="F1493" s="10"/>
      <c r="J1493" s="25"/>
      <c r="K1493" s="25"/>
      <c r="L1493" s="25"/>
      <c r="M1493" s="25"/>
      <c r="N1493" s="25"/>
      <c r="O1493" s="25"/>
    </row>
    <row r="1494" customFormat="false" ht="13.5" hidden="false" customHeight="true" outlineLevel="0" collapsed="false">
      <c r="B1494" s="10"/>
      <c r="C1494" s="10"/>
      <c r="D1494" s="10"/>
      <c r="E1494" s="10"/>
      <c r="F1494" s="10"/>
      <c r="J1494" s="25"/>
      <c r="K1494" s="25"/>
      <c r="L1494" s="25"/>
      <c r="M1494" s="25"/>
      <c r="N1494" s="25"/>
      <c r="O1494" s="25"/>
    </row>
    <row r="1495" customFormat="false" ht="15" hidden="false" customHeight="true" outlineLevel="0" collapsed="false">
      <c r="B1495" s="10"/>
      <c r="C1495" s="10"/>
      <c r="D1495" s="34" t="str">
        <f aca="false">IF($K$1486=0,"",INDEX(Clients!$E$2:$E$501,$K$1486)&amp;"")</f>
        <v/>
      </c>
      <c r="E1495" s="34"/>
      <c r="F1495" s="34"/>
      <c r="J1495" s="25"/>
      <c r="K1495" s="25"/>
      <c r="L1495" s="25"/>
      <c r="M1495" s="25"/>
      <c r="N1495" s="25"/>
      <c r="O1495" s="25"/>
    </row>
    <row r="1496" customFormat="false" ht="15" hidden="false" customHeight="true" outlineLevel="0" collapsed="false">
      <c r="B1496" s="10"/>
      <c r="C1496" s="10"/>
      <c r="D1496" s="35" t="str">
        <f aca="false">IF(IF($K$1486=0,"",INDEX(Clients!$D$2:$D$501,$K$1486)&amp;"")="","","À l'attention de "&amp;TRIM(IF($K$1486=0,"",INDEX(Clients!$B$2:$B$501,$K$1486)&amp;"")&amp;" "&amp;IF($K$1486=0,"",INDEX(Clients!$C$2:$C$501,$K$1486)&amp;"")&amp;" "&amp;IF($K$1486=0,"",INDEX(Clients!$D$2:$D$501,$K$1486)&amp;"")))</f>
        <v/>
      </c>
      <c r="E1496" s="35"/>
      <c r="F1496" s="35"/>
      <c r="J1496" s="25"/>
      <c r="K1496" s="25"/>
      <c r="L1496" s="25"/>
      <c r="M1496" s="25"/>
      <c r="N1496" s="25"/>
      <c r="O1496" s="25"/>
    </row>
    <row r="1497" customFormat="false" ht="15" hidden="false" customHeight="true" outlineLevel="0" collapsed="false">
      <c r="B1497" s="10"/>
      <c r="C1497" s="10"/>
      <c r="D1497" s="35" t="str">
        <f aca="false">IF($K$1486=0,"",INDEX(Clients!$F$2:$F$501,$K$1486)&amp;"")</f>
        <v/>
      </c>
      <c r="E1497" s="35"/>
      <c r="F1497" s="35"/>
      <c r="J1497" s="25"/>
      <c r="K1497" s="25"/>
      <c r="L1497" s="25"/>
      <c r="M1497" s="25"/>
      <c r="N1497" s="25"/>
      <c r="O1497" s="25"/>
    </row>
    <row r="1498" customFormat="false" ht="15" hidden="false" customHeight="true" outlineLevel="0" collapsed="false">
      <c r="B1498" s="10"/>
      <c r="C1498" s="10"/>
      <c r="D1498" s="35" t="str">
        <f aca="false">IF(IF($K$1486=0,"",INDEX(Clients!$G$2:$G$501,$K$1486)&amp;"")="",TRIM(IF($K$1486=0,"",INDEX(Clients!$H$2:$H$501,$K$1486)&amp;"")&amp;" "&amp;UPPER(IF($K$1486=0,"",INDEX(Clients!$I$2:$I$501,$K$1486)&amp;""))),IF($K$1486=0,"",INDEX(Clients!$G$2:$G$501,$K$1486)&amp;""))</f>
        <v/>
      </c>
      <c r="E1498" s="35"/>
      <c r="F1498" s="35"/>
      <c r="J1498" s="25"/>
      <c r="K1498" s="25"/>
      <c r="L1498" s="25"/>
      <c r="M1498" s="25"/>
      <c r="N1498" s="25"/>
      <c r="O1498" s="25"/>
    </row>
    <row r="1499" customFormat="false" ht="15" hidden="false" customHeight="true" outlineLevel="0" collapsed="false">
      <c r="B1499" s="10"/>
      <c r="C1499" s="10"/>
      <c r="D1499" s="35" t="str">
        <f aca="false">IF(IF($K$1486=0,"",INDEX(Clients!$G$2:$G$501,$K$1486)&amp;"")="","",TRIM(IF($K$1486=0,"",INDEX(Clients!$H$2:$H$501,$K$1486)&amp;"")&amp;" "&amp;UPPER(IF($K$1486=0,"",INDEX(Clients!$I$2:$I$501,$K$1486)&amp;""))))</f>
        <v/>
      </c>
      <c r="E1499" s="35"/>
      <c r="F1499" s="35"/>
      <c r="J1499" s="25"/>
      <c r="K1499" s="25"/>
      <c r="L1499" s="25"/>
      <c r="M1499" s="25"/>
      <c r="N1499" s="25"/>
      <c r="O1499" s="25"/>
    </row>
    <row r="1500" customFormat="false" ht="25.5" hidden="false" customHeight="true" outlineLevel="0" collapsed="false">
      <c r="B1500" s="10"/>
      <c r="C1500" s="10"/>
      <c r="D1500" s="10"/>
      <c r="E1500" s="10"/>
      <c r="F1500" s="10"/>
      <c r="J1500" s="25"/>
      <c r="K1500" s="25"/>
      <c r="L1500" s="25"/>
      <c r="M1500" s="25"/>
      <c r="N1500" s="25"/>
      <c r="O1500" s="25"/>
    </row>
    <row r="1501" customFormat="false" ht="15" hidden="false" customHeight="false" outlineLevel="0" collapsed="false">
      <c r="B1501" s="10"/>
      <c r="C1501" s="10"/>
      <c r="D1501" s="36" t="str">
        <f aca="false">Cab_Ville&amp;", le "&amp;DAY(Date_Courrier)&amp;IF(DAY(Date_Courrier)=1,"er","")&amp;" "&amp;INDEX(Liste_Mois,MONTH(Date_Courrier))&amp;" "&amp;YEAR(Date_Courrier)</f>
        <v>Le Plessis-Bouchard, le 22 septembre 2026</v>
      </c>
      <c r="E1501" s="36"/>
      <c r="F1501" s="36"/>
      <c r="J1501" s="25"/>
      <c r="K1501" s="25"/>
      <c r="L1501" s="25"/>
      <c r="M1501" s="25"/>
      <c r="N1501" s="25"/>
      <c r="O1501" s="25"/>
    </row>
    <row r="1502" customFormat="false" ht="19.5" hidden="false" customHeight="true" outlineLevel="0" collapsed="false">
      <c r="B1502" s="10"/>
      <c r="C1502" s="10"/>
      <c r="D1502" s="10"/>
      <c r="E1502" s="10"/>
      <c r="F1502" s="10"/>
      <c r="J1502" s="25"/>
      <c r="K1502" s="25"/>
      <c r="L1502" s="25"/>
      <c r="M1502" s="25"/>
      <c r="N1502" s="25"/>
      <c r="O1502" s="25"/>
    </row>
    <row r="1503" customFormat="false" ht="15" hidden="false" customHeight="false" outlineLevel="0" collapsed="false">
      <c r="B1503" s="34" t="str">
        <f aca="false">SUBSTITUTE(SUBSTITUTE(SUBSTITUTE(SUBSTITUTE(SUBSTITUTE(Txt_Objet,"{cabinet}",Cab_Nom),"{societe}",IF($K$1486=0,"",INDEX(Clients!$E$2:$E$501,$K$1486)&amp;"")),"{date_effet}",$K$1488),"{hausse}",$K$1489),"{civilite}",$K$1487)</f>
        <v>Objet : révision de nos honoraires au 1er janvier 2027</v>
      </c>
      <c r="C1503" s="34"/>
      <c r="D1503" s="34"/>
      <c r="E1503" s="34"/>
      <c r="F1503" s="34"/>
      <c r="J1503" s="25"/>
      <c r="K1503" s="25"/>
      <c r="L1503" s="25"/>
      <c r="M1503" s="25"/>
      <c r="N1503" s="25"/>
      <c r="O1503" s="25"/>
    </row>
    <row r="1504" customFormat="false" ht="13.5" hidden="false" customHeight="true" outlineLevel="0" collapsed="false">
      <c r="B1504" s="10"/>
      <c r="C1504" s="10"/>
      <c r="D1504" s="10"/>
      <c r="E1504" s="10"/>
      <c r="F1504" s="10"/>
      <c r="J1504" s="25"/>
      <c r="K1504" s="25"/>
      <c r="L1504" s="25"/>
      <c r="M1504" s="25"/>
      <c r="N1504" s="25"/>
      <c r="O1504" s="25"/>
    </row>
    <row r="1505" customFormat="false" ht="15" hidden="false" customHeight="false" outlineLevel="0" collapsed="false">
      <c r="B1505" s="10" t="str">
        <f aca="false">$K$1487&amp;","</f>
        <v>Madame, Monsieur,</v>
      </c>
      <c r="C1505" s="10"/>
      <c r="D1505" s="10"/>
      <c r="E1505" s="10"/>
      <c r="F1505" s="10"/>
      <c r="J1505" s="25"/>
      <c r="K1505" s="25"/>
      <c r="L1505" s="25"/>
      <c r="M1505" s="25"/>
      <c r="N1505" s="25"/>
      <c r="O1505" s="25"/>
    </row>
    <row r="1506" customFormat="false" ht="6" hidden="false" customHeight="true" outlineLevel="0" collapsed="false">
      <c r="B1506" s="10"/>
      <c r="C1506" s="10"/>
      <c r="D1506" s="10"/>
      <c r="E1506" s="10"/>
      <c r="F1506" s="10"/>
      <c r="J1506" s="25"/>
      <c r="K1506" s="25"/>
      <c r="L1506" s="25"/>
      <c r="M1506" s="25"/>
      <c r="N1506" s="25"/>
      <c r="O1506" s="25"/>
    </row>
    <row r="1507" customFormat="false" ht="36.75" hidden="false" customHeight="true" outlineLevel="0" collapsed="false">
      <c r="B1507" s="37" t="str">
        <f aca="false">SUBSTITUTE(SUBSTITUTE(SUBSTITUTE(SUBSTITUTE(SUBSTITUTE(Txt_P1,"{cabinet}",Cab_Nom),"{societe}",IF($K$1486=0,"",INDEX(Clients!$E$2:$E$501,$K$1486)&amp;"")),"{date_effet}",$K$1488),"{hausse}",$K$1489),"{civilite}",$K$1487)</f>
        <v>Nous tenons tout d'abord à vous remercier pour la confiance que vous accordez à ALTHO EXPERTISE. Comme chaque année, et conformément aux dispositions de votre lettre de mission, nous procédons à la révision de nos honoraires.</v>
      </c>
      <c r="C1507" s="37"/>
      <c r="D1507" s="37"/>
      <c r="E1507" s="37"/>
      <c r="F1507" s="37"/>
      <c r="J1507" s="25"/>
      <c r="K1507" s="25"/>
      <c r="L1507" s="25"/>
      <c r="M1507" s="25"/>
      <c r="N1507" s="25"/>
      <c r="O1507" s="25"/>
    </row>
    <row r="1508" customFormat="false" ht="49.5" hidden="false" customHeight="true" outlineLevel="0" collapsed="false">
      <c r="B1508" s="37" t="str">
        <f aca="false">SUBSTITUTE(SUBSTITUTE(SUBSTITUTE(SUBSTITUTE(SUBSTITUTE(Txt_P2,"{cabinet}",Cab_Nom),"{societe}",IF($K$1486=0,"",INDEX(Clients!$E$2:$E$501,$K$1486)&amp;"")),"{date_effet}",$K$1488),"{hausse}",$K$1489),"{civilite}",$K$1487)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508" s="37"/>
      <c r="D1508" s="37"/>
      <c r="E1508" s="37"/>
      <c r="F1508" s="37"/>
      <c r="J1508" s="25"/>
      <c r="K1508" s="25"/>
      <c r="L1508" s="25"/>
      <c r="M1508" s="25"/>
      <c r="N1508" s="25"/>
      <c r="O1508" s="25"/>
    </row>
    <row r="1509" customFormat="false" ht="63" hidden="false" customHeight="true" outlineLevel="0" collapsed="false">
      <c r="B1509" s="37" t="str">
        <f aca="false">SUBSTITUTE(SUBSTITUTE(SUBSTITUTE(SUBSTITUTE(SUBSTITUTE(Txt_P3,"{cabinet}",Cab_Nom),"{societe}",IF($K$1486=0,"",INDEX(Clients!$E$2:$E$501,$K$1486)&amp;"")),"{date_effet}",$K$1488),"{hausse}",$K$1489),"{civilite}",$K$1487)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509" s="37"/>
      <c r="D1509" s="37"/>
      <c r="E1509" s="37"/>
      <c r="F1509" s="37"/>
      <c r="J1509" s="25"/>
      <c r="K1509" s="25"/>
      <c r="L1509" s="25"/>
      <c r="M1509" s="25"/>
      <c r="N1509" s="25"/>
      <c r="O1509" s="25"/>
    </row>
    <row r="1510" customFormat="false" ht="24" hidden="false" customHeight="true" outlineLevel="0" collapsed="false">
      <c r="B1510" s="37" t="str">
        <f aca="false">SUBSTITUTE(SUBSTITUTE(SUBSTITUTE(SUBSTITUTE(SUBSTITUTE(Txt_P4,"{cabinet}",Cab_Nom),"{societe}",IF($K$1486=0,"",INDEX(Clients!$E$2:$E$501,$K$1486)&amp;"")),"{date_effet}",$K$1488),"{hausse}",$K$1489),"{civilite}",$K$1487)</f>
        <v>À compter du 1er janvier 2027, vos honoraires annuels hors taxes évolueront ainsi (évolution globale : ) :</v>
      </c>
      <c r="C1510" s="37"/>
      <c r="D1510" s="37"/>
      <c r="E1510" s="37"/>
      <c r="F1510" s="37"/>
      <c r="J1510" s="25"/>
      <c r="K1510" s="25"/>
      <c r="L1510" s="25"/>
      <c r="M1510" s="25"/>
      <c r="N1510" s="25"/>
      <c r="O1510" s="25"/>
    </row>
    <row r="1511" customFormat="false" ht="3.75" hidden="false" customHeight="true" outlineLevel="0" collapsed="false">
      <c r="B1511" s="10"/>
      <c r="C1511" s="10"/>
      <c r="D1511" s="10"/>
      <c r="E1511" s="10"/>
      <c r="F1511" s="10"/>
      <c r="J1511" s="25"/>
      <c r="K1511" s="25"/>
      <c r="L1511" s="25"/>
      <c r="M1511" s="25"/>
      <c r="N1511" s="25"/>
      <c r="O1511" s="25"/>
    </row>
    <row r="1512" customFormat="false" ht="18" hidden="false" customHeight="true" outlineLevel="0" collapsed="false">
      <c r="B1512" s="38" t="s">
        <v>148</v>
      </c>
      <c r="C1512" s="39" t="s">
        <v>149</v>
      </c>
      <c r="D1512" s="39" t="s">
        <v>150</v>
      </c>
      <c r="E1512" s="39" t="s">
        <v>151</v>
      </c>
      <c r="F1512" s="39" t="s">
        <v>109</v>
      </c>
      <c r="J1512" s="25" t="s">
        <v>152</v>
      </c>
      <c r="K1512" s="25" t="s">
        <v>153</v>
      </c>
      <c r="L1512" s="25" t="s">
        <v>154</v>
      </c>
      <c r="M1512" s="25" t="s">
        <v>155</v>
      </c>
      <c r="N1512" s="25" t="s">
        <v>156</v>
      </c>
      <c r="O1512" s="25" t="s">
        <v>157</v>
      </c>
    </row>
    <row r="1513" customFormat="false" ht="16.5" hidden="false" customHeight="true" outlineLevel="0" collapsed="false">
      <c r="B1513" s="40" t="str">
        <f aca="false">IFERROR(INDEX($J$1513:$J$1516,MATCH($O1513,$N$1513:$N$1516,0)),"")</f>
        <v/>
      </c>
      <c r="C1513" s="41" t="str">
        <f aca="false">IFERROR(INDEX($K$1513:$K$1516,MATCH($O1513,$N$1513:$N$1516,0)),"")</f>
        <v/>
      </c>
      <c r="D1513" s="42" t="str">
        <f aca="false">IF(OR(E1513="",N(C1513)=0),"",E1513/C1513-1)</f>
        <v/>
      </c>
      <c r="E1513" s="41" t="str">
        <f aca="false">IFERROR(INDEX($L$1513:$L$1516,MATCH($O1513,$N$1513:$N$1516,0)),"")</f>
        <v/>
      </c>
      <c r="F1513" s="41" t="str">
        <f aca="false">IF(E1513="","",E1513-C1513)</f>
        <v/>
      </c>
      <c r="J1513" s="25" t="str">
        <f aca="false">Lib_Compta</f>
        <v>Mission comptable (tenue, révision, bilan, liasse fiscale)</v>
      </c>
      <c r="K1513" s="25" t="n">
        <f aca="false">IF($K$1486=0,0,N(INDEX(Clients!$K$2:$K$501,$K$1486)))</f>
        <v>0</v>
      </c>
      <c r="L1513" s="25" t="n">
        <f aca="false">IF($K$1486=0,0,N(INDEX(Clients!$P$2:$P$501,$K$1486)))</f>
        <v>0</v>
      </c>
      <c r="M1513" s="25" t="n">
        <f aca="false">IF(OR(K1513&lt;&gt;0,L1513&lt;&gt;0),1,0)</f>
        <v>0</v>
      </c>
      <c r="N1513" s="25" t="str">
        <f aca="false">IF(M1513=1,SUM($M$1513:M1513),"")</f>
        <v/>
      </c>
      <c r="O1513" s="25" t="n">
        <v>1</v>
      </c>
    </row>
    <row r="1514" customFormat="false" ht="16.5" hidden="false" customHeight="true" outlineLevel="0" collapsed="false">
      <c r="B1514" s="40" t="str">
        <f aca="false">IFERROR(INDEX($J$1513:$J$1516,MATCH($O1514,$N$1513:$N$1516,0)),"")</f>
        <v/>
      </c>
      <c r="C1514" s="41" t="str">
        <f aca="false">IFERROR(INDEX($K$1513:$K$1516,MATCH($O1514,$N$1513:$N$1516,0)),"")</f>
        <v/>
      </c>
      <c r="D1514" s="42" t="str">
        <f aca="false">IF(OR(E1514="",N(C1514)=0),"",E1514/C1514-1)</f>
        <v/>
      </c>
      <c r="E1514" s="41" t="str">
        <f aca="false">IFERROR(INDEX($L$1513:$L$1516,MATCH($O1514,$N$1513:$N$1516,0)),"")</f>
        <v/>
      </c>
      <c r="F1514" s="41" t="str">
        <f aca="false">IF(E1514="","",E1514-C1514)</f>
        <v/>
      </c>
      <c r="J1514" s="25" t="str">
        <f aca="false">Lib_Paye</f>
        <v>Mission sociale (bulletins de paie, DSN, déclarations sociales)</v>
      </c>
      <c r="K1514" s="25" t="n">
        <f aca="false">IF($K$1486=0,0,N(INDEX(Clients!$L$2:$L$501,$K$1486)))</f>
        <v>0</v>
      </c>
      <c r="L1514" s="25" t="n">
        <f aca="false">IF($K$1486=0,0,N(INDEX(Clients!$Q$2:$Q$501,$K$1486)))</f>
        <v>0</v>
      </c>
      <c r="M1514" s="25" t="n">
        <f aca="false">IF(OR(K1514&lt;&gt;0,L1514&lt;&gt;0),1,0)</f>
        <v>0</v>
      </c>
      <c r="N1514" s="25" t="str">
        <f aca="false">IF(M1514=1,SUM($M$1513:M1514),"")</f>
        <v/>
      </c>
      <c r="O1514" s="25" t="n">
        <v>2</v>
      </c>
    </row>
    <row r="1515" customFormat="false" ht="16.5" hidden="false" customHeight="true" outlineLevel="0" collapsed="false">
      <c r="B1515" s="40" t="str">
        <f aca="false">IFERROR(INDEX($J$1513:$J$1516,MATCH($O1515,$N$1513:$N$1516,0)),"")</f>
        <v/>
      </c>
      <c r="C1515" s="41" t="str">
        <f aca="false">IFERROR(INDEX($K$1513:$K$1516,MATCH($O1515,$N$1513:$N$1516,0)),"")</f>
        <v/>
      </c>
      <c r="D1515" s="42" t="str">
        <f aca="false">IF(OR(E1515="",N(C1515)=0),"",E1515/C1515-1)</f>
        <v/>
      </c>
      <c r="E1515" s="41" t="str">
        <f aca="false">IFERROR(INDEX($L$1513:$L$1516,MATCH($O1515,$N$1513:$N$1516,0)),"")</f>
        <v/>
      </c>
      <c r="F1515" s="41" t="str">
        <f aca="false">IF(E1515="","",E1515-C1515)</f>
        <v/>
      </c>
      <c r="J1515" s="25" t="str">
        <f aca="false">Lib_Jur</f>
        <v>Mission juridique (approbation des comptes, secrétariat juridique)</v>
      </c>
      <c r="K1515" s="25" t="n">
        <f aca="false">IF($K$1486=0,0,N(INDEX(Clients!$M$2:$M$501,$K$1486)))</f>
        <v>0</v>
      </c>
      <c r="L1515" s="25" t="n">
        <f aca="false">IF($K$1486=0,0,N(INDEX(Clients!$R$2:$R$501,$K$1486)))</f>
        <v>0</v>
      </c>
      <c r="M1515" s="25" t="n">
        <f aca="false">IF(OR(K1515&lt;&gt;0,L1515&lt;&gt;0),1,0)</f>
        <v>0</v>
      </c>
      <c r="N1515" s="25" t="str">
        <f aca="false">IF(M1515=1,SUM($M$1513:M1515),"")</f>
        <v/>
      </c>
      <c r="O1515" s="25" t="n">
        <v>3</v>
      </c>
    </row>
    <row r="1516" customFormat="false" ht="16.5" hidden="false" customHeight="true" outlineLevel="0" collapsed="false">
      <c r="B1516" s="40" t="str">
        <f aca="false">IFERROR(INDEX($J$1513:$J$1516,MATCH($O1516,$N$1513:$N$1516,0)),"")</f>
        <v/>
      </c>
      <c r="C1516" s="41" t="str">
        <f aca="false">IFERROR(INDEX($K$1513:$K$1516,MATCH($O1516,$N$1513:$N$1516,0)),"")</f>
        <v/>
      </c>
      <c r="D1516" s="42" t="str">
        <f aca="false">IF(OR(E1516="",N(C1516)=0),"",E1516/C1516-1)</f>
        <v/>
      </c>
      <c r="E1516" s="41" t="str">
        <f aca="false">IFERROR(INDEX($L$1513:$L$1516,MATCH($O1516,$N$1513:$N$1516,0)),"")</f>
        <v/>
      </c>
      <c r="F1516" s="41" t="str">
        <f aca="false">IF(E1516="","",E1516-C1516)</f>
        <v/>
      </c>
      <c r="J1516" s="25" t="str">
        <f aca="false">Lib_PA</f>
        <v>Plateforme agréée – facturation électronique</v>
      </c>
      <c r="K1516" s="25" t="n">
        <f aca="false">IF($K$1486=0,0,N(INDEX(Clients!$N$2:$N$501,$K$1486)))</f>
        <v>0</v>
      </c>
      <c r="L1516" s="25" t="n">
        <f aca="false">IF($K$1486=0,0,N(INDEX(Clients!$S$2:$S$501,$K$1486)))</f>
        <v>0</v>
      </c>
      <c r="M1516" s="25" t="n">
        <f aca="false">IF(OR(K1516&lt;&gt;0,L1516&lt;&gt;0),1,0)</f>
        <v>0</v>
      </c>
      <c r="N1516" s="25" t="str">
        <f aca="false">IF(M1516=1,SUM($M$1513:M1516),"")</f>
        <v/>
      </c>
      <c r="O1516" s="25" t="n">
        <v>4</v>
      </c>
    </row>
    <row r="1517" customFormat="false" ht="18" hidden="false" customHeight="true" outlineLevel="0" collapsed="false">
      <c r="B1517" s="43" t="s">
        <v>158</v>
      </c>
      <c r="C1517" s="44" t="n">
        <f aca="false">SUM(K1513:K1516)</f>
        <v>0</v>
      </c>
      <c r="D1517" s="45" t="str">
        <f aca="false">IF(N(C1517)=0,"",E1517/C1517-1)</f>
        <v/>
      </c>
      <c r="E1517" s="44" t="n">
        <f aca="false">SUM(L1513:L1516)</f>
        <v>0</v>
      </c>
      <c r="F1517" s="44" t="n">
        <f aca="false">E1517-C1517</f>
        <v>0</v>
      </c>
    </row>
    <row r="1518" customFormat="false" ht="15" hidden="false" customHeight="false" outlineLevel="0" collapsed="false">
      <c r="B1518" s="46" t="str">
        <f aca="false">IF(N(Nb_Mensualites)=0,"","Soit "&amp;FIXED(E1517/Nb_Mensualites,2)&amp;" € HT par échéance ("&amp;Nb_Mensualites&amp;" échéances), "&amp;FIXED(E1517/Nb_Mensualites*(1+Taux_TVA),2)&amp;" € TTC.")</f>
        <v>Soit 0.00 € HT par échéance (12 échéances), 0.00 € TTC.</v>
      </c>
      <c r="C1518" s="46"/>
      <c r="D1518" s="46"/>
      <c r="E1518" s="46"/>
      <c r="F1518" s="46"/>
    </row>
    <row r="1519" customFormat="false" ht="7.5" hidden="false" customHeight="true" outlineLevel="0" collapsed="false">
      <c r="B1519" s="10"/>
      <c r="C1519" s="10"/>
      <c r="D1519" s="10"/>
      <c r="E1519" s="10"/>
      <c r="F1519" s="10"/>
    </row>
    <row r="1520" customFormat="false" ht="36.75" hidden="false" customHeight="true" outlineLevel="0" collapsed="false">
      <c r="B1520" s="37" t="str">
        <f aca="false">SUBSTITUTE(SUBSTITUTE(SUBSTITUTE(SUBSTITUTE(SUBSTITUTE(Txt_P5,"{cabinet}",Cab_Nom),"{societe}",IF($K$1486=0,"",INDEX(Clients!$E$2:$E$501,$K$1486)&amp;"")),"{date_effet}",$K$1488),"{hausse}",$K$1489),"{civilite}",$K$1487)</f>
        <v>Les autres conditions de votre lettre de mission demeurent inchangées. Les nouveaux montants seront appliqués automatiquement sur vos prochaines factures et échéances de prélèvement.</v>
      </c>
      <c r="C1520" s="37"/>
      <c r="D1520" s="37"/>
      <c r="E1520" s="37"/>
      <c r="F1520" s="37"/>
    </row>
    <row r="1521" customFormat="false" ht="36.75" hidden="false" customHeight="true" outlineLevel="0" collapsed="false">
      <c r="B1521" s="37" t="str">
        <f aca="false">SUBSTITUTE(SUBSTITUTE(SUBSTITUTE(SUBSTITUTE(SUBSTITUTE(Txt_P6,"{cabinet}",Cab_Nom),"{societe}",IF($K$1486=0,"",INDEX(Clients!$E$2:$E$501,$K$1486)&amp;"")),"{date_effet}",$K$1488),"{hausse}",$K$1489),"{civilite}",$K$1487)</f>
        <v>Votre interlocuteur habituel reste à votre entière disposition pour répondre à vos questions et faire le point sur l'évolution de vos besoins.</v>
      </c>
      <c r="C1521" s="37"/>
      <c r="D1521" s="37"/>
      <c r="E1521" s="37"/>
      <c r="F1521" s="37"/>
    </row>
    <row r="1522" customFormat="false" ht="24" hidden="false" customHeight="true" outlineLevel="0" collapsed="false">
      <c r="B1522" s="37" t="str">
        <f aca="false">SUBSTITUTE(SUBSTITUTE(SUBSTITUTE(SUBSTITUTE(SUBSTITUTE(Txt_Politesse,"{cabinet}",Cab_Nom),"{societe}",IF($K$1486=0,"",INDEX(Clients!$E$2:$E$501,$K$1486)&amp;"")),"{date_effet}",$K$1488),"{hausse}",$K$1489),"{civilite}",$K$1487)</f>
        <v>Nous vous prions d'agréer, Madame, Monsieur, l'expression de nos salutations distinguées.</v>
      </c>
      <c r="C1522" s="37"/>
      <c r="D1522" s="37"/>
      <c r="E1522" s="37"/>
      <c r="F1522" s="37"/>
    </row>
    <row r="1523" customFormat="false" ht="15" hidden="false" customHeight="false" outlineLevel="0" collapsed="false">
      <c r="B1523" s="10"/>
      <c r="C1523" s="10"/>
      <c r="D1523" s="10"/>
      <c r="E1523" s="10"/>
      <c r="F1523" s="10"/>
    </row>
    <row r="1524" customFormat="false" ht="15" hidden="false" customHeight="false" outlineLevel="0" collapsed="false">
      <c r="B1524" s="10"/>
      <c r="C1524" s="10"/>
      <c r="D1524" s="34" t="str">
        <f aca="false">Signataire</f>
        <v>Prénom NOM</v>
      </c>
      <c r="E1524" s="34"/>
      <c r="F1524" s="34"/>
    </row>
    <row r="1525" customFormat="false" ht="15" hidden="false" customHeight="false" outlineLevel="0" collapsed="false">
      <c r="B1525" s="10"/>
      <c r="C1525" s="10"/>
      <c r="D1525" s="47" t="str">
        <f aca="false">Signataire_Titre</f>
        <v>Expert-comptable associé</v>
      </c>
      <c r="E1525" s="47"/>
      <c r="F1525" s="47"/>
    </row>
    <row r="1526" customFormat="false" ht="15.75" hidden="false" customHeight="true" outlineLevel="0" collapsed="false">
      <c r="B1526" s="10"/>
      <c r="C1526" s="10"/>
      <c r="D1526" s="10"/>
      <c r="E1526" s="10"/>
      <c r="F1526" s="10"/>
    </row>
    <row r="1527" customFormat="false" ht="15.75" hidden="false" customHeight="true" outlineLevel="0" collapsed="false">
      <c r="B1527" s="10"/>
      <c r="C1527" s="10"/>
      <c r="D1527" s="10"/>
      <c r="E1527" s="10"/>
      <c r="F1527" s="10"/>
    </row>
    <row r="1528" customFormat="false" ht="15.75" hidden="false" customHeight="true" outlineLevel="0" collapsed="false">
      <c r="B1528" s="10"/>
      <c r="C1528" s="10"/>
      <c r="D1528" s="10"/>
      <c r="E1528" s="10"/>
      <c r="F1528" s="10"/>
    </row>
    <row r="1529" customFormat="false" ht="15.75" hidden="false" customHeight="true" outlineLevel="0" collapsed="false">
      <c r="B1529" s="10"/>
      <c r="C1529" s="10"/>
      <c r="D1529" s="10"/>
      <c r="E1529" s="10"/>
      <c r="F1529" s="10"/>
    </row>
    <row r="1530" customFormat="false" ht="24" hidden="false" customHeight="true" outlineLevel="0" collapsed="false">
      <c r="B1530" s="48" t="str">
        <f aca="false">Cab_Mentions</f>
        <v>ALTHO EXPERTISE · SAS au capital de 10 000 € · RCS Pontoise 919 706 325 · TVA FR62919706325 · Société d'expertise comptable inscrite au Tableau de l'Ordre des experts-comptables de Paris Île-de-France</v>
      </c>
      <c r="C1530" s="48"/>
      <c r="D1530" s="48"/>
      <c r="E1530" s="48"/>
      <c r="F1530" s="48"/>
    </row>
    <row r="1531" customFormat="false" ht="15" hidden="false" customHeight="false" outlineLevel="0" collapsed="false">
      <c r="B1531" s="10"/>
      <c r="C1531" s="10"/>
      <c r="D1531" s="10"/>
      <c r="E1531" s="10"/>
      <c r="F1531" s="10"/>
      <c r="J1531" s="25" t="s">
        <v>142</v>
      </c>
      <c r="K1531" s="25" t="n">
        <f aca="false">IFERROR(MATCH(35,Clients!$Z$2:$Z$501,0),0)</f>
        <v>0</v>
      </c>
      <c r="L1531" s="25"/>
      <c r="M1531" s="25"/>
      <c r="N1531" s="25"/>
      <c r="O1531" s="25"/>
    </row>
    <row r="1532" customFormat="false" ht="21.75" hidden="false" customHeight="true" outlineLevel="0" collapsed="false">
      <c r="B1532" s="26" t="str">
        <f aca="false">Cab_Nom</f>
        <v>ALTHO EXPERTISE</v>
      </c>
      <c r="C1532" s="26"/>
      <c r="D1532" s="10"/>
      <c r="E1532" s="27" t="str">
        <f aca="false">IF($K$1531=0,"","Réf. client : "&amp;INDEX(Clients!$A$2:$A$501,$K$1531))</f>
        <v/>
      </c>
      <c r="F1532" s="27"/>
      <c r="J1532" s="25" t="s">
        <v>144</v>
      </c>
      <c r="K1532" s="25" t="str">
        <f aca="false">IF(IF($K$1531=0,"",INDEX(Clients!$B$2:$B$501,$K$1531)&amp;"")="Mme","Madame",IF(IF($K$1531=0,"",INDEX(Clients!$B$2:$B$501,$K$1531)&amp;"")="M.","Monsieur","Madame, Monsieur"))</f>
        <v>Madame, Monsieur</v>
      </c>
      <c r="L1532" s="25"/>
      <c r="M1532" s="25"/>
      <c r="N1532" s="25"/>
      <c r="O1532" s="25"/>
    </row>
    <row r="1533" customFormat="false" ht="15" hidden="false" customHeight="false" outlineLevel="0" collapsed="false">
      <c r="B1533" s="29" t="str">
        <f aca="false">Cab_Adr1</f>
        <v>141 rue Charles de Gaulle</v>
      </c>
      <c r="C1533" s="29"/>
      <c r="D1533" s="10"/>
      <c r="E1533" s="10"/>
      <c r="F1533" s="10"/>
      <c r="J1533" s="25" t="s">
        <v>145</v>
      </c>
      <c r="K1533" s="25" t="str">
        <f aca="false">DAY(Date_Effet)&amp;IF(DAY(Date_Effet)=1,"er","")&amp;" "&amp;INDEX(Liste_Mois,MONTH(Date_Effet))&amp;" "&amp;YEAR(Date_Effet)</f>
        <v>1er janvier 2027</v>
      </c>
      <c r="L1533" s="25"/>
      <c r="M1533" s="25"/>
      <c r="N1533" s="25"/>
      <c r="O1533" s="25"/>
    </row>
    <row r="1534" customFormat="false" ht="15" hidden="false" customHeight="false" outlineLevel="0" collapsed="false">
      <c r="B1534" s="29" t="str">
        <f aca="false">Cab_CPVille</f>
        <v>95130 LE PLESSIS-BOUCHARD</v>
      </c>
      <c r="C1534" s="29"/>
      <c r="D1534" s="10"/>
      <c r="E1534" s="10"/>
      <c r="F1534" s="10"/>
      <c r="J1534" s="25" t="s">
        <v>146</v>
      </c>
      <c r="K1534" s="25" t="str">
        <f aca="false">IF(SUM($K$1558:$K$1561)=0,"",FIXED((SUM($L$1558:$L$1561)/SUM($K$1558:$K$1561)-1)*100,1)&amp;" %")</f>
        <v/>
      </c>
      <c r="L1534" s="25"/>
      <c r="M1534" s="25"/>
      <c r="N1534" s="25"/>
      <c r="O1534" s="25"/>
    </row>
    <row r="1535" customFormat="false" ht="15" hidden="false" customHeight="false" outlineLevel="0" collapsed="false">
      <c r="B1535" s="29" t="str">
        <f aca="false">Cab_Contact</f>
        <v>Tél. 01 34 14 53 45  ·  altho@altho-experts.com  ·  altho-experts.com</v>
      </c>
      <c r="C1535" s="29"/>
      <c r="D1535" s="10"/>
      <c r="E1535" s="10"/>
      <c r="F1535" s="10"/>
      <c r="J1535" s="25"/>
      <c r="K1535" s="25"/>
      <c r="L1535" s="25"/>
      <c r="M1535" s="25"/>
      <c r="N1535" s="25"/>
      <c r="O1535" s="25"/>
    </row>
    <row r="1536" customFormat="false" ht="6" hidden="false" customHeight="true" outlineLevel="0" collapsed="false">
      <c r="B1536" s="32"/>
      <c r="C1536" s="32"/>
      <c r="D1536" s="32"/>
      <c r="E1536" s="32"/>
      <c r="F1536" s="32"/>
      <c r="J1536" s="25"/>
      <c r="K1536" s="25"/>
      <c r="L1536" s="25"/>
      <c r="M1536" s="25"/>
      <c r="N1536" s="25"/>
      <c r="O1536" s="25"/>
    </row>
    <row r="1537" customFormat="false" ht="13.5" hidden="false" customHeight="true" outlineLevel="0" collapsed="false">
      <c r="B1537" s="10"/>
      <c r="C1537" s="10"/>
      <c r="D1537" s="10"/>
      <c r="E1537" s="10"/>
      <c r="F1537" s="10"/>
      <c r="J1537" s="25"/>
      <c r="K1537" s="25"/>
      <c r="L1537" s="25"/>
      <c r="M1537" s="25"/>
      <c r="N1537" s="25"/>
      <c r="O1537" s="25"/>
    </row>
    <row r="1538" customFormat="false" ht="13.5" hidden="false" customHeight="true" outlineLevel="0" collapsed="false">
      <c r="B1538" s="10"/>
      <c r="C1538" s="10"/>
      <c r="D1538" s="10"/>
      <c r="E1538" s="10"/>
      <c r="F1538" s="10"/>
      <c r="J1538" s="25"/>
      <c r="K1538" s="25"/>
      <c r="L1538" s="25"/>
      <c r="M1538" s="25"/>
      <c r="N1538" s="25"/>
      <c r="O1538" s="25"/>
    </row>
    <row r="1539" customFormat="false" ht="13.5" hidden="false" customHeight="true" outlineLevel="0" collapsed="false">
      <c r="B1539" s="10"/>
      <c r="C1539" s="10"/>
      <c r="D1539" s="10"/>
      <c r="E1539" s="10"/>
      <c r="F1539" s="10"/>
      <c r="J1539" s="25"/>
      <c r="K1539" s="25"/>
      <c r="L1539" s="25"/>
      <c r="M1539" s="25"/>
      <c r="N1539" s="25"/>
      <c r="O1539" s="25"/>
    </row>
    <row r="1540" customFormat="false" ht="15" hidden="false" customHeight="true" outlineLevel="0" collapsed="false">
      <c r="B1540" s="10"/>
      <c r="C1540" s="10"/>
      <c r="D1540" s="34" t="str">
        <f aca="false">IF($K$1531=0,"",INDEX(Clients!$E$2:$E$501,$K$1531)&amp;"")</f>
        <v/>
      </c>
      <c r="E1540" s="34"/>
      <c r="F1540" s="34"/>
      <c r="J1540" s="25"/>
      <c r="K1540" s="25"/>
      <c r="L1540" s="25"/>
      <c r="M1540" s="25"/>
      <c r="N1540" s="25"/>
      <c r="O1540" s="25"/>
    </row>
    <row r="1541" customFormat="false" ht="15" hidden="false" customHeight="true" outlineLevel="0" collapsed="false">
      <c r="B1541" s="10"/>
      <c r="C1541" s="10"/>
      <c r="D1541" s="35" t="str">
        <f aca="false">IF(IF($K$1531=0,"",INDEX(Clients!$D$2:$D$501,$K$1531)&amp;"")="","","À l'attention de "&amp;TRIM(IF($K$1531=0,"",INDEX(Clients!$B$2:$B$501,$K$1531)&amp;"")&amp;" "&amp;IF($K$1531=0,"",INDEX(Clients!$C$2:$C$501,$K$1531)&amp;"")&amp;" "&amp;IF($K$1531=0,"",INDEX(Clients!$D$2:$D$501,$K$1531)&amp;"")))</f>
        <v/>
      </c>
      <c r="E1541" s="35"/>
      <c r="F1541" s="35"/>
      <c r="J1541" s="25"/>
      <c r="K1541" s="25"/>
      <c r="L1541" s="25"/>
      <c r="M1541" s="25"/>
      <c r="N1541" s="25"/>
      <c r="O1541" s="25"/>
    </row>
    <row r="1542" customFormat="false" ht="15" hidden="false" customHeight="true" outlineLevel="0" collapsed="false">
      <c r="B1542" s="10"/>
      <c r="C1542" s="10"/>
      <c r="D1542" s="35" t="str">
        <f aca="false">IF($K$1531=0,"",INDEX(Clients!$F$2:$F$501,$K$1531)&amp;"")</f>
        <v/>
      </c>
      <c r="E1542" s="35"/>
      <c r="F1542" s="35"/>
      <c r="J1542" s="25"/>
      <c r="K1542" s="25"/>
      <c r="L1542" s="25"/>
      <c r="M1542" s="25"/>
      <c r="N1542" s="25"/>
      <c r="O1542" s="25"/>
    </row>
    <row r="1543" customFormat="false" ht="15" hidden="false" customHeight="true" outlineLevel="0" collapsed="false">
      <c r="B1543" s="10"/>
      <c r="C1543" s="10"/>
      <c r="D1543" s="35" t="str">
        <f aca="false">IF(IF($K$1531=0,"",INDEX(Clients!$G$2:$G$501,$K$1531)&amp;"")="",TRIM(IF($K$1531=0,"",INDEX(Clients!$H$2:$H$501,$K$1531)&amp;"")&amp;" "&amp;UPPER(IF($K$1531=0,"",INDEX(Clients!$I$2:$I$501,$K$1531)&amp;""))),IF($K$1531=0,"",INDEX(Clients!$G$2:$G$501,$K$1531)&amp;""))</f>
        <v/>
      </c>
      <c r="E1543" s="35"/>
      <c r="F1543" s="35"/>
      <c r="J1543" s="25"/>
      <c r="K1543" s="25"/>
      <c r="L1543" s="25"/>
      <c r="M1543" s="25"/>
      <c r="N1543" s="25"/>
      <c r="O1543" s="25"/>
    </row>
    <row r="1544" customFormat="false" ht="15" hidden="false" customHeight="true" outlineLevel="0" collapsed="false">
      <c r="B1544" s="10"/>
      <c r="C1544" s="10"/>
      <c r="D1544" s="35" t="str">
        <f aca="false">IF(IF($K$1531=0,"",INDEX(Clients!$G$2:$G$501,$K$1531)&amp;"")="","",TRIM(IF($K$1531=0,"",INDEX(Clients!$H$2:$H$501,$K$1531)&amp;"")&amp;" "&amp;UPPER(IF($K$1531=0,"",INDEX(Clients!$I$2:$I$501,$K$1531)&amp;""))))</f>
        <v/>
      </c>
      <c r="E1544" s="35"/>
      <c r="F1544" s="35"/>
      <c r="J1544" s="25"/>
      <c r="K1544" s="25"/>
      <c r="L1544" s="25"/>
      <c r="M1544" s="25"/>
      <c r="N1544" s="25"/>
      <c r="O1544" s="25"/>
    </row>
    <row r="1545" customFormat="false" ht="25.5" hidden="false" customHeight="true" outlineLevel="0" collapsed="false">
      <c r="B1545" s="10"/>
      <c r="C1545" s="10"/>
      <c r="D1545" s="10"/>
      <c r="E1545" s="10"/>
      <c r="F1545" s="10"/>
      <c r="J1545" s="25"/>
      <c r="K1545" s="25"/>
      <c r="L1545" s="25"/>
      <c r="M1545" s="25"/>
      <c r="N1545" s="25"/>
      <c r="O1545" s="25"/>
    </row>
    <row r="1546" customFormat="false" ht="15" hidden="false" customHeight="false" outlineLevel="0" collapsed="false">
      <c r="B1546" s="10"/>
      <c r="C1546" s="10"/>
      <c r="D1546" s="36" t="str">
        <f aca="false">Cab_Ville&amp;", le "&amp;DAY(Date_Courrier)&amp;IF(DAY(Date_Courrier)=1,"er","")&amp;" "&amp;INDEX(Liste_Mois,MONTH(Date_Courrier))&amp;" "&amp;YEAR(Date_Courrier)</f>
        <v>Le Plessis-Bouchard, le 22 septembre 2026</v>
      </c>
      <c r="E1546" s="36"/>
      <c r="F1546" s="36"/>
      <c r="J1546" s="25"/>
      <c r="K1546" s="25"/>
      <c r="L1546" s="25"/>
      <c r="M1546" s="25"/>
      <c r="N1546" s="25"/>
      <c r="O1546" s="25"/>
    </row>
    <row r="1547" customFormat="false" ht="19.5" hidden="false" customHeight="true" outlineLevel="0" collapsed="false">
      <c r="B1547" s="10"/>
      <c r="C1547" s="10"/>
      <c r="D1547" s="10"/>
      <c r="E1547" s="10"/>
      <c r="F1547" s="10"/>
      <c r="J1547" s="25"/>
      <c r="K1547" s="25"/>
      <c r="L1547" s="25"/>
      <c r="M1547" s="25"/>
      <c r="N1547" s="25"/>
      <c r="O1547" s="25"/>
    </row>
    <row r="1548" customFormat="false" ht="15" hidden="false" customHeight="false" outlineLevel="0" collapsed="false">
      <c r="B1548" s="34" t="str">
        <f aca="false">SUBSTITUTE(SUBSTITUTE(SUBSTITUTE(SUBSTITUTE(SUBSTITUTE(Txt_Objet,"{cabinet}",Cab_Nom),"{societe}",IF($K$1531=0,"",INDEX(Clients!$E$2:$E$501,$K$1531)&amp;"")),"{date_effet}",$K$1533),"{hausse}",$K$1534),"{civilite}",$K$1532)</f>
        <v>Objet : révision de nos honoraires au 1er janvier 2027</v>
      </c>
      <c r="C1548" s="34"/>
      <c r="D1548" s="34"/>
      <c r="E1548" s="34"/>
      <c r="F1548" s="34"/>
      <c r="J1548" s="25"/>
      <c r="K1548" s="25"/>
      <c r="L1548" s="25"/>
      <c r="M1548" s="25"/>
      <c r="N1548" s="25"/>
      <c r="O1548" s="25"/>
    </row>
    <row r="1549" customFormat="false" ht="13.5" hidden="false" customHeight="true" outlineLevel="0" collapsed="false">
      <c r="B1549" s="10"/>
      <c r="C1549" s="10"/>
      <c r="D1549" s="10"/>
      <c r="E1549" s="10"/>
      <c r="F1549" s="10"/>
      <c r="J1549" s="25"/>
      <c r="K1549" s="25"/>
      <c r="L1549" s="25"/>
      <c r="M1549" s="25"/>
      <c r="N1549" s="25"/>
      <c r="O1549" s="25"/>
    </row>
    <row r="1550" customFormat="false" ht="15" hidden="false" customHeight="false" outlineLevel="0" collapsed="false">
      <c r="B1550" s="10" t="str">
        <f aca="false">$K$1532&amp;","</f>
        <v>Madame, Monsieur,</v>
      </c>
      <c r="C1550" s="10"/>
      <c r="D1550" s="10"/>
      <c r="E1550" s="10"/>
      <c r="F1550" s="10"/>
      <c r="J1550" s="25"/>
      <c r="K1550" s="25"/>
      <c r="L1550" s="25"/>
      <c r="M1550" s="25"/>
      <c r="N1550" s="25"/>
      <c r="O1550" s="25"/>
    </row>
    <row r="1551" customFormat="false" ht="6" hidden="false" customHeight="true" outlineLevel="0" collapsed="false">
      <c r="B1551" s="10"/>
      <c r="C1551" s="10"/>
      <c r="D1551" s="10"/>
      <c r="E1551" s="10"/>
      <c r="F1551" s="10"/>
      <c r="J1551" s="25"/>
      <c r="K1551" s="25"/>
      <c r="L1551" s="25"/>
      <c r="M1551" s="25"/>
      <c r="N1551" s="25"/>
      <c r="O1551" s="25"/>
    </row>
    <row r="1552" customFormat="false" ht="36.75" hidden="false" customHeight="true" outlineLevel="0" collapsed="false">
      <c r="B1552" s="37" t="str">
        <f aca="false">SUBSTITUTE(SUBSTITUTE(SUBSTITUTE(SUBSTITUTE(SUBSTITUTE(Txt_P1,"{cabinet}",Cab_Nom),"{societe}",IF($K$1531=0,"",INDEX(Clients!$E$2:$E$501,$K$1531)&amp;"")),"{date_effet}",$K$1533),"{hausse}",$K$1534),"{civilite}",$K$1532)</f>
        <v>Nous tenons tout d'abord à vous remercier pour la confiance que vous accordez à ALTHO EXPERTISE. Comme chaque année, et conformément aux dispositions de votre lettre de mission, nous procédons à la révision de nos honoraires.</v>
      </c>
      <c r="C1552" s="37"/>
      <c r="D1552" s="37"/>
      <c r="E1552" s="37"/>
      <c r="F1552" s="37"/>
      <c r="J1552" s="25"/>
      <c r="K1552" s="25"/>
      <c r="L1552" s="25"/>
      <c r="M1552" s="25"/>
      <c r="N1552" s="25"/>
      <c r="O1552" s="25"/>
    </row>
    <row r="1553" customFormat="false" ht="49.5" hidden="false" customHeight="true" outlineLevel="0" collapsed="false">
      <c r="B1553" s="37" t="str">
        <f aca="false">SUBSTITUTE(SUBSTITUTE(SUBSTITUTE(SUBSTITUTE(SUBSTITUTE(Txt_P2,"{cabinet}",Cab_Nom),"{societe}",IF($K$1531=0,"",INDEX(Clients!$E$2:$E$501,$K$1531)&amp;"")),"{date_effet}",$K$1533),"{hausse}",$K$1534),"{civilite}",$K$1532)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553" s="37"/>
      <c r="D1553" s="37"/>
      <c r="E1553" s="37"/>
      <c r="F1553" s="37"/>
      <c r="J1553" s="25"/>
      <c r="K1553" s="25"/>
      <c r="L1553" s="25"/>
      <c r="M1553" s="25"/>
      <c r="N1553" s="25"/>
      <c r="O1553" s="25"/>
    </row>
    <row r="1554" customFormat="false" ht="63" hidden="false" customHeight="true" outlineLevel="0" collapsed="false">
      <c r="B1554" s="37" t="str">
        <f aca="false">SUBSTITUTE(SUBSTITUTE(SUBSTITUTE(SUBSTITUTE(SUBSTITUTE(Txt_P3,"{cabinet}",Cab_Nom),"{societe}",IF($K$1531=0,"",INDEX(Clients!$E$2:$E$501,$K$1531)&amp;"")),"{date_effet}",$K$1533),"{hausse}",$K$1534),"{civilite}",$K$1532)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554" s="37"/>
      <c r="D1554" s="37"/>
      <c r="E1554" s="37"/>
      <c r="F1554" s="37"/>
      <c r="J1554" s="25"/>
      <c r="K1554" s="25"/>
      <c r="L1554" s="25"/>
      <c r="M1554" s="25"/>
      <c r="N1554" s="25"/>
      <c r="O1554" s="25"/>
    </row>
    <row r="1555" customFormat="false" ht="24" hidden="false" customHeight="true" outlineLevel="0" collapsed="false">
      <c r="B1555" s="37" t="str">
        <f aca="false">SUBSTITUTE(SUBSTITUTE(SUBSTITUTE(SUBSTITUTE(SUBSTITUTE(Txt_P4,"{cabinet}",Cab_Nom),"{societe}",IF($K$1531=0,"",INDEX(Clients!$E$2:$E$501,$K$1531)&amp;"")),"{date_effet}",$K$1533),"{hausse}",$K$1534),"{civilite}",$K$1532)</f>
        <v>À compter du 1er janvier 2027, vos honoraires annuels hors taxes évolueront ainsi (évolution globale : ) :</v>
      </c>
      <c r="C1555" s="37"/>
      <c r="D1555" s="37"/>
      <c r="E1555" s="37"/>
      <c r="F1555" s="37"/>
      <c r="J1555" s="25"/>
      <c r="K1555" s="25"/>
      <c r="L1555" s="25"/>
      <c r="M1555" s="25"/>
      <c r="N1555" s="25"/>
      <c r="O1555" s="25"/>
    </row>
    <row r="1556" customFormat="false" ht="3.75" hidden="false" customHeight="true" outlineLevel="0" collapsed="false">
      <c r="B1556" s="10"/>
      <c r="C1556" s="10"/>
      <c r="D1556" s="10"/>
      <c r="E1556" s="10"/>
      <c r="F1556" s="10"/>
      <c r="J1556" s="25"/>
      <c r="K1556" s="25"/>
      <c r="L1556" s="25"/>
      <c r="M1556" s="25"/>
      <c r="N1556" s="25"/>
      <c r="O1556" s="25"/>
    </row>
    <row r="1557" customFormat="false" ht="18" hidden="false" customHeight="true" outlineLevel="0" collapsed="false">
      <c r="B1557" s="38" t="s">
        <v>148</v>
      </c>
      <c r="C1557" s="39" t="s">
        <v>149</v>
      </c>
      <c r="D1557" s="39" t="s">
        <v>150</v>
      </c>
      <c r="E1557" s="39" t="s">
        <v>151</v>
      </c>
      <c r="F1557" s="39" t="s">
        <v>109</v>
      </c>
      <c r="J1557" s="25" t="s">
        <v>152</v>
      </c>
      <c r="K1557" s="25" t="s">
        <v>153</v>
      </c>
      <c r="L1557" s="25" t="s">
        <v>154</v>
      </c>
      <c r="M1557" s="25" t="s">
        <v>155</v>
      </c>
      <c r="N1557" s="25" t="s">
        <v>156</v>
      </c>
      <c r="O1557" s="25" t="s">
        <v>157</v>
      </c>
    </row>
    <row r="1558" customFormat="false" ht="16.5" hidden="false" customHeight="true" outlineLevel="0" collapsed="false">
      <c r="B1558" s="40" t="str">
        <f aca="false">IFERROR(INDEX($J$1558:$J$1561,MATCH($O1558,$N$1558:$N$1561,0)),"")</f>
        <v/>
      </c>
      <c r="C1558" s="41" t="str">
        <f aca="false">IFERROR(INDEX($K$1558:$K$1561,MATCH($O1558,$N$1558:$N$1561,0)),"")</f>
        <v/>
      </c>
      <c r="D1558" s="42" t="str">
        <f aca="false">IF(OR(E1558="",N(C1558)=0),"",E1558/C1558-1)</f>
        <v/>
      </c>
      <c r="E1558" s="41" t="str">
        <f aca="false">IFERROR(INDEX($L$1558:$L$1561,MATCH($O1558,$N$1558:$N$1561,0)),"")</f>
        <v/>
      </c>
      <c r="F1558" s="41" t="str">
        <f aca="false">IF(E1558="","",E1558-C1558)</f>
        <v/>
      </c>
      <c r="J1558" s="25" t="str">
        <f aca="false">Lib_Compta</f>
        <v>Mission comptable (tenue, révision, bilan, liasse fiscale)</v>
      </c>
      <c r="K1558" s="25" t="n">
        <f aca="false">IF($K$1531=0,0,N(INDEX(Clients!$K$2:$K$501,$K$1531)))</f>
        <v>0</v>
      </c>
      <c r="L1558" s="25" t="n">
        <f aca="false">IF($K$1531=0,0,N(INDEX(Clients!$P$2:$P$501,$K$1531)))</f>
        <v>0</v>
      </c>
      <c r="M1558" s="25" t="n">
        <f aca="false">IF(OR(K1558&lt;&gt;0,L1558&lt;&gt;0),1,0)</f>
        <v>0</v>
      </c>
      <c r="N1558" s="25" t="str">
        <f aca="false">IF(M1558=1,SUM($M$1558:M1558),"")</f>
        <v/>
      </c>
      <c r="O1558" s="25" t="n">
        <v>1</v>
      </c>
    </row>
    <row r="1559" customFormat="false" ht="16.5" hidden="false" customHeight="true" outlineLevel="0" collapsed="false">
      <c r="B1559" s="40" t="str">
        <f aca="false">IFERROR(INDEX($J$1558:$J$1561,MATCH($O1559,$N$1558:$N$1561,0)),"")</f>
        <v/>
      </c>
      <c r="C1559" s="41" t="str">
        <f aca="false">IFERROR(INDEX($K$1558:$K$1561,MATCH($O1559,$N$1558:$N$1561,0)),"")</f>
        <v/>
      </c>
      <c r="D1559" s="42" t="str">
        <f aca="false">IF(OR(E1559="",N(C1559)=0),"",E1559/C1559-1)</f>
        <v/>
      </c>
      <c r="E1559" s="41" t="str">
        <f aca="false">IFERROR(INDEX($L$1558:$L$1561,MATCH($O1559,$N$1558:$N$1561,0)),"")</f>
        <v/>
      </c>
      <c r="F1559" s="41" t="str">
        <f aca="false">IF(E1559="","",E1559-C1559)</f>
        <v/>
      </c>
      <c r="J1559" s="25" t="str">
        <f aca="false">Lib_Paye</f>
        <v>Mission sociale (bulletins de paie, DSN, déclarations sociales)</v>
      </c>
      <c r="K1559" s="25" t="n">
        <f aca="false">IF($K$1531=0,0,N(INDEX(Clients!$L$2:$L$501,$K$1531)))</f>
        <v>0</v>
      </c>
      <c r="L1559" s="25" t="n">
        <f aca="false">IF($K$1531=0,0,N(INDEX(Clients!$Q$2:$Q$501,$K$1531)))</f>
        <v>0</v>
      </c>
      <c r="M1559" s="25" t="n">
        <f aca="false">IF(OR(K1559&lt;&gt;0,L1559&lt;&gt;0),1,0)</f>
        <v>0</v>
      </c>
      <c r="N1559" s="25" t="str">
        <f aca="false">IF(M1559=1,SUM($M$1558:M1559),"")</f>
        <v/>
      </c>
      <c r="O1559" s="25" t="n">
        <v>2</v>
      </c>
    </row>
    <row r="1560" customFormat="false" ht="16.5" hidden="false" customHeight="true" outlineLevel="0" collapsed="false">
      <c r="B1560" s="40" t="str">
        <f aca="false">IFERROR(INDEX($J$1558:$J$1561,MATCH($O1560,$N$1558:$N$1561,0)),"")</f>
        <v/>
      </c>
      <c r="C1560" s="41" t="str">
        <f aca="false">IFERROR(INDEX($K$1558:$K$1561,MATCH($O1560,$N$1558:$N$1561,0)),"")</f>
        <v/>
      </c>
      <c r="D1560" s="42" t="str">
        <f aca="false">IF(OR(E1560="",N(C1560)=0),"",E1560/C1560-1)</f>
        <v/>
      </c>
      <c r="E1560" s="41" t="str">
        <f aca="false">IFERROR(INDEX($L$1558:$L$1561,MATCH($O1560,$N$1558:$N$1561,0)),"")</f>
        <v/>
      </c>
      <c r="F1560" s="41" t="str">
        <f aca="false">IF(E1560="","",E1560-C1560)</f>
        <v/>
      </c>
      <c r="J1560" s="25" t="str">
        <f aca="false">Lib_Jur</f>
        <v>Mission juridique (approbation des comptes, secrétariat juridique)</v>
      </c>
      <c r="K1560" s="25" t="n">
        <f aca="false">IF($K$1531=0,0,N(INDEX(Clients!$M$2:$M$501,$K$1531)))</f>
        <v>0</v>
      </c>
      <c r="L1560" s="25" t="n">
        <f aca="false">IF($K$1531=0,0,N(INDEX(Clients!$R$2:$R$501,$K$1531)))</f>
        <v>0</v>
      </c>
      <c r="M1560" s="25" t="n">
        <f aca="false">IF(OR(K1560&lt;&gt;0,L1560&lt;&gt;0),1,0)</f>
        <v>0</v>
      </c>
      <c r="N1560" s="25" t="str">
        <f aca="false">IF(M1560=1,SUM($M$1558:M1560),"")</f>
        <v/>
      </c>
      <c r="O1560" s="25" t="n">
        <v>3</v>
      </c>
    </row>
    <row r="1561" customFormat="false" ht="16.5" hidden="false" customHeight="true" outlineLevel="0" collapsed="false">
      <c r="B1561" s="40" t="str">
        <f aca="false">IFERROR(INDEX($J$1558:$J$1561,MATCH($O1561,$N$1558:$N$1561,0)),"")</f>
        <v/>
      </c>
      <c r="C1561" s="41" t="str">
        <f aca="false">IFERROR(INDEX($K$1558:$K$1561,MATCH($O1561,$N$1558:$N$1561,0)),"")</f>
        <v/>
      </c>
      <c r="D1561" s="42" t="str">
        <f aca="false">IF(OR(E1561="",N(C1561)=0),"",E1561/C1561-1)</f>
        <v/>
      </c>
      <c r="E1561" s="41" t="str">
        <f aca="false">IFERROR(INDEX($L$1558:$L$1561,MATCH($O1561,$N$1558:$N$1561,0)),"")</f>
        <v/>
      </c>
      <c r="F1561" s="41" t="str">
        <f aca="false">IF(E1561="","",E1561-C1561)</f>
        <v/>
      </c>
      <c r="J1561" s="25" t="str">
        <f aca="false">Lib_PA</f>
        <v>Plateforme agréée – facturation électronique</v>
      </c>
      <c r="K1561" s="25" t="n">
        <f aca="false">IF($K$1531=0,0,N(INDEX(Clients!$N$2:$N$501,$K$1531)))</f>
        <v>0</v>
      </c>
      <c r="L1561" s="25" t="n">
        <f aca="false">IF($K$1531=0,0,N(INDEX(Clients!$S$2:$S$501,$K$1531)))</f>
        <v>0</v>
      </c>
      <c r="M1561" s="25" t="n">
        <f aca="false">IF(OR(K1561&lt;&gt;0,L1561&lt;&gt;0),1,0)</f>
        <v>0</v>
      </c>
      <c r="N1561" s="25" t="str">
        <f aca="false">IF(M1561=1,SUM($M$1558:M1561),"")</f>
        <v/>
      </c>
      <c r="O1561" s="25" t="n">
        <v>4</v>
      </c>
    </row>
    <row r="1562" customFormat="false" ht="18" hidden="false" customHeight="true" outlineLevel="0" collapsed="false">
      <c r="B1562" s="43" t="s">
        <v>158</v>
      </c>
      <c r="C1562" s="44" t="n">
        <f aca="false">SUM(K1558:K1561)</f>
        <v>0</v>
      </c>
      <c r="D1562" s="45" t="str">
        <f aca="false">IF(N(C1562)=0,"",E1562/C1562-1)</f>
        <v/>
      </c>
      <c r="E1562" s="44" t="n">
        <f aca="false">SUM(L1558:L1561)</f>
        <v>0</v>
      </c>
      <c r="F1562" s="44" t="n">
        <f aca="false">E1562-C1562</f>
        <v>0</v>
      </c>
    </row>
    <row r="1563" customFormat="false" ht="15" hidden="false" customHeight="false" outlineLevel="0" collapsed="false">
      <c r="B1563" s="46" t="str">
        <f aca="false">IF(N(Nb_Mensualites)=0,"","Soit "&amp;FIXED(E1562/Nb_Mensualites,2)&amp;" € HT par échéance ("&amp;Nb_Mensualites&amp;" échéances), "&amp;FIXED(E1562/Nb_Mensualites*(1+Taux_TVA),2)&amp;" € TTC.")</f>
        <v>Soit 0.00 € HT par échéance (12 échéances), 0.00 € TTC.</v>
      </c>
      <c r="C1563" s="46"/>
      <c r="D1563" s="46"/>
      <c r="E1563" s="46"/>
      <c r="F1563" s="46"/>
    </row>
    <row r="1564" customFormat="false" ht="7.5" hidden="false" customHeight="true" outlineLevel="0" collapsed="false">
      <c r="B1564" s="10"/>
      <c r="C1564" s="10"/>
      <c r="D1564" s="10"/>
      <c r="E1564" s="10"/>
      <c r="F1564" s="10"/>
    </row>
    <row r="1565" customFormat="false" ht="36.75" hidden="false" customHeight="true" outlineLevel="0" collapsed="false">
      <c r="B1565" s="37" t="str">
        <f aca="false">SUBSTITUTE(SUBSTITUTE(SUBSTITUTE(SUBSTITUTE(SUBSTITUTE(Txt_P5,"{cabinet}",Cab_Nom),"{societe}",IF($K$1531=0,"",INDEX(Clients!$E$2:$E$501,$K$1531)&amp;"")),"{date_effet}",$K$1533),"{hausse}",$K$1534),"{civilite}",$K$1532)</f>
        <v>Les autres conditions de votre lettre de mission demeurent inchangées. Les nouveaux montants seront appliqués automatiquement sur vos prochaines factures et échéances de prélèvement.</v>
      </c>
      <c r="C1565" s="37"/>
      <c r="D1565" s="37"/>
      <c r="E1565" s="37"/>
      <c r="F1565" s="37"/>
    </row>
    <row r="1566" customFormat="false" ht="36.75" hidden="false" customHeight="true" outlineLevel="0" collapsed="false">
      <c r="B1566" s="37" t="str">
        <f aca="false">SUBSTITUTE(SUBSTITUTE(SUBSTITUTE(SUBSTITUTE(SUBSTITUTE(Txt_P6,"{cabinet}",Cab_Nom),"{societe}",IF($K$1531=0,"",INDEX(Clients!$E$2:$E$501,$K$1531)&amp;"")),"{date_effet}",$K$1533),"{hausse}",$K$1534),"{civilite}",$K$1532)</f>
        <v>Votre interlocuteur habituel reste à votre entière disposition pour répondre à vos questions et faire le point sur l'évolution de vos besoins.</v>
      </c>
      <c r="C1566" s="37"/>
      <c r="D1566" s="37"/>
      <c r="E1566" s="37"/>
      <c r="F1566" s="37"/>
    </row>
    <row r="1567" customFormat="false" ht="24" hidden="false" customHeight="true" outlineLevel="0" collapsed="false">
      <c r="B1567" s="37" t="str">
        <f aca="false">SUBSTITUTE(SUBSTITUTE(SUBSTITUTE(SUBSTITUTE(SUBSTITUTE(Txt_Politesse,"{cabinet}",Cab_Nom),"{societe}",IF($K$1531=0,"",INDEX(Clients!$E$2:$E$501,$K$1531)&amp;"")),"{date_effet}",$K$1533),"{hausse}",$K$1534),"{civilite}",$K$1532)</f>
        <v>Nous vous prions d'agréer, Madame, Monsieur, l'expression de nos salutations distinguées.</v>
      </c>
      <c r="C1567" s="37"/>
      <c r="D1567" s="37"/>
      <c r="E1567" s="37"/>
      <c r="F1567" s="37"/>
    </row>
    <row r="1568" customFormat="false" ht="15" hidden="false" customHeight="false" outlineLevel="0" collapsed="false">
      <c r="B1568" s="10"/>
      <c r="C1568" s="10"/>
      <c r="D1568" s="10"/>
      <c r="E1568" s="10"/>
      <c r="F1568" s="10"/>
    </row>
    <row r="1569" customFormat="false" ht="15" hidden="false" customHeight="false" outlineLevel="0" collapsed="false">
      <c r="B1569" s="10"/>
      <c r="C1569" s="10"/>
      <c r="D1569" s="34" t="str">
        <f aca="false">Signataire</f>
        <v>Prénom NOM</v>
      </c>
      <c r="E1569" s="34"/>
      <c r="F1569" s="34"/>
    </row>
    <row r="1570" customFormat="false" ht="15" hidden="false" customHeight="false" outlineLevel="0" collapsed="false">
      <c r="B1570" s="10"/>
      <c r="C1570" s="10"/>
      <c r="D1570" s="47" t="str">
        <f aca="false">Signataire_Titre</f>
        <v>Expert-comptable associé</v>
      </c>
      <c r="E1570" s="47"/>
      <c r="F1570" s="47"/>
    </row>
    <row r="1571" customFormat="false" ht="15.75" hidden="false" customHeight="true" outlineLevel="0" collapsed="false">
      <c r="B1571" s="10"/>
      <c r="C1571" s="10"/>
      <c r="D1571" s="10"/>
      <c r="E1571" s="10"/>
      <c r="F1571" s="10"/>
    </row>
    <row r="1572" customFormat="false" ht="15.75" hidden="false" customHeight="true" outlineLevel="0" collapsed="false">
      <c r="B1572" s="10"/>
      <c r="C1572" s="10"/>
      <c r="D1572" s="10"/>
      <c r="E1572" s="10"/>
      <c r="F1572" s="10"/>
    </row>
    <row r="1573" customFormat="false" ht="15.75" hidden="false" customHeight="true" outlineLevel="0" collapsed="false">
      <c r="B1573" s="10"/>
      <c r="C1573" s="10"/>
      <c r="D1573" s="10"/>
      <c r="E1573" s="10"/>
      <c r="F1573" s="10"/>
    </row>
    <row r="1574" customFormat="false" ht="15.75" hidden="false" customHeight="true" outlineLevel="0" collapsed="false">
      <c r="B1574" s="10"/>
      <c r="C1574" s="10"/>
      <c r="D1574" s="10"/>
      <c r="E1574" s="10"/>
      <c r="F1574" s="10"/>
    </row>
    <row r="1575" customFormat="false" ht="24" hidden="false" customHeight="true" outlineLevel="0" collapsed="false">
      <c r="B1575" s="48" t="str">
        <f aca="false">Cab_Mentions</f>
        <v>ALTHO EXPERTISE · SAS au capital de 10 000 € · RCS Pontoise 919 706 325 · TVA FR62919706325 · Société d'expertise comptable inscrite au Tableau de l'Ordre des experts-comptables de Paris Île-de-France</v>
      </c>
      <c r="C1575" s="48"/>
      <c r="D1575" s="48"/>
      <c r="E1575" s="48"/>
      <c r="F1575" s="48"/>
    </row>
    <row r="1576" customFormat="false" ht="15" hidden="false" customHeight="false" outlineLevel="0" collapsed="false">
      <c r="B1576" s="10"/>
      <c r="C1576" s="10"/>
      <c r="D1576" s="10"/>
      <c r="E1576" s="10"/>
      <c r="F1576" s="10"/>
      <c r="J1576" s="25" t="s">
        <v>142</v>
      </c>
      <c r="K1576" s="25" t="n">
        <f aca="false">IFERROR(MATCH(36,Clients!$Z$2:$Z$501,0),0)</f>
        <v>0</v>
      </c>
      <c r="L1576" s="25"/>
      <c r="M1576" s="25"/>
      <c r="N1576" s="25"/>
      <c r="O1576" s="25"/>
    </row>
    <row r="1577" customFormat="false" ht="21.75" hidden="false" customHeight="true" outlineLevel="0" collapsed="false">
      <c r="B1577" s="26" t="str">
        <f aca="false">Cab_Nom</f>
        <v>ALTHO EXPERTISE</v>
      </c>
      <c r="C1577" s="26"/>
      <c r="D1577" s="10"/>
      <c r="E1577" s="27" t="str">
        <f aca="false">IF($K$1576=0,"","Réf. client : "&amp;INDEX(Clients!$A$2:$A$501,$K$1576))</f>
        <v/>
      </c>
      <c r="F1577" s="27"/>
      <c r="J1577" s="25" t="s">
        <v>144</v>
      </c>
      <c r="K1577" s="25" t="str">
        <f aca="false">IF(IF($K$1576=0,"",INDEX(Clients!$B$2:$B$501,$K$1576)&amp;"")="Mme","Madame",IF(IF($K$1576=0,"",INDEX(Clients!$B$2:$B$501,$K$1576)&amp;"")="M.","Monsieur","Madame, Monsieur"))</f>
        <v>Madame, Monsieur</v>
      </c>
      <c r="L1577" s="25"/>
      <c r="M1577" s="25"/>
      <c r="N1577" s="25"/>
      <c r="O1577" s="25"/>
    </row>
    <row r="1578" customFormat="false" ht="15" hidden="false" customHeight="false" outlineLevel="0" collapsed="false">
      <c r="B1578" s="29" t="str">
        <f aca="false">Cab_Adr1</f>
        <v>141 rue Charles de Gaulle</v>
      </c>
      <c r="C1578" s="29"/>
      <c r="D1578" s="10"/>
      <c r="E1578" s="10"/>
      <c r="F1578" s="10"/>
      <c r="J1578" s="25" t="s">
        <v>145</v>
      </c>
      <c r="K1578" s="25" t="str">
        <f aca="false">DAY(Date_Effet)&amp;IF(DAY(Date_Effet)=1,"er","")&amp;" "&amp;INDEX(Liste_Mois,MONTH(Date_Effet))&amp;" "&amp;YEAR(Date_Effet)</f>
        <v>1er janvier 2027</v>
      </c>
      <c r="L1578" s="25"/>
      <c r="M1578" s="25"/>
      <c r="N1578" s="25"/>
      <c r="O1578" s="25"/>
    </row>
    <row r="1579" customFormat="false" ht="15" hidden="false" customHeight="false" outlineLevel="0" collapsed="false">
      <c r="B1579" s="29" t="str">
        <f aca="false">Cab_CPVille</f>
        <v>95130 LE PLESSIS-BOUCHARD</v>
      </c>
      <c r="C1579" s="29"/>
      <c r="D1579" s="10"/>
      <c r="E1579" s="10"/>
      <c r="F1579" s="10"/>
      <c r="J1579" s="25" t="s">
        <v>146</v>
      </c>
      <c r="K1579" s="25" t="str">
        <f aca="false">IF(SUM($K$1603:$K$1606)=0,"",FIXED((SUM($L$1603:$L$1606)/SUM($K$1603:$K$1606)-1)*100,1)&amp;" %")</f>
        <v/>
      </c>
      <c r="L1579" s="25"/>
      <c r="M1579" s="25"/>
      <c r="N1579" s="25"/>
      <c r="O1579" s="25"/>
    </row>
    <row r="1580" customFormat="false" ht="15" hidden="false" customHeight="false" outlineLevel="0" collapsed="false">
      <c r="B1580" s="29" t="str">
        <f aca="false">Cab_Contact</f>
        <v>Tél. 01 34 14 53 45  ·  altho@altho-experts.com  ·  altho-experts.com</v>
      </c>
      <c r="C1580" s="29"/>
      <c r="D1580" s="10"/>
      <c r="E1580" s="10"/>
      <c r="F1580" s="10"/>
      <c r="J1580" s="25"/>
      <c r="K1580" s="25"/>
      <c r="L1580" s="25"/>
      <c r="M1580" s="25"/>
      <c r="N1580" s="25"/>
      <c r="O1580" s="25"/>
    </row>
    <row r="1581" customFormat="false" ht="6" hidden="false" customHeight="true" outlineLevel="0" collapsed="false">
      <c r="B1581" s="32"/>
      <c r="C1581" s="32"/>
      <c r="D1581" s="32"/>
      <c r="E1581" s="32"/>
      <c r="F1581" s="32"/>
      <c r="J1581" s="25"/>
      <c r="K1581" s="25"/>
      <c r="L1581" s="25"/>
      <c r="M1581" s="25"/>
      <c r="N1581" s="25"/>
      <c r="O1581" s="25"/>
    </row>
    <row r="1582" customFormat="false" ht="13.5" hidden="false" customHeight="true" outlineLevel="0" collapsed="false">
      <c r="B1582" s="10"/>
      <c r="C1582" s="10"/>
      <c r="D1582" s="10"/>
      <c r="E1582" s="10"/>
      <c r="F1582" s="10"/>
      <c r="J1582" s="25"/>
      <c r="K1582" s="25"/>
      <c r="L1582" s="25"/>
      <c r="M1582" s="25"/>
      <c r="N1582" s="25"/>
      <c r="O1582" s="25"/>
    </row>
    <row r="1583" customFormat="false" ht="13.5" hidden="false" customHeight="true" outlineLevel="0" collapsed="false">
      <c r="B1583" s="10"/>
      <c r="C1583" s="10"/>
      <c r="D1583" s="10"/>
      <c r="E1583" s="10"/>
      <c r="F1583" s="10"/>
      <c r="J1583" s="25"/>
      <c r="K1583" s="25"/>
      <c r="L1583" s="25"/>
      <c r="M1583" s="25"/>
      <c r="N1583" s="25"/>
      <c r="O1583" s="25"/>
    </row>
    <row r="1584" customFormat="false" ht="13.5" hidden="false" customHeight="true" outlineLevel="0" collapsed="false">
      <c r="B1584" s="10"/>
      <c r="C1584" s="10"/>
      <c r="D1584" s="10"/>
      <c r="E1584" s="10"/>
      <c r="F1584" s="10"/>
      <c r="J1584" s="25"/>
      <c r="K1584" s="25"/>
      <c r="L1584" s="25"/>
      <c r="M1584" s="25"/>
      <c r="N1584" s="25"/>
      <c r="O1584" s="25"/>
    </row>
    <row r="1585" customFormat="false" ht="15" hidden="false" customHeight="true" outlineLevel="0" collapsed="false">
      <c r="B1585" s="10"/>
      <c r="C1585" s="10"/>
      <c r="D1585" s="34" t="str">
        <f aca="false">IF($K$1576=0,"",INDEX(Clients!$E$2:$E$501,$K$1576)&amp;"")</f>
        <v/>
      </c>
      <c r="E1585" s="34"/>
      <c r="F1585" s="34"/>
      <c r="J1585" s="25"/>
      <c r="K1585" s="25"/>
      <c r="L1585" s="25"/>
      <c r="M1585" s="25"/>
      <c r="N1585" s="25"/>
      <c r="O1585" s="25"/>
    </row>
    <row r="1586" customFormat="false" ht="15" hidden="false" customHeight="true" outlineLevel="0" collapsed="false">
      <c r="B1586" s="10"/>
      <c r="C1586" s="10"/>
      <c r="D1586" s="35" t="str">
        <f aca="false">IF(IF($K$1576=0,"",INDEX(Clients!$D$2:$D$501,$K$1576)&amp;"")="","","À l'attention de "&amp;TRIM(IF($K$1576=0,"",INDEX(Clients!$B$2:$B$501,$K$1576)&amp;"")&amp;" "&amp;IF($K$1576=0,"",INDEX(Clients!$C$2:$C$501,$K$1576)&amp;"")&amp;" "&amp;IF($K$1576=0,"",INDEX(Clients!$D$2:$D$501,$K$1576)&amp;"")))</f>
        <v/>
      </c>
      <c r="E1586" s="35"/>
      <c r="F1586" s="35"/>
      <c r="J1586" s="25"/>
      <c r="K1586" s="25"/>
      <c r="L1586" s="25"/>
      <c r="M1586" s="25"/>
      <c r="N1586" s="25"/>
      <c r="O1586" s="25"/>
    </row>
    <row r="1587" customFormat="false" ht="15" hidden="false" customHeight="true" outlineLevel="0" collapsed="false">
      <c r="B1587" s="10"/>
      <c r="C1587" s="10"/>
      <c r="D1587" s="35" t="str">
        <f aca="false">IF($K$1576=0,"",INDEX(Clients!$F$2:$F$501,$K$1576)&amp;"")</f>
        <v/>
      </c>
      <c r="E1587" s="35"/>
      <c r="F1587" s="35"/>
      <c r="J1587" s="25"/>
      <c r="K1587" s="25"/>
      <c r="L1587" s="25"/>
      <c r="M1587" s="25"/>
      <c r="N1587" s="25"/>
      <c r="O1587" s="25"/>
    </row>
    <row r="1588" customFormat="false" ht="15" hidden="false" customHeight="true" outlineLevel="0" collapsed="false">
      <c r="B1588" s="10"/>
      <c r="C1588" s="10"/>
      <c r="D1588" s="35" t="str">
        <f aca="false">IF(IF($K$1576=0,"",INDEX(Clients!$G$2:$G$501,$K$1576)&amp;"")="",TRIM(IF($K$1576=0,"",INDEX(Clients!$H$2:$H$501,$K$1576)&amp;"")&amp;" "&amp;UPPER(IF($K$1576=0,"",INDEX(Clients!$I$2:$I$501,$K$1576)&amp;""))),IF($K$1576=0,"",INDEX(Clients!$G$2:$G$501,$K$1576)&amp;""))</f>
        <v/>
      </c>
      <c r="E1588" s="35"/>
      <c r="F1588" s="35"/>
      <c r="J1588" s="25"/>
      <c r="K1588" s="25"/>
      <c r="L1588" s="25"/>
      <c r="M1588" s="25"/>
      <c r="N1588" s="25"/>
      <c r="O1588" s="25"/>
    </row>
    <row r="1589" customFormat="false" ht="15" hidden="false" customHeight="true" outlineLevel="0" collapsed="false">
      <c r="B1589" s="10"/>
      <c r="C1589" s="10"/>
      <c r="D1589" s="35" t="str">
        <f aca="false">IF(IF($K$1576=0,"",INDEX(Clients!$G$2:$G$501,$K$1576)&amp;"")="","",TRIM(IF($K$1576=0,"",INDEX(Clients!$H$2:$H$501,$K$1576)&amp;"")&amp;" "&amp;UPPER(IF($K$1576=0,"",INDEX(Clients!$I$2:$I$501,$K$1576)&amp;""))))</f>
        <v/>
      </c>
      <c r="E1589" s="35"/>
      <c r="F1589" s="35"/>
      <c r="J1589" s="25"/>
      <c r="K1589" s="25"/>
      <c r="L1589" s="25"/>
      <c r="M1589" s="25"/>
      <c r="N1589" s="25"/>
      <c r="O1589" s="25"/>
    </row>
    <row r="1590" customFormat="false" ht="25.5" hidden="false" customHeight="true" outlineLevel="0" collapsed="false">
      <c r="B1590" s="10"/>
      <c r="C1590" s="10"/>
      <c r="D1590" s="10"/>
      <c r="E1590" s="10"/>
      <c r="F1590" s="10"/>
      <c r="J1590" s="25"/>
      <c r="K1590" s="25"/>
      <c r="L1590" s="25"/>
      <c r="M1590" s="25"/>
      <c r="N1590" s="25"/>
      <c r="O1590" s="25"/>
    </row>
    <row r="1591" customFormat="false" ht="15" hidden="false" customHeight="false" outlineLevel="0" collapsed="false">
      <c r="B1591" s="10"/>
      <c r="C1591" s="10"/>
      <c r="D1591" s="36" t="str">
        <f aca="false">Cab_Ville&amp;", le "&amp;DAY(Date_Courrier)&amp;IF(DAY(Date_Courrier)=1,"er","")&amp;" "&amp;INDEX(Liste_Mois,MONTH(Date_Courrier))&amp;" "&amp;YEAR(Date_Courrier)</f>
        <v>Le Plessis-Bouchard, le 22 septembre 2026</v>
      </c>
      <c r="E1591" s="36"/>
      <c r="F1591" s="36"/>
      <c r="J1591" s="25"/>
      <c r="K1591" s="25"/>
      <c r="L1591" s="25"/>
      <c r="M1591" s="25"/>
      <c r="N1591" s="25"/>
      <c r="O1591" s="25"/>
    </row>
    <row r="1592" customFormat="false" ht="19.5" hidden="false" customHeight="true" outlineLevel="0" collapsed="false">
      <c r="B1592" s="10"/>
      <c r="C1592" s="10"/>
      <c r="D1592" s="10"/>
      <c r="E1592" s="10"/>
      <c r="F1592" s="10"/>
      <c r="J1592" s="25"/>
      <c r="K1592" s="25"/>
      <c r="L1592" s="25"/>
      <c r="M1592" s="25"/>
      <c r="N1592" s="25"/>
      <c r="O1592" s="25"/>
    </row>
    <row r="1593" customFormat="false" ht="15" hidden="false" customHeight="false" outlineLevel="0" collapsed="false">
      <c r="B1593" s="34" t="str">
        <f aca="false">SUBSTITUTE(SUBSTITUTE(SUBSTITUTE(SUBSTITUTE(SUBSTITUTE(Txt_Objet,"{cabinet}",Cab_Nom),"{societe}",IF($K$1576=0,"",INDEX(Clients!$E$2:$E$501,$K$1576)&amp;"")),"{date_effet}",$K$1578),"{hausse}",$K$1579),"{civilite}",$K$1577)</f>
        <v>Objet : révision de nos honoraires au 1er janvier 2027</v>
      </c>
      <c r="C1593" s="34"/>
      <c r="D1593" s="34"/>
      <c r="E1593" s="34"/>
      <c r="F1593" s="34"/>
      <c r="J1593" s="25"/>
      <c r="K1593" s="25"/>
      <c r="L1593" s="25"/>
      <c r="M1593" s="25"/>
      <c r="N1593" s="25"/>
      <c r="O1593" s="25"/>
    </row>
    <row r="1594" customFormat="false" ht="13.5" hidden="false" customHeight="true" outlineLevel="0" collapsed="false">
      <c r="B1594" s="10"/>
      <c r="C1594" s="10"/>
      <c r="D1594" s="10"/>
      <c r="E1594" s="10"/>
      <c r="F1594" s="10"/>
      <c r="J1594" s="25"/>
      <c r="K1594" s="25"/>
      <c r="L1594" s="25"/>
      <c r="M1594" s="25"/>
      <c r="N1594" s="25"/>
      <c r="O1594" s="25"/>
    </row>
    <row r="1595" customFormat="false" ht="15" hidden="false" customHeight="false" outlineLevel="0" collapsed="false">
      <c r="B1595" s="10" t="str">
        <f aca="false">$K$1577&amp;","</f>
        <v>Madame, Monsieur,</v>
      </c>
      <c r="C1595" s="10"/>
      <c r="D1595" s="10"/>
      <c r="E1595" s="10"/>
      <c r="F1595" s="10"/>
      <c r="J1595" s="25"/>
      <c r="K1595" s="25"/>
      <c r="L1595" s="25"/>
      <c r="M1595" s="25"/>
      <c r="N1595" s="25"/>
      <c r="O1595" s="25"/>
    </row>
    <row r="1596" customFormat="false" ht="6" hidden="false" customHeight="true" outlineLevel="0" collapsed="false">
      <c r="B1596" s="10"/>
      <c r="C1596" s="10"/>
      <c r="D1596" s="10"/>
      <c r="E1596" s="10"/>
      <c r="F1596" s="10"/>
      <c r="J1596" s="25"/>
      <c r="K1596" s="25"/>
      <c r="L1596" s="25"/>
      <c r="M1596" s="25"/>
      <c r="N1596" s="25"/>
      <c r="O1596" s="25"/>
    </row>
    <row r="1597" customFormat="false" ht="36.75" hidden="false" customHeight="true" outlineLevel="0" collapsed="false">
      <c r="B1597" s="37" t="str">
        <f aca="false">SUBSTITUTE(SUBSTITUTE(SUBSTITUTE(SUBSTITUTE(SUBSTITUTE(Txt_P1,"{cabinet}",Cab_Nom),"{societe}",IF($K$1576=0,"",INDEX(Clients!$E$2:$E$501,$K$1576)&amp;"")),"{date_effet}",$K$1578),"{hausse}",$K$1579),"{civilite}",$K$1577)</f>
        <v>Nous tenons tout d'abord à vous remercier pour la confiance que vous accordez à ALTHO EXPERTISE. Comme chaque année, et conformément aux dispositions de votre lettre de mission, nous procédons à la révision de nos honoraires.</v>
      </c>
      <c r="C1597" s="37"/>
      <c r="D1597" s="37"/>
      <c r="E1597" s="37"/>
      <c r="F1597" s="37"/>
      <c r="J1597" s="25"/>
      <c r="K1597" s="25"/>
      <c r="L1597" s="25"/>
      <c r="M1597" s="25"/>
      <c r="N1597" s="25"/>
      <c r="O1597" s="25"/>
    </row>
    <row r="1598" customFormat="false" ht="49.5" hidden="false" customHeight="true" outlineLevel="0" collapsed="false">
      <c r="B1598" s="37" t="str">
        <f aca="false">SUBSTITUTE(SUBSTITUTE(SUBSTITUTE(SUBSTITUTE(SUBSTITUTE(Txt_P2,"{cabinet}",Cab_Nom),"{societe}",IF($K$1576=0,"",INDEX(Clients!$E$2:$E$501,$K$1576)&amp;"")),"{date_effet}",$K$1578),"{hausse}",$K$1579),"{civilite}",$K$1577)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598" s="37"/>
      <c r="D1598" s="37"/>
      <c r="E1598" s="37"/>
      <c r="F1598" s="37"/>
      <c r="J1598" s="25"/>
      <c r="K1598" s="25"/>
      <c r="L1598" s="25"/>
      <c r="M1598" s="25"/>
      <c r="N1598" s="25"/>
      <c r="O1598" s="25"/>
    </row>
    <row r="1599" customFormat="false" ht="63" hidden="false" customHeight="true" outlineLevel="0" collapsed="false">
      <c r="B1599" s="37" t="str">
        <f aca="false">SUBSTITUTE(SUBSTITUTE(SUBSTITUTE(SUBSTITUTE(SUBSTITUTE(Txt_P3,"{cabinet}",Cab_Nom),"{societe}",IF($K$1576=0,"",INDEX(Clients!$E$2:$E$501,$K$1576)&amp;"")),"{date_effet}",$K$1578),"{hausse}",$K$1579),"{civilite}",$K$1577)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599" s="37"/>
      <c r="D1599" s="37"/>
      <c r="E1599" s="37"/>
      <c r="F1599" s="37"/>
      <c r="J1599" s="25"/>
      <c r="K1599" s="25"/>
      <c r="L1599" s="25"/>
      <c r="M1599" s="25"/>
      <c r="N1599" s="25"/>
      <c r="O1599" s="25"/>
    </row>
    <row r="1600" customFormat="false" ht="24" hidden="false" customHeight="true" outlineLevel="0" collapsed="false">
      <c r="B1600" s="37" t="str">
        <f aca="false">SUBSTITUTE(SUBSTITUTE(SUBSTITUTE(SUBSTITUTE(SUBSTITUTE(Txt_P4,"{cabinet}",Cab_Nom),"{societe}",IF($K$1576=0,"",INDEX(Clients!$E$2:$E$501,$K$1576)&amp;"")),"{date_effet}",$K$1578),"{hausse}",$K$1579),"{civilite}",$K$1577)</f>
        <v>À compter du 1er janvier 2027, vos honoraires annuels hors taxes évolueront ainsi (évolution globale : ) :</v>
      </c>
      <c r="C1600" s="37"/>
      <c r="D1600" s="37"/>
      <c r="E1600" s="37"/>
      <c r="F1600" s="37"/>
      <c r="J1600" s="25"/>
      <c r="K1600" s="25"/>
      <c r="L1600" s="25"/>
      <c r="M1600" s="25"/>
      <c r="N1600" s="25"/>
      <c r="O1600" s="25"/>
    </row>
    <row r="1601" customFormat="false" ht="3.75" hidden="false" customHeight="true" outlineLevel="0" collapsed="false">
      <c r="B1601" s="10"/>
      <c r="C1601" s="10"/>
      <c r="D1601" s="10"/>
      <c r="E1601" s="10"/>
      <c r="F1601" s="10"/>
      <c r="J1601" s="25"/>
      <c r="K1601" s="25"/>
      <c r="L1601" s="25"/>
      <c r="M1601" s="25"/>
      <c r="N1601" s="25"/>
      <c r="O1601" s="25"/>
    </row>
    <row r="1602" customFormat="false" ht="18" hidden="false" customHeight="true" outlineLevel="0" collapsed="false">
      <c r="B1602" s="38" t="s">
        <v>148</v>
      </c>
      <c r="C1602" s="39" t="s">
        <v>149</v>
      </c>
      <c r="D1602" s="39" t="s">
        <v>150</v>
      </c>
      <c r="E1602" s="39" t="s">
        <v>151</v>
      </c>
      <c r="F1602" s="39" t="s">
        <v>109</v>
      </c>
      <c r="J1602" s="25" t="s">
        <v>152</v>
      </c>
      <c r="K1602" s="25" t="s">
        <v>153</v>
      </c>
      <c r="L1602" s="25" t="s">
        <v>154</v>
      </c>
      <c r="M1602" s="25" t="s">
        <v>155</v>
      </c>
      <c r="N1602" s="25" t="s">
        <v>156</v>
      </c>
      <c r="O1602" s="25" t="s">
        <v>157</v>
      </c>
    </row>
    <row r="1603" customFormat="false" ht="16.5" hidden="false" customHeight="true" outlineLevel="0" collapsed="false">
      <c r="B1603" s="40" t="str">
        <f aca="false">IFERROR(INDEX($J$1603:$J$1606,MATCH($O1603,$N$1603:$N$1606,0)),"")</f>
        <v/>
      </c>
      <c r="C1603" s="41" t="str">
        <f aca="false">IFERROR(INDEX($K$1603:$K$1606,MATCH($O1603,$N$1603:$N$1606,0)),"")</f>
        <v/>
      </c>
      <c r="D1603" s="42" t="str">
        <f aca="false">IF(OR(E1603="",N(C1603)=0),"",E1603/C1603-1)</f>
        <v/>
      </c>
      <c r="E1603" s="41" t="str">
        <f aca="false">IFERROR(INDEX($L$1603:$L$1606,MATCH($O1603,$N$1603:$N$1606,0)),"")</f>
        <v/>
      </c>
      <c r="F1603" s="41" t="str">
        <f aca="false">IF(E1603="","",E1603-C1603)</f>
        <v/>
      </c>
      <c r="J1603" s="25" t="str">
        <f aca="false">Lib_Compta</f>
        <v>Mission comptable (tenue, révision, bilan, liasse fiscale)</v>
      </c>
      <c r="K1603" s="25" t="n">
        <f aca="false">IF($K$1576=0,0,N(INDEX(Clients!$K$2:$K$501,$K$1576)))</f>
        <v>0</v>
      </c>
      <c r="L1603" s="25" t="n">
        <f aca="false">IF($K$1576=0,0,N(INDEX(Clients!$P$2:$P$501,$K$1576)))</f>
        <v>0</v>
      </c>
      <c r="M1603" s="25" t="n">
        <f aca="false">IF(OR(K1603&lt;&gt;0,L1603&lt;&gt;0),1,0)</f>
        <v>0</v>
      </c>
      <c r="N1603" s="25" t="str">
        <f aca="false">IF(M1603=1,SUM($M$1603:M1603),"")</f>
        <v/>
      </c>
      <c r="O1603" s="25" t="n">
        <v>1</v>
      </c>
    </row>
    <row r="1604" customFormat="false" ht="16.5" hidden="false" customHeight="true" outlineLevel="0" collapsed="false">
      <c r="B1604" s="40" t="str">
        <f aca="false">IFERROR(INDEX($J$1603:$J$1606,MATCH($O1604,$N$1603:$N$1606,0)),"")</f>
        <v/>
      </c>
      <c r="C1604" s="41" t="str">
        <f aca="false">IFERROR(INDEX($K$1603:$K$1606,MATCH($O1604,$N$1603:$N$1606,0)),"")</f>
        <v/>
      </c>
      <c r="D1604" s="42" t="str">
        <f aca="false">IF(OR(E1604="",N(C1604)=0),"",E1604/C1604-1)</f>
        <v/>
      </c>
      <c r="E1604" s="41" t="str">
        <f aca="false">IFERROR(INDEX($L$1603:$L$1606,MATCH($O1604,$N$1603:$N$1606,0)),"")</f>
        <v/>
      </c>
      <c r="F1604" s="41" t="str">
        <f aca="false">IF(E1604="","",E1604-C1604)</f>
        <v/>
      </c>
      <c r="J1604" s="25" t="str">
        <f aca="false">Lib_Paye</f>
        <v>Mission sociale (bulletins de paie, DSN, déclarations sociales)</v>
      </c>
      <c r="K1604" s="25" t="n">
        <f aca="false">IF($K$1576=0,0,N(INDEX(Clients!$L$2:$L$501,$K$1576)))</f>
        <v>0</v>
      </c>
      <c r="L1604" s="25" t="n">
        <f aca="false">IF($K$1576=0,0,N(INDEX(Clients!$Q$2:$Q$501,$K$1576)))</f>
        <v>0</v>
      </c>
      <c r="M1604" s="25" t="n">
        <f aca="false">IF(OR(K1604&lt;&gt;0,L1604&lt;&gt;0),1,0)</f>
        <v>0</v>
      </c>
      <c r="N1604" s="25" t="str">
        <f aca="false">IF(M1604=1,SUM($M$1603:M1604),"")</f>
        <v/>
      </c>
      <c r="O1604" s="25" t="n">
        <v>2</v>
      </c>
    </row>
    <row r="1605" customFormat="false" ht="16.5" hidden="false" customHeight="true" outlineLevel="0" collapsed="false">
      <c r="B1605" s="40" t="str">
        <f aca="false">IFERROR(INDEX($J$1603:$J$1606,MATCH($O1605,$N$1603:$N$1606,0)),"")</f>
        <v/>
      </c>
      <c r="C1605" s="41" t="str">
        <f aca="false">IFERROR(INDEX($K$1603:$K$1606,MATCH($O1605,$N$1603:$N$1606,0)),"")</f>
        <v/>
      </c>
      <c r="D1605" s="42" t="str">
        <f aca="false">IF(OR(E1605="",N(C1605)=0),"",E1605/C1605-1)</f>
        <v/>
      </c>
      <c r="E1605" s="41" t="str">
        <f aca="false">IFERROR(INDEX($L$1603:$L$1606,MATCH($O1605,$N$1603:$N$1606,0)),"")</f>
        <v/>
      </c>
      <c r="F1605" s="41" t="str">
        <f aca="false">IF(E1605="","",E1605-C1605)</f>
        <v/>
      </c>
      <c r="J1605" s="25" t="str">
        <f aca="false">Lib_Jur</f>
        <v>Mission juridique (approbation des comptes, secrétariat juridique)</v>
      </c>
      <c r="K1605" s="25" t="n">
        <f aca="false">IF($K$1576=0,0,N(INDEX(Clients!$M$2:$M$501,$K$1576)))</f>
        <v>0</v>
      </c>
      <c r="L1605" s="25" t="n">
        <f aca="false">IF($K$1576=0,0,N(INDEX(Clients!$R$2:$R$501,$K$1576)))</f>
        <v>0</v>
      </c>
      <c r="M1605" s="25" t="n">
        <f aca="false">IF(OR(K1605&lt;&gt;0,L1605&lt;&gt;0),1,0)</f>
        <v>0</v>
      </c>
      <c r="N1605" s="25" t="str">
        <f aca="false">IF(M1605=1,SUM($M$1603:M1605),"")</f>
        <v/>
      </c>
      <c r="O1605" s="25" t="n">
        <v>3</v>
      </c>
    </row>
    <row r="1606" customFormat="false" ht="16.5" hidden="false" customHeight="true" outlineLevel="0" collapsed="false">
      <c r="B1606" s="40" t="str">
        <f aca="false">IFERROR(INDEX($J$1603:$J$1606,MATCH($O1606,$N$1603:$N$1606,0)),"")</f>
        <v/>
      </c>
      <c r="C1606" s="41" t="str">
        <f aca="false">IFERROR(INDEX($K$1603:$K$1606,MATCH($O1606,$N$1603:$N$1606,0)),"")</f>
        <v/>
      </c>
      <c r="D1606" s="42" t="str">
        <f aca="false">IF(OR(E1606="",N(C1606)=0),"",E1606/C1606-1)</f>
        <v/>
      </c>
      <c r="E1606" s="41" t="str">
        <f aca="false">IFERROR(INDEX($L$1603:$L$1606,MATCH($O1606,$N$1603:$N$1606,0)),"")</f>
        <v/>
      </c>
      <c r="F1606" s="41" t="str">
        <f aca="false">IF(E1606="","",E1606-C1606)</f>
        <v/>
      </c>
      <c r="J1606" s="25" t="str">
        <f aca="false">Lib_PA</f>
        <v>Plateforme agréée – facturation électronique</v>
      </c>
      <c r="K1606" s="25" t="n">
        <f aca="false">IF($K$1576=0,0,N(INDEX(Clients!$N$2:$N$501,$K$1576)))</f>
        <v>0</v>
      </c>
      <c r="L1606" s="25" t="n">
        <f aca="false">IF($K$1576=0,0,N(INDEX(Clients!$S$2:$S$501,$K$1576)))</f>
        <v>0</v>
      </c>
      <c r="M1606" s="25" t="n">
        <f aca="false">IF(OR(K1606&lt;&gt;0,L1606&lt;&gt;0),1,0)</f>
        <v>0</v>
      </c>
      <c r="N1606" s="25" t="str">
        <f aca="false">IF(M1606=1,SUM($M$1603:M1606),"")</f>
        <v/>
      </c>
      <c r="O1606" s="25" t="n">
        <v>4</v>
      </c>
    </row>
    <row r="1607" customFormat="false" ht="18" hidden="false" customHeight="true" outlineLevel="0" collapsed="false">
      <c r="B1607" s="43" t="s">
        <v>158</v>
      </c>
      <c r="C1607" s="44" t="n">
        <f aca="false">SUM(K1603:K1606)</f>
        <v>0</v>
      </c>
      <c r="D1607" s="45" t="str">
        <f aca="false">IF(N(C1607)=0,"",E1607/C1607-1)</f>
        <v/>
      </c>
      <c r="E1607" s="44" t="n">
        <f aca="false">SUM(L1603:L1606)</f>
        <v>0</v>
      </c>
      <c r="F1607" s="44" t="n">
        <f aca="false">E1607-C1607</f>
        <v>0</v>
      </c>
    </row>
    <row r="1608" customFormat="false" ht="15" hidden="false" customHeight="false" outlineLevel="0" collapsed="false">
      <c r="B1608" s="46" t="str">
        <f aca="false">IF(N(Nb_Mensualites)=0,"","Soit "&amp;FIXED(E1607/Nb_Mensualites,2)&amp;" € HT par échéance ("&amp;Nb_Mensualites&amp;" échéances), "&amp;FIXED(E1607/Nb_Mensualites*(1+Taux_TVA),2)&amp;" € TTC.")</f>
        <v>Soit 0.00 € HT par échéance (12 échéances), 0.00 € TTC.</v>
      </c>
      <c r="C1608" s="46"/>
      <c r="D1608" s="46"/>
      <c r="E1608" s="46"/>
      <c r="F1608" s="46"/>
    </row>
    <row r="1609" customFormat="false" ht="7.5" hidden="false" customHeight="true" outlineLevel="0" collapsed="false">
      <c r="B1609" s="10"/>
      <c r="C1609" s="10"/>
      <c r="D1609" s="10"/>
      <c r="E1609" s="10"/>
      <c r="F1609" s="10"/>
    </row>
    <row r="1610" customFormat="false" ht="36.75" hidden="false" customHeight="true" outlineLevel="0" collapsed="false">
      <c r="B1610" s="37" t="str">
        <f aca="false">SUBSTITUTE(SUBSTITUTE(SUBSTITUTE(SUBSTITUTE(SUBSTITUTE(Txt_P5,"{cabinet}",Cab_Nom),"{societe}",IF($K$1576=0,"",INDEX(Clients!$E$2:$E$501,$K$1576)&amp;"")),"{date_effet}",$K$1578),"{hausse}",$K$1579),"{civilite}",$K$1577)</f>
        <v>Les autres conditions de votre lettre de mission demeurent inchangées. Les nouveaux montants seront appliqués automatiquement sur vos prochaines factures et échéances de prélèvement.</v>
      </c>
      <c r="C1610" s="37"/>
      <c r="D1610" s="37"/>
      <c r="E1610" s="37"/>
      <c r="F1610" s="37"/>
    </row>
    <row r="1611" customFormat="false" ht="36.75" hidden="false" customHeight="true" outlineLevel="0" collapsed="false">
      <c r="B1611" s="37" t="str">
        <f aca="false">SUBSTITUTE(SUBSTITUTE(SUBSTITUTE(SUBSTITUTE(SUBSTITUTE(Txt_P6,"{cabinet}",Cab_Nom),"{societe}",IF($K$1576=0,"",INDEX(Clients!$E$2:$E$501,$K$1576)&amp;"")),"{date_effet}",$K$1578),"{hausse}",$K$1579),"{civilite}",$K$1577)</f>
        <v>Votre interlocuteur habituel reste à votre entière disposition pour répondre à vos questions et faire le point sur l'évolution de vos besoins.</v>
      </c>
      <c r="C1611" s="37"/>
      <c r="D1611" s="37"/>
      <c r="E1611" s="37"/>
      <c r="F1611" s="37"/>
    </row>
    <row r="1612" customFormat="false" ht="24" hidden="false" customHeight="true" outlineLevel="0" collapsed="false">
      <c r="B1612" s="37" t="str">
        <f aca="false">SUBSTITUTE(SUBSTITUTE(SUBSTITUTE(SUBSTITUTE(SUBSTITUTE(Txt_Politesse,"{cabinet}",Cab_Nom),"{societe}",IF($K$1576=0,"",INDEX(Clients!$E$2:$E$501,$K$1576)&amp;"")),"{date_effet}",$K$1578),"{hausse}",$K$1579),"{civilite}",$K$1577)</f>
        <v>Nous vous prions d'agréer, Madame, Monsieur, l'expression de nos salutations distinguées.</v>
      </c>
      <c r="C1612" s="37"/>
      <c r="D1612" s="37"/>
      <c r="E1612" s="37"/>
      <c r="F1612" s="37"/>
    </row>
    <row r="1613" customFormat="false" ht="15" hidden="false" customHeight="false" outlineLevel="0" collapsed="false">
      <c r="B1613" s="10"/>
      <c r="C1613" s="10"/>
      <c r="D1613" s="10"/>
      <c r="E1613" s="10"/>
      <c r="F1613" s="10"/>
    </row>
    <row r="1614" customFormat="false" ht="15" hidden="false" customHeight="false" outlineLevel="0" collapsed="false">
      <c r="B1614" s="10"/>
      <c r="C1614" s="10"/>
      <c r="D1614" s="34" t="str">
        <f aca="false">Signataire</f>
        <v>Prénom NOM</v>
      </c>
      <c r="E1614" s="34"/>
      <c r="F1614" s="34"/>
    </row>
    <row r="1615" customFormat="false" ht="15" hidden="false" customHeight="false" outlineLevel="0" collapsed="false">
      <c r="B1615" s="10"/>
      <c r="C1615" s="10"/>
      <c r="D1615" s="47" t="str">
        <f aca="false">Signataire_Titre</f>
        <v>Expert-comptable associé</v>
      </c>
      <c r="E1615" s="47"/>
      <c r="F1615" s="47"/>
    </row>
    <row r="1616" customFormat="false" ht="15.75" hidden="false" customHeight="true" outlineLevel="0" collapsed="false">
      <c r="B1616" s="10"/>
      <c r="C1616" s="10"/>
      <c r="D1616" s="10"/>
      <c r="E1616" s="10"/>
      <c r="F1616" s="10"/>
    </row>
    <row r="1617" customFormat="false" ht="15.75" hidden="false" customHeight="true" outlineLevel="0" collapsed="false">
      <c r="B1617" s="10"/>
      <c r="C1617" s="10"/>
      <c r="D1617" s="10"/>
      <c r="E1617" s="10"/>
      <c r="F1617" s="10"/>
    </row>
    <row r="1618" customFormat="false" ht="15.75" hidden="false" customHeight="true" outlineLevel="0" collapsed="false">
      <c r="B1618" s="10"/>
      <c r="C1618" s="10"/>
      <c r="D1618" s="10"/>
      <c r="E1618" s="10"/>
      <c r="F1618" s="10"/>
    </row>
    <row r="1619" customFormat="false" ht="15.75" hidden="false" customHeight="true" outlineLevel="0" collapsed="false">
      <c r="B1619" s="10"/>
      <c r="C1619" s="10"/>
      <c r="D1619" s="10"/>
      <c r="E1619" s="10"/>
      <c r="F1619" s="10"/>
    </row>
    <row r="1620" customFormat="false" ht="24" hidden="false" customHeight="true" outlineLevel="0" collapsed="false">
      <c r="B1620" s="48" t="str">
        <f aca="false">Cab_Mentions</f>
        <v>ALTHO EXPERTISE · SAS au capital de 10 000 € · RCS Pontoise 919 706 325 · TVA FR62919706325 · Société d'expertise comptable inscrite au Tableau de l'Ordre des experts-comptables de Paris Île-de-France</v>
      </c>
      <c r="C1620" s="48"/>
      <c r="D1620" s="48"/>
      <c r="E1620" s="48"/>
      <c r="F1620" s="48"/>
    </row>
    <row r="1621" customFormat="false" ht="15" hidden="false" customHeight="false" outlineLevel="0" collapsed="false">
      <c r="B1621" s="10"/>
      <c r="C1621" s="10"/>
      <c r="D1621" s="10"/>
      <c r="E1621" s="10"/>
      <c r="F1621" s="10"/>
      <c r="J1621" s="25" t="s">
        <v>142</v>
      </c>
      <c r="K1621" s="25" t="n">
        <f aca="false">IFERROR(MATCH(37,Clients!$Z$2:$Z$501,0),0)</f>
        <v>0</v>
      </c>
      <c r="L1621" s="25"/>
      <c r="M1621" s="25"/>
      <c r="N1621" s="25"/>
      <c r="O1621" s="25"/>
    </row>
    <row r="1622" customFormat="false" ht="21.75" hidden="false" customHeight="true" outlineLevel="0" collapsed="false">
      <c r="B1622" s="26" t="str">
        <f aca="false">Cab_Nom</f>
        <v>ALTHO EXPERTISE</v>
      </c>
      <c r="C1622" s="26"/>
      <c r="D1622" s="10"/>
      <c r="E1622" s="27" t="str">
        <f aca="false">IF($K$1621=0,"","Réf. client : "&amp;INDEX(Clients!$A$2:$A$501,$K$1621))</f>
        <v/>
      </c>
      <c r="F1622" s="27"/>
      <c r="J1622" s="25" t="s">
        <v>144</v>
      </c>
      <c r="K1622" s="25" t="str">
        <f aca="false">IF(IF($K$1621=0,"",INDEX(Clients!$B$2:$B$501,$K$1621)&amp;"")="Mme","Madame",IF(IF($K$1621=0,"",INDEX(Clients!$B$2:$B$501,$K$1621)&amp;"")="M.","Monsieur","Madame, Monsieur"))</f>
        <v>Madame, Monsieur</v>
      </c>
      <c r="L1622" s="25"/>
      <c r="M1622" s="25"/>
      <c r="N1622" s="25"/>
      <c r="O1622" s="25"/>
    </row>
    <row r="1623" customFormat="false" ht="15" hidden="false" customHeight="false" outlineLevel="0" collapsed="false">
      <c r="B1623" s="29" t="str">
        <f aca="false">Cab_Adr1</f>
        <v>141 rue Charles de Gaulle</v>
      </c>
      <c r="C1623" s="29"/>
      <c r="D1623" s="10"/>
      <c r="E1623" s="10"/>
      <c r="F1623" s="10"/>
      <c r="J1623" s="25" t="s">
        <v>145</v>
      </c>
      <c r="K1623" s="25" t="str">
        <f aca="false">DAY(Date_Effet)&amp;IF(DAY(Date_Effet)=1,"er","")&amp;" "&amp;INDEX(Liste_Mois,MONTH(Date_Effet))&amp;" "&amp;YEAR(Date_Effet)</f>
        <v>1er janvier 2027</v>
      </c>
      <c r="L1623" s="25"/>
      <c r="M1623" s="25"/>
      <c r="N1623" s="25"/>
      <c r="O1623" s="25"/>
    </row>
    <row r="1624" customFormat="false" ht="15" hidden="false" customHeight="false" outlineLevel="0" collapsed="false">
      <c r="B1624" s="29" t="str">
        <f aca="false">Cab_CPVille</f>
        <v>95130 LE PLESSIS-BOUCHARD</v>
      </c>
      <c r="C1624" s="29"/>
      <c r="D1624" s="10"/>
      <c r="E1624" s="10"/>
      <c r="F1624" s="10"/>
      <c r="J1624" s="25" t="s">
        <v>146</v>
      </c>
      <c r="K1624" s="25" t="str">
        <f aca="false">IF(SUM($K$1648:$K$1651)=0,"",FIXED((SUM($L$1648:$L$1651)/SUM($K$1648:$K$1651)-1)*100,1)&amp;" %")</f>
        <v/>
      </c>
      <c r="L1624" s="25"/>
      <c r="M1624" s="25"/>
      <c r="N1624" s="25"/>
      <c r="O1624" s="25"/>
    </row>
    <row r="1625" customFormat="false" ht="15" hidden="false" customHeight="false" outlineLevel="0" collapsed="false">
      <c r="B1625" s="29" t="str">
        <f aca="false">Cab_Contact</f>
        <v>Tél. 01 34 14 53 45  ·  altho@altho-experts.com  ·  altho-experts.com</v>
      </c>
      <c r="C1625" s="29"/>
      <c r="D1625" s="10"/>
      <c r="E1625" s="10"/>
      <c r="F1625" s="10"/>
      <c r="J1625" s="25"/>
      <c r="K1625" s="25"/>
      <c r="L1625" s="25"/>
      <c r="M1625" s="25"/>
      <c r="N1625" s="25"/>
      <c r="O1625" s="25"/>
    </row>
    <row r="1626" customFormat="false" ht="6" hidden="false" customHeight="true" outlineLevel="0" collapsed="false">
      <c r="B1626" s="32"/>
      <c r="C1626" s="32"/>
      <c r="D1626" s="32"/>
      <c r="E1626" s="32"/>
      <c r="F1626" s="32"/>
      <c r="J1626" s="25"/>
      <c r="K1626" s="25"/>
      <c r="L1626" s="25"/>
      <c r="M1626" s="25"/>
      <c r="N1626" s="25"/>
      <c r="O1626" s="25"/>
    </row>
    <row r="1627" customFormat="false" ht="13.5" hidden="false" customHeight="true" outlineLevel="0" collapsed="false">
      <c r="B1627" s="10"/>
      <c r="C1627" s="10"/>
      <c r="D1627" s="10"/>
      <c r="E1627" s="10"/>
      <c r="F1627" s="10"/>
      <c r="J1627" s="25"/>
      <c r="K1627" s="25"/>
      <c r="L1627" s="25"/>
      <c r="M1627" s="25"/>
      <c r="N1627" s="25"/>
      <c r="O1627" s="25"/>
    </row>
    <row r="1628" customFormat="false" ht="13.5" hidden="false" customHeight="true" outlineLevel="0" collapsed="false">
      <c r="B1628" s="10"/>
      <c r="C1628" s="10"/>
      <c r="D1628" s="10"/>
      <c r="E1628" s="10"/>
      <c r="F1628" s="10"/>
      <c r="J1628" s="25"/>
      <c r="K1628" s="25"/>
      <c r="L1628" s="25"/>
      <c r="M1628" s="25"/>
      <c r="N1628" s="25"/>
      <c r="O1628" s="25"/>
    </row>
    <row r="1629" customFormat="false" ht="13.5" hidden="false" customHeight="true" outlineLevel="0" collapsed="false">
      <c r="B1629" s="10"/>
      <c r="C1629" s="10"/>
      <c r="D1629" s="10"/>
      <c r="E1629" s="10"/>
      <c r="F1629" s="10"/>
      <c r="J1629" s="25"/>
      <c r="K1629" s="25"/>
      <c r="L1629" s="25"/>
      <c r="M1629" s="25"/>
      <c r="N1629" s="25"/>
      <c r="O1629" s="25"/>
    </row>
    <row r="1630" customFormat="false" ht="15" hidden="false" customHeight="true" outlineLevel="0" collapsed="false">
      <c r="B1630" s="10"/>
      <c r="C1630" s="10"/>
      <c r="D1630" s="34" t="str">
        <f aca="false">IF($K$1621=0,"",INDEX(Clients!$E$2:$E$501,$K$1621)&amp;"")</f>
        <v/>
      </c>
      <c r="E1630" s="34"/>
      <c r="F1630" s="34"/>
      <c r="J1630" s="25"/>
      <c r="K1630" s="25"/>
      <c r="L1630" s="25"/>
      <c r="M1630" s="25"/>
      <c r="N1630" s="25"/>
      <c r="O1630" s="25"/>
    </row>
    <row r="1631" customFormat="false" ht="15" hidden="false" customHeight="true" outlineLevel="0" collapsed="false">
      <c r="B1631" s="10"/>
      <c r="C1631" s="10"/>
      <c r="D1631" s="35" t="str">
        <f aca="false">IF(IF($K$1621=0,"",INDEX(Clients!$D$2:$D$501,$K$1621)&amp;"")="","","À l'attention de "&amp;TRIM(IF($K$1621=0,"",INDEX(Clients!$B$2:$B$501,$K$1621)&amp;"")&amp;" "&amp;IF($K$1621=0,"",INDEX(Clients!$C$2:$C$501,$K$1621)&amp;"")&amp;" "&amp;IF($K$1621=0,"",INDEX(Clients!$D$2:$D$501,$K$1621)&amp;"")))</f>
        <v/>
      </c>
      <c r="E1631" s="35"/>
      <c r="F1631" s="35"/>
      <c r="J1631" s="25"/>
      <c r="K1631" s="25"/>
      <c r="L1631" s="25"/>
      <c r="M1631" s="25"/>
      <c r="N1631" s="25"/>
      <c r="O1631" s="25"/>
    </row>
    <row r="1632" customFormat="false" ht="15" hidden="false" customHeight="true" outlineLevel="0" collapsed="false">
      <c r="B1632" s="10"/>
      <c r="C1632" s="10"/>
      <c r="D1632" s="35" t="str">
        <f aca="false">IF($K$1621=0,"",INDEX(Clients!$F$2:$F$501,$K$1621)&amp;"")</f>
        <v/>
      </c>
      <c r="E1632" s="35"/>
      <c r="F1632" s="35"/>
      <c r="J1632" s="25"/>
      <c r="K1632" s="25"/>
      <c r="L1632" s="25"/>
      <c r="M1632" s="25"/>
      <c r="N1632" s="25"/>
      <c r="O1632" s="25"/>
    </row>
    <row r="1633" customFormat="false" ht="15" hidden="false" customHeight="true" outlineLevel="0" collapsed="false">
      <c r="B1633" s="10"/>
      <c r="C1633" s="10"/>
      <c r="D1633" s="35" t="str">
        <f aca="false">IF(IF($K$1621=0,"",INDEX(Clients!$G$2:$G$501,$K$1621)&amp;"")="",TRIM(IF($K$1621=0,"",INDEX(Clients!$H$2:$H$501,$K$1621)&amp;"")&amp;" "&amp;UPPER(IF($K$1621=0,"",INDEX(Clients!$I$2:$I$501,$K$1621)&amp;""))),IF($K$1621=0,"",INDEX(Clients!$G$2:$G$501,$K$1621)&amp;""))</f>
        <v/>
      </c>
      <c r="E1633" s="35"/>
      <c r="F1633" s="35"/>
      <c r="J1633" s="25"/>
      <c r="K1633" s="25"/>
      <c r="L1633" s="25"/>
      <c r="M1633" s="25"/>
      <c r="N1633" s="25"/>
      <c r="O1633" s="25"/>
    </row>
    <row r="1634" customFormat="false" ht="15" hidden="false" customHeight="true" outlineLevel="0" collapsed="false">
      <c r="B1634" s="10"/>
      <c r="C1634" s="10"/>
      <c r="D1634" s="35" t="str">
        <f aca="false">IF(IF($K$1621=0,"",INDEX(Clients!$G$2:$G$501,$K$1621)&amp;"")="","",TRIM(IF($K$1621=0,"",INDEX(Clients!$H$2:$H$501,$K$1621)&amp;"")&amp;" "&amp;UPPER(IF($K$1621=0,"",INDEX(Clients!$I$2:$I$501,$K$1621)&amp;""))))</f>
        <v/>
      </c>
      <c r="E1634" s="35"/>
      <c r="F1634" s="35"/>
      <c r="J1634" s="25"/>
      <c r="K1634" s="25"/>
      <c r="L1634" s="25"/>
      <c r="M1634" s="25"/>
      <c r="N1634" s="25"/>
      <c r="O1634" s="25"/>
    </row>
    <row r="1635" customFormat="false" ht="25.5" hidden="false" customHeight="true" outlineLevel="0" collapsed="false">
      <c r="B1635" s="10"/>
      <c r="C1635" s="10"/>
      <c r="D1635" s="10"/>
      <c r="E1635" s="10"/>
      <c r="F1635" s="10"/>
      <c r="J1635" s="25"/>
      <c r="K1635" s="25"/>
      <c r="L1635" s="25"/>
      <c r="M1635" s="25"/>
      <c r="N1635" s="25"/>
      <c r="O1635" s="25"/>
    </row>
    <row r="1636" customFormat="false" ht="15" hidden="false" customHeight="false" outlineLevel="0" collapsed="false">
      <c r="B1636" s="10"/>
      <c r="C1636" s="10"/>
      <c r="D1636" s="36" t="str">
        <f aca="false">Cab_Ville&amp;", le "&amp;DAY(Date_Courrier)&amp;IF(DAY(Date_Courrier)=1,"er","")&amp;" "&amp;INDEX(Liste_Mois,MONTH(Date_Courrier))&amp;" "&amp;YEAR(Date_Courrier)</f>
        <v>Le Plessis-Bouchard, le 22 septembre 2026</v>
      </c>
      <c r="E1636" s="36"/>
      <c r="F1636" s="36"/>
      <c r="J1636" s="25"/>
      <c r="K1636" s="25"/>
      <c r="L1636" s="25"/>
      <c r="M1636" s="25"/>
      <c r="N1636" s="25"/>
      <c r="O1636" s="25"/>
    </row>
    <row r="1637" customFormat="false" ht="19.5" hidden="false" customHeight="true" outlineLevel="0" collapsed="false">
      <c r="B1637" s="10"/>
      <c r="C1637" s="10"/>
      <c r="D1637" s="10"/>
      <c r="E1637" s="10"/>
      <c r="F1637" s="10"/>
      <c r="J1637" s="25"/>
      <c r="K1637" s="25"/>
      <c r="L1637" s="25"/>
      <c r="M1637" s="25"/>
      <c r="N1637" s="25"/>
      <c r="O1637" s="25"/>
    </row>
    <row r="1638" customFormat="false" ht="15" hidden="false" customHeight="false" outlineLevel="0" collapsed="false">
      <c r="B1638" s="34" t="str">
        <f aca="false">SUBSTITUTE(SUBSTITUTE(SUBSTITUTE(SUBSTITUTE(SUBSTITUTE(Txt_Objet,"{cabinet}",Cab_Nom),"{societe}",IF($K$1621=0,"",INDEX(Clients!$E$2:$E$501,$K$1621)&amp;"")),"{date_effet}",$K$1623),"{hausse}",$K$1624),"{civilite}",$K$1622)</f>
        <v>Objet : révision de nos honoraires au 1er janvier 2027</v>
      </c>
      <c r="C1638" s="34"/>
      <c r="D1638" s="34"/>
      <c r="E1638" s="34"/>
      <c r="F1638" s="34"/>
      <c r="J1638" s="25"/>
      <c r="K1638" s="25"/>
      <c r="L1638" s="25"/>
      <c r="M1638" s="25"/>
      <c r="N1638" s="25"/>
      <c r="O1638" s="25"/>
    </row>
    <row r="1639" customFormat="false" ht="13.5" hidden="false" customHeight="true" outlineLevel="0" collapsed="false">
      <c r="B1639" s="10"/>
      <c r="C1639" s="10"/>
      <c r="D1639" s="10"/>
      <c r="E1639" s="10"/>
      <c r="F1639" s="10"/>
      <c r="J1639" s="25"/>
      <c r="K1639" s="25"/>
      <c r="L1639" s="25"/>
      <c r="M1639" s="25"/>
      <c r="N1639" s="25"/>
      <c r="O1639" s="25"/>
    </row>
    <row r="1640" customFormat="false" ht="15" hidden="false" customHeight="false" outlineLevel="0" collapsed="false">
      <c r="B1640" s="10" t="str">
        <f aca="false">$K$1622&amp;","</f>
        <v>Madame, Monsieur,</v>
      </c>
      <c r="C1640" s="10"/>
      <c r="D1640" s="10"/>
      <c r="E1640" s="10"/>
      <c r="F1640" s="10"/>
      <c r="J1640" s="25"/>
      <c r="K1640" s="25"/>
      <c r="L1640" s="25"/>
      <c r="M1640" s="25"/>
      <c r="N1640" s="25"/>
      <c r="O1640" s="25"/>
    </row>
    <row r="1641" customFormat="false" ht="6" hidden="false" customHeight="true" outlineLevel="0" collapsed="false">
      <c r="B1641" s="10"/>
      <c r="C1641" s="10"/>
      <c r="D1641" s="10"/>
      <c r="E1641" s="10"/>
      <c r="F1641" s="10"/>
      <c r="J1641" s="25"/>
      <c r="K1641" s="25"/>
      <c r="L1641" s="25"/>
      <c r="M1641" s="25"/>
      <c r="N1641" s="25"/>
      <c r="O1641" s="25"/>
    </row>
    <row r="1642" customFormat="false" ht="36.75" hidden="false" customHeight="true" outlineLevel="0" collapsed="false">
      <c r="B1642" s="37" t="str">
        <f aca="false">SUBSTITUTE(SUBSTITUTE(SUBSTITUTE(SUBSTITUTE(SUBSTITUTE(Txt_P1,"{cabinet}",Cab_Nom),"{societe}",IF($K$1621=0,"",INDEX(Clients!$E$2:$E$501,$K$1621)&amp;"")),"{date_effet}",$K$1623),"{hausse}",$K$1624),"{civilite}",$K$1622)</f>
        <v>Nous tenons tout d'abord à vous remercier pour la confiance que vous accordez à ALTHO EXPERTISE. Comme chaque année, et conformément aux dispositions de votre lettre de mission, nous procédons à la révision de nos honoraires.</v>
      </c>
      <c r="C1642" s="37"/>
      <c r="D1642" s="37"/>
      <c r="E1642" s="37"/>
      <c r="F1642" s="37"/>
      <c r="J1642" s="25"/>
      <c r="K1642" s="25"/>
      <c r="L1642" s="25"/>
      <c r="M1642" s="25"/>
      <c r="N1642" s="25"/>
      <c r="O1642" s="25"/>
    </row>
    <row r="1643" customFormat="false" ht="49.5" hidden="false" customHeight="true" outlineLevel="0" collapsed="false">
      <c r="B1643" s="37" t="str">
        <f aca="false">SUBSTITUTE(SUBSTITUTE(SUBSTITUTE(SUBSTITUTE(SUBSTITUTE(Txt_P2,"{cabinet}",Cab_Nom),"{societe}",IF($K$1621=0,"",INDEX(Clients!$E$2:$E$501,$K$1621)&amp;"")),"{date_effet}",$K$1623),"{hausse}",$K$1624),"{civilite}",$K$1622)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643" s="37"/>
      <c r="D1643" s="37"/>
      <c r="E1643" s="37"/>
      <c r="F1643" s="37"/>
      <c r="J1643" s="25"/>
      <c r="K1643" s="25"/>
      <c r="L1643" s="25"/>
      <c r="M1643" s="25"/>
      <c r="N1643" s="25"/>
      <c r="O1643" s="25"/>
    </row>
    <row r="1644" customFormat="false" ht="63" hidden="false" customHeight="true" outlineLevel="0" collapsed="false">
      <c r="B1644" s="37" t="str">
        <f aca="false">SUBSTITUTE(SUBSTITUTE(SUBSTITUTE(SUBSTITUTE(SUBSTITUTE(Txt_P3,"{cabinet}",Cab_Nom),"{societe}",IF($K$1621=0,"",INDEX(Clients!$E$2:$E$501,$K$1621)&amp;"")),"{date_effet}",$K$1623),"{hausse}",$K$1624),"{civilite}",$K$1622)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644" s="37"/>
      <c r="D1644" s="37"/>
      <c r="E1644" s="37"/>
      <c r="F1644" s="37"/>
      <c r="J1644" s="25"/>
      <c r="K1644" s="25"/>
      <c r="L1644" s="25"/>
      <c r="M1644" s="25"/>
      <c r="N1644" s="25"/>
      <c r="O1644" s="25"/>
    </row>
    <row r="1645" customFormat="false" ht="24" hidden="false" customHeight="true" outlineLevel="0" collapsed="false">
      <c r="B1645" s="37" t="str">
        <f aca="false">SUBSTITUTE(SUBSTITUTE(SUBSTITUTE(SUBSTITUTE(SUBSTITUTE(Txt_P4,"{cabinet}",Cab_Nom),"{societe}",IF($K$1621=0,"",INDEX(Clients!$E$2:$E$501,$K$1621)&amp;"")),"{date_effet}",$K$1623),"{hausse}",$K$1624),"{civilite}",$K$1622)</f>
        <v>À compter du 1er janvier 2027, vos honoraires annuels hors taxes évolueront ainsi (évolution globale : ) :</v>
      </c>
      <c r="C1645" s="37"/>
      <c r="D1645" s="37"/>
      <c r="E1645" s="37"/>
      <c r="F1645" s="37"/>
      <c r="J1645" s="25"/>
      <c r="K1645" s="25"/>
      <c r="L1645" s="25"/>
      <c r="M1645" s="25"/>
      <c r="N1645" s="25"/>
      <c r="O1645" s="25"/>
    </row>
    <row r="1646" customFormat="false" ht="3.75" hidden="false" customHeight="true" outlineLevel="0" collapsed="false">
      <c r="B1646" s="10"/>
      <c r="C1646" s="10"/>
      <c r="D1646" s="10"/>
      <c r="E1646" s="10"/>
      <c r="F1646" s="10"/>
      <c r="J1646" s="25"/>
      <c r="K1646" s="25"/>
      <c r="L1646" s="25"/>
      <c r="M1646" s="25"/>
      <c r="N1646" s="25"/>
      <c r="O1646" s="25"/>
    </row>
    <row r="1647" customFormat="false" ht="18" hidden="false" customHeight="true" outlineLevel="0" collapsed="false">
      <c r="B1647" s="38" t="s">
        <v>148</v>
      </c>
      <c r="C1647" s="39" t="s">
        <v>149</v>
      </c>
      <c r="D1647" s="39" t="s">
        <v>150</v>
      </c>
      <c r="E1647" s="39" t="s">
        <v>151</v>
      </c>
      <c r="F1647" s="39" t="s">
        <v>109</v>
      </c>
      <c r="J1647" s="25" t="s">
        <v>152</v>
      </c>
      <c r="K1647" s="25" t="s">
        <v>153</v>
      </c>
      <c r="L1647" s="25" t="s">
        <v>154</v>
      </c>
      <c r="M1647" s="25" t="s">
        <v>155</v>
      </c>
      <c r="N1647" s="25" t="s">
        <v>156</v>
      </c>
      <c r="O1647" s="25" t="s">
        <v>157</v>
      </c>
    </row>
    <row r="1648" customFormat="false" ht="16.5" hidden="false" customHeight="true" outlineLevel="0" collapsed="false">
      <c r="B1648" s="40" t="str">
        <f aca="false">IFERROR(INDEX($J$1648:$J$1651,MATCH($O1648,$N$1648:$N$1651,0)),"")</f>
        <v/>
      </c>
      <c r="C1648" s="41" t="str">
        <f aca="false">IFERROR(INDEX($K$1648:$K$1651,MATCH($O1648,$N$1648:$N$1651,0)),"")</f>
        <v/>
      </c>
      <c r="D1648" s="42" t="str">
        <f aca="false">IF(OR(E1648="",N(C1648)=0),"",E1648/C1648-1)</f>
        <v/>
      </c>
      <c r="E1648" s="41" t="str">
        <f aca="false">IFERROR(INDEX($L$1648:$L$1651,MATCH($O1648,$N$1648:$N$1651,0)),"")</f>
        <v/>
      </c>
      <c r="F1648" s="41" t="str">
        <f aca="false">IF(E1648="","",E1648-C1648)</f>
        <v/>
      </c>
      <c r="J1648" s="25" t="str">
        <f aca="false">Lib_Compta</f>
        <v>Mission comptable (tenue, révision, bilan, liasse fiscale)</v>
      </c>
      <c r="K1648" s="25" t="n">
        <f aca="false">IF($K$1621=0,0,N(INDEX(Clients!$K$2:$K$501,$K$1621)))</f>
        <v>0</v>
      </c>
      <c r="L1648" s="25" t="n">
        <f aca="false">IF($K$1621=0,0,N(INDEX(Clients!$P$2:$P$501,$K$1621)))</f>
        <v>0</v>
      </c>
      <c r="M1648" s="25" t="n">
        <f aca="false">IF(OR(K1648&lt;&gt;0,L1648&lt;&gt;0),1,0)</f>
        <v>0</v>
      </c>
      <c r="N1648" s="25" t="str">
        <f aca="false">IF(M1648=1,SUM($M$1648:M1648),"")</f>
        <v/>
      </c>
      <c r="O1648" s="25" t="n">
        <v>1</v>
      </c>
    </row>
    <row r="1649" customFormat="false" ht="16.5" hidden="false" customHeight="true" outlineLevel="0" collapsed="false">
      <c r="B1649" s="40" t="str">
        <f aca="false">IFERROR(INDEX($J$1648:$J$1651,MATCH($O1649,$N$1648:$N$1651,0)),"")</f>
        <v/>
      </c>
      <c r="C1649" s="41" t="str">
        <f aca="false">IFERROR(INDEX($K$1648:$K$1651,MATCH($O1649,$N$1648:$N$1651,0)),"")</f>
        <v/>
      </c>
      <c r="D1649" s="42" t="str">
        <f aca="false">IF(OR(E1649="",N(C1649)=0),"",E1649/C1649-1)</f>
        <v/>
      </c>
      <c r="E1649" s="41" t="str">
        <f aca="false">IFERROR(INDEX($L$1648:$L$1651,MATCH($O1649,$N$1648:$N$1651,0)),"")</f>
        <v/>
      </c>
      <c r="F1649" s="41" t="str">
        <f aca="false">IF(E1649="","",E1649-C1649)</f>
        <v/>
      </c>
      <c r="J1649" s="25" t="str">
        <f aca="false">Lib_Paye</f>
        <v>Mission sociale (bulletins de paie, DSN, déclarations sociales)</v>
      </c>
      <c r="K1649" s="25" t="n">
        <f aca="false">IF($K$1621=0,0,N(INDEX(Clients!$L$2:$L$501,$K$1621)))</f>
        <v>0</v>
      </c>
      <c r="L1649" s="25" t="n">
        <f aca="false">IF($K$1621=0,0,N(INDEX(Clients!$Q$2:$Q$501,$K$1621)))</f>
        <v>0</v>
      </c>
      <c r="M1649" s="25" t="n">
        <f aca="false">IF(OR(K1649&lt;&gt;0,L1649&lt;&gt;0),1,0)</f>
        <v>0</v>
      </c>
      <c r="N1649" s="25" t="str">
        <f aca="false">IF(M1649=1,SUM($M$1648:M1649),"")</f>
        <v/>
      </c>
      <c r="O1649" s="25" t="n">
        <v>2</v>
      </c>
    </row>
    <row r="1650" customFormat="false" ht="16.5" hidden="false" customHeight="true" outlineLevel="0" collapsed="false">
      <c r="B1650" s="40" t="str">
        <f aca="false">IFERROR(INDEX($J$1648:$J$1651,MATCH($O1650,$N$1648:$N$1651,0)),"")</f>
        <v/>
      </c>
      <c r="C1650" s="41" t="str">
        <f aca="false">IFERROR(INDEX($K$1648:$K$1651,MATCH($O1650,$N$1648:$N$1651,0)),"")</f>
        <v/>
      </c>
      <c r="D1650" s="42" t="str">
        <f aca="false">IF(OR(E1650="",N(C1650)=0),"",E1650/C1650-1)</f>
        <v/>
      </c>
      <c r="E1650" s="41" t="str">
        <f aca="false">IFERROR(INDEX($L$1648:$L$1651,MATCH($O1650,$N$1648:$N$1651,0)),"")</f>
        <v/>
      </c>
      <c r="F1650" s="41" t="str">
        <f aca="false">IF(E1650="","",E1650-C1650)</f>
        <v/>
      </c>
      <c r="J1650" s="25" t="str">
        <f aca="false">Lib_Jur</f>
        <v>Mission juridique (approbation des comptes, secrétariat juridique)</v>
      </c>
      <c r="K1650" s="25" t="n">
        <f aca="false">IF($K$1621=0,0,N(INDEX(Clients!$M$2:$M$501,$K$1621)))</f>
        <v>0</v>
      </c>
      <c r="L1650" s="25" t="n">
        <f aca="false">IF($K$1621=0,0,N(INDEX(Clients!$R$2:$R$501,$K$1621)))</f>
        <v>0</v>
      </c>
      <c r="M1650" s="25" t="n">
        <f aca="false">IF(OR(K1650&lt;&gt;0,L1650&lt;&gt;0),1,0)</f>
        <v>0</v>
      </c>
      <c r="N1650" s="25" t="str">
        <f aca="false">IF(M1650=1,SUM($M$1648:M1650),"")</f>
        <v/>
      </c>
      <c r="O1650" s="25" t="n">
        <v>3</v>
      </c>
    </row>
    <row r="1651" customFormat="false" ht="16.5" hidden="false" customHeight="true" outlineLevel="0" collapsed="false">
      <c r="B1651" s="40" t="str">
        <f aca="false">IFERROR(INDEX($J$1648:$J$1651,MATCH($O1651,$N$1648:$N$1651,0)),"")</f>
        <v/>
      </c>
      <c r="C1651" s="41" t="str">
        <f aca="false">IFERROR(INDEX($K$1648:$K$1651,MATCH($O1651,$N$1648:$N$1651,0)),"")</f>
        <v/>
      </c>
      <c r="D1651" s="42" t="str">
        <f aca="false">IF(OR(E1651="",N(C1651)=0),"",E1651/C1651-1)</f>
        <v/>
      </c>
      <c r="E1651" s="41" t="str">
        <f aca="false">IFERROR(INDEX($L$1648:$L$1651,MATCH($O1651,$N$1648:$N$1651,0)),"")</f>
        <v/>
      </c>
      <c r="F1651" s="41" t="str">
        <f aca="false">IF(E1651="","",E1651-C1651)</f>
        <v/>
      </c>
      <c r="J1651" s="25" t="str">
        <f aca="false">Lib_PA</f>
        <v>Plateforme agréée – facturation électronique</v>
      </c>
      <c r="K1651" s="25" t="n">
        <f aca="false">IF($K$1621=0,0,N(INDEX(Clients!$N$2:$N$501,$K$1621)))</f>
        <v>0</v>
      </c>
      <c r="L1651" s="25" t="n">
        <f aca="false">IF($K$1621=0,0,N(INDEX(Clients!$S$2:$S$501,$K$1621)))</f>
        <v>0</v>
      </c>
      <c r="M1651" s="25" t="n">
        <f aca="false">IF(OR(K1651&lt;&gt;0,L1651&lt;&gt;0),1,0)</f>
        <v>0</v>
      </c>
      <c r="N1651" s="25" t="str">
        <f aca="false">IF(M1651=1,SUM($M$1648:M1651),"")</f>
        <v/>
      </c>
      <c r="O1651" s="25" t="n">
        <v>4</v>
      </c>
    </row>
    <row r="1652" customFormat="false" ht="18" hidden="false" customHeight="true" outlineLevel="0" collapsed="false">
      <c r="B1652" s="43" t="s">
        <v>158</v>
      </c>
      <c r="C1652" s="44" t="n">
        <f aca="false">SUM(K1648:K1651)</f>
        <v>0</v>
      </c>
      <c r="D1652" s="45" t="str">
        <f aca="false">IF(N(C1652)=0,"",E1652/C1652-1)</f>
        <v/>
      </c>
      <c r="E1652" s="44" t="n">
        <f aca="false">SUM(L1648:L1651)</f>
        <v>0</v>
      </c>
      <c r="F1652" s="44" t="n">
        <f aca="false">E1652-C1652</f>
        <v>0</v>
      </c>
    </row>
    <row r="1653" customFormat="false" ht="15" hidden="false" customHeight="false" outlineLevel="0" collapsed="false">
      <c r="B1653" s="46" t="str">
        <f aca="false">IF(N(Nb_Mensualites)=0,"","Soit "&amp;FIXED(E1652/Nb_Mensualites,2)&amp;" € HT par échéance ("&amp;Nb_Mensualites&amp;" échéances), "&amp;FIXED(E1652/Nb_Mensualites*(1+Taux_TVA),2)&amp;" € TTC.")</f>
        <v>Soit 0.00 € HT par échéance (12 échéances), 0.00 € TTC.</v>
      </c>
      <c r="C1653" s="46"/>
      <c r="D1653" s="46"/>
      <c r="E1653" s="46"/>
      <c r="F1653" s="46"/>
    </row>
    <row r="1654" customFormat="false" ht="7.5" hidden="false" customHeight="true" outlineLevel="0" collapsed="false">
      <c r="B1654" s="10"/>
      <c r="C1654" s="10"/>
      <c r="D1654" s="10"/>
      <c r="E1654" s="10"/>
      <c r="F1654" s="10"/>
    </row>
    <row r="1655" customFormat="false" ht="36.75" hidden="false" customHeight="true" outlineLevel="0" collapsed="false">
      <c r="B1655" s="37" t="str">
        <f aca="false">SUBSTITUTE(SUBSTITUTE(SUBSTITUTE(SUBSTITUTE(SUBSTITUTE(Txt_P5,"{cabinet}",Cab_Nom),"{societe}",IF($K$1621=0,"",INDEX(Clients!$E$2:$E$501,$K$1621)&amp;"")),"{date_effet}",$K$1623),"{hausse}",$K$1624),"{civilite}",$K$1622)</f>
        <v>Les autres conditions de votre lettre de mission demeurent inchangées. Les nouveaux montants seront appliqués automatiquement sur vos prochaines factures et échéances de prélèvement.</v>
      </c>
      <c r="C1655" s="37"/>
      <c r="D1655" s="37"/>
      <c r="E1655" s="37"/>
      <c r="F1655" s="37"/>
    </row>
    <row r="1656" customFormat="false" ht="36.75" hidden="false" customHeight="true" outlineLevel="0" collapsed="false">
      <c r="B1656" s="37" t="str">
        <f aca="false">SUBSTITUTE(SUBSTITUTE(SUBSTITUTE(SUBSTITUTE(SUBSTITUTE(Txt_P6,"{cabinet}",Cab_Nom),"{societe}",IF($K$1621=0,"",INDEX(Clients!$E$2:$E$501,$K$1621)&amp;"")),"{date_effet}",$K$1623),"{hausse}",$K$1624),"{civilite}",$K$1622)</f>
        <v>Votre interlocuteur habituel reste à votre entière disposition pour répondre à vos questions et faire le point sur l'évolution de vos besoins.</v>
      </c>
      <c r="C1656" s="37"/>
      <c r="D1656" s="37"/>
      <c r="E1656" s="37"/>
      <c r="F1656" s="37"/>
    </row>
    <row r="1657" customFormat="false" ht="24" hidden="false" customHeight="true" outlineLevel="0" collapsed="false">
      <c r="B1657" s="37" t="str">
        <f aca="false">SUBSTITUTE(SUBSTITUTE(SUBSTITUTE(SUBSTITUTE(SUBSTITUTE(Txt_Politesse,"{cabinet}",Cab_Nom),"{societe}",IF($K$1621=0,"",INDEX(Clients!$E$2:$E$501,$K$1621)&amp;"")),"{date_effet}",$K$1623),"{hausse}",$K$1624),"{civilite}",$K$1622)</f>
        <v>Nous vous prions d'agréer, Madame, Monsieur, l'expression de nos salutations distinguées.</v>
      </c>
      <c r="C1657" s="37"/>
      <c r="D1657" s="37"/>
      <c r="E1657" s="37"/>
      <c r="F1657" s="37"/>
    </row>
    <row r="1658" customFormat="false" ht="15" hidden="false" customHeight="false" outlineLevel="0" collapsed="false">
      <c r="B1658" s="10"/>
      <c r="C1658" s="10"/>
      <c r="D1658" s="10"/>
      <c r="E1658" s="10"/>
      <c r="F1658" s="10"/>
    </row>
    <row r="1659" customFormat="false" ht="15" hidden="false" customHeight="false" outlineLevel="0" collapsed="false">
      <c r="B1659" s="10"/>
      <c r="C1659" s="10"/>
      <c r="D1659" s="34" t="str">
        <f aca="false">Signataire</f>
        <v>Prénom NOM</v>
      </c>
      <c r="E1659" s="34"/>
      <c r="F1659" s="34"/>
    </row>
    <row r="1660" customFormat="false" ht="15" hidden="false" customHeight="false" outlineLevel="0" collapsed="false">
      <c r="B1660" s="10"/>
      <c r="C1660" s="10"/>
      <c r="D1660" s="47" t="str">
        <f aca="false">Signataire_Titre</f>
        <v>Expert-comptable associé</v>
      </c>
      <c r="E1660" s="47"/>
      <c r="F1660" s="47"/>
    </row>
    <row r="1661" customFormat="false" ht="15.75" hidden="false" customHeight="true" outlineLevel="0" collapsed="false">
      <c r="B1661" s="10"/>
      <c r="C1661" s="10"/>
      <c r="D1661" s="10"/>
      <c r="E1661" s="10"/>
      <c r="F1661" s="10"/>
    </row>
    <row r="1662" customFormat="false" ht="15.75" hidden="false" customHeight="true" outlineLevel="0" collapsed="false">
      <c r="B1662" s="10"/>
      <c r="C1662" s="10"/>
      <c r="D1662" s="10"/>
      <c r="E1662" s="10"/>
      <c r="F1662" s="10"/>
    </row>
    <row r="1663" customFormat="false" ht="15.75" hidden="false" customHeight="true" outlineLevel="0" collapsed="false">
      <c r="B1663" s="10"/>
      <c r="C1663" s="10"/>
      <c r="D1663" s="10"/>
      <c r="E1663" s="10"/>
      <c r="F1663" s="10"/>
    </row>
    <row r="1664" customFormat="false" ht="15.75" hidden="false" customHeight="true" outlineLevel="0" collapsed="false">
      <c r="B1664" s="10"/>
      <c r="C1664" s="10"/>
      <c r="D1664" s="10"/>
      <c r="E1664" s="10"/>
      <c r="F1664" s="10"/>
    </row>
    <row r="1665" customFormat="false" ht="24" hidden="false" customHeight="true" outlineLevel="0" collapsed="false">
      <c r="B1665" s="48" t="str">
        <f aca="false">Cab_Mentions</f>
        <v>ALTHO EXPERTISE · SAS au capital de 10 000 € · RCS Pontoise 919 706 325 · TVA FR62919706325 · Société d'expertise comptable inscrite au Tableau de l'Ordre des experts-comptables de Paris Île-de-France</v>
      </c>
      <c r="C1665" s="48"/>
      <c r="D1665" s="48"/>
      <c r="E1665" s="48"/>
      <c r="F1665" s="48"/>
    </row>
    <row r="1666" customFormat="false" ht="15" hidden="false" customHeight="false" outlineLevel="0" collapsed="false">
      <c r="B1666" s="10"/>
      <c r="C1666" s="10"/>
      <c r="D1666" s="10"/>
      <c r="E1666" s="10"/>
      <c r="F1666" s="10"/>
      <c r="J1666" s="25" t="s">
        <v>142</v>
      </c>
      <c r="K1666" s="25" t="n">
        <f aca="false">IFERROR(MATCH(38,Clients!$Z$2:$Z$501,0),0)</f>
        <v>0</v>
      </c>
      <c r="L1666" s="25"/>
      <c r="M1666" s="25"/>
      <c r="N1666" s="25"/>
      <c r="O1666" s="25"/>
    </row>
    <row r="1667" customFormat="false" ht="21.75" hidden="false" customHeight="true" outlineLevel="0" collapsed="false">
      <c r="B1667" s="26" t="str">
        <f aca="false">Cab_Nom</f>
        <v>ALTHO EXPERTISE</v>
      </c>
      <c r="C1667" s="26"/>
      <c r="D1667" s="10"/>
      <c r="E1667" s="27" t="str">
        <f aca="false">IF($K$1666=0,"","Réf. client : "&amp;INDEX(Clients!$A$2:$A$501,$K$1666))</f>
        <v/>
      </c>
      <c r="F1667" s="27"/>
      <c r="J1667" s="25" t="s">
        <v>144</v>
      </c>
      <c r="K1667" s="25" t="str">
        <f aca="false">IF(IF($K$1666=0,"",INDEX(Clients!$B$2:$B$501,$K$1666)&amp;"")="Mme","Madame",IF(IF($K$1666=0,"",INDEX(Clients!$B$2:$B$501,$K$1666)&amp;"")="M.","Monsieur","Madame, Monsieur"))</f>
        <v>Madame, Monsieur</v>
      </c>
      <c r="L1667" s="25"/>
      <c r="M1667" s="25"/>
      <c r="N1667" s="25"/>
      <c r="O1667" s="25"/>
    </row>
    <row r="1668" customFormat="false" ht="15" hidden="false" customHeight="false" outlineLevel="0" collapsed="false">
      <c r="B1668" s="29" t="str">
        <f aca="false">Cab_Adr1</f>
        <v>141 rue Charles de Gaulle</v>
      </c>
      <c r="C1668" s="29"/>
      <c r="D1668" s="10"/>
      <c r="E1668" s="10"/>
      <c r="F1668" s="10"/>
      <c r="J1668" s="25" t="s">
        <v>145</v>
      </c>
      <c r="K1668" s="25" t="str">
        <f aca="false">DAY(Date_Effet)&amp;IF(DAY(Date_Effet)=1,"er","")&amp;" "&amp;INDEX(Liste_Mois,MONTH(Date_Effet))&amp;" "&amp;YEAR(Date_Effet)</f>
        <v>1er janvier 2027</v>
      </c>
      <c r="L1668" s="25"/>
      <c r="M1668" s="25"/>
      <c r="N1668" s="25"/>
      <c r="O1668" s="25"/>
    </row>
    <row r="1669" customFormat="false" ht="15" hidden="false" customHeight="false" outlineLevel="0" collapsed="false">
      <c r="B1669" s="29" t="str">
        <f aca="false">Cab_CPVille</f>
        <v>95130 LE PLESSIS-BOUCHARD</v>
      </c>
      <c r="C1669" s="29"/>
      <c r="D1669" s="10"/>
      <c r="E1669" s="10"/>
      <c r="F1669" s="10"/>
      <c r="J1669" s="25" t="s">
        <v>146</v>
      </c>
      <c r="K1669" s="25" t="str">
        <f aca="false">IF(SUM($K$1693:$K$1696)=0,"",FIXED((SUM($L$1693:$L$1696)/SUM($K$1693:$K$1696)-1)*100,1)&amp;" %")</f>
        <v/>
      </c>
      <c r="L1669" s="25"/>
      <c r="M1669" s="25"/>
      <c r="N1669" s="25"/>
      <c r="O1669" s="25"/>
    </row>
    <row r="1670" customFormat="false" ht="15" hidden="false" customHeight="false" outlineLevel="0" collapsed="false">
      <c r="B1670" s="29" t="str">
        <f aca="false">Cab_Contact</f>
        <v>Tél. 01 34 14 53 45  ·  altho@altho-experts.com  ·  altho-experts.com</v>
      </c>
      <c r="C1670" s="29"/>
      <c r="D1670" s="10"/>
      <c r="E1670" s="10"/>
      <c r="F1670" s="10"/>
      <c r="J1670" s="25"/>
      <c r="K1670" s="25"/>
      <c r="L1670" s="25"/>
      <c r="M1670" s="25"/>
      <c r="N1670" s="25"/>
      <c r="O1670" s="25"/>
    </row>
    <row r="1671" customFormat="false" ht="6" hidden="false" customHeight="true" outlineLevel="0" collapsed="false">
      <c r="B1671" s="32"/>
      <c r="C1671" s="32"/>
      <c r="D1671" s="32"/>
      <c r="E1671" s="32"/>
      <c r="F1671" s="32"/>
      <c r="J1671" s="25"/>
      <c r="K1671" s="25"/>
      <c r="L1671" s="25"/>
      <c r="M1671" s="25"/>
      <c r="N1671" s="25"/>
      <c r="O1671" s="25"/>
    </row>
    <row r="1672" customFormat="false" ht="13.5" hidden="false" customHeight="true" outlineLevel="0" collapsed="false">
      <c r="B1672" s="10"/>
      <c r="C1672" s="10"/>
      <c r="D1672" s="10"/>
      <c r="E1672" s="10"/>
      <c r="F1672" s="10"/>
      <c r="J1672" s="25"/>
      <c r="K1672" s="25"/>
      <c r="L1672" s="25"/>
      <c r="M1672" s="25"/>
      <c r="N1672" s="25"/>
      <c r="O1672" s="25"/>
    </row>
    <row r="1673" customFormat="false" ht="13.5" hidden="false" customHeight="true" outlineLevel="0" collapsed="false">
      <c r="B1673" s="10"/>
      <c r="C1673" s="10"/>
      <c r="D1673" s="10"/>
      <c r="E1673" s="10"/>
      <c r="F1673" s="10"/>
      <c r="J1673" s="25"/>
      <c r="K1673" s="25"/>
      <c r="L1673" s="25"/>
      <c r="M1673" s="25"/>
      <c r="N1673" s="25"/>
      <c r="O1673" s="25"/>
    </row>
    <row r="1674" customFormat="false" ht="13.5" hidden="false" customHeight="true" outlineLevel="0" collapsed="false">
      <c r="B1674" s="10"/>
      <c r="C1674" s="10"/>
      <c r="D1674" s="10"/>
      <c r="E1674" s="10"/>
      <c r="F1674" s="10"/>
      <c r="J1674" s="25"/>
      <c r="K1674" s="25"/>
      <c r="L1674" s="25"/>
      <c r="M1674" s="25"/>
      <c r="N1674" s="25"/>
      <c r="O1674" s="25"/>
    </row>
    <row r="1675" customFormat="false" ht="15" hidden="false" customHeight="true" outlineLevel="0" collapsed="false">
      <c r="B1675" s="10"/>
      <c r="C1675" s="10"/>
      <c r="D1675" s="34" t="str">
        <f aca="false">IF($K$1666=0,"",INDEX(Clients!$E$2:$E$501,$K$1666)&amp;"")</f>
        <v/>
      </c>
      <c r="E1675" s="34"/>
      <c r="F1675" s="34"/>
      <c r="J1675" s="25"/>
      <c r="K1675" s="25"/>
      <c r="L1675" s="25"/>
      <c r="M1675" s="25"/>
      <c r="N1675" s="25"/>
      <c r="O1675" s="25"/>
    </row>
    <row r="1676" customFormat="false" ht="15" hidden="false" customHeight="true" outlineLevel="0" collapsed="false">
      <c r="B1676" s="10"/>
      <c r="C1676" s="10"/>
      <c r="D1676" s="35" t="str">
        <f aca="false">IF(IF($K$1666=0,"",INDEX(Clients!$D$2:$D$501,$K$1666)&amp;"")="","","À l'attention de "&amp;TRIM(IF($K$1666=0,"",INDEX(Clients!$B$2:$B$501,$K$1666)&amp;"")&amp;" "&amp;IF($K$1666=0,"",INDEX(Clients!$C$2:$C$501,$K$1666)&amp;"")&amp;" "&amp;IF($K$1666=0,"",INDEX(Clients!$D$2:$D$501,$K$1666)&amp;"")))</f>
        <v/>
      </c>
      <c r="E1676" s="35"/>
      <c r="F1676" s="35"/>
      <c r="J1676" s="25"/>
      <c r="K1676" s="25"/>
      <c r="L1676" s="25"/>
      <c r="M1676" s="25"/>
      <c r="N1676" s="25"/>
      <c r="O1676" s="25"/>
    </row>
    <row r="1677" customFormat="false" ht="15" hidden="false" customHeight="true" outlineLevel="0" collapsed="false">
      <c r="B1677" s="10"/>
      <c r="C1677" s="10"/>
      <c r="D1677" s="35" t="str">
        <f aca="false">IF($K$1666=0,"",INDEX(Clients!$F$2:$F$501,$K$1666)&amp;"")</f>
        <v/>
      </c>
      <c r="E1677" s="35"/>
      <c r="F1677" s="35"/>
      <c r="J1677" s="25"/>
      <c r="K1677" s="25"/>
      <c r="L1677" s="25"/>
      <c r="M1677" s="25"/>
      <c r="N1677" s="25"/>
      <c r="O1677" s="25"/>
    </row>
    <row r="1678" customFormat="false" ht="15" hidden="false" customHeight="true" outlineLevel="0" collapsed="false">
      <c r="B1678" s="10"/>
      <c r="C1678" s="10"/>
      <c r="D1678" s="35" t="str">
        <f aca="false">IF(IF($K$1666=0,"",INDEX(Clients!$G$2:$G$501,$K$1666)&amp;"")="",TRIM(IF($K$1666=0,"",INDEX(Clients!$H$2:$H$501,$K$1666)&amp;"")&amp;" "&amp;UPPER(IF($K$1666=0,"",INDEX(Clients!$I$2:$I$501,$K$1666)&amp;""))),IF($K$1666=0,"",INDEX(Clients!$G$2:$G$501,$K$1666)&amp;""))</f>
        <v/>
      </c>
      <c r="E1678" s="35"/>
      <c r="F1678" s="35"/>
      <c r="J1678" s="25"/>
      <c r="K1678" s="25"/>
      <c r="L1678" s="25"/>
      <c r="M1678" s="25"/>
      <c r="N1678" s="25"/>
      <c r="O1678" s="25"/>
    </row>
    <row r="1679" customFormat="false" ht="15" hidden="false" customHeight="true" outlineLevel="0" collapsed="false">
      <c r="B1679" s="10"/>
      <c r="C1679" s="10"/>
      <c r="D1679" s="35" t="str">
        <f aca="false">IF(IF($K$1666=0,"",INDEX(Clients!$G$2:$G$501,$K$1666)&amp;"")="","",TRIM(IF($K$1666=0,"",INDEX(Clients!$H$2:$H$501,$K$1666)&amp;"")&amp;" "&amp;UPPER(IF($K$1666=0,"",INDEX(Clients!$I$2:$I$501,$K$1666)&amp;""))))</f>
        <v/>
      </c>
      <c r="E1679" s="35"/>
      <c r="F1679" s="35"/>
      <c r="J1679" s="25"/>
      <c r="K1679" s="25"/>
      <c r="L1679" s="25"/>
      <c r="M1679" s="25"/>
      <c r="N1679" s="25"/>
      <c r="O1679" s="25"/>
    </row>
    <row r="1680" customFormat="false" ht="25.5" hidden="false" customHeight="true" outlineLevel="0" collapsed="false">
      <c r="B1680" s="10"/>
      <c r="C1680" s="10"/>
      <c r="D1680" s="10"/>
      <c r="E1680" s="10"/>
      <c r="F1680" s="10"/>
      <c r="J1680" s="25"/>
      <c r="K1680" s="25"/>
      <c r="L1680" s="25"/>
      <c r="M1680" s="25"/>
      <c r="N1680" s="25"/>
      <c r="O1680" s="25"/>
    </row>
    <row r="1681" customFormat="false" ht="15" hidden="false" customHeight="false" outlineLevel="0" collapsed="false">
      <c r="B1681" s="10"/>
      <c r="C1681" s="10"/>
      <c r="D1681" s="36" t="str">
        <f aca="false">Cab_Ville&amp;", le "&amp;DAY(Date_Courrier)&amp;IF(DAY(Date_Courrier)=1,"er","")&amp;" "&amp;INDEX(Liste_Mois,MONTH(Date_Courrier))&amp;" "&amp;YEAR(Date_Courrier)</f>
        <v>Le Plessis-Bouchard, le 22 septembre 2026</v>
      </c>
      <c r="E1681" s="36"/>
      <c r="F1681" s="36"/>
      <c r="J1681" s="25"/>
      <c r="K1681" s="25"/>
      <c r="L1681" s="25"/>
      <c r="M1681" s="25"/>
      <c r="N1681" s="25"/>
      <c r="O1681" s="25"/>
    </row>
    <row r="1682" customFormat="false" ht="19.5" hidden="false" customHeight="true" outlineLevel="0" collapsed="false">
      <c r="B1682" s="10"/>
      <c r="C1682" s="10"/>
      <c r="D1682" s="10"/>
      <c r="E1682" s="10"/>
      <c r="F1682" s="10"/>
      <c r="J1682" s="25"/>
      <c r="K1682" s="25"/>
      <c r="L1682" s="25"/>
      <c r="M1682" s="25"/>
      <c r="N1682" s="25"/>
      <c r="O1682" s="25"/>
    </row>
    <row r="1683" customFormat="false" ht="15" hidden="false" customHeight="false" outlineLevel="0" collapsed="false">
      <c r="B1683" s="34" t="str">
        <f aca="false">SUBSTITUTE(SUBSTITUTE(SUBSTITUTE(SUBSTITUTE(SUBSTITUTE(Txt_Objet,"{cabinet}",Cab_Nom),"{societe}",IF($K$1666=0,"",INDEX(Clients!$E$2:$E$501,$K$1666)&amp;"")),"{date_effet}",$K$1668),"{hausse}",$K$1669),"{civilite}",$K$1667)</f>
        <v>Objet : révision de nos honoraires au 1er janvier 2027</v>
      </c>
      <c r="C1683" s="34"/>
      <c r="D1683" s="34"/>
      <c r="E1683" s="34"/>
      <c r="F1683" s="34"/>
      <c r="J1683" s="25"/>
      <c r="K1683" s="25"/>
      <c r="L1683" s="25"/>
      <c r="M1683" s="25"/>
      <c r="N1683" s="25"/>
      <c r="O1683" s="25"/>
    </row>
    <row r="1684" customFormat="false" ht="13.5" hidden="false" customHeight="true" outlineLevel="0" collapsed="false">
      <c r="B1684" s="10"/>
      <c r="C1684" s="10"/>
      <c r="D1684" s="10"/>
      <c r="E1684" s="10"/>
      <c r="F1684" s="10"/>
      <c r="J1684" s="25"/>
      <c r="K1684" s="25"/>
      <c r="L1684" s="25"/>
      <c r="M1684" s="25"/>
      <c r="N1684" s="25"/>
      <c r="O1684" s="25"/>
    </row>
    <row r="1685" customFormat="false" ht="15" hidden="false" customHeight="false" outlineLevel="0" collapsed="false">
      <c r="B1685" s="10" t="str">
        <f aca="false">$K$1667&amp;","</f>
        <v>Madame, Monsieur,</v>
      </c>
      <c r="C1685" s="10"/>
      <c r="D1685" s="10"/>
      <c r="E1685" s="10"/>
      <c r="F1685" s="10"/>
      <c r="J1685" s="25"/>
      <c r="K1685" s="25"/>
      <c r="L1685" s="25"/>
      <c r="M1685" s="25"/>
      <c r="N1685" s="25"/>
      <c r="O1685" s="25"/>
    </row>
    <row r="1686" customFormat="false" ht="6" hidden="false" customHeight="true" outlineLevel="0" collapsed="false">
      <c r="B1686" s="10"/>
      <c r="C1686" s="10"/>
      <c r="D1686" s="10"/>
      <c r="E1686" s="10"/>
      <c r="F1686" s="10"/>
      <c r="J1686" s="25"/>
      <c r="K1686" s="25"/>
      <c r="L1686" s="25"/>
      <c r="M1686" s="25"/>
      <c r="N1686" s="25"/>
      <c r="O1686" s="25"/>
    </row>
    <row r="1687" customFormat="false" ht="36.75" hidden="false" customHeight="true" outlineLevel="0" collapsed="false">
      <c r="B1687" s="37" t="str">
        <f aca="false">SUBSTITUTE(SUBSTITUTE(SUBSTITUTE(SUBSTITUTE(SUBSTITUTE(Txt_P1,"{cabinet}",Cab_Nom),"{societe}",IF($K$1666=0,"",INDEX(Clients!$E$2:$E$501,$K$1666)&amp;"")),"{date_effet}",$K$1668),"{hausse}",$K$1669),"{civilite}",$K$1667)</f>
        <v>Nous tenons tout d'abord à vous remercier pour la confiance que vous accordez à ALTHO EXPERTISE. Comme chaque année, et conformément aux dispositions de votre lettre de mission, nous procédons à la révision de nos honoraires.</v>
      </c>
      <c r="C1687" s="37"/>
      <c r="D1687" s="37"/>
      <c r="E1687" s="37"/>
      <c r="F1687" s="37"/>
      <c r="J1687" s="25"/>
      <c r="K1687" s="25"/>
      <c r="L1687" s="25"/>
      <c r="M1687" s="25"/>
      <c r="N1687" s="25"/>
      <c r="O1687" s="25"/>
    </row>
    <row r="1688" customFormat="false" ht="49.5" hidden="false" customHeight="true" outlineLevel="0" collapsed="false">
      <c r="B1688" s="37" t="str">
        <f aca="false">SUBSTITUTE(SUBSTITUTE(SUBSTITUTE(SUBSTITUTE(SUBSTITUTE(Txt_P2,"{cabinet}",Cab_Nom),"{societe}",IF($K$1666=0,"",INDEX(Clients!$E$2:$E$501,$K$1666)&amp;"")),"{date_effet}",$K$1668),"{hausse}",$K$1669),"{civilite}",$K$1667)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688" s="37"/>
      <c r="D1688" s="37"/>
      <c r="E1688" s="37"/>
      <c r="F1688" s="37"/>
      <c r="J1688" s="25"/>
      <c r="K1688" s="25"/>
      <c r="L1688" s="25"/>
      <c r="M1688" s="25"/>
      <c r="N1688" s="25"/>
      <c r="O1688" s="25"/>
    </row>
    <row r="1689" customFormat="false" ht="63" hidden="false" customHeight="true" outlineLevel="0" collapsed="false">
      <c r="B1689" s="37" t="str">
        <f aca="false">SUBSTITUTE(SUBSTITUTE(SUBSTITUTE(SUBSTITUTE(SUBSTITUTE(Txt_P3,"{cabinet}",Cab_Nom),"{societe}",IF($K$1666=0,"",INDEX(Clients!$E$2:$E$501,$K$1666)&amp;"")),"{date_effet}",$K$1668),"{hausse}",$K$1669),"{civilite}",$K$1667)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689" s="37"/>
      <c r="D1689" s="37"/>
      <c r="E1689" s="37"/>
      <c r="F1689" s="37"/>
      <c r="J1689" s="25"/>
      <c r="K1689" s="25"/>
      <c r="L1689" s="25"/>
      <c r="M1689" s="25"/>
      <c r="N1689" s="25"/>
      <c r="O1689" s="25"/>
    </row>
    <row r="1690" customFormat="false" ht="24" hidden="false" customHeight="true" outlineLevel="0" collapsed="false">
      <c r="B1690" s="37" t="str">
        <f aca="false">SUBSTITUTE(SUBSTITUTE(SUBSTITUTE(SUBSTITUTE(SUBSTITUTE(Txt_P4,"{cabinet}",Cab_Nom),"{societe}",IF($K$1666=0,"",INDEX(Clients!$E$2:$E$501,$K$1666)&amp;"")),"{date_effet}",$K$1668),"{hausse}",$K$1669),"{civilite}",$K$1667)</f>
        <v>À compter du 1er janvier 2027, vos honoraires annuels hors taxes évolueront ainsi (évolution globale : ) :</v>
      </c>
      <c r="C1690" s="37"/>
      <c r="D1690" s="37"/>
      <c r="E1690" s="37"/>
      <c r="F1690" s="37"/>
      <c r="J1690" s="25"/>
      <c r="K1690" s="25"/>
      <c r="L1690" s="25"/>
      <c r="M1690" s="25"/>
      <c r="N1690" s="25"/>
      <c r="O1690" s="25"/>
    </row>
    <row r="1691" customFormat="false" ht="3.75" hidden="false" customHeight="true" outlineLevel="0" collapsed="false">
      <c r="B1691" s="10"/>
      <c r="C1691" s="10"/>
      <c r="D1691" s="10"/>
      <c r="E1691" s="10"/>
      <c r="F1691" s="10"/>
      <c r="J1691" s="25"/>
      <c r="K1691" s="25"/>
      <c r="L1691" s="25"/>
      <c r="M1691" s="25"/>
      <c r="N1691" s="25"/>
      <c r="O1691" s="25"/>
    </row>
    <row r="1692" customFormat="false" ht="18" hidden="false" customHeight="true" outlineLevel="0" collapsed="false">
      <c r="B1692" s="38" t="s">
        <v>148</v>
      </c>
      <c r="C1692" s="39" t="s">
        <v>149</v>
      </c>
      <c r="D1692" s="39" t="s">
        <v>150</v>
      </c>
      <c r="E1692" s="39" t="s">
        <v>151</v>
      </c>
      <c r="F1692" s="39" t="s">
        <v>109</v>
      </c>
      <c r="J1692" s="25" t="s">
        <v>152</v>
      </c>
      <c r="K1692" s="25" t="s">
        <v>153</v>
      </c>
      <c r="L1692" s="25" t="s">
        <v>154</v>
      </c>
      <c r="M1692" s="25" t="s">
        <v>155</v>
      </c>
      <c r="N1692" s="25" t="s">
        <v>156</v>
      </c>
      <c r="O1692" s="25" t="s">
        <v>157</v>
      </c>
    </row>
    <row r="1693" customFormat="false" ht="16.5" hidden="false" customHeight="true" outlineLevel="0" collapsed="false">
      <c r="B1693" s="40" t="str">
        <f aca="false">IFERROR(INDEX($J$1693:$J$1696,MATCH($O1693,$N$1693:$N$1696,0)),"")</f>
        <v/>
      </c>
      <c r="C1693" s="41" t="str">
        <f aca="false">IFERROR(INDEX($K$1693:$K$1696,MATCH($O1693,$N$1693:$N$1696,0)),"")</f>
        <v/>
      </c>
      <c r="D1693" s="42" t="str">
        <f aca="false">IF(OR(E1693="",N(C1693)=0),"",E1693/C1693-1)</f>
        <v/>
      </c>
      <c r="E1693" s="41" t="str">
        <f aca="false">IFERROR(INDEX($L$1693:$L$1696,MATCH($O1693,$N$1693:$N$1696,0)),"")</f>
        <v/>
      </c>
      <c r="F1693" s="41" t="str">
        <f aca="false">IF(E1693="","",E1693-C1693)</f>
        <v/>
      </c>
      <c r="J1693" s="25" t="str">
        <f aca="false">Lib_Compta</f>
        <v>Mission comptable (tenue, révision, bilan, liasse fiscale)</v>
      </c>
      <c r="K1693" s="25" t="n">
        <f aca="false">IF($K$1666=0,0,N(INDEX(Clients!$K$2:$K$501,$K$1666)))</f>
        <v>0</v>
      </c>
      <c r="L1693" s="25" t="n">
        <f aca="false">IF($K$1666=0,0,N(INDEX(Clients!$P$2:$P$501,$K$1666)))</f>
        <v>0</v>
      </c>
      <c r="M1693" s="25" t="n">
        <f aca="false">IF(OR(K1693&lt;&gt;0,L1693&lt;&gt;0),1,0)</f>
        <v>0</v>
      </c>
      <c r="N1693" s="25" t="str">
        <f aca="false">IF(M1693=1,SUM($M$1693:M1693),"")</f>
        <v/>
      </c>
      <c r="O1693" s="25" t="n">
        <v>1</v>
      </c>
    </row>
    <row r="1694" customFormat="false" ht="16.5" hidden="false" customHeight="true" outlineLevel="0" collapsed="false">
      <c r="B1694" s="40" t="str">
        <f aca="false">IFERROR(INDEX($J$1693:$J$1696,MATCH($O1694,$N$1693:$N$1696,0)),"")</f>
        <v/>
      </c>
      <c r="C1694" s="41" t="str">
        <f aca="false">IFERROR(INDEX($K$1693:$K$1696,MATCH($O1694,$N$1693:$N$1696,0)),"")</f>
        <v/>
      </c>
      <c r="D1694" s="42" t="str">
        <f aca="false">IF(OR(E1694="",N(C1694)=0),"",E1694/C1694-1)</f>
        <v/>
      </c>
      <c r="E1694" s="41" t="str">
        <f aca="false">IFERROR(INDEX($L$1693:$L$1696,MATCH($O1694,$N$1693:$N$1696,0)),"")</f>
        <v/>
      </c>
      <c r="F1694" s="41" t="str">
        <f aca="false">IF(E1694="","",E1694-C1694)</f>
        <v/>
      </c>
      <c r="J1694" s="25" t="str">
        <f aca="false">Lib_Paye</f>
        <v>Mission sociale (bulletins de paie, DSN, déclarations sociales)</v>
      </c>
      <c r="K1694" s="25" t="n">
        <f aca="false">IF($K$1666=0,0,N(INDEX(Clients!$L$2:$L$501,$K$1666)))</f>
        <v>0</v>
      </c>
      <c r="L1694" s="25" t="n">
        <f aca="false">IF($K$1666=0,0,N(INDEX(Clients!$Q$2:$Q$501,$K$1666)))</f>
        <v>0</v>
      </c>
      <c r="M1694" s="25" t="n">
        <f aca="false">IF(OR(K1694&lt;&gt;0,L1694&lt;&gt;0),1,0)</f>
        <v>0</v>
      </c>
      <c r="N1694" s="25" t="str">
        <f aca="false">IF(M1694=1,SUM($M$1693:M1694),"")</f>
        <v/>
      </c>
      <c r="O1694" s="25" t="n">
        <v>2</v>
      </c>
    </row>
    <row r="1695" customFormat="false" ht="16.5" hidden="false" customHeight="true" outlineLevel="0" collapsed="false">
      <c r="B1695" s="40" t="str">
        <f aca="false">IFERROR(INDEX($J$1693:$J$1696,MATCH($O1695,$N$1693:$N$1696,0)),"")</f>
        <v/>
      </c>
      <c r="C1695" s="41" t="str">
        <f aca="false">IFERROR(INDEX($K$1693:$K$1696,MATCH($O1695,$N$1693:$N$1696,0)),"")</f>
        <v/>
      </c>
      <c r="D1695" s="42" t="str">
        <f aca="false">IF(OR(E1695="",N(C1695)=0),"",E1695/C1695-1)</f>
        <v/>
      </c>
      <c r="E1695" s="41" t="str">
        <f aca="false">IFERROR(INDEX($L$1693:$L$1696,MATCH($O1695,$N$1693:$N$1696,0)),"")</f>
        <v/>
      </c>
      <c r="F1695" s="41" t="str">
        <f aca="false">IF(E1695="","",E1695-C1695)</f>
        <v/>
      </c>
      <c r="J1695" s="25" t="str">
        <f aca="false">Lib_Jur</f>
        <v>Mission juridique (approbation des comptes, secrétariat juridique)</v>
      </c>
      <c r="K1695" s="25" t="n">
        <f aca="false">IF($K$1666=0,0,N(INDEX(Clients!$M$2:$M$501,$K$1666)))</f>
        <v>0</v>
      </c>
      <c r="L1695" s="25" t="n">
        <f aca="false">IF($K$1666=0,0,N(INDEX(Clients!$R$2:$R$501,$K$1666)))</f>
        <v>0</v>
      </c>
      <c r="M1695" s="25" t="n">
        <f aca="false">IF(OR(K1695&lt;&gt;0,L1695&lt;&gt;0),1,0)</f>
        <v>0</v>
      </c>
      <c r="N1695" s="25" t="str">
        <f aca="false">IF(M1695=1,SUM($M$1693:M1695),"")</f>
        <v/>
      </c>
      <c r="O1695" s="25" t="n">
        <v>3</v>
      </c>
    </row>
    <row r="1696" customFormat="false" ht="16.5" hidden="false" customHeight="true" outlineLevel="0" collapsed="false">
      <c r="B1696" s="40" t="str">
        <f aca="false">IFERROR(INDEX($J$1693:$J$1696,MATCH($O1696,$N$1693:$N$1696,0)),"")</f>
        <v/>
      </c>
      <c r="C1696" s="41" t="str">
        <f aca="false">IFERROR(INDEX($K$1693:$K$1696,MATCH($O1696,$N$1693:$N$1696,0)),"")</f>
        <v/>
      </c>
      <c r="D1696" s="42" t="str">
        <f aca="false">IF(OR(E1696="",N(C1696)=0),"",E1696/C1696-1)</f>
        <v/>
      </c>
      <c r="E1696" s="41" t="str">
        <f aca="false">IFERROR(INDEX($L$1693:$L$1696,MATCH($O1696,$N$1693:$N$1696,0)),"")</f>
        <v/>
      </c>
      <c r="F1696" s="41" t="str">
        <f aca="false">IF(E1696="","",E1696-C1696)</f>
        <v/>
      </c>
      <c r="J1696" s="25" t="str">
        <f aca="false">Lib_PA</f>
        <v>Plateforme agréée – facturation électronique</v>
      </c>
      <c r="K1696" s="25" t="n">
        <f aca="false">IF($K$1666=0,0,N(INDEX(Clients!$N$2:$N$501,$K$1666)))</f>
        <v>0</v>
      </c>
      <c r="L1696" s="25" t="n">
        <f aca="false">IF($K$1666=0,0,N(INDEX(Clients!$S$2:$S$501,$K$1666)))</f>
        <v>0</v>
      </c>
      <c r="M1696" s="25" t="n">
        <f aca="false">IF(OR(K1696&lt;&gt;0,L1696&lt;&gt;0),1,0)</f>
        <v>0</v>
      </c>
      <c r="N1696" s="25" t="str">
        <f aca="false">IF(M1696=1,SUM($M$1693:M1696),"")</f>
        <v/>
      </c>
      <c r="O1696" s="25" t="n">
        <v>4</v>
      </c>
    </row>
    <row r="1697" customFormat="false" ht="18" hidden="false" customHeight="true" outlineLevel="0" collapsed="false">
      <c r="B1697" s="43" t="s">
        <v>158</v>
      </c>
      <c r="C1697" s="44" t="n">
        <f aca="false">SUM(K1693:K1696)</f>
        <v>0</v>
      </c>
      <c r="D1697" s="45" t="str">
        <f aca="false">IF(N(C1697)=0,"",E1697/C1697-1)</f>
        <v/>
      </c>
      <c r="E1697" s="44" t="n">
        <f aca="false">SUM(L1693:L1696)</f>
        <v>0</v>
      </c>
      <c r="F1697" s="44" t="n">
        <f aca="false">E1697-C1697</f>
        <v>0</v>
      </c>
    </row>
    <row r="1698" customFormat="false" ht="15" hidden="false" customHeight="false" outlineLevel="0" collapsed="false">
      <c r="B1698" s="46" t="str">
        <f aca="false">IF(N(Nb_Mensualites)=0,"","Soit "&amp;FIXED(E1697/Nb_Mensualites,2)&amp;" € HT par échéance ("&amp;Nb_Mensualites&amp;" échéances), "&amp;FIXED(E1697/Nb_Mensualites*(1+Taux_TVA),2)&amp;" € TTC.")</f>
        <v>Soit 0.00 € HT par échéance (12 échéances), 0.00 € TTC.</v>
      </c>
      <c r="C1698" s="46"/>
      <c r="D1698" s="46"/>
      <c r="E1698" s="46"/>
      <c r="F1698" s="46"/>
    </row>
    <row r="1699" customFormat="false" ht="7.5" hidden="false" customHeight="true" outlineLevel="0" collapsed="false">
      <c r="B1699" s="10"/>
      <c r="C1699" s="10"/>
      <c r="D1699" s="10"/>
      <c r="E1699" s="10"/>
      <c r="F1699" s="10"/>
    </row>
    <row r="1700" customFormat="false" ht="36.75" hidden="false" customHeight="true" outlineLevel="0" collapsed="false">
      <c r="B1700" s="37" t="str">
        <f aca="false">SUBSTITUTE(SUBSTITUTE(SUBSTITUTE(SUBSTITUTE(SUBSTITUTE(Txt_P5,"{cabinet}",Cab_Nom),"{societe}",IF($K$1666=0,"",INDEX(Clients!$E$2:$E$501,$K$1666)&amp;"")),"{date_effet}",$K$1668),"{hausse}",$K$1669),"{civilite}",$K$1667)</f>
        <v>Les autres conditions de votre lettre de mission demeurent inchangées. Les nouveaux montants seront appliqués automatiquement sur vos prochaines factures et échéances de prélèvement.</v>
      </c>
      <c r="C1700" s="37"/>
      <c r="D1700" s="37"/>
      <c r="E1700" s="37"/>
      <c r="F1700" s="37"/>
    </row>
    <row r="1701" customFormat="false" ht="36.75" hidden="false" customHeight="true" outlineLevel="0" collapsed="false">
      <c r="B1701" s="37" t="str">
        <f aca="false">SUBSTITUTE(SUBSTITUTE(SUBSTITUTE(SUBSTITUTE(SUBSTITUTE(Txt_P6,"{cabinet}",Cab_Nom),"{societe}",IF($K$1666=0,"",INDEX(Clients!$E$2:$E$501,$K$1666)&amp;"")),"{date_effet}",$K$1668),"{hausse}",$K$1669),"{civilite}",$K$1667)</f>
        <v>Votre interlocuteur habituel reste à votre entière disposition pour répondre à vos questions et faire le point sur l'évolution de vos besoins.</v>
      </c>
      <c r="C1701" s="37"/>
      <c r="D1701" s="37"/>
      <c r="E1701" s="37"/>
      <c r="F1701" s="37"/>
    </row>
    <row r="1702" customFormat="false" ht="24" hidden="false" customHeight="true" outlineLevel="0" collapsed="false">
      <c r="B1702" s="37" t="str">
        <f aca="false">SUBSTITUTE(SUBSTITUTE(SUBSTITUTE(SUBSTITUTE(SUBSTITUTE(Txt_Politesse,"{cabinet}",Cab_Nom),"{societe}",IF($K$1666=0,"",INDEX(Clients!$E$2:$E$501,$K$1666)&amp;"")),"{date_effet}",$K$1668),"{hausse}",$K$1669),"{civilite}",$K$1667)</f>
        <v>Nous vous prions d'agréer, Madame, Monsieur, l'expression de nos salutations distinguées.</v>
      </c>
      <c r="C1702" s="37"/>
      <c r="D1702" s="37"/>
      <c r="E1702" s="37"/>
      <c r="F1702" s="37"/>
    </row>
    <row r="1703" customFormat="false" ht="15" hidden="false" customHeight="false" outlineLevel="0" collapsed="false">
      <c r="B1703" s="10"/>
      <c r="C1703" s="10"/>
      <c r="D1703" s="10"/>
      <c r="E1703" s="10"/>
      <c r="F1703" s="10"/>
    </row>
    <row r="1704" customFormat="false" ht="15" hidden="false" customHeight="false" outlineLevel="0" collapsed="false">
      <c r="B1704" s="10"/>
      <c r="C1704" s="10"/>
      <c r="D1704" s="34" t="str">
        <f aca="false">Signataire</f>
        <v>Prénom NOM</v>
      </c>
      <c r="E1704" s="34"/>
      <c r="F1704" s="34"/>
    </row>
    <row r="1705" customFormat="false" ht="15" hidden="false" customHeight="false" outlineLevel="0" collapsed="false">
      <c r="B1705" s="10"/>
      <c r="C1705" s="10"/>
      <c r="D1705" s="47" t="str">
        <f aca="false">Signataire_Titre</f>
        <v>Expert-comptable associé</v>
      </c>
      <c r="E1705" s="47"/>
      <c r="F1705" s="47"/>
    </row>
    <row r="1706" customFormat="false" ht="15.75" hidden="false" customHeight="true" outlineLevel="0" collapsed="false">
      <c r="B1706" s="10"/>
      <c r="C1706" s="10"/>
      <c r="D1706" s="10"/>
      <c r="E1706" s="10"/>
      <c r="F1706" s="10"/>
    </row>
    <row r="1707" customFormat="false" ht="15.75" hidden="false" customHeight="true" outlineLevel="0" collapsed="false">
      <c r="B1707" s="10"/>
      <c r="C1707" s="10"/>
      <c r="D1707" s="10"/>
      <c r="E1707" s="10"/>
      <c r="F1707" s="10"/>
    </row>
    <row r="1708" customFormat="false" ht="15.75" hidden="false" customHeight="true" outlineLevel="0" collapsed="false">
      <c r="B1708" s="10"/>
      <c r="C1708" s="10"/>
      <c r="D1708" s="10"/>
      <c r="E1708" s="10"/>
      <c r="F1708" s="10"/>
    </row>
    <row r="1709" customFormat="false" ht="15.75" hidden="false" customHeight="true" outlineLevel="0" collapsed="false">
      <c r="B1709" s="10"/>
      <c r="C1709" s="10"/>
      <c r="D1709" s="10"/>
      <c r="E1709" s="10"/>
      <c r="F1709" s="10"/>
    </row>
    <row r="1710" customFormat="false" ht="24" hidden="false" customHeight="true" outlineLevel="0" collapsed="false">
      <c r="B1710" s="48" t="str">
        <f aca="false">Cab_Mentions</f>
        <v>ALTHO EXPERTISE · SAS au capital de 10 000 € · RCS Pontoise 919 706 325 · TVA FR62919706325 · Société d'expertise comptable inscrite au Tableau de l'Ordre des experts-comptables de Paris Île-de-France</v>
      </c>
      <c r="C1710" s="48"/>
      <c r="D1710" s="48"/>
      <c r="E1710" s="48"/>
      <c r="F1710" s="48"/>
    </row>
    <row r="1711" customFormat="false" ht="15" hidden="false" customHeight="false" outlineLevel="0" collapsed="false">
      <c r="B1711" s="10"/>
      <c r="C1711" s="10"/>
      <c r="D1711" s="10"/>
      <c r="E1711" s="10"/>
      <c r="F1711" s="10"/>
      <c r="J1711" s="25" t="s">
        <v>142</v>
      </c>
      <c r="K1711" s="25" t="n">
        <f aca="false">IFERROR(MATCH(39,Clients!$Z$2:$Z$501,0),0)</f>
        <v>0</v>
      </c>
      <c r="L1711" s="25"/>
      <c r="M1711" s="25"/>
      <c r="N1711" s="25"/>
      <c r="O1711" s="25"/>
    </row>
    <row r="1712" customFormat="false" ht="21.75" hidden="false" customHeight="true" outlineLevel="0" collapsed="false">
      <c r="B1712" s="26" t="str">
        <f aca="false">Cab_Nom</f>
        <v>ALTHO EXPERTISE</v>
      </c>
      <c r="C1712" s="26"/>
      <c r="D1712" s="10"/>
      <c r="E1712" s="27" t="str">
        <f aca="false">IF($K$1711=0,"","Réf. client : "&amp;INDEX(Clients!$A$2:$A$501,$K$1711))</f>
        <v/>
      </c>
      <c r="F1712" s="27"/>
      <c r="J1712" s="25" t="s">
        <v>144</v>
      </c>
      <c r="K1712" s="25" t="str">
        <f aca="false">IF(IF($K$1711=0,"",INDEX(Clients!$B$2:$B$501,$K$1711)&amp;"")="Mme","Madame",IF(IF($K$1711=0,"",INDEX(Clients!$B$2:$B$501,$K$1711)&amp;"")="M.","Monsieur","Madame, Monsieur"))</f>
        <v>Madame, Monsieur</v>
      </c>
      <c r="L1712" s="25"/>
      <c r="M1712" s="25"/>
      <c r="N1712" s="25"/>
      <c r="O1712" s="25"/>
    </row>
    <row r="1713" customFormat="false" ht="15" hidden="false" customHeight="false" outlineLevel="0" collapsed="false">
      <c r="B1713" s="29" t="str">
        <f aca="false">Cab_Adr1</f>
        <v>141 rue Charles de Gaulle</v>
      </c>
      <c r="C1713" s="29"/>
      <c r="D1713" s="10"/>
      <c r="E1713" s="10"/>
      <c r="F1713" s="10"/>
      <c r="J1713" s="25" t="s">
        <v>145</v>
      </c>
      <c r="K1713" s="25" t="str">
        <f aca="false">DAY(Date_Effet)&amp;IF(DAY(Date_Effet)=1,"er","")&amp;" "&amp;INDEX(Liste_Mois,MONTH(Date_Effet))&amp;" "&amp;YEAR(Date_Effet)</f>
        <v>1er janvier 2027</v>
      </c>
      <c r="L1713" s="25"/>
      <c r="M1713" s="25"/>
      <c r="N1713" s="25"/>
      <c r="O1713" s="25"/>
    </row>
    <row r="1714" customFormat="false" ht="15" hidden="false" customHeight="false" outlineLevel="0" collapsed="false">
      <c r="B1714" s="29" t="str">
        <f aca="false">Cab_CPVille</f>
        <v>95130 LE PLESSIS-BOUCHARD</v>
      </c>
      <c r="C1714" s="29"/>
      <c r="D1714" s="10"/>
      <c r="E1714" s="10"/>
      <c r="F1714" s="10"/>
      <c r="J1714" s="25" t="s">
        <v>146</v>
      </c>
      <c r="K1714" s="25" t="str">
        <f aca="false">IF(SUM($K$1738:$K$1741)=0,"",FIXED((SUM($L$1738:$L$1741)/SUM($K$1738:$K$1741)-1)*100,1)&amp;" %")</f>
        <v/>
      </c>
      <c r="L1714" s="25"/>
      <c r="M1714" s="25"/>
      <c r="N1714" s="25"/>
      <c r="O1714" s="25"/>
    </row>
    <row r="1715" customFormat="false" ht="15" hidden="false" customHeight="false" outlineLevel="0" collapsed="false">
      <c r="B1715" s="29" t="str">
        <f aca="false">Cab_Contact</f>
        <v>Tél. 01 34 14 53 45  ·  altho@altho-experts.com  ·  altho-experts.com</v>
      </c>
      <c r="C1715" s="29"/>
      <c r="D1715" s="10"/>
      <c r="E1715" s="10"/>
      <c r="F1715" s="10"/>
      <c r="J1715" s="25"/>
      <c r="K1715" s="25"/>
      <c r="L1715" s="25"/>
      <c r="M1715" s="25"/>
      <c r="N1715" s="25"/>
      <c r="O1715" s="25"/>
    </row>
    <row r="1716" customFormat="false" ht="6" hidden="false" customHeight="true" outlineLevel="0" collapsed="false">
      <c r="B1716" s="32"/>
      <c r="C1716" s="32"/>
      <c r="D1716" s="32"/>
      <c r="E1716" s="32"/>
      <c r="F1716" s="32"/>
      <c r="J1716" s="25"/>
      <c r="K1716" s="25"/>
      <c r="L1716" s="25"/>
      <c r="M1716" s="25"/>
      <c r="N1716" s="25"/>
      <c r="O1716" s="25"/>
    </row>
    <row r="1717" customFormat="false" ht="13.5" hidden="false" customHeight="true" outlineLevel="0" collapsed="false">
      <c r="B1717" s="10"/>
      <c r="C1717" s="10"/>
      <c r="D1717" s="10"/>
      <c r="E1717" s="10"/>
      <c r="F1717" s="10"/>
      <c r="J1717" s="25"/>
      <c r="K1717" s="25"/>
      <c r="L1717" s="25"/>
      <c r="M1717" s="25"/>
      <c r="N1717" s="25"/>
      <c r="O1717" s="25"/>
    </row>
    <row r="1718" customFormat="false" ht="13.5" hidden="false" customHeight="true" outlineLevel="0" collapsed="false">
      <c r="B1718" s="10"/>
      <c r="C1718" s="10"/>
      <c r="D1718" s="10"/>
      <c r="E1718" s="10"/>
      <c r="F1718" s="10"/>
      <c r="J1718" s="25"/>
      <c r="K1718" s="25"/>
      <c r="L1718" s="25"/>
      <c r="M1718" s="25"/>
      <c r="N1718" s="25"/>
      <c r="O1718" s="25"/>
    </row>
    <row r="1719" customFormat="false" ht="13.5" hidden="false" customHeight="true" outlineLevel="0" collapsed="false">
      <c r="B1719" s="10"/>
      <c r="C1719" s="10"/>
      <c r="D1719" s="10"/>
      <c r="E1719" s="10"/>
      <c r="F1719" s="10"/>
      <c r="J1719" s="25"/>
      <c r="K1719" s="25"/>
      <c r="L1719" s="25"/>
      <c r="M1719" s="25"/>
      <c r="N1719" s="25"/>
      <c r="O1719" s="25"/>
    </row>
    <row r="1720" customFormat="false" ht="15" hidden="false" customHeight="true" outlineLevel="0" collapsed="false">
      <c r="B1720" s="10"/>
      <c r="C1720" s="10"/>
      <c r="D1720" s="34" t="str">
        <f aca="false">IF($K$1711=0,"",INDEX(Clients!$E$2:$E$501,$K$1711)&amp;"")</f>
        <v/>
      </c>
      <c r="E1720" s="34"/>
      <c r="F1720" s="34"/>
      <c r="J1720" s="25"/>
      <c r="K1720" s="25"/>
      <c r="L1720" s="25"/>
      <c r="M1720" s="25"/>
      <c r="N1720" s="25"/>
      <c r="O1720" s="25"/>
    </row>
    <row r="1721" customFormat="false" ht="15" hidden="false" customHeight="true" outlineLevel="0" collapsed="false">
      <c r="B1721" s="10"/>
      <c r="C1721" s="10"/>
      <c r="D1721" s="35" t="str">
        <f aca="false">IF(IF($K$1711=0,"",INDEX(Clients!$D$2:$D$501,$K$1711)&amp;"")="","","À l'attention de "&amp;TRIM(IF($K$1711=0,"",INDEX(Clients!$B$2:$B$501,$K$1711)&amp;"")&amp;" "&amp;IF($K$1711=0,"",INDEX(Clients!$C$2:$C$501,$K$1711)&amp;"")&amp;" "&amp;IF($K$1711=0,"",INDEX(Clients!$D$2:$D$501,$K$1711)&amp;"")))</f>
        <v/>
      </c>
      <c r="E1721" s="35"/>
      <c r="F1721" s="35"/>
      <c r="J1721" s="25"/>
      <c r="K1721" s="25"/>
      <c r="L1721" s="25"/>
      <c r="M1721" s="25"/>
      <c r="N1721" s="25"/>
      <c r="O1721" s="25"/>
    </row>
    <row r="1722" customFormat="false" ht="15" hidden="false" customHeight="true" outlineLevel="0" collapsed="false">
      <c r="B1722" s="10"/>
      <c r="C1722" s="10"/>
      <c r="D1722" s="35" t="str">
        <f aca="false">IF($K$1711=0,"",INDEX(Clients!$F$2:$F$501,$K$1711)&amp;"")</f>
        <v/>
      </c>
      <c r="E1722" s="35"/>
      <c r="F1722" s="35"/>
      <c r="J1722" s="25"/>
      <c r="K1722" s="25"/>
      <c r="L1722" s="25"/>
      <c r="M1722" s="25"/>
      <c r="N1722" s="25"/>
      <c r="O1722" s="25"/>
    </row>
    <row r="1723" customFormat="false" ht="15" hidden="false" customHeight="true" outlineLevel="0" collapsed="false">
      <c r="B1723" s="10"/>
      <c r="C1723" s="10"/>
      <c r="D1723" s="35" t="str">
        <f aca="false">IF(IF($K$1711=0,"",INDEX(Clients!$G$2:$G$501,$K$1711)&amp;"")="",TRIM(IF($K$1711=0,"",INDEX(Clients!$H$2:$H$501,$K$1711)&amp;"")&amp;" "&amp;UPPER(IF($K$1711=0,"",INDEX(Clients!$I$2:$I$501,$K$1711)&amp;""))),IF($K$1711=0,"",INDEX(Clients!$G$2:$G$501,$K$1711)&amp;""))</f>
        <v/>
      </c>
      <c r="E1723" s="35"/>
      <c r="F1723" s="35"/>
      <c r="J1723" s="25"/>
      <c r="K1723" s="25"/>
      <c r="L1723" s="25"/>
      <c r="M1723" s="25"/>
      <c r="N1723" s="25"/>
      <c r="O1723" s="25"/>
    </row>
    <row r="1724" customFormat="false" ht="15" hidden="false" customHeight="true" outlineLevel="0" collapsed="false">
      <c r="B1724" s="10"/>
      <c r="C1724" s="10"/>
      <c r="D1724" s="35" t="str">
        <f aca="false">IF(IF($K$1711=0,"",INDEX(Clients!$G$2:$G$501,$K$1711)&amp;"")="","",TRIM(IF($K$1711=0,"",INDEX(Clients!$H$2:$H$501,$K$1711)&amp;"")&amp;" "&amp;UPPER(IF($K$1711=0,"",INDEX(Clients!$I$2:$I$501,$K$1711)&amp;""))))</f>
        <v/>
      </c>
      <c r="E1724" s="35"/>
      <c r="F1724" s="35"/>
      <c r="J1724" s="25"/>
      <c r="K1724" s="25"/>
      <c r="L1724" s="25"/>
      <c r="M1724" s="25"/>
      <c r="N1724" s="25"/>
      <c r="O1724" s="25"/>
    </row>
    <row r="1725" customFormat="false" ht="25.5" hidden="false" customHeight="true" outlineLevel="0" collapsed="false">
      <c r="B1725" s="10"/>
      <c r="C1725" s="10"/>
      <c r="D1725" s="10"/>
      <c r="E1725" s="10"/>
      <c r="F1725" s="10"/>
      <c r="J1725" s="25"/>
      <c r="K1725" s="25"/>
      <c r="L1725" s="25"/>
      <c r="M1725" s="25"/>
      <c r="N1725" s="25"/>
      <c r="O1725" s="25"/>
    </row>
    <row r="1726" customFormat="false" ht="15" hidden="false" customHeight="false" outlineLevel="0" collapsed="false">
      <c r="B1726" s="10"/>
      <c r="C1726" s="10"/>
      <c r="D1726" s="36" t="str">
        <f aca="false">Cab_Ville&amp;", le "&amp;DAY(Date_Courrier)&amp;IF(DAY(Date_Courrier)=1,"er","")&amp;" "&amp;INDEX(Liste_Mois,MONTH(Date_Courrier))&amp;" "&amp;YEAR(Date_Courrier)</f>
        <v>Le Plessis-Bouchard, le 22 septembre 2026</v>
      </c>
      <c r="E1726" s="36"/>
      <c r="F1726" s="36"/>
      <c r="J1726" s="25"/>
      <c r="K1726" s="25"/>
      <c r="L1726" s="25"/>
      <c r="M1726" s="25"/>
      <c r="N1726" s="25"/>
      <c r="O1726" s="25"/>
    </row>
    <row r="1727" customFormat="false" ht="19.5" hidden="false" customHeight="true" outlineLevel="0" collapsed="false">
      <c r="B1727" s="10"/>
      <c r="C1727" s="10"/>
      <c r="D1727" s="10"/>
      <c r="E1727" s="10"/>
      <c r="F1727" s="10"/>
      <c r="J1727" s="25"/>
      <c r="K1727" s="25"/>
      <c r="L1727" s="25"/>
      <c r="M1727" s="25"/>
      <c r="N1727" s="25"/>
      <c r="O1727" s="25"/>
    </row>
    <row r="1728" customFormat="false" ht="15" hidden="false" customHeight="false" outlineLevel="0" collapsed="false">
      <c r="B1728" s="34" t="str">
        <f aca="false">SUBSTITUTE(SUBSTITUTE(SUBSTITUTE(SUBSTITUTE(SUBSTITUTE(Txt_Objet,"{cabinet}",Cab_Nom),"{societe}",IF($K$1711=0,"",INDEX(Clients!$E$2:$E$501,$K$1711)&amp;"")),"{date_effet}",$K$1713),"{hausse}",$K$1714),"{civilite}",$K$1712)</f>
        <v>Objet : révision de nos honoraires au 1er janvier 2027</v>
      </c>
      <c r="C1728" s="34"/>
      <c r="D1728" s="34"/>
      <c r="E1728" s="34"/>
      <c r="F1728" s="34"/>
      <c r="J1728" s="25"/>
      <c r="K1728" s="25"/>
      <c r="L1728" s="25"/>
      <c r="M1728" s="25"/>
      <c r="N1728" s="25"/>
      <c r="O1728" s="25"/>
    </row>
    <row r="1729" customFormat="false" ht="13.5" hidden="false" customHeight="true" outlineLevel="0" collapsed="false">
      <c r="B1729" s="10"/>
      <c r="C1729" s="10"/>
      <c r="D1729" s="10"/>
      <c r="E1729" s="10"/>
      <c r="F1729" s="10"/>
      <c r="J1729" s="25"/>
      <c r="K1729" s="25"/>
      <c r="L1729" s="25"/>
      <c r="M1729" s="25"/>
      <c r="N1729" s="25"/>
      <c r="O1729" s="25"/>
    </row>
    <row r="1730" customFormat="false" ht="15" hidden="false" customHeight="false" outlineLevel="0" collapsed="false">
      <c r="B1730" s="10" t="str">
        <f aca="false">$K$1712&amp;","</f>
        <v>Madame, Monsieur,</v>
      </c>
      <c r="C1730" s="10"/>
      <c r="D1730" s="10"/>
      <c r="E1730" s="10"/>
      <c r="F1730" s="10"/>
      <c r="J1730" s="25"/>
      <c r="K1730" s="25"/>
      <c r="L1730" s="25"/>
      <c r="M1730" s="25"/>
      <c r="N1730" s="25"/>
      <c r="O1730" s="25"/>
    </row>
    <row r="1731" customFormat="false" ht="6" hidden="false" customHeight="true" outlineLevel="0" collapsed="false">
      <c r="B1731" s="10"/>
      <c r="C1731" s="10"/>
      <c r="D1731" s="10"/>
      <c r="E1731" s="10"/>
      <c r="F1731" s="10"/>
      <c r="J1731" s="25"/>
      <c r="K1731" s="25"/>
      <c r="L1731" s="25"/>
      <c r="M1731" s="25"/>
      <c r="N1731" s="25"/>
      <c r="O1731" s="25"/>
    </row>
    <row r="1732" customFormat="false" ht="36.75" hidden="false" customHeight="true" outlineLevel="0" collapsed="false">
      <c r="B1732" s="37" t="str">
        <f aca="false">SUBSTITUTE(SUBSTITUTE(SUBSTITUTE(SUBSTITUTE(SUBSTITUTE(Txt_P1,"{cabinet}",Cab_Nom),"{societe}",IF($K$1711=0,"",INDEX(Clients!$E$2:$E$501,$K$1711)&amp;"")),"{date_effet}",$K$1713),"{hausse}",$K$1714),"{civilite}",$K$1712)</f>
        <v>Nous tenons tout d'abord à vous remercier pour la confiance que vous accordez à ALTHO EXPERTISE. Comme chaque année, et conformément aux dispositions de votre lettre de mission, nous procédons à la révision de nos honoraires.</v>
      </c>
      <c r="C1732" s="37"/>
      <c r="D1732" s="37"/>
      <c r="E1732" s="37"/>
      <c r="F1732" s="37"/>
      <c r="J1732" s="25"/>
      <c r="K1732" s="25"/>
      <c r="L1732" s="25"/>
      <c r="M1732" s="25"/>
      <c r="N1732" s="25"/>
      <c r="O1732" s="25"/>
    </row>
    <row r="1733" customFormat="false" ht="49.5" hidden="false" customHeight="true" outlineLevel="0" collapsed="false">
      <c r="B1733" s="37" t="str">
        <f aca="false">SUBSTITUTE(SUBSTITUTE(SUBSTITUTE(SUBSTITUTE(SUBSTITUTE(Txt_P2,"{cabinet}",Cab_Nom),"{societe}",IF($K$1711=0,"",INDEX(Clients!$E$2:$E$501,$K$1711)&amp;"")),"{date_effet}",$K$1713),"{hausse}",$K$1714),"{civilite}",$K$1712)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733" s="37"/>
      <c r="D1733" s="37"/>
      <c r="E1733" s="37"/>
      <c r="F1733" s="37"/>
      <c r="J1733" s="25"/>
      <c r="K1733" s="25"/>
      <c r="L1733" s="25"/>
      <c r="M1733" s="25"/>
      <c r="N1733" s="25"/>
      <c r="O1733" s="25"/>
    </row>
    <row r="1734" customFormat="false" ht="63" hidden="false" customHeight="true" outlineLevel="0" collapsed="false">
      <c r="B1734" s="37" t="str">
        <f aca="false">SUBSTITUTE(SUBSTITUTE(SUBSTITUTE(SUBSTITUTE(SUBSTITUTE(Txt_P3,"{cabinet}",Cab_Nom),"{societe}",IF($K$1711=0,"",INDEX(Clients!$E$2:$E$501,$K$1711)&amp;"")),"{date_effet}",$K$1713),"{hausse}",$K$1714),"{civilite}",$K$1712)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734" s="37"/>
      <c r="D1734" s="37"/>
      <c r="E1734" s="37"/>
      <c r="F1734" s="37"/>
      <c r="J1734" s="25"/>
      <c r="K1734" s="25"/>
      <c r="L1734" s="25"/>
      <c r="M1734" s="25"/>
      <c r="N1734" s="25"/>
      <c r="O1734" s="25"/>
    </row>
    <row r="1735" customFormat="false" ht="24" hidden="false" customHeight="true" outlineLevel="0" collapsed="false">
      <c r="B1735" s="37" t="str">
        <f aca="false">SUBSTITUTE(SUBSTITUTE(SUBSTITUTE(SUBSTITUTE(SUBSTITUTE(Txt_P4,"{cabinet}",Cab_Nom),"{societe}",IF($K$1711=0,"",INDEX(Clients!$E$2:$E$501,$K$1711)&amp;"")),"{date_effet}",$K$1713),"{hausse}",$K$1714),"{civilite}",$K$1712)</f>
        <v>À compter du 1er janvier 2027, vos honoraires annuels hors taxes évolueront ainsi (évolution globale : ) :</v>
      </c>
      <c r="C1735" s="37"/>
      <c r="D1735" s="37"/>
      <c r="E1735" s="37"/>
      <c r="F1735" s="37"/>
      <c r="J1735" s="25"/>
      <c r="K1735" s="25"/>
      <c r="L1735" s="25"/>
      <c r="M1735" s="25"/>
      <c r="N1735" s="25"/>
      <c r="O1735" s="25"/>
    </row>
    <row r="1736" customFormat="false" ht="3.75" hidden="false" customHeight="true" outlineLevel="0" collapsed="false">
      <c r="B1736" s="10"/>
      <c r="C1736" s="10"/>
      <c r="D1736" s="10"/>
      <c r="E1736" s="10"/>
      <c r="F1736" s="10"/>
      <c r="J1736" s="25"/>
      <c r="K1736" s="25"/>
      <c r="L1736" s="25"/>
      <c r="M1736" s="25"/>
      <c r="N1736" s="25"/>
      <c r="O1736" s="25"/>
    </row>
    <row r="1737" customFormat="false" ht="18" hidden="false" customHeight="true" outlineLevel="0" collapsed="false">
      <c r="B1737" s="38" t="s">
        <v>148</v>
      </c>
      <c r="C1737" s="39" t="s">
        <v>149</v>
      </c>
      <c r="D1737" s="39" t="s">
        <v>150</v>
      </c>
      <c r="E1737" s="39" t="s">
        <v>151</v>
      </c>
      <c r="F1737" s="39" t="s">
        <v>109</v>
      </c>
      <c r="J1737" s="25" t="s">
        <v>152</v>
      </c>
      <c r="K1737" s="25" t="s">
        <v>153</v>
      </c>
      <c r="L1737" s="25" t="s">
        <v>154</v>
      </c>
      <c r="M1737" s="25" t="s">
        <v>155</v>
      </c>
      <c r="N1737" s="25" t="s">
        <v>156</v>
      </c>
      <c r="O1737" s="25" t="s">
        <v>157</v>
      </c>
    </row>
    <row r="1738" customFormat="false" ht="16.5" hidden="false" customHeight="true" outlineLevel="0" collapsed="false">
      <c r="B1738" s="40" t="str">
        <f aca="false">IFERROR(INDEX($J$1738:$J$1741,MATCH($O1738,$N$1738:$N$1741,0)),"")</f>
        <v/>
      </c>
      <c r="C1738" s="41" t="str">
        <f aca="false">IFERROR(INDEX($K$1738:$K$1741,MATCH($O1738,$N$1738:$N$1741,0)),"")</f>
        <v/>
      </c>
      <c r="D1738" s="42" t="str">
        <f aca="false">IF(OR(E1738="",N(C1738)=0),"",E1738/C1738-1)</f>
        <v/>
      </c>
      <c r="E1738" s="41" t="str">
        <f aca="false">IFERROR(INDEX($L$1738:$L$1741,MATCH($O1738,$N$1738:$N$1741,0)),"")</f>
        <v/>
      </c>
      <c r="F1738" s="41" t="str">
        <f aca="false">IF(E1738="","",E1738-C1738)</f>
        <v/>
      </c>
      <c r="J1738" s="25" t="str">
        <f aca="false">Lib_Compta</f>
        <v>Mission comptable (tenue, révision, bilan, liasse fiscale)</v>
      </c>
      <c r="K1738" s="25" t="n">
        <f aca="false">IF($K$1711=0,0,N(INDEX(Clients!$K$2:$K$501,$K$1711)))</f>
        <v>0</v>
      </c>
      <c r="L1738" s="25" t="n">
        <f aca="false">IF($K$1711=0,0,N(INDEX(Clients!$P$2:$P$501,$K$1711)))</f>
        <v>0</v>
      </c>
      <c r="M1738" s="25" t="n">
        <f aca="false">IF(OR(K1738&lt;&gt;0,L1738&lt;&gt;0),1,0)</f>
        <v>0</v>
      </c>
      <c r="N1738" s="25" t="str">
        <f aca="false">IF(M1738=1,SUM($M$1738:M1738),"")</f>
        <v/>
      </c>
      <c r="O1738" s="25" t="n">
        <v>1</v>
      </c>
    </row>
    <row r="1739" customFormat="false" ht="16.5" hidden="false" customHeight="true" outlineLevel="0" collapsed="false">
      <c r="B1739" s="40" t="str">
        <f aca="false">IFERROR(INDEX($J$1738:$J$1741,MATCH($O1739,$N$1738:$N$1741,0)),"")</f>
        <v/>
      </c>
      <c r="C1739" s="41" t="str">
        <f aca="false">IFERROR(INDEX($K$1738:$K$1741,MATCH($O1739,$N$1738:$N$1741,0)),"")</f>
        <v/>
      </c>
      <c r="D1739" s="42" t="str">
        <f aca="false">IF(OR(E1739="",N(C1739)=0),"",E1739/C1739-1)</f>
        <v/>
      </c>
      <c r="E1739" s="41" t="str">
        <f aca="false">IFERROR(INDEX($L$1738:$L$1741,MATCH($O1739,$N$1738:$N$1741,0)),"")</f>
        <v/>
      </c>
      <c r="F1739" s="41" t="str">
        <f aca="false">IF(E1739="","",E1739-C1739)</f>
        <v/>
      </c>
      <c r="J1739" s="25" t="str">
        <f aca="false">Lib_Paye</f>
        <v>Mission sociale (bulletins de paie, DSN, déclarations sociales)</v>
      </c>
      <c r="K1739" s="25" t="n">
        <f aca="false">IF($K$1711=0,0,N(INDEX(Clients!$L$2:$L$501,$K$1711)))</f>
        <v>0</v>
      </c>
      <c r="L1739" s="25" t="n">
        <f aca="false">IF($K$1711=0,0,N(INDEX(Clients!$Q$2:$Q$501,$K$1711)))</f>
        <v>0</v>
      </c>
      <c r="M1739" s="25" t="n">
        <f aca="false">IF(OR(K1739&lt;&gt;0,L1739&lt;&gt;0),1,0)</f>
        <v>0</v>
      </c>
      <c r="N1739" s="25" t="str">
        <f aca="false">IF(M1739=1,SUM($M$1738:M1739),"")</f>
        <v/>
      </c>
      <c r="O1739" s="25" t="n">
        <v>2</v>
      </c>
    </row>
    <row r="1740" customFormat="false" ht="16.5" hidden="false" customHeight="true" outlineLevel="0" collapsed="false">
      <c r="B1740" s="40" t="str">
        <f aca="false">IFERROR(INDEX($J$1738:$J$1741,MATCH($O1740,$N$1738:$N$1741,0)),"")</f>
        <v/>
      </c>
      <c r="C1740" s="41" t="str">
        <f aca="false">IFERROR(INDEX($K$1738:$K$1741,MATCH($O1740,$N$1738:$N$1741,0)),"")</f>
        <v/>
      </c>
      <c r="D1740" s="42" t="str">
        <f aca="false">IF(OR(E1740="",N(C1740)=0),"",E1740/C1740-1)</f>
        <v/>
      </c>
      <c r="E1740" s="41" t="str">
        <f aca="false">IFERROR(INDEX($L$1738:$L$1741,MATCH($O1740,$N$1738:$N$1741,0)),"")</f>
        <v/>
      </c>
      <c r="F1740" s="41" t="str">
        <f aca="false">IF(E1740="","",E1740-C1740)</f>
        <v/>
      </c>
      <c r="J1740" s="25" t="str">
        <f aca="false">Lib_Jur</f>
        <v>Mission juridique (approbation des comptes, secrétariat juridique)</v>
      </c>
      <c r="K1740" s="25" t="n">
        <f aca="false">IF($K$1711=0,0,N(INDEX(Clients!$M$2:$M$501,$K$1711)))</f>
        <v>0</v>
      </c>
      <c r="L1740" s="25" t="n">
        <f aca="false">IF($K$1711=0,0,N(INDEX(Clients!$R$2:$R$501,$K$1711)))</f>
        <v>0</v>
      </c>
      <c r="M1740" s="25" t="n">
        <f aca="false">IF(OR(K1740&lt;&gt;0,L1740&lt;&gt;0),1,0)</f>
        <v>0</v>
      </c>
      <c r="N1740" s="25" t="str">
        <f aca="false">IF(M1740=1,SUM($M$1738:M1740),"")</f>
        <v/>
      </c>
      <c r="O1740" s="25" t="n">
        <v>3</v>
      </c>
    </row>
    <row r="1741" customFormat="false" ht="16.5" hidden="false" customHeight="true" outlineLevel="0" collapsed="false">
      <c r="B1741" s="40" t="str">
        <f aca="false">IFERROR(INDEX($J$1738:$J$1741,MATCH($O1741,$N$1738:$N$1741,0)),"")</f>
        <v/>
      </c>
      <c r="C1741" s="41" t="str">
        <f aca="false">IFERROR(INDEX($K$1738:$K$1741,MATCH($O1741,$N$1738:$N$1741,0)),"")</f>
        <v/>
      </c>
      <c r="D1741" s="42" t="str">
        <f aca="false">IF(OR(E1741="",N(C1741)=0),"",E1741/C1741-1)</f>
        <v/>
      </c>
      <c r="E1741" s="41" t="str">
        <f aca="false">IFERROR(INDEX($L$1738:$L$1741,MATCH($O1741,$N$1738:$N$1741,0)),"")</f>
        <v/>
      </c>
      <c r="F1741" s="41" t="str">
        <f aca="false">IF(E1741="","",E1741-C1741)</f>
        <v/>
      </c>
      <c r="J1741" s="25" t="str">
        <f aca="false">Lib_PA</f>
        <v>Plateforme agréée – facturation électronique</v>
      </c>
      <c r="K1741" s="25" t="n">
        <f aca="false">IF($K$1711=0,0,N(INDEX(Clients!$N$2:$N$501,$K$1711)))</f>
        <v>0</v>
      </c>
      <c r="L1741" s="25" t="n">
        <f aca="false">IF($K$1711=0,0,N(INDEX(Clients!$S$2:$S$501,$K$1711)))</f>
        <v>0</v>
      </c>
      <c r="M1741" s="25" t="n">
        <f aca="false">IF(OR(K1741&lt;&gt;0,L1741&lt;&gt;0),1,0)</f>
        <v>0</v>
      </c>
      <c r="N1741" s="25" t="str">
        <f aca="false">IF(M1741=1,SUM($M$1738:M1741),"")</f>
        <v/>
      </c>
      <c r="O1741" s="25" t="n">
        <v>4</v>
      </c>
    </row>
    <row r="1742" customFormat="false" ht="18" hidden="false" customHeight="true" outlineLevel="0" collapsed="false">
      <c r="B1742" s="43" t="s">
        <v>158</v>
      </c>
      <c r="C1742" s="44" t="n">
        <f aca="false">SUM(K1738:K1741)</f>
        <v>0</v>
      </c>
      <c r="D1742" s="45" t="str">
        <f aca="false">IF(N(C1742)=0,"",E1742/C1742-1)</f>
        <v/>
      </c>
      <c r="E1742" s="44" t="n">
        <f aca="false">SUM(L1738:L1741)</f>
        <v>0</v>
      </c>
      <c r="F1742" s="44" t="n">
        <f aca="false">E1742-C1742</f>
        <v>0</v>
      </c>
    </row>
    <row r="1743" customFormat="false" ht="15" hidden="false" customHeight="false" outlineLevel="0" collapsed="false">
      <c r="B1743" s="46" t="str">
        <f aca="false">IF(N(Nb_Mensualites)=0,"","Soit "&amp;FIXED(E1742/Nb_Mensualites,2)&amp;" € HT par échéance ("&amp;Nb_Mensualites&amp;" échéances), "&amp;FIXED(E1742/Nb_Mensualites*(1+Taux_TVA),2)&amp;" € TTC.")</f>
        <v>Soit 0.00 € HT par échéance (12 échéances), 0.00 € TTC.</v>
      </c>
      <c r="C1743" s="46"/>
      <c r="D1743" s="46"/>
      <c r="E1743" s="46"/>
      <c r="F1743" s="46"/>
    </row>
    <row r="1744" customFormat="false" ht="7.5" hidden="false" customHeight="true" outlineLevel="0" collapsed="false">
      <c r="B1744" s="10"/>
      <c r="C1744" s="10"/>
      <c r="D1744" s="10"/>
      <c r="E1744" s="10"/>
      <c r="F1744" s="10"/>
    </row>
    <row r="1745" customFormat="false" ht="36.75" hidden="false" customHeight="true" outlineLevel="0" collapsed="false">
      <c r="B1745" s="37" t="str">
        <f aca="false">SUBSTITUTE(SUBSTITUTE(SUBSTITUTE(SUBSTITUTE(SUBSTITUTE(Txt_P5,"{cabinet}",Cab_Nom),"{societe}",IF($K$1711=0,"",INDEX(Clients!$E$2:$E$501,$K$1711)&amp;"")),"{date_effet}",$K$1713),"{hausse}",$K$1714),"{civilite}",$K$1712)</f>
        <v>Les autres conditions de votre lettre de mission demeurent inchangées. Les nouveaux montants seront appliqués automatiquement sur vos prochaines factures et échéances de prélèvement.</v>
      </c>
      <c r="C1745" s="37"/>
      <c r="D1745" s="37"/>
      <c r="E1745" s="37"/>
      <c r="F1745" s="37"/>
    </row>
    <row r="1746" customFormat="false" ht="36.75" hidden="false" customHeight="true" outlineLevel="0" collapsed="false">
      <c r="B1746" s="37" t="str">
        <f aca="false">SUBSTITUTE(SUBSTITUTE(SUBSTITUTE(SUBSTITUTE(SUBSTITUTE(Txt_P6,"{cabinet}",Cab_Nom),"{societe}",IF($K$1711=0,"",INDEX(Clients!$E$2:$E$501,$K$1711)&amp;"")),"{date_effet}",$K$1713),"{hausse}",$K$1714),"{civilite}",$K$1712)</f>
        <v>Votre interlocuteur habituel reste à votre entière disposition pour répondre à vos questions et faire le point sur l'évolution de vos besoins.</v>
      </c>
      <c r="C1746" s="37"/>
      <c r="D1746" s="37"/>
      <c r="E1746" s="37"/>
      <c r="F1746" s="37"/>
    </row>
    <row r="1747" customFormat="false" ht="24" hidden="false" customHeight="true" outlineLevel="0" collapsed="false">
      <c r="B1747" s="37" t="str">
        <f aca="false">SUBSTITUTE(SUBSTITUTE(SUBSTITUTE(SUBSTITUTE(SUBSTITUTE(Txt_Politesse,"{cabinet}",Cab_Nom),"{societe}",IF($K$1711=0,"",INDEX(Clients!$E$2:$E$501,$K$1711)&amp;"")),"{date_effet}",$K$1713),"{hausse}",$K$1714),"{civilite}",$K$1712)</f>
        <v>Nous vous prions d'agréer, Madame, Monsieur, l'expression de nos salutations distinguées.</v>
      </c>
      <c r="C1747" s="37"/>
      <c r="D1747" s="37"/>
      <c r="E1747" s="37"/>
      <c r="F1747" s="37"/>
    </row>
    <row r="1748" customFormat="false" ht="15" hidden="false" customHeight="false" outlineLevel="0" collapsed="false">
      <c r="B1748" s="10"/>
      <c r="C1748" s="10"/>
      <c r="D1748" s="10"/>
      <c r="E1748" s="10"/>
      <c r="F1748" s="10"/>
    </row>
    <row r="1749" customFormat="false" ht="15" hidden="false" customHeight="false" outlineLevel="0" collapsed="false">
      <c r="B1749" s="10"/>
      <c r="C1749" s="10"/>
      <c r="D1749" s="34" t="str">
        <f aca="false">Signataire</f>
        <v>Prénom NOM</v>
      </c>
      <c r="E1749" s="34"/>
      <c r="F1749" s="34"/>
    </row>
    <row r="1750" customFormat="false" ht="15" hidden="false" customHeight="false" outlineLevel="0" collapsed="false">
      <c r="B1750" s="10"/>
      <c r="C1750" s="10"/>
      <c r="D1750" s="47" t="str">
        <f aca="false">Signataire_Titre</f>
        <v>Expert-comptable associé</v>
      </c>
      <c r="E1750" s="47"/>
      <c r="F1750" s="47"/>
    </row>
    <row r="1751" customFormat="false" ht="15.75" hidden="false" customHeight="true" outlineLevel="0" collapsed="false">
      <c r="B1751" s="10"/>
      <c r="C1751" s="10"/>
      <c r="D1751" s="10"/>
      <c r="E1751" s="10"/>
      <c r="F1751" s="10"/>
    </row>
    <row r="1752" customFormat="false" ht="15.75" hidden="false" customHeight="true" outlineLevel="0" collapsed="false">
      <c r="B1752" s="10"/>
      <c r="C1752" s="10"/>
      <c r="D1752" s="10"/>
      <c r="E1752" s="10"/>
      <c r="F1752" s="10"/>
    </row>
    <row r="1753" customFormat="false" ht="15.75" hidden="false" customHeight="true" outlineLevel="0" collapsed="false">
      <c r="B1753" s="10"/>
      <c r="C1753" s="10"/>
      <c r="D1753" s="10"/>
      <c r="E1753" s="10"/>
      <c r="F1753" s="10"/>
    </row>
    <row r="1754" customFormat="false" ht="15.75" hidden="false" customHeight="true" outlineLevel="0" collapsed="false">
      <c r="B1754" s="10"/>
      <c r="C1754" s="10"/>
      <c r="D1754" s="10"/>
      <c r="E1754" s="10"/>
      <c r="F1754" s="10"/>
    </row>
    <row r="1755" customFormat="false" ht="24" hidden="false" customHeight="true" outlineLevel="0" collapsed="false">
      <c r="B1755" s="48" t="str">
        <f aca="false">Cab_Mentions</f>
        <v>ALTHO EXPERTISE · SAS au capital de 10 000 € · RCS Pontoise 919 706 325 · TVA FR62919706325 · Société d'expertise comptable inscrite au Tableau de l'Ordre des experts-comptables de Paris Île-de-France</v>
      </c>
      <c r="C1755" s="48"/>
      <c r="D1755" s="48"/>
      <c r="E1755" s="48"/>
      <c r="F1755" s="48"/>
    </row>
    <row r="1756" customFormat="false" ht="15" hidden="false" customHeight="false" outlineLevel="0" collapsed="false">
      <c r="B1756" s="10"/>
      <c r="C1756" s="10"/>
      <c r="D1756" s="10"/>
      <c r="E1756" s="10"/>
      <c r="F1756" s="10"/>
      <c r="J1756" s="25" t="s">
        <v>142</v>
      </c>
      <c r="K1756" s="25" t="n">
        <f aca="false">IFERROR(MATCH(40,Clients!$Z$2:$Z$501,0),0)</f>
        <v>0</v>
      </c>
      <c r="L1756" s="25"/>
      <c r="M1756" s="25"/>
      <c r="N1756" s="25"/>
      <c r="O1756" s="25"/>
    </row>
    <row r="1757" customFormat="false" ht="21.75" hidden="false" customHeight="true" outlineLevel="0" collapsed="false">
      <c r="B1757" s="26" t="str">
        <f aca="false">Cab_Nom</f>
        <v>ALTHO EXPERTISE</v>
      </c>
      <c r="C1757" s="26"/>
      <c r="D1757" s="10"/>
      <c r="E1757" s="27" t="str">
        <f aca="false">IF($K$1756=0,"","Réf. client : "&amp;INDEX(Clients!$A$2:$A$501,$K$1756))</f>
        <v/>
      </c>
      <c r="F1757" s="27"/>
      <c r="J1757" s="25" t="s">
        <v>144</v>
      </c>
      <c r="K1757" s="25" t="str">
        <f aca="false">IF(IF($K$1756=0,"",INDEX(Clients!$B$2:$B$501,$K$1756)&amp;"")="Mme","Madame",IF(IF($K$1756=0,"",INDEX(Clients!$B$2:$B$501,$K$1756)&amp;"")="M.","Monsieur","Madame, Monsieur"))</f>
        <v>Madame, Monsieur</v>
      </c>
      <c r="L1757" s="25"/>
      <c r="M1757" s="25"/>
      <c r="N1757" s="25"/>
      <c r="O1757" s="25"/>
    </row>
    <row r="1758" customFormat="false" ht="15" hidden="false" customHeight="false" outlineLevel="0" collapsed="false">
      <c r="B1758" s="29" t="str">
        <f aca="false">Cab_Adr1</f>
        <v>141 rue Charles de Gaulle</v>
      </c>
      <c r="C1758" s="29"/>
      <c r="D1758" s="10"/>
      <c r="E1758" s="10"/>
      <c r="F1758" s="10"/>
      <c r="J1758" s="25" t="s">
        <v>145</v>
      </c>
      <c r="K1758" s="25" t="str">
        <f aca="false">DAY(Date_Effet)&amp;IF(DAY(Date_Effet)=1,"er","")&amp;" "&amp;INDEX(Liste_Mois,MONTH(Date_Effet))&amp;" "&amp;YEAR(Date_Effet)</f>
        <v>1er janvier 2027</v>
      </c>
      <c r="L1758" s="25"/>
      <c r="M1758" s="25"/>
      <c r="N1758" s="25"/>
      <c r="O1758" s="25"/>
    </row>
    <row r="1759" customFormat="false" ht="15" hidden="false" customHeight="false" outlineLevel="0" collapsed="false">
      <c r="B1759" s="29" t="str">
        <f aca="false">Cab_CPVille</f>
        <v>95130 LE PLESSIS-BOUCHARD</v>
      </c>
      <c r="C1759" s="29"/>
      <c r="D1759" s="10"/>
      <c r="E1759" s="10"/>
      <c r="F1759" s="10"/>
      <c r="J1759" s="25" t="s">
        <v>146</v>
      </c>
      <c r="K1759" s="25" t="str">
        <f aca="false">IF(SUM($K$1783:$K$1786)=0,"",FIXED((SUM($L$1783:$L$1786)/SUM($K$1783:$K$1786)-1)*100,1)&amp;" %")</f>
        <v/>
      </c>
      <c r="L1759" s="25"/>
      <c r="M1759" s="25"/>
      <c r="N1759" s="25"/>
      <c r="O1759" s="25"/>
    </row>
    <row r="1760" customFormat="false" ht="15" hidden="false" customHeight="false" outlineLevel="0" collapsed="false">
      <c r="B1760" s="29" t="str">
        <f aca="false">Cab_Contact</f>
        <v>Tél. 01 34 14 53 45  ·  altho@altho-experts.com  ·  altho-experts.com</v>
      </c>
      <c r="C1760" s="29"/>
      <c r="D1760" s="10"/>
      <c r="E1760" s="10"/>
      <c r="F1760" s="10"/>
      <c r="J1760" s="25"/>
      <c r="K1760" s="25"/>
      <c r="L1760" s="25"/>
      <c r="M1760" s="25"/>
      <c r="N1760" s="25"/>
      <c r="O1760" s="25"/>
    </row>
    <row r="1761" customFormat="false" ht="6" hidden="false" customHeight="true" outlineLevel="0" collapsed="false">
      <c r="B1761" s="32"/>
      <c r="C1761" s="32"/>
      <c r="D1761" s="32"/>
      <c r="E1761" s="32"/>
      <c r="F1761" s="32"/>
      <c r="J1761" s="25"/>
      <c r="K1761" s="25"/>
      <c r="L1761" s="25"/>
      <c r="M1761" s="25"/>
      <c r="N1761" s="25"/>
      <c r="O1761" s="25"/>
    </row>
    <row r="1762" customFormat="false" ht="13.5" hidden="false" customHeight="true" outlineLevel="0" collapsed="false">
      <c r="B1762" s="10"/>
      <c r="C1762" s="10"/>
      <c r="D1762" s="10"/>
      <c r="E1762" s="10"/>
      <c r="F1762" s="10"/>
      <c r="J1762" s="25"/>
      <c r="K1762" s="25"/>
      <c r="L1762" s="25"/>
      <c r="M1762" s="25"/>
      <c r="N1762" s="25"/>
      <c r="O1762" s="25"/>
    </row>
    <row r="1763" customFormat="false" ht="13.5" hidden="false" customHeight="true" outlineLevel="0" collapsed="false">
      <c r="B1763" s="10"/>
      <c r="C1763" s="10"/>
      <c r="D1763" s="10"/>
      <c r="E1763" s="10"/>
      <c r="F1763" s="10"/>
      <c r="J1763" s="25"/>
      <c r="K1763" s="25"/>
      <c r="L1763" s="25"/>
      <c r="M1763" s="25"/>
      <c r="N1763" s="25"/>
      <c r="O1763" s="25"/>
    </row>
    <row r="1764" customFormat="false" ht="13.5" hidden="false" customHeight="true" outlineLevel="0" collapsed="false">
      <c r="B1764" s="10"/>
      <c r="C1764" s="10"/>
      <c r="D1764" s="10"/>
      <c r="E1764" s="10"/>
      <c r="F1764" s="10"/>
      <c r="J1764" s="25"/>
      <c r="K1764" s="25"/>
      <c r="L1764" s="25"/>
      <c r="M1764" s="25"/>
      <c r="N1764" s="25"/>
      <c r="O1764" s="25"/>
    </row>
    <row r="1765" customFormat="false" ht="15" hidden="false" customHeight="true" outlineLevel="0" collapsed="false">
      <c r="B1765" s="10"/>
      <c r="C1765" s="10"/>
      <c r="D1765" s="34" t="str">
        <f aca="false">IF($K$1756=0,"",INDEX(Clients!$E$2:$E$501,$K$1756)&amp;"")</f>
        <v/>
      </c>
      <c r="E1765" s="34"/>
      <c r="F1765" s="34"/>
      <c r="J1765" s="25"/>
      <c r="K1765" s="25"/>
      <c r="L1765" s="25"/>
      <c r="M1765" s="25"/>
      <c r="N1765" s="25"/>
      <c r="O1765" s="25"/>
    </row>
    <row r="1766" customFormat="false" ht="15" hidden="false" customHeight="true" outlineLevel="0" collapsed="false">
      <c r="B1766" s="10"/>
      <c r="C1766" s="10"/>
      <c r="D1766" s="35" t="str">
        <f aca="false">IF(IF($K$1756=0,"",INDEX(Clients!$D$2:$D$501,$K$1756)&amp;"")="","","À l'attention de "&amp;TRIM(IF($K$1756=0,"",INDEX(Clients!$B$2:$B$501,$K$1756)&amp;"")&amp;" "&amp;IF($K$1756=0,"",INDEX(Clients!$C$2:$C$501,$K$1756)&amp;"")&amp;" "&amp;IF($K$1756=0,"",INDEX(Clients!$D$2:$D$501,$K$1756)&amp;"")))</f>
        <v/>
      </c>
      <c r="E1766" s="35"/>
      <c r="F1766" s="35"/>
      <c r="J1766" s="25"/>
      <c r="K1766" s="25"/>
      <c r="L1766" s="25"/>
      <c r="M1766" s="25"/>
      <c r="N1766" s="25"/>
      <c r="O1766" s="25"/>
    </row>
    <row r="1767" customFormat="false" ht="15" hidden="false" customHeight="true" outlineLevel="0" collapsed="false">
      <c r="B1767" s="10"/>
      <c r="C1767" s="10"/>
      <c r="D1767" s="35" t="str">
        <f aca="false">IF($K$1756=0,"",INDEX(Clients!$F$2:$F$501,$K$1756)&amp;"")</f>
        <v/>
      </c>
      <c r="E1767" s="35"/>
      <c r="F1767" s="35"/>
      <c r="J1767" s="25"/>
      <c r="K1767" s="25"/>
      <c r="L1767" s="25"/>
      <c r="M1767" s="25"/>
      <c r="N1767" s="25"/>
      <c r="O1767" s="25"/>
    </row>
    <row r="1768" customFormat="false" ht="15" hidden="false" customHeight="true" outlineLevel="0" collapsed="false">
      <c r="B1768" s="10"/>
      <c r="C1768" s="10"/>
      <c r="D1768" s="35" t="str">
        <f aca="false">IF(IF($K$1756=0,"",INDEX(Clients!$G$2:$G$501,$K$1756)&amp;"")="",TRIM(IF($K$1756=0,"",INDEX(Clients!$H$2:$H$501,$K$1756)&amp;"")&amp;" "&amp;UPPER(IF($K$1756=0,"",INDEX(Clients!$I$2:$I$501,$K$1756)&amp;""))),IF($K$1756=0,"",INDEX(Clients!$G$2:$G$501,$K$1756)&amp;""))</f>
        <v/>
      </c>
      <c r="E1768" s="35"/>
      <c r="F1768" s="35"/>
      <c r="J1768" s="25"/>
      <c r="K1768" s="25"/>
      <c r="L1768" s="25"/>
      <c r="M1768" s="25"/>
      <c r="N1768" s="25"/>
      <c r="O1768" s="25"/>
    </row>
    <row r="1769" customFormat="false" ht="15" hidden="false" customHeight="true" outlineLevel="0" collapsed="false">
      <c r="B1769" s="10"/>
      <c r="C1769" s="10"/>
      <c r="D1769" s="35" t="str">
        <f aca="false">IF(IF($K$1756=0,"",INDEX(Clients!$G$2:$G$501,$K$1756)&amp;"")="","",TRIM(IF($K$1756=0,"",INDEX(Clients!$H$2:$H$501,$K$1756)&amp;"")&amp;" "&amp;UPPER(IF($K$1756=0,"",INDEX(Clients!$I$2:$I$501,$K$1756)&amp;""))))</f>
        <v/>
      </c>
      <c r="E1769" s="35"/>
      <c r="F1769" s="35"/>
      <c r="J1769" s="25"/>
      <c r="K1769" s="25"/>
      <c r="L1769" s="25"/>
      <c r="M1769" s="25"/>
      <c r="N1769" s="25"/>
      <c r="O1769" s="25"/>
    </row>
    <row r="1770" customFormat="false" ht="25.5" hidden="false" customHeight="true" outlineLevel="0" collapsed="false">
      <c r="B1770" s="10"/>
      <c r="C1770" s="10"/>
      <c r="D1770" s="10"/>
      <c r="E1770" s="10"/>
      <c r="F1770" s="10"/>
      <c r="J1770" s="25"/>
      <c r="K1770" s="25"/>
      <c r="L1770" s="25"/>
      <c r="M1770" s="25"/>
      <c r="N1770" s="25"/>
      <c r="O1770" s="25"/>
    </row>
    <row r="1771" customFormat="false" ht="15" hidden="false" customHeight="false" outlineLevel="0" collapsed="false">
      <c r="B1771" s="10"/>
      <c r="C1771" s="10"/>
      <c r="D1771" s="36" t="str">
        <f aca="false">Cab_Ville&amp;", le "&amp;DAY(Date_Courrier)&amp;IF(DAY(Date_Courrier)=1,"er","")&amp;" "&amp;INDEX(Liste_Mois,MONTH(Date_Courrier))&amp;" "&amp;YEAR(Date_Courrier)</f>
        <v>Le Plessis-Bouchard, le 22 septembre 2026</v>
      </c>
      <c r="E1771" s="36"/>
      <c r="F1771" s="36"/>
      <c r="J1771" s="25"/>
      <c r="K1771" s="25"/>
      <c r="L1771" s="25"/>
      <c r="M1771" s="25"/>
      <c r="N1771" s="25"/>
      <c r="O1771" s="25"/>
    </row>
    <row r="1772" customFormat="false" ht="19.5" hidden="false" customHeight="true" outlineLevel="0" collapsed="false">
      <c r="B1772" s="10"/>
      <c r="C1772" s="10"/>
      <c r="D1772" s="10"/>
      <c r="E1772" s="10"/>
      <c r="F1772" s="10"/>
      <c r="J1772" s="25"/>
      <c r="K1772" s="25"/>
      <c r="L1772" s="25"/>
      <c r="M1772" s="25"/>
      <c r="N1772" s="25"/>
      <c r="O1772" s="25"/>
    </row>
    <row r="1773" customFormat="false" ht="15" hidden="false" customHeight="false" outlineLevel="0" collapsed="false">
      <c r="B1773" s="34" t="str">
        <f aca="false">SUBSTITUTE(SUBSTITUTE(SUBSTITUTE(SUBSTITUTE(SUBSTITUTE(Txt_Objet,"{cabinet}",Cab_Nom),"{societe}",IF($K$1756=0,"",INDEX(Clients!$E$2:$E$501,$K$1756)&amp;"")),"{date_effet}",$K$1758),"{hausse}",$K$1759),"{civilite}",$K$1757)</f>
        <v>Objet : révision de nos honoraires au 1er janvier 2027</v>
      </c>
      <c r="C1773" s="34"/>
      <c r="D1773" s="34"/>
      <c r="E1773" s="34"/>
      <c r="F1773" s="34"/>
      <c r="J1773" s="25"/>
      <c r="K1773" s="25"/>
      <c r="L1773" s="25"/>
      <c r="M1773" s="25"/>
      <c r="N1773" s="25"/>
      <c r="O1773" s="25"/>
    </row>
    <row r="1774" customFormat="false" ht="13.5" hidden="false" customHeight="true" outlineLevel="0" collapsed="false">
      <c r="B1774" s="10"/>
      <c r="C1774" s="10"/>
      <c r="D1774" s="10"/>
      <c r="E1774" s="10"/>
      <c r="F1774" s="10"/>
      <c r="J1774" s="25"/>
      <c r="K1774" s="25"/>
      <c r="L1774" s="25"/>
      <c r="M1774" s="25"/>
      <c r="N1774" s="25"/>
      <c r="O1774" s="25"/>
    </row>
    <row r="1775" customFormat="false" ht="15" hidden="false" customHeight="false" outlineLevel="0" collapsed="false">
      <c r="B1775" s="10" t="str">
        <f aca="false">$K$1757&amp;","</f>
        <v>Madame, Monsieur,</v>
      </c>
      <c r="C1775" s="10"/>
      <c r="D1775" s="10"/>
      <c r="E1775" s="10"/>
      <c r="F1775" s="10"/>
      <c r="J1775" s="25"/>
      <c r="K1775" s="25"/>
      <c r="L1775" s="25"/>
      <c r="M1775" s="25"/>
      <c r="N1775" s="25"/>
      <c r="O1775" s="25"/>
    </row>
    <row r="1776" customFormat="false" ht="6" hidden="false" customHeight="true" outlineLevel="0" collapsed="false">
      <c r="B1776" s="10"/>
      <c r="C1776" s="10"/>
      <c r="D1776" s="10"/>
      <c r="E1776" s="10"/>
      <c r="F1776" s="10"/>
      <c r="J1776" s="25"/>
      <c r="K1776" s="25"/>
      <c r="L1776" s="25"/>
      <c r="M1776" s="25"/>
      <c r="N1776" s="25"/>
      <c r="O1776" s="25"/>
    </row>
    <row r="1777" customFormat="false" ht="36.75" hidden="false" customHeight="true" outlineLevel="0" collapsed="false">
      <c r="B1777" s="37" t="str">
        <f aca="false">SUBSTITUTE(SUBSTITUTE(SUBSTITUTE(SUBSTITUTE(SUBSTITUTE(Txt_P1,"{cabinet}",Cab_Nom),"{societe}",IF($K$1756=0,"",INDEX(Clients!$E$2:$E$501,$K$1756)&amp;"")),"{date_effet}",$K$1758),"{hausse}",$K$1759),"{civilite}",$K$1757)</f>
        <v>Nous tenons tout d'abord à vous remercier pour la confiance que vous accordez à ALTHO EXPERTISE. Comme chaque année, et conformément aux dispositions de votre lettre de mission, nous procédons à la révision de nos honoraires.</v>
      </c>
      <c r="C1777" s="37"/>
      <c r="D1777" s="37"/>
      <c r="E1777" s="37"/>
      <c r="F1777" s="37"/>
      <c r="J1777" s="25"/>
      <c r="K1777" s="25"/>
      <c r="L1777" s="25"/>
      <c r="M1777" s="25"/>
      <c r="N1777" s="25"/>
      <c r="O1777" s="25"/>
    </row>
    <row r="1778" customFormat="false" ht="49.5" hidden="false" customHeight="true" outlineLevel="0" collapsed="false">
      <c r="B1778" s="37" t="str">
        <f aca="false">SUBSTITUTE(SUBSTITUTE(SUBSTITUTE(SUBSTITUTE(SUBSTITUTE(Txt_P2,"{cabinet}",Cab_Nom),"{societe}",IF($K$1756=0,"",INDEX(Clients!$E$2:$E$501,$K$1756)&amp;"")),"{date_effet}",$K$1758),"{hausse}",$K$1759),"{civilite}",$K$1757)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778" s="37"/>
      <c r="D1778" s="37"/>
      <c r="E1778" s="37"/>
      <c r="F1778" s="37"/>
      <c r="J1778" s="25"/>
      <c r="K1778" s="25"/>
      <c r="L1778" s="25"/>
      <c r="M1778" s="25"/>
      <c r="N1778" s="25"/>
      <c r="O1778" s="25"/>
    </row>
    <row r="1779" customFormat="false" ht="63" hidden="false" customHeight="true" outlineLevel="0" collapsed="false">
      <c r="B1779" s="37" t="str">
        <f aca="false">SUBSTITUTE(SUBSTITUTE(SUBSTITUTE(SUBSTITUTE(SUBSTITUTE(Txt_P3,"{cabinet}",Cab_Nom),"{societe}",IF($K$1756=0,"",INDEX(Clients!$E$2:$E$501,$K$1756)&amp;"")),"{date_effet}",$K$1758),"{hausse}",$K$1759),"{civilite}",$K$1757)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779" s="37"/>
      <c r="D1779" s="37"/>
      <c r="E1779" s="37"/>
      <c r="F1779" s="37"/>
      <c r="J1779" s="25"/>
      <c r="K1779" s="25"/>
      <c r="L1779" s="25"/>
      <c r="M1779" s="25"/>
      <c r="N1779" s="25"/>
      <c r="O1779" s="25"/>
    </row>
    <row r="1780" customFormat="false" ht="24" hidden="false" customHeight="true" outlineLevel="0" collapsed="false">
      <c r="B1780" s="37" t="str">
        <f aca="false">SUBSTITUTE(SUBSTITUTE(SUBSTITUTE(SUBSTITUTE(SUBSTITUTE(Txt_P4,"{cabinet}",Cab_Nom),"{societe}",IF($K$1756=0,"",INDEX(Clients!$E$2:$E$501,$K$1756)&amp;"")),"{date_effet}",$K$1758),"{hausse}",$K$1759),"{civilite}",$K$1757)</f>
        <v>À compter du 1er janvier 2027, vos honoraires annuels hors taxes évolueront ainsi (évolution globale : ) :</v>
      </c>
      <c r="C1780" s="37"/>
      <c r="D1780" s="37"/>
      <c r="E1780" s="37"/>
      <c r="F1780" s="37"/>
      <c r="J1780" s="25"/>
      <c r="K1780" s="25"/>
      <c r="L1780" s="25"/>
      <c r="M1780" s="25"/>
      <c r="N1780" s="25"/>
      <c r="O1780" s="25"/>
    </row>
    <row r="1781" customFormat="false" ht="3.75" hidden="false" customHeight="true" outlineLevel="0" collapsed="false">
      <c r="B1781" s="10"/>
      <c r="C1781" s="10"/>
      <c r="D1781" s="10"/>
      <c r="E1781" s="10"/>
      <c r="F1781" s="10"/>
      <c r="J1781" s="25"/>
      <c r="K1781" s="25"/>
      <c r="L1781" s="25"/>
      <c r="M1781" s="25"/>
      <c r="N1781" s="25"/>
      <c r="O1781" s="25"/>
    </row>
    <row r="1782" customFormat="false" ht="18" hidden="false" customHeight="true" outlineLevel="0" collapsed="false">
      <c r="B1782" s="38" t="s">
        <v>148</v>
      </c>
      <c r="C1782" s="39" t="s">
        <v>149</v>
      </c>
      <c r="D1782" s="39" t="s">
        <v>150</v>
      </c>
      <c r="E1782" s="39" t="s">
        <v>151</v>
      </c>
      <c r="F1782" s="39" t="s">
        <v>109</v>
      </c>
      <c r="J1782" s="25" t="s">
        <v>152</v>
      </c>
      <c r="K1782" s="25" t="s">
        <v>153</v>
      </c>
      <c r="L1782" s="25" t="s">
        <v>154</v>
      </c>
      <c r="M1782" s="25" t="s">
        <v>155</v>
      </c>
      <c r="N1782" s="25" t="s">
        <v>156</v>
      </c>
      <c r="O1782" s="25" t="s">
        <v>157</v>
      </c>
    </row>
    <row r="1783" customFormat="false" ht="16.5" hidden="false" customHeight="true" outlineLevel="0" collapsed="false">
      <c r="B1783" s="40" t="str">
        <f aca="false">IFERROR(INDEX($J$1783:$J$1786,MATCH($O1783,$N$1783:$N$1786,0)),"")</f>
        <v/>
      </c>
      <c r="C1783" s="41" t="str">
        <f aca="false">IFERROR(INDEX($K$1783:$K$1786,MATCH($O1783,$N$1783:$N$1786,0)),"")</f>
        <v/>
      </c>
      <c r="D1783" s="42" t="str">
        <f aca="false">IF(OR(E1783="",N(C1783)=0),"",E1783/C1783-1)</f>
        <v/>
      </c>
      <c r="E1783" s="41" t="str">
        <f aca="false">IFERROR(INDEX($L$1783:$L$1786,MATCH($O1783,$N$1783:$N$1786,0)),"")</f>
        <v/>
      </c>
      <c r="F1783" s="41" t="str">
        <f aca="false">IF(E1783="","",E1783-C1783)</f>
        <v/>
      </c>
      <c r="J1783" s="25" t="str">
        <f aca="false">Lib_Compta</f>
        <v>Mission comptable (tenue, révision, bilan, liasse fiscale)</v>
      </c>
      <c r="K1783" s="25" t="n">
        <f aca="false">IF($K$1756=0,0,N(INDEX(Clients!$K$2:$K$501,$K$1756)))</f>
        <v>0</v>
      </c>
      <c r="L1783" s="25" t="n">
        <f aca="false">IF($K$1756=0,0,N(INDEX(Clients!$P$2:$P$501,$K$1756)))</f>
        <v>0</v>
      </c>
      <c r="M1783" s="25" t="n">
        <f aca="false">IF(OR(K1783&lt;&gt;0,L1783&lt;&gt;0),1,0)</f>
        <v>0</v>
      </c>
      <c r="N1783" s="25" t="str">
        <f aca="false">IF(M1783=1,SUM($M$1783:M1783),"")</f>
        <v/>
      </c>
      <c r="O1783" s="25" t="n">
        <v>1</v>
      </c>
    </row>
    <row r="1784" customFormat="false" ht="16.5" hidden="false" customHeight="true" outlineLevel="0" collapsed="false">
      <c r="B1784" s="40" t="str">
        <f aca="false">IFERROR(INDEX($J$1783:$J$1786,MATCH($O1784,$N$1783:$N$1786,0)),"")</f>
        <v/>
      </c>
      <c r="C1784" s="41" t="str">
        <f aca="false">IFERROR(INDEX($K$1783:$K$1786,MATCH($O1784,$N$1783:$N$1786,0)),"")</f>
        <v/>
      </c>
      <c r="D1784" s="42" t="str">
        <f aca="false">IF(OR(E1784="",N(C1784)=0),"",E1784/C1784-1)</f>
        <v/>
      </c>
      <c r="E1784" s="41" t="str">
        <f aca="false">IFERROR(INDEX($L$1783:$L$1786,MATCH($O1784,$N$1783:$N$1786,0)),"")</f>
        <v/>
      </c>
      <c r="F1784" s="41" t="str">
        <f aca="false">IF(E1784="","",E1784-C1784)</f>
        <v/>
      </c>
      <c r="J1784" s="25" t="str">
        <f aca="false">Lib_Paye</f>
        <v>Mission sociale (bulletins de paie, DSN, déclarations sociales)</v>
      </c>
      <c r="K1784" s="25" t="n">
        <f aca="false">IF($K$1756=0,0,N(INDEX(Clients!$L$2:$L$501,$K$1756)))</f>
        <v>0</v>
      </c>
      <c r="L1784" s="25" t="n">
        <f aca="false">IF($K$1756=0,0,N(INDEX(Clients!$Q$2:$Q$501,$K$1756)))</f>
        <v>0</v>
      </c>
      <c r="M1784" s="25" t="n">
        <f aca="false">IF(OR(K1784&lt;&gt;0,L1784&lt;&gt;0),1,0)</f>
        <v>0</v>
      </c>
      <c r="N1784" s="25" t="str">
        <f aca="false">IF(M1784=1,SUM($M$1783:M1784),"")</f>
        <v/>
      </c>
      <c r="O1784" s="25" t="n">
        <v>2</v>
      </c>
    </row>
    <row r="1785" customFormat="false" ht="16.5" hidden="false" customHeight="true" outlineLevel="0" collapsed="false">
      <c r="B1785" s="40" t="str">
        <f aca="false">IFERROR(INDEX($J$1783:$J$1786,MATCH($O1785,$N$1783:$N$1786,0)),"")</f>
        <v/>
      </c>
      <c r="C1785" s="41" t="str">
        <f aca="false">IFERROR(INDEX($K$1783:$K$1786,MATCH($O1785,$N$1783:$N$1786,0)),"")</f>
        <v/>
      </c>
      <c r="D1785" s="42" t="str">
        <f aca="false">IF(OR(E1785="",N(C1785)=0),"",E1785/C1785-1)</f>
        <v/>
      </c>
      <c r="E1785" s="41" t="str">
        <f aca="false">IFERROR(INDEX($L$1783:$L$1786,MATCH($O1785,$N$1783:$N$1786,0)),"")</f>
        <v/>
      </c>
      <c r="F1785" s="41" t="str">
        <f aca="false">IF(E1785="","",E1785-C1785)</f>
        <v/>
      </c>
      <c r="J1785" s="25" t="str">
        <f aca="false">Lib_Jur</f>
        <v>Mission juridique (approbation des comptes, secrétariat juridique)</v>
      </c>
      <c r="K1785" s="25" t="n">
        <f aca="false">IF($K$1756=0,0,N(INDEX(Clients!$M$2:$M$501,$K$1756)))</f>
        <v>0</v>
      </c>
      <c r="L1785" s="25" t="n">
        <f aca="false">IF($K$1756=0,0,N(INDEX(Clients!$R$2:$R$501,$K$1756)))</f>
        <v>0</v>
      </c>
      <c r="M1785" s="25" t="n">
        <f aca="false">IF(OR(K1785&lt;&gt;0,L1785&lt;&gt;0),1,0)</f>
        <v>0</v>
      </c>
      <c r="N1785" s="25" t="str">
        <f aca="false">IF(M1785=1,SUM($M$1783:M1785),"")</f>
        <v/>
      </c>
      <c r="O1785" s="25" t="n">
        <v>3</v>
      </c>
    </row>
    <row r="1786" customFormat="false" ht="16.5" hidden="false" customHeight="true" outlineLevel="0" collapsed="false">
      <c r="B1786" s="40" t="str">
        <f aca="false">IFERROR(INDEX($J$1783:$J$1786,MATCH($O1786,$N$1783:$N$1786,0)),"")</f>
        <v/>
      </c>
      <c r="C1786" s="41" t="str">
        <f aca="false">IFERROR(INDEX($K$1783:$K$1786,MATCH($O1786,$N$1783:$N$1786,0)),"")</f>
        <v/>
      </c>
      <c r="D1786" s="42" t="str">
        <f aca="false">IF(OR(E1786="",N(C1786)=0),"",E1786/C1786-1)</f>
        <v/>
      </c>
      <c r="E1786" s="41" t="str">
        <f aca="false">IFERROR(INDEX($L$1783:$L$1786,MATCH($O1786,$N$1783:$N$1786,0)),"")</f>
        <v/>
      </c>
      <c r="F1786" s="41" t="str">
        <f aca="false">IF(E1786="","",E1786-C1786)</f>
        <v/>
      </c>
      <c r="J1786" s="25" t="str">
        <f aca="false">Lib_PA</f>
        <v>Plateforme agréée – facturation électronique</v>
      </c>
      <c r="K1786" s="25" t="n">
        <f aca="false">IF($K$1756=0,0,N(INDEX(Clients!$N$2:$N$501,$K$1756)))</f>
        <v>0</v>
      </c>
      <c r="L1786" s="25" t="n">
        <f aca="false">IF($K$1756=0,0,N(INDEX(Clients!$S$2:$S$501,$K$1756)))</f>
        <v>0</v>
      </c>
      <c r="M1786" s="25" t="n">
        <f aca="false">IF(OR(K1786&lt;&gt;0,L1786&lt;&gt;0),1,0)</f>
        <v>0</v>
      </c>
      <c r="N1786" s="25" t="str">
        <f aca="false">IF(M1786=1,SUM($M$1783:M1786),"")</f>
        <v/>
      </c>
      <c r="O1786" s="25" t="n">
        <v>4</v>
      </c>
    </row>
    <row r="1787" customFormat="false" ht="18" hidden="false" customHeight="true" outlineLevel="0" collapsed="false">
      <c r="B1787" s="43" t="s">
        <v>158</v>
      </c>
      <c r="C1787" s="44" t="n">
        <f aca="false">SUM(K1783:K1786)</f>
        <v>0</v>
      </c>
      <c r="D1787" s="45" t="str">
        <f aca="false">IF(N(C1787)=0,"",E1787/C1787-1)</f>
        <v/>
      </c>
      <c r="E1787" s="44" t="n">
        <f aca="false">SUM(L1783:L1786)</f>
        <v>0</v>
      </c>
      <c r="F1787" s="44" t="n">
        <f aca="false">E1787-C1787</f>
        <v>0</v>
      </c>
    </row>
    <row r="1788" customFormat="false" ht="15" hidden="false" customHeight="false" outlineLevel="0" collapsed="false">
      <c r="B1788" s="46" t="str">
        <f aca="false">IF(N(Nb_Mensualites)=0,"","Soit "&amp;FIXED(E1787/Nb_Mensualites,2)&amp;" € HT par échéance ("&amp;Nb_Mensualites&amp;" échéances), "&amp;FIXED(E1787/Nb_Mensualites*(1+Taux_TVA),2)&amp;" € TTC.")</f>
        <v>Soit 0.00 € HT par échéance (12 échéances), 0.00 € TTC.</v>
      </c>
      <c r="C1788" s="46"/>
      <c r="D1788" s="46"/>
      <c r="E1788" s="46"/>
      <c r="F1788" s="46"/>
    </row>
    <row r="1789" customFormat="false" ht="7.5" hidden="false" customHeight="true" outlineLevel="0" collapsed="false">
      <c r="B1789" s="10"/>
      <c r="C1789" s="10"/>
      <c r="D1789" s="10"/>
      <c r="E1789" s="10"/>
      <c r="F1789" s="10"/>
    </row>
    <row r="1790" customFormat="false" ht="36.75" hidden="false" customHeight="true" outlineLevel="0" collapsed="false">
      <c r="B1790" s="37" t="str">
        <f aca="false">SUBSTITUTE(SUBSTITUTE(SUBSTITUTE(SUBSTITUTE(SUBSTITUTE(Txt_P5,"{cabinet}",Cab_Nom),"{societe}",IF($K$1756=0,"",INDEX(Clients!$E$2:$E$501,$K$1756)&amp;"")),"{date_effet}",$K$1758),"{hausse}",$K$1759),"{civilite}",$K$1757)</f>
        <v>Les autres conditions de votre lettre de mission demeurent inchangées. Les nouveaux montants seront appliqués automatiquement sur vos prochaines factures et échéances de prélèvement.</v>
      </c>
      <c r="C1790" s="37"/>
      <c r="D1790" s="37"/>
      <c r="E1790" s="37"/>
      <c r="F1790" s="37"/>
    </row>
    <row r="1791" customFormat="false" ht="36.75" hidden="false" customHeight="true" outlineLevel="0" collapsed="false">
      <c r="B1791" s="37" t="str">
        <f aca="false">SUBSTITUTE(SUBSTITUTE(SUBSTITUTE(SUBSTITUTE(SUBSTITUTE(Txt_P6,"{cabinet}",Cab_Nom),"{societe}",IF($K$1756=0,"",INDEX(Clients!$E$2:$E$501,$K$1756)&amp;"")),"{date_effet}",$K$1758),"{hausse}",$K$1759),"{civilite}",$K$1757)</f>
        <v>Votre interlocuteur habituel reste à votre entière disposition pour répondre à vos questions et faire le point sur l'évolution de vos besoins.</v>
      </c>
      <c r="C1791" s="37"/>
      <c r="D1791" s="37"/>
      <c r="E1791" s="37"/>
      <c r="F1791" s="37"/>
    </row>
    <row r="1792" customFormat="false" ht="24" hidden="false" customHeight="true" outlineLevel="0" collapsed="false">
      <c r="B1792" s="37" t="str">
        <f aca="false">SUBSTITUTE(SUBSTITUTE(SUBSTITUTE(SUBSTITUTE(SUBSTITUTE(Txt_Politesse,"{cabinet}",Cab_Nom),"{societe}",IF($K$1756=0,"",INDEX(Clients!$E$2:$E$501,$K$1756)&amp;"")),"{date_effet}",$K$1758),"{hausse}",$K$1759),"{civilite}",$K$1757)</f>
        <v>Nous vous prions d'agréer, Madame, Monsieur, l'expression de nos salutations distinguées.</v>
      </c>
      <c r="C1792" s="37"/>
      <c r="D1792" s="37"/>
      <c r="E1792" s="37"/>
      <c r="F1792" s="37"/>
    </row>
    <row r="1793" customFormat="false" ht="15" hidden="false" customHeight="false" outlineLevel="0" collapsed="false">
      <c r="B1793" s="10"/>
      <c r="C1793" s="10"/>
      <c r="D1793" s="10"/>
      <c r="E1793" s="10"/>
      <c r="F1793" s="10"/>
    </row>
    <row r="1794" customFormat="false" ht="15" hidden="false" customHeight="false" outlineLevel="0" collapsed="false">
      <c r="B1794" s="10"/>
      <c r="C1794" s="10"/>
      <c r="D1794" s="34" t="str">
        <f aca="false">Signataire</f>
        <v>Prénom NOM</v>
      </c>
      <c r="E1794" s="34"/>
      <c r="F1794" s="34"/>
    </row>
    <row r="1795" customFormat="false" ht="15" hidden="false" customHeight="false" outlineLevel="0" collapsed="false">
      <c r="B1795" s="10"/>
      <c r="C1795" s="10"/>
      <c r="D1795" s="47" t="str">
        <f aca="false">Signataire_Titre</f>
        <v>Expert-comptable associé</v>
      </c>
      <c r="E1795" s="47"/>
      <c r="F1795" s="47"/>
    </row>
    <row r="1796" customFormat="false" ht="15.75" hidden="false" customHeight="true" outlineLevel="0" collapsed="false">
      <c r="B1796" s="10"/>
      <c r="C1796" s="10"/>
      <c r="D1796" s="10"/>
      <c r="E1796" s="10"/>
      <c r="F1796" s="10"/>
    </row>
    <row r="1797" customFormat="false" ht="15.75" hidden="false" customHeight="true" outlineLevel="0" collapsed="false">
      <c r="B1797" s="10"/>
      <c r="C1797" s="10"/>
      <c r="D1797" s="10"/>
      <c r="E1797" s="10"/>
      <c r="F1797" s="10"/>
    </row>
    <row r="1798" customFormat="false" ht="15.75" hidden="false" customHeight="true" outlineLevel="0" collapsed="false">
      <c r="B1798" s="10"/>
      <c r="C1798" s="10"/>
      <c r="D1798" s="10"/>
      <c r="E1798" s="10"/>
      <c r="F1798" s="10"/>
    </row>
    <row r="1799" customFormat="false" ht="15.75" hidden="false" customHeight="true" outlineLevel="0" collapsed="false">
      <c r="B1799" s="10"/>
      <c r="C1799" s="10"/>
      <c r="D1799" s="10"/>
      <c r="E1799" s="10"/>
      <c r="F1799" s="10"/>
    </row>
    <row r="1800" customFormat="false" ht="24" hidden="false" customHeight="true" outlineLevel="0" collapsed="false">
      <c r="B1800" s="48" t="str">
        <f aca="false">Cab_Mentions</f>
        <v>ALTHO EXPERTISE · SAS au capital de 10 000 € · RCS Pontoise 919 706 325 · TVA FR62919706325 · Société d'expertise comptable inscrite au Tableau de l'Ordre des experts-comptables de Paris Île-de-France</v>
      </c>
      <c r="C1800" s="48"/>
      <c r="D1800" s="48"/>
      <c r="E1800" s="48"/>
      <c r="F1800" s="48"/>
    </row>
    <row r="1801" customFormat="false" ht="15" hidden="false" customHeight="false" outlineLevel="0" collapsed="false">
      <c r="B1801" s="10"/>
      <c r="C1801" s="10"/>
      <c r="D1801" s="10"/>
      <c r="E1801" s="10"/>
      <c r="F1801" s="10"/>
      <c r="J1801" s="25" t="s">
        <v>142</v>
      </c>
      <c r="K1801" s="25" t="n">
        <f aca="false">IFERROR(MATCH(41,Clients!$Z$2:$Z$501,0),0)</f>
        <v>0</v>
      </c>
      <c r="L1801" s="25"/>
      <c r="M1801" s="25"/>
      <c r="N1801" s="25"/>
      <c r="O1801" s="25"/>
    </row>
    <row r="1802" customFormat="false" ht="21.75" hidden="false" customHeight="true" outlineLevel="0" collapsed="false">
      <c r="B1802" s="26" t="str">
        <f aca="false">Cab_Nom</f>
        <v>ALTHO EXPERTISE</v>
      </c>
      <c r="C1802" s="26"/>
      <c r="D1802" s="10"/>
      <c r="E1802" s="27" t="str">
        <f aca="false">IF($K$1801=0,"","Réf. client : "&amp;INDEX(Clients!$A$2:$A$501,$K$1801))</f>
        <v/>
      </c>
      <c r="F1802" s="27"/>
      <c r="J1802" s="25" t="s">
        <v>144</v>
      </c>
      <c r="K1802" s="25" t="str">
        <f aca="false">IF(IF($K$1801=0,"",INDEX(Clients!$B$2:$B$501,$K$1801)&amp;"")="Mme","Madame",IF(IF($K$1801=0,"",INDEX(Clients!$B$2:$B$501,$K$1801)&amp;"")="M.","Monsieur","Madame, Monsieur"))</f>
        <v>Madame, Monsieur</v>
      </c>
      <c r="L1802" s="25"/>
      <c r="M1802" s="25"/>
      <c r="N1802" s="25"/>
      <c r="O1802" s="25"/>
    </row>
    <row r="1803" customFormat="false" ht="15" hidden="false" customHeight="false" outlineLevel="0" collapsed="false">
      <c r="B1803" s="29" t="str">
        <f aca="false">Cab_Adr1</f>
        <v>141 rue Charles de Gaulle</v>
      </c>
      <c r="C1803" s="29"/>
      <c r="D1803" s="10"/>
      <c r="E1803" s="10"/>
      <c r="F1803" s="10"/>
      <c r="J1803" s="25" t="s">
        <v>145</v>
      </c>
      <c r="K1803" s="25" t="str">
        <f aca="false">DAY(Date_Effet)&amp;IF(DAY(Date_Effet)=1,"er","")&amp;" "&amp;INDEX(Liste_Mois,MONTH(Date_Effet))&amp;" "&amp;YEAR(Date_Effet)</f>
        <v>1er janvier 2027</v>
      </c>
      <c r="L1803" s="25"/>
      <c r="M1803" s="25"/>
      <c r="N1803" s="25"/>
      <c r="O1803" s="25"/>
    </row>
    <row r="1804" customFormat="false" ht="15" hidden="false" customHeight="false" outlineLevel="0" collapsed="false">
      <c r="B1804" s="29" t="str">
        <f aca="false">Cab_CPVille</f>
        <v>95130 LE PLESSIS-BOUCHARD</v>
      </c>
      <c r="C1804" s="29"/>
      <c r="D1804" s="10"/>
      <c r="E1804" s="10"/>
      <c r="F1804" s="10"/>
      <c r="J1804" s="25" t="s">
        <v>146</v>
      </c>
      <c r="K1804" s="25" t="str">
        <f aca="false">IF(SUM($K$1828:$K$1831)=0,"",FIXED((SUM($L$1828:$L$1831)/SUM($K$1828:$K$1831)-1)*100,1)&amp;" %")</f>
        <v/>
      </c>
      <c r="L1804" s="25"/>
      <c r="M1804" s="25"/>
      <c r="N1804" s="25"/>
      <c r="O1804" s="25"/>
    </row>
    <row r="1805" customFormat="false" ht="15" hidden="false" customHeight="false" outlineLevel="0" collapsed="false">
      <c r="B1805" s="29" t="str">
        <f aca="false">Cab_Contact</f>
        <v>Tél. 01 34 14 53 45  ·  altho@altho-experts.com  ·  altho-experts.com</v>
      </c>
      <c r="C1805" s="29"/>
      <c r="D1805" s="10"/>
      <c r="E1805" s="10"/>
      <c r="F1805" s="10"/>
      <c r="J1805" s="25"/>
      <c r="K1805" s="25"/>
      <c r="L1805" s="25"/>
      <c r="M1805" s="25"/>
      <c r="N1805" s="25"/>
      <c r="O1805" s="25"/>
    </row>
    <row r="1806" customFormat="false" ht="6" hidden="false" customHeight="true" outlineLevel="0" collapsed="false">
      <c r="B1806" s="32"/>
      <c r="C1806" s="32"/>
      <c r="D1806" s="32"/>
      <c r="E1806" s="32"/>
      <c r="F1806" s="32"/>
      <c r="J1806" s="25"/>
      <c r="K1806" s="25"/>
      <c r="L1806" s="25"/>
      <c r="M1806" s="25"/>
      <c r="N1806" s="25"/>
      <c r="O1806" s="25"/>
    </row>
    <row r="1807" customFormat="false" ht="13.5" hidden="false" customHeight="true" outlineLevel="0" collapsed="false">
      <c r="B1807" s="10"/>
      <c r="C1807" s="10"/>
      <c r="D1807" s="10"/>
      <c r="E1807" s="10"/>
      <c r="F1807" s="10"/>
      <c r="J1807" s="25"/>
      <c r="K1807" s="25"/>
      <c r="L1807" s="25"/>
      <c r="M1807" s="25"/>
      <c r="N1807" s="25"/>
      <c r="O1807" s="25"/>
    </row>
    <row r="1808" customFormat="false" ht="13.5" hidden="false" customHeight="true" outlineLevel="0" collapsed="false">
      <c r="B1808" s="10"/>
      <c r="C1808" s="10"/>
      <c r="D1808" s="10"/>
      <c r="E1808" s="10"/>
      <c r="F1808" s="10"/>
      <c r="J1808" s="25"/>
      <c r="K1808" s="25"/>
      <c r="L1808" s="25"/>
      <c r="M1808" s="25"/>
      <c r="N1808" s="25"/>
      <c r="O1808" s="25"/>
    </row>
    <row r="1809" customFormat="false" ht="13.5" hidden="false" customHeight="true" outlineLevel="0" collapsed="false">
      <c r="B1809" s="10"/>
      <c r="C1809" s="10"/>
      <c r="D1809" s="10"/>
      <c r="E1809" s="10"/>
      <c r="F1809" s="10"/>
      <c r="J1809" s="25"/>
      <c r="K1809" s="25"/>
      <c r="L1809" s="25"/>
      <c r="M1809" s="25"/>
      <c r="N1809" s="25"/>
      <c r="O1809" s="25"/>
    </row>
    <row r="1810" customFormat="false" ht="15" hidden="false" customHeight="true" outlineLevel="0" collapsed="false">
      <c r="B1810" s="10"/>
      <c r="C1810" s="10"/>
      <c r="D1810" s="34" t="str">
        <f aca="false">IF($K$1801=0,"",INDEX(Clients!$E$2:$E$501,$K$1801)&amp;"")</f>
        <v/>
      </c>
      <c r="E1810" s="34"/>
      <c r="F1810" s="34"/>
      <c r="J1810" s="25"/>
      <c r="K1810" s="25"/>
      <c r="L1810" s="25"/>
      <c r="M1810" s="25"/>
      <c r="N1810" s="25"/>
      <c r="O1810" s="25"/>
    </row>
    <row r="1811" customFormat="false" ht="15" hidden="false" customHeight="true" outlineLevel="0" collapsed="false">
      <c r="B1811" s="10"/>
      <c r="C1811" s="10"/>
      <c r="D1811" s="35" t="str">
        <f aca="false">IF(IF($K$1801=0,"",INDEX(Clients!$D$2:$D$501,$K$1801)&amp;"")="","","À l'attention de "&amp;TRIM(IF($K$1801=0,"",INDEX(Clients!$B$2:$B$501,$K$1801)&amp;"")&amp;" "&amp;IF($K$1801=0,"",INDEX(Clients!$C$2:$C$501,$K$1801)&amp;"")&amp;" "&amp;IF($K$1801=0,"",INDEX(Clients!$D$2:$D$501,$K$1801)&amp;"")))</f>
        <v/>
      </c>
      <c r="E1811" s="35"/>
      <c r="F1811" s="35"/>
      <c r="J1811" s="25"/>
      <c r="K1811" s="25"/>
      <c r="L1811" s="25"/>
      <c r="M1811" s="25"/>
      <c r="N1811" s="25"/>
      <c r="O1811" s="25"/>
    </row>
    <row r="1812" customFormat="false" ht="15" hidden="false" customHeight="true" outlineLevel="0" collapsed="false">
      <c r="B1812" s="10"/>
      <c r="C1812" s="10"/>
      <c r="D1812" s="35" t="str">
        <f aca="false">IF($K$1801=0,"",INDEX(Clients!$F$2:$F$501,$K$1801)&amp;"")</f>
        <v/>
      </c>
      <c r="E1812" s="35"/>
      <c r="F1812" s="35"/>
      <c r="J1812" s="25"/>
      <c r="K1812" s="25"/>
      <c r="L1812" s="25"/>
      <c r="M1812" s="25"/>
      <c r="N1812" s="25"/>
      <c r="O1812" s="25"/>
    </row>
    <row r="1813" customFormat="false" ht="15" hidden="false" customHeight="true" outlineLevel="0" collapsed="false">
      <c r="B1813" s="10"/>
      <c r="C1813" s="10"/>
      <c r="D1813" s="35" t="str">
        <f aca="false">IF(IF($K$1801=0,"",INDEX(Clients!$G$2:$G$501,$K$1801)&amp;"")="",TRIM(IF($K$1801=0,"",INDEX(Clients!$H$2:$H$501,$K$1801)&amp;"")&amp;" "&amp;UPPER(IF($K$1801=0,"",INDEX(Clients!$I$2:$I$501,$K$1801)&amp;""))),IF($K$1801=0,"",INDEX(Clients!$G$2:$G$501,$K$1801)&amp;""))</f>
        <v/>
      </c>
      <c r="E1813" s="35"/>
      <c r="F1813" s="35"/>
      <c r="J1813" s="25"/>
      <c r="K1813" s="25"/>
      <c r="L1813" s="25"/>
      <c r="M1813" s="25"/>
      <c r="N1813" s="25"/>
      <c r="O1813" s="25"/>
    </row>
    <row r="1814" customFormat="false" ht="15" hidden="false" customHeight="true" outlineLevel="0" collapsed="false">
      <c r="B1814" s="10"/>
      <c r="C1814" s="10"/>
      <c r="D1814" s="35" t="str">
        <f aca="false">IF(IF($K$1801=0,"",INDEX(Clients!$G$2:$G$501,$K$1801)&amp;"")="","",TRIM(IF($K$1801=0,"",INDEX(Clients!$H$2:$H$501,$K$1801)&amp;"")&amp;" "&amp;UPPER(IF($K$1801=0,"",INDEX(Clients!$I$2:$I$501,$K$1801)&amp;""))))</f>
        <v/>
      </c>
      <c r="E1814" s="35"/>
      <c r="F1814" s="35"/>
      <c r="J1814" s="25"/>
      <c r="K1814" s="25"/>
      <c r="L1814" s="25"/>
      <c r="M1814" s="25"/>
      <c r="N1814" s="25"/>
      <c r="O1814" s="25"/>
    </row>
    <row r="1815" customFormat="false" ht="25.5" hidden="false" customHeight="true" outlineLevel="0" collapsed="false">
      <c r="B1815" s="10"/>
      <c r="C1815" s="10"/>
      <c r="D1815" s="10"/>
      <c r="E1815" s="10"/>
      <c r="F1815" s="10"/>
      <c r="J1815" s="25"/>
      <c r="K1815" s="25"/>
      <c r="L1815" s="25"/>
      <c r="M1815" s="25"/>
      <c r="N1815" s="25"/>
      <c r="O1815" s="25"/>
    </row>
    <row r="1816" customFormat="false" ht="15" hidden="false" customHeight="false" outlineLevel="0" collapsed="false">
      <c r="B1816" s="10"/>
      <c r="C1816" s="10"/>
      <c r="D1816" s="36" t="str">
        <f aca="false">Cab_Ville&amp;", le "&amp;DAY(Date_Courrier)&amp;IF(DAY(Date_Courrier)=1,"er","")&amp;" "&amp;INDEX(Liste_Mois,MONTH(Date_Courrier))&amp;" "&amp;YEAR(Date_Courrier)</f>
        <v>Le Plessis-Bouchard, le 22 septembre 2026</v>
      </c>
      <c r="E1816" s="36"/>
      <c r="F1816" s="36"/>
      <c r="J1816" s="25"/>
      <c r="K1816" s="25"/>
      <c r="L1816" s="25"/>
      <c r="M1816" s="25"/>
      <c r="N1816" s="25"/>
      <c r="O1816" s="25"/>
    </row>
    <row r="1817" customFormat="false" ht="19.5" hidden="false" customHeight="true" outlineLevel="0" collapsed="false">
      <c r="B1817" s="10"/>
      <c r="C1817" s="10"/>
      <c r="D1817" s="10"/>
      <c r="E1817" s="10"/>
      <c r="F1817" s="10"/>
      <c r="J1817" s="25"/>
      <c r="K1817" s="25"/>
      <c r="L1817" s="25"/>
      <c r="M1817" s="25"/>
      <c r="N1817" s="25"/>
      <c r="O1817" s="25"/>
    </row>
    <row r="1818" customFormat="false" ht="15" hidden="false" customHeight="false" outlineLevel="0" collapsed="false">
      <c r="B1818" s="34" t="str">
        <f aca="false">SUBSTITUTE(SUBSTITUTE(SUBSTITUTE(SUBSTITUTE(SUBSTITUTE(Txt_Objet,"{cabinet}",Cab_Nom),"{societe}",IF($K$1801=0,"",INDEX(Clients!$E$2:$E$501,$K$1801)&amp;"")),"{date_effet}",$K$1803),"{hausse}",$K$1804),"{civilite}",$K$1802)</f>
        <v>Objet : révision de nos honoraires au 1er janvier 2027</v>
      </c>
      <c r="C1818" s="34"/>
      <c r="D1818" s="34"/>
      <c r="E1818" s="34"/>
      <c r="F1818" s="34"/>
      <c r="J1818" s="25"/>
      <c r="K1818" s="25"/>
      <c r="L1818" s="25"/>
      <c r="M1818" s="25"/>
      <c r="N1818" s="25"/>
      <c r="O1818" s="25"/>
    </row>
    <row r="1819" customFormat="false" ht="13.5" hidden="false" customHeight="true" outlineLevel="0" collapsed="false">
      <c r="B1819" s="10"/>
      <c r="C1819" s="10"/>
      <c r="D1819" s="10"/>
      <c r="E1819" s="10"/>
      <c r="F1819" s="10"/>
      <c r="J1819" s="25"/>
      <c r="K1819" s="25"/>
      <c r="L1819" s="25"/>
      <c r="M1819" s="25"/>
      <c r="N1819" s="25"/>
      <c r="O1819" s="25"/>
    </row>
    <row r="1820" customFormat="false" ht="15" hidden="false" customHeight="false" outlineLevel="0" collapsed="false">
      <c r="B1820" s="10" t="str">
        <f aca="false">$K$1802&amp;","</f>
        <v>Madame, Monsieur,</v>
      </c>
      <c r="C1820" s="10"/>
      <c r="D1820" s="10"/>
      <c r="E1820" s="10"/>
      <c r="F1820" s="10"/>
      <c r="J1820" s="25"/>
      <c r="K1820" s="25"/>
      <c r="L1820" s="25"/>
      <c r="M1820" s="25"/>
      <c r="N1820" s="25"/>
      <c r="O1820" s="25"/>
    </row>
    <row r="1821" customFormat="false" ht="6" hidden="false" customHeight="true" outlineLevel="0" collapsed="false">
      <c r="B1821" s="10"/>
      <c r="C1821" s="10"/>
      <c r="D1821" s="10"/>
      <c r="E1821" s="10"/>
      <c r="F1821" s="10"/>
      <c r="J1821" s="25"/>
      <c r="K1821" s="25"/>
      <c r="L1821" s="25"/>
      <c r="M1821" s="25"/>
      <c r="N1821" s="25"/>
      <c r="O1821" s="25"/>
    </row>
    <row r="1822" customFormat="false" ht="36.75" hidden="false" customHeight="true" outlineLevel="0" collapsed="false">
      <c r="B1822" s="37" t="str">
        <f aca="false">SUBSTITUTE(SUBSTITUTE(SUBSTITUTE(SUBSTITUTE(SUBSTITUTE(Txt_P1,"{cabinet}",Cab_Nom),"{societe}",IF($K$1801=0,"",INDEX(Clients!$E$2:$E$501,$K$1801)&amp;"")),"{date_effet}",$K$1803),"{hausse}",$K$1804),"{civilite}",$K$1802)</f>
        <v>Nous tenons tout d'abord à vous remercier pour la confiance que vous accordez à ALTHO EXPERTISE. Comme chaque année, et conformément aux dispositions de votre lettre de mission, nous procédons à la révision de nos honoraires.</v>
      </c>
      <c r="C1822" s="37"/>
      <c r="D1822" s="37"/>
      <c r="E1822" s="37"/>
      <c r="F1822" s="37"/>
      <c r="J1822" s="25"/>
      <c r="K1822" s="25"/>
      <c r="L1822" s="25"/>
      <c r="M1822" s="25"/>
      <c r="N1822" s="25"/>
      <c r="O1822" s="25"/>
    </row>
    <row r="1823" customFormat="false" ht="49.5" hidden="false" customHeight="true" outlineLevel="0" collapsed="false">
      <c r="B1823" s="37" t="str">
        <f aca="false">SUBSTITUTE(SUBSTITUTE(SUBSTITUTE(SUBSTITUTE(SUBSTITUTE(Txt_P2,"{cabinet}",Cab_Nom),"{societe}",IF($K$1801=0,"",INDEX(Clients!$E$2:$E$501,$K$1801)&amp;"")),"{date_effet}",$K$1803),"{hausse}",$K$1804),"{civilite}",$K$1802)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823" s="37"/>
      <c r="D1823" s="37"/>
      <c r="E1823" s="37"/>
      <c r="F1823" s="37"/>
      <c r="J1823" s="25"/>
      <c r="K1823" s="25"/>
      <c r="L1823" s="25"/>
      <c r="M1823" s="25"/>
      <c r="N1823" s="25"/>
      <c r="O1823" s="25"/>
    </row>
    <row r="1824" customFormat="false" ht="63" hidden="false" customHeight="true" outlineLevel="0" collapsed="false">
      <c r="B1824" s="37" t="str">
        <f aca="false">SUBSTITUTE(SUBSTITUTE(SUBSTITUTE(SUBSTITUTE(SUBSTITUTE(Txt_P3,"{cabinet}",Cab_Nom),"{societe}",IF($K$1801=0,"",INDEX(Clients!$E$2:$E$501,$K$1801)&amp;"")),"{date_effet}",$K$1803),"{hausse}",$K$1804),"{civilite}",$K$1802)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824" s="37"/>
      <c r="D1824" s="37"/>
      <c r="E1824" s="37"/>
      <c r="F1824" s="37"/>
      <c r="J1824" s="25"/>
      <c r="K1824" s="25"/>
      <c r="L1824" s="25"/>
      <c r="M1824" s="25"/>
      <c r="N1824" s="25"/>
      <c r="O1824" s="25"/>
    </row>
    <row r="1825" customFormat="false" ht="24" hidden="false" customHeight="true" outlineLevel="0" collapsed="false">
      <c r="B1825" s="37" t="str">
        <f aca="false">SUBSTITUTE(SUBSTITUTE(SUBSTITUTE(SUBSTITUTE(SUBSTITUTE(Txt_P4,"{cabinet}",Cab_Nom),"{societe}",IF($K$1801=0,"",INDEX(Clients!$E$2:$E$501,$K$1801)&amp;"")),"{date_effet}",$K$1803),"{hausse}",$K$1804),"{civilite}",$K$1802)</f>
        <v>À compter du 1er janvier 2027, vos honoraires annuels hors taxes évolueront ainsi (évolution globale : ) :</v>
      </c>
      <c r="C1825" s="37"/>
      <c r="D1825" s="37"/>
      <c r="E1825" s="37"/>
      <c r="F1825" s="37"/>
      <c r="J1825" s="25"/>
      <c r="K1825" s="25"/>
      <c r="L1825" s="25"/>
      <c r="M1825" s="25"/>
      <c r="N1825" s="25"/>
      <c r="O1825" s="25"/>
    </row>
    <row r="1826" customFormat="false" ht="3.75" hidden="false" customHeight="true" outlineLevel="0" collapsed="false">
      <c r="B1826" s="10"/>
      <c r="C1826" s="10"/>
      <c r="D1826" s="10"/>
      <c r="E1826" s="10"/>
      <c r="F1826" s="10"/>
      <c r="J1826" s="25"/>
      <c r="K1826" s="25"/>
      <c r="L1826" s="25"/>
      <c r="M1826" s="25"/>
      <c r="N1826" s="25"/>
      <c r="O1826" s="25"/>
    </row>
    <row r="1827" customFormat="false" ht="18" hidden="false" customHeight="true" outlineLevel="0" collapsed="false">
      <c r="B1827" s="38" t="s">
        <v>148</v>
      </c>
      <c r="C1827" s="39" t="s">
        <v>149</v>
      </c>
      <c r="D1827" s="39" t="s">
        <v>150</v>
      </c>
      <c r="E1827" s="39" t="s">
        <v>151</v>
      </c>
      <c r="F1827" s="39" t="s">
        <v>109</v>
      </c>
      <c r="J1827" s="25" t="s">
        <v>152</v>
      </c>
      <c r="K1827" s="25" t="s">
        <v>153</v>
      </c>
      <c r="L1827" s="25" t="s">
        <v>154</v>
      </c>
      <c r="M1827" s="25" t="s">
        <v>155</v>
      </c>
      <c r="N1827" s="25" t="s">
        <v>156</v>
      </c>
      <c r="O1827" s="25" t="s">
        <v>157</v>
      </c>
    </row>
    <row r="1828" customFormat="false" ht="16.5" hidden="false" customHeight="true" outlineLevel="0" collapsed="false">
      <c r="B1828" s="40" t="str">
        <f aca="false">IFERROR(INDEX($J$1828:$J$1831,MATCH($O1828,$N$1828:$N$1831,0)),"")</f>
        <v/>
      </c>
      <c r="C1828" s="41" t="str">
        <f aca="false">IFERROR(INDEX($K$1828:$K$1831,MATCH($O1828,$N$1828:$N$1831,0)),"")</f>
        <v/>
      </c>
      <c r="D1828" s="42" t="str">
        <f aca="false">IF(OR(E1828="",N(C1828)=0),"",E1828/C1828-1)</f>
        <v/>
      </c>
      <c r="E1828" s="41" t="str">
        <f aca="false">IFERROR(INDEX($L$1828:$L$1831,MATCH($O1828,$N$1828:$N$1831,0)),"")</f>
        <v/>
      </c>
      <c r="F1828" s="41" t="str">
        <f aca="false">IF(E1828="","",E1828-C1828)</f>
        <v/>
      </c>
      <c r="J1828" s="25" t="str">
        <f aca="false">Lib_Compta</f>
        <v>Mission comptable (tenue, révision, bilan, liasse fiscale)</v>
      </c>
      <c r="K1828" s="25" t="n">
        <f aca="false">IF($K$1801=0,0,N(INDEX(Clients!$K$2:$K$501,$K$1801)))</f>
        <v>0</v>
      </c>
      <c r="L1828" s="25" t="n">
        <f aca="false">IF($K$1801=0,0,N(INDEX(Clients!$P$2:$P$501,$K$1801)))</f>
        <v>0</v>
      </c>
      <c r="M1828" s="25" t="n">
        <f aca="false">IF(OR(K1828&lt;&gt;0,L1828&lt;&gt;0),1,0)</f>
        <v>0</v>
      </c>
      <c r="N1828" s="25" t="str">
        <f aca="false">IF(M1828=1,SUM($M$1828:M1828),"")</f>
        <v/>
      </c>
      <c r="O1828" s="25" t="n">
        <v>1</v>
      </c>
    </row>
    <row r="1829" customFormat="false" ht="16.5" hidden="false" customHeight="true" outlineLevel="0" collapsed="false">
      <c r="B1829" s="40" t="str">
        <f aca="false">IFERROR(INDEX($J$1828:$J$1831,MATCH($O1829,$N$1828:$N$1831,0)),"")</f>
        <v/>
      </c>
      <c r="C1829" s="41" t="str">
        <f aca="false">IFERROR(INDEX($K$1828:$K$1831,MATCH($O1829,$N$1828:$N$1831,0)),"")</f>
        <v/>
      </c>
      <c r="D1829" s="42" t="str">
        <f aca="false">IF(OR(E1829="",N(C1829)=0),"",E1829/C1829-1)</f>
        <v/>
      </c>
      <c r="E1829" s="41" t="str">
        <f aca="false">IFERROR(INDEX($L$1828:$L$1831,MATCH($O1829,$N$1828:$N$1831,0)),"")</f>
        <v/>
      </c>
      <c r="F1829" s="41" t="str">
        <f aca="false">IF(E1829="","",E1829-C1829)</f>
        <v/>
      </c>
      <c r="J1829" s="25" t="str">
        <f aca="false">Lib_Paye</f>
        <v>Mission sociale (bulletins de paie, DSN, déclarations sociales)</v>
      </c>
      <c r="K1829" s="25" t="n">
        <f aca="false">IF($K$1801=0,0,N(INDEX(Clients!$L$2:$L$501,$K$1801)))</f>
        <v>0</v>
      </c>
      <c r="L1829" s="25" t="n">
        <f aca="false">IF($K$1801=0,0,N(INDEX(Clients!$Q$2:$Q$501,$K$1801)))</f>
        <v>0</v>
      </c>
      <c r="M1829" s="25" t="n">
        <f aca="false">IF(OR(K1829&lt;&gt;0,L1829&lt;&gt;0),1,0)</f>
        <v>0</v>
      </c>
      <c r="N1829" s="25" t="str">
        <f aca="false">IF(M1829=1,SUM($M$1828:M1829),"")</f>
        <v/>
      </c>
      <c r="O1829" s="25" t="n">
        <v>2</v>
      </c>
    </row>
    <row r="1830" customFormat="false" ht="16.5" hidden="false" customHeight="true" outlineLevel="0" collapsed="false">
      <c r="B1830" s="40" t="str">
        <f aca="false">IFERROR(INDEX($J$1828:$J$1831,MATCH($O1830,$N$1828:$N$1831,0)),"")</f>
        <v/>
      </c>
      <c r="C1830" s="41" t="str">
        <f aca="false">IFERROR(INDEX($K$1828:$K$1831,MATCH($O1830,$N$1828:$N$1831,0)),"")</f>
        <v/>
      </c>
      <c r="D1830" s="42" t="str">
        <f aca="false">IF(OR(E1830="",N(C1830)=0),"",E1830/C1830-1)</f>
        <v/>
      </c>
      <c r="E1830" s="41" t="str">
        <f aca="false">IFERROR(INDEX($L$1828:$L$1831,MATCH($O1830,$N$1828:$N$1831,0)),"")</f>
        <v/>
      </c>
      <c r="F1830" s="41" t="str">
        <f aca="false">IF(E1830="","",E1830-C1830)</f>
        <v/>
      </c>
      <c r="J1830" s="25" t="str">
        <f aca="false">Lib_Jur</f>
        <v>Mission juridique (approbation des comptes, secrétariat juridique)</v>
      </c>
      <c r="K1830" s="25" t="n">
        <f aca="false">IF($K$1801=0,0,N(INDEX(Clients!$M$2:$M$501,$K$1801)))</f>
        <v>0</v>
      </c>
      <c r="L1830" s="25" t="n">
        <f aca="false">IF($K$1801=0,0,N(INDEX(Clients!$R$2:$R$501,$K$1801)))</f>
        <v>0</v>
      </c>
      <c r="M1830" s="25" t="n">
        <f aca="false">IF(OR(K1830&lt;&gt;0,L1830&lt;&gt;0),1,0)</f>
        <v>0</v>
      </c>
      <c r="N1830" s="25" t="str">
        <f aca="false">IF(M1830=1,SUM($M$1828:M1830),"")</f>
        <v/>
      </c>
      <c r="O1830" s="25" t="n">
        <v>3</v>
      </c>
    </row>
    <row r="1831" customFormat="false" ht="16.5" hidden="false" customHeight="true" outlineLevel="0" collapsed="false">
      <c r="B1831" s="40" t="str">
        <f aca="false">IFERROR(INDEX($J$1828:$J$1831,MATCH($O1831,$N$1828:$N$1831,0)),"")</f>
        <v/>
      </c>
      <c r="C1831" s="41" t="str">
        <f aca="false">IFERROR(INDEX($K$1828:$K$1831,MATCH($O1831,$N$1828:$N$1831,0)),"")</f>
        <v/>
      </c>
      <c r="D1831" s="42" t="str">
        <f aca="false">IF(OR(E1831="",N(C1831)=0),"",E1831/C1831-1)</f>
        <v/>
      </c>
      <c r="E1831" s="41" t="str">
        <f aca="false">IFERROR(INDEX($L$1828:$L$1831,MATCH($O1831,$N$1828:$N$1831,0)),"")</f>
        <v/>
      </c>
      <c r="F1831" s="41" t="str">
        <f aca="false">IF(E1831="","",E1831-C1831)</f>
        <v/>
      </c>
      <c r="J1831" s="25" t="str">
        <f aca="false">Lib_PA</f>
        <v>Plateforme agréée – facturation électronique</v>
      </c>
      <c r="K1831" s="25" t="n">
        <f aca="false">IF($K$1801=0,0,N(INDEX(Clients!$N$2:$N$501,$K$1801)))</f>
        <v>0</v>
      </c>
      <c r="L1831" s="25" t="n">
        <f aca="false">IF($K$1801=0,0,N(INDEX(Clients!$S$2:$S$501,$K$1801)))</f>
        <v>0</v>
      </c>
      <c r="M1831" s="25" t="n">
        <f aca="false">IF(OR(K1831&lt;&gt;0,L1831&lt;&gt;0),1,0)</f>
        <v>0</v>
      </c>
      <c r="N1831" s="25" t="str">
        <f aca="false">IF(M1831=1,SUM($M$1828:M1831),"")</f>
        <v/>
      </c>
      <c r="O1831" s="25" t="n">
        <v>4</v>
      </c>
    </row>
    <row r="1832" customFormat="false" ht="18" hidden="false" customHeight="true" outlineLevel="0" collapsed="false">
      <c r="B1832" s="43" t="s">
        <v>158</v>
      </c>
      <c r="C1832" s="44" t="n">
        <f aca="false">SUM(K1828:K1831)</f>
        <v>0</v>
      </c>
      <c r="D1832" s="45" t="str">
        <f aca="false">IF(N(C1832)=0,"",E1832/C1832-1)</f>
        <v/>
      </c>
      <c r="E1832" s="44" t="n">
        <f aca="false">SUM(L1828:L1831)</f>
        <v>0</v>
      </c>
      <c r="F1832" s="44" t="n">
        <f aca="false">E1832-C1832</f>
        <v>0</v>
      </c>
    </row>
    <row r="1833" customFormat="false" ht="15" hidden="false" customHeight="false" outlineLevel="0" collapsed="false">
      <c r="B1833" s="46" t="str">
        <f aca="false">IF(N(Nb_Mensualites)=0,"","Soit "&amp;FIXED(E1832/Nb_Mensualites,2)&amp;" € HT par échéance ("&amp;Nb_Mensualites&amp;" échéances), "&amp;FIXED(E1832/Nb_Mensualites*(1+Taux_TVA),2)&amp;" € TTC.")</f>
        <v>Soit 0.00 € HT par échéance (12 échéances), 0.00 € TTC.</v>
      </c>
      <c r="C1833" s="46"/>
      <c r="D1833" s="46"/>
      <c r="E1833" s="46"/>
      <c r="F1833" s="46"/>
    </row>
    <row r="1834" customFormat="false" ht="7.5" hidden="false" customHeight="true" outlineLevel="0" collapsed="false">
      <c r="B1834" s="10"/>
      <c r="C1834" s="10"/>
      <c r="D1834" s="10"/>
      <c r="E1834" s="10"/>
      <c r="F1834" s="10"/>
    </row>
    <row r="1835" customFormat="false" ht="36.75" hidden="false" customHeight="true" outlineLevel="0" collapsed="false">
      <c r="B1835" s="37" t="str">
        <f aca="false">SUBSTITUTE(SUBSTITUTE(SUBSTITUTE(SUBSTITUTE(SUBSTITUTE(Txt_P5,"{cabinet}",Cab_Nom),"{societe}",IF($K$1801=0,"",INDEX(Clients!$E$2:$E$501,$K$1801)&amp;"")),"{date_effet}",$K$1803),"{hausse}",$K$1804),"{civilite}",$K$1802)</f>
        <v>Les autres conditions de votre lettre de mission demeurent inchangées. Les nouveaux montants seront appliqués automatiquement sur vos prochaines factures et échéances de prélèvement.</v>
      </c>
      <c r="C1835" s="37"/>
      <c r="D1835" s="37"/>
      <c r="E1835" s="37"/>
      <c r="F1835" s="37"/>
    </row>
    <row r="1836" customFormat="false" ht="36.75" hidden="false" customHeight="true" outlineLevel="0" collapsed="false">
      <c r="B1836" s="37" t="str">
        <f aca="false">SUBSTITUTE(SUBSTITUTE(SUBSTITUTE(SUBSTITUTE(SUBSTITUTE(Txt_P6,"{cabinet}",Cab_Nom),"{societe}",IF($K$1801=0,"",INDEX(Clients!$E$2:$E$501,$K$1801)&amp;"")),"{date_effet}",$K$1803),"{hausse}",$K$1804),"{civilite}",$K$1802)</f>
        <v>Votre interlocuteur habituel reste à votre entière disposition pour répondre à vos questions et faire le point sur l'évolution de vos besoins.</v>
      </c>
      <c r="C1836" s="37"/>
      <c r="D1836" s="37"/>
      <c r="E1836" s="37"/>
      <c r="F1836" s="37"/>
    </row>
    <row r="1837" customFormat="false" ht="24" hidden="false" customHeight="true" outlineLevel="0" collapsed="false">
      <c r="B1837" s="37" t="str">
        <f aca="false">SUBSTITUTE(SUBSTITUTE(SUBSTITUTE(SUBSTITUTE(SUBSTITUTE(Txt_Politesse,"{cabinet}",Cab_Nom),"{societe}",IF($K$1801=0,"",INDEX(Clients!$E$2:$E$501,$K$1801)&amp;"")),"{date_effet}",$K$1803),"{hausse}",$K$1804),"{civilite}",$K$1802)</f>
        <v>Nous vous prions d'agréer, Madame, Monsieur, l'expression de nos salutations distinguées.</v>
      </c>
      <c r="C1837" s="37"/>
      <c r="D1837" s="37"/>
      <c r="E1837" s="37"/>
      <c r="F1837" s="37"/>
    </row>
    <row r="1838" customFormat="false" ht="15" hidden="false" customHeight="false" outlineLevel="0" collapsed="false">
      <c r="B1838" s="10"/>
      <c r="C1838" s="10"/>
      <c r="D1838" s="10"/>
      <c r="E1838" s="10"/>
      <c r="F1838" s="10"/>
    </row>
    <row r="1839" customFormat="false" ht="15" hidden="false" customHeight="false" outlineLevel="0" collapsed="false">
      <c r="B1839" s="10"/>
      <c r="C1839" s="10"/>
      <c r="D1839" s="34" t="str">
        <f aca="false">Signataire</f>
        <v>Prénom NOM</v>
      </c>
      <c r="E1839" s="34"/>
      <c r="F1839" s="34"/>
    </row>
    <row r="1840" customFormat="false" ht="15" hidden="false" customHeight="false" outlineLevel="0" collapsed="false">
      <c r="B1840" s="10"/>
      <c r="C1840" s="10"/>
      <c r="D1840" s="47" t="str">
        <f aca="false">Signataire_Titre</f>
        <v>Expert-comptable associé</v>
      </c>
      <c r="E1840" s="47"/>
      <c r="F1840" s="47"/>
    </row>
    <row r="1841" customFormat="false" ht="15.75" hidden="false" customHeight="true" outlineLevel="0" collapsed="false">
      <c r="B1841" s="10"/>
      <c r="C1841" s="10"/>
      <c r="D1841" s="10"/>
      <c r="E1841" s="10"/>
      <c r="F1841" s="10"/>
    </row>
    <row r="1842" customFormat="false" ht="15.75" hidden="false" customHeight="true" outlineLevel="0" collapsed="false">
      <c r="B1842" s="10"/>
      <c r="C1842" s="10"/>
      <c r="D1842" s="10"/>
      <c r="E1842" s="10"/>
      <c r="F1842" s="10"/>
    </row>
    <row r="1843" customFormat="false" ht="15.75" hidden="false" customHeight="true" outlineLevel="0" collapsed="false">
      <c r="B1843" s="10"/>
      <c r="C1843" s="10"/>
      <c r="D1843" s="10"/>
      <c r="E1843" s="10"/>
      <c r="F1843" s="10"/>
    </row>
    <row r="1844" customFormat="false" ht="15.75" hidden="false" customHeight="true" outlineLevel="0" collapsed="false">
      <c r="B1844" s="10"/>
      <c r="C1844" s="10"/>
      <c r="D1844" s="10"/>
      <c r="E1844" s="10"/>
      <c r="F1844" s="10"/>
    </row>
    <row r="1845" customFormat="false" ht="24" hidden="false" customHeight="true" outlineLevel="0" collapsed="false">
      <c r="B1845" s="48" t="str">
        <f aca="false">Cab_Mentions</f>
        <v>ALTHO EXPERTISE · SAS au capital de 10 000 € · RCS Pontoise 919 706 325 · TVA FR62919706325 · Société d'expertise comptable inscrite au Tableau de l'Ordre des experts-comptables de Paris Île-de-France</v>
      </c>
      <c r="C1845" s="48"/>
      <c r="D1845" s="48"/>
      <c r="E1845" s="48"/>
      <c r="F1845" s="48"/>
    </row>
    <row r="1846" customFormat="false" ht="15" hidden="false" customHeight="false" outlineLevel="0" collapsed="false">
      <c r="B1846" s="10"/>
      <c r="C1846" s="10"/>
      <c r="D1846" s="10"/>
      <c r="E1846" s="10"/>
      <c r="F1846" s="10"/>
      <c r="J1846" s="25" t="s">
        <v>142</v>
      </c>
      <c r="K1846" s="25" t="n">
        <f aca="false">IFERROR(MATCH(42,Clients!$Z$2:$Z$501,0),0)</f>
        <v>0</v>
      </c>
      <c r="L1846" s="25"/>
      <c r="M1846" s="25"/>
      <c r="N1846" s="25"/>
      <c r="O1846" s="25"/>
    </row>
    <row r="1847" customFormat="false" ht="21.75" hidden="false" customHeight="true" outlineLevel="0" collapsed="false">
      <c r="B1847" s="26" t="str">
        <f aca="false">Cab_Nom</f>
        <v>ALTHO EXPERTISE</v>
      </c>
      <c r="C1847" s="26"/>
      <c r="D1847" s="10"/>
      <c r="E1847" s="27" t="str">
        <f aca="false">IF($K$1846=0,"","Réf. client : "&amp;INDEX(Clients!$A$2:$A$501,$K$1846))</f>
        <v/>
      </c>
      <c r="F1847" s="27"/>
      <c r="J1847" s="25" t="s">
        <v>144</v>
      </c>
      <c r="K1847" s="25" t="str">
        <f aca="false">IF(IF($K$1846=0,"",INDEX(Clients!$B$2:$B$501,$K$1846)&amp;"")="Mme","Madame",IF(IF($K$1846=0,"",INDEX(Clients!$B$2:$B$501,$K$1846)&amp;"")="M.","Monsieur","Madame, Monsieur"))</f>
        <v>Madame, Monsieur</v>
      </c>
      <c r="L1847" s="25"/>
      <c r="M1847" s="25"/>
      <c r="N1847" s="25"/>
      <c r="O1847" s="25"/>
    </row>
    <row r="1848" customFormat="false" ht="15" hidden="false" customHeight="false" outlineLevel="0" collapsed="false">
      <c r="B1848" s="29" t="str">
        <f aca="false">Cab_Adr1</f>
        <v>141 rue Charles de Gaulle</v>
      </c>
      <c r="C1848" s="29"/>
      <c r="D1848" s="10"/>
      <c r="E1848" s="10"/>
      <c r="F1848" s="10"/>
      <c r="J1848" s="25" t="s">
        <v>145</v>
      </c>
      <c r="K1848" s="25" t="str">
        <f aca="false">DAY(Date_Effet)&amp;IF(DAY(Date_Effet)=1,"er","")&amp;" "&amp;INDEX(Liste_Mois,MONTH(Date_Effet))&amp;" "&amp;YEAR(Date_Effet)</f>
        <v>1er janvier 2027</v>
      </c>
      <c r="L1848" s="25"/>
      <c r="M1848" s="25"/>
      <c r="N1848" s="25"/>
      <c r="O1848" s="25"/>
    </row>
    <row r="1849" customFormat="false" ht="15" hidden="false" customHeight="false" outlineLevel="0" collapsed="false">
      <c r="B1849" s="29" t="str">
        <f aca="false">Cab_CPVille</f>
        <v>95130 LE PLESSIS-BOUCHARD</v>
      </c>
      <c r="C1849" s="29"/>
      <c r="D1849" s="10"/>
      <c r="E1849" s="10"/>
      <c r="F1849" s="10"/>
      <c r="J1849" s="25" t="s">
        <v>146</v>
      </c>
      <c r="K1849" s="25" t="str">
        <f aca="false">IF(SUM($K$1873:$K$1876)=0,"",FIXED((SUM($L$1873:$L$1876)/SUM($K$1873:$K$1876)-1)*100,1)&amp;" %")</f>
        <v/>
      </c>
      <c r="L1849" s="25"/>
      <c r="M1849" s="25"/>
      <c r="N1849" s="25"/>
      <c r="O1849" s="25"/>
    </row>
    <row r="1850" customFormat="false" ht="15" hidden="false" customHeight="false" outlineLevel="0" collapsed="false">
      <c r="B1850" s="29" t="str">
        <f aca="false">Cab_Contact</f>
        <v>Tél. 01 34 14 53 45  ·  altho@altho-experts.com  ·  altho-experts.com</v>
      </c>
      <c r="C1850" s="29"/>
      <c r="D1850" s="10"/>
      <c r="E1850" s="10"/>
      <c r="F1850" s="10"/>
      <c r="J1850" s="25"/>
      <c r="K1850" s="25"/>
      <c r="L1850" s="25"/>
      <c r="M1850" s="25"/>
      <c r="N1850" s="25"/>
      <c r="O1850" s="25"/>
    </row>
    <row r="1851" customFormat="false" ht="6" hidden="false" customHeight="true" outlineLevel="0" collapsed="false">
      <c r="B1851" s="32"/>
      <c r="C1851" s="32"/>
      <c r="D1851" s="32"/>
      <c r="E1851" s="32"/>
      <c r="F1851" s="32"/>
      <c r="J1851" s="25"/>
      <c r="K1851" s="25"/>
      <c r="L1851" s="25"/>
      <c r="M1851" s="25"/>
      <c r="N1851" s="25"/>
      <c r="O1851" s="25"/>
    </row>
    <row r="1852" customFormat="false" ht="13.5" hidden="false" customHeight="true" outlineLevel="0" collapsed="false">
      <c r="B1852" s="10"/>
      <c r="C1852" s="10"/>
      <c r="D1852" s="10"/>
      <c r="E1852" s="10"/>
      <c r="F1852" s="10"/>
      <c r="J1852" s="25"/>
      <c r="K1852" s="25"/>
      <c r="L1852" s="25"/>
      <c r="M1852" s="25"/>
      <c r="N1852" s="25"/>
      <c r="O1852" s="25"/>
    </row>
    <row r="1853" customFormat="false" ht="13.5" hidden="false" customHeight="true" outlineLevel="0" collapsed="false">
      <c r="B1853" s="10"/>
      <c r="C1853" s="10"/>
      <c r="D1853" s="10"/>
      <c r="E1853" s="10"/>
      <c r="F1853" s="10"/>
      <c r="J1853" s="25"/>
      <c r="K1853" s="25"/>
      <c r="L1853" s="25"/>
      <c r="M1853" s="25"/>
      <c r="N1853" s="25"/>
      <c r="O1853" s="25"/>
    </row>
    <row r="1854" customFormat="false" ht="13.5" hidden="false" customHeight="true" outlineLevel="0" collapsed="false">
      <c r="B1854" s="10"/>
      <c r="C1854" s="10"/>
      <c r="D1854" s="10"/>
      <c r="E1854" s="10"/>
      <c r="F1854" s="10"/>
      <c r="J1854" s="25"/>
      <c r="K1854" s="25"/>
      <c r="L1854" s="25"/>
      <c r="M1854" s="25"/>
      <c r="N1854" s="25"/>
      <c r="O1854" s="25"/>
    </row>
    <row r="1855" customFormat="false" ht="15" hidden="false" customHeight="true" outlineLevel="0" collapsed="false">
      <c r="B1855" s="10"/>
      <c r="C1855" s="10"/>
      <c r="D1855" s="34" t="str">
        <f aca="false">IF($K$1846=0,"",INDEX(Clients!$E$2:$E$501,$K$1846)&amp;"")</f>
        <v/>
      </c>
      <c r="E1855" s="34"/>
      <c r="F1855" s="34"/>
      <c r="J1855" s="25"/>
      <c r="K1855" s="25"/>
      <c r="L1855" s="25"/>
      <c r="M1855" s="25"/>
      <c r="N1855" s="25"/>
      <c r="O1855" s="25"/>
    </row>
    <row r="1856" customFormat="false" ht="15" hidden="false" customHeight="true" outlineLevel="0" collapsed="false">
      <c r="B1856" s="10"/>
      <c r="C1856" s="10"/>
      <c r="D1856" s="35" t="str">
        <f aca="false">IF(IF($K$1846=0,"",INDEX(Clients!$D$2:$D$501,$K$1846)&amp;"")="","","À l'attention de "&amp;TRIM(IF($K$1846=0,"",INDEX(Clients!$B$2:$B$501,$K$1846)&amp;"")&amp;" "&amp;IF($K$1846=0,"",INDEX(Clients!$C$2:$C$501,$K$1846)&amp;"")&amp;" "&amp;IF($K$1846=0,"",INDEX(Clients!$D$2:$D$501,$K$1846)&amp;"")))</f>
        <v/>
      </c>
      <c r="E1856" s="35"/>
      <c r="F1856" s="35"/>
      <c r="J1856" s="25"/>
      <c r="K1856" s="25"/>
      <c r="L1856" s="25"/>
      <c r="M1856" s="25"/>
      <c r="N1856" s="25"/>
      <c r="O1856" s="25"/>
    </row>
    <row r="1857" customFormat="false" ht="15" hidden="false" customHeight="true" outlineLevel="0" collapsed="false">
      <c r="B1857" s="10"/>
      <c r="C1857" s="10"/>
      <c r="D1857" s="35" t="str">
        <f aca="false">IF($K$1846=0,"",INDEX(Clients!$F$2:$F$501,$K$1846)&amp;"")</f>
        <v/>
      </c>
      <c r="E1857" s="35"/>
      <c r="F1857" s="35"/>
      <c r="J1857" s="25"/>
      <c r="K1857" s="25"/>
      <c r="L1857" s="25"/>
      <c r="M1857" s="25"/>
      <c r="N1857" s="25"/>
      <c r="O1857" s="25"/>
    </row>
    <row r="1858" customFormat="false" ht="15" hidden="false" customHeight="true" outlineLevel="0" collapsed="false">
      <c r="B1858" s="10"/>
      <c r="C1858" s="10"/>
      <c r="D1858" s="35" t="str">
        <f aca="false">IF(IF($K$1846=0,"",INDEX(Clients!$G$2:$G$501,$K$1846)&amp;"")="",TRIM(IF($K$1846=0,"",INDEX(Clients!$H$2:$H$501,$K$1846)&amp;"")&amp;" "&amp;UPPER(IF($K$1846=0,"",INDEX(Clients!$I$2:$I$501,$K$1846)&amp;""))),IF($K$1846=0,"",INDEX(Clients!$G$2:$G$501,$K$1846)&amp;""))</f>
        <v/>
      </c>
      <c r="E1858" s="35"/>
      <c r="F1858" s="35"/>
      <c r="J1858" s="25"/>
      <c r="K1858" s="25"/>
      <c r="L1858" s="25"/>
      <c r="M1858" s="25"/>
      <c r="N1858" s="25"/>
      <c r="O1858" s="25"/>
    </row>
    <row r="1859" customFormat="false" ht="15" hidden="false" customHeight="true" outlineLevel="0" collapsed="false">
      <c r="B1859" s="10"/>
      <c r="C1859" s="10"/>
      <c r="D1859" s="35" t="str">
        <f aca="false">IF(IF($K$1846=0,"",INDEX(Clients!$G$2:$G$501,$K$1846)&amp;"")="","",TRIM(IF($K$1846=0,"",INDEX(Clients!$H$2:$H$501,$K$1846)&amp;"")&amp;" "&amp;UPPER(IF($K$1846=0,"",INDEX(Clients!$I$2:$I$501,$K$1846)&amp;""))))</f>
        <v/>
      </c>
      <c r="E1859" s="35"/>
      <c r="F1859" s="35"/>
      <c r="J1859" s="25"/>
      <c r="K1859" s="25"/>
      <c r="L1859" s="25"/>
      <c r="M1859" s="25"/>
      <c r="N1859" s="25"/>
      <c r="O1859" s="25"/>
    </row>
    <row r="1860" customFormat="false" ht="25.5" hidden="false" customHeight="true" outlineLevel="0" collapsed="false">
      <c r="B1860" s="10"/>
      <c r="C1860" s="10"/>
      <c r="D1860" s="10"/>
      <c r="E1860" s="10"/>
      <c r="F1860" s="10"/>
      <c r="J1860" s="25"/>
      <c r="K1860" s="25"/>
      <c r="L1860" s="25"/>
      <c r="M1860" s="25"/>
      <c r="N1860" s="25"/>
      <c r="O1860" s="25"/>
    </row>
    <row r="1861" customFormat="false" ht="15" hidden="false" customHeight="false" outlineLevel="0" collapsed="false">
      <c r="B1861" s="10"/>
      <c r="C1861" s="10"/>
      <c r="D1861" s="36" t="str">
        <f aca="false">Cab_Ville&amp;", le "&amp;DAY(Date_Courrier)&amp;IF(DAY(Date_Courrier)=1,"er","")&amp;" "&amp;INDEX(Liste_Mois,MONTH(Date_Courrier))&amp;" "&amp;YEAR(Date_Courrier)</f>
        <v>Le Plessis-Bouchard, le 22 septembre 2026</v>
      </c>
      <c r="E1861" s="36"/>
      <c r="F1861" s="36"/>
      <c r="J1861" s="25"/>
      <c r="K1861" s="25"/>
      <c r="L1861" s="25"/>
      <c r="M1861" s="25"/>
      <c r="N1861" s="25"/>
      <c r="O1861" s="25"/>
    </row>
    <row r="1862" customFormat="false" ht="19.5" hidden="false" customHeight="true" outlineLevel="0" collapsed="false">
      <c r="B1862" s="10"/>
      <c r="C1862" s="10"/>
      <c r="D1862" s="10"/>
      <c r="E1862" s="10"/>
      <c r="F1862" s="10"/>
      <c r="J1862" s="25"/>
      <c r="K1862" s="25"/>
      <c r="L1862" s="25"/>
      <c r="M1862" s="25"/>
      <c r="N1862" s="25"/>
      <c r="O1862" s="25"/>
    </row>
    <row r="1863" customFormat="false" ht="15" hidden="false" customHeight="false" outlineLevel="0" collapsed="false">
      <c r="B1863" s="34" t="str">
        <f aca="false">SUBSTITUTE(SUBSTITUTE(SUBSTITUTE(SUBSTITUTE(SUBSTITUTE(Txt_Objet,"{cabinet}",Cab_Nom),"{societe}",IF($K$1846=0,"",INDEX(Clients!$E$2:$E$501,$K$1846)&amp;"")),"{date_effet}",$K$1848),"{hausse}",$K$1849),"{civilite}",$K$1847)</f>
        <v>Objet : révision de nos honoraires au 1er janvier 2027</v>
      </c>
      <c r="C1863" s="34"/>
      <c r="D1863" s="34"/>
      <c r="E1863" s="34"/>
      <c r="F1863" s="34"/>
      <c r="J1863" s="25"/>
      <c r="K1863" s="25"/>
      <c r="L1863" s="25"/>
      <c r="M1863" s="25"/>
      <c r="N1863" s="25"/>
      <c r="O1863" s="25"/>
    </row>
    <row r="1864" customFormat="false" ht="13.5" hidden="false" customHeight="true" outlineLevel="0" collapsed="false">
      <c r="B1864" s="10"/>
      <c r="C1864" s="10"/>
      <c r="D1864" s="10"/>
      <c r="E1864" s="10"/>
      <c r="F1864" s="10"/>
      <c r="J1864" s="25"/>
      <c r="K1864" s="25"/>
      <c r="L1864" s="25"/>
      <c r="M1864" s="25"/>
      <c r="N1864" s="25"/>
      <c r="O1864" s="25"/>
    </row>
    <row r="1865" customFormat="false" ht="15" hidden="false" customHeight="false" outlineLevel="0" collapsed="false">
      <c r="B1865" s="10" t="str">
        <f aca="false">$K$1847&amp;","</f>
        <v>Madame, Monsieur,</v>
      </c>
      <c r="C1865" s="10"/>
      <c r="D1865" s="10"/>
      <c r="E1865" s="10"/>
      <c r="F1865" s="10"/>
      <c r="J1865" s="25"/>
      <c r="K1865" s="25"/>
      <c r="L1865" s="25"/>
      <c r="M1865" s="25"/>
      <c r="N1865" s="25"/>
      <c r="O1865" s="25"/>
    </row>
    <row r="1866" customFormat="false" ht="6" hidden="false" customHeight="true" outlineLevel="0" collapsed="false">
      <c r="B1866" s="10"/>
      <c r="C1866" s="10"/>
      <c r="D1866" s="10"/>
      <c r="E1866" s="10"/>
      <c r="F1866" s="10"/>
      <c r="J1866" s="25"/>
      <c r="K1866" s="25"/>
      <c r="L1866" s="25"/>
      <c r="M1866" s="25"/>
      <c r="N1866" s="25"/>
      <c r="O1866" s="25"/>
    </row>
    <row r="1867" customFormat="false" ht="36.75" hidden="false" customHeight="true" outlineLevel="0" collapsed="false">
      <c r="B1867" s="37" t="str">
        <f aca="false">SUBSTITUTE(SUBSTITUTE(SUBSTITUTE(SUBSTITUTE(SUBSTITUTE(Txt_P1,"{cabinet}",Cab_Nom),"{societe}",IF($K$1846=0,"",INDEX(Clients!$E$2:$E$501,$K$1846)&amp;"")),"{date_effet}",$K$1848),"{hausse}",$K$1849),"{civilite}",$K$1847)</f>
        <v>Nous tenons tout d'abord à vous remercier pour la confiance que vous accordez à ALTHO EXPERTISE. Comme chaque année, et conformément aux dispositions de votre lettre de mission, nous procédons à la révision de nos honoraires.</v>
      </c>
      <c r="C1867" s="37"/>
      <c r="D1867" s="37"/>
      <c r="E1867" s="37"/>
      <c r="F1867" s="37"/>
      <c r="J1867" s="25"/>
      <c r="K1867" s="25"/>
      <c r="L1867" s="25"/>
      <c r="M1867" s="25"/>
      <c r="N1867" s="25"/>
      <c r="O1867" s="25"/>
    </row>
    <row r="1868" customFormat="false" ht="49.5" hidden="false" customHeight="true" outlineLevel="0" collapsed="false">
      <c r="B1868" s="37" t="str">
        <f aca="false">SUBSTITUTE(SUBSTITUTE(SUBSTITUTE(SUBSTITUTE(SUBSTITUTE(Txt_P2,"{cabinet}",Cab_Nom),"{societe}",IF($K$1846=0,"",INDEX(Clients!$E$2:$E$501,$K$1846)&amp;"")),"{date_effet}",$K$1848),"{hausse}",$K$1849),"{civilite}",$K$1847)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868" s="37"/>
      <c r="D1868" s="37"/>
      <c r="E1868" s="37"/>
      <c r="F1868" s="37"/>
      <c r="J1868" s="25"/>
      <c r="K1868" s="25"/>
      <c r="L1868" s="25"/>
      <c r="M1868" s="25"/>
      <c r="N1868" s="25"/>
      <c r="O1868" s="25"/>
    </row>
    <row r="1869" customFormat="false" ht="63" hidden="false" customHeight="true" outlineLevel="0" collapsed="false">
      <c r="B1869" s="37" t="str">
        <f aca="false">SUBSTITUTE(SUBSTITUTE(SUBSTITUTE(SUBSTITUTE(SUBSTITUTE(Txt_P3,"{cabinet}",Cab_Nom),"{societe}",IF($K$1846=0,"",INDEX(Clients!$E$2:$E$501,$K$1846)&amp;"")),"{date_effet}",$K$1848),"{hausse}",$K$1849),"{civilite}",$K$1847)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869" s="37"/>
      <c r="D1869" s="37"/>
      <c r="E1869" s="37"/>
      <c r="F1869" s="37"/>
      <c r="J1869" s="25"/>
      <c r="K1869" s="25"/>
      <c r="L1869" s="25"/>
      <c r="M1869" s="25"/>
      <c r="N1869" s="25"/>
      <c r="O1869" s="25"/>
    </row>
    <row r="1870" customFormat="false" ht="24" hidden="false" customHeight="true" outlineLevel="0" collapsed="false">
      <c r="B1870" s="37" t="str">
        <f aca="false">SUBSTITUTE(SUBSTITUTE(SUBSTITUTE(SUBSTITUTE(SUBSTITUTE(Txt_P4,"{cabinet}",Cab_Nom),"{societe}",IF($K$1846=0,"",INDEX(Clients!$E$2:$E$501,$K$1846)&amp;"")),"{date_effet}",$K$1848),"{hausse}",$K$1849),"{civilite}",$K$1847)</f>
        <v>À compter du 1er janvier 2027, vos honoraires annuels hors taxes évolueront ainsi (évolution globale : ) :</v>
      </c>
      <c r="C1870" s="37"/>
      <c r="D1870" s="37"/>
      <c r="E1870" s="37"/>
      <c r="F1870" s="37"/>
      <c r="J1870" s="25"/>
      <c r="K1870" s="25"/>
      <c r="L1870" s="25"/>
      <c r="M1870" s="25"/>
      <c r="N1870" s="25"/>
      <c r="O1870" s="25"/>
    </row>
    <row r="1871" customFormat="false" ht="3.75" hidden="false" customHeight="true" outlineLevel="0" collapsed="false">
      <c r="B1871" s="10"/>
      <c r="C1871" s="10"/>
      <c r="D1871" s="10"/>
      <c r="E1871" s="10"/>
      <c r="F1871" s="10"/>
      <c r="J1871" s="25"/>
      <c r="K1871" s="25"/>
      <c r="L1871" s="25"/>
      <c r="M1871" s="25"/>
      <c r="N1871" s="25"/>
      <c r="O1871" s="25"/>
    </row>
    <row r="1872" customFormat="false" ht="18" hidden="false" customHeight="true" outlineLevel="0" collapsed="false">
      <c r="B1872" s="38" t="s">
        <v>148</v>
      </c>
      <c r="C1872" s="39" t="s">
        <v>149</v>
      </c>
      <c r="D1872" s="39" t="s">
        <v>150</v>
      </c>
      <c r="E1872" s="39" t="s">
        <v>151</v>
      </c>
      <c r="F1872" s="39" t="s">
        <v>109</v>
      </c>
      <c r="J1872" s="25" t="s">
        <v>152</v>
      </c>
      <c r="K1872" s="25" t="s">
        <v>153</v>
      </c>
      <c r="L1872" s="25" t="s">
        <v>154</v>
      </c>
      <c r="M1872" s="25" t="s">
        <v>155</v>
      </c>
      <c r="N1872" s="25" t="s">
        <v>156</v>
      </c>
      <c r="O1872" s="25" t="s">
        <v>157</v>
      </c>
    </row>
    <row r="1873" customFormat="false" ht="16.5" hidden="false" customHeight="true" outlineLevel="0" collapsed="false">
      <c r="B1873" s="40" t="str">
        <f aca="false">IFERROR(INDEX($J$1873:$J$1876,MATCH($O1873,$N$1873:$N$1876,0)),"")</f>
        <v/>
      </c>
      <c r="C1873" s="41" t="str">
        <f aca="false">IFERROR(INDEX($K$1873:$K$1876,MATCH($O1873,$N$1873:$N$1876,0)),"")</f>
        <v/>
      </c>
      <c r="D1873" s="42" t="str">
        <f aca="false">IF(OR(E1873="",N(C1873)=0),"",E1873/C1873-1)</f>
        <v/>
      </c>
      <c r="E1873" s="41" t="str">
        <f aca="false">IFERROR(INDEX($L$1873:$L$1876,MATCH($O1873,$N$1873:$N$1876,0)),"")</f>
        <v/>
      </c>
      <c r="F1873" s="41" t="str">
        <f aca="false">IF(E1873="","",E1873-C1873)</f>
        <v/>
      </c>
      <c r="J1873" s="25" t="str">
        <f aca="false">Lib_Compta</f>
        <v>Mission comptable (tenue, révision, bilan, liasse fiscale)</v>
      </c>
      <c r="K1873" s="25" t="n">
        <f aca="false">IF($K$1846=0,0,N(INDEX(Clients!$K$2:$K$501,$K$1846)))</f>
        <v>0</v>
      </c>
      <c r="L1873" s="25" t="n">
        <f aca="false">IF($K$1846=0,0,N(INDEX(Clients!$P$2:$P$501,$K$1846)))</f>
        <v>0</v>
      </c>
      <c r="M1873" s="25" t="n">
        <f aca="false">IF(OR(K1873&lt;&gt;0,L1873&lt;&gt;0),1,0)</f>
        <v>0</v>
      </c>
      <c r="N1873" s="25" t="str">
        <f aca="false">IF(M1873=1,SUM($M$1873:M1873),"")</f>
        <v/>
      </c>
      <c r="O1873" s="25" t="n">
        <v>1</v>
      </c>
    </row>
    <row r="1874" customFormat="false" ht="16.5" hidden="false" customHeight="true" outlineLevel="0" collapsed="false">
      <c r="B1874" s="40" t="str">
        <f aca="false">IFERROR(INDEX($J$1873:$J$1876,MATCH($O1874,$N$1873:$N$1876,0)),"")</f>
        <v/>
      </c>
      <c r="C1874" s="41" t="str">
        <f aca="false">IFERROR(INDEX($K$1873:$K$1876,MATCH($O1874,$N$1873:$N$1876,0)),"")</f>
        <v/>
      </c>
      <c r="D1874" s="42" t="str">
        <f aca="false">IF(OR(E1874="",N(C1874)=0),"",E1874/C1874-1)</f>
        <v/>
      </c>
      <c r="E1874" s="41" t="str">
        <f aca="false">IFERROR(INDEX($L$1873:$L$1876,MATCH($O1874,$N$1873:$N$1876,0)),"")</f>
        <v/>
      </c>
      <c r="F1874" s="41" t="str">
        <f aca="false">IF(E1874="","",E1874-C1874)</f>
        <v/>
      </c>
      <c r="J1874" s="25" t="str">
        <f aca="false">Lib_Paye</f>
        <v>Mission sociale (bulletins de paie, DSN, déclarations sociales)</v>
      </c>
      <c r="K1874" s="25" t="n">
        <f aca="false">IF($K$1846=0,0,N(INDEX(Clients!$L$2:$L$501,$K$1846)))</f>
        <v>0</v>
      </c>
      <c r="L1874" s="25" t="n">
        <f aca="false">IF($K$1846=0,0,N(INDEX(Clients!$Q$2:$Q$501,$K$1846)))</f>
        <v>0</v>
      </c>
      <c r="M1874" s="25" t="n">
        <f aca="false">IF(OR(K1874&lt;&gt;0,L1874&lt;&gt;0),1,0)</f>
        <v>0</v>
      </c>
      <c r="N1874" s="25" t="str">
        <f aca="false">IF(M1874=1,SUM($M$1873:M1874),"")</f>
        <v/>
      </c>
      <c r="O1874" s="25" t="n">
        <v>2</v>
      </c>
    </row>
    <row r="1875" customFormat="false" ht="16.5" hidden="false" customHeight="true" outlineLevel="0" collapsed="false">
      <c r="B1875" s="40" t="str">
        <f aca="false">IFERROR(INDEX($J$1873:$J$1876,MATCH($O1875,$N$1873:$N$1876,0)),"")</f>
        <v/>
      </c>
      <c r="C1875" s="41" t="str">
        <f aca="false">IFERROR(INDEX($K$1873:$K$1876,MATCH($O1875,$N$1873:$N$1876,0)),"")</f>
        <v/>
      </c>
      <c r="D1875" s="42" t="str">
        <f aca="false">IF(OR(E1875="",N(C1875)=0),"",E1875/C1875-1)</f>
        <v/>
      </c>
      <c r="E1875" s="41" t="str">
        <f aca="false">IFERROR(INDEX($L$1873:$L$1876,MATCH($O1875,$N$1873:$N$1876,0)),"")</f>
        <v/>
      </c>
      <c r="F1875" s="41" t="str">
        <f aca="false">IF(E1875="","",E1875-C1875)</f>
        <v/>
      </c>
      <c r="J1875" s="25" t="str">
        <f aca="false">Lib_Jur</f>
        <v>Mission juridique (approbation des comptes, secrétariat juridique)</v>
      </c>
      <c r="K1875" s="25" t="n">
        <f aca="false">IF($K$1846=0,0,N(INDEX(Clients!$M$2:$M$501,$K$1846)))</f>
        <v>0</v>
      </c>
      <c r="L1875" s="25" t="n">
        <f aca="false">IF($K$1846=0,0,N(INDEX(Clients!$R$2:$R$501,$K$1846)))</f>
        <v>0</v>
      </c>
      <c r="M1875" s="25" t="n">
        <f aca="false">IF(OR(K1875&lt;&gt;0,L1875&lt;&gt;0),1,0)</f>
        <v>0</v>
      </c>
      <c r="N1875" s="25" t="str">
        <f aca="false">IF(M1875=1,SUM($M$1873:M1875),"")</f>
        <v/>
      </c>
      <c r="O1875" s="25" t="n">
        <v>3</v>
      </c>
    </row>
    <row r="1876" customFormat="false" ht="16.5" hidden="false" customHeight="true" outlineLevel="0" collapsed="false">
      <c r="B1876" s="40" t="str">
        <f aca="false">IFERROR(INDEX($J$1873:$J$1876,MATCH($O1876,$N$1873:$N$1876,0)),"")</f>
        <v/>
      </c>
      <c r="C1876" s="41" t="str">
        <f aca="false">IFERROR(INDEX($K$1873:$K$1876,MATCH($O1876,$N$1873:$N$1876,0)),"")</f>
        <v/>
      </c>
      <c r="D1876" s="42" t="str">
        <f aca="false">IF(OR(E1876="",N(C1876)=0),"",E1876/C1876-1)</f>
        <v/>
      </c>
      <c r="E1876" s="41" t="str">
        <f aca="false">IFERROR(INDEX($L$1873:$L$1876,MATCH($O1876,$N$1873:$N$1876,0)),"")</f>
        <v/>
      </c>
      <c r="F1876" s="41" t="str">
        <f aca="false">IF(E1876="","",E1876-C1876)</f>
        <v/>
      </c>
      <c r="J1876" s="25" t="str">
        <f aca="false">Lib_PA</f>
        <v>Plateforme agréée – facturation électronique</v>
      </c>
      <c r="K1876" s="25" t="n">
        <f aca="false">IF($K$1846=0,0,N(INDEX(Clients!$N$2:$N$501,$K$1846)))</f>
        <v>0</v>
      </c>
      <c r="L1876" s="25" t="n">
        <f aca="false">IF($K$1846=0,0,N(INDEX(Clients!$S$2:$S$501,$K$1846)))</f>
        <v>0</v>
      </c>
      <c r="M1876" s="25" t="n">
        <f aca="false">IF(OR(K1876&lt;&gt;0,L1876&lt;&gt;0),1,0)</f>
        <v>0</v>
      </c>
      <c r="N1876" s="25" t="str">
        <f aca="false">IF(M1876=1,SUM($M$1873:M1876),"")</f>
        <v/>
      </c>
      <c r="O1876" s="25" t="n">
        <v>4</v>
      </c>
    </row>
    <row r="1877" customFormat="false" ht="18" hidden="false" customHeight="true" outlineLevel="0" collapsed="false">
      <c r="B1877" s="43" t="s">
        <v>158</v>
      </c>
      <c r="C1877" s="44" t="n">
        <f aca="false">SUM(K1873:K1876)</f>
        <v>0</v>
      </c>
      <c r="D1877" s="45" t="str">
        <f aca="false">IF(N(C1877)=0,"",E1877/C1877-1)</f>
        <v/>
      </c>
      <c r="E1877" s="44" t="n">
        <f aca="false">SUM(L1873:L1876)</f>
        <v>0</v>
      </c>
      <c r="F1877" s="44" t="n">
        <f aca="false">E1877-C1877</f>
        <v>0</v>
      </c>
    </row>
    <row r="1878" customFormat="false" ht="15" hidden="false" customHeight="false" outlineLevel="0" collapsed="false">
      <c r="B1878" s="46" t="str">
        <f aca="false">IF(N(Nb_Mensualites)=0,"","Soit "&amp;FIXED(E1877/Nb_Mensualites,2)&amp;" € HT par échéance ("&amp;Nb_Mensualites&amp;" échéances), "&amp;FIXED(E1877/Nb_Mensualites*(1+Taux_TVA),2)&amp;" € TTC.")</f>
        <v>Soit 0.00 € HT par échéance (12 échéances), 0.00 € TTC.</v>
      </c>
      <c r="C1878" s="46"/>
      <c r="D1878" s="46"/>
      <c r="E1878" s="46"/>
      <c r="F1878" s="46"/>
    </row>
    <row r="1879" customFormat="false" ht="7.5" hidden="false" customHeight="true" outlineLevel="0" collapsed="false">
      <c r="B1879" s="10"/>
      <c r="C1879" s="10"/>
      <c r="D1879" s="10"/>
      <c r="E1879" s="10"/>
      <c r="F1879" s="10"/>
    </row>
    <row r="1880" customFormat="false" ht="36.75" hidden="false" customHeight="true" outlineLevel="0" collapsed="false">
      <c r="B1880" s="37" t="str">
        <f aca="false">SUBSTITUTE(SUBSTITUTE(SUBSTITUTE(SUBSTITUTE(SUBSTITUTE(Txt_P5,"{cabinet}",Cab_Nom),"{societe}",IF($K$1846=0,"",INDEX(Clients!$E$2:$E$501,$K$1846)&amp;"")),"{date_effet}",$K$1848),"{hausse}",$K$1849),"{civilite}",$K$1847)</f>
        <v>Les autres conditions de votre lettre de mission demeurent inchangées. Les nouveaux montants seront appliqués automatiquement sur vos prochaines factures et échéances de prélèvement.</v>
      </c>
      <c r="C1880" s="37"/>
      <c r="D1880" s="37"/>
      <c r="E1880" s="37"/>
      <c r="F1880" s="37"/>
    </row>
    <row r="1881" customFormat="false" ht="36.75" hidden="false" customHeight="true" outlineLevel="0" collapsed="false">
      <c r="B1881" s="37" t="str">
        <f aca="false">SUBSTITUTE(SUBSTITUTE(SUBSTITUTE(SUBSTITUTE(SUBSTITUTE(Txt_P6,"{cabinet}",Cab_Nom),"{societe}",IF($K$1846=0,"",INDEX(Clients!$E$2:$E$501,$K$1846)&amp;"")),"{date_effet}",$K$1848),"{hausse}",$K$1849),"{civilite}",$K$1847)</f>
        <v>Votre interlocuteur habituel reste à votre entière disposition pour répondre à vos questions et faire le point sur l'évolution de vos besoins.</v>
      </c>
      <c r="C1881" s="37"/>
      <c r="D1881" s="37"/>
      <c r="E1881" s="37"/>
      <c r="F1881" s="37"/>
    </row>
    <row r="1882" customFormat="false" ht="24" hidden="false" customHeight="true" outlineLevel="0" collapsed="false">
      <c r="B1882" s="37" t="str">
        <f aca="false">SUBSTITUTE(SUBSTITUTE(SUBSTITUTE(SUBSTITUTE(SUBSTITUTE(Txt_Politesse,"{cabinet}",Cab_Nom),"{societe}",IF($K$1846=0,"",INDEX(Clients!$E$2:$E$501,$K$1846)&amp;"")),"{date_effet}",$K$1848),"{hausse}",$K$1849),"{civilite}",$K$1847)</f>
        <v>Nous vous prions d'agréer, Madame, Monsieur, l'expression de nos salutations distinguées.</v>
      </c>
      <c r="C1882" s="37"/>
      <c r="D1882" s="37"/>
      <c r="E1882" s="37"/>
      <c r="F1882" s="37"/>
    </row>
    <row r="1883" customFormat="false" ht="15" hidden="false" customHeight="false" outlineLevel="0" collapsed="false">
      <c r="B1883" s="10"/>
      <c r="C1883" s="10"/>
      <c r="D1883" s="10"/>
      <c r="E1883" s="10"/>
      <c r="F1883" s="10"/>
    </row>
    <row r="1884" customFormat="false" ht="15" hidden="false" customHeight="false" outlineLevel="0" collapsed="false">
      <c r="B1884" s="10"/>
      <c r="C1884" s="10"/>
      <c r="D1884" s="34" t="str">
        <f aca="false">Signataire</f>
        <v>Prénom NOM</v>
      </c>
      <c r="E1884" s="34"/>
      <c r="F1884" s="34"/>
    </row>
    <row r="1885" customFormat="false" ht="15" hidden="false" customHeight="false" outlineLevel="0" collapsed="false">
      <c r="B1885" s="10"/>
      <c r="C1885" s="10"/>
      <c r="D1885" s="47" t="str">
        <f aca="false">Signataire_Titre</f>
        <v>Expert-comptable associé</v>
      </c>
      <c r="E1885" s="47"/>
      <c r="F1885" s="47"/>
    </row>
    <row r="1886" customFormat="false" ht="15.75" hidden="false" customHeight="true" outlineLevel="0" collapsed="false">
      <c r="B1886" s="10"/>
      <c r="C1886" s="10"/>
      <c r="D1886" s="10"/>
      <c r="E1886" s="10"/>
      <c r="F1886" s="10"/>
    </row>
    <row r="1887" customFormat="false" ht="15.75" hidden="false" customHeight="true" outlineLevel="0" collapsed="false">
      <c r="B1887" s="10"/>
      <c r="C1887" s="10"/>
      <c r="D1887" s="10"/>
      <c r="E1887" s="10"/>
      <c r="F1887" s="10"/>
    </row>
    <row r="1888" customFormat="false" ht="15.75" hidden="false" customHeight="true" outlineLevel="0" collapsed="false">
      <c r="B1888" s="10"/>
      <c r="C1888" s="10"/>
      <c r="D1888" s="10"/>
      <c r="E1888" s="10"/>
      <c r="F1888" s="10"/>
    </row>
    <row r="1889" customFormat="false" ht="15.75" hidden="false" customHeight="true" outlineLevel="0" collapsed="false">
      <c r="B1889" s="10"/>
      <c r="C1889" s="10"/>
      <c r="D1889" s="10"/>
      <c r="E1889" s="10"/>
      <c r="F1889" s="10"/>
    </row>
    <row r="1890" customFormat="false" ht="24" hidden="false" customHeight="true" outlineLevel="0" collapsed="false">
      <c r="B1890" s="48" t="str">
        <f aca="false">Cab_Mentions</f>
        <v>ALTHO EXPERTISE · SAS au capital de 10 000 € · RCS Pontoise 919 706 325 · TVA FR62919706325 · Société d'expertise comptable inscrite au Tableau de l'Ordre des experts-comptables de Paris Île-de-France</v>
      </c>
      <c r="C1890" s="48"/>
      <c r="D1890" s="48"/>
      <c r="E1890" s="48"/>
      <c r="F1890" s="48"/>
    </row>
    <row r="1891" customFormat="false" ht="15" hidden="false" customHeight="false" outlineLevel="0" collapsed="false">
      <c r="B1891" s="10"/>
      <c r="C1891" s="10"/>
      <c r="D1891" s="10"/>
      <c r="E1891" s="10"/>
      <c r="F1891" s="10"/>
      <c r="J1891" s="25" t="s">
        <v>142</v>
      </c>
      <c r="K1891" s="25" t="n">
        <f aca="false">IFERROR(MATCH(43,Clients!$Z$2:$Z$501,0),0)</f>
        <v>0</v>
      </c>
      <c r="L1891" s="25"/>
      <c r="M1891" s="25"/>
      <c r="N1891" s="25"/>
      <c r="O1891" s="25"/>
    </row>
    <row r="1892" customFormat="false" ht="21.75" hidden="false" customHeight="true" outlineLevel="0" collapsed="false">
      <c r="B1892" s="26" t="str">
        <f aca="false">Cab_Nom</f>
        <v>ALTHO EXPERTISE</v>
      </c>
      <c r="C1892" s="26"/>
      <c r="D1892" s="10"/>
      <c r="E1892" s="27" t="str">
        <f aca="false">IF($K$1891=0,"","Réf. client : "&amp;INDEX(Clients!$A$2:$A$501,$K$1891))</f>
        <v/>
      </c>
      <c r="F1892" s="27"/>
      <c r="J1892" s="25" t="s">
        <v>144</v>
      </c>
      <c r="K1892" s="25" t="str">
        <f aca="false">IF(IF($K$1891=0,"",INDEX(Clients!$B$2:$B$501,$K$1891)&amp;"")="Mme","Madame",IF(IF($K$1891=0,"",INDEX(Clients!$B$2:$B$501,$K$1891)&amp;"")="M.","Monsieur","Madame, Monsieur"))</f>
        <v>Madame, Monsieur</v>
      </c>
      <c r="L1892" s="25"/>
      <c r="M1892" s="25"/>
      <c r="N1892" s="25"/>
      <c r="O1892" s="25"/>
    </row>
    <row r="1893" customFormat="false" ht="15" hidden="false" customHeight="false" outlineLevel="0" collapsed="false">
      <c r="B1893" s="29" t="str">
        <f aca="false">Cab_Adr1</f>
        <v>141 rue Charles de Gaulle</v>
      </c>
      <c r="C1893" s="29"/>
      <c r="D1893" s="10"/>
      <c r="E1893" s="10"/>
      <c r="F1893" s="10"/>
      <c r="J1893" s="25" t="s">
        <v>145</v>
      </c>
      <c r="K1893" s="25" t="str">
        <f aca="false">DAY(Date_Effet)&amp;IF(DAY(Date_Effet)=1,"er","")&amp;" "&amp;INDEX(Liste_Mois,MONTH(Date_Effet))&amp;" "&amp;YEAR(Date_Effet)</f>
        <v>1er janvier 2027</v>
      </c>
      <c r="L1893" s="25"/>
      <c r="M1893" s="25"/>
      <c r="N1893" s="25"/>
      <c r="O1893" s="25"/>
    </row>
    <row r="1894" customFormat="false" ht="15" hidden="false" customHeight="false" outlineLevel="0" collapsed="false">
      <c r="B1894" s="29" t="str">
        <f aca="false">Cab_CPVille</f>
        <v>95130 LE PLESSIS-BOUCHARD</v>
      </c>
      <c r="C1894" s="29"/>
      <c r="D1894" s="10"/>
      <c r="E1894" s="10"/>
      <c r="F1894" s="10"/>
      <c r="J1894" s="25" t="s">
        <v>146</v>
      </c>
      <c r="K1894" s="25" t="str">
        <f aca="false">IF(SUM($K$1918:$K$1921)=0,"",FIXED((SUM($L$1918:$L$1921)/SUM($K$1918:$K$1921)-1)*100,1)&amp;" %")</f>
        <v/>
      </c>
      <c r="L1894" s="25"/>
      <c r="M1894" s="25"/>
      <c r="N1894" s="25"/>
      <c r="O1894" s="25"/>
    </row>
    <row r="1895" customFormat="false" ht="15" hidden="false" customHeight="false" outlineLevel="0" collapsed="false">
      <c r="B1895" s="29" t="str">
        <f aca="false">Cab_Contact</f>
        <v>Tél. 01 34 14 53 45  ·  altho@altho-experts.com  ·  altho-experts.com</v>
      </c>
      <c r="C1895" s="29"/>
      <c r="D1895" s="10"/>
      <c r="E1895" s="10"/>
      <c r="F1895" s="10"/>
      <c r="J1895" s="25"/>
      <c r="K1895" s="25"/>
      <c r="L1895" s="25"/>
      <c r="M1895" s="25"/>
      <c r="N1895" s="25"/>
      <c r="O1895" s="25"/>
    </row>
    <row r="1896" customFormat="false" ht="6" hidden="false" customHeight="true" outlineLevel="0" collapsed="false">
      <c r="B1896" s="32"/>
      <c r="C1896" s="32"/>
      <c r="D1896" s="32"/>
      <c r="E1896" s="32"/>
      <c r="F1896" s="32"/>
      <c r="J1896" s="25"/>
      <c r="K1896" s="25"/>
      <c r="L1896" s="25"/>
      <c r="M1896" s="25"/>
      <c r="N1896" s="25"/>
      <c r="O1896" s="25"/>
    </row>
    <row r="1897" customFormat="false" ht="13.5" hidden="false" customHeight="true" outlineLevel="0" collapsed="false">
      <c r="B1897" s="10"/>
      <c r="C1897" s="10"/>
      <c r="D1897" s="10"/>
      <c r="E1897" s="10"/>
      <c r="F1897" s="10"/>
      <c r="J1897" s="25"/>
      <c r="K1897" s="25"/>
      <c r="L1897" s="25"/>
      <c r="M1897" s="25"/>
      <c r="N1897" s="25"/>
      <c r="O1897" s="25"/>
    </row>
    <row r="1898" customFormat="false" ht="13.5" hidden="false" customHeight="true" outlineLevel="0" collapsed="false">
      <c r="B1898" s="10"/>
      <c r="C1898" s="10"/>
      <c r="D1898" s="10"/>
      <c r="E1898" s="10"/>
      <c r="F1898" s="10"/>
      <c r="J1898" s="25"/>
      <c r="K1898" s="25"/>
      <c r="L1898" s="25"/>
      <c r="M1898" s="25"/>
      <c r="N1898" s="25"/>
      <c r="O1898" s="25"/>
    </row>
    <row r="1899" customFormat="false" ht="13.5" hidden="false" customHeight="true" outlineLevel="0" collapsed="false">
      <c r="B1899" s="10"/>
      <c r="C1899" s="10"/>
      <c r="D1899" s="10"/>
      <c r="E1899" s="10"/>
      <c r="F1899" s="10"/>
      <c r="J1899" s="25"/>
      <c r="K1899" s="25"/>
      <c r="L1899" s="25"/>
      <c r="M1899" s="25"/>
      <c r="N1899" s="25"/>
      <c r="O1899" s="25"/>
    </row>
    <row r="1900" customFormat="false" ht="15" hidden="false" customHeight="true" outlineLevel="0" collapsed="false">
      <c r="B1900" s="10"/>
      <c r="C1900" s="10"/>
      <c r="D1900" s="34" t="str">
        <f aca="false">IF($K$1891=0,"",INDEX(Clients!$E$2:$E$501,$K$1891)&amp;"")</f>
        <v/>
      </c>
      <c r="E1900" s="34"/>
      <c r="F1900" s="34"/>
      <c r="J1900" s="25"/>
      <c r="K1900" s="25"/>
      <c r="L1900" s="25"/>
      <c r="M1900" s="25"/>
      <c r="N1900" s="25"/>
      <c r="O1900" s="25"/>
    </row>
    <row r="1901" customFormat="false" ht="15" hidden="false" customHeight="true" outlineLevel="0" collapsed="false">
      <c r="B1901" s="10"/>
      <c r="C1901" s="10"/>
      <c r="D1901" s="35" t="str">
        <f aca="false">IF(IF($K$1891=0,"",INDEX(Clients!$D$2:$D$501,$K$1891)&amp;"")="","","À l'attention de "&amp;TRIM(IF($K$1891=0,"",INDEX(Clients!$B$2:$B$501,$K$1891)&amp;"")&amp;" "&amp;IF($K$1891=0,"",INDEX(Clients!$C$2:$C$501,$K$1891)&amp;"")&amp;" "&amp;IF($K$1891=0,"",INDEX(Clients!$D$2:$D$501,$K$1891)&amp;"")))</f>
        <v/>
      </c>
      <c r="E1901" s="35"/>
      <c r="F1901" s="35"/>
      <c r="J1901" s="25"/>
      <c r="K1901" s="25"/>
      <c r="L1901" s="25"/>
      <c r="M1901" s="25"/>
      <c r="N1901" s="25"/>
      <c r="O1901" s="25"/>
    </row>
    <row r="1902" customFormat="false" ht="15" hidden="false" customHeight="true" outlineLevel="0" collapsed="false">
      <c r="B1902" s="10"/>
      <c r="C1902" s="10"/>
      <c r="D1902" s="35" t="str">
        <f aca="false">IF($K$1891=0,"",INDEX(Clients!$F$2:$F$501,$K$1891)&amp;"")</f>
        <v/>
      </c>
      <c r="E1902" s="35"/>
      <c r="F1902" s="35"/>
      <c r="J1902" s="25"/>
      <c r="K1902" s="25"/>
      <c r="L1902" s="25"/>
      <c r="M1902" s="25"/>
      <c r="N1902" s="25"/>
      <c r="O1902" s="25"/>
    </row>
    <row r="1903" customFormat="false" ht="15" hidden="false" customHeight="true" outlineLevel="0" collapsed="false">
      <c r="B1903" s="10"/>
      <c r="C1903" s="10"/>
      <c r="D1903" s="35" t="str">
        <f aca="false">IF(IF($K$1891=0,"",INDEX(Clients!$G$2:$G$501,$K$1891)&amp;"")="",TRIM(IF($K$1891=0,"",INDEX(Clients!$H$2:$H$501,$K$1891)&amp;"")&amp;" "&amp;UPPER(IF($K$1891=0,"",INDEX(Clients!$I$2:$I$501,$K$1891)&amp;""))),IF($K$1891=0,"",INDEX(Clients!$G$2:$G$501,$K$1891)&amp;""))</f>
        <v/>
      </c>
      <c r="E1903" s="35"/>
      <c r="F1903" s="35"/>
      <c r="J1903" s="25"/>
      <c r="K1903" s="25"/>
      <c r="L1903" s="25"/>
      <c r="M1903" s="25"/>
      <c r="N1903" s="25"/>
      <c r="O1903" s="25"/>
    </row>
    <row r="1904" customFormat="false" ht="15" hidden="false" customHeight="true" outlineLevel="0" collapsed="false">
      <c r="B1904" s="10"/>
      <c r="C1904" s="10"/>
      <c r="D1904" s="35" t="str">
        <f aca="false">IF(IF($K$1891=0,"",INDEX(Clients!$G$2:$G$501,$K$1891)&amp;"")="","",TRIM(IF($K$1891=0,"",INDEX(Clients!$H$2:$H$501,$K$1891)&amp;"")&amp;" "&amp;UPPER(IF($K$1891=0,"",INDEX(Clients!$I$2:$I$501,$K$1891)&amp;""))))</f>
        <v/>
      </c>
      <c r="E1904" s="35"/>
      <c r="F1904" s="35"/>
      <c r="J1904" s="25"/>
      <c r="K1904" s="25"/>
      <c r="L1904" s="25"/>
      <c r="M1904" s="25"/>
      <c r="N1904" s="25"/>
      <c r="O1904" s="25"/>
    </row>
    <row r="1905" customFormat="false" ht="25.5" hidden="false" customHeight="true" outlineLevel="0" collapsed="false">
      <c r="B1905" s="10"/>
      <c r="C1905" s="10"/>
      <c r="D1905" s="10"/>
      <c r="E1905" s="10"/>
      <c r="F1905" s="10"/>
      <c r="J1905" s="25"/>
      <c r="K1905" s="25"/>
      <c r="L1905" s="25"/>
      <c r="M1905" s="25"/>
      <c r="N1905" s="25"/>
      <c r="O1905" s="25"/>
    </row>
    <row r="1906" customFormat="false" ht="15" hidden="false" customHeight="false" outlineLevel="0" collapsed="false">
      <c r="B1906" s="10"/>
      <c r="C1906" s="10"/>
      <c r="D1906" s="36" t="str">
        <f aca="false">Cab_Ville&amp;", le "&amp;DAY(Date_Courrier)&amp;IF(DAY(Date_Courrier)=1,"er","")&amp;" "&amp;INDEX(Liste_Mois,MONTH(Date_Courrier))&amp;" "&amp;YEAR(Date_Courrier)</f>
        <v>Le Plessis-Bouchard, le 22 septembre 2026</v>
      </c>
      <c r="E1906" s="36"/>
      <c r="F1906" s="36"/>
      <c r="J1906" s="25"/>
      <c r="K1906" s="25"/>
      <c r="L1906" s="25"/>
      <c r="M1906" s="25"/>
      <c r="N1906" s="25"/>
      <c r="O1906" s="25"/>
    </row>
    <row r="1907" customFormat="false" ht="19.5" hidden="false" customHeight="true" outlineLevel="0" collapsed="false">
      <c r="B1907" s="10"/>
      <c r="C1907" s="10"/>
      <c r="D1907" s="10"/>
      <c r="E1907" s="10"/>
      <c r="F1907" s="10"/>
      <c r="J1907" s="25"/>
      <c r="K1907" s="25"/>
      <c r="L1907" s="25"/>
      <c r="M1907" s="25"/>
      <c r="N1907" s="25"/>
      <c r="O1907" s="25"/>
    </row>
    <row r="1908" customFormat="false" ht="15" hidden="false" customHeight="false" outlineLevel="0" collapsed="false">
      <c r="B1908" s="34" t="str">
        <f aca="false">SUBSTITUTE(SUBSTITUTE(SUBSTITUTE(SUBSTITUTE(SUBSTITUTE(Txt_Objet,"{cabinet}",Cab_Nom),"{societe}",IF($K$1891=0,"",INDEX(Clients!$E$2:$E$501,$K$1891)&amp;"")),"{date_effet}",$K$1893),"{hausse}",$K$1894),"{civilite}",$K$1892)</f>
        <v>Objet : révision de nos honoraires au 1er janvier 2027</v>
      </c>
      <c r="C1908" s="34"/>
      <c r="D1908" s="34"/>
      <c r="E1908" s="34"/>
      <c r="F1908" s="34"/>
      <c r="J1908" s="25"/>
      <c r="K1908" s="25"/>
      <c r="L1908" s="25"/>
      <c r="M1908" s="25"/>
      <c r="N1908" s="25"/>
      <c r="O1908" s="25"/>
    </row>
    <row r="1909" customFormat="false" ht="13.5" hidden="false" customHeight="true" outlineLevel="0" collapsed="false">
      <c r="B1909" s="10"/>
      <c r="C1909" s="10"/>
      <c r="D1909" s="10"/>
      <c r="E1909" s="10"/>
      <c r="F1909" s="10"/>
      <c r="J1909" s="25"/>
      <c r="K1909" s="25"/>
      <c r="L1909" s="25"/>
      <c r="M1909" s="25"/>
      <c r="N1909" s="25"/>
      <c r="O1909" s="25"/>
    </row>
    <row r="1910" customFormat="false" ht="15" hidden="false" customHeight="false" outlineLevel="0" collapsed="false">
      <c r="B1910" s="10" t="str">
        <f aca="false">$K$1892&amp;","</f>
        <v>Madame, Monsieur,</v>
      </c>
      <c r="C1910" s="10"/>
      <c r="D1910" s="10"/>
      <c r="E1910" s="10"/>
      <c r="F1910" s="10"/>
      <c r="J1910" s="25"/>
      <c r="K1910" s="25"/>
      <c r="L1910" s="25"/>
      <c r="M1910" s="25"/>
      <c r="N1910" s="25"/>
      <c r="O1910" s="25"/>
    </row>
    <row r="1911" customFormat="false" ht="6" hidden="false" customHeight="true" outlineLevel="0" collapsed="false">
      <c r="B1911" s="10"/>
      <c r="C1911" s="10"/>
      <c r="D1911" s="10"/>
      <c r="E1911" s="10"/>
      <c r="F1911" s="10"/>
      <c r="J1911" s="25"/>
      <c r="K1911" s="25"/>
      <c r="L1911" s="25"/>
      <c r="M1911" s="25"/>
      <c r="N1911" s="25"/>
      <c r="O1911" s="25"/>
    </row>
    <row r="1912" customFormat="false" ht="36.75" hidden="false" customHeight="true" outlineLevel="0" collapsed="false">
      <c r="B1912" s="37" t="str">
        <f aca="false">SUBSTITUTE(SUBSTITUTE(SUBSTITUTE(SUBSTITUTE(SUBSTITUTE(Txt_P1,"{cabinet}",Cab_Nom),"{societe}",IF($K$1891=0,"",INDEX(Clients!$E$2:$E$501,$K$1891)&amp;"")),"{date_effet}",$K$1893),"{hausse}",$K$1894),"{civilite}",$K$1892)</f>
        <v>Nous tenons tout d'abord à vous remercier pour la confiance que vous accordez à ALTHO EXPERTISE. Comme chaque année, et conformément aux dispositions de votre lettre de mission, nous procédons à la révision de nos honoraires.</v>
      </c>
      <c r="C1912" s="37"/>
      <c r="D1912" s="37"/>
      <c r="E1912" s="37"/>
      <c r="F1912" s="37"/>
      <c r="J1912" s="25"/>
      <c r="K1912" s="25"/>
      <c r="L1912" s="25"/>
      <c r="M1912" s="25"/>
      <c r="N1912" s="25"/>
      <c r="O1912" s="25"/>
    </row>
    <row r="1913" customFormat="false" ht="49.5" hidden="false" customHeight="true" outlineLevel="0" collapsed="false">
      <c r="B1913" s="37" t="str">
        <f aca="false">SUBSTITUTE(SUBSTITUTE(SUBSTITUTE(SUBSTITUTE(SUBSTITUTE(Txt_P2,"{cabinet}",Cab_Nom),"{societe}",IF($K$1891=0,"",INDEX(Clients!$E$2:$E$501,$K$1891)&amp;"")),"{date_effet}",$K$1893),"{hausse}",$K$1894),"{civilite}",$K$1892)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913" s="37"/>
      <c r="D1913" s="37"/>
      <c r="E1913" s="37"/>
      <c r="F1913" s="37"/>
      <c r="J1913" s="25"/>
      <c r="K1913" s="25"/>
      <c r="L1913" s="25"/>
      <c r="M1913" s="25"/>
      <c r="N1913" s="25"/>
      <c r="O1913" s="25"/>
    </row>
    <row r="1914" customFormat="false" ht="63" hidden="false" customHeight="true" outlineLevel="0" collapsed="false">
      <c r="B1914" s="37" t="str">
        <f aca="false">SUBSTITUTE(SUBSTITUTE(SUBSTITUTE(SUBSTITUTE(SUBSTITUTE(Txt_P3,"{cabinet}",Cab_Nom),"{societe}",IF($K$1891=0,"",INDEX(Clients!$E$2:$E$501,$K$1891)&amp;"")),"{date_effet}",$K$1893),"{hausse}",$K$1894),"{civilite}",$K$1892)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914" s="37"/>
      <c r="D1914" s="37"/>
      <c r="E1914" s="37"/>
      <c r="F1914" s="37"/>
      <c r="J1914" s="25"/>
      <c r="K1914" s="25"/>
      <c r="L1914" s="25"/>
      <c r="M1914" s="25"/>
      <c r="N1914" s="25"/>
      <c r="O1914" s="25"/>
    </row>
    <row r="1915" customFormat="false" ht="24" hidden="false" customHeight="true" outlineLevel="0" collapsed="false">
      <c r="B1915" s="37" t="str">
        <f aca="false">SUBSTITUTE(SUBSTITUTE(SUBSTITUTE(SUBSTITUTE(SUBSTITUTE(Txt_P4,"{cabinet}",Cab_Nom),"{societe}",IF($K$1891=0,"",INDEX(Clients!$E$2:$E$501,$K$1891)&amp;"")),"{date_effet}",$K$1893),"{hausse}",$K$1894),"{civilite}",$K$1892)</f>
        <v>À compter du 1er janvier 2027, vos honoraires annuels hors taxes évolueront ainsi (évolution globale : ) :</v>
      </c>
      <c r="C1915" s="37"/>
      <c r="D1915" s="37"/>
      <c r="E1915" s="37"/>
      <c r="F1915" s="37"/>
      <c r="J1915" s="25"/>
      <c r="K1915" s="25"/>
      <c r="L1915" s="25"/>
      <c r="M1915" s="25"/>
      <c r="N1915" s="25"/>
      <c r="O1915" s="25"/>
    </row>
    <row r="1916" customFormat="false" ht="3.75" hidden="false" customHeight="true" outlineLevel="0" collapsed="false">
      <c r="B1916" s="10"/>
      <c r="C1916" s="10"/>
      <c r="D1916" s="10"/>
      <c r="E1916" s="10"/>
      <c r="F1916" s="10"/>
      <c r="J1916" s="25"/>
      <c r="K1916" s="25"/>
      <c r="L1916" s="25"/>
      <c r="M1916" s="25"/>
      <c r="N1916" s="25"/>
      <c r="O1916" s="25"/>
    </row>
    <row r="1917" customFormat="false" ht="18" hidden="false" customHeight="true" outlineLevel="0" collapsed="false">
      <c r="B1917" s="38" t="s">
        <v>148</v>
      </c>
      <c r="C1917" s="39" t="s">
        <v>149</v>
      </c>
      <c r="D1917" s="39" t="s">
        <v>150</v>
      </c>
      <c r="E1917" s="39" t="s">
        <v>151</v>
      </c>
      <c r="F1917" s="39" t="s">
        <v>109</v>
      </c>
      <c r="J1917" s="25" t="s">
        <v>152</v>
      </c>
      <c r="K1917" s="25" t="s">
        <v>153</v>
      </c>
      <c r="L1917" s="25" t="s">
        <v>154</v>
      </c>
      <c r="M1917" s="25" t="s">
        <v>155</v>
      </c>
      <c r="N1917" s="25" t="s">
        <v>156</v>
      </c>
      <c r="O1917" s="25" t="s">
        <v>157</v>
      </c>
    </row>
    <row r="1918" customFormat="false" ht="16.5" hidden="false" customHeight="true" outlineLevel="0" collapsed="false">
      <c r="B1918" s="40" t="str">
        <f aca="false">IFERROR(INDEX($J$1918:$J$1921,MATCH($O1918,$N$1918:$N$1921,0)),"")</f>
        <v/>
      </c>
      <c r="C1918" s="41" t="str">
        <f aca="false">IFERROR(INDEX($K$1918:$K$1921,MATCH($O1918,$N$1918:$N$1921,0)),"")</f>
        <v/>
      </c>
      <c r="D1918" s="42" t="str">
        <f aca="false">IF(OR(E1918="",N(C1918)=0),"",E1918/C1918-1)</f>
        <v/>
      </c>
      <c r="E1918" s="41" t="str">
        <f aca="false">IFERROR(INDEX($L$1918:$L$1921,MATCH($O1918,$N$1918:$N$1921,0)),"")</f>
        <v/>
      </c>
      <c r="F1918" s="41" t="str">
        <f aca="false">IF(E1918="","",E1918-C1918)</f>
        <v/>
      </c>
      <c r="J1918" s="25" t="str">
        <f aca="false">Lib_Compta</f>
        <v>Mission comptable (tenue, révision, bilan, liasse fiscale)</v>
      </c>
      <c r="K1918" s="25" t="n">
        <f aca="false">IF($K$1891=0,0,N(INDEX(Clients!$K$2:$K$501,$K$1891)))</f>
        <v>0</v>
      </c>
      <c r="L1918" s="25" t="n">
        <f aca="false">IF($K$1891=0,0,N(INDEX(Clients!$P$2:$P$501,$K$1891)))</f>
        <v>0</v>
      </c>
      <c r="M1918" s="25" t="n">
        <f aca="false">IF(OR(K1918&lt;&gt;0,L1918&lt;&gt;0),1,0)</f>
        <v>0</v>
      </c>
      <c r="N1918" s="25" t="str">
        <f aca="false">IF(M1918=1,SUM($M$1918:M1918),"")</f>
        <v/>
      </c>
      <c r="O1918" s="25" t="n">
        <v>1</v>
      </c>
    </row>
    <row r="1919" customFormat="false" ht="16.5" hidden="false" customHeight="true" outlineLevel="0" collapsed="false">
      <c r="B1919" s="40" t="str">
        <f aca="false">IFERROR(INDEX($J$1918:$J$1921,MATCH($O1919,$N$1918:$N$1921,0)),"")</f>
        <v/>
      </c>
      <c r="C1919" s="41" t="str">
        <f aca="false">IFERROR(INDEX($K$1918:$K$1921,MATCH($O1919,$N$1918:$N$1921,0)),"")</f>
        <v/>
      </c>
      <c r="D1919" s="42" t="str">
        <f aca="false">IF(OR(E1919="",N(C1919)=0),"",E1919/C1919-1)</f>
        <v/>
      </c>
      <c r="E1919" s="41" t="str">
        <f aca="false">IFERROR(INDEX($L$1918:$L$1921,MATCH($O1919,$N$1918:$N$1921,0)),"")</f>
        <v/>
      </c>
      <c r="F1919" s="41" t="str">
        <f aca="false">IF(E1919="","",E1919-C1919)</f>
        <v/>
      </c>
      <c r="J1919" s="25" t="str">
        <f aca="false">Lib_Paye</f>
        <v>Mission sociale (bulletins de paie, DSN, déclarations sociales)</v>
      </c>
      <c r="K1919" s="25" t="n">
        <f aca="false">IF($K$1891=0,0,N(INDEX(Clients!$L$2:$L$501,$K$1891)))</f>
        <v>0</v>
      </c>
      <c r="L1919" s="25" t="n">
        <f aca="false">IF($K$1891=0,0,N(INDEX(Clients!$Q$2:$Q$501,$K$1891)))</f>
        <v>0</v>
      </c>
      <c r="M1919" s="25" t="n">
        <f aca="false">IF(OR(K1919&lt;&gt;0,L1919&lt;&gt;0),1,0)</f>
        <v>0</v>
      </c>
      <c r="N1919" s="25" t="str">
        <f aca="false">IF(M1919=1,SUM($M$1918:M1919),"")</f>
        <v/>
      </c>
      <c r="O1919" s="25" t="n">
        <v>2</v>
      </c>
    </row>
    <row r="1920" customFormat="false" ht="16.5" hidden="false" customHeight="true" outlineLevel="0" collapsed="false">
      <c r="B1920" s="40" t="str">
        <f aca="false">IFERROR(INDEX($J$1918:$J$1921,MATCH($O1920,$N$1918:$N$1921,0)),"")</f>
        <v/>
      </c>
      <c r="C1920" s="41" t="str">
        <f aca="false">IFERROR(INDEX($K$1918:$K$1921,MATCH($O1920,$N$1918:$N$1921,0)),"")</f>
        <v/>
      </c>
      <c r="D1920" s="42" t="str">
        <f aca="false">IF(OR(E1920="",N(C1920)=0),"",E1920/C1920-1)</f>
        <v/>
      </c>
      <c r="E1920" s="41" t="str">
        <f aca="false">IFERROR(INDEX($L$1918:$L$1921,MATCH($O1920,$N$1918:$N$1921,0)),"")</f>
        <v/>
      </c>
      <c r="F1920" s="41" t="str">
        <f aca="false">IF(E1920="","",E1920-C1920)</f>
        <v/>
      </c>
      <c r="J1920" s="25" t="str">
        <f aca="false">Lib_Jur</f>
        <v>Mission juridique (approbation des comptes, secrétariat juridique)</v>
      </c>
      <c r="K1920" s="25" t="n">
        <f aca="false">IF($K$1891=0,0,N(INDEX(Clients!$M$2:$M$501,$K$1891)))</f>
        <v>0</v>
      </c>
      <c r="L1920" s="25" t="n">
        <f aca="false">IF($K$1891=0,0,N(INDEX(Clients!$R$2:$R$501,$K$1891)))</f>
        <v>0</v>
      </c>
      <c r="M1920" s="25" t="n">
        <f aca="false">IF(OR(K1920&lt;&gt;0,L1920&lt;&gt;0),1,0)</f>
        <v>0</v>
      </c>
      <c r="N1920" s="25" t="str">
        <f aca="false">IF(M1920=1,SUM($M$1918:M1920),"")</f>
        <v/>
      </c>
      <c r="O1920" s="25" t="n">
        <v>3</v>
      </c>
    </row>
    <row r="1921" customFormat="false" ht="16.5" hidden="false" customHeight="true" outlineLevel="0" collapsed="false">
      <c r="B1921" s="40" t="str">
        <f aca="false">IFERROR(INDEX($J$1918:$J$1921,MATCH($O1921,$N$1918:$N$1921,0)),"")</f>
        <v/>
      </c>
      <c r="C1921" s="41" t="str">
        <f aca="false">IFERROR(INDEX($K$1918:$K$1921,MATCH($O1921,$N$1918:$N$1921,0)),"")</f>
        <v/>
      </c>
      <c r="D1921" s="42" t="str">
        <f aca="false">IF(OR(E1921="",N(C1921)=0),"",E1921/C1921-1)</f>
        <v/>
      </c>
      <c r="E1921" s="41" t="str">
        <f aca="false">IFERROR(INDEX($L$1918:$L$1921,MATCH($O1921,$N$1918:$N$1921,0)),"")</f>
        <v/>
      </c>
      <c r="F1921" s="41" t="str">
        <f aca="false">IF(E1921="","",E1921-C1921)</f>
        <v/>
      </c>
      <c r="J1921" s="25" t="str">
        <f aca="false">Lib_PA</f>
        <v>Plateforme agréée – facturation électronique</v>
      </c>
      <c r="K1921" s="25" t="n">
        <f aca="false">IF($K$1891=0,0,N(INDEX(Clients!$N$2:$N$501,$K$1891)))</f>
        <v>0</v>
      </c>
      <c r="L1921" s="25" t="n">
        <f aca="false">IF($K$1891=0,0,N(INDEX(Clients!$S$2:$S$501,$K$1891)))</f>
        <v>0</v>
      </c>
      <c r="M1921" s="25" t="n">
        <f aca="false">IF(OR(K1921&lt;&gt;0,L1921&lt;&gt;0),1,0)</f>
        <v>0</v>
      </c>
      <c r="N1921" s="25" t="str">
        <f aca="false">IF(M1921=1,SUM($M$1918:M1921),"")</f>
        <v/>
      </c>
      <c r="O1921" s="25" t="n">
        <v>4</v>
      </c>
    </row>
    <row r="1922" customFormat="false" ht="18" hidden="false" customHeight="true" outlineLevel="0" collapsed="false">
      <c r="B1922" s="43" t="s">
        <v>158</v>
      </c>
      <c r="C1922" s="44" t="n">
        <f aca="false">SUM(K1918:K1921)</f>
        <v>0</v>
      </c>
      <c r="D1922" s="45" t="str">
        <f aca="false">IF(N(C1922)=0,"",E1922/C1922-1)</f>
        <v/>
      </c>
      <c r="E1922" s="44" t="n">
        <f aca="false">SUM(L1918:L1921)</f>
        <v>0</v>
      </c>
      <c r="F1922" s="44" t="n">
        <f aca="false">E1922-C1922</f>
        <v>0</v>
      </c>
    </row>
    <row r="1923" customFormat="false" ht="15" hidden="false" customHeight="false" outlineLevel="0" collapsed="false">
      <c r="B1923" s="46" t="str">
        <f aca="false">IF(N(Nb_Mensualites)=0,"","Soit "&amp;FIXED(E1922/Nb_Mensualites,2)&amp;" € HT par échéance ("&amp;Nb_Mensualites&amp;" échéances), "&amp;FIXED(E1922/Nb_Mensualites*(1+Taux_TVA),2)&amp;" € TTC.")</f>
        <v>Soit 0.00 € HT par échéance (12 échéances), 0.00 € TTC.</v>
      </c>
      <c r="C1923" s="46"/>
      <c r="D1923" s="46"/>
      <c r="E1923" s="46"/>
      <c r="F1923" s="46"/>
    </row>
    <row r="1924" customFormat="false" ht="7.5" hidden="false" customHeight="true" outlineLevel="0" collapsed="false">
      <c r="B1924" s="10"/>
      <c r="C1924" s="10"/>
      <c r="D1924" s="10"/>
      <c r="E1924" s="10"/>
      <c r="F1924" s="10"/>
    </row>
    <row r="1925" customFormat="false" ht="36.75" hidden="false" customHeight="true" outlineLevel="0" collapsed="false">
      <c r="B1925" s="37" t="str">
        <f aca="false">SUBSTITUTE(SUBSTITUTE(SUBSTITUTE(SUBSTITUTE(SUBSTITUTE(Txt_P5,"{cabinet}",Cab_Nom),"{societe}",IF($K$1891=0,"",INDEX(Clients!$E$2:$E$501,$K$1891)&amp;"")),"{date_effet}",$K$1893),"{hausse}",$K$1894),"{civilite}",$K$1892)</f>
        <v>Les autres conditions de votre lettre de mission demeurent inchangées. Les nouveaux montants seront appliqués automatiquement sur vos prochaines factures et échéances de prélèvement.</v>
      </c>
      <c r="C1925" s="37"/>
      <c r="D1925" s="37"/>
      <c r="E1925" s="37"/>
      <c r="F1925" s="37"/>
    </row>
    <row r="1926" customFormat="false" ht="36.75" hidden="false" customHeight="true" outlineLevel="0" collapsed="false">
      <c r="B1926" s="37" t="str">
        <f aca="false">SUBSTITUTE(SUBSTITUTE(SUBSTITUTE(SUBSTITUTE(SUBSTITUTE(Txt_P6,"{cabinet}",Cab_Nom),"{societe}",IF($K$1891=0,"",INDEX(Clients!$E$2:$E$501,$K$1891)&amp;"")),"{date_effet}",$K$1893),"{hausse}",$K$1894),"{civilite}",$K$1892)</f>
        <v>Votre interlocuteur habituel reste à votre entière disposition pour répondre à vos questions et faire le point sur l'évolution de vos besoins.</v>
      </c>
      <c r="C1926" s="37"/>
      <c r="D1926" s="37"/>
      <c r="E1926" s="37"/>
      <c r="F1926" s="37"/>
    </row>
    <row r="1927" customFormat="false" ht="24" hidden="false" customHeight="true" outlineLevel="0" collapsed="false">
      <c r="B1927" s="37" t="str">
        <f aca="false">SUBSTITUTE(SUBSTITUTE(SUBSTITUTE(SUBSTITUTE(SUBSTITUTE(Txt_Politesse,"{cabinet}",Cab_Nom),"{societe}",IF($K$1891=0,"",INDEX(Clients!$E$2:$E$501,$K$1891)&amp;"")),"{date_effet}",$K$1893),"{hausse}",$K$1894),"{civilite}",$K$1892)</f>
        <v>Nous vous prions d'agréer, Madame, Monsieur, l'expression de nos salutations distinguées.</v>
      </c>
      <c r="C1927" s="37"/>
      <c r="D1927" s="37"/>
      <c r="E1927" s="37"/>
      <c r="F1927" s="37"/>
    </row>
    <row r="1928" customFormat="false" ht="15" hidden="false" customHeight="false" outlineLevel="0" collapsed="false">
      <c r="B1928" s="10"/>
      <c r="C1928" s="10"/>
      <c r="D1928" s="10"/>
      <c r="E1928" s="10"/>
      <c r="F1928" s="10"/>
    </row>
    <row r="1929" customFormat="false" ht="15" hidden="false" customHeight="false" outlineLevel="0" collapsed="false">
      <c r="B1929" s="10"/>
      <c r="C1929" s="10"/>
      <c r="D1929" s="34" t="str">
        <f aca="false">Signataire</f>
        <v>Prénom NOM</v>
      </c>
      <c r="E1929" s="34"/>
      <c r="F1929" s="34"/>
    </row>
    <row r="1930" customFormat="false" ht="15" hidden="false" customHeight="false" outlineLevel="0" collapsed="false">
      <c r="B1930" s="10"/>
      <c r="C1930" s="10"/>
      <c r="D1930" s="47" t="str">
        <f aca="false">Signataire_Titre</f>
        <v>Expert-comptable associé</v>
      </c>
      <c r="E1930" s="47"/>
      <c r="F1930" s="47"/>
    </row>
    <row r="1931" customFormat="false" ht="15.75" hidden="false" customHeight="true" outlineLevel="0" collapsed="false">
      <c r="B1931" s="10"/>
      <c r="C1931" s="10"/>
      <c r="D1931" s="10"/>
      <c r="E1931" s="10"/>
      <c r="F1931" s="10"/>
    </row>
    <row r="1932" customFormat="false" ht="15.75" hidden="false" customHeight="true" outlineLevel="0" collapsed="false">
      <c r="B1932" s="10"/>
      <c r="C1932" s="10"/>
      <c r="D1932" s="10"/>
      <c r="E1932" s="10"/>
      <c r="F1932" s="10"/>
    </row>
    <row r="1933" customFormat="false" ht="15.75" hidden="false" customHeight="true" outlineLevel="0" collapsed="false">
      <c r="B1933" s="10"/>
      <c r="C1933" s="10"/>
      <c r="D1933" s="10"/>
      <c r="E1933" s="10"/>
      <c r="F1933" s="10"/>
    </row>
    <row r="1934" customFormat="false" ht="15.75" hidden="false" customHeight="true" outlineLevel="0" collapsed="false">
      <c r="B1934" s="10"/>
      <c r="C1934" s="10"/>
      <c r="D1934" s="10"/>
      <c r="E1934" s="10"/>
      <c r="F1934" s="10"/>
    </row>
    <row r="1935" customFormat="false" ht="24" hidden="false" customHeight="true" outlineLevel="0" collapsed="false">
      <c r="B1935" s="48" t="str">
        <f aca="false">Cab_Mentions</f>
        <v>ALTHO EXPERTISE · SAS au capital de 10 000 € · RCS Pontoise 919 706 325 · TVA FR62919706325 · Société d'expertise comptable inscrite au Tableau de l'Ordre des experts-comptables de Paris Île-de-France</v>
      </c>
      <c r="C1935" s="48"/>
      <c r="D1935" s="48"/>
      <c r="E1935" s="48"/>
      <c r="F1935" s="48"/>
    </row>
    <row r="1936" customFormat="false" ht="15" hidden="false" customHeight="false" outlineLevel="0" collapsed="false">
      <c r="B1936" s="10"/>
      <c r="C1936" s="10"/>
      <c r="D1936" s="10"/>
      <c r="E1936" s="10"/>
      <c r="F1936" s="10"/>
      <c r="J1936" s="25" t="s">
        <v>142</v>
      </c>
      <c r="K1936" s="25" t="n">
        <f aca="false">IFERROR(MATCH(44,Clients!$Z$2:$Z$501,0),0)</f>
        <v>0</v>
      </c>
      <c r="L1936" s="25"/>
      <c r="M1936" s="25"/>
      <c r="N1936" s="25"/>
      <c r="O1936" s="25"/>
    </row>
    <row r="1937" customFormat="false" ht="21.75" hidden="false" customHeight="true" outlineLevel="0" collapsed="false">
      <c r="B1937" s="26" t="str">
        <f aca="false">Cab_Nom</f>
        <v>ALTHO EXPERTISE</v>
      </c>
      <c r="C1937" s="26"/>
      <c r="D1937" s="10"/>
      <c r="E1937" s="27" t="str">
        <f aca="false">IF($K$1936=0,"","Réf. client : "&amp;INDEX(Clients!$A$2:$A$501,$K$1936))</f>
        <v/>
      </c>
      <c r="F1937" s="27"/>
      <c r="J1937" s="25" t="s">
        <v>144</v>
      </c>
      <c r="K1937" s="25" t="str">
        <f aca="false">IF(IF($K$1936=0,"",INDEX(Clients!$B$2:$B$501,$K$1936)&amp;"")="Mme","Madame",IF(IF($K$1936=0,"",INDEX(Clients!$B$2:$B$501,$K$1936)&amp;"")="M.","Monsieur","Madame, Monsieur"))</f>
        <v>Madame, Monsieur</v>
      </c>
      <c r="L1937" s="25"/>
      <c r="M1937" s="25"/>
      <c r="N1937" s="25"/>
      <c r="O1937" s="25"/>
    </row>
    <row r="1938" customFormat="false" ht="15" hidden="false" customHeight="false" outlineLevel="0" collapsed="false">
      <c r="B1938" s="29" t="str">
        <f aca="false">Cab_Adr1</f>
        <v>141 rue Charles de Gaulle</v>
      </c>
      <c r="C1938" s="29"/>
      <c r="D1938" s="10"/>
      <c r="E1938" s="10"/>
      <c r="F1938" s="10"/>
      <c r="J1938" s="25" t="s">
        <v>145</v>
      </c>
      <c r="K1938" s="25" t="str">
        <f aca="false">DAY(Date_Effet)&amp;IF(DAY(Date_Effet)=1,"er","")&amp;" "&amp;INDEX(Liste_Mois,MONTH(Date_Effet))&amp;" "&amp;YEAR(Date_Effet)</f>
        <v>1er janvier 2027</v>
      </c>
      <c r="L1938" s="25"/>
      <c r="M1938" s="25"/>
      <c r="N1938" s="25"/>
      <c r="O1938" s="25"/>
    </row>
    <row r="1939" customFormat="false" ht="15" hidden="false" customHeight="false" outlineLevel="0" collapsed="false">
      <c r="B1939" s="29" t="str">
        <f aca="false">Cab_CPVille</f>
        <v>95130 LE PLESSIS-BOUCHARD</v>
      </c>
      <c r="C1939" s="29"/>
      <c r="D1939" s="10"/>
      <c r="E1939" s="10"/>
      <c r="F1939" s="10"/>
      <c r="J1939" s="25" t="s">
        <v>146</v>
      </c>
      <c r="K1939" s="25" t="str">
        <f aca="false">IF(SUM($K$1963:$K$1966)=0,"",FIXED((SUM($L$1963:$L$1966)/SUM($K$1963:$K$1966)-1)*100,1)&amp;" %")</f>
        <v/>
      </c>
      <c r="L1939" s="25"/>
      <c r="M1939" s="25"/>
      <c r="N1939" s="25"/>
      <c r="O1939" s="25"/>
    </row>
    <row r="1940" customFormat="false" ht="15" hidden="false" customHeight="false" outlineLevel="0" collapsed="false">
      <c r="B1940" s="29" t="str">
        <f aca="false">Cab_Contact</f>
        <v>Tél. 01 34 14 53 45  ·  altho@altho-experts.com  ·  altho-experts.com</v>
      </c>
      <c r="C1940" s="29"/>
      <c r="D1940" s="10"/>
      <c r="E1940" s="10"/>
      <c r="F1940" s="10"/>
      <c r="J1940" s="25"/>
      <c r="K1940" s="25"/>
      <c r="L1940" s="25"/>
      <c r="M1940" s="25"/>
      <c r="N1940" s="25"/>
      <c r="O1940" s="25"/>
    </row>
    <row r="1941" customFormat="false" ht="6" hidden="false" customHeight="true" outlineLevel="0" collapsed="false">
      <c r="B1941" s="32"/>
      <c r="C1941" s="32"/>
      <c r="D1941" s="32"/>
      <c r="E1941" s="32"/>
      <c r="F1941" s="32"/>
      <c r="J1941" s="25"/>
      <c r="K1941" s="25"/>
      <c r="L1941" s="25"/>
      <c r="M1941" s="25"/>
      <c r="N1941" s="25"/>
      <c r="O1941" s="25"/>
    </row>
    <row r="1942" customFormat="false" ht="13.5" hidden="false" customHeight="true" outlineLevel="0" collapsed="false">
      <c r="B1942" s="10"/>
      <c r="C1942" s="10"/>
      <c r="D1942" s="10"/>
      <c r="E1942" s="10"/>
      <c r="F1942" s="10"/>
      <c r="J1942" s="25"/>
      <c r="K1942" s="25"/>
      <c r="L1942" s="25"/>
      <c r="M1942" s="25"/>
      <c r="N1942" s="25"/>
      <c r="O1942" s="25"/>
    </row>
    <row r="1943" customFormat="false" ht="13.5" hidden="false" customHeight="true" outlineLevel="0" collapsed="false">
      <c r="B1943" s="10"/>
      <c r="C1943" s="10"/>
      <c r="D1943" s="10"/>
      <c r="E1943" s="10"/>
      <c r="F1943" s="10"/>
      <c r="J1943" s="25"/>
      <c r="K1943" s="25"/>
      <c r="L1943" s="25"/>
      <c r="M1943" s="25"/>
      <c r="N1943" s="25"/>
      <c r="O1943" s="25"/>
    </row>
    <row r="1944" customFormat="false" ht="13.5" hidden="false" customHeight="true" outlineLevel="0" collapsed="false">
      <c r="B1944" s="10"/>
      <c r="C1944" s="10"/>
      <c r="D1944" s="10"/>
      <c r="E1944" s="10"/>
      <c r="F1944" s="10"/>
      <c r="J1944" s="25"/>
      <c r="K1944" s="25"/>
      <c r="L1944" s="25"/>
      <c r="M1944" s="25"/>
      <c r="N1944" s="25"/>
      <c r="O1944" s="25"/>
    </row>
    <row r="1945" customFormat="false" ht="15" hidden="false" customHeight="true" outlineLevel="0" collapsed="false">
      <c r="B1945" s="10"/>
      <c r="C1945" s="10"/>
      <c r="D1945" s="34" t="str">
        <f aca="false">IF($K$1936=0,"",INDEX(Clients!$E$2:$E$501,$K$1936)&amp;"")</f>
        <v/>
      </c>
      <c r="E1945" s="34"/>
      <c r="F1945" s="34"/>
      <c r="J1945" s="25"/>
      <c r="K1945" s="25"/>
      <c r="L1945" s="25"/>
      <c r="M1945" s="25"/>
      <c r="N1945" s="25"/>
      <c r="O1945" s="25"/>
    </row>
    <row r="1946" customFormat="false" ht="15" hidden="false" customHeight="true" outlineLevel="0" collapsed="false">
      <c r="B1946" s="10"/>
      <c r="C1946" s="10"/>
      <c r="D1946" s="35" t="str">
        <f aca="false">IF(IF($K$1936=0,"",INDEX(Clients!$D$2:$D$501,$K$1936)&amp;"")="","","À l'attention de "&amp;TRIM(IF($K$1936=0,"",INDEX(Clients!$B$2:$B$501,$K$1936)&amp;"")&amp;" "&amp;IF($K$1936=0,"",INDEX(Clients!$C$2:$C$501,$K$1936)&amp;"")&amp;" "&amp;IF($K$1936=0,"",INDEX(Clients!$D$2:$D$501,$K$1936)&amp;"")))</f>
        <v/>
      </c>
      <c r="E1946" s="35"/>
      <c r="F1946" s="35"/>
      <c r="J1946" s="25"/>
      <c r="K1946" s="25"/>
      <c r="L1946" s="25"/>
      <c r="M1946" s="25"/>
      <c r="N1946" s="25"/>
      <c r="O1946" s="25"/>
    </row>
    <row r="1947" customFormat="false" ht="15" hidden="false" customHeight="true" outlineLevel="0" collapsed="false">
      <c r="B1947" s="10"/>
      <c r="C1947" s="10"/>
      <c r="D1947" s="35" t="str">
        <f aca="false">IF($K$1936=0,"",INDEX(Clients!$F$2:$F$501,$K$1936)&amp;"")</f>
        <v/>
      </c>
      <c r="E1947" s="35"/>
      <c r="F1947" s="35"/>
      <c r="J1947" s="25"/>
      <c r="K1947" s="25"/>
      <c r="L1947" s="25"/>
      <c r="M1947" s="25"/>
      <c r="N1947" s="25"/>
      <c r="O1947" s="25"/>
    </row>
    <row r="1948" customFormat="false" ht="15" hidden="false" customHeight="true" outlineLevel="0" collapsed="false">
      <c r="B1948" s="10"/>
      <c r="C1948" s="10"/>
      <c r="D1948" s="35" t="str">
        <f aca="false">IF(IF($K$1936=0,"",INDEX(Clients!$G$2:$G$501,$K$1936)&amp;"")="",TRIM(IF($K$1936=0,"",INDEX(Clients!$H$2:$H$501,$K$1936)&amp;"")&amp;" "&amp;UPPER(IF($K$1936=0,"",INDEX(Clients!$I$2:$I$501,$K$1936)&amp;""))),IF($K$1936=0,"",INDEX(Clients!$G$2:$G$501,$K$1936)&amp;""))</f>
        <v/>
      </c>
      <c r="E1948" s="35"/>
      <c r="F1948" s="35"/>
      <c r="J1948" s="25"/>
      <c r="K1948" s="25"/>
      <c r="L1948" s="25"/>
      <c r="M1948" s="25"/>
      <c r="N1948" s="25"/>
      <c r="O1948" s="25"/>
    </row>
    <row r="1949" customFormat="false" ht="15" hidden="false" customHeight="true" outlineLevel="0" collapsed="false">
      <c r="B1949" s="10"/>
      <c r="C1949" s="10"/>
      <c r="D1949" s="35" t="str">
        <f aca="false">IF(IF($K$1936=0,"",INDEX(Clients!$G$2:$G$501,$K$1936)&amp;"")="","",TRIM(IF($K$1936=0,"",INDEX(Clients!$H$2:$H$501,$K$1936)&amp;"")&amp;" "&amp;UPPER(IF($K$1936=0,"",INDEX(Clients!$I$2:$I$501,$K$1936)&amp;""))))</f>
        <v/>
      </c>
      <c r="E1949" s="35"/>
      <c r="F1949" s="35"/>
      <c r="J1949" s="25"/>
      <c r="K1949" s="25"/>
      <c r="L1949" s="25"/>
      <c r="M1949" s="25"/>
      <c r="N1949" s="25"/>
      <c r="O1949" s="25"/>
    </row>
    <row r="1950" customFormat="false" ht="25.5" hidden="false" customHeight="true" outlineLevel="0" collapsed="false">
      <c r="B1950" s="10"/>
      <c r="C1950" s="10"/>
      <c r="D1950" s="10"/>
      <c r="E1950" s="10"/>
      <c r="F1950" s="10"/>
      <c r="J1950" s="25"/>
      <c r="K1950" s="25"/>
      <c r="L1950" s="25"/>
      <c r="M1950" s="25"/>
      <c r="N1950" s="25"/>
      <c r="O1950" s="25"/>
    </row>
    <row r="1951" customFormat="false" ht="15" hidden="false" customHeight="false" outlineLevel="0" collapsed="false">
      <c r="B1951" s="10"/>
      <c r="C1951" s="10"/>
      <c r="D1951" s="36" t="str">
        <f aca="false">Cab_Ville&amp;", le "&amp;DAY(Date_Courrier)&amp;IF(DAY(Date_Courrier)=1,"er","")&amp;" "&amp;INDEX(Liste_Mois,MONTH(Date_Courrier))&amp;" "&amp;YEAR(Date_Courrier)</f>
        <v>Le Plessis-Bouchard, le 22 septembre 2026</v>
      </c>
      <c r="E1951" s="36"/>
      <c r="F1951" s="36"/>
      <c r="J1951" s="25"/>
      <c r="K1951" s="25"/>
      <c r="L1951" s="25"/>
      <c r="M1951" s="25"/>
      <c r="N1951" s="25"/>
      <c r="O1951" s="25"/>
    </row>
    <row r="1952" customFormat="false" ht="19.5" hidden="false" customHeight="true" outlineLevel="0" collapsed="false">
      <c r="B1952" s="10"/>
      <c r="C1952" s="10"/>
      <c r="D1952" s="10"/>
      <c r="E1952" s="10"/>
      <c r="F1952" s="10"/>
      <c r="J1952" s="25"/>
      <c r="K1952" s="25"/>
      <c r="L1952" s="25"/>
      <c r="M1952" s="25"/>
      <c r="N1952" s="25"/>
      <c r="O1952" s="25"/>
    </row>
    <row r="1953" customFormat="false" ht="15" hidden="false" customHeight="false" outlineLevel="0" collapsed="false">
      <c r="B1953" s="34" t="str">
        <f aca="false">SUBSTITUTE(SUBSTITUTE(SUBSTITUTE(SUBSTITUTE(SUBSTITUTE(Txt_Objet,"{cabinet}",Cab_Nom),"{societe}",IF($K$1936=0,"",INDEX(Clients!$E$2:$E$501,$K$1936)&amp;"")),"{date_effet}",$K$1938),"{hausse}",$K$1939),"{civilite}",$K$1937)</f>
        <v>Objet : révision de nos honoraires au 1er janvier 2027</v>
      </c>
      <c r="C1953" s="34"/>
      <c r="D1953" s="34"/>
      <c r="E1953" s="34"/>
      <c r="F1953" s="34"/>
      <c r="J1953" s="25"/>
      <c r="K1953" s="25"/>
      <c r="L1953" s="25"/>
      <c r="M1953" s="25"/>
      <c r="N1953" s="25"/>
      <c r="O1953" s="25"/>
    </row>
    <row r="1954" customFormat="false" ht="13.5" hidden="false" customHeight="true" outlineLevel="0" collapsed="false">
      <c r="B1954" s="10"/>
      <c r="C1954" s="10"/>
      <c r="D1954" s="10"/>
      <c r="E1954" s="10"/>
      <c r="F1954" s="10"/>
      <c r="J1954" s="25"/>
      <c r="K1954" s="25"/>
      <c r="L1954" s="25"/>
      <c r="M1954" s="25"/>
      <c r="N1954" s="25"/>
      <c r="O1954" s="25"/>
    </row>
    <row r="1955" customFormat="false" ht="15" hidden="false" customHeight="false" outlineLevel="0" collapsed="false">
      <c r="B1955" s="10" t="str">
        <f aca="false">$K$1937&amp;","</f>
        <v>Madame, Monsieur,</v>
      </c>
      <c r="C1955" s="10"/>
      <c r="D1955" s="10"/>
      <c r="E1955" s="10"/>
      <c r="F1955" s="10"/>
      <c r="J1955" s="25"/>
      <c r="K1955" s="25"/>
      <c r="L1955" s="25"/>
      <c r="M1955" s="25"/>
      <c r="N1955" s="25"/>
      <c r="O1955" s="25"/>
    </row>
    <row r="1956" customFormat="false" ht="6" hidden="false" customHeight="true" outlineLevel="0" collapsed="false">
      <c r="B1956" s="10"/>
      <c r="C1956" s="10"/>
      <c r="D1956" s="10"/>
      <c r="E1956" s="10"/>
      <c r="F1956" s="10"/>
      <c r="J1956" s="25"/>
      <c r="K1956" s="25"/>
      <c r="L1956" s="25"/>
      <c r="M1956" s="25"/>
      <c r="N1956" s="25"/>
      <c r="O1956" s="25"/>
    </row>
    <row r="1957" customFormat="false" ht="36.75" hidden="false" customHeight="true" outlineLevel="0" collapsed="false">
      <c r="B1957" s="37" t="str">
        <f aca="false">SUBSTITUTE(SUBSTITUTE(SUBSTITUTE(SUBSTITUTE(SUBSTITUTE(Txt_P1,"{cabinet}",Cab_Nom),"{societe}",IF($K$1936=0,"",INDEX(Clients!$E$2:$E$501,$K$1936)&amp;"")),"{date_effet}",$K$1938),"{hausse}",$K$1939),"{civilite}",$K$1937)</f>
        <v>Nous tenons tout d'abord à vous remercier pour la confiance que vous accordez à ALTHO EXPERTISE. Comme chaque année, et conformément aux dispositions de votre lettre de mission, nous procédons à la révision de nos honoraires.</v>
      </c>
      <c r="C1957" s="37"/>
      <c r="D1957" s="37"/>
      <c r="E1957" s="37"/>
      <c r="F1957" s="37"/>
      <c r="J1957" s="25"/>
      <c r="K1957" s="25"/>
      <c r="L1957" s="25"/>
      <c r="M1957" s="25"/>
      <c r="N1957" s="25"/>
      <c r="O1957" s="25"/>
    </row>
    <row r="1958" customFormat="false" ht="49.5" hidden="false" customHeight="true" outlineLevel="0" collapsed="false">
      <c r="B1958" s="37" t="str">
        <f aca="false">SUBSTITUTE(SUBSTITUTE(SUBSTITUTE(SUBSTITUTE(SUBSTITUTE(Txt_P2,"{cabinet}",Cab_Nom),"{societe}",IF($K$1936=0,"",INDEX(Clients!$E$2:$E$501,$K$1936)&amp;"")),"{date_effet}",$K$1938),"{hausse}",$K$1939),"{civilite}",$K$1937)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958" s="37"/>
      <c r="D1958" s="37"/>
      <c r="E1958" s="37"/>
      <c r="F1958" s="37"/>
      <c r="J1958" s="25"/>
      <c r="K1958" s="25"/>
      <c r="L1958" s="25"/>
      <c r="M1958" s="25"/>
      <c r="N1958" s="25"/>
      <c r="O1958" s="25"/>
    </row>
    <row r="1959" customFormat="false" ht="63" hidden="false" customHeight="true" outlineLevel="0" collapsed="false">
      <c r="B1959" s="37" t="str">
        <f aca="false">SUBSTITUTE(SUBSTITUTE(SUBSTITUTE(SUBSTITUTE(SUBSTITUTE(Txt_P3,"{cabinet}",Cab_Nom),"{societe}",IF($K$1936=0,"",INDEX(Clients!$E$2:$E$501,$K$1936)&amp;"")),"{date_effet}",$K$1938),"{hausse}",$K$1939),"{civilite}",$K$1937)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959" s="37"/>
      <c r="D1959" s="37"/>
      <c r="E1959" s="37"/>
      <c r="F1959" s="37"/>
      <c r="J1959" s="25"/>
      <c r="K1959" s="25"/>
      <c r="L1959" s="25"/>
      <c r="M1959" s="25"/>
      <c r="N1959" s="25"/>
      <c r="O1959" s="25"/>
    </row>
    <row r="1960" customFormat="false" ht="24" hidden="false" customHeight="true" outlineLevel="0" collapsed="false">
      <c r="B1960" s="37" t="str">
        <f aca="false">SUBSTITUTE(SUBSTITUTE(SUBSTITUTE(SUBSTITUTE(SUBSTITUTE(Txt_P4,"{cabinet}",Cab_Nom),"{societe}",IF($K$1936=0,"",INDEX(Clients!$E$2:$E$501,$K$1936)&amp;"")),"{date_effet}",$K$1938),"{hausse}",$K$1939),"{civilite}",$K$1937)</f>
        <v>À compter du 1er janvier 2027, vos honoraires annuels hors taxes évolueront ainsi (évolution globale : ) :</v>
      </c>
      <c r="C1960" s="37"/>
      <c r="D1960" s="37"/>
      <c r="E1960" s="37"/>
      <c r="F1960" s="37"/>
      <c r="J1960" s="25"/>
      <c r="K1960" s="25"/>
      <c r="L1960" s="25"/>
      <c r="M1960" s="25"/>
      <c r="N1960" s="25"/>
      <c r="O1960" s="25"/>
    </row>
    <row r="1961" customFormat="false" ht="3.75" hidden="false" customHeight="true" outlineLevel="0" collapsed="false">
      <c r="B1961" s="10"/>
      <c r="C1961" s="10"/>
      <c r="D1961" s="10"/>
      <c r="E1961" s="10"/>
      <c r="F1961" s="10"/>
      <c r="J1961" s="25"/>
      <c r="K1961" s="25"/>
      <c r="L1961" s="25"/>
      <c r="M1961" s="25"/>
      <c r="N1961" s="25"/>
      <c r="O1961" s="25"/>
    </row>
    <row r="1962" customFormat="false" ht="18" hidden="false" customHeight="true" outlineLevel="0" collapsed="false">
      <c r="B1962" s="38" t="s">
        <v>148</v>
      </c>
      <c r="C1962" s="39" t="s">
        <v>149</v>
      </c>
      <c r="D1962" s="39" t="s">
        <v>150</v>
      </c>
      <c r="E1962" s="39" t="s">
        <v>151</v>
      </c>
      <c r="F1962" s="39" t="s">
        <v>109</v>
      </c>
      <c r="J1962" s="25" t="s">
        <v>152</v>
      </c>
      <c r="K1962" s="25" t="s">
        <v>153</v>
      </c>
      <c r="L1962" s="25" t="s">
        <v>154</v>
      </c>
      <c r="M1962" s="25" t="s">
        <v>155</v>
      </c>
      <c r="N1962" s="25" t="s">
        <v>156</v>
      </c>
      <c r="O1962" s="25" t="s">
        <v>157</v>
      </c>
    </row>
    <row r="1963" customFormat="false" ht="16.5" hidden="false" customHeight="true" outlineLevel="0" collapsed="false">
      <c r="B1963" s="40" t="str">
        <f aca="false">IFERROR(INDEX($J$1963:$J$1966,MATCH($O1963,$N$1963:$N$1966,0)),"")</f>
        <v/>
      </c>
      <c r="C1963" s="41" t="str">
        <f aca="false">IFERROR(INDEX($K$1963:$K$1966,MATCH($O1963,$N$1963:$N$1966,0)),"")</f>
        <v/>
      </c>
      <c r="D1963" s="42" t="str">
        <f aca="false">IF(OR(E1963="",N(C1963)=0),"",E1963/C1963-1)</f>
        <v/>
      </c>
      <c r="E1963" s="41" t="str">
        <f aca="false">IFERROR(INDEX($L$1963:$L$1966,MATCH($O1963,$N$1963:$N$1966,0)),"")</f>
        <v/>
      </c>
      <c r="F1963" s="41" t="str">
        <f aca="false">IF(E1963="","",E1963-C1963)</f>
        <v/>
      </c>
      <c r="J1963" s="25" t="str">
        <f aca="false">Lib_Compta</f>
        <v>Mission comptable (tenue, révision, bilan, liasse fiscale)</v>
      </c>
      <c r="K1963" s="25" t="n">
        <f aca="false">IF($K$1936=0,0,N(INDEX(Clients!$K$2:$K$501,$K$1936)))</f>
        <v>0</v>
      </c>
      <c r="L1963" s="25" t="n">
        <f aca="false">IF($K$1936=0,0,N(INDEX(Clients!$P$2:$P$501,$K$1936)))</f>
        <v>0</v>
      </c>
      <c r="M1963" s="25" t="n">
        <f aca="false">IF(OR(K1963&lt;&gt;0,L1963&lt;&gt;0),1,0)</f>
        <v>0</v>
      </c>
      <c r="N1963" s="25" t="str">
        <f aca="false">IF(M1963=1,SUM($M$1963:M1963),"")</f>
        <v/>
      </c>
      <c r="O1963" s="25" t="n">
        <v>1</v>
      </c>
    </row>
    <row r="1964" customFormat="false" ht="16.5" hidden="false" customHeight="true" outlineLevel="0" collapsed="false">
      <c r="B1964" s="40" t="str">
        <f aca="false">IFERROR(INDEX($J$1963:$J$1966,MATCH($O1964,$N$1963:$N$1966,0)),"")</f>
        <v/>
      </c>
      <c r="C1964" s="41" t="str">
        <f aca="false">IFERROR(INDEX($K$1963:$K$1966,MATCH($O1964,$N$1963:$N$1966,0)),"")</f>
        <v/>
      </c>
      <c r="D1964" s="42" t="str">
        <f aca="false">IF(OR(E1964="",N(C1964)=0),"",E1964/C1964-1)</f>
        <v/>
      </c>
      <c r="E1964" s="41" t="str">
        <f aca="false">IFERROR(INDEX($L$1963:$L$1966,MATCH($O1964,$N$1963:$N$1966,0)),"")</f>
        <v/>
      </c>
      <c r="F1964" s="41" t="str">
        <f aca="false">IF(E1964="","",E1964-C1964)</f>
        <v/>
      </c>
      <c r="J1964" s="25" t="str">
        <f aca="false">Lib_Paye</f>
        <v>Mission sociale (bulletins de paie, DSN, déclarations sociales)</v>
      </c>
      <c r="K1964" s="25" t="n">
        <f aca="false">IF($K$1936=0,0,N(INDEX(Clients!$L$2:$L$501,$K$1936)))</f>
        <v>0</v>
      </c>
      <c r="L1964" s="25" t="n">
        <f aca="false">IF($K$1936=0,0,N(INDEX(Clients!$Q$2:$Q$501,$K$1936)))</f>
        <v>0</v>
      </c>
      <c r="M1964" s="25" t="n">
        <f aca="false">IF(OR(K1964&lt;&gt;0,L1964&lt;&gt;0),1,0)</f>
        <v>0</v>
      </c>
      <c r="N1964" s="25" t="str">
        <f aca="false">IF(M1964=1,SUM($M$1963:M1964),"")</f>
        <v/>
      </c>
      <c r="O1964" s="25" t="n">
        <v>2</v>
      </c>
    </row>
    <row r="1965" customFormat="false" ht="16.5" hidden="false" customHeight="true" outlineLevel="0" collapsed="false">
      <c r="B1965" s="40" t="str">
        <f aca="false">IFERROR(INDEX($J$1963:$J$1966,MATCH($O1965,$N$1963:$N$1966,0)),"")</f>
        <v/>
      </c>
      <c r="C1965" s="41" t="str">
        <f aca="false">IFERROR(INDEX($K$1963:$K$1966,MATCH($O1965,$N$1963:$N$1966,0)),"")</f>
        <v/>
      </c>
      <c r="D1965" s="42" t="str">
        <f aca="false">IF(OR(E1965="",N(C1965)=0),"",E1965/C1965-1)</f>
        <v/>
      </c>
      <c r="E1965" s="41" t="str">
        <f aca="false">IFERROR(INDEX($L$1963:$L$1966,MATCH($O1965,$N$1963:$N$1966,0)),"")</f>
        <v/>
      </c>
      <c r="F1965" s="41" t="str">
        <f aca="false">IF(E1965="","",E1965-C1965)</f>
        <v/>
      </c>
      <c r="J1965" s="25" t="str">
        <f aca="false">Lib_Jur</f>
        <v>Mission juridique (approbation des comptes, secrétariat juridique)</v>
      </c>
      <c r="K1965" s="25" t="n">
        <f aca="false">IF($K$1936=0,0,N(INDEX(Clients!$M$2:$M$501,$K$1936)))</f>
        <v>0</v>
      </c>
      <c r="L1965" s="25" t="n">
        <f aca="false">IF($K$1936=0,0,N(INDEX(Clients!$R$2:$R$501,$K$1936)))</f>
        <v>0</v>
      </c>
      <c r="M1965" s="25" t="n">
        <f aca="false">IF(OR(K1965&lt;&gt;0,L1965&lt;&gt;0),1,0)</f>
        <v>0</v>
      </c>
      <c r="N1965" s="25" t="str">
        <f aca="false">IF(M1965=1,SUM($M$1963:M1965),"")</f>
        <v/>
      </c>
      <c r="O1965" s="25" t="n">
        <v>3</v>
      </c>
    </row>
    <row r="1966" customFormat="false" ht="16.5" hidden="false" customHeight="true" outlineLevel="0" collapsed="false">
      <c r="B1966" s="40" t="str">
        <f aca="false">IFERROR(INDEX($J$1963:$J$1966,MATCH($O1966,$N$1963:$N$1966,0)),"")</f>
        <v/>
      </c>
      <c r="C1966" s="41" t="str">
        <f aca="false">IFERROR(INDEX($K$1963:$K$1966,MATCH($O1966,$N$1963:$N$1966,0)),"")</f>
        <v/>
      </c>
      <c r="D1966" s="42" t="str">
        <f aca="false">IF(OR(E1966="",N(C1966)=0),"",E1966/C1966-1)</f>
        <v/>
      </c>
      <c r="E1966" s="41" t="str">
        <f aca="false">IFERROR(INDEX($L$1963:$L$1966,MATCH($O1966,$N$1963:$N$1966,0)),"")</f>
        <v/>
      </c>
      <c r="F1966" s="41" t="str">
        <f aca="false">IF(E1966="","",E1966-C1966)</f>
        <v/>
      </c>
      <c r="J1966" s="25" t="str">
        <f aca="false">Lib_PA</f>
        <v>Plateforme agréée – facturation électronique</v>
      </c>
      <c r="K1966" s="25" t="n">
        <f aca="false">IF($K$1936=0,0,N(INDEX(Clients!$N$2:$N$501,$K$1936)))</f>
        <v>0</v>
      </c>
      <c r="L1966" s="25" t="n">
        <f aca="false">IF($K$1936=0,0,N(INDEX(Clients!$S$2:$S$501,$K$1936)))</f>
        <v>0</v>
      </c>
      <c r="M1966" s="25" t="n">
        <f aca="false">IF(OR(K1966&lt;&gt;0,L1966&lt;&gt;0),1,0)</f>
        <v>0</v>
      </c>
      <c r="N1966" s="25" t="str">
        <f aca="false">IF(M1966=1,SUM($M$1963:M1966),"")</f>
        <v/>
      </c>
      <c r="O1966" s="25" t="n">
        <v>4</v>
      </c>
    </row>
    <row r="1967" customFormat="false" ht="18" hidden="false" customHeight="true" outlineLevel="0" collapsed="false">
      <c r="B1967" s="43" t="s">
        <v>158</v>
      </c>
      <c r="C1967" s="44" t="n">
        <f aca="false">SUM(K1963:K1966)</f>
        <v>0</v>
      </c>
      <c r="D1967" s="45" t="str">
        <f aca="false">IF(N(C1967)=0,"",E1967/C1967-1)</f>
        <v/>
      </c>
      <c r="E1967" s="44" t="n">
        <f aca="false">SUM(L1963:L1966)</f>
        <v>0</v>
      </c>
      <c r="F1967" s="44" t="n">
        <f aca="false">E1967-C1967</f>
        <v>0</v>
      </c>
    </row>
    <row r="1968" customFormat="false" ht="15" hidden="false" customHeight="false" outlineLevel="0" collapsed="false">
      <c r="B1968" s="46" t="str">
        <f aca="false">IF(N(Nb_Mensualites)=0,"","Soit "&amp;FIXED(E1967/Nb_Mensualites,2)&amp;" € HT par échéance ("&amp;Nb_Mensualites&amp;" échéances), "&amp;FIXED(E1967/Nb_Mensualites*(1+Taux_TVA),2)&amp;" € TTC.")</f>
        <v>Soit 0.00 € HT par échéance (12 échéances), 0.00 € TTC.</v>
      </c>
      <c r="C1968" s="46"/>
      <c r="D1968" s="46"/>
      <c r="E1968" s="46"/>
      <c r="F1968" s="46"/>
    </row>
    <row r="1969" customFormat="false" ht="7.5" hidden="false" customHeight="true" outlineLevel="0" collapsed="false">
      <c r="B1969" s="10"/>
      <c r="C1969" s="10"/>
      <c r="D1969" s="10"/>
      <c r="E1969" s="10"/>
      <c r="F1969" s="10"/>
    </row>
    <row r="1970" customFormat="false" ht="36.75" hidden="false" customHeight="true" outlineLevel="0" collapsed="false">
      <c r="B1970" s="37" t="str">
        <f aca="false">SUBSTITUTE(SUBSTITUTE(SUBSTITUTE(SUBSTITUTE(SUBSTITUTE(Txt_P5,"{cabinet}",Cab_Nom),"{societe}",IF($K$1936=0,"",INDEX(Clients!$E$2:$E$501,$K$1936)&amp;"")),"{date_effet}",$K$1938),"{hausse}",$K$1939),"{civilite}",$K$1937)</f>
        <v>Les autres conditions de votre lettre de mission demeurent inchangées. Les nouveaux montants seront appliqués automatiquement sur vos prochaines factures et échéances de prélèvement.</v>
      </c>
      <c r="C1970" s="37"/>
      <c r="D1970" s="37"/>
      <c r="E1970" s="37"/>
      <c r="F1970" s="37"/>
    </row>
    <row r="1971" customFormat="false" ht="36.75" hidden="false" customHeight="true" outlineLevel="0" collapsed="false">
      <c r="B1971" s="37" t="str">
        <f aca="false">SUBSTITUTE(SUBSTITUTE(SUBSTITUTE(SUBSTITUTE(SUBSTITUTE(Txt_P6,"{cabinet}",Cab_Nom),"{societe}",IF($K$1936=0,"",INDEX(Clients!$E$2:$E$501,$K$1936)&amp;"")),"{date_effet}",$K$1938),"{hausse}",$K$1939),"{civilite}",$K$1937)</f>
        <v>Votre interlocuteur habituel reste à votre entière disposition pour répondre à vos questions et faire le point sur l'évolution de vos besoins.</v>
      </c>
      <c r="C1971" s="37"/>
      <c r="D1971" s="37"/>
      <c r="E1971" s="37"/>
      <c r="F1971" s="37"/>
    </row>
    <row r="1972" customFormat="false" ht="24" hidden="false" customHeight="true" outlineLevel="0" collapsed="false">
      <c r="B1972" s="37" t="str">
        <f aca="false">SUBSTITUTE(SUBSTITUTE(SUBSTITUTE(SUBSTITUTE(SUBSTITUTE(Txt_Politesse,"{cabinet}",Cab_Nom),"{societe}",IF($K$1936=0,"",INDEX(Clients!$E$2:$E$501,$K$1936)&amp;"")),"{date_effet}",$K$1938),"{hausse}",$K$1939),"{civilite}",$K$1937)</f>
        <v>Nous vous prions d'agréer, Madame, Monsieur, l'expression de nos salutations distinguées.</v>
      </c>
      <c r="C1972" s="37"/>
      <c r="D1972" s="37"/>
      <c r="E1972" s="37"/>
      <c r="F1972" s="37"/>
    </row>
    <row r="1973" customFormat="false" ht="15" hidden="false" customHeight="false" outlineLevel="0" collapsed="false">
      <c r="B1973" s="10"/>
      <c r="C1973" s="10"/>
      <c r="D1973" s="10"/>
      <c r="E1973" s="10"/>
      <c r="F1973" s="10"/>
    </row>
    <row r="1974" customFormat="false" ht="15" hidden="false" customHeight="false" outlineLevel="0" collapsed="false">
      <c r="B1974" s="10"/>
      <c r="C1974" s="10"/>
      <c r="D1974" s="34" t="str">
        <f aca="false">Signataire</f>
        <v>Prénom NOM</v>
      </c>
      <c r="E1974" s="34"/>
      <c r="F1974" s="34"/>
    </row>
    <row r="1975" customFormat="false" ht="15" hidden="false" customHeight="false" outlineLevel="0" collapsed="false">
      <c r="B1975" s="10"/>
      <c r="C1975" s="10"/>
      <c r="D1975" s="47" t="str">
        <f aca="false">Signataire_Titre</f>
        <v>Expert-comptable associé</v>
      </c>
      <c r="E1975" s="47"/>
      <c r="F1975" s="47"/>
    </row>
    <row r="1976" customFormat="false" ht="15.75" hidden="false" customHeight="true" outlineLevel="0" collapsed="false">
      <c r="B1976" s="10"/>
      <c r="C1976" s="10"/>
      <c r="D1976" s="10"/>
      <c r="E1976" s="10"/>
      <c r="F1976" s="10"/>
    </row>
    <row r="1977" customFormat="false" ht="15.75" hidden="false" customHeight="true" outlineLevel="0" collapsed="false">
      <c r="B1977" s="10"/>
      <c r="C1977" s="10"/>
      <c r="D1977" s="10"/>
      <c r="E1977" s="10"/>
      <c r="F1977" s="10"/>
    </row>
    <row r="1978" customFormat="false" ht="15.75" hidden="false" customHeight="true" outlineLevel="0" collapsed="false">
      <c r="B1978" s="10"/>
      <c r="C1978" s="10"/>
      <c r="D1978" s="10"/>
      <c r="E1978" s="10"/>
      <c r="F1978" s="10"/>
    </row>
    <row r="1979" customFormat="false" ht="15.75" hidden="false" customHeight="true" outlineLevel="0" collapsed="false">
      <c r="B1979" s="10"/>
      <c r="C1979" s="10"/>
      <c r="D1979" s="10"/>
      <c r="E1979" s="10"/>
      <c r="F1979" s="10"/>
    </row>
    <row r="1980" customFormat="false" ht="24" hidden="false" customHeight="true" outlineLevel="0" collapsed="false">
      <c r="B1980" s="48" t="str">
        <f aca="false">Cab_Mentions</f>
        <v>ALTHO EXPERTISE · SAS au capital de 10 000 € · RCS Pontoise 919 706 325 · TVA FR62919706325 · Société d'expertise comptable inscrite au Tableau de l'Ordre des experts-comptables de Paris Île-de-France</v>
      </c>
      <c r="C1980" s="48"/>
      <c r="D1980" s="48"/>
      <c r="E1980" s="48"/>
      <c r="F1980" s="48"/>
    </row>
    <row r="1981" customFormat="false" ht="15" hidden="false" customHeight="false" outlineLevel="0" collapsed="false">
      <c r="B1981" s="10"/>
      <c r="C1981" s="10"/>
      <c r="D1981" s="10"/>
      <c r="E1981" s="10"/>
      <c r="F1981" s="10"/>
      <c r="J1981" s="25" t="s">
        <v>142</v>
      </c>
      <c r="K1981" s="25" t="n">
        <f aca="false">IFERROR(MATCH(45,Clients!$Z$2:$Z$501,0),0)</f>
        <v>0</v>
      </c>
      <c r="L1981" s="25"/>
      <c r="M1981" s="25"/>
      <c r="N1981" s="25"/>
      <c r="O1981" s="25"/>
    </row>
    <row r="1982" customFormat="false" ht="21.75" hidden="false" customHeight="true" outlineLevel="0" collapsed="false">
      <c r="B1982" s="26" t="str">
        <f aca="false">Cab_Nom</f>
        <v>ALTHO EXPERTISE</v>
      </c>
      <c r="C1982" s="26"/>
      <c r="D1982" s="10"/>
      <c r="E1982" s="27" t="str">
        <f aca="false">IF($K$1981=0,"","Réf. client : "&amp;INDEX(Clients!$A$2:$A$501,$K$1981))</f>
        <v/>
      </c>
      <c r="F1982" s="27"/>
      <c r="J1982" s="25" t="s">
        <v>144</v>
      </c>
      <c r="K1982" s="25" t="str">
        <f aca="false">IF(IF($K$1981=0,"",INDEX(Clients!$B$2:$B$501,$K$1981)&amp;"")="Mme","Madame",IF(IF($K$1981=0,"",INDEX(Clients!$B$2:$B$501,$K$1981)&amp;"")="M.","Monsieur","Madame, Monsieur"))</f>
        <v>Madame, Monsieur</v>
      </c>
      <c r="L1982" s="25"/>
      <c r="M1982" s="25"/>
      <c r="N1982" s="25"/>
      <c r="O1982" s="25"/>
    </row>
    <row r="1983" customFormat="false" ht="15" hidden="false" customHeight="false" outlineLevel="0" collapsed="false">
      <c r="B1983" s="29" t="str">
        <f aca="false">Cab_Adr1</f>
        <v>141 rue Charles de Gaulle</v>
      </c>
      <c r="C1983" s="29"/>
      <c r="D1983" s="10"/>
      <c r="E1983" s="10"/>
      <c r="F1983" s="10"/>
      <c r="J1983" s="25" t="s">
        <v>145</v>
      </c>
      <c r="K1983" s="25" t="str">
        <f aca="false">DAY(Date_Effet)&amp;IF(DAY(Date_Effet)=1,"er","")&amp;" "&amp;INDEX(Liste_Mois,MONTH(Date_Effet))&amp;" "&amp;YEAR(Date_Effet)</f>
        <v>1er janvier 2027</v>
      </c>
      <c r="L1983" s="25"/>
      <c r="M1983" s="25"/>
      <c r="N1983" s="25"/>
      <c r="O1983" s="25"/>
    </row>
    <row r="1984" customFormat="false" ht="15" hidden="false" customHeight="false" outlineLevel="0" collapsed="false">
      <c r="B1984" s="29" t="str">
        <f aca="false">Cab_CPVille</f>
        <v>95130 LE PLESSIS-BOUCHARD</v>
      </c>
      <c r="C1984" s="29"/>
      <c r="D1984" s="10"/>
      <c r="E1984" s="10"/>
      <c r="F1984" s="10"/>
      <c r="J1984" s="25" t="s">
        <v>146</v>
      </c>
      <c r="K1984" s="25" t="str">
        <f aca="false">IF(SUM($K$2008:$K$2011)=0,"",FIXED((SUM($L$2008:$L$2011)/SUM($K$2008:$K$2011)-1)*100,1)&amp;" %")</f>
        <v/>
      </c>
      <c r="L1984" s="25"/>
      <c r="M1984" s="25"/>
      <c r="N1984" s="25"/>
      <c r="O1984" s="25"/>
    </row>
    <row r="1985" customFormat="false" ht="15" hidden="false" customHeight="false" outlineLevel="0" collapsed="false">
      <c r="B1985" s="29" t="str">
        <f aca="false">Cab_Contact</f>
        <v>Tél. 01 34 14 53 45  ·  altho@altho-experts.com  ·  altho-experts.com</v>
      </c>
      <c r="C1985" s="29"/>
      <c r="D1985" s="10"/>
      <c r="E1985" s="10"/>
      <c r="F1985" s="10"/>
      <c r="J1985" s="25"/>
      <c r="K1985" s="25"/>
      <c r="L1985" s="25"/>
      <c r="M1985" s="25"/>
      <c r="N1985" s="25"/>
      <c r="O1985" s="25"/>
    </row>
    <row r="1986" customFormat="false" ht="6" hidden="false" customHeight="true" outlineLevel="0" collapsed="false">
      <c r="B1986" s="32"/>
      <c r="C1986" s="32"/>
      <c r="D1986" s="32"/>
      <c r="E1986" s="32"/>
      <c r="F1986" s="32"/>
      <c r="J1986" s="25"/>
      <c r="K1986" s="25"/>
      <c r="L1986" s="25"/>
      <c r="M1986" s="25"/>
      <c r="N1986" s="25"/>
      <c r="O1986" s="25"/>
    </row>
    <row r="1987" customFormat="false" ht="13.5" hidden="false" customHeight="true" outlineLevel="0" collapsed="false">
      <c r="B1987" s="10"/>
      <c r="C1987" s="10"/>
      <c r="D1987" s="10"/>
      <c r="E1987" s="10"/>
      <c r="F1987" s="10"/>
      <c r="J1987" s="25"/>
      <c r="K1987" s="25"/>
      <c r="L1987" s="25"/>
      <c r="M1987" s="25"/>
      <c r="N1987" s="25"/>
      <c r="O1987" s="25"/>
    </row>
    <row r="1988" customFormat="false" ht="13.5" hidden="false" customHeight="true" outlineLevel="0" collapsed="false">
      <c r="B1988" s="10"/>
      <c r="C1988" s="10"/>
      <c r="D1988" s="10"/>
      <c r="E1988" s="10"/>
      <c r="F1988" s="10"/>
      <c r="J1988" s="25"/>
      <c r="K1988" s="25"/>
      <c r="L1988" s="25"/>
      <c r="M1988" s="25"/>
      <c r="N1988" s="25"/>
      <c r="O1988" s="25"/>
    </row>
    <row r="1989" customFormat="false" ht="13.5" hidden="false" customHeight="true" outlineLevel="0" collapsed="false">
      <c r="B1989" s="10"/>
      <c r="C1989" s="10"/>
      <c r="D1989" s="10"/>
      <c r="E1989" s="10"/>
      <c r="F1989" s="10"/>
      <c r="J1989" s="25"/>
      <c r="K1989" s="25"/>
      <c r="L1989" s="25"/>
      <c r="M1989" s="25"/>
      <c r="N1989" s="25"/>
      <c r="O1989" s="25"/>
    </row>
    <row r="1990" customFormat="false" ht="15" hidden="false" customHeight="true" outlineLevel="0" collapsed="false">
      <c r="B1990" s="10"/>
      <c r="C1990" s="10"/>
      <c r="D1990" s="34" t="str">
        <f aca="false">IF($K$1981=0,"",INDEX(Clients!$E$2:$E$501,$K$1981)&amp;"")</f>
        <v/>
      </c>
      <c r="E1990" s="34"/>
      <c r="F1990" s="34"/>
      <c r="J1990" s="25"/>
      <c r="K1990" s="25"/>
      <c r="L1990" s="25"/>
      <c r="M1990" s="25"/>
      <c r="N1990" s="25"/>
      <c r="O1990" s="25"/>
    </row>
    <row r="1991" customFormat="false" ht="15" hidden="false" customHeight="true" outlineLevel="0" collapsed="false">
      <c r="B1991" s="10"/>
      <c r="C1991" s="10"/>
      <c r="D1991" s="35" t="str">
        <f aca="false">IF(IF($K$1981=0,"",INDEX(Clients!$D$2:$D$501,$K$1981)&amp;"")="","","À l'attention de "&amp;TRIM(IF($K$1981=0,"",INDEX(Clients!$B$2:$B$501,$K$1981)&amp;"")&amp;" "&amp;IF($K$1981=0,"",INDEX(Clients!$C$2:$C$501,$K$1981)&amp;"")&amp;" "&amp;IF($K$1981=0,"",INDEX(Clients!$D$2:$D$501,$K$1981)&amp;"")))</f>
        <v/>
      </c>
      <c r="E1991" s="35"/>
      <c r="F1991" s="35"/>
      <c r="J1991" s="25"/>
      <c r="K1991" s="25"/>
      <c r="L1991" s="25"/>
      <c r="M1991" s="25"/>
      <c r="N1991" s="25"/>
      <c r="O1991" s="25"/>
    </row>
    <row r="1992" customFormat="false" ht="15" hidden="false" customHeight="true" outlineLevel="0" collapsed="false">
      <c r="B1992" s="10"/>
      <c r="C1992" s="10"/>
      <c r="D1992" s="35" t="str">
        <f aca="false">IF($K$1981=0,"",INDEX(Clients!$F$2:$F$501,$K$1981)&amp;"")</f>
        <v/>
      </c>
      <c r="E1992" s="35"/>
      <c r="F1992" s="35"/>
      <c r="J1992" s="25"/>
      <c r="K1992" s="25"/>
      <c r="L1992" s="25"/>
      <c r="M1992" s="25"/>
      <c r="N1992" s="25"/>
      <c r="O1992" s="25"/>
    </row>
    <row r="1993" customFormat="false" ht="15" hidden="false" customHeight="true" outlineLevel="0" collapsed="false">
      <c r="B1993" s="10"/>
      <c r="C1993" s="10"/>
      <c r="D1993" s="35" t="str">
        <f aca="false">IF(IF($K$1981=0,"",INDEX(Clients!$G$2:$G$501,$K$1981)&amp;"")="",TRIM(IF($K$1981=0,"",INDEX(Clients!$H$2:$H$501,$K$1981)&amp;"")&amp;" "&amp;UPPER(IF($K$1981=0,"",INDEX(Clients!$I$2:$I$501,$K$1981)&amp;""))),IF($K$1981=0,"",INDEX(Clients!$G$2:$G$501,$K$1981)&amp;""))</f>
        <v/>
      </c>
      <c r="E1993" s="35"/>
      <c r="F1993" s="35"/>
      <c r="J1993" s="25"/>
      <c r="K1993" s="25"/>
      <c r="L1993" s="25"/>
      <c r="M1993" s="25"/>
      <c r="N1993" s="25"/>
      <c r="O1993" s="25"/>
    </row>
    <row r="1994" customFormat="false" ht="15" hidden="false" customHeight="true" outlineLevel="0" collapsed="false">
      <c r="B1994" s="10"/>
      <c r="C1994" s="10"/>
      <c r="D1994" s="35" t="str">
        <f aca="false">IF(IF($K$1981=0,"",INDEX(Clients!$G$2:$G$501,$K$1981)&amp;"")="","",TRIM(IF($K$1981=0,"",INDEX(Clients!$H$2:$H$501,$K$1981)&amp;"")&amp;" "&amp;UPPER(IF($K$1981=0,"",INDEX(Clients!$I$2:$I$501,$K$1981)&amp;""))))</f>
        <v/>
      </c>
      <c r="E1994" s="35"/>
      <c r="F1994" s="35"/>
      <c r="J1994" s="25"/>
      <c r="K1994" s="25"/>
      <c r="L1994" s="25"/>
      <c r="M1994" s="25"/>
      <c r="N1994" s="25"/>
      <c r="O1994" s="25"/>
    </row>
    <row r="1995" customFormat="false" ht="25.5" hidden="false" customHeight="true" outlineLevel="0" collapsed="false">
      <c r="B1995" s="10"/>
      <c r="C1995" s="10"/>
      <c r="D1995" s="10"/>
      <c r="E1995" s="10"/>
      <c r="F1995" s="10"/>
      <c r="J1995" s="25"/>
      <c r="K1995" s="25"/>
      <c r="L1995" s="25"/>
      <c r="M1995" s="25"/>
      <c r="N1995" s="25"/>
      <c r="O1995" s="25"/>
    </row>
    <row r="1996" customFormat="false" ht="15" hidden="false" customHeight="false" outlineLevel="0" collapsed="false">
      <c r="B1996" s="10"/>
      <c r="C1996" s="10"/>
      <c r="D1996" s="36" t="str">
        <f aca="false">Cab_Ville&amp;", le "&amp;DAY(Date_Courrier)&amp;IF(DAY(Date_Courrier)=1,"er","")&amp;" "&amp;INDEX(Liste_Mois,MONTH(Date_Courrier))&amp;" "&amp;YEAR(Date_Courrier)</f>
        <v>Le Plessis-Bouchard, le 22 septembre 2026</v>
      </c>
      <c r="E1996" s="36"/>
      <c r="F1996" s="36"/>
      <c r="J1996" s="25"/>
      <c r="K1996" s="25"/>
      <c r="L1996" s="25"/>
      <c r="M1996" s="25"/>
      <c r="N1996" s="25"/>
      <c r="O1996" s="25"/>
    </row>
    <row r="1997" customFormat="false" ht="19.5" hidden="false" customHeight="true" outlineLevel="0" collapsed="false">
      <c r="B1997" s="10"/>
      <c r="C1997" s="10"/>
      <c r="D1997" s="10"/>
      <c r="E1997" s="10"/>
      <c r="F1997" s="10"/>
      <c r="J1997" s="25"/>
      <c r="K1997" s="25"/>
      <c r="L1997" s="25"/>
      <c r="M1997" s="25"/>
      <c r="N1997" s="25"/>
      <c r="O1997" s="25"/>
    </row>
    <row r="1998" customFormat="false" ht="15" hidden="false" customHeight="false" outlineLevel="0" collapsed="false">
      <c r="B1998" s="34" t="str">
        <f aca="false">SUBSTITUTE(SUBSTITUTE(SUBSTITUTE(SUBSTITUTE(SUBSTITUTE(Txt_Objet,"{cabinet}",Cab_Nom),"{societe}",IF($K$1981=0,"",INDEX(Clients!$E$2:$E$501,$K$1981)&amp;"")),"{date_effet}",$K$1983),"{hausse}",$K$1984),"{civilite}",$K$1982)</f>
        <v>Objet : révision de nos honoraires au 1er janvier 2027</v>
      </c>
      <c r="C1998" s="34"/>
      <c r="D1998" s="34"/>
      <c r="E1998" s="34"/>
      <c r="F1998" s="34"/>
      <c r="J1998" s="25"/>
      <c r="K1998" s="25"/>
      <c r="L1998" s="25"/>
      <c r="M1998" s="25"/>
      <c r="N1998" s="25"/>
      <c r="O1998" s="25"/>
    </row>
    <row r="1999" customFormat="false" ht="13.5" hidden="false" customHeight="true" outlineLevel="0" collapsed="false">
      <c r="B1999" s="10"/>
      <c r="C1999" s="10"/>
      <c r="D1999" s="10"/>
      <c r="E1999" s="10"/>
      <c r="F1999" s="10"/>
      <c r="J1999" s="25"/>
      <c r="K1999" s="25"/>
      <c r="L1999" s="25"/>
      <c r="M1999" s="25"/>
      <c r="N1999" s="25"/>
      <c r="O1999" s="25"/>
    </row>
    <row r="2000" customFormat="false" ht="15" hidden="false" customHeight="false" outlineLevel="0" collapsed="false">
      <c r="B2000" s="10" t="str">
        <f aca="false">$K$1982&amp;","</f>
        <v>Madame, Monsieur,</v>
      </c>
      <c r="C2000" s="10"/>
      <c r="D2000" s="10"/>
      <c r="E2000" s="10"/>
      <c r="F2000" s="10"/>
      <c r="J2000" s="25"/>
      <c r="K2000" s="25"/>
      <c r="L2000" s="25"/>
      <c r="M2000" s="25"/>
      <c r="N2000" s="25"/>
      <c r="O2000" s="25"/>
    </row>
    <row r="2001" customFormat="false" ht="6" hidden="false" customHeight="true" outlineLevel="0" collapsed="false">
      <c r="B2001" s="10"/>
      <c r="C2001" s="10"/>
      <c r="D2001" s="10"/>
      <c r="E2001" s="10"/>
      <c r="F2001" s="10"/>
      <c r="J2001" s="25"/>
      <c r="K2001" s="25"/>
      <c r="L2001" s="25"/>
      <c r="M2001" s="25"/>
      <c r="N2001" s="25"/>
      <c r="O2001" s="25"/>
    </row>
    <row r="2002" customFormat="false" ht="36.75" hidden="false" customHeight="true" outlineLevel="0" collapsed="false">
      <c r="B2002" s="37" t="str">
        <f aca="false">SUBSTITUTE(SUBSTITUTE(SUBSTITUTE(SUBSTITUTE(SUBSTITUTE(Txt_P1,"{cabinet}",Cab_Nom),"{societe}",IF($K$1981=0,"",INDEX(Clients!$E$2:$E$501,$K$1981)&amp;"")),"{date_effet}",$K$1983),"{hausse}",$K$1984),"{civilite}",$K$1982)</f>
        <v>Nous tenons tout d'abord à vous remercier pour la confiance que vous accordez à ALTHO EXPERTISE. Comme chaque année, et conformément aux dispositions de votre lettre de mission, nous procédons à la révision de nos honoraires.</v>
      </c>
      <c r="C2002" s="37"/>
      <c r="D2002" s="37"/>
      <c r="E2002" s="37"/>
      <c r="F2002" s="37"/>
      <c r="J2002" s="25"/>
      <c r="K2002" s="25"/>
      <c r="L2002" s="25"/>
      <c r="M2002" s="25"/>
      <c r="N2002" s="25"/>
      <c r="O2002" s="25"/>
    </row>
    <row r="2003" customFormat="false" ht="49.5" hidden="false" customHeight="true" outlineLevel="0" collapsed="false">
      <c r="B2003" s="37" t="str">
        <f aca="false">SUBSTITUTE(SUBSTITUTE(SUBSTITUTE(SUBSTITUTE(SUBSTITUTE(Txt_P2,"{cabinet}",Cab_Nom),"{societe}",IF($K$1981=0,"",INDEX(Clients!$E$2:$E$501,$K$1981)&amp;"")),"{date_effet}",$K$1983),"{hausse}",$K$1984),"{civilite}",$K$1982)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003" s="37"/>
      <c r="D2003" s="37"/>
      <c r="E2003" s="37"/>
      <c r="F2003" s="37"/>
      <c r="J2003" s="25"/>
      <c r="K2003" s="25"/>
      <c r="L2003" s="25"/>
      <c r="M2003" s="25"/>
      <c r="N2003" s="25"/>
      <c r="O2003" s="25"/>
    </row>
    <row r="2004" customFormat="false" ht="63" hidden="false" customHeight="true" outlineLevel="0" collapsed="false">
      <c r="B2004" s="37" t="str">
        <f aca="false">SUBSTITUTE(SUBSTITUTE(SUBSTITUTE(SUBSTITUTE(SUBSTITUTE(Txt_P3,"{cabinet}",Cab_Nom),"{societe}",IF($K$1981=0,"",INDEX(Clients!$E$2:$E$501,$K$1981)&amp;"")),"{date_effet}",$K$1983),"{hausse}",$K$1984),"{civilite}",$K$1982)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004" s="37"/>
      <c r="D2004" s="37"/>
      <c r="E2004" s="37"/>
      <c r="F2004" s="37"/>
      <c r="J2004" s="25"/>
      <c r="K2004" s="25"/>
      <c r="L2004" s="25"/>
      <c r="M2004" s="25"/>
      <c r="N2004" s="25"/>
      <c r="O2004" s="25"/>
    </row>
    <row r="2005" customFormat="false" ht="24" hidden="false" customHeight="true" outlineLevel="0" collapsed="false">
      <c r="B2005" s="37" t="str">
        <f aca="false">SUBSTITUTE(SUBSTITUTE(SUBSTITUTE(SUBSTITUTE(SUBSTITUTE(Txt_P4,"{cabinet}",Cab_Nom),"{societe}",IF($K$1981=0,"",INDEX(Clients!$E$2:$E$501,$K$1981)&amp;"")),"{date_effet}",$K$1983),"{hausse}",$K$1984),"{civilite}",$K$1982)</f>
        <v>À compter du 1er janvier 2027, vos honoraires annuels hors taxes évolueront ainsi (évolution globale : ) :</v>
      </c>
      <c r="C2005" s="37"/>
      <c r="D2005" s="37"/>
      <c r="E2005" s="37"/>
      <c r="F2005" s="37"/>
      <c r="J2005" s="25"/>
      <c r="K2005" s="25"/>
      <c r="L2005" s="25"/>
      <c r="M2005" s="25"/>
      <c r="N2005" s="25"/>
      <c r="O2005" s="25"/>
    </row>
    <row r="2006" customFormat="false" ht="3.75" hidden="false" customHeight="true" outlineLevel="0" collapsed="false">
      <c r="B2006" s="10"/>
      <c r="C2006" s="10"/>
      <c r="D2006" s="10"/>
      <c r="E2006" s="10"/>
      <c r="F2006" s="10"/>
      <c r="J2006" s="25"/>
      <c r="K2006" s="25"/>
      <c r="L2006" s="25"/>
      <c r="M2006" s="25"/>
      <c r="N2006" s="25"/>
      <c r="O2006" s="25"/>
    </row>
    <row r="2007" customFormat="false" ht="18" hidden="false" customHeight="true" outlineLevel="0" collapsed="false">
      <c r="B2007" s="38" t="s">
        <v>148</v>
      </c>
      <c r="C2007" s="39" t="s">
        <v>149</v>
      </c>
      <c r="D2007" s="39" t="s">
        <v>150</v>
      </c>
      <c r="E2007" s="39" t="s">
        <v>151</v>
      </c>
      <c r="F2007" s="39" t="s">
        <v>109</v>
      </c>
      <c r="J2007" s="25" t="s">
        <v>152</v>
      </c>
      <c r="K2007" s="25" t="s">
        <v>153</v>
      </c>
      <c r="L2007" s="25" t="s">
        <v>154</v>
      </c>
      <c r="M2007" s="25" t="s">
        <v>155</v>
      </c>
      <c r="N2007" s="25" t="s">
        <v>156</v>
      </c>
      <c r="O2007" s="25" t="s">
        <v>157</v>
      </c>
    </row>
    <row r="2008" customFormat="false" ht="16.5" hidden="false" customHeight="true" outlineLevel="0" collapsed="false">
      <c r="B2008" s="40" t="str">
        <f aca="false">IFERROR(INDEX($J$2008:$J$2011,MATCH($O2008,$N$2008:$N$2011,0)),"")</f>
        <v/>
      </c>
      <c r="C2008" s="41" t="str">
        <f aca="false">IFERROR(INDEX($K$2008:$K$2011,MATCH($O2008,$N$2008:$N$2011,0)),"")</f>
        <v/>
      </c>
      <c r="D2008" s="42" t="str">
        <f aca="false">IF(OR(E2008="",N(C2008)=0),"",E2008/C2008-1)</f>
        <v/>
      </c>
      <c r="E2008" s="41" t="str">
        <f aca="false">IFERROR(INDEX($L$2008:$L$2011,MATCH($O2008,$N$2008:$N$2011,0)),"")</f>
        <v/>
      </c>
      <c r="F2008" s="41" t="str">
        <f aca="false">IF(E2008="","",E2008-C2008)</f>
        <v/>
      </c>
      <c r="J2008" s="25" t="str">
        <f aca="false">Lib_Compta</f>
        <v>Mission comptable (tenue, révision, bilan, liasse fiscale)</v>
      </c>
      <c r="K2008" s="25" t="n">
        <f aca="false">IF($K$1981=0,0,N(INDEX(Clients!$K$2:$K$501,$K$1981)))</f>
        <v>0</v>
      </c>
      <c r="L2008" s="25" t="n">
        <f aca="false">IF($K$1981=0,0,N(INDEX(Clients!$P$2:$P$501,$K$1981)))</f>
        <v>0</v>
      </c>
      <c r="M2008" s="25" t="n">
        <f aca="false">IF(OR(K2008&lt;&gt;0,L2008&lt;&gt;0),1,0)</f>
        <v>0</v>
      </c>
      <c r="N2008" s="25" t="str">
        <f aca="false">IF(M2008=1,SUM($M$2008:M2008),"")</f>
        <v/>
      </c>
      <c r="O2008" s="25" t="n">
        <v>1</v>
      </c>
    </row>
    <row r="2009" customFormat="false" ht="16.5" hidden="false" customHeight="true" outlineLevel="0" collapsed="false">
      <c r="B2009" s="40" t="str">
        <f aca="false">IFERROR(INDEX($J$2008:$J$2011,MATCH($O2009,$N$2008:$N$2011,0)),"")</f>
        <v/>
      </c>
      <c r="C2009" s="41" t="str">
        <f aca="false">IFERROR(INDEX($K$2008:$K$2011,MATCH($O2009,$N$2008:$N$2011,0)),"")</f>
        <v/>
      </c>
      <c r="D2009" s="42" t="str">
        <f aca="false">IF(OR(E2009="",N(C2009)=0),"",E2009/C2009-1)</f>
        <v/>
      </c>
      <c r="E2009" s="41" t="str">
        <f aca="false">IFERROR(INDEX($L$2008:$L$2011,MATCH($O2009,$N$2008:$N$2011,0)),"")</f>
        <v/>
      </c>
      <c r="F2009" s="41" t="str">
        <f aca="false">IF(E2009="","",E2009-C2009)</f>
        <v/>
      </c>
      <c r="J2009" s="25" t="str">
        <f aca="false">Lib_Paye</f>
        <v>Mission sociale (bulletins de paie, DSN, déclarations sociales)</v>
      </c>
      <c r="K2009" s="25" t="n">
        <f aca="false">IF($K$1981=0,0,N(INDEX(Clients!$L$2:$L$501,$K$1981)))</f>
        <v>0</v>
      </c>
      <c r="L2009" s="25" t="n">
        <f aca="false">IF($K$1981=0,0,N(INDEX(Clients!$Q$2:$Q$501,$K$1981)))</f>
        <v>0</v>
      </c>
      <c r="M2009" s="25" t="n">
        <f aca="false">IF(OR(K2009&lt;&gt;0,L2009&lt;&gt;0),1,0)</f>
        <v>0</v>
      </c>
      <c r="N2009" s="25" t="str">
        <f aca="false">IF(M2009=1,SUM($M$2008:M2009),"")</f>
        <v/>
      </c>
      <c r="O2009" s="25" t="n">
        <v>2</v>
      </c>
    </row>
    <row r="2010" customFormat="false" ht="16.5" hidden="false" customHeight="true" outlineLevel="0" collapsed="false">
      <c r="B2010" s="40" t="str">
        <f aca="false">IFERROR(INDEX($J$2008:$J$2011,MATCH($O2010,$N$2008:$N$2011,0)),"")</f>
        <v/>
      </c>
      <c r="C2010" s="41" t="str">
        <f aca="false">IFERROR(INDEX($K$2008:$K$2011,MATCH($O2010,$N$2008:$N$2011,0)),"")</f>
        <v/>
      </c>
      <c r="D2010" s="42" t="str">
        <f aca="false">IF(OR(E2010="",N(C2010)=0),"",E2010/C2010-1)</f>
        <v/>
      </c>
      <c r="E2010" s="41" t="str">
        <f aca="false">IFERROR(INDEX($L$2008:$L$2011,MATCH($O2010,$N$2008:$N$2011,0)),"")</f>
        <v/>
      </c>
      <c r="F2010" s="41" t="str">
        <f aca="false">IF(E2010="","",E2010-C2010)</f>
        <v/>
      </c>
      <c r="J2010" s="25" t="str">
        <f aca="false">Lib_Jur</f>
        <v>Mission juridique (approbation des comptes, secrétariat juridique)</v>
      </c>
      <c r="K2010" s="25" t="n">
        <f aca="false">IF($K$1981=0,0,N(INDEX(Clients!$M$2:$M$501,$K$1981)))</f>
        <v>0</v>
      </c>
      <c r="L2010" s="25" t="n">
        <f aca="false">IF($K$1981=0,0,N(INDEX(Clients!$R$2:$R$501,$K$1981)))</f>
        <v>0</v>
      </c>
      <c r="M2010" s="25" t="n">
        <f aca="false">IF(OR(K2010&lt;&gt;0,L2010&lt;&gt;0),1,0)</f>
        <v>0</v>
      </c>
      <c r="N2010" s="25" t="str">
        <f aca="false">IF(M2010=1,SUM($M$2008:M2010),"")</f>
        <v/>
      </c>
      <c r="O2010" s="25" t="n">
        <v>3</v>
      </c>
    </row>
    <row r="2011" customFormat="false" ht="16.5" hidden="false" customHeight="true" outlineLevel="0" collapsed="false">
      <c r="B2011" s="40" t="str">
        <f aca="false">IFERROR(INDEX($J$2008:$J$2011,MATCH($O2011,$N$2008:$N$2011,0)),"")</f>
        <v/>
      </c>
      <c r="C2011" s="41" t="str">
        <f aca="false">IFERROR(INDEX($K$2008:$K$2011,MATCH($O2011,$N$2008:$N$2011,0)),"")</f>
        <v/>
      </c>
      <c r="D2011" s="42" t="str">
        <f aca="false">IF(OR(E2011="",N(C2011)=0),"",E2011/C2011-1)</f>
        <v/>
      </c>
      <c r="E2011" s="41" t="str">
        <f aca="false">IFERROR(INDEX($L$2008:$L$2011,MATCH($O2011,$N$2008:$N$2011,0)),"")</f>
        <v/>
      </c>
      <c r="F2011" s="41" t="str">
        <f aca="false">IF(E2011="","",E2011-C2011)</f>
        <v/>
      </c>
      <c r="J2011" s="25" t="str">
        <f aca="false">Lib_PA</f>
        <v>Plateforme agréée – facturation électronique</v>
      </c>
      <c r="K2011" s="25" t="n">
        <f aca="false">IF($K$1981=0,0,N(INDEX(Clients!$N$2:$N$501,$K$1981)))</f>
        <v>0</v>
      </c>
      <c r="L2011" s="25" t="n">
        <f aca="false">IF($K$1981=0,0,N(INDEX(Clients!$S$2:$S$501,$K$1981)))</f>
        <v>0</v>
      </c>
      <c r="M2011" s="25" t="n">
        <f aca="false">IF(OR(K2011&lt;&gt;0,L2011&lt;&gt;0),1,0)</f>
        <v>0</v>
      </c>
      <c r="N2011" s="25" t="str">
        <f aca="false">IF(M2011=1,SUM($M$2008:M2011),"")</f>
        <v/>
      </c>
      <c r="O2011" s="25" t="n">
        <v>4</v>
      </c>
    </row>
    <row r="2012" customFormat="false" ht="18" hidden="false" customHeight="true" outlineLevel="0" collapsed="false">
      <c r="B2012" s="43" t="s">
        <v>158</v>
      </c>
      <c r="C2012" s="44" t="n">
        <f aca="false">SUM(K2008:K2011)</f>
        <v>0</v>
      </c>
      <c r="D2012" s="45" t="str">
        <f aca="false">IF(N(C2012)=0,"",E2012/C2012-1)</f>
        <v/>
      </c>
      <c r="E2012" s="44" t="n">
        <f aca="false">SUM(L2008:L2011)</f>
        <v>0</v>
      </c>
      <c r="F2012" s="44" t="n">
        <f aca="false">E2012-C2012</f>
        <v>0</v>
      </c>
    </row>
    <row r="2013" customFormat="false" ht="15" hidden="false" customHeight="false" outlineLevel="0" collapsed="false">
      <c r="B2013" s="46" t="str">
        <f aca="false">IF(N(Nb_Mensualites)=0,"","Soit "&amp;FIXED(E2012/Nb_Mensualites,2)&amp;" € HT par échéance ("&amp;Nb_Mensualites&amp;" échéances), "&amp;FIXED(E2012/Nb_Mensualites*(1+Taux_TVA),2)&amp;" € TTC.")</f>
        <v>Soit 0.00 € HT par échéance (12 échéances), 0.00 € TTC.</v>
      </c>
      <c r="C2013" s="46"/>
      <c r="D2013" s="46"/>
      <c r="E2013" s="46"/>
      <c r="F2013" s="46"/>
    </row>
    <row r="2014" customFormat="false" ht="7.5" hidden="false" customHeight="true" outlineLevel="0" collapsed="false">
      <c r="B2014" s="10"/>
      <c r="C2014" s="10"/>
      <c r="D2014" s="10"/>
      <c r="E2014" s="10"/>
      <c r="F2014" s="10"/>
    </row>
    <row r="2015" customFormat="false" ht="36.75" hidden="false" customHeight="true" outlineLevel="0" collapsed="false">
      <c r="B2015" s="37" t="str">
        <f aca="false">SUBSTITUTE(SUBSTITUTE(SUBSTITUTE(SUBSTITUTE(SUBSTITUTE(Txt_P5,"{cabinet}",Cab_Nom),"{societe}",IF($K$1981=0,"",INDEX(Clients!$E$2:$E$501,$K$1981)&amp;"")),"{date_effet}",$K$1983),"{hausse}",$K$1984),"{civilite}",$K$1982)</f>
        <v>Les autres conditions de votre lettre de mission demeurent inchangées. Les nouveaux montants seront appliqués automatiquement sur vos prochaines factures et échéances de prélèvement.</v>
      </c>
      <c r="C2015" s="37"/>
      <c r="D2015" s="37"/>
      <c r="E2015" s="37"/>
      <c r="F2015" s="37"/>
    </row>
    <row r="2016" customFormat="false" ht="36.75" hidden="false" customHeight="true" outlineLevel="0" collapsed="false">
      <c r="B2016" s="37" t="str">
        <f aca="false">SUBSTITUTE(SUBSTITUTE(SUBSTITUTE(SUBSTITUTE(SUBSTITUTE(Txt_P6,"{cabinet}",Cab_Nom),"{societe}",IF($K$1981=0,"",INDEX(Clients!$E$2:$E$501,$K$1981)&amp;"")),"{date_effet}",$K$1983),"{hausse}",$K$1984),"{civilite}",$K$1982)</f>
        <v>Votre interlocuteur habituel reste à votre entière disposition pour répondre à vos questions et faire le point sur l'évolution de vos besoins.</v>
      </c>
      <c r="C2016" s="37"/>
      <c r="D2016" s="37"/>
      <c r="E2016" s="37"/>
      <c r="F2016" s="37"/>
    </row>
    <row r="2017" customFormat="false" ht="24" hidden="false" customHeight="true" outlineLevel="0" collapsed="false">
      <c r="B2017" s="37" t="str">
        <f aca="false">SUBSTITUTE(SUBSTITUTE(SUBSTITUTE(SUBSTITUTE(SUBSTITUTE(Txt_Politesse,"{cabinet}",Cab_Nom),"{societe}",IF($K$1981=0,"",INDEX(Clients!$E$2:$E$501,$K$1981)&amp;"")),"{date_effet}",$K$1983),"{hausse}",$K$1984),"{civilite}",$K$1982)</f>
        <v>Nous vous prions d'agréer, Madame, Monsieur, l'expression de nos salutations distinguées.</v>
      </c>
      <c r="C2017" s="37"/>
      <c r="D2017" s="37"/>
      <c r="E2017" s="37"/>
      <c r="F2017" s="37"/>
    </row>
    <row r="2018" customFormat="false" ht="15" hidden="false" customHeight="false" outlineLevel="0" collapsed="false">
      <c r="B2018" s="10"/>
      <c r="C2018" s="10"/>
      <c r="D2018" s="10"/>
      <c r="E2018" s="10"/>
      <c r="F2018" s="10"/>
    </row>
    <row r="2019" customFormat="false" ht="15" hidden="false" customHeight="false" outlineLevel="0" collapsed="false">
      <c r="B2019" s="10"/>
      <c r="C2019" s="10"/>
      <c r="D2019" s="34" t="str">
        <f aca="false">Signataire</f>
        <v>Prénom NOM</v>
      </c>
      <c r="E2019" s="34"/>
      <c r="F2019" s="34"/>
    </row>
    <row r="2020" customFormat="false" ht="15" hidden="false" customHeight="false" outlineLevel="0" collapsed="false">
      <c r="B2020" s="10"/>
      <c r="C2020" s="10"/>
      <c r="D2020" s="47" t="str">
        <f aca="false">Signataire_Titre</f>
        <v>Expert-comptable associé</v>
      </c>
      <c r="E2020" s="47"/>
      <c r="F2020" s="47"/>
    </row>
    <row r="2021" customFormat="false" ht="15.75" hidden="false" customHeight="true" outlineLevel="0" collapsed="false">
      <c r="B2021" s="10"/>
      <c r="C2021" s="10"/>
      <c r="D2021" s="10"/>
      <c r="E2021" s="10"/>
      <c r="F2021" s="10"/>
    </row>
    <row r="2022" customFormat="false" ht="15.75" hidden="false" customHeight="true" outlineLevel="0" collapsed="false">
      <c r="B2022" s="10"/>
      <c r="C2022" s="10"/>
      <c r="D2022" s="10"/>
      <c r="E2022" s="10"/>
      <c r="F2022" s="10"/>
    </row>
    <row r="2023" customFormat="false" ht="15.75" hidden="false" customHeight="true" outlineLevel="0" collapsed="false">
      <c r="B2023" s="10"/>
      <c r="C2023" s="10"/>
      <c r="D2023" s="10"/>
      <c r="E2023" s="10"/>
      <c r="F2023" s="10"/>
    </row>
    <row r="2024" customFormat="false" ht="15.75" hidden="false" customHeight="true" outlineLevel="0" collapsed="false">
      <c r="B2024" s="10"/>
      <c r="C2024" s="10"/>
      <c r="D2024" s="10"/>
      <c r="E2024" s="10"/>
      <c r="F2024" s="10"/>
    </row>
    <row r="2025" customFormat="false" ht="24" hidden="false" customHeight="true" outlineLevel="0" collapsed="false">
      <c r="B2025" s="48" t="str">
        <f aca="false">Cab_Mentions</f>
        <v>ALTHO EXPERTISE · SAS au capital de 10 000 € · RCS Pontoise 919 706 325 · TVA FR62919706325 · Société d'expertise comptable inscrite au Tableau de l'Ordre des experts-comptables de Paris Île-de-France</v>
      </c>
      <c r="C2025" s="48"/>
      <c r="D2025" s="48"/>
      <c r="E2025" s="48"/>
      <c r="F2025" s="48"/>
    </row>
    <row r="2026" customFormat="false" ht="15" hidden="false" customHeight="false" outlineLevel="0" collapsed="false">
      <c r="B2026" s="10"/>
      <c r="C2026" s="10"/>
      <c r="D2026" s="10"/>
      <c r="E2026" s="10"/>
      <c r="F2026" s="10"/>
      <c r="J2026" s="25" t="s">
        <v>142</v>
      </c>
      <c r="K2026" s="25" t="n">
        <f aca="false">IFERROR(MATCH(46,Clients!$Z$2:$Z$501,0),0)</f>
        <v>0</v>
      </c>
      <c r="L2026" s="25"/>
      <c r="M2026" s="25"/>
      <c r="N2026" s="25"/>
      <c r="O2026" s="25"/>
    </row>
    <row r="2027" customFormat="false" ht="21.75" hidden="false" customHeight="true" outlineLevel="0" collapsed="false">
      <c r="B2027" s="26" t="str">
        <f aca="false">Cab_Nom</f>
        <v>ALTHO EXPERTISE</v>
      </c>
      <c r="C2027" s="26"/>
      <c r="D2027" s="10"/>
      <c r="E2027" s="27" t="str">
        <f aca="false">IF($K$2026=0,"","Réf. client : "&amp;INDEX(Clients!$A$2:$A$501,$K$2026))</f>
        <v/>
      </c>
      <c r="F2027" s="27"/>
      <c r="J2027" s="25" t="s">
        <v>144</v>
      </c>
      <c r="K2027" s="25" t="str">
        <f aca="false">IF(IF($K$2026=0,"",INDEX(Clients!$B$2:$B$501,$K$2026)&amp;"")="Mme","Madame",IF(IF($K$2026=0,"",INDEX(Clients!$B$2:$B$501,$K$2026)&amp;"")="M.","Monsieur","Madame, Monsieur"))</f>
        <v>Madame, Monsieur</v>
      </c>
      <c r="L2027" s="25"/>
      <c r="M2027" s="25"/>
      <c r="N2027" s="25"/>
      <c r="O2027" s="25"/>
    </row>
    <row r="2028" customFormat="false" ht="15" hidden="false" customHeight="false" outlineLevel="0" collapsed="false">
      <c r="B2028" s="29" t="str">
        <f aca="false">Cab_Adr1</f>
        <v>141 rue Charles de Gaulle</v>
      </c>
      <c r="C2028" s="29"/>
      <c r="D2028" s="10"/>
      <c r="E2028" s="10"/>
      <c r="F2028" s="10"/>
      <c r="J2028" s="25" t="s">
        <v>145</v>
      </c>
      <c r="K2028" s="25" t="str">
        <f aca="false">DAY(Date_Effet)&amp;IF(DAY(Date_Effet)=1,"er","")&amp;" "&amp;INDEX(Liste_Mois,MONTH(Date_Effet))&amp;" "&amp;YEAR(Date_Effet)</f>
        <v>1er janvier 2027</v>
      </c>
      <c r="L2028" s="25"/>
      <c r="M2028" s="25"/>
      <c r="N2028" s="25"/>
      <c r="O2028" s="25"/>
    </row>
    <row r="2029" customFormat="false" ht="15" hidden="false" customHeight="false" outlineLevel="0" collapsed="false">
      <c r="B2029" s="29" t="str">
        <f aca="false">Cab_CPVille</f>
        <v>95130 LE PLESSIS-BOUCHARD</v>
      </c>
      <c r="C2029" s="29"/>
      <c r="D2029" s="10"/>
      <c r="E2029" s="10"/>
      <c r="F2029" s="10"/>
      <c r="J2029" s="25" t="s">
        <v>146</v>
      </c>
      <c r="K2029" s="25" t="str">
        <f aca="false">IF(SUM($K$2053:$K$2056)=0,"",FIXED((SUM($L$2053:$L$2056)/SUM($K$2053:$K$2056)-1)*100,1)&amp;" %")</f>
        <v/>
      </c>
      <c r="L2029" s="25"/>
      <c r="M2029" s="25"/>
      <c r="N2029" s="25"/>
      <c r="O2029" s="25"/>
    </row>
    <row r="2030" customFormat="false" ht="15" hidden="false" customHeight="false" outlineLevel="0" collapsed="false">
      <c r="B2030" s="29" t="str">
        <f aca="false">Cab_Contact</f>
        <v>Tél. 01 34 14 53 45  ·  altho@altho-experts.com  ·  altho-experts.com</v>
      </c>
      <c r="C2030" s="29"/>
      <c r="D2030" s="10"/>
      <c r="E2030" s="10"/>
      <c r="F2030" s="10"/>
      <c r="J2030" s="25"/>
      <c r="K2030" s="25"/>
      <c r="L2030" s="25"/>
      <c r="M2030" s="25"/>
      <c r="N2030" s="25"/>
      <c r="O2030" s="25"/>
    </row>
    <row r="2031" customFormat="false" ht="6" hidden="false" customHeight="true" outlineLevel="0" collapsed="false">
      <c r="B2031" s="32"/>
      <c r="C2031" s="32"/>
      <c r="D2031" s="32"/>
      <c r="E2031" s="32"/>
      <c r="F2031" s="32"/>
      <c r="J2031" s="25"/>
      <c r="K2031" s="25"/>
      <c r="L2031" s="25"/>
      <c r="M2031" s="25"/>
      <c r="N2031" s="25"/>
      <c r="O2031" s="25"/>
    </row>
    <row r="2032" customFormat="false" ht="13.5" hidden="false" customHeight="true" outlineLevel="0" collapsed="false">
      <c r="B2032" s="10"/>
      <c r="C2032" s="10"/>
      <c r="D2032" s="10"/>
      <c r="E2032" s="10"/>
      <c r="F2032" s="10"/>
      <c r="J2032" s="25"/>
      <c r="K2032" s="25"/>
      <c r="L2032" s="25"/>
      <c r="M2032" s="25"/>
      <c r="N2032" s="25"/>
      <c r="O2032" s="25"/>
    </row>
    <row r="2033" customFormat="false" ht="13.5" hidden="false" customHeight="true" outlineLevel="0" collapsed="false">
      <c r="B2033" s="10"/>
      <c r="C2033" s="10"/>
      <c r="D2033" s="10"/>
      <c r="E2033" s="10"/>
      <c r="F2033" s="10"/>
      <c r="J2033" s="25"/>
      <c r="K2033" s="25"/>
      <c r="L2033" s="25"/>
      <c r="M2033" s="25"/>
      <c r="N2033" s="25"/>
      <c r="O2033" s="25"/>
    </row>
    <row r="2034" customFormat="false" ht="13.5" hidden="false" customHeight="true" outlineLevel="0" collapsed="false">
      <c r="B2034" s="10"/>
      <c r="C2034" s="10"/>
      <c r="D2034" s="10"/>
      <c r="E2034" s="10"/>
      <c r="F2034" s="10"/>
      <c r="J2034" s="25"/>
      <c r="K2034" s="25"/>
      <c r="L2034" s="25"/>
      <c r="M2034" s="25"/>
      <c r="N2034" s="25"/>
      <c r="O2034" s="25"/>
    </row>
    <row r="2035" customFormat="false" ht="15" hidden="false" customHeight="true" outlineLevel="0" collapsed="false">
      <c r="B2035" s="10"/>
      <c r="C2035" s="10"/>
      <c r="D2035" s="34" t="str">
        <f aca="false">IF($K$2026=0,"",INDEX(Clients!$E$2:$E$501,$K$2026)&amp;"")</f>
        <v/>
      </c>
      <c r="E2035" s="34"/>
      <c r="F2035" s="34"/>
      <c r="J2035" s="25"/>
      <c r="K2035" s="25"/>
      <c r="L2035" s="25"/>
      <c r="M2035" s="25"/>
      <c r="N2035" s="25"/>
      <c r="O2035" s="25"/>
    </row>
    <row r="2036" customFormat="false" ht="15" hidden="false" customHeight="true" outlineLevel="0" collapsed="false">
      <c r="B2036" s="10"/>
      <c r="C2036" s="10"/>
      <c r="D2036" s="35" t="str">
        <f aca="false">IF(IF($K$2026=0,"",INDEX(Clients!$D$2:$D$501,$K$2026)&amp;"")="","","À l'attention de "&amp;TRIM(IF($K$2026=0,"",INDEX(Clients!$B$2:$B$501,$K$2026)&amp;"")&amp;" "&amp;IF($K$2026=0,"",INDEX(Clients!$C$2:$C$501,$K$2026)&amp;"")&amp;" "&amp;IF($K$2026=0,"",INDEX(Clients!$D$2:$D$501,$K$2026)&amp;"")))</f>
        <v/>
      </c>
      <c r="E2036" s="35"/>
      <c r="F2036" s="35"/>
      <c r="J2036" s="25"/>
      <c r="K2036" s="25"/>
      <c r="L2036" s="25"/>
      <c r="M2036" s="25"/>
      <c r="N2036" s="25"/>
      <c r="O2036" s="25"/>
    </row>
    <row r="2037" customFormat="false" ht="15" hidden="false" customHeight="true" outlineLevel="0" collapsed="false">
      <c r="B2037" s="10"/>
      <c r="C2037" s="10"/>
      <c r="D2037" s="35" t="str">
        <f aca="false">IF($K$2026=0,"",INDEX(Clients!$F$2:$F$501,$K$2026)&amp;"")</f>
        <v/>
      </c>
      <c r="E2037" s="35"/>
      <c r="F2037" s="35"/>
      <c r="J2037" s="25"/>
      <c r="K2037" s="25"/>
      <c r="L2037" s="25"/>
      <c r="M2037" s="25"/>
      <c r="N2037" s="25"/>
      <c r="O2037" s="25"/>
    </row>
    <row r="2038" customFormat="false" ht="15" hidden="false" customHeight="true" outlineLevel="0" collapsed="false">
      <c r="B2038" s="10"/>
      <c r="C2038" s="10"/>
      <c r="D2038" s="35" t="str">
        <f aca="false">IF(IF($K$2026=0,"",INDEX(Clients!$G$2:$G$501,$K$2026)&amp;"")="",TRIM(IF($K$2026=0,"",INDEX(Clients!$H$2:$H$501,$K$2026)&amp;"")&amp;" "&amp;UPPER(IF($K$2026=0,"",INDEX(Clients!$I$2:$I$501,$K$2026)&amp;""))),IF($K$2026=0,"",INDEX(Clients!$G$2:$G$501,$K$2026)&amp;""))</f>
        <v/>
      </c>
      <c r="E2038" s="35"/>
      <c r="F2038" s="35"/>
      <c r="J2038" s="25"/>
      <c r="K2038" s="25"/>
      <c r="L2038" s="25"/>
      <c r="M2038" s="25"/>
      <c r="N2038" s="25"/>
      <c r="O2038" s="25"/>
    </row>
    <row r="2039" customFormat="false" ht="15" hidden="false" customHeight="true" outlineLevel="0" collapsed="false">
      <c r="B2039" s="10"/>
      <c r="C2039" s="10"/>
      <c r="D2039" s="35" t="str">
        <f aca="false">IF(IF($K$2026=0,"",INDEX(Clients!$G$2:$G$501,$K$2026)&amp;"")="","",TRIM(IF($K$2026=0,"",INDEX(Clients!$H$2:$H$501,$K$2026)&amp;"")&amp;" "&amp;UPPER(IF($K$2026=0,"",INDEX(Clients!$I$2:$I$501,$K$2026)&amp;""))))</f>
        <v/>
      </c>
      <c r="E2039" s="35"/>
      <c r="F2039" s="35"/>
      <c r="J2039" s="25"/>
      <c r="K2039" s="25"/>
      <c r="L2039" s="25"/>
      <c r="M2039" s="25"/>
      <c r="N2039" s="25"/>
      <c r="O2039" s="25"/>
    </row>
    <row r="2040" customFormat="false" ht="25.5" hidden="false" customHeight="true" outlineLevel="0" collapsed="false">
      <c r="B2040" s="10"/>
      <c r="C2040" s="10"/>
      <c r="D2040" s="10"/>
      <c r="E2040" s="10"/>
      <c r="F2040" s="10"/>
      <c r="J2040" s="25"/>
      <c r="K2040" s="25"/>
      <c r="L2040" s="25"/>
      <c r="M2040" s="25"/>
      <c r="N2040" s="25"/>
      <c r="O2040" s="25"/>
    </row>
    <row r="2041" customFormat="false" ht="15" hidden="false" customHeight="false" outlineLevel="0" collapsed="false">
      <c r="B2041" s="10"/>
      <c r="C2041" s="10"/>
      <c r="D2041" s="36" t="str">
        <f aca="false">Cab_Ville&amp;", le "&amp;DAY(Date_Courrier)&amp;IF(DAY(Date_Courrier)=1,"er","")&amp;" "&amp;INDEX(Liste_Mois,MONTH(Date_Courrier))&amp;" "&amp;YEAR(Date_Courrier)</f>
        <v>Le Plessis-Bouchard, le 22 septembre 2026</v>
      </c>
      <c r="E2041" s="36"/>
      <c r="F2041" s="36"/>
      <c r="J2041" s="25"/>
      <c r="K2041" s="25"/>
      <c r="L2041" s="25"/>
      <c r="M2041" s="25"/>
      <c r="N2041" s="25"/>
      <c r="O2041" s="25"/>
    </row>
    <row r="2042" customFormat="false" ht="19.5" hidden="false" customHeight="true" outlineLevel="0" collapsed="false">
      <c r="B2042" s="10"/>
      <c r="C2042" s="10"/>
      <c r="D2042" s="10"/>
      <c r="E2042" s="10"/>
      <c r="F2042" s="10"/>
      <c r="J2042" s="25"/>
      <c r="K2042" s="25"/>
      <c r="L2042" s="25"/>
      <c r="M2042" s="25"/>
      <c r="N2042" s="25"/>
      <c r="O2042" s="25"/>
    </row>
    <row r="2043" customFormat="false" ht="15" hidden="false" customHeight="false" outlineLevel="0" collapsed="false">
      <c r="B2043" s="34" t="str">
        <f aca="false">SUBSTITUTE(SUBSTITUTE(SUBSTITUTE(SUBSTITUTE(SUBSTITUTE(Txt_Objet,"{cabinet}",Cab_Nom),"{societe}",IF($K$2026=0,"",INDEX(Clients!$E$2:$E$501,$K$2026)&amp;"")),"{date_effet}",$K$2028),"{hausse}",$K$2029),"{civilite}",$K$2027)</f>
        <v>Objet : révision de nos honoraires au 1er janvier 2027</v>
      </c>
      <c r="C2043" s="34"/>
      <c r="D2043" s="34"/>
      <c r="E2043" s="34"/>
      <c r="F2043" s="34"/>
      <c r="J2043" s="25"/>
      <c r="K2043" s="25"/>
      <c r="L2043" s="25"/>
      <c r="M2043" s="25"/>
      <c r="N2043" s="25"/>
      <c r="O2043" s="25"/>
    </row>
    <row r="2044" customFormat="false" ht="13.5" hidden="false" customHeight="true" outlineLevel="0" collapsed="false">
      <c r="B2044" s="10"/>
      <c r="C2044" s="10"/>
      <c r="D2044" s="10"/>
      <c r="E2044" s="10"/>
      <c r="F2044" s="10"/>
      <c r="J2044" s="25"/>
      <c r="K2044" s="25"/>
      <c r="L2044" s="25"/>
      <c r="M2044" s="25"/>
      <c r="N2044" s="25"/>
      <c r="O2044" s="25"/>
    </row>
    <row r="2045" customFormat="false" ht="15" hidden="false" customHeight="false" outlineLevel="0" collapsed="false">
      <c r="B2045" s="10" t="str">
        <f aca="false">$K$2027&amp;","</f>
        <v>Madame, Monsieur,</v>
      </c>
      <c r="C2045" s="10"/>
      <c r="D2045" s="10"/>
      <c r="E2045" s="10"/>
      <c r="F2045" s="10"/>
      <c r="J2045" s="25"/>
      <c r="K2045" s="25"/>
      <c r="L2045" s="25"/>
      <c r="M2045" s="25"/>
      <c r="N2045" s="25"/>
      <c r="O2045" s="25"/>
    </row>
    <row r="2046" customFormat="false" ht="6" hidden="false" customHeight="true" outlineLevel="0" collapsed="false">
      <c r="B2046" s="10"/>
      <c r="C2046" s="10"/>
      <c r="D2046" s="10"/>
      <c r="E2046" s="10"/>
      <c r="F2046" s="10"/>
      <c r="J2046" s="25"/>
      <c r="K2046" s="25"/>
      <c r="L2046" s="25"/>
      <c r="M2046" s="25"/>
      <c r="N2046" s="25"/>
      <c r="O2046" s="25"/>
    </row>
    <row r="2047" customFormat="false" ht="36.75" hidden="false" customHeight="true" outlineLevel="0" collapsed="false">
      <c r="B2047" s="37" t="str">
        <f aca="false">SUBSTITUTE(SUBSTITUTE(SUBSTITUTE(SUBSTITUTE(SUBSTITUTE(Txt_P1,"{cabinet}",Cab_Nom),"{societe}",IF($K$2026=0,"",INDEX(Clients!$E$2:$E$501,$K$2026)&amp;"")),"{date_effet}",$K$2028),"{hausse}",$K$2029),"{civilite}",$K$2027)</f>
        <v>Nous tenons tout d'abord à vous remercier pour la confiance que vous accordez à ALTHO EXPERTISE. Comme chaque année, et conformément aux dispositions de votre lettre de mission, nous procédons à la révision de nos honoraires.</v>
      </c>
      <c r="C2047" s="37"/>
      <c r="D2047" s="37"/>
      <c r="E2047" s="37"/>
      <c r="F2047" s="37"/>
      <c r="J2047" s="25"/>
      <c r="K2047" s="25"/>
      <c r="L2047" s="25"/>
      <c r="M2047" s="25"/>
      <c r="N2047" s="25"/>
      <c r="O2047" s="25"/>
    </row>
    <row r="2048" customFormat="false" ht="49.5" hidden="false" customHeight="true" outlineLevel="0" collapsed="false">
      <c r="B2048" s="37" t="str">
        <f aca="false">SUBSTITUTE(SUBSTITUTE(SUBSTITUTE(SUBSTITUTE(SUBSTITUTE(Txt_P2,"{cabinet}",Cab_Nom),"{societe}",IF($K$2026=0,"",INDEX(Clients!$E$2:$E$501,$K$2026)&amp;"")),"{date_effet}",$K$2028),"{hausse}",$K$2029),"{civilite}",$K$2027)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048" s="37"/>
      <c r="D2048" s="37"/>
      <c r="E2048" s="37"/>
      <c r="F2048" s="37"/>
      <c r="J2048" s="25"/>
      <c r="K2048" s="25"/>
      <c r="L2048" s="25"/>
      <c r="M2048" s="25"/>
      <c r="N2048" s="25"/>
      <c r="O2048" s="25"/>
    </row>
    <row r="2049" customFormat="false" ht="63" hidden="false" customHeight="true" outlineLevel="0" collapsed="false">
      <c r="B2049" s="37" t="str">
        <f aca="false">SUBSTITUTE(SUBSTITUTE(SUBSTITUTE(SUBSTITUTE(SUBSTITUTE(Txt_P3,"{cabinet}",Cab_Nom),"{societe}",IF($K$2026=0,"",INDEX(Clients!$E$2:$E$501,$K$2026)&amp;"")),"{date_effet}",$K$2028),"{hausse}",$K$2029),"{civilite}",$K$2027)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049" s="37"/>
      <c r="D2049" s="37"/>
      <c r="E2049" s="37"/>
      <c r="F2049" s="37"/>
      <c r="J2049" s="25"/>
      <c r="K2049" s="25"/>
      <c r="L2049" s="25"/>
      <c r="M2049" s="25"/>
      <c r="N2049" s="25"/>
      <c r="O2049" s="25"/>
    </row>
    <row r="2050" customFormat="false" ht="24" hidden="false" customHeight="true" outlineLevel="0" collapsed="false">
      <c r="B2050" s="37" t="str">
        <f aca="false">SUBSTITUTE(SUBSTITUTE(SUBSTITUTE(SUBSTITUTE(SUBSTITUTE(Txt_P4,"{cabinet}",Cab_Nom),"{societe}",IF($K$2026=0,"",INDEX(Clients!$E$2:$E$501,$K$2026)&amp;"")),"{date_effet}",$K$2028),"{hausse}",$K$2029),"{civilite}",$K$2027)</f>
        <v>À compter du 1er janvier 2027, vos honoraires annuels hors taxes évolueront ainsi (évolution globale : ) :</v>
      </c>
      <c r="C2050" s="37"/>
      <c r="D2050" s="37"/>
      <c r="E2050" s="37"/>
      <c r="F2050" s="37"/>
      <c r="J2050" s="25"/>
      <c r="K2050" s="25"/>
      <c r="L2050" s="25"/>
      <c r="M2050" s="25"/>
      <c r="N2050" s="25"/>
      <c r="O2050" s="25"/>
    </row>
    <row r="2051" customFormat="false" ht="3.75" hidden="false" customHeight="true" outlineLevel="0" collapsed="false">
      <c r="B2051" s="10"/>
      <c r="C2051" s="10"/>
      <c r="D2051" s="10"/>
      <c r="E2051" s="10"/>
      <c r="F2051" s="10"/>
      <c r="J2051" s="25"/>
      <c r="K2051" s="25"/>
      <c r="L2051" s="25"/>
      <c r="M2051" s="25"/>
      <c r="N2051" s="25"/>
      <c r="O2051" s="25"/>
    </row>
    <row r="2052" customFormat="false" ht="18" hidden="false" customHeight="true" outlineLevel="0" collapsed="false">
      <c r="B2052" s="38" t="s">
        <v>148</v>
      </c>
      <c r="C2052" s="39" t="s">
        <v>149</v>
      </c>
      <c r="D2052" s="39" t="s">
        <v>150</v>
      </c>
      <c r="E2052" s="39" t="s">
        <v>151</v>
      </c>
      <c r="F2052" s="39" t="s">
        <v>109</v>
      </c>
      <c r="J2052" s="25" t="s">
        <v>152</v>
      </c>
      <c r="K2052" s="25" t="s">
        <v>153</v>
      </c>
      <c r="L2052" s="25" t="s">
        <v>154</v>
      </c>
      <c r="M2052" s="25" t="s">
        <v>155</v>
      </c>
      <c r="N2052" s="25" t="s">
        <v>156</v>
      </c>
      <c r="O2052" s="25" t="s">
        <v>157</v>
      </c>
    </row>
    <row r="2053" customFormat="false" ht="16.5" hidden="false" customHeight="true" outlineLevel="0" collapsed="false">
      <c r="B2053" s="40" t="str">
        <f aca="false">IFERROR(INDEX($J$2053:$J$2056,MATCH($O2053,$N$2053:$N$2056,0)),"")</f>
        <v/>
      </c>
      <c r="C2053" s="41" t="str">
        <f aca="false">IFERROR(INDEX($K$2053:$K$2056,MATCH($O2053,$N$2053:$N$2056,0)),"")</f>
        <v/>
      </c>
      <c r="D2053" s="42" t="str">
        <f aca="false">IF(OR(E2053="",N(C2053)=0),"",E2053/C2053-1)</f>
        <v/>
      </c>
      <c r="E2053" s="41" t="str">
        <f aca="false">IFERROR(INDEX($L$2053:$L$2056,MATCH($O2053,$N$2053:$N$2056,0)),"")</f>
        <v/>
      </c>
      <c r="F2053" s="41" t="str">
        <f aca="false">IF(E2053="","",E2053-C2053)</f>
        <v/>
      </c>
      <c r="J2053" s="25" t="str">
        <f aca="false">Lib_Compta</f>
        <v>Mission comptable (tenue, révision, bilan, liasse fiscale)</v>
      </c>
      <c r="K2053" s="25" t="n">
        <f aca="false">IF($K$2026=0,0,N(INDEX(Clients!$K$2:$K$501,$K$2026)))</f>
        <v>0</v>
      </c>
      <c r="L2053" s="25" t="n">
        <f aca="false">IF($K$2026=0,0,N(INDEX(Clients!$P$2:$P$501,$K$2026)))</f>
        <v>0</v>
      </c>
      <c r="M2053" s="25" t="n">
        <f aca="false">IF(OR(K2053&lt;&gt;0,L2053&lt;&gt;0),1,0)</f>
        <v>0</v>
      </c>
      <c r="N2053" s="25" t="str">
        <f aca="false">IF(M2053=1,SUM($M$2053:M2053),"")</f>
        <v/>
      </c>
      <c r="O2053" s="25" t="n">
        <v>1</v>
      </c>
    </row>
    <row r="2054" customFormat="false" ht="16.5" hidden="false" customHeight="true" outlineLevel="0" collapsed="false">
      <c r="B2054" s="40" t="str">
        <f aca="false">IFERROR(INDEX($J$2053:$J$2056,MATCH($O2054,$N$2053:$N$2056,0)),"")</f>
        <v/>
      </c>
      <c r="C2054" s="41" t="str">
        <f aca="false">IFERROR(INDEX($K$2053:$K$2056,MATCH($O2054,$N$2053:$N$2056,0)),"")</f>
        <v/>
      </c>
      <c r="D2054" s="42" t="str">
        <f aca="false">IF(OR(E2054="",N(C2054)=0),"",E2054/C2054-1)</f>
        <v/>
      </c>
      <c r="E2054" s="41" t="str">
        <f aca="false">IFERROR(INDEX($L$2053:$L$2056,MATCH($O2054,$N$2053:$N$2056,0)),"")</f>
        <v/>
      </c>
      <c r="F2054" s="41" t="str">
        <f aca="false">IF(E2054="","",E2054-C2054)</f>
        <v/>
      </c>
      <c r="J2054" s="25" t="str">
        <f aca="false">Lib_Paye</f>
        <v>Mission sociale (bulletins de paie, DSN, déclarations sociales)</v>
      </c>
      <c r="K2054" s="25" t="n">
        <f aca="false">IF($K$2026=0,0,N(INDEX(Clients!$L$2:$L$501,$K$2026)))</f>
        <v>0</v>
      </c>
      <c r="L2054" s="25" t="n">
        <f aca="false">IF($K$2026=0,0,N(INDEX(Clients!$Q$2:$Q$501,$K$2026)))</f>
        <v>0</v>
      </c>
      <c r="M2054" s="25" t="n">
        <f aca="false">IF(OR(K2054&lt;&gt;0,L2054&lt;&gt;0),1,0)</f>
        <v>0</v>
      </c>
      <c r="N2054" s="25" t="str">
        <f aca="false">IF(M2054=1,SUM($M$2053:M2054),"")</f>
        <v/>
      </c>
      <c r="O2054" s="25" t="n">
        <v>2</v>
      </c>
    </row>
    <row r="2055" customFormat="false" ht="16.5" hidden="false" customHeight="true" outlineLevel="0" collapsed="false">
      <c r="B2055" s="40" t="str">
        <f aca="false">IFERROR(INDEX($J$2053:$J$2056,MATCH($O2055,$N$2053:$N$2056,0)),"")</f>
        <v/>
      </c>
      <c r="C2055" s="41" t="str">
        <f aca="false">IFERROR(INDEX($K$2053:$K$2056,MATCH($O2055,$N$2053:$N$2056,0)),"")</f>
        <v/>
      </c>
      <c r="D2055" s="42" t="str">
        <f aca="false">IF(OR(E2055="",N(C2055)=0),"",E2055/C2055-1)</f>
        <v/>
      </c>
      <c r="E2055" s="41" t="str">
        <f aca="false">IFERROR(INDEX($L$2053:$L$2056,MATCH($O2055,$N$2053:$N$2056,0)),"")</f>
        <v/>
      </c>
      <c r="F2055" s="41" t="str">
        <f aca="false">IF(E2055="","",E2055-C2055)</f>
        <v/>
      </c>
      <c r="J2055" s="25" t="str">
        <f aca="false">Lib_Jur</f>
        <v>Mission juridique (approbation des comptes, secrétariat juridique)</v>
      </c>
      <c r="K2055" s="25" t="n">
        <f aca="false">IF($K$2026=0,0,N(INDEX(Clients!$M$2:$M$501,$K$2026)))</f>
        <v>0</v>
      </c>
      <c r="L2055" s="25" t="n">
        <f aca="false">IF($K$2026=0,0,N(INDEX(Clients!$R$2:$R$501,$K$2026)))</f>
        <v>0</v>
      </c>
      <c r="M2055" s="25" t="n">
        <f aca="false">IF(OR(K2055&lt;&gt;0,L2055&lt;&gt;0),1,0)</f>
        <v>0</v>
      </c>
      <c r="N2055" s="25" t="str">
        <f aca="false">IF(M2055=1,SUM($M$2053:M2055),"")</f>
        <v/>
      </c>
      <c r="O2055" s="25" t="n">
        <v>3</v>
      </c>
    </row>
    <row r="2056" customFormat="false" ht="16.5" hidden="false" customHeight="true" outlineLevel="0" collapsed="false">
      <c r="B2056" s="40" t="str">
        <f aca="false">IFERROR(INDEX($J$2053:$J$2056,MATCH($O2056,$N$2053:$N$2056,0)),"")</f>
        <v/>
      </c>
      <c r="C2056" s="41" t="str">
        <f aca="false">IFERROR(INDEX($K$2053:$K$2056,MATCH($O2056,$N$2053:$N$2056,0)),"")</f>
        <v/>
      </c>
      <c r="D2056" s="42" t="str">
        <f aca="false">IF(OR(E2056="",N(C2056)=0),"",E2056/C2056-1)</f>
        <v/>
      </c>
      <c r="E2056" s="41" t="str">
        <f aca="false">IFERROR(INDEX($L$2053:$L$2056,MATCH($O2056,$N$2053:$N$2056,0)),"")</f>
        <v/>
      </c>
      <c r="F2056" s="41" t="str">
        <f aca="false">IF(E2056="","",E2056-C2056)</f>
        <v/>
      </c>
      <c r="J2056" s="25" t="str">
        <f aca="false">Lib_PA</f>
        <v>Plateforme agréée – facturation électronique</v>
      </c>
      <c r="K2056" s="25" t="n">
        <f aca="false">IF($K$2026=0,0,N(INDEX(Clients!$N$2:$N$501,$K$2026)))</f>
        <v>0</v>
      </c>
      <c r="L2056" s="25" t="n">
        <f aca="false">IF($K$2026=0,0,N(INDEX(Clients!$S$2:$S$501,$K$2026)))</f>
        <v>0</v>
      </c>
      <c r="M2056" s="25" t="n">
        <f aca="false">IF(OR(K2056&lt;&gt;0,L2056&lt;&gt;0),1,0)</f>
        <v>0</v>
      </c>
      <c r="N2056" s="25" t="str">
        <f aca="false">IF(M2056=1,SUM($M$2053:M2056),"")</f>
        <v/>
      </c>
      <c r="O2056" s="25" t="n">
        <v>4</v>
      </c>
    </row>
    <row r="2057" customFormat="false" ht="18" hidden="false" customHeight="true" outlineLevel="0" collapsed="false">
      <c r="B2057" s="43" t="s">
        <v>158</v>
      </c>
      <c r="C2057" s="44" t="n">
        <f aca="false">SUM(K2053:K2056)</f>
        <v>0</v>
      </c>
      <c r="D2057" s="45" t="str">
        <f aca="false">IF(N(C2057)=0,"",E2057/C2057-1)</f>
        <v/>
      </c>
      <c r="E2057" s="44" t="n">
        <f aca="false">SUM(L2053:L2056)</f>
        <v>0</v>
      </c>
      <c r="F2057" s="44" t="n">
        <f aca="false">E2057-C2057</f>
        <v>0</v>
      </c>
    </row>
    <row r="2058" customFormat="false" ht="15" hidden="false" customHeight="false" outlineLevel="0" collapsed="false">
      <c r="B2058" s="46" t="str">
        <f aca="false">IF(N(Nb_Mensualites)=0,"","Soit "&amp;FIXED(E2057/Nb_Mensualites,2)&amp;" € HT par échéance ("&amp;Nb_Mensualites&amp;" échéances), "&amp;FIXED(E2057/Nb_Mensualites*(1+Taux_TVA),2)&amp;" € TTC.")</f>
        <v>Soit 0.00 € HT par échéance (12 échéances), 0.00 € TTC.</v>
      </c>
      <c r="C2058" s="46"/>
      <c r="D2058" s="46"/>
      <c r="E2058" s="46"/>
      <c r="F2058" s="46"/>
    </row>
    <row r="2059" customFormat="false" ht="7.5" hidden="false" customHeight="true" outlineLevel="0" collapsed="false">
      <c r="B2059" s="10"/>
      <c r="C2059" s="10"/>
      <c r="D2059" s="10"/>
      <c r="E2059" s="10"/>
      <c r="F2059" s="10"/>
    </row>
    <row r="2060" customFormat="false" ht="36.75" hidden="false" customHeight="true" outlineLevel="0" collapsed="false">
      <c r="B2060" s="37" t="str">
        <f aca="false">SUBSTITUTE(SUBSTITUTE(SUBSTITUTE(SUBSTITUTE(SUBSTITUTE(Txt_P5,"{cabinet}",Cab_Nom),"{societe}",IF($K$2026=0,"",INDEX(Clients!$E$2:$E$501,$K$2026)&amp;"")),"{date_effet}",$K$2028),"{hausse}",$K$2029),"{civilite}",$K$2027)</f>
        <v>Les autres conditions de votre lettre de mission demeurent inchangées. Les nouveaux montants seront appliqués automatiquement sur vos prochaines factures et échéances de prélèvement.</v>
      </c>
      <c r="C2060" s="37"/>
      <c r="D2060" s="37"/>
      <c r="E2060" s="37"/>
      <c r="F2060" s="37"/>
    </row>
    <row r="2061" customFormat="false" ht="36.75" hidden="false" customHeight="true" outlineLevel="0" collapsed="false">
      <c r="B2061" s="37" t="str">
        <f aca="false">SUBSTITUTE(SUBSTITUTE(SUBSTITUTE(SUBSTITUTE(SUBSTITUTE(Txt_P6,"{cabinet}",Cab_Nom),"{societe}",IF($K$2026=0,"",INDEX(Clients!$E$2:$E$501,$K$2026)&amp;"")),"{date_effet}",$K$2028),"{hausse}",$K$2029),"{civilite}",$K$2027)</f>
        <v>Votre interlocuteur habituel reste à votre entière disposition pour répondre à vos questions et faire le point sur l'évolution de vos besoins.</v>
      </c>
      <c r="C2061" s="37"/>
      <c r="D2061" s="37"/>
      <c r="E2061" s="37"/>
      <c r="F2061" s="37"/>
    </row>
    <row r="2062" customFormat="false" ht="24" hidden="false" customHeight="true" outlineLevel="0" collapsed="false">
      <c r="B2062" s="37" t="str">
        <f aca="false">SUBSTITUTE(SUBSTITUTE(SUBSTITUTE(SUBSTITUTE(SUBSTITUTE(Txt_Politesse,"{cabinet}",Cab_Nom),"{societe}",IF($K$2026=0,"",INDEX(Clients!$E$2:$E$501,$K$2026)&amp;"")),"{date_effet}",$K$2028),"{hausse}",$K$2029),"{civilite}",$K$2027)</f>
        <v>Nous vous prions d'agréer, Madame, Monsieur, l'expression de nos salutations distinguées.</v>
      </c>
      <c r="C2062" s="37"/>
      <c r="D2062" s="37"/>
      <c r="E2062" s="37"/>
      <c r="F2062" s="37"/>
    </row>
    <row r="2063" customFormat="false" ht="15" hidden="false" customHeight="false" outlineLevel="0" collapsed="false">
      <c r="B2063" s="10"/>
      <c r="C2063" s="10"/>
      <c r="D2063" s="10"/>
      <c r="E2063" s="10"/>
      <c r="F2063" s="10"/>
    </row>
    <row r="2064" customFormat="false" ht="15" hidden="false" customHeight="false" outlineLevel="0" collapsed="false">
      <c r="B2064" s="10"/>
      <c r="C2064" s="10"/>
      <c r="D2064" s="34" t="str">
        <f aca="false">Signataire</f>
        <v>Prénom NOM</v>
      </c>
      <c r="E2064" s="34"/>
      <c r="F2064" s="34"/>
    </row>
    <row r="2065" customFormat="false" ht="15" hidden="false" customHeight="false" outlineLevel="0" collapsed="false">
      <c r="B2065" s="10"/>
      <c r="C2065" s="10"/>
      <c r="D2065" s="47" t="str">
        <f aca="false">Signataire_Titre</f>
        <v>Expert-comptable associé</v>
      </c>
      <c r="E2065" s="47"/>
      <c r="F2065" s="47"/>
    </row>
    <row r="2066" customFormat="false" ht="15.75" hidden="false" customHeight="true" outlineLevel="0" collapsed="false">
      <c r="B2066" s="10"/>
      <c r="C2066" s="10"/>
      <c r="D2066" s="10"/>
      <c r="E2066" s="10"/>
      <c r="F2066" s="10"/>
    </row>
    <row r="2067" customFormat="false" ht="15.75" hidden="false" customHeight="true" outlineLevel="0" collapsed="false">
      <c r="B2067" s="10"/>
      <c r="C2067" s="10"/>
      <c r="D2067" s="10"/>
      <c r="E2067" s="10"/>
      <c r="F2067" s="10"/>
    </row>
    <row r="2068" customFormat="false" ht="15.75" hidden="false" customHeight="true" outlineLevel="0" collapsed="false">
      <c r="B2068" s="10"/>
      <c r="C2068" s="10"/>
      <c r="D2068" s="10"/>
      <c r="E2068" s="10"/>
      <c r="F2068" s="10"/>
    </row>
    <row r="2069" customFormat="false" ht="15.75" hidden="false" customHeight="true" outlineLevel="0" collapsed="false">
      <c r="B2069" s="10"/>
      <c r="C2069" s="10"/>
      <c r="D2069" s="10"/>
      <c r="E2069" s="10"/>
      <c r="F2069" s="10"/>
    </row>
    <row r="2070" customFormat="false" ht="24" hidden="false" customHeight="true" outlineLevel="0" collapsed="false">
      <c r="B2070" s="48" t="str">
        <f aca="false">Cab_Mentions</f>
        <v>ALTHO EXPERTISE · SAS au capital de 10 000 € · RCS Pontoise 919 706 325 · TVA FR62919706325 · Société d'expertise comptable inscrite au Tableau de l'Ordre des experts-comptables de Paris Île-de-France</v>
      </c>
      <c r="C2070" s="48"/>
      <c r="D2070" s="48"/>
      <c r="E2070" s="48"/>
      <c r="F2070" s="48"/>
    </row>
    <row r="2071" customFormat="false" ht="15" hidden="false" customHeight="false" outlineLevel="0" collapsed="false">
      <c r="B2071" s="10"/>
      <c r="C2071" s="10"/>
      <c r="D2071" s="10"/>
      <c r="E2071" s="10"/>
      <c r="F2071" s="10"/>
      <c r="J2071" s="25" t="s">
        <v>142</v>
      </c>
      <c r="K2071" s="25" t="n">
        <f aca="false">IFERROR(MATCH(47,Clients!$Z$2:$Z$501,0),0)</f>
        <v>0</v>
      </c>
      <c r="L2071" s="25"/>
      <c r="M2071" s="25"/>
      <c r="N2071" s="25"/>
      <c r="O2071" s="25"/>
    </row>
    <row r="2072" customFormat="false" ht="21.75" hidden="false" customHeight="true" outlineLevel="0" collapsed="false">
      <c r="B2072" s="26" t="str">
        <f aca="false">Cab_Nom</f>
        <v>ALTHO EXPERTISE</v>
      </c>
      <c r="C2072" s="26"/>
      <c r="D2072" s="10"/>
      <c r="E2072" s="27" t="str">
        <f aca="false">IF($K$2071=0,"","Réf. client : "&amp;INDEX(Clients!$A$2:$A$501,$K$2071))</f>
        <v/>
      </c>
      <c r="F2072" s="27"/>
      <c r="J2072" s="25" t="s">
        <v>144</v>
      </c>
      <c r="K2072" s="25" t="str">
        <f aca="false">IF(IF($K$2071=0,"",INDEX(Clients!$B$2:$B$501,$K$2071)&amp;"")="Mme","Madame",IF(IF($K$2071=0,"",INDEX(Clients!$B$2:$B$501,$K$2071)&amp;"")="M.","Monsieur","Madame, Monsieur"))</f>
        <v>Madame, Monsieur</v>
      </c>
      <c r="L2072" s="25"/>
      <c r="M2072" s="25"/>
      <c r="N2072" s="25"/>
      <c r="O2072" s="25"/>
    </row>
    <row r="2073" customFormat="false" ht="15" hidden="false" customHeight="false" outlineLevel="0" collapsed="false">
      <c r="B2073" s="29" t="str">
        <f aca="false">Cab_Adr1</f>
        <v>141 rue Charles de Gaulle</v>
      </c>
      <c r="C2073" s="29"/>
      <c r="D2073" s="10"/>
      <c r="E2073" s="10"/>
      <c r="F2073" s="10"/>
      <c r="J2073" s="25" t="s">
        <v>145</v>
      </c>
      <c r="K2073" s="25" t="str">
        <f aca="false">DAY(Date_Effet)&amp;IF(DAY(Date_Effet)=1,"er","")&amp;" "&amp;INDEX(Liste_Mois,MONTH(Date_Effet))&amp;" "&amp;YEAR(Date_Effet)</f>
        <v>1er janvier 2027</v>
      </c>
      <c r="L2073" s="25"/>
      <c r="M2073" s="25"/>
      <c r="N2073" s="25"/>
      <c r="O2073" s="25"/>
    </row>
    <row r="2074" customFormat="false" ht="15" hidden="false" customHeight="false" outlineLevel="0" collapsed="false">
      <c r="B2074" s="29" t="str">
        <f aca="false">Cab_CPVille</f>
        <v>95130 LE PLESSIS-BOUCHARD</v>
      </c>
      <c r="C2074" s="29"/>
      <c r="D2074" s="10"/>
      <c r="E2074" s="10"/>
      <c r="F2074" s="10"/>
      <c r="J2074" s="25" t="s">
        <v>146</v>
      </c>
      <c r="K2074" s="25" t="str">
        <f aca="false">IF(SUM($K$2098:$K$2101)=0,"",FIXED((SUM($L$2098:$L$2101)/SUM($K$2098:$K$2101)-1)*100,1)&amp;" %")</f>
        <v/>
      </c>
      <c r="L2074" s="25"/>
      <c r="M2074" s="25"/>
      <c r="N2074" s="25"/>
      <c r="O2074" s="25"/>
    </row>
    <row r="2075" customFormat="false" ht="15" hidden="false" customHeight="false" outlineLevel="0" collapsed="false">
      <c r="B2075" s="29" t="str">
        <f aca="false">Cab_Contact</f>
        <v>Tél. 01 34 14 53 45  ·  altho@altho-experts.com  ·  altho-experts.com</v>
      </c>
      <c r="C2075" s="29"/>
      <c r="D2075" s="10"/>
      <c r="E2075" s="10"/>
      <c r="F2075" s="10"/>
      <c r="J2075" s="25"/>
      <c r="K2075" s="25"/>
      <c r="L2075" s="25"/>
      <c r="M2075" s="25"/>
      <c r="N2075" s="25"/>
      <c r="O2075" s="25"/>
    </row>
    <row r="2076" customFormat="false" ht="6" hidden="false" customHeight="true" outlineLevel="0" collapsed="false">
      <c r="B2076" s="32"/>
      <c r="C2076" s="32"/>
      <c r="D2076" s="32"/>
      <c r="E2076" s="32"/>
      <c r="F2076" s="32"/>
      <c r="J2076" s="25"/>
      <c r="K2076" s="25"/>
      <c r="L2076" s="25"/>
      <c r="M2076" s="25"/>
      <c r="N2076" s="25"/>
      <c r="O2076" s="25"/>
    </row>
    <row r="2077" customFormat="false" ht="13.5" hidden="false" customHeight="true" outlineLevel="0" collapsed="false">
      <c r="B2077" s="10"/>
      <c r="C2077" s="10"/>
      <c r="D2077" s="10"/>
      <c r="E2077" s="10"/>
      <c r="F2077" s="10"/>
      <c r="J2077" s="25"/>
      <c r="K2077" s="25"/>
      <c r="L2077" s="25"/>
      <c r="M2077" s="25"/>
      <c r="N2077" s="25"/>
      <c r="O2077" s="25"/>
    </row>
    <row r="2078" customFormat="false" ht="13.5" hidden="false" customHeight="true" outlineLevel="0" collapsed="false">
      <c r="B2078" s="10"/>
      <c r="C2078" s="10"/>
      <c r="D2078" s="10"/>
      <c r="E2078" s="10"/>
      <c r="F2078" s="10"/>
      <c r="J2078" s="25"/>
      <c r="K2078" s="25"/>
      <c r="L2078" s="25"/>
      <c r="M2078" s="25"/>
      <c r="N2078" s="25"/>
      <c r="O2078" s="25"/>
    </row>
    <row r="2079" customFormat="false" ht="13.5" hidden="false" customHeight="true" outlineLevel="0" collapsed="false">
      <c r="B2079" s="10"/>
      <c r="C2079" s="10"/>
      <c r="D2079" s="10"/>
      <c r="E2079" s="10"/>
      <c r="F2079" s="10"/>
      <c r="J2079" s="25"/>
      <c r="K2079" s="25"/>
      <c r="L2079" s="25"/>
      <c r="M2079" s="25"/>
      <c r="N2079" s="25"/>
      <c r="O2079" s="25"/>
    </row>
    <row r="2080" customFormat="false" ht="15" hidden="false" customHeight="true" outlineLevel="0" collapsed="false">
      <c r="B2080" s="10"/>
      <c r="C2080" s="10"/>
      <c r="D2080" s="34" t="str">
        <f aca="false">IF($K$2071=0,"",INDEX(Clients!$E$2:$E$501,$K$2071)&amp;"")</f>
        <v/>
      </c>
      <c r="E2080" s="34"/>
      <c r="F2080" s="34"/>
      <c r="J2080" s="25"/>
      <c r="K2080" s="25"/>
      <c r="L2080" s="25"/>
      <c r="M2080" s="25"/>
      <c r="N2080" s="25"/>
      <c r="O2080" s="25"/>
    </row>
    <row r="2081" customFormat="false" ht="15" hidden="false" customHeight="true" outlineLevel="0" collapsed="false">
      <c r="B2081" s="10"/>
      <c r="C2081" s="10"/>
      <c r="D2081" s="35" t="str">
        <f aca="false">IF(IF($K$2071=0,"",INDEX(Clients!$D$2:$D$501,$K$2071)&amp;"")="","","À l'attention de "&amp;TRIM(IF($K$2071=0,"",INDEX(Clients!$B$2:$B$501,$K$2071)&amp;"")&amp;" "&amp;IF($K$2071=0,"",INDEX(Clients!$C$2:$C$501,$K$2071)&amp;"")&amp;" "&amp;IF($K$2071=0,"",INDEX(Clients!$D$2:$D$501,$K$2071)&amp;"")))</f>
        <v/>
      </c>
      <c r="E2081" s="35"/>
      <c r="F2081" s="35"/>
      <c r="J2081" s="25"/>
      <c r="K2081" s="25"/>
      <c r="L2081" s="25"/>
      <c r="M2081" s="25"/>
      <c r="N2081" s="25"/>
      <c r="O2081" s="25"/>
    </row>
    <row r="2082" customFormat="false" ht="15" hidden="false" customHeight="true" outlineLevel="0" collapsed="false">
      <c r="B2082" s="10"/>
      <c r="C2082" s="10"/>
      <c r="D2082" s="35" t="str">
        <f aca="false">IF($K$2071=0,"",INDEX(Clients!$F$2:$F$501,$K$2071)&amp;"")</f>
        <v/>
      </c>
      <c r="E2082" s="35"/>
      <c r="F2082" s="35"/>
      <c r="J2082" s="25"/>
      <c r="K2082" s="25"/>
      <c r="L2082" s="25"/>
      <c r="M2082" s="25"/>
      <c r="N2082" s="25"/>
      <c r="O2082" s="25"/>
    </row>
    <row r="2083" customFormat="false" ht="15" hidden="false" customHeight="true" outlineLevel="0" collapsed="false">
      <c r="B2083" s="10"/>
      <c r="C2083" s="10"/>
      <c r="D2083" s="35" t="str">
        <f aca="false">IF(IF($K$2071=0,"",INDEX(Clients!$G$2:$G$501,$K$2071)&amp;"")="",TRIM(IF($K$2071=0,"",INDEX(Clients!$H$2:$H$501,$K$2071)&amp;"")&amp;" "&amp;UPPER(IF($K$2071=0,"",INDEX(Clients!$I$2:$I$501,$K$2071)&amp;""))),IF($K$2071=0,"",INDEX(Clients!$G$2:$G$501,$K$2071)&amp;""))</f>
        <v/>
      </c>
      <c r="E2083" s="35"/>
      <c r="F2083" s="35"/>
      <c r="J2083" s="25"/>
      <c r="K2083" s="25"/>
      <c r="L2083" s="25"/>
      <c r="M2083" s="25"/>
      <c r="N2083" s="25"/>
      <c r="O2083" s="25"/>
    </row>
    <row r="2084" customFormat="false" ht="15" hidden="false" customHeight="true" outlineLevel="0" collapsed="false">
      <c r="B2084" s="10"/>
      <c r="C2084" s="10"/>
      <c r="D2084" s="35" t="str">
        <f aca="false">IF(IF($K$2071=0,"",INDEX(Clients!$G$2:$G$501,$K$2071)&amp;"")="","",TRIM(IF($K$2071=0,"",INDEX(Clients!$H$2:$H$501,$K$2071)&amp;"")&amp;" "&amp;UPPER(IF($K$2071=0,"",INDEX(Clients!$I$2:$I$501,$K$2071)&amp;""))))</f>
        <v/>
      </c>
      <c r="E2084" s="35"/>
      <c r="F2084" s="35"/>
      <c r="J2084" s="25"/>
      <c r="K2084" s="25"/>
      <c r="L2084" s="25"/>
      <c r="M2084" s="25"/>
      <c r="N2084" s="25"/>
      <c r="O2084" s="25"/>
    </row>
    <row r="2085" customFormat="false" ht="25.5" hidden="false" customHeight="true" outlineLevel="0" collapsed="false">
      <c r="B2085" s="10"/>
      <c r="C2085" s="10"/>
      <c r="D2085" s="10"/>
      <c r="E2085" s="10"/>
      <c r="F2085" s="10"/>
      <c r="J2085" s="25"/>
      <c r="K2085" s="25"/>
      <c r="L2085" s="25"/>
      <c r="M2085" s="25"/>
      <c r="N2085" s="25"/>
      <c r="O2085" s="25"/>
    </row>
    <row r="2086" customFormat="false" ht="15" hidden="false" customHeight="false" outlineLevel="0" collapsed="false">
      <c r="B2086" s="10"/>
      <c r="C2086" s="10"/>
      <c r="D2086" s="36" t="str">
        <f aca="false">Cab_Ville&amp;", le "&amp;DAY(Date_Courrier)&amp;IF(DAY(Date_Courrier)=1,"er","")&amp;" "&amp;INDEX(Liste_Mois,MONTH(Date_Courrier))&amp;" "&amp;YEAR(Date_Courrier)</f>
        <v>Le Plessis-Bouchard, le 22 septembre 2026</v>
      </c>
      <c r="E2086" s="36"/>
      <c r="F2086" s="36"/>
      <c r="J2086" s="25"/>
      <c r="K2086" s="25"/>
      <c r="L2086" s="25"/>
      <c r="M2086" s="25"/>
      <c r="N2086" s="25"/>
      <c r="O2086" s="25"/>
    </row>
    <row r="2087" customFormat="false" ht="19.5" hidden="false" customHeight="true" outlineLevel="0" collapsed="false">
      <c r="B2087" s="10"/>
      <c r="C2087" s="10"/>
      <c r="D2087" s="10"/>
      <c r="E2087" s="10"/>
      <c r="F2087" s="10"/>
      <c r="J2087" s="25"/>
      <c r="K2087" s="25"/>
      <c r="L2087" s="25"/>
      <c r="M2087" s="25"/>
      <c r="N2087" s="25"/>
      <c r="O2087" s="25"/>
    </row>
    <row r="2088" customFormat="false" ht="15" hidden="false" customHeight="false" outlineLevel="0" collapsed="false">
      <c r="B2088" s="34" t="str">
        <f aca="false">SUBSTITUTE(SUBSTITUTE(SUBSTITUTE(SUBSTITUTE(SUBSTITUTE(Txt_Objet,"{cabinet}",Cab_Nom),"{societe}",IF($K$2071=0,"",INDEX(Clients!$E$2:$E$501,$K$2071)&amp;"")),"{date_effet}",$K$2073),"{hausse}",$K$2074),"{civilite}",$K$2072)</f>
        <v>Objet : révision de nos honoraires au 1er janvier 2027</v>
      </c>
      <c r="C2088" s="34"/>
      <c r="D2088" s="34"/>
      <c r="E2088" s="34"/>
      <c r="F2088" s="34"/>
      <c r="J2088" s="25"/>
      <c r="K2088" s="25"/>
      <c r="L2088" s="25"/>
      <c r="M2088" s="25"/>
      <c r="N2088" s="25"/>
      <c r="O2088" s="25"/>
    </row>
    <row r="2089" customFormat="false" ht="13.5" hidden="false" customHeight="true" outlineLevel="0" collapsed="false">
      <c r="B2089" s="10"/>
      <c r="C2089" s="10"/>
      <c r="D2089" s="10"/>
      <c r="E2089" s="10"/>
      <c r="F2089" s="10"/>
      <c r="J2089" s="25"/>
      <c r="K2089" s="25"/>
      <c r="L2089" s="25"/>
      <c r="M2089" s="25"/>
      <c r="N2089" s="25"/>
      <c r="O2089" s="25"/>
    </row>
    <row r="2090" customFormat="false" ht="15" hidden="false" customHeight="false" outlineLevel="0" collapsed="false">
      <c r="B2090" s="10" t="str">
        <f aca="false">$K$2072&amp;","</f>
        <v>Madame, Monsieur,</v>
      </c>
      <c r="C2090" s="10"/>
      <c r="D2090" s="10"/>
      <c r="E2090" s="10"/>
      <c r="F2090" s="10"/>
      <c r="J2090" s="25"/>
      <c r="K2090" s="25"/>
      <c r="L2090" s="25"/>
      <c r="M2090" s="25"/>
      <c r="N2090" s="25"/>
      <c r="O2090" s="25"/>
    </row>
    <row r="2091" customFormat="false" ht="6" hidden="false" customHeight="true" outlineLevel="0" collapsed="false">
      <c r="B2091" s="10"/>
      <c r="C2091" s="10"/>
      <c r="D2091" s="10"/>
      <c r="E2091" s="10"/>
      <c r="F2091" s="10"/>
      <c r="J2091" s="25"/>
      <c r="K2091" s="25"/>
      <c r="L2091" s="25"/>
      <c r="M2091" s="25"/>
      <c r="N2091" s="25"/>
      <c r="O2091" s="25"/>
    </row>
    <row r="2092" customFormat="false" ht="36.75" hidden="false" customHeight="true" outlineLevel="0" collapsed="false">
      <c r="B2092" s="37" t="str">
        <f aca="false">SUBSTITUTE(SUBSTITUTE(SUBSTITUTE(SUBSTITUTE(SUBSTITUTE(Txt_P1,"{cabinet}",Cab_Nom),"{societe}",IF($K$2071=0,"",INDEX(Clients!$E$2:$E$501,$K$2071)&amp;"")),"{date_effet}",$K$2073),"{hausse}",$K$2074),"{civilite}",$K$2072)</f>
        <v>Nous tenons tout d'abord à vous remercier pour la confiance que vous accordez à ALTHO EXPERTISE. Comme chaque année, et conformément aux dispositions de votre lettre de mission, nous procédons à la révision de nos honoraires.</v>
      </c>
      <c r="C2092" s="37"/>
      <c r="D2092" s="37"/>
      <c r="E2092" s="37"/>
      <c r="F2092" s="37"/>
      <c r="J2092" s="25"/>
      <c r="K2092" s="25"/>
      <c r="L2092" s="25"/>
      <c r="M2092" s="25"/>
      <c r="N2092" s="25"/>
      <c r="O2092" s="25"/>
    </row>
    <row r="2093" customFormat="false" ht="49.5" hidden="false" customHeight="true" outlineLevel="0" collapsed="false">
      <c r="B2093" s="37" t="str">
        <f aca="false">SUBSTITUTE(SUBSTITUTE(SUBSTITUTE(SUBSTITUTE(SUBSTITUTE(Txt_P2,"{cabinet}",Cab_Nom),"{societe}",IF($K$2071=0,"",INDEX(Clients!$E$2:$E$501,$K$2071)&amp;"")),"{date_effet}",$K$2073),"{hausse}",$K$2074),"{civilite}",$K$2072)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093" s="37"/>
      <c r="D2093" s="37"/>
      <c r="E2093" s="37"/>
      <c r="F2093" s="37"/>
      <c r="J2093" s="25"/>
      <c r="K2093" s="25"/>
      <c r="L2093" s="25"/>
      <c r="M2093" s="25"/>
      <c r="N2093" s="25"/>
      <c r="O2093" s="25"/>
    </row>
    <row r="2094" customFormat="false" ht="63" hidden="false" customHeight="true" outlineLevel="0" collapsed="false">
      <c r="B2094" s="37" t="str">
        <f aca="false">SUBSTITUTE(SUBSTITUTE(SUBSTITUTE(SUBSTITUTE(SUBSTITUTE(Txt_P3,"{cabinet}",Cab_Nom),"{societe}",IF($K$2071=0,"",INDEX(Clients!$E$2:$E$501,$K$2071)&amp;"")),"{date_effet}",$K$2073),"{hausse}",$K$2074),"{civilite}",$K$2072)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094" s="37"/>
      <c r="D2094" s="37"/>
      <c r="E2094" s="37"/>
      <c r="F2094" s="37"/>
      <c r="J2094" s="25"/>
      <c r="K2094" s="25"/>
      <c r="L2094" s="25"/>
      <c r="M2094" s="25"/>
      <c r="N2094" s="25"/>
      <c r="O2094" s="25"/>
    </row>
    <row r="2095" customFormat="false" ht="24" hidden="false" customHeight="true" outlineLevel="0" collapsed="false">
      <c r="B2095" s="37" t="str">
        <f aca="false">SUBSTITUTE(SUBSTITUTE(SUBSTITUTE(SUBSTITUTE(SUBSTITUTE(Txt_P4,"{cabinet}",Cab_Nom),"{societe}",IF($K$2071=0,"",INDEX(Clients!$E$2:$E$501,$K$2071)&amp;"")),"{date_effet}",$K$2073),"{hausse}",$K$2074),"{civilite}",$K$2072)</f>
        <v>À compter du 1er janvier 2027, vos honoraires annuels hors taxes évolueront ainsi (évolution globale : ) :</v>
      </c>
      <c r="C2095" s="37"/>
      <c r="D2095" s="37"/>
      <c r="E2095" s="37"/>
      <c r="F2095" s="37"/>
      <c r="J2095" s="25"/>
      <c r="K2095" s="25"/>
      <c r="L2095" s="25"/>
      <c r="M2095" s="25"/>
      <c r="N2095" s="25"/>
      <c r="O2095" s="25"/>
    </row>
    <row r="2096" customFormat="false" ht="3.75" hidden="false" customHeight="true" outlineLevel="0" collapsed="false">
      <c r="B2096" s="10"/>
      <c r="C2096" s="10"/>
      <c r="D2096" s="10"/>
      <c r="E2096" s="10"/>
      <c r="F2096" s="10"/>
      <c r="J2096" s="25"/>
      <c r="K2096" s="25"/>
      <c r="L2096" s="25"/>
      <c r="M2096" s="25"/>
      <c r="N2096" s="25"/>
      <c r="O2096" s="25"/>
    </row>
    <row r="2097" customFormat="false" ht="18" hidden="false" customHeight="true" outlineLevel="0" collapsed="false">
      <c r="B2097" s="38" t="s">
        <v>148</v>
      </c>
      <c r="C2097" s="39" t="s">
        <v>149</v>
      </c>
      <c r="D2097" s="39" t="s">
        <v>150</v>
      </c>
      <c r="E2097" s="39" t="s">
        <v>151</v>
      </c>
      <c r="F2097" s="39" t="s">
        <v>109</v>
      </c>
      <c r="J2097" s="25" t="s">
        <v>152</v>
      </c>
      <c r="K2097" s="25" t="s">
        <v>153</v>
      </c>
      <c r="L2097" s="25" t="s">
        <v>154</v>
      </c>
      <c r="M2097" s="25" t="s">
        <v>155</v>
      </c>
      <c r="N2097" s="25" t="s">
        <v>156</v>
      </c>
      <c r="O2097" s="25" t="s">
        <v>157</v>
      </c>
    </row>
    <row r="2098" customFormat="false" ht="16.5" hidden="false" customHeight="true" outlineLevel="0" collapsed="false">
      <c r="B2098" s="40" t="str">
        <f aca="false">IFERROR(INDEX($J$2098:$J$2101,MATCH($O2098,$N$2098:$N$2101,0)),"")</f>
        <v/>
      </c>
      <c r="C2098" s="41" t="str">
        <f aca="false">IFERROR(INDEX($K$2098:$K$2101,MATCH($O2098,$N$2098:$N$2101,0)),"")</f>
        <v/>
      </c>
      <c r="D2098" s="42" t="str">
        <f aca="false">IF(OR(E2098="",N(C2098)=0),"",E2098/C2098-1)</f>
        <v/>
      </c>
      <c r="E2098" s="41" t="str">
        <f aca="false">IFERROR(INDEX($L$2098:$L$2101,MATCH($O2098,$N$2098:$N$2101,0)),"")</f>
        <v/>
      </c>
      <c r="F2098" s="41" t="str">
        <f aca="false">IF(E2098="","",E2098-C2098)</f>
        <v/>
      </c>
      <c r="J2098" s="25" t="str">
        <f aca="false">Lib_Compta</f>
        <v>Mission comptable (tenue, révision, bilan, liasse fiscale)</v>
      </c>
      <c r="K2098" s="25" t="n">
        <f aca="false">IF($K$2071=0,0,N(INDEX(Clients!$K$2:$K$501,$K$2071)))</f>
        <v>0</v>
      </c>
      <c r="L2098" s="25" t="n">
        <f aca="false">IF($K$2071=0,0,N(INDEX(Clients!$P$2:$P$501,$K$2071)))</f>
        <v>0</v>
      </c>
      <c r="M2098" s="25" t="n">
        <f aca="false">IF(OR(K2098&lt;&gt;0,L2098&lt;&gt;0),1,0)</f>
        <v>0</v>
      </c>
      <c r="N2098" s="25" t="str">
        <f aca="false">IF(M2098=1,SUM($M$2098:M2098),"")</f>
        <v/>
      </c>
      <c r="O2098" s="25" t="n">
        <v>1</v>
      </c>
    </row>
    <row r="2099" customFormat="false" ht="16.5" hidden="false" customHeight="true" outlineLevel="0" collapsed="false">
      <c r="B2099" s="40" t="str">
        <f aca="false">IFERROR(INDEX($J$2098:$J$2101,MATCH($O2099,$N$2098:$N$2101,0)),"")</f>
        <v/>
      </c>
      <c r="C2099" s="41" t="str">
        <f aca="false">IFERROR(INDEX($K$2098:$K$2101,MATCH($O2099,$N$2098:$N$2101,0)),"")</f>
        <v/>
      </c>
      <c r="D2099" s="42" t="str">
        <f aca="false">IF(OR(E2099="",N(C2099)=0),"",E2099/C2099-1)</f>
        <v/>
      </c>
      <c r="E2099" s="41" t="str">
        <f aca="false">IFERROR(INDEX($L$2098:$L$2101,MATCH($O2099,$N$2098:$N$2101,0)),"")</f>
        <v/>
      </c>
      <c r="F2099" s="41" t="str">
        <f aca="false">IF(E2099="","",E2099-C2099)</f>
        <v/>
      </c>
      <c r="J2099" s="25" t="str">
        <f aca="false">Lib_Paye</f>
        <v>Mission sociale (bulletins de paie, DSN, déclarations sociales)</v>
      </c>
      <c r="K2099" s="25" t="n">
        <f aca="false">IF($K$2071=0,0,N(INDEX(Clients!$L$2:$L$501,$K$2071)))</f>
        <v>0</v>
      </c>
      <c r="L2099" s="25" t="n">
        <f aca="false">IF($K$2071=0,0,N(INDEX(Clients!$Q$2:$Q$501,$K$2071)))</f>
        <v>0</v>
      </c>
      <c r="M2099" s="25" t="n">
        <f aca="false">IF(OR(K2099&lt;&gt;0,L2099&lt;&gt;0),1,0)</f>
        <v>0</v>
      </c>
      <c r="N2099" s="25" t="str">
        <f aca="false">IF(M2099=1,SUM($M$2098:M2099),"")</f>
        <v/>
      </c>
      <c r="O2099" s="25" t="n">
        <v>2</v>
      </c>
    </row>
    <row r="2100" customFormat="false" ht="16.5" hidden="false" customHeight="true" outlineLevel="0" collapsed="false">
      <c r="B2100" s="40" t="str">
        <f aca="false">IFERROR(INDEX($J$2098:$J$2101,MATCH($O2100,$N$2098:$N$2101,0)),"")</f>
        <v/>
      </c>
      <c r="C2100" s="41" t="str">
        <f aca="false">IFERROR(INDEX($K$2098:$K$2101,MATCH($O2100,$N$2098:$N$2101,0)),"")</f>
        <v/>
      </c>
      <c r="D2100" s="42" t="str">
        <f aca="false">IF(OR(E2100="",N(C2100)=0),"",E2100/C2100-1)</f>
        <v/>
      </c>
      <c r="E2100" s="41" t="str">
        <f aca="false">IFERROR(INDEX($L$2098:$L$2101,MATCH($O2100,$N$2098:$N$2101,0)),"")</f>
        <v/>
      </c>
      <c r="F2100" s="41" t="str">
        <f aca="false">IF(E2100="","",E2100-C2100)</f>
        <v/>
      </c>
      <c r="J2100" s="25" t="str">
        <f aca="false">Lib_Jur</f>
        <v>Mission juridique (approbation des comptes, secrétariat juridique)</v>
      </c>
      <c r="K2100" s="25" t="n">
        <f aca="false">IF($K$2071=0,0,N(INDEX(Clients!$M$2:$M$501,$K$2071)))</f>
        <v>0</v>
      </c>
      <c r="L2100" s="25" t="n">
        <f aca="false">IF($K$2071=0,0,N(INDEX(Clients!$R$2:$R$501,$K$2071)))</f>
        <v>0</v>
      </c>
      <c r="M2100" s="25" t="n">
        <f aca="false">IF(OR(K2100&lt;&gt;0,L2100&lt;&gt;0),1,0)</f>
        <v>0</v>
      </c>
      <c r="N2100" s="25" t="str">
        <f aca="false">IF(M2100=1,SUM($M$2098:M2100),"")</f>
        <v/>
      </c>
      <c r="O2100" s="25" t="n">
        <v>3</v>
      </c>
    </row>
    <row r="2101" customFormat="false" ht="16.5" hidden="false" customHeight="true" outlineLevel="0" collapsed="false">
      <c r="B2101" s="40" t="str">
        <f aca="false">IFERROR(INDEX($J$2098:$J$2101,MATCH($O2101,$N$2098:$N$2101,0)),"")</f>
        <v/>
      </c>
      <c r="C2101" s="41" t="str">
        <f aca="false">IFERROR(INDEX($K$2098:$K$2101,MATCH($O2101,$N$2098:$N$2101,0)),"")</f>
        <v/>
      </c>
      <c r="D2101" s="42" t="str">
        <f aca="false">IF(OR(E2101="",N(C2101)=0),"",E2101/C2101-1)</f>
        <v/>
      </c>
      <c r="E2101" s="41" t="str">
        <f aca="false">IFERROR(INDEX($L$2098:$L$2101,MATCH($O2101,$N$2098:$N$2101,0)),"")</f>
        <v/>
      </c>
      <c r="F2101" s="41" t="str">
        <f aca="false">IF(E2101="","",E2101-C2101)</f>
        <v/>
      </c>
      <c r="J2101" s="25" t="str">
        <f aca="false">Lib_PA</f>
        <v>Plateforme agréée – facturation électronique</v>
      </c>
      <c r="K2101" s="25" t="n">
        <f aca="false">IF($K$2071=0,0,N(INDEX(Clients!$N$2:$N$501,$K$2071)))</f>
        <v>0</v>
      </c>
      <c r="L2101" s="25" t="n">
        <f aca="false">IF($K$2071=0,0,N(INDEX(Clients!$S$2:$S$501,$K$2071)))</f>
        <v>0</v>
      </c>
      <c r="M2101" s="25" t="n">
        <f aca="false">IF(OR(K2101&lt;&gt;0,L2101&lt;&gt;0),1,0)</f>
        <v>0</v>
      </c>
      <c r="N2101" s="25" t="str">
        <f aca="false">IF(M2101=1,SUM($M$2098:M2101),"")</f>
        <v/>
      </c>
      <c r="O2101" s="25" t="n">
        <v>4</v>
      </c>
    </row>
    <row r="2102" customFormat="false" ht="18" hidden="false" customHeight="true" outlineLevel="0" collapsed="false">
      <c r="B2102" s="43" t="s">
        <v>158</v>
      </c>
      <c r="C2102" s="44" t="n">
        <f aca="false">SUM(K2098:K2101)</f>
        <v>0</v>
      </c>
      <c r="D2102" s="45" t="str">
        <f aca="false">IF(N(C2102)=0,"",E2102/C2102-1)</f>
        <v/>
      </c>
      <c r="E2102" s="44" t="n">
        <f aca="false">SUM(L2098:L2101)</f>
        <v>0</v>
      </c>
      <c r="F2102" s="44" t="n">
        <f aca="false">E2102-C2102</f>
        <v>0</v>
      </c>
    </row>
    <row r="2103" customFormat="false" ht="15" hidden="false" customHeight="false" outlineLevel="0" collapsed="false">
      <c r="B2103" s="46" t="str">
        <f aca="false">IF(N(Nb_Mensualites)=0,"","Soit "&amp;FIXED(E2102/Nb_Mensualites,2)&amp;" € HT par échéance ("&amp;Nb_Mensualites&amp;" échéances), "&amp;FIXED(E2102/Nb_Mensualites*(1+Taux_TVA),2)&amp;" € TTC.")</f>
        <v>Soit 0.00 € HT par échéance (12 échéances), 0.00 € TTC.</v>
      </c>
      <c r="C2103" s="46"/>
      <c r="D2103" s="46"/>
      <c r="E2103" s="46"/>
      <c r="F2103" s="46"/>
    </row>
    <row r="2104" customFormat="false" ht="7.5" hidden="false" customHeight="true" outlineLevel="0" collapsed="false">
      <c r="B2104" s="10"/>
      <c r="C2104" s="10"/>
      <c r="D2104" s="10"/>
      <c r="E2104" s="10"/>
      <c r="F2104" s="10"/>
    </row>
    <row r="2105" customFormat="false" ht="36.75" hidden="false" customHeight="true" outlineLevel="0" collapsed="false">
      <c r="B2105" s="37" t="str">
        <f aca="false">SUBSTITUTE(SUBSTITUTE(SUBSTITUTE(SUBSTITUTE(SUBSTITUTE(Txt_P5,"{cabinet}",Cab_Nom),"{societe}",IF($K$2071=0,"",INDEX(Clients!$E$2:$E$501,$K$2071)&amp;"")),"{date_effet}",$K$2073),"{hausse}",$K$2074),"{civilite}",$K$2072)</f>
        <v>Les autres conditions de votre lettre de mission demeurent inchangées. Les nouveaux montants seront appliqués automatiquement sur vos prochaines factures et échéances de prélèvement.</v>
      </c>
      <c r="C2105" s="37"/>
      <c r="D2105" s="37"/>
      <c r="E2105" s="37"/>
      <c r="F2105" s="37"/>
    </row>
    <row r="2106" customFormat="false" ht="36.75" hidden="false" customHeight="true" outlineLevel="0" collapsed="false">
      <c r="B2106" s="37" t="str">
        <f aca="false">SUBSTITUTE(SUBSTITUTE(SUBSTITUTE(SUBSTITUTE(SUBSTITUTE(Txt_P6,"{cabinet}",Cab_Nom),"{societe}",IF($K$2071=0,"",INDEX(Clients!$E$2:$E$501,$K$2071)&amp;"")),"{date_effet}",$K$2073),"{hausse}",$K$2074),"{civilite}",$K$2072)</f>
        <v>Votre interlocuteur habituel reste à votre entière disposition pour répondre à vos questions et faire le point sur l'évolution de vos besoins.</v>
      </c>
      <c r="C2106" s="37"/>
      <c r="D2106" s="37"/>
      <c r="E2106" s="37"/>
      <c r="F2106" s="37"/>
    </row>
    <row r="2107" customFormat="false" ht="24" hidden="false" customHeight="true" outlineLevel="0" collapsed="false">
      <c r="B2107" s="37" t="str">
        <f aca="false">SUBSTITUTE(SUBSTITUTE(SUBSTITUTE(SUBSTITUTE(SUBSTITUTE(Txt_Politesse,"{cabinet}",Cab_Nom),"{societe}",IF($K$2071=0,"",INDEX(Clients!$E$2:$E$501,$K$2071)&amp;"")),"{date_effet}",$K$2073),"{hausse}",$K$2074),"{civilite}",$K$2072)</f>
        <v>Nous vous prions d'agréer, Madame, Monsieur, l'expression de nos salutations distinguées.</v>
      </c>
      <c r="C2107" s="37"/>
      <c r="D2107" s="37"/>
      <c r="E2107" s="37"/>
      <c r="F2107" s="37"/>
    </row>
    <row r="2108" customFormat="false" ht="15" hidden="false" customHeight="false" outlineLevel="0" collapsed="false">
      <c r="B2108" s="10"/>
      <c r="C2108" s="10"/>
      <c r="D2108" s="10"/>
      <c r="E2108" s="10"/>
      <c r="F2108" s="10"/>
    </row>
    <row r="2109" customFormat="false" ht="15" hidden="false" customHeight="false" outlineLevel="0" collapsed="false">
      <c r="B2109" s="10"/>
      <c r="C2109" s="10"/>
      <c r="D2109" s="34" t="str">
        <f aca="false">Signataire</f>
        <v>Prénom NOM</v>
      </c>
      <c r="E2109" s="34"/>
      <c r="F2109" s="34"/>
    </row>
    <row r="2110" customFormat="false" ht="15" hidden="false" customHeight="false" outlineLevel="0" collapsed="false">
      <c r="B2110" s="10"/>
      <c r="C2110" s="10"/>
      <c r="D2110" s="47" t="str">
        <f aca="false">Signataire_Titre</f>
        <v>Expert-comptable associé</v>
      </c>
      <c r="E2110" s="47"/>
      <c r="F2110" s="47"/>
    </row>
    <row r="2111" customFormat="false" ht="15.75" hidden="false" customHeight="true" outlineLevel="0" collapsed="false">
      <c r="B2111" s="10"/>
      <c r="C2111" s="10"/>
      <c r="D2111" s="10"/>
      <c r="E2111" s="10"/>
      <c r="F2111" s="10"/>
    </row>
    <row r="2112" customFormat="false" ht="15.75" hidden="false" customHeight="true" outlineLevel="0" collapsed="false">
      <c r="B2112" s="10"/>
      <c r="C2112" s="10"/>
      <c r="D2112" s="10"/>
      <c r="E2112" s="10"/>
      <c r="F2112" s="10"/>
    </row>
    <row r="2113" customFormat="false" ht="15.75" hidden="false" customHeight="true" outlineLevel="0" collapsed="false">
      <c r="B2113" s="10"/>
      <c r="C2113" s="10"/>
      <c r="D2113" s="10"/>
      <c r="E2113" s="10"/>
      <c r="F2113" s="10"/>
    </row>
    <row r="2114" customFormat="false" ht="15.75" hidden="false" customHeight="true" outlineLevel="0" collapsed="false">
      <c r="B2114" s="10"/>
      <c r="C2114" s="10"/>
      <c r="D2114" s="10"/>
      <c r="E2114" s="10"/>
      <c r="F2114" s="10"/>
    </row>
    <row r="2115" customFormat="false" ht="24" hidden="false" customHeight="true" outlineLevel="0" collapsed="false">
      <c r="B2115" s="48" t="str">
        <f aca="false">Cab_Mentions</f>
        <v>ALTHO EXPERTISE · SAS au capital de 10 000 € · RCS Pontoise 919 706 325 · TVA FR62919706325 · Société d'expertise comptable inscrite au Tableau de l'Ordre des experts-comptables de Paris Île-de-France</v>
      </c>
      <c r="C2115" s="48"/>
      <c r="D2115" s="48"/>
      <c r="E2115" s="48"/>
      <c r="F2115" s="48"/>
    </row>
    <row r="2116" customFormat="false" ht="15" hidden="false" customHeight="false" outlineLevel="0" collapsed="false">
      <c r="B2116" s="10"/>
      <c r="C2116" s="10"/>
      <c r="D2116" s="10"/>
      <c r="E2116" s="10"/>
      <c r="F2116" s="10"/>
      <c r="J2116" s="25" t="s">
        <v>142</v>
      </c>
      <c r="K2116" s="25" t="n">
        <f aca="false">IFERROR(MATCH(48,Clients!$Z$2:$Z$501,0),0)</f>
        <v>0</v>
      </c>
      <c r="L2116" s="25"/>
      <c r="M2116" s="25"/>
      <c r="N2116" s="25"/>
      <c r="O2116" s="25"/>
    </row>
    <row r="2117" customFormat="false" ht="21.75" hidden="false" customHeight="true" outlineLevel="0" collapsed="false">
      <c r="B2117" s="26" t="str">
        <f aca="false">Cab_Nom</f>
        <v>ALTHO EXPERTISE</v>
      </c>
      <c r="C2117" s="26"/>
      <c r="D2117" s="10"/>
      <c r="E2117" s="27" t="str">
        <f aca="false">IF($K$2116=0,"","Réf. client : "&amp;INDEX(Clients!$A$2:$A$501,$K$2116))</f>
        <v/>
      </c>
      <c r="F2117" s="27"/>
      <c r="J2117" s="25" t="s">
        <v>144</v>
      </c>
      <c r="K2117" s="25" t="str">
        <f aca="false">IF(IF($K$2116=0,"",INDEX(Clients!$B$2:$B$501,$K$2116)&amp;"")="Mme","Madame",IF(IF($K$2116=0,"",INDEX(Clients!$B$2:$B$501,$K$2116)&amp;"")="M.","Monsieur","Madame, Monsieur"))</f>
        <v>Madame, Monsieur</v>
      </c>
      <c r="L2117" s="25"/>
      <c r="M2117" s="25"/>
      <c r="N2117" s="25"/>
      <c r="O2117" s="25"/>
    </row>
    <row r="2118" customFormat="false" ht="15" hidden="false" customHeight="false" outlineLevel="0" collapsed="false">
      <c r="B2118" s="29" t="str">
        <f aca="false">Cab_Adr1</f>
        <v>141 rue Charles de Gaulle</v>
      </c>
      <c r="C2118" s="29"/>
      <c r="D2118" s="10"/>
      <c r="E2118" s="10"/>
      <c r="F2118" s="10"/>
      <c r="J2118" s="25" t="s">
        <v>145</v>
      </c>
      <c r="K2118" s="25" t="str">
        <f aca="false">DAY(Date_Effet)&amp;IF(DAY(Date_Effet)=1,"er","")&amp;" "&amp;INDEX(Liste_Mois,MONTH(Date_Effet))&amp;" "&amp;YEAR(Date_Effet)</f>
        <v>1er janvier 2027</v>
      </c>
      <c r="L2118" s="25"/>
      <c r="M2118" s="25"/>
      <c r="N2118" s="25"/>
      <c r="O2118" s="25"/>
    </row>
    <row r="2119" customFormat="false" ht="15" hidden="false" customHeight="false" outlineLevel="0" collapsed="false">
      <c r="B2119" s="29" t="str">
        <f aca="false">Cab_CPVille</f>
        <v>95130 LE PLESSIS-BOUCHARD</v>
      </c>
      <c r="C2119" s="29"/>
      <c r="D2119" s="10"/>
      <c r="E2119" s="10"/>
      <c r="F2119" s="10"/>
      <c r="J2119" s="25" t="s">
        <v>146</v>
      </c>
      <c r="K2119" s="25" t="str">
        <f aca="false">IF(SUM($K$2143:$K$2146)=0,"",FIXED((SUM($L$2143:$L$2146)/SUM($K$2143:$K$2146)-1)*100,1)&amp;" %")</f>
        <v/>
      </c>
      <c r="L2119" s="25"/>
      <c r="M2119" s="25"/>
      <c r="N2119" s="25"/>
      <c r="O2119" s="25"/>
    </row>
    <row r="2120" customFormat="false" ht="15" hidden="false" customHeight="false" outlineLevel="0" collapsed="false">
      <c r="B2120" s="29" t="str">
        <f aca="false">Cab_Contact</f>
        <v>Tél. 01 34 14 53 45  ·  altho@altho-experts.com  ·  altho-experts.com</v>
      </c>
      <c r="C2120" s="29"/>
      <c r="D2120" s="10"/>
      <c r="E2120" s="10"/>
      <c r="F2120" s="10"/>
      <c r="J2120" s="25"/>
      <c r="K2120" s="25"/>
      <c r="L2120" s="25"/>
      <c r="M2120" s="25"/>
      <c r="N2120" s="25"/>
      <c r="O2120" s="25"/>
    </row>
    <row r="2121" customFormat="false" ht="6" hidden="false" customHeight="true" outlineLevel="0" collapsed="false">
      <c r="B2121" s="32"/>
      <c r="C2121" s="32"/>
      <c r="D2121" s="32"/>
      <c r="E2121" s="32"/>
      <c r="F2121" s="32"/>
      <c r="J2121" s="25"/>
      <c r="K2121" s="25"/>
      <c r="L2121" s="25"/>
      <c r="M2121" s="25"/>
      <c r="N2121" s="25"/>
      <c r="O2121" s="25"/>
    </row>
    <row r="2122" customFormat="false" ht="13.5" hidden="false" customHeight="true" outlineLevel="0" collapsed="false">
      <c r="B2122" s="10"/>
      <c r="C2122" s="10"/>
      <c r="D2122" s="10"/>
      <c r="E2122" s="10"/>
      <c r="F2122" s="10"/>
      <c r="J2122" s="25"/>
      <c r="K2122" s="25"/>
      <c r="L2122" s="25"/>
      <c r="M2122" s="25"/>
      <c r="N2122" s="25"/>
      <c r="O2122" s="25"/>
    </row>
    <row r="2123" customFormat="false" ht="13.5" hidden="false" customHeight="true" outlineLevel="0" collapsed="false">
      <c r="B2123" s="10"/>
      <c r="C2123" s="10"/>
      <c r="D2123" s="10"/>
      <c r="E2123" s="10"/>
      <c r="F2123" s="10"/>
      <c r="J2123" s="25"/>
      <c r="K2123" s="25"/>
      <c r="L2123" s="25"/>
      <c r="M2123" s="25"/>
      <c r="N2123" s="25"/>
      <c r="O2123" s="25"/>
    </row>
    <row r="2124" customFormat="false" ht="13.5" hidden="false" customHeight="true" outlineLevel="0" collapsed="false">
      <c r="B2124" s="10"/>
      <c r="C2124" s="10"/>
      <c r="D2124" s="10"/>
      <c r="E2124" s="10"/>
      <c r="F2124" s="10"/>
      <c r="J2124" s="25"/>
      <c r="K2124" s="25"/>
      <c r="L2124" s="25"/>
      <c r="M2124" s="25"/>
      <c r="N2124" s="25"/>
      <c r="O2124" s="25"/>
    </row>
    <row r="2125" customFormat="false" ht="15" hidden="false" customHeight="true" outlineLevel="0" collapsed="false">
      <c r="B2125" s="10"/>
      <c r="C2125" s="10"/>
      <c r="D2125" s="34" t="str">
        <f aca="false">IF($K$2116=0,"",INDEX(Clients!$E$2:$E$501,$K$2116)&amp;"")</f>
        <v/>
      </c>
      <c r="E2125" s="34"/>
      <c r="F2125" s="34"/>
      <c r="J2125" s="25"/>
      <c r="K2125" s="25"/>
      <c r="L2125" s="25"/>
      <c r="M2125" s="25"/>
      <c r="N2125" s="25"/>
      <c r="O2125" s="25"/>
    </row>
    <row r="2126" customFormat="false" ht="15" hidden="false" customHeight="true" outlineLevel="0" collapsed="false">
      <c r="B2126" s="10"/>
      <c r="C2126" s="10"/>
      <c r="D2126" s="35" t="str">
        <f aca="false">IF(IF($K$2116=0,"",INDEX(Clients!$D$2:$D$501,$K$2116)&amp;"")="","","À l'attention de "&amp;TRIM(IF($K$2116=0,"",INDEX(Clients!$B$2:$B$501,$K$2116)&amp;"")&amp;" "&amp;IF($K$2116=0,"",INDEX(Clients!$C$2:$C$501,$K$2116)&amp;"")&amp;" "&amp;IF($K$2116=0,"",INDEX(Clients!$D$2:$D$501,$K$2116)&amp;"")))</f>
        <v/>
      </c>
      <c r="E2126" s="35"/>
      <c r="F2126" s="35"/>
      <c r="J2126" s="25"/>
      <c r="K2126" s="25"/>
      <c r="L2126" s="25"/>
      <c r="M2126" s="25"/>
      <c r="N2126" s="25"/>
      <c r="O2126" s="25"/>
    </row>
    <row r="2127" customFormat="false" ht="15" hidden="false" customHeight="true" outlineLevel="0" collapsed="false">
      <c r="B2127" s="10"/>
      <c r="C2127" s="10"/>
      <c r="D2127" s="35" t="str">
        <f aca="false">IF($K$2116=0,"",INDEX(Clients!$F$2:$F$501,$K$2116)&amp;"")</f>
        <v/>
      </c>
      <c r="E2127" s="35"/>
      <c r="F2127" s="35"/>
      <c r="J2127" s="25"/>
      <c r="K2127" s="25"/>
      <c r="L2127" s="25"/>
      <c r="M2127" s="25"/>
      <c r="N2127" s="25"/>
      <c r="O2127" s="25"/>
    </row>
    <row r="2128" customFormat="false" ht="15" hidden="false" customHeight="true" outlineLevel="0" collapsed="false">
      <c r="B2128" s="10"/>
      <c r="C2128" s="10"/>
      <c r="D2128" s="35" t="str">
        <f aca="false">IF(IF($K$2116=0,"",INDEX(Clients!$G$2:$G$501,$K$2116)&amp;"")="",TRIM(IF($K$2116=0,"",INDEX(Clients!$H$2:$H$501,$K$2116)&amp;"")&amp;" "&amp;UPPER(IF($K$2116=0,"",INDEX(Clients!$I$2:$I$501,$K$2116)&amp;""))),IF($K$2116=0,"",INDEX(Clients!$G$2:$G$501,$K$2116)&amp;""))</f>
        <v/>
      </c>
      <c r="E2128" s="35"/>
      <c r="F2128" s="35"/>
      <c r="J2128" s="25"/>
      <c r="K2128" s="25"/>
      <c r="L2128" s="25"/>
      <c r="M2128" s="25"/>
      <c r="N2128" s="25"/>
      <c r="O2128" s="25"/>
    </row>
    <row r="2129" customFormat="false" ht="15" hidden="false" customHeight="true" outlineLevel="0" collapsed="false">
      <c r="B2129" s="10"/>
      <c r="C2129" s="10"/>
      <c r="D2129" s="35" t="str">
        <f aca="false">IF(IF($K$2116=0,"",INDEX(Clients!$G$2:$G$501,$K$2116)&amp;"")="","",TRIM(IF($K$2116=0,"",INDEX(Clients!$H$2:$H$501,$K$2116)&amp;"")&amp;" "&amp;UPPER(IF($K$2116=0,"",INDEX(Clients!$I$2:$I$501,$K$2116)&amp;""))))</f>
        <v/>
      </c>
      <c r="E2129" s="35"/>
      <c r="F2129" s="35"/>
      <c r="J2129" s="25"/>
      <c r="K2129" s="25"/>
      <c r="L2129" s="25"/>
      <c r="M2129" s="25"/>
      <c r="N2129" s="25"/>
      <c r="O2129" s="25"/>
    </row>
    <row r="2130" customFormat="false" ht="25.5" hidden="false" customHeight="true" outlineLevel="0" collapsed="false">
      <c r="B2130" s="10"/>
      <c r="C2130" s="10"/>
      <c r="D2130" s="10"/>
      <c r="E2130" s="10"/>
      <c r="F2130" s="10"/>
      <c r="J2130" s="25"/>
      <c r="K2130" s="25"/>
      <c r="L2130" s="25"/>
      <c r="M2130" s="25"/>
      <c r="N2130" s="25"/>
      <c r="O2130" s="25"/>
    </row>
    <row r="2131" customFormat="false" ht="15" hidden="false" customHeight="false" outlineLevel="0" collapsed="false">
      <c r="B2131" s="10"/>
      <c r="C2131" s="10"/>
      <c r="D2131" s="36" t="str">
        <f aca="false">Cab_Ville&amp;", le "&amp;DAY(Date_Courrier)&amp;IF(DAY(Date_Courrier)=1,"er","")&amp;" "&amp;INDEX(Liste_Mois,MONTH(Date_Courrier))&amp;" "&amp;YEAR(Date_Courrier)</f>
        <v>Le Plessis-Bouchard, le 22 septembre 2026</v>
      </c>
      <c r="E2131" s="36"/>
      <c r="F2131" s="36"/>
      <c r="J2131" s="25"/>
      <c r="K2131" s="25"/>
      <c r="L2131" s="25"/>
      <c r="M2131" s="25"/>
      <c r="N2131" s="25"/>
      <c r="O2131" s="25"/>
    </row>
    <row r="2132" customFormat="false" ht="19.5" hidden="false" customHeight="true" outlineLevel="0" collapsed="false">
      <c r="B2132" s="10"/>
      <c r="C2132" s="10"/>
      <c r="D2132" s="10"/>
      <c r="E2132" s="10"/>
      <c r="F2132" s="10"/>
      <c r="J2132" s="25"/>
      <c r="K2132" s="25"/>
      <c r="L2132" s="25"/>
      <c r="M2132" s="25"/>
      <c r="N2132" s="25"/>
      <c r="O2132" s="25"/>
    </row>
    <row r="2133" customFormat="false" ht="15" hidden="false" customHeight="false" outlineLevel="0" collapsed="false">
      <c r="B2133" s="34" t="str">
        <f aca="false">SUBSTITUTE(SUBSTITUTE(SUBSTITUTE(SUBSTITUTE(SUBSTITUTE(Txt_Objet,"{cabinet}",Cab_Nom),"{societe}",IF($K$2116=0,"",INDEX(Clients!$E$2:$E$501,$K$2116)&amp;"")),"{date_effet}",$K$2118),"{hausse}",$K$2119),"{civilite}",$K$2117)</f>
        <v>Objet : révision de nos honoraires au 1er janvier 2027</v>
      </c>
      <c r="C2133" s="34"/>
      <c r="D2133" s="34"/>
      <c r="E2133" s="34"/>
      <c r="F2133" s="34"/>
      <c r="J2133" s="25"/>
      <c r="K2133" s="25"/>
      <c r="L2133" s="25"/>
      <c r="M2133" s="25"/>
      <c r="N2133" s="25"/>
      <c r="O2133" s="25"/>
    </row>
    <row r="2134" customFormat="false" ht="13.5" hidden="false" customHeight="true" outlineLevel="0" collapsed="false">
      <c r="B2134" s="10"/>
      <c r="C2134" s="10"/>
      <c r="D2134" s="10"/>
      <c r="E2134" s="10"/>
      <c r="F2134" s="10"/>
      <c r="J2134" s="25"/>
      <c r="K2134" s="25"/>
      <c r="L2134" s="25"/>
      <c r="M2134" s="25"/>
      <c r="N2134" s="25"/>
      <c r="O2134" s="25"/>
    </row>
    <row r="2135" customFormat="false" ht="15" hidden="false" customHeight="false" outlineLevel="0" collapsed="false">
      <c r="B2135" s="10" t="str">
        <f aca="false">$K$2117&amp;","</f>
        <v>Madame, Monsieur,</v>
      </c>
      <c r="C2135" s="10"/>
      <c r="D2135" s="10"/>
      <c r="E2135" s="10"/>
      <c r="F2135" s="10"/>
      <c r="J2135" s="25"/>
      <c r="K2135" s="25"/>
      <c r="L2135" s="25"/>
      <c r="M2135" s="25"/>
      <c r="N2135" s="25"/>
      <c r="O2135" s="25"/>
    </row>
    <row r="2136" customFormat="false" ht="6" hidden="false" customHeight="true" outlineLevel="0" collapsed="false">
      <c r="B2136" s="10"/>
      <c r="C2136" s="10"/>
      <c r="D2136" s="10"/>
      <c r="E2136" s="10"/>
      <c r="F2136" s="10"/>
      <c r="J2136" s="25"/>
      <c r="K2136" s="25"/>
      <c r="L2136" s="25"/>
      <c r="M2136" s="25"/>
      <c r="N2136" s="25"/>
      <c r="O2136" s="25"/>
    </row>
    <row r="2137" customFormat="false" ht="36.75" hidden="false" customHeight="true" outlineLevel="0" collapsed="false">
      <c r="B2137" s="37" t="str">
        <f aca="false">SUBSTITUTE(SUBSTITUTE(SUBSTITUTE(SUBSTITUTE(SUBSTITUTE(Txt_P1,"{cabinet}",Cab_Nom),"{societe}",IF($K$2116=0,"",INDEX(Clients!$E$2:$E$501,$K$2116)&amp;"")),"{date_effet}",$K$2118),"{hausse}",$K$2119),"{civilite}",$K$2117)</f>
        <v>Nous tenons tout d'abord à vous remercier pour la confiance que vous accordez à ALTHO EXPERTISE. Comme chaque année, et conformément aux dispositions de votre lettre de mission, nous procédons à la révision de nos honoraires.</v>
      </c>
      <c r="C2137" s="37"/>
      <c r="D2137" s="37"/>
      <c r="E2137" s="37"/>
      <c r="F2137" s="37"/>
      <c r="J2137" s="25"/>
      <c r="K2137" s="25"/>
      <c r="L2137" s="25"/>
      <c r="M2137" s="25"/>
      <c r="N2137" s="25"/>
      <c r="O2137" s="25"/>
    </row>
    <row r="2138" customFormat="false" ht="49.5" hidden="false" customHeight="true" outlineLevel="0" collapsed="false">
      <c r="B2138" s="37" t="str">
        <f aca="false">SUBSTITUTE(SUBSTITUTE(SUBSTITUTE(SUBSTITUTE(SUBSTITUTE(Txt_P2,"{cabinet}",Cab_Nom),"{societe}",IF($K$2116=0,"",INDEX(Clients!$E$2:$E$501,$K$2116)&amp;"")),"{date_effet}",$K$2118),"{hausse}",$K$2119),"{civilite}",$K$2117)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138" s="37"/>
      <c r="D2138" s="37"/>
      <c r="E2138" s="37"/>
      <c r="F2138" s="37"/>
      <c r="J2138" s="25"/>
      <c r="K2138" s="25"/>
      <c r="L2138" s="25"/>
      <c r="M2138" s="25"/>
      <c r="N2138" s="25"/>
      <c r="O2138" s="25"/>
    </row>
    <row r="2139" customFormat="false" ht="63" hidden="false" customHeight="true" outlineLevel="0" collapsed="false">
      <c r="B2139" s="37" t="str">
        <f aca="false">SUBSTITUTE(SUBSTITUTE(SUBSTITUTE(SUBSTITUTE(SUBSTITUTE(Txt_P3,"{cabinet}",Cab_Nom),"{societe}",IF($K$2116=0,"",INDEX(Clients!$E$2:$E$501,$K$2116)&amp;"")),"{date_effet}",$K$2118),"{hausse}",$K$2119),"{civilite}",$K$2117)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139" s="37"/>
      <c r="D2139" s="37"/>
      <c r="E2139" s="37"/>
      <c r="F2139" s="37"/>
      <c r="J2139" s="25"/>
      <c r="K2139" s="25"/>
      <c r="L2139" s="25"/>
      <c r="M2139" s="25"/>
      <c r="N2139" s="25"/>
      <c r="O2139" s="25"/>
    </row>
    <row r="2140" customFormat="false" ht="24" hidden="false" customHeight="true" outlineLevel="0" collapsed="false">
      <c r="B2140" s="37" t="str">
        <f aca="false">SUBSTITUTE(SUBSTITUTE(SUBSTITUTE(SUBSTITUTE(SUBSTITUTE(Txt_P4,"{cabinet}",Cab_Nom),"{societe}",IF($K$2116=0,"",INDEX(Clients!$E$2:$E$501,$K$2116)&amp;"")),"{date_effet}",$K$2118),"{hausse}",$K$2119),"{civilite}",$K$2117)</f>
        <v>À compter du 1er janvier 2027, vos honoraires annuels hors taxes évolueront ainsi (évolution globale : ) :</v>
      </c>
      <c r="C2140" s="37"/>
      <c r="D2140" s="37"/>
      <c r="E2140" s="37"/>
      <c r="F2140" s="37"/>
      <c r="J2140" s="25"/>
      <c r="K2140" s="25"/>
      <c r="L2140" s="25"/>
      <c r="M2140" s="25"/>
      <c r="N2140" s="25"/>
      <c r="O2140" s="25"/>
    </row>
    <row r="2141" customFormat="false" ht="3.75" hidden="false" customHeight="true" outlineLevel="0" collapsed="false">
      <c r="B2141" s="10"/>
      <c r="C2141" s="10"/>
      <c r="D2141" s="10"/>
      <c r="E2141" s="10"/>
      <c r="F2141" s="10"/>
      <c r="J2141" s="25"/>
      <c r="K2141" s="25"/>
      <c r="L2141" s="25"/>
      <c r="M2141" s="25"/>
      <c r="N2141" s="25"/>
      <c r="O2141" s="25"/>
    </row>
    <row r="2142" customFormat="false" ht="18" hidden="false" customHeight="true" outlineLevel="0" collapsed="false">
      <c r="B2142" s="38" t="s">
        <v>148</v>
      </c>
      <c r="C2142" s="39" t="s">
        <v>149</v>
      </c>
      <c r="D2142" s="39" t="s">
        <v>150</v>
      </c>
      <c r="E2142" s="39" t="s">
        <v>151</v>
      </c>
      <c r="F2142" s="39" t="s">
        <v>109</v>
      </c>
      <c r="J2142" s="25" t="s">
        <v>152</v>
      </c>
      <c r="K2142" s="25" t="s">
        <v>153</v>
      </c>
      <c r="L2142" s="25" t="s">
        <v>154</v>
      </c>
      <c r="M2142" s="25" t="s">
        <v>155</v>
      </c>
      <c r="N2142" s="25" t="s">
        <v>156</v>
      </c>
      <c r="O2142" s="25" t="s">
        <v>157</v>
      </c>
    </row>
    <row r="2143" customFormat="false" ht="16.5" hidden="false" customHeight="true" outlineLevel="0" collapsed="false">
      <c r="B2143" s="40" t="str">
        <f aca="false">IFERROR(INDEX($J$2143:$J$2146,MATCH($O2143,$N$2143:$N$2146,0)),"")</f>
        <v/>
      </c>
      <c r="C2143" s="41" t="str">
        <f aca="false">IFERROR(INDEX($K$2143:$K$2146,MATCH($O2143,$N$2143:$N$2146,0)),"")</f>
        <v/>
      </c>
      <c r="D2143" s="42" t="str">
        <f aca="false">IF(OR(E2143="",N(C2143)=0),"",E2143/C2143-1)</f>
        <v/>
      </c>
      <c r="E2143" s="41" t="str">
        <f aca="false">IFERROR(INDEX($L$2143:$L$2146,MATCH($O2143,$N$2143:$N$2146,0)),"")</f>
        <v/>
      </c>
      <c r="F2143" s="41" t="str">
        <f aca="false">IF(E2143="","",E2143-C2143)</f>
        <v/>
      </c>
      <c r="J2143" s="25" t="str">
        <f aca="false">Lib_Compta</f>
        <v>Mission comptable (tenue, révision, bilan, liasse fiscale)</v>
      </c>
      <c r="K2143" s="25" t="n">
        <f aca="false">IF($K$2116=0,0,N(INDEX(Clients!$K$2:$K$501,$K$2116)))</f>
        <v>0</v>
      </c>
      <c r="L2143" s="25" t="n">
        <f aca="false">IF($K$2116=0,0,N(INDEX(Clients!$P$2:$P$501,$K$2116)))</f>
        <v>0</v>
      </c>
      <c r="M2143" s="25" t="n">
        <f aca="false">IF(OR(K2143&lt;&gt;0,L2143&lt;&gt;0),1,0)</f>
        <v>0</v>
      </c>
      <c r="N2143" s="25" t="str">
        <f aca="false">IF(M2143=1,SUM($M$2143:M2143),"")</f>
        <v/>
      </c>
      <c r="O2143" s="25" t="n">
        <v>1</v>
      </c>
    </row>
    <row r="2144" customFormat="false" ht="16.5" hidden="false" customHeight="true" outlineLevel="0" collapsed="false">
      <c r="B2144" s="40" t="str">
        <f aca="false">IFERROR(INDEX($J$2143:$J$2146,MATCH($O2144,$N$2143:$N$2146,0)),"")</f>
        <v/>
      </c>
      <c r="C2144" s="41" t="str">
        <f aca="false">IFERROR(INDEX($K$2143:$K$2146,MATCH($O2144,$N$2143:$N$2146,0)),"")</f>
        <v/>
      </c>
      <c r="D2144" s="42" t="str">
        <f aca="false">IF(OR(E2144="",N(C2144)=0),"",E2144/C2144-1)</f>
        <v/>
      </c>
      <c r="E2144" s="41" t="str">
        <f aca="false">IFERROR(INDEX($L$2143:$L$2146,MATCH($O2144,$N$2143:$N$2146,0)),"")</f>
        <v/>
      </c>
      <c r="F2144" s="41" t="str">
        <f aca="false">IF(E2144="","",E2144-C2144)</f>
        <v/>
      </c>
      <c r="J2144" s="25" t="str">
        <f aca="false">Lib_Paye</f>
        <v>Mission sociale (bulletins de paie, DSN, déclarations sociales)</v>
      </c>
      <c r="K2144" s="25" t="n">
        <f aca="false">IF($K$2116=0,0,N(INDEX(Clients!$L$2:$L$501,$K$2116)))</f>
        <v>0</v>
      </c>
      <c r="L2144" s="25" t="n">
        <f aca="false">IF($K$2116=0,0,N(INDEX(Clients!$Q$2:$Q$501,$K$2116)))</f>
        <v>0</v>
      </c>
      <c r="M2144" s="25" t="n">
        <f aca="false">IF(OR(K2144&lt;&gt;0,L2144&lt;&gt;0),1,0)</f>
        <v>0</v>
      </c>
      <c r="N2144" s="25" t="str">
        <f aca="false">IF(M2144=1,SUM($M$2143:M2144),"")</f>
        <v/>
      </c>
      <c r="O2144" s="25" t="n">
        <v>2</v>
      </c>
    </row>
    <row r="2145" customFormat="false" ht="16.5" hidden="false" customHeight="true" outlineLevel="0" collapsed="false">
      <c r="B2145" s="40" t="str">
        <f aca="false">IFERROR(INDEX($J$2143:$J$2146,MATCH($O2145,$N$2143:$N$2146,0)),"")</f>
        <v/>
      </c>
      <c r="C2145" s="41" t="str">
        <f aca="false">IFERROR(INDEX($K$2143:$K$2146,MATCH($O2145,$N$2143:$N$2146,0)),"")</f>
        <v/>
      </c>
      <c r="D2145" s="42" t="str">
        <f aca="false">IF(OR(E2145="",N(C2145)=0),"",E2145/C2145-1)</f>
        <v/>
      </c>
      <c r="E2145" s="41" t="str">
        <f aca="false">IFERROR(INDEX($L$2143:$L$2146,MATCH($O2145,$N$2143:$N$2146,0)),"")</f>
        <v/>
      </c>
      <c r="F2145" s="41" t="str">
        <f aca="false">IF(E2145="","",E2145-C2145)</f>
        <v/>
      </c>
      <c r="J2145" s="25" t="str">
        <f aca="false">Lib_Jur</f>
        <v>Mission juridique (approbation des comptes, secrétariat juridique)</v>
      </c>
      <c r="K2145" s="25" t="n">
        <f aca="false">IF($K$2116=0,0,N(INDEX(Clients!$M$2:$M$501,$K$2116)))</f>
        <v>0</v>
      </c>
      <c r="L2145" s="25" t="n">
        <f aca="false">IF($K$2116=0,0,N(INDEX(Clients!$R$2:$R$501,$K$2116)))</f>
        <v>0</v>
      </c>
      <c r="M2145" s="25" t="n">
        <f aca="false">IF(OR(K2145&lt;&gt;0,L2145&lt;&gt;0),1,0)</f>
        <v>0</v>
      </c>
      <c r="N2145" s="25" t="str">
        <f aca="false">IF(M2145=1,SUM($M$2143:M2145),"")</f>
        <v/>
      </c>
      <c r="O2145" s="25" t="n">
        <v>3</v>
      </c>
    </row>
    <row r="2146" customFormat="false" ht="16.5" hidden="false" customHeight="true" outlineLevel="0" collapsed="false">
      <c r="B2146" s="40" t="str">
        <f aca="false">IFERROR(INDEX($J$2143:$J$2146,MATCH($O2146,$N$2143:$N$2146,0)),"")</f>
        <v/>
      </c>
      <c r="C2146" s="41" t="str">
        <f aca="false">IFERROR(INDEX($K$2143:$K$2146,MATCH($O2146,$N$2143:$N$2146,0)),"")</f>
        <v/>
      </c>
      <c r="D2146" s="42" t="str">
        <f aca="false">IF(OR(E2146="",N(C2146)=0),"",E2146/C2146-1)</f>
        <v/>
      </c>
      <c r="E2146" s="41" t="str">
        <f aca="false">IFERROR(INDEX($L$2143:$L$2146,MATCH($O2146,$N$2143:$N$2146,0)),"")</f>
        <v/>
      </c>
      <c r="F2146" s="41" t="str">
        <f aca="false">IF(E2146="","",E2146-C2146)</f>
        <v/>
      </c>
      <c r="J2146" s="25" t="str">
        <f aca="false">Lib_PA</f>
        <v>Plateforme agréée – facturation électronique</v>
      </c>
      <c r="K2146" s="25" t="n">
        <f aca="false">IF($K$2116=0,0,N(INDEX(Clients!$N$2:$N$501,$K$2116)))</f>
        <v>0</v>
      </c>
      <c r="L2146" s="25" t="n">
        <f aca="false">IF($K$2116=0,0,N(INDEX(Clients!$S$2:$S$501,$K$2116)))</f>
        <v>0</v>
      </c>
      <c r="M2146" s="25" t="n">
        <f aca="false">IF(OR(K2146&lt;&gt;0,L2146&lt;&gt;0),1,0)</f>
        <v>0</v>
      </c>
      <c r="N2146" s="25" t="str">
        <f aca="false">IF(M2146=1,SUM($M$2143:M2146),"")</f>
        <v/>
      </c>
      <c r="O2146" s="25" t="n">
        <v>4</v>
      </c>
    </row>
    <row r="2147" customFormat="false" ht="18" hidden="false" customHeight="true" outlineLevel="0" collapsed="false">
      <c r="B2147" s="43" t="s">
        <v>158</v>
      </c>
      <c r="C2147" s="44" t="n">
        <f aca="false">SUM(K2143:K2146)</f>
        <v>0</v>
      </c>
      <c r="D2147" s="45" t="str">
        <f aca="false">IF(N(C2147)=0,"",E2147/C2147-1)</f>
        <v/>
      </c>
      <c r="E2147" s="44" t="n">
        <f aca="false">SUM(L2143:L2146)</f>
        <v>0</v>
      </c>
      <c r="F2147" s="44" t="n">
        <f aca="false">E2147-C2147</f>
        <v>0</v>
      </c>
    </row>
    <row r="2148" customFormat="false" ht="15" hidden="false" customHeight="false" outlineLevel="0" collapsed="false">
      <c r="B2148" s="46" t="str">
        <f aca="false">IF(N(Nb_Mensualites)=0,"","Soit "&amp;FIXED(E2147/Nb_Mensualites,2)&amp;" € HT par échéance ("&amp;Nb_Mensualites&amp;" échéances), "&amp;FIXED(E2147/Nb_Mensualites*(1+Taux_TVA),2)&amp;" € TTC.")</f>
        <v>Soit 0.00 € HT par échéance (12 échéances), 0.00 € TTC.</v>
      </c>
      <c r="C2148" s="46"/>
      <c r="D2148" s="46"/>
      <c r="E2148" s="46"/>
      <c r="F2148" s="46"/>
    </row>
    <row r="2149" customFormat="false" ht="7.5" hidden="false" customHeight="true" outlineLevel="0" collapsed="false">
      <c r="B2149" s="10"/>
      <c r="C2149" s="10"/>
      <c r="D2149" s="10"/>
      <c r="E2149" s="10"/>
      <c r="F2149" s="10"/>
    </row>
    <row r="2150" customFormat="false" ht="36.75" hidden="false" customHeight="true" outlineLevel="0" collapsed="false">
      <c r="B2150" s="37" t="str">
        <f aca="false">SUBSTITUTE(SUBSTITUTE(SUBSTITUTE(SUBSTITUTE(SUBSTITUTE(Txt_P5,"{cabinet}",Cab_Nom),"{societe}",IF($K$2116=0,"",INDEX(Clients!$E$2:$E$501,$K$2116)&amp;"")),"{date_effet}",$K$2118),"{hausse}",$K$2119),"{civilite}",$K$2117)</f>
        <v>Les autres conditions de votre lettre de mission demeurent inchangées. Les nouveaux montants seront appliqués automatiquement sur vos prochaines factures et échéances de prélèvement.</v>
      </c>
      <c r="C2150" s="37"/>
      <c r="D2150" s="37"/>
      <c r="E2150" s="37"/>
      <c r="F2150" s="37"/>
    </row>
    <row r="2151" customFormat="false" ht="36.75" hidden="false" customHeight="true" outlineLevel="0" collapsed="false">
      <c r="B2151" s="37" t="str">
        <f aca="false">SUBSTITUTE(SUBSTITUTE(SUBSTITUTE(SUBSTITUTE(SUBSTITUTE(Txt_P6,"{cabinet}",Cab_Nom),"{societe}",IF($K$2116=0,"",INDEX(Clients!$E$2:$E$501,$K$2116)&amp;"")),"{date_effet}",$K$2118),"{hausse}",$K$2119),"{civilite}",$K$2117)</f>
        <v>Votre interlocuteur habituel reste à votre entière disposition pour répondre à vos questions et faire le point sur l'évolution de vos besoins.</v>
      </c>
      <c r="C2151" s="37"/>
      <c r="D2151" s="37"/>
      <c r="E2151" s="37"/>
      <c r="F2151" s="37"/>
    </row>
    <row r="2152" customFormat="false" ht="24" hidden="false" customHeight="true" outlineLevel="0" collapsed="false">
      <c r="B2152" s="37" t="str">
        <f aca="false">SUBSTITUTE(SUBSTITUTE(SUBSTITUTE(SUBSTITUTE(SUBSTITUTE(Txt_Politesse,"{cabinet}",Cab_Nom),"{societe}",IF($K$2116=0,"",INDEX(Clients!$E$2:$E$501,$K$2116)&amp;"")),"{date_effet}",$K$2118),"{hausse}",$K$2119),"{civilite}",$K$2117)</f>
        <v>Nous vous prions d'agréer, Madame, Monsieur, l'expression de nos salutations distinguées.</v>
      </c>
      <c r="C2152" s="37"/>
      <c r="D2152" s="37"/>
      <c r="E2152" s="37"/>
      <c r="F2152" s="37"/>
    </row>
    <row r="2153" customFormat="false" ht="15" hidden="false" customHeight="false" outlineLevel="0" collapsed="false">
      <c r="B2153" s="10"/>
      <c r="C2153" s="10"/>
      <c r="D2153" s="10"/>
      <c r="E2153" s="10"/>
      <c r="F2153" s="10"/>
    </row>
    <row r="2154" customFormat="false" ht="15" hidden="false" customHeight="false" outlineLevel="0" collapsed="false">
      <c r="B2154" s="10"/>
      <c r="C2154" s="10"/>
      <c r="D2154" s="34" t="str">
        <f aca="false">Signataire</f>
        <v>Prénom NOM</v>
      </c>
      <c r="E2154" s="34"/>
      <c r="F2154" s="34"/>
    </row>
    <row r="2155" customFormat="false" ht="15" hidden="false" customHeight="false" outlineLevel="0" collapsed="false">
      <c r="B2155" s="10"/>
      <c r="C2155" s="10"/>
      <c r="D2155" s="47" t="str">
        <f aca="false">Signataire_Titre</f>
        <v>Expert-comptable associé</v>
      </c>
      <c r="E2155" s="47"/>
      <c r="F2155" s="47"/>
    </row>
    <row r="2156" customFormat="false" ht="15.75" hidden="false" customHeight="true" outlineLevel="0" collapsed="false">
      <c r="B2156" s="10"/>
      <c r="C2156" s="10"/>
      <c r="D2156" s="10"/>
      <c r="E2156" s="10"/>
      <c r="F2156" s="10"/>
    </row>
    <row r="2157" customFormat="false" ht="15.75" hidden="false" customHeight="true" outlineLevel="0" collapsed="false">
      <c r="B2157" s="10"/>
      <c r="C2157" s="10"/>
      <c r="D2157" s="10"/>
      <c r="E2157" s="10"/>
      <c r="F2157" s="10"/>
    </row>
    <row r="2158" customFormat="false" ht="15.75" hidden="false" customHeight="true" outlineLevel="0" collapsed="false">
      <c r="B2158" s="10"/>
      <c r="C2158" s="10"/>
      <c r="D2158" s="10"/>
      <c r="E2158" s="10"/>
      <c r="F2158" s="10"/>
    </row>
    <row r="2159" customFormat="false" ht="15.75" hidden="false" customHeight="true" outlineLevel="0" collapsed="false">
      <c r="B2159" s="10"/>
      <c r="C2159" s="10"/>
      <c r="D2159" s="10"/>
      <c r="E2159" s="10"/>
      <c r="F2159" s="10"/>
    </row>
    <row r="2160" customFormat="false" ht="24" hidden="false" customHeight="true" outlineLevel="0" collapsed="false">
      <c r="B2160" s="48" t="str">
        <f aca="false">Cab_Mentions</f>
        <v>ALTHO EXPERTISE · SAS au capital de 10 000 € · RCS Pontoise 919 706 325 · TVA FR62919706325 · Société d'expertise comptable inscrite au Tableau de l'Ordre des experts-comptables de Paris Île-de-France</v>
      </c>
      <c r="C2160" s="48"/>
      <c r="D2160" s="48"/>
      <c r="E2160" s="48"/>
      <c r="F2160" s="48"/>
    </row>
    <row r="2161" customFormat="false" ht="15" hidden="false" customHeight="false" outlineLevel="0" collapsed="false">
      <c r="B2161" s="10"/>
      <c r="C2161" s="10"/>
      <c r="D2161" s="10"/>
      <c r="E2161" s="10"/>
      <c r="F2161" s="10"/>
      <c r="J2161" s="25" t="s">
        <v>142</v>
      </c>
      <c r="K2161" s="25" t="n">
        <f aca="false">IFERROR(MATCH(49,Clients!$Z$2:$Z$501,0),0)</f>
        <v>0</v>
      </c>
      <c r="L2161" s="25"/>
      <c r="M2161" s="25"/>
      <c r="N2161" s="25"/>
      <c r="O2161" s="25"/>
    </row>
    <row r="2162" customFormat="false" ht="21.75" hidden="false" customHeight="true" outlineLevel="0" collapsed="false">
      <c r="B2162" s="26" t="str">
        <f aca="false">Cab_Nom</f>
        <v>ALTHO EXPERTISE</v>
      </c>
      <c r="C2162" s="26"/>
      <c r="D2162" s="10"/>
      <c r="E2162" s="27" t="str">
        <f aca="false">IF($K$2161=0,"","Réf. client : "&amp;INDEX(Clients!$A$2:$A$501,$K$2161))</f>
        <v/>
      </c>
      <c r="F2162" s="27"/>
      <c r="J2162" s="25" t="s">
        <v>144</v>
      </c>
      <c r="K2162" s="25" t="str">
        <f aca="false">IF(IF($K$2161=0,"",INDEX(Clients!$B$2:$B$501,$K$2161)&amp;"")="Mme","Madame",IF(IF($K$2161=0,"",INDEX(Clients!$B$2:$B$501,$K$2161)&amp;"")="M.","Monsieur","Madame, Monsieur"))</f>
        <v>Madame, Monsieur</v>
      </c>
      <c r="L2162" s="25"/>
      <c r="M2162" s="25"/>
      <c r="N2162" s="25"/>
      <c r="O2162" s="25"/>
    </row>
    <row r="2163" customFormat="false" ht="15" hidden="false" customHeight="false" outlineLevel="0" collapsed="false">
      <c r="B2163" s="29" t="str">
        <f aca="false">Cab_Adr1</f>
        <v>141 rue Charles de Gaulle</v>
      </c>
      <c r="C2163" s="29"/>
      <c r="D2163" s="10"/>
      <c r="E2163" s="10"/>
      <c r="F2163" s="10"/>
      <c r="J2163" s="25" t="s">
        <v>145</v>
      </c>
      <c r="K2163" s="25" t="str">
        <f aca="false">DAY(Date_Effet)&amp;IF(DAY(Date_Effet)=1,"er","")&amp;" "&amp;INDEX(Liste_Mois,MONTH(Date_Effet))&amp;" "&amp;YEAR(Date_Effet)</f>
        <v>1er janvier 2027</v>
      </c>
      <c r="L2163" s="25"/>
      <c r="M2163" s="25"/>
      <c r="N2163" s="25"/>
      <c r="O2163" s="25"/>
    </row>
    <row r="2164" customFormat="false" ht="15" hidden="false" customHeight="false" outlineLevel="0" collapsed="false">
      <c r="B2164" s="29" t="str">
        <f aca="false">Cab_CPVille</f>
        <v>95130 LE PLESSIS-BOUCHARD</v>
      </c>
      <c r="C2164" s="29"/>
      <c r="D2164" s="10"/>
      <c r="E2164" s="10"/>
      <c r="F2164" s="10"/>
      <c r="J2164" s="25" t="s">
        <v>146</v>
      </c>
      <c r="K2164" s="25" t="str">
        <f aca="false">IF(SUM($K$2188:$K$2191)=0,"",FIXED((SUM($L$2188:$L$2191)/SUM($K$2188:$K$2191)-1)*100,1)&amp;" %")</f>
        <v/>
      </c>
      <c r="L2164" s="25"/>
      <c r="M2164" s="25"/>
      <c r="N2164" s="25"/>
      <c r="O2164" s="25"/>
    </row>
    <row r="2165" customFormat="false" ht="15" hidden="false" customHeight="false" outlineLevel="0" collapsed="false">
      <c r="B2165" s="29" t="str">
        <f aca="false">Cab_Contact</f>
        <v>Tél. 01 34 14 53 45  ·  altho@altho-experts.com  ·  altho-experts.com</v>
      </c>
      <c r="C2165" s="29"/>
      <c r="D2165" s="10"/>
      <c r="E2165" s="10"/>
      <c r="F2165" s="10"/>
      <c r="J2165" s="25"/>
      <c r="K2165" s="25"/>
      <c r="L2165" s="25"/>
      <c r="M2165" s="25"/>
      <c r="N2165" s="25"/>
      <c r="O2165" s="25"/>
    </row>
    <row r="2166" customFormat="false" ht="6" hidden="false" customHeight="true" outlineLevel="0" collapsed="false">
      <c r="B2166" s="32"/>
      <c r="C2166" s="32"/>
      <c r="D2166" s="32"/>
      <c r="E2166" s="32"/>
      <c r="F2166" s="32"/>
      <c r="J2166" s="25"/>
      <c r="K2166" s="25"/>
      <c r="L2166" s="25"/>
      <c r="M2166" s="25"/>
      <c r="N2166" s="25"/>
      <c r="O2166" s="25"/>
    </row>
    <row r="2167" customFormat="false" ht="13.5" hidden="false" customHeight="true" outlineLevel="0" collapsed="false">
      <c r="B2167" s="10"/>
      <c r="C2167" s="10"/>
      <c r="D2167" s="10"/>
      <c r="E2167" s="10"/>
      <c r="F2167" s="10"/>
      <c r="J2167" s="25"/>
      <c r="K2167" s="25"/>
      <c r="L2167" s="25"/>
      <c r="M2167" s="25"/>
      <c r="N2167" s="25"/>
      <c r="O2167" s="25"/>
    </row>
    <row r="2168" customFormat="false" ht="13.5" hidden="false" customHeight="true" outlineLevel="0" collapsed="false">
      <c r="B2168" s="10"/>
      <c r="C2168" s="10"/>
      <c r="D2168" s="10"/>
      <c r="E2168" s="10"/>
      <c r="F2168" s="10"/>
      <c r="J2168" s="25"/>
      <c r="K2168" s="25"/>
      <c r="L2168" s="25"/>
      <c r="M2168" s="25"/>
      <c r="N2168" s="25"/>
      <c r="O2168" s="25"/>
    </row>
    <row r="2169" customFormat="false" ht="13.5" hidden="false" customHeight="true" outlineLevel="0" collapsed="false">
      <c r="B2169" s="10"/>
      <c r="C2169" s="10"/>
      <c r="D2169" s="10"/>
      <c r="E2169" s="10"/>
      <c r="F2169" s="10"/>
      <c r="J2169" s="25"/>
      <c r="K2169" s="25"/>
      <c r="L2169" s="25"/>
      <c r="M2169" s="25"/>
      <c r="N2169" s="25"/>
      <c r="O2169" s="25"/>
    </row>
    <row r="2170" customFormat="false" ht="15" hidden="false" customHeight="true" outlineLevel="0" collapsed="false">
      <c r="B2170" s="10"/>
      <c r="C2170" s="10"/>
      <c r="D2170" s="34" t="str">
        <f aca="false">IF($K$2161=0,"",INDEX(Clients!$E$2:$E$501,$K$2161)&amp;"")</f>
        <v/>
      </c>
      <c r="E2170" s="34"/>
      <c r="F2170" s="34"/>
      <c r="J2170" s="25"/>
      <c r="K2170" s="25"/>
      <c r="L2170" s="25"/>
      <c r="M2170" s="25"/>
      <c r="N2170" s="25"/>
      <c r="O2170" s="25"/>
    </row>
    <row r="2171" customFormat="false" ht="15" hidden="false" customHeight="true" outlineLevel="0" collapsed="false">
      <c r="B2171" s="10"/>
      <c r="C2171" s="10"/>
      <c r="D2171" s="35" t="str">
        <f aca="false">IF(IF($K$2161=0,"",INDEX(Clients!$D$2:$D$501,$K$2161)&amp;"")="","","À l'attention de "&amp;TRIM(IF($K$2161=0,"",INDEX(Clients!$B$2:$B$501,$K$2161)&amp;"")&amp;" "&amp;IF($K$2161=0,"",INDEX(Clients!$C$2:$C$501,$K$2161)&amp;"")&amp;" "&amp;IF($K$2161=0,"",INDEX(Clients!$D$2:$D$501,$K$2161)&amp;"")))</f>
        <v/>
      </c>
      <c r="E2171" s="35"/>
      <c r="F2171" s="35"/>
      <c r="J2171" s="25"/>
      <c r="K2171" s="25"/>
      <c r="L2171" s="25"/>
      <c r="M2171" s="25"/>
      <c r="N2171" s="25"/>
      <c r="O2171" s="25"/>
    </row>
    <row r="2172" customFormat="false" ht="15" hidden="false" customHeight="true" outlineLevel="0" collapsed="false">
      <c r="B2172" s="10"/>
      <c r="C2172" s="10"/>
      <c r="D2172" s="35" t="str">
        <f aca="false">IF($K$2161=0,"",INDEX(Clients!$F$2:$F$501,$K$2161)&amp;"")</f>
        <v/>
      </c>
      <c r="E2172" s="35"/>
      <c r="F2172" s="35"/>
      <c r="J2172" s="25"/>
      <c r="K2172" s="25"/>
      <c r="L2172" s="25"/>
      <c r="M2172" s="25"/>
      <c r="N2172" s="25"/>
      <c r="O2172" s="25"/>
    </row>
    <row r="2173" customFormat="false" ht="15" hidden="false" customHeight="true" outlineLevel="0" collapsed="false">
      <c r="B2173" s="10"/>
      <c r="C2173" s="10"/>
      <c r="D2173" s="35" t="str">
        <f aca="false">IF(IF($K$2161=0,"",INDEX(Clients!$G$2:$G$501,$K$2161)&amp;"")="",TRIM(IF($K$2161=0,"",INDEX(Clients!$H$2:$H$501,$K$2161)&amp;"")&amp;" "&amp;UPPER(IF($K$2161=0,"",INDEX(Clients!$I$2:$I$501,$K$2161)&amp;""))),IF($K$2161=0,"",INDEX(Clients!$G$2:$G$501,$K$2161)&amp;""))</f>
        <v/>
      </c>
      <c r="E2173" s="35"/>
      <c r="F2173" s="35"/>
      <c r="J2173" s="25"/>
      <c r="K2173" s="25"/>
      <c r="L2173" s="25"/>
      <c r="M2173" s="25"/>
      <c r="N2173" s="25"/>
      <c r="O2173" s="25"/>
    </row>
    <row r="2174" customFormat="false" ht="15" hidden="false" customHeight="true" outlineLevel="0" collapsed="false">
      <c r="B2174" s="10"/>
      <c r="C2174" s="10"/>
      <c r="D2174" s="35" t="str">
        <f aca="false">IF(IF($K$2161=0,"",INDEX(Clients!$G$2:$G$501,$K$2161)&amp;"")="","",TRIM(IF($K$2161=0,"",INDEX(Clients!$H$2:$H$501,$K$2161)&amp;"")&amp;" "&amp;UPPER(IF($K$2161=0,"",INDEX(Clients!$I$2:$I$501,$K$2161)&amp;""))))</f>
        <v/>
      </c>
      <c r="E2174" s="35"/>
      <c r="F2174" s="35"/>
      <c r="J2174" s="25"/>
      <c r="K2174" s="25"/>
      <c r="L2174" s="25"/>
      <c r="M2174" s="25"/>
      <c r="N2174" s="25"/>
      <c r="O2174" s="25"/>
    </row>
    <row r="2175" customFormat="false" ht="25.5" hidden="false" customHeight="true" outlineLevel="0" collapsed="false">
      <c r="B2175" s="10"/>
      <c r="C2175" s="10"/>
      <c r="D2175" s="10"/>
      <c r="E2175" s="10"/>
      <c r="F2175" s="10"/>
      <c r="J2175" s="25"/>
      <c r="K2175" s="25"/>
      <c r="L2175" s="25"/>
      <c r="M2175" s="25"/>
      <c r="N2175" s="25"/>
      <c r="O2175" s="25"/>
    </row>
    <row r="2176" customFormat="false" ht="15" hidden="false" customHeight="false" outlineLevel="0" collapsed="false">
      <c r="B2176" s="10"/>
      <c r="C2176" s="10"/>
      <c r="D2176" s="36" t="str">
        <f aca="false">Cab_Ville&amp;", le "&amp;DAY(Date_Courrier)&amp;IF(DAY(Date_Courrier)=1,"er","")&amp;" "&amp;INDEX(Liste_Mois,MONTH(Date_Courrier))&amp;" "&amp;YEAR(Date_Courrier)</f>
        <v>Le Plessis-Bouchard, le 22 septembre 2026</v>
      </c>
      <c r="E2176" s="36"/>
      <c r="F2176" s="36"/>
      <c r="J2176" s="25"/>
      <c r="K2176" s="25"/>
      <c r="L2176" s="25"/>
      <c r="M2176" s="25"/>
      <c r="N2176" s="25"/>
      <c r="O2176" s="25"/>
    </row>
    <row r="2177" customFormat="false" ht="19.5" hidden="false" customHeight="true" outlineLevel="0" collapsed="false">
      <c r="B2177" s="10"/>
      <c r="C2177" s="10"/>
      <c r="D2177" s="10"/>
      <c r="E2177" s="10"/>
      <c r="F2177" s="10"/>
      <c r="J2177" s="25"/>
      <c r="K2177" s="25"/>
      <c r="L2177" s="25"/>
      <c r="M2177" s="25"/>
      <c r="N2177" s="25"/>
      <c r="O2177" s="25"/>
    </row>
    <row r="2178" customFormat="false" ht="15" hidden="false" customHeight="false" outlineLevel="0" collapsed="false">
      <c r="B2178" s="34" t="str">
        <f aca="false">SUBSTITUTE(SUBSTITUTE(SUBSTITUTE(SUBSTITUTE(SUBSTITUTE(Txt_Objet,"{cabinet}",Cab_Nom),"{societe}",IF($K$2161=0,"",INDEX(Clients!$E$2:$E$501,$K$2161)&amp;"")),"{date_effet}",$K$2163),"{hausse}",$K$2164),"{civilite}",$K$2162)</f>
        <v>Objet : révision de nos honoraires au 1er janvier 2027</v>
      </c>
      <c r="C2178" s="34"/>
      <c r="D2178" s="34"/>
      <c r="E2178" s="34"/>
      <c r="F2178" s="34"/>
      <c r="J2178" s="25"/>
      <c r="K2178" s="25"/>
      <c r="L2178" s="25"/>
      <c r="M2178" s="25"/>
      <c r="N2178" s="25"/>
      <c r="O2178" s="25"/>
    </row>
    <row r="2179" customFormat="false" ht="13.5" hidden="false" customHeight="true" outlineLevel="0" collapsed="false">
      <c r="B2179" s="10"/>
      <c r="C2179" s="10"/>
      <c r="D2179" s="10"/>
      <c r="E2179" s="10"/>
      <c r="F2179" s="10"/>
      <c r="J2179" s="25"/>
      <c r="K2179" s="25"/>
      <c r="L2179" s="25"/>
      <c r="M2179" s="25"/>
      <c r="N2179" s="25"/>
      <c r="O2179" s="25"/>
    </row>
    <row r="2180" customFormat="false" ht="15" hidden="false" customHeight="false" outlineLevel="0" collapsed="false">
      <c r="B2180" s="10" t="str">
        <f aca="false">$K$2162&amp;","</f>
        <v>Madame, Monsieur,</v>
      </c>
      <c r="C2180" s="10"/>
      <c r="D2180" s="10"/>
      <c r="E2180" s="10"/>
      <c r="F2180" s="10"/>
      <c r="J2180" s="25"/>
      <c r="K2180" s="25"/>
      <c r="L2180" s="25"/>
      <c r="M2180" s="25"/>
      <c r="N2180" s="25"/>
      <c r="O2180" s="25"/>
    </row>
    <row r="2181" customFormat="false" ht="6" hidden="false" customHeight="true" outlineLevel="0" collapsed="false">
      <c r="B2181" s="10"/>
      <c r="C2181" s="10"/>
      <c r="D2181" s="10"/>
      <c r="E2181" s="10"/>
      <c r="F2181" s="10"/>
      <c r="J2181" s="25"/>
      <c r="K2181" s="25"/>
      <c r="L2181" s="25"/>
      <c r="M2181" s="25"/>
      <c r="N2181" s="25"/>
      <c r="O2181" s="25"/>
    </row>
    <row r="2182" customFormat="false" ht="36.75" hidden="false" customHeight="true" outlineLevel="0" collapsed="false">
      <c r="B2182" s="37" t="str">
        <f aca="false">SUBSTITUTE(SUBSTITUTE(SUBSTITUTE(SUBSTITUTE(SUBSTITUTE(Txt_P1,"{cabinet}",Cab_Nom),"{societe}",IF($K$2161=0,"",INDEX(Clients!$E$2:$E$501,$K$2161)&amp;"")),"{date_effet}",$K$2163),"{hausse}",$K$2164),"{civilite}",$K$2162)</f>
        <v>Nous tenons tout d'abord à vous remercier pour la confiance que vous accordez à ALTHO EXPERTISE. Comme chaque année, et conformément aux dispositions de votre lettre de mission, nous procédons à la révision de nos honoraires.</v>
      </c>
      <c r="C2182" s="37"/>
      <c r="D2182" s="37"/>
      <c r="E2182" s="37"/>
      <c r="F2182" s="37"/>
      <c r="J2182" s="25"/>
      <c r="K2182" s="25"/>
      <c r="L2182" s="25"/>
      <c r="M2182" s="25"/>
      <c r="N2182" s="25"/>
      <c r="O2182" s="25"/>
    </row>
    <row r="2183" customFormat="false" ht="49.5" hidden="false" customHeight="true" outlineLevel="0" collapsed="false">
      <c r="B2183" s="37" t="str">
        <f aca="false">SUBSTITUTE(SUBSTITUTE(SUBSTITUTE(SUBSTITUTE(SUBSTITUTE(Txt_P2,"{cabinet}",Cab_Nom),"{societe}",IF($K$2161=0,"",INDEX(Clients!$E$2:$E$501,$K$2161)&amp;"")),"{date_effet}",$K$2163),"{hausse}",$K$2164),"{civilite}",$K$2162)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183" s="37"/>
      <c r="D2183" s="37"/>
      <c r="E2183" s="37"/>
      <c r="F2183" s="37"/>
      <c r="J2183" s="25"/>
      <c r="K2183" s="25"/>
      <c r="L2183" s="25"/>
      <c r="M2183" s="25"/>
      <c r="N2183" s="25"/>
      <c r="O2183" s="25"/>
    </row>
    <row r="2184" customFormat="false" ht="63" hidden="false" customHeight="true" outlineLevel="0" collapsed="false">
      <c r="B2184" s="37" t="str">
        <f aca="false">SUBSTITUTE(SUBSTITUTE(SUBSTITUTE(SUBSTITUTE(SUBSTITUTE(Txt_P3,"{cabinet}",Cab_Nom),"{societe}",IF($K$2161=0,"",INDEX(Clients!$E$2:$E$501,$K$2161)&amp;"")),"{date_effet}",$K$2163),"{hausse}",$K$2164),"{civilite}",$K$2162)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184" s="37"/>
      <c r="D2184" s="37"/>
      <c r="E2184" s="37"/>
      <c r="F2184" s="37"/>
      <c r="J2184" s="25"/>
      <c r="K2184" s="25"/>
      <c r="L2184" s="25"/>
      <c r="M2184" s="25"/>
      <c r="N2184" s="25"/>
      <c r="O2184" s="25"/>
    </row>
    <row r="2185" customFormat="false" ht="24" hidden="false" customHeight="true" outlineLevel="0" collapsed="false">
      <c r="B2185" s="37" t="str">
        <f aca="false">SUBSTITUTE(SUBSTITUTE(SUBSTITUTE(SUBSTITUTE(SUBSTITUTE(Txt_P4,"{cabinet}",Cab_Nom),"{societe}",IF($K$2161=0,"",INDEX(Clients!$E$2:$E$501,$K$2161)&amp;"")),"{date_effet}",$K$2163),"{hausse}",$K$2164),"{civilite}",$K$2162)</f>
        <v>À compter du 1er janvier 2027, vos honoraires annuels hors taxes évolueront ainsi (évolution globale : ) :</v>
      </c>
      <c r="C2185" s="37"/>
      <c r="D2185" s="37"/>
      <c r="E2185" s="37"/>
      <c r="F2185" s="37"/>
      <c r="J2185" s="25"/>
      <c r="K2185" s="25"/>
      <c r="L2185" s="25"/>
      <c r="M2185" s="25"/>
      <c r="N2185" s="25"/>
      <c r="O2185" s="25"/>
    </row>
    <row r="2186" customFormat="false" ht="3.75" hidden="false" customHeight="true" outlineLevel="0" collapsed="false">
      <c r="B2186" s="10"/>
      <c r="C2186" s="10"/>
      <c r="D2186" s="10"/>
      <c r="E2186" s="10"/>
      <c r="F2186" s="10"/>
      <c r="J2186" s="25"/>
      <c r="K2186" s="25"/>
      <c r="L2186" s="25"/>
      <c r="M2186" s="25"/>
      <c r="N2186" s="25"/>
      <c r="O2186" s="25"/>
    </row>
    <row r="2187" customFormat="false" ht="18" hidden="false" customHeight="true" outlineLevel="0" collapsed="false">
      <c r="B2187" s="38" t="s">
        <v>148</v>
      </c>
      <c r="C2187" s="39" t="s">
        <v>149</v>
      </c>
      <c r="D2187" s="39" t="s">
        <v>150</v>
      </c>
      <c r="E2187" s="39" t="s">
        <v>151</v>
      </c>
      <c r="F2187" s="39" t="s">
        <v>109</v>
      </c>
      <c r="J2187" s="25" t="s">
        <v>152</v>
      </c>
      <c r="K2187" s="25" t="s">
        <v>153</v>
      </c>
      <c r="L2187" s="25" t="s">
        <v>154</v>
      </c>
      <c r="M2187" s="25" t="s">
        <v>155</v>
      </c>
      <c r="N2187" s="25" t="s">
        <v>156</v>
      </c>
      <c r="O2187" s="25" t="s">
        <v>157</v>
      </c>
    </row>
    <row r="2188" customFormat="false" ht="16.5" hidden="false" customHeight="true" outlineLevel="0" collapsed="false">
      <c r="B2188" s="40" t="str">
        <f aca="false">IFERROR(INDEX($J$2188:$J$2191,MATCH($O2188,$N$2188:$N$2191,0)),"")</f>
        <v/>
      </c>
      <c r="C2188" s="41" t="str">
        <f aca="false">IFERROR(INDEX($K$2188:$K$2191,MATCH($O2188,$N$2188:$N$2191,0)),"")</f>
        <v/>
      </c>
      <c r="D2188" s="42" t="str">
        <f aca="false">IF(OR(E2188="",N(C2188)=0),"",E2188/C2188-1)</f>
        <v/>
      </c>
      <c r="E2188" s="41" t="str">
        <f aca="false">IFERROR(INDEX($L$2188:$L$2191,MATCH($O2188,$N$2188:$N$2191,0)),"")</f>
        <v/>
      </c>
      <c r="F2188" s="41" t="str">
        <f aca="false">IF(E2188="","",E2188-C2188)</f>
        <v/>
      </c>
      <c r="J2188" s="25" t="str">
        <f aca="false">Lib_Compta</f>
        <v>Mission comptable (tenue, révision, bilan, liasse fiscale)</v>
      </c>
      <c r="K2188" s="25" t="n">
        <f aca="false">IF($K$2161=0,0,N(INDEX(Clients!$K$2:$K$501,$K$2161)))</f>
        <v>0</v>
      </c>
      <c r="L2188" s="25" t="n">
        <f aca="false">IF($K$2161=0,0,N(INDEX(Clients!$P$2:$P$501,$K$2161)))</f>
        <v>0</v>
      </c>
      <c r="M2188" s="25" t="n">
        <f aca="false">IF(OR(K2188&lt;&gt;0,L2188&lt;&gt;0),1,0)</f>
        <v>0</v>
      </c>
      <c r="N2188" s="25" t="str">
        <f aca="false">IF(M2188=1,SUM($M$2188:M2188),"")</f>
        <v/>
      </c>
      <c r="O2188" s="25" t="n">
        <v>1</v>
      </c>
    </row>
    <row r="2189" customFormat="false" ht="16.5" hidden="false" customHeight="true" outlineLevel="0" collapsed="false">
      <c r="B2189" s="40" t="str">
        <f aca="false">IFERROR(INDEX($J$2188:$J$2191,MATCH($O2189,$N$2188:$N$2191,0)),"")</f>
        <v/>
      </c>
      <c r="C2189" s="41" t="str">
        <f aca="false">IFERROR(INDEX($K$2188:$K$2191,MATCH($O2189,$N$2188:$N$2191,0)),"")</f>
        <v/>
      </c>
      <c r="D2189" s="42" t="str">
        <f aca="false">IF(OR(E2189="",N(C2189)=0),"",E2189/C2189-1)</f>
        <v/>
      </c>
      <c r="E2189" s="41" t="str">
        <f aca="false">IFERROR(INDEX($L$2188:$L$2191,MATCH($O2189,$N$2188:$N$2191,0)),"")</f>
        <v/>
      </c>
      <c r="F2189" s="41" t="str">
        <f aca="false">IF(E2189="","",E2189-C2189)</f>
        <v/>
      </c>
      <c r="J2189" s="25" t="str">
        <f aca="false">Lib_Paye</f>
        <v>Mission sociale (bulletins de paie, DSN, déclarations sociales)</v>
      </c>
      <c r="K2189" s="25" t="n">
        <f aca="false">IF($K$2161=0,0,N(INDEX(Clients!$L$2:$L$501,$K$2161)))</f>
        <v>0</v>
      </c>
      <c r="L2189" s="25" t="n">
        <f aca="false">IF($K$2161=0,0,N(INDEX(Clients!$Q$2:$Q$501,$K$2161)))</f>
        <v>0</v>
      </c>
      <c r="M2189" s="25" t="n">
        <f aca="false">IF(OR(K2189&lt;&gt;0,L2189&lt;&gt;0),1,0)</f>
        <v>0</v>
      </c>
      <c r="N2189" s="25" t="str">
        <f aca="false">IF(M2189=1,SUM($M$2188:M2189),"")</f>
        <v/>
      </c>
      <c r="O2189" s="25" t="n">
        <v>2</v>
      </c>
    </row>
    <row r="2190" customFormat="false" ht="16.5" hidden="false" customHeight="true" outlineLevel="0" collapsed="false">
      <c r="B2190" s="40" t="str">
        <f aca="false">IFERROR(INDEX($J$2188:$J$2191,MATCH($O2190,$N$2188:$N$2191,0)),"")</f>
        <v/>
      </c>
      <c r="C2190" s="41" t="str">
        <f aca="false">IFERROR(INDEX($K$2188:$K$2191,MATCH($O2190,$N$2188:$N$2191,0)),"")</f>
        <v/>
      </c>
      <c r="D2190" s="42" t="str">
        <f aca="false">IF(OR(E2190="",N(C2190)=0),"",E2190/C2190-1)</f>
        <v/>
      </c>
      <c r="E2190" s="41" t="str">
        <f aca="false">IFERROR(INDEX($L$2188:$L$2191,MATCH($O2190,$N$2188:$N$2191,0)),"")</f>
        <v/>
      </c>
      <c r="F2190" s="41" t="str">
        <f aca="false">IF(E2190="","",E2190-C2190)</f>
        <v/>
      </c>
      <c r="J2190" s="25" t="str">
        <f aca="false">Lib_Jur</f>
        <v>Mission juridique (approbation des comptes, secrétariat juridique)</v>
      </c>
      <c r="K2190" s="25" t="n">
        <f aca="false">IF($K$2161=0,0,N(INDEX(Clients!$M$2:$M$501,$K$2161)))</f>
        <v>0</v>
      </c>
      <c r="L2190" s="25" t="n">
        <f aca="false">IF($K$2161=0,0,N(INDEX(Clients!$R$2:$R$501,$K$2161)))</f>
        <v>0</v>
      </c>
      <c r="M2190" s="25" t="n">
        <f aca="false">IF(OR(K2190&lt;&gt;0,L2190&lt;&gt;0),1,0)</f>
        <v>0</v>
      </c>
      <c r="N2190" s="25" t="str">
        <f aca="false">IF(M2190=1,SUM($M$2188:M2190),"")</f>
        <v/>
      </c>
      <c r="O2190" s="25" t="n">
        <v>3</v>
      </c>
    </row>
    <row r="2191" customFormat="false" ht="16.5" hidden="false" customHeight="true" outlineLevel="0" collapsed="false">
      <c r="B2191" s="40" t="str">
        <f aca="false">IFERROR(INDEX($J$2188:$J$2191,MATCH($O2191,$N$2188:$N$2191,0)),"")</f>
        <v/>
      </c>
      <c r="C2191" s="41" t="str">
        <f aca="false">IFERROR(INDEX($K$2188:$K$2191,MATCH($O2191,$N$2188:$N$2191,0)),"")</f>
        <v/>
      </c>
      <c r="D2191" s="42" t="str">
        <f aca="false">IF(OR(E2191="",N(C2191)=0),"",E2191/C2191-1)</f>
        <v/>
      </c>
      <c r="E2191" s="41" t="str">
        <f aca="false">IFERROR(INDEX($L$2188:$L$2191,MATCH($O2191,$N$2188:$N$2191,0)),"")</f>
        <v/>
      </c>
      <c r="F2191" s="41" t="str">
        <f aca="false">IF(E2191="","",E2191-C2191)</f>
        <v/>
      </c>
      <c r="J2191" s="25" t="str">
        <f aca="false">Lib_PA</f>
        <v>Plateforme agréée – facturation électronique</v>
      </c>
      <c r="K2191" s="25" t="n">
        <f aca="false">IF($K$2161=0,0,N(INDEX(Clients!$N$2:$N$501,$K$2161)))</f>
        <v>0</v>
      </c>
      <c r="L2191" s="25" t="n">
        <f aca="false">IF($K$2161=0,0,N(INDEX(Clients!$S$2:$S$501,$K$2161)))</f>
        <v>0</v>
      </c>
      <c r="M2191" s="25" t="n">
        <f aca="false">IF(OR(K2191&lt;&gt;0,L2191&lt;&gt;0),1,0)</f>
        <v>0</v>
      </c>
      <c r="N2191" s="25" t="str">
        <f aca="false">IF(M2191=1,SUM($M$2188:M2191),"")</f>
        <v/>
      </c>
      <c r="O2191" s="25" t="n">
        <v>4</v>
      </c>
    </row>
    <row r="2192" customFormat="false" ht="18" hidden="false" customHeight="true" outlineLevel="0" collapsed="false">
      <c r="B2192" s="43" t="s">
        <v>158</v>
      </c>
      <c r="C2192" s="44" t="n">
        <f aca="false">SUM(K2188:K2191)</f>
        <v>0</v>
      </c>
      <c r="D2192" s="45" t="str">
        <f aca="false">IF(N(C2192)=0,"",E2192/C2192-1)</f>
        <v/>
      </c>
      <c r="E2192" s="44" t="n">
        <f aca="false">SUM(L2188:L2191)</f>
        <v>0</v>
      </c>
      <c r="F2192" s="44" t="n">
        <f aca="false">E2192-C2192</f>
        <v>0</v>
      </c>
    </row>
    <row r="2193" customFormat="false" ht="15" hidden="false" customHeight="false" outlineLevel="0" collapsed="false">
      <c r="B2193" s="46" t="str">
        <f aca="false">IF(N(Nb_Mensualites)=0,"","Soit "&amp;FIXED(E2192/Nb_Mensualites,2)&amp;" € HT par échéance ("&amp;Nb_Mensualites&amp;" échéances), "&amp;FIXED(E2192/Nb_Mensualites*(1+Taux_TVA),2)&amp;" € TTC.")</f>
        <v>Soit 0.00 € HT par échéance (12 échéances), 0.00 € TTC.</v>
      </c>
      <c r="C2193" s="46"/>
      <c r="D2193" s="46"/>
      <c r="E2193" s="46"/>
      <c r="F2193" s="46"/>
    </row>
    <row r="2194" customFormat="false" ht="7.5" hidden="false" customHeight="true" outlineLevel="0" collapsed="false">
      <c r="B2194" s="10"/>
      <c r="C2194" s="10"/>
      <c r="D2194" s="10"/>
      <c r="E2194" s="10"/>
      <c r="F2194" s="10"/>
    </row>
    <row r="2195" customFormat="false" ht="36.75" hidden="false" customHeight="true" outlineLevel="0" collapsed="false">
      <c r="B2195" s="37" t="str">
        <f aca="false">SUBSTITUTE(SUBSTITUTE(SUBSTITUTE(SUBSTITUTE(SUBSTITUTE(Txt_P5,"{cabinet}",Cab_Nom),"{societe}",IF($K$2161=0,"",INDEX(Clients!$E$2:$E$501,$K$2161)&amp;"")),"{date_effet}",$K$2163),"{hausse}",$K$2164),"{civilite}",$K$2162)</f>
        <v>Les autres conditions de votre lettre de mission demeurent inchangées. Les nouveaux montants seront appliqués automatiquement sur vos prochaines factures et échéances de prélèvement.</v>
      </c>
      <c r="C2195" s="37"/>
      <c r="D2195" s="37"/>
      <c r="E2195" s="37"/>
      <c r="F2195" s="37"/>
    </row>
    <row r="2196" customFormat="false" ht="36.75" hidden="false" customHeight="true" outlineLevel="0" collapsed="false">
      <c r="B2196" s="37" t="str">
        <f aca="false">SUBSTITUTE(SUBSTITUTE(SUBSTITUTE(SUBSTITUTE(SUBSTITUTE(Txt_P6,"{cabinet}",Cab_Nom),"{societe}",IF($K$2161=0,"",INDEX(Clients!$E$2:$E$501,$K$2161)&amp;"")),"{date_effet}",$K$2163),"{hausse}",$K$2164),"{civilite}",$K$2162)</f>
        <v>Votre interlocuteur habituel reste à votre entière disposition pour répondre à vos questions et faire le point sur l'évolution de vos besoins.</v>
      </c>
      <c r="C2196" s="37"/>
      <c r="D2196" s="37"/>
      <c r="E2196" s="37"/>
      <c r="F2196" s="37"/>
    </row>
    <row r="2197" customFormat="false" ht="24" hidden="false" customHeight="true" outlineLevel="0" collapsed="false">
      <c r="B2197" s="37" t="str">
        <f aca="false">SUBSTITUTE(SUBSTITUTE(SUBSTITUTE(SUBSTITUTE(SUBSTITUTE(Txt_Politesse,"{cabinet}",Cab_Nom),"{societe}",IF($K$2161=0,"",INDEX(Clients!$E$2:$E$501,$K$2161)&amp;"")),"{date_effet}",$K$2163),"{hausse}",$K$2164),"{civilite}",$K$2162)</f>
        <v>Nous vous prions d'agréer, Madame, Monsieur, l'expression de nos salutations distinguées.</v>
      </c>
      <c r="C2197" s="37"/>
      <c r="D2197" s="37"/>
      <c r="E2197" s="37"/>
      <c r="F2197" s="37"/>
    </row>
    <row r="2198" customFormat="false" ht="15" hidden="false" customHeight="false" outlineLevel="0" collapsed="false">
      <c r="B2198" s="10"/>
      <c r="C2198" s="10"/>
      <c r="D2198" s="10"/>
      <c r="E2198" s="10"/>
      <c r="F2198" s="10"/>
    </row>
    <row r="2199" customFormat="false" ht="15" hidden="false" customHeight="false" outlineLevel="0" collapsed="false">
      <c r="B2199" s="10"/>
      <c r="C2199" s="10"/>
      <c r="D2199" s="34" t="str">
        <f aca="false">Signataire</f>
        <v>Prénom NOM</v>
      </c>
      <c r="E2199" s="34"/>
      <c r="F2199" s="34"/>
    </row>
    <row r="2200" customFormat="false" ht="15" hidden="false" customHeight="false" outlineLevel="0" collapsed="false">
      <c r="B2200" s="10"/>
      <c r="C2200" s="10"/>
      <c r="D2200" s="47" t="str">
        <f aca="false">Signataire_Titre</f>
        <v>Expert-comptable associé</v>
      </c>
      <c r="E2200" s="47"/>
      <c r="F2200" s="47"/>
    </row>
    <row r="2201" customFormat="false" ht="15.75" hidden="false" customHeight="true" outlineLevel="0" collapsed="false">
      <c r="B2201" s="10"/>
      <c r="C2201" s="10"/>
      <c r="D2201" s="10"/>
      <c r="E2201" s="10"/>
      <c r="F2201" s="10"/>
    </row>
    <row r="2202" customFormat="false" ht="15.75" hidden="false" customHeight="true" outlineLevel="0" collapsed="false">
      <c r="B2202" s="10"/>
      <c r="C2202" s="10"/>
      <c r="D2202" s="10"/>
      <c r="E2202" s="10"/>
      <c r="F2202" s="10"/>
    </row>
    <row r="2203" customFormat="false" ht="15.75" hidden="false" customHeight="true" outlineLevel="0" collapsed="false">
      <c r="B2203" s="10"/>
      <c r="C2203" s="10"/>
      <c r="D2203" s="10"/>
      <c r="E2203" s="10"/>
      <c r="F2203" s="10"/>
    </row>
    <row r="2204" customFormat="false" ht="15.75" hidden="false" customHeight="true" outlineLevel="0" collapsed="false">
      <c r="B2204" s="10"/>
      <c r="C2204" s="10"/>
      <c r="D2204" s="10"/>
      <c r="E2204" s="10"/>
      <c r="F2204" s="10"/>
    </row>
    <row r="2205" customFormat="false" ht="24" hidden="false" customHeight="true" outlineLevel="0" collapsed="false">
      <c r="B2205" s="48" t="str">
        <f aca="false">Cab_Mentions</f>
        <v>ALTHO EXPERTISE · SAS au capital de 10 000 € · RCS Pontoise 919 706 325 · TVA FR62919706325 · Société d'expertise comptable inscrite au Tableau de l'Ordre des experts-comptables de Paris Île-de-France</v>
      </c>
      <c r="C2205" s="48"/>
      <c r="D2205" s="48"/>
      <c r="E2205" s="48"/>
      <c r="F2205" s="48"/>
    </row>
    <row r="2206" customFormat="false" ht="15" hidden="false" customHeight="false" outlineLevel="0" collapsed="false">
      <c r="B2206" s="10"/>
      <c r="C2206" s="10"/>
      <c r="D2206" s="10"/>
      <c r="E2206" s="10"/>
      <c r="F2206" s="10"/>
      <c r="J2206" s="25" t="s">
        <v>142</v>
      </c>
      <c r="K2206" s="25" t="n">
        <f aca="false">IFERROR(MATCH(50,Clients!$Z$2:$Z$501,0),0)</f>
        <v>0</v>
      </c>
      <c r="L2206" s="25"/>
      <c r="M2206" s="25"/>
      <c r="N2206" s="25"/>
      <c r="O2206" s="25"/>
    </row>
    <row r="2207" customFormat="false" ht="21.75" hidden="false" customHeight="true" outlineLevel="0" collapsed="false">
      <c r="B2207" s="26" t="str">
        <f aca="false">Cab_Nom</f>
        <v>ALTHO EXPERTISE</v>
      </c>
      <c r="C2207" s="26"/>
      <c r="D2207" s="10"/>
      <c r="E2207" s="27" t="str">
        <f aca="false">IF($K$2206=0,"","Réf. client : "&amp;INDEX(Clients!$A$2:$A$501,$K$2206))</f>
        <v/>
      </c>
      <c r="F2207" s="27"/>
      <c r="J2207" s="25" t="s">
        <v>144</v>
      </c>
      <c r="K2207" s="25" t="str">
        <f aca="false">IF(IF($K$2206=0,"",INDEX(Clients!$B$2:$B$501,$K$2206)&amp;"")="Mme","Madame",IF(IF($K$2206=0,"",INDEX(Clients!$B$2:$B$501,$K$2206)&amp;"")="M.","Monsieur","Madame, Monsieur"))</f>
        <v>Madame, Monsieur</v>
      </c>
      <c r="L2207" s="25"/>
      <c r="M2207" s="25"/>
      <c r="N2207" s="25"/>
      <c r="O2207" s="25"/>
    </row>
    <row r="2208" customFormat="false" ht="15" hidden="false" customHeight="false" outlineLevel="0" collapsed="false">
      <c r="B2208" s="29" t="str">
        <f aca="false">Cab_Adr1</f>
        <v>141 rue Charles de Gaulle</v>
      </c>
      <c r="C2208" s="29"/>
      <c r="D2208" s="10"/>
      <c r="E2208" s="10"/>
      <c r="F2208" s="10"/>
      <c r="J2208" s="25" t="s">
        <v>145</v>
      </c>
      <c r="K2208" s="25" t="str">
        <f aca="false">DAY(Date_Effet)&amp;IF(DAY(Date_Effet)=1,"er","")&amp;" "&amp;INDEX(Liste_Mois,MONTH(Date_Effet))&amp;" "&amp;YEAR(Date_Effet)</f>
        <v>1er janvier 2027</v>
      </c>
      <c r="L2208" s="25"/>
      <c r="M2208" s="25"/>
      <c r="N2208" s="25"/>
      <c r="O2208" s="25"/>
    </row>
    <row r="2209" customFormat="false" ht="15" hidden="false" customHeight="false" outlineLevel="0" collapsed="false">
      <c r="B2209" s="29" t="str">
        <f aca="false">Cab_CPVille</f>
        <v>95130 LE PLESSIS-BOUCHARD</v>
      </c>
      <c r="C2209" s="29"/>
      <c r="D2209" s="10"/>
      <c r="E2209" s="10"/>
      <c r="F2209" s="10"/>
      <c r="J2209" s="25" t="s">
        <v>146</v>
      </c>
      <c r="K2209" s="25" t="str">
        <f aca="false">IF(SUM($K$2233:$K$2236)=0,"",FIXED((SUM($L$2233:$L$2236)/SUM($K$2233:$K$2236)-1)*100,1)&amp;" %")</f>
        <v/>
      </c>
      <c r="L2209" s="25"/>
      <c r="M2209" s="25"/>
      <c r="N2209" s="25"/>
      <c r="O2209" s="25"/>
    </row>
    <row r="2210" customFormat="false" ht="15" hidden="false" customHeight="false" outlineLevel="0" collapsed="false">
      <c r="B2210" s="29" t="str">
        <f aca="false">Cab_Contact</f>
        <v>Tél. 01 34 14 53 45  ·  altho@altho-experts.com  ·  altho-experts.com</v>
      </c>
      <c r="C2210" s="29"/>
      <c r="D2210" s="10"/>
      <c r="E2210" s="10"/>
      <c r="F2210" s="10"/>
      <c r="J2210" s="25"/>
      <c r="K2210" s="25"/>
      <c r="L2210" s="25"/>
      <c r="M2210" s="25"/>
      <c r="N2210" s="25"/>
      <c r="O2210" s="25"/>
    </row>
    <row r="2211" customFormat="false" ht="6" hidden="false" customHeight="true" outlineLevel="0" collapsed="false">
      <c r="B2211" s="32"/>
      <c r="C2211" s="32"/>
      <c r="D2211" s="32"/>
      <c r="E2211" s="32"/>
      <c r="F2211" s="32"/>
      <c r="J2211" s="25"/>
      <c r="K2211" s="25"/>
      <c r="L2211" s="25"/>
      <c r="M2211" s="25"/>
      <c r="N2211" s="25"/>
      <c r="O2211" s="25"/>
    </row>
    <row r="2212" customFormat="false" ht="13.5" hidden="false" customHeight="true" outlineLevel="0" collapsed="false">
      <c r="B2212" s="10"/>
      <c r="C2212" s="10"/>
      <c r="D2212" s="10"/>
      <c r="E2212" s="10"/>
      <c r="F2212" s="10"/>
      <c r="J2212" s="25"/>
      <c r="K2212" s="25"/>
      <c r="L2212" s="25"/>
      <c r="M2212" s="25"/>
      <c r="N2212" s="25"/>
      <c r="O2212" s="25"/>
    </row>
    <row r="2213" customFormat="false" ht="13.5" hidden="false" customHeight="true" outlineLevel="0" collapsed="false">
      <c r="B2213" s="10"/>
      <c r="C2213" s="10"/>
      <c r="D2213" s="10"/>
      <c r="E2213" s="10"/>
      <c r="F2213" s="10"/>
      <c r="J2213" s="25"/>
      <c r="K2213" s="25"/>
      <c r="L2213" s="25"/>
      <c r="M2213" s="25"/>
      <c r="N2213" s="25"/>
      <c r="O2213" s="25"/>
    </row>
    <row r="2214" customFormat="false" ht="13.5" hidden="false" customHeight="true" outlineLevel="0" collapsed="false">
      <c r="B2214" s="10"/>
      <c r="C2214" s="10"/>
      <c r="D2214" s="10"/>
      <c r="E2214" s="10"/>
      <c r="F2214" s="10"/>
      <c r="J2214" s="25"/>
      <c r="K2214" s="25"/>
      <c r="L2214" s="25"/>
      <c r="M2214" s="25"/>
      <c r="N2214" s="25"/>
      <c r="O2214" s="25"/>
    </row>
    <row r="2215" customFormat="false" ht="15" hidden="false" customHeight="true" outlineLevel="0" collapsed="false">
      <c r="B2215" s="10"/>
      <c r="C2215" s="10"/>
      <c r="D2215" s="34" t="str">
        <f aca="false">IF($K$2206=0,"",INDEX(Clients!$E$2:$E$501,$K$2206)&amp;"")</f>
        <v/>
      </c>
      <c r="E2215" s="34"/>
      <c r="F2215" s="34"/>
      <c r="J2215" s="25"/>
      <c r="K2215" s="25"/>
      <c r="L2215" s="25"/>
      <c r="M2215" s="25"/>
      <c r="N2215" s="25"/>
      <c r="O2215" s="25"/>
    </row>
    <row r="2216" customFormat="false" ht="15" hidden="false" customHeight="true" outlineLevel="0" collapsed="false">
      <c r="B2216" s="10"/>
      <c r="C2216" s="10"/>
      <c r="D2216" s="35" t="str">
        <f aca="false">IF(IF($K$2206=0,"",INDEX(Clients!$D$2:$D$501,$K$2206)&amp;"")="","","À l'attention de "&amp;TRIM(IF($K$2206=0,"",INDEX(Clients!$B$2:$B$501,$K$2206)&amp;"")&amp;" "&amp;IF($K$2206=0,"",INDEX(Clients!$C$2:$C$501,$K$2206)&amp;"")&amp;" "&amp;IF($K$2206=0,"",INDEX(Clients!$D$2:$D$501,$K$2206)&amp;"")))</f>
        <v/>
      </c>
      <c r="E2216" s="35"/>
      <c r="F2216" s="35"/>
      <c r="J2216" s="25"/>
      <c r="K2216" s="25"/>
      <c r="L2216" s="25"/>
      <c r="M2216" s="25"/>
      <c r="N2216" s="25"/>
      <c r="O2216" s="25"/>
    </row>
    <row r="2217" customFormat="false" ht="15" hidden="false" customHeight="true" outlineLevel="0" collapsed="false">
      <c r="B2217" s="10"/>
      <c r="C2217" s="10"/>
      <c r="D2217" s="35" t="str">
        <f aca="false">IF($K$2206=0,"",INDEX(Clients!$F$2:$F$501,$K$2206)&amp;"")</f>
        <v/>
      </c>
      <c r="E2217" s="35"/>
      <c r="F2217" s="35"/>
      <c r="J2217" s="25"/>
      <c r="K2217" s="25"/>
      <c r="L2217" s="25"/>
      <c r="M2217" s="25"/>
      <c r="N2217" s="25"/>
      <c r="O2217" s="25"/>
    </row>
    <row r="2218" customFormat="false" ht="15" hidden="false" customHeight="true" outlineLevel="0" collapsed="false">
      <c r="B2218" s="10"/>
      <c r="C2218" s="10"/>
      <c r="D2218" s="35" t="str">
        <f aca="false">IF(IF($K$2206=0,"",INDEX(Clients!$G$2:$G$501,$K$2206)&amp;"")="",TRIM(IF($K$2206=0,"",INDEX(Clients!$H$2:$H$501,$K$2206)&amp;"")&amp;" "&amp;UPPER(IF($K$2206=0,"",INDEX(Clients!$I$2:$I$501,$K$2206)&amp;""))),IF($K$2206=0,"",INDEX(Clients!$G$2:$G$501,$K$2206)&amp;""))</f>
        <v/>
      </c>
      <c r="E2218" s="35"/>
      <c r="F2218" s="35"/>
      <c r="J2218" s="25"/>
      <c r="K2218" s="25"/>
      <c r="L2218" s="25"/>
      <c r="M2218" s="25"/>
      <c r="N2218" s="25"/>
      <c r="O2218" s="25"/>
    </row>
    <row r="2219" customFormat="false" ht="15" hidden="false" customHeight="true" outlineLevel="0" collapsed="false">
      <c r="B2219" s="10"/>
      <c r="C2219" s="10"/>
      <c r="D2219" s="35" t="str">
        <f aca="false">IF(IF($K$2206=0,"",INDEX(Clients!$G$2:$G$501,$K$2206)&amp;"")="","",TRIM(IF($K$2206=0,"",INDEX(Clients!$H$2:$H$501,$K$2206)&amp;"")&amp;" "&amp;UPPER(IF($K$2206=0,"",INDEX(Clients!$I$2:$I$501,$K$2206)&amp;""))))</f>
        <v/>
      </c>
      <c r="E2219" s="35"/>
      <c r="F2219" s="35"/>
      <c r="J2219" s="25"/>
      <c r="K2219" s="25"/>
      <c r="L2219" s="25"/>
      <c r="M2219" s="25"/>
      <c r="N2219" s="25"/>
      <c r="O2219" s="25"/>
    </row>
    <row r="2220" customFormat="false" ht="25.5" hidden="false" customHeight="true" outlineLevel="0" collapsed="false">
      <c r="B2220" s="10"/>
      <c r="C2220" s="10"/>
      <c r="D2220" s="10"/>
      <c r="E2220" s="10"/>
      <c r="F2220" s="10"/>
      <c r="J2220" s="25"/>
      <c r="K2220" s="25"/>
      <c r="L2220" s="25"/>
      <c r="M2220" s="25"/>
      <c r="N2220" s="25"/>
      <c r="O2220" s="25"/>
    </row>
    <row r="2221" customFormat="false" ht="15" hidden="false" customHeight="false" outlineLevel="0" collapsed="false">
      <c r="B2221" s="10"/>
      <c r="C2221" s="10"/>
      <c r="D2221" s="36" t="str">
        <f aca="false">Cab_Ville&amp;", le "&amp;DAY(Date_Courrier)&amp;IF(DAY(Date_Courrier)=1,"er","")&amp;" "&amp;INDEX(Liste_Mois,MONTH(Date_Courrier))&amp;" "&amp;YEAR(Date_Courrier)</f>
        <v>Le Plessis-Bouchard, le 22 septembre 2026</v>
      </c>
      <c r="E2221" s="36"/>
      <c r="F2221" s="36"/>
      <c r="J2221" s="25"/>
      <c r="K2221" s="25"/>
      <c r="L2221" s="25"/>
      <c r="M2221" s="25"/>
      <c r="N2221" s="25"/>
      <c r="O2221" s="25"/>
    </row>
    <row r="2222" customFormat="false" ht="19.5" hidden="false" customHeight="true" outlineLevel="0" collapsed="false">
      <c r="B2222" s="10"/>
      <c r="C2222" s="10"/>
      <c r="D2222" s="10"/>
      <c r="E2222" s="10"/>
      <c r="F2222" s="10"/>
      <c r="J2222" s="25"/>
      <c r="K2222" s="25"/>
      <c r="L2222" s="25"/>
      <c r="M2222" s="25"/>
      <c r="N2222" s="25"/>
      <c r="O2222" s="25"/>
    </row>
    <row r="2223" customFormat="false" ht="15" hidden="false" customHeight="false" outlineLevel="0" collapsed="false">
      <c r="B2223" s="34" t="str">
        <f aca="false">SUBSTITUTE(SUBSTITUTE(SUBSTITUTE(SUBSTITUTE(SUBSTITUTE(Txt_Objet,"{cabinet}",Cab_Nom),"{societe}",IF($K$2206=0,"",INDEX(Clients!$E$2:$E$501,$K$2206)&amp;"")),"{date_effet}",$K$2208),"{hausse}",$K$2209),"{civilite}",$K$2207)</f>
        <v>Objet : révision de nos honoraires au 1er janvier 2027</v>
      </c>
      <c r="C2223" s="34"/>
      <c r="D2223" s="34"/>
      <c r="E2223" s="34"/>
      <c r="F2223" s="34"/>
      <c r="J2223" s="25"/>
      <c r="K2223" s="25"/>
      <c r="L2223" s="25"/>
      <c r="M2223" s="25"/>
      <c r="N2223" s="25"/>
      <c r="O2223" s="25"/>
    </row>
    <row r="2224" customFormat="false" ht="13.5" hidden="false" customHeight="true" outlineLevel="0" collapsed="false">
      <c r="B2224" s="10"/>
      <c r="C2224" s="10"/>
      <c r="D2224" s="10"/>
      <c r="E2224" s="10"/>
      <c r="F2224" s="10"/>
      <c r="J2224" s="25"/>
      <c r="K2224" s="25"/>
      <c r="L2224" s="25"/>
      <c r="M2224" s="25"/>
      <c r="N2224" s="25"/>
      <c r="O2224" s="25"/>
    </row>
    <row r="2225" customFormat="false" ht="15" hidden="false" customHeight="false" outlineLevel="0" collapsed="false">
      <c r="B2225" s="10" t="str">
        <f aca="false">$K$2207&amp;","</f>
        <v>Madame, Monsieur,</v>
      </c>
      <c r="C2225" s="10"/>
      <c r="D2225" s="10"/>
      <c r="E2225" s="10"/>
      <c r="F2225" s="10"/>
      <c r="J2225" s="25"/>
      <c r="K2225" s="25"/>
      <c r="L2225" s="25"/>
      <c r="M2225" s="25"/>
      <c r="N2225" s="25"/>
      <c r="O2225" s="25"/>
    </row>
    <row r="2226" customFormat="false" ht="6" hidden="false" customHeight="true" outlineLevel="0" collapsed="false">
      <c r="B2226" s="10"/>
      <c r="C2226" s="10"/>
      <c r="D2226" s="10"/>
      <c r="E2226" s="10"/>
      <c r="F2226" s="10"/>
      <c r="J2226" s="25"/>
      <c r="K2226" s="25"/>
      <c r="L2226" s="25"/>
      <c r="M2226" s="25"/>
      <c r="N2226" s="25"/>
      <c r="O2226" s="25"/>
    </row>
    <row r="2227" customFormat="false" ht="36.75" hidden="false" customHeight="true" outlineLevel="0" collapsed="false">
      <c r="B2227" s="37" t="str">
        <f aca="false">SUBSTITUTE(SUBSTITUTE(SUBSTITUTE(SUBSTITUTE(SUBSTITUTE(Txt_P1,"{cabinet}",Cab_Nom),"{societe}",IF($K$2206=0,"",INDEX(Clients!$E$2:$E$501,$K$2206)&amp;"")),"{date_effet}",$K$2208),"{hausse}",$K$2209),"{civilite}",$K$2207)</f>
        <v>Nous tenons tout d'abord à vous remercier pour la confiance que vous accordez à ALTHO EXPERTISE. Comme chaque année, et conformément aux dispositions de votre lettre de mission, nous procédons à la révision de nos honoraires.</v>
      </c>
      <c r="C2227" s="37"/>
      <c r="D2227" s="37"/>
      <c r="E2227" s="37"/>
      <c r="F2227" s="37"/>
      <c r="J2227" s="25"/>
      <c r="K2227" s="25"/>
      <c r="L2227" s="25"/>
      <c r="M2227" s="25"/>
      <c r="N2227" s="25"/>
      <c r="O2227" s="25"/>
    </row>
    <row r="2228" customFormat="false" ht="49.5" hidden="false" customHeight="true" outlineLevel="0" collapsed="false">
      <c r="B2228" s="37" t="str">
        <f aca="false">SUBSTITUTE(SUBSTITUTE(SUBSTITUTE(SUBSTITUTE(SUBSTITUTE(Txt_P2,"{cabinet}",Cab_Nom),"{societe}",IF($K$2206=0,"",INDEX(Clients!$E$2:$E$501,$K$2206)&amp;"")),"{date_effet}",$K$2208),"{hausse}",$K$2209),"{civilite}",$K$2207)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228" s="37"/>
      <c r="D2228" s="37"/>
      <c r="E2228" s="37"/>
      <c r="F2228" s="37"/>
      <c r="J2228" s="25"/>
      <c r="K2228" s="25"/>
      <c r="L2228" s="25"/>
      <c r="M2228" s="25"/>
      <c r="N2228" s="25"/>
      <c r="O2228" s="25"/>
    </row>
    <row r="2229" customFormat="false" ht="63" hidden="false" customHeight="true" outlineLevel="0" collapsed="false">
      <c r="B2229" s="37" t="str">
        <f aca="false">SUBSTITUTE(SUBSTITUTE(SUBSTITUTE(SUBSTITUTE(SUBSTITUTE(Txt_P3,"{cabinet}",Cab_Nom),"{societe}",IF($K$2206=0,"",INDEX(Clients!$E$2:$E$501,$K$2206)&amp;"")),"{date_effet}",$K$2208),"{hausse}",$K$2209),"{civilite}",$K$2207)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229" s="37"/>
      <c r="D2229" s="37"/>
      <c r="E2229" s="37"/>
      <c r="F2229" s="37"/>
      <c r="J2229" s="25"/>
      <c r="K2229" s="25"/>
      <c r="L2229" s="25"/>
      <c r="M2229" s="25"/>
      <c r="N2229" s="25"/>
      <c r="O2229" s="25"/>
    </row>
    <row r="2230" customFormat="false" ht="24" hidden="false" customHeight="true" outlineLevel="0" collapsed="false">
      <c r="B2230" s="37" t="str">
        <f aca="false">SUBSTITUTE(SUBSTITUTE(SUBSTITUTE(SUBSTITUTE(SUBSTITUTE(Txt_P4,"{cabinet}",Cab_Nom),"{societe}",IF($K$2206=0,"",INDEX(Clients!$E$2:$E$501,$K$2206)&amp;"")),"{date_effet}",$K$2208),"{hausse}",$K$2209),"{civilite}",$K$2207)</f>
        <v>À compter du 1er janvier 2027, vos honoraires annuels hors taxes évolueront ainsi (évolution globale : ) :</v>
      </c>
      <c r="C2230" s="37"/>
      <c r="D2230" s="37"/>
      <c r="E2230" s="37"/>
      <c r="F2230" s="37"/>
      <c r="J2230" s="25"/>
      <c r="K2230" s="25"/>
      <c r="L2230" s="25"/>
      <c r="M2230" s="25"/>
      <c r="N2230" s="25"/>
      <c r="O2230" s="25"/>
    </row>
    <row r="2231" customFormat="false" ht="3.75" hidden="false" customHeight="true" outlineLevel="0" collapsed="false">
      <c r="B2231" s="10"/>
      <c r="C2231" s="10"/>
      <c r="D2231" s="10"/>
      <c r="E2231" s="10"/>
      <c r="F2231" s="10"/>
      <c r="J2231" s="25"/>
      <c r="K2231" s="25"/>
      <c r="L2231" s="25"/>
      <c r="M2231" s="25"/>
      <c r="N2231" s="25"/>
      <c r="O2231" s="25"/>
    </row>
    <row r="2232" customFormat="false" ht="18" hidden="false" customHeight="true" outlineLevel="0" collapsed="false">
      <c r="B2232" s="38" t="s">
        <v>148</v>
      </c>
      <c r="C2232" s="39" t="s">
        <v>149</v>
      </c>
      <c r="D2232" s="39" t="s">
        <v>150</v>
      </c>
      <c r="E2232" s="39" t="s">
        <v>151</v>
      </c>
      <c r="F2232" s="39" t="s">
        <v>109</v>
      </c>
      <c r="J2232" s="25" t="s">
        <v>152</v>
      </c>
      <c r="K2232" s="25" t="s">
        <v>153</v>
      </c>
      <c r="L2232" s="25" t="s">
        <v>154</v>
      </c>
      <c r="M2232" s="25" t="s">
        <v>155</v>
      </c>
      <c r="N2232" s="25" t="s">
        <v>156</v>
      </c>
      <c r="O2232" s="25" t="s">
        <v>157</v>
      </c>
    </row>
    <row r="2233" customFormat="false" ht="16.5" hidden="false" customHeight="true" outlineLevel="0" collapsed="false">
      <c r="B2233" s="40" t="str">
        <f aca="false">IFERROR(INDEX($J$2233:$J$2236,MATCH($O2233,$N$2233:$N$2236,0)),"")</f>
        <v/>
      </c>
      <c r="C2233" s="41" t="str">
        <f aca="false">IFERROR(INDEX($K$2233:$K$2236,MATCH($O2233,$N$2233:$N$2236,0)),"")</f>
        <v/>
      </c>
      <c r="D2233" s="42" t="str">
        <f aca="false">IF(OR(E2233="",N(C2233)=0),"",E2233/C2233-1)</f>
        <v/>
      </c>
      <c r="E2233" s="41" t="str">
        <f aca="false">IFERROR(INDEX($L$2233:$L$2236,MATCH($O2233,$N$2233:$N$2236,0)),"")</f>
        <v/>
      </c>
      <c r="F2233" s="41" t="str">
        <f aca="false">IF(E2233="","",E2233-C2233)</f>
        <v/>
      </c>
      <c r="J2233" s="25" t="str">
        <f aca="false">Lib_Compta</f>
        <v>Mission comptable (tenue, révision, bilan, liasse fiscale)</v>
      </c>
      <c r="K2233" s="25" t="n">
        <f aca="false">IF($K$2206=0,0,N(INDEX(Clients!$K$2:$K$501,$K$2206)))</f>
        <v>0</v>
      </c>
      <c r="L2233" s="25" t="n">
        <f aca="false">IF($K$2206=0,0,N(INDEX(Clients!$P$2:$P$501,$K$2206)))</f>
        <v>0</v>
      </c>
      <c r="M2233" s="25" t="n">
        <f aca="false">IF(OR(K2233&lt;&gt;0,L2233&lt;&gt;0),1,0)</f>
        <v>0</v>
      </c>
      <c r="N2233" s="25" t="str">
        <f aca="false">IF(M2233=1,SUM($M$2233:M2233),"")</f>
        <v/>
      </c>
      <c r="O2233" s="25" t="n">
        <v>1</v>
      </c>
    </row>
    <row r="2234" customFormat="false" ht="16.5" hidden="false" customHeight="true" outlineLevel="0" collapsed="false">
      <c r="B2234" s="40" t="str">
        <f aca="false">IFERROR(INDEX($J$2233:$J$2236,MATCH($O2234,$N$2233:$N$2236,0)),"")</f>
        <v/>
      </c>
      <c r="C2234" s="41" t="str">
        <f aca="false">IFERROR(INDEX($K$2233:$K$2236,MATCH($O2234,$N$2233:$N$2236,0)),"")</f>
        <v/>
      </c>
      <c r="D2234" s="42" t="str">
        <f aca="false">IF(OR(E2234="",N(C2234)=0),"",E2234/C2234-1)</f>
        <v/>
      </c>
      <c r="E2234" s="41" t="str">
        <f aca="false">IFERROR(INDEX($L$2233:$L$2236,MATCH($O2234,$N$2233:$N$2236,0)),"")</f>
        <v/>
      </c>
      <c r="F2234" s="41" t="str">
        <f aca="false">IF(E2234="","",E2234-C2234)</f>
        <v/>
      </c>
      <c r="J2234" s="25" t="str">
        <f aca="false">Lib_Paye</f>
        <v>Mission sociale (bulletins de paie, DSN, déclarations sociales)</v>
      </c>
      <c r="K2234" s="25" t="n">
        <f aca="false">IF($K$2206=0,0,N(INDEX(Clients!$L$2:$L$501,$K$2206)))</f>
        <v>0</v>
      </c>
      <c r="L2234" s="25" t="n">
        <f aca="false">IF($K$2206=0,0,N(INDEX(Clients!$Q$2:$Q$501,$K$2206)))</f>
        <v>0</v>
      </c>
      <c r="M2234" s="25" t="n">
        <f aca="false">IF(OR(K2234&lt;&gt;0,L2234&lt;&gt;0),1,0)</f>
        <v>0</v>
      </c>
      <c r="N2234" s="25" t="str">
        <f aca="false">IF(M2234=1,SUM($M$2233:M2234),"")</f>
        <v/>
      </c>
      <c r="O2234" s="25" t="n">
        <v>2</v>
      </c>
    </row>
    <row r="2235" customFormat="false" ht="16.5" hidden="false" customHeight="true" outlineLevel="0" collapsed="false">
      <c r="B2235" s="40" t="str">
        <f aca="false">IFERROR(INDEX($J$2233:$J$2236,MATCH($O2235,$N$2233:$N$2236,0)),"")</f>
        <v/>
      </c>
      <c r="C2235" s="41" t="str">
        <f aca="false">IFERROR(INDEX($K$2233:$K$2236,MATCH($O2235,$N$2233:$N$2236,0)),"")</f>
        <v/>
      </c>
      <c r="D2235" s="42" t="str">
        <f aca="false">IF(OR(E2235="",N(C2235)=0),"",E2235/C2235-1)</f>
        <v/>
      </c>
      <c r="E2235" s="41" t="str">
        <f aca="false">IFERROR(INDEX($L$2233:$L$2236,MATCH($O2235,$N$2233:$N$2236,0)),"")</f>
        <v/>
      </c>
      <c r="F2235" s="41" t="str">
        <f aca="false">IF(E2235="","",E2235-C2235)</f>
        <v/>
      </c>
      <c r="J2235" s="25" t="str">
        <f aca="false">Lib_Jur</f>
        <v>Mission juridique (approbation des comptes, secrétariat juridique)</v>
      </c>
      <c r="K2235" s="25" t="n">
        <f aca="false">IF($K$2206=0,0,N(INDEX(Clients!$M$2:$M$501,$K$2206)))</f>
        <v>0</v>
      </c>
      <c r="L2235" s="25" t="n">
        <f aca="false">IF($K$2206=0,0,N(INDEX(Clients!$R$2:$R$501,$K$2206)))</f>
        <v>0</v>
      </c>
      <c r="M2235" s="25" t="n">
        <f aca="false">IF(OR(K2235&lt;&gt;0,L2235&lt;&gt;0),1,0)</f>
        <v>0</v>
      </c>
      <c r="N2235" s="25" t="str">
        <f aca="false">IF(M2235=1,SUM($M$2233:M2235),"")</f>
        <v/>
      </c>
      <c r="O2235" s="25" t="n">
        <v>3</v>
      </c>
    </row>
    <row r="2236" customFormat="false" ht="16.5" hidden="false" customHeight="true" outlineLevel="0" collapsed="false">
      <c r="B2236" s="40" t="str">
        <f aca="false">IFERROR(INDEX($J$2233:$J$2236,MATCH($O2236,$N$2233:$N$2236,0)),"")</f>
        <v/>
      </c>
      <c r="C2236" s="41" t="str">
        <f aca="false">IFERROR(INDEX($K$2233:$K$2236,MATCH($O2236,$N$2233:$N$2236,0)),"")</f>
        <v/>
      </c>
      <c r="D2236" s="42" t="str">
        <f aca="false">IF(OR(E2236="",N(C2236)=0),"",E2236/C2236-1)</f>
        <v/>
      </c>
      <c r="E2236" s="41" t="str">
        <f aca="false">IFERROR(INDEX($L$2233:$L$2236,MATCH($O2236,$N$2233:$N$2236,0)),"")</f>
        <v/>
      </c>
      <c r="F2236" s="41" t="str">
        <f aca="false">IF(E2236="","",E2236-C2236)</f>
        <v/>
      </c>
      <c r="J2236" s="25" t="str">
        <f aca="false">Lib_PA</f>
        <v>Plateforme agréée – facturation électronique</v>
      </c>
      <c r="K2236" s="25" t="n">
        <f aca="false">IF($K$2206=0,0,N(INDEX(Clients!$N$2:$N$501,$K$2206)))</f>
        <v>0</v>
      </c>
      <c r="L2236" s="25" t="n">
        <f aca="false">IF($K$2206=0,0,N(INDEX(Clients!$S$2:$S$501,$K$2206)))</f>
        <v>0</v>
      </c>
      <c r="M2236" s="25" t="n">
        <f aca="false">IF(OR(K2236&lt;&gt;0,L2236&lt;&gt;0),1,0)</f>
        <v>0</v>
      </c>
      <c r="N2236" s="25" t="str">
        <f aca="false">IF(M2236=1,SUM($M$2233:M2236),"")</f>
        <v/>
      </c>
      <c r="O2236" s="25" t="n">
        <v>4</v>
      </c>
    </row>
    <row r="2237" customFormat="false" ht="18" hidden="false" customHeight="true" outlineLevel="0" collapsed="false">
      <c r="B2237" s="43" t="s">
        <v>158</v>
      </c>
      <c r="C2237" s="44" t="n">
        <f aca="false">SUM(K2233:K2236)</f>
        <v>0</v>
      </c>
      <c r="D2237" s="45" t="str">
        <f aca="false">IF(N(C2237)=0,"",E2237/C2237-1)</f>
        <v/>
      </c>
      <c r="E2237" s="44" t="n">
        <f aca="false">SUM(L2233:L2236)</f>
        <v>0</v>
      </c>
      <c r="F2237" s="44" t="n">
        <f aca="false">E2237-C2237</f>
        <v>0</v>
      </c>
    </row>
    <row r="2238" customFormat="false" ht="15" hidden="false" customHeight="false" outlineLevel="0" collapsed="false">
      <c r="B2238" s="46" t="str">
        <f aca="false">IF(N(Nb_Mensualites)=0,"","Soit "&amp;FIXED(E2237/Nb_Mensualites,2)&amp;" € HT par échéance ("&amp;Nb_Mensualites&amp;" échéances), "&amp;FIXED(E2237/Nb_Mensualites*(1+Taux_TVA),2)&amp;" € TTC.")</f>
        <v>Soit 0.00 € HT par échéance (12 échéances), 0.00 € TTC.</v>
      </c>
      <c r="C2238" s="46"/>
      <c r="D2238" s="46"/>
      <c r="E2238" s="46"/>
      <c r="F2238" s="46"/>
    </row>
    <row r="2239" customFormat="false" ht="7.5" hidden="false" customHeight="true" outlineLevel="0" collapsed="false">
      <c r="B2239" s="10"/>
      <c r="C2239" s="10"/>
      <c r="D2239" s="10"/>
      <c r="E2239" s="10"/>
      <c r="F2239" s="10"/>
    </row>
    <row r="2240" customFormat="false" ht="36.75" hidden="false" customHeight="true" outlineLevel="0" collapsed="false">
      <c r="B2240" s="37" t="str">
        <f aca="false">SUBSTITUTE(SUBSTITUTE(SUBSTITUTE(SUBSTITUTE(SUBSTITUTE(Txt_P5,"{cabinet}",Cab_Nom),"{societe}",IF($K$2206=0,"",INDEX(Clients!$E$2:$E$501,$K$2206)&amp;"")),"{date_effet}",$K$2208),"{hausse}",$K$2209),"{civilite}",$K$2207)</f>
        <v>Les autres conditions de votre lettre de mission demeurent inchangées. Les nouveaux montants seront appliqués automatiquement sur vos prochaines factures et échéances de prélèvement.</v>
      </c>
      <c r="C2240" s="37"/>
      <c r="D2240" s="37"/>
      <c r="E2240" s="37"/>
      <c r="F2240" s="37"/>
    </row>
    <row r="2241" customFormat="false" ht="36.75" hidden="false" customHeight="true" outlineLevel="0" collapsed="false">
      <c r="B2241" s="37" t="str">
        <f aca="false">SUBSTITUTE(SUBSTITUTE(SUBSTITUTE(SUBSTITUTE(SUBSTITUTE(Txt_P6,"{cabinet}",Cab_Nom),"{societe}",IF($K$2206=0,"",INDEX(Clients!$E$2:$E$501,$K$2206)&amp;"")),"{date_effet}",$K$2208),"{hausse}",$K$2209),"{civilite}",$K$2207)</f>
        <v>Votre interlocuteur habituel reste à votre entière disposition pour répondre à vos questions et faire le point sur l'évolution de vos besoins.</v>
      </c>
      <c r="C2241" s="37"/>
      <c r="D2241" s="37"/>
      <c r="E2241" s="37"/>
      <c r="F2241" s="37"/>
    </row>
    <row r="2242" customFormat="false" ht="24" hidden="false" customHeight="true" outlineLevel="0" collapsed="false">
      <c r="B2242" s="37" t="str">
        <f aca="false">SUBSTITUTE(SUBSTITUTE(SUBSTITUTE(SUBSTITUTE(SUBSTITUTE(Txt_Politesse,"{cabinet}",Cab_Nom),"{societe}",IF($K$2206=0,"",INDEX(Clients!$E$2:$E$501,$K$2206)&amp;"")),"{date_effet}",$K$2208),"{hausse}",$K$2209),"{civilite}",$K$2207)</f>
        <v>Nous vous prions d'agréer, Madame, Monsieur, l'expression de nos salutations distinguées.</v>
      </c>
      <c r="C2242" s="37"/>
      <c r="D2242" s="37"/>
      <c r="E2242" s="37"/>
      <c r="F2242" s="37"/>
    </row>
    <row r="2243" customFormat="false" ht="15" hidden="false" customHeight="false" outlineLevel="0" collapsed="false">
      <c r="B2243" s="10"/>
      <c r="C2243" s="10"/>
      <c r="D2243" s="10"/>
      <c r="E2243" s="10"/>
      <c r="F2243" s="10"/>
    </row>
    <row r="2244" customFormat="false" ht="15" hidden="false" customHeight="false" outlineLevel="0" collapsed="false">
      <c r="B2244" s="10"/>
      <c r="C2244" s="10"/>
      <c r="D2244" s="34" t="str">
        <f aca="false">Signataire</f>
        <v>Prénom NOM</v>
      </c>
      <c r="E2244" s="34"/>
      <c r="F2244" s="34"/>
    </row>
    <row r="2245" customFormat="false" ht="15" hidden="false" customHeight="false" outlineLevel="0" collapsed="false">
      <c r="B2245" s="10"/>
      <c r="C2245" s="10"/>
      <c r="D2245" s="47" t="str">
        <f aca="false">Signataire_Titre</f>
        <v>Expert-comptable associé</v>
      </c>
      <c r="E2245" s="47"/>
      <c r="F2245" s="47"/>
    </row>
    <row r="2246" customFormat="false" ht="15.75" hidden="false" customHeight="true" outlineLevel="0" collapsed="false">
      <c r="B2246" s="10"/>
      <c r="C2246" s="10"/>
      <c r="D2246" s="10"/>
      <c r="E2246" s="10"/>
      <c r="F2246" s="10"/>
    </row>
    <row r="2247" customFormat="false" ht="15.75" hidden="false" customHeight="true" outlineLevel="0" collapsed="false">
      <c r="B2247" s="10"/>
      <c r="C2247" s="10"/>
      <c r="D2247" s="10"/>
      <c r="E2247" s="10"/>
      <c r="F2247" s="10"/>
    </row>
    <row r="2248" customFormat="false" ht="15.75" hidden="false" customHeight="true" outlineLevel="0" collapsed="false">
      <c r="B2248" s="10"/>
      <c r="C2248" s="10"/>
      <c r="D2248" s="10"/>
      <c r="E2248" s="10"/>
      <c r="F2248" s="10"/>
    </row>
    <row r="2249" customFormat="false" ht="15.75" hidden="false" customHeight="true" outlineLevel="0" collapsed="false">
      <c r="B2249" s="10"/>
      <c r="C2249" s="10"/>
      <c r="D2249" s="10"/>
      <c r="E2249" s="10"/>
      <c r="F2249" s="10"/>
    </row>
    <row r="2250" customFormat="false" ht="24" hidden="false" customHeight="true" outlineLevel="0" collapsed="false">
      <c r="B2250" s="48" t="str">
        <f aca="false">Cab_Mentions</f>
        <v>ALTHO EXPERTISE · SAS au capital de 10 000 € · RCS Pontoise 919 706 325 · TVA FR62919706325 · Société d'expertise comptable inscrite au Tableau de l'Ordre des experts-comptables de Paris Île-de-France</v>
      </c>
      <c r="C2250" s="48"/>
      <c r="D2250" s="48"/>
      <c r="E2250" s="48"/>
      <c r="F2250" s="48"/>
    </row>
    <row r="2251" customFormat="false" ht="15" hidden="false" customHeight="false" outlineLevel="0" collapsed="false">
      <c r="B2251" s="10"/>
      <c r="C2251" s="10"/>
      <c r="D2251" s="10"/>
      <c r="E2251" s="10"/>
      <c r="F2251" s="10"/>
      <c r="J2251" s="25" t="s">
        <v>142</v>
      </c>
      <c r="K2251" s="25" t="n">
        <f aca="false">IFERROR(MATCH(51,Clients!$Z$2:$Z$501,0),0)</f>
        <v>0</v>
      </c>
      <c r="L2251" s="25"/>
      <c r="M2251" s="25"/>
      <c r="N2251" s="25"/>
      <c r="O2251" s="25"/>
    </row>
    <row r="2252" customFormat="false" ht="21.75" hidden="false" customHeight="true" outlineLevel="0" collapsed="false">
      <c r="B2252" s="26" t="str">
        <f aca="false">Cab_Nom</f>
        <v>ALTHO EXPERTISE</v>
      </c>
      <c r="C2252" s="26"/>
      <c r="D2252" s="10"/>
      <c r="E2252" s="27" t="str">
        <f aca="false">IF($K$2251=0,"","Réf. client : "&amp;INDEX(Clients!$A$2:$A$501,$K$2251))</f>
        <v/>
      </c>
      <c r="F2252" s="27"/>
      <c r="J2252" s="25" t="s">
        <v>144</v>
      </c>
      <c r="K2252" s="25" t="str">
        <f aca="false">IF(IF($K$2251=0,"",INDEX(Clients!$B$2:$B$501,$K$2251)&amp;"")="Mme","Madame",IF(IF($K$2251=0,"",INDEX(Clients!$B$2:$B$501,$K$2251)&amp;"")="M.","Monsieur","Madame, Monsieur"))</f>
        <v>Madame, Monsieur</v>
      </c>
      <c r="L2252" s="25"/>
      <c r="M2252" s="25"/>
      <c r="N2252" s="25"/>
      <c r="O2252" s="25"/>
    </row>
    <row r="2253" customFormat="false" ht="15" hidden="false" customHeight="false" outlineLevel="0" collapsed="false">
      <c r="B2253" s="29" t="str">
        <f aca="false">Cab_Adr1</f>
        <v>141 rue Charles de Gaulle</v>
      </c>
      <c r="C2253" s="29"/>
      <c r="D2253" s="10"/>
      <c r="E2253" s="10"/>
      <c r="F2253" s="10"/>
      <c r="J2253" s="25" t="s">
        <v>145</v>
      </c>
      <c r="K2253" s="25" t="str">
        <f aca="false">DAY(Date_Effet)&amp;IF(DAY(Date_Effet)=1,"er","")&amp;" "&amp;INDEX(Liste_Mois,MONTH(Date_Effet))&amp;" "&amp;YEAR(Date_Effet)</f>
        <v>1er janvier 2027</v>
      </c>
      <c r="L2253" s="25"/>
      <c r="M2253" s="25"/>
      <c r="N2253" s="25"/>
      <c r="O2253" s="25"/>
    </row>
    <row r="2254" customFormat="false" ht="15" hidden="false" customHeight="false" outlineLevel="0" collapsed="false">
      <c r="B2254" s="29" t="str">
        <f aca="false">Cab_CPVille</f>
        <v>95130 LE PLESSIS-BOUCHARD</v>
      </c>
      <c r="C2254" s="29"/>
      <c r="D2254" s="10"/>
      <c r="E2254" s="10"/>
      <c r="F2254" s="10"/>
      <c r="J2254" s="25" t="s">
        <v>146</v>
      </c>
      <c r="K2254" s="25" t="str">
        <f aca="false">IF(SUM($K$2278:$K$2281)=0,"",FIXED((SUM($L$2278:$L$2281)/SUM($K$2278:$K$2281)-1)*100,1)&amp;" %")</f>
        <v/>
      </c>
      <c r="L2254" s="25"/>
      <c r="M2254" s="25"/>
      <c r="N2254" s="25"/>
      <c r="O2254" s="25"/>
    </row>
    <row r="2255" customFormat="false" ht="15" hidden="false" customHeight="false" outlineLevel="0" collapsed="false">
      <c r="B2255" s="29" t="str">
        <f aca="false">Cab_Contact</f>
        <v>Tél. 01 34 14 53 45  ·  altho@altho-experts.com  ·  altho-experts.com</v>
      </c>
      <c r="C2255" s="29"/>
      <c r="D2255" s="10"/>
      <c r="E2255" s="10"/>
      <c r="F2255" s="10"/>
      <c r="J2255" s="25"/>
      <c r="K2255" s="25"/>
      <c r="L2255" s="25"/>
      <c r="M2255" s="25"/>
      <c r="N2255" s="25"/>
      <c r="O2255" s="25"/>
    </row>
    <row r="2256" customFormat="false" ht="6" hidden="false" customHeight="true" outlineLevel="0" collapsed="false">
      <c r="B2256" s="32"/>
      <c r="C2256" s="32"/>
      <c r="D2256" s="32"/>
      <c r="E2256" s="32"/>
      <c r="F2256" s="32"/>
      <c r="J2256" s="25"/>
      <c r="K2256" s="25"/>
      <c r="L2256" s="25"/>
      <c r="M2256" s="25"/>
      <c r="N2256" s="25"/>
      <c r="O2256" s="25"/>
    </row>
    <row r="2257" customFormat="false" ht="13.5" hidden="false" customHeight="true" outlineLevel="0" collapsed="false">
      <c r="B2257" s="10"/>
      <c r="C2257" s="10"/>
      <c r="D2257" s="10"/>
      <c r="E2257" s="10"/>
      <c r="F2257" s="10"/>
      <c r="J2257" s="25"/>
      <c r="K2257" s="25"/>
      <c r="L2257" s="25"/>
      <c r="M2257" s="25"/>
      <c r="N2257" s="25"/>
      <c r="O2257" s="25"/>
    </row>
    <row r="2258" customFormat="false" ht="13.5" hidden="false" customHeight="true" outlineLevel="0" collapsed="false">
      <c r="B2258" s="10"/>
      <c r="C2258" s="10"/>
      <c r="D2258" s="10"/>
      <c r="E2258" s="10"/>
      <c r="F2258" s="10"/>
      <c r="J2258" s="25"/>
      <c r="K2258" s="25"/>
      <c r="L2258" s="25"/>
      <c r="M2258" s="25"/>
      <c r="N2258" s="25"/>
      <c r="O2258" s="25"/>
    </row>
    <row r="2259" customFormat="false" ht="13.5" hidden="false" customHeight="true" outlineLevel="0" collapsed="false">
      <c r="B2259" s="10"/>
      <c r="C2259" s="10"/>
      <c r="D2259" s="10"/>
      <c r="E2259" s="10"/>
      <c r="F2259" s="10"/>
      <c r="J2259" s="25"/>
      <c r="K2259" s="25"/>
      <c r="L2259" s="25"/>
      <c r="M2259" s="25"/>
      <c r="N2259" s="25"/>
      <c r="O2259" s="25"/>
    </row>
    <row r="2260" customFormat="false" ht="15" hidden="false" customHeight="true" outlineLevel="0" collapsed="false">
      <c r="B2260" s="10"/>
      <c r="C2260" s="10"/>
      <c r="D2260" s="34" t="str">
        <f aca="false">IF($K$2251=0,"",INDEX(Clients!$E$2:$E$501,$K$2251)&amp;"")</f>
        <v/>
      </c>
      <c r="E2260" s="34"/>
      <c r="F2260" s="34"/>
      <c r="J2260" s="25"/>
      <c r="K2260" s="25"/>
      <c r="L2260" s="25"/>
      <c r="M2260" s="25"/>
      <c r="N2260" s="25"/>
      <c r="O2260" s="25"/>
    </row>
    <row r="2261" customFormat="false" ht="15" hidden="false" customHeight="true" outlineLevel="0" collapsed="false">
      <c r="B2261" s="10"/>
      <c r="C2261" s="10"/>
      <c r="D2261" s="35" t="str">
        <f aca="false">IF(IF($K$2251=0,"",INDEX(Clients!$D$2:$D$501,$K$2251)&amp;"")="","","À l'attention de "&amp;TRIM(IF($K$2251=0,"",INDEX(Clients!$B$2:$B$501,$K$2251)&amp;"")&amp;" "&amp;IF($K$2251=0,"",INDEX(Clients!$C$2:$C$501,$K$2251)&amp;"")&amp;" "&amp;IF($K$2251=0,"",INDEX(Clients!$D$2:$D$501,$K$2251)&amp;"")))</f>
        <v/>
      </c>
      <c r="E2261" s="35"/>
      <c r="F2261" s="35"/>
      <c r="J2261" s="25"/>
      <c r="K2261" s="25"/>
      <c r="L2261" s="25"/>
      <c r="M2261" s="25"/>
      <c r="N2261" s="25"/>
      <c r="O2261" s="25"/>
    </row>
    <row r="2262" customFormat="false" ht="15" hidden="false" customHeight="true" outlineLevel="0" collapsed="false">
      <c r="B2262" s="10"/>
      <c r="C2262" s="10"/>
      <c r="D2262" s="35" t="str">
        <f aca="false">IF($K$2251=0,"",INDEX(Clients!$F$2:$F$501,$K$2251)&amp;"")</f>
        <v/>
      </c>
      <c r="E2262" s="35"/>
      <c r="F2262" s="35"/>
      <c r="J2262" s="25"/>
      <c r="K2262" s="25"/>
      <c r="L2262" s="25"/>
      <c r="M2262" s="25"/>
      <c r="N2262" s="25"/>
      <c r="O2262" s="25"/>
    </row>
    <row r="2263" customFormat="false" ht="15" hidden="false" customHeight="true" outlineLevel="0" collapsed="false">
      <c r="B2263" s="10"/>
      <c r="C2263" s="10"/>
      <c r="D2263" s="35" t="str">
        <f aca="false">IF(IF($K$2251=0,"",INDEX(Clients!$G$2:$G$501,$K$2251)&amp;"")="",TRIM(IF($K$2251=0,"",INDEX(Clients!$H$2:$H$501,$K$2251)&amp;"")&amp;" "&amp;UPPER(IF($K$2251=0,"",INDEX(Clients!$I$2:$I$501,$K$2251)&amp;""))),IF($K$2251=0,"",INDEX(Clients!$G$2:$G$501,$K$2251)&amp;""))</f>
        <v/>
      </c>
      <c r="E2263" s="35"/>
      <c r="F2263" s="35"/>
      <c r="J2263" s="25"/>
      <c r="K2263" s="25"/>
      <c r="L2263" s="25"/>
      <c r="M2263" s="25"/>
      <c r="N2263" s="25"/>
      <c r="O2263" s="25"/>
    </row>
    <row r="2264" customFormat="false" ht="15" hidden="false" customHeight="true" outlineLevel="0" collapsed="false">
      <c r="B2264" s="10"/>
      <c r="C2264" s="10"/>
      <c r="D2264" s="35" t="str">
        <f aca="false">IF(IF($K$2251=0,"",INDEX(Clients!$G$2:$G$501,$K$2251)&amp;"")="","",TRIM(IF($K$2251=0,"",INDEX(Clients!$H$2:$H$501,$K$2251)&amp;"")&amp;" "&amp;UPPER(IF($K$2251=0,"",INDEX(Clients!$I$2:$I$501,$K$2251)&amp;""))))</f>
        <v/>
      </c>
      <c r="E2264" s="35"/>
      <c r="F2264" s="35"/>
      <c r="J2264" s="25"/>
      <c r="K2264" s="25"/>
      <c r="L2264" s="25"/>
      <c r="M2264" s="25"/>
      <c r="N2264" s="25"/>
      <c r="O2264" s="25"/>
    </row>
    <row r="2265" customFormat="false" ht="25.5" hidden="false" customHeight="true" outlineLevel="0" collapsed="false">
      <c r="B2265" s="10"/>
      <c r="C2265" s="10"/>
      <c r="D2265" s="10"/>
      <c r="E2265" s="10"/>
      <c r="F2265" s="10"/>
      <c r="J2265" s="25"/>
      <c r="K2265" s="25"/>
      <c r="L2265" s="25"/>
      <c r="M2265" s="25"/>
      <c r="N2265" s="25"/>
      <c r="O2265" s="25"/>
    </row>
    <row r="2266" customFormat="false" ht="15" hidden="false" customHeight="false" outlineLevel="0" collapsed="false">
      <c r="B2266" s="10"/>
      <c r="C2266" s="10"/>
      <c r="D2266" s="36" t="str">
        <f aca="false">Cab_Ville&amp;", le "&amp;DAY(Date_Courrier)&amp;IF(DAY(Date_Courrier)=1,"er","")&amp;" "&amp;INDEX(Liste_Mois,MONTH(Date_Courrier))&amp;" "&amp;YEAR(Date_Courrier)</f>
        <v>Le Plessis-Bouchard, le 22 septembre 2026</v>
      </c>
      <c r="E2266" s="36"/>
      <c r="F2266" s="36"/>
      <c r="J2266" s="25"/>
      <c r="K2266" s="25"/>
      <c r="L2266" s="25"/>
      <c r="M2266" s="25"/>
      <c r="N2266" s="25"/>
      <c r="O2266" s="25"/>
    </row>
    <row r="2267" customFormat="false" ht="19.5" hidden="false" customHeight="true" outlineLevel="0" collapsed="false">
      <c r="B2267" s="10"/>
      <c r="C2267" s="10"/>
      <c r="D2267" s="10"/>
      <c r="E2267" s="10"/>
      <c r="F2267" s="10"/>
      <c r="J2267" s="25"/>
      <c r="K2267" s="25"/>
      <c r="L2267" s="25"/>
      <c r="M2267" s="25"/>
      <c r="N2267" s="25"/>
      <c r="O2267" s="25"/>
    </row>
    <row r="2268" customFormat="false" ht="15" hidden="false" customHeight="false" outlineLevel="0" collapsed="false">
      <c r="B2268" s="34" t="str">
        <f aca="false">SUBSTITUTE(SUBSTITUTE(SUBSTITUTE(SUBSTITUTE(SUBSTITUTE(Txt_Objet,"{cabinet}",Cab_Nom),"{societe}",IF($K$2251=0,"",INDEX(Clients!$E$2:$E$501,$K$2251)&amp;"")),"{date_effet}",$K$2253),"{hausse}",$K$2254),"{civilite}",$K$2252)</f>
        <v>Objet : révision de nos honoraires au 1er janvier 2027</v>
      </c>
      <c r="C2268" s="34"/>
      <c r="D2268" s="34"/>
      <c r="E2268" s="34"/>
      <c r="F2268" s="34"/>
      <c r="J2268" s="25"/>
      <c r="K2268" s="25"/>
      <c r="L2268" s="25"/>
      <c r="M2268" s="25"/>
      <c r="N2268" s="25"/>
      <c r="O2268" s="25"/>
    </row>
    <row r="2269" customFormat="false" ht="13.5" hidden="false" customHeight="true" outlineLevel="0" collapsed="false">
      <c r="B2269" s="10"/>
      <c r="C2269" s="10"/>
      <c r="D2269" s="10"/>
      <c r="E2269" s="10"/>
      <c r="F2269" s="10"/>
      <c r="J2269" s="25"/>
      <c r="K2269" s="25"/>
      <c r="L2269" s="25"/>
      <c r="M2269" s="25"/>
      <c r="N2269" s="25"/>
      <c r="O2269" s="25"/>
    </row>
    <row r="2270" customFormat="false" ht="15" hidden="false" customHeight="false" outlineLevel="0" collapsed="false">
      <c r="B2270" s="10" t="str">
        <f aca="false">$K$2252&amp;","</f>
        <v>Madame, Monsieur,</v>
      </c>
      <c r="C2270" s="10"/>
      <c r="D2270" s="10"/>
      <c r="E2270" s="10"/>
      <c r="F2270" s="10"/>
      <c r="J2270" s="25"/>
      <c r="K2270" s="25"/>
      <c r="L2270" s="25"/>
      <c r="M2270" s="25"/>
      <c r="N2270" s="25"/>
      <c r="O2270" s="25"/>
    </row>
    <row r="2271" customFormat="false" ht="6" hidden="false" customHeight="true" outlineLevel="0" collapsed="false">
      <c r="B2271" s="10"/>
      <c r="C2271" s="10"/>
      <c r="D2271" s="10"/>
      <c r="E2271" s="10"/>
      <c r="F2271" s="10"/>
      <c r="J2271" s="25"/>
      <c r="K2271" s="25"/>
      <c r="L2271" s="25"/>
      <c r="M2271" s="25"/>
      <c r="N2271" s="25"/>
      <c r="O2271" s="25"/>
    </row>
    <row r="2272" customFormat="false" ht="36.75" hidden="false" customHeight="true" outlineLevel="0" collapsed="false">
      <c r="B2272" s="37" t="str">
        <f aca="false">SUBSTITUTE(SUBSTITUTE(SUBSTITUTE(SUBSTITUTE(SUBSTITUTE(Txt_P1,"{cabinet}",Cab_Nom),"{societe}",IF($K$2251=0,"",INDEX(Clients!$E$2:$E$501,$K$2251)&amp;"")),"{date_effet}",$K$2253),"{hausse}",$K$2254),"{civilite}",$K$2252)</f>
        <v>Nous tenons tout d'abord à vous remercier pour la confiance que vous accordez à ALTHO EXPERTISE. Comme chaque année, et conformément aux dispositions de votre lettre de mission, nous procédons à la révision de nos honoraires.</v>
      </c>
      <c r="C2272" s="37"/>
      <c r="D2272" s="37"/>
      <c r="E2272" s="37"/>
      <c r="F2272" s="37"/>
      <c r="J2272" s="25"/>
      <c r="K2272" s="25"/>
      <c r="L2272" s="25"/>
      <c r="M2272" s="25"/>
      <c r="N2272" s="25"/>
      <c r="O2272" s="25"/>
    </row>
    <row r="2273" customFormat="false" ht="49.5" hidden="false" customHeight="true" outlineLevel="0" collapsed="false">
      <c r="B2273" s="37" t="str">
        <f aca="false">SUBSTITUTE(SUBSTITUTE(SUBSTITUTE(SUBSTITUTE(SUBSTITUTE(Txt_P2,"{cabinet}",Cab_Nom),"{societe}",IF($K$2251=0,"",INDEX(Clients!$E$2:$E$501,$K$2251)&amp;"")),"{date_effet}",$K$2253),"{hausse}",$K$2254),"{civilite}",$K$2252)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273" s="37"/>
      <c r="D2273" s="37"/>
      <c r="E2273" s="37"/>
      <c r="F2273" s="37"/>
      <c r="J2273" s="25"/>
      <c r="K2273" s="25"/>
      <c r="L2273" s="25"/>
      <c r="M2273" s="25"/>
      <c r="N2273" s="25"/>
      <c r="O2273" s="25"/>
    </row>
    <row r="2274" customFormat="false" ht="63" hidden="false" customHeight="true" outlineLevel="0" collapsed="false">
      <c r="B2274" s="37" t="str">
        <f aca="false">SUBSTITUTE(SUBSTITUTE(SUBSTITUTE(SUBSTITUTE(SUBSTITUTE(Txt_P3,"{cabinet}",Cab_Nom),"{societe}",IF($K$2251=0,"",INDEX(Clients!$E$2:$E$501,$K$2251)&amp;"")),"{date_effet}",$K$2253),"{hausse}",$K$2254),"{civilite}",$K$2252)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274" s="37"/>
      <c r="D2274" s="37"/>
      <c r="E2274" s="37"/>
      <c r="F2274" s="37"/>
      <c r="J2274" s="25"/>
      <c r="K2274" s="25"/>
      <c r="L2274" s="25"/>
      <c r="M2274" s="25"/>
      <c r="N2274" s="25"/>
      <c r="O2274" s="25"/>
    </row>
    <row r="2275" customFormat="false" ht="24" hidden="false" customHeight="true" outlineLevel="0" collapsed="false">
      <c r="B2275" s="37" t="str">
        <f aca="false">SUBSTITUTE(SUBSTITUTE(SUBSTITUTE(SUBSTITUTE(SUBSTITUTE(Txt_P4,"{cabinet}",Cab_Nom),"{societe}",IF($K$2251=0,"",INDEX(Clients!$E$2:$E$501,$K$2251)&amp;"")),"{date_effet}",$K$2253),"{hausse}",$K$2254),"{civilite}",$K$2252)</f>
        <v>À compter du 1er janvier 2027, vos honoraires annuels hors taxes évolueront ainsi (évolution globale : ) :</v>
      </c>
      <c r="C2275" s="37"/>
      <c r="D2275" s="37"/>
      <c r="E2275" s="37"/>
      <c r="F2275" s="37"/>
      <c r="J2275" s="25"/>
      <c r="K2275" s="25"/>
      <c r="L2275" s="25"/>
      <c r="M2275" s="25"/>
      <c r="N2275" s="25"/>
      <c r="O2275" s="25"/>
    </row>
    <row r="2276" customFormat="false" ht="3.75" hidden="false" customHeight="true" outlineLevel="0" collapsed="false">
      <c r="B2276" s="10"/>
      <c r="C2276" s="10"/>
      <c r="D2276" s="10"/>
      <c r="E2276" s="10"/>
      <c r="F2276" s="10"/>
      <c r="J2276" s="25"/>
      <c r="K2276" s="25"/>
      <c r="L2276" s="25"/>
      <c r="M2276" s="25"/>
      <c r="N2276" s="25"/>
      <c r="O2276" s="25"/>
    </row>
    <row r="2277" customFormat="false" ht="18" hidden="false" customHeight="true" outlineLevel="0" collapsed="false">
      <c r="B2277" s="38" t="s">
        <v>148</v>
      </c>
      <c r="C2277" s="39" t="s">
        <v>149</v>
      </c>
      <c r="D2277" s="39" t="s">
        <v>150</v>
      </c>
      <c r="E2277" s="39" t="s">
        <v>151</v>
      </c>
      <c r="F2277" s="39" t="s">
        <v>109</v>
      </c>
      <c r="J2277" s="25" t="s">
        <v>152</v>
      </c>
      <c r="K2277" s="25" t="s">
        <v>153</v>
      </c>
      <c r="L2277" s="25" t="s">
        <v>154</v>
      </c>
      <c r="M2277" s="25" t="s">
        <v>155</v>
      </c>
      <c r="N2277" s="25" t="s">
        <v>156</v>
      </c>
      <c r="O2277" s="25" t="s">
        <v>157</v>
      </c>
    </row>
    <row r="2278" customFormat="false" ht="16.5" hidden="false" customHeight="true" outlineLevel="0" collapsed="false">
      <c r="B2278" s="40" t="str">
        <f aca="false">IFERROR(INDEX($J$2278:$J$2281,MATCH($O2278,$N$2278:$N$2281,0)),"")</f>
        <v/>
      </c>
      <c r="C2278" s="41" t="str">
        <f aca="false">IFERROR(INDEX($K$2278:$K$2281,MATCH($O2278,$N$2278:$N$2281,0)),"")</f>
        <v/>
      </c>
      <c r="D2278" s="42" t="str">
        <f aca="false">IF(OR(E2278="",N(C2278)=0),"",E2278/C2278-1)</f>
        <v/>
      </c>
      <c r="E2278" s="41" t="str">
        <f aca="false">IFERROR(INDEX($L$2278:$L$2281,MATCH($O2278,$N$2278:$N$2281,0)),"")</f>
        <v/>
      </c>
      <c r="F2278" s="41" t="str">
        <f aca="false">IF(E2278="","",E2278-C2278)</f>
        <v/>
      </c>
      <c r="J2278" s="25" t="str">
        <f aca="false">Lib_Compta</f>
        <v>Mission comptable (tenue, révision, bilan, liasse fiscale)</v>
      </c>
      <c r="K2278" s="25" t="n">
        <f aca="false">IF($K$2251=0,0,N(INDEX(Clients!$K$2:$K$501,$K$2251)))</f>
        <v>0</v>
      </c>
      <c r="L2278" s="25" t="n">
        <f aca="false">IF($K$2251=0,0,N(INDEX(Clients!$P$2:$P$501,$K$2251)))</f>
        <v>0</v>
      </c>
      <c r="M2278" s="25" t="n">
        <f aca="false">IF(OR(K2278&lt;&gt;0,L2278&lt;&gt;0),1,0)</f>
        <v>0</v>
      </c>
      <c r="N2278" s="25" t="str">
        <f aca="false">IF(M2278=1,SUM($M$2278:M2278),"")</f>
        <v/>
      </c>
      <c r="O2278" s="25" t="n">
        <v>1</v>
      </c>
    </row>
    <row r="2279" customFormat="false" ht="16.5" hidden="false" customHeight="true" outlineLevel="0" collapsed="false">
      <c r="B2279" s="40" t="str">
        <f aca="false">IFERROR(INDEX($J$2278:$J$2281,MATCH($O2279,$N$2278:$N$2281,0)),"")</f>
        <v/>
      </c>
      <c r="C2279" s="41" t="str">
        <f aca="false">IFERROR(INDEX($K$2278:$K$2281,MATCH($O2279,$N$2278:$N$2281,0)),"")</f>
        <v/>
      </c>
      <c r="D2279" s="42" t="str">
        <f aca="false">IF(OR(E2279="",N(C2279)=0),"",E2279/C2279-1)</f>
        <v/>
      </c>
      <c r="E2279" s="41" t="str">
        <f aca="false">IFERROR(INDEX($L$2278:$L$2281,MATCH($O2279,$N$2278:$N$2281,0)),"")</f>
        <v/>
      </c>
      <c r="F2279" s="41" t="str">
        <f aca="false">IF(E2279="","",E2279-C2279)</f>
        <v/>
      </c>
      <c r="J2279" s="25" t="str">
        <f aca="false">Lib_Paye</f>
        <v>Mission sociale (bulletins de paie, DSN, déclarations sociales)</v>
      </c>
      <c r="K2279" s="25" t="n">
        <f aca="false">IF($K$2251=0,0,N(INDEX(Clients!$L$2:$L$501,$K$2251)))</f>
        <v>0</v>
      </c>
      <c r="L2279" s="25" t="n">
        <f aca="false">IF($K$2251=0,0,N(INDEX(Clients!$Q$2:$Q$501,$K$2251)))</f>
        <v>0</v>
      </c>
      <c r="M2279" s="25" t="n">
        <f aca="false">IF(OR(K2279&lt;&gt;0,L2279&lt;&gt;0),1,0)</f>
        <v>0</v>
      </c>
      <c r="N2279" s="25" t="str">
        <f aca="false">IF(M2279=1,SUM($M$2278:M2279),"")</f>
        <v/>
      </c>
      <c r="O2279" s="25" t="n">
        <v>2</v>
      </c>
    </row>
    <row r="2280" customFormat="false" ht="16.5" hidden="false" customHeight="true" outlineLevel="0" collapsed="false">
      <c r="B2280" s="40" t="str">
        <f aca="false">IFERROR(INDEX($J$2278:$J$2281,MATCH($O2280,$N$2278:$N$2281,0)),"")</f>
        <v/>
      </c>
      <c r="C2280" s="41" t="str">
        <f aca="false">IFERROR(INDEX($K$2278:$K$2281,MATCH($O2280,$N$2278:$N$2281,0)),"")</f>
        <v/>
      </c>
      <c r="D2280" s="42" t="str">
        <f aca="false">IF(OR(E2280="",N(C2280)=0),"",E2280/C2280-1)</f>
        <v/>
      </c>
      <c r="E2280" s="41" t="str">
        <f aca="false">IFERROR(INDEX($L$2278:$L$2281,MATCH($O2280,$N$2278:$N$2281,0)),"")</f>
        <v/>
      </c>
      <c r="F2280" s="41" t="str">
        <f aca="false">IF(E2280="","",E2280-C2280)</f>
        <v/>
      </c>
      <c r="J2280" s="25" t="str">
        <f aca="false">Lib_Jur</f>
        <v>Mission juridique (approbation des comptes, secrétariat juridique)</v>
      </c>
      <c r="K2280" s="25" t="n">
        <f aca="false">IF($K$2251=0,0,N(INDEX(Clients!$M$2:$M$501,$K$2251)))</f>
        <v>0</v>
      </c>
      <c r="L2280" s="25" t="n">
        <f aca="false">IF($K$2251=0,0,N(INDEX(Clients!$R$2:$R$501,$K$2251)))</f>
        <v>0</v>
      </c>
      <c r="M2280" s="25" t="n">
        <f aca="false">IF(OR(K2280&lt;&gt;0,L2280&lt;&gt;0),1,0)</f>
        <v>0</v>
      </c>
      <c r="N2280" s="25" t="str">
        <f aca="false">IF(M2280=1,SUM($M$2278:M2280),"")</f>
        <v/>
      </c>
      <c r="O2280" s="25" t="n">
        <v>3</v>
      </c>
    </row>
    <row r="2281" customFormat="false" ht="16.5" hidden="false" customHeight="true" outlineLevel="0" collapsed="false">
      <c r="B2281" s="40" t="str">
        <f aca="false">IFERROR(INDEX($J$2278:$J$2281,MATCH($O2281,$N$2278:$N$2281,0)),"")</f>
        <v/>
      </c>
      <c r="C2281" s="41" t="str">
        <f aca="false">IFERROR(INDEX($K$2278:$K$2281,MATCH($O2281,$N$2278:$N$2281,0)),"")</f>
        <v/>
      </c>
      <c r="D2281" s="42" t="str">
        <f aca="false">IF(OR(E2281="",N(C2281)=0),"",E2281/C2281-1)</f>
        <v/>
      </c>
      <c r="E2281" s="41" t="str">
        <f aca="false">IFERROR(INDEX($L$2278:$L$2281,MATCH($O2281,$N$2278:$N$2281,0)),"")</f>
        <v/>
      </c>
      <c r="F2281" s="41" t="str">
        <f aca="false">IF(E2281="","",E2281-C2281)</f>
        <v/>
      </c>
      <c r="J2281" s="25" t="str">
        <f aca="false">Lib_PA</f>
        <v>Plateforme agréée – facturation électronique</v>
      </c>
      <c r="K2281" s="25" t="n">
        <f aca="false">IF($K$2251=0,0,N(INDEX(Clients!$N$2:$N$501,$K$2251)))</f>
        <v>0</v>
      </c>
      <c r="L2281" s="25" t="n">
        <f aca="false">IF($K$2251=0,0,N(INDEX(Clients!$S$2:$S$501,$K$2251)))</f>
        <v>0</v>
      </c>
      <c r="M2281" s="25" t="n">
        <f aca="false">IF(OR(K2281&lt;&gt;0,L2281&lt;&gt;0),1,0)</f>
        <v>0</v>
      </c>
      <c r="N2281" s="25" t="str">
        <f aca="false">IF(M2281=1,SUM($M$2278:M2281),"")</f>
        <v/>
      </c>
      <c r="O2281" s="25" t="n">
        <v>4</v>
      </c>
    </row>
    <row r="2282" customFormat="false" ht="18" hidden="false" customHeight="true" outlineLevel="0" collapsed="false">
      <c r="B2282" s="43" t="s">
        <v>158</v>
      </c>
      <c r="C2282" s="44" t="n">
        <f aca="false">SUM(K2278:K2281)</f>
        <v>0</v>
      </c>
      <c r="D2282" s="45" t="str">
        <f aca="false">IF(N(C2282)=0,"",E2282/C2282-1)</f>
        <v/>
      </c>
      <c r="E2282" s="44" t="n">
        <f aca="false">SUM(L2278:L2281)</f>
        <v>0</v>
      </c>
      <c r="F2282" s="44" t="n">
        <f aca="false">E2282-C2282</f>
        <v>0</v>
      </c>
    </row>
    <row r="2283" customFormat="false" ht="15" hidden="false" customHeight="false" outlineLevel="0" collapsed="false">
      <c r="B2283" s="46" t="str">
        <f aca="false">IF(N(Nb_Mensualites)=0,"","Soit "&amp;FIXED(E2282/Nb_Mensualites,2)&amp;" € HT par échéance ("&amp;Nb_Mensualites&amp;" échéances), "&amp;FIXED(E2282/Nb_Mensualites*(1+Taux_TVA),2)&amp;" € TTC.")</f>
        <v>Soit 0.00 € HT par échéance (12 échéances), 0.00 € TTC.</v>
      </c>
      <c r="C2283" s="46"/>
      <c r="D2283" s="46"/>
      <c r="E2283" s="46"/>
      <c r="F2283" s="46"/>
    </row>
    <row r="2284" customFormat="false" ht="7.5" hidden="false" customHeight="true" outlineLevel="0" collapsed="false">
      <c r="B2284" s="10"/>
      <c r="C2284" s="10"/>
      <c r="D2284" s="10"/>
      <c r="E2284" s="10"/>
      <c r="F2284" s="10"/>
    </row>
    <row r="2285" customFormat="false" ht="36.75" hidden="false" customHeight="true" outlineLevel="0" collapsed="false">
      <c r="B2285" s="37" t="str">
        <f aca="false">SUBSTITUTE(SUBSTITUTE(SUBSTITUTE(SUBSTITUTE(SUBSTITUTE(Txt_P5,"{cabinet}",Cab_Nom),"{societe}",IF($K$2251=0,"",INDEX(Clients!$E$2:$E$501,$K$2251)&amp;"")),"{date_effet}",$K$2253),"{hausse}",$K$2254),"{civilite}",$K$2252)</f>
        <v>Les autres conditions de votre lettre de mission demeurent inchangées. Les nouveaux montants seront appliqués automatiquement sur vos prochaines factures et échéances de prélèvement.</v>
      </c>
      <c r="C2285" s="37"/>
      <c r="D2285" s="37"/>
      <c r="E2285" s="37"/>
      <c r="F2285" s="37"/>
    </row>
    <row r="2286" customFormat="false" ht="36.75" hidden="false" customHeight="true" outlineLevel="0" collapsed="false">
      <c r="B2286" s="37" t="str">
        <f aca="false">SUBSTITUTE(SUBSTITUTE(SUBSTITUTE(SUBSTITUTE(SUBSTITUTE(Txt_P6,"{cabinet}",Cab_Nom),"{societe}",IF($K$2251=0,"",INDEX(Clients!$E$2:$E$501,$K$2251)&amp;"")),"{date_effet}",$K$2253),"{hausse}",$K$2254),"{civilite}",$K$2252)</f>
        <v>Votre interlocuteur habituel reste à votre entière disposition pour répondre à vos questions et faire le point sur l'évolution de vos besoins.</v>
      </c>
      <c r="C2286" s="37"/>
      <c r="D2286" s="37"/>
      <c r="E2286" s="37"/>
      <c r="F2286" s="37"/>
    </row>
    <row r="2287" customFormat="false" ht="24" hidden="false" customHeight="true" outlineLevel="0" collapsed="false">
      <c r="B2287" s="37" t="str">
        <f aca="false">SUBSTITUTE(SUBSTITUTE(SUBSTITUTE(SUBSTITUTE(SUBSTITUTE(Txt_Politesse,"{cabinet}",Cab_Nom),"{societe}",IF($K$2251=0,"",INDEX(Clients!$E$2:$E$501,$K$2251)&amp;"")),"{date_effet}",$K$2253),"{hausse}",$K$2254),"{civilite}",$K$2252)</f>
        <v>Nous vous prions d'agréer, Madame, Monsieur, l'expression de nos salutations distinguées.</v>
      </c>
      <c r="C2287" s="37"/>
      <c r="D2287" s="37"/>
      <c r="E2287" s="37"/>
      <c r="F2287" s="37"/>
    </row>
    <row r="2288" customFormat="false" ht="15" hidden="false" customHeight="false" outlineLevel="0" collapsed="false">
      <c r="B2288" s="10"/>
      <c r="C2288" s="10"/>
      <c r="D2288" s="10"/>
      <c r="E2288" s="10"/>
      <c r="F2288" s="10"/>
    </row>
    <row r="2289" customFormat="false" ht="15" hidden="false" customHeight="false" outlineLevel="0" collapsed="false">
      <c r="B2289" s="10"/>
      <c r="C2289" s="10"/>
      <c r="D2289" s="34" t="str">
        <f aca="false">Signataire</f>
        <v>Prénom NOM</v>
      </c>
      <c r="E2289" s="34"/>
      <c r="F2289" s="34"/>
    </row>
    <row r="2290" customFormat="false" ht="15" hidden="false" customHeight="false" outlineLevel="0" collapsed="false">
      <c r="B2290" s="10"/>
      <c r="C2290" s="10"/>
      <c r="D2290" s="47" t="str">
        <f aca="false">Signataire_Titre</f>
        <v>Expert-comptable associé</v>
      </c>
      <c r="E2290" s="47"/>
      <c r="F2290" s="47"/>
    </row>
    <row r="2291" customFormat="false" ht="15.75" hidden="false" customHeight="true" outlineLevel="0" collapsed="false">
      <c r="B2291" s="10"/>
      <c r="C2291" s="10"/>
      <c r="D2291" s="10"/>
      <c r="E2291" s="10"/>
      <c r="F2291" s="10"/>
    </row>
    <row r="2292" customFormat="false" ht="15.75" hidden="false" customHeight="true" outlineLevel="0" collapsed="false">
      <c r="B2292" s="10"/>
      <c r="C2292" s="10"/>
      <c r="D2292" s="10"/>
      <c r="E2292" s="10"/>
      <c r="F2292" s="10"/>
    </row>
    <row r="2293" customFormat="false" ht="15.75" hidden="false" customHeight="true" outlineLevel="0" collapsed="false">
      <c r="B2293" s="10"/>
      <c r="C2293" s="10"/>
      <c r="D2293" s="10"/>
      <c r="E2293" s="10"/>
      <c r="F2293" s="10"/>
    </row>
    <row r="2294" customFormat="false" ht="15.75" hidden="false" customHeight="true" outlineLevel="0" collapsed="false">
      <c r="B2294" s="10"/>
      <c r="C2294" s="10"/>
      <c r="D2294" s="10"/>
      <c r="E2294" s="10"/>
      <c r="F2294" s="10"/>
    </row>
    <row r="2295" customFormat="false" ht="24" hidden="false" customHeight="true" outlineLevel="0" collapsed="false">
      <c r="B2295" s="48" t="str">
        <f aca="false">Cab_Mentions</f>
        <v>ALTHO EXPERTISE · SAS au capital de 10 000 € · RCS Pontoise 919 706 325 · TVA FR62919706325 · Société d'expertise comptable inscrite au Tableau de l'Ordre des experts-comptables de Paris Île-de-France</v>
      </c>
      <c r="C2295" s="48"/>
      <c r="D2295" s="48"/>
      <c r="E2295" s="48"/>
      <c r="F2295" s="48"/>
    </row>
    <row r="2296" customFormat="false" ht="15" hidden="false" customHeight="false" outlineLevel="0" collapsed="false">
      <c r="B2296" s="10"/>
      <c r="C2296" s="10"/>
      <c r="D2296" s="10"/>
      <c r="E2296" s="10"/>
      <c r="F2296" s="10"/>
      <c r="J2296" s="25" t="s">
        <v>142</v>
      </c>
      <c r="K2296" s="25" t="n">
        <f aca="false">IFERROR(MATCH(52,Clients!$Z$2:$Z$501,0),0)</f>
        <v>0</v>
      </c>
      <c r="L2296" s="25"/>
      <c r="M2296" s="25"/>
      <c r="N2296" s="25"/>
      <c r="O2296" s="25"/>
    </row>
    <row r="2297" customFormat="false" ht="21.75" hidden="false" customHeight="true" outlineLevel="0" collapsed="false">
      <c r="B2297" s="26" t="str">
        <f aca="false">Cab_Nom</f>
        <v>ALTHO EXPERTISE</v>
      </c>
      <c r="C2297" s="26"/>
      <c r="D2297" s="10"/>
      <c r="E2297" s="27" t="str">
        <f aca="false">IF($K$2296=0,"","Réf. client : "&amp;INDEX(Clients!$A$2:$A$501,$K$2296))</f>
        <v/>
      </c>
      <c r="F2297" s="27"/>
      <c r="J2297" s="25" t="s">
        <v>144</v>
      </c>
      <c r="K2297" s="25" t="str">
        <f aca="false">IF(IF($K$2296=0,"",INDEX(Clients!$B$2:$B$501,$K$2296)&amp;"")="Mme","Madame",IF(IF($K$2296=0,"",INDEX(Clients!$B$2:$B$501,$K$2296)&amp;"")="M.","Monsieur","Madame, Monsieur"))</f>
        <v>Madame, Monsieur</v>
      </c>
      <c r="L2297" s="25"/>
      <c r="M2297" s="25"/>
      <c r="N2297" s="25"/>
      <c r="O2297" s="25"/>
    </row>
    <row r="2298" customFormat="false" ht="15" hidden="false" customHeight="false" outlineLevel="0" collapsed="false">
      <c r="B2298" s="29" t="str">
        <f aca="false">Cab_Adr1</f>
        <v>141 rue Charles de Gaulle</v>
      </c>
      <c r="C2298" s="29"/>
      <c r="D2298" s="10"/>
      <c r="E2298" s="10"/>
      <c r="F2298" s="10"/>
      <c r="J2298" s="25" t="s">
        <v>145</v>
      </c>
      <c r="K2298" s="25" t="str">
        <f aca="false">DAY(Date_Effet)&amp;IF(DAY(Date_Effet)=1,"er","")&amp;" "&amp;INDEX(Liste_Mois,MONTH(Date_Effet))&amp;" "&amp;YEAR(Date_Effet)</f>
        <v>1er janvier 2027</v>
      </c>
      <c r="L2298" s="25"/>
      <c r="M2298" s="25"/>
      <c r="N2298" s="25"/>
      <c r="O2298" s="25"/>
    </row>
    <row r="2299" customFormat="false" ht="15" hidden="false" customHeight="false" outlineLevel="0" collapsed="false">
      <c r="B2299" s="29" t="str">
        <f aca="false">Cab_CPVille</f>
        <v>95130 LE PLESSIS-BOUCHARD</v>
      </c>
      <c r="C2299" s="29"/>
      <c r="D2299" s="10"/>
      <c r="E2299" s="10"/>
      <c r="F2299" s="10"/>
      <c r="J2299" s="25" t="s">
        <v>146</v>
      </c>
      <c r="K2299" s="25" t="str">
        <f aca="false">IF(SUM($K$2323:$K$2326)=0,"",FIXED((SUM($L$2323:$L$2326)/SUM($K$2323:$K$2326)-1)*100,1)&amp;" %")</f>
        <v/>
      </c>
      <c r="L2299" s="25"/>
      <c r="M2299" s="25"/>
      <c r="N2299" s="25"/>
      <c r="O2299" s="25"/>
    </row>
    <row r="2300" customFormat="false" ht="15" hidden="false" customHeight="false" outlineLevel="0" collapsed="false">
      <c r="B2300" s="29" t="str">
        <f aca="false">Cab_Contact</f>
        <v>Tél. 01 34 14 53 45  ·  altho@altho-experts.com  ·  altho-experts.com</v>
      </c>
      <c r="C2300" s="29"/>
      <c r="D2300" s="10"/>
      <c r="E2300" s="10"/>
      <c r="F2300" s="10"/>
      <c r="J2300" s="25"/>
      <c r="K2300" s="25"/>
      <c r="L2300" s="25"/>
      <c r="M2300" s="25"/>
      <c r="N2300" s="25"/>
      <c r="O2300" s="25"/>
    </row>
    <row r="2301" customFormat="false" ht="6" hidden="false" customHeight="true" outlineLevel="0" collapsed="false">
      <c r="B2301" s="32"/>
      <c r="C2301" s="32"/>
      <c r="D2301" s="32"/>
      <c r="E2301" s="32"/>
      <c r="F2301" s="32"/>
      <c r="J2301" s="25"/>
      <c r="K2301" s="25"/>
      <c r="L2301" s="25"/>
      <c r="M2301" s="25"/>
      <c r="N2301" s="25"/>
      <c r="O2301" s="25"/>
    </row>
    <row r="2302" customFormat="false" ht="13.5" hidden="false" customHeight="true" outlineLevel="0" collapsed="false">
      <c r="B2302" s="10"/>
      <c r="C2302" s="10"/>
      <c r="D2302" s="10"/>
      <c r="E2302" s="10"/>
      <c r="F2302" s="10"/>
      <c r="J2302" s="25"/>
      <c r="K2302" s="25"/>
      <c r="L2302" s="25"/>
      <c r="M2302" s="25"/>
      <c r="N2302" s="25"/>
      <c r="O2302" s="25"/>
    </row>
    <row r="2303" customFormat="false" ht="13.5" hidden="false" customHeight="true" outlineLevel="0" collapsed="false">
      <c r="B2303" s="10"/>
      <c r="C2303" s="10"/>
      <c r="D2303" s="10"/>
      <c r="E2303" s="10"/>
      <c r="F2303" s="10"/>
      <c r="J2303" s="25"/>
      <c r="K2303" s="25"/>
      <c r="L2303" s="25"/>
      <c r="M2303" s="25"/>
      <c r="N2303" s="25"/>
      <c r="O2303" s="25"/>
    </row>
    <row r="2304" customFormat="false" ht="13.5" hidden="false" customHeight="true" outlineLevel="0" collapsed="false">
      <c r="B2304" s="10"/>
      <c r="C2304" s="10"/>
      <c r="D2304" s="10"/>
      <c r="E2304" s="10"/>
      <c r="F2304" s="10"/>
      <c r="J2304" s="25"/>
      <c r="K2304" s="25"/>
      <c r="L2304" s="25"/>
      <c r="M2304" s="25"/>
      <c r="N2304" s="25"/>
      <c r="O2304" s="25"/>
    </row>
    <row r="2305" customFormat="false" ht="15" hidden="false" customHeight="true" outlineLevel="0" collapsed="false">
      <c r="B2305" s="10"/>
      <c r="C2305" s="10"/>
      <c r="D2305" s="34" t="str">
        <f aca="false">IF($K$2296=0,"",INDEX(Clients!$E$2:$E$501,$K$2296)&amp;"")</f>
        <v/>
      </c>
      <c r="E2305" s="34"/>
      <c r="F2305" s="34"/>
      <c r="J2305" s="25"/>
      <c r="K2305" s="25"/>
      <c r="L2305" s="25"/>
      <c r="M2305" s="25"/>
      <c r="N2305" s="25"/>
      <c r="O2305" s="25"/>
    </row>
    <row r="2306" customFormat="false" ht="15" hidden="false" customHeight="true" outlineLevel="0" collapsed="false">
      <c r="B2306" s="10"/>
      <c r="C2306" s="10"/>
      <c r="D2306" s="35" t="str">
        <f aca="false">IF(IF($K$2296=0,"",INDEX(Clients!$D$2:$D$501,$K$2296)&amp;"")="","","À l'attention de "&amp;TRIM(IF($K$2296=0,"",INDEX(Clients!$B$2:$B$501,$K$2296)&amp;"")&amp;" "&amp;IF($K$2296=0,"",INDEX(Clients!$C$2:$C$501,$K$2296)&amp;"")&amp;" "&amp;IF($K$2296=0,"",INDEX(Clients!$D$2:$D$501,$K$2296)&amp;"")))</f>
        <v/>
      </c>
      <c r="E2306" s="35"/>
      <c r="F2306" s="35"/>
      <c r="J2306" s="25"/>
      <c r="K2306" s="25"/>
      <c r="L2306" s="25"/>
      <c r="M2306" s="25"/>
      <c r="N2306" s="25"/>
      <c r="O2306" s="25"/>
    </row>
    <row r="2307" customFormat="false" ht="15" hidden="false" customHeight="true" outlineLevel="0" collapsed="false">
      <c r="B2307" s="10"/>
      <c r="C2307" s="10"/>
      <c r="D2307" s="35" t="str">
        <f aca="false">IF($K$2296=0,"",INDEX(Clients!$F$2:$F$501,$K$2296)&amp;"")</f>
        <v/>
      </c>
      <c r="E2307" s="35"/>
      <c r="F2307" s="35"/>
      <c r="J2307" s="25"/>
      <c r="K2307" s="25"/>
      <c r="L2307" s="25"/>
      <c r="M2307" s="25"/>
      <c r="N2307" s="25"/>
      <c r="O2307" s="25"/>
    </row>
    <row r="2308" customFormat="false" ht="15" hidden="false" customHeight="true" outlineLevel="0" collapsed="false">
      <c r="B2308" s="10"/>
      <c r="C2308" s="10"/>
      <c r="D2308" s="35" t="str">
        <f aca="false">IF(IF($K$2296=0,"",INDEX(Clients!$G$2:$G$501,$K$2296)&amp;"")="",TRIM(IF($K$2296=0,"",INDEX(Clients!$H$2:$H$501,$K$2296)&amp;"")&amp;" "&amp;UPPER(IF($K$2296=0,"",INDEX(Clients!$I$2:$I$501,$K$2296)&amp;""))),IF($K$2296=0,"",INDEX(Clients!$G$2:$G$501,$K$2296)&amp;""))</f>
        <v/>
      </c>
      <c r="E2308" s="35"/>
      <c r="F2308" s="35"/>
      <c r="J2308" s="25"/>
      <c r="K2308" s="25"/>
      <c r="L2308" s="25"/>
      <c r="M2308" s="25"/>
      <c r="N2308" s="25"/>
      <c r="O2308" s="25"/>
    </row>
    <row r="2309" customFormat="false" ht="15" hidden="false" customHeight="true" outlineLevel="0" collapsed="false">
      <c r="B2309" s="10"/>
      <c r="C2309" s="10"/>
      <c r="D2309" s="35" t="str">
        <f aca="false">IF(IF($K$2296=0,"",INDEX(Clients!$G$2:$G$501,$K$2296)&amp;"")="","",TRIM(IF($K$2296=0,"",INDEX(Clients!$H$2:$H$501,$K$2296)&amp;"")&amp;" "&amp;UPPER(IF($K$2296=0,"",INDEX(Clients!$I$2:$I$501,$K$2296)&amp;""))))</f>
        <v/>
      </c>
      <c r="E2309" s="35"/>
      <c r="F2309" s="35"/>
      <c r="J2309" s="25"/>
      <c r="K2309" s="25"/>
      <c r="L2309" s="25"/>
      <c r="M2309" s="25"/>
      <c r="N2309" s="25"/>
      <c r="O2309" s="25"/>
    </row>
    <row r="2310" customFormat="false" ht="25.5" hidden="false" customHeight="true" outlineLevel="0" collapsed="false">
      <c r="B2310" s="10"/>
      <c r="C2310" s="10"/>
      <c r="D2310" s="10"/>
      <c r="E2310" s="10"/>
      <c r="F2310" s="10"/>
      <c r="J2310" s="25"/>
      <c r="K2310" s="25"/>
      <c r="L2310" s="25"/>
      <c r="M2310" s="25"/>
      <c r="N2310" s="25"/>
      <c r="O2310" s="25"/>
    </row>
    <row r="2311" customFormat="false" ht="15" hidden="false" customHeight="false" outlineLevel="0" collapsed="false">
      <c r="B2311" s="10"/>
      <c r="C2311" s="10"/>
      <c r="D2311" s="36" t="str">
        <f aca="false">Cab_Ville&amp;", le "&amp;DAY(Date_Courrier)&amp;IF(DAY(Date_Courrier)=1,"er","")&amp;" "&amp;INDEX(Liste_Mois,MONTH(Date_Courrier))&amp;" "&amp;YEAR(Date_Courrier)</f>
        <v>Le Plessis-Bouchard, le 22 septembre 2026</v>
      </c>
      <c r="E2311" s="36"/>
      <c r="F2311" s="36"/>
      <c r="J2311" s="25"/>
      <c r="K2311" s="25"/>
      <c r="L2311" s="25"/>
      <c r="M2311" s="25"/>
      <c r="N2311" s="25"/>
      <c r="O2311" s="25"/>
    </row>
    <row r="2312" customFormat="false" ht="19.5" hidden="false" customHeight="true" outlineLevel="0" collapsed="false">
      <c r="B2312" s="10"/>
      <c r="C2312" s="10"/>
      <c r="D2312" s="10"/>
      <c r="E2312" s="10"/>
      <c r="F2312" s="10"/>
      <c r="J2312" s="25"/>
      <c r="K2312" s="25"/>
      <c r="L2312" s="25"/>
      <c r="M2312" s="25"/>
      <c r="N2312" s="25"/>
      <c r="O2312" s="25"/>
    </row>
    <row r="2313" customFormat="false" ht="15" hidden="false" customHeight="false" outlineLevel="0" collapsed="false">
      <c r="B2313" s="34" t="str">
        <f aca="false">SUBSTITUTE(SUBSTITUTE(SUBSTITUTE(SUBSTITUTE(SUBSTITUTE(Txt_Objet,"{cabinet}",Cab_Nom),"{societe}",IF($K$2296=0,"",INDEX(Clients!$E$2:$E$501,$K$2296)&amp;"")),"{date_effet}",$K$2298),"{hausse}",$K$2299),"{civilite}",$K$2297)</f>
        <v>Objet : révision de nos honoraires au 1er janvier 2027</v>
      </c>
      <c r="C2313" s="34"/>
      <c r="D2313" s="34"/>
      <c r="E2313" s="34"/>
      <c r="F2313" s="34"/>
      <c r="J2313" s="25"/>
      <c r="K2313" s="25"/>
      <c r="L2313" s="25"/>
      <c r="M2313" s="25"/>
      <c r="N2313" s="25"/>
      <c r="O2313" s="25"/>
    </row>
    <row r="2314" customFormat="false" ht="13.5" hidden="false" customHeight="true" outlineLevel="0" collapsed="false">
      <c r="B2314" s="10"/>
      <c r="C2314" s="10"/>
      <c r="D2314" s="10"/>
      <c r="E2314" s="10"/>
      <c r="F2314" s="10"/>
      <c r="J2314" s="25"/>
      <c r="K2314" s="25"/>
      <c r="L2314" s="25"/>
      <c r="M2314" s="25"/>
      <c r="N2314" s="25"/>
      <c r="O2314" s="25"/>
    </row>
    <row r="2315" customFormat="false" ht="15" hidden="false" customHeight="false" outlineLevel="0" collapsed="false">
      <c r="B2315" s="10" t="str">
        <f aca="false">$K$2297&amp;","</f>
        <v>Madame, Monsieur,</v>
      </c>
      <c r="C2315" s="10"/>
      <c r="D2315" s="10"/>
      <c r="E2315" s="10"/>
      <c r="F2315" s="10"/>
      <c r="J2315" s="25"/>
      <c r="K2315" s="25"/>
      <c r="L2315" s="25"/>
      <c r="M2315" s="25"/>
      <c r="N2315" s="25"/>
      <c r="O2315" s="25"/>
    </row>
    <row r="2316" customFormat="false" ht="6" hidden="false" customHeight="true" outlineLevel="0" collapsed="false">
      <c r="B2316" s="10"/>
      <c r="C2316" s="10"/>
      <c r="D2316" s="10"/>
      <c r="E2316" s="10"/>
      <c r="F2316" s="10"/>
      <c r="J2316" s="25"/>
      <c r="K2316" s="25"/>
      <c r="L2316" s="25"/>
      <c r="M2316" s="25"/>
      <c r="N2316" s="25"/>
      <c r="O2316" s="25"/>
    </row>
    <row r="2317" customFormat="false" ht="36.75" hidden="false" customHeight="true" outlineLevel="0" collapsed="false">
      <c r="B2317" s="37" t="str">
        <f aca="false">SUBSTITUTE(SUBSTITUTE(SUBSTITUTE(SUBSTITUTE(SUBSTITUTE(Txt_P1,"{cabinet}",Cab_Nom),"{societe}",IF($K$2296=0,"",INDEX(Clients!$E$2:$E$501,$K$2296)&amp;"")),"{date_effet}",$K$2298),"{hausse}",$K$2299),"{civilite}",$K$2297)</f>
        <v>Nous tenons tout d'abord à vous remercier pour la confiance que vous accordez à ALTHO EXPERTISE. Comme chaque année, et conformément aux dispositions de votre lettre de mission, nous procédons à la révision de nos honoraires.</v>
      </c>
      <c r="C2317" s="37"/>
      <c r="D2317" s="37"/>
      <c r="E2317" s="37"/>
      <c r="F2317" s="37"/>
      <c r="J2317" s="25"/>
      <c r="K2317" s="25"/>
      <c r="L2317" s="25"/>
      <c r="M2317" s="25"/>
      <c r="N2317" s="25"/>
      <c r="O2317" s="25"/>
    </row>
    <row r="2318" customFormat="false" ht="49.5" hidden="false" customHeight="true" outlineLevel="0" collapsed="false">
      <c r="B2318" s="37" t="str">
        <f aca="false">SUBSTITUTE(SUBSTITUTE(SUBSTITUTE(SUBSTITUTE(SUBSTITUTE(Txt_P2,"{cabinet}",Cab_Nom),"{societe}",IF($K$2296=0,"",INDEX(Clients!$E$2:$E$501,$K$2296)&amp;"")),"{date_effet}",$K$2298),"{hausse}",$K$2299),"{civilite}",$K$2297)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318" s="37"/>
      <c r="D2318" s="37"/>
      <c r="E2318" s="37"/>
      <c r="F2318" s="37"/>
      <c r="J2318" s="25"/>
      <c r="K2318" s="25"/>
      <c r="L2318" s="25"/>
      <c r="M2318" s="25"/>
      <c r="N2318" s="25"/>
      <c r="O2318" s="25"/>
    </row>
    <row r="2319" customFormat="false" ht="63" hidden="false" customHeight="true" outlineLevel="0" collapsed="false">
      <c r="B2319" s="37" t="str">
        <f aca="false">SUBSTITUTE(SUBSTITUTE(SUBSTITUTE(SUBSTITUTE(SUBSTITUTE(Txt_P3,"{cabinet}",Cab_Nom),"{societe}",IF($K$2296=0,"",INDEX(Clients!$E$2:$E$501,$K$2296)&amp;"")),"{date_effet}",$K$2298),"{hausse}",$K$2299),"{civilite}",$K$2297)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319" s="37"/>
      <c r="D2319" s="37"/>
      <c r="E2319" s="37"/>
      <c r="F2319" s="37"/>
      <c r="J2319" s="25"/>
      <c r="K2319" s="25"/>
      <c r="L2319" s="25"/>
      <c r="M2319" s="25"/>
      <c r="N2319" s="25"/>
      <c r="O2319" s="25"/>
    </row>
    <row r="2320" customFormat="false" ht="24" hidden="false" customHeight="true" outlineLevel="0" collapsed="false">
      <c r="B2320" s="37" t="str">
        <f aca="false">SUBSTITUTE(SUBSTITUTE(SUBSTITUTE(SUBSTITUTE(SUBSTITUTE(Txt_P4,"{cabinet}",Cab_Nom),"{societe}",IF($K$2296=0,"",INDEX(Clients!$E$2:$E$501,$K$2296)&amp;"")),"{date_effet}",$K$2298),"{hausse}",$K$2299),"{civilite}",$K$2297)</f>
        <v>À compter du 1er janvier 2027, vos honoraires annuels hors taxes évolueront ainsi (évolution globale : ) :</v>
      </c>
      <c r="C2320" s="37"/>
      <c r="D2320" s="37"/>
      <c r="E2320" s="37"/>
      <c r="F2320" s="37"/>
      <c r="J2320" s="25"/>
      <c r="K2320" s="25"/>
      <c r="L2320" s="25"/>
      <c r="M2320" s="25"/>
      <c r="N2320" s="25"/>
      <c r="O2320" s="25"/>
    </row>
    <row r="2321" customFormat="false" ht="3.75" hidden="false" customHeight="true" outlineLevel="0" collapsed="false">
      <c r="B2321" s="10"/>
      <c r="C2321" s="10"/>
      <c r="D2321" s="10"/>
      <c r="E2321" s="10"/>
      <c r="F2321" s="10"/>
      <c r="J2321" s="25"/>
      <c r="K2321" s="25"/>
      <c r="L2321" s="25"/>
      <c r="M2321" s="25"/>
      <c r="N2321" s="25"/>
      <c r="O2321" s="25"/>
    </row>
    <row r="2322" customFormat="false" ht="18" hidden="false" customHeight="true" outlineLevel="0" collapsed="false">
      <c r="B2322" s="38" t="s">
        <v>148</v>
      </c>
      <c r="C2322" s="39" t="s">
        <v>149</v>
      </c>
      <c r="D2322" s="39" t="s">
        <v>150</v>
      </c>
      <c r="E2322" s="39" t="s">
        <v>151</v>
      </c>
      <c r="F2322" s="39" t="s">
        <v>109</v>
      </c>
      <c r="J2322" s="25" t="s">
        <v>152</v>
      </c>
      <c r="K2322" s="25" t="s">
        <v>153</v>
      </c>
      <c r="L2322" s="25" t="s">
        <v>154</v>
      </c>
      <c r="M2322" s="25" t="s">
        <v>155</v>
      </c>
      <c r="N2322" s="25" t="s">
        <v>156</v>
      </c>
      <c r="O2322" s="25" t="s">
        <v>157</v>
      </c>
    </row>
    <row r="2323" customFormat="false" ht="16.5" hidden="false" customHeight="true" outlineLevel="0" collapsed="false">
      <c r="B2323" s="40" t="str">
        <f aca="false">IFERROR(INDEX($J$2323:$J$2326,MATCH($O2323,$N$2323:$N$2326,0)),"")</f>
        <v/>
      </c>
      <c r="C2323" s="41" t="str">
        <f aca="false">IFERROR(INDEX($K$2323:$K$2326,MATCH($O2323,$N$2323:$N$2326,0)),"")</f>
        <v/>
      </c>
      <c r="D2323" s="42" t="str">
        <f aca="false">IF(OR(E2323="",N(C2323)=0),"",E2323/C2323-1)</f>
        <v/>
      </c>
      <c r="E2323" s="41" t="str">
        <f aca="false">IFERROR(INDEX($L$2323:$L$2326,MATCH($O2323,$N$2323:$N$2326,0)),"")</f>
        <v/>
      </c>
      <c r="F2323" s="41" t="str">
        <f aca="false">IF(E2323="","",E2323-C2323)</f>
        <v/>
      </c>
      <c r="J2323" s="25" t="str">
        <f aca="false">Lib_Compta</f>
        <v>Mission comptable (tenue, révision, bilan, liasse fiscale)</v>
      </c>
      <c r="K2323" s="25" t="n">
        <f aca="false">IF($K$2296=0,0,N(INDEX(Clients!$K$2:$K$501,$K$2296)))</f>
        <v>0</v>
      </c>
      <c r="L2323" s="25" t="n">
        <f aca="false">IF($K$2296=0,0,N(INDEX(Clients!$P$2:$P$501,$K$2296)))</f>
        <v>0</v>
      </c>
      <c r="M2323" s="25" t="n">
        <f aca="false">IF(OR(K2323&lt;&gt;0,L2323&lt;&gt;0),1,0)</f>
        <v>0</v>
      </c>
      <c r="N2323" s="25" t="str">
        <f aca="false">IF(M2323=1,SUM($M$2323:M2323),"")</f>
        <v/>
      </c>
      <c r="O2323" s="25" t="n">
        <v>1</v>
      </c>
    </row>
    <row r="2324" customFormat="false" ht="16.5" hidden="false" customHeight="true" outlineLevel="0" collapsed="false">
      <c r="B2324" s="40" t="str">
        <f aca="false">IFERROR(INDEX($J$2323:$J$2326,MATCH($O2324,$N$2323:$N$2326,0)),"")</f>
        <v/>
      </c>
      <c r="C2324" s="41" t="str">
        <f aca="false">IFERROR(INDEX($K$2323:$K$2326,MATCH($O2324,$N$2323:$N$2326,0)),"")</f>
        <v/>
      </c>
      <c r="D2324" s="42" t="str">
        <f aca="false">IF(OR(E2324="",N(C2324)=0),"",E2324/C2324-1)</f>
        <v/>
      </c>
      <c r="E2324" s="41" t="str">
        <f aca="false">IFERROR(INDEX($L$2323:$L$2326,MATCH($O2324,$N$2323:$N$2326,0)),"")</f>
        <v/>
      </c>
      <c r="F2324" s="41" t="str">
        <f aca="false">IF(E2324="","",E2324-C2324)</f>
        <v/>
      </c>
      <c r="J2324" s="25" t="str">
        <f aca="false">Lib_Paye</f>
        <v>Mission sociale (bulletins de paie, DSN, déclarations sociales)</v>
      </c>
      <c r="K2324" s="25" t="n">
        <f aca="false">IF($K$2296=0,0,N(INDEX(Clients!$L$2:$L$501,$K$2296)))</f>
        <v>0</v>
      </c>
      <c r="L2324" s="25" t="n">
        <f aca="false">IF($K$2296=0,0,N(INDEX(Clients!$Q$2:$Q$501,$K$2296)))</f>
        <v>0</v>
      </c>
      <c r="M2324" s="25" t="n">
        <f aca="false">IF(OR(K2324&lt;&gt;0,L2324&lt;&gt;0),1,0)</f>
        <v>0</v>
      </c>
      <c r="N2324" s="25" t="str">
        <f aca="false">IF(M2324=1,SUM($M$2323:M2324),"")</f>
        <v/>
      </c>
      <c r="O2324" s="25" t="n">
        <v>2</v>
      </c>
    </row>
    <row r="2325" customFormat="false" ht="16.5" hidden="false" customHeight="true" outlineLevel="0" collapsed="false">
      <c r="B2325" s="40" t="str">
        <f aca="false">IFERROR(INDEX($J$2323:$J$2326,MATCH($O2325,$N$2323:$N$2326,0)),"")</f>
        <v/>
      </c>
      <c r="C2325" s="41" t="str">
        <f aca="false">IFERROR(INDEX($K$2323:$K$2326,MATCH($O2325,$N$2323:$N$2326,0)),"")</f>
        <v/>
      </c>
      <c r="D2325" s="42" t="str">
        <f aca="false">IF(OR(E2325="",N(C2325)=0),"",E2325/C2325-1)</f>
        <v/>
      </c>
      <c r="E2325" s="41" t="str">
        <f aca="false">IFERROR(INDEX($L$2323:$L$2326,MATCH($O2325,$N$2323:$N$2326,0)),"")</f>
        <v/>
      </c>
      <c r="F2325" s="41" t="str">
        <f aca="false">IF(E2325="","",E2325-C2325)</f>
        <v/>
      </c>
      <c r="J2325" s="25" t="str">
        <f aca="false">Lib_Jur</f>
        <v>Mission juridique (approbation des comptes, secrétariat juridique)</v>
      </c>
      <c r="K2325" s="25" t="n">
        <f aca="false">IF($K$2296=0,0,N(INDEX(Clients!$M$2:$M$501,$K$2296)))</f>
        <v>0</v>
      </c>
      <c r="L2325" s="25" t="n">
        <f aca="false">IF($K$2296=0,0,N(INDEX(Clients!$R$2:$R$501,$K$2296)))</f>
        <v>0</v>
      </c>
      <c r="M2325" s="25" t="n">
        <f aca="false">IF(OR(K2325&lt;&gt;0,L2325&lt;&gt;0),1,0)</f>
        <v>0</v>
      </c>
      <c r="N2325" s="25" t="str">
        <f aca="false">IF(M2325=1,SUM($M$2323:M2325),"")</f>
        <v/>
      </c>
      <c r="O2325" s="25" t="n">
        <v>3</v>
      </c>
    </row>
    <row r="2326" customFormat="false" ht="16.5" hidden="false" customHeight="true" outlineLevel="0" collapsed="false">
      <c r="B2326" s="40" t="str">
        <f aca="false">IFERROR(INDEX($J$2323:$J$2326,MATCH($O2326,$N$2323:$N$2326,0)),"")</f>
        <v/>
      </c>
      <c r="C2326" s="41" t="str">
        <f aca="false">IFERROR(INDEX($K$2323:$K$2326,MATCH($O2326,$N$2323:$N$2326,0)),"")</f>
        <v/>
      </c>
      <c r="D2326" s="42" t="str">
        <f aca="false">IF(OR(E2326="",N(C2326)=0),"",E2326/C2326-1)</f>
        <v/>
      </c>
      <c r="E2326" s="41" t="str">
        <f aca="false">IFERROR(INDEX($L$2323:$L$2326,MATCH($O2326,$N$2323:$N$2326,0)),"")</f>
        <v/>
      </c>
      <c r="F2326" s="41" t="str">
        <f aca="false">IF(E2326="","",E2326-C2326)</f>
        <v/>
      </c>
      <c r="J2326" s="25" t="str">
        <f aca="false">Lib_PA</f>
        <v>Plateforme agréée – facturation électronique</v>
      </c>
      <c r="K2326" s="25" t="n">
        <f aca="false">IF($K$2296=0,0,N(INDEX(Clients!$N$2:$N$501,$K$2296)))</f>
        <v>0</v>
      </c>
      <c r="L2326" s="25" t="n">
        <f aca="false">IF($K$2296=0,0,N(INDEX(Clients!$S$2:$S$501,$K$2296)))</f>
        <v>0</v>
      </c>
      <c r="M2326" s="25" t="n">
        <f aca="false">IF(OR(K2326&lt;&gt;0,L2326&lt;&gt;0),1,0)</f>
        <v>0</v>
      </c>
      <c r="N2326" s="25" t="str">
        <f aca="false">IF(M2326=1,SUM($M$2323:M2326),"")</f>
        <v/>
      </c>
      <c r="O2326" s="25" t="n">
        <v>4</v>
      </c>
    </row>
    <row r="2327" customFormat="false" ht="18" hidden="false" customHeight="true" outlineLevel="0" collapsed="false">
      <c r="B2327" s="43" t="s">
        <v>158</v>
      </c>
      <c r="C2327" s="44" t="n">
        <f aca="false">SUM(K2323:K2326)</f>
        <v>0</v>
      </c>
      <c r="D2327" s="45" t="str">
        <f aca="false">IF(N(C2327)=0,"",E2327/C2327-1)</f>
        <v/>
      </c>
      <c r="E2327" s="44" t="n">
        <f aca="false">SUM(L2323:L2326)</f>
        <v>0</v>
      </c>
      <c r="F2327" s="44" t="n">
        <f aca="false">E2327-C2327</f>
        <v>0</v>
      </c>
    </row>
    <row r="2328" customFormat="false" ht="15" hidden="false" customHeight="false" outlineLevel="0" collapsed="false">
      <c r="B2328" s="46" t="str">
        <f aca="false">IF(N(Nb_Mensualites)=0,"","Soit "&amp;FIXED(E2327/Nb_Mensualites,2)&amp;" € HT par échéance ("&amp;Nb_Mensualites&amp;" échéances), "&amp;FIXED(E2327/Nb_Mensualites*(1+Taux_TVA),2)&amp;" € TTC.")</f>
        <v>Soit 0.00 € HT par échéance (12 échéances), 0.00 € TTC.</v>
      </c>
      <c r="C2328" s="46"/>
      <c r="D2328" s="46"/>
      <c r="E2328" s="46"/>
      <c r="F2328" s="46"/>
    </row>
    <row r="2329" customFormat="false" ht="7.5" hidden="false" customHeight="true" outlineLevel="0" collapsed="false">
      <c r="B2329" s="10"/>
      <c r="C2329" s="10"/>
      <c r="D2329" s="10"/>
      <c r="E2329" s="10"/>
      <c r="F2329" s="10"/>
    </row>
    <row r="2330" customFormat="false" ht="36.75" hidden="false" customHeight="true" outlineLevel="0" collapsed="false">
      <c r="B2330" s="37" t="str">
        <f aca="false">SUBSTITUTE(SUBSTITUTE(SUBSTITUTE(SUBSTITUTE(SUBSTITUTE(Txt_P5,"{cabinet}",Cab_Nom),"{societe}",IF($K$2296=0,"",INDEX(Clients!$E$2:$E$501,$K$2296)&amp;"")),"{date_effet}",$K$2298),"{hausse}",$K$2299),"{civilite}",$K$2297)</f>
        <v>Les autres conditions de votre lettre de mission demeurent inchangées. Les nouveaux montants seront appliqués automatiquement sur vos prochaines factures et échéances de prélèvement.</v>
      </c>
      <c r="C2330" s="37"/>
      <c r="D2330" s="37"/>
      <c r="E2330" s="37"/>
      <c r="F2330" s="37"/>
    </row>
    <row r="2331" customFormat="false" ht="36.75" hidden="false" customHeight="true" outlineLevel="0" collapsed="false">
      <c r="B2331" s="37" t="str">
        <f aca="false">SUBSTITUTE(SUBSTITUTE(SUBSTITUTE(SUBSTITUTE(SUBSTITUTE(Txt_P6,"{cabinet}",Cab_Nom),"{societe}",IF($K$2296=0,"",INDEX(Clients!$E$2:$E$501,$K$2296)&amp;"")),"{date_effet}",$K$2298),"{hausse}",$K$2299),"{civilite}",$K$2297)</f>
        <v>Votre interlocuteur habituel reste à votre entière disposition pour répondre à vos questions et faire le point sur l'évolution de vos besoins.</v>
      </c>
      <c r="C2331" s="37"/>
      <c r="D2331" s="37"/>
      <c r="E2331" s="37"/>
      <c r="F2331" s="37"/>
    </row>
    <row r="2332" customFormat="false" ht="24" hidden="false" customHeight="true" outlineLevel="0" collapsed="false">
      <c r="B2332" s="37" t="str">
        <f aca="false">SUBSTITUTE(SUBSTITUTE(SUBSTITUTE(SUBSTITUTE(SUBSTITUTE(Txt_Politesse,"{cabinet}",Cab_Nom),"{societe}",IF($K$2296=0,"",INDEX(Clients!$E$2:$E$501,$K$2296)&amp;"")),"{date_effet}",$K$2298),"{hausse}",$K$2299),"{civilite}",$K$2297)</f>
        <v>Nous vous prions d'agréer, Madame, Monsieur, l'expression de nos salutations distinguées.</v>
      </c>
      <c r="C2332" s="37"/>
      <c r="D2332" s="37"/>
      <c r="E2332" s="37"/>
      <c r="F2332" s="37"/>
    </row>
    <row r="2333" customFormat="false" ht="15" hidden="false" customHeight="false" outlineLevel="0" collapsed="false">
      <c r="B2333" s="10"/>
      <c r="C2333" s="10"/>
      <c r="D2333" s="10"/>
      <c r="E2333" s="10"/>
      <c r="F2333" s="10"/>
    </row>
    <row r="2334" customFormat="false" ht="15" hidden="false" customHeight="false" outlineLevel="0" collapsed="false">
      <c r="B2334" s="10"/>
      <c r="C2334" s="10"/>
      <c r="D2334" s="34" t="str">
        <f aca="false">Signataire</f>
        <v>Prénom NOM</v>
      </c>
      <c r="E2334" s="34"/>
      <c r="F2334" s="34"/>
    </row>
    <row r="2335" customFormat="false" ht="15" hidden="false" customHeight="false" outlineLevel="0" collapsed="false">
      <c r="B2335" s="10"/>
      <c r="C2335" s="10"/>
      <c r="D2335" s="47" t="str">
        <f aca="false">Signataire_Titre</f>
        <v>Expert-comptable associé</v>
      </c>
      <c r="E2335" s="47"/>
      <c r="F2335" s="47"/>
    </row>
    <row r="2336" customFormat="false" ht="15.75" hidden="false" customHeight="true" outlineLevel="0" collapsed="false">
      <c r="B2336" s="10"/>
      <c r="C2336" s="10"/>
      <c r="D2336" s="10"/>
      <c r="E2336" s="10"/>
      <c r="F2336" s="10"/>
    </row>
    <row r="2337" customFormat="false" ht="15.75" hidden="false" customHeight="true" outlineLevel="0" collapsed="false">
      <c r="B2337" s="10"/>
      <c r="C2337" s="10"/>
      <c r="D2337" s="10"/>
      <c r="E2337" s="10"/>
      <c r="F2337" s="10"/>
    </row>
    <row r="2338" customFormat="false" ht="15.75" hidden="false" customHeight="true" outlineLevel="0" collapsed="false">
      <c r="B2338" s="10"/>
      <c r="C2338" s="10"/>
      <c r="D2338" s="10"/>
      <c r="E2338" s="10"/>
      <c r="F2338" s="10"/>
    </row>
    <row r="2339" customFormat="false" ht="15.75" hidden="false" customHeight="true" outlineLevel="0" collapsed="false">
      <c r="B2339" s="10"/>
      <c r="C2339" s="10"/>
      <c r="D2339" s="10"/>
      <c r="E2339" s="10"/>
      <c r="F2339" s="10"/>
    </row>
    <row r="2340" customFormat="false" ht="24" hidden="false" customHeight="true" outlineLevel="0" collapsed="false">
      <c r="B2340" s="48" t="str">
        <f aca="false">Cab_Mentions</f>
        <v>ALTHO EXPERTISE · SAS au capital de 10 000 € · RCS Pontoise 919 706 325 · TVA FR62919706325 · Société d'expertise comptable inscrite au Tableau de l'Ordre des experts-comptables de Paris Île-de-France</v>
      </c>
      <c r="C2340" s="48"/>
      <c r="D2340" s="48"/>
      <c r="E2340" s="48"/>
      <c r="F2340" s="48"/>
    </row>
    <row r="2341" customFormat="false" ht="15" hidden="false" customHeight="false" outlineLevel="0" collapsed="false">
      <c r="B2341" s="10"/>
      <c r="C2341" s="10"/>
      <c r="D2341" s="10"/>
      <c r="E2341" s="10"/>
      <c r="F2341" s="10"/>
      <c r="J2341" s="25" t="s">
        <v>142</v>
      </c>
      <c r="K2341" s="25" t="n">
        <f aca="false">IFERROR(MATCH(53,Clients!$Z$2:$Z$501,0),0)</f>
        <v>0</v>
      </c>
      <c r="L2341" s="25"/>
      <c r="M2341" s="25"/>
      <c r="N2341" s="25"/>
      <c r="O2341" s="25"/>
    </row>
    <row r="2342" customFormat="false" ht="21.75" hidden="false" customHeight="true" outlineLevel="0" collapsed="false">
      <c r="B2342" s="26" t="str">
        <f aca="false">Cab_Nom</f>
        <v>ALTHO EXPERTISE</v>
      </c>
      <c r="C2342" s="26"/>
      <c r="D2342" s="10"/>
      <c r="E2342" s="27" t="str">
        <f aca="false">IF($K$2341=0,"","Réf. client : "&amp;INDEX(Clients!$A$2:$A$501,$K$2341))</f>
        <v/>
      </c>
      <c r="F2342" s="27"/>
      <c r="J2342" s="25" t="s">
        <v>144</v>
      </c>
      <c r="K2342" s="25" t="str">
        <f aca="false">IF(IF($K$2341=0,"",INDEX(Clients!$B$2:$B$501,$K$2341)&amp;"")="Mme","Madame",IF(IF($K$2341=0,"",INDEX(Clients!$B$2:$B$501,$K$2341)&amp;"")="M.","Monsieur","Madame, Monsieur"))</f>
        <v>Madame, Monsieur</v>
      </c>
      <c r="L2342" s="25"/>
      <c r="M2342" s="25"/>
      <c r="N2342" s="25"/>
      <c r="O2342" s="25"/>
    </row>
    <row r="2343" customFormat="false" ht="15" hidden="false" customHeight="false" outlineLevel="0" collapsed="false">
      <c r="B2343" s="29" t="str">
        <f aca="false">Cab_Adr1</f>
        <v>141 rue Charles de Gaulle</v>
      </c>
      <c r="C2343" s="29"/>
      <c r="D2343" s="10"/>
      <c r="E2343" s="10"/>
      <c r="F2343" s="10"/>
      <c r="J2343" s="25" t="s">
        <v>145</v>
      </c>
      <c r="K2343" s="25" t="str">
        <f aca="false">DAY(Date_Effet)&amp;IF(DAY(Date_Effet)=1,"er","")&amp;" "&amp;INDEX(Liste_Mois,MONTH(Date_Effet))&amp;" "&amp;YEAR(Date_Effet)</f>
        <v>1er janvier 2027</v>
      </c>
      <c r="L2343" s="25"/>
      <c r="M2343" s="25"/>
      <c r="N2343" s="25"/>
      <c r="O2343" s="25"/>
    </row>
    <row r="2344" customFormat="false" ht="15" hidden="false" customHeight="false" outlineLevel="0" collapsed="false">
      <c r="B2344" s="29" t="str">
        <f aca="false">Cab_CPVille</f>
        <v>95130 LE PLESSIS-BOUCHARD</v>
      </c>
      <c r="C2344" s="29"/>
      <c r="D2344" s="10"/>
      <c r="E2344" s="10"/>
      <c r="F2344" s="10"/>
      <c r="J2344" s="25" t="s">
        <v>146</v>
      </c>
      <c r="K2344" s="25" t="str">
        <f aca="false">IF(SUM($K$2368:$K$2371)=0,"",FIXED((SUM($L$2368:$L$2371)/SUM($K$2368:$K$2371)-1)*100,1)&amp;" %")</f>
        <v/>
      </c>
      <c r="L2344" s="25"/>
      <c r="M2344" s="25"/>
      <c r="N2344" s="25"/>
      <c r="O2344" s="25"/>
    </row>
    <row r="2345" customFormat="false" ht="15" hidden="false" customHeight="false" outlineLevel="0" collapsed="false">
      <c r="B2345" s="29" t="str">
        <f aca="false">Cab_Contact</f>
        <v>Tél. 01 34 14 53 45  ·  altho@altho-experts.com  ·  altho-experts.com</v>
      </c>
      <c r="C2345" s="29"/>
      <c r="D2345" s="10"/>
      <c r="E2345" s="10"/>
      <c r="F2345" s="10"/>
      <c r="J2345" s="25"/>
      <c r="K2345" s="25"/>
      <c r="L2345" s="25"/>
      <c r="M2345" s="25"/>
      <c r="N2345" s="25"/>
      <c r="O2345" s="25"/>
    </row>
    <row r="2346" customFormat="false" ht="6" hidden="false" customHeight="true" outlineLevel="0" collapsed="false">
      <c r="B2346" s="32"/>
      <c r="C2346" s="32"/>
      <c r="D2346" s="32"/>
      <c r="E2346" s="32"/>
      <c r="F2346" s="32"/>
      <c r="J2346" s="25"/>
      <c r="K2346" s="25"/>
      <c r="L2346" s="25"/>
      <c r="M2346" s="25"/>
      <c r="N2346" s="25"/>
      <c r="O2346" s="25"/>
    </row>
    <row r="2347" customFormat="false" ht="13.5" hidden="false" customHeight="true" outlineLevel="0" collapsed="false">
      <c r="B2347" s="10"/>
      <c r="C2347" s="10"/>
      <c r="D2347" s="10"/>
      <c r="E2347" s="10"/>
      <c r="F2347" s="10"/>
      <c r="J2347" s="25"/>
      <c r="K2347" s="25"/>
      <c r="L2347" s="25"/>
      <c r="M2347" s="25"/>
      <c r="N2347" s="25"/>
      <c r="O2347" s="25"/>
    </row>
    <row r="2348" customFormat="false" ht="13.5" hidden="false" customHeight="true" outlineLevel="0" collapsed="false">
      <c r="B2348" s="10"/>
      <c r="C2348" s="10"/>
      <c r="D2348" s="10"/>
      <c r="E2348" s="10"/>
      <c r="F2348" s="10"/>
      <c r="J2348" s="25"/>
      <c r="K2348" s="25"/>
      <c r="L2348" s="25"/>
      <c r="M2348" s="25"/>
      <c r="N2348" s="25"/>
      <c r="O2348" s="25"/>
    </row>
    <row r="2349" customFormat="false" ht="13.5" hidden="false" customHeight="true" outlineLevel="0" collapsed="false">
      <c r="B2349" s="10"/>
      <c r="C2349" s="10"/>
      <c r="D2349" s="10"/>
      <c r="E2349" s="10"/>
      <c r="F2349" s="10"/>
      <c r="J2349" s="25"/>
      <c r="K2349" s="25"/>
      <c r="L2349" s="25"/>
      <c r="M2349" s="25"/>
      <c r="N2349" s="25"/>
      <c r="O2349" s="25"/>
    </row>
    <row r="2350" customFormat="false" ht="15" hidden="false" customHeight="true" outlineLevel="0" collapsed="false">
      <c r="B2350" s="10"/>
      <c r="C2350" s="10"/>
      <c r="D2350" s="34" t="str">
        <f aca="false">IF($K$2341=0,"",INDEX(Clients!$E$2:$E$501,$K$2341)&amp;"")</f>
        <v/>
      </c>
      <c r="E2350" s="34"/>
      <c r="F2350" s="34"/>
      <c r="J2350" s="25"/>
      <c r="K2350" s="25"/>
      <c r="L2350" s="25"/>
      <c r="M2350" s="25"/>
      <c r="N2350" s="25"/>
      <c r="O2350" s="25"/>
    </row>
    <row r="2351" customFormat="false" ht="15" hidden="false" customHeight="true" outlineLevel="0" collapsed="false">
      <c r="B2351" s="10"/>
      <c r="C2351" s="10"/>
      <c r="D2351" s="35" t="str">
        <f aca="false">IF(IF($K$2341=0,"",INDEX(Clients!$D$2:$D$501,$K$2341)&amp;"")="","","À l'attention de "&amp;TRIM(IF($K$2341=0,"",INDEX(Clients!$B$2:$B$501,$K$2341)&amp;"")&amp;" "&amp;IF($K$2341=0,"",INDEX(Clients!$C$2:$C$501,$K$2341)&amp;"")&amp;" "&amp;IF($K$2341=0,"",INDEX(Clients!$D$2:$D$501,$K$2341)&amp;"")))</f>
        <v/>
      </c>
      <c r="E2351" s="35"/>
      <c r="F2351" s="35"/>
      <c r="J2351" s="25"/>
      <c r="K2351" s="25"/>
      <c r="L2351" s="25"/>
      <c r="M2351" s="25"/>
      <c r="N2351" s="25"/>
      <c r="O2351" s="25"/>
    </row>
    <row r="2352" customFormat="false" ht="15" hidden="false" customHeight="true" outlineLevel="0" collapsed="false">
      <c r="B2352" s="10"/>
      <c r="C2352" s="10"/>
      <c r="D2352" s="35" t="str">
        <f aca="false">IF($K$2341=0,"",INDEX(Clients!$F$2:$F$501,$K$2341)&amp;"")</f>
        <v/>
      </c>
      <c r="E2352" s="35"/>
      <c r="F2352" s="35"/>
      <c r="J2352" s="25"/>
      <c r="K2352" s="25"/>
      <c r="L2352" s="25"/>
      <c r="M2352" s="25"/>
      <c r="N2352" s="25"/>
      <c r="O2352" s="25"/>
    </row>
    <row r="2353" customFormat="false" ht="15" hidden="false" customHeight="true" outlineLevel="0" collapsed="false">
      <c r="B2353" s="10"/>
      <c r="C2353" s="10"/>
      <c r="D2353" s="35" t="str">
        <f aca="false">IF(IF($K$2341=0,"",INDEX(Clients!$G$2:$G$501,$K$2341)&amp;"")="",TRIM(IF($K$2341=0,"",INDEX(Clients!$H$2:$H$501,$K$2341)&amp;"")&amp;" "&amp;UPPER(IF($K$2341=0,"",INDEX(Clients!$I$2:$I$501,$K$2341)&amp;""))),IF($K$2341=0,"",INDEX(Clients!$G$2:$G$501,$K$2341)&amp;""))</f>
        <v/>
      </c>
      <c r="E2353" s="35"/>
      <c r="F2353" s="35"/>
      <c r="J2353" s="25"/>
      <c r="K2353" s="25"/>
      <c r="L2353" s="25"/>
      <c r="M2353" s="25"/>
      <c r="N2353" s="25"/>
      <c r="O2353" s="25"/>
    </row>
    <row r="2354" customFormat="false" ht="15" hidden="false" customHeight="true" outlineLevel="0" collapsed="false">
      <c r="B2354" s="10"/>
      <c r="C2354" s="10"/>
      <c r="D2354" s="35" t="str">
        <f aca="false">IF(IF($K$2341=0,"",INDEX(Clients!$G$2:$G$501,$K$2341)&amp;"")="","",TRIM(IF($K$2341=0,"",INDEX(Clients!$H$2:$H$501,$K$2341)&amp;"")&amp;" "&amp;UPPER(IF($K$2341=0,"",INDEX(Clients!$I$2:$I$501,$K$2341)&amp;""))))</f>
        <v/>
      </c>
      <c r="E2354" s="35"/>
      <c r="F2354" s="35"/>
      <c r="J2354" s="25"/>
      <c r="K2354" s="25"/>
      <c r="L2354" s="25"/>
      <c r="M2354" s="25"/>
      <c r="N2354" s="25"/>
      <c r="O2354" s="25"/>
    </row>
    <row r="2355" customFormat="false" ht="25.5" hidden="false" customHeight="true" outlineLevel="0" collapsed="false">
      <c r="B2355" s="10"/>
      <c r="C2355" s="10"/>
      <c r="D2355" s="10"/>
      <c r="E2355" s="10"/>
      <c r="F2355" s="10"/>
      <c r="J2355" s="25"/>
      <c r="K2355" s="25"/>
      <c r="L2355" s="25"/>
      <c r="M2355" s="25"/>
      <c r="N2355" s="25"/>
      <c r="O2355" s="25"/>
    </row>
    <row r="2356" customFormat="false" ht="15" hidden="false" customHeight="false" outlineLevel="0" collapsed="false">
      <c r="B2356" s="10"/>
      <c r="C2356" s="10"/>
      <c r="D2356" s="36" t="str">
        <f aca="false">Cab_Ville&amp;", le "&amp;DAY(Date_Courrier)&amp;IF(DAY(Date_Courrier)=1,"er","")&amp;" "&amp;INDEX(Liste_Mois,MONTH(Date_Courrier))&amp;" "&amp;YEAR(Date_Courrier)</f>
        <v>Le Plessis-Bouchard, le 22 septembre 2026</v>
      </c>
      <c r="E2356" s="36"/>
      <c r="F2356" s="36"/>
      <c r="J2356" s="25"/>
      <c r="K2356" s="25"/>
      <c r="L2356" s="25"/>
      <c r="M2356" s="25"/>
      <c r="N2356" s="25"/>
      <c r="O2356" s="25"/>
    </row>
    <row r="2357" customFormat="false" ht="19.5" hidden="false" customHeight="true" outlineLevel="0" collapsed="false">
      <c r="B2357" s="10"/>
      <c r="C2357" s="10"/>
      <c r="D2357" s="10"/>
      <c r="E2357" s="10"/>
      <c r="F2357" s="10"/>
      <c r="J2357" s="25"/>
      <c r="K2357" s="25"/>
      <c r="L2357" s="25"/>
      <c r="M2357" s="25"/>
      <c r="N2357" s="25"/>
      <c r="O2357" s="25"/>
    </row>
    <row r="2358" customFormat="false" ht="15" hidden="false" customHeight="false" outlineLevel="0" collapsed="false">
      <c r="B2358" s="34" t="str">
        <f aca="false">SUBSTITUTE(SUBSTITUTE(SUBSTITUTE(SUBSTITUTE(SUBSTITUTE(Txt_Objet,"{cabinet}",Cab_Nom),"{societe}",IF($K$2341=0,"",INDEX(Clients!$E$2:$E$501,$K$2341)&amp;"")),"{date_effet}",$K$2343),"{hausse}",$K$2344),"{civilite}",$K$2342)</f>
        <v>Objet : révision de nos honoraires au 1er janvier 2027</v>
      </c>
      <c r="C2358" s="34"/>
      <c r="D2358" s="34"/>
      <c r="E2358" s="34"/>
      <c r="F2358" s="34"/>
      <c r="J2358" s="25"/>
      <c r="K2358" s="25"/>
      <c r="L2358" s="25"/>
      <c r="M2358" s="25"/>
      <c r="N2358" s="25"/>
      <c r="O2358" s="25"/>
    </row>
    <row r="2359" customFormat="false" ht="13.5" hidden="false" customHeight="true" outlineLevel="0" collapsed="false">
      <c r="B2359" s="10"/>
      <c r="C2359" s="10"/>
      <c r="D2359" s="10"/>
      <c r="E2359" s="10"/>
      <c r="F2359" s="10"/>
      <c r="J2359" s="25"/>
      <c r="K2359" s="25"/>
      <c r="L2359" s="25"/>
      <c r="M2359" s="25"/>
      <c r="N2359" s="25"/>
      <c r="O2359" s="25"/>
    </row>
    <row r="2360" customFormat="false" ht="15" hidden="false" customHeight="false" outlineLevel="0" collapsed="false">
      <c r="B2360" s="10" t="str">
        <f aca="false">$K$2342&amp;","</f>
        <v>Madame, Monsieur,</v>
      </c>
      <c r="C2360" s="10"/>
      <c r="D2360" s="10"/>
      <c r="E2360" s="10"/>
      <c r="F2360" s="10"/>
      <c r="J2360" s="25"/>
      <c r="K2360" s="25"/>
      <c r="L2360" s="25"/>
      <c r="M2360" s="25"/>
      <c r="N2360" s="25"/>
      <c r="O2360" s="25"/>
    </row>
    <row r="2361" customFormat="false" ht="6" hidden="false" customHeight="true" outlineLevel="0" collapsed="false">
      <c r="B2361" s="10"/>
      <c r="C2361" s="10"/>
      <c r="D2361" s="10"/>
      <c r="E2361" s="10"/>
      <c r="F2361" s="10"/>
      <c r="J2361" s="25"/>
      <c r="K2361" s="25"/>
      <c r="L2361" s="25"/>
      <c r="M2361" s="25"/>
      <c r="N2361" s="25"/>
      <c r="O2361" s="25"/>
    </row>
    <row r="2362" customFormat="false" ht="36.75" hidden="false" customHeight="true" outlineLevel="0" collapsed="false">
      <c r="B2362" s="37" t="str">
        <f aca="false">SUBSTITUTE(SUBSTITUTE(SUBSTITUTE(SUBSTITUTE(SUBSTITUTE(Txt_P1,"{cabinet}",Cab_Nom),"{societe}",IF($K$2341=0,"",INDEX(Clients!$E$2:$E$501,$K$2341)&amp;"")),"{date_effet}",$K$2343),"{hausse}",$K$2344),"{civilite}",$K$2342)</f>
        <v>Nous tenons tout d'abord à vous remercier pour la confiance que vous accordez à ALTHO EXPERTISE. Comme chaque année, et conformément aux dispositions de votre lettre de mission, nous procédons à la révision de nos honoraires.</v>
      </c>
      <c r="C2362" s="37"/>
      <c r="D2362" s="37"/>
      <c r="E2362" s="37"/>
      <c r="F2362" s="37"/>
      <c r="J2362" s="25"/>
      <c r="K2362" s="25"/>
      <c r="L2362" s="25"/>
      <c r="M2362" s="25"/>
      <c r="N2362" s="25"/>
      <c r="O2362" s="25"/>
    </row>
    <row r="2363" customFormat="false" ht="49.5" hidden="false" customHeight="true" outlineLevel="0" collapsed="false">
      <c r="B2363" s="37" t="str">
        <f aca="false">SUBSTITUTE(SUBSTITUTE(SUBSTITUTE(SUBSTITUTE(SUBSTITUTE(Txt_P2,"{cabinet}",Cab_Nom),"{societe}",IF($K$2341=0,"",INDEX(Clients!$E$2:$E$501,$K$2341)&amp;"")),"{date_effet}",$K$2343),"{hausse}",$K$2344),"{civilite}",$K$2342)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363" s="37"/>
      <c r="D2363" s="37"/>
      <c r="E2363" s="37"/>
      <c r="F2363" s="37"/>
      <c r="J2363" s="25"/>
      <c r="K2363" s="25"/>
      <c r="L2363" s="25"/>
      <c r="M2363" s="25"/>
      <c r="N2363" s="25"/>
      <c r="O2363" s="25"/>
    </row>
    <row r="2364" customFormat="false" ht="63" hidden="false" customHeight="true" outlineLevel="0" collapsed="false">
      <c r="B2364" s="37" t="str">
        <f aca="false">SUBSTITUTE(SUBSTITUTE(SUBSTITUTE(SUBSTITUTE(SUBSTITUTE(Txt_P3,"{cabinet}",Cab_Nom),"{societe}",IF($K$2341=0,"",INDEX(Clients!$E$2:$E$501,$K$2341)&amp;"")),"{date_effet}",$K$2343),"{hausse}",$K$2344),"{civilite}",$K$2342)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364" s="37"/>
      <c r="D2364" s="37"/>
      <c r="E2364" s="37"/>
      <c r="F2364" s="37"/>
      <c r="J2364" s="25"/>
      <c r="K2364" s="25"/>
      <c r="L2364" s="25"/>
      <c r="M2364" s="25"/>
      <c r="N2364" s="25"/>
      <c r="O2364" s="25"/>
    </row>
    <row r="2365" customFormat="false" ht="24" hidden="false" customHeight="true" outlineLevel="0" collapsed="false">
      <c r="B2365" s="37" t="str">
        <f aca="false">SUBSTITUTE(SUBSTITUTE(SUBSTITUTE(SUBSTITUTE(SUBSTITUTE(Txt_P4,"{cabinet}",Cab_Nom),"{societe}",IF($K$2341=0,"",INDEX(Clients!$E$2:$E$501,$K$2341)&amp;"")),"{date_effet}",$K$2343),"{hausse}",$K$2344),"{civilite}",$K$2342)</f>
        <v>À compter du 1er janvier 2027, vos honoraires annuels hors taxes évolueront ainsi (évolution globale : ) :</v>
      </c>
      <c r="C2365" s="37"/>
      <c r="D2365" s="37"/>
      <c r="E2365" s="37"/>
      <c r="F2365" s="37"/>
      <c r="J2365" s="25"/>
      <c r="K2365" s="25"/>
      <c r="L2365" s="25"/>
      <c r="M2365" s="25"/>
      <c r="N2365" s="25"/>
      <c r="O2365" s="25"/>
    </row>
    <row r="2366" customFormat="false" ht="3.75" hidden="false" customHeight="true" outlineLevel="0" collapsed="false">
      <c r="B2366" s="10"/>
      <c r="C2366" s="10"/>
      <c r="D2366" s="10"/>
      <c r="E2366" s="10"/>
      <c r="F2366" s="10"/>
      <c r="J2366" s="25"/>
      <c r="K2366" s="25"/>
      <c r="L2366" s="25"/>
      <c r="M2366" s="25"/>
      <c r="N2366" s="25"/>
      <c r="O2366" s="25"/>
    </row>
    <row r="2367" customFormat="false" ht="18" hidden="false" customHeight="true" outlineLevel="0" collapsed="false">
      <c r="B2367" s="38" t="s">
        <v>148</v>
      </c>
      <c r="C2367" s="39" t="s">
        <v>149</v>
      </c>
      <c r="D2367" s="39" t="s">
        <v>150</v>
      </c>
      <c r="E2367" s="39" t="s">
        <v>151</v>
      </c>
      <c r="F2367" s="39" t="s">
        <v>109</v>
      </c>
      <c r="J2367" s="25" t="s">
        <v>152</v>
      </c>
      <c r="K2367" s="25" t="s">
        <v>153</v>
      </c>
      <c r="L2367" s="25" t="s">
        <v>154</v>
      </c>
      <c r="M2367" s="25" t="s">
        <v>155</v>
      </c>
      <c r="N2367" s="25" t="s">
        <v>156</v>
      </c>
      <c r="O2367" s="25" t="s">
        <v>157</v>
      </c>
    </row>
    <row r="2368" customFormat="false" ht="16.5" hidden="false" customHeight="true" outlineLevel="0" collapsed="false">
      <c r="B2368" s="40" t="str">
        <f aca="false">IFERROR(INDEX($J$2368:$J$2371,MATCH($O2368,$N$2368:$N$2371,0)),"")</f>
        <v/>
      </c>
      <c r="C2368" s="41" t="str">
        <f aca="false">IFERROR(INDEX($K$2368:$K$2371,MATCH($O2368,$N$2368:$N$2371,0)),"")</f>
        <v/>
      </c>
      <c r="D2368" s="42" t="str">
        <f aca="false">IF(OR(E2368="",N(C2368)=0),"",E2368/C2368-1)</f>
        <v/>
      </c>
      <c r="E2368" s="41" t="str">
        <f aca="false">IFERROR(INDEX($L$2368:$L$2371,MATCH($O2368,$N$2368:$N$2371,0)),"")</f>
        <v/>
      </c>
      <c r="F2368" s="41" t="str">
        <f aca="false">IF(E2368="","",E2368-C2368)</f>
        <v/>
      </c>
      <c r="J2368" s="25" t="str">
        <f aca="false">Lib_Compta</f>
        <v>Mission comptable (tenue, révision, bilan, liasse fiscale)</v>
      </c>
      <c r="K2368" s="25" t="n">
        <f aca="false">IF($K$2341=0,0,N(INDEX(Clients!$K$2:$K$501,$K$2341)))</f>
        <v>0</v>
      </c>
      <c r="L2368" s="25" t="n">
        <f aca="false">IF($K$2341=0,0,N(INDEX(Clients!$P$2:$P$501,$K$2341)))</f>
        <v>0</v>
      </c>
      <c r="M2368" s="25" t="n">
        <f aca="false">IF(OR(K2368&lt;&gt;0,L2368&lt;&gt;0),1,0)</f>
        <v>0</v>
      </c>
      <c r="N2368" s="25" t="str">
        <f aca="false">IF(M2368=1,SUM($M$2368:M2368),"")</f>
        <v/>
      </c>
      <c r="O2368" s="25" t="n">
        <v>1</v>
      </c>
    </row>
    <row r="2369" customFormat="false" ht="16.5" hidden="false" customHeight="true" outlineLevel="0" collapsed="false">
      <c r="B2369" s="40" t="str">
        <f aca="false">IFERROR(INDEX($J$2368:$J$2371,MATCH($O2369,$N$2368:$N$2371,0)),"")</f>
        <v/>
      </c>
      <c r="C2369" s="41" t="str">
        <f aca="false">IFERROR(INDEX($K$2368:$K$2371,MATCH($O2369,$N$2368:$N$2371,0)),"")</f>
        <v/>
      </c>
      <c r="D2369" s="42" t="str">
        <f aca="false">IF(OR(E2369="",N(C2369)=0),"",E2369/C2369-1)</f>
        <v/>
      </c>
      <c r="E2369" s="41" t="str">
        <f aca="false">IFERROR(INDEX($L$2368:$L$2371,MATCH($O2369,$N$2368:$N$2371,0)),"")</f>
        <v/>
      </c>
      <c r="F2369" s="41" t="str">
        <f aca="false">IF(E2369="","",E2369-C2369)</f>
        <v/>
      </c>
      <c r="J2369" s="25" t="str">
        <f aca="false">Lib_Paye</f>
        <v>Mission sociale (bulletins de paie, DSN, déclarations sociales)</v>
      </c>
      <c r="K2369" s="25" t="n">
        <f aca="false">IF($K$2341=0,0,N(INDEX(Clients!$L$2:$L$501,$K$2341)))</f>
        <v>0</v>
      </c>
      <c r="L2369" s="25" t="n">
        <f aca="false">IF($K$2341=0,0,N(INDEX(Clients!$Q$2:$Q$501,$K$2341)))</f>
        <v>0</v>
      </c>
      <c r="M2369" s="25" t="n">
        <f aca="false">IF(OR(K2369&lt;&gt;0,L2369&lt;&gt;0),1,0)</f>
        <v>0</v>
      </c>
      <c r="N2369" s="25" t="str">
        <f aca="false">IF(M2369=1,SUM($M$2368:M2369),"")</f>
        <v/>
      </c>
      <c r="O2369" s="25" t="n">
        <v>2</v>
      </c>
    </row>
    <row r="2370" customFormat="false" ht="16.5" hidden="false" customHeight="true" outlineLevel="0" collapsed="false">
      <c r="B2370" s="40" t="str">
        <f aca="false">IFERROR(INDEX($J$2368:$J$2371,MATCH($O2370,$N$2368:$N$2371,0)),"")</f>
        <v/>
      </c>
      <c r="C2370" s="41" t="str">
        <f aca="false">IFERROR(INDEX($K$2368:$K$2371,MATCH($O2370,$N$2368:$N$2371,0)),"")</f>
        <v/>
      </c>
      <c r="D2370" s="42" t="str">
        <f aca="false">IF(OR(E2370="",N(C2370)=0),"",E2370/C2370-1)</f>
        <v/>
      </c>
      <c r="E2370" s="41" t="str">
        <f aca="false">IFERROR(INDEX($L$2368:$L$2371,MATCH($O2370,$N$2368:$N$2371,0)),"")</f>
        <v/>
      </c>
      <c r="F2370" s="41" t="str">
        <f aca="false">IF(E2370="","",E2370-C2370)</f>
        <v/>
      </c>
      <c r="J2370" s="25" t="str">
        <f aca="false">Lib_Jur</f>
        <v>Mission juridique (approbation des comptes, secrétariat juridique)</v>
      </c>
      <c r="K2370" s="25" t="n">
        <f aca="false">IF($K$2341=0,0,N(INDEX(Clients!$M$2:$M$501,$K$2341)))</f>
        <v>0</v>
      </c>
      <c r="L2370" s="25" t="n">
        <f aca="false">IF($K$2341=0,0,N(INDEX(Clients!$R$2:$R$501,$K$2341)))</f>
        <v>0</v>
      </c>
      <c r="M2370" s="25" t="n">
        <f aca="false">IF(OR(K2370&lt;&gt;0,L2370&lt;&gt;0),1,0)</f>
        <v>0</v>
      </c>
      <c r="N2370" s="25" t="str">
        <f aca="false">IF(M2370=1,SUM($M$2368:M2370),"")</f>
        <v/>
      </c>
      <c r="O2370" s="25" t="n">
        <v>3</v>
      </c>
    </row>
    <row r="2371" customFormat="false" ht="16.5" hidden="false" customHeight="true" outlineLevel="0" collapsed="false">
      <c r="B2371" s="40" t="str">
        <f aca="false">IFERROR(INDEX($J$2368:$J$2371,MATCH($O2371,$N$2368:$N$2371,0)),"")</f>
        <v/>
      </c>
      <c r="C2371" s="41" t="str">
        <f aca="false">IFERROR(INDEX($K$2368:$K$2371,MATCH($O2371,$N$2368:$N$2371,0)),"")</f>
        <v/>
      </c>
      <c r="D2371" s="42" t="str">
        <f aca="false">IF(OR(E2371="",N(C2371)=0),"",E2371/C2371-1)</f>
        <v/>
      </c>
      <c r="E2371" s="41" t="str">
        <f aca="false">IFERROR(INDEX($L$2368:$L$2371,MATCH($O2371,$N$2368:$N$2371,0)),"")</f>
        <v/>
      </c>
      <c r="F2371" s="41" t="str">
        <f aca="false">IF(E2371="","",E2371-C2371)</f>
        <v/>
      </c>
      <c r="J2371" s="25" t="str">
        <f aca="false">Lib_PA</f>
        <v>Plateforme agréée – facturation électronique</v>
      </c>
      <c r="K2371" s="25" t="n">
        <f aca="false">IF($K$2341=0,0,N(INDEX(Clients!$N$2:$N$501,$K$2341)))</f>
        <v>0</v>
      </c>
      <c r="L2371" s="25" t="n">
        <f aca="false">IF($K$2341=0,0,N(INDEX(Clients!$S$2:$S$501,$K$2341)))</f>
        <v>0</v>
      </c>
      <c r="M2371" s="25" t="n">
        <f aca="false">IF(OR(K2371&lt;&gt;0,L2371&lt;&gt;0),1,0)</f>
        <v>0</v>
      </c>
      <c r="N2371" s="25" t="str">
        <f aca="false">IF(M2371=1,SUM($M$2368:M2371),"")</f>
        <v/>
      </c>
      <c r="O2371" s="25" t="n">
        <v>4</v>
      </c>
    </row>
    <row r="2372" customFormat="false" ht="18" hidden="false" customHeight="true" outlineLevel="0" collapsed="false">
      <c r="B2372" s="43" t="s">
        <v>158</v>
      </c>
      <c r="C2372" s="44" t="n">
        <f aca="false">SUM(K2368:K2371)</f>
        <v>0</v>
      </c>
      <c r="D2372" s="45" t="str">
        <f aca="false">IF(N(C2372)=0,"",E2372/C2372-1)</f>
        <v/>
      </c>
      <c r="E2372" s="44" t="n">
        <f aca="false">SUM(L2368:L2371)</f>
        <v>0</v>
      </c>
      <c r="F2372" s="44" t="n">
        <f aca="false">E2372-C2372</f>
        <v>0</v>
      </c>
    </row>
    <row r="2373" customFormat="false" ht="15" hidden="false" customHeight="false" outlineLevel="0" collapsed="false">
      <c r="B2373" s="46" t="str">
        <f aca="false">IF(N(Nb_Mensualites)=0,"","Soit "&amp;FIXED(E2372/Nb_Mensualites,2)&amp;" € HT par échéance ("&amp;Nb_Mensualites&amp;" échéances), "&amp;FIXED(E2372/Nb_Mensualites*(1+Taux_TVA),2)&amp;" € TTC.")</f>
        <v>Soit 0.00 € HT par échéance (12 échéances), 0.00 € TTC.</v>
      </c>
      <c r="C2373" s="46"/>
      <c r="D2373" s="46"/>
      <c r="E2373" s="46"/>
      <c r="F2373" s="46"/>
    </row>
    <row r="2374" customFormat="false" ht="7.5" hidden="false" customHeight="true" outlineLevel="0" collapsed="false">
      <c r="B2374" s="10"/>
      <c r="C2374" s="10"/>
      <c r="D2374" s="10"/>
      <c r="E2374" s="10"/>
      <c r="F2374" s="10"/>
    </row>
    <row r="2375" customFormat="false" ht="36.75" hidden="false" customHeight="true" outlineLevel="0" collapsed="false">
      <c r="B2375" s="37" t="str">
        <f aca="false">SUBSTITUTE(SUBSTITUTE(SUBSTITUTE(SUBSTITUTE(SUBSTITUTE(Txt_P5,"{cabinet}",Cab_Nom),"{societe}",IF($K$2341=0,"",INDEX(Clients!$E$2:$E$501,$K$2341)&amp;"")),"{date_effet}",$K$2343),"{hausse}",$K$2344),"{civilite}",$K$2342)</f>
        <v>Les autres conditions de votre lettre de mission demeurent inchangées. Les nouveaux montants seront appliqués automatiquement sur vos prochaines factures et échéances de prélèvement.</v>
      </c>
      <c r="C2375" s="37"/>
      <c r="D2375" s="37"/>
      <c r="E2375" s="37"/>
      <c r="F2375" s="37"/>
    </row>
    <row r="2376" customFormat="false" ht="36.75" hidden="false" customHeight="true" outlineLevel="0" collapsed="false">
      <c r="B2376" s="37" t="str">
        <f aca="false">SUBSTITUTE(SUBSTITUTE(SUBSTITUTE(SUBSTITUTE(SUBSTITUTE(Txt_P6,"{cabinet}",Cab_Nom),"{societe}",IF($K$2341=0,"",INDEX(Clients!$E$2:$E$501,$K$2341)&amp;"")),"{date_effet}",$K$2343),"{hausse}",$K$2344),"{civilite}",$K$2342)</f>
        <v>Votre interlocuteur habituel reste à votre entière disposition pour répondre à vos questions et faire le point sur l'évolution de vos besoins.</v>
      </c>
      <c r="C2376" s="37"/>
      <c r="D2376" s="37"/>
      <c r="E2376" s="37"/>
      <c r="F2376" s="37"/>
    </row>
    <row r="2377" customFormat="false" ht="24" hidden="false" customHeight="true" outlineLevel="0" collapsed="false">
      <c r="B2377" s="37" t="str">
        <f aca="false">SUBSTITUTE(SUBSTITUTE(SUBSTITUTE(SUBSTITUTE(SUBSTITUTE(Txt_Politesse,"{cabinet}",Cab_Nom),"{societe}",IF($K$2341=0,"",INDEX(Clients!$E$2:$E$501,$K$2341)&amp;"")),"{date_effet}",$K$2343),"{hausse}",$K$2344),"{civilite}",$K$2342)</f>
        <v>Nous vous prions d'agréer, Madame, Monsieur, l'expression de nos salutations distinguées.</v>
      </c>
      <c r="C2377" s="37"/>
      <c r="D2377" s="37"/>
      <c r="E2377" s="37"/>
      <c r="F2377" s="37"/>
    </row>
    <row r="2378" customFormat="false" ht="15" hidden="false" customHeight="false" outlineLevel="0" collapsed="false">
      <c r="B2378" s="10"/>
      <c r="C2378" s="10"/>
      <c r="D2378" s="10"/>
      <c r="E2378" s="10"/>
      <c r="F2378" s="10"/>
    </row>
    <row r="2379" customFormat="false" ht="15" hidden="false" customHeight="false" outlineLevel="0" collapsed="false">
      <c r="B2379" s="10"/>
      <c r="C2379" s="10"/>
      <c r="D2379" s="34" t="str">
        <f aca="false">Signataire</f>
        <v>Prénom NOM</v>
      </c>
      <c r="E2379" s="34"/>
      <c r="F2379" s="34"/>
    </row>
    <row r="2380" customFormat="false" ht="15" hidden="false" customHeight="false" outlineLevel="0" collapsed="false">
      <c r="B2380" s="10"/>
      <c r="C2380" s="10"/>
      <c r="D2380" s="47" t="str">
        <f aca="false">Signataire_Titre</f>
        <v>Expert-comptable associé</v>
      </c>
      <c r="E2380" s="47"/>
      <c r="F2380" s="47"/>
    </row>
    <row r="2381" customFormat="false" ht="15.75" hidden="false" customHeight="true" outlineLevel="0" collapsed="false">
      <c r="B2381" s="10"/>
      <c r="C2381" s="10"/>
      <c r="D2381" s="10"/>
      <c r="E2381" s="10"/>
      <c r="F2381" s="10"/>
    </row>
    <row r="2382" customFormat="false" ht="15.75" hidden="false" customHeight="true" outlineLevel="0" collapsed="false">
      <c r="B2382" s="10"/>
      <c r="C2382" s="10"/>
      <c r="D2382" s="10"/>
      <c r="E2382" s="10"/>
      <c r="F2382" s="10"/>
    </row>
    <row r="2383" customFormat="false" ht="15.75" hidden="false" customHeight="true" outlineLevel="0" collapsed="false">
      <c r="B2383" s="10"/>
      <c r="C2383" s="10"/>
      <c r="D2383" s="10"/>
      <c r="E2383" s="10"/>
      <c r="F2383" s="10"/>
    </row>
    <row r="2384" customFormat="false" ht="15.75" hidden="false" customHeight="true" outlineLevel="0" collapsed="false">
      <c r="B2384" s="10"/>
      <c r="C2384" s="10"/>
      <c r="D2384" s="10"/>
      <c r="E2384" s="10"/>
      <c r="F2384" s="10"/>
    </row>
    <row r="2385" customFormat="false" ht="24" hidden="false" customHeight="true" outlineLevel="0" collapsed="false">
      <c r="B2385" s="48" t="str">
        <f aca="false">Cab_Mentions</f>
        <v>ALTHO EXPERTISE · SAS au capital de 10 000 € · RCS Pontoise 919 706 325 · TVA FR62919706325 · Société d'expertise comptable inscrite au Tableau de l'Ordre des experts-comptables de Paris Île-de-France</v>
      </c>
      <c r="C2385" s="48"/>
      <c r="D2385" s="48"/>
      <c r="E2385" s="48"/>
      <c r="F2385" s="48"/>
    </row>
    <row r="2386" customFormat="false" ht="15" hidden="false" customHeight="false" outlineLevel="0" collapsed="false">
      <c r="B2386" s="10"/>
      <c r="C2386" s="10"/>
      <c r="D2386" s="10"/>
      <c r="E2386" s="10"/>
      <c r="F2386" s="10"/>
      <c r="J2386" s="25" t="s">
        <v>142</v>
      </c>
      <c r="K2386" s="25" t="n">
        <f aca="false">IFERROR(MATCH(54,Clients!$Z$2:$Z$501,0),0)</f>
        <v>0</v>
      </c>
      <c r="L2386" s="25"/>
      <c r="M2386" s="25"/>
      <c r="N2386" s="25"/>
      <c r="O2386" s="25"/>
    </row>
    <row r="2387" customFormat="false" ht="21.75" hidden="false" customHeight="true" outlineLevel="0" collapsed="false">
      <c r="B2387" s="26" t="str">
        <f aca="false">Cab_Nom</f>
        <v>ALTHO EXPERTISE</v>
      </c>
      <c r="C2387" s="26"/>
      <c r="D2387" s="10"/>
      <c r="E2387" s="27" t="str">
        <f aca="false">IF($K$2386=0,"","Réf. client : "&amp;INDEX(Clients!$A$2:$A$501,$K$2386))</f>
        <v/>
      </c>
      <c r="F2387" s="27"/>
      <c r="J2387" s="25" t="s">
        <v>144</v>
      </c>
      <c r="K2387" s="25" t="str">
        <f aca="false">IF(IF($K$2386=0,"",INDEX(Clients!$B$2:$B$501,$K$2386)&amp;"")="Mme","Madame",IF(IF($K$2386=0,"",INDEX(Clients!$B$2:$B$501,$K$2386)&amp;"")="M.","Monsieur","Madame, Monsieur"))</f>
        <v>Madame, Monsieur</v>
      </c>
      <c r="L2387" s="25"/>
      <c r="M2387" s="25"/>
      <c r="N2387" s="25"/>
      <c r="O2387" s="25"/>
    </row>
    <row r="2388" customFormat="false" ht="15" hidden="false" customHeight="false" outlineLevel="0" collapsed="false">
      <c r="B2388" s="29" t="str">
        <f aca="false">Cab_Adr1</f>
        <v>141 rue Charles de Gaulle</v>
      </c>
      <c r="C2388" s="29"/>
      <c r="D2388" s="10"/>
      <c r="E2388" s="10"/>
      <c r="F2388" s="10"/>
      <c r="J2388" s="25" t="s">
        <v>145</v>
      </c>
      <c r="K2388" s="25" t="str">
        <f aca="false">DAY(Date_Effet)&amp;IF(DAY(Date_Effet)=1,"er","")&amp;" "&amp;INDEX(Liste_Mois,MONTH(Date_Effet))&amp;" "&amp;YEAR(Date_Effet)</f>
        <v>1er janvier 2027</v>
      </c>
      <c r="L2388" s="25"/>
      <c r="M2388" s="25"/>
      <c r="N2388" s="25"/>
      <c r="O2388" s="25"/>
    </row>
    <row r="2389" customFormat="false" ht="15" hidden="false" customHeight="false" outlineLevel="0" collapsed="false">
      <c r="B2389" s="29" t="str">
        <f aca="false">Cab_CPVille</f>
        <v>95130 LE PLESSIS-BOUCHARD</v>
      </c>
      <c r="C2389" s="29"/>
      <c r="D2389" s="10"/>
      <c r="E2389" s="10"/>
      <c r="F2389" s="10"/>
      <c r="J2389" s="25" t="s">
        <v>146</v>
      </c>
      <c r="K2389" s="25" t="str">
        <f aca="false">IF(SUM($K$2413:$K$2416)=0,"",FIXED((SUM($L$2413:$L$2416)/SUM($K$2413:$K$2416)-1)*100,1)&amp;" %")</f>
        <v/>
      </c>
      <c r="L2389" s="25"/>
      <c r="M2389" s="25"/>
      <c r="N2389" s="25"/>
      <c r="O2389" s="25"/>
    </row>
    <row r="2390" customFormat="false" ht="15" hidden="false" customHeight="false" outlineLevel="0" collapsed="false">
      <c r="B2390" s="29" t="str">
        <f aca="false">Cab_Contact</f>
        <v>Tél. 01 34 14 53 45  ·  altho@altho-experts.com  ·  altho-experts.com</v>
      </c>
      <c r="C2390" s="29"/>
      <c r="D2390" s="10"/>
      <c r="E2390" s="10"/>
      <c r="F2390" s="10"/>
      <c r="J2390" s="25"/>
      <c r="K2390" s="25"/>
      <c r="L2390" s="25"/>
      <c r="M2390" s="25"/>
      <c r="N2390" s="25"/>
      <c r="O2390" s="25"/>
    </row>
    <row r="2391" customFormat="false" ht="6" hidden="false" customHeight="true" outlineLevel="0" collapsed="false">
      <c r="B2391" s="32"/>
      <c r="C2391" s="32"/>
      <c r="D2391" s="32"/>
      <c r="E2391" s="32"/>
      <c r="F2391" s="32"/>
      <c r="J2391" s="25"/>
      <c r="K2391" s="25"/>
      <c r="L2391" s="25"/>
      <c r="M2391" s="25"/>
      <c r="N2391" s="25"/>
      <c r="O2391" s="25"/>
    </row>
    <row r="2392" customFormat="false" ht="13.5" hidden="false" customHeight="true" outlineLevel="0" collapsed="false">
      <c r="B2392" s="10"/>
      <c r="C2392" s="10"/>
      <c r="D2392" s="10"/>
      <c r="E2392" s="10"/>
      <c r="F2392" s="10"/>
      <c r="J2392" s="25"/>
      <c r="K2392" s="25"/>
      <c r="L2392" s="25"/>
      <c r="M2392" s="25"/>
      <c r="N2392" s="25"/>
      <c r="O2392" s="25"/>
    </row>
    <row r="2393" customFormat="false" ht="13.5" hidden="false" customHeight="true" outlineLevel="0" collapsed="false">
      <c r="B2393" s="10"/>
      <c r="C2393" s="10"/>
      <c r="D2393" s="10"/>
      <c r="E2393" s="10"/>
      <c r="F2393" s="10"/>
      <c r="J2393" s="25"/>
      <c r="K2393" s="25"/>
      <c r="L2393" s="25"/>
      <c r="M2393" s="25"/>
      <c r="N2393" s="25"/>
      <c r="O2393" s="25"/>
    </row>
    <row r="2394" customFormat="false" ht="13.5" hidden="false" customHeight="true" outlineLevel="0" collapsed="false">
      <c r="B2394" s="10"/>
      <c r="C2394" s="10"/>
      <c r="D2394" s="10"/>
      <c r="E2394" s="10"/>
      <c r="F2394" s="10"/>
      <c r="J2394" s="25"/>
      <c r="K2394" s="25"/>
      <c r="L2394" s="25"/>
      <c r="M2394" s="25"/>
      <c r="N2394" s="25"/>
      <c r="O2394" s="25"/>
    </row>
    <row r="2395" customFormat="false" ht="15" hidden="false" customHeight="true" outlineLevel="0" collapsed="false">
      <c r="B2395" s="10"/>
      <c r="C2395" s="10"/>
      <c r="D2395" s="34" t="str">
        <f aca="false">IF($K$2386=0,"",INDEX(Clients!$E$2:$E$501,$K$2386)&amp;"")</f>
        <v/>
      </c>
      <c r="E2395" s="34"/>
      <c r="F2395" s="34"/>
      <c r="J2395" s="25"/>
      <c r="K2395" s="25"/>
      <c r="L2395" s="25"/>
      <c r="M2395" s="25"/>
      <c r="N2395" s="25"/>
      <c r="O2395" s="25"/>
    </row>
    <row r="2396" customFormat="false" ht="15" hidden="false" customHeight="true" outlineLevel="0" collapsed="false">
      <c r="B2396" s="10"/>
      <c r="C2396" s="10"/>
      <c r="D2396" s="35" t="str">
        <f aca="false">IF(IF($K$2386=0,"",INDEX(Clients!$D$2:$D$501,$K$2386)&amp;"")="","","À l'attention de "&amp;TRIM(IF($K$2386=0,"",INDEX(Clients!$B$2:$B$501,$K$2386)&amp;"")&amp;" "&amp;IF($K$2386=0,"",INDEX(Clients!$C$2:$C$501,$K$2386)&amp;"")&amp;" "&amp;IF($K$2386=0,"",INDEX(Clients!$D$2:$D$501,$K$2386)&amp;"")))</f>
        <v/>
      </c>
      <c r="E2396" s="35"/>
      <c r="F2396" s="35"/>
      <c r="J2396" s="25"/>
      <c r="K2396" s="25"/>
      <c r="L2396" s="25"/>
      <c r="M2396" s="25"/>
      <c r="N2396" s="25"/>
      <c r="O2396" s="25"/>
    </row>
    <row r="2397" customFormat="false" ht="15" hidden="false" customHeight="true" outlineLevel="0" collapsed="false">
      <c r="B2397" s="10"/>
      <c r="C2397" s="10"/>
      <c r="D2397" s="35" t="str">
        <f aca="false">IF($K$2386=0,"",INDEX(Clients!$F$2:$F$501,$K$2386)&amp;"")</f>
        <v/>
      </c>
      <c r="E2397" s="35"/>
      <c r="F2397" s="35"/>
      <c r="J2397" s="25"/>
      <c r="K2397" s="25"/>
      <c r="L2397" s="25"/>
      <c r="M2397" s="25"/>
      <c r="N2397" s="25"/>
      <c r="O2397" s="25"/>
    </row>
    <row r="2398" customFormat="false" ht="15" hidden="false" customHeight="true" outlineLevel="0" collapsed="false">
      <c r="B2398" s="10"/>
      <c r="C2398" s="10"/>
      <c r="D2398" s="35" t="str">
        <f aca="false">IF(IF($K$2386=0,"",INDEX(Clients!$G$2:$G$501,$K$2386)&amp;"")="",TRIM(IF($K$2386=0,"",INDEX(Clients!$H$2:$H$501,$K$2386)&amp;"")&amp;" "&amp;UPPER(IF($K$2386=0,"",INDEX(Clients!$I$2:$I$501,$K$2386)&amp;""))),IF($K$2386=0,"",INDEX(Clients!$G$2:$G$501,$K$2386)&amp;""))</f>
        <v/>
      </c>
      <c r="E2398" s="35"/>
      <c r="F2398" s="35"/>
      <c r="J2398" s="25"/>
      <c r="K2398" s="25"/>
      <c r="L2398" s="25"/>
      <c r="M2398" s="25"/>
      <c r="N2398" s="25"/>
      <c r="O2398" s="25"/>
    </row>
    <row r="2399" customFormat="false" ht="15" hidden="false" customHeight="true" outlineLevel="0" collapsed="false">
      <c r="B2399" s="10"/>
      <c r="C2399" s="10"/>
      <c r="D2399" s="35" t="str">
        <f aca="false">IF(IF($K$2386=0,"",INDEX(Clients!$G$2:$G$501,$K$2386)&amp;"")="","",TRIM(IF($K$2386=0,"",INDEX(Clients!$H$2:$H$501,$K$2386)&amp;"")&amp;" "&amp;UPPER(IF($K$2386=0,"",INDEX(Clients!$I$2:$I$501,$K$2386)&amp;""))))</f>
        <v/>
      </c>
      <c r="E2399" s="35"/>
      <c r="F2399" s="35"/>
      <c r="J2399" s="25"/>
      <c r="K2399" s="25"/>
      <c r="L2399" s="25"/>
      <c r="M2399" s="25"/>
      <c r="N2399" s="25"/>
      <c r="O2399" s="25"/>
    </row>
    <row r="2400" customFormat="false" ht="25.5" hidden="false" customHeight="true" outlineLevel="0" collapsed="false">
      <c r="B2400" s="10"/>
      <c r="C2400" s="10"/>
      <c r="D2400" s="10"/>
      <c r="E2400" s="10"/>
      <c r="F2400" s="10"/>
      <c r="J2400" s="25"/>
      <c r="K2400" s="25"/>
      <c r="L2400" s="25"/>
      <c r="M2400" s="25"/>
      <c r="N2400" s="25"/>
      <c r="O2400" s="25"/>
    </row>
    <row r="2401" customFormat="false" ht="15" hidden="false" customHeight="false" outlineLevel="0" collapsed="false">
      <c r="B2401" s="10"/>
      <c r="C2401" s="10"/>
      <c r="D2401" s="36" t="str">
        <f aca="false">Cab_Ville&amp;", le "&amp;DAY(Date_Courrier)&amp;IF(DAY(Date_Courrier)=1,"er","")&amp;" "&amp;INDEX(Liste_Mois,MONTH(Date_Courrier))&amp;" "&amp;YEAR(Date_Courrier)</f>
        <v>Le Plessis-Bouchard, le 22 septembre 2026</v>
      </c>
      <c r="E2401" s="36"/>
      <c r="F2401" s="36"/>
      <c r="J2401" s="25"/>
      <c r="K2401" s="25"/>
      <c r="L2401" s="25"/>
      <c r="M2401" s="25"/>
      <c r="N2401" s="25"/>
      <c r="O2401" s="25"/>
    </row>
    <row r="2402" customFormat="false" ht="19.5" hidden="false" customHeight="true" outlineLevel="0" collapsed="false">
      <c r="B2402" s="10"/>
      <c r="C2402" s="10"/>
      <c r="D2402" s="10"/>
      <c r="E2402" s="10"/>
      <c r="F2402" s="10"/>
      <c r="J2402" s="25"/>
      <c r="K2402" s="25"/>
      <c r="L2402" s="25"/>
      <c r="M2402" s="25"/>
      <c r="N2402" s="25"/>
      <c r="O2402" s="25"/>
    </row>
    <row r="2403" customFormat="false" ht="15" hidden="false" customHeight="false" outlineLevel="0" collapsed="false">
      <c r="B2403" s="34" t="str">
        <f aca="false">SUBSTITUTE(SUBSTITUTE(SUBSTITUTE(SUBSTITUTE(SUBSTITUTE(Txt_Objet,"{cabinet}",Cab_Nom),"{societe}",IF($K$2386=0,"",INDEX(Clients!$E$2:$E$501,$K$2386)&amp;"")),"{date_effet}",$K$2388),"{hausse}",$K$2389),"{civilite}",$K$2387)</f>
        <v>Objet : révision de nos honoraires au 1er janvier 2027</v>
      </c>
      <c r="C2403" s="34"/>
      <c r="D2403" s="34"/>
      <c r="E2403" s="34"/>
      <c r="F2403" s="34"/>
      <c r="J2403" s="25"/>
      <c r="K2403" s="25"/>
      <c r="L2403" s="25"/>
      <c r="M2403" s="25"/>
      <c r="N2403" s="25"/>
      <c r="O2403" s="25"/>
    </row>
    <row r="2404" customFormat="false" ht="13.5" hidden="false" customHeight="true" outlineLevel="0" collapsed="false">
      <c r="B2404" s="10"/>
      <c r="C2404" s="10"/>
      <c r="D2404" s="10"/>
      <c r="E2404" s="10"/>
      <c r="F2404" s="10"/>
      <c r="J2404" s="25"/>
      <c r="K2404" s="25"/>
      <c r="L2404" s="25"/>
      <c r="M2404" s="25"/>
      <c r="N2404" s="25"/>
      <c r="O2404" s="25"/>
    </row>
    <row r="2405" customFormat="false" ht="15" hidden="false" customHeight="false" outlineLevel="0" collapsed="false">
      <c r="B2405" s="10" t="str">
        <f aca="false">$K$2387&amp;","</f>
        <v>Madame, Monsieur,</v>
      </c>
      <c r="C2405" s="10"/>
      <c r="D2405" s="10"/>
      <c r="E2405" s="10"/>
      <c r="F2405" s="10"/>
      <c r="J2405" s="25"/>
      <c r="K2405" s="25"/>
      <c r="L2405" s="25"/>
      <c r="M2405" s="25"/>
      <c r="N2405" s="25"/>
      <c r="O2405" s="25"/>
    </row>
    <row r="2406" customFormat="false" ht="6" hidden="false" customHeight="true" outlineLevel="0" collapsed="false">
      <c r="B2406" s="10"/>
      <c r="C2406" s="10"/>
      <c r="D2406" s="10"/>
      <c r="E2406" s="10"/>
      <c r="F2406" s="10"/>
      <c r="J2406" s="25"/>
      <c r="K2406" s="25"/>
      <c r="L2406" s="25"/>
      <c r="M2406" s="25"/>
      <c r="N2406" s="25"/>
      <c r="O2406" s="25"/>
    </row>
    <row r="2407" customFormat="false" ht="36.75" hidden="false" customHeight="true" outlineLevel="0" collapsed="false">
      <c r="B2407" s="37" t="str">
        <f aca="false">SUBSTITUTE(SUBSTITUTE(SUBSTITUTE(SUBSTITUTE(SUBSTITUTE(Txt_P1,"{cabinet}",Cab_Nom),"{societe}",IF($K$2386=0,"",INDEX(Clients!$E$2:$E$501,$K$2386)&amp;"")),"{date_effet}",$K$2388),"{hausse}",$K$2389),"{civilite}",$K$2387)</f>
        <v>Nous tenons tout d'abord à vous remercier pour la confiance que vous accordez à ALTHO EXPERTISE. Comme chaque année, et conformément aux dispositions de votre lettre de mission, nous procédons à la révision de nos honoraires.</v>
      </c>
      <c r="C2407" s="37"/>
      <c r="D2407" s="37"/>
      <c r="E2407" s="37"/>
      <c r="F2407" s="37"/>
      <c r="J2407" s="25"/>
      <c r="K2407" s="25"/>
      <c r="L2407" s="25"/>
      <c r="M2407" s="25"/>
      <c r="N2407" s="25"/>
      <c r="O2407" s="25"/>
    </row>
    <row r="2408" customFormat="false" ht="49.5" hidden="false" customHeight="true" outlineLevel="0" collapsed="false">
      <c r="B2408" s="37" t="str">
        <f aca="false">SUBSTITUTE(SUBSTITUTE(SUBSTITUTE(SUBSTITUTE(SUBSTITUTE(Txt_P2,"{cabinet}",Cab_Nom),"{societe}",IF($K$2386=0,"",INDEX(Clients!$E$2:$E$501,$K$2386)&amp;"")),"{date_effet}",$K$2388),"{hausse}",$K$2389),"{civilite}",$K$2387)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408" s="37"/>
      <c r="D2408" s="37"/>
      <c r="E2408" s="37"/>
      <c r="F2408" s="37"/>
      <c r="J2408" s="25"/>
      <c r="K2408" s="25"/>
      <c r="L2408" s="25"/>
      <c r="M2408" s="25"/>
      <c r="N2408" s="25"/>
      <c r="O2408" s="25"/>
    </row>
    <row r="2409" customFormat="false" ht="63" hidden="false" customHeight="true" outlineLevel="0" collapsed="false">
      <c r="B2409" s="37" t="str">
        <f aca="false">SUBSTITUTE(SUBSTITUTE(SUBSTITUTE(SUBSTITUTE(SUBSTITUTE(Txt_P3,"{cabinet}",Cab_Nom),"{societe}",IF($K$2386=0,"",INDEX(Clients!$E$2:$E$501,$K$2386)&amp;"")),"{date_effet}",$K$2388),"{hausse}",$K$2389),"{civilite}",$K$2387)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409" s="37"/>
      <c r="D2409" s="37"/>
      <c r="E2409" s="37"/>
      <c r="F2409" s="37"/>
      <c r="J2409" s="25"/>
      <c r="K2409" s="25"/>
      <c r="L2409" s="25"/>
      <c r="M2409" s="25"/>
      <c r="N2409" s="25"/>
      <c r="O2409" s="25"/>
    </row>
    <row r="2410" customFormat="false" ht="24" hidden="false" customHeight="true" outlineLevel="0" collapsed="false">
      <c r="B2410" s="37" t="str">
        <f aca="false">SUBSTITUTE(SUBSTITUTE(SUBSTITUTE(SUBSTITUTE(SUBSTITUTE(Txt_P4,"{cabinet}",Cab_Nom),"{societe}",IF($K$2386=0,"",INDEX(Clients!$E$2:$E$501,$K$2386)&amp;"")),"{date_effet}",$K$2388),"{hausse}",$K$2389),"{civilite}",$K$2387)</f>
        <v>À compter du 1er janvier 2027, vos honoraires annuels hors taxes évolueront ainsi (évolution globale : ) :</v>
      </c>
      <c r="C2410" s="37"/>
      <c r="D2410" s="37"/>
      <c r="E2410" s="37"/>
      <c r="F2410" s="37"/>
      <c r="J2410" s="25"/>
      <c r="K2410" s="25"/>
      <c r="L2410" s="25"/>
      <c r="M2410" s="25"/>
      <c r="N2410" s="25"/>
      <c r="O2410" s="25"/>
    </row>
    <row r="2411" customFormat="false" ht="3.75" hidden="false" customHeight="true" outlineLevel="0" collapsed="false">
      <c r="B2411" s="10"/>
      <c r="C2411" s="10"/>
      <c r="D2411" s="10"/>
      <c r="E2411" s="10"/>
      <c r="F2411" s="10"/>
      <c r="J2411" s="25"/>
      <c r="K2411" s="25"/>
      <c r="L2411" s="25"/>
      <c r="M2411" s="25"/>
      <c r="N2411" s="25"/>
      <c r="O2411" s="25"/>
    </row>
    <row r="2412" customFormat="false" ht="18" hidden="false" customHeight="true" outlineLevel="0" collapsed="false">
      <c r="B2412" s="38" t="s">
        <v>148</v>
      </c>
      <c r="C2412" s="39" t="s">
        <v>149</v>
      </c>
      <c r="D2412" s="39" t="s">
        <v>150</v>
      </c>
      <c r="E2412" s="39" t="s">
        <v>151</v>
      </c>
      <c r="F2412" s="39" t="s">
        <v>109</v>
      </c>
      <c r="J2412" s="25" t="s">
        <v>152</v>
      </c>
      <c r="K2412" s="25" t="s">
        <v>153</v>
      </c>
      <c r="L2412" s="25" t="s">
        <v>154</v>
      </c>
      <c r="M2412" s="25" t="s">
        <v>155</v>
      </c>
      <c r="N2412" s="25" t="s">
        <v>156</v>
      </c>
      <c r="O2412" s="25" t="s">
        <v>157</v>
      </c>
    </row>
    <row r="2413" customFormat="false" ht="16.5" hidden="false" customHeight="true" outlineLevel="0" collapsed="false">
      <c r="B2413" s="40" t="str">
        <f aca="false">IFERROR(INDEX($J$2413:$J$2416,MATCH($O2413,$N$2413:$N$2416,0)),"")</f>
        <v/>
      </c>
      <c r="C2413" s="41" t="str">
        <f aca="false">IFERROR(INDEX($K$2413:$K$2416,MATCH($O2413,$N$2413:$N$2416,0)),"")</f>
        <v/>
      </c>
      <c r="D2413" s="42" t="str">
        <f aca="false">IF(OR(E2413="",N(C2413)=0),"",E2413/C2413-1)</f>
        <v/>
      </c>
      <c r="E2413" s="41" t="str">
        <f aca="false">IFERROR(INDEX($L$2413:$L$2416,MATCH($O2413,$N$2413:$N$2416,0)),"")</f>
        <v/>
      </c>
      <c r="F2413" s="41" t="str">
        <f aca="false">IF(E2413="","",E2413-C2413)</f>
        <v/>
      </c>
      <c r="J2413" s="25" t="str">
        <f aca="false">Lib_Compta</f>
        <v>Mission comptable (tenue, révision, bilan, liasse fiscale)</v>
      </c>
      <c r="K2413" s="25" t="n">
        <f aca="false">IF($K$2386=0,0,N(INDEX(Clients!$K$2:$K$501,$K$2386)))</f>
        <v>0</v>
      </c>
      <c r="L2413" s="25" t="n">
        <f aca="false">IF($K$2386=0,0,N(INDEX(Clients!$P$2:$P$501,$K$2386)))</f>
        <v>0</v>
      </c>
      <c r="M2413" s="25" t="n">
        <f aca="false">IF(OR(K2413&lt;&gt;0,L2413&lt;&gt;0),1,0)</f>
        <v>0</v>
      </c>
      <c r="N2413" s="25" t="str">
        <f aca="false">IF(M2413=1,SUM($M$2413:M2413),"")</f>
        <v/>
      </c>
      <c r="O2413" s="25" t="n">
        <v>1</v>
      </c>
    </row>
    <row r="2414" customFormat="false" ht="16.5" hidden="false" customHeight="true" outlineLevel="0" collapsed="false">
      <c r="B2414" s="40" t="str">
        <f aca="false">IFERROR(INDEX($J$2413:$J$2416,MATCH($O2414,$N$2413:$N$2416,0)),"")</f>
        <v/>
      </c>
      <c r="C2414" s="41" t="str">
        <f aca="false">IFERROR(INDEX($K$2413:$K$2416,MATCH($O2414,$N$2413:$N$2416,0)),"")</f>
        <v/>
      </c>
      <c r="D2414" s="42" t="str">
        <f aca="false">IF(OR(E2414="",N(C2414)=0),"",E2414/C2414-1)</f>
        <v/>
      </c>
      <c r="E2414" s="41" t="str">
        <f aca="false">IFERROR(INDEX($L$2413:$L$2416,MATCH($O2414,$N$2413:$N$2416,0)),"")</f>
        <v/>
      </c>
      <c r="F2414" s="41" t="str">
        <f aca="false">IF(E2414="","",E2414-C2414)</f>
        <v/>
      </c>
      <c r="J2414" s="25" t="str">
        <f aca="false">Lib_Paye</f>
        <v>Mission sociale (bulletins de paie, DSN, déclarations sociales)</v>
      </c>
      <c r="K2414" s="25" t="n">
        <f aca="false">IF($K$2386=0,0,N(INDEX(Clients!$L$2:$L$501,$K$2386)))</f>
        <v>0</v>
      </c>
      <c r="L2414" s="25" t="n">
        <f aca="false">IF($K$2386=0,0,N(INDEX(Clients!$Q$2:$Q$501,$K$2386)))</f>
        <v>0</v>
      </c>
      <c r="M2414" s="25" t="n">
        <f aca="false">IF(OR(K2414&lt;&gt;0,L2414&lt;&gt;0),1,0)</f>
        <v>0</v>
      </c>
      <c r="N2414" s="25" t="str">
        <f aca="false">IF(M2414=1,SUM($M$2413:M2414),"")</f>
        <v/>
      </c>
      <c r="O2414" s="25" t="n">
        <v>2</v>
      </c>
    </row>
    <row r="2415" customFormat="false" ht="16.5" hidden="false" customHeight="true" outlineLevel="0" collapsed="false">
      <c r="B2415" s="40" t="str">
        <f aca="false">IFERROR(INDEX($J$2413:$J$2416,MATCH($O2415,$N$2413:$N$2416,0)),"")</f>
        <v/>
      </c>
      <c r="C2415" s="41" t="str">
        <f aca="false">IFERROR(INDEX($K$2413:$K$2416,MATCH($O2415,$N$2413:$N$2416,0)),"")</f>
        <v/>
      </c>
      <c r="D2415" s="42" t="str">
        <f aca="false">IF(OR(E2415="",N(C2415)=0),"",E2415/C2415-1)</f>
        <v/>
      </c>
      <c r="E2415" s="41" t="str">
        <f aca="false">IFERROR(INDEX($L$2413:$L$2416,MATCH($O2415,$N$2413:$N$2416,0)),"")</f>
        <v/>
      </c>
      <c r="F2415" s="41" t="str">
        <f aca="false">IF(E2415="","",E2415-C2415)</f>
        <v/>
      </c>
      <c r="J2415" s="25" t="str">
        <f aca="false">Lib_Jur</f>
        <v>Mission juridique (approbation des comptes, secrétariat juridique)</v>
      </c>
      <c r="K2415" s="25" t="n">
        <f aca="false">IF($K$2386=0,0,N(INDEX(Clients!$M$2:$M$501,$K$2386)))</f>
        <v>0</v>
      </c>
      <c r="L2415" s="25" t="n">
        <f aca="false">IF($K$2386=0,0,N(INDEX(Clients!$R$2:$R$501,$K$2386)))</f>
        <v>0</v>
      </c>
      <c r="M2415" s="25" t="n">
        <f aca="false">IF(OR(K2415&lt;&gt;0,L2415&lt;&gt;0),1,0)</f>
        <v>0</v>
      </c>
      <c r="N2415" s="25" t="str">
        <f aca="false">IF(M2415=1,SUM($M$2413:M2415),"")</f>
        <v/>
      </c>
      <c r="O2415" s="25" t="n">
        <v>3</v>
      </c>
    </row>
    <row r="2416" customFormat="false" ht="16.5" hidden="false" customHeight="true" outlineLevel="0" collapsed="false">
      <c r="B2416" s="40" t="str">
        <f aca="false">IFERROR(INDEX($J$2413:$J$2416,MATCH($O2416,$N$2413:$N$2416,0)),"")</f>
        <v/>
      </c>
      <c r="C2416" s="41" t="str">
        <f aca="false">IFERROR(INDEX($K$2413:$K$2416,MATCH($O2416,$N$2413:$N$2416,0)),"")</f>
        <v/>
      </c>
      <c r="D2416" s="42" t="str">
        <f aca="false">IF(OR(E2416="",N(C2416)=0),"",E2416/C2416-1)</f>
        <v/>
      </c>
      <c r="E2416" s="41" t="str">
        <f aca="false">IFERROR(INDEX($L$2413:$L$2416,MATCH($O2416,$N$2413:$N$2416,0)),"")</f>
        <v/>
      </c>
      <c r="F2416" s="41" t="str">
        <f aca="false">IF(E2416="","",E2416-C2416)</f>
        <v/>
      </c>
      <c r="J2416" s="25" t="str">
        <f aca="false">Lib_PA</f>
        <v>Plateforme agréée – facturation électronique</v>
      </c>
      <c r="K2416" s="25" t="n">
        <f aca="false">IF($K$2386=0,0,N(INDEX(Clients!$N$2:$N$501,$K$2386)))</f>
        <v>0</v>
      </c>
      <c r="L2416" s="25" t="n">
        <f aca="false">IF($K$2386=0,0,N(INDEX(Clients!$S$2:$S$501,$K$2386)))</f>
        <v>0</v>
      </c>
      <c r="M2416" s="25" t="n">
        <f aca="false">IF(OR(K2416&lt;&gt;0,L2416&lt;&gt;0),1,0)</f>
        <v>0</v>
      </c>
      <c r="N2416" s="25" t="str">
        <f aca="false">IF(M2416=1,SUM($M$2413:M2416),"")</f>
        <v/>
      </c>
      <c r="O2416" s="25" t="n">
        <v>4</v>
      </c>
    </row>
    <row r="2417" customFormat="false" ht="18" hidden="false" customHeight="true" outlineLevel="0" collapsed="false">
      <c r="B2417" s="43" t="s">
        <v>158</v>
      </c>
      <c r="C2417" s="44" t="n">
        <f aca="false">SUM(K2413:K2416)</f>
        <v>0</v>
      </c>
      <c r="D2417" s="45" t="str">
        <f aca="false">IF(N(C2417)=0,"",E2417/C2417-1)</f>
        <v/>
      </c>
      <c r="E2417" s="44" t="n">
        <f aca="false">SUM(L2413:L2416)</f>
        <v>0</v>
      </c>
      <c r="F2417" s="44" t="n">
        <f aca="false">E2417-C2417</f>
        <v>0</v>
      </c>
    </row>
    <row r="2418" customFormat="false" ht="15" hidden="false" customHeight="false" outlineLevel="0" collapsed="false">
      <c r="B2418" s="46" t="str">
        <f aca="false">IF(N(Nb_Mensualites)=0,"","Soit "&amp;FIXED(E2417/Nb_Mensualites,2)&amp;" € HT par échéance ("&amp;Nb_Mensualites&amp;" échéances), "&amp;FIXED(E2417/Nb_Mensualites*(1+Taux_TVA),2)&amp;" € TTC.")</f>
        <v>Soit 0.00 € HT par échéance (12 échéances), 0.00 € TTC.</v>
      </c>
      <c r="C2418" s="46"/>
      <c r="D2418" s="46"/>
      <c r="E2418" s="46"/>
      <c r="F2418" s="46"/>
    </row>
    <row r="2419" customFormat="false" ht="7.5" hidden="false" customHeight="true" outlineLevel="0" collapsed="false">
      <c r="B2419" s="10"/>
      <c r="C2419" s="10"/>
      <c r="D2419" s="10"/>
      <c r="E2419" s="10"/>
      <c r="F2419" s="10"/>
    </row>
    <row r="2420" customFormat="false" ht="36.75" hidden="false" customHeight="true" outlineLevel="0" collapsed="false">
      <c r="B2420" s="37" t="str">
        <f aca="false">SUBSTITUTE(SUBSTITUTE(SUBSTITUTE(SUBSTITUTE(SUBSTITUTE(Txt_P5,"{cabinet}",Cab_Nom),"{societe}",IF($K$2386=0,"",INDEX(Clients!$E$2:$E$501,$K$2386)&amp;"")),"{date_effet}",$K$2388),"{hausse}",$K$2389),"{civilite}",$K$2387)</f>
        <v>Les autres conditions de votre lettre de mission demeurent inchangées. Les nouveaux montants seront appliqués automatiquement sur vos prochaines factures et échéances de prélèvement.</v>
      </c>
      <c r="C2420" s="37"/>
      <c r="D2420" s="37"/>
      <c r="E2420" s="37"/>
      <c r="F2420" s="37"/>
    </row>
    <row r="2421" customFormat="false" ht="36.75" hidden="false" customHeight="true" outlineLevel="0" collapsed="false">
      <c r="B2421" s="37" t="str">
        <f aca="false">SUBSTITUTE(SUBSTITUTE(SUBSTITUTE(SUBSTITUTE(SUBSTITUTE(Txt_P6,"{cabinet}",Cab_Nom),"{societe}",IF($K$2386=0,"",INDEX(Clients!$E$2:$E$501,$K$2386)&amp;"")),"{date_effet}",$K$2388),"{hausse}",$K$2389),"{civilite}",$K$2387)</f>
        <v>Votre interlocuteur habituel reste à votre entière disposition pour répondre à vos questions et faire le point sur l'évolution de vos besoins.</v>
      </c>
      <c r="C2421" s="37"/>
      <c r="D2421" s="37"/>
      <c r="E2421" s="37"/>
      <c r="F2421" s="37"/>
    </row>
    <row r="2422" customFormat="false" ht="24" hidden="false" customHeight="true" outlineLevel="0" collapsed="false">
      <c r="B2422" s="37" t="str">
        <f aca="false">SUBSTITUTE(SUBSTITUTE(SUBSTITUTE(SUBSTITUTE(SUBSTITUTE(Txt_Politesse,"{cabinet}",Cab_Nom),"{societe}",IF($K$2386=0,"",INDEX(Clients!$E$2:$E$501,$K$2386)&amp;"")),"{date_effet}",$K$2388),"{hausse}",$K$2389),"{civilite}",$K$2387)</f>
        <v>Nous vous prions d'agréer, Madame, Monsieur, l'expression de nos salutations distinguées.</v>
      </c>
      <c r="C2422" s="37"/>
      <c r="D2422" s="37"/>
      <c r="E2422" s="37"/>
      <c r="F2422" s="37"/>
    </row>
    <row r="2423" customFormat="false" ht="15" hidden="false" customHeight="false" outlineLevel="0" collapsed="false">
      <c r="B2423" s="10"/>
      <c r="C2423" s="10"/>
      <c r="D2423" s="10"/>
      <c r="E2423" s="10"/>
      <c r="F2423" s="10"/>
    </row>
    <row r="2424" customFormat="false" ht="15" hidden="false" customHeight="false" outlineLevel="0" collapsed="false">
      <c r="B2424" s="10"/>
      <c r="C2424" s="10"/>
      <c r="D2424" s="34" t="str">
        <f aca="false">Signataire</f>
        <v>Prénom NOM</v>
      </c>
      <c r="E2424" s="34"/>
      <c r="F2424" s="34"/>
    </row>
    <row r="2425" customFormat="false" ht="15" hidden="false" customHeight="false" outlineLevel="0" collapsed="false">
      <c r="B2425" s="10"/>
      <c r="C2425" s="10"/>
      <c r="D2425" s="47" t="str">
        <f aca="false">Signataire_Titre</f>
        <v>Expert-comptable associé</v>
      </c>
      <c r="E2425" s="47"/>
      <c r="F2425" s="47"/>
    </row>
    <row r="2426" customFormat="false" ht="15.75" hidden="false" customHeight="true" outlineLevel="0" collapsed="false">
      <c r="B2426" s="10"/>
      <c r="C2426" s="10"/>
      <c r="D2426" s="10"/>
      <c r="E2426" s="10"/>
      <c r="F2426" s="10"/>
    </row>
    <row r="2427" customFormat="false" ht="15.75" hidden="false" customHeight="true" outlineLevel="0" collapsed="false">
      <c r="B2427" s="10"/>
      <c r="C2427" s="10"/>
      <c r="D2427" s="10"/>
      <c r="E2427" s="10"/>
      <c r="F2427" s="10"/>
    </row>
    <row r="2428" customFormat="false" ht="15.75" hidden="false" customHeight="true" outlineLevel="0" collapsed="false">
      <c r="B2428" s="10"/>
      <c r="C2428" s="10"/>
      <c r="D2428" s="10"/>
      <c r="E2428" s="10"/>
      <c r="F2428" s="10"/>
    </row>
    <row r="2429" customFormat="false" ht="15.75" hidden="false" customHeight="true" outlineLevel="0" collapsed="false">
      <c r="B2429" s="10"/>
      <c r="C2429" s="10"/>
      <c r="D2429" s="10"/>
      <c r="E2429" s="10"/>
      <c r="F2429" s="10"/>
    </row>
    <row r="2430" customFormat="false" ht="24" hidden="false" customHeight="true" outlineLevel="0" collapsed="false">
      <c r="B2430" s="48" t="str">
        <f aca="false">Cab_Mentions</f>
        <v>ALTHO EXPERTISE · SAS au capital de 10 000 € · RCS Pontoise 919 706 325 · TVA FR62919706325 · Société d'expertise comptable inscrite au Tableau de l'Ordre des experts-comptables de Paris Île-de-France</v>
      </c>
      <c r="C2430" s="48"/>
      <c r="D2430" s="48"/>
      <c r="E2430" s="48"/>
      <c r="F2430" s="48"/>
    </row>
    <row r="2431" customFormat="false" ht="15" hidden="false" customHeight="false" outlineLevel="0" collapsed="false">
      <c r="B2431" s="10"/>
      <c r="C2431" s="10"/>
      <c r="D2431" s="10"/>
      <c r="E2431" s="10"/>
      <c r="F2431" s="10"/>
      <c r="J2431" s="25" t="s">
        <v>142</v>
      </c>
      <c r="K2431" s="25" t="n">
        <f aca="false">IFERROR(MATCH(55,Clients!$Z$2:$Z$501,0),0)</f>
        <v>0</v>
      </c>
      <c r="L2431" s="25"/>
      <c r="M2431" s="25"/>
      <c r="N2431" s="25"/>
      <c r="O2431" s="25"/>
    </row>
    <row r="2432" customFormat="false" ht="21.75" hidden="false" customHeight="true" outlineLevel="0" collapsed="false">
      <c r="B2432" s="26" t="str">
        <f aca="false">Cab_Nom</f>
        <v>ALTHO EXPERTISE</v>
      </c>
      <c r="C2432" s="26"/>
      <c r="D2432" s="10"/>
      <c r="E2432" s="27" t="str">
        <f aca="false">IF($K$2431=0,"","Réf. client : "&amp;INDEX(Clients!$A$2:$A$501,$K$2431))</f>
        <v/>
      </c>
      <c r="F2432" s="27"/>
      <c r="J2432" s="25" t="s">
        <v>144</v>
      </c>
      <c r="K2432" s="25" t="str">
        <f aca="false">IF(IF($K$2431=0,"",INDEX(Clients!$B$2:$B$501,$K$2431)&amp;"")="Mme","Madame",IF(IF($K$2431=0,"",INDEX(Clients!$B$2:$B$501,$K$2431)&amp;"")="M.","Monsieur","Madame, Monsieur"))</f>
        <v>Madame, Monsieur</v>
      </c>
      <c r="L2432" s="25"/>
      <c r="M2432" s="25"/>
      <c r="N2432" s="25"/>
      <c r="O2432" s="25"/>
    </row>
    <row r="2433" customFormat="false" ht="15" hidden="false" customHeight="false" outlineLevel="0" collapsed="false">
      <c r="B2433" s="29" t="str">
        <f aca="false">Cab_Adr1</f>
        <v>141 rue Charles de Gaulle</v>
      </c>
      <c r="C2433" s="29"/>
      <c r="D2433" s="10"/>
      <c r="E2433" s="10"/>
      <c r="F2433" s="10"/>
      <c r="J2433" s="25" t="s">
        <v>145</v>
      </c>
      <c r="K2433" s="25" t="str">
        <f aca="false">DAY(Date_Effet)&amp;IF(DAY(Date_Effet)=1,"er","")&amp;" "&amp;INDEX(Liste_Mois,MONTH(Date_Effet))&amp;" "&amp;YEAR(Date_Effet)</f>
        <v>1er janvier 2027</v>
      </c>
      <c r="L2433" s="25"/>
      <c r="M2433" s="25"/>
      <c r="N2433" s="25"/>
      <c r="O2433" s="25"/>
    </row>
    <row r="2434" customFormat="false" ht="15" hidden="false" customHeight="false" outlineLevel="0" collapsed="false">
      <c r="B2434" s="29" t="str">
        <f aca="false">Cab_CPVille</f>
        <v>95130 LE PLESSIS-BOUCHARD</v>
      </c>
      <c r="C2434" s="29"/>
      <c r="D2434" s="10"/>
      <c r="E2434" s="10"/>
      <c r="F2434" s="10"/>
      <c r="J2434" s="25" t="s">
        <v>146</v>
      </c>
      <c r="K2434" s="25" t="str">
        <f aca="false">IF(SUM($K$2458:$K$2461)=0,"",FIXED((SUM($L$2458:$L$2461)/SUM($K$2458:$K$2461)-1)*100,1)&amp;" %")</f>
        <v/>
      </c>
      <c r="L2434" s="25"/>
      <c r="M2434" s="25"/>
      <c r="N2434" s="25"/>
      <c r="O2434" s="25"/>
    </row>
    <row r="2435" customFormat="false" ht="15" hidden="false" customHeight="false" outlineLevel="0" collapsed="false">
      <c r="B2435" s="29" t="str">
        <f aca="false">Cab_Contact</f>
        <v>Tél. 01 34 14 53 45  ·  altho@altho-experts.com  ·  altho-experts.com</v>
      </c>
      <c r="C2435" s="29"/>
      <c r="D2435" s="10"/>
      <c r="E2435" s="10"/>
      <c r="F2435" s="10"/>
      <c r="J2435" s="25"/>
      <c r="K2435" s="25"/>
      <c r="L2435" s="25"/>
      <c r="M2435" s="25"/>
      <c r="N2435" s="25"/>
      <c r="O2435" s="25"/>
    </row>
    <row r="2436" customFormat="false" ht="6" hidden="false" customHeight="true" outlineLevel="0" collapsed="false">
      <c r="B2436" s="32"/>
      <c r="C2436" s="32"/>
      <c r="D2436" s="32"/>
      <c r="E2436" s="32"/>
      <c r="F2436" s="32"/>
      <c r="J2436" s="25"/>
      <c r="K2436" s="25"/>
      <c r="L2436" s="25"/>
      <c r="M2436" s="25"/>
      <c r="N2436" s="25"/>
      <c r="O2436" s="25"/>
    </row>
    <row r="2437" customFormat="false" ht="13.5" hidden="false" customHeight="true" outlineLevel="0" collapsed="false">
      <c r="B2437" s="10"/>
      <c r="C2437" s="10"/>
      <c r="D2437" s="10"/>
      <c r="E2437" s="10"/>
      <c r="F2437" s="10"/>
      <c r="J2437" s="25"/>
      <c r="K2437" s="25"/>
      <c r="L2437" s="25"/>
      <c r="M2437" s="25"/>
      <c r="N2437" s="25"/>
      <c r="O2437" s="25"/>
    </row>
    <row r="2438" customFormat="false" ht="13.5" hidden="false" customHeight="true" outlineLevel="0" collapsed="false">
      <c r="B2438" s="10"/>
      <c r="C2438" s="10"/>
      <c r="D2438" s="10"/>
      <c r="E2438" s="10"/>
      <c r="F2438" s="10"/>
      <c r="J2438" s="25"/>
      <c r="K2438" s="25"/>
      <c r="L2438" s="25"/>
      <c r="M2438" s="25"/>
      <c r="N2438" s="25"/>
      <c r="O2438" s="25"/>
    </row>
    <row r="2439" customFormat="false" ht="13.5" hidden="false" customHeight="true" outlineLevel="0" collapsed="false">
      <c r="B2439" s="10"/>
      <c r="C2439" s="10"/>
      <c r="D2439" s="10"/>
      <c r="E2439" s="10"/>
      <c r="F2439" s="10"/>
      <c r="J2439" s="25"/>
      <c r="K2439" s="25"/>
      <c r="L2439" s="25"/>
      <c r="M2439" s="25"/>
      <c r="N2439" s="25"/>
      <c r="O2439" s="25"/>
    </row>
    <row r="2440" customFormat="false" ht="15" hidden="false" customHeight="true" outlineLevel="0" collapsed="false">
      <c r="B2440" s="10"/>
      <c r="C2440" s="10"/>
      <c r="D2440" s="34" t="str">
        <f aca="false">IF($K$2431=0,"",INDEX(Clients!$E$2:$E$501,$K$2431)&amp;"")</f>
        <v/>
      </c>
      <c r="E2440" s="34"/>
      <c r="F2440" s="34"/>
      <c r="J2440" s="25"/>
      <c r="K2440" s="25"/>
      <c r="L2440" s="25"/>
      <c r="M2440" s="25"/>
      <c r="N2440" s="25"/>
      <c r="O2440" s="25"/>
    </row>
    <row r="2441" customFormat="false" ht="15" hidden="false" customHeight="true" outlineLevel="0" collapsed="false">
      <c r="B2441" s="10"/>
      <c r="C2441" s="10"/>
      <c r="D2441" s="35" t="str">
        <f aca="false">IF(IF($K$2431=0,"",INDEX(Clients!$D$2:$D$501,$K$2431)&amp;"")="","","À l'attention de "&amp;TRIM(IF($K$2431=0,"",INDEX(Clients!$B$2:$B$501,$K$2431)&amp;"")&amp;" "&amp;IF($K$2431=0,"",INDEX(Clients!$C$2:$C$501,$K$2431)&amp;"")&amp;" "&amp;IF($K$2431=0,"",INDEX(Clients!$D$2:$D$501,$K$2431)&amp;"")))</f>
        <v/>
      </c>
      <c r="E2441" s="35"/>
      <c r="F2441" s="35"/>
      <c r="J2441" s="25"/>
      <c r="K2441" s="25"/>
      <c r="L2441" s="25"/>
      <c r="M2441" s="25"/>
      <c r="N2441" s="25"/>
      <c r="O2441" s="25"/>
    </row>
    <row r="2442" customFormat="false" ht="15" hidden="false" customHeight="true" outlineLevel="0" collapsed="false">
      <c r="B2442" s="10"/>
      <c r="C2442" s="10"/>
      <c r="D2442" s="35" t="str">
        <f aca="false">IF($K$2431=0,"",INDEX(Clients!$F$2:$F$501,$K$2431)&amp;"")</f>
        <v/>
      </c>
      <c r="E2442" s="35"/>
      <c r="F2442" s="35"/>
      <c r="J2442" s="25"/>
      <c r="K2442" s="25"/>
      <c r="L2442" s="25"/>
      <c r="M2442" s="25"/>
      <c r="N2442" s="25"/>
      <c r="O2442" s="25"/>
    </row>
    <row r="2443" customFormat="false" ht="15" hidden="false" customHeight="true" outlineLevel="0" collapsed="false">
      <c r="B2443" s="10"/>
      <c r="C2443" s="10"/>
      <c r="D2443" s="35" t="str">
        <f aca="false">IF(IF($K$2431=0,"",INDEX(Clients!$G$2:$G$501,$K$2431)&amp;"")="",TRIM(IF($K$2431=0,"",INDEX(Clients!$H$2:$H$501,$K$2431)&amp;"")&amp;" "&amp;UPPER(IF($K$2431=0,"",INDEX(Clients!$I$2:$I$501,$K$2431)&amp;""))),IF($K$2431=0,"",INDEX(Clients!$G$2:$G$501,$K$2431)&amp;""))</f>
        <v/>
      </c>
      <c r="E2443" s="35"/>
      <c r="F2443" s="35"/>
      <c r="J2443" s="25"/>
      <c r="K2443" s="25"/>
      <c r="L2443" s="25"/>
      <c r="M2443" s="25"/>
      <c r="N2443" s="25"/>
      <c r="O2443" s="25"/>
    </row>
    <row r="2444" customFormat="false" ht="15" hidden="false" customHeight="true" outlineLevel="0" collapsed="false">
      <c r="B2444" s="10"/>
      <c r="C2444" s="10"/>
      <c r="D2444" s="35" t="str">
        <f aca="false">IF(IF($K$2431=0,"",INDEX(Clients!$G$2:$G$501,$K$2431)&amp;"")="","",TRIM(IF($K$2431=0,"",INDEX(Clients!$H$2:$H$501,$K$2431)&amp;"")&amp;" "&amp;UPPER(IF($K$2431=0,"",INDEX(Clients!$I$2:$I$501,$K$2431)&amp;""))))</f>
        <v/>
      </c>
      <c r="E2444" s="35"/>
      <c r="F2444" s="35"/>
      <c r="J2444" s="25"/>
      <c r="K2444" s="25"/>
      <c r="L2444" s="25"/>
      <c r="M2444" s="25"/>
      <c r="N2444" s="25"/>
      <c r="O2444" s="25"/>
    </row>
    <row r="2445" customFormat="false" ht="25.5" hidden="false" customHeight="true" outlineLevel="0" collapsed="false">
      <c r="B2445" s="10"/>
      <c r="C2445" s="10"/>
      <c r="D2445" s="10"/>
      <c r="E2445" s="10"/>
      <c r="F2445" s="10"/>
      <c r="J2445" s="25"/>
      <c r="K2445" s="25"/>
      <c r="L2445" s="25"/>
      <c r="M2445" s="25"/>
      <c r="N2445" s="25"/>
      <c r="O2445" s="25"/>
    </row>
    <row r="2446" customFormat="false" ht="15" hidden="false" customHeight="false" outlineLevel="0" collapsed="false">
      <c r="B2446" s="10"/>
      <c r="C2446" s="10"/>
      <c r="D2446" s="36" t="str">
        <f aca="false">Cab_Ville&amp;", le "&amp;DAY(Date_Courrier)&amp;IF(DAY(Date_Courrier)=1,"er","")&amp;" "&amp;INDEX(Liste_Mois,MONTH(Date_Courrier))&amp;" "&amp;YEAR(Date_Courrier)</f>
        <v>Le Plessis-Bouchard, le 22 septembre 2026</v>
      </c>
      <c r="E2446" s="36"/>
      <c r="F2446" s="36"/>
      <c r="J2446" s="25"/>
      <c r="K2446" s="25"/>
      <c r="L2446" s="25"/>
      <c r="M2446" s="25"/>
      <c r="N2446" s="25"/>
      <c r="O2446" s="25"/>
    </row>
    <row r="2447" customFormat="false" ht="19.5" hidden="false" customHeight="true" outlineLevel="0" collapsed="false">
      <c r="B2447" s="10"/>
      <c r="C2447" s="10"/>
      <c r="D2447" s="10"/>
      <c r="E2447" s="10"/>
      <c r="F2447" s="10"/>
      <c r="J2447" s="25"/>
      <c r="K2447" s="25"/>
      <c r="L2447" s="25"/>
      <c r="M2447" s="25"/>
      <c r="N2447" s="25"/>
      <c r="O2447" s="25"/>
    </row>
    <row r="2448" customFormat="false" ht="15" hidden="false" customHeight="false" outlineLevel="0" collapsed="false">
      <c r="B2448" s="34" t="str">
        <f aca="false">SUBSTITUTE(SUBSTITUTE(SUBSTITUTE(SUBSTITUTE(SUBSTITUTE(Txt_Objet,"{cabinet}",Cab_Nom),"{societe}",IF($K$2431=0,"",INDEX(Clients!$E$2:$E$501,$K$2431)&amp;"")),"{date_effet}",$K$2433),"{hausse}",$K$2434),"{civilite}",$K$2432)</f>
        <v>Objet : révision de nos honoraires au 1er janvier 2027</v>
      </c>
      <c r="C2448" s="34"/>
      <c r="D2448" s="34"/>
      <c r="E2448" s="34"/>
      <c r="F2448" s="34"/>
      <c r="J2448" s="25"/>
      <c r="K2448" s="25"/>
      <c r="L2448" s="25"/>
      <c r="M2448" s="25"/>
      <c r="N2448" s="25"/>
      <c r="O2448" s="25"/>
    </row>
    <row r="2449" customFormat="false" ht="13.5" hidden="false" customHeight="true" outlineLevel="0" collapsed="false">
      <c r="B2449" s="10"/>
      <c r="C2449" s="10"/>
      <c r="D2449" s="10"/>
      <c r="E2449" s="10"/>
      <c r="F2449" s="10"/>
      <c r="J2449" s="25"/>
      <c r="K2449" s="25"/>
      <c r="L2449" s="25"/>
      <c r="M2449" s="25"/>
      <c r="N2449" s="25"/>
      <c r="O2449" s="25"/>
    </row>
    <row r="2450" customFormat="false" ht="15" hidden="false" customHeight="false" outlineLevel="0" collapsed="false">
      <c r="B2450" s="10" t="str">
        <f aca="false">$K$2432&amp;","</f>
        <v>Madame, Monsieur,</v>
      </c>
      <c r="C2450" s="10"/>
      <c r="D2450" s="10"/>
      <c r="E2450" s="10"/>
      <c r="F2450" s="10"/>
      <c r="J2450" s="25"/>
      <c r="K2450" s="25"/>
      <c r="L2450" s="25"/>
      <c r="M2450" s="25"/>
      <c r="N2450" s="25"/>
      <c r="O2450" s="25"/>
    </row>
    <row r="2451" customFormat="false" ht="6" hidden="false" customHeight="true" outlineLevel="0" collapsed="false">
      <c r="B2451" s="10"/>
      <c r="C2451" s="10"/>
      <c r="D2451" s="10"/>
      <c r="E2451" s="10"/>
      <c r="F2451" s="10"/>
      <c r="J2451" s="25"/>
      <c r="K2451" s="25"/>
      <c r="L2451" s="25"/>
      <c r="M2451" s="25"/>
      <c r="N2451" s="25"/>
      <c r="O2451" s="25"/>
    </row>
    <row r="2452" customFormat="false" ht="36.75" hidden="false" customHeight="true" outlineLevel="0" collapsed="false">
      <c r="B2452" s="37" t="str">
        <f aca="false">SUBSTITUTE(SUBSTITUTE(SUBSTITUTE(SUBSTITUTE(SUBSTITUTE(Txt_P1,"{cabinet}",Cab_Nom),"{societe}",IF($K$2431=0,"",INDEX(Clients!$E$2:$E$501,$K$2431)&amp;"")),"{date_effet}",$K$2433),"{hausse}",$K$2434),"{civilite}",$K$2432)</f>
        <v>Nous tenons tout d'abord à vous remercier pour la confiance que vous accordez à ALTHO EXPERTISE. Comme chaque année, et conformément aux dispositions de votre lettre de mission, nous procédons à la révision de nos honoraires.</v>
      </c>
      <c r="C2452" s="37"/>
      <c r="D2452" s="37"/>
      <c r="E2452" s="37"/>
      <c r="F2452" s="37"/>
      <c r="J2452" s="25"/>
      <c r="K2452" s="25"/>
      <c r="L2452" s="25"/>
      <c r="M2452" s="25"/>
      <c r="N2452" s="25"/>
      <c r="O2452" s="25"/>
    </row>
    <row r="2453" customFormat="false" ht="49.5" hidden="false" customHeight="true" outlineLevel="0" collapsed="false">
      <c r="B2453" s="37" t="str">
        <f aca="false">SUBSTITUTE(SUBSTITUTE(SUBSTITUTE(SUBSTITUTE(SUBSTITUTE(Txt_P2,"{cabinet}",Cab_Nom),"{societe}",IF($K$2431=0,"",INDEX(Clients!$E$2:$E$501,$K$2431)&amp;"")),"{date_effet}",$K$2433),"{hausse}",$K$2434),"{civilite}",$K$2432)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453" s="37"/>
      <c r="D2453" s="37"/>
      <c r="E2453" s="37"/>
      <c r="F2453" s="37"/>
      <c r="J2453" s="25"/>
      <c r="K2453" s="25"/>
      <c r="L2453" s="25"/>
      <c r="M2453" s="25"/>
      <c r="N2453" s="25"/>
      <c r="O2453" s="25"/>
    </row>
    <row r="2454" customFormat="false" ht="63" hidden="false" customHeight="true" outlineLevel="0" collapsed="false">
      <c r="B2454" s="37" t="str">
        <f aca="false">SUBSTITUTE(SUBSTITUTE(SUBSTITUTE(SUBSTITUTE(SUBSTITUTE(Txt_P3,"{cabinet}",Cab_Nom),"{societe}",IF($K$2431=0,"",INDEX(Clients!$E$2:$E$501,$K$2431)&amp;"")),"{date_effet}",$K$2433),"{hausse}",$K$2434),"{civilite}",$K$2432)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454" s="37"/>
      <c r="D2454" s="37"/>
      <c r="E2454" s="37"/>
      <c r="F2454" s="37"/>
      <c r="J2454" s="25"/>
      <c r="K2454" s="25"/>
      <c r="L2454" s="25"/>
      <c r="M2454" s="25"/>
      <c r="N2454" s="25"/>
      <c r="O2454" s="25"/>
    </row>
    <row r="2455" customFormat="false" ht="24" hidden="false" customHeight="true" outlineLevel="0" collapsed="false">
      <c r="B2455" s="37" t="str">
        <f aca="false">SUBSTITUTE(SUBSTITUTE(SUBSTITUTE(SUBSTITUTE(SUBSTITUTE(Txt_P4,"{cabinet}",Cab_Nom),"{societe}",IF($K$2431=0,"",INDEX(Clients!$E$2:$E$501,$K$2431)&amp;"")),"{date_effet}",$K$2433),"{hausse}",$K$2434),"{civilite}",$K$2432)</f>
        <v>À compter du 1er janvier 2027, vos honoraires annuels hors taxes évolueront ainsi (évolution globale : ) :</v>
      </c>
      <c r="C2455" s="37"/>
      <c r="D2455" s="37"/>
      <c r="E2455" s="37"/>
      <c r="F2455" s="37"/>
      <c r="J2455" s="25"/>
      <c r="K2455" s="25"/>
      <c r="L2455" s="25"/>
      <c r="M2455" s="25"/>
      <c r="N2455" s="25"/>
      <c r="O2455" s="25"/>
    </row>
    <row r="2456" customFormat="false" ht="3.75" hidden="false" customHeight="true" outlineLevel="0" collapsed="false">
      <c r="B2456" s="10"/>
      <c r="C2456" s="10"/>
      <c r="D2456" s="10"/>
      <c r="E2456" s="10"/>
      <c r="F2456" s="10"/>
      <c r="J2456" s="25"/>
      <c r="K2456" s="25"/>
      <c r="L2456" s="25"/>
      <c r="M2456" s="25"/>
      <c r="N2456" s="25"/>
      <c r="O2456" s="25"/>
    </row>
    <row r="2457" customFormat="false" ht="18" hidden="false" customHeight="true" outlineLevel="0" collapsed="false">
      <c r="B2457" s="38" t="s">
        <v>148</v>
      </c>
      <c r="C2457" s="39" t="s">
        <v>149</v>
      </c>
      <c r="D2457" s="39" t="s">
        <v>150</v>
      </c>
      <c r="E2457" s="39" t="s">
        <v>151</v>
      </c>
      <c r="F2457" s="39" t="s">
        <v>109</v>
      </c>
      <c r="J2457" s="25" t="s">
        <v>152</v>
      </c>
      <c r="K2457" s="25" t="s">
        <v>153</v>
      </c>
      <c r="L2457" s="25" t="s">
        <v>154</v>
      </c>
      <c r="M2457" s="25" t="s">
        <v>155</v>
      </c>
      <c r="N2457" s="25" t="s">
        <v>156</v>
      </c>
      <c r="O2457" s="25" t="s">
        <v>157</v>
      </c>
    </row>
    <row r="2458" customFormat="false" ht="16.5" hidden="false" customHeight="true" outlineLevel="0" collapsed="false">
      <c r="B2458" s="40" t="str">
        <f aca="false">IFERROR(INDEX($J$2458:$J$2461,MATCH($O2458,$N$2458:$N$2461,0)),"")</f>
        <v/>
      </c>
      <c r="C2458" s="41" t="str">
        <f aca="false">IFERROR(INDEX($K$2458:$K$2461,MATCH($O2458,$N$2458:$N$2461,0)),"")</f>
        <v/>
      </c>
      <c r="D2458" s="42" t="str">
        <f aca="false">IF(OR(E2458="",N(C2458)=0),"",E2458/C2458-1)</f>
        <v/>
      </c>
      <c r="E2458" s="41" t="str">
        <f aca="false">IFERROR(INDEX($L$2458:$L$2461,MATCH($O2458,$N$2458:$N$2461,0)),"")</f>
        <v/>
      </c>
      <c r="F2458" s="41" t="str">
        <f aca="false">IF(E2458="","",E2458-C2458)</f>
        <v/>
      </c>
      <c r="J2458" s="25" t="str">
        <f aca="false">Lib_Compta</f>
        <v>Mission comptable (tenue, révision, bilan, liasse fiscale)</v>
      </c>
      <c r="K2458" s="25" t="n">
        <f aca="false">IF($K$2431=0,0,N(INDEX(Clients!$K$2:$K$501,$K$2431)))</f>
        <v>0</v>
      </c>
      <c r="L2458" s="25" t="n">
        <f aca="false">IF($K$2431=0,0,N(INDEX(Clients!$P$2:$P$501,$K$2431)))</f>
        <v>0</v>
      </c>
      <c r="M2458" s="25" t="n">
        <f aca="false">IF(OR(K2458&lt;&gt;0,L2458&lt;&gt;0),1,0)</f>
        <v>0</v>
      </c>
      <c r="N2458" s="25" t="str">
        <f aca="false">IF(M2458=1,SUM($M$2458:M2458),"")</f>
        <v/>
      </c>
      <c r="O2458" s="25" t="n">
        <v>1</v>
      </c>
    </row>
    <row r="2459" customFormat="false" ht="16.5" hidden="false" customHeight="true" outlineLevel="0" collapsed="false">
      <c r="B2459" s="40" t="str">
        <f aca="false">IFERROR(INDEX($J$2458:$J$2461,MATCH($O2459,$N$2458:$N$2461,0)),"")</f>
        <v/>
      </c>
      <c r="C2459" s="41" t="str">
        <f aca="false">IFERROR(INDEX($K$2458:$K$2461,MATCH($O2459,$N$2458:$N$2461,0)),"")</f>
        <v/>
      </c>
      <c r="D2459" s="42" t="str">
        <f aca="false">IF(OR(E2459="",N(C2459)=0),"",E2459/C2459-1)</f>
        <v/>
      </c>
      <c r="E2459" s="41" t="str">
        <f aca="false">IFERROR(INDEX($L$2458:$L$2461,MATCH($O2459,$N$2458:$N$2461,0)),"")</f>
        <v/>
      </c>
      <c r="F2459" s="41" t="str">
        <f aca="false">IF(E2459="","",E2459-C2459)</f>
        <v/>
      </c>
      <c r="J2459" s="25" t="str">
        <f aca="false">Lib_Paye</f>
        <v>Mission sociale (bulletins de paie, DSN, déclarations sociales)</v>
      </c>
      <c r="K2459" s="25" t="n">
        <f aca="false">IF($K$2431=0,0,N(INDEX(Clients!$L$2:$L$501,$K$2431)))</f>
        <v>0</v>
      </c>
      <c r="L2459" s="25" t="n">
        <f aca="false">IF($K$2431=0,0,N(INDEX(Clients!$Q$2:$Q$501,$K$2431)))</f>
        <v>0</v>
      </c>
      <c r="M2459" s="25" t="n">
        <f aca="false">IF(OR(K2459&lt;&gt;0,L2459&lt;&gt;0),1,0)</f>
        <v>0</v>
      </c>
      <c r="N2459" s="25" t="str">
        <f aca="false">IF(M2459=1,SUM($M$2458:M2459),"")</f>
        <v/>
      </c>
      <c r="O2459" s="25" t="n">
        <v>2</v>
      </c>
    </row>
    <row r="2460" customFormat="false" ht="16.5" hidden="false" customHeight="true" outlineLevel="0" collapsed="false">
      <c r="B2460" s="40" t="str">
        <f aca="false">IFERROR(INDEX($J$2458:$J$2461,MATCH($O2460,$N$2458:$N$2461,0)),"")</f>
        <v/>
      </c>
      <c r="C2460" s="41" t="str">
        <f aca="false">IFERROR(INDEX($K$2458:$K$2461,MATCH($O2460,$N$2458:$N$2461,0)),"")</f>
        <v/>
      </c>
      <c r="D2460" s="42" t="str">
        <f aca="false">IF(OR(E2460="",N(C2460)=0),"",E2460/C2460-1)</f>
        <v/>
      </c>
      <c r="E2460" s="41" t="str">
        <f aca="false">IFERROR(INDEX($L$2458:$L$2461,MATCH($O2460,$N$2458:$N$2461,0)),"")</f>
        <v/>
      </c>
      <c r="F2460" s="41" t="str">
        <f aca="false">IF(E2460="","",E2460-C2460)</f>
        <v/>
      </c>
      <c r="J2460" s="25" t="str">
        <f aca="false">Lib_Jur</f>
        <v>Mission juridique (approbation des comptes, secrétariat juridique)</v>
      </c>
      <c r="K2460" s="25" t="n">
        <f aca="false">IF($K$2431=0,0,N(INDEX(Clients!$M$2:$M$501,$K$2431)))</f>
        <v>0</v>
      </c>
      <c r="L2460" s="25" t="n">
        <f aca="false">IF($K$2431=0,0,N(INDEX(Clients!$R$2:$R$501,$K$2431)))</f>
        <v>0</v>
      </c>
      <c r="M2460" s="25" t="n">
        <f aca="false">IF(OR(K2460&lt;&gt;0,L2460&lt;&gt;0),1,0)</f>
        <v>0</v>
      </c>
      <c r="N2460" s="25" t="str">
        <f aca="false">IF(M2460=1,SUM($M$2458:M2460),"")</f>
        <v/>
      </c>
      <c r="O2460" s="25" t="n">
        <v>3</v>
      </c>
    </row>
    <row r="2461" customFormat="false" ht="16.5" hidden="false" customHeight="true" outlineLevel="0" collapsed="false">
      <c r="B2461" s="40" t="str">
        <f aca="false">IFERROR(INDEX($J$2458:$J$2461,MATCH($O2461,$N$2458:$N$2461,0)),"")</f>
        <v/>
      </c>
      <c r="C2461" s="41" t="str">
        <f aca="false">IFERROR(INDEX($K$2458:$K$2461,MATCH($O2461,$N$2458:$N$2461,0)),"")</f>
        <v/>
      </c>
      <c r="D2461" s="42" t="str">
        <f aca="false">IF(OR(E2461="",N(C2461)=0),"",E2461/C2461-1)</f>
        <v/>
      </c>
      <c r="E2461" s="41" t="str">
        <f aca="false">IFERROR(INDEX($L$2458:$L$2461,MATCH($O2461,$N$2458:$N$2461,0)),"")</f>
        <v/>
      </c>
      <c r="F2461" s="41" t="str">
        <f aca="false">IF(E2461="","",E2461-C2461)</f>
        <v/>
      </c>
      <c r="J2461" s="25" t="str">
        <f aca="false">Lib_PA</f>
        <v>Plateforme agréée – facturation électronique</v>
      </c>
      <c r="K2461" s="25" t="n">
        <f aca="false">IF($K$2431=0,0,N(INDEX(Clients!$N$2:$N$501,$K$2431)))</f>
        <v>0</v>
      </c>
      <c r="L2461" s="25" t="n">
        <f aca="false">IF($K$2431=0,0,N(INDEX(Clients!$S$2:$S$501,$K$2431)))</f>
        <v>0</v>
      </c>
      <c r="M2461" s="25" t="n">
        <f aca="false">IF(OR(K2461&lt;&gt;0,L2461&lt;&gt;0),1,0)</f>
        <v>0</v>
      </c>
      <c r="N2461" s="25" t="str">
        <f aca="false">IF(M2461=1,SUM($M$2458:M2461),"")</f>
        <v/>
      </c>
      <c r="O2461" s="25" t="n">
        <v>4</v>
      </c>
    </row>
    <row r="2462" customFormat="false" ht="18" hidden="false" customHeight="true" outlineLevel="0" collapsed="false">
      <c r="B2462" s="43" t="s">
        <v>158</v>
      </c>
      <c r="C2462" s="44" t="n">
        <f aca="false">SUM(K2458:K2461)</f>
        <v>0</v>
      </c>
      <c r="D2462" s="45" t="str">
        <f aca="false">IF(N(C2462)=0,"",E2462/C2462-1)</f>
        <v/>
      </c>
      <c r="E2462" s="44" t="n">
        <f aca="false">SUM(L2458:L2461)</f>
        <v>0</v>
      </c>
      <c r="F2462" s="44" t="n">
        <f aca="false">E2462-C2462</f>
        <v>0</v>
      </c>
    </row>
    <row r="2463" customFormat="false" ht="15" hidden="false" customHeight="false" outlineLevel="0" collapsed="false">
      <c r="B2463" s="46" t="str">
        <f aca="false">IF(N(Nb_Mensualites)=0,"","Soit "&amp;FIXED(E2462/Nb_Mensualites,2)&amp;" € HT par échéance ("&amp;Nb_Mensualites&amp;" échéances), "&amp;FIXED(E2462/Nb_Mensualites*(1+Taux_TVA),2)&amp;" € TTC.")</f>
        <v>Soit 0.00 € HT par échéance (12 échéances), 0.00 € TTC.</v>
      </c>
      <c r="C2463" s="46"/>
      <c r="D2463" s="46"/>
      <c r="E2463" s="46"/>
      <c r="F2463" s="46"/>
    </row>
    <row r="2464" customFormat="false" ht="7.5" hidden="false" customHeight="true" outlineLevel="0" collapsed="false">
      <c r="B2464" s="10"/>
      <c r="C2464" s="10"/>
      <c r="D2464" s="10"/>
      <c r="E2464" s="10"/>
      <c r="F2464" s="10"/>
    </row>
    <row r="2465" customFormat="false" ht="36.75" hidden="false" customHeight="true" outlineLevel="0" collapsed="false">
      <c r="B2465" s="37" t="str">
        <f aca="false">SUBSTITUTE(SUBSTITUTE(SUBSTITUTE(SUBSTITUTE(SUBSTITUTE(Txt_P5,"{cabinet}",Cab_Nom),"{societe}",IF($K$2431=0,"",INDEX(Clients!$E$2:$E$501,$K$2431)&amp;"")),"{date_effet}",$K$2433),"{hausse}",$K$2434),"{civilite}",$K$2432)</f>
        <v>Les autres conditions de votre lettre de mission demeurent inchangées. Les nouveaux montants seront appliqués automatiquement sur vos prochaines factures et échéances de prélèvement.</v>
      </c>
      <c r="C2465" s="37"/>
      <c r="D2465" s="37"/>
      <c r="E2465" s="37"/>
      <c r="F2465" s="37"/>
    </row>
    <row r="2466" customFormat="false" ht="36.75" hidden="false" customHeight="true" outlineLevel="0" collapsed="false">
      <c r="B2466" s="37" t="str">
        <f aca="false">SUBSTITUTE(SUBSTITUTE(SUBSTITUTE(SUBSTITUTE(SUBSTITUTE(Txt_P6,"{cabinet}",Cab_Nom),"{societe}",IF($K$2431=0,"",INDEX(Clients!$E$2:$E$501,$K$2431)&amp;"")),"{date_effet}",$K$2433),"{hausse}",$K$2434),"{civilite}",$K$2432)</f>
        <v>Votre interlocuteur habituel reste à votre entière disposition pour répondre à vos questions et faire le point sur l'évolution de vos besoins.</v>
      </c>
      <c r="C2466" s="37"/>
      <c r="D2466" s="37"/>
      <c r="E2466" s="37"/>
      <c r="F2466" s="37"/>
    </row>
    <row r="2467" customFormat="false" ht="24" hidden="false" customHeight="true" outlineLevel="0" collapsed="false">
      <c r="B2467" s="37" t="str">
        <f aca="false">SUBSTITUTE(SUBSTITUTE(SUBSTITUTE(SUBSTITUTE(SUBSTITUTE(Txt_Politesse,"{cabinet}",Cab_Nom),"{societe}",IF($K$2431=0,"",INDEX(Clients!$E$2:$E$501,$K$2431)&amp;"")),"{date_effet}",$K$2433),"{hausse}",$K$2434),"{civilite}",$K$2432)</f>
        <v>Nous vous prions d'agréer, Madame, Monsieur, l'expression de nos salutations distinguées.</v>
      </c>
      <c r="C2467" s="37"/>
      <c r="D2467" s="37"/>
      <c r="E2467" s="37"/>
      <c r="F2467" s="37"/>
    </row>
    <row r="2468" customFormat="false" ht="15" hidden="false" customHeight="false" outlineLevel="0" collapsed="false">
      <c r="B2468" s="10"/>
      <c r="C2468" s="10"/>
      <c r="D2468" s="10"/>
      <c r="E2468" s="10"/>
      <c r="F2468" s="10"/>
    </row>
    <row r="2469" customFormat="false" ht="15" hidden="false" customHeight="false" outlineLevel="0" collapsed="false">
      <c r="B2469" s="10"/>
      <c r="C2469" s="10"/>
      <c r="D2469" s="34" t="str">
        <f aca="false">Signataire</f>
        <v>Prénom NOM</v>
      </c>
      <c r="E2469" s="34"/>
      <c r="F2469" s="34"/>
    </row>
    <row r="2470" customFormat="false" ht="15" hidden="false" customHeight="false" outlineLevel="0" collapsed="false">
      <c r="B2470" s="10"/>
      <c r="C2470" s="10"/>
      <c r="D2470" s="47" t="str">
        <f aca="false">Signataire_Titre</f>
        <v>Expert-comptable associé</v>
      </c>
      <c r="E2470" s="47"/>
      <c r="F2470" s="47"/>
    </row>
    <row r="2471" customFormat="false" ht="15.75" hidden="false" customHeight="true" outlineLevel="0" collapsed="false">
      <c r="B2471" s="10"/>
      <c r="C2471" s="10"/>
      <c r="D2471" s="10"/>
      <c r="E2471" s="10"/>
      <c r="F2471" s="10"/>
    </row>
    <row r="2472" customFormat="false" ht="15.75" hidden="false" customHeight="true" outlineLevel="0" collapsed="false">
      <c r="B2472" s="10"/>
      <c r="C2472" s="10"/>
      <c r="D2472" s="10"/>
      <c r="E2472" s="10"/>
      <c r="F2472" s="10"/>
    </row>
    <row r="2473" customFormat="false" ht="15.75" hidden="false" customHeight="true" outlineLevel="0" collapsed="false">
      <c r="B2473" s="10"/>
      <c r="C2473" s="10"/>
      <c r="D2473" s="10"/>
      <c r="E2473" s="10"/>
      <c r="F2473" s="10"/>
    </row>
    <row r="2474" customFormat="false" ht="15.75" hidden="false" customHeight="true" outlineLevel="0" collapsed="false">
      <c r="B2474" s="10"/>
      <c r="C2474" s="10"/>
      <c r="D2474" s="10"/>
      <c r="E2474" s="10"/>
      <c r="F2474" s="10"/>
    </row>
    <row r="2475" customFormat="false" ht="24" hidden="false" customHeight="true" outlineLevel="0" collapsed="false">
      <c r="B2475" s="48" t="str">
        <f aca="false">Cab_Mentions</f>
        <v>ALTHO EXPERTISE · SAS au capital de 10 000 € · RCS Pontoise 919 706 325 · TVA FR62919706325 · Société d'expertise comptable inscrite au Tableau de l'Ordre des experts-comptables de Paris Île-de-France</v>
      </c>
      <c r="C2475" s="48"/>
      <c r="D2475" s="48"/>
      <c r="E2475" s="48"/>
      <c r="F2475" s="48"/>
    </row>
    <row r="2476" customFormat="false" ht="15" hidden="false" customHeight="false" outlineLevel="0" collapsed="false">
      <c r="B2476" s="10"/>
      <c r="C2476" s="10"/>
      <c r="D2476" s="10"/>
      <c r="E2476" s="10"/>
      <c r="F2476" s="10"/>
      <c r="J2476" s="25" t="s">
        <v>142</v>
      </c>
      <c r="K2476" s="25" t="n">
        <f aca="false">IFERROR(MATCH(56,Clients!$Z$2:$Z$501,0),0)</f>
        <v>0</v>
      </c>
      <c r="L2476" s="25"/>
      <c r="M2476" s="25"/>
      <c r="N2476" s="25"/>
      <c r="O2476" s="25"/>
    </row>
    <row r="2477" customFormat="false" ht="21.75" hidden="false" customHeight="true" outlineLevel="0" collapsed="false">
      <c r="B2477" s="26" t="str">
        <f aca="false">Cab_Nom</f>
        <v>ALTHO EXPERTISE</v>
      </c>
      <c r="C2477" s="26"/>
      <c r="D2477" s="10"/>
      <c r="E2477" s="27" t="str">
        <f aca="false">IF($K$2476=0,"","Réf. client : "&amp;INDEX(Clients!$A$2:$A$501,$K$2476))</f>
        <v/>
      </c>
      <c r="F2477" s="27"/>
      <c r="J2477" s="25" t="s">
        <v>144</v>
      </c>
      <c r="K2477" s="25" t="str">
        <f aca="false">IF(IF($K$2476=0,"",INDEX(Clients!$B$2:$B$501,$K$2476)&amp;"")="Mme","Madame",IF(IF($K$2476=0,"",INDEX(Clients!$B$2:$B$501,$K$2476)&amp;"")="M.","Monsieur","Madame, Monsieur"))</f>
        <v>Madame, Monsieur</v>
      </c>
      <c r="L2477" s="25"/>
      <c r="M2477" s="25"/>
      <c r="N2477" s="25"/>
      <c r="O2477" s="25"/>
    </row>
    <row r="2478" customFormat="false" ht="15" hidden="false" customHeight="false" outlineLevel="0" collapsed="false">
      <c r="B2478" s="29" t="str">
        <f aca="false">Cab_Adr1</f>
        <v>141 rue Charles de Gaulle</v>
      </c>
      <c r="C2478" s="29"/>
      <c r="D2478" s="10"/>
      <c r="E2478" s="10"/>
      <c r="F2478" s="10"/>
      <c r="J2478" s="25" t="s">
        <v>145</v>
      </c>
      <c r="K2478" s="25" t="str">
        <f aca="false">DAY(Date_Effet)&amp;IF(DAY(Date_Effet)=1,"er","")&amp;" "&amp;INDEX(Liste_Mois,MONTH(Date_Effet))&amp;" "&amp;YEAR(Date_Effet)</f>
        <v>1er janvier 2027</v>
      </c>
      <c r="L2478" s="25"/>
      <c r="M2478" s="25"/>
      <c r="N2478" s="25"/>
      <c r="O2478" s="25"/>
    </row>
    <row r="2479" customFormat="false" ht="15" hidden="false" customHeight="false" outlineLevel="0" collapsed="false">
      <c r="B2479" s="29" t="str">
        <f aca="false">Cab_CPVille</f>
        <v>95130 LE PLESSIS-BOUCHARD</v>
      </c>
      <c r="C2479" s="29"/>
      <c r="D2479" s="10"/>
      <c r="E2479" s="10"/>
      <c r="F2479" s="10"/>
      <c r="J2479" s="25" t="s">
        <v>146</v>
      </c>
      <c r="K2479" s="25" t="str">
        <f aca="false">IF(SUM($K$2503:$K$2506)=0,"",FIXED((SUM($L$2503:$L$2506)/SUM($K$2503:$K$2506)-1)*100,1)&amp;" %")</f>
        <v/>
      </c>
      <c r="L2479" s="25"/>
      <c r="M2479" s="25"/>
      <c r="N2479" s="25"/>
      <c r="O2479" s="25"/>
    </row>
    <row r="2480" customFormat="false" ht="15" hidden="false" customHeight="false" outlineLevel="0" collapsed="false">
      <c r="B2480" s="29" t="str">
        <f aca="false">Cab_Contact</f>
        <v>Tél. 01 34 14 53 45  ·  altho@altho-experts.com  ·  altho-experts.com</v>
      </c>
      <c r="C2480" s="29"/>
      <c r="D2480" s="10"/>
      <c r="E2480" s="10"/>
      <c r="F2480" s="10"/>
      <c r="J2480" s="25"/>
      <c r="K2480" s="25"/>
      <c r="L2480" s="25"/>
      <c r="M2480" s="25"/>
      <c r="N2480" s="25"/>
      <c r="O2480" s="25"/>
    </row>
    <row r="2481" customFormat="false" ht="6" hidden="false" customHeight="true" outlineLevel="0" collapsed="false">
      <c r="B2481" s="32"/>
      <c r="C2481" s="32"/>
      <c r="D2481" s="32"/>
      <c r="E2481" s="32"/>
      <c r="F2481" s="32"/>
      <c r="J2481" s="25"/>
      <c r="K2481" s="25"/>
      <c r="L2481" s="25"/>
      <c r="M2481" s="25"/>
      <c r="N2481" s="25"/>
      <c r="O2481" s="25"/>
    </row>
    <row r="2482" customFormat="false" ht="13.5" hidden="false" customHeight="true" outlineLevel="0" collapsed="false">
      <c r="B2482" s="10"/>
      <c r="C2482" s="10"/>
      <c r="D2482" s="10"/>
      <c r="E2482" s="10"/>
      <c r="F2482" s="10"/>
      <c r="J2482" s="25"/>
      <c r="K2482" s="25"/>
      <c r="L2482" s="25"/>
      <c r="M2482" s="25"/>
      <c r="N2482" s="25"/>
      <c r="O2482" s="25"/>
    </row>
    <row r="2483" customFormat="false" ht="13.5" hidden="false" customHeight="true" outlineLevel="0" collapsed="false">
      <c r="B2483" s="10"/>
      <c r="C2483" s="10"/>
      <c r="D2483" s="10"/>
      <c r="E2483" s="10"/>
      <c r="F2483" s="10"/>
      <c r="J2483" s="25"/>
      <c r="K2483" s="25"/>
      <c r="L2483" s="25"/>
      <c r="M2483" s="25"/>
      <c r="N2483" s="25"/>
      <c r="O2483" s="25"/>
    </row>
    <row r="2484" customFormat="false" ht="13.5" hidden="false" customHeight="true" outlineLevel="0" collapsed="false">
      <c r="B2484" s="10"/>
      <c r="C2484" s="10"/>
      <c r="D2484" s="10"/>
      <c r="E2484" s="10"/>
      <c r="F2484" s="10"/>
      <c r="J2484" s="25"/>
      <c r="K2484" s="25"/>
      <c r="L2484" s="25"/>
      <c r="M2484" s="25"/>
      <c r="N2484" s="25"/>
      <c r="O2484" s="25"/>
    </row>
    <row r="2485" customFormat="false" ht="15" hidden="false" customHeight="true" outlineLevel="0" collapsed="false">
      <c r="B2485" s="10"/>
      <c r="C2485" s="10"/>
      <c r="D2485" s="34" t="str">
        <f aca="false">IF($K$2476=0,"",INDEX(Clients!$E$2:$E$501,$K$2476)&amp;"")</f>
        <v/>
      </c>
      <c r="E2485" s="34"/>
      <c r="F2485" s="34"/>
      <c r="J2485" s="25"/>
      <c r="K2485" s="25"/>
      <c r="L2485" s="25"/>
      <c r="M2485" s="25"/>
      <c r="N2485" s="25"/>
      <c r="O2485" s="25"/>
    </row>
    <row r="2486" customFormat="false" ht="15" hidden="false" customHeight="true" outlineLevel="0" collapsed="false">
      <c r="B2486" s="10"/>
      <c r="C2486" s="10"/>
      <c r="D2486" s="35" t="str">
        <f aca="false">IF(IF($K$2476=0,"",INDEX(Clients!$D$2:$D$501,$K$2476)&amp;"")="","","À l'attention de "&amp;TRIM(IF($K$2476=0,"",INDEX(Clients!$B$2:$B$501,$K$2476)&amp;"")&amp;" "&amp;IF($K$2476=0,"",INDEX(Clients!$C$2:$C$501,$K$2476)&amp;"")&amp;" "&amp;IF($K$2476=0,"",INDEX(Clients!$D$2:$D$501,$K$2476)&amp;"")))</f>
        <v/>
      </c>
      <c r="E2486" s="35"/>
      <c r="F2486" s="35"/>
      <c r="J2486" s="25"/>
      <c r="K2486" s="25"/>
      <c r="L2486" s="25"/>
      <c r="M2486" s="25"/>
      <c r="N2486" s="25"/>
      <c r="O2486" s="25"/>
    </row>
    <row r="2487" customFormat="false" ht="15" hidden="false" customHeight="true" outlineLevel="0" collapsed="false">
      <c r="B2487" s="10"/>
      <c r="C2487" s="10"/>
      <c r="D2487" s="35" t="str">
        <f aca="false">IF($K$2476=0,"",INDEX(Clients!$F$2:$F$501,$K$2476)&amp;"")</f>
        <v/>
      </c>
      <c r="E2487" s="35"/>
      <c r="F2487" s="35"/>
      <c r="J2487" s="25"/>
      <c r="K2487" s="25"/>
      <c r="L2487" s="25"/>
      <c r="M2487" s="25"/>
      <c r="N2487" s="25"/>
      <c r="O2487" s="25"/>
    </row>
    <row r="2488" customFormat="false" ht="15" hidden="false" customHeight="true" outlineLevel="0" collapsed="false">
      <c r="B2488" s="10"/>
      <c r="C2488" s="10"/>
      <c r="D2488" s="35" t="str">
        <f aca="false">IF(IF($K$2476=0,"",INDEX(Clients!$G$2:$G$501,$K$2476)&amp;"")="",TRIM(IF($K$2476=0,"",INDEX(Clients!$H$2:$H$501,$K$2476)&amp;"")&amp;" "&amp;UPPER(IF($K$2476=0,"",INDEX(Clients!$I$2:$I$501,$K$2476)&amp;""))),IF($K$2476=0,"",INDEX(Clients!$G$2:$G$501,$K$2476)&amp;""))</f>
        <v/>
      </c>
      <c r="E2488" s="35"/>
      <c r="F2488" s="35"/>
      <c r="J2488" s="25"/>
      <c r="K2488" s="25"/>
      <c r="L2488" s="25"/>
      <c r="M2488" s="25"/>
      <c r="N2488" s="25"/>
      <c r="O2488" s="25"/>
    </row>
    <row r="2489" customFormat="false" ht="15" hidden="false" customHeight="true" outlineLevel="0" collapsed="false">
      <c r="B2489" s="10"/>
      <c r="C2489" s="10"/>
      <c r="D2489" s="35" t="str">
        <f aca="false">IF(IF($K$2476=0,"",INDEX(Clients!$G$2:$G$501,$K$2476)&amp;"")="","",TRIM(IF($K$2476=0,"",INDEX(Clients!$H$2:$H$501,$K$2476)&amp;"")&amp;" "&amp;UPPER(IF($K$2476=0,"",INDEX(Clients!$I$2:$I$501,$K$2476)&amp;""))))</f>
        <v/>
      </c>
      <c r="E2489" s="35"/>
      <c r="F2489" s="35"/>
      <c r="J2489" s="25"/>
      <c r="K2489" s="25"/>
      <c r="L2489" s="25"/>
      <c r="M2489" s="25"/>
      <c r="N2489" s="25"/>
      <c r="O2489" s="25"/>
    </row>
    <row r="2490" customFormat="false" ht="25.5" hidden="false" customHeight="true" outlineLevel="0" collapsed="false">
      <c r="B2490" s="10"/>
      <c r="C2490" s="10"/>
      <c r="D2490" s="10"/>
      <c r="E2490" s="10"/>
      <c r="F2490" s="10"/>
      <c r="J2490" s="25"/>
      <c r="K2490" s="25"/>
      <c r="L2490" s="25"/>
      <c r="M2490" s="25"/>
      <c r="N2490" s="25"/>
      <c r="O2490" s="25"/>
    </row>
    <row r="2491" customFormat="false" ht="15" hidden="false" customHeight="false" outlineLevel="0" collapsed="false">
      <c r="B2491" s="10"/>
      <c r="C2491" s="10"/>
      <c r="D2491" s="36" t="str">
        <f aca="false">Cab_Ville&amp;", le "&amp;DAY(Date_Courrier)&amp;IF(DAY(Date_Courrier)=1,"er","")&amp;" "&amp;INDEX(Liste_Mois,MONTH(Date_Courrier))&amp;" "&amp;YEAR(Date_Courrier)</f>
        <v>Le Plessis-Bouchard, le 22 septembre 2026</v>
      </c>
      <c r="E2491" s="36"/>
      <c r="F2491" s="36"/>
      <c r="J2491" s="25"/>
      <c r="K2491" s="25"/>
      <c r="L2491" s="25"/>
      <c r="M2491" s="25"/>
      <c r="N2491" s="25"/>
      <c r="O2491" s="25"/>
    </row>
    <row r="2492" customFormat="false" ht="19.5" hidden="false" customHeight="true" outlineLevel="0" collapsed="false">
      <c r="B2492" s="10"/>
      <c r="C2492" s="10"/>
      <c r="D2492" s="10"/>
      <c r="E2492" s="10"/>
      <c r="F2492" s="10"/>
      <c r="J2492" s="25"/>
      <c r="K2492" s="25"/>
      <c r="L2492" s="25"/>
      <c r="M2492" s="25"/>
      <c r="N2492" s="25"/>
      <c r="O2492" s="25"/>
    </row>
    <row r="2493" customFormat="false" ht="15" hidden="false" customHeight="false" outlineLevel="0" collapsed="false">
      <c r="B2493" s="34" t="str">
        <f aca="false">SUBSTITUTE(SUBSTITUTE(SUBSTITUTE(SUBSTITUTE(SUBSTITUTE(Txt_Objet,"{cabinet}",Cab_Nom),"{societe}",IF($K$2476=0,"",INDEX(Clients!$E$2:$E$501,$K$2476)&amp;"")),"{date_effet}",$K$2478),"{hausse}",$K$2479),"{civilite}",$K$2477)</f>
        <v>Objet : révision de nos honoraires au 1er janvier 2027</v>
      </c>
      <c r="C2493" s="34"/>
      <c r="D2493" s="34"/>
      <c r="E2493" s="34"/>
      <c r="F2493" s="34"/>
      <c r="J2493" s="25"/>
      <c r="K2493" s="25"/>
      <c r="L2493" s="25"/>
      <c r="M2493" s="25"/>
      <c r="N2493" s="25"/>
      <c r="O2493" s="25"/>
    </row>
    <row r="2494" customFormat="false" ht="13.5" hidden="false" customHeight="true" outlineLevel="0" collapsed="false">
      <c r="B2494" s="10"/>
      <c r="C2494" s="10"/>
      <c r="D2494" s="10"/>
      <c r="E2494" s="10"/>
      <c r="F2494" s="10"/>
      <c r="J2494" s="25"/>
      <c r="K2494" s="25"/>
      <c r="L2494" s="25"/>
      <c r="M2494" s="25"/>
      <c r="N2494" s="25"/>
      <c r="O2494" s="25"/>
    </row>
    <row r="2495" customFormat="false" ht="15" hidden="false" customHeight="false" outlineLevel="0" collapsed="false">
      <c r="B2495" s="10" t="str">
        <f aca="false">$K$2477&amp;","</f>
        <v>Madame, Monsieur,</v>
      </c>
      <c r="C2495" s="10"/>
      <c r="D2495" s="10"/>
      <c r="E2495" s="10"/>
      <c r="F2495" s="10"/>
      <c r="J2495" s="25"/>
      <c r="K2495" s="25"/>
      <c r="L2495" s="25"/>
      <c r="M2495" s="25"/>
      <c r="N2495" s="25"/>
      <c r="O2495" s="25"/>
    </row>
    <row r="2496" customFormat="false" ht="6" hidden="false" customHeight="true" outlineLevel="0" collapsed="false">
      <c r="B2496" s="10"/>
      <c r="C2496" s="10"/>
      <c r="D2496" s="10"/>
      <c r="E2496" s="10"/>
      <c r="F2496" s="10"/>
      <c r="J2496" s="25"/>
      <c r="K2496" s="25"/>
      <c r="L2496" s="25"/>
      <c r="M2496" s="25"/>
      <c r="N2496" s="25"/>
      <c r="O2496" s="25"/>
    </row>
    <row r="2497" customFormat="false" ht="36.75" hidden="false" customHeight="true" outlineLevel="0" collapsed="false">
      <c r="B2497" s="37" t="str">
        <f aca="false">SUBSTITUTE(SUBSTITUTE(SUBSTITUTE(SUBSTITUTE(SUBSTITUTE(Txt_P1,"{cabinet}",Cab_Nom),"{societe}",IF($K$2476=0,"",INDEX(Clients!$E$2:$E$501,$K$2476)&amp;"")),"{date_effet}",$K$2478),"{hausse}",$K$2479),"{civilite}",$K$2477)</f>
        <v>Nous tenons tout d'abord à vous remercier pour la confiance que vous accordez à ALTHO EXPERTISE. Comme chaque année, et conformément aux dispositions de votre lettre de mission, nous procédons à la révision de nos honoraires.</v>
      </c>
      <c r="C2497" s="37"/>
      <c r="D2497" s="37"/>
      <c r="E2497" s="37"/>
      <c r="F2497" s="37"/>
      <c r="J2497" s="25"/>
      <c r="K2497" s="25"/>
      <c r="L2497" s="25"/>
      <c r="M2497" s="25"/>
      <c r="N2497" s="25"/>
      <c r="O2497" s="25"/>
    </row>
    <row r="2498" customFormat="false" ht="49.5" hidden="false" customHeight="true" outlineLevel="0" collapsed="false">
      <c r="B2498" s="37" t="str">
        <f aca="false">SUBSTITUTE(SUBSTITUTE(SUBSTITUTE(SUBSTITUTE(SUBSTITUTE(Txt_P2,"{cabinet}",Cab_Nom),"{societe}",IF($K$2476=0,"",INDEX(Clients!$E$2:$E$501,$K$2476)&amp;"")),"{date_effet}",$K$2478),"{hausse}",$K$2479),"{civilite}",$K$2477)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498" s="37"/>
      <c r="D2498" s="37"/>
      <c r="E2498" s="37"/>
      <c r="F2498" s="37"/>
      <c r="J2498" s="25"/>
      <c r="K2498" s="25"/>
      <c r="L2498" s="25"/>
      <c r="M2498" s="25"/>
      <c r="N2498" s="25"/>
      <c r="O2498" s="25"/>
    </row>
    <row r="2499" customFormat="false" ht="63" hidden="false" customHeight="true" outlineLevel="0" collapsed="false">
      <c r="B2499" s="37" t="str">
        <f aca="false">SUBSTITUTE(SUBSTITUTE(SUBSTITUTE(SUBSTITUTE(SUBSTITUTE(Txt_P3,"{cabinet}",Cab_Nom),"{societe}",IF($K$2476=0,"",INDEX(Clients!$E$2:$E$501,$K$2476)&amp;"")),"{date_effet}",$K$2478),"{hausse}",$K$2479),"{civilite}",$K$2477)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499" s="37"/>
      <c r="D2499" s="37"/>
      <c r="E2499" s="37"/>
      <c r="F2499" s="37"/>
      <c r="J2499" s="25"/>
      <c r="K2499" s="25"/>
      <c r="L2499" s="25"/>
      <c r="M2499" s="25"/>
      <c r="N2499" s="25"/>
      <c r="O2499" s="25"/>
    </row>
    <row r="2500" customFormat="false" ht="24" hidden="false" customHeight="true" outlineLevel="0" collapsed="false">
      <c r="B2500" s="37" t="str">
        <f aca="false">SUBSTITUTE(SUBSTITUTE(SUBSTITUTE(SUBSTITUTE(SUBSTITUTE(Txt_P4,"{cabinet}",Cab_Nom),"{societe}",IF($K$2476=0,"",INDEX(Clients!$E$2:$E$501,$K$2476)&amp;"")),"{date_effet}",$K$2478),"{hausse}",$K$2479),"{civilite}",$K$2477)</f>
        <v>À compter du 1er janvier 2027, vos honoraires annuels hors taxes évolueront ainsi (évolution globale : ) :</v>
      </c>
      <c r="C2500" s="37"/>
      <c r="D2500" s="37"/>
      <c r="E2500" s="37"/>
      <c r="F2500" s="37"/>
      <c r="J2500" s="25"/>
      <c r="K2500" s="25"/>
      <c r="L2500" s="25"/>
      <c r="M2500" s="25"/>
      <c r="N2500" s="25"/>
      <c r="O2500" s="25"/>
    </row>
    <row r="2501" customFormat="false" ht="3.75" hidden="false" customHeight="true" outlineLevel="0" collapsed="false">
      <c r="B2501" s="10"/>
      <c r="C2501" s="10"/>
      <c r="D2501" s="10"/>
      <c r="E2501" s="10"/>
      <c r="F2501" s="10"/>
      <c r="J2501" s="25"/>
      <c r="K2501" s="25"/>
      <c r="L2501" s="25"/>
      <c r="M2501" s="25"/>
      <c r="N2501" s="25"/>
      <c r="O2501" s="25"/>
    </row>
    <row r="2502" customFormat="false" ht="18" hidden="false" customHeight="true" outlineLevel="0" collapsed="false">
      <c r="B2502" s="38" t="s">
        <v>148</v>
      </c>
      <c r="C2502" s="39" t="s">
        <v>149</v>
      </c>
      <c r="D2502" s="39" t="s">
        <v>150</v>
      </c>
      <c r="E2502" s="39" t="s">
        <v>151</v>
      </c>
      <c r="F2502" s="39" t="s">
        <v>109</v>
      </c>
      <c r="J2502" s="25" t="s">
        <v>152</v>
      </c>
      <c r="K2502" s="25" t="s">
        <v>153</v>
      </c>
      <c r="L2502" s="25" t="s">
        <v>154</v>
      </c>
      <c r="M2502" s="25" t="s">
        <v>155</v>
      </c>
      <c r="N2502" s="25" t="s">
        <v>156</v>
      </c>
      <c r="O2502" s="25" t="s">
        <v>157</v>
      </c>
    </row>
    <row r="2503" customFormat="false" ht="16.5" hidden="false" customHeight="true" outlineLevel="0" collapsed="false">
      <c r="B2503" s="40" t="str">
        <f aca="false">IFERROR(INDEX($J$2503:$J$2506,MATCH($O2503,$N$2503:$N$2506,0)),"")</f>
        <v/>
      </c>
      <c r="C2503" s="41" t="str">
        <f aca="false">IFERROR(INDEX($K$2503:$K$2506,MATCH($O2503,$N$2503:$N$2506,0)),"")</f>
        <v/>
      </c>
      <c r="D2503" s="42" t="str">
        <f aca="false">IF(OR(E2503="",N(C2503)=0),"",E2503/C2503-1)</f>
        <v/>
      </c>
      <c r="E2503" s="41" t="str">
        <f aca="false">IFERROR(INDEX($L$2503:$L$2506,MATCH($O2503,$N$2503:$N$2506,0)),"")</f>
        <v/>
      </c>
      <c r="F2503" s="41" t="str">
        <f aca="false">IF(E2503="","",E2503-C2503)</f>
        <v/>
      </c>
      <c r="J2503" s="25" t="str">
        <f aca="false">Lib_Compta</f>
        <v>Mission comptable (tenue, révision, bilan, liasse fiscale)</v>
      </c>
      <c r="K2503" s="25" t="n">
        <f aca="false">IF($K$2476=0,0,N(INDEX(Clients!$K$2:$K$501,$K$2476)))</f>
        <v>0</v>
      </c>
      <c r="L2503" s="25" t="n">
        <f aca="false">IF($K$2476=0,0,N(INDEX(Clients!$P$2:$P$501,$K$2476)))</f>
        <v>0</v>
      </c>
      <c r="M2503" s="25" t="n">
        <f aca="false">IF(OR(K2503&lt;&gt;0,L2503&lt;&gt;0),1,0)</f>
        <v>0</v>
      </c>
      <c r="N2503" s="25" t="str">
        <f aca="false">IF(M2503=1,SUM($M$2503:M2503),"")</f>
        <v/>
      </c>
      <c r="O2503" s="25" t="n">
        <v>1</v>
      </c>
    </row>
    <row r="2504" customFormat="false" ht="16.5" hidden="false" customHeight="true" outlineLevel="0" collapsed="false">
      <c r="B2504" s="40" t="str">
        <f aca="false">IFERROR(INDEX($J$2503:$J$2506,MATCH($O2504,$N$2503:$N$2506,0)),"")</f>
        <v/>
      </c>
      <c r="C2504" s="41" t="str">
        <f aca="false">IFERROR(INDEX($K$2503:$K$2506,MATCH($O2504,$N$2503:$N$2506,0)),"")</f>
        <v/>
      </c>
      <c r="D2504" s="42" t="str">
        <f aca="false">IF(OR(E2504="",N(C2504)=0),"",E2504/C2504-1)</f>
        <v/>
      </c>
      <c r="E2504" s="41" t="str">
        <f aca="false">IFERROR(INDEX($L$2503:$L$2506,MATCH($O2504,$N$2503:$N$2506,0)),"")</f>
        <v/>
      </c>
      <c r="F2504" s="41" t="str">
        <f aca="false">IF(E2504="","",E2504-C2504)</f>
        <v/>
      </c>
      <c r="J2504" s="25" t="str">
        <f aca="false">Lib_Paye</f>
        <v>Mission sociale (bulletins de paie, DSN, déclarations sociales)</v>
      </c>
      <c r="K2504" s="25" t="n">
        <f aca="false">IF($K$2476=0,0,N(INDEX(Clients!$L$2:$L$501,$K$2476)))</f>
        <v>0</v>
      </c>
      <c r="L2504" s="25" t="n">
        <f aca="false">IF($K$2476=0,0,N(INDEX(Clients!$Q$2:$Q$501,$K$2476)))</f>
        <v>0</v>
      </c>
      <c r="M2504" s="25" t="n">
        <f aca="false">IF(OR(K2504&lt;&gt;0,L2504&lt;&gt;0),1,0)</f>
        <v>0</v>
      </c>
      <c r="N2504" s="25" t="str">
        <f aca="false">IF(M2504=1,SUM($M$2503:M2504),"")</f>
        <v/>
      </c>
      <c r="O2504" s="25" t="n">
        <v>2</v>
      </c>
    </row>
    <row r="2505" customFormat="false" ht="16.5" hidden="false" customHeight="true" outlineLevel="0" collapsed="false">
      <c r="B2505" s="40" t="str">
        <f aca="false">IFERROR(INDEX($J$2503:$J$2506,MATCH($O2505,$N$2503:$N$2506,0)),"")</f>
        <v/>
      </c>
      <c r="C2505" s="41" t="str">
        <f aca="false">IFERROR(INDEX($K$2503:$K$2506,MATCH($O2505,$N$2503:$N$2506,0)),"")</f>
        <v/>
      </c>
      <c r="D2505" s="42" t="str">
        <f aca="false">IF(OR(E2505="",N(C2505)=0),"",E2505/C2505-1)</f>
        <v/>
      </c>
      <c r="E2505" s="41" t="str">
        <f aca="false">IFERROR(INDEX($L$2503:$L$2506,MATCH($O2505,$N$2503:$N$2506,0)),"")</f>
        <v/>
      </c>
      <c r="F2505" s="41" t="str">
        <f aca="false">IF(E2505="","",E2505-C2505)</f>
        <v/>
      </c>
      <c r="J2505" s="25" t="str">
        <f aca="false">Lib_Jur</f>
        <v>Mission juridique (approbation des comptes, secrétariat juridique)</v>
      </c>
      <c r="K2505" s="25" t="n">
        <f aca="false">IF($K$2476=0,0,N(INDEX(Clients!$M$2:$M$501,$K$2476)))</f>
        <v>0</v>
      </c>
      <c r="L2505" s="25" t="n">
        <f aca="false">IF($K$2476=0,0,N(INDEX(Clients!$R$2:$R$501,$K$2476)))</f>
        <v>0</v>
      </c>
      <c r="M2505" s="25" t="n">
        <f aca="false">IF(OR(K2505&lt;&gt;0,L2505&lt;&gt;0),1,0)</f>
        <v>0</v>
      </c>
      <c r="N2505" s="25" t="str">
        <f aca="false">IF(M2505=1,SUM($M$2503:M2505),"")</f>
        <v/>
      </c>
      <c r="O2505" s="25" t="n">
        <v>3</v>
      </c>
    </row>
    <row r="2506" customFormat="false" ht="16.5" hidden="false" customHeight="true" outlineLevel="0" collapsed="false">
      <c r="B2506" s="40" t="str">
        <f aca="false">IFERROR(INDEX($J$2503:$J$2506,MATCH($O2506,$N$2503:$N$2506,0)),"")</f>
        <v/>
      </c>
      <c r="C2506" s="41" t="str">
        <f aca="false">IFERROR(INDEX($K$2503:$K$2506,MATCH($O2506,$N$2503:$N$2506,0)),"")</f>
        <v/>
      </c>
      <c r="D2506" s="42" t="str">
        <f aca="false">IF(OR(E2506="",N(C2506)=0),"",E2506/C2506-1)</f>
        <v/>
      </c>
      <c r="E2506" s="41" t="str">
        <f aca="false">IFERROR(INDEX($L$2503:$L$2506,MATCH($O2506,$N$2503:$N$2506,0)),"")</f>
        <v/>
      </c>
      <c r="F2506" s="41" t="str">
        <f aca="false">IF(E2506="","",E2506-C2506)</f>
        <v/>
      </c>
      <c r="J2506" s="25" t="str">
        <f aca="false">Lib_PA</f>
        <v>Plateforme agréée – facturation électronique</v>
      </c>
      <c r="K2506" s="25" t="n">
        <f aca="false">IF($K$2476=0,0,N(INDEX(Clients!$N$2:$N$501,$K$2476)))</f>
        <v>0</v>
      </c>
      <c r="L2506" s="25" t="n">
        <f aca="false">IF($K$2476=0,0,N(INDEX(Clients!$S$2:$S$501,$K$2476)))</f>
        <v>0</v>
      </c>
      <c r="M2506" s="25" t="n">
        <f aca="false">IF(OR(K2506&lt;&gt;0,L2506&lt;&gt;0),1,0)</f>
        <v>0</v>
      </c>
      <c r="N2506" s="25" t="str">
        <f aca="false">IF(M2506=1,SUM($M$2503:M2506),"")</f>
        <v/>
      </c>
      <c r="O2506" s="25" t="n">
        <v>4</v>
      </c>
    </row>
    <row r="2507" customFormat="false" ht="18" hidden="false" customHeight="true" outlineLevel="0" collapsed="false">
      <c r="B2507" s="43" t="s">
        <v>158</v>
      </c>
      <c r="C2507" s="44" t="n">
        <f aca="false">SUM(K2503:K2506)</f>
        <v>0</v>
      </c>
      <c r="D2507" s="45" t="str">
        <f aca="false">IF(N(C2507)=0,"",E2507/C2507-1)</f>
        <v/>
      </c>
      <c r="E2507" s="44" t="n">
        <f aca="false">SUM(L2503:L2506)</f>
        <v>0</v>
      </c>
      <c r="F2507" s="44" t="n">
        <f aca="false">E2507-C2507</f>
        <v>0</v>
      </c>
    </row>
    <row r="2508" customFormat="false" ht="15" hidden="false" customHeight="false" outlineLevel="0" collapsed="false">
      <c r="B2508" s="46" t="str">
        <f aca="false">IF(N(Nb_Mensualites)=0,"","Soit "&amp;FIXED(E2507/Nb_Mensualites,2)&amp;" € HT par échéance ("&amp;Nb_Mensualites&amp;" échéances), "&amp;FIXED(E2507/Nb_Mensualites*(1+Taux_TVA),2)&amp;" € TTC.")</f>
        <v>Soit 0.00 € HT par échéance (12 échéances), 0.00 € TTC.</v>
      </c>
      <c r="C2508" s="46"/>
      <c r="D2508" s="46"/>
      <c r="E2508" s="46"/>
      <c r="F2508" s="46"/>
    </row>
    <row r="2509" customFormat="false" ht="7.5" hidden="false" customHeight="true" outlineLevel="0" collapsed="false">
      <c r="B2509" s="10"/>
      <c r="C2509" s="10"/>
      <c r="D2509" s="10"/>
      <c r="E2509" s="10"/>
      <c r="F2509" s="10"/>
    </row>
    <row r="2510" customFormat="false" ht="36.75" hidden="false" customHeight="true" outlineLevel="0" collapsed="false">
      <c r="B2510" s="37" t="str">
        <f aca="false">SUBSTITUTE(SUBSTITUTE(SUBSTITUTE(SUBSTITUTE(SUBSTITUTE(Txt_P5,"{cabinet}",Cab_Nom),"{societe}",IF($K$2476=0,"",INDEX(Clients!$E$2:$E$501,$K$2476)&amp;"")),"{date_effet}",$K$2478),"{hausse}",$K$2479),"{civilite}",$K$2477)</f>
        <v>Les autres conditions de votre lettre de mission demeurent inchangées. Les nouveaux montants seront appliqués automatiquement sur vos prochaines factures et échéances de prélèvement.</v>
      </c>
      <c r="C2510" s="37"/>
      <c r="D2510" s="37"/>
      <c r="E2510" s="37"/>
      <c r="F2510" s="37"/>
    </row>
    <row r="2511" customFormat="false" ht="36.75" hidden="false" customHeight="true" outlineLevel="0" collapsed="false">
      <c r="B2511" s="37" t="str">
        <f aca="false">SUBSTITUTE(SUBSTITUTE(SUBSTITUTE(SUBSTITUTE(SUBSTITUTE(Txt_P6,"{cabinet}",Cab_Nom),"{societe}",IF($K$2476=0,"",INDEX(Clients!$E$2:$E$501,$K$2476)&amp;"")),"{date_effet}",$K$2478),"{hausse}",$K$2479),"{civilite}",$K$2477)</f>
        <v>Votre interlocuteur habituel reste à votre entière disposition pour répondre à vos questions et faire le point sur l'évolution de vos besoins.</v>
      </c>
      <c r="C2511" s="37"/>
      <c r="D2511" s="37"/>
      <c r="E2511" s="37"/>
      <c r="F2511" s="37"/>
    </row>
    <row r="2512" customFormat="false" ht="24" hidden="false" customHeight="true" outlineLevel="0" collapsed="false">
      <c r="B2512" s="37" t="str">
        <f aca="false">SUBSTITUTE(SUBSTITUTE(SUBSTITUTE(SUBSTITUTE(SUBSTITUTE(Txt_Politesse,"{cabinet}",Cab_Nom),"{societe}",IF($K$2476=0,"",INDEX(Clients!$E$2:$E$501,$K$2476)&amp;"")),"{date_effet}",$K$2478),"{hausse}",$K$2479),"{civilite}",$K$2477)</f>
        <v>Nous vous prions d'agréer, Madame, Monsieur, l'expression de nos salutations distinguées.</v>
      </c>
      <c r="C2512" s="37"/>
      <c r="D2512" s="37"/>
      <c r="E2512" s="37"/>
      <c r="F2512" s="37"/>
    </row>
    <row r="2513" customFormat="false" ht="15" hidden="false" customHeight="false" outlineLevel="0" collapsed="false">
      <c r="B2513" s="10"/>
      <c r="C2513" s="10"/>
      <c r="D2513" s="10"/>
      <c r="E2513" s="10"/>
      <c r="F2513" s="10"/>
    </row>
    <row r="2514" customFormat="false" ht="15" hidden="false" customHeight="false" outlineLevel="0" collapsed="false">
      <c r="B2514" s="10"/>
      <c r="C2514" s="10"/>
      <c r="D2514" s="34" t="str">
        <f aca="false">Signataire</f>
        <v>Prénom NOM</v>
      </c>
      <c r="E2514" s="34"/>
      <c r="F2514" s="34"/>
    </row>
    <row r="2515" customFormat="false" ht="15" hidden="false" customHeight="false" outlineLevel="0" collapsed="false">
      <c r="B2515" s="10"/>
      <c r="C2515" s="10"/>
      <c r="D2515" s="47" t="str">
        <f aca="false">Signataire_Titre</f>
        <v>Expert-comptable associé</v>
      </c>
      <c r="E2515" s="47"/>
      <c r="F2515" s="47"/>
    </row>
    <row r="2516" customFormat="false" ht="15.75" hidden="false" customHeight="true" outlineLevel="0" collapsed="false">
      <c r="B2516" s="10"/>
      <c r="C2516" s="10"/>
      <c r="D2516" s="10"/>
      <c r="E2516" s="10"/>
      <c r="F2516" s="10"/>
    </row>
    <row r="2517" customFormat="false" ht="15.75" hidden="false" customHeight="true" outlineLevel="0" collapsed="false">
      <c r="B2517" s="10"/>
      <c r="C2517" s="10"/>
      <c r="D2517" s="10"/>
      <c r="E2517" s="10"/>
      <c r="F2517" s="10"/>
    </row>
    <row r="2518" customFormat="false" ht="15.75" hidden="false" customHeight="true" outlineLevel="0" collapsed="false">
      <c r="B2518" s="10"/>
      <c r="C2518" s="10"/>
      <c r="D2518" s="10"/>
      <c r="E2518" s="10"/>
      <c r="F2518" s="10"/>
    </row>
    <row r="2519" customFormat="false" ht="15.75" hidden="false" customHeight="true" outlineLevel="0" collapsed="false">
      <c r="B2519" s="10"/>
      <c r="C2519" s="10"/>
      <c r="D2519" s="10"/>
      <c r="E2519" s="10"/>
      <c r="F2519" s="10"/>
    </row>
    <row r="2520" customFormat="false" ht="24" hidden="false" customHeight="true" outlineLevel="0" collapsed="false">
      <c r="B2520" s="48" t="str">
        <f aca="false">Cab_Mentions</f>
        <v>ALTHO EXPERTISE · SAS au capital de 10 000 € · RCS Pontoise 919 706 325 · TVA FR62919706325 · Société d'expertise comptable inscrite au Tableau de l'Ordre des experts-comptables de Paris Île-de-France</v>
      </c>
      <c r="C2520" s="48"/>
      <c r="D2520" s="48"/>
      <c r="E2520" s="48"/>
      <c r="F2520" s="48"/>
    </row>
    <row r="2521" customFormat="false" ht="15" hidden="false" customHeight="false" outlineLevel="0" collapsed="false">
      <c r="B2521" s="10"/>
      <c r="C2521" s="10"/>
      <c r="D2521" s="10"/>
      <c r="E2521" s="10"/>
      <c r="F2521" s="10"/>
      <c r="J2521" s="25" t="s">
        <v>142</v>
      </c>
      <c r="K2521" s="25" t="n">
        <f aca="false">IFERROR(MATCH(57,Clients!$Z$2:$Z$501,0),0)</f>
        <v>0</v>
      </c>
      <c r="L2521" s="25"/>
      <c r="M2521" s="25"/>
      <c r="N2521" s="25"/>
      <c r="O2521" s="25"/>
    </row>
    <row r="2522" customFormat="false" ht="21.75" hidden="false" customHeight="true" outlineLevel="0" collapsed="false">
      <c r="B2522" s="26" t="str">
        <f aca="false">Cab_Nom</f>
        <v>ALTHO EXPERTISE</v>
      </c>
      <c r="C2522" s="26"/>
      <c r="D2522" s="10"/>
      <c r="E2522" s="27" t="str">
        <f aca="false">IF($K$2521=0,"","Réf. client : "&amp;INDEX(Clients!$A$2:$A$501,$K$2521))</f>
        <v/>
      </c>
      <c r="F2522" s="27"/>
      <c r="J2522" s="25" t="s">
        <v>144</v>
      </c>
      <c r="K2522" s="25" t="str">
        <f aca="false">IF(IF($K$2521=0,"",INDEX(Clients!$B$2:$B$501,$K$2521)&amp;"")="Mme","Madame",IF(IF($K$2521=0,"",INDEX(Clients!$B$2:$B$501,$K$2521)&amp;"")="M.","Monsieur","Madame, Monsieur"))</f>
        <v>Madame, Monsieur</v>
      </c>
      <c r="L2522" s="25"/>
      <c r="M2522" s="25"/>
      <c r="N2522" s="25"/>
      <c r="O2522" s="25"/>
    </row>
    <row r="2523" customFormat="false" ht="15" hidden="false" customHeight="false" outlineLevel="0" collapsed="false">
      <c r="B2523" s="29" t="str">
        <f aca="false">Cab_Adr1</f>
        <v>141 rue Charles de Gaulle</v>
      </c>
      <c r="C2523" s="29"/>
      <c r="D2523" s="10"/>
      <c r="E2523" s="10"/>
      <c r="F2523" s="10"/>
      <c r="J2523" s="25" t="s">
        <v>145</v>
      </c>
      <c r="K2523" s="25" t="str">
        <f aca="false">DAY(Date_Effet)&amp;IF(DAY(Date_Effet)=1,"er","")&amp;" "&amp;INDEX(Liste_Mois,MONTH(Date_Effet))&amp;" "&amp;YEAR(Date_Effet)</f>
        <v>1er janvier 2027</v>
      </c>
      <c r="L2523" s="25"/>
      <c r="M2523" s="25"/>
      <c r="N2523" s="25"/>
      <c r="O2523" s="25"/>
    </row>
    <row r="2524" customFormat="false" ht="15" hidden="false" customHeight="false" outlineLevel="0" collapsed="false">
      <c r="B2524" s="29" t="str">
        <f aca="false">Cab_CPVille</f>
        <v>95130 LE PLESSIS-BOUCHARD</v>
      </c>
      <c r="C2524" s="29"/>
      <c r="D2524" s="10"/>
      <c r="E2524" s="10"/>
      <c r="F2524" s="10"/>
      <c r="J2524" s="25" t="s">
        <v>146</v>
      </c>
      <c r="K2524" s="25" t="str">
        <f aca="false">IF(SUM($K$2548:$K$2551)=0,"",FIXED((SUM($L$2548:$L$2551)/SUM($K$2548:$K$2551)-1)*100,1)&amp;" %")</f>
        <v/>
      </c>
      <c r="L2524" s="25"/>
      <c r="M2524" s="25"/>
      <c r="N2524" s="25"/>
      <c r="O2524" s="25"/>
    </row>
    <row r="2525" customFormat="false" ht="15" hidden="false" customHeight="false" outlineLevel="0" collapsed="false">
      <c r="B2525" s="29" t="str">
        <f aca="false">Cab_Contact</f>
        <v>Tél. 01 34 14 53 45  ·  altho@altho-experts.com  ·  altho-experts.com</v>
      </c>
      <c r="C2525" s="29"/>
      <c r="D2525" s="10"/>
      <c r="E2525" s="10"/>
      <c r="F2525" s="10"/>
      <c r="J2525" s="25"/>
      <c r="K2525" s="25"/>
      <c r="L2525" s="25"/>
      <c r="M2525" s="25"/>
      <c r="N2525" s="25"/>
      <c r="O2525" s="25"/>
    </row>
    <row r="2526" customFormat="false" ht="6" hidden="false" customHeight="true" outlineLevel="0" collapsed="false">
      <c r="B2526" s="32"/>
      <c r="C2526" s="32"/>
      <c r="D2526" s="32"/>
      <c r="E2526" s="32"/>
      <c r="F2526" s="32"/>
      <c r="J2526" s="25"/>
      <c r="K2526" s="25"/>
      <c r="L2526" s="25"/>
      <c r="M2526" s="25"/>
      <c r="N2526" s="25"/>
      <c r="O2526" s="25"/>
    </row>
    <row r="2527" customFormat="false" ht="13.5" hidden="false" customHeight="true" outlineLevel="0" collapsed="false">
      <c r="B2527" s="10"/>
      <c r="C2527" s="10"/>
      <c r="D2527" s="10"/>
      <c r="E2527" s="10"/>
      <c r="F2527" s="10"/>
      <c r="J2527" s="25"/>
      <c r="K2527" s="25"/>
      <c r="L2527" s="25"/>
      <c r="M2527" s="25"/>
      <c r="N2527" s="25"/>
      <c r="O2527" s="25"/>
    </row>
    <row r="2528" customFormat="false" ht="13.5" hidden="false" customHeight="true" outlineLevel="0" collapsed="false">
      <c r="B2528" s="10"/>
      <c r="C2528" s="10"/>
      <c r="D2528" s="10"/>
      <c r="E2528" s="10"/>
      <c r="F2528" s="10"/>
      <c r="J2528" s="25"/>
      <c r="K2528" s="25"/>
      <c r="L2528" s="25"/>
      <c r="M2528" s="25"/>
      <c r="N2528" s="25"/>
      <c r="O2528" s="25"/>
    </row>
    <row r="2529" customFormat="false" ht="13.5" hidden="false" customHeight="true" outlineLevel="0" collapsed="false">
      <c r="B2529" s="10"/>
      <c r="C2529" s="10"/>
      <c r="D2529" s="10"/>
      <c r="E2529" s="10"/>
      <c r="F2529" s="10"/>
      <c r="J2529" s="25"/>
      <c r="K2529" s="25"/>
      <c r="L2529" s="25"/>
      <c r="M2529" s="25"/>
      <c r="N2529" s="25"/>
      <c r="O2529" s="25"/>
    </row>
    <row r="2530" customFormat="false" ht="15" hidden="false" customHeight="true" outlineLevel="0" collapsed="false">
      <c r="B2530" s="10"/>
      <c r="C2530" s="10"/>
      <c r="D2530" s="34" t="str">
        <f aca="false">IF($K$2521=0,"",INDEX(Clients!$E$2:$E$501,$K$2521)&amp;"")</f>
        <v/>
      </c>
      <c r="E2530" s="34"/>
      <c r="F2530" s="34"/>
      <c r="J2530" s="25"/>
      <c r="K2530" s="25"/>
      <c r="L2530" s="25"/>
      <c r="M2530" s="25"/>
      <c r="N2530" s="25"/>
      <c r="O2530" s="25"/>
    </row>
    <row r="2531" customFormat="false" ht="15" hidden="false" customHeight="true" outlineLevel="0" collapsed="false">
      <c r="B2531" s="10"/>
      <c r="C2531" s="10"/>
      <c r="D2531" s="35" t="str">
        <f aca="false">IF(IF($K$2521=0,"",INDEX(Clients!$D$2:$D$501,$K$2521)&amp;"")="","","À l'attention de "&amp;TRIM(IF($K$2521=0,"",INDEX(Clients!$B$2:$B$501,$K$2521)&amp;"")&amp;" "&amp;IF($K$2521=0,"",INDEX(Clients!$C$2:$C$501,$K$2521)&amp;"")&amp;" "&amp;IF($K$2521=0,"",INDEX(Clients!$D$2:$D$501,$K$2521)&amp;"")))</f>
        <v/>
      </c>
      <c r="E2531" s="35"/>
      <c r="F2531" s="35"/>
      <c r="J2531" s="25"/>
      <c r="K2531" s="25"/>
      <c r="L2531" s="25"/>
      <c r="M2531" s="25"/>
      <c r="N2531" s="25"/>
      <c r="O2531" s="25"/>
    </row>
    <row r="2532" customFormat="false" ht="15" hidden="false" customHeight="true" outlineLevel="0" collapsed="false">
      <c r="B2532" s="10"/>
      <c r="C2532" s="10"/>
      <c r="D2532" s="35" t="str">
        <f aca="false">IF($K$2521=0,"",INDEX(Clients!$F$2:$F$501,$K$2521)&amp;"")</f>
        <v/>
      </c>
      <c r="E2532" s="35"/>
      <c r="F2532" s="35"/>
      <c r="J2532" s="25"/>
      <c r="K2532" s="25"/>
      <c r="L2532" s="25"/>
      <c r="M2532" s="25"/>
      <c r="N2532" s="25"/>
      <c r="O2532" s="25"/>
    </row>
    <row r="2533" customFormat="false" ht="15" hidden="false" customHeight="true" outlineLevel="0" collapsed="false">
      <c r="B2533" s="10"/>
      <c r="C2533" s="10"/>
      <c r="D2533" s="35" t="str">
        <f aca="false">IF(IF($K$2521=0,"",INDEX(Clients!$G$2:$G$501,$K$2521)&amp;"")="",TRIM(IF($K$2521=0,"",INDEX(Clients!$H$2:$H$501,$K$2521)&amp;"")&amp;" "&amp;UPPER(IF($K$2521=0,"",INDEX(Clients!$I$2:$I$501,$K$2521)&amp;""))),IF($K$2521=0,"",INDEX(Clients!$G$2:$G$501,$K$2521)&amp;""))</f>
        <v/>
      </c>
      <c r="E2533" s="35"/>
      <c r="F2533" s="35"/>
      <c r="J2533" s="25"/>
      <c r="K2533" s="25"/>
      <c r="L2533" s="25"/>
      <c r="M2533" s="25"/>
      <c r="N2533" s="25"/>
      <c r="O2533" s="25"/>
    </row>
    <row r="2534" customFormat="false" ht="15" hidden="false" customHeight="true" outlineLevel="0" collapsed="false">
      <c r="B2534" s="10"/>
      <c r="C2534" s="10"/>
      <c r="D2534" s="35" t="str">
        <f aca="false">IF(IF($K$2521=0,"",INDEX(Clients!$G$2:$G$501,$K$2521)&amp;"")="","",TRIM(IF($K$2521=0,"",INDEX(Clients!$H$2:$H$501,$K$2521)&amp;"")&amp;" "&amp;UPPER(IF($K$2521=0,"",INDEX(Clients!$I$2:$I$501,$K$2521)&amp;""))))</f>
        <v/>
      </c>
      <c r="E2534" s="35"/>
      <c r="F2534" s="35"/>
      <c r="J2534" s="25"/>
      <c r="K2534" s="25"/>
      <c r="L2534" s="25"/>
      <c r="M2534" s="25"/>
      <c r="N2534" s="25"/>
      <c r="O2534" s="25"/>
    </row>
    <row r="2535" customFormat="false" ht="25.5" hidden="false" customHeight="true" outlineLevel="0" collapsed="false">
      <c r="B2535" s="10"/>
      <c r="C2535" s="10"/>
      <c r="D2535" s="10"/>
      <c r="E2535" s="10"/>
      <c r="F2535" s="10"/>
      <c r="J2535" s="25"/>
      <c r="K2535" s="25"/>
      <c r="L2535" s="25"/>
      <c r="M2535" s="25"/>
      <c r="N2535" s="25"/>
      <c r="O2535" s="25"/>
    </row>
    <row r="2536" customFormat="false" ht="15" hidden="false" customHeight="false" outlineLevel="0" collapsed="false">
      <c r="B2536" s="10"/>
      <c r="C2536" s="10"/>
      <c r="D2536" s="36" t="str">
        <f aca="false">Cab_Ville&amp;", le "&amp;DAY(Date_Courrier)&amp;IF(DAY(Date_Courrier)=1,"er","")&amp;" "&amp;INDEX(Liste_Mois,MONTH(Date_Courrier))&amp;" "&amp;YEAR(Date_Courrier)</f>
        <v>Le Plessis-Bouchard, le 22 septembre 2026</v>
      </c>
      <c r="E2536" s="36"/>
      <c r="F2536" s="36"/>
      <c r="J2536" s="25"/>
      <c r="K2536" s="25"/>
      <c r="L2536" s="25"/>
      <c r="M2536" s="25"/>
      <c r="N2536" s="25"/>
      <c r="O2536" s="25"/>
    </row>
    <row r="2537" customFormat="false" ht="19.5" hidden="false" customHeight="true" outlineLevel="0" collapsed="false">
      <c r="B2537" s="10"/>
      <c r="C2537" s="10"/>
      <c r="D2537" s="10"/>
      <c r="E2537" s="10"/>
      <c r="F2537" s="10"/>
      <c r="J2537" s="25"/>
      <c r="K2537" s="25"/>
      <c r="L2537" s="25"/>
      <c r="M2537" s="25"/>
      <c r="N2537" s="25"/>
      <c r="O2537" s="25"/>
    </row>
    <row r="2538" customFormat="false" ht="15" hidden="false" customHeight="false" outlineLevel="0" collapsed="false">
      <c r="B2538" s="34" t="str">
        <f aca="false">SUBSTITUTE(SUBSTITUTE(SUBSTITUTE(SUBSTITUTE(SUBSTITUTE(Txt_Objet,"{cabinet}",Cab_Nom),"{societe}",IF($K$2521=0,"",INDEX(Clients!$E$2:$E$501,$K$2521)&amp;"")),"{date_effet}",$K$2523),"{hausse}",$K$2524),"{civilite}",$K$2522)</f>
        <v>Objet : révision de nos honoraires au 1er janvier 2027</v>
      </c>
      <c r="C2538" s="34"/>
      <c r="D2538" s="34"/>
      <c r="E2538" s="34"/>
      <c r="F2538" s="34"/>
      <c r="J2538" s="25"/>
      <c r="K2538" s="25"/>
      <c r="L2538" s="25"/>
      <c r="M2538" s="25"/>
      <c r="N2538" s="25"/>
      <c r="O2538" s="25"/>
    </row>
    <row r="2539" customFormat="false" ht="13.5" hidden="false" customHeight="true" outlineLevel="0" collapsed="false">
      <c r="B2539" s="10"/>
      <c r="C2539" s="10"/>
      <c r="D2539" s="10"/>
      <c r="E2539" s="10"/>
      <c r="F2539" s="10"/>
      <c r="J2539" s="25"/>
      <c r="K2539" s="25"/>
      <c r="L2539" s="25"/>
      <c r="M2539" s="25"/>
      <c r="N2539" s="25"/>
      <c r="O2539" s="25"/>
    </row>
    <row r="2540" customFormat="false" ht="15" hidden="false" customHeight="false" outlineLevel="0" collapsed="false">
      <c r="B2540" s="10" t="str">
        <f aca="false">$K$2522&amp;","</f>
        <v>Madame, Monsieur,</v>
      </c>
      <c r="C2540" s="10"/>
      <c r="D2540" s="10"/>
      <c r="E2540" s="10"/>
      <c r="F2540" s="10"/>
      <c r="J2540" s="25"/>
      <c r="K2540" s="25"/>
      <c r="L2540" s="25"/>
      <c r="M2540" s="25"/>
      <c r="N2540" s="25"/>
      <c r="O2540" s="25"/>
    </row>
    <row r="2541" customFormat="false" ht="6" hidden="false" customHeight="true" outlineLevel="0" collapsed="false">
      <c r="B2541" s="10"/>
      <c r="C2541" s="10"/>
      <c r="D2541" s="10"/>
      <c r="E2541" s="10"/>
      <c r="F2541" s="10"/>
      <c r="J2541" s="25"/>
      <c r="K2541" s="25"/>
      <c r="L2541" s="25"/>
      <c r="M2541" s="25"/>
      <c r="N2541" s="25"/>
      <c r="O2541" s="25"/>
    </row>
    <row r="2542" customFormat="false" ht="36.75" hidden="false" customHeight="true" outlineLevel="0" collapsed="false">
      <c r="B2542" s="37" t="str">
        <f aca="false">SUBSTITUTE(SUBSTITUTE(SUBSTITUTE(SUBSTITUTE(SUBSTITUTE(Txt_P1,"{cabinet}",Cab_Nom),"{societe}",IF($K$2521=0,"",INDEX(Clients!$E$2:$E$501,$K$2521)&amp;"")),"{date_effet}",$K$2523),"{hausse}",$K$2524),"{civilite}",$K$2522)</f>
        <v>Nous tenons tout d'abord à vous remercier pour la confiance que vous accordez à ALTHO EXPERTISE. Comme chaque année, et conformément aux dispositions de votre lettre de mission, nous procédons à la révision de nos honoraires.</v>
      </c>
      <c r="C2542" s="37"/>
      <c r="D2542" s="37"/>
      <c r="E2542" s="37"/>
      <c r="F2542" s="37"/>
      <c r="J2542" s="25"/>
      <c r="K2542" s="25"/>
      <c r="L2542" s="25"/>
      <c r="M2542" s="25"/>
      <c r="N2542" s="25"/>
      <c r="O2542" s="25"/>
    </row>
    <row r="2543" customFormat="false" ht="49.5" hidden="false" customHeight="true" outlineLevel="0" collapsed="false">
      <c r="B2543" s="37" t="str">
        <f aca="false">SUBSTITUTE(SUBSTITUTE(SUBSTITUTE(SUBSTITUTE(SUBSTITUTE(Txt_P2,"{cabinet}",Cab_Nom),"{societe}",IF($K$2521=0,"",INDEX(Clients!$E$2:$E$501,$K$2521)&amp;"")),"{date_effet}",$K$2523),"{hausse}",$K$2524),"{civilite}",$K$2522)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543" s="37"/>
      <c r="D2543" s="37"/>
      <c r="E2543" s="37"/>
      <c r="F2543" s="37"/>
      <c r="J2543" s="25"/>
      <c r="K2543" s="25"/>
      <c r="L2543" s="25"/>
      <c r="M2543" s="25"/>
      <c r="N2543" s="25"/>
      <c r="O2543" s="25"/>
    </row>
    <row r="2544" customFormat="false" ht="63" hidden="false" customHeight="true" outlineLevel="0" collapsed="false">
      <c r="B2544" s="37" t="str">
        <f aca="false">SUBSTITUTE(SUBSTITUTE(SUBSTITUTE(SUBSTITUTE(SUBSTITUTE(Txt_P3,"{cabinet}",Cab_Nom),"{societe}",IF($K$2521=0,"",INDEX(Clients!$E$2:$E$501,$K$2521)&amp;"")),"{date_effet}",$K$2523),"{hausse}",$K$2524),"{civilite}",$K$2522)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544" s="37"/>
      <c r="D2544" s="37"/>
      <c r="E2544" s="37"/>
      <c r="F2544" s="37"/>
      <c r="J2544" s="25"/>
      <c r="K2544" s="25"/>
      <c r="L2544" s="25"/>
      <c r="M2544" s="25"/>
      <c r="N2544" s="25"/>
      <c r="O2544" s="25"/>
    </row>
    <row r="2545" customFormat="false" ht="24" hidden="false" customHeight="true" outlineLevel="0" collapsed="false">
      <c r="B2545" s="37" t="str">
        <f aca="false">SUBSTITUTE(SUBSTITUTE(SUBSTITUTE(SUBSTITUTE(SUBSTITUTE(Txt_P4,"{cabinet}",Cab_Nom),"{societe}",IF($K$2521=0,"",INDEX(Clients!$E$2:$E$501,$K$2521)&amp;"")),"{date_effet}",$K$2523),"{hausse}",$K$2524),"{civilite}",$K$2522)</f>
        <v>À compter du 1er janvier 2027, vos honoraires annuels hors taxes évolueront ainsi (évolution globale : ) :</v>
      </c>
      <c r="C2545" s="37"/>
      <c r="D2545" s="37"/>
      <c r="E2545" s="37"/>
      <c r="F2545" s="37"/>
      <c r="J2545" s="25"/>
      <c r="K2545" s="25"/>
      <c r="L2545" s="25"/>
      <c r="M2545" s="25"/>
      <c r="N2545" s="25"/>
      <c r="O2545" s="25"/>
    </row>
    <row r="2546" customFormat="false" ht="3.75" hidden="false" customHeight="true" outlineLevel="0" collapsed="false">
      <c r="B2546" s="10"/>
      <c r="C2546" s="10"/>
      <c r="D2546" s="10"/>
      <c r="E2546" s="10"/>
      <c r="F2546" s="10"/>
      <c r="J2546" s="25"/>
      <c r="K2546" s="25"/>
      <c r="L2546" s="25"/>
      <c r="M2546" s="25"/>
      <c r="N2546" s="25"/>
      <c r="O2546" s="25"/>
    </row>
    <row r="2547" customFormat="false" ht="18" hidden="false" customHeight="true" outlineLevel="0" collapsed="false">
      <c r="B2547" s="38" t="s">
        <v>148</v>
      </c>
      <c r="C2547" s="39" t="s">
        <v>149</v>
      </c>
      <c r="D2547" s="39" t="s">
        <v>150</v>
      </c>
      <c r="E2547" s="39" t="s">
        <v>151</v>
      </c>
      <c r="F2547" s="39" t="s">
        <v>109</v>
      </c>
      <c r="J2547" s="25" t="s">
        <v>152</v>
      </c>
      <c r="K2547" s="25" t="s">
        <v>153</v>
      </c>
      <c r="L2547" s="25" t="s">
        <v>154</v>
      </c>
      <c r="M2547" s="25" t="s">
        <v>155</v>
      </c>
      <c r="N2547" s="25" t="s">
        <v>156</v>
      </c>
      <c r="O2547" s="25" t="s">
        <v>157</v>
      </c>
    </row>
    <row r="2548" customFormat="false" ht="16.5" hidden="false" customHeight="true" outlineLevel="0" collapsed="false">
      <c r="B2548" s="40" t="str">
        <f aca="false">IFERROR(INDEX($J$2548:$J$2551,MATCH($O2548,$N$2548:$N$2551,0)),"")</f>
        <v/>
      </c>
      <c r="C2548" s="41" t="str">
        <f aca="false">IFERROR(INDEX($K$2548:$K$2551,MATCH($O2548,$N$2548:$N$2551,0)),"")</f>
        <v/>
      </c>
      <c r="D2548" s="42" t="str">
        <f aca="false">IF(OR(E2548="",N(C2548)=0),"",E2548/C2548-1)</f>
        <v/>
      </c>
      <c r="E2548" s="41" t="str">
        <f aca="false">IFERROR(INDEX($L$2548:$L$2551,MATCH($O2548,$N$2548:$N$2551,0)),"")</f>
        <v/>
      </c>
      <c r="F2548" s="41" t="str">
        <f aca="false">IF(E2548="","",E2548-C2548)</f>
        <v/>
      </c>
      <c r="J2548" s="25" t="str">
        <f aca="false">Lib_Compta</f>
        <v>Mission comptable (tenue, révision, bilan, liasse fiscale)</v>
      </c>
      <c r="K2548" s="25" t="n">
        <f aca="false">IF($K$2521=0,0,N(INDEX(Clients!$K$2:$K$501,$K$2521)))</f>
        <v>0</v>
      </c>
      <c r="L2548" s="25" t="n">
        <f aca="false">IF($K$2521=0,0,N(INDEX(Clients!$P$2:$P$501,$K$2521)))</f>
        <v>0</v>
      </c>
      <c r="M2548" s="25" t="n">
        <f aca="false">IF(OR(K2548&lt;&gt;0,L2548&lt;&gt;0),1,0)</f>
        <v>0</v>
      </c>
      <c r="N2548" s="25" t="str">
        <f aca="false">IF(M2548=1,SUM($M$2548:M2548),"")</f>
        <v/>
      </c>
      <c r="O2548" s="25" t="n">
        <v>1</v>
      </c>
    </row>
    <row r="2549" customFormat="false" ht="16.5" hidden="false" customHeight="true" outlineLevel="0" collapsed="false">
      <c r="B2549" s="40" t="str">
        <f aca="false">IFERROR(INDEX($J$2548:$J$2551,MATCH($O2549,$N$2548:$N$2551,0)),"")</f>
        <v/>
      </c>
      <c r="C2549" s="41" t="str">
        <f aca="false">IFERROR(INDEX($K$2548:$K$2551,MATCH($O2549,$N$2548:$N$2551,0)),"")</f>
        <v/>
      </c>
      <c r="D2549" s="42" t="str">
        <f aca="false">IF(OR(E2549="",N(C2549)=0),"",E2549/C2549-1)</f>
        <v/>
      </c>
      <c r="E2549" s="41" t="str">
        <f aca="false">IFERROR(INDEX($L$2548:$L$2551,MATCH($O2549,$N$2548:$N$2551,0)),"")</f>
        <v/>
      </c>
      <c r="F2549" s="41" t="str">
        <f aca="false">IF(E2549="","",E2549-C2549)</f>
        <v/>
      </c>
      <c r="J2549" s="25" t="str">
        <f aca="false">Lib_Paye</f>
        <v>Mission sociale (bulletins de paie, DSN, déclarations sociales)</v>
      </c>
      <c r="K2549" s="25" t="n">
        <f aca="false">IF($K$2521=0,0,N(INDEX(Clients!$L$2:$L$501,$K$2521)))</f>
        <v>0</v>
      </c>
      <c r="L2549" s="25" t="n">
        <f aca="false">IF($K$2521=0,0,N(INDEX(Clients!$Q$2:$Q$501,$K$2521)))</f>
        <v>0</v>
      </c>
      <c r="M2549" s="25" t="n">
        <f aca="false">IF(OR(K2549&lt;&gt;0,L2549&lt;&gt;0),1,0)</f>
        <v>0</v>
      </c>
      <c r="N2549" s="25" t="str">
        <f aca="false">IF(M2549=1,SUM($M$2548:M2549),"")</f>
        <v/>
      </c>
      <c r="O2549" s="25" t="n">
        <v>2</v>
      </c>
    </row>
    <row r="2550" customFormat="false" ht="16.5" hidden="false" customHeight="true" outlineLevel="0" collapsed="false">
      <c r="B2550" s="40" t="str">
        <f aca="false">IFERROR(INDEX($J$2548:$J$2551,MATCH($O2550,$N$2548:$N$2551,0)),"")</f>
        <v/>
      </c>
      <c r="C2550" s="41" t="str">
        <f aca="false">IFERROR(INDEX($K$2548:$K$2551,MATCH($O2550,$N$2548:$N$2551,0)),"")</f>
        <v/>
      </c>
      <c r="D2550" s="42" t="str">
        <f aca="false">IF(OR(E2550="",N(C2550)=0),"",E2550/C2550-1)</f>
        <v/>
      </c>
      <c r="E2550" s="41" t="str">
        <f aca="false">IFERROR(INDEX($L$2548:$L$2551,MATCH($O2550,$N$2548:$N$2551,0)),"")</f>
        <v/>
      </c>
      <c r="F2550" s="41" t="str">
        <f aca="false">IF(E2550="","",E2550-C2550)</f>
        <v/>
      </c>
      <c r="J2550" s="25" t="str">
        <f aca="false">Lib_Jur</f>
        <v>Mission juridique (approbation des comptes, secrétariat juridique)</v>
      </c>
      <c r="K2550" s="25" t="n">
        <f aca="false">IF($K$2521=0,0,N(INDEX(Clients!$M$2:$M$501,$K$2521)))</f>
        <v>0</v>
      </c>
      <c r="L2550" s="25" t="n">
        <f aca="false">IF($K$2521=0,0,N(INDEX(Clients!$R$2:$R$501,$K$2521)))</f>
        <v>0</v>
      </c>
      <c r="M2550" s="25" t="n">
        <f aca="false">IF(OR(K2550&lt;&gt;0,L2550&lt;&gt;0),1,0)</f>
        <v>0</v>
      </c>
      <c r="N2550" s="25" t="str">
        <f aca="false">IF(M2550=1,SUM($M$2548:M2550),"")</f>
        <v/>
      </c>
      <c r="O2550" s="25" t="n">
        <v>3</v>
      </c>
    </row>
    <row r="2551" customFormat="false" ht="16.5" hidden="false" customHeight="true" outlineLevel="0" collapsed="false">
      <c r="B2551" s="40" t="str">
        <f aca="false">IFERROR(INDEX($J$2548:$J$2551,MATCH($O2551,$N$2548:$N$2551,0)),"")</f>
        <v/>
      </c>
      <c r="C2551" s="41" t="str">
        <f aca="false">IFERROR(INDEX($K$2548:$K$2551,MATCH($O2551,$N$2548:$N$2551,0)),"")</f>
        <v/>
      </c>
      <c r="D2551" s="42" t="str">
        <f aca="false">IF(OR(E2551="",N(C2551)=0),"",E2551/C2551-1)</f>
        <v/>
      </c>
      <c r="E2551" s="41" t="str">
        <f aca="false">IFERROR(INDEX($L$2548:$L$2551,MATCH($O2551,$N$2548:$N$2551,0)),"")</f>
        <v/>
      </c>
      <c r="F2551" s="41" t="str">
        <f aca="false">IF(E2551="","",E2551-C2551)</f>
        <v/>
      </c>
      <c r="J2551" s="25" t="str">
        <f aca="false">Lib_PA</f>
        <v>Plateforme agréée – facturation électronique</v>
      </c>
      <c r="K2551" s="25" t="n">
        <f aca="false">IF($K$2521=0,0,N(INDEX(Clients!$N$2:$N$501,$K$2521)))</f>
        <v>0</v>
      </c>
      <c r="L2551" s="25" t="n">
        <f aca="false">IF($K$2521=0,0,N(INDEX(Clients!$S$2:$S$501,$K$2521)))</f>
        <v>0</v>
      </c>
      <c r="M2551" s="25" t="n">
        <f aca="false">IF(OR(K2551&lt;&gt;0,L2551&lt;&gt;0),1,0)</f>
        <v>0</v>
      </c>
      <c r="N2551" s="25" t="str">
        <f aca="false">IF(M2551=1,SUM($M$2548:M2551),"")</f>
        <v/>
      </c>
      <c r="O2551" s="25" t="n">
        <v>4</v>
      </c>
    </row>
    <row r="2552" customFormat="false" ht="18" hidden="false" customHeight="true" outlineLevel="0" collapsed="false">
      <c r="B2552" s="43" t="s">
        <v>158</v>
      </c>
      <c r="C2552" s="44" t="n">
        <f aca="false">SUM(K2548:K2551)</f>
        <v>0</v>
      </c>
      <c r="D2552" s="45" t="str">
        <f aca="false">IF(N(C2552)=0,"",E2552/C2552-1)</f>
        <v/>
      </c>
      <c r="E2552" s="44" t="n">
        <f aca="false">SUM(L2548:L2551)</f>
        <v>0</v>
      </c>
      <c r="F2552" s="44" t="n">
        <f aca="false">E2552-C2552</f>
        <v>0</v>
      </c>
    </row>
    <row r="2553" customFormat="false" ht="15" hidden="false" customHeight="false" outlineLevel="0" collapsed="false">
      <c r="B2553" s="46" t="str">
        <f aca="false">IF(N(Nb_Mensualites)=0,"","Soit "&amp;FIXED(E2552/Nb_Mensualites,2)&amp;" € HT par échéance ("&amp;Nb_Mensualites&amp;" échéances), "&amp;FIXED(E2552/Nb_Mensualites*(1+Taux_TVA),2)&amp;" € TTC.")</f>
        <v>Soit 0.00 € HT par échéance (12 échéances), 0.00 € TTC.</v>
      </c>
      <c r="C2553" s="46"/>
      <c r="D2553" s="46"/>
      <c r="E2553" s="46"/>
      <c r="F2553" s="46"/>
    </row>
    <row r="2554" customFormat="false" ht="7.5" hidden="false" customHeight="true" outlineLevel="0" collapsed="false">
      <c r="B2554" s="10"/>
      <c r="C2554" s="10"/>
      <c r="D2554" s="10"/>
      <c r="E2554" s="10"/>
      <c r="F2554" s="10"/>
    </row>
    <row r="2555" customFormat="false" ht="36.75" hidden="false" customHeight="true" outlineLevel="0" collapsed="false">
      <c r="B2555" s="37" t="str">
        <f aca="false">SUBSTITUTE(SUBSTITUTE(SUBSTITUTE(SUBSTITUTE(SUBSTITUTE(Txt_P5,"{cabinet}",Cab_Nom),"{societe}",IF($K$2521=0,"",INDEX(Clients!$E$2:$E$501,$K$2521)&amp;"")),"{date_effet}",$K$2523),"{hausse}",$K$2524),"{civilite}",$K$2522)</f>
        <v>Les autres conditions de votre lettre de mission demeurent inchangées. Les nouveaux montants seront appliqués automatiquement sur vos prochaines factures et échéances de prélèvement.</v>
      </c>
      <c r="C2555" s="37"/>
      <c r="D2555" s="37"/>
      <c r="E2555" s="37"/>
      <c r="F2555" s="37"/>
    </row>
    <row r="2556" customFormat="false" ht="36.75" hidden="false" customHeight="true" outlineLevel="0" collapsed="false">
      <c r="B2556" s="37" t="str">
        <f aca="false">SUBSTITUTE(SUBSTITUTE(SUBSTITUTE(SUBSTITUTE(SUBSTITUTE(Txt_P6,"{cabinet}",Cab_Nom),"{societe}",IF($K$2521=0,"",INDEX(Clients!$E$2:$E$501,$K$2521)&amp;"")),"{date_effet}",$K$2523),"{hausse}",$K$2524),"{civilite}",$K$2522)</f>
        <v>Votre interlocuteur habituel reste à votre entière disposition pour répondre à vos questions et faire le point sur l'évolution de vos besoins.</v>
      </c>
      <c r="C2556" s="37"/>
      <c r="D2556" s="37"/>
      <c r="E2556" s="37"/>
      <c r="F2556" s="37"/>
    </row>
    <row r="2557" customFormat="false" ht="24" hidden="false" customHeight="true" outlineLevel="0" collapsed="false">
      <c r="B2557" s="37" t="str">
        <f aca="false">SUBSTITUTE(SUBSTITUTE(SUBSTITUTE(SUBSTITUTE(SUBSTITUTE(Txt_Politesse,"{cabinet}",Cab_Nom),"{societe}",IF($K$2521=0,"",INDEX(Clients!$E$2:$E$501,$K$2521)&amp;"")),"{date_effet}",$K$2523),"{hausse}",$K$2524),"{civilite}",$K$2522)</f>
        <v>Nous vous prions d'agréer, Madame, Monsieur, l'expression de nos salutations distinguées.</v>
      </c>
      <c r="C2557" s="37"/>
      <c r="D2557" s="37"/>
      <c r="E2557" s="37"/>
      <c r="F2557" s="37"/>
    </row>
    <row r="2558" customFormat="false" ht="15" hidden="false" customHeight="false" outlineLevel="0" collapsed="false">
      <c r="B2558" s="10"/>
      <c r="C2558" s="10"/>
      <c r="D2558" s="10"/>
      <c r="E2558" s="10"/>
      <c r="F2558" s="10"/>
    </row>
    <row r="2559" customFormat="false" ht="15" hidden="false" customHeight="false" outlineLevel="0" collapsed="false">
      <c r="B2559" s="10"/>
      <c r="C2559" s="10"/>
      <c r="D2559" s="34" t="str">
        <f aca="false">Signataire</f>
        <v>Prénom NOM</v>
      </c>
      <c r="E2559" s="34"/>
      <c r="F2559" s="34"/>
    </row>
    <row r="2560" customFormat="false" ht="15" hidden="false" customHeight="false" outlineLevel="0" collapsed="false">
      <c r="B2560" s="10"/>
      <c r="C2560" s="10"/>
      <c r="D2560" s="47" t="str">
        <f aca="false">Signataire_Titre</f>
        <v>Expert-comptable associé</v>
      </c>
      <c r="E2560" s="47"/>
      <c r="F2560" s="47"/>
    </row>
    <row r="2561" customFormat="false" ht="15.75" hidden="false" customHeight="true" outlineLevel="0" collapsed="false">
      <c r="B2561" s="10"/>
      <c r="C2561" s="10"/>
      <c r="D2561" s="10"/>
      <c r="E2561" s="10"/>
      <c r="F2561" s="10"/>
    </row>
    <row r="2562" customFormat="false" ht="15.75" hidden="false" customHeight="true" outlineLevel="0" collapsed="false">
      <c r="B2562" s="10"/>
      <c r="C2562" s="10"/>
      <c r="D2562" s="10"/>
      <c r="E2562" s="10"/>
      <c r="F2562" s="10"/>
    </row>
    <row r="2563" customFormat="false" ht="15.75" hidden="false" customHeight="true" outlineLevel="0" collapsed="false">
      <c r="B2563" s="10"/>
      <c r="C2563" s="10"/>
      <c r="D2563" s="10"/>
      <c r="E2563" s="10"/>
      <c r="F2563" s="10"/>
    </row>
    <row r="2564" customFormat="false" ht="15.75" hidden="false" customHeight="true" outlineLevel="0" collapsed="false">
      <c r="B2564" s="10"/>
      <c r="C2564" s="10"/>
      <c r="D2564" s="10"/>
      <c r="E2564" s="10"/>
      <c r="F2564" s="10"/>
    </row>
    <row r="2565" customFormat="false" ht="24" hidden="false" customHeight="true" outlineLevel="0" collapsed="false">
      <c r="B2565" s="48" t="str">
        <f aca="false">Cab_Mentions</f>
        <v>ALTHO EXPERTISE · SAS au capital de 10 000 € · RCS Pontoise 919 706 325 · TVA FR62919706325 · Société d'expertise comptable inscrite au Tableau de l'Ordre des experts-comptables de Paris Île-de-France</v>
      </c>
      <c r="C2565" s="48"/>
      <c r="D2565" s="48"/>
      <c r="E2565" s="48"/>
      <c r="F2565" s="48"/>
    </row>
    <row r="2566" customFormat="false" ht="15" hidden="false" customHeight="false" outlineLevel="0" collapsed="false">
      <c r="B2566" s="10"/>
      <c r="C2566" s="10"/>
      <c r="D2566" s="10"/>
      <c r="E2566" s="10"/>
      <c r="F2566" s="10"/>
      <c r="J2566" s="25" t="s">
        <v>142</v>
      </c>
      <c r="K2566" s="25" t="n">
        <f aca="false">IFERROR(MATCH(58,Clients!$Z$2:$Z$501,0),0)</f>
        <v>0</v>
      </c>
      <c r="L2566" s="25"/>
      <c r="M2566" s="25"/>
      <c r="N2566" s="25"/>
      <c r="O2566" s="25"/>
    </row>
    <row r="2567" customFormat="false" ht="21.75" hidden="false" customHeight="true" outlineLevel="0" collapsed="false">
      <c r="B2567" s="26" t="str">
        <f aca="false">Cab_Nom</f>
        <v>ALTHO EXPERTISE</v>
      </c>
      <c r="C2567" s="26"/>
      <c r="D2567" s="10"/>
      <c r="E2567" s="27" t="str">
        <f aca="false">IF($K$2566=0,"","Réf. client : "&amp;INDEX(Clients!$A$2:$A$501,$K$2566))</f>
        <v/>
      </c>
      <c r="F2567" s="27"/>
      <c r="J2567" s="25" t="s">
        <v>144</v>
      </c>
      <c r="K2567" s="25" t="str">
        <f aca="false">IF(IF($K$2566=0,"",INDEX(Clients!$B$2:$B$501,$K$2566)&amp;"")="Mme","Madame",IF(IF($K$2566=0,"",INDEX(Clients!$B$2:$B$501,$K$2566)&amp;"")="M.","Monsieur","Madame, Monsieur"))</f>
        <v>Madame, Monsieur</v>
      </c>
      <c r="L2567" s="25"/>
      <c r="M2567" s="25"/>
      <c r="N2567" s="25"/>
      <c r="O2567" s="25"/>
    </row>
    <row r="2568" customFormat="false" ht="15" hidden="false" customHeight="false" outlineLevel="0" collapsed="false">
      <c r="B2568" s="29" t="str">
        <f aca="false">Cab_Adr1</f>
        <v>141 rue Charles de Gaulle</v>
      </c>
      <c r="C2568" s="29"/>
      <c r="D2568" s="10"/>
      <c r="E2568" s="10"/>
      <c r="F2568" s="10"/>
      <c r="J2568" s="25" t="s">
        <v>145</v>
      </c>
      <c r="K2568" s="25" t="str">
        <f aca="false">DAY(Date_Effet)&amp;IF(DAY(Date_Effet)=1,"er","")&amp;" "&amp;INDEX(Liste_Mois,MONTH(Date_Effet))&amp;" "&amp;YEAR(Date_Effet)</f>
        <v>1er janvier 2027</v>
      </c>
      <c r="L2568" s="25"/>
      <c r="M2568" s="25"/>
      <c r="N2568" s="25"/>
      <c r="O2568" s="25"/>
    </row>
    <row r="2569" customFormat="false" ht="15" hidden="false" customHeight="false" outlineLevel="0" collapsed="false">
      <c r="B2569" s="29" t="str">
        <f aca="false">Cab_CPVille</f>
        <v>95130 LE PLESSIS-BOUCHARD</v>
      </c>
      <c r="C2569" s="29"/>
      <c r="D2569" s="10"/>
      <c r="E2569" s="10"/>
      <c r="F2569" s="10"/>
      <c r="J2569" s="25" t="s">
        <v>146</v>
      </c>
      <c r="K2569" s="25" t="str">
        <f aca="false">IF(SUM($K$2593:$K$2596)=0,"",FIXED((SUM($L$2593:$L$2596)/SUM($K$2593:$K$2596)-1)*100,1)&amp;" %")</f>
        <v/>
      </c>
      <c r="L2569" s="25"/>
      <c r="M2569" s="25"/>
      <c r="N2569" s="25"/>
      <c r="O2569" s="25"/>
    </row>
    <row r="2570" customFormat="false" ht="15" hidden="false" customHeight="false" outlineLevel="0" collapsed="false">
      <c r="B2570" s="29" t="str">
        <f aca="false">Cab_Contact</f>
        <v>Tél. 01 34 14 53 45  ·  altho@altho-experts.com  ·  altho-experts.com</v>
      </c>
      <c r="C2570" s="29"/>
      <c r="D2570" s="10"/>
      <c r="E2570" s="10"/>
      <c r="F2570" s="10"/>
      <c r="J2570" s="25"/>
      <c r="K2570" s="25"/>
      <c r="L2570" s="25"/>
      <c r="M2570" s="25"/>
      <c r="N2570" s="25"/>
      <c r="O2570" s="25"/>
    </row>
    <row r="2571" customFormat="false" ht="6" hidden="false" customHeight="true" outlineLevel="0" collapsed="false">
      <c r="B2571" s="32"/>
      <c r="C2571" s="32"/>
      <c r="D2571" s="32"/>
      <c r="E2571" s="32"/>
      <c r="F2571" s="32"/>
      <c r="J2571" s="25"/>
      <c r="K2571" s="25"/>
      <c r="L2571" s="25"/>
      <c r="M2571" s="25"/>
      <c r="N2571" s="25"/>
      <c r="O2571" s="25"/>
    </row>
    <row r="2572" customFormat="false" ht="13.5" hidden="false" customHeight="true" outlineLevel="0" collapsed="false">
      <c r="B2572" s="10"/>
      <c r="C2572" s="10"/>
      <c r="D2572" s="10"/>
      <c r="E2572" s="10"/>
      <c r="F2572" s="10"/>
      <c r="J2572" s="25"/>
      <c r="K2572" s="25"/>
      <c r="L2572" s="25"/>
      <c r="M2572" s="25"/>
      <c r="N2572" s="25"/>
      <c r="O2572" s="25"/>
    </row>
    <row r="2573" customFormat="false" ht="13.5" hidden="false" customHeight="true" outlineLevel="0" collapsed="false">
      <c r="B2573" s="10"/>
      <c r="C2573" s="10"/>
      <c r="D2573" s="10"/>
      <c r="E2573" s="10"/>
      <c r="F2573" s="10"/>
      <c r="J2573" s="25"/>
      <c r="K2573" s="25"/>
      <c r="L2573" s="25"/>
      <c r="M2573" s="25"/>
      <c r="N2573" s="25"/>
      <c r="O2573" s="25"/>
    </row>
    <row r="2574" customFormat="false" ht="13.5" hidden="false" customHeight="true" outlineLevel="0" collapsed="false">
      <c r="B2574" s="10"/>
      <c r="C2574" s="10"/>
      <c r="D2574" s="10"/>
      <c r="E2574" s="10"/>
      <c r="F2574" s="10"/>
      <c r="J2574" s="25"/>
      <c r="K2574" s="25"/>
      <c r="L2574" s="25"/>
      <c r="M2574" s="25"/>
      <c r="N2574" s="25"/>
      <c r="O2574" s="25"/>
    </row>
    <row r="2575" customFormat="false" ht="15" hidden="false" customHeight="true" outlineLevel="0" collapsed="false">
      <c r="B2575" s="10"/>
      <c r="C2575" s="10"/>
      <c r="D2575" s="34" t="str">
        <f aca="false">IF($K$2566=0,"",INDEX(Clients!$E$2:$E$501,$K$2566)&amp;"")</f>
        <v/>
      </c>
      <c r="E2575" s="34"/>
      <c r="F2575" s="34"/>
      <c r="J2575" s="25"/>
      <c r="K2575" s="25"/>
      <c r="L2575" s="25"/>
      <c r="M2575" s="25"/>
      <c r="N2575" s="25"/>
      <c r="O2575" s="25"/>
    </row>
    <row r="2576" customFormat="false" ht="15" hidden="false" customHeight="true" outlineLevel="0" collapsed="false">
      <c r="B2576" s="10"/>
      <c r="C2576" s="10"/>
      <c r="D2576" s="35" t="str">
        <f aca="false">IF(IF($K$2566=0,"",INDEX(Clients!$D$2:$D$501,$K$2566)&amp;"")="","","À l'attention de "&amp;TRIM(IF($K$2566=0,"",INDEX(Clients!$B$2:$B$501,$K$2566)&amp;"")&amp;" "&amp;IF($K$2566=0,"",INDEX(Clients!$C$2:$C$501,$K$2566)&amp;"")&amp;" "&amp;IF($K$2566=0,"",INDEX(Clients!$D$2:$D$501,$K$2566)&amp;"")))</f>
        <v/>
      </c>
      <c r="E2576" s="35"/>
      <c r="F2576" s="35"/>
      <c r="J2576" s="25"/>
      <c r="K2576" s="25"/>
      <c r="L2576" s="25"/>
      <c r="M2576" s="25"/>
      <c r="N2576" s="25"/>
      <c r="O2576" s="25"/>
    </row>
    <row r="2577" customFormat="false" ht="15" hidden="false" customHeight="true" outlineLevel="0" collapsed="false">
      <c r="B2577" s="10"/>
      <c r="C2577" s="10"/>
      <c r="D2577" s="35" t="str">
        <f aca="false">IF($K$2566=0,"",INDEX(Clients!$F$2:$F$501,$K$2566)&amp;"")</f>
        <v/>
      </c>
      <c r="E2577" s="35"/>
      <c r="F2577" s="35"/>
      <c r="J2577" s="25"/>
      <c r="K2577" s="25"/>
      <c r="L2577" s="25"/>
      <c r="M2577" s="25"/>
      <c r="N2577" s="25"/>
      <c r="O2577" s="25"/>
    </row>
    <row r="2578" customFormat="false" ht="15" hidden="false" customHeight="true" outlineLevel="0" collapsed="false">
      <c r="B2578" s="10"/>
      <c r="C2578" s="10"/>
      <c r="D2578" s="35" t="str">
        <f aca="false">IF(IF($K$2566=0,"",INDEX(Clients!$G$2:$G$501,$K$2566)&amp;"")="",TRIM(IF($K$2566=0,"",INDEX(Clients!$H$2:$H$501,$K$2566)&amp;"")&amp;" "&amp;UPPER(IF($K$2566=0,"",INDEX(Clients!$I$2:$I$501,$K$2566)&amp;""))),IF($K$2566=0,"",INDEX(Clients!$G$2:$G$501,$K$2566)&amp;""))</f>
        <v/>
      </c>
      <c r="E2578" s="35"/>
      <c r="F2578" s="35"/>
      <c r="J2578" s="25"/>
      <c r="K2578" s="25"/>
      <c r="L2578" s="25"/>
      <c r="M2578" s="25"/>
      <c r="N2578" s="25"/>
      <c r="O2578" s="25"/>
    </row>
    <row r="2579" customFormat="false" ht="15" hidden="false" customHeight="true" outlineLevel="0" collapsed="false">
      <c r="B2579" s="10"/>
      <c r="C2579" s="10"/>
      <c r="D2579" s="35" t="str">
        <f aca="false">IF(IF($K$2566=0,"",INDEX(Clients!$G$2:$G$501,$K$2566)&amp;"")="","",TRIM(IF($K$2566=0,"",INDEX(Clients!$H$2:$H$501,$K$2566)&amp;"")&amp;" "&amp;UPPER(IF($K$2566=0,"",INDEX(Clients!$I$2:$I$501,$K$2566)&amp;""))))</f>
        <v/>
      </c>
      <c r="E2579" s="35"/>
      <c r="F2579" s="35"/>
      <c r="J2579" s="25"/>
      <c r="K2579" s="25"/>
      <c r="L2579" s="25"/>
      <c r="M2579" s="25"/>
      <c r="N2579" s="25"/>
      <c r="O2579" s="25"/>
    </row>
    <row r="2580" customFormat="false" ht="25.5" hidden="false" customHeight="true" outlineLevel="0" collapsed="false">
      <c r="B2580" s="10"/>
      <c r="C2580" s="10"/>
      <c r="D2580" s="10"/>
      <c r="E2580" s="10"/>
      <c r="F2580" s="10"/>
      <c r="J2580" s="25"/>
      <c r="K2580" s="25"/>
      <c r="L2580" s="25"/>
      <c r="M2580" s="25"/>
      <c r="N2580" s="25"/>
      <c r="O2580" s="25"/>
    </row>
    <row r="2581" customFormat="false" ht="15" hidden="false" customHeight="false" outlineLevel="0" collapsed="false">
      <c r="B2581" s="10"/>
      <c r="C2581" s="10"/>
      <c r="D2581" s="36" t="str">
        <f aca="false">Cab_Ville&amp;", le "&amp;DAY(Date_Courrier)&amp;IF(DAY(Date_Courrier)=1,"er","")&amp;" "&amp;INDEX(Liste_Mois,MONTH(Date_Courrier))&amp;" "&amp;YEAR(Date_Courrier)</f>
        <v>Le Plessis-Bouchard, le 22 septembre 2026</v>
      </c>
      <c r="E2581" s="36"/>
      <c r="F2581" s="36"/>
      <c r="J2581" s="25"/>
      <c r="K2581" s="25"/>
      <c r="L2581" s="25"/>
      <c r="M2581" s="25"/>
      <c r="N2581" s="25"/>
      <c r="O2581" s="25"/>
    </row>
    <row r="2582" customFormat="false" ht="19.5" hidden="false" customHeight="true" outlineLevel="0" collapsed="false">
      <c r="B2582" s="10"/>
      <c r="C2582" s="10"/>
      <c r="D2582" s="10"/>
      <c r="E2582" s="10"/>
      <c r="F2582" s="10"/>
      <c r="J2582" s="25"/>
      <c r="K2582" s="25"/>
      <c r="L2582" s="25"/>
      <c r="M2582" s="25"/>
      <c r="N2582" s="25"/>
      <c r="O2582" s="25"/>
    </row>
    <row r="2583" customFormat="false" ht="15" hidden="false" customHeight="false" outlineLevel="0" collapsed="false">
      <c r="B2583" s="34" t="str">
        <f aca="false">SUBSTITUTE(SUBSTITUTE(SUBSTITUTE(SUBSTITUTE(SUBSTITUTE(Txt_Objet,"{cabinet}",Cab_Nom),"{societe}",IF($K$2566=0,"",INDEX(Clients!$E$2:$E$501,$K$2566)&amp;"")),"{date_effet}",$K$2568),"{hausse}",$K$2569),"{civilite}",$K$2567)</f>
        <v>Objet : révision de nos honoraires au 1er janvier 2027</v>
      </c>
      <c r="C2583" s="34"/>
      <c r="D2583" s="34"/>
      <c r="E2583" s="34"/>
      <c r="F2583" s="34"/>
      <c r="J2583" s="25"/>
      <c r="K2583" s="25"/>
      <c r="L2583" s="25"/>
      <c r="M2583" s="25"/>
      <c r="N2583" s="25"/>
      <c r="O2583" s="25"/>
    </row>
    <row r="2584" customFormat="false" ht="13.5" hidden="false" customHeight="true" outlineLevel="0" collapsed="false">
      <c r="B2584" s="10"/>
      <c r="C2584" s="10"/>
      <c r="D2584" s="10"/>
      <c r="E2584" s="10"/>
      <c r="F2584" s="10"/>
      <c r="J2584" s="25"/>
      <c r="K2584" s="25"/>
      <c r="L2584" s="25"/>
      <c r="M2584" s="25"/>
      <c r="N2584" s="25"/>
      <c r="O2584" s="25"/>
    </row>
    <row r="2585" customFormat="false" ht="15" hidden="false" customHeight="false" outlineLevel="0" collapsed="false">
      <c r="B2585" s="10" t="str">
        <f aca="false">$K$2567&amp;","</f>
        <v>Madame, Monsieur,</v>
      </c>
      <c r="C2585" s="10"/>
      <c r="D2585" s="10"/>
      <c r="E2585" s="10"/>
      <c r="F2585" s="10"/>
      <c r="J2585" s="25"/>
      <c r="K2585" s="25"/>
      <c r="L2585" s="25"/>
      <c r="M2585" s="25"/>
      <c r="N2585" s="25"/>
      <c r="O2585" s="25"/>
    </row>
    <row r="2586" customFormat="false" ht="6" hidden="false" customHeight="true" outlineLevel="0" collapsed="false">
      <c r="B2586" s="10"/>
      <c r="C2586" s="10"/>
      <c r="D2586" s="10"/>
      <c r="E2586" s="10"/>
      <c r="F2586" s="10"/>
      <c r="J2586" s="25"/>
      <c r="K2586" s="25"/>
      <c r="L2586" s="25"/>
      <c r="M2586" s="25"/>
      <c r="N2586" s="25"/>
      <c r="O2586" s="25"/>
    </row>
    <row r="2587" customFormat="false" ht="36.75" hidden="false" customHeight="true" outlineLevel="0" collapsed="false">
      <c r="B2587" s="37" t="str">
        <f aca="false">SUBSTITUTE(SUBSTITUTE(SUBSTITUTE(SUBSTITUTE(SUBSTITUTE(Txt_P1,"{cabinet}",Cab_Nom),"{societe}",IF($K$2566=0,"",INDEX(Clients!$E$2:$E$501,$K$2566)&amp;"")),"{date_effet}",$K$2568),"{hausse}",$K$2569),"{civilite}",$K$2567)</f>
        <v>Nous tenons tout d'abord à vous remercier pour la confiance que vous accordez à ALTHO EXPERTISE. Comme chaque année, et conformément aux dispositions de votre lettre de mission, nous procédons à la révision de nos honoraires.</v>
      </c>
      <c r="C2587" s="37"/>
      <c r="D2587" s="37"/>
      <c r="E2587" s="37"/>
      <c r="F2587" s="37"/>
      <c r="J2587" s="25"/>
      <c r="K2587" s="25"/>
      <c r="L2587" s="25"/>
      <c r="M2587" s="25"/>
      <c r="N2587" s="25"/>
      <c r="O2587" s="25"/>
    </row>
    <row r="2588" customFormat="false" ht="49.5" hidden="false" customHeight="true" outlineLevel="0" collapsed="false">
      <c r="B2588" s="37" t="str">
        <f aca="false">SUBSTITUTE(SUBSTITUTE(SUBSTITUTE(SUBSTITUTE(SUBSTITUTE(Txt_P2,"{cabinet}",Cab_Nom),"{societe}",IF($K$2566=0,"",INDEX(Clients!$E$2:$E$501,$K$2566)&amp;"")),"{date_effet}",$K$2568),"{hausse}",$K$2569),"{civilite}",$K$2567)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588" s="37"/>
      <c r="D2588" s="37"/>
      <c r="E2588" s="37"/>
      <c r="F2588" s="37"/>
      <c r="J2588" s="25"/>
      <c r="K2588" s="25"/>
      <c r="L2588" s="25"/>
      <c r="M2588" s="25"/>
      <c r="N2588" s="25"/>
      <c r="O2588" s="25"/>
    </row>
    <row r="2589" customFormat="false" ht="63" hidden="false" customHeight="true" outlineLevel="0" collapsed="false">
      <c r="B2589" s="37" t="str">
        <f aca="false">SUBSTITUTE(SUBSTITUTE(SUBSTITUTE(SUBSTITUTE(SUBSTITUTE(Txt_P3,"{cabinet}",Cab_Nom),"{societe}",IF($K$2566=0,"",INDEX(Clients!$E$2:$E$501,$K$2566)&amp;"")),"{date_effet}",$K$2568),"{hausse}",$K$2569),"{civilite}",$K$2567)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589" s="37"/>
      <c r="D2589" s="37"/>
      <c r="E2589" s="37"/>
      <c r="F2589" s="37"/>
      <c r="J2589" s="25"/>
      <c r="K2589" s="25"/>
      <c r="L2589" s="25"/>
      <c r="M2589" s="25"/>
      <c r="N2589" s="25"/>
      <c r="O2589" s="25"/>
    </row>
    <row r="2590" customFormat="false" ht="24" hidden="false" customHeight="true" outlineLevel="0" collapsed="false">
      <c r="B2590" s="37" t="str">
        <f aca="false">SUBSTITUTE(SUBSTITUTE(SUBSTITUTE(SUBSTITUTE(SUBSTITUTE(Txt_P4,"{cabinet}",Cab_Nom),"{societe}",IF($K$2566=0,"",INDEX(Clients!$E$2:$E$501,$K$2566)&amp;"")),"{date_effet}",$K$2568),"{hausse}",$K$2569),"{civilite}",$K$2567)</f>
        <v>À compter du 1er janvier 2027, vos honoraires annuels hors taxes évolueront ainsi (évolution globale : ) :</v>
      </c>
      <c r="C2590" s="37"/>
      <c r="D2590" s="37"/>
      <c r="E2590" s="37"/>
      <c r="F2590" s="37"/>
      <c r="J2590" s="25"/>
      <c r="K2590" s="25"/>
      <c r="L2590" s="25"/>
      <c r="M2590" s="25"/>
      <c r="N2590" s="25"/>
      <c r="O2590" s="25"/>
    </row>
    <row r="2591" customFormat="false" ht="3.75" hidden="false" customHeight="true" outlineLevel="0" collapsed="false">
      <c r="B2591" s="10"/>
      <c r="C2591" s="10"/>
      <c r="D2591" s="10"/>
      <c r="E2591" s="10"/>
      <c r="F2591" s="10"/>
      <c r="J2591" s="25"/>
      <c r="K2591" s="25"/>
      <c r="L2591" s="25"/>
      <c r="M2591" s="25"/>
      <c r="N2591" s="25"/>
      <c r="O2591" s="25"/>
    </row>
    <row r="2592" customFormat="false" ht="18" hidden="false" customHeight="true" outlineLevel="0" collapsed="false">
      <c r="B2592" s="38" t="s">
        <v>148</v>
      </c>
      <c r="C2592" s="39" t="s">
        <v>149</v>
      </c>
      <c r="D2592" s="39" t="s">
        <v>150</v>
      </c>
      <c r="E2592" s="39" t="s">
        <v>151</v>
      </c>
      <c r="F2592" s="39" t="s">
        <v>109</v>
      </c>
      <c r="J2592" s="25" t="s">
        <v>152</v>
      </c>
      <c r="K2592" s="25" t="s">
        <v>153</v>
      </c>
      <c r="L2592" s="25" t="s">
        <v>154</v>
      </c>
      <c r="M2592" s="25" t="s">
        <v>155</v>
      </c>
      <c r="N2592" s="25" t="s">
        <v>156</v>
      </c>
      <c r="O2592" s="25" t="s">
        <v>157</v>
      </c>
    </row>
    <row r="2593" customFormat="false" ht="16.5" hidden="false" customHeight="true" outlineLevel="0" collapsed="false">
      <c r="B2593" s="40" t="str">
        <f aca="false">IFERROR(INDEX($J$2593:$J$2596,MATCH($O2593,$N$2593:$N$2596,0)),"")</f>
        <v/>
      </c>
      <c r="C2593" s="41" t="str">
        <f aca="false">IFERROR(INDEX($K$2593:$K$2596,MATCH($O2593,$N$2593:$N$2596,0)),"")</f>
        <v/>
      </c>
      <c r="D2593" s="42" t="str">
        <f aca="false">IF(OR(E2593="",N(C2593)=0),"",E2593/C2593-1)</f>
        <v/>
      </c>
      <c r="E2593" s="41" t="str">
        <f aca="false">IFERROR(INDEX($L$2593:$L$2596,MATCH($O2593,$N$2593:$N$2596,0)),"")</f>
        <v/>
      </c>
      <c r="F2593" s="41" t="str">
        <f aca="false">IF(E2593="","",E2593-C2593)</f>
        <v/>
      </c>
      <c r="J2593" s="25" t="str">
        <f aca="false">Lib_Compta</f>
        <v>Mission comptable (tenue, révision, bilan, liasse fiscale)</v>
      </c>
      <c r="K2593" s="25" t="n">
        <f aca="false">IF($K$2566=0,0,N(INDEX(Clients!$K$2:$K$501,$K$2566)))</f>
        <v>0</v>
      </c>
      <c r="L2593" s="25" t="n">
        <f aca="false">IF($K$2566=0,0,N(INDEX(Clients!$P$2:$P$501,$K$2566)))</f>
        <v>0</v>
      </c>
      <c r="M2593" s="25" t="n">
        <f aca="false">IF(OR(K2593&lt;&gt;0,L2593&lt;&gt;0),1,0)</f>
        <v>0</v>
      </c>
      <c r="N2593" s="25" t="str">
        <f aca="false">IF(M2593=1,SUM($M$2593:M2593),"")</f>
        <v/>
      </c>
      <c r="O2593" s="25" t="n">
        <v>1</v>
      </c>
    </row>
    <row r="2594" customFormat="false" ht="16.5" hidden="false" customHeight="true" outlineLevel="0" collapsed="false">
      <c r="B2594" s="40" t="str">
        <f aca="false">IFERROR(INDEX($J$2593:$J$2596,MATCH($O2594,$N$2593:$N$2596,0)),"")</f>
        <v/>
      </c>
      <c r="C2594" s="41" t="str">
        <f aca="false">IFERROR(INDEX($K$2593:$K$2596,MATCH($O2594,$N$2593:$N$2596,0)),"")</f>
        <v/>
      </c>
      <c r="D2594" s="42" t="str">
        <f aca="false">IF(OR(E2594="",N(C2594)=0),"",E2594/C2594-1)</f>
        <v/>
      </c>
      <c r="E2594" s="41" t="str">
        <f aca="false">IFERROR(INDEX($L$2593:$L$2596,MATCH($O2594,$N$2593:$N$2596,0)),"")</f>
        <v/>
      </c>
      <c r="F2594" s="41" t="str">
        <f aca="false">IF(E2594="","",E2594-C2594)</f>
        <v/>
      </c>
      <c r="J2594" s="25" t="str">
        <f aca="false">Lib_Paye</f>
        <v>Mission sociale (bulletins de paie, DSN, déclarations sociales)</v>
      </c>
      <c r="K2594" s="25" t="n">
        <f aca="false">IF($K$2566=0,0,N(INDEX(Clients!$L$2:$L$501,$K$2566)))</f>
        <v>0</v>
      </c>
      <c r="L2594" s="25" t="n">
        <f aca="false">IF($K$2566=0,0,N(INDEX(Clients!$Q$2:$Q$501,$K$2566)))</f>
        <v>0</v>
      </c>
      <c r="M2594" s="25" t="n">
        <f aca="false">IF(OR(K2594&lt;&gt;0,L2594&lt;&gt;0),1,0)</f>
        <v>0</v>
      </c>
      <c r="N2594" s="25" t="str">
        <f aca="false">IF(M2594=1,SUM($M$2593:M2594),"")</f>
        <v/>
      </c>
      <c r="O2594" s="25" t="n">
        <v>2</v>
      </c>
    </row>
    <row r="2595" customFormat="false" ht="16.5" hidden="false" customHeight="true" outlineLevel="0" collapsed="false">
      <c r="B2595" s="40" t="str">
        <f aca="false">IFERROR(INDEX($J$2593:$J$2596,MATCH($O2595,$N$2593:$N$2596,0)),"")</f>
        <v/>
      </c>
      <c r="C2595" s="41" t="str">
        <f aca="false">IFERROR(INDEX($K$2593:$K$2596,MATCH($O2595,$N$2593:$N$2596,0)),"")</f>
        <v/>
      </c>
      <c r="D2595" s="42" t="str">
        <f aca="false">IF(OR(E2595="",N(C2595)=0),"",E2595/C2595-1)</f>
        <v/>
      </c>
      <c r="E2595" s="41" t="str">
        <f aca="false">IFERROR(INDEX($L$2593:$L$2596,MATCH($O2595,$N$2593:$N$2596,0)),"")</f>
        <v/>
      </c>
      <c r="F2595" s="41" t="str">
        <f aca="false">IF(E2595="","",E2595-C2595)</f>
        <v/>
      </c>
      <c r="J2595" s="25" t="str">
        <f aca="false">Lib_Jur</f>
        <v>Mission juridique (approbation des comptes, secrétariat juridique)</v>
      </c>
      <c r="K2595" s="25" t="n">
        <f aca="false">IF($K$2566=0,0,N(INDEX(Clients!$M$2:$M$501,$K$2566)))</f>
        <v>0</v>
      </c>
      <c r="L2595" s="25" t="n">
        <f aca="false">IF($K$2566=0,0,N(INDEX(Clients!$R$2:$R$501,$K$2566)))</f>
        <v>0</v>
      </c>
      <c r="M2595" s="25" t="n">
        <f aca="false">IF(OR(K2595&lt;&gt;0,L2595&lt;&gt;0),1,0)</f>
        <v>0</v>
      </c>
      <c r="N2595" s="25" t="str">
        <f aca="false">IF(M2595=1,SUM($M$2593:M2595),"")</f>
        <v/>
      </c>
      <c r="O2595" s="25" t="n">
        <v>3</v>
      </c>
    </row>
    <row r="2596" customFormat="false" ht="16.5" hidden="false" customHeight="true" outlineLevel="0" collapsed="false">
      <c r="B2596" s="40" t="str">
        <f aca="false">IFERROR(INDEX($J$2593:$J$2596,MATCH($O2596,$N$2593:$N$2596,0)),"")</f>
        <v/>
      </c>
      <c r="C2596" s="41" t="str">
        <f aca="false">IFERROR(INDEX($K$2593:$K$2596,MATCH($O2596,$N$2593:$N$2596,0)),"")</f>
        <v/>
      </c>
      <c r="D2596" s="42" t="str">
        <f aca="false">IF(OR(E2596="",N(C2596)=0),"",E2596/C2596-1)</f>
        <v/>
      </c>
      <c r="E2596" s="41" t="str">
        <f aca="false">IFERROR(INDEX($L$2593:$L$2596,MATCH($O2596,$N$2593:$N$2596,0)),"")</f>
        <v/>
      </c>
      <c r="F2596" s="41" t="str">
        <f aca="false">IF(E2596="","",E2596-C2596)</f>
        <v/>
      </c>
      <c r="J2596" s="25" t="str">
        <f aca="false">Lib_PA</f>
        <v>Plateforme agréée – facturation électronique</v>
      </c>
      <c r="K2596" s="25" t="n">
        <f aca="false">IF($K$2566=0,0,N(INDEX(Clients!$N$2:$N$501,$K$2566)))</f>
        <v>0</v>
      </c>
      <c r="L2596" s="25" t="n">
        <f aca="false">IF($K$2566=0,0,N(INDEX(Clients!$S$2:$S$501,$K$2566)))</f>
        <v>0</v>
      </c>
      <c r="M2596" s="25" t="n">
        <f aca="false">IF(OR(K2596&lt;&gt;0,L2596&lt;&gt;0),1,0)</f>
        <v>0</v>
      </c>
      <c r="N2596" s="25" t="str">
        <f aca="false">IF(M2596=1,SUM($M$2593:M2596),"")</f>
        <v/>
      </c>
      <c r="O2596" s="25" t="n">
        <v>4</v>
      </c>
    </row>
    <row r="2597" customFormat="false" ht="18" hidden="false" customHeight="true" outlineLevel="0" collapsed="false">
      <c r="B2597" s="43" t="s">
        <v>158</v>
      </c>
      <c r="C2597" s="44" t="n">
        <f aca="false">SUM(K2593:K2596)</f>
        <v>0</v>
      </c>
      <c r="D2597" s="45" t="str">
        <f aca="false">IF(N(C2597)=0,"",E2597/C2597-1)</f>
        <v/>
      </c>
      <c r="E2597" s="44" t="n">
        <f aca="false">SUM(L2593:L2596)</f>
        <v>0</v>
      </c>
      <c r="F2597" s="44" t="n">
        <f aca="false">E2597-C2597</f>
        <v>0</v>
      </c>
    </row>
    <row r="2598" customFormat="false" ht="15" hidden="false" customHeight="false" outlineLevel="0" collapsed="false">
      <c r="B2598" s="46" t="str">
        <f aca="false">IF(N(Nb_Mensualites)=0,"","Soit "&amp;FIXED(E2597/Nb_Mensualites,2)&amp;" € HT par échéance ("&amp;Nb_Mensualites&amp;" échéances), "&amp;FIXED(E2597/Nb_Mensualites*(1+Taux_TVA),2)&amp;" € TTC.")</f>
        <v>Soit 0.00 € HT par échéance (12 échéances), 0.00 € TTC.</v>
      </c>
      <c r="C2598" s="46"/>
      <c r="D2598" s="46"/>
      <c r="E2598" s="46"/>
      <c r="F2598" s="46"/>
    </row>
    <row r="2599" customFormat="false" ht="7.5" hidden="false" customHeight="true" outlineLevel="0" collapsed="false">
      <c r="B2599" s="10"/>
      <c r="C2599" s="10"/>
      <c r="D2599" s="10"/>
      <c r="E2599" s="10"/>
      <c r="F2599" s="10"/>
    </row>
    <row r="2600" customFormat="false" ht="36.75" hidden="false" customHeight="true" outlineLevel="0" collapsed="false">
      <c r="B2600" s="37" t="str">
        <f aca="false">SUBSTITUTE(SUBSTITUTE(SUBSTITUTE(SUBSTITUTE(SUBSTITUTE(Txt_P5,"{cabinet}",Cab_Nom),"{societe}",IF($K$2566=0,"",INDEX(Clients!$E$2:$E$501,$K$2566)&amp;"")),"{date_effet}",$K$2568),"{hausse}",$K$2569),"{civilite}",$K$2567)</f>
        <v>Les autres conditions de votre lettre de mission demeurent inchangées. Les nouveaux montants seront appliqués automatiquement sur vos prochaines factures et échéances de prélèvement.</v>
      </c>
      <c r="C2600" s="37"/>
      <c r="D2600" s="37"/>
      <c r="E2600" s="37"/>
      <c r="F2600" s="37"/>
    </row>
    <row r="2601" customFormat="false" ht="36.75" hidden="false" customHeight="true" outlineLevel="0" collapsed="false">
      <c r="B2601" s="37" t="str">
        <f aca="false">SUBSTITUTE(SUBSTITUTE(SUBSTITUTE(SUBSTITUTE(SUBSTITUTE(Txt_P6,"{cabinet}",Cab_Nom),"{societe}",IF($K$2566=0,"",INDEX(Clients!$E$2:$E$501,$K$2566)&amp;"")),"{date_effet}",$K$2568),"{hausse}",$K$2569),"{civilite}",$K$2567)</f>
        <v>Votre interlocuteur habituel reste à votre entière disposition pour répondre à vos questions et faire le point sur l'évolution de vos besoins.</v>
      </c>
      <c r="C2601" s="37"/>
      <c r="D2601" s="37"/>
      <c r="E2601" s="37"/>
      <c r="F2601" s="37"/>
    </row>
    <row r="2602" customFormat="false" ht="24" hidden="false" customHeight="true" outlineLevel="0" collapsed="false">
      <c r="B2602" s="37" t="str">
        <f aca="false">SUBSTITUTE(SUBSTITUTE(SUBSTITUTE(SUBSTITUTE(SUBSTITUTE(Txt_Politesse,"{cabinet}",Cab_Nom),"{societe}",IF($K$2566=0,"",INDEX(Clients!$E$2:$E$501,$K$2566)&amp;"")),"{date_effet}",$K$2568),"{hausse}",$K$2569),"{civilite}",$K$2567)</f>
        <v>Nous vous prions d'agréer, Madame, Monsieur, l'expression de nos salutations distinguées.</v>
      </c>
      <c r="C2602" s="37"/>
      <c r="D2602" s="37"/>
      <c r="E2602" s="37"/>
      <c r="F2602" s="37"/>
    </row>
    <row r="2603" customFormat="false" ht="15" hidden="false" customHeight="false" outlineLevel="0" collapsed="false">
      <c r="B2603" s="10"/>
      <c r="C2603" s="10"/>
      <c r="D2603" s="10"/>
      <c r="E2603" s="10"/>
      <c r="F2603" s="10"/>
    </row>
    <row r="2604" customFormat="false" ht="15" hidden="false" customHeight="false" outlineLevel="0" collapsed="false">
      <c r="B2604" s="10"/>
      <c r="C2604" s="10"/>
      <c r="D2604" s="34" t="str">
        <f aca="false">Signataire</f>
        <v>Prénom NOM</v>
      </c>
      <c r="E2604" s="34"/>
      <c r="F2604" s="34"/>
    </row>
    <row r="2605" customFormat="false" ht="15" hidden="false" customHeight="false" outlineLevel="0" collapsed="false">
      <c r="B2605" s="10"/>
      <c r="C2605" s="10"/>
      <c r="D2605" s="47" t="str">
        <f aca="false">Signataire_Titre</f>
        <v>Expert-comptable associé</v>
      </c>
      <c r="E2605" s="47"/>
      <c r="F2605" s="47"/>
    </row>
    <row r="2606" customFormat="false" ht="15.75" hidden="false" customHeight="true" outlineLevel="0" collapsed="false">
      <c r="B2606" s="10"/>
      <c r="C2606" s="10"/>
      <c r="D2606" s="10"/>
      <c r="E2606" s="10"/>
      <c r="F2606" s="10"/>
    </row>
    <row r="2607" customFormat="false" ht="15.75" hidden="false" customHeight="true" outlineLevel="0" collapsed="false">
      <c r="B2607" s="10"/>
      <c r="C2607" s="10"/>
      <c r="D2607" s="10"/>
      <c r="E2607" s="10"/>
      <c r="F2607" s="10"/>
    </row>
    <row r="2608" customFormat="false" ht="15.75" hidden="false" customHeight="true" outlineLevel="0" collapsed="false">
      <c r="B2608" s="10"/>
      <c r="C2608" s="10"/>
      <c r="D2608" s="10"/>
      <c r="E2608" s="10"/>
      <c r="F2608" s="10"/>
    </row>
    <row r="2609" customFormat="false" ht="15.75" hidden="false" customHeight="true" outlineLevel="0" collapsed="false">
      <c r="B2609" s="10"/>
      <c r="C2609" s="10"/>
      <c r="D2609" s="10"/>
      <c r="E2609" s="10"/>
      <c r="F2609" s="10"/>
    </row>
    <row r="2610" customFormat="false" ht="24" hidden="false" customHeight="true" outlineLevel="0" collapsed="false">
      <c r="B2610" s="48" t="str">
        <f aca="false">Cab_Mentions</f>
        <v>ALTHO EXPERTISE · SAS au capital de 10 000 € · RCS Pontoise 919 706 325 · TVA FR62919706325 · Société d'expertise comptable inscrite au Tableau de l'Ordre des experts-comptables de Paris Île-de-France</v>
      </c>
      <c r="C2610" s="48"/>
      <c r="D2610" s="48"/>
      <c r="E2610" s="48"/>
      <c r="F2610" s="48"/>
    </row>
    <row r="2611" customFormat="false" ht="15" hidden="false" customHeight="false" outlineLevel="0" collapsed="false">
      <c r="B2611" s="10"/>
      <c r="C2611" s="10"/>
      <c r="D2611" s="10"/>
      <c r="E2611" s="10"/>
      <c r="F2611" s="10"/>
      <c r="J2611" s="25" t="s">
        <v>142</v>
      </c>
      <c r="K2611" s="25" t="n">
        <f aca="false">IFERROR(MATCH(59,Clients!$Z$2:$Z$501,0),0)</f>
        <v>0</v>
      </c>
      <c r="L2611" s="25"/>
      <c r="M2611" s="25"/>
      <c r="N2611" s="25"/>
      <c r="O2611" s="25"/>
    </row>
    <row r="2612" customFormat="false" ht="21.75" hidden="false" customHeight="true" outlineLevel="0" collapsed="false">
      <c r="B2612" s="26" t="str">
        <f aca="false">Cab_Nom</f>
        <v>ALTHO EXPERTISE</v>
      </c>
      <c r="C2612" s="26"/>
      <c r="D2612" s="10"/>
      <c r="E2612" s="27" t="str">
        <f aca="false">IF($K$2611=0,"","Réf. client : "&amp;INDEX(Clients!$A$2:$A$501,$K$2611))</f>
        <v/>
      </c>
      <c r="F2612" s="27"/>
      <c r="J2612" s="25" t="s">
        <v>144</v>
      </c>
      <c r="K2612" s="25" t="str">
        <f aca="false">IF(IF($K$2611=0,"",INDEX(Clients!$B$2:$B$501,$K$2611)&amp;"")="Mme","Madame",IF(IF($K$2611=0,"",INDEX(Clients!$B$2:$B$501,$K$2611)&amp;"")="M.","Monsieur","Madame, Monsieur"))</f>
        <v>Madame, Monsieur</v>
      </c>
      <c r="L2612" s="25"/>
      <c r="M2612" s="25"/>
      <c r="N2612" s="25"/>
      <c r="O2612" s="25"/>
    </row>
    <row r="2613" customFormat="false" ht="15" hidden="false" customHeight="false" outlineLevel="0" collapsed="false">
      <c r="B2613" s="29" t="str">
        <f aca="false">Cab_Adr1</f>
        <v>141 rue Charles de Gaulle</v>
      </c>
      <c r="C2613" s="29"/>
      <c r="D2613" s="10"/>
      <c r="E2613" s="10"/>
      <c r="F2613" s="10"/>
      <c r="J2613" s="25" t="s">
        <v>145</v>
      </c>
      <c r="K2613" s="25" t="str">
        <f aca="false">DAY(Date_Effet)&amp;IF(DAY(Date_Effet)=1,"er","")&amp;" "&amp;INDEX(Liste_Mois,MONTH(Date_Effet))&amp;" "&amp;YEAR(Date_Effet)</f>
        <v>1er janvier 2027</v>
      </c>
      <c r="L2613" s="25"/>
      <c r="M2613" s="25"/>
      <c r="N2613" s="25"/>
      <c r="O2613" s="25"/>
    </row>
    <row r="2614" customFormat="false" ht="15" hidden="false" customHeight="false" outlineLevel="0" collapsed="false">
      <c r="B2614" s="29" t="str">
        <f aca="false">Cab_CPVille</f>
        <v>95130 LE PLESSIS-BOUCHARD</v>
      </c>
      <c r="C2614" s="29"/>
      <c r="D2614" s="10"/>
      <c r="E2614" s="10"/>
      <c r="F2614" s="10"/>
      <c r="J2614" s="25" t="s">
        <v>146</v>
      </c>
      <c r="K2614" s="25" t="str">
        <f aca="false">IF(SUM($K$2638:$K$2641)=0,"",FIXED((SUM($L$2638:$L$2641)/SUM($K$2638:$K$2641)-1)*100,1)&amp;" %")</f>
        <v/>
      </c>
      <c r="L2614" s="25"/>
      <c r="M2614" s="25"/>
      <c r="N2614" s="25"/>
      <c r="O2614" s="25"/>
    </row>
    <row r="2615" customFormat="false" ht="15" hidden="false" customHeight="false" outlineLevel="0" collapsed="false">
      <c r="B2615" s="29" t="str">
        <f aca="false">Cab_Contact</f>
        <v>Tél. 01 34 14 53 45  ·  altho@altho-experts.com  ·  altho-experts.com</v>
      </c>
      <c r="C2615" s="29"/>
      <c r="D2615" s="10"/>
      <c r="E2615" s="10"/>
      <c r="F2615" s="10"/>
      <c r="J2615" s="25"/>
      <c r="K2615" s="25"/>
      <c r="L2615" s="25"/>
      <c r="M2615" s="25"/>
      <c r="N2615" s="25"/>
      <c r="O2615" s="25"/>
    </row>
    <row r="2616" customFormat="false" ht="6" hidden="false" customHeight="true" outlineLevel="0" collapsed="false">
      <c r="B2616" s="32"/>
      <c r="C2616" s="32"/>
      <c r="D2616" s="32"/>
      <c r="E2616" s="32"/>
      <c r="F2616" s="32"/>
      <c r="J2616" s="25"/>
      <c r="K2616" s="25"/>
      <c r="L2616" s="25"/>
      <c r="M2616" s="25"/>
      <c r="N2616" s="25"/>
      <c r="O2616" s="25"/>
    </row>
    <row r="2617" customFormat="false" ht="13.5" hidden="false" customHeight="true" outlineLevel="0" collapsed="false">
      <c r="B2617" s="10"/>
      <c r="C2617" s="10"/>
      <c r="D2617" s="10"/>
      <c r="E2617" s="10"/>
      <c r="F2617" s="10"/>
      <c r="J2617" s="25"/>
      <c r="K2617" s="25"/>
      <c r="L2617" s="25"/>
      <c r="M2617" s="25"/>
      <c r="N2617" s="25"/>
      <c r="O2617" s="25"/>
    </row>
    <row r="2618" customFormat="false" ht="13.5" hidden="false" customHeight="true" outlineLevel="0" collapsed="false">
      <c r="B2618" s="10"/>
      <c r="C2618" s="10"/>
      <c r="D2618" s="10"/>
      <c r="E2618" s="10"/>
      <c r="F2618" s="10"/>
      <c r="J2618" s="25"/>
      <c r="K2618" s="25"/>
      <c r="L2618" s="25"/>
      <c r="M2618" s="25"/>
      <c r="N2618" s="25"/>
      <c r="O2618" s="25"/>
    </row>
    <row r="2619" customFormat="false" ht="13.5" hidden="false" customHeight="true" outlineLevel="0" collapsed="false">
      <c r="B2619" s="10"/>
      <c r="C2619" s="10"/>
      <c r="D2619" s="10"/>
      <c r="E2619" s="10"/>
      <c r="F2619" s="10"/>
      <c r="J2619" s="25"/>
      <c r="K2619" s="25"/>
      <c r="L2619" s="25"/>
      <c r="M2619" s="25"/>
      <c r="N2619" s="25"/>
      <c r="O2619" s="25"/>
    </row>
    <row r="2620" customFormat="false" ht="15" hidden="false" customHeight="true" outlineLevel="0" collapsed="false">
      <c r="B2620" s="10"/>
      <c r="C2620" s="10"/>
      <c r="D2620" s="34" t="str">
        <f aca="false">IF($K$2611=0,"",INDEX(Clients!$E$2:$E$501,$K$2611)&amp;"")</f>
        <v/>
      </c>
      <c r="E2620" s="34"/>
      <c r="F2620" s="34"/>
      <c r="J2620" s="25"/>
      <c r="K2620" s="25"/>
      <c r="L2620" s="25"/>
      <c r="M2620" s="25"/>
      <c r="N2620" s="25"/>
      <c r="O2620" s="25"/>
    </row>
    <row r="2621" customFormat="false" ht="15" hidden="false" customHeight="true" outlineLevel="0" collapsed="false">
      <c r="B2621" s="10"/>
      <c r="C2621" s="10"/>
      <c r="D2621" s="35" t="str">
        <f aca="false">IF(IF($K$2611=0,"",INDEX(Clients!$D$2:$D$501,$K$2611)&amp;"")="","","À l'attention de "&amp;TRIM(IF($K$2611=0,"",INDEX(Clients!$B$2:$B$501,$K$2611)&amp;"")&amp;" "&amp;IF($K$2611=0,"",INDEX(Clients!$C$2:$C$501,$K$2611)&amp;"")&amp;" "&amp;IF($K$2611=0,"",INDEX(Clients!$D$2:$D$501,$K$2611)&amp;"")))</f>
        <v/>
      </c>
      <c r="E2621" s="35"/>
      <c r="F2621" s="35"/>
      <c r="J2621" s="25"/>
      <c r="K2621" s="25"/>
      <c r="L2621" s="25"/>
      <c r="M2621" s="25"/>
      <c r="N2621" s="25"/>
      <c r="O2621" s="25"/>
    </row>
    <row r="2622" customFormat="false" ht="15" hidden="false" customHeight="true" outlineLevel="0" collapsed="false">
      <c r="B2622" s="10"/>
      <c r="C2622" s="10"/>
      <c r="D2622" s="35" t="str">
        <f aca="false">IF($K$2611=0,"",INDEX(Clients!$F$2:$F$501,$K$2611)&amp;"")</f>
        <v/>
      </c>
      <c r="E2622" s="35"/>
      <c r="F2622" s="35"/>
      <c r="J2622" s="25"/>
      <c r="K2622" s="25"/>
      <c r="L2622" s="25"/>
      <c r="M2622" s="25"/>
      <c r="N2622" s="25"/>
      <c r="O2622" s="25"/>
    </row>
    <row r="2623" customFormat="false" ht="15" hidden="false" customHeight="true" outlineLevel="0" collapsed="false">
      <c r="B2623" s="10"/>
      <c r="C2623" s="10"/>
      <c r="D2623" s="35" t="str">
        <f aca="false">IF(IF($K$2611=0,"",INDEX(Clients!$G$2:$G$501,$K$2611)&amp;"")="",TRIM(IF($K$2611=0,"",INDEX(Clients!$H$2:$H$501,$K$2611)&amp;"")&amp;" "&amp;UPPER(IF($K$2611=0,"",INDEX(Clients!$I$2:$I$501,$K$2611)&amp;""))),IF($K$2611=0,"",INDEX(Clients!$G$2:$G$501,$K$2611)&amp;""))</f>
        <v/>
      </c>
      <c r="E2623" s="35"/>
      <c r="F2623" s="35"/>
      <c r="J2623" s="25"/>
      <c r="K2623" s="25"/>
      <c r="L2623" s="25"/>
      <c r="M2623" s="25"/>
      <c r="N2623" s="25"/>
      <c r="O2623" s="25"/>
    </row>
    <row r="2624" customFormat="false" ht="15" hidden="false" customHeight="true" outlineLevel="0" collapsed="false">
      <c r="B2624" s="10"/>
      <c r="C2624" s="10"/>
      <c r="D2624" s="35" t="str">
        <f aca="false">IF(IF($K$2611=0,"",INDEX(Clients!$G$2:$G$501,$K$2611)&amp;"")="","",TRIM(IF($K$2611=0,"",INDEX(Clients!$H$2:$H$501,$K$2611)&amp;"")&amp;" "&amp;UPPER(IF($K$2611=0,"",INDEX(Clients!$I$2:$I$501,$K$2611)&amp;""))))</f>
        <v/>
      </c>
      <c r="E2624" s="35"/>
      <c r="F2624" s="35"/>
      <c r="J2624" s="25"/>
      <c r="K2624" s="25"/>
      <c r="L2624" s="25"/>
      <c r="M2624" s="25"/>
      <c r="N2624" s="25"/>
      <c r="O2624" s="25"/>
    </row>
    <row r="2625" customFormat="false" ht="25.5" hidden="false" customHeight="true" outlineLevel="0" collapsed="false">
      <c r="B2625" s="10"/>
      <c r="C2625" s="10"/>
      <c r="D2625" s="10"/>
      <c r="E2625" s="10"/>
      <c r="F2625" s="10"/>
      <c r="J2625" s="25"/>
      <c r="K2625" s="25"/>
      <c r="L2625" s="25"/>
      <c r="M2625" s="25"/>
      <c r="N2625" s="25"/>
      <c r="O2625" s="25"/>
    </row>
    <row r="2626" customFormat="false" ht="15" hidden="false" customHeight="false" outlineLevel="0" collapsed="false">
      <c r="B2626" s="10"/>
      <c r="C2626" s="10"/>
      <c r="D2626" s="36" t="str">
        <f aca="false">Cab_Ville&amp;", le "&amp;DAY(Date_Courrier)&amp;IF(DAY(Date_Courrier)=1,"er","")&amp;" "&amp;INDEX(Liste_Mois,MONTH(Date_Courrier))&amp;" "&amp;YEAR(Date_Courrier)</f>
        <v>Le Plessis-Bouchard, le 22 septembre 2026</v>
      </c>
      <c r="E2626" s="36"/>
      <c r="F2626" s="36"/>
      <c r="J2626" s="25"/>
      <c r="K2626" s="25"/>
      <c r="L2626" s="25"/>
      <c r="M2626" s="25"/>
      <c r="N2626" s="25"/>
      <c r="O2626" s="25"/>
    </row>
    <row r="2627" customFormat="false" ht="19.5" hidden="false" customHeight="true" outlineLevel="0" collapsed="false">
      <c r="B2627" s="10"/>
      <c r="C2627" s="10"/>
      <c r="D2627" s="10"/>
      <c r="E2627" s="10"/>
      <c r="F2627" s="10"/>
      <c r="J2627" s="25"/>
      <c r="K2627" s="25"/>
      <c r="L2627" s="25"/>
      <c r="M2627" s="25"/>
      <c r="N2627" s="25"/>
      <c r="O2627" s="25"/>
    </row>
    <row r="2628" customFormat="false" ht="15" hidden="false" customHeight="false" outlineLevel="0" collapsed="false">
      <c r="B2628" s="34" t="str">
        <f aca="false">SUBSTITUTE(SUBSTITUTE(SUBSTITUTE(SUBSTITUTE(SUBSTITUTE(Txt_Objet,"{cabinet}",Cab_Nom),"{societe}",IF($K$2611=0,"",INDEX(Clients!$E$2:$E$501,$K$2611)&amp;"")),"{date_effet}",$K$2613),"{hausse}",$K$2614),"{civilite}",$K$2612)</f>
        <v>Objet : révision de nos honoraires au 1er janvier 2027</v>
      </c>
      <c r="C2628" s="34"/>
      <c r="D2628" s="34"/>
      <c r="E2628" s="34"/>
      <c r="F2628" s="34"/>
      <c r="J2628" s="25"/>
      <c r="K2628" s="25"/>
      <c r="L2628" s="25"/>
      <c r="M2628" s="25"/>
      <c r="N2628" s="25"/>
      <c r="O2628" s="25"/>
    </row>
    <row r="2629" customFormat="false" ht="13.5" hidden="false" customHeight="true" outlineLevel="0" collapsed="false">
      <c r="B2629" s="10"/>
      <c r="C2629" s="10"/>
      <c r="D2629" s="10"/>
      <c r="E2629" s="10"/>
      <c r="F2629" s="10"/>
      <c r="J2629" s="25"/>
      <c r="K2629" s="25"/>
      <c r="L2629" s="25"/>
      <c r="M2629" s="25"/>
      <c r="N2629" s="25"/>
      <c r="O2629" s="25"/>
    </row>
    <row r="2630" customFormat="false" ht="15" hidden="false" customHeight="false" outlineLevel="0" collapsed="false">
      <c r="B2630" s="10" t="str">
        <f aca="false">$K$2612&amp;","</f>
        <v>Madame, Monsieur,</v>
      </c>
      <c r="C2630" s="10"/>
      <c r="D2630" s="10"/>
      <c r="E2630" s="10"/>
      <c r="F2630" s="10"/>
      <c r="J2630" s="25"/>
      <c r="K2630" s="25"/>
      <c r="L2630" s="25"/>
      <c r="M2630" s="25"/>
      <c r="N2630" s="25"/>
      <c r="O2630" s="25"/>
    </row>
    <row r="2631" customFormat="false" ht="6" hidden="false" customHeight="true" outlineLevel="0" collapsed="false">
      <c r="B2631" s="10"/>
      <c r="C2631" s="10"/>
      <c r="D2631" s="10"/>
      <c r="E2631" s="10"/>
      <c r="F2631" s="10"/>
      <c r="J2631" s="25"/>
      <c r="K2631" s="25"/>
      <c r="L2631" s="25"/>
      <c r="M2631" s="25"/>
      <c r="N2631" s="25"/>
      <c r="O2631" s="25"/>
    </row>
    <row r="2632" customFormat="false" ht="36.75" hidden="false" customHeight="true" outlineLevel="0" collapsed="false">
      <c r="B2632" s="37" t="str">
        <f aca="false">SUBSTITUTE(SUBSTITUTE(SUBSTITUTE(SUBSTITUTE(SUBSTITUTE(Txt_P1,"{cabinet}",Cab_Nom),"{societe}",IF($K$2611=0,"",INDEX(Clients!$E$2:$E$501,$K$2611)&amp;"")),"{date_effet}",$K$2613),"{hausse}",$K$2614),"{civilite}",$K$2612)</f>
        <v>Nous tenons tout d'abord à vous remercier pour la confiance que vous accordez à ALTHO EXPERTISE. Comme chaque année, et conformément aux dispositions de votre lettre de mission, nous procédons à la révision de nos honoraires.</v>
      </c>
      <c r="C2632" s="37"/>
      <c r="D2632" s="37"/>
      <c r="E2632" s="37"/>
      <c r="F2632" s="37"/>
      <c r="J2632" s="25"/>
      <c r="K2632" s="25"/>
      <c r="L2632" s="25"/>
      <c r="M2632" s="25"/>
      <c r="N2632" s="25"/>
      <c r="O2632" s="25"/>
    </row>
    <row r="2633" customFormat="false" ht="49.5" hidden="false" customHeight="true" outlineLevel="0" collapsed="false">
      <c r="B2633" s="37" t="str">
        <f aca="false">SUBSTITUTE(SUBSTITUTE(SUBSTITUTE(SUBSTITUTE(SUBSTITUTE(Txt_P2,"{cabinet}",Cab_Nom),"{societe}",IF($K$2611=0,"",INDEX(Clients!$E$2:$E$501,$K$2611)&amp;"")),"{date_effet}",$K$2613),"{hausse}",$K$2614),"{civilite}",$K$2612)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633" s="37"/>
      <c r="D2633" s="37"/>
      <c r="E2633" s="37"/>
      <c r="F2633" s="37"/>
      <c r="J2633" s="25"/>
      <c r="K2633" s="25"/>
      <c r="L2633" s="25"/>
      <c r="M2633" s="25"/>
      <c r="N2633" s="25"/>
      <c r="O2633" s="25"/>
    </row>
    <row r="2634" customFormat="false" ht="63" hidden="false" customHeight="true" outlineLevel="0" collapsed="false">
      <c r="B2634" s="37" t="str">
        <f aca="false">SUBSTITUTE(SUBSTITUTE(SUBSTITUTE(SUBSTITUTE(SUBSTITUTE(Txt_P3,"{cabinet}",Cab_Nom),"{societe}",IF($K$2611=0,"",INDEX(Clients!$E$2:$E$501,$K$2611)&amp;"")),"{date_effet}",$K$2613),"{hausse}",$K$2614),"{civilite}",$K$2612)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634" s="37"/>
      <c r="D2634" s="37"/>
      <c r="E2634" s="37"/>
      <c r="F2634" s="37"/>
      <c r="J2634" s="25"/>
      <c r="K2634" s="25"/>
      <c r="L2634" s="25"/>
      <c r="M2634" s="25"/>
      <c r="N2634" s="25"/>
      <c r="O2634" s="25"/>
    </row>
    <row r="2635" customFormat="false" ht="24" hidden="false" customHeight="true" outlineLevel="0" collapsed="false">
      <c r="B2635" s="37" t="str">
        <f aca="false">SUBSTITUTE(SUBSTITUTE(SUBSTITUTE(SUBSTITUTE(SUBSTITUTE(Txt_P4,"{cabinet}",Cab_Nom),"{societe}",IF($K$2611=0,"",INDEX(Clients!$E$2:$E$501,$K$2611)&amp;"")),"{date_effet}",$K$2613),"{hausse}",$K$2614),"{civilite}",$K$2612)</f>
        <v>À compter du 1er janvier 2027, vos honoraires annuels hors taxes évolueront ainsi (évolution globale : ) :</v>
      </c>
      <c r="C2635" s="37"/>
      <c r="D2635" s="37"/>
      <c r="E2635" s="37"/>
      <c r="F2635" s="37"/>
      <c r="J2635" s="25"/>
      <c r="K2635" s="25"/>
      <c r="L2635" s="25"/>
      <c r="M2635" s="25"/>
      <c r="N2635" s="25"/>
      <c r="O2635" s="25"/>
    </row>
    <row r="2636" customFormat="false" ht="3.75" hidden="false" customHeight="true" outlineLevel="0" collapsed="false">
      <c r="B2636" s="10"/>
      <c r="C2636" s="10"/>
      <c r="D2636" s="10"/>
      <c r="E2636" s="10"/>
      <c r="F2636" s="10"/>
      <c r="J2636" s="25"/>
      <c r="K2636" s="25"/>
      <c r="L2636" s="25"/>
      <c r="M2636" s="25"/>
      <c r="N2636" s="25"/>
      <c r="O2636" s="25"/>
    </row>
    <row r="2637" customFormat="false" ht="18" hidden="false" customHeight="true" outlineLevel="0" collapsed="false">
      <c r="B2637" s="38" t="s">
        <v>148</v>
      </c>
      <c r="C2637" s="39" t="s">
        <v>149</v>
      </c>
      <c r="D2637" s="39" t="s">
        <v>150</v>
      </c>
      <c r="E2637" s="39" t="s">
        <v>151</v>
      </c>
      <c r="F2637" s="39" t="s">
        <v>109</v>
      </c>
      <c r="J2637" s="25" t="s">
        <v>152</v>
      </c>
      <c r="K2637" s="25" t="s">
        <v>153</v>
      </c>
      <c r="L2637" s="25" t="s">
        <v>154</v>
      </c>
      <c r="M2637" s="25" t="s">
        <v>155</v>
      </c>
      <c r="N2637" s="25" t="s">
        <v>156</v>
      </c>
      <c r="O2637" s="25" t="s">
        <v>157</v>
      </c>
    </row>
    <row r="2638" customFormat="false" ht="16.5" hidden="false" customHeight="true" outlineLevel="0" collapsed="false">
      <c r="B2638" s="40" t="str">
        <f aca="false">IFERROR(INDEX($J$2638:$J$2641,MATCH($O2638,$N$2638:$N$2641,0)),"")</f>
        <v/>
      </c>
      <c r="C2638" s="41" t="str">
        <f aca="false">IFERROR(INDEX($K$2638:$K$2641,MATCH($O2638,$N$2638:$N$2641,0)),"")</f>
        <v/>
      </c>
      <c r="D2638" s="42" t="str">
        <f aca="false">IF(OR(E2638="",N(C2638)=0),"",E2638/C2638-1)</f>
        <v/>
      </c>
      <c r="E2638" s="41" t="str">
        <f aca="false">IFERROR(INDEX($L$2638:$L$2641,MATCH($O2638,$N$2638:$N$2641,0)),"")</f>
        <v/>
      </c>
      <c r="F2638" s="41" t="str">
        <f aca="false">IF(E2638="","",E2638-C2638)</f>
        <v/>
      </c>
      <c r="J2638" s="25" t="str">
        <f aca="false">Lib_Compta</f>
        <v>Mission comptable (tenue, révision, bilan, liasse fiscale)</v>
      </c>
      <c r="K2638" s="25" t="n">
        <f aca="false">IF($K$2611=0,0,N(INDEX(Clients!$K$2:$K$501,$K$2611)))</f>
        <v>0</v>
      </c>
      <c r="L2638" s="25" t="n">
        <f aca="false">IF($K$2611=0,0,N(INDEX(Clients!$P$2:$P$501,$K$2611)))</f>
        <v>0</v>
      </c>
      <c r="M2638" s="25" t="n">
        <f aca="false">IF(OR(K2638&lt;&gt;0,L2638&lt;&gt;0),1,0)</f>
        <v>0</v>
      </c>
      <c r="N2638" s="25" t="str">
        <f aca="false">IF(M2638=1,SUM($M$2638:M2638),"")</f>
        <v/>
      </c>
      <c r="O2638" s="25" t="n">
        <v>1</v>
      </c>
    </row>
    <row r="2639" customFormat="false" ht="16.5" hidden="false" customHeight="true" outlineLevel="0" collapsed="false">
      <c r="B2639" s="40" t="str">
        <f aca="false">IFERROR(INDEX($J$2638:$J$2641,MATCH($O2639,$N$2638:$N$2641,0)),"")</f>
        <v/>
      </c>
      <c r="C2639" s="41" t="str">
        <f aca="false">IFERROR(INDEX($K$2638:$K$2641,MATCH($O2639,$N$2638:$N$2641,0)),"")</f>
        <v/>
      </c>
      <c r="D2639" s="42" t="str">
        <f aca="false">IF(OR(E2639="",N(C2639)=0),"",E2639/C2639-1)</f>
        <v/>
      </c>
      <c r="E2639" s="41" t="str">
        <f aca="false">IFERROR(INDEX($L$2638:$L$2641,MATCH($O2639,$N$2638:$N$2641,0)),"")</f>
        <v/>
      </c>
      <c r="F2639" s="41" t="str">
        <f aca="false">IF(E2639="","",E2639-C2639)</f>
        <v/>
      </c>
      <c r="J2639" s="25" t="str">
        <f aca="false">Lib_Paye</f>
        <v>Mission sociale (bulletins de paie, DSN, déclarations sociales)</v>
      </c>
      <c r="K2639" s="25" t="n">
        <f aca="false">IF($K$2611=0,0,N(INDEX(Clients!$L$2:$L$501,$K$2611)))</f>
        <v>0</v>
      </c>
      <c r="L2639" s="25" t="n">
        <f aca="false">IF($K$2611=0,0,N(INDEX(Clients!$Q$2:$Q$501,$K$2611)))</f>
        <v>0</v>
      </c>
      <c r="M2639" s="25" t="n">
        <f aca="false">IF(OR(K2639&lt;&gt;0,L2639&lt;&gt;0),1,0)</f>
        <v>0</v>
      </c>
      <c r="N2639" s="25" t="str">
        <f aca="false">IF(M2639=1,SUM($M$2638:M2639),"")</f>
        <v/>
      </c>
      <c r="O2639" s="25" t="n">
        <v>2</v>
      </c>
    </row>
    <row r="2640" customFormat="false" ht="16.5" hidden="false" customHeight="true" outlineLevel="0" collapsed="false">
      <c r="B2640" s="40" t="str">
        <f aca="false">IFERROR(INDEX($J$2638:$J$2641,MATCH($O2640,$N$2638:$N$2641,0)),"")</f>
        <v/>
      </c>
      <c r="C2640" s="41" t="str">
        <f aca="false">IFERROR(INDEX($K$2638:$K$2641,MATCH($O2640,$N$2638:$N$2641,0)),"")</f>
        <v/>
      </c>
      <c r="D2640" s="42" t="str">
        <f aca="false">IF(OR(E2640="",N(C2640)=0),"",E2640/C2640-1)</f>
        <v/>
      </c>
      <c r="E2640" s="41" t="str">
        <f aca="false">IFERROR(INDEX($L$2638:$L$2641,MATCH($O2640,$N$2638:$N$2641,0)),"")</f>
        <v/>
      </c>
      <c r="F2640" s="41" t="str">
        <f aca="false">IF(E2640="","",E2640-C2640)</f>
        <v/>
      </c>
      <c r="J2640" s="25" t="str">
        <f aca="false">Lib_Jur</f>
        <v>Mission juridique (approbation des comptes, secrétariat juridique)</v>
      </c>
      <c r="K2640" s="25" t="n">
        <f aca="false">IF($K$2611=0,0,N(INDEX(Clients!$M$2:$M$501,$K$2611)))</f>
        <v>0</v>
      </c>
      <c r="L2640" s="25" t="n">
        <f aca="false">IF($K$2611=0,0,N(INDEX(Clients!$R$2:$R$501,$K$2611)))</f>
        <v>0</v>
      </c>
      <c r="M2640" s="25" t="n">
        <f aca="false">IF(OR(K2640&lt;&gt;0,L2640&lt;&gt;0),1,0)</f>
        <v>0</v>
      </c>
      <c r="N2640" s="25" t="str">
        <f aca="false">IF(M2640=1,SUM($M$2638:M2640),"")</f>
        <v/>
      </c>
      <c r="O2640" s="25" t="n">
        <v>3</v>
      </c>
    </row>
    <row r="2641" customFormat="false" ht="16.5" hidden="false" customHeight="true" outlineLevel="0" collapsed="false">
      <c r="B2641" s="40" t="str">
        <f aca="false">IFERROR(INDEX($J$2638:$J$2641,MATCH($O2641,$N$2638:$N$2641,0)),"")</f>
        <v/>
      </c>
      <c r="C2641" s="41" t="str">
        <f aca="false">IFERROR(INDEX($K$2638:$K$2641,MATCH($O2641,$N$2638:$N$2641,0)),"")</f>
        <v/>
      </c>
      <c r="D2641" s="42" t="str">
        <f aca="false">IF(OR(E2641="",N(C2641)=0),"",E2641/C2641-1)</f>
        <v/>
      </c>
      <c r="E2641" s="41" t="str">
        <f aca="false">IFERROR(INDEX($L$2638:$L$2641,MATCH($O2641,$N$2638:$N$2641,0)),"")</f>
        <v/>
      </c>
      <c r="F2641" s="41" t="str">
        <f aca="false">IF(E2641="","",E2641-C2641)</f>
        <v/>
      </c>
      <c r="J2641" s="25" t="str">
        <f aca="false">Lib_PA</f>
        <v>Plateforme agréée – facturation électronique</v>
      </c>
      <c r="K2641" s="25" t="n">
        <f aca="false">IF($K$2611=0,0,N(INDEX(Clients!$N$2:$N$501,$K$2611)))</f>
        <v>0</v>
      </c>
      <c r="L2641" s="25" t="n">
        <f aca="false">IF($K$2611=0,0,N(INDEX(Clients!$S$2:$S$501,$K$2611)))</f>
        <v>0</v>
      </c>
      <c r="M2641" s="25" t="n">
        <f aca="false">IF(OR(K2641&lt;&gt;0,L2641&lt;&gt;0),1,0)</f>
        <v>0</v>
      </c>
      <c r="N2641" s="25" t="str">
        <f aca="false">IF(M2641=1,SUM($M$2638:M2641),"")</f>
        <v/>
      </c>
      <c r="O2641" s="25" t="n">
        <v>4</v>
      </c>
    </row>
    <row r="2642" customFormat="false" ht="18" hidden="false" customHeight="true" outlineLevel="0" collapsed="false">
      <c r="B2642" s="43" t="s">
        <v>158</v>
      </c>
      <c r="C2642" s="44" t="n">
        <f aca="false">SUM(K2638:K2641)</f>
        <v>0</v>
      </c>
      <c r="D2642" s="45" t="str">
        <f aca="false">IF(N(C2642)=0,"",E2642/C2642-1)</f>
        <v/>
      </c>
      <c r="E2642" s="44" t="n">
        <f aca="false">SUM(L2638:L2641)</f>
        <v>0</v>
      </c>
      <c r="F2642" s="44" t="n">
        <f aca="false">E2642-C2642</f>
        <v>0</v>
      </c>
    </row>
    <row r="2643" customFormat="false" ht="15" hidden="false" customHeight="false" outlineLevel="0" collapsed="false">
      <c r="B2643" s="46" t="str">
        <f aca="false">IF(N(Nb_Mensualites)=0,"","Soit "&amp;FIXED(E2642/Nb_Mensualites,2)&amp;" € HT par échéance ("&amp;Nb_Mensualites&amp;" échéances), "&amp;FIXED(E2642/Nb_Mensualites*(1+Taux_TVA),2)&amp;" € TTC.")</f>
        <v>Soit 0.00 € HT par échéance (12 échéances), 0.00 € TTC.</v>
      </c>
      <c r="C2643" s="46"/>
      <c r="D2643" s="46"/>
      <c r="E2643" s="46"/>
      <c r="F2643" s="46"/>
    </row>
    <row r="2644" customFormat="false" ht="7.5" hidden="false" customHeight="true" outlineLevel="0" collapsed="false">
      <c r="B2644" s="10"/>
      <c r="C2644" s="10"/>
      <c r="D2644" s="10"/>
      <c r="E2644" s="10"/>
      <c r="F2644" s="10"/>
    </row>
    <row r="2645" customFormat="false" ht="36.75" hidden="false" customHeight="true" outlineLevel="0" collapsed="false">
      <c r="B2645" s="37" t="str">
        <f aca="false">SUBSTITUTE(SUBSTITUTE(SUBSTITUTE(SUBSTITUTE(SUBSTITUTE(Txt_P5,"{cabinet}",Cab_Nom),"{societe}",IF($K$2611=0,"",INDEX(Clients!$E$2:$E$501,$K$2611)&amp;"")),"{date_effet}",$K$2613),"{hausse}",$K$2614),"{civilite}",$K$2612)</f>
        <v>Les autres conditions de votre lettre de mission demeurent inchangées. Les nouveaux montants seront appliqués automatiquement sur vos prochaines factures et échéances de prélèvement.</v>
      </c>
      <c r="C2645" s="37"/>
      <c r="D2645" s="37"/>
      <c r="E2645" s="37"/>
      <c r="F2645" s="37"/>
    </row>
    <row r="2646" customFormat="false" ht="36.75" hidden="false" customHeight="true" outlineLevel="0" collapsed="false">
      <c r="B2646" s="37" t="str">
        <f aca="false">SUBSTITUTE(SUBSTITUTE(SUBSTITUTE(SUBSTITUTE(SUBSTITUTE(Txt_P6,"{cabinet}",Cab_Nom),"{societe}",IF($K$2611=0,"",INDEX(Clients!$E$2:$E$501,$K$2611)&amp;"")),"{date_effet}",$K$2613),"{hausse}",$K$2614),"{civilite}",$K$2612)</f>
        <v>Votre interlocuteur habituel reste à votre entière disposition pour répondre à vos questions et faire le point sur l'évolution de vos besoins.</v>
      </c>
      <c r="C2646" s="37"/>
      <c r="D2646" s="37"/>
      <c r="E2646" s="37"/>
      <c r="F2646" s="37"/>
    </row>
    <row r="2647" customFormat="false" ht="24" hidden="false" customHeight="true" outlineLevel="0" collapsed="false">
      <c r="B2647" s="37" t="str">
        <f aca="false">SUBSTITUTE(SUBSTITUTE(SUBSTITUTE(SUBSTITUTE(SUBSTITUTE(Txt_Politesse,"{cabinet}",Cab_Nom),"{societe}",IF($K$2611=0,"",INDEX(Clients!$E$2:$E$501,$K$2611)&amp;"")),"{date_effet}",$K$2613),"{hausse}",$K$2614),"{civilite}",$K$2612)</f>
        <v>Nous vous prions d'agréer, Madame, Monsieur, l'expression de nos salutations distinguées.</v>
      </c>
      <c r="C2647" s="37"/>
      <c r="D2647" s="37"/>
      <c r="E2647" s="37"/>
      <c r="F2647" s="37"/>
    </row>
    <row r="2648" customFormat="false" ht="15" hidden="false" customHeight="false" outlineLevel="0" collapsed="false">
      <c r="B2648" s="10"/>
      <c r="C2648" s="10"/>
      <c r="D2648" s="10"/>
      <c r="E2648" s="10"/>
      <c r="F2648" s="10"/>
    </row>
    <row r="2649" customFormat="false" ht="15" hidden="false" customHeight="false" outlineLevel="0" collapsed="false">
      <c r="B2649" s="10"/>
      <c r="C2649" s="10"/>
      <c r="D2649" s="34" t="str">
        <f aca="false">Signataire</f>
        <v>Prénom NOM</v>
      </c>
      <c r="E2649" s="34"/>
      <c r="F2649" s="34"/>
    </row>
    <row r="2650" customFormat="false" ht="15" hidden="false" customHeight="false" outlineLevel="0" collapsed="false">
      <c r="B2650" s="10"/>
      <c r="C2650" s="10"/>
      <c r="D2650" s="47" t="str">
        <f aca="false">Signataire_Titre</f>
        <v>Expert-comptable associé</v>
      </c>
      <c r="E2650" s="47"/>
      <c r="F2650" s="47"/>
    </row>
    <row r="2651" customFormat="false" ht="15.75" hidden="false" customHeight="true" outlineLevel="0" collapsed="false">
      <c r="B2651" s="10"/>
      <c r="C2651" s="10"/>
      <c r="D2651" s="10"/>
      <c r="E2651" s="10"/>
      <c r="F2651" s="10"/>
    </row>
    <row r="2652" customFormat="false" ht="15.75" hidden="false" customHeight="true" outlineLevel="0" collapsed="false">
      <c r="B2652" s="10"/>
      <c r="C2652" s="10"/>
      <c r="D2652" s="10"/>
      <c r="E2652" s="10"/>
      <c r="F2652" s="10"/>
    </row>
    <row r="2653" customFormat="false" ht="15.75" hidden="false" customHeight="true" outlineLevel="0" collapsed="false">
      <c r="B2653" s="10"/>
      <c r="C2653" s="10"/>
      <c r="D2653" s="10"/>
      <c r="E2653" s="10"/>
      <c r="F2653" s="10"/>
    </row>
    <row r="2654" customFormat="false" ht="15.75" hidden="false" customHeight="true" outlineLevel="0" collapsed="false">
      <c r="B2654" s="10"/>
      <c r="C2654" s="10"/>
      <c r="D2654" s="10"/>
      <c r="E2654" s="10"/>
      <c r="F2654" s="10"/>
    </row>
    <row r="2655" customFormat="false" ht="24" hidden="false" customHeight="true" outlineLevel="0" collapsed="false">
      <c r="B2655" s="48" t="str">
        <f aca="false">Cab_Mentions</f>
        <v>ALTHO EXPERTISE · SAS au capital de 10 000 € · RCS Pontoise 919 706 325 · TVA FR62919706325 · Société d'expertise comptable inscrite au Tableau de l'Ordre des experts-comptables de Paris Île-de-France</v>
      </c>
      <c r="C2655" s="48"/>
      <c r="D2655" s="48"/>
      <c r="E2655" s="48"/>
      <c r="F2655" s="48"/>
    </row>
    <row r="2656" customFormat="false" ht="15" hidden="false" customHeight="false" outlineLevel="0" collapsed="false">
      <c r="B2656" s="10"/>
      <c r="C2656" s="10"/>
      <c r="D2656" s="10"/>
      <c r="E2656" s="10"/>
      <c r="F2656" s="10"/>
      <c r="J2656" s="25" t="s">
        <v>142</v>
      </c>
      <c r="K2656" s="25" t="n">
        <f aca="false">IFERROR(MATCH(60,Clients!$Z$2:$Z$501,0),0)</f>
        <v>0</v>
      </c>
      <c r="L2656" s="25"/>
      <c r="M2656" s="25"/>
      <c r="N2656" s="25"/>
      <c r="O2656" s="25"/>
    </row>
    <row r="2657" customFormat="false" ht="21.75" hidden="false" customHeight="true" outlineLevel="0" collapsed="false">
      <c r="B2657" s="26" t="str">
        <f aca="false">Cab_Nom</f>
        <v>ALTHO EXPERTISE</v>
      </c>
      <c r="C2657" s="26"/>
      <c r="D2657" s="10"/>
      <c r="E2657" s="27" t="str">
        <f aca="false">IF($K$2656=0,"","Réf. client : "&amp;INDEX(Clients!$A$2:$A$501,$K$2656))</f>
        <v/>
      </c>
      <c r="F2657" s="27"/>
      <c r="J2657" s="25" t="s">
        <v>144</v>
      </c>
      <c r="K2657" s="25" t="str">
        <f aca="false">IF(IF($K$2656=0,"",INDEX(Clients!$B$2:$B$501,$K$2656)&amp;"")="Mme","Madame",IF(IF($K$2656=0,"",INDEX(Clients!$B$2:$B$501,$K$2656)&amp;"")="M.","Monsieur","Madame, Monsieur"))</f>
        <v>Madame, Monsieur</v>
      </c>
      <c r="L2657" s="25"/>
      <c r="M2657" s="25"/>
      <c r="N2657" s="25"/>
      <c r="O2657" s="25"/>
    </row>
    <row r="2658" customFormat="false" ht="15" hidden="false" customHeight="false" outlineLevel="0" collapsed="false">
      <c r="B2658" s="29" t="str">
        <f aca="false">Cab_Adr1</f>
        <v>141 rue Charles de Gaulle</v>
      </c>
      <c r="C2658" s="29"/>
      <c r="D2658" s="10"/>
      <c r="E2658" s="10"/>
      <c r="F2658" s="10"/>
      <c r="J2658" s="25" t="s">
        <v>145</v>
      </c>
      <c r="K2658" s="25" t="str">
        <f aca="false">DAY(Date_Effet)&amp;IF(DAY(Date_Effet)=1,"er","")&amp;" "&amp;INDEX(Liste_Mois,MONTH(Date_Effet))&amp;" "&amp;YEAR(Date_Effet)</f>
        <v>1er janvier 2027</v>
      </c>
      <c r="L2658" s="25"/>
      <c r="M2658" s="25"/>
      <c r="N2658" s="25"/>
      <c r="O2658" s="25"/>
    </row>
    <row r="2659" customFormat="false" ht="15" hidden="false" customHeight="false" outlineLevel="0" collapsed="false">
      <c r="B2659" s="29" t="str">
        <f aca="false">Cab_CPVille</f>
        <v>95130 LE PLESSIS-BOUCHARD</v>
      </c>
      <c r="C2659" s="29"/>
      <c r="D2659" s="10"/>
      <c r="E2659" s="10"/>
      <c r="F2659" s="10"/>
      <c r="J2659" s="25" t="s">
        <v>146</v>
      </c>
      <c r="K2659" s="25" t="str">
        <f aca="false">IF(SUM($K$2683:$K$2686)=0,"",FIXED((SUM($L$2683:$L$2686)/SUM($K$2683:$K$2686)-1)*100,1)&amp;" %")</f>
        <v/>
      </c>
      <c r="L2659" s="25"/>
      <c r="M2659" s="25"/>
      <c r="N2659" s="25"/>
      <c r="O2659" s="25"/>
    </row>
    <row r="2660" customFormat="false" ht="15" hidden="false" customHeight="false" outlineLevel="0" collapsed="false">
      <c r="B2660" s="29" t="str">
        <f aca="false">Cab_Contact</f>
        <v>Tél. 01 34 14 53 45  ·  altho@altho-experts.com  ·  altho-experts.com</v>
      </c>
      <c r="C2660" s="29"/>
      <c r="D2660" s="10"/>
      <c r="E2660" s="10"/>
      <c r="F2660" s="10"/>
      <c r="J2660" s="25"/>
      <c r="K2660" s="25"/>
      <c r="L2660" s="25"/>
      <c r="M2660" s="25"/>
      <c r="N2660" s="25"/>
      <c r="O2660" s="25"/>
    </row>
    <row r="2661" customFormat="false" ht="6" hidden="false" customHeight="true" outlineLevel="0" collapsed="false">
      <c r="B2661" s="32"/>
      <c r="C2661" s="32"/>
      <c r="D2661" s="32"/>
      <c r="E2661" s="32"/>
      <c r="F2661" s="32"/>
      <c r="J2661" s="25"/>
      <c r="K2661" s="25"/>
      <c r="L2661" s="25"/>
      <c r="M2661" s="25"/>
      <c r="N2661" s="25"/>
      <c r="O2661" s="25"/>
    </row>
    <row r="2662" customFormat="false" ht="13.5" hidden="false" customHeight="true" outlineLevel="0" collapsed="false">
      <c r="B2662" s="10"/>
      <c r="C2662" s="10"/>
      <c r="D2662" s="10"/>
      <c r="E2662" s="10"/>
      <c r="F2662" s="10"/>
      <c r="J2662" s="25"/>
      <c r="K2662" s="25"/>
      <c r="L2662" s="25"/>
      <c r="M2662" s="25"/>
      <c r="N2662" s="25"/>
      <c r="O2662" s="25"/>
    </row>
    <row r="2663" customFormat="false" ht="13.5" hidden="false" customHeight="true" outlineLevel="0" collapsed="false">
      <c r="B2663" s="10"/>
      <c r="C2663" s="10"/>
      <c r="D2663" s="10"/>
      <c r="E2663" s="10"/>
      <c r="F2663" s="10"/>
      <c r="J2663" s="25"/>
      <c r="K2663" s="25"/>
      <c r="L2663" s="25"/>
      <c r="M2663" s="25"/>
      <c r="N2663" s="25"/>
      <c r="O2663" s="25"/>
    </row>
    <row r="2664" customFormat="false" ht="13.5" hidden="false" customHeight="true" outlineLevel="0" collapsed="false">
      <c r="B2664" s="10"/>
      <c r="C2664" s="10"/>
      <c r="D2664" s="10"/>
      <c r="E2664" s="10"/>
      <c r="F2664" s="10"/>
      <c r="J2664" s="25"/>
      <c r="K2664" s="25"/>
      <c r="L2664" s="25"/>
      <c r="M2664" s="25"/>
      <c r="N2664" s="25"/>
      <c r="O2664" s="25"/>
    </row>
    <row r="2665" customFormat="false" ht="15" hidden="false" customHeight="true" outlineLevel="0" collapsed="false">
      <c r="B2665" s="10"/>
      <c r="C2665" s="10"/>
      <c r="D2665" s="34" t="str">
        <f aca="false">IF($K$2656=0,"",INDEX(Clients!$E$2:$E$501,$K$2656)&amp;"")</f>
        <v/>
      </c>
      <c r="E2665" s="34"/>
      <c r="F2665" s="34"/>
      <c r="J2665" s="25"/>
      <c r="K2665" s="25"/>
      <c r="L2665" s="25"/>
      <c r="M2665" s="25"/>
      <c r="N2665" s="25"/>
      <c r="O2665" s="25"/>
    </row>
    <row r="2666" customFormat="false" ht="15" hidden="false" customHeight="true" outlineLevel="0" collapsed="false">
      <c r="B2666" s="10"/>
      <c r="C2666" s="10"/>
      <c r="D2666" s="35" t="str">
        <f aca="false">IF(IF($K$2656=0,"",INDEX(Clients!$D$2:$D$501,$K$2656)&amp;"")="","","À l'attention de "&amp;TRIM(IF($K$2656=0,"",INDEX(Clients!$B$2:$B$501,$K$2656)&amp;"")&amp;" "&amp;IF($K$2656=0,"",INDEX(Clients!$C$2:$C$501,$K$2656)&amp;"")&amp;" "&amp;IF($K$2656=0,"",INDEX(Clients!$D$2:$D$501,$K$2656)&amp;"")))</f>
        <v/>
      </c>
      <c r="E2666" s="35"/>
      <c r="F2666" s="35"/>
      <c r="J2666" s="25"/>
      <c r="K2666" s="25"/>
      <c r="L2666" s="25"/>
      <c r="M2666" s="25"/>
      <c r="N2666" s="25"/>
      <c r="O2666" s="25"/>
    </row>
    <row r="2667" customFormat="false" ht="15" hidden="false" customHeight="true" outlineLevel="0" collapsed="false">
      <c r="B2667" s="10"/>
      <c r="C2667" s="10"/>
      <c r="D2667" s="35" t="str">
        <f aca="false">IF($K$2656=0,"",INDEX(Clients!$F$2:$F$501,$K$2656)&amp;"")</f>
        <v/>
      </c>
      <c r="E2667" s="35"/>
      <c r="F2667" s="35"/>
      <c r="J2667" s="25"/>
      <c r="K2667" s="25"/>
      <c r="L2667" s="25"/>
      <c r="M2667" s="25"/>
      <c r="N2667" s="25"/>
      <c r="O2667" s="25"/>
    </row>
    <row r="2668" customFormat="false" ht="15" hidden="false" customHeight="true" outlineLevel="0" collapsed="false">
      <c r="B2668" s="10"/>
      <c r="C2668" s="10"/>
      <c r="D2668" s="35" t="str">
        <f aca="false">IF(IF($K$2656=0,"",INDEX(Clients!$G$2:$G$501,$K$2656)&amp;"")="",TRIM(IF($K$2656=0,"",INDEX(Clients!$H$2:$H$501,$K$2656)&amp;"")&amp;" "&amp;UPPER(IF($K$2656=0,"",INDEX(Clients!$I$2:$I$501,$K$2656)&amp;""))),IF($K$2656=0,"",INDEX(Clients!$G$2:$G$501,$K$2656)&amp;""))</f>
        <v/>
      </c>
      <c r="E2668" s="35"/>
      <c r="F2668" s="35"/>
      <c r="J2668" s="25"/>
      <c r="K2668" s="25"/>
      <c r="L2668" s="25"/>
      <c r="M2668" s="25"/>
      <c r="N2668" s="25"/>
      <c r="O2668" s="25"/>
    </row>
    <row r="2669" customFormat="false" ht="15" hidden="false" customHeight="true" outlineLevel="0" collapsed="false">
      <c r="B2669" s="10"/>
      <c r="C2669" s="10"/>
      <c r="D2669" s="35" t="str">
        <f aca="false">IF(IF($K$2656=0,"",INDEX(Clients!$G$2:$G$501,$K$2656)&amp;"")="","",TRIM(IF($K$2656=0,"",INDEX(Clients!$H$2:$H$501,$K$2656)&amp;"")&amp;" "&amp;UPPER(IF($K$2656=0,"",INDEX(Clients!$I$2:$I$501,$K$2656)&amp;""))))</f>
        <v/>
      </c>
      <c r="E2669" s="35"/>
      <c r="F2669" s="35"/>
      <c r="J2669" s="25"/>
      <c r="K2669" s="25"/>
      <c r="L2669" s="25"/>
      <c r="M2669" s="25"/>
      <c r="N2669" s="25"/>
      <c r="O2669" s="25"/>
    </row>
    <row r="2670" customFormat="false" ht="25.5" hidden="false" customHeight="true" outlineLevel="0" collapsed="false">
      <c r="B2670" s="10"/>
      <c r="C2670" s="10"/>
      <c r="D2670" s="10"/>
      <c r="E2670" s="10"/>
      <c r="F2670" s="10"/>
      <c r="J2670" s="25"/>
      <c r="K2670" s="25"/>
      <c r="L2670" s="25"/>
      <c r="M2670" s="25"/>
      <c r="N2670" s="25"/>
      <c r="O2670" s="25"/>
    </row>
    <row r="2671" customFormat="false" ht="15" hidden="false" customHeight="false" outlineLevel="0" collapsed="false">
      <c r="B2671" s="10"/>
      <c r="C2671" s="10"/>
      <c r="D2671" s="36" t="str">
        <f aca="false">Cab_Ville&amp;", le "&amp;DAY(Date_Courrier)&amp;IF(DAY(Date_Courrier)=1,"er","")&amp;" "&amp;INDEX(Liste_Mois,MONTH(Date_Courrier))&amp;" "&amp;YEAR(Date_Courrier)</f>
        <v>Le Plessis-Bouchard, le 22 septembre 2026</v>
      </c>
      <c r="E2671" s="36"/>
      <c r="F2671" s="36"/>
      <c r="J2671" s="25"/>
      <c r="K2671" s="25"/>
      <c r="L2671" s="25"/>
      <c r="M2671" s="25"/>
      <c r="N2671" s="25"/>
      <c r="O2671" s="25"/>
    </row>
    <row r="2672" customFormat="false" ht="19.5" hidden="false" customHeight="true" outlineLevel="0" collapsed="false">
      <c r="B2672" s="10"/>
      <c r="C2672" s="10"/>
      <c r="D2672" s="10"/>
      <c r="E2672" s="10"/>
      <c r="F2672" s="10"/>
      <c r="J2672" s="25"/>
      <c r="K2672" s="25"/>
      <c r="L2672" s="25"/>
      <c r="M2672" s="25"/>
      <c r="N2672" s="25"/>
      <c r="O2672" s="25"/>
    </row>
    <row r="2673" customFormat="false" ht="15" hidden="false" customHeight="false" outlineLevel="0" collapsed="false">
      <c r="B2673" s="34" t="str">
        <f aca="false">SUBSTITUTE(SUBSTITUTE(SUBSTITUTE(SUBSTITUTE(SUBSTITUTE(Txt_Objet,"{cabinet}",Cab_Nom),"{societe}",IF($K$2656=0,"",INDEX(Clients!$E$2:$E$501,$K$2656)&amp;"")),"{date_effet}",$K$2658),"{hausse}",$K$2659),"{civilite}",$K$2657)</f>
        <v>Objet : révision de nos honoraires au 1er janvier 2027</v>
      </c>
      <c r="C2673" s="34"/>
      <c r="D2673" s="34"/>
      <c r="E2673" s="34"/>
      <c r="F2673" s="34"/>
      <c r="J2673" s="25"/>
      <c r="K2673" s="25"/>
      <c r="L2673" s="25"/>
      <c r="M2673" s="25"/>
      <c r="N2673" s="25"/>
      <c r="O2673" s="25"/>
    </row>
    <row r="2674" customFormat="false" ht="13.5" hidden="false" customHeight="true" outlineLevel="0" collapsed="false">
      <c r="B2674" s="10"/>
      <c r="C2674" s="10"/>
      <c r="D2674" s="10"/>
      <c r="E2674" s="10"/>
      <c r="F2674" s="10"/>
      <c r="J2674" s="25"/>
      <c r="K2674" s="25"/>
      <c r="L2674" s="25"/>
      <c r="M2674" s="25"/>
      <c r="N2674" s="25"/>
      <c r="O2674" s="25"/>
    </row>
    <row r="2675" customFormat="false" ht="15" hidden="false" customHeight="false" outlineLevel="0" collapsed="false">
      <c r="B2675" s="10" t="str">
        <f aca="false">$K$2657&amp;","</f>
        <v>Madame, Monsieur,</v>
      </c>
      <c r="C2675" s="10"/>
      <c r="D2675" s="10"/>
      <c r="E2675" s="10"/>
      <c r="F2675" s="10"/>
      <c r="J2675" s="25"/>
      <c r="K2675" s="25"/>
      <c r="L2675" s="25"/>
      <c r="M2675" s="25"/>
      <c r="N2675" s="25"/>
      <c r="O2675" s="25"/>
    </row>
    <row r="2676" customFormat="false" ht="6" hidden="false" customHeight="true" outlineLevel="0" collapsed="false">
      <c r="B2676" s="10"/>
      <c r="C2676" s="10"/>
      <c r="D2676" s="10"/>
      <c r="E2676" s="10"/>
      <c r="F2676" s="10"/>
      <c r="J2676" s="25"/>
      <c r="K2676" s="25"/>
      <c r="L2676" s="25"/>
      <c r="M2676" s="25"/>
      <c r="N2676" s="25"/>
      <c r="O2676" s="25"/>
    </row>
    <row r="2677" customFormat="false" ht="36.75" hidden="false" customHeight="true" outlineLevel="0" collapsed="false">
      <c r="B2677" s="37" t="str">
        <f aca="false">SUBSTITUTE(SUBSTITUTE(SUBSTITUTE(SUBSTITUTE(SUBSTITUTE(Txt_P1,"{cabinet}",Cab_Nom),"{societe}",IF($K$2656=0,"",INDEX(Clients!$E$2:$E$501,$K$2656)&amp;"")),"{date_effet}",$K$2658),"{hausse}",$K$2659),"{civilite}",$K$2657)</f>
        <v>Nous tenons tout d'abord à vous remercier pour la confiance que vous accordez à ALTHO EXPERTISE. Comme chaque année, et conformément aux dispositions de votre lettre de mission, nous procédons à la révision de nos honoraires.</v>
      </c>
      <c r="C2677" s="37"/>
      <c r="D2677" s="37"/>
      <c r="E2677" s="37"/>
      <c r="F2677" s="37"/>
      <c r="J2677" s="25"/>
      <c r="K2677" s="25"/>
      <c r="L2677" s="25"/>
      <c r="M2677" s="25"/>
      <c r="N2677" s="25"/>
      <c r="O2677" s="25"/>
    </row>
    <row r="2678" customFormat="false" ht="49.5" hidden="false" customHeight="true" outlineLevel="0" collapsed="false">
      <c r="B2678" s="37" t="str">
        <f aca="false">SUBSTITUTE(SUBSTITUTE(SUBSTITUTE(SUBSTITUTE(SUBSTITUTE(Txt_P2,"{cabinet}",Cab_Nom),"{societe}",IF($K$2656=0,"",INDEX(Clients!$E$2:$E$501,$K$2656)&amp;"")),"{date_effet}",$K$2658),"{hausse}",$K$2659),"{civilite}",$K$2657)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678" s="37"/>
      <c r="D2678" s="37"/>
      <c r="E2678" s="37"/>
      <c r="F2678" s="37"/>
      <c r="J2678" s="25"/>
      <c r="K2678" s="25"/>
      <c r="L2678" s="25"/>
      <c r="M2678" s="25"/>
      <c r="N2678" s="25"/>
      <c r="O2678" s="25"/>
    </row>
    <row r="2679" customFormat="false" ht="63" hidden="false" customHeight="true" outlineLevel="0" collapsed="false">
      <c r="B2679" s="37" t="str">
        <f aca="false">SUBSTITUTE(SUBSTITUTE(SUBSTITUTE(SUBSTITUTE(SUBSTITUTE(Txt_P3,"{cabinet}",Cab_Nom),"{societe}",IF($K$2656=0,"",INDEX(Clients!$E$2:$E$501,$K$2656)&amp;"")),"{date_effet}",$K$2658),"{hausse}",$K$2659),"{civilite}",$K$2657)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679" s="37"/>
      <c r="D2679" s="37"/>
      <c r="E2679" s="37"/>
      <c r="F2679" s="37"/>
      <c r="J2679" s="25"/>
      <c r="K2679" s="25"/>
      <c r="L2679" s="25"/>
      <c r="M2679" s="25"/>
      <c r="N2679" s="25"/>
      <c r="O2679" s="25"/>
    </row>
    <row r="2680" customFormat="false" ht="24" hidden="false" customHeight="true" outlineLevel="0" collapsed="false">
      <c r="B2680" s="37" t="str">
        <f aca="false">SUBSTITUTE(SUBSTITUTE(SUBSTITUTE(SUBSTITUTE(SUBSTITUTE(Txt_P4,"{cabinet}",Cab_Nom),"{societe}",IF($K$2656=0,"",INDEX(Clients!$E$2:$E$501,$K$2656)&amp;"")),"{date_effet}",$K$2658),"{hausse}",$K$2659),"{civilite}",$K$2657)</f>
        <v>À compter du 1er janvier 2027, vos honoraires annuels hors taxes évolueront ainsi (évolution globale : ) :</v>
      </c>
      <c r="C2680" s="37"/>
      <c r="D2680" s="37"/>
      <c r="E2680" s="37"/>
      <c r="F2680" s="37"/>
      <c r="J2680" s="25"/>
      <c r="K2680" s="25"/>
      <c r="L2680" s="25"/>
      <c r="M2680" s="25"/>
      <c r="N2680" s="25"/>
      <c r="O2680" s="25"/>
    </row>
    <row r="2681" customFormat="false" ht="3.75" hidden="false" customHeight="true" outlineLevel="0" collapsed="false">
      <c r="B2681" s="10"/>
      <c r="C2681" s="10"/>
      <c r="D2681" s="10"/>
      <c r="E2681" s="10"/>
      <c r="F2681" s="10"/>
      <c r="J2681" s="25"/>
      <c r="K2681" s="25"/>
      <c r="L2681" s="25"/>
      <c r="M2681" s="25"/>
      <c r="N2681" s="25"/>
      <c r="O2681" s="25"/>
    </row>
    <row r="2682" customFormat="false" ht="18" hidden="false" customHeight="true" outlineLevel="0" collapsed="false">
      <c r="B2682" s="38" t="s">
        <v>148</v>
      </c>
      <c r="C2682" s="39" t="s">
        <v>149</v>
      </c>
      <c r="D2682" s="39" t="s">
        <v>150</v>
      </c>
      <c r="E2682" s="39" t="s">
        <v>151</v>
      </c>
      <c r="F2682" s="39" t="s">
        <v>109</v>
      </c>
      <c r="J2682" s="25" t="s">
        <v>152</v>
      </c>
      <c r="K2682" s="25" t="s">
        <v>153</v>
      </c>
      <c r="L2682" s="25" t="s">
        <v>154</v>
      </c>
      <c r="M2682" s="25" t="s">
        <v>155</v>
      </c>
      <c r="N2682" s="25" t="s">
        <v>156</v>
      </c>
      <c r="O2682" s="25" t="s">
        <v>157</v>
      </c>
    </row>
    <row r="2683" customFormat="false" ht="16.5" hidden="false" customHeight="true" outlineLevel="0" collapsed="false">
      <c r="B2683" s="40" t="str">
        <f aca="false">IFERROR(INDEX($J$2683:$J$2686,MATCH($O2683,$N$2683:$N$2686,0)),"")</f>
        <v/>
      </c>
      <c r="C2683" s="41" t="str">
        <f aca="false">IFERROR(INDEX($K$2683:$K$2686,MATCH($O2683,$N$2683:$N$2686,0)),"")</f>
        <v/>
      </c>
      <c r="D2683" s="42" t="str">
        <f aca="false">IF(OR(E2683="",N(C2683)=0),"",E2683/C2683-1)</f>
        <v/>
      </c>
      <c r="E2683" s="41" t="str">
        <f aca="false">IFERROR(INDEX($L$2683:$L$2686,MATCH($O2683,$N$2683:$N$2686,0)),"")</f>
        <v/>
      </c>
      <c r="F2683" s="41" t="str">
        <f aca="false">IF(E2683="","",E2683-C2683)</f>
        <v/>
      </c>
      <c r="J2683" s="25" t="str">
        <f aca="false">Lib_Compta</f>
        <v>Mission comptable (tenue, révision, bilan, liasse fiscale)</v>
      </c>
      <c r="K2683" s="25" t="n">
        <f aca="false">IF($K$2656=0,0,N(INDEX(Clients!$K$2:$K$501,$K$2656)))</f>
        <v>0</v>
      </c>
      <c r="L2683" s="25" t="n">
        <f aca="false">IF($K$2656=0,0,N(INDEX(Clients!$P$2:$P$501,$K$2656)))</f>
        <v>0</v>
      </c>
      <c r="M2683" s="25" t="n">
        <f aca="false">IF(OR(K2683&lt;&gt;0,L2683&lt;&gt;0),1,0)</f>
        <v>0</v>
      </c>
      <c r="N2683" s="25" t="str">
        <f aca="false">IF(M2683=1,SUM($M$2683:M2683),"")</f>
        <v/>
      </c>
      <c r="O2683" s="25" t="n">
        <v>1</v>
      </c>
    </row>
    <row r="2684" customFormat="false" ht="16.5" hidden="false" customHeight="true" outlineLevel="0" collapsed="false">
      <c r="B2684" s="40" t="str">
        <f aca="false">IFERROR(INDEX($J$2683:$J$2686,MATCH($O2684,$N$2683:$N$2686,0)),"")</f>
        <v/>
      </c>
      <c r="C2684" s="41" t="str">
        <f aca="false">IFERROR(INDEX($K$2683:$K$2686,MATCH($O2684,$N$2683:$N$2686,0)),"")</f>
        <v/>
      </c>
      <c r="D2684" s="42" t="str">
        <f aca="false">IF(OR(E2684="",N(C2684)=0),"",E2684/C2684-1)</f>
        <v/>
      </c>
      <c r="E2684" s="41" t="str">
        <f aca="false">IFERROR(INDEX($L$2683:$L$2686,MATCH($O2684,$N$2683:$N$2686,0)),"")</f>
        <v/>
      </c>
      <c r="F2684" s="41" t="str">
        <f aca="false">IF(E2684="","",E2684-C2684)</f>
        <v/>
      </c>
      <c r="J2684" s="25" t="str">
        <f aca="false">Lib_Paye</f>
        <v>Mission sociale (bulletins de paie, DSN, déclarations sociales)</v>
      </c>
      <c r="K2684" s="25" t="n">
        <f aca="false">IF($K$2656=0,0,N(INDEX(Clients!$L$2:$L$501,$K$2656)))</f>
        <v>0</v>
      </c>
      <c r="L2684" s="25" t="n">
        <f aca="false">IF($K$2656=0,0,N(INDEX(Clients!$Q$2:$Q$501,$K$2656)))</f>
        <v>0</v>
      </c>
      <c r="M2684" s="25" t="n">
        <f aca="false">IF(OR(K2684&lt;&gt;0,L2684&lt;&gt;0),1,0)</f>
        <v>0</v>
      </c>
      <c r="N2684" s="25" t="str">
        <f aca="false">IF(M2684=1,SUM($M$2683:M2684),"")</f>
        <v/>
      </c>
      <c r="O2684" s="25" t="n">
        <v>2</v>
      </c>
    </row>
    <row r="2685" customFormat="false" ht="16.5" hidden="false" customHeight="true" outlineLevel="0" collapsed="false">
      <c r="B2685" s="40" t="str">
        <f aca="false">IFERROR(INDEX($J$2683:$J$2686,MATCH($O2685,$N$2683:$N$2686,0)),"")</f>
        <v/>
      </c>
      <c r="C2685" s="41" t="str">
        <f aca="false">IFERROR(INDEX($K$2683:$K$2686,MATCH($O2685,$N$2683:$N$2686,0)),"")</f>
        <v/>
      </c>
      <c r="D2685" s="42" t="str">
        <f aca="false">IF(OR(E2685="",N(C2685)=0),"",E2685/C2685-1)</f>
        <v/>
      </c>
      <c r="E2685" s="41" t="str">
        <f aca="false">IFERROR(INDEX($L$2683:$L$2686,MATCH($O2685,$N$2683:$N$2686,0)),"")</f>
        <v/>
      </c>
      <c r="F2685" s="41" t="str">
        <f aca="false">IF(E2685="","",E2685-C2685)</f>
        <v/>
      </c>
      <c r="J2685" s="25" t="str">
        <f aca="false">Lib_Jur</f>
        <v>Mission juridique (approbation des comptes, secrétariat juridique)</v>
      </c>
      <c r="K2685" s="25" t="n">
        <f aca="false">IF($K$2656=0,0,N(INDEX(Clients!$M$2:$M$501,$K$2656)))</f>
        <v>0</v>
      </c>
      <c r="L2685" s="25" t="n">
        <f aca="false">IF($K$2656=0,0,N(INDEX(Clients!$R$2:$R$501,$K$2656)))</f>
        <v>0</v>
      </c>
      <c r="M2685" s="25" t="n">
        <f aca="false">IF(OR(K2685&lt;&gt;0,L2685&lt;&gt;0),1,0)</f>
        <v>0</v>
      </c>
      <c r="N2685" s="25" t="str">
        <f aca="false">IF(M2685=1,SUM($M$2683:M2685),"")</f>
        <v/>
      </c>
      <c r="O2685" s="25" t="n">
        <v>3</v>
      </c>
    </row>
    <row r="2686" customFormat="false" ht="16.5" hidden="false" customHeight="true" outlineLevel="0" collapsed="false">
      <c r="B2686" s="40" t="str">
        <f aca="false">IFERROR(INDEX($J$2683:$J$2686,MATCH($O2686,$N$2683:$N$2686,0)),"")</f>
        <v/>
      </c>
      <c r="C2686" s="41" t="str">
        <f aca="false">IFERROR(INDEX($K$2683:$K$2686,MATCH($O2686,$N$2683:$N$2686,0)),"")</f>
        <v/>
      </c>
      <c r="D2686" s="42" t="str">
        <f aca="false">IF(OR(E2686="",N(C2686)=0),"",E2686/C2686-1)</f>
        <v/>
      </c>
      <c r="E2686" s="41" t="str">
        <f aca="false">IFERROR(INDEX($L$2683:$L$2686,MATCH($O2686,$N$2683:$N$2686,0)),"")</f>
        <v/>
      </c>
      <c r="F2686" s="41" t="str">
        <f aca="false">IF(E2686="","",E2686-C2686)</f>
        <v/>
      </c>
      <c r="J2686" s="25" t="str">
        <f aca="false">Lib_PA</f>
        <v>Plateforme agréée – facturation électronique</v>
      </c>
      <c r="K2686" s="25" t="n">
        <f aca="false">IF($K$2656=0,0,N(INDEX(Clients!$N$2:$N$501,$K$2656)))</f>
        <v>0</v>
      </c>
      <c r="L2686" s="25" t="n">
        <f aca="false">IF($K$2656=0,0,N(INDEX(Clients!$S$2:$S$501,$K$2656)))</f>
        <v>0</v>
      </c>
      <c r="M2686" s="25" t="n">
        <f aca="false">IF(OR(K2686&lt;&gt;0,L2686&lt;&gt;0),1,0)</f>
        <v>0</v>
      </c>
      <c r="N2686" s="25" t="str">
        <f aca="false">IF(M2686=1,SUM($M$2683:M2686),"")</f>
        <v/>
      </c>
      <c r="O2686" s="25" t="n">
        <v>4</v>
      </c>
    </row>
    <row r="2687" customFormat="false" ht="18" hidden="false" customHeight="true" outlineLevel="0" collapsed="false">
      <c r="B2687" s="43" t="s">
        <v>158</v>
      </c>
      <c r="C2687" s="44" t="n">
        <f aca="false">SUM(K2683:K2686)</f>
        <v>0</v>
      </c>
      <c r="D2687" s="45" t="str">
        <f aca="false">IF(N(C2687)=0,"",E2687/C2687-1)</f>
        <v/>
      </c>
      <c r="E2687" s="44" t="n">
        <f aca="false">SUM(L2683:L2686)</f>
        <v>0</v>
      </c>
      <c r="F2687" s="44" t="n">
        <f aca="false">E2687-C2687</f>
        <v>0</v>
      </c>
    </row>
    <row r="2688" customFormat="false" ht="15" hidden="false" customHeight="false" outlineLevel="0" collapsed="false">
      <c r="B2688" s="46" t="str">
        <f aca="false">IF(N(Nb_Mensualites)=0,"","Soit "&amp;FIXED(E2687/Nb_Mensualites,2)&amp;" € HT par échéance ("&amp;Nb_Mensualites&amp;" échéances), "&amp;FIXED(E2687/Nb_Mensualites*(1+Taux_TVA),2)&amp;" € TTC.")</f>
        <v>Soit 0.00 € HT par échéance (12 échéances), 0.00 € TTC.</v>
      </c>
      <c r="C2688" s="46"/>
      <c r="D2688" s="46"/>
      <c r="E2688" s="46"/>
      <c r="F2688" s="46"/>
    </row>
    <row r="2689" customFormat="false" ht="7.5" hidden="false" customHeight="true" outlineLevel="0" collapsed="false">
      <c r="B2689" s="10"/>
      <c r="C2689" s="10"/>
      <c r="D2689" s="10"/>
      <c r="E2689" s="10"/>
      <c r="F2689" s="10"/>
    </row>
    <row r="2690" customFormat="false" ht="36.75" hidden="false" customHeight="true" outlineLevel="0" collapsed="false">
      <c r="B2690" s="37" t="str">
        <f aca="false">SUBSTITUTE(SUBSTITUTE(SUBSTITUTE(SUBSTITUTE(SUBSTITUTE(Txt_P5,"{cabinet}",Cab_Nom),"{societe}",IF($K$2656=0,"",INDEX(Clients!$E$2:$E$501,$K$2656)&amp;"")),"{date_effet}",$K$2658),"{hausse}",$K$2659),"{civilite}",$K$2657)</f>
        <v>Les autres conditions de votre lettre de mission demeurent inchangées. Les nouveaux montants seront appliqués automatiquement sur vos prochaines factures et échéances de prélèvement.</v>
      </c>
      <c r="C2690" s="37"/>
      <c r="D2690" s="37"/>
      <c r="E2690" s="37"/>
      <c r="F2690" s="37"/>
    </row>
    <row r="2691" customFormat="false" ht="36.75" hidden="false" customHeight="true" outlineLevel="0" collapsed="false">
      <c r="B2691" s="37" t="str">
        <f aca="false">SUBSTITUTE(SUBSTITUTE(SUBSTITUTE(SUBSTITUTE(SUBSTITUTE(Txt_P6,"{cabinet}",Cab_Nom),"{societe}",IF($K$2656=0,"",INDEX(Clients!$E$2:$E$501,$K$2656)&amp;"")),"{date_effet}",$K$2658),"{hausse}",$K$2659),"{civilite}",$K$2657)</f>
        <v>Votre interlocuteur habituel reste à votre entière disposition pour répondre à vos questions et faire le point sur l'évolution de vos besoins.</v>
      </c>
      <c r="C2691" s="37"/>
      <c r="D2691" s="37"/>
      <c r="E2691" s="37"/>
      <c r="F2691" s="37"/>
    </row>
    <row r="2692" customFormat="false" ht="24" hidden="false" customHeight="true" outlineLevel="0" collapsed="false">
      <c r="B2692" s="37" t="str">
        <f aca="false">SUBSTITUTE(SUBSTITUTE(SUBSTITUTE(SUBSTITUTE(SUBSTITUTE(Txt_Politesse,"{cabinet}",Cab_Nom),"{societe}",IF($K$2656=0,"",INDEX(Clients!$E$2:$E$501,$K$2656)&amp;"")),"{date_effet}",$K$2658),"{hausse}",$K$2659),"{civilite}",$K$2657)</f>
        <v>Nous vous prions d'agréer, Madame, Monsieur, l'expression de nos salutations distinguées.</v>
      </c>
      <c r="C2692" s="37"/>
      <c r="D2692" s="37"/>
      <c r="E2692" s="37"/>
      <c r="F2692" s="37"/>
    </row>
    <row r="2693" customFormat="false" ht="15" hidden="false" customHeight="false" outlineLevel="0" collapsed="false">
      <c r="B2693" s="10"/>
      <c r="C2693" s="10"/>
      <c r="D2693" s="10"/>
      <c r="E2693" s="10"/>
      <c r="F2693" s="10"/>
    </row>
    <row r="2694" customFormat="false" ht="15" hidden="false" customHeight="false" outlineLevel="0" collapsed="false">
      <c r="B2694" s="10"/>
      <c r="C2694" s="10"/>
      <c r="D2694" s="34" t="str">
        <f aca="false">Signataire</f>
        <v>Prénom NOM</v>
      </c>
      <c r="E2694" s="34"/>
      <c r="F2694" s="34"/>
    </row>
    <row r="2695" customFormat="false" ht="15" hidden="false" customHeight="false" outlineLevel="0" collapsed="false">
      <c r="B2695" s="10"/>
      <c r="C2695" s="10"/>
      <c r="D2695" s="47" t="str">
        <f aca="false">Signataire_Titre</f>
        <v>Expert-comptable associé</v>
      </c>
      <c r="E2695" s="47"/>
      <c r="F2695" s="47"/>
    </row>
    <row r="2696" customFormat="false" ht="15.75" hidden="false" customHeight="true" outlineLevel="0" collapsed="false">
      <c r="B2696" s="10"/>
      <c r="C2696" s="10"/>
      <c r="D2696" s="10"/>
      <c r="E2696" s="10"/>
      <c r="F2696" s="10"/>
    </row>
    <row r="2697" customFormat="false" ht="15.75" hidden="false" customHeight="true" outlineLevel="0" collapsed="false">
      <c r="B2697" s="10"/>
      <c r="C2697" s="10"/>
      <c r="D2697" s="10"/>
      <c r="E2697" s="10"/>
      <c r="F2697" s="10"/>
    </row>
    <row r="2698" customFormat="false" ht="15.75" hidden="false" customHeight="true" outlineLevel="0" collapsed="false">
      <c r="B2698" s="10"/>
      <c r="C2698" s="10"/>
      <c r="D2698" s="10"/>
      <c r="E2698" s="10"/>
      <c r="F2698" s="10"/>
    </row>
    <row r="2699" customFormat="false" ht="15.75" hidden="false" customHeight="true" outlineLevel="0" collapsed="false">
      <c r="B2699" s="10"/>
      <c r="C2699" s="10"/>
      <c r="D2699" s="10"/>
      <c r="E2699" s="10"/>
      <c r="F2699" s="10"/>
    </row>
    <row r="2700" customFormat="false" ht="24" hidden="false" customHeight="true" outlineLevel="0" collapsed="false">
      <c r="B2700" s="48" t="str">
        <f aca="false">Cab_Mentions</f>
        <v>ALTHO EXPERTISE · SAS au capital de 10 000 € · RCS Pontoise 919 706 325 · TVA FR62919706325 · Société d'expertise comptable inscrite au Tableau de l'Ordre des experts-comptables de Paris Île-de-France</v>
      </c>
      <c r="C2700" s="48"/>
      <c r="D2700" s="48"/>
      <c r="E2700" s="48"/>
      <c r="F2700" s="48"/>
    </row>
    <row r="2701" customFormat="false" ht="15" hidden="false" customHeight="false" outlineLevel="0" collapsed="false">
      <c r="B2701" s="10"/>
      <c r="C2701" s="10"/>
      <c r="D2701" s="10"/>
      <c r="E2701" s="10"/>
      <c r="F2701" s="10"/>
      <c r="J2701" s="25" t="s">
        <v>142</v>
      </c>
      <c r="K2701" s="25" t="n">
        <f aca="false">IFERROR(MATCH(61,Clients!$Z$2:$Z$501,0),0)</f>
        <v>0</v>
      </c>
      <c r="L2701" s="25"/>
      <c r="M2701" s="25"/>
      <c r="N2701" s="25"/>
      <c r="O2701" s="25"/>
    </row>
    <row r="2702" customFormat="false" ht="21.75" hidden="false" customHeight="true" outlineLevel="0" collapsed="false">
      <c r="B2702" s="26" t="str">
        <f aca="false">Cab_Nom</f>
        <v>ALTHO EXPERTISE</v>
      </c>
      <c r="C2702" s="26"/>
      <c r="D2702" s="10"/>
      <c r="E2702" s="27" t="str">
        <f aca="false">IF($K$2701=0,"","Réf. client : "&amp;INDEX(Clients!$A$2:$A$501,$K$2701))</f>
        <v/>
      </c>
      <c r="F2702" s="27"/>
      <c r="J2702" s="25" t="s">
        <v>144</v>
      </c>
      <c r="K2702" s="25" t="str">
        <f aca="false">IF(IF($K$2701=0,"",INDEX(Clients!$B$2:$B$501,$K$2701)&amp;"")="Mme","Madame",IF(IF($K$2701=0,"",INDEX(Clients!$B$2:$B$501,$K$2701)&amp;"")="M.","Monsieur","Madame, Monsieur"))</f>
        <v>Madame, Monsieur</v>
      </c>
      <c r="L2702" s="25"/>
      <c r="M2702" s="25"/>
      <c r="N2702" s="25"/>
      <c r="O2702" s="25"/>
    </row>
    <row r="2703" customFormat="false" ht="15" hidden="false" customHeight="false" outlineLevel="0" collapsed="false">
      <c r="B2703" s="29" t="str">
        <f aca="false">Cab_Adr1</f>
        <v>141 rue Charles de Gaulle</v>
      </c>
      <c r="C2703" s="29"/>
      <c r="D2703" s="10"/>
      <c r="E2703" s="10"/>
      <c r="F2703" s="10"/>
      <c r="J2703" s="25" t="s">
        <v>145</v>
      </c>
      <c r="K2703" s="25" t="str">
        <f aca="false">DAY(Date_Effet)&amp;IF(DAY(Date_Effet)=1,"er","")&amp;" "&amp;INDEX(Liste_Mois,MONTH(Date_Effet))&amp;" "&amp;YEAR(Date_Effet)</f>
        <v>1er janvier 2027</v>
      </c>
      <c r="L2703" s="25"/>
      <c r="M2703" s="25"/>
      <c r="N2703" s="25"/>
      <c r="O2703" s="25"/>
    </row>
    <row r="2704" customFormat="false" ht="15" hidden="false" customHeight="false" outlineLevel="0" collapsed="false">
      <c r="B2704" s="29" t="str">
        <f aca="false">Cab_CPVille</f>
        <v>95130 LE PLESSIS-BOUCHARD</v>
      </c>
      <c r="C2704" s="29"/>
      <c r="D2704" s="10"/>
      <c r="E2704" s="10"/>
      <c r="F2704" s="10"/>
      <c r="J2704" s="25" t="s">
        <v>146</v>
      </c>
      <c r="K2704" s="25" t="str">
        <f aca="false">IF(SUM($K$2728:$K$2731)=0,"",FIXED((SUM($L$2728:$L$2731)/SUM($K$2728:$K$2731)-1)*100,1)&amp;" %")</f>
        <v/>
      </c>
      <c r="L2704" s="25"/>
      <c r="M2704" s="25"/>
      <c r="N2704" s="25"/>
      <c r="O2704" s="25"/>
    </row>
    <row r="2705" customFormat="false" ht="15" hidden="false" customHeight="false" outlineLevel="0" collapsed="false">
      <c r="B2705" s="29" t="str">
        <f aca="false">Cab_Contact</f>
        <v>Tél. 01 34 14 53 45  ·  altho@altho-experts.com  ·  altho-experts.com</v>
      </c>
      <c r="C2705" s="29"/>
      <c r="D2705" s="10"/>
      <c r="E2705" s="10"/>
      <c r="F2705" s="10"/>
      <c r="J2705" s="25"/>
      <c r="K2705" s="25"/>
      <c r="L2705" s="25"/>
      <c r="M2705" s="25"/>
      <c r="N2705" s="25"/>
      <c r="O2705" s="25"/>
    </row>
    <row r="2706" customFormat="false" ht="6" hidden="false" customHeight="true" outlineLevel="0" collapsed="false">
      <c r="B2706" s="32"/>
      <c r="C2706" s="32"/>
      <c r="D2706" s="32"/>
      <c r="E2706" s="32"/>
      <c r="F2706" s="32"/>
      <c r="J2706" s="25"/>
      <c r="K2706" s="25"/>
      <c r="L2706" s="25"/>
      <c r="M2706" s="25"/>
      <c r="N2706" s="25"/>
      <c r="O2706" s="25"/>
    </row>
    <row r="2707" customFormat="false" ht="13.5" hidden="false" customHeight="true" outlineLevel="0" collapsed="false">
      <c r="B2707" s="10"/>
      <c r="C2707" s="10"/>
      <c r="D2707" s="10"/>
      <c r="E2707" s="10"/>
      <c r="F2707" s="10"/>
      <c r="J2707" s="25"/>
      <c r="K2707" s="25"/>
      <c r="L2707" s="25"/>
      <c r="M2707" s="25"/>
      <c r="N2707" s="25"/>
      <c r="O2707" s="25"/>
    </row>
    <row r="2708" customFormat="false" ht="13.5" hidden="false" customHeight="true" outlineLevel="0" collapsed="false">
      <c r="B2708" s="10"/>
      <c r="C2708" s="10"/>
      <c r="D2708" s="10"/>
      <c r="E2708" s="10"/>
      <c r="F2708" s="10"/>
      <c r="J2708" s="25"/>
      <c r="K2708" s="25"/>
      <c r="L2708" s="25"/>
      <c r="M2708" s="25"/>
      <c r="N2708" s="25"/>
      <c r="O2708" s="25"/>
    </row>
    <row r="2709" customFormat="false" ht="13.5" hidden="false" customHeight="true" outlineLevel="0" collapsed="false">
      <c r="B2709" s="10"/>
      <c r="C2709" s="10"/>
      <c r="D2709" s="10"/>
      <c r="E2709" s="10"/>
      <c r="F2709" s="10"/>
      <c r="J2709" s="25"/>
      <c r="K2709" s="25"/>
      <c r="L2709" s="25"/>
      <c r="M2709" s="25"/>
      <c r="N2709" s="25"/>
      <c r="O2709" s="25"/>
    </row>
    <row r="2710" customFormat="false" ht="15" hidden="false" customHeight="true" outlineLevel="0" collapsed="false">
      <c r="B2710" s="10"/>
      <c r="C2710" s="10"/>
      <c r="D2710" s="34" t="str">
        <f aca="false">IF($K$2701=0,"",INDEX(Clients!$E$2:$E$501,$K$2701)&amp;"")</f>
        <v/>
      </c>
      <c r="E2710" s="34"/>
      <c r="F2710" s="34"/>
      <c r="J2710" s="25"/>
      <c r="K2710" s="25"/>
      <c r="L2710" s="25"/>
      <c r="M2710" s="25"/>
      <c r="N2710" s="25"/>
      <c r="O2710" s="25"/>
    </row>
    <row r="2711" customFormat="false" ht="15" hidden="false" customHeight="true" outlineLevel="0" collapsed="false">
      <c r="B2711" s="10"/>
      <c r="C2711" s="10"/>
      <c r="D2711" s="35" t="str">
        <f aca="false">IF(IF($K$2701=0,"",INDEX(Clients!$D$2:$D$501,$K$2701)&amp;"")="","","À l'attention de "&amp;TRIM(IF($K$2701=0,"",INDEX(Clients!$B$2:$B$501,$K$2701)&amp;"")&amp;" "&amp;IF($K$2701=0,"",INDEX(Clients!$C$2:$C$501,$K$2701)&amp;"")&amp;" "&amp;IF($K$2701=0,"",INDEX(Clients!$D$2:$D$501,$K$2701)&amp;"")))</f>
        <v/>
      </c>
      <c r="E2711" s="35"/>
      <c r="F2711" s="35"/>
      <c r="J2711" s="25"/>
      <c r="K2711" s="25"/>
      <c r="L2711" s="25"/>
      <c r="M2711" s="25"/>
      <c r="N2711" s="25"/>
      <c r="O2711" s="25"/>
    </row>
    <row r="2712" customFormat="false" ht="15" hidden="false" customHeight="true" outlineLevel="0" collapsed="false">
      <c r="B2712" s="10"/>
      <c r="C2712" s="10"/>
      <c r="D2712" s="35" t="str">
        <f aca="false">IF($K$2701=0,"",INDEX(Clients!$F$2:$F$501,$K$2701)&amp;"")</f>
        <v/>
      </c>
      <c r="E2712" s="35"/>
      <c r="F2712" s="35"/>
      <c r="J2712" s="25"/>
      <c r="K2712" s="25"/>
      <c r="L2712" s="25"/>
      <c r="M2712" s="25"/>
      <c r="N2712" s="25"/>
      <c r="O2712" s="25"/>
    </row>
    <row r="2713" customFormat="false" ht="15" hidden="false" customHeight="true" outlineLevel="0" collapsed="false">
      <c r="B2713" s="10"/>
      <c r="C2713" s="10"/>
      <c r="D2713" s="35" t="str">
        <f aca="false">IF(IF($K$2701=0,"",INDEX(Clients!$G$2:$G$501,$K$2701)&amp;"")="",TRIM(IF($K$2701=0,"",INDEX(Clients!$H$2:$H$501,$K$2701)&amp;"")&amp;" "&amp;UPPER(IF($K$2701=0,"",INDEX(Clients!$I$2:$I$501,$K$2701)&amp;""))),IF($K$2701=0,"",INDEX(Clients!$G$2:$G$501,$K$2701)&amp;""))</f>
        <v/>
      </c>
      <c r="E2713" s="35"/>
      <c r="F2713" s="35"/>
      <c r="J2713" s="25"/>
      <c r="K2713" s="25"/>
      <c r="L2713" s="25"/>
      <c r="M2713" s="25"/>
      <c r="N2713" s="25"/>
      <c r="O2713" s="25"/>
    </row>
    <row r="2714" customFormat="false" ht="15" hidden="false" customHeight="true" outlineLevel="0" collapsed="false">
      <c r="B2714" s="10"/>
      <c r="C2714" s="10"/>
      <c r="D2714" s="35" t="str">
        <f aca="false">IF(IF($K$2701=0,"",INDEX(Clients!$G$2:$G$501,$K$2701)&amp;"")="","",TRIM(IF($K$2701=0,"",INDEX(Clients!$H$2:$H$501,$K$2701)&amp;"")&amp;" "&amp;UPPER(IF($K$2701=0,"",INDEX(Clients!$I$2:$I$501,$K$2701)&amp;""))))</f>
        <v/>
      </c>
      <c r="E2714" s="35"/>
      <c r="F2714" s="35"/>
      <c r="J2714" s="25"/>
      <c r="K2714" s="25"/>
      <c r="L2714" s="25"/>
      <c r="M2714" s="25"/>
      <c r="N2714" s="25"/>
      <c r="O2714" s="25"/>
    </row>
    <row r="2715" customFormat="false" ht="25.5" hidden="false" customHeight="true" outlineLevel="0" collapsed="false">
      <c r="B2715" s="10"/>
      <c r="C2715" s="10"/>
      <c r="D2715" s="10"/>
      <c r="E2715" s="10"/>
      <c r="F2715" s="10"/>
      <c r="J2715" s="25"/>
      <c r="K2715" s="25"/>
      <c r="L2715" s="25"/>
      <c r="M2715" s="25"/>
      <c r="N2715" s="25"/>
      <c r="O2715" s="25"/>
    </row>
    <row r="2716" customFormat="false" ht="15" hidden="false" customHeight="false" outlineLevel="0" collapsed="false">
      <c r="B2716" s="10"/>
      <c r="C2716" s="10"/>
      <c r="D2716" s="36" t="str">
        <f aca="false">Cab_Ville&amp;", le "&amp;DAY(Date_Courrier)&amp;IF(DAY(Date_Courrier)=1,"er","")&amp;" "&amp;INDEX(Liste_Mois,MONTH(Date_Courrier))&amp;" "&amp;YEAR(Date_Courrier)</f>
        <v>Le Plessis-Bouchard, le 22 septembre 2026</v>
      </c>
      <c r="E2716" s="36"/>
      <c r="F2716" s="36"/>
      <c r="J2716" s="25"/>
      <c r="K2716" s="25"/>
      <c r="L2716" s="25"/>
      <c r="M2716" s="25"/>
      <c r="N2716" s="25"/>
      <c r="O2716" s="25"/>
    </row>
    <row r="2717" customFormat="false" ht="19.5" hidden="false" customHeight="true" outlineLevel="0" collapsed="false">
      <c r="B2717" s="10"/>
      <c r="C2717" s="10"/>
      <c r="D2717" s="10"/>
      <c r="E2717" s="10"/>
      <c r="F2717" s="10"/>
      <c r="J2717" s="25"/>
      <c r="K2717" s="25"/>
      <c r="L2717" s="25"/>
      <c r="M2717" s="25"/>
      <c r="N2717" s="25"/>
      <c r="O2717" s="25"/>
    </row>
    <row r="2718" customFormat="false" ht="15" hidden="false" customHeight="false" outlineLevel="0" collapsed="false">
      <c r="B2718" s="34" t="str">
        <f aca="false">SUBSTITUTE(SUBSTITUTE(SUBSTITUTE(SUBSTITUTE(SUBSTITUTE(Txt_Objet,"{cabinet}",Cab_Nom),"{societe}",IF($K$2701=0,"",INDEX(Clients!$E$2:$E$501,$K$2701)&amp;"")),"{date_effet}",$K$2703),"{hausse}",$K$2704),"{civilite}",$K$2702)</f>
        <v>Objet : révision de nos honoraires au 1er janvier 2027</v>
      </c>
      <c r="C2718" s="34"/>
      <c r="D2718" s="34"/>
      <c r="E2718" s="34"/>
      <c r="F2718" s="34"/>
      <c r="J2718" s="25"/>
      <c r="K2718" s="25"/>
      <c r="L2718" s="25"/>
      <c r="M2718" s="25"/>
      <c r="N2718" s="25"/>
      <c r="O2718" s="25"/>
    </row>
    <row r="2719" customFormat="false" ht="13.5" hidden="false" customHeight="true" outlineLevel="0" collapsed="false">
      <c r="B2719" s="10"/>
      <c r="C2719" s="10"/>
      <c r="D2719" s="10"/>
      <c r="E2719" s="10"/>
      <c r="F2719" s="10"/>
      <c r="J2719" s="25"/>
      <c r="K2719" s="25"/>
      <c r="L2719" s="25"/>
      <c r="M2719" s="25"/>
      <c r="N2719" s="25"/>
      <c r="O2719" s="25"/>
    </row>
    <row r="2720" customFormat="false" ht="15" hidden="false" customHeight="false" outlineLevel="0" collapsed="false">
      <c r="B2720" s="10" t="str">
        <f aca="false">$K$2702&amp;","</f>
        <v>Madame, Monsieur,</v>
      </c>
      <c r="C2720" s="10"/>
      <c r="D2720" s="10"/>
      <c r="E2720" s="10"/>
      <c r="F2720" s="10"/>
      <c r="J2720" s="25"/>
      <c r="K2720" s="25"/>
      <c r="L2720" s="25"/>
      <c r="M2720" s="25"/>
      <c r="N2720" s="25"/>
      <c r="O2720" s="25"/>
    </row>
    <row r="2721" customFormat="false" ht="6" hidden="false" customHeight="true" outlineLevel="0" collapsed="false">
      <c r="B2721" s="10"/>
      <c r="C2721" s="10"/>
      <c r="D2721" s="10"/>
      <c r="E2721" s="10"/>
      <c r="F2721" s="10"/>
      <c r="J2721" s="25"/>
      <c r="K2721" s="25"/>
      <c r="L2721" s="25"/>
      <c r="M2721" s="25"/>
      <c r="N2721" s="25"/>
      <c r="O2721" s="25"/>
    </row>
    <row r="2722" customFormat="false" ht="36.75" hidden="false" customHeight="true" outlineLevel="0" collapsed="false">
      <c r="B2722" s="37" t="str">
        <f aca="false">SUBSTITUTE(SUBSTITUTE(SUBSTITUTE(SUBSTITUTE(SUBSTITUTE(Txt_P1,"{cabinet}",Cab_Nom),"{societe}",IF($K$2701=0,"",INDEX(Clients!$E$2:$E$501,$K$2701)&amp;"")),"{date_effet}",$K$2703),"{hausse}",$K$2704),"{civilite}",$K$2702)</f>
        <v>Nous tenons tout d'abord à vous remercier pour la confiance que vous accordez à ALTHO EXPERTISE. Comme chaque année, et conformément aux dispositions de votre lettre de mission, nous procédons à la révision de nos honoraires.</v>
      </c>
      <c r="C2722" s="37"/>
      <c r="D2722" s="37"/>
      <c r="E2722" s="37"/>
      <c r="F2722" s="37"/>
      <c r="J2722" s="25"/>
      <c r="K2722" s="25"/>
      <c r="L2722" s="25"/>
      <c r="M2722" s="25"/>
      <c r="N2722" s="25"/>
      <c r="O2722" s="25"/>
    </row>
    <row r="2723" customFormat="false" ht="49.5" hidden="false" customHeight="true" outlineLevel="0" collapsed="false">
      <c r="B2723" s="37" t="str">
        <f aca="false">SUBSTITUTE(SUBSTITUTE(SUBSTITUTE(SUBSTITUTE(SUBSTITUTE(Txt_P2,"{cabinet}",Cab_Nom),"{societe}",IF($K$2701=0,"",INDEX(Clients!$E$2:$E$501,$K$2701)&amp;"")),"{date_effet}",$K$2703),"{hausse}",$K$2704),"{civilite}",$K$2702)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723" s="37"/>
      <c r="D2723" s="37"/>
      <c r="E2723" s="37"/>
      <c r="F2723" s="37"/>
      <c r="J2723" s="25"/>
      <c r="K2723" s="25"/>
      <c r="L2723" s="25"/>
      <c r="M2723" s="25"/>
      <c r="N2723" s="25"/>
      <c r="O2723" s="25"/>
    </row>
    <row r="2724" customFormat="false" ht="63" hidden="false" customHeight="true" outlineLevel="0" collapsed="false">
      <c r="B2724" s="37" t="str">
        <f aca="false">SUBSTITUTE(SUBSTITUTE(SUBSTITUTE(SUBSTITUTE(SUBSTITUTE(Txt_P3,"{cabinet}",Cab_Nom),"{societe}",IF($K$2701=0,"",INDEX(Clients!$E$2:$E$501,$K$2701)&amp;"")),"{date_effet}",$K$2703),"{hausse}",$K$2704),"{civilite}",$K$2702)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724" s="37"/>
      <c r="D2724" s="37"/>
      <c r="E2724" s="37"/>
      <c r="F2724" s="37"/>
      <c r="J2724" s="25"/>
      <c r="K2724" s="25"/>
      <c r="L2724" s="25"/>
      <c r="M2724" s="25"/>
      <c r="N2724" s="25"/>
      <c r="O2724" s="25"/>
    </row>
    <row r="2725" customFormat="false" ht="24" hidden="false" customHeight="true" outlineLevel="0" collapsed="false">
      <c r="B2725" s="37" t="str">
        <f aca="false">SUBSTITUTE(SUBSTITUTE(SUBSTITUTE(SUBSTITUTE(SUBSTITUTE(Txt_P4,"{cabinet}",Cab_Nom),"{societe}",IF($K$2701=0,"",INDEX(Clients!$E$2:$E$501,$K$2701)&amp;"")),"{date_effet}",$K$2703),"{hausse}",$K$2704),"{civilite}",$K$2702)</f>
        <v>À compter du 1er janvier 2027, vos honoraires annuels hors taxes évolueront ainsi (évolution globale : ) :</v>
      </c>
      <c r="C2725" s="37"/>
      <c r="D2725" s="37"/>
      <c r="E2725" s="37"/>
      <c r="F2725" s="37"/>
      <c r="J2725" s="25"/>
      <c r="K2725" s="25"/>
      <c r="L2725" s="25"/>
      <c r="M2725" s="25"/>
      <c r="N2725" s="25"/>
      <c r="O2725" s="25"/>
    </row>
    <row r="2726" customFormat="false" ht="3.75" hidden="false" customHeight="true" outlineLevel="0" collapsed="false">
      <c r="B2726" s="10"/>
      <c r="C2726" s="10"/>
      <c r="D2726" s="10"/>
      <c r="E2726" s="10"/>
      <c r="F2726" s="10"/>
      <c r="J2726" s="25"/>
      <c r="K2726" s="25"/>
      <c r="L2726" s="25"/>
      <c r="M2726" s="25"/>
      <c r="N2726" s="25"/>
      <c r="O2726" s="25"/>
    </row>
    <row r="2727" customFormat="false" ht="18" hidden="false" customHeight="true" outlineLevel="0" collapsed="false">
      <c r="B2727" s="38" t="s">
        <v>148</v>
      </c>
      <c r="C2727" s="39" t="s">
        <v>149</v>
      </c>
      <c r="D2727" s="39" t="s">
        <v>150</v>
      </c>
      <c r="E2727" s="39" t="s">
        <v>151</v>
      </c>
      <c r="F2727" s="39" t="s">
        <v>109</v>
      </c>
      <c r="J2727" s="25" t="s">
        <v>152</v>
      </c>
      <c r="K2727" s="25" t="s">
        <v>153</v>
      </c>
      <c r="L2727" s="25" t="s">
        <v>154</v>
      </c>
      <c r="M2727" s="25" t="s">
        <v>155</v>
      </c>
      <c r="N2727" s="25" t="s">
        <v>156</v>
      </c>
      <c r="O2727" s="25" t="s">
        <v>157</v>
      </c>
    </row>
    <row r="2728" customFormat="false" ht="16.5" hidden="false" customHeight="true" outlineLevel="0" collapsed="false">
      <c r="B2728" s="40" t="str">
        <f aca="false">IFERROR(INDEX($J$2728:$J$2731,MATCH($O2728,$N$2728:$N$2731,0)),"")</f>
        <v/>
      </c>
      <c r="C2728" s="41" t="str">
        <f aca="false">IFERROR(INDEX($K$2728:$K$2731,MATCH($O2728,$N$2728:$N$2731,0)),"")</f>
        <v/>
      </c>
      <c r="D2728" s="42" t="str">
        <f aca="false">IF(OR(E2728="",N(C2728)=0),"",E2728/C2728-1)</f>
        <v/>
      </c>
      <c r="E2728" s="41" t="str">
        <f aca="false">IFERROR(INDEX($L$2728:$L$2731,MATCH($O2728,$N$2728:$N$2731,0)),"")</f>
        <v/>
      </c>
      <c r="F2728" s="41" t="str">
        <f aca="false">IF(E2728="","",E2728-C2728)</f>
        <v/>
      </c>
      <c r="J2728" s="25" t="str">
        <f aca="false">Lib_Compta</f>
        <v>Mission comptable (tenue, révision, bilan, liasse fiscale)</v>
      </c>
      <c r="K2728" s="25" t="n">
        <f aca="false">IF($K$2701=0,0,N(INDEX(Clients!$K$2:$K$501,$K$2701)))</f>
        <v>0</v>
      </c>
      <c r="L2728" s="25" t="n">
        <f aca="false">IF($K$2701=0,0,N(INDEX(Clients!$P$2:$P$501,$K$2701)))</f>
        <v>0</v>
      </c>
      <c r="M2728" s="25" t="n">
        <f aca="false">IF(OR(K2728&lt;&gt;0,L2728&lt;&gt;0),1,0)</f>
        <v>0</v>
      </c>
      <c r="N2728" s="25" t="str">
        <f aca="false">IF(M2728=1,SUM($M$2728:M2728),"")</f>
        <v/>
      </c>
      <c r="O2728" s="25" t="n">
        <v>1</v>
      </c>
    </row>
    <row r="2729" customFormat="false" ht="16.5" hidden="false" customHeight="true" outlineLevel="0" collapsed="false">
      <c r="B2729" s="40" t="str">
        <f aca="false">IFERROR(INDEX($J$2728:$J$2731,MATCH($O2729,$N$2728:$N$2731,0)),"")</f>
        <v/>
      </c>
      <c r="C2729" s="41" t="str">
        <f aca="false">IFERROR(INDEX($K$2728:$K$2731,MATCH($O2729,$N$2728:$N$2731,0)),"")</f>
        <v/>
      </c>
      <c r="D2729" s="42" t="str">
        <f aca="false">IF(OR(E2729="",N(C2729)=0),"",E2729/C2729-1)</f>
        <v/>
      </c>
      <c r="E2729" s="41" t="str">
        <f aca="false">IFERROR(INDEX($L$2728:$L$2731,MATCH($O2729,$N$2728:$N$2731,0)),"")</f>
        <v/>
      </c>
      <c r="F2729" s="41" t="str">
        <f aca="false">IF(E2729="","",E2729-C2729)</f>
        <v/>
      </c>
      <c r="J2729" s="25" t="str">
        <f aca="false">Lib_Paye</f>
        <v>Mission sociale (bulletins de paie, DSN, déclarations sociales)</v>
      </c>
      <c r="K2729" s="25" t="n">
        <f aca="false">IF($K$2701=0,0,N(INDEX(Clients!$L$2:$L$501,$K$2701)))</f>
        <v>0</v>
      </c>
      <c r="L2729" s="25" t="n">
        <f aca="false">IF($K$2701=0,0,N(INDEX(Clients!$Q$2:$Q$501,$K$2701)))</f>
        <v>0</v>
      </c>
      <c r="M2729" s="25" t="n">
        <f aca="false">IF(OR(K2729&lt;&gt;0,L2729&lt;&gt;0),1,0)</f>
        <v>0</v>
      </c>
      <c r="N2729" s="25" t="str">
        <f aca="false">IF(M2729=1,SUM($M$2728:M2729),"")</f>
        <v/>
      </c>
      <c r="O2729" s="25" t="n">
        <v>2</v>
      </c>
    </row>
    <row r="2730" customFormat="false" ht="16.5" hidden="false" customHeight="true" outlineLevel="0" collapsed="false">
      <c r="B2730" s="40" t="str">
        <f aca="false">IFERROR(INDEX($J$2728:$J$2731,MATCH($O2730,$N$2728:$N$2731,0)),"")</f>
        <v/>
      </c>
      <c r="C2730" s="41" t="str">
        <f aca="false">IFERROR(INDEX($K$2728:$K$2731,MATCH($O2730,$N$2728:$N$2731,0)),"")</f>
        <v/>
      </c>
      <c r="D2730" s="42" t="str">
        <f aca="false">IF(OR(E2730="",N(C2730)=0),"",E2730/C2730-1)</f>
        <v/>
      </c>
      <c r="E2730" s="41" t="str">
        <f aca="false">IFERROR(INDEX($L$2728:$L$2731,MATCH($O2730,$N$2728:$N$2731,0)),"")</f>
        <v/>
      </c>
      <c r="F2730" s="41" t="str">
        <f aca="false">IF(E2730="","",E2730-C2730)</f>
        <v/>
      </c>
      <c r="J2730" s="25" t="str">
        <f aca="false">Lib_Jur</f>
        <v>Mission juridique (approbation des comptes, secrétariat juridique)</v>
      </c>
      <c r="K2730" s="25" t="n">
        <f aca="false">IF($K$2701=0,0,N(INDEX(Clients!$M$2:$M$501,$K$2701)))</f>
        <v>0</v>
      </c>
      <c r="L2730" s="25" t="n">
        <f aca="false">IF($K$2701=0,0,N(INDEX(Clients!$R$2:$R$501,$K$2701)))</f>
        <v>0</v>
      </c>
      <c r="M2730" s="25" t="n">
        <f aca="false">IF(OR(K2730&lt;&gt;0,L2730&lt;&gt;0),1,0)</f>
        <v>0</v>
      </c>
      <c r="N2730" s="25" t="str">
        <f aca="false">IF(M2730=1,SUM($M$2728:M2730),"")</f>
        <v/>
      </c>
      <c r="O2730" s="25" t="n">
        <v>3</v>
      </c>
    </row>
    <row r="2731" customFormat="false" ht="16.5" hidden="false" customHeight="true" outlineLevel="0" collapsed="false">
      <c r="B2731" s="40" t="str">
        <f aca="false">IFERROR(INDEX($J$2728:$J$2731,MATCH($O2731,$N$2728:$N$2731,0)),"")</f>
        <v/>
      </c>
      <c r="C2731" s="41" t="str">
        <f aca="false">IFERROR(INDEX($K$2728:$K$2731,MATCH($O2731,$N$2728:$N$2731,0)),"")</f>
        <v/>
      </c>
      <c r="D2731" s="42" t="str">
        <f aca="false">IF(OR(E2731="",N(C2731)=0),"",E2731/C2731-1)</f>
        <v/>
      </c>
      <c r="E2731" s="41" t="str">
        <f aca="false">IFERROR(INDEX($L$2728:$L$2731,MATCH($O2731,$N$2728:$N$2731,0)),"")</f>
        <v/>
      </c>
      <c r="F2731" s="41" t="str">
        <f aca="false">IF(E2731="","",E2731-C2731)</f>
        <v/>
      </c>
      <c r="J2731" s="25" t="str">
        <f aca="false">Lib_PA</f>
        <v>Plateforme agréée – facturation électronique</v>
      </c>
      <c r="K2731" s="25" t="n">
        <f aca="false">IF($K$2701=0,0,N(INDEX(Clients!$N$2:$N$501,$K$2701)))</f>
        <v>0</v>
      </c>
      <c r="L2731" s="25" t="n">
        <f aca="false">IF($K$2701=0,0,N(INDEX(Clients!$S$2:$S$501,$K$2701)))</f>
        <v>0</v>
      </c>
      <c r="M2731" s="25" t="n">
        <f aca="false">IF(OR(K2731&lt;&gt;0,L2731&lt;&gt;0),1,0)</f>
        <v>0</v>
      </c>
      <c r="N2731" s="25" t="str">
        <f aca="false">IF(M2731=1,SUM($M$2728:M2731),"")</f>
        <v/>
      </c>
      <c r="O2731" s="25" t="n">
        <v>4</v>
      </c>
    </row>
    <row r="2732" customFormat="false" ht="18" hidden="false" customHeight="true" outlineLevel="0" collapsed="false">
      <c r="B2732" s="43" t="s">
        <v>158</v>
      </c>
      <c r="C2732" s="44" t="n">
        <f aca="false">SUM(K2728:K2731)</f>
        <v>0</v>
      </c>
      <c r="D2732" s="45" t="str">
        <f aca="false">IF(N(C2732)=0,"",E2732/C2732-1)</f>
        <v/>
      </c>
      <c r="E2732" s="44" t="n">
        <f aca="false">SUM(L2728:L2731)</f>
        <v>0</v>
      </c>
      <c r="F2732" s="44" t="n">
        <f aca="false">E2732-C2732</f>
        <v>0</v>
      </c>
    </row>
    <row r="2733" customFormat="false" ht="15" hidden="false" customHeight="false" outlineLevel="0" collapsed="false">
      <c r="B2733" s="46" t="str">
        <f aca="false">IF(N(Nb_Mensualites)=0,"","Soit "&amp;FIXED(E2732/Nb_Mensualites,2)&amp;" € HT par échéance ("&amp;Nb_Mensualites&amp;" échéances), "&amp;FIXED(E2732/Nb_Mensualites*(1+Taux_TVA),2)&amp;" € TTC.")</f>
        <v>Soit 0.00 € HT par échéance (12 échéances), 0.00 € TTC.</v>
      </c>
      <c r="C2733" s="46"/>
      <c r="D2733" s="46"/>
      <c r="E2733" s="46"/>
      <c r="F2733" s="46"/>
    </row>
    <row r="2734" customFormat="false" ht="7.5" hidden="false" customHeight="true" outlineLevel="0" collapsed="false">
      <c r="B2734" s="10"/>
      <c r="C2734" s="10"/>
      <c r="D2734" s="10"/>
      <c r="E2734" s="10"/>
      <c r="F2734" s="10"/>
    </row>
    <row r="2735" customFormat="false" ht="36.75" hidden="false" customHeight="true" outlineLevel="0" collapsed="false">
      <c r="B2735" s="37" t="str">
        <f aca="false">SUBSTITUTE(SUBSTITUTE(SUBSTITUTE(SUBSTITUTE(SUBSTITUTE(Txt_P5,"{cabinet}",Cab_Nom),"{societe}",IF($K$2701=0,"",INDEX(Clients!$E$2:$E$501,$K$2701)&amp;"")),"{date_effet}",$K$2703),"{hausse}",$K$2704),"{civilite}",$K$2702)</f>
        <v>Les autres conditions de votre lettre de mission demeurent inchangées. Les nouveaux montants seront appliqués automatiquement sur vos prochaines factures et échéances de prélèvement.</v>
      </c>
      <c r="C2735" s="37"/>
      <c r="D2735" s="37"/>
      <c r="E2735" s="37"/>
      <c r="F2735" s="37"/>
    </row>
    <row r="2736" customFormat="false" ht="36.75" hidden="false" customHeight="true" outlineLevel="0" collapsed="false">
      <c r="B2736" s="37" t="str">
        <f aca="false">SUBSTITUTE(SUBSTITUTE(SUBSTITUTE(SUBSTITUTE(SUBSTITUTE(Txt_P6,"{cabinet}",Cab_Nom),"{societe}",IF($K$2701=0,"",INDEX(Clients!$E$2:$E$501,$K$2701)&amp;"")),"{date_effet}",$K$2703),"{hausse}",$K$2704),"{civilite}",$K$2702)</f>
        <v>Votre interlocuteur habituel reste à votre entière disposition pour répondre à vos questions et faire le point sur l'évolution de vos besoins.</v>
      </c>
      <c r="C2736" s="37"/>
      <c r="D2736" s="37"/>
      <c r="E2736" s="37"/>
      <c r="F2736" s="37"/>
    </row>
    <row r="2737" customFormat="false" ht="24" hidden="false" customHeight="true" outlineLevel="0" collapsed="false">
      <c r="B2737" s="37" t="str">
        <f aca="false">SUBSTITUTE(SUBSTITUTE(SUBSTITUTE(SUBSTITUTE(SUBSTITUTE(Txt_Politesse,"{cabinet}",Cab_Nom),"{societe}",IF($K$2701=0,"",INDEX(Clients!$E$2:$E$501,$K$2701)&amp;"")),"{date_effet}",$K$2703),"{hausse}",$K$2704),"{civilite}",$K$2702)</f>
        <v>Nous vous prions d'agréer, Madame, Monsieur, l'expression de nos salutations distinguées.</v>
      </c>
      <c r="C2737" s="37"/>
      <c r="D2737" s="37"/>
      <c r="E2737" s="37"/>
      <c r="F2737" s="37"/>
    </row>
    <row r="2738" customFormat="false" ht="15" hidden="false" customHeight="false" outlineLevel="0" collapsed="false">
      <c r="B2738" s="10"/>
      <c r="C2738" s="10"/>
      <c r="D2738" s="10"/>
      <c r="E2738" s="10"/>
      <c r="F2738" s="10"/>
    </row>
    <row r="2739" customFormat="false" ht="15" hidden="false" customHeight="false" outlineLevel="0" collapsed="false">
      <c r="B2739" s="10"/>
      <c r="C2739" s="10"/>
      <c r="D2739" s="34" t="str">
        <f aca="false">Signataire</f>
        <v>Prénom NOM</v>
      </c>
      <c r="E2739" s="34"/>
      <c r="F2739" s="34"/>
    </row>
    <row r="2740" customFormat="false" ht="15" hidden="false" customHeight="false" outlineLevel="0" collapsed="false">
      <c r="B2740" s="10"/>
      <c r="C2740" s="10"/>
      <c r="D2740" s="47" t="str">
        <f aca="false">Signataire_Titre</f>
        <v>Expert-comptable associé</v>
      </c>
      <c r="E2740" s="47"/>
      <c r="F2740" s="47"/>
    </row>
    <row r="2741" customFormat="false" ht="15.75" hidden="false" customHeight="true" outlineLevel="0" collapsed="false">
      <c r="B2741" s="10"/>
      <c r="C2741" s="10"/>
      <c r="D2741" s="10"/>
      <c r="E2741" s="10"/>
      <c r="F2741" s="10"/>
    </row>
    <row r="2742" customFormat="false" ht="15.75" hidden="false" customHeight="true" outlineLevel="0" collapsed="false">
      <c r="B2742" s="10"/>
      <c r="C2742" s="10"/>
      <c r="D2742" s="10"/>
      <c r="E2742" s="10"/>
      <c r="F2742" s="10"/>
    </row>
    <row r="2743" customFormat="false" ht="15.75" hidden="false" customHeight="true" outlineLevel="0" collapsed="false">
      <c r="B2743" s="10"/>
      <c r="C2743" s="10"/>
      <c r="D2743" s="10"/>
      <c r="E2743" s="10"/>
      <c r="F2743" s="10"/>
    </row>
    <row r="2744" customFormat="false" ht="15.75" hidden="false" customHeight="true" outlineLevel="0" collapsed="false">
      <c r="B2744" s="10"/>
      <c r="C2744" s="10"/>
      <c r="D2744" s="10"/>
      <c r="E2744" s="10"/>
      <c r="F2744" s="10"/>
    </row>
    <row r="2745" customFormat="false" ht="24" hidden="false" customHeight="true" outlineLevel="0" collapsed="false">
      <c r="B2745" s="48" t="str">
        <f aca="false">Cab_Mentions</f>
        <v>ALTHO EXPERTISE · SAS au capital de 10 000 € · RCS Pontoise 919 706 325 · TVA FR62919706325 · Société d'expertise comptable inscrite au Tableau de l'Ordre des experts-comptables de Paris Île-de-France</v>
      </c>
      <c r="C2745" s="48"/>
      <c r="D2745" s="48"/>
      <c r="E2745" s="48"/>
      <c r="F2745" s="48"/>
    </row>
    <row r="2746" customFormat="false" ht="15" hidden="false" customHeight="false" outlineLevel="0" collapsed="false">
      <c r="B2746" s="10"/>
      <c r="C2746" s="10"/>
      <c r="D2746" s="10"/>
      <c r="E2746" s="10"/>
      <c r="F2746" s="10"/>
      <c r="J2746" s="25" t="s">
        <v>142</v>
      </c>
      <c r="K2746" s="25" t="n">
        <f aca="false">IFERROR(MATCH(62,Clients!$Z$2:$Z$501,0),0)</f>
        <v>0</v>
      </c>
      <c r="L2746" s="25"/>
      <c r="M2746" s="25"/>
      <c r="N2746" s="25"/>
      <c r="O2746" s="25"/>
    </row>
    <row r="2747" customFormat="false" ht="21.75" hidden="false" customHeight="true" outlineLevel="0" collapsed="false">
      <c r="B2747" s="26" t="str">
        <f aca="false">Cab_Nom</f>
        <v>ALTHO EXPERTISE</v>
      </c>
      <c r="C2747" s="26"/>
      <c r="D2747" s="10"/>
      <c r="E2747" s="27" t="str">
        <f aca="false">IF($K$2746=0,"","Réf. client : "&amp;INDEX(Clients!$A$2:$A$501,$K$2746))</f>
        <v/>
      </c>
      <c r="F2747" s="27"/>
      <c r="J2747" s="25" t="s">
        <v>144</v>
      </c>
      <c r="K2747" s="25" t="str">
        <f aca="false">IF(IF($K$2746=0,"",INDEX(Clients!$B$2:$B$501,$K$2746)&amp;"")="Mme","Madame",IF(IF($K$2746=0,"",INDEX(Clients!$B$2:$B$501,$K$2746)&amp;"")="M.","Monsieur","Madame, Monsieur"))</f>
        <v>Madame, Monsieur</v>
      </c>
      <c r="L2747" s="25"/>
      <c r="M2747" s="25"/>
      <c r="N2747" s="25"/>
      <c r="O2747" s="25"/>
    </row>
    <row r="2748" customFormat="false" ht="15" hidden="false" customHeight="false" outlineLevel="0" collapsed="false">
      <c r="B2748" s="29" t="str">
        <f aca="false">Cab_Adr1</f>
        <v>141 rue Charles de Gaulle</v>
      </c>
      <c r="C2748" s="29"/>
      <c r="D2748" s="10"/>
      <c r="E2748" s="10"/>
      <c r="F2748" s="10"/>
      <c r="J2748" s="25" t="s">
        <v>145</v>
      </c>
      <c r="K2748" s="25" t="str">
        <f aca="false">DAY(Date_Effet)&amp;IF(DAY(Date_Effet)=1,"er","")&amp;" "&amp;INDEX(Liste_Mois,MONTH(Date_Effet))&amp;" "&amp;YEAR(Date_Effet)</f>
        <v>1er janvier 2027</v>
      </c>
      <c r="L2748" s="25"/>
      <c r="M2748" s="25"/>
      <c r="N2748" s="25"/>
      <c r="O2748" s="25"/>
    </row>
    <row r="2749" customFormat="false" ht="15" hidden="false" customHeight="false" outlineLevel="0" collapsed="false">
      <c r="B2749" s="29" t="str">
        <f aca="false">Cab_CPVille</f>
        <v>95130 LE PLESSIS-BOUCHARD</v>
      </c>
      <c r="C2749" s="29"/>
      <c r="D2749" s="10"/>
      <c r="E2749" s="10"/>
      <c r="F2749" s="10"/>
      <c r="J2749" s="25" t="s">
        <v>146</v>
      </c>
      <c r="K2749" s="25" t="str">
        <f aca="false">IF(SUM($K$2773:$K$2776)=0,"",FIXED((SUM($L$2773:$L$2776)/SUM($K$2773:$K$2776)-1)*100,1)&amp;" %")</f>
        <v/>
      </c>
      <c r="L2749" s="25"/>
      <c r="M2749" s="25"/>
      <c r="N2749" s="25"/>
      <c r="O2749" s="25"/>
    </row>
    <row r="2750" customFormat="false" ht="15" hidden="false" customHeight="false" outlineLevel="0" collapsed="false">
      <c r="B2750" s="29" t="str">
        <f aca="false">Cab_Contact</f>
        <v>Tél. 01 34 14 53 45  ·  altho@altho-experts.com  ·  altho-experts.com</v>
      </c>
      <c r="C2750" s="29"/>
      <c r="D2750" s="10"/>
      <c r="E2750" s="10"/>
      <c r="F2750" s="10"/>
      <c r="J2750" s="25"/>
      <c r="K2750" s="25"/>
      <c r="L2750" s="25"/>
      <c r="M2750" s="25"/>
      <c r="N2750" s="25"/>
      <c r="O2750" s="25"/>
    </row>
    <row r="2751" customFormat="false" ht="6" hidden="false" customHeight="true" outlineLevel="0" collapsed="false">
      <c r="B2751" s="32"/>
      <c r="C2751" s="32"/>
      <c r="D2751" s="32"/>
      <c r="E2751" s="32"/>
      <c r="F2751" s="32"/>
      <c r="J2751" s="25"/>
      <c r="K2751" s="25"/>
      <c r="L2751" s="25"/>
      <c r="M2751" s="25"/>
      <c r="N2751" s="25"/>
      <c r="O2751" s="25"/>
    </row>
    <row r="2752" customFormat="false" ht="13.5" hidden="false" customHeight="true" outlineLevel="0" collapsed="false">
      <c r="B2752" s="10"/>
      <c r="C2752" s="10"/>
      <c r="D2752" s="10"/>
      <c r="E2752" s="10"/>
      <c r="F2752" s="10"/>
      <c r="J2752" s="25"/>
      <c r="K2752" s="25"/>
      <c r="L2752" s="25"/>
      <c r="M2752" s="25"/>
      <c r="N2752" s="25"/>
      <c r="O2752" s="25"/>
    </row>
    <row r="2753" customFormat="false" ht="13.5" hidden="false" customHeight="true" outlineLevel="0" collapsed="false">
      <c r="B2753" s="10"/>
      <c r="C2753" s="10"/>
      <c r="D2753" s="10"/>
      <c r="E2753" s="10"/>
      <c r="F2753" s="10"/>
      <c r="J2753" s="25"/>
      <c r="K2753" s="25"/>
      <c r="L2753" s="25"/>
      <c r="M2753" s="25"/>
      <c r="N2753" s="25"/>
      <c r="O2753" s="25"/>
    </row>
    <row r="2754" customFormat="false" ht="13.5" hidden="false" customHeight="true" outlineLevel="0" collapsed="false">
      <c r="B2754" s="10"/>
      <c r="C2754" s="10"/>
      <c r="D2754" s="10"/>
      <c r="E2754" s="10"/>
      <c r="F2754" s="10"/>
      <c r="J2754" s="25"/>
      <c r="K2754" s="25"/>
      <c r="L2754" s="25"/>
      <c r="M2754" s="25"/>
      <c r="N2754" s="25"/>
      <c r="O2754" s="25"/>
    </row>
    <row r="2755" customFormat="false" ht="15" hidden="false" customHeight="true" outlineLevel="0" collapsed="false">
      <c r="B2755" s="10"/>
      <c r="C2755" s="10"/>
      <c r="D2755" s="34" t="str">
        <f aca="false">IF($K$2746=0,"",INDEX(Clients!$E$2:$E$501,$K$2746)&amp;"")</f>
        <v/>
      </c>
      <c r="E2755" s="34"/>
      <c r="F2755" s="34"/>
      <c r="J2755" s="25"/>
      <c r="K2755" s="25"/>
      <c r="L2755" s="25"/>
      <c r="M2755" s="25"/>
      <c r="N2755" s="25"/>
      <c r="O2755" s="25"/>
    </row>
    <row r="2756" customFormat="false" ht="15" hidden="false" customHeight="true" outlineLevel="0" collapsed="false">
      <c r="B2756" s="10"/>
      <c r="C2756" s="10"/>
      <c r="D2756" s="35" t="str">
        <f aca="false">IF(IF($K$2746=0,"",INDEX(Clients!$D$2:$D$501,$K$2746)&amp;"")="","","À l'attention de "&amp;TRIM(IF($K$2746=0,"",INDEX(Clients!$B$2:$B$501,$K$2746)&amp;"")&amp;" "&amp;IF($K$2746=0,"",INDEX(Clients!$C$2:$C$501,$K$2746)&amp;"")&amp;" "&amp;IF($K$2746=0,"",INDEX(Clients!$D$2:$D$501,$K$2746)&amp;"")))</f>
        <v/>
      </c>
      <c r="E2756" s="35"/>
      <c r="F2756" s="35"/>
      <c r="J2756" s="25"/>
      <c r="K2756" s="25"/>
      <c r="L2756" s="25"/>
      <c r="M2756" s="25"/>
      <c r="N2756" s="25"/>
      <c r="O2756" s="25"/>
    </row>
    <row r="2757" customFormat="false" ht="15" hidden="false" customHeight="true" outlineLevel="0" collapsed="false">
      <c r="B2757" s="10"/>
      <c r="C2757" s="10"/>
      <c r="D2757" s="35" t="str">
        <f aca="false">IF($K$2746=0,"",INDEX(Clients!$F$2:$F$501,$K$2746)&amp;"")</f>
        <v/>
      </c>
      <c r="E2757" s="35"/>
      <c r="F2757" s="35"/>
      <c r="J2757" s="25"/>
      <c r="K2757" s="25"/>
      <c r="L2757" s="25"/>
      <c r="M2757" s="25"/>
      <c r="N2757" s="25"/>
      <c r="O2757" s="25"/>
    </row>
    <row r="2758" customFormat="false" ht="15" hidden="false" customHeight="true" outlineLevel="0" collapsed="false">
      <c r="B2758" s="10"/>
      <c r="C2758" s="10"/>
      <c r="D2758" s="35" t="str">
        <f aca="false">IF(IF($K$2746=0,"",INDEX(Clients!$G$2:$G$501,$K$2746)&amp;"")="",TRIM(IF($K$2746=0,"",INDEX(Clients!$H$2:$H$501,$K$2746)&amp;"")&amp;" "&amp;UPPER(IF($K$2746=0,"",INDEX(Clients!$I$2:$I$501,$K$2746)&amp;""))),IF($K$2746=0,"",INDEX(Clients!$G$2:$G$501,$K$2746)&amp;""))</f>
        <v/>
      </c>
      <c r="E2758" s="35"/>
      <c r="F2758" s="35"/>
      <c r="J2758" s="25"/>
      <c r="K2758" s="25"/>
      <c r="L2758" s="25"/>
      <c r="M2758" s="25"/>
      <c r="N2758" s="25"/>
      <c r="O2758" s="25"/>
    </row>
    <row r="2759" customFormat="false" ht="15" hidden="false" customHeight="true" outlineLevel="0" collapsed="false">
      <c r="B2759" s="10"/>
      <c r="C2759" s="10"/>
      <c r="D2759" s="35" t="str">
        <f aca="false">IF(IF($K$2746=0,"",INDEX(Clients!$G$2:$G$501,$K$2746)&amp;"")="","",TRIM(IF($K$2746=0,"",INDEX(Clients!$H$2:$H$501,$K$2746)&amp;"")&amp;" "&amp;UPPER(IF($K$2746=0,"",INDEX(Clients!$I$2:$I$501,$K$2746)&amp;""))))</f>
        <v/>
      </c>
      <c r="E2759" s="35"/>
      <c r="F2759" s="35"/>
      <c r="J2759" s="25"/>
      <c r="K2759" s="25"/>
      <c r="L2759" s="25"/>
      <c r="M2759" s="25"/>
      <c r="N2759" s="25"/>
      <c r="O2759" s="25"/>
    </row>
    <row r="2760" customFormat="false" ht="25.5" hidden="false" customHeight="true" outlineLevel="0" collapsed="false">
      <c r="B2760" s="10"/>
      <c r="C2760" s="10"/>
      <c r="D2760" s="10"/>
      <c r="E2760" s="10"/>
      <c r="F2760" s="10"/>
      <c r="J2760" s="25"/>
      <c r="K2760" s="25"/>
      <c r="L2760" s="25"/>
      <c r="M2760" s="25"/>
      <c r="N2760" s="25"/>
      <c r="O2760" s="25"/>
    </row>
    <row r="2761" customFormat="false" ht="15" hidden="false" customHeight="false" outlineLevel="0" collapsed="false">
      <c r="B2761" s="10"/>
      <c r="C2761" s="10"/>
      <c r="D2761" s="36" t="str">
        <f aca="false">Cab_Ville&amp;", le "&amp;DAY(Date_Courrier)&amp;IF(DAY(Date_Courrier)=1,"er","")&amp;" "&amp;INDEX(Liste_Mois,MONTH(Date_Courrier))&amp;" "&amp;YEAR(Date_Courrier)</f>
        <v>Le Plessis-Bouchard, le 22 septembre 2026</v>
      </c>
      <c r="E2761" s="36"/>
      <c r="F2761" s="36"/>
      <c r="J2761" s="25"/>
      <c r="K2761" s="25"/>
      <c r="L2761" s="25"/>
      <c r="M2761" s="25"/>
      <c r="N2761" s="25"/>
      <c r="O2761" s="25"/>
    </row>
    <row r="2762" customFormat="false" ht="19.5" hidden="false" customHeight="true" outlineLevel="0" collapsed="false">
      <c r="B2762" s="10"/>
      <c r="C2762" s="10"/>
      <c r="D2762" s="10"/>
      <c r="E2762" s="10"/>
      <c r="F2762" s="10"/>
      <c r="J2762" s="25"/>
      <c r="K2762" s="25"/>
      <c r="L2762" s="25"/>
      <c r="M2762" s="25"/>
      <c r="N2762" s="25"/>
      <c r="O2762" s="25"/>
    </row>
    <row r="2763" customFormat="false" ht="15" hidden="false" customHeight="false" outlineLevel="0" collapsed="false">
      <c r="B2763" s="34" t="str">
        <f aca="false">SUBSTITUTE(SUBSTITUTE(SUBSTITUTE(SUBSTITUTE(SUBSTITUTE(Txt_Objet,"{cabinet}",Cab_Nom),"{societe}",IF($K$2746=0,"",INDEX(Clients!$E$2:$E$501,$K$2746)&amp;"")),"{date_effet}",$K$2748),"{hausse}",$K$2749),"{civilite}",$K$2747)</f>
        <v>Objet : révision de nos honoraires au 1er janvier 2027</v>
      </c>
      <c r="C2763" s="34"/>
      <c r="D2763" s="34"/>
      <c r="E2763" s="34"/>
      <c r="F2763" s="34"/>
      <c r="J2763" s="25"/>
      <c r="K2763" s="25"/>
      <c r="L2763" s="25"/>
      <c r="M2763" s="25"/>
      <c r="N2763" s="25"/>
      <c r="O2763" s="25"/>
    </row>
    <row r="2764" customFormat="false" ht="13.5" hidden="false" customHeight="true" outlineLevel="0" collapsed="false">
      <c r="B2764" s="10"/>
      <c r="C2764" s="10"/>
      <c r="D2764" s="10"/>
      <c r="E2764" s="10"/>
      <c r="F2764" s="10"/>
      <c r="J2764" s="25"/>
      <c r="K2764" s="25"/>
      <c r="L2764" s="25"/>
      <c r="M2764" s="25"/>
      <c r="N2764" s="25"/>
      <c r="O2764" s="25"/>
    </row>
    <row r="2765" customFormat="false" ht="15" hidden="false" customHeight="false" outlineLevel="0" collapsed="false">
      <c r="B2765" s="10" t="str">
        <f aca="false">$K$2747&amp;","</f>
        <v>Madame, Monsieur,</v>
      </c>
      <c r="C2765" s="10"/>
      <c r="D2765" s="10"/>
      <c r="E2765" s="10"/>
      <c r="F2765" s="10"/>
      <c r="J2765" s="25"/>
      <c r="K2765" s="25"/>
      <c r="L2765" s="25"/>
      <c r="M2765" s="25"/>
      <c r="N2765" s="25"/>
      <c r="O2765" s="25"/>
    </row>
    <row r="2766" customFormat="false" ht="6" hidden="false" customHeight="true" outlineLevel="0" collapsed="false">
      <c r="B2766" s="10"/>
      <c r="C2766" s="10"/>
      <c r="D2766" s="10"/>
      <c r="E2766" s="10"/>
      <c r="F2766" s="10"/>
      <c r="J2766" s="25"/>
      <c r="K2766" s="25"/>
      <c r="L2766" s="25"/>
      <c r="M2766" s="25"/>
      <c r="N2766" s="25"/>
      <c r="O2766" s="25"/>
    </row>
    <row r="2767" customFormat="false" ht="36.75" hidden="false" customHeight="true" outlineLevel="0" collapsed="false">
      <c r="B2767" s="37" t="str">
        <f aca="false">SUBSTITUTE(SUBSTITUTE(SUBSTITUTE(SUBSTITUTE(SUBSTITUTE(Txt_P1,"{cabinet}",Cab_Nom),"{societe}",IF($K$2746=0,"",INDEX(Clients!$E$2:$E$501,$K$2746)&amp;"")),"{date_effet}",$K$2748),"{hausse}",$K$2749),"{civilite}",$K$2747)</f>
        <v>Nous tenons tout d'abord à vous remercier pour la confiance que vous accordez à ALTHO EXPERTISE. Comme chaque année, et conformément aux dispositions de votre lettre de mission, nous procédons à la révision de nos honoraires.</v>
      </c>
      <c r="C2767" s="37"/>
      <c r="D2767" s="37"/>
      <c r="E2767" s="37"/>
      <c r="F2767" s="37"/>
      <c r="J2767" s="25"/>
      <c r="K2767" s="25"/>
      <c r="L2767" s="25"/>
      <c r="M2767" s="25"/>
      <c r="N2767" s="25"/>
      <c r="O2767" s="25"/>
    </row>
    <row r="2768" customFormat="false" ht="49.5" hidden="false" customHeight="true" outlineLevel="0" collapsed="false">
      <c r="B2768" s="37" t="str">
        <f aca="false">SUBSTITUTE(SUBSTITUTE(SUBSTITUTE(SUBSTITUTE(SUBSTITUTE(Txt_P2,"{cabinet}",Cab_Nom),"{societe}",IF($K$2746=0,"",INDEX(Clients!$E$2:$E$501,$K$2746)&amp;"")),"{date_effet}",$K$2748),"{hausse}",$K$2749),"{civilite}",$K$2747)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768" s="37"/>
      <c r="D2768" s="37"/>
      <c r="E2768" s="37"/>
      <c r="F2768" s="37"/>
      <c r="J2768" s="25"/>
      <c r="K2768" s="25"/>
      <c r="L2768" s="25"/>
      <c r="M2768" s="25"/>
      <c r="N2768" s="25"/>
      <c r="O2768" s="25"/>
    </row>
    <row r="2769" customFormat="false" ht="63" hidden="false" customHeight="true" outlineLevel="0" collapsed="false">
      <c r="B2769" s="37" t="str">
        <f aca="false">SUBSTITUTE(SUBSTITUTE(SUBSTITUTE(SUBSTITUTE(SUBSTITUTE(Txt_P3,"{cabinet}",Cab_Nom),"{societe}",IF($K$2746=0,"",INDEX(Clients!$E$2:$E$501,$K$2746)&amp;"")),"{date_effet}",$K$2748),"{hausse}",$K$2749),"{civilite}",$K$2747)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769" s="37"/>
      <c r="D2769" s="37"/>
      <c r="E2769" s="37"/>
      <c r="F2769" s="37"/>
      <c r="J2769" s="25"/>
      <c r="K2769" s="25"/>
      <c r="L2769" s="25"/>
      <c r="M2769" s="25"/>
      <c r="N2769" s="25"/>
      <c r="O2769" s="25"/>
    </row>
    <row r="2770" customFormat="false" ht="24" hidden="false" customHeight="true" outlineLevel="0" collapsed="false">
      <c r="B2770" s="37" t="str">
        <f aca="false">SUBSTITUTE(SUBSTITUTE(SUBSTITUTE(SUBSTITUTE(SUBSTITUTE(Txt_P4,"{cabinet}",Cab_Nom),"{societe}",IF($K$2746=0,"",INDEX(Clients!$E$2:$E$501,$K$2746)&amp;"")),"{date_effet}",$K$2748),"{hausse}",$K$2749),"{civilite}",$K$2747)</f>
        <v>À compter du 1er janvier 2027, vos honoraires annuels hors taxes évolueront ainsi (évolution globale : ) :</v>
      </c>
      <c r="C2770" s="37"/>
      <c r="D2770" s="37"/>
      <c r="E2770" s="37"/>
      <c r="F2770" s="37"/>
      <c r="J2770" s="25"/>
      <c r="K2770" s="25"/>
      <c r="L2770" s="25"/>
      <c r="M2770" s="25"/>
      <c r="N2770" s="25"/>
      <c r="O2770" s="25"/>
    </row>
    <row r="2771" customFormat="false" ht="3.75" hidden="false" customHeight="true" outlineLevel="0" collapsed="false">
      <c r="B2771" s="10"/>
      <c r="C2771" s="10"/>
      <c r="D2771" s="10"/>
      <c r="E2771" s="10"/>
      <c r="F2771" s="10"/>
      <c r="J2771" s="25"/>
      <c r="K2771" s="25"/>
      <c r="L2771" s="25"/>
      <c r="M2771" s="25"/>
      <c r="N2771" s="25"/>
      <c r="O2771" s="25"/>
    </row>
    <row r="2772" customFormat="false" ht="18" hidden="false" customHeight="true" outlineLevel="0" collapsed="false">
      <c r="B2772" s="38" t="s">
        <v>148</v>
      </c>
      <c r="C2772" s="39" t="s">
        <v>149</v>
      </c>
      <c r="D2772" s="39" t="s">
        <v>150</v>
      </c>
      <c r="E2772" s="39" t="s">
        <v>151</v>
      </c>
      <c r="F2772" s="39" t="s">
        <v>109</v>
      </c>
      <c r="J2772" s="25" t="s">
        <v>152</v>
      </c>
      <c r="K2772" s="25" t="s">
        <v>153</v>
      </c>
      <c r="L2772" s="25" t="s">
        <v>154</v>
      </c>
      <c r="M2772" s="25" t="s">
        <v>155</v>
      </c>
      <c r="N2772" s="25" t="s">
        <v>156</v>
      </c>
      <c r="O2772" s="25" t="s">
        <v>157</v>
      </c>
    </row>
    <row r="2773" customFormat="false" ht="16.5" hidden="false" customHeight="true" outlineLevel="0" collapsed="false">
      <c r="B2773" s="40" t="str">
        <f aca="false">IFERROR(INDEX($J$2773:$J$2776,MATCH($O2773,$N$2773:$N$2776,0)),"")</f>
        <v/>
      </c>
      <c r="C2773" s="41" t="str">
        <f aca="false">IFERROR(INDEX($K$2773:$K$2776,MATCH($O2773,$N$2773:$N$2776,0)),"")</f>
        <v/>
      </c>
      <c r="D2773" s="42" t="str">
        <f aca="false">IF(OR(E2773="",N(C2773)=0),"",E2773/C2773-1)</f>
        <v/>
      </c>
      <c r="E2773" s="41" t="str">
        <f aca="false">IFERROR(INDEX($L$2773:$L$2776,MATCH($O2773,$N$2773:$N$2776,0)),"")</f>
        <v/>
      </c>
      <c r="F2773" s="41" t="str">
        <f aca="false">IF(E2773="","",E2773-C2773)</f>
        <v/>
      </c>
      <c r="J2773" s="25" t="str">
        <f aca="false">Lib_Compta</f>
        <v>Mission comptable (tenue, révision, bilan, liasse fiscale)</v>
      </c>
      <c r="K2773" s="25" t="n">
        <f aca="false">IF($K$2746=0,0,N(INDEX(Clients!$K$2:$K$501,$K$2746)))</f>
        <v>0</v>
      </c>
      <c r="L2773" s="25" t="n">
        <f aca="false">IF($K$2746=0,0,N(INDEX(Clients!$P$2:$P$501,$K$2746)))</f>
        <v>0</v>
      </c>
      <c r="M2773" s="25" t="n">
        <f aca="false">IF(OR(K2773&lt;&gt;0,L2773&lt;&gt;0),1,0)</f>
        <v>0</v>
      </c>
      <c r="N2773" s="25" t="str">
        <f aca="false">IF(M2773=1,SUM($M$2773:M2773),"")</f>
        <v/>
      </c>
      <c r="O2773" s="25" t="n">
        <v>1</v>
      </c>
    </row>
    <row r="2774" customFormat="false" ht="16.5" hidden="false" customHeight="true" outlineLevel="0" collapsed="false">
      <c r="B2774" s="40" t="str">
        <f aca="false">IFERROR(INDEX($J$2773:$J$2776,MATCH($O2774,$N$2773:$N$2776,0)),"")</f>
        <v/>
      </c>
      <c r="C2774" s="41" t="str">
        <f aca="false">IFERROR(INDEX($K$2773:$K$2776,MATCH($O2774,$N$2773:$N$2776,0)),"")</f>
        <v/>
      </c>
      <c r="D2774" s="42" t="str">
        <f aca="false">IF(OR(E2774="",N(C2774)=0),"",E2774/C2774-1)</f>
        <v/>
      </c>
      <c r="E2774" s="41" t="str">
        <f aca="false">IFERROR(INDEX($L$2773:$L$2776,MATCH($O2774,$N$2773:$N$2776,0)),"")</f>
        <v/>
      </c>
      <c r="F2774" s="41" t="str">
        <f aca="false">IF(E2774="","",E2774-C2774)</f>
        <v/>
      </c>
      <c r="J2774" s="25" t="str">
        <f aca="false">Lib_Paye</f>
        <v>Mission sociale (bulletins de paie, DSN, déclarations sociales)</v>
      </c>
      <c r="K2774" s="25" t="n">
        <f aca="false">IF($K$2746=0,0,N(INDEX(Clients!$L$2:$L$501,$K$2746)))</f>
        <v>0</v>
      </c>
      <c r="L2774" s="25" t="n">
        <f aca="false">IF($K$2746=0,0,N(INDEX(Clients!$Q$2:$Q$501,$K$2746)))</f>
        <v>0</v>
      </c>
      <c r="M2774" s="25" t="n">
        <f aca="false">IF(OR(K2774&lt;&gt;0,L2774&lt;&gt;0),1,0)</f>
        <v>0</v>
      </c>
      <c r="N2774" s="25" t="str">
        <f aca="false">IF(M2774=1,SUM($M$2773:M2774),"")</f>
        <v/>
      </c>
      <c r="O2774" s="25" t="n">
        <v>2</v>
      </c>
    </row>
    <row r="2775" customFormat="false" ht="16.5" hidden="false" customHeight="true" outlineLevel="0" collapsed="false">
      <c r="B2775" s="40" t="str">
        <f aca="false">IFERROR(INDEX($J$2773:$J$2776,MATCH($O2775,$N$2773:$N$2776,0)),"")</f>
        <v/>
      </c>
      <c r="C2775" s="41" t="str">
        <f aca="false">IFERROR(INDEX($K$2773:$K$2776,MATCH($O2775,$N$2773:$N$2776,0)),"")</f>
        <v/>
      </c>
      <c r="D2775" s="42" t="str">
        <f aca="false">IF(OR(E2775="",N(C2775)=0),"",E2775/C2775-1)</f>
        <v/>
      </c>
      <c r="E2775" s="41" t="str">
        <f aca="false">IFERROR(INDEX($L$2773:$L$2776,MATCH($O2775,$N$2773:$N$2776,0)),"")</f>
        <v/>
      </c>
      <c r="F2775" s="41" t="str">
        <f aca="false">IF(E2775="","",E2775-C2775)</f>
        <v/>
      </c>
      <c r="J2775" s="25" t="str">
        <f aca="false">Lib_Jur</f>
        <v>Mission juridique (approbation des comptes, secrétariat juridique)</v>
      </c>
      <c r="K2775" s="25" t="n">
        <f aca="false">IF($K$2746=0,0,N(INDEX(Clients!$M$2:$M$501,$K$2746)))</f>
        <v>0</v>
      </c>
      <c r="L2775" s="25" t="n">
        <f aca="false">IF($K$2746=0,0,N(INDEX(Clients!$R$2:$R$501,$K$2746)))</f>
        <v>0</v>
      </c>
      <c r="M2775" s="25" t="n">
        <f aca="false">IF(OR(K2775&lt;&gt;0,L2775&lt;&gt;0),1,0)</f>
        <v>0</v>
      </c>
      <c r="N2775" s="25" t="str">
        <f aca="false">IF(M2775=1,SUM($M$2773:M2775),"")</f>
        <v/>
      </c>
      <c r="O2775" s="25" t="n">
        <v>3</v>
      </c>
    </row>
    <row r="2776" customFormat="false" ht="16.5" hidden="false" customHeight="true" outlineLevel="0" collapsed="false">
      <c r="B2776" s="40" t="str">
        <f aca="false">IFERROR(INDEX($J$2773:$J$2776,MATCH($O2776,$N$2773:$N$2776,0)),"")</f>
        <v/>
      </c>
      <c r="C2776" s="41" t="str">
        <f aca="false">IFERROR(INDEX($K$2773:$K$2776,MATCH($O2776,$N$2773:$N$2776,0)),"")</f>
        <v/>
      </c>
      <c r="D2776" s="42" t="str">
        <f aca="false">IF(OR(E2776="",N(C2776)=0),"",E2776/C2776-1)</f>
        <v/>
      </c>
      <c r="E2776" s="41" t="str">
        <f aca="false">IFERROR(INDEX($L$2773:$L$2776,MATCH($O2776,$N$2773:$N$2776,0)),"")</f>
        <v/>
      </c>
      <c r="F2776" s="41" t="str">
        <f aca="false">IF(E2776="","",E2776-C2776)</f>
        <v/>
      </c>
      <c r="J2776" s="25" t="str">
        <f aca="false">Lib_PA</f>
        <v>Plateforme agréée – facturation électronique</v>
      </c>
      <c r="K2776" s="25" t="n">
        <f aca="false">IF($K$2746=0,0,N(INDEX(Clients!$N$2:$N$501,$K$2746)))</f>
        <v>0</v>
      </c>
      <c r="L2776" s="25" t="n">
        <f aca="false">IF($K$2746=0,0,N(INDEX(Clients!$S$2:$S$501,$K$2746)))</f>
        <v>0</v>
      </c>
      <c r="M2776" s="25" t="n">
        <f aca="false">IF(OR(K2776&lt;&gt;0,L2776&lt;&gt;0),1,0)</f>
        <v>0</v>
      </c>
      <c r="N2776" s="25" t="str">
        <f aca="false">IF(M2776=1,SUM($M$2773:M2776),"")</f>
        <v/>
      </c>
      <c r="O2776" s="25" t="n">
        <v>4</v>
      </c>
    </row>
    <row r="2777" customFormat="false" ht="18" hidden="false" customHeight="true" outlineLevel="0" collapsed="false">
      <c r="B2777" s="43" t="s">
        <v>158</v>
      </c>
      <c r="C2777" s="44" t="n">
        <f aca="false">SUM(K2773:K2776)</f>
        <v>0</v>
      </c>
      <c r="D2777" s="45" t="str">
        <f aca="false">IF(N(C2777)=0,"",E2777/C2777-1)</f>
        <v/>
      </c>
      <c r="E2777" s="44" t="n">
        <f aca="false">SUM(L2773:L2776)</f>
        <v>0</v>
      </c>
      <c r="F2777" s="44" t="n">
        <f aca="false">E2777-C2777</f>
        <v>0</v>
      </c>
    </row>
    <row r="2778" customFormat="false" ht="15" hidden="false" customHeight="false" outlineLevel="0" collapsed="false">
      <c r="B2778" s="46" t="str">
        <f aca="false">IF(N(Nb_Mensualites)=0,"","Soit "&amp;FIXED(E2777/Nb_Mensualites,2)&amp;" € HT par échéance ("&amp;Nb_Mensualites&amp;" échéances), "&amp;FIXED(E2777/Nb_Mensualites*(1+Taux_TVA),2)&amp;" € TTC.")</f>
        <v>Soit 0.00 € HT par échéance (12 échéances), 0.00 € TTC.</v>
      </c>
      <c r="C2778" s="46"/>
      <c r="D2778" s="46"/>
      <c r="E2778" s="46"/>
      <c r="F2778" s="46"/>
    </row>
    <row r="2779" customFormat="false" ht="7.5" hidden="false" customHeight="true" outlineLevel="0" collapsed="false">
      <c r="B2779" s="10"/>
      <c r="C2779" s="10"/>
      <c r="D2779" s="10"/>
      <c r="E2779" s="10"/>
      <c r="F2779" s="10"/>
    </row>
    <row r="2780" customFormat="false" ht="36.75" hidden="false" customHeight="true" outlineLevel="0" collapsed="false">
      <c r="B2780" s="37" t="str">
        <f aca="false">SUBSTITUTE(SUBSTITUTE(SUBSTITUTE(SUBSTITUTE(SUBSTITUTE(Txt_P5,"{cabinet}",Cab_Nom),"{societe}",IF($K$2746=0,"",INDEX(Clients!$E$2:$E$501,$K$2746)&amp;"")),"{date_effet}",$K$2748),"{hausse}",$K$2749),"{civilite}",$K$2747)</f>
        <v>Les autres conditions de votre lettre de mission demeurent inchangées. Les nouveaux montants seront appliqués automatiquement sur vos prochaines factures et échéances de prélèvement.</v>
      </c>
      <c r="C2780" s="37"/>
      <c r="D2780" s="37"/>
      <c r="E2780" s="37"/>
      <c r="F2780" s="37"/>
    </row>
    <row r="2781" customFormat="false" ht="36.75" hidden="false" customHeight="true" outlineLevel="0" collapsed="false">
      <c r="B2781" s="37" t="str">
        <f aca="false">SUBSTITUTE(SUBSTITUTE(SUBSTITUTE(SUBSTITUTE(SUBSTITUTE(Txt_P6,"{cabinet}",Cab_Nom),"{societe}",IF($K$2746=0,"",INDEX(Clients!$E$2:$E$501,$K$2746)&amp;"")),"{date_effet}",$K$2748),"{hausse}",$K$2749),"{civilite}",$K$2747)</f>
        <v>Votre interlocuteur habituel reste à votre entière disposition pour répondre à vos questions et faire le point sur l'évolution de vos besoins.</v>
      </c>
      <c r="C2781" s="37"/>
      <c r="D2781" s="37"/>
      <c r="E2781" s="37"/>
      <c r="F2781" s="37"/>
    </row>
    <row r="2782" customFormat="false" ht="24" hidden="false" customHeight="true" outlineLevel="0" collapsed="false">
      <c r="B2782" s="37" t="str">
        <f aca="false">SUBSTITUTE(SUBSTITUTE(SUBSTITUTE(SUBSTITUTE(SUBSTITUTE(Txt_Politesse,"{cabinet}",Cab_Nom),"{societe}",IF($K$2746=0,"",INDEX(Clients!$E$2:$E$501,$K$2746)&amp;"")),"{date_effet}",$K$2748),"{hausse}",$K$2749),"{civilite}",$K$2747)</f>
        <v>Nous vous prions d'agréer, Madame, Monsieur, l'expression de nos salutations distinguées.</v>
      </c>
      <c r="C2782" s="37"/>
      <c r="D2782" s="37"/>
      <c r="E2782" s="37"/>
      <c r="F2782" s="37"/>
    </row>
    <row r="2783" customFormat="false" ht="15" hidden="false" customHeight="false" outlineLevel="0" collapsed="false">
      <c r="B2783" s="10"/>
      <c r="C2783" s="10"/>
      <c r="D2783" s="10"/>
      <c r="E2783" s="10"/>
      <c r="F2783" s="10"/>
    </row>
    <row r="2784" customFormat="false" ht="15" hidden="false" customHeight="false" outlineLevel="0" collapsed="false">
      <c r="B2784" s="10"/>
      <c r="C2784" s="10"/>
      <c r="D2784" s="34" t="str">
        <f aca="false">Signataire</f>
        <v>Prénom NOM</v>
      </c>
      <c r="E2784" s="34"/>
      <c r="F2784" s="34"/>
    </row>
    <row r="2785" customFormat="false" ht="15" hidden="false" customHeight="false" outlineLevel="0" collapsed="false">
      <c r="B2785" s="10"/>
      <c r="C2785" s="10"/>
      <c r="D2785" s="47" t="str">
        <f aca="false">Signataire_Titre</f>
        <v>Expert-comptable associé</v>
      </c>
      <c r="E2785" s="47"/>
      <c r="F2785" s="47"/>
    </row>
    <row r="2786" customFormat="false" ht="15.75" hidden="false" customHeight="true" outlineLevel="0" collapsed="false">
      <c r="B2786" s="10"/>
      <c r="C2786" s="10"/>
      <c r="D2786" s="10"/>
      <c r="E2786" s="10"/>
      <c r="F2786" s="10"/>
    </row>
    <row r="2787" customFormat="false" ht="15.75" hidden="false" customHeight="true" outlineLevel="0" collapsed="false">
      <c r="B2787" s="10"/>
      <c r="C2787" s="10"/>
      <c r="D2787" s="10"/>
      <c r="E2787" s="10"/>
      <c r="F2787" s="10"/>
    </row>
    <row r="2788" customFormat="false" ht="15.75" hidden="false" customHeight="true" outlineLevel="0" collapsed="false">
      <c r="B2788" s="10"/>
      <c r="C2788" s="10"/>
      <c r="D2788" s="10"/>
      <c r="E2788" s="10"/>
      <c r="F2788" s="10"/>
    </row>
    <row r="2789" customFormat="false" ht="15.75" hidden="false" customHeight="true" outlineLevel="0" collapsed="false">
      <c r="B2789" s="10"/>
      <c r="C2789" s="10"/>
      <c r="D2789" s="10"/>
      <c r="E2789" s="10"/>
      <c r="F2789" s="10"/>
    </row>
    <row r="2790" customFormat="false" ht="24" hidden="false" customHeight="true" outlineLevel="0" collapsed="false">
      <c r="B2790" s="48" t="str">
        <f aca="false">Cab_Mentions</f>
        <v>ALTHO EXPERTISE · SAS au capital de 10 000 € · RCS Pontoise 919 706 325 · TVA FR62919706325 · Société d'expertise comptable inscrite au Tableau de l'Ordre des experts-comptables de Paris Île-de-France</v>
      </c>
      <c r="C2790" s="48"/>
      <c r="D2790" s="48"/>
      <c r="E2790" s="48"/>
      <c r="F2790" s="48"/>
    </row>
    <row r="2791" customFormat="false" ht="15" hidden="false" customHeight="false" outlineLevel="0" collapsed="false">
      <c r="B2791" s="10"/>
      <c r="C2791" s="10"/>
      <c r="D2791" s="10"/>
      <c r="E2791" s="10"/>
      <c r="F2791" s="10"/>
      <c r="J2791" s="25" t="s">
        <v>142</v>
      </c>
      <c r="K2791" s="25" t="n">
        <f aca="false">IFERROR(MATCH(63,Clients!$Z$2:$Z$501,0),0)</f>
        <v>0</v>
      </c>
      <c r="L2791" s="25"/>
      <c r="M2791" s="25"/>
      <c r="N2791" s="25"/>
      <c r="O2791" s="25"/>
    </row>
    <row r="2792" customFormat="false" ht="21.75" hidden="false" customHeight="true" outlineLevel="0" collapsed="false">
      <c r="B2792" s="26" t="str">
        <f aca="false">Cab_Nom</f>
        <v>ALTHO EXPERTISE</v>
      </c>
      <c r="C2792" s="26"/>
      <c r="D2792" s="10"/>
      <c r="E2792" s="27" t="str">
        <f aca="false">IF($K$2791=0,"","Réf. client : "&amp;INDEX(Clients!$A$2:$A$501,$K$2791))</f>
        <v/>
      </c>
      <c r="F2792" s="27"/>
      <c r="J2792" s="25" t="s">
        <v>144</v>
      </c>
      <c r="K2792" s="25" t="str">
        <f aca="false">IF(IF($K$2791=0,"",INDEX(Clients!$B$2:$B$501,$K$2791)&amp;"")="Mme","Madame",IF(IF($K$2791=0,"",INDEX(Clients!$B$2:$B$501,$K$2791)&amp;"")="M.","Monsieur","Madame, Monsieur"))</f>
        <v>Madame, Monsieur</v>
      </c>
      <c r="L2792" s="25"/>
      <c r="M2792" s="25"/>
      <c r="N2792" s="25"/>
      <c r="O2792" s="25"/>
    </row>
    <row r="2793" customFormat="false" ht="15" hidden="false" customHeight="false" outlineLevel="0" collapsed="false">
      <c r="B2793" s="29" t="str">
        <f aca="false">Cab_Adr1</f>
        <v>141 rue Charles de Gaulle</v>
      </c>
      <c r="C2793" s="29"/>
      <c r="D2793" s="10"/>
      <c r="E2793" s="10"/>
      <c r="F2793" s="10"/>
      <c r="J2793" s="25" t="s">
        <v>145</v>
      </c>
      <c r="K2793" s="25" t="str">
        <f aca="false">DAY(Date_Effet)&amp;IF(DAY(Date_Effet)=1,"er","")&amp;" "&amp;INDEX(Liste_Mois,MONTH(Date_Effet))&amp;" "&amp;YEAR(Date_Effet)</f>
        <v>1er janvier 2027</v>
      </c>
      <c r="L2793" s="25"/>
      <c r="M2793" s="25"/>
      <c r="N2793" s="25"/>
      <c r="O2793" s="25"/>
    </row>
    <row r="2794" customFormat="false" ht="15" hidden="false" customHeight="false" outlineLevel="0" collapsed="false">
      <c r="B2794" s="29" t="str">
        <f aca="false">Cab_CPVille</f>
        <v>95130 LE PLESSIS-BOUCHARD</v>
      </c>
      <c r="C2794" s="29"/>
      <c r="D2794" s="10"/>
      <c r="E2794" s="10"/>
      <c r="F2794" s="10"/>
      <c r="J2794" s="25" t="s">
        <v>146</v>
      </c>
      <c r="K2794" s="25" t="str">
        <f aca="false">IF(SUM($K$2818:$K$2821)=0,"",FIXED((SUM($L$2818:$L$2821)/SUM($K$2818:$K$2821)-1)*100,1)&amp;" %")</f>
        <v/>
      </c>
      <c r="L2794" s="25"/>
      <c r="M2794" s="25"/>
      <c r="N2794" s="25"/>
      <c r="O2794" s="25"/>
    </row>
    <row r="2795" customFormat="false" ht="15" hidden="false" customHeight="false" outlineLevel="0" collapsed="false">
      <c r="B2795" s="29" t="str">
        <f aca="false">Cab_Contact</f>
        <v>Tél. 01 34 14 53 45  ·  altho@altho-experts.com  ·  altho-experts.com</v>
      </c>
      <c r="C2795" s="29"/>
      <c r="D2795" s="10"/>
      <c r="E2795" s="10"/>
      <c r="F2795" s="10"/>
      <c r="J2795" s="25"/>
      <c r="K2795" s="25"/>
      <c r="L2795" s="25"/>
      <c r="M2795" s="25"/>
      <c r="N2795" s="25"/>
      <c r="O2795" s="25"/>
    </row>
    <row r="2796" customFormat="false" ht="6" hidden="false" customHeight="true" outlineLevel="0" collapsed="false">
      <c r="B2796" s="32"/>
      <c r="C2796" s="32"/>
      <c r="D2796" s="32"/>
      <c r="E2796" s="32"/>
      <c r="F2796" s="32"/>
      <c r="J2796" s="25"/>
      <c r="K2796" s="25"/>
      <c r="L2796" s="25"/>
      <c r="M2796" s="25"/>
      <c r="N2796" s="25"/>
      <c r="O2796" s="25"/>
    </row>
    <row r="2797" customFormat="false" ht="13.5" hidden="false" customHeight="true" outlineLevel="0" collapsed="false">
      <c r="B2797" s="10"/>
      <c r="C2797" s="10"/>
      <c r="D2797" s="10"/>
      <c r="E2797" s="10"/>
      <c r="F2797" s="10"/>
      <c r="J2797" s="25"/>
      <c r="K2797" s="25"/>
      <c r="L2797" s="25"/>
      <c r="M2797" s="25"/>
      <c r="N2797" s="25"/>
      <c r="O2797" s="25"/>
    </row>
    <row r="2798" customFormat="false" ht="13.5" hidden="false" customHeight="true" outlineLevel="0" collapsed="false">
      <c r="B2798" s="10"/>
      <c r="C2798" s="10"/>
      <c r="D2798" s="10"/>
      <c r="E2798" s="10"/>
      <c r="F2798" s="10"/>
      <c r="J2798" s="25"/>
      <c r="K2798" s="25"/>
      <c r="L2798" s="25"/>
      <c r="M2798" s="25"/>
      <c r="N2798" s="25"/>
      <c r="O2798" s="25"/>
    </row>
    <row r="2799" customFormat="false" ht="13.5" hidden="false" customHeight="true" outlineLevel="0" collapsed="false">
      <c r="B2799" s="10"/>
      <c r="C2799" s="10"/>
      <c r="D2799" s="10"/>
      <c r="E2799" s="10"/>
      <c r="F2799" s="10"/>
      <c r="J2799" s="25"/>
      <c r="K2799" s="25"/>
      <c r="L2799" s="25"/>
      <c r="M2799" s="25"/>
      <c r="N2799" s="25"/>
      <c r="O2799" s="25"/>
    </row>
    <row r="2800" customFormat="false" ht="15" hidden="false" customHeight="true" outlineLevel="0" collapsed="false">
      <c r="B2800" s="10"/>
      <c r="C2800" s="10"/>
      <c r="D2800" s="34" t="str">
        <f aca="false">IF($K$2791=0,"",INDEX(Clients!$E$2:$E$501,$K$2791)&amp;"")</f>
        <v/>
      </c>
      <c r="E2800" s="34"/>
      <c r="F2800" s="34"/>
      <c r="J2800" s="25"/>
      <c r="K2800" s="25"/>
      <c r="L2800" s="25"/>
      <c r="M2800" s="25"/>
      <c r="N2800" s="25"/>
      <c r="O2800" s="25"/>
    </row>
    <row r="2801" customFormat="false" ht="15" hidden="false" customHeight="true" outlineLevel="0" collapsed="false">
      <c r="B2801" s="10"/>
      <c r="C2801" s="10"/>
      <c r="D2801" s="35" t="str">
        <f aca="false">IF(IF($K$2791=0,"",INDEX(Clients!$D$2:$D$501,$K$2791)&amp;"")="","","À l'attention de "&amp;TRIM(IF($K$2791=0,"",INDEX(Clients!$B$2:$B$501,$K$2791)&amp;"")&amp;" "&amp;IF($K$2791=0,"",INDEX(Clients!$C$2:$C$501,$K$2791)&amp;"")&amp;" "&amp;IF($K$2791=0,"",INDEX(Clients!$D$2:$D$501,$K$2791)&amp;"")))</f>
        <v/>
      </c>
      <c r="E2801" s="35"/>
      <c r="F2801" s="35"/>
      <c r="J2801" s="25"/>
      <c r="K2801" s="25"/>
      <c r="L2801" s="25"/>
      <c r="M2801" s="25"/>
      <c r="N2801" s="25"/>
      <c r="O2801" s="25"/>
    </row>
    <row r="2802" customFormat="false" ht="15" hidden="false" customHeight="true" outlineLevel="0" collapsed="false">
      <c r="B2802" s="10"/>
      <c r="C2802" s="10"/>
      <c r="D2802" s="35" t="str">
        <f aca="false">IF($K$2791=0,"",INDEX(Clients!$F$2:$F$501,$K$2791)&amp;"")</f>
        <v/>
      </c>
      <c r="E2802" s="35"/>
      <c r="F2802" s="35"/>
      <c r="J2802" s="25"/>
      <c r="K2802" s="25"/>
      <c r="L2802" s="25"/>
      <c r="M2802" s="25"/>
      <c r="N2802" s="25"/>
      <c r="O2802" s="25"/>
    </row>
    <row r="2803" customFormat="false" ht="15" hidden="false" customHeight="true" outlineLevel="0" collapsed="false">
      <c r="B2803" s="10"/>
      <c r="C2803" s="10"/>
      <c r="D2803" s="35" t="str">
        <f aca="false">IF(IF($K$2791=0,"",INDEX(Clients!$G$2:$G$501,$K$2791)&amp;"")="",TRIM(IF($K$2791=0,"",INDEX(Clients!$H$2:$H$501,$K$2791)&amp;"")&amp;" "&amp;UPPER(IF($K$2791=0,"",INDEX(Clients!$I$2:$I$501,$K$2791)&amp;""))),IF($K$2791=0,"",INDEX(Clients!$G$2:$G$501,$K$2791)&amp;""))</f>
        <v/>
      </c>
      <c r="E2803" s="35"/>
      <c r="F2803" s="35"/>
      <c r="J2803" s="25"/>
      <c r="K2803" s="25"/>
      <c r="L2803" s="25"/>
      <c r="M2803" s="25"/>
      <c r="N2803" s="25"/>
      <c r="O2803" s="25"/>
    </row>
    <row r="2804" customFormat="false" ht="15" hidden="false" customHeight="true" outlineLevel="0" collapsed="false">
      <c r="B2804" s="10"/>
      <c r="C2804" s="10"/>
      <c r="D2804" s="35" t="str">
        <f aca="false">IF(IF($K$2791=0,"",INDEX(Clients!$G$2:$G$501,$K$2791)&amp;"")="","",TRIM(IF($K$2791=0,"",INDEX(Clients!$H$2:$H$501,$K$2791)&amp;"")&amp;" "&amp;UPPER(IF($K$2791=0,"",INDEX(Clients!$I$2:$I$501,$K$2791)&amp;""))))</f>
        <v/>
      </c>
      <c r="E2804" s="35"/>
      <c r="F2804" s="35"/>
      <c r="J2804" s="25"/>
      <c r="K2804" s="25"/>
      <c r="L2804" s="25"/>
      <c r="M2804" s="25"/>
      <c r="N2804" s="25"/>
      <c r="O2804" s="25"/>
    </row>
    <row r="2805" customFormat="false" ht="25.5" hidden="false" customHeight="true" outlineLevel="0" collapsed="false">
      <c r="B2805" s="10"/>
      <c r="C2805" s="10"/>
      <c r="D2805" s="10"/>
      <c r="E2805" s="10"/>
      <c r="F2805" s="10"/>
      <c r="J2805" s="25"/>
      <c r="K2805" s="25"/>
      <c r="L2805" s="25"/>
      <c r="M2805" s="25"/>
      <c r="N2805" s="25"/>
      <c r="O2805" s="25"/>
    </row>
    <row r="2806" customFormat="false" ht="15" hidden="false" customHeight="false" outlineLevel="0" collapsed="false">
      <c r="B2806" s="10"/>
      <c r="C2806" s="10"/>
      <c r="D2806" s="36" t="str">
        <f aca="false">Cab_Ville&amp;", le "&amp;DAY(Date_Courrier)&amp;IF(DAY(Date_Courrier)=1,"er","")&amp;" "&amp;INDEX(Liste_Mois,MONTH(Date_Courrier))&amp;" "&amp;YEAR(Date_Courrier)</f>
        <v>Le Plessis-Bouchard, le 22 septembre 2026</v>
      </c>
      <c r="E2806" s="36"/>
      <c r="F2806" s="36"/>
      <c r="J2806" s="25"/>
      <c r="K2806" s="25"/>
      <c r="L2806" s="25"/>
      <c r="M2806" s="25"/>
      <c r="N2806" s="25"/>
      <c r="O2806" s="25"/>
    </row>
    <row r="2807" customFormat="false" ht="19.5" hidden="false" customHeight="true" outlineLevel="0" collapsed="false">
      <c r="B2807" s="10"/>
      <c r="C2807" s="10"/>
      <c r="D2807" s="10"/>
      <c r="E2807" s="10"/>
      <c r="F2807" s="10"/>
      <c r="J2807" s="25"/>
      <c r="K2807" s="25"/>
      <c r="L2807" s="25"/>
      <c r="M2807" s="25"/>
      <c r="N2807" s="25"/>
      <c r="O2807" s="25"/>
    </row>
    <row r="2808" customFormat="false" ht="15" hidden="false" customHeight="false" outlineLevel="0" collapsed="false">
      <c r="B2808" s="34" t="str">
        <f aca="false">SUBSTITUTE(SUBSTITUTE(SUBSTITUTE(SUBSTITUTE(SUBSTITUTE(Txt_Objet,"{cabinet}",Cab_Nom),"{societe}",IF($K$2791=0,"",INDEX(Clients!$E$2:$E$501,$K$2791)&amp;"")),"{date_effet}",$K$2793),"{hausse}",$K$2794),"{civilite}",$K$2792)</f>
        <v>Objet : révision de nos honoraires au 1er janvier 2027</v>
      </c>
      <c r="C2808" s="34"/>
      <c r="D2808" s="34"/>
      <c r="E2808" s="34"/>
      <c r="F2808" s="34"/>
      <c r="J2808" s="25"/>
      <c r="K2808" s="25"/>
      <c r="L2808" s="25"/>
      <c r="M2808" s="25"/>
      <c r="N2808" s="25"/>
      <c r="O2808" s="25"/>
    </row>
    <row r="2809" customFormat="false" ht="13.5" hidden="false" customHeight="true" outlineLevel="0" collapsed="false">
      <c r="B2809" s="10"/>
      <c r="C2809" s="10"/>
      <c r="D2809" s="10"/>
      <c r="E2809" s="10"/>
      <c r="F2809" s="10"/>
      <c r="J2809" s="25"/>
      <c r="K2809" s="25"/>
      <c r="L2809" s="25"/>
      <c r="M2809" s="25"/>
      <c r="N2809" s="25"/>
      <c r="O2809" s="25"/>
    </row>
    <row r="2810" customFormat="false" ht="15" hidden="false" customHeight="false" outlineLevel="0" collapsed="false">
      <c r="B2810" s="10" t="str">
        <f aca="false">$K$2792&amp;","</f>
        <v>Madame, Monsieur,</v>
      </c>
      <c r="C2810" s="10"/>
      <c r="D2810" s="10"/>
      <c r="E2810" s="10"/>
      <c r="F2810" s="10"/>
      <c r="J2810" s="25"/>
      <c r="K2810" s="25"/>
      <c r="L2810" s="25"/>
      <c r="M2810" s="25"/>
      <c r="N2810" s="25"/>
      <c r="O2810" s="25"/>
    </row>
    <row r="2811" customFormat="false" ht="6" hidden="false" customHeight="true" outlineLevel="0" collapsed="false">
      <c r="B2811" s="10"/>
      <c r="C2811" s="10"/>
      <c r="D2811" s="10"/>
      <c r="E2811" s="10"/>
      <c r="F2811" s="10"/>
      <c r="J2811" s="25"/>
      <c r="K2811" s="25"/>
      <c r="L2811" s="25"/>
      <c r="M2811" s="25"/>
      <c r="N2811" s="25"/>
      <c r="O2811" s="25"/>
    </row>
    <row r="2812" customFormat="false" ht="36.75" hidden="false" customHeight="true" outlineLevel="0" collapsed="false">
      <c r="B2812" s="37" t="str">
        <f aca="false">SUBSTITUTE(SUBSTITUTE(SUBSTITUTE(SUBSTITUTE(SUBSTITUTE(Txt_P1,"{cabinet}",Cab_Nom),"{societe}",IF($K$2791=0,"",INDEX(Clients!$E$2:$E$501,$K$2791)&amp;"")),"{date_effet}",$K$2793),"{hausse}",$K$2794),"{civilite}",$K$2792)</f>
        <v>Nous tenons tout d'abord à vous remercier pour la confiance que vous accordez à ALTHO EXPERTISE. Comme chaque année, et conformément aux dispositions de votre lettre de mission, nous procédons à la révision de nos honoraires.</v>
      </c>
      <c r="C2812" s="37"/>
      <c r="D2812" s="37"/>
      <c r="E2812" s="37"/>
      <c r="F2812" s="37"/>
      <c r="J2812" s="25"/>
      <c r="K2812" s="25"/>
      <c r="L2812" s="25"/>
      <c r="M2812" s="25"/>
      <c r="N2812" s="25"/>
      <c r="O2812" s="25"/>
    </row>
    <row r="2813" customFormat="false" ht="49.5" hidden="false" customHeight="true" outlineLevel="0" collapsed="false">
      <c r="B2813" s="37" t="str">
        <f aca="false">SUBSTITUTE(SUBSTITUTE(SUBSTITUTE(SUBSTITUTE(SUBSTITUTE(Txt_P2,"{cabinet}",Cab_Nom),"{societe}",IF($K$2791=0,"",INDEX(Clients!$E$2:$E$501,$K$2791)&amp;"")),"{date_effet}",$K$2793),"{hausse}",$K$2794),"{civilite}",$K$2792)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813" s="37"/>
      <c r="D2813" s="37"/>
      <c r="E2813" s="37"/>
      <c r="F2813" s="37"/>
      <c r="J2813" s="25"/>
      <c r="K2813" s="25"/>
      <c r="L2813" s="25"/>
      <c r="M2813" s="25"/>
      <c r="N2813" s="25"/>
      <c r="O2813" s="25"/>
    </row>
    <row r="2814" customFormat="false" ht="63" hidden="false" customHeight="true" outlineLevel="0" collapsed="false">
      <c r="B2814" s="37" t="str">
        <f aca="false">SUBSTITUTE(SUBSTITUTE(SUBSTITUTE(SUBSTITUTE(SUBSTITUTE(Txt_P3,"{cabinet}",Cab_Nom),"{societe}",IF($K$2791=0,"",INDEX(Clients!$E$2:$E$501,$K$2791)&amp;"")),"{date_effet}",$K$2793),"{hausse}",$K$2794),"{civilite}",$K$2792)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814" s="37"/>
      <c r="D2814" s="37"/>
      <c r="E2814" s="37"/>
      <c r="F2814" s="37"/>
      <c r="J2814" s="25"/>
      <c r="K2814" s="25"/>
      <c r="L2814" s="25"/>
      <c r="M2814" s="25"/>
      <c r="N2814" s="25"/>
      <c r="O2814" s="25"/>
    </row>
    <row r="2815" customFormat="false" ht="24" hidden="false" customHeight="true" outlineLevel="0" collapsed="false">
      <c r="B2815" s="37" t="str">
        <f aca="false">SUBSTITUTE(SUBSTITUTE(SUBSTITUTE(SUBSTITUTE(SUBSTITUTE(Txt_P4,"{cabinet}",Cab_Nom),"{societe}",IF($K$2791=0,"",INDEX(Clients!$E$2:$E$501,$K$2791)&amp;"")),"{date_effet}",$K$2793),"{hausse}",$K$2794),"{civilite}",$K$2792)</f>
        <v>À compter du 1er janvier 2027, vos honoraires annuels hors taxes évolueront ainsi (évolution globale : ) :</v>
      </c>
      <c r="C2815" s="37"/>
      <c r="D2815" s="37"/>
      <c r="E2815" s="37"/>
      <c r="F2815" s="37"/>
      <c r="J2815" s="25"/>
      <c r="K2815" s="25"/>
      <c r="L2815" s="25"/>
      <c r="M2815" s="25"/>
      <c r="N2815" s="25"/>
      <c r="O2815" s="25"/>
    </row>
    <row r="2816" customFormat="false" ht="3.75" hidden="false" customHeight="true" outlineLevel="0" collapsed="false">
      <c r="B2816" s="10"/>
      <c r="C2816" s="10"/>
      <c r="D2816" s="10"/>
      <c r="E2816" s="10"/>
      <c r="F2816" s="10"/>
      <c r="J2816" s="25"/>
      <c r="K2816" s="25"/>
      <c r="L2816" s="25"/>
      <c r="M2816" s="25"/>
      <c r="N2816" s="25"/>
      <c r="O2816" s="25"/>
    </row>
    <row r="2817" customFormat="false" ht="18" hidden="false" customHeight="true" outlineLevel="0" collapsed="false">
      <c r="B2817" s="38" t="s">
        <v>148</v>
      </c>
      <c r="C2817" s="39" t="s">
        <v>149</v>
      </c>
      <c r="D2817" s="39" t="s">
        <v>150</v>
      </c>
      <c r="E2817" s="39" t="s">
        <v>151</v>
      </c>
      <c r="F2817" s="39" t="s">
        <v>109</v>
      </c>
      <c r="J2817" s="25" t="s">
        <v>152</v>
      </c>
      <c r="K2817" s="25" t="s">
        <v>153</v>
      </c>
      <c r="L2817" s="25" t="s">
        <v>154</v>
      </c>
      <c r="M2817" s="25" t="s">
        <v>155</v>
      </c>
      <c r="N2817" s="25" t="s">
        <v>156</v>
      </c>
      <c r="O2817" s="25" t="s">
        <v>157</v>
      </c>
    </row>
    <row r="2818" customFormat="false" ht="16.5" hidden="false" customHeight="true" outlineLevel="0" collapsed="false">
      <c r="B2818" s="40" t="str">
        <f aca="false">IFERROR(INDEX($J$2818:$J$2821,MATCH($O2818,$N$2818:$N$2821,0)),"")</f>
        <v/>
      </c>
      <c r="C2818" s="41" t="str">
        <f aca="false">IFERROR(INDEX($K$2818:$K$2821,MATCH($O2818,$N$2818:$N$2821,0)),"")</f>
        <v/>
      </c>
      <c r="D2818" s="42" t="str">
        <f aca="false">IF(OR(E2818="",N(C2818)=0),"",E2818/C2818-1)</f>
        <v/>
      </c>
      <c r="E2818" s="41" t="str">
        <f aca="false">IFERROR(INDEX($L$2818:$L$2821,MATCH($O2818,$N$2818:$N$2821,0)),"")</f>
        <v/>
      </c>
      <c r="F2818" s="41" t="str">
        <f aca="false">IF(E2818="","",E2818-C2818)</f>
        <v/>
      </c>
      <c r="J2818" s="25" t="str">
        <f aca="false">Lib_Compta</f>
        <v>Mission comptable (tenue, révision, bilan, liasse fiscale)</v>
      </c>
      <c r="K2818" s="25" t="n">
        <f aca="false">IF($K$2791=0,0,N(INDEX(Clients!$K$2:$K$501,$K$2791)))</f>
        <v>0</v>
      </c>
      <c r="L2818" s="25" t="n">
        <f aca="false">IF($K$2791=0,0,N(INDEX(Clients!$P$2:$P$501,$K$2791)))</f>
        <v>0</v>
      </c>
      <c r="M2818" s="25" t="n">
        <f aca="false">IF(OR(K2818&lt;&gt;0,L2818&lt;&gt;0),1,0)</f>
        <v>0</v>
      </c>
      <c r="N2818" s="25" t="str">
        <f aca="false">IF(M2818=1,SUM($M$2818:M2818),"")</f>
        <v/>
      </c>
      <c r="O2818" s="25" t="n">
        <v>1</v>
      </c>
    </row>
    <row r="2819" customFormat="false" ht="16.5" hidden="false" customHeight="true" outlineLevel="0" collapsed="false">
      <c r="B2819" s="40" t="str">
        <f aca="false">IFERROR(INDEX($J$2818:$J$2821,MATCH($O2819,$N$2818:$N$2821,0)),"")</f>
        <v/>
      </c>
      <c r="C2819" s="41" t="str">
        <f aca="false">IFERROR(INDEX($K$2818:$K$2821,MATCH($O2819,$N$2818:$N$2821,0)),"")</f>
        <v/>
      </c>
      <c r="D2819" s="42" t="str">
        <f aca="false">IF(OR(E2819="",N(C2819)=0),"",E2819/C2819-1)</f>
        <v/>
      </c>
      <c r="E2819" s="41" t="str">
        <f aca="false">IFERROR(INDEX($L$2818:$L$2821,MATCH($O2819,$N$2818:$N$2821,0)),"")</f>
        <v/>
      </c>
      <c r="F2819" s="41" t="str">
        <f aca="false">IF(E2819="","",E2819-C2819)</f>
        <v/>
      </c>
      <c r="J2819" s="25" t="str">
        <f aca="false">Lib_Paye</f>
        <v>Mission sociale (bulletins de paie, DSN, déclarations sociales)</v>
      </c>
      <c r="K2819" s="25" t="n">
        <f aca="false">IF($K$2791=0,0,N(INDEX(Clients!$L$2:$L$501,$K$2791)))</f>
        <v>0</v>
      </c>
      <c r="L2819" s="25" t="n">
        <f aca="false">IF($K$2791=0,0,N(INDEX(Clients!$Q$2:$Q$501,$K$2791)))</f>
        <v>0</v>
      </c>
      <c r="M2819" s="25" t="n">
        <f aca="false">IF(OR(K2819&lt;&gt;0,L2819&lt;&gt;0),1,0)</f>
        <v>0</v>
      </c>
      <c r="N2819" s="25" t="str">
        <f aca="false">IF(M2819=1,SUM($M$2818:M2819),"")</f>
        <v/>
      </c>
      <c r="O2819" s="25" t="n">
        <v>2</v>
      </c>
    </row>
    <row r="2820" customFormat="false" ht="16.5" hidden="false" customHeight="true" outlineLevel="0" collapsed="false">
      <c r="B2820" s="40" t="str">
        <f aca="false">IFERROR(INDEX($J$2818:$J$2821,MATCH($O2820,$N$2818:$N$2821,0)),"")</f>
        <v/>
      </c>
      <c r="C2820" s="41" t="str">
        <f aca="false">IFERROR(INDEX($K$2818:$K$2821,MATCH($O2820,$N$2818:$N$2821,0)),"")</f>
        <v/>
      </c>
      <c r="D2820" s="42" t="str">
        <f aca="false">IF(OR(E2820="",N(C2820)=0),"",E2820/C2820-1)</f>
        <v/>
      </c>
      <c r="E2820" s="41" t="str">
        <f aca="false">IFERROR(INDEX($L$2818:$L$2821,MATCH($O2820,$N$2818:$N$2821,0)),"")</f>
        <v/>
      </c>
      <c r="F2820" s="41" t="str">
        <f aca="false">IF(E2820="","",E2820-C2820)</f>
        <v/>
      </c>
      <c r="J2820" s="25" t="str">
        <f aca="false">Lib_Jur</f>
        <v>Mission juridique (approbation des comptes, secrétariat juridique)</v>
      </c>
      <c r="K2820" s="25" t="n">
        <f aca="false">IF($K$2791=0,0,N(INDEX(Clients!$M$2:$M$501,$K$2791)))</f>
        <v>0</v>
      </c>
      <c r="L2820" s="25" t="n">
        <f aca="false">IF($K$2791=0,0,N(INDEX(Clients!$R$2:$R$501,$K$2791)))</f>
        <v>0</v>
      </c>
      <c r="M2820" s="25" t="n">
        <f aca="false">IF(OR(K2820&lt;&gt;0,L2820&lt;&gt;0),1,0)</f>
        <v>0</v>
      </c>
      <c r="N2820" s="25" t="str">
        <f aca="false">IF(M2820=1,SUM($M$2818:M2820),"")</f>
        <v/>
      </c>
      <c r="O2820" s="25" t="n">
        <v>3</v>
      </c>
    </row>
    <row r="2821" customFormat="false" ht="16.5" hidden="false" customHeight="true" outlineLevel="0" collapsed="false">
      <c r="B2821" s="40" t="str">
        <f aca="false">IFERROR(INDEX($J$2818:$J$2821,MATCH($O2821,$N$2818:$N$2821,0)),"")</f>
        <v/>
      </c>
      <c r="C2821" s="41" t="str">
        <f aca="false">IFERROR(INDEX($K$2818:$K$2821,MATCH($O2821,$N$2818:$N$2821,0)),"")</f>
        <v/>
      </c>
      <c r="D2821" s="42" t="str">
        <f aca="false">IF(OR(E2821="",N(C2821)=0),"",E2821/C2821-1)</f>
        <v/>
      </c>
      <c r="E2821" s="41" t="str">
        <f aca="false">IFERROR(INDEX($L$2818:$L$2821,MATCH($O2821,$N$2818:$N$2821,0)),"")</f>
        <v/>
      </c>
      <c r="F2821" s="41" t="str">
        <f aca="false">IF(E2821="","",E2821-C2821)</f>
        <v/>
      </c>
      <c r="J2821" s="25" t="str">
        <f aca="false">Lib_PA</f>
        <v>Plateforme agréée – facturation électronique</v>
      </c>
      <c r="K2821" s="25" t="n">
        <f aca="false">IF($K$2791=0,0,N(INDEX(Clients!$N$2:$N$501,$K$2791)))</f>
        <v>0</v>
      </c>
      <c r="L2821" s="25" t="n">
        <f aca="false">IF($K$2791=0,0,N(INDEX(Clients!$S$2:$S$501,$K$2791)))</f>
        <v>0</v>
      </c>
      <c r="M2821" s="25" t="n">
        <f aca="false">IF(OR(K2821&lt;&gt;0,L2821&lt;&gt;0),1,0)</f>
        <v>0</v>
      </c>
      <c r="N2821" s="25" t="str">
        <f aca="false">IF(M2821=1,SUM($M$2818:M2821),"")</f>
        <v/>
      </c>
      <c r="O2821" s="25" t="n">
        <v>4</v>
      </c>
    </row>
    <row r="2822" customFormat="false" ht="18" hidden="false" customHeight="true" outlineLevel="0" collapsed="false">
      <c r="B2822" s="43" t="s">
        <v>158</v>
      </c>
      <c r="C2822" s="44" t="n">
        <f aca="false">SUM(K2818:K2821)</f>
        <v>0</v>
      </c>
      <c r="D2822" s="45" t="str">
        <f aca="false">IF(N(C2822)=0,"",E2822/C2822-1)</f>
        <v/>
      </c>
      <c r="E2822" s="44" t="n">
        <f aca="false">SUM(L2818:L2821)</f>
        <v>0</v>
      </c>
      <c r="F2822" s="44" t="n">
        <f aca="false">E2822-C2822</f>
        <v>0</v>
      </c>
    </row>
    <row r="2823" customFormat="false" ht="15" hidden="false" customHeight="false" outlineLevel="0" collapsed="false">
      <c r="B2823" s="46" t="str">
        <f aca="false">IF(N(Nb_Mensualites)=0,"","Soit "&amp;FIXED(E2822/Nb_Mensualites,2)&amp;" € HT par échéance ("&amp;Nb_Mensualites&amp;" échéances), "&amp;FIXED(E2822/Nb_Mensualites*(1+Taux_TVA),2)&amp;" € TTC.")</f>
        <v>Soit 0.00 € HT par échéance (12 échéances), 0.00 € TTC.</v>
      </c>
      <c r="C2823" s="46"/>
      <c r="D2823" s="46"/>
      <c r="E2823" s="46"/>
      <c r="F2823" s="46"/>
    </row>
    <row r="2824" customFormat="false" ht="7.5" hidden="false" customHeight="true" outlineLevel="0" collapsed="false">
      <c r="B2824" s="10"/>
      <c r="C2824" s="10"/>
      <c r="D2824" s="10"/>
      <c r="E2824" s="10"/>
      <c r="F2824" s="10"/>
    </row>
    <row r="2825" customFormat="false" ht="36.75" hidden="false" customHeight="true" outlineLevel="0" collapsed="false">
      <c r="B2825" s="37" t="str">
        <f aca="false">SUBSTITUTE(SUBSTITUTE(SUBSTITUTE(SUBSTITUTE(SUBSTITUTE(Txt_P5,"{cabinet}",Cab_Nom),"{societe}",IF($K$2791=0,"",INDEX(Clients!$E$2:$E$501,$K$2791)&amp;"")),"{date_effet}",$K$2793),"{hausse}",$K$2794),"{civilite}",$K$2792)</f>
        <v>Les autres conditions de votre lettre de mission demeurent inchangées. Les nouveaux montants seront appliqués automatiquement sur vos prochaines factures et échéances de prélèvement.</v>
      </c>
      <c r="C2825" s="37"/>
      <c r="D2825" s="37"/>
      <c r="E2825" s="37"/>
      <c r="F2825" s="37"/>
    </row>
    <row r="2826" customFormat="false" ht="36.75" hidden="false" customHeight="true" outlineLevel="0" collapsed="false">
      <c r="B2826" s="37" t="str">
        <f aca="false">SUBSTITUTE(SUBSTITUTE(SUBSTITUTE(SUBSTITUTE(SUBSTITUTE(Txt_P6,"{cabinet}",Cab_Nom),"{societe}",IF($K$2791=0,"",INDEX(Clients!$E$2:$E$501,$K$2791)&amp;"")),"{date_effet}",$K$2793),"{hausse}",$K$2794),"{civilite}",$K$2792)</f>
        <v>Votre interlocuteur habituel reste à votre entière disposition pour répondre à vos questions et faire le point sur l'évolution de vos besoins.</v>
      </c>
      <c r="C2826" s="37"/>
      <c r="D2826" s="37"/>
      <c r="E2826" s="37"/>
      <c r="F2826" s="37"/>
    </row>
    <row r="2827" customFormat="false" ht="24" hidden="false" customHeight="true" outlineLevel="0" collapsed="false">
      <c r="B2827" s="37" t="str">
        <f aca="false">SUBSTITUTE(SUBSTITUTE(SUBSTITUTE(SUBSTITUTE(SUBSTITUTE(Txt_Politesse,"{cabinet}",Cab_Nom),"{societe}",IF($K$2791=0,"",INDEX(Clients!$E$2:$E$501,$K$2791)&amp;"")),"{date_effet}",$K$2793),"{hausse}",$K$2794),"{civilite}",$K$2792)</f>
        <v>Nous vous prions d'agréer, Madame, Monsieur, l'expression de nos salutations distinguées.</v>
      </c>
      <c r="C2827" s="37"/>
      <c r="D2827" s="37"/>
      <c r="E2827" s="37"/>
      <c r="F2827" s="37"/>
    </row>
    <row r="2828" customFormat="false" ht="15" hidden="false" customHeight="false" outlineLevel="0" collapsed="false">
      <c r="B2828" s="10"/>
      <c r="C2828" s="10"/>
      <c r="D2828" s="10"/>
      <c r="E2828" s="10"/>
      <c r="F2828" s="10"/>
    </row>
    <row r="2829" customFormat="false" ht="15" hidden="false" customHeight="false" outlineLevel="0" collapsed="false">
      <c r="B2829" s="10"/>
      <c r="C2829" s="10"/>
      <c r="D2829" s="34" t="str">
        <f aca="false">Signataire</f>
        <v>Prénom NOM</v>
      </c>
      <c r="E2829" s="34"/>
      <c r="F2829" s="34"/>
    </row>
    <row r="2830" customFormat="false" ht="15" hidden="false" customHeight="false" outlineLevel="0" collapsed="false">
      <c r="B2830" s="10"/>
      <c r="C2830" s="10"/>
      <c r="D2830" s="47" t="str">
        <f aca="false">Signataire_Titre</f>
        <v>Expert-comptable associé</v>
      </c>
      <c r="E2830" s="47"/>
      <c r="F2830" s="47"/>
    </row>
    <row r="2831" customFormat="false" ht="15.75" hidden="false" customHeight="true" outlineLevel="0" collapsed="false">
      <c r="B2831" s="10"/>
      <c r="C2831" s="10"/>
      <c r="D2831" s="10"/>
      <c r="E2831" s="10"/>
      <c r="F2831" s="10"/>
    </row>
    <row r="2832" customFormat="false" ht="15.75" hidden="false" customHeight="true" outlineLevel="0" collapsed="false">
      <c r="B2832" s="10"/>
      <c r="C2832" s="10"/>
      <c r="D2832" s="10"/>
      <c r="E2832" s="10"/>
      <c r="F2832" s="10"/>
    </row>
    <row r="2833" customFormat="false" ht="15.75" hidden="false" customHeight="true" outlineLevel="0" collapsed="false">
      <c r="B2833" s="10"/>
      <c r="C2833" s="10"/>
      <c r="D2833" s="10"/>
      <c r="E2833" s="10"/>
      <c r="F2833" s="10"/>
    </row>
    <row r="2834" customFormat="false" ht="15.75" hidden="false" customHeight="true" outlineLevel="0" collapsed="false">
      <c r="B2834" s="10"/>
      <c r="C2834" s="10"/>
      <c r="D2834" s="10"/>
      <c r="E2834" s="10"/>
      <c r="F2834" s="10"/>
    </row>
    <row r="2835" customFormat="false" ht="24" hidden="false" customHeight="true" outlineLevel="0" collapsed="false">
      <c r="B2835" s="48" t="str">
        <f aca="false">Cab_Mentions</f>
        <v>ALTHO EXPERTISE · SAS au capital de 10 000 € · RCS Pontoise 919 706 325 · TVA FR62919706325 · Société d'expertise comptable inscrite au Tableau de l'Ordre des experts-comptables de Paris Île-de-France</v>
      </c>
      <c r="C2835" s="48"/>
      <c r="D2835" s="48"/>
      <c r="E2835" s="48"/>
      <c r="F2835" s="48"/>
    </row>
    <row r="2836" customFormat="false" ht="15" hidden="false" customHeight="false" outlineLevel="0" collapsed="false">
      <c r="B2836" s="10"/>
      <c r="C2836" s="10"/>
      <c r="D2836" s="10"/>
      <c r="E2836" s="10"/>
      <c r="F2836" s="10"/>
      <c r="J2836" s="25" t="s">
        <v>142</v>
      </c>
      <c r="K2836" s="25" t="n">
        <f aca="false">IFERROR(MATCH(64,Clients!$Z$2:$Z$501,0),0)</f>
        <v>0</v>
      </c>
      <c r="L2836" s="25"/>
      <c r="M2836" s="25"/>
      <c r="N2836" s="25"/>
      <c r="O2836" s="25"/>
    </row>
    <row r="2837" customFormat="false" ht="21.75" hidden="false" customHeight="true" outlineLevel="0" collapsed="false">
      <c r="B2837" s="26" t="str">
        <f aca="false">Cab_Nom</f>
        <v>ALTHO EXPERTISE</v>
      </c>
      <c r="C2837" s="26"/>
      <c r="D2837" s="10"/>
      <c r="E2837" s="27" t="str">
        <f aca="false">IF($K$2836=0,"","Réf. client : "&amp;INDEX(Clients!$A$2:$A$501,$K$2836))</f>
        <v/>
      </c>
      <c r="F2837" s="27"/>
      <c r="J2837" s="25" t="s">
        <v>144</v>
      </c>
      <c r="K2837" s="25" t="str">
        <f aca="false">IF(IF($K$2836=0,"",INDEX(Clients!$B$2:$B$501,$K$2836)&amp;"")="Mme","Madame",IF(IF($K$2836=0,"",INDEX(Clients!$B$2:$B$501,$K$2836)&amp;"")="M.","Monsieur","Madame, Monsieur"))</f>
        <v>Madame, Monsieur</v>
      </c>
      <c r="L2837" s="25"/>
      <c r="M2837" s="25"/>
      <c r="N2837" s="25"/>
      <c r="O2837" s="25"/>
    </row>
    <row r="2838" customFormat="false" ht="15" hidden="false" customHeight="false" outlineLevel="0" collapsed="false">
      <c r="B2838" s="29" t="str">
        <f aca="false">Cab_Adr1</f>
        <v>141 rue Charles de Gaulle</v>
      </c>
      <c r="C2838" s="29"/>
      <c r="D2838" s="10"/>
      <c r="E2838" s="10"/>
      <c r="F2838" s="10"/>
      <c r="J2838" s="25" t="s">
        <v>145</v>
      </c>
      <c r="K2838" s="25" t="str">
        <f aca="false">DAY(Date_Effet)&amp;IF(DAY(Date_Effet)=1,"er","")&amp;" "&amp;INDEX(Liste_Mois,MONTH(Date_Effet))&amp;" "&amp;YEAR(Date_Effet)</f>
        <v>1er janvier 2027</v>
      </c>
      <c r="L2838" s="25"/>
      <c r="M2838" s="25"/>
      <c r="N2838" s="25"/>
      <c r="O2838" s="25"/>
    </row>
    <row r="2839" customFormat="false" ht="15" hidden="false" customHeight="false" outlineLevel="0" collapsed="false">
      <c r="B2839" s="29" t="str">
        <f aca="false">Cab_CPVille</f>
        <v>95130 LE PLESSIS-BOUCHARD</v>
      </c>
      <c r="C2839" s="29"/>
      <c r="D2839" s="10"/>
      <c r="E2839" s="10"/>
      <c r="F2839" s="10"/>
      <c r="J2839" s="25" t="s">
        <v>146</v>
      </c>
      <c r="K2839" s="25" t="str">
        <f aca="false">IF(SUM($K$2863:$K$2866)=0,"",FIXED((SUM($L$2863:$L$2866)/SUM($K$2863:$K$2866)-1)*100,1)&amp;" %")</f>
        <v/>
      </c>
      <c r="L2839" s="25"/>
      <c r="M2839" s="25"/>
      <c r="N2839" s="25"/>
      <c r="O2839" s="25"/>
    </row>
    <row r="2840" customFormat="false" ht="15" hidden="false" customHeight="false" outlineLevel="0" collapsed="false">
      <c r="B2840" s="29" t="str">
        <f aca="false">Cab_Contact</f>
        <v>Tél. 01 34 14 53 45  ·  altho@altho-experts.com  ·  altho-experts.com</v>
      </c>
      <c r="C2840" s="29"/>
      <c r="D2840" s="10"/>
      <c r="E2840" s="10"/>
      <c r="F2840" s="10"/>
      <c r="J2840" s="25"/>
      <c r="K2840" s="25"/>
      <c r="L2840" s="25"/>
      <c r="M2840" s="25"/>
      <c r="N2840" s="25"/>
      <c r="O2840" s="25"/>
    </row>
    <row r="2841" customFormat="false" ht="6" hidden="false" customHeight="true" outlineLevel="0" collapsed="false">
      <c r="B2841" s="32"/>
      <c r="C2841" s="32"/>
      <c r="D2841" s="32"/>
      <c r="E2841" s="32"/>
      <c r="F2841" s="32"/>
      <c r="J2841" s="25"/>
      <c r="K2841" s="25"/>
      <c r="L2841" s="25"/>
      <c r="M2841" s="25"/>
      <c r="N2841" s="25"/>
      <c r="O2841" s="25"/>
    </row>
    <row r="2842" customFormat="false" ht="13.5" hidden="false" customHeight="true" outlineLevel="0" collapsed="false">
      <c r="B2842" s="10"/>
      <c r="C2842" s="10"/>
      <c r="D2842" s="10"/>
      <c r="E2842" s="10"/>
      <c r="F2842" s="10"/>
      <c r="J2842" s="25"/>
      <c r="K2842" s="25"/>
      <c r="L2842" s="25"/>
      <c r="M2842" s="25"/>
      <c r="N2842" s="25"/>
      <c r="O2842" s="25"/>
    </row>
    <row r="2843" customFormat="false" ht="13.5" hidden="false" customHeight="true" outlineLevel="0" collapsed="false">
      <c r="B2843" s="10"/>
      <c r="C2843" s="10"/>
      <c r="D2843" s="10"/>
      <c r="E2843" s="10"/>
      <c r="F2843" s="10"/>
      <c r="J2843" s="25"/>
      <c r="K2843" s="25"/>
      <c r="L2843" s="25"/>
      <c r="M2843" s="25"/>
      <c r="N2843" s="25"/>
      <c r="O2843" s="25"/>
    </row>
    <row r="2844" customFormat="false" ht="13.5" hidden="false" customHeight="true" outlineLevel="0" collapsed="false">
      <c r="B2844" s="10"/>
      <c r="C2844" s="10"/>
      <c r="D2844" s="10"/>
      <c r="E2844" s="10"/>
      <c r="F2844" s="10"/>
      <c r="J2844" s="25"/>
      <c r="K2844" s="25"/>
      <c r="L2844" s="25"/>
      <c r="M2844" s="25"/>
      <c r="N2844" s="25"/>
      <c r="O2844" s="25"/>
    </row>
    <row r="2845" customFormat="false" ht="15" hidden="false" customHeight="true" outlineLevel="0" collapsed="false">
      <c r="B2845" s="10"/>
      <c r="C2845" s="10"/>
      <c r="D2845" s="34" t="str">
        <f aca="false">IF($K$2836=0,"",INDEX(Clients!$E$2:$E$501,$K$2836)&amp;"")</f>
        <v/>
      </c>
      <c r="E2845" s="34"/>
      <c r="F2845" s="34"/>
      <c r="J2845" s="25"/>
      <c r="K2845" s="25"/>
      <c r="L2845" s="25"/>
      <c r="M2845" s="25"/>
      <c r="N2845" s="25"/>
      <c r="O2845" s="25"/>
    </row>
    <row r="2846" customFormat="false" ht="15" hidden="false" customHeight="true" outlineLevel="0" collapsed="false">
      <c r="B2846" s="10"/>
      <c r="C2846" s="10"/>
      <c r="D2846" s="35" t="str">
        <f aca="false">IF(IF($K$2836=0,"",INDEX(Clients!$D$2:$D$501,$K$2836)&amp;"")="","","À l'attention de "&amp;TRIM(IF($K$2836=0,"",INDEX(Clients!$B$2:$B$501,$K$2836)&amp;"")&amp;" "&amp;IF($K$2836=0,"",INDEX(Clients!$C$2:$C$501,$K$2836)&amp;"")&amp;" "&amp;IF($K$2836=0,"",INDEX(Clients!$D$2:$D$501,$K$2836)&amp;"")))</f>
        <v/>
      </c>
      <c r="E2846" s="35"/>
      <c r="F2846" s="35"/>
      <c r="J2846" s="25"/>
      <c r="K2846" s="25"/>
      <c r="L2846" s="25"/>
      <c r="M2846" s="25"/>
      <c r="N2846" s="25"/>
      <c r="O2846" s="25"/>
    </row>
    <row r="2847" customFormat="false" ht="15" hidden="false" customHeight="true" outlineLevel="0" collapsed="false">
      <c r="B2847" s="10"/>
      <c r="C2847" s="10"/>
      <c r="D2847" s="35" t="str">
        <f aca="false">IF($K$2836=0,"",INDEX(Clients!$F$2:$F$501,$K$2836)&amp;"")</f>
        <v/>
      </c>
      <c r="E2847" s="35"/>
      <c r="F2847" s="35"/>
      <c r="J2847" s="25"/>
      <c r="K2847" s="25"/>
      <c r="L2847" s="25"/>
      <c r="M2847" s="25"/>
      <c r="N2847" s="25"/>
      <c r="O2847" s="25"/>
    </row>
    <row r="2848" customFormat="false" ht="15" hidden="false" customHeight="true" outlineLevel="0" collapsed="false">
      <c r="B2848" s="10"/>
      <c r="C2848" s="10"/>
      <c r="D2848" s="35" t="str">
        <f aca="false">IF(IF($K$2836=0,"",INDEX(Clients!$G$2:$G$501,$K$2836)&amp;"")="",TRIM(IF($K$2836=0,"",INDEX(Clients!$H$2:$H$501,$K$2836)&amp;"")&amp;" "&amp;UPPER(IF($K$2836=0,"",INDEX(Clients!$I$2:$I$501,$K$2836)&amp;""))),IF($K$2836=0,"",INDEX(Clients!$G$2:$G$501,$K$2836)&amp;""))</f>
        <v/>
      </c>
      <c r="E2848" s="35"/>
      <c r="F2848" s="35"/>
      <c r="J2848" s="25"/>
      <c r="K2848" s="25"/>
      <c r="L2848" s="25"/>
      <c r="M2848" s="25"/>
      <c r="N2848" s="25"/>
      <c r="O2848" s="25"/>
    </row>
    <row r="2849" customFormat="false" ht="15" hidden="false" customHeight="true" outlineLevel="0" collapsed="false">
      <c r="B2849" s="10"/>
      <c r="C2849" s="10"/>
      <c r="D2849" s="35" t="str">
        <f aca="false">IF(IF($K$2836=0,"",INDEX(Clients!$G$2:$G$501,$K$2836)&amp;"")="","",TRIM(IF($K$2836=0,"",INDEX(Clients!$H$2:$H$501,$K$2836)&amp;"")&amp;" "&amp;UPPER(IF($K$2836=0,"",INDEX(Clients!$I$2:$I$501,$K$2836)&amp;""))))</f>
        <v/>
      </c>
      <c r="E2849" s="35"/>
      <c r="F2849" s="35"/>
      <c r="J2849" s="25"/>
      <c r="K2849" s="25"/>
      <c r="L2849" s="25"/>
      <c r="M2849" s="25"/>
      <c r="N2849" s="25"/>
      <c r="O2849" s="25"/>
    </row>
    <row r="2850" customFormat="false" ht="25.5" hidden="false" customHeight="true" outlineLevel="0" collapsed="false">
      <c r="B2850" s="10"/>
      <c r="C2850" s="10"/>
      <c r="D2850" s="10"/>
      <c r="E2850" s="10"/>
      <c r="F2850" s="10"/>
      <c r="J2850" s="25"/>
      <c r="K2850" s="25"/>
      <c r="L2850" s="25"/>
      <c r="M2850" s="25"/>
      <c r="N2850" s="25"/>
      <c r="O2850" s="25"/>
    </row>
    <row r="2851" customFormat="false" ht="15" hidden="false" customHeight="false" outlineLevel="0" collapsed="false">
      <c r="B2851" s="10"/>
      <c r="C2851" s="10"/>
      <c r="D2851" s="36" t="str">
        <f aca="false">Cab_Ville&amp;", le "&amp;DAY(Date_Courrier)&amp;IF(DAY(Date_Courrier)=1,"er","")&amp;" "&amp;INDEX(Liste_Mois,MONTH(Date_Courrier))&amp;" "&amp;YEAR(Date_Courrier)</f>
        <v>Le Plessis-Bouchard, le 22 septembre 2026</v>
      </c>
      <c r="E2851" s="36"/>
      <c r="F2851" s="36"/>
      <c r="J2851" s="25"/>
      <c r="K2851" s="25"/>
      <c r="L2851" s="25"/>
      <c r="M2851" s="25"/>
      <c r="N2851" s="25"/>
      <c r="O2851" s="25"/>
    </row>
    <row r="2852" customFormat="false" ht="19.5" hidden="false" customHeight="true" outlineLevel="0" collapsed="false">
      <c r="B2852" s="10"/>
      <c r="C2852" s="10"/>
      <c r="D2852" s="10"/>
      <c r="E2852" s="10"/>
      <c r="F2852" s="10"/>
      <c r="J2852" s="25"/>
      <c r="K2852" s="25"/>
      <c r="L2852" s="25"/>
      <c r="M2852" s="25"/>
      <c r="N2852" s="25"/>
      <c r="O2852" s="25"/>
    </row>
    <row r="2853" customFormat="false" ht="15" hidden="false" customHeight="false" outlineLevel="0" collapsed="false">
      <c r="B2853" s="34" t="str">
        <f aca="false">SUBSTITUTE(SUBSTITUTE(SUBSTITUTE(SUBSTITUTE(SUBSTITUTE(Txt_Objet,"{cabinet}",Cab_Nom),"{societe}",IF($K$2836=0,"",INDEX(Clients!$E$2:$E$501,$K$2836)&amp;"")),"{date_effet}",$K$2838),"{hausse}",$K$2839),"{civilite}",$K$2837)</f>
        <v>Objet : révision de nos honoraires au 1er janvier 2027</v>
      </c>
      <c r="C2853" s="34"/>
      <c r="D2853" s="34"/>
      <c r="E2853" s="34"/>
      <c r="F2853" s="34"/>
      <c r="J2853" s="25"/>
      <c r="K2853" s="25"/>
      <c r="L2853" s="25"/>
      <c r="M2853" s="25"/>
      <c r="N2853" s="25"/>
      <c r="O2853" s="25"/>
    </row>
    <row r="2854" customFormat="false" ht="13.5" hidden="false" customHeight="true" outlineLevel="0" collapsed="false">
      <c r="B2854" s="10"/>
      <c r="C2854" s="10"/>
      <c r="D2854" s="10"/>
      <c r="E2854" s="10"/>
      <c r="F2854" s="10"/>
      <c r="J2854" s="25"/>
      <c r="K2854" s="25"/>
      <c r="L2854" s="25"/>
      <c r="M2854" s="25"/>
      <c r="N2854" s="25"/>
      <c r="O2854" s="25"/>
    </row>
    <row r="2855" customFormat="false" ht="15" hidden="false" customHeight="false" outlineLevel="0" collapsed="false">
      <c r="B2855" s="10" t="str">
        <f aca="false">$K$2837&amp;","</f>
        <v>Madame, Monsieur,</v>
      </c>
      <c r="C2855" s="10"/>
      <c r="D2855" s="10"/>
      <c r="E2855" s="10"/>
      <c r="F2855" s="10"/>
      <c r="J2855" s="25"/>
      <c r="K2855" s="25"/>
      <c r="L2855" s="25"/>
      <c r="M2855" s="25"/>
      <c r="N2855" s="25"/>
      <c r="O2855" s="25"/>
    </row>
    <row r="2856" customFormat="false" ht="6" hidden="false" customHeight="true" outlineLevel="0" collapsed="false">
      <c r="B2856" s="10"/>
      <c r="C2856" s="10"/>
      <c r="D2856" s="10"/>
      <c r="E2856" s="10"/>
      <c r="F2856" s="10"/>
      <c r="J2856" s="25"/>
      <c r="K2856" s="25"/>
      <c r="L2856" s="25"/>
      <c r="M2856" s="25"/>
      <c r="N2856" s="25"/>
      <c r="O2856" s="25"/>
    </row>
    <row r="2857" customFormat="false" ht="36.75" hidden="false" customHeight="true" outlineLevel="0" collapsed="false">
      <c r="B2857" s="37" t="str">
        <f aca="false">SUBSTITUTE(SUBSTITUTE(SUBSTITUTE(SUBSTITUTE(SUBSTITUTE(Txt_P1,"{cabinet}",Cab_Nom),"{societe}",IF($K$2836=0,"",INDEX(Clients!$E$2:$E$501,$K$2836)&amp;"")),"{date_effet}",$K$2838),"{hausse}",$K$2839),"{civilite}",$K$2837)</f>
        <v>Nous tenons tout d'abord à vous remercier pour la confiance que vous accordez à ALTHO EXPERTISE. Comme chaque année, et conformément aux dispositions de votre lettre de mission, nous procédons à la révision de nos honoraires.</v>
      </c>
      <c r="C2857" s="37"/>
      <c r="D2857" s="37"/>
      <c r="E2857" s="37"/>
      <c r="F2857" s="37"/>
      <c r="J2857" s="25"/>
      <c r="K2857" s="25"/>
      <c r="L2857" s="25"/>
      <c r="M2857" s="25"/>
      <c r="N2857" s="25"/>
      <c r="O2857" s="25"/>
    </row>
    <row r="2858" customFormat="false" ht="49.5" hidden="false" customHeight="true" outlineLevel="0" collapsed="false">
      <c r="B2858" s="37" t="str">
        <f aca="false">SUBSTITUTE(SUBSTITUTE(SUBSTITUTE(SUBSTITUTE(SUBSTITUTE(Txt_P2,"{cabinet}",Cab_Nom),"{societe}",IF($K$2836=0,"",INDEX(Clients!$E$2:$E$501,$K$2836)&amp;"")),"{date_effet}",$K$2838),"{hausse}",$K$2839),"{civilite}",$K$2837)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858" s="37"/>
      <c r="D2858" s="37"/>
      <c r="E2858" s="37"/>
      <c r="F2858" s="37"/>
      <c r="J2858" s="25"/>
      <c r="K2858" s="25"/>
      <c r="L2858" s="25"/>
      <c r="M2858" s="25"/>
      <c r="N2858" s="25"/>
      <c r="O2858" s="25"/>
    </row>
    <row r="2859" customFormat="false" ht="63" hidden="false" customHeight="true" outlineLevel="0" collapsed="false">
      <c r="B2859" s="37" t="str">
        <f aca="false">SUBSTITUTE(SUBSTITUTE(SUBSTITUTE(SUBSTITUTE(SUBSTITUTE(Txt_P3,"{cabinet}",Cab_Nom),"{societe}",IF($K$2836=0,"",INDEX(Clients!$E$2:$E$501,$K$2836)&amp;"")),"{date_effet}",$K$2838),"{hausse}",$K$2839),"{civilite}",$K$2837)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859" s="37"/>
      <c r="D2859" s="37"/>
      <c r="E2859" s="37"/>
      <c r="F2859" s="37"/>
      <c r="J2859" s="25"/>
      <c r="K2859" s="25"/>
      <c r="L2859" s="25"/>
      <c r="M2859" s="25"/>
      <c r="N2859" s="25"/>
      <c r="O2859" s="25"/>
    </row>
    <row r="2860" customFormat="false" ht="24" hidden="false" customHeight="true" outlineLevel="0" collapsed="false">
      <c r="B2860" s="37" t="str">
        <f aca="false">SUBSTITUTE(SUBSTITUTE(SUBSTITUTE(SUBSTITUTE(SUBSTITUTE(Txt_P4,"{cabinet}",Cab_Nom),"{societe}",IF($K$2836=0,"",INDEX(Clients!$E$2:$E$501,$K$2836)&amp;"")),"{date_effet}",$K$2838),"{hausse}",$K$2839),"{civilite}",$K$2837)</f>
        <v>À compter du 1er janvier 2027, vos honoraires annuels hors taxes évolueront ainsi (évolution globale : ) :</v>
      </c>
      <c r="C2860" s="37"/>
      <c r="D2860" s="37"/>
      <c r="E2860" s="37"/>
      <c r="F2860" s="37"/>
      <c r="J2860" s="25"/>
      <c r="K2860" s="25"/>
      <c r="L2860" s="25"/>
      <c r="M2860" s="25"/>
      <c r="N2860" s="25"/>
      <c r="O2860" s="25"/>
    </row>
    <row r="2861" customFormat="false" ht="3.75" hidden="false" customHeight="true" outlineLevel="0" collapsed="false">
      <c r="B2861" s="10"/>
      <c r="C2861" s="10"/>
      <c r="D2861" s="10"/>
      <c r="E2861" s="10"/>
      <c r="F2861" s="10"/>
      <c r="J2861" s="25"/>
      <c r="K2861" s="25"/>
      <c r="L2861" s="25"/>
      <c r="M2861" s="25"/>
      <c r="N2861" s="25"/>
      <c r="O2861" s="25"/>
    </row>
    <row r="2862" customFormat="false" ht="18" hidden="false" customHeight="true" outlineLevel="0" collapsed="false">
      <c r="B2862" s="38" t="s">
        <v>148</v>
      </c>
      <c r="C2862" s="39" t="s">
        <v>149</v>
      </c>
      <c r="D2862" s="39" t="s">
        <v>150</v>
      </c>
      <c r="E2862" s="39" t="s">
        <v>151</v>
      </c>
      <c r="F2862" s="39" t="s">
        <v>109</v>
      </c>
      <c r="J2862" s="25" t="s">
        <v>152</v>
      </c>
      <c r="K2862" s="25" t="s">
        <v>153</v>
      </c>
      <c r="L2862" s="25" t="s">
        <v>154</v>
      </c>
      <c r="M2862" s="25" t="s">
        <v>155</v>
      </c>
      <c r="N2862" s="25" t="s">
        <v>156</v>
      </c>
      <c r="O2862" s="25" t="s">
        <v>157</v>
      </c>
    </row>
    <row r="2863" customFormat="false" ht="16.5" hidden="false" customHeight="true" outlineLevel="0" collapsed="false">
      <c r="B2863" s="40" t="str">
        <f aca="false">IFERROR(INDEX($J$2863:$J$2866,MATCH($O2863,$N$2863:$N$2866,0)),"")</f>
        <v/>
      </c>
      <c r="C2863" s="41" t="str">
        <f aca="false">IFERROR(INDEX($K$2863:$K$2866,MATCH($O2863,$N$2863:$N$2866,0)),"")</f>
        <v/>
      </c>
      <c r="D2863" s="42" t="str">
        <f aca="false">IF(OR(E2863="",N(C2863)=0),"",E2863/C2863-1)</f>
        <v/>
      </c>
      <c r="E2863" s="41" t="str">
        <f aca="false">IFERROR(INDEX($L$2863:$L$2866,MATCH($O2863,$N$2863:$N$2866,0)),"")</f>
        <v/>
      </c>
      <c r="F2863" s="41" t="str">
        <f aca="false">IF(E2863="","",E2863-C2863)</f>
        <v/>
      </c>
      <c r="J2863" s="25" t="str">
        <f aca="false">Lib_Compta</f>
        <v>Mission comptable (tenue, révision, bilan, liasse fiscale)</v>
      </c>
      <c r="K2863" s="25" t="n">
        <f aca="false">IF($K$2836=0,0,N(INDEX(Clients!$K$2:$K$501,$K$2836)))</f>
        <v>0</v>
      </c>
      <c r="L2863" s="25" t="n">
        <f aca="false">IF($K$2836=0,0,N(INDEX(Clients!$P$2:$P$501,$K$2836)))</f>
        <v>0</v>
      </c>
      <c r="M2863" s="25" t="n">
        <f aca="false">IF(OR(K2863&lt;&gt;0,L2863&lt;&gt;0),1,0)</f>
        <v>0</v>
      </c>
      <c r="N2863" s="25" t="str">
        <f aca="false">IF(M2863=1,SUM($M$2863:M2863),"")</f>
        <v/>
      </c>
      <c r="O2863" s="25" t="n">
        <v>1</v>
      </c>
    </row>
    <row r="2864" customFormat="false" ht="16.5" hidden="false" customHeight="true" outlineLevel="0" collapsed="false">
      <c r="B2864" s="40" t="str">
        <f aca="false">IFERROR(INDEX($J$2863:$J$2866,MATCH($O2864,$N$2863:$N$2866,0)),"")</f>
        <v/>
      </c>
      <c r="C2864" s="41" t="str">
        <f aca="false">IFERROR(INDEX($K$2863:$K$2866,MATCH($O2864,$N$2863:$N$2866,0)),"")</f>
        <v/>
      </c>
      <c r="D2864" s="42" t="str">
        <f aca="false">IF(OR(E2864="",N(C2864)=0),"",E2864/C2864-1)</f>
        <v/>
      </c>
      <c r="E2864" s="41" t="str">
        <f aca="false">IFERROR(INDEX($L$2863:$L$2866,MATCH($O2864,$N$2863:$N$2866,0)),"")</f>
        <v/>
      </c>
      <c r="F2864" s="41" t="str">
        <f aca="false">IF(E2864="","",E2864-C2864)</f>
        <v/>
      </c>
      <c r="J2864" s="25" t="str">
        <f aca="false">Lib_Paye</f>
        <v>Mission sociale (bulletins de paie, DSN, déclarations sociales)</v>
      </c>
      <c r="K2864" s="25" t="n">
        <f aca="false">IF($K$2836=0,0,N(INDEX(Clients!$L$2:$L$501,$K$2836)))</f>
        <v>0</v>
      </c>
      <c r="L2864" s="25" t="n">
        <f aca="false">IF($K$2836=0,0,N(INDEX(Clients!$Q$2:$Q$501,$K$2836)))</f>
        <v>0</v>
      </c>
      <c r="M2864" s="25" t="n">
        <f aca="false">IF(OR(K2864&lt;&gt;0,L2864&lt;&gt;0),1,0)</f>
        <v>0</v>
      </c>
      <c r="N2864" s="25" t="str">
        <f aca="false">IF(M2864=1,SUM($M$2863:M2864),"")</f>
        <v/>
      </c>
      <c r="O2864" s="25" t="n">
        <v>2</v>
      </c>
    </row>
    <row r="2865" customFormat="false" ht="16.5" hidden="false" customHeight="true" outlineLevel="0" collapsed="false">
      <c r="B2865" s="40" t="str">
        <f aca="false">IFERROR(INDEX($J$2863:$J$2866,MATCH($O2865,$N$2863:$N$2866,0)),"")</f>
        <v/>
      </c>
      <c r="C2865" s="41" t="str">
        <f aca="false">IFERROR(INDEX($K$2863:$K$2866,MATCH($O2865,$N$2863:$N$2866,0)),"")</f>
        <v/>
      </c>
      <c r="D2865" s="42" t="str">
        <f aca="false">IF(OR(E2865="",N(C2865)=0),"",E2865/C2865-1)</f>
        <v/>
      </c>
      <c r="E2865" s="41" t="str">
        <f aca="false">IFERROR(INDEX($L$2863:$L$2866,MATCH($O2865,$N$2863:$N$2866,0)),"")</f>
        <v/>
      </c>
      <c r="F2865" s="41" t="str">
        <f aca="false">IF(E2865="","",E2865-C2865)</f>
        <v/>
      </c>
      <c r="J2865" s="25" t="str">
        <f aca="false">Lib_Jur</f>
        <v>Mission juridique (approbation des comptes, secrétariat juridique)</v>
      </c>
      <c r="K2865" s="25" t="n">
        <f aca="false">IF($K$2836=0,0,N(INDEX(Clients!$M$2:$M$501,$K$2836)))</f>
        <v>0</v>
      </c>
      <c r="L2865" s="25" t="n">
        <f aca="false">IF($K$2836=0,0,N(INDEX(Clients!$R$2:$R$501,$K$2836)))</f>
        <v>0</v>
      </c>
      <c r="M2865" s="25" t="n">
        <f aca="false">IF(OR(K2865&lt;&gt;0,L2865&lt;&gt;0),1,0)</f>
        <v>0</v>
      </c>
      <c r="N2865" s="25" t="str">
        <f aca="false">IF(M2865=1,SUM($M$2863:M2865),"")</f>
        <v/>
      </c>
      <c r="O2865" s="25" t="n">
        <v>3</v>
      </c>
    </row>
    <row r="2866" customFormat="false" ht="16.5" hidden="false" customHeight="true" outlineLevel="0" collapsed="false">
      <c r="B2866" s="40" t="str">
        <f aca="false">IFERROR(INDEX($J$2863:$J$2866,MATCH($O2866,$N$2863:$N$2866,0)),"")</f>
        <v/>
      </c>
      <c r="C2866" s="41" t="str">
        <f aca="false">IFERROR(INDEX($K$2863:$K$2866,MATCH($O2866,$N$2863:$N$2866,0)),"")</f>
        <v/>
      </c>
      <c r="D2866" s="42" t="str">
        <f aca="false">IF(OR(E2866="",N(C2866)=0),"",E2866/C2866-1)</f>
        <v/>
      </c>
      <c r="E2866" s="41" t="str">
        <f aca="false">IFERROR(INDEX($L$2863:$L$2866,MATCH($O2866,$N$2863:$N$2866,0)),"")</f>
        <v/>
      </c>
      <c r="F2866" s="41" t="str">
        <f aca="false">IF(E2866="","",E2866-C2866)</f>
        <v/>
      </c>
      <c r="J2866" s="25" t="str">
        <f aca="false">Lib_PA</f>
        <v>Plateforme agréée – facturation électronique</v>
      </c>
      <c r="K2866" s="25" t="n">
        <f aca="false">IF($K$2836=0,0,N(INDEX(Clients!$N$2:$N$501,$K$2836)))</f>
        <v>0</v>
      </c>
      <c r="L2866" s="25" t="n">
        <f aca="false">IF($K$2836=0,0,N(INDEX(Clients!$S$2:$S$501,$K$2836)))</f>
        <v>0</v>
      </c>
      <c r="M2866" s="25" t="n">
        <f aca="false">IF(OR(K2866&lt;&gt;0,L2866&lt;&gt;0),1,0)</f>
        <v>0</v>
      </c>
      <c r="N2866" s="25" t="str">
        <f aca="false">IF(M2866=1,SUM($M$2863:M2866),"")</f>
        <v/>
      </c>
      <c r="O2866" s="25" t="n">
        <v>4</v>
      </c>
    </row>
    <row r="2867" customFormat="false" ht="18" hidden="false" customHeight="true" outlineLevel="0" collapsed="false">
      <c r="B2867" s="43" t="s">
        <v>158</v>
      </c>
      <c r="C2867" s="44" t="n">
        <f aca="false">SUM(K2863:K2866)</f>
        <v>0</v>
      </c>
      <c r="D2867" s="45" t="str">
        <f aca="false">IF(N(C2867)=0,"",E2867/C2867-1)</f>
        <v/>
      </c>
      <c r="E2867" s="44" t="n">
        <f aca="false">SUM(L2863:L2866)</f>
        <v>0</v>
      </c>
      <c r="F2867" s="44" t="n">
        <f aca="false">E2867-C2867</f>
        <v>0</v>
      </c>
    </row>
    <row r="2868" customFormat="false" ht="15" hidden="false" customHeight="false" outlineLevel="0" collapsed="false">
      <c r="B2868" s="46" t="str">
        <f aca="false">IF(N(Nb_Mensualites)=0,"","Soit "&amp;FIXED(E2867/Nb_Mensualites,2)&amp;" € HT par échéance ("&amp;Nb_Mensualites&amp;" échéances), "&amp;FIXED(E2867/Nb_Mensualites*(1+Taux_TVA),2)&amp;" € TTC.")</f>
        <v>Soit 0.00 € HT par échéance (12 échéances), 0.00 € TTC.</v>
      </c>
      <c r="C2868" s="46"/>
      <c r="D2868" s="46"/>
      <c r="E2868" s="46"/>
      <c r="F2868" s="46"/>
    </row>
    <row r="2869" customFormat="false" ht="7.5" hidden="false" customHeight="true" outlineLevel="0" collapsed="false">
      <c r="B2869" s="10"/>
      <c r="C2869" s="10"/>
      <c r="D2869" s="10"/>
      <c r="E2869" s="10"/>
      <c r="F2869" s="10"/>
    </row>
    <row r="2870" customFormat="false" ht="36.75" hidden="false" customHeight="true" outlineLevel="0" collapsed="false">
      <c r="B2870" s="37" t="str">
        <f aca="false">SUBSTITUTE(SUBSTITUTE(SUBSTITUTE(SUBSTITUTE(SUBSTITUTE(Txt_P5,"{cabinet}",Cab_Nom),"{societe}",IF($K$2836=0,"",INDEX(Clients!$E$2:$E$501,$K$2836)&amp;"")),"{date_effet}",$K$2838),"{hausse}",$K$2839),"{civilite}",$K$2837)</f>
        <v>Les autres conditions de votre lettre de mission demeurent inchangées. Les nouveaux montants seront appliqués automatiquement sur vos prochaines factures et échéances de prélèvement.</v>
      </c>
      <c r="C2870" s="37"/>
      <c r="D2870" s="37"/>
      <c r="E2870" s="37"/>
      <c r="F2870" s="37"/>
    </row>
    <row r="2871" customFormat="false" ht="36.75" hidden="false" customHeight="true" outlineLevel="0" collapsed="false">
      <c r="B2871" s="37" t="str">
        <f aca="false">SUBSTITUTE(SUBSTITUTE(SUBSTITUTE(SUBSTITUTE(SUBSTITUTE(Txt_P6,"{cabinet}",Cab_Nom),"{societe}",IF($K$2836=0,"",INDEX(Clients!$E$2:$E$501,$K$2836)&amp;"")),"{date_effet}",$K$2838),"{hausse}",$K$2839),"{civilite}",$K$2837)</f>
        <v>Votre interlocuteur habituel reste à votre entière disposition pour répondre à vos questions et faire le point sur l'évolution de vos besoins.</v>
      </c>
      <c r="C2871" s="37"/>
      <c r="D2871" s="37"/>
      <c r="E2871" s="37"/>
      <c r="F2871" s="37"/>
    </row>
    <row r="2872" customFormat="false" ht="24" hidden="false" customHeight="true" outlineLevel="0" collapsed="false">
      <c r="B2872" s="37" t="str">
        <f aca="false">SUBSTITUTE(SUBSTITUTE(SUBSTITUTE(SUBSTITUTE(SUBSTITUTE(Txt_Politesse,"{cabinet}",Cab_Nom),"{societe}",IF($K$2836=0,"",INDEX(Clients!$E$2:$E$501,$K$2836)&amp;"")),"{date_effet}",$K$2838),"{hausse}",$K$2839),"{civilite}",$K$2837)</f>
        <v>Nous vous prions d'agréer, Madame, Monsieur, l'expression de nos salutations distinguées.</v>
      </c>
      <c r="C2872" s="37"/>
      <c r="D2872" s="37"/>
      <c r="E2872" s="37"/>
      <c r="F2872" s="37"/>
    </row>
    <row r="2873" customFormat="false" ht="15" hidden="false" customHeight="false" outlineLevel="0" collapsed="false">
      <c r="B2873" s="10"/>
      <c r="C2873" s="10"/>
      <c r="D2873" s="10"/>
      <c r="E2873" s="10"/>
      <c r="F2873" s="10"/>
    </row>
    <row r="2874" customFormat="false" ht="15" hidden="false" customHeight="false" outlineLevel="0" collapsed="false">
      <c r="B2874" s="10"/>
      <c r="C2874" s="10"/>
      <c r="D2874" s="34" t="str">
        <f aca="false">Signataire</f>
        <v>Prénom NOM</v>
      </c>
      <c r="E2874" s="34"/>
      <c r="F2874" s="34"/>
    </row>
    <row r="2875" customFormat="false" ht="15" hidden="false" customHeight="false" outlineLevel="0" collapsed="false">
      <c r="B2875" s="10"/>
      <c r="C2875" s="10"/>
      <c r="D2875" s="47" t="str">
        <f aca="false">Signataire_Titre</f>
        <v>Expert-comptable associé</v>
      </c>
      <c r="E2875" s="47"/>
      <c r="F2875" s="47"/>
    </row>
    <row r="2876" customFormat="false" ht="15.75" hidden="false" customHeight="true" outlineLevel="0" collapsed="false">
      <c r="B2876" s="10"/>
      <c r="C2876" s="10"/>
      <c r="D2876" s="10"/>
      <c r="E2876" s="10"/>
      <c r="F2876" s="10"/>
    </row>
    <row r="2877" customFormat="false" ht="15.75" hidden="false" customHeight="true" outlineLevel="0" collapsed="false">
      <c r="B2877" s="10"/>
      <c r="C2877" s="10"/>
      <c r="D2877" s="10"/>
      <c r="E2877" s="10"/>
      <c r="F2877" s="10"/>
    </row>
    <row r="2878" customFormat="false" ht="15.75" hidden="false" customHeight="true" outlineLevel="0" collapsed="false">
      <c r="B2878" s="10"/>
      <c r="C2878" s="10"/>
      <c r="D2878" s="10"/>
      <c r="E2878" s="10"/>
      <c r="F2878" s="10"/>
    </row>
    <row r="2879" customFormat="false" ht="15.75" hidden="false" customHeight="true" outlineLevel="0" collapsed="false">
      <c r="B2879" s="10"/>
      <c r="C2879" s="10"/>
      <c r="D2879" s="10"/>
      <c r="E2879" s="10"/>
      <c r="F2879" s="10"/>
    </row>
    <row r="2880" customFormat="false" ht="24" hidden="false" customHeight="true" outlineLevel="0" collapsed="false">
      <c r="B2880" s="48" t="str">
        <f aca="false">Cab_Mentions</f>
        <v>ALTHO EXPERTISE · SAS au capital de 10 000 € · RCS Pontoise 919 706 325 · TVA FR62919706325 · Société d'expertise comptable inscrite au Tableau de l'Ordre des experts-comptables de Paris Île-de-France</v>
      </c>
      <c r="C2880" s="48"/>
      <c r="D2880" s="48"/>
      <c r="E2880" s="48"/>
      <c r="F2880" s="48"/>
    </row>
    <row r="2881" customFormat="false" ht="15" hidden="false" customHeight="false" outlineLevel="0" collapsed="false">
      <c r="B2881" s="10"/>
      <c r="C2881" s="10"/>
      <c r="D2881" s="10"/>
      <c r="E2881" s="10"/>
      <c r="F2881" s="10"/>
      <c r="J2881" s="25" t="s">
        <v>142</v>
      </c>
      <c r="K2881" s="25" t="n">
        <f aca="false">IFERROR(MATCH(65,Clients!$Z$2:$Z$501,0),0)</f>
        <v>0</v>
      </c>
      <c r="L2881" s="25"/>
      <c r="M2881" s="25"/>
      <c r="N2881" s="25"/>
      <c r="O2881" s="25"/>
    </row>
    <row r="2882" customFormat="false" ht="21.75" hidden="false" customHeight="true" outlineLevel="0" collapsed="false">
      <c r="B2882" s="26" t="str">
        <f aca="false">Cab_Nom</f>
        <v>ALTHO EXPERTISE</v>
      </c>
      <c r="C2882" s="26"/>
      <c r="D2882" s="10"/>
      <c r="E2882" s="27" t="str">
        <f aca="false">IF($K$2881=0,"","Réf. client : "&amp;INDEX(Clients!$A$2:$A$501,$K$2881))</f>
        <v/>
      </c>
      <c r="F2882" s="27"/>
      <c r="J2882" s="25" t="s">
        <v>144</v>
      </c>
      <c r="K2882" s="25" t="str">
        <f aca="false">IF(IF($K$2881=0,"",INDEX(Clients!$B$2:$B$501,$K$2881)&amp;"")="Mme","Madame",IF(IF($K$2881=0,"",INDEX(Clients!$B$2:$B$501,$K$2881)&amp;"")="M.","Monsieur","Madame, Monsieur"))</f>
        <v>Madame, Monsieur</v>
      </c>
      <c r="L2882" s="25"/>
      <c r="M2882" s="25"/>
      <c r="N2882" s="25"/>
      <c r="O2882" s="25"/>
    </row>
    <row r="2883" customFormat="false" ht="15" hidden="false" customHeight="false" outlineLevel="0" collapsed="false">
      <c r="B2883" s="29" t="str">
        <f aca="false">Cab_Adr1</f>
        <v>141 rue Charles de Gaulle</v>
      </c>
      <c r="C2883" s="29"/>
      <c r="D2883" s="10"/>
      <c r="E2883" s="10"/>
      <c r="F2883" s="10"/>
      <c r="J2883" s="25" t="s">
        <v>145</v>
      </c>
      <c r="K2883" s="25" t="str">
        <f aca="false">DAY(Date_Effet)&amp;IF(DAY(Date_Effet)=1,"er","")&amp;" "&amp;INDEX(Liste_Mois,MONTH(Date_Effet))&amp;" "&amp;YEAR(Date_Effet)</f>
        <v>1er janvier 2027</v>
      </c>
      <c r="L2883" s="25"/>
      <c r="M2883" s="25"/>
      <c r="N2883" s="25"/>
      <c r="O2883" s="25"/>
    </row>
    <row r="2884" customFormat="false" ht="15" hidden="false" customHeight="false" outlineLevel="0" collapsed="false">
      <c r="B2884" s="29" t="str">
        <f aca="false">Cab_CPVille</f>
        <v>95130 LE PLESSIS-BOUCHARD</v>
      </c>
      <c r="C2884" s="29"/>
      <c r="D2884" s="10"/>
      <c r="E2884" s="10"/>
      <c r="F2884" s="10"/>
      <c r="J2884" s="25" t="s">
        <v>146</v>
      </c>
      <c r="K2884" s="25" t="str">
        <f aca="false">IF(SUM($K$2908:$K$2911)=0,"",FIXED((SUM($L$2908:$L$2911)/SUM($K$2908:$K$2911)-1)*100,1)&amp;" %")</f>
        <v/>
      </c>
      <c r="L2884" s="25"/>
      <c r="M2884" s="25"/>
      <c r="N2884" s="25"/>
      <c r="O2884" s="25"/>
    </row>
    <row r="2885" customFormat="false" ht="15" hidden="false" customHeight="false" outlineLevel="0" collapsed="false">
      <c r="B2885" s="29" t="str">
        <f aca="false">Cab_Contact</f>
        <v>Tél. 01 34 14 53 45  ·  altho@altho-experts.com  ·  altho-experts.com</v>
      </c>
      <c r="C2885" s="29"/>
      <c r="D2885" s="10"/>
      <c r="E2885" s="10"/>
      <c r="F2885" s="10"/>
      <c r="J2885" s="25"/>
      <c r="K2885" s="25"/>
      <c r="L2885" s="25"/>
      <c r="M2885" s="25"/>
      <c r="N2885" s="25"/>
      <c r="O2885" s="25"/>
    </row>
    <row r="2886" customFormat="false" ht="6" hidden="false" customHeight="true" outlineLevel="0" collapsed="false">
      <c r="B2886" s="32"/>
      <c r="C2886" s="32"/>
      <c r="D2886" s="32"/>
      <c r="E2886" s="32"/>
      <c r="F2886" s="32"/>
      <c r="J2886" s="25"/>
      <c r="K2886" s="25"/>
      <c r="L2886" s="25"/>
      <c r="M2886" s="25"/>
      <c r="N2886" s="25"/>
      <c r="O2886" s="25"/>
    </row>
    <row r="2887" customFormat="false" ht="13.5" hidden="false" customHeight="true" outlineLevel="0" collapsed="false">
      <c r="B2887" s="10"/>
      <c r="C2887" s="10"/>
      <c r="D2887" s="10"/>
      <c r="E2887" s="10"/>
      <c r="F2887" s="10"/>
      <c r="J2887" s="25"/>
      <c r="K2887" s="25"/>
      <c r="L2887" s="25"/>
      <c r="M2887" s="25"/>
      <c r="N2887" s="25"/>
      <c r="O2887" s="25"/>
    </row>
    <row r="2888" customFormat="false" ht="13.5" hidden="false" customHeight="true" outlineLevel="0" collapsed="false">
      <c r="B2888" s="10"/>
      <c r="C2888" s="10"/>
      <c r="D2888" s="10"/>
      <c r="E2888" s="10"/>
      <c r="F2888" s="10"/>
      <c r="J2888" s="25"/>
      <c r="K2888" s="25"/>
      <c r="L2888" s="25"/>
      <c r="M2888" s="25"/>
      <c r="N2888" s="25"/>
      <c r="O2888" s="25"/>
    </row>
    <row r="2889" customFormat="false" ht="13.5" hidden="false" customHeight="true" outlineLevel="0" collapsed="false">
      <c r="B2889" s="10"/>
      <c r="C2889" s="10"/>
      <c r="D2889" s="10"/>
      <c r="E2889" s="10"/>
      <c r="F2889" s="10"/>
      <c r="J2889" s="25"/>
      <c r="K2889" s="25"/>
      <c r="L2889" s="25"/>
      <c r="M2889" s="25"/>
      <c r="N2889" s="25"/>
      <c r="O2889" s="25"/>
    </row>
    <row r="2890" customFormat="false" ht="15" hidden="false" customHeight="true" outlineLevel="0" collapsed="false">
      <c r="B2890" s="10"/>
      <c r="C2890" s="10"/>
      <c r="D2890" s="34" t="str">
        <f aca="false">IF($K$2881=0,"",INDEX(Clients!$E$2:$E$501,$K$2881)&amp;"")</f>
        <v/>
      </c>
      <c r="E2890" s="34"/>
      <c r="F2890" s="34"/>
      <c r="J2890" s="25"/>
      <c r="K2890" s="25"/>
      <c r="L2890" s="25"/>
      <c r="M2890" s="25"/>
      <c r="N2890" s="25"/>
      <c r="O2890" s="25"/>
    </row>
    <row r="2891" customFormat="false" ht="15" hidden="false" customHeight="true" outlineLevel="0" collapsed="false">
      <c r="B2891" s="10"/>
      <c r="C2891" s="10"/>
      <c r="D2891" s="35" t="str">
        <f aca="false">IF(IF($K$2881=0,"",INDEX(Clients!$D$2:$D$501,$K$2881)&amp;"")="","","À l'attention de "&amp;TRIM(IF($K$2881=0,"",INDEX(Clients!$B$2:$B$501,$K$2881)&amp;"")&amp;" "&amp;IF($K$2881=0,"",INDEX(Clients!$C$2:$C$501,$K$2881)&amp;"")&amp;" "&amp;IF($K$2881=0,"",INDEX(Clients!$D$2:$D$501,$K$2881)&amp;"")))</f>
        <v/>
      </c>
      <c r="E2891" s="35"/>
      <c r="F2891" s="35"/>
      <c r="J2891" s="25"/>
      <c r="K2891" s="25"/>
      <c r="L2891" s="25"/>
      <c r="M2891" s="25"/>
      <c r="N2891" s="25"/>
      <c r="O2891" s="25"/>
    </row>
    <row r="2892" customFormat="false" ht="15" hidden="false" customHeight="true" outlineLevel="0" collapsed="false">
      <c r="B2892" s="10"/>
      <c r="C2892" s="10"/>
      <c r="D2892" s="35" t="str">
        <f aca="false">IF($K$2881=0,"",INDEX(Clients!$F$2:$F$501,$K$2881)&amp;"")</f>
        <v/>
      </c>
      <c r="E2892" s="35"/>
      <c r="F2892" s="35"/>
      <c r="J2892" s="25"/>
      <c r="K2892" s="25"/>
      <c r="L2892" s="25"/>
      <c r="M2892" s="25"/>
      <c r="N2892" s="25"/>
      <c r="O2892" s="25"/>
    </row>
    <row r="2893" customFormat="false" ht="15" hidden="false" customHeight="true" outlineLevel="0" collapsed="false">
      <c r="B2893" s="10"/>
      <c r="C2893" s="10"/>
      <c r="D2893" s="35" t="str">
        <f aca="false">IF(IF($K$2881=0,"",INDEX(Clients!$G$2:$G$501,$K$2881)&amp;"")="",TRIM(IF($K$2881=0,"",INDEX(Clients!$H$2:$H$501,$K$2881)&amp;"")&amp;" "&amp;UPPER(IF($K$2881=0,"",INDEX(Clients!$I$2:$I$501,$K$2881)&amp;""))),IF($K$2881=0,"",INDEX(Clients!$G$2:$G$501,$K$2881)&amp;""))</f>
        <v/>
      </c>
      <c r="E2893" s="35"/>
      <c r="F2893" s="35"/>
      <c r="J2893" s="25"/>
      <c r="K2893" s="25"/>
      <c r="L2893" s="25"/>
      <c r="M2893" s="25"/>
      <c r="N2893" s="25"/>
      <c r="O2893" s="25"/>
    </row>
    <row r="2894" customFormat="false" ht="15" hidden="false" customHeight="true" outlineLevel="0" collapsed="false">
      <c r="B2894" s="10"/>
      <c r="C2894" s="10"/>
      <c r="D2894" s="35" t="str">
        <f aca="false">IF(IF($K$2881=0,"",INDEX(Clients!$G$2:$G$501,$K$2881)&amp;"")="","",TRIM(IF($K$2881=0,"",INDEX(Clients!$H$2:$H$501,$K$2881)&amp;"")&amp;" "&amp;UPPER(IF($K$2881=0,"",INDEX(Clients!$I$2:$I$501,$K$2881)&amp;""))))</f>
        <v/>
      </c>
      <c r="E2894" s="35"/>
      <c r="F2894" s="35"/>
      <c r="J2894" s="25"/>
      <c r="K2894" s="25"/>
      <c r="L2894" s="25"/>
      <c r="M2894" s="25"/>
      <c r="N2894" s="25"/>
      <c r="O2894" s="25"/>
    </row>
    <row r="2895" customFormat="false" ht="25.5" hidden="false" customHeight="true" outlineLevel="0" collapsed="false">
      <c r="B2895" s="10"/>
      <c r="C2895" s="10"/>
      <c r="D2895" s="10"/>
      <c r="E2895" s="10"/>
      <c r="F2895" s="10"/>
      <c r="J2895" s="25"/>
      <c r="K2895" s="25"/>
      <c r="L2895" s="25"/>
      <c r="M2895" s="25"/>
      <c r="N2895" s="25"/>
      <c r="O2895" s="25"/>
    </row>
    <row r="2896" customFormat="false" ht="15" hidden="false" customHeight="false" outlineLevel="0" collapsed="false">
      <c r="B2896" s="10"/>
      <c r="C2896" s="10"/>
      <c r="D2896" s="36" t="str">
        <f aca="false">Cab_Ville&amp;", le "&amp;DAY(Date_Courrier)&amp;IF(DAY(Date_Courrier)=1,"er","")&amp;" "&amp;INDEX(Liste_Mois,MONTH(Date_Courrier))&amp;" "&amp;YEAR(Date_Courrier)</f>
        <v>Le Plessis-Bouchard, le 22 septembre 2026</v>
      </c>
      <c r="E2896" s="36"/>
      <c r="F2896" s="36"/>
      <c r="J2896" s="25"/>
      <c r="K2896" s="25"/>
      <c r="L2896" s="25"/>
      <c r="M2896" s="25"/>
      <c r="N2896" s="25"/>
      <c r="O2896" s="25"/>
    </row>
    <row r="2897" customFormat="false" ht="19.5" hidden="false" customHeight="true" outlineLevel="0" collapsed="false">
      <c r="B2897" s="10"/>
      <c r="C2897" s="10"/>
      <c r="D2897" s="10"/>
      <c r="E2897" s="10"/>
      <c r="F2897" s="10"/>
      <c r="J2897" s="25"/>
      <c r="K2897" s="25"/>
      <c r="L2897" s="25"/>
      <c r="M2897" s="25"/>
      <c r="N2897" s="25"/>
      <c r="O2897" s="25"/>
    </row>
    <row r="2898" customFormat="false" ht="15" hidden="false" customHeight="false" outlineLevel="0" collapsed="false">
      <c r="B2898" s="34" t="str">
        <f aca="false">SUBSTITUTE(SUBSTITUTE(SUBSTITUTE(SUBSTITUTE(SUBSTITUTE(Txt_Objet,"{cabinet}",Cab_Nom),"{societe}",IF($K$2881=0,"",INDEX(Clients!$E$2:$E$501,$K$2881)&amp;"")),"{date_effet}",$K$2883),"{hausse}",$K$2884),"{civilite}",$K$2882)</f>
        <v>Objet : révision de nos honoraires au 1er janvier 2027</v>
      </c>
      <c r="C2898" s="34"/>
      <c r="D2898" s="34"/>
      <c r="E2898" s="34"/>
      <c r="F2898" s="34"/>
      <c r="J2898" s="25"/>
      <c r="K2898" s="25"/>
      <c r="L2898" s="25"/>
      <c r="M2898" s="25"/>
      <c r="N2898" s="25"/>
      <c r="O2898" s="25"/>
    </row>
    <row r="2899" customFormat="false" ht="13.5" hidden="false" customHeight="true" outlineLevel="0" collapsed="false">
      <c r="B2899" s="10"/>
      <c r="C2899" s="10"/>
      <c r="D2899" s="10"/>
      <c r="E2899" s="10"/>
      <c r="F2899" s="10"/>
      <c r="J2899" s="25"/>
      <c r="K2899" s="25"/>
      <c r="L2899" s="25"/>
      <c r="M2899" s="25"/>
      <c r="N2899" s="25"/>
      <c r="O2899" s="25"/>
    </row>
    <row r="2900" customFormat="false" ht="15" hidden="false" customHeight="false" outlineLevel="0" collapsed="false">
      <c r="B2900" s="10" t="str">
        <f aca="false">$K$2882&amp;","</f>
        <v>Madame, Monsieur,</v>
      </c>
      <c r="C2900" s="10"/>
      <c r="D2900" s="10"/>
      <c r="E2900" s="10"/>
      <c r="F2900" s="10"/>
      <c r="J2900" s="25"/>
      <c r="K2900" s="25"/>
      <c r="L2900" s="25"/>
      <c r="M2900" s="25"/>
      <c r="N2900" s="25"/>
      <c r="O2900" s="25"/>
    </row>
    <row r="2901" customFormat="false" ht="6" hidden="false" customHeight="true" outlineLevel="0" collapsed="false">
      <c r="B2901" s="10"/>
      <c r="C2901" s="10"/>
      <c r="D2901" s="10"/>
      <c r="E2901" s="10"/>
      <c r="F2901" s="10"/>
      <c r="J2901" s="25"/>
      <c r="K2901" s="25"/>
      <c r="L2901" s="25"/>
      <c r="M2901" s="25"/>
      <c r="N2901" s="25"/>
      <c r="O2901" s="25"/>
    </row>
    <row r="2902" customFormat="false" ht="36.75" hidden="false" customHeight="true" outlineLevel="0" collapsed="false">
      <c r="B2902" s="37" t="str">
        <f aca="false">SUBSTITUTE(SUBSTITUTE(SUBSTITUTE(SUBSTITUTE(SUBSTITUTE(Txt_P1,"{cabinet}",Cab_Nom),"{societe}",IF($K$2881=0,"",INDEX(Clients!$E$2:$E$501,$K$2881)&amp;"")),"{date_effet}",$K$2883),"{hausse}",$K$2884),"{civilite}",$K$2882)</f>
        <v>Nous tenons tout d'abord à vous remercier pour la confiance que vous accordez à ALTHO EXPERTISE. Comme chaque année, et conformément aux dispositions de votre lettre de mission, nous procédons à la révision de nos honoraires.</v>
      </c>
      <c r="C2902" s="37"/>
      <c r="D2902" s="37"/>
      <c r="E2902" s="37"/>
      <c r="F2902" s="37"/>
      <c r="J2902" s="25"/>
      <c r="K2902" s="25"/>
      <c r="L2902" s="25"/>
      <c r="M2902" s="25"/>
      <c r="N2902" s="25"/>
      <c r="O2902" s="25"/>
    </row>
    <row r="2903" customFormat="false" ht="49.5" hidden="false" customHeight="true" outlineLevel="0" collapsed="false">
      <c r="B2903" s="37" t="str">
        <f aca="false">SUBSTITUTE(SUBSTITUTE(SUBSTITUTE(SUBSTITUTE(SUBSTITUTE(Txt_P2,"{cabinet}",Cab_Nom),"{societe}",IF($K$2881=0,"",INDEX(Clients!$E$2:$E$501,$K$2881)&amp;"")),"{date_effet}",$K$2883),"{hausse}",$K$2884),"{civilite}",$K$2882)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903" s="37"/>
      <c r="D2903" s="37"/>
      <c r="E2903" s="37"/>
      <c r="F2903" s="37"/>
      <c r="J2903" s="25"/>
      <c r="K2903" s="25"/>
      <c r="L2903" s="25"/>
      <c r="M2903" s="25"/>
      <c r="N2903" s="25"/>
      <c r="O2903" s="25"/>
    </row>
    <row r="2904" customFormat="false" ht="63" hidden="false" customHeight="true" outlineLevel="0" collapsed="false">
      <c r="B2904" s="37" t="str">
        <f aca="false">SUBSTITUTE(SUBSTITUTE(SUBSTITUTE(SUBSTITUTE(SUBSTITUTE(Txt_P3,"{cabinet}",Cab_Nom),"{societe}",IF($K$2881=0,"",INDEX(Clients!$E$2:$E$501,$K$2881)&amp;"")),"{date_effet}",$K$2883),"{hausse}",$K$2884),"{civilite}",$K$2882)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904" s="37"/>
      <c r="D2904" s="37"/>
      <c r="E2904" s="37"/>
      <c r="F2904" s="37"/>
      <c r="J2904" s="25"/>
      <c r="K2904" s="25"/>
      <c r="L2904" s="25"/>
      <c r="M2904" s="25"/>
      <c r="N2904" s="25"/>
      <c r="O2904" s="25"/>
    </row>
    <row r="2905" customFormat="false" ht="24" hidden="false" customHeight="true" outlineLevel="0" collapsed="false">
      <c r="B2905" s="37" t="str">
        <f aca="false">SUBSTITUTE(SUBSTITUTE(SUBSTITUTE(SUBSTITUTE(SUBSTITUTE(Txt_P4,"{cabinet}",Cab_Nom),"{societe}",IF($K$2881=0,"",INDEX(Clients!$E$2:$E$501,$K$2881)&amp;"")),"{date_effet}",$K$2883),"{hausse}",$K$2884),"{civilite}",$K$2882)</f>
        <v>À compter du 1er janvier 2027, vos honoraires annuels hors taxes évolueront ainsi (évolution globale : ) :</v>
      </c>
      <c r="C2905" s="37"/>
      <c r="D2905" s="37"/>
      <c r="E2905" s="37"/>
      <c r="F2905" s="37"/>
      <c r="J2905" s="25"/>
      <c r="K2905" s="25"/>
      <c r="L2905" s="25"/>
      <c r="M2905" s="25"/>
      <c r="N2905" s="25"/>
      <c r="O2905" s="25"/>
    </row>
    <row r="2906" customFormat="false" ht="3.75" hidden="false" customHeight="true" outlineLevel="0" collapsed="false">
      <c r="B2906" s="10"/>
      <c r="C2906" s="10"/>
      <c r="D2906" s="10"/>
      <c r="E2906" s="10"/>
      <c r="F2906" s="10"/>
      <c r="J2906" s="25"/>
      <c r="K2906" s="25"/>
      <c r="L2906" s="25"/>
      <c r="M2906" s="25"/>
      <c r="N2906" s="25"/>
      <c r="O2906" s="25"/>
    </row>
    <row r="2907" customFormat="false" ht="18" hidden="false" customHeight="true" outlineLevel="0" collapsed="false">
      <c r="B2907" s="38" t="s">
        <v>148</v>
      </c>
      <c r="C2907" s="39" t="s">
        <v>149</v>
      </c>
      <c r="D2907" s="39" t="s">
        <v>150</v>
      </c>
      <c r="E2907" s="39" t="s">
        <v>151</v>
      </c>
      <c r="F2907" s="39" t="s">
        <v>109</v>
      </c>
      <c r="J2907" s="25" t="s">
        <v>152</v>
      </c>
      <c r="K2907" s="25" t="s">
        <v>153</v>
      </c>
      <c r="L2907" s="25" t="s">
        <v>154</v>
      </c>
      <c r="M2907" s="25" t="s">
        <v>155</v>
      </c>
      <c r="N2907" s="25" t="s">
        <v>156</v>
      </c>
      <c r="O2907" s="25" t="s">
        <v>157</v>
      </c>
    </row>
    <row r="2908" customFormat="false" ht="16.5" hidden="false" customHeight="true" outlineLevel="0" collapsed="false">
      <c r="B2908" s="40" t="str">
        <f aca="false">IFERROR(INDEX($J$2908:$J$2911,MATCH($O2908,$N$2908:$N$2911,0)),"")</f>
        <v/>
      </c>
      <c r="C2908" s="41" t="str">
        <f aca="false">IFERROR(INDEX($K$2908:$K$2911,MATCH($O2908,$N$2908:$N$2911,0)),"")</f>
        <v/>
      </c>
      <c r="D2908" s="42" t="str">
        <f aca="false">IF(OR(E2908="",N(C2908)=0),"",E2908/C2908-1)</f>
        <v/>
      </c>
      <c r="E2908" s="41" t="str">
        <f aca="false">IFERROR(INDEX($L$2908:$L$2911,MATCH($O2908,$N$2908:$N$2911,0)),"")</f>
        <v/>
      </c>
      <c r="F2908" s="41" t="str">
        <f aca="false">IF(E2908="","",E2908-C2908)</f>
        <v/>
      </c>
      <c r="J2908" s="25" t="str">
        <f aca="false">Lib_Compta</f>
        <v>Mission comptable (tenue, révision, bilan, liasse fiscale)</v>
      </c>
      <c r="K2908" s="25" t="n">
        <f aca="false">IF($K$2881=0,0,N(INDEX(Clients!$K$2:$K$501,$K$2881)))</f>
        <v>0</v>
      </c>
      <c r="L2908" s="25" t="n">
        <f aca="false">IF($K$2881=0,0,N(INDEX(Clients!$P$2:$P$501,$K$2881)))</f>
        <v>0</v>
      </c>
      <c r="M2908" s="25" t="n">
        <f aca="false">IF(OR(K2908&lt;&gt;0,L2908&lt;&gt;0),1,0)</f>
        <v>0</v>
      </c>
      <c r="N2908" s="25" t="str">
        <f aca="false">IF(M2908=1,SUM($M$2908:M2908),"")</f>
        <v/>
      </c>
      <c r="O2908" s="25" t="n">
        <v>1</v>
      </c>
    </row>
    <row r="2909" customFormat="false" ht="16.5" hidden="false" customHeight="true" outlineLevel="0" collapsed="false">
      <c r="B2909" s="40" t="str">
        <f aca="false">IFERROR(INDEX($J$2908:$J$2911,MATCH($O2909,$N$2908:$N$2911,0)),"")</f>
        <v/>
      </c>
      <c r="C2909" s="41" t="str">
        <f aca="false">IFERROR(INDEX($K$2908:$K$2911,MATCH($O2909,$N$2908:$N$2911,0)),"")</f>
        <v/>
      </c>
      <c r="D2909" s="42" t="str">
        <f aca="false">IF(OR(E2909="",N(C2909)=0),"",E2909/C2909-1)</f>
        <v/>
      </c>
      <c r="E2909" s="41" t="str">
        <f aca="false">IFERROR(INDEX($L$2908:$L$2911,MATCH($O2909,$N$2908:$N$2911,0)),"")</f>
        <v/>
      </c>
      <c r="F2909" s="41" t="str">
        <f aca="false">IF(E2909="","",E2909-C2909)</f>
        <v/>
      </c>
      <c r="J2909" s="25" t="str">
        <f aca="false">Lib_Paye</f>
        <v>Mission sociale (bulletins de paie, DSN, déclarations sociales)</v>
      </c>
      <c r="K2909" s="25" t="n">
        <f aca="false">IF($K$2881=0,0,N(INDEX(Clients!$L$2:$L$501,$K$2881)))</f>
        <v>0</v>
      </c>
      <c r="L2909" s="25" t="n">
        <f aca="false">IF($K$2881=0,0,N(INDEX(Clients!$Q$2:$Q$501,$K$2881)))</f>
        <v>0</v>
      </c>
      <c r="M2909" s="25" t="n">
        <f aca="false">IF(OR(K2909&lt;&gt;0,L2909&lt;&gt;0),1,0)</f>
        <v>0</v>
      </c>
      <c r="N2909" s="25" t="str">
        <f aca="false">IF(M2909=1,SUM($M$2908:M2909),"")</f>
        <v/>
      </c>
      <c r="O2909" s="25" t="n">
        <v>2</v>
      </c>
    </row>
    <row r="2910" customFormat="false" ht="16.5" hidden="false" customHeight="true" outlineLevel="0" collapsed="false">
      <c r="B2910" s="40" t="str">
        <f aca="false">IFERROR(INDEX($J$2908:$J$2911,MATCH($O2910,$N$2908:$N$2911,0)),"")</f>
        <v/>
      </c>
      <c r="C2910" s="41" t="str">
        <f aca="false">IFERROR(INDEX($K$2908:$K$2911,MATCH($O2910,$N$2908:$N$2911,0)),"")</f>
        <v/>
      </c>
      <c r="D2910" s="42" t="str">
        <f aca="false">IF(OR(E2910="",N(C2910)=0),"",E2910/C2910-1)</f>
        <v/>
      </c>
      <c r="E2910" s="41" t="str">
        <f aca="false">IFERROR(INDEX($L$2908:$L$2911,MATCH($O2910,$N$2908:$N$2911,0)),"")</f>
        <v/>
      </c>
      <c r="F2910" s="41" t="str">
        <f aca="false">IF(E2910="","",E2910-C2910)</f>
        <v/>
      </c>
      <c r="J2910" s="25" t="str">
        <f aca="false">Lib_Jur</f>
        <v>Mission juridique (approbation des comptes, secrétariat juridique)</v>
      </c>
      <c r="K2910" s="25" t="n">
        <f aca="false">IF($K$2881=0,0,N(INDEX(Clients!$M$2:$M$501,$K$2881)))</f>
        <v>0</v>
      </c>
      <c r="L2910" s="25" t="n">
        <f aca="false">IF($K$2881=0,0,N(INDEX(Clients!$R$2:$R$501,$K$2881)))</f>
        <v>0</v>
      </c>
      <c r="M2910" s="25" t="n">
        <f aca="false">IF(OR(K2910&lt;&gt;0,L2910&lt;&gt;0),1,0)</f>
        <v>0</v>
      </c>
      <c r="N2910" s="25" t="str">
        <f aca="false">IF(M2910=1,SUM($M$2908:M2910),"")</f>
        <v/>
      </c>
      <c r="O2910" s="25" t="n">
        <v>3</v>
      </c>
    </row>
    <row r="2911" customFormat="false" ht="16.5" hidden="false" customHeight="true" outlineLevel="0" collapsed="false">
      <c r="B2911" s="40" t="str">
        <f aca="false">IFERROR(INDEX($J$2908:$J$2911,MATCH($O2911,$N$2908:$N$2911,0)),"")</f>
        <v/>
      </c>
      <c r="C2911" s="41" t="str">
        <f aca="false">IFERROR(INDEX($K$2908:$K$2911,MATCH($O2911,$N$2908:$N$2911,0)),"")</f>
        <v/>
      </c>
      <c r="D2911" s="42" t="str">
        <f aca="false">IF(OR(E2911="",N(C2911)=0),"",E2911/C2911-1)</f>
        <v/>
      </c>
      <c r="E2911" s="41" t="str">
        <f aca="false">IFERROR(INDEX($L$2908:$L$2911,MATCH($O2911,$N$2908:$N$2911,0)),"")</f>
        <v/>
      </c>
      <c r="F2911" s="41" t="str">
        <f aca="false">IF(E2911="","",E2911-C2911)</f>
        <v/>
      </c>
      <c r="J2911" s="25" t="str">
        <f aca="false">Lib_PA</f>
        <v>Plateforme agréée – facturation électronique</v>
      </c>
      <c r="K2911" s="25" t="n">
        <f aca="false">IF($K$2881=0,0,N(INDEX(Clients!$N$2:$N$501,$K$2881)))</f>
        <v>0</v>
      </c>
      <c r="L2911" s="25" t="n">
        <f aca="false">IF($K$2881=0,0,N(INDEX(Clients!$S$2:$S$501,$K$2881)))</f>
        <v>0</v>
      </c>
      <c r="M2911" s="25" t="n">
        <f aca="false">IF(OR(K2911&lt;&gt;0,L2911&lt;&gt;0),1,0)</f>
        <v>0</v>
      </c>
      <c r="N2911" s="25" t="str">
        <f aca="false">IF(M2911=1,SUM($M$2908:M2911),"")</f>
        <v/>
      </c>
      <c r="O2911" s="25" t="n">
        <v>4</v>
      </c>
    </row>
    <row r="2912" customFormat="false" ht="18" hidden="false" customHeight="true" outlineLevel="0" collapsed="false">
      <c r="B2912" s="43" t="s">
        <v>158</v>
      </c>
      <c r="C2912" s="44" t="n">
        <f aca="false">SUM(K2908:K2911)</f>
        <v>0</v>
      </c>
      <c r="D2912" s="45" t="str">
        <f aca="false">IF(N(C2912)=0,"",E2912/C2912-1)</f>
        <v/>
      </c>
      <c r="E2912" s="44" t="n">
        <f aca="false">SUM(L2908:L2911)</f>
        <v>0</v>
      </c>
      <c r="F2912" s="44" t="n">
        <f aca="false">E2912-C2912</f>
        <v>0</v>
      </c>
    </row>
    <row r="2913" customFormat="false" ht="15" hidden="false" customHeight="false" outlineLevel="0" collapsed="false">
      <c r="B2913" s="46" t="str">
        <f aca="false">IF(N(Nb_Mensualites)=0,"","Soit "&amp;FIXED(E2912/Nb_Mensualites,2)&amp;" € HT par échéance ("&amp;Nb_Mensualites&amp;" échéances), "&amp;FIXED(E2912/Nb_Mensualites*(1+Taux_TVA),2)&amp;" € TTC.")</f>
        <v>Soit 0.00 € HT par échéance (12 échéances), 0.00 € TTC.</v>
      </c>
      <c r="C2913" s="46"/>
      <c r="D2913" s="46"/>
      <c r="E2913" s="46"/>
      <c r="F2913" s="46"/>
    </row>
    <row r="2914" customFormat="false" ht="7.5" hidden="false" customHeight="true" outlineLevel="0" collapsed="false">
      <c r="B2914" s="10"/>
      <c r="C2914" s="10"/>
      <c r="D2914" s="10"/>
      <c r="E2914" s="10"/>
      <c r="F2914" s="10"/>
    </row>
    <row r="2915" customFormat="false" ht="36.75" hidden="false" customHeight="true" outlineLevel="0" collapsed="false">
      <c r="B2915" s="37" t="str">
        <f aca="false">SUBSTITUTE(SUBSTITUTE(SUBSTITUTE(SUBSTITUTE(SUBSTITUTE(Txt_P5,"{cabinet}",Cab_Nom),"{societe}",IF($K$2881=0,"",INDEX(Clients!$E$2:$E$501,$K$2881)&amp;"")),"{date_effet}",$K$2883),"{hausse}",$K$2884),"{civilite}",$K$2882)</f>
        <v>Les autres conditions de votre lettre de mission demeurent inchangées. Les nouveaux montants seront appliqués automatiquement sur vos prochaines factures et échéances de prélèvement.</v>
      </c>
      <c r="C2915" s="37"/>
      <c r="D2915" s="37"/>
      <c r="E2915" s="37"/>
      <c r="F2915" s="37"/>
    </row>
    <row r="2916" customFormat="false" ht="36.75" hidden="false" customHeight="true" outlineLevel="0" collapsed="false">
      <c r="B2916" s="37" t="str">
        <f aca="false">SUBSTITUTE(SUBSTITUTE(SUBSTITUTE(SUBSTITUTE(SUBSTITUTE(Txt_P6,"{cabinet}",Cab_Nom),"{societe}",IF($K$2881=0,"",INDEX(Clients!$E$2:$E$501,$K$2881)&amp;"")),"{date_effet}",$K$2883),"{hausse}",$K$2884),"{civilite}",$K$2882)</f>
        <v>Votre interlocuteur habituel reste à votre entière disposition pour répondre à vos questions et faire le point sur l'évolution de vos besoins.</v>
      </c>
      <c r="C2916" s="37"/>
      <c r="D2916" s="37"/>
      <c r="E2916" s="37"/>
      <c r="F2916" s="37"/>
    </row>
    <row r="2917" customFormat="false" ht="24" hidden="false" customHeight="true" outlineLevel="0" collapsed="false">
      <c r="B2917" s="37" t="str">
        <f aca="false">SUBSTITUTE(SUBSTITUTE(SUBSTITUTE(SUBSTITUTE(SUBSTITUTE(Txt_Politesse,"{cabinet}",Cab_Nom),"{societe}",IF($K$2881=0,"",INDEX(Clients!$E$2:$E$501,$K$2881)&amp;"")),"{date_effet}",$K$2883),"{hausse}",$K$2884),"{civilite}",$K$2882)</f>
        <v>Nous vous prions d'agréer, Madame, Monsieur, l'expression de nos salutations distinguées.</v>
      </c>
      <c r="C2917" s="37"/>
      <c r="D2917" s="37"/>
      <c r="E2917" s="37"/>
      <c r="F2917" s="37"/>
    </row>
    <row r="2918" customFormat="false" ht="15" hidden="false" customHeight="false" outlineLevel="0" collapsed="false">
      <c r="B2918" s="10"/>
      <c r="C2918" s="10"/>
      <c r="D2918" s="10"/>
      <c r="E2918" s="10"/>
      <c r="F2918" s="10"/>
    </row>
    <row r="2919" customFormat="false" ht="15" hidden="false" customHeight="false" outlineLevel="0" collapsed="false">
      <c r="B2919" s="10"/>
      <c r="C2919" s="10"/>
      <c r="D2919" s="34" t="str">
        <f aca="false">Signataire</f>
        <v>Prénom NOM</v>
      </c>
      <c r="E2919" s="34"/>
      <c r="F2919" s="34"/>
    </row>
    <row r="2920" customFormat="false" ht="15" hidden="false" customHeight="false" outlineLevel="0" collapsed="false">
      <c r="B2920" s="10"/>
      <c r="C2920" s="10"/>
      <c r="D2920" s="47" t="str">
        <f aca="false">Signataire_Titre</f>
        <v>Expert-comptable associé</v>
      </c>
      <c r="E2920" s="47"/>
      <c r="F2920" s="47"/>
    </row>
    <row r="2921" customFormat="false" ht="15.75" hidden="false" customHeight="true" outlineLevel="0" collapsed="false">
      <c r="B2921" s="10"/>
      <c r="C2921" s="10"/>
      <c r="D2921" s="10"/>
      <c r="E2921" s="10"/>
      <c r="F2921" s="10"/>
    </row>
    <row r="2922" customFormat="false" ht="15.75" hidden="false" customHeight="true" outlineLevel="0" collapsed="false">
      <c r="B2922" s="10"/>
      <c r="C2922" s="10"/>
      <c r="D2922" s="10"/>
      <c r="E2922" s="10"/>
      <c r="F2922" s="10"/>
    </row>
    <row r="2923" customFormat="false" ht="15.75" hidden="false" customHeight="true" outlineLevel="0" collapsed="false">
      <c r="B2923" s="10"/>
      <c r="C2923" s="10"/>
      <c r="D2923" s="10"/>
      <c r="E2923" s="10"/>
      <c r="F2923" s="10"/>
    </row>
    <row r="2924" customFormat="false" ht="15.75" hidden="false" customHeight="true" outlineLevel="0" collapsed="false">
      <c r="B2924" s="10"/>
      <c r="C2924" s="10"/>
      <c r="D2924" s="10"/>
      <c r="E2924" s="10"/>
      <c r="F2924" s="10"/>
    </row>
    <row r="2925" customFormat="false" ht="24" hidden="false" customHeight="true" outlineLevel="0" collapsed="false">
      <c r="B2925" s="48" t="str">
        <f aca="false">Cab_Mentions</f>
        <v>ALTHO EXPERTISE · SAS au capital de 10 000 € · RCS Pontoise 919 706 325 · TVA FR62919706325 · Société d'expertise comptable inscrite au Tableau de l'Ordre des experts-comptables de Paris Île-de-France</v>
      </c>
      <c r="C2925" s="48"/>
      <c r="D2925" s="48"/>
      <c r="E2925" s="48"/>
      <c r="F2925" s="48"/>
    </row>
    <row r="2926" customFormat="false" ht="15" hidden="false" customHeight="false" outlineLevel="0" collapsed="false">
      <c r="B2926" s="10"/>
      <c r="C2926" s="10"/>
      <c r="D2926" s="10"/>
      <c r="E2926" s="10"/>
      <c r="F2926" s="10"/>
      <c r="J2926" s="25" t="s">
        <v>142</v>
      </c>
      <c r="K2926" s="25" t="n">
        <f aca="false">IFERROR(MATCH(66,Clients!$Z$2:$Z$501,0),0)</f>
        <v>0</v>
      </c>
      <c r="L2926" s="25"/>
      <c r="M2926" s="25"/>
      <c r="N2926" s="25"/>
      <c r="O2926" s="25"/>
    </row>
    <row r="2927" customFormat="false" ht="21.75" hidden="false" customHeight="true" outlineLevel="0" collapsed="false">
      <c r="B2927" s="26" t="str">
        <f aca="false">Cab_Nom</f>
        <v>ALTHO EXPERTISE</v>
      </c>
      <c r="C2927" s="26"/>
      <c r="D2927" s="10"/>
      <c r="E2927" s="27" t="str">
        <f aca="false">IF($K$2926=0,"","Réf. client : "&amp;INDEX(Clients!$A$2:$A$501,$K$2926))</f>
        <v/>
      </c>
      <c r="F2927" s="27"/>
      <c r="J2927" s="25" t="s">
        <v>144</v>
      </c>
      <c r="K2927" s="25" t="str">
        <f aca="false">IF(IF($K$2926=0,"",INDEX(Clients!$B$2:$B$501,$K$2926)&amp;"")="Mme","Madame",IF(IF($K$2926=0,"",INDEX(Clients!$B$2:$B$501,$K$2926)&amp;"")="M.","Monsieur","Madame, Monsieur"))</f>
        <v>Madame, Monsieur</v>
      </c>
      <c r="L2927" s="25"/>
      <c r="M2927" s="25"/>
      <c r="N2927" s="25"/>
      <c r="O2927" s="25"/>
    </row>
    <row r="2928" customFormat="false" ht="15" hidden="false" customHeight="false" outlineLevel="0" collapsed="false">
      <c r="B2928" s="29" t="str">
        <f aca="false">Cab_Adr1</f>
        <v>141 rue Charles de Gaulle</v>
      </c>
      <c r="C2928" s="29"/>
      <c r="D2928" s="10"/>
      <c r="E2928" s="10"/>
      <c r="F2928" s="10"/>
      <c r="J2928" s="25" t="s">
        <v>145</v>
      </c>
      <c r="K2928" s="25" t="str">
        <f aca="false">DAY(Date_Effet)&amp;IF(DAY(Date_Effet)=1,"er","")&amp;" "&amp;INDEX(Liste_Mois,MONTH(Date_Effet))&amp;" "&amp;YEAR(Date_Effet)</f>
        <v>1er janvier 2027</v>
      </c>
      <c r="L2928" s="25"/>
      <c r="M2928" s="25"/>
      <c r="N2928" s="25"/>
      <c r="O2928" s="25"/>
    </row>
    <row r="2929" customFormat="false" ht="15" hidden="false" customHeight="false" outlineLevel="0" collapsed="false">
      <c r="B2929" s="29" t="str">
        <f aca="false">Cab_CPVille</f>
        <v>95130 LE PLESSIS-BOUCHARD</v>
      </c>
      <c r="C2929" s="29"/>
      <c r="D2929" s="10"/>
      <c r="E2929" s="10"/>
      <c r="F2929" s="10"/>
      <c r="J2929" s="25" t="s">
        <v>146</v>
      </c>
      <c r="K2929" s="25" t="str">
        <f aca="false">IF(SUM($K$2953:$K$2956)=0,"",FIXED((SUM($L$2953:$L$2956)/SUM($K$2953:$K$2956)-1)*100,1)&amp;" %")</f>
        <v/>
      </c>
      <c r="L2929" s="25"/>
      <c r="M2929" s="25"/>
      <c r="N2929" s="25"/>
      <c r="O2929" s="25"/>
    </row>
    <row r="2930" customFormat="false" ht="15" hidden="false" customHeight="false" outlineLevel="0" collapsed="false">
      <c r="B2930" s="29" t="str">
        <f aca="false">Cab_Contact</f>
        <v>Tél. 01 34 14 53 45  ·  altho@altho-experts.com  ·  altho-experts.com</v>
      </c>
      <c r="C2930" s="29"/>
      <c r="D2930" s="10"/>
      <c r="E2930" s="10"/>
      <c r="F2930" s="10"/>
      <c r="J2930" s="25"/>
      <c r="K2930" s="25"/>
      <c r="L2930" s="25"/>
      <c r="M2930" s="25"/>
      <c r="N2930" s="25"/>
      <c r="O2930" s="25"/>
    </row>
    <row r="2931" customFormat="false" ht="6" hidden="false" customHeight="true" outlineLevel="0" collapsed="false">
      <c r="B2931" s="32"/>
      <c r="C2931" s="32"/>
      <c r="D2931" s="32"/>
      <c r="E2931" s="32"/>
      <c r="F2931" s="32"/>
      <c r="J2931" s="25"/>
      <c r="K2931" s="25"/>
      <c r="L2931" s="25"/>
      <c r="M2931" s="25"/>
      <c r="N2931" s="25"/>
      <c r="O2931" s="25"/>
    </row>
    <row r="2932" customFormat="false" ht="13.5" hidden="false" customHeight="true" outlineLevel="0" collapsed="false">
      <c r="B2932" s="10"/>
      <c r="C2932" s="10"/>
      <c r="D2932" s="10"/>
      <c r="E2932" s="10"/>
      <c r="F2932" s="10"/>
      <c r="J2932" s="25"/>
      <c r="K2932" s="25"/>
      <c r="L2932" s="25"/>
      <c r="M2932" s="25"/>
      <c r="N2932" s="25"/>
      <c r="O2932" s="25"/>
    </row>
    <row r="2933" customFormat="false" ht="13.5" hidden="false" customHeight="true" outlineLevel="0" collapsed="false">
      <c r="B2933" s="10"/>
      <c r="C2933" s="10"/>
      <c r="D2933" s="10"/>
      <c r="E2933" s="10"/>
      <c r="F2933" s="10"/>
      <c r="J2933" s="25"/>
      <c r="K2933" s="25"/>
      <c r="L2933" s="25"/>
      <c r="M2933" s="25"/>
      <c r="N2933" s="25"/>
      <c r="O2933" s="25"/>
    </row>
    <row r="2934" customFormat="false" ht="13.5" hidden="false" customHeight="true" outlineLevel="0" collapsed="false">
      <c r="B2934" s="10"/>
      <c r="C2934" s="10"/>
      <c r="D2934" s="10"/>
      <c r="E2934" s="10"/>
      <c r="F2934" s="10"/>
      <c r="J2934" s="25"/>
      <c r="K2934" s="25"/>
      <c r="L2934" s="25"/>
      <c r="M2934" s="25"/>
      <c r="N2934" s="25"/>
      <c r="O2934" s="25"/>
    </row>
    <row r="2935" customFormat="false" ht="15" hidden="false" customHeight="true" outlineLevel="0" collapsed="false">
      <c r="B2935" s="10"/>
      <c r="C2935" s="10"/>
      <c r="D2935" s="34" t="str">
        <f aca="false">IF($K$2926=0,"",INDEX(Clients!$E$2:$E$501,$K$2926)&amp;"")</f>
        <v/>
      </c>
      <c r="E2935" s="34"/>
      <c r="F2935" s="34"/>
      <c r="J2935" s="25"/>
      <c r="K2935" s="25"/>
      <c r="L2935" s="25"/>
      <c r="M2935" s="25"/>
      <c r="N2935" s="25"/>
      <c r="O2935" s="25"/>
    </row>
    <row r="2936" customFormat="false" ht="15" hidden="false" customHeight="true" outlineLevel="0" collapsed="false">
      <c r="B2936" s="10"/>
      <c r="C2936" s="10"/>
      <c r="D2936" s="35" t="str">
        <f aca="false">IF(IF($K$2926=0,"",INDEX(Clients!$D$2:$D$501,$K$2926)&amp;"")="","","À l'attention de "&amp;TRIM(IF($K$2926=0,"",INDEX(Clients!$B$2:$B$501,$K$2926)&amp;"")&amp;" "&amp;IF($K$2926=0,"",INDEX(Clients!$C$2:$C$501,$K$2926)&amp;"")&amp;" "&amp;IF($K$2926=0,"",INDEX(Clients!$D$2:$D$501,$K$2926)&amp;"")))</f>
        <v/>
      </c>
      <c r="E2936" s="35"/>
      <c r="F2936" s="35"/>
      <c r="J2936" s="25"/>
      <c r="K2936" s="25"/>
      <c r="L2936" s="25"/>
      <c r="M2936" s="25"/>
      <c r="N2936" s="25"/>
      <c r="O2936" s="25"/>
    </row>
    <row r="2937" customFormat="false" ht="15" hidden="false" customHeight="true" outlineLevel="0" collapsed="false">
      <c r="B2937" s="10"/>
      <c r="C2937" s="10"/>
      <c r="D2937" s="35" t="str">
        <f aca="false">IF($K$2926=0,"",INDEX(Clients!$F$2:$F$501,$K$2926)&amp;"")</f>
        <v/>
      </c>
      <c r="E2937" s="35"/>
      <c r="F2937" s="35"/>
      <c r="J2937" s="25"/>
      <c r="K2937" s="25"/>
      <c r="L2937" s="25"/>
      <c r="M2937" s="25"/>
      <c r="N2937" s="25"/>
      <c r="O2937" s="25"/>
    </row>
    <row r="2938" customFormat="false" ht="15" hidden="false" customHeight="true" outlineLevel="0" collapsed="false">
      <c r="B2938" s="10"/>
      <c r="C2938" s="10"/>
      <c r="D2938" s="35" t="str">
        <f aca="false">IF(IF($K$2926=0,"",INDEX(Clients!$G$2:$G$501,$K$2926)&amp;"")="",TRIM(IF($K$2926=0,"",INDEX(Clients!$H$2:$H$501,$K$2926)&amp;"")&amp;" "&amp;UPPER(IF($K$2926=0,"",INDEX(Clients!$I$2:$I$501,$K$2926)&amp;""))),IF($K$2926=0,"",INDEX(Clients!$G$2:$G$501,$K$2926)&amp;""))</f>
        <v/>
      </c>
      <c r="E2938" s="35"/>
      <c r="F2938" s="35"/>
      <c r="J2938" s="25"/>
      <c r="K2938" s="25"/>
      <c r="L2938" s="25"/>
      <c r="M2938" s="25"/>
      <c r="N2938" s="25"/>
      <c r="O2938" s="25"/>
    </row>
    <row r="2939" customFormat="false" ht="15" hidden="false" customHeight="true" outlineLevel="0" collapsed="false">
      <c r="B2939" s="10"/>
      <c r="C2939" s="10"/>
      <c r="D2939" s="35" t="str">
        <f aca="false">IF(IF($K$2926=0,"",INDEX(Clients!$G$2:$G$501,$K$2926)&amp;"")="","",TRIM(IF($K$2926=0,"",INDEX(Clients!$H$2:$H$501,$K$2926)&amp;"")&amp;" "&amp;UPPER(IF($K$2926=0,"",INDEX(Clients!$I$2:$I$501,$K$2926)&amp;""))))</f>
        <v/>
      </c>
      <c r="E2939" s="35"/>
      <c r="F2939" s="35"/>
      <c r="J2939" s="25"/>
      <c r="K2939" s="25"/>
      <c r="L2939" s="25"/>
      <c r="M2939" s="25"/>
      <c r="N2939" s="25"/>
      <c r="O2939" s="25"/>
    </row>
    <row r="2940" customFormat="false" ht="25.5" hidden="false" customHeight="true" outlineLevel="0" collapsed="false">
      <c r="B2940" s="10"/>
      <c r="C2940" s="10"/>
      <c r="D2940" s="10"/>
      <c r="E2940" s="10"/>
      <c r="F2940" s="10"/>
      <c r="J2940" s="25"/>
      <c r="K2940" s="25"/>
      <c r="L2940" s="25"/>
      <c r="M2940" s="25"/>
      <c r="N2940" s="25"/>
      <c r="O2940" s="25"/>
    </row>
    <row r="2941" customFormat="false" ht="15" hidden="false" customHeight="false" outlineLevel="0" collapsed="false">
      <c r="B2941" s="10"/>
      <c r="C2941" s="10"/>
      <c r="D2941" s="36" t="str">
        <f aca="false">Cab_Ville&amp;", le "&amp;DAY(Date_Courrier)&amp;IF(DAY(Date_Courrier)=1,"er","")&amp;" "&amp;INDEX(Liste_Mois,MONTH(Date_Courrier))&amp;" "&amp;YEAR(Date_Courrier)</f>
        <v>Le Plessis-Bouchard, le 22 septembre 2026</v>
      </c>
      <c r="E2941" s="36"/>
      <c r="F2941" s="36"/>
      <c r="J2941" s="25"/>
      <c r="K2941" s="25"/>
      <c r="L2941" s="25"/>
      <c r="M2941" s="25"/>
      <c r="N2941" s="25"/>
      <c r="O2941" s="25"/>
    </row>
    <row r="2942" customFormat="false" ht="19.5" hidden="false" customHeight="true" outlineLevel="0" collapsed="false">
      <c r="B2942" s="10"/>
      <c r="C2942" s="10"/>
      <c r="D2942" s="10"/>
      <c r="E2942" s="10"/>
      <c r="F2942" s="10"/>
      <c r="J2942" s="25"/>
      <c r="K2942" s="25"/>
      <c r="L2942" s="25"/>
      <c r="M2942" s="25"/>
      <c r="N2942" s="25"/>
      <c r="O2942" s="25"/>
    </row>
    <row r="2943" customFormat="false" ht="15" hidden="false" customHeight="false" outlineLevel="0" collapsed="false">
      <c r="B2943" s="34" t="str">
        <f aca="false">SUBSTITUTE(SUBSTITUTE(SUBSTITUTE(SUBSTITUTE(SUBSTITUTE(Txt_Objet,"{cabinet}",Cab_Nom),"{societe}",IF($K$2926=0,"",INDEX(Clients!$E$2:$E$501,$K$2926)&amp;"")),"{date_effet}",$K$2928),"{hausse}",$K$2929),"{civilite}",$K$2927)</f>
        <v>Objet : révision de nos honoraires au 1er janvier 2027</v>
      </c>
      <c r="C2943" s="34"/>
      <c r="D2943" s="34"/>
      <c r="E2943" s="34"/>
      <c r="F2943" s="34"/>
      <c r="J2943" s="25"/>
      <c r="K2943" s="25"/>
      <c r="L2943" s="25"/>
      <c r="M2943" s="25"/>
      <c r="N2943" s="25"/>
      <c r="O2943" s="25"/>
    </row>
    <row r="2944" customFormat="false" ht="13.5" hidden="false" customHeight="true" outlineLevel="0" collapsed="false">
      <c r="B2944" s="10"/>
      <c r="C2944" s="10"/>
      <c r="D2944" s="10"/>
      <c r="E2944" s="10"/>
      <c r="F2944" s="10"/>
      <c r="J2944" s="25"/>
      <c r="K2944" s="25"/>
      <c r="L2944" s="25"/>
      <c r="M2944" s="25"/>
      <c r="N2944" s="25"/>
      <c r="O2944" s="25"/>
    </row>
    <row r="2945" customFormat="false" ht="15" hidden="false" customHeight="false" outlineLevel="0" collapsed="false">
      <c r="B2945" s="10" t="str">
        <f aca="false">$K$2927&amp;","</f>
        <v>Madame, Monsieur,</v>
      </c>
      <c r="C2945" s="10"/>
      <c r="D2945" s="10"/>
      <c r="E2945" s="10"/>
      <c r="F2945" s="10"/>
      <c r="J2945" s="25"/>
      <c r="K2945" s="25"/>
      <c r="L2945" s="25"/>
      <c r="M2945" s="25"/>
      <c r="N2945" s="25"/>
      <c r="O2945" s="25"/>
    </row>
    <row r="2946" customFormat="false" ht="6" hidden="false" customHeight="true" outlineLevel="0" collapsed="false">
      <c r="B2946" s="10"/>
      <c r="C2946" s="10"/>
      <c r="D2946" s="10"/>
      <c r="E2946" s="10"/>
      <c r="F2946" s="10"/>
      <c r="J2946" s="25"/>
      <c r="K2946" s="25"/>
      <c r="L2946" s="25"/>
      <c r="M2946" s="25"/>
      <c r="N2946" s="25"/>
      <c r="O2946" s="25"/>
    </row>
    <row r="2947" customFormat="false" ht="36.75" hidden="false" customHeight="true" outlineLevel="0" collapsed="false">
      <c r="B2947" s="37" t="str">
        <f aca="false">SUBSTITUTE(SUBSTITUTE(SUBSTITUTE(SUBSTITUTE(SUBSTITUTE(Txt_P1,"{cabinet}",Cab_Nom),"{societe}",IF($K$2926=0,"",INDEX(Clients!$E$2:$E$501,$K$2926)&amp;"")),"{date_effet}",$K$2928),"{hausse}",$K$2929),"{civilite}",$K$2927)</f>
        <v>Nous tenons tout d'abord à vous remercier pour la confiance que vous accordez à ALTHO EXPERTISE. Comme chaque année, et conformément aux dispositions de votre lettre de mission, nous procédons à la révision de nos honoraires.</v>
      </c>
      <c r="C2947" s="37"/>
      <c r="D2947" s="37"/>
      <c r="E2947" s="37"/>
      <c r="F2947" s="37"/>
      <c r="J2947" s="25"/>
      <c r="K2947" s="25"/>
      <c r="L2947" s="25"/>
      <c r="M2947" s="25"/>
      <c r="N2947" s="25"/>
      <c r="O2947" s="25"/>
    </row>
    <row r="2948" customFormat="false" ht="49.5" hidden="false" customHeight="true" outlineLevel="0" collapsed="false">
      <c r="B2948" s="37" t="str">
        <f aca="false">SUBSTITUTE(SUBSTITUTE(SUBSTITUTE(SUBSTITUTE(SUBSTITUTE(Txt_P2,"{cabinet}",Cab_Nom),"{societe}",IF($K$2926=0,"",INDEX(Clients!$E$2:$E$501,$K$2926)&amp;"")),"{date_effet}",$K$2928),"{hausse}",$K$2929),"{civilite}",$K$2927)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948" s="37"/>
      <c r="D2948" s="37"/>
      <c r="E2948" s="37"/>
      <c r="F2948" s="37"/>
      <c r="J2948" s="25"/>
      <c r="K2948" s="25"/>
      <c r="L2948" s="25"/>
      <c r="M2948" s="25"/>
      <c r="N2948" s="25"/>
      <c r="O2948" s="25"/>
    </row>
    <row r="2949" customFormat="false" ht="63" hidden="false" customHeight="true" outlineLevel="0" collapsed="false">
      <c r="B2949" s="37" t="str">
        <f aca="false">SUBSTITUTE(SUBSTITUTE(SUBSTITUTE(SUBSTITUTE(SUBSTITUTE(Txt_P3,"{cabinet}",Cab_Nom),"{societe}",IF($K$2926=0,"",INDEX(Clients!$E$2:$E$501,$K$2926)&amp;"")),"{date_effet}",$K$2928),"{hausse}",$K$2929),"{civilite}",$K$2927)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949" s="37"/>
      <c r="D2949" s="37"/>
      <c r="E2949" s="37"/>
      <c r="F2949" s="37"/>
      <c r="J2949" s="25"/>
      <c r="K2949" s="25"/>
      <c r="L2949" s="25"/>
      <c r="M2949" s="25"/>
      <c r="N2949" s="25"/>
      <c r="O2949" s="25"/>
    </row>
    <row r="2950" customFormat="false" ht="24" hidden="false" customHeight="true" outlineLevel="0" collapsed="false">
      <c r="B2950" s="37" t="str">
        <f aca="false">SUBSTITUTE(SUBSTITUTE(SUBSTITUTE(SUBSTITUTE(SUBSTITUTE(Txt_P4,"{cabinet}",Cab_Nom),"{societe}",IF($K$2926=0,"",INDEX(Clients!$E$2:$E$501,$K$2926)&amp;"")),"{date_effet}",$K$2928),"{hausse}",$K$2929),"{civilite}",$K$2927)</f>
        <v>À compter du 1er janvier 2027, vos honoraires annuels hors taxes évolueront ainsi (évolution globale : ) :</v>
      </c>
      <c r="C2950" s="37"/>
      <c r="D2950" s="37"/>
      <c r="E2950" s="37"/>
      <c r="F2950" s="37"/>
      <c r="J2950" s="25"/>
      <c r="K2950" s="25"/>
      <c r="L2950" s="25"/>
      <c r="M2950" s="25"/>
      <c r="N2950" s="25"/>
      <c r="O2950" s="25"/>
    </row>
    <row r="2951" customFormat="false" ht="3.75" hidden="false" customHeight="true" outlineLevel="0" collapsed="false">
      <c r="B2951" s="10"/>
      <c r="C2951" s="10"/>
      <c r="D2951" s="10"/>
      <c r="E2951" s="10"/>
      <c r="F2951" s="10"/>
      <c r="J2951" s="25"/>
      <c r="K2951" s="25"/>
      <c r="L2951" s="25"/>
      <c r="M2951" s="25"/>
      <c r="N2951" s="25"/>
      <c r="O2951" s="25"/>
    </row>
    <row r="2952" customFormat="false" ht="18" hidden="false" customHeight="true" outlineLevel="0" collapsed="false">
      <c r="B2952" s="38" t="s">
        <v>148</v>
      </c>
      <c r="C2952" s="39" t="s">
        <v>149</v>
      </c>
      <c r="D2952" s="39" t="s">
        <v>150</v>
      </c>
      <c r="E2952" s="39" t="s">
        <v>151</v>
      </c>
      <c r="F2952" s="39" t="s">
        <v>109</v>
      </c>
      <c r="J2952" s="25" t="s">
        <v>152</v>
      </c>
      <c r="K2952" s="25" t="s">
        <v>153</v>
      </c>
      <c r="L2952" s="25" t="s">
        <v>154</v>
      </c>
      <c r="M2952" s="25" t="s">
        <v>155</v>
      </c>
      <c r="N2952" s="25" t="s">
        <v>156</v>
      </c>
      <c r="O2952" s="25" t="s">
        <v>157</v>
      </c>
    </row>
    <row r="2953" customFormat="false" ht="16.5" hidden="false" customHeight="true" outlineLevel="0" collapsed="false">
      <c r="B2953" s="40" t="str">
        <f aca="false">IFERROR(INDEX($J$2953:$J$2956,MATCH($O2953,$N$2953:$N$2956,0)),"")</f>
        <v/>
      </c>
      <c r="C2953" s="41" t="str">
        <f aca="false">IFERROR(INDEX($K$2953:$K$2956,MATCH($O2953,$N$2953:$N$2956,0)),"")</f>
        <v/>
      </c>
      <c r="D2953" s="42" t="str">
        <f aca="false">IF(OR(E2953="",N(C2953)=0),"",E2953/C2953-1)</f>
        <v/>
      </c>
      <c r="E2953" s="41" t="str">
        <f aca="false">IFERROR(INDEX($L$2953:$L$2956,MATCH($O2953,$N$2953:$N$2956,0)),"")</f>
        <v/>
      </c>
      <c r="F2953" s="41" t="str">
        <f aca="false">IF(E2953="","",E2953-C2953)</f>
        <v/>
      </c>
      <c r="J2953" s="25" t="str">
        <f aca="false">Lib_Compta</f>
        <v>Mission comptable (tenue, révision, bilan, liasse fiscale)</v>
      </c>
      <c r="K2953" s="25" t="n">
        <f aca="false">IF($K$2926=0,0,N(INDEX(Clients!$K$2:$K$501,$K$2926)))</f>
        <v>0</v>
      </c>
      <c r="L2953" s="25" t="n">
        <f aca="false">IF($K$2926=0,0,N(INDEX(Clients!$P$2:$P$501,$K$2926)))</f>
        <v>0</v>
      </c>
      <c r="M2953" s="25" t="n">
        <f aca="false">IF(OR(K2953&lt;&gt;0,L2953&lt;&gt;0),1,0)</f>
        <v>0</v>
      </c>
      <c r="N2953" s="25" t="str">
        <f aca="false">IF(M2953=1,SUM($M$2953:M2953),"")</f>
        <v/>
      </c>
      <c r="O2953" s="25" t="n">
        <v>1</v>
      </c>
    </row>
    <row r="2954" customFormat="false" ht="16.5" hidden="false" customHeight="true" outlineLevel="0" collapsed="false">
      <c r="B2954" s="40" t="str">
        <f aca="false">IFERROR(INDEX($J$2953:$J$2956,MATCH($O2954,$N$2953:$N$2956,0)),"")</f>
        <v/>
      </c>
      <c r="C2954" s="41" t="str">
        <f aca="false">IFERROR(INDEX($K$2953:$K$2956,MATCH($O2954,$N$2953:$N$2956,0)),"")</f>
        <v/>
      </c>
      <c r="D2954" s="42" t="str">
        <f aca="false">IF(OR(E2954="",N(C2954)=0),"",E2954/C2954-1)</f>
        <v/>
      </c>
      <c r="E2954" s="41" t="str">
        <f aca="false">IFERROR(INDEX($L$2953:$L$2956,MATCH($O2954,$N$2953:$N$2956,0)),"")</f>
        <v/>
      </c>
      <c r="F2954" s="41" t="str">
        <f aca="false">IF(E2954="","",E2954-C2954)</f>
        <v/>
      </c>
      <c r="J2954" s="25" t="str">
        <f aca="false">Lib_Paye</f>
        <v>Mission sociale (bulletins de paie, DSN, déclarations sociales)</v>
      </c>
      <c r="K2954" s="25" t="n">
        <f aca="false">IF($K$2926=0,0,N(INDEX(Clients!$L$2:$L$501,$K$2926)))</f>
        <v>0</v>
      </c>
      <c r="L2954" s="25" t="n">
        <f aca="false">IF($K$2926=0,0,N(INDEX(Clients!$Q$2:$Q$501,$K$2926)))</f>
        <v>0</v>
      </c>
      <c r="M2954" s="25" t="n">
        <f aca="false">IF(OR(K2954&lt;&gt;0,L2954&lt;&gt;0),1,0)</f>
        <v>0</v>
      </c>
      <c r="N2954" s="25" t="str">
        <f aca="false">IF(M2954=1,SUM($M$2953:M2954),"")</f>
        <v/>
      </c>
      <c r="O2954" s="25" t="n">
        <v>2</v>
      </c>
    </row>
    <row r="2955" customFormat="false" ht="16.5" hidden="false" customHeight="true" outlineLevel="0" collapsed="false">
      <c r="B2955" s="40" t="str">
        <f aca="false">IFERROR(INDEX($J$2953:$J$2956,MATCH($O2955,$N$2953:$N$2956,0)),"")</f>
        <v/>
      </c>
      <c r="C2955" s="41" t="str">
        <f aca="false">IFERROR(INDEX($K$2953:$K$2956,MATCH($O2955,$N$2953:$N$2956,0)),"")</f>
        <v/>
      </c>
      <c r="D2955" s="42" t="str">
        <f aca="false">IF(OR(E2955="",N(C2955)=0),"",E2955/C2955-1)</f>
        <v/>
      </c>
      <c r="E2955" s="41" t="str">
        <f aca="false">IFERROR(INDEX($L$2953:$L$2956,MATCH($O2955,$N$2953:$N$2956,0)),"")</f>
        <v/>
      </c>
      <c r="F2955" s="41" t="str">
        <f aca="false">IF(E2955="","",E2955-C2955)</f>
        <v/>
      </c>
      <c r="J2955" s="25" t="str">
        <f aca="false">Lib_Jur</f>
        <v>Mission juridique (approbation des comptes, secrétariat juridique)</v>
      </c>
      <c r="K2955" s="25" t="n">
        <f aca="false">IF($K$2926=0,0,N(INDEX(Clients!$M$2:$M$501,$K$2926)))</f>
        <v>0</v>
      </c>
      <c r="L2955" s="25" t="n">
        <f aca="false">IF($K$2926=0,0,N(INDEX(Clients!$R$2:$R$501,$K$2926)))</f>
        <v>0</v>
      </c>
      <c r="M2955" s="25" t="n">
        <f aca="false">IF(OR(K2955&lt;&gt;0,L2955&lt;&gt;0),1,0)</f>
        <v>0</v>
      </c>
      <c r="N2955" s="25" t="str">
        <f aca="false">IF(M2955=1,SUM($M$2953:M2955),"")</f>
        <v/>
      </c>
      <c r="O2955" s="25" t="n">
        <v>3</v>
      </c>
    </row>
    <row r="2956" customFormat="false" ht="16.5" hidden="false" customHeight="true" outlineLevel="0" collapsed="false">
      <c r="B2956" s="40" t="str">
        <f aca="false">IFERROR(INDEX($J$2953:$J$2956,MATCH($O2956,$N$2953:$N$2956,0)),"")</f>
        <v/>
      </c>
      <c r="C2956" s="41" t="str">
        <f aca="false">IFERROR(INDEX($K$2953:$K$2956,MATCH($O2956,$N$2953:$N$2956,0)),"")</f>
        <v/>
      </c>
      <c r="D2956" s="42" t="str">
        <f aca="false">IF(OR(E2956="",N(C2956)=0),"",E2956/C2956-1)</f>
        <v/>
      </c>
      <c r="E2956" s="41" t="str">
        <f aca="false">IFERROR(INDEX($L$2953:$L$2956,MATCH($O2956,$N$2953:$N$2956,0)),"")</f>
        <v/>
      </c>
      <c r="F2956" s="41" t="str">
        <f aca="false">IF(E2956="","",E2956-C2956)</f>
        <v/>
      </c>
      <c r="J2956" s="25" t="str">
        <f aca="false">Lib_PA</f>
        <v>Plateforme agréée – facturation électronique</v>
      </c>
      <c r="K2956" s="25" t="n">
        <f aca="false">IF($K$2926=0,0,N(INDEX(Clients!$N$2:$N$501,$K$2926)))</f>
        <v>0</v>
      </c>
      <c r="L2956" s="25" t="n">
        <f aca="false">IF($K$2926=0,0,N(INDEX(Clients!$S$2:$S$501,$K$2926)))</f>
        <v>0</v>
      </c>
      <c r="M2956" s="25" t="n">
        <f aca="false">IF(OR(K2956&lt;&gt;0,L2956&lt;&gt;0),1,0)</f>
        <v>0</v>
      </c>
      <c r="N2956" s="25" t="str">
        <f aca="false">IF(M2956=1,SUM($M$2953:M2956),"")</f>
        <v/>
      </c>
      <c r="O2956" s="25" t="n">
        <v>4</v>
      </c>
    </row>
    <row r="2957" customFormat="false" ht="18" hidden="false" customHeight="true" outlineLevel="0" collapsed="false">
      <c r="B2957" s="43" t="s">
        <v>158</v>
      </c>
      <c r="C2957" s="44" t="n">
        <f aca="false">SUM(K2953:K2956)</f>
        <v>0</v>
      </c>
      <c r="D2957" s="45" t="str">
        <f aca="false">IF(N(C2957)=0,"",E2957/C2957-1)</f>
        <v/>
      </c>
      <c r="E2957" s="44" t="n">
        <f aca="false">SUM(L2953:L2956)</f>
        <v>0</v>
      </c>
      <c r="F2957" s="44" t="n">
        <f aca="false">E2957-C2957</f>
        <v>0</v>
      </c>
    </row>
    <row r="2958" customFormat="false" ht="15" hidden="false" customHeight="false" outlineLevel="0" collapsed="false">
      <c r="B2958" s="46" t="str">
        <f aca="false">IF(N(Nb_Mensualites)=0,"","Soit "&amp;FIXED(E2957/Nb_Mensualites,2)&amp;" € HT par échéance ("&amp;Nb_Mensualites&amp;" échéances), "&amp;FIXED(E2957/Nb_Mensualites*(1+Taux_TVA),2)&amp;" € TTC.")</f>
        <v>Soit 0.00 € HT par échéance (12 échéances), 0.00 € TTC.</v>
      </c>
      <c r="C2958" s="46"/>
      <c r="D2958" s="46"/>
      <c r="E2958" s="46"/>
      <c r="F2958" s="46"/>
    </row>
    <row r="2959" customFormat="false" ht="7.5" hidden="false" customHeight="true" outlineLevel="0" collapsed="false">
      <c r="B2959" s="10"/>
      <c r="C2959" s="10"/>
      <c r="D2959" s="10"/>
      <c r="E2959" s="10"/>
      <c r="F2959" s="10"/>
    </row>
    <row r="2960" customFormat="false" ht="36.75" hidden="false" customHeight="true" outlineLevel="0" collapsed="false">
      <c r="B2960" s="37" t="str">
        <f aca="false">SUBSTITUTE(SUBSTITUTE(SUBSTITUTE(SUBSTITUTE(SUBSTITUTE(Txt_P5,"{cabinet}",Cab_Nom),"{societe}",IF($K$2926=0,"",INDEX(Clients!$E$2:$E$501,$K$2926)&amp;"")),"{date_effet}",$K$2928),"{hausse}",$K$2929),"{civilite}",$K$2927)</f>
        <v>Les autres conditions de votre lettre de mission demeurent inchangées. Les nouveaux montants seront appliqués automatiquement sur vos prochaines factures et échéances de prélèvement.</v>
      </c>
      <c r="C2960" s="37"/>
      <c r="D2960" s="37"/>
      <c r="E2960" s="37"/>
      <c r="F2960" s="37"/>
    </row>
    <row r="2961" customFormat="false" ht="36.75" hidden="false" customHeight="true" outlineLevel="0" collapsed="false">
      <c r="B2961" s="37" t="str">
        <f aca="false">SUBSTITUTE(SUBSTITUTE(SUBSTITUTE(SUBSTITUTE(SUBSTITUTE(Txt_P6,"{cabinet}",Cab_Nom),"{societe}",IF($K$2926=0,"",INDEX(Clients!$E$2:$E$501,$K$2926)&amp;"")),"{date_effet}",$K$2928),"{hausse}",$K$2929),"{civilite}",$K$2927)</f>
        <v>Votre interlocuteur habituel reste à votre entière disposition pour répondre à vos questions et faire le point sur l'évolution de vos besoins.</v>
      </c>
      <c r="C2961" s="37"/>
      <c r="D2961" s="37"/>
      <c r="E2961" s="37"/>
      <c r="F2961" s="37"/>
    </row>
    <row r="2962" customFormat="false" ht="24" hidden="false" customHeight="true" outlineLevel="0" collapsed="false">
      <c r="B2962" s="37" t="str">
        <f aca="false">SUBSTITUTE(SUBSTITUTE(SUBSTITUTE(SUBSTITUTE(SUBSTITUTE(Txt_Politesse,"{cabinet}",Cab_Nom),"{societe}",IF($K$2926=0,"",INDEX(Clients!$E$2:$E$501,$K$2926)&amp;"")),"{date_effet}",$K$2928),"{hausse}",$K$2929),"{civilite}",$K$2927)</f>
        <v>Nous vous prions d'agréer, Madame, Monsieur, l'expression de nos salutations distinguées.</v>
      </c>
      <c r="C2962" s="37"/>
      <c r="D2962" s="37"/>
      <c r="E2962" s="37"/>
      <c r="F2962" s="37"/>
    </row>
    <row r="2963" customFormat="false" ht="15" hidden="false" customHeight="false" outlineLevel="0" collapsed="false">
      <c r="B2963" s="10"/>
      <c r="C2963" s="10"/>
      <c r="D2963" s="10"/>
      <c r="E2963" s="10"/>
      <c r="F2963" s="10"/>
    </row>
    <row r="2964" customFormat="false" ht="15" hidden="false" customHeight="false" outlineLevel="0" collapsed="false">
      <c r="B2964" s="10"/>
      <c r="C2964" s="10"/>
      <c r="D2964" s="34" t="str">
        <f aca="false">Signataire</f>
        <v>Prénom NOM</v>
      </c>
      <c r="E2964" s="34"/>
      <c r="F2964" s="34"/>
    </row>
    <row r="2965" customFormat="false" ht="15" hidden="false" customHeight="false" outlineLevel="0" collapsed="false">
      <c r="B2965" s="10"/>
      <c r="C2965" s="10"/>
      <c r="D2965" s="47" t="str">
        <f aca="false">Signataire_Titre</f>
        <v>Expert-comptable associé</v>
      </c>
      <c r="E2965" s="47"/>
      <c r="F2965" s="47"/>
    </row>
    <row r="2966" customFormat="false" ht="15.75" hidden="false" customHeight="true" outlineLevel="0" collapsed="false">
      <c r="B2966" s="10"/>
      <c r="C2966" s="10"/>
      <c r="D2966" s="10"/>
      <c r="E2966" s="10"/>
      <c r="F2966" s="10"/>
    </row>
    <row r="2967" customFormat="false" ht="15.75" hidden="false" customHeight="true" outlineLevel="0" collapsed="false">
      <c r="B2967" s="10"/>
      <c r="C2967" s="10"/>
      <c r="D2967" s="10"/>
      <c r="E2967" s="10"/>
      <c r="F2967" s="10"/>
    </row>
    <row r="2968" customFormat="false" ht="15.75" hidden="false" customHeight="true" outlineLevel="0" collapsed="false">
      <c r="B2968" s="10"/>
      <c r="C2968" s="10"/>
      <c r="D2968" s="10"/>
      <c r="E2968" s="10"/>
      <c r="F2968" s="10"/>
    </row>
    <row r="2969" customFormat="false" ht="15.75" hidden="false" customHeight="true" outlineLevel="0" collapsed="false">
      <c r="B2969" s="10"/>
      <c r="C2969" s="10"/>
      <c r="D2969" s="10"/>
      <c r="E2969" s="10"/>
      <c r="F2969" s="10"/>
    </row>
    <row r="2970" customFormat="false" ht="24" hidden="false" customHeight="true" outlineLevel="0" collapsed="false">
      <c r="B2970" s="48" t="str">
        <f aca="false">Cab_Mentions</f>
        <v>ALTHO EXPERTISE · SAS au capital de 10 000 € · RCS Pontoise 919 706 325 · TVA FR62919706325 · Société d'expertise comptable inscrite au Tableau de l'Ordre des experts-comptables de Paris Île-de-France</v>
      </c>
      <c r="C2970" s="48"/>
      <c r="D2970" s="48"/>
      <c r="E2970" s="48"/>
      <c r="F2970" s="48"/>
    </row>
    <row r="2971" customFormat="false" ht="15" hidden="false" customHeight="false" outlineLevel="0" collapsed="false">
      <c r="B2971" s="10"/>
      <c r="C2971" s="10"/>
      <c r="D2971" s="10"/>
      <c r="E2971" s="10"/>
      <c r="F2971" s="10"/>
      <c r="J2971" s="25" t="s">
        <v>142</v>
      </c>
      <c r="K2971" s="25" t="n">
        <f aca="false">IFERROR(MATCH(67,Clients!$Z$2:$Z$501,0),0)</f>
        <v>0</v>
      </c>
      <c r="L2971" s="25"/>
      <c r="M2971" s="25"/>
      <c r="N2971" s="25"/>
      <c r="O2971" s="25"/>
    </row>
    <row r="2972" customFormat="false" ht="21.75" hidden="false" customHeight="true" outlineLevel="0" collapsed="false">
      <c r="B2972" s="26" t="str">
        <f aca="false">Cab_Nom</f>
        <v>ALTHO EXPERTISE</v>
      </c>
      <c r="C2972" s="26"/>
      <c r="D2972" s="10"/>
      <c r="E2972" s="27" t="str">
        <f aca="false">IF($K$2971=0,"","Réf. client : "&amp;INDEX(Clients!$A$2:$A$501,$K$2971))</f>
        <v/>
      </c>
      <c r="F2972" s="27"/>
      <c r="J2972" s="25" t="s">
        <v>144</v>
      </c>
      <c r="K2972" s="25" t="str">
        <f aca="false">IF(IF($K$2971=0,"",INDEX(Clients!$B$2:$B$501,$K$2971)&amp;"")="Mme","Madame",IF(IF($K$2971=0,"",INDEX(Clients!$B$2:$B$501,$K$2971)&amp;"")="M.","Monsieur","Madame, Monsieur"))</f>
        <v>Madame, Monsieur</v>
      </c>
      <c r="L2972" s="25"/>
      <c r="M2972" s="25"/>
      <c r="N2972" s="25"/>
      <c r="O2972" s="25"/>
    </row>
    <row r="2973" customFormat="false" ht="15" hidden="false" customHeight="false" outlineLevel="0" collapsed="false">
      <c r="B2973" s="29" t="str">
        <f aca="false">Cab_Adr1</f>
        <v>141 rue Charles de Gaulle</v>
      </c>
      <c r="C2973" s="29"/>
      <c r="D2973" s="10"/>
      <c r="E2973" s="10"/>
      <c r="F2973" s="10"/>
      <c r="J2973" s="25" t="s">
        <v>145</v>
      </c>
      <c r="K2973" s="25" t="str">
        <f aca="false">DAY(Date_Effet)&amp;IF(DAY(Date_Effet)=1,"er","")&amp;" "&amp;INDEX(Liste_Mois,MONTH(Date_Effet))&amp;" "&amp;YEAR(Date_Effet)</f>
        <v>1er janvier 2027</v>
      </c>
      <c r="L2973" s="25"/>
      <c r="M2973" s="25"/>
      <c r="N2973" s="25"/>
      <c r="O2973" s="25"/>
    </row>
    <row r="2974" customFormat="false" ht="15" hidden="false" customHeight="false" outlineLevel="0" collapsed="false">
      <c r="B2974" s="29" t="str">
        <f aca="false">Cab_CPVille</f>
        <v>95130 LE PLESSIS-BOUCHARD</v>
      </c>
      <c r="C2974" s="29"/>
      <c r="D2974" s="10"/>
      <c r="E2974" s="10"/>
      <c r="F2974" s="10"/>
      <c r="J2974" s="25" t="s">
        <v>146</v>
      </c>
      <c r="K2974" s="25" t="str">
        <f aca="false">IF(SUM($K$2998:$K$3001)=0,"",FIXED((SUM($L$2998:$L$3001)/SUM($K$2998:$K$3001)-1)*100,1)&amp;" %")</f>
        <v/>
      </c>
      <c r="L2974" s="25"/>
      <c r="M2974" s="25"/>
      <c r="N2974" s="25"/>
      <c r="O2974" s="25"/>
    </row>
    <row r="2975" customFormat="false" ht="15" hidden="false" customHeight="false" outlineLevel="0" collapsed="false">
      <c r="B2975" s="29" t="str">
        <f aca="false">Cab_Contact</f>
        <v>Tél. 01 34 14 53 45  ·  altho@altho-experts.com  ·  altho-experts.com</v>
      </c>
      <c r="C2975" s="29"/>
      <c r="D2975" s="10"/>
      <c r="E2975" s="10"/>
      <c r="F2975" s="10"/>
      <c r="J2975" s="25"/>
      <c r="K2975" s="25"/>
      <c r="L2975" s="25"/>
      <c r="M2975" s="25"/>
      <c r="N2975" s="25"/>
      <c r="O2975" s="25"/>
    </row>
    <row r="2976" customFormat="false" ht="6" hidden="false" customHeight="true" outlineLevel="0" collapsed="false">
      <c r="B2976" s="32"/>
      <c r="C2976" s="32"/>
      <c r="D2976" s="32"/>
      <c r="E2976" s="32"/>
      <c r="F2976" s="32"/>
      <c r="J2976" s="25"/>
      <c r="K2976" s="25"/>
      <c r="L2976" s="25"/>
      <c r="M2976" s="25"/>
      <c r="N2976" s="25"/>
      <c r="O2976" s="25"/>
    </row>
    <row r="2977" customFormat="false" ht="13.5" hidden="false" customHeight="true" outlineLevel="0" collapsed="false">
      <c r="B2977" s="10"/>
      <c r="C2977" s="10"/>
      <c r="D2977" s="10"/>
      <c r="E2977" s="10"/>
      <c r="F2977" s="10"/>
      <c r="J2977" s="25"/>
      <c r="K2977" s="25"/>
      <c r="L2977" s="25"/>
      <c r="M2977" s="25"/>
      <c r="N2977" s="25"/>
      <c r="O2977" s="25"/>
    </row>
    <row r="2978" customFormat="false" ht="13.5" hidden="false" customHeight="true" outlineLevel="0" collapsed="false">
      <c r="B2978" s="10"/>
      <c r="C2978" s="10"/>
      <c r="D2978" s="10"/>
      <c r="E2978" s="10"/>
      <c r="F2978" s="10"/>
      <c r="J2978" s="25"/>
      <c r="K2978" s="25"/>
      <c r="L2978" s="25"/>
      <c r="M2978" s="25"/>
      <c r="N2978" s="25"/>
      <c r="O2978" s="25"/>
    </row>
    <row r="2979" customFormat="false" ht="13.5" hidden="false" customHeight="true" outlineLevel="0" collapsed="false">
      <c r="B2979" s="10"/>
      <c r="C2979" s="10"/>
      <c r="D2979" s="10"/>
      <c r="E2979" s="10"/>
      <c r="F2979" s="10"/>
      <c r="J2979" s="25"/>
      <c r="K2979" s="25"/>
      <c r="L2979" s="25"/>
      <c r="M2979" s="25"/>
      <c r="N2979" s="25"/>
      <c r="O2979" s="25"/>
    </row>
    <row r="2980" customFormat="false" ht="15" hidden="false" customHeight="true" outlineLevel="0" collapsed="false">
      <c r="B2980" s="10"/>
      <c r="C2980" s="10"/>
      <c r="D2980" s="34" t="str">
        <f aca="false">IF($K$2971=0,"",INDEX(Clients!$E$2:$E$501,$K$2971)&amp;"")</f>
        <v/>
      </c>
      <c r="E2980" s="34"/>
      <c r="F2980" s="34"/>
      <c r="J2980" s="25"/>
      <c r="K2980" s="25"/>
      <c r="L2980" s="25"/>
      <c r="M2980" s="25"/>
      <c r="N2980" s="25"/>
      <c r="O2980" s="25"/>
    </row>
    <row r="2981" customFormat="false" ht="15" hidden="false" customHeight="true" outlineLevel="0" collapsed="false">
      <c r="B2981" s="10"/>
      <c r="C2981" s="10"/>
      <c r="D2981" s="35" t="str">
        <f aca="false">IF(IF($K$2971=0,"",INDEX(Clients!$D$2:$D$501,$K$2971)&amp;"")="","","À l'attention de "&amp;TRIM(IF($K$2971=0,"",INDEX(Clients!$B$2:$B$501,$K$2971)&amp;"")&amp;" "&amp;IF($K$2971=0,"",INDEX(Clients!$C$2:$C$501,$K$2971)&amp;"")&amp;" "&amp;IF($K$2971=0,"",INDEX(Clients!$D$2:$D$501,$K$2971)&amp;"")))</f>
        <v/>
      </c>
      <c r="E2981" s="35"/>
      <c r="F2981" s="35"/>
      <c r="J2981" s="25"/>
      <c r="K2981" s="25"/>
      <c r="L2981" s="25"/>
      <c r="M2981" s="25"/>
      <c r="N2981" s="25"/>
      <c r="O2981" s="25"/>
    </row>
    <row r="2982" customFormat="false" ht="15" hidden="false" customHeight="true" outlineLevel="0" collapsed="false">
      <c r="B2982" s="10"/>
      <c r="C2982" s="10"/>
      <c r="D2982" s="35" t="str">
        <f aca="false">IF($K$2971=0,"",INDEX(Clients!$F$2:$F$501,$K$2971)&amp;"")</f>
        <v/>
      </c>
      <c r="E2982" s="35"/>
      <c r="F2982" s="35"/>
      <c r="J2982" s="25"/>
      <c r="K2982" s="25"/>
      <c r="L2982" s="25"/>
      <c r="M2982" s="25"/>
      <c r="N2982" s="25"/>
      <c r="O2982" s="25"/>
    </row>
    <row r="2983" customFormat="false" ht="15" hidden="false" customHeight="true" outlineLevel="0" collapsed="false">
      <c r="B2983" s="10"/>
      <c r="C2983" s="10"/>
      <c r="D2983" s="35" t="str">
        <f aca="false">IF(IF($K$2971=0,"",INDEX(Clients!$G$2:$G$501,$K$2971)&amp;"")="",TRIM(IF($K$2971=0,"",INDEX(Clients!$H$2:$H$501,$K$2971)&amp;"")&amp;" "&amp;UPPER(IF($K$2971=0,"",INDEX(Clients!$I$2:$I$501,$K$2971)&amp;""))),IF($K$2971=0,"",INDEX(Clients!$G$2:$G$501,$K$2971)&amp;""))</f>
        <v/>
      </c>
      <c r="E2983" s="35"/>
      <c r="F2983" s="35"/>
      <c r="J2983" s="25"/>
      <c r="K2983" s="25"/>
      <c r="L2983" s="25"/>
      <c r="M2983" s="25"/>
      <c r="N2983" s="25"/>
      <c r="O2983" s="25"/>
    </row>
    <row r="2984" customFormat="false" ht="15" hidden="false" customHeight="true" outlineLevel="0" collapsed="false">
      <c r="B2984" s="10"/>
      <c r="C2984" s="10"/>
      <c r="D2984" s="35" t="str">
        <f aca="false">IF(IF($K$2971=0,"",INDEX(Clients!$G$2:$G$501,$K$2971)&amp;"")="","",TRIM(IF($K$2971=0,"",INDEX(Clients!$H$2:$H$501,$K$2971)&amp;"")&amp;" "&amp;UPPER(IF($K$2971=0,"",INDEX(Clients!$I$2:$I$501,$K$2971)&amp;""))))</f>
        <v/>
      </c>
      <c r="E2984" s="35"/>
      <c r="F2984" s="35"/>
      <c r="J2984" s="25"/>
      <c r="K2984" s="25"/>
      <c r="L2984" s="25"/>
      <c r="M2984" s="25"/>
      <c r="N2984" s="25"/>
      <c r="O2984" s="25"/>
    </row>
    <row r="2985" customFormat="false" ht="25.5" hidden="false" customHeight="true" outlineLevel="0" collapsed="false">
      <c r="B2985" s="10"/>
      <c r="C2985" s="10"/>
      <c r="D2985" s="10"/>
      <c r="E2985" s="10"/>
      <c r="F2985" s="10"/>
      <c r="J2985" s="25"/>
      <c r="K2985" s="25"/>
      <c r="L2985" s="25"/>
      <c r="M2985" s="25"/>
      <c r="N2985" s="25"/>
      <c r="O2985" s="25"/>
    </row>
    <row r="2986" customFormat="false" ht="15" hidden="false" customHeight="false" outlineLevel="0" collapsed="false">
      <c r="B2986" s="10"/>
      <c r="C2986" s="10"/>
      <c r="D2986" s="36" t="str">
        <f aca="false">Cab_Ville&amp;", le "&amp;DAY(Date_Courrier)&amp;IF(DAY(Date_Courrier)=1,"er","")&amp;" "&amp;INDEX(Liste_Mois,MONTH(Date_Courrier))&amp;" "&amp;YEAR(Date_Courrier)</f>
        <v>Le Plessis-Bouchard, le 22 septembre 2026</v>
      </c>
      <c r="E2986" s="36"/>
      <c r="F2986" s="36"/>
      <c r="J2986" s="25"/>
      <c r="K2986" s="25"/>
      <c r="L2986" s="25"/>
      <c r="M2986" s="25"/>
      <c r="N2986" s="25"/>
      <c r="O2986" s="25"/>
    </row>
    <row r="2987" customFormat="false" ht="19.5" hidden="false" customHeight="true" outlineLevel="0" collapsed="false">
      <c r="B2987" s="10"/>
      <c r="C2987" s="10"/>
      <c r="D2987" s="10"/>
      <c r="E2987" s="10"/>
      <c r="F2987" s="10"/>
      <c r="J2987" s="25"/>
      <c r="K2987" s="25"/>
      <c r="L2987" s="25"/>
      <c r="M2987" s="25"/>
      <c r="N2987" s="25"/>
      <c r="O2987" s="25"/>
    </row>
    <row r="2988" customFormat="false" ht="15" hidden="false" customHeight="false" outlineLevel="0" collapsed="false">
      <c r="B2988" s="34" t="str">
        <f aca="false">SUBSTITUTE(SUBSTITUTE(SUBSTITUTE(SUBSTITUTE(SUBSTITUTE(Txt_Objet,"{cabinet}",Cab_Nom),"{societe}",IF($K$2971=0,"",INDEX(Clients!$E$2:$E$501,$K$2971)&amp;"")),"{date_effet}",$K$2973),"{hausse}",$K$2974),"{civilite}",$K$2972)</f>
        <v>Objet : révision de nos honoraires au 1er janvier 2027</v>
      </c>
      <c r="C2988" s="34"/>
      <c r="D2988" s="34"/>
      <c r="E2988" s="34"/>
      <c r="F2988" s="34"/>
      <c r="J2988" s="25"/>
      <c r="K2988" s="25"/>
      <c r="L2988" s="25"/>
      <c r="M2988" s="25"/>
      <c r="N2988" s="25"/>
      <c r="O2988" s="25"/>
    </row>
    <row r="2989" customFormat="false" ht="13.5" hidden="false" customHeight="true" outlineLevel="0" collapsed="false">
      <c r="B2989" s="10"/>
      <c r="C2989" s="10"/>
      <c r="D2989" s="10"/>
      <c r="E2989" s="10"/>
      <c r="F2989" s="10"/>
      <c r="J2989" s="25"/>
      <c r="K2989" s="25"/>
      <c r="L2989" s="25"/>
      <c r="M2989" s="25"/>
      <c r="N2989" s="25"/>
      <c r="O2989" s="25"/>
    </row>
    <row r="2990" customFormat="false" ht="15" hidden="false" customHeight="false" outlineLevel="0" collapsed="false">
      <c r="B2990" s="10" t="str">
        <f aca="false">$K$2972&amp;","</f>
        <v>Madame, Monsieur,</v>
      </c>
      <c r="C2990" s="10"/>
      <c r="D2990" s="10"/>
      <c r="E2990" s="10"/>
      <c r="F2990" s="10"/>
      <c r="J2990" s="25"/>
      <c r="K2990" s="25"/>
      <c r="L2990" s="25"/>
      <c r="M2990" s="25"/>
      <c r="N2990" s="25"/>
      <c r="O2990" s="25"/>
    </row>
    <row r="2991" customFormat="false" ht="6" hidden="false" customHeight="true" outlineLevel="0" collapsed="false">
      <c r="B2991" s="10"/>
      <c r="C2991" s="10"/>
      <c r="D2991" s="10"/>
      <c r="E2991" s="10"/>
      <c r="F2991" s="10"/>
      <c r="J2991" s="25"/>
      <c r="K2991" s="25"/>
      <c r="L2991" s="25"/>
      <c r="M2991" s="25"/>
      <c r="N2991" s="25"/>
      <c r="O2991" s="25"/>
    </row>
    <row r="2992" customFormat="false" ht="36.75" hidden="false" customHeight="true" outlineLevel="0" collapsed="false">
      <c r="B2992" s="37" t="str">
        <f aca="false">SUBSTITUTE(SUBSTITUTE(SUBSTITUTE(SUBSTITUTE(SUBSTITUTE(Txt_P1,"{cabinet}",Cab_Nom),"{societe}",IF($K$2971=0,"",INDEX(Clients!$E$2:$E$501,$K$2971)&amp;"")),"{date_effet}",$K$2973),"{hausse}",$K$2974),"{civilite}",$K$2972)</f>
        <v>Nous tenons tout d'abord à vous remercier pour la confiance que vous accordez à ALTHO EXPERTISE. Comme chaque année, et conformément aux dispositions de votre lettre de mission, nous procédons à la révision de nos honoraires.</v>
      </c>
      <c r="C2992" s="37"/>
      <c r="D2992" s="37"/>
      <c r="E2992" s="37"/>
      <c r="F2992" s="37"/>
      <c r="J2992" s="25"/>
      <c r="K2992" s="25"/>
      <c r="L2992" s="25"/>
      <c r="M2992" s="25"/>
      <c r="N2992" s="25"/>
      <c r="O2992" s="25"/>
    </row>
    <row r="2993" customFormat="false" ht="49.5" hidden="false" customHeight="true" outlineLevel="0" collapsed="false">
      <c r="B2993" s="37" t="str">
        <f aca="false">SUBSTITUTE(SUBSTITUTE(SUBSTITUTE(SUBSTITUTE(SUBSTITUTE(Txt_P2,"{cabinet}",Cab_Nom),"{societe}",IF($K$2971=0,"",INDEX(Clients!$E$2:$E$501,$K$2971)&amp;"")),"{date_effet}",$K$2973),"{hausse}",$K$2974),"{civilite}",$K$2972)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2993" s="37"/>
      <c r="D2993" s="37"/>
      <c r="E2993" s="37"/>
      <c r="F2993" s="37"/>
      <c r="J2993" s="25"/>
      <c r="K2993" s="25"/>
      <c r="L2993" s="25"/>
      <c r="M2993" s="25"/>
      <c r="N2993" s="25"/>
      <c r="O2993" s="25"/>
    </row>
    <row r="2994" customFormat="false" ht="63" hidden="false" customHeight="true" outlineLevel="0" collapsed="false">
      <c r="B2994" s="37" t="str">
        <f aca="false">SUBSTITUTE(SUBSTITUTE(SUBSTITUTE(SUBSTITUTE(SUBSTITUTE(Txt_P3,"{cabinet}",Cab_Nom),"{societe}",IF($K$2971=0,"",INDEX(Clients!$E$2:$E$501,$K$2971)&amp;"")),"{date_effet}",$K$2973),"{hausse}",$K$2974),"{civilite}",$K$2972)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2994" s="37"/>
      <c r="D2994" s="37"/>
      <c r="E2994" s="37"/>
      <c r="F2994" s="37"/>
      <c r="J2994" s="25"/>
      <c r="K2994" s="25"/>
      <c r="L2994" s="25"/>
      <c r="M2994" s="25"/>
      <c r="N2994" s="25"/>
      <c r="O2994" s="25"/>
    </row>
    <row r="2995" customFormat="false" ht="24" hidden="false" customHeight="true" outlineLevel="0" collapsed="false">
      <c r="B2995" s="37" t="str">
        <f aca="false">SUBSTITUTE(SUBSTITUTE(SUBSTITUTE(SUBSTITUTE(SUBSTITUTE(Txt_P4,"{cabinet}",Cab_Nom),"{societe}",IF($K$2971=0,"",INDEX(Clients!$E$2:$E$501,$K$2971)&amp;"")),"{date_effet}",$K$2973),"{hausse}",$K$2974),"{civilite}",$K$2972)</f>
        <v>À compter du 1er janvier 2027, vos honoraires annuels hors taxes évolueront ainsi (évolution globale : ) :</v>
      </c>
      <c r="C2995" s="37"/>
      <c r="D2995" s="37"/>
      <c r="E2995" s="37"/>
      <c r="F2995" s="37"/>
      <c r="J2995" s="25"/>
      <c r="K2995" s="25"/>
      <c r="L2995" s="25"/>
      <c r="M2995" s="25"/>
      <c r="N2995" s="25"/>
      <c r="O2995" s="25"/>
    </row>
    <row r="2996" customFormat="false" ht="3.75" hidden="false" customHeight="true" outlineLevel="0" collapsed="false">
      <c r="B2996" s="10"/>
      <c r="C2996" s="10"/>
      <c r="D2996" s="10"/>
      <c r="E2996" s="10"/>
      <c r="F2996" s="10"/>
      <c r="J2996" s="25"/>
      <c r="K2996" s="25"/>
      <c r="L2996" s="25"/>
      <c r="M2996" s="25"/>
      <c r="N2996" s="25"/>
      <c r="O2996" s="25"/>
    </row>
    <row r="2997" customFormat="false" ht="18" hidden="false" customHeight="true" outlineLevel="0" collapsed="false">
      <c r="B2997" s="38" t="s">
        <v>148</v>
      </c>
      <c r="C2997" s="39" t="s">
        <v>149</v>
      </c>
      <c r="D2997" s="39" t="s">
        <v>150</v>
      </c>
      <c r="E2997" s="39" t="s">
        <v>151</v>
      </c>
      <c r="F2997" s="39" t="s">
        <v>109</v>
      </c>
      <c r="J2997" s="25" t="s">
        <v>152</v>
      </c>
      <c r="K2997" s="25" t="s">
        <v>153</v>
      </c>
      <c r="L2997" s="25" t="s">
        <v>154</v>
      </c>
      <c r="M2997" s="25" t="s">
        <v>155</v>
      </c>
      <c r="N2997" s="25" t="s">
        <v>156</v>
      </c>
      <c r="O2997" s="25" t="s">
        <v>157</v>
      </c>
    </row>
    <row r="2998" customFormat="false" ht="16.5" hidden="false" customHeight="true" outlineLevel="0" collapsed="false">
      <c r="B2998" s="40" t="str">
        <f aca="false">IFERROR(INDEX($J$2998:$J$3001,MATCH($O2998,$N$2998:$N$3001,0)),"")</f>
        <v/>
      </c>
      <c r="C2998" s="41" t="str">
        <f aca="false">IFERROR(INDEX($K$2998:$K$3001,MATCH($O2998,$N$2998:$N$3001,0)),"")</f>
        <v/>
      </c>
      <c r="D2998" s="42" t="str">
        <f aca="false">IF(OR(E2998="",N(C2998)=0),"",E2998/C2998-1)</f>
        <v/>
      </c>
      <c r="E2998" s="41" t="str">
        <f aca="false">IFERROR(INDEX($L$2998:$L$3001,MATCH($O2998,$N$2998:$N$3001,0)),"")</f>
        <v/>
      </c>
      <c r="F2998" s="41" t="str">
        <f aca="false">IF(E2998="","",E2998-C2998)</f>
        <v/>
      </c>
      <c r="J2998" s="25" t="str">
        <f aca="false">Lib_Compta</f>
        <v>Mission comptable (tenue, révision, bilan, liasse fiscale)</v>
      </c>
      <c r="K2998" s="25" t="n">
        <f aca="false">IF($K$2971=0,0,N(INDEX(Clients!$K$2:$K$501,$K$2971)))</f>
        <v>0</v>
      </c>
      <c r="L2998" s="25" t="n">
        <f aca="false">IF($K$2971=0,0,N(INDEX(Clients!$P$2:$P$501,$K$2971)))</f>
        <v>0</v>
      </c>
      <c r="M2998" s="25" t="n">
        <f aca="false">IF(OR(K2998&lt;&gt;0,L2998&lt;&gt;0),1,0)</f>
        <v>0</v>
      </c>
      <c r="N2998" s="25" t="str">
        <f aca="false">IF(M2998=1,SUM($M$2998:M2998),"")</f>
        <v/>
      </c>
      <c r="O2998" s="25" t="n">
        <v>1</v>
      </c>
    </row>
    <row r="2999" customFormat="false" ht="16.5" hidden="false" customHeight="true" outlineLevel="0" collapsed="false">
      <c r="B2999" s="40" t="str">
        <f aca="false">IFERROR(INDEX($J$2998:$J$3001,MATCH($O2999,$N$2998:$N$3001,0)),"")</f>
        <v/>
      </c>
      <c r="C2999" s="41" t="str">
        <f aca="false">IFERROR(INDEX($K$2998:$K$3001,MATCH($O2999,$N$2998:$N$3001,0)),"")</f>
        <v/>
      </c>
      <c r="D2999" s="42" t="str">
        <f aca="false">IF(OR(E2999="",N(C2999)=0),"",E2999/C2999-1)</f>
        <v/>
      </c>
      <c r="E2999" s="41" t="str">
        <f aca="false">IFERROR(INDEX($L$2998:$L$3001,MATCH($O2999,$N$2998:$N$3001,0)),"")</f>
        <v/>
      </c>
      <c r="F2999" s="41" t="str">
        <f aca="false">IF(E2999="","",E2999-C2999)</f>
        <v/>
      </c>
      <c r="J2999" s="25" t="str">
        <f aca="false">Lib_Paye</f>
        <v>Mission sociale (bulletins de paie, DSN, déclarations sociales)</v>
      </c>
      <c r="K2999" s="25" t="n">
        <f aca="false">IF($K$2971=0,0,N(INDEX(Clients!$L$2:$L$501,$K$2971)))</f>
        <v>0</v>
      </c>
      <c r="L2999" s="25" t="n">
        <f aca="false">IF($K$2971=0,0,N(INDEX(Clients!$Q$2:$Q$501,$K$2971)))</f>
        <v>0</v>
      </c>
      <c r="M2999" s="25" t="n">
        <f aca="false">IF(OR(K2999&lt;&gt;0,L2999&lt;&gt;0),1,0)</f>
        <v>0</v>
      </c>
      <c r="N2999" s="25" t="str">
        <f aca="false">IF(M2999=1,SUM($M$2998:M2999),"")</f>
        <v/>
      </c>
      <c r="O2999" s="25" t="n">
        <v>2</v>
      </c>
    </row>
    <row r="3000" customFormat="false" ht="16.5" hidden="false" customHeight="true" outlineLevel="0" collapsed="false">
      <c r="B3000" s="40" t="str">
        <f aca="false">IFERROR(INDEX($J$2998:$J$3001,MATCH($O3000,$N$2998:$N$3001,0)),"")</f>
        <v/>
      </c>
      <c r="C3000" s="41" t="str">
        <f aca="false">IFERROR(INDEX($K$2998:$K$3001,MATCH($O3000,$N$2998:$N$3001,0)),"")</f>
        <v/>
      </c>
      <c r="D3000" s="42" t="str">
        <f aca="false">IF(OR(E3000="",N(C3000)=0),"",E3000/C3000-1)</f>
        <v/>
      </c>
      <c r="E3000" s="41" t="str">
        <f aca="false">IFERROR(INDEX($L$2998:$L$3001,MATCH($O3000,$N$2998:$N$3001,0)),"")</f>
        <v/>
      </c>
      <c r="F3000" s="41" t="str">
        <f aca="false">IF(E3000="","",E3000-C3000)</f>
        <v/>
      </c>
      <c r="J3000" s="25" t="str">
        <f aca="false">Lib_Jur</f>
        <v>Mission juridique (approbation des comptes, secrétariat juridique)</v>
      </c>
      <c r="K3000" s="25" t="n">
        <f aca="false">IF($K$2971=0,0,N(INDEX(Clients!$M$2:$M$501,$K$2971)))</f>
        <v>0</v>
      </c>
      <c r="L3000" s="25" t="n">
        <f aca="false">IF($K$2971=0,0,N(INDEX(Clients!$R$2:$R$501,$K$2971)))</f>
        <v>0</v>
      </c>
      <c r="M3000" s="25" t="n">
        <f aca="false">IF(OR(K3000&lt;&gt;0,L3000&lt;&gt;0),1,0)</f>
        <v>0</v>
      </c>
      <c r="N3000" s="25" t="str">
        <f aca="false">IF(M3000=1,SUM($M$2998:M3000),"")</f>
        <v/>
      </c>
      <c r="O3000" s="25" t="n">
        <v>3</v>
      </c>
    </row>
    <row r="3001" customFormat="false" ht="16.5" hidden="false" customHeight="true" outlineLevel="0" collapsed="false">
      <c r="B3001" s="40" t="str">
        <f aca="false">IFERROR(INDEX($J$2998:$J$3001,MATCH($O3001,$N$2998:$N$3001,0)),"")</f>
        <v/>
      </c>
      <c r="C3001" s="41" t="str">
        <f aca="false">IFERROR(INDEX($K$2998:$K$3001,MATCH($O3001,$N$2998:$N$3001,0)),"")</f>
        <v/>
      </c>
      <c r="D3001" s="42" t="str">
        <f aca="false">IF(OR(E3001="",N(C3001)=0),"",E3001/C3001-1)</f>
        <v/>
      </c>
      <c r="E3001" s="41" t="str">
        <f aca="false">IFERROR(INDEX($L$2998:$L$3001,MATCH($O3001,$N$2998:$N$3001,0)),"")</f>
        <v/>
      </c>
      <c r="F3001" s="41" t="str">
        <f aca="false">IF(E3001="","",E3001-C3001)</f>
        <v/>
      </c>
      <c r="J3001" s="25" t="str">
        <f aca="false">Lib_PA</f>
        <v>Plateforme agréée – facturation électronique</v>
      </c>
      <c r="K3001" s="25" t="n">
        <f aca="false">IF($K$2971=0,0,N(INDEX(Clients!$N$2:$N$501,$K$2971)))</f>
        <v>0</v>
      </c>
      <c r="L3001" s="25" t="n">
        <f aca="false">IF($K$2971=0,0,N(INDEX(Clients!$S$2:$S$501,$K$2971)))</f>
        <v>0</v>
      </c>
      <c r="M3001" s="25" t="n">
        <f aca="false">IF(OR(K3001&lt;&gt;0,L3001&lt;&gt;0),1,0)</f>
        <v>0</v>
      </c>
      <c r="N3001" s="25" t="str">
        <f aca="false">IF(M3001=1,SUM($M$2998:M3001),"")</f>
        <v/>
      </c>
      <c r="O3001" s="25" t="n">
        <v>4</v>
      </c>
    </row>
    <row r="3002" customFormat="false" ht="18" hidden="false" customHeight="true" outlineLevel="0" collapsed="false">
      <c r="B3002" s="43" t="s">
        <v>158</v>
      </c>
      <c r="C3002" s="44" t="n">
        <f aca="false">SUM(K2998:K3001)</f>
        <v>0</v>
      </c>
      <c r="D3002" s="45" t="str">
        <f aca="false">IF(N(C3002)=0,"",E3002/C3002-1)</f>
        <v/>
      </c>
      <c r="E3002" s="44" t="n">
        <f aca="false">SUM(L2998:L3001)</f>
        <v>0</v>
      </c>
      <c r="F3002" s="44" t="n">
        <f aca="false">E3002-C3002</f>
        <v>0</v>
      </c>
    </row>
    <row r="3003" customFormat="false" ht="15" hidden="false" customHeight="false" outlineLevel="0" collapsed="false">
      <c r="B3003" s="46" t="str">
        <f aca="false">IF(N(Nb_Mensualites)=0,"","Soit "&amp;FIXED(E3002/Nb_Mensualites,2)&amp;" € HT par échéance ("&amp;Nb_Mensualites&amp;" échéances), "&amp;FIXED(E3002/Nb_Mensualites*(1+Taux_TVA),2)&amp;" € TTC.")</f>
        <v>Soit 0.00 € HT par échéance (12 échéances), 0.00 € TTC.</v>
      </c>
      <c r="C3003" s="46"/>
      <c r="D3003" s="46"/>
      <c r="E3003" s="46"/>
      <c r="F3003" s="46"/>
    </row>
    <row r="3004" customFormat="false" ht="7.5" hidden="false" customHeight="true" outlineLevel="0" collapsed="false">
      <c r="B3004" s="10"/>
      <c r="C3004" s="10"/>
      <c r="D3004" s="10"/>
      <c r="E3004" s="10"/>
      <c r="F3004" s="10"/>
    </row>
    <row r="3005" customFormat="false" ht="36.75" hidden="false" customHeight="true" outlineLevel="0" collapsed="false">
      <c r="B3005" s="37" t="str">
        <f aca="false">SUBSTITUTE(SUBSTITUTE(SUBSTITUTE(SUBSTITUTE(SUBSTITUTE(Txt_P5,"{cabinet}",Cab_Nom),"{societe}",IF($K$2971=0,"",INDEX(Clients!$E$2:$E$501,$K$2971)&amp;"")),"{date_effet}",$K$2973),"{hausse}",$K$2974),"{civilite}",$K$2972)</f>
        <v>Les autres conditions de votre lettre de mission demeurent inchangées. Les nouveaux montants seront appliqués automatiquement sur vos prochaines factures et échéances de prélèvement.</v>
      </c>
      <c r="C3005" s="37"/>
      <c r="D3005" s="37"/>
      <c r="E3005" s="37"/>
      <c r="F3005" s="37"/>
    </row>
    <row r="3006" customFormat="false" ht="36.75" hidden="false" customHeight="true" outlineLevel="0" collapsed="false">
      <c r="B3006" s="37" t="str">
        <f aca="false">SUBSTITUTE(SUBSTITUTE(SUBSTITUTE(SUBSTITUTE(SUBSTITUTE(Txt_P6,"{cabinet}",Cab_Nom),"{societe}",IF($K$2971=0,"",INDEX(Clients!$E$2:$E$501,$K$2971)&amp;"")),"{date_effet}",$K$2973),"{hausse}",$K$2974),"{civilite}",$K$2972)</f>
        <v>Votre interlocuteur habituel reste à votre entière disposition pour répondre à vos questions et faire le point sur l'évolution de vos besoins.</v>
      </c>
      <c r="C3006" s="37"/>
      <c r="D3006" s="37"/>
      <c r="E3006" s="37"/>
      <c r="F3006" s="37"/>
    </row>
    <row r="3007" customFormat="false" ht="24" hidden="false" customHeight="true" outlineLevel="0" collapsed="false">
      <c r="B3007" s="37" t="str">
        <f aca="false">SUBSTITUTE(SUBSTITUTE(SUBSTITUTE(SUBSTITUTE(SUBSTITUTE(Txt_Politesse,"{cabinet}",Cab_Nom),"{societe}",IF($K$2971=0,"",INDEX(Clients!$E$2:$E$501,$K$2971)&amp;"")),"{date_effet}",$K$2973),"{hausse}",$K$2974),"{civilite}",$K$2972)</f>
        <v>Nous vous prions d'agréer, Madame, Monsieur, l'expression de nos salutations distinguées.</v>
      </c>
      <c r="C3007" s="37"/>
      <c r="D3007" s="37"/>
      <c r="E3007" s="37"/>
      <c r="F3007" s="37"/>
    </row>
    <row r="3008" customFormat="false" ht="15" hidden="false" customHeight="false" outlineLevel="0" collapsed="false">
      <c r="B3008" s="10"/>
      <c r="C3008" s="10"/>
      <c r="D3008" s="10"/>
      <c r="E3008" s="10"/>
      <c r="F3008" s="10"/>
    </row>
    <row r="3009" customFormat="false" ht="15" hidden="false" customHeight="false" outlineLevel="0" collapsed="false">
      <c r="B3009" s="10"/>
      <c r="C3009" s="10"/>
      <c r="D3009" s="34" t="str">
        <f aca="false">Signataire</f>
        <v>Prénom NOM</v>
      </c>
      <c r="E3009" s="34"/>
      <c r="F3009" s="34"/>
    </row>
    <row r="3010" customFormat="false" ht="15" hidden="false" customHeight="false" outlineLevel="0" collapsed="false">
      <c r="B3010" s="10"/>
      <c r="C3010" s="10"/>
      <c r="D3010" s="47" t="str">
        <f aca="false">Signataire_Titre</f>
        <v>Expert-comptable associé</v>
      </c>
      <c r="E3010" s="47"/>
      <c r="F3010" s="47"/>
    </row>
    <row r="3011" customFormat="false" ht="15.75" hidden="false" customHeight="true" outlineLevel="0" collapsed="false">
      <c r="B3011" s="10"/>
      <c r="C3011" s="10"/>
      <c r="D3011" s="10"/>
      <c r="E3011" s="10"/>
      <c r="F3011" s="10"/>
    </row>
    <row r="3012" customFormat="false" ht="15.75" hidden="false" customHeight="true" outlineLevel="0" collapsed="false">
      <c r="B3012" s="10"/>
      <c r="C3012" s="10"/>
      <c r="D3012" s="10"/>
      <c r="E3012" s="10"/>
      <c r="F3012" s="10"/>
    </row>
    <row r="3013" customFormat="false" ht="15.75" hidden="false" customHeight="true" outlineLevel="0" collapsed="false">
      <c r="B3013" s="10"/>
      <c r="C3013" s="10"/>
      <c r="D3013" s="10"/>
      <c r="E3013" s="10"/>
      <c r="F3013" s="10"/>
    </row>
    <row r="3014" customFormat="false" ht="15.75" hidden="false" customHeight="true" outlineLevel="0" collapsed="false">
      <c r="B3014" s="10"/>
      <c r="C3014" s="10"/>
      <c r="D3014" s="10"/>
      <c r="E3014" s="10"/>
      <c r="F3014" s="10"/>
    </row>
    <row r="3015" customFormat="false" ht="24" hidden="false" customHeight="true" outlineLevel="0" collapsed="false">
      <c r="B3015" s="48" t="str">
        <f aca="false">Cab_Mentions</f>
        <v>ALTHO EXPERTISE · SAS au capital de 10 000 € · RCS Pontoise 919 706 325 · TVA FR62919706325 · Société d'expertise comptable inscrite au Tableau de l'Ordre des experts-comptables de Paris Île-de-France</v>
      </c>
      <c r="C3015" s="48"/>
      <c r="D3015" s="48"/>
      <c r="E3015" s="48"/>
      <c r="F3015" s="48"/>
    </row>
    <row r="3016" customFormat="false" ht="15" hidden="false" customHeight="false" outlineLevel="0" collapsed="false">
      <c r="B3016" s="10"/>
      <c r="C3016" s="10"/>
      <c r="D3016" s="10"/>
      <c r="E3016" s="10"/>
      <c r="F3016" s="10"/>
      <c r="J3016" s="25" t="s">
        <v>142</v>
      </c>
      <c r="K3016" s="25" t="n">
        <f aca="false">IFERROR(MATCH(68,Clients!$Z$2:$Z$501,0),0)</f>
        <v>0</v>
      </c>
      <c r="L3016" s="25"/>
      <c r="M3016" s="25"/>
      <c r="N3016" s="25"/>
      <c r="O3016" s="25"/>
    </row>
    <row r="3017" customFormat="false" ht="21.75" hidden="false" customHeight="true" outlineLevel="0" collapsed="false">
      <c r="B3017" s="26" t="str">
        <f aca="false">Cab_Nom</f>
        <v>ALTHO EXPERTISE</v>
      </c>
      <c r="C3017" s="26"/>
      <c r="D3017" s="10"/>
      <c r="E3017" s="27" t="str">
        <f aca="false">IF($K$3016=0,"","Réf. client : "&amp;INDEX(Clients!$A$2:$A$501,$K$3016))</f>
        <v/>
      </c>
      <c r="F3017" s="27"/>
      <c r="J3017" s="25" t="s">
        <v>144</v>
      </c>
      <c r="K3017" s="25" t="str">
        <f aca="false">IF(IF($K$3016=0,"",INDEX(Clients!$B$2:$B$501,$K$3016)&amp;"")="Mme","Madame",IF(IF($K$3016=0,"",INDEX(Clients!$B$2:$B$501,$K$3016)&amp;"")="M.","Monsieur","Madame, Monsieur"))</f>
        <v>Madame, Monsieur</v>
      </c>
      <c r="L3017" s="25"/>
      <c r="M3017" s="25"/>
      <c r="N3017" s="25"/>
      <c r="O3017" s="25"/>
    </row>
    <row r="3018" customFormat="false" ht="15" hidden="false" customHeight="false" outlineLevel="0" collapsed="false">
      <c r="B3018" s="29" t="str">
        <f aca="false">Cab_Adr1</f>
        <v>141 rue Charles de Gaulle</v>
      </c>
      <c r="C3018" s="29"/>
      <c r="D3018" s="10"/>
      <c r="E3018" s="10"/>
      <c r="F3018" s="10"/>
      <c r="J3018" s="25" t="s">
        <v>145</v>
      </c>
      <c r="K3018" s="25" t="str">
        <f aca="false">DAY(Date_Effet)&amp;IF(DAY(Date_Effet)=1,"er","")&amp;" "&amp;INDEX(Liste_Mois,MONTH(Date_Effet))&amp;" "&amp;YEAR(Date_Effet)</f>
        <v>1er janvier 2027</v>
      </c>
      <c r="L3018" s="25"/>
      <c r="M3018" s="25"/>
      <c r="N3018" s="25"/>
      <c r="O3018" s="25"/>
    </row>
    <row r="3019" customFormat="false" ht="15" hidden="false" customHeight="false" outlineLevel="0" collapsed="false">
      <c r="B3019" s="29" t="str">
        <f aca="false">Cab_CPVille</f>
        <v>95130 LE PLESSIS-BOUCHARD</v>
      </c>
      <c r="C3019" s="29"/>
      <c r="D3019" s="10"/>
      <c r="E3019" s="10"/>
      <c r="F3019" s="10"/>
      <c r="J3019" s="25" t="s">
        <v>146</v>
      </c>
      <c r="K3019" s="25" t="str">
        <f aca="false">IF(SUM($K$3043:$K$3046)=0,"",FIXED((SUM($L$3043:$L$3046)/SUM($K$3043:$K$3046)-1)*100,1)&amp;" %")</f>
        <v/>
      </c>
      <c r="L3019" s="25"/>
      <c r="M3019" s="25"/>
      <c r="N3019" s="25"/>
      <c r="O3019" s="25"/>
    </row>
    <row r="3020" customFormat="false" ht="15" hidden="false" customHeight="false" outlineLevel="0" collapsed="false">
      <c r="B3020" s="29" t="str">
        <f aca="false">Cab_Contact</f>
        <v>Tél. 01 34 14 53 45  ·  altho@altho-experts.com  ·  altho-experts.com</v>
      </c>
      <c r="C3020" s="29"/>
      <c r="D3020" s="10"/>
      <c r="E3020" s="10"/>
      <c r="F3020" s="10"/>
      <c r="J3020" s="25"/>
      <c r="K3020" s="25"/>
      <c r="L3020" s="25"/>
      <c r="M3020" s="25"/>
      <c r="N3020" s="25"/>
      <c r="O3020" s="25"/>
    </row>
    <row r="3021" customFormat="false" ht="6" hidden="false" customHeight="true" outlineLevel="0" collapsed="false">
      <c r="B3021" s="32"/>
      <c r="C3021" s="32"/>
      <c r="D3021" s="32"/>
      <c r="E3021" s="32"/>
      <c r="F3021" s="32"/>
      <c r="J3021" s="25"/>
      <c r="K3021" s="25"/>
      <c r="L3021" s="25"/>
      <c r="M3021" s="25"/>
      <c r="N3021" s="25"/>
      <c r="O3021" s="25"/>
    </row>
    <row r="3022" customFormat="false" ht="13.5" hidden="false" customHeight="true" outlineLevel="0" collapsed="false">
      <c r="B3022" s="10"/>
      <c r="C3022" s="10"/>
      <c r="D3022" s="10"/>
      <c r="E3022" s="10"/>
      <c r="F3022" s="10"/>
      <c r="J3022" s="25"/>
      <c r="K3022" s="25"/>
      <c r="L3022" s="25"/>
      <c r="M3022" s="25"/>
      <c r="N3022" s="25"/>
      <c r="O3022" s="25"/>
    </row>
    <row r="3023" customFormat="false" ht="13.5" hidden="false" customHeight="true" outlineLevel="0" collapsed="false">
      <c r="B3023" s="10"/>
      <c r="C3023" s="10"/>
      <c r="D3023" s="10"/>
      <c r="E3023" s="10"/>
      <c r="F3023" s="10"/>
      <c r="J3023" s="25"/>
      <c r="K3023" s="25"/>
      <c r="L3023" s="25"/>
      <c r="M3023" s="25"/>
      <c r="N3023" s="25"/>
      <c r="O3023" s="25"/>
    </row>
    <row r="3024" customFormat="false" ht="13.5" hidden="false" customHeight="true" outlineLevel="0" collapsed="false">
      <c r="B3024" s="10"/>
      <c r="C3024" s="10"/>
      <c r="D3024" s="10"/>
      <c r="E3024" s="10"/>
      <c r="F3024" s="10"/>
      <c r="J3024" s="25"/>
      <c r="K3024" s="25"/>
      <c r="L3024" s="25"/>
      <c r="M3024" s="25"/>
      <c r="N3024" s="25"/>
      <c r="O3024" s="25"/>
    </row>
    <row r="3025" customFormat="false" ht="15" hidden="false" customHeight="true" outlineLevel="0" collapsed="false">
      <c r="B3025" s="10"/>
      <c r="C3025" s="10"/>
      <c r="D3025" s="34" t="str">
        <f aca="false">IF($K$3016=0,"",INDEX(Clients!$E$2:$E$501,$K$3016)&amp;"")</f>
        <v/>
      </c>
      <c r="E3025" s="34"/>
      <c r="F3025" s="34"/>
      <c r="J3025" s="25"/>
      <c r="K3025" s="25"/>
      <c r="L3025" s="25"/>
      <c r="M3025" s="25"/>
      <c r="N3025" s="25"/>
      <c r="O3025" s="25"/>
    </row>
    <row r="3026" customFormat="false" ht="15" hidden="false" customHeight="true" outlineLevel="0" collapsed="false">
      <c r="B3026" s="10"/>
      <c r="C3026" s="10"/>
      <c r="D3026" s="35" t="str">
        <f aca="false">IF(IF($K$3016=0,"",INDEX(Clients!$D$2:$D$501,$K$3016)&amp;"")="","","À l'attention de "&amp;TRIM(IF($K$3016=0,"",INDEX(Clients!$B$2:$B$501,$K$3016)&amp;"")&amp;" "&amp;IF($K$3016=0,"",INDEX(Clients!$C$2:$C$501,$K$3016)&amp;"")&amp;" "&amp;IF($K$3016=0,"",INDEX(Clients!$D$2:$D$501,$K$3016)&amp;"")))</f>
        <v/>
      </c>
      <c r="E3026" s="35"/>
      <c r="F3026" s="35"/>
      <c r="J3026" s="25"/>
      <c r="K3026" s="25"/>
      <c r="L3026" s="25"/>
      <c r="M3026" s="25"/>
      <c r="N3026" s="25"/>
      <c r="O3026" s="25"/>
    </row>
    <row r="3027" customFormat="false" ht="15" hidden="false" customHeight="true" outlineLevel="0" collapsed="false">
      <c r="B3027" s="10"/>
      <c r="C3027" s="10"/>
      <c r="D3027" s="35" t="str">
        <f aca="false">IF($K$3016=0,"",INDEX(Clients!$F$2:$F$501,$K$3016)&amp;"")</f>
        <v/>
      </c>
      <c r="E3027" s="35"/>
      <c r="F3027" s="35"/>
      <c r="J3027" s="25"/>
      <c r="K3027" s="25"/>
      <c r="L3027" s="25"/>
      <c r="M3027" s="25"/>
      <c r="N3027" s="25"/>
      <c r="O3027" s="25"/>
    </row>
    <row r="3028" customFormat="false" ht="15" hidden="false" customHeight="true" outlineLevel="0" collapsed="false">
      <c r="B3028" s="10"/>
      <c r="C3028" s="10"/>
      <c r="D3028" s="35" t="str">
        <f aca="false">IF(IF($K$3016=0,"",INDEX(Clients!$G$2:$G$501,$K$3016)&amp;"")="",TRIM(IF($K$3016=0,"",INDEX(Clients!$H$2:$H$501,$K$3016)&amp;"")&amp;" "&amp;UPPER(IF($K$3016=0,"",INDEX(Clients!$I$2:$I$501,$K$3016)&amp;""))),IF($K$3016=0,"",INDEX(Clients!$G$2:$G$501,$K$3016)&amp;""))</f>
        <v/>
      </c>
      <c r="E3028" s="35"/>
      <c r="F3028" s="35"/>
      <c r="J3028" s="25"/>
      <c r="K3028" s="25"/>
      <c r="L3028" s="25"/>
      <c r="M3028" s="25"/>
      <c r="N3028" s="25"/>
      <c r="O3028" s="25"/>
    </row>
    <row r="3029" customFormat="false" ht="15" hidden="false" customHeight="true" outlineLevel="0" collapsed="false">
      <c r="B3029" s="10"/>
      <c r="C3029" s="10"/>
      <c r="D3029" s="35" t="str">
        <f aca="false">IF(IF($K$3016=0,"",INDEX(Clients!$G$2:$G$501,$K$3016)&amp;"")="","",TRIM(IF($K$3016=0,"",INDEX(Clients!$H$2:$H$501,$K$3016)&amp;"")&amp;" "&amp;UPPER(IF($K$3016=0,"",INDEX(Clients!$I$2:$I$501,$K$3016)&amp;""))))</f>
        <v/>
      </c>
      <c r="E3029" s="35"/>
      <c r="F3029" s="35"/>
      <c r="J3029" s="25"/>
      <c r="K3029" s="25"/>
      <c r="L3029" s="25"/>
      <c r="M3029" s="25"/>
      <c r="N3029" s="25"/>
      <c r="O3029" s="25"/>
    </row>
    <row r="3030" customFormat="false" ht="25.5" hidden="false" customHeight="true" outlineLevel="0" collapsed="false">
      <c r="B3030" s="10"/>
      <c r="C3030" s="10"/>
      <c r="D3030" s="10"/>
      <c r="E3030" s="10"/>
      <c r="F3030" s="10"/>
      <c r="J3030" s="25"/>
      <c r="K3030" s="25"/>
      <c r="L3030" s="25"/>
      <c r="M3030" s="25"/>
      <c r="N3030" s="25"/>
      <c r="O3030" s="25"/>
    </row>
    <row r="3031" customFormat="false" ht="15" hidden="false" customHeight="false" outlineLevel="0" collapsed="false">
      <c r="B3031" s="10"/>
      <c r="C3031" s="10"/>
      <c r="D3031" s="36" t="str">
        <f aca="false">Cab_Ville&amp;", le "&amp;DAY(Date_Courrier)&amp;IF(DAY(Date_Courrier)=1,"er","")&amp;" "&amp;INDEX(Liste_Mois,MONTH(Date_Courrier))&amp;" "&amp;YEAR(Date_Courrier)</f>
        <v>Le Plessis-Bouchard, le 22 septembre 2026</v>
      </c>
      <c r="E3031" s="36"/>
      <c r="F3031" s="36"/>
      <c r="J3031" s="25"/>
      <c r="K3031" s="25"/>
      <c r="L3031" s="25"/>
      <c r="M3031" s="25"/>
      <c r="N3031" s="25"/>
      <c r="O3031" s="25"/>
    </row>
    <row r="3032" customFormat="false" ht="19.5" hidden="false" customHeight="true" outlineLevel="0" collapsed="false">
      <c r="B3032" s="10"/>
      <c r="C3032" s="10"/>
      <c r="D3032" s="10"/>
      <c r="E3032" s="10"/>
      <c r="F3032" s="10"/>
      <c r="J3032" s="25"/>
      <c r="K3032" s="25"/>
      <c r="L3032" s="25"/>
      <c r="M3032" s="25"/>
      <c r="N3032" s="25"/>
      <c r="O3032" s="25"/>
    </row>
    <row r="3033" customFormat="false" ht="15" hidden="false" customHeight="false" outlineLevel="0" collapsed="false">
      <c r="B3033" s="34" t="str">
        <f aca="false">SUBSTITUTE(SUBSTITUTE(SUBSTITUTE(SUBSTITUTE(SUBSTITUTE(Txt_Objet,"{cabinet}",Cab_Nom),"{societe}",IF($K$3016=0,"",INDEX(Clients!$E$2:$E$501,$K$3016)&amp;"")),"{date_effet}",$K$3018),"{hausse}",$K$3019),"{civilite}",$K$3017)</f>
        <v>Objet : révision de nos honoraires au 1er janvier 2027</v>
      </c>
      <c r="C3033" s="34"/>
      <c r="D3033" s="34"/>
      <c r="E3033" s="34"/>
      <c r="F3033" s="34"/>
      <c r="J3033" s="25"/>
      <c r="K3033" s="25"/>
      <c r="L3033" s="25"/>
      <c r="M3033" s="25"/>
      <c r="N3033" s="25"/>
      <c r="O3033" s="25"/>
    </row>
    <row r="3034" customFormat="false" ht="13.5" hidden="false" customHeight="true" outlineLevel="0" collapsed="false">
      <c r="B3034" s="10"/>
      <c r="C3034" s="10"/>
      <c r="D3034" s="10"/>
      <c r="E3034" s="10"/>
      <c r="F3034" s="10"/>
      <c r="J3034" s="25"/>
      <c r="K3034" s="25"/>
      <c r="L3034" s="25"/>
      <c r="M3034" s="25"/>
      <c r="N3034" s="25"/>
      <c r="O3034" s="25"/>
    </row>
    <row r="3035" customFormat="false" ht="15" hidden="false" customHeight="false" outlineLevel="0" collapsed="false">
      <c r="B3035" s="10" t="str">
        <f aca="false">$K$3017&amp;","</f>
        <v>Madame, Monsieur,</v>
      </c>
      <c r="C3035" s="10"/>
      <c r="D3035" s="10"/>
      <c r="E3035" s="10"/>
      <c r="F3035" s="10"/>
      <c r="J3035" s="25"/>
      <c r="K3035" s="25"/>
      <c r="L3035" s="25"/>
      <c r="M3035" s="25"/>
      <c r="N3035" s="25"/>
      <c r="O3035" s="25"/>
    </row>
    <row r="3036" customFormat="false" ht="6" hidden="false" customHeight="true" outlineLevel="0" collapsed="false">
      <c r="B3036" s="10"/>
      <c r="C3036" s="10"/>
      <c r="D3036" s="10"/>
      <c r="E3036" s="10"/>
      <c r="F3036" s="10"/>
      <c r="J3036" s="25"/>
      <c r="K3036" s="25"/>
      <c r="L3036" s="25"/>
      <c r="M3036" s="25"/>
      <c r="N3036" s="25"/>
      <c r="O3036" s="25"/>
    </row>
    <row r="3037" customFormat="false" ht="36.75" hidden="false" customHeight="true" outlineLevel="0" collapsed="false">
      <c r="B3037" s="37" t="str">
        <f aca="false">SUBSTITUTE(SUBSTITUTE(SUBSTITUTE(SUBSTITUTE(SUBSTITUTE(Txt_P1,"{cabinet}",Cab_Nom),"{societe}",IF($K$3016=0,"",INDEX(Clients!$E$2:$E$501,$K$3016)&amp;"")),"{date_effet}",$K$3018),"{hausse}",$K$3019),"{civilite}",$K$3017)</f>
        <v>Nous tenons tout d'abord à vous remercier pour la confiance que vous accordez à ALTHO EXPERTISE. Comme chaque année, et conformément aux dispositions de votre lettre de mission, nous procédons à la révision de nos honoraires.</v>
      </c>
      <c r="C3037" s="37"/>
      <c r="D3037" s="37"/>
      <c r="E3037" s="37"/>
      <c r="F3037" s="37"/>
      <c r="J3037" s="25"/>
      <c r="K3037" s="25"/>
      <c r="L3037" s="25"/>
      <c r="M3037" s="25"/>
      <c r="N3037" s="25"/>
      <c r="O3037" s="25"/>
    </row>
    <row r="3038" customFormat="false" ht="49.5" hidden="false" customHeight="true" outlineLevel="0" collapsed="false">
      <c r="B3038" s="37" t="str">
        <f aca="false">SUBSTITUTE(SUBSTITUTE(SUBSTITUTE(SUBSTITUTE(SUBSTITUTE(Txt_P2,"{cabinet}",Cab_Nom),"{societe}",IF($K$3016=0,"",INDEX(Clients!$E$2:$E$501,$K$3016)&amp;"")),"{date_effet}",$K$3018),"{hausse}",$K$3019),"{civilite}",$K$3017)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038" s="37"/>
      <c r="D3038" s="37"/>
      <c r="E3038" s="37"/>
      <c r="F3038" s="37"/>
      <c r="J3038" s="25"/>
      <c r="K3038" s="25"/>
      <c r="L3038" s="25"/>
      <c r="M3038" s="25"/>
      <c r="N3038" s="25"/>
      <c r="O3038" s="25"/>
    </row>
    <row r="3039" customFormat="false" ht="63" hidden="false" customHeight="true" outlineLevel="0" collapsed="false">
      <c r="B3039" s="37" t="str">
        <f aca="false">SUBSTITUTE(SUBSTITUTE(SUBSTITUTE(SUBSTITUTE(SUBSTITUTE(Txt_P3,"{cabinet}",Cab_Nom),"{societe}",IF($K$3016=0,"",INDEX(Clients!$E$2:$E$501,$K$3016)&amp;"")),"{date_effet}",$K$3018),"{hausse}",$K$3019),"{civilite}",$K$3017)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039" s="37"/>
      <c r="D3039" s="37"/>
      <c r="E3039" s="37"/>
      <c r="F3039" s="37"/>
      <c r="J3039" s="25"/>
      <c r="K3039" s="25"/>
      <c r="L3039" s="25"/>
      <c r="M3039" s="25"/>
      <c r="N3039" s="25"/>
      <c r="O3039" s="25"/>
    </row>
    <row r="3040" customFormat="false" ht="24" hidden="false" customHeight="true" outlineLevel="0" collapsed="false">
      <c r="B3040" s="37" t="str">
        <f aca="false">SUBSTITUTE(SUBSTITUTE(SUBSTITUTE(SUBSTITUTE(SUBSTITUTE(Txt_P4,"{cabinet}",Cab_Nom),"{societe}",IF($K$3016=0,"",INDEX(Clients!$E$2:$E$501,$K$3016)&amp;"")),"{date_effet}",$K$3018),"{hausse}",$K$3019),"{civilite}",$K$3017)</f>
        <v>À compter du 1er janvier 2027, vos honoraires annuels hors taxes évolueront ainsi (évolution globale : ) :</v>
      </c>
      <c r="C3040" s="37"/>
      <c r="D3040" s="37"/>
      <c r="E3040" s="37"/>
      <c r="F3040" s="37"/>
      <c r="J3040" s="25"/>
      <c r="K3040" s="25"/>
      <c r="L3040" s="25"/>
      <c r="M3040" s="25"/>
      <c r="N3040" s="25"/>
      <c r="O3040" s="25"/>
    </row>
    <row r="3041" customFormat="false" ht="3.75" hidden="false" customHeight="true" outlineLevel="0" collapsed="false">
      <c r="B3041" s="10"/>
      <c r="C3041" s="10"/>
      <c r="D3041" s="10"/>
      <c r="E3041" s="10"/>
      <c r="F3041" s="10"/>
      <c r="J3041" s="25"/>
      <c r="K3041" s="25"/>
      <c r="L3041" s="25"/>
      <c r="M3041" s="25"/>
      <c r="N3041" s="25"/>
      <c r="O3041" s="25"/>
    </row>
    <row r="3042" customFormat="false" ht="18" hidden="false" customHeight="true" outlineLevel="0" collapsed="false">
      <c r="B3042" s="38" t="s">
        <v>148</v>
      </c>
      <c r="C3042" s="39" t="s">
        <v>149</v>
      </c>
      <c r="D3042" s="39" t="s">
        <v>150</v>
      </c>
      <c r="E3042" s="39" t="s">
        <v>151</v>
      </c>
      <c r="F3042" s="39" t="s">
        <v>109</v>
      </c>
      <c r="J3042" s="25" t="s">
        <v>152</v>
      </c>
      <c r="K3042" s="25" t="s">
        <v>153</v>
      </c>
      <c r="L3042" s="25" t="s">
        <v>154</v>
      </c>
      <c r="M3042" s="25" t="s">
        <v>155</v>
      </c>
      <c r="N3042" s="25" t="s">
        <v>156</v>
      </c>
      <c r="O3042" s="25" t="s">
        <v>157</v>
      </c>
    </row>
    <row r="3043" customFormat="false" ht="16.5" hidden="false" customHeight="true" outlineLevel="0" collapsed="false">
      <c r="B3043" s="40" t="str">
        <f aca="false">IFERROR(INDEX($J$3043:$J$3046,MATCH($O3043,$N$3043:$N$3046,0)),"")</f>
        <v/>
      </c>
      <c r="C3043" s="41" t="str">
        <f aca="false">IFERROR(INDEX($K$3043:$K$3046,MATCH($O3043,$N$3043:$N$3046,0)),"")</f>
        <v/>
      </c>
      <c r="D3043" s="42" t="str">
        <f aca="false">IF(OR(E3043="",N(C3043)=0),"",E3043/C3043-1)</f>
        <v/>
      </c>
      <c r="E3043" s="41" t="str">
        <f aca="false">IFERROR(INDEX($L$3043:$L$3046,MATCH($O3043,$N$3043:$N$3046,0)),"")</f>
        <v/>
      </c>
      <c r="F3043" s="41" t="str">
        <f aca="false">IF(E3043="","",E3043-C3043)</f>
        <v/>
      </c>
      <c r="J3043" s="25" t="str">
        <f aca="false">Lib_Compta</f>
        <v>Mission comptable (tenue, révision, bilan, liasse fiscale)</v>
      </c>
      <c r="K3043" s="25" t="n">
        <f aca="false">IF($K$3016=0,0,N(INDEX(Clients!$K$2:$K$501,$K$3016)))</f>
        <v>0</v>
      </c>
      <c r="L3043" s="25" t="n">
        <f aca="false">IF($K$3016=0,0,N(INDEX(Clients!$P$2:$P$501,$K$3016)))</f>
        <v>0</v>
      </c>
      <c r="M3043" s="25" t="n">
        <f aca="false">IF(OR(K3043&lt;&gt;0,L3043&lt;&gt;0),1,0)</f>
        <v>0</v>
      </c>
      <c r="N3043" s="25" t="str">
        <f aca="false">IF(M3043=1,SUM($M$3043:M3043),"")</f>
        <v/>
      </c>
      <c r="O3043" s="25" t="n">
        <v>1</v>
      </c>
    </row>
    <row r="3044" customFormat="false" ht="16.5" hidden="false" customHeight="true" outlineLevel="0" collapsed="false">
      <c r="B3044" s="40" t="str">
        <f aca="false">IFERROR(INDEX($J$3043:$J$3046,MATCH($O3044,$N$3043:$N$3046,0)),"")</f>
        <v/>
      </c>
      <c r="C3044" s="41" t="str">
        <f aca="false">IFERROR(INDEX($K$3043:$K$3046,MATCH($O3044,$N$3043:$N$3046,0)),"")</f>
        <v/>
      </c>
      <c r="D3044" s="42" t="str">
        <f aca="false">IF(OR(E3044="",N(C3044)=0),"",E3044/C3044-1)</f>
        <v/>
      </c>
      <c r="E3044" s="41" t="str">
        <f aca="false">IFERROR(INDEX($L$3043:$L$3046,MATCH($O3044,$N$3043:$N$3046,0)),"")</f>
        <v/>
      </c>
      <c r="F3044" s="41" t="str">
        <f aca="false">IF(E3044="","",E3044-C3044)</f>
        <v/>
      </c>
      <c r="J3044" s="25" t="str">
        <f aca="false">Lib_Paye</f>
        <v>Mission sociale (bulletins de paie, DSN, déclarations sociales)</v>
      </c>
      <c r="K3044" s="25" t="n">
        <f aca="false">IF($K$3016=0,0,N(INDEX(Clients!$L$2:$L$501,$K$3016)))</f>
        <v>0</v>
      </c>
      <c r="L3044" s="25" t="n">
        <f aca="false">IF($K$3016=0,0,N(INDEX(Clients!$Q$2:$Q$501,$K$3016)))</f>
        <v>0</v>
      </c>
      <c r="M3044" s="25" t="n">
        <f aca="false">IF(OR(K3044&lt;&gt;0,L3044&lt;&gt;0),1,0)</f>
        <v>0</v>
      </c>
      <c r="N3044" s="25" t="str">
        <f aca="false">IF(M3044=1,SUM($M$3043:M3044),"")</f>
        <v/>
      </c>
      <c r="O3044" s="25" t="n">
        <v>2</v>
      </c>
    </row>
    <row r="3045" customFormat="false" ht="16.5" hidden="false" customHeight="true" outlineLevel="0" collapsed="false">
      <c r="B3045" s="40" t="str">
        <f aca="false">IFERROR(INDEX($J$3043:$J$3046,MATCH($O3045,$N$3043:$N$3046,0)),"")</f>
        <v/>
      </c>
      <c r="C3045" s="41" t="str">
        <f aca="false">IFERROR(INDEX($K$3043:$K$3046,MATCH($O3045,$N$3043:$N$3046,0)),"")</f>
        <v/>
      </c>
      <c r="D3045" s="42" t="str">
        <f aca="false">IF(OR(E3045="",N(C3045)=0),"",E3045/C3045-1)</f>
        <v/>
      </c>
      <c r="E3045" s="41" t="str">
        <f aca="false">IFERROR(INDEX($L$3043:$L$3046,MATCH($O3045,$N$3043:$N$3046,0)),"")</f>
        <v/>
      </c>
      <c r="F3045" s="41" t="str">
        <f aca="false">IF(E3045="","",E3045-C3045)</f>
        <v/>
      </c>
      <c r="J3045" s="25" t="str">
        <f aca="false">Lib_Jur</f>
        <v>Mission juridique (approbation des comptes, secrétariat juridique)</v>
      </c>
      <c r="K3045" s="25" t="n">
        <f aca="false">IF($K$3016=0,0,N(INDEX(Clients!$M$2:$M$501,$K$3016)))</f>
        <v>0</v>
      </c>
      <c r="L3045" s="25" t="n">
        <f aca="false">IF($K$3016=0,0,N(INDEX(Clients!$R$2:$R$501,$K$3016)))</f>
        <v>0</v>
      </c>
      <c r="M3045" s="25" t="n">
        <f aca="false">IF(OR(K3045&lt;&gt;0,L3045&lt;&gt;0),1,0)</f>
        <v>0</v>
      </c>
      <c r="N3045" s="25" t="str">
        <f aca="false">IF(M3045=1,SUM($M$3043:M3045),"")</f>
        <v/>
      </c>
      <c r="O3045" s="25" t="n">
        <v>3</v>
      </c>
    </row>
    <row r="3046" customFormat="false" ht="16.5" hidden="false" customHeight="true" outlineLevel="0" collapsed="false">
      <c r="B3046" s="40" t="str">
        <f aca="false">IFERROR(INDEX($J$3043:$J$3046,MATCH($O3046,$N$3043:$N$3046,0)),"")</f>
        <v/>
      </c>
      <c r="C3046" s="41" t="str">
        <f aca="false">IFERROR(INDEX($K$3043:$K$3046,MATCH($O3046,$N$3043:$N$3046,0)),"")</f>
        <v/>
      </c>
      <c r="D3046" s="42" t="str">
        <f aca="false">IF(OR(E3046="",N(C3046)=0),"",E3046/C3046-1)</f>
        <v/>
      </c>
      <c r="E3046" s="41" t="str">
        <f aca="false">IFERROR(INDEX($L$3043:$L$3046,MATCH($O3046,$N$3043:$N$3046,0)),"")</f>
        <v/>
      </c>
      <c r="F3046" s="41" t="str">
        <f aca="false">IF(E3046="","",E3046-C3046)</f>
        <v/>
      </c>
      <c r="J3046" s="25" t="str">
        <f aca="false">Lib_PA</f>
        <v>Plateforme agréée – facturation électronique</v>
      </c>
      <c r="K3046" s="25" t="n">
        <f aca="false">IF($K$3016=0,0,N(INDEX(Clients!$N$2:$N$501,$K$3016)))</f>
        <v>0</v>
      </c>
      <c r="L3046" s="25" t="n">
        <f aca="false">IF($K$3016=0,0,N(INDEX(Clients!$S$2:$S$501,$K$3016)))</f>
        <v>0</v>
      </c>
      <c r="M3046" s="25" t="n">
        <f aca="false">IF(OR(K3046&lt;&gt;0,L3046&lt;&gt;0),1,0)</f>
        <v>0</v>
      </c>
      <c r="N3046" s="25" t="str">
        <f aca="false">IF(M3046=1,SUM($M$3043:M3046),"")</f>
        <v/>
      </c>
      <c r="O3046" s="25" t="n">
        <v>4</v>
      </c>
    </row>
    <row r="3047" customFormat="false" ht="18" hidden="false" customHeight="true" outlineLevel="0" collapsed="false">
      <c r="B3047" s="43" t="s">
        <v>158</v>
      </c>
      <c r="C3047" s="44" t="n">
        <f aca="false">SUM(K3043:K3046)</f>
        <v>0</v>
      </c>
      <c r="D3047" s="45" t="str">
        <f aca="false">IF(N(C3047)=0,"",E3047/C3047-1)</f>
        <v/>
      </c>
      <c r="E3047" s="44" t="n">
        <f aca="false">SUM(L3043:L3046)</f>
        <v>0</v>
      </c>
      <c r="F3047" s="44" t="n">
        <f aca="false">E3047-C3047</f>
        <v>0</v>
      </c>
    </row>
    <row r="3048" customFormat="false" ht="15" hidden="false" customHeight="false" outlineLevel="0" collapsed="false">
      <c r="B3048" s="46" t="str">
        <f aca="false">IF(N(Nb_Mensualites)=0,"","Soit "&amp;FIXED(E3047/Nb_Mensualites,2)&amp;" € HT par échéance ("&amp;Nb_Mensualites&amp;" échéances), "&amp;FIXED(E3047/Nb_Mensualites*(1+Taux_TVA),2)&amp;" € TTC.")</f>
        <v>Soit 0.00 € HT par échéance (12 échéances), 0.00 € TTC.</v>
      </c>
      <c r="C3048" s="46"/>
      <c r="D3048" s="46"/>
      <c r="E3048" s="46"/>
      <c r="F3048" s="46"/>
    </row>
    <row r="3049" customFormat="false" ht="7.5" hidden="false" customHeight="true" outlineLevel="0" collapsed="false">
      <c r="B3049" s="10"/>
      <c r="C3049" s="10"/>
      <c r="D3049" s="10"/>
      <c r="E3049" s="10"/>
      <c r="F3049" s="10"/>
    </row>
    <row r="3050" customFormat="false" ht="36.75" hidden="false" customHeight="true" outlineLevel="0" collapsed="false">
      <c r="B3050" s="37" t="str">
        <f aca="false">SUBSTITUTE(SUBSTITUTE(SUBSTITUTE(SUBSTITUTE(SUBSTITUTE(Txt_P5,"{cabinet}",Cab_Nom),"{societe}",IF($K$3016=0,"",INDEX(Clients!$E$2:$E$501,$K$3016)&amp;"")),"{date_effet}",$K$3018),"{hausse}",$K$3019),"{civilite}",$K$3017)</f>
        <v>Les autres conditions de votre lettre de mission demeurent inchangées. Les nouveaux montants seront appliqués automatiquement sur vos prochaines factures et échéances de prélèvement.</v>
      </c>
      <c r="C3050" s="37"/>
      <c r="D3050" s="37"/>
      <c r="E3050" s="37"/>
      <c r="F3050" s="37"/>
    </row>
    <row r="3051" customFormat="false" ht="36.75" hidden="false" customHeight="true" outlineLevel="0" collapsed="false">
      <c r="B3051" s="37" t="str">
        <f aca="false">SUBSTITUTE(SUBSTITUTE(SUBSTITUTE(SUBSTITUTE(SUBSTITUTE(Txt_P6,"{cabinet}",Cab_Nom),"{societe}",IF($K$3016=0,"",INDEX(Clients!$E$2:$E$501,$K$3016)&amp;"")),"{date_effet}",$K$3018),"{hausse}",$K$3019),"{civilite}",$K$3017)</f>
        <v>Votre interlocuteur habituel reste à votre entière disposition pour répondre à vos questions et faire le point sur l'évolution de vos besoins.</v>
      </c>
      <c r="C3051" s="37"/>
      <c r="D3051" s="37"/>
      <c r="E3051" s="37"/>
      <c r="F3051" s="37"/>
    </row>
    <row r="3052" customFormat="false" ht="24" hidden="false" customHeight="true" outlineLevel="0" collapsed="false">
      <c r="B3052" s="37" t="str">
        <f aca="false">SUBSTITUTE(SUBSTITUTE(SUBSTITUTE(SUBSTITUTE(SUBSTITUTE(Txt_Politesse,"{cabinet}",Cab_Nom),"{societe}",IF($K$3016=0,"",INDEX(Clients!$E$2:$E$501,$K$3016)&amp;"")),"{date_effet}",$K$3018),"{hausse}",$K$3019),"{civilite}",$K$3017)</f>
        <v>Nous vous prions d'agréer, Madame, Monsieur, l'expression de nos salutations distinguées.</v>
      </c>
      <c r="C3052" s="37"/>
      <c r="D3052" s="37"/>
      <c r="E3052" s="37"/>
      <c r="F3052" s="37"/>
    </row>
    <row r="3053" customFormat="false" ht="15" hidden="false" customHeight="false" outlineLevel="0" collapsed="false">
      <c r="B3053" s="10"/>
      <c r="C3053" s="10"/>
      <c r="D3053" s="10"/>
      <c r="E3053" s="10"/>
      <c r="F3053" s="10"/>
    </row>
    <row r="3054" customFormat="false" ht="15" hidden="false" customHeight="false" outlineLevel="0" collapsed="false">
      <c r="B3054" s="10"/>
      <c r="C3054" s="10"/>
      <c r="D3054" s="34" t="str">
        <f aca="false">Signataire</f>
        <v>Prénom NOM</v>
      </c>
      <c r="E3054" s="34"/>
      <c r="F3054" s="34"/>
    </row>
    <row r="3055" customFormat="false" ht="15" hidden="false" customHeight="false" outlineLevel="0" collapsed="false">
      <c r="B3055" s="10"/>
      <c r="C3055" s="10"/>
      <c r="D3055" s="47" t="str">
        <f aca="false">Signataire_Titre</f>
        <v>Expert-comptable associé</v>
      </c>
      <c r="E3055" s="47"/>
      <c r="F3055" s="47"/>
    </row>
    <row r="3056" customFormat="false" ht="15.75" hidden="false" customHeight="true" outlineLevel="0" collapsed="false">
      <c r="B3056" s="10"/>
      <c r="C3056" s="10"/>
      <c r="D3056" s="10"/>
      <c r="E3056" s="10"/>
      <c r="F3056" s="10"/>
    </row>
    <row r="3057" customFormat="false" ht="15.75" hidden="false" customHeight="true" outlineLevel="0" collapsed="false">
      <c r="B3057" s="10"/>
      <c r="C3057" s="10"/>
      <c r="D3057" s="10"/>
      <c r="E3057" s="10"/>
      <c r="F3057" s="10"/>
    </row>
    <row r="3058" customFormat="false" ht="15.75" hidden="false" customHeight="true" outlineLevel="0" collapsed="false">
      <c r="B3058" s="10"/>
      <c r="C3058" s="10"/>
      <c r="D3058" s="10"/>
      <c r="E3058" s="10"/>
      <c r="F3058" s="10"/>
    </row>
    <row r="3059" customFormat="false" ht="15.75" hidden="false" customHeight="true" outlineLevel="0" collapsed="false">
      <c r="B3059" s="10"/>
      <c r="C3059" s="10"/>
      <c r="D3059" s="10"/>
      <c r="E3059" s="10"/>
      <c r="F3059" s="10"/>
    </row>
    <row r="3060" customFormat="false" ht="24" hidden="false" customHeight="true" outlineLevel="0" collapsed="false">
      <c r="B3060" s="48" t="str">
        <f aca="false">Cab_Mentions</f>
        <v>ALTHO EXPERTISE · SAS au capital de 10 000 € · RCS Pontoise 919 706 325 · TVA FR62919706325 · Société d'expertise comptable inscrite au Tableau de l'Ordre des experts-comptables de Paris Île-de-France</v>
      </c>
      <c r="C3060" s="48"/>
      <c r="D3060" s="48"/>
      <c r="E3060" s="48"/>
      <c r="F3060" s="48"/>
    </row>
    <row r="3061" customFormat="false" ht="15" hidden="false" customHeight="false" outlineLevel="0" collapsed="false">
      <c r="B3061" s="10"/>
      <c r="C3061" s="10"/>
      <c r="D3061" s="10"/>
      <c r="E3061" s="10"/>
      <c r="F3061" s="10"/>
      <c r="J3061" s="25" t="s">
        <v>142</v>
      </c>
      <c r="K3061" s="25" t="n">
        <f aca="false">IFERROR(MATCH(69,Clients!$Z$2:$Z$501,0),0)</f>
        <v>0</v>
      </c>
      <c r="L3061" s="25"/>
      <c r="M3061" s="25"/>
      <c r="N3061" s="25"/>
      <c r="O3061" s="25"/>
    </row>
    <row r="3062" customFormat="false" ht="21.75" hidden="false" customHeight="true" outlineLevel="0" collapsed="false">
      <c r="B3062" s="26" t="str">
        <f aca="false">Cab_Nom</f>
        <v>ALTHO EXPERTISE</v>
      </c>
      <c r="C3062" s="26"/>
      <c r="D3062" s="10"/>
      <c r="E3062" s="27" t="str">
        <f aca="false">IF($K$3061=0,"","Réf. client : "&amp;INDEX(Clients!$A$2:$A$501,$K$3061))</f>
        <v/>
      </c>
      <c r="F3062" s="27"/>
      <c r="J3062" s="25" t="s">
        <v>144</v>
      </c>
      <c r="K3062" s="25" t="str">
        <f aca="false">IF(IF($K$3061=0,"",INDEX(Clients!$B$2:$B$501,$K$3061)&amp;"")="Mme","Madame",IF(IF($K$3061=0,"",INDEX(Clients!$B$2:$B$501,$K$3061)&amp;"")="M.","Monsieur","Madame, Monsieur"))</f>
        <v>Madame, Monsieur</v>
      </c>
      <c r="L3062" s="25"/>
      <c r="M3062" s="25"/>
      <c r="N3062" s="25"/>
      <c r="O3062" s="25"/>
    </row>
    <row r="3063" customFormat="false" ht="15" hidden="false" customHeight="false" outlineLevel="0" collapsed="false">
      <c r="B3063" s="29" t="str">
        <f aca="false">Cab_Adr1</f>
        <v>141 rue Charles de Gaulle</v>
      </c>
      <c r="C3063" s="29"/>
      <c r="D3063" s="10"/>
      <c r="E3063" s="10"/>
      <c r="F3063" s="10"/>
      <c r="J3063" s="25" t="s">
        <v>145</v>
      </c>
      <c r="K3063" s="25" t="str">
        <f aca="false">DAY(Date_Effet)&amp;IF(DAY(Date_Effet)=1,"er","")&amp;" "&amp;INDEX(Liste_Mois,MONTH(Date_Effet))&amp;" "&amp;YEAR(Date_Effet)</f>
        <v>1er janvier 2027</v>
      </c>
      <c r="L3063" s="25"/>
      <c r="M3063" s="25"/>
      <c r="N3063" s="25"/>
      <c r="O3063" s="25"/>
    </row>
    <row r="3064" customFormat="false" ht="15" hidden="false" customHeight="false" outlineLevel="0" collapsed="false">
      <c r="B3064" s="29" t="str">
        <f aca="false">Cab_CPVille</f>
        <v>95130 LE PLESSIS-BOUCHARD</v>
      </c>
      <c r="C3064" s="29"/>
      <c r="D3064" s="10"/>
      <c r="E3064" s="10"/>
      <c r="F3064" s="10"/>
      <c r="J3064" s="25" t="s">
        <v>146</v>
      </c>
      <c r="K3064" s="25" t="str">
        <f aca="false">IF(SUM($K$3088:$K$3091)=0,"",FIXED((SUM($L$3088:$L$3091)/SUM($K$3088:$K$3091)-1)*100,1)&amp;" %")</f>
        <v/>
      </c>
      <c r="L3064" s="25"/>
      <c r="M3064" s="25"/>
      <c r="N3064" s="25"/>
      <c r="O3064" s="25"/>
    </row>
    <row r="3065" customFormat="false" ht="15" hidden="false" customHeight="false" outlineLevel="0" collapsed="false">
      <c r="B3065" s="29" t="str">
        <f aca="false">Cab_Contact</f>
        <v>Tél. 01 34 14 53 45  ·  altho@altho-experts.com  ·  altho-experts.com</v>
      </c>
      <c r="C3065" s="29"/>
      <c r="D3065" s="10"/>
      <c r="E3065" s="10"/>
      <c r="F3065" s="10"/>
      <c r="J3065" s="25"/>
      <c r="K3065" s="25"/>
      <c r="L3065" s="25"/>
      <c r="M3065" s="25"/>
      <c r="N3065" s="25"/>
      <c r="O3065" s="25"/>
    </row>
    <row r="3066" customFormat="false" ht="6" hidden="false" customHeight="true" outlineLevel="0" collapsed="false">
      <c r="B3066" s="32"/>
      <c r="C3066" s="32"/>
      <c r="D3066" s="32"/>
      <c r="E3066" s="32"/>
      <c r="F3066" s="32"/>
      <c r="J3066" s="25"/>
      <c r="K3066" s="25"/>
      <c r="L3066" s="25"/>
      <c r="M3066" s="25"/>
      <c r="N3066" s="25"/>
      <c r="O3066" s="25"/>
    </row>
    <row r="3067" customFormat="false" ht="13.5" hidden="false" customHeight="true" outlineLevel="0" collapsed="false">
      <c r="B3067" s="10"/>
      <c r="C3067" s="10"/>
      <c r="D3067" s="10"/>
      <c r="E3067" s="10"/>
      <c r="F3067" s="10"/>
      <c r="J3067" s="25"/>
      <c r="K3067" s="25"/>
      <c r="L3067" s="25"/>
      <c r="M3067" s="25"/>
      <c r="N3067" s="25"/>
      <c r="O3067" s="25"/>
    </row>
    <row r="3068" customFormat="false" ht="13.5" hidden="false" customHeight="true" outlineLevel="0" collapsed="false">
      <c r="B3068" s="10"/>
      <c r="C3068" s="10"/>
      <c r="D3068" s="10"/>
      <c r="E3068" s="10"/>
      <c r="F3068" s="10"/>
      <c r="J3068" s="25"/>
      <c r="K3068" s="25"/>
      <c r="L3068" s="25"/>
      <c r="M3068" s="25"/>
      <c r="N3068" s="25"/>
      <c r="O3068" s="25"/>
    </row>
    <row r="3069" customFormat="false" ht="13.5" hidden="false" customHeight="true" outlineLevel="0" collapsed="false">
      <c r="B3069" s="10"/>
      <c r="C3069" s="10"/>
      <c r="D3069" s="10"/>
      <c r="E3069" s="10"/>
      <c r="F3069" s="10"/>
      <c r="J3069" s="25"/>
      <c r="K3069" s="25"/>
      <c r="L3069" s="25"/>
      <c r="M3069" s="25"/>
      <c r="N3069" s="25"/>
      <c r="O3069" s="25"/>
    </row>
    <row r="3070" customFormat="false" ht="15" hidden="false" customHeight="true" outlineLevel="0" collapsed="false">
      <c r="B3070" s="10"/>
      <c r="C3070" s="10"/>
      <c r="D3070" s="34" t="str">
        <f aca="false">IF($K$3061=0,"",INDEX(Clients!$E$2:$E$501,$K$3061)&amp;"")</f>
        <v/>
      </c>
      <c r="E3070" s="34"/>
      <c r="F3070" s="34"/>
      <c r="J3070" s="25"/>
      <c r="K3070" s="25"/>
      <c r="L3070" s="25"/>
      <c r="M3070" s="25"/>
      <c r="N3070" s="25"/>
      <c r="O3070" s="25"/>
    </row>
    <row r="3071" customFormat="false" ht="15" hidden="false" customHeight="true" outlineLevel="0" collapsed="false">
      <c r="B3071" s="10"/>
      <c r="C3071" s="10"/>
      <c r="D3071" s="35" t="str">
        <f aca="false">IF(IF($K$3061=0,"",INDEX(Clients!$D$2:$D$501,$K$3061)&amp;"")="","","À l'attention de "&amp;TRIM(IF($K$3061=0,"",INDEX(Clients!$B$2:$B$501,$K$3061)&amp;"")&amp;" "&amp;IF($K$3061=0,"",INDEX(Clients!$C$2:$C$501,$K$3061)&amp;"")&amp;" "&amp;IF($K$3061=0,"",INDEX(Clients!$D$2:$D$501,$K$3061)&amp;"")))</f>
        <v/>
      </c>
      <c r="E3071" s="35"/>
      <c r="F3071" s="35"/>
      <c r="J3071" s="25"/>
      <c r="K3071" s="25"/>
      <c r="L3071" s="25"/>
      <c r="M3071" s="25"/>
      <c r="N3071" s="25"/>
      <c r="O3071" s="25"/>
    </row>
    <row r="3072" customFormat="false" ht="15" hidden="false" customHeight="true" outlineLevel="0" collapsed="false">
      <c r="B3072" s="10"/>
      <c r="C3072" s="10"/>
      <c r="D3072" s="35" t="str">
        <f aca="false">IF($K$3061=0,"",INDEX(Clients!$F$2:$F$501,$K$3061)&amp;"")</f>
        <v/>
      </c>
      <c r="E3072" s="35"/>
      <c r="F3072" s="35"/>
      <c r="J3072" s="25"/>
      <c r="K3072" s="25"/>
      <c r="L3072" s="25"/>
      <c r="M3072" s="25"/>
      <c r="N3072" s="25"/>
      <c r="O3072" s="25"/>
    </row>
    <row r="3073" customFormat="false" ht="15" hidden="false" customHeight="true" outlineLevel="0" collapsed="false">
      <c r="B3073" s="10"/>
      <c r="C3073" s="10"/>
      <c r="D3073" s="35" t="str">
        <f aca="false">IF(IF($K$3061=0,"",INDEX(Clients!$G$2:$G$501,$K$3061)&amp;"")="",TRIM(IF($K$3061=0,"",INDEX(Clients!$H$2:$H$501,$K$3061)&amp;"")&amp;" "&amp;UPPER(IF($K$3061=0,"",INDEX(Clients!$I$2:$I$501,$K$3061)&amp;""))),IF($K$3061=0,"",INDEX(Clients!$G$2:$G$501,$K$3061)&amp;""))</f>
        <v/>
      </c>
      <c r="E3073" s="35"/>
      <c r="F3073" s="35"/>
      <c r="J3073" s="25"/>
      <c r="K3073" s="25"/>
      <c r="L3073" s="25"/>
      <c r="M3073" s="25"/>
      <c r="N3073" s="25"/>
      <c r="O3073" s="25"/>
    </row>
    <row r="3074" customFormat="false" ht="15" hidden="false" customHeight="true" outlineLevel="0" collapsed="false">
      <c r="B3074" s="10"/>
      <c r="C3074" s="10"/>
      <c r="D3074" s="35" t="str">
        <f aca="false">IF(IF($K$3061=0,"",INDEX(Clients!$G$2:$G$501,$K$3061)&amp;"")="","",TRIM(IF($K$3061=0,"",INDEX(Clients!$H$2:$H$501,$K$3061)&amp;"")&amp;" "&amp;UPPER(IF($K$3061=0,"",INDEX(Clients!$I$2:$I$501,$K$3061)&amp;""))))</f>
        <v/>
      </c>
      <c r="E3074" s="35"/>
      <c r="F3074" s="35"/>
      <c r="J3074" s="25"/>
      <c r="K3074" s="25"/>
      <c r="L3074" s="25"/>
      <c r="M3074" s="25"/>
      <c r="N3074" s="25"/>
      <c r="O3074" s="25"/>
    </row>
    <row r="3075" customFormat="false" ht="25.5" hidden="false" customHeight="true" outlineLevel="0" collapsed="false">
      <c r="B3075" s="10"/>
      <c r="C3075" s="10"/>
      <c r="D3075" s="10"/>
      <c r="E3075" s="10"/>
      <c r="F3075" s="10"/>
      <c r="J3075" s="25"/>
      <c r="K3075" s="25"/>
      <c r="L3075" s="25"/>
      <c r="M3075" s="25"/>
      <c r="N3075" s="25"/>
      <c r="O3075" s="25"/>
    </row>
    <row r="3076" customFormat="false" ht="15" hidden="false" customHeight="false" outlineLevel="0" collapsed="false">
      <c r="B3076" s="10"/>
      <c r="C3076" s="10"/>
      <c r="D3076" s="36" t="str">
        <f aca="false">Cab_Ville&amp;", le "&amp;DAY(Date_Courrier)&amp;IF(DAY(Date_Courrier)=1,"er","")&amp;" "&amp;INDEX(Liste_Mois,MONTH(Date_Courrier))&amp;" "&amp;YEAR(Date_Courrier)</f>
        <v>Le Plessis-Bouchard, le 22 septembre 2026</v>
      </c>
      <c r="E3076" s="36"/>
      <c r="F3076" s="36"/>
      <c r="J3076" s="25"/>
      <c r="K3076" s="25"/>
      <c r="L3076" s="25"/>
      <c r="M3076" s="25"/>
      <c r="N3076" s="25"/>
      <c r="O3076" s="25"/>
    </row>
    <row r="3077" customFormat="false" ht="19.5" hidden="false" customHeight="true" outlineLevel="0" collapsed="false">
      <c r="B3077" s="10"/>
      <c r="C3077" s="10"/>
      <c r="D3077" s="10"/>
      <c r="E3077" s="10"/>
      <c r="F3077" s="10"/>
      <c r="J3077" s="25"/>
      <c r="K3077" s="25"/>
      <c r="L3077" s="25"/>
      <c r="M3077" s="25"/>
      <c r="N3077" s="25"/>
      <c r="O3077" s="25"/>
    </row>
    <row r="3078" customFormat="false" ht="15" hidden="false" customHeight="false" outlineLevel="0" collapsed="false">
      <c r="B3078" s="34" t="str">
        <f aca="false">SUBSTITUTE(SUBSTITUTE(SUBSTITUTE(SUBSTITUTE(SUBSTITUTE(Txt_Objet,"{cabinet}",Cab_Nom),"{societe}",IF($K$3061=0,"",INDEX(Clients!$E$2:$E$501,$K$3061)&amp;"")),"{date_effet}",$K$3063),"{hausse}",$K$3064),"{civilite}",$K$3062)</f>
        <v>Objet : révision de nos honoraires au 1er janvier 2027</v>
      </c>
      <c r="C3078" s="34"/>
      <c r="D3078" s="34"/>
      <c r="E3078" s="34"/>
      <c r="F3078" s="34"/>
      <c r="J3078" s="25"/>
      <c r="K3078" s="25"/>
      <c r="L3078" s="25"/>
      <c r="M3078" s="25"/>
      <c r="N3078" s="25"/>
      <c r="O3078" s="25"/>
    </row>
    <row r="3079" customFormat="false" ht="13.5" hidden="false" customHeight="true" outlineLevel="0" collapsed="false">
      <c r="B3079" s="10"/>
      <c r="C3079" s="10"/>
      <c r="D3079" s="10"/>
      <c r="E3079" s="10"/>
      <c r="F3079" s="10"/>
      <c r="J3079" s="25"/>
      <c r="K3079" s="25"/>
      <c r="L3079" s="25"/>
      <c r="M3079" s="25"/>
      <c r="N3079" s="25"/>
      <c r="O3079" s="25"/>
    </row>
    <row r="3080" customFormat="false" ht="15" hidden="false" customHeight="false" outlineLevel="0" collapsed="false">
      <c r="B3080" s="10" t="str">
        <f aca="false">$K$3062&amp;","</f>
        <v>Madame, Monsieur,</v>
      </c>
      <c r="C3080" s="10"/>
      <c r="D3080" s="10"/>
      <c r="E3080" s="10"/>
      <c r="F3080" s="10"/>
      <c r="J3080" s="25"/>
      <c r="K3080" s="25"/>
      <c r="L3080" s="25"/>
      <c r="M3080" s="25"/>
      <c r="N3080" s="25"/>
      <c r="O3080" s="25"/>
    </row>
    <row r="3081" customFormat="false" ht="6" hidden="false" customHeight="true" outlineLevel="0" collapsed="false">
      <c r="B3081" s="10"/>
      <c r="C3081" s="10"/>
      <c r="D3081" s="10"/>
      <c r="E3081" s="10"/>
      <c r="F3081" s="10"/>
      <c r="J3081" s="25"/>
      <c r="K3081" s="25"/>
      <c r="L3081" s="25"/>
      <c r="M3081" s="25"/>
      <c r="N3081" s="25"/>
      <c r="O3081" s="25"/>
    </row>
    <row r="3082" customFormat="false" ht="36.75" hidden="false" customHeight="true" outlineLevel="0" collapsed="false">
      <c r="B3082" s="37" t="str">
        <f aca="false">SUBSTITUTE(SUBSTITUTE(SUBSTITUTE(SUBSTITUTE(SUBSTITUTE(Txt_P1,"{cabinet}",Cab_Nom),"{societe}",IF($K$3061=0,"",INDEX(Clients!$E$2:$E$501,$K$3061)&amp;"")),"{date_effet}",$K$3063),"{hausse}",$K$3064),"{civilite}",$K$3062)</f>
        <v>Nous tenons tout d'abord à vous remercier pour la confiance que vous accordez à ALTHO EXPERTISE. Comme chaque année, et conformément aux dispositions de votre lettre de mission, nous procédons à la révision de nos honoraires.</v>
      </c>
      <c r="C3082" s="37"/>
      <c r="D3082" s="37"/>
      <c r="E3082" s="37"/>
      <c r="F3082" s="37"/>
      <c r="J3082" s="25"/>
      <c r="K3082" s="25"/>
      <c r="L3082" s="25"/>
      <c r="M3082" s="25"/>
      <c r="N3082" s="25"/>
      <c r="O3082" s="25"/>
    </row>
    <row r="3083" customFormat="false" ht="49.5" hidden="false" customHeight="true" outlineLevel="0" collapsed="false">
      <c r="B3083" s="37" t="str">
        <f aca="false">SUBSTITUTE(SUBSTITUTE(SUBSTITUTE(SUBSTITUTE(SUBSTITUTE(Txt_P2,"{cabinet}",Cab_Nom),"{societe}",IF($K$3061=0,"",INDEX(Clients!$E$2:$E$501,$K$3061)&amp;"")),"{date_effet}",$K$3063),"{hausse}",$K$3064),"{civilite}",$K$3062)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083" s="37"/>
      <c r="D3083" s="37"/>
      <c r="E3083" s="37"/>
      <c r="F3083" s="37"/>
      <c r="J3083" s="25"/>
      <c r="K3083" s="25"/>
      <c r="L3083" s="25"/>
      <c r="M3083" s="25"/>
      <c r="N3083" s="25"/>
      <c r="O3083" s="25"/>
    </row>
    <row r="3084" customFormat="false" ht="63" hidden="false" customHeight="true" outlineLevel="0" collapsed="false">
      <c r="B3084" s="37" t="str">
        <f aca="false">SUBSTITUTE(SUBSTITUTE(SUBSTITUTE(SUBSTITUTE(SUBSTITUTE(Txt_P3,"{cabinet}",Cab_Nom),"{societe}",IF($K$3061=0,"",INDEX(Clients!$E$2:$E$501,$K$3061)&amp;"")),"{date_effet}",$K$3063),"{hausse}",$K$3064),"{civilite}",$K$3062)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084" s="37"/>
      <c r="D3084" s="37"/>
      <c r="E3084" s="37"/>
      <c r="F3084" s="37"/>
      <c r="J3084" s="25"/>
      <c r="K3084" s="25"/>
      <c r="L3084" s="25"/>
      <c r="M3084" s="25"/>
      <c r="N3084" s="25"/>
      <c r="O3084" s="25"/>
    </row>
    <row r="3085" customFormat="false" ht="24" hidden="false" customHeight="true" outlineLevel="0" collapsed="false">
      <c r="B3085" s="37" t="str">
        <f aca="false">SUBSTITUTE(SUBSTITUTE(SUBSTITUTE(SUBSTITUTE(SUBSTITUTE(Txt_P4,"{cabinet}",Cab_Nom),"{societe}",IF($K$3061=0,"",INDEX(Clients!$E$2:$E$501,$K$3061)&amp;"")),"{date_effet}",$K$3063),"{hausse}",$K$3064),"{civilite}",$K$3062)</f>
        <v>À compter du 1er janvier 2027, vos honoraires annuels hors taxes évolueront ainsi (évolution globale : ) :</v>
      </c>
      <c r="C3085" s="37"/>
      <c r="D3085" s="37"/>
      <c r="E3085" s="37"/>
      <c r="F3085" s="37"/>
      <c r="J3085" s="25"/>
      <c r="K3085" s="25"/>
      <c r="L3085" s="25"/>
      <c r="M3085" s="25"/>
      <c r="N3085" s="25"/>
      <c r="O3085" s="25"/>
    </row>
    <row r="3086" customFormat="false" ht="3.75" hidden="false" customHeight="true" outlineLevel="0" collapsed="false">
      <c r="B3086" s="10"/>
      <c r="C3086" s="10"/>
      <c r="D3086" s="10"/>
      <c r="E3086" s="10"/>
      <c r="F3086" s="10"/>
      <c r="J3086" s="25"/>
      <c r="K3086" s="25"/>
      <c r="L3086" s="25"/>
      <c r="M3086" s="25"/>
      <c r="N3086" s="25"/>
      <c r="O3086" s="25"/>
    </row>
    <row r="3087" customFormat="false" ht="18" hidden="false" customHeight="true" outlineLevel="0" collapsed="false">
      <c r="B3087" s="38" t="s">
        <v>148</v>
      </c>
      <c r="C3087" s="39" t="s">
        <v>149</v>
      </c>
      <c r="D3087" s="39" t="s">
        <v>150</v>
      </c>
      <c r="E3087" s="39" t="s">
        <v>151</v>
      </c>
      <c r="F3087" s="39" t="s">
        <v>109</v>
      </c>
      <c r="J3087" s="25" t="s">
        <v>152</v>
      </c>
      <c r="K3087" s="25" t="s">
        <v>153</v>
      </c>
      <c r="L3087" s="25" t="s">
        <v>154</v>
      </c>
      <c r="M3087" s="25" t="s">
        <v>155</v>
      </c>
      <c r="N3087" s="25" t="s">
        <v>156</v>
      </c>
      <c r="O3087" s="25" t="s">
        <v>157</v>
      </c>
    </row>
    <row r="3088" customFormat="false" ht="16.5" hidden="false" customHeight="true" outlineLevel="0" collapsed="false">
      <c r="B3088" s="40" t="str">
        <f aca="false">IFERROR(INDEX($J$3088:$J$3091,MATCH($O3088,$N$3088:$N$3091,0)),"")</f>
        <v/>
      </c>
      <c r="C3088" s="41" t="str">
        <f aca="false">IFERROR(INDEX($K$3088:$K$3091,MATCH($O3088,$N$3088:$N$3091,0)),"")</f>
        <v/>
      </c>
      <c r="D3088" s="42" t="str">
        <f aca="false">IF(OR(E3088="",N(C3088)=0),"",E3088/C3088-1)</f>
        <v/>
      </c>
      <c r="E3088" s="41" t="str">
        <f aca="false">IFERROR(INDEX($L$3088:$L$3091,MATCH($O3088,$N$3088:$N$3091,0)),"")</f>
        <v/>
      </c>
      <c r="F3088" s="41" t="str">
        <f aca="false">IF(E3088="","",E3088-C3088)</f>
        <v/>
      </c>
      <c r="J3088" s="25" t="str">
        <f aca="false">Lib_Compta</f>
        <v>Mission comptable (tenue, révision, bilan, liasse fiscale)</v>
      </c>
      <c r="K3088" s="25" t="n">
        <f aca="false">IF($K$3061=0,0,N(INDEX(Clients!$K$2:$K$501,$K$3061)))</f>
        <v>0</v>
      </c>
      <c r="L3088" s="25" t="n">
        <f aca="false">IF($K$3061=0,0,N(INDEX(Clients!$P$2:$P$501,$K$3061)))</f>
        <v>0</v>
      </c>
      <c r="M3088" s="25" t="n">
        <f aca="false">IF(OR(K3088&lt;&gt;0,L3088&lt;&gt;0),1,0)</f>
        <v>0</v>
      </c>
      <c r="N3088" s="25" t="str">
        <f aca="false">IF(M3088=1,SUM($M$3088:M3088),"")</f>
        <v/>
      </c>
      <c r="O3088" s="25" t="n">
        <v>1</v>
      </c>
    </row>
    <row r="3089" customFormat="false" ht="16.5" hidden="false" customHeight="true" outlineLevel="0" collapsed="false">
      <c r="B3089" s="40" t="str">
        <f aca="false">IFERROR(INDEX($J$3088:$J$3091,MATCH($O3089,$N$3088:$N$3091,0)),"")</f>
        <v/>
      </c>
      <c r="C3089" s="41" t="str">
        <f aca="false">IFERROR(INDEX($K$3088:$K$3091,MATCH($O3089,$N$3088:$N$3091,0)),"")</f>
        <v/>
      </c>
      <c r="D3089" s="42" t="str">
        <f aca="false">IF(OR(E3089="",N(C3089)=0),"",E3089/C3089-1)</f>
        <v/>
      </c>
      <c r="E3089" s="41" t="str">
        <f aca="false">IFERROR(INDEX($L$3088:$L$3091,MATCH($O3089,$N$3088:$N$3091,0)),"")</f>
        <v/>
      </c>
      <c r="F3089" s="41" t="str">
        <f aca="false">IF(E3089="","",E3089-C3089)</f>
        <v/>
      </c>
      <c r="J3089" s="25" t="str">
        <f aca="false">Lib_Paye</f>
        <v>Mission sociale (bulletins de paie, DSN, déclarations sociales)</v>
      </c>
      <c r="K3089" s="25" t="n">
        <f aca="false">IF($K$3061=0,0,N(INDEX(Clients!$L$2:$L$501,$K$3061)))</f>
        <v>0</v>
      </c>
      <c r="L3089" s="25" t="n">
        <f aca="false">IF($K$3061=0,0,N(INDEX(Clients!$Q$2:$Q$501,$K$3061)))</f>
        <v>0</v>
      </c>
      <c r="M3089" s="25" t="n">
        <f aca="false">IF(OR(K3089&lt;&gt;0,L3089&lt;&gt;0),1,0)</f>
        <v>0</v>
      </c>
      <c r="N3089" s="25" t="str">
        <f aca="false">IF(M3089=1,SUM($M$3088:M3089),"")</f>
        <v/>
      </c>
      <c r="O3089" s="25" t="n">
        <v>2</v>
      </c>
    </row>
    <row r="3090" customFormat="false" ht="16.5" hidden="false" customHeight="true" outlineLevel="0" collapsed="false">
      <c r="B3090" s="40" t="str">
        <f aca="false">IFERROR(INDEX($J$3088:$J$3091,MATCH($O3090,$N$3088:$N$3091,0)),"")</f>
        <v/>
      </c>
      <c r="C3090" s="41" t="str">
        <f aca="false">IFERROR(INDEX($K$3088:$K$3091,MATCH($O3090,$N$3088:$N$3091,0)),"")</f>
        <v/>
      </c>
      <c r="D3090" s="42" t="str">
        <f aca="false">IF(OR(E3090="",N(C3090)=0),"",E3090/C3090-1)</f>
        <v/>
      </c>
      <c r="E3090" s="41" t="str">
        <f aca="false">IFERROR(INDEX($L$3088:$L$3091,MATCH($O3090,$N$3088:$N$3091,0)),"")</f>
        <v/>
      </c>
      <c r="F3090" s="41" t="str">
        <f aca="false">IF(E3090="","",E3090-C3090)</f>
        <v/>
      </c>
      <c r="J3090" s="25" t="str">
        <f aca="false">Lib_Jur</f>
        <v>Mission juridique (approbation des comptes, secrétariat juridique)</v>
      </c>
      <c r="K3090" s="25" t="n">
        <f aca="false">IF($K$3061=0,0,N(INDEX(Clients!$M$2:$M$501,$K$3061)))</f>
        <v>0</v>
      </c>
      <c r="L3090" s="25" t="n">
        <f aca="false">IF($K$3061=0,0,N(INDEX(Clients!$R$2:$R$501,$K$3061)))</f>
        <v>0</v>
      </c>
      <c r="M3090" s="25" t="n">
        <f aca="false">IF(OR(K3090&lt;&gt;0,L3090&lt;&gt;0),1,0)</f>
        <v>0</v>
      </c>
      <c r="N3090" s="25" t="str">
        <f aca="false">IF(M3090=1,SUM($M$3088:M3090),"")</f>
        <v/>
      </c>
      <c r="O3090" s="25" t="n">
        <v>3</v>
      </c>
    </row>
    <row r="3091" customFormat="false" ht="16.5" hidden="false" customHeight="true" outlineLevel="0" collapsed="false">
      <c r="B3091" s="40" t="str">
        <f aca="false">IFERROR(INDEX($J$3088:$J$3091,MATCH($O3091,$N$3088:$N$3091,0)),"")</f>
        <v/>
      </c>
      <c r="C3091" s="41" t="str">
        <f aca="false">IFERROR(INDEX($K$3088:$K$3091,MATCH($O3091,$N$3088:$N$3091,0)),"")</f>
        <v/>
      </c>
      <c r="D3091" s="42" t="str">
        <f aca="false">IF(OR(E3091="",N(C3091)=0),"",E3091/C3091-1)</f>
        <v/>
      </c>
      <c r="E3091" s="41" t="str">
        <f aca="false">IFERROR(INDEX($L$3088:$L$3091,MATCH($O3091,$N$3088:$N$3091,0)),"")</f>
        <v/>
      </c>
      <c r="F3091" s="41" t="str">
        <f aca="false">IF(E3091="","",E3091-C3091)</f>
        <v/>
      </c>
      <c r="J3091" s="25" t="str">
        <f aca="false">Lib_PA</f>
        <v>Plateforme agréée – facturation électronique</v>
      </c>
      <c r="K3091" s="25" t="n">
        <f aca="false">IF($K$3061=0,0,N(INDEX(Clients!$N$2:$N$501,$K$3061)))</f>
        <v>0</v>
      </c>
      <c r="L3091" s="25" t="n">
        <f aca="false">IF($K$3061=0,0,N(INDEX(Clients!$S$2:$S$501,$K$3061)))</f>
        <v>0</v>
      </c>
      <c r="M3091" s="25" t="n">
        <f aca="false">IF(OR(K3091&lt;&gt;0,L3091&lt;&gt;0),1,0)</f>
        <v>0</v>
      </c>
      <c r="N3091" s="25" t="str">
        <f aca="false">IF(M3091=1,SUM($M$3088:M3091),"")</f>
        <v/>
      </c>
      <c r="O3091" s="25" t="n">
        <v>4</v>
      </c>
    </row>
    <row r="3092" customFormat="false" ht="18" hidden="false" customHeight="true" outlineLevel="0" collapsed="false">
      <c r="B3092" s="43" t="s">
        <v>158</v>
      </c>
      <c r="C3092" s="44" t="n">
        <f aca="false">SUM(K3088:K3091)</f>
        <v>0</v>
      </c>
      <c r="D3092" s="45" t="str">
        <f aca="false">IF(N(C3092)=0,"",E3092/C3092-1)</f>
        <v/>
      </c>
      <c r="E3092" s="44" t="n">
        <f aca="false">SUM(L3088:L3091)</f>
        <v>0</v>
      </c>
      <c r="F3092" s="44" t="n">
        <f aca="false">E3092-C3092</f>
        <v>0</v>
      </c>
    </row>
    <row r="3093" customFormat="false" ht="15" hidden="false" customHeight="false" outlineLevel="0" collapsed="false">
      <c r="B3093" s="46" t="str">
        <f aca="false">IF(N(Nb_Mensualites)=0,"","Soit "&amp;FIXED(E3092/Nb_Mensualites,2)&amp;" € HT par échéance ("&amp;Nb_Mensualites&amp;" échéances), "&amp;FIXED(E3092/Nb_Mensualites*(1+Taux_TVA),2)&amp;" € TTC.")</f>
        <v>Soit 0.00 € HT par échéance (12 échéances), 0.00 € TTC.</v>
      </c>
      <c r="C3093" s="46"/>
      <c r="D3093" s="46"/>
      <c r="E3093" s="46"/>
      <c r="F3093" s="46"/>
    </row>
    <row r="3094" customFormat="false" ht="7.5" hidden="false" customHeight="true" outlineLevel="0" collapsed="false">
      <c r="B3094" s="10"/>
      <c r="C3094" s="10"/>
      <c r="D3094" s="10"/>
      <c r="E3094" s="10"/>
      <c r="F3094" s="10"/>
    </row>
    <row r="3095" customFormat="false" ht="36.75" hidden="false" customHeight="true" outlineLevel="0" collapsed="false">
      <c r="B3095" s="37" t="str">
        <f aca="false">SUBSTITUTE(SUBSTITUTE(SUBSTITUTE(SUBSTITUTE(SUBSTITUTE(Txt_P5,"{cabinet}",Cab_Nom),"{societe}",IF($K$3061=0,"",INDEX(Clients!$E$2:$E$501,$K$3061)&amp;"")),"{date_effet}",$K$3063),"{hausse}",$K$3064),"{civilite}",$K$3062)</f>
        <v>Les autres conditions de votre lettre de mission demeurent inchangées. Les nouveaux montants seront appliqués automatiquement sur vos prochaines factures et échéances de prélèvement.</v>
      </c>
      <c r="C3095" s="37"/>
      <c r="D3095" s="37"/>
      <c r="E3095" s="37"/>
      <c r="F3095" s="37"/>
    </row>
    <row r="3096" customFormat="false" ht="36.75" hidden="false" customHeight="true" outlineLevel="0" collapsed="false">
      <c r="B3096" s="37" t="str">
        <f aca="false">SUBSTITUTE(SUBSTITUTE(SUBSTITUTE(SUBSTITUTE(SUBSTITUTE(Txt_P6,"{cabinet}",Cab_Nom),"{societe}",IF($K$3061=0,"",INDEX(Clients!$E$2:$E$501,$K$3061)&amp;"")),"{date_effet}",$K$3063),"{hausse}",$K$3064),"{civilite}",$K$3062)</f>
        <v>Votre interlocuteur habituel reste à votre entière disposition pour répondre à vos questions et faire le point sur l'évolution de vos besoins.</v>
      </c>
      <c r="C3096" s="37"/>
      <c r="D3096" s="37"/>
      <c r="E3096" s="37"/>
      <c r="F3096" s="37"/>
    </row>
    <row r="3097" customFormat="false" ht="24" hidden="false" customHeight="true" outlineLevel="0" collapsed="false">
      <c r="B3097" s="37" t="str">
        <f aca="false">SUBSTITUTE(SUBSTITUTE(SUBSTITUTE(SUBSTITUTE(SUBSTITUTE(Txt_Politesse,"{cabinet}",Cab_Nom),"{societe}",IF($K$3061=0,"",INDEX(Clients!$E$2:$E$501,$K$3061)&amp;"")),"{date_effet}",$K$3063),"{hausse}",$K$3064),"{civilite}",$K$3062)</f>
        <v>Nous vous prions d'agréer, Madame, Monsieur, l'expression de nos salutations distinguées.</v>
      </c>
      <c r="C3097" s="37"/>
      <c r="D3097" s="37"/>
      <c r="E3097" s="37"/>
      <c r="F3097" s="37"/>
    </row>
    <row r="3098" customFormat="false" ht="15" hidden="false" customHeight="false" outlineLevel="0" collapsed="false">
      <c r="B3098" s="10"/>
      <c r="C3098" s="10"/>
      <c r="D3098" s="10"/>
      <c r="E3098" s="10"/>
      <c r="F3098" s="10"/>
    </row>
    <row r="3099" customFormat="false" ht="15" hidden="false" customHeight="false" outlineLevel="0" collapsed="false">
      <c r="B3099" s="10"/>
      <c r="C3099" s="10"/>
      <c r="D3099" s="34" t="str">
        <f aca="false">Signataire</f>
        <v>Prénom NOM</v>
      </c>
      <c r="E3099" s="34"/>
      <c r="F3099" s="34"/>
    </row>
    <row r="3100" customFormat="false" ht="15" hidden="false" customHeight="false" outlineLevel="0" collapsed="false">
      <c r="B3100" s="10"/>
      <c r="C3100" s="10"/>
      <c r="D3100" s="47" t="str">
        <f aca="false">Signataire_Titre</f>
        <v>Expert-comptable associé</v>
      </c>
      <c r="E3100" s="47"/>
      <c r="F3100" s="47"/>
    </row>
    <row r="3101" customFormat="false" ht="15.75" hidden="false" customHeight="true" outlineLevel="0" collapsed="false">
      <c r="B3101" s="10"/>
      <c r="C3101" s="10"/>
      <c r="D3101" s="10"/>
      <c r="E3101" s="10"/>
      <c r="F3101" s="10"/>
    </row>
    <row r="3102" customFormat="false" ht="15.75" hidden="false" customHeight="true" outlineLevel="0" collapsed="false">
      <c r="B3102" s="10"/>
      <c r="C3102" s="10"/>
      <c r="D3102" s="10"/>
      <c r="E3102" s="10"/>
      <c r="F3102" s="10"/>
    </row>
    <row r="3103" customFormat="false" ht="15.75" hidden="false" customHeight="true" outlineLevel="0" collapsed="false">
      <c r="B3103" s="10"/>
      <c r="C3103" s="10"/>
      <c r="D3103" s="10"/>
      <c r="E3103" s="10"/>
      <c r="F3103" s="10"/>
    </row>
    <row r="3104" customFormat="false" ht="15.75" hidden="false" customHeight="true" outlineLevel="0" collapsed="false">
      <c r="B3104" s="10"/>
      <c r="C3104" s="10"/>
      <c r="D3104" s="10"/>
      <c r="E3104" s="10"/>
      <c r="F3104" s="10"/>
    </row>
    <row r="3105" customFormat="false" ht="24" hidden="false" customHeight="true" outlineLevel="0" collapsed="false">
      <c r="B3105" s="48" t="str">
        <f aca="false">Cab_Mentions</f>
        <v>ALTHO EXPERTISE · SAS au capital de 10 000 € · RCS Pontoise 919 706 325 · TVA FR62919706325 · Société d'expertise comptable inscrite au Tableau de l'Ordre des experts-comptables de Paris Île-de-France</v>
      </c>
      <c r="C3105" s="48"/>
      <c r="D3105" s="48"/>
      <c r="E3105" s="48"/>
      <c r="F3105" s="48"/>
    </row>
    <row r="3106" customFormat="false" ht="15" hidden="false" customHeight="false" outlineLevel="0" collapsed="false">
      <c r="B3106" s="10"/>
      <c r="C3106" s="10"/>
      <c r="D3106" s="10"/>
      <c r="E3106" s="10"/>
      <c r="F3106" s="10"/>
      <c r="J3106" s="25" t="s">
        <v>142</v>
      </c>
      <c r="K3106" s="25" t="n">
        <f aca="false">IFERROR(MATCH(70,Clients!$Z$2:$Z$501,0),0)</f>
        <v>0</v>
      </c>
      <c r="L3106" s="25"/>
      <c r="M3106" s="25"/>
      <c r="N3106" s="25"/>
      <c r="O3106" s="25"/>
    </row>
    <row r="3107" customFormat="false" ht="21.75" hidden="false" customHeight="true" outlineLevel="0" collapsed="false">
      <c r="B3107" s="26" t="str">
        <f aca="false">Cab_Nom</f>
        <v>ALTHO EXPERTISE</v>
      </c>
      <c r="C3107" s="26"/>
      <c r="D3107" s="10"/>
      <c r="E3107" s="27" t="str">
        <f aca="false">IF($K$3106=0,"","Réf. client : "&amp;INDEX(Clients!$A$2:$A$501,$K$3106))</f>
        <v/>
      </c>
      <c r="F3107" s="27"/>
      <c r="J3107" s="25" t="s">
        <v>144</v>
      </c>
      <c r="K3107" s="25" t="str">
        <f aca="false">IF(IF($K$3106=0,"",INDEX(Clients!$B$2:$B$501,$K$3106)&amp;"")="Mme","Madame",IF(IF($K$3106=0,"",INDEX(Clients!$B$2:$B$501,$K$3106)&amp;"")="M.","Monsieur","Madame, Monsieur"))</f>
        <v>Madame, Monsieur</v>
      </c>
      <c r="L3107" s="25"/>
      <c r="M3107" s="25"/>
      <c r="N3107" s="25"/>
      <c r="O3107" s="25"/>
    </row>
    <row r="3108" customFormat="false" ht="15" hidden="false" customHeight="false" outlineLevel="0" collapsed="false">
      <c r="B3108" s="29" t="str">
        <f aca="false">Cab_Adr1</f>
        <v>141 rue Charles de Gaulle</v>
      </c>
      <c r="C3108" s="29"/>
      <c r="D3108" s="10"/>
      <c r="E3108" s="10"/>
      <c r="F3108" s="10"/>
      <c r="J3108" s="25" t="s">
        <v>145</v>
      </c>
      <c r="K3108" s="25" t="str">
        <f aca="false">DAY(Date_Effet)&amp;IF(DAY(Date_Effet)=1,"er","")&amp;" "&amp;INDEX(Liste_Mois,MONTH(Date_Effet))&amp;" "&amp;YEAR(Date_Effet)</f>
        <v>1er janvier 2027</v>
      </c>
      <c r="L3108" s="25"/>
      <c r="M3108" s="25"/>
      <c r="N3108" s="25"/>
      <c r="O3108" s="25"/>
    </row>
    <row r="3109" customFormat="false" ht="15" hidden="false" customHeight="false" outlineLevel="0" collapsed="false">
      <c r="B3109" s="29" t="str">
        <f aca="false">Cab_CPVille</f>
        <v>95130 LE PLESSIS-BOUCHARD</v>
      </c>
      <c r="C3109" s="29"/>
      <c r="D3109" s="10"/>
      <c r="E3109" s="10"/>
      <c r="F3109" s="10"/>
      <c r="J3109" s="25" t="s">
        <v>146</v>
      </c>
      <c r="K3109" s="25" t="str">
        <f aca="false">IF(SUM($K$3133:$K$3136)=0,"",FIXED((SUM($L$3133:$L$3136)/SUM($K$3133:$K$3136)-1)*100,1)&amp;" %")</f>
        <v/>
      </c>
      <c r="L3109" s="25"/>
      <c r="M3109" s="25"/>
      <c r="N3109" s="25"/>
      <c r="O3109" s="25"/>
    </row>
    <row r="3110" customFormat="false" ht="15" hidden="false" customHeight="false" outlineLevel="0" collapsed="false">
      <c r="B3110" s="29" t="str">
        <f aca="false">Cab_Contact</f>
        <v>Tél. 01 34 14 53 45  ·  altho@altho-experts.com  ·  altho-experts.com</v>
      </c>
      <c r="C3110" s="29"/>
      <c r="D3110" s="10"/>
      <c r="E3110" s="10"/>
      <c r="F3110" s="10"/>
      <c r="J3110" s="25"/>
      <c r="K3110" s="25"/>
      <c r="L3110" s="25"/>
      <c r="M3110" s="25"/>
      <c r="N3110" s="25"/>
      <c r="O3110" s="25"/>
    </row>
    <row r="3111" customFormat="false" ht="6" hidden="false" customHeight="true" outlineLevel="0" collapsed="false">
      <c r="B3111" s="32"/>
      <c r="C3111" s="32"/>
      <c r="D3111" s="32"/>
      <c r="E3111" s="32"/>
      <c r="F3111" s="32"/>
      <c r="J3111" s="25"/>
      <c r="K3111" s="25"/>
      <c r="L3111" s="25"/>
      <c r="M3111" s="25"/>
      <c r="N3111" s="25"/>
      <c r="O3111" s="25"/>
    </row>
    <row r="3112" customFormat="false" ht="13.5" hidden="false" customHeight="true" outlineLevel="0" collapsed="false">
      <c r="B3112" s="10"/>
      <c r="C3112" s="10"/>
      <c r="D3112" s="10"/>
      <c r="E3112" s="10"/>
      <c r="F3112" s="10"/>
      <c r="J3112" s="25"/>
      <c r="K3112" s="25"/>
      <c r="L3112" s="25"/>
      <c r="M3112" s="25"/>
      <c r="N3112" s="25"/>
      <c r="O3112" s="25"/>
    </row>
    <row r="3113" customFormat="false" ht="13.5" hidden="false" customHeight="true" outlineLevel="0" collapsed="false">
      <c r="B3113" s="10"/>
      <c r="C3113" s="10"/>
      <c r="D3113" s="10"/>
      <c r="E3113" s="10"/>
      <c r="F3113" s="10"/>
      <c r="J3113" s="25"/>
      <c r="K3113" s="25"/>
      <c r="L3113" s="25"/>
      <c r="M3113" s="25"/>
      <c r="N3113" s="25"/>
      <c r="O3113" s="25"/>
    </row>
    <row r="3114" customFormat="false" ht="13.5" hidden="false" customHeight="true" outlineLevel="0" collapsed="false">
      <c r="B3114" s="10"/>
      <c r="C3114" s="10"/>
      <c r="D3114" s="10"/>
      <c r="E3114" s="10"/>
      <c r="F3114" s="10"/>
      <c r="J3114" s="25"/>
      <c r="K3114" s="25"/>
      <c r="L3114" s="25"/>
      <c r="M3114" s="25"/>
      <c r="N3114" s="25"/>
      <c r="O3114" s="25"/>
    </row>
    <row r="3115" customFormat="false" ht="15" hidden="false" customHeight="true" outlineLevel="0" collapsed="false">
      <c r="B3115" s="10"/>
      <c r="C3115" s="10"/>
      <c r="D3115" s="34" t="str">
        <f aca="false">IF($K$3106=0,"",INDEX(Clients!$E$2:$E$501,$K$3106)&amp;"")</f>
        <v/>
      </c>
      <c r="E3115" s="34"/>
      <c r="F3115" s="34"/>
      <c r="J3115" s="25"/>
      <c r="K3115" s="25"/>
      <c r="L3115" s="25"/>
      <c r="M3115" s="25"/>
      <c r="N3115" s="25"/>
      <c r="O3115" s="25"/>
    </row>
    <row r="3116" customFormat="false" ht="15" hidden="false" customHeight="true" outlineLevel="0" collapsed="false">
      <c r="B3116" s="10"/>
      <c r="C3116" s="10"/>
      <c r="D3116" s="35" t="str">
        <f aca="false">IF(IF($K$3106=0,"",INDEX(Clients!$D$2:$D$501,$K$3106)&amp;"")="","","À l'attention de "&amp;TRIM(IF($K$3106=0,"",INDEX(Clients!$B$2:$B$501,$K$3106)&amp;"")&amp;" "&amp;IF($K$3106=0,"",INDEX(Clients!$C$2:$C$501,$K$3106)&amp;"")&amp;" "&amp;IF($K$3106=0,"",INDEX(Clients!$D$2:$D$501,$K$3106)&amp;"")))</f>
        <v/>
      </c>
      <c r="E3116" s="35"/>
      <c r="F3116" s="35"/>
      <c r="J3116" s="25"/>
      <c r="K3116" s="25"/>
      <c r="L3116" s="25"/>
      <c r="M3116" s="25"/>
      <c r="N3116" s="25"/>
      <c r="O3116" s="25"/>
    </row>
    <row r="3117" customFormat="false" ht="15" hidden="false" customHeight="true" outlineLevel="0" collapsed="false">
      <c r="B3117" s="10"/>
      <c r="C3117" s="10"/>
      <c r="D3117" s="35" t="str">
        <f aca="false">IF($K$3106=0,"",INDEX(Clients!$F$2:$F$501,$K$3106)&amp;"")</f>
        <v/>
      </c>
      <c r="E3117" s="35"/>
      <c r="F3117" s="35"/>
      <c r="J3117" s="25"/>
      <c r="K3117" s="25"/>
      <c r="L3117" s="25"/>
      <c r="M3117" s="25"/>
      <c r="N3117" s="25"/>
      <c r="O3117" s="25"/>
    </row>
    <row r="3118" customFormat="false" ht="15" hidden="false" customHeight="true" outlineLevel="0" collapsed="false">
      <c r="B3118" s="10"/>
      <c r="C3118" s="10"/>
      <c r="D3118" s="35" t="str">
        <f aca="false">IF(IF($K$3106=0,"",INDEX(Clients!$G$2:$G$501,$K$3106)&amp;"")="",TRIM(IF($K$3106=0,"",INDEX(Clients!$H$2:$H$501,$K$3106)&amp;"")&amp;" "&amp;UPPER(IF($K$3106=0,"",INDEX(Clients!$I$2:$I$501,$K$3106)&amp;""))),IF($K$3106=0,"",INDEX(Clients!$G$2:$G$501,$K$3106)&amp;""))</f>
        <v/>
      </c>
      <c r="E3118" s="35"/>
      <c r="F3118" s="35"/>
      <c r="J3118" s="25"/>
      <c r="K3118" s="25"/>
      <c r="L3118" s="25"/>
      <c r="M3118" s="25"/>
      <c r="N3118" s="25"/>
      <c r="O3118" s="25"/>
    </row>
    <row r="3119" customFormat="false" ht="15" hidden="false" customHeight="true" outlineLevel="0" collapsed="false">
      <c r="B3119" s="10"/>
      <c r="C3119" s="10"/>
      <c r="D3119" s="35" t="str">
        <f aca="false">IF(IF($K$3106=0,"",INDEX(Clients!$G$2:$G$501,$K$3106)&amp;"")="","",TRIM(IF($K$3106=0,"",INDEX(Clients!$H$2:$H$501,$K$3106)&amp;"")&amp;" "&amp;UPPER(IF($K$3106=0,"",INDEX(Clients!$I$2:$I$501,$K$3106)&amp;""))))</f>
        <v/>
      </c>
      <c r="E3119" s="35"/>
      <c r="F3119" s="35"/>
      <c r="J3119" s="25"/>
      <c r="K3119" s="25"/>
      <c r="L3119" s="25"/>
      <c r="M3119" s="25"/>
      <c r="N3119" s="25"/>
      <c r="O3119" s="25"/>
    </row>
    <row r="3120" customFormat="false" ht="25.5" hidden="false" customHeight="true" outlineLevel="0" collapsed="false">
      <c r="B3120" s="10"/>
      <c r="C3120" s="10"/>
      <c r="D3120" s="10"/>
      <c r="E3120" s="10"/>
      <c r="F3120" s="10"/>
      <c r="J3120" s="25"/>
      <c r="K3120" s="25"/>
      <c r="L3120" s="25"/>
      <c r="M3120" s="25"/>
      <c r="N3120" s="25"/>
      <c r="O3120" s="25"/>
    </row>
    <row r="3121" customFormat="false" ht="15" hidden="false" customHeight="false" outlineLevel="0" collapsed="false">
      <c r="B3121" s="10"/>
      <c r="C3121" s="10"/>
      <c r="D3121" s="36" t="str">
        <f aca="false">Cab_Ville&amp;", le "&amp;DAY(Date_Courrier)&amp;IF(DAY(Date_Courrier)=1,"er","")&amp;" "&amp;INDEX(Liste_Mois,MONTH(Date_Courrier))&amp;" "&amp;YEAR(Date_Courrier)</f>
        <v>Le Plessis-Bouchard, le 22 septembre 2026</v>
      </c>
      <c r="E3121" s="36"/>
      <c r="F3121" s="36"/>
      <c r="J3121" s="25"/>
      <c r="K3121" s="25"/>
      <c r="L3121" s="25"/>
      <c r="M3121" s="25"/>
      <c r="N3121" s="25"/>
      <c r="O3121" s="25"/>
    </row>
    <row r="3122" customFormat="false" ht="19.5" hidden="false" customHeight="true" outlineLevel="0" collapsed="false">
      <c r="B3122" s="10"/>
      <c r="C3122" s="10"/>
      <c r="D3122" s="10"/>
      <c r="E3122" s="10"/>
      <c r="F3122" s="10"/>
      <c r="J3122" s="25"/>
      <c r="K3122" s="25"/>
      <c r="L3122" s="25"/>
      <c r="M3122" s="25"/>
      <c r="N3122" s="25"/>
      <c r="O3122" s="25"/>
    </row>
    <row r="3123" customFormat="false" ht="15" hidden="false" customHeight="false" outlineLevel="0" collapsed="false">
      <c r="B3123" s="34" t="str">
        <f aca="false">SUBSTITUTE(SUBSTITUTE(SUBSTITUTE(SUBSTITUTE(SUBSTITUTE(Txt_Objet,"{cabinet}",Cab_Nom),"{societe}",IF($K$3106=0,"",INDEX(Clients!$E$2:$E$501,$K$3106)&amp;"")),"{date_effet}",$K$3108),"{hausse}",$K$3109),"{civilite}",$K$3107)</f>
        <v>Objet : révision de nos honoraires au 1er janvier 2027</v>
      </c>
      <c r="C3123" s="34"/>
      <c r="D3123" s="34"/>
      <c r="E3123" s="34"/>
      <c r="F3123" s="34"/>
      <c r="J3123" s="25"/>
      <c r="K3123" s="25"/>
      <c r="L3123" s="25"/>
      <c r="M3123" s="25"/>
      <c r="N3123" s="25"/>
      <c r="O3123" s="25"/>
    </row>
    <row r="3124" customFormat="false" ht="13.5" hidden="false" customHeight="true" outlineLevel="0" collapsed="false">
      <c r="B3124" s="10"/>
      <c r="C3124" s="10"/>
      <c r="D3124" s="10"/>
      <c r="E3124" s="10"/>
      <c r="F3124" s="10"/>
      <c r="J3124" s="25"/>
      <c r="K3124" s="25"/>
      <c r="L3124" s="25"/>
      <c r="M3124" s="25"/>
      <c r="N3124" s="25"/>
      <c r="O3124" s="25"/>
    </row>
    <row r="3125" customFormat="false" ht="15" hidden="false" customHeight="false" outlineLevel="0" collapsed="false">
      <c r="B3125" s="10" t="str">
        <f aca="false">$K$3107&amp;","</f>
        <v>Madame, Monsieur,</v>
      </c>
      <c r="C3125" s="10"/>
      <c r="D3125" s="10"/>
      <c r="E3125" s="10"/>
      <c r="F3125" s="10"/>
      <c r="J3125" s="25"/>
      <c r="K3125" s="25"/>
      <c r="L3125" s="25"/>
      <c r="M3125" s="25"/>
      <c r="N3125" s="25"/>
      <c r="O3125" s="25"/>
    </row>
    <row r="3126" customFormat="false" ht="6" hidden="false" customHeight="true" outlineLevel="0" collapsed="false">
      <c r="B3126" s="10"/>
      <c r="C3126" s="10"/>
      <c r="D3126" s="10"/>
      <c r="E3126" s="10"/>
      <c r="F3126" s="10"/>
      <c r="J3126" s="25"/>
      <c r="K3126" s="25"/>
      <c r="L3126" s="25"/>
      <c r="M3126" s="25"/>
      <c r="N3126" s="25"/>
      <c r="O3126" s="25"/>
    </row>
    <row r="3127" customFormat="false" ht="36.75" hidden="false" customHeight="true" outlineLevel="0" collapsed="false">
      <c r="B3127" s="37" t="str">
        <f aca="false">SUBSTITUTE(SUBSTITUTE(SUBSTITUTE(SUBSTITUTE(SUBSTITUTE(Txt_P1,"{cabinet}",Cab_Nom),"{societe}",IF($K$3106=0,"",INDEX(Clients!$E$2:$E$501,$K$3106)&amp;"")),"{date_effet}",$K$3108),"{hausse}",$K$3109),"{civilite}",$K$3107)</f>
        <v>Nous tenons tout d'abord à vous remercier pour la confiance que vous accordez à ALTHO EXPERTISE. Comme chaque année, et conformément aux dispositions de votre lettre de mission, nous procédons à la révision de nos honoraires.</v>
      </c>
      <c r="C3127" s="37"/>
      <c r="D3127" s="37"/>
      <c r="E3127" s="37"/>
      <c r="F3127" s="37"/>
      <c r="J3127" s="25"/>
      <c r="K3127" s="25"/>
      <c r="L3127" s="25"/>
      <c r="M3127" s="25"/>
      <c r="N3127" s="25"/>
      <c r="O3127" s="25"/>
    </row>
    <row r="3128" customFormat="false" ht="49.5" hidden="false" customHeight="true" outlineLevel="0" collapsed="false">
      <c r="B3128" s="37" t="str">
        <f aca="false">SUBSTITUTE(SUBSTITUTE(SUBSTITUTE(SUBSTITUTE(SUBSTITUTE(Txt_P2,"{cabinet}",Cab_Nom),"{societe}",IF($K$3106=0,"",INDEX(Clients!$E$2:$E$501,$K$3106)&amp;"")),"{date_effet}",$K$3108),"{hausse}",$K$3109),"{civilite}",$K$3107)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128" s="37"/>
      <c r="D3128" s="37"/>
      <c r="E3128" s="37"/>
      <c r="F3128" s="37"/>
      <c r="J3128" s="25"/>
      <c r="K3128" s="25"/>
      <c r="L3128" s="25"/>
      <c r="M3128" s="25"/>
      <c r="N3128" s="25"/>
      <c r="O3128" s="25"/>
    </row>
    <row r="3129" customFormat="false" ht="63" hidden="false" customHeight="true" outlineLevel="0" collapsed="false">
      <c r="B3129" s="37" t="str">
        <f aca="false">SUBSTITUTE(SUBSTITUTE(SUBSTITUTE(SUBSTITUTE(SUBSTITUTE(Txt_P3,"{cabinet}",Cab_Nom),"{societe}",IF($K$3106=0,"",INDEX(Clients!$E$2:$E$501,$K$3106)&amp;"")),"{date_effet}",$K$3108),"{hausse}",$K$3109),"{civilite}",$K$3107)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129" s="37"/>
      <c r="D3129" s="37"/>
      <c r="E3129" s="37"/>
      <c r="F3129" s="37"/>
      <c r="J3129" s="25"/>
      <c r="K3129" s="25"/>
      <c r="L3129" s="25"/>
      <c r="M3129" s="25"/>
      <c r="N3129" s="25"/>
      <c r="O3129" s="25"/>
    </row>
    <row r="3130" customFormat="false" ht="24" hidden="false" customHeight="true" outlineLevel="0" collapsed="false">
      <c r="B3130" s="37" t="str">
        <f aca="false">SUBSTITUTE(SUBSTITUTE(SUBSTITUTE(SUBSTITUTE(SUBSTITUTE(Txt_P4,"{cabinet}",Cab_Nom),"{societe}",IF($K$3106=0,"",INDEX(Clients!$E$2:$E$501,$K$3106)&amp;"")),"{date_effet}",$K$3108),"{hausse}",$K$3109),"{civilite}",$K$3107)</f>
        <v>À compter du 1er janvier 2027, vos honoraires annuels hors taxes évolueront ainsi (évolution globale : ) :</v>
      </c>
      <c r="C3130" s="37"/>
      <c r="D3130" s="37"/>
      <c r="E3130" s="37"/>
      <c r="F3130" s="37"/>
      <c r="J3130" s="25"/>
      <c r="K3130" s="25"/>
      <c r="L3130" s="25"/>
      <c r="M3130" s="25"/>
      <c r="N3130" s="25"/>
      <c r="O3130" s="25"/>
    </row>
    <row r="3131" customFormat="false" ht="3.75" hidden="false" customHeight="true" outlineLevel="0" collapsed="false">
      <c r="B3131" s="10"/>
      <c r="C3131" s="10"/>
      <c r="D3131" s="10"/>
      <c r="E3131" s="10"/>
      <c r="F3131" s="10"/>
      <c r="J3131" s="25"/>
      <c r="K3131" s="25"/>
      <c r="L3131" s="25"/>
      <c r="M3131" s="25"/>
      <c r="N3131" s="25"/>
      <c r="O3131" s="25"/>
    </row>
    <row r="3132" customFormat="false" ht="18" hidden="false" customHeight="true" outlineLevel="0" collapsed="false">
      <c r="B3132" s="38" t="s">
        <v>148</v>
      </c>
      <c r="C3132" s="39" t="s">
        <v>149</v>
      </c>
      <c r="D3132" s="39" t="s">
        <v>150</v>
      </c>
      <c r="E3132" s="39" t="s">
        <v>151</v>
      </c>
      <c r="F3132" s="39" t="s">
        <v>109</v>
      </c>
      <c r="J3132" s="25" t="s">
        <v>152</v>
      </c>
      <c r="K3132" s="25" t="s">
        <v>153</v>
      </c>
      <c r="L3132" s="25" t="s">
        <v>154</v>
      </c>
      <c r="M3132" s="25" t="s">
        <v>155</v>
      </c>
      <c r="N3132" s="25" t="s">
        <v>156</v>
      </c>
      <c r="O3132" s="25" t="s">
        <v>157</v>
      </c>
    </row>
    <row r="3133" customFormat="false" ht="16.5" hidden="false" customHeight="true" outlineLevel="0" collapsed="false">
      <c r="B3133" s="40" t="str">
        <f aca="false">IFERROR(INDEX($J$3133:$J$3136,MATCH($O3133,$N$3133:$N$3136,0)),"")</f>
        <v/>
      </c>
      <c r="C3133" s="41" t="str">
        <f aca="false">IFERROR(INDEX($K$3133:$K$3136,MATCH($O3133,$N$3133:$N$3136,0)),"")</f>
        <v/>
      </c>
      <c r="D3133" s="42" t="str">
        <f aca="false">IF(OR(E3133="",N(C3133)=0),"",E3133/C3133-1)</f>
        <v/>
      </c>
      <c r="E3133" s="41" t="str">
        <f aca="false">IFERROR(INDEX($L$3133:$L$3136,MATCH($O3133,$N$3133:$N$3136,0)),"")</f>
        <v/>
      </c>
      <c r="F3133" s="41" t="str">
        <f aca="false">IF(E3133="","",E3133-C3133)</f>
        <v/>
      </c>
      <c r="J3133" s="25" t="str">
        <f aca="false">Lib_Compta</f>
        <v>Mission comptable (tenue, révision, bilan, liasse fiscale)</v>
      </c>
      <c r="K3133" s="25" t="n">
        <f aca="false">IF($K$3106=0,0,N(INDEX(Clients!$K$2:$K$501,$K$3106)))</f>
        <v>0</v>
      </c>
      <c r="L3133" s="25" t="n">
        <f aca="false">IF($K$3106=0,0,N(INDEX(Clients!$P$2:$P$501,$K$3106)))</f>
        <v>0</v>
      </c>
      <c r="M3133" s="25" t="n">
        <f aca="false">IF(OR(K3133&lt;&gt;0,L3133&lt;&gt;0),1,0)</f>
        <v>0</v>
      </c>
      <c r="N3133" s="25" t="str">
        <f aca="false">IF(M3133=1,SUM($M$3133:M3133),"")</f>
        <v/>
      </c>
      <c r="O3133" s="25" t="n">
        <v>1</v>
      </c>
    </row>
    <row r="3134" customFormat="false" ht="16.5" hidden="false" customHeight="true" outlineLevel="0" collapsed="false">
      <c r="B3134" s="40" t="str">
        <f aca="false">IFERROR(INDEX($J$3133:$J$3136,MATCH($O3134,$N$3133:$N$3136,0)),"")</f>
        <v/>
      </c>
      <c r="C3134" s="41" t="str">
        <f aca="false">IFERROR(INDEX($K$3133:$K$3136,MATCH($O3134,$N$3133:$N$3136,0)),"")</f>
        <v/>
      </c>
      <c r="D3134" s="42" t="str">
        <f aca="false">IF(OR(E3134="",N(C3134)=0),"",E3134/C3134-1)</f>
        <v/>
      </c>
      <c r="E3134" s="41" t="str">
        <f aca="false">IFERROR(INDEX($L$3133:$L$3136,MATCH($O3134,$N$3133:$N$3136,0)),"")</f>
        <v/>
      </c>
      <c r="F3134" s="41" t="str">
        <f aca="false">IF(E3134="","",E3134-C3134)</f>
        <v/>
      </c>
      <c r="J3134" s="25" t="str">
        <f aca="false">Lib_Paye</f>
        <v>Mission sociale (bulletins de paie, DSN, déclarations sociales)</v>
      </c>
      <c r="K3134" s="25" t="n">
        <f aca="false">IF($K$3106=0,0,N(INDEX(Clients!$L$2:$L$501,$K$3106)))</f>
        <v>0</v>
      </c>
      <c r="L3134" s="25" t="n">
        <f aca="false">IF($K$3106=0,0,N(INDEX(Clients!$Q$2:$Q$501,$K$3106)))</f>
        <v>0</v>
      </c>
      <c r="M3134" s="25" t="n">
        <f aca="false">IF(OR(K3134&lt;&gt;0,L3134&lt;&gt;0),1,0)</f>
        <v>0</v>
      </c>
      <c r="N3134" s="25" t="str">
        <f aca="false">IF(M3134=1,SUM($M$3133:M3134),"")</f>
        <v/>
      </c>
      <c r="O3134" s="25" t="n">
        <v>2</v>
      </c>
    </row>
    <row r="3135" customFormat="false" ht="16.5" hidden="false" customHeight="true" outlineLevel="0" collapsed="false">
      <c r="B3135" s="40" t="str">
        <f aca="false">IFERROR(INDEX($J$3133:$J$3136,MATCH($O3135,$N$3133:$N$3136,0)),"")</f>
        <v/>
      </c>
      <c r="C3135" s="41" t="str">
        <f aca="false">IFERROR(INDEX($K$3133:$K$3136,MATCH($O3135,$N$3133:$N$3136,0)),"")</f>
        <v/>
      </c>
      <c r="D3135" s="42" t="str">
        <f aca="false">IF(OR(E3135="",N(C3135)=0),"",E3135/C3135-1)</f>
        <v/>
      </c>
      <c r="E3135" s="41" t="str">
        <f aca="false">IFERROR(INDEX($L$3133:$L$3136,MATCH($O3135,$N$3133:$N$3136,0)),"")</f>
        <v/>
      </c>
      <c r="F3135" s="41" t="str">
        <f aca="false">IF(E3135="","",E3135-C3135)</f>
        <v/>
      </c>
      <c r="J3135" s="25" t="str">
        <f aca="false">Lib_Jur</f>
        <v>Mission juridique (approbation des comptes, secrétariat juridique)</v>
      </c>
      <c r="K3135" s="25" t="n">
        <f aca="false">IF($K$3106=0,0,N(INDEX(Clients!$M$2:$M$501,$K$3106)))</f>
        <v>0</v>
      </c>
      <c r="L3135" s="25" t="n">
        <f aca="false">IF($K$3106=0,0,N(INDEX(Clients!$R$2:$R$501,$K$3106)))</f>
        <v>0</v>
      </c>
      <c r="M3135" s="25" t="n">
        <f aca="false">IF(OR(K3135&lt;&gt;0,L3135&lt;&gt;0),1,0)</f>
        <v>0</v>
      </c>
      <c r="N3135" s="25" t="str">
        <f aca="false">IF(M3135=1,SUM($M$3133:M3135),"")</f>
        <v/>
      </c>
      <c r="O3135" s="25" t="n">
        <v>3</v>
      </c>
    </row>
    <row r="3136" customFormat="false" ht="16.5" hidden="false" customHeight="true" outlineLevel="0" collapsed="false">
      <c r="B3136" s="40" t="str">
        <f aca="false">IFERROR(INDEX($J$3133:$J$3136,MATCH($O3136,$N$3133:$N$3136,0)),"")</f>
        <v/>
      </c>
      <c r="C3136" s="41" t="str">
        <f aca="false">IFERROR(INDEX($K$3133:$K$3136,MATCH($O3136,$N$3133:$N$3136,0)),"")</f>
        <v/>
      </c>
      <c r="D3136" s="42" t="str">
        <f aca="false">IF(OR(E3136="",N(C3136)=0),"",E3136/C3136-1)</f>
        <v/>
      </c>
      <c r="E3136" s="41" t="str">
        <f aca="false">IFERROR(INDEX($L$3133:$L$3136,MATCH($O3136,$N$3133:$N$3136,0)),"")</f>
        <v/>
      </c>
      <c r="F3136" s="41" t="str">
        <f aca="false">IF(E3136="","",E3136-C3136)</f>
        <v/>
      </c>
      <c r="J3136" s="25" t="str">
        <f aca="false">Lib_PA</f>
        <v>Plateforme agréée – facturation électronique</v>
      </c>
      <c r="K3136" s="25" t="n">
        <f aca="false">IF($K$3106=0,0,N(INDEX(Clients!$N$2:$N$501,$K$3106)))</f>
        <v>0</v>
      </c>
      <c r="L3136" s="25" t="n">
        <f aca="false">IF($K$3106=0,0,N(INDEX(Clients!$S$2:$S$501,$K$3106)))</f>
        <v>0</v>
      </c>
      <c r="M3136" s="25" t="n">
        <f aca="false">IF(OR(K3136&lt;&gt;0,L3136&lt;&gt;0),1,0)</f>
        <v>0</v>
      </c>
      <c r="N3136" s="25" t="str">
        <f aca="false">IF(M3136=1,SUM($M$3133:M3136),"")</f>
        <v/>
      </c>
      <c r="O3136" s="25" t="n">
        <v>4</v>
      </c>
    </row>
    <row r="3137" customFormat="false" ht="18" hidden="false" customHeight="true" outlineLevel="0" collapsed="false">
      <c r="B3137" s="43" t="s">
        <v>158</v>
      </c>
      <c r="C3137" s="44" t="n">
        <f aca="false">SUM(K3133:K3136)</f>
        <v>0</v>
      </c>
      <c r="D3137" s="45" t="str">
        <f aca="false">IF(N(C3137)=0,"",E3137/C3137-1)</f>
        <v/>
      </c>
      <c r="E3137" s="44" t="n">
        <f aca="false">SUM(L3133:L3136)</f>
        <v>0</v>
      </c>
      <c r="F3137" s="44" t="n">
        <f aca="false">E3137-C3137</f>
        <v>0</v>
      </c>
    </row>
    <row r="3138" customFormat="false" ht="15" hidden="false" customHeight="false" outlineLevel="0" collapsed="false">
      <c r="B3138" s="46" t="str">
        <f aca="false">IF(N(Nb_Mensualites)=0,"","Soit "&amp;FIXED(E3137/Nb_Mensualites,2)&amp;" € HT par échéance ("&amp;Nb_Mensualites&amp;" échéances), "&amp;FIXED(E3137/Nb_Mensualites*(1+Taux_TVA),2)&amp;" € TTC.")</f>
        <v>Soit 0.00 € HT par échéance (12 échéances), 0.00 € TTC.</v>
      </c>
      <c r="C3138" s="46"/>
      <c r="D3138" s="46"/>
      <c r="E3138" s="46"/>
      <c r="F3138" s="46"/>
    </row>
    <row r="3139" customFormat="false" ht="7.5" hidden="false" customHeight="true" outlineLevel="0" collapsed="false">
      <c r="B3139" s="10"/>
      <c r="C3139" s="10"/>
      <c r="D3139" s="10"/>
      <c r="E3139" s="10"/>
      <c r="F3139" s="10"/>
    </row>
    <row r="3140" customFormat="false" ht="36.75" hidden="false" customHeight="true" outlineLevel="0" collapsed="false">
      <c r="B3140" s="37" t="str">
        <f aca="false">SUBSTITUTE(SUBSTITUTE(SUBSTITUTE(SUBSTITUTE(SUBSTITUTE(Txt_P5,"{cabinet}",Cab_Nom),"{societe}",IF($K$3106=0,"",INDEX(Clients!$E$2:$E$501,$K$3106)&amp;"")),"{date_effet}",$K$3108),"{hausse}",$K$3109),"{civilite}",$K$3107)</f>
        <v>Les autres conditions de votre lettre de mission demeurent inchangées. Les nouveaux montants seront appliqués automatiquement sur vos prochaines factures et échéances de prélèvement.</v>
      </c>
      <c r="C3140" s="37"/>
      <c r="D3140" s="37"/>
      <c r="E3140" s="37"/>
      <c r="F3140" s="37"/>
    </row>
    <row r="3141" customFormat="false" ht="36.75" hidden="false" customHeight="true" outlineLevel="0" collapsed="false">
      <c r="B3141" s="37" t="str">
        <f aca="false">SUBSTITUTE(SUBSTITUTE(SUBSTITUTE(SUBSTITUTE(SUBSTITUTE(Txt_P6,"{cabinet}",Cab_Nom),"{societe}",IF($K$3106=0,"",INDEX(Clients!$E$2:$E$501,$K$3106)&amp;"")),"{date_effet}",$K$3108),"{hausse}",$K$3109),"{civilite}",$K$3107)</f>
        <v>Votre interlocuteur habituel reste à votre entière disposition pour répondre à vos questions et faire le point sur l'évolution de vos besoins.</v>
      </c>
      <c r="C3141" s="37"/>
      <c r="D3141" s="37"/>
      <c r="E3141" s="37"/>
      <c r="F3141" s="37"/>
    </row>
    <row r="3142" customFormat="false" ht="24" hidden="false" customHeight="true" outlineLevel="0" collapsed="false">
      <c r="B3142" s="37" t="str">
        <f aca="false">SUBSTITUTE(SUBSTITUTE(SUBSTITUTE(SUBSTITUTE(SUBSTITUTE(Txt_Politesse,"{cabinet}",Cab_Nom),"{societe}",IF($K$3106=0,"",INDEX(Clients!$E$2:$E$501,$K$3106)&amp;"")),"{date_effet}",$K$3108),"{hausse}",$K$3109),"{civilite}",$K$3107)</f>
        <v>Nous vous prions d'agréer, Madame, Monsieur, l'expression de nos salutations distinguées.</v>
      </c>
      <c r="C3142" s="37"/>
      <c r="D3142" s="37"/>
      <c r="E3142" s="37"/>
      <c r="F3142" s="37"/>
    </row>
    <row r="3143" customFormat="false" ht="15" hidden="false" customHeight="false" outlineLevel="0" collapsed="false">
      <c r="B3143" s="10"/>
      <c r="C3143" s="10"/>
      <c r="D3143" s="10"/>
      <c r="E3143" s="10"/>
      <c r="F3143" s="10"/>
    </row>
    <row r="3144" customFormat="false" ht="15" hidden="false" customHeight="false" outlineLevel="0" collapsed="false">
      <c r="B3144" s="10"/>
      <c r="C3144" s="10"/>
      <c r="D3144" s="34" t="str">
        <f aca="false">Signataire</f>
        <v>Prénom NOM</v>
      </c>
      <c r="E3144" s="34"/>
      <c r="F3144" s="34"/>
    </row>
    <row r="3145" customFormat="false" ht="15" hidden="false" customHeight="false" outlineLevel="0" collapsed="false">
      <c r="B3145" s="10"/>
      <c r="C3145" s="10"/>
      <c r="D3145" s="47" t="str">
        <f aca="false">Signataire_Titre</f>
        <v>Expert-comptable associé</v>
      </c>
      <c r="E3145" s="47"/>
      <c r="F3145" s="47"/>
    </row>
    <row r="3146" customFormat="false" ht="15.75" hidden="false" customHeight="true" outlineLevel="0" collapsed="false">
      <c r="B3146" s="10"/>
      <c r="C3146" s="10"/>
      <c r="D3146" s="10"/>
      <c r="E3146" s="10"/>
      <c r="F3146" s="10"/>
    </row>
    <row r="3147" customFormat="false" ht="15.75" hidden="false" customHeight="true" outlineLevel="0" collapsed="false">
      <c r="B3147" s="10"/>
      <c r="C3147" s="10"/>
      <c r="D3147" s="10"/>
      <c r="E3147" s="10"/>
      <c r="F3147" s="10"/>
    </row>
    <row r="3148" customFormat="false" ht="15.75" hidden="false" customHeight="true" outlineLevel="0" collapsed="false">
      <c r="B3148" s="10"/>
      <c r="C3148" s="10"/>
      <c r="D3148" s="10"/>
      <c r="E3148" s="10"/>
      <c r="F3148" s="10"/>
    </row>
    <row r="3149" customFormat="false" ht="15.75" hidden="false" customHeight="true" outlineLevel="0" collapsed="false">
      <c r="B3149" s="10"/>
      <c r="C3149" s="10"/>
      <c r="D3149" s="10"/>
      <c r="E3149" s="10"/>
      <c r="F3149" s="10"/>
    </row>
    <row r="3150" customFormat="false" ht="24" hidden="false" customHeight="true" outlineLevel="0" collapsed="false">
      <c r="B3150" s="48" t="str">
        <f aca="false">Cab_Mentions</f>
        <v>ALTHO EXPERTISE · SAS au capital de 10 000 € · RCS Pontoise 919 706 325 · TVA FR62919706325 · Société d'expertise comptable inscrite au Tableau de l'Ordre des experts-comptables de Paris Île-de-France</v>
      </c>
      <c r="C3150" s="48"/>
      <c r="D3150" s="48"/>
      <c r="E3150" s="48"/>
      <c r="F3150" s="48"/>
    </row>
    <row r="3151" customFormat="false" ht="15" hidden="false" customHeight="false" outlineLevel="0" collapsed="false">
      <c r="B3151" s="10"/>
      <c r="C3151" s="10"/>
      <c r="D3151" s="10"/>
      <c r="E3151" s="10"/>
      <c r="F3151" s="10"/>
      <c r="J3151" s="25" t="s">
        <v>142</v>
      </c>
      <c r="K3151" s="25" t="n">
        <f aca="false">IFERROR(MATCH(71,Clients!$Z$2:$Z$501,0),0)</f>
        <v>0</v>
      </c>
      <c r="L3151" s="25"/>
      <c r="M3151" s="25"/>
      <c r="N3151" s="25"/>
      <c r="O3151" s="25"/>
    </row>
    <row r="3152" customFormat="false" ht="21.75" hidden="false" customHeight="true" outlineLevel="0" collapsed="false">
      <c r="B3152" s="26" t="str">
        <f aca="false">Cab_Nom</f>
        <v>ALTHO EXPERTISE</v>
      </c>
      <c r="C3152" s="26"/>
      <c r="D3152" s="10"/>
      <c r="E3152" s="27" t="str">
        <f aca="false">IF($K$3151=0,"","Réf. client : "&amp;INDEX(Clients!$A$2:$A$501,$K$3151))</f>
        <v/>
      </c>
      <c r="F3152" s="27"/>
      <c r="J3152" s="25" t="s">
        <v>144</v>
      </c>
      <c r="K3152" s="25" t="str">
        <f aca="false">IF(IF($K$3151=0,"",INDEX(Clients!$B$2:$B$501,$K$3151)&amp;"")="Mme","Madame",IF(IF($K$3151=0,"",INDEX(Clients!$B$2:$B$501,$K$3151)&amp;"")="M.","Monsieur","Madame, Monsieur"))</f>
        <v>Madame, Monsieur</v>
      </c>
      <c r="L3152" s="25"/>
      <c r="M3152" s="25"/>
      <c r="N3152" s="25"/>
      <c r="O3152" s="25"/>
    </row>
    <row r="3153" customFormat="false" ht="15" hidden="false" customHeight="false" outlineLevel="0" collapsed="false">
      <c r="B3153" s="29" t="str">
        <f aca="false">Cab_Adr1</f>
        <v>141 rue Charles de Gaulle</v>
      </c>
      <c r="C3153" s="29"/>
      <c r="D3153" s="10"/>
      <c r="E3153" s="10"/>
      <c r="F3153" s="10"/>
      <c r="J3153" s="25" t="s">
        <v>145</v>
      </c>
      <c r="K3153" s="25" t="str">
        <f aca="false">DAY(Date_Effet)&amp;IF(DAY(Date_Effet)=1,"er","")&amp;" "&amp;INDEX(Liste_Mois,MONTH(Date_Effet))&amp;" "&amp;YEAR(Date_Effet)</f>
        <v>1er janvier 2027</v>
      </c>
      <c r="L3153" s="25"/>
      <c r="M3153" s="25"/>
      <c r="N3153" s="25"/>
      <c r="O3153" s="25"/>
    </row>
    <row r="3154" customFormat="false" ht="15" hidden="false" customHeight="false" outlineLevel="0" collapsed="false">
      <c r="B3154" s="29" t="str">
        <f aca="false">Cab_CPVille</f>
        <v>95130 LE PLESSIS-BOUCHARD</v>
      </c>
      <c r="C3154" s="29"/>
      <c r="D3154" s="10"/>
      <c r="E3154" s="10"/>
      <c r="F3154" s="10"/>
      <c r="J3154" s="25" t="s">
        <v>146</v>
      </c>
      <c r="K3154" s="25" t="str">
        <f aca="false">IF(SUM($K$3178:$K$3181)=0,"",FIXED((SUM($L$3178:$L$3181)/SUM($K$3178:$K$3181)-1)*100,1)&amp;" %")</f>
        <v/>
      </c>
      <c r="L3154" s="25"/>
      <c r="M3154" s="25"/>
      <c r="N3154" s="25"/>
      <c r="O3154" s="25"/>
    </row>
    <row r="3155" customFormat="false" ht="15" hidden="false" customHeight="false" outlineLevel="0" collapsed="false">
      <c r="B3155" s="29" t="str">
        <f aca="false">Cab_Contact</f>
        <v>Tél. 01 34 14 53 45  ·  altho@altho-experts.com  ·  altho-experts.com</v>
      </c>
      <c r="C3155" s="29"/>
      <c r="D3155" s="10"/>
      <c r="E3155" s="10"/>
      <c r="F3155" s="10"/>
      <c r="J3155" s="25"/>
      <c r="K3155" s="25"/>
      <c r="L3155" s="25"/>
      <c r="M3155" s="25"/>
      <c r="N3155" s="25"/>
      <c r="O3155" s="25"/>
    </row>
    <row r="3156" customFormat="false" ht="6" hidden="false" customHeight="true" outlineLevel="0" collapsed="false">
      <c r="B3156" s="32"/>
      <c r="C3156" s="32"/>
      <c r="D3156" s="32"/>
      <c r="E3156" s="32"/>
      <c r="F3156" s="32"/>
      <c r="J3156" s="25"/>
      <c r="K3156" s="25"/>
      <c r="L3156" s="25"/>
      <c r="M3156" s="25"/>
      <c r="N3156" s="25"/>
      <c r="O3156" s="25"/>
    </row>
    <row r="3157" customFormat="false" ht="13.5" hidden="false" customHeight="true" outlineLevel="0" collapsed="false">
      <c r="B3157" s="10"/>
      <c r="C3157" s="10"/>
      <c r="D3157" s="10"/>
      <c r="E3157" s="10"/>
      <c r="F3157" s="10"/>
      <c r="J3157" s="25"/>
      <c r="K3157" s="25"/>
      <c r="L3157" s="25"/>
      <c r="M3157" s="25"/>
      <c r="N3157" s="25"/>
      <c r="O3157" s="25"/>
    </row>
    <row r="3158" customFormat="false" ht="13.5" hidden="false" customHeight="true" outlineLevel="0" collapsed="false">
      <c r="B3158" s="10"/>
      <c r="C3158" s="10"/>
      <c r="D3158" s="10"/>
      <c r="E3158" s="10"/>
      <c r="F3158" s="10"/>
      <c r="J3158" s="25"/>
      <c r="K3158" s="25"/>
      <c r="L3158" s="25"/>
      <c r="M3158" s="25"/>
      <c r="N3158" s="25"/>
      <c r="O3158" s="25"/>
    </row>
    <row r="3159" customFormat="false" ht="13.5" hidden="false" customHeight="true" outlineLevel="0" collapsed="false">
      <c r="B3159" s="10"/>
      <c r="C3159" s="10"/>
      <c r="D3159" s="10"/>
      <c r="E3159" s="10"/>
      <c r="F3159" s="10"/>
      <c r="J3159" s="25"/>
      <c r="K3159" s="25"/>
      <c r="L3159" s="25"/>
      <c r="M3159" s="25"/>
      <c r="N3159" s="25"/>
      <c r="O3159" s="25"/>
    </row>
    <row r="3160" customFormat="false" ht="15" hidden="false" customHeight="true" outlineLevel="0" collapsed="false">
      <c r="B3160" s="10"/>
      <c r="C3160" s="10"/>
      <c r="D3160" s="34" t="str">
        <f aca="false">IF($K$3151=0,"",INDEX(Clients!$E$2:$E$501,$K$3151)&amp;"")</f>
        <v/>
      </c>
      <c r="E3160" s="34"/>
      <c r="F3160" s="34"/>
      <c r="J3160" s="25"/>
      <c r="K3160" s="25"/>
      <c r="L3160" s="25"/>
      <c r="M3160" s="25"/>
      <c r="N3160" s="25"/>
      <c r="O3160" s="25"/>
    </row>
    <row r="3161" customFormat="false" ht="15" hidden="false" customHeight="true" outlineLevel="0" collapsed="false">
      <c r="B3161" s="10"/>
      <c r="C3161" s="10"/>
      <c r="D3161" s="35" t="str">
        <f aca="false">IF(IF($K$3151=0,"",INDEX(Clients!$D$2:$D$501,$K$3151)&amp;"")="","","À l'attention de "&amp;TRIM(IF($K$3151=0,"",INDEX(Clients!$B$2:$B$501,$K$3151)&amp;"")&amp;" "&amp;IF($K$3151=0,"",INDEX(Clients!$C$2:$C$501,$K$3151)&amp;"")&amp;" "&amp;IF($K$3151=0,"",INDEX(Clients!$D$2:$D$501,$K$3151)&amp;"")))</f>
        <v/>
      </c>
      <c r="E3161" s="35"/>
      <c r="F3161" s="35"/>
      <c r="J3161" s="25"/>
      <c r="K3161" s="25"/>
      <c r="L3161" s="25"/>
      <c r="M3161" s="25"/>
      <c r="N3161" s="25"/>
      <c r="O3161" s="25"/>
    </row>
    <row r="3162" customFormat="false" ht="15" hidden="false" customHeight="true" outlineLevel="0" collapsed="false">
      <c r="B3162" s="10"/>
      <c r="C3162" s="10"/>
      <c r="D3162" s="35" t="str">
        <f aca="false">IF($K$3151=0,"",INDEX(Clients!$F$2:$F$501,$K$3151)&amp;"")</f>
        <v/>
      </c>
      <c r="E3162" s="35"/>
      <c r="F3162" s="35"/>
      <c r="J3162" s="25"/>
      <c r="K3162" s="25"/>
      <c r="L3162" s="25"/>
      <c r="M3162" s="25"/>
      <c r="N3162" s="25"/>
      <c r="O3162" s="25"/>
    </row>
    <row r="3163" customFormat="false" ht="15" hidden="false" customHeight="true" outlineLevel="0" collapsed="false">
      <c r="B3163" s="10"/>
      <c r="C3163" s="10"/>
      <c r="D3163" s="35" t="str">
        <f aca="false">IF(IF($K$3151=0,"",INDEX(Clients!$G$2:$G$501,$K$3151)&amp;"")="",TRIM(IF($K$3151=0,"",INDEX(Clients!$H$2:$H$501,$K$3151)&amp;"")&amp;" "&amp;UPPER(IF($K$3151=0,"",INDEX(Clients!$I$2:$I$501,$K$3151)&amp;""))),IF($K$3151=0,"",INDEX(Clients!$G$2:$G$501,$K$3151)&amp;""))</f>
        <v/>
      </c>
      <c r="E3163" s="35"/>
      <c r="F3163" s="35"/>
      <c r="J3163" s="25"/>
      <c r="K3163" s="25"/>
      <c r="L3163" s="25"/>
      <c r="M3163" s="25"/>
      <c r="N3163" s="25"/>
      <c r="O3163" s="25"/>
    </row>
    <row r="3164" customFormat="false" ht="15" hidden="false" customHeight="true" outlineLevel="0" collapsed="false">
      <c r="B3164" s="10"/>
      <c r="C3164" s="10"/>
      <c r="D3164" s="35" t="str">
        <f aca="false">IF(IF($K$3151=0,"",INDEX(Clients!$G$2:$G$501,$K$3151)&amp;"")="","",TRIM(IF($K$3151=0,"",INDEX(Clients!$H$2:$H$501,$K$3151)&amp;"")&amp;" "&amp;UPPER(IF($K$3151=0,"",INDEX(Clients!$I$2:$I$501,$K$3151)&amp;""))))</f>
        <v/>
      </c>
      <c r="E3164" s="35"/>
      <c r="F3164" s="35"/>
      <c r="J3164" s="25"/>
      <c r="K3164" s="25"/>
      <c r="L3164" s="25"/>
      <c r="M3164" s="25"/>
      <c r="N3164" s="25"/>
      <c r="O3164" s="25"/>
    </row>
    <row r="3165" customFormat="false" ht="25.5" hidden="false" customHeight="true" outlineLevel="0" collapsed="false">
      <c r="B3165" s="10"/>
      <c r="C3165" s="10"/>
      <c r="D3165" s="10"/>
      <c r="E3165" s="10"/>
      <c r="F3165" s="10"/>
      <c r="J3165" s="25"/>
      <c r="K3165" s="25"/>
      <c r="L3165" s="25"/>
      <c r="M3165" s="25"/>
      <c r="N3165" s="25"/>
      <c r="O3165" s="25"/>
    </row>
    <row r="3166" customFormat="false" ht="15" hidden="false" customHeight="false" outlineLevel="0" collapsed="false">
      <c r="B3166" s="10"/>
      <c r="C3166" s="10"/>
      <c r="D3166" s="36" t="str">
        <f aca="false">Cab_Ville&amp;", le "&amp;DAY(Date_Courrier)&amp;IF(DAY(Date_Courrier)=1,"er","")&amp;" "&amp;INDEX(Liste_Mois,MONTH(Date_Courrier))&amp;" "&amp;YEAR(Date_Courrier)</f>
        <v>Le Plessis-Bouchard, le 22 septembre 2026</v>
      </c>
      <c r="E3166" s="36"/>
      <c r="F3166" s="36"/>
      <c r="J3166" s="25"/>
      <c r="K3166" s="25"/>
      <c r="L3166" s="25"/>
      <c r="M3166" s="25"/>
      <c r="N3166" s="25"/>
      <c r="O3166" s="25"/>
    </row>
    <row r="3167" customFormat="false" ht="19.5" hidden="false" customHeight="true" outlineLevel="0" collapsed="false">
      <c r="B3167" s="10"/>
      <c r="C3167" s="10"/>
      <c r="D3167" s="10"/>
      <c r="E3167" s="10"/>
      <c r="F3167" s="10"/>
      <c r="J3167" s="25"/>
      <c r="K3167" s="25"/>
      <c r="L3167" s="25"/>
      <c r="M3167" s="25"/>
      <c r="N3167" s="25"/>
      <c r="O3167" s="25"/>
    </row>
    <row r="3168" customFormat="false" ht="15" hidden="false" customHeight="false" outlineLevel="0" collapsed="false">
      <c r="B3168" s="34" t="str">
        <f aca="false">SUBSTITUTE(SUBSTITUTE(SUBSTITUTE(SUBSTITUTE(SUBSTITUTE(Txt_Objet,"{cabinet}",Cab_Nom),"{societe}",IF($K$3151=0,"",INDEX(Clients!$E$2:$E$501,$K$3151)&amp;"")),"{date_effet}",$K$3153),"{hausse}",$K$3154),"{civilite}",$K$3152)</f>
        <v>Objet : révision de nos honoraires au 1er janvier 2027</v>
      </c>
      <c r="C3168" s="34"/>
      <c r="D3168" s="34"/>
      <c r="E3168" s="34"/>
      <c r="F3168" s="34"/>
      <c r="J3168" s="25"/>
      <c r="K3168" s="25"/>
      <c r="L3168" s="25"/>
      <c r="M3168" s="25"/>
      <c r="N3168" s="25"/>
      <c r="O3168" s="25"/>
    </row>
    <row r="3169" customFormat="false" ht="13.5" hidden="false" customHeight="true" outlineLevel="0" collapsed="false">
      <c r="B3169" s="10"/>
      <c r="C3169" s="10"/>
      <c r="D3169" s="10"/>
      <c r="E3169" s="10"/>
      <c r="F3169" s="10"/>
      <c r="J3169" s="25"/>
      <c r="K3169" s="25"/>
      <c r="L3169" s="25"/>
      <c r="M3169" s="25"/>
      <c r="N3169" s="25"/>
      <c r="O3169" s="25"/>
    </row>
    <row r="3170" customFormat="false" ht="15" hidden="false" customHeight="false" outlineLevel="0" collapsed="false">
      <c r="B3170" s="10" t="str">
        <f aca="false">$K$3152&amp;","</f>
        <v>Madame, Monsieur,</v>
      </c>
      <c r="C3170" s="10"/>
      <c r="D3170" s="10"/>
      <c r="E3170" s="10"/>
      <c r="F3170" s="10"/>
      <c r="J3170" s="25"/>
      <c r="K3170" s="25"/>
      <c r="L3170" s="25"/>
      <c r="M3170" s="25"/>
      <c r="N3170" s="25"/>
      <c r="O3170" s="25"/>
    </row>
    <row r="3171" customFormat="false" ht="6" hidden="false" customHeight="true" outlineLevel="0" collapsed="false">
      <c r="B3171" s="10"/>
      <c r="C3171" s="10"/>
      <c r="D3171" s="10"/>
      <c r="E3171" s="10"/>
      <c r="F3171" s="10"/>
      <c r="J3171" s="25"/>
      <c r="K3171" s="25"/>
      <c r="L3171" s="25"/>
      <c r="M3171" s="25"/>
      <c r="N3171" s="25"/>
      <c r="O3171" s="25"/>
    </row>
    <row r="3172" customFormat="false" ht="36.75" hidden="false" customHeight="true" outlineLevel="0" collapsed="false">
      <c r="B3172" s="37" t="str">
        <f aca="false">SUBSTITUTE(SUBSTITUTE(SUBSTITUTE(SUBSTITUTE(SUBSTITUTE(Txt_P1,"{cabinet}",Cab_Nom),"{societe}",IF($K$3151=0,"",INDEX(Clients!$E$2:$E$501,$K$3151)&amp;"")),"{date_effet}",$K$3153),"{hausse}",$K$3154),"{civilite}",$K$3152)</f>
        <v>Nous tenons tout d'abord à vous remercier pour la confiance que vous accordez à ALTHO EXPERTISE. Comme chaque année, et conformément aux dispositions de votre lettre de mission, nous procédons à la révision de nos honoraires.</v>
      </c>
      <c r="C3172" s="37"/>
      <c r="D3172" s="37"/>
      <c r="E3172" s="37"/>
      <c r="F3172" s="37"/>
      <c r="J3172" s="25"/>
      <c r="K3172" s="25"/>
      <c r="L3172" s="25"/>
      <c r="M3172" s="25"/>
      <c r="N3172" s="25"/>
      <c r="O3172" s="25"/>
    </row>
    <row r="3173" customFormat="false" ht="49.5" hidden="false" customHeight="true" outlineLevel="0" collapsed="false">
      <c r="B3173" s="37" t="str">
        <f aca="false">SUBSTITUTE(SUBSTITUTE(SUBSTITUTE(SUBSTITUTE(SUBSTITUTE(Txt_P2,"{cabinet}",Cab_Nom),"{societe}",IF($K$3151=0,"",INDEX(Clients!$E$2:$E$501,$K$3151)&amp;"")),"{date_effet}",$K$3153),"{hausse}",$K$3154),"{civilite}",$K$3152)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173" s="37"/>
      <c r="D3173" s="37"/>
      <c r="E3173" s="37"/>
      <c r="F3173" s="37"/>
      <c r="J3173" s="25"/>
      <c r="K3173" s="25"/>
      <c r="L3173" s="25"/>
      <c r="M3173" s="25"/>
      <c r="N3173" s="25"/>
      <c r="O3173" s="25"/>
    </row>
    <row r="3174" customFormat="false" ht="63" hidden="false" customHeight="true" outlineLevel="0" collapsed="false">
      <c r="B3174" s="37" t="str">
        <f aca="false">SUBSTITUTE(SUBSTITUTE(SUBSTITUTE(SUBSTITUTE(SUBSTITUTE(Txt_P3,"{cabinet}",Cab_Nom),"{societe}",IF($K$3151=0,"",INDEX(Clients!$E$2:$E$501,$K$3151)&amp;"")),"{date_effet}",$K$3153),"{hausse}",$K$3154),"{civilite}",$K$3152)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174" s="37"/>
      <c r="D3174" s="37"/>
      <c r="E3174" s="37"/>
      <c r="F3174" s="37"/>
      <c r="J3174" s="25"/>
      <c r="K3174" s="25"/>
      <c r="L3174" s="25"/>
      <c r="M3174" s="25"/>
      <c r="N3174" s="25"/>
      <c r="O3174" s="25"/>
    </row>
    <row r="3175" customFormat="false" ht="24" hidden="false" customHeight="true" outlineLevel="0" collapsed="false">
      <c r="B3175" s="37" t="str">
        <f aca="false">SUBSTITUTE(SUBSTITUTE(SUBSTITUTE(SUBSTITUTE(SUBSTITUTE(Txt_P4,"{cabinet}",Cab_Nom),"{societe}",IF($K$3151=0,"",INDEX(Clients!$E$2:$E$501,$K$3151)&amp;"")),"{date_effet}",$K$3153),"{hausse}",$K$3154),"{civilite}",$K$3152)</f>
        <v>À compter du 1er janvier 2027, vos honoraires annuels hors taxes évolueront ainsi (évolution globale : ) :</v>
      </c>
      <c r="C3175" s="37"/>
      <c r="D3175" s="37"/>
      <c r="E3175" s="37"/>
      <c r="F3175" s="37"/>
      <c r="J3175" s="25"/>
      <c r="K3175" s="25"/>
      <c r="L3175" s="25"/>
      <c r="M3175" s="25"/>
      <c r="N3175" s="25"/>
      <c r="O3175" s="25"/>
    </row>
    <row r="3176" customFormat="false" ht="3.75" hidden="false" customHeight="true" outlineLevel="0" collapsed="false">
      <c r="B3176" s="10"/>
      <c r="C3176" s="10"/>
      <c r="D3176" s="10"/>
      <c r="E3176" s="10"/>
      <c r="F3176" s="10"/>
      <c r="J3176" s="25"/>
      <c r="K3176" s="25"/>
      <c r="L3176" s="25"/>
      <c r="M3176" s="25"/>
      <c r="N3176" s="25"/>
      <c r="O3176" s="25"/>
    </row>
    <row r="3177" customFormat="false" ht="18" hidden="false" customHeight="true" outlineLevel="0" collapsed="false">
      <c r="B3177" s="38" t="s">
        <v>148</v>
      </c>
      <c r="C3177" s="39" t="s">
        <v>149</v>
      </c>
      <c r="D3177" s="39" t="s">
        <v>150</v>
      </c>
      <c r="E3177" s="39" t="s">
        <v>151</v>
      </c>
      <c r="F3177" s="39" t="s">
        <v>109</v>
      </c>
      <c r="J3177" s="25" t="s">
        <v>152</v>
      </c>
      <c r="K3177" s="25" t="s">
        <v>153</v>
      </c>
      <c r="L3177" s="25" t="s">
        <v>154</v>
      </c>
      <c r="M3177" s="25" t="s">
        <v>155</v>
      </c>
      <c r="N3177" s="25" t="s">
        <v>156</v>
      </c>
      <c r="O3177" s="25" t="s">
        <v>157</v>
      </c>
    </row>
    <row r="3178" customFormat="false" ht="16.5" hidden="false" customHeight="true" outlineLevel="0" collapsed="false">
      <c r="B3178" s="40" t="str">
        <f aca="false">IFERROR(INDEX($J$3178:$J$3181,MATCH($O3178,$N$3178:$N$3181,0)),"")</f>
        <v/>
      </c>
      <c r="C3178" s="41" t="str">
        <f aca="false">IFERROR(INDEX($K$3178:$K$3181,MATCH($O3178,$N$3178:$N$3181,0)),"")</f>
        <v/>
      </c>
      <c r="D3178" s="42" t="str">
        <f aca="false">IF(OR(E3178="",N(C3178)=0),"",E3178/C3178-1)</f>
        <v/>
      </c>
      <c r="E3178" s="41" t="str">
        <f aca="false">IFERROR(INDEX($L$3178:$L$3181,MATCH($O3178,$N$3178:$N$3181,0)),"")</f>
        <v/>
      </c>
      <c r="F3178" s="41" t="str">
        <f aca="false">IF(E3178="","",E3178-C3178)</f>
        <v/>
      </c>
      <c r="J3178" s="25" t="str">
        <f aca="false">Lib_Compta</f>
        <v>Mission comptable (tenue, révision, bilan, liasse fiscale)</v>
      </c>
      <c r="K3178" s="25" t="n">
        <f aca="false">IF($K$3151=0,0,N(INDEX(Clients!$K$2:$K$501,$K$3151)))</f>
        <v>0</v>
      </c>
      <c r="L3178" s="25" t="n">
        <f aca="false">IF($K$3151=0,0,N(INDEX(Clients!$P$2:$P$501,$K$3151)))</f>
        <v>0</v>
      </c>
      <c r="M3178" s="25" t="n">
        <f aca="false">IF(OR(K3178&lt;&gt;0,L3178&lt;&gt;0),1,0)</f>
        <v>0</v>
      </c>
      <c r="N3178" s="25" t="str">
        <f aca="false">IF(M3178=1,SUM($M$3178:M3178),"")</f>
        <v/>
      </c>
      <c r="O3178" s="25" t="n">
        <v>1</v>
      </c>
    </row>
    <row r="3179" customFormat="false" ht="16.5" hidden="false" customHeight="true" outlineLevel="0" collapsed="false">
      <c r="B3179" s="40" t="str">
        <f aca="false">IFERROR(INDEX($J$3178:$J$3181,MATCH($O3179,$N$3178:$N$3181,0)),"")</f>
        <v/>
      </c>
      <c r="C3179" s="41" t="str">
        <f aca="false">IFERROR(INDEX($K$3178:$K$3181,MATCH($O3179,$N$3178:$N$3181,0)),"")</f>
        <v/>
      </c>
      <c r="D3179" s="42" t="str">
        <f aca="false">IF(OR(E3179="",N(C3179)=0),"",E3179/C3179-1)</f>
        <v/>
      </c>
      <c r="E3179" s="41" t="str">
        <f aca="false">IFERROR(INDEX($L$3178:$L$3181,MATCH($O3179,$N$3178:$N$3181,0)),"")</f>
        <v/>
      </c>
      <c r="F3179" s="41" t="str">
        <f aca="false">IF(E3179="","",E3179-C3179)</f>
        <v/>
      </c>
      <c r="J3179" s="25" t="str">
        <f aca="false">Lib_Paye</f>
        <v>Mission sociale (bulletins de paie, DSN, déclarations sociales)</v>
      </c>
      <c r="K3179" s="25" t="n">
        <f aca="false">IF($K$3151=0,0,N(INDEX(Clients!$L$2:$L$501,$K$3151)))</f>
        <v>0</v>
      </c>
      <c r="L3179" s="25" t="n">
        <f aca="false">IF($K$3151=0,0,N(INDEX(Clients!$Q$2:$Q$501,$K$3151)))</f>
        <v>0</v>
      </c>
      <c r="M3179" s="25" t="n">
        <f aca="false">IF(OR(K3179&lt;&gt;0,L3179&lt;&gt;0),1,0)</f>
        <v>0</v>
      </c>
      <c r="N3179" s="25" t="str">
        <f aca="false">IF(M3179=1,SUM($M$3178:M3179),"")</f>
        <v/>
      </c>
      <c r="O3179" s="25" t="n">
        <v>2</v>
      </c>
    </row>
    <row r="3180" customFormat="false" ht="16.5" hidden="false" customHeight="true" outlineLevel="0" collapsed="false">
      <c r="B3180" s="40" t="str">
        <f aca="false">IFERROR(INDEX($J$3178:$J$3181,MATCH($O3180,$N$3178:$N$3181,0)),"")</f>
        <v/>
      </c>
      <c r="C3180" s="41" t="str">
        <f aca="false">IFERROR(INDEX($K$3178:$K$3181,MATCH($O3180,$N$3178:$N$3181,0)),"")</f>
        <v/>
      </c>
      <c r="D3180" s="42" t="str">
        <f aca="false">IF(OR(E3180="",N(C3180)=0),"",E3180/C3180-1)</f>
        <v/>
      </c>
      <c r="E3180" s="41" t="str">
        <f aca="false">IFERROR(INDEX($L$3178:$L$3181,MATCH($O3180,$N$3178:$N$3181,0)),"")</f>
        <v/>
      </c>
      <c r="F3180" s="41" t="str">
        <f aca="false">IF(E3180="","",E3180-C3180)</f>
        <v/>
      </c>
      <c r="J3180" s="25" t="str">
        <f aca="false">Lib_Jur</f>
        <v>Mission juridique (approbation des comptes, secrétariat juridique)</v>
      </c>
      <c r="K3180" s="25" t="n">
        <f aca="false">IF($K$3151=0,0,N(INDEX(Clients!$M$2:$M$501,$K$3151)))</f>
        <v>0</v>
      </c>
      <c r="L3180" s="25" t="n">
        <f aca="false">IF($K$3151=0,0,N(INDEX(Clients!$R$2:$R$501,$K$3151)))</f>
        <v>0</v>
      </c>
      <c r="M3180" s="25" t="n">
        <f aca="false">IF(OR(K3180&lt;&gt;0,L3180&lt;&gt;0),1,0)</f>
        <v>0</v>
      </c>
      <c r="N3180" s="25" t="str">
        <f aca="false">IF(M3180=1,SUM($M$3178:M3180),"")</f>
        <v/>
      </c>
      <c r="O3180" s="25" t="n">
        <v>3</v>
      </c>
    </row>
    <row r="3181" customFormat="false" ht="16.5" hidden="false" customHeight="true" outlineLevel="0" collapsed="false">
      <c r="B3181" s="40" t="str">
        <f aca="false">IFERROR(INDEX($J$3178:$J$3181,MATCH($O3181,$N$3178:$N$3181,0)),"")</f>
        <v/>
      </c>
      <c r="C3181" s="41" t="str">
        <f aca="false">IFERROR(INDEX($K$3178:$K$3181,MATCH($O3181,$N$3178:$N$3181,0)),"")</f>
        <v/>
      </c>
      <c r="D3181" s="42" t="str">
        <f aca="false">IF(OR(E3181="",N(C3181)=0),"",E3181/C3181-1)</f>
        <v/>
      </c>
      <c r="E3181" s="41" t="str">
        <f aca="false">IFERROR(INDEX($L$3178:$L$3181,MATCH($O3181,$N$3178:$N$3181,0)),"")</f>
        <v/>
      </c>
      <c r="F3181" s="41" t="str">
        <f aca="false">IF(E3181="","",E3181-C3181)</f>
        <v/>
      </c>
      <c r="J3181" s="25" t="str">
        <f aca="false">Lib_PA</f>
        <v>Plateforme agréée – facturation électronique</v>
      </c>
      <c r="K3181" s="25" t="n">
        <f aca="false">IF($K$3151=0,0,N(INDEX(Clients!$N$2:$N$501,$K$3151)))</f>
        <v>0</v>
      </c>
      <c r="L3181" s="25" t="n">
        <f aca="false">IF($K$3151=0,0,N(INDEX(Clients!$S$2:$S$501,$K$3151)))</f>
        <v>0</v>
      </c>
      <c r="M3181" s="25" t="n">
        <f aca="false">IF(OR(K3181&lt;&gt;0,L3181&lt;&gt;0),1,0)</f>
        <v>0</v>
      </c>
      <c r="N3181" s="25" t="str">
        <f aca="false">IF(M3181=1,SUM($M$3178:M3181),"")</f>
        <v/>
      </c>
      <c r="O3181" s="25" t="n">
        <v>4</v>
      </c>
    </row>
    <row r="3182" customFormat="false" ht="18" hidden="false" customHeight="true" outlineLevel="0" collapsed="false">
      <c r="B3182" s="43" t="s">
        <v>158</v>
      </c>
      <c r="C3182" s="44" t="n">
        <f aca="false">SUM(K3178:K3181)</f>
        <v>0</v>
      </c>
      <c r="D3182" s="45" t="str">
        <f aca="false">IF(N(C3182)=0,"",E3182/C3182-1)</f>
        <v/>
      </c>
      <c r="E3182" s="44" t="n">
        <f aca="false">SUM(L3178:L3181)</f>
        <v>0</v>
      </c>
      <c r="F3182" s="44" t="n">
        <f aca="false">E3182-C3182</f>
        <v>0</v>
      </c>
    </row>
    <row r="3183" customFormat="false" ht="15" hidden="false" customHeight="false" outlineLevel="0" collapsed="false">
      <c r="B3183" s="46" t="str">
        <f aca="false">IF(N(Nb_Mensualites)=0,"","Soit "&amp;FIXED(E3182/Nb_Mensualites,2)&amp;" € HT par échéance ("&amp;Nb_Mensualites&amp;" échéances), "&amp;FIXED(E3182/Nb_Mensualites*(1+Taux_TVA),2)&amp;" € TTC.")</f>
        <v>Soit 0.00 € HT par échéance (12 échéances), 0.00 € TTC.</v>
      </c>
      <c r="C3183" s="46"/>
      <c r="D3183" s="46"/>
      <c r="E3183" s="46"/>
      <c r="F3183" s="46"/>
    </row>
    <row r="3184" customFormat="false" ht="7.5" hidden="false" customHeight="true" outlineLevel="0" collapsed="false">
      <c r="B3184" s="10"/>
      <c r="C3184" s="10"/>
      <c r="D3184" s="10"/>
      <c r="E3184" s="10"/>
      <c r="F3184" s="10"/>
    </row>
    <row r="3185" customFormat="false" ht="36.75" hidden="false" customHeight="true" outlineLevel="0" collapsed="false">
      <c r="B3185" s="37" t="str">
        <f aca="false">SUBSTITUTE(SUBSTITUTE(SUBSTITUTE(SUBSTITUTE(SUBSTITUTE(Txt_P5,"{cabinet}",Cab_Nom),"{societe}",IF($K$3151=0,"",INDEX(Clients!$E$2:$E$501,$K$3151)&amp;"")),"{date_effet}",$K$3153),"{hausse}",$K$3154),"{civilite}",$K$3152)</f>
        <v>Les autres conditions de votre lettre de mission demeurent inchangées. Les nouveaux montants seront appliqués automatiquement sur vos prochaines factures et échéances de prélèvement.</v>
      </c>
      <c r="C3185" s="37"/>
      <c r="D3185" s="37"/>
      <c r="E3185" s="37"/>
      <c r="F3185" s="37"/>
    </row>
    <row r="3186" customFormat="false" ht="36.75" hidden="false" customHeight="true" outlineLevel="0" collapsed="false">
      <c r="B3186" s="37" t="str">
        <f aca="false">SUBSTITUTE(SUBSTITUTE(SUBSTITUTE(SUBSTITUTE(SUBSTITUTE(Txt_P6,"{cabinet}",Cab_Nom),"{societe}",IF($K$3151=0,"",INDEX(Clients!$E$2:$E$501,$K$3151)&amp;"")),"{date_effet}",$K$3153),"{hausse}",$K$3154),"{civilite}",$K$3152)</f>
        <v>Votre interlocuteur habituel reste à votre entière disposition pour répondre à vos questions et faire le point sur l'évolution de vos besoins.</v>
      </c>
      <c r="C3186" s="37"/>
      <c r="D3186" s="37"/>
      <c r="E3186" s="37"/>
      <c r="F3186" s="37"/>
    </row>
    <row r="3187" customFormat="false" ht="24" hidden="false" customHeight="true" outlineLevel="0" collapsed="false">
      <c r="B3187" s="37" t="str">
        <f aca="false">SUBSTITUTE(SUBSTITUTE(SUBSTITUTE(SUBSTITUTE(SUBSTITUTE(Txt_Politesse,"{cabinet}",Cab_Nom),"{societe}",IF($K$3151=0,"",INDEX(Clients!$E$2:$E$501,$K$3151)&amp;"")),"{date_effet}",$K$3153),"{hausse}",$K$3154),"{civilite}",$K$3152)</f>
        <v>Nous vous prions d'agréer, Madame, Monsieur, l'expression de nos salutations distinguées.</v>
      </c>
      <c r="C3187" s="37"/>
      <c r="D3187" s="37"/>
      <c r="E3187" s="37"/>
      <c r="F3187" s="37"/>
    </row>
    <row r="3188" customFormat="false" ht="15" hidden="false" customHeight="false" outlineLevel="0" collapsed="false">
      <c r="B3188" s="10"/>
      <c r="C3188" s="10"/>
      <c r="D3188" s="10"/>
      <c r="E3188" s="10"/>
      <c r="F3188" s="10"/>
    </row>
    <row r="3189" customFormat="false" ht="15" hidden="false" customHeight="false" outlineLevel="0" collapsed="false">
      <c r="B3189" s="10"/>
      <c r="C3189" s="10"/>
      <c r="D3189" s="34" t="str">
        <f aca="false">Signataire</f>
        <v>Prénom NOM</v>
      </c>
      <c r="E3189" s="34"/>
      <c r="F3189" s="34"/>
    </row>
    <row r="3190" customFormat="false" ht="15" hidden="false" customHeight="false" outlineLevel="0" collapsed="false">
      <c r="B3190" s="10"/>
      <c r="C3190" s="10"/>
      <c r="D3190" s="47" t="str">
        <f aca="false">Signataire_Titre</f>
        <v>Expert-comptable associé</v>
      </c>
      <c r="E3190" s="47"/>
      <c r="F3190" s="47"/>
    </row>
    <row r="3191" customFormat="false" ht="15.75" hidden="false" customHeight="true" outlineLevel="0" collapsed="false">
      <c r="B3191" s="10"/>
      <c r="C3191" s="10"/>
      <c r="D3191" s="10"/>
      <c r="E3191" s="10"/>
      <c r="F3191" s="10"/>
    </row>
    <row r="3192" customFormat="false" ht="15.75" hidden="false" customHeight="true" outlineLevel="0" collapsed="false">
      <c r="B3192" s="10"/>
      <c r="C3192" s="10"/>
      <c r="D3192" s="10"/>
      <c r="E3192" s="10"/>
      <c r="F3192" s="10"/>
    </row>
    <row r="3193" customFormat="false" ht="15.75" hidden="false" customHeight="true" outlineLevel="0" collapsed="false">
      <c r="B3193" s="10"/>
      <c r="C3193" s="10"/>
      <c r="D3193" s="10"/>
      <c r="E3193" s="10"/>
      <c r="F3193" s="10"/>
    </row>
    <row r="3194" customFormat="false" ht="15.75" hidden="false" customHeight="true" outlineLevel="0" collapsed="false">
      <c r="B3194" s="10"/>
      <c r="C3194" s="10"/>
      <c r="D3194" s="10"/>
      <c r="E3194" s="10"/>
      <c r="F3194" s="10"/>
    </row>
    <row r="3195" customFormat="false" ht="24" hidden="false" customHeight="true" outlineLevel="0" collapsed="false">
      <c r="B3195" s="48" t="str">
        <f aca="false">Cab_Mentions</f>
        <v>ALTHO EXPERTISE · SAS au capital de 10 000 € · RCS Pontoise 919 706 325 · TVA FR62919706325 · Société d'expertise comptable inscrite au Tableau de l'Ordre des experts-comptables de Paris Île-de-France</v>
      </c>
      <c r="C3195" s="48"/>
      <c r="D3195" s="48"/>
      <c r="E3195" s="48"/>
      <c r="F3195" s="48"/>
    </row>
    <row r="3196" customFormat="false" ht="15" hidden="false" customHeight="false" outlineLevel="0" collapsed="false">
      <c r="B3196" s="10"/>
      <c r="C3196" s="10"/>
      <c r="D3196" s="10"/>
      <c r="E3196" s="10"/>
      <c r="F3196" s="10"/>
      <c r="J3196" s="25" t="s">
        <v>142</v>
      </c>
      <c r="K3196" s="25" t="n">
        <f aca="false">IFERROR(MATCH(72,Clients!$Z$2:$Z$501,0),0)</f>
        <v>0</v>
      </c>
      <c r="L3196" s="25"/>
      <c r="M3196" s="25"/>
      <c r="N3196" s="25"/>
      <c r="O3196" s="25"/>
    </row>
    <row r="3197" customFormat="false" ht="21.75" hidden="false" customHeight="true" outlineLevel="0" collapsed="false">
      <c r="B3197" s="26" t="str">
        <f aca="false">Cab_Nom</f>
        <v>ALTHO EXPERTISE</v>
      </c>
      <c r="C3197" s="26"/>
      <c r="D3197" s="10"/>
      <c r="E3197" s="27" t="str">
        <f aca="false">IF($K$3196=0,"","Réf. client : "&amp;INDEX(Clients!$A$2:$A$501,$K$3196))</f>
        <v/>
      </c>
      <c r="F3197" s="27"/>
      <c r="J3197" s="25" t="s">
        <v>144</v>
      </c>
      <c r="K3197" s="25" t="str">
        <f aca="false">IF(IF($K$3196=0,"",INDEX(Clients!$B$2:$B$501,$K$3196)&amp;"")="Mme","Madame",IF(IF($K$3196=0,"",INDEX(Clients!$B$2:$B$501,$K$3196)&amp;"")="M.","Monsieur","Madame, Monsieur"))</f>
        <v>Madame, Monsieur</v>
      </c>
      <c r="L3197" s="25"/>
      <c r="M3197" s="25"/>
      <c r="N3197" s="25"/>
      <c r="O3197" s="25"/>
    </row>
    <row r="3198" customFormat="false" ht="15" hidden="false" customHeight="false" outlineLevel="0" collapsed="false">
      <c r="B3198" s="29" t="str">
        <f aca="false">Cab_Adr1</f>
        <v>141 rue Charles de Gaulle</v>
      </c>
      <c r="C3198" s="29"/>
      <c r="D3198" s="10"/>
      <c r="E3198" s="10"/>
      <c r="F3198" s="10"/>
      <c r="J3198" s="25" t="s">
        <v>145</v>
      </c>
      <c r="K3198" s="25" t="str">
        <f aca="false">DAY(Date_Effet)&amp;IF(DAY(Date_Effet)=1,"er","")&amp;" "&amp;INDEX(Liste_Mois,MONTH(Date_Effet))&amp;" "&amp;YEAR(Date_Effet)</f>
        <v>1er janvier 2027</v>
      </c>
      <c r="L3198" s="25"/>
      <c r="M3198" s="25"/>
      <c r="N3198" s="25"/>
      <c r="O3198" s="25"/>
    </row>
    <row r="3199" customFormat="false" ht="15" hidden="false" customHeight="false" outlineLevel="0" collapsed="false">
      <c r="B3199" s="29" t="str">
        <f aca="false">Cab_CPVille</f>
        <v>95130 LE PLESSIS-BOUCHARD</v>
      </c>
      <c r="C3199" s="29"/>
      <c r="D3199" s="10"/>
      <c r="E3199" s="10"/>
      <c r="F3199" s="10"/>
      <c r="J3199" s="25" t="s">
        <v>146</v>
      </c>
      <c r="K3199" s="25" t="str">
        <f aca="false">IF(SUM($K$3223:$K$3226)=0,"",FIXED((SUM($L$3223:$L$3226)/SUM($K$3223:$K$3226)-1)*100,1)&amp;" %")</f>
        <v/>
      </c>
      <c r="L3199" s="25"/>
      <c r="M3199" s="25"/>
      <c r="N3199" s="25"/>
      <c r="O3199" s="25"/>
    </row>
    <row r="3200" customFormat="false" ht="15" hidden="false" customHeight="false" outlineLevel="0" collapsed="false">
      <c r="B3200" s="29" t="str">
        <f aca="false">Cab_Contact</f>
        <v>Tél. 01 34 14 53 45  ·  altho@altho-experts.com  ·  altho-experts.com</v>
      </c>
      <c r="C3200" s="29"/>
      <c r="D3200" s="10"/>
      <c r="E3200" s="10"/>
      <c r="F3200" s="10"/>
      <c r="J3200" s="25"/>
      <c r="K3200" s="25"/>
      <c r="L3200" s="25"/>
      <c r="M3200" s="25"/>
      <c r="N3200" s="25"/>
      <c r="O3200" s="25"/>
    </row>
    <row r="3201" customFormat="false" ht="6" hidden="false" customHeight="true" outlineLevel="0" collapsed="false">
      <c r="B3201" s="32"/>
      <c r="C3201" s="32"/>
      <c r="D3201" s="32"/>
      <c r="E3201" s="32"/>
      <c r="F3201" s="32"/>
      <c r="J3201" s="25"/>
      <c r="K3201" s="25"/>
      <c r="L3201" s="25"/>
      <c r="M3201" s="25"/>
      <c r="N3201" s="25"/>
      <c r="O3201" s="25"/>
    </row>
    <row r="3202" customFormat="false" ht="13.5" hidden="false" customHeight="true" outlineLevel="0" collapsed="false">
      <c r="B3202" s="10"/>
      <c r="C3202" s="10"/>
      <c r="D3202" s="10"/>
      <c r="E3202" s="10"/>
      <c r="F3202" s="10"/>
      <c r="J3202" s="25"/>
      <c r="K3202" s="25"/>
      <c r="L3202" s="25"/>
      <c r="M3202" s="25"/>
      <c r="N3202" s="25"/>
      <c r="O3202" s="25"/>
    </row>
    <row r="3203" customFormat="false" ht="13.5" hidden="false" customHeight="true" outlineLevel="0" collapsed="false">
      <c r="B3203" s="10"/>
      <c r="C3203" s="10"/>
      <c r="D3203" s="10"/>
      <c r="E3203" s="10"/>
      <c r="F3203" s="10"/>
      <c r="J3203" s="25"/>
      <c r="K3203" s="25"/>
      <c r="L3203" s="25"/>
      <c r="M3203" s="25"/>
      <c r="N3203" s="25"/>
      <c r="O3203" s="25"/>
    </row>
    <row r="3204" customFormat="false" ht="13.5" hidden="false" customHeight="true" outlineLevel="0" collapsed="false">
      <c r="B3204" s="10"/>
      <c r="C3204" s="10"/>
      <c r="D3204" s="10"/>
      <c r="E3204" s="10"/>
      <c r="F3204" s="10"/>
      <c r="J3204" s="25"/>
      <c r="K3204" s="25"/>
      <c r="L3204" s="25"/>
      <c r="M3204" s="25"/>
      <c r="N3204" s="25"/>
      <c r="O3204" s="25"/>
    </row>
    <row r="3205" customFormat="false" ht="15" hidden="false" customHeight="true" outlineLevel="0" collapsed="false">
      <c r="B3205" s="10"/>
      <c r="C3205" s="10"/>
      <c r="D3205" s="34" t="str">
        <f aca="false">IF($K$3196=0,"",INDEX(Clients!$E$2:$E$501,$K$3196)&amp;"")</f>
        <v/>
      </c>
      <c r="E3205" s="34"/>
      <c r="F3205" s="34"/>
      <c r="J3205" s="25"/>
      <c r="K3205" s="25"/>
      <c r="L3205" s="25"/>
      <c r="M3205" s="25"/>
      <c r="N3205" s="25"/>
      <c r="O3205" s="25"/>
    </row>
    <row r="3206" customFormat="false" ht="15" hidden="false" customHeight="true" outlineLevel="0" collapsed="false">
      <c r="B3206" s="10"/>
      <c r="C3206" s="10"/>
      <c r="D3206" s="35" t="str">
        <f aca="false">IF(IF($K$3196=0,"",INDEX(Clients!$D$2:$D$501,$K$3196)&amp;"")="","","À l'attention de "&amp;TRIM(IF($K$3196=0,"",INDEX(Clients!$B$2:$B$501,$K$3196)&amp;"")&amp;" "&amp;IF($K$3196=0,"",INDEX(Clients!$C$2:$C$501,$K$3196)&amp;"")&amp;" "&amp;IF($K$3196=0,"",INDEX(Clients!$D$2:$D$501,$K$3196)&amp;"")))</f>
        <v/>
      </c>
      <c r="E3206" s="35"/>
      <c r="F3206" s="35"/>
      <c r="J3206" s="25"/>
      <c r="K3206" s="25"/>
      <c r="L3206" s="25"/>
      <c r="M3206" s="25"/>
      <c r="N3206" s="25"/>
      <c r="O3206" s="25"/>
    </row>
    <row r="3207" customFormat="false" ht="15" hidden="false" customHeight="true" outlineLevel="0" collapsed="false">
      <c r="B3207" s="10"/>
      <c r="C3207" s="10"/>
      <c r="D3207" s="35" t="str">
        <f aca="false">IF($K$3196=0,"",INDEX(Clients!$F$2:$F$501,$K$3196)&amp;"")</f>
        <v/>
      </c>
      <c r="E3207" s="35"/>
      <c r="F3207" s="35"/>
      <c r="J3207" s="25"/>
      <c r="K3207" s="25"/>
      <c r="L3207" s="25"/>
      <c r="M3207" s="25"/>
      <c r="N3207" s="25"/>
      <c r="O3207" s="25"/>
    </row>
    <row r="3208" customFormat="false" ht="15" hidden="false" customHeight="true" outlineLevel="0" collapsed="false">
      <c r="B3208" s="10"/>
      <c r="C3208" s="10"/>
      <c r="D3208" s="35" t="str">
        <f aca="false">IF(IF($K$3196=0,"",INDEX(Clients!$G$2:$G$501,$K$3196)&amp;"")="",TRIM(IF($K$3196=0,"",INDEX(Clients!$H$2:$H$501,$K$3196)&amp;"")&amp;" "&amp;UPPER(IF($K$3196=0,"",INDEX(Clients!$I$2:$I$501,$K$3196)&amp;""))),IF($K$3196=0,"",INDEX(Clients!$G$2:$G$501,$K$3196)&amp;""))</f>
        <v/>
      </c>
      <c r="E3208" s="35"/>
      <c r="F3208" s="35"/>
      <c r="J3208" s="25"/>
      <c r="K3208" s="25"/>
      <c r="L3208" s="25"/>
      <c r="M3208" s="25"/>
      <c r="N3208" s="25"/>
      <c r="O3208" s="25"/>
    </row>
    <row r="3209" customFormat="false" ht="15" hidden="false" customHeight="true" outlineLevel="0" collapsed="false">
      <c r="B3209" s="10"/>
      <c r="C3209" s="10"/>
      <c r="D3209" s="35" t="str">
        <f aca="false">IF(IF($K$3196=0,"",INDEX(Clients!$G$2:$G$501,$K$3196)&amp;"")="","",TRIM(IF($K$3196=0,"",INDEX(Clients!$H$2:$H$501,$K$3196)&amp;"")&amp;" "&amp;UPPER(IF($K$3196=0,"",INDEX(Clients!$I$2:$I$501,$K$3196)&amp;""))))</f>
        <v/>
      </c>
      <c r="E3209" s="35"/>
      <c r="F3209" s="35"/>
      <c r="J3209" s="25"/>
      <c r="K3209" s="25"/>
      <c r="L3209" s="25"/>
      <c r="M3209" s="25"/>
      <c r="N3209" s="25"/>
      <c r="O3209" s="25"/>
    </row>
    <row r="3210" customFormat="false" ht="25.5" hidden="false" customHeight="true" outlineLevel="0" collapsed="false">
      <c r="B3210" s="10"/>
      <c r="C3210" s="10"/>
      <c r="D3210" s="10"/>
      <c r="E3210" s="10"/>
      <c r="F3210" s="10"/>
      <c r="J3210" s="25"/>
      <c r="K3210" s="25"/>
      <c r="L3210" s="25"/>
      <c r="M3210" s="25"/>
      <c r="N3210" s="25"/>
      <c r="O3210" s="25"/>
    </row>
    <row r="3211" customFormat="false" ht="15" hidden="false" customHeight="false" outlineLevel="0" collapsed="false">
      <c r="B3211" s="10"/>
      <c r="C3211" s="10"/>
      <c r="D3211" s="36" t="str">
        <f aca="false">Cab_Ville&amp;", le "&amp;DAY(Date_Courrier)&amp;IF(DAY(Date_Courrier)=1,"er","")&amp;" "&amp;INDEX(Liste_Mois,MONTH(Date_Courrier))&amp;" "&amp;YEAR(Date_Courrier)</f>
        <v>Le Plessis-Bouchard, le 22 septembre 2026</v>
      </c>
      <c r="E3211" s="36"/>
      <c r="F3211" s="36"/>
      <c r="J3211" s="25"/>
      <c r="K3211" s="25"/>
      <c r="L3211" s="25"/>
      <c r="M3211" s="25"/>
      <c r="N3211" s="25"/>
      <c r="O3211" s="25"/>
    </row>
    <row r="3212" customFormat="false" ht="19.5" hidden="false" customHeight="true" outlineLevel="0" collapsed="false">
      <c r="B3212" s="10"/>
      <c r="C3212" s="10"/>
      <c r="D3212" s="10"/>
      <c r="E3212" s="10"/>
      <c r="F3212" s="10"/>
      <c r="J3212" s="25"/>
      <c r="K3212" s="25"/>
      <c r="L3212" s="25"/>
      <c r="M3212" s="25"/>
      <c r="N3212" s="25"/>
      <c r="O3212" s="25"/>
    </row>
    <row r="3213" customFormat="false" ht="15" hidden="false" customHeight="false" outlineLevel="0" collapsed="false">
      <c r="B3213" s="34" t="str">
        <f aca="false">SUBSTITUTE(SUBSTITUTE(SUBSTITUTE(SUBSTITUTE(SUBSTITUTE(Txt_Objet,"{cabinet}",Cab_Nom),"{societe}",IF($K$3196=0,"",INDEX(Clients!$E$2:$E$501,$K$3196)&amp;"")),"{date_effet}",$K$3198),"{hausse}",$K$3199),"{civilite}",$K$3197)</f>
        <v>Objet : révision de nos honoraires au 1er janvier 2027</v>
      </c>
      <c r="C3213" s="34"/>
      <c r="D3213" s="34"/>
      <c r="E3213" s="34"/>
      <c r="F3213" s="34"/>
      <c r="J3213" s="25"/>
      <c r="K3213" s="25"/>
      <c r="L3213" s="25"/>
      <c r="M3213" s="25"/>
      <c r="N3213" s="25"/>
      <c r="O3213" s="25"/>
    </row>
    <row r="3214" customFormat="false" ht="13.5" hidden="false" customHeight="true" outlineLevel="0" collapsed="false">
      <c r="B3214" s="10"/>
      <c r="C3214" s="10"/>
      <c r="D3214" s="10"/>
      <c r="E3214" s="10"/>
      <c r="F3214" s="10"/>
      <c r="J3214" s="25"/>
      <c r="K3214" s="25"/>
      <c r="L3214" s="25"/>
      <c r="M3214" s="25"/>
      <c r="N3214" s="25"/>
      <c r="O3214" s="25"/>
    </row>
    <row r="3215" customFormat="false" ht="15" hidden="false" customHeight="false" outlineLevel="0" collapsed="false">
      <c r="B3215" s="10" t="str">
        <f aca="false">$K$3197&amp;","</f>
        <v>Madame, Monsieur,</v>
      </c>
      <c r="C3215" s="10"/>
      <c r="D3215" s="10"/>
      <c r="E3215" s="10"/>
      <c r="F3215" s="10"/>
      <c r="J3215" s="25"/>
      <c r="K3215" s="25"/>
      <c r="L3215" s="25"/>
      <c r="M3215" s="25"/>
      <c r="N3215" s="25"/>
      <c r="O3215" s="25"/>
    </row>
    <row r="3216" customFormat="false" ht="6" hidden="false" customHeight="true" outlineLevel="0" collapsed="false">
      <c r="B3216" s="10"/>
      <c r="C3216" s="10"/>
      <c r="D3216" s="10"/>
      <c r="E3216" s="10"/>
      <c r="F3216" s="10"/>
      <c r="J3216" s="25"/>
      <c r="K3216" s="25"/>
      <c r="L3216" s="25"/>
      <c r="M3216" s="25"/>
      <c r="N3216" s="25"/>
      <c r="O3216" s="25"/>
    </row>
    <row r="3217" customFormat="false" ht="36.75" hidden="false" customHeight="true" outlineLevel="0" collapsed="false">
      <c r="B3217" s="37" t="str">
        <f aca="false">SUBSTITUTE(SUBSTITUTE(SUBSTITUTE(SUBSTITUTE(SUBSTITUTE(Txt_P1,"{cabinet}",Cab_Nom),"{societe}",IF($K$3196=0,"",INDEX(Clients!$E$2:$E$501,$K$3196)&amp;"")),"{date_effet}",$K$3198),"{hausse}",$K$3199),"{civilite}",$K$3197)</f>
        <v>Nous tenons tout d'abord à vous remercier pour la confiance que vous accordez à ALTHO EXPERTISE. Comme chaque année, et conformément aux dispositions de votre lettre de mission, nous procédons à la révision de nos honoraires.</v>
      </c>
      <c r="C3217" s="37"/>
      <c r="D3217" s="37"/>
      <c r="E3217" s="37"/>
      <c r="F3217" s="37"/>
      <c r="J3217" s="25"/>
      <c r="K3217" s="25"/>
      <c r="L3217" s="25"/>
      <c r="M3217" s="25"/>
      <c r="N3217" s="25"/>
      <c r="O3217" s="25"/>
    </row>
    <row r="3218" customFormat="false" ht="49.5" hidden="false" customHeight="true" outlineLevel="0" collapsed="false">
      <c r="B3218" s="37" t="str">
        <f aca="false">SUBSTITUTE(SUBSTITUTE(SUBSTITUTE(SUBSTITUTE(SUBSTITUTE(Txt_P2,"{cabinet}",Cab_Nom),"{societe}",IF($K$3196=0,"",INDEX(Clients!$E$2:$E$501,$K$3196)&amp;"")),"{date_effet}",$K$3198),"{hausse}",$K$3199),"{civilite}",$K$3197)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218" s="37"/>
      <c r="D3218" s="37"/>
      <c r="E3218" s="37"/>
      <c r="F3218" s="37"/>
      <c r="J3218" s="25"/>
      <c r="K3218" s="25"/>
      <c r="L3218" s="25"/>
      <c r="M3218" s="25"/>
      <c r="N3218" s="25"/>
      <c r="O3218" s="25"/>
    </row>
    <row r="3219" customFormat="false" ht="63" hidden="false" customHeight="true" outlineLevel="0" collapsed="false">
      <c r="B3219" s="37" t="str">
        <f aca="false">SUBSTITUTE(SUBSTITUTE(SUBSTITUTE(SUBSTITUTE(SUBSTITUTE(Txt_P3,"{cabinet}",Cab_Nom),"{societe}",IF($K$3196=0,"",INDEX(Clients!$E$2:$E$501,$K$3196)&amp;"")),"{date_effet}",$K$3198),"{hausse}",$K$3199),"{civilite}",$K$3197)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219" s="37"/>
      <c r="D3219" s="37"/>
      <c r="E3219" s="37"/>
      <c r="F3219" s="37"/>
      <c r="J3219" s="25"/>
      <c r="K3219" s="25"/>
      <c r="L3219" s="25"/>
      <c r="M3219" s="25"/>
      <c r="N3219" s="25"/>
      <c r="O3219" s="25"/>
    </row>
    <row r="3220" customFormat="false" ht="24" hidden="false" customHeight="true" outlineLevel="0" collapsed="false">
      <c r="B3220" s="37" t="str">
        <f aca="false">SUBSTITUTE(SUBSTITUTE(SUBSTITUTE(SUBSTITUTE(SUBSTITUTE(Txt_P4,"{cabinet}",Cab_Nom),"{societe}",IF($K$3196=0,"",INDEX(Clients!$E$2:$E$501,$K$3196)&amp;"")),"{date_effet}",$K$3198),"{hausse}",$K$3199),"{civilite}",$K$3197)</f>
        <v>À compter du 1er janvier 2027, vos honoraires annuels hors taxes évolueront ainsi (évolution globale : ) :</v>
      </c>
      <c r="C3220" s="37"/>
      <c r="D3220" s="37"/>
      <c r="E3220" s="37"/>
      <c r="F3220" s="37"/>
      <c r="J3220" s="25"/>
      <c r="K3220" s="25"/>
      <c r="L3220" s="25"/>
      <c r="M3220" s="25"/>
      <c r="N3220" s="25"/>
      <c r="O3220" s="25"/>
    </row>
    <row r="3221" customFormat="false" ht="3.75" hidden="false" customHeight="true" outlineLevel="0" collapsed="false">
      <c r="B3221" s="10"/>
      <c r="C3221" s="10"/>
      <c r="D3221" s="10"/>
      <c r="E3221" s="10"/>
      <c r="F3221" s="10"/>
      <c r="J3221" s="25"/>
      <c r="K3221" s="25"/>
      <c r="L3221" s="25"/>
      <c r="M3221" s="25"/>
      <c r="N3221" s="25"/>
      <c r="O3221" s="25"/>
    </row>
    <row r="3222" customFormat="false" ht="18" hidden="false" customHeight="true" outlineLevel="0" collapsed="false">
      <c r="B3222" s="38" t="s">
        <v>148</v>
      </c>
      <c r="C3222" s="39" t="s">
        <v>149</v>
      </c>
      <c r="D3222" s="39" t="s">
        <v>150</v>
      </c>
      <c r="E3222" s="39" t="s">
        <v>151</v>
      </c>
      <c r="F3222" s="39" t="s">
        <v>109</v>
      </c>
      <c r="J3222" s="25" t="s">
        <v>152</v>
      </c>
      <c r="K3222" s="25" t="s">
        <v>153</v>
      </c>
      <c r="L3222" s="25" t="s">
        <v>154</v>
      </c>
      <c r="M3222" s="25" t="s">
        <v>155</v>
      </c>
      <c r="N3222" s="25" t="s">
        <v>156</v>
      </c>
      <c r="O3222" s="25" t="s">
        <v>157</v>
      </c>
    </row>
    <row r="3223" customFormat="false" ht="16.5" hidden="false" customHeight="true" outlineLevel="0" collapsed="false">
      <c r="B3223" s="40" t="str">
        <f aca="false">IFERROR(INDEX($J$3223:$J$3226,MATCH($O3223,$N$3223:$N$3226,0)),"")</f>
        <v/>
      </c>
      <c r="C3223" s="41" t="str">
        <f aca="false">IFERROR(INDEX($K$3223:$K$3226,MATCH($O3223,$N$3223:$N$3226,0)),"")</f>
        <v/>
      </c>
      <c r="D3223" s="42" t="str">
        <f aca="false">IF(OR(E3223="",N(C3223)=0),"",E3223/C3223-1)</f>
        <v/>
      </c>
      <c r="E3223" s="41" t="str">
        <f aca="false">IFERROR(INDEX($L$3223:$L$3226,MATCH($O3223,$N$3223:$N$3226,0)),"")</f>
        <v/>
      </c>
      <c r="F3223" s="41" t="str">
        <f aca="false">IF(E3223="","",E3223-C3223)</f>
        <v/>
      </c>
      <c r="J3223" s="25" t="str">
        <f aca="false">Lib_Compta</f>
        <v>Mission comptable (tenue, révision, bilan, liasse fiscale)</v>
      </c>
      <c r="K3223" s="25" t="n">
        <f aca="false">IF($K$3196=0,0,N(INDEX(Clients!$K$2:$K$501,$K$3196)))</f>
        <v>0</v>
      </c>
      <c r="L3223" s="25" t="n">
        <f aca="false">IF($K$3196=0,0,N(INDEX(Clients!$P$2:$P$501,$K$3196)))</f>
        <v>0</v>
      </c>
      <c r="M3223" s="25" t="n">
        <f aca="false">IF(OR(K3223&lt;&gt;0,L3223&lt;&gt;0),1,0)</f>
        <v>0</v>
      </c>
      <c r="N3223" s="25" t="str">
        <f aca="false">IF(M3223=1,SUM($M$3223:M3223),"")</f>
        <v/>
      </c>
      <c r="O3223" s="25" t="n">
        <v>1</v>
      </c>
    </row>
    <row r="3224" customFormat="false" ht="16.5" hidden="false" customHeight="true" outlineLevel="0" collapsed="false">
      <c r="B3224" s="40" t="str">
        <f aca="false">IFERROR(INDEX($J$3223:$J$3226,MATCH($O3224,$N$3223:$N$3226,0)),"")</f>
        <v/>
      </c>
      <c r="C3224" s="41" t="str">
        <f aca="false">IFERROR(INDEX($K$3223:$K$3226,MATCH($O3224,$N$3223:$N$3226,0)),"")</f>
        <v/>
      </c>
      <c r="D3224" s="42" t="str">
        <f aca="false">IF(OR(E3224="",N(C3224)=0),"",E3224/C3224-1)</f>
        <v/>
      </c>
      <c r="E3224" s="41" t="str">
        <f aca="false">IFERROR(INDEX($L$3223:$L$3226,MATCH($O3224,$N$3223:$N$3226,0)),"")</f>
        <v/>
      </c>
      <c r="F3224" s="41" t="str">
        <f aca="false">IF(E3224="","",E3224-C3224)</f>
        <v/>
      </c>
      <c r="J3224" s="25" t="str">
        <f aca="false">Lib_Paye</f>
        <v>Mission sociale (bulletins de paie, DSN, déclarations sociales)</v>
      </c>
      <c r="K3224" s="25" t="n">
        <f aca="false">IF($K$3196=0,0,N(INDEX(Clients!$L$2:$L$501,$K$3196)))</f>
        <v>0</v>
      </c>
      <c r="L3224" s="25" t="n">
        <f aca="false">IF($K$3196=0,0,N(INDEX(Clients!$Q$2:$Q$501,$K$3196)))</f>
        <v>0</v>
      </c>
      <c r="M3224" s="25" t="n">
        <f aca="false">IF(OR(K3224&lt;&gt;0,L3224&lt;&gt;0),1,0)</f>
        <v>0</v>
      </c>
      <c r="N3224" s="25" t="str">
        <f aca="false">IF(M3224=1,SUM($M$3223:M3224),"")</f>
        <v/>
      </c>
      <c r="O3224" s="25" t="n">
        <v>2</v>
      </c>
    </row>
    <row r="3225" customFormat="false" ht="16.5" hidden="false" customHeight="true" outlineLevel="0" collapsed="false">
      <c r="B3225" s="40" t="str">
        <f aca="false">IFERROR(INDEX($J$3223:$J$3226,MATCH($O3225,$N$3223:$N$3226,0)),"")</f>
        <v/>
      </c>
      <c r="C3225" s="41" t="str">
        <f aca="false">IFERROR(INDEX($K$3223:$K$3226,MATCH($O3225,$N$3223:$N$3226,0)),"")</f>
        <v/>
      </c>
      <c r="D3225" s="42" t="str">
        <f aca="false">IF(OR(E3225="",N(C3225)=0),"",E3225/C3225-1)</f>
        <v/>
      </c>
      <c r="E3225" s="41" t="str">
        <f aca="false">IFERROR(INDEX($L$3223:$L$3226,MATCH($O3225,$N$3223:$N$3226,0)),"")</f>
        <v/>
      </c>
      <c r="F3225" s="41" t="str">
        <f aca="false">IF(E3225="","",E3225-C3225)</f>
        <v/>
      </c>
      <c r="J3225" s="25" t="str">
        <f aca="false">Lib_Jur</f>
        <v>Mission juridique (approbation des comptes, secrétariat juridique)</v>
      </c>
      <c r="K3225" s="25" t="n">
        <f aca="false">IF($K$3196=0,0,N(INDEX(Clients!$M$2:$M$501,$K$3196)))</f>
        <v>0</v>
      </c>
      <c r="L3225" s="25" t="n">
        <f aca="false">IF($K$3196=0,0,N(INDEX(Clients!$R$2:$R$501,$K$3196)))</f>
        <v>0</v>
      </c>
      <c r="M3225" s="25" t="n">
        <f aca="false">IF(OR(K3225&lt;&gt;0,L3225&lt;&gt;0),1,0)</f>
        <v>0</v>
      </c>
      <c r="N3225" s="25" t="str">
        <f aca="false">IF(M3225=1,SUM($M$3223:M3225),"")</f>
        <v/>
      </c>
      <c r="O3225" s="25" t="n">
        <v>3</v>
      </c>
    </row>
    <row r="3226" customFormat="false" ht="16.5" hidden="false" customHeight="true" outlineLevel="0" collapsed="false">
      <c r="B3226" s="40" t="str">
        <f aca="false">IFERROR(INDEX($J$3223:$J$3226,MATCH($O3226,$N$3223:$N$3226,0)),"")</f>
        <v/>
      </c>
      <c r="C3226" s="41" t="str">
        <f aca="false">IFERROR(INDEX($K$3223:$K$3226,MATCH($O3226,$N$3223:$N$3226,0)),"")</f>
        <v/>
      </c>
      <c r="D3226" s="42" t="str">
        <f aca="false">IF(OR(E3226="",N(C3226)=0),"",E3226/C3226-1)</f>
        <v/>
      </c>
      <c r="E3226" s="41" t="str">
        <f aca="false">IFERROR(INDEX($L$3223:$L$3226,MATCH($O3226,$N$3223:$N$3226,0)),"")</f>
        <v/>
      </c>
      <c r="F3226" s="41" t="str">
        <f aca="false">IF(E3226="","",E3226-C3226)</f>
        <v/>
      </c>
      <c r="J3226" s="25" t="str">
        <f aca="false">Lib_PA</f>
        <v>Plateforme agréée – facturation électronique</v>
      </c>
      <c r="K3226" s="25" t="n">
        <f aca="false">IF($K$3196=0,0,N(INDEX(Clients!$N$2:$N$501,$K$3196)))</f>
        <v>0</v>
      </c>
      <c r="L3226" s="25" t="n">
        <f aca="false">IF($K$3196=0,0,N(INDEX(Clients!$S$2:$S$501,$K$3196)))</f>
        <v>0</v>
      </c>
      <c r="M3226" s="25" t="n">
        <f aca="false">IF(OR(K3226&lt;&gt;0,L3226&lt;&gt;0),1,0)</f>
        <v>0</v>
      </c>
      <c r="N3226" s="25" t="str">
        <f aca="false">IF(M3226=1,SUM($M$3223:M3226),"")</f>
        <v/>
      </c>
      <c r="O3226" s="25" t="n">
        <v>4</v>
      </c>
    </row>
    <row r="3227" customFormat="false" ht="18" hidden="false" customHeight="true" outlineLevel="0" collapsed="false">
      <c r="B3227" s="43" t="s">
        <v>158</v>
      </c>
      <c r="C3227" s="44" t="n">
        <f aca="false">SUM(K3223:K3226)</f>
        <v>0</v>
      </c>
      <c r="D3227" s="45" t="str">
        <f aca="false">IF(N(C3227)=0,"",E3227/C3227-1)</f>
        <v/>
      </c>
      <c r="E3227" s="44" t="n">
        <f aca="false">SUM(L3223:L3226)</f>
        <v>0</v>
      </c>
      <c r="F3227" s="44" t="n">
        <f aca="false">E3227-C3227</f>
        <v>0</v>
      </c>
    </row>
    <row r="3228" customFormat="false" ht="15" hidden="false" customHeight="false" outlineLevel="0" collapsed="false">
      <c r="B3228" s="46" t="str">
        <f aca="false">IF(N(Nb_Mensualites)=0,"","Soit "&amp;FIXED(E3227/Nb_Mensualites,2)&amp;" € HT par échéance ("&amp;Nb_Mensualites&amp;" échéances), "&amp;FIXED(E3227/Nb_Mensualites*(1+Taux_TVA),2)&amp;" € TTC.")</f>
        <v>Soit 0.00 € HT par échéance (12 échéances), 0.00 € TTC.</v>
      </c>
      <c r="C3228" s="46"/>
      <c r="D3228" s="46"/>
      <c r="E3228" s="46"/>
      <c r="F3228" s="46"/>
    </row>
    <row r="3229" customFormat="false" ht="7.5" hidden="false" customHeight="true" outlineLevel="0" collapsed="false">
      <c r="B3229" s="10"/>
      <c r="C3229" s="10"/>
      <c r="D3229" s="10"/>
      <c r="E3229" s="10"/>
      <c r="F3229" s="10"/>
    </row>
    <row r="3230" customFormat="false" ht="36.75" hidden="false" customHeight="true" outlineLevel="0" collapsed="false">
      <c r="B3230" s="37" t="str">
        <f aca="false">SUBSTITUTE(SUBSTITUTE(SUBSTITUTE(SUBSTITUTE(SUBSTITUTE(Txt_P5,"{cabinet}",Cab_Nom),"{societe}",IF($K$3196=0,"",INDEX(Clients!$E$2:$E$501,$K$3196)&amp;"")),"{date_effet}",$K$3198),"{hausse}",$K$3199),"{civilite}",$K$3197)</f>
        <v>Les autres conditions de votre lettre de mission demeurent inchangées. Les nouveaux montants seront appliqués automatiquement sur vos prochaines factures et échéances de prélèvement.</v>
      </c>
      <c r="C3230" s="37"/>
      <c r="D3230" s="37"/>
      <c r="E3230" s="37"/>
      <c r="F3230" s="37"/>
    </row>
    <row r="3231" customFormat="false" ht="36.75" hidden="false" customHeight="true" outlineLevel="0" collapsed="false">
      <c r="B3231" s="37" t="str">
        <f aca="false">SUBSTITUTE(SUBSTITUTE(SUBSTITUTE(SUBSTITUTE(SUBSTITUTE(Txt_P6,"{cabinet}",Cab_Nom),"{societe}",IF($K$3196=0,"",INDEX(Clients!$E$2:$E$501,$K$3196)&amp;"")),"{date_effet}",$K$3198),"{hausse}",$K$3199),"{civilite}",$K$3197)</f>
        <v>Votre interlocuteur habituel reste à votre entière disposition pour répondre à vos questions et faire le point sur l'évolution de vos besoins.</v>
      </c>
      <c r="C3231" s="37"/>
      <c r="D3231" s="37"/>
      <c r="E3231" s="37"/>
      <c r="F3231" s="37"/>
    </row>
    <row r="3232" customFormat="false" ht="24" hidden="false" customHeight="true" outlineLevel="0" collapsed="false">
      <c r="B3232" s="37" t="str">
        <f aca="false">SUBSTITUTE(SUBSTITUTE(SUBSTITUTE(SUBSTITUTE(SUBSTITUTE(Txt_Politesse,"{cabinet}",Cab_Nom),"{societe}",IF($K$3196=0,"",INDEX(Clients!$E$2:$E$501,$K$3196)&amp;"")),"{date_effet}",$K$3198),"{hausse}",$K$3199),"{civilite}",$K$3197)</f>
        <v>Nous vous prions d'agréer, Madame, Monsieur, l'expression de nos salutations distinguées.</v>
      </c>
      <c r="C3232" s="37"/>
      <c r="D3232" s="37"/>
      <c r="E3232" s="37"/>
      <c r="F3232" s="37"/>
    </row>
    <row r="3233" customFormat="false" ht="15" hidden="false" customHeight="false" outlineLevel="0" collapsed="false">
      <c r="B3233" s="10"/>
      <c r="C3233" s="10"/>
      <c r="D3233" s="10"/>
      <c r="E3233" s="10"/>
      <c r="F3233" s="10"/>
    </row>
    <row r="3234" customFormat="false" ht="15" hidden="false" customHeight="false" outlineLevel="0" collapsed="false">
      <c r="B3234" s="10"/>
      <c r="C3234" s="10"/>
      <c r="D3234" s="34" t="str">
        <f aca="false">Signataire</f>
        <v>Prénom NOM</v>
      </c>
      <c r="E3234" s="34"/>
      <c r="F3234" s="34"/>
    </row>
    <row r="3235" customFormat="false" ht="15" hidden="false" customHeight="false" outlineLevel="0" collapsed="false">
      <c r="B3235" s="10"/>
      <c r="C3235" s="10"/>
      <c r="D3235" s="47" t="str">
        <f aca="false">Signataire_Titre</f>
        <v>Expert-comptable associé</v>
      </c>
      <c r="E3235" s="47"/>
      <c r="F3235" s="47"/>
    </row>
    <row r="3236" customFormat="false" ht="15.75" hidden="false" customHeight="true" outlineLevel="0" collapsed="false">
      <c r="B3236" s="10"/>
      <c r="C3236" s="10"/>
      <c r="D3236" s="10"/>
      <c r="E3236" s="10"/>
      <c r="F3236" s="10"/>
    </row>
    <row r="3237" customFormat="false" ht="15.75" hidden="false" customHeight="true" outlineLevel="0" collapsed="false">
      <c r="B3237" s="10"/>
      <c r="C3237" s="10"/>
      <c r="D3237" s="10"/>
      <c r="E3237" s="10"/>
      <c r="F3237" s="10"/>
    </row>
    <row r="3238" customFormat="false" ht="15.75" hidden="false" customHeight="true" outlineLevel="0" collapsed="false">
      <c r="B3238" s="10"/>
      <c r="C3238" s="10"/>
      <c r="D3238" s="10"/>
      <c r="E3238" s="10"/>
      <c r="F3238" s="10"/>
    </row>
    <row r="3239" customFormat="false" ht="15.75" hidden="false" customHeight="true" outlineLevel="0" collapsed="false">
      <c r="B3239" s="10"/>
      <c r="C3239" s="10"/>
      <c r="D3239" s="10"/>
      <c r="E3239" s="10"/>
      <c r="F3239" s="10"/>
    </row>
    <row r="3240" customFormat="false" ht="24" hidden="false" customHeight="true" outlineLevel="0" collapsed="false">
      <c r="B3240" s="48" t="str">
        <f aca="false">Cab_Mentions</f>
        <v>ALTHO EXPERTISE · SAS au capital de 10 000 € · RCS Pontoise 919 706 325 · TVA FR62919706325 · Société d'expertise comptable inscrite au Tableau de l'Ordre des experts-comptables de Paris Île-de-France</v>
      </c>
      <c r="C3240" s="48"/>
      <c r="D3240" s="48"/>
      <c r="E3240" s="48"/>
      <c r="F3240" s="48"/>
    </row>
    <row r="3241" customFormat="false" ht="15" hidden="false" customHeight="false" outlineLevel="0" collapsed="false">
      <c r="B3241" s="10"/>
      <c r="C3241" s="10"/>
      <c r="D3241" s="10"/>
      <c r="E3241" s="10"/>
      <c r="F3241" s="10"/>
      <c r="J3241" s="25" t="s">
        <v>142</v>
      </c>
      <c r="K3241" s="25" t="n">
        <f aca="false">IFERROR(MATCH(73,Clients!$Z$2:$Z$501,0),0)</f>
        <v>0</v>
      </c>
      <c r="L3241" s="25"/>
      <c r="M3241" s="25"/>
      <c r="N3241" s="25"/>
      <c r="O3241" s="25"/>
    </row>
    <row r="3242" customFormat="false" ht="21.75" hidden="false" customHeight="true" outlineLevel="0" collapsed="false">
      <c r="B3242" s="26" t="str">
        <f aca="false">Cab_Nom</f>
        <v>ALTHO EXPERTISE</v>
      </c>
      <c r="C3242" s="26"/>
      <c r="D3242" s="10"/>
      <c r="E3242" s="27" t="str">
        <f aca="false">IF($K$3241=0,"","Réf. client : "&amp;INDEX(Clients!$A$2:$A$501,$K$3241))</f>
        <v/>
      </c>
      <c r="F3242" s="27"/>
      <c r="J3242" s="25" t="s">
        <v>144</v>
      </c>
      <c r="K3242" s="25" t="str">
        <f aca="false">IF(IF($K$3241=0,"",INDEX(Clients!$B$2:$B$501,$K$3241)&amp;"")="Mme","Madame",IF(IF($K$3241=0,"",INDEX(Clients!$B$2:$B$501,$K$3241)&amp;"")="M.","Monsieur","Madame, Monsieur"))</f>
        <v>Madame, Monsieur</v>
      </c>
      <c r="L3242" s="25"/>
      <c r="M3242" s="25"/>
      <c r="N3242" s="25"/>
      <c r="O3242" s="25"/>
    </row>
    <row r="3243" customFormat="false" ht="15" hidden="false" customHeight="false" outlineLevel="0" collapsed="false">
      <c r="B3243" s="29" t="str">
        <f aca="false">Cab_Adr1</f>
        <v>141 rue Charles de Gaulle</v>
      </c>
      <c r="C3243" s="29"/>
      <c r="D3243" s="10"/>
      <c r="E3243" s="10"/>
      <c r="F3243" s="10"/>
      <c r="J3243" s="25" t="s">
        <v>145</v>
      </c>
      <c r="K3243" s="25" t="str">
        <f aca="false">DAY(Date_Effet)&amp;IF(DAY(Date_Effet)=1,"er","")&amp;" "&amp;INDEX(Liste_Mois,MONTH(Date_Effet))&amp;" "&amp;YEAR(Date_Effet)</f>
        <v>1er janvier 2027</v>
      </c>
      <c r="L3243" s="25"/>
      <c r="M3243" s="25"/>
      <c r="N3243" s="25"/>
      <c r="O3243" s="25"/>
    </row>
    <row r="3244" customFormat="false" ht="15" hidden="false" customHeight="false" outlineLevel="0" collapsed="false">
      <c r="B3244" s="29" t="str">
        <f aca="false">Cab_CPVille</f>
        <v>95130 LE PLESSIS-BOUCHARD</v>
      </c>
      <c r="C3244" s="29"/>
      <c r="D3244" s="10"/>
      <c r="E3244" s="10"/>
      <c r="F3244" s="10"/>
      <c r="J3244" s="25" t="s">
        <v>146</v>
      </c>
      <c r="K3244" s="25" t="str">
        <f aca="false">IF(SUM($K$3268:$K$3271)=0,"",FIXED((SUM($L$3268:$L$3271)/SUM($K$3268:$K$3271)-1)*100,1)&amp;" %")</f>
        <v/>
      </c>
      <c r="L3244" s="25"/>
      <c r="M3244" s="25"/>
      <c r="N3244" s="25"/>
      <c r="O3244" s="25"/>
    </row>
    <row r="3245" customFormat="false" ht="15" hidden="false" customHeight="false" outlineLevel="0" collapsed="false">
      <c r="B3245" s="29" t="str">
        <f aca="false">Cab_Contact</f>
        <v>Tél. 01 34 14 53 45  ·  altho@altho-experts.com  ·  altho-experts.com</v>
      </c>
      <c r="C3245" s="29"/>
      <c r="D3245" s="10"/>
      <c r="E3245" s="10"/>
      <c r="F3245" s="10"/>
      <c r="J3245" s="25"/>
      <c r="K3245" s="25"/>
      <c r="L3245" s="25"/>
      <c r="M3245" s="25"/>
      <c r="N3245" s="25"/>
      <c r="O3245" s="25"/>
    </row>
    <row r="3246" customFormat="false" ht="6" hidden="false" customHeight="true" outlineLevel="0" collapsed="false">
      <c r="B3246" s="32"/>
      <c r="C3246" s="32"/>
      <c r="D3246" s="32"/>
      <c r="E3246" s="32"/>
      <c r="F3246" s="32"/>
      <c r="J3246" s="25"/>
      <c r="K3246" s="25"/>
      <c r="L3246" s="25"/>
      <c r="M3246" s="25"/>
      <c r="N3246" s="25"/>
      <c r="O3246" s="25"/>
    </row>
    <row r="3247" customFormat="false" ht="13.5" hidden="false" customHeight="true" outlineLevel="0" collapsed="false">
      <c r="B3247" s="10"/>
      <c r="C3247" s="10"/>
      <c r="D3247" s="10"/>
      <c r="E3247" s="10"/>
      <c r="F3247" s="10"/>
      <c r="J3247" s="25"/>
      <c r="K3247" s="25"/>
      <c r="L3247" s="25"/>
      <c r="M3247" s="25"/>
      <c r="N3247" s="25"/>
      <c r="O3247" s="25"/>
    </row>
    <row r="3248" customFormat="false" ht="13.5" hidden="false" customHeight="true" outlineLevel="0" collapsed="false">
      <c r="B3248" s="10"/>
      <c r="C3248" s="10"/>
      <c r="D3248" s="10"/>
      <c r="E3248" s="10"/>
      <c r="F3248" s="10"/>
      <c r="J3248" s="25"/>
      <c r="K3248" s="25"/>
      <c r="L3248" s="25"/>
      <c r="M3248" s="25"/>
      <c r="N3248" s="25"/>
      <c r="O3248" s="25"/>
    </row>
    <row r="3249" customFormat="false" ht="13.5" hidden="false" customHeight="true" outlineLevel="0" collapsed="false">
      <c r="B3249" s="10"/>
      <c r="C3249" s="10"/>
      <c r="D3249" s="10"/>
      <c r="E3249" s="10"/>
      <c r="F3249" s="10"/>
      <c r="J3249" s="25"/>
      <c r="K3249" s="25"/>
      <c r="L3249" s="25"/>
      <c r="M3249" s="25"/>
      <c r="N3249" s="25"/>
      <c r="O3249" s="25"/>
    </row>
    <row r="3250" customFormat="false" ht="15" hidden="false" customHeight="true" outlineLevel="0" collapsed="false">
      <c r="B3250" s="10"/>
      <c r="C3250" s="10"/>
      <c r="D3250" s="34" t="str">
        <f aca="false">IF($K$3241=0,"",INDEX(Clients!$E$2:$E$501,$K$3241)&amp;"")</f>
        <v/>
      </c>
      <c r="E3250" s="34"/>
      <c r="F3250" s="34"/>
      <c r="J3250" s="25"/>
      <c r="K3250" s="25"/>
      <c r="L3250" s="25"/>
      <c r="M3250" s="25"/>
      <c r="N3250" s="25"/>
      <c r="O3250" s="25"/>
    </row>
    <row r="3251" customFormat="false" ht="15" hidden="false" customHeight="true" outlineLevel="0" collapsed="false">
      <c r="B3251" s="10"/>
      <c r="C3251" s="10"/>
      <c r="D3251" s="35" t="str">
        <f aca="false">IF(IF($K$3241=0,"",INDEX(Clients!$D$2:$D$501,$K$3241)&amp;"")="","","À l'attention de "&amp;TRIM(IF($K$3241=0,"",INDEX(Clients!$B$2:$B$501,$K$3241)&amp;"")&amp;" "&amp;IF($K$3241=0,"",INDEX(Clients!$C$2:$C$501,$K$3241)&amp;"")&amp;" "&amp;IF($K$3241=0,"",INDEX(Clients!$D$2:$D$501,$K$3241)&amp;"")))</f>
        <v/>
      </c>
      <c r="E3251" s="35"/>
      <c r="F3251" s="35"/>
      <c r="J3251" s="25"/>
      <c r="K3251" s="25"/>
      <c r="L3251" s="25"/>
      <c r="M3251" s="25"/>
      <c r="N3251" s="25"/>
      <c r="O3251" s="25"/>
    </row>
    <row r="3252" customFormat="false" ht="15" hidden="false" customHeight="true" outlineLevel="0" collapsed="false">
      <c r="B3252" s="10"/>
      <c r="C3252" s="10"/>
      <c r="D3252" s="35" t="str">
        <f aca="false">IF($K$3241=0,"",INDEX(Clients!$F$2:$F$501,$K$3241)&amp;"")</f>
        <v/>
      </c>
      <c r="E3252" s="35"/>
      <c r="F3252" s="35"/>
      <c r="J3252" s="25"/>
      <c r="K3252" s="25"/>
      <c r="L3252" s="25"/>
      <c r="M3252" s="25"/>
      <c r="N3252" s="25"/>
      <c r="O3252" s="25"/>
    </row>
    <row r="3253" customFormat="false" ht="15" hidden="false" customHeight="true" outlineLevel="0" collapsed="false">
      <c r="B3253" s="10"/>
      <c r="C3253" s="10"/>
      <c r="D3253" s="35" t="str">
        <f aca="false">IF(IF($K$3241=0,"",INDEX(Clients!$G$2:$G$501,$K$3241)&amp;"")="",TRIM(IF($K$3241=0,"",INDEX(Clients!$H$2:$H$501,$K$3241)&amp;"")&amp;" "&amp;UPPER(IF($K$3241=0,"",INDEX(Clients!$I$2:$I$501,$K$3241)&amp;""))),IF($K$3241=0,"",INDEX(Clients!$G$2:$G$501,$K$3241)&amp;""))</f>
        <v/>
      </c>
      <c r="E3253" s="35"/>
      <c r="F3253" s="35"/>
      <c r="J3253" s="25"/>
      <c r="K3253" s="25"/>
      <c r="L3253" s="25"/>
      <c r="M3253" s="25"/>
      <c r="N3253" s="25"/>
      <c r="O3253" s="25"/>
    </row>
    <row r="3254" customFormat="false" ht="15" hidden="false" customHeight="true" outlineLevel="0" collapsed="false">
      <c r="B3254" s="10"/>
      <c r="C3254" s="10"/>
      <c r="D3254" s="35" t="str">
        <f aca="false">IF(IF($K$3241=0,"",INDEX(Clients!$G$2:$G$501,$K$3241)&amp;"")="","",TRIM(IF($K$3241=0,"",INDEX(Clients!$H$2:$H$501,$K$3241)&amp;"")&amp;" "&amp;UPPER(IF($K$3241=0,"",INDEX(Clients!$I$2:$I$501,$K$3241)&amp;""))))</f>
        <v/>
      </c>
      <c r="E3254" s="35"/>
      <c r="F3254" s="35"/>
      <c r="J3254" s="25"/>
      <c r="K3254" s="25"/>
      <c r="L3254" s="25"/>
      <c r="M3254" s="25"/>
      <c r="N3254" s="25"/>
      <c r="O3254" s="25"/>
    </row>
    <row r="3255" customFormat="false" ht="25.5" hidden="false" customHeight="true" outlineLevel="0" collapsed="false">
      <c r="B3255" s="10"/>
      <c r="C3255" s="10"/>
      <c r="D3255" s="10"/>
      <c r="E3255" s="10"/>
      <c r="F3255" s="10"/>
      <c r="J3255" s="25"/>
      <c r="K3255" s="25"/>
      <c r="L3255" s="25"/>
      <c r="M3255" s="25"/>
      <c r="N3255" s="25"/>
      <c r="O3255" s="25"/>
    </row>
    <row r="3256" customFormat="false" ht="15" hidden="false" customHeight="false" outlineLevel="0" collapsed="false">
      <c r="B3256" s="10"/>
      <c r="C3256" s="10"/>
      <c r="D3256" s="36" t="str">
        <f aca="false">Cab_Ville&amp;", le "&amp;DAY(Date_Courrier)&amp;IF(DAY(Date_Courrier)=1,"er","")&amp;" "&amp;INDEX(Liste_Mois,MONTH(Date_Courrier))&amp;" "&amp;YEAR(Date_Courrier)</f>
        <v>Le Plessis-Bouchard, le 22 septembre 2026</v>
      </c>
      <c r="E3256" s="36"/>
      <c r="F3256" s="36"/>
      <c r="J3256" s="25"/>
      <c r="K3256" s="25"/>
      <c r="L3256" s="25"/>
      <c r="M3256" s="25"/>
      <c r="N3256" s="25"/>
      <c r="O3256" s="25"/>
    </row>
    <row r="3257" customFormat="false" ht="19.5" hidden="false" customHeight="true" outlineLevel="0" collapsed="false">
      <c r="B3257" s="10"/>
      <c r="C3257" s="10"/>
      <c r="D3257" s="10"/>
      <c r="E3257" s="10"/>
      <c r="F3257" s="10"/>
      <c r="J3257" s="25"/>
      <c r="K3257" s="25"/>
      <c r="L3257" s="25"/>
      <c r="M3257" s="25"/>
      <c r="N3257" s="25"/>
      <c r="O3257" s="25"/>
    </row>
    <row r="3258" customFormat="false" ht="15" hidden="false" customHeight="false" outlineLevel="0" collapsed="false">
      <c r="B3258" s="34" t="str">
        <f aca="false">SUBSTITUTE(SUBSTITUTE(SUBSTITUTE(SUBSTITUTE(SUBSTITUTE(Txt_Objet,"{cabinet}",Cab_Nom),"{societe}",IF($K$3241=0,"",INDEX(Clients!$E$2:$E$501,$K$3241)&amp;"")),"{date_effet}",$K$3243),"{hausse}",$K$3244),"{civilite}",$K$3242)</f>
        <v>Objet : révision de nos honoraires au 1er janvier 2027</v>
      </c>
      <c r="C3258" s="34"/>
      <c r="D3258" s="34"/>
      <c r="E3258" s="34"/>
      <c r="F3258" s="34"/>
      <c r="J3258" s="25"/>
      <c r="K3258" s="25"/>
      <c r="L3258" s="25"/>
      <c r="M3258" s="25"/>
      <c r="N3258" s="25"/>
      <c r="O3258" s="25"/>
    </row>
    <row r="3259" customFormat="false" ht="13.5" hidden="false" customHeight="true" outlineLevel="0" collapsed="false">
      <c r="B3259" s="10"/>
      <c r="C3259" s="10"/>
      <c r="D3259" s="10"/>
      <c r="E3259" s="10"/>
      <c r="F3259" s="10"/>
      <c r="J3259" s="25"/>
      <c r="K3259" s="25"/>
      <c r="L3259" s="25"/>
      <c r="M3259" s="25"/>
      <c r="N3259" s="25"/>
      <c r="O3259" s="25"/>
    </row>
    <row r="3260" customFormat="false" ht="15" hidden="false" customHeight="false" outlineLevel="0" collapsed="false">
      <c r="B3260" s="10" t="str">
        <f aca="false">$K$3242&amp;","</f>
        <v>Madame, Monsieur,</v>
      </c>
      <c r="C3260" s="10"/>
      <c r="D3260" s="10"/>
      <c r="E3260" s="10"/>
      <c r="F3260" s="10"/>
      <c r="J3260" s="25"/>
      <c r="K3260" s="25"/>
      <c r="L3260" s="25"/>
      <c r="M3260" s="25"/>
      <c r="N3260" s="25"/>
      <c r="O3260" s="25"/>
    </row>
    <row r="3261" customFormat="false" ht="6" hidden="false" customHeight="true" outlineLevel="0" collapsed="false">
      <c r="B3261" s="10"/>
      <c r="C3261" s="10"/>
      <c r="D3261" s="10"/>
      <c r="E3261" s="10"/>
      <c r="F3261" s="10"/>
      <c r="J3261" s="25"/>
      <c r="K3261" s="25"/>
      <c r="L3261" s="25"/>
      <c r="M3261" s="25"/>
      <c r="N3261" s="25"/>
      <c r="O3261" s="25"/>
    </row>
    <row r="3262" customFormat="false" ht="36.75" hidden="false" customHeight="true" outlineLevel="0" collapsed="false">
      <c r="B3262" s="37" t="str">
        <f aca="false">SUBSTITUTE(SUBSTITUTE(SUBSTITUTE(SUBSTITUTE(SUBSTITUTE(Txt_P1,"{cabinet}",Cab_Nom),"{societe}",IF($K$3241=0,"",INDEX(Clients!$E$2:$E$501,$K$3241)&amp;"")),"{date_effet}",$K$3243),"{hausse}",$K$3244),"{civilite}",$K$3242)</f>
        <v>Nous tenons tout d'abord à vous remercier pour la confiance que vous accordez à ALTHO EXPERTISE. Comme chaque année, et conformément aux dispositions de votre lettre de mission, nous procédons à la révision de nos honoraires.</v>
      </c>
      <c r="C3262" s="37"/>
      <c r="D3262" s="37"/>
      <c r="E3262" s="37"/>
      <c r="F3262" s="37"/>
      <c r="J3262" s="25"/>
      <c r="K3262" s="25"/>
      <c r="L3262" s="25"/>
      <c r="M3262" s="25"/>
      <c r="N3262" s="25"/>
      <c r="O3262" s="25"/>
    </row>
    <row r="3263" customFormat="false" ht="49.5" hidden="false" customHeight="true" outlineLevel="0" collapsed="false">
      <c r="B3263" s="37" t="str">
        <f aca="false">SUBSTITUTE(SUBSTITUTE(SUBSTITUTE(SUBSTITUTE(SUBSTITUTE(Txt_P2,"{cabinet}",Cab_Nom),"{societe}",IF($K$3241=0,"",INDEX(Clients!$E$2:$E$501,$K$3241)&amp;"")),"{date_effet}",$K$3243),"{hausse}",$K$3244),"{civilite}",$K$3242)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263" s="37"/>
      <c r="D3263" s="37"/>
      <c r="E3263" s="37"/>
      <c r="F3263" s="37"/>
      <c r="J3263" s="25"/>
      <c r="K3263" s="25"/>
      <c r="L3263" s="25"/>
      <c r="M3263" s="25"/>
      <c r="N3263" s="25"/>
      <c r="O3263" s="25"/>
    </row>
    <row r="3264" customFormat="false" ht="63" hidden="false" customHeight="true" outlineLevel="0" collapsed="false">
      <c r="B3264" s="37" t="str">
        <f aca="false">SUBSTITUTE(SUBSTITUTE(SUBSTITUTE(SUBSTITUTE(SUBSTITUTE(Txt_P3,"{cabinet}",Cab_Nom),"{societe}",IF($K$3241=0,"",INDEX(Clients!$E$2:$E$501,$K$3241)&amp;"")),"{date_effet}",$K$3243),"{hausse}",$K$3244),"{civilite}",$K$3242)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264" s="37"/>
      <c r="D3264" s="37"/>
      <c r="E3264" s="37"/>
      <c r="F3264" s="37"/>
      <c r="J3264" s="25"/>
      <c r="K3264" s="25"/>
      <c r="L3264" s="25"/>
      <c r="M3264" s="25"/>
      <c r="N3264" s="25"/>
      <c r="O3264" s="25"/>
    </row>
    <row r="3265" customFormat="false" ht="24" hidden="false" customHeight="true" outlineLevel="0" collapsed="false">
      <c r="B3265" s="37" t="str">
        <f aca="false">SUBSTITUTE(SUBSTITUTE(SUBSTITUTE(SUBSTITUTE(SUBSTITUTE(Txt_P4,"{cabinet}",Cab_Nom),"{societe}",IF($K$3241=0,"",INDEX(Clients!$E$2:$E$501,$K$3241)&amp;"")),"{date_effet}",$K$3243),"{hausse}",$K$3244),"{civilite}",$K$3242)</f>
        <v>À compter du 1er janvier 2027, vos honoraires annuels hors taxes évolueront ainsi (évolution globale : ) :</v>
      </c>
      <c r="C3265" s="37"/>
      <c r="D3265" s="37"/>
      <c r="E3265" s="37"/>
      <c r="F3265" s="37"/>
      <c r="J3265" s="25"/>
      <c r="K3265" s="25"/>
      <c r="L3265" s="25"/>
      <c r="M3265" s="25"/>
      <c r="N3265" s="25"/>
      <c r="O3265" s="25"/>
    </row>
    <row r="3266" customFormat="false" ht="3.75" hidden="false" customHeight="true" outlineLevel="0" collapsed="false">
      <c r="B3266" s="10"/>
      <c r="C3266" s="10"/>
      <c r="D3266" s="10"/>
      <c r="E3266" s="10"/>
      <c r="F3266" s="10"/>
      <c r="J3266" s="25"/>
      <c r="K3266" s="25"/>
      <c r="L3266" s="25"/>
      <c r="M3266" s="25"/>
      <c r="N3266" s="25"/>
      <c r="O3266" s="25"/>
    </row>
    <row r="3267" customFormat="false" ht="18" hidden="false" customHeight="true" outlineLevel="0" collapsed="false">
      <c r="B3267" s="38" t="s">
        <v>148</v>
      </c>
      <c r="C3267" s="39" t="s">
        <v>149</v>
      </c>
      <c r="D3267" s="39" t="s">
        <v>150</v>
      </c>
      <c r="E3267" s="39" t="s">
        <v>151</v>
      </c>
      <c r="F3267" s="39" t="s">
        <v>109</v>
      </c>
      <c r="J3267" s="25" t="s">
        <v>152</v>
      </c>
      <c r="K3267" s="25" t="s">
        <v>153</v>
      </c>
      <c r="L3267" s="25" t="s">
        <v>154</v>
      </c>
      <c r="M3267" s="25" t="s">
        <v>155</v>
      </c>
      <c r="N3267" s="25" t="s">
        <v>156</v>
      </c>
      <c r="O3267" s="25" t="s">
        <v>157</v>
      </c>
    </row>
    <row r="3268" customFormat="false" ht="16.5" hidden="false" customHeight="true" outlineLevel="0" collapsed="false">
      <c r="B3268" s="40" t="str">
        <f aca="false">IFERROR(INDEX($J$3268:$J$3271,MATCH($O3268,$N$3268:$N$3271,0)),"")</f>
        <v/>
      </c>
      <c r="C3268" s="41" t="str">
        <f aca="false">IFERROR(INDEX($K$3268:$K$3271,MATCH($O3268,$N$3268:$N$3271,0)),"")</f>
        <v/>
      </c>
      <c r="D3268" s="42" t="str">
        <f aca="false">IF(OR(E3268="",N(C3268)=0),"",E3268/C3268-1)</f>
        <v/>
      </c>
      <c r="E3268" s="41" t="str">
        <f aca="false">IFERROR(INDEX($L$3268:$L$3271,MATCH($O3268,$N$3268:$N$3271,0)),"")</f>
        <v/>
      </c>
      <c r="F3268" s="41" t="str">
        <f aca="false">IF(E3268="","",E3268-C3268)</f>
        <v/>
      </c>
      <c r="J3268" s="25" t="str">
        <f aca="false">Lib_Compta</f>
        <v>Mission comptable (tenue, révision, bilan, liasse fiscale)</v>
      </c>
      <c r="K3268" s="25" t="n">
        <f aca="false">IF($K$3241=0,0,N(INDEX(Clients!$K$2:$K$501,$K$3241)))</f>
        <v>0</v>
      </c>
      <c r="L3268" s="25" t="n">
        <f aca="false">IF($K$3241=0,0,N(INDEX(Clients!$P$2:$P$501,$K$3241)))</f>
        <v>0</v>
      </c>
      <c r="M3268" s="25" t="n">
        <f aca="false">IF(OR(K3268&lt;&gt;0,L3268&lt;&gt;0),1,0)</f>
        <v>0</v>
      </c>
      <c r="N3268" s="25" t="str">
        <f aca="false">IF(M3268=1,SUM($M$3268:M3268),"")</f>
        <v/>
      </c>
      <c r="O3268" s="25" t="n">
        <v>1</v>
      </c>
    </row>
    <row r="3269" customFormat="false" ht="16.5" hidden="false" customHeight="true" outlineLevel="0" collapsed="false">
      <c r="B3269" s="40" t="str">
        <f aca="false">IFERROR(INDEX($J$3268:$J$3271,MATCH($O3269,$N$3268:$N$3271,0)),"")</f>
        <v/>
      </c>
      <c r="C3269" s="41" t="str">
        <f aca="false">IFERROR(INDEX($K$3268:$K$3271,MATCH($O3269,$N$3268:$N$3271,0)),"")</f>
        <v/>
      </c>
      <c r="D3269" s="42" t="str">
        <f aca="false">IF(OR(E3269="",N(C3269)=0),"",E3269/C3269-1)</f>
        <v/>
      </c>
      <c r="E3269" s="41" t="str">
        <f aca="false">IFERROR(INDEX($L$3268:$L$3271,MATCH($O3269,$N$3268:$N$3271,0)),"")</f>
        <v/>
      </c>
      <c r="F3269" s="41" t="str">
        <f aca="false">IF(E3269="","",E3269-C3269)</f>
        <v/>
      </c>
      <c r="J3269" s="25" t="str">
        <f aca="false">Lib_Paye</f>
        <v>Mission sociale (bulletins de paie, DSN, déclarations sociales)</v>
      </c>
      <c r="K3269" s="25" t="n">
        <f aca="false">IF($K$3241=0,0,N(INDEX(Clients!$L$2:$L$501,$K$3241)))</f>
        <v>0</v>
      </c>
      <c r="L3269" s="25" t="n">
        <f aca="false">IF($K$3241=0,0,N(INDEX(Clients!$Q$2:$Q$501,$K$3241)))</f>
        <v>0</v>
      </c>
      <c r="M3269" s="25" t="n">
        <f aca="false">IF(OR(K3269&lt;&gt;0,L3269&lt;&gt;0),1,0)</f>
        <v>0</v>
      </c>
      <c r="N3269" s="25" t="str">
        <f aca="false">IF(M3269=1,SUM($M$3268:M3269),"")</f>
        <v/>
      </c>
      <c r="O3269" s="25" t="n">
        <v>2</v>
      </c>
    </row>
    <row r="3270" customFormat="false" ht="16.5" hidden="false" customHeight="true" outlineLevel="0" collapsed="false">
      <c r="B3270" s="40" t="str">
        <f aca="false">IFERROR(INDEX($J$3268:$J$3271,MATCH($O3270,$N$3268:$N$3271,0)),"")</f>
        <v/>
      </c>
      <c r="C3270" s="41" t="str">
        <f aca="false">IFERROR(INDEX($K$3268:$K$3271,MATCH($O3270,$N$3268:$N$3271,0)),"")</f>
        <v/>
      </c>
      <c r="D3270" s="42" t="str">
        <f aca="false">IF(OR(E3270="",N(C3270)=0),"",E3270/C3270-1)</f>
        <v/>
      </c>
      <c r="E3270" s="41" t="str">
        <f aca="false">IFERROR(INDEX($L$3268:$L$3271,MATCH($O3270,$N$3268:$N$3271,0)),"")</f>
        <v/>
      </c>
      <c r="F3270" s="41" t="str">
        <f aca="false">IF(E3270="","",E3270-C3270)</f>
        <v/>
      </c>
      <c r="J3270" s="25" t="str">
        <f aca="false">Lib_Jur</f>
        <v>Mission juridique (approbation des comptes, secrétariat juridique)</v>
      </c>
      <c r="K3270" s="25" t="n">
        <f aca="false">IF($K$3241=0,0,N(INDEX(Clients!$M$2:$M$501,$K$3241)))</f>
        <v>0</v>
      </c>
      <c r="L3270" s="25" t="n">
        <f aca="false">IF($K$3241=0,0,N(INDEX(Clients!$R$2:$R$501,$K$3241)))</f>
        <v>0</v>
      </c>
      <c r="M3270" s="25" t="n">
        <f aca="false">IF(OR(K3270&lt;&gt;0,L3270&lt;&gt;0),1,0)</f>
        <v>0</v>
      </c>
      <c r="N3270" s="25" t="str">
        <f aca="false">IF(M3270=1,SUM($M$3268:M3270),"")</f>
        <v/>
      </c>
      <c r="O3270" s="25" t="n">
        <v>3</v>
      </c>
    </row>
    <row r="3271" customFormat="false" ht="16.5" hidden="false" customHeight="true" outlineLevel="0" collapsed="false">
      <c r="B3271" s="40" t="str">
        <f aca="false">IFERROR(INDEX($J$3268:$J$3271,MATCH($O3271,$N$3268:$N$3271,0)),"")</f>
        <v/>
      </c>
      <c r="C3271" s="41" t="str">
        <f aca="false">IFERROR(INDEX($K$3268:$K$3271,MATCH($O3271,$N$3268:$N$3271,0)),"")</f>
        <v/>
      </c>
      <c r="D3271" s="42" t="str">
        <f aca="false">IF(OR(E3271="",N(C3271)=0),"",E3271/C3271-1)</f>
        <v/>
      </c>
      <c r="E3271" s="41" t="str">
        <f aca="false">IFERROR(INDEX($L$3268:$L$3271,MATCH($O3271,$N$3268:$N$3271,0)),"")</f>
        <v/>
      </c>
      <c r="F3271" s="41" t="str">
        <f aca="false">IF(E3271="","",E3271-C3271)</f>
        <v/>
      </c>
      <c r="J3271" s="25" t="str">
        <f aca="false">Lib_PA</f>
        <v>Plateforme agréée – facturation électronique</v>
      </c>
      <c r="K3271" s="25" t="n">
        <f aca="false">IF($K$3241=0,0,N(INDEX(Clients!$N$2:$N$501,$K$3241)))</f>
        <v>0</v>
      </c>
      <c r="L3271" s="25" t="n">
        <f aca="false">IF($K$3241=0,0,N(INDEX(Clients!$S$2:$S$501,$K$3241)))</f>
        <v>0</v>
      </c>
      <c r="M3271" s="25" t="n">
        <f aca="false">IF(OR(K3271&lt;&gt;0,L3271&lt;&gt;0),1,0)</f>
        <v>0</v>
      </c>
      <c r="N3271" s="25" t="str">
        <f aca="false">IF(M3271=1,SUM($M$3268:M3271),"")</f>
        <v/>
      </c>
      <c r="O3271" s="25" t="n">
        <v>4</v>
      </c>
    </row>
    <row r="3272" customFormat="false" ht="18" hidden="false" customHeight="true" outlineLevel="0" collapsed="false">
      <c r="B3272" s="43" t="s">
        <v>158</v>
      </c>
      <c r="C3272" s="44" t="n">
        <f aca="false">SUM(K3268:K3271)</f>
        <v>0</v>
      </c>
      <c r="D3272" s="45" t="str">
        <f aca="false">IF(N(C3272)=0,"",E3272/C3272-1)</f>
        <v/>
      </c>
      <c r="E3272" s="44" t="n">
        <f aca="false">SUM(L3268:L3271)</f>
        <v>0</v>
      </c>
      <c r="F3272" s="44" t="n">
        <f aca="false">E3272-C3272</f>
        <v>0</v>
      </c>
    </row>
    <row r="3273" customFormat="false" ht="15" hidden="false" customHeight="false" outlineLevel="0" collapsed="false">
      <c r="B3273" s="46" t="str">
        <f aca="false">IF(N(Nb_Mensualites)=0,"","Soit "&amp;FIXED(E3272/Nb_Mensualites,2)&amp;" € HT par échéance ("&amp;Nb_Mensualites&amp;" échéances), "&amp;FIXED(E3272/Nb_Mensualites*(1+Taux_TVA),2)&amp;" € TTC.")</f>
        <v>Soit 0.00 € HT par échéance (12 échéances), 0.00 € TTC.</v>
      </c>
      <c r="C3273" s="46"/>
      <c r="D3273" s="46"/>
      <c r="E3273" s="46"/>
      <c r="F3273" s="46"/>
    </row>
    <row r="3274" customFormat="false" ht="7.5" hidden="false" customHeight="true" outlineLevel="0" collapsed="false">
      <c r="B3274" s="10"/>
      <c r="C3274" s="10"/>
      <c r="D3274" s="10"/>
      <c r="E3274" s="10"/>
      <c r="F3274" s="10"/>
    </row>
    <row r="3275" customFormat="false" ht="36.75" hidden="false" customHeight="true" outlineLevel="0" collapsed="false">
      <c r="B3275" s="37" t="str">
        <f aca="false">SUBSTITUTE(SUBSTITUTE(SUBSTITUTE(SUBSTITUTE(SUBSTITUTE(Txt_P5,"{cabinet}",Cab_Nom),"{societe}",IF($K$3241=0,"",INDEX(Clients!$E$2:$E$501,$K$3241)&amp;"")),"{date_effet}",$K$3243),"{hausse}",$K$3244),"{civilite}",$K$3242)</f>
        <v>Les autres conditions de votre lettre de mission demeurent inchangées. Les nouveaux montants seront appliqués automatiquement sur vos prochaines factures et échéances de prélèvement.</v>
      </c>
      <c r="C3275" s="37"/>
      <c r="D3275" s="37"/>
      <c r="E3275" s="37"/>
      <c r="F3275" s="37"/>
    </row>
    <row r="3276" customFormat="false" ht="36.75" hidden="false" customHeight="true" outlineLevel="0" collapsed="false">
      <c r="B3276" s="37" t="str">
        <f aca="false">SUBSTITUTE(SUBSTITUTE(SUBSTITUTE(SUBSTITUTE(SUBSTITUTE(Txt_P6,"{cabinet}",Cab_Nom),"{societe}",IF($K$3241=0,"",INDEX(Clients!$E$2:$E$501,$K$3241)&amp;"")),"{date_effet}",$K$3243),"{hausse}",$K$3244),"{civilite}",$K$3242)</f>
        <v>Votre interlocuteur habituel reste à votre entière disposition pour répondre à vos questions et faire le point sur l'évolution de vos besoins.</v>
      </c>
      <c r="C3276" s="37"/>
      <c r="D3276" s="37"/>
      <c r="E3276" s="37"/>
      <c r="F3276" s="37"/>
    </row>
    <row r="3277" customFormat="false" ht="24" hidden="false" customHeight="true" outlineLevel="0" collapsed="false">
      <c r="B3277" s="37" t="str">
        <f aca="false">SUBSTITUTE(SUBSTITUTE(SUBSTITUTE(SUBSTITUTE(SUBSTITUTE(Txt_Politesse,"{cabinet}",Cab_Nom),"{societe}",IF($K$3241=0,"",INDEX(Clients!$E$2:$E$501,$K$3241)&amp;"")),"{date_effet}",$K$3243),"{hausse}",$K$3244),"{civilite}",$K$3242)</f>
        <v>Nous vous prions d'agréer, Madame, Monsieur, l'expression de nos salutations distinguées.</v>
      </c>
      <c r="C3277" s="37"/>
      <c r="D3277" s="37"/>
      <c r="E3277" s="37"/>
      <c r="F3277" s="37"/>
    </row>
    <row r="3278" customFormat="false" ht="15" hidden="false" customHeight="false" outlineLevel="0" collapsed="false">
      <c r="B3278" s="10"/>
      <c r="C3278" s="10"/>
      <c r="D3278" s="10"/>
      <c r="E3278" s="10"/>
      <c r="F3278" s="10"/>
    </row>
    <row r="3279" customFormat="false" ht="15" hidden="false" customHeight="false" outlineLevel="0" collapsed="false">
      <c r="B3279" s="10"/>
      <c r="C3279" s="10"/>
      <c r="D3279" s="34" t="str">
        <f aca="false">Signataire</f>
        <v>Prénom NOM</v>
      </c>
      <c r="E3279" s="34"/>
      <c r="F3279" s="34"/>
    </row>
    <row r="3280" customFormat="false" ht="15" hidden="false" customHeight="false" outlineLevel="0" collapsed="false">
      <c r="B3280" s="10"/>
      <c r="C3280" s="10"/>
      <c r="D3280" s="47" t="str">
        <f aca="false">Signataire_Titre</f>
        <v>Expert-comptable associé</v>
      </c>
      <c r="E3280" s="47"/>
      <c r="F3280" s="47"/>
    </row>
    <row r="3281" customFormat="false" ht="15.75" hidden="false" customHeight="true" outlineLevel="0" collapsed="false">
      <c r="B3281" s="10"/>
      <c r="C3281" s="10"/>
      <c r="D3281" s="10"/>
      <c r="E3281" s="10"/>
      <c r="F3281" s="10"/>
    </row>
    <row r="3282" customFormat="false" ht="15.75" hidden="false" customHeight="true" outlineLevel="0" collapsed="false">
      <c r="B3282" s="10"/>
      <c r="C3282" s="10"/>
      <c r="D3282" s="10"/>
      <c r="E3282" s="10"/>
      <c r="F3282" s="10"/>
    </row>
    <row r="3283" customFormat="false" ht="15.75" hidden="false" customHeight="true" outlineLevel="0" collapsed="false">
      <c r="B3283" s="10"/>
      <c r="C3283" s="10"/>
      <c r="D3283" s="10"/>
      <c r="E3283" s="10"/>
      <c r="F3283" s="10"/>
    </row>
    <row r="3284" customFormat="false" ht="15.75" hidden="false" customHeight="true" outlineLevel="0" collapsed="false">
      <c r="B3284" s="10"/>
      <c r="C3284" s="10"/>
      <c r="D3284" s="10"/>
      <c r="E3284" s="10"/>
      <c r="F3284" s="10"/>
    </row>
    <row r="3285" customFormat="false" ht="24" hidden="false" customHeight="true" outlineLevel="0" collapsed="false">
      <c r="B3285" s="48" t="str">
        <f aca="false">Cab_Mentions</f>
        <v>ALTHO EXPERTISE · SAS au capital de 10 000 € · RCS Pontoise 919 706 325 · TVA FR62919706325 · Société d'expertise comptable inscrite au Tableau de l'Ordre des experts-comptables de Paris Île-de-France</v>
      </c>
      <c r="C3285" s="48"/>
      <c r="D3285" s="48"/>
      <c r="E3285" s="48"/>
      <c r="F3285" s="48"/>
    </row>
    <row r="3286" customFormat="false" ht="15" hidden="false" customHeight="false" outlineLevel="0" collapsed="false">
      <c r="B3286" s="10"/>
      <c r="C3286" s="10"/>
      <c r="D3286" s="10"/>
      <c r="E3286" s="10"/>
      <c r="F3286" s="10"/>
      <c r="J3286" s="25" t="s">
        <v>142</v>
      </c>
      <c r="K3286" s="25" t="n">
        <f aca="false">IFERROR(MATCH(74,Clients!$Z$2:$Z$501,0),0)</f>
        <v>0</v>
      </c>
      <c r="L3286" s="25"/>
      <c r="M3286" s="25"/>
      <c r="N3286" s="25"/>
      <c r="O3286" s="25"/>
    </row>
    <row r="3287" customFormat="false" ht="21.75" hidden="false" customHeight="true" outlineLevel="0" collapsed="false">
      <c r="B3287" s="26" t="str">
        <f aca="false">Cab_Nom</f>
        <v>ALTHO EXPERTISE</v>
      </c>
      <c r="C3287" s="26"/>
      <c r="D3287" s="10"/>
      <c r="E3287" s="27" t="str">
        <f aca="false">IF($K$3286=0,"","Réf. client : "&amp;INDEX(Clients!$A$2:$A$501,$K$3286))</f>
        <v/>
      </c>
      <c r="F3287" s="27"/>
      <c r="J3287" s="25" t="s">
        <v>144</v>
      </c>
      <c r="K3287" s="25" t="str">
        <f aca="false">IF(IF($K$3286=0,"",INDEX(Clients!$B$2:$B$501,$K$3286)&amp;"")="Mme","Madame",IF(IF($K$3286=0,"",INDEX(Clients!$B$2:$B$501,$K$3286)&amp;"")="M.","Monsieur","Madame, Monsieur"))</f>
        <v>Madame, Monsieur</v>
      </c>
      <c r="L3287" s="25"/>
      <c r="M3287" s="25"/>
      <c r="N3287" s="25"/>
      <c r="O3287" s="25"/>
    </row>
    <row r="3288" customFormat="false" ht="15" hidden="false" customHeight="false" outlineLevel="0" collapsed="false">
      <c r="B3288" s="29" t="str">
        <f aca="false">Cab_Adr1</f>
        <v>141 rue Charles de Gaulle</v>
      </c>
      <c r="C3288" s="29"/>
      <c r="D3288" s="10"/>
      <c r="E3288" s="10"/>
      <c r="F3288" s="10"/>
      <c r="J3288" s="25" t="s">
        <v>145</v>
      </c>
      <c r="K3288" s="25" t="str">
        <f aca="false">DAY(Date_Effet)&amp;IF(DAY(Date_Effet)=1,"er","")&amp;" "&amp;INDEX(Liste_Mois,MONTH(Date_Effet))&amp;" "&amp;YEAR(Date_Effet)</f>
        <v>1er janvier 2027</v>
      </c>
      <c r="L3288" s="25"/>
      <c r="M3288" s="25"/>
      <c r="N3288" s="25"/>
      <c r="O3288" s="25"/>
    </row>
    <row r="3289" customFormat="false" ht="15" hidden="false" customHeight="false" outlineLevel="0" collapsed="false">
      <c r="B3289" s="29" t="str">
        <f aca="false">Cab_CPVille</f>
        <v>95130 LE PLESSIS-BOUCHARD</v>
      </c>
      <c r="C3289" s="29"/>
      <c r="D3289" s="10"/>
      <c r="E3289" s="10"/>
      <c r="F3289" s="10"/>
      <c r="J3289" s="25" t="s">
        <v>146</v>
      </c>
      <c r="K3289" s="25" t="str">
        <f aca="false">IF(SUM($K$3313:$K$3316)=0,"",FIXED((SUM($L$3313:$L$3316)/SUM($K$3313:$K$3316)-1)*100,1)&amp;" %")</f>
        <v/>
      </c>
      <c r="L3289" s="25"/>
      <c r="M3289" s="25"/>
      <c r="N3289" s="25"/>
      <c r="O3289" s="25"/>
    </row>
    <row r="3290" customFormat="false" ht="15" hidden="false" customHeight="false" outlineLevel="0" collapsed="false">
      <c r="B3290" s="29" t="str">
        <f aca="false">Cab_Contact</f>
        <v>Tél. 01 34 14 53 45  ·  altho@altho-experts.com  ·  altho-experts.com</v>
      </c>
      <c r="C3290" s="29"/>
      <c r="D3290" s="10"/>
      <c r="E3290" s="10"/>
      <c r="F3290" s="10"/>
      <c r="J3290" s="25"/>
      <c r="K3290" s="25"/>
      <c r="L3290" s="25"/>
      <c r="M3290" s="25"/>
      <c r="N3290" s="25"/>
      <c r="O3290" s="25"/>
    </row>
    <row r="3291" customFormat="false" ht="6" hidden="false" customHeight="true" outlineLevel="0" collapsed="false">
      <c r="B3291" s="32"/>
      <c r="C3291" s="32"/>
      <c r="D3291" s="32"/>
      <c r="E3291" s="32"/>
      <c r="F3291" s="32"/>
      <c r="J3291" s="25"/>
      <c r="K3291" s="25"/>
      <c r="L3291" s="25"/>
      <c r="M3291" s="25"/>
      <c r="N3291" s="25"/>
      <c r="O3291" s="25"/>
    </row>
    <row r="3292" customFormat="false" ht="13.5" hidden="false" customHeight="true" outlineLevel="0" collapsed="false">
      <c r="B3292" s="10"/>
      <c r="C3292" s="10"/>
      <c r="D3292" s="10"/>
      <c r="E3292" s="10"/>
      <c r="F3292" s="10"/>
      <c r="J3292" s="25"/>
      <c r="K3292" s="25"/>
      <c r="L3292" s="25"/>
      <c r="M3292" s="25"/>
      <c r="N3292" s="25"/>
      <c r="O3292" s="25"/>
    </row>
    <row r="3293" customFormat="false" ht="13.5" hidden="false" customHeight="true" outlineLevel="0" collapsed="false">
      <c r="B3293" s="10"/>
      <c r="C3293" s="10"/>
      <c r="D3293" s="10"/>
      <c r="E3293" s="10"/>
      <c r="F3293" s="10"/>
      <c r="J3293" s="25"/>
      <c r="K3293" s="25"/>
      <c r="L3293" s="25"/>
      <c r="M3293" s="25"/>
      <c r="N3293" s="25"/>
      <c r="O3293" s="25"/>
    </row>
    <row r="3294" customFormat="false" ht="13.5" hidden="false" customHeight="true" outlineLevel="0" collapsed="false">
      <c r="B3294" s="10"/>
      <c r="C3294" s="10"/>
      <c r="D3294" s="10"/>
      <c r="E3294" s="10"/>
      <c r="F3294" s="10"/>
      <c r="J3294" s="25"/>
      <c r="K3294" s="25"/>
      <c r="L3294" s="25"/>
      <c r="M3294" s="25"/>
      <c r="N3294" s="25"/>
      <c r="O3294" s="25"/>
    </row>
    <row r="3295" customFormat="false" ht="15" hidden="false" customHeight="true" outlineLevel="0" collapsed="false">
      <c r="B3295" s="10"/>
      <c r="C3295" s="10"/>
      <c r="D3295" s="34" t="str">
        <f aca="false">IF($K$3286=0,"",INDEX(Clients!$E$2:$E$501,$K$3286)&amp;"")</f>
        <v/>
      </c>
      <c r="E3295" s="34"/>
      <c r="F3295" s="34"/>
      <c r="J3295" s="25"/>
      <c r="K3295" s="25"/>
      <c r="L3295" s="25"/>
      <c r="M3295" s="25"/>
      <c r="N3295" s="25"/>
      <c r="O3295" s="25"/>
    </row>
    <row r="3296" customFormat="false" ht="15" hidden="false" customHeight="true" outlineLevel="0" collapsed="false">
      <c r="B3296" s="10"/>
      <c r="C3296" s="10"/>
      <c r="D3296" s="35" t="str">
        <f aca="false">IF(IF($K$3286=0,"",INDEX(Clients!$D$2:$D$501,$K$3286)&amp;"")="","","À l'attention de "&amp;TRIM(IF($K$3286=0,"",INDEX(Clients!$B$2:$B$501,$K$3286)&amp;"")&amp;" "&amp;IF($K$3286=0,"",INDEX(Clients!$C$2:$C$501,$K$3286)&amp;"")&amp;" "&amp;IF($K$3286=0,"",INDEX(Clients!$D$2:$D$501,$K$3286)&amp;"")))</f>
        <v/>
      </c>
      <c r="E3296" s="35"/>
      <c r="F3296" s="35"/>
      <c r="J3296" s="25"/>
      <c r="K3296" s="25"/>
      <c r="L3296" s="25"/>
      <c r="M3296" s="25"/>
      <c r="N3296" s="25"/>
      <c r="O3296" s="25"/>
    </row>
    <row r="3297" customFormat="false" ht="15" hidden="false" customHeight="true" outlineLevel="0" collapsed="false">
      <c r="B3297" s="10"/>
      <c r="C3297" s="10"/>
      <c r="D3297" s="35" t="str">
        <f aca="false">IF($K$3286=0,"",INDEX(Clients!$F$2:$F$501,$K$3286)&amp;"")</f>
        <v/>
      </c>
      <c r="E3297" s="35"/>
      <c r="F3297" s="35"/>
      <c r="J3297" s="25"/>
      <c r="K3297" s="25"/>
      <c r="L3297" s="25"/>
      <c r="M3297" s="25"/>
      <c r="N3297" s="25"/>
      <c r="O3297" s="25"/>
    </row>
    <row r="3298" customFormat="false" ht="15" hidden="false" customHeight="true" outlineLevel="0" collapsed="false">
      <c r="B3298" s="10"/>
      <c r="C3298" s="10"/>
      <c r="D3298" s="35" t="str">
        <f aca="false">IF(IF($K$3286=0,"",INDEX(Clients!$G$2:$G$501,$K$3286)&amp;"")="",TRIM(IF($K$3286=0,"",INDEX(Clients!$H$2:$H$501,$K$3286)&amp;"")&amp;" "&amp;UPPER(IF($K$3286=0,"",INDEX(Clients!$I$2:$I$501,$K$3286)&amp;""))),IF($K$3286=0,"",INDEX(Clients!$G$2:$G$501,$K$3286)&amp;""))</f>
        <v/>
      </c>
      <c r="E3298" s="35"/>
      <c r="F3298" s="35"/>
      <c r="J3298" s="25"/>
      <c r="K3298" s="25"/>
      <c r="L3298" s="25"/>
      <c r="M3298" s="25"/>
      <c r="N3298" s="25"/>
      <c r="O3298" s="25"/>
    </row>
    <row r="3299" customFormat="false" ht="15" hidden="false" customHeight="true" outlineLevel="0" collapsed="false">
      <c r="B3299" s="10"/>
      <c r="C3299" s="10"/>
      <c r="D3299" s="35" t="str">
        <f aca="false">IF(IF($K$3286=0,"",INDEX(Clients!$G$2:$G$501,$K$3286)&amp;"")="","",TRIM(IF($K$3286=0,"",INDEX(Clients!$H$2:$H$501,$K$3286)&amp;"")&amp;" "&amp;UPPER(IF($K$3286=0,"",INDEX(Clients!$I$2:$I$501,$K$3286)&amp;""))))</f>
        <v/>
      </c>
      <c r="E3299" s="35"/>
      <c r="F3299" s="35"/>
      <c r="J3299" s="25"/>
      <c r="K3299" s="25"/>
      <c r="L3299" s="25"/>
      <c r="M3299" s="25"/>
      <c r="N3299" s="25"/>
      <c r="O3299" s="25"/>
    </row>
    <row r="3300" customFormat="false" ht="25.5" hidden="false" customHeight="true" outlineLevel="0" collapsed="false">
      <c r="B3300" s="10"/>
      <c r="C3300" s="10"/>
      <c r="D3300" s="10"/>
      <c r="E3300" s="10"/>
      <c r="F3300" s="10"/>
      <c r="J3300" s="25"/>
      <c r="K3300" s="25"/>
      <c r="L3300" s="25"/>
      <c r="M3300" s="25"/>
      <c r="N3300" s="25"/>
      <c r="O3300" s="25"/>
    </row>
    <row r="3301" customFormat="false" ht="15" hidden="false" customHeight="false" outlineLevel="0" collapsed="false">
      <c r="B3301" s="10"/>
      <c r="C3301" s="10"/>
      <c r="D3301" s="36" t="str">
        <f aca="false">Cab_Ville&amp;", le "&amp;DAY(Date_Courrier)&amp;IF(DAY(Date_Courrier)=1,"er","")&amp;" "&amp;INDEX(Liste_Mois,MONTH(Date_Courrier))&amp;" "&amp;YEAR(Date_Courrier)</f>
        <v>Le Plessis-Bouchard, le 22 septembre 2026</v>
      </c>
      <c r="E3301" s="36"/>
      <c r="F3301" s="36"/>
      <c r="J3301" s="25"/>
      <c r="K3301" s="25"/>
      <c r="L3301" s="25"/>
      <c r="M3301" s="25"/>
      <c r="N3301" s="25"/>
      <c r="O3301" s="25"/>
    </row>
    <row r="3302" customFormat="false" ht="19.5" hidden="false" customHeight="true" outlineLevel="0" collapsed="false">
      <c r="B3302" s="10"/>
      <c r="C3302" s="10"/>
      <c r="D3302" s="10"/>
      <c r="E3302" s="10"/>
      <c r="F3302" s="10"/>
      <c r="J3302" s="25"/>
      <c r="K3302" s="25"/>
      <c r="L3302" s="25"/>
      <c r="M3302" s="25"/>
      <c r="N3302" s="25"/>
      <c r="O3302" s="25"/>
    </row>
    <row r="3303" customFormat="false" ht="15" hidden="false" customHeight="false" outlineLevel="0" collapsed="false">
      <c r="B3303" s="34" t="str">
        <f aca="false">SUBSTITUTE(SUBSTITUTE(SUBSTITUTE(SUBSTITUTE(SUBSTITUTE(Txt_Objet,"{cabinet}",Cab_Nom),"{societe}",IF($K$3286=0,"",INDEX(Clients!$E$2:$E$501,$K$3286)&amp;"")),"{date_effet}",$K$3288),"{hausse}",$K$3289),"{civilite}",$K$3287)</f>
        <v>Objet : révision de nos honoraires au 1er janvier 2027</v>
      </c>
      <c r="C3303" s="34"/>
      <c r="D3303" s="34"/>
      <c r="E3303" s="34"/>
      <c r="F3303" s="34"/>
      <c r="J3303" s="25"/>
      <c r="K3303" s="25"/>
      <c r="L3303" s="25"/>
      <c r="M3303" s="25"/>
      <c r="N3303" s="25"/>
      <c r="O3303" s="25"/>
    </row>
    <row r="3304" customFormat="false" ht="13.5" hidden="false" customHeight="true" outlineLevel="0" collapsed="false">
      <c r="B3304" s="10"/>
      <c r="C3304" s="10"/>
      <c r="D3304" s="10"/>
      <c r="E3304" s="10"/>
      <c r="F3304" s="10"/>
      <c r="J3304" s="25"/>
      <c r="K3304" s="25"/>
      <c r="L3304" s="25"/>
      <c r="M3304" s="25"/>
      <c r="N3304" s="25"/>
      <c r="O3304" s="25"/>
    </row>
    <row r="3305" customFormat="false" ht="15" hidden="false" customHeight="false" outlineLevel="0" collapsed="false">
      <c r="B3305" s="10" t="str">
        <f aca="false">$K$3287&amp;","</f>
        <v>Madame, Monsieur,</v>
      </c>
      <c r="C3305" s="10"/>
      <c r="D3305" s="10"/>
      <c r="E3305" s="10"/>
      <c r="F3305" s="10"/>
      <c r="J3305" s="25"/>
      <c r="K3305" s="25"/>
      <c r="L3305" s="25"/>
      <c r="M3305" s="25"/>
      <c r="N3305" s="25"/>
      <c r="O3305" s="25"/>
    </row>
    <row r="3306" customFormat="false" ht="6" hidden="false" customHeight="true" outlineLevel="0" collapsed="false">
      <c r="B3306" s="10"/>
      <c r="C3306" s="10"/>
      <c r="D3306" s="10"/>
      <c r="E3306" s="10"/>
      <c r="F3306" s="10"/>
      <c r="J3306" s="25"/>
      <c r="K3306" s="25"/>
      <c r="L3306" s="25"/>
      <c r="M3306" s="25"/>
      <c r="N3306" s="25"/>
      <c r="O3306" s="25"/>
    </row>
    <row r="3307" customFormat="false" ht="36.75" hidden="false" customHeight="true" outlineLevel="0" collapsed="false">
      <c r="B3307" s="37" t="str">
        <f aca="false">SUBSTITUTE(SUBSTITUTE(SUBSTITUTE(SUBSTITUTE(SUBSTITUTE(Txt_P1,"{cabinet}",Cab_Nom),"{societe}",IF($K$3286=0,"",INDEX(Clients!$E$2:$E$501,$K$3286)&amp;"")),"{date_effet}",$K$3288),"{hausse}",$K$3289),"{civilite}",$K$3287)</f>
        <v>Nous tenons tout d'abord à vous remercier pour la confiance que vous accordez à ALTHO EXPERTISE. Comme chaque année, et conformément aux dispositions de votre lettre de mission, nous procédons à la révision de nos honoraires.</v>
      </c>
      <c r="C3307" s="37"/>
      <c r="D3307" s="37"/>
      <c r="E3307" s="37"/>
      <c r="F3307" s="37"/>
      <c r="J3307" s="25"/>
      <c r="K3307" s="25"/>
      <c r="L3307" s="25"/>
      <c r="M3307" s="25"/>
      <c r="N3307" s="25"/>
      <c r="O3307" s="25"/>
    </row>
    <row r="3308" customFormat="false" ht="49.5" hidden="false" customHeight="true" outlineLevel="0" collapsed="false">
      <c r="B3308" s="37" t="str">
        <f aca="false">SUBSTITUTE(SUBSTITUTE(SUBSTITUTE(SUBSTITUTE(SUBSTITUTE(Txt_P2,"{cabinet}",Cab_Nom),"{societe}",IF($K$3286=0,"",INDEX(Clients!$E$2:$E$501,$K$3286)&amp;"")),"{date_effet}",$K$3288),"{hausse}",$K$3289),"{civilite}",$K$3287)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308" s="37"/>
      <c r="D3308" s="37"/>
      <c r="E3308" s="37"/>
      <c r="F3308" s="37"/>
      <c r="J3308" s="25"/>
      <c r="K3308" s="25"/>
      <c r="L3308" s="25"/>
      <c r="M3308" s="25"/>
      <c r="N3308" s="25"/>
      <c r="O3308" s="25"/>
    </row>
    <row r="3309" customFormat="false" ht="63" hidden="false" customHeight="true" outlineLevel="0" collapsed="false">
      <c r="B3309" s="37" t="str">
        <f aca="false">SUBSTITUTE(SUBSTITUTE(SUBSTITUTE(SUBSTITUTE(SUBSTITUTE(Txt_P3,"{cabinet}",Cab_Nom),"{societe}",IF($K$3286=0,"",INDEX(Clients!$E$2:$E$501,$K$3286)&amp;"")),"{date_effet}",$K$3288),"{hausse}",$K$3289),"{civilite}",$K$3287)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309" s="37"/>
      <c r="D3309" s="37"/>
      <c r="E3309" s="37"/>
      <c r="F3309" s="37"/>
      <c r="J3309" s="25"/>
      <c r="K3309" s="25"/>
      <c r="L3309" s="25"/>
      <c r="M3309" s="25"/>
      <c r="N3309" s="25"/>
      <c r="O3309" s="25"/>
    </row>
    <row r="3310" customFormat="false" ht="24" hidden="false" customHeight="true" outlineLevel="0" collapsed="false">
      <c r="B3310" s="37" t="str">
        <f aca="false">SUBSTITUTE(SUBSTITUTE(SUBSTITUTE(SUBSTITUTE(SUBSTITUTE(Txt_P4,"{cabinet}",Cab_Nom),"{societe}",IF($K$3286=0,"",INDEX(Clients!$E$2:$E$501,$K$3286)&amp;"")),"{date_effet}",$K$3288),"{hausse}",$K$3289),"{civilite}",$K$3287)</f>
        <v>À compter du 1er janvier 2027, vos honoraires annuels hors taxes évolueront ainsi (évolution globale : ) :</v>
      </c>
      <c r="C3310" s="37"/>
      <c r="D3310" s="37"/>
      <c r="E3310" s="37"/>
      <c r="F3310" s="37"/>
      <c r="J3310" s="25"/>
      <c r="K3310" s="25"/>
      <c r="L3310" s="25"/>
      <c r="M3310" s="25"/>
      <c r="N3310" s="25"/>
      <c r="O3310" s="25"/>
    </row>
    <row r="3311" customFormat="false" ht="3.75" hidden="false" customHeight="true" outlineLevel="0" collapsed="false">
      <c r="B3311" s="10"/>
      <c r="C3311" s="10"/>
      <c r="D3311" s="10"/>
      <c r="E3311" s="10"/>
      <c r="F3311" s="10"/>
      <c r="J3311" s="25"/>
      <c r="K3311" s="25"/>
      <c r="L3311" s="25"/>
      <c r="M3311" s="25"/>
      <c r="N3311" s="25"/>
      <c r="O3311" s="25"/>
    </row>
    <row r="3312" customFormat="false" ht="18" hidden="false" customHeight="true" outlineLevel="0" collapsed="false">
      <c r="B3312" s="38" t="s">
        <v>148</v>
      </c>
      <c r="C3312" s="39" t="s">
        <v>149</v>
      </c>
      <c r="D3312" s="39" t="s">
        <v>150</v>
      </c>
      <c r="E3312" s="39" t="s">
        <v>151</v>
      </c>
      <c r="F3312" s="39" t="s">
        <v>109</v>
      </c>
      <c r="J3312" s="25" t="s">
        <v>152</v>
      </c>
      <c r="K3312" s="25" t="s">
        <v>153</v>
      </c>
      <c r="L3312" s="25" t="s">
        <v>154</v>
      </c>
      <c r="M3312" s="25" t="s">
        <v>155</v>
      </c>
      <c r="N3312" s="25" t="s">
        <v>156</v>
      </c>
      <c r="O3312" s="25" t="s">
        <v>157</v>
      </c>
    </row>
    <row r="3313" customFormat="false" ht="16.5" hidden="false" customHeight="true" outlineLevel="0" collapsed="false">
      <c r="B3313" s="40" t="str">
        <f aca="false">IFERROR(INDEX($J$3313:$J$3316,MATCH($O3313,$N$3313:$N$3316,0)),"")</f>
        <v/>
      </c>
      <c r="C3313" s="41" t="str">
        <f aca="false">IFERROR(INDEX($K$3313:$K$3316,MATCH($O3313,$N$3313:$N$3316,0)),"")</f>
        <v/>
      </c>
      <c r="D3313" s="42" t="str">
        <f aca="false">IF(OR(E3313="",N(C3313)=0),"",E3313/C3313-1)</f>
        <v/>
      </c>
      <c r="E3313" s="41" t="str">
        <f aca="false">IFERROR(INDEX($L$3313:$L$3316,MATCH($O3313,$N$3313:$N$3316,0)),"")</f>
        <v/>
      </c>
      <c r="F3313" s="41" t="str">
        <f aca="false">IF(E3313="","",E3313-C3313)</f>
        <v/>
      </c>
      <c r="J3313" s="25" t="str">
        <f aca="false">Lib_Compta</f>
        <v>Mission comptable (tenue, révision, bilan, liasse fiscale)</v>
      </c>
      <c r="K3313" s="25" t="n">
        <f aca="false">IF($K$3286=0,0,N(INDEX(Clients!$K$2:$K$501,$K$3286)))</f>
        <v>0</v>
      </c>
      <c r="L3313" s="25" t="n">
        <f aca="false">IF($K$3286=0,0,N(INDEX(Clients!$P$2:$P$501,$K$3286)))</f>
        <v>0</v>
      </c>
      <c r="M3313" s="25" t="n">
        <f aca="false">IF(OR(K3313&lt;&gt;0,L3313&lt;&gt;0),1,0)</f>
        <v>0</v>
      </c>
      <c r="N3313" s="25" t="str">
        <f aca="false">IF(M3313=1,SUM($M$3313:M3313),"")</f>
        <v/>
      </c>
      <c r="O3313" s="25" t="n">
        <v>1</v>
      </c>
    </row>
    <row r="3314" customFormat="false" ht="16.5" hidden="false" customHeight="true" outlineLevel="0" collapsed="false">
      <c r="B3314" s="40" t="str">
        <f aca="false">IFERROR(INDEX($J$3313:$J$3316,MATCH($O3314,$N$3313:$N$3316,0)),"")</f>
        <v/>
      </c>
      <c r="C3314" s="41" t="str">
        <f aca="false">IFERROR(INDEX($K$3313:$K$3316,MATCH($O3314,$N$3313:$N$3316,0)),"")</f>
        <v/>
      </c>
      <c r="D3314" s="42" t="str">
        <f aca="false">IF(OR(E3314="",N(C3314)=0),"",E3314/C3314-1)</f>
        <v/>
      </c>
      <c r="E3314" s="41" t="str">
        <f aca="false">IFERROR(INDEX($L$3313:$L$3316,MATCH($O3314,$N$3313:$N$3316,0)),"")</f>
        <v/>
      </c>
      <c r="F3314" s="41" t="str">
        <f aca="false">IF(E3314="","",E3314-C3314)</f>
        <v/>
      </c>
      <c r="J3314" s="25" t="str">
        <f aca="false">Lib_Paye</f>
        <v>Mission sociale (bulletins de paie, DSN, déclarations sociales)</v>
      </c>
      <c r="K3314" s="25" t="n">
        <f aca="false">IF($K$3286=0,0,N(INDEX(Clients!$L$2:$L$501,$K$3286)))</f>
        <v>0</v>
      </c>
      <c r="L3314" s="25" t="n">
        <f aca="false">IF($K$3286=0,0,N(INDEX(Clients!$Q$2:$Q$501,$K$3286)))</f>
        <v>0</v>
      </c>
      <c r="M3314" s="25" t="n">
        <f aca="false">IF(OR(K3314&lt;&gt;0,L3314&lt;&gt;0),1,0)</f>
        <v>0</v>
      </c>
      <c r="N3314" s="25" t="str">
        <f aca="false">IF(M3314=1,SUM($M$3313:M3314),"")</f>
        <v/>
      </c>
      <c r="O3314" s="25" t="n">
        <v>2</v>
      </c>
    </row>
    <row r="3315" customFormat="false" ht="16.5" hidden="false" customHeight="true" outlineLevel="0" collapsed="false">
      <c r="B3315" s="40" t="str">
        <f aca="false">IFERROR(INDEX($J$3313:$J$3316,MATCH($O3315,$N$3313:$N$3316,0)),"")</f>
        <v/>
      </c>
      <c r="C3315" s="41" t="str">
        <f aca="false">IFERROR(INDEX($K$3313:$K$3316,MATCH($O3315,$N$3313:$N$3316,0)),"")</f>
        <v/>
      </c>
      <c r="D3315" s="42" t="str">
        <f aca="false">IF(OR(E3315="",N(C3315)=0),"",E3315/C3315-1)</f>
        <v/>
      </c>
      <c r="E3315" s="41" t="str">
        <f aca="false">IFERROR(INDEX($L$3313:$L$3316,MATCH($O3315,$N$3313:$N$3316,0)),"")</f>
        <v/>
      </c>
      <c r="F3315" s="41" t="str">
        <f aca="false">IF(E3315="","",E3315-C3315)</f>
        <v/>
      </c>
      <c r="J3315" s="25" t="str">
        <f aca="false">Lib_Jur</f>
        <v>Mission juridique (approbation des comptes, secrétariat juridique)</v>
      </c>
      <c r="K3315" s="25" t="n">
        <f aca="false">IF($K$3286=0,0,N(INDEX(Clients!$M$2:$M$501,$K$3286)))</f>
        <v>0</v>
      </c>
      <c r="L3315" s="25" t="n">
        <f aca="false">IF($K$3286=0,0,N(INDEX(Clients!$R$2:$R$501,$K$3286)))</f>
        <v>0</v>
      </c>
      <c r="M3315" s="25" t="n">
        <f aca="false">IF(OR(K3315&lt;&gt;0,L3315&lt;&gt;0),1,0)</f>
        <v>0</v>
      </c>
      <c r="N3315" s="25" t="str">
        <f aca="false">IF(M3315=1,SUM($M$3313:M3315),"")</f>
        <v/>
      </c>
      <c r="O3315" s="25" t="n">
        <v>3</v>
      </c>
    </row>
    <row r="3316" customFormat="false" ht="16.5" hidden="false" customHeight="true" outlineLevel="0" collapsed="false">
      <c r="B3316" s="40" t="str">
        <f aca="false">IFERROR(INDEX($J$3313:$J$3316,MATCH($O3316,$N$3313:$N$3316,0)),"")</f>
        <v/>
      </c>
      <c r="C3316" s="41" t="str">
        <f aca="false">IFERROR(INDEX($K$3313:$K$3316,MATCH($O3316,$N$3313:$N$3316,0)),"")</f>
        <v/>
      </c>
      <c r="D3316" s="42" t="str">
        <f aca="false">IF(OR(E3316="",N(C3316)=0),"",E3316/C3316-1)</f>
        <v/>
      </c>
      <c r="E3316" s="41" t="str">
        <f aca="false">IFERROR(INDEX($L$3313:$L$3316,MATCH($O3316,$N$3313:$N$3316,0)),"")</f>
        <v/>
      </c>
      <c r="F3316" s="41" t="str">
        <f aca="false">IF(E3316="","",E3316-C3316)</f>
        <v/>
      </c>
      <c r="J3316" s="25" t="str">
        <f aca="false">Lib_PA</f>
        <v>Plateforme agréée – facturation électronique</v>
      </c>
      <c r="K3316" s="25" t="n">
        <f aca="false">IF($K$3286=0,0,N(INDEX(Clients!$N$2:$N$501,$K$3286)))</f>
        <v>0</v>
      </c>
      <c r="L3316" s="25" t="n">
        <f aca="false">IF($K$3286=0,0,N(INDEX(Clients!$S$2:$S$501,$K$3286)))</f>
        <v>0</v>
      </c>
      <c r="M3316" s="25" t="n">
        <f aca="false">IF(OR(K3316&lt;&gt;0,L3316&lt;&gt;0),1,0)</f>
        <v>0</v>
      </c>
      <c r="N3316" s="25" t="str">
        <f aca="false">IF(M3316=1,SUM($M$3313:M3316),"")</f>
        <v/>
      </c>
      <c r="O3316" s="25" t="n">
        <v>4</v>
      </c>
    </row>
    <row r="3317" customFormat="false" ht="18" hidden="false" customHeight="true" outlineLevel="0" collapsed="false">
      <c r="B3317" s="43" t="s">
        <v>158</v>
      </c>
      <c r="C3317" s="44" t="n">
        <f aca="false">SUM(K3313:K3316)</f>
        <v>0</v>
      </c>
      <c r="D3317" s="45" t="str">
        <f aca="false">IF(N(C3317)=0,"",E3317/C3317-1)</f>
        <v/>
      </c>
      <c r="E3317" s="44" t="n">
        <f aca="false">SUM(L3313:L3316)</f>
        <v>0</v>
      </c>
      <c r="F3317" s="44" t="n">
        <f aca="false">E3317-C3317</f>
        <v>0</v>
      </c>
    </row>
    <row r="3318" customFormat="false" ht="15" hidden="false" customHeight="false" outlineLevel="0" collapsed="false">
      <c r="B3318" s="46" t="str">
        <f aca="false">IF(N(Nb_Mensualites)=0,"","Soit "&amp;FIXED(E3317/Nb_Mensualites,2)&amp;" € HT par échéance ("&amp;Nb_Mensualites&amp;" échéances), "&amp;FIXED(E3317/Nb_Mensualites*(1+Taux_TVA),2)&amp;" € TTC.")</f>
        <v>Soit 0.00 € HT par échéance (12 échéances), 0.00 € TTC.</v>
      </c>
      <c r="C3318" s="46"/>
      <c r="D3318" s="46"/>
      <c r="E3318" s="46"/>
      <c r="F3318" s="46"/>
    </row>
    <row r="3319" customFormat="false" ht="7.5" hidden="false" customHeight="true" outlineLevel="0" collapsed="false">
      <c r="B3319" s="10"/>
      <c r="C3319" s="10"/>
      <c r="D3319" s="10"/>
      <c r="E3319" s="10"/>
      <c r="F3319" s="10"/>
    </row>
    <row r="3320" customFormat="false" ht="36.75" hidden="false" customHeight="true" outlineLevel="0" collapsed="false">
      <c r="B3320" s="37" t="str">
        <f aca="false">SUBSTITUTE(SUBSTITUTE(SUBSTITUTE(SUBSTITUTE(SUBSTITUTE(Txt_P5,"{cabinet}",Cab_Nom),"{societe}",IF($K$3286=0,"",INDEX(Clients!$E$2:$E$501,$K$3286)&amp;"")),"{date_effet}",$K$3288),"{hausse}",$K$3289),"{civilite}",$K$3287)</f>
        <v>Les autres conditions de votre lettre de mission demeurent inchangées. Les nouveaux montants seront appliqués automatiquement sur vos prochaines factures et échéances de prélèvement.</v>
      </c>
      <c r="C3320" s="37"/>
      <c r="D3320" s="37"/>
      <c r="E3320" s="37"/>
      <c r="F3320" s="37"/>
    </row>
    <row r="3321" customFormat="false" ht="36.75" hidden="false" customHeight="true" outlineLevel="0" collapsed="false">
      <c r="B3321" s="37" t="str">
        <f aca="false">SUBSTITUTE(SUBSTITUTE(SUBSTITUTE(SUBSTITUTE(SUBSTITUTE(Txt_P6,"{cabinet}",Cab_Nom),"{societe}",IF($K$3286=0,"",INDEX(Clients!$E$2:$E$501,$K$3286)&amp;"")),"{date_effet}",$K$3288),"{hausse}",$K$3289),"{civilite}",$K$3287)</f>
        <v>Votre interlocuteur habituel reste à votre entière disposition pour répondre à vos questions et faire le point sur l'évolution de vos besoins.</v>
      </c>
      <c r="C3321" s="37"/>
      <c r="D3321" s="37"/>
      <c r="E3321" s="37"/>
      <c r="F3321" s="37"/>
    </row>
    <row r="3322" customFormat="false" ht="24" hidden="false" customHeight="true" outlineLevel="0" collapsed="false">
      <c r="B3322" s="37" t="str">
        <f aca="false">SUBSTITUTE(SUBSTITUTE(SUBSTITUTE(SUBSTITUTE(SUBSTITUTE(Txt_Politesse,"{cabinet}",Cab_Nom),"{societe}",IF($K$3286=0,"",INDEX(Clients!$E$2:$E$501,$K$3286)&amp;"")),"{date_effet}",$K$3288),"{hausse}",$K$3289),"{civilite}",$K$3287)</f>
        <v>Nous vous prions d'agréer, Madame, Monsieur, l'expression de nos salutations distinguées.</v>
      </c>
      <c r="C3322" s="37"/>
      <c r="D3322" s="37"/>
      <c r="E3322" s="37"/>
      <c r="F3322" s="37"/>
    </row>
    <row r="3323" customFormat="false" ht="15" hidden="false" customHeight="false" outlineLevel="0" collapsed="false">
      <c r="B3323" s="10"/>
      <c r="C3323" s="10"/>
      <c r="D3323" s="10"/>
      <c r="E3323" s="10"/>
      <c r="F3323" s="10"/>
    </row>
    <row r="3324" customFormat="false" ht="15" hidden="false" customHeight="false" outlineLevel="0" collapsed="false">
      <c r="B3324" s="10"/>
      <c r="C3324" s="10"/>
      <c r="D3324" s="34" t="str">
        <f aca="false">Signataire</f>
        <v>Prénom NOM</v>
      </c>
      <c r="E3324" s="34"/>
      <c r="F3324" s="34"/>
    </row>
    <row r="3325" customFormat="false" ht="15" hidden="false" customHeight="false" outlineLevel="0" collapsed="false">
      <c r="B3325" s="10"/>
      <c r="C3325" s="10"/>
      <c r="D3325" s="47" t="str">
        <f aca="false">Signataire_Titre</f>
        <v>Expert-comptable associé</v>
      </c>
      <c r="E3325" s="47"/>
      <c r="F3325" s="47"/>
    </row>
    <row r="3326" customFormat="false" ht="15.75" hidden="false" customHeight="true" outlineLevel="0" collapsed="false">
      <c r="B3326" s="10"/>
      <c r="C3326" s="10"/>
      <c r="D3326" s="10"/>
      <c r="E3326" s="10"/>
      <c r="F3326" s="10"/>
    </row>
    <row r="3327" customFormat="false" ht="15.75" hidden="false" customHeight="true" outlineLevel="0" collapsed="false">
      <c r="B3327" s="10"/>
      <c r="C3327" s="10"/>
      <c r="D3327" s="10"/>
      <c r="E3327" s="10"/>
      <c r="F3327" s="10"/>
    </row>
    <row r="3328" customFormat="false" ht="15.75" hidden="false" customHeight="true" outlineLevel="0" collapsed="false">
      <c r="B3328" s="10"/>
      <c r="C3328" s="10"/>
      <c r="D3328" s="10"/>
      <c r="E3328" s="10"/>
      <c r="F3328" s="10"/>
    </row>
    <row r="3329" customFormat="false" ht="15.75" hidden="false" customHeight="true" outlineLevel="0" collapsed="false">
      <c r="B3329" s="10"/>
      <c r="C3329" s="10"/>
      <c r="D3329" s="10"/>
      <c r="E3329" s="10"/>
      <c r="F3329" s="10"/>
    </row>
    <row r="3330" customFormat="false" ht="24" hidden="false" customHeight="true" outlineLevel="0" collapsed="false">
      <c r="B3330" s="48" t="str">
        <f aca="false">Cab_Mentions</f>
        <v>ALTHO EXPERTISE · SAS au capital de 10 000 € · RCS Pontoise 919 706 325 · TVA FR62919706325 · Société d'expertise comptable inscrite au Tableau de l'Ordre des experts-comptables de Paris Île-de-France</v>
      </c>
      <c r="C3330" s="48"/>
      <c r="D3330" s="48"/>
      <c r="E3330" s="48"/>
      <c r="F3330" s="48"/>
    </row>
    <row r="3331" customFormat="false" ht="15" hidden="false" customHeight="false" outlineLevel="0" collapsed="false">
      <c r="B3331" s="10"/>
      <c r="C3331" s="10"/>
      <c r="D3331" s="10"/>
      <c r="E3331" s="10"/>
      <c r="F3331" s="10"/>
      <c r="J3331" s="25" t="s">
        <v>142</v>
      </c>
      <c r="K3331" s="25" t="n">
        <f aca="false">IFERROR(MATCH(75,Clients!$Z$2:$Z$501,0),0)</f>
        <v>0</v>
      </c>
      <c r="L3331" s="25"/>
      <c r="M3331" s="25"/>
      <c r="N3331" s="25"/>
      <c r="O3331" s="25"/>
    </row>
    <row r="3332" customFormat="false" ht="21.75" hidden="false" customHeight="true" outlineLevel="0" collapsed="false">
      <c r="B3332" s="26" t="str">
        <f aca="false">Cab_Nom</f>
        <v>ALTHO EXPERTISE</v>
      </c>
      <c r="C3332" s="26"/>
      <c r="D3332" s="10"/>
      <c r="E3332" s="27" t="str">
        <f aca="false">IF($K$3331=0,"","Réf. client : "&amp;INDEX(Clients!$A$2:$A$501,$K$3331))</f>
        <v/>
      </c>
      <c r="F3332" s="27"/>
      <c r="J3332" s="25" t="s">
        <v>144</v>
      </c>
      <c r="K3332" s="25" t="str">
        <f aca="false">IF(IF($K$3331=0,"",INDEX(Clients!$B$2:$B$501,$K$3331)&amp;"")="Mme","Madame",IF(IF($K$3331=0,"",INDEX(Clients!$B$2:$B$501,$K$3331)&amp;"")="M.","Monsieur","Madame, Monsieur"))</f>
        <v>Madame, Monsieur</v>
      </c>
      <c r="L3332" s="25"/>
      <c r="M3332" s="25"/>
      <c r="N3332" s="25"/>
      <c r="O3332" s="25"/>
    </row>
    <row r="3333" customFormat="false" ht="15" hidden="false" customHeight="false" outlineLevel="0" collapsed="false">
      <c r="B3333" s="29" t="str">
        <f aca="false">Cab_Adr1</f>
        <v>141 rue Charles de Gaulle</v>
      </c>
      <c r="C3333" s="29"/>
      <c r="D3333" s="10"/>
      <c r="E3333" s="10"/>
      <c r="F3333" s="10"/>
      <c r="J3333" s="25" t="s">
        <v>145</v>
      </c>
      <c r="K3333" s="25" t="str">
        <f aca="false">DAY(Date_Effet)&amp;IF(DAY(Date_Effet)=1,"er","")&amp;" "&amp;INDEX(Liste_Mois,MONTH(Date_Effet))&amp;" "&amp;YEAR(Date_Effet)</f>
        <v>1er janvier 2027</v>
      </c>
      <c r="L3333" s="25"/>
      <c r="M3333" s="25"/>
      <c r="N3333" s="25"/>
      <c r="O3333" s="25"/>
    </row>
    <row r="3334" customFormat="false" ht="15" hidden="false" customHeight="false" outlineLevel="0" collapsed="false">
      <c r="B3334" s="29" t="str">
        <f aca="false">Cab_CPVille</f>
        <v>95130 LE PLESSIS-BOUCHARD</v>
      </c>
      <c r="C3334" s="29"/>
      <c r="D3334" s="10"/>
      <c r="E3334" s="10"/>
      <c r="F3334" s="10"/>
      <c r="J3334" s="25" t="s">
        <v>146</v>
      </c>
      <c r="K3334" s="25" t="str">
        <f aca="false">IF(SUM($K$3358:$K$3361)=0,"",FIXED((SUM($L$3358:$L$3361)/SUM($K$3358:$K$3361)-1)*100,1)&amp;" %")</f>
        <v/>
      </c>
      <c r="L3334" s="25"/>
      <c r="M3334" s="25"/>
      <c r="N3334" s="25"/>
      <c r="O3334" s="25"/>
    </row>
    <row r="3335" customFormat="false" ht="15" hidden="false" customHeight="false" outlineLevel="0" collapsed="false">
      <c r="B3335" s="29" t="str">
        <f aca="false">Cab_Contact</f>
        <v>Tél. 01 34 14 53 45  ·  altho@altho-experts.com  ·  altho-experts.com</v>
      </c>
      <c r="C3335" s="29"/>
      <c r="D3335" s="10"/>
      <c r="E3335" s="10"/>
      <c r="F3335" s="10"/>
      <c r="J3335" s="25"/>
      <c r="K3335" s="25"/>
      <c r="L3335" s="25"/>
      <c r="M3335" s="25"/>
      <c r="N3335" s="25"/>
      <c r="O3335" s="25"/>
    </row>
    <row r="3336" customFormat="false" ht="6" hidden="false" customHeight="true" outlineLevel="0" collapsed="false">
      <c r="B3336" s="32"/>
      <c r="C3336" s="32"/>
      <c r="D3336" s="32"/>
      <c r="E3336" s="32"/>
      <c r="F3336" s="32"/>
      <c r="J3336" s="25"/>
      <c r="K3336" s="25"/>
      <c r="L3336" s="25"/>
      <c r="M3336" s="25"/>
      <c r="N3336" s="25"/>
      <c r="O3336" s="25"/>
    </row>
    <row r="3337" customFormat="false" ht="13.5" hidden="false" customHeight="true" outlineLevel="0" collapsed="false">
      <c r="B3337" s="10"/>
      <c r="C3337" s="10"/>
      <c r="D3337" s="10"/>
      <c r="E3337" s="10"/>
      <c r="F3337" s="10"/>
      <c r="J3337" s="25"/>
      <c r="K3337" s="25"/>
      <c r="L3337" s="25"/>
      <c r="M3337" s="25"/>
      <c r="N3337" s="25"/>
      <c r="O3337" s="25"/>
    </row>
    <row r="3338" customFormat="false" ht="13.5" hidden="false" customHeight="true" outlineLevel="0" collapsed="false">
      <c r="B3338" s="10"/>
      <c r="C3338" s="10"/>
      <c r="D3338" s="10"/>
      <c r="E3338" s="10"/>
      <c r="F3338" s="10"/>
      <c r="J3338" s="25"/>
      <c r="K3338" s="25"/>
      <c r="L3338" s="25"/>
      <c r="M3338" s="25"/>
      <c r="N3338" s="25"/>
      <c r="O3338" s="25"/>
    </row>
    <row r="3339" customFormat="false" ht="13.5" hidden="false" customHeight="true" outlineLevel="0" collapsed="false">
      <c r="B3339" s="10"/>
      <c r="C3339" s="10"/>
      <c r="D3339" s="10"/>
      <c r="E3339" s="10"/>
      <c r="F3339" s="10"/>
      <c r="J3339" s="25"/>
      <c r="K3339" s="25"/>
      <c r="L3339" s="25"/>
      <c r="M3339" s="25"/>
      <c r="N3339" s="25"/>
      <c r="O3339" s="25"/>
    </row>
    <row r="3340" customFormat="false" ht="15" hidden="false" customHeight="true" outlineLevel="0" collapsed="false">
      <c r="B3340" s="10"/>
      <c r="C3340" s="10"/>
      <c r="D3340" s="34" t="str">
        <f aca="false">IF($K$3331=0,"",INDEX(Clients!$E$2:$E$501,$K$3331)&amp;"")</f>
        <v/>
      </c>
      <c r="E3340" s="34"/>
      <c r="F3340" s="34"/>
      <c r="J3340" s="25"/>
      <c r="K3340" s="25"/>
      <c r="L3340" s="25"/>
      <c r="M3340" s="25"/>
      <c r="N3340" s="25"/>
      <c r="O3340" s="25"/>
    </row>
    <row r="3341" customFormat="false" ht="15" hidden="false" customHeight="true" outlineLevel="0" collapsed="false">
      <c r="B3341" s="10"/>
      <c r="C3341" s="10"/>
      <c r="D3341" s="35" t="str">
        <f aca="false">IF(IF($K$3331=0,"",INDEX(Clients!$D$2:$D$501,$K$3331)&amp;"")="","","À l'attention de "&amp;TRIM(IF($K$3331=0,"",INDEX(Clients!$B$2:$B$501,$K$3331)&amp;"")&amp;" "&amp;IF($K$3331=0,"",INDEX(Clients!$C$2:$C$501,$K$3331)&amp;"")&amp;" "&amp;IF($K$3331=0,"",INDEX(Clients!$D$2:$D$501,$K$3331)&amp;"")))</f>
        <v/>
      </c>
      <c r="E3341" s="35"/>
      <c r="F3341" s="35"/>
      <c r="J3341" s="25"/>
      <c r="K3341" s="25"/>
      <c r="L3341" s="25"/>
      <c r="M3341" s="25"/>
      <c r="N3341" s="25"/>
      <c r="O3341" s="25"/>
    </row>
    <row r="3342" customFormat="false" ht="15" hidden="false" customHeight="true" outlineLevel="0" collapsed="false">
      <c r="B3342" s="10"/>
      <c r="C3342" s="10"/>
      <c r="D3342" s="35" t="str">
        <f aca="false">IF($K$3331=0,"",INDEX(Clients!$F$2:$F$501,$K$3331)&amp;"")</f>
        <v/>
      </c>
      <c r="E3342" s="35"/>
      <c r="F3342" s="35"/>
      <c r="J3342" s="25"/>
      <c r="K3342" s="25"/>
      <c r="L3342" s="25"/>
      <c r="M3342" s="25"/>
      <c r="N3342" s="25"/>
      <c r="O3342" s="25"/>
    </row>
    <row r="3343" customFormat="false" ht="15" hidden="false" customHeight="true" outlineLevel="0" collapsed="false">
      <c r="B3343" s="10"/>
      <c r="C3343" s="10"/>
      <c r="D3343" s="35" t="str">
        <f aca="false">IF(IF($K$3331=0,"",INDEX(Clients!$G$2:$G$501,$K$3331)&amp;"")="",TRIM(IF($K$3331=0,"",INDEX(Clients!$H$2:$H$501,$K$3331)&amp;"")&amp;" "&amp;UPPER(IF($K$3331=0,"",INDEX(Clients!$I$2:$I$501,$K$3331)&amp;""))),IF($K$3331=0,"",INDEX(Clients!$G$2:$G$501,$K$3331)&amp;""))</f>
        <v/>
      </c>
      <c r="E3343" s="35"/>
      <c r="F3343" s="35"/>
      <c r="J3343" s="25"/>
      <c r="K3343" s="25"/>
      <c r="L3343" s="25"/>
      <c r="M3343" s="25"/>
      <c r="N3343" s="25"/>
      <c r="O3343" s="25"/>
    </row>
    <row r="3344" customFormat="false" ht="15" hidden="false" customHeight="true" outlineLevel="0" collapsed="false">
      <c r="B3344" s="10"/>
      <c r="C3344" s="10"/>
      <c r="D3344" s="35" t="str">
        <f aca="false">IF(IF($K$3331=0,"",INDEX(Clients!$G$2:$G$501,$K$3331)&amp;"")="","",TRIM(IF($K$3331=0,"",INDEX(Clients!$H$2:$H$501,$K$3331)&amp;"")&amp;" "&amp;UPPER(IF($K$3331=0,"",INDEX(Clients!$I$2:$I$501,$K$3331)&amp;""))))</f>
        <v/>
      </c>
      <c r="E3344" s="35"/>
      <c r="F3344" s="35"/>
      <c r="J3344" s="25"/>
      <c r="K3344" s="25"/>
      <c r="L3344" s="25"/>
      <c r="M3344" s="25"/>
      <c r="N3344" s="25"/>
      <c r="O3344" s="25"/>
    </row>
    <row r="3345" customFormat="false" ht="25.5" hidden="false" customHeight="true" outlineLevel="0" collapsed="false">
      <c r="B3345" s="10"/>
      <c r="C3345" s="10"/>
      <c r="D3345" s="10"/>
      <c r="E3345" s="10"/>
      <c r="F3345" s="10"/>
      <c r="J3345" s="25"/>
      <c r="K3345" s="25"/>
      <c r="L3345" s="25"/>
      <c r="M3345" s="25"/>
      <c r="N3345" s="25"/>
      <c r="O3345" s="25"/>
    </row>
    <row r="3346" customFormat="false" ht="15" hidden="false" customHeight="false" outlineLevel="0" collapsed="false">
      <c r="B3346" s="10"/>
      <c r="C3346" s="10"/>
      <c r="D3346" s="36" t="str">
        <f aca="false">Cab_Ville&amp;", le "&amp;DAY(Date_Courrier)&amp;IF(DAY(Date_Courrier)=1,"er","")&amp;" "&amp;INDEX(Liste_Mois,MONTH(Date_Courrier))&amp;" "&amp;YEAR(Date_Courrier)</f>
        <v>Le Plessis-Bouchard, le 22 septembre 2026</v>
      </c>
      <c r="E3346" s="36"/>
      <c r="F3346" s="36"/>
      <c r="J3346" s="25"/>
      <c r="K3346" s="25"/>
      <c r="L3346" s="25"/>
      <c r="M3346" s="25"/>
      <c r="N3346" s="25"/>
      <c r="O3346" s="25"/>
    </row>
    <row r="3347" customFormat="false" ht="19.5" hidden="false" customHeight="true" outlineLevel="0" collapsed="false">
      <c r="B3347" s="10"/>
      <c r="C3347" s="10"/>
      <c r="D3347" s="10"/>
      <c r="E3347" s="10"/>
      <c r="F3347" s="10"/>
      <c r="J3347" s="25"/>
      <c r="K3347" s="25"/>
      <c r="L3347" s="25"/>
      <c r="M3347" s="25"/>
      <c r="N3347" s="25"/>
      <c r="O3347" s="25"/>
    </row>
    <row r="3348" customFormat="false" ht="15" hidden="false" customHeight="false" outlineLevel="0" collapsed="false">
      <c r="B3348" s="34" t="str">
        <f aca="false">SUBSTITUTE(SUBSTITUTE(SUBSTITUTE(SUBSTITUTE(SUBSTITUTE(Txt_Objet,"{cabinet}",Cab_Nom),"{societe}",IF($K$3331=0,"",INDEX(Clients!$E$2:$E$501,$K$3331)&amp;"")),"{date_effet}",$K$3333),"{hausse}",$K$3334),"{civilite}",$K$3332)</f>
        <v>Objet : révision de nos honoraires au 1er janvier 2027</v>
      </c>
      <c r="C3348" s="34"/>
      <c r="D3348" s="34"/>
      <c r="E3348" s="34"/>
      <c r="F3348" s="34"/>
      <c r="J3348" s="25"/>
      <c r="K3348" s="25"/>
      <c r="L3348" s="25"/>
      <c r="M3348" s="25"/>
      <c r="N3348" s="25"/>
      <c r="O3348" s="25"/>
    </row>
    <row r="3349" customFormat="false" ht="13.5" hidden="false" customHeight="true" outlineLevel="0" collapsed="false">
      <c r="B3349" s="10"/>
      <c r="C3349" s="10"/>
      <c r="D3349" s="10"/>
      <c r="E3349" s="10"/>
      <c r="F3349" s="10"/>
      <c r="J3349" s="25"/>
      <c r="K3349" s="25"/>
      <c r="L3349" s="25"/>
      <c r="M3349" s="25"/>
      <c r="N3349" s="25"/>
      <c r="O3349" s="25"/>
    </row>
    <row r="3350" customFormat="false" ht="15" hidden="false" customHeight="false" outlineLevel="0" collapsed="false">
      <c r="B3350" s="10" t="str">
        <f aca="false">$K$3332&amp;","</f>
        <v>Madame, Monsieur,</v>
      </c>
      <c r="C3350" s="10"/>
      <c r="D3350" s="10"/>
      <c r="E3350" s="10"/>
      <c r="F3350" s="10"/>
      <c r="J3350" s="25"/>
      <c r="K3350" s="25"/>
      <c r="L3350" s="25"/>
      <c r="M3350" s="25"/>
      <c r="N3350" s="25"/>
      <c r="O3350" s="25"/>
    </row>
    <row r="3351" customFormat="false" ht="6" hidden="false" customHeight="true" outlineLevel="0" collapsed="false">
      <c r="B3351" s="10"/>
      <c r="C3351" s="10"/>
      <c r="D3351" s="10"/>
      <c r="E3351" s="10"/>
      <c r="F3351" s="10"/>
      <c r="J3351" s="25"/>
      <c r="K3351" s="25"/>
      <c r="L3351" s="25"/>
      <c r="M3351" s="25"/>
      <c r="N3351" s="25"/>
      <c r="O3351" s="25"/>
    </row>
    <row r="3352" customFormat="false" ht="36.75" hidden="false" customHeight="true" outlineLevel="0" collapsed="false">
      <c r="B3352" s="37" t="str">
        <f aca="false">SUBSTITUTE(SUBSTITUTE(SUBSTITUTE(SUBSTITUTE(SUBSTITUTE(Txt_P1,"{cabinet}",Cab_Nom),"{societe}",IF($K$3331=0,"",INDEX(Clients!$E$2:$E$501,$K$3331)&amp;"")),"{date_effet}",$K$3333),"{hausse}",$K$3334),"{civilite}",$K$3332)</f>
        <v>Nous tenons tout d'abord à vous remercier pour la confiance que vous accordez à ALTHO EXPERTISE. Comme chaque année, et conformément aux dispositions de votre lettre de mission, nous procédons à la révision de nos honoraires.</v>
      </c>
      <c r="C3352" s="37"/>
      <c r="D3352" s="37"/>
      <c r="E3352" s="37"/>
      <c r="F3352" s="37"/>
      <c r="J3352" s="25"/>
      <c r="K3352" s="25"/>
      <c r="L3352" s="25"/>
      <c r="M3352" s="25"/>
      <c r="N3352" s="25"/>
      <c r="O3352" s="25"/>
    </row>
    <row r="3353" customFormat="false" ht="49.5" hidden="false" customHeight="true" outlineLevel="0" collapsed="false">
      <c r="B3353" s="37" t="str">
        <f aca="false">SUBSTITUTE(SUBSTITUTE(SUBSTITUTE(SUBSTITUTE(SUBSTITUTE(Txt_P2,"{cabinet}",Cab_Nom),"{societe}",IF($K$3331=0,"",INDEX(Clients!$E$2:$E$501,$K$3331)&amp;"")),"{date_effet}",$K$3333),"{hausse}",$K$3334),"{civilite}",$K$3332)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353" s="37"/>
      <c r="D3353" s="37"/>
      <c r="E3353" s="37"/>
      <c r="F3353" s="37"/>
      <c r="J3353" s="25"/>
      <c r="K3353" s="25"/>
      <c r="L3353" s="25"/>
      <c r="M3353" s="25"/>
      <c r="N3353" s="25"/>
      <c r="O3353" s="25"/>
    </row>
    <row r="3354" customFormat="false" ht="63" hidden="false" customHeight="true" outlineLevel="0" collapsed="false">
      <c r="B3354" s="37" t="str">
        <f aca="false">SUBSTITUTE(SUBSTITUTE(SUBSTITUTE(SUBSTITUTE(SUBSTITUTE(Txt_P3,"{cabinet}",Cab_Nom),"{societe}",IF($K$3331=0,"",INDEX(Clients!$E$2:$E$501,$K$3331)&amp;"")),"{date_effet}",$K$3333),"{hausse}",$K$3334),"{civilite}",$K$3332)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354" s="37"/>
      <c r="D3354" s="37"/>
      <c r="E3354" s="37"/>
      <c r="F3354" s="37"/>
      <c r="J3354" s="25"/>
      <c r="K3354" s="25"/>
      <c r="L3354" s="25"/>
      <c r="M3354" s="25"/>
      <c r="N3354" s="25"/>
      <c r="O3354" s="25"/>
    </row>
    <row r="3355" customFormat="false" ht="24" hidden="false" customHeight="true" outlineLevel="0" collapsed="false">
      <c r="B3355" s="37" t="str">
        <f aca="false">SUBSTITUTE(SUBSTITUTE(SUBSTITUTE(SUBSTITUTE(SUBSTITUTE(Txt_P4,"{cabinet}",Cab_Nom),"{societe}",IF($K$3331=0,"",INDEX(Clients!$E$2:$E$501,$K$3331)&amp;"")),"{date_effet}",$K$3333),"{hausse}",$K$3334),"{civilite}",$K$3332)</f>
        <v>À compter du 1er janvier 2027, vos honoraires annuels hors taxes évolueront ainsi (évolution globale : ) :</v>
      </c>
      <c r="C3355" s="37"/>
      <c r="D3355" s="37"/>
      <c r="E3355" s="37"/>
      <c r="F3355" s="37"/>
      <c r="J3355" s="25"/>
      <c r="K3355" s="25"/>
      <c r="L3355" s="25"/>
      <c r="M3355" s="25"/>
      <c r="N3355" s="25"/>
      <c r="O3355" s="25"/>
    </row>
    <row r="3356" customFormat="false" ht="3.75" hidden="false" customHeight="true" outlineLevel="0" collapsed="false">
      <c r="B3356" s="10"/>
      <c r="C3356" s="10"/>
      <c r="D3356" s="10"/>
      <c r="E3356" s="10"/>
      <c r="F3356" s="10"/>
      <c r="J3356" s="25"/>
      <c r="K3356" s="25"/>
      <c r="L3356" s="25"/>
      <c r="M3356" s="25"/>
      <c r="N3356" s="25"/>
      <c r="O3356" s="25"/>
    </row>
    <row r="3357" customFormat="false" ht="18" hidden="false" customHeight="true" outlineLevel="0" collapsed="false">
      <c r="B3357" s="38" t="s">
        <v>148</v>
      </c>
      <c r="C3357" s="39" t="s">
        <v>149</v>
      </c>
      <c r="D3357" s="39" t="s">
        <v>150</v>
      </c>
      <c r="E3357" s="39" t="s">
        <v>151</v>
      </c>
      <c r="F3357" s="39" t="s">
        <v>109</v>
      </c>
      <c r="J3357" s="25" t="s">
        <v>152</v>
      </c>
      <c r="K3357" s="25" t="s">
        <v>153</v>
      </c>
      <c r="L3357" s="25" t="s">
        <v>154</v>
      </c>
      <c r="M3357" s="25" t="s">
        <v>155</v>
      </c>
      <c r="N3357" s="25" t="s">
        <v>156</v>
      </c>
      <c r="O3357" s="25" t="s">
        <v>157</v>
      </c>
    </row>
    <row r="3358" customFormat="false" ht="16.5" hidden="false" customHeight="true" outlineLevel="0" collapsed="false">
      <c r="B3358" s="40" t="str">
        <f aca="false">IFERROR(INDEX($J$3358:$J$3361,MATCH($O3358,$N$3358:$N$3361,0)),"")</f>
        <v/>
      </c>
      <c r="C3358" s="41" t="str">
        <f aca="false">IFERROR(INDEX($K$3358:$K$3361,MATCH($O3358,$N$3358:$N$3361,0)),"")</f>
        <v/>
      </c>
      <c r="D3358" s="42" t="str">
        <f aca="false">IF(OR(E3358="",N(C3358)=0),"",E3358/C3358-1)</f>
        <v/>
      </c>
      <c r="E3358" s="41" t="str">
        <f aca="false">IFERROR(INDEX($L$3358:$L$3361,MATCH($O3358,$N$3358:$N$3361,0)),"")</f>
        <v/>
      </c>
      <c r="F3358" s="41" t="str">
        <f aca="false">IF(E3358="","",E3358-C3358)</f>
        <v/>
      </c>
      <c r="J3358" s="25" t="str">
        <f aca="false">Lib_Compta</f>
        <v>Mission comptable (tenue, révision, bilan, liasse fiscale)</v>
      </c>
      <c r="K3358" s="25" t="n">
        <f aca="false">IF($K$3331=0,0,N(INDEX(Clients!$K$2:$K$501,$K$3331)))</f>
        <v>0</v>
      </c>
      <c r="L3358" s="25" t="n">
        <f aca="false">IF($K$3331=0,0,N(INDEX(Clients!$P$2:$P$501,$K$3331)))</f>
        <v>0</v>
      </c>
      <c r="M3358" s="25" t="n">
        <f aca="false">IF(OR(K3358&lt;&gt;0,L3358&lt;&gt;0),1,0)</f>
        <v>0</v>
      </c>
      <c r="N3358" s="25" t="str">
        <f aca="false">IF(M3358=1,SUM($M$3358:M3358),"")</f>
        <v/>
      </c>
      <c r="O3358" s="25" t="n">
        <v>1</v>
      </c>
    </row>
    <row r="3359" customFormat="false" ht="16.5" hidden="false" customHeight="true" outlineLevel="0" collapsed="false">
      <c r="B3359" s="40" t="str">
        <f aca="false">IFERROR(INDEX($J$3358:$J$3361,MATCH($O3359,$N$3358:$N$3361,0)),"")</f>
        <v/>
      </c>
      <c r="C3359" s="41" t="str">
        <f aca="false">IFERROR(INDEX($K$3358:$K$3361,MATCH($O3359,$N$3358:$N$3361,0)),"")</f>
        <v/>
      </c>
      <c r="D3359" s="42" t="str">
        <f aca="false">IF(OR(E3359="",N(C3359)=0),"",E3359/C3359-1)</f>
        <v/>
      </c>
      <c r="E3359" s="41" t="str">
        <f aca="false">IFERROR(INDEX($L$3358:$L$3361,MATCH($O3359,$N$3358:$N$3361,0)),"")</f>
        <v/>
      </c>
      <c r="F3359" s="41" t="str">
        <f aca="false">IF(E3359="","",E3359-C3359)</f>
        <v/>
      </c>
      <c r="J3359" s="25" t="str">
        <f aca="false">Lib_Paye</f>
        <v>Mission sociale (bulletins de paie, DSN, déclarations sociales)</v>
      </c>
      <c r="K3359" s="25" t="n">
        <f aca="false">IF($K$3331=0,0,N(INDEX(Clients!$L$2:$L$501,$K$3331)))</f>
        <v>0</v>
      </c>
      <c r="L3359" s="25" t="n">
        <f aca="false">IF($K$3331=0,0,N(INDEX(Clients!$Q$2:$Q$501,$K$3331)))</f>
        <v>0</v>
      </c>
      <c r="M3359" s="25" t="n">
        <f aca="false">IF(OR(K3359&lt;&gt;0,L3359&lt;&gt;0),1,0)</f>
        <v>0</v>
      </c>
      <c r="N3359" s="25" t="str">
        <f aca="false">IF(M3359=1,SUM($M$3358:M3359),"")</f>
        <v/>
      </c>
      <c r="O3359" s="25" t="n">
        <v>2</v>
      </c>
    </row>
    <row r="3360" customFormat="false" ht="16.5" hidden="false" customHeight="true" outlineLevel="0" collapsed="false">
      <c r="B3360" s="40" t="str">
        <f aca="false">IFERROR(INDEX($J$3358:$J$3361,MATCH($O3360,$N$3358:$N$3361,0)),"")</f>
        <v/>
      </c>
      <c r="C3360" s="41" t="str">
        <f aca="false">IFERROR(INDEX($K$3358:$K$3361,MATCH($O3360,$N$3358:$N$3361,0)),"")</f>
        <v/>
      </c>
      <c r="D3360" s="42" t="str">
        <f aca="false">IF(OR(E3360="",N(C3360)=0),"",E3360/C3360-1)</f>
        <v/>
      </c>
      <c r="E3360" s="41" t="str">
        <f aca="false">IFERROR(INDEX($L$3358:$L$3361,MATCH($O3360,$N$3358:$N$3361,0)),"")</f>
        <v/>
      </c>
      <c r="F3360" s="41" t="str">
        <f aca="false">IF(E3360="","",E3360-C3360)</f>
        <v/>
      </c>
      <c r="J3360" s="25" t="str">
        <f aca="false">Lib_Jur</f>
        <v>Mission juridique (approbation des comptes, secrétariat juridique)</v>
      </c>
      <c r="K3360" s="25" t="n">
        <f aca="false">IF($K$3331=0,0,N(INDEX(Clients!$M$2:$M$501,$K$3331)))</f>
        <v>0</v>
      </c>
      <c r="L3360" s="25" t="n">
        <f aca="false">IF($K$3331=0,0,N(INDEX(Clients!$R$2:$R$501,$K$3331)))</f>
        <v>0</v>
      </c>
      <c r="M3360" s="25" t="n">
        <f aca="false">IF(OR(K3360&lt;&gt;0,L3360&lt;&gt;0),1,0)</f>
        <v>0</v>
      </c>
      <c r="N3360" s="25" t="str">
        <f aca="false">IF(M3360=1,SUM($M$3358:M3360),"")</f>
        <v/>
      </c>
      <c r="O3360" s="25" t="n">
        <v>3</v>
      </c>
    </row>
    <row r="3361" customFormat="false" ht="16.5" hidden="false" customHeight="true" outlineLevel="0" collapsed="false">
      <c r="B3361" s="40" t="str">
        <f aca="false">IFERROR(INDEX($J$3358:$J$3361,MATCH($O3361,$N$3358:$N$3361,0)),"")</f>
        <v/>
      </c>
      <c r="C3361" s="41" t="str">
        <f aca="false">IFERROR(INDEX($K$3358:$K$3361,MATCH($O3361,$N$3358:$N$3361,0)),"")</f>
        <v/>
      </c>
      <c r="D3361" s="42" t="str">
        <f aca="false">IF(OR(E3361="",N(C3361)=0),"",E3361/C3361-1)</f>
        <v/>
      </c>
      <c r="E3361" s="41" t="str">
        <f aca="false">IFERROR(INDEX($L$3358:$L$3361,MATCH($O3361,$N$3358:$N$3361,0)),"")</f>
        <v/>
      </c>
      <c r="F3361" s="41" t="str">
        <f aca="false">IF(E3361="","",E3361-C3361)</f>
        <v/>
      </c>
      <c r="J3361" s="25" t="str">
        <f aca="false">Lib_PA</f>
        <v>Plateforme agréée – facturation électronique</v>
      </c>
      <c r="K3361" s="25" t="n">
        <f aca="false">IF($K$3331=0,0,N(INDEX(Clients!$N$2:$N$501,$K$3331)))</f>
        <v>0</v>
      </c>
      <c r="L3361" s="25" t="n">
        <f aca="false">IF($K$3331=0,0,N(INDEX(Clients!$S$2:$S$501,$K$3331)))</f>
        <v>0</v>
      </c>
      <c r="M3361" s="25" t="n">
        <f aca="false">IF(OR(K3361&lt;&gt;0,L3361&lt;&gt;0),1,0)</f>
        <v>0</v>
      </c>
      <c r="N3361" s="25" t="str">
        <f aca="false">IF(M3361=1,SUM($M$3358:M3361),"")</f>
        <v/>
      </c>
      <c r="O3361" s="25" t="n">
        <v>4</v>
      </c>
    </row>
    <row r="3362" customFormat="false" ht="18" hidden="false" customHeight="true" outlineLevel="0" collapsed="false">
      <c r="B3362" s="43" t="s">
        <v>158</v>
      </c>
      <c r="C3362" s="44" t="n">
        <f aca="false">SUM(K3358:K3361)</f>
        <v>0</v>
      </c>
      <c r="D3362" s="45" t="str">
        <f aca="false">IF(N(C3362)=0,"",E3362/C3362-1)</f>
        <v/>
      </c>
      <c r="E3362" s="44" t="n">
        <f aca="false">SUM(L3358:L3361)</f>
        <v>0</v>
      </c>
      <c r="F3362" s="44" t="n">
        <f aca="false">E3362-C3362</f>
        <v>0</v>
      </c>
    </row>
    <row r="3363" customFormat="false" ht="15" hidden="false" customHeight="false" outlineLevel="0" collapsed="false">
      <c r="B3363" s="46" t="str">
        <f aca="false">IF(N(Nb_Mensualites)=0,"","Soit "&amp;FIXED(E3362/Nb_Mensualites,2)&amp;" € HT par échéance ("&amp;Nb_Mensualites&amp;" échéances), "&amp;FIXED(E3362/Nb_Mensualites*(1+Taux_TVA),2)&amp;" € TTC.")</f>
        <v>Soit 0.00 € HT par échéance (12 échéances), 0.00 € TTC.</v>
      </c>
      <c r="C3363" s="46"/>
      <c r="D3363" s="46"/>
      <c r="E3363" s="46"/>
      <c r="F3363" s="46"/>
    </row>
    <row r="3364" customFormat="false" ht="7.5" hidden="false" customHeight="true" outlineLevel="0" collapsed="false">
      <c r="B3364" s="10"/>
      <c r="C3364" s="10"/>
      <c r="D3364" s="10"/>
      <c r="E3364" s="10"/>
      <c r="F3364" s="10"/>
    </row>
    <row r="3365" customFormat="false" ht="36.75" hidden="false" customHeight="true" outlineLevel="0" collapsed="false">
      <c r="B3365" s="37" t="str">
        <f aca="false">SUBSTITUTE(SUBSTITUTE(SUBSTITUTE(SUBSTITUTE(SUBSTITUTE(Txt_P5,"{cabinet}",Cab_Nom),"{societe}",IF($K$3331=0,"",INDEX(Clients!$E$2:$E$501,$K$3331)&amp;"")),"{date_effet}",$K$3333),"{hausse}",$K$3334),"{civilite}",$K$3332)</f>
        <v>Les autres conditions de votre lettre de mission demeurent inchangées. Les nouveaux montants seront appliqués automatiquement sur vos prochaines factures et échéances de prélèvement.</v>
      </c>
      <c r="C3365" s="37"/>
      <c r="D3365" s="37"/>
      <c r="E3365" s="37"/>
      <c r="F3365" s="37"/>
    </row>
    <row r="3366" customFormat="false" ht="36.75" hidden="false" customHeight="true" outlineLevel="0" collapsed="false">
      <c r="B3366" s="37" t="str">
        <f aca="false">SUBSTITUTE(SUBSTITUTE(SUBSTITUTE(SUBSTITUTE(SUBSTITUTE(Txt_P6,"{cabinet}",Cab_Nom),"{societe}",IF($K$3331=0,"",INDEX(Clients!$E$2:$E$501,$K$3331)&amp;"")),"{date_effet}",$K$3333),"{hausse}",$K$3334),"{civilite}",$K$3332)</f>
        <v>Votre interlocuteur habituel reste à votre entière disposition pour répondre à vos questions et faire le point sur l'évolution de vos besoins.</v>
      </c>
      <c r="C3366" s="37"/>
      <c r="D3366" s="37"/>
      <c r="E3366" s="37"/>
      <c r="F3366" s="37"/>
    </row>
    <row r="3367" customFormat="false" ht="24" hidden="false" customHeight="true" outlineLevel="0" collapsed="false">
      <c r="B3367" s="37" t="str">
        <f aca="false">SUBSTITUTE(SUBSTITUTE(SUBSTITUTE(SUBSTITUTE(SUBSTITUTE(Txt_Politesse,"{cabinet}",Cab_Nom),"{societe}",IF($K$3331=0,"",INDEX(Clients!$E$2:$E$501,$K$3331)&amp;"")),"{date_effet}",$K$3333),"{hausse}",$K$3334),"{civilite}",$K$3332)</f>
        <v>Nous vous prions d'agréer, Madame, Monsieur, l'expression de nos salutations distinguées.</v>
      </c>
      <c r="C3367" s="37"/>
      <c r="D3367" s="37"/>
      <c r="E3367" s="37"/>
      <c r="F3367" s="37"/>
    </row>
    <row r="3368" customFormat="false" ht="15" hidden="false" customHeight="false" outlineLevel="0" collapsed="false">
      <c r="B3368" s="10"/>
      <c r="C3368" s="10"/>
      <c r="D3368" s="10"/>
      <c r="E3368" s="10"/>
      <c r="F3368" s="10"/>
    </row>
    <row r="3369" customFormat="false" ht="15" hidden="false" customHeight="false" outlineLevel="0" collapsed="false">
      <c r="B3369" s="10"/>
      <c r="C3369" s="10"/>
      <c r="D3369" s="34" t="str">
        <f aca="false">Signataire</f>
        <v>Prénom NOM</v>
      </c>
      <c r="E3369" s="34"/>
      <c r="F3369" s="34"/>
    </row>
    <row r="3370" customFormat="false" ht="15" hidden="false" customHeight="false" outlineLevel="0" collapsed="false">
      <c r="B3370" s="10"/>
      <c r="C3370" s="10"/>
      <c r="D3370" s="47" t="str">
        <f aca="false">Signataire_Titre</f>
        <v>Expert-comptable associé</v>
      </c>
      <c r="E3370" s="47"/>
      <c r="F3370" s="47"/>
    </row>
    <row r="3371" customFormat="false" ht="15.75" hidden="false" customHeight="true" outlineLevel="0" collapsed="false">
      <c r="B3371" s="10"/>
      <c r="C3371" s="10"/>
      <c r="D3371" s="10"/>
      <c r="E3371" s="10"/>
      <c r="F3371" s="10"/>
    </row>
    <row r="3372" customFormat="false" ht="15.75" hidden="false" customHeight="true" outlineLevel="0" collapsed="false">
      <c r="B3372" s="10"/>
      <c r="C3372" s="10"/>
      <c r="D3372" s="10"/>
      <c r="E3372" s="10"/>
      <c r="F3372" s="10"/>
    </row>
    <row r="3373" customFormat="false" ht="15.75" hidden="false" customHeight="true" outlineLevel="0" collapsed="false">
      <c r="B3373" s="10"/>
      <c r="C3373" s="10"/>
      <c r="D3373" s="10"/>
      <c r="E3373" s="10"/>
      <c r="F3373" s="10"/>
    </row>
    <row r="3374" customFormat="false" ht="15.75" hidden="false" customHeight="true" outlineLevel="0" collapsed="false">
      <c r="B3374" s="10"/>
      <c r="C3374" s="10"/>
      <c r="D3374" s="10"/>
      <c r="E3374" s="10"/>
      <c r="F3374" s="10"/>
    </row>
    <row r="3375" customFormat="false" ht="24" hidden="false" customHeight="true" outlineLevel="0" collapsed="false">
      <c r="B3375" s="48" t="str">
        <f aca="false">Cab_Mentions</f>
        <v>ALTHO EXPERTISE · SAS au capital de 10 000 € · RCS Pontoise 919 706 325 · TVA FR62919706325 · Société d'expertise comptable inscrite au Tableau de l'Ordre des experts-comptables de Paris Île-de-France</v>
      </c>
      <c r="C3375" s="48"/>
      <c r="D3375" s="48"/>
      <c r="E3375" s="48"/>
      <c r="F3375" s="48"/>
    </row>
    <row r="3376" customFormat="false" ht="15" hidden="false" customHeight="false" outlineLevel="0" collapsed="false">
      <c r="B3376" s="10"/>
      <c r="C3376" s="10"/>
      <c r="D3376" s="10"/>
      <c r="E3376" s="10"/>
      <c r="F3376" s="10"/>
      <c r="J3376" s="25" t="s">
        <v>142</v>
      </c>
      <c r="K3376" s="25" t="n">
        <f aca="false">IFERROR(MATCH(76,Clients!$Z$2:$Z$501,0),0)</f>
        <v>0</v>
      </c>
      <c r="L3376" s="25"/>
      <c r="M3376" s="25"/>
      <c r="N3376" s="25"/>
      <c r="O3376" s="25"/>
    </row>
    <row r="3377" customFormat="false" ht="21.75" hidden="false" customHeight="true" outlineLevel="0" collapsed="false">
      <c r="B3377" s="26" t="str">
        <f aca="false">Cab_Nom</f>
        <v>ALTHO EXPERTISE</v>
      </c>
      <c r="C3377" s="26"/>
      <c r="D3377" s="10"/>
      <c r="E3377" s="27" t="str">
        <f aca="false">IF($K$3376=0,"","Réf. client : "&amp;INDEX(Clients!$A$2:$A$501,$K$3376))</f>
        <v/>
      </c>
      <c r="F3377" s="27"/>
      <c r="J3377" s="25" t="s">
        <v>144</v>
      </c>
      <c r="K3377" s="25" t="str">
        <f aca="false">IF(IF($K$3376=0,"",INDEX(Clients!$B$2:$B$501,$K$3376)&amp;"")="Mme","Madame",IF(IF($K$3376=0,"",INDEX(Clients!$B$2:$B$501,$K$3376)&amp;"")="M.","Monsieur","Madame, Monsieur"))</f>
        <v>Madame, Monsieur</v>
      </c>
      <c r="L3377" s="25"/>
      <c r="M3377" s="25"/>
      <c r="N3377" s="25"/>
      <c r="O3377" s="25"/>
    </row>
    <row r="3378" customFormat="false" ht="15" hidden="false" customHeight="false" outlineLevel="0" collapsed="false">
      <c r="B3378" s="29" t="str">
        <f aca="false">Cab_Adr1</f>
        <v>141 rue Charles de Gaulle</v>
      </c>
      <c r="C3378" s="29"/>
      <c r="D3378" s="10"/>
      <c r="E3378" s="10"/>
      <c r="F3378" s="10"/>
      <c r="J3378" s="25" t="s">
        <v>145</v>
      </c>
      <c r="K3378" s="25" t="str">
        <f aca="false">DAY(Date_Effet)&amp;IF(DAY(Date_Effet)=1,"er","")&amp;" "&amp;INDEX(Liste_Mois,MONTH(Date_Effet))&amp;" "&amp;YEAR(Date_Effet)</f>
        <v>1er janvier 2027</v>
      </c>
      <c r="L3378" s="25"/>
      <c r="M3378" s="25"/>
      <c r="N3378" s="25"/>
      <c r="O3378" s="25"/>
    </row>
    <row r="3379" customFormat="false" ht="15" hidden="false" customHeight="false" outlineLevel="0" collapsed="false">
      <c r="B3379" s="29" t="str">
        <f aca="false">Cab_CPVille</f>
        <v>95130 LE PLESSIS-BOUCHARD</v>
      </c>
      <c r="C3379" s="29"/>
      <c r="D3379" s="10"/>
      <c r="E3379" s="10"/>
      <c r="F3379" s="10"/>
      <c r="J3379" s="25" t="s">
        <v>146</v>
      </c>
      <c r="K3379" s="25" t="str">
        <f aca="false">IF(SUM($K$3403:$K$3406)=0,"",FIXED((SUM($L$3403:$L$3406)/SUM($K$3403:$K$3406)-1)*100,1)&amp;" %")</f>
        <v/>
      </c>
      <c r="L3379" s="25"/>
      <c r="M3379" s="25"/>
      <c r="N3379" s="25"/>
      <c r="O3379" s="25"/>
    </row>
    <row r="3380" customFormat="false" ht="15" hidden="false" customHeight="false" outlineLevel="0" collapsed="false">
      <c r="B3380" s="29" t="str">
        <f aca="false">Cab_Contact</f>
        <v>Tél. 01 34 14 53 45  ·  altho@altho-experts.com  ·  altho-experts.com</v>
      </c>
      <c r="C3380" s="29"/>
      <c r="D3380" s="10"/>
      <c r="E3380" s="10"/>
      <c r="F3380" s="10"/>
      <c r="J3380" s="25"/>
      <c r="K3380" s="25"/>
      <c r="L3380" s="25"/>
      <c r="M3380" s="25"/>
      <c r="N3380" s="25"/>
      <c r="O3380" s="25"/>
    </row>
    <row r="3381" customFormat="false" ht="6" hidden="false" customHeight="true" outlineLevel="0" collapsed="false">
      <c r="B3381" s="32"/>
      <c r="C3381" s="32"/>
      <c r="D3381" s="32"/>
      <c r="E3381" s="32"/>
      <c r="F3381" s="32"/>
      <c r="J3381" s="25"/>
      <c r="K3381" s="25"/>
      <c r="L3381" s="25"/>
      <c r="M3381" s="25"/>
      <c r="N3381" s="25"/>
      <c r="O3381" s="25"/>
    </row>
    <row r="3382" customFormat="false" ht="13.5" hidden="false" customHeight="true" outlineLevel="0" collapsed="false">
      <c r="B3382" s="10"/>
      <c r="C3382" s="10"/>
      <c r="D3382" s="10"/>
      <c r="E3382" s="10"/>
      <c r="F3382" s="10"/>
      <c r="J3382" s="25"/>
      <c r="K3382" s="25"/>
      <c r="L3382" s="25"/>
      <c r="M3382" s="25"/>
      <c r="N3382" s="25"/>
      <c r="O3382" s="25"/>
    </row>
    <row r="3383" customFormat="false" ht="13.5" hidden="false" customHeight="true" outlineLevel="0" collapsed="false">
      <c r="B3383" s="10"/>
      <c r="C3383" s="10"/>
      <c r="D3383" s="10"/>
      <c r="E3383" s="10"/>
      <c r="F3383" s="10"/>
      <c r="J3383" s="25"/>
      <c r="K3383" s="25"/>
      <c r="L3383" s="25"/>
      <c r="M3383" s="25"/>
      <c r="N3383" s="25"/>
      <c r="O3383" s="25"/>
    </row>
    <row r="3384" customFormat="false" ht="13.5" hidden="false" customHeight="true" outlineLevel="0" collapsed="false">
      <c r="B3384" s="10"/>
      <c r="C3384" s="10"/>
      <c r="D3384" s="10"/>
      <c r="E3384" s="10"/>
      <c r="F3384" s="10"/>
      <c r="J3384" s="25"/>
      <c r="K3384" s="25"/>
      <c r="L3384" s="25"/>
      <c r="M3384" s="25"/>
      <c r="N3384" s="25"/>
      <c r="O3384" s="25"/>
    </row>
    <row r="3385" customFormat="false" ht="15" hidden="false" customHeight="true" outlineLevel="0" collapsed="false">
      <c r="B3385" s="10"/>
      <c r="C3385" s="10"/>
      <c r="D3385" s="34" t="str">
        <f aca="false">IF($K$3376=0,"",INDEX(Clients!$E$2:$E$501,$K$3376)&amp;"")</f>
        <v/>
      </c>
      <c r="E3385" s="34"/>
      <c r="F3385" s="34"/>
      <c r="J3385" s="25"/>
      <c r="K3385" s="25"/>
      <c r="L3385" s="25"/>
      <c r="M3385" s="25"/>
      <c r="N3385" s="25"/>
      <c r="O3385" s="25"/>
    </row>
    <row r="3386" customFormat="false" ht="15" hidden="false" customHeight="true" outlineLevel="0" collapsed="false">
      <c r="B3386" s="10"/>
      <c r="C3386" s="10"/>
      <c r="D3386" s="35" t="str">
        <f aca="false">IF(IF($K$3376=0,"",INDEX(Clients!$D$2:$D$501,$K$3376)&amp;"")="","","À l'attention de "&amp;TRIM(IF($K$3376=0,"",INDEX(Clients!$B$2:$B$501,$K$3376)&amp;"")&amp;" "&amp;IF($K$3376=0,"",INDEX(Clients!$C$2:$C$501,$K$3376)&amp;"")&amp;" "&amp;IF($K$3376=0,"",INDEX(Clients!$D$2:$D$501,$K$3376)&amp;"")))</f>
        <v/>
      </c>
      <c r="E3386" s="35"/>
      <c r="F3386" s="35"/>
      <c r="J3386" s="25"/>
      <c r="K3386" s="25"/>
      <c r="L3386" s="25"/>
      <c r="M3386" s="25"/>
      <c r="N3386" s="25"/>
      <c r="O3386" s="25"/>
    </row>
    <row r="3387" customFormat="false" ht="15" hidden="false" customHeight="true" outlineLevel="0" collapsed="false">
      <c r="B3387" s="10"/>
      <c r="C3387" s="10"/>
      <c r="D3387" s="35" t="str">
        <f aca="false">IF($K$3376=0,"",INDEX(Clients!$F$2:$F$501,$K$3376)&amp;"")</f>
        <v/>
      </c>
      <c r="E3387" s="35"/>
      <c r="F3387" s="35"/>
      <c r="J3387" s="25"/>
      <c r="K3387" s="25"/>
      <c r="L3387" s="25"/>
      <c r="M3387" s="25"/>
      <c r="N3387" s="25"/>
      <c r="O3387" s="25"/>
    </row>
    <row r="3388" customFormat="false" ht="15" hidden="false" customHeight="true" outlineLevel="0" collapsed="false">
      <c r="B3388" s="10"/>
      <c r="C3388" s="10"/>
      <c r="D3388" s="35" t="str">
        <f aca="false">IF(IF($K$3376=0,"",INDEX(Clients!$G$2:$G$501,$K$3376)&amp;"")="",TRIM(IF($K$3376=0,"",INDEX(Clients!$H$2:$H$501,$K$3376)&amp;"")&amp;" "&amp;UPPER(IF($K$3376=0,"",INDEX(Clients!$I$2:$I$501,$K$3376)&amp;""))),IF($K$3376=0,"",INDEX(Clients!$G$2:$G$501,$K$3376)&amp;""))</f>
        <v/>
      </c>
      <c r="E3388" s="35"/>
      <c r="F3388" s="35"/>
      <c r="J3388" s="25"/>
      <c r="K3388" s="25"/>
      <c r="L3388" s="25"/>
      <c r="M3388" s="25"/>
      <c r="N3388" s="25"/>
      <c r="O3388" s="25"/>
    </row>
    <row r="3389" customFormat="false" ht="15" hidden="false" customHeight="true" outlineLevel="0" collapsed="false">
      <c r="B3389" s="10"/>
      <c r="C3389" s="10"/>
      <c r="D3389" s="35" t="str">
        <f aca="false">IF(IF($K$3376=0,"",INDEX(Clients!$G$2:$G$501,$K$3376)&amp;"")="","",TRIM(IF($K$3376=0,"",INDEX(Clients!$H$2:$H$501,$K$3376)&amp;"")&amp;" "&amp;UPPER(IF($K$3376=0,"",INDEX(Clients!$I$2:$I$501,$K$3376)&amp;""))))</f>
        <v/>
      </c>
      <c r="E3389" s="35"/>
      <c r="F3389" s="35"/>
      <c r="J3389" s="25"/>
      <c r="K3389" s="25"/>
      <c r="L3389" s="25"/>
      <c r="M3389" s="25"/>
      <c r="N3389" s="25"/>
      <c r="O3389" s="25"/>
    </row>
    <row r="3390" customFormat="false" ht="25.5" hidden="false" customHeight="true" outlineLevel="0" collapsed="false">
      <c r="B3390" s="10"/>
      <c r="C3390" s="10"/>
      <c r="D3390" s="10"/>
      <c r="E3390" s="10"/>
      <c r="F3390" s="10"/>
      <c r="J3390" s="25"/>
      <c r="K3390" s="25"/>
      <c r="L3390" s="25"/>
      <c r="M3390" s="25"/>
      <c r="N3390" s="25"/>
      <c r="O3390" s="25"/>
    </row>
    <row r="3391" customFormat="false" ht="15" hidden="false" customHeight="false" outlineLevel="0" collapsed="false">
      <c r="B3391" s="10"/>
      <c r="C3391" s="10"/>
      <c r="D3391" s="36" t="str">
        <f aca="false">Cab_Ville&amp;", le "&amp;DAY(Date_Courrier)&amp;IF(DAY(Date_Courrier)=1,"er","")&amp;" "&amp;INDEX(Liste_Mois,MONTH(Date_Courrier))&amp;" "&amp;YEAR(Date_Courrier)</f>
        <v>Le Plessis-Bouchard, le 22 septembre 2026</v>
      </c>
      <c r="E3391" s="36"/>
      <c r="F3391" s="36"/>
      <c r="J3391" s="25"/>
      <c r="K3391" s="25"/>
      <c r="L3391" s="25"/>
      <c r="M3391" s="25"/>
      <c r="N3391" s="25"/>
      <c r="O3391" s="25"/>
    </row>
    <row r="3392" customFormat="false" ht="19.5" hidden="false" customHeight="true" outlineLevel="0" collapsed="false">
      <c r="B3392" s="10"/>
      <c r="C3392" s="10"/>
      <c r="D3392" s="10"/>
      <c r="E3392" s="10"/>
      <c r="F3392" s="10"/>
      <c r="J3392" s="25"/>
      <c r="K3392" s="25"/>
      <c r="L3392" s="25"/>
      <c r="M3392" s="25"/>
      <c r="N3392" s="25"/>
      <c r="O3392" s="25"/>
    </row>
    <row r="3393" customFormat="false" ht="15" hidden="false" customHeight="false" outlineLevel="0" collapsed="false">
      <c r="B3393" s="34" t="str">
        <f aca="false">SUBSTITUTE(SUBSTITUTE(SUBSTITUTE(SUBSTITUTE(SUBSTITUTE(Txt_Objet,"{cabinet}",Cab_Nom),"{societe}",IF($K$3376=0,"",INDEX(Clients!$E$2:$E$501,$K$3376)&amp;"")),"{date_effet}",$K$3378),"{hausse}",$K$3379),"{civilite}",$K$3377)</f>
        <v>Objet : révision de nos honoraires au 1er janvier 2027</v>
      </c>
      <c r="C3393" s="34"/>
      <c r="D3393" s="34"/>
      <c r="E3393" s="34"/>
      <c r="F3393" s="34"/>
      <c r="J3393" s="25"/>
      <c r="K3393" s="25"/>
      <c r="L3393" s="25"/>
      <c r="M3393" s="25"/>
      <c r="N3393" s="25"/>
      <c r="O3393" s="25"/>
    </row>
    <row r="3394" customFormat="false" ht="13.5" hidden="false" customHeight="true" outlineLevel="0" collapsed="false">
      <c r="B3394" s="10"/>
      <c r="C3394" s="10"/>
      <c r="D3394" s="10"/>
      <c r="E3394" s="10"/>
      <c r="F3394" s="10"/>
      <c r="J3394" s="25"/>
      <c r="K3394" s="25"/>
      <c r="L3394" s="25"/>
      <c r="M3394" s="25"/>
      <c r="N3394" s="25"/>
      <c r="O3394" s="25"/>
    </row>
    <row r="3395" customFormat="false" ht="15" hidden="false" customHeight="false" outlineLevel="0" collapsed="false">
      <c r="B3395" s="10" t="str">
        <f aca="false">$K$3377&amp;","</f>
        <v>Madame, Monsieur,</v>
      </c>
      <c r="C3395" s="10"/>
      <c r="D3395" s="10"/>
      <c r="E3395" s="10"/>
      <c r="F3395" s="10"/>
      <c r="J3395" s="25"/>
      <c r="K3395" s="25"/>
      <c r="L3395" s="25"/>
      <c r="M3395" s="25"/>
      <c r="N3395" s="25"/>
      <c r="O3395" s="25"/>
    </row>
    <row r="3396" customFormat="false" ht="6" hidden="false" customHeight="true" outlineLevel="0" collapsed="false">
      <c r="B3396" s="10"/>
      <c r="C3396" s="10"/>
      <c r="D3396" s="10"/>
      <c r="E3396" s="10"/>
      <c r="F3396" s="10"/>
      <c r="J3396" s="25"/>
      <c r="K3396" s="25"/>
      <c r="L3396" s="25"/>
      <c r="M3396" s="25"/>
      <c r="N3396" s="25"/>
      <c r="O3396" s="25"/>
    </row>
    <row r="3397" customFormat="false" ht="36.75" hidden="false" customHeight="true" outlineLevel="0" collapsed="false">
      <c r="B3397" s="37" t="str">
        <f aca="false">SUBSTITUTE(SUBSTITUTE(SUBSTITUTE(SUBSTITUTE(SUBSTITUTE(Txt_P1,"{cabinet}",Cab_Nom),"{societe}",IF($K$3376=0,"",INDEX(Clients!$E$2:$E$501,$K$3376)&amp;"")),"{date_effet}",$K$3378),"{hausse}",$K$3379),"{civilite}",$K$3377)</f>
        <v>Nous tenons tout d'abord à vous remercier pour la confiance que vous accordez à ALTHO EXPERTISE. Comme chaque année, et conformément aux dispositions de votre lettre de mission, nous procédons à la révision de nos honoraires.</v>
      </c>
      <c r="C3397" s="37"/>
      <c r="D3397" s="37"/>
      <c r="E3397" s="37"/>
      <c r="F3397" s="37"/>
      <c r="J3397" s="25"/>
      <c r="K3397" s="25"/>
      <c r="L3397" s="25"/>
      <c r="M3397" s="25"/>
      <c r="N3397" s="25"/>
      <c r="O3397" s="25"/>
    </row>
    <row r="3398" customFormat="false" ht="49.5" hidden="false" customHeight="true" outlineLevel="0" collapsed="false">
      <c r="B3398" s="37" t="str">
        <f aca="false">SUBSTITUTE(SUBSTITUTE(SUBSTITUTE(SUBSTITUTE(SUBSTITUTE(Txt_P2,"{cabinet}",Cab_Nom),"{societe}",IF($K$3376=0,"",INDEX(Clients!$E$2:$E$501,$K$3376)&amp;"")),"{date_effet}",$K$3378),"{hausse}",$K$3379),"{civilite}",$K$3377)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398" s="37"/>
      <c r="D3398" s="37"/>
      <c r="E3398" s="37"/>
      <c r="F3398" s="37"/>
      <c r="J3398" s="25"/>
      <c r="K3398" s="25"/>
      <c r="L3398" s="25"/>
      <c r="M3398" s="25"/>
      <c r="N3398" s="25"/>
      <c r="O3398" s="25"/>
    </row>
    <row r="3399" customFormat="false" ht="63" hidden="false" customHeight="true" outlineLevel="0" collapsed="false">
      <c r="B3399" s="37" t="str">
        <f aca="false">SUBSTITUTE(SUBSTITUTE(SUBSTITUTE(SUBSTITUTE(SUBSTITUTE(Txt_P3,"{cabinet}",Cab_Nom),"{societe}",IF($K$3376=0,"",INDEX(Clients!$E$2:$E$501,$K$3376)&amp;"")),"{date_effet}",$K$3378),"{hausse}",$K$3379),"{civilite}",$K$3377)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399" s="37"/>
      <c r="D3399" s="37"/>
      <c r="E3399" s="37"/>
      <c r="F3399" s="37"/>
      <c r="J3399" s="25"/>
      <c r="K3399" s="25"/>
      <c r="L3399" s="25"/>
      <c r="M3399" s="25"/>
      <c r="N3399" s="25"/>
      <c r="O3399" s="25"/>
    </row>
    <row r="3400" customFormat="false" ht="24" hidden="false" customHeight="true" outlineLevel="0" collapsed="false">
      <c r="B3400" s="37" t="str">
        <f aca="false">SUBSTITUTE(SUBSTITUTE(SUBSTITUTE(SUBSTITUTE(SUBSTITUTE(Txt_P4,"{cabinet}",Cab_Nom),"{societe}",IF($K$3376=0,"",INDEX(Clients!$E$2:$E$501,$K$3376)&amp;"")),"{date_effet}",$K$3378),"{hausse}",$K$3379),"{civilite}",$K$3377)</f>
        <v>À compter du 1er janvier 2027, vos honoraires annuels hors taxes évolueront ainsi (évolution globale : ) :</v>
      </c>
      <c r="C3400" s="37"/>
      <c r="D3400" s="37"/>
      <c r="E3400" s="37"/>
      <c r="F3400" s="37"/>
      <c r="J3400" s="25"/>
      <c r="K3400" s="25"/>
      <c r="L3400" s="25"/>
      <c r="M3400" s="25"/>
      <c r="N3400" s="25"/>
      <c r="O3400" s="25"/>
    </row>
    <row r="3401" customFormat="false" ht="3.75" hidden="false" customHeight="true" outlineLevel="0" collapsed="false">
      <c r="B3401" s="10"/>
      <c r="C3401" s="10"/>
      <c r="D3401" s="10"/>
      <c r="E3401" s="10"/>
      <c r="F3401" s="10"/>
      <c r="J3401" s="25"/>
      <c r="K3401" s="25"/>
      <c r="L3401" s="25"/>
      <c r="M3401" s="25"/>
      <c r="N3401" s="25"/>
      <c r="O3401" s="25"/>
    </row>
    <row r="3402" customFormat="false" ht="18" hidden="false" customHeight="true" outlineLevel="0" collapsed="false">
      <c r="B3402" s="38" t="s">
        <v>148</v>
      </c>
      <c r="C3402" s="39" t="s">
        <v>149</v>
      </c>
      <c r="D3402" s="39" t="s">
        <v>150</v>
      </c>
      <c r="E3402" s="39" t="s">
        <v>151</v>
      </c>
      <c r="F3402" s="39" t="s">
        <v>109</v>
      </c>
      <c r="J3402" s="25" t="s">
        <v>152</v>
      </c>
      <c r="K3402" s="25" t="s">
        <v>153</v>
      </c>
      <c r="L3402" s="25" t="s">
        <v>154</v>
      </c>
      <c r="M3402" s="25" t="s">
        <v>155</v>
      </c>
      <c r="N3402" s="25" t="s">
        <v>156</v>
      </c>
      <c r="O3402" s="25" t="s">
        <v>157</v>
      </c>
    </row>
    <row r="3403" customFormat="false" ht="16.5" hidden="false" customHeight="true" outlineLevel="0" collapsed="false">
      <c r="B3403" s="40" t="str">
        <f aca="false">IFERROR(INDEX($J$3403:$J$3406,MATCH($O3403,$N$3403:$N$3406,0)),"")</f>
        <v/>
      </c>
      <c r="C3403" s="41" t="str">
        <f aca="false">IFERROR(INDEX($K$3403:$K$3406,MATCH($O3403,$N$3403:$N$3406,0)),"")</f>
        <v/>
      </c>
      <c r="D3403" s="42" t="str">
        <f aca="false">IF(OR(E3403="",N(C3403)=0),"",E3403/C3403-1)</f>
        <v/>
      </c>
      <c r="E3403" s="41" t="str">
        <f aca="false">IFERROR(INDEX($L$3403:$L$3406,MATCH($O3403,$N$3403:$N$3406,0)),"")</f>
        <v/>
      </c>
      <c r="F3403" s="41" t="str">
        <f aca="false">IF(E3403="","",E3403-C3403)</f>
        <v/>
      </c>
      <c r="J3403" s="25" t="str">
        <f aca="false">Lib_Compta</f>
        <v>Mission comptable (tenue, révision, bilan, liasse fiscale)</v>
      </c>
      <c r="K3403" s="25" t="n">
        <f aca="false">IF($K$3376=0,0,N(INDEX(Clients!$K$2:$K$501,$K$3376)))</f>
        <v>0</v>
      </c>
      <c r="L3403" s="25" t="n">
        <f aca="false">IF($K$3376=0,0,N(INDEX(Clients!$P$2:$P$501,$K$3376)))</f>
        <v>0</v>
      </c>
      <c r="M3403" s="25" t="n">
        <f aca="false">IF(OR(K3403&lt;&gt;0,L3403&lt;&gt;0),1,0)</f>
        <v>0</v>
      </c>
      <c r="N3403" s="25" t="str">
        <f aca="false">IF(M3403=1,SUM($M$3403:M3403),"")</f>
        <v/>
      </c>
      <c r="O3403" s="25" t="n">
        <v>1</v>
      </c>
    </row>
    <row r="3404" customFormat="false" ht="16.5" hidden="false" customHeight="true" outlineLevel="0" collapsed="false">
      <c r="B3404" s="40" t="str">
        <f aca="false">IFERROR(INDEX($J$3403:$J$3406,MATCH($O3404,$N$3403:$N$3406,0)),"")</f>
        <v/>
      </c>
      <c r="C3404" s="41" t="str">
        <f aca="false">IFERROR(INDEX($K$3403:$K$3406,MATCH($O3404,$N$3403:$N$3406,0)),"")</f>
        <v/>
      </c>
      <c r="D3404" s="42" t="str">
        <f aca="false">IF(OR(E3404="",N(C3404)=0),"",E3404/C3404-1)</f>
        <v/>
      </c>
      <c r="E3404" s="41" t="str">
        <f aca="false">IFERROR(INDEX($L$3403:$L$3406,MATCH($O3404,$N$3403:$N$3406,0)),"")</f>
        <v/>
      </c>
      <c r="F3404" s="41" t="str">
        <f aca="false">IF(E3404="","",E3404-C3404)</f>
        <v/>
      </c>
      <c r="J3404" s="25" t="str">
        <f aca="false">Lib_Paye</f>
        <v>Mission sociale (bulletins de paie, DSN, déclarations sociales)</v>
      </c>
      <c r="K3404" s="25" t="n">
        <f aca="false">IF($K$3376=0,0,N(INDEX(Clients!$L$2:$L$501,$K$3376)))</f>
        <v>0</v>
      </c>
      <c r="L3404" s="25" t="n">
        <f aca="false">IF($K$3376=0,0,N(INDEX(Clients!$Q$2:$Q$501,$K$3376)))</f>
        <v>0</v>
      </c>
      <c r="M3404" s="25" t="n">
        <f aca="false">IF(OR(K3404&lt;&gt;0,L3404&lt;&gt;0),1,0)</f>
        <v>0</v>
      </c>
      <c r="N3404" s="25" t="str">
        <f aca="false">IF(M3404=1,SUM($M$3403:M3404),"")</f>
        <v/>
      </c>
      <c r="O3404" s="25" t="n">
        <v>2</v>
      </c>
    </row>
    <row r="3405" customFormat="false" ht="16.5" hidden="false" customHeight="true" outlineLevel="0" collapsed="false">
      <c r="B3405" s="40" t="str">
        <f aca="false">IFERROR(INDEX($J$3403:$J$3406,MATCH($O3405,$N$3403:$N$3406,0)),"")</f>
        <v/>
      </c>
      <c r="C3405" s="41" t="str">
        <f aca="false">IFERROR(INDEX($K$3403:$K$3406,MATCH($O3405,$N$3403:$N$3406,0)),"")</f>
        <v/>
      </c>
      <c r="D3405" s="42" t="str">
        <f aca="false">IF(OR(E3405="",N(C3405)=0),"",E3405/C3405-1)</f>
        <v/>
      </c>
      <c r="E3405" s="41" t="str">
        <f aca="false">IFERROR(INDEX($L$3403:$L$3406,MATCH($O3405,$N$3403:$N$3406,0)),"")</f>
        <v/>
      </c>
      <c r="F3405" s="41" t="str">
        <f aca="false">IF(E3405="","",E3405-C3405)</f>
        <v/>
      </c>
      <c r="J3405" s="25" t="str">
        <f aca="false">Lib_Jur</f>
        <v>Mission juridique (approbation des comptes, secrétariat juridique)</v>
      </c>
      <c r="K3405" s="25" t="n">
        <f aca="false">IF($K$3376=0,0,N(INDEX(Clients!$M$2:$M$501,$K$3376)))</f>
        <v>0</v>
      </c>
      <c r="L3405" s="25" t="n">
        <f aca="false">IF($K$3376=0,0,N(INDEX(Clients!$R$2:$R$501,$K$3376)))</f>
        <v>0</v>
      </c>
      <c r="M3405" s="25" t="n">
        <f aca="false">IF(OR(K3405&lt;&gt;0,L3405&lt;&gt;0),1,0)</f>
        <v>0</v>
      </c>
      <c r="N3405" s="25" t="str">
        <f aca="false">IF(M3405=1,SUM($M$3403:M3405),"")</f>
        <v/>
      </c>
      <c r="O3405" s="25" t="n">
        <v>3</v>
      </c>
    </row>
    <row r="3406" customFormat="false" ht="16.5" hidden="false" customHeight="true" outlineLevel="0" collapsed="false">
      <c r="B3406" s="40" t="str">
        <f aca="false">IFERROR(INDEX($J$3403:$J$3406,MATCH($O3406,$N$3403:$N$3406,0)),"")</f>
        <v/>
      </c>
      <c r="C3406" s="41" t="str">
        <f aca="false">IFERROR(INDEX($K$3403:$K$3406,MATCH($O3406,$N$3403:$N$3406,0)),"")</f>
        <v/>
      </c>
      <c r="D3406" s="42" t="str">
        <f aca="false">IF(OR(E3406="",N(C3406)=0),"",E3406/C3406-1)</f>
        <v/>
      </c>
      <c r="E3406" s="41" t="str">
        <f aca="false">IFERROR(INDEX($L$3403:$L$3406,MATCH($O3406,$N$3403:$N$3406,0)),"")</f>
        <v/>
      </c>
      <c r="F3406" s="41" t="str">
        <f aca="false">IF(E3406="","",E3406-C3406)</f>
        <v/>
      </c>
      <c r="J3406" s="25" t="str">
        <f aca="false">Lib_PA</f>
        <v>Plateforme agréée – facturation électronique</v>
      </c>
      <c r="K3406" s="25" t="n">
        <f aca="false">IF($K$3376=0,0,N(INDEX(Clients!$N$2:$N$501,$K$3376)))</f>
        <v>0</v>
      </c>
      <c r="L3406" s="25" t="n">
        <f aca="false">IF($K$3376=0,0,N(INDEX(Clients!$S$2:$S$501,$K$3376)))</f>
        <v>0</v>
      </c>
      <c r="M3406" s="25" t="n">
        <f aca="false">IF(OR(K3406&lt;&gt;0,L3406&lt;&gt;0),1,0)</f>
        <v>0</v>
      </c>
      <c r="N3406" s="25" t="str">
        <f aca="false">IF(M3406=1,SUM($M$3403:M3406),"")</f>
        <v/>
      </c>
      <c r="O3406" s="25" t="n">
        <v>4</v>
      </c>
    </row>
    <row r="3407" customFormat="false" ht="18" hidden="false" customHeight="true" outlineLevel="0" collapsed="false">
      <c r="B3407" s="43" t="s">
        <v>158</v>
      </c>
      <c r="C3407" s="44" t="n">
        <f aca="false">SUM(K3403:K3406)</f>
        <v>0</v>
      </c>
      <c r="D3407" s="45" t="str">
        <f aca="false">IF(N(C3407)=0,"",E3407/C3407-1)</f>
        <v/>
      </c>
      <c r="E3407" s="44" t="n">
        <f aca="false">SUM(L3403:L3406)</f>
        <v>0</v>
      </c>
      <c r="F3407" s="44" t="n">
        <f aca="false">E3407-C3407</f>
        <v>0</v>
      </c>
    </row>
    <row r="3408" customFormat="false" ht="15" hidden="false" customHeight="false" outlineLevel="0" collapsed="false">
      <c r="B3408" s="46" t="str">
        <f aca="false">IF(N(Nb_Mensualites)=0,"","Soit "&amp;FIXED(E3407/Nb_Mensualites,2)&amp;" € HT par échéance ("&amp;Nb_Mensualites&amp;" échéances), "&amp;FIXED(E3407/Nb_Mensualites*(1+Taux_TVA),2)&amp;" € TTC.")</f>
        <v>Soit 0.00 € HT par échéance (12 échéances), 0.00 € TTC.</v>
      </c>
      <c r="C3408" s="46"/>
      <c r="D3408" s="46"/>
      <c r="E3408" s="46"/>
      <c r="F3408" s="46"/>
    </row>
    <row r="3409" customFormat="false" ht="7.5" hidden="false" customHeight="true" outlineLevel="0" collapsed="false">
      <c r="B3409" s="10"/>
      <c r="C3409" s="10"/>
      <c r="D3409" s="10"/>
      <c r="E3409" s="10"/>
      <c r="F3409" s="10"/>
    </row>
    <row r="3410" customFormat="false" ht="36.75" hidden="false" customHeight="true" outlineLevel="0" collapsed="false">
      <c r="B3410" s="37" t="str">
        <f aca="false">SUBSTITUTE(SUBSTITUTE(SUBSTITUTE(SUBSTITUTE(SUBSTITUTE(Txt_P5,"{cabinet}",Cab_Nom),"{societe}",IF($K$3376=0,"",INDEX(Clients!$E$2:$E$501,$K$3376)&amp;"")),"{date_effet}",$K$3378),"{hausse}",$K$3379),"{civilite}",$K$3377)</f>
        <v>Les autres conditions de votre lettre de mission demeurent inchangées. Les nouveaux montants seront appliqués automatiquement sur vos prochaines factures et échéances de prélèvement.</v>
      </c>
      <c r="C3410" s="37"/>
      <c r="D3410" s="37"/>
      <c r="E3410" s="37"/>
      <c r="F3410" s="37"/>
    </row>
    <row r="3411" customFormat="false" ht="36.75" hidden="false" customHeight="true" outlineLevel="0" collapsed="false">
      <c r="B3411" s="37" t="str">
        <f aca="false">SUBSTITUTE(SUBSTITUTE(SUBSTITUTE(SUBSTITUTE(SUBSTITUTE(Txt_P6,"{cabinet}",Cab_Nom),"{societe}",IF($K$3376=0,"",INDEX(Clients!$E$2:$E$501,$K$3376)&amp;"")),"{date_effet}",$K$3378),"{hausse}",$K$3379),"{civilite}",$K$3377)</f>
        <v>Votre interlocuteur habituel reste à votre entière disposition pour répondre à vos questions et faire le point sur l'évolution de vos besoins.</v>
      </c>
      <c r="C3411" s="37"/>
      <c r="D3411" s="37"/>
      <c r="E3411" s="37"/>
      <c r="F3411" s="37"/>
    </row>
    <row r="3412" customFormat="false" ht="24" hidden="false" customHeight="true" outlineLevel="0" collapsed="false">
      <c r="B3412" s="37" t="str">
        <f aca="false">SUBSTITUTE(SUBSTITUTE(SUBSTITUTE(SUBSTITUTE(SUBSTITUTE(Txt_Politesse,"{cabinet}",Cab_Nom),"{societe}",IF($K$3376=0,"",INDEX(Clients!$E$2:$E$501,$K$3376)&amp;"")),"{date_effet}",$K$3378),"{hausse}",$K$3379),"{civilite}",$K$3377)</f>
        <v>Nous vous prions d'agréer, Madame, Monsieur, l'expression de nos salutations distinguées.</v>
      </c>
      <c r="C3412" s="37"/>
      <c r="D3412" s="37"/>
      <c r="E3412" s="37"/>
      <c r="F3412" s="37"/>
    </row>
    <row r="3413" customFormat="false" ht="15" hidden="false" customHeight="false" outlineLevel="0" collapsed="false">
      <c r="B3413" s="10"/>
      <c r="C3413" s="10"/>
      <c r="D3413" s="10"/>
      <c r="E3413" s="10"/>
      <c r="F3413" s="10"/>
    </row>
    <row r="3414" customFormat="false" ht="15" hidden="false" customHeight="false" outlineLevel="0" collapsed="false">
      <c r="B3414" s="10"/>
      <c r="C3414" s="10"/>
      <c r="D3414" s="34" t="str">
        <f aca="false">Signataire</f>
        <v>Prénom NOM</v>
      </c>
      <c r="E3414" s="34"/>
      <c r="F3414" s="34"/>
    </row>
    <row r="3415" customFormat="false" ht="15" hidden="false" customHeight="false" outlineLevel="0" collapsed="false">
      <c r="B3415" s="10"/>
      <c r="C3415" s="10"/>
      <c r="D3415" s="47" t="str">
        <f aca="false">Signataire_Titre</f>
        <v>Expert-comptable associé</v>
      </c>
      <c r="E3415" s="47"/>
      <c r="F3415" s="47"/>
    </row>
    <row r="3416" customFormat="false" ht="15.75" hidden="false" customHeight="true" outlineLevel="0" collapsed="false">
      <c r="B3416" s="10"/>
      <c r="C3416" s="10"/>
      <c r="D3416" s="10"/>
      <c r="E3416" s="10"/>
      <c r="F3416" s="10"/>
    </row>
    <row r="3417" customFormat="false" ht="15.75" hidden="false" customHeight="true" outlineLevel="0" collapsed="false">
      <c r="B3417" s="10"/>
      <c r="C3417" s="10"/>
      <c r="D3417" s="10"/>
      <c r="E3417" s="10"/>
      <c r="F3417" s="10"/>
    </row>
    <row r="3418" customFormat="false" ht="15.75" hidden="false" customHeight="true" outlineLevel="0" collapsed="false">
      <c r="B3418" s="10"/>
      <c r="C3418" s="10"/>
      <c r="D3418" s="10"/>
      <c r="E3418" s="10"/>
      <c r="F3418" s="10"/>
    </row>
    <row r="3419" customFormat="false" ht="15.75" hidden="false" customHeight="true" outlineLevel="0" collapsed="false">
      <c r="B3419" s="10"/>
      <c r="C3419" s="10"/>
      <c r="D3419" s="10"/>
      <c r="E3419" s="10"/>
      <c r="F3419" s="10"/>
    </row>
    <row r="3420" customFormat="false" ht="24" hidden="false" customHeight="true" outlineLevel="0" collapsed="false">
      <c r="B3420" s="48" t="str">
        <f aca="false">Cab_Mentions</f>
        <v>ALTHO EXPERTISE · SAS au capital de 10 000 € · RCS Pontoise 919 706 325 · TVA FR62919706325 · Société d'expertise comptable inscrite au Tableau de l'Ordre des experts-comptables de Paris Île-de-France</v>
      </c>
      <c r="C3420" s="48"/>
      <c r="D3420" s="48"/>
      <c r="E3420" s="48"/>
      <c r="F3420" s="48"/>
    </row>
    <row r="3421" customFormat="false" ht="15" hidden="false" customHeight="false" outlineLevel="0" collapsed="false">
      <c r="B3421" s="10"/>
      <c r="C3421" s="10"/>
      <c r="D3421" s="10"/>
      <c r="E3421" s="10"/>
      <c r="F3421" s="10"/>
      <c r="J3421" s="25" t="s">
        <v>142</v>
      </c>
      <c r="K3421" s="25" t="n">
        <f aca="false">IFERROR(MATCH(77,Clients!$Z$2:$Z$501,0),0)</f>
        <v>0</v>
      </c>
      <c r="L3421" s="25"/>
      <c r="M3421" s="25"/>
      <c r="N3421" s="25"/>
      <c r="O3421" s="25"/>
    </row>
    <row r="3422" customFormat="false" ht="21.75" hidden="false" customHeight="true" outlineLevel="0" collapsed="false">
      <c r="B3422" s="26" t="str">
        <f aca="false">Cab_Nom</f>
        <v>ALTHO EXPERTISE</v>
      </c>
      <c r="C3422" s="26"/>
      <c r="D3422" s="10"/>
      <c r="E3422" s="27" t="str">
        <f aca="false">IF($K$3421=0,"","Réf. client : "&amp;INDEX(Clients!$A$2:$A$501,$K$3421))</f>
        <v/>
      </c>
      <c r="F3422" s="27"/>
      <c r="J3422" s="25" t="s">
        <v>144</v>
      </c>
      <c r="K3422" s="25" t="str">
        <f aca="false">IF(IF($K$3421=0,"",INDEX(Clients!$B$2:$B$501,$K$3421)&amp;"")="Mme","Madame",IF(IF($K$3421=0,"",INDEX(Clients!$B$2:$B$501,$K$3421)&amp;"")="M.","Monsieur","Madame, Monsieur"))</f>
        <v>Madame, Monsieur</v>
      </c>
      <c r="L3422" s="25"/>
      <c r="M3422" s="25"/>
      <c r="N3422" s="25"/>
      <c r="O3422" s="25"/>
    </row>
    <row r="3423" customFormat="false" ht="15" hidden="false" customHeight="false" outlineLevel="0" collapsed="false">
      <c r="B3423" s="29" t="str">
        <f aca="false">Cab_Adr1</f>
        <v>141 rue Charles de Gaulle</v>
      </c>
      <c r="C3423" s="29"/>
      <c r="D3423" s="10"/>
      <c r="E3423" s="10"/>
      <c r="F3423" s="10"/>
      <c r="J3423" s="25" t="s">
        <v>145</v>
      </c>
      <c r="K3423" s="25" t="str">
        <f aca="false">DAY(Date_Effet)&amp;IF(DAY(Date_Effet)=1,"er","")&amp;" "&amp;INDEX(Liste_Mois,MONTH(Date_Effet))&amp;" "&amp;YEAR(Date_Effet)</f>
        <v>1er janvier 2027</v>
      </c>
      <c r="L3423" s="25"/>
      <c r="M3423" s="25"/>
      <c r="N3423" s="25"/>
      <c r="O3423" s="25"/>
    </row>
    <row r="3424" customFormat="false" ht="15" hidden="false" customHeight="false" outlineLevel="0" collapsed="false">
      <c r="B3424" s="29" t="str">
        <f aca="false">Cab_CPVille</f>
        <v>95130 LE PLESSIS-BOUCHARD</v>
      </c>
      <c r="C3424" s="29"/>
      <c r="D3424" s="10"/>
      <c r="E3424" s="10"/>
      <c r="F3424" s="10"/>
      <c r="J3424" s="25" t="s">
        <v>146</v>
      </c>
      <c r="K3424" s="25" t="str">
        <f aca="false">IF(SUM($K$3448:$K$3451)=0,"",FIXED((SUM($L$3448:$L$3451)/SUM($K$3448:$K$3451)-1)*100,1)&amp;" %")</f>
        <v/>
      </c>
      <c r="L3424" s="25"/>
      <c r="M3424" s="25"/>
      <c r="N3424" s="25"/>
      <c r="O3424" s="25"/>
    </row>
    <row r="3425" customFormat="false" ht="15" hidden="false" customHeight="false" outlineLevel="0" collapsed="false">
      <c r="B3425" s="29" t="str">
        <f aca="false">Cab_Contact</f>
        <v>Tél. 01 34 14 53 45  ·  altho@altho-experts.com  ·  altho-experts.com</v>
      </c>
      <c r="C3425" s="29"/>
      <c r="D3425" s="10"/>
      <c r="E3425" s="10"/>
      <c r="F3425" s="10"/>
      <c r="J3425" s="25"/>
      <c r="K3425" s="25"/>
      <c r="L3425" s="25"/>
      <c r="M3425" s="25"/>
      <c r="N3425" s="25"/>
      <c r="O3425" s="25"/>
    </row>
    <row r="3426" customFormat="false" ht="6" hidden="false" customHeight="true" outlineLevel="0" collapsed="false">
      <c r="B3426" s="32"/>
      <c r="C3426" s="32"/>
      <c r="D3426" s="32"/>
      <c r="E3426" s="32"/>
      <c r="F3426" s="32"/>
      <c r="J3426" s="25"/>
      <c r="K3426" s="25"/>
      <c r="L3426" s="25"/>
      <c r="M3426" s="25"/>
      <c r="N3426" s="25"/>
      <c r="O3426" s="25"/>
    </row>
    <row r="3427" customFormat="false" ht="13.5" hidden="false" customHeight="true" outlineLevel="0" collapsed="false">
      <c r="B3427" s="10"/>
      <c r="C3427" s="10"/>
      <c r="D3427" s="10"/>
      <c r="E3427" s="10"/>
      <c r="F3427" s="10"/>
      <c r="J3427" s="25"/>
      <c r="K3427" s="25"/>
      <c r="L3427" s="25"/>
      <c r="M3427" s="25"/>
      <c r="N3427" s="25"/>
      <c r="O3427" s="25"/>
    </row>
    <row r="3428" customFormat="false" ht="13.5" hidden="false" customHeight="true" outlineLevel="0" collapsed="false">
      <c r="B3428" s="10"/>
      <c r="C3428" s="10"/>
      <c r="D3428" s="10"/>
      <c r="E3428" s="10"/>
      <c r="F3428" s="10"/>
      <c r="J3428" s="25"/>
      <c r="K3428" s="25"/>
      <c r="L3428" s="25"/>
      <c r="M3428" s="25"/>
      <c r="N3428" s="25"/>
      <c r="O3428" s="25"/>
    </row>
    <row r="3429" customFormat="false" ht="13.5" hidden="false" customHeight="true" outlineLevel="0" collapsed="false">
      <c r="B3429" s="10"/>
      <c r="C3429" s="10"/>
      <c r="D3429" s="10"/>
      <c r="E3429" s="10"/>
      <c r="F3429" s="10"/>
      <c r="J3429" s="25"/>
      <c r="K3429" s="25"/>
      <c r="L3429" s="25"/>
      <c r="M3429" s="25"/>
      <c r="N3429" s="25"/>
      <c r="O3429" s="25"/>
    </row>
    <row r="3430" customFormat="false" ht="15" hidden="false" customHeight="true" outlineLevel="0" collapsed="false">
      <c r="B3430" s="10"/>
      <c r="C3430" s="10"/>
      <c r="D3430" s="34" t="str">
        <f aca="false">IF($K$3421=0,"",INDEX(Clients!$E$2:$E$501,$K$3421)&amp;"")</f>
        <v/>
      </c>
      <c r="E3430" s="34"/>
      <c r="F3430" s="34"/>
      <c r="J3430" s="25"/>
      <c r="K3430" s="25"/>
      <c r="L3430" s="25"/>
      <c r="M3430" s="25"/>
      <c r="N3430" s="25"/>
      <c r="O3430" s="25"/>
    </row>
    <row r="3431" customFormat="false" ht="15" hidden="false" customHeight="true" outlineLevel="0" collapsed="false">
      <c r="B3431" s="10"/>
      <c r="C3431" s="10"/>
      <c r="D3431" s="35" t="str">
        <f aca="false">IF(IF($K$3421=0,"",INDEX(Clients!$D$2:$D$501,$K$3421)&amp;"")="","","À l'attention de "&amp;TRIM(IF($K$3421=0,"",INDEX(Clients!$B$2:$B$501,$K$3421)&amp;"")&amp;" "&amp;IF($K$3421=0,"",INDEX(Clients!$C$2:$C$501,$K$3421)&amp;"")&amp;" "&amp;IF($K$3421=0,"",INDEX(Clients!$D$2:$D$501,$K$3421)&amp;"")))</f>
        <v/>
      </c>
      <c r="E3431" s="35"/>
      <c r="F3431" s="35"/>
      <c r="J3431" s="25"/>
      <c r="K3431" s="25"/>
      <c r="L3431" s="25"/>
      <c r="M3431" s="25"/>
      <c r="N3431" s="25"/>
      <c r="O3431" s="25"/>
    </row>
    <row r="3432" customFormat="false" ht="15" hidden="false" customHeight="true" outlineLevel="0" collapsed="false">
      <c r="B3432" s="10"/>
      <c r="C3432" s="10"/>
      <c r="D3432" s="35" t="str">
        <f aca="false">IF($K$3421=0,"",INDEX(Clients!$F$2:$F$501,$K$3421)&amp;"")</f>
        <v/>
      </c>
      <c r="E3432" s="35"/>
      <c r="F3432" s="35"/>
      <c r="J3432" s="25"/>
      <c r="K3432" s="25"/>
      <c r="L3432" s="25"/>
      <c r="M3432" s="25"/>
      <c r="N3432" s="25"/>
      <c r="O3432" s="25"/>
    </row>
    <row r="3433" customFormat="false" ht="15" hidden="false" customHeight="true" outlineLevel="0" collapsed="false">
      <c r="B3433" s="10"/>
      <c r="C3433" s="10"/>
      <c r="D3433" s="35" t="str">
        <f aca="false">IF(IF($K$3421=0,"",INDEX(Clients!$G$2:$G$501,$K$3421)&amp;"")="",TRIM(IF($K$3421=0,"",INDEX(Clients!$H$2:$H$501,$K$3421)&amp;"")&amp;" "&amp;UPPER(IF($K$3421=0,"",INDEX(Clients!$I$2:$I$501,$K$3421)&amp;""))),IF($K$3421=0,"",INDEX(Clients!$G$2:$G$501,$K$3421)&amp;""))</f>
        <v/>
      </c>
      <c r="E3433" s="35"/>
      <c r="F3433" s="35"/>
      <c r="J3433" s="25"/>
      <c r="K3433" s="25"/>
      <c r="L3433" s="25"/>
      <c r="M3433" s="25"/>
      <c r="N3433" s="25"/>
      <c r="O3433" s="25"/>
    </row>
    <row r="3434" customFormat="false" ht="15" hidden="false" customHeight="true" outlineLevel="0" collapsed="false">
      <c r="B3434" s="10"/>
      <c r="C3434" s="10"/>
      <c r="D3434" s="35" t="str">
        <f aca="false">IF(IF($K$3421=0,"",INDEX(Clients!$G$2:$G$501,$K$3421)&amp;"")="","",TRIM(IF($K$3421=0,"",INDEX(Clients!$H$2:$H$501,$K$3421)&amp;"")&amp;" "&amp;UPPER(IF($K$3421=0,"",INDEX(Clients!$I$2:$I$501,$K$3421)&amp;""))))</f>
        <v/>
      </c>
      <c r="E3434" s="35"/>
      <c r="F3434" s="35"/>
      <c r="J3434" s="25"/>
      <c r="K3434" s="25"/>
      <c r="L3434" s="25"/>
      <c r="M3434" s="25"/>
      <c r="N3434" s="25"/>
      <c r="O3434" s="25"/>
    </row>
    <row r="3435" customFormat="false" ht="25.5" hidden="false" customHeight="true" outlineLevel="0" collapsed="false">
      <c r="B3435" s="10"/>
      <c r="C3435" s="10"/>
      <c r="D3435" s="10"/>
      <c r="E3435" s="10"/>
      <c r="F3435" s="10"/>
      <c r="J3435" s="25"/>
      <c r="K3435" s="25"/>
      <c r="L3435" s="25"/>
      <c r="M3435" s="25"/>
      <c r="N3435" s="25"/>
      <c r="O3435" s="25"/>
    </row>
    <row r="3436" customFormat="false" ht="15" hidden="false" customHeight="false" outlineLevel="0" collapsed="false">
      <c r="B3436" s="10"/>
      <c r="C3436" s="10"/>
      <c r="D3436" s="36" t="str">
        <f aca="false">Cab_Ville&amp;", le "&amp;DAY(Date_Courrier)&amp;IF(DAY(Date_Courrier)=1,"er","")&amp;" "&amp;INDEX(Liste_Mois,MONTH(Date_Courrier))&amp;" "&amp;YEAR(Date_Courrier)</f>
        <v>Le Plessis-Bouchard, le 22 septembre 2026</v>
      </c>
      <c r="E3436" s="36"/>
      <c r="F3436" s="36"/>
      <c r="J3436" s="25"/>
      <c r="K3436" s="25"/>
      <c r="L3436" s="25"/>
      <c r="M3436" s="25"/>
      <c r="N3436" s="25"/>
      <c r="O3436" s="25"/>
    </row>
    <row r="3437" customFormat="false" ht="19.5" hidden="false" customHeight="true" outlineLevel="0" collapsed="false">
      <c r="B3437" s="10"/>
      <c r="C3437" s="10"/>
      <c r="D3437" s="10"/>
      <c r="E3437" s="10"/>
      <c r="F3437" s="10"/>
      <c r="J3437" s="25"/>
      <c r="K3437" s="25"/>
      <c r="L3437" s="25"/>
      <c r="M3437" s="25"/>
      <c r="N3437" s="25"/>
      <c r="O3437" s="25"/>
    </row>
    <row r="3438" customFormat="false" ht="15" hidden="false" customHeight="false" outlineLevel="0" collapsed="false">
      <c r="B3438" s="34" t="str">
        <f aca="false">SUBSTITUTE(SUBSTITUTE(SUBSTITUTE(SUBSTITUTE(SUBSTITUTE(Txt_Objet,"{cabinet}",Cab_Nom),"{societe}",IF($K$3421=0,"",INDEX(Clients!$E$2:$E$501,$K$3421)&amp;"")),"{date_effet}",$K$3423),"{hausse}",$K$3424),"{civilite}",$K$3422)</f>
        <v>Objet : révision de nos honoraires au 1er janvier 2027</v>
      </c>
      <c r="C3438" s="34"/>
      <c r="D3438" s="34"/>
      <c r="E3438" s="34"/>
      <c r="F3438" s="34"/>
      <c r="J3438" s="25"/>
      <c r="K3438" s="25"/>
      <c r="L3438" s="25"/>
      <c r="M3438" s="25"/>
      <c r="N3438" s="25"/>
      <c r="O3438" s="25"/>
    </row>
    <row r="3439" customFormat="false" ht="13.5" hidden="false" customHeight="true" outlineLevel="0" collapsed="false">
      <c r="B3439" s="10"/>
      <c r="C3439" s="10"/>
      <c r="D3439" s="10"/>
      <c r="E3439" s="10"/>
      <c r="F3439" s="10"/>
      <c r="J3439" s="25"/>
      <c r="K3439" s="25"/>
      <c r="L3439" s="25"/>
      <c r="M3439" s="25"/>
      <c r="N3439" s="25"/>
      <c r="O3439" s="25"/>
    </row>
    <row r="3440" customFormat="false" ht="15" hidden="false" customHeight="false" outlineLevel="0" collapsed="false">
      <c r="B3440" s="10" t="str">
        <f aca="false">$K$3422&amp;","</f>
        <v>Madame, Monsieur,</v>
      </c>
      <c r="C3440" s="10"/>
      <c r="D3440" s="10"/>
      <c r="E3440" s="10"/>
      <c r="F3440" s="10"/>
      <c r="J3440" s="25"/>
      <c r="K3440" s="25"/>
      <c r="L3440" s="25"/>
      <c r="M3440" s="25"/>
      <c r="N3440" s="25"/>
      <c r="O3440" s="25"/>
    </row>
    <row r="3441" customFormat="false" ht="6" hidden="false" customHeight="true" outlineLevel="0" collapsed="false">
      <c r="B3441" s="10"/>
      <c r="C3441" s="10"/>
      <c r="D3441" s="10"/>
      <c r="E3441" s="10"/>
      <c r="F3441" s="10"/>
      <c r="J3441" s="25"/>
      <c r="K3441" s="25"/>
      <c r="L3441" s="25"/>
      <c r="M3441" s="25"/>
      <c r="N3441" s="25"/>
      <c r="O3441" s="25"/>
    </row>
    <row r="3442" customFormat="false" ht="36.75" hidden="false" customHeight="true" outlineLevel="0" collapsed="false">
      <c r="B3442" s="37" t="str">
        <f aca="false">SUBSTITUTE(SUBSTITUTE(SUBSTITUTE(SUBSTITUTE(SUBSTITUTE(Txt_P1,"{cabinet}",Cab_Nom),"{societe}",IF($K$3421=0,"",INDEX(Clients!$E$2:$E$501,$K$3421)&amp;"")),"{date_effet}",$K$3423),"{hausse}",$K$3424),"{civilite}",$K$3422)</f>
        <v>Nous tenons tout d'abord à vous remercier pour la confiance que vous accordez à ALTHO EXPERTISE. Comme chaque année, et conformément aux dispositions de votre lettre de mission, nous procédons à la révision de nos honoraires.</v>
      </c>
      <c r="C3442" s="37"/>
      <c r="D3442" s="37"/>
      <c r="E3442" s="37"/>
      <c r="F3442" s="37"/>
      <c r="J3442" s="25"/>
      <c r="K3442" s="25"/>
      <c r="L3442" s="25"/>
      <c r="M3442" s="25"/>
      <c r="N3442" s="25"/>
      <c r="O3442" s="25"/>
    </row>
    <row r="3443" customFormat="false" ht="49.5" hidden="false" customHeight="true" outlineLevel="0" collapsed="false">
      <c r="B3443" s="37" t="str">
        <f aca="false">SUBSTITUTE(SUBSTITUTE(SUBSTITUTE(SUBSTITUTE(SUBSTITUTE(Txt_P2,"{cabinet}",Cab_Nom),"{societe}",IF($K$3421=0,"",INDEX(Clients!$E$2:$E$501,$K$3421)&amp;"")),"{date_effet}",$K$3423),"{hausse}",$K$3424),"{civilite}",$K$3422)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443" s="37"/>
      <c r="D3443" s="37"/>
      <c r="E3443" s="37"/>
      <c r="F3443" s="37"/>
      <c r="J3443" s="25"/>
      <c r="K3443" s="25"/>
      <c r="L3443" s="25"/>
      <c r="M3443" s="25"/>
      <c r="N3443" s="25"/>
      <c r="O3443" s="25"/>
    </row>
    <row r="3444" customFormat="false" ht="63" hidden="false" customHeight="true" outlineLevel="0" collapsed="false">
      <c r="B3444" s="37" t="str">
        <f aca="false">SUBSTITUTE(SUBSTITUTE(SUBSTITUTE(SUBSTITUTE(SUBSTITUTE(Txt_P3,"{cabinet}",Cab_Nom),"{societe}",IF($K$3421=0,"",INDEX(Clients!$E$2:$E$501,$K$3421)&amp;"")),"{date_effet}",$K$3423),"{hausse}",$K$3424),"{civilite}",$K$3422)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444" s="37"/>
      <c r="D3444" s="37"/>
      <c r="E3444" s="37"/>
      <c r="F3444" s="37"/>
      <c r="J3444" s="25"/>
      <c r="K3444" s="25"/>
      <c r="L3444" s="25"/>
      <c r="M3444" s="25"/>
      <c r="N3444" s="25"/>
      <c r="O3444" s="25"/>
    </row>
    <row r="3445" customFormat="false" ht="24" hidden="false" customHeight="true" outlineLevel="0" collapsed="false">
      <c r="B3445" s="37" t="str">
        <f aca="false">SUBSTITUTE(SUBSTITUTE(SUBSTITUTE(SUBSTITUTE(SUBSTITUTE(Txt_P4,"{cabinet}",Cab_Nom),"{societe}",IF($K$3421=0,"",INDEX(Clients!$E$2:$E$501,$K$3421)&amp;"")),"{date_effet}",$K$3423),"{hausse}",$K$3424),"{civilite}",$K$3422)</f>
        <v>À compter du 1er janvier 2027, vos honoraires annuels hors taxes évolueront ainsi (évolution globale : ) :</v>
      </c>
      <c r="C3445" s="37"/>
      <c r="D3445" s="37"/>
      <c r="E3445" s="37"/>
      <c r="F3445" s="37"/>
      <c r="J3445" s="25"/>
      <c r="K3445" s="25"/>
      <c r="L3445" s="25"/>
      <c r="M3445" s="25"/>
      <c r="N3445" s="25"/>
      <c r="O3445" s="25"/>
    </row>
    <row r="3446" customFormat="false" ht="3.75" hidden="false" customHeight="true" outlineLevel="0" collapsed="false">
      <c r="B3446" s="10"/>
      <c r="C3446" s="10"/>
      <c r="D3446" s="10"/>
      <c r="E3446" s="10"/>
      <c r="F3446" s="10"/>
      <c r="J3446" s="25"/>
      <c r="K3446" s="25"/>
      <c r="L3446" s="25"/>
      <c r="M3446" s="25"/>
      <c r="N3446" s="25"/>
      <c r="O3446" s="25"/>
    </row>
    <row r="3447" customFormat="false" ht="18" hidden="false" customHeight="true" outlineLevel="0" collapsed="false">
      <c r="B3447" s="38" t="s">
        <v>148</v>
      </c>
      <c r="C3447" s="39" t="s">
        <v>149</v>
      </c>
      <c r="D3447" s="39" t="s">
        <v>150</v>
      </c>
      <c r="E3447" s="39" t="s">
        <v>151</v>
      </c>
      <c r="F3447" s="39" t="s">
        <v>109</v>
      </c>
      <c r="J3447" s="25" t="s">
        <v>152</v>
      </c>
      <c r="K3447" s="25" t="s">
        <v>153</v>
      </c>
      <c r="L3447" s="25" t="s">
        <v>154</v>
      </c>
      <c r="M3447" s="25" t="s">
        <v>155</v>
      </c>
      <c r="N3447" s="25" t="s">
        <v>156</v>
      </c>
      <c r="O3447" s="25" t="s">
        <v>157</v>
      </c>
    </row>
    <row r="3448" customFormat="false" ht="16.5" hidden="false" customHeight="true" outlineLevel="0" collapsed="false">
      <c r="B3448" s="40" t="str">
        <f aca="false">IFERROR(INDEX($J$3448:$J$3451,MATCH($O3448,$N$3448:$N$3451,0)),"")</f>
        <v/>
      </c>
      <c r="C3448" s="41" t="str">
        <f aca="false">IFERROR(INDEX($K$3448:$K$3451,MATCH($O3448,$N$3448:$N$3451,0)),"")</f>
        <v/>
      </c>
      <c r="D3448" s="42" t="str">
        <f aca="false">IF(OR(E3448="",N(C3448)=0),"",E3448/C3448-1)</f>
        <v/>
      </c>
      <c r="E3448" s="41" t="str">
        <f aca="false">IFERROR(INDEX($L$3448:$L$3451,MATCH($O3448,$N$3448:$N$3451,0)),"")</f>
        <v/>
      </c>
      <c r="F3448" s="41" t="str">
        <f aca="false">IF(E3448="","",E3448-C3448)</f>
        <v/>
      </c>
      <c r="J3448" s="25" t="str">
        <f aca="false">Lib_Compta</f>
        <v>Mission comptable (tenue, révision, bilan, liasse fiscale)</v>
      </c>
      <c r="K3448" s="25" t="n">
        <f aca="false">IF($K$3421=0,0,N(INDEX(Clients!$K$2:$K$501,$K$3421)))</f>
        <v>0</v>
      </c>
      <c r="L3448" s="25" t="n">
        <f aca="false">IF($K$3421=0,0,N(INDEX(Clients!$P$2:$P$501,$K$3421)))</f>
        <v>0</v>
      </c>
      <c r="M3448" s="25" t="n">
        <f aca="false">IF(OR(K3448&lt;&gt;0,L3448&lt;&gt;0),1,0)</f>
        <v>0</v>
      </c>
      <c r="N3448" s="25" t="str">
        <f aca="false">IF(M3448=1,SUM($M$3448:M3448),"")</f>
        <v/>
      </c>
      <c r="O3448" s="25" t="n">
        <v>1</v>
      </c>
    </row>
    <row r="3449" customFormat="false" ht="16.5" hidden="false" customHeight="true" outlineLevel="0" collapsed="false">
      <c r="B3449" s="40" t="str">
        <f aca="false">IFERROR(INDEX($J$3448:$J$3451,MATCH($O3449,$N$3448:$N$3451,0)),"")</f>
        <v/>
      </c>
      <c r="C3449" s="41" t="str">
        <f aca="false">IFERROR(INDEX($K$3448:$K$3451,MATCH($O3449,$N$3448:$N$3451,0)),"")</f>
        <v/>
      </c>
      <c r="D3449" s="42" t="str">
        <f aca="false">IF(OR(E3449="",N(C3449)=0),"",E3449/C3449-1)</f>
        <v/>
      </c>
      <c r="E3449" s="41" t="str">
        <f aca="false">IFERROR(INDEX($L$3448:$L$3451,MATCH($O3449,$N$3448:$N$3451,0)),"")</f>
        <v/>
      </c>
      <c r="F3449" s="41" t="str">
        <f aca="false">IF(E3449="","",E3449-C3449)</f>
        <v/>
      </c>
      <c r="J3449" s="25" t="str">
        <f aca="false">Lib_Paye</f>
        <v>Mission sociale (bulletins de paie, DSN, déclarations sociales)</v>
      </c>
      <c r="K3449" s="25" t="n">
        <f aca="false">IF($K$3421=0,0,N(INDEX(Clients!$L$2:$L$501,$K$3421)))</f>
        <v>0</v>
      </c>
      <c r="L3449" s="25" t="n">
        <f aca="false">IF($K$3421=0,0,N(INDEX(Clients!$Q$2:$Q$501,$K$3421)))</f>
        <v>0</v>
      </c>
      <c r="M3449" s="25" t="n">
        <f aca="false">IF(OR(K3449&lt;&gt;0,L3449&lt;&gt;0),1,0)</f>
        <v>0</v>
      </c>
      <c r="N3449" s="25" t="str">
        <f aca="false">IF(M3449=1,SUM($M$3448:M3449),"")</f>
        <v/>
      </c>
      <c r="O3449" s="25" t="n">
        <v>2</v>
      </c>
    </row>
    <row r="3450" customFormat="false" ht="16.5" hidden="false" customHeight="true" outlineLevel="0" collapsed="false">
      <c r="B3450" s="40" t="str">
        <f aca="false">IFERROR(INDEX($J$3448:$J$3451,MATCH($O3450,$N$3448:$N$3451,0)),"")</f>
        <v/>
      </c>
      <c r="C3450" s="41" t="str">
        <f aca="false">IFERROR(INDEX($K$3448:$K$3451,MATCH($O3450,$N$3448:$N$3451,0)),"")</f>
        <v/>
      </c>
      <c r="D3450" s="42" t="str">
        <f aca="false">IF(OR(E3450="",N(C3450)=0),"",E3450/C3450-1)</f>
        <v/>
      </c>
      <c r="E3450" s="41" t="str">
        <f aca="false">IFERROR(INDEX($L$3448:$L$3451,MATCH($O3450,$N$3448:$N$3451,0)),"")</f>
        <v/>
      </c>
      <c r="F3450" s="41" t="str">
        <f aca="false">IF(E3450="","",E3450-C3450)</f>
        <v/>
      </c>
      <c r="J3450" s="25" t="str">
        <f aca="false">Lib_Jur</f>
        <v>Mission juridique (approbation des comptes, secrétariat juridique)</v>
      </c>
      <c r="K3450" s="25" t="n">
        <f aca="false">IF($K$3421=0,0,N(INDEX(Clients!$M$2:$M$501,$K$3421)))</f>
        <v>0</v>
      </c>
      <c r="L3450" s="25" t="n">
        <f aca="false">IF($K$3421=0,0,N(INDEX(Clients!$R$2:$R$501,$K$3421)))</f>
        <v>0</v>
      </c>
      <c r="M3450" s="25" t="n">
        <f aca="false">IF(OR(K3450&lt;&gt;0,L3450&lt;&gt;0),1,0)</f>
        <v>0</v>
      </c>
      <c r="N3450" s="25" t="str">
        <f aca="false">IF(M3450=1,SUM($M$3448:M3450),"")</f>
        <v/>
      </c>
      <c r="O3450" s="25" t="n">
        <v>3</v>
      </c>
    </row>
    <row r="3451" customFormat="false" ht="16.5" hidden="false" customHeight="true" outlineLevel="0" collapsed="false">
      <c r="B3451" s="40" t="str">
        <f aca="false">IFERROR(INDEX($J$3448:$J$3451,MATCH($O3451,$N$3448:$N$3451,0)),"")</f>
        <v/>
      </c>
      <c r="C3451" s="41" t="str">
        <f aca="false">IFERROR(INDEX($K$3448:$K$3451,MATCH($O3451,$N$3448:$N$3451,0)),"")</f>
        <v/>
      </c>
      <c r="D3451" s="42" t="str">
        <f aca="false">IF(OR(E3451="",N(C3451)=0),"",E3451/C3451-1)</f>
        <v/>
      </c>
      <c r="E3451" s="41" t="str">
        <f aca="false">IFERROR(INDEX($L$3448:$L$3451,MATCH($O3451,$N$3448:$N$3451,0)),"")</f>
        <v/>
      </c>
      <c r="F3451" s="41" t="str">
        <f aca="false">IF(E3451="","",E3451-C3451)</f>
        <v/>
      </c>
      <c r="J3451" s="25" t="str">
        <f aca="false">Lib_PA</f>
        <v>Plateforme agréée – facturation électronique</v>
      </c>
      <c r="K3451" s="25" t="n">
        <f aca="false">IF($K$3421=0,0,N(INDEX(Clients!$N$2:$N$501,$K$3421)))</f>
        <v>0</v>
      </c>
      <c r="L3451" s="25" t="n">
        <f aca="false">IF($K$3421=0,0,N(INDEX(Clients!$S$2:$S$501,$K$3421)))</f>
        <v>0</v>
      </c>
      <c r="M3451" s="25" t="n">
        <f aca="false">IF(OR(K3451&lt;&gt;0,L3451&lt;&gt;0),1,0)</f>
        <v>0</v>
      </c>
      <c r="N3451" s="25" t="str">
        <f aca="false">IF(M3451=1,SUM($M$3448:M3451),"")</f>
        <v/>
      </c>
      <c r="O3451" s="25" t="n">
        <v>4</v>
      </c>
    </row>
    <row r="3452" customFormat="false" ht="18" hidden="false" customHeight="true" outlineLevel="0" collapsed="false">
      <c r="B3452" s="43" t="s">
        <v>158</v>
      </c>
      <c r="C3452" s="44" t="n">
        <f aca="false">SUM(K3448:K3451)</f>
        <v>0</v>
      </c>
      <c r="D3452" s="45" t="str">
        <f aca="false">IF(N(C3452)=0,"",E3452/C3452-1)</f>
        <v/>
      </c>
      <c r="E3452" s="44" t="n">
        <f aca="false">SUM(L3448:L3451)</f>
        <v>0</v>
      </c>
      <c r="F3452" s="44" t="n">
        <f aca="false">E3452-C3452</f>
        <v>0</v>
      </c>
    </row>
    <row r="3453" customFormat="false" ht="15" hidden="false" customHeight="false" outlineLevel="0" collapsed="false">
      <c r="B3453" s="46" t="str">
        <f aca="false">IF(N(Nb_Mensualites)=0,"","Soit "&amp;FIXED(E3452/Nb_Mensualites,2)&amp;" € HT par échéance ("&amp;Nb_Mensualites&amp;" échéances), "&amp;FIXED(E3452/Nb_Mensualites*(1+Taux_TVA),2)&amp;" € TTC.")</f>
        <v>Soit 0.00 € HT par échéance (12 échéances), 0.00 € TTC.</v>
      </c>
      <c r="C3453" s="46"/>
      <c r="D3453" s="46"/>
      <c r="E3453" s="46"/>
      <c r="F3453" s="46"/>
    </row>
    <row r="3454" customFormat="false" ht="7.5" hidden="false" customHeight="true" outlineLevel="0" collapsed="false">
      <c r="B3454" s="10"/>
      <c r="C3454" s="10"/>
      <c r="D3454" s="10"/>
      <c r="E3454" s="10"/>
      <c r="F3454" s="10"/>
    </row>
    <row r="3455" customFormat="false" ht="36.75" hidden="false" customHeight="true" outlineLevel="0" collapsed="false">
      <c r="B3455" s="37" t="str">
        <f aca="false">SUBSTITUTE(SUBSTITUTE(SUBSTITUTE(SUBSTITUTE(SUBSTITUTE(Txt_P5,"{cabinet}",Cab_Nom),"{societe}",IF($K$3421=0,"",INDEX(Clients!$E$2:$E$501,$K$3421)&amp;"")),"{date_effet}",$K$3423),"{hausse}",$K$3424),"{civilite}",$K$3422)</f>
        <v>Les autres conditions de votre lettre de mission demeurent inchangées. Les nouveaux montants seront appliqués automatiquement sur vos prochaines factures et échéances de prélèvement.</v>
      </c>
      <c r="C3455" s="37"/>
      <c r="D3455" s="37"/>
      <c r="E3455" s="37"/>
      <c r="F3455" s="37"/>
    </row>
    <row r="3456" customFormat="false" ht="36.75" hidden="false" customHeight="true" outlineLevel="0" collapsed="false">
      <c r="B3456" s="37" t="str">
        <f aca="false">SUBSTITUTE(SUBSTITUTE(SUBSTITUTE(SUBSTITUTE(SUBSTITUTE(Txt_P6,"{cabinet}",Cab_Nom),"{societe}",IF($K$3421=0,"",INDEX(Clients!$E$2:$E$501,$K$3421)&amp;"")),"{date_effet}",$K$3423),"{hausse}",$K$3424),"{civilite}",$K$3422)</f>
        <v>Votre interlocuteur habituel reste à votre entière disposition pour répondre à vos questions et faire le point sur l'évolution de vos besoins.</v>
      </c>
      <c r="C3456" s="37"/>
      <c r="D3456" s="37"/>
      <c r="E3456" s="37"/>
      <c r="F3456" s="37"/>
    </row>
    <row r="3457" customFormat="false" ht="24" hidden="false" customHeight="true" outlineLevel="0" collapsed="false">
      <c r="B3457" s="37" t="str">
        <f aca="false">SUBSTITUTE(SUBSTITUTE(SUBSTITUTE(SUBSTITUTE(SUBSTITUTE(Txt_Politesse,"{cabinet}",Cab_Nom),"{societe}",IF($K$3421=0,"",INDEX(Clients!$E$2:$E$501,$K$3421)&amp;"")),"{date_effet}",$K$3423),"{hausse}",$K$3424),"{civilite}",$K$3422)</f>
        <v>Nous vous prions d'agréer, Madame, Monsieur, l'expression de nos salutations distinguées.</v>
      </c>
      <c r="C3457" s="37"/>
      <c r="D3457" s="37"/>
      <c r="E3457" s="37"/>
      <c r="F3457" s="37"/>
    </row>
    <row r="3458" customFormat="false" ht="15" hidden="false" customHeight="false" outlineLevel="0" collapsed="false">
      <c r="B3458" s="10"/>
      <c r="C3458" s="10"/>
      <c r="D3458" s="10"/>
      <c r="E3458" s="10"/>
      <c r="F3458" s="10"/>
    </row>
    <row r="3459" customFormat="false" ht="15" hidden="false" customHeight="false" outlineLevel="0" collapsed="false">
      <c r="B3459" s="10"/>
      <c r="C3459" s="10"/>
      <c r="D3459" s="34" t="str">
        <f aca="false">Signataire</f>
        <v>Prénom NOM</v>
      </c>
      <c r="E3459" s="34"/>
      <c r="F3459" s="34"/>
    </row>
    <row r="3460" customFormat="false" ht="15" hidden="false" customHeight="false" outlineLevel="0" collapsed="false">
      <c r="B3460" s="10"/>
      <c r="C3460" s="10"/>
      <c r="D3460" s="47" t="str">
        <f aca="false">Signataire_Titre</f>
        <v>Expert-comptable associé</v>
      </c>
      <c r="E3460" s="47"/>
      <c r="F3460" s="47"/>
    </row>
    <row r="3461" customFormat="false" ht="15.75" hidden="false" customHeight="true" outlineLevel="0" collapsed="false">
      <c r="B3461" s="10"/>
      <c r="C3461" s="10"/>
      <c r="D3461" s="10"/>
      <c r="E3461" s="10"/>
      <c r="F3461" s="10"/>
    </row>
    <row r="3462" customFormat="false" ht="15.75" hidden="false" customHeight="true" outlineLevel="0" collapsed="false">
      <c r="B3462" s="10"/>
      <c r="C3462" s="10"/>
      <c r="D3462" s="10"/>
      <c r="E3462" s="10"/>
      <c r="F3462" s="10"/>
    </row>
    <row r="3463" customFormat="false" ht="15.75" hidden="false" customHeight="true" outlineLevel="0" collapsed="false">
      <c r="B3463" s="10"/>
      <c r="C3463" s="10"/>
      <c r="D3463" s="10"/>
      <c r="E3463" s="10"/>
      <c r="F3463" s="10"/>
    </row>
    <row r="3464" customFormat="false" ht="15.75" hidden="false" customHeight="true" outlineLevel="0" collapsed="false">
      <c r="B3464" s="10"/>
      <c r="C3464" s="10"/>
      <c r="D3464" s="10"/>
      <c r="E3464" s="10"/>
      <c r="F3464" s="10"/>
    </row>
    <row r="3465" customFormat="false" ht="24" hidden="false" customHeight="true" outlineLevel="0" collapsed="false">
      <c r="B3465" s="48" t="str">
        <f aca="false">Cab_Mentions</f>
        <v>ALTHO EXPERTISE · SAS au capital de 10 000 € · RCS Pontoise 919 706 325 · TVA FR62919706325 · Société d'expertise comptable inscrite au Tableau de l'Ordre des experts-comptables de Paris Île-de-France</v>
      </c>
      <c r="C3465" s="48"/>
      <c r="D3465" s="48"/>
      <c r="E3465" s="48"/>
      <c r="F3465" s="48"/>
    </row>
    <row r="3466" customFormat="false" ht="15" hidden="false" customHeight="false" outlineLevel="0" collapsed="false">
      <c r="B3466" s="10"/>
      <c r="C3466" s="10"/>
      <c r="D3466" s="10"/>
      <c r="E3466" s="10"/>
      <c r="F3466" s="10"/>
      <c r="J3466" s="25" t="s">
        <v>142</v>
      </c>
      <c r="K3466" s="25" t="n">
        <f aca="false">IFERROR(MATCH(78,Clients!$Z$2:$Z$501,0),0)</f>
        <v>0</v>
      </c>
      <c r="L3466" s="25"/>
      <c r="M3466" s="25"/>
      <c r="N3466" s="25"/>
      <c r="O3466" s="25"/>
    </row>
    <row r="3467" customFormat="false" ht="21.75" hidden="false" customHeight="true" outlineLevel="0" collapsed="false">
      <c r="B3467" s="26" t="str">
        <f aca="false">Cab_Nom</f>
        <v>ALTHO EXPERTISE</v>
      </c>
      <c r="C3467" s="26"/>
      <c r="D3467" s="10"/>
      <c r="E3467" s="27" t="str">
        <f aca="false">IF($K$3466=0,"","Réf. client : "&amp;INDEX(Clients!$A$2:$A$501,$K$3466))</f>
        <v/>
      </c>
      <c r="F3467" s="27"/>
      <c r="J3467" s="25" t="s">
        <v>144</v>
      </c>
      <c r="K3467" s="25" t="str">
        <f aca="false">IF(IF($K$3466=0,"",INDEX(Clients!$B$2:$B$501,$K$3466)&amp;"")="Mme","Madame",IF(IF($K$3466=0,"",INDEX(Clients!$B$2:$B$501,$K$3466)&amp;"")="M.","Monsieur","Madame, Monsieur"))</f>
        <v>Madame, Monsieur</v>
      </c>
      <c r="L3467" s="25"/>
      <c r="M3467" s="25"/>
      <c r="N3467" s="25"/>
      <c r="O3467" s="25"/>
    </row>
    <row r="3468" customFormat="false" ht="15" hidden="false" customHeight="false" outlineLevel="0" collapsed="false">
      <c r="B3468" s="29" t="str">
        <f aca="false">Cab_Adr1</f>
        <v>141 rue Charles de Gaulle</v>
      </c>
      <c r="C3468" s="29"/>
      <c r="D3468" s="10"/>
      <c r="E3468" s="10"/>
      <c r="F3468" s="10"/>
      <c r="J3468" s="25" t="s">
        <v>145</v>
      </c>
      <c r="K3468" s="25" t="str">
        <f aca="false">DAY(Date_Effet)&amp;IF(DAY(Date_Effet)=1,"er","")&amp;" "&amp;INDEX(Liste_Mois,MONTH(Date_Effet))&amp;" "&amp;YEAR(Date_Effet)</f>
        <v>1er janvier 2027</v>
      </c>
      <c r="L3468" s="25"/>
      <c r="M3468" s="25"/>
      <c r="N3468" s="25"/>
      <c r="O3468" s="25"/>
    </row>
    <row r="3469" customFormat="false" ht="15" hidden="false" customHeight="false" outlineLevel="0" collapsed="false">
      <c r="B3469" s="29" t="str">
        <f aca="false">Cab_CPVille</f>
        <v>95130 LE PLESSIS-BOUCHARD</v>
      </c>
      <c r="C3469" s="29"/>
      <c r="D3469" s="10"/>
      <c r="E3469" s="10"/>
      <c r="F3469" s="10"/>
      <c r="J3469" s="25" t="s">
        <v>146</v>
      </c>
      <c r="K3469" s="25" t="str">
        <f aca="false">IF(SUM($K$3493:$K$3496)=0,"",FIXED((SUM($L$3493:$L$3496)/SUM($K$3493:$K$3496)-1)*100,1)&amp;" %")</f>
        <v/>
      </c>
      <c r="L3469" s="25"/>
      <c r="M3469" s="25"/>
      <c r="N3469" s="25"/>
      <c r="O3469" s="25"/>
    </row>
    <row r="3470" customFormat="false" ht="15" hidden="false" customHeight="false" outlineLevel="0" collapsed="false">
      <c r="B3470" s="29" t="str">
        <f aca="false">Cab_Contact</f>
        <v>Tél. 01 34 14 53 45  ·  altho@altho-experts.com  ·  altho-experts.com</v>
      </c>
      <c r="C3470" s="29"/>
      <c r="D3470" s="10"/>
      <c r="E3470" s="10"/>
      <c r="F3470" s="10"/>
      <c r="J3470" s="25"/>
      <c r="K3470" s="25"/>
      <c r="L3470" s="25"/>
      <c r="M3470" s="25"/>
      <c r="N3470" s="25"/>
      <c r="O3470" s="25"/>
    </row>
    <row r="3471" customFormat="false" ht="6" hidden="false" customHeight="true" outlineLevel="0" collapsed="false">
      <c r="B3471" s="32"/>
      <c r="C3471" s="32"/>
      <c r="D3471" s="32"/>
      <c r="E3471" s="32"/>
      <c r="F3471" s="32"/>
      <c r="J3471" s="25"/>
      <c r="K3471" s="25"/>
      <c r="L3471" s="25"/>
      <c r="M3471" s="25"/>
      <c r="N3471" s="25"/>
      <c r="O3471" s="25"/>
    </row>
    <row r="3472" customFormat="false" ht="13.5" hidden="false" customHeight="true" outlineLevel="0" collapsed="false">
      <c r="B3472" s="10"/>
      <c r="C3472" s="10"/>
      <c r="D3472" s="10"/>
      <c r="E3472" s="10"/>
      <c r="F3472" s="10"/>
      <c r="J3472" s="25"/>
      <c r="K3472" s="25"/>
      <c r="L3472" s="25"/>
      <c r="M3472" s="25"/>
      <c r="N3472" s="25"/>
      <c r="O3472" s="25"/>
    </row>
    <row r="3473" customFormat="false" ht="13.5" hidden="false" customHeight="true" outlineLevel="0" collapsed="false">
      <c r="B3473" s="10"/>
      <c r="C3473" s="10"/>
      <c r="D3473" s="10"/>
      <c r="E3473" s="10"/>
      <c r="F3473" s="10"/>
      <c r="J3473" s="25"/>
      <c r="K3473" s="25"/>
      <c r="L3473" s="25"/>
      <c r="M3473" s="25"/>
      <c r="N3473" s="25"/>
      <c r="O3473" s="25"/>
    </row>
    <row r="3474" customFormat="false" ht="13.5" hidden="false" customHeight="true" outlineLevel="0" collapsed="false">
      <c r="B3474" s="10"/>
      <c r="C3474" s="10"/>
      <c r="D3474" s="10"/>
      <c r="E3474" s="10"/>
      <c r="F3474" s="10"/>
      <c r="J3474" s="25"/>
      <c r="K3474" s="25"/>
      <c r="L3474" s="25"/>
      <c r="M3474" s="25"/>
      <c r="N3474" s="25"/>
      <c r="O3474" s="25"/>
    </row>
    <row r="3475" customFormat="false" ht="15" hidden="false" customHeight="true" outlineLevel="0" collapsed="false">
      <c r="B3475" s="10"/>
      <c r="C3475" s="10"/>
      <c r="D3475" s="34" t="str">
        <f aca="false">IF($K$3466=0,"",INDEX(Clients!$E$2:$E$501,$K$3466)&amp;"")</f>
        <v/>
      </c>
      <c r="E3475" s="34"/>
      <c r="F3475" s="34"/>
      <c r="J3475" s="25"/>
      <c r="K3475" s="25"/>
      <c r="L3475" s="25"/>
      <c r="M3475" s="25"/>
      <c r="N3475" s="25"/>
      <c r="O3475" s="25"/>
    </row>
    <row r="3476" customFormat="false" ht="15" hidden="false" customHeight="true" outlineLevel="0" collapsed="false">
      <c r="B3476" s="10"/>
      <c r="C3476" s="10"/>
      <c r="D3476" s="35" t="str">
        <f aca="false">IF(IF($K$3466=0,"",INDEX(Clients!$D$2:$D$501,$K$3466)&amp;"")="","","À l'attention de "&amp;TRIM(IF($K$3466=0,"",INDEX(Clients!$B$2:$B$501,$K$3466)&amp;"")&amp;" "&amp;IF($K$3466=0,"",INDEX(Clients!$C$2:$C$501,$K$3466)&amp;"")&amp;" "&amp;IF($K$3466=0,"",INDEX(Clients!$D$2:$D$501,$K$3466)&amp;"")))</f>
        <v/>
      </c>
      <c r="E3476" s="35"/>
      <c r="F3476" s="35"/>
      <c r="J3476" s="25"/>
      <c r="K3476" s="25"/>
      <c r="L3476" s="25"/>
      <c r="M3476" s="25"/>
      <c r="N3476" s="25"/>
      <c r="O3476" s="25"/>
    </row>
    <row r="3477" customFormat="false" ht="15" hidden="false" customHeight="true" outlineLevel="0" collapsed="false">
      <c r="B3477" s="10"/>
      <c r="C3477" s="10"/>
      <c r="D3477" s="35" t="str">
        <f aca="false">IF($K$3466=0,"",INDEX(Clients!$F$2:$F$501,$K$3466)&amp;"")</f>
        <v/>
      </c>
      <c r="E3477" s="35"/>
      <c r="F3477" s="35"/>
      <c r="J3477" s="25"/>
      <c r="K3477" s="25"/>
      <c r="L3477" s="25"/>
      <c r="M3477" s="25"/>
      <c r="N3477" s="25"/>
      <c r="O3477" s="25"/>
    </row>
    <row r="3478" customFormat="false" ht="15" hidden="false" customHeight="true" outlineLevel="0" collapsed="false">
      <c r="B3478" s="10"/>
      <c r="C3478" s="10"/>
      <c r="D3478" s="35" t="str">
        <f aca="false">IF(IF($K$3466=0,"",INDEX(Clients!$G$2:$G$501,$K$3466)&amp;"")="",TRIM(IF($K$3466=0,"",INDEX(Clients!$H$2:$H$501,$K$3466)&amp;"")&amp;" "&amp;UPPER(IF($K$3466=0,"",INDEX(Clients!$I$2:$I$501,$K$3466)&amp;""))),IF($K$3466=0,"",INDEX(Clients!$G$2:$G$501,$K$3466)&amp;""))</f>
        <v/>
      </c>
      <c r="E3478" s="35"/>
      <c r="F3478" s="35"/>
      <c r="J3478" s="25"/>
      <c r="K3478" s="25"/>
      <c r="L3478" s="25"/>
      <c r="M3478" s="25"/>
      <c r="N3478" s="25"/>
      <c r="O3478" s="25"/>
    </row>
    <row r="3479" customFormat="false" ht="15" hidden="false" customHeight="true" outlineLevel="0" collapsed="false">
      <c r="B3479" s="10"/>
      <c r="C3479" s="10"/>
      <c r="D3479" s="35" t="str">
        <f aca="false">IF(IF($K$3466=0,"",INDEX(Clients!$G$2:$G$501,$K$3466)&amp;"")="","",TRIM(IF($K$3466=0,"",INDEX(Clients!$H$2:$H$501,$K$3466)&amp;"")&amp;" "&amp;UPPER(IF($K$3466=0,"",INDEX(Clients!$I$2:$I$501,$K$3466)&amp;""))))</f>
        <v/>
      </c>
      <c r="E3479" s="35"/>
      <c r="F3479" s="35"/>
      <c r="J3479" s="25"/>
      <c r="K3479" s="25"/>
      <c r="L3479" s="25"/>
      <c r="M3479" s="25"/>
      <c r="N3479" s="25"/>
      <c r="O3479" s="25"/>
    </row>
    <row r="3480" customFormat="false" ht="25.5" hidden="false" customHeight="true" outlineLevel="0" collapsed="false">
      <c r="B3480" s="10"/>
      <c r="C3480" s="10"/>
      <c r="D3480" s="10"/>
      <c r="E3480" s="10"/>
      <c r="F3480" s="10"/>
      <c r="J3480" s="25"/>
      <c r="K3480" s="25"/>
      <c r="L3480" s="25"/>
      <c r="M3480" s="25"/>
      <c r="N3480" s="25"/>
      <c r="O3480" s="25"/>
    </row>
    <row r="3481" customFormat="false" ht="15" hidden="false" customHeight="false" outlineLevel="0" collapsed="false">
      <c r="B3481" s="10"/>
      <c r="C3481" s="10"/>
      <c r="D3481" s="36" t="str">
        <f aca="false">Cab_Ville&amp;", le "&amp;DAY(Date_Courrier)&amp;IF(DAY(Date_Courrier)=1,"er","")&amp;" "&amp;INDEX(Liste_Mois,MONTH(Date_Courrier))&amp;" "&amp;YEAR(Date_Courrier)</f>
        <v>Le Plessis-Bouchard, le 22 septembre 2026</v>
      </c>
      <c r="E3481" s="36"/>
      <c r="F3481" s="36"/>
      <c r="J3481" s="25"/>
      <c r="K3481" s="25"/>
      <c r="L3481" s="25"/>
      <c r="M3481" s="25"/>
      <c r="N3481" s="25"/>
      <c r="O3481" s="25"/>
    </row>
    <row r="3482" customFormat="false" ht="19.5" hidden="false" customHeight="true" outlineLevel="0" collapsed="false">
      <c r="B3482" s="10"/>
      <c r="C3482" s="10"/>
      <c r="D3482" s="10"/>
      <c r="E3482" s="10"/>
      <c r="F3482" s="10"/>
      <c r="J3482" s="25"/>
      <c r="K3482" s="25"/>
      <c r="L3482" s="25"/>
      <c r="M3482" s="25"/>
      <c r="N3482" s="25"/>
      <c r="O3482" s="25"/>
    </row>
    <row r="3483" customFormat="false" ht="15" hidden="false" customHeight="false" outlineLevel="0" collapsed="false">
      <c r="B3483" s="34" t="str">
        <f aca="false">SUBSTITUTE(SUBSTITUTE(SUBSTITUTE(SUBSTITUTE(SUBSTITUTE(Txt_Objet,"{cabinet}",Cab_Nom),"{societe}",IF($K$3466=0,"",INDEX(Clients!$E$2:$E$501,$K$3466)&amp;"")),"{date_effet}",$K$3468),"{hausse}",$K$3469),"{civilite}",$K$3467)</f>
        <v>Objet : révision de nos honoraires au 1er janvier 2027</v>
      </c>
      <c r="C3483" s="34"/>
      <c r="D3483" s="34"/>
      <c r="E3483" s="34"/>
      <c r="F3483" s="34"/>
      <c r="J3483" s="25"/>
      <c r="K3483" s="25"/>
      <c r="L3483" s="25"/>
      <c r="M3483" s="25"/>
      <c r="N3483" s="25"/>
      <c r="O3483" s="25"/>
    </row>
    <row r="3484" customFormat="false" ht="13.5" hidden="false" customHeight="true" outlineLevel="0" collapsed="false">
      <c r="B3484" s="10"/>
      <c r="C3484" s="10"/>
      <c r="D3484" s="10"/>
      <c r="E3484" s="10"/>
      <c r="F3484" s="10"/>
      <c r="J3484" s="25"/>
      <c r="K3484" s="25"/>
      <c r="L3484" s="25"/>
      <c r="M3484" s="25"/>
      <c r="N3484" s="25"/>
      <c r="O3484" s="25"/>
    </row>
    <row r="3485" customFormat="false" ht="15" hidden="false" customHeight="false" outlineLevel="0" collapsed="false">
      <c r="B3485" s="10" t="str">
        <f aca="false">$K$3467&amp;","</f>
        <v>Madame, Monsieur,</v>
      </c>
      <c r="C3485" s="10"/>
      <c r="D3485" s="10"/>
      <c r="E3485" s="10"/>
      <c r="F3485" s="10"/>
      <c r="J3485" s="25"/>
      <c r="K3485" s="25"/>
      <c r="L3485" s="25"/>
      <c r="M3485" s="25"/>
      <c r="N3485" s="25"/>
      <c r="O3485" s="25"/>
    </row>
    <row r="3486" customFormat="false" ht="6" hidden="false" customHeight="true" outlineLevel="0" collapsed="false">
      <c r="B3486" s="10"/>
      <c r="C3486" s="10"/>
      <c r="D3486" s="10"/>
      <c r="E3486" s="10"/>
      <c r="F3486" s="10"/>
      <c r="J3486" s="25"/>
      <c r="K3486" s="25"/>
      <c r="L3486" s="25"/>
      <c r="M3486" s="25"/>
      <c r="N3486" s="25"/>
      <c r="O3486" s="25"/>
    </row>
    <row r="3487" customFormat="false" ht="36.75" hidden="false" customHeight="true" outlineLevel="0" collapsed="false">
      <c r="B3487" s="37" t="str">
        <f aca="false">SUBSTITUTE(SUBSTITUTE(SUBSTITUTE(SUBSTITUTE(SUBSTITUTE(Txt_P1,"{cabinet}",Cab_Nom),"{societe}",IF($K$3466=0,"",INDEX(Clients!$E$2:$E$501,$K$3466)&amp;"")),"{date_effet}",$K$3468),"{hausse}",$K$3469),"{civilite}",$K$3467)</f>
        <v>Nous tenons tout d'abord à vous remercier pour la confiance que vous accordez à ALTHO EXPERTISE. Comme chaque année, et conformément aux dispositions de votre lettre de mission, nous procédons à la révision de nos honoraires.</v>
      </c>
      <c r="C3487" s="37"/>
      <c r="D3487" s="37"/>
      <c r="E3487" s="37"/>
      <c r="F3487" s="37"/>
      <c r="J3487" s="25"/>
      <c r="K3487" s="25"/>
      <c r="L3487" s="25"/>
      <c r="M3487" s="25"/>
      <c r="N3487" s="25"/>
      <c r="O3487" s="25"/>
    </row>
    <row r="3488" customFormat="false" ht="49.5" hidden="false" customHeight="true" outlineLevel="0" collapsed="false">
      <c r="B3488" s="37" t="str">
        <f aca="false">SUBSTITUTE(SUBSTITUTE(SUBSTITUTE(SUBSTITUTE(SUBSTITUTE(Txt_P2,"{cabinet}",Cab_Nom),"{societe}",IF($K$3466=0,"",INDEX(Clients!$E$2:$E$501,$K$3466)&amp;"")),"{date_effet}",$K$3468),"{hausse}",$K$3469),"{civilite}",$K$3467)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488" s="37"/>
      <c r="D3488" s="37"/>
      <c r="E3488" s="37"/>
      <c r="F3488" s="37"/>
      <c r="J3488" s="25"/>
      <c r="K3488" s="25"/>
      <c r="L3488" s="25"/>
      <c r="M3488" s="25"/>
      <c r="N3488" s="25"/>
      <c r="O3488" s="25"/>
    </row>
    <row r="3489" customFormat="false" ht="63" hidden="false" customHeight="true" outlineLevel="0" collapsed="false">
      <c r="B3489" s="37" t="str">
        <f aca="false">SUBSTITUTE(SUBSTITUTE(SUBSTITUTE(SUBSTITUTE(SUBSTITUTE(Txt_P3,"{cabinet}",Cab_Nom),"{societe}",IF($K$3466=0,"",INDEX(Clients!$E$2:$E$501,$K$3466)&amp;"")),"{date_effet}",$K$3468),"{hausse}",$K$3469),"{civilite}",$K$3467)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489" s="37"/>
      <c r="D3489" s="37"/>
      <c r="E3489" s="37"/>
      <c r="F3489" s="37"/>
      <c r="J3489" s="25"/>
      <c r="K3489" s="25"/>
      <c r="L3489" s="25"/>
      <c r="M3489" s="25"/>
      <c r="N3489" s="25"/>
      <c r="O3489" s="25"/>
    </row>
    <row r="3490" customFormat="false" ht="24" hidden="false" customHeight="true" outlineLevel="0" collapsed="false">
      <c r="B3490" s="37" t="str">
        <f aca="false">SUBSTITUTE(SUBSTITUTE(SUBSTITUTE(SUBSTITUTE(SUBSTITUTE(Txt_P4,"{cabinet}",Cab_Nom),"{societe}",IF($K$3466=0,"",INDEX(Clients!$E$2:$E$501,$K$3466)&amp;"")),"{date_effet}",$K$3468),"{hausse}",$K$3469),"{civilite}",$K$3467)</f>
        <v>À compter du 1er janvier 2027, vos honoraires annuels hors taxes évolueront ainsi (évolution globale : ) :</v>
      </c>
      <c r="C3490" s="37"/>
      <c r="D3490" s="37"/>
      <c r="E3490" s="37"/>
      <c r="F3490" s="37"/>
      <c r="J3490" s="25"/>
      <c r="K3490" s="25"/>
      <c r="L3490" s="25"/>
      <c r="M3490" s="25"/>
      <c r="N3490" s="25"/>
      <c r="O3490" s="25"/>
    </row>
    <row r="3491" customFormat="false" ht="3.75" hidden="false" customHeight="true" outlineLevel="0" collapsed="false">
      <c r="B3491" s="10"/>
      <c r="C3491" s="10"/>
      <c r="D3491" s="10"/>
      <c r="E3491" s="10"/>
      <c r="F3491" s="10"/>
      <c r="J3491" s="25"/>
      <c r="K3491" s="25"/>
      <c r="L3491" s="25"/>
      <c r="M3491" s="25"/>
      <c r="N3491" s="25"/>
      <c r="O3491" s="25"/>
    </row>
    <row r="3492" customFormat="false" ht="18" hidden="false" customHeight="true" outlineLevel="0" collapsed="false">
      <c r="B3492" s="38" t="s">
        <v>148</v>
      </c>
      <c r="C3492" s="39" t="s">
        <v>149</v>
      </c>
      <c r="D3492" s="39" t="s">
        <v>150</v>
      </c>
      <c r="E3492" s="39" t="s">
        <v>151</v>
      </c>
      <c r="F3492" s="39" t="s">
        <v>109</v>
      </c>
      <c r="J3492" s="25" t="s">
        <v>152</v>
      </c>
      <c r="K3492" s="25" t="s">
        <v>153</v>
      </c>
      <c r="L3492" s="25" t="s">
        <v>154</v>
      </c>
      <c r="M3492" s="25" t="s">
        <v>155</v>
      </c>
      <c r="N3492" s="25" t="s">
        <v>156</v>
      </c>
      <c r="O3492" s="25" t="s">
        <v>157</v>
      </c>
    </row>
    <row r="3493" customFormat="false" ht="16.5" hidden="false" customHeight="true" outlineLevel="0" collapsed="false">
      <c r="B3493" s="40" t="str">
        <f aca="false">IFERROR(INDEX($J$3493:$J$3496,MATCH($O3493,$N$3493:$N$3496,0)),"")</f>
        <v/>
      </c>
      <c r="C3493" s="41" t="str">
        <f aca="false">IFERROR(INDEX($K$3493:$K$3496,MATCH($O3493,$N$3493:$N$3496,0)),"")</f>
        <v/>
      </c>
      <c r="D3493" s="42" t="str">
        <f aca="false">IF(OR(E3493="",N(C3493)=0),"",E3493/C3493-1)</f>
        <v/>
      </c>
      <c r="E3493" s="41" t="str">
        <f aca="false">IFERROR(INDEX($L$3493:$L$3496,MATCH($O3493,$N$3493:$N$3496,0)),"")</f>
        <v/>
      </c>
      <c r="F3493" s="41" t="str">
        <f aca="false">IF(E3493="","",E3493-C3493)</f>
        <v/>
      </c>
      <c r="J3493" s="25" t="str">
        <f aca="false">Lib_Compta</f>
        <v>Mission comptable (tenue, révision, bilan, liasse fiscale)</v>
      </c>
      <c r="K3493" s="25" t="n">
        <f aca="false">IF($K$3466=0,0,N(INDEX(Clients!$K$2:$K$501,$K$3466)))</f>
        <v>0</v>
      </c>
      <c r="L3493" s="25" t="n">
        <f aca="false">IF($K$3466=0,0,N(INDEX(Clients!$P$2:$P$501,$K$3466)))</f>
        <v>0</v>
      </c>
      <c r="M3493" s="25" t="n">
        <f aca="false">IF(OR(K3493&lt;&gt;0,L3493&lt;&gt;0),1,0)</f>
        <v>0</v>
      </c>
      <c r="N3493" s="25" t="str">
        <f aca="false">IF(M3493=1,SUM($M$3493:M3493),"")</f>
        <v/>
      </c>
      <c r="O3493" s="25" t="n">
        <v>1</v>
      </c>
    </row>
    <row r="3494" customFormat="false" ht="16.5" hidden="false" customHeight="true" outlineLevel="0" collapsed="false">
      <c r="B3494" s="40" t="str">
        <f aca="false">IFERROR(INDEX($J$3493:$J$3496,MATCH($O3494,$N$3493:$N$3496,0)),"")</f>
        <v/>
      </c>
      <c r="C3494" s="41" t="str">
        <f aca="false">IFERROR(INDEX($K$3493:$K$3496,MATCH($O3494,$N$3493:$N$3496,0)),"")</f>
        <v/>
      </c>
      <c r="D3494" s="42" t="str">
        <f aca="false">IF(OR(E3494="",N(C3494)=0),"",E3494/C3494-1)</f>
        <v/>
      </c>
      <c r="E3494" s="41" t="str">
        <f aca="false">IFERROR(INDEX($L$3493:$L$3496,MATCH($O3494,$N$3493:$N$3496,0)),"")</f>
        <v/>
      </c>
      <c r="F3494" s="41" t="str">
        <f aca="false">IF(E3494="","",E3494-C3494)</f>
        <v/>
      </c>
      <c r="J3494" s="25" t="str">
        <f aca="false">Lib_Paye</f>
        <v>Mission sociale (bulletins de paie, DSN, déclarations sociales)</v>
      </c>
      <c r="K3494" s="25" t="n">
        <f aca="false">IF($K$3466=0,0,N(INDEX(Clients!$L$2:$L$501,$K$3466)))</f>
        <v>0</v>
      </c>
      <c r="L3494" s="25" t="n">
        <f aca="false">IF($K$3466=0,0,N(INDEX(Clients!$Q$2:$Q$501,$K$3466)))</f>
        <v>0</v>
      </c>
      <c r="M3494" s="25" t="n">
        <f aca="false">IF(OR(K3494&lt;&gt;0,L3494&lt;&gt;0),1,0)</f>
        <v>0</v>
      </c>
      <c r="N3494" s="25" t="str">
        <f aca="false">IF(M3494=1,SUM($M$3493:M3494),"")</f>
        <v/>
      </c>
      <c r="O3494" s="25" t="n">
        <v>2</v>
      </c>
    </row>
    <row r="3495" customFormat="false" ht="16.5" hidden="false" customHeight="true" outlineLevel="0" collapsed="false">
      <c r="B3495" s="40" t="str">
        <f aca="false">IFERROR(INDEX($J$3493:$J$3496,MATCH($O3495,$N$3493:$N$3496,0)),"")</f>
        <v/>
      </c>
      <c r="C3495" s="41" t="str">
        <f aca="false">IFERROR(INDEX($K$3493:$K$3496,MATCH($O3495,$N$3493:$N$3496,0)),"")</f>
        <v/>
      </c>
      <c r="D3495" s="42" t="str">
        <f aca="false">IF(OR(E3495="",N(C3495)=0),"",E3495/C3495-1)</f>
        <v/>
      </c>
      <c r="E3495" s="41" t="str">
        <f aca="false">IFERROR(INDEX($L$3493:$L$3496,MATCH($O3495,$N$3493:$N$3496,0)),"")</f>
        <v/>
      </c>
      <c r="F3495" s="41" t="str">
        <f aca="false">IF(E3495="","",E3495-C3495)</f>
        <v/>
      </c>
      <c r="J3495" s="25" t="str">
        <f aca="false">Lib_Jur</f>
        <v>Mission juridique (approbation des comptes, secrétariat juridique)</v>
      </c>
      <c r="K3495" s="25" t="n">
        <f aca="false">IF($K$3466=0,0,N(INDEX(Clients!$M$2:$M$501,$K$3466)))</f>
        <v>0</v>
      </c>
      <c r="L3495" s="25" t="n">
        <f aca="false">IF($K$3466=0,0,N(INDEX(Clients!$R$2:$R$501,$K$3466)))</f>
        <v>0</v>
      </c>
      <c r="M3495" s="25" t="n">
        <f aca="false">IF(OR(K3495&lt;&gt;0,L3495&lt;&gt;0),1,0)</f>
        <v>0</v>
      </c>
      <c r="N3495" s="25" t="str">
        <f aca="false">IF(M3495=1,SUM($M$3493:M3495),"")</f>
        <v/>
      </c>
      <c r="O3495" s="25" t="n">
        <v>3</v>
      </c>
    </row>
    <row r="3496" customFormat="false" ht="16.5" hidden="false" customHeight="true" outlineLevel="0" collapsed="false">
      <c r="B3496" s="40" t="str">
        <f aca="false">IFERROR(INDEX($J$3493:$J$3496,MATCH($O3496,$N$3493:$N$3496,0)),"")</f>
        <v/>
      </c>
      <c r="C3496" s="41" t="str">
        <f aca="false">IFERROR(INDEX($K$3493:$K$3496,MATCH($O3496,$N$3493:$N$3496,0)),"")</f>
        <v/>
      </c>
      <c r="D3496" s="42" t="str">
        <f aca="false">IF(OR(E3496="",N(C3496)=0),"",E3496/C3496-1)</f>
        <v/>
      </c>
      <c r="E3496" s="41" t="str">
        <f aca="false">IFERROR(INDEX($L$3493:$L$3496,MATCH($O3496,$N$3493:$N$3496,0)),"")</f>
        <v/>
      </c>
      <c r="F3496" s="41" t="str">
        <f aca="false">IF(E3496="","",E3496-C3496)</f>
        <v/>
      </c>
      <c r="J3496" s="25" t="str">
        <f aca="false">Lib_PA</f>
        <v>Plateforme agréée – facturation électronique</v>
      </c>
      <c r="K3496" s="25" t="n">
        <f aca="false">IF($K$3466=0,0,N(INDEX(Clients!$N$2:$N$501,$K$3466)))</f>
        <v>0</v>
      </c>
      <c r="L3496" s="25" t="n">
        <f aca="false">IF($K$3466=0,0,N(INDEX(Clients!$S$2:$S$501,$K$3466)))</f>
        <v>0</v>
      </c>
      <c r="M3496" s="25" t="n">
        <f aca="false">IF(OR(K3496&lt;&gt;0,L3496&lt;&gt;0),1,0)</f>
        <v>0</v>
      </c>
      <c r="N3496" s="25" t="str">
        <f aca="false">IF(M3496=1,SUM($M$3493:M3496),"")</f>
        <v/>
      </c>
      <c r="O3496" s="25" t="n">
        <v>4</v>
      </c>
    </row>
    <row r="3497" customFormat="false" ht="18" hidden="false" customHeight="true" outlineLevel="0" collapsed="false">
      <c r="B3497" s="43" t="s">
        <v>158</v>
      </c>
      <c r="C3497" s="44" t="n">
        <f aca="false">SUM(K3493:K3496)</f>
        <v>0</v>
      </c>
      <c r="D3497" s="45" t="str">
        <f aca="false">IF(N(C3497)=0,"",E3497/C3497-1)</f>
        <v/>
      </c>
      <c r="E3497" s="44" t="n">
        <f aca="false">SUM(L3493:L3496)</f>
        <v>0</v>
      </c>
      <c r="F3497" s="44" t="n">
        <f aca="false">E3497-C3497</f>
        <v>0</v>
      </c>
    </row>
    <row r="3498" customFormat="false" ht="15" hidden="false" customHeight="false" outlineLevel="0" collapsed="false">
      <c r="B3498" s="46" t="str">
        <f aca="false">IF(N(Nb_Mensualites)=0,"","Soit "&amp;FIXED(E3497/Nb_Mensualites,2)&amp;" € HT par échéance ("&amp;Nb_Mensualites&amp;" échéances), "&amp;FIXED(E3497/Nb_Mensualites*(1+Taux_TVA),2)&amp;" € TTC.")</f>
        <v>Soit 0.00 € HT par échéance (12 échéances), 0.00 € TTC.</v>
      </c>
      <c r="C3498" s="46"/>
      <c r="D3498" s="46"/>
      <c r="E3498" s="46"/>
      <c r="F3498" s="46"/>
    </row>
    <row r="3499" customFormat="false" ht="7.5" hidden="false" customHeight="true" outlineLevel="0" collapsed="false">
      <c r="B3499" s="10"/>
      <c r="C3499" s="10"/>
      <c r="D3499" s="10"/>
      <c r="E3499" s="10"/>
      <c r="F3499" s="10"/>
    </row>
    <row r="3500" customFormat="false" ht="36.75" hidden="false" customHeight="true" outlineLevel="0" collapsed="false">
      <c r="B3500" s="37" t="str">
        <f aca="false">SUBSTITUTE(SUBSTITUTE(SUBSTITUTE(SUBSTITUTE(SUBSTITUTE(Txt_P5,"{cabinet}",Cab_Nom),"{societe}",IF($K$3466=0,"",INDEX(Clients!$E$2:$E$501,$K$3466)&amp;"")),"{date_effet}",$K$3468),"{hausse}",$K$3469),"{civilite}",$K$3467)</f>
        <v>Les autres conditions de votre lettre de mission demeurent inchangées. Les nouveaux montants seront appliqués automatiquement sur vos prochaines factures et échéances de prélèvement.</v>
      </c>
      <c r="C3500" s="37"/>
      <c r="D3500" s="37"/>
      <c r="E3500" s="37"/>
      <c r="F3500" s="37"/>
    </row>
    <row r="3501" customFormat="false" ht="36.75" hidden="false" customHeight="true" outlineLevel="0" collapsed="false">
      <c r="B3501" s="37" t="str">
        <f aca="false">SUBSTITUTE(SUBSTITUTE(SUBSTITUTE(SUBSTITUTE(SUBSTITUTE(Txt_P6,"{cabinet}",Cab_Nom),"{societe}",IF($K$3466=0,"",INDEX(Clients!$E$2:$E$501,$K$3466)&amp;"")),"{date_effet}",$K$3468),"{hausse}",$K$3469),"{civilite}",$K$3467)</f>
        <v>Votre interlocuteur habituel reste à votre entière disposition pour répondre à vos questions et faire le point sur l'évolution de vos besoins.</v>
      </c>
      <c r="C3501" s="37"/>
      <c r="D3501" s="37"/>
      <c r="E3501" s="37"/>
      <c r="F3501" s="37"/>
    </row>
    <row r="3502" customFormat="false" ht="24" hidden="false" customHeight="true" outlineLevel="0" collapsed="false">
      <c r="B3502" s="37" t="str">
        <f aca="false">SUBSTITUTE(SUBSTITUTE(SUBSTITUTE(SUBSTITUTE(SUBSTITUTE(Txt_Politesse,"{cabinet}",Cab_Nom),"{societe}",IF($K$3466=0,"",INDEX(Clients!$E$2:$E$501,$K$3466)&amp;"")),"{date_effet}",$K$3468),"{hausse}",$K$3469),"{civilite}",$K$3467)</f>
        <v>Nous vous prions d'agréer, Madame, Monsieur, l'expression de nos salutations distinguées.</v>
      </c>
      <c r="C3502" s="37"/>
      <c r="D3502" s="37"/>
      <c r="E3502" s="37"/>
      <c r="F3502" s="37"/>
    </row>
    <row r="3503" customFormat="false" ht="15" hidden="false" customHeight="false" outlineLevel="0" collapsed="false">
      <c r="B3503" s="10"/>
      <c r="C3503" s="10"/>
      <c r="D3503" s="10"/>
      <c r="E3503" s="10"/>
      <c r="F3503" s="10"/>
    </row>
    <row r="3504" customFormat="false" ht="15" hidden="false" customHeight="false" outlineLevel="0" collapsed="false">
      <c r="B3504" s="10"/>
      <c r="C3504" s="10"/>
      <c r="D3504" s="34" t="str">
        <f aca="false">Signataire</f>
        <v>Prénom NOM</v>
      </c>
      <c r="E3504" s="34"/>
      <c r="F3504" s="34"/>
    </row>
    <row r="3505" customFormat="false" ht="15" hidden="false" customHeight="false" outlineLevel="0" collapsed="false">
      <c r="B3505" s="10"/>
      <c r="C3505" s="10"/>
      <c r="D3505" s="47" t="str">
        <f aca="false">Signataire_Titre</f>
        <v>Expert-comptable associé</v>
      </c>
      <c r="E3505" s="47"/>
      <c r="F3505" s="47"/>
    </row>
    <row r="3506" customFormat="false" ht="15.75" hidden="false" customHeight="true" outlineLevel="0" collapsed="false">
      <c r="B3506" s="10"/>
      <c r="C3506" s="10"/>
      <c r="D3506" s="10"/>
      <c r="E3506" s="10"/>
      <c r="F3506" s="10"/>
    </row>
    <row r="3507" customFormat="false" ht="15.75" hidden="false" customHeight="true" outlineLevel="0" collapsed="false">
      <c r="B3507" s="10"/>
      <c r="C3507" s="10"/>
      <c r="D3507" s="10"/>
      <c r="E3507" s="10"/>
      <c r="F3507" s="10"/>
    </row>
    <row r="3508" customFormat="false" ht="15.75" hidden="false" customHeight="true" outlineLevel="0" collapsed="false">
      <c r="B3508" s="10"/>
      <c r="C3508" s="10"/>
      <c r="D3508" s="10"/>
      <c r="E3508" s="10"/>
      <c r="F3508" s="10"/>
    </row>
    <row r="3509" customFormat="false" ht="15.75" hidden="false" customHeight="true" outlineLevel="0" collapsed="false">
      <c r="B3509" s="10"/>
      <c r="C3509" s="10"/>
      <c r="D3509" s="10"/>
      <c r="E3509" s="10"/>
      <c r="F3509" s="10"/>
    </row>
    <row r="3510" customFormat="false" ht="24" hidden="false" customHeight="true" outlineLevel="0" collapsed="false">
      <c r="B3510" s="48" t="str">
        <f aca="false">Cab_Mentions</f>
        <v>ALTHO EXPERTISE · SAS au capital de 10 000 € · RCS Pontoise 919 706 325 · TVA FR62919706325 · Société d'expertise comptable inscrite au Tableau de l'Ordre des experts-comptables de Paris Île-de-France</v>
      </c>
      <c r="C3510" s="48"/>
      <c r="D3510" s="48"/>
      <c r="E3510" s="48"/>
      <c r="F3510" s="48"/>
    </row>
    <row r="3511" customFormat="false" ht="15" hidden="false" customHeight="false" outlineLevel="0" collapsed="false">
      <c r="B3511" s="10"/>
      <c r="C3511" s="10"/>
      <c r="D3511" s="10"/>
      <c r="E3511" s="10"/>
      <c r="F3511" s="10"/>
      <c r="J3511" s="25" t="s">
        <v>142</v>
      </c>
      <c r="K3511" s="25" t="n">
        <f aca="false">IFERROR(MATCH(79,Clients!$Z$2:$Z$501,0),0)</f>
        <v>0</v>
      </c>
      <c r="L3511" s="25"/>
      <c r="M3511" s="25"/>
      <c r="N3511" s="25"/>
      <c r="O3511" s="25"/>
    </row>
    <row r="3512" customFormat="false" ht="21.75" hidden="false" customHeight="true" outlineLevel="0" collapsed="false">
      <c r="B3512" s="26" t="str">
        <f aca="false">Cab_Nom</f>
        <v>ALTHO EXPERTISE</v>
      </c>
      <c r="C3512" s="26"/>
      <c r="D3512" s="10"/>
      <c r="E3512" s="27" t="str">
        <f aca="false">IF($K$3511=0,"","Réf. client : "&amp;INDEX(Clients!$A$2:$A$501,$K$3511))</f>
        <v/>
      </c>
      <c r="F3512" s="27"/>
      <c r="J3512" s="25" t="s">
        <v>144</v>
      </c>
      <c r="K3512" s="25" t="str">
        <f aca="false">IF(IF($K$3511=0,"",INDEX(Clients!$B$2:$B$501,$K$3511)&amp;"")="Mme","Madame",IF(IF($K$3511=0,"",INDEX(Clients!$B$2:$B$501,$K$3511)&amp;"")="M.","Monsieur","Madame, Monsieur"))</f>
        <v>Madame, Monsieur</v>
      </c>
      <c r="L3512" s="25"/>
      <c r="M3512" s="25"/>
      <c r="N3512" s="25"/>
      <c r="O3512" s="25"/>
    </row>
    <row r="3513" customFormat="false" ht="15" hidden="false" customHeight="false" outlineLevel="0" collapsed="false">
      <c r="B3513" s="29" t="str">
        <f aca="false">Cab_Adr1</f>
        <v>141 rue Charles de Gaulle</v>
      </c>
      <c r="C3513" s="29"/>
      <c r="D3513" s="10"/>
      <c r="E3513" s="10"/>
      <c r="F3513" s="10"/>
      <c r="J3513" s="25" t="s">
        <v>145</v>
      </c>
      <c r="K3513" s="25" t="str">
        <f aca="false">DAY(Date_Effet)&amp;IF(DAY(Date_Effet)=1,"er","")&amp;" "&amp;INDEX(Liste_Mois,MONTH(Date_Effet))&amp;" "&amp;YEAR(Date_Effet)</f>
        <v>1er janvier 2027</v>
      </c>
      <c r="L3513" s="25"/>
      <c r="M3513" s="25"/>
      <c r="N3513" s="25"/>
      <c r="O3513" s="25"/>
    </row>
    <row r="3514" customFormat="false" ht="15" hidden="false" customHeight="false" outlineLevel="0" collapsed="false">
      <c r="B3514" s="29" t="str">
        <f aca="false">Cab_CPVille</f>
        <v>95130 LE PLESSIS-BOUCHARD</v>
      </c>
      <c r="C3514" s="29"/>
      <c r="D3514" s="10"/>
      <c r="E3514" s="10"/>
      <c r="F3514" s="10"/>
      <c r="J3514" s="25" t="s">
        <v>146</v>
      </c>
      <c r="K3514" s="25" t="str">
        <f aca="false">IF(SUM($K$3538:$K$3541)=0,"",FIXED((SUM($L$3538:$L$3541)/SUM($K$3538:$K$3541)-1)*100,1)&amp;" %")</f>
        <v/>
      </c>
      <c r="L3514" s="25"/>
      <c r="M3514" s="25"/>
      <c r="N3514" s="25"/>
      <c r="O3514" s="25"/>
    </row>
    <row r="3515" customFormat="false" ht="15" hidden="false" customHeight="false" outlineLevel="0" collapsed="false">
      <c r="B3515" s="29" t="str">
        <f aca="false">Cab_Contact</f>
        <v>Tél. 01 34 14 53 45  ·  altho@altho-experts.com  ·  altho-experts.com</v>
      </c>
      <c r="C3515" s="29"/>
      <c r="D3515" s="10"/>
      <c r="E3515" s="10"/>
      <c r="F3515" s="10"/>
      <c r="J3515" s="25"/>
      <c r="K3515" s="25"/>
      <c r="L3515" s="25"/>
      <c r="M3515" s="25"/>
      <c r="N3515" s="25"/>
      <c r="O3515" s="25"/>
    </row>
    <row r="3516" customFormat="false" ht="6" hidden="false" customHeight="true" outlineLevel="0" collapsed="false">
      <c r="B3516" s="32"/>
      <c r="C3516" s="32"/>
      <c r="D3516" s="32"/>
      <c r="E3516" s="32"/>
      <c r="F3516" s="32"/>
      <c r="J3516" s="25"/>
      <c r="K3516" s="25"/>
      <c r="L3516" s="25"/>
      <c r="M3516" s="25"/>
      <c r="N3516" s="25"/>
      <c r="O3516" s="25"/>
    </row>
    <row r="3517" customFormat="false" ht="13.5" hidden="false" customHeight="true" outlineLevel="0" collapsed="false">
      <c r="B3517" s="10"/>
      <c r="C3517" s="10"/>
      <c r="D3517" s="10"/>
      <c r="E3517" s="10"/>
      <c r="F3517" s="10"/>
      <c r="J3517" s="25"/>
      <c r="K3517" s="25"/>
      <c r="L3517" s="25"/>
      <c r="M3517" s="25"/>
      <c r="N3517" s="25"/>
      <c r="O3517" s="25"/>
    </row>
    <row r="3518" customFormat="false" ht="13.5" hidden="false" customHeight="true" outlineLevel="0" collapsed="false">
      <c r="B3518" s="10"/>
      <c r="C3518" s="10"/>
      <c r="D3518" s="10"/>
      <c r="E3518" s="10"/>
      <c r="F3518" s="10"/>
      <c r="J3518" s="25"/>
      <c r="K3518" s="25"/>
      <c r="L3518" s="25"/>
      <c r="M3518" s="25"/>
      <c r="N3518" s="25"/>
      <c r="O3518" s="25"/>
    </row>
    <row r="3519" customFormat="false" ht="13.5" hidden="false" customHeight="true" outlineLevel="0" collapsed="false">
      <c r="B3519" s="10"/>
      <c r="C3519" s="10"/>
      <c r="D3519" s="10"/>
      <c r="E3519" s="10"/>
      <c r="F3519" s="10"/>
      <c r="J3519" s="25"/>
      <c r="K3519" s="25"/>
      <c r="L3519" s="25"/>
      <c r="M3519" s="25"/>
      <c r="N3519" s="25"/>
      <c r="O3519" s="25"/>
    </row>
    <row r="3520" customFormat="false" ht="15" hidden="false" customHeight="true" outlineLevel="0" collapsed="false">
      <c r="B3520" s="10"/>
      <c r="C3520" s="10"/>
      <c r="D3520" s="34" t="str">
        <f aca="false">IF($K$3511=0,"",INDEX(Clients!$E$2:$E$501,$K$3511)&amp;"")</f>
        <v/>
      </c>
      <c r="E3520" s="34"/>
      <c r="F3520" s="34"/>
      <c r="J3520" s="25"/>
      <c r="K3520" s="25"/>
      <c r="L3520" s="25"/>
      <c r="M3520" s="25"/>
      <c r="N3520" s="25"/>
      <c r="O3520" s="25"/>
    </row>
    <row r="3521" customFormat="false" ht="15" hidden="false" customHeight="true" outlineLevel="0" collapsed="false">
      <c r="B3521" s="10"/>
      <c r="C3521" s="10"/>
      <c r="D3521" s="35" t="str">
        <f aca="false">IF(IF($K$3511=0,"",INDEX(Clients!$D$2:$D$501,$K$3511)&amp;"")="","","À l'attention de "&amp;TRIM(IF($K$3511=0,"",INDEX(Clients!$B$2:$B$501,$K$3511)&amp;"")&amp;" "&amp;IF($K$3511=0,"",INDEX(Clients!$C$2:$C$501,$K$3511)&amp;"")&amp;" "&amp;IF($K$3511=0,"",INDEX(Clients!$D$2:$D$501,$K$3511)&amp;"")))</f>
        <v/>
      </c>
      <c r="E3521" s="35"/>
      <c r="F3521" s="35"/>
      <c r="J3521" s="25"/>
      <c r="K3521" s="25"/>
      <c r="L3521" s="25"/>
      <c r="M3521" s="25"/>
      <c r="N3521" s="25"/>
      <c r="O3521" s="25"/>
    </row>
    <row r="3522" customFormat="false" ht="15" hidden="false" customHeight="true" outlineLevel="0" collapsed="false">
      <c r="B3522" s="10"/>
      <c r="C3522" s="10"/>
      <c r="D3522" s="35" t="str">
        <f aca="false">IF($K$3511=0,"",INDEX(Clients!$F$2:$F$501,$K$3511)&amp;"")</f>
        <v/>
      </c>
      <c r="E3522" s="35"/>
      <c r="F3522" s="35"/>
      <c r="J3522" s="25"/>
      <c r="K3522" s="25"/>
      <c r="L3522" s="25"/>
      <c r="M3522" s="25"/>
      <c r="N3522" s="25"/>
      <c r="O3522" s="25"/>
    </row>
    <row r="3523" customFormat="false" ht="15" hidden="false" customHeight="true" outlineLevel="0" collapsed="false">
      <c r="B3523" s="10"/>
      <c r="C3523" s="10"/>
      <c r="D3523" s="35" t="str">
        <f aca="false">IF(IF($K$3511=0,"",INDEX(Clients!$G$2:$G$501,$K$3511)&amp;"")="",TRIM(IF($K$3511=0,"",INDEX(Clients!$H$2:$H$501,$K$3511)&amp;"")&amp;" "&amp;UPPER(IF($K$3511=0,"",INDEX(Clients!$I$2:$I$501,$K$3511)&amp;""))),IF($K$3511=0,"",INDEX(Clients!$G$2:$G$501,$K$3511)&amp;""))</f>
        <v/>
      </c>
      <c r="E3523" s="35"/>
      <c r="F3523" s="35"/>
      <c r="J3523" s="25"/>
      <c r="K3523" s="25"/>
      <c r="L3523" s="25"/>
      <c r="M3523" s="25"/>
      <c r="N3523" s="25"/>
      <c r="O3523" s="25"/>
    </row>
    <row r="3524" customFormat="false" ht="15" hidden="false" customHeight="true" outlineLevel="0" collapsed="false">
      <c r="B3524" s="10"/>
      <c r="C3524" s="10"/>
      <c r="D3524" s="35" t="str">
        <f aca="false">IF(IF($K$3511=0,"",INDEX(Clients!$G$2:$G$501,$K$3511)&amp;"")="","",TRIM(IF($K$3511=0,"",INDEX(Clients!$H$2:$H$501,$K$3511)&amp;"")&amp;" "&amp;UPPER(IF($K$3511=0,"",INDEX(Clients!$I$2:$I$501,$K$3511)&amp;""))))</f>
        <v/>
      </c>
      <c r="E3524" s="35"/>
      <c r="F3524" s="35"/>
      <c r="J3524" s="25"/>
      <c r="K3524" s="25"/>
      <c r="L3524" s="25"/>
      <c r="M3524" s="25"/>
      <c r="N3524" s="25"/>
      <c r="O3524" s="25"/>
    </row>
    <row r="3525" customFormat="false" ht="25.5" hidden="false" customHeight="true" outlineLevel="0" collapsed="false">
      <c r="B3525" s="10"/>
      <c r="C3525" s="10"/>
      <c r="D3525" s="10"/>
      <c r="E3525" s="10"/>
      <c r="F3525" s="10"/>
      <c r="J3525" s="25"/>
      <c r="K3525" s="25"/>
      <c r="L3525" s="25"/>
      <c r="M3525" s="25"/>
      <c r="N3525" s="25"/>
      <c r="O3525" s="25"/>
    </row>
    <row r="3526" customFormat="false" ht="15" hidden="false" customHeight="false" outlineLevel="0" collapsed="false">
      <c r="B3526" s="10"/>
      <c r="C3526" s="10"/>
      <c r="D3526" s="36" t="str">
        <f aca="false">Cab_Ville&amp;", le "&amp;DAY(Date_Courrier)&amp;IF(DAY(Date_Courrier)=1,"er","")&amp;" "&amp;INDEX(Liste_Mois,MONTH(Date_Courrier))&amp;" "&amp;YEAR(Date_Courrier)</f>
        <v>Le Plessis-Bouchard, le 22 septembre 2026</v>
      </c>
      <c r="E3526" s="36"/>
      <c r="F3526" s="36"/>
      <c r="J3526" s="25"/>
      <c r="K3526" s="25"/>
      <c r="L3526" s="25"/>
      <c r="M3526" s="25"/>
      <c r="N3526" s="25"/>
      <c r="O3526" s="25"/>
    </row>
    <row r="3527" customFormat="false" ht="19.5" hidden="false" customHeight="true" outlineLevel="0" collapsed="false">
      <c r="B3527" s="10"/>
      <c r="C3527" s="10"/>
      <c r="D3527" s="10"/>
      <c r="E3527" s="10"/>
      <c r="F3527" s="10"/>
      <c r="J3527" s="25"/>
      <c r="K3527" s="25"/>
      <c r="L3527" s="25"/>
      <c r="M3527" s="25"/>
      <c r="N3527" s="25"/>
      <c r="O3527" s="25"/>
    </row>
    <row r="3528" customFormat="false" ht="15" hidden="false" customHeight="false" outlineLevel="0" collapsed="false">
      <c r="B3528" s="34" t="str">
        <f aca="false">SUBSTITUTE(SUBSTITUTE(SUBSTITUTE(SUBSTITUTE(SUBSTITUTE(Txt_Objet,"{cabinet}",Cab_Nom),"{societe}",IF($K$3511=0,"",INDEX(Clients!$E$2:$E$501,$K$3511)&amp;"")),"{date_effet}",$K$3513),"{hausse}",$K$3514),"{civilite}",$K$3512)</f>
        <v>Objet : révision de nos honoraires au 1er janvier 2027</v>
      </c>
      <c r="C3528" s="34"/>
      <c r="D3528" s="34"/>
      <c r="E3528" s="34"/>
      <c r="F3528" s="34"/>
      <c r="J3528" s="25"/>
      <c r="K3528" s="25"/>
      <c r="L3528" s="25"/>
      <c r="M3528" s="25"/>
      <c r="N3528" s="25"/>
      <c r="O3528" s="25"/>
    </row>
    <row r="3529" customFormat="false" ht="13.5" hidden="false" customHeight="true" outlineLevel="0" collapsed="false">
      <c r="B3529" s="10"/>
      <c r="C3529" s="10"/>
      <c r="D3529" s="10"/>
      <c r="E3529" s="10"/>
      <c r="F3529" s="10"/>
      <c r="J3529" s="25"/>
      <c r="K3529" s="25"/>
      <c r="L3529" s="25"/>
      <c r="M3529" s="25"/>
      <c r="N3529" s="25"/>
      <c r="O3529" s="25"/>
    </row>
    <row r="3530" customFormat="false" ht="15" hidden="false" customHeight="false" outlineLevel="0" collapsed="false">
      <c r="B3530" s="10" t="str">
        <f aca="false">$K$3512&amp;","</f>
        <v>Madame, Monsieur,</v>
      </c>
      <c r="C3530" s="10"/>
      <c r="D3530" s="10"/>
      <c r="E3530" s="10"/>
      <c r="F3530" s="10"/>
      <c r="J3530" s="25"/>
      <c r="K3530" s="25"/>
      <c r="L3530" s="25"/>
      <c r="M3530" s="25"/>
      <c r="N3530" s="25"/>
      <c r="O3530" s="25"/>
    </row>
    <row r="3531" customFormat="false" ht="6" hidden="false" customHeight="true" outlineLevel="0" collapsed="false">
      <c r="B3531" s="10"/>
      <c r="C3531" s="10"/>
      <c r="D3531" s="10"/>
      <c r="E3531" s="10"/>
      <c r="F3531" s="10"/>
      <c r="J3531" s="25"/>
      <c r="K3531" s="25"/>
      <c r="L3531" s="25"/>
      <c r="M3531" s="25"/>
      <c r="N3531" s="25"/>
      <c r="O3531" s="25"/>
    </row>
    <row r="3532" customFormat="false" ht="36.75" hidden="false" customHeight="true" outlineLevel="0" collapsed="false">
      <c r="B3532" s="37" t="str">
        <f aca="false">SUBSTITUTE(SUBSTITUTE(SUBSTITUTE(SUBSTITUTE(SUBSTITUTE(Txt_P1,"{cabinet}",Cab_Nom),"{societe}",IF($K$3511=0,"",INDEX(Clients!$E$2:$E$501,$K$3511)&amp;"")),"{date_effet}",$K$3513),"{hausse}",$K$3514),"{civilite}",$K$3512)</f>
        <v>Nous tenons tout d'abord à vous remercier pour la confiance que vous accordez à ALTHO EXPERTISE. Comme chaque année, et conformément aux dispositions de votre lettre de mission, nous procédons à la révision de nos honoraires.</v>
      </c>
      <c r="C3532" s="37"/>
      <c r="D3532" s="37"/>
      <c r="E3532" s="37"/>
      <c r="F3532" s="37"/>
      <c r="J3532" s="25"/>
      <c r="K3532" s="25"/>
      <c r="L3532" s="25"/>
      <c r="M3532" s="25"/>
      <c r="N3532" s="25"/>
      <c r="O3532" s="25"/>
    </row>
    <row r="3533" customFormat="false" ht="49.5" hidden="false" customHeight="true" outlineLevel="0" collapsed="false">
      <c r="B3533" s="37" t="str">
        <f aca="false">SUBSTITUTE(SUBSTITUTE(SUBSTITUTE(SUBSTITUTE(SUBSTITUTE(Txt_P2,"{cabinet}",Cab_Nom),"{societe}",IF($K$3511=0,"",INDEX(Clients!$E$2:$E$501,$K$3511)&amp;"")),"{date_effet}",$K$3513),"{hausse}",$K$3514),"{civilite}",$K$3512)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533" s="37"/>
      <c r="D3533" s="37"/>
      <c r="E3533" s="37"/>
      <c r="F3533" s="37"/>
      <c r="J3533" s="25"/>
      <c r="K3533" s="25"/>
      <c r="L3533" s="25"/>
      <c r="M3533" s="25"/>
      <c r="N3533" s="25"/>
      <c r="O3533" s="25"/>
    </row>
    <row r="3534" customFormat="false" ht="63" hidden="false" customHeight="true" outlineLevel="0" collapsed="false">
      <c r="B3534" s="37" t="str">
        <f aca="false">SUBSTITUTE(SUBSTITUTE(SUBSTITUTE(SUBSTITUTE(SUBSTITUTE(Txt_P3,"{cabinet}",Cab_Nom),"{societe}",IF($K$3511=0,"",INDEX(Clients!$E$2:$E$501,$K$3511)&amp;"")),"{date_effet}",$K$3513),"{hausse}",$K$3514),"{civilite}",$K$3512)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534" s="37"/>
      <c r="D3534" s="37"/>
      <c r="E3534" s="37"/>
      <c r="F3534" s="37"/>
      <c r="J3534" s="25"/>
      <c r="K3534" s="25"/>
      <c r="L3534" s="25"/>
      <c r="M3534" s="25"/>
      <c r="N3534" s="25"/>
      <c r="O3534" s="25"/>
    </row>
    <row r="3535" customFormat="false" ht="24" hidden="false" customHeight="true" outlineLevel="0" collapsed="false">
      <c r="B3535" s="37" t="str">
        <f aca="false">SUBSTITUTE(SUBSTITUTE(SUBSTITUTE(SUBSTITUTE(SUBSTITUTE(Txt_P4,"{cabinet}",Cab_Nom),"{societe}",IF($K$3511=0,"",INDEX(Clients!$E$2:$E$501,$K$3511)&amp;"")),"{date_effet}",$K$3513),"{hausse}",$K$3514),"{civilite}",$K$3512)</f>
        <v>À compter du 1er janvier 2027, vos honoraires annuels hors taxes évolueront ainsi (évolution globale : ) :</v>
      </c>
      <c r="C3535" s="37"/>
      <c r="D3535" s="37"/>
      <c r="E3535" s="37"/>
      <c r="F3535" s="37"/>
      <c r="J3535" s="25"/>
      <c r="K3535" s="25"/>
      <c r="L3535" s="25"/>
      <c r="M3535" s="25"/>
      <c r="N3535" s="25"/>
      <c r="O3535" s="25"/>
    </row>
    <row r="3536" customFormat="false" ht="3.75" hidden="false" customHeight="true" outlineLevel="0" collapsed="false">
      <c r="B3536" s="10"/>
      <c r="C3536" s="10"/>
      <c r="D3536" s="10"/>
      <c r="E3536" s="10"/>
      <c r="F3536" s="10"/>
      <c r="J3536" s="25"/>
      <c r="K3536" s="25"/>
      <c r="L3536" s="25"/>
      <c r="M3536" s="25"/>
      <c r="N3536" s="25"/>
      <c r="O3536" s="25"/>
    </row>
    <row r="3537" customFormat="false" ht="18" hidden="false" customHeight="true" outlineLevel="0" collapsed="false">
      <c r="B3537" s="38" t="s">
        <v>148</v>
      </c>
      <c r="C3537" s="39" t="s">
        <v>149</v>
      </c>
      <c r="D3537" s="39" t="s">
        <v>150</v>
      </c>
      <c r="E3537" s="39" t="s">
        <v>151</v>
      </c>
      <c r="F3537" s="39" t="s">
        <v>109</v>
      </c>
      <c r="J3537" s="25" t="s">
        <v>152</v>
      </c>
      <c r="K3537" s="25" t="s">
        <v>153</v>
      </c>
      <c r="L3537" s="25" t="s">
        <v>154</v>
      </c>
      <c r="M3537" s="25" t="s">
        <v>155</v>
      </c>
      <c r="N3537" s="25" t="s">
        <v>156</v>
      </c>
      <c r="O3537" s="25" t="s">
        <v>157</v>
      </c>
    </row>
    <row r="3538" customFormat="false" ht="16.5" hidden="false" customHeight="true" outlineLevel="0" collapsed="false">
      <c r="B3538" s="40" t="str">
        <f aca="false">IFERROR(INDEX($J$3538:$J$3541,MATCH($O3538,$N$3538:$N$3541,0)),"")</f>
        <v/>
      </c>
      <c r="C3538" s="41" t="str">
        <f aca="false">IFERROR(INDEX($K$3538:$K$3541,MATCH($O3538,$N$3538:$N$3541,0)),"")</f>
        <v/>
      </c>
      <c r="D3538" s="42" t="str">
        <f aca="false">IF(OR(E3538="",N(C3538)=0),"",E3538/C3538-1)</f>
        <v/>
      </c>
      <c r="E3538" s="41" t="str">
        <f aca="false">IFERROR(INDEX($L$3538:$L$3541,MATCH($O3538,$N$3538:$N$3541,0)),"")</f>
        <v/>
      </c>
      <c r="F3538" s="41" t="str">
        <f aca="false">IF(E3538="","",E3538-C3538)</f>
        <v/>
      </c>
      <c r="J3538" s="25" t="str">
        <f aca="false">Lib_Compta</f>
        <v>Mission comptable (tenue, révision, bilan, liasse fiscale)</v>
      </c>
      <c r="K3538" s="25" t="n">
        <f aca="false">IF($K$3511=0,0,N(INDEX(Clients!$K$2:$K$501,$K$3511)))</f>
        <v>0</v>
      </c>
      <c r="L3538" s="25" t="n">
        <f aca="false">IF($K$3511=0,0,N(INDEX(Clients!$P$2:$P$501,$K$3511)))</f>
        <v>0</v>
      </c>
      <c r="M3538" s="25" t="n">
        <f aca="false">IF(OR(K3538&lt;&gt;0,L3538&lt;&gt;0),1,0)</f>
        <v>0</v>
      </c>
      <c r="N3538" s="25" t="str">
        <f aca="false">IF(M3538=1,SUM($M$3538:M3538),"")</f>
        <v/>
      </c>
      <c r="O3538" s="25" t="n">
        <v>1</v>
      </c>
    </row>
    <row r="3539" customFormat="false" ht="16.5" hidden="false" customHeight="true" outlineLevel="0" collapsed="false">
      <c r="B3539" s="40" t="str">
        <f aca="false">IFERROR(INDEX($J$3538:$J$3541,MATCH($O3539,$N$3538:$N$3541,0)),"")</f>
        <v/>
      </c>
      <c r="C3539" s="41" t="str">
        <f aca="false">IFERROR(INDEX($K$3538:$K$3541,MATCH($O3539,$N$3538:$N$3541,0)),"")</f>
        <v/>
      </c>
      <c r="D3539" s="42" t="str">
        <f aca="false">IF(OR(E3539="",N(C3539)=0),"",E3539/C3539-1)</f>
        <v/>
      </c>
      <c r="E3539" s="41" t="str">
        <f aca="false">IFERROR(INDEX($L$3538:$L$3541,MATCH($O3539,$N$3538:$N$3541,0)),"")</f>
        <v/>
      </c>
      <c r="F3539" s="41" t="str">
        <f aca="false">IF(E3539="","",E3539-C3539)</f>
        <v/>
      </c>
      <c r="J3539" s="25" t="str">
        <f aca="false">Lib_Paye</f>
        <v>Mission sociale (bulletins de paie, DSN, déclarations sociales)</v>
      </c>
      <c r="K3539" s="25" t="n">
        <f aca="false">IF($K$3511=0,0,N(INDEX(Clients!$L$2:$L$501,$K$3511)))</f>
        <v>0</v>
      </c>
      <c r="L3539" s="25" t="n">
        <f aca="false">IF($K$3511=0,0,N(INDEX(Clients!$Q$2:$Q$501,$K$3511)))</f>
        <v>0</v>
      </c>
      <c r="M3539" s="25" t="n">
        <f aca="false">IF(OR(K3539&lt;&gt;0,L3539&lt;&gt;0),1,0)</f>
        <v>0</v>
      </c>
      <c r="N3539" s="25" t="str">
        <f aca="false">IF(M3539=1,SUM($M$3538:M3539),"")</f>
        <v/>
      </c>
      <c r="O3539" s="25" t="n">
        <v>2</v>
      </c>
    </row>
    <row r="3540" customFormat="false" ht="16.5" hidden="false" customHeight="true" outlineLevel="0" collapsed="false">
      <c r="B3540" s="40" t="str">
        <f aca="false">IFERROR(INDEX($J$3538:$J$3541,MATCH($O3540,$N$3538:$N$3541,0)),"")</f>
        <v/>
      </c>
      <c r="C3540" s="41" t="str">
        <f aca="false">IFERROR(INDEX($K$3538:$K$3541,MATCH($O3540,$N$3538:$N$3541,0)),"")</f>
        <v/>
      </c>
      <c r="D3540" s="42" t="str">
        <f aca="false">IF(OR(E3540="",N(C3540)=0),"",E3540/C3540-1)</f>
        <v/>
      </c>
      <c r="E3540" s="41" t="str">
        <f aca="false">IFERROR(INDEX($L$3538:$L$3541,MATCH($O3540,$N$3538:$N$3541,0)),"")</f>
        <v/>
      </c>
      <c r="F3540" s="41" t="str">
        <f aca="false">IF(E3540="","",E3540-C3540)</f>
        <v/>
      </c>
      <c r="J3540" s="25" t="str">
        <f aca="false">Lib_Jur</f>
        <v>Mission juridique (approbation des comptes, secrétariat juridique)</v>
      </c>
      <c r="K3540" s="25" t="n">
        <f aca="false">IF($K$3511=0,0,N(INDEX(Clients!$M$2:$M$501,$K$3511)))</f>
        <v>0</v>
      </c>
      <c r="L3540" s="25" t="n">
        <f aca="false">IF($K$3511=0,0,N(INDEX(Clients!$R$2:$R$501,$K$3511)))</f>
        <v>0</v>
      </c>
      <c r="M3540" s="25" t="n">
        <f aca="false">IF(OR(K3540&lt;&gt;0,L3540&lt;&gt;0),1,0)</f>
        <v>0</v>
      </c>
      <c r="N3540" s="25" t="str">
        <f aca="false">IF(M3540=1,SUM($M$3538:M3540),"")</f>
        <v/>
      </c>
      <c r="O3540" s="25" t="n">
        <v>3</v>
      </c>
    </row>
    <row r="3541" customFormat="false" ht="16.5" hidden="false" customHeight="true" outlineLevel="0" collapsed="false">
      <c r="B3541" s="40" t="str">
        <f aca="false">IFERROR(INDEX($J$3538:$J$3541,MATCH($O3541,$N$3538:$N$3541,0)),"")</f>
        <v/>
      </c>
      <c r="C3541" s="41" t="str">
        <f aca="false">IFERROR(INDEX($K$3538:$K$3541,MATCH($O3541,$N$3538:$N$3541,0)),"")</f>
        <v/>
      </c>
      <c r="D3541" s="42" t="str">
        <f aca="false">IF(OR(E3541="",N(C3541)=0),"",E3541/C3541-1)</f>
        <v/>
      </c>
      <c r="E3541" s="41" t="str">
        <f aca="false">IFERROR(INDEX($L$3538:$L$3541,MATCH($O3541,$N$3538:$N$3541,0)),"")</f>
        <v/>
      </c>
      <c r="F3541" s="41" t="str">
        <f aca="false">IF(E3541="","",E3541-C3541)</f>
        <v/>
      </c>
      <c r="J3541" s="25" t="str">
        <f aca="false">Lib_PA</f>
        <v>Plateforme agréée – facturation électronique</v>
      </c>
      <c r="K3541" s="25" t="n">
        <f aca="false">IF($K$3511=0,0,N(INDEX(Clients!$N$2:$N$501,$K$3511)))</f>
        <v>0</v>
      </c>
      <c r="L3541" s="25" t="n">
        <f aca="false">IF($K$3511=0,0,N(INDEX(Clients!$S$2:$S$501,$K$3511)))</f>
        <v>0</v>
      </c>
      <c r="M3541" s="25" t="n">
        <f aca="false">IF(OR(K3541&lt;&gt;0,L3541&lt;&gt;0),1,0)</f>
        <v>0</v>
      </c>
      <c r="N3541" s="25" t="str">
        <f aca="false">IF(M3541=1,SUM($M$3538:M3541),"")</f>
        <v/>
      </c>
      <c r="O3541" s="25" t="n">
        <v>4</v>
      </c>
    </row>
    <row r="3542" customFormat="false" ht="18" hidden="false" customHeight="true" outlineLevel="0" collapsed="false">
      <c r="B3542" s="43" t="s">
        <v>158</v>
      </c>
      <c r="C3542" s="44" t="n">
        <f aca="false">SUM(K3538:K3541)</f>
        <v>0</v>
      </c>
      <c r="D3542" s="45" t="str">
        <f aca="false">IF(N(C3542)=0,"",E3542/C3542-1)</f>
        <v/>
      </c>
      <c r="E3542" s="44" t="n">
        <f aca="false">SUM(L3538:L3541)</f>
        <v>0</v>
      </c>
      <c r="F3542" s="44" t="n">
        <f aca="false">E3542-C3542</f>
        <v>0</v>
      </c>
    </row>
    <row r="3543" customFormat="false" ht="15" hidden="false" customHeight="false" outlineLevel="0" collapsed="false">
      <c r="B3543" s="46" t="str">
        <f aca="false">IF(N(Nb_Mensualites)=0,"","Soit "&amp;FIXED(E3542/Nb_Mensualites,2)&amp;" € HT par échéance ("&amp;Nb_Mensualites&amp;" échéances), "&amp;FIXED(E3542/Nb_Mensualites*(1+Taux_TVA),2)&amp;" € TTC.")</f>
        <v>Soit 0.00 € HT par échéance (12 échéances), 0.00 € TTC.</v>
      </c>
      <c r="C3543" s="46"/>
      <c r="D3543" s="46"/>
      <c r="E3543" s="46"/>
      <c r="F3543" s="46"/>
    </row>
    <row r="3544" customFormat="false" ht="7.5" hidden="false" customHeight="true" outlineLevel="0" collapsed="false">
      <c r="B3544" s="10"/>
      <c r="C3544" s="10"/>
      <c r="D3544" s="10"/>
      <c r="E3544" s="10"/>
      <c r="F3544" s="10"/>
    </row>
    <row r="3545" customFormat="false" ht="36.75" hidden="false" customHeight="true" outlineLevel="0" collapsed="false">
      <c r="B3545" s="37" t="str">
        <f aca="false">SUBSTITUTE(SUBSTITUTE(SUBSTITUTE(SUBSTITUTE(SUBSTITUTE(Txt_P5,"{cabinet}",Cab_Nom),"{societe}",IF($K$3511=0,"",INDEX(Clients!$E$2:$E$501,$K$3511)&amp;"")),"{date_effet}",$K$3513),"{hausse}",$K$3514),"{civilite}",$K$3512)</f>
        <v>Les autres conditions de votre lettre de mission demeurent inchangées. Les nouveaux montants seront appliqués automatiquement sur vos prochaines factures et échéances de prélèvement.</v>
      </c>
      <c r="C3545" s="37"/>
      <c r="D3545" s="37"/>
      <c r="E3545" s="37"/>
      <c r="F3545" s="37"/>
    </row>
    <row r="3546" customFormat="false" ht="36.75" hidden="false" customHeight="true" outlineLevel="0" collapsed="false">
      <c r="B3546" s="37" t="str">
        <f aca="false">SUBSTITUTE(SUBSTITUTE(SUBSTITUTE(SUBSTITUTE(SUBSTITUTE(Txt_P6,"{cabinet}",Cab_Nom),"{societe}",IF($K$3511=0,"",INDEX(Clients!$E$2:$E$501,$K$3511)&amp;"")),"{date_effet}",$K$3513),"{hausse}",$K$3514),"{civilite}",$K$3512)</f>
        <v>Votre interlocuteur habituel reste à votre entière disposition pour répondre à vos questions et faire le point sur l'évolution de vos besoins.</v>
      </c>
      <c r="C3546" s="37"/>
      <c r="D3546" s="37"/>
      <c r="E3546" s="37"/>
      <c r="F3546" s="37"/>
    </row>
    <row r="3547" customFormat="false" ht="24" hidden="false" customHeight="true" outlineLevel="0" collapsed="false">
      <c r="B3547" s="37" t="str">
        <f aca="false">SUBSTITUTE(SUBSTITUTE(SUBSTITUTE(SUBSTITUTE(SUBSTITUTE(Txt_Politesse,"{cabinet}",Cab_Nom),"{societe}",IF($K$3511=0,"",INDEX(Clients!$E$2:$E$501,$K$3511)&amp;"")),"{date_effet}",$K$3513),"{hausse}",$K$3514),"{civilite}",$K$3512)</f>
        <v>Nous vous prions d'agréer, Madame, Monsieur, l'expression de nos salutations distinguées.</v>
      </c>
      <c r="C3547" s="37"/>
      <c r="D3547" s="37"/>
      <c r="E3547" s="37"/>
      <c r="F3547" s="37"/>
    </row>
    <row r="3548" customFormat="false" ht="15" hidden="false" customHeight="false" outlineLevel="0" collapsed="false">
      <c r="B3548" s="10"/>
      <c r="C3548" s="10"/>
      <c r="D3548" s="10"/>
      <c r="E3548" s="10"/>
      <c r="F3548" s="10"/>
    </row>
    <row r="3549" customFormat="false" ht="15" hidden="false" customHeight="false" outlineLevel="0" collapsed="false">
      <c r="B3549" s="10"/>
      <c r="C3549" s="10"/>
      <c r="D3549" s="34" t="str">
        <f aca="false">Signataire</f>
        <v>Prénom NOM</v>
      </c>
      <c r="E3549" s="34"/>
      <c r="F3549" s="34"/>
    </row>
    <row r="3550" customFormat="false" ht="15" hidden="false" customHeight="false" outlineLevel="0" collapsed="false">
      <c r="B3550" s="10"/>
      <c r="C3550" s="10"/>
      <c r="D3550" s="47" t="str">
        <f aca="false">Signataire_Titre</f>
        <v>Expert-comptable associé</v>
      </c>
      <c r="E3550" s="47"/>
      <c r="F3550" s="47"/>
    </row>
    <row r="3551" customFormat="false" ht="15.75" hidden="false" customHeight="true" outlineLevel="0" collapsed="false">
      <c r="B3551" s="10"/>
      <c r="C3551" s="10"/>
      <c r="D3551" s="10"/>
      <c r="E3551" s="10"/>
      <c r="F3551" s="10"/>
    </row>
    <row r="3552" customFormat="false" ht="15.75" hidden="false" customHeight="true" outlineLevel="0" collapsed="false">
      <c r="B3552" s="10"/>
      <c r="C3552" s="10"/>
      <c r="D3552" s="10"/>
      <c r="E3552" s="10"/>
      <c r="F3552" s="10"/>
    </row>
    <row r="3553" customFormat="false" ht="15.75" hidden="false" customHeight="true" outlineLevel="0" collapsed="false">
      <c r="B3553" s="10"/>
      <c r="C3553" s="10"/>
      <c r="D3553" s="10"/>
      <c r="E3553" s="10"/>
      <c r="F3553" s="10"/>
    </row>
    <row r="3554" customFormat="false" ht="15.75" hidden="false" customHeight="true" outlineLevel="0" collapsed="false">
      <c r="B3554" s="10"/>
      <c r="C3554" s="10"/>
      <c r="D3554" s="10"/>
      <c r="E3554" s="10"/>
      <c r="F3554" s="10"/>
    </row>
    <row r="3555" customFormat="false" ht="24" hidden="false" customHeight="true" outlineLevel="0" collapsed="false">
      <c r="B3555" s="48" t="str">
        <f aca="false">Cab_Mentions</f>
        <v>ALTHO EXPERTISE · SAS au capital de 10 000 € · RCS Pontoise 919 706 325 · TVA FR62919706325 · Société d'expertise comptable inscrite au Tableau de l'Ordre des experts-comptables de Paris Île-de-France</v>
      </c>
      <c r="C3555" s="48"/>
      <c r="D3555" s="48"/>
      <c r="E3555" s="48"/>
      <c r="F3555" s="48"/>
    </row>
    <row r="3556" customFormat="false" ht="15" hidden="false" customHeight="false" outlineLevel="0" collapsed="false">
      <c r="B3556" s="10"/>
      <c r="C3556" s="10"/>
      <c r="D3556" s="10"/>
      <c r="E3556" s="10"/>
      <c r="F3556" s="10"/>
      <c r="J3556" s="25" t="s">
        <v>142</v>
      </c>
      <c r="K3556" s="25" t="n">
        <f aca="false">IFERROR(MATCH(80,Clients!$Z$2:$Z$501,0),0)</f>
        <v>0</v>
      </c>
      <c r="L3556" s="25"/>
      <c r="M3556" s="25"/>
      <c r="N3556" s="25"/>
      <c r="O3556" s="25"/>
    </row>
    <row r="3557" customFormat="false" ht="21.75" hidden="false" customHeight="true" outlineLevel="0" collapsed="false">
      <c r="B3557" s="26" t="str">
        <f aca="false">Cab_Nom</f>
        <v>ALTHO EXPERTISE</v>
      </c>
      <c r="C3557" s="26"/>
      <c r="D3557" s="10"/>
      <c r="E3557" s="27" t="str">
        <f aca="false">IF($K$3556=0,"","Réf. client : "&amp;INDEX(Clients!$A$2:$A$501,$K$3556))</f>
        <v/>
      </c>
      <c r="F3557" s="27"/>
      <c r="J3557" s="25" t="s">
        <v>144</v>
      </c>
      <c r="K3557" s="25" t="str">
        <f aca="false">IF(IF($K$3556=0,"",INDEX(Clients!$B$2:$B$501,$K$3556)&amp;"")="Mme","Madame",IF(IF($K$3556=0,"",INDEX(Clients!$B$2:$B$501,$K$3556)&amp;"")="M.","Monsieur","Madame, Monsieur"))</f>
        <v>Madame, Monsieur</v>
      </c>
      <c r="L3557" s="25"/>
      <c r="M3557" s="25"/>
      <c r="N3557" s="25"/>
      <c r="O3557" s="25"/>
    </row>
    <row r="3558" customFormat="false" ht="15" hidden="false" customHeight="false" outlineLevel="0" collapsed="false">
      <c r="B3558" s="29" t="str">
        <f aca="false">Cab_Adr1</f>
        <v>141 rue Charles de Gaulle</v>
      </c>
      <c r="C3558" s="29"/>
      <c r="D3558" s="10"/>
      <c r="E3558" s="10"/>
      <c r="F3558" s="10"/>
      <c r="J3558" s="25" t="s">
        <v>145</v>
      </c>
      <c r="K3558" s="25" t="str">
        <f aca="false">DAY(Date_Effet)&amp;IF(DAY(Date_Effet)=1,"er","")&amp;" "&amp;INDEX(Liste_Mois,MONTH(Date_Effet))&amp;" "&amp;YEAR(Date_Effet)</f>
        <v>1er janvier 2027</v>
      </c>
      <c r="L3558" s="25"/>
      <c r="M3558" s="25"/>
      <c r="N3558" s="25"/>
      <c r="O3558" s="25"/>
    </row>
    <row r="3559" customFormat="false" ht="15" hidden="false" customHeight="false" outlineLevel="0" collapsed="false">
      <c r="B3559" s="29" t="str">
        <f aca="false">Cab_CPVille</f>
        <v>95130 LE PLESSIS-BOUCHARD</v>
      </c>
      <c r="C3559" s="29"/>
      <c r="D3559" s="10"/>
      <c r="E3559" s="10"/>
      <c r="F3559" s="10"/>
      <c r="J3559" s="25" t="s">
        <v>146</v>
      </c>
      <c r="K3559" s="25" t="str">
        <f aca="false">IF(SUM($K$3583:$K$3586)=0,"",FIXED((SUM($L$3583:$L$3586)/SUM($K$3583:$K$3586)-1)*100,1)&amp;" %")</f>
        <v/>
      </c>
      <c r="L3559" s="25"/>
      <c r="M3559" s="25"/>
      <c r="N3559" s="25"/>
      <c r="O3559" s="25"/>
    </row>
    <row r="3560" customFormat="false" ht="15" hidden="false" customHeight="false" outlineLevel="0" collapsed="false">
      <c r="B3560" s="29" t="str">
        <f aca="false">Cab_Contact</f>
        <v>Tél. 01 34 14 53 45  ·  altho@altho-experts.com  ·  altho-experts.com</v>
      </c>
      <c r="C3560" s="29"/>
      <c r="D3560" s="10"/>
      <c r="E3560" s="10"/>
      <c r="F3560" s="10"/>
      <c r="J3560" s="25"/>
      <c r="K3560" s="25"/>
      <c r="L3560" s="25"/>
      <c r="M3560" s="25"/>
      <c r="N3560" s="25"/>
      <c r="O3560" s="25"/>
    </row>
    <row r="3561" customFormat="false" ht="6" hidden="false" customHeight="true" outlineLevel="0" collapsed="false">
      <c r="B3561" s="32"/>
      <c r="C3561" s="32"/>
      <c r="D3561" s="32"/>
      <c r="E3561" s="32"/>
      <c r="F3561" s="32"/>
      <c r="J3561" s="25"/>
      <c r="K3561" s="25"/>
      <c r="L3561" s="25"/>
      <c r="M3561" s="25"/>
      <c r="N3561" s="25"/>
      <c r="O3561" s="25"/>
    </row>
    <row r="3562" customFormat="false" ht="13.5" hidden="false" customHeight="true" outlineLevel="0" collapsed="false">
      <c r="B3562" s="10"/>
      <c r="C3562" s="10"/>
      <c r="D3562" s="10"/>
      <c r="E3562" s="10"/>
      <c r="F3562" s="10"/>
      <c r="J3562" s="25"/>
      <c r="K3562" s="25"/>
      <c r="L3562" s="25"/>
      <c r="M3562" s="25"/>
      <c r="N3562" s="25"/>
      <c r="O3562" s="25"/>
    </row>
    <row r="3563" customFormat="false" ht="13.5" hidden="false" customHeight="true" outlineLevel="0" collapsed="false">
      <c r="B3563" s="10"/>
      <c r="C3563" s="10"/>
      <c r="D3563" s="10"/>
      <c r="E3563" s="10"/>
      <c r="F3563" s="10"/>
      <c r="J3563" s="25"/>
      <c r="K3563" s="25"/>
      <c r="L3563" s="25"/>
      <c r="M3563" s="25"/>
      <c r="N3563" s="25"/>
      <c r="O3563" s="25"/>
    </row>
    <row r="3564" customFormat="false" ht="13.5" hidden="false" customHeight="true" outlineLevel="0" collapsed="false">
      <c r="B3564" s="10"/>
      <c r="C3564" s="10"/>
      <c r="D3564" s="10"/>
      <c r="E3564" s="10"/>
      <c r="F3564" s="10"/>
      <c r="J3564" s="25"/>
      <c r="K3564" s="25"/>
      <c r="L3564" s="25"/>
      <c r="M3564" s="25"/>
      <c r="N3564" s="25"/>
      <c r="O3564" s="25"/>
    </row>
    <row r="3565" customFormat="false" ht="15" hidden="false" customHeight="true" outlineLevel="0" collapsed="false">
      <c r="B3565" s="10"/>
      <c r="C3565" s="10"/>
      <c r="D3565" s="34" t="str">
        <f aca="false">IF($K$3556=0,"",INDEX(Clients!$E$2:$E$501,$K$3556)&amp;"")</f>
        <v/>
      </c>
      <c r="E3565" s="34"/>
      <c r="F3565" s="34"/>
      <c r="J3565" s="25"/>
      <c r="K3565" s="25"/>
      <c r="L3565" s="25"/>
      <c r="M3565" s="25"/>
      <c r="N3565" s="25"/>
      <c r="O3565" s="25"/>
    </row>
    <row r="3566" customFormat="false" ht="15" hidden="false" customHeight="true" outlineLevel="0" collapsed="false">
      <c r="B3566" s="10"/>
      <c r="C3566" s="10"/>
      <c r="D3566" s="35" t="str">
        <f aca="false">IF(IF($K$3556=0,"",INDEX(Clients!$D$2:$D$501,$K$3556)&amp;"")="","","À l'attention de "&amp;TRIM(IF($K$3556=0,"",INDEX(Clients!$B$2:$B$501,$K$3556)&amp;"")&amp;" "&amp;IF($K$3556=0,"",INDEX(Clients!$C$2:$C$501,$K$3556)&amp;"")&amp;" "&amp;IF($K$3556=0,"",INDEX(Clients!$D$2:$D$501,$K$3556)&amp;"")))</f>
        <v/>
      </c>
      <c r="E3566" s="35"/>
      <c r="F3566" s="35"/>
      <c r="J3566" s="25"/>
      <c r="K3566" s="25"/>
      <c r="L3566" s="25"/>
      <c r="M3566" s="25"/>
      <c r="N3566" s="25"/>
      <c r="O3566" s="25"/>
    </row>
    <row r="3567" customFormat="false" ht="15" hidden="false" customHeight="true" outlineLevel="0" collapsed="false">
      <c r="B3567" s="10"/>
      <c r="C3567" s="10"/>
      <c r="D3567" s="35" t="str">
        <f aca="false">IF($K$3556=0,"",INDEX(Clients!$F$2:$F$501,$K$3556)&amp;"")</f>
        <v/>
      </c>
      <c r="E3567" s="35"/>
      <c r="F3567" s="35"/>
      <c r="J3567" s="25"/>
      <c r="K3567" s="25"/>
      <c r="L3567" s="25"/>
      <c r="M3567" s="25"/>
      <c r="N3567" s="25"/>
      <c r="O3567" s="25"/>
    </row>
    <row r="3568" customFormat="false" ht="15" hidden="false" customHeight="true" outlineLevel="0" collapsed="false">
      <c r="B3568" s="10"/>
      <c r="C3568" s="10"/>
      <c r="D3568" s="35" t="str">
        <f aca="false">IF(IF($K$3556=0,"",INDEX(Clients!$G$2:$G$501,$K$3556)&amp;"")="",TRIM(IF($K$3556=0,"",INDEX(Clients!$H$2:$H$501,$K$3556)&amp;"")&amp;" "&amp;UPPER(IF($K$3556=0,"",INDEX(Clients!$I$2:$I$501,$K$3556)&amp;""))),IF($K$3556=0,"",INDEX(Clients!$G$2:$G$501,$K$3556)&amp;""))</f>
        <v/>
      </c>
      <c r="E3568" s="35"/>
      <c r="F3568" s="35"/>
      <c r="J3568" s="25"/>
      <c r="K3568" s="25"/>
      <c r="L3568" s="25"/>
      <c r="M3568" s="25"/>
      <c r="N3568" s="25"/>
      <c r="O3568" s="25"/>
    </row>
    <row r="3569" customFormat="false" ht="15" hidden="false" customHeight="true" outlineLevel="0" collapsed="false">
      <c r="B3569" s="10"/>
      <c r="C3569" s="10"/>
      <c r="D3569" s="35" t="str">
        <f aca="false">IF(IF($K$3556=0,"",INDEX(Clients!$G$2:$G$501,$K$3556)&amp;"")="","",TRIM(IF($K$3556=0,"",INDEX(Clients!$H$2:$H$501,$K$3556)&amp;"")&amp;" "&amp;UPPER(IF($K$3556=0,"",INDEX(Clients!$I$2:$I$501,$K$3556)&amp;""))))</f>
        <v/>
      </c>
      <c r="E3569" s="35"/>
      <c r="F3569" s="35"/>
      <c r="J3569" s="25"/>
      <c r="K3569" s="25"/>
      <c r="L3569" s="25"/>
      <c r="M3569" s="25"/>
      <c r="N3569" s="25"/>
      <c r="O3569" s="25"/>
    </row>
    <row r="3570" customFormat="false" ht="25.5" hidden="false" customHeight="true" outlineLevel="0" collapsed="false">
      <c r="B3570" s="10"/>
      <c r="C3570" s="10"/>
      <c r="D3570" s="10"/>
      <c r="E3570" s="10"/>
      <c r="F3570" s="10"/>
      <c r="J3570" s="25"/>
      <c r="K3570" s="25"/>
      <c r="L3570" s="25"/>
      <c r="M3570" s="25"/>
      <c r="N3570" s="25"/>
      <c r="O3570" s="25"/>
    </row>
    <row r="3571" customFormat="false" ht="15" hidden="false" customHeight="false" outlineLevel="0" collapsed="false">
      <c r="B3571" s="10"/>
      <c r="C3571" s="10"/>
      <c r="D3571" s="36" t="str">
        <f aca="false">Cab_Ville&amp;", le "&amp;DAY(Date_Courrier)&amp;IF(DAY(Date_Courrier)=1,"er","")&amp;" "&amp;INDEX(Liste_Mois,MONTH(Date_Courrier))&amp;" "&amp;YEAR(Date_Courrier)</f>
        <v>Le Plessis-Bouchard, le 22 septembre 2026</v>
      </c>
      <c r="E3571" s="36"/>
      <c r="F3571" s="36"/>
      <c r="J3571" s="25"/>
      <c r="K3571" s="25"/>
      <c r="L3571" s="25"/>
      <c r="M3571" s="25"/>
      <c r="N3571" s="25"/>
      <c r="O3571" s="25"/>
    </row>
    <row r="3572" customFormat="false" ht="19.5" hidden="false" customHeight="true" outlineLevel="0" collapsed="false">
      <c r="B3572" s="10"/>
      <c r="C3572" s="10"/>
      <c r="D3572" s="10"/>
      <c r="E3572" s="10"/>
      <c r="F3572" s="10"/>
      <c r="J3572" s="25"/>
      <c r="K3572" s="25"/>
      <c r="L3572" s="25"/>
      <c r="M3572" s="25"/>
      <c r="N3572" s="25"/>
      <c r="O3572" s="25"/>
    </row>
    <row r="3573" customFormat="false" ht="15" hidden="false" customHeight="false" outlineLevel="0" collapsed="false">
      <c r="B3573" s="34" t="str">
        <f aca="false">SUBSTITUTE(SUBSTITUTE(SUBSTITUTE(SUBSTITUTE(SUBSTITUTE(Txt_Objet,"{cabinet}",Cab_Nom),"{societe}",IF($K$3556=0,"",INDEX(Clients!$E$2:$E$501,$K$3556)&amp;"")),"{date_effet}",$K$3558),"{hausse}",$K$3559),"{civilite}",$K$3557)</f>
        <v>Objet : révision de nos honoraires au 1er janvier 2027</v>
      </c>
      <c r="C3573" s="34"/>
      <c r="D3573" s="34"/>
      <c r="E3573" s="34"/>
      <c r="F3573" s="34"/>
      <c r="J3573" s="25"/>
      <c r="K3573" s="25"/>
      <c r="L3573" s="25"/>
      <c r="M3573" s="25"/>
      <c r="N3573" s="25"/>
      <c r="O3573" s="25"/>
    </row>
    <row r="3574" customFormat="false" ht="13.5" hidden="false" customHeight="true" outlineLevel="0" collapsed="false">
      <c r="B3574" s="10"/>
      <c r="C3574" s="10"/>
      <c r="D3574" s="10"/>
      <c r="E3574" s="10"/>
      <c r="F3574" s="10"/>
      <c r="J3574" s="25"/>
      <c r="K3574" s="25"/>
      <c r="L3574" s="25"/>
      <c r="M3574" s="25"/>
      <c r="N3574" s="25"/>
      <c r="O3574" s="25"/>
    </row>
    <row r="3575" customFormat="false" ht="15" hidden="false" customHeight="false" outlineLevel="0" collapsed="false">
      <c r="B3575" s="10" t="str">
        <f aca="false">$K$3557&amp;","</f>
        <v>Madame, Monsieur,</v>
      </c>
      <c r="C3575" s="10"/>
      <c r="D3575" s="10"/>
      <c r="E3575" s="10"/>
      <c r="F3575" s="10"/>
      <c r="J3575" s="25"/>
      <c r="K3575" s="25"/>
      <c r="L3575" s="25"/>
      <c r="M3575" s="25"/>
      <c r="N3575" s="25"/>
      <c r="O3575" s="25"/>
    </row>
    <row r="3576" customFormat="false" ht="6" hidden="false" customHeight="true" outlineLevel="0" collapsed="false">
      <c r="B3576" s="10"/>
      <c r="C3576" s="10"/>
      <c r="D3576" s="10"/>
      <c r="E3576" s="10"/>
      <c r="F3576" s="10"/>
      <c r="J3576" s="25"/>
      <c r="K3576" s="25"/>
      <c r="L3576" s="25"/>
      <c r="M3576" s="25"/>
      <c r="N3576" s="25"/>
      <c r="O3576" s="25"/>
    </row>
    <row r="3577" customFormat="false" ht="36.75" hidden="false" customHeight="true" outlineLevel="0" collapsed="false">
      <c r="B3577" s="37" t="str">
        <f aca="false">SUBSTITUTE(SUBSTITUTE(SUBSTITUTE(SUBSTITUTE(SUBSTITUTE(Txt_P1,"{cabinet}",Cab_Nom),"{societe}",IF($K$3556=0,"",INDEX(Clients!$E$2:$E$501,$K$3556)&amp;"")),"{date_effet}",$K$3558),"{hausse}",$K$3559),"{civilite}",$K$3557)</f>
        <v>Nous tenons tout d'abord à vous remercier pour la confiance que vous accordez à ALTHO EXPERTISE. Comme chaque année, et conformément aux dispositions de votre lettre de mission, nous procédons à la révision de nos honoraires.</v>
      </c>
      <c r="C3577" s="37"/>
      <c r="D3577" s="37"/>
      <c r="E3577" s="37"/>
      <c r="F3577" s="37"/>
      <c r="J3577" s="25"/>
      <c r="K3577" s="25"/>
      <c r="L3577" s="25"/>
      <c r="M3577" s="25"/>
      <c r="N3577" s="25"/>
      <c r="O3577" s="25"/>
    </row>
    <row r="3578" customFormat="false" ht="49.5" hidden="false" customHeight="true" outlineLevel="0" collapsed="false">
      <c r="B3578" s="37" t="str">
        <f aca="false">SUBSTITUTE(SUBSTITUTE(SUBSTITUTE(SUBSTITUTE(SUBSTITUTE(Txt_P2,"{cabinet}",Cab_Nom),"{societe}",IF($K$3556=0,"",INDEX(Clients!$E$2:$E$501,$K$3556)&amp;"")),"{date_effet}",$K$3558),"{hausse}",$K$3559),"{civilite}",$K$3557)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578" s="37"/>
      <c r="D3578" s="37"/>
      <c r="E3578" s="37"/>
      <c r="F3578" s="37"/>
      <c r="J3578" s="25"/>
      <c r="K3578" s="25"/>
      <c r="L3578" s="25"/>
      <c r="M3578" s="25"/>
      <c r="N3578" s="25"/>
      <c r="O3578" s="25"/>
    </row>
    <row r="3579" customFormat="false" ht="63" hidden="false" customHeight="true" outlineLevel="0" collapsed="false">
      <c r="B3579" s="37" t="str">
        <f aca="false">SUBSTITUTE(SUBSTITUTE(SUBSTITUTE(SUBSTITUTE(SUBSTITUTE(Txt_P3,"{cabinet}",Cab_Nom),"{societe}",IF($K$3556=0,"",INDEX(Clients!$E$2:$E$501,$K$3556)&amp;"")),"{date_effet}",$K$3558),"{hausse}",$K$3559),"{civilite}",$K$3557)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579" s="37"/>
      <c r="D3579" s="37"/>
      <c r="E3579" s="37"/>
      <c r="F3579" s="37"/>
      <c r="J3579" s="25"/>
      <c r="K3579" s="25"/>
      <c r="L3579" s="25"/>
      <c r="M3579" s="25"/>
      <c r="N3579" s="25"/>
      <c r="O3579" s="25"/>
    </row>
    <row r="3580" customFormat="false" ht="24" hidden="false" customHeight="true" outlineLevel="0" collapsed="false">
      <c r="B3580" s="37" t="str">
        <f aca="false">SUBSTITUTE(SUBSTITUTE(SUBSTITUTE(SUBSTITUTE(SUBSTITUTE(Txt_P4,"{cabinet}",Cab_Nom),"{societe}",IF($K$3556=0,"",INDEX(Clients!$E$2:$E$501,$K$3556)&amp;"")),"{date_effet}",$K$3558),"{hausse}",$K$3559),"{civilite}",$K$3557)</f>
        <v>À compter du 1er janvier 2027, vos honoraires annuels hors taxes évolueront ainsi (évolution globale : ) :</v>
      </c>
      <c r="C3580" s="37"/>
      <c r="D3580" s="37"/>
      <c r="E3580" s="37"/>
      <c r="F3580" s="37"/>
      <c r="J3580" s="25"/>
      <c r="K3580" s="25"/>
      <c r="L3580" s="25"/>
      <c r="M3580" s="25"/>
      <c r="N3580" s="25"/>
      <c r="O3580" s="25"/>
    </row>
    <row r="3581" customFormat="false" ht="3.75" hidden="false" customHeight="true" outlineLevel="0" collapsed="false">
      <c r="B3581" s="10"/>
      <c r="C3581" s="10"/>
      <c r="D3581" s="10"/>
      <c r="E3581" s="10"/>
      <c r="F3581" s="10"/>
      <c r="J3581" s="25"/>
      <c r="K3581" s="25"/>
      <c r="L3581" s="25"/>
      <c r="M3581" s="25"/>
      <c r="N3581" s="25"/>
      <c r="O3581" s="25"/>
    </row>
    <row r="3582" customFormat="false" ht="18" hidden="false" customHeight="true" outlineLevel="0" collapsed="false">
      <c r="B3582" s="38" t="s">
        <v>148</v>
      </c>
      <c r="C3582" s="39" t="s">
        <v>149</v>
      </c>
      <c r="D3582" s="39" t="s">
        <v>150</v>
      </c>
      <c r="E3582" s="39" t="s">
        <v>151</v>
      </c>
      <c r="F3582" s="39" t="s">
        <v>109</v>
      </c>
      <c r="J3582" s="25" t="s">
        <v>152</v>
      </c>
      <c r="K3582" s="25" t="s">
        <v>153</v>
      </c>
      <c r="L3582" s="25" t="s">
        <v>154</v>
      </c>
      <c r="M3582" s="25" t="s">
        <v>155</v>
      </c>
      <c r="N3582" s="25" t="s">
        <v>156</v>
      </c>
      <c r="O3582" s="25" t="s">
        <v>157</v>
      </c>
    </row>
    <row r="3583" customFormat="false" ht="16.5" hidden="false" customHeight="true" outlineLevel="0" collapsed="false">
      <c r="B3583" s="40" t="str">
        <f aca="false">IFERROR(INDEX($J$3583:$J$3586,MATCH($O3583,$N$3583:$N$3586,0)),"")</f>
        <v/>
      </c>
      <c r="C3583" s="41" t="str">
        <f aca="false">IFERROR(INDEX($K$3583:$K$3586,MATCH($O3583,$N$3583:$N$3586,0)),"")</f>
        <v/>
      </c>
      <c r="D3583" s="42" t="str">
        <f aca="false">IF(OR(E3583="",N(C3583)=0),"",E3583/C3583-1)</f>
        <v/>
      </c>
      <c r="E3583" s="41" t="str">
        <f aca="false">IFERROR(INDEX($L$3583:$L$3586,MATCH($O3583,$N$3583:$N$3586,0)),"")</f>
        <v/>
      </c>
      <c r="F3583" s="41" t="str">
        <f aca="false">IF(E3583="","",E3583-C3583)</f>
        <v/>
      </c>
      <c r="J3583" s="25" t="str">
        <f aca="false">Lib_Compta</f>
        <v>Mission comptable (tenue, révision, bilan, liasse fiscale)</v>
      </c>
      <c r="K3583" s="25" t="n">
        <f aca="false">IF($K$3556=0,0,N(INDEX(Clients!$K$2:$K$501,$K$3556)))</f>
        <v>0</v>
      </c>
      <c r="L3583" s="25" t="n">
        <f aca="false">IF($K$3556=0,0,N(INDEX(Clients!$P$2:$P$501,$K$3556)))</f>
        <v>0</v>
      </c>
      <c r="M3583" s="25" t="n">
        <f aca="false">IF(OR(K3583&lt;&gt;0,L3583&lt;&gt;0),1,0)</f>
        <v>0</v>
      </c>
      <c r="N3583" s="25" t="str">
        <f aca="false">IF(M3583=1,SUM($M$3583:M3583),"")</f>
        <v/>
      </c>
      <c r="O3583" s="25" t="n">
        <v>1</v>
      </c>
    </row>
    <row r="3584" customFormat="false" ht="16.5" hidden="false" customHeight="true" outlineLevel="0" collapsed="false">
      <c r="B3584" s="40" t="str">
        <f aca="false">IFERROR(INDEX($J$3583:$J$3586,MATCH($O3584,$N$3583:$N$3586,0)),"")</f>
        <v/>
      </c>
      <c r="C3584" s="41" t="str">
        <f aca="false">IFERROR(INDEX($K$3583:$K$3586,MATCH($O3584,$N$3583:$N$3586,0)),"")</f>
        <v/>
      </c>
      <c r="D3584" s="42" t="str">
        <f aca="false">IF(OR(E3584="",N(C3584)=0),"",E3584/C3584-1)</f>
        <v/>
      </c>
      <c r="E3584" s="41" t="str">
        <f aca="false">IFERROR(INDEX($L$3583:$L$3586,MATCH($O3584,$N$3583:$N$3586,0)),"")</f>
        <v/>
      </c>
      <c r="F3584" s="41" t="str">
        <f aca="false">IF(E3584="","",E3584-C3584)</f>
        <v/>
      </c>
      <c r="J3584" s="25" t="str">
        <f aca="false">Lib_Paye</f>
        <v>Mission sociale (bulletins de paie, DSN, déclarations sociales)</v>
      </c>
      <c r="K3584" s="25" t="n">
        <f aca="false">IF($K$3556=0,0,N(INDEX(Clients!$L$2:$L$501,$K$3556)))</f>
        <v>0</v>
      </c>
      <c r="L3584" s="25" t="n">
        <f aca="false">IF($K$3556=0,0,N(INDEX(Clients!$Q$2:$Q$501,$K$3556)))</f>
        <v>0</v>
      </c>
      <c r="M3584" s="25" t="n">
        <f aca="false">IF(OR(K3584&lt;&gt;0,L3584&lt;&gt;0),1,0)</f>
        <v>0</v>
      </c>
      <c r="N3584" s="25" t="str">
        <f aca="false">IF(M3584=1,SUM($M$3583:M3584),"")</f>
        <v/>
      </c>
      <c r="O3584" s="25" t="n">
        <v>2</v>
      </c>
    </row>
    <row r="3585" customFormat="false" ht="16.5" hidden="false" customHeight="true" outlineLevel="0" collapsed="false">
      <c r="B3585" s="40" t="str">
        <f aca="false">IFERROR(INDEX($J$3583:$J$3586,MATCH($O3585,$N$3583:$N$3586,0)),"")</f>
        <v/>
      </c>
      <c r="C3585" s="41" t="str">
        <f aca="false">IFERROR(INDEX($K$3583:$K$3586,MATCH($O3585,$N$3583:$N$3586,0)),"")</f>
        <v/>
      </c>
      <c r="D3585" s="42" t="str">
        <f aca="false">IF(OR(E3585="",N(C3585)=0),"",E3585/C3585-1)</f>
        <v/>
      </c>
      <c r="E3585" s="41" t="str">
        <f aca="false">IFERROR(INDEX($L$3583:$L$3586,MATCH($O3585,$N$3583:$N$3586,0)),"")</f>
        <v/>
      </c>
      <c r="F3585" s="41" t="str">
        <f aca="false">IF(E3585="","",E3585-C3585)</f>
        <v/>
      </c>
      <c r="J3585" s="25" t="str">
        <f aca="false">Lib_Jur</f>
        <v>Mission juridique (approbation des comptes, secrétariat juridique)</v>
      </c>
      <c r="K3585" s="25" t="n">
        <f aca="false">IF($K$3556=0,0,N(INDEX(Clients!$M$2:$M$501,$K$3556)))</f>
        <v>0</v>
      </c>
      <c r="L3585" s="25" t="n">
        <f aca="false">IF($K$3556=0,0,N(INDEX(Clients!$R$2:$R$501,$K$3556)))</f>
        <v>0</v>
      </c>
      <c r="M3585" s="25" t="n">
        <f aca="false">IF(OR(K3585&lt;&gt;0,L3585&lt;&gt;0),1,0)</f>
        <v>0</v>
      </c>
      <c r="N3585" s="25" t="str">
        <f aca="false">IF(M3585=1,SUM($M$3583:M3585),"")</f>
        <v/>
      </c>
      <c r="O3585" s="25" t="n">
        <v>3</v>
      </c>
    </row>
    <row r="3586" customFormat="false" ht="16.5" hidden="false" customHeight="true" outlineLevel="0" collapsed="false">
      <c r="B3586" s="40" t="str">
        <f aca="false">IFERROR(INDEX($J$3583:$J$3586,MATCH($O3586,$N$3583:$N$3586,0)),"")</f>
        <v/>
      </c>
      <c r="C3586" s="41" t="str">
        <f aca="false">IFERROR(INDEX($K$3583:$K$3586,MATCH($O3586,$N$3583:$N$3586,0)),"")</f>
        <v/>
      </c>
      <c r="D3586" s="42" t="str">
        <f aca="false">IF(OR(E3586="",N(C3586)=0),"",E3586/C3586-1)</f>
        <v/>
      </c>
      <c r="E3586" s="41" t="str">
        <f aca="false">IFERROR(INDEX($L$3583:$L$3586,MATCH($O3586,$N$3583:$N$3586,0)),"")</f>
        <v/>
      </c>
      <c r="F3586" s="41" t="str">
        <f aca="false">IF(E3586="","",E3586-C3586)</f>
        <v/>
      </c>
      <c r="J3586" s="25" t="str">
        <f aca="false">Lib_PA</f>
        <v>Plateforme agréée – facturation électronique</v>
      </c>
      <c r="K3586" s="25" t="n">
        <f aca="false">IF($K$3556=0,0,N(INDEX(Clients!$N$2:$N$501,$K$3556)))</f>
        <v>0</v>
      </c>
      <c r="L3586" s="25" t="n">
        <f aca="false">IF($K$3556=0,0,N(INDEX(Clients!$S$2:$S$501,$K$3556)))</f>
        <v>0</v>
      </c>
      <c r="M3586" s="25" t="n">
        <f aca="false">IF(OR(K3586&lt;&gt;0,L3586&lt;&gt;0),1,0)</f>
        <v>0</v>
      </c>
      <c r="N3586" s="25" t="str">
        <f aca="false">IF(M3586=1,SUM($M$3583:M3586),"")</f>
        <v/>
      </c>
      <c r="O3586" s="25" t="n">
        <v>4</v>
      </c>
    </row>
    <row r="3587" customFormat="false" ht="18" hidden="false" customHeight="true" outlineLevel="0" collapsed="false">
      <c r="B3587" s="43" t="s">
        <v>158</v>
      </c>
      <c r="C3587" s="44" t="n">
        <f aca="false">SUM(K3583:K3586)</f>
        <v>0</v>
      </c>
      <c r="D3587" s="45" t="str">
        <f aca="false">IF(N(C3587)=0,"",E3587/C3587-1)</f>
        <v/>
      </c>
      <c r="E3587" s="44" t="n">
        <f aca="false">SUM(L3583:L3586)</f>
        <v>0</v>
      </c>
      <c r="F3587" s="44" t="n">
        <f aca="false">E3587-C3587</f>
        <v>0</v>
      </c>
    </row>
    <row r="3588" customFormat="false" ht="15" hidden="false" customHeight="false" outlineLevel="0" collapsed="false">
      <c r="B3588" s="46" t="str">
        <f aca="false">IF(N(Nb_Mensualites)=0,"","Soit "&amp;FIXED(E3587/Nb_Mensualites,2)&amp;" € HT par échéance ("&amp;Nb_Mensualites&amp;" échéances), "&amp;FIXED(E3587/Nb_Mensualites*(1+Taux_TVA),2)&amp;" € TTC.")</f>
        <v>Soit 0.00 € HT par échéance (12 échéances), 0.00 € TTC.</v>
      </c>
      <c r="C3588" s="46"/>
      <c r="D3588" s="46"/>
      <c r="E3588" s="46"/>
      <c r="F3588" s="46"/>
    </row>
    <row r="3589" customFormat="false" ht="7.5" hidden="false" customHeight="true" outlineLevel="0" collapsed="false">
      <c r="B3589" s="10"/>
      <c r="C3589" s="10"/>
      <c r="D3589" s="10"/>
      <c r="E3589" s="10"/>
      <c r="F3589" s="10"/>
    </row>
    <row r="3590" customFormat="false" ht="36.75" hidden="false" customHeight="true" outlineLevel="0" collapsed="false">
      <c r="B3590" s="37" t="str">
        <f aca="false">SUBSTITUTE(SUBSTITUTE(SUBSTITUTE(SUBSTITUTE(SUBSTITUTE(Txt_P5,"{cabinet}",Cab_Nom),"{societe}",IF($K$3556=0,"",INDEX(Clients!$E$2:$E$501,$K$3556)&amp;"")),"{date_effet}",$K$3558),"{hausse}",$K$3559),"{civilite}",$K$3557)</f>
        <v>Les autres conditions de votre lettre de mission demeurent inchangées. Les nouveaux montants seront appliqués automatiquement sur vos prochaines factures et échéances de prélèvement.</v>
      </c>
      <c r="C3590" s="37"/>
      <c r="D3590" s="37"/>
      <c r="E3590" s="37"/>
      <c r="F3590" s="37"/>
    </row>
    <row r="3591" customFormat="false" ht="36.75" hidden="false" customHeight="true" outlineLevel="0" collapsed="false">
      <c r="B3591" s="37" t="str">
        <f aca="false">SUBSTITUTE(SUBSTITUTE(SUBSTITUTE(SUBSTITUTE(SUBSTITUTE(Txt_P6,"{cabinet}",Cab_Nom),"{societe}",IF($K$3556=0,"",INDEX(Clients!$E$2:$E$501,$K$3556)&amp;"")),"{date_effet}",$K$3558),"{hausse}",$K$3559),"{civilite}",$K$3557)</f>
        <v>Votre interlocuteur habituel reste à votre entière disposition pour répondre à vos questions et faire le point sur l'évolution de vos besoins.</v>
      </c>
      <c r="C3591" s="37"/>
      <c r="D3591" s="37"/>
      <c r="E3591" s="37"/>
      <c r="F3591" s="37"/>
    </row>
    <row r="3592" customFormat="false" ht="24" hidden="false" customHeight="true" outlineLevel="0" collapsed="false">
      <c r="B3592" s="37" t="str">
        <f aca="false">SUBSTITUTE(SUBSTITUTE(SUBSTITUTE(SUBSTITUTE(SUBSTITUTE(Txt_Politesse,"{cabinet}",Cab_Nom),"{societe}",IF($K$3556=0,"",INDEX(Clients!$E$2:$E$501,$K$3556)&amp;"")),"{date_effet}",$K$3558),"{hausse}",$K$3559),"{civilite}",$K$3557)</f>
        <v>Nous vous prions d'agréer, Madame, Monsieur, l'expression de nos salutations distinguées.</v>
      </c>
      <c r="C3592" s="37"/>
      <c r="D3592" s="37"/>
      <c r="E3592" s="37"/>
      <c r="F3592" s="37"/>
    </row>
    <row r="3593" customFormat="false" ht="15" hidden="false" customHeight="false" outlineLevel="0" collapsed="false">
      <c r="B3593" s="10"/>
      <c r="C3593" s="10"/>
      <c r="D3593" s="10"/>
      <c r="E3593" s="10"/>
      <c r="F3593" s="10"/>
    </row>
    <row r="3594" customFormat="false" ht="15" hidden="false" customHeight="false" outlineLevel="0" collapsed="false">
      <c r="B3594" s="10"/>
      <c r="C3594" s="10"/>
      <c r="D3594" s="34" t="str">
        <f aca="false">Signataire</f>
        <v>Prénom NOM</v>
      </c>
      <c r="E3594" s="34"/>
      <c r="F3594" s="34"/>
    </row>
    <row r="3595" customFormat="false" ht="15" hidden="false" customHeight="false" outlineLevel="0" collapsed="false">
      <c r="B3595" s="10"/>
      <c r="C3595" s="10"/>
      <c r="D3595" s="47" t="str">
        <f aca="false">Signataire_Titre</f>
        <v>Expert-comptable associé</v>
      </c>
      <c r="E3595" s="47"/>
      <c r="F3595" s="47"/>
    </row>
    <row r="3596" customFormat="false" ht="15.75" hidden="false" customHeight="true" outlineLevel="0" collapsed="false">
      <c r="B3596" s="10"/>
      <c r="C3596" s="10"/>
      <c r="D3596" s="10"/>
      <c r="E3596" s="10"/>
      <c r="F3596" s="10"/>
    </row>
    <row r="3597" customFormat="false" ht="15.75" hidden="false" customHeight="true" outlineLevel="0" collapsed="false">
      <c r="B3597" s="10"/>
      <c r="C3597" s="10"/>
      <c r="D3597" s="10"/>
      <c r="E3597" s="10"/>
      <c r="F3597" s="10"/>
    </row>
    <row r="3598" customFormat="false" ht="15.75" hidden="false" customHeight="true" outlineLevel="0" collapsed="false">
      <c r="B3598" s="10"/>
      <c r="C3598" s="10"/>
      <c r="D3598" s="10"/>
      <c r="E3598" s="10"/>
      <c r="F3598" s="10"/>
    </row>
    <row r="3599" customFormat="false" ht="15.75" hidden="false" customHeight="true" outlineLevel="0" collapsed="false">
      <c r="B3599" s="10"/>
      <c r="C3599" s="10"/>
      <c r="D3599" s="10"/>
      <c r="E3599" s="10"/>
      <c r="F3599" s="10"/>
    </row>
    <row r="3600" customFormat="false" ht="24" hidden="false" customHeight="true" outlineLevel="0" collapsed="false">
      <c r="B3600" s="48" t="str">
        <f aca="false">Cab_Mentions</f>
        <v>ALTHO EXPERTISE · SAS au capital de 10 000 € · RCS Pontoise 919 706 325 · TVA FR62919706325 · Société d'expertise comptable inscrite au Tableau de l'Ordre des experts-comptables de Paris Île-de-France</v>
      </c>
      <c r="C3600" s="48"/>
      <c r="D3600" s="48"/>
      <c r="E3600" s="48"/>
      <c r="F3600" s="48"/>
    </row>
    <row r="3601" customFormat="false" ht="15" hidden="false" customHeight="false" outlineLevel="0" collapsed="false">
      <c r="B3601" s="10"/>
      <c r="C3601" s="10"/>
      <c r="D3601" s="10"/>
      <c r="E3601" s="10"/>
      <c r="F3601" s="10"/>
      <c r="J3601" s="25" t="s">
        <v>142</v>
      </c>
      <c r="K3601" s="25" t="n">
        <f aca="false">IFERROR(MATCH(81,Clients!$Z$2:$Z$501,0),0)</f>
        <v>0</v>
      </c>
      <c r="L3601" s="25"/>
      <c r="M3601" s="25"/>
      <c r="N3601" s="25"/>
      <c r="O3601" s="25"/>
    </row>
    <row r="3602" customFormat="false" ht="21.75" hidden="false" customHeight="true" outlineLevel="0" collapsed="false">
      <c r="B3602" s="26" t="str">
        <f aca="false">Cab_Nom</f>
        <v>ALTHO EXPERTISE</v>
      </c>
      <c r="C3602" s="26"/>
      <c r="D3602" s="10"/>
      <c r="E3602" s="27" t="str">
        <f aca="false">IF($K$3601=0,"","Réf. client : "&amp;INDEX(Clients!$A$2:$A$501,$K$3601))</f>
        <v/>
      </c>
      <c r="F3602" s="27"/>
      <c r="J3602" s="25" t="s">
        <v>144</v>
      </c>
      <c r="K3602" s="25" t="str">
        <f aca="false">IF(IF($K$3601=0,"",INDEX(Clients!$B$2:$B$501,$K$3601)&amp;"")="Mme","Madame",IF(IF($K$3601=0,"",INDEX(Clients!$B$2:$B$501,$K$3601)&amp;"")="M.","Monsieur","Madame, Monsieur"))</f>
        <v>Madame, Monsieur</v>
      </c>
      <c r="L3602" s="25"/>
      <c r="M3602" s="25"/>
      <c r="N3602" s="25"/>
      <c r="O3602" s="25"/>
    </row>
    <row r="3603" customFormat="false" ht="15" hidden="false" customHeight="false" outlineLevel="0" collapsed="false">
      <c r="B3603" s="29" t="str">
        <f aca="false">Cab_Adr1</f>
        <v>141 rue Charles de Gaulle</v>
      </c>
      <c r="C3603" s="29"/>
      <c r="D3603" s="10"/>
      <c r="E3603" s="10"/>
      <c r="F3603" s="10"/>
      <c r="J3603" s="25" t="s">
        <v>145</v>
      </c>
      <c r="K3603" s="25" t="str">
        <f aca="false">DAY(Date_Effet)&amp;IF(DAY(Date_Effet)=1,"er","")&amp;" "&amp;INDEX(Liste_Mois,MONTH(Date_Effet))&amp;" "&amp;YEAR(Date_Effet)</f>
        <v>1er janvier 2027</v>
      </c>
      <c r="L3603" s="25"/>
      <c r="M3603" s="25"/>
      <c r="N3603" s="25"/>
      <c r="O3603" s="25"/>
    </row>
    <row r="3604" customFormat="false" ht="15" hidden="false" customHeight="false" outlineLevel="0" collapsed="false">
      <c r="B3604" s="29" t="str">
        <f aca="false">Cab_CPVille</f>
        <v>95130 LE PLESSIS-BOUCHARD</v>
      </c>
      <c r="C3604" s="29"/>
      <c r="D3604" s="10"/>
      <c r="E3604" s="10"/>
      <c r="F3604" s="10"/>
      <c r="J3604" s="25" t="s">
        <v>146</v>
      </c>
      <c r="K3604" s="25" t="str">
        <f aca="false">IF(SUM($K$3628:$K$3631)=0,"",FIXED((SUM($L$3628:$L$3631)/SUM($K$3628:$K$3631)-1)*100,1)&amp;" %")</f>
        <v/>
      </c>
      <c r="L3604" s="25"/>
      <c r="M3604" s="25"/>
      <c r="N3604" s="25"/>
      <c r="O3604" s="25"/>
    </row>
    <row r="3605" customFormat="false" ht="15" hidden="false" customHeight="false" outlineLevel="0" collapsed="false">
      <c r="B3605" s="29" t="str">
        <f aca="false">Cab_Contact</f>
        <v>Tél. 01 34 14 53 45  ·  altho@altho-experts.com  ·  altho-experts.com</v>
      </c>
      <c r="C3605" s="29"/>
      <c r="D3605" s="10"/>
      <c r="E3605" s="10"/>
      <c r="F3605" s="10"/>
      <c r="J3605" s="25"/>
      <c r="K3605" s="25"/>
      <c r="L3605" s="25"/>
      <c r="M3605" s="25"/>
      <c r="N3605" s="25"/>
      <c r="O3605" s="25"/>
    </row>
    <row r="3606" customFormat="false" ht="6" hidden="false" customHeight="true" outlineLevel="0" collapsed="false">
      <c r="B3606" s="32"/>
      <c r="C3606" s="32"/>
      <c r="D3606" s="32"/>
      <c r="E3606" s="32"/>
      <c r="F3606" s="32"/>
      <c r="J3606" s="25"/>
      <c r="K3606" s="25"/>
      <c r="L3606" s="25"/>
      <c r="M3606" s="25"/>
      <c r="N3606" s="25"/>
      <c r="O3606" s="25"/>
    </row>
    <row r="3607" customFormat="false" ht="13.5" hidden="false" customHeight="true" outlineLevel="0" collapsed="false">
      <c r="B3607" s="10"/>
      <c r="C3607" s="10"/>
      <c r="D3607" s="10"/>
      <c r="E3607" s="10"/>
      <c r="F3607" s="10"/>
      <c r="J3607" s="25"/>
      <c r="K3607" s="25"/>
      <c r="L3607" s="25"/>
      <c r="M3607" s="25"/>
      <c r="N3607" s="25"/>
      <c r="O3607" s="25"/>
    </row>
    <row r="3608" customFormat="false" ht="13.5" hidden="false" customHeight="true" outlineLevel="0" collapsed="false">
      <c r="B3608" s="10"/>
      <c r="C3608" s="10"/>
      <c r="D3608" s="10"/>
      <c r="E3608" s="10"/>
      <c r="F3608" s="10"/>
      <c r="J3608" s="25"/>
      <c r="K3608" s="25"/>
      <c r="L3608" s="25"/>
      <c r="M3608" s="25"/>
      <c r="N3608" s="25"/>
      <c r="O3608" s="25"/>
    </row>
    <row r="3609" customFormat="false" ht="13.5" hidden="false" customHeight="true" outlineLevel="0" collapsed="false">
      <c r="B3609" s="10"/>
      <c r="C3609" s="10"/>
      <c r="D3609" s="10"/>
      <c r="E3609" s="10"/>
      <c r="F3609" s="10"/>
      <c r="J3609" s="25"/>
      <c r="K3609" s="25"/>
      <c r="L3609" s="25"/>
      <c r="M3609" s="25"/>
      <c r="N3609" s="25"/>
      <c r="O3609" s="25"/>
    </row>
    <row r="3610" customFormat="false" ht="15" hidden="false" customHeight="true" outlineLevel="0" collapsed="false">
      <c r="B3610" s="10"/>
      <c r="C3610" s="10"/>
      <c r="D3610" s="34" t="str">
        <f aca="false">IF($K$3601=0,"",INDEX(Clients!$E$2:$E$501,$K$3601)&amp;"")</f>
        <v/>
      </c>
      <c r="E3610" s="34"/>
      <c r="F3610" s="34"/>
      <c r="J3610" s="25"/>
      <c r="K3610" s="25"/>
      <c r="L3610" s="25"/>
      <c r="M3610" s="25"/>
      <c r="N3610" s="25"/>
      <c r="O3610" s="25"/>
    </row>
    <row r="3611" customFormat="false" ht="15" hidden="false" customHeight="true" outlineLevel="0" collapsed="false">
      <c r="B3611" s="10"/>
      <c r="C3611" s="10"/>
      <c r="D3611" s="35" t="str">
        <f aca="false">IF(IF($K$3601=0,"",INDEX(Clients!$D$2:$D$501,$K$3601)&amp;"")="","","À l'attention de "&amp;TRIM(IF($K$3601=0,"",INDEX(Clients!$B$2:$B$501,$K$3601)&amp;"")&amp;" "&amp;IF($K$3601=0,"",INDEX(Clients!$C$2:$C$501,$K$3601)&amp;"")&amp;" "&amp;IF($K$3601=0,"",INDEX(Clients!$D$2:$D$501,$K$3601)&amp;"")))</f>
        <v/>
      </c>
      <c r="E3611" s="35"/>
      <c r="F3611" s="35"/>
      <c r="J3611" s="25"/>
      <c r="K3611" s="25"/>
      <c r="L3611" s="25"/>
      <c r="M3611" s="25"/>
      <c r="N3611" s="25"/>
      <c r="O3611" s="25"/>
    </row>
    <row r="3612" customFormat="false" ht="15" hidden="false" customHeight="true" outlineLevel="0" collapsed="false">
      <c r="B3612" s="10"/>
      <c r="C3612" s="10"/>
      <c r="D3612" s="35" t="str">
        <f aca="false">IF($K$3601=0,"",INDEX(Clients!$F$2:$F$501,$K$3601)&amp;"")</f>
        <v/>
      </c>
      <c r="E3612" s="35"/>
      <c r="F3612" s="35"/>
      <c r="J3612" s="25"/>
      <c r="K3612" s="25"/>
      <c r="L3612" s="25"/>
      <c r="M3612" s="25"/>
      <c r="N3612" s="25"/>
      <c r="O3612" s="25"/>
    </row>
    <row r="3613" customFormat="false" ht="15" hidden="false" customHeight="true" outlineLevel="0" collapsed="false">
      <c r="B3613" s="10"/>
      <c r="C3613" s="10"/>
      <c r="D3613" s="35" t="str">
        <f aca="false">IF(IF($K$3601=0,"",INDEX(Clients!$G$2:$G$501,$K$3601)&amp;"")="",TRIM(IF($K$3601=0,"",INDEX(Clients!$H$2:$H$501,$K$3601)&amp;"")&amp;" "&amp;UPPER(IF($K$3601=0,"",INDEX(Clients!$I$2:$I$501,$K$3601)&amp;""))),IF($K$3601=0,"",INDEX(Clients!$G$2:$G$501,$K$3601)&amp;""))</f>
        <v/>
      </c>
      <c r="E3613" s="35"/>
      <c r="F3613" s="35"/>
      <c r="J3613" s="25"/>
      <c r="K3613" s="25"/>
      <c r="L3613" s="25"/>
      <c r="M3613" s="25"/>
      <c r="N3613" s="25"/>
      <c r="O3613" s="25"/>
    </row>
    <row r="3614" customFormat="false" ht="15" hidden="false" customHeight="true" outlineLevel="0" collapsed="false">
      <c r="B3614" s="10"/>
      <c r="C3614" s="10"/>
      <c r="D3614" s="35" t="str">
        <f aca="false">IF(IF($K$3601=0,"",INDEX(Clients!$G$2:$G$501,$K$3601)&amp;"")="","",TRIM(IF($K$3601=0,"",INDEX(Clients!$H$2:$H$501,$K$3601)&amp;"")&amp;" "&amp;UPPER(IF($K$3601=0,"",INDEX(Clients!$I$2:$I$501,$K$3601)&amp;""))))</f>
        <v/>
      </c>
      <c r="E3614" s="35"/>
      <c r="F3614" s="35"/>
      <c r="J3614" s="25"/>
      <c r="K3614" s="25"/>
      <c r="L3614" s="25"/>
      <c r="M3614" s="25"/>
      <c r="N3614" s="25"/>
      <c r="O3614" s="25"/>
    </row>
    <row r="3615" customFormat="false" ht="25.5" hidden="false" customHeight="true" outlineLevel="0" collapsed="false">
      <c r="B3615" s="10"/>
      <c r="C3615" s="10"/>
      <c r="D3615" s="10"/>
      <c r="E3615" s="10"/>
      <c r="F3615" s="10"/>
      <c r="J3615" s="25"/>
      <c r="K3615" s="25"/>
      <c r="L3615" s="25"/>
      <c r="M3615" s="25"/>
      <c r="N3615" s="25"/>
      <c r="O3615" s="25"/>
    </row>
    <row r="3616" customFormat="false" ht="15" hidden="false" customHeight="false" outlineLevel="0" collapsed="false">
      <c r="B3616" s="10"/>
      <c r="C3616" s="10"/>
      <c r="D3616" s="36" t="str">
        <f aca="false">Cab_Ville&amp;", le "&amp;DAY(Date_Courrier)&amp;IF(DAY(Date_Courrier)=1,"er","")&amp;" "&amp;INDEX(Liste_Mois,MONTH(Date_Courrier))&amp;" "&amp;YEAR(Date_Courrier)</f>
        <v>Le Plessis-Bouchard, le 22 septembre 2026</v>
      </c>
      <c r="E3616" s="36"/>
      <c r="F3616" s="36"/>
      <c r="J3616" s="25"/>
      <c r="K3616" s="25"/>
      <c r="L3616" s="25"/>
      <c r="M3616" s="25"/>
      <c r="N3616" s="25"/>
      <c r="O3616" s="25"/>
    </row>
    <row r="3617" customFormat="false" ht="19.5" hidden="false" customHeight="true" outlineLevel="0" collapsed="false">
      <c r="B3617" s="10"/>
      <c r="C3617" s="10"/>
      <c r="D3617" s="10"/>
      <c r="E3617" s="10"/>
      <c r="F3617" s="10"/>
      <c r="J3617" s="25"/>
      <c r="K3617" s="25"/>
      <c r="L3617" s="25"/>
      <c r="M3617" s="25"/>
      <c r="N3617" s="25"/>
      <c r="O3617" s="25"/>
    </row>
    <row r="3618" customFormat="false" ht="15" hidden="false" customHeight="false" outlineLevel="0" collapsed="false">
      <c r="B3618" s="34" t="str">
        <f aca="false">SUBSTITUTE(SUBSTITUTE(SUBSTITUTE(SUBSTITUTE(SUBSTITUTE(Txt_Objet,"{cabinet}",Cab_Nom),"{societe}",IF($K$3601=0,"",INDEX(Clients!$E$2:$E$501,$K$3601)&amp;"")),"{date_effet}",$K$3603),"{hausse}",$K$3604),"{civilite}",$K$3602)</f>
        <v>Objet : révision de nos honoraires au 1er janvier 2027</v>
      </c>
      <c r="C3618" s="34"/>
      <c r="D3618" s="34"/>
      <c r="E3618" s="34"/>
      <c r="F3618" s="34"/>
      <c r="J3618" s="25"/>
      <c r="K3618" s="25"/>
      <c r="L3618" s="25"/>
      <c r="M3618" s="25"/>
      <c r="N3618" s="25"/>
      <c r="O3618" s="25"/>
    </row>
    <row r="3619" customFormat="false" ht="13.5" hidden="false" customHeight="true" outlineLevel="0" collapsed="false">
      <c r="B3619" s="10"/>
      <c r="C3619" s="10"/>
      <c r="D3619" s="10"/>
      <c r="E3619" s="10"/>
      <c r="F3619" s="10"/>
      <c r="J3619" s="25"/>
      <c r="K3619" s="25"/>
      <c r="L3619" s="25"/>
      <c r="M3619" s="25"/>
      <c r="N3619" s="25"/>
      <c r="O3619" s="25"/>
    </row>
    <row r="3620" customFormat="false" ht="15" hidden="false" customHeight="false" outlineLevel="0" collapsed="false">
      <c r="B3620" s="10" t="str">
        <f aca="false">$K$3602&amp;","</f>
        <v>Madame, Monsieur,</v>
      </c>
      <c r="C3620" s="10"/>
      <c r="D3620" s="10"/>
      <c r="E3620" s="10"/>
      <c r="F3620" s="10"/>
      <c r="J3620" s="25"/>
      <c r="K3620" s="25"/>
      <c r="L3620" s="25"/>
      <c r="M3620" s="25"/>
      <c r="N3620" s="25"/>
      <c r="O3620" s="25"/>
    </row>
    <row r="3621" customFormat="false" ht="6" hidden="false" customHeight="true" outlineLevel="0" collapsed="false">
      <c r="B3621" s="10"/>
      <c r="C3621" s="10"/>
      <c r="D3621" s="10"/>
      <c r="E3621" s="10"/>
      <c r="F3621" s="10"/>
      <c r="J3621" s="25"/>
      <c r="K3621" s="25"/>
      <c r="L3621" s="25"/>
      <c r="M3621" s="25"/>
      <c r="N3621" s="25"/>
      <c r="O3621" s="25"/>
    </row>
    <row r="3622" customFormat="false" ht="36.75" hidden="false" customHeight="true" outlineLevel="0" collapsed="false">
      <c r="B3622" s="37" t="str">
        <f aca="false">SUBSTITUTE(SUBSTITUTE(SUBSTITUTE(SUBSTITUTE(SUBSTITUTE(Txt_P1,"{cabinet}",Cab_Nom),"{societe}",IF($K$3601=0,"",INDEX(Clients!$E$2:$E$501,$K$3601)&amp;"")),"{date_effet}",$K$3603),"{hausse}",$K$3604),"{civilite}",$K$3602)</f>
        <v>Nous tenons tout d'abord à vous remercier pour la confiance que vous accordez à ALTHO EXPERTISE. Comme chaque année, et conformément aux dispositions de votre lettre de mission, nous procédons à la révision de nos honoraires.</v>
      </c>
      <c r="C3622" s="37"/>
      <c r="D3622" s="37"/>
      <c r="E3622" s="37"/>
      <c r="F3622" s="37"/>
      <c r="J3622" s="25"/>
      <c r="K3622" s="25"/>
      <c r="L3622" s="25"/>
      <c r="M3622" s="25"/>
      <c r="N3622" s="25"/>
      <c r="O3622" s="25"/>
    </row>
    <row r="3623" customFormat="false" ht="49.5" hidden="false" customHeight="true" outlineLevel="0" collapsed="false">
      <c r="B3623" s="37" t="str">
        <f aca="false">SUBSTITUTE(SUBSTITUTE(SUBSTITUTE(SUBSTITUTE(SUBSTITUTE(Txt_P2,"{cabinet}",Cab_Nom),"{societe}",IF($K$3601=0,"",INDEX(Clients!$E$2:$E$501,$K$3601)&amp;"")),"{date_effet}",$K$3603),"{hausse}",$K$3604),"{civilite}",$K$3602)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623" s="37"/>
      <c r="D3623" s="37"/>
      <c r="E3623" s="37"/>
      <c r="F3623" s="37"/>
      <c r="J3623" s="25"/>
      <c r="K3623" s="25"/>
      <c r="L3623" s="25"/>
      <c r="M3623" s="25"/>
      <c r="N3623" s="25"/>
      <c r="O3623" s="25"/>
    </row>
    <row r="3624" customFormat="false" ht="63" hidden="false" customHeight="true" outlineLevel="0" collapsed="false">
      <c r="B3624" s="37" t="str">
        <f aca="false">SUBSTITUTE(SUBSTITUTE(SUBSTITUTE(SUBSTITUTE(SUBSTITUTE(Txt_P3,"{cabinet}",Cab_Nom),"{societe}",IF($K$3601=0,"",INDEX(Clients!$E$2:$E$501,$K$3601)&amp;"")),"{date_effet}",$K$3603),"{hausse}",$K$3604),"{civilite}",$K$3602)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624" s="37"/>
      <c r="D3624" s="37"/>
      <c r="E3624" s="37"/>
      <c r="F3624" s="37"/>
      <c r="J3624" s="25"/>
      <c r="K3624" s="25"/>
      <c r="L3624" s="25"/>
      <c r="M3624" s="25"/>
      <c r="N3624" s="25"/>
      <c r="O3624" s="25"/>
    </row>
    <row r="3625" customFormat="false" ht="24" hidden="false" customHeight="true" outlineLevel="0" collapsed="false">
      <c r="B3625" s="37" t="str">
        <f aca="false">SUBSTITUTE(SUBSTITUTE(SUBSTITUTE(SUBSTITUTE(SUBSTITUTE(Txt_P4,"{cabinet}",Cab_Nom),"{societe}",IF($K$3601=0,"",INDEX(Clients!$E$2:$E$501,$K$3601)&amp;"")),"{date_effet}",$K$3603),"{hausse}",$K$3604),"{civilite}",$K$3602)</f>
        <v>À compter du 1er janvier 2027, vos honoraires annuels hors taxes évolueront ainsi (évolution globale : ) :</v>
      </c>
      <c r="C3625" s="37"/>
      <c r="D3625" s="37"/>
      <c r="E3625" s="37"/>
      <c r="F3625" s="37"/>
      <c r="J3625" s="25"/>
      <c r="K3625" s="25"/>
      <c r="L3625" s="25"/>
      <c r="M3625" s="25"/>
      <c r="N3625" s="25"/>
      <c r="O3625" s="25"/>
    </row>
    <row r="3626" customFormat="false" ht="3.75" hidden="false" customHeight="true" outlineLevel="0" collapsed="false">
      <c r="B3626" s="10"/>
      <c r="C3626" s="10"/>
      <c r="D3626" s="10"/>
      <c r="E3626" s="10"/>
      <c r="F3626" s="10"/>
      <c r="J3626" s="25"/>
      <c r="K3626" s="25"/>
      <c r="L3626" s="25"/>
      <c r="M3626" s="25"/>
      <c r="N3626" s="25"/>
      <c r="O3626" s="25"/>
    </row>
    <row r="3627" customFormat="false" ht="18" hidden="false" customHeight="true" outlineLevel="0" collapsed="false">
      <c r="B3627" s="38" t="s">
        <v>148</v>
      </c>
      <c r="C3627" s="39" t="s">
        <v>149</v>
      </c>
      <c r="D3627" s="39" t="s">
        <v>150</v>
      </c>
      <c r="E3627" s="39" t="s">
        <v>151</v>
      </c>
      <c r="F3627" s="39" t="s">
        <v>109</v>
      </c>
      <c r="J3627" s="25" t="s">
        <v>152</v>
      </c>
      <c r="K3627" s="25" t="s">
        <v>153</v>
      </c>
      <c r="L3627" s="25" t="s">
        <v>154</v>
      </c>
      <c r="M3627" s="25" t="s">
        <v>155</v>
      </c>
      <c r="N3627" s="25" t="s">
        <v>156</v>
      </c>
      <c r="O3627" s="25" t="s">
        <v>157</v>
      </c>
    </row>
    <row r="3628" customFormat="false" ht="16.5" hidden="false" customHeight="true" outlineLevel="0" collapsed="false">
      <c r="B3628" s="40" t="str">
        <f aca="false">IFERROR(INDEX($J$3628:$J$3631,MATCH($O3628,$N$3628:$N$3631,0)),"")</f>
        <v/>
      </c>
      <c r="C3628" s="41" t="str">
        <f aca="false">IFERROR(INDEX($K$3628:$K$3631,MATCH($O3628,$N$3628:$N$3631,0)),"")</f>
        <v/>
      </c>
      <c r="D3628" s="42" t="str">
        <f aca="false">IF(OR(E3628="",N(C3628)=0),"",E3628/C3628-1)</f>
        <v/>
      </c>
      <c r="E3628" s="41" t="str">
        <f aca="false">IFERROR(INDEX($L$3628:$L$3631,MATCH($O3628,$N$3628:$N$3631,0)),"")</f>
        <v/>
      </c>
      <c r="F3628" s="41" t="str">
        <f aca="false">IF(E3628="","",E3628-C3628)</f>
        <v/>
      </c>
      <c r="J3628" s="25" t="str">
        <f aca="false">Lib_Compta</f>
        <v>Mission comptable (tenue, révision, bilan, liasse fiscale)</v>
      </c>
      <c r="K3628" s="25" t="n">
        <f aca="false">IF($K$3601=0,0,N(INDEX(Clients!$K$2:$K$501,$K$3601)))</f>
        <v>0</v>
      </c>
      <c r="L3628" s="25" t="n">
        <f aca="false">IF($K$3601=0,0,N(INDEX(Clients!$P$2:$P$501,$K$3601)))</f>
        <v>0</v>
      </c>
      <c r="M3628" s="25" t="n">
        <f aca="false">IF(OR(K3628&lt;&gt;0,L3628&lt;&gt;0),1,0)</f>
        <v>0</v>
      </c>
      <c r="N3628" s="25" t="str">
        <f aca="false">IF(M3628=1,SUM($M$3628:M3628),"")</f>
        <v/>
      </c>
      <c r="O3628" s="25" t="n">
        <v>1</v>
      </c>
    </row>
    <row r="3629" customFormat="false" ht="16.5" hidden="false" customHeight="true" outlineLevel="0" collapsed="false">
      <c r="B3629" s="40" t="str">
        <f aca="false">IFERROR(INDEX($J$3628:$J$3631,MATCH($O3629,$N$3628:$N$3631,0)),"")</f>
        <v/>
      </c>
      <c r="C3629" s="41" t="str">
        <f aca="false">IFERROR(INDEX($K$3628:$K$3631,MATCH($O3629,$N$3628:$N$3631,0)),"")</f>
        <v/>
      </c>
      <c r="D3629" s="42" t="str">
        <f aca="false">IF(OR(E3629="",N(C3629)=0),"",E3629/C3629-1)</f>
        <v/>
      </c>
      <c r="E3629" s="41" t="str">
        <f aca="false">IFERROR(INDEX($L$3628:$L$3631,MATCH($O3629,$N$3628:$N$3631,0)),"")</f>
        <v/>
      </c>
      <c r="F3629" s="41" t="str">
        <f aca="false">IF(E3629="","",E3629-C3629)</f>
        <v/>
      </c>
      <c r="J3629" s="25" t="str">
        <f aca="false">Lib_Paye</f>
        <v>Mission sociale (bulletins de paie, DSN, déclarations sociales)</v>
      </c>
      <c r="K3629" s="25" t="n">
        <f aca="false">IF($K$3601=0,0,N(INDEX(Clients!$L$2:$L$501,$K$3601)))</f>
        <v>0</v>
      </c>
      <c r="L3629" s="25" t="n">
        <f aca="false">IF($K$3601=0,0,N(INDEX(Clients!$Q$2:$Q$501,$K$3601)))</f>
        <v>0</v>
      </c>
      <c r="M3629" s="25" t="n">
        <f aca="false">IF(OR(K3629&lt;&gt;0,L3629&lt;&gt;0),1,0)</f>
        <v>0</v>
      </c>
      <c r="N3629" s="25" t="str">
        <f aca="false">IF(M3629=1,SUM($M$3628:M3629),"")</f>
        <v/>
      </c>
      <c r="O3629" s="25" t="n">
        <v>2</v>
      </c>
    </row>
    <row r="3630" customFormat="false" ht="16.5" hidden="false" customHeight="true" outlineLevel="0" collapsed="false">
      <c r="B3630" s="40" t="str">
        <f aca="false">IFERROR(INDEX($J$3628:$J$3631,MATCH($O3630,$N$3628:$N$3631,0)),"")</f>
        <v/>
      </c>
      <c r="C3630" s="41" t="str">
        <f aca="false">IFERROR(INDEX($K$3628:$K$3631,MATCH($O3630,$N$3628:$N$3631,0)),"")</f>
        <v/>
      </c>
      <c r="D3630" s="42" t="str">
        <f aca="false">IF(OR(E3630="",N(C3630)=0),"",E3630/C3630-1)</f>
        <v/>
      </c>
      <c r="E3630" s="41" t="str">
        <f aca="false">IFERROR(INDEX($L$3628:$L$3631,MATCH($O3630,$N$3628:$N$3631,0)),"")</f>
        <v/>
      </c>
      <c r="F3630" s="41" t="str">
        <f aca="false">IF(E3630="","",E3630-C3630)</f>
        <v/>
      </c>
      <c r="J3630" s="25" t="str">
        <f aca="false">Lib_Jur</f>
        <v>Mission juridique (approbation des comptes, secrétariat juridique)</v>
      </c>
      <c r="K3630" s="25" t="n">
        <f aca="false">IF($K$3601=0,0,N(INDEX(Clients!$M$2:$M$501,$K$3601)))</f>
        <v>0</v>
      </c>
      <c r="L3630" s="25" t="n">
        <f aca="false">IF($K$3601=0,0,N(INDEX(Clients!$R$2:$R$501,$K$3601)))</f>
        <v>0</v>
      </c>
      <c r="M3630" s="25" t="n">
        <f aca="false">IF(OR(K3630&lt;&gt;0,L3630&lt;&gt;0),1,0)</f>
        <v>0</v>
      </c>
      <c r="N3630" s="25" t="str">
        <f aca="false">IF(M3630=1,SUM($M$3628:M3630),"")</f>
        <v/>
      </c>
      <c r="O3630" s="25" t="n">
        <v>3</v>
      </c>
    </row>
    <row r="3631" customFormat="false" ht="16.5" hidden="false" customHeight="true" outlineLevel="0" collapsed="false">
      <c r="B3631" s="40" t="str">
        <f aca="false">IFERROR(INDEX($J$3628:$J$3631,MATCH($O3631,$N$3628:$N$3631,0)),"")</f>
        <v/>
      </c>
      <c r="C3631" s="41" t="str">
        <f aca="false">IFERROR(INDEX($K$3628:$K$3631,MATCH($O3631,$N$3628:$N$3631,0)),"")</f>
        <v/>
      </c>
      <c r="D3631" s="42" t="str">
        <f aca="false">IF(OR(E3631="",N(C3631)=0),"",E3631/C3631-1)</f>
        <v/>
      </c>
      <c r="E3631" s="41" t="str">
        <f aca="false">IFERROR(INDEX($L$3628:$L$3631,MATCH($O3631,$N$3628:$N$3631,0)),"")</f>
        <v/>
      </c>
      <c r="F3631" s="41" t="str">
        <f aca="false">IF(E3631="","",E3631-C3631)</f>
        <v/>
      </c>
      <c r="J3631" s="25" t="str">
        <f aca="false">Lib_PA</f>
        <v>Plateforme agréée – facturation électronique</v>
      </c>
      <c r="K3631" s="25" t="n">
        <f aca="false">IF($K$3601=0,0,N(INDEX(Clients!$N$2:$N$501,$K$3601)))</f>
        <v>0</v>
      </c>
      <c r="L3631" s="25" t="n">
        <f aca="false">IF($K$3601=0,0,N(INDEX(Clients!$S$2:$S$501,$K$3601)))</f>
        <v>0</v>
      </c>
      <c r="M3631" s="25" t="n">
        <f aca="false">IF(OR(K3631&lt;&gt;0,L3631&lt;&gt;0),1,0)</f>
        <v>0</v>
      </c>
      <c r="N3631" s="25" t="str">
        <f aca="false">IF(M3631=1,SUM($M$3628:M3631),"")</f>
        <v/>
      </c>
      <c r="O3631" s="25" t="n">
        <v>4</v>
      </c>
    </row>
    <row r="3632" customFormat="false" ht="18" hidden="false" customHeight="true" outlineLevel="0" collapsed="false">
      <c r="B3632" s="43" t="s">
        <v>158</v>
      </c>
      <c r="C3632" s="44" t="n">
        <f aca="false">SUM(K3628:K3631)</f>
        <v>0</v>
      </c>
      <c r="D3632" s="45" t="str">
        <f aca="false">IF(N(C3632)=0,"",E3632/C3632-1)</f>
        <v/>
      </c>
      <c r="E3632" s="44" t="n">
        <f aca="false">SUM(L3628:L3631)</f>
        <v>0</v>
      </c>
      <c r="F3632" s="44" t="n">
        <f aca="false">E3632-C3632</f>
        <v>0</v>
      </c>
    </row>
    <row r="3633" customFormat="false" ht="15" hidden="false" customHeight="false" outlineLevel="0" collapsed="false">
      <c r="B3633" s="46" t="str">
        <f aca="false">IF(N(Nb_Mensualites)=0,"","Soit "&amp;FIXED(E3632/Nb_Mensualites,2)&amp;" € HT par échéance ("&amp;Nb_Mensualites&amp;" échéances), "&amp;FIXED(E3632/Nb_Mensualites*(1+Taux_TVA),2)&amp;" € TTC.")</f>
        <v>Soit 0.00 € HT par échéance (12 échéances), 0.00 € TTC.</v>
      </c>
      <c r="C3633" s="46"/>
      <c r="D3633" s="46"/>
      <c r="E3633" s="46"/>
      <c r="F3633" s="46"/>
    </row>
    <row r="3634" customFormat="false" ht="7.5" hidden="false" customHeight="true" outlineLevel="0" collapsed="false">
      <c r="B3634" s="10"/>
      <c r="C3634" s="10"/>
      <c r="D3634" s="10"/>
      <c r="E3634" s="10"/>
      <c r="F3634" s="10"/>
    </row>
    <row r="3635" customFormat="false" ht="36.75" hidden="false" customHeight="true" outlineLevel="0" collapsed="false">
      <c r="B3635" s="37" t="str">
        <f aca="false">SUBSTITUTE(SUBSTITUTE(SUBSTITUTE(SUBSTITUTE(SUBSTITUTE(Txt_P5,"{cabinet}",Cab_Nom),"{societe}",IF($K$3601=0,"",INDEX(Clients!$E$2:$E$501,$K$3601)&amp;"")),"{date_effet}",$K$3603),"{hausse}",$K$3604),"{civilite}",$K$3602)</f>
        <v>Les autres conditions de votre lettre de mission demeurent inchangées. Les nouveaux montants seront appliqués automatiquement sur vos prochaines factures et échéances de prélèvement.</v>
      </c>
      <c r="C3635" s="37"/>
      <c r="D3635" s="37"/>
      <c r="E3635" s="37"/>
      <c r="F3635" s="37"/>
    </row>
    <row r="3636" customFormat="false" ht="36.75" hidden="false" customHeight="true" outlineLevel="0" collapsed="false">
      <c r="B3636" s="37" t="str">
        <f aca="false">SUBSTITUTE(SUBSTITUTE(SUBSTITUTE(SUBSTITUTE(SUBSTITUTE(Txt_P6,"{cabinet}",Cab_Nom),"{societe}",IF($K$3601=0,"",INDEX(Clients!$E$2:$E$501,$K$3601)&amp;"")),"{date_effet}",$K$3603),"{hausse}",$K$3604),"{civilite}",$K$3602)</f>
        <v>Votre interlocuteur habituel reste à votre entière disposition pour répondre à vos questions et faire le point sur l'évolution de vos besoins.</v>
      </c>
      <c r="C3636" s="37"/>
      <c r="D3636" s="37"/>
      <c r="E3636" s="37"/>
      <c r="F3636" s="37"/>
    </row>
    <row r="3637" customFormat="false" ht="24" hidden="false" customHeight="true" outlineLevel="0" collapsed="false">
      <c r="B3637" s="37" t="str">
        <f aca="false">SUBSTITUTE(SUBSTITUTE(SUBSTITUTE(SUBSTITUTE(SUBSTITUTE(Txt_Politesse,"{cabinet}",Cab_Nom),"{societe}",IF($K$3601=0,"",INDEX(Clients!$E$2:$E$501,$K$3601)&amp;"")),"{date_effet}",$K$3603),"{hausse}",$K$3604),"{civilite}",$K$3602)</f>
        <v>Nous vous prions d'agréer, Madame, Monsieur, l'expression de nos salutations distinguées.</v>
      </c>
      <c r="C3637" s="37"/>
      <c r="D3637" s="37"/>
      <c r="E3637" s="37"/>
      <c r="F3637" s="37"/>
    </row>
    <row r="3638" customFormat="false" ht="15" hidden="false" customHeight="false" outlineLevel="0" collapsed="false">
      <c r="B3638" s="10"/>
      <c r="C3638" s="10"/>
      <c r="D3638" s="10"/>
      <c r="E3638" s="10"/>
      <c r="F3638" s="10"/>
    </row>
    <row r="3639" customFormat="false" ht="15" hidden="false" customHeight="false" outlineLevel="0" collapsed="false">
      <c r="B3639" s="10"/>
      <c r="C3639" s="10"/>
      <c r="D3639" s="34" t="str">
        <f aca="false">Signataire</f>
        <v>Prénom NOM</v>
      </c>
      <c r="E3639" s="34"/>
      <c r="F3639" s="34"/>
    </row>
    <row r="3640" customFormat="false" ht="15" hidden="false" customHeight="false" outlineLevel="0" collapsed="false">
      <c r="B3640" s="10"/>
      <c r="C3640" s="10"/>
      <c r="D3640" s="47" t="str">
        <f aca="false">Signataire_Titre</f>
        <v>Expert-comptable associé</v>
      </c>
      <c r="E3640" s="47"/>
      <c r="F3640" s="47"/>
    </row>
    <row r="3641" customFormat="false" ht="15.75" hidden="false" customHeight="true" outlineLevel="0" collapsed="false">
      <c r="B3641" s="10"/>
      <c r="C3641" s="10"/>
      <c r="D3641" s="10"/>
      <c r="E3641" s="10"/>
      <c r="F3641" s="10"/>
    </row>
    <row r="3642" customFormat="false" ht="15.75" hidden="false" customHeight="true" outlineLevel="0" collapsed="false">
      <c r="B3642" s="10"/>
      <c r="C3642" s="10"/>
      <c r="D3642" s="10"/>
      <c r="E3642" s="10"/>
      <c r="F3642" s="10"/>
    </row>
    <row r="3643" customFormat="false" ht="15.75" hidden="false" customHeight="true" outlineLevel="0" collapsed="false">
      <c r="B3643" s="10"/>
      <c r="C3643" s="10"/>
      <c r="D3643" s="10"/>
      <c r="E3643" s="10"/>
      <c r="F3643" s="10"/>
    </row>
    <row r="3644" customFormat="false" ht="15.75" hidden="false" customHeight="true" outlineLevel="0" collapsed="false">
      <c r="B3644" s="10"/>
      <c r="C3644" s="10"/>
      <c r="D3644" s="10"/>
      <c r="E3644" s="10"/>
      <c r="F3644" s="10"/>
    </row>
    <row r="3645" customFormat="false" ht="24" hidden="false" customHeight="true" outlineLevel="0" collapsed="false">
      <c r="B3645" s="48" t="str">
        <f aca="false">Cab_Mentions</f>
        <v>ALTHO EXPERTISE · SAS au capital de 10 000 € · RCS Pontoise 919 706 325 · TVA FR62919706325 · Société d'expertise comptable inscrite au Tableau de l'Ordre des experts-comptables de Paris Île-de-France</v>
      </c>
      <c r="C3645" s="48"/>
      <c r="D3645" s="48"/>
      <c r="E3645" s="48"/>
      <c r="F3645" s="48"/>
    </row>
    <row r="3646" customFormat="false" ht="15" hidden="false" customHeight="false" outlineLevel="0" collapsed="false">
      <c r="B3646" s="10"/>
      <c r="C3646" s="10"/>
      <c r="D3646" s="10"/>
      <c r="E3646" s="10"/>
      <c r="F3646" s="10"/>
      <c r="J3646" s="25" t="s">
        <v>142</v>
      </c>
      <c r="K3646" s="25" t="n">
        <f aca="false">IFERROR(MATCH(82,Clients!$Z$2:$Z$501,0),0)</f>
        <v>0</v>
      </c>
      <c r="L3646" s="25"/>
      <c r="M3646" s="25"/>
      <c r="N3646" s="25"/>
      <c r="O3646" s="25"/>
    </row>
    <row r="3647" customFormat="false" ht="21.75" hidden="false" customHeight="true" outlineLevel="0" collapsed="false">
      <c r="B3647" s="26" t="str">
        <f aca="false">Cab_Nom</f>
        <v>ALTHO EXPERTISE</v>
      </c>
      <c r="C3647" s="26"/>
      <c r="D3647" s="10"/>
      <c r="E3647" s="27" t="str">
        <f aca="false">IF($K$3646=0,"","Réf. client : "&amp;INDEX(Clients!$A$2:$A$501,$K$3646))</f>
        <v/>
      </c>
      <c r="F3647" s="27"/>
      <c r="J3647" s="25" t="s">
        <v>144</v>
      </c>
      <c r="K3647" s="25" t="str">
        <f aca="false">IF(IF($K$3646=0,"",INDEX(Clients!$B$2:$B$501,$K$3646)&amp;"")="Mme","Madame",IF(IF($K$3646=0,"",INDEX(Clients!$B$2:$B$501,$K$3646)&amp;"")="M.","Monsieur","Madame, Monsieur"))</f>
        <v>Madame, Monsieur</v>
      </c>
      <c r="L3647" s="25"/>
      <c r="M3647" s="25"/>
      <c r="N3647" s="25"/>
      <c r="O3647" s="25"/>
    </row>
    <row r="3648" customFormat="false" ht="15" hidden="false" customHeight="false" outlineLevel="0" collapsed="false">
      <c r="B3648" s="29" t="str">
        <f aca="false">Cab_Adr1</f>
        <v>141 rue Charles de Gaulle</v>
      </c>
      <c r="C3648" s="29"/>
      <c r="D3648" s="10"/>
      <c r="E3648" s="10"/>
      <c r="F3648" s="10"/>
      <c r="J3648" s="25" t="s">
        <v>145</v>
      </c>
      <c r="K3648" s="25" t="str">
        <f aca="false">DAY(Date_Effet)&amp;IF(DAY(Date_Effet)=1,"er","")&amp;" "&amp;INDEX(Liste_Mois,MONTH(Date_Effet))&amp;" "&amp;YEAR(Date_Effet)</f>
        <v>1er janvier 2027</v>
      </c>
      <c r="L3648" s="25"/>
      <c r="M3648" s="25"/>
      <c r="N3648" s="25"/>
      <c r="O3648" s="25"/>
    </row>
    <row r="3649" customFormat="false" ht="15" hidden="false" customHeight="false" outlineLevel="0" collapsed="false">
      <c r="B3649" s="29" t="str">
        <f aca="false">Cab_CPVille</f>
        <v>95130 LE PLESSIS-BOUCHARD</v>
      </c>
      <c r="C3649" s="29"/>
      <c r="D3649" s="10"/>
      <c r="E3649" s="10"/>
      <c r="F3649" s="10"/>
      <c r="J3649" s="25" t="s">
        <v>146</v>
      </c>
      <c r="K3649" s="25" t="str">
        <f aca="false">IF(SUM($K$3673:$K$3676)=0,"",FIXED((SUM($L$3673:$L$3676)/SUM($K$3673:$K$3676)-1)*100,1)&amp;" %")</f>
        <v/>
      </c>
      <c r="L3649" s="25"/>
      <c r="M3649" s="25"/>
      <c r="N3649" s="25"/>
      <c r="O3649" s="25"/>
    </row>
    <row r="3650" customFormat="false" ht="15" hidden="false" customHeight="false" outlineLevel="0" collapsed="false">
      <c r="B3650" s="29" t="str">
        <f aca="false">Cab_Contact</f>
        <v>Tél. 01 34 14 53 45  ·  altho@altho-experts.com  ·  altho-experts.com</v>
      </c>
      <c r="C3650" s="29"/>
      <c r="D3650" s="10"/>
      <c r="E3650" s="10"/>
      <c r="F3650" s="10"/>
      <c r="J3650" s="25"/>
      <c r="K3650" s="25"/>
      <c r="L3650" s="25"/>
      <c r="M3650" s="25"/>
      <c r="N3650" s="25"/>
      <c r="O3650" s="25"/>
    </row>
    <row r="3651" customFormat="false" ht="6" hidden="false" customHeight="true" outlineLevel="0" collapsed="false">
      <c r="B3651" s="32"/>
      <c r="C3651" s="32"/>
      <c r="D3651" s="32"/>
      <c r="E3651" s="32"/>
      <c r="F3651" s="32"/>
      <c r="J3651" s="25"/>
      <c r="K3651" s="25"/>
      <c r="L3651" s="25"/>
      <c r="M3651" s="25"/>
      <c r="N3651" s="25"/>
      <c r="O3651" s="25"/>
    </row>
    <row r="3652" customFormat="false" ht="13.5" hidden="false" customHeight="true" outlineLevel="0" collapsed="false">
      <c r="B3652" s="10"/>
      <c r="C3652" s="10"/>
      <c r="D3652" s="10"/>
      <c r="E3652" s="10"/>
      <c r="F3652" s="10"/>
      <c r="J3652" s="25"/>
      <c r="K3652" s="25"/>
      <c r="L3652" s="25"/>
      <c r="M3652" s="25"/>
      <c r="N3652" s="25"/>
      <c r="O3652" s="25"/>
    </row>
    <row r="3653" customFormat="false" ht="13.5" hidden="false" customHeight="true" outlineLevel="0" collapsed="false">
      <c r="B3653" s="10"/>
      <c r="C3653" s="10"/>
      <c r="D3653" s="10"/>
      <c r="E3653" s="10"/>
      <c r="F3653" s="10"/>
      <c r="J3653" s="25"/>
      <c r="K3653" s="25"/>
      <c r="L3653" s="25"/>
      <c r="M3653" s="25"/>
      <c r="N3653" s="25"/>
      <c r="O3653" s="25"/>
    </row>
    <row r="3654" customFormat="false" ht="13.5" hidden="false" customHeight="true" outlineLevel="0" collapsed="false">
      <c r="B3654" s="10"/>
      <c r="C3654" s="10"/>
      <c r="D3654" s="10"/>
      <c r="E3654" s="10"/>
      <c r="F3654" s="10"/>
      <c r="J3654" s="25"/>
      <c r="K3654" s="25"/>
      <c r="L3654" s="25"/>
      <c r="M3654" s="25"/>
      <c r="N3654" s="25"/>
      <c r="O3654" s="25"/>
    </row>
    <row r="3655" customFormat="false" ht="15" hidden="false" customHeight="true" outlineLevel="0" collapsed="false">
      <c r="B3655" s="10"/>
      <c r="C3655" s="10"/>
      <c r="D3655" s="34" t="str">
        <f aca="false">IF($K$3646=0,"",INDEX(Clients!$E$2:$E$501,$K$3646)&amp;"")</f>
        <v/>
      </c>
      <c r="E3655" s="34"/>
      <c r="F3655" s="34"/>
      <c r="J3655" s="25"/>
      <c r="K3655" s="25"/>
      <c r="L3655" s="25"/>
      <c r="M3655" s="25"/>
      <c r="N3655" s="25"/>
      <c r="O3655" s="25"/>
    </row>
    <row r="3656" customFormat="false" ht="15" hidden="false" customHeight="true" outlineLevel="0" collapsed="false">
      <c r="B3656" s="10"/>
      <c r="C3656" s="10"/>
      <c r="D3656" s="35" t="str">
        <f aca="false">IF(IF($K$3646=0,"",INDEX(Clients!$D$2:$D$501,$K$3646)&amp;"")="","","À l'attention de "&amp;TRIM(IF($K$3646=0,"",INDEX(Clients!$B$2:$B$501,$K$3646)&amp;"")&amp;" "&amp;IF($K$3646=0,"",INDEX(Clients!$C$2:$C$501,$K$3646)&amp;"")&amp;" "&amp;IF($K$3646=0,"",INDEX(Clients!$D$2:$D$501,$K$3646)&amp;"")))</f>
        <v/>
      </c>
      <c r="E3656" s="35"/>
      <c r="F3656" s="35"/>
      <c r="J3656" s="25"/>
      <c r="K3656" s="25"/>
      <c r="L3656" s="25"/>
      <c r="M3656" s="25"/>
      <c r="N3656" s="25"/>
      <c r="O3656" s="25"/>
    </row>
    <row r="3657" customFormat="false" ht="15" hidden="false" customHeight="true" outlineLevel="0" collapsed="false">
      <c r="B3657" s="10"/>
      <c r="C3657" s="10"/>
      <c r="D3657" s="35" t="str">
        <f aca="false">IF($K$3646=0,"",INDEX(Clients!$F$2:$F$501,$K$3646)&amp;"")</f>
        <v/>
      </c>
      <c r="E3657" s="35"/>
      <c r="F3657" s="35"/>
      <c r="J3657" s="25"/>
      <c r="K3657" s="25"/>
      <c r="L3657" s="25"/>
      <c r="M3657" s="25"/>
      <c r="N3657" s="25"/>
      <c r="O3657" s="25"/>
    </row>
    <row r="3658" customFormat="false" ht="15" hidden="false" customHeight="true" outlineLevel="0" collapsed="false">
      <c r="B3658" s="10"/>
      <c r="C3658" s="10"/>
      <c r="D3658" s="35" t="str">
        <f aca="false">IF(IF($K$3646=0,"",INDEX(Clients!$G$2:$G$501,$K$3646)&amp;"")="",TRIM(IF($K$3646=0,"",INDEX(Clients!$H$2:$H$501,$K$3646)&amp;"")&amp;" "&amp;UPPER(IF($K$3646=0,"",INDEX(Clients!$I$2:$I$501,$K$3646)&amp;""))),IF($K$3646=0,"",INDEX(Clients!$G$2:$G$501,$K$3646)&amp;""))</f>
        <v/>
      </c>
      <c r="E3658" s="35"/>
      <c r="F3658" s="35"/>
      <c r="J3658" s="25"/>
      <c r="K3658" s="25"/>
      <c r="L3658" s="25"/>
      <c r="M3658" s="25"/>
      <c r="N3658" s="25"/>
      <c r="O3658" s="25"/>
    </row>
    <row r="3659" customFormat="false" ht="15" hidden="false" customHeight="true" outlineLevel="0" collapsed="false">
      <c r="B3659" s="10"/>
      <c r="C3659" s="10"/>
      <c r="D3659" s="35" t="str">
        <f aca="false">IF(IF($K$3646=0,"",INDEX(Clients!$G$2:$G$501,$K$3646)&amp;"")="","",TRIM(IF($K$3646=0,"",INDEX(Clients!$H$2:$H$501,$K$3646)&amp;"")&amp;" "&amp;UPPER(IF($K$3646=0,"",INDEX(Clients!$I$2:$I$501,$K$3646)&amp;""))))</f>
        <v/>
      </c>
      <c r="E3659" s="35"/>
      <c r="F3659" s="35"/>
      <c r="J3659" s="25"/>
      <c r="K3659" s="25"/>
      <c r="L3659" s="25"/>
      <c r="M3659" s="25"/>
      <c r="N3659" s="25"/>
      <c r="O3659" s="25"/>
    </row>
    <row r="3660" customFormat="false" ht="25.5" hidden="false" customHeight="true" outlineLevel="0" collapsed="false">
      <c r="B3660" s="10"/>
      <c r="C3660" s="10"/>
      <c r="D3660" s="10"/>
      <c r="E3660" s="10"/>
      <c r="F3660" s="10"/>
      <c r="J3660" s="25"/>
      <c r="K3660" s="25"/>
      <c r="L3660" s="25"/>
      <c r="M3660" s="25"/>
      <c r="N3660" s="25"/>
      <c r="O3660" s="25"/>
    </row>
    <row r="3661" customFormat="false" ht="15" hidden="false" customHeight="false" outlineLevel="0" collapsed="false">
      <c r="B3661" s="10"/>
      <c r="C3661" s="10"/>
      <c r="D3661" s="36" t="str">
        <f aca="false">Cab_Ville&amp;", le "&amp;DAY(Date_Courrier)&amp;IF(DAY(Date_Courrier)=1,"er","")&amp;" "&amp;INDEX(Liste_Mois,MONTH(Date_Courrier))&amp;" "&amp;YEAR(Date_Courrier)</f>
        <v>Le Plessis-Bouchard, le 22 septembre 2026</v>
      </c>
      <c r="E3661" s="36"/>
      <c r="F3661" s="36"/>
      <c r="J3661" s="25"/>
      <c r="K3661" s="25"/>
      <c r="L3661" s="25"/>
      <c r="M3661" s="25"/>
      <c r="N3661" s="25"/>
      <c r="O3661" s="25"/>
    </row>
    <row r="3662" customFormat="false" ht="19.5" hidden="false" customHeight="true" outlineLevel="0" collapsed="false">
      <c r="B3662" s="10"/>
      <c r="C3662" s="10"/>
      <c r="D3662" s="10"/>
      <c r="E3662" s="10"/>
      <c r="F3662" s="10"/>
      <c r="J3662" s="25"/>
      <c r="K3662" s="25"/>
      <c r="L3662" s="25"/>
      <c r="M3662" s="25"/>
      <c r="N3662" s="25"/>
      <c r="O3662" s="25"/>
    </row>
    <row r="3663" customFormat="false" ht="15" hidden="false" customHeight="false" outlineLevel="0" collapsed="false">
      <c r="B3663" s="34" t="str">
        <f aca="false">SUBSTITUTE(SUBSTITUTE(SUBSTITUTE(SUBSTITUTE(SUBSTITUTE(Txt_Objet,"{cabinet}",Cab_Nom),"{societe}",IF($K$3646=0,"",INDEX(Clients!$E$2:$E$501,$K$3646)&amp;"")),"{date_effet}",$K$3648),"{hausse}",$K$3649),"{civilite}",$K$3647)</f>
        <v>Objet : révision de nos honoraires au 1er janvier 2027</v>
      </c>
      <c r="C3663" s="34"/>
      <c r="D3663" s="34"/>
      <c r="E3663" s="34"/>
      <c r="F3663" s="34"/>
      <c r="J3663" s="25"/>
      <c r="K3663" s="25"/>
      <c r="L3663" s="25"/>
      <c r="M3663" s="25"/>
      <c r="N3663" s="25"/>
      <c r="O3663" s="25"/>
    </row>
    <row r="3664" customFormat="false" ht="13.5" hidden="false" customHeight="true" outlineLevel="0" collapsed="false">
      <c r="B3664" s="10"/>
      <c r="C3664" s="10"/>
      <c r="D3664" s="10"/>
      <c r="E3664" s="10"/>
      <c r="F3664" s="10"/>
      <c r="J3664" s="25"/>
      <c r="K3664" s="25"/>
      <c r="L3664" s="25"/>
      <c r="M3664" s="25"/>
      <c r="N3664" s="25"/>
      <c r="O3664" s="25"/>
    </row>
    <row r="3665" customFormat="false" ht="15" hidden="false" customHeight="false" outlineLevel="0" collapsed="false">
      <c r="B3665" s="10" t="str">
        <f aca="false">$K$3647&amp;","</f>
        <v>Madame, Monsieur,</v>
      </c>
      <c r="C3665" s="10"/>
      <c r="D3665" s="10"/>
      <c r="E3665" s="10"/>
      <c r="F3665" s="10"/>
      <c r="J3665" s="25"/>
      <c r="K3665" s="25"/>
      <c r="L3665" s="25"/>
      <c r="M3665" s="25"/>
      <c r="N3665" s="25"/>
      <c r="O3665" s="25"/>
    </row>
    <row r="3666" customFormat="false" ht="6" hidden="false" customHeight="true" outlineLevel="0" collapsed="false">
      <c r="B3666" s="10"/>
      <c r="C3666" s="10"/>
      <c r="D3666" s="10"/>
      <c r="E3666" s="10"/>
      <c r="F3666" s="10"/>
      <c r="J3666" s="25"/>
      <c r="K3666" s="25"/>
      <c r="L3666" s="25"/>
      <c r="M3666" s="25"/>
      <c r="N3666" s="25"/>
      <c r="O3666" s="25"/>
    </row>
    <row r="3667" customFormat="false" ht="36.75" hidden="false" customHeight="true" outlineLevel="0" collapsed="false">
      <c r="B3667" s="37" t="str">
        <f aca="false">SUBSTITUTE(SUBSTITUTE(SUBSTITUTE(SUBSTITUTE(SUBSTITUTE(Txt_P1,"{cabinet}",Cab_Nom),"{societe}",IF($K$3646=0,"",INDEX(Clients!$E$2:$E$501,$K$3646)&amp;"")),"{date_effet}",$K$3648),"{hausse}",$K$3649),"{civilite}",$K$3647)</f>
        <v>Nous tenons tout d'abord à vous remercier pour la confiance que vous accordez à ALTHO EXPERTISE. Comme chaque année, et conformément aux dispositions de votre lettre de mission, nous procédons à la révision de nos honoraires.</v>
      </c>
      <c r="C3667" s="37"/>
      <c r="D3667" s="37"/>
      <c r="E3667" s="37"/>
      <c r="F3667" s="37"/>
      <c r="J3667" s="25"/>
      <c r="K3667" s="25"/>
      <c r="L3667" s="25"/>
      <c r="M3667" s="25"/>
      <c r="N3667" s="25"/>
      <c r="O3667" s="25"/>
    </row>
    <row r="3668" customFormat="false" ht="49.5" hidden="false" customHeight="true" outlineLevel="0" collapsed="false">
      <c r="B3668" s="37" t="str">
        <f aca="false">SUBSTITUTE(SUBSTITUTE(SUBSTITUTE(SUBSTITUTE(SUBSTITUTE(Txt_P2,"{cabinet}",Cab_Nom),"{societe}",IF($K$3646=0,"",INDEX(Clients!$E$2:$E$501,$K$3646)&amp;"")),"{date_effet}",$K$3648),"{hausse}",$K$3649),"{civilite}",$K$3647)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668" s="37"/>
      <c r="D3668" s="37"/>
      <c r="E3668" s="37"/>
      <c r="F3668" s="37"/>
      <c r="J3668" s="25"/>
      <c r="K3668" s="25"/>
      <c r="L3668" s="25"/>
      <c r="M3668" s="25"/>
      <c r="N3668" s="25"/>
      <c r="O3668" s="25"/>
    </row>
    <row r="3669" customFormat="false" ht="63" hidden="false" customHeight="true" outlineLevel="0" collapsed="false">
      <c r="B3669" s="37" t="str">
        <f aca="false">SUBSTITUTE(SUBSTITUTE(SUBSTITUTE(SUBSTITUTE(SUBSTITUTE(Txt_P3,"{cabinet}",Cab_Nom),"{societe}",IF($K$3646=0,"",INDEX(Clients!$E$2:$E$501,$K$3646)&amp;"")),"{date_effet}",$K$3648),"{hausse}",$K$3649),"{civilite}",$K$3647)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669" s="37"/>
      <c r="D3669" s="37"/>
      <c r="E3669" s="37"/>
      <c r="F3669" s="37"/>
      <c r="J3669" s="25"/>
      <c r="K3669" s="25"/>
      <c r="L3669" s="25"/>
      <c r="M3669" s="25"/>
      <c r="N3669" s="25"/>
      <c r="O3669" s="25"/>
    </row>
    <row r="3670" customFormat="false" ht="24" hidden="false" customHeight="true" outlineLevel="0" collapsed="false">
      <c r="B3670" s="37" t="str">
        <f aca="false">SUBSTITUTE(SUBSTITUTE(SUBSTITUTE(SUBSTITUTE(SUBSTITUTE(Txt_P4,"{cabinet}",Cab_Nom),"{societe}",IF($K$3646=0,"",INDEX(Clients!$E$2:$E$501,$K$3646)&amp;"")),"{date_effet}",$K$3648),"{hausse}",$K$3649),"{civilite}",$K$3647)</f>
        <v>À compter du 1er janvier 2027, vos honoraires annuels hors taxes évolueront ainsi (évolution globale : ) :</v>
      </c>
      <c r="C3670" s="37"/>
      <c r="D3670" s="37"/>
      <c r="E3670" s="37"/>
      <c r="F3670" s="37"/>
      <c r="J3670" s="25"/>
      <c r="K3670" s="25"/>
      <c r="L3670" s="25"/>
      <c r="M3670" s="25"/>
      <c r="N3670" s="25"/>
      <c r="O3670" s="25"/>
    </row>
    <row r="3671" customFormat="false" ht="3.75" hidden="false" customHeight="true" outlineLevel="0" collapsed="false">
      <c r="B3671" s="10"/>
      <c r="C3671" s="10"/>
      <c r="D3671" s="10"/>
      <c r="E3671" s="10"/>
      <c r="F3671" s="10"/>
      <c r="J3671" s="25"/>
      <c r="K3671" s="25"/>
      <c r="L3671" s="25"/>
      <c r="M3671" s="25"/>
      <c r="N3671" s="25"/>
      <c r="O3671" s="25"/>
    </row>
    <row r="3672" customFormat="false" ht="18" hidden="false" customHeight="true" outlineLevel="0" collapsed="false">
      <c r="B3672" s="38" t="s">
        <v>148</v>
      </c>
      <c r="C3672" s="39" t="s">
        <v>149</v>
      </c>
      <c r="D3672" s="39" t="s">
        <v>150</v>
      </c>
      <c r="E3672" s="39" t="s">
        <v>151</v>
      </c>
      <c r="F3672" s="39" t="s">
        <v>109</v>
      </c>
      <c r="J3672" s="25" t="s">
        <v>152</v>
      </c>
      <c r="K3672" s="25" t="s">
        <v>153</v>
      </c>
      <c r="L3672" s="25" t="s">
        <v>154</v>
      </c>
      <c r="M3672" s="25" t="s">
        <v>155</v>
      </c>
      <c r="N3672" s="25" t="s">
        <v>156</v>
      </c>
      <c r="O3672" s="25" t="s">
        <v>157</v>
      </c>
    </row>
    <row r="3673" customFormat="false" ht="16.5" hidden="false" customHeight="true" outlineLevel="0" collapsed="false">
      <c r="B3673" s="40" t="str">
        <f aca="false">IFERROR(INDEX($J$3673:$J$3676,MATCH($O3673,$N$3673:$N$3676,0)),"")</f>
        <v/>
      </c>
      <c r="C3673" s="41" t="str">
        <f aca="false">IFERROR(INDEX($K$3673:$K$3676,MATCH($O3673,$N$3673:$N$3676,0)),"")</f>
        <v/>
      </c>
      <c r="D3673" s="42" t="str">
        <f aca="false">IF(OR(E3673="",N(C3673)=0),"",E3673/C3673-1)</f>
        <v/>
      </c>
      <c r="E3673" s="41" t="str">
        <f aca="false">IFERROR(INDEX($L$3673:$L$3676,MATCH($O3673,$N$3673:$N$3676,0)),"")</f>
        <v/>
      </c>
      <c r="F3673" s="41" t="str">
        <f aca="false">IF(E3673="","",E3673-C3673)</f>
        <v/>
      </c>
      <c r="J3673" s="25" t="str">
        <f aca="false">Lib_Compta</f>
        <v>Mission comptable (tenue, révision, bilan, liasse fiscale)</v>
      </c>
      <c r="K3673" s="25" t="n">
        <f aca="false">IF($K$3646=0,0,N(INDEX(Clients!$K$2:$K$501,$K$3646)))</f>
        <v>0</v>
      </c>
      <c r="L3673" s="25" t="n">
        <f aca="false">IF($K$3646=0,0,N(INDEX(Clients!$P$2:$P$501,$K$3646)))</f>
        <v>0</v>
      </c>
      <c r="M3673" s="25" t="n">
        <f aca="false">IF(OR(K3673&lt;&gt;0,L3673&lt;&gt;0),1,0)</f>
        <v>0</v>
      </c>
      <c r="N3673" s="25" t="str">
        <f aca="false">IF(M3673=1,SUM($M$3673:M3673),"")</f>
        <v/>
      </c>
      <c r="O3673" s="25" t="n">
        <v>1</v>
      </c>
    </row>
    <row r="3674" customFormat="false" ht="16.5" hidden="false" customHeight="true" outlineLevel="0" collapsed="false">
      <c r="B3674" s="40" t="str">
        <f aca="false">IFERROR(INDEX($J$3673:$J$3676,MATCH($O3674,$N$3673:$N$3676,0)),"")</f>
        <v/>
      </c>
      <c r="C3674" s="41" t="str">
        <f aca="false">IFERROR(INDEX($K$3673:$K$3676,MATCH($O3674,$N$3673:$N$3676,0)),"")</f>
        <v/>
      </c>
      <c r="D3674" s="42" t="str">
        <f aca="false">IF(OR(E3674="",N(C3674)=0),"",E3674/C3674-1)</f>
        <v/>
      </c>
      <c r="E3674" s="41" t="str">
        <f aca="false">IFERROR(INDEX($L$3673:$L$3676,MATCH($O3674,$N$3673:$N$3676,0)),"")</f>
        <v/>
      </c>
      <c r="F3674" s="41" t="str">
        <f aca="false">IF(E3674="","",E3674-C3674)</f>
        <v/>
      </c>
      <c r="J3674" s="25" t="str">
        <f aca="false">Lib_Paye</f>
        <v>Mission sociale (bulletins de paie, DSN, déclarations sociales)</v>
      </c>
      <c r="K3674" s="25" t="n">
        <f aca="false">IF($K$3646=0,0,N(INDEX(Clients!$L$2:$L$501,$K$3646)))</f>
        <v>0</v>
      </c>
      <c r="L3674" s="25" t="n">
        <f aca="false">IF($K$3646=0,0,N(INDEX(Clients!$Q$2:$Q$501,$K$3646)))</f>
        <v>0</v>
      </c>
      <c r="M3674" s="25" t="n">
        <f aca="false">IF(OR(K3674&lt;&gt;0,L3674&lt;&gt;0),1,0)</f>
        <v>0</v>
      </c>
      <c r="N3674" s="25" t="str">
        <f aca="false">IF(M3674=1,SUM($M$3673:M3674),"")</f>
        <v/>
      </c>
      <c r="O3674" s="25" t="n">
        <v>2</v>
      </c>
    </row>
    <row r="3675" customFormat="false" ht="16.5" hidden="false" customHeight="true" outlineLevel="0" collapsed="false">
      <c r="B3675" s="40" t="str">
        <f aca="false">IFERROR(INDEX($J$3673:$J$3676,MATCH($O3675,$N$3673:$N$3676,0)),"")</f>
        <v/>
      </c>
      <c r="C3675" s="41" t="str">
        <f aca="false">IFERROR(INDEX($K$3673:$K$3676,MATCH($O3675,$N$3673:$N$3676,0)),"")</f>
        <v/>
      </c>
      <c r="D3675" s="42" t="str">
        <f aca="false">IF(OR(E3675="",N(C3675)=0),"",E3675/C3675-1)</f>
        <v/>
      </c>
      <c r="E3675" s="41" t="str">
        <f aca="false">IFERROR(INDEX($L$3673:$L$3676,MATCH($O3675,$N$3673:$N$3676,0)),"")</f>
        <v/>
      </c>
      <c r="F3675" s="41" t="str">
        <f aca="false">IF(E3675="","",E3675-C3675)</f>
        <v/>
      </c>
      <c r="J3675" s="25" t="str">
        <f aca="false">Lib_Jur</f>
        <v>Mission juridique (approbation des comptes, secrétariat juridique)</v>
      </c>
      <c r="K3675" s="25" t="n">
        <f aca="false">IF($K$3646=0,0,N(INDEX(Clients!$M$2:$M$501,$K$3646)))</f>
        <v>0</v>
      </c>
      <c r="L3675" s="25" t="n">
        <f aca="false">IF($K$3646=0,0,N(INDEX(Clients!$R$2:$R$501,$K$3646)))</f>
        <v>0</v>
      </c>
      <c r="M3675" s="25" t="n">
        <f aca="false">IF(OR(K3675&lt;&gt;0,L3675&lt;&gt;0),1,0)</f>
        <v>0</v>
      </c>
      <c r="N3675" s="25" t="str">
        <f aca="false">IF(M3675=1,SUM($M$3673:M3675),"")</f>
        <v/>
      </c>
      <c r="O3675" s="25" t="n">
        <v>3</v>
      </c>
    </row>
    <row r="3676" customFormat="false" ht="16.5" hidden="false" customHeight="true" outlineLevel="0" collapsed="false">
      <c r="B3676" s="40" t="str">
        <f aca="false">IFERROR(INDEX($J$3673:$J$3676,MATCH($O3676,$N$3673:$N$3676,0)),"")</f>
        <v/>
      </c>
      <c r="C3676" s="41" t="str">
        <f aca="false">IFERROR(INDEX($K$3673:$K$3676,MATCH($O3676,$N$3673:$N$3676,0)),"")</f>
        <v/>
      </c>
      <c r="D3676" s="42" t="str">
        <f aca="false">IF(OR(E3676="",N(C3676)=0),"",E3676/C3676-1)</f>
        <v/>
      </c>
      <c r="E3676" s="41" t="str">
        <f aca="false">IFERROR(INDEX($L$3673:$L$3676,MATCH($O3676,$N$3673:$N$3676,0)),"")</f>
        <v/>
      </c>
      <c r="F3676" s="41" t="str">
        <f aca="false">IF(E3676="","",E3676-C3676)</f>
        <v/>
      </c>
      <c r="J3676" s="25" t="str">
        <f aca="false">Lib_PA</f>
        <v>Plateforme agréée – facturation électronique</v>
      </c>
      <c r="K3676" s="25" t="n">
        <f aca="false">IF($K$3646=0,0,N(INDEX(Clients!$N$2:$N$501,$K$3646)))</f>
        <v>0</v>
      </c>
      <c r="L3676" s="25" t="n">
        <f aca="false">IF($K$3646=0,0,N(INDEX(Clients!$S$2:$S$501,$K$3646)))</f>
        <v>0</v>
      </c>
      <c r="M3676" s="25" t="n">
        <f aca="false">IF(OR(K3676&lt;&gt;0,L3676&lt;&gt;0),1,0)</f>
        <v>0</v>
      </c>
      <c r="N3676" s="25" t="str">
        <f aca="false">IF(M3676=1,SUM($M$3673:M3676),"")</f>
        <v/>
      </c>
      <c r="O3676" s="25" t="n">
        <v>4</v>
      </c>
    </row>
    <row r="3677" customFormat="false" ht="18" hidden="false" customHeight="true" outlineLevel="0" collapsed="false">
      <c r="B3677" s="43" t="s">
        <v>158</v>
      </c>
      <c r="C3677" s="44" t="n">
        <f aca="false">SUM(K3673:K3676)</f>
        <v>0</v>
      </c>
      <c r="D3677" s="45" t="str">
        <f aca="false">IF(N(C3677)=0,"",E3677/C3677-1)</f>
        <v/>
      </c>
      <c r="E3677" s="44" t="n">
        <f aca="false">SUM(L3673:L3676)</f>
        <v>0</v>
      </c>
      <c r="F3677" s="44" t="n">
        <f aca="false">E3677-C3677</f>
        <v>0</v>
      </c>
    </row>
    <row r="3678" customFormat="false" ht="15" hidden="false" customHeight="false" outlineLevel="0" collapsed="false">
      <c r="B3678" s="46" t="str">
        <f aca="false">IF(N(Nb_Mensualites)=0,"","Soit "&amp;FIXED(E3677/Nb_Mensualites,2)&amp;" € HT par échéance ("&amp;Nb_Mensualites&amp;" échéances), "&amp;FIXED(E3677/Nb_Mensualites*(1+Taux_TVA),2)&amp;" € TTC.")</f>
        <v>Soit 0.00 € HT par échéance (12 échéances), 0.00 € TTC.</v>
      </c>
      <c r="C3678" s="46"/>
      <c r="D3678" s="46"/>
      <c r="E3678" s="46"/>
      <c r="F3678" s="46"/>
    </row>
    <row r="3679" customFormat="false" ht="7.5" hidden="false" customHeight="true" outlineLevel="0" collapsed="false">
      <c r="B3679" s="10"/>
      <c r="C3679" s="10"/>
      <c r="D3679" s="10"/>
      <c r="E3679" s="10"/>
      <c r="F3679" s="10"/>
    </row>
    <row r="3680" customFormat="false" ht="36.75" hidden="false" customHeight="true" outlineLevel="0" collapsed="false">
      <c r="B3680" s="37" t="str">
        <f aca="false">SUBSTITUTE(SUBSTITUTE(SUBSTITUTE(SUBSTITUTE(SUBSTITUTE(Txt_P5,"{cabinet}",Cab_Nom),"{societe}",IF($K$3646=0,"",INDEX(Clients!$E$2:$E$501,$K$3646)&amp;"")),"{date_effet}",$K$3648),"{hausse}",$K$3649),"{civilite}",$K$3647)</f>
        <v>Les autres conditions de votre lettre de mission demeurent inchangées. Les nouveaux montants seront appliqués automatiquement sur vos prochaines factures et échéances de prélèvement.</v>
      </c>
      <c r="C3680" s="37"/>
      <c r="D3680" s="37"/>
      <c r="E3680" s="37"/>
      <c r="F3680" s="37"/>
    </row>
    <row r="3681" customFormat="false" ht="36.75" hidden="false" customHeight="true" outlineLevel="0" collapsed="false">
      <c r="B3681" s="37" t="str">
        <f aca="false">SUBSTITUTE(SUBSTITUTE(SUBSTITUTE(SUBSTITUTE(SUBSTITUTE(Txt_P6,"{cabinet}",Cab_Nom),"{societe}",IF($K$3646=0,"",INDEX(Clients!$E$2:$E$501,$K$3646)&amp;"")),"{date_effet}",$K$3648),"{hausse}",$K$3649),"{civilite}",$K$3647)</f>
        <v>Votre interlocuteur habituel reste à votre entière disposition pour répondre à vos questions et faire le point sur l'évolution de vos besoins.</v>
      </c>
      <c r="C3681" s="37"/>
      <c r="D3681" s="37"/>
      <c r="E3681" s="37"/>
      <c r="F3681" s="37"/>
    </row>
    <row r="3682" customFormat="false" ht="24" hidden="false" customHeight="true" outlineLevel="0" collapsed="false">
      <c r="B3682" s="37" t="str">
        <f aca="false">SUBSTITUTE(SUBSTITUTE(SUBSTITUTE(SUBSTITUTE(SUBSTITUTE(Txt_Politesse,"{cabinet}",Cab_Nom),"{societe}",IF($K$3646=0,"",INDEX(Clients!$E$2:$E$501,$K$3646)&amp;"")),"{date_effet}",$K$3648),"{hausse}",$K$3649),"{civilite}",$K$3647)</f>
        <v>Nous vous prions d'agréer, Madame, Monsieur, l'expression de nos salutations distinguées.</v>
      </c>
      <c r="C3682" s="37"/>
      <c r="D3682" s="37"/>
      <c r="E3682" s="37"/>
      <c r="F3682" s="37"/>
    </row>
    <row r="3683" customFormat="false" ht="15" hidden="false" customHeight="false" outlineLevel="0" collapsed="false">
      <c r="B3683" s="10"/>
      <c r="C3683" s="10"/>
      <c r="D3683" s="10"/>
      <c r="E3683" s="10"/>
      <c r="F3683" s="10"/>
    </row>
    <row r="3684" customFormat="false" ht="15" hidden="false" customHeight="false" outlineLevel="0" collapsed="false">
      <c r="B3684" s="10"/>
      <c r="C3684" s="10"/>
      <c r="D3684" s="34" t="str">
        <f aca="false">Signataire</f>
        <v>Prénom NOM</v>
      </c>
      <c r="E3684" s="34"/>
      <c r="F3684" s="34"/>
    </row>
    <row r="3685" customFormat="false" ht="15" hidden="false" customHeight="false" outlineLevel="0" collapsed="false">
      <c r="B3685" s="10"/>
      <c r="C3685" s="10"/>
      <c r="D3685" s="47" t="str">
        <f aca="false">Signataire_Titre</f>
        <v>Expert-comptable associé</v>
      </c>
      <c r="E3685" s="47"/>
      <c r="F3685" s="47"/>
    </row>
    <row r="3686" customFormat="false" ht="15.75" hidden="false" customHeight="true" outlineLevel="0" collapsed="false">
      <c r="B3686" s="10"/>
      <c r="C3686" s="10"/>
      <c r="D3686" s="10"/>
      <c r="E3686" s="10"/>
      <c r="F3686" s="10"/>
    </row>
    <row r="3687" customFormat="false" ht="15.75" hidden="false" customHeight="true" outlineLevel="0" collapsed="false">
      <c r="B3687" s="10"/>
      <c r="C3687" s="10"/>
      <c r="D3687" s="10"/>
      <c r="E3687" s="10"/>
      <c r="F3687" s="10"/>
    </row>
    <row r="3688" customFormat="false" ht="15.75" hidden="false" customHeight="true" outlineLevel="0" collapsed="false">
      <c r="B3688" s="10"/>
      <c r="C3688" s="10"/>
      <c r="D3688" s="10"/>
      <c r="E3688" s="10"/>
      <c r="F3688" s="10"/>
    </row>
    <row r="3689" customFormat="false" ht="15.75" hidden="false" customHeight="true" outlineLevel="0" collapsed="false">
      <c r="B3689" s="10"/>
      <c r="C3689" s="10"/>
      <c r="D3689" s="10"/>
      <c r="E3689" s="10"/>
      <c r="F3689" s="10"/>
    </row>
    <row r="3690" customFormat="false" ht="24" hidden="false" customHeight="true" outlineLevel="0" collapsed="false">
      <c r="B3690" s="48" t="str">
        <f aca="false">Cab_Mentions</f>
        <v>ALTHO EXPERTISE · SAS au capital de 10 000 € · RCS Pontoise 919 706 325 · TVA FR62919706325 · Société d'expertise comptable inscrite au Tableau de l'Ordre des experts-comptables de Paris Île-de-France</v>
      </c>
      <c r="C3690" s="48"/>
      <c r="D3690" s="48"/>
      <c r="E3690" s="48"/>
      <c r="F3690" s="48"/>
    </row>
    <row r="3691" customFormat="false" ht="15" hidden="false" customHeight="false" outlineLevel="0" collapsed="false">
      <c r="B3691" s="10"/>
      <c r="C3691" s="10"/>
      <c r="D3691" s="10"/>
      <c r="E3691" s="10"/>
      <c r="F3691" s="10"/>
      <c r="J3691" s="25" t="s">
        <v>142</v>
      </c>
      <c r="K3691" s="25" t="n">
        <f aca="false">IFERROR(MATCH(83,Clients!$Z$2:$Z$501,0),0)</f>
        <v>0</v>
      </c>
      <c r="L3691" s="25"/>
      <c r="M3691" s="25"/>
      <c r="N3691" s="25"/>
      <c r="O3691" s="25"/>
    </row>
    <row r="3692" customFormat="false" ht="21.75" hidden="false" customHeight="true" outlineLevel="0" collapsed="false">
      <c r="B3692" s="26" t="str">
        <f aca="false">Cab_Nom</f>
        <v>ALTHO EXPERTISE</v>
      </c>
      <c r="C3692" s="26"/>
      <c r="D3692" s="10"/>
      <c r="E3692" s="27" t="str">
        <f aca="false">IF($K$3691=0,"","Réf. client : "&amp;INDEX(Clients!$A$2:$A$501,$K$3691))</f>
        <v/>
      </c>
      <c r="F3692" s="27"/>
      <c r="J3692" s="25" t="s">
        <v>144</v>
      </c>
      <c r="K3692" s="25" t="str">
        <f aca="false">IF(IF($K$3691=0,"",INDEX(Clients!$B$2:$B$501,$K$3691)&amp;"")="Mme","Madame",IF(IF($K$3691=0,"",INDEX(Clients!$B$2:$B$501,$K$3691)&amp;"")="M.","Monsieur","Madame, Monsieur"))</f>
        <v>Madame, Monsieur</v>
      </c>
      <c r="L3692" s="25"/>
      <c r="M3692" s="25"/>
      <c r="N3692" s="25"/>
      <c r="O3692" s="25"/>
    </row>
    <row r="3693" customFormat="false" ht="15" hidden="false" customHeight="false" outlineLevel="0" collapsed="false">
      <c r="B3693" s="29" t="str">
        <f aca="false">Cab_Adr1</f>
        <v>141 rue Charles de Gaulle</v>
      </c>
      <c r="C3693" s="29"/>
      <c r="D3693" s="10"/>
      <c r="E3693" s="10"/>
      <c r="F3693" s="10"/>
      <c r="J3693" s="25" t="s">
        <v>145</v>
      </c>
      <c r="K3693" s="25" t="str">
        <f aca="false">DAY(Date_Effet)&amp;IF(DAY(Date_Effet)=1,"er","")&amp;" "&amp;INDEX(Liste_Mois,MONTH(Date_Effet))&amp;" "&amp;YEAR(Date_Effet)</f>
        <v>1er janvier 2027</v>
      </c>
      <c r="L3693" s="25"/>
      <c r="M3693" s="25"/>
      <c r="N3693" s="25"/>
      <c r="O3693" s="25"/>
    </row>
    <row r="3694" customFormat="false" ht="15" hidden="false" customHeight="false" outlineLevel="0" collapsed="false">
      <c r="B3694" s="29" t="str">
        <f aca="false">Cab_CPVille</f>
        <v>95130 LE PLESSIS-BOUCHARD</v>
      </c>
      <c r="C3694" s="29"/>
      <c r="D3694" s="10"/>
      <c r="E3694" s="10"/>
      <c r="F3694" s="10"/>
      <c r="J3694" s="25" t="s">
        <v>146</v>
      </c>
      <c r="K3694" s="25" t="str">
        <f aca="false">IF(SUM($K$3718:$K$3721)=0,"",FIXED((SUM($L$3718:$L$3721)/SUM($K$3718:$K$3721)-1)*100,1)&amp;" %")</f>
        <v/>
      </c>
      <c r="L3694" s="25"/>
      <c r="M3694" s="25"/>
      <c r="N3694" s="25"/>
      <c r="O3694" s="25"/>
    </row>
    <row r="3695" customFormat="false" ht="15" hidden="false" customHeight="false" outlineLevel="0" collapsed="false">
      <c r="B3695" s="29" t="str">
        <f aca="false">Cab_Contact</f>
        <v>Tél. 01 34 14 53 45  ·  altho@altho-experts.com  ·  altho-experts.com</v>
      </c>
      <c r="C3695" s="29"/>
      <c r="D3695" s="10"/>
      <c r="E3695" s="10"/>
      <c r="F3695" s="10"/>
      <c r="J3695" s="25"/>
      <c r="K3695" s="25"/>
      <c r="L3695" s="25"/>
      <c r="M3695" s="25"/>
      <c r="N3695" s="25"/>
      <c r="O3695" s="25"/>
    </row>
    <row r="3696" customFormat="false" ht="6" hidden="false" customHeight="true" outlineLevel="0" collapsed="false">
      <c r="B3696" s="32"/>
      <c r="C3696" s="32"/>
      <c r="D3696" s="32"/>
      <c r="E3696" s="32"/>
      <c r="F3696" s="32"/>
      <c r="J3696" s="25"/>
      <c r="K3696" s="25"/>
      <c r="L3696" s="25"/>
      <c r="M3696" s="25"/>
      <c r="N3696" s="25"/>
      <c r="O3696" s="25"/>
    </row>
    <row r="3697" customFormat="false" ht="13.5" hidden="false" customHeight="true" outlineLevel="0" collapsed="false">
      <c r="B3697" s="10"/>
      <c r="C3697" s="10"/>
      <c r="D3697" s="10"/>
      <c r="E3697" s="10"/>
      <c r="F3697" s="10"/>
      <c r="J3697" s="25"/>
      <c r="K3697" s="25"/>
      <c r="L3697" s="25"/>
      <c r="M3697" s="25"/>
      <c r="N3697" s="25"/>
      <c r="O3697" s="25"/>
    </row>
    <row r="3698" customFormat="false" ht="13.5" hidden="false" customHeight="true" outlineLevel="0" collapsed="false">
      <c r="B3698" s="10"/>
      <c r="C3698" s="10"/>
      <c r="D3698" s="10"/>
      <c r="E3698" s="10"/>
      <c r="F3698" s="10"/>
      <c r="J3698" s="25"/>
      <c r="K3698" s="25"/>
      <c r="L3698" s="25"/>
      <c r="M3698" s="25"/>
      <c r="N3698" s="25"/>
      <c r="O3698" s="25"/>
    </row>
    <row r="3699" customFormat="false" ht="13.5" hidden="false" customHeight="true" outlineLevel="0" collapsed="false">
      <c r="B3699" s="10"/>
      <c r="C3699" s="10"/>
      <c r="D3699" s="10"/>
      <c r="E3699" s="10"/>
      <c r="F3699" s="10"/>
      <c r="J3699" s="25"/>
      <c r="K3699" s="25"/>
      <c r="L3699" s="25"/>
      <c r="M3699" s="25"/>
      <c r="N3699" s="25"/>
      <c r="O3699" s="25"/>
    </row>
    <row r="3700" customFormat="false" ht="15" hidden="false" customHeight="true" outlineLevel="0" collapsed="false">
      <c r="B3700" s="10"/>
      <c r="C3700" s="10"/>
      <c r="D3700" s="34" t="str">
        <f aca="false">IF($K$3691=0,"",INDEX(Clients!$E$2:$E$501,$K$3691)&amp;"")</f>
        <v/>
      </c>
      <c r="E3700" s="34"/>
      <c r="F3700" s="34"/>
      <c r="J3700" s="25"/>
      <c r="K3700" s="25"/>
      <c r="L3700" s="25"/>
      <c r="M3700" s="25"/>
      <c r="N3700" s="25"/>
      <c r="O3700" s="25"/>
    </row>
    <row r="3701" customFormat="false" ht="15" hidden="false" customHeight="true" outlineLevel="0" collapsed="false">
      <c r="B3701" s="10"/>
      <c r="C3701" s="10"/>
      <c r="D3701" s="35" t="str">
        <f aca="false">IF(IF($K$3691=0,"",INDEX(Clients!$D$2:$D$501,$K$3691)&amp;"")="","","À l'attention de "&amp;TRIM(IF($K$3691=0,"",INDEX(Clients!$B$2:$B$501,$K$3691)&amp;"")&amp;" "&amp;IF($K$3691=0,"",INDEX(Clients!$C$2:$C$501,$K$3691)&amp;"")&amp;" "&amp;IF($K$3691=0,"",INDEX(Clients!$D$2:$D$501,$K$3691)&amp;"")))</f>
        <v/>
      </c>
      <c r="E3701" s="35"/>
      <c r="F3701" s="35"/>
      <c r="J3701" s="25"/>
      <c r="K3701" s="25"/>
      <c r="L3701" s="25"/>
      <c r="M3701" s="25"/>
      <c r="N3701" s="25"/>
      <c r="O3701" s="25"/>
    </row>
    <row r="3702" customFormat="false" ht="15" hidden="false" customHeight="true" outlineLevel="0" collapsed="false">
      <c r="B3702" s="10"/>
      <c r="C3702" s="10"/>
      <c r="D3702" s="35" t="str">
        <f aca="false">IF($K$3691=0,"",INDEX(Clients!$F$2:$F$501,$K$3691)&amp;"")</f>
        <v/>
      </c>
      <c r="E3702" s="35"/>
      <c r="F3702" s="35"/>
      <c r="J3702" s="25"/>
      <c r="K3702" s="25"/>
      <c r="L3702" s="25"/>
      <c r="M3702" s="25"/>
      <c r="N3702" s="25"/>
      <c r="O3702" s="25"/>
    </row>
    <row r="3703" customFormat="false" ht="15" hidden="false" customHeight="true" outlineLevel="0" collapsed="false">
      <c r="B3703" s="10"/>
      <c r="C3703" s="10"/>
      <c r="D3703" s="35" t="str">
        <f aca="false">IF(IF($K$3691=0,"",INDEX(Clients!$G$2:$G$501,$K$3691)&amp;"")="",TRIM(IF($K$3691=0,"",INDEX(Clients!$H$2:$H$501,$K$3691)&amp;"")&amp;" "&amp;UPPER(IF($K$3691=0,"",INDEX(Clients!$I$2:$I$501,$K$3691)&amp;""))),IF($K$3691=0,"",INDEX(Clients!$G$2:$G$501,$K$3691)&amp;""))</f>
        <v/>
      </c>
      <c r="E3703" s="35"/>
      <c r="F3703" s="35"/>
      <c r="J3703" s="25"/>
      <c r="K3703" s="25"/>
      <c r="L3703" s="25"/>
      <c r="M3703" s="25"/>
      <c r="N3703" s="25"/>
      <c r="O3703" s="25"/>
    </row>
    <row r="3704" customFormat="false" ht="15" hidden="false" customHeight="true" outlineLevel="0" collapsed="false">
      <c r="B3704" s="10"/>
      <c r="C3704" s="10"/>
      <c r="D3704" s="35" t="str">
        <f aca="false">IF(IF($K$3691=0,"",INDEX(Clients!$G$2:$G$501,$K$3691)&amp;"")="","",TRIM(IF($K$3691=0,"",INDEX(Clients!$H$2:$H$501,$K$3691)&amp;"")&amp;" "&amp;UPPER(IF($K$3691=0,"",INDEX(Clients!$I$2:$I$501,$K$3691)&amp;""))))</f>
        <v/>
      </c>
      <c r="E3704" s="35"/>
      <c r="F3704" s="35"/>
      <c r="J3704" s="25"/>
      <c r="K3704" s="25"/>
      <c r="L3704" s="25"/>
      <c r="M3704" s="25"/>
      <c r="N3704" s="25"/>
      <c r="O3704" s="25"/>
    </row>
    <row r="3705" customFormat="false" ht="25.5" hidden="false" customHeight="true" outlineLevel="0" collapsed="false">
      <c r="B3705" s="10"/>
      <c r="C3705" s="10"/>
      <c r="D3705" s="10"/>
      <c r="E3705" s="10"/>
      <c r="F3705" s="10"/>
      <c r="J3705" s="25"/>
      <c r="K3705" s="25"/>
      <c r="L3705" s="25"/>
      <c r="M3705" s="25"/>
      <c r="N3705" s="25"/>
      <c r="O3705" s="25"/>
    </row>
    <row r="3706" customFormat="false" ht="15" hidden="false" customHeight="false" outlineLevel="0" collapsed="false">
      <c r="B3706" s="10"/>
      <c r="C3706" s="10"/>
      <c r="D3706" s="36" t="str">
        <f aca="false">Cab_Ville&amp;", le "&amp;DAY(Date_Courrier)&amp;IF(DAY(Date_Courrier)=1,"er","")&amp;" "&amp;INDEX(Liste_Mois,MONTH(Date_Courrier))&amp;" "&amp;YEAR(Date_Courrier)</f>
        <v>Le Plessis-Bouchard, le 22 septembre 2026</v>
      </c>
      <c r="E3706" s="36"/>
      <c r="F3706" s="36"/>
      <c r="J3706" s="25"/>
      <c r="K3706" s="25"/>
      <c r="L3706" s="25"/>
      <c r="M3706" s="25"/>
      <c r="N3706" s="25"/>
      <c r="O3706" s="25"/>
    </row>
    <row r="3707" customFormat="false" ht="19.5" hidden="false" customHeight="true" outlineLevel="0" collapsed="false">
      <c r="B3707" s="10"/>
      <c r="C3707" s="10"/>
      <c r="D3707" s="10"/>
      <c r="E3707" s="10"/>
      <c r="F3707" s="10"/>
      <c r="J3707" s="25"/>
      <c r="K3707" s="25"/>
      <c r="L3707" s="25"/>
      <c r="M3707" s="25"/>
      <c r="N3707" s="25"/>
      <c r="O3707" s="25"/>
    </row>
    <row r="3708" customFormat="false" ht="15" hidden="false" customHeight="false" outlineLevel="0" collapsed="false">
      <c r="B3708" s="34" t="str">
        <f aca="false">SUBSTITUTE(SUBSTITUTE(SUBSTITUTE(SUBSTITUTE(SUBSTITUTE(Txt_Objet,"{cabinet}",Cab_Nom),"{societe}",IF($K$3691=0,"",INDEX(Clients!$E$2:$E$501,$K$3691)&amp;"")),"{date_effet}",$K$3693),"{hausse}",$K$3694),"{civilite}",$K$3692)</f>
        <v>Objet : révision de nos honoraires au 1er janvier 2027</v>
      </c>
      <c r="C3708" s="34"/>
      <c r="D3708" s="34"/>
      <c r="E3708" s="34"/>
      <c r="F3708" s="34"/>
      <c r="J3708" s="25"/>
      <c r="K3708" s="25"/>
      <c r="L3708" s="25"/>
      <c r="M3708" s="25"/>
      <c r="N3708" s="25"/>
      <c r="O3708" s="25"/>
    </row>
    <row r="3709" customFormat="false" ht="13.5" hidden="false" customHeight="true" outlineLevel="0" collapsed="false">
      <c r="B3709" s="10"/>
      <c r="C3709" s="10"/>
      <c r="D3709" s="10"/>
      <c r="E3709" s="10"/>
      <c r="F3709" s="10"/>
      <c r="J3709" s="25"/>
      <c r="K3709" s="25"/>
      <c r="L3709" s="25"/>
      <c r="M3709" s="25"/>
      <c r="N3709" s="25"/>
      <c r="O3709" s="25"/>
    </row>
    <row r="3710" customFormat="false" ht="15" hidden="false" customHeight="false" outlineLevel="0" collapsed="false">
      <c r="B3710" s="10" t="str">
        <f aca="false">$K$3692&amp;","</f>
        <v>Madame, Monsieur,</v>
      </c>
      <c r="C3710" s="10"/>
      <c r="D3710" s="10"/>
      <c r="E3710" s="10"/>
      <c r="F3710" s="10"/>
      <c r="J3710" s="25"/>
      <c r="K3710" s="25"/>
      <c r="L3710" s="25"/>
      <c r="M3710" s="25"/>
      <c r="N3710" s="25"/>
      <c r="O3710" s="25"/>
    </row>
    <row r="3711" customFormat="false" ht="6" hidden="false" customHeight="true" outlineLevel="0" collapsed="false">
      <c r="B3711" s="10"/>
      <c r="C3711" s="10"/>
      <c r="D3711" s="10"/>
      <c r="E3711" s="10"/>
      <c r="F3711" s="10"/>
      <c r="J3711" s="25"/>
      <c r="K3711" s="25"/>
      <c r="L3711" s="25"/>
      <c r="M3711" s="25"/>
      <c r="N3711" s="25"/>
      <c r="O3711" s="25"/>
    </row>
    <row r="3712" customFormat="false" ht="36.75" hidden="false" customHeight="true" outlineLevel="0" collapsed="false">
      <c r="B3712" s="37" t="str">
        <f aca="false">SUBSTITUTE(SUBSTITUTE(SUBSTITUTE(SUBSTITUTE(SUBSTITUTE(Txt_P1,"{cabinet}",Cab_Nom),"{societe}",IF($K$3691=0,"",INDEX(Clients!$E$2:$E$501,$K$3691)&amp;"")),"{date_effet}",$K$3693),"{hausse}",$K$3694),"{civilite}",$K$3692)</f>
        <v>Nous tenons tout d'abord à vous remercier pour la confiance que vous accordez à ALTHO EXPERTISE. Comme chaque année, et conformément aux dispositions de votre lettre de mission, nous procédons à la révision de nos honoraires.</v>
      </c>
      <c r="C3712" s="37"/>
      <c r="D3712" s="37"/>
      <c r="E3712" s="37"/>
      <c r="F3712" s="37"/>
      <c r="J3712" s="25"/>
      <c r="K3712" s="25"/>
      <c r="L3712" s="25"/>
      <c r="M3712" s="25"/>
      <c r="N3712" s="25"/>
      <c r="O3712" s="25"/>
    </row>
    <row r="3713" customFormat="false" ht="49.5" hidden="false" customHeight="true" outlineLevel="0" collapsed="false">
      <c r="B3713" s="37" t="str">
        <f aca="false">SUBSTITUTE(SUBSTITUTE(SUBSTITUTE(SUBSTITUTE(SUBSTITUTE(Txt_P2,"{cabinet}",Cab_Nom),"{societe}",IF($K$3691=0,"",INDEX(Clients!$E$2:$E$501,$K$3691)&amp;"")),"{date_effet}",$K$3693),"{hausse}",$K$3694),"{civilite}",$K$3692)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713" s="37"/>
      <c r="D3713" s="37"/>
      <c r="E3713" s="37"/>
      <c r="F3713" s="37"/>
      <c r="J3713" s="25"/>
      <c r="K3713" s="25"/>
      <c r="L3713" s="25"/>
      <c r="M3713" s="25"/>
      <c r="N3713" s="25"/>
      <c r="O3713" s="25"/>
    </row>
    <row r="3714" customFormat="false" ht="63" hidden="false" customHeight="true" outlineLevel="0" collapsed="false">
      <c r="B3714" s="37" t="str">
        <f aca="false">SUBSTITUTE(SUBSTITUTE(SUBSTITUTE(SUBSTITUTE(SUBSTITUTE(Txt_P3,"{cabinet}",Cab_Nom),"{societe}",IF($K$3691=0,"",INDEX(Clients!$E$2:$E$501,$K$3691)&amp;"")),"{date_effet}",$K$3693),"{hausse}",$K$3694),"{civilite}",$K$3692)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714" s="37"/>
      <c r="D3714" s="37"/>
      <c r="E3714" s="37"/>
      <c r="F3714" s="37"/>
      <c r="J3714" s="25"/>
      <c r="K3714" s="25"/>
      <c r="L3714" s="25"/>
      <c r="M3714" s="25"/>
      <c r="N3714" s="25"/>
      <c r="O3714" s="25"/>
    </row>
    <row r="3715" customFormat="false" ht="24" hidden="false" customHeight="true" outlineLevel="0" collapsed="false">
      <c r="B3715" s="37" t="str">
        <f aca="false">SUBSTITUTE(SUBSTITUTE(SUBSTITUTE(SUBSTITUTE(SUBSTITUTE(Txt_P4,"{cabinet}",Cab_Nom),"{societe}",IF($K$3691=0,"",INDEX(Clients!$E$2:$E$501,$K$3691)&amp;"")),"{date_effet}",$K$3693),"{hausse}",$K$3694),"{civilite}",$K$3692)</f>
        <v>À compter du 1er janvier 2027, vos honoraires annuels hors taxes évolueront ainsi (évolution globale : ) :</v>
      </c>
      <c r="C3715" s="37"/>
      <c r="D3715" s="37"/>
      <c r="E3715" s="37"/>
      <c r="F3715" s="37"/>
      <c r="J3715" s="25"/>
      <c r="K3715" s="25"/>
      <c r="L3715" s="25"/>
      <c r="M3715" s="25"/>
      <c r="N3715" s="25"/>
      <c r="O3715" s="25"/>
    </row>
    <row r="3716" customFormat="false" ht="3.75" hidden="false" customHeight="true" outlineLevel="0" collapsed="false">
      <c r="B3716" s="10"/>
      <c r="C3716" s="10"/>
      <c r="D3716" s="10"/>
      <c r="E3716" s="10"/>
      <c r="F3716" s="10"/>
      <c r="J3716" s="25"/>
      <c r="K3716" s="25"/>
      <c r="L3716" s="25"/>
      <c r="M3716" s="25"/>
      <c r="N3716" s="25"/>
      <c r="O3716" s="25"/>
    </row>
    <row r="3717" customFormat="false" ht="18" hidden="false" customHeight="true" outlineLevel="0" collapsed="false">
      <c r="B3717" s="38" t="s">
        <v>148</v>
      </c>
      <c r="C3717" s="39" t="s">
        <v>149</v>
      </c>
      <c r="D3717" s="39" t="s">
        <v>150</v>
      </c>
      <c r="E3717" s="39" t="s">
        <v>151</v>
      </c>
      <c r="F3717" s="39" t="s">
        <v>109</v>
      </c>
      <c r="J3717" s="25" t="s">
        <v>152</v>
      </c>
      <c r="K3717" s="25" t="s">
        <v>153</v>
      </c>
      <c r="L3717" s="25" t="s">
        <v>154</v>
      </c>
      <c r="M3717" s="25" t="s">
        <v>155</v>
      </c>
      <c r="N3717" s="25" t="s">
        <v>156</v>
      </c>
      <c r="O3717" s="25" t="s">
        <v>157</v>
      </c>
    </row>
    <row r="3718" customFormat="false" ht="16.5" hidden="false" customHeight="true" outlineLevel="0" collapsed="false">
      <c r="B3718" s="40" t="str">
        <f aca="false">IFERROR(INDEX($J$3718:$J$3721,MATCH($O3718,$N$3718:$N$3721,0)),"")</f>
        <v/>
      </c>
      <c r="C3718" s="41" t="str">
        <f aca="false">IFERROR(INDEX($K$3718:$K$3721,MATCH($O3718,$N$3718:$N$3721,0)),"")</f>
        <v/>
      </c>
      <c r="D3718" s="42" t="str">
        <f aca="false">IF(OR(E3718="",N(C3718)=0),"",E3718/C3718-1)</f>
        <v/>
      </c>
      <c r="E3718" s="41" t="str">
        <f aca="false">IFERROR(INDEX($L$3718:$L$3721,MATCH($O3718,$N$3718:$N$3721,0)),"")</f>
        <v/>
      </c>
      <c r="F3718" s="41" t="str">
        <f aca="false">IF(E3718="","",E3718-C3718)</f>
        <v/>
      </c>
      <c r="J3718" s="25" t="str">
        <f aca="false">Lib_Compta</f>
        <v>Mission comptable (tenue, révision, bilan, liasse fiscale)</v>
      </c>
      <c r="K3718" s="25" t="n">
        <f aca="false">IF($K$3691=0,0,N(INDEX(Clients!$K$2:$K$501,$K$3691)))</f>
        <v>0</v>
      </c>
      <c r="L3718" s="25" t="n">
        <f aca="false">IF($K$3691=0,0,N(INDEX(Clients!$P$2:$P$501,$K$3691)))</f>
        <v>0</v>
      </c>
      <c r="M3718" s="25" t="n">
        <f aca="false">IF(OR(K3718&lt;&gt;0,L3718&lt;&gt;0),1,0)</f>
        <v>0</v>
      </c>
      <c r="N3718" s="25" t="str">
        <f aca="false">IF(M3718=1,SUM($M$3718:M3718),"")</f>
        <v/>
      </c>
      <c r="O3718" s="25" t="n">
        <v>1</v>
      </c>
    </row>
    <row r="3719" customFormat="false" ht="16.5" hidden="false" customHeight="true" outlineLevel="0" collapsed="false">
      <c r="B3719" s="40" t="str">
        <f aca="false">IFERROR(INDEX($J$3718:$J$3721,MATCH($O3719,$N$3718:$N$3721,0)),"")</f>
        <v/>
      </c>
      <c r="C3719" s="41" t="str">
        <f aca="false">IFERROR(INDEX($K$3718:$K$3721,MATCH($O3719,$N$3718:$N$3721,0)),"")</f>
        <v/>
      </c>
      <c r="D3719" s="42" t="str">
        <f aca="false">IF(OR(E3719="",N(C3719)=0),"",E3719/C3719-1)</f>
        <v/>
      </c>
      <c r="E3719" s="41" t="str">
        <f aca="false">IFERROR(INDEX($L$3718:$L$3721,MATCH($O3719,$N$3718:$N$3721,0)),"")</f>
        <v/>
      </c>
      <c r="F3719" s="41" t="str">
        <f aca="false">IF(E3719="","",E3719-C3719)</f>
        <v/>
      </c>
      <c r="J3719" s="25" t="str">
        <f aca="false">Lib_Paye</f>
        <v>Mission sociale (bulletins de paie, DSN, déclarations sociales)</v>
      </c>
      <c r="K3719" s="25" t="n">
        <f aca="false">IF($K$3691=0,0,N(INDEX(Clients!$L$2:$L$501,$K$3691)))</f>
        <v>0</v>
      </c>
      <c r="L3719" s="25" t="n">
        <f aca="false">IF($K$3691=0,0,N(INDEX(Clients!$Q$2:$Q$501,$K$3691)))</f>
        <v>0</v>
      </c>
      <c r="M3719" s="25" t="n">
        <f aca="false">IF(OR(K3719&lt;&gt;0,L3719&lt;&gt;0),1,0)</f>
        <v>0</v>
      </c>
      <c r="N3719" s="25" t="str">
        <f aca="false">IF(M3719=1,SUM($M$3718:M3719),"")</f>
        <v/>
      </c>
      <c r="O3719" s="25" t="n">
        <v>2</v>
      </c>
    </row>
    <row r="3720" customFormat="false" ht="16.5" hidden="false" customHeight="true" outlineLevel="0" collapsed="false">
      <c r="B3720" s="40" t="str">
        <f aca="false">IFERROR(INDEX($J$3718:$J$3721,MATCH($O3720,$N$3718:$N$3721,0)),"")</f>
        <v/>
      </c>
      <c r="C3720" s="41" t="str">
        <f aca="false">IFERROR(INDEX($K$3718:$K$3721,MATCH($O3720,$N$3718:$N$3721,0)),"")</f>
        <v/>
      </c>
      <c r="D3720" s="42" t="str">
        <f aca="false">IF(OR(E3720="",N(C3720)=0),"",E3720/C3720-1)</f>
        <v/>
      </c>
      <c r="E3720" s="41" t="str">
        <f aca="false">IFERROR(INDEX($L$3718:$L$3721,MATCH($O3720,$N$3718:$N$3721,0)),"")</f>
        <v/>
      </c>
      <c r="F3720" s="41" t="str">
        <f aca="false">IF(E3720="","",E3720-C3720)</f>
        <v/>
      </c>
      <c r="J3720" s="25" t="str">
        <f aca="false">Lib_Jur</f>
        <v>Mission juridique (approbation des comptes, secrétariat juridique)</v>
      </c>
      <c r="K3720" s="25" t="n">
        <f aca="false">IF($K$3691=0,0,N(INDEX(Clients!$M$2:$M$501,$K$3691)))</f>
        <v>0</v>
      </c>
      <c r="L3720" s="25" t="n">
        <f aca="false">IF($K$3691=0,0,N(INDEX(Clients!$R$2:$R$501,$K$3691)))</f>
        <v>0</v>
      </c>
      <c r="M3720" s="25" t="n">
        <f aca="false">IF(OR(K3720&lt;&gt;0,L3720&lt;&gt;0),1,0)</f>
        <v>0</v>
      </c>
      <c r="N3720" s="25" t="str">
        <f aca="false">IF(M3720=1,SUM($M$3718:M3720),"")</f>
        <v/>
      </c>
      <c r="O3720" s="25" t="n">
        <v>3</v>
      </c>
    </row>
    <row r="3721" customFormat="false" ht="16.5" hidden="false" customHeight="true" outlineLevel="0" collapsed="false">
      <c r="B3721" s="40" t="str">
        <f aca="false">IFERROR(INDEX($J$3718:$J$3721,MATCH($O3721,$N$3718:$N$3721,0)),"")</f>
        <v/>
      </c>
      <c r="C3721" s="41" t="str">
        <f aca="false">IFERROR(INDEX($K$3718:$K$3721,MATCH($O3721,$N$3718:$N$3721,0)),"")</f>
        <v/>
      </c>
      <c r="D3721" s="42" t="str">
        <f aca="false">IF(OR(E3721="",N(C3721)=0),"",E3721/C3721-1)</f>
        <v/>
      </c>
      <c r="E3721" s="41" t="str">
        <f aca="false">IFERROR(INDEX($L$3718:$L$3721,MATCH($O3721,$N$3718:$N$3721,0)),"")</f>
        <v/>
      </c>
      <c r="F3721" s="41" t="str">
        <f aca="false">IF(E3721="","",E3721-C3721)</f>
        <v/>
      </c>
      <c r="J3721" s="25" t="str">
        <f aca="false">Lib_PA</f>
        <v>Plateforme agréée – facturation électronique</v>
      </c>
      <c r="K3721" s="25" t="n">
        <f aca="false">IF($K$3691=0,0,N(INDEX(Clients!$N$2:$N$501,$K$3691)))</f>
        <v>0</v>
      </c>
      <c r="L3721" s="25" t="n">
        <f aca="false">IF($K$3691=0,0,N(INDEX(Clients!$S$2:$S$501,$K$3691)))</f>
        <v>0</v>
      </c>
      <c r="M3721" s="25" t="n">
        <f aca="false">IF(OR(K3721&lt;&gt;0,L3721&lt;&gt;0),1,0)</f>
        <v>0</v>
      </c>
      <c r="N3721" s="25" t="str">
        <f aca="false">IF(M3721=1,SUM($M$3718:M3721),"")</f>
        <v/>
      </c>
      <c r="O3721" s="25" t="n">
        <v>4</v>
      </c>
    </row>
    <row r="3722" customFormat="false" ht="18" hidden="false" customHeight="true" outlineLevel="0" collapsed="false">
      <c r="B3722" s="43" t="s">
        <v>158</v>
      </c>
      <c r="C3722" s="44" t="n">
        <f aca="false">SUM(K3718:K3721)</f>
        <v>0</v>
      </c>
      <c r="D3722" s="45" t="str">
        <f aca="false">IF(N(C3722)=0,"",E3722/C3722-1)</f>
        <v/>
      </c>
      <c r="E3722" s="44" t="n">
        <f aca="false">SUM(L3718:L3721)</f>
        <v>0</v>
      </c>
      <c r="F3722" s="44" t="n">
        <f aca="false">E3722-C3722</f>
        <v>0</v>
      </c>
    </row>
    <row r="3723" customFormat="false" ht="15" hidden="false" customHeight="false" outlineLevel="0" collapsed="false">
      <c r="B3723" s="46" t="str">
        <f aca="false">IF(N(Nb_Mensualites)=0,"","Soit "&amp;FIXED(E3722/Nb_Mensualites,2)&amp;" € HT par échéance ("&amp;Nb_Mensualites&amp;" échéances), "&amp;FIXED(E3722/Nb_Mensualites*(1+Taux_TVA),2)&amp;" € TTC.")</f>
        <v>Soit 0.00 € HT par échéance (12 échéances), 0.00 € TTC.</v>
      </c>
      <c r="C3723" s="46"/>
      <c r="D3723" s="46"/>
      <c r="E3723" s="46"/>
      <c r="F3723" s="46"/>
    </row>
    <row r="3724" customFormat="false" ht="7.5" hidden="false" customHeight="true" outlineLevel="0" collapsed="false">
      <c r="B3724" s="10"/>
      <c r="C3724" s="10"/>
      <c r="D3724" s="10"/>
      <c r="E3724" s="10"/>
      <c r="F3724" s="10"/>
    </row>
    <row r="3725" customFormat="false" ht="36.75" hidden="false" customHeight="true" outlineLevel="0" collapsed="false">
      <c r="B3725" s="37" t="str">
        <f aca="false">SUBSTITUTE(SUBSTITUTE(SUBSTITUTE(SUBSTITUTE(SUBSTITUTE(Txt_P5,"{cabinet}",Cab_Nom),"{societe}",IF($K$3691=0,"",INDEX(Clients!$E$2:$E$501,$K$3691)&amp;"")),"{date_effet}",$K$3693),"{hausse}",$K$3694),"{civilite}",$K$3692)</f>
        <v>Les autres conditions de votre lettre de mission demeurent inchangées. Les nouveaux montants seront appliqués automatiquement sur vos prochaines factures et échéances de prélèvement.</v>
      </c>
      <c r="C3725" s="37"/>
      <c r="D3725" s="37"/>
      <c r="E3725" s="37"/>
      <c r="F3725" s="37"/>
    </row>
    <row r="3726" customFormat="false" ht="36.75" hidden="false" customHeight="true" outlineLevel="0" collapsed="false">
      <c r="B3726" s="37" t="str">
        <f aca="false">SUBSTITUTE(SUBSTITUTE(SUBSTITUTE(SUBSTITUTE(SUBSTITUTE(Txt_P6,"{cabinet}",Cab_Nom),"{societe}",IF($K$3691=0,"",INDEX(Clients!$E$2:$E$501,$K$3691)&amp;"")),"{date_effet}",$K$3693),"{hausse}",$K$3694),"{civilite}",$K$3692)</f>
        <v>Votre interlocuteur habituel reste à votre entière disposition pour répondre à vos questions et faire le point sur l'évolution de vos besoins.</v>
      </c>
      <c r="C3726" s="37"/>
      <c r="D3726" s="37"/>
      <c r="E3726" s="37"/>
      <c r="F3726" s="37"/>
    </row>
    <row r="3727" customFormat="false" ht="24" hidden="false" customHeight="true" outlineLevel="0" collapsed="false">
      <c r="B3727" s="37" t="str">
        <f aca="false">SUBSTITUTE(SUBSTITUTE(SUBSTITUTE(SUBSTITUTE(SUBSTITUTE(Txt_Politesse,"{cabinet}",Cab_Nom),"{societe}",IF($K$3691=0,"",INDEX(Clients!$E$2:$E$501,$K$3691)&amp;"")),"{date_effet}",$K$3693),"{hausse}",$K$3694),"{civilite}",$K$3692)</f>
        <v>Nous vous prions d'agréer, Madame, Monsieur, l'expression de nos salutations distinguées.</v>
      </c>
      <c r="C3727" s="37"/>
      <c r="D3727" s="37"/>
      <c r="E3727" s="37"/>
      <c r="F3727" s="37"/>
    </row>
    <row r="3728" customFormat="false" ht="15" hidden="false" customHeight="false" outlineLevel="0" collapsed="false">
      <c r="B3728" s="10"/>
      <c r="C3728" s="10"/>
      <c r="D3728" s="10"/>
      <c r="E3728" s="10"/>
      <c r="F3728" s="10"/>
    </row>
    <row r="3729" customFormat="false" ht="15" hidden="false" customHeight="false" outlineLevel="0" collapsed="false">
      <c r="B3729" s="10"/>
      <c r="C3729" s="10"/>
      <c r="D3729" s="34" t="str">
        <f aca="false">Signataire</f>
        <v>Prénom NOM</v>
      </c>
      <c r="E3729" s="34"/>
      <c r="F3729" s="34"/>
    </row>
    <row r="3730" customFormat="false" ht="15" hidden="false" customHeight="false" outlineLevel="0" collapsed="false">
      <c r="B3730" s="10"/>
      <c r="C3730" s="10"/>
      <c r="D3730" s="47" t="str">
        <f aca="false">Signataire_Titre</f>
        <v>Expert-comptable associé</v>
      </c>
      <c r="E3730" s="47"/>
      <c r="F3730" s="47"/>
    </row>
    <row r="3731" customFormat="false" ht="15.75" hidden="false" customHeight="true" outlineLevel="0" collapsed="false">
      <c r="B3731" s="10"/>
      <c r="C3731" s="10"/>
      <c r="D3731" s="10"/>
      <c r="E3731" s="10"/>
      <c r="F3731" s="10"/>
    </row>
    <row r="3732" customFormat="false" ht="15.75" hidden="false" customHeight="true" outlineLevel="0" collapsed="false">
      <c r="B3732" s="10"/>
      <c r="C3732" s="10"/>
      <c r="D3732" s="10"/>
      <c r="E3732" s="10"/>
      <c r="F3732" s="10"/>
    </row>
    <row r="3733" customFormat="false" ht="15.75" hidden="false" customHeight="true" outlineLevel="0" collapsed="false">
      <c r="B3733" s="10"/>
      <c r="C3733" s="10"/>
      <c r="D3733" s="10"/>
      <c r="E3733" s="10"/>
      <c r="F3733" s="10"/>
    </row>
    <row r="3734" customFormat="false" ht="15.75" hidden="false" customHeight="true" outlineLevel="0" collapsed="false">
      <c r="B3734" s="10"/>
      <c r="C3734" s="10"/>
      <c r="D3734" s="10"/>
      <c r="E3734" s="10"/>
      <c r="F3734" s="10"/>
    </row>
    <row r="3735" customFormat="false" ht="24" hidden="false" customHeight="true" outlineLevel="0" collapsed="false">
      <c r="B3735" s="48" t="str">
        <f aca="false">Cab_Mentions</f>
        <v>ALTHO EXPERTISE · SAS au capital de 10 000 € · RCS Pontoise 919 706 325 · TVA FR62919706325 · Société d'expertise comptable inscrite au Tableau de l'Ordre des experts-comptables de Paris Île-de-France</v>
      </c>
      <c r="C3735" s="48"/>
      <c r="D3735" s="48"/>
      <c r="E3735" s="48"/>
      <c r="F3735" s="48"/>
    </row>
    <row r="3736" customFormat="false" ht="15" hidden="false" customHeight="false" outlineLevel="0" collapsed="false">
      <c r="B3736" s="10"/>
      <c r="C3736" s="10"/>
      <c r="D3736" s="10"/>
      <c r="E3736" s="10"/>
      <c r="F3736" s="10"/>
      <c r="J3736" s="25" t="s">
        <v>142</v>
      </c>
      <c r="K3736" s="25" t="n">
        <f aca="false">IFERROR(MATCH(84,Clients!$Z$2:$Z$501,0),0)</f>
        <v>0</v>
      </c>
      <c r="L3736" s="25"/>
      <c r="M3736" s="25"/>
      <c r="N3736" s="25"/>
      <c r="O3736" s="25"/>
    </row>
    <row r="3737" customFormat="false" ht="21.75" hidden="false" customHeight="true" outlineLevel="0" collapsed="false">
      <c r="B3737" s="26" t="str">
        <f aca="false">Cab_Nom</f>
        <v>ALTHO EXPERTISE</v>
      </c>
      <c r="C3737" s="26"/>
      <c r="D3737" s="10"/>
      <c r="E3737" s="27" t="str">
        <f aca="false">IF($K$3736=0,"","Réf. client : "&amp;INDEX(Clients!$A$2:$A$501,$K$3736))</f>
        <v/>
      </c>
      <c r="F3737" s="27"/>
      <c r="J3737" s="25" t="s">
        <v>144</v>
      </c>
      <c r="K3737" s="25" t="str">
        <f aca="false">IF(IF($K$3736=0,"",INDEX(Clients!$B$2:$B$501,$K$3736)&amp;"")="Mme","Madame",IF(IF($K$3736=0,"",INDEX(Clients!$B$2:$B$501,$K$3736)&amp;"")="M.","Monsieur","Madame, Monsieur"))</f>
        <v>Madame, Monsieur</v>
      </c>
      <c r="L3737" s="25"/>
      <c r="M3737" s="25"/>
      <c r="N3737" s="25"/>
      <c r="O3737" s="25"/>
    </row>
    <row r="3738" customFormat="false" ht="15" hidden="false" customHeight="false" outlineLevel="0" collapsed="false">
      <c r="B3738" s="29" t="str">
        <f aca="false">Cab_Adr1</f>
        <v>141 rue Charles de Gaulle</v>
      </c>
      <c r="C3738" s="29"/>
      <c r="D3738" s="10"/>
      <c r="E3738" s="10"/>
      <c r="F3738" s="10"/>
      <c r="J3738" s="25" t="s">
        <v>145</v>
      </c>
      <c r="K3738" s="25" t="str">
        <f aca="false">DAY(Date_Effet)&amp;IF(DAY(Date_Effet)=1,"er","")&amp;" "&amp;INDEX(Liste_Mois,MONTH(Date_Effet))&amp;" "&amp;YEAR(Date_Effet)</f>
        <v>1er janvier 2027</v>
      </c>
      <c r="L3738" s="25"/>
      <c r="M3738" s="25"/>
      <c r="N3738" s="25"/>
      <c r="O3738" s="25"/>
    </row>
    <row r="3739" customFormat="false" ht="15" hidden="false" customHeight="false" outlineLevel="0" collapsed="false">
      <c r="B3739" s="29" t="str">
        <f aca="false">Cab_CPVille</f>
        <v>95130 LE PLESSIS-BOUCHARD</v>
      </c>
      <c r="C3739" s="29"/>
      <c r="D3739" s="10"/>
      <c r="E3739" s="10"/>
      <c r="F3739" s="10"/>
      <c r="J3739" s="25" t="s">
        <v>146</v>
      </c>
      <c r="K3739" s="25" t="str">
        <f aca="false">IF(SUM($K$3763:$K$3766)=0,"",FIXED((SUM($L$3763:$L$3766)/SUM($K$3763:$K$3766)-1)*100,1)&amp;" %")</f>
        <v/>
      </c>
      <c r="L3739" s="25"/>
      <c r="M3739" s="25"/>
      <c r="N3739" s="25"/>
      <c r="O3739" s="25"/>
    </row>
    <row r="3740" customFormat="false" ht="15" hidden="false" customHeight="false" outlineLevel="0" collapsed="false">
      <c r="B3740" s="29" t="str">
        <f aca="false">Cab_Contact</f>
        <v>Tél. 01 34 14 53 45  ·  altho@altho-experts.com  ·  altho-experts.com</v>
      </c>
      <c r="C3740" s="29"/>
      <c r="D3740" s="10"/>
      <c r="E3740" s="10"/>
      <c r="F3740" s="10"/>
      <c r="J3740" s="25"/>
      <c r="K3740" s="25"/>
      <c r="L3740" s="25"/>
      <c r="M3740" s="25"/>
      <c r="N3740" s="25"/>
      <c r="O3740" s="25"/>
    </row>
    <row r="3741" customFormat="false" ht="6" hidden="false" customHeight="true" outlineLevel="0" collapsed="false">
      <c r="B3741" s="32"/>
      <c r="C3741" s="32"/>
      <c r="D3741" s="32"/>
      <c r="E3741" s="32"/>
      <c r="F3741" s="32"/>
      <c r="J3741" s="25"/>
      <c r="K3741" s="25"/>
      <c r="L3741" s="25"/>
      <c r="M3741" s="25"/>
      <c r="N3741" s="25"/>
      <c r="O3741" s="25"/>
    </row>
    <row r="3742" customFormat="false" ht="13.5" hidden="false" customHeight="true" outlineLevel="0" collapsed="false">
      <c r="B3742" s="10"/>
      <c r="C3742" s="10"/>
      <c r="D3742" s="10"/>
      <c r="E3742" s="10"/>
      <c r="F3742" s="10"/>
      <c r="J3742" s="25"/>
      <c r="K3742" s="25"/>
      <c r="L3742" s="25"/>
      <c r="M3742" s="25"/>
      <c r="N3742" s="25"/>
      <c r="O3742" s="25"/>
    </row>
    <row r="3743" customFormat="false" ht="13.5" hidden="false" customHeight="true" outlineLevel="0" collapsed="false">
      <c r="B3743" s="10"/>
      <c r="C3743" s="10"/>
      <c r="D3743" s="10"/>
      <c r="E3743" s="10"/>
      <c r="F3743" s="10"/>
      <c r="J3743" s="25"/>
      <c r="K3743" s="25"/>
      <c r="L3743" s="25"/>
      <c r="M3743" s="25"/>
      <c r="N3743" s="25"/>
      <c r="O3743" s="25"/>
    </row>
    <row r="3744" customFormat="false" ht="13.5" hidden="false" customHeight="true" outlineLevel="0" collapsed="false">
      <c r="B3744" s="10"/>
      <c r="C3744" s="10"/>
      <c r="D3744" s="10"/>
      <c r="E3744" s="10"/>
      <c r="F3744" s="10"/>
      <c r="J3744" s="25"/>
      <c r="K3744" s="25"/>
      <c r="L3744" s="25"/>
      <c r="M3744" s="25"/>
      <c r="N3744" s="25"/>
      <c r="O3744" s="25"/>
    </row>
    <row r="3745" customFormat="false" ht="15" hidden="false" customHeight="true" outlineLevel="0" collapsed="false">
      <c r="B3745" s="10"/>
      <c r="C3745" s="10"/>
      <c r="D3745" s="34" t="str">
        <f aca="false">IF($K$3736=0,"",INDEX(Clients!$E$2:$E$501,$K$3736)&amp;"")</f>
        <v/>
      </c>
      <c r="E3745" s="34"/>
      <c r="F3745" s="34"/>
      <c r="J3745" s="25"/>
      <c r="K3745" s="25"/>
      <c r="L3745" s="25"/>
      <c r="M3745" s="25"/>
      <c r="N3745" s="25"/>
      <c r="O3745" s="25"/>
    </row>
    <row r="3746" customFormat="false" ht="15" hidden="false" customHeight="true" outlineLevel="0" collapsed="false">
      <c r="B3746" s="10"/>
      <c r="C3746" s="10"/>
      <c r="D3746" s="35" t="str">
        <f aca="false">IF(IF($K$3736=0,"",INDEX(Clients!$D$2:$D$501,$K$3736)&amp;"")="","","À l'attention de "&amp;TRIM(IF($K$3736=0,"",INDEX(Clients!$B$2:$B$501,$K$3736)&amp;"")&amp;" "&amp;IF($K$3736=0,"",INDEX(Clients!$C$2:$C$501,$K$3736)&amp;"")&amp;" "&amp;IF($K$3736=0,"",INDEX(Clients!$D$2:$D$501,$K$3736)&amp;"")))</f>
        <v/>
      </c>
      <c r="E3746" s="35"/>
      <c r="F3746" s="35"/>
      <c r="J3746" s="25"/>
      <c r="K3746" s="25"/>
      <c r="L3746" s="25"/>
      <c r="M3746" s="25"/>
      <c r="N3746" s="25"/>
      <c r="O3746" s="25"/>
    </row>
    <row r="3747" customFormat="false" ht="15" hidden="false" customHeight="true" outlineLevel="0" collapsed="false">
      <c r="B3747" s="10"/>
      <c r="C3747" s="10"/>
      <c r="D3747" s="35" t="str">
        <f aca="false">IF($K$3736=0,"",INDEX(Clients!$F$2:$F$501,$K$3736)&amp;"")</f>
        <v/>
      </c>
      <c r="E3747" s="35"/>
      <c r="F3747" s="35"/>
      <c r="J3747" s="25"/>
      <c r="K3747" s="25"/>
      <c r="L3747" s="25"/>
      <c r="M3747" s="25"/>
      <c r="N3747" s="25"/>
      <c r="O3747" s="25"/>
    </row>
    <row r="3748" customFormat="false" ht="15" hidden="false" customHeight="true" outlineLevel="0" collapsed="false">
      <c r="B3748" s="10"/>
      <c r="C3748" s="10"/>
      <c r="D3748" s="35" t="str">
        <f aca="false">IF(IF($K$3736=0,"",INDEX(Clients!$G$2:$G$501,$K$3736)&amp;"")="",TRIM(IF($K$3736=0,"",INDEX(Clients!$H$2:$H$501,$K$3736)&amp;"")&amp;" "&amp;UPPER(IF($K$3736=0,"",INDEX(Clients!$I$2:$I$501,$K$3736)&amp;""))),IF($K$3736=0,"",INDEX(Clients!$G$2:$G$501,$K$3736)&amp;""))</f>
        <v/>
      </c>
      <c r="E3748" s="35"/>
      <c r="F3748" s="35"/>
      <c r="J3748" s="25"/>
      <c r="K3748" s="25"/>
      <c r="L3748" s="25"/>
      <c r="M3748" s="25"/>
      <c r="N3748" s="25"/>
      <c r="O3748" s="25"/>
    </row>
    <row r="3749" customFormat="false" ht="15" hidden="false" customHeight="true" outlineLevel="0" collapsed="false">
      <c r="B3749" s="10"/>
      <c r="C3749" s="10"/>
      <c r="D3749" s="35" t="str">
        <f aca="false">IF(IF($K$3736=0,"",INDEX(Clients!$G$2:$G$501,$K$3736)&amp;"")="","",TRIM(IF($K$3736=0,"",INDEX(Clients!$H$2:$H$501,$K$3736)&amp;"")&amp;" "&amp;UPPER(IF($K$3736=0,"",INDEX(Clients!$I$2:$I$501,$K$3736)&amp;""))))</f>
        <v/>
      </c>
      <c r="E3749" s="35"/>
      <c r="F3749" s="35"/>
      <c r="J3749" s="25"/>
      <c r="K3749" s="25"/>
      <c r="L3749" s="25"/>
      <c r="M3749" s="25"/>
      <c r="N3749" s="25"/>
      <c r="O3749" s="25"/>
    </row>
    <row r="3750" customFormat="false" ht="25.5" hidden="false" customHeight="true" outlineLevel="0" collapsed="false">
      <c r="B3750" s="10"/>
      <c r="C3750" s="10"/>
      <c r="D3750" s="10"/>
      <c r="E3750" s="10"/>
      <c r="F3750" s="10"/>
      <c r="J3750" s="25"/>
      <c r="K3750" s="25"/>
      <c r="L3750" s="25"/>
      <c r="M3750" s="25"/>
      <c r="N3750" s="25"/>
      <c r="O3750" s="25"/>
    </row>
    <row r="3751" customFormat="false" ht="15" hidden="false" customHeight="false" outlineLevel="0" collapsed="false">
      <c r="B3751" s="10"/>
      <c r="C3751" s="10"/>
      <c r="D3751" s="36" t="str">
        <f aca="false">Cab_Ville&amp;", le "&amp;DAY(Date_Courrier)&amp;IF(DAY(Date_Courrier)=1,"er","")&amp;" "&amp;INDEX(Liste_Mois,MONTH(Date_Courrier))&amp;" "&amp;YEAR(Date_Courrier)</f>
        <v>Le Plessis-Bouchard, le 22 septembre 2026</v>
      </c>
      <c r="E3751" s="36"/>
      <c r="F3751" s="36"/>
      <c r="J3751" s="25"/>
      <c r="K3751" s="25"/>
      <c r="L3751" s="25"/>
      <c r="M3751" s="25"/>
      <c r="N3751" s="25"/>
      <c r="O3751" s="25"/>
    </row>
    <row r="3752" customFormat="false" ht="19.5" hidden="false" customHeight="true" outlineLevel="0" collapsed="false">
      <c r="B3752" s="10"/>
      <c r="C3752" s="10"/>
      <c r="D3752" s="10"/>
      <c r="E3752" s="10"/>
      <c r="F3752" s="10"/>
      <c r="J3752" s="25"/>
      <c r="K3752" s="25"/>
      <c r="L3752" s="25"/>
      <c r="M3752" s="25"/>
      <c r="N3752" s="25"/>
      <c r="O3752" s="25"/>
    </row>
    <row r="3753" customFormat="false" ht="15" hidden="false" customHeight="false" outlineLevel="0" collapsed="false">
      <c r="B3753" s="34" t="str">
        <f aca="false">SUBSTITUTE(SUBSTITUTE(SUBSTITUTE(SUBSTITUTE(SUBSTITUTE(Txt_Objet,"{cabinet}",Cab_Nom),"{societe}",IF($K$3736=0,"",INDEX(Clients!$E$2:$E$501,$K$3736)&amp;"")),"{date_effet}",$K$3738),"{hausse}",$K$3739),"{civilite}",$K$3737)</f>
        <v>Objet : révision de nos honoraires au 1er janvier 2027</v>
      </c>
      <c r="C3753" s="34"/>
      <c r="D3753" s="34"/>
      <c r="E3753" s="34"/>
      <c r="F3753" s="34"/>
      <c r="J3753" s="25"/>
      <c r="K3753" s="25"/>
      <c r="L3753" s="25"/>
      <c r="M3753" s="25"/>
      <c r="N3753" s="25"/>
      <c r="O3753" s="25"/>
    </row>
    <row r="3754" customFormat="false" ht="13.5" hidden="false" customHeight="true" outlineLevel="0" collapsed="false">
      <c r="B3754" s="10"/>
      <c r="C3754" s="10"/>
      <c r="D3754" s="10"/>
      <c r="E3754" s="10"/>
      <c r="F3754" s="10"/>
      <c r="J3754" s="25"/>
      <c r="K3754" s="25"/>
      <c r="L3754" s="25"/>
      <c r="M3754" s="25"/>
      <c r="N3754" s="25"/>
      <c r="O3754" s="25"/>
    </row>
    <row r="3755" customFormat="false" ht="15" hidden="false" customHeight="false" outlineLevel="0" collapsed="false">
      <c r="B3755" s="10" t="str">
        <f aca="false">$K$3737&amp;","</f>
        <v>Madame, Monsieur,</v>
      </c>
      <c r="C3755" s="10"/>
      <c r="D3755" s="10"/>
      <c r="E3755" s="10"/>
      <c r="F3755" s="10"/>
      <c r="J3755" s="25"/>
      <c r="K3755" s="25"/>
      <c r="L3755" s="25"/>
      <c r="M3755" s="25"/>
      <c r="N3755" s="25"/>
      <c r="O3755" s="25"/>
    </row>
    <row r="3756" customFormat="false" ht="6" hidden="false" customHeight="true" outlineLevel="0" collapsed="false">
      <c r="B3756" s="10"/>
      <c r="C3756" s="10"/>
      <c r="D3756" s="10"/>
      <c r="E3756" s="10"/>
      <c r="F3756" s="10"/>
      <c r="J3756" s="25"/>
      <c r="K3756" s="25"/>
      <c r="L3756" s="25"/>
      <c r="M3756" s="25"/>
      <c r="N3756" s="25"/>
      <c r="O3756" s="25"/>
    </row>
    <row r="3757" customFormat="false" ht="36.75" hidden="false" customHeight="true" outlineLevel="0" collapsed="false">
      <c r="B3757" s="37" t="str">
        <f aca="false">SUBSTITUTE(SUBSTITUTE(SUBSTITUTE(SUBSTITUTE(SUBSTITUTE(Txt_P1,"{cabinet}",Cab_Nom),"{societe}",IF($K$3736=0,"",INDEX(Clients!$E$2:$E$501,$K$3736)&amp;"")),"{date_effet}",$K$3738),"{hausse}",$K$3739),"{civilite}",$K$3737)</f>
        <v>Nous tenons tout d'abord à vous remercier pour la confiance que vous accordez à ALTHO EXPERTISE. Comme chaque année, et conformément aux dispositions de votre lettre de mission, nous procédons à la révision de nos honoraires.</v>
      </c>
      <c r="C3757" s="37"/>
      <c r="D3757" s="37"/>
      <c r="E3757" s="37"/>
      <c r="F3757" s="37"/>
      <c r="J3757" s="25"/>
      <c r="K3757" s="25"/>
      <c r="L3757" s="25"/>
      <c r="M3757" s="25"/>
      <c r="N3757" s="25"/>
      <c r="O3757" s="25"/>
    </row>
    <row r="3758" customFormat="false" ht="49.5" hidden="false" customHeight="true" outlineLevel="0" collapsed="false">
      <c r="B3758" s="37" t="str">
        <f aca="false">SUBSTITUTE(SUBSTITUTE(SUBSTITUTE(SUBSTITUTE(SUBSTITUTE(Txt_P2,"{cabinet}",Cab_Nom),"{societe}",IF($K$3736=0,"",INDEX(Clients!$E$2:$E$501,$K$3736)&amp;"")),"{date_effet}",$K$3738),"{hausse}",$K$3739),"{civilite}",$K$3737)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758" s="37"/>
      <c r="D3758" s="37"/>
      <c r="E3758" s="37"/>
      <c r="F3758" s="37"/>
      <c r="J3758" s="25"/>
      <c r="K3758" s="25"/>
      <c r="L3758" s="25"/>
      <c r="M3758" s="25"/>
      <c r="N3758" s="25"/>
      <c r="O3758" s="25"/>
    </row>
    <row r="3759" customFormat="false" ht="63" hidden="false" customHeight="true" outlineLevel="0" collapsed="false">
      <c r="B3759" s="37" t="str">
        <f aca="false">SUBSTITUTE(SUBSTITUTE(SUBSTITUTE(SUBSTITUTE(SUBSTITUTE(Txt_P3,"{cabinet}",Cab_Nom),"{societe}",IF($K$3736=0,"",INDEX(Clients!$E$2:$E$501,$K$3736)&amp;"")),"{date_effet}",$K$3738),"{hausse}",$K$3739),"{civilite}",$K$3737)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759" s="37"/>
      <c r="D3759" s="37"/>
      <c r="E3759" s="37"/>
      <c r="F3759" s="37"/>
      <c r="J3759" s="25"/>
      <c r="K3759" s="25"/>
      <c r="L3759" s="25"/>
      <c r="M3759" s="25"/>
      <c r="N3759" s="25"/>
      <c r="O3759" s="25"/>
    </row>
    <row r="3760" customFormat="false" ht="24" hidden="false" customHeight="true" outlineLevel="0" collapsed="false">
      <c r="B3760" s="37" t="str">
        <f aca="false">SUBSTITUTE(SUBSTITUTE(SUBSTITUTE(SUBSTITUTE(SUBSTITUTE(Txt_P4,"{cabinet}",Cab_Nom),"{societe}",IF($K$3736=0,"",INDEX(Clients!$E$2:$E$501,$K$3736)&amp;"")),"{date_effet}",$K$3738),"{hausse}",$K$3739),"{civilite}",$K$3737)</f>
        <v>À compter du 1er janvier 2027, vos honoraires annuels hors taxes évolueront ainsi (évolution globale : ) :</v>
      </c>
      <c r="C3760" s="37"/>
      <c r="D3760" s="37"/>
      <c r="E3760" s="37"/>
      <c r="F3760" s="37"/>
      <c r="J3760" s="25"/>
      <c r="K3760" s="25"/>
      <c r="L3760" s="25"/>
      <c r="M3760" s="25"/>
      <c r="N3760" s="25"/>
      <c r="O3760" s="25"/>
    </row>
    <row r="3761" customFormat="false" ht="3.75" hidden="false" customHeight="true" outlineLevel="0" collapsed="false">
      <c r="B3761" s="10"/>
      <c r="C3761" s="10"/>
      <c r="D3761" s="10"/>
      <c r="E3761" s="10"/>
      <c r="F3761" s="10"/>
      <c r="J3761" s="25"/>
      <c r="K3761" s="25"/>
      <c r="L3761" s="25"/>
      <c r="M3761" s="25"/>
      <c r="N3761" s="25"/>
      <c r="O3761" s="25"/>
    </row>
    <row r="3762" customFormat="false" ht="18" hidden="false" customHeight="true" outlineLevel="0" collapsed="false">
      <c r="B3762" s="38" t="s">
        <v>148</v>
      </c>
      <c r="C3762" s="39" t="s">
        <v>149</v>
      </c>
      <c r="D3762" s="39" t="s">
        <v>150</v>
      </c>
      <c r="E3762" s="39" t="s">
        <v>151</v>
      </c>
      <c r="F3762" s="39" t="s">
        <v>109</v>
      </c>
      <c r="J3762" s="25" t="s">
        <v>152</v>
      </c>
      <c r="K3762" s="25" t="s">
        <v>153</v>
      </c>
      <c r="L3762" s="25" t="s">
        <v>154</v>
      </c>
      <c r="M3762" s="25" t="s">
        <v>155</v>
      </c>
      <c r="N3762" s="25" t="s">
        <v>156</v>
      </c>
      <c r="O3762" s="25" t="s">
        <v>157</v>
      </c>
    </row>
    <row r="3763" customFormat="false" ht="16.5" hidden="false" customHeight="true" outlineLevel="0" collapsed="false">
      <c r="B3763" s="40" t="str">
        <f aca="false">IFERROR(INDEX($J$3763:$J$3766,MATCH($O3763,$N$3763:$N$3766,0)),"")</f>
        <v/>
      </c>
      <c r="C3763" s="41" t="str">
        <f aca="false">IFERROR(INDEX($K$3763:$K$3766,MATCH($O3763,$N$3763:$N$3766,0)),"")</f>
        <v/>
      </c>
      <c r="D3763" s="42" t="str">
        <f aca="false">IF(OR(E3763="",N(C3763)=0),"",E3763/C3763-1)</f>
        <v/>
      </c>
      <c r="E3763" s="41" t="str">
        <f aca="false">IFERROR(INDEX($L$3763:$L$3766,MATCH($O3763,$N$3763:$N$3766,0)),"")</f>
        <v/>
      </c>
      <c r="F3763" s="41" t="str">
        <f aca="false">IF(E3763="","",E3763-C3763)</f>
        <v/>
      </c>
      <c r="J3763" s="25" t="str">
        <f aca="false">Lib_Compta</f>
        <v>Mission comptable (tenue, révision, bilan, liasse fiscale)</v>
      </c>
      <c r="K3763" s="25" t="n">
        <f aca="false">IF($K$3736=0,0,N(INDEX(Clients!$K$2:$K$501,$K$3736)))</f>
        <v>0</v>
      </c>
      <c r="L3763" s="25" t="n">
        <f aca="false">IF($K$3736=0,0,N(INDEX(Clients!$P$2:$P$501,$K$3736)))</f>
        <v>0</v>
      </c>
      <c r="M3763" s="25" t="n">
        <f aca="false">IF(OR(K3763&lt;&gt;0,L3763&lt;&gt;0),1,0)</f>
        <v>0</v>
      </c>
      <c r="N3763" s="25" t="str">
        <f aca="false">IF(M3763=1,SUM($M$3763:M3763),"")</f>
        <v/>
      </c>
      <c r="O3763" s="25" t="n">
        <v>1</v>
      </c>
    </row>
    <row r="3764" customFormat="false" ht="16.5" hidden="false" customHeight="true" outlineLevel="0" collapsed="false">
      <c r="B3764" s="40" t="str">
        <f aca="false">IFERROR(INDEX($J$3763:$J$3766,MATCH($O3764,$N$3763:$N$3766,0)),"")</f>
        <v/>
      </c>
      <c r="C3764" s="41" t="str">
        <f aca="false">IFERROR(INDEX($K$3763:$K$3766,MATCH($O3764,$N$3763:$N$3766,0)),"")</f>
        <v/>
      </c>
      <c r="D3764" s="42" t="str">
        <f aca="false">IF(OR(E3764="",N(C3764)=0),"",E3764/C3764-1)</f>
        <v/>
      </c>
      <c r="E3764" s="41" t="str">
        <f aca="false">IFERROR(INDEX($L$3763:$L$3766,MATCH($O3764,$N$3763:$N$3766,0)),"")</f>
        <v/>
      </c>
      <c r="F3764" s="41" t="str">
        <f aca="false">IF(E3764="","",E3764-C3764)</f>
        <v/>
      </c>
      <c r="J3764" s="25" t="str">
        <f aca="false">Lib_Paye</f>
        <v>Mission sociale (bulletins de paie, DSN, déclarations sociales)</v>
      </c>
      <c r="K3764" s="25" t="n">
        <f aca="false">IF($K$3736=0,0,N(INDEX(Clients!$L$2:$L$501,$K$3736)))</f>
        <v>0</v>
      </c>
      <c r="L3764" s="25" t="n">
        <f aca="false">IF($K$3736=0,0,N(INDEX(Clients!$Q$2:$Q$501,$K$3736)))</f>
        <v>0</v>
      </c>
      <c r="M3764" s="25" t="n">
        <f aca="false">IF(OR(K3764&lt;&gt;0,L3764&lt;&gt;0),1,0)</f>
        <v>0</v>
      </c>
      <c r="N3764" s="25" t="str">
        <f aca="false">IF(M3764=1,SUM($M$3763:M3764),"")</f>
        <v/>
      </c>
      <c r="O3764" s="25" t="n">
        <v>2</v>
      </c>
    </row>
    <row r="3765" customFormat="false" ht="16.5" hidden="false" customHeight="true" outlineLevel="0" collapsed="false">
      <c r="B3765" s="40" t="str">
        <f aca="false">IFERROR(INDEX($J$3763:$J$3766,MATCH($O3765,$N$3763:$N$3766,0)),"")</f>
        <v/>
      </c>
      <c r="C3765" s="41" t="str">
        <f aca="false">IFERROR(INDEX($K$3763:$K$3766,MATCH($O3765,$N$3763:$N$3766,0)),"")</f>
        <v/>
      </c>
      <c r="D3765" s="42" t="str">
        <f aca="false">IF(OR(E3765="",N(C3765)=0),"",E3765/C3765-1)</f>
        <v/>
      </c>
      <c r="E3765" s="41" t="str">
        <f aca="false">IFERROR(INDEX($L$3763:$L$3766,MATCH($O3765,$N$3763:$N$3766,0)),"")</f>
        <v/>
      </c>
      <c r="F3765" s="41" t="str">
        <f aca="false">IF(E3765="","",E3765-C3765)</f>
        <v/>
      </c>
      <c r="J3765" s="25" t="str">
        <f aca="false">Lib_Jur</f>
        <v>Mission juridique (approbation des comptes, secrétariat juridique)</v>
      </c>
      <c r="K3765" s="25" t="n">
        <f aca="false">IF($K$3736=0,0,N(INDEX(Clients!$M$2:$M$501,$K$3736)))</f>
        <v>0</v>
      </c>
      <c r="L3765" s="25" t="n">
        <f aca="false">IF($K$3736=0,0,N(INDEX(Clients!$R$2:$R$501,$K$3736)))</f>
        <v>0</v>
      </c>
      <c r="M3765" s="25" t="n">
        <f aca="false">IF(OR(K3765&lt;&gt;0,L3765&lt;&gt;0),1,0)</f>
        <v>0</v>
      </c>
      <c r="N3765" s="25" t="str">
        <f aca="false">IF(M3765=1,SUM($M$3763:M3765),"")</f>
        <v/>
      </c>
      <c r="O3765" s="25" t="n">
        <v>3</v>
      </c>
    </row>
    <row r="3766" customFormat="false" ht="16.5" hidden="false" customHeight="true" outlineLevel="0" collapsed="false">
      <c r="B3766" s="40" t="str">
        <f aca="false">IFERROR(INDEX($J$3763:$J$3766,MATCH($O3766,$N$3763:$N$3766,0)),"")</f>
        <v/>
      </c>
      <c r="C3766" s="41" t="str">
        <f aca="false">IFERROR(INDEX($K$3763:$K$3766,MATCH($O3766,$N$3763:$N$3766,0)),"")</f>
        <v/>
      </c>
      <c r="D3766" s="42" t="str">
        <f aca="false">IF(OR(E3766="",N(C3766)=0),"",E3766/C3766-1)</f>
        <v/>
      </c>
      <c r="E3766" s="41" t="str">
        <f aca="false">IFERROR(INDEX($L$3763:$L$3766,MATCH($O3766,$N$3763:$N$3766,0)),"")</f>
        <v/>
      </c>
      <c r="F3766" s="41" t="str">
        <f aca="false">IF(E3766="","",E3766-C3766)</f>
        <v/>
      </c>
      <c r="J3766" s="25" t="str">
        <f aca="false">Lib_PA</f>
        <v>Plateforme agréée – facturation électronique</v>
      </c>
      <c r="K3766" s="25" t="n">
        <f aca="false">IF($K$3736=0,0,N(INDEX(Clients!$N$2:$N$501,$K$3736)))</f>
        <v>0</v>
      </c>
      <c r="L3766" s="25" t="n">
        <f aca="false">IF($K$3736=0,0,N(INDEX(Clients!$S$2:$S$501,$K$3736)))</f>
        <v>0</v>
      </c>
      <c r="M3766" s="25" t="n">
        <f aca="false">IF(OR(K3766&lt;&gt;0,L3766&lt;&gt;0),1,0)</f>
        <v>0</v>
      </c>
      <c r="N3766" s="25" t="str">
        <f aca="false">IF(M3766=1,SUM($M$3763:M3766),"")</f>
        <v/>
      </c>
      <c r="O3766" s="25" t="n">
        <v>4</v>
      </c>
    </row>
    <row r="3767" customFormat="false" ht="18" hidden="false" customHeight="true" outlineLevel="0" collapsed="false">
      <c r="B3767" s="43" t="s">
        <v>158</v>
      </c>
      <c r="C3767" s="44" t="n">
        <f aca="false">SUM(K3763:K3766)</f>
        <v>0</v>
      </c>
      <c r="D3767" s="45" t="str">
        <f aca="false">IF(N(C3767)=0,"",E3767/C3767-1)</f>
        <v/>
      </c>
      <c r="E3767" s="44" t="n">
        <f aca="false">SUM(L3763:L3766)</f>
        <v>0</v>
      </c>
      <c r="F3767" s="44" t="n">
        <f aca="false">E3767-C3767</f>
        <v>0</v>
      </c>
    </row>
    <row r="3768" customFormat="false" ht="15" hidden="false" customHeight="false" outlineLevel="0" collapsed="false">
      <c r="B3768" s="46" t="str">
        <f aca="false">IF(N(Nb_Mensualites)=0,"","Soit "&amp;FIXED(E3767/Nb_Mensualites,2)&amp;" € HT par échéance ("&amp;Nb_Mensualites&amp;" échéances), "&amp;FIXED(E3767/Nb_Mensualites*(1+Taux_TVA),2)&amp;" € TTC.")</f>
        <v>Soit 0.00 € HT par échéance (12 échéances), 0.00 € TTC.</v>
      </c>
      <c r="C3768" s="46"/>
      <c r="D3768" s="46"/>
      <c r="E3768" s="46"/>
      <c r="F3768" s="46"/>
    </row>
    <row r="3769" customFormat="false" ht="7.5" hidden="false" customHeight="true" outlineLevel="0" collapsed="false">
      <c r="B3769" s="10"/>
      <c r="C3769" s="10"/>
      <c r="D3769" s="10"/>
      <c r="E3769" s="10"/>
      <c r="F3769" s="10"/>
    </row>
    <row r="3770" customFormat="false" ht="36.75" hidden="false" customHeight="true" outlineLevel="0" collapsed="false">
      <c r="B3770" s="37" t="str">
        <f aca="false">SUBSTITUTE(SUBSTITUTE(SUBSTITUTE(SUBSTITUTE(SUBSTITUTE(Txt_P5,"{cabinet}",Cab_Nom),"{societe}",IF($K$3736=0,"",INDEX(Clients!$E$2:$E$501,$K$3736)&amp;"")),"{date_effet}",$K$3738),"{hausse}",$K$3739),"{civilite}",$K$3737)</f>
        <v>Les autres conditions de votre lettre de mission demeurent inchangées. Les nouveaux montants seront appliqués automatiquement sur vos prochaines factures et échéances de prélèvement.</v>
      </c>
      <c r="C3770" s="37"/>
      <c r="D3770" s="37"/>
      <c r="E3770" s="37"/>
      <c r="F3770" s="37"/>
    </row>
    <row r="3771" customFormat="false" ht="36.75" hidden="false" customHeight="true" outlineLevel="0" collapsed="false">
      <c r="B3771" s="37" t="str">
        <f aca="false">SUBSTITUTE(SUBSTITUTE(SUBSTITUTE(SUBSTITUTE(SUBSTITUTE(Txt_P6,"{cabinet}",Cab_Nom),"{societe}",IF($K$3736=0,"",INDEX(Clients!$E$2:$E$501,$K$3736)&amp;"")),"{date_effet}",$K$3738),"{hausse}",$K$3739),"{civilite}",$K$3737)</f>
        <v>Votre interlocuteur habituel reste à votre entière disposition pour répondre à vos questions et faire le point sur l'évolution de vos besoins.</v>
      </c>
      <c r="C3771" s="37"/>
      <c r="D3771" s="37"/>
      <c r="E3771" s="37"/>
      <c r="F3771" s="37"/>
    </row>
    <row r="3772" customFormat="false" ht="24" hidden="false" customHeight="true" outlineLevel="0" collapsed="false">
      <c r="B3772" s="37" t="str">
        <f aca="false">SUBSTITUTE(SUBSTITUTE(SUBSTITUTE(SUBSTITUTE(SUBSTITUTE(Txt_Politesse,"{cabinet}",Cab_Nom),"{societe}",IF($K$3736=0,"",INDEX(Clients!$E$2:$E$501,$K$3736)&amp;"")),"{date_effet}",$K$3738),"{hausse}",$K$3739),"{civilite}",$K$3737)</f>
        <v>Nous vous prions d'agréer, Madame, Monsieur, l'expression de nos salutations distinguées.</v>
      </c>
      <c r="C3772" s="37"/>
      <c r="D3772" s="37"/>
      <c r="E3772" s="37"/>
      <c r="F3772" s="37"/>
    </row>
    <row r="3773" customFormat="false" ht="15" hidden="false" customHeight="false" outlineLevel="0" collapsed="false">
      <c r="B3773" s="10"/>
      <c r="C3773" s="10"/>
      <c r="D3773" s="10"/>
      <c r="E3773" s="10"/>
      <c r="F3773" s="10"/>
    </row>
    <row r="3774" customFormat="false" ht="15" hidden="false" customHeight="false" outlineLevel="0" collapsed="false">
      <c r="B3774" s="10"/>
      <c r="C3774" s="10"/>
      <c r="D3774" s="34" t="str">
        <f aca="false">Signataire</f>
        <v>Prénom NOM</v>
      </c>
      <c r="E3774" s="34"/>
      <c r="F3774" s="34"/>
    </row>
    <row r="3775" customFormat="false" ht="15" hidden="false" customHeight="false" outlineLevel="0" collapsed="false">
      <c r="B3775" s="10"/>
      <c r="C3775" s="10"/>
      <c r="D3775" s="47" t="str">
        <f aca="false">Signataire_Titre</f>
        <v>Expert-comptable associé</v>
      </c>
      <c r="E3775" s="47"/>
      <c r="F3775" s="47"/>
    </row>
    <row r="3776" customFormat="false" ht="15.75" hidden="false" customHeight="true" outlineLevel="0" collapsed="false">
      <c r="B3776" s="10"/>
      <c r="C3776" s="10"/>
      <c r="D3776" s="10"/>
      <c r="E3776" s="10"/>
      <c r="F3776" s="10"/>
    </row>
    <row r="3777" customFormat="false" ht="15.75" hidden="false" customHeight="true" outlineLevel="0" collapsed="false">
      <c r="B3777" s="10"/>
      <c r="C3777" s="10"/>
      <c r="D3777" s="10"/>
      <c r="E3777" s="10"/>
      <c r="F3777" s="10"/>
    </row>
    <row r="3778" customFormat="false" ht="15.75" hidden="false" customHeight="true" outlineLevel="0" collapsed="false">
      <c r="B3778" s="10"/>
      <c r="C3778" s="10"/>
      <c r="D3778" s="10"/>
      <c r="E3778" s="10"/>
      <c r="F3778" s="10"/>
    </row>
    <row r="3779" customFormat="false" ht="15.75" hidden="false" customHeight="true" outlineLevel="0" collapsed="false">
      <c r="B3779" s="10"/>
      <c r="C3779" s="10"/>
      <c r="D3779" s="10"/>
      <c r="E3779" s="10"/>
      <c r="F3779" s="10"/>
    </row>
    <row r="3780" customFormat="false" ht="24" hidden="false" customHeight="true" outlineLevel="0" collapsed="false">
      <c r="B3780" s="48" t="str">
        <f aca="false">Cab_Mentions</f>
        <v>ALTHO EXPERTISE · SAS au capital de 10 000 € · RCS Pontoise 919 706 325 · TVA FR62919706325 · Société d'expertise comptable inscrite au Tableau de l'Ordre des experts-comptables de Paris Île-de-France</v>
      </c>
      <c r="C3780" s="48"/>
      <c r="D3780" s="48"/>
      <c r="E3780" s="48"/>
      <c r="F3780" s="48"/>
    </row>
    <row r="3781" customFormat="false" ht="15" hidden="false" customHeight="false" outlineLevel="0" collapsed="false">
      <c r="B3781" s="10"/>
      <c r="C3781" s="10"/>
      <c r="D3781" s="10"/>
      <c r="E3781" s="10"/>
      <c r="F3781" s="10"/>
      <c r="J3781" s="25" t="s">
        <v>142</v>
      </c>
      <c r="K3781" s="25" t="n">
        <f aca="false">IFERROR(MATCH(85,Clients!$Z$2:$Z$501,0),0)</f>
        <v>0</v>
      </c>
      <c r="L3781" s="25"/>
      <c r="M3781" s="25"/>
      <c r="N3781" s="25"/>
      <c r="O3781" s="25"/>
    </row>
    <row r="3782" customFormat="false" ht="21.75" hidden="false" customHeight="true" outlineLevel="0" collapsed="false">
      <c r="B3782" s="26" t="str">
        <f aca="false">Cab_Nom</f>
        <v>ALTHO EXPERTISE</v>
      </c>
      <c r="C3782" s="26"/>
      <c r="D3782" s="10"/>
      <c r="E3782" s="27" t="str">
        <f aca="false">IF($K$3781=0,"","Réf. client : "&amp;INDEX(Clients!$A$2:$A$501,$K$3781))</f>
        <v/>
      </c>
      <c r="F3782" s="27"/>
      <c r="J3782" s="25" t="s">
        <v>144</v>
      </c>
      <c r="K3782" s="25" t="str">
        <f aca="false">IF(IF($K$3781=0,"",INDEX(Clients!$B$2:$B$501,$K$3781)&amp;"")="Mme","Madame",IF(IF($K$3781=0,"",INDEX(Clients!$B$2:$B$501,$K$3781)&amp;"")="M.","Monsieur","Madame, Monsieur"))</f>
        <v>Madame, Monsieur</v>
      </c>
      <c r="L3782" s="25"/>
      <c r="M3782" s="25"/>
      <c r="N3782" s="25"/>
      <c r="O3782" s="25"/>
    </row>
    <row r="3783" customFormat="false" ht="15" hidden="false" customHeight="false" outlineLevel="0" collapsed="false">
      <c r="B3783" s="29" t="str">
        <f aca="false">Cab_Adr1</f>
        <v>141 rue Charles de Gaulle</v>
      </c>
      <c r="C3783" s="29"/>
      <c r="D3783" s="10"/>
      <c r="E3783" s="10"/>
      <c r="F3783" s="10"/>
      <c r="J3783" s="25" t="s">
        <v>145</v>
      </c>
      <c r="K3783" s="25" t="str">
        <f aca="false">DAY(Date_Effet)&amp;IF(DAY(Date_Effet)=1,"er","")&amp;" "&amp;INDEX(Liste_Mois,MONTH(Date_Effet))&amp;" "&amp;YEAR(Date_Effet)</f>
        <v>1er janvier 2027</v>
      </c>
      <c r="L3783" s="25"/>
      <c r="M3783" s="25"/>
      <c r="N3783" s="25"/>
      <c r="O3783" s="25"/>
    </row>
    <row r="3784" customFormat="false" ht="15" hidden="false" customHeight="false" outlineLevel="0" collapsed="false">
      <c r="B3784" s="29" t="str">
        <f aca="false">Cab_CPVille</f>
        <v>95130 LE PLESSIS-BOUCHARD</v>
      </c>
      <c r="C3784" s="29"/>
      <c r="D3784" s="10"/>
      <c r="E3784" s="10"/>
      <c r="F3784" s="10"/>
      <c r="J3784" s="25" t="s">
        <v>146</v>
      </c>
      <c r="K3784" s="25" t="str">
        <f aca="false">IF(SUM($K$3808:$K$3811)=0,"",FIXED((SUM($L$3808:$L$3811)/SUM($K$3808:$K$3811)-1)*100,1)&amp;" %")</f>
        <v/>
      </c>
      <c r="L3784" s="25"/>
      <c r="M3784" s="25"/>
      <c r="N3784" s="25"/>
      <c r="O3784" s="25"/>
    </row>
    <row r="3785" customFormat="false" ht="15" hidden="false" customHeight="false" outlineLevel="0" collapsed="false">
      <c r="B3785" s="29" t="str">
        <f aca="false">Cab_Contact</f>
        <v>Tél. 01 34 14 53 45  ·  altho@altho-experts.com  ·  altho-experts.com</v>
      </c>
      <c r="C3785" s="29"/>
      <c r="D3785" s="10"/>
      <c r="E3785" s="10"/>
      <c r="F3785" s="10"/>
      <c r="J3785" s="25"/>
      <c r="K3785" s="25"/>
      <c r="L3785" s="25"/>
      <c r="M3785" s="25"/>
      <c r="N3785" s="25"/>
      <c r="O3785" s="25"/>
    </row>
    <row r="3786" customFormat="false" ht="6" hidden="false" customHeight="true" outlineLevel="0" collapsed="false">
      <c r="B3786" s="32"/>
      <c r="C3786" s="32"/>
      <c r="D3786" s="32"/>
      <c r="E3786" s="32"/>
      <c r="F3786" s="32"/>
      <c r="J3786" s="25"/>
      <c r="K3786" s="25"/>
      <c r="L3786" s="25"/>
      <c r="M3786" s="25"/>
      <c r="N3786" s="25"/>
      <c r="O3786" s="25"/>
    </row>
    <row r="3787" customFormat="false" ht="13.5" hidden="false" customHeight="true" outlineLevel="0" collapsed="false">
      <c r="B3787" s="10"/>
      <c r="C3787" s="10"/>
      <c r="D3787" s="10"/>
      <c r="E3787" s="10"/>
      <c r="F3787" s="10"/>
      <c r="J3787" s="25"/>
      <c r="K3787" s="25"/>
      <c r="L3787" s="25"/>
      <c r="M3787" s="25"/>
      <c r="N3787" s="25"/>
      <c r="O3787" s="25"/>
    </row>
    <row r="3788" customFormat="false" ht="13.5" hidden="false" customHeight="true" outlineLevel="0" collapsed="false">
      <c r="B3788" s="10"/>
      <c r="C3788" s="10"/>
      <c r="D3788" s="10"/>
      <c r="E3788" s="10"/>
      <c r="F3788" s="10"/>
      <c r="J3788" s="25"/>
      <c r="K3788" s="25"/>
      <c r="L3788" s="25"/>
      <c r="M3788" s="25"/>
      <c r="N3788" s="25"/>
      <c r="O3788" s="25"/>
    </row>
    <row r="3789" customFormat="false" ht="13.5" hidden="false" customHeight="true" outlineLevel="0" collapsed="false">
      <c r="B3789" s="10"/>
      <c r="C3789" s="10"/>
      <c r="D3789" s="10"/>
      <c r="E3789" s="10"/>
      <c r="F3789" s="10"/>
      <c r="J3789" s="25"/>
      <c r="K3789" s="25"/>
      <c r="L3789" s="25"/>
      <c r="M3789" s="25"/>
      <c r="N3789" s="25"/>
      <c r="O3789" s="25"/>
    </row>
    <row r="3790" customFormat="false" ht="15" hidden="false" customHeight="true" outlineLevel="0" collapsed="false">
      <c r="B3790" s="10"/>
      <c r="C3790" s="10"/>
      <c r="D3790" s="34" t="str">
        <f aca="false">IF($K$3781=0,"",INDEX(Clients!$E$2:$E$501,$K$3781)&amp;"")</f>
        <v/>
      </c>
      <c r="E3790" s="34"/>
      <c r="F3790" s="34"/>
      <c r="J3790" s="25"/>
      <c r="K3790" s="25"/>
      <c r="L3790" s="25"/>
      <c r="M3790" s="25"/>
      <c r="N3790" s="25"/>
      <c r="O3790" s="25"/>
    </row>
    <row r="3791" customFormat="false" ht="15" hidden="false" customHeight="true" outlineLevel="0" collapsed="false">
      <c r="B3791" s="10"/>
      <c r="C3791" s="10"/>
      <c r="D3791" s="35" t="str">
        <f aca="false">IF(IF($K$3781=0,"",INDEX(Clients!$D$2:$D$501,$K$3781)&amp;"")="","","À l'attention de "&amp;TRIM(IF($K$3781=0,"",INDEX(Clients!$B$2:$B$501,$K$3781)&amp;"")&amp;" "&amp;IF($K$3781=0,"",INDEX(Clients!$C$2:$C$501,$K$3781)&amp;"")&amp;" "&amp;IF($K$3781=0,"",INDEX(Clients!$D$2:$D$501,$K$3781)&amp;"")))</f>
        <v/>
      </c>
      <c r="E3791" s="35"/>
      <c r="F3791" s="35"/>
      <c r="J3791" s="25"/>
      <c r="K3791" s="25"/>
      <c r="L3791" s="25"/>
      <c r="M3791" s="25"/>
      <c r="N3791" s="25"/>
      <c r="O3791" s="25"/>
    </row>
    <row r="3792" customFormat="false" ht="15" hidden="false" customHeight="true" outlineLevel="0" collapsed="false">
      <c r="B3792" s="10"/>
      <c r="C3792" s="10"/>
      <c r="D3792" s="35" t="str">
        <f aca="false">IF($K$3781=0,"",INDEX(Clients!$F$2:$F$501,$K$3781)&amp;"")</f>
        <v/>
      </c>
      <c r="E3792" s="35"/>
      <c r="F3792" s="35"/>
      <c r="J3792" s="25"/>
      <c r="K3792" s="25"/>
      <c r="L3792" s="25"/>
      <c r="M3792" s="25"/>
      <c r="N3792" s="25"/>
      <c r="O3792" s="25"/>
    </row>
    <row r="3793" customFormat="false" ht="15" hidden="false" customHeight="true" outlineLevel="0" collapsed="false">
      <c r="B3793" s="10"/>
      <c r="C3793" s="10"/>
      <c r="D3793" s="35" t="str">
        <f aca="false">IF(IF($K$3781=0,"",INDEX(Clients!$G$2:$G$501,$K$3781)&amp;"")="",TRIM(IF($K$3781=0,"",INDEX(Clients!$H$2:$H$501,$K$3781)&amp;"")&amp;" "&amp;UPPER(IF($K$3781=0,"",INDEX(Clients!$I$2:$I$501,$K$3781)&amp;""))),IF($K$3781=0,"",INDEX(Clients!$G$2:$G$501,$K$3781)&amp;""))</f>
        <v/>
      </c>
      <c r="E3793" s="35"/>
      <c r="F3793" s="35"/>
      <c r="J3793" s="25"/>
      <c r="K3793" s="25"/>
      <c r="L3793" s="25"/>
      <c r="M3793" s="25"/>
      <c r="N3793" s="25"/>
      <c r="O3793" s="25"/>
    </row>
    <row r="3794" customFormat="false" ht="15" hidden="false" customHeight="true" outlineLevel="0" collapsed="false">
      <c r="B3794" s="10"/>
      <c r="C3794" s="10"/>
      <c r="D3794" s="35" t="str">
        <f aca="false">IF(IF($K$3781=0,"",INDEX(Clients!$G$2:$G$501,$K$3781)&amp;"")="","",TRIM(IF($K$3781=0,"",INDEX(Clients!$H$2:$H$501,$K$3781)&amp;"")&amp;" "&amp;UPPER(IF($K$3781=0,"",INDEX(Clients!$I$2:$I$501,$K$3781)&amp;""))))</f>
        <v/>
      </c>
      <c r="E3794" s="35"/>
      <c r="F3794" s="35"/>
      <c r="J3794" s="25"/>
      <c r="K3794" s="25"/>
      <c r="L3794" s="25"/>
      <c r="M3794" s="25"/>
      <c r="N3794" s="25"/>
      <c r="O3794" s="25"/>
    </row>
    <row r="3795" customFormat="false" ht="25.5" hidden="false" customHeight="true" outlineLevel="0" collapsed="false">
      <c r="B3795" s="10"/>
      <c r="C3795" s="10"/>
      <c r="D3795" s="10"/>
      <c r="E3795" s="10"/>
      <c r="F3795" s="10"/>
      <c r="J3795" s="25"/>
      <c r="K3795" s="25"/>
      <c r="L3795" s="25"/>
      <c r="M3795" s="25"/>
      <c r="N3795" s="25"/>
      <c r="O3795" s="25"/>
    </row>
    <row r="3796" customFormat="false" ht="15" hidden="false" customHeight="false" outlineLevel="0" collapsed="false">
      <c r="B3796" s="10"/>
      <c r="C3796" s="10"/>
      <c r="D3796" s="36" t="str">
        <f aca="false">Cab_Ville&amp;", le "&amp;DAY(Date_Courrier)&amp;IF(DAY(Date_Courrier)=1,"er","")&amp;" "&amp;INDEX(Liste_Mois,MONTH(Date_Courrier))&amp;" "&amp;YEAR(Date_Courrier)</f>
        <v>Le Plessis-Bouchard, le 22 septembre 2026</v>
      </c>
      <c r="E3796" s="36"/>
      <c r="F3796" s="36"/>
      <c r="J3796" s="25"/>
      <c r="K3796" s="25"/>
      <c r="L3796" s="25"/>
      <c r="M3796" s="25"/>
      <c r="N3796" s="25"/>
      <c r="O3796" s="25"/>
    </row>
    <row r="3797" customFormat="false" ht="19.5" hidden="false" customHeight="true" outlineLevel="0" collapsed="false">
      <c r="B3797" s="10"/>
      <c r="C3797" s="10"/>
      <c r="D3797" s="10"/>
      <c r="E3797" s="10"/>
      <c r="F3797" s="10"/>
      <c r="J3797" s="25"/>
      <c r="K3797" s="25"/>
      <c r="L3797" s="25"/>
      <c r="M3797" s="25"/>
      <c r="N3797" s="25"/>
      <c r="O3797" s="25"/>
    </row>
    <row r="3798" customFormat="false" ht="15" hidden="false" customHeight="false" outlineLevel="0" collapsed="false">
      <c r="B3798" s="34" t="str">
        <f aca="false">SUBSTITUTE(SUBSTITUTE(SUBSTITUTE(SUBSTITUTE(SUBSTITUTE(Txt_Objet,"{cabinet}",Cab_Nom),"{societe}",IF($K$3781=0,"",INDEX(Clients!$E$2:$E$501,$K$3781)&amp;"")),"{date_effet}",$K$3783),"{hausse}",$K$3784),"{civilite}",$K$3782)</f>
        <v>Objet : révision de nos honoraires au 1er janvier 2027</v>
      </c>
      <c r="C3798" s="34"/>
      <c r="D3798" s="34"/>
      <c r="E3798" s="34"/>
      <c r="F3798" s="34"/>
      <c r="J3798" s="25"/>
      <c r="K3798" s="25"/>
      <c r="L3798" s="25"/>
      <c r="M3798" s="25"/>
      <c r="N3798" s="25"/>
      <c r="O3798" s="25"/>
    </row>
    <row r="3799" customFormat="false" ht="13.5" hidden="false" customHeight="true" outlineLevel="0" collapsed="false">
      <c r="B3799" s="10"/>
      <c r="C3799" s="10"/>
      <c r="D3799" s="10"/>
      <c r="E3799" s="10"/>
      <c r="F3799" s="10"/>
      <c r="J3799" s="25"/>
      <c r="K3799" s="25"/>
      <c r="L3799" s="25"/>
      <c r="M3799" s="25"/>
      <c r="N3799" s="25"/>
      <c r="O3799" s="25"/>
    </row>
    <row r="3800" customFormat="false" ht="15" hidden="false" customHeight="false" outlineLevel="0" collapsed="false">
      <c r="B3800" s="10" t="str">
        <f aca="false">$K$3782&amp;","</f>
        <v>Madame, Monsieur,</v>
      </c>
      <c r="C3800" s="10"/>
      <c r="D3800" s="10"/>
      <c r="E3800" s="10"/>
      <c r="F3800" s="10"/>
      <c r="J3800" s="25"/>
      <c r="K3800" s="25"/>
      <c r="L3800" s="25"/>
      <c r="M3800" s="25"/>
      <c r="N3800" s="25"/>
      <c r="O3800" s="25"/>
    </row>
    <row r="3801" customFormat="false" ht="6" hidden="false" customHeight="true" outlineLevel="0" collapsed="false">
      <c r="B3801" s="10"/>
      <c r="C3801" s="10"/>
      <c r="D3801" s="10"/>
      <c r="E3801" s="10"/>
      <c r="F3801" s="10"/>
      <c r="J3801" s="25"/>
      <c r="K3801" s="25"/>
      <c r="L3801" s="25"/>
      <c r="M3801" s="25"/>
      <c r="N3801" s="25"/>
      <c r="O3801" s="25"/>
    </row>
    <row r="3802" customFormat="false" ht="36.75" hidden="false" customHeight="true" outlineLevel="0" collapsed="false">
      <c r="B3802" s="37" t="str">
        <f aca="false">SUBSTITUTE(SUBSTITUTE(SUBSTITUTE(SUBSTITUTE(SUBSTITUTE(Txt_P1,"{cabinet}",Cab_Nom),"{societe}",IF($K$3781=0,"",INDEX(Clients!$E$2:$E$501,$K$3781)&amp;"")),"{date_effet}",$K$3783),"{hausse}",$K$3784),"{civilite}",$K$3782)</f>
        <v>Nous tenons tout d'abord à vous remercier pour la confiance que vous accordez à ALTHO EXPERTISE. Comme chaque année, et conformément aux dispositions de votre lettre de mission, nous procédons à la révision de nos honoraires.</v>
      </c>
      <c r="C3802" s="37"/>
      <c r="D3802" s="37"/>
      <c r="E3802" s="37"/>
      <c r="F3802" s="37"/>
      <c r="J3802" s="25"/>
      <c r="K3802" s="25"/>
      <c r="L3802" s="25"/>
      <c r="M3802" s="25"/>
      <c r="N3802" s="25"/>
      <c r="O3802" s="25"/>
    </row>
    <row r="3803" customFormat="false" ht="49.5" hidden="false" customHeight="true" outlineLevel="0" collapsed="false">
      <c r="B3803" s="37" t="str">
        <f aca="false">SUBSTITUTE(SUBSTITUTE(SUBSTITUTE(SUBSTITUTE(SUBSTITUTE(Txt_P2,"{cabinet}",Cab_Nom),"{societe}",IF($K$3781=0,"",INDEX(Clients!$E$2:$E$501,$K$3781)&amp;"")),"{date_effet}",$K$3783),"{hausse}",$K$3784),"{civilite}",$K$3782)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803" s="37"/>
      <c r="D3803" s="37"/>
      <c r="E3803" s="37"/>
      <c r="F3803" s="37"/>
      <c r="J3803" s="25"/>
      <c r="K3803" s="25"/>
      <c r="L3803" s="25"/>
      <c r="M3803" s="25"/>
      <c r="N3803" s="25"/>
      <c r="O3803" s="25"/>
    </row>
    <row r="3804" customFormat="false" ht="63" hidden="false" customHeight="true" outlineLevel="0" collapsed="false">
      <c r="B3804" s="37" t="str">
        <f aca="false">SUBSTITUTE(SUBSTITUTE(SUBSTITUTE(SUBSTITUTE(SUBSTITUTE(Txt_P3,"{cabinet}",Cab_Nom),"{societe}",IF($K$3781=0,"",INDEX(Clients!$E$2:$E$501,$K$3781)&amp;"")),"{date_effet}",$K$3783),"{hausse}",$K$3784),"{civilite}",$K$3782)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804" s="37"/>
      <c r="D3804" s="37"/>
      <c r="E3804" s="37"/>
      <c r="F3804" s="37"/>
      <c r="J3804" s="25"/>
      <c r="K3804" s="25"/>
      <c r="L3804" s="25"/>
      <c r="M3804" s="25"/>
      <c r="N3804" s="25"/>
      <c r="O3804" s="25"/>
    </row>
    <row r="3805" customFormat="false" ht="24" hidden="false" customHeight="true" outlineLevel="0" collapsed="false">
      <c r="B3805" s="37" t="str">
        <f aca="false">SUBSTITUTE(SUBSTITUTE(SUBSTITUTE(SUBSTITUTE(SUBSTITUTE(Txt_P4,"{cabinet}",Cab_Nom),"{societe}",IF($K$3781=0,"",INDEX(Clients!$E$2:$E$501,$K$3781)&amp;"")),"{date_effet}",$K$3783),"{hausse}",$K$3784),"{civilite}",$K$3782)</f>
        <v>À compter du 1er janvier 2027, vos honoraires annuels hors taxes évolueront ainsi (évolution globale : ) :</v>
      </c>
      <c r="C3805" s="37"/>
      <c r="D3805" s="37"/>
      <c r="E3805" s="37"/>
      <c r="F3805" s="37"/>
      <c r="J3805" s="25"/>
      <c r="K3805" s="25"/>
      <c r="L3805" s="25"/>
      <c r="M3805" s="25"/>
      <c r="N3805" s="25"/>
      <c r="O3805" s="25"/>
    </row>
    <row r="3806" customFormat="false" ht="3.75" hidden="false" customHeight="true" outlineLevel="0" collapsed="false">
      <c r="B3806" s="10"/>
      <c r="C3806" s="10"/>
      <c r="D3806" s="10"/>
      <c r="E3806" s="10"/>
      <c r="F3806" s="10"/>
      <c r="J3806" s="25"/>
      <c r="K3806" s="25"/>
      <c r="L3806" s="25"/>
      <c r="M3806" s="25"/>
      <c r="N3806" s="25"/>
      <c r="O3806" s="25"/>
    </row>
    <row r="3807" customFormat="false" ht="18" hidden="false" customHeight="true" outlineLevel="0" collapsed="false">
      <c r="B3807" s="38" t="s">
        <v>148</v>
      </c>
      <c r="C3807" s="39" t="s">
        <v>149</v>
      </c>
      <c r="D3807" s="39" t="s">
        <v>150</v>
      </c>
      <c r="E3807" s="39" t="s">
        <v>151</v>
      </c>
      <c r="F3807" s="39" t="s">
        <v>109</v>
      </c>
      <c r="J3807" s="25" t="s">
        <v>152</v>
      </c>
      <c r="K3807" s="25" t="s">
        <v>153</v>
      </c>
      <c r="L3807" s="25" t="s">
        <v>154</v>
      </c>
      <c r="M3807" s="25" t="s">
        <v>155</v>
      </c>
      <c r="N3807" s="25" t="s">
        <v>156</v>
      </c>
      <c r="O3807" s="25" t="s">
        <v>157</v>
      </c>
    </row>
    <row r="3808" customFormat="false" ht="16.5" hidden="false" customHeight="true" outlineLevel="0" collapsed="false">
      <c r="B3808" s="40" t="str">
        <f aca="false">IFERROR(INDEX($J$3808:$J$3811,MATCH($O3808,$N$3808:$N$3811,0)),"")</f>
        <v/>
      </c>
      <c r="C3808" s="41" t="str">
        <f aca="false">IFERROR(INDEX($K$3808:$K$3811,MATCH($O3808,$N$3808:$N$3811,0)),"")</f>
        <v/>
      </c>
      <c r="D3808" s="42" t="str">
        <f aca="false">IF(OR(E3808="",N(C3808)=0),"",E3808/C3808-1)</f>
        <v/>
      </c>
      <c r="E3808" s="41" t="str">
        <f aca="false">IFERROR(INDEX($L$3808:$L$3811,MATCH($O3808,$N$3808:$N$3811,0)),"")</f>
        <v/>
      </c>
      <c r="F3808" s="41" t="str">
        <f aca="false">IF(E3808="","",E3808-C3808)</f>
        <v/>
      </c>
      <c r="J3808" s="25" t="str">
        <f aca="false">Lib_Compta</f>
        <v>Mission comptable (tenue, révision, bilan, liasse fiscale)</v>
      </c>
      <c r="K3808" s="25" t="n">
        <f aca="false">IF($K$3781=0,0,N(INDEX(Clients!$K$2:$K$501,$K$3781)))</f>
        <v>0</v>
      </c>
      <c r="L3808" s="25" t="n">
        <f aca="false">IF($K$3781=0,0,N(INDEX(Clients!$P$2:$P$501,$K$3781)))</f>
        <v>0</v>
      </c>
      <c r="M3808" s="25" t="n">
        <f aca="false">IF(OR(K3808&lt;&gt;0,L3808&lt;&gt;0),1,0)</f>
        <v>0</v>
      </c>
      <c r="N3808" s="25" t="str">
        <f aca="false">IF(M3808=1,SUM($M$3808:M3808),"")</f>
        <v/>
      </c>
      <c r="O3808" s="25" t="n">
        <v>1</v>
      </c>
    </row>
    <row r="3809" customFormat="false" ht="16.5" hidden="false" customHeight="true" outlineLevel="0" collapsed="false">
      <c r="B3809" s="40" t="str">
        <f aca="false">IFERROR(INDEX($J$3808:$J$3811,MATCH($O3809,$N$3808:$N$3811,0)),"")</f>
        <v/>
      </c>
      <c r="C3809" s="41" t="str">
        <f aca="false">IFERROR(INDEX($K$3808:$K$3811,MATCH($O3809,$N$3808:$N$3811,0)),"")</f>
        <v/>
      </c>
      <c r="D3809" s="42" t="str">
        <f aca="false">IF(OR(E3809="",N(C3809)=0),"",E3809/C3809-1)</f>
        <v/>
      </c>
      <c r="E3809" s="41" t="str">
        <f aca="false">IFERROR(INDEX($L$3808:$L$3811,MATCH($O3809,$N$3808:$N$3811,0)),"")</f>
        <v/>
      </c>
      <c r="F3809" s="41" t="str">
        <f aca="false">IF(E3809="","",E3809-C3809)</f>
        <v/>
      </c>
      <c r="J3809" s="25" t="str">
        <f aca="false">Lib_Paye</f>
        <v>Mission sociale (bulletins de paie, DSN, déclarations sociales)</v>
      </c>
      <c r="K3809" s="25" t="n">
        <f aca="false">IF($K$3781=0,0,N(INDEX(Clients!$L$2:$L$501,$K$3781)))</f>
        <v>0</v>
      </c>
      <c r="L3809" s="25" t="n">
        <f aca="false">IF($K$3781=0,0,N(INDEX(Clients!$Q$2:$Q$501,$K$3781)))</f>
        <v>0</v>
      </c>
      <c r="M3809" s="25" t="n">
        <f aca="false">IF(OR(K3809&lt;&gt;0,L3809&lt;&gt;0),1,0)</f>
        <v>0</v>
      </c>
      <c r="N3809" s="25" t="str">
        <f aca="false">IF(M3809=1,SUM($M$3808:M3809),"")</f>
        <v/>
      </c>
      <c r="O3809" s="25" t="n">
        <v>2</v>
      </c>
    </row>
    <row r="3810" customFormat="false" ht="16.5" hidden="false" customHeight="true" outlineLevel="0" collapsed="false">
      <c r="B3810" s="40" t="str">
        <f aca="false">IFERROR(INDEX($J$3808:$J$3811,MATCH($O3810,$N$3808:$N$3811,0)),"")</f>
        <v/>
      </c>
      <c r="C3810" s="41" t="str">
        <f aca="false">IFERROR(INDEX($K$3808:$K$3811,MATCH($O3810,$N$3808:$N$3811,0)),"")</f>
        <v/>
      </c>
      <c r="D3810" s="42" t="str">
        <f aca="false">IF(OR(E3810="",N(C3810)=0),"",E3810/C3810-1)</f>
        <v/>
      </c>
      <c r="E3810" s="41" t="str">
        <f aca="false">IFERROR(INDEX($L$3808:$L$3811,MATCH($O3810,$N$3808:$N$3811,0)),"")</f>
        <v/>
      </c>
      <c r="F3810" s="41" t="str">
        <f aca="false">IF(E3810="","",E3810-C3810)</f>
        <v/>
      </c>
      <c r="J3810" s="25" t="str">
        <f aca="false">Lib_Jur</f>
        <v>Mission juridique (approbation des comptes, secrétariat juridique)</v>
      </c>
      <c r="K3810" s="25" t="n">
        <f aca="false">IF($K$3781=0,0,N(INDEX(Clients!$M$2:$M$501,$K$3781)))</f>
        <v>0</v>
      </c>
      <c r="L3810" s="25" t="n">
        <f aca="false">IF($K$3781=0,0,N(INDEX(Clients!$R$2:$R$501,$K$3781)))</f>
        <v>0</v>
      </c>
      <c r="M3810" s="25" t="n">
        <f aca="false">IF(OR(K3810&lt;&gt;0,L3810&lt;&gt;0),1,0)</f>
        <v>0</v>
      </c>
      <c r="N3810" s="25" t="str">
        <f aca="false">IF(M3810=1,SUM($M$3808:M3810),"")</f>
        <v/>
      </c>
      <c r="O3810" s="25" t="n">
        <v>3</v>
      </c>
    </row>
    <row r="3811" customFormat="false" ht="16.5" hidden="false" customHeight="true" outlineLevel="0" collapsed="false">
      <c r="B3811" s="40" t="str">
        <f aca="false">IFERROR(INDEX($J$3808:$J$3811,MATCH($O3811,$N$3808:$N$3811,0)),"")</f>
        <v/>
      </c>
      <c r="C3811" s="41" t="str">
        <f aca="false">IFERROR(INDEX($K$3808:$K$3811,MATCH($O3811,$N$3808:$N$3811,0)),"")</f>
        <v/>
      </c>
      <c r="D3811" s="42" t="str">
        <f aca="false">IF(OR(E3811="",N(C3811)=0),"",E3811/C3811-1)</f>
        <v/>
      </c>
      <c r="E3811" s="41" t="str">
        <f aca="false">IFERROR(INDEX($L$3808:$L$3811,MATCH($O3811,$N$3808:$N$3811,0)),"")</f>
        <v/>
      </c>
      <c r="F3811" s="41" t="str">
        <f aca="false">IF(E3811="","",E3811-C3811)</f>
        <v/>
      </c>
      <c r="J3811" s="25" t="str">
        <f aca="false">Lib_PA</f>
        <v>Plateforme agréée – facturation électronique</v>
      </c>
      <c r="K3811" s="25" t="n">
        <f aca="false">IF($K$3781=0,0,N(INDEX(Clients!$N$2:$N$501,$K$3781)))</f>
        <v>0</v>
      </c>
      <c r="L3811" s="25" t="n">
        <f aca="false">IF($K$3781=0,0,N(INDEX(Clients!$S$2:$S$501,$K$3781)))</f>
        <v>0</v>
      </c>
      <c r="M3811" s="25" t="n">
        <f aca="false">IF(OR(K3811&lt;&gt;0,L3811&lt;&gt;0),1,0)</f>
        <v>0</v>
      </c>
      <c r="N3811" s="25" t="str">
        <f aca="false">IF(M3811=1,SUM($M$3808:M3811),"")</f>
        <v/>
      </c>
      <c r="O3811" s="25" t="n">
        <v>4</v>
      </c>
    </row>
    <row r="3812" customFormat="false" ht="18" hidden="false" customHeight="true" outlineLevel="0" collapsed="false">
      <c r="B3812" s="43" t="s">
        <v>158</v>
      </c>
      <c r="C3812" s="44" t="n">
        <f aca="false">SUM(K3808:K3811)</f>
        <v>0</v>
      </c>
      <c r="D3812" s="45" t="str">
        <f aca="false">IF(N(C3812)=0,"",E3812/C3812-1)</f>
        <v/>
      </c>
      <c r="E3812" s="44" t="n">
        <f aca="false">SUM(L3808:L3811)</f>
        <v>0</v>
      </c>
      <c r="F3812" s="44" t="n">
        <f aca="false">E3812-C3812</f>
        <v>0</v>
      </c>
    </row>
    <row r="3813" customFormat="false" ht="15" hidden="false" customHeight="false" outlineLevel="0" collapsed="false">
      <c r="B3813" s="46" t="str">
        <f aca="false">IF(N(Nb_Mensualites)=0,"","Soit "&amp;FIXED(E3812/Nb_Mensualites,2)&amp;" € HT par échéance ("&amp;Nb_Mensualites&amp;" échéances), "&amp;FIXED(E3812/Nb_Mensualites*(1+Taux_TVA),2)&amp;" € TTC.")</f>
        <v>Soit 0.00 € HT par échéance (12 échéances), 0.00 € TTC.</v>
      </c>
      <c r="C3813" s="46"/>
      <c r="D3813" s="46"/>
      <c r="E3813" s="46"/>
      <c r="F3813" s="46"/>
    </row>
    <row r="3814" customFormat="false" ht="7.5" hidden="false" customHeight="true" outlineLevel="0" collapsed="false">
      <c r="B3814" s="10"/>
      <c r="C3814" s="10"/>
      <c r="D3814" s="10"/>
      <c r="E3814" s="10"/>
      <c r="F3814" s="10"/>
    </row>
    <row r="3815" customFormat="false" ht="36.75" hidden="false" customHeight="true" outlineLevel="0" collapsed="false">
      <c r="B3815" s="37" t="str">
        <f aca="false">SUBSTITUTE(SUBSTITUTE(SUBSTITUTE(SUBSTITUTE(SUBSTITUTE(Txt_P5,"{cabinet}",Cab_Nom),"{societe}",IF($K$3781=0,"",INDEX(Clients!$E$2:$E$501,$K$3781)&amp;"")),"{date_effet}",$K$3783),"{hausse}",$K$3784),"{civilite}",$K$3782)</f>
        <v>Les autres conditions de votre lettre de mission demeurent inchangées. Les nouveaux montants seront appliqués automatiquement sur vos prochaines factures et échéances de prélèvement.</v>
      </c>
      <c r="C3815" s="37"/>
      <c r="D3815" s="37"/>
      <c r="E3815" s="37"/>
      <c r="F3815" s="37"/>
    </row>
    <row r="3816" customFormat="false" ht="36.75" hidden="false" customHeight="true" outlineLevel="0" collapsed="false">
      <c r="B3816" s="37" t="str">
        <f aca="false">SUBSTITUTE(SUBSTITUTE(SUBSTITUTE(SUBSTITUTE(SUBSTITUTE(Txt_P6,"{cabinet}",Cab_Nom),"{societe}",IF($K$3781=0,"",INDEX(Clients!$E$2:$E$501,$K$3781)&amp;"")),"{date_effet}",$K$3783),"{hausse}",$K$3784),"{civilite}",$K$3782)</f>
        <v>Votre interlocuteur habituel reste à votre entière disposition pour répondre à vos questions et faire le point sur l'évolution de vos besoins.</v>
      </c>
      <c r="C3816" s="37"/>
      <c r="D3816" s="37"/>
      <c r="E3816" s="37"/>
      <c r="F3816" s="37"/>
    </row>
    <row r="3817" customFormat="false" ht="24" hidden="false" customHeight="true" outlineLevel="0" collapsed="false">
      <c r="B3817" s="37" t="str">
        <f aca="false">SUBSTITUTE(SUBSTITUTE(SUBSTITUTE(SUBSTITUTE(SUBSTITUTE(Txt_Politesse,"{cabinet}",Cab_Nom),"{societe}",IF($K$3781=0,"",INDEX(Clients!$E$2:$E$501,$K$3781)&amp;"")),"{date_effet}",$K$3783),"{hausse}",$K$3784),"{civilite}",$K$3782)</f>
        <v>Nous vous prions d'agréer, Madame, Monsieur, l'expression de nos salutations distinguées.</v>
      </c>
      <c r="C3817" s="37"/>
      <c r="D3817" s="37"/>
      <c r="E3817" s="37"/>
      <c r="F3817" s="37"/>
    </row>
    <row r="3818" customFormat="false" ht="15" hidden="false" customHeight="false" outlineLevel="0" collapsed="false">
      <c r="B3818" s="10"/>
      <c r="C3818" s="10"/>
      <c r="D3818" s="10"/>
      <c r="E3818" s="10"/>
      <c r="F3818" s="10"/>
    </row>
    <row r="3819" customFormat="false" ht="15" hidden="false" customHeight="false" outlineLevel="0" collapsed="false">
      <c r="B3819" s="10"/>
      <c r="C3819" s="10"/>
      <c r="D3819" s="34" t="str">
        <f aca="false">Signataire</f>
        <v>Prénom NOM</v>
      </c>
      <c r="E3819" s="34"/>
      <c r="F3819" s="34"/>
    </row>
    <row r="3820" customFormat="false" ht="15" hidden="false" customHeight="false" outlineLevel="0" collapsed="false">
      <c r="B3820" s="10"/>
      <c r="C3820" s="10"/>
      <c r="D3820" s="47" t="str">
        <f aca="false">Signataire_Titre</f>
        <v>Expert-comptable associé</v>
      </c>
      <c r="E3820" s="47"/>
      <c r="F3820" s="47"/>
    </row>
    <row r="3821" customFormat="false" ht="15.75" hidden="false" customHeight="true" outlineLevel="0" collapsed="false">
      <c r="B3821" s="10"/>
      <c r="C3821" s="10"/>
      <c r="D3821" s="10"/>
      <c r="E3821" s="10"/>
      <c r="F3821" s="10"/>
    </row>
    <row r="3822" customFormat="false" ht="15.75" hidden="false" customHeight="true" outlineLevel="0" collapsed="false">
      <c r="B3822" s="10"/>
      <c r="C3822" s="10"/>
      <c r="D3822" s="10"/>
      <c r="E3822" s="10"/>
      <c r="F3822" s="10"/>
    </row>
    <row r="3823" customFormat="false" ht="15.75" hidden="false" customHeight="true" outlineLevel="0" collapsed="false">
      <c r="B3823" s="10"/>
      <c r="C3823" s="10"/>
      <c r="D3823" s="10"/>
      <c r="E3823" s="10"/>
      <c r="F3823" s="10"/>
    </row>
    <row r="3824" customFormat="false" ht="15.75" hidden="false" customHeight="true" outlineLevel="0" collapsed="false">
      <c r="B3824" s="10"/>
      <c r="C3824" s="10"/>
      <c r="D3824" s="10"/>
      <c r="E3824" s="10"/>
      <c r="F3824" s="10"/>
    </row>
    <row r="3825" customFormat="false" ht="24" hidden="false" customHeight="true" outlineLevel="0" collapsed="false">
      <c r="B3825" s="48" t="str">
        <f aca="false">Cab_Mentions</f>
        <v>ALTHO EXPERTISE · SAS au capital de 10 000 € · RCS Pontoise 919 706 325 · TVA FR62919706325 · Société d'expertise comptable inscrite au Tableau de l'Ordre des experts-comptables de Paris Île-de-France</v>
      </c>
      <c r="C3825" s="48"/>
      <c r="D3825" s="48"/>
      <c r="E3825" s="48"/>
      <c r="F3825" s="48"/>
    </row>
    <row r="3826" customFormat="false" ht="15" hidden="false" customHeight="false" outlineLevel="0" collapsed="false">
      <c r="B3826" s="10"/>
      <c r="C3826" s="10"/>
      <c r="D3826" s="10"/>
      <c r="E3826" s="10"/>
      <c r="F3826" s="10"/>
      <c r="J3826" s="25" t="s">
        <v>142</v>
      </c>
      <c r="K3826" s="25" t="n">
        <f aca="false">IFERROR(MATCH(86,Clients!$Z$2:$Z$501,0),0)</f>
        <v>0</v>
      </c>
      <c r="L3826" s="25"/>
      <c r="M3826" s="25"/>
      <c r="N3826" s="25"/>
      <c r="O3826" s="25"/>
    </row>
    <row r="3827" customFormat="false" ht="21.75" hidden="false" customHeight="true" outlineLevel="0" collapsed="false">
      <c r="B3827" s="26" t="str">
        <f aca="false">Cab_Nom</f>
        <v>ALTHO EXPERTISE</v>
      </c>
      <c r="C3827" s="26"/>
      <c r="D3827" s="10"/>
      <c r="E3827" s="27" t="str">
        <f aca="false">IF($K$3826=0,"","Réf. client : "&amp;INDEX(Clients!$A$2:$A$501,$K$3826))</f>
        <v/>
      </c>
      <c r="F3827" s="27"/>
      <c r="J3827" s="25" t="s">
        <v>144</v>
      </c>
      <c r="K3827" s="25" t="str">
        <f aca="false">IF(IF($K$3826=0,"",INDEX(Clients!$B$2:$B$501,$K$3826)&amp;"")="Mme","Madame",IF(IF($K$3826=0,"",INDEX(Clients!$B$2:$B$501,$K$3826)&amp;"")="M.","Monsieur","Madame, Monsieur"))</f>
        <v>Madame, Monsieur</v>
      </c>
      <c r="L3827" s="25"/>
      <c r="M3827" s="25"/>
      <c r="N3827" s="25"/>
      <c r="O3827" s="25"/>
    </row>
    <row r="3828" customFormat="false" ht="15" hidden="false" customHeight="false" outlineLevel="0" collapsed="false">
      <c r="B3828" s="29" t="str">
        <f aca="false">Cab_Adr1</f>
        <v>141 rue Charles de Gaulle</v>
      </c>
      <c r="C3828" s="29"/>
      <c r="D3828" s="10"/>
      <c r="E3828" s="10"/>
      <c r="F3828" s="10"/>
      <c r="J3828" s="25" t="s">
        <v>145</v>
      </c>
      <c r="K3828" s="25" t="str">
        <f aca="false">DAY(Date_Effet)&amp;IF(DAY(Date_Effet)=1,"er","")&amp;" "&amp;INDEX(Liste_Mois,MONTH(Date_Effet))&amp;" "&amp;YEAR(Date_Effet)</f>
        <v>1er janvier 2027</v>
      </c>
      <c r="L3828" s="25"/>
      <c r="M3828" s="25"/>
      <c r="N3828" s="25"/>
      <c r="O3828" s="25"/>
    </row>
    <row r="3829" customFormat="false" ht="15" hidden="false" customHeight="false" outlineLevel="0" collapsed="false">
      <c r="B3829" s="29" t="str">
        <f aca="false">Cab_CPVille</f>
        <v>95130 LE PLESSIS-BOUCHARD</v>
      </c>
      <c r="C3829" s="29"/>
      <c r="D3829" s="10"/>
      <c r="E3829" s="10"/>
      <c r="F3829" s="10"/>
      <c r="J3829" s="25" t="s">
        <v>146</v>
      </c>
      <c r="K3829" s="25" t="str">
        <f aca="false">IF(SUM($K$3853:$K$3856)=0,"",FIXED((SUM($L$3853:$L$3856)/SUM($K$3853:$K$3856)-1)*100,1)&amp;" %")</f>
        <v/>
      </c>
      <c r="L3829" s="25"/>
      <c r="M3829" s="25"/>
      <c r="N3829" s="25"/>
      <c r="O3829" s="25"/>
    </row>
    <row r="3830" customFormat="false" ht="15" hidden="false" customHeight="false" outlineLevel="0" collapsed="false">
      <c r="B3830" s="29" t="str">
        <f aca="false">Cab_Contact</f>
        <v>Tél. 01 34 14 53 45  ·  altho@altho-experts.com  ·  altho-experts.com</v>
      </c>
      <c r="C3830" s="29"/>
      <c r="D3830" s="10"/>
      <c r="E3830" s="10"/>
      <c r="F3830" s="10"/>
      <c r="J3830" s="25"/>
      <c r="K3830" s="25"/>
      <c r="L3830" s="25"/>
      <c r="M3830" s="25"/>
      <c r="N3830" s="25"/>
      <c r="O3830" s="25"/>
    </row>
    <row r="3831" customFormat="false" ht="6" hidden="false" customHeight="true" outlineLevel="0" collapsed="false">
      <c r="B3831" s="32"/>
      <c r="C3831" s="32"/>
      <c r="D3831" s="32"/>
      <c r="E3831" s="32"/>
      <c r="F3831" s="32"/>
      <c r="J3831" s="25"/>
      <c r="K3831" s="25"/>
      <c r="L3831" s="25"/>
      <c r="M3831" s="25"/>
      <c r="N3831" s="25"/>
      <c r="O3831" s="25"/>
    </row>
    <row r="3832" customFormat="false" ht="13.5" hidden="false" customHeight="true" outlineLevel="0" collapsed="false">
      <c r="B3832" s="10"/>
      <c r="C3832" s="10"/>
      <c r="D3832" s="10"/>
      <c r="E3832" s="10"/>
      <c r="F3832" s="10"/>
      <c r="J3832" s="25"/>
      <c r="K3832" s="25"/>
      <c r="L3832" s="25"/>
      <c r="M3832" s="25"/>
      <c r="N3832" s="25"/>
      <c r="O3832" s="25"/>
    </row>
    <row r="3833" customFormat="false" ht="13.5" hidden="false" customHeight="true" outlineLevel="0" collapsed="false">
      <c r="B3833" s="10"/>
      <c r="C3833" s="10"/>
      <c r="D3833" s="10"/>
      <c r="E3833" s="10"/>
      <c r="F3833" s="10"/>
      <c r="J3833" s="25"/>
      <c r="K3833" s="25"/>
      <c r="L3833" s="25"/>
      <c r="M3833" s="25"/>
      <c r="N3833" s="25"/>
      <c r="O3833" s="25"/>
    </row>
    <row r="3834" customFormat="false" ht="13.5" hidden="false" customHeight="true" outlineLevel="0" collapsed="false">
      <c r="B3834" s="10"/>
      <c r="C3834" s="10"/>
      <c r="D3834" s="10"/>
      <c r="E3834" s="10"/>
      <c r="F3834" s="10"/>
      <c r="J3834" s="25"/>
      <c r="K3834" s="25"/>
      <c r="L3834" s="25"/>
      <c r="M3834" s="25"/>
      <c r="N3834" s="25"/>
      <c r="O3834" s="25"/>
    </row>
    <row r="3835" customFormat="false" ht="15" hidden="false" customHeight="true" outlineLevel="0" collapsed="false">
      <c r="B3835" s="10"/>
      <c r="C3835" s="10"/>
      <c r="D3835" s="34" t="str">
        <f aca="false">IF($K$3826=0,"",INDEX(Clients!$E$2:$E$501,$K$3826)&amp;"")</f>
        <v/>
      </c>
      <c r="E3835" s="34"/>
      <c r="F3835" s="34"/>
      <c r="J3835" s="25"/>
      <c r="K3835" s="25"/>
      <c r="L3835" s="25"/>
      <c r="M3835" s="25"/>
      <c r="N3835" s="25"/>
      <c r="O3835" s="25"/>
    </row>
    <row r="3836" customFormat="false" ht="15" hidden="false" customHeight="true" outlineLevel="0" collapsed="false">
      <c r="B3836" s="10"/>
      <c r="C3836" s="10"/>
      <c r="D3836" s="35" t="str">
        <f aca="false">IF(IF($K$3826=0,"",INDEX(Clients!$D$2:$D$501,$K$3826)&amp;"")="","","À l'attention de "&amp;TRIM(IF($K$3826=0,"",INDEX(Clients!$B$2:$B$501,$K$3826)&amp;"")&amp;" "&amp;IF($K$3826=0,"",INDEX(Clients!$C$2:$C$501,$K$3826)&amp;"")&amp;" "&amp;IF($K$3826=0,"",INDEX(Clients!$D$2:$D$501,$K$3826)&amp;"")))</f>
        <v/>
      </c>
      <c r="E3836" s="35"/>
      <c r="F3836" s="35"/>
      <c r="J3836" s="25"/>
      <c r="K3836" s="25"/>
      <c r="L3836" s="25"/>
      <c r="M3836" s="25"/>
      <c r="N3836" s="25"/>
      <c r="O3836" s="25"/>
    </row>
    <row r="3837" customFormat="false" ht="15" hidden="false" customHeight="true" outlineLevel="0" collapsed="false">
      <c r="B3837" s="10"/>
      <c r="C3837" s="10"/>
      <c r="D3837" s="35" t="str">
        <f aca="false">IF($K$3826=0,"",INDEX(Clients!$F$2:$F$501,$K$3826)&amp;"")</f>
        <v/>
      </c>
      <c r="E3837" s="35"/>
      <c r="F3837" s="35"/>
      <c r="J3837" s="25"/>
      <c r="K3837" s="25"/>
      <c r="L3837" s="25"/>
      <c r="M3837" s="25"/>
      <c r="N3837" s="25"/>
      <c r="O3837" s="25"/>
    </row>
    <row r="3838" customFormat="false" ht="15" hidden="false" customHeight="true" outlineLevel="0" collapsed="false">
      <c r="B3838" s="10"/>
      <c r="C3838" s="10"/>
      <c r="D3838" s="35" t="str">
        <f aca="false">IF(IF($K$3826=0,"",INDEX(Clients!$G$2:$G$501,$K$3826)&amp;"")="",TRIM(IF($K$3826=0,"",INDEX(Clients!$H$2:$H$501,$K$3826)&amp;"")&amp;" "&amp;UPPER(IF($K$3826=0,"",INDEX(Clients!$I$2:$I$501,$K$3826)&amp;""))),IF($K$3826=0,"",INDEX(Clients!$G$2:$G$501,$K$3826)&amp;""))</f>
        <v/>
      </c>
      <c r="E3838" s="35"/>
      <c r="F3838" s="35"/>
      <c r="J3838" s="25"/>
      <c r="K3838" s="25"/>
      <c r="L3838" s="25"/>
      <c r="M3838" s="25"/>
      <c r="N3838" s="25"/>
      <c r="O3838" s="25"/>
    </row>
    <row r="3839" customFormat="false" ht="15" hidden="false" customHeight="true" outlineLevel="0" collapsed="false">
      <c r="B3839" s="10"/>
      <c r="C3839" s="10"/>
      <c r="D3839" s="35" t="str">
        <f aca="false">IF(IF($K$3826=0,"",INDEX(Clients!$G$2:$G$501,$K$3826)&amp;"")="","",TRIM(IF($K$3826=0,"",INDEX(Clients!$H$2:$H$501,$K$3826)&amp;"")&amp;" "&amp;UPPER(IF($K$3826=0,"",INDEX(Clients!$I$2:$I$501,$K$3826)&amp;""))))</f>
        <v/>
      </c>
      <c r="E3839" s="35"/>
      <c r="F3839" s="35"/>
      <c r="J3839" s="25"/>
      <c r="K3839" s="25"/>
      <c r="L3839" s="25"/>
      <c r="M3839" s="25"/>
      <c r="N3839" s="25"/>
      <c r="O3839" s="25"/>
    </row>
    <row r="3840" customFormat="false" ht="25.5" hidden="false" customHeight="true" outlineLevel="0" collapsed="false">
      <c r="B3840" s="10"/>
      <c r="C3840" s="10"/>
      <c r="D3840" s="10"/>
      <c r="E3840" s="10"/>
      <c r="F3840" s="10"/>
      <c r="J3840" s="25"/>
      <c r="K3840" s="25"/>
      <c r="L3840" s="25"/>
      <c r="M3840" s="25"/>
      <c r="N3840" s="25"/>
      <c r="O3840" s="25"/>
    </row>
    <row r="3841" customFormat="false" ht="15" hidden="false" customHeight="false" outlineLevel="0" collapsed="false">
      <c r="B3841" s="10"/>
      <c r="C3841" s="10"/>
      <c r="D3841" s="36" t="str">
        <f aca="false">Cab_Ville&amp;", le "&amp;DAY(Date_Courrier)&amp;IF(DAY(Date_Courrier)=1,"er","")&amp;" "&amp;INDEX(Liste_Mois,MONTH(Date_Courrier))&amp;" "&amp;YEAR(Date_Courrier)</f>
        <v>Le Plessis-Bouchard, le 22 septembre 2026</v>
      </c>
      <c r="E3841" s="36"/>
      <c r="F3841" s="36"/>
      <c r="J3841" s="25"/>
      <c r="K3841" s="25"/>
      <c r="L3841" s="25"/>
      <c r="M3841" s="25"/>
      <c r="N3841" s="25"/>
      <c r="O3841" s="25"/>
    </row>
    <row r="3842" customFormat="false" ht="19.5" hidden="false" customHeight="true" outlineLevel="0" collapsed="false">
      <c r="B3842" s="10"/>
      <c r="C3842" s="10"/>
      <c r="D3842" s="10"/>
      <c r="E3842" s="10"/>
      <c r="F3842" s="10"/>
      <c r="J3842" s="25"/>
      <c r="K3842" s="25"/>
      <c r="L3842" s="25"/>
      <c r="M3842" s="25"/>
      <c r="N3842" s="25"/>
      <c r="O3842" s="25"/>
    </row>
    <row r="3843" customFormat="false" ht="15" hidden="false" customHeight="false" outlineLevel="0" collapsed="false">
      <c r="B3843" s="34" t="str">
        <f aca="false">SUBSTITUTE(SUBSTITUTE(SUBSTITUTE(SUBSTITUTE(SUBSTITUTE(Txt_Objet,"{cabinet}",Cab_Nom),"{societe}",IF($K$3826=0,"",INDEX(Clients!$E$2:$E$501,$K$3826)&amp;"")),"{date_effet}",$K$3828),"{hausse}",$K$3829),"{civilite}",$K$3827)</f>
        <v>Objet : révision de nos honoraires au 1er janvier 2027</v>
      </c>
      <c r="C3843" s="34"/>
      <c r="D3843" s="34"/>
      <c r="E3843" s="34"/>
      <c r="F3843" s="34"/>
      <c r="J3843" s="25"/>
      <c r="K3843" s="25"/>
      <c r="L3843" s="25"/>
      <c r="M3843" s="25"/>
      <c r="N3843" s="25"/>
      <c r="O3843" s="25"/>
    </row>
    <row r="3844" customFormat="false" ht="13.5" hidden="false" customHeight="true" outlineLevel="0" collapsed="false">
      <c r="B3844" s="10"/>
      <c r="C3844" s="10"/>
      <c r="D3844" s="10"/>
      <c r="E3844" s="10"/>
      <c r="F3844" s="10"/>
      <c r="J3844" s="25"/>
      <c r="K3844" s="25"/>
      <c r="L3844" s="25"/>
      <c r="M3844" s="25"/>
      <c r="N3844" s="25"/>
      <c r="O3844" s="25"/>
    </row>
    <row r="3845" customFormat="false" ht="15" hidden="false" customHeight="false" outlineLevel="0" collapsed="false">
      <c r="B3845" s="10" t="str">
        <f aca="false">$K$3827&amp;","</f>
        <v>Madame, Monsieur,</v>
      </c>
      <c r="C3845" s="10"/>
      <c r="D3845" s="10"/>
      <c r="E3845" s="10"/>
      <c r="F3845" s="10"/>
      <c r="J3845" s="25"/>
      <c r="K3845" s="25"/>
      <c r="L3845" s="25"/>
      <c r="M3845" s="25"/>
      <c r="N3845" s="25"/>
      <c r="O3845" s="25"/>
    </row>
    <row r="3846" customFormat="false" ht="6" hidden="false" customHeight="true" outlineLevel="0" collapsed="false">
      <c r="B3846" s="10"/>
      <c r="C3846" s="10"/>
      <c r="D3846" s="10"/>
      <c r="E3846" s="10"/>
      <c r="F3846" s="10"/>
      <c r="J3846" s="25"/>
      <c r="K3846" s="25"/>
      <c r="L3846" s="25"/>
      <c r="M3846" s="25"/>
      <c r="N3846" s="25"/>
      <c r="O3846" s="25"/>
    </row>
    <row r="3847" customFormat="false" ht="36.75" hidden="false" customHeight="true" outlineLevel="0" collapsed="false">
      <c r="B3847" s="37" t="str">
        <f aca="false">SUBSTITUTE(SUBSTITUTE(SUBSTITUTE(SUBSTITUTE(SUBSTITUTE(Txt_P1,"{cabinet}",Cab_Nom),"{societe}",IF($K$3826=0,"",INDEX(Clients!$E$2:$E$501,$K$3826)&amp;"")),"{date_effet}",$K$3828),"{hausse}",$K$3829),"{civilite}",$K$3827)</f>
        <v>Nous tenons tout d'abord à vous remercier pour la confiance que vous accordez à ALTHO EXPERTISE. Comme chaque année, et conformément aux dispositions de votre lettre de mission, nous procédons à la révision de nos honoraires.</v>
      </c>
      <c r="C3847" s="37"/>
      <c r="D3847" s="37"/>
      <c r="E3847" s="37"/>
      <c r="F3847" s="37"/>
      <c r="J3847" s="25"/>
      <c r="K3847" s="25"/>
      <c r="L3847" s="25"/>
      <c r="M3847" s="25"/>
      <c r="N3847" s="25"/>
      <c r="O3847" s="25"/>
    </row>
    <row r="3848" customFormat="false" ht="49.5" hidden="false" customHeight="true" outlineLevel="0" collapsed="false">
      <c r="B3848" s="37" t="str">
        <f aca="false">SUBSTITUTE(SUBSTITUTE(SUBSTITUTE(SUBSTITUTE(SUBSTITUTE(Txt_P2,"{cabinet}",Cab_Nom),"{societe}",IF($K$3826=0,"",INDEX(Clients!$E$2:$E$501,$K$3826)&amp;"")),"{date_effet}",$K$3828),"{hausse}",$K$3829),"{civilite}",$K$3827)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848" s="37"/>
      <c r="D3848" s="37"/>
      <c r="E3848" s="37"/>
      <c r="F3848" s="37"/>
      <c r="J3848" s="25"/>
      <c r="K3848" s="25"/>
      <c r="L3848" s="25"/>
      <c r="M3848" s="25"/>
      <c r="N3848" s="25"/>
      <c r="O3848" s="25"/>
    </row>
    <row r="3849" customFormat="false" ht="63" hidden="false" customHeight="true" outlineLevel="0" collapsed="false">
      <c r="B3849" s="37" t="str">
        <f aca="false">SUBSTITUTE(SUBSTITUTE(SUBSTITUTE(SUBSTITUTE(SUBSTITUTE(Txt_P3,"{cabinet}",Cab_Nom),"{societe}",IF($K$3826=0,"",INDEX(Clients!$E$2:$E$501,$K$3826)&amp;"")),"{date_effet}",$K$3828),"{hausse}",$K$3829),"{civilite}",$K$3827)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849" s="37"/>
      <c r="D3849" s="37"/>
      <c r="E3849" s="37"/>
      <c r="F3849" s="37"/>
      <c r="J3849" s="25"/>
      <c r="K3849" s="25"/>
      <c r="L3849" s="25"/>
      <c r="M3849" s="25"/>
      <c r="N3849" s="25"/>
      <c r="O3849" s="25"/>
    </row>
    <row r="3850" customFormat="false" ht="24" hidden="false" customHeight="true" outlineLevel="0" collapsed="false">
      <c r="B3850" s="37" t="str">
        <f aca="false">SUBSTITUTE(SUBSTITUTE(SUBSTITUTE(SUBSTITUTE(SUBSTITUTE(Txt_P4,"{cabinet}",Cab_Nom),"{societe}",IF($K$3826=0,"",INDEX(Clients!$E$2:$E$501,$K$3826)&amp;"")),"{date_effet}",$K$3828),"{hausse}",$K$3829),"{civilite}",$K$3827)</f>
        <v>À compter du 1er janvier 2027, vos honoraires annuels hors taxes évolueront ainsi (évolution globale : ) :</v>
      </c>
      <c r="C3850" s="37"/>
      <c r="D3850" s="37"/>
      <c r="E3850" s="37"/>
      <c r="F3850" s="37"/>
      <c r="J3850" s="25"/>
      <c r="K3850" s="25"/>
      <c r="L3850" s="25"/>
      <c r="M3850" s="25"/>
      <c r="N3850" s="25"/>
      <c r="O3850" s="25"/>
    </row>
    <row r="3851" customFormat="false" ht="3.75" hidden="false" customHeight="true" outlineLevel="0" collapsed="false">
      <c r="B3851" s="10"/>
      <c r="C3851" s="10"/>
      <c r="D3851" s="10"/>
      <c r="E3851" s="10"/>
      <c r="F3851" s="10"/>
      <c r="J3851" s="25"/>
      <c r="K3851" s="25"/>
      <c r="L3851" s="25"/>
      <c r="M3851" s="25"/>
      <c r="N3851" s="25"/>
      <c r="O3851" s="25"/>
    </row>
    <row r="3852" customFormat="false" ht="18" hidden="false" customHeight="true" outlineLevel="0" collapsed="false">
      <c r="B3852" s="38" t="s">
        <v>148</v>
      </c>
      <c r="C3852" s="39" t="s">
        <v>149</v>
      </c>
      <c r="D3852" s="39" t="s">
        <v>150</v>
      </c>
      <c r="E3852" s="39" t="s">
        <v>151</v>
      </c>
      <c r="F3852" s="39" t="s">
        <v>109</v>
      </c>
      <c r="J3852" s="25" t="s">
        <v>152</v>
      </c>
      <c r="K3852" s="25" t="s">
        <v>153</v>
      </c>
      <c r="L3852" s="25" t="s">
        <v>154</v>
      </c>
      <c r="M3852" s="25" t="s">
        <v>155</v>
      </c>
      <c r="N3852" s="25" t="s">
        <v>156</v>
      </c>
      <c r="O3852" s="25" t="s">
        <v>157</v>
      </c>
    </row>
    <row r="3853" customFormat="false" ht="16.5" hidden="false" customHeight="true" outlineLevel="0" collapsed="false">
      <c r="B3853" s="40" t="str">
        <f aca="false">IFERROR(INDEX($J$3853:$J$3856,MATCH($O3853,$N$3853:$N$3856,0)),"")</f>
        <v/>
      </c>
      <c r="C3853" s="41" t="str">
        <f aca="false">IFERROR(INDEX($K$3853:$K$3856,MATCH($O3853,$N$3853:$N$3856,0)),"")</f>
        <v/>
      </c>
      <c r="D3853" s="42" t="str">
        <f aca="false">IF(OR(E3853="",N(C3853)=0),"",E3853/C3853-1)</f>
        <v/>
      </c>
      <c r="E3853" s="41" t="str">
        <f aca="false">IFERROR(INDEX($L$3853:$L$3856,MATCH($O3853,$N$3853:$N$3856,0)),"")</f>
        <v/>
      </c>
      <c r="F3853" s="41" t="str">
        <f aca="false">IF(E3853="","",E3853-C3853)</f>
        <v/>
      </c>
      <c r="J3853" s="25" t="str">
        <f aca="false">Lib_Compta</f>
        <v>Mission comptable (tenue, révision, bilan, liasse fiscale)</v>
      </c>
      <c r="K3853" s="25" t="n">
        <f aca="false">IF($K$3826=0,0,N(INDEX(Clients!$K$2:$K$501,$K$3826)))</f>
        <v>0</v>
      </c>
      <c r="L3853" s="25" t="n">
        <f aca="false">IF($K$3826=0,0,N(INDEX(Clients!$P$2:$P$501,$K$3826)))</f>
        <v>0</v>
      </c>
      <c r="M3853" s="25" t="n">
        <f aca="false">IF(OR(K3853&lt;&gt;0,L3853&lt;&gt;0),1,0)</f>
        <v>0</v>
      </c>
      <c r="N3853" s="25" t="str">
        <f aca="false">IF(M3853=1,SUM($M$3853:M3853),"")</f>
        <v/>
      </c>
      <c r="O3853" s="25" t="n">
        <v>1</v>
      </c>
    </row>
    <row r="3854" customFormat="false" ht="16.5" hidden="false" customHeight="true" outlineLevel="0" collapsed="false">
      <c r="B3854" s="40" t="str">
        <f aca="false">IFERROR(INDEX($J$3853:$J$3856,MATCH($O3854,$N$3853:$N$3856,0)),"")</f>
        <v/>
      </c>
      <c r="C3854" s="41" t="str">
        <f aca="false">IFERROR(INDEX($K$3853:$K$3856,MATCH($O3854,$N$3853:$N$3856,0)),"")</f>
        <v/>
      </c>
      <c r="D3854" s="42" t="str">
        <f aca="false">IF(OR(E3854="",N(C3854)=0),"",E3854/C3854-1)</f>
        <v/>
      </c>
      <c r="E3854" s="41" t="str">
        <f aca="false">IFERROR(INDEX($L$3853:$L$3856,MATCH($O3854,$N$3853:$N$3856,0)),"")</f>
        <v/>
      </c>
      <c r="F3854" s="41" t="str">
        <f aca="false">IF(E3854="","",E3854-C3854)</f>
        <v/>
      </c>
      <c r="J3854" s="25" t="str">
        <f aca="false">Lib_Paye</f>
        <v>Mission sociale (bulletins de paie, DSN, déclarations sociales)</v>
      </c>
      <c r="K3854" s="25" t="n">
        <f aca="false">IF($K$3826=0,0,N(INDEX(Clients!$L$2:$L$501,$K$3826)))</f>
        <v>0</v>
      </c>
      <c r="L3854" s="25" t="n">
        <f aca="false">IF($K$3826=0,0,N(INDEX(Clients!$Q$2:$Q$501,$K$3826)))</f>
        <v>0</v>
      </c>
      <c r="M3854" s="25" t="n">
        <f aca="false">IF(OR(K3854&lt;&gt;0,L3854&lt;&gt;0),1,0)</f>
        <v>0</v>
      </c>
      <c r="N3854" s="25" t="str">
        <f aca="false">IF(M3854=1,SUM($M$3853:M3854),"")</f>
        <v/>
      </c>
      <c r="O3854" s="25" t="n">
        <v>2</v>
      </c>
    </row>
    <row r="3855" customFormat="false" ht="16.5" hidden="false" customHeight="true" outlineLevel="0" collapsed="false">
      <c r="B3855" s="40" t="str">
        <f aca="false">IFERROR(INDEX($J$3853:$J$3856,MATCH($O3855,$N$3853:$N$3856,0)),"")</f>
        <v/>
      </c>
      <c r="C3855" s="41" t="str">
        <f aca="false">IFERROR(INDEX($K$3853:$K$3856,MATCH($O3855,$N$3853:$N$3856,0)),"")</f>
        <v/>
      </c>
      <c r="D3855" s="42" t="str">
        <f aca="false">IF(OR(E3855="",N(C3855)=0),"",E3855/C3855-1)</f>
        <v/>
      </c>
      <c r="E3855" s="41" t="str">
        <f aca="false">IFERROR(INDEX($L$3853:$L$3856,MATCH($O3855,$N$3853:$N$3856,0)),"")</f>
        <v/>
      </c>
      <c r="F3855" s="41" t="str">
        <f aca="false">IF(E3855="","",E3855-C3855)</f>
        <v/>
      </c>
      <c r="J3855" s="25" t="str">
        <f aca="false">Lib_Jur</f>
        <v>Mission juridique (approbation des comptes, secrétariat juridique)</v>
      </c>
      <c r="K3855" s="25" t="n">
        <f aca="false">IF($K$3826=0,0,N(INDEX(Clients!$M$2:$M$501,$K$3826)))</f>
        <v>0</v>
      </c>
      <c r="L3855" s="25" t="n">
        <f aca="false">IF($K$3826=0,0,N(INDEX(Clients!$R$2:$R$501,$K$3826)))</f>
        <v>0</v>
      </c>
      <c r="M3855" s="25" t="n">
        <f aca="false">IF(OR(K3855&lt;&gt;0,L3855&lt;&gt;0),1,0)</f>
        <v>0</v>
      </c>
      <c r="N3855" s="25" t="str">
        <f aca="false">IF(M3855=1,SUM($M$3853:M3855),"")</f>
        <v/>
      </c>
      <c r="O3855" s="25" t="n">
        <v>3</v>
      </c>
    </row>
    <row r="3856" customFormat="false" ht="16.5" hidden="false" customHeight="true" outlineLevel="0" collapsed="false">
      <c r="B3856" s="40" t="str">
        <f aca="false">IFERROR(INDEX($J$3853:$J$3856,MATCH($O3856,$N$3853:$N$3856,0)),"")</f>
        <v/>
      </c>
      <c r="C3856" s="41" t="str">
        <f aca="false">IFERROR(INDEX($K$3853:$K$3856,MATCH($O3856,$N$3853:$N$3856,0)),"")</f>
        <v/>
      </c>
      <c r="D3856" s="42" t="str">
        <f aca="false">IF(OR(E3856="",N(C3856)=0),"",E3856/C3856-1)</f>
        <v/>
      </c>
      <c r="E3856" s="41" t="str">
        <f aca="false">IFERROR(INDEX($L$3853:$L$3856,MATCH($O3856,$N$3853:$N$3856,0)),"")</f>
        <v/>
      </c>
      <c r="F3856" s="41" t="str">
        <f aca="false">IF(E3856="","",E3856-C3856)</f>
        <v/>
      </c>
      <c r="J3856" s="25" t="str">
        <f aca="false">Lib_PA</f>
        <v>Plateforme agréée – facturation électronique</v>
      </c>
      <c r="K3856" s="25" t="n">
        <f aca="false">IF($K$3826=0,0,N(INDEX(Clients!$N$2:$N$501,$K$3826)))</f>
        <v>0</v>
      </c>
      <c r="L3856" s="25" t="n">
        <f aca="false">IF($K$3826=0,0,N(INDEX(Clients!$S$2:$S$501,$K$3826)))</f>
        <v>0</v>
      </c>
      <c r="M3856" s="25" t="n">
        <f aca="false">IF(OR(K3856&lt;&gt;0,L3856&lt;&gt;0),1,0)</f>
        <v>0</v>
      </c>
      <c r="N3856" s="25" t="str">
        <f aca="false">IF(M3856=1,SUM($M$3853:M3856),"")</f>
        <v/>
      </c>
      <c r="O3856" s="25" t="n">
        <v>4</v>
      </c>
    </row>
    <row r="3857" customFormat="false" ht="18" hidden="false" customHeight="true" outlineLevel="0" collapsed="false">
      <c r="B3857" s="43" t="s">
        <v>158</v>
      </c>
      <c r="C3857" s="44" t="n">
        <f aca="false">SUM(K3853:K3856)</f>
        <v>0</v>
      </c>
      <c r="D3857" s="45" t="str">
        <f aca="false">IF(N(C3857)=0,"",E3857/C3857-1)</f>
        <v/>
      </c>
      <c r="E3857" s="44" t="n">
        <f aca="false">SUM(L3853:L3856)</f>
        <v>0</v>
      </c>
      <c r="F3857" s="44" t="n">
        <f aca="false">E3857-C3857</f>
        <v>0</v>
      </c>
    </row>
    <row r="3858" customFormat="false" ht="15" hidden="false" customHeight="false" outlineLevel="0" collapsed="false">
      <c r="B3858" s="46" t="str">
        <f aca="false">IF(N(Nb_Mensualites)=0,"","Soit "&amp;FIXED(E3857/Nb_Mensualites,2)&amp;" € HT par échéance ("&amp;Nb_Mensualites&amp;" échéances), "&amp;FIXED(E3857/Nb_Mensualites*(1+Taux_TVA),2)&amp;" € TTC.")</f>
        <v>Soit 0.00 € HT par échéance (12 échéances), 0.00 € TTC.</v>
      </c>
      <c r="C3858" s="46"/>
      <c r="D3858" s="46"/>
      <c r="E3858" s="46"/>
      <c r="F3858" s="46"/>
    </row>
    <row r="3859" customFormat="false" ht="7.5" hidden="false" customHeight="true" outlineLevel="0" collapsed="false">
      <c r="B3859" s="10"/>
      <c r="C3859" s="10"/>
      <c r="D3859" s="10"/>
      <c r="E3859" s="10"/>
      <c r="F3859" s="10"/>
    </row>
    <row r="3860" customFormat="false" ht="36.75" hidden="false" customHeight="true" outlineLevel="0" collapsed="false">
      <c r="B3860" s="37" t="str">
        <f aca="false">SUBSTITUTE(SUBSTITUTE(SUBSTITUTE(SUBSTITUTE(SUBSTITUTE(Txt_P5,"{cabinet}",Cab_Nom),"{societe}",IF($K$3826=0,"",INDEX(Clients!$E$2:$E$501,$K$3826)&amp;"")),"{date_effet}",$K$3828),"{hausse}",$K$3829),"{civilite}",$K$3827)</f>
        <v>Les autres conditions de votre lettre de mission demeurent inchangées. Les nouveaux montants seront appliqués automatiquement sur vos prochaines factures et échéances de prélèvement.</v>
      </c>
      <c r="C3860" s="37"/>
      <c r="D3860" s="37"/>
      <c r="E3860" s="37"/>
      <c r="F3860" s="37"/>
    </row>
    <row r="3861" customFormat="false" ht="36.75" hidden="false" customHeight="true" outlineLevel="0" collapsed="false">
      <c r="B3861" s="37" t="str">
        <f aca="false">SUBSTITUTE(SUBSTITUTE(SUBSTITUTE(SUBSTITUTE(SUBSTITUTE(Txt_P6,"{cabinet}",Cab_Nom),"{societe}",IF($K$3826=0,"",INDEX(Clients!$E$2:$E$501,$K$3826)&amp;"")),"{date_effet}",$K$3828),"{hausse}",$K$3829),"{civilite}",$K$3827)</f>
        <v>Votre interlocuteur habituel reste à votre entière disposition pour répondre à vos questions et faire le point sur l'évolution de vos besoins.</v>
      </c>
      <c r="C3861" s="37"/>
      <c r="D3861" s="37"/>
      <c r="E3861" s="37"/>
      <c r="F3861" s="37"/>
    </row>
    <row r="3862" customFormat="false" ht="24" hidden="false" customHeight="true" outlineLevel="0" collapsed="false">
      <c r="B3862" s="37" t="str">
        <f aca="false">SUBSTITUTE(SUBSTITUTE(SUBSTITUTE(SUBSTITUTE(SUBSTITUTE(Txt_Politesse,"{cabinet}",Cab_Nom),"{societe}",IF($K$3826=0,"",INDEX(Clients!$E$2:$E$501,$K$3826)&amp;"")),"{date_effet}",$K$3828),"{hausse}",$K$3829),"{civilite}",$K$3827)</f>
        <v>Nous vous prions d'agréer, Madame, Monsieur, l'expression de nos salutations distinguées.</v>
      </c>
      <c r="C3862" s="37"/>
      <c r="D3862" s="37"/>
      <c r="E3862" s="37"/>
      <c r="F3862" s="37"/>
    </row>
    <row r="3863" customFormat="false" ht="15" hidden="false" customHeight="false" outlineLevel="0" collapsed="false">
      <c r="B3863" s="10"/>
      <c r="C3863" s="10"/>
      <c r="D3863" s="10"/>
      <c r="E3863" s="10"/>
      <c r="F3863" s="10"/>
    </row>
    <row r="3864" customFormat="false" ht="15" hidden="false" customHeight="false" outlineLevel="0" collapsed="false">
      <c r="B3864" s="10"/>
      <c r="C3864" s="10"/>
      <c r="D3864" s="34" t="str">
        <f aca="false">Signataire</f>
        <v>Prénom NOM</v>
      </c>
      <c r="E3864" s="34"/>
      <c r="F3864" s="34"/>
    </row>
    <row r="3865" customFormat="false" ht="15" hidden="false" customHeight="false" outlineLevel="0" collapsed="false">
      <c r="B3865" s="10"/>
      <c r="C3865" s="10"/>
      <c r="D3865" s="47" t="str">
        <f aca="false">Signataire_Titre</f>
        <v>Expert-comptable associé</v>
      </c>
      <c r="E3865" s="47"/>
      <c r="F3865" s="47"/>
    </row>
    <row r="3866" customFormat="false" ht="15.75" hidden="false" customHeight="true" outlineLevel="0" collapsed="false">
      <c r="B3866" s="10"/>
      <c r="C3866" s="10"/>
      <c r="D3866" s="10"/>
      <c r="E3866" s="10"/>
      <c r="F3866" s="10"/>
    </row>
    <row r="3867" customFormat="false" ht="15.75" hidden="false" customHeight="true" outlineLevel="0" collapsed="false">
      <c r="B3867" s="10"/>
      <c r="C3867" s="10"/>
      <c r="D3867" s="10"/>
      <c r="E3867" s="10"/>
      <c r="F3867" s="10"/>
    </row>
    <row r="3868" customFormat="false" ht="15.75" hidden="false" customHeight="true" outlineLevel="0" collapsed="false">
      <c r="B3868" s="10"/>
      <c r="C3868" s="10"/>
      <c r="D3868" s="10"/>
      <c r="E3868" s="10"/>
      <c r="F3868" s="10"/>
    </row>
    <row r="3869" customFormat="false" ht="15.75" hidden="false" customHeight="true" outlineLevel="0" collapsed="false">
      <c r="B3869" s="10"/>
      <c r="C3869" s="10"/>
      <c r="D3869" s="10"/>
      <c r="E3869" s="10"/>
      <c r="F3869" s="10"/>
    </row>
    <row r="3870" customFormat="false" ht="24" hidden="false" customHeight="true" outlineLevel="0" collapsed="false">
      <c r="B3870" s="48" t="str">
        <f aca="false">Cab_Mentions</f>
        <v>ALTHO EXPERTISE · SAS au capital de 10 000 € · RCS Pontoise 919 706 325 · TVA FR62919706325 · Société d'expertise comptable inscrite au Tableau de l'Ordre des experts-comptables de Paris Île-de-France</v>
      </c>
      <c r="C3870" s="48"/>
      <c r="D3870" s="48"/>
      <c r="E3870" s="48"/>
      <c r="F3870" s="48"/>
    </row>
    <row r="3871" customFormat="false" ht="15" hidden="false" customHeight="false" outlineLevel="0" collapsed="false">
      <c r="B3871" s="10"/>
      <c r="C3871" s="10"/>
      <c r="D3871" s="10"/>
      <c r="E3871" s="10"/>
      <c r="F3871" s="10"/>
      <c r="J3871" s="25" t="s">
        <v>142</v>
      </c>
      <c r="K3871" s="25" t="n">
        <f aca="false">IFERROR(MATCH(87,Clients!$Z$2:$Z$501,0),0)</f>
        <v>0</v>
      </c>
      <c r="L3871" s="25"/>
      <c r="M3871" s="25"/>
      <c r="N3871" s="25"/>
      <c r="O3871" s="25"/>
    </row>
    <row r="3872" customFormat="false" ht="21.75" hidden="false" customHeight="true" outlineLevel="0" collapsed="false">
      <c r="B3872" s="26" t="str">
        <f aca="false">Cab_Nom</f>
        <v>ALTHO EXPERTISE</v>
      </c>
      <c r="C3872" s="26"/>
      <c r="D3872" s="10"/>
      <c r="E3872" s="27" t="str">
        <f aca="false">IF($K$3871=0,"","Réf. client : "&amp;INDEX(Clients!$A$2:$A$501,$K$3871))</f>
        <v/>
      </c>
      <c r="F3872" s="27"/>
      <c r="J3872" s="25" t="s">
        <v>144</v>
      </c>
      <c r="K3872" s="25" t="str">
        <f aca="false">IF(IF($K$3871=0,"",INDEX(Clients!$B$2:$B$501,$K$3871)&amp;"")="Mme","Madame",IF(IF($K$3871=0,"",INDEX(Clients!$B$2:$B$501,$K$3871)&amp;"")="M.","Monsieur","Madame, Monsieur"))</f>
        <v>Madame, Monsieur</v>
      </c>
      <c r="L3872" s="25"/>
      <c r="M3872" s="25"/>
      <c r="N3872" s="25"/>
      <c r="O3872" s="25"/>
    </row>
    <row r="3873" customFormat="false" ht="15" hidden="false" customHeight="false" outlineLevel="0" collapsed="false">
      <c r="B3873" s="29" t="str">
        <f aca="false">Cab_Adr1</f>
        <v>141 rue Charles de Gaulle</v>
      </c>
      <c r="C3873" s="29"/>
      <c r="D3873" s="10"/>
      <c r="E3873" s="10"/>
      <c r="F3873" s="10"/>
      <c r="J3873" s="25" t="s">
        <v>145</v>
      </c>
      <c r="K3873" s="25" t="str">
        <f aca="false">DAY(Date_Effet)&amp;IF(DAY(Date_Effet)=1,"er","")&amp;" "&amp;INDEX(Liste_Mois,MONTH(Date_Effet))&amp;" "&amp;YEAR(Date_Effet)</f>
        <v>1er janvier 2027</v>
      </c>
      <c r="L3873" s="25"/>
      <c r="M3873" s="25"/>
      <c r="N3873" s="25"/>
      <c r="O3873" s="25"/>
    </row>
    <row r="3874" customFormat="false" ht="15" hidden="false" customHeight="false" outlineLevel="0" collapsed="false">
      <c r="B3874" s="29" t="str">
        <f aca="false">Cab_CPVille</f>
        <v>95130 LE PLESSIS-BOUCHARD</v>
      </c>
      <c r="C3874" s="29"/>
      <c r="D3874" s="10"/>
      <c r="E3874" s="10"/>
      <c r="F3874" s="10"/>
      <c r="J3874" s="25" t="s">
        <v>146</v>
      </c>
      <c r="K3874" s="25" t="str">
        <f aca="false">IF(SUM($K$3898:$K$3901)=0,"",FIXED((SUM($L$3898:$L$3901)/SUM($K$3898:$K$3901)-1)*100,1)&amp;" %")</f>
        <v/>
      </c>
      <c r="L3874" s="25"/>
      <c r="M3874" s="25"/>
      <c r="N3874" s="25"/>
      <c r="O3874" s="25"/>
    </row>
    <row r="3875" customFormat="false" ht="15" hidden="false" customHeight="false" outlineLevel="0" collapsed="false">
      <c r="B3875" s="29" t="str">
        <f aca="false">Cab_Contact</f>
        <v>Tél. 01 34 14 53 45  ·  altho@altho-experts.com  ·  altho-experts.com</v>
      </c>
      <c r="C3875" s="29"/>
      <c r="D3875" s="10"/>
      <c r="E3875" s="10"/>
      <c r="F3875" s="10"/>
      <c r="J3875" s="25"/>
      <c r="K3875" s="25"/>
      <c r="L3875" s="25"/>
      <c r="M3875" s="25"/>
      <c r="N3875" s="25"/>
      <c r="O3875" s="25"/>
    </row>
    <row r="3876" customFormat="false" ht="6" hidden="false" customHeight="true" outlineLevel="0" collapsed="false">
      <c r="B3876" s="32"/>
      <c r="C3876" s="32"/>
      <c r="D3876" s="32"/>
      <c r="E3876" s="32"/>
      <c r="F3876" s="32"/>
      <c r="J3876" s="25"/>
      <c r="K3876" s="25"/>
      <c r="L3876" s="25"/>
      <c r="M3876" s="25"/>
      <c r="N3876" s="25"/>
      <c r="O3876" s="25"/>
    </row>
    <row r="3877" customFormat="false" ht="13.5" hidden="false" customHeight="true" outlineLevel="0" collapsed="false">
      <c r="B3877" s="10"/>
      <c r="C3877" s="10"/>
      <c r="D3877" s="10"/>
      <c r="E3877" s="10"/>
      <c r="F3877" s="10"/>
      <c r="J3877" s="25"/>
      <c r="K3877" s="25"/>
      <c r="L3877" s="25"/>
      <c r="M3877" s="25"/>
      <c r="N3877" s="25"/>
      <c r="O3877" s="25"/>
    </row>
    <row r="3878" customFormat="false" ht="13.5" hidden="false" customHeight="true" outlineLevel="0" collapsed="false">
      <c r="B3878" s="10"/>
      <c r="C3878" s="10"/>
      <c r="D3878" s="10"/>
      <c r="E3878" s="10"/>
      <c r="F3878" s="10"/>
      <c r="J3878" s="25"/>
      <c r="K3878" s="25"/>
      <c r="L3878" s="25"/>
      <c r="M3878" s="25"/>
      <c r="N3878" s="25"/>
      <c r="O3878" s="25"/>
    </row>
    <row r="3879" customFormat="false" ht="13.5" hidden="false" customHeight="true" outlineLevel="0" collapsed="false">
      <c r="B3879" s="10"/>
      <c r="C3879" s="10"/>
      <c r="D3879" s="10"/>
      <c r="E3879" s="10"/>
      <c r="F3879" s="10"/>
      <c r="J3879" s="25"/>
      <c r="K3879" s="25"/>
      <c r="L3879" s="25"/>
      <c r="M3879" s="25"/>
      <c r="N3879" s="25"/>
      <c r="O3879" s="25"/>
    </row>
    <row r="3880" customFormat="false" ht="15" hidden="false" customHeight="true" outlineLevel="0" collapsed="false">
      <c r="B3880" s="10"/>
      <c r="C3880" s="10"/>
      <c r="D3880" s="34" t="str">
        <f aca="false">IF($K$3871=0,"",INDEX(Clients!$E$2:$E$501,$K$3871)&amp;"")</f>
        <v/>
      </c>
      <c r="E3880" s="34"/>
      <c r="F3880" s="34"/>
      <c r="J3880" s="25"/>
      <c r="K3880" s="25"/>
      <c r="L3880" s="25"/>
      <c r="M3880" s="25"/>
      <c r="N3880" s="25"/>
      <c r="O3880" s="25"/>
    </row>
    <row r="3881" customFormat="false" ht="15" hidden="false" customHeight="true" outlineLevel="0" collapsed="false">
      <c r="B3881" s="10"/>
      <c r="C3881" s="10"/>
      <c r="D3881" s="35" t="str">
        <f aca="false">IF(IF($K$3871=0,"",INDEX(Clients!$D$2:$D$501,$K$3871)&amp;"")="","","À l'attention de "&amp;TRIM(IF($K$3871=0,"",INDEX(Clients!$B$2:$B$501,$K$3871)&amp;"")&amp;" "&amp;IF($K$3871=0,"",INDEX(Clients!$C$2:$C$501,$K$3871)&amp;"")&amp;" "&amp;IF($K$3871=0,"",INDEX(Clients!$D$2:$D$501,$K$3871)&amp;"")))</f>
        <v/>
      </c>
      <c r="E3881" s="35"/>
      <c r="F3881" s="35"/>
      <c r="J3881" s="25"/>
      <c r="K3881" s="25"/>
      <c r="L3881" s="25"/>
      <c r="M3881" s="25"/>
      <c r="N3881" s="25"/>
      <c r="O3881" s="25"/>
    </row>
    <row r="3882" customFormat="false" ht="15" hidden="false" customHeight="true" outlineLevel="0" collapsed="false">
      <c r="B3882" s="10"/>
      <c r="C3882" s="10"/>
      <c r="D3882" s="35" t="str">
        <f aca="false">IF($K$3871=0,"",INDEX(Clients!$F$2:$F$501,$K$3871)&amp;"")</f>
        <v/>
      </c>
      <c r="E3882" s="35"/>
      <c r="F3882" s="35"/>
      <c r="J3882" s="25"/>
      <c r="K3882" s="25"/>
      <c r="L3882" s="25"/>
      <c r="M3882" s="25"/>
      <c r="N3882" s="25"/>
      <c r="O3882" s="25"/>
    </row>
    <row r="3883" customFormat="false" ht="15" hidden="false" customHeight="true" outlineLevel="0" collapsed="false">
      <c r="B3883" s="10"/>
      <c r="C3883" s="10"/>
      <c r="D3883" s="35" t="str">
        <f aca="false">IF(IF($K$3871=0,"",INDEX(Clients!$G$2:$G$501,$K$3871)&amp;"")="",TRIM(IF($K$3871=0,"",INDEX(Clients!$H$2:$H$501,$K$3871)&amp;"")&amp;" "&amp;UPPER(IF($K$3871=0,"",INDEX(Clients!$I$2:$I$501,$K$3871)&amp;""))),IF($K$3871=0,"",INDEX(Clients!$G$2:$G$501,$K$3871)&amp;""))</f>
        <v/>
      </c>
      <c r="E3883" s="35"/>
      <c r="F3883" s="35"/>
      <c r="J3883" s="25"/>
      <c r="K3883" s="25"/>
      <c r="L3883" s="25"/>
      <c r="M3883" s="25"/>
      <c r="N3883" s="25"/>
      <c r="O3883" s="25"/>
    </row>
    <row r="3884" customFormat="false" ht="15" hidden="false" customHeight="true" outlineLevel="0" collapsed="false">
      <c r="B3884" s="10"/>
      <c r="C3884" s="10"/>
      <c r="D3884" s="35" t="str">
        <f aca="false">IF(IF($K$3871=0,"",INDEX(Clients!$G$2:$G$501,$K$3871)&amp;"")="","",TRIM(IF($K$3871=0,"",INDEX(Clients!$H$2:$H$501,$K$3871)&amp;"")&amp;" "&amp;UPPER(IF($K$3871=0,"",INDEX(Clients!$I$2:$I$501,$K$3871)&amp;""))))</f>
        <v/>
      </c>
      <c r="E3884" s="35"/>
      <c r="F3884" s="35"/>
      <c r="J3884" s="25"/>
      <c r="K3884" s="25"/>
      <c r="L3884" s="25"/>
      <c r="M3884" s="25"/>
      <c r="N3884" s="25"/>
      <c r="O3884" s="25"/>
    </row>
    <row r="3885" customFormat="false" ht="25.5" hidden="false" customHeight="true" outlineLevel="0" collapsed="false">
      <c r="B3885" s="10"/>
      <c r="C3885" s="10"/>
      <c r="D3885" s="10"/>
      <c r="E3885" s="10"/>
      <c r="F3885" s="10"/>
      <c r="J3885" s="25"/>
      <c r="K3885" s="25"/>
      <c r="L3885" s="25"/>
      <c r="M3885" s="25"/>
      <c r="N3885" s="25"/>
      <c r="O3885" s="25"/>
    </row>
    <row r="3886" customFormat="false" ht="15" hidden="false" customHeight="false" outlineLevel="0" collapsed="false">
      <c r="B3886" s="10"/>
      <c r="C3886" s="10"/>
      <c r="D3886" s="36" t="str">
        <f aca="false">Cab_Ville&amp;", le "&amp;DAY(Date_Courrier)&amp;IF(DAY(Date_Courrier)=1,"er","")&amp;" "&amp;INDEX(Liste_Mois,MONTH(Date_Courrier))&amp;" "&amp;YEAR(Date_Courrier)</f>
        <v>Le Plessis-Bouchard, le 22 septembre 2026</v>
      </c>
      <c r="E3886" s="36"/>
      <c r="F3886" s="36"/>
      <c r="J3886" s="25"/>
      <c r="K3886" s="25"/>
      <c r="L3886" s="25"/>
      <c r="M3886" s="25"/>
      <c r="N3886" s="25"/>
      <c r="O3886" s="25"/>
    </row>
    <row r="3887" customFormat="false" ht="19.5" hidden="false" customHeight="true" outlineLevel="0" collapsed="false">
      <c r="B3887" s="10"/>
      <c r="C3887" s="10"/>
      <c r="D3887" s="10"/>
      <c r="E3887" s="10"/>
      <c r="F3887" s="10"/>
      <c r="J3887" s="25"/>
      <c r="K3887" s="25"/>
      <c r="L3887" s="25"/>
      <c r="M3887" s="25"/>
      <c r="N3887" s="25"/>
      <c r="O3887" s="25"/>
    </row>
    <row r="3888" customFormat="false" ht="15" hidden="false" customHeight="false" outlineLevel="0" collapsed="false">
      <c r="B3888" s="34" t="str">
        <f aca="false">SUBSTITUTE(SUBSTITUTE(SUBSTITUTE(SUBSTITUTE(SUBSTITUTE(Txt_Objet,"{cabinet}",Cab_Nom),"{societe}",IF($K$3871=0,"",INDEX(Clients!$E$2:$E$501,$K$3871)&amp;"")),"{date_effet}",$K$3873),"{hausse}",$K$3874),"{civilite}",$K$3872)</f>
        <v>Objet : révision de nos honoraires au 1er janvier 2027</v>
      </c>
      <c r="C3888" s="34"/>
      <c r="D3888" s="34"/>
      <c r="E3888" s="34"/>
      <c r="F3888" s="34"/>
      <c r="J3888" s="25"/>
      <c r="K3888" s="25"/>
      <c r="L3888" s="25"/>
      <c r="M3888" s="25"/>
      <c r="N3888" s="25"/>
      <c r="O3888" s="25"/>
    </row>
    <row r="3889" customFormat="false" ht="13.5" hidden="false" customHeight="true" outlineLevel="0" collapsed="false">
      <c r="B3889" s="10"/>
      <c r="C3889" s="10"/>
      <c r="D3889" s="10"/>
      <c r="E3889" s="10"/>
      <c r="F3889" s="10"/>
      <c r="J3889" s="25"/>
      <c r="K3889" s="25"/>
      <c r="L3889" s="25"/>
      <c r="M3889" s="25"/>
      <c r="N3889" s="25"/>
      <c r="O3889" s="25"/>
    </row>
    <row r="3890" customFormat="false" ht="15" hidden="false" customHeight="false" outlineLevel="0" collapsed="false">
      <c r="B3890" s="10" t="str">
        <f aca="false">$K$3872&amp;","</f>
        <v>Madame, Monsieur,</v>
      </c>
      <c r="C3890" s="10"/>
      <c r="D3890" s="10"/>
      <c r="E3890" s="10"/>
      <c r="F3890" s="10"/>
      <c r="J3890" s="25"/>
      <c r="K3890" s="25"/>
      <c r="L3890" s="25"/>
      <c r="M3890" s="25"/>
      <c r="N3890" s="25"/>
      <c r="O3890" s="25"/>
    </row>
    <row r="3891" customFormat="false" ht="6" hidden="false" customHeight="true" outlineLevel="0" collapsed="false">
      <c r="B3891" s="10"/>
      <c r="C3891" s="10"/>
      <c r="D3891" s="10"/>
      <c r="E3891" s="10"/>
      <c r="F3891" s="10"/>
      <c r="J3891" s="25"/>
      <c r="K3891" s="25"/>
      <c r="L3891" s="25"/>
      <c r="M3891" s="25"/>
      <c r="N3891" s="25"/>
      <c r="O3891" s="25"/>
    </row>
    <row r="3892" customFormat="false" ht="36.75" hidden="false" customHeight="true" outlineLevel="0" collapsed="false">
      <c r="B3892" s="37" t="str">
        <f aca="false">SUBSTITUTE(SUBSTITUTE(SUBSTITUTE(SUBSTITUTE(SUBSTITUTE(Txt_P1,"{cabinet}",Cab_Nom),"{societe}",IF($K$3871=0,"",INDEX(Clients!$E$2:$E$501,$K$3871)&amp;"")),"{date_effet}",$K$3873),"{hausse}",$K$3874),"{civilite}",$K$3872)</f>
        <v>Nous tenons tout d'abord à vous remercier pour la confiance que vous accordez à ALTHO EXPERTISE. Comme chaque année, et conformément aux dispositions de votre lettre de mission, nous procédons à la révision de nos honoraires.</v>
      </c>
      <c r="C3892" s="37"/>
      <c r="D3892" s="37"/>
      <c r="E3892" s="37"/>
      <c r="F3892" s="37"/>
      <c r="J3892" s="25"/>
      <c r="K3892" s="25"/>
      <c r="L3892" s="25"/>
      <c r="M3892" s="25"/>
      <c r="N3892" s="25"/>
      <c r="O3892" s="25"/>
    </row>
    <row r="3893" customFormat="false" ht="49.5" hidden="false" customHeight="true" outlineLevel="0" collapsed="false">
      <c r="B3893" s="37" t="str">
        <f aca="false">SUBSTITUTE(SUBSTITUTE(SUBSTITUTE(SUBSTITUTE(SUBSTITUTE(Txt_P2,"{cabinet}",Cab_Nom),"{societe}",IF($K$3871=0,"",INDEX(Clients!$E$2:$E$501,$K$3871)&amp;"")),"{date_effet}",$K$3873),"{hausse}",$K$3874),"{civilite}",$K$3872)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893" s="37"/>
      <c r="D3893" s="37"/>
      <c r="E3893" s="37"/>
      <c r="F3893" s="37"/>
      <c r="J3893" s="25"/>
      <c r="K3893" s="25"/>
      <c r="L3893" s="25"/>
      <c r="M3893" s="25"/>
      <c r="N3893" s="25"/>
      <c r="O3893" s="25"/>
    </row>
    <row r="3894" customFormat="false" ht="63" hidden="false" customHeight="true" outlineLevel="0" collapsed="false">
      <c r="B3894" s="37" t="str">
        <f aca="false">SUBSTITUTE(SUBSTITUTE(SUBSTITUTE(SUBSTITUTE(SUBSTITUTE(Txt_P3,"{cabinet}",Cab_Nom),"{societe}",IF($K$3871=0,"",INDEX(Clients!$E$2:$E$501,$K$3871)&amp;"")),"{date_effet}",$K$3873),"{hausse}",$K$3874),"{civilite}",$K$3872)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894" s="37"/>
      <c r="D3894" s="37"/>
      <c r="E3894" s="37"/>
      <c r="F3894" s="37"/>
      <c r="J3894" s="25"/>
      <c r="K3894" s="25"/>
      <c r="L3894" s="25"/>
      <c r="M3894" s="25"/>
      <c r="N3894" s="25"/>
      <c r="O3894" s="25"/>
    </row>
    <row r="3895" customFormat="false" ht="24" hidden="false" customHeight="true" outlineLevel="0" collapsed="false">
      <c r="B3895" s="37" t="str">
        <f aca="false">SUBSTITUTE(SUBSTITUTE(SUBSTITUTE(SUBSTITUTE(SUBSTITUTE(Txt_P4,"{cabinet}",Cab_Nom),"{societe}",IF($K$3871=0,"",INDEX(Clients!$E$2:$E$501,$K$3871)&amp;"")),"{date_effet}",$K$3873),"{hausse}",$K$3874),"{civilite}",$K$3872)</f>
        <v>À compter du 1er janvier 2027, vos honoraires annuels hors taxes évolueront ainsi (évolution globale : ) :</v>
      </c>
      <c r="C3895" s="37"/>
      <c r="D3895" s="37"/>
      <c r="E3895" s="37"/>
      <c r="F3895" s="37"/>
      <c r="J3895" s="25"/>
      <c r="K3895" s="25"/>
      <c r="L3895" s="25"/>
      <c r="M3895" s="25"/>
      <c r="N3895" s="25"/>
      <c r="O3895" s="25"/>
    </row>
    <row r="3896" customFormat="false" ht="3.75" hidden="false" customHeight="true" outlineLevel="0" collapsed="false">
      <c r="B3896" s="10"/>
      <c r="C3896" s="10"/>
      <c r="D3896" s="10"/>
      <c r="E3896" s="10"/>
      <c r="F3896" s="10"/>
      <c r="J3896" s="25"/>
      <c r="K3896" s="25"/>
      <c r="L3896" s="25"/>
      <c r="M3896" s="25"/>
      <c r="N3896" s="25"/>
      <c r="O3896" s="25"/>
    </row>
    <row r="3897" customFormat="false" ht="18" hidden="false" customHeight="true" outlineLevel="0" collapsed="false">
      <c r="B3897" s="38" t="s">
        <v>148</v>
      </c>
      <c r="C3897" s="39" t="s">
        <v>149</v>
      </c>
      <c r="D3897" s="39" t="s">
        <v>150</v>
      </c>
      <c r="E3897" s="39" t="s">
        <v>151</v>
      </c>
      <c r="F3897" s="39" t="s">
        <v>109</v>
      </c>
      <c r="J3897" s="25" t="s">
        <v>152</v>
      </c>
      <c r="K3897" s="25" t="s">
        <v>153</v>
      </c>
      <c r="L3897" s="25" t="s">
        <v>154</v>
      </c>
      <c r="M3897" s="25" t="s">
        <v>155</v>
      </c>
      <c r="N3897" s="25" t="s">
        <v>156</v>
      </c>
      <c r="O3897" s="25" t="s">
        <v>157</v>
      </c>
    </row>
    <row r="3898" customFormat="false" ht="16.5" hidden="false" customHeight="true" outlineLevel="0" collapsed="false">
      <c r="B3898" s="40" t="str">
        <f aca="false">IFERROR(INDEX($J$3898:$J$3901,MATCH($O3898,$N$3898:$N$3901,0)),"")</f>
        <v/>
      </c>
      <c r="C3898" s="41" t="str">
        <f aca="false">IFERROR(INDEX($K$3898:$K$3901,MATCH($O3898,$N$3898:$N$3901,0)),"")</f>
        <v/>
      </c>
      <c r="D3898" s="42" t="str">
        <f aca="false">IF(OR(E3898="",N(C3898)=0),"",E3898/C3898-1)</f>
        <v/>
      </c>
      <c r="E3898" s="41" t="str">
        <f aca="false">IFERROR(INDEX($L$3898:$L$3901,MATCH($O3898,$N$3898:$N$3901,0)),"")</f>
        <v/>
      </c>
      <c r="F3898" s="41" t="str">
        <f aca="false">IF(E3898="","",E3898-C3898)</f>
        <v/>
      </c>
      <c r="J3898" s="25" t="str">
        <f aca="false">Lib_Compta</f>
        <v>Mission comptable (tenue, révision, bilan, liasse fiscale)</v>
      </c>
      <c r="K3898" s="25" t="n">
        <f aca="false">IF($K$3871=0,0,N(INDEX(Clients!$K$2:$K$501,$K$3871)))</f>
        <v>0</v>
      </c>
      <c r="L3898" s="25" t="n">
        <f aca="false">IF($K$3871=0,0,N(INDEX(Clients!$P$2:$P$501,$K$3871)))</f>
        <v>0</v>
      </c>
      <c r="M3898" s="25" t="n">
        <f aca="false">IF(OR(K3898&lt;&gt;0,L3898&lt;&gt;0),1,0)</f>
        <v>0</v>
      </c>
      <c r="N3898" s="25" t="str">
        <f aca="false">IF(M3898=1,SUM($M$3898:M3898),"")</f>
        <v/>
      </c>
      <c r="O3898" s="25" t="n">
        <v>1</v>
      </c>
    </row>
    <row r="3899" customFormat="false" ht="16.5" hidden="false" customHeight="true" outlineLevel="0" collapsed="false">
      <c r="B3899" s="40" t="str">
        <f aca="false">IFERROR(INDEX($J$3898:$J$3901,MATCH($O3899,$N$3898:$N$3901,0)),"")</f>
        <v/>
      </c>
      <c r="C3899" s="41" t="str">
        <f aca="false">IFERROR(INDEX($K$3898:$K$3901,MATCH($O3899,$N$3898:$N$3901,0)),"")</f>
        <v/>
      </c>
      <c r="D3899" s="42" t="str">
        <f aca="false">IF(OR(E3899="",N(C3899)=0),"",E3899/C3899-1)</f>
        <v/>
      </c>
      <c r="E3899" s="41" t="str">
        <f aca="false">IFERROR(INDEX($L$3898:$L$3901,MATCH($O3899,$N$3898:$N$3901,0)),"")</f>
        <v/>
      </c>
      <c r="F3899" s="41" t="str">
        <f aca="false">IF(E3899="","",E3899-C3899)</f>
        <v/>
      </c>
      <c r="J3899" s="25" t="str">
        <f aca="false">Lib_Paye</f>
        <v>Mission sociale (bulletins de paie, DSN, déclarations sociales)</v>
      </c>
      <c r="K3899" s="25" t="n">
        <f aca="false">IF($K$3871=0,0,N(INDEX(Clients!$L$2:$L$501,$K$3871)))</f>
        <v>0</v>
      </c>
      <c r="L3899" s="25" t="n">
        <f aca="false">IF($K$3871=0,0,N(INDEX(Clients!$Q$2:$Q$501,$K$3871)))</f>
        <v>0</v>
      </c>
      <c r="M3899" s="25" t="n">
        <f aca="false">IF(OR(K3899&lt;&gt;0,L3899&lt;&gt;0),1,0)</f>
        <v>0</v>
      </c>
      <c r="N3899" s="25" t="str">
        <f aca="false">IF(M3899=1,SUM($M$3898:M3899),"")</f>
        <v/>
      </c>
      <c r="O3899" s="25" t="n">
        <v>2</v>
      </c>
    </row>
    <row r="3900" customFormat="false" ht="16.5" hidden="false" customHeight="true" outlineLevel="0" collapsed="false">
      <c r="B3900" s="40" t="str">
        <f aca="false">IFERROR(INDEX($J$3898:$J$3901,MATCH($O3900,$N$3898:$N$3901,0)),"")</f>
        <v/>
      </c>
      <c r="C3900" s="41" t="str">
        <f aca="false">IFERROR(INDEX($K$3898:$K$3901,MATCH($O3900,$N$3898:$N$3901,0)),"")</f>
        <v/>
      </c>
      <c r="D3900" s="42" t="str">
        <f aca="false">IF(OR(E3900="",N(C3900)=0),"",E3900/C3900-1)</f>
        <v/>
      </c>
      <c r="E3900" s="41" t="str">
        <f aca="false">IFERROR(INDEX($L$3898:$L$3901,MATCH($O3900,$N$3898:$N$3901,0)),"")</f>
        <v/>
      </c>
      <c r="F3900" s="41" t="str">
        <f aca="false">IF(E3900="","",E3900-C3900)</f>
        <v/>
      </c>
      <c r="J3900" s="25" t="str">
        <f aca="false">Lib_Jur</f>
        <v>Mission juridique (approbation des comptes, secrétariat juridique)</v>
      </c>
      <c r="K3900" s="25" t="n">
        <f aca="false">IF($K$3871=0,0,N(INDEX(Clients!$M$2:$M$501,$K$3871)))</f>
        <v>0</v>
      </c>
      <c r="L3900" s="25" t="n">
        <f aca="false">IF($K$3871=0,0,N(INDEX(Clients!$R$2:$R$501,$K$3871)))</f>
        <v>0</v>
      </c>
      <c r="M3900" s="25" t="n">
        <f aca="false">IF(OR(K3900&lt;&gt;0,L3900&lt;&gt;0),1,0)</f>
        <v>0</v>
      </c>
      <c r="N3900" s="25" t="str">
        <f aca="false">IF(M3900=1,SUM($M$3898:M3900),"")</f>
        <v/>
      </c>
      <c r="O3900" s="25" t="n">
        <v>3</v>
      </c>
    </row>
    <row r="3901" customFormat="false" ht="16.5" hidden="false" customHeight="true" outlineLevel="0" collapsed="false">
      <c r="B3901" s="40" t="str">
        <f aca="false">IFERROR(INDEX($J$3898:$J$3901,MATCH($O3901,$N$3898:$N$3901,0)),"")</f>
        <v/>
      </c>
      <c r="C3901" s="41" t="str">
        <f aca="false">IFERROR(INDEX($K$3898:$K$3901,MATCH($O3901,$N$3898:$N$3901,0)),"")</f>
        <v/>
      </c>
      <c r="D3901" s="42" t="str">
        <f aca="false">IF(OR(E3901="",N(C3901)=0),"",E3901/C3901-1)</f>
        <v/>
      </c>
      <c r="E3901" s="41" t="str">
        <f aca="false">IFERROR(INDEX($L$3898:$L$3901,MATCH($O3901,$N$3898:$N$3901,0)),"")</f>
        <v/>
      </c>
      <c r="F3901" s="41" t="str">
        <f aca="false">IF(E3901="","",E3901-C3901)</f>
        <v/>
      </c>
      <c r="J3901" s="25" t="str">
        <f aca="false">Lib_PA</f>
        <v>Plateforme agréée – facturation électronique</v>
      </c>
      <c r="K3901" s="25" t="n">
        <f aca="false">IF($K$3871=0,0,N(INDEX(Clients!$N$2:$N$501,$K$3871)))</f>
        <v>0</v>
      </c>
      <c r="L3901" s="25" t="n">
        <f aca="false">IF($K$3871=0,0,N(INDEX(Clients!$S$2:$S$501,$K$3871)))</f>
        <v>0</v>
      </c>
      <c r="M3901" s="25" t="n">
        <f aca="false">IF(OR(K3901&lt;&gt;0,L3901&lt;&gt;0),1,0)</f>
        <v>0</v>
      </c>
      <c r="N3901" s="25" t="str">
        <f aca="false">IF(M3901=1,SUM($M$3898:M3901),"")</f>
        <v/>
      </c>
      <c r="O3901" s="25" t="n">
        <v>4</v>
      </c>
    </row>
    <row r="3902" customFormat="false" ht="18" hidden="false" customHeight="true" outlineLevel="0" collapsed="false">
      <c r="B3902" s="43" t="s">
        <v>158</v>
      </c>
      <c r="C3902" s="44" t="n">
        <f aca="false">SUM(K3898:K3901)</f>
        <v>0</v>
      </c>
      <c r="D3902" s="45" t="str">
        <f aca="false">IF(N(C3902)=0,"",E3902/C3902-1)</f>
        <v/>
      </c>
      <c r="E3902" s="44" t="n">
        <f aca="false">SUM(L3898:L3901)</f>
        <v>0</v>
      </c>
      <c r="F3902" s="44" t="n">
        <f aca="false">E3902-C3902</f>
        <v>0</v>
      </c>
    </row>
    <row r="3903" customFormat="false" ht="15" hidden="false" customHeight="false" outlineLevel="0" collapsed="false">
      <c r="B3903" s="46" t="str">
        <f aca="false">IF(N(Nb_Mensualites)=0,"","Soit "&amp;FIXED(E3902/Nb_Mensualites,2)&amp;" € HT par échéance ("&amp;Nb_Mensualites&amp;" échéances), "&amp;FIXED(E3902/Nb_Mensualites*(1+Taux_TVA),2)&amp;" € TTC.")</f>
        <v>Soit 0.00 € HT par échéance (12 échéances), 0.00 € TTC.</v>
      </c>
      <c r="C3903" s="46"/>
      <c r="D3903" s="46"/>
      <c r="E3903" s="46"/>
      <c r="F3903" s="46"/>
    </row>
    <row r="3904" customFormat="false" ht="7.5" hidden="false" customHeight="true" outlineLevel="0" collapsed="false">
      <c r="B3904" s="10"/>
      <c r="C3904" s="10"/>
      <c r="D3904" s="10"/>
      <c r="E3904" s="10"/>
      <c r="F3904" s="10"/>
    </row>
    <row r="3905" customFormat="false" ht="36.75" hidden="false" customHeight="true" outlineLevel="0" collapsed="false">
      <c r="B3905" s="37" t="str">
        <f aca="false">SUBSTITUTE(SUBSTITUTE(SUBSTITUTE(SUBSTITUTE(SUBSTITUTE(Txt_P5,"{cabinet}",Cab_Nom),"{societe}",IF($K$3871=0,"",INDEX(Clients!$E$2:$E$501,$K$3871)&amp;"")),"{date_effet}",$K$3873),"{hausse}",$K$3874),"{civilite}",$K$3872)</f>
        <v>Les autres conditions de votre lettre de mission demeurent inchangées. Les nouveaux montants seront appliqués automatiquement sur vos prochaines factures et échéances de prélèvement.</v>
      </c>
      <c r="C3905" s="37"/>
      <c r="D3905" s="37"/>
      <c r="E3905" s="37"/>
      <c r="F3905" s="37"/>
    </row>
    <row r="3906" customFormat="false" ht="36.75" hidden="false" customHeight="true" outlineLevel="0" collapsed="false">
      <c r="B3906" s="37" t="str">
        <f aca="false">SUBSTITUTE(SUBSTITUTE(SUBSTITUTE(SUBSTITUTE(SUBSTITUTE(Txt_P6,"{cabinet}",Cab_Nom),"{societe}",IF($K$3871=0,"",INDEX(Clients!$E$2:$E$501,$K$3871)&amp;"")),"{date_effet}",$K$3873),"{hausse}",$K$3874),"{civilite}",$K$3872)</f>
        <v>Votre interlocuteur habituel reste à votre entière disposition pour répondre à vos questions et faire le point sur l'évolution de vos besoins.</v>
      </c>
      <c r="C3906" s="37"/>
      <c r="D3906" s="37"/>
      <c r="E3906" s="37"/>
      <c r="F3906" s="37"/>
    </row>
    <row r="3907" customFormat="false" ht="24" hidden="false" customHeight="true" outlineLevel="0" collapsed="false">
      <c r="B3907" s="37" t="str">
        <f aca="false">SUBSTITUTE(SUBSTITUTE(SUBSTITUTE(SUBSTITUTE(SUBSTITUTE(Txt_Politesse,"{cabinet}",Cab_Nom),"{societe}",IF($K$3871=0,"",INDEX(Clients!$E$2:$E$501,$K$3871)&amp;"")),"{date_effet}",$K$3873),"{hausse}",$K$3874),"{civilite}",$K$3872)</f>
        <v>Nous vous prions d'agréer, Madame, Monsieur, l'expression de nos salutations distinguées.</v>
      </c>
      <c r="C3907" s="37"/>
      <c r="D3907" s="37"/>
      <c r="E3907" s="37"/>
      <c r="F3907" s="37"/>
    </row>
    <row r="3908" customFormat="false" ht="15" hidden="false" customHeight="false" outlineLevel="0" collapsed="false">
      <c r="B3908" s="10"/>
      <c r="C3908" s="10"/>
      <c r="D3908" s="10"/>
      <c r="E3908" s="10"/>
      <c r="F3908" s="10"/>
    </row>
    <row r="3909" customFormat="false" ht="15" hidden="false" customHeight="false" outlineLevel="0" collapsed="false">
      <c r="B3909" s="10"/>
      <c r="C3909" s="10"/>
      <c r="D3909" s="34" t="str">
        <f aca="false">Signataire</f>
        <v>Prénom NOM</v>
      </c>
      <c r="E3909" s="34"/>
      <c r="F3909" s="34"/>
    </row>
    <row r="3910" customFormat="false" ht="15" hidden="false" customHeight="false" outlineLevel="0" collapsed="false">
      <c r="B3910" s="10"/>
      <c r="C3910" s="10"/>
      <c r="D3910" s="47" t="str">
        <f aca="false">Signataire_Titre</f>
        <v>Expert-comptable associé</v>
      </c>
      <c r="E3910" s="47"/>
      <c r="F3910" s="47"/>
    </row>
    <row r="3911" customFormat="false" ht="15.75" hidden="false" customHeight="true" outlineLevel="0" collapsed="false">
      <c r="B3911" s="10"/>
      <c r="C3911" s="10"/>
      <c r="D3911" s="10"/>
      <c r="E3911" s="10"/>
      <c r="F3911" s="10"/>
    </row>
    <row r="3912" customFormat="false" ht="15.75" hidden="false" customHeight="true" outlineLevel="0" collapsed="false">
      <c r="B3912" s="10"/>
      <c r="C3912" s="10"/>
      <c r="D3912" s="10"/>
      <c r="E3912" s="10"/>
      <c r="F3912" s="10"/>
    </row>
    <row r="3913" customFormat="false" ht="15.75" hidden="false" customHeight="true" outlineLevel="0" collapsed="false">
      <c r="B3913" s="10"/>
      <c r="C3913" s="10"/>
      <c r="D3913" s="10"/>
      <c r="E3913" s="10"/>
      <c r="F3913" s="10"/>
    </row>
    <row r="3914" customFormat="false" ht="15.75" hidden="false" customHeight="true" outlineLevel="0" collapsed="false">
      <c r="B3914" s="10"/>
      <c r="C3914" s="10"/>
      <c r="D3914" s="10"/>
      <c r="E3914" s="10"/>
      <c r="F3914" s="10"/>
    </row>
    <row r="3915" customFormat="false" ht="24" hidden="false" customHeight="true" outlineLevel="0" collapsed="false">
      <c r="B3915" s="48" t="str">
        <f aca="false">Cab_Mentions</f>
        <v>ALTHO EXPERTISE · SAS au capital de 10 000 € · RCS Pontoise 919 706 325 · TVA FR62919706325 · Société d'expertise comptable inscrite au Tableau de l'Ordre des experts-comptables de Paris Île-de-France</v>
      </c>
      <c r="C3915" s="48"/>
      <c r="D3915" s="48"/>
      <c r="E3915" s="48"/>
      <c r="F3915" s="48"/>
    </row>
    <row r="3916" customFormat="false" ht="15" hidden="false" customHeight="false" outlineLevel="0" collapsed="false">
      <c r="B3916" s="10"/>
      <c r="C3916" s="10"/>
      <c r="D3916" s="10"/>
      <c r="E3916" s="10"/>
      <c r="F3916" s="10"/>
      <c r="J3916" s="25" t="s">
        <v>142</v>
      </c>
      <c r="K3916" s="25" t="n">
        <f aca="false">IFERROR(MATCH(88,Clients!$Z$2:$Z$501,0),0)</f>
        <v>0</v>
      </c>
      <c r="L3916" s="25"/>
      <c r="M3916" s="25"/>
      <c r="N3916" s="25"/>
      <c r="O3916" s="25"/>
    </row>
    <row r="3917" customFormat="false" ht="21.75" hidden="false" customHeight="true" outlineLevel="0" collapsed="false">
      <c r="B3917" s="26" t="str">
        <f aca="false">Cab_Nom</f>
        <v>ALTHO EXPERTISE</v>
      </c>
      <c r="C3917" s="26"/>
      <c r="D3917" s="10"/>
      <c r="E3917" s="27" t="str">
        <f aca="false">IF($K$3916=0,"","Réf. client : "&amp;INDEX(Clients!$A$2:$A$501,$K$3916))</f>
        <v/>
      </c>
      <c r="F3917" s="27"/>
      <c r="J3917" s="25" t="s">
        <v>144</v>
      </c>
      <c r="K3917" s="25" t="str">
        <f aca="false">IF(IF($K$3916=0,"",INDEX(Clients!$B$2:$B$501,$K$3916)&amp;"")="Mme","Madame",IF(IF($K$3916=0,"",INDEX(Clients!$B$2:$B$501,$K$3916)&amp;"")="M.","Monsieur","Madame, Monsieur"))</f>
        <v>Madame, Monsieur</v>
      </c>
      <c r="L3917" s="25"/>
      <c r="M3917" s="25"/>
      <c r="N3917" s="25"/>
      <c r="O3917" s="25"/>
    </row>
    <row r="3918" customFormat="false" ht="15" hidden="false" customHeight="false" outlineLevel="0" collapsed="false">
      <c r="B3918" s="29" t="str">
        <f aca="false">Cab_Adr1</f>
        <v>141 rue Charles de Gaulle</v>
      </c>
      <c r="C3918" s="29"/>
      <c r="D3918" s="10"/>
      <c r="E3918" s="10"/>
      <c r="F3918" s="10"/>
      <c r="J3918" s="25" t="s">
        <v>145</v>
      </c>
      <c r="K3918" s="25" t="str">
        <f aca="false">DAY(Date_Effet)&amp;IF(DAY(Date_Effet)=1,"er","")&amp;" "&amp;INDEX(Liste_Mois,MONTH(Date_Effet))&amp;" "&amp;YEAR(Date_Effet)</f>
        <v>1er janvier 2027</v>
      </c>
      <c r="L3918" s="25"/>
      <c r="M3918" s="25"/>
      <c r="N3918" s="25"/>
      <c r="O3918" s="25"/>
    </row>
    <row r="3919" customFormat="false" ht="15" hidden="false" customHeight="false" outlineLevel="0" collapsed="false">
      <c r="B3919" s="29" t="str">
        <f aca="false">Cab_CPVille</f>
        <v>95130 LE PLESSIS-BOUCHARD</v>
      </c>
      <c r="C3919" s="29"/>
      <c r="D3919" s="10"/>
      <c r="E3919" s="10"/>
      <c r="F3919" s="10"/>
      <c r="J3919" s="25" t="s">
        <v>146</v>
      </c>
      <c r="K3919" s="25" t="str">
        <f aca="false">IF(SUM($K$3943:$K$3946)=0,"",FIXED((SUM($L$3943:$L$3946)/SUM($K$3943:$K$3946)-1)*100,1)&amp;" %")</f>
        <v/>
      </c>
      <c r="L3919" s="25"/>
      <c r="M3919" s="25"/>
      <c r="N3919" s="25"/>
      <c r="O3919" s="25"/>
    </row>
    <row r="3920" customFormat="false" ht="15" hidden="false" customHeight="false" outlineLevel="0" collapsed="false">
      <c r="B3920" s="29" t="str">
        <f aca="false">Cab_Contact</f>
        <v>Tél. 01 34 14 53 45  ·  altho@altho-experts.com  ·  altho-experts.com</v>
      </c>
      <c r="C3920" s="29"/>
      <c r="D3920" s="10"/>
      <c r="E3920" s="10"/>
      <c r="F3920" s="10"/>
      <c r="J3920" s="25"/>
      <c r="K3920" s="25"/>
      <c r="L3920" s="25"/>
      <c r="M3920" s="25"/>
      <c r="N3920" s="25"/>
      <c r="O3920" s="25"/>
    </row>
    <row r="3921" customFormat="false" ht="6" hidden="false" customHeight="true" outlineLevel="0" collapsed="false">
      <c r="B3921" s="32"/>
      <c r="C3921" s="32"/>
      <c r="D3921" s="32"/>
      <c r="E3921" s="32"/>
      <c r="F3921" s="32"/>
      <c r="J3921" s="25"/>
      <c r="K3921" s="25"/>
      <c r="L3921" s="25"/>
      <c r="M3921" s="25"/>
      <c r="N3921" s="25"/>
      <c r="O3921" s="25"/>
    </row>
    <row r="3922" customFormat="false" ht="13.5" hidden="false" customHeight="true" outlineLevel="0" collapsed="false">
      <c r="B3922" s="10"/>
      <c r="C3922" s="10"/>
      <c r="D3922" s="10"/>
      <c r="E3922" s="10"/>
      <c r="F3922" s="10"/>
      <c r="J3922" s="25"/>
      <c r="K3922" s="25"/>
      <c r="L3922" s="25"/>
      <c r="M3922" s="25"/>
      <c r="N3922" s="25"/>
      <c r="O3922" s="25"/>
    </row>
    <row r="3923" customFormat="false" ht="13.5" hidden="false" customHeight="true" outlineLevel="0" collapsed="false">
      <c r="B3923" s="10"/>
      <c r="C3923" s="10"/>
      <c r="D3923" s="10"/>
      <c r="E3923" s="10"/>
      <c r="F3923" s="10"/>
      <c r="J3923" s="25"/>
      <c r="K3923" s="25"/>
      <c r="L3923" s="25"/>
      <c r="M3923" s="25"/>
      <c r="N3923" s="25"/>
      <c r="O3923" s="25"/>
    </row>
    <row r="3924" customFormat="false" ht="13.5" hidden="false" customHeight="true" outlineLevel="0" collapsed="false">
      <c r="B3924" s="10"/>
      <c r="C3924" s="10"/>
      <c r="D3924" s="10"/>
      <c r="E3924" s="10"/>
      <c r="F3924" s="10"/>
      <c r="J3924" s="25"/>
      <c r="K3924" s="25"/>
      <c r="L3924" s="25"/>
      <c r="M3924" s="25"/>
      <c r="N3924" s="25"/>
      <c r="O3924" s="25"/>
    </row>
    <row r="3925" customFormat="false" ht="15" hidden="false" customHeight="true" outlineLevel="0" collapsed="false">
      <c r="B3925" s="10"/>
      <c r="C3925" s="10"/>
      <c r="D3925" s="34" t="str">
        <f aca="false">IF($K$3916=0,"",INDEX(Clients!$E$2:$E$501,$K$3916)&amp;"")</f>
        <v/>
      </c>
      <c r="E3925" s="34"/>
      <c r="F3925" s="34"/>
      <c r="J3925" s="25"/>
      <c r="K3925" s="25"/>
      <c r="L3925" s="25"/>
      <c r="M3925" s="25"/>
      <c r="N3925" s="25"/>
      <c r="O3925" s="25"/>
    </row>
    <row r="3926" customFormat="false" ht="15" hidden="false" customHeight="true" outlineLevel="0" collapsed="false">
      <c r="B3926" s="10"/>
      <c r="C3926" s="10"/>
      <c r="D3926" s="35" t="str">
        <f aca="false">IF(IF($K$3916=0,"",INDEX(Clients!$D$2:$D$501,$K$3916)&amp;"")="","","À l'attention de "&amp;TRIM(IF($K$3916=0,"",INDEX(Clients!$B$2:$B$501,$K$3916)&amp;"")&amp;" "&amp;IF($K$3916=0,"",INDEX(Clients!$C$2:$C$501,$K$3916)&amp;"")&amp;" "&amp;IF($K$3916=0,"",INDEX(Clients!$D$2:$D$501,$K$3916)&amp;"")))</f>
        <v/>
      </c>
      <c r="E3926" s="35"/>
      <c r="F3926" s="35"/>
      <c r="J3926" s="25"/>
      <c r="K3926" s="25"/>
      <c r="L3926" s="25"/>
      <c r="M3926" s="25"/>
      <c r="N3926" s="25"/>
      <c r="O3926" s="25"/>
    </row>
    <row r="3927" customFormat="false" ht="15" hidden="false" customHeight="true" outlineLevel="0" collapsed="false">
      <c r="B3927" s="10"/>
      <c r="C3927" s="10"/>
      <c r="D3927" s="35" t="str">
        <f aca="false">IF($K$3916=0,"",INDEX(Clients!$F$2:$F$501,$K$3916)&amp;"")</f>
        <v/>
      </c>
      <c r="E3927" s="35"/>
      <c r="F3927" s="35"/>
      <c r="J3927" s="25"/>
      <c r="K3927" s="25"/>
      <c r="L3927" s="25"/>
      <c r="M3927" s="25"/>
      <c r="N3927" s="25"/>
      <c r="O3927" s="25"/>
    </row>
    <row r="3928" customFormat="false" ht="15" hidden="false" customHeight="true" outlineLevel="0" collapsed="false">
      <c r="B3928" s="10"/>
      <c r="C3928" s="10"/>
      <c r="D3928" s="35" t="str">
        <f aca="false">IF(IF($K$3916=0,"",INDEX(Clients!$G$2:$G$501,$K$3916)&amp;"")="",TRIM(IF($K$3916=0,"",INDEX(Clients!$H$2:$H$501,$K$3916)&amp;"")&amp;" "&amp;UPPER(IF($K$3916=0,"",INDEX(Clients!$I$2:$I$501,$K$3916)&amp;""))),IF($K$3916=0,"",INDEX(Clients!$G$2:$G$501,$K$3916)&amp;""))</f>
        <v/>
      </c>
      <c r="E3928" s="35"/>
      <c r="F3928" s="35"/>
      <c r="J3928" s="25"/>
      <c r="K3928" s="25"/>
      <c r="L3928" s="25"/>
      <c r="M3928" s="25"/>
      <c r="N3928" s="25"/>
      <c r="O3928" s="25"/>
    </row>
    <row r="3929" customFormat="false" ht="15" hidden="false" customHeight="true" outlineLevel="0" collapsed="false">
      <c r="B3929" s="10"/>
      <c r="C3929" s="10"/>
      <c r="D3929" s="35" t="str">
        <f aca="false">IF(IF($K$3916=0,"",INDEX(Clients!$G$2:$G$501,$K$3916)&amp;"")="","",TRIM(IF($K$3916=0,"",INDEX(Clients!$H$2:$H$501,$K$3916)&amp;"")&amp;" "&amp;UPPER(IF($K$3916=0,"",INDEX(Clients!$I$2:$I$501,$K$3916)&amp;""))))</f>
        <v/>
      </c>
      <c r="E3929" s="35"/>
      <c r="F3929" s="35"/>
      <c r="J3929" s="25"/>
      <c r="K3929" s="25"/>
      <c r="L3929" s="25"/>
      <c r="M3929" s="25"/>
      <c r="N3929" s="25"/>
      <c r="O3929" s="25"/>
    </row>
    <row r="3930" customFormat="false" ht="25.5" hidden="false" customHeight="true" outlineLevel="0" collapsed="false">
      <c r="B3930" s="10"/>
      <c r="C3930" s="10"/>
      <c r="D3930" s="10"/>
      <c r="E3930" s="10"/>
      <c r="F3930" s="10"/>
      <c r="J3930" s="25"/>
      <c r="K3930" s="25"/>
      <c r="L3930" s="25"/>
      <c r="M3930" s="25"/>
      <c r="N3930" s="25"/>
      <c r="O3930" s="25"/>
    </row>
    <row r="3931" customFormat="false" ht="15" hidden="false" customHeight="false" outlineLevel="0" collapsed="false">
      <c r="B3931" s="10"/>
      <c r="C3931" s="10"/>
      <c r="D3931" s="36" t="str">
        <f aca="false">Cab_Ville&amp;", le "&amp;DAY(Date_Courrier)&amp;IF(DAY(Date_Courrier)=1,"er","")&amp;" "&amp;INDEX(Liste_Mois,MONTH(Date_Courrier))&amp;" "&amp;YEAR(Date_Courrier)</f>
        <v>Le Plessis-Bouchard, le 22 septembre 2026</v>
      </c>
      <c r="E3931" s="36"/>
      <c r="F3931" s="36"/>
      <c r="J3931" s="25"/>
      <c r="K3931" s="25"/>
      <c r="L3931" s="25"/>
      <c r="M3931" s="25"/>
      <c r="N3931" s="25"/>
      <c r="O3931" s="25"/>
    </row>
    <row r="3932" customFormat="false" ht="19.5" hidden="false" customHeight="true" outlineLevel="0" collapsed="false">
      <c r="B3932" s="10"/>
      <c r="C3932" s="10"/>
      <c r="D3932" s="10"/>
      <c r="E3932" s="10"/>
      <c r="F3932" s="10"/>
      <c r="J3932" s="25"/>
      <c r="K3932" s="25"/>
      <c r="L3932" s="25"/>
      <c r="M3932" s="25"/>
      <c r="N3932" s="25"/>
      <c r="O3932" s="25"/>
    </row>
    <row r="3933" customFormat="false" ht="15" hidden="false" customHeight="false" outlineLevel="0" collapsed="false">
      <c r="B3933" s="34" t="str">
        <f aca="false">SUBSTITUTE(SUBSTITUTE(SUBSTITUTE(SUBSTITUTE(SUBSTITUTE(Txt_Objet,"{cabinet}",Cab_Nom),"{societe}",IF($K$3916=0,"",INDEX(Clients!$E$2:$E$501,$K$3916)&amp;"")),"{date_effet}",$K$3918),"{hausse}",$K$3919),"{civilite}",$K$3917)</f>
        <v>Objet : révision de nos honoraires au 1er janvier 2027</v>
      </c>
      <c r="C3933" s="34"/>
      <c r="D3933" s="34"/>
      <c r="E3933" s="34"/>
      <c r="F3933" s="34"/>
      <c r="J3933" s="25"/>
      <c r="K3933" s="25"/>
      <c r="L3933" s="25"/>
      <c r="M3933" s="25"/>
      <c r="N3933" s="25"/>
      <c r="O3933" s="25"/>
    </row>
    <row r="3934" customFormat="false" ht="13.5" hidden="false" customHeight="true" outlineLevel="0" collapsed="false">
      <c r="B3934" s="10"/>
      <c r="C3934" s="10"/>
      <c r="D3934" s="10"/>
      <c r="E3934" s="10"/>
      <c r="F3934" s="10"/>
      <c r="J3934" s="25"/>
      <c r="K3934" s="25"/>
      <c r="L3934" s="25"/>
      <c r="M3934" s="25"/>
      <c r="N3934" s="25"/>
      <c r="O3934" s="25"/>
    </row>
    <row r="3935" customFormat="false" ht="15" hidden="false" customHeight="false" outlineLevel="0" collapsed="false">
      <c r="B3935" s="10" t="str">
        <f aca="false">$K$3917&amp;","</f>
        <v>Madame, Monsieur,</v>
      </c>
      <c r="C3935" s="10"/>
      <c r="D3935" s="10"/>
      <c r="E3935" s="10"/>
      <c r="F3935" s="10"/>
      <c r="J3935" s="25"/>
      <c r="K3935" s="25"/>
      <c r="L3935" s="25"/>
      <c r="M3935" s="25"/>
      <c r="N3935" s="25"/>
      <c r="O3935" s="25"/>
    </row>
    <row r="3936" customFormat="false" ht="6" hidden="false" customHeight="true" outlineLevel="0" collapsed="false">
      <c r="B3936" s="10"/>
      <c r="C3936" s="10"/>
      <c r="D3936" s="10"/>
      <c r="E3936" s="10"/>
      <c r="F3936" s="10"/>
      <c r="J3936" s="25"/>
      <c r="K3936" s="25"/>
      <c r="L3936" s="25"/>
      <c r="M3936" s="25"/>
      <c r="N3936" s="25"/>
      <c r="O3936" s="25"/>
    </row>
    <row r="3937" customFormat="false" ht="36.75" hidden="false" customHeight="true" outlineLevel="0" collapsed="false">
      <c r="B3937" s="37" t="str">
        <f aca="false">SUBSTITUTE(SUBSTITUTE(SUBSTITUTE(SUBSTITUTE(SUBSTITUTE(Txt_P1,"{cabinet}",Cab_Nom),"{societe}",IF($K$3916=0,"",INDEX(Clients!$E$2:$E$501,$K$3916)&amp;"")),"{date_effet}",$K$3918),"{hausse}",$K$3919),"{civilite}",$K$3917)</f>
        <v>Nous tenons tout d'abord à vous remercier pour la confiance que vous accordez à ALTHO EXPERTISE. Comme chaque année, et conformément aux dispositions de votre lettre de mission, nous procédons à la révision de nos honoraires.</v>
      </c>
      <c r="C3937" s="37"/>
      <c r="D3937" s="37"/>
      <c r="E3937" s="37"/>
      <c r="F3937" s="37"/>
      <c r="J3937" s="25"/>
      <c r="K3937" s="25"/>
      <c r="L3937" s="25"/>
      <c r="M3937" s="25"/>
      <c r="N3937" s="25"/>
      <c r="O3937" s="25"/>
    </row>
    <row r="3938" customFormat="false" ht="49.5" hidden="false" customHeight="true" outlineLevel="0" collapsed="false">
      <c r="B3938" s="37" t="str">
        <f aca="false">SUBSTITUTE(SUBSTITUTE(SUBSTITUTE(SUBSTITUTE(SUBSTITUTE(Txt_P2,"{cabinet}",Cab_Nom),"{societe}",IF($K$3916=0,"",INDEX(Clients!$E$2:$E$501,$K$3916)&amp;"")),"{date_effet}",$K$3918),"{hausse}",$K$3919),"{civilite}",$K$3917)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938" s="37"/>
      <c r="D3938" s="37"/>
      <c r="E3938" s="37"/>
      <c r="F3938" s="37"/>
      <c r="J3938" s="25"/>
      <c r="K3938" s="25"/>
      <c r="L3938" s="25"/>
      <c r="M3938" s="25"/>
      <c r="N3938" s="25"/>
      <c r="O3938" s="25"/>
    </row>
    <row r="3939" customFormat="false" ht="63" hidden="false" customHeight="true" outlineLevel="0" collapsed="false">
      <c r="B3939" s="37" t="str">
        <f aca="false">SUBSTITUTE(SUBSTITUTE(SUBSTITUTE(SUBSTITUTE(SUBSTITUTE(Txt_P3,"{cabinet}",Cab_Nom),"{societe}",IF($K$3916=0,"",INDEX(Clients!$E$2:$E$501,$K$3916)&amp;"")),"{date_effet}",$K$3918),"{hausse}",$K$3919),"{civilite}",$K$3917)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939" s="37"/>
      <c r="D3939" s="37"/>
      <c r="E3939" s="37"/>
      <c r="F3939" s="37"/>
      <c r="J3939" s="25"/>
      <c r="K3939" s="25"/>
      <c r="L3939" s="25"/>
      <c r="M3939" s="25"/>
      <c r="N3939" s="25"/>
      <c r="O3939" s="25"/>
    </row>
    <row r="3940" customFormat="false" ht="24" hidden="false" customHeight="true" outlineLevel="0" collapsed="false">
      <c r="B3940" s="37" t="str">
        <f aca="false">SUBSTITUTE(SUBSTITUTE(SUBSTITUTE(SUBSTITUTE(SUBSTITUTE(Txt_P4,"{cabinet}",Cab_Nom),"{societe}",IF($K$3916=0,"",INDEX(Clients!$E$2:$E$501,$K$3916)&amp;"")),"{date_effet}",$K$3918),"{hausse}",$K$3919),"{civilite}",$K$3917)</f>
        <v>À compter du 1er janvier 2027, vos honoraires annuels hors taxes évolueront ainsi (évolution globale : ) :</v>
      </c>
      <c r="C3940" s="37"/>
      <c r="D3940" s="37"/>
      <c r="E3940" s="37"/>
      <c r="F3940" s="37"/>
      <c r="J3940" s="25"/>
      <c r="K3940" s="25"/>
      <c r="L3940" s="25"/>
      <c r="M3940" s="25"/>
      <c r="N3940" s="25"/>
      <c r="O3940" s="25"/>
    </row>
    <row r="3941" customFormat="false" ht="3.75" hidden="false" customHeight="true" outlineLevel="0" collapsed="false">
      <c r="B3941" s="10"/>
      <c r="C3941" s="10"/>
      <c r="D3941" s="10"/>
      <c r="E3941" s="10"/>
      <c r="F3941" s="10"/>
      <c r="J3941" s="25"/>
      <c r="K3941" s="25"/>
      <c r="L3941" s="25"/>
      <c r="M3941" s="25"/>
      <c r="N3941" s="25"/>
      <c r="O3941" s="25"/>
    </row>
    <row r="3942" customFormat="false" ht="18" hidden="false" customHeight="true" outlineLevel="0" collapsed="false">
      <c r="B3942" s="38" t="s">
        <v>148</v>
      </c>
      <c r="C3942" s="39" t="s">
        <v>149</v>
      </c>
      <c r="D3942" s="39" t="s">
        <v>150</v>
      </c>
      <c r="E3942" s="39" t="s">
        <v>151</v>
      </c>
      <c r="F3942" s="39" t="s">
        <v>109</v>
      </c>
      <c r="J3942" s="25" t="s">
        <v>152</v>
      </c>
      <c r="K3942" s="25" t="s">
        <v>153</v>
      </c>
      <c r="L3942" s="25" t="s">
        <v>154</v>
      </c>
      <c r="M3942" s="25" t="s">
        <v>155</v>
      </c>
      <c r="N3942" s="25" t="s">
        <v>156</v>
      </c>
      <c r="O3942" s="25" t="s">
        <v>157</v>
      </c>
    </row>
    <row r="3943" customFormat="false" ht="16.5" hidden="false" customHeight="true" outlineLevel="0" collapsed="false">
      <c r="B3943" s="40" t="str">
        <f aca="false">IFERROR(INDEX($J$3943:$J$3946,MATCH($O3943,$N$3943:$N$3946,0)),"")</f>
        <v/>
      </c>
      <c r="C3943" s="41" t="str">
        <f aca="false">IFERROR(INDEX($K$3943:$K$3946,MATCH($O3943,$N$3943:$N$3946,0)),"")</f>
        <v/>
      </c>
      <c r="D3943" s="42" t="str">
        <f aca="false">IF(OR(E3943="",N(C3943)=0),"",E3943/C3943-1)</f>
        <v/>
      </c>
      <c r="E3943" s="41" t="str">
        <f aca="false">IFERROR(INDEX($L$3943:$L$3946,MATCH($O3943,$N$3943:$N$3946,0)),"")</f>
        <v/>
      </c>
      <c r="F3943" s="41" t="str">
        <f aca="false">IF(E3943="","",E3943-C3943)</f>
        <v/>
      </c>
      <c r="J3943" s="25" t="str">
        <f aca="false">Lib_Compta</f>
        <v>Mission comptable (tenue, révision, bilan, liasse fiscale)</v>
      </c>
      <c r="K3943" s="25" t="n">
        <f aca="false">IF($K$3916=0,0,N(INDEX(Clients!$K$2:$K$501,$K$3916)))</f>
        <v>0</v>
      </c>
      <c r="L3943" s="25" t="n">
        <f aca="false">IF($K$3916=0,0,N(INDEX(Clients!$P$2:$P$501,$K$3916)))</f>
        <v>0</v>
      </c>
      <c r="M3943" s="25" t="n">
        <f aca="false">IF(OR(K3943&lt;&gt;0,L3943&lt;&gt;0),1,0)</f>
        <v>0</v>
      </c>
      <c r="N3943" s="25" t="str">
        <f aca="false">IF(M3943=1,SUM($M$3943:M3943),"")</f>
        <v/>
      </c>
      <c r="O3943" s="25" t="n">
        <v>1</v>
      </c>
    </row>
    <row r="3944" customFormat="false" ht="16.5" hidden="false" customHeight="true" outlineLevel="0" collapsed="false">
      <c r="B3944" s="40" t="str">
        <f aca="false">IFERROR(INDEX($J$3943:$J$3946,MATCH($O3944,$N$3943:$N$3946,0)),"")</f>
        <v/>
      </c>
      <c r="C3944" s="41" t="str">
        <f aca="false">IFERROR(INDEX($K$3943:$K$3946,MATCH($O3944,$N$3943:$N$3946,0)),"")</f>
        <v/>
      </c>
      <c r="D3944" s="42" t="str">
        <f aca="false">IF(OR(E3944="",N(C3944)=0),"",E3944/C3944-1)</f>
        <v/>
      </c>
      <c r="E3944" s="41" t="str">
        <f aca="false">IFERROR(INDEX($L$3943:$L$3946,MATCH($O3944,$N$3943:$N$3946,0)),"")</f>
        <v/>
      </c>
      <c r="F3944" s="41" t="str">
        <f aca="false">IF(E3944="","",E3944-C3944)</f>
        <v/>
      </c>
      <c r="J3944" s="25" t="str">
        <f aca="false">Lib_Paye</f>
        <v>Mission sociale (bulletins de paie, DSN, déclarations sociales)</v>
      </c>
      <c r="K3944" s="25" t="n">
        <f aca="false">IF($K$3916=0,0,N(INDEX(Clients!$L$2:$L$501,$K$3916)))</f>
        <v>0</v>
      </c>
      <c r="L3944" s="25" t="n">
        <f aca="false">IF($K$3916=0,0,N(INDEX(Clients!$Q$2:$Q$501,$K$3916)))</f>
        <v>0</v>
      </c>
      <c r="M3944" s="25" t="n">
        <f aca="false">IF(OR(K3944&lt;&gt;0,L3944&lt;&gt;0),1,0)</f>
        <v>0</v>
      </c>
      <c r="N3944" s="25" t="str">
        <f aca="false">IF(M3944=1,SUM($M$3943:M3944),"")</f>
        <v/>
      </c>
      <c r="O3944" s="25" t="n">
        <v>2</v>
      </c>
    </row>
    <row r="3945" customFormat="false" ht="16.5" hidden="false" customHeight="true" outlineLevel="0" collapsed="false">
      <c r="B3945" s="40" t="str">
        <f aca="false">IFERROR(INDEX($J$3943:$J$3946,MATCH($O3945,$N$3943:$N$3946,0)),"")</f>
        <v/>
      </c>
      <c r="C3945" s="41" t="str">
        <f aca="false">IFERROR(INDEX($K$3943:$K$3946,MATCH($O3945,$N$3943:$N$3946,0)),"")</f>
        <v/>
      </c>
      <c r="D3945" s="42" t="str">
        <f aca="false">IF(OR(E3945="",N(C3945)=0),"",E3945/C3945-1)</f>
        <v/>
      </c>
      <c r="E3945" s="41" t="str">
        <f aca="false">IFERROR(INDEX($L$3943:$L$3946,MATCH($O3945,$N$3943:$N$3946,0)),"")</f>
        <v/>
      </c>
      <c r="F3945" s="41" t="str">
        <f aca="false">IF(E3945="","",E3945-C3945)</f>
        <v/>
      </c>
      <c r="J3945" s="25" t="str">
        <f aca="false">Lib_Jur</f>
        <v>Mission juridique (approbation des comptes, secrétariat juridique)</v>
      </c>
      <c r="K3945" s="25" t="n">
        <f aca="false">IF($K$3916=0,0,N(INDEX(Clients!$M$2:$M$501,$K$3916)))</f>
        <v>0</v>
      </c>
      <c r="L3945" s="25" t="n">
        <f aca="false">IF($K$3916=0,0,N(INDEX(Clients!$R$2:$R$501,$K$3916)))</f>
        <v>0</v>
      </c>
      <c r="M3945" s="25" t="n">
        <f aca="false">IF(OR(K3945&lt;&gt;0,L3945&lt;&gt;0),1,0)</f>
        <v>0</v>
      </c>
      <c r="N3945" s="25" t="str">
        <f aca="false">IF(M3945=1,SUM($M$3943:M3945),"")</f>
        <v/>
      </c>
      <c r="O3945" s="25" t="n">
        <v>3</v>
      </c>
    </row>
    <row r="3946" customFormat="false" ht="16.5" hidden="false" customHeight="true" outlineLevel="0" collapsed="false">
      <c r="B3946" s="40" t="str">
        <f aca="false">IFERROR(INDEX($J$3943:$J$3946,MATCH($O3946,$N$3943:$N$3946,0)),"")</f>
        <v/>
      </c>
      <c r="C3946" s="41" t="str">
        <f aca="false">IFERROR(INDEX($K$3943:$K$3946,MATCH($O3946,$N$3943:$N$3946,0)),"")</f>
        <v/>
      </c>
      <c r="D3946" s="42" t="str">
        <f aca="false">IF(OR(E3946="",N(C3946)=0),"",E3946/C3946-1)</f>
        <v/>
      </c>
      <c r="E3946" s="41" t="str">
        <f aca="false">IFERROR(INDEX($L$3943:$L$3946,MATCH($O3946,$N$3943:$N$3946,0)),"")</f>
        <v/>
      </c>
      <c r="F3946" s="41" t="str">
        <f aca="false">IF(E3946="","",E3946-C3946)</f>
        <v/>
      </c>
      <c r="J3946" s="25" t="str">
        <f aca="false">Lib_PA</f>
        <v>Plateforme agréée – facturation électronique</v>
      </c>
      <c r="K3946" s="25" t="n">
        <f aca="false">IF($K$3916=0,0,N(INDEX(Clients!$N$2:$N$501,$K$3916)))</f>
        <v>0</v>
      </c>
      <c r="L3946" s="25" t="n">
        <f aca="false">IF($K$3916=0,0,N(INDEX(Clients!$S$2:$S$501,$K$3916)))</f>
        <v>0</v>
      </c>
      <c r="M3946" s="25" t="n">
        <f aca="false">IF(OR(K3946&lt;&gt;0,L3946&lt;&gt;0),1,0)</f>
        <v>0</v>
      </c>
      <c r="N3946" s="25" t="str">
        <f aca="false">IF(M3946=1,SUM($M$3943:M3946),"")</f>
        <v/>
      </c>
      <c r="O3946" s="25" t="n">
        <v>4</v>
      </c>
    </row>
    <row r="3947" customFormat="false" ht="18" hidden="false" customHeight="true" outlineLevel="0" collapsed="false">
      <c r="B3947" s="43" t="s">
        <v>158</v>
      </c>
      <c r="C3947" s="44" t="n">
        <f aca="false">SUM(K3943:K3946)</f>
        <v>0</v>
      </c>
      <c r="D3947" s="45" t="str">
        <f aca="false">IF(N(C3947)=0,"",E3947/C3947-1)</f>
        <v/>
      </c>
      <c r="E3947" s="44" t="n">
        <f aca="false">SUM(L3943:L3946)</f>
        <v>0</v>
      </c>
      <c r="F3947" s="44" t="n">
        <f aca="false">E3947-C3947</f>
        <v>0</v>
      </c>
    </row>
    <row r="3948" customFormat="false" ht="15" hidden="false" customHeight="false" outlineLevel="0" collapsed="false">
      <c r="B3948" s="46" t="str">
        <f aca="false">IF(N(Nb_Mensualites)=0,"","Soit "&amp;FIXED(E3947/Nb_Mensualites,2)&amp;" € HT par échéance ("&amp;Nb_Mensualites&amp;" échéances), "&amp;FIXED(E3947/Nb_Mensualites*(1+Taux_TVA),2)&amp;" € TTC.")</f>
        <v>Soit 0.00 € HT par échéance (12 échéances), 0.00 € TTC.</v>
      </c>
      <c r="C3948" s="46"/>
      <c r="D3948" s="46"/>
      <c r="E3948" s="46"/>
      <c r="F3948" s="46"/>
    </row>
    <row r="3949" customFormat="false" ht="7.5" hidden="false" customHeight="true" outlineLevel="0" collapsed="false">
      <c r="B3949" s="10"/>
      <c r="C3949" s="10"/>
      <c r="D3949" s="10"/>
      <c r="E3949" s="10"/>
      <c r="F3949" s="10"/>
    </row>
    <row r="3950" customFormat="false" ht="36.75" hidden="false" customHeight="true" outlineLevel="0" collapsed="false">
      <c r="B3950" s="37" t="str">
        <f aca="false">SUBSTITUTE(SUBSTITUTE(SUBSTITUTE(SUBSTITUTE(SUBSTITUTE(Txt_P5,"{cabinet}",Cab_Nom),"{societe}",IF($K$3916=0,"",INDEX(Clients!$E$2:$E$501,$K$3916)&amp;"")),"{date_effet}",$K$3918),"{hausse}",$K$3919),"{civilite}",$K$3917)</f>
        <v>Les autres conditions de votre lettre de mission demeurent inchangées. Les nouveaux montants seront appliqués automatiquement sur vos prochaines factures et échéances de prélèvement.</v>
      </c>
      <c r="C3950" s="37"/>
      <c r="D3950" s="37"/>
      <c r="E3950" s="37"/>
      <c r="F3950" s="37"/>
    </row>
    <row r="3951" customFormat="false" ht="36.75" hidden="false" customHeight="true" outlineLevel="0" collapsed="false">
      <c r="B3951" s="37" t="str">
        <f aca="false">SUBSTITUTE(SUBSTITUTE(SUBSTITUTE(SUBSTITUTE(SUBSTITUTE(Txt_P6,"{cabinet}",Cab_Nom),"{societe}",IF($K$3916=0,"",INDEX(Clients!$E$2:$E$501,$K$3916)&amp;"")),"{date_effet}",$K$3918),"{hausse}",$K$3919),"{civilite}",$K$3917)</f>
        <v>Votre interlocuteur habituel reste à votre entière disposition pour répondre à vos questions et faire le point sur l'évolution de vos besoins.</v>
      </c>
      <c r="C3951" s="37"/>
      <c r="D3951" s="37"/>
      <c r="E3951" s="37"/>
      <c r="F3951" s="37"/>
    </row>
    <row r="3952" customFormat="false" ht="24" hidden="false" customHeight="true" outlineLevel="0" collapsed="false">
      <c r="B3952" s="37" t="str">
        <f aca="false">SUBSTITUTE(SUBSTITUTE(SUBSTITUTE(SUBSTITUTE(SUBSTITUTE(Txt_Politesse,"{cabinet}",Cab_Nom),"{societe}",IF($K$3916=0,"",INDEX(Clients!$E$2:$E$501,$K$3916)&amp;"")),"{date_effet}",$K$3918),"{hausse}",$K$3919),"{civilite}",$K$3917)</f>
        <v>Nous vous prions d'agréer, Madame, Monsieur, l'expression de nos salutations distinguées.</v>
      </c>
      <c r="C3952" s="37"/>
      <c r="D3952" s="37"/>
      <c r="E3952" s="37"/>
      <c r="F3952" s="37"/>
    </row>
    <row r="3953" customFormat="false" ht="15" hidden="false" customHeight="false" outlineLevel="0" collapsed="false">
      <c r="B3953" s="10"/>
      <c r="C3953" s="10"/>
      <c r="D3953" s="10"/>
      <c r="E3953" s="10"/>
      <c r="F3953" s="10"/>
    </row>
    <row r="3954" customFormat="false" ht="15" hidden="false" customHeight="false" outlineLevel="0" collapsed="false">
      <c r="B3954" s="10"/>
      <c r="C3954" s="10"/>
      <c r="D3954" s="34" t="str">
        <f aca="false">Signataire</f>
        <v>Prénom NOM</v>
      </c>
      <c r="E3954" s="34"/>
      <c r="F3954" s="34"/>
    </row>
    <row r="3955" customFormat="false" ht="15" hidden="false" customHeight="false" outlineLevel="0" collapsed="false">
      <c r="B3955" s="10"/>
      <c r="C3955" s="10"/>
      <c r="D3955" s="47" t="str">
        <f aca="false">Signataire_Titre</f>
        <v>Expert-comptable associé</v>
      </c>
      <c r="E3955" s="47"/>
      <c r="F3955" s="47"/>
    </row>
    <row r="3956" customFormat="false" ht="15.75" hidden="false" customHeight="true" outlineLevel="0" collapsed="false">
      <c r="B3956" s="10"/>
      <c r="C3956" s="10"/>
      <c r="D3956" s="10"/>
      <c r="E3956" s="10"/>
      <c r="F3956" s="10"/>
    </row>
    <row r="3957" customFormat="false" ht="15.75" hidden="false" customHeight="true" outlineLevel="0" collapsed="false">
      <c r="B3957" s="10"/>
      <c r="C3957" s="10"/>
      <c r="D3957" s="10"/>
      <c r="E3957" s="10"/>
      <c r="F3957" s="10"/>
    </row>
    <row r="3958" customFormat="false" ht="15.75" hidden="false" customHeight="true" outlineLevel="0" collapsed="false">
      <c r="B3958" s="10"/>
      <c r="C3958" s="10"/>
      <c r="D3958" s="10"/>
      <c r="E3958" s="10"/>
      <c r="F3958" s="10"/>
    </row>
    <row r="3959" customFormat="false" ht="15.75" hidden="false" customHeight="true" outlineLevel="0" collapsed="false">
      <c r="B3959" s="10"/>
      <c r="C3959" s="10"/>
      <c r="D3959" s="10"/>
      <c r="E3959" s="10"/>
      <c r="F3959" s="10"/>
    </row>
    <row r="3960" customFormat="false" ht="24" hidden="false" customHeight="true" outlineLevel="0" collapsed="false">
      <c r="B3960" s="48" t="str">
        <f aca="false">Cab_Mentions</f>
        <v>ALTHO EXPERTISE · SAS au capital de 10 000 € · RCS Pontoise 919 706 325 · TVA FR62919706325 · Société d'expertise comptable inscrite au Tableau de l'Ordre des experts-comptables de Paris Île-de-France</v>
      </c>
      <c r="C3960" s="48"/>
      <c r="D3960" s="48"/>
      <c r="E3960" s="48"/>
      <c r="F3960" s="48"/>
    </row>
    <row r="3961" customFormat="false" ht="15" hidden="false" customHeight="false" outlineLevel="0" collapsed="false">
      <c r="B3961" s="10"/>
      <c r="C3961" s="10"/>
      <c r="D3961" s="10"/>
      <c r="E3961" s="10"/>
      <c r="F3961" s="10"/>
      <c r="J3961" s="25" t="s">
        <v>142</v>
      </c>
      <c r="K3961" s="25" t="n">
        <f aca="false">IFERROR(MATCH(89,Clients!$Z$2:$Z$501,0),0)</f>
        <v>0</v>
      </c>
      <c r="L3961" s="25"/>
      <c r="M3961" s="25"/>
      <c r="N3961" s="25"/>
      <c r="O3961" s="25"/>
    </row>
    <row r="3962" customFormat="false" ht="21.75" hidden="false" customHeight="true" outlineLevel="0" collapsed="false">
      <c r="B3962" s="26" t="str">
        <f aca="false">Cab_Nom</f>
        <v>ALTHO EXPERTISE</v>
      </c>
      <c r="C3962" s="26"/>
      <c r="D3962" s="10"/>
      <c r="E3962" s="27" t="str">
        <f aca="false">IF($K$3961=0,"","Réf. client : "&amp;INDEX(Clients!$A$2:$A$501,$K$3961))</f>
        <v/>
      </c>
      <c r="F3962" s="27"/>
      <c r="J3962" s="25" t="s">
        <v>144</v>
      </c>
      <c r="K3962" s="25" t="str">
        <f aca="false">IF(IF($K$3961=0,"",INDEX(Clients!$B$2:$B$501,$K$3961)&amp;"")="Mme","Madame",IF(IF($K$3961=0,"",INDEX(Clients!$B$2:$B$501,$K$3961)&amp;"")="M.","Monsieur","Madame, Monsieur"))</f>
        <v>Madame, Monsieur</v>
      </c>
      <c r="L3962" s="25"/>
      <c r="M3962" s="25"/>
      <c r="N3962" s="25"/>
      <c r="O3962" s="25"/>
    </row>
    <row r="3963" customFormat="false" ht="15" hidden="false" customHeight="false" outlineLevel="0" collapsed="false">
      <c r="B3963" s="29" t="str">
        <f aca="false">Cab_Adr1</f>
        <v>141 rue Charles de Gaulle</v>
      </c>
      <c r="C3963" s="29"/>
      <c r="D3963" s="10"/>
      <c r="E3963" s="10"/>
      <c r="F3963" s="10"/>
      <c r="J3963" s="25" t="s">
        <v>145</v>
      </c>
      <c r="K3963" s="25" t="str">
        <f aca="false">DAY(Date_Effet)&amp;IF(DAY(Date_Effet)=1,"er","")&amp;" "&amp;INDEX(Liste_Mois,MONTH(Date_Effet))&amp;" "&amp;YEAR(Date_Effet)</f>
        <v>1er janvier 2027</v>
      </c>
      <c r="L3963" s="25"/>
      <c r="M3963" s="25"/>
      <c r="N3963" s="25"/>
      <c r="O3963" s="25"/>
    </row>
    <row r="3964" customFormat="false" ht="15" hidden="false" customHeight="false" outlineLevel="0" collapsed="false">
      <c r="B3964" s="29" t="str">
        <f aca="false">Cab_CPVille</f>
        <v>95130 LE PLESSIS-BOUCHARD</v>
      </c>
      <c r="C3964" s="29"/>
      <c r="D3964" s="10"/>
      <c r="E3964" s="10"/>
      <c r="F3964" s="10"/>
      <c r="J3964" s="25" t="s">
        <v>146</v>
      </c>
      <c r="K3964" s="25" t="str">
        <f aca="false">IF(SUM($K$3988:$K$3991)=0,"",FIXED((SUM($L$3988:$L$3991)/SUM($K$3988:$K$3991)-1)*100,1)&amp;" %")</f>
        <v/>
      </c>
      <c r="L3964" s="25"/>
      <c r="M3964" s="25"/>
      <c r="N3964" s="25"/>
      <c r="O3964" s="25"/>
    </row>
    <row r="3965" customFormat="false" ht="15" hidden="false" customHeight="false" outlineLevel="0" collapsed="false">
      <c r="B3965" s="29" t="str">
        <f aca="false">Cab_Contact</f>
        <v>Tél. 01 34 14 53 45  ·  altho@altho-experts.com  ·  altho-experts.com</v>
      </c>
      <c r="C3965" s="29"/>
      <c r="D3965" s="10"/>
      <c r="E3965" s="10"/>
      <c r="F3965" s="10"/>
      <c r="J3965" s="25"/>
      <c r="K3965" s="25"/>
      <c r="L3965" s="25"/>
      <c r="M3965" s="25"/>
      <c r="N3965" s="25"/>
      <c r="O3965" s="25"/>
    </row>
    <row r="3966" customFormat="false" ht="6" hidden="false" customHeight="true" outlineLevel="0" collapsed="false">
      <c r="B3966" s="32"/>
      <c r="C3966" s="32"/>
      <c r="D3966" s="32"/>
      <c r="E3966" s="32"/>
      <c r="F3966" s="32"/>
      <c r="J3966" s="25"/>
      <c r="K3966" s="25"/>
      <c r="L3966" s="25"/>
      <c r="M3966" s="25"/>
      <c r="N3966" s="25"/>
      <c r="O3966" s="25"/>
    </row>
    <row r="3967" customFormat="false" ht="13.5" hidden="false" customHeight="true" outlineLevel="0" collapsed="false">
      <c r="B3967" s="10"/>
      <c r="C3967" s="10"/>
      <c r="D3967" s="10"/>
      <c r="E3967" s="10"/>
      <c r="F3967" s="10"/>
      <c r="J3967" s="25"/>
      <c r="K3967" s="25"/>
      <c r="L3967" s="25"/>
      <c r="M3967" s="25"/>
      <c r="N3967" s="25"/>
      <c r="O3967" s="25"/>
    </row>
    <row r="3968" customFormat="false" ht="13.5" hidden="false" customHeight="true" outlineLevel="0" collapsed="false">
      <c r="B3968" s="10"/>
      <c r="C3968" s="10"/>
      <c r="D3968" s="10"/>
      <c r="E3968" s="10"/>
      <c r="F3968" s="10"/>
      <c r="J3968" s="25"/>
      <c r="K3968" s="25"/>
      <c r="L3968" s="25"/>
      <c r="M3968" s="25"/>
      <c r="N3968" s="25"/>
      <c r="O3968" s="25"/>
    </row>
    <row r="3969" customFormat="false" ht="13.5" hidden="false" customHeight="true" outlineLevel="0" collapsed="false">
      <c r="B3969" s="10"/>
      <c r="C3969" s="10"/>
      <c r="D3969" s="10"/>
      <c r="E3969" s="10"/>
      <c r="F3969" s="10"/>
      <c r="J3969" s="25"/>
      <c r="K3969" s="25"/>
      <c r="L3969" s="25"/>
      <c r="M3969" s="25"/>
      <c r="N3969" s="25"/>
      <c r="O3969" s="25"/>
    </row>
    <row r="3970" customFormat="false" ht="15" hidden="false" customHeight="true" outlineLevel="0" collapsed="false">
      <c r="B3970" s="10"/>
      <c r="C3970" s="10"/>
      <c r="D3970" s="34" t="str">
        <f aca="false">IF($K$3961=0,"",INDEX(Clients!$E$2:$E$501,$K$3961)&amp;"")</f>
        <v/>
      </c>
      <c r="E3970" s="34"/>
      <c r="F3970" s="34"/>
      <c r="J3970" s="25"/>
      <c r="K3970" s="25"/>
      <c r="L3970" s="25"/>
      <c r="M3970" s="25"/>
      <c r="N3970" s="25"/>
      <c r="O3970" s="25"/>
    </row>
    <row r="3971" customFormat="false" ht="15" hidden="false" customHeight="true" outlineLevel="0" collapsed="false">
      <c r="B3971" s="10"/>
      <c r="C3971" s="10"/>
      <c r="D3971" s="35" t="str">
        <f aca="false">IF(IF($K$3961=0,"",INDEX(Clients!$D$2:$D$501,$K$3961)&amp;"")="","","À l'attention de "&amp;TRIM(IF($K$3961=0,"",INDEX(Clients!$B$2:$B$501,$K$3961)&amp;"")&amp;" "&amp;IF($K$3961=0,"",INDEX(Clients!$C$2:$C$501,$K$3961)&amp;"")&amp;" "&amp;IF($K$3961=0,"",INDEX(Clients!$D$2:$D$501,$K$3961)&amp;"")))</f>
        <v/>
      </c>
      <c r="E3971" s="35"/>
      <c r="F3971" s="35"/>
      <c r="J3971" s="25"/>
      <c r="K3971" s="25"/>
      <c r="L3971" s="25"/>
      <c r="M3971" s="25"/>
      <c r="N3971" s="25"/>
      <c r="O3971" s="25"/>
    </row>
    <row r="3972" customFormat="false" ht="15" hidden="false" customHeight="true" outlineLevel="0" collapsed="false">
      <c r="B3972" s="10"/>
      <c r="C3972" s="10"/>
      <c r="D3972" s="35" t="str">
        <f aca="false">IF($K$3961=0,"",INDEX(Clients!$F$2:$F$501,$K$3961)&amp;"")</f>
        <v/>
      </c>
      <c r="E3972" s="35"/>
      <c r="F3972" s="35"/>
      <c r="J3972" s="25"/>
      <c r="K3972" s="25"/>
      <c r="L3972" s="25"/>
      <c r="M3972" s="25"/>
      <c r="N3972" s="25"/>
      <c r="O3972" s="25"/>
    </row>
    <row r="3973" customFormat="false" ht="15" hidden="false" customHeight="true" outlineLevel="0" collapsed="false">
      <c r="B3973" s="10"/>
      <c r="C3973" s="10"/>
      <c r="D3973" s="35" t="str">
        <f aca="false">IF(IF($K$3961=0,"",INDEX(Clients!$G$2:$G$501,$K$3961)&amp;"")="",TRIM(IF($K$3961=0,"",INDEX(Clients!$H$2:$H$501,$K$3961)&amp;"")&amp;" "&amp;UPPER(IF($K$3961=0,"",INDEX(Clients!$I$2:$I$501,$K$3961)&amp;""))),IF($K$3961=0,"",INDEX(Clients!$G$2:$G$501,$K$3961)&amp;""))</f>
        <v/>
      </c>
      <c r="E3973" s="35"/>
      <c r="F3973" s="35"/>
      <c r="J3973" s="25"/>
      <c r="K3973" s="25"/>
      <c r="L3973" s="25"/>
      <c r="M3973" s="25"/>
      <c r="N3973" s="25"/>
      <c r="O3973" s="25"/>
    </row>
    <row r="3974" customFormat="false" ht="15" hidden="false" customHeight="true" outlineLevel="0" collapsed="false">
      <c r="B3974" s="10"/>
      <c r="C3974" s="10"/>
      <c r="D3974" s="35" t="str">
        <f aca="false">IF(IF($K$3961=0,"",INDEX(Clients!$G$2:$G$501,$K$3961)&amp;"")="","",TRIM(IF($K$3961=0,"",INDEX(Clients!$H$2:$H$501,$K$3961)&amp;"")&amp;" "&amp;UPPER(IF($K$3961=0,"",INDEX(Clients!$I$2:$I$501,$K$3961)&amp;""))))</f>
        <v/>
      </c>
      <c r="E3974" s="35"/>
      <c r="F3974" s="35"/>
      <c r="J3974" s="25"/>
      <c r="K3974" s="25"/>
      <c r="L3974" s="25"/>
      <c r="M3974" s="25"/>
      <c r="N3974" s="25"/>
      <c r="O3974" s="25"/>
    </row>
    <row r="3975" customFormat="false" ht="25.5" hidden="false" customHeight="true" outlineLevel="0" collapsed="false">
      <c r="B3975" s="10"/>
      <c r="C3975" s="10"/>
      <c r="D3975" s="10"/>
      <c r="E3975" s="10"/>
      <c r="F3975" s="10"/>
      <c r="J3975" s="25"/>
      <c r="K3975" s="25"/>
      <c r="L3975" s="25"/>
      <c r="M3975" s="25"/>
      <c r="N3975" s="25"/>
      <c r="O3975" s="25"/>
    </row>
    <row r="3976" customFormat="false" ht="15" hidden="false" customHeight="false" outlineLevel="0" collapsed="false">
      <c r="B3976" s="10"/>
      <c r="C3976" s="10"/>
      <c r="D3976" s="36" t="str">
        <f aca="false">Cab_Ville&amp;", le "&amp;DAY(Date_Courrier)&amp;IF(DAY(Date_Courrier)=1,"er","")&amp;" "&amp;INDEX(Liste_Mois,MONTH(Date_Courrier))&amp;" "&amp;YEAR(Date_Courrier)</f>
        <v>Le Plessis-Bouchard, le 22 septembre 2026</v>
      </c>
      <c r="E3976" s="36"/>
      <c r="F3976" s="36"/>
      <c r="J3976" s="25"/>
      <c r="K3976" s="25"/>
      <c r="L3976" s="25"/>
      <c r="M3976" s="25"/>
      <c r="N3976" s="25"/>
      <c r="O3976" s="25"/>
    </row>
    <row r="3977" customFormat="false" ht="19.5" hidden="false" customHeight="true" outlineLevel="0" collapsed="false">
      <c r="B3977" s="10"/>
      <c r="C3977" s="10"/>
      <c r="D3977" s="10"/>
      <c r="E3977" s="10"/>
      <c r="F3977" s="10"/>
      <c r="J3977" s="25"/>
      <c r="K3977" s="25"/>
      <c r="L3977" s="25"/>
      <c r="M3977" s="25"/>
      <c r="N3977" s="25"/>
      <c r="O3977" s="25"/>
    </row>
    <row r="3978" customFormat="false" ht="15" hidden="false" customHeight="false" outlineLevel="0" collapsed="false">
      <c r="B3978" s="34" t="str">
        <f aca="false">SUBSTITUTE(SUBSTITUTE(SUBSTITUTE(SUBSTITUTE(SUBSTITUTE(Txt_Objet,"{cabinet}",Cab_Nom),"{societe}",IF($K$3961=0,"",INDEX(Clients!$E$2:$E$501,$K$3961)&amp;"")),"{date_effet}",$K$3963),"{hausse}",$K$3964),"{civilite}",$K$3962)</f>
        <v>Objet : révision de nos honoraires au 1er janvier 2027</v>
      </c>
      <c r="C3978" s="34"/>
      <c r="D3978" s="34"/>
      <c r="E3978" s="34"/>
      <c r="F3978" s="34"/>
      <c r="J3978" s="25"/>
      <c r="K3978" s="25"/>
      <c r="L3978" s="25"/>
      <c r="M3978" s="25"/>
      <c r="N3978" s="25"/>
      <c r="O3978" s="25"/>
    </row>
    <row r="3979" customFormat="false" ht="13.5" hidden="false" customHeight="true" outlineLevel="0" collapsed="false">
      <c r="B3979" s="10"/>
      <c r="C3979" s="10"/>
      <c r="D3979" s="10"/>
      <c r="E3979" s="10"/>
      <c r="F3979" s="10"/>
      <c r="J3979" s="25"/>
      <c r="K3979" s="25"/>
      <c r="L3979" s="25"/>
      <c r="M3979" s="25"/>
      <c r="N3979" s="25"/>
      <c r="O3979" s="25"/>
    </row>
    <row r="3980" customFormat="false" ht="15" hidden="false" customHeight="false" outlineLevel="0" collapsed="false">
      <c r="B3980" s="10" t="str">
        <f aca="false">$K$3962&amp;","</f>
        <v>Madame, Monsieur,</v>
      </c>
      <c r="C3980" s="10"/>
      <c r="D3980" s="10"/>
      <c r="E3980" s="10"/>
      <c r="F3980" s="10"/>
      <c r="J3980" s="25"/>
      <c r="K3980" s="25"/>
      <c r="L3980" s="25"/>
      <c r="M3980" s="25"/>
      <c r="N3980" s="25"/>
      <c r="O3980" s="25"/>
    </row>
    <row r="3981" customFormat="false" ht="6" hidden="false" customHeight="true" outlineLevel="0" collapsed="false">
      <c r="B3981" s="10"/>
      <c r="C3981" s="10"/>
      <c r="D3981" s="10"/>
      <c r="E3981" s="10"/>
      <c r="F3981" s="10"/>
      <c r="J3981" s="25"/>
      <c r="K3981" s="25"/>
      <c r="L3981" s="25"/>
      <c r="M3981" s="25"/>
      <c r="N3981" s="25"/>
      <c r="O3981" s="25"/>
    </row>
    <row r="3982" customFormat="false" ht="36.75" hidden="false" customHeight="true" outlineLevel="0" collapsed="false">
      <c r="B3982" s="37" t="str">
        <f aca="false">SUBSTITUTE(SUBSTITUTE(SUBSTITUTE(SUBSTITUTE(SUBSTITUTE(Txt_P1,"{cabinet}",Cab_Nom),"{societe}",IF($K$3961=0,"",INDEX(Clients!$E$2:$E$501,$K$3961)&amp;"")),"{date_effet}",$K$3963),"{hausse}",$K$3964),"{civilite}",$K$3962)</f>
        <v>Nous tenons tout d'abord à vous remercier pour la confiance que vous accordez à ALTHO EXPERTISE. Comme chaque année, et conformément aux dispositions de votre lettre de mission, nous procédons à la révision de nos honoraires.</v>
      </c>
      <c r="C3982" s="37"/>
      <c r="D3982" s="37"/>
      <c r="E3982" s="37"/>
      <c r="F3982" s="37"/>
      <c r="J3982" s="25"/>
      <c r="K3982" s="25"/>
      <c r="L3982" s="25"/>
      <c r="M3982" s="25"/>
      <c r="N3982" s="25"/>
      <c r="O3982" s="25"/>
    </row>
    <row r="3983" customFormat="false" ht="49.5" hidden="false" customHeight="true" outlineLevel="0" collapsed="false">
      <c r="B3983" s="37" t="str">
        <f aca="false">SUBSTITUTE(SUBSTITUTE(SUBSTITUTE(SUBSTITUTE(SUBSTITUTE(Txt_P2,"{cabinet}",Cab_Nom),"{societe}",IF($K$3961=0,"",INDEX(Clients!$E$2:$E$501,$K$3961)&amp;"")),"{date_effet}",$K$3963),"{hausse}",$K$3964),"{civilite}",$K$3962)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3983" s="37"/>
      <c r="D3983" s="37"/>
      <c r="E3983" s="37"/>
      <c r="F3983" s="37"/>
      <c r="J3983" s="25"/>
      <c r="K3983" s="25"/>
      <c r="L3983" s="25"/>
      <c r="M3983" s="25"/>
      <c r="N3983" s="25"/>
      <c r="O3983" s="25"/>
    </row>
    <row r="3984" customFormat="false" ht="63" hidden="false" customHeight="true" outlineLevel="0" collapsed="false">
      <c r="B3984" s="37" t="str">
        <f aca="false">SUBSTITUTE(SUBSTITUTE(SUBSTITUTE(SUBSTITUTE(SUBSTITUTE(Txt_P3,"{cabinet}",Cab_Nom),"{societe}",IF($K$3961=0,"",INDEX(Clients!$E$2:$E$501,$K$3961)&amp;"")),"{date_effet}",$K$3963),"{hausse}",$K$3964),"{civilite}",$K$3962)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3984" s="37"/>
      <c r="D3984" s="37"/>
      <c r="E3984" s="37"/>
      <c r="F3984" s="37"/>
      <c r="J3984" s="25"/>
      <c r="K3984" s="25"/>
      <c r="L3984" s="25"/>
      <c r="M3984" s="25"/>
      <c r="N3984" s="25"/>
      <c r="O3984" s="25"/>
    </row>
    <row r="3985" customFormat="false" ht="24" hidden="false" customHeight="true" outlineLevel="0" collapsed="false">
      <c r="B3985" s="37" t="str">
        <f aca="false">SUBSTITUTE(SUBSTITUTE(SUBSTITUTE(SUBSTITUTE(SUBSTITUTE(Txt_P4,"{cabinet}",Cab_Nom),"{societe}",IF($K$3961=0,"",INDEX(Clients!$E$2:$E$501,$K$3961)&amp;"")),"{date_effet}",$K$3963),"{hausse}",$K$3964),"{civilite}",$K$3962)</f>
        <v>À compter du 1er janvier 2027, vos honoraires annuels hors taxes évolueront ainsi (évolution globale : ) :</v>
      </c>
      <c r="C3985" s="37"/>
      <c r="D3985" s="37"/>
      <c r="E3985" s="37"/>
      <c r="F3985" s="37"/>
      <c r="J3985" s="25"/>
      <c r="K3985" s="25"/>
      <c r="L3985" s="25"/>
      <c r="M3985" s="25"/>
      <c r="N3985" s="25"/>
      <c r="O3985" s="25"/>
    </row>
    <row r="3986" customFormat="false" ht="3.75" hidden="false" customHeight="true" outlineLevel="0" collapsed="false">
      <c r="B3986" s="10"/>
      <c r="C3986" s="10"/>
      <c r="D3986" s="10"/>
      <c r="E3986" s="10"/>
      <c r="F3986" s="10"/>
      <c r="J3986" s="25"/>
      <c r="K3986" s="25"/>
      <c r="L3986" s="25"/>
      <c r="M3986" s="25"/>
      <c r="N3986" s="25"/>
      <c r="O3986" s="25"/>
    </row>
    <row r="3987" customFormat="false" ht="18" hidden="false" customHeight="true" outlineLevel="0" collapsed="false">
      <c r="B3987" s="38" t="s">
        <v>148</v>
      </c>
      <c r="C3987" s="39" t="s">
        <v>149</v>
      </c>
      <c r="D3987" s="39" t="s">
        <v>150</v>
      </c>
      <c r="E3987" s="39" t="s">
        <v>151</v>
      </c>
      <c r="F3987" s="39" t="s">
        <v>109</v>
      </c>
      <c r="J3987" s="25" t="s">
        <v>152</v>
      </c>
      <c r="K3987" s="25" t="s">
        <v>153</v>
      </c>
      <c r="L3987" s="25" t="s">
        <v>154</v>
      </c>
      <c r="M3987" s="25" t="s">
        <v>155</v>
      </c>
      <c r="N3987" s="25" t="s">
        <v>156</v>
      </c>
      <c r="O3987" s="25" t="s">
        <v>157</v>
      </c>
    </row>
    <row r="3988" customFormat="false" ht="16.5" hidden="false" customHeight="true" outlineLevel="0" collapsed="false">
      <c r="B3988" s="40" t="str">
        <f aca="false">IFERROR(INDEX($J$3988:$J$3991,MATCH($O3988,$N$3988:$N$3991,0)),"")</f>
        <v/>
      </c>
      <c r="C3988" s="41" t="str">
        <f aca="false">IFERROR(INDEX($K$3988:$K$3991,MATCH($O3988,$N$3988:$N$3991,0)),"")</f>
        <v/>
      </c>
      <c r="D3988" s="42" t="str">
        <f aca="false">IF(OR(E3988="",N(C3988)=0),"",E3988/C3988-1)</f>
        <v/>
      </c>
      <c r="E3988" s="41" t="str">
        <f aca="false">IFERROR(INDEX($L$3988:$L$3991,MATCH($O3988,$N$3988:$N$3991,0)),"")</f>
        <v/>
      </c>
      <c r="F3988" s="41" t="str">
        <f aca="false">IF(E3988="","",E3988-C3988)</f>
        <v/>
      </c>
      <c r="J3988" s="25" t="str">
        <f aca="false">Lib_Compta</f>
        <v>Mission comptable (tenue, révision, bilan, liasse fiscale)</v>
      </c>
      <c r="K3988" s="25" t="n">
        <f aca="false">IF($K$3961=0,0,N(INDEX(Clients!$K$2:$K$501,$K$3961)))</f>
        <v>0</v>
      </c>
      <c r="L3988" s="25" t="n">
        <f aca="false">IF($K$3961=0,0,N(INDEX(Clients!$P$2:$P$501,$K$3961)))</f>
        <v>0</v>
      </c>
      <c r="M3988" s="25" t="n">
        <f aca="false">IF(OR(K3988&lt;&gt;0,L3988&lt;&gt;0),1,0)</f>
        <v>0</v>
      </c>
      <c r="N3988" s="25" t="str">
        <f aca="false">IF(M3988=1,SUM($M$3988:M3988),"")</f>
        <v/>
      </c>
      <c r="O3988" s="25" t="n">
        <v>1</v>
      </c>
    </row>
    <row r="3989" customFormat="false" ht="16.5" hidden="false" customHeight="true" outlineLevel="0" collapsed="false">
      <c r="B3989" s="40" t="str">
        <f aca="false">IFERROR(INDEX($J$3988:$J$3991,MATCH($O3989,$N$3988:$N$3991,0)),"")</f>
        <v/>
      </c>
      <c r="C3989" s="41" t="str">
        <f aca="false">IFERROR(INDEX($K$3988:$K$3991,MATCH($O3989,$N$3988:$N$3991,0)),"")</f>
        <v/>
      </c>
      <c r="D3989" s="42" t="str">
        <f aca="false">IF(OR(E3989="",N(C3989)=0),"",E3989/C3989-1)</f>
        <v/>
      </c>
      <c r="E3989" s="41" t="str">
        <f aca="false">IFERROR(INDEX($L$3988:$L$3991,MATCH($O3989,$N$3988:$N$3991,0)),"")</f>
        <v/>
      </c>
      <c r="F3989" s="41" t="str">
        <f aca="false">IF(E3989="","",E3989-C3989)</f>
        <v/>
      </c>
      <c r="J3989" s="25" t="str">
        <f aca="false">Lib_Paye</f>
        <v>Mission sociale (bulletins de paie, DSN, déclarations sociales)</v>
      </c>
      <c r="K3989" s="25" t="n">
        <f aca="false">IF($K$3961=0,0,N(INDEX(Clients!$L$2:$L$501,$K$3961)))</f>
        <v>0</v>
      </c>
      <c r="L3989" s="25" t="n">
        <f aca="false">IF($K$3961=0,0,N(INDEX(Clients!$Q$2:$Q$501,$K$3961)))</f>
        <v>0</v>
      </c>
      <c r="M3989" s="25" t="n">
        <f aca="false">IF(OR(K3989&lt;&gt;0,L3989&lt;&gt;0),1,0)</f>
        <v>0</v>
      </c>
      <c r="N3989" s="25" t="str">
        <f aca="false">IF(M3989=1,SUM($M$3988:M3989),"")</f>
        <v/>
      </c>
      <c r="O3989" s="25" t="n">
        <v>2</v>
      </c>
    </row>
    <row r="3990" customFormat="false" ht="16.5" hidden="false" customHeight="true" outlineLevel="0" collapsed="false">
      <c r="B3990" s="40" t="str">
        <f aca="false">IFERROR(INDEX($J$3988:$J$3991,MATCH($O3990,$N$3988:$N$3991,0)),"")</f>
        <v/>
      </c>
      <c r="C3990" s="41" t="str">
        <f aca="false">IFERROR(INDEX($K$3988:$K$3991,MATCH($O3990,$N$3988:$N$3991,0)),"")</f>
        <v/>
      </c>
      <c r="D3990" s="42" t="str">
        <f aca="false">IF(OR(E3990="",N(C3990)=0),"",E3990/C3990-1)</f>
        <v/>
      </c>
      <c r="E3990" s="41" t="str">
        <f aca="false">IFERROR(INDEX($L$3988:$L$3991,MATCH($O3990,$N$3988:$N$3991,0)),"")</f>
        <v/>
      </c>
      <c r="F3990" s="41" t="str">
        <f aca="false">IF(E3990="","",E3990-C3990)</f>
        <v/>
      </c>
      <c r="J3990" s="25" t="str">
        <f aca="false">Lib_Jur</f>
        <v>Mission juridique (approbation des comptes, secrétariat juridique)</v>
      </c>
      <c r="K3990" s="25" t="n">
        <f aca="false">IF($K$3961=0,0,N(INDEX(Clients!$M$2:$M$501,$K$3961)))</f>
        <v>0</v>
      </c>
      <c r="L3990" s="25" t="n">
        <f aca="false">IF($K$3961=0,0,N(INDEX(Clients!$R$2:$R$501,$K$3961)))</f>
        <v>0</v>
      </c>
      <c r="M3990" s="25" t="n">
        <f aca="false">IF(OR(K3990&lt;&gt;0,L3990&lt;&gt;0),1,0)</f>
        <v>0</v>
      </c>
      <c r="N3990" s="25" t="str">
        <f aca="false">IF(M3990=1,SUM($M$3988:M3990),"")</f>
        <v/>
      </c>
      <c r="O3990" s="25" t="n">
        <v>3</v>
      </c>
    </row>
    <row r="3991" customFormat="false" ht="16.5" hidden="false" customHeight="true" outlineLevel="0" collapsed="false">
      <c r="B3991" s="40" t="str">
        <f aca="false">IFERROR(INDEX($J$3988:$J$3991,MATCH($O3991,$N$3988:$N$3991,0)),"")</f>
        <v/>
      </c>
      <c r="C3991" s="41" t="str">
        <f aca="false">IFERROR(INDEX($K$3988:$K$3991,MATCH($O3991,$N$3988:$N$3991,0)),"")</f>
        <v/>
      </c>
      <c r="D3991" s="42" t="str">
        <f aca="false">IF(OR(E3991="",N(C3991)=0),"",E3991/C3991-1)</f>
        <v/>
      </c>
      <c r="E3991" s="41" t="str">
        <f aca="false">IFERROR(INDEX($L$3988:$L$3991,MATCH($O3991,$N$3988:$N$3991,0)),"")</f>
        <v/>
      </c>
      <c r="F3991" s="41" t="str">
        <f aca="false">IF(E3991="","",E3991-C3991)</f>
        <v/>
      </c>
      <c r="J3991" s="25" t="str">
        <f aca="false">Lib_PA</f>
        <v>Plateforme agréée – facturation électronique</v>
      </c>
      <c r="K3991" s="25" t="n">
        <f aca="false">IF($K$3961=0,0,N(INDEX(Clients!$N$2:$N$501,$K$3961)))</f>
        <v>0</v>
      </c>
      <c r="L3991" s="25" t="n">
        <f aca="false">IF($K$3961=0,0,N(INDEX(Clients!$S$2:$S$501,$K$3961)))</f>
        <v>0</v>
      </c>
      <c r="M3991" s="25" t="n">
        <f aca="false">IF(OR(K3991&lt;&gt;0,L3991&lt;&gt;0),1,0)</f>
        <v>0</v>
      </c>
      <c r="N3991" s="25" t="str">
        <f aca="false">IF(M3991=1,SUM($M$3988:M3991),"")</f>
        <v/>
      </c>
      <c r="O3991" s="25" t="n">
        <v>4</v>
      </c>
    </row>
    <row r="3992" customFormat="false" ht="18" hidden="false" customHeight="true" outlineLevel="0" collapsed="false">
      <c r="B3992" s="43" t="s">
        <v>158</v>
      </c>
      <c r="C3992" s="44" t="n">
        <f aca="false">SUM(K3988:K3991)</f>
        <v>0</v>
      </c>
      <c r="D3992" s="45" t="str">
        <f aca="false">IF(N(C3992)=0,"",E3992/C3992-1)</f>
        <v/>
      </c>
      <c r="E3992" s="44" t="n">
        <f aca="false">SUM(L3988:L3991)</f>
        <v>0</v>
      </c>
      <c r="F3992" s="44" t="n">
        <f aca="false">E3992-C3992</f>
        <v>0</v>
      </c>
    </row>
    <row r="3993" customFormat="false" ht="15" hidden="false" customHeight="false" outlineLevel="0" collapsed="false">
      <c r="B3993" s="46" t="str">
        <f aca="false">IF(N(Nb_Mensualites)=0,"","Soit "&amp;FIXED(E3992/Nb_Mensualites,2)&amp;" € HT par échéance ("&amp;Nb_Mensualites&amp;" échéances), "&amp;FIXED(E3992/Nb_Mensualites*(1+Taux_TVA),2)&amp;" € TTC.")</f>
        <v>Soit 0.00 € HT par échéance (12 échéances), 0.00 € TTC.</v>
      </c>
      <c r="C3993" s="46"/>
      <c r="D3993" s="46"/>
      <c r="E3993" s="46"/>
      <c r="F3993" s="46"/>
    </row>
    <row r="3994" customFormat="false" ht="7.5" hidden="false" customHeight="true" outlineLevel="0" collapsed="false">
      <c r="B3994" s="10"/>
      <c r="C3994" s="10"/>
      <c r="D3994" s="10"/>
      <c r="E3994" s="10"/>
      <c r="F3994" s="10"/>
    </row>
    <row r="3995" customFormat="false" ht="36.75" hidden="false" customHeight="true" outlineLevel="0" collapsed="false">
      <c r="B3995" s="37" t="str">
        <f aca="false">SUBSTITUTE(SUBSTITUTE(SUBSTITUTE(SUBSTITUTE(SUBSTITUTE(Txt_P5,"{cabinet}",Cab_Nom),"{societe}",IF($K$3961=0,"",INDEX(Clients!$E$2:$E$501,$K$3961)&amp;"")),"{date_effet}",$K$3963),"{hausse}",$K$3964),"{civilite}",$K$3962)</f>
        <v>Les autres conditions de votre lettre de mission demeurent inchangées. Les nouveaux montants seront appliqués automatiquement sur vos prochaines factures et échéances de prélèvement.</v>
      </c>
      <c r="C3995" s="37"/>
      <c r="D3995" s="37"/>
      <c r="E3995" s="37"/>
      <c r="F3995" s="37"/>
    </row>
    <row r="3996" customFormat="false" ht="36.75" hidden="false" customHeight="true" outlineLevel="0" collapsed="false">
      <c r="B3996" s="37" t="str">
        <f aca="false">SUBSTITUTE(SUBSTITUTE(SUBSTITUTE(SUBSTITUTE(SUBSTITUTE(Txt_P6,"{cabinet}",Cab_Nom),"{societe}",IF($K$3961=0,"",INDEX(Clients!$E$2:$E$501,$K$3961)&amp;"")),"{date_effet}",$K$3963),"{hausse}",$K$3964),"{civilite}",$K$3962)</f>
        <v>Votre interlocuteur habituel reste à votre entière disposition pour répondre à vos questions et faire le point sur l'évolution de vos besoins.</v>
      </c>
      <c r="C3996" s="37"/>
      <c r="D3996" s="37"/>
      <c r="E3996" s="37"/>
      <c r="F3996" s="37"/>
    </row>
    <row r="3997" customFormat="false" ht="24" hidden="false" customHeight="true" outlineLevel="0" collapsed="false">
      <c r="B3997" s="37" t="str">
        <f aca="false">SUBSTITUTE(SUBSTITUTE(SUBSTITUTE(SUBSTITUTE(SUBSTITUTE(Txt_Politesse,"{cabinet}",Cab_Nom),"{societe}",IF($K$3961=0,"",INDEX(Clients!$E$2:$E$501,$K$3961)&amp;"")),"{date_effet}",$K$3963),"{hausse}",$K$3964),"{civilite}",$K$3962)</f>
        <v>Nous vous prions d'agréer, Madame, Monsieur, l'expression de nos salutations distinguées.</v>
      </c>
      <c r="C3997" s="37"/>
      <c r="D3997" s="37"/>
      <c r="E3997" s="37"/>
      <c r="F3997" s="37"/>
    </row>
    <row r="3998" customFormat="false" ht="15" hidden="false" customHeight="false" outlineLevel="0" collapsed="false">
      <c r="B3998" s="10"/>
      <c r="C3998" s="10"/>
      <c r="D3998" s="10"/>
      <c r="E3998" s="10"/>
      <c r="F3998" s="10"/>
    </row>
    <row r="3999" customFormat="false" ht="15" hidden="false" customHeight="false" outlineLevel="0" collapsed="false">
      <c r="B3999" s="10"/>
      <c r="C3999" s="10"/>
      <c r="D3999" s="34" t="str">
        <f aca="false">Signataire</f>
        <v>Prénom NOM</v>
      </c>
      <c r="E3999" s="34"/>
      <c r="F3999" s="34"/>
    </row>
    <row r="4000" customFormat="false" ht="15" hidden="false" customHeight="false" outlineLevel="0" collapsed="false">
      <c r="B4000" s="10"/>
      <c r="C4000" s="10"/>
      <c r="D4000" s="47" t="str">
        <f aca="false">Signataire_Titre</f>
        <v>Expert-comptable associé</v>
      </c>
      <c r="E4000" s="47"/>
      <c r="F4000" s="47"/>
    </row>
    <row r="4001" customFormat="false" ht="15.75" hidden="false" customHeight="true" outlineLevel="0" collapsed="false">
      <c r="B4001" s="10"/>
      <c r="C4001" s="10"/>
      <c r="D4001" s="10"/>
      <c r="E4001" s="10"/>
      <c r="F4001" s="10"/>
    </row>
    <row r="4002" customFormat="false" ht="15.75" hidden="false" customHeight="true" outlineLevel="0" collapsed="false">
      <c r="B4002" s="10"/>
      <c r="C4002" s="10"/>
      <c r="D4002" s="10"/>
      <c r="E4002" s="10"/>
      <c r="F4002" s="10"/>
    </row>
    <row r="4003" customFormat="false" ht="15.75" hidden="false" customHeight="true" outlineLevel="0" collapsed="false">
      <c r="B4003" s="10"/>
      <c r="C4003" s="10"/>
      <c r="D4003" s="10"/>
      <c r="E4003" s="10"/>
      <c r="F4003" s="10"/>
    </row>
    <row r="4004" customFormat="false" ht="15.75" hidden="false" customHeight="true" outlineLevel="0" collapsed="false">
      <c r="B4004" s="10"/>
      <c r="C4004" s="10"/>
      <c r="D4004" s="10"/>
      <c r="E4004" s="10"/>
      <c r="F4004" s="10"/>
    </row>
    <row r="4005" customFormat="false" ht="24" hidden="false" customHeight="true" outlineLevel="0" collapsed="false">
      <c r="B4005" s="48" t="str">
        <f aca="false">Cab_Mentions</f>
        <v>ALTHO EXPERTISE · SAS au capital de 10 000 € · RCS Pontoise 919 706 325 · TVA FR62919706325 · Société d'expertise comptable inscrite au Tableau de l'Ordre des experts-comptables de Paris Île-de-France</v>
      </c>
      <c r="C4005" s="48"/>
      <c r="D4005" s="48"/>
      <c r="E4005" s="48"/>
      <c r="F4005" s="48"/>
    </row>
    <row r="4006" customFormat="false" ht="15" hidden="false" customHeight="false" outlineLevel="0" collapsed="false">
      <c r="B4006" s="10"/>
      <c r="C4006" s="10"/>
      <c r="D4006" s="10"/>
      <c r="E4006" s="10"/>
      <c r="F4006" s="10"/>
      <c r="J4006" s="25" t="s">
        <v>142</v>
      </c>
      <c r="K4006" s="25" t="n">
        <f aca="false">IFERROR(MATCH(90,Clients!$Z$2:$Z$501,0),0)</f>
        <v>0</v>
      </c>
      <c r="L4006" s="25"/>
      <c r="M4006" s="25"/>
      <c r="N4006" s="25"/>
      <c r="O4006" s="25"/>
    </row>
    <row r="4007" customFormat="false" ht="21.75" hidden="false" customHeight="true" outlineLevel="0" collapsed="false">
      <c r="B4007" s="26" t="str">
        <f aca="false">Cab_Nom</f>
        <v>ALTHO EXPERTISE</v>
      </c>
      <c r="C4007" s="26"/>
      <c r="D4007" s="10"/>
      <c r="E4007" s="27" t="str">
        <f aca="false">IF($K$4006=0,"","Réf. client : "&amp;INDEX(Clients!$A$2:$A$501,$K$4006))</f>
        <v/>
      </c>
      <c r="F4007" s="27"/>
      <c r="J4007" s="25" t="s">
        <v>144</v>
      </c>
      <c r="K4007" s="25" t="str">
        <f aca="false">IF(IF($K$4006=0,"",INDEX(Clients!$B$2:$B$501,$K$4006)&amp;"")="Mme","Madame",IF(IF($K$4006=0,"",INDEX(Clients!$B$2:$B$501,$K$4006)&amp;"")="M.","Monsieur","Madame, Monsieur"))</f>
        <v>Madame, Monsieur</v>
      </c>
      <c r="L4007" s="25"/>
      <c r="M4007" s="25"/>
      <c r="N4007" s="25"/>
      <c r="O4007" s="25"/>
    </row>
    <row r="4008" customFormat="false" ht="15" hidden="false" customHeight="false" outlineLevel="0" collapsed="false">
      <c r="B4008" s="29" t="str">
        <f aca="false">Cab_Adr1</f>
        <v>141 rue Charles de Gaulle</v>
      </c>
      <c r="C4008" s="29"/>
      <c r="D4008" s="10"/>
      <c r="E4008" s="10"/>
      <c r="F4008" s="10"/>
      <c r="J4008" s="25" t="s">
        <v>145</v>
      </c>
      <c r="K4008" s="25" t="str">
        <f aca="false">DAY(Date_Effet)&amp;IF(DAY(Date_Effet)=1,"er","")&amp;" "&amp;INDEX(Liste_Mois,MONTH(Date_Effet))&amp;" "&amp;YEAR(Date_Effet)</f>
        <v>1er janvier 2027</v>
      </c>
      <c r="L4008" s="25"/>
      <c r="M4008" s="25"/>
      <c r="N4008" s="25"/>
      <c r="O4008" s="25"/>
    </row>
    <row r="4009" customFormat="false" ht="15" hidden="false" customHeight="false" outlineLevel="0" collapsed="false">
      <c r="B4009" s="29" t="str">
        <f aca="false">Cab_CPVille</f>
        <v>95130 LE PLESSIS-BOUCHARD</v>
      </c>
      <c r="C4009" s="29"/>
      <c r="D4009" s="10"/>
      <c r="E4009" s="10"/>
      <c r="F4009" s="10"/>
      <c r="J4009" s="25" t="s">
        <v>146</v>
      </c>
      <c r="K4009" s="25" t="str">
        <f aca="false">IF(SUM($K$4033:$K$4036)=0,"",FIXED((SUM($L$4033:$L$4036)/SUM($K$4033:$K$4036)-1)*100,1)&amp;" %")</f>
        <v/>
      </c>
      <c r="L4009" s="25"/>
      <c r="M4009" s="25"/>
      <c r="N4009" s="25"/>
      <c r="O4009" s="25"/>
    </row>
    <row r="4010" customFormat="false" ht="15" hidden="false" customHeight="false" outlineLevel="0" collapsed="false">
      <c r="B4010" s="29" t="str">
        <f aca="false">Cab_Contact</f>
        <v>Tél. 01 34 14 53 45  ·  altho@altho-experts.com  ·  altho-experts.com</v>
      </c>
      <c r="C4010" s="29"/>
      <c r="D4010" s="10"/>
      <c r="E4010" s="10"/>
      <c r="F4010" s="10"/>
      <c r="J4010" s="25"/>
      <c r="K4010" s="25"/>
      <c r="L4010" s="25"/>
      <c r="M4010" s="25"/>
      <c r="N4010" s="25"/>
      <c r="O4010" s="25"/>
    </row>
    <row r="4011" customFormat="false" ht="6" hidden="false" customHeight="true" outlineLevel="0" collapsed="false">
      <c r="B4011" s="32"/>
      <c r="C4011" s="32"/>
      <c r="D4011" s="32"/>
      <c r="E4011" s="32"/>
      <c r="F4011" s="32"/>
      <c r="J4011" s="25"/>
      <c r="K4011" s="25"/>
      <c r="L4011" s="25"/>
      <c r="M4011" s="25"/>
      <c r="N4011" s="25"/>
      <c r="O4011" s="25"/>
    </row>
    <row r="4012" customFormat="false" ht="13.5" hidden="false" customHeight="true" outlineLevel="0" collapsed="false">
      <c r="B4012" s="10"/>
      <c r="C4012" s="10"/>
      <c r="D4012" s="10"/>
      <c r="E4012" s="10"/>
      <c r="F4012" s="10"/>
      <c r="J4012" s="25"/>
      <c r="K4012" s="25"/>
      <c r="L4012" s="25"/>
      <c r="M4012" s="25"/>
      <c r="N4012" s="25"/>
      <c r="O4012" s="25"/>
    </row>
    <row r="4013" customFormat="false" ht="13.5" hidden="false" customHeight="true" outlineLevel="0" collapsed="false">
      <c r="B4013" s="10"/>
      <c r="C4013" s="10"/>
      <c r="D4013" s="10"/>
      <c r="E4013" s="10"/>
      <c r="F4013" s="10"/>
      <c r="J4013" s="25"/>
      <c r="K4013" s="25"/>
      <c r="L4013" s="25"/>
      <c r="M4013" s="25"/>
      <c r="N4013" s="25"/>
      <c r="O4013" s="25"/>
    </row>
    <row r="4014" customFormat="false" ht="13.5" hidden="false" customHeight="true" outlineLevel="0" collapsed="false">
      <c r="B4014" s="10"/>
      <c r="C4014" s="10"/>
      <c r="D4014" s="10"/>
      <c r="E4014" s="10"/>
      <c r="F4014" s="10"/>
      <c r="J4014" s="25"/>
      <c r="K4014" s="25"/>
      <c r="L4014" s="25"/>
      <c r="M4014" s="25"/>
      <c r="N4014" s="25"/>
      <c r="O4014" s="25"/>
    </row>
    <row r="4015" customFormat="false" ht="15" hidden="false" customHeight="true" outlineLevel="0" collapsed="false">
      <c r="B4015" s="10"/>
      <c r="C4015" s="10"/>
      <c r="D4015" s="34" t="str">
        <f aca="false">IF($K$4006=0,"",INDEX(Clients!$E$2:$E$501,$K$4006)&amp;"")</f>
        <v/>
      </c>
      <c r="E4015" s="34"/>
      <c r="F4015" s="34"/>
      <c r="J4015" s="25"/>
      <c r="K4015" s="25"/>
      <c r="L4015" s="25"/>
      <c r="M4015" s="25"/>
      <c r="N4015" s="25"/>
      <c r="O4015" s="25"/>
    </row>
    <row r="4016" customFormat="false" ht="15" hidden="false" customHeight="true" outlineLevel="0" collapsed="false">
      <c r="B4016" s="10"/>
      <c r="C4016" s="10"/>
      <c r="D4016" s="35" t="str">
        <f aca="false">IF(IF($K$4006=0,"",INDEX(Clients!$D$2:$D$501,$K$4006)&amp;"")="","","À l'attention de "&amp;TRIM(IF($K$4006=0,"",INDEX(Clients!$B$2:$B$501,$K$4006)&amp;"")&amp;" "&amp;IF($K$4006=0,"",INDEX(Clients!$C$2:$C$501,$K$4006)&amp;"")&amp;" "&amp;IF($K$4006=0,"",INDEX(Clients!$D$2:$D$501,$K$4006)&amp;"")))</f>
        <v/>
      </c>
      <c r="E4016" s="35"/>
      <c r="F4016" s="35"/>
      <c r="J4016" s="25"/>
      <c r="K4016" s="25"/>
      <c r="L4016" s="25"/>
      <c r="M4016" s="25"/>
      <c r="N4016" s="25"/>
      <c r="O4016" s="25"/>
    </row>
    <row r="4017" customFormat="false" ht="15" hidden="false" customHeight="true" outlineLevel="0" collapsed="false">
      <c r="B4017" s="10"/>
      <c r="C4017" s="10"/>
      <c r="D4017" s="35" t="str">
        <f aca="false">IF($K$4006=0,"",INDEX(Clients!$F$2:$F$501,$K$4006)&amp;"")</f>
        <v/>
      </c>
      <c r="E4017" s="35"/>
      <c r="F4017" s="35"/>
      <c r="J4017" s="25"/>
      <c r="K4017" s="25"/>
      <c r="L4017" s="25"/>
      <c r="M4017" s="25"/>
      <c r="N4017" s="25"/>
      <c r="O4017" s="25"/>
    </row>
    <row r="4018" customFormat="false" ht="15" hidden="false" customHeight="true" outlineLevel="0" collapsed="false">
      <c r="B4018" s="10"/>
      <c r="C4018" s="10"/>
      <c r="D4018" s="35" t="str">
        <f aca="false">IF(IF($K$4006=0,"",INDEX(Clients!$G$2:$G$501,$K$4006)&amp;"")="",TRIM(IF($K$4006=0,"",INDEX(Clients!$H$2:$H$501,$K$4006)&amp;"")&amp;" "&amp;UPPER(IF($K$4006=0,"",INDEX(Clients!$I$2:$I$501,$K$4006)&amp;""))),IF($K$4006=0,"",INDEX(Clients!$G$2:$G$501,$K$4006)&amp;""))</f>
        <v/>
      </c>
      <c r="E4018" s="35"/>
      <c r="F4018" s="35"/>
      <c r="J4018" s="25"/>
      <c r="K4018" s="25"/>
      <c r="L4018" s="25"/>
      <c r="M4018" s="25"/>
      <c r="N4018" s="25"/>
      <c r="O4018" s="25"/>
    </row>
    <row r="4019" customFormat="false" ht="15" hidden="false" customHeight="true" outlineLevel="0" collapsed="false">
      <c r="B4019" s="10"/>
      <c r="C4019" s="10"/>
      <c r="D4019" s="35" t="str">
        <f aca="false">IF(IF($K$4006=0,"",INDEX(Clients!$G$2:$G$501,$K$4006)&amp;"")="","",TRIM(IF($K$4006=0,"",INDEX(Clients!$H$2:$H$501,$K$4006)&amp;"")&amp;" "&amp;UPPER(IF($K$4006=0,"",INDEX(Clients!$I$2:$I$501,$K$4006)&amp;""))))</f>
        <v/>
      </c>
      <c r="E4019" s="35"/>
      <c r="F4019" s="35"/>
      <c r="J4019" s="25"/>
      <c r="K4019" s="25"/>
      <c r="L4019" s="25"/>
      <c r="M4019" s="25"/>
      <c r="N4019" s="25"/>
      <c r="O4019" s="25"/>
    </row>
    <row r="4020" customFormat="false" ht="25.5" hidden="false" customHeight="true" outlineLevel="0" collapsed="false">
      <c r="B4020" s="10"/>
      <c r="C4020" s="10"/>
      <c r="D4020" s="10"/>
      <c r="E4020" s="10"/>
      <c r="F4020" s="10"/>
      <c r="J4020" s="25"/>
      <c r="K4020" s="25"/>
      <c r="L4020" s="25"/>
      <c r="M4020" s="25"/>
      <c r="N4020" s="25"/>
      <c r="O4020" s="25"/>
    </row>
    <row r="4021" customFormat="false" ht="15" hidden="false" customHeight="false" outlineLevel="0" collapsed="false">
      <c r="B4021" s="10"/>
      <c r="C4021" s="10"/>
      <c r="D4021" s="36" t="str">
        <f aca="false">Cab_Ville&amp;", le "&amp;DAY(Date_Courrier)&amp;IF(DAY(Date_Courrier)=1,"er","")&amp;" "&amp;INDEX(Liste_Mois,MONTH(Date_Courrier))&amp;" "&amp;YEAR(Date_Courrier)</f>
        <v>Le Plessis-Bouchard, le 22 septembre 2026</v>
      </c>
      <c r="E4021" s="36"/>
      <c r="F4021" s="36"/>
      <c r="J4021" s="25"/>
      <c r="K4021" s="25"/>
      <c r="L4021" s="25"/>
      <c r="M4021" s="25"/>
      <c r="N4021" s="25"/>
      <c r="O4021" s="25"/>
    </row>
    <row r="4022" customFormat="false" ht="19.5" hidden="false" customHeight="true" outlineLevel="0" collapsed="false">
      <c r="B4022" s="10"/>
      <c r="C4022" s="10"/>
      <c r="D4022" s="10"/>
      <c r="E4022" s="10"/>
      <c r="F4022" s="10"/>
      <c r="J4022" s="25"/>
      <c r="K4022" s="25"/>
      <c r="L4022" s="25"/>
      <c r="M4022" s="25"/>
      <c r="N4022" s="25"/>
      <c r="O4022" s="25"/>
    </row>
    <row r="4023" customFormat="false" ht="15" hidden="false" customHeight="false" outlineLevel="0" collapsed="false">
      <c r="B4023" s="34" t="str">
        <f aca="false">SUBSTITUTE(SUBSTITUTE(SUBSTITUTE(SUBSTITUTE(SUBSTITUTE(Txt_Objet,"{cabinet}",Cab_Nom),"{societe}",IF($K$4006=0,"",INDEX(Clients!$E$2:$E$501,$K$4006)&amp;"")),"{date_effet}",$K$4008),"{hausse}",$K$4009),"{civilite}",$K$4007)</f>
        <v>Objet : révision de nos honoraires au 1er janvier 2027</v>
      </c>
      <c r="C4023" s="34"/>
      <c r="D4023" s="34"/>
      <c r="E4023" s="34"/>
      <c r="F4023" s="34"/>
      <c r="J4023" s="25"/>
      <c r="K4023" s="25"/>
      <c r="L4023" s="25"/>
      <c r="M4023" s="25"/>
      <c r="N4023" s="25"/>
      <c r="O4023" s="25"/>
    </row>
    <row r="4024" customFormat="false" ht="13.5" hidden="false" customHeight="true" outlineLevel="0" collapsed="false">
      <c r="B4024" s="10"/>
      <c r="C4024" s="10"/>
      <c r="D4024" s="10"/>
      <c r="E4024" s="10"/>
      <c r="F4024" s="10"/>
      <c r="J4024" s="25"/>
      <c r="K4024" s="25"/>
      <c r="L4024" s="25"/>
      <c r="M4024" s="25"/>
      <c r="N4024" s="25"/>
      <c r="O4024" s="25"/>
    </row>
    <row r="4025" customFormat="false" ht="15" hidden="false" customHeight="false" outlineLevel="0" collapsed="false">
      <c r="B4025" s="10" t="str">
        <f aca="false">$K$4007&amp;","</f>
        <v>Madame, Monsieur,</v>
      </c>
      <c r="C4025" s="10"/>
      <c r="D4025" s="10"/>
      <c r="E4025" s="10"/>
      <c r="F4025" s="10"/>
      <c r="J4025" s="25"/>
      <c r="K4025" s="25"/>
      <c r="L4025" s="25"/>
      <c r="M4025" s="25"/>
      <c r="N4025" s="25"/>
      <c r="O4025" s="25"/>
    </row>
    <row r="4026" customFormat="false" ht="6" hidden="false" customHeight="true" outlineLevel="0" collapsed="false">
      <c r="B4026" s="10"/>
      <c r="C4026" s="10"/>
      <c r="D4026" s="10"/>
      <c r="E4026" s="10"/>
      <c r="F4026" s="10"/>
      <c r="J4026" s="25"/>
      <c r="K4026" s="25"/>
      <c r="L4026" s="25"/>
      <c r="M4026" s="25"/>
      <c r="N4026" s="25"/>
      <c r="O4026" s="25"/>
    </row>
    <row r="4027" customFormat="false" ht="36.75" hidden="false" customHeight="true" outlineLevel="0" collapsed="false">
      <c r="B4027" s="37" t="str">
        <f aca="false">SUBSTITUTE(SUBSTITUTE(SUBSTITUTE(SUBSTITUTE(SUBSTITUTE(Txt_P1,"{cabinet}",Cab_Nom),"{societe}",IF($K$4006=0,"",INDEX(Clients!$E$2:$E$501,$K$4006)&amp;"")),"{date_effet}",$K$4008),"{hausse}",$K$4009),"{civilite}",$K$4007)</f>
        <v>Nous tenons tout d'abord à vous remercier pour la confiance que vous accordez à ALTHO EXPERTISE. Comme chaque année, et conformément aux dispositions de votre lettre de mission, nous procédons à la révision de nos honoraires.</v>
      </c>
      <c r="C4027" s="37"/>
      <c r="D4027" s="37"/>
      <c r="E4027" s="37"/>
      <c r="F4027" s="37"/>
      <c r="J4027" s="25"/>
      <c r="K4027" s="25"/>
      <c r="L4027" s="25"/>
      <c r="M4027" s="25"/>
      <c r="N4027" s="25"/>
      <c r="O4027" s="25"/>
    </row>
    <row r="4028" customFormat="false" ht="49.5" hidden="false" customHeight="true" outlineLevel="0" collapsed="false">
      <c r="B4028" s="37" t="str">
        <f aca="false">SUBSTITUTE(SUBSTITUTE(SUBSTITUTE(SUBSTITUTE(SUBSTITUTE(Txt_P2,"{cabinet}",Cab_Nom),"{societe}",IF($K$4006=0,"",INDEX(Clients!$E$2:$E$501,$K$4006)&amp;"")),"{date_effet}",$K$4008),"{hausse}",$K$4009),"{civilite}",$K$4007)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028" s="37"/>
      <c r="D4028" s="37"/>
      <c r="E4028" s="37"/>
      <c r="F4028" s="37"/>
      <c r="J4028" s="25"/>
      <c r="K4028" s="25"/>
      <c r="L4028" s="25"/>
      <c r="M4028" s="25"/>
      <c r="N4028" s="25"/>
      <c r="O4028" s="25"/>
    </row>
    <row r="4029" customFormat="false" ht="63" hidden="false" customHeight="true" outlineLevel="0" collapsed="false">
      <c r="B4029" s="37" t="str">
        <f aca="false">SUBSTITUTE(SUBSTITUTE(SUBSTITUTE(SUBSTITUTE(SUBSTITUTE(Txt_P3,"{cabinet}",Cab_Nom),"{societe}",IF($K$4006=0,"",INDEX(Clients!$E$2:$E$501,$K$4006)&amp;"")),"{date_effet}",$K$4008),"{hausse}",$K$4009),"{civilite}",$K$4007)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029" s="37"/>
      <c r="D4029" s="37"/>
      <c r="E4029" s="37"/>
      <c r="F4029" s="37"/>
      <c r="J4029" s="25"/>
      <c r="K4029" s="25"/>
      <c r="L4029" s="25"/>
      <c r="M4029" s="25"/>
      <c r="N4029" s="25"/>
      <c r="O4029" s="25"/>
    </row>
    <row r="4030" customFormat="false" ht="24" hidden="false" customHeight="true" outlineLevel="0" collapsed="false">
      <c r="B4030" s="37" t="str">
        <f aca="false">SUBSTITUTE(SUBSTITUTE(SUBSTITUTE(SUBSTITUTE(SUBSTITUTE(Txt_P4,"{cabinet}",Cab_Nom),"{societe}",IF($K$4006=0,"",INDEX(Clients!$E$2:$E$501,$K$4006)&amp;"")),"{date_effet}",$K$4008),"{hausse}",$K$4009),"{civilite}",$K$4007)</f>
        <v>À compter du 1er janvier 2027, vos honoraires annuels hors taxes évolueront ainsi (évolution globale : ) :</v>
      </c>
      <c r="C4030" s="37"/>
      <c r="D4030" s="37"/>
      <c r="E4030" s="37"/>
      <c r="F4030" s="37"/>
      <c r="J4030" s="25"/>
      <c r="K4030" s="25"/>
      <c r="L4030" s="25"/>
      <c r="M4030" s="25"/>
      <c r="N4030" s="25"/>
      <c r="O4030" s="25"/>
    </row>
    <row r="4031" customFormat="false" ht="3.75" hidden="false" customHeight="true" outlineLevel="0" collapsed="false">
      <c r="B4031" s="10"/>
      <c r="C4031" s="10"/>
      <c r="D4031" s="10"/>
      <c r="E4031" s="10"/>
      <c r="F4031" s="10"/>
      <c r="J4031" s="25"/>
      <c r="K4031" s="25"/>
      <c r="L4031" s="25"/>
      <c r="M4031" s="25"/>
      <c r="N4031" s="25"/>
      <c r="O4031" s="25"/>
    </row>
    <row r="4032" customFormat="false" ht="18" hidden="false" customHeight="true" outlineLevel="0" collapsed="false">
      <c r="B4032" s="38" t="s">
        <v>148</v>
      </c>
      <c r="C4032" s="39" t="s">
        <v>149</v>
      </c>
      <c r="D4032" s="39" t="s">
        <v>150</v>
      </c>
      <c r="E4032" s="39" t="s">
        <v>151</v>
      </c>
      <c r="F4032" s="39" t="s">
        <v>109</v>
      </c>
      <c r="J4032" s="25" t="s">
        <v>152</v>
      </c>
      <c r="K4032" s="25" t="s">
        <v>153</v>
      </c>
      <c r="L4032" s="25" t="s">
        <v>154</v>
      </c>
      <c r="M4032" s="25" t="s">
        <v>155</v>
      </c>
      <c r="N4032" s="25" t="s">
        <v>156</v>
      </c>
      <c r="O4032" s="25" t="s">
        <v>157</v>
      </c>
    </row>
    <row r="4033" customFormat="false" ht="16.5" hidden="false" customHeight="true" outlineLevel="0" collapsed="false">
      <c r="B4033" s="40" t="str">
        <f aca="false">IFERROR(INDEX($J$4033:$J$4036,MATCH($O4033,$N$4033:$N$4036,0)),"")</f>
        <v/>
      </c>
      <c r="C4033" s="41" t="str">
        <f aca="false">IFERROR(INDEX($K$4033:$K$4036,MATCH($O4033,$N$4033:$N$4036,0)),"")</f>
        <v/>
      </c>
      <c r="D4033" s="42" t="str">
        <f aca="false">IF(OR(E4033="",N(C4033)=0),"",E4033/C4033-1)</f>
        <v/>
      </c>
      <c r="E4033" s="41" t="str">
        <f aca="false">IFERROR(INDEX($L$4033:$L$4036,MATCH($O4033,$N$4033:$N$4036,0)),"")</f>
        <v/>
      </c>
      <c r="F4033" s="41" t="str">
        <f aca="false">IF(E4033="","",E4033-C4033)</f>
        <v/>
      </c>
      <c r="J4033" s="25" t="str">
        <f aca="false">Lib_Compta</f>
        <v>Mission comptable (tenue, révision, bilan, liasse fiscale)</v>
      </c>
      <c r="K4033" s="25" t="n">
        <f aca="false">IF($K$4006=0,0,N(INDEX(Clients!$K$2:$K$501,$K$4006)))</f>
        <v>0</v>
      </c>
      <c r="L4033" s="25" t="n">
        <f aca="false">IF($K$4006=0,0,N(INDEX(Clients!$P$2:$P$501,$K$4006)))</f>
        <v>0</v>
      </c>
      <c r="M4033" s="25" t="n">
        <f aca="false">IF(OR(K4033&lt;&gt;0,L4033&lt;&gt;0),1,0)</f>
        <v>0</v>
      </c>
      <c r="N4033" s="25" t="str">
        <f aca="false">IF(M4033=1,SUM($M$4033:M4033),"")</f>
        <v/>
      </c>
      <c r="O4033" s="25" t="n">
        <v>1</v>
      </c>
    </row>
    <row r="4034" customFormat="false" ht="16.5" hidden="false" customHeight="true" outlineLevel="0" collapsed="false">
      <c r="B4034" s="40" t="str">
        <f aca="false">IFERROR(INDEX($J$4033:$J$4036,MATCH($O4034,$N$4033:$N$4036,0)),"")</f>
        <v/>
      </c>
      <c r="C4034" s="41" t="str">
        <f aca="false">IFERROR(INDEX($K$4033:$K$4036,MATCH($O4034,$N$4033:$N$4036,0)),"")</f>
        <v/>
      </c>
      <c r="D4034" s="42" t="str">
        <f aca="false">IF(OR(E4034="",N(C4034)=0),"",E4034/C4034-1)</f>
        <v/>
      </c>
      <c r="E4034" s="41" t="str">
        <f aca="false">IFERROR(INDEX($L$4033:$L$4036,MATCH($O4034,$N$4033:$N$4036,0)),"")</f>
        <v/>
      </c>
      <c r="F4034" s="41" t="str">
        <f aca="false">IF(E4034="","",E4034-C4034)</f>
        <v/>
      </c>
      <c r="J4034" s="25" t="str">
        <f aca="false">Lib_Paye</f>
        <v>Mission sociale (bulletins de paie, DSN, déclarations sociales)</v>
      </c>
      <c r="K4034" s="25" t="n">
        <f aca="false">IF($K$4006=0,0,N(INDEX(Clients!$L$2:$L$501,$K$4006)))</f>
        <v>0</v>
      </c>
      <c r="L4034" s="25" t="n">
        <f aca="false">IF($K$4006=0,0,N(INDEX(Clients!$Q$2:$Q$501,$K$4006)))</f>
        <v>0</v>
      </c>
      <c r="M4034" s="25" t="n">
        <f aca="false">IF(OR(K4034&lt;&gt;0,L4034&lt;&gt;0),1,0)</f>
        <v>0</v>
      </c>
      <c r="N4034" s="25" t="str">
        <f aca="false">IF(M4034=1,SUM($M$4033:M4034),"")</f>
        <v/>
      </c>
      <c r="O4034" s="25" t="n">
        <v>2</v>
      </c>
    </row>
    <row r="4035" customFormat="false" ht="16.5" hidden="false" customHeight="true" outlineLevel="0" collapsed="false">
      <c r="B4035" s="40" t="str">
        <f aca="false">IFERROR(INDEX($J$4033:$J$4036,MATCH($O4035,$N$4033:$N$4036,0)),"")</f>
        <v/>
      </c>
      <c r="C4035" s="41" t="str">
        <f aca="false">IFERROR(INDEX($K$4033:$K$4036,MATCH($O4035,$N$4033:$N$4036,0)),"")</f>
        <v/>
      </c>
      <c r="D4035" s="42" t="str">
        <f aca="false">IF(OR(E4035="",N(C4035)=0),"",E4035/C4035-1)</f>
        <v/>
      </c>
      <c r="E4035" s="41" t="str">
        <f aca="false">IFERROR(INDEX($L$4033:$L$4036,MATCH($O4035,$N$4033:$N$4036,0)),"")</f>
        <v/>
      </c>
      <c r="F4035" s="41" t="str">
        <f aca="false">IF(E4035="","",E4035-C4035)</f>
        <v/>
      </c>
      <c r="J4035" s="25" t="str">
        <f aca="false">Lib_Jur</f>
        <v>Mission juridique (approbation des comptes, secrétariat juridique)</v>
      </c>
      <c r="K4035" s="25" t="n">
        <f aca="false">IF($K$4006=0,0,N(INDEX(Clients!$M$2:$M$501,$K$4006)))</f>
        <v>0</v>
      </c>
      <c r="L4035" s="25" t="n">
        <f aca="false">IF($K$4006=0,0,N(INDEX(Clients!$R$2:$R$501,$K$4006)))</f>
        <v>0</v>
      </c>
      <c r="M4035" s="25" t="n">
        <f aca="false">IF(OR(K4035&lt;&gt;0,L4035&lt;&gt;0),1,0)</f>
        <v>0</v>
      </c>
      <c r="N4035" s="25" t="str">
        <f aca="false">IF(M4035=1,SUM($M$4033:M4035),"")</f>
        <v/>
      </c>
      <c r="O4035" s="25" t="n">
        <v>3</v>
      </c>
    </row>
    <row r="4036" customFormat="false" ht="16.5" hidden="false" customHeight="true" outlineLevel="0" collapsed="false">
      <c r="B4036" s="40" t="str">
        <f aca="false">IFERROR(INDEX($J$4033:$J$4036,MATCH($O4036,$N$4033:$N$4036,0)),"")</f>
        <v/>
      </c>
      <c r="C4036" s="41" t="str">
        <f aca="false">IFERROR(INDEX($K$4033:$K$4036,MATCH($O4036,$N$4033:$N$4036,0)),"")</f>
        <v/>
      </c>
      <c r="D4036" s="42" t="str">
        <f aca="false">IF(OR(E4036="",N(C4036)=0),"",E4036/C4036-1)</f>
        <v/>
      </c>
      <c r="E4036" s="41" t="str">
        <f aca="false">IFERROR(INDEX($L$4033:$L$4036,MATCH($O4036,$N$4033:$N$4036,0)),"")</f>
        <v/>
      </c>
      <c r="F4036" s="41" t="str">
        <f aca="false">IF(E4036="","",E4036-C4036)</f>
        <v/>
      </c>
      <c r="J4036" s="25" t="str">
        <f aca="false">Lib_PA</f>
        <v>Plateforme agréée – facturation électronique</v>
      </c>
      <c r="K4036" s="25" t="n">
        <f aca="false">IF($K$4006=0,0,N(INDEX(Clients!$N$2:$N$501,$K$4006)))</f>
        <v>0</v>
      </c>
      <c r="L4036" s="25" t="n">
        <f aca="false">IF($K$4006=0,0,N(INDEX(Clients!$S$2:$S$501,$K$4006)))</f>
        <v>0</v>
      </c>
      <c r="M4036" s="25" t="n">
        <f aca="false">IF(OR(K4036&lt;&gt;0,L4036&lt;&gt;0),1,0)</f>
        <v>0</v>
      </c>
      <c r="N4036" s="25" t="str">
        <f aca="false">IF(M4036=1,SUM($M$4033:M4036),"")</f>
        <v/>
      </c>
      <c r="O4036" s="25" t="n">
        <v>4</v>
      </c>
    </row>
    <row r="4037" customFormat="false" ht="18" hidden="false" customHeight="true" outlineLevel="0" collapsed="false">
      <c r="B4037" s="43" t="s">
        <v>158</v>
      </c>
      <c r="C4037" s="44" t="n">
        <f aca="false">SUM(K4033:K4036)</f>
        <v>0</v>
      </c>
      <c r="D4037" s="45" t="str">
        <f aca="false">IF(N(C4037)=0,"",E4037/C4037-1)</f>
        <v/>
      </c>
      <c r="E4037" s="44" t="n">
        <f aca="false">SUM(L4033:L4036)</f>
        <v>0</v>
      </c>
      <c r="F4037" s="44" t="n">
        <f aca="false">E4037-C4037</f>
        <v>0</v>
      </c>
    </row>
    <row r="4038" customFormat="false" ht="15" hidden="false" customHeight="false" outlineLevel="0" collapsed="false">
      <c r="B4038" s="46" t="str">
        <f aca="false">IF(N(Nb_Mensualites)=0,"","Soit "&amp;FIXED(E4037/Nb_Mensualites,2)&amp;" € HT par échéance ("&amp;Nb_Mensualites&amp;" échéances), "&amp;FIXED(E4037/Nb_Mensualites*(1+Taux_TVA),2)&amp;" € TTC.")</f>
        <v>Soit 0.00 € HT par échéance (12 échéances), 0.00 € TTC.</v>
      </c>
      <c r="C4038" s="46"/>
      <c r="D4038" s="46"/>
      <c r="E4038" s="46"/>
      <c r="F4038" s="46"/>
    </row>
    <row r="4039" customFormat="false" ht="7.5" hidden="false" customHeight="true" outlineLevel="0" collapsed="false">
      <c r="B4039" s="10"/>
      <c r="C4039" s="10"/>
      <c r="D4039" s="10"/>
      <c r="E4039" s="10"/>
      <c r="F4039" s="10"/>
    </row>
    <row r="4040" customFormat="false" ht="36.75" hidden="false" customHeight="true" outlineLevel="0" collapsed="false">
      <c r="B4040" s="37" t="str">
        <f aca="false">SUBSTITUTE(SUBSTITUTE(SUBSTITUTE(SUBSTITUTE(SUBSTITUTE(Txt_P5,"{cabinet}",Cab_Nom),"{societe}",IF($K$4006=0,"",INDEX(Clients!$E$2:$E$501,$K$4006)&amp;"")),"{date_effet}",$K$4008),"{hausse}",$K$4009),"{civilite}",$K$4007)</f>
        <v>Les autres conditions de votre lettre de mission demeurent inchangées. Les nouveaux montants seront appliqués automatiquement sur vos prochaines factures et échéances de prélèvement.</v>
      </c>
      <c r="C4040" s="37"/>
      <c r="D4040" s="37"/>
      <c r="E4040" s="37"/>
      <c r="F4040" s="37"/>
    </row>
    <row r="4041" customFormat="false" ht="36.75" hidden="false" customHeight="true" outlineLevel="0" collapsed="false">
      <c r="B4041" s="37" t="str">
        <f aca="false">SUBSTITUTE(SUBSTITUTE(SUBSTITUTE(SUBSTITUTE(SUBSTITUTE(Txt_P6,"{cabinet}",Cab_Nom),"{societe}",IF($K$4006=0,"",INDEX(Clients!$E$2:$E$501,$K$4006)&amp;"")),"{date_effet}",$K$4008),"{hausse}",$K$4009),"{civilite}",$K$4007)</f>
        <v>Votre interlocuteur habituel reste à votre entière disposition pour répondre à vos questions et faire le point sur l'évolution de vos besoins.</v>
      </c>
      <c r="C4041" s="37"/>
      <c r="D4041" s="37"/>
      <c r="E4041" s="37"/>
      <c r="F4041" s="37"/>
    </row>
    <row r="4042" customFormat="false" ht="24" hidden="false" customHeight="true" outlineLevel="0" collapsed="false">
      <c r="B4042" s="37" t="str">
        <f aca="false">SUBSTITUTE(SUBSTITUTE(SUBSTITUTE(SUBSTITUTE(SUBSTITUTE(Txt_Politesse,"{cabinet}",Cab_Nom),"{societe}",IF($K$4006=0,"",INDEX(Clients!$E$2:$E$501,$K$4006)&amp;"")),"{date_effet}",$K$4008),"{hausse}",$K$4009),"{civilite}",$K$4007)</f>
        <v>Nous vous prions d'agréer, Madame, Monsieur, l'expression de nos salutations distinguées.</v>
      </c>
      <c r="C4042" s="37"/>
      <c r="D4042" s="37"/>
      <c r="E4042" s="37"/>
      <c r="F4042" s="37"/>
    </row>
    <row r="4043" customFormat="false" ht="15" hidden="false" customHeight="false" outlineLevel="0" collapsed="false">
      <c r="B4043" s="10"/>
      <c r="C4043" s="10"/>
      <c r="D4043" s="10"/>
      <c r="E4043" s="10"/>
      <c r="F4043" s="10"/>
    </row>
    <row r="4044" customFormat="false" ht="15" hidden="false" customHeight="false" outlineLevel="0" collapsed="false">
      <c r="B4044" s="10"/>
      <c r="C4044" s="10"/>
      <c r="D4044" s="34" t="str">
        <f aca="false">Signataire</f>
        <v>Prénom NOM</v>
      </c>
      <c r="E4044" s="34"/>
      <c r="F4044" s="34"/>
    </row>
    <row r="4045" customFormat="false" ht="15" hidden="false" customHeight="false" outlineLevel="0" collapsed="false">
      <c r="B4045" s="10"/>
      <c r="C4045" s="10"/>
      <c r="D4045" s="47" t="str">
        <f aca="false">Signataire_Titre</f>
        <v>Expert-comptable associé</v>
      </c>
      <c r="E4045" s="47"/>
      <c r="F4045" s="47"/>
    </row>
    <row r="4046" customFormat="false" ht="15.75" hidden="false" customHeight="true" outlineLevel="0" collapsed="false">
      <c r="B4046" s="10"/>
      <c r="C4046" s="10"/>
      <c r="D4046" s="10"/>
      <c r="E4046" s="10"/>
      <c r="F4046" s="10"/>
    </row>
    <row r="4047" customFormat="false" ht="15.75" hidden="false" customHeight="true" outlineLevel="0" collapsed="false">
      <c r="B4047" s="10"/>
      <c r="C4047" s="10"/>
      <c r="D4047" s="10"/>
      <c r="E4047" s="10"/>
      <c r="F4047" s="10"/>
    </row>
    <row r="4048" customFormat="false" ht="15.75" hidden="false" customHeight="true" outlineLevel="0" collapsed="false">
      <c r="B4048" s="10"/>
      <c r="C4048" s="10"/>
      <c r="D4048" s="10"/>
      <c r="E4048" s="10"/>
      <c r="F4048" s="10"/>
    </row>
    <row r="4049" customFormat="false" ht="15.75" hidden="false" customHeight="true" outlineLevel="0" collapsed="false">
      <c r="B4049" s="10"/>
      <c r="C4049" s="10"/>
      <c r="D4049" s="10"/>
      <c r="E4049" s="10"/>
      <c r="F4049" s="10"/>
    </row>
    <row r="4050" customFormat="false" ht="24" hidden="false" customHeight="true" outlineLevel="0" collapsed="false">
      <c r="B4050" s="48" t="str">
        <f aca="false">Cab_Mentions</f>
        <v>ALTHO EXPERTISE · SAS au capital de 10 000 € · RCS Pontoise 919 706 325 · TVA FR62919706325 · Société d'expertise comptable inscrite au Tableau de l'Ordre des experts-comptables de Paris Île-de-France</v>
      </c>
      <c r="C4050" s="48"/>
      <c r="D4050" s="48"/>
      <c r="E4050" s="48"/>
      <c r="F4050" s="48"/>
    </row>
    <row r="4051" customFormat="false" ht="15" hidden="false" customHeight="false" outlineLevel="0" collapsed="false">
      <c r="B4051" s="10"/>
      <c r="C4051" s="10"/>
      <c r="D4051" s="10"/>
      <c r="E4051" s="10"/>
      <c r="F4051" s="10"/>
      <c r="J4051" s="25" t="s">
        <v>142</v>
      </c>
      <c r="K4051" s="25" t="n">
        <f aca="false">IFERROR(MATCH(91,Clients!$Z$2:$Z$501,0),0)</f>
        <v>0</v>
      </c>
      <c r="L4051" s="25"/>
      <c r="M4051" s="25"/>
      <c r="N4051" s="25"/>
      <c r="O4051" s="25"/>
    </row>
    <row r="4052" customFormat="false" ht="21.75" hidden="false" customHeight="true" outlineLevel="0" collapsed="false">
      <c r="B4052" s="26" t="str">
        <f aca="false">Cab_Nom</f>
        <v>ALTHO EXPERTISE</v>
      </c>
      <c r="C4052" s="26"/>
      <c r="D4052" s="10"/>
      <c r="E4052" s="27" t="str">
        <f aca="false">IF($K$4051=0,"","Réf. client : "&amp;INDEX(Clients!$A$2:$A$501,$K$4051))</f>
        <v/>
      </c>
      <c r="F4052" s="27"/>
      <c r="J4052" s="25" t="s">
        <v>144</v>
      </c>
      <c r="K4052" s="25" t="str">
        <f aca="false">IF(IF($K$4051=0,"",INDEX(Clients!$B$2:$B$501,$K$4051)&amp;"")="Mme","Madame",IF(IF($K$4051=0,"",INDEX(Clients!$B$2:$B$501,$K$4051)&amp;"")="M.","Monsieur","Madame, Monsieur"))</f>
        <v>Madame, Monsieur</v>
      </c>
      <c r="L4052" s="25"/>
      <c r="M4052" s="25"/>
      <c r="N4052" s="25"/>
      <c r="O4052" s="25"/>
    </row>
    <row r="4053" customFormat="false" ht="15" hidden="false" customHeight="false" outlineLevel="0" collapsed="false">
      <c r="B4053" s="29" t="str">
        <f aca="false">Cab_Adr1</f>
        <v>141 rue Charles de Gaulle</v>
      </c>
      <c r="C4053" s="29"/>
      <c r="D4053" s="10"/>
      <c r="E4053" s="10"/>
      <c r="F4053" s="10"/>
      <c r="J4053" s="25" t="s">
        <v>145</v>
      </c>
      <c r="K4053" s="25" t="str">
        <f aca="false">DAY(Date_Effet)&amp;IF(DAY(Date_Effet)=1,"er","")&amp;" "&amp;INDEX(Liste_Mois,MONTH(Date_Effet))&amp;" "&amp;YEAR(Date_Effet)</f>
        <v>1er janvier 2027</v>
      </c>
      <c r="L4053" s="25"/>
      <c r="M4053" s="25"/>
      <c r="N4053" s="25"/>
      <c r="O4053" s="25"/>
    </row>
    <row r="4054" customFormat="false" ht="15" hidden="false" customHeight="false" outlineLevel="0" collapsed="false">
      <c r="B4054" s="29" t="str">
        <f aca="false">Cab_CPVille</f>
        <v>95130 LE PLESSIS-BOUCHARD</v>
      </c>
      <c r="C4054" s="29"/>
      <c r="D4054" s="10"/>
      <c r="E4054" s="10"/>
      <c r="F4054" s="10"/>
      <c r="J4054" s="25" t="s">
        <v>146</v>
      </c>
      <c r="K4054" s="25" t="str">
        <f aca="false">IF(SUM($K$4078:$K$4081)=0,"",FIXED((SUM($L$4078:$L$4081)/SUM($K$4078:$K$4081)-1)*100,1)&amp;" %")</f>
        <v/>
      </c>
      <c r="L4054" s="25"/>
      <c r="M4054" s="25"/>
      <c r="N4054" s="25"/>
      <c r="O4054" s="25"/>
    </row>
    <row r="4055" customFormat="false" ht="15" hidden="false" customHeight="false" outlineLevel="0" collapsed="false">
      <c r="B4055" s="29" t="str">
        <f aca="false">Cab_Contact</f>
        <v>Tél. 01 34 14 53 45  ·  altho@altho-experts.com  ·  altho-experts.com</v>
      </c>
      <c r="C4055" s="29"/>
      <c r="D4055" s="10"/>
      <c r="E4055" s="10"/>
      <c r="F4055" s="10"/>
      <c r="J4055" s="25"/>
      <c r="K4055" s="25"/>
      <c r="L4055" s="25"/>
      <c r="M4055" s="25"/>
      <c r="N4055" s="25"/>
      <c r="O4055" s="25"/>
    </row>
    <row r="4056" customFormat="false" ht="6" hidden="false" customHeight="true" outlineLevel="0" collapsed="false">
      <c r="B4056" s="32"/>
      <c r="C4056" s="32"/>
      <c r="D4056" s="32"/>
      <c r="E4056" s="32"/>
      <c r="F4056" s="32"/>
      <c r="J4056" s="25"/>
      <c r="K4056" s="25"/>
      <c r="L4056" s="25"/>
      <c r="M4056" s="25"/>
      <c r="N4056" s="25"/>
      <c r="O4056" s="25"/>
    </row>
    <row r="4057" customFormat="false" ht="13.5" hidden="false" customHeight="true" outlineLevel="0" collapsed="false">
      <c r="B4057" s="10"/>
      <c r="C4057" s="10"/>
      <c r="D4057" s="10"/>
      <c r="E4057" s="10"/>
      <c r="F4057" s="10"/>
      <c r="J4057" s="25"/>
      <c r="K4057" s="25"/>
      <c r="L4057" s="25"/>
      <c r="M4057" s="25"/>
      <c r="N4057" s="25"/>
      <c r="O4057" s="25"/>
    </row>
    <row r="4058" customFormat="false" ht="13.5" hidden="false" customHeight="true" outlineLevel="0" collapsed="false">
      <c r="B4058" s="10"/>
      <c r="C4058" s="10"/>
      <c r="D4058" s="10"/>
      <c r="E4058" s="10"/>
      <c r="F4058" s="10"/>
      <c r="J4058" s="25"/>
      <c r="K4058" s="25"/>
      <c r="L4058" s="25"/>
      <c r="M4058" s="25"/>
      <c r="N4058" s="25"/>
      <c r="O4058" s="25"/>
    </row>
    <row r="4059" customFormat="false" ht="13.5" hidden="false" customHeight="true" outlineLevel="0" collapsed="false">
      <c r="B4059" s="10"/>
      <c r="C4059" s="10"/>
      <c r="D4059" s="10"/>
      <c r="E4059" s="10"/>
      <c r="F4059" s="10"/>
      <c r="J4059" s="25"/>
      <c r="K4059" s="25"/>
      <c r="L4059" s="25"/>
      <c r="M4059" s="25"/>
      <c r="N4059" s="25"/>
      <c r="O4059" s="25"/>
    </row>
    <row r="4060" customFormat="false" ht="15" hidden="false" customHeight="true" outlineLevel="0" collapsed="false">
      <c r="B4060" s="10"/>
      <c r="C4060" s="10"/>
      <c r="D4060" s="34" t="str">
        <f aca="false">IF($K$4051=0,"",INDEX(Clients!$E$2:$E$501,$K$4051)&amp;"")</f>
        <v/>
      </c>
      <c r="E4060" s="34"/>
      <c r="F4060" s="34"/>
      <c r="J4060" s="25"/>
      <c r="K4060" s="25"/>
      <c r="L4060" s="25"/>
      <c r="M4060" s="25"/>
      <c r="N4060" s="25"/>
      <c r="O4060" s="25"/>
    </row>
    <row r="4061" customFormat="false" ht="15" hidden="false" customHeight="true" outlineLevel="0" collapsed="false">
      <c r="B4061" s="10"/>
      <c r="C4061" s="10"/>
      <c r="D4061" s="35" t="str">
        <f aca="false">IF(IF($K$4051=0,"",INDEX(Clients!$D$2:$D$501,$K$4051)&amp;"")="","","À l'attention de "&amp;TRIM(IF($K$4051=0,"",INDEX(Clients!$B$2:$B$501,$K$4051)&amp;"")&amp;" "&amp;IF($K$4051=0,"",INDEX(Clients!$C$2:$C$501,$K$4051)&amp;"")&amp;" "&amp;IF($K$4051=0,"",INDEX(Clients!$D$2:$D$501,$K$4051)&amp;"")))</f>
        <v/>
      </c>
      <c r="E4061" s="35"/>
      <c r="F4061" s="35"/>
      <c r="J4061" s="25"/>
      <c r="K4061" s="25"/>
      <c r="L4061" s="25"/>
      <c r="M4061" s="25"/>
      <c r="N4061" s="25"/>
      <c r="O4061" s="25"/>
    </row>
    <row r="4062" customFormat="false" ht="15" hidden="false" customHeight="true" outlineLevel="0" collapsed="false">
      <c r="B4062" s="10"/>
      <c r="C4062" s="10"/>
      <c r="D4062" s="35" t="str">
        <f aca="false">IF($K$4051=0,"",INDEX(Clients!$F$2:$F$501,$K$4051)&amp;"")</f>
        <v/>
      </c>
      <c r="E4062" s="35"/>
      <c r="F4062" s="35"/>
      <c r="J4062" s="25"/>
      <c r="K4062" s="25"/>
      <c r="L4062" s="25"/>
      <c r="M4062" s="25"/>
      <c r="N4062" s="25"/>
      <c r="O4062" s="25"/>
    </row>
    <row r="4063" customFormat="false" ht="15" hidden="false" customHeight="true" outlineLevel="0" collapsed="false">
      <c r="B4063" s="10"/>
      <c r="C4063" s="10"/>
      <c r="D4063" s="35" t="str">
        <f aca="false">IF(IF($K$4051=0,"",INDEX(Clients!$G$2:$G$501,$K$4051)&amp;"")="",TRIM(IF($K$4051=0,"",INDEX(Clients!$H$2:$H$501,$K$4051)&amp;"")&amp;" "&amp;UPPER(IF($K$4051=0,"",INDEX(Clients!$I$2:$I$501,$K$4051)&amp;""))),IF($K$4051=0,"",INDEX(Clients!$G$2:$G$501,$K$4051)&amp;""))</f>
        <v/>
      </c>
      <c r="E4063" s="35"/>
      <c r="F4063" s="35"/>
      <c r="J4063" s="25"/>
      <c r="K4063" s="25"/>
      <c r="L4063" s="25"/>
      <c r="M4063" s="25"/>
      <c r="N4063" s="25"/>
      <c r="O4063" s="25"/>
    </row>
    <row r="4064" customFormat="false" ht="15" hidden="false" customHeight="true" outlineLevel="0" collapsed="false">
      <c r="B4064" s="10"/>
      <c r="C4064" s="10"/>
      <c r="D4064" s="35" t="str">
        <f aca="false">IF(IF($K$4051=0,"",INDEX(Clients!$G$2:$G$501,$K$4051)&amp;"")="","",TRIM(IF($K$4051=0,"",INDEX(Clients!$H$2:$H$501,$K$4051)&amp;"")&amp;" "&amp;UPPER(IF($K$4051=0,"",INDEX(Clients!$I$2:$I$501,$K$4051)&amp;""))))</f>
        <v/>
      </c>
      <c r="E4064" s="35"/>
      <c r="F4064" s="35"/>
      <c r="J4064" s="25"/>
      <c r="K4064" s="25"/>
      <c r="L4064" s="25"/>
      <c r="M4064" s="25"/>
      <c r="N4064" s="25"/>
      <c r="O4064" s="25"/>
    </row>
    <row r="4065" customFormat="false" ht="25.5" hidden="false" customHeight="true" outlineLevel="0" collapsed="false">
      <c r="B4065" s="10"/>
      <c r="C4065" s="10"/>
      <c r="D4065" s="10"/>
      <c r="E4065" s="10"/>
      <c r="F4065" s="10"/>
      <c r="J4065" s="25"/>
      <c r="K4065" s="25"/>
      <c r="L4065" s="25"/>
      <c r="M4065" s="25"/>
      <c r="N4065" s="25"/>
      <c r="O4065" s="25"/>
    </row>
    <row r="4066" customFormat="false" ht="15" hidden="false" customHeight="false" outlineLevel="0" collapsed="false">
      <c r="B4066" s="10"/>
      <c r="C4066" s="10"/>
      <c r="D4066" s="36" t="str">
        <f aca="false">Cab_Ville&amp;", le "&amp;DAY(Date_Courrier)&amp;IF(DAY(Date_Courrier)=1,"er","")&amp;" "&amp;INDEX(Liste_Mois,MONTH(Date_Courrier))&amp;" "&amp;YEAR(Date_Courrier)</f>
        <v>Le Plessis-Bouchard, le 22 septembre 2026</v>
      </c>
      <c r="E4066" s="36"/>
      <c r="F4066" s="36"/>
      <c r="J4066" s="25"/>
      <c r="K4066" s="25"/>
      <c r="L4066" s="25"/>
      <c r="M4066" s="25"/>
      <c r="N4066" s="25"/>
      <c r="O4066" s="25"/>
    </row>
    <row r="4067" customFormat="false" ht="19.5" hidden="false" customHeight="true" outlineLevel="0" collapsed="false">
      <c r="B4067" s="10"/>
      <c r="C4067" s="10"/>
      <c r="D4067" s="10"/>
      <c r="E4067" s="10"/>
      <c r="F4067" s="10"/>
      <c r="J4067" s="25"/>
      <c r="K4067" s="25"/>
      <c r="L4067" s="25"/>
      <c r="M4067" s="25"/>
      <c r="N4067" s="25"/>
      <c r="O4067" s="25"/>
    </row>
    <row r="4068" customFormat="false" ht="15" hidden="false" customHeight="false" outlineLevel="0" collapsed="false">
      <c r="B4068" s="34" t="str">
        <f aca="false">SUBSTITUTE(SUBSTITUTE(SUBSTITUTE(SUBSTITUTE(SUBSTITUTE(Txt_Objet,"{cabinet}",Cab_Nom),"{societe}",IF($K$4051=0,"",INDEX(Clients!$E$2:$E$501,$K$4051)&amp;"")),"{date_effet}",$K$4053),"{hausse}",$K$4054),"{civilite}",$K$4052)</f>
        <v>Objet : révision de nos honoraires au 1er janvier 2027</v>
      </c>
      <c r="C4068" s="34"/>
      <c r="D4068" s="34"/>
      <c r="E4068" s="34"/>
      <c r="F4068" s="34"/>
      <c r="J4068" s="25"/>
      <c r="K4068" s="25"/>
      <c r="L4068" s="25"/>
      <c r="M4068" s="25"/>
      <c r="N4068" s="25"/>
      <c r="O4068" s="25"/>
    </row>
    <row r="4069" customFormat="false" ht="13.5" hidden="false" customHeight="true" outlineLevel="0" collapsed="false">
      <c r="B4069" s="10"/>
      <c r="C4069" s="10"/>
      <c r="D4069" s="10"/>
      <c r="E4069" s="10"/>
      <c r="F4069" s="10"/>
      <c r="J4069" s="25"/>
      <c r="K4069" s="25"/>
      <c r="L4069" s="25"/>
      <c r="M4069" s="25"/>
      <c r="N4069" s="25"/>
      <c r="O4069" s="25"/>
    </row>
    <row r="4070" customFormat="false" ht="15" hidden="false" customHeight="false" outlineLevel="0" collapsed="false">
      <c r="B4070" s="10" t="str">
        <f aca="false">$K$4052&amp;","</f>
        <v>Madame, Monsieur,</v>
      </c>
      <c r="C4070" s="10"/>
      <c r="D4070" s="10"/>
      <c r="E4070" s="10"/>
      <c r="F4070" s="10"/>
      <c r="J4070" s="25"/>
      <c r="K4070" s="25"/>
      <c r="L4070" s="25"/>
      <c r="M4070" s="25"/>
      <c r="N4070" s="25"/>
      <c r="O4070" s="25"/>
    </row>
    <row r="4071" customFormat="false" ht="6" hidden="false" customHeight="true" outlineLevel="0" collapsed="false">
      <c r="B4071" s="10"/>
      <c r="C4071" s="10"/>
      <c r="D4071" s="10"/>
      <c r="E4071" s="10"/>
      <c r="F4071" s="10"/>
      <c r="J4071" s="25"/>
      <c r="K4071" s="25"/>
      <c r="L4071" s="25"/>
      <c r="M4071" s="25"/>
      <c r="N4071" s="25"/>
      <c r="O4071" s="25"/>
    </row>
    <row r="4072" customFormat="false" ht="36.75" hidden="false" customHeight="true" outlineLevel="0" collapsed="false">
      <c r="B4072" s="37" t="str">
        <f aca="false">SUBSTITUTE(SUBSTITUTE(SUBSTITUTE(SUBSTITUTE(SUBSTITUTE(Txt_P1,"{cabinet}",Cab_Nom),"{societe}",IF($K$4051=0,"",INDEX(Clients!$E$2:$E$501,$K$4051)&amp;"")),"{date_effet}",$K$4053),"{hausse}",$K$4054),"{civilite}",$K$4052)</f>
        <v>Nous tenons tout d'abord à vous remercier pour la confiance que vous accordez à ALTHO EXPERTISE. Comme chaque année, et conformément aux dispositions de votre lettre de mission, nous procédons à la révision de nos honoraires.</v>
      </c>
      <c r="C4072" s="37"/>
      <c r="D4072" s="37"/>
      <c r="E4072" s="37"/>
      <c r="F4072" s="37"/>
      <c r="J4072" s="25"/>
      <c r="K4072" s="25"/>
      <c r="L4072" s="25"/>
      <c r="M4072" s="25"/>
      <c r="N4072" s="25"/>
      <c r="O4072" s="25"/>
    </row>
    <row r="4073" customFormat="false" ht="49.5" hidden="false" customHeight="true" outlineLevel="0" collapsed="false">
      <c r="B4073" s="37" t="str">
        <f aca="false">SUBSTITUTE(SUBSTITUTE(SUBSTITUTE(SUBSTITUTE(SUBSTITUTE(Txt_P2,"{cabinet}",Cab_Nom),"{societe}",IF($K$4051=0,"",INDEX(Clients!$E$2:$E$501,$K$4051)&amp;"")),"{date_effet}",$K$4053),"{hausse}",$K$4054),"{civilite}",$K$4052)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073" s="37"/>
      <c r="D4073" s="37"/>
      <c r="E4073" s="37"/>
      <c r="F4073" s="37"/>
      <c r="J4073" s="25"/>
      <c r="K4073" s="25"/>
      <c r="L4073" s="25"/>
      <c r="M4073" s="25"/>
      <c r="N4073" s="25"/>
      <c r="O4073" s="25"/>
    </row>
    <row r="4074" customFormat="false" ht="63" hidden="false" customHeight="true" outlineLevel="0" collapsed="false">
      <c r="B4074" s="37" t="str">
        <f aca="false">SUBSTITUTE(SUBSTITUTE(SUBSTITUTE(SUBSTITUTE(SUBSTITUTE(Txt_P3,"{cabinet}",Cab_Nom),"{societe}",IF($K$4051=0,"",INDEX(Clients!$E$2:$E$501,$K$4051)&amp;"")),"{date_effet}",$K$4053),"{hausse}",$K$4054),"{civilite}",$K$4052)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074" s="37"/>
      <c r="D4074" s="37"/>
      <c r="E4074" s="37"/>
      <c r="F4074" s="37"/>
      <c r="J4074" s="25"/>
      <c r="K4074" s="25"/>
      <c r="L4074" s="25"/>
      <c r="M4074" s="25"/>
      <c r="N4074" s="25"/>
      <c r="O4074" s="25"/>
    </row>
    <row r="4075" customFormat="false" ht="24" hidden="false" customHeight="true" outlineLevel="0" collapsed="false">
      <c r="B4075" s="37" t="str">
        <f aca="false">SUBSTITUTE(SUBSTITUTE(SUBSTITUTE(SUBSTITUTE(SUBSTITUTE(Txt_P4,"{cabinet}",Cab_Nom),"{societe}",IF($K$4051=0,"",INDEX(Clients!$E$2:$E$501,$K$4051)&amp;"")),"{date_effet}",$K$4053),"{hausse}",$K$4054),"{civilite}",$K$4052)</f>
        <v>À compter du 1er janvier 2027, vos honoraires annuels hors taxes évolueront ainsi (évolution globale : ) :</v>
      </c>
      <c r="C4075" s="37"/>
      <c r="D4075" s="37"/>
      <c r="E4075" s="37"/>
      <c r="F4075" s="37"/>
      <c r="J4075" s="25"/>
      <c r="K4075" s="25"/>
      <c r="L4075" s="25"/>
      <c r="M4075" s="25"/>
      <c r="N4075" s="25"/>
      <c r="O4075" s="25"/>
    </row>
    <row r="4076" customFormat="false" ht="3.75" hidden="false" customHeight="true" outlineLevel="0" collapsed="false">
      <c r="B4076" s="10"/>
      <c r="C4076" s="10"/>
      <c r="D4076" s="10"/>
      <c r="E4076" s="10"/>
      <c r="F4076" s="10"/>
      <c r="J4076" s="25"/>
      <c r="K4076" s="25"/>
      <c r="L4076" s="25"/>
      <c r="M4076" s="25"/>
      <c r="N4076" s="25"/>
      <c r="O4076" s="25"/>
    </row>
    <row r="4077" customFormat="false" ht="18" hidden="false" customHeight="true" outlineLevel="0" collapsed="false">
      <c r="B4077" s="38" t="s">
        <v>148</v>
      </c>
      <c r="C4077" s="39" t="s">
        <v>149</v>
      </c>
      <c r="D4077" s="39" t="s">
        <v>150</v>
      </c>
      <c r="E4077" s="39" t="s">
        <v>151</v>
      </c>
      <c r="F4077" s="39" t="s">
        <v>109</v>
      </c>
      <c r="J4077" s="25" t="s">
        <v>152</v>
      </c>
      <c r="K4077" s="25" t="s">
        <v>153</v>
      </c>
      <c r="L4077" s="25" t="s">
        <v>154</v>
      </c>
      <c r="M4077" s="25" t="s">
        <v>155</v>
      </c>
      <c r="N4077" s="25" t="s">
        <v>156</v>
      </c>
      <c r="O4077" s="25" t="s">
        <v>157</v>
      </c>
    </row>
    <row r="4078" customFormat="false" ht="16.5" hidden="false" customHeight="true" outlineLevel="0" collapsed="false">
      <c r="B4078" s="40" t="str">
        <f aca="false">IFERROR(INDEX($J$4078:$J$4081,MATCH($O4078,$N$4078:$N$4081,0)),"")</f>
        <v/>
      </c>
      <c r="C4078" s="41" t="str">
        <f aca="false">IFERROR(INDEX($K$4078:$K$4081,MATCH($O4078,$N$4078:$N$4081,0)),"")</f>
        <v/>
      </c>
      <c r="D4078" s="42" t="str">
        <f aca="false">IF(OR(E4078="",N(C4078)=0),"",E4078/C4078-1)</f>
        <v/>
      </c>
      <c r="E4078" s="41" t="str">
        <f aca="false">IFERROR(INDEX($L$4078:$L$4081,MATCH($O4078,$N$4078:$N$4081,0)),"")</f>
        <v/>
      </c>
      <c r="F4078" s="41" t="str">
        <f aca="false">IF(E4078="","",E4078-C4078)</f>
        <v/>
      </c>
      <c r="J4078" s="25" t="str">
        <f aca="false">Lib_Compta</f>
        <v>Mission comptable (tenue, révision, bilan, liasse fiscale)</v>
      </c>
      <c r="K4078" s="25" t="n">
        <f aca="false">IF($K$4051=0,0,N(INDEX(Clients!$K$2:$K$501,$K$4051)))</f>
        <v>0</v>
      </c>
      <c r="L4078" s="25" t="n">
        <f aca="false">IF($K$4051=0,0,N(INDEX(Clients!$P$2:$P$501,$K$4051)))</f>
        <v>0</v>
      </c>
      <c r="M4078" s="25" t="n">
        <f aca="false">IF(OR(K4078&lt;&gt;0,L4078&lt;&gt;0),1,0)</f>
        <v>0</v>
      </c>
      <c r="N4078" s="25" t="str">
        <f aca="false">IF(M4078=1,SUM($M$4078:M4078),"")</f>
        <v/>
      </c>
      <c r="O4078" s="25" t="n">
        <v>1</v>
      </c>
    </row>
    <row r="4079" customFormat="false" ht="16.5" hidden="false" customHeight="true" outlineLevel="0" collapsed="false">
      <c r="B4079" s="40" t="str">
        <f aca="false">IFERROR(INDEX($J$4078:$J$4081,MATCH($O4079,$N$4078:$N$4081,0)),"")</f>
        <v/>
      </c>
      <c r="C4079" s="41" t="str">
        <f aca="false">IFERROR(INDEX($K$4078:$K$4081,MATCH($O4079,$N$4078:$N$4081,0)),"")</f>
        <v/>
      </c>
      <c r="D4079" s="42" t="str">
        <f aca="false">IF(OR(E4079="",N(C4079)=0),"",E4079/C4079-1)</f>
        <v/>
      </c>
      <c r="E4079" s="41" t="str">
        <f aca="false">IFERROR(INDEX($L$4078:$L$4081,MATCH($O4079,$N$4078:$N$4081,0)),"")</f>
        <v/>
      </c>
      <c r="F4079" s="41" t="str">
        <f aca="false">IF(E4079="","",E4079-C4079)</f>
        <v/>
      </c>
      <c r="J4079" s="25" t="str">
        <f aca="false">Lib_Paye</f>
        <v>Mission sociale (bulletins de paie, DSN, déclarations sociales)</v>
      </c>
      <c r="K4079" s="25" t="n">
        <f aca="false">IF($K$4051=0,0,N(INDEX(Clients!$L$2:$L$501,$K$4051)))</f>
        <v>0</v>
      </c>
      <c r="L4079" s="25" t="n">
        <f aca="false">IF($K$4051=0,0,N(INDEX(Clients!$Q$2:$Q$501,$K$4051)))</f>
        <v>0</v>
      </c>
      <c r="M4079" s="25" t="n">
        <f aca="false">IF(OR(K4079&lt;&gt;0,L4079&lt;&gt;0),1,0)</f>
        <v>0</v>
      </c>
      <c r="N4079" s="25" t="str">
        <f aca="false">IF(M4079=1,SUM($M$4078:M4079),"")</f>
        <v/>
      </c>
      <c r="O4079" s="25" t="n">
        <v>2</v>
      </c>
    </row>
    <row r="4080" customFormat="false" ht="16.5" hidden="false" customHeight="true" outlineLevel="0" collapsed="false">
      <c r="B4080" s="40" t="str">
        <f aca="false">IFERROR(INDEX($J$4078:$J$4081,MATCH($O4080,$N$4078:$N$4081,0)),"")</f>
        <v/>
      </c>
      <c r="C4080" s="41" t="str">
        <f aca="false">IFERROR(INDEX($K$4078:$K$4081,MATCH($O4080,$N$4078:$N$4081,0)),"")</f>
        <v/>
      </c>
      <c r="D4080" s="42" t="str">
        <f aca="false">IF(OR(E4080="",N(C4080)=0),"",E4080/C4080-1)</f>
        <v/>
      </c>
      <c r="E4080" s="41" t="str">
        <f aca="false">IFERROR(INDEX($L$4078:$L$4081,MATCH($O4080,$N$4078:$N$4081,0)),"")</f>
        <v/>
      </c>
      <c r="F4080" s="41" t="str">
        <f aca="false">IF(E4080="","",E4080-C4080)</f>
        <v/>
      </c>
      <c r="J4080" s="25" t="str">
        <f aca="false">Lib_Jur</f>
        <v>Mission juridique (approbation des comptes, secrétariat juridique)</v>
      </c>
      <c r="K4080" s="25" t="n">
        <f aca="false">IF($K$4051=0,0,N(INDEX(Clients!$M$2:$M$501,$K$4051)))</f>
        <v>0</v>
      </c>
      <c r="L4080" s="25" t="n">
        <f aca="false">IF($K$4051=0,0,N(INDEX(Clients!$R$2:$R$501,$K$4051)))</f>
        <v>0</v>
      </c>
      <c r="M4080" s="25" t="n">
        <f aca="false">IF(OR(K4080&lt;&gt;0,L4080&lt;&gt;0),1,0)</f>
        <v>0</v>
      </c>
      <c r="N4080" s="25" t="str">
        <f aca="false">IF(M4080=1,SUM($M$4078:M4080),"")</f>
        <v/>
      </c>
      <c r="O4080" s="25" t="n">
        <v>3</v>
      </c>
    </row>
    <row r="4081" customFormat="false" ht="16.5" hidden="false" customHeight="true" outlineLevel="0" collapsed="false">
      <c r="B4081" s="40" t="str">
        <f aca="false">IFERROR(INDEX($J$4078:$J$4081,MATCH($O4081,$N$4078:$N$4081,0)),"")</f>
        <v/>
      </c>
      <c r="C4081" s="41" t="str">
        <f aca="false">IFERROR(INDEX($K$4078:$K$4081,MATCH($O4081,$N$4078:$N$4081,0)),"")</f>
        <v/>
      </c>
      <c r="D4081" s="42" t="str">
        <f aca="false">IF(OR(E4081="",N(C4081)=0),"",E4081/C4081-1)</f>
        <v/>
      </c>
      <c r="E4081" s="41" t="str">
        <f aca="false">IFERROR(INDEX($L$4078:$L$4081,MATCH($O4081,$N$4078:$N$4081,0)),"")</f>
        <v/>
      </c>
      <c r="F4081" s="41" t="str">
        <f aca="false">IF(E4081="","",E4081-C4081)</f>
        <v/>
      </c>
      <c r="J4081" s="25" t="str">
        <f aca="false">Lib_PA</f>
        <v>Plateforme agréée – facturation électronique</v>
      </c>
      <c r="K4081" s="25" t="n">
        <f aca="false">IF($K$4051=0,0,N(INDEX(Clients!$N$2:$N$501,$K$4051)))</f>
        <v>0</v>
      </c>
      <c r="L4081" s="25" t="n">
        <f aca="false">IF($K$4051=0,0,N(INDEX(Clients!$S$2:$S$501,$K$4051)))</f>
        <v>0</v>
      </c>
      <c r="M4081" s="25" t="n">
        <f aca="false">IF(OR(K4081&lt;&gt;0,L4081&lt;&gt;0),1,0)</f>
        <v>0</v>
      </c>
      <c r="N4081" s="25" t="str">
        <f aca="false">IF(M4081=1,SUM($M$4078:M4081),"")</f>
        <v/>
      </c>
      <c r="O4081" s="25" t="n">
        <v>4</v>
      </c>
    </row>
    <row r="4082" customFormat="false" ht="18" hidden="false" customHeight="true" outlineLevel="0" collapsed="false">
      <c r="B4082" s="43" t="s">
        <v>158</v>
      </c>
      <c r="C4082" s="44" t="n">
        <f aca="false">SUM(K4078:K4081)</f>
        <v>0</v>
      </c>
      <c r="D4082" s="45" t="str">
        <f aca="false">IF(N(C4082)=0,"",E4082/C4082-1)</f>
        <v/>
      </c>
      <c r="E4082" s="44" t="n">
        <f aca="false">SUM(L4078:L4081)</f>
        <v>0</v>
      </c>
      <c r="F4082" s="44" t="n">
        <f aca="false">E4082-C4082</f>
        <v>0</v>
      </c>
    </row>
    <row r="4083" customFormat="false" ht="15" hidden="false" customHeight="false" outlineLevel="0" collapsed="false">
      <c r="B4083" s="46" t="str">
        <f aca="false">IF(N(Nb_Mensualites)=0,"","Soit "&amp;FIXED(E4082/Nb_Mensualites,2)&amp;" € HT par échéance ("&amp;Nb_Mensualites&amp;" échéances), "&amp;FIXED(E4082/Nb_Mensualites*(1+Taux_TVA),2)&amp;" € TTC.")</f>
        <v>Soit 0.00 € HT par échéance (12 échéances), 0.00 € TTC.</v>
      </c>
      <c r="C4083" s="46"/>
      <c r="D4083" s="46"/>
      <c r="E4083" s="46"/>
      <c r="F4083" s="46"/>
    </row>
    <row r="4084" customFormat="false" ht="7.5" hidden="false" customHeight="true" outlineLevel="0" collapsed="false">
      <c r="B4084" s="10"/>
      <c r="C4084" s="10"/>
      <c r="D4084" s="10"/>
      <c r="E4084" s="10"/>
      <c r="F4084" s="10"/>
    </row>
    <row r="4085" customFormat="false" ht="36.75" hidden="false" customHeight="true" outlineLevel="0" collapsed="false">
      <c r="B4085" s="37" t="str">
        <f aca="false">SUBSTITUTE(SUBSTITUTE(SUBSTITUTE(SUBSTITUTE(SUBSTITUTE(Txt_P5,"{cabinet}",Cab_Nom),"{societe}",IF($K$4051=0,"",INDEX(Clients!$E$2:$E$501,$K$4051)&amp;"")),"{date_effet}",$K$4053),"{hausse}",$K$4054),"{civilite}",$K$4052)</f>
        <v>Les autres conditions de votre lettre de mission demeurent inchangées. Les nouveaux montants seront appliqués automatiquement sur vos prochaines factures et échéances de prélèvement.</v>
      </c>
      <c r="C4085" s="37"/>
      <c r="D4085" s="37"/>
      <c r="E4085" s="37"/>
      <c r="F4085" s="37"/>
    </row>
    <row r="4086" customFormat="false" ht="36.75" hidden="false" customHeight="true" outlineLevel="0" collapsed="false">
      <c r="B4086" s="37" t="str">
        <f aca="false">SUBSTITUTE(SUBSTITUTE(SUBSTITUTE(SUBSTITUTE(SUBSTITUTE(Txt_P6,"{cabinet}",Cab_Nom),"{societe}",IF($K$4051=0,"",INDEX(Clients!$E$2:$E$501,$K$4051)&amp;"")),"{date_effet}",$K$4053),"{hausse}",$K$4054),"{civilite}",$K$4052)</f>
        <v>Votre interlocuteur habituel reste à votre entière disposition pour répondre à vos questions et faire le point sur l'évolution de vos besoins.</v>
      </c>
      <c r="C4086" s="37"/>
      <c r="D4086" s="37"/>
      <c r="E4086" s="37"/>
      <c r="F4086" s="37"/>
    </row>
    <row r="4087" customFormat="false" ht="24" hidden="false" customHeight="true" outlineLevel="0" collapsed="false">
      <c r="B4087" s="37" t="str">
        <f aca="false">SUBSTITUTE(SUBSTITUTE(SUBSTITUTE(SUBSTITUTE(SUBSTITUTE(Txt_Politesse,"{cabinet}",Cab_Nom),"{societe}",IF($K$4051=0,"",INDEX(Clients!$E$2:$E$501,$K$4051)&amp;"")),"{date_effet}",$K$4053),"{hausse}",$K$4054),"{civilite}",$K$4052)</f>
        <v>Nous vous prions d'agréer, Madame, Monsieur, l'expression de nos salutations distinguées.</v>
      </c>
      <c r="C4087" s="37"/>
      <c r="D4087" s="37"/>
      <c r="E4087" s="37"/>
      <c r="F4087" s="37"/>
    </row>
    <row r="4088" customFormat="false" ht="15" hidden="false" customHeight="false" outlineLevel="0" collapsed="false">
      <c r="B4088" s="10"/>
      <c r="C4088" s="10"/>
      <c r="D4088" s="10"/>
      <c r="E4088" s="10"/>
      <c r="F4088" s="10"/>
    </row>
    <row r="4089" customFormat="false" ht="15" hidden="false" customHeight="false" outlineLevel="0" collapsed="false">
      <c r="B4089" s="10"/>
      <c r="C4089" s="10"/>
      <c r="D4089" s="34" t="str">
        <f aca="false">Signataire</f>
        <v>Prénom NOM</v>
      </c>
      <c r="E4089" s="34"/>
      <c r="F4089" s="34"/>
    </row>
    <row r="4090" customFormat="false" ht="15" hidden="false" customHeight="false" outlineLevel="0" collapsed="false">
      <c r="B4090" s="10"/>
      <c r="C4090" s="10"/>
      <c r="D4090" s="47" t="str">
        <f aca="false">Signataire_Titre</f>
        <v>Expert-comptable associé</v>
      </c>
      <c r="E4090" s="47"/>
      <c r="F4090" s="47"/>
    </row>
    <row r="4091" customFormat="false" ht="15.75" hidden="false" customHeight="true" outlineLevel="0" collapsed="false">
      <c r="B4091" s="10"/>
      <c r="C4091" s="10"/>
      <c r="D4091" s="10"/>
      <c r="E4091" s="10"/>
      <c r="F4091" s="10"/>
    </row>
    <row r="4092" customFormat="false" ht="15.75" hidden="false" customHeight="true" outlineLevel="0" collapsed="false">
      <c r="B4092" s="10"/>
      <c r="C4092" s="10"/>
      <c r="D4092" s="10"/>
      <c r="E4092" s="10"/>
      <c r="F4092" s="10"/>
    </row>
    <row r="4093" customFormat="false" ht="15.75" hidden="false" customHeight="true" outlineLevel="0" collapsed="false">
      <c r="B4093" s="10"/>
      <c r="C4093" s="10"/>
      <c r="D4093" s="10"/>
      <c r="E4093" s="10"/>
      <c r="F4093" s="10"/>
    </row>
    <row r="4094" customFormat="false" ht="15.75" hidden="false" customHeight="true" outlineLevel="0" collapsed="false">
      <c r="B4094" s="10"/>
      <c r="C4094" s="10"/>
      <c r="D4094" s="10"/>
      <c r="E4094" s="10"/>
      <c r="F4094" s="10"/>
    </row>
    <row r="4095" customFormat="false" ht="24" hidden="false" customHeight="true" outlineLevel="0" collapsed="false">
      <c r="B4095" s="48" t="str">
        <f aca="false">Cab_Mentions</f>
        <v>ALTHO EXPERTISE · SAS au capital de 10 000 € · RCS Pontoise 919 706 325 · TVA FR62919706325 · Société d'expertise comptable inscrite au Tableau de l'Ordre des experts-comptables de Paris Île-de-France</v>
      </c>
      <c r="C4095" s="48"/>
      <c r="D4095" s="48"/>
      <c r="E4095" s="48"/>
      <c r="F4095" s="48"/>
    </row>
    <row r="4096" customFormat="false" ht="15" hidden="false" customHeight="false" outlineLevel="0" collapsed="false">
      <c r="B4096" s="10"/>
      <c r="C4096" s="10"/>
      <c r="D4096" s="10"/>
      <c r="E4096" s="10"/>
      <c r="F4096" s="10"/>
      <c r="J4096" s="25" t="s">
        <v>142</v>
      </c>
      <c r="K4096" s="25" t="n">
        <f aca="false">IFERROR(MATCH(92,Clients!$Z$2:$Z$501,0),0)</f>
        <v>0</v>
      </c>
      <c r="L4096" s="25"/>
      <c r="M4096" s="25"/>
      <c r="N4096" s="25"/>
      <c r="O4096" s="25"/>
    </row>
    <row r="4097" customFormat="false" ht="21.75" hidden="false" customHeight="true" outlineLevel="0" collapsed="false">
      <c r="B4097" s="26" t="str">
        <f aca="false">Cab_Nom</f>
        <v>ALTHO EXPERTISE</v>
      </c>
      <c r="C4097" s="26"/>
      <c r="D4097" s="10"/>
      <c r="E4097" s="27" t="str">
        <f aca="false">IF($K$4096=0,"","Réf. client : "&amp;INDEX(Clients!$A$2:$A$501,$K$4096))</f>
        <v/>
      </c>
      <c r="F4097" s="27"/>
      <c r="J4097" s="25" t="s">
        <v>144</v>
      </c>
      <c r="K4097" s="25" t="str">
        <f aca="false">IF(IF($K$4096=0,"",INDEX(Clients!$B$2:$B$501,$K$4096)&amp;"")="Mme","Madame",IF(IF($K$4096=0,"",INDEX(Clients!$B$2:$B$501,$K$4096)&amp;"")="M.","Monsieur","Madame, Monsieur"))</f>
        <v>Madame, Monsieur</v>
      </c>
      <c r="L4097" s="25"/>
      <c r="M4097" s="25"/>
      <c r="N4097" s="25"/>
      <c r="O4097" s="25"/>
    </row>
    <row r="4098" customFormat="false" ht="15" hidden="false" customHeight="false" outlineLevel="0" collapsed="false">
      <c r="B4098" s="29" t="str">
        <f aca="false">Cab_Adr1</f>
        <v>141 rue Charles de Gaulle</v>
      </c>
      <c r="C4098" s="29"/>
      <c r="D4098" s="10"/>
      <c r="E4098" s="10"/>
      <c r="F4098" s="10"/>
      <c r="J4098" s="25" t="s">
        <v>145</v>
      </c>
      <c r="K4098" s="25" t="str">
        <f aca="false">DAY(Date_Effet)&amp;IF(DAY(Date_Effet)=1,"er","")&amp;" "&amp;INDEX(Liste_Mois,MONTH(Date_Effet))&amp;" "&amp;YEAR(Date_Effet)</f>
        <v>1er janvier 2027</v>
      </c>
      <c r="L4098" s="25"/>
      <c r="M4098" s="25"/>
      <c r="N4098" s="25"/>
      <c r="O4098" s="25"/>
    </row>
    <row r="4099" customFormat="false" ht="15" hidden="false" customHeight="false" outlineLevel="0" collapsed="false">
      <c r="B4099" s="29" t="str">
        <f aca="false">Cab_CPVille</f>
        <v>95130 LE PLESSIS-BOUCHARD</v>
      </c>
      <c r="C4099" s="29"/>
      <c r="D4099" s="10"/>
      <c r="E4099" s="10"/>
      <c r="F4099" s="10"/>
      <c r="J4099" s="25" t="s">
        <v>146</v>
      </c>
      <c r="K4099" s="25" t="str">
        <f aca="false">IF(SUM($K$4123:$K$4126)=0,"",FIXED((SUM($L$4123:$L$4126)/SUM($K$4123:$K$4126)-1)*100,1)&amp;" %")</f>
        <v/>
      </c>
      <c r="L4099" s="25"/>
      <c r="M4099" s="25"/>
      <c r="N4099" s="25"/>
      <c r="O4099" s="25"/>
    </row>
    <row r="4100" customFormat="false" ht="15" hidden="false" customHeight="false" outlineLevel="0" collapsed="false">
      <c r="B4100" s="29" t="str">
        <f aca="false">Cab_Contact</f>
        <v>Tél. 01 34 14 53 45  ·  altho@altho-experts.com  ·  altho-experts.com</v>
      </c>
      <c r="C4100" s="29"/>
      <c r="D4100" s="10"/>
      <c r="E4100" s="10"/>
      <c r="F4100" s="10"/>
      <c r="J4100" s="25"/>
      <c r="K4100" s="25"/>
      <c r="L4100" s="25"/>
      <c r="M4100" s="25"/>
      <c r="N4100" s="25"/>
      <c r="O4100" s="25"/>
    </row>
    <row r="4101" customFormat="false" ht="6" hidden="false" customHeight="true" outlineLevel="0" collapsed="false">
      <c r="B4101" s="32"/>
      <c r="C4101" s="32"/>
      <c r="D4101" s="32"/>
      <c r="E4101" s="32"/>
      <c r="F4101" s="32"/>
      <c r="J4101" s="25"/>
      <c r="K4101" s="25"/>
      <c r="L4101" s="25"/>
      <c r="M4101" s="25"/>
      <c r="N4101" s="25"/>
      <c r="O4101" s="25"/>
    </row>
    <row r="4102" customFormat="false" ht="13.5" hidden="false" customHeight="true" outlineLevel="0" collapsed="false">
      <c r="B4102" s="10"/>
      <c r="C4102" s="10"/>
      <c r="D4102" s="10"/>
      <c r="E4102" s="10"/>
      <c r="F4102" s="10"/>
      <c r="J4102" s="25"/>
      <c r="K4102" s="25"/>
      <c r="L4102" s="25"/>
      <c r="M4102" s="25"/>
      <c r="N4102" s="25"/>
      <c r="O4102" s="25"/>
    </row>
    <row r="4103" customFormat="false" ht="13.5" hidden="false" customHeight="true" outlineLevel="0" collapsed="false">
      <c r="B4103" s="10"/>
      <c r="C4103" s="10"/>
      <c r="D4103" s="10"/>
      <c r="E4103" s="10"/>
      <c r="F4103" s="10"/>
      <c r="J4103" s="25"/>
      <c r="K4103" s="25"/>
      <c r="L4103" s="25"/>
      <c r="M4103" s="25"/>
      <c r="N4103" s="25"/>
      <c r="O4103" s="25"/>
    </row>
    <row r="4104" customFormat="false" ht="13.5" hidden="false" customHeight="true" outlineLevel="0" collapsed="false">
      <c r="B4104" s="10"/>
      <c r="C4104" s="10"/>
      <c r="D4104" s="10"/>
      <c r="E4104" s="10"/>
      <c r="F4104" s="10"/>
      <c r="J4104" s="25"/>
      <c r="K4104" s="25"/>
      <c r="L4104" s="25"/>
      <c r="M4104" s="25"/>
      <c r="N4104" s="25"/>
      <c r="O4104" s="25"/>
    </row>
    <row r="4105" customFormat="false" ht="15" hidden="false" customHeight="true" outlineLevel="0" collapsed="false">
      <c r="B4105" s="10"/>
      <c r="C4105" s="10"/>
      <c r="D4105" s="34" t="str">
        <f aca="false">IF($K$4096=0,"",INDEX(Clients!$E$2:$E$501,$K$4096)&amp;"")</f>
        <v/>
      </c>
      <c r="E4105" s="34"/>
      <c r="F4105" s="34"/>
      <c r="J4105" s="25"/>
      <c r="K4105" s="25"/>
      <c r="L4105" s="25"/>
      <c r="M4105" s="25"/>
      <c r="N4105" s="25"/>
      <c r="O4105" s="25"/>
    </row>
    <row r="4106" customFormat="false" ht="15" hidden="false" customHeight="true" outlineLevel="0" collapsed="false">
      <c r="B4106" s="10"/>
      <c r="C4106" s="10"/>
      <c r="D4106" s="35" t="str">
        <f aca="false">IF(IF($K$4096=0,"",INDEX(Clients!$D$2:$D$501,$K$4096)&amp;"")="","","À l'attention de "&amp;TRIM(IF($K$4096=0,"",INDEX(Clients!$B$2:$B$501,$K$4096)&amp;"")&amp;" "&amp;IF($K$4096=0,"",INDEX(Clients!$C$2:$C$501,$K$4096)&amp;"")&amp;" "&amp;IF($K$4096=0,"",INDEX(Clients!$D$2:$D$501,$K$4096)&amp;"")))</f>
        <v/>
      </c>
      <c r="E4106" s="35"/>
      <c r="F4106" s="35"/>
      <c r="J4106" s="25"/>
      <c r="K4106" s="25"/>
      <c r="L4106" s="25"/>
      <c r="M4106" s="25"/>
      <c r="N4106" s="25"/>
      <c r="O4106" s="25"/>
    </row>
    <row r="4107" customFormat="false" ht="15" hidden="false" customHeight="true" outlineLevel="0" collapsed="false">
      <c r="B4107" s="10"/>
      <c r="C4107" s="10"/>
      <c r="D4107" s="35" t="str">
        <f aca="false">IF($K$4096=0,"",INDEX(Clients!$F$2:$F$501,$K$4096)&amp;"")</f>
        <v/>
      </c>
      <c r="E4107" s="35"/>
      <c r="F4107" s="35"/>
      <c r="J4107" s="25"/>
      <c r="K4107" s="25"/>
      <c r="L4107" s="25"/>
      <c r="M4107" s="25"/>
      <c r="N4107" s="25"/>
      <c r="O4107" s="25"/>
    </row>
    <row r="4108" customFormat="false" ht="15" hidden="false" customHeight="true" outlineLevel="0" collapsed="false">
      <c r="B4108" s="10"/>
      <c r="C4108" s="10"/>
      <c r="D4108" s="35" t="str">
        <f aca="false">IF(IF($K$4096=0,"",INDEX(Clients!$G$2:$G$501,$K$4096)&amp;"")="",TRIM(IF($K$4096=0,"",INDEX(Clients!$H$2:$H$501,$K$4096)&amp;"")&amp;" "&amp;UPPER(IF($K$4096=0,"",INDEX(Clients!$I$2:$I$501,$K$4096)&amp;""))),IF($K$4096=0,"",INDEX(Clients!$G$2:$G$501,$K$4096)&amp;""))</f>
        <v/>
      </c>
      <c r="E4108" s="35"/>
      <c r="F4108" s="35"/>
      <c r="J4108" s="25"/>
      <c r="K4108" s="25"/>
      <c r="L4108" s="25"/>
      <c r="M4108" s="25"/>
      <c r="N4108" s="25"/>
      <c r="O4108" s="25"/>
    </row>
    <row r="4109" customFormat="false" ht="15" hidden="false" customHeight="true" outlineLevel="0" collapsed="false">
      <c r="B4109" s="10"/>
      <c r="C4109" s="10"/>
      <c r="D4109" s="35" t="str">
        <f aca="false">IF(IF($K$4096=0,"",INDEX(Clients!$G$2:$G$501,$K$4096)&amp;"")="","",TRIM(IF($K$4096=0,"",INDEX(Clients!$H$2:$H$501,$K$4096)&amp;"")&amp;" "&amp;UPPER(IF($K$4096=0,"",INDEX(Clients!$I$2:$I$501,$K$4096)&amp;""))))</f>
        <v/>
      </c>
      <c r="E4109" s="35"/>
      <c r="F4109" s="35"/>
      <c r="J4109" s="25"/>
      <c r="K4109" s="25"/>
      <c r="L4109" s="25"/>
      <c r="M4109" s="25"/>
      <c r="N4109" s="25"/>
      <c r="O4109" s="25"/>
    </row>
    <row r="4110" customFormat="false" ht="25.5" hidden="false" customHeight="true" outlineLevel="0" collapsed="false">
      <c r="B4110" s="10"/>
      <c r="C4110" s="10"/>
      <c r="D4110" s="10"/>
      <c r="E4110" s="10"/>
      <c r="F4110" s="10"/>
      <c r="J4110" s="25"/>
      <c r="K4110" s="25"/>
      <c r="L4110" s="25"/>
      <c r="M4110" s="25"/>
      <c r="N4110" s="25"/>
      <c r="O4110" s="25"/>
    </row>
    <row r="4111" customFormat="false" ht="15" hidden="false" customHeight="false" outlineLevel="0" collapsed="false">
      <c r="B4111" s="10"/>
      <c r="C4111" s="10"/>
      <c r="D4111" s="36" t="str">
        <f aca="false">Cab_Ville&amp;", le "&amp;DAY(Date_Courrier)&amp;IF(DAY(Date_Courrier)=1,"er","")&amp;" "&amp;INDEX(Liste_Mois,MONTH(Date_Courrier))&amp;" "&amp;YEAR(Date_Courrier)</f>
        <v>Le Plessis-Bouchard, le 22 septembre 2026</v>
      </c>
      <c r="E4111" s="36"/>
      <c r="F4111" s="36"/>
      <c r="J4111" s="25"/>
      <c r="K4111" s="25"/>
      <c r="L4111" s="25"/>
      <c r="M4111" s="25"/>
      <c r="N4111" s="25"/>
      <c r="O4111" s="25"/>
    </row>
    <row r="4112" customFormat="false" ht="19.5" hidden="false" customHeight="true" outlineLevel="0" collapsed="false">
      <c r="B4112" s="10"/>
      <c r="C4112" s="10"/>
      <c r="D4112" s="10"/>
      <c r="E4112" s="10"/>
      <c r="F4112" s="10"/>
      <c r="J4112" s="25"/>
      <c r="K4112" s="25"/>
      <c r="L4112" s="25"/>
      <c r="M4112" s="25"/>
      <c r="N4112" s="25"/>
      <c r="O4112" s="25"/>
    </row>
    <row r="4113" customFormat="false" ht="15" hidden="false" customHeight="false" outlineLevel="0" collapsed="false">
      <c r="B4113" s="34" t="str">
        <f aca="false">SUBSTITUTE(SUBSTITUTE(SUBSTITUTE(SUBSTITUTE(SUBSTITUTE(Txt_Objet,"{cabinet}",Cab_Nom),"{societe}",IF($K$4096=0,"",INDEX(Clients!$E$2:$E$501,$K$4096)&amp;"")),"{date_effet}",$K$4098),"{hausse}",$K$4099),"{civilite}",$K$4097)</f>
        <v>Objet : révision de nos honoraires au 1er janvier 2027</v>
      </c>
      <c r="C4113" s="34"/>
      <c r="D4113" s="34"/>
      <c r="E4113" s="34"/>
      <c r="F4113" s="34"/>
      <c r="J4113" s="25"/>
      <c r="K4113" s="25"/>
      <c r="L4113" s="25"/>
      <c r="M4113" s="25"/>
      <c r="N4113" s="25"/>
      <c r="O4113" s="25"/>
    </row>
    <row r="4114" customFormat="false" ht="13.5" hidden="false" customHeight="true" outlineLevel="0" collapsed="false">
      <c r="B4114" s="10"/>
      <c r="C4114" s="10"/>
      <c r="D4114" s="10"/>
      <c r="E4114" s="10"/>
      <c r="F4114" s="10"/>
      <c r="J4114" s="25"/>
      <c r="K4114" s="25"/>
      <c r="L4114" s="25"/>
      <c r="M4114" s="25"/>
      <c r="N4114" s="25"/>
      <c r="O4114" s="25"/>
    </row>
    <row r="4115" customFormat="false" ht="15" hidden="false" customHeight="false" outlineLevel="0" collapsed="false">
      <c r="B4115" s="10" t="str">
        <f aca="false">$K$4097&amp;","</f>
        <v>Madame, Monsieur,</v>
      </c>
      <c r="C4115" s="10"/>
      <c r="D4115" s="10"/>
      <c r="E4115" s="10"/>
      <c r="F4115" s="10"/>
      <c r="J4115" s="25"/>
      <c r="K4115" s="25"/>
      <c r="L4115" s="25"/>
      <c r="M4115" s="25"/>
      <c r="N4115" s="25"/>
      <c r="O4115" s="25"/>
    </row>
    <row r="4116" customFormat="false" ht="6" hidden="false" customHeight="true" outlineLevel="0" collapsed="false">
      <c r="B4116" s="10"/>
      <c r="C4116" s="10"/>
      <c r="D4116" s="10"/>
      <c r="E4116" s="10"/>
      <c r="F4116" s="10"/>
      <c r="J4116" s="25"/>
      <c r="K4116" s="25"/>
      <c r="L4116" s="25"/>
      <c r="M4116" s="25"/>
      <c r="N4116" s="25"/>
      <c r="O4116" s="25"/>
    </row>
    <row r="4117" customFormat="false" ht="36.75" hidden="false" customHeight="true" outlineLevel="0" collapsed="false">
      <c r="B4117" s="37" t="str">
        <f aca="false">SUBSTITUTE(SUBSTITUTE(SUBSTITUTE(SUBSTITUTE(SUBSTITUTE(Txt_P1,"{cabinet}",Cab_Nom),"{societe}",IF($K$4096=0,"",INDEX(Clients!$E$2:$E$501,$K$4096)&amp;"")),"{date_effet}",$K$4098),"{hausse}",$K$4099),"{civilite}",$K$4097)</f>
        <v>Nous tenons tout d'abord à vous remercier pour la confiance que vous accordez à ALTHO EXPERTISE. Comme chaque année, et conformément aux dispositions de votre lettre de mission, nous procédons à la révision de nos honoraires.</v>
      </c>
      <c r="C4117" s="37"/>
      <c r="D4117" s="37"/>
      <c r="E4117" s="37"/>
      <c r="F4117" s="37"/>
      <c r="J4117" s="25"/>
      <c r="K4117" s="25"/>
      <c r="L4117" s="25"/>
      <c r="M4117" s="25"/>
      <c r="N4117" s="25"/>
      <c r="O4117" s="25"/>
    </row>
    <row r="4118" customFormat="false" ht="49.5" hidden="false" customHeight="true" outlineLevel="0" collapsed="false">
      <c r="B4118" s="37" t="str">
        <f aca="false">SUBSTITUTE(SUBSTITUTE(SUBSTITUTE(SUBSTITUTE(SUBSTITUTE(Txt_P2,"{cabinet}",Cab_Nom),"{societe}",IF($K$4096=0,"",INDEX(Clients!$E$2:$E$501,$K$4096)&amp;"")),"{date_effet}",$K$4098),"{hausse}",$K$4099),"{civilite}",$K$4097)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118" s="37"/>
      <c r="D4118" s="37"/>
      <c r="E4118" s="37"/>
      <c r="F4118" s="37"/>
      <c r="J4118" s="25"/>
      <c r="K4118" s="25"/>
      <c r="L4118" s="25"/>
      <c r="M4118" s="25"/>
      <c r="N4118" s="25"/>
      <c r="O4118" s="25"/>
    </row>
    <row r="4119" customFormat="false" ht="63" hidden="false" customHeight="true" outlineLevel="0" collapsed="false">
      <c r="B4119" s="37" t="str">
        <f aca="false">SUBSTITUTE(SUBSTITUTE(SUBSTITUTE(SUBSTITUTE(SUBSTITUTE(Txt_P3,"{cabinet}",Cab_Nom),"{societe}",IF($K$4096=0,"",INDEX(Clients!$E$2:$E$501,$K$4096)&amp;"")),"{date_effet}",$K$4098),"{hausse}",$K$4099),"{civilite}",$K$4097)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119" s="37"/>
      <c r="D4119" s="37"/>
      <c r="E4119" s="37"/>
      <c r="F4119" s="37"/>
      <c r="J4119" s="25"/>
      <c r="K4119" s="25"/>
      <c r="L4119" s="25"/>
      <c r="M4119" s="25"/>
      <c r="N4119" s="25"/>
      <c r="O4119" s="25"/>
    </row>
    <row r="4120" customFormat="false" ht="24" hidden="false" customHeight="true" outlineLevel="0" collapsed="false">
      <c r="B4120" s="37" t="str">
        <f aca="false">SUBSTITUTE(SUBSTITUTE(SUBSTITUTE(SUBSTITUTE(SUBSTITUTE(Txt_P4,"{cabinet}",Cab_Nom),"{societe}",IF($K$4096=0,"",INDEX(Clients!$E$2:$E$501,$K$4096)&amp;"")),"{date_effet}",$K$4098),"{hausse}",$K$4099),"{civilite}",$K$4097)</f>
        <v>À compter du 1er janvier 2027, vos honoraires annuels hors taxes évolueront ainsi (évolution globale : ) :</v>
      </c>
      <c r="C4120" s="37"/>
      <c r="D4120" s="37"/>
      <c r="E4120" s="37"/>
      <c r="F4120" s="37"/>
      <c r="J4120" s="25"/>
      <c r="K4120" s="25"/>
      <c r="L4120" s="25"/>
      <c r="M4120" s="25"/>
      <c r="N4120" s="25"/>
      <c r="O4120" s="25"/>
    </row>
    <row r="4121" customFormat="false" ht="3.75" hidden="false" customHeight="true" outlineLevel="0" collapsed="false">
      <c r="B4121" s="10"/>
      <c r="C4121" s="10"/>
      <c r="D4121" s="10"/>
      <c r="E4121" s="10"/>
      <c r="F4121" s="10"/>
      <c r="J4121" s="25"/>
      <c r="K4121" s="25"/>
      <c r="L4121" s="25"/>
      <c r="M4121" s="25"/>
      <c r="N4121" s="25"/>
      <c r="O4121" s="25"/>
    </row>
    <row r="4122" customFormat="false" ht="18" hidden="false" customHeight="true" outlineLevel="0" collapsed="false">
      <c r="B4122" s="38" t="s">
        <v>148</v>
      </c>
      <c r="C4122" s="39" t="s">
        <v>149</v>
      </c>
      <c r="D4122" s="39" t="s">
        <v>150</v>
      </c>
      <c r="E4122" s="39" t="s">
        <v>151</v>
      </c>
      <c r="F4122" s="39" t="s">
        <v>109</v>
      </c>
      <c r="J4122" s="25" t="s">
        <v>152</v>
      </c>
      <c r="K4122" s="25" t="s">
        <v>153</v>
      </c>
      <c r="L4122" s="25" t="s">
        <v>154</v>
      </c>
      <c r="M4122" s="25" t="s">
        <v>155</v>
      </c>
      <c r="N4122" s="25" t="s">
        <v>156</v>
      </c>
      <c r="O4122" s="25" t="s">
        <v>157</v>
      </c>
    </row>
    <row r="4123" customFormat="false" ht="16.5" hidden="false" customHeight="true" outlineLevel="0" collapsed="false">
      <c r="B4123" s="40" t="str">
        <f aca="false">IFERROR(INDEX($J$4123:$J$4126,MATCH($O4123,$N$4123:$N$4126,0)),"")</f>
        <v/>
      </c>
      <c r="C4123" s="41" t="str">
        <f aca="false">IFERROR(INDEX($K$4123:$K$4126,MATCH($O4123,$N$4123:$N$4126,0)),"")</f>
        <v/>
      </c>
      <c r="D4123" s="42" t="str">
        <f aca="false">IF(OR(E4123="",N(C4123)=0),"",E4123/C4123-1)</f>
        <v/>
      </c>
      <c r="E4123" s="41" t="str">
        <f aca="false">IFERROR(INDEX($L$4123:$L$4126,MATCH($O4123,$N$4123:$N$4126,0)),"")</f>
        <v/>
      </c>
      <c r="F4123" s="41" t="str">
        <f aca="false">IF(E4123="","",E4123-C4123)</f>
        <v/>
      </c>
      <c r="J4123" s="25" t="str">
        <f aca="false">Lib_Compta</f>
        <v>Mission comptable (tenue, révision, bilan, liasse fiscale)</v>
      </c>
      <c r="K4123" s="25" t="n">
        <f aca="false">IF($K$4096=0,0,N(INDEX(Clients!$K$2:$K$501,$K$4096)))</f>
        <v>0</v>
      </c>
      <c r="L4123" s="25" t="n">
        <f aca="false">IF($K$4096=0,0,N(INDEX(Clients!$P$2:$P$501,$K$4096)))</f>
        <v>0</v>
      </c>
      <c r="M4123" s="25" t="n">
        <f aca="false">IF(OR(K4123&lt;&gt;0,L4123&lt;&gt;0),1,0)</f>
        <v>0</v>
      </c>
      <c r="N4123" s="25" t="str">
        <f aca="false">IF(M4123=1,SUM($M$4123:M4123),"")</f>
        <v/>
      </c>
      <c r="O4123" s="25" t="n">
        <v>1</v>
      </c>
    </row>
    <row r="4124" customFormat="false" ht="16.5" hidden="false" customHeight="true" outlineLevel="0" collapsed="false">
      <c r="B4124" s="40" t="str">
        <f aca="false">IFERROR(INDEX($J$4123:$J$4126,MATCH($O4124,$N$4123:$N$4126,0)),"")</f>
        <v/>
      </c>
      <c r="C4124" s="41" t="str">
        <f aca="false">IFERROR(INDEX($K$4123:$K$4126,MATCH($O4124,$N$4123:$N$4126,0)),"")</f>
        <v/>
      </c>
      <c r="D4124" s="42" t="str">
        <f aca="false">IF(OR(E4124="",N(C4124)=0),"",E4124/C4124-1)</f>
        <v/>
      </c>
      <c r="E4124" s="41" t="str">
        <f aca="false">IFERROR(INDEX($L$4123:$L$4126,MATCH($O4124,$N$4123:$N$4126,0)),"")</f>
        <v/>
      </c>
      <c r="F4124" s="41" t="str">
        <f aca="false">IF(E4124="","",E4124-C4124)</f>
        <v/>
      </c>
      <c r="J4124" s="25" t="str">
        <f aca="false">Lib_Paye</f>
        <v>Mission sociale (bulletins de paie, DSN, déclarations sociales)</v>
      </c>
      <c r="K4124" s="25" t="n">
        <f aca="false">IF($K$4096=0,0,N(INDEX(Clients!$L$2:$L$501,$K$4096)))</f>
        <v>0</v>
      </c>
      <c r="L4124" s="25" t="n">
        <f aca="false">IF($K$4096=0,0,N(INDEX(Clients!$Q$2:$Q$501,$K$4096)))</f>
        <v>0</v>
      </c>
      <c r="M4124" s="25" t="n">
        <f aca="false">IF(OR(K4124&lt;&gt;0,L4124&lt;&gt;0),1,0)</f>
        <v>0</v>
      </c>
      <c r="N4124" s="25" t="str">
        <f aca="false">IF(M4124=1,SUM($M$4123:M4124),"")</f>
        <v/>
      </c>
      <c r="O4124" s="25" t="n">
        <v>2</v>
      </c>
    </row>
    <row r="4125" customFormat="false" ht="16.5" hidden="false" customHeight="true" outlineLevel="0" collapsed="false">
      <c r="B4125" s="40" t="str">
        <f aca="false">IFERROR(INDEX($J$4123:$J$4126,MATCH($O4125,$N$4123:$N$4126,0)),"")</f>
        <v/>
      </c>
      <c r="C4125" s="41" t="str">
        <f aca="false">IFERROR(INDEX($K$4123:$K$4126,MATCH($O4125,$N$4123:$N$4126,0)),"")</f>
        <v/>
      </c>
      <c r="D4125" s="42" t="str">
        <f aca="false">IF(OR(E4125="",N(C4125)=0),"",E4125/C4125-1)</f>
        <v/>
      </c>
      <c r="E4125" s="41" t="str">
        <f aca="false">IFERROR(INDEX($L$4123:$L$4126,MATCH($O4125,$N$4123:$N$4126,0)),"")</f>
        <v/>
      </c>
      <c r="F4125" s="41" t="str">
        <f aca="false">IF(E4125="","",E4125-C4125)</f>
        <v/>
      </c>
      <c r="J4125" s="25" t="str">
        <f aca="false">Lib_Jur</f>
        <v>Mission juridique (approbation des comptes, secrétariat juridique)</v>
      </c>
      <c r="K4125" s="25" t="n">
        <f aca="false">IF($K$4096=0,0,N(INDEX(Clients!$M$2:$M$501,$K$4096)))</f>
        <v>0</v>
      </c>
      <c r="L4125" s="25" t="n">
        <f aca="false">IF($K$4096=0,0,N(INDEX(Clients!$R$2:$R$501,$K$4096)))</f>
        <v>0</v>
      </c>
      <c r="M4125" s="25" t="n">
        <f aca="false">IF(OR(K4125&lt;&gt;0,L4125&lt;&gt;0),1,0)</f>
        <v>0</v>
      </c>
      <c r="N4125" s="25" t="str">
        <f aca="false">IF(M4125=1,SUM($M$4123:M4125),"")</f>
        <v/>
      </c>
      <c r="O4125" s="25" t="n">
        <v>3</v>
      </c>
    </row>
    <row r="4126" customFormat="false" ht="16.5" hidden="false" customHeight="true" outlineLevel="0" collapsed="false">
      <c r="B4126" s="40" t="str">
        <f aca="false">IFERROR(INDEX($J$4123:$J$4126,MATCH($O4126,$N$4123:$N$4126,0)),"")</f>
        <v/>
      </c>
      <c r="C4126" s="41" t="str">
        <f aca="false">IFERROR(INDEX($K$4123:$K$4126,MATCH($O4126,$N$4123:$N$4126,0)),"")</f>
        <v/>
      </c>
      <c r="D4126" s="42" t="str">
        <f aca="false">IF(OR(E4126="",N(C4126)=0),"",E4126/C4126-1)</f>
        <v/>
      </c>
      <c r="E4126" s="41" t="str">
        <f aca="false">IFERROR(INDEX($L$4123:$L$4126,MATCH($O4126,$N$4123:$N$4126,0)),"")</f>
        <v/>
      </c>
      <c r="F4126" s="41" t="str">
        <f aca="false">IF(E4126="","",E4126-C4126)</f>
        <v/>
      </c>
      <c r="J4126" s="25" t="str">
        <f aca="false">Lib_PA</f>
        <v>Plateforme agréée – facturation électronique</v>
      </c>
      <c r="K4126" s="25" t="n">
        <f aca="false">IF($K$4096=0,0,N(INDEX(Clients!$N$2:$N$501,$K$4096)))</f>
        <v>0</v>
      </c>
      <c r="L4126" s="25" t="n">
        <f aca="false">IF($K$4096=0,0,N(INDEX(Clients!$S$2:$S$501,$K$4096)))</f>
        <v>0</v>
      </c>
      <c r="M4126" s="25" t="n">
        <f aca="false">IF(OR(K4126&lt;&gt;0,L4126&lt;&gt;0),1,0)</f>
        <v>0</v>
      </c>
      <c r="N4126" s="25" t="str">
        <f aca="false">IF(M4126=1,SUM($M$4123:M4126),"")</f>
        <v/>
      </c>
      <c r="O4126" s="25" t="n">
        <v>4</v>
      </c>
    </row>
    <row r="4127" customFormat="false" ht="18" hidden="false" customHeight="true" outlineLevel="0" collapsed="false">
      <c r="B4127" s="43" t="s">
        <v>158</v>
      </c>
      <c r="C4127" s="44" t="n">
        <f aca="false">SUM(K4123:K4126)</f>
        <v>0</v>
      </c>
      <c r="D4127" s="45" t="str">
        <f aca="false">IF(N(C4127)=0,"",E4127/C4127-1)</f>
        <v/>
      </c>
      <c r="E4127" s="44" t="n">
        <f aca="false">SUM(L4123:L4126)</f>
        <v>0</v>
      </c>
      <c r="F4127" s="44" t="n">
        <f aca="false">E4127-C4127</f>
        <v>0</v>
      </c>
    </row>
    <row r="4128" customFormat="false" ht="15" hidden="false" customHeight="false" outlineLevel="0" collapsed="false">
      <c r="B4128" s="46" t="str">
        <f aca="false">IF(N(Nb_Mensualites)=0,"","Soit "&amp;FIXED(E4127/Nb_Mensualites,2)&amp;" € HT par échéance ("&amp;Nb_Mensualites&amp;" échéances), "&amp;FIXED(E4127/Nb_Mensualites*(1+Taux_TVA),2)&amp;" € TTC.")</f>
        <v>Soit 0.00 € HT par échéance (12 échéances), 0.00 € TTC.</v>
      </c>
      <c r="C4128" s="46"/>
      <c r="D4128" s="46"/>
      <c r="E4128" s="46"/>
      <c r="F4128" s="46"/>
    </row>
    <row r="4129" customFormat="false" ht="7.5" hidden="false" customHeight="true" outlineLevel="0" collapsed="false">
      <c r="B4129" s="10"/>
      <c r="C4129" s="10"/>
      <c r="D4129" s="10"/>
      <c r="E4129" s="10"/>
      <c r="F4129" s="10"/>
    </row>
    <row r="4130" customFormat="false" ht="36.75" hidden="false" customHeight="true" outlineLevel="0" collapsed="false">
      <c r="B4130" s="37" t="str">
        <f aca="false">SUBSTITUTE(SUBSTITUTE(SUBSTITUTE(SUBSTITUTE(SUBSTITUTE(Txt_P5,"{cabinet}",Cab_Nom),"{societe}",IF($K$4096=0,"",INDEX(Clients!$E$2:$E$501,$K$4096)&amp;"")),"{date_effet}",$K$4098),"{hausse}",$K$4099),"{civilite}",$K$4097)</f>
        <v>Les autres conditions de votre lettre de mission demeurent inchangées. Les nouveaux montants seront appliqués automatiquement sur vos prochaines factures et échéances de prélèvement.</v>
      </c>
      <c r="C4130" s="37"/>
      <c r="D4130" s="37"/>
      <c r="E4130" s="37"/>
      <c r="F4130" s="37"/>
    </row>
    <row r="4131" customFormat="false" ht="36.75" hidden="false" customHeight="true" outlineLevel="0" collapsed="false">
      <c r="B4131" s="37" t="str">
        <f aca="false">SUBSTITUTE(SUBSTITUTE(SUBSTITUTE(SUBSTITUTE(SUBSTITUTE(Txt_P6,"{cabinet}",Cab_Nom),"{societe}",IF($K$4096=0,"",INDEX(Clients!$E$2:$E$501,$K$4096)&amp;"")),"{date_effet}",$K$4098),"{hausse}",$K$4099),"{civilite}",$K$4097)</f>
        <v>Votre interlocuteur habituel reste à votre entière disposition pour répondre à vos questions et faire le point sur l'évolution de vos besoins.</v>
      </c>
      <c r="C4131" s="37"/>
      <c r="D4131" s="37"/>
      <c r="E4131" s="37"/>
      <c r="F4131" s="37"/>
    </row>
    <row r="4132" customFormat="false" ht="24" hidden="false" customHeight="true" outlineLevel="0" collapsed="false">
      <c r="B4132" s="37" t="str">
        <f aca="false">SUBSTITUTE(SUBSTITUTE(SUBSTITUTE(SUBSTITUTE(SUBSTITUTE(Txt_Politesse,"{cabinet}",Cab_Nom),"{societe}",IF($K$4096=0,"",INDEX(Clients!$E$2:$E$501,$K$4096)&amp;"")),"{date_effet}",$K$4098),"{hausse}",$K$4099),"{civilite}",$K$4097)</f>
        <v>Nous vous prions d'agréer, Madame, Monsieur, l'expression de nos salutations distinguées.</v>
      </c>
      <c r="C4132" s="37"/>
      <c r="D4132" s="37"/>
      <c r="E4132" s="37"/>
      <c r="F4132" s="37"/>
    </row>
    <row r="4133" customFormat="false" ht="15" hidden="false" customHeight="false" outlineLevel="0" collapsed="false">
      <c r="B4133" s="10"/>
      <c r="C4133" s="10"/>
      <c r="D4133" s="10"/>
      <c r="E4133" s="10"/>
      <c r="F4133" s="10"/>
    </row>
    <row r="4134" customFormat="false" ht="15" hidden="false" customHeight="false" outlineLevel="0" collapsed="false">
      <c r="B4134" s="10"/>
      <c r="C4134" s="10"/>
      <c r="D4134" s="34" t="str">
        <f aca="false">Signataire</f>
        <v>Prénom NOM</v>
      </c>
      <c r="E4134" s="34"/>
      <c r="F4134" s="34"/>
    </row>
    <row r="4135" customFormat="false" ht="15" hidden="false" customHeight="false" outlineLevel="0" collapsed="false">
      <c r="B4135" s="10"/>
      <c r="C4135" s="10"/>
      <c r="D4135" s="47" t="str">
        <f aca="false">Signataire_Titre</f>
        <v>Expert-comptable associé</v>
      </c>
      <c r="E4135" s="47"/>
      <c r="F4135" s="47"/>
    </row>
    <row r="4136" customFormat="false" ht="15.75" hidden="false" customHeight="true" outlineLevel="0" collapsed="false">
      <c r="B4136" s="10"/>
      <c r="C4136" s="10"/>
      <c r="D4136" s="10"/>
      <c r="E4136" s="10"/>
      <c r="F4136" s="10"/>
    </row>
    <row r="4137" customFormat="false" ht="15.75" hidden="false" customHeight="true" outlineLevel="0" collapsed="false">
      <c r="B4137" s="10"/>
      <c r="C4137" s="10"/>
      <c r="D4137" s="10"/>
      <c r="E4137" s="10"/>
      <c r="F4137" s="10"/>
    </row>
    <row r="4138" customFormat="false" ht="15.75" hidden="false" customHeight="true" outlineLevel="0" collapsed="false">
      <c r="B4138" s="10"/>
      <c r="C4138" s="10"/>
      <c r="D4138" s="10"/>
      <c r="E4138" s="10"/>
      <c r="F4138" s="10"/>
    </row>
    <row r="4139" customFormat="false" ht="15.75" hidden="false" customHeight="true" outlineLevel="0" collapsed="false">
      <c r="B4139" s="10"/>
      <c r="C4139" s="10"/>
      <c r="D4139" s="10"/>
      <c r="E4139" s="10"/>
      <c r="F4139" s="10"/>
    </row>
    <row r="4140" customFormat="false" ht="24" hidden="false" customHeight="true" outlineLevel="0" collapsed="false">
      <c r="B4140" s="48" t="str">
        <f aca="false">Cab_Mentions</f>
        <v>ALTHO EXPERTISE · SAS au capital de 10 000 € · RCS Pontoise 919 706 325 · TVA FR62919706325 · Société d'expertise comptable inscrite au Tableau de l'Ordre des experts-comptables de Paris Île-de-France</v>
      </c>
      <c r="C4140" s="48"/>
      <c r="D4140" s="48"/>
      <c r="E4140" s="48"/>
      <c r="F4140" s="48"/>
    </row>
    <row r="4141" customFormat="false" ht="15" hidden="false" customHeight="false" outlineLevel="0" collapsed="false">
      <c r="B4141" s="10"/>
      <c r="C4141" s="10"/>
      <c r="D4141" s="10"/>
      <c r="E4141" s="10"/>
      <c r="F4141" s="10"/>
      <c r="J4141" s="25" t="s">
        <v>142</v>
      </c>
      <c r="K4141" s="25" t="n">
        <f aca="false">IFERROR(MATCH(93,Clients!$Z$2:$Z$501,0),0)</f>
        <v>0</v>
      </c>
      <c r="L4141" s="25"/>
      <c r="M4141" s="25"/>
      <c r="N4141" s="25"/>
      <c r="O4141" s="25"/>
    </row>
    <row r="4142" customFormat="false" ht="21.75" hidden="false" customHeight="true" outlineLevel="0" collapsed="false">
      <c r="B4142" s="26" t="str">
        <f aca="false">Cab_Nom</f>
        <v>ALTHO EXPERTISE</v>
      </c>
      <c r="C4142" s="26"/>
      <c r="D4142" s="10"/>
      <c r="E4142" s="27" t="str">
        <f aca="false">IF($K$4141=0,"","Réf. client : "&amp;INDEX(Clients!$A$2:$A$501,$K$4141))</f>
        <v/>
      </c>
      <c r="F4142" s="27"/>
      <c r="J4142" s="25" t="s">
        <v>144</v>
      </c>
      <c r="K4142" s="25" t="str">
        <f aca="false">IF(IF($K$4141=0,"",INDEX(Clients!$B$2:$B$501,$K$4141)&amp;"")="Mme","Madame",IF(IF($K$4141=0,"",INDEX(Clients!$B$2:$B$501,$K$4141)&amp;"")="M.","Monsieur","Madame, Monsieur"))</f>
        <v>Madame, Monsieur</v>
      </c>
      <c r="L4142" s="25"/>
      <c r="M4142" s="25"/>
      <c r="N4142" s="25"/>
      <c r="O4142" s="25"/>
    </row>
    <row r="4143" customFormat="false" ht="15" hidden="false" customHeight="false" outlineLevel="0" collapsed="false">
      <c r="B4143" s="29" t="str">
        <f aca="false">Cab_Adr1</f>
        <v>141 rue Charles de Gaulle</v>
      </c>
      <c r="C4143" s="29"/>
      <c r="D4143" s="10"/>
      <c r="E4143" s="10"/>
      <c r="F4143" s="10"/>
      <c r="J4143" s="25" t="s">
        <v>145</v>
      </c>
      <c r="K4143" s="25" t="str">
        <f aca="false">DAY(Date_Effet)&amp;IF(DAY(Date_Effet)=1,"er","")&amp;" "&amp;INDEX(Liste_Mois,MONTH(Date_Effet))&amp;" "&amp;YEAR(Date_Effet)</f>
        <v>1er janvier 2027</v>
      </c>
      <c r="L4143" s="25"/>
      <c r="M4143" s="25"/>
      <c r="N4143" s="25"/>
      <c r="O4143" s="25"/>
    </row>
    <row r="4144" customFormat="false" ht="15" hidden="false" customHeight="false" outlineLevel="0" collapsed="false">
      <c r="B4144" s="29" t="str">
        <f aca="false">Cab_CPVille</f>
        <v>95130 LE PLESSIS-BOUCHARD</v>
      </c>
      <c r="C4144" s="29"/>
      <c r="D4144" s="10"/>
      <c r="E4144" s="10"/>
      <c r="F4144" s="10"/>
      <c r="J4144" s="25" t="s">
        <v>146</v>
      </c>
      <c r="K4144" s="25" t="str">
        <f aca="false">IF(SUM($K$4168:$K$4171)=0,"",FIXED((SUM($L$4168:$L$4171)/SUM($K$4168:$K$4171)-1)*100,1)&amp;" %")</f>
        <v/>
      </c>
      <c r="L4144" s="25"/>
      <c r="M4144" s="25"/>
      <c r="N4144" s="25"/>
      <c r="O4144" s="25"/>
    </row>
    <row r="4145" customFormat="false" ht="15" hidden="false" customHeight="false" outlineLevel="0" collapsed="false">
      <c r="B4145" s="29" t="str">
        <f aca="false">Cab_Contact</f>
        <v>Tél. 01 34 14 53 45  ·  altho@altho-experts.com  ·  altho-experts.com</v>
      </c>
      <c r="C4145" s="29"/>
      <c r="D4145" s="10"/>
      <c r="E4145" s="10"/>
      <c r="F4145" s="10"/>
      <c r="J4145" s="25"/>
      <c r="K4145" s="25"/>
      <c r="L4145" s="25"/>
      <c r="M4145" s="25"/>
      <c r="N4145" s="25"/>
      <c r="O4145" s="25"/>
    </row>
    <row r="4146" customFormat="false" ht="6" hidden="false" customHeight="true" outlineLevel="0" collapsed="false">
      <c r="B4146" s="32"/>
      <c r="C4146" s="32"/>
      <c r="D4146" s="32"/>
      <c r="E4146" s="32"/>
      <c r="F4146" s="32"/>
      <c r="J4146" s="25"/>
      <c r="K4146" s="25"/>
      <c r="L4146" s="25"/>
      <c r="M4146" s="25"/>
      <c r="N4146" s="25"/>
      <c r="O4146" s="25"/>
    </row>
    <row r="4147" customFormat="false" ht="13.5" hidden="false" customHeight="true" outlineLevel="0" collapsed="false">
      <c r="B4147" s="10"/>
      <c r="C4147" s="10"/>
      <c r="D4147" s="10"/>
      <c r="E4147" s="10"/>
      <c r="F4147" s="10"/>
      <c r="J4147" s="25"/>
      <c r="K4147" s="25"/>
      <c r="L4147" s="25"/>
      <c r="M4147" s="25"/>
      <c r="N4147" s="25"/>
      <c r="O4147" s="25"/>
    </row>
    <row r="4148" customFormat="false" ht="13.5" hidden="false" customHeight="true" outlineLevel="0" collapsed="false">
      <c r="B4148" s="10"/>
      <c r="C4148" s="10"/>
      <c r="D4148" s="10"/>
      <c r="E4148" s="10"/>
      <c r="F4148" s="10"/>
      <c r="J4148" s="25"/>
      <c r="K4148" s="25"/>
      <c r="L4148" s="25"/>
      <c r="M4148" s="25"/>
      <c r="N4148" s="25"/>
      <c r="O4148" s="25"/>
    </row>
    <row r="4149" customFormat="false" ht="13.5" hidden="false" customHeight="true" outlineLevel="0" collapsed="false">
      <c r="B4149" s="10"/>
      <c r="C4149" s="10"/>
      <c r="D4149" s="10"/>
      <c r="E4149" s="10"/>
      <c r="F4149" s="10"/>
      <c r="J4149" s="25"/>
      <c r="K4149" s="25"/>
      <c r="L4149" s="25"/>
      <c r="M4149" s="25"/>
      <c r="N4149" s="25"/>
      <c r="O4149" s="25"/>
    </row>
    <row r="4150" customFormat="false" ht="15" hidden="false" customHeight="true" outlineLevel="0" collapsed="false">
      <c r="B4150" s="10"/>
      <c r="C4150" s="10"/>
      <c r="D4150" s="34" t="str">
        <f aca="false">IF($K$4141=0,"",INDEX(Clients!$E$2:$E$501,$K$4141)&amp;"")</f>
        <v/>
      </c>
      <c r="E4150" s="34"/>
      <c r="F4150" s="34"/>
      <c r="J4150" s="25"/>
      <c r="K4150" s="25"/>
      <c r="L4150" s="25"/>
      <c r="M4150" s="25"/>
      <c r="N4150" s="25"/>
      <c r="O4150" s="25"/>
    </row>
    <row r="4151" customFormat="false" ht="15" hidden="false" customHeight="true" outlineLevel="0" collapsed="false">
      <c r="B4151" s="10"/>
      <c r="C4151" s="10"/>
      <c r="D4151" s="35" t="str">
        <f aca="false">IF(IF($K$4141=0,"",INDEX(Clients!$D$2:$D$501,$K$4141)&amp;"")="","","À l'attention de "&amp;TRIM(IF($K$4141=0,"",INDEX(Clients!$B$2:$B$501,$K$4141)&amp;"")&amp;" "&amp;IF($K$4141=0,"",INDEX(Clients!$C$2:$C$501,$K$4141)&amp;"")&amp;" "&amp;IF($K$4141=0,"",INDEX(Clients!$D$2:$D$501,$K$4141)&amp;"")))</f>
        <v/>
      </c>
      <c r="E4151" s="35"/>
      <c r="F4151" s="35"/>
      <c r="J4151" s="25"/>
      <c r="K4151" s="25"/>
      <c r="L4151" s="25"/>
      <c r="M4151" s="25"/>
      <c r="N4151" s="25"/>
      <c r="O4151" s="25"/>
    </row>
    <row r="4152" customFormat="false" ht="15" hidden="false" customHeight="true" outlineLevel="0" collapsed="false">
      <c r="B4152" s="10"/>
      <c r="C4152" s="10"/>
      <c r="D4152" s="35" t="str">
        <f aca="false">IF($K$4141=0,"",INDEX(Clients!$F$2:$F$501,$K$4141)&amp;"")</f>
        <v/>
      </c>
      <c r="E4152" s="35"/>
      <c r="F4152" s="35"/>
      <c r="J4152" s="25"/>
      <c r="K4152" s="25"/>
      <c r="L4152" s="25"/>
      <c r="M4152" s="25"/>
      <c r="N4152" s="25"/>
      <c r="O4152" s="25"/>
    </row>
    <row r="4153" customFormat="false" ht="15" hidden="false" customHeight="true" outlineLevel="0" collapsed="false">
      <c r="B4153" s="10"/>
      <c r="C4153" s="10"/>
      <c r="D4153" s="35" t="str">
        <f aca="false">IF(IF($K$4141=0,"",INDEX(Clients!$G$2:$G$501,$K$4141)&amp;"")="",TRIM(IF($K$4141=0,"",INDEX(Clients!$H$2:$H$501,$K$4141)&amp;"")&amp;" "&amp;UPPER(IF($K$4141=0,"",INDEX(Clients!$I$2:$I$501,$K$4141)&amp;""))),IF($K$4141=0,"",INDEX(Clients!$G$2:$G$501,$K$4141)&amp;""))</f>
        <v/>
      </c>
      <c r="E4153" s="35"/>
      <c r="F4153" s="35"/>
      <c r="J4153" s="25"/>
      <c r="K4153" s="25"/>
      <c r="L4153" s="25"/>
      <c r="M4153" s="25"/>
      <c r="N4153" s="25"/>
      <c r="O4153" s="25"/>
    </row>
    <row r="4154" customFormat="false" ht="15" hidden="false" customHeight="true" outlineLevel="0" collapsed="false">
      <c r="B4154" s="10"/>
      <c r="C4154" s="10"/>
      <c r="D4154" s="35" t="str">
        <f aca="false">IF(IF($K$4141=0,"",INDEX(Clients!$G$2:$G$501,$K$4141)&amp;"")="","",TRIM(IF($K$4141=0,"",INDEX(Clients!$H$2:$H$501,$K$4141)&amp;"")&amp;" "&amp;UPPER(IF($K$4141=0,"",INDEX(Clients!$I$2:$I$501,$K$4141)&amp;""))))</f>
        <v/>
      </c>
      <c r="E4154" s="35"/>
      <c r="F4154" s="35"/>
      <c r="J4154" s="25"/>
      <c r="K4154" s="25"/>
      <c r="L4154" s="25"/>
      <c r="M4154" s="25"/>
      <c r="N4154" s="25"/>
      <c r="O4154" s="25"/>
    </row>
    <row r="4155" customFormat="false" ht="25.5" hidden="false" customHeight="true" outlineLevel="0" collapsed="false">
      <c r="B4155" s="10"/>
      <c r="C4155" s="10"/>
      <c r="D4155" s="10"/>
      <c r="E4155" s="10"/>
      <c r="F4155" s="10"/>
      <c r="J4155" s="25"/>
      <c r="K4155" s="25"/>
      <c r="L4155" s="25"/>
      <c r="M4155" s="25"/>
      <c r="N4155" s="25"/>
      <c r="O4155" s="25"/>
    </row>
    <row r="4156" customFormat="false" ht="15" hidden="false" customHeight="false" outlineLevel="0" collapsed="false">
      <c r="B4156" s="10"/>
      <c r="C4156" s="10"/>
      <c r="D4156" s="36" t="str">
        <f aca="false">Cab_Ville&amp;", le "&amp;DAY(Date_Courrier)&amp;IF(DAY(Date_Courrier)=1,"er","")&amp;" "&amp;INDEX(Liste_Mois,MONTH(Date_Courrier))&amp;" "&amp;YEAR(Date_Courrier)</f>
        <v>Le Plessis-Bouchard, le 22 septembre 2026</v>
      </c>
      <c r="E4156" s="36"/>
      <c r="F4156" s="36"/>
      <c r="J4156" s="25"/>
      <c r="K4156" s="25"/>
      <c r="L4156" s="25"/>
      <c r="M4156" s="25"/>
      <c r="N4156" s="25"/>
      <c r="O4156" s="25"/>
    </row>
    <row r="4157" customFormat="false" ht="19.5" hidden="false" customHeight="true" outlineLevel="0" collapsed="false">
      <c r="B4157" s="10"/>
      <c r="C4157" s="10"/>
      <c r="D4157" s="10"/>
      <c r="E4157" s="10"/>
      <c r="F4157" s="10"/>
      <c r="J4157" s="25"/>
      <c r="K4157" s="25"/>
      <c r="L4157" s="25"/>
      <c r="M4157" s="25"/>
      <c r="N4157" s="25"/>
      <c r="O4157" s="25"/>
    </row>
    <row r="4158" customFormat="false" ht="15" hidden="false" customHeight="false" outlineLevel="0" collapsed="false">
      <c r="B4158" s="34" t="str">
        <f aca="false">SUBSTITUTE(SUBSTITUTE(SUBSTITUTE(SUBSTITUTE(SUBSTITUTE(Txt_Objet,"{cabinet}",Cab_Nom),"{societe}",IF($K$4141=0,"",INDEX(Clients!$E$2:$E$501,$K$4141)&amp;"")),"{date_effet}",$K$4143),"{hausse}",$K$4144),"{civilite}",$K$4142)</f>
        <v>Objet : révision de nos honoraires au 1er janvier 2027</v>
      </c>
      <c r="C4158" s="34"/>
      <c r="D4158" s="34"/>
      <c r="E4158" s="34"/>
      <c r="F4158" s="34"/>
      <c r="J4158" s="25"/>
      <c r="K4158" s="25"/>
      <c r="L4158" s="25"/>
      <c r="M4158" s="25"/>
      <c r="N4158" s="25"/>
      <c r="O4158" s="25"/>
    </row>
    <row r="4159" customFormat="false" ht="13.5" hidden="false" customHeight="true" outlineLevel="0" collapsed="false">
      <c r="B4159" s="10"/>
      <c r="C4159" s="10"/>
      <c r="D4159" s="10"/>
      <c r="E4159" s="10"/>
      <c r="F4159" s="10"/>
      <c r="J4159" s="25"/>
      <c r="K4159" s="25"/>
      <c r="L4159" s="25"/>
      <c r="M4159" s="25"/>
      <c r="N4159" s="25"/>
      <c r="O4159" s="25"/>
    </row>
    <row r="4160" customFormat="false" ht="15" hidden="false" customHeight="false" outlineLevel="0" collapsed="false">
      <c r="B4160" s="10" t="str">
        <f aca="false">$K$4142&amp;","</f>
        <v>Madame, Monsieur,</v>
      </c>
      <c r="C4160" s="10"/>
      <c r="D4160" s="10"/>
      <c r="E4160" s="10"/>
      <c r="F4160" s="10"/>
      <c r="J4160" s="25"/>
      <c r="K4160" s="25"/>
      <c r="L4160" s="25"/>
      <c r="M4160" s="25"/>
      <c r="N4160" s="25"/>
      <c r="O4160" s="25"/>
    </row>
    <row r="4161" customFormat="false" ht="6" hidden="false" customHeight="true" outlineLevel="0" collapsed="false">
      <c r="B4161" s="10"/>
      <c r="C4161" s="10"/>
      <c r="D4161" s="10"/>
      <c r="E4161" s="10"/>
      <c r="F4161" s="10"/>
      <c r="J4161" s="25"/>
      <c r="K4161" s="25"/>
      <c r="L4161" s="25"/>
      <c r="M4161" s="25"/>
      <c r="N4161" s="25"/>
      <c r="O4161" s="25"/>
    </row>
    <row r="4162" customFormat="false" ht="36.75" hidden="false" customHeight="true" outlineLevel="0" collapsed="false">
      <c r="B4162" s="37" t="str">
        <f aca="false">SUBSTITUTE(SUBSTITUTE(SUBSTITUTE(SUBSTITUTE(SUBSTITUTE(Txt_P1,"{cabinet}",Cab_Nom),"{societe}",IF($K$4141=0,"",INDEX(Clients!$E$2:$E$501,$K$4141)&amp;"")),"{date_effet}",$K$4143),"{hausse}",$K$4144),"{civilite}",$K$4142)</f>
        <v>Nous tenons tout d'abord à vous remercier pour la confiance que vous accordez à ALTHO EXPERTISE. Comme chaque année, et conformément aux dispositions de votre lettre de mission, nous procédons à la révision de nos honoraires.</v>
      </c>
      <c r="C4162" s="37"/>
      <c r="D4162" s="37"/>
      <c r="E4162" s="37"/>
      <c r="F4162" s="37"/>
      <c r="J4162" s="25"/>
      <c r="K4162" s="25"/>
      <c r="L4162" s="25"/>
      <c r="M4162" s="25"/>
      <c r="N4162" s="25"/>
      <c r="O4162" s="25"/>
    </row>
    <row r="4163" customFormat="false" ht="49.5" hidden="false" customHeight="true" outlineLevel="0" collapsed="false">
      <c r="B4163" s="37" t="str">
        <f aca="false">SUBSTITUTE(SUBSTITUTE(SUBSTITUTE(SUBSTITUTE(SUBSTITUTE(Txt_P2,"{cabinet}",Cab_Nom),"{societe}",IF($K$4141=0,"",INDEX(Clients!$E$2:$E$501,$K$4141)&amp;"")),"{date_effet}",$K$4143),"{hausse}",$K$4144),"{civilite}",$K$4142)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163" s="37"/>
      <c r="D4163" s="37"/>
      <c r="E4163" s="37"/>
      <c r="F4163" s="37"/>
      <c r="J4163" s="25"/>
      <c r="K4163" s="25"/>
      <c r="L4163" s="25"/>
      <c r="M4163" s="25"/>
      <c r="N4163" s="25"/>
      <c r="O4163" s="25"/>
    </row>
    <row r="4164" customFormat="false" ht="63" hidden="false" customHeight="true" outlineLevel="0" collapsed="false">
      <c r="B4164" s="37" t="str">
        <f aca="false">SUBSTITUTE(SUBSTITUTE(SUBSTITUTE(SUBSTITUTE(SUBSTITUTE(Txt_P3,"{cabinet}",Cab_Nom),"{societe}",IF($K$4141=0,"",INDEX(Clients!$E$2:$E$501,$K$4141)&amp;"")),"{date_effet}",$K$4143),"{hausse}",$K$4144),"{civilite}",$K$4142)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164" s="37"/>
      <c r="D4164" s="37"/>
      <c r="E4164" s="37"/>
      <c r="F4164" s="37"/>
      <c r="J4164" s="25"/>
      <c r="K4164" s="25"/>
      <c r="L4164" s="25"/>
      <c r="M4164" s="25"/>
      <c r="N4164" s="25"/>
      <c r="O4164" s="25"/>
    </row>
    <row r="4165" customFormat="false" ht="24" hidden="false" customHeight="true" outlineLevel="0" collapsed="false">
      <c r="B4165" s="37" t="str">
        <f aca="false">SUBSTITUTE(SUBSTITUTE(SUBSTITUTE(SUBSTITUTE(SUBSTITUTE(Txt_P4,"{cabinet}",Cab_Nom),"{societe}",IF($K$4141=0,"",INDEX(Clients!$E$2:$E$501,$K$4141)&amp;"")),"{date_effet}",$K$4143),"{hausse}",$K$4144),"{civilite}",$K$4142)</f>
        <v>À compter du 1er janvier 2027, vos honoraires annuels hors taxes évolueront ainsi (évolution globale : ) :</v>
      </c>
      <c r="C4165" s="37"/>
      <c r="D4165" s="37"/>
      <c r="E4165" s="37"/>
      <c r="F4165" s="37"/>
      <c r="J4165" s="25"/>
      <c r="K4165" s="25"/>
      <c r="L4165" s="25"/>
      <c r="M4165" s="25"/>
      <c r="N4165" s="25"/>
      <c r="O4165" s="25"/>
    </row>
    <row r="4166" customFormat="false" ht="3.75" hidden="false" customHeight="true" outlineLevel="0" collapsed="false">
      <c r="B4166" s="10"/>
      <c r="C4166" s="10"/>
      <c r="D4166" s="10"/>
      <c r="E4166" s="10"/>
      <c r="F4166" s="10"/>
      <c r="J4166" s="25"/>
      <c r="K4166" s="25"/>
      <c r="L4166" s="25"/>
      <c r="M4166" s="25"/>
      <c r="N4166" s="25"/>
      <c r="O4166" s="25"/>
    </row>
    <row r="4167" customFormat="false" ht="18" hidden="false" customHeight="true" outlineLevel="0" collapsed="false">
      <c r="B4167" s="38" t="s">
        <v>148</v>
      </c>
      <c r="C4167" s="39" t="s">
        <v>149</v>
      </c>
      <c r="D4167" s="39" t="s">
        <v>150</v>
      </c>
      <c r="E4167" s="39" t="s">
        <v>151</v>
      </c>
      <c r="F4167" s="39" t="s">
        <v>109</v>
      </c>
      <c r="J4167" s="25" t="s">
        <v>152</v>
      </c>
      <c r="K4167" s="25" t="s">
        <v>153</v>
      </c>
      <c r="L4167" s="25" t="s">
        <v>154</v>
      </c>
      <c r="M4167" s="25" t="s">
        <v>155</v>
      </c>
      <c r="N4167" s="25" t="s">
        <v>156</v>
      </c>
      <c r="O4167" s="25" t="s">
        <v>157</v>
      </c>
    </row>
    <row r="4168" customFormat="false" ht="16.5" hidden="false" customHeight="true" outlineLevel="0" collapsed="false">
      <c r="B4168" s="40" t="str">
        <f aca="false">IFERROR(INDEX($J$4168:$J$4171,MATCH($O4168,$N$4168:$N$4171,0)),"")</f>
        <v/>
      </c>
      <c r="C4168" s="41" t="str">
        <f aca="false">IFERROR(INDEX($K$4168:$K$4171,MATCH($O4168,$N$4168:$N$4171,0)),"")</f>
        <v/>
      </c>
      <c r="D4168" s="42" t="str">
        <f aca="false">IF(OR(E4168="",N(C4168)=0),"",E4168/C4168-1)</f>
        <v/>
      </c>
      <c r="E4168" s="41" t="str">
        <f aca="false">IFERROR(INDEX($L$4168:$L$4171,MATCH($O4168,$N$4168:$N$4171,0)),"")</f>
        <v/>
      </c>
      <c r="F4168" s="41" t="str">
        <f aca="false">IF(E4168="","",E4168-C4168)</f>
        <v/>
      </c>
      <c r="J4168" s="25" t="str">
        <f aca="false">Lib_Compta</f>
        <v>Mission comptable (tenue, révision, bilan, liasse fiscale)</v>
      </c>
      <c r="K4168" s="25" t="n">
        <f aca="false">IF($K$4141=0,0,N(INDEX(Clients!$K$2:$K$501,$K$4141)))</f>
        <v>0</v>
      </c>
      <c r="L4168" s="25" t="n">
        <f aca="false">IF($K$4141=0,0,N(INDEX(Clients!$P$2:$P$501,$K$4141)))</f>
        <v>0</v>
      </c>
      <c r="M4168" s="25" t="n">
        <f aca="false">IF(OR(K4168&lt;&gt;0,L4168&lt;&gt;0),1,0)</f>
        <v>0</v>
      </c>
      <c r="N4168" s="25" t="str">
        <f aca="false">IF(M4168=1,SUM($M$4168:M4168),"")</f>
        <v/>
      </c>
      <c r="O4168" s="25" t="n">
        <v>1</v>
      </c>
    </row>
    <row r="4169" customFormat="false" ht="16.5" hidden="false" customHeight="true" outlineLevel="0" collapsed="false">
      <c r="B4169" s="40" t="str">
        <f aca="false">IFERROR(INDEX($J$4168:$J$4171,MATCH($O4169,$N$4168:$N$4171,0)),"")</f>
        <v/>
      </c>
      <c r="C4169" s="41" t="str">
        <f aca="false">IFERROR(INDEX($K$4168:$K$4171,MATCH($O4169,$N$4168:$N$4171,0)),"")</f>
        <v/>
      </c>
      <c r="D4169" s="42" t="str">
        <f aca="false">IF(OR(E4169="",N(C4169)=0),"",E4169/C4169-1)</f>
        <v/>
      </c>
      <c r="E4169" s="41" t="str">
        <f aca="false">IFERROR(INDEX($L$4168:$L$4171,MATCH($O4169,$N$4168:$N$4171,0)),"")</f>
        <v/>
      </c>
      <c r="F4169" s="41" t="str">
        <f aca="false">IF(E4169="","",E4169-C4169)</f>
        <v/>
      </c>
      <c r="J4169" s="25" t="str">
        <f aca="false">Lib_Paye</f>
        <v>Mission sociale (bulletins de paie, DSN, déclarations sociales)</v>
      </c>
      <c r="K4169" s="25" t="n">
        <f aca="false">IF($K$4141=0,0,N(INDEX(Clients!$L$2:$L$501,$K$4141)))</f>
        <v>0</v>
      </c>
      <c r="L4169" s="25" t="n">
        <f aca="false">IF($K$4141=0,0,N(INDEX(Clients!$Q$2:$Q$501,$K$4141)))</f>
        <v>0</v>
      </c>
      <c r="M4169" s="25" t="n">
        <f aca="false">IF(OR(K4169&lt;&gt;0,L4169&lt;&gt;0),1,0)</f>
        <v>0</v>
      </c>
      <c r="N4169" s="25" t="str">
        <f aca="false">IF(M4169=1,SUM($M$4168:M4169),"")</f>
        <v/>
      </c>
      <c r="O4169" s="25" t="n">
        <v>2</v>
      </c>
    </row>
    <row r="4170" customFormat="false" ht="16.5" hidden="false" customHeight="true" outlineLevel="0" collapsed="false">
      <c r="B4170" s="40" t="str">
        <f aca="false">IFERROR(INDEX($J$4168:$J$4171,MATCH($O4170,$N$4168:$N$4171,0)),"")</f>
        <v/>
      </c>
      <c r="C4170" s="41" t="str">
        <f aca="false">IFERROR(INDEX($K$4168:$K$4171,MATCH($O4170,$N$4168:$N$4171,0)),"")</f>
        <v/>
      </c>
      <c r="D4170" s="42" t="str">
        <f aca="false">IF(OR(E4170="",N(C4170)=0),"",E4170/C4170-1)</f>
        <v/>
      </c>
      <c r="E4170" s="41" t="str">
        <f aca="false">IFERROR(INDEX($L$4168:$L$4171,MATCH($O4170,$N$4168:$N$4171,0)),"")</f>
        <v/>
      </c>
      <c r="F4170" s="41" t="str">
        <f aca="false">IF(E4170="","",E4170-C4170)</f>
        <v/>
      </c>
      <c r="J4170" s="25" t="str">
        <f aca="false">Lib_Jur</f>
        <v>Mission juridique (approbation des comptes, secrétariat juridique)</v>
      </c>
      <c r="K4170" s="25" t="n">
        <f aca="false">IF($K$4141=0,0,N(INDEX(Clients!$M$2:$M$501,$K$4141)))</f>
        <v>0</v>
      </c>
      <c r="L4170" s="25" t="n">
        <f aca="false">IF($K$4141=0,0,N(INDEX(Clients!$R$2:$R$501,$K$4141)))</f>
        <v>0</v>
      </c>
      <c r="M4170" s="25" t="n">
        <f aca="false">IF(OR(K4170&lt;&gt;0,L4170&lt;&gt;0),1,0)</f>
        <v>0</v>
      </c>
      <c r="N4170" s="25" t="str">
        <f aca="false">IF(M4170=1,SUM($M$4168:M4170),"")</f>
        <v/>
      </c>
      <c r="O4170" s="25" t="n">
        <v>3</v>
      </c>
    </row>
    <row r="4171" customFormat="false" ht="16.5" hidden="false" customHeight="true" outlineLevel="0" collapsed="false">
      <c r="B4171" s="40" t="str">
        <f aca="false">IFERROR(INDEX($J$4168:$J$4171,MATCH($O4171,$N$4168:$N$4171,0)),"")</f>
        <v/>
      </c>
      <c r="C4171" s="41" t="str">
        <f aca="false">IFERROR(INDEX($K$4168:$K$4171,MATCH($O4171,$N$4168:$N$4171,0)),"")</f>
        <v/>
      </c>
      <c r="D4171" s="42" t="str">
        <f aca="false">IF(OR(E4171="",N(C4171)=0),"",E4171/C4171-1)</f>
        <v/>
      </c>
      <c r="E4171" s="41" t="str">
        <f aca="false">IFERROR(INDEX($L$4168:$L$4171,MATCH($O4171,$N$4168:$N$4171,0)),"")</f>
        <v/>
      </c>
      <c r="F4171" s="41" t="str">
        <f aca="false">IF(E4171="","",E4171-C4171)</f>
        <v/>
      </c>
      <c r="J4171" s="25" t="str">
        <f aca="false">Lib_PA</f>
        <v>Plateforme agréée – facturation électronique</v>
      </c>
      <c r="K4171" s="25" t="n">
        <f aca="false">IF($K$4141=0,0,N(INDEX(Clients!$N$2:$N$501,$K$4141)))</f>
        <v>0</v>
      </c>
      <c r="L4171" s="25" t="n">
        <f aca="false">IF($K$4141=0,0,N(INDEX(Clients!$S$2:$S$501,$K$4141)))</f>
        <v>0</v>
      </c>
      <c r="M4171" s="25" t="n">
        <f aca="false">IF(OR(K4171&lt;&gt;0,L4171&lt;&gt;0),1,0)</f>
        <v>0</v>
      </c>
      <c r="N4171" s="25" t="str">
        <f aca="false">IF(M4171=1,SUM($M$4168:M4171),"")</f>
        <v/>
      </c>
      <c r="O4171" s="25" t="n">
        <v>4</v>
      </c>
    </row>
    <row r="4172" customFormat="false" ht="18" hidden="false" customHeight="true" outlineLevel="0" collapsed="false">
      <c r="B4172" s="43" t="s">
        <v>158</v>
      </c>
      <c r="C4172" s="44" t="n">
        <f aca="false">SUM(K4168:K4171)</f>
        <v>0</v>
      </c>
      <c r="D4172" s="45" t="str">
        <f aca="false">IF(N(C4172)=0,"",E4172/C4172-1)</f>
        <v/>
      </c>
      <c r="E4172" s="44" t="n">
        <f aca="false">SUM(L4168:L4171)</f>
        <v>0</v>
      </c>
      <c r="F4172" s="44" t="n">
        <f aca="false">E4172-C4172</f>
        <v>0</v>
      </c>
    </row>
    <row r="4173" customFormat="false" ht="15" hidden="false" customHeight="false" outlineLevel="0" collapsed="false">
      <c r="B4173" s="46" t="str">
        <f aca="false">IF(N(Nb_Mensualites)=0,"","Soit "&amp;FIXED(E4172/Nb_Mensualites,2)&amp;" € HT par échéance ("&amp;Nb_Mensualites&amp;" échéances), "&amp;FIXED(E4172/Nb_Mensualites*(1+Taux_TVA),2)&amp;" € TTC.")</f>
        <v>Soit 0.00 € HT par échéance (12 échéances), 0.00 € TTC.</v>
      </c>
      <c r="C4173" s="46"/>
      <c r="D4173" s="46"/>
      <c r="E4173" s="46"/>
      <c r="F4173" s="46"/>
    </row>
    <row r="4174" customFormat="false" ht="7.5" hidden="false" customHeight="true" outlineLevel="0" collapsed="false">
      <c r="B4174" s="10"/>
      <c r="C4174" s="10"/>
      <c r="D4174" s="10"/>
      <c r="E4174" s="10"/>
      <c r="F4174" s="10"/>
    </row>
    <row r="4175" customFormat="false" ht="36.75" hidden="false" customHeight="true" outlineLevel="0" collapsed="false">
      <c r="B4175" s="37" t="str">
        <f aca="false">SUBSTITUTE(SUBSTITUTE(SUBSTITUTE(SUBSTITUTE(SUBSTITUTE(Txt_P5,"{cabinet}",Cab_Nom),"{societe}",IF($K$4141=0,"",INDEX(Clients!$E$2:$E$501,$K$4141)&amp;"")),"{date_effet}",$K$4143),"{hausse}",$K$4144),"{civilite}",$K$4142)</f>
        <v>Les autres conditions de votre lettre de mission demeurent inchangées. Les nouveaux montants seront appliqués automatiquement sur vos prochaines factures et échéances de prélèvement.</v>
      </c>
      <c r="C4175" s="37"/>
      <c r="D4175" s="37"/>
      <c r="E4175" s="37"/>
      <c r="F4175" s="37"/>
    </row>
    <row r="4176" customFormat="false" ht="36.75" hidden="false" customHeight="true" outlineLevel="0" collapsed="false">
      <c r="B4176" s="37" t="str">
        <f aca="false">SUBSTITUTE(SUBSTITUTE(SUBSTITUTE(SUBSTITUTE(SUBSTITUTE(Txt_P6,"{cabinet}",Cab_Nom),"{societe}",IF($K$4141=0,"",INDEX(Clients!$E$2:$E$501,$K$4141)&amp;"")),"{date_effet}",$K$4143),"{hausse}",$K$4144),"{civilite}",$K$4142)</f>
        <v>Votre interlocuteur habituel reste à votre entière disposition pour répondre à vos questions et faire le point sur l'évolution de vos besoins.</v>
      </c>
      <c r="C4176" s="37"/>
      <c r="D4176" s="37"/>
      <c r="E4176" s="37"/>
      <c r="F4176" s="37"/>
    </row>
    <row r="4177" customFormat="false" ht="24" hidden="false" customHeight="true" outlineLevel="0" collapsed="false">
      <c r="B4177" s="37" t="str">
        <f aca="false">SUBSTITUTE(SUBSTITUTE(SUBSTITUTE(SUBSTITUTE(SUBSTITUTE(Txt_Politesse,"{cabinet}",Cab_Nom),"{societe}",IF($K$4141=0,"",INDEX(Clients!$E$2:$E$501,$K$4141)&amp;"")),"{date_effet}",$K$4143),"{hausse}",$K$4144),"{civilite}",$K$4142)</f>
        <v>Nous vous prions d'agréer, Madame, Monsieur, l'expression de nos salutations distinguées.</v>
      </c>
      <c r="C4177" s="37"/>
      <c r="D4177" s="37"/>
      <c r="E4177" s="37"/>
      <c r="F4177" s="37"/>
    </row>
    <row r="4178" customFormat="false" ht="15" hidden="false" customHeight="false" outlineLevel="0" collapsed="false">
      <c r="B4178" s="10"/>
      <c r="C4178" s="10"/>
      <c r="D4178" s="10"/>
      <c r="E4178" s="10"/>
      <c r="F4178" s="10"/>
    </row>
    <row r="4179" customFormat="false" ht="15" hidden="false" customHeight="false" outlineLevel="0" collapsed="false">
      <c r="B4179" s="10"/>
      <c r="C4179" s="10"/>
      <c r="D4179" s="34" t="str">
        <f aca="false">Signataire</f>
        <v>Prénom NOM</v>
      </c>
      <c r="E4179" s="34"/>
      <c r="F4179" s="34"/>
    </row>
    <row r="4180" customFormat="false" ht="15" hidden="false" customHeight="false" outlineLevel="0" collapsed="false">
      <c r="B4180" s="10"/>
      <c r="C4180" s="10"/>
      <c r="D4180" s="47" t="str">
        <f aca="false">Signataire_Titre</f>
        <v>Expert-comptable associé</v>
      </c>
      <c r="E4180" s="47"/>
      <c r="F4180" s="47"/>
    </row>
    <row r="4181" customFormat="false" ht="15.75" hidden="false" customHeight="true" outlineLevel="0" collapsed="false">
      <c r="B4181" s="10"/>
      <c r="C4181" s="10"/>
      <c r="D4181" s="10"/>
      <c r="E4181" s="10"/>
      <c r="F4181" s="10"/>
    </row>
    <row r="4182" customFormat="false" ht="15.75" hidden="false" customHeight="true" outlineLevel="0" collapsed="false">
      <c r="B4182" s="10"/>
      <c r="C4182" s="10"/>
      <c r="D4182" s="10"/>
      <c r="E4182" s="10"/>
      <c r="F4182" s="10"/>
    </row>
    <row r="4183" customFormat="false" ht="15.75" hidden="false" customHeight="true" outlineLevel="0" collapsed="false">
      <c r="B4183" s="10"/>
      <c r="C4183" s="10"/>
      <c r="D4183" s="10"/>
      <c r="E4183" s="10"/>
      <c r="F4183" s="10"/>
    </row>
    <row r="4184" customFormat="false" ht="15.75" hidden="false" customHeight="true" outlineLevel="0" collapsed="false">
      <c r="B4184" s="10"/>
      <c r="C4184" s="10"/>
      <c r="D4184" s="10"/>
      <c r="E4184" s="10"/>
      <c r="F4184" s="10"/>
    </row>
    <row r="4185" customFormat="false" ht="24" hidden="false" customHeight="true" outlineLevel="0" collapsed="false">
      <c r="B4185" s="48" t="str">
        <f aca="false">Cab_Mentions</f>
        <v>ALTHO EXPERTISE · SAS au capital de 10 000 € · RCS Pontoise 919 706 325 · TVA FR62919706325 · Société d'expertise comptable inscrite au Tableau de l'Ordre des experts-comptables de Paris Île-de-France</v>
      </c>
      <c r="C4185" s="48"/>
      <c r="D4185" s="48"/>
      <c r="E4185" s="48"/>
      <c r="F4185" s="48"/>
    </row>
    <row r="4186" customFormat="false" ht="15" hidden="false" customHeight="false" outlineLevel="0" collapsed="false">
      <c r="B4186" s="10"/>
      <c r="C4186" s="10"/>
      <c r="D4186" s="10"/>
      <c r="E4186" s="10"/>
      <c r="F4186" s="10"/>
      <c r="J4186" s="25" t="s">
        <v>142</v>
      </c>
      <c r="K4186" s="25" t="n">
        <f aca="false">IFERROR(MATCH(94,Clients!$Z$2:$Z$501,0),0)</f>
        <v>0</v>
      </c>
      <c r="L4186" s="25"/>
      <c r="M4186" s="25"/>
      <c r="N4186" s="25"/>
      <c r="O4186" s="25"/>
    </row>
    <row r="4187" customFormat="false" ht="21.75" hidden="false" customHeight="true" outlineLevel="0" collapsed="false">
      <c r="B4187" s="26" t="str">
        <f aca="false">Cab_Nom</f>
        <v>ALTHO EXPERTISE</v>
      </c>
      <c r="C4187" s="26"/>
      <c r="D4187" s="10"/>
      <c r="E4187" s="27" t="str">
        <f aca="false">IF($K$4186=0,"","Réf. client : "&amp;INDEX(Clients!$A$2:$A$501,$K$4186))</f>
        <v/>
      </c>
      <c r="F4187" s="27"/>
      <c r="J4187" s="25" t="s">
        <v>144</v>
      </c>
      <c r="K4187" s="25" t="str">
        <f aca="false">IF(IF($K$4186=0,"",INDEX(Clients!$B$2:$B$501,$K$4186)&amp;"")="Mme","Madame",IF(IF($K$4186=0,"",INDEX(Clients!$B$2:$B$501,$K$4186)&amp;"")="M.","Monsieur","Madame, Monsieur"))</f>
        <v>Madame, Monsieur</v>
      </c>
      <c r="L4187" s="25"/>
      <c r="M4187" s="25"/>
      <c r="N4187" s="25"/>
      <c r="O4187" s="25"/>
    </row>
    <row r="4188" customFormat="false" ht="15" hidden="false" customHeight="false" outlineLevel="0" collapsed="false">
      <c r="B4188" s="29" t="str">
        <f aca="false">Cab_Adr1</f>
        <v>141 rue Charles de Gaulle</v>
      </c>
      <c r="C4188" s="29"/>
      <c r="D4188" s="10"/>
      <c r="E4188" s="10"/>
      <c r="F4188" s="10"/>
      <c r="J4188" s="25" t="s">
        <v>145</v>
      </c>
      <c r="K4188" s="25" t="str">
        <f aca="false">DAY(Date_Effet)&amp;IF(DAY(Date_Effet)=1,"er","")&amp;" "&amp;INDEX(Liste_Mois,MONTH(Date_Effet))&amp;" "&amp;YEAR(Date_Effet)</f>
        <v>1er janvier 2027</v>
      </c>
      <c r="L4188" s="25"/>
      <c r="M4188" s="25"/>
      <c r="N4188" s="25"/>
      <c r="O4188" s="25"/>
    </row>
    <row r="4189" customFormat="false" ht="15" hidden="false" customHeight="false" outlineLevel="0" collapsed="false">
      <c r="B4189" s="29" t="str">
        <f aca="false">Cab_CPVille</f>
        <v>95130 LE PLESSIS-BOUCHARD</v>
      </c>
      <c r="C4189" s="29"/>
      <c r="D4189" s="10"/>
      <c r="E4189" s="10"/>
      <c r="F4189" s="10"/>
      <c r="J4189" s="25" t="s">
        <v>146</v>
      </c>
      <c r="K4189" s="25" t="str">
        <f aca="false">IF(SUM($K$4213:$K$4216)=0,"",FIXED((SUM($L$4213:$L$4216)/SUM($K$4213:$K$4216)-1)*100,1)&amp;" %")</f>
        <v/>
      </c>
      <c r="L4189" s="25"/>
      <c r="M4189" s="25"/>
      <c r="N4189" s="25"/>
      <c r="O4189" s="25"/>
    </row>
    <row r="4190" customFormat="false" ht="15" hidden="false" customHeight="false" outlineLevel="0" collapsed="false">
      <c r="B4190" s="29" t="str">
        <f aca="false">Cab_Contact</f>
        <v>Tél. 01 34 14 53 45  ·  altho@altho-experts.com  ·  altho-experts.com</v>
      </c>
      <c r="C4190" s="29"/>
      <c r="D4190" s="10"/>
      <c r="E4190" s="10"/>
      <c r="F4190" s="10"/>
      <c r="J4190" s="25"/>
      <c r="K4190" s="25"/>
      <c r="L4190" s="25"/>
      <c r="M4190" s="25"/>
      <c r="N4190" s="25"/>
      <c r="O4190" s="25"/>
    </row>
    <row r="4191" customFormat="false" ht="6" hidden="false" customHeight="true" outlineLevel="0" collapsed="false">
      <c r="B4191" s="32"/>
      <c r="C4191" s="32"/>
      <c r="D4191" s="32"/>
      <c r="E4191" s="32"/>
      <c r="F4191" s="32"/>
      <c r="J4191" s="25"/>
      <c r="K4191" s="25"/>
      <c r="L4191" s="25"/>
      <c r="M4191" s="25"/>
      <c r="N4191" s="25"/>
      <c r="O4191" s="25"/>
    </row>
    <row r="4192" customFormat="false" ht="13.5" hidden="false" customHeight="true" outlineLevel="0" collapsed="false">
      <c r="B4192" s="10"/>
      <c r="C4192" s="10"/>
      <c r="D4192" s="10"/>
      <c r="E4192" s="10"/>
      <c r="F4192" s="10"/>
      <c r="J4192" s="25"/>
      <c r="K4192" s="25"/>
      <c r="L4192" s="25"/>
      <c r="M4192" s="25"/>
      <c r="N4192" s="25"/>
      <c r="O4192" s="25"/>
    </row>
    <row r="4193" customFormat="false" ht="13.5" hidden="false" customHeight="true" outlineLevel="0" collapsed="false">
      <c r="B4193" s="10"/>
      <c r="C4193" s="10"/>
      <c r="D4193" s="10"/>
      <c r="E4193" s="10"/>
      <c r="F4193" s="10"/>
      <c r="J4193" s="25"/>
      <c r="K4193" s="25"/>
      <c r="L4193" s="25"/>
      <c r="M4193" s="25"/>
      <c r="N4193" s="25"/>
      <c r="O4193" s="25"/>
    </row>
    <row r="4194" customFormat="false" ht="13.5" hidden="false" customHeight="true" outlineLevel="0" collapsed="false">
      <c r="B4194" s="10"/>
      <c r="C4194" s="10"/>
      <c r="D4194" s="10"/>
      <c r="E4194" s="10"/>
      <c r="F4194" s="10"/>
      <c r="J4194" s="25"/>
      <c r="K4194" s="25"/>
      <c r="L4194" s="25"/>
      <c r="M4194" s="25"/>
      <c r="N4194" s="25"/>
      <c r="O4194" s="25"/>
    </row>
    <row r="4195" customFormat="false" ht="15" hidden="false" customHeight="true" outlineLevel="0" collapsed="false">
      <c r="B4195" s="10"/>
      <c r="C4195" s="10"/>
      <c r="D4195" s="34" t="str">
        <f aca="false">IF($K$4186=0,"",INDEX(Clients!$E$2:$E$501,$K$4186)&amp;"")</f>
        <v/>
      </c>
      <c r="E4195" s="34"/>
      <c r="F4195" s="34"/>
      <c r="J4195" s="25"/>
      <c r="K4195" s="25"/>
      <c r="L4195" s="25"/>
      <c r="M4195" s="25"/>
      <c r="N4195" s="25"/>
      <c r="O4195" s="25"/>
    </row>
    <row r="4196" customFormat="false" ht="15" hidden="false" customHeight="true" outlineLevel="0" collapsed="false">
      <c r="B4196" s="10"/>
      <c r="C4196" s="10"/>
      <c r="D4196" s="35" t="str">
        <f aca="false">IF(IF($K$4186=0,"",INDEX(Clients!$D$2:$D$501,$K$4186)&amp;"")="","","À l'attention de "&amp;TRIM(IF($K$4186=0,"",INDEX(Clients!$B$2:$B$501,$K$4186)&amp;"")&amp;" "&amp;IF($K$4186=0,"",INDEX(Clients!$C$2:$C$501,$K$4186)&amp;"")&amp;" "&amp;IF($K$4186=0,"",INDEX(Clients!$D$2:$D$501,$K$4186)&amp;"")))</f>
        <v/>
      </c>
      <c r="E4196" s="35"/>
      <c r="F4196" s="35"/>
      <c r="J4196" s="25"/>
      <c r="K4196" s="25"/>
      <c r="L4196" s="25"/>
      <c r="M4196" s="25"/>
      <c r="N4196" s="25"/>
      <c r="O4196" s="25"/>
    </row>
    <row r="4197" customFormat="false" ht="15" hidden="false" customHeight="true" outlineLevel="0" collapsed="false">
      <c r="B4197" s="10"/>
      <c r="C4197" s="10"/>
      <c r="D4197" s="35" t="str">
        <f aca="false">IF($K$4186=0,"",INDEX(Clients!$F$2:$F$501,$K$4186)&amp;"")</f>
        <v/>
      </c>
      <c r="E4197" s="35"/>
      <c r="F4197" s="35"/>
      <c r="J4197" s="25"/>
      <c r="K4197" s="25"/>
      <c r="L4197" s="25"/>
      <c r="M4197" s="25"/>
      <c r="N4197" s="25"/>
      <c r="O4197" s="25"/>
    </row>
    <row r="4198" customFormat="false" ht="15" hidden="false" customHeight="true" outlineLevel="0" collapsed="false">
      <c r="B4198" s="10"/>
      <c r="C4198" s="10"/>
      <c r="D4198" s="35" t="str">
        <f aca="false">IF(IF($K$4186=0,"",INDEX(Clients!$G$2:$G$501,$K$4186)&amp;"")="",TRIM(IF($K$4186=0,"",INDEX(Clients!$H$2:$H$501,$K$4186)&amp;"")&amp;" "&amp;UPPER(IF($K$4186=0,"",INDEX(Clients!$I$2:$I$501,$K$4186)&amp;""))),IF($K$4186=0,"",INDEX(Clients!$G$2:$G$501,$K$4186)&amp;""))</f>
        <v/>
      </c>
      <c r="E4198" s="35"/>
      <c r="F4198" s="35"/>
      <c r="J4198" s="25"/>
      <c r="K4198" s="25"/>
      <c r="L4198" s="25"/>
      <c r="M4198" s="25"/>
      <c r="N4198" s="25"/>
      <c r="O4198" s="25"/>
    </row>
    <row r="4199" customFormat="false" ht="15" hidden="false" customHeight="true" outlineLevel="0" collapsed="false">
      <c r="B4199" s="10"/>
      <c r="C4199" s="10"/>
      <c r="D4199" s="35" t="str">
        <f aca="false">IF(IF($K$4186=0,"",INDEX(Clients!$G$2:$G$501,$K$4186)&amp;"")="","",TRIM(IF($K$4186=0,"",INDEX(Clients!$H$2:$H$501,$K$4186)&amp;"")&amp;" "&amp;UPPER(IF($K$4186=0,"",INDEX(Clients!$I$2:$I$501,$K$4186)&amp;""))))</f>
        <v/>
      </c>
      <c r="E4199" s="35"/>
      <c r="F4199" s="35"/>
      <c r="J4199" s="25"/>
      <c r="K4199" s="25"/>
      <c r="L4199" s="25"/>
      <c r="M4199" s="25"/>
      <c r="N4199" s="25"/>
      <c r="O4199" s="25"/>
    </row>
    <row r="4200" customFormat="false" ht="25.5" hidden="false" customHeight="true" outlineLevel="0" collapsed="false">
      <c r="B4200" s="10"/>
      <c r="C4200" s="10"/>
      <c r="D4200" s="10"/>
      <c r="E4200" s="10"/>
      <c r="F4200" s="10"/>
      <c r="J4200" s="25"/>
      <c r="K4200" s="25"/>
      <c r="L4200" s="25"/>
      <c r="M4200" s="25"/>
      <c r="N4200" s="25"/>
      <c r="O4200" s="25"/>
    </row>
    <row r="4201" customFormat="false" ht="15" hidden="false" customHeight="false" outlineLevel="0" collapsed="false">
      <c r="B4201" s="10"/>
      <c r="C4201" s="10"/>
      <c r="D4201" s="36" t="str">
        <f aca="false">Cab_Ville&amp;", le "&amp;DAY(Date_Courrier)&amp;IF(DAY(Date_Courrier)=1,"er","")&amp;" "&amp;INDEX(Liste_Mois,MONTH(Date_Courrier))&amp;" "&amp;YEAR(Date_Courrier)</f>
        <v>Le Plessis-Bouchard, le 22 septembre 2026</v>
      </c>
      <c r="E4201" s="36"/>
      <c r="F4201" s="36"/>
      <c r="J4201" s="25"/>
      <c r="K4201" s="25"/>
      <c r="L4201" s="25"/>
      <c r="M4201" s="25"/>
      <c r="N4201" s="25"/>
      <c r="O4201" s="25"/>
    </row>
    <row r="4202" customFormat="false" ht="19.5" hidden="false" customHeight="true" outlineLevel="0" collapsed="false">
      <c r="B4202" s="10"/>
      <c r="C4202" s="10"/>
      <c r="D4202" s="10"/>
      <c r="E4202" s="10"/>
      <c r="F4202" s="10"/>
      <c r="J4202" s="25"/>
      <c r="K4202" s="25"/>
      <c r="L4202" s="25"/>
      <c r="M4202" s="25"/>
      <c r="N4202" s="25"/>
      <c r="O4202" s="25"/>
    </row>
    <row r="4203" customFormat="false" ht="15" hidden="false" customHeight="false" outlineLevel="0" collapsed="false">
      <c r="B4203" s="34" t="str">
        <f aca="false">SUBSTITUTE(SUBSTITUTE(SUBSTITUTE(SUBSTITUTE(SUBSTITUTE(Txt_Objet,"{cabinet}",Cab_Nom),"{societe}",IF($K$4186=0,"",INDEX(Clients!$E$2:$E$501,$K$4186)&amp;"")),"{date_effet}",$K$4188),"{hausse}",$K$4189),"{civilite}",$K$4187)</f>
        <v>Objet : révision de nos honoraires au 1er janvier 2027</v>
      </c>
      <c r="C4203" s="34"/>
      <c r="D4203" s="34"/>
      <c r="E4203" s="34"/>
      <c r="F4203" s="34"/>
      <c r="J4203" s="25"/>
      <c r="K4203" s="25"/>
      <c r="L4203" s="25"/>
      <c r="M4203" s="25"/>
      <c r="N4203" s="25"/>
      <c r="O4203" s="25"/>
    </row>
    <row r="4204" customFormat="false" ht="13.5" hidden="false" customHeight="true" outlineLevel="0" collapsed="false">
      <c r="B4204" s="10"/>
      <c r="C4204" s="10"/>
      <c r="D4204" s="10"/>
      <c r="E4204" s="10"/>
      <c r="F4204" s="10"/>
      <c r="J4204" s="25"/>
      <c r="K4204" s="25"/>
      <c r="L4204" s="25"/>
      <c r="M4204" s="25"/>
      <c r="N4204" s="25"/>
      <c r="O4204" s="25"/>
    </row>
    <row r="4205" customFormat="false" ht="15" hidden="false" customHeight="false" outlineLevel="0" collapsed="false">
      <c r="B4205" s="10" t="str">
        <f aca="false">$K$4187&amp;","</f>
        <v>Madame, Monsieur,</v>
      </c>
      <c r="C4205" s="10"/>
      <c r="D4205" s="10"/>
      <c r="E4205" s="10"/>
      <c r="F4205" s="10"/>
      <c r="J4205" s="25"/>
      <c r="K4205" s="25"/>
      <c r="L4205" s="25"/>
      <c r="M4205" s="25"/>
      <c r="N4205" s="25"/>
      <c r="O4205" s="25"/>
    </row>
    <row r="4206" customFormat="false" ht="6" hidden="false" customHeight="true" outlineLevel="0" collapsed="false">
      <c r="B4206" s="10"/>
      <c r="C4206" s="10"/>
      <c r="D4206" s="10"/>
      <c r="E4206" s="10"/>
      <c r="F4206" s="10"/>
      <c r="J4206" s="25"/>
      <c r="K4206" s="25"/>
      <c r="L4206" s="25"/>
      <c r="M4206" s="25"/>
      <c r="N4206" s="25"/>
      <c r="O4206" s="25"/>
    </row>
    <row r="4207" customFormat="false" ht="36.75" hidden="false" customHeight="true" outlineLevel="0" collapsed="false">
      <c r="B4207" s="37" t="str">
        <f aca="false">SUBSTITUTE(SUBSTITUTE(SUBSTITUTE(SUBSTITUTE(SUBSTITUTE(Txt_P1,"{cabinet}",Cab_Nom),"{societe}",IF($K$4186=0,"",INDEX(Clients!$E$2:$E$501,$K$4186)&amp;"")),"{date_effet}",$K$4188),"{hausse}",$K$4189),"{civilite}",$K$4187)</f>
        <v>Nous tenons tout d'abord à vous remercier pour la confiance que vous accordez à ALTHO EXPERTISE. Comme chaque année, et conformément aux dispositions de votre lettre de mission, nous procédons à la révision de nos honoraires.</v>
      </c>
      <c r="C4207" s="37"/>
      <c r="D4207" s="37"/>
      <c r="E4207" s="37"/>
      <c r="F4207" s="37"/>
      <c r="J4207" s="25"/>
      <c r="K4207" s="25"/>
      <c r="L4207" s="25"/>
      <c r="M4207" s="25"/>
      <c r="N4207" s="25"/>
      <c r="O4207" s="25"/>
    </row>
    <row r="4208" customFormat="false" ht="49.5" hidden="false" customHeight="true" outlineLevel="0" collapsed="false">
      <c r="B4208" s="37" t="str">
        <f aca="false">SUBSTITUTE(SUBSTITUTE(SUBSTITUTE(SUBSTITUTE(SUBSTITUTE(Txt_P2,"{cabinet}",Cab_Nom),"{societe}",IF($K$4186=0,"",INDEX(Clients!$E$2:$E$501,$K$4186)&amp;"")),"{date_effet}",$K$4188),"{hausse}",$K$4189),"{civilite}",$K$4187)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208" s="37"/>
      <c r="D4208" s="37"/>
      <c r="E4208" s="37"/>
      <c r="F4208" s="37"/>
      <c r="J4208" s="25"/>
      <c r="K4208" s="25"/>
      <c r="L4208" s="25"/>
      <c r="M4208" s="25"/>
      <c r="N4208" s="25"/>
      <c r="O4208" s="25"/>
    </row>
    <row r="4209" customFormat="false" ht="63" hidden="false" customHeight="true" outlineLevel="0" collapsed="false">
      <c r="B4209" s="37" t="str">
        <f aca="false">SUBSTITUTE(SUBSTITUTE(SUBSTITUTE(SUBSTITUTE(SUBSTITUTE(Txt_P3,"{cabinet}",Cab_Nom),"{societe}",IF($K$4186=0,"",INDEX(Clients!$E$2:$E$501,$K$4186)&amp;"")),"{date_effet}",$K$4188),"{hausse}",$K$4189),"{civilite}",$K$4187)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209" s="37"/>
      <c r="D4209" s="37"/>
      <c r="E4209" s="37"/>
      <c r="F4209" s="37"/>
      <c r="J4209" s="25"/>
      <c r="K4209" s="25"/>
      <c r="L4209" s="25"/>
      <c r="M4209" s="25"/>
      <c r="N4209" s="25"/>
      <c r="O4209" s="25"/>
    </row>
    <row r="4210" customFormat="false" ht="24" hidden="false" customHeight="true" outlineLevel="0" collapsed="false">
      <c r="B4210" s="37" t="str">
        <f aca="false">SUBSTITUTE(SUBSTITUTE(SUBSTITUTE(SUBSTITUTE(SUBSTITUTE(Txt_P4,"{cabinet}",Cab_Nom),"{societe}",IF($K$4186=0,"",INDEX(Clients!$E$2:$E$501,$K$4186)&amp;"")),"{date_effet}",$K$4188),"{hausse}",$K$4189),"{civilite}",$K$4187)</f>
        <v>À compter du 1er janvier 2027, vos honoraires annuels hors taxes évolueront ainsi (évolution globale : ) :</v>
      </c>
      <c r="C4210" s="37"/>
      <c r="D4210" s="37"/>
      <c r="E4210" s="37"/>
      <c r="F4210" s="37"/>
      <c r="J4210" s="25"/>
      <c r="K4210" s="25"/>
      <c r="L4210" s="25"/>
      <c r="M4210" s="25"/>
      <c r="N4210" s="25"/>
      <c r="O4210" s="25"/>
    </row>
    <row r="4211" customFormat="false" ht="3.75" hidden="false" customHeight="true" outlineLevel="0" collapsed="false">
      <c r="B4211" s="10"/>
      <c r="C4211" s="10"/>
      <c r="D4211" s="10"/>
      <c r="E4211" s="10"/>
      <c r="F4211" s="10"/>
      <c r="J4211" s="25"/>
      <c r="K4211" s="25"/>
      <c r="L4211" s="25"/>
      <c r="M4211" s="25"/>
      <c r="N4211" s="25"/>
      <c r="O4211" s="25"/>
    </row>
    <row r="4212" customFormat="false" ht="18" hidden="false" customHeight="true" outlineLevel="0" collapsed="false">
      <c r="B4212" s="38" t="s">
        <v>148</v>
      </c>
      <c r="C4212" s="39" t="s">
        <v>149</v>
      </c>
      <c r="D4212" s="39" t="s">
        <v>150</v>
      </c>
      <c r="E4212" s="39" t="s">
        <v>151</v>
      </c>
      <c r="F4212" s="39" t="s">
        <v>109</v>
      </c>
      <c r="J4212" s="25" t="s">
        <v>152</v>
      </c>
      <c r="K4212" s="25" t="s">
        <v>153</v>
      </c>
      <c r="L4212" s="25" t="s">
        <v>154</v>
      </c>
      <c r="M4212" s="25" t="s">
        <v>155</v>
      </c>
      <c r="N4212" s="25" t="s">
        <v>156</v>
      </c>
      <c r="O4212" s="25" t="s">
        <v>157</v>
      </c>
    </row>
    <row r="4213" customFormat="false" ht="16.5" hidden="false" customHeight="true" outlineLevel="0" collapsed="false">
      <c r="B4213" s="40" t="str">
        <f aca="false">IFERROR(INDEX($J$4213:$J$4216,MATCH($O4213,$N$4213:$N$4216,0)),"")</f>
        <v/>
      </c>
      <c r="C4213" s="41" t="str">
        <f aca="false">IFERROR(INDEX($K$4213:$K$4216,MATCH($O4213,$N$4213:$N$4216,0)),"")</f>
        <v/>
      </c>
      <c r="D4213" s="42" t="str">
        <f aca="false">IF(OR(E4213="",N(C4213)=0),"",E4213/C4213-1)</f>
        <v/>
      </c>
      <c r="E4213" s="41" t="str">
        <f aca="false">IFERROR(INDEX($L$4213:$L$4216,MATCH($O4213,$N$4213:$N$4216,0)),"")</f>
        <v/>
      </c>
      <c r="F4213" s="41" t="str">
        <f aca="false">IF(E4213="","",E4213-C4213)</f>
        <v/>
      </c>
      <c r="J4213" s="25" t="str">
        <f aca="false">Lib_Compta</f>
        <v>Mission comptable (tenue, révision, bilan, liasse fiscale)</v>
      </c>
      <c r="K4213" s="25" t="n">
        <f aca="false">IF($K$4186=0,0,N(INDEX(Clients!$K$2:$K$501,$K$4186)))</f>
        <v>0</v>
      </c>
      <c r="L4213" s="25" t="n">
        <f aca="false">IF($K$4186=0,0,N(INDEX(Clients!$P$2:$P$501,$K$4186)))</f>
        <v>0</v>
      </c>
      <c r="M4213" s="25" t="n">
        <f aca="false">IF(OR(K4213&lt;&gt;0,L4213&lt;&gt;0),1,0)</f>
        <v>0</v>
      </c>
      <c r="N4213" s="25" t="str">
        <f aca="false">IF(M4213=1,SUM($M$4213:M4213),"")</f>
        <v/>
      </c>
      <c r="O4213" s="25" t="n">
        <v>1</v>
      </c>
    </row>
    <row r="4214" customFormat="false" ht="16.5" hidden="false" customHeight="true" outlineLevel="0" collapsed="false">
      <c r="B4214" s="40" t="str">
        <f aca="false">IFERROR(INDEX($J$4213:$J$4216,MATCH($O4214,$N$4213:$N$4216,0)),"")</f>
        <v/>
      </c>
      <c r="C4214" s="41" t="str">
        <f aca="false">IFERROR(INDEX($K$4213:$K$4216,MATCH($O4214,$N$4213:$N$4216,0)),"")</f>
        <v/>
      </c>
      <c r="D4214" s="42" t="str">
        <f aca="false">IF(OR(E4214="",N(C4214)=0),"",E4214/C4214-1)</f>
        <v/>
      </c>
      <c r="E4214" s="41" t="str">
        <f aca="false">IFERROR(INDEX($L$4213:$L$4216,MATCH($O4214,$N$4213:$N$4216,0)),"")</f>
        <v/>
      </c>
      <c r="F4214" s="41" t="str">
        <f aca="false">IF(E4214="","",E4214-C4214)</f>
        <v/>
      </c>
      <c r="J4214" s="25" t="str">
        <f aca="false">Lib_Paye</f>
        <v>Mission sociale (bulletins de paie, DSN, déclarations sociales)</v>
      </c>
      <c r="K4214" s="25" t="n">
        <f aca="false">IF($K$4186=0,0,N(INDEX(Clients!$L$2:$L$501,$K$4186)))</f>
        <v>0</v>
      </c>
      <c r="L4214" s="25" t="n">
        <f aca="false">IF($K$4186=0,0,N(INDEX(Clients!$Q$2:$Q$501,$K$4186)))</f>
        <v>0</v>
      </c>
      <c r="M4214" s="25" t="n">
        <f aca="false">IF(OR(K4214&lt;&gt;0,L4214&lt;&gt;0),1,0)</f>
        <v>0</v>
      </c>
      <c r="N4214" s="25" t="str">
        <f aca="false">IF(M4214=1,SUM($M$4213:M4214),"")</f>
        <v/>
      </c>
      <c r="O4214" s="25" t="n">
        <v>2</v>
      </c>
    </row>
    <row r="4215" customFormat="false" ht="16.5" hidden="false" customHeight="true" outlineLevel="0" collapsed="false">
      <c r="B4215" s="40" t="str">
        <f aca="false">IFERROR(INDEX($J$4213:$J$4216,MATCH($O4215,$N$4213:$N$4216,0)),"")</f>
        <v/>
      </c>
      <c r="C4215" s="41" t="str">
        <f aca="false">IFERROR(INDEX($K$4213:$K$4216,MATCH($O4215,$N$4213:$N$4216,0)),"")</f>
        <v/>
      </c>
      <c r="D4215" s="42" t="str">
        <f aca="false">IF(OR(E4215="",N(C4215)=0),"",E4215/C4215-1)</f>
        <v/>
      </c>
      <c r="E4215" s="41" t="str">
        <f aca="false">IFERROR(INDEX($L$4213:$L$4216,MATCH($O4215,$N$4213:$N$4216,0)),"")</f>
        <v/>
      </c>
      <c r="F4215" s="41" t="str">
        <f aca="false">IF(E4215="","",E4215-C4215)</f>
        <v/>
      </c>
      <c r="J4215" s="25" t="str">
        <f aca="false">Lib_Jur</f>
        <v>Mission juridique (approbation des comptes, secrétariat juridique)</v>
      </c>
      <c r="K4215" s="25" t="n">
        <f aca="false">IF($K$4186=0,0,N(INDEX(Clients!$M$2:$M$501,$K$4186)))</f>
        <v>0</v>
      </c>
      <c r="L4215" s="25" t="n">
        <f aca="false">IF($K$4186=0,0,N(INDEX(Clients!$R$2:$R$501,$K$4186)))</f>
        <v>0</v>
      </c>
      <c r="M4215" s="25" t="n">
        <f aca="false">IF(OR(K4215&lt;&gt;0,L4215&lt;&gt;0),1,0)</f>
        <v>0</v>
      </c>
      <c r="N4215" s="25" t="str">
        <f aca="false">IF(M4215=1,SUM($M$4213:M4215),"")</f>
        <v/>
      </c>
      <c r="O4215" s="25" t="n">
        <v>3</v>
      </c>
    </row>
    <row r="4216" customFormat="false" ht="16.5" hidden="false" customHeight="true" outlineLevel="0" collapsed="false">
      <c r="B4216" s="40" t="str">
        <f aca="false">IFERROR(INDEX($J$4213:$J$4216,MATCH($O4216,$N$4213:$N$4216,0)),"")</f>
        <v/>
      </c>
      <c r="C4216" s="41" t="str">
        <f aca="false">IFERROR(INDEX($K$4213:$K$4216,MATCH($O4216,$N$4213:$N$4216,0)),"")</f>
        <v/>
      </c>
      <c r="D4216" s="42" t="str">
        <f aca="false">IF(OR(E4216="",N(C4216)=0),"",E4216/C4216-1)</f>
        <v/>
      </c>
      <c r="E4216" s="41" t="str">
        <f aca="false">IFERROR(INDEX($L$4213:$L$4216,MATCH($O4216,$N$4213:$N$4216,0)),"")</f>
        <v/>
      </c>
      <c r="F4216" s="41" t="str">
        <f aca="false">IF(E4216="","",E4216-C4216)</f>
        <v/>
      </c>
      <c r="J4216" s="25" t="str">
        <f aca="false">Lib_PA</f>
        <v>Plateforme agréée – facturation électronique</v>
      </c>
      <c r="K4216" s="25" t="n">
        <f aca="false">IF($K$4186=0,0,N(INDEX(Clients!$N$2:$N$501,$K$4186)))</f>
        <v>0</v>
      </c>
      <c r="L4216" s="25" t="n">
        <f aca="false">IF($K$4186=0,0,N(INDEX(Clients!$S$2:$S$501,$K$4186)))</f>
        <v>0</v>
      </c>
      <c r="M4216" s="25" t="n">
        <f aca="false">IF(OR(K4216&lt;&gt;0,L4216&lt;&gt;0),1,0)</f>
        <v>0</v>
      </c>
      <c r="N4216" s="25" t="str">
        <f aca="false">IF(M4216=1,SUM($M$4213:M4216),"")</f>
        <v/>
      </c>
      <c r="O4216" s="25" t="n">
        <v>4</v>
      </c>
    </row>
    <row r="4217" customFormat="false" ht="18" hidden="false" customHeight="true" outlineLevel="0" collapsed="false">
      <c r="B4217" s="43" t="s">
        <v>158</v>
      </c>
      <c r="C4217" s="44" t="n">
        <f aca="false">SUM(K4213:K4216)</f>
        <v>0</v>
      </c>
      <c r="D4217" s="45" t="str">
        <f aca="false">IF(N(C4217)=0,"",E4217/C4217-1)</f>
        <v/>
      </c>
      <c r="E4217" s="44" t="n">
        <f aca="false">SUM(L4213:L4216)</f>
        <v>0</v>
      </c>
      <c r="F4217" s="44" t="n">
        <f aca="false">E4217-C4217</f>
        <v>0</v>
      </c>
    </row>
    <row r="4218" customFormat="false" ht="15" hidden="false" customHeight="false" outlineLevel="0" collapsed="false">
      <c r="B4218" s="46" t="str">
        <f aca="false">IF(N(Nb_Mensualites)=0,"","Soit "&amp;FIXED(E4217/Nb_Mensualites,2)&amp;" € HT par échéance ("&amp;Nb_Mensualites&amp;" échéances), "&amp;FIXED(E4217/Nb_Mensualites*(1+Taux_TVA),2)&amp;" € TTC.")</f>
        <v>Soit 0.00 € HT par échéance (12 échéances), 0.00 € TTC.</v>
      </c>
      <c r="C4218" s="46"/>
      <c r="D4218" s="46"/>
      <c r="E4218" s="46"/>
      <c r="F4218" s="46"/>
    </row>
    <row r="4219" customFormat="false" ht="7.5" hidden="false" customHeight="true" outlineLevel="0" collapsed="false">
      <c r="B4219" s="10"/>
      <c r="C4219" s="10"/>
      <c r="D4219" s="10"/>
      <c r="E4219" s="10"/>
      <c r="F4219" s="10"/>
    </row>
    <row r="4220" customFormat="false" ht="36.75" hidden="false" customHeight="true" outlineLevel="0" collapsed="false">
      <c r="B4220" s="37" t="str">
        <f aca="false">SUBSTITUTE(SUBSTITUTE(SUBSTITUTE(SUBSTITUTE(SUBSTITUTE(Txt_P5,"{cabinet}",Cab_Nom),"{societe}",IF($K$4186=0,"",INDEX(Clients!$E$2:$E$501,$K$4186)&amp;"")),"{date_effet}",$K$4188),"{hausse}",$K$4189),"{civilite}",$K$4187)</f>
        <v>Les autres conditions de votre lettre de mission demeurent inchangées. Les nouveaux montants seront appliqués automatiquement sur vos prochaines factures et échéances de prélèvement.</v>
      </c>
      <c r="C4220" s="37"/>
      <c r="D4220" s="37"/>
      <c r="E4220" s="37"/>
      <c r="F4220" s="37"/>
    </row>
    <row r="4221" customFormat="false" ht="36.75" hidden="false" customHeight="true" outlineLevel="0" collapsed="false">
      <c r="B4221" s="37" t="str">
        <f aca="false">SUBSTITUTE(SUBSTITUTE(SUBSTITUTE(SUBSTITUTE(SUBSTITUTE(Txt_P6,"{cabinet}",Cab_Nom),"{societe}",IF($K$4186=0,"",INDEX(Clients!$E$2:$E$501,$K$4186)&amp;"")),"{date_effet}",$K$4188),"{hausse}",$K$4189),"{civilite}",$K$4187)</f>
        <v>Votre interlocuteur habituel reste à votre entière disposition pour répondre à vos questions et faire le point sur l'évolution de vos besoins.</v>
      </c>
      <c r="C4221" s="37"/>
      <c r="D4221" s="37"/>
      <c r="E4221" s="37"/>
      <c r="F4221" s="37"/>
    </row>
    <row r="4222" customFormat="false" ht="24" hidden="false" customHeight="true" outlineLevel="0" collapsed="false">
      <c r="B4222" s="37" t="str">
        <f aca="false">SUBSTITUTE(SUBSTITUTE(SUBSTITUTE(SUBSTITUTE(SUBSTITUTE(Txt_Politesse,"{cabinet}",Cab_Nom),"{societe}",IF($K$4186=0,"",INDEX(Clients!$E$2:$E$501,$K$4186)&amp;"")),"{date_effet}",$K$4188),"{hausse}",$K$4189),"{civilite}",$K$4187)</f>
        <v>Nous vous prions d'agréer, Madame, Monsieur, l'expression de nos salutations distinguées.</v>
      </c>
      <c r="C4222" s="37"/>
      <c r="D4222" s="37"/>
      <c r="E4222" s="37"/>
      <c r="F4222" s="37"/>
    </row>
    <row r="4223" customFormat="false" ht="15" hidden="false" customHeight="false" outlineLevel="0" collapsed="false">
      <c r="B4223" s="10"/>
      <c r="C4223" s="10"/>
      <c r="D4223" s="10"/>
      <c r="E4223" s="10"/>
      <c r="F4223" s="10"/>
    </row>
    <row r="4224" customFormat="false" ht="15" hidden="false" customHeight="false" outlineLevel="0" collapsed="false">
      <c r="B4224" s="10"/>
      <c r="C4224" s="10"/>
      <c r="D4224" s="34" t="str">
        <f aca="false">Signataire</f>
        <v>Prénom NOM</v>
      </c>
      <c r="E4224" s="34"/>
      <c r="F4224" s="34"/>
    </row>
    <row r="4225" customFormat="false" ht="15" hidden="false" customHeight="false" outlineLevel="0" collapsed="false">
      <c r="B4225" s="10"/>
      <c r="C4225" s="10"/>
      <c r="D4225" s="47" t="str">
        <f aca="false">Signataire_Titre</f>
        <v>Expert-comptable associé</v>
      </c>
      <c r="E4225" s="47"/>
      <c r="F4225" s="47"/>
    </row>
    <row r="4226" customFormat="false" ht="15.75" hidden="false" customHeight="true" outlineLevel="0" collapsed="false">
      <c r="B4226" s="10"/>
      <c r="C4226" s="10"/>
      <c r="D4226" s="10"/>
      <c r="E4226" s="10"/>
      <c r="F4226" s="10"/>
    </row>
    <row r="4227" customFormat="false" ht="15.75" hidden="false" customHeight="true" outlineLevel="0" collapsed="false">
      <c r="B4227" s="10"/>
      <c r="C4227" s="10"/>
      <c r="D4227" s="10"/>
      <c r="E4227" s="10"/>
      <c r="F4227" s="10"/>
    </row>
    <row r="4228" customFormat="false" ht="15.75" hidden="false" customHeight="true" outlineLevel="0" collapsed="false">
      <c r="B4228" s="10"/>
      <c r="C4228" s="10"/>
      <c r="D4228" s="10"/>
      <c r="E4228" s="10"/>
      <c r="F4228" s="10"/>
    </row>
    <row r="4229" customFormat="false" ht="15.75" hidden="false" customHeight="true" outlineLevel="0" collapsed="false">
      <c r="B4229" s="10"/>
      <c r="C4229" s="10"/>
      <c r="D4229" s="10"/>
      <c r="E4229" s="10"/>
      <c r="F4229" s="10"/>
    </row>
    <row r="4230" customFormat="false" ht="24" hidden="false" customHeight="true" outlineLevel="0" collapsed="false">
      <c r="B4230" s="48" t="str">
        <f aca="false">Cab_Mentions</f>
        <v>ALTHO EXPERTISE · SAS au capital de 10 000 € · RCS Pontoise 919 706 325 · TVA FR62919706325 · Société d'expertise comptable inscrite au Tableau de l'Ordre des experts-comptables de Paris Île-de-France</v>
      </c>
      <c r="C4230" s="48"/>
      <c r="D4230" s="48"/>
      <c r="E4230" s="48"/>
      <c r="F4230" s="48"/>
    </row>
    <row r="4231" customFormat="false" ht="15" hidden="false" customHeight="false" outlineLevel="0" collapsed="false">
      <c r="B4231" s="10"/>
      <c r="C4231" s="10"/>
      <c r="D4231" s="10"/>
      <c r="E4231" s="10"/>
      <c r="F4231" s="10"/>
      <c r="J4231" s="25" t="s">
        <v>142</v>
      </c>
      <c r="K4231" s="25" t="n">
        <f aca="false">IFERROR(MATCH(95,Clients!$Z$2:$Z$501,0),0)</f>
        <v>0</v>
      </c>
      <c r="L4231" s="25"/>
      <c r="M4231" s="25"/>
      <c r="N4231" s="25"/>
      <c r="O4231" s="25"/>
    </row>
    <row r="4232" customFormat="false" ht="21.75" hidden="false" customHeight="true" outlineLevel="0" collapsed="false">
      <c r="B4232" s="26" t="str">
        <f aca="false">Cab_Nom</f>
        <v>ALTHO EXPERTISE</v>
      </c>
      <c r="C4232" s="26"/>
      <c r="D4232" s="10"/>
      <c r="E4232" s="27" t="str">
        <f aca="false">IF($K$4231=0,"","Réf. client : "&amp;INDEX(Clients!$A$2:$A$501,$K$4231))</f>
        <v/>
      </c>
      <c r="F4232" s="27"/>
      <c r="J4232" s="25" t="s">
        <v>144</v>
      </c>
      <c r="K4232" s="25" t="str">
        <f aca="false">IF(IF($K$4231=0,"",INDEX(Clients!$B$2:$B$501,$K$4231)&amp;"")="Mme","Madame",IF(IF($K$4231=0,"",INDEX(Clients!$B$2:$B$501,$K$4231)&amp;"")="M.","Monsieur","Madame, Monsieur"))</f>
        <v>Madame, Monsieur</v>
      </c>
      <c r="L4232" s="25"/>
      <c r="M4232" s="25"/>
      <c r="N4232" s="25"/>
      <c r="O4232" s="25"/>
    </row>
    <row r="4233" customFormat="false" ht="15" hidden="false" customHeight="false" outlineLevel="0" collapsed="false">
      <c r="B4233" s="29" t="str">
        <f aca="false">Cab_Adr1</f>
        <v>141 rue Charles de Gaulle</v>
      </c>
      <c r="C4233" s="29"/>
      <c r="D4233" s="10"/>
      <c r="E4233" s="10"/>
      <c r="F4233" s="10"/>
      <c r="J4233" s="25" t="s">
        <v>145</v>
      </c>
      <c r="K4233" s="25" t="str">
        <f aca="false">DAY(Date_Effet)&amp;IF(DAY(Date_Effet)=1,"er","")&amp;" "&amp;INDEX(Liste_Mois,MONTH(Date_Effet))&amp;" "&amp;YEAR(Date_Effet)</f>
        <v>1er janvier 2027</v>
      </c>
      <c r="L4233" s="25"/>
      <c r="M4233" s="25"/>
      <c r="N4233" s="25"/>
      <c r="O4233" s="25"/>
    </row>
    <row r="4234" customFormat="false" ht="15" hidden="false" customHeight="false" outlineLevel="0" collapsed="false">
      <c r="B4234" s="29" t="str">
        <f aca="false">Cab_CPVille</f>
        <v>95130 LE PLESSIS-BOUCHARD</v>
      </c>
      <c r="C4234" s="29"/>
      <c r="D4234" s="10"/>
      <c r="E4234" s="10"/>
      <c r="F4234" s="10"/>
      <c r="J4234" s="25" t="s">
        <v>146</v>
      </c>
      <c r="K4234" s="25" t="str">
        <f aca="false">IF(SUM($K$4258:$K$4261)=0,"",FIXED((SUM($L$4258:$L$4261)/SUM($K$4258:$K$4261)-1)*100,1)&amp;" %")</f>
        <v/>
      </c>
      <c r="L4234" s="25"/>
      <c r="M4234" s="25"/>
      <c r="N4234" s="25"/>
      <c r="O4234" s="25"/>
    </row>
    <row r="4235" customFormat="false" ht="15" hidden="false" customHeight="false" outlineLevel="0" collapsed="false">
      <c r="B4235" s="29" t="str">
        <f aca="false">Cab_Contact</f>
        <v>Tél. 01 34 14 53 45  ·  altho@altho-experts.com  ·  altho-experts.com</v>
      </c>
      <c r="C4235" s="29"/>
      <c r="D4235" s="10"/>
      <c r="E4235" s="10"/>
      <c r="F4235" s="10"/>
      <c r="J4235" s="25"/>
      <c r="K4235" s="25"/>
      <c r="L4235" s="25"/>
      <c r="M4235" s="25"/>
      <c r="N4235" s="25"/>
      <c r="O4235" s="25"/>
    </row>
    <row r="4236" customFormat="false" ht="6" hidden="false" customHeight="true" outlineLevel="0" collapsed="false">
      <c r="B4236" s="32"/>
      <c r="C4236" s="32"/>
      <c r="D4236" s="32"/>
      <c r="E4236" s="32"/>
      <c r="F4236" s="32"/>
      <c r="J4236" s="25"/>
      <c r="K4236" s="25"/>
      <c r="L4236" s="25"/>
      <c r="M4236" s="25"/>
      <c r="N4236" s="25"/>
      <c r="O4236" s="25"/>
    </row>
    <row r="4237" customFormat="false" ht="13.5" hidden="false" customHeight="true" outlineLevel="0" collapsed="false">
      <c r="B4237" s="10"/>
      <c r="C4237" s="10"/>
      <c r="D4237" s="10"/>
      <c r="E4237" s="10"/>
      <c r="F4237" s="10"/>
      <c r="J4237" s="25"/>
      <c r="K4237" s="25"/>
      <c r="L4237" s="25"/>
      <c r="M4237" s="25"/>
      <c r="N4237" s="25"/>
      <c r="O4237" s="25"/>
    </row>
    <row r="4238" customFormat="false" ht="13.5" hidden="false" customHeight="true" outlineLevel="0" collapsed="false">
      <c r="B4238" s="10"/>
      <c r="C4238" s="10"/>
      <c r="D4238" s="10"/>
      <c r="E4238" s="10"/>
      <c r="F4238" s="10"/>
      <c r="J4238" s="25"/>
      <c r="K4238" s="25"/>
      <c r="L4238" s="25"/>
      <c r="M4238" s="25"/>
      <c r="N4238" s="25"/>
      <c r="O4238" s="25"/>
    </row>
    <row r="4239" customFormat="false" ht="13.5" hidden="false" customHeight="true" outlineLevel="0" collapsed="false">
      <c r="B4239" s="10"/>
      <c r="C4239" s="10"/>
      <c r="D4239" s="10"/>
      <c r="E4239" s="10"/>
      <c r="F4239" s="10"/>
      <c r="J4239" s="25"/>
      <c r="K4239" s="25"/>
      <c r="L4239" s="25"/>
      <c r="M4239" s="25"/>
      <c r="N4239" s="25"/>
      <c r="O4239" s="25"/>
    </row>
    <row r="4240" customFormat="false" ht="15" hidden="false" customHeight="true" outlineLevel="0" collapsed="false">
      <c r="B4240" s="10"/>
      <c r="C4240" s="10"/>
      <c r="D4240" s="34" t="str">
        <f aca="false">IF($K$4231=0,"",INDEX(Clients!$E$2:$E$501,$K$4231)&amp;"")</f>
        <v/>
      </c>
      <c r="E4240" s="34"/>
      <c r="F4240" s="34"/>
      <c r="J4240" s="25"/>
      <c r="K4240" s="25"/>
      <c r="L4240" s="25"/>
      <c r="M4240" s="25"/>
      <c r="N4240" s="25"/>
      <c r="O4240" s="25"/>
    </row>
    <row r="4241" customFormat="false" ht="15" hidden="false" customHeight="true" outlineLevel="0" collapsed="false">
      <c r="B4241" s="10"/>
      <c r="C4241" s="10"/>
      <c r="D4241" s="35" t="str">
        <f aca="false">IF(IF($K$4231=0,"",INDEX(Clients!$D$2:$D$501,$K$4231)&amp;"")="","","À l'attention de "&amp;TRIM(IF($K$4231=0,"",INDEX(Clients!$B$2:$B$501,$K$4231)&amp;"")&amp;" "&amp;IF($K$4231=0,"",INDEX(Clients!$C$2:$C$501,$K$4231)&amp;"")&amp;" "&amp;IF($K$4231=0,"",INDEX(Clients!$D$2:$D$501,$K$4231)&amp;"")))</f>
        <v/>
      </c>
      <c r="E4241" s="35"/>
      <c r="F4241" s="35"/>
      <c r="J4241" s="25"/>
      <c r="K4241" s="25"/>
      <c r="L4241" s="25"/>
      <c r="M4241" s="25"/>
      <c r="N4241" s="25"/>
      <c r="O4241" s="25"/>
    </row>
    <row r="4242" customFormat="false" ht="15" hidden="false" customHeight="true" outlineLevel="0" collapsed="false">
      <c r="B4242" s="10"/>
      <c r="C4242" s="10"/>
      <c r="D4242" s="35" t="str">
        <f aca="false">IF($K$4231=0,"",INDEX(Clients!$F$2:$F$501,$K$4231)&amp;"")</f>
        <v/>
      </c>
      <c r="E4242" s="35"/>
      <c r="F4242" s="35"/>
      <c r="J4242" s="25"/>
      <c r="K4242" s="25"/>
      <c r="L4242" s="25"/>
      <c r="M4242" s="25"/>
      <c r="N4242" s="25"/>
      <c r="O4242" s="25"/>
    </row>
    <row r="4243" customFormat="false" ht="15" hidden="false" customHeight="true" outlineLevel="0" collapsed="false">
      <c r="B4243" s="10"/>
      <c r="C4243" s="10"/>
      <c r="D4243" s="35" t="str">
        <f aca="false">IF(IF($K$4231=0,"",INDEX(Clients!$G$2:$G$501,$K$4231)&amp;"")="",TRIM(IF($K$4231=0,"",INDEX(Clients!$H$2:$H$501,$K$4231)&amp;"")&amp;" "&amp;UPPER(IF($K$4231=0,"",INDEX(Clients!$I$2:$I$501,$K$4231)&amp;""))),IF($K$4231=0,"",INDEX(Clients!$G$2:$G$501,$K$4231)&amp;""))</f>
        <v/>
      </c>
      <c r="E4243" s="35"/>
      <c r="F4243" s="35"/>
      <c r="J4243" s="25"/>
      <c r="K4243" s="25"/>
      <c r="L4243" s="25"/>
      <c r="M4243" s="25"/>
      <c r="N4243" s="25"/>
      <c r="O4243" s="25"/>
    </row>
    <row r="4244" customFormat="false" ht="15" hidden="false" customHeight="true" outlineLevel="0" collapsed="false">
      <c r="B4244" s="10"/>
      <c r="C4244" s="10"/>
      <c r="D4244" s="35" t="str">
        <f aca="false">IF(IF($K$4231=0,"",INDEX(Clients!$G$2:$G$501,$K$4231)&amp;"")="","",TRIM(IF($K$4231=0,"",INDEX(Clients!$H$2:$H$501,$K$4231)&amp;"")&amp;" "&amp;UPPER(IF($K$4231=0,"",INDEX(Clients!$I$2:$I$501,$K$4231)&amp;""))))</f>
        <v/>
      </c>
      <c r="E4244" s="35"/>
      <c r="F4244" s="35"/>
      <c r="J4244" s="25"/>
      <c r="K4244" s="25"/>
      <c r="L4244" s="25"/>
      <c r="M4244" s="25"/>
      <c r="N4244" s="25"/>
      <c r="O4244" s="25"/>
    </row>
    <row r="4245" customFormat="false" ht="25.5" hidden="false" customHeight="true" outlineLevel="0" collapsed="false">
      <c r="B4245" s="10"/>
      <c r="C4245" s="10"/>
      <c r="D4245" s="10"/>
      <c r="E4245" s="10"/>
      <c r="F4245" s="10"/>
      <c r="J4245" s="25"/>
      <c r="K4245" s="25"/>
      <c r="L4245" s="25"/>
      <c r="M4245" s="25"/>
      <c r="N4245" s="25"/>
      <c r="O4245" s="25"/>
    </row>
    <row r="4246" customFormat="false" ht="15" hidden="false" customHeight="false" outlineLevel="0" collapsed="false">
      <c r="B4246" s="10"/>
      <c r="C4246" s="10"/>
      <c r="D4246" s="36" t="str">
        <f aca="false">Cab_Ville&amp;", le "&amp;DAY(Date_Courrier)&amp;IF(DAY(Date_Courrier)=1,"er","")&amp;" "&amp;INDEX(Liste_Mois,MONTH(Date_Courrier))&amp;" "&amp;YEAR(Date_Courrier)</f>
        <v>Le Plessis-Bouchard, le 22 septembre 2026</v>
      </c>
      <c r="E4246" s="36"/>
      <c r="F4246" s="36"/>
      <c r="J4246" s="25"/>
      <c r="K4246" s="25"/>
      <c r="L4246" s="25"/>
      <c r="M4246" s="25"/>
      <c r="N4246" s="25"/>
      <c r="O4246" s="25"/>
    </row>
    <row r="4247" customFormat="false" ht="19.5" hidden="false" customHeight="true" outlineLevel="0" collapsed="false">
      <c r="B4247" s="10"/>
      <c r="C4247" s="10"/>
      <c r="D4247" s="10"/>
      <c r="E4247" s="10"/>
      <c r="F4247" s="10"/>
      <c r="J4247" s="25"/>
      <c r="K4247" s="25"/>
      <c r="L4247" s="25"/>
      <c r="M4247" s="25"/>
      <c r="N4247" s="25"/>
      <c r="O4247" s="25"/>
    </row>
    <row r="4248" customFormat="false" ht="15" hidden="false" customHeight="false" outlineLevel="0" collapsed="false">
      <c r="B4248" s="34" t="str">
        <f aca="false">SUBSTITUTE(SUBSTITUTE(SUBSTITUTE(SUBSTITUTE(SUBSTITUTE(Txt_Objet,"{cabinet}",Cab_Nom),"{societe}",IF($K$4231=0,"",INDEX(Clients!$E$2:$E$501,$K$4231)&amp;"")),"{date_effet}",$K$4233),"{hausse}",$K$4234),"{civilite}",$K$4232)</f>
        <v>Objet : révision de nos honoraires au 1er janvier 2027</v>
      </c>
      <c r="C4248" s="34"/>
      <c r="D4248" s="34"/>
      <c r="E4248" s="34"/>
      <c r="F4248" s="34"/>
      <c r="J4248" s="25"/>
      <c r="K4248" s="25"/>
      <c r="L4248" s="25"/>
      <c r="M4248" s="25"/>
      <c r="N4248" s="25"/>
      <c r="O4248" s="25"/>
    </row>
    <row r="4249" customFormat="false" ht="13.5" hidden="false" customHeight="true" outlineLevel="0" collapsed="false">
      <c r="B4249" s="10"/>
      <c r="C4249" s="10"/>
      <c r="D4249" s="10"/>
      <c r="E4249" s="10"/>
      <c r="F4249" s="10"/>
      <c r="J4249" s="25"/>
      <c r="K4249" s="25"/>
      <c r="L4249" s="25"/>
      <c r="M4249" s="25"/>
      <c r="N4249" s="25"/>
      <c r="O4249" s="25"/>
    </row>
    <row r="4250" customFormat="false" ht="15" hidden="false" customHeight="false" outlineLevel="0" collapsed="false">
      <c r="B4250" s="10" t="str">
        <f aca="false">$K$4232&amp;","</f>
        <v>Madame, Monsieur,</v>
      </c>
      <c r="C4250" s="10"/>
      <c r="D4250" s="10"/>
      <c r="E4250" s="10"/>
      <c r="F4250" s="10"/>
      <c r="J4250" s="25"/>
      <c r="K4250" s="25"/>
      <c r="L4250" s="25"/>
      <c r="M4250" s="25"/>
      <c r="N4250" s="25"/>
      <c r="O4250" s="25"/>
    </row>
    <row r="4251" customFormat="false" ht="6" hidden="false" customHeight="true" outlineLevel="0" collapsed="false">
      <c r="B4251" s="10"/>
      <c r="C4251" s="10"/>
      <c r="D4251" s="10"/>
      <c r="E4251" s="10"/>
      <c r="F4251" s="10"/>
      <c r="J4251" s="25"/>
      <c r="K4251" s="25"/>
      <c r="L4251" s="25"/>
      <c r="M4251" s="25"/>
      <c r="N4251" s="25"/>
      <c r="O4251" s="25"/>
    </row>
    <row r="4252" customFormat="false" ht="36.75" hidden="false" customHeight="true" outlineLevel="0" collapsed="false">
      <c r="B4252" s="37" t="str">
        <f aca="false">SUBSTITUTE(SUBSTITUTE(SUBSTITUTE(SUBSTITUTE(SUBSTITUTE(Txt_P1,"{cabinet}",Cab_Nom),"{societe}",IF($K$4231=0,"",INDEX(Clients!$E$2:$E$501,$K$4231)&amp;"")),"{date_effet}",$K$4233),"{hausse}",$K$4234),"{civilite}",$K$4232)</f>
        <v>Nous tenons tout d'abord à vous remercier pour la confiance que vous accordez à ALTHO EXPERTISE. Comme chaque année, et conformément aux dispositions de votre lettre de mission, nous procédons à la révision de nos honoraires.</v>
      </c>
      <c r="C4252" s="37"/>
      <c r="D4252" s="37"/>
      <c r="E4252" s="37"/>
      <c r="F4252" s="37"/>
      <c r="J4252" s="25"/>
      <c r="K4252" s="25"/>
      <c r="L4252" s="25"/>
      <c r="M4252" s="25"/>
      <c r="N4252" s="25"/>
      <c r="O4252" s="25"/>
    </row>
    <row r="4253" customFormat="false" ht="49.5" hidden="false" customHeight="true" outlineLevel="0" collapsed="false">
      <c r="B4253" s="37" t="str">
        <f aca="false">SUBSTITUTE(SUBSTITUTE(SUBSTITUTE(SUBSTITUTE(SUBSTITUTE(Txt_P2,"{cabinet}",Cab_Nom),"{societe}",IF($K$4231=0,"",INDEX(Clients!$E$2:$E$501,$K$4231)&amp;"")),"{date_effet}",$K$4233),"{hausse}",$K$4234),"{civilite}",$K$4232)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253" s="37"/>
      <c r="D4253" s="37"/>
      <c r="E4253" s="37"/>
      <c r="F4253" s="37"/>
      <c r="J4253" s="25"/>
      <c r="K4253" s="25"/>
      <c r="L4253" s="25"/>
      <c r="M4253" s="25"/>
      <c r="N4253" s="25"/>
      <c r="O4253" s="25"/>
    </row>
    <row r="4254" customFormat="false" ht="63" hidden="false" customHeight="true" outlineLevel="0" collapsed="false">
      <c r="B4254" s="37" t="str">
        <f aca="false">SUBSTITUTE(SUBSTITUTE(SUBSTITUTE(SUBSTITUTE(SUBSTITUTE(Txt_P3,"{cabinet}",Cab_Nom),"{societe}",IF($K$4231=0,"",INDEX(Clients!$E$2:$E$501,$K$4231)&amp;"")),"{date_effet}",$K$4233),"{hausse}",$K$4234),"{civilite}",$K$4232)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254" s="37"/>
      <c r="D4254" s="37"/>
      <c r="E4254" s="37"/>
      <c r="F4254" s="37"/>
      <c r="J4254" s="25"/>
      <c r="K4254" s="25"/>
      <c r="L4254" s="25"/>
      <c r="M4254" s="25"/>
      <c r="N4254" s="25"/>
      <c r="O4254" s="25"/>
    </row>
    <row r="4255" customFormat="false" ht="24" hidden="false" customHeight="true" outlineLevel="0" collapsed="false">
      <c r="B4255" s="37" t="str">
        <f aca="false">SUBSTITUTE(SUBSTITUTE(SUBSTITUTE(SUBSTITUTE(SUBSTITUTE(Txt_P4,"{cabinet}",Cab_Nom),"{societe}",IF($K$4231=0,"",INDEX(Clients!$E$2:$E$501,$K$4231)&amp;"")),"{date_effet}",$K$4233),"{hausse}",$K$4234),"{civilite}",$K$4232)</f>
        <v>À compter du 1er janvier 2027, vos honoraires annuels hors taxes évolueront ainsi (évolution globale : ) :</v>
      </c>
      <c r="C4255" s="37"/>
      <c r="D4255" s="37"/>
      <c r="E4255" s="37"/>
      <c r="F4255" s="37"/>
      <c r="J4255" s="25"/>
      <c r="K4255" s="25"/>
      <c r="L4255" s="25"/>
      <c r="M4255" s="25"/>
      <c r="N4255" s="25"/>
      <c r="O4255" s="25"/>
    </row>
    <row r="4256" customFormat="false" ht="3.75" hidden="false" customHeight="true" outlineLevel="0" collapsed="false">
      <c r="B4256" s="10"/>
      <c r="C4256" s="10"/>
      <c r="D4256" s="10"/>
      <c r="E4256" s="10"/>
      <c r="F4256" s="10"/>
      <c r="J4256" s="25"/>
      <c r="K4256" s="25"/>
      <c r="L4256" s="25"/>
      <c r="M4256" s="25"/>
      <c r="N4256" s="25"/>
      <c r="O4256" s="25"/>
    </row>
    <row r="4257" customFormat="false" ht="18" hidden="false" customHeight="true" outlineLevel="0" collapsed="false">
      <c r="B4257" s="38" t="s">
        <v>148</v>
      </c>
      <c r="C4257" s="39" t="s">
        <v>149</v>
      </c>
      <c r="D4257" s="39" t="s">
        <v>150</v>
      </c>
      <c r="E4257" s="39" t="s">
        <v>151</v>
      </c>
      <c r="F4257" s="39" t="s">
        <v>109</v>
      </c>
      <c r="J4257" s="25" t="s">
        <v>152</v>
      </c>
      <c r="K4257" s="25" t="s">
        <v>153</v>
      </c>
      <c r="L4257" s="25" t="s">
        <v>154</v>
      </c>
      <c r="M4257" s="25" t="s">
        <v>155</v>
      </c>
      <c r="N4257" s="25" t="s">
        <v>156</v>
      </c>
      <c r="O4257" s="25" t="s">
        <v>157</v>
      </c>
    </row>
    <row r="4258" customFormat="false" ht="16.5" hidden="false" customHeight="true" outlineLevel="0" collapsed="false">
      <c r="B4258" s="40" t="str">
        <f aca="false">IFERROR(INDEX($J$4258:$J$4261,MATCH($O4258,$N$4258:$N$4261,0)),"")</f>
        <v/>
      </c>
      <c r="C4258" s="41" t="str">
        <f aca="false">IFERROR(INDEX($K$4258:$K$4261,MATCH($O4258,$N$4258:$N$4261,0)),"")</f>
        <v/>
      </c>
      <c r="D4258" s="42" t="str">
        <f aca="false">IF(OR(E4258="",N(C4258)=0),"",E4258/C4258-1)</f>
        <v/>
      </c>
      <c r="E4258" s="41" t="str">
        <f aca="false">IFERROR(INDEX($L$4258:$L$4261,MATCH($O4258,$N$4258:$N$4261,0)),"")</f>
        <v/>
      </c>
      <c r="F4258" s="41" t="str">
        <f aca="false">IF(E4258="","",E4258-C4258)</f>
        <v/>
      </c>
      <c r="J4258" s="25" t="str">
        <f aca="false">Lib_Compta</f>
        <v>Mission comptable (tenue, révision, bilan, liasse fiscale)</v>
      </c>
      <c r="K4258" s="25" t="n">
        <f aca="false">IF($K$4231=0,0,N(INDEX(Clients!$K$2:$K$501,$K$4231)))</f>
        <v>0</v>
      </c>
      <c r="L4258" s="25" t="n">
        <f aca="false">IF($K$4231=0,0,N(INDEX(Clients!$P$2:$P$501,$K$4231)))</f>
        <v>0</v>
      </c>
      <c r="M4258" s="25" t="n">
        <f aca="false">IF(OR(K4258&lt;&gt;0,L4258&lt;&gt;0),1,0)</f>
        <v>0</v>
      </c>
      <c r="N4258" s="25" t="str">
        <f aca="false">IF(M4258=1,SUM($M$4258:M4258),"")</f>
        <v/>
      </c>
      <c r="O4258" s="25" t="n">
        <v>1</v>
      </c>
    </row>
    <row r="4259" customFormat="false" ht="16.5" hidden="false" customHeight="true" outlineLevel="0" collapsed="false">
      <c r="B4259" s="40" t="str">
        <f aca="false">IFERROR(INDEX($J$4258:$J$4261,MATCH($O4259,$N$4258:$N$4261,0)),"")</f>
        <v/>
      </c>
      <c r="C4259" s="41" t="str">
        <f aca="false">IFERROR(INDEX($K$4258:$K$4261,MATCH($O4259,$N$4258:$N$4261,0)),"")</f>
        <v/>
      </c>
      <c r="D4259" s="42" t="str">
        <f aca="false">IF(OR(E4259="",N(C4259)=0),"",E4259/C4259-1)</f>
        <v/>
      </c>
      <c r="E4259" s="41" t="str">
        <f aca="false">IFERROR(INDEX($L$4258:$L$4261,MATCH($O4259,$N$4258:$N$4261,0)),"")</f>
        <v/>
      </c>
      <c r="F4259" s="41" t="str">
        <f aca="false">IF(E4259="","",E4259-C4259)</f>
        <v/>
      </c>
      <c r="J4259" s="25" t="str">
        <f aca="false">Lib_Paye</f>
        <v>Mission sociale (bulletins de paie, DSN, déclarations sociales)</v>
      </c>
      <c r="K4259" s="25" t="n">
        <f aca="false">IF($K$4231=0,0,N(INDEX(Clients!$L$2:$L$501,$K$4231)))</f>
        <v>0</v>
      </c>
      <c r="L4259" s="25" t="n">
        <f aca="false">IF($K$4231=0,0,N(INDEX(Clients!$Q$2:$Q$501,$K$4231)))</f>
        <v>0</v>
      </c>
      <c r="M4259" s="25" t="n">
        <f aca="false">IF(OR(K4259&lt;&gt;0,L4259&lt;&gt;0),1,0)</f>
        <v>0</v>
      </c>
      <c r="N4259" s="25" t="str">
        <f aca="false">IF(M4259=1,SUM($M$4258:M4259),"")</f>
        <v/>
      </c>
      <c r="O4259" s="25" t="n">
        <v>2</v>
      </c>
    </row>
    <row r="4260" customFormat="false" ht="16.5" hidden="false" customHeight="true" outlineLevel="0" collapsed="false">
      <c r="B4260" s="40" t="str">
        <f aca="false">IFERROR(INDEX($J$4258:$J$4261,MATCH($O4260,$N$4258:$N$4261,0)),"")</f>
        <v/>
      </c>
      <c r="C4260" s="41" t="str">
        <f aca="false">IFERROR(INDEX($K$4258:$K$4261,MATCH($O4260,$N$4258:$N$4261,0)),"")</f>
        <v/>
      </c>
      <c r="D4260" s="42" t="str">
        <f aca="false">IF(OR(E4260="",N(C4260)=0),"",E4260/C4260-1)</f>
        <v/>
      </c>
      <c r="E4260" s="41" t="str">
        <f aca="false">IFERROR(INDEX($L$4258:$L$4261,MATCH($O4260,$N$4258:$N$4261,0)),"")</f>
        <v/>
      </c>
      <c r="F4260" s="41" t="str">
        <f aca="false">IF(E4260="","",E4260-C4260)</f>
        <v/>
      </c>
      <c r="J4260" s="25" t="str">
        <f aca="false">Lib_Jur</f>
        <v>Mission juridique (approbation des comptes, secrétariat juridique)</v>
      </c>
      <c r="K4260" s="25" t="n">
        <f aca="false">IF($K$4231=0,0,N(INDEX(Clients!$M$2:$M$501,$K$4231)))</f>
        <v>0</v>
      </c>
      <c r="L4260" s="25" t="n">
        <f aca="false">IF($K$4231=0,0,N(INDEX(Clients!$R$2:$R$501,$K$4231)))</f>
        <v>0</v>
      </c>
      <c r="M4260" s="25" t="n">
        <f aca="false">IF(OR(K4260&lt;&gt;0,L4260&lt;&gt;0),1,0)</f>
        <v>0</v>
      </c>
      <c r="N4260" s="25" t="str">
        <f aca="false">IF(M4260=1,SUM($M$4258:M4260),"")</f>
        <v/>
      </c>
      <c r="O4260" s="25" t="n">
        <v>3</v>
      </c>
    </row>
    <row r="4261" customFormat="false" ht="16.5" hidden="false" customHeight="true" outlineLevel="0" collapsed="false">
      <c r="B4261" s="40" t="str">
        <f aca="false">IFERROR(INDEX($J$4258:$J$4261,MATCH($O4261,$N$4258:$N$4261,0)),"")</f>
        <v/>
      </c>
      <c r="C4261" s="41" t="str">
        <f aca="false">IFERROR(INDEX($K$4258:$K$4261,MATCH($O4261,$N$4258:$N$4261,0)),"")</f>
        <v/>
      </c>
      <c r="D4261" s="42" t="str">
        <f aca="false">IF(OR(E4261="",N(C4261)=0),"",E4261/C4261-1)</f>
        <v/>
      </c>
      <c r="E4261" s="41" t="str">
        <f aca="false">IFERROR(INDEX($L$4258:$L$4261,MATCH($O4261,$N$4258:$N$4261,0)),"")</f>
        <v/>
      </c>
      <c r="F4261" s="41" t="str">
        <f aca="false">IF(E4261="","",E4261-C4261)</f>
        <v/>
      </c>
      <c r="J4261" s="25" t="str">
        <f aca="false">Lib_PA</f>
        <v>Plateforme agréée – facturation électronique</v>
      </c>
      <c r="K4261" s="25" t="n">
        <f aca="false">IF($K$4231=0,0,N(INDEX(Clients!$N$2:$N$501,$K$4231)))</f>
        <v>0</v>
      </c>
      <c r="L4261" s="25" t="n">
        <f aca="false">IF($K$4231=0,0,N(INDEX(Clients!$S$2:$S$501,$K$4231)))</f>
        <v>0</v>
      </c>
      <c r="M4261" s="25" t="n">
        <f aca="false">IF(OR(K4261&lt;&gt;0,L4261&lt;&gt;0),1,0)</f>
        <v>0</v>
      </c>
      <c r="N4261" s="25" t="str">
        <f aca="false">IF(M4261=1,SUM($M$4258:M4261),"")</f>
        <v/>
      </c>
      <c r="O4261" s="25" t="n">
        <v>4</v>
      </c>
    </row>
    <row r="4262" customFormat="false" ht="18" hidden="false" customHeight="true" outlineLevel="0" collapsed="false">
      <c r="B4262" s="43" t="s">
        <v>158</v>
      </c>
      <c r="C4262" s="44" t="n">
        <f aca="false">SUM(K4258:K4261)</f>
        <v>0</v>
      </c>
      <c r="D4262" s="45" t="str">
        <f aca="false">IF(N(C4262)=0,"",E4262/C4262-1)</f>
        <v/>
      </c>
      <c r="E4262" s="44" t="n">
        <f aca="false">SUM(L4258:L4261)</f>
        <v>0</v>
      </c>
      <c r="F4262" s="44" t="n">
        <f aca="false">E4262-C4262</f>
        <v>0</v>
      </c>
    </row>
    <row r="4263" customFormat="false" ht="15" hidden="false" customHeight="false" outlineLevel="0" collapsed="false">
      <c r="B4263" s="46" t="str">
        <f aca="false">IF(N(Nb_Mensualites)=0,"","Soit "&amp;FIXED(E4262/Nb_Mensualites,2)&amp;" € HT par échéance ("&amp;Nb_Mensualites&amp;" échéances), "&amp;FIXED(E4262/Nb_Mensualites*(1+Taux_TVA),2)&amp;" € TTC.")</f>
        <v>Soit 0.00 € HT par échéance (12 échéances), 0.00 € TTC.</v>
      </c>
      <c r="C4263" s="46"/>
      <c r="D4263" s="46"/>
      <c r="E4263" s="46"/>
      <c r="F4263" s="46"/>
    </row>
    <row r="4264" customFormat="false" ht="7.5" hidden="false" customHeight="true" outlineLevel="0" collapsed="false">
      <c r="B4264" s="10"/>
      <c r="C4264" s="10"/>
      <c r="D4264" s="10"/>
      <c r="E4264" s="10"/>
      <c r="F4264" s="10"/>
    </row>
    <row r="4265" customFormat="false" ht="36.75" hidden="false" customHeight="true" outlineLevel="0" collapsed="false">
      <c r="B4265" s="37" t="str">
        <f aca="false">SUBSTITUTE(SUBSTITUTE(SUBSTITUTE(SUBSTITUTE(SUBSTITUTE(Txt_P5,"{cabinet}",Cab_Nom),"{societe}",IF($K$4231=0,"",INDEX(Clients!$E$2:$E$501,$K$4231)&amp;"")),"{date_effet}",$K$4233),"{hausse}",$K$4234),"{civilite}",$K$4232)</f>
        <v>Les autres conditions de votre lettre de mission demeurent inchangées. Les nouveaux montants seront appliqués automatiquement sur vos prochaines factures et échéances de prélèvement.</v>
      </c>
      <c r="C4265" s="37"/>
      <c r="D4265" s="37"/>
      <c r="E4265" s="37"/>
      <c r="F4265" s="37"/>
    </row>
    <row r="4266" customFormat="false" ht="36.75" hidden="false" customHeight="true" outlineLevel="0" collapsed="false">
      <c r="B4266" s="37" t="str">
        <f aca="false">SUBSTITUTE(SUBSTITUTE(SUBSTITUTE(SUBSTITUTE(SUBSTITUTE(Txt_P6,"{cabinet}",Cab_Nom),"{societe}",IF($K$4231=0,"",INDEX(Clients!$E$2:$E$501,$K$4231)&amp;"")),"{date_effet}",$K$4233),"{hausse}",$K$4234),"{civilite}",$K$4232)</f>
        <v>Votre interlocuteur habituel reste à votre entière disposition pour répondre à vos questions et faire le point sur l'évolution de vos besoins.</v>
      </c>
      <c r="C4266" s="37"/>
      <c r="D4266" s="37"/>
      <c r="E4266" s="37"/>
      <c r="F4266" s="37"/>
    </row>
    <row r="4267" customFormat="false" ht="24" hidden="false" customHeight="true" outlineLevel="0" collapsed="false">
      <c r="B4267" s="37" t="str">
        <f aca="false">SUBSTITUTE(SUBSTITUTE(SUBSTITUTE(SUBSTITUTE(SUBSTITUTE(Txt_Politesse,"{cabinet}",Cab_Nom),"{societe}",IF($K$4231=0,"",INDEX(Clients!$E$2:$E$501,$K$4231)&amp;"")),"{date_effet}",$K$4233),"{hausse}",$K$4234),"{civilite}",$K$4232)</f>
        <v>Nous vous prions d'agréer, Madame, Monsieur, l'expression de nos salutations distinguées.</v>
      </c>
      <c r="C4267" s="37"/>
      <c r="D4267" s="37"/>
      <c r="E4267" s="37"/>
      <c r="F4267" s="37"/>
    </row>
    <row r="4268" customFormat="false" ht="15" hidden="false" customHeight="false" outlineLevel="0" collapsed="false">
      <c r="B4268" s="10"/>
      <c r="C4268" s="10"/>
      <c r="D4268" s="10"/>
      <c r="E4268" s="10"/>
      <c r="F4268" s="10"/>
    </row>
    <row r="4269" customFormat="false" ht="15" hidden="false" customHeight="false" outlineLevel="0" collapsed="false">
      <c r="B4269" s="10"/>
      <c r="C4269" s="10"/>
      <c r="D4269" s="34" t="str">
        <f aca="false">Signataire</f>
        <v>Prénom NOM</v>
      </c>
      <c r="E4269" s="34"/>
      <c r="F4269" s="34"/>
    </row>
    <row r="4270" customFormat="false" ht="15" hidden="false" customHeight="false" outlineLevel="0" collapsed="false">
      <c r="B4270" s="10"/>
      <c r="C4270" s="10"/>
      <c r="D4270" s="47" t="str">
        <f aca="false">Signataire_Titre</f>
        <v>Expert-comptable associé</v>
      </c>
      <c r="E4270" s="47"/>
      <c r="F4270" s="47"/>
    </row>
    <row r="4271" customFormat="false" ht="15.75" hidden="false" customHeight="true" outlineLevel="0" collapsed="false">
      <c r="B4271" s="10"/>
      <c r="C4271" s="10"/>
      <c r="D4271" s="10"/>
      <c r="E4271" s="10"/>
      <c r="F4271" s="10"/>
    </row>
    <row r="4272" customFormat="false" ht="15.75" hidden="false" customHeight="true" outlineLevel="0" collapsed="false">
      <c r="B4272" s="10"/>
      <c r="C4272" s="10"/>
      <c r="D4272" s="10"/>
      <c r="E4272" s="10"/>
      <c r="F4272" s="10"/>
    </row>
    <row r="4273" customFormat="false" ht="15.75" hidden="false" customHeight="true" outlineLevel="0" collapsed="false">
      <c r="B4273" s="10"/>
      <c r="C4273" s="10"/>
      <c r="D4273" s="10"/>
      <c r="E4273" s="10"/>
      <c r="F4273" s="10"/>
    </row>
    <row r="4274" customFormat="false" ht="15.75" hidden="false" customHeight="true" outlineLevel="0" collapsed="false">
      <c r="B4274" s="10"/>
      <c r="C4274" s="10"/>
      <c r="D4274" s="10"/>
      <c r="E4274" s="10"/>
      <c r="F4274" s="10"/>
    </row>
    <row r="4275" customFormat="false" ht="24" hidden="false" customHeight="true" outlineLevel="0" collapsed="false">
      <c r="B4275" s="48" t="str">
        <f aca="false">Cab_Mentions</f>
        <v>ALTHO EXPERTISE · SAS au capital de 10 000 € · RCS Pontoise 919 706 325 · TVA FR62919706325 · Société d'expertise comptable inscrite au Tableau de l'Ordre des experts-comptables de Paris Île-de-France</v>
      </c>
      <c r="C4275" s="48"/>
      <c r="D4275" s="48"/>
      <c r="E4275" s="48"/>
      <c r="F4275" s="48"/>
    </row>
    <row r="4276" customFormat="false" ht="15" hidden="false" customHeight="false" outlineLevel="0" collapsed="false">
      <c r="B4276" s="10"/>
      <c r="C4276" s="10"/>
      <c r="D4276" s="10"/>
      <c r="E4276" s="10"/>
      <c r="F4276" s="10"/>
      <c r="J4276" s="25" t="s">
        <v>142</v>
      </c>
      <c r="K4276" s="25" t="n">
        <f aca="false">IFERROR(MATCH(96,Clients!$Z$2:$Z$501,0),0)</f>
        <v>0</v>
      </c>
      <c r="L4276" s="25"/>
      <c r="M4276" s="25"/>
      <c r="N4276" s="25"/>
      <c r="O4276" s="25"/>
    </row>
    <row r="4277" customFormat="false" ht="21.75" hidden="false" customHeight="true" outlineLevel="0" collapsed="false">
      <c r="B4277" s="26" t="str">
        <f aca="false">Cab_Nom</f>
        <v>ALTHO EXPERTISE</v>
      </c>
      <c r="C4277" s="26"/>
      <c r="D4277" s="10"/>
      <c r="E4277" s="27" t="str">
        <f aca="false">IF($K$4276=0,"","Réf. client : "&amp;INDEX(Clients!$A$2:$A$501,$K$4276))</f>
        <v/>
      </c>
      <c r="F4277" s="27"/>
      <c r="J4277" s="25" t="s">
        <v>144</v>
      </c>
      <c r="K4277" s="25" t="str">
        <f aca="false">IF(IF($K$4276=0,"",INDEX(Clients!$B$2:$B$501,$K$4276)&amp;"")="Mme","Madame",IF(IF($K$4276=0,"",INDEX(Clients!$B$2:$B$501,$K$4276)&amp;"")="M.","Monsieur","Madame, Monsieur"))</f>
        <v>Madame, Monsieur</v>
      </c>
      <c r="L4277" s="25"/>
      <c r="M4277" s="25"/>
      <c r="N4277" s="25"/>
      <c r="O4277" s="25"/>
    </row>
    <row r="4278" customFormat="false" ht="15" hidden="false" customHeight="false" outlineLevel="0" collapsed="false">
      <c r="B4278" s="29" t="str">
        <f aca="false">Cab_Adr1</f>
        <v>141 rue Charles de Gaulle</v>
      </c>
      <c r="C4278" s="29"/>
      <c r="D4278" s="10"/>
      <c r="E4278" s="10"/>
      <c r="F4278" s="10"/>
      <c r="J4278" s="25" t="s">
        <v>145</v>
      </c>
      <c r="K4278" s="25" t="str">
        <f aca="false">DAY(Date_Effet)&amp;IF(DAY(Date_Effet)=1,"er","")&amp;" "&amp;INDEX(Liste_Mois,MONTH(Date_Effet))&amp;" "&amp;YEAR(Date_Effet)</f>
        <v>1er janvier 2027</v>
      </c>
      <c r="L4278" s="25"/>
      <c r="M4278" s="25"/>
      <c r="N4278" s="25"/>
      <c r="O4278" s="25"/>
    </row>
    <row r="4279" customFormat="false" ht="15" hidden="false" customHeight="false" outlineLevel="0" collapsed="false">
      <c r="B4279" s="29" t="str">
        <f aca="false">Cab_CPVille</f>
        <v>95130 LE PLESSIS-BOUCHARD</v>
      </c>
      <c r="C4279" s="29"/>
      <c r="D4279" s="10"/>
      <c r="E4279" s="10"/>
      <c r="F4279" s="10"/>
      <c r="J4279" s="25" t="s">
        <v>146</v>
      </c>
      <c r="K4279" s="25" t="str">
        <f aca="false">IF(SUM($K$4303:$K$4306)=0,"",FIXED((SUM($L$4303:$L$4306)/SUM($K$4303:$K$4306)-1)*100,1)&amp;" %")</f>
        <v/>
      </c>
      <c r="L4279" s="25"/>
      <c r="M4279" s="25"/>
      <c r="N4279" s="25"/>
      <c r="O4279" s="25"/>
    </row>
    <row r="4280" customFormat="false" ht="15" hidden="false" customHeight="false" outlineLevel="0" collapsed="false">
      <c r="B4280" s="29" t="str">
        <f aca="false">Cab_Contact</f>
        <v>Tél. 01 34 14 53 45  ·  altho@altho-experts.com  ·  altho-experts.com</v>
      </c>
      <c r="C4280" s="29"/>
      <c r="D4280" s="10"/>
      <c r="E4280" s="10"/>
      <c r="F4280" s="10"/>
      <c r="J4280" s="25"/>
      <c r="K4280" s="25"/>
      <c r="L4280" s="25"/>
      <c r="M4280" s="25"/>
      <c r="N4280" s="25"/>
      <c r="O4280" s="25"/>
    </row>
    <row r="4281" customFormat="false" ht="6" hidden="false" customHeight="true" outlineLevel="0" collapsed="false">
      <c r="B4281" s="32"/>
      <c r="C4281" s="32"/>
      <c r="D4281" s="32"/>
      <c r="E4281" s="32"/>
      <c r="F4281" s="32"/>
      <c r="J4281" s="25"/>
      <c r="K4281" s="25"/>
      <c r="L4281" s="25"/>
      <c r="M4281" s="25"/>
      <c r="N4281" s="25"/>
      <c r="O4281" s="25"/>
    </row>
    <row r="4282" customFormat="false" ht="13.5" hidden="false" customHeight="true" outlineLevel="0" collapsed="false">
      <c r="B4282" s="10"/>
      <c r="C4282" s="10"/>
      <c r="D4282" s="10"/>
      <c r="E4282" s="10"/>
      <c r="F4282" s="10"/>
      <c r="J4282" s="25"/>
      <c r="K4282" s="25"/>
      <c r="L4282" s="25"/>
      <c r="M4282" s="25"/>
      <c r="N4282" s="25"/>
      <c r="O4282" s="25"/>
    </row>
    <row r="4283" customFormat="false" ht="13.5" hidden="false" customHeight="true" outlineLevel="0" collapsed="false">
      <c r="B4283" s="10"/>
      <c r="C4283" s="10"/>
      <c r="D4283" s="10"/>
      <c r="E4283" s="10"/>
      <c r="F4283" s="10"/>
      <c r="J4283" s="25"/>
      <c r="K4283" s="25"/>
      <c r="L4283" s="25"/>
      <c r="M4283" s="25"/>
      <c r="N4283" s="25"/>
      <c r="O4283" s="25"/>
    </row>
    <row r="4284" customFormat="false" ht="13.5" hidden="false" customHeight="true" outlineLevel="0" collapsed="false">
      <c r="B4284" s="10"/>
      <c r="C4284" s="10"/>
      <c r="D4284" s="10"/>
      <c r="E4284" s="10"/>
      <c r="F4284" s="10"/>
      <c r="J4284" s="25"/>
      <c r="K4284" s="25"/>
      <c r="L4284" s="25"/>
      <c r="M4284" s="25"/>
      <c r="N4284" s="25"/>
      <c r="O4284" s="25"/>
    </row>
    <row r="4285" customFormat="false" ht="15" hidden="false" customHeight="true" outlineLevel="0" collapsed="false">
      <c r="B4285" s="10"/>
      <c r="C4285" s="10"/>
      <c r="D4285" s="34" t="str">
        <f aca="false">IF($K$4276=0,"",INDEX(Clients!$E$2:$E$501,$K$4276)&amp;"")</f>
        <v/>
      </c>
      <c r="E4285" s="34"/>
      <c r="F4285" s="34"/>
      <c r="J4285" s="25"/>
      <c r="K4285" s="25"/>
      <c r="L4285" s="25"/>
      <c r="M4285" s="25"/>
      <c r="N4285" s="25"/>
      <c r="O4285" s="25"/>
    </row>
    <row r="4286" customFormat="false" ht="15" hidden="false" customHeight="true" outlineLevel="0" collapsed="false">
      <c r="B4286" s="10"/>
      <c r="C4286" s="10"/>
      <c r="D4286" s="35" t="str">
        <f aca="false">IF(IF($K$4276=0,"",INDEX(Clients!$D$2:$D$501,$K$4276)&amp;"")="","","À l'attention de "&amp;TRIM(IF($K$4276=0,"",INDEX(Clients!$B$2:$B$501,$K$4276)&amp;"")&amp;" "&amp;IF($K$4276=0,"",INDEX(Clients!$C$2:$C$501,$K$4276)&amp;"")&amp;" "&amp;IF($K$4276=0,"",INDEX(Clients!$D$2:$D$501,$K$4276)&amp;"")))</f>
        <v/>
      </c>
      <c r="E4286" s="35"/>
      <c r="F4286" s="35"/>
      <c r="J4286" s="25"/>
      <c r="K4286" s="25"/>
      <c r="L4286" s="25"/>
      <c r="M4286" s="25"/>
      <c r="N4286" s="25"/>
      <c r="O4286" s="25"/>
    </row>
    <row r="4287" customFormat="false" ht="15" hidden="false" customHeight="true" outlineLevel="0" collapsed="false">
      <c r="B4287" s="10"/>
      <c r="C4287" s="10"/>
      <c r="D4287" s="35" t="str">
        <f aca="false">IF($K$4276=0,"",INDEX(Clients!$F$2:$F$501,$K$4276)&amp;"")</f>
        <v/>
      </c>
      <c r="E4287" s="35"/>
      <c r="F4287" s="35"/>
      <c r="J4287" s="25"/>
      <c r="K4287" s="25"/>
      <c r="L4287" s="25"/>
      <c r="M4287" s="25"/>
      <c r="N4287" s="25"/>
      <c r="O4287" s="25"/>
    </row>
    <row r="4288" customFormat="false" ht="15" hidden="false" customHeight="true" outlineLevel="0" collapsed="false">
      <c r="B4288" s="10"/>
      <c r="C4288" s="10"/>
      <c r="D4288" s="35" t="str">
        <f aca="false">IF(IF($K$4276=0,"",INDEX(Clients!$G$2:$G$501,$K$4276)&amp;"")="",TRIM(IF($K$4276=0,"",INDEX(Clients!$H$2:$H$501,$K$4276)&amp;"")&amp;" "&amp;UPPER(IF($K$4276=0,"",INDEX(Clients!$I$2:$I$501,$K$4276)&amp;""))),IF($K$4276=0,"",INDEX(Clients!$G$2:$G$501,$K$4276)&amp;""))</f>
        <v/>
      </c>
      <c r="E4288" s="35"/>
      <c r="F4288" s="35"/>
      <c r="J4288" s="25"/>
      <c r="K4288" s="25"/>
      <c r="L4288" s="25"/>
      <c r="M4288" s="25"/>
      <c r="N4288" s="25"/>
      <c r="O4288" s="25"/>
    </row>
    <row r="4289" customFormat="false" ht="15" hidden="false" customHeight="true" outlineLevel="0" collapsed="false">
      <c r="B4289" s="10"/>
      <c r="C4289" s="10"/>
      <c r="D4289" s="35" t="str">
        <f aca="false">IF(IF($K$4276=0,"",INDEX(Clients!$G$2:$G$501,$K$4276)&amp;"")="","",TRIM(IF($K$4276=0,"",INDEX(Clients!$H$2:$H$501,$K$4276)&amp;"")&amp;" "&amp;UPPER(IF($K$4276=0,"",INDEX(Clients!$I$2:$I$501,$K$4276)&amp;""))))</f>
        <v/>
      </c>
      <c r="E4289" s="35"/>
      <c r="F4289" s="35"/>
      <c r="J4289" s="25"/>
      <c r="K4289" s="25"/>
      <c r="L4289" s="25"/>
      <c r="M4289" s="25"/>
      <c r="N4289" s="25"/>
      <c r="O4289" s="25"/>
    </row>
    <row r="4290" customFormat="false" ht="25.5" hidden="false" customHeight="true" outlineLevel="0" collapsed="false">
      <c r="B4290" s="10"/>
      <c r="C4290" s="10"/>
      <c r="D4290" s="10"/>
      <c r="E4290" s="10"/>
      <c r="F4290" s="10"/>
      <c r="J4290" s="25"/>
      <c r="K4290" s="25"/>
      <c r="L4290" s="25"/>
      <c r="M4290" s="25"/>
      <c r="N4290" s="25"/>
      <c r="O4290" s="25"/>
    </row>
    <row r="4291" customFormat="false" ht="15" hidden="false" customHeight="false" outlineLevel="0" collapsed="false">
      <c r="B4291" s="10"/>
      <c r="C4291" s="10"/>
      <c r="D4291" s="36" t="str">
        <f aca="false">Cab_Ville&amp;", le "&amp;DAY(Date_Courrier)&amp;IF(DAY(Date_Courrier)=1,"er","")&amp;" "&amp;INDEX(Liste_Mois,MONTH(Date_Courrier))&amp;" "&amp;YEAR(Date_Courrier)</f>
        <v>Le Plessis-Bouchard, le 22 septembre 2026</v>
      </c>
      <c r="E4291" s="36"/>
      <c r="F4291" s="36"/>
      <c r="J4291" s="25"/>
      <c r="K4291" s="25"/>
      <c r="L4291" s="25"/>
      <c r="M4291" s="25"/>
      <c r="N4291" s="25"/>
      <c r="O4291" s="25"/>
    </row>
    <row r="4292" customFormat="false" ht="19.5" hidden="false" customHeight="true" outlineLevel="0" collapsed="false">
      <c r="B4292" s="10"/>
      <c r="C4292" s="10"/>
      <c r="D4292" s="10"/>
      <c r="E4292" s="10"/>
      <c r="F4292" s="10"/>
      <c r="J4292" s="25"/>
      <c r="K4292" s="25"/>
      <c r="L4292" s="25"/>
      <c r="M4292" s="25"/>
      <c r="N4292" s="25"/>
      <c r="O4292" s="25"/>
    </row>
    <row r="4293" customFormat="false" ht="15" hidden="false" customHeight="false" outlineLevel="0" collapsed="false">
      <c r="B4293" s="34" t="str">
        <f aca="false">SUBSTITUTE(SUBSTITUTE(SUBSTITUTE(SUBSTITUTE(SUBSTITUTE(Txt_Objet,"{cabinet}",Cab_Nom),"{societe}",IF($K$4276=0,"",INDEX(Clients!$E$2:$E$501,$K$4276)&amp;"")),"{date_effet}",$K$4278),"{hausse}",$K$4279),"{civilite}",$K$4277)</f>
        <v>Objet : révision de nos honoraires au 1er janvier 2027</v>
      </c>
      <c r="C4293" s="34"/>
      <c r="D4293" s="34"/>
      <c r="E4293" s="34"/>
      <c r="F4293" s="34"/>
      <c r="J4293" s="25"/>
      <c r="K4293" s="25"/>
      <c r="L4293" s="25"/>
      <c r="M4293" s="25"/>
      <c r="N4293" s="25"/>
      <c r="O4293" s="25"/>
    </row>
    <row r="4294" customFormat="false" ht="13.5" hidden="false" customHeight="true" outlineLevel="0" collapsed="false">
      <c r="B4294" s="10"/>
      <c r="C4294" s="10"/>
      <c r="D4294" s="10"/>
      <c r="E4294" s="10"/>
      <c r="F4294" s="10"/>
      <c r="J4294" s="25"/>
      <c r="K4294" s="25"/>
      <c r="L4294" s="25"/>
      <c r="M4294" s="25"/>
      <c r="N4294" s="25"/>
      <c r="O4294" s="25"/>
    </row>
    <row r="4295" customFormat="false" ht="15" hidden="false" customHeight="false" outlineLevel="0" collapsed="false">
      <c r="B4295" s="10" t="str">
        <f aca="false">$K$4277&amp;","</f>
        <v>Madame, Monsieur,</v>
      </c>
      <c r="C4295" s="10"/>
      <c r="D4295" s="10"/>
      <c r="E4295" s="10"/>
      <c r="F4295" s="10"/>
      <c r="J4295" s="25"/>
      <c r="K4295" s="25"/>
      <c r="L4295" s="25"/>
      <c r="M4295" s="25"/>
      <c r="N4295" s="25"/>
      <c r="O4295" s="25"/>
    </row>
    <row r="4296" customFormat="false" ht="6" hidden="false" customHeight="true" outlineLevel="0" collapsed="false">
      <c r="B4296" s="10"/>
      <c r="C4296" s="10"/>
      <c r="D4296" s="10"/>
      <c r="E4296" s="10"/>
      <c r="F4296" s="10"/>
      <c r="J4296" s="25"/>
      <c r="K4296" s="25"/>
      <c r="L4296" s="25"/>
      <c r="M4296" s="25"/>
      <c r="N4296" s="25"/>
      <c r="O4296" s="25"/>
    </row>
    <row r="4297" customFormat="false" ht="36.75" hidden="false" customHeight="true" outlineLevel="0" collapsed="false">
      <c r="B4297" s="37" t="str">
        <f aca="false">SUBSTITUTE(SUBSTITUTE(SUBSTITUTE(SUBSTITUTE(SUBSTITUTE(Txt_P1,"{cabinet}",Cab_Nom),"{societe}",IF($K$4276=0,"",INDEX(Clients!$E$2:$E$501,$K$4276)&amp;"")),"{date_effet}",$K$4278),"{hausse}",$K$4279),"{civilite}",$K$4277)</f>
        <v>Nous tenons tout d'abord à vous remercier pour la confiance que vous accordez à ALTHO EXPERTISE. Comme chaque année, et conformément aux dispositions de votre lettre de mission, nous procédons à la révision de nos honoraires.</v>
      </c>
      <c r="C4297" s="37"/>
      <c r="D4297" s="37"/>
      <c r="E4297" s="37"/>
      <c r="F4297" s="37"/>
      <c r="J4297" s="25"/>
      <c r="K4297" s="25"/>
      <c r="L4297" s="25"/>
      <c r="M4297" s="25"/>
      <c r="N4297" s="25"/>
      <c r="O4297" s="25"/>
    </row>
    <row r="4298" customFormat="false" ht="49.5" hidden="false" customHeight="true" outlineLevel="0" collapsed="false">
      <c r="B4298" s="37" t="str">
        <f aca="false">SUBSTITUTE(SUBSTITUTE(SUBSTITUTE(SUBSTITUTE(SUBSTITUTE(Txt_P2,"{cabinet}",Cab_Nom),"{societe}",IF($K$4276=0,"",INDEX(Clients!$E$2:$E$501,$K$4276)&amp;"")),"{date_effet}",$K$4278),"{hausse}",$K$4279),"{civilite}",$K$4277)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298" s="37"/>
      <c r="D4298" s="37"/>
      <c r="E4298" s="37"/>
      <c r="F4298" s="37"/>
      <c r="J4298" s="25"/>
      <c r="K4298" s="25"/>
      <c r="L4298" s="25"/>
      <c r="M4298" s="25"/>
      <c r="N4298" s="25"/>
      <c r="O4298" s="25"/>
    </row>
    <row r="4299" customFormat="false" ht="63" hidden="false" customHeight="true" outlineLevel="0" collapsed="false">
      <c r="B4299" s="37" t="str">
        <f aca="false">SUBSTITUTE(SUBSTITUTE(SUBSTITUTE(SUBSTITUTE(SUBSTITUTE(Txt_P3,"{cabinet}",Cab_Nom),"{societe}",IF($K$4276=0,"",INDEX(Clients!$E$2:$E$501,$K$4276)&amp;"")),"{date_effet}",$K$4278),"{hausse}",$K$4279),"{civilite}",$K$4277)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299" s="37"/>
      <c r="D4299" s="37"/>
      <c r="E4299" s="37"/>
      <c r="F4299" s="37"/>
      <c r="J4299" s="25"/>
      <c r="K4299" s="25"/>
      <c r="L4299" s="25"/>
      <c r="M4299" s="25"/>
      <c r="N4299" s="25"/>
      <c r="O4299" s="25"/>
    </row>
    <row r="4300" customFormat="false" ht="24" hidden="false" customHeight="true" outlineLevel="0" collapsed="false">
      <c r="B4300" s="37" t="str">
        <f aca="false">SUBSTITUTE(SUBSTITUTE(SUBSTITUTE(SUBSTITUTE(SUBSTITUTE(Txt_P4,"{cabinet}",Cab_Nom),"{societe}",IF($K$4276=0,"",INDEX(Clients!$E$2:$E$501,$K$4276)&amp;"")),"{date_effet}",$K$4278),"{hausse}",$K$4279),"{civilite}",$K$4277)</f>
        <v>À compter du 1er janvier 2027, vos honoraires annuels hors taxes évolueront ainsi (évolution globale : ) :</v>
      </c>
      <c r="C4300" s="37"/>
      <c r="D4300" s="37"/>
      <c r="E4300" s="37"/>
      <c r="F4300" s="37"/>
      <c r="J4300" s="25"/>
      <c r="K4300" s="25"/>
      <c r="L4300" s="25"/>
      <c r="M4300" s="25"/>
      <c r="N4300" s="25"/>
      <c r="O4300" s="25"/>
    </row>
    <row r="4301" customFormat="false" ht="3.75" hidden="false" customHeight="true" outlineLevel="0" collapsed="false">
      <c r="B4301" s="10"/>
      <c r="C4301" s="10"/>
      <c r="D4301" s="10"/>
      <c r="E4301" s="10"/>
      <c r="F4301" s="10"/>
      <c r="J4301" s="25"/>
      <c r="K4301" s="25"/>
      <c r="L4301" s="25"/>
      <c r="M4301" s="25"/>
      <c r="N4301" s="25"/>
      <c r="O4301" s="25"/>
    </row>
    <row r="4302" customFormat="false" ht="18" hidden="false" customHeight="true" outlineLevel="0" collapsed="false">
      <c r="B4302" s="38" t="s">
        <v>148</v>
      </c>
      <c r="C4302" s="39" t="s">
        <v>149</v>
      </c>
      <c r="D4302" s="39" t="s">
        <v>150</v>
      </c>
      <c r="E4302" s="39" t="s">
        <v>151</v>
      </c>
      <c r="F4302" s="39" t="s">
        <v>109</v>
      </c>
      <c r="J4302" s="25" t="s">
        <v>152</v>
      </c>
      <c r="K4302" s="25" t="s">
        <v>153</v>
      </c>
      <c r="L4302" s="25" t="s">
        <v>154</v>
      </c>
      <c r="M4302" s="25" t="s">
        <v>155</v>
      </c>
      <c r="N4302" s="25" t="s">
        <v>156</v>
      </c>
      <c r="O4302" s="25" t="s">
        <v>157</v>
      </c>
    </row>
    <row r="4303" customFormat="false" ht="16.5" hidden="false" customHeight="true" outlineLevel="0" collapsed="false">
      <c r="B4303" s="40" t="str">
        <f aca="false">IFERROR(INDEX($J$4303:$J$4306,MATCH($O4303,$N$4303:$N$4306,0)),"")</f>
        <v/>
      </c>
      <c r="C4303" s="41" t="str">
        <f aca="false">IFERROR(INDEX($K$4303:$K$4306,MATCH($O4303,$N$4303:$N$4306,0)),"")</f>
        <v/>
      </c>
      <c r="D4303" s="42" t="str">
        <f aca="false">IF(OR(E4303="",N(C4303)=0),"",E4303/C4303-1)</f>
        <v/>
      </c>
      <c r="E4303" s="41" t="str">
        <f aca="false">IFERROR(INDEX($L$4303:$L$4306,MATCH($O4303,$N$4303:$N$4306,0)),"")</f>
        <v/>
      </c>
      <c r="F4303" s="41" t="str">
        <f aca="false">IF(E4303="","",E4303-C4303)</f>
        <v/>
      </c>
      <c r="J4303" s="25" t="str">
        <f aca="false">Lib_Compta</f>
        <v>Mission comptable (tenue, révision, bilan, liasse fiscale)</v>
      </c>
      <c r="K4303" s="25" t="n">
        <f aca="false">IF($K$4276=0,0,N(INDEX(Clients!$K$2:$K$501,$K$4276)))</f>
        <v>0</v>
      </c>
      <c r="L4303" s="25" t="n">
        <f aca="false">IF($K$4276=0,0,N(INDEX(Clients!$P$2:$P$501,$K$4276)))</f>
        <v>0</v>
      </c>
      <c r="M4303" s="25" t="n">
        <f aca="false">IF(OR(K4303&lt;&gt;0,L4303&lt;&gt;0),1,0)</f>
        <v>0</v>
      </c>
      <c r="N4303" s="25" t="str">
        <f aca="false">IF(M4303=1,SUM($M$4303:M4303),"")</f>
        <v/>
      </c>
      <c r="O4303" s="25" t="n">
        <v>1</v>
      </c>
    </row>
    <row r="4304" customFormat="false" ht="16.5" hidden="false" customHeight="true" outlineLevel="0" collapsed="false">
      <c r="B4304" s="40" t="str">
        <f aca="false">IFERROR(INDEX($J$4303:$J$4306,MATCH($O4304,$N$4303:$N$4306,0)),"")</f>
        <v/>
      </c>
      <c r="C4304" s="41" t="str">
        <f aca="false">IFERROR(INDEX($K$4303:$K$4306,MATCH($O4304,$N$4303:$N$4306,0)),"")</f>
        <v/>
      </c>
      <c r="D4304" s="42" t="str">
        <f aca="false">IF(OR(E4304="",N(C4304)=0),"",E4304/C4304-1)</f>
        <v/>
      </c>
      <c r="E4304" s="41" t="str">
        <f aca="false">IFERROR(INDEX($L$4303:$L$4306,MATCH($O4304,$N$4303:$N$4306,0)),"")</f>
        <v/>
      </c>
      <c r="F4304" s="41" t="str">
        <f aca="false">IF(E4304="","",E4304-C4304)</f>
        <v/>
      </c>
      <c r="J4304" s="25" t="str">
        <f aca="false">Lib_Paye</f>
        <v>Mission sociale (bulletins de paie, DSN, déclarations sociales)</v>
      </c>
      <c r="K4304" s="25" t="n">
        <f aca="false">IF($K$4276=0,0,N(INDEX(Clients!$L$2:$L$501,$K$4276)))</f>
        <v>0</v>
      </c>
      <c r="L4304" s="25" t="n">
        <f aca="false">IF($K$4276=0,0,N(INDEX(Clients!$Q$2:$Q$501,$K$4276)))</f>
        <v>0</v>
      </c>
      <c r="M4304" s="25" t="n">
        <f aca="false">IF(OR(K4304&lt;&gt;0,L4304&lt;&gt;0),1,0)</f>
        <v>0</v>
      </c>
      <c r="N4304" s="25" t="str">
        <f aca="false">IF(M4304=1,SUM($M$4303:M4304),"")</f>
        <v/>
      </c>
      <c r="O4304" s="25" t="n">
        <v>2</v>
      </c>
    </row>
    <row r="4305" customFormat="false" ht="16.5" hidden="false" customHeight="true" outlineLevel="0" collapsed="false">
      <c r="B4305" s="40" t="str">
        <f aca="false">IFERROR(INDEX($J$4303:$J$4306,MATCH($O4305,$N$4303:$N$4306,0)),"")</f>
        <v/>
      </c>
      <c r="C4305" s="41" t="str">
        <f aca="false">IFERROR(INDEX($K$4303:$K$4306,MATCH($O4305,$N$4303:$N$4306,0)),"")</f>
        <v/>
      </c>
      <c r="D4305" s="42" t="str">
        <f aca="false">IF(OR(E4305="",N(C4305)=0),"",E4305/C4305-1)</f>
        <v/>
      </c>
      <c r="E4305" s="41" t="str">
        <f aca="false">IFERROR(INDEX($L$4303:$L$4306,MATCH($O4305,$N$4303:$N$4306,0)),"")</f>
        <v/>
      </c>
      <c r="F4305" s="41" t="str">
        <f aca="false">IF(E4305="","",E4305-C4305)</f>
        <v/>
      </c>
      <c r="J4305" s="25" t="str">
        <f aca="false">Lib_Jur</f>
        <v>Mission juridique (approbation des comptes, secrétariat juridique)</v>
      </c>
      <c r="K4305" s="25" t="n">
        <f aca="false">IF($K$4276=0,0,N(INDEX(Clients!$M$2:$M$501,$K$4276)))</f>
        <v>0</v>
      </c>
      <c r="L4305" s="25" t="n">
        <f aca="false">IF($K$4276=0,0,N(INDEX(Clients!$R$2:$R$501,$K$4276)))</f>
        <v>0</v>
      </c>
      <c r="M4305" s="25" t="n">
        <f aca="false">IF(OR(K4305&lt;&gt;0,L4305&lt;&gt;0),1,0)</f>
        <v>0</v>
      </c>
      <c r="N4305" s="25" t="str">
        <f aca="false">IF(M4305=1,SUM($M$4303:M4305),"")</f>
        <v/>
      </c>
      <c r="O4305" s="25" t="n">
        <v>3</v>
      </c>
    </row>
    <row r="4306" customFormat="false" ht="16.5" hidden="false" customHeight="true" outlineLevel="0" collapsed="false">
      <c r="B4306" s="40" t="str">
        <f aca="false">IFERROR(INDEX($J$4303:$J$4306,MATCH($O4306,$N$4303:$N$4306,0)),"")</f>
        <v/>
      </c>
      <c r="C4306" s="41" t="str">
        <f aca="false">IFERROR(INDEX($K$4303:$K$4306,MATCH($O4306,$N$4303:$N$4306,0)),"")</f>
        <v/>
      </c>
      <c r="D4306" s="42" t="str">
        <f aca="false">IF(OR(E4306="",N(C4306)=0),"",E4306/C4306-1)</f>
        <v/>
      </c>
      <c r="E4306" s="41" t="str">
        <f aca="false">IFERROR(INDEX($L$4303:$L$4306,MATCH($O4306,$N$4303:$N$4306,0)),"")</f>
        <v/>
      </c>
      <c r="F4306" s="41" t="str">
        <f aca="false">IF(E4306="","",E4306-C4306)</f>
        <v/>
      </c>
      <c r="J4306" s="25" t="str">
        <f aca="false">Lib_PA</f>
        <v>Plateforme agréée – facturation électronique</v>
      </c>
      <c r="K4306" s="25" t="n">
        <f aca="false">IF($K$4276=0,0,N(INDEX(Clients!$N$2:$N$501,$K$4276)))</f>
        <v>0</v>
      </c>
      <c r="L4306" s="25" t="n">
        <f aca="false">IF($K$4276=0,0,N(INDEX(Clients!$S$2:$S$501,$K$4276)))</f>
        <v>0</v>
      </c>
      <c r="M4306" s="25" t="n">
        <f aca="false">IF(OR(K4306&lt;&gt;0,L4306&lt;&gt;0),1,0)</f>
        <v>0</v>
      </c>
      <c r="N4306" s="25" t="str">
        <f aca="false">IF(M4306=1,SUM($M$4303:M4306),"")</f>
        <v/>
      </c>
      <c r="O4306" s="25" t="n">
        <v>4</v>
      </c>
    </row>
    <row r="4307" customFormat="false" ht="18" hidden="false" customHeight="true" outlineLevel="0" collapsed="false">
      <c r="B4307" s="43" t="s">
        <v>158</v>
      </c>
      <c r="C4307" s="44" t="n">
        <f aca="false">SUM(K4303:K4306)</f>
        <v>0</v>
      </c>
      <c r="D4307" s="45" t="str">
        <f aca="false">IF(N(C4307)=0,"",E4307/C4307-1)</f>
        <v/>
      </c>
      <c r="E4307" s="44" t="n">
        <f aca="false">SUM(L4303:L4306)</f>
        <v>0</v>
      </c>
      <c r="F4307" s="44" t="n">
        <f aca="false">E4307-C4307</f>
        <v>0</v>
      </c>
    </row>
    <row r="4308" customFormat="false" ht="15" hidden="false" customHeight="false" outlineLevel="0" collapsed="false">
      <c r="B4308" s="46" t="str">
        <f aca="false">IF(N(Nb_Mensualites)=0,"","Soit "&amp;FIXED(E4307/Nb_Mensualites,2)&amp;" € HT par échéance ("&amp;Nb_Mensualites&amp;" échéances), "&amp;FIXED(E4307/Nb_Mensualites*(1+Taux_TVA),2)&amp;" € TTC.")</f>
        <v>Soit 0.00 € HT par échéance (12 échéances), 0.00 € TTC.</v>
      </c>
      <c r="C4308" s="46"/>
      <c r="D4308" s="46"/>
      <c r="E4308" s="46"/>
      <c r="F4308" s="46"/>
    </row>
    <row r="4309" customFormat="false" ht="7.5" hidden="false" customHeight="true" outlineLevel="0" collapsed="false">
      <c r="B4309" s="10"/>
      <c r="C4309" s="10"/>
      <c r="D4309" s="10"/>
      <c r="E4309" s="10"/>
      <c r="F4309" s="10"/>
    </row>
    <row r="4310" customFormat="false" ht="36.75" hidden="false" customHeight="true" outlineLevel="0" collapsed="false">
      <c r="B4310" s="37" t="str">
        <f aca="false">SUBSTITUTE(SUBSTITUTE(SUBSTITUTE(SUBSTITUTE(SUBSTITUTE(Txt_P5,"{cabinet}",Cab_Nom),"{societe}",IF($K$4276=0,"",INDEX(Clients!$E$2:$E$501,$K$4276)&amp;"")),"{date_effet}",$K$4278),"{hausse}",$K$4279),"{civilite}",$K$4277)</f>
        <v>Les autres conditions de votre lettre de mission demeurent inchangées. Les nouveaux montants seront appliqués automatiquement sur vos prochaines factures et échéances de prélèvement.</v>
      </c>
      <c r="C4310" s="37"/>
      <c r="D4310" s="37"/>
      <c r="E4310" s="37"/>
      <c r="F4310" s="37"/>
    </row>
    <row r="4311" customFormat="false" ht="36.75" hidden="false" customHeight="true" outlineLevel="0" collapsed="false">
      <c r="B4311" s="37" t="str">
        <f aca="false">SUBSTITUTE(SUBSTITUTE(SUBSTITUTE(SUBSTITUTE(SUBSTITUTE(Txt_P6,"{cabinet}",Cab_Nom),"{societe}",IF($K$4276=0,"",INDEX(Clients!$E$2:$E$501,$K$4276)&amp;"")),"{date_effet}",$K$4278),"{hausse}",$K$4279),"{civilite}",$K$4277)</f>
        <v>Votre interlocuteur habituel reste à votre entière disposition pour répondre à vos questions et faire le point sur l'évolution de vos besoins.</v>
      </c>
      <c r="C4311" s="37"/>
      <c r="D4311" s="37"/>
      <c r="E4311" s="37"/>
      <c r="F4311" s="37"/>
    </row>
    <row r="4312" customFormat="false" ht="24" hidden="false" customHeight="true" outlineLevel="0" collapsed="false">
      <c r="B4312" s="37" t="str">
        <f aca="false">SUBSTITUTE(SUBSTITUTE(SUBSTITUTE(SUBSTITUTE(SUBSTITUTE(Txt_Politesse,"{cabinet}",Cab_Nom),"{societe}",IF($K$4276=0,"",INDEX(Clients!$E$2:$E$501,$K$4276)&amp;"")),"{date_effet}",$K$4278),"{hausse}",$K$4279),"{civilite}",$K$4277)</f>
        <v>Nous vous prions d'agréer, Madame, Monsieur, l'expression de nos salutations distinguées.</v>
      </c>
      <c r="C4312" s="37"/>
      <c r="D4312" s="37"/>
      <c r="E4312" s="37"/>
      <c r="F4312" s="37"/>
    </row>
    <row r="4313" customFormat="false" ht="15" hidden="false" customHeight="false" outlineLevel="0" collapsed="false">
      <c r="B4313" s="10"/>
      <c r="C4313" s="10"/>
      <c r="D4313" s="10"/>
      <c r="E4313" s="10"/>
      <c r="F4313" s="10"/>
    </row>
    <row r="4314" customFormat="false" ht="15" hidden="false" customHeight="false" outlineLevel="0" collapsed="false">
      <c r="B4314" s="10"/>
      <c r="C4314" s="10"/>
      <c r="D4314" s="34" t="str">
        <f aca="false">Signataire</f>
        <v>Prénom NOM</v>
      </c>
      <c r="E4314" s="34"/>
      <c r="F4314" s="34"/>
    </row>
    <row r="4315" customFormat="false" ht="15" hidden="false" customHeight="false" outlineLevel="0" collapsed="false">
      <c r="B4315" s="10"/>
      <c r="C4315" s="10"/>
      <c r="D4315" s="47" t="str">
        <f aca="false">Signataire_Titre</f>
        <v>Expert-comptable associé</v>
      </c>
      <c r="E4315" s="47"/>
      <c r="F4315" s="47"/>
    </row>
    <row r="4316" customFormat="false" ht="15.75" hidden="false" customHeight="true" outlineLevel="0" collapsed="false">
      <c r="B4316" s="10"/>
      <c r="C4316" s="10"/>
      <c r="D4316" s="10"/>
      <c r="E4316" s="10"/>
      <c r="F4316" s="10"/>
    </row>
    <row r="4317" customFormat="false" ht="15.75" hidden="false" customHeight="true" outlineLevel="0" collapsed="false">
      <c r="B4317" s="10"/>
      <c r="C4317" s="10"/>
      <c r="D4317" s="10"/>
      <c r="E4317" s="10"/>
      <c r="F4317" s="10"/>
    </row>
    <row r="4318" customFormat="false" ht="15.75" hidden="false" customHeight="true" outlineLevel="0" collapsed="false">
      <c r="B4318" s="10"/>
      <c r="C4318" s="10"/>
      <c r="D4318" s="10"/>
      <c r="E4318" s="10"/>
      <c r="F4318" s="10"/>
    </row>
    <row r="4319" customFormat="false" ht="15.75" hidden="false" customHeight="true" outlineLevel="0" collapsed="false">
      <c r="B4319" s="10"/>
      <c r="C4319" s="10"/>
      <c r="D4319" s="10"/>
      <c r="E4319" s="10"/>
      <c r="F4319" s="10"/>
    </row>
    <row r="4320" customFormat="false" ht="24" hidden="false" customHeight="true" outlineLevel="0" collapsed="false">
      <c r="B4320" s="48" t="str">
        <f aca="false">Cab_Mentions</f>
        <v>ALTHO EXPERTISE · SAS au capital de 10 000 € · RCS Pontoise 919 706 325 · TVA FR62919706325 · Société d'expertise comptable inscrite au Tableau de l'Ordre des experts-comptables de Paris Île-de-France</v>
      </c>
      <c r="C4320" s="48"/>
      <c r="D4320" s="48"/>
      <c r="E4320" s="48"/>
      <c r="F4320" s="48"/>
    </row>
    <row r="4321" customFormat="false" ht="15" hidden="false" customHeight="false" outlineLevel="0" collapsed="false">
      <c r="B4321" s="10"/>
      <c r="C4321" s="10"/>
      <c r="D4321" s="10"/>
      <c r="E4321" s="10"/>
      <c r="F4321" s="10"/>
      <c r="J4321" s="25" t="s">
        <v>142</v>
      </c>
      <c r="K4321" s="25" t="n">
        <f aca="false">IFERROR(MATCH(97,Clients!$Z$2:$Z$501,0),0)</f>
        <v>0</v>
      </c>
      <c r="L4321" s="25"/>
      <c r="M4321" s="25"/>
      <c r="N4321" s="25"/>
      <c r="O4321" s="25"/>
    </row>
    <row r="4322" customFormat="false" ht="21.75" hidden="false" customHeight="true" outlineLevel="0" collapsed="false">
      <c r="B4322" s="26" t="str">
        <f aca="false">Cab_Nom</f>
        <v>ALTHO EXPERTISE</v>
      </c>
      <c r="C4322" s="26"/>
      <c r="D4322" s="10"/>
      <c r="E4322" s="27" t="str">
        <f aca="false">IF($K$4321=0,"","Réf. client : "&amp;INDEX(Clients!$A$2:$A$501,$K$4321))</f>
        <v/>
      </c>
      <c r="F4322" s="27"/>
      <c r="J4322" s="25" t="s">
        <v>144</v>
      </c>
      <c r="K4322" s="25" t="str">
        <f aca="false">IF(IF($K$4321=0,"",INDEX(Clients!$B$2:$B$501,$K$4321)&amp;"")="Mme","Madame",IF(IF($K$4321=0,"",INDEX(Clients!$B$2:$B$501,$K$4321)&amp;"")="M.","Monsieur","Madame, Monsieur"))</f>
        <v>Madame, Monsieur</v>
      </c>
      <c r="L4322" s="25"/>
      <c r="M4322" s="25"/>
      <c r="N4322" s="25"/>
      <c r="O4322" s="25"/>
    </row>
    <row r="4323" customFormat="false" ht="15" hidden="false" customHeight="false" outlineLevel="0" collapsed="false">
      <c r="B4323" s="29" t="str">
        <f aca="false">Cab_Adr1</f>
        <v>141 rue Charles de Gaulle</v>
      </c>
      <c r="C4323" s="29"/>
      <c r="D4323" s="10"/>
      <c r="E4323" s="10"/>
      <c r="F4323" s="10"/>
      <c r="J4323" s="25" t="s">
        <v>145</v>
      </c>
      <c r="K4323" s="25" t="str">
        <f aca="false">DAY(Date_Effet)&amp;IF(DAY(Date_Effet)=1,"er","")&amp;" "&amp;INDEX(Liste_Mois,MONTH(Date_Effet))&amp;" "&amp;YEAR(Date_Effet)</f>
        <v>1er janvier 2027</v>
      </c>
      <c r="L4323" s="25"/>
      <c r="M4323" s="25"/>
      <c r="N4323" s="25"/>
      <c r="O4323" s="25"/>
    </row>
    <row r="4324" customFormat="false" ht="15" hidden="false" customHeight="false" outlineLevel="0" collapsed="false">
      <c r="B4324" s="29" t="str">
        <f aca="false">Cab_CPVille</f>
        <v>95130 LE PLESSIS-BOUCHARD</v>
      </c>
      <c r="C4324" s="29"/>
      <c r="D4324" s="10"/>
      <c r="E4324" s="10"/>
      <c r="F4324" s="10"/>
      <c r="J4324" s="25" t="s">
        <v>146</v>
      </c>
      <c r="K4324" s="25" t="str">
        <f aca="false">IF(SUM($K$4348:$K$4351)=0,"",FIXED((SUM($L$4348:$L$4351)/SUM($K$4348:$K$4351)-1)*100,1)&amp;" %")</f>
        <v/>
      </c>
      <c r="L4324" s="25"/>
      <c r="M4324" s="25"/>
      <c r="N4324" s="25"/>
      <c r="O4324" s="25"/>
    </row>
    <row r="4325" customFormat="false" ht="15" hidden="false" customHeight="false" outlineLevel="0" collapsed="false">
      <c r="B4325" s="29" t="str">
        <f aca="false">Cab_Contact</f>
        <v>Tél. 01 34 14 53 45  ·  altho@altho-experts.com  ·  altho-experts.com</v>
      </c>
      <c r="C4325" s="29"/>
      <c r="D4325" s="10"/>
      <c r="E4325" s="10"/>
      <c r="F4325" s="10"/>
      <c r="J4325" s="25"/>
      <c r="K4325" s="25"/>
      <c r="L4325" s="25"/>
      <c r="M4325" s="25"/>
      <c r="N4325" s="25"/>
      <c r="O4325" s="25"/>
    </row>
    <row r="4326" customFormat="false" ht="6" hidden="false" customHeight="true" outlineLevel="0" collapsed="false">
      <c r="B4326" s="32"/>
      <c r="C4326" s="32"/>
      <c r="D4326" s="32"/>
      <c r="E4326" s="32"/>
      <c r="F4326" s="32"/>
      <c r="J4326" s="25"/>
      <c r="K4326" s="25"/>
      <c r="L4326" s="25"/>
      <c r="M4326" s="25"/>
      <c r="N4326" s="25"/>
      <c r="O4326" s="25"/>
    </row>
    <row r="4327" customFormat="false" ht="13.5" hidden="false" customHeight="true" outlineLevel="0" collapsed="false">
      <c r="B4327" s="10"/>
      <c r="C4327" s="10"/>
      <c r="D4327" s="10"/>
      <c r="E4327" s="10"/>
      <c r="F4327" s="10"/>
      <c r="J4327" s="25"/>
      <c r="K4327" s="25"/>
      <c r="L4327" s="25"/>
      <c r="M4327" s="25"/>
      <c r="N4327" s="25"/>
      <c r="O4327" s="25"/>
    </row>
    <row r="4328" customFormat="false" ht="13.5" hidden="false" customHeight="true" outlineLevel="0" collapsed="false">
      <c r="B4328" s="10"/>
      <c r="C4328" s="10"/>
      <c r="D4328" s="10"/>
      <c r="E4328" s="10"/>
      <c r="F4328" s="10"/>
      <c r="J4328" s="25"/>
      <c r="K4328" s="25"/>
      <c r="L4328" s="25"/>
      <c r="M4328" s="25"/>
      <c r="N4328" s="25"/>
      <c r="O4328" s="25"/>
    </row>
    <row r="4329" customFormat="false" ht="13.5" hidden="false" customHeight="true" outlineLevel="0" collapsed="false">
      <c r="B4329" s="10"/>
      <c r="C4329" s="10"/>
      <c r="D4329" s="10"/>
      <c r="E4329" s="10"/>
      <c r="F4329" s="10"/>
      <c r="J4329" s="25"/>
      <c r="K4329" s="25"/>
      <c r="L4329" s="25"/>
      <c r="M4329" s="25"/>
      <c r="N4329" s="25"/>
      <c r="O4329" s="25"/>
    </row>
    <row r="4330" customFormat="false" ht="15" hidden="false" customHeight="true" outlineLevel="0" collapsed="false">
      <c r="B4330" s="10"/>
      <c r="C4330" s="10"/>
      <c r="D4330" s="34" t="str">
        <f aca="false">IF($K$4321=0,"",INDEX(Clients!$E$2:$E$501,$K$4321)&amp;"")</f>
        <v/>
      </c>
      <c r="E4330" s="34"/>
      <c r="F4330" s="34"/>
      <c r="J4330" s="25"/>
      <c r="K4330" s="25"/>
      <c r="L4330" s="25"/>
      <c r="M4330" s="25"/>
      <c r="N4330" s="25"/>
      <c r="O4330" s="25"/>
    </row>
    <row r="4331" customFormat="false" ht="15" hidden="false" customHeight="true" outlineLevel="0" collapsed="false">
      <c r="B4331" s="10"/>
      <c r="C4331" s="10"/>
      <c r="D4331" s="35" t="str">
        <f aca="false">IF(IF($K$4321=0,"",INDEX(Clients!$D$2:$D$501,$K$4321)&amp;"")="","","À l'attention de "&amp;TRIM(IF($K$4321=0,"",INDEX(Clients!$B$2:$B$501,$K$4321)&amp;"")&amp;" "&amp;IF($K$4321=0,"",INDEX(Clients!$C$2:$C$501,$K$4321)&amp;"")&amp;" "&amp;IF($K$4321=0,"",INDEX(Clients!$D$2:$D$501,$K$4321)&amp;"")))</f>
        <v/>
      </c>
      <c r="E4331" s="35"/>
      <c r="F4331" s="35"/>
      <c r="J4331" s="25"/>
      <c r="K4331" s="25"/>
      <c r="L4331" s="25"/>
      <c r="M4331" s="25"/>
      <c r="N4331" s="25"/>
      <c r="O4331" s="25"/>
    </row>
    <row r="4332" customFormat="false" ht="15" hidden="false" customHeight="true" outlineLevel="0" collapsed="false">
      <c r="B4332" s="10"/>
      <c r="C4332" s="10"/>
      <c r="D4332" s="35" t="str">
        <f aca="false">IF($K$4321=0,"",INDEX(Clients!$F$2:$F$501,$K$4321)&amp;"")</f>
        <v/>
      </c>
      <c r="E4332" s="35"/>
      <c r="F4332" s="35"/>
      <c r="J4332" s="25"/>
      <c r="K4332" s="25"/>
      <c r="L4332" s="25"/>
      <c r="M4332" s="25"/>
      <c r="N4332" s="25"/>
      <c r="O4332" s="25"/>
    </row>
    <row r="4333" customFormat="false" ht="15" hidden="false" customHeight="true" outlineLevel="0" collapsed="false">
      <c r="B4333" s="10"/>
      <c r="C4333" s="10"/>
      <c r="D4333" s="35" t="str">
        <f aca="false">IF(IF($K$4321=0,"",INDEX(Clients!$G$2:$G$501,$K$4321)&amp;"")="",TRIM(IF($K$4321=0,"",INDEX(Clients!$H$2:$H$501,$K$4321)&amp;"")&amp;" "&amp;UPPER(IF($K$4321=0,"",INDEX(Clients!$I$2:$I$501,$K$4321)&amp;""))),IF($K$4321=0,"",INDEX(Clients!$G$2:$G$501,$K$4321)&amp;""))</f>
        <v/>
      </c>
      <c r="E4333" s="35"/>
      <c r="F4333" s="35"/>
      <c r="J4333" s="25"/>
      <c r="K4333" s="25"/>
      <c r="L4333" s="25"/>
      <c r="M4333" s="25"/>
      <c r="N4333" s="25"/>
      <c r="O4333" s="25"/>
    </row>
    <row r="4334" customFormat="false" ht="15" hidden="false" customHeight="true" outlineLevel="0" collapsed="false">
      <c r="B4334" s="10"/>
      <c r="C4334" s="10"/>
      <c r="D4334" s="35" t="str">
        <f aca="false">IF(IF($K$4321=0,"",INDEX(Clients!$G$2:$G$501,$K$4321)&amp;"")="","",TRIM(IF($K$4321=0,"",INDEX(Clients!$H$2:$H$501,$K$4321)&amp;"")&amp;" "&amp;UPPER(IF($K$4321=0,"",INDEX(Clients!$I$2:$I$501,$K$4321)&amp;""))))</f>
        <v/>
      </c>
      <c r="E4334" s="35"/>
      <c r="F4334" s="35"/>
      <c r="J4334" s="25"/>
      <c r="K4334" s="25"/>
      <c r="L4334" s="25"/>
      <c r="M4334" s="25"/>
      <c r="N4334" s="25"/>
      <c r="O4334" s="25"/>
    </row>
    <row r="4335" customFormat="false" ht="25.5" hidden="false" customHeight="true" outlineLevel="0" collapsed="false">
      <c r="B4335" s="10"/>
      <c r="C4335" s="10"/>
      <c r="D4335" s="10"/>
      <c r="E4335" s="10"/>
      <c r="F4335" s="10"/>
      <c r="J4335" s="25"/>
      <c r="K4335" s="25"/>
      <c r="L4335" s="25"/>
      <c r="M4335" s="25"/>
      <c r="N4335" s="25"/>
      <c r="O4335" s="25"/>
    </row>
    <row r="4336" customFormat="false" ht="15" hidden="false" customHeight="false" outlineLevel="0" collapsed="false">
      <c r="B4336" s="10"/>
      <c r="C4336" s="10"/>
      <c r="D4336" s="36" t="str">
        <f aca="false">Cab_Ville&amp;", le "&amp;DAY(Date_Courrier)&amp;IF(DAY(Date_Courrier)=1,"er","")&amp;" "&amp;INDEX(Liste_Mois,MONTH(Date_Courrier))&amp;" "&amp;YEAR(Date_Courrier)</f>
        <v>Le Plessis-Bouchard, le 22 septembre 2026</v>
      </c>
      <c r="E4336" s="36"/>
      <c r="F4336" s="36"/>
      <c r="J4336" s="25"/>
      <c r="K4336" s="25"/>
      <c r="L4336" s="25"/>
      <c r="M4336" s="25"/>
      <c r="N4336" s="25"/>
      <c r="O4336" s="25"/>
    </row>
    <row r="4337" customFormat="false" ht="19.5" hidden="false" customHeight="true" outlineLevel="0" collapsed="false">
      <c r="B4337" s="10"/>
      <c r="C4337" s="10"/>
      <c r="D4337" s="10"/>
      <c r="E4337" s="10"/>
      <c r="F4337" s="10"/>
      <c r="J4337" s="25"/>
      <c r="K4337" s="25"/>
      <c r="L4337" s="25"/>
      <c r="M4337" s="25"/>
      <c r="N4337" s="25"/>
      <c r="O4337" s="25"/>
    </row>
    <row r="4338" customFormat="false" ht="15" hidden="false" customHeight="false" outlineLevel="0" collapsed="false">
      <c r="B4338" s="34" t="str">
        <f aca="false">SUBSTITUTE(SUBSTITUTE(SUBSTITUTE(SUBSTITUTE(SUBSTITUTE(Txt_Objet,"{cabinet}",Cab_Nom),"{societe}",IF($K$4321=0,"",INDEX(Clients!$E$2:$E$501,$K$4321)&amp;"")),"{date_effet}",$K$4323),"{hausse}",$K$4324),"{civilite}",$K$4322)</f>
        <v>Objet : révision de nos honoraires au 1er janvier 2027</v>
      </c>
      <c r="C4338" s="34"/>
      <c r="D4338" s="34"/>
      <c r="E4338" s="34"/>
      <c r="F4338" s="34"/>
      <c r="J4338" s="25"/>
      <c r="K4338" s="25"/>
      <c r="L4338" s="25"/>
      <c r="M4338" s="25"/>
      <c r="N4338" s="25"/>
      <c r="O4338" s="25"/>
    </row>
    <row r="4339" customFormat="false" ht="13.5" hidden="false" customHeight="true" outlineLevel="0" collapsed="false">
      <c r="B4339" s="10"/>
      <c r="C4339" s="10"/>
      <c r="D4339" s="10"/>
      <c r="E4339" s="10"/>
      <c r="F4339" s="10"/>
      <c r="J4339" s="25"/>
      <c r="K4339" s="25"/>
      <c r="L4339" s="25"/>
      <c r="M4339" s="25"/>
      <c r="N4339" s="25"/>
      <c r="O4339" s="25"/>
    </row>
    <row r="4340" customFormat="false" ht="15" hidden="false" customHeight="false" outlineLevel="0" collapsed="false">
      <c r="B4340" s="10" t="str">
        <f aca="false">$K$4322&amp;","</f>
        <v>Madame, Monsieur,</v>
      </c>
      <c r="C4340" s="10"/>
      <c r="D4340" s="10"/>
      <c r="E4340" s="10"/>
      <c r="F4340" s="10"/>
      <c r="J4340" s="25"/>
      <c r="K4340" s="25"/>
      <c r="L4340" s="25"/>
      <c r="M4340" s="25"/>
      <c r="N4340" s="25"/>
      <c r="O4340" s="25"/>
    </row>
    <row r="4341" customFormat="false" ht="6" hidden="false" customHeight="true" outlineLevel="0" collapsed="false">
      <c r="B4341" s="10"/>
      <c r="C4341" s="10"/>
      <c r="D4341" s="10"/>
      <c r="E4341" s="10"/>
      <c r="F4341" s="10"/>
      <c r="J4341" s="25"/>
      <c r="K4341" s="25"/>
      <c r="L4341" s="25"/>
      <c r="M4341" s="25"/>
      <c r="N4341" s="25"/>
      <c r="O4341" s="25"/>
    </row>
    <row r="4342" customFormat="false" ht="36.75" hidden="false" customHeight="true" outlineLevel="0" collapsed="false">
      <c r="B4342" s="37" t="str">
        <f aca="false">SUBSTITUTE(SUBSTITUTE(SUBSTITUTE(SUBSTITUTE(SUBSTITUTE(Txt_P1,"{cabinet}",Cab_Nom),"{societe}",IF($K$4321=0,"",INDEX(Clients!$E$2:$E$501,$K$4321)&amp;"")),"{date_effet}",$K$4323),"{hausse}",$K$4324),"{civilite}",$K$4322)</f>
        <v>Nous tenons tout d'abord à vous remercier pour la confiance que vous accordez à ALTHO EXPERTISE. Comme chaque année, et conformément aux dispositions de votre lettre de mission, nous procédons à la révision de nos honoraires.</v>
      </c>
      <c r="C4342" s="37"/>
      <c r="D4342" s="37"/>
      <c r="E4342" s="37"/>
      <c r="F4342" s="37"/>
      <c r="J4342" s="25"/>
      <c r="K4342" s="25"/>
      <c r="L4342" s="25"/>
      <c r="M4342" s="25"/>
      <c r="N4342" s="25"/>
      <c r="O4342" s="25"/>
    </row>
    <row r="4343" customFormat="false" ht="49.5" hidden="false" customHeight="true" outlineLevel="0" collapsed="false">
      <c r="B4343" s="37" t="str">
        <f aca="false">SUBSTITUTE(SUBSTITUTE(SUBSTITUTE(SUBSTITUTE(SUBSTITUTE(Txt_P2,"{cabinet}",Cab_Nom),"{societe}",IF($K$4321=0,"",INDEX(Clients!$E$2:$E$501,$K$4321)&amp;"")),"{date_effet}",$K$4323),"{hausse}",$K$4324),"{civilite}",$K$4322)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343" s="37"/>
      <c r="D4343" s="37"/>
      <c r="E4343" s="37"/>
      <c r="F4343" s="37"/>
      <c r="J4343" s="25"/>
      <c r="K4343" s="25"/>
      <c r="L4343" s="25"/>
      <c r="M4343" s="25"/>
      <c r="N4343" s="25"/>
      <c r="O4343" s="25"/>
    </row>
    <row r="4344" customFormat="false" ht="63" hidden="false" customHeight="true" outlineLevel="0" collapsed="false">
      <c r="B4344" s="37" t="str">
        <f aca="false">SUBSTITUTE(SUBSTITUTE(SUBSTITUTE(SUBSTITUTE(SUBSTITUTE(Txt_P3,"{cabinet}",Cab_Nom),"{societe}",IF($K$4321=0,"",INDEX(Clients!$E$2:$E$501,$K$4321)&amp;"")),"{date_effet}",$K$4323),"{hausse}",$K$4324),"{civilite}",$K$4322)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344" s="37"/>
      <c r="D4344" s="37"/>
      <c r="E4344" s="37"/>
      <c r="F4344" s="37"/>
      <c r="J4344" s="25"/>
      <c r="K4344" s="25"/>
      <c r="L4344" s="25"/>
      <c r="M4344" s="25"/>
      <c r="N4344" s="25"/>
      <c r="O4344" s="25"/>
    </row>
    <row r="4345" customFormat="false" ht="24" hidden="false" customHeight="true" outlineLevel="0" collapsed="false">
      <c r="B4345" s="37" t="str">
        <f aca="false">SUBSTITUTE(SUBSTITUTE(SUBSTITUTE(SUBSTITUTE(SUBSTITUTE(Txt_P4,"{cabinet}",Cab_Nom),"{societe}",IF($K$4321=0,"",INDEX(Clients!$E$2:$E$501,$K$4321)&amp;"")),"{date_effet}",$K$4323),"{hausse}",$K$4324),"{civilite}",$K$4322)</f>
        <v>À compter du 1er janvier 2027, vos honoraires annuels hors taxes évolueront ainsi (évolution globale : ) :</v>
      </c>
      <c r="C4345" s="37"/>
      <c r="D4345" s="37"/>
      <c r="E4345" s="37"/>
      <c r="F4345" s="37"/>
      <c r="J4345" s="25"/>
      <c r="K4345" s="25"/>
      <c r="L4345" s="25"/>
      <c r="M4345" s="25"/>
      <c r="N4345" s="25"/>
      <c r="O4345" s="25"/>
    </row>
    <row r="4346" customFormat="false" ht="3.75" hidden="false" customHeight="true" outlineLevel="0" collapsed="false">
      <c r="B4346" s="10"/>
      <c r="C4346" s="10"/>
      <c r="D4346" s="10"/>
      <c r="E4346" s="10"/>
      <c r="F4346" s="10"/>
      <c r="J4346" s="25"/>
      <c r="K4346" s="25"/>
      <c r="L4346" s="25"/>
      <c r="M4346" s="25"/>
      <c r="N4346" s="25"/>
      <c r="O4346" s="25"/>
    </row>
    <row r="4347" customFormat="false" ht="18" hidden="false" customHeight="true" outlineLevel="0" collapsed="false">
      <c r="B4347" s="38" t="s">
        <v>148</v>
      </c>
      <c r="C4347" s="39" t="s">
        <v>149</v>
      </c>
      <c r="D4347" s="39" t="s">
        <v>150</v>
      </c>
      <c r="E4347" s="39" t="s">
        <v>151</v>
      </c>
      <c r="F4347" s="39" t="s">
        <v>109</v>
      </c>
      <c r="J4347" s="25" t="s">
        <v>152</v>
      </c>
      <c r="K4347" s="25" t="s">
        <v>153</v>
      </c>
      <c r="L4347" s="25" t="s">
        <v>154</v>
      </c>
      <c r="M4347" s="25" t="s">
        <v>155</v>
      </c>
      <c r="N4347" s="25" t="s">
        <v>156</v>
      </c>
      <c r="O4347" s="25" t="s">
        <v>157</v>
      </c>
    </row>
    <row r="4348" customFormat="false" ht="16.5" hidden="false" customHeight="true" outlineLevel="0" collapsed="false">
      <c r="B4348" s="40" t="str">
        <f aca="false">IFERROR(INDEX($J$4348:$J$4351,MATCH($O4348,$N$4348:$N$4351,0)),"")</f>
        <v/>
      </c>
      <c r="C4348" s="41" t="str">
        <f aca="false">IFERROR(INDEX($K$4348:$K$4351,MATCH($O4348,$N$4348:$N$4351,0)),"")</f>
        <v/>
      </c>
      <c r="D4348" s="42" t="str">
        <f aca="false">IF(OR(E4348="",N(C4348)=0),"",E4348/C4348-1)</f>
        <v/>
      </c>
      <c r="E4348" s="41" t="str">
        <f aca="false">IFERROR(INDEX($L$4348:$L$4351,MATCH($O4348,$N$4348:$N$4351,0)),"")</f>
        <v/>
      </c>
      <c r="F4348" s="41" t="str">
        <f aca="false">IF(E4348="","",E4348-C4348)</f>
        <v/>
      </c>
      <c r="J4348" s="25" t="str">
        <f aca="false">Lib_Compta</f>
        <v>Mission comptable (tenue, révision, bilan, liasse fiscale)</v>
      </c>
      <c r="K4348" s="25" t="n">
        <f aca="false">IF($K$4321=0,0,N(INDEX(Clients!$K$2:$K$501,$K$4321)))</f>
        <v>0</v>
      </c>
      <c r="L4348" s="25" t="n">
        <f aca="false">IF($K$4321=0,0,N(INDEX(Clients!$P$2:$P$501,$K$4321)))</f>
        <v>0</v>
      </c>
      <c r="M4348" s="25" t="n">
        <f aca="false">IF(OR(K4348&lt;&gt;0,L4348&lt;&gt;0),1,0)</f>
        <v>0</v>
      </c>
      <c r="N4348" s="25" t="str">
        <f aca="false">IF(M4348=1,SUM($M$4348:M4348),"")</f>
        <v/>
      </c>
      <c r="O4348" s="25" t="n">
        <v>1</v>
      </c>
    </row>
    <row r="4349" customFormat="false" ht="16.5" hidden="false" customHeight="true" outlineLevel="0" collapsed="false">
      <c r="B4349" s="40" t="str">
        <f aca="false">IFERROR(INDEX($J$4348:$J$4351,MATCH($O4349,$N$4348:$N$4351,0)),"")</f>
        <v/>
      </c>
      <c r="C4349" s="41" t="str">
        <f aca="false">IFERROR(INDEX($K$4348:$K$4351,MATCH($O4349,$N$4348:$N$4351,0)),"")</f>
        <v/>
      </c>
      <c r="D4349" s="42" t="str">
        <f aca="false">IF(OR(E4349="",N(C4349)=0),"",E4349/C4349-1)</f>
        <v/>
      </c>
      <c r="E4349" s="41" t="str">
        <f aca="false">IFERROR(INDEX($L$4348:$L$4351,MATCH($O4349,$N$4348:$N$4351,0)),"")</f>
        <v/>
      </c>
      <c r="F4349" s="41" t="str">
        <f aca="false">IF(E4349="","",E4349-C4349)</f>
        <v/>
      </c>
      <c r="J4349" s="25" t="str">
        <f aca="false">Lib_Paye</f>
        <v>Mission sociale (bulletins de paie, DSN, déclarations sociales)</v>
      </c>
      <c r="K4349" s="25" t="n">
        <f aca="false">IF($K$4321=0,0,N(INDEX(Clients!$L$2:$L$501,$K$4321)))</f>
        <v>0</v>
      </c>
      <c r="L4349" s="25" t="n">
        <f aca="false">IF($K$4321=0,0,N(INDEX(Clients!$Q$2:$Q$501,$K$4321)))</f>
        <v>0</v>
      </c>
      <c r="M4349" s="25" t="n">
        <f aca="false">IF(OR(K4349&lt;&gt;0,L4349&lt;&gt;0),1,0)</f>
        <v>0</v>
      </c>
      <c r="N4349" s="25" t="str">
        <f aca="false">IF(M4349=1,SUM($M$4348:M4349),"")</f>
        <v/>
      </c>
      <c r="O4349" s="25" t="n">
        <v>2</v>
      </c>
    </row>
    <row r="4350" customFormat="false" ht="16.5" hidden="false" customHeight="true" outlineLevel="0" collapsed="false">
      <c r="B4350" s="40" t="str">
        <f aca="false">IFERROR(INDEX($J$4348:$J$4351,MATCH($O4350,$N$4348:$N$4351,0)),"")</f>
        <v/>
      </c>
      <c r="C4350" s="41" t="str">
        <f aca="false">IFERROR(INDEX($K$4348:$K$4351,MATCH($O4350,$N$4348:$N$4351,0)),"")</f>
        <v/>
      </c>
      <c r="D4350" s="42" t="str">
        <f aca="false">IF(OR(E4350="",N(C4350)=0),"",E4350/C4350-1)</f>
        <v/>
      </c>
      <c r="E4350" s="41" t="str">
        <f aca="false">IFERROR(INDEX($L$4348:$L$4351,MATCH($O4350,$N$4348:$N$4351,0)),"")</f>
        <v/>
      </c>
      <c r="F4350" s="41" t="str">
        <f aca="false">IF(E4350="","",E4350-C4350)</f>
        <v/>
      </c>
      <c r="J4350" s="25" t="str">
        <f aca="false">Lib_Jur</f>
        <v>Mission juridique (approbation des comptes, secrétariat juridique)</v>
      </c>
      <c r="K4350" s="25" t="n">
        <f aca="false">IF($K$4321=0,0,N(INDEX(Clients!$M$2:$M$501,$K$4321)))</f>
        <v>0</v>
      </c>
      <c r="L4350" s="25" t="n">
        <f aca="false">IF($K$4321=0,0,N(INDEX(Clients!$R$2:$R$501,$K$4321)))</f>
        <v>0</v>
      </c>
      <c r="M4350" s="25" t="n">
        <f aca="false">IF(OR(K4350&lt;&gt;0,L4350&lt;&gt;0),1,0)</f>
        <v>0</v>
      </c>
      <c r="N4350" s="25" t="str">
        <f aca="false">IF(M4350=1,SUM($M$4348:M4350),"")</f>
        <v/>
      </c>
      <c r="O4350" s="25" t="n">
        <v>3</v>
      </c>
    </row>
    <row r="4351" customFormat="false" ht="16.5" hidden="false" customHeight="true" outlineLevel="0" collapsed="false">
      <c r="B4351" s="40" t="str">
        <f aca="false">IFERROR(INDEX($J$4348:$J$4351,MATCH($O4351,$N$4348:$N$4351,0)),"")</f>
        <v/>
      </c>
      <c r="C4351" s="41" t="str">
        <f aca="false">IFERROR(INDEX($K$4348:$K$4351,MATCH($O4351,$N$4348:$N$4351,0)),"")</f>
        <v/>
      </c>
      <c r="D4351" s="42" t="str">
        <f aca="false">IF(OR(E4351="",N(C4351)=0),"",E4351/C4351-1)</f>
        <v/>
      </c>
      <c r="E4351" s="41" t="str">
        <f aca="false">IFERROR(INDEX($L$4348:$L$4351,MATCH($O4351,$N$4348:$N$4351,0)),"")</f>
        <v/>
      </c>
      <c r="F4351" s="41" t="str">
        <f aca="false">IF(E4351="","",E4351-C4351)</f>
        <v/>
      </c>
      <c r="J4351" s="25" t="str">
        <f aca="false">Lib_PA</f>
        <v>Plateforme agréée – facturation électronique</v>
      </c>
      <c r="K4351" s="25" t="n">
        <f aca="false">IF($K$4321=0,0,N(INDEX(Clients!$N$2:$N$501,$K$4321)))</f>
        <v>0</v>
      </c>
      <c r="L4351" s="25" t="n">
        <f aca="false">IF($K$4321=0,0,N(INDEX(Clients!$S$2:$S$501,$K$4321)))</f>
        <v>0</v>
      </c>
      <c r="M4351" s="25" t="n">
        <f aca="false">IF(OR(K4351&lt;&gt;0,L4351&lt;&gt;0),1,0)</f>
        <v>0</v>
      </c>
      <c r="N4351" s="25" t="str">
        <f aca="false">IF(M4351=1,SUM($M$4348:M4351),"")</f>
        <v/>
      </c>
      <c r="O4351" s="25" t="n">
        <v>4</v>
      </c>
    </row>
    <row r="4352" customFormat="false" ht="18" hidden="false" customHeight="true" outlineLevel="0" collapsed="false">
      <c r="B4352" s="43" t="s">
        <v>158</v>
      </c>
      <c r="C4352" s="44" t="n">
        <f aca="false">SUM(K4348:K4351)</f>
        <v>0</v>
      </c>
      <c r="D4352" s="45" t="str">
        <f aca="false">IF(N(C4352)=0,"",E4352/C4352-1)</f>
        <v/>
      </c>
      <c r="E4352" s="44" t="n">
        <f aca="false">SUM(L4348:L4351)</f>
        <v>0</v>
      </c>
      <c r="F4352" s="44" t="n">
        <f aca="false">E4352-C4352</f>
        <v>0</v>
      </c>
    </row>
    <row r="4353" customFormat="false" ht="15" hidden="false" customHeight="false" outlineLevel="0" collapsed="false">
      <c r="B4353" s="46" t="str">
        <f aca="false">IF(N(Nb_Mensualites)=0,"","Soit "&amp;FIXED(E4352/Nb_Mensualites,2)&amp;" € HT par échéance ("&amp;Nb_Mensualites&amp;" échéances), "&amp;FIXED(E4352/Nb_Mensualites*(1+Taux_TVA),2)&amp;" € TTC.")</f>
        <v>Soit 0.00 € HT par échéance (12 échéances), 0.00 € TTC.</v>
      </c>
      <c r="C4353" s="46"/>
      <c r="D4353" s="46"/>
      <c r="E4353" s="46"/>
      <c r="F4353" s="46"/>
    </row>
    <row r="4354" customFormat="false" ht="7.5" hidden="false" customHeight="true" outlineLevel="0" collapsed="false">
      <c r="B4354" s="10"/>
      <c r="C4354" s="10"/>
      <c r="D4354" s="10"/>
      <c r="E4354" s="10"/>
      <c r="F4354" s="10"/>
    </row>
    <row r="4355" customFormat="false" ht="36.75" hidden="false" customHeight="true" outlineLevel="0" collapsed="false">
      <c r="B4355" s="37" t="str">
        <f aca="false">SUBSTITUTE(SUBSTITUTE(SUBSTITUTE(SUBSTITUTE(SUBSTITUTE(Txt_P5,"{cabinet}",Cab_Nom),"{societe}",IF($K$4321=0,"",INDEX(Clients!$E$2:$E$501,$K$4321)&amp;"")),"{date_effet}",$K$4323),"{hausse}",$K$4324),"{civilite}",$K$4322)</f>
        <v>Les autres conditions de votre lettre de mission demeurent inchangées. Les nouveaux montants seront appliqués automatiquement sur vos prochaines factures et échéances de prélèvement.</v>
      </c>
      <c r="C4355" s="37"/>
      <c r="D4355" s="37"/>
      <c r="E4355" s="37"/>
      <c r="F4355" s="37"/>
    </row>
    <row r="4356" customFormat="false" ht="36.75" hidden="false" customHeight="true" outlineLevel="0" collapsed="false">
      <c r="B4356" s="37" t="str">
        <f aca="false">SUBSTITUTE(SUBSTITUTE(SUBSTITUTE(SUBSTITUTE(SUBSTITUTE(Txt_P6,"{cabinet}",Cab_Nom),"{societe}",IF($K$4321=0,"",INDEX(Clients!$E$2:$E$501,$K$4321)&amp;"")),"{date_effet}",$K$4323),"{hausse}",$K$4324),"{civilite}",$K$4322)</f>
        <v>Votre interlocuteur habituel reste à votre entière disposition pour répondre à vos questions et faire le point sur l'évolution de vos besoins.</v>
      </c>
      <c r="C4356" s="37"/>
      <c r="D4356" s="37"/>
      <c r="E4356" s="37"/>
      <c r="F4356" s="37"/>
    </row>
    <row r="4357" customFormat="false" ht="24" hidden="false" customHeight="true" outlineLevel="0" collapsed="false">
      <c r="B4357" s="37" t="str">
        <f aca="false">SUBSTITUTE(SUBSTITUTE(SUBSTITUTE(SUBSTITUTE(SUBSTITUTE(Txt_Politesse,"{cabinet}",Cab_Nom),"{societe}",IF($K$4321=0,"",INDEX(Clients!$E$2:$E$501,$K$4321)&amp;"")),"{date_effet}",$K$4323),"{hausse}",$K$4324),"{civilite}",$K$4322)</f>
        <v>Nous vous prions d'agréer, Madame, Monsieur, l'expression de nos salutations distinguées.</v>
      </c>
      <c r="C4357" s="37"/>
      <c r="D4357" s="37"/>
      <c r="E4357" s="37"/>
      <c r="F4357" s="37"/>
    </row>
    <row r="4358" customFormat="false" ht="15" hidden="false" customHeight="false" outlineLevel="0" collapsed="false">
      <c r="B4358" s="10"/>
      <c r="C4358" s="10"/>
      <c r="D4358" s="10"/>
      <c r="E4358" s="10"/>
      <c r="F4358" s="10"/>
    </row>
    <row r="4359" customFormat="false" ht="15" hidden="false" customHeight="false" outlineLevel="0" collapsed="false">
      <c r="B4359" s="10"/>
      <c r="C4359" s="10"/>
      <c r="D4359" s="34" t="str">
        <f aca="false">Signataire</f>
        <v>Prénom NOM</v>
      </c>
      <c r="E4359" s="34"/>
      <c r="F4359" s="34"/>
    </row>
    <row r="4360" customFormat="false" ht="15" hidden="false" customHeight="false" outlineLevel="0" collapsed="false">
      <c r="B4360" s="10"/>
      <c r="C4360" s="10"/>
      <c r="D4360" s="47" t="str">
        <f aca="false">Signataire_Titre</f>
        <v>Expert-comptable associé</v>
      </c>
      <c r="E4360" s="47"/>
      <c r="F4360" s="47"/>
    </row>
    <row r="4361" customFormat="false" ht="15.75" hidden="false" customHeight="true" outlineLevel="0" collapsed="false">
      <c r="B4361" s="10"/>
      <c r="C4361" s="10"/>
      <c r="D4361" s="10"/>
      <c r="E4361" s="10"/>
      <c r="F4361" s="10"/>
    </row>
    <row r="4362" customFormat="false" ht="15.75" hidden="false" customHeight="true" outlineLevel="0" collapsed="false">
      <c r="B4362" s="10"/>
      <c r="C4362" s="10"/>
      <c r="D4362" s="10"/>
      <c r="E4362" s="10"/>
      <c r="F4362" s="10"/>
    </row>
    <row r="4363" customFormat="false" ht="15.75" hidden="false" customHeight="true" outlineLevel="0" collapsed="false">
      <c r="B4363" s="10"/>
      <c r="C4363" s="10"/>
      <c r="D4363" s="10"/>
      <c r="E4363" s="10"/>
      <c r="F4363" s="10"/>
    </row>
    <row r="4364" customFormat="false" ht="15.75" hidden="false" customHeight="true" outlineLevel="0" collapsed="false">
      <c r="B4364" s="10"/>
      <c r="C4364" s="10"/>
      <c r="D4364" s="10"/>
      <c r="E4364" s="10"/>
      <c r="F4364" s="10"/>
    </row>
    <row r="4365" customFormat="false" ht="24" hidden="false" customHeight="true" outlineLevel="0" collapsed="false">
      <c r="B4365" s="48" t="str">
        <f aca="false">Cab_Mentions</f>
        <v>ALTHO EXPERTISE · SAS au capital de 10 000 € · RCS Pontoise 919 706 325 · TVA FR62919706325 · Société d'expertise comptable inscrite au Tableau de l'Ordre des experts-comptables de Paris Île-de-France</v>
      </c>
      <c r="C4365" s="48"/>
      <c r="D4365" s="48"/>
      <c r="E4365" s="48"/>
      <c r="F4365" s="48"/>
    </row>
    <row r="4366" customFormat="false" ht="15" hidden="false" customHeight="false" outlineLevel="0" collapsed="false">
      <c r="B4366" s="10"/>
      <c r="C4366" s="10"/>
      <c r="D4366" s="10"/>
      <c r="E4366" s="10"/>
      <c r="F4366" s="10"/>
      <c r="J4366" s="25" t="s">
        <v>142</v>
      </c>
      <c r="K4366" s="25" t="n">
        <f aca="false">IFERROR(MATCH(98,Clients!$Z$2:$Z$501,0),0)</f>
        <v>0</v>
      </c>
      <c r="L4366" s="25"/>
      <c r="M4366" s="25"/>
      <c r="N4366" s="25"/>
      <c r="O4366" s="25"/>
    </row>
    <row r="4367" customFormat="false" ht="21.75" hidden="false" customHeight="true" outlineLevel="0" collapsed="false">
      <c r="B4367" s="26" t="str">
        <f aca="false">Cab_Nom</f>
        <v>ALTHO EXPERTISE</v>
      </c>
      <c r="C4367" s="26"/>
      <c r="D4367" s="10"/>
      <c r="E4367" s="27" t="str">
        <f aca="false">IF($K$4366=0,"","Réf. client : "&amp;INDEX(Clients!$A$2:$A$501,$K$4366))</f>
        <v/>
      </c>
      <c r="F4367" s="27"/>
      <c r="J4367" s="25" t="s">
        <v>144</v>
      </c>
      <c r="K4367" s="25" t="str">
        <f aca="false">IF(IF($K$4366=0,"",INDEX(Clients!$B$2:$B$501,$K$4366)&amp;"")="Mme","Madame",IF(IF($K$4366=0,"",INDEX(Clients!$B$2:$B$501,$K$4366)&amp;"")="M.","Monsieur","Madame, Monsieur"))</f>
        <v>Madame, Monsieur</v>
      </c>
      <c r="L4367" s="25"/>
      <c r="M4367" s="25"/>
      <c r="N4367" s="25"/>
      <c r="O4367" s="25"/>
    </row>
    <row r="4368" customFormat="false" ht="15" hidden="false" customHeight="false" outlineLevel="0" collapsed="false">
      <c r="B4368" s="29" t="str">
        <f aca="false">Cab_Adr1</f>
        <v>141 rue Charles de Gaulle</v>
      </c>
      <c r="C4368" s="29"/>
      <c r="D4368" s="10"/>
      <c r="E4368" s="10"/>
      <c r="F4368" s="10"/>
      <c r="J4368" s="25" t="s">
        <v>145</v>
      </c>
      <c r="K4368" s="25" t="str">
        <f aca="false">DAY(Date_Effet)&amp;IF(DAY(Date_Effet)=1,"er","")&amp;" "&amp;INDEX(Liste_Mois,MONTH(Date_Effet))&amp;" "&amp;YEAR(Date_Effet)</f>
        <v>1er janvier 2027</v>
      </c>
      <c r="L4368" s="25"/>
      <c r="M4368" s="25"/>
      <c r="N4368" s="25"/>
      <c r="O4368" s="25"/>
    </row>
    <row r="4369" customFormat="false" ht="15" hidden="false" customHeight="false" outlineLevel="0" collapsed="false">
      <c r="B4369" s="29" t="str">
        <f aca="false">Cab_CPVille</f>
        <v>95130 LE PLESSIS-BOUCHARD</v>
      </c>
      <c r="C4369" s="29"/>
      <c r="D4369" s="10"/>
      <c r="E4369" s="10"/>
      <c r="F4369" s="10"/>
      <c r="J4369" s="25" t="s">
        <v>146</v>
      </c>
      <c r="K4369" s="25" t="str">
        <f aca="false">IF(SUM($K$4393:$K$4396)=0,"",FIXED((SUM($L$4393:$L$4396)/SUM($K$4393:$K$4396)-1)*100,1)&amp;" %")</f>
        <v/>
      </c>
      <c r="L4369" s="25"/>
      <c r="M4369" s="25"/>
      <c r="N4369" s="25"/>
      <c r="O4369" s="25"/>
    </row>
    <row r="4370" customFormat="false" ht="15" hidden="false" customHeight="false" outlineLevel="0" collapsed="false">
      <c r="B4370" s="29" t="str">
        <f aca="false">Cab_Contact</f>
        <v>Tél. 01 34 14 53 45  ·  altho@altho-experts.com  ·  altho-experts.com</v>
      </c>
      <c r="C4370" s="29"/>
      <c r="D4370" s="10"/>
      <c r="E4370" s="10"/>
      <c r="F4370" s="10"/>
      <c r="J4370" s="25"/>
      <c r="K4370" s="25"/>
      <c r="L4370" s="25"/>
      <c r="M4370" s="25"/>
      <c r="N4370" s="25"/>
      <c r="O4370" s="25"/>
    </row>
    <row r="4371" customFormat="false" ht="6" hidden="false" customHeight="true" outlineLevel="0" collapsed="false">
      <c r="B4371" s="32"/>
      <c r="C4371" s="32"/>
      <c r="D4371" s="32"/>
      <c r="E4371" s="32"/>
      <c r="F4371" s="32"/>
      <c r="J4371" s="25"/>
      <c r="K4371" s="25"/>
      <c r="L4371" s="25"/>
      <c r="M4371" s="25"/>
      <c r="N4371" s="25"/>
      <c r="O4371" s="25"/>
    </row>
    <row r="4372" customFormat="false" ht="13.5" hidden="false" customHeight="true" outlineLevel="0" collapsed="false">
      <c r="B4372" s="10"/>
      <c r="C4372" s="10"/>
      <c r="D4372" s="10"/>
      <c r="E4372" s="10"/>
      <c r="F4372" s="10"/>
      <c r="J4372" s="25"/>
      <c r="K4372" s="25"/>
      <c r="L4372" s="25"/>
      <c r="M4372" s="25"/>
      <c r="N4372" s="25"/>
      <c r="O4372" s="25"/>
    </row>
    <row r="4373" customFormat="false" ht="13.5" hidden="false" customHeight="true" outlineLevel="0" collapsed="false">
      <c r="B4373" s="10"/>
      <c r="C4373" s="10"/>
      <c r="D4373" s="10"/>
      <c r="E4373" s="10"/>
      <c r="F4373" s="10"/>
      <c r="J4373" s="25"/>
      <c r="K4373" s="25"/>
      <c r="L4373" s="25"/>
      <c r="M4373" s="25"/>
      <c r="N4373" s="25"/>
      <c r="O4373" s="25"/>
    </row>
    <row r="4374" customFormat="false" ht="13.5" hidden="false" customHeight="true" outlineLevel="0" collapsed="false">
      <c r="B4374" s="10"/>
      <c r="C4374" s="10"/>
      <c r="D4374" s="10"/>
      <c r="E4374" s="10"/>
      <c r="F4374" s="10"/>
      <c r="J4374" s="25"/>
      <c r="K4374" s="25"/>
      <c r="L4374" s="25"/>
      <c r="M4374" s="25"/>
      <c r="N4374" s="25"/>
      <c r="O4374" s="25"/>
    </row>
    <row r="4375" customFormat="false" ht="15" hidden="false" customHeight="true" outlineLevel="0" collapsed="false">
      <c r="B4375" s="10"/>
      <c r="C4375" s="10"/>
      <c r="D4375" s="34" t="str">
        <f aca="false">IF($K$4366=0,"",INDEX(Clients!$E$2:$E$501,$K$4366)&amp;"")</f>
        <v/>
      </c>
      <c r="E4375" s="34"/>
      <c r="F4375" s="34"/>
      <c r="J4375" s="25"/>
      <c r="K4375" s="25"/>
      <c r="L4375" s="25"/>
      <c r="M4375" s="25"/>
      <c r="N4375" s="25"/>
      <c r="O4375" s="25"/>
    </row>
    <row r="4376" customFormat="false" ht="15" hidden="false" customHeight="true" outlineLevel="0" collapsed="false">
      <c r="B4376" s="10"/>
      <c r="C4376" s="10"/>
      <c r="D4376" s="35" t="str">
        <f aca="false">IF(IF($K$4366=0,"",INDEX(Clients!$D$2:$D$501,$K$4366)&amp;"")="","","À l'attention de "&amp;TRIM(IF($K$4366=0,"",INDEX(Clients!$B$2:$B$501,$K$4366)&amp;"")&amp;" "&amp;IF($K$4366=0,"",INDEX(Clients!$C$2:$C$501,$K$4366)&amp;"")&amp;" "&amp;IF($K$4366=0,"",INDEX(Clients!$D$2:$D$501,$K$4366)&amp;"")))</f>
        <v/>
      </c>
      <c r="E4376" s="35"/>
      <c r="F4376" s="35"/>
      <c r="J4376" s="25"/>
      <c r="K4376" s="25"/>
      <c r="L4376" s="25"/>
      <c r="M4376" s="25"/>
      <c r="N4376" s="25"/>
      <c r="O4376" s="25"/>
    </row>
    <row r="4377" customFormat="false" ht="15" hidden="false" customHeight="true" outlineLevel="0" collapsed="false">
      <c r="B4377" s="10"/>
      <c r="C4377" s="10"/>
      <c r="D4377" s="35" t="str">
        <f aca="false">IF($K$4366=0,"",INDEX(Clients!$F$2:$F$501,$K$4366)&amp;"")</f>
        <v/>
      </c>
      <c r="E4377" s="35"/>
      <c r="F4377" s="35"/>
      <c r="J4377" s="25"/>
      <c r="K4377" s="25"/>
      <c r="L4377" s="25"/>
      <c r="M4377" s="25"/>
      <c r="N4377" s="25"/>
      <c r="O4377" s="25"/>
    </row>
    <row r="4378" customFormat="false" ht="15" hidden="false" customHeight="true" outlineLevel="0" collapsed="false">
      <c r="B4378" s="10"/>
      <c r="C4378" s="10"/>
      <c r="D4378" s="35" t="str">
        <f aca="false">IF(IF($K$4366=0,"",INDEX(Clients!$G$2:$G$501,$K$4366)&amp;"")="",TRIM(IF($K$4366=0,"",INDEX(Clients!$H$2:$H$501,$K$4366)&amp;"")&amp;" "&amp;UPPER(IF($K$4366=0,"",INDEX(Clients!$I$2:$I$501,$K$4366)&amp;""))),IF($K$4366=0,"",INDEX(Clients!$G$2:$G$501,$K$4366)&amp;""))</f>
        <v/>
      </c>
      <c r="E4378" s="35"/>
      <c r="F4378" s="35"/>
      <c r="J4378" s="25"/>
      <c r="K4378" s="25"/>
      <c r="L4378" s="25"/>
      <c r="M4378" s="25"/>
      <c r="N4378" s="25"/>
      <c r="O4378" s="25"/>
    </row>
    <row r="4379" customFormat="false" ht="15" hidden="false" customHeight="true" outlineLevel="0" collapsed="false">
      <c r="B4379" s="10"/>
      <c r="C4379" s="10"/>
      <c r="D4379" s="35" t="str">
        <f aca="false">IF(IF($K$4366=0,"",INDEX(Clients!$G$2:$G$501,$K$4366)&amp;"")="","",TRIM(IF($K$4366=0,"",INDEX(Clients!$H$2:$H$501,$K$4366)&amp;"")&amp;" "&amp;UPPER(IF($K$4366=0,"",INDEX(Clients!$I$2:$I$501,$K$4366)&amp;""))))</f>
        <v/>
      </c>
      <c r="E4379" s="35"/>
      <c r="F4379" s="35"/>
      <c r="J4379" s="25"/>
      <c r="K4379" s="25"/>
      <c r="L4379" s="25"/>
      <c r="M4379" s="25"/>
      <c r="N4379" s="25"/>
      <c r="O4379" s="25"/>
    </row>
    <row r="4380" customFormat="false" ht="25.5" hidden="false" customHeight="true" outlineLevel="0" collapsed="false">
      <c r="B4380" s="10"/>
      <c r="C4380" s="10"/>
      <c r="D4380" s="10"/>
      <c r="E4380" s="10"/>
      <c r="F4380" s="10"/>
      <c r="J4380" s="25"/>
      <c r="K4380" s="25"/>
      <c r="L4380" s="25"/>
      <c r="M4380" s="25"/>
      <c r="N4380" s="25"/>
      <c r="O4380" s="25"/>
    </row>
    <row r="4381" customFormat="false" ht="15" hidden="false" customHeight="false" outlineLevel="0" collapsed="false">
      <c r="B4381" s="10"/>
      <c r="C4381" s="10"/>
      <c r="D4381" s="36" t="str">
        <f aca="false">Cab_Ville&amp;", le "&amp;DAY(Date_Courrier)&amp;IF(DAY(Date_Courrier)=1,"er","")&amp;" "&amp;INDEX(Liste_Mois,MONTH(Date_Courrier))&amp;" "&amp;YEAR(Date_Courrier)</f>
        <v>Le Plessis-Bouchard, le 22 septembre 2026</v>
      </c>
      <c r="E4381" s="36"/>
      <c r="F4381" s="36"/>
      <c r="J4381" s="25"/>
      <c r="K4381" s="25"/>
      <c r="L4381" s="25"/>
      <c r="M4381" s="25"/>
      <c r="N4381" s="25"/>
      <c r="O4381" s="25"/>
    </row>
    <row r="4382" customFormat="false" ht="19.5" hidden="false" customHeight="true" outlineLevel="0" collapsed="false">
      <c r="B4382" s="10"/>
      <c r="C4382" s="10"/>
      <c r="D4382" s="10"/>
      <c r="E4382" s="10"/>
      <c r="F4382" s="10"/>
      <c r="J4382" s="25"/>
      <c r="K4382" s="25"/>
      <c r="L4382" s="25"/>
      <c r="M4382" s="25"/>
      <c r="N4382" s="25"/>
      <c r="O4382" s="25"/>
    </row>
    <row r="4383" customFormat="false" ht="15" hidden="false" customHeight="false" outlineLevel="0" collapsed="false">
      <c r="B4383" s="34" t="str">
        <f aca="false">SUBSTITUTE(SUBSTITUTE(SUBSTITUTE(SUBSTITUTE(SUBSTITUTE(Txt_Objet,"{cabinet}",Cab_Nom),"{societe}",IF($K$4366=0,"",INDEX(Clients!$E$2:$E$501,$K$4366)&amp;"")),"{date_effet}",$K$4368),"{hausse}",$K$4369),"{civilite}",$K$4367)</f>
        <v>Objet : révision de nos honoraires au 1er janvier 2027</v>
      </c>
      <c r="C4383" s="34"/>
      <c r="D4383" s="34"/>
      <c r="E4383" s="34"/>
      <c r="F4383" s="34"/>
      <c r="J4383" s="25"/>
      <c r="K4383" s="25"/>
      <c r="L4383" s="25"/>
      <c r="M4383" s="25"/>
      <c r="N4383" s="25"/>
      <c r="O4383" s="25"/>
    </row>
    <row r="4384" customFormat="false" ht="13.5" hidden="false" customHeight="true" outlineLevel="0" collapsed="false">
      <c r="B4384" s="10"/>
      <c r="C4384" s="10"/>
      <c r="D4384" s="10"/>
      <c r="E4384" s="10"/>
      <c r="F4384" s="10"/>
      <c r="J4384" s="25"/>
      <c r="K4384" s="25"/>
      <c r="L4384" s="25"/>
      <c r="M4384" s="25"/>
      <c r="N4384" s="25"/>
      <c r="O4384" s="25"/>
    </row>
    <row r="4385" customFormat="false" ht="15" hidden="false" customHeight="false" outlineLevel="0" collapsed="false">
      <c r="B4385" s="10" t="str">
        <f aca="false">$K$4367&amp;","</f>
        <v>Madame, Monsieur,</v>
      </c>
      <c r="C4385" s="10"/>
      <c r="D4385" s="10"/>
      <c r="E4385" s="10"/>
      <c r="F4385" s="10"/>
      <c r="J4385" s="25"/>
      <c r="K4385" s="25"/>
      <c r="L4385" s="25"/>
      <c r="M4385" s="25"/>
      <c r="N4385" s="25"/>
      <c r="O4385" s="25"/>
    </row>
    <row r="4386" customFormat="false" ht="6" hidden="false" customHeight="true" outlineLevel="0" collapsed="false">
      <c r="B4386" s="10"/>
      <c r="C4386" s="10"/>
      <c r="D4386" s="10"/>
      <c r="E4386" s="10"/>
      <c r="F4386" s="10"/>
      <c r="J4386" s="25"/>
      <c r="K4386" s="25"/>
      <c r="L4386" s="25"/>
      <c r="M4386" s="25"/>
      <c r="N4386" s="25"/>
      <c r="O4386" s="25"/>
    </row>
    <row r="4387" customFormat="false" ht="36.75" hidden="false" customHeight="true" outlineLevel="0" collapsed="false">
      <c r="B4387" s="37" t="str">
        <f aca="false">SUBSTITUTE(SUBSTITUTE(SUBSTITUTE(SUBSTITUTE(SUBSTITUTE(Txt_P1,"{cabinet}",Cab_Nom),"{societe}",IF($K$4366=0,"",INDEX(Clients!$E$2:$E$501,$K$4366)&amp;"")),"{date_effet}",$K$4368),"{hausse}",$K$4369),"{civilite}",$K$4367)</f>
        <v>Nous tenons tout d'abord à vous remercier pour la confiance que vous accordez à ALTHO EXPERTISE. Comme chaque année, et conformément aux dispositions de votre lettre de mission, nous procédons à la révision de nos honoraires.</v>
      </c>
      <c r="C4387" s="37"/>
      <c r="D4387" s="37"/>
      <c r="E4387" s="37"/>
      <c r="F4387" s="37"/>
      <c r="J4387" s="25"/>
      <c r="K4387" s="25"/>
      <c r="L4387" s="25"/>
      <c r="M4387" s="25"/>
      <c r="N4387" s="25"/>
      <c r="O4387" s="25"/>
    </row>
    <row r="4388" customFormat="false" ht="49.5" hidden="false" customHeight="true" outlineLevel="0" collapsed="false">
      <c r="B4388" s="37" t="str">
        <f aca="false">SUBSTITUTE(SUBSTITUTE(SUBSTITUTE(SUBSTITUTE(SUBSTITUTE(Txt_P2,"{cabinet}",Cab_Nom),"{societe}",IF($K$4366=0,"",INDEX(Clients!$E$2:$E$501,$K$4366)&amp;"")),"{date_effet}",$K$4368),"{hausse}",$K$4369),"{civilite}",$K$4367)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388" s="37"/>
      <c r="D4388" s="37"/>
      <c r="E4388" s="37"/>
      <c r="F4388" s="37"/>
      <c r="J4388" s="25"/>
      <c r="K4388" s="25"/>
      <c r="L4388" s="25"/>
      <c r="M4388" s="25"/>
      <c r="N4388" s="25"/>
      <c r="O4388" s="25"/>
    </row>
    <row r="4389" customFormat="false" ht="63" hidden="false" customHeight="true" outlineLevel="0" collapsed="false">
      <c r="B4389" s="37" t="str">
        <f aca="false">SUBSTITUTE(SUBSTITUTE(SUBSTITUTE(SUBSTITUTE(SUBSTITUTE(Txt_P3,"{cabinet}",Cab_Nom),"{societe}",IF($K$4366=0,"",INDEX(Clients!$E$2:$E$501,$K$4366)&amp;"")),"{date_effet}",$K$4368),"{hausse}",$K$4369),"{civilite}",$K$4367)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389" s="37"/>
      <c r="D4389" s="37"/>
      <c r="E4389" s="37"/>
      <c r="F4389" s="37"/>
      <c r="J4389" s="25"/>
      <c r="K4389" s="25"/>
      <c r="L4389" s="25"/>
      <c r="M4389" s="25"/>
      <c r="N4389" s="25"/>
      <c r="O4389" s="25"/>
    </row>
    <row r="4390" customFormat="false" ht="24" hidden="false" customHeight="true" outlineLevel="0" collapsed="false">
      <c r="B4390" s="37" t="str">
        <f aca="false">SUBSTITUTE(SUBSTITUTE(SUBSTITUTE(SUBSTITUTE(SUBSTITUTE(Txt_P4,"{cabinet}",Cab_Nom),"{societe}",IF($K$4366=0,"",INDEX(Clients!$E$2:$E$501,$K$4366)&amp;"")),"{date_effet}",$K$4368),"{hausse}",$K$4369),"{civilite}",$K$4367)</f>
        <v>À compter du 1er janvier 2027, vos honoraires annuels hors taxes évolueront ainsi (évolution globale : ) :</v>
      </c>
      <c r="C4390" s="37"/>
      <c r="D4390" s="37"/>
      <c r="E4390" s="37"/>
      <c r="F4390" s="37"/>
      <c r="J4390" s="25"/>
      <c r="K4390" s="25"/>
      <c r="L4390" s="25"/>
      <c r="M4390" s="25"/>
      <c r="N4390" s="25"/>
      <c r="O4390" s="25"/>
    </row>
    <row r="4391" customFormat="false" ht="3.75" hidden="false" customHeight="true" outlineLevel="0" collapsed="false">
      <c r="B4391" s="10"/>
      <c r="C4391" s="10"/>
      <c r="D4391" s="10"/>
      <c r="E4391" s="10"/>
      <c r="F4391" s="10"/>
      <c r="J4391" s="25"/>
      <c r="K4391" s="25"/>
      <c r="L4391" s="25"/>
      <c r="M4391" s="25"/>
      <c r="N4391" s="25"/>
      <c r="O4391" s="25"/>
    </row>
    <row r="4392" customFormat="false" ht="18" hidden="false" customHeight="true" outlineLevel="0" collapsed="false">
      <c r="B4392" s="38" t="s">
        <v>148</v>
      </c>
      <c r="C4392" s="39" t="s">
        <v>149</v>
      </c>
      <c r="D4392" s="39" t="s">
        <v>150</v>
      </c>
      <c r="E4392" s="39" t="s">
        <v>151</v>
      </c>
      <c r="F4392" s="39" t="s">
        <v>109</v>
      </c>
      <c r="J4392" s="25" t="s">
        <v>152</v>
      </c>
      <c r="K4392" s="25" t="s">
        <v>153</v>
      </c>
      <c r="L4392" s="25" t="s">
        <v>154</v>
      </c>
      <c r="M4392" s="25" t="s">
        <v>155</v>
      </c>
      <c r="N4392" s="25" t="s">
        <v>156</v>
      </c>
      <c r="O4392" s="25" t="s">
        <v>157</v>
      </c>
    </row>
    <row r="4393" customFormat="false" ht="16.5" hidden="false" customHeight="true" outlineLevel="0" collapsed="false">
      <c r="B4393" s="40" t="str">
        <f aca="false">IFERROR(INDEX($J$4393:$J$4396,MATCH($O4393,$N$4393:$N$4396,0)),"")</f>
        <v/>
      </c>
      <c r="C4393" s="41" t="str">
        <f aca="false">IFERROR(INDEX($K$4393:$K$4396,MATCH($O4393,$N$4393:$N$4396,0)),"")</f>
        <v/>
      </c>
      <c r="D4393" s="42" t="str">
        <f aca="false">IF(OR(E4393="",N(C4393)=0),"",E4393/C4393-1)</f>
        <v/>
      </c>
      <c r="E4393" s="41" t="str">
        <f aca="false">IFERROR(INDEX($L$4393:$L$4396,MATCH($O4393,$N$4393:$N$4396,0)),"")</f>
        <v/>
      </c>
      <c r="F4393" s="41" t="str">
        <f aca="false">IF(E4393="","",E4393-C4393)</f>
        <v/>
      </c>
      <c r="J4393" s="25" t="str">
        <f aca="false">Lib_Compta</f>
        <v>Mission comptable (tenue, révision, bilan, liasse fiscale)</v>
      </c>
      <c r="K4393" s="25" t="n">
        <f aca="false">IF($K$4366=0,0,N(INDEX(Clients!$K$2:$K$501,$K$4366)))</f>
        <v>0</v>
      </c>
      <c r="L4393" s="25" t="n">
        <f aca="false">IF($K$4366=0,0,N(INDEX(Clients!$P$2:$P$501,$K$4366)))</f>
        <v>0</v>
      </c>
      <c r="M4393" s="25" t="n">
        <f aca="false">IF(OR(K4393&lt;&gt;0,L4393&lt;&gt;0),1,0)</f>
        <v>0</v>
      </c>
      <c r="N4393" s="25" t="str">
        <f aca="false">IF(M4393=1,SUM($M$4393:M4393),"")</f>
        <v/>
      </c>
      <c r="O4393" s="25" t="n">
        <v>1</v>
      </c>
    </row>
    <row r="4394" customFormat="false" ht="16.5" hidden="false" customHeight="true" outlineLevel="0" collapsed="false">
      <c r="B4394" s="40" t="str">
        <f aca="false">IFERROR(INDEX($J$4393:$J$4396,MATCH($O4394,$N$4393:$N$4396,0)),"")</f>
        <v/>
      </c>
      <c r="C4394" s="41" t="str">
        <f aca="false">IFERROR(INDEX($K$4393:$K$4396,MATCH($O4394,$N$4393:$N$4396,0)),"")</f>
        <v/>
      </c>
      <c r="D4394" s="42" t="str">
        <f aca="false">IF(OR(E4394="",N(C4394)=0),"",E4394/C4394-1)</f>
        <v/>
      </c>
      <c r="E4394" s="41" t="str">
        <f aca="false">IFERROR(INDEX($L$4393:$L$4396,MATCH($O4394,$N$4393:$N$4396,0)),"")</f>
        <v/>
      </c>
      <c r="F4394" s="41" t="str">
        <f aca="false">IF(E4394="","",E4394-C4394)</f>
        <v/>
      </c>
      <c r="J4394" s="25" t="str">
        <f aca="false">Lib_Paye</f>
        <v>Mission sociale (bulletins de paie, DSN, déclarations sociales)</v>
      </c>
      <c r="K4394" s="25" t="n">
        <f aca="false">IF($K$4366=0,0,N(INDEX(Clients!$L$2:$L$501,$K$4366)))</f>
        <v>0</v>
      </c>
      <c r="L4394" s="25" t="n">
        <f aca="false">IF($K$4366=0,0,N(INDEX(Clients!$Q$2:$Q$501,$K$4366)))</f>
        <v>0</v>
      </c>
      <c r="M4394" s="25" t="n">
        <f aca="false">IF(OR(K4394&lt;&gt;0,L4394&lt;&gt;0),1,0)</f>
        <v>0</v>
      </c>
      <c r="N4394" s="25" t="str">
        <f aca="false">IF(M4394=1,SUM($M$4393:M4394),"")</f>
        <v/>
      </c>
      <c r="O4394" s="25" t="n">
        <v>2</v>
      </c>
    </row>
    <row r="4395" customFormat="false" ht="16.5" hidden="false" customHeight="true" outlineLevel="0" collapsed="false">
      <c r="B4395" s="40" t="str">
        <f aca="false">IFERROR(INDEX($J$4393:$J$4396,MATCH($O4395,$N$4393:$N$4396,0)),"")</f>
        <v/>
      </c>
      <c r="C4395" s="41" t="str">
        <f aca="false">IFERROR(INDEX($K$4393:$K$4396,MATCH($O4395,$N$4393:$N$4396,0)),"")</f>
        <v/>
      </c>
      <c r="D4395" s="42" t="str">
        <f aca="false">IF(OR(E4395="",N(C4395)=0),"",E4395/C4395-1)</f>
        <v/>
      </c>
      <c r="E4395" s="41" t="str">
        <f aca="false">IFERROR(INDEX($L$4393:$L$4396,MATCH($O4395,$N$4393:$N$4396,0)),"")</f>
        <v/>
      </c>
      <c r="F4395" s="41" t="str">
        <f aca="false">IF(E4395="","",E4395-C4395)</f>
        <v/>
      </c>
      <c r="J4395" s="25" t="str">
        <f aca="false">Lib_Jur</f>
        <v>Mission juridique (approbation des comptes, secrétariat juridique)</v>
      </c>
      <c r="K4395" s="25" t="n">
        <f aca="false">IF($K$4366=0,0,N(INDEX(Clients!$M$2:$M$501,$K$4366)))</f>
        <v>0</v>
      </c>
      <c r="L4395" s="25" t="n">
        <f aca="false">IF($K$4366=0,0,N(INDEX(Clients!$R$2:$R$501,$K$4366)))</f>
        <v>0</v>
      </c>
      <c r="M4395" s="25" t="n">
        <f aca="false">IF(OR(K4395&lt;&gt;0,L4395&lt;&gt;0),1,0)</f>
        <v>0</v>
      </c>
      <c r="N4395" s="25" t="str">
        <f aca="false">IF(M4395=1,SUM($M$4393:M4395),"")</f>
        <v/>
      </c>
      <c r="O4395" s="25" t="n">
        <v>3</v>
      </c>
    </row>
    <row r="4396" customFormat="false" ht="16.5" hidden="false" customHeight="true" outlineLevel="0" collapsed="false">
      <c r="B4396" s="40" t="str">
        <f aca="false">IFERROR(INDEX($J$4393:$J$4396,MATCH($O4396,$N$4393:$N$4396,0)),"")</f>
        <v/>
      </c>
      <c r="C4396" s="41" t="str">
        <f aca="false">IFERROR(INDEX($K$4393:$K$4396,MATCH($O4396,$N$4393:$N$4396,0)),"")</f>
        <v/>
      </c>
      <c r="D4396" s="42" t="str">
        <f aca="false">IF(OR(E4396="",N(C4396)=0),"",E4396/C4396-1)</f>
        <v/>
      </c>
      <c r="E4396" s="41" t="str">
        <f aca="false">IFERROR(INDEX($L$4393:$L$4396,MATCH($O4396,$N$4393:$N$4396,0)),"")</f>
        <v/>
      </c>
      <c r="F4396" s="41" t="str">
        <f aca="false">IF(E4396="","",E4396-C4396)</f>
        <v/>
      </c>
      <c r="J4396" s="25" t="str">
        <f aca="false">Lib_PA</f>
        <v>Plateforme agréée – facturation électronique</v>
      </c>
      <c r="K4396" s="25" t="n">
        <f aca="false">IF($K$4366=0,0,N(INDEX(Clients!$N$2:$N$501,$K$4366)))</f>
        <v>0</v>
      </c>
      <c r="L4396" s="25" t="n">
        <f aca="false">IF($K$4366=0,0,N(INDEX(Clients!$S$2:$S$501,$K$4366)))</f>
        <v>0</v>
      </c>
      <c r="M4396" s="25" t="n">
        <f aca="false">IF(OR(K4396&lt;&gt;0,L4396&lt;&gt;0),1,0)</f>
        <v>0</v>
      </c>
      <c r="N4396" s="25" t="str">
        <f aca="false">IF(M4396=1,SUM($M$4393:M4396),"")</f>
        <v/>
      </c>
      <c r="O4396" s="25" t="n">
        <v>4</v>
      </c>
    </row>
    <row r="4397" customFormat="false" ht="18" hidden="false" customHeight="true" outlineLevel="0" collapsed="false">
      <c r="B4397" s="43" t="s">
        <v>158</v>
      </c>
      <c r="C4397" s="44" t="n">
        <f aca="false">SUM(K4393:K4396)</f>
        <v>0</v>
      </c>
      <c r="D4397" s="45" t="str">
        <f aca="false">IF(N(C4397)=0,"",E4397/C4397-1)</f>
        <v/>
      </c>
      <c r="E4397" s="44" t="n">
        <f aca="false">SUM(L4393:L4396)</f>
        <v>0</v>
      </c>
      <c r="F4397" s="44" t="n">
        <f aca="false">E4397-C4397</f>
        <v>0</v>
      </c>
    </row>
    <row r="4398" customFormat="false" ht="15" hidden="false" customHeight="false" outlineLevel="0" collapsed="false">
      <c r="B4398" s="46" t="str">
        <f aca="false">IF(N(Nb_Mensualites)=0,"","Soit "&amp;FIXED(E4397/Nb_Mensualites,2)&amp;" € HT par échéance ("&amp;Nb_Mensualites&amp;" échéances), "&amp;FIXED(E4397/Nb_Mensualites*(1+Taux_TVA),2)&amp;" € TTC.")</f>
        <v>Soit 0.00 € HT par échéance (12 échéances), 0.00 € TTC.</v>
      </c>
      <c r="C4398" s="46"/>
      <c r="D4398" s="46"/>
      <c r="E4398" s="46"/>
      <c r="F4398" s="46"/>
    </row>
    <row r="4399" customFormat="false" ht="7.5" hidden="false" customHeight="true" outlineLevel="0" collapsed="false">
      <c r="B4399" s="10"/>
      <c r="C4399" s="10"/>
      <c r="D4399" s="10"/>
      <c r="E4399" s="10"/>
      <c r="F4399" s="10"/>
    </row>
    <row r="4400" customFormat="false" ht="36.75" hidden="false" customHeight="true" outlineLevel="0" collapsed="false">
      <c r="B4400" s="37" t="str">
        <f aca="false">SUBSTITUTE(SUBSTITUTE(SUBSTITUTE(SUBSTITUTE(SUBSTITUTE(Txt_P5,"{cabinet}",Cab_Nom),"{societe}",IF($K$4366=0,"",INDEX(Clients!$E$2:$E$501,$K$4366)&amp;"")),"{date_effet}",$K$4368),"{hausse}",$K$4369),"{civilite}",$K$4367)</f>
        <v>Les autres conditions de votre lettre de mission demeurent inchangées. Les nouveaux montants seront appliqués automatiquement sur vos prochaines factures et échéances de prélèvement.</v>
      </c>
      <c r="C4400" s="37"/>
      <c r="D4400" s="37"/>
      <c r="E4400" s="37"/>
      <c r="F4400" s="37"/>
    </row>
    <row r="4401" customFormat="false" ht="36.75" hidden="false" customHeight="true" outlineLevel="0" collapsed="false">
      <c r="B4401" s="37" t="str">
        <f aca="false">SUBSTITUTE(SUBSTITUTE(SUBSTITUTE(SUBSTITUTE(SUBSTITUTE(Txt_P6,"{cabinet}",Cab_Nom),"{societe}",IF($K$4366=0,"",INDEX(Clients!$E$2:$E$501,$K$4366)&amp;"")),"{date_effet}",$K$4368),"{hausse}",$K$4369),"{civilite}",$K$4367)</f>
        <v>Votre interlocuteur habituel reste à votre entière disposition pour répondre à vos questions et faire le point sur l'évolution de vos besoins.</v>
      </c>
      <c r="C4401" s="37"/>
      <c r="D4401" s="37"/>
      <c r="E4401" s="37"/>
      <c r="F4401" s="37"/>
    </row>
    <row r="4402" customFormat="false" ht="24" hidden="false" customHeight="true" outlineLevel="0" collapsed="false">
      <c r="B4402" s="37" t="str">
        <f aca="false">SUBSTITUTE(SUBSTITUTE(SUBSTITUTE(SUBSTITUTE(SUBSTITUTE(Txt_Politesse,"{cabinet}",Cab_Nom),"{societe}",IF($K$4366=0,"",INDEX(Clients!$E$2:$E$501,$K$4366)&amp;"")),"{date_effet}",$K$4368),"{hausse}",$K$4369),"{civilite}",$K$4367)</f>
        <v>Nous vous prions d'agréer, Madame, Monsieur, l'expression de nos salutations distinguées.</v>
      </c>
      <c r="C4402" s="37"/>
      <c r="D4402" s="37"/>
      <c r="E4402" s="37"/>
      <c r="F4402" s="37"/>
    </row>
    <row r="4403" customFormat="false" ht="15" hidden="false" customHeight="false" outlineLevel="0" collapsed="false">
      <c r="B4403" s="10"/>
      <c r="C4403" s="10"/>
      <c r="D4403" s="10"/>
      <c r="E4403" s="10"/>
      <c r="F4403" s="10"/>
    </row>
    <row r="4404" customFormat="false" ht="15" hidden="false" customHeight="false" outlineLevel="0" collapsed="false">
      <c r="B4404" s="10"/>
      <c r="C4404" s="10"/>
      <c r="D4404" s="34" t="str">
        <f aca="false">Signataire</f>
        <v>Prénom NOM</v>
      </c>
      <c r="E4404" s="34"/>
      <c r="F4404" s="34"/>
    </row>
    <row r="4405" customFormat="false" ht="15" hidden="false" customHeight="false" outlineLevel="0" collapsed="false">
      <c r="B4405" s="10"/>
      <c r="C4405" s="10"/>
      <c r="D4405" s="47" t="str">
        <f aca="false">Signataire_Titre</f>
        <v>Expert-comptable associé</v>
      </c>
      <c r="E4405" s="47"/>
      <c r="F4405" s="47"/>
    </row>
    <row r="4406" customFormat="false" ht="15.75" hidden="false" customHeight="true" outlineLevel="0" collapsed="false">
      <c r="B4406" s="10"/>
      <c r="C4406" s="10"/>
      <c r="D4406" s="10"/>
      <c r="E4406" s="10"/>
      <c r="F4406" s="10"/>
    </row>
    <row r="4407" customFormat="false" ht="15.75" hidden="false" customHeight="true" outlineLevel="0" collapsed="false">
      <c r="B4407" s="10"/>
      <c r="C4407" s="10"/>
      <c r="D4407" s="10"/>
      <c r="E4407" s="10"/>
      <c r="F4407" s="10"/>
    </row>
    <row r="4408" customFormat="false" ht="15.75" hidden="false" customHeight="true" outlineLevel="0" collapsed="false">
      <c r="B4408" s="10"/>
      <c r="C4408" s="10"/>
      <c r="D4408" s="10"/>
      <c r="E4408" s="10"/>
      <c r="F4408" s="10"/>
    </row>
    <row r="4409" customFormat="false" ht="15.75" hidden="false" customHeight="true" outlineLevel="0" collapsed="false">
      <c r="B4409" s="10"/>
      <c r="C4409" s="10"/>
      <c r="D4409" s="10"/>
      <c r="E4409" s="10"/>
      <c r="F4409" s="10"/>
    </row>
    <row r="4410" customFormat="false" ht="24" hidden="false" customHeight="true" outlineLevel="0" collapsed="false">
      <c r="B4410" s="48" t="str">
        <f aca="false">Cab_Mentions</f>
        <v>ALTHO EXPERTISE · SAS au capital de 10 000 € · RCS Pontoise 919 706 325 · TVA FR62919706325 · Société d'expertise comptable inscrite au Tableau de l'Ordre des experts-comptables de Paris Île-de-France</v>
      </c>
      <c r="C4410" s="48"/>
      <c r="D4410" s="48"/>
      <c r="E4410" s="48"/>
      <c r="F4410" s="48"/>
    </row>
    <row r="4411" customFormat="false" ht="15" hidden="false" customHeight="false" outlineLevel="0" collapsed="false">
      <c r="B4411" s="10"/>
      <c r="C4411" s="10"/>
      <c r="D4411" s="10"/>
      <c r="E4411" s="10"/>
      <c r="F4411" s="10"/>
      <c r="J4411" s="25" t="s">
        <v>142</v>
      </c>
      <c r="K4411" s="25" t="n">
        <f aca="false">IFERROR(MATCH(99,Clients!$Z$2:$Z$501,0),0)</f>
        <v>0</v>
      </c>
      <c r="L4411" s="25"/>
      <c r="M4411" s="25"/>
      <c r="N4411" s="25"/>
      <c r="O4411" s="25"/>
    </row>
    <row r="4412" customFormat="false" ht="21.75" hidden="false" customHeight="true" outlineLevel="0" collapsed="false">
      <c r="B4412" s="26" t="str">
        <f aca="false">Cab_Nom</f>
        <v>ALTHO EXPERTISE</v>
      </c>
      <c r="C4412" s="26"/>
      <c r="D4412" s="10"/>
      <c r="E4412" s="27" t="str">
        <f aca="false">IF($K$4411=0,"","Réf. client : "&amp;INDEX(Clients!$A$2:$A$501,$K$4411))</f>
        <v/>
      </c>
      <c r="F4412" s="27"/>
      <c r="J4412" s="25" t="s">
        <v>144</v>
      </c>
      <c r="K4412" s="25" t="str">
        <f aca="false">IF(IF($K$4411=0,"",INDEX(Clients!$B$2:$B$501,$K$4411)&amp;"")="Mme","Madame",IF(IF($K$4411=0,"",INDEX(Clients!$B$2:$B$501,$K$4411)&amp;"")="M.","Monsieur","Madame, Monsieur"))</f>
        <v>Madame, Monsieur</v>
      </c>
      <c r="L4412" s="25"/>
      <c r="M4412" s="25"/>
      <c r="N4412" s="25"/>
      <c r="O4412" s="25"/>
    </row>
    <row r="4413" customFormat="false" ht="15" hidden="false" customHeight="false" outlineLevel="0" collapsed="false">
      <c r="B4413" s="29" t="str">
        <f aca="false">Cab_Adr1</f>
        <v>141 rue Charles de Gaulle</v>
      </c>
      <c r="C4413" s="29"/>
      <c r="D4413" s="10"/>
      <c r="E4413" s="10"/>
      <c r="F4413" s="10"/>
      <c r="J4413" s="25" t="s">
        <v>145</v>
      </c>
      <c r="K4413" s="25" t="str">
        <f aca="false">DAY(Date_Effet)&amp;IF(DAY(Date_Effet)=1,"er","")&amp;" "&amp;INDEX(Liste_Mois,MONTH(Date_Effet))&amp;" "&amp;YEAR(Date_Effet)</f>
        <v>1er janvier 2027</v>
      </c>
      <c r="L4413" s="25"/>
      <c r="M4413" s="25"/>
      <c r="N4413" s="25"/>
      <c r="O4413" s="25"/>
    </row>
    <row r="4414" customFormat="false" ht="15" hidden="false" customHeight="false" outlineLevel="0" collapsed="false">
      <c r="B4414" s="29" t="str">
        <f aca="false">Cab_CPVille</f>
        <v>95130 LE PLESSIS-BOUCHARD</v>
      </c>
      <c r="C4414" s="29"/>
      <c r="D4414" s="10"/>
      <c r="E4414" s="10"/>
      <c r="F4414" s="10"/>
      <c r="J4414" s="25" t="s">
        <v>146</v>
      </c>
      <c r="K4414" s="25" t="str">
        <f aca="false">IF(SUM($K$4438:$K$4441)=0,"",FIXED((SUM($L$4438:$L$4441)/SUM($K$4438:$K$4441)-1)*100,1)&amp;" %")</f>
        <v/>
      </c>
      <c r="L4414" s="25"/>
      <c r="M4414" s="25"/>
      <c r="N4414" s="25"/>
      <c r="O4414" s="25"/>
    </row>
    <row r="4415" customFormat="false" ht="15" hidden="false" customHeight="false" outlineLevel="0" collapsed="false">
      <c r="B4415" s="29" t="str">
        <f aca="false">Cab_Contact</f>
        <v>Tél. 01 34 14 53 45  ·  altho@altho-experts.com  ·  altho-experts.com</v>
      </c>
      <c r="C4415" s="29"/>
      <c r="D4415" s="10"/>
      <c r="E4415" s="10"/>
      <c r="F4415" s="10"/>
      <c r="J4415" s="25"/>
      <c r="K4415" s="25"/>
      <c r="L4415" s="25"/>
      <c r="M4415" s="25"/>
      <c r="N4415" s="25"/>
      <c r="O4415" s="25"/>
    </row>
    <row r="4416" customFormat="false" ht="6" hidden="false" customHeight="true" outlineLevel="0" collapsed="false">
      <c r="B4416" s="32"/>
      <c r="C4416" s="32"/>
      <c r="D4416" s="32"/>
      <c r="E4416" s="32"/>
      <c r="F4416" s="32"/>
      <c r="J4416" s="25"/>
      <c r="K4416" s="25"/>
      <c r="L4416" s="25"/>
      <c r="M4416" s="25"/>
      <c r="N4416" s="25"/>
      <c r="O4416" s="25"/>
    </row>
    <row r="4417" customFormat="false" ht="13.5" hidden="false" customHeight="true" outlineLevel="0" collapsed="false">
      <c r="B4417" s="10"/>
      <c r="C4417" s="10"/>
      <c r="D4417" s="10"/>
      <c r="E4417" s="10"/>
      <c r="F4417" s="10"/>
      <c r="J4417" s="25"/>
      <c r="K4417" s="25"/>
      <c r="L4417" s="25"/>
      <c r="M4417" s="25"/>
      <c r="N4417" s="25"/>
      <c r="O4417" s="25"/>
    </row>
    <row r="4418" customFormat="false" ht="13.5" hidden="false" customHeight="true" outlineLevel="0" collapsed="false">
      <c r="B4418" s="10"/>
      <c r="C4418" s="10"/>
      <c r="D4418" s="10"/>
      <c r="E4418" s="10"/>
      <c r="F4418" s="10"/>
      <c r="J4418" s="25"/>
      <c r="K4418" s="25"/>
      <c r="L4418" s="25"/>
      <c r="M4418" s="25"/>
      <c r="N4418" s="25"/>
      <c r="O4418" s="25"/>
    </row>
    <row r="4419" customFormat="false" ht="13.5" hidden="false" customHeight="true" outlineLevel="0" collapsed="false">
      <c r="B4419" s="10"/>
      <c r="C4419" s="10"/>
      <c r="D4419" s="10"/>
      <c r="E4419" s="10"/>
      <c r="F4419" s="10"/>
      <c r="J4419" s="25"/>
      <c r="K4419" s="25"/>
      <c r="L4419" s="25"/>
      <c r="M4419" s="25"/>
      <c r="N4419" s="25"/>
      <c r="O4419" s="25"/>
    </row>
    <row r="4420" customFormat="false" ht="15" hidden="false" customHeight="true" outlineLevel="0" collapsed="false">
      <c r="B4420" s="10"/>
      <c r="C4420" s="10"/>
      <c r="D4420" s="34" t="str">
        <f aca="false">IF($K$4411=0,"",INDEX(Clients!$E$2:$E$501,$K$4411)&amp;"")</f>
        <v/>
      </c>
      <c r="E4420" s="34"/>
      <c r="F4420" s="34"/>
      <c r="J4420" s="25"/>
      <c r="K4420" s="25"/>
      <c r="L4420" s="25"/>
      <c r="M4420" s="25"/>
      <c r="N4420" s="25"/>
      <c r="O4420" s="25"/>
    </row>
    <row r="4421" customFormat="false" ht="15" hidden="false" customHeight="true" outlineLevel="0" collapsed="false">
      <c r="B4421" s="10"/>
      <c r="C4421" s="10"/>
      <c r="D4421" s="35" t="str">
        <f aca="false">IF(IF($K$4411=0,"",INDEX(Clients!$D$2:$D$501,$K$4411)&amp;"")="","","À l'attention de "&amp;TRIM(IF($K$4411=0,"",INDEX(Clients!$B$2:$B$501,$K$4411)&amp;"")&amp;" "&amp;IF($K$4411=0,"",INDEX(Clients!$C$2:$C$501,$K$4411)&amp;"")&amp;" "&amp;IF($K$4411=0,"",INDEX(Clients!$D$2:$D$501,$K$4411)&amp;"")))</f>
        <v/>
      </c>
      <c r="E4421" s="35"/>
      <c r="F4421" s="35"/>
      <c r="J4421" s="25"/>
      <c r="K4421" s="25"/>
      <c r="L4421" s="25"/>
      <c r="M4421" s="25"/>
      <c r="N4421" s="25"/>
      <c r="O4421" s="25"/>
    </row>
    <row r="4422" customFormat="false" ht="15" hidden="false" customHeight="true" outlineLevel="0" collapsed="false">
      <c r="B4422" s="10"/>
      <c r="C4422" s="10"/>
      <c r="D4422" s="35" t="str">
        <f aca="false">IF($K$4411=0,"",INDEX(Clients!$F$2:$F$501,$K$4411)&amp;"")</f>
        <v/>
      </c>
      <c r="E4422" s="35"/>
      <c r="F4422" s="35"/>
      <c r="J4422" s="25"/>
      <c r="K4422" s="25"/>
      <c r="L4422" s="25"/>
      <c r="M4422" s="25"/>
      <c r="N4422" s="25"/>
      <c r="O4422" s="25"/>
    </row>
    <row r="4423" customFormat="false" ht="15" hidden="false" customHeight="true" outlineLevel="0" collapsed="false">
      <c r="B4423" s="10"/>
      <c r="C4423" s="10"/>
      <c r="D4423" s="35" t="str">
        <f aca="false">IF(IF($K$4411=0,"",INDEX(Clients!$G$2:$G$501,$K$4411)&amp;"")="",TRIM(IF($K$4411=0,"",INDEX(Clients!$H$2:$H$501,$K$4411)&amp;"")&amp;" "&amp;UPPER(IF($K$4411=0,"",INDEX(Clients!$I$2:$I$501,$K$4411)&amp;""))),IF($K$4411=0,"",INDEX(Clients!$G$2:$G$501,$K$4411)&amp;""))</f>
        <v/>
      </c>
      <c r="E4423" s="35"/>
      <c r="F4423" s="35"/>
      <c r="J4423" s="25"/>
      <c r="K4423" s="25"/>
      <c r="L4423" s="25"/>
      <c r="M4423" s="25"/>
      <c r="N4423" s="25"/>
      <c r="O4423" s="25"/>
    </row>
    <row r="4424" customFormat="false" ht="15" hidden="false" customHeight="true" outlineLevel="0" collapsed="false">
      <c r="B4424" s="10"/>
      <c r="C4424" s="10"/>
      <c r="D4424" s="35" t="str">
        <f aca="false">IF(IF($K$4411=0,"",INDEX(Clients!$G$2:$G$501,$K$4411)&amp;"")="","",TRIM(IF($K$4411=0,"",INDEX(Clients!$H$2:$H$501,$K$4411)&amp;"")&amp;" "&amp;UPPER(IF($K$4411=0,"",INDEX(Clients!$I$2:$I$501,$K$4411)&amp;""))))</f>
        <v/>
      </c>
      <c r="E4424" s="35"/>
      <c r="F4424" s="35"/>
      <c r="J4424" s="25"/>
      <c r="K4424" s="25"/>
      <c r="L4424" s="25"/>
      <c r="M4424" s="25"/>
      <c r="N4424" s="25"/>
      <c r="O4424" s="25"/>
    </row>
    <row r="4425" customFormat="false" ht="25.5" hidden="false" customHeight="true" outlineLevel="0" collapsed="false">
      <c r="B4425" s="10"/>
      <c r="C4425" s="10"/>
      <c r="D4425" s="10"/>
      <c r="E4425" s="10"/>
      <c r="F4425" s="10"/>
      <c r="J4425" s="25"/>
      <c r="K4425" s="25"/>
      <c r="L4425" s="25"/>
      <c r="M4425" s="25"/>
      <c r="N4425" s="25"/>
      <c r="O4425" s="25"/>
    </row>
    <row r="4426" customFormat="false" ht="15" hidden="false" customHeight="false" outlineLevel="0" collapsed="false">
      <c r="B4426" s="10"/>
      <c r="C4426" s="10"/>
      <c r="D4426" s="36" t="str">
        <f aca="false">Cab_Ville&amp;", le "&amp;DAY(Date_Courrier)&amp;IF(DAY(Date_Courrier)=1,"er","")&amp;" "&amp;INDEX(Liste_Mois,MONTH(Date_Courrier))&amp;" "&amp;YEAR(Date_Courrier)</f>
        <v>Le Plessis-Bouchard, le 22 septembre 2026</v>
      </c>
      <c r="E4426" s="36"/>
      <c r="F4426" s="36"/>
      <c r="J4426" s="25"/>
      <c r="K4426" s="25"/>
      <c r="L4426" s="25"/>
      <c r="M4426" s="25"/>
      <c r="N4426" s="25"/>
      <c r="O4426" s="25"/>
    </row>
    <row r="4427" customFormat="false" ht="19.5" hidden="false" customHeight="true" outlineLevel="0" collapsed="false">
      <c r="B4427" s="10"/>
      <c r="C4427" s="10"/>
      <c r="D4427" s="10"/>
      <c r="E4427" s="10"/>
      <c r="F4427" s="10"/>
      <c r="J4427" s="25"/>
      <c r="K4427" s="25"/>
      <c r="L4427" s="25"/>
      <c r="M4427" s="25"/>
      <c r="N4427" s="25"/>
      <c r="O4427" s="25"/>
    </row>
    <row r="4428" customFormat="false" ht="15" hidden="false" customHeight="false" outlineLevel="0" collapsed="false">
      <c r="B4428" s="34" t="str">
        <f aca="false">SUBSTITUTE(SUBSTITUTE(SUBSTITUTE(SUBSTITUTE(SUBSTITUTE(Txt_Objet,"{cabinet}",Cab_Nom),"{societe}",IF($K$4411=0,"",INDEX(Clients!$E$2:$E$501,$K$4411)&amp;"")),"{date_effet}",$K$4413),"{hausse}",$K$4414),"{civilite}",$K$4412)</f>
        <v>Objet : révision de nos honoraires au 1er janvier 2027</v>
      </c>
      <c r="C4428" s="34"/>
      <c r="D4428" s="34"/>
      <c r="E4428" s="34"/>
      <c r="F4428" s="34"/>
      <c r="J4428" s="25"/>
      <c r="K4428" s="25"/>
      <c r="L4428" s="25"/>
      <c r="M4428" s="25"/>
      <c r="N4428" s="25"/>
      <c r="O4428" s="25"/>
    </row>
    <row r="4429" customFormat="false" ht="13.5" hidden="false" customHeight="true" outlineLevel="0" collapsed="false">
      <c r="B4429" s="10"/>
      <c r="C4429" s="10"/>
      <c r="D4429" s="10"/>
      <c r="E4429" s="10"/>
      <c r="F4429" s="10"/>
      <c r="J4429" s="25"/>
      <c r="K4429" s="25"/>
      <c r="L4429" s="25"/>
      <c r="M4429" s="25"/>
      <c r="N4429" s="25"/>
      <c r="O4429" s="25"/>
    </row>
    <row r="4430" customFormat="false" ht="15" hidden="false" customHeight="false" outlineLevel="0" collapsed="false">
      <c r="B4430" s="10" t="str">
        <f aca="false">$K$4412&amp;","</f>
        <v>Madame, Monsieur,</v>
      </c>
      <c r="C4430" s="10"/>
      <c r="D4430" s="10"/>
      <c r="E4430" s="10"/>
      <c r="F4430" s="10"/>
      <c r="J4430" s="25"/>
      <c r="K4430" s="25"/>
      <c r="L4430" s="25"/>
      <c r="M4430" s="25"/>
      <c r="N4430" s="25"/>
      <c r="O4430" s="25"/>
    </row>
    <row r="4431" customFormat="false" ht="6" hidden="false" customHeight="true" outlineLevel="0" collapsed="false">
      <c r="B4431" s="10"/>
      <c r="C4431" s="10"/>
      <c r="D4431" s="10"/>
      <c r="E4431" s="10"/>
      <c r="F4431" s="10"/>
      <c r="J4431" s="25"/>
      <c r="K4431" s="25"/>
      <c r="L4431" s="25"/>
      <c r="M4431" s="25"/>
      <c r="N4431" s="25"/>
      <c r="O4431" s="25"/>
    </row>
    <row r="4432" customFormat="false" ht="36.75" hidden="false" customHeight="true" outlineLevel="0" collapsed="false">
      <c r="B4432" s="37" t="str">
        <f aca="false">SUBSTITUTE(SUBSTITUTE(SUBSTITUTE(SUBSTITUTE(SUBSTITUTE(Txt_P1,"{cabinet}",Cab_Nom),"{societe}",IF($K$4411=0,"",INDEX(Clients!$E$2:$E$501,$K$4411)&amp;"")),"{date_effet}",$K$4413),"{hausse}",$K$4414),"{civilite}",$K$4412)</f>
        <v>Nous tenons tout d'abord à vous remercier pour la confiance que vous accordez à ALTHO EXPERTISE. Comme chaque année, et conformément aux dispositions de votre lettre de mission, nous procédons à la révision de nos honoraires.</v>
      </c>
      <c r="C4432" s="37"/>
      <c r="D4432" s="37"/>
      <c r="E4432" s="37"/>
      <c r="F4432" s="37"/>
      <c r="J4432" s="25"/>
      <c r="K4432" s="25"/>
      <c r="L4432" s="25"/>
      <c r="M4432" s="25"/>
      <c r="N4432" s="25"/>
      <c r="O4432" s="25"/>
    </row>
    <row r="4433" customFormat="false" ht="49.5" hidden="false" customHeight="true" outlineLevel="0" collapsed="false">
      <c r="B4433" s="37" t="str">
        <f aca="false">SUBSTITUTE(SUBSTITUTE(SUBSTITUTE(SUBSTITUTE(SUBSTITUTE(Txt_P2,"{cabinet}",Cab_Nom),"{societe}",IF($K$4411=0,"",INDEX(Clients!$E$2:$E$501,$K$4411)&amp;"")),"{date_effet}",$K$4413),"{hausse}",$K$4414),"{civilite}",$K$4412)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433" s="37"/>
      <c r="D4433" s="37"/>
      <c r="E4433" s="37"/>
      <c r="F4433" s="37"/>
      <c r="J4433" s="25"/>
      <c r="K4433" s="25"/>
      <c r="L4433" s="25"/>
      <c r="M4433" s="25"/>
      <c r="N4433" s="25"/>
      <c r="O4433" s="25"/>
    </row>
    <row r="4434" customFormat="false" ht="63" hidden="false" customHeight="true" outlineLevel="0" collapsed="false">
      <c r="B4434" s="37" t="str">
        <f aca="false">SUBSTITUTE(SUBSTITUTE(SUBSTITUTE(SUBSTITUTE(SUBSTITUTE(Txt_P3,"{cabinet}",Cab_Nom),"{societe}",IF($K$4411=0,"",INDEX(Clients!$E$2:$E$501,$K$4411)&amp;"")),"{date_effet}",$K$4413),"{hausse}",$K$4414),"{civilite}",$K$4412)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434" s="37"/>
      <c r="D4434" s="37"/>
      <c r="E4434" s="37"/>
      <c r="F4434" s="37"/>
      <c r="J4434" s="25"/>
      <c r="K4434" s="25"/>
      <c r="L4434" s="25"/>
      <c r="M4434" s="25"/>
      <c r="N4434" s="25"/>
      <c r="O4434" s="25"/>
    </row>
    <row r="4435" customFormat="false" ht="24" hidden="false" customHeight="true" outlineLevel="0" collapsed="false">
      <c r="B4435" s="37" t="str">
        <f aca="false">SUBSTITUTE(SUBSTITUTE(SUBSTITUTE(SUBSTITUTE(SUBSTITUTE(Txt_P4,"{cabinet}",Cab_Nom),"{societe}",IF($K$4411=0,"",INDEX(Clients!$E$2:$E$501,$K$4411)&amp;"")),"{date_effet}",$K$4413),"{hausse}",$K$4414),"{civilite}",$K$4412)</f>
        <v>À compter du 1er janvier 2027, vos honoraires annuels hors taxes évolueront ainsi (évolution globale : ) :</v>
      </c>
      <c r="C4435" s="37"/>
      <c r="D4435" s="37"/>
      <c r="E4435" s="37"/>
      <c r="F4435" s="37"/>
      <c r="J4435" s="25"/>
      <c r="K4435" s="25"/>
      <c r="L4435" s="25"/>
      <c r="M4435" s="25"/>
      <c r="N4435" s="25"/>
      <c r="O4435" s="25"/>
    </row>
    <row r="4436" customFormat="false" ht="3.75" hidden="false" customHeight="true" outlineLevel="0" collapsed="false">
      <c r="B4436" s="10"/>
      <c r="C4436" s="10"/>
      <c r="D4436" s="10"/>
      <c r="E4436" s="10"/>
      <c r="F4436" s="10"/>
      <c r="J4436" s="25"/>
      <c r="K4436" s="25"/>
      <c r="L4436" s="25"/>
      <c r="M4436" s="25"/>
      <c r="N4436" s="25"/>
      <c r="O4436" s="25"/>
    </row>
    <row r="4437" customFormat="false" ht="18" hidden="false" customHeight="true" outlineLevel="0" collapsed="false">
      <c r="B4437" s="38" t="s">
        <v>148</v>
      </c>
      <c r="C4437" s="39" t="s">
        <v>149</v>
      </c>
      <c r="D4437" s="39" t="s">
        <v>150</v>
      </c>
      <c r="E4437" s="39" t="s">
        <v>151</v>
      </c>
      <c r="F4437" s="39" t="s">
        <v>109</v>
      </c>
      <c r="J4437" s="25" t="s">
        <v>152</v>
      </c>
      <c r="K4437" s="25" t="s">
        <v>153</v>
      </c>
      <c r="L4437" s="25" t="s">
        <v>154</v>
      </c>
      <c r="M4437" s="25" t="s">
        <v>155</v>
      </c>
      <c r="N4437" s="25" t="s">
        <v>156</v>
      </c>
      <c r="O4437" s="25" t="s">
        <v>157</v>
      </c>
    </row>
    <row r="4438" customFormat="false" ht="16.5" hidden="false" customHeight="true" outlineLevel="0" collapsed="false">
      <c r="B4438" s="40" t="str">
        <f aca="false">IFERROR(INDEX($J$4438:$J$4441,MATCH($O4438,$N$4438:$N$4441,0)),"")</f>
        <v/>
      </c>
      <c r="C4438" s="41" t="str">
        <f aca="false">IFERROR(INDEX($K$4438:$K$4441,MATCH($O4438,$N$4438:$N$4441,0)),"")</f>
        <v/>
      </c>
      <c r="D4438" s="42" t="str">
        <f aca="false">IF(OR(E4438="",N(C4438)=0),"",E4438/C4438-1)</f>
        <v/>
      </c>
      <c r="E4438" s="41" t="str">
        <f aca="false">IFERROR(INDEX($L$4438:$L$4441,MATCH($O4438,$N$4438:$N$4441,0)),"")</f>
        <v/>
      </c>
      <c r="F4438" s="41" t="str">
        <f aca="false">IF(E4438="","",E4438-C4438)</f>
        <v/>
      </c>
      <c r="J4438" s="25" t="str">
        <f aca="false">Lib_Compta</f>
        <v>Mission comptable (tenue, révision, bilan, liasse fiscale)</v>
      </c>
      <c r="K4438" s="25" t="n">
        <f aca="false">IF($K$4411=0,0,N(INDEX(Clients!$K$2:$K$501,$K$4411)))</f>
        <v>0</v>
      </c>
      <c r="L4438" s="25" t="n">
        <f aca="false">IF($K$4411=0,0,N(INDEX(Clients!$P$2:$P$501,$K$4411)))</f>
        <v>0</v>
      </c>
      <c r="M4438" s="25" t="n">
        <f aca="false">IF(OR(K4438&lt;&gt;0,L4438&lt;&gt;0),1,0)</f>
        <v>0</v>
      </c>
      <c r="N4438" s="25" t="str">
        <f aca="false">IF(M4438=1,SUM($M$4438:M4438),"")</f>
        <v/>
      </c>
      <c r="O4438" s="25" t="n">
        <v>1</v>
      </c>
    </row>
    <row r="4439" customFormat="false" ht="16.5" hidden="false" customHeight="true" outlineLevel="0" collapsed="false">
      <c r="B4439" s="40" t="str">
        <f aca="false">IFERROR(INDEX($J$4438:$J$4441,MATCH($O4439,$N$4438:$N$4441,0)),"")</f>
        <v/>
      </c>
      <c r="C4439" s="41" t="str">
        <f aca="false">IFERROR(INDEX($K$4438:$K$4441,MATCH($O4439,$N$4438:$N$4441,0)),"")</f>
        <v/>
      </c>
      <c r="D4439" s="42" t="str">
        <f aca="false">IF(OR(E4439="",N(C4439)=0),"",E4439/C4439-1)</f>
        <v/>
      </c>
      <c r="E4439" s="41" t="str">
        <f aca="false">IFERROR(INDEX($L$4438:$L$4441,MATCH($O4439,$N$4438:$N$4441,0)),"")</f>
        <v/>
      </c>
      <c r="F4439" s="41" t="str">
        <f aca="false">IF(E4439="","",E4439-C4439)</f>
        <v/>
      </c>
      <c r="J4439" s="25" t="str">
        <f aca="false">Lib_Paye</f>
        <v>Mission sociale (bulletins de paie, DSN, déclarations sociales)</v>
      </c>
      <c r="K4439" s="25" t="n">
        <f aca="false">IF($K$4411=0,0,N(INDEX(Clients!$L$2:$L$501,$K$4411)))</f>
        <v>0</v>
      </c>
      <c r="L4439" s="25" t="n">
        <f aca="false">IF($K$4411=0,0,N(INDEX(Clients!$Q$2:$Q$501,$K$4411)))</f>
        <v>0</v>
      </c>
      <c r="M4439" s="25" t="n">
        <f aca="false">IF(OR(K4439&lt;&gt;0,L4439&lt;&gt;0),1,0)</f>
        <v>0</v>
      </c>
      <c r="N4439" s="25" t="str">
        <f aca="false">IF(M4439=1,SUM($M$4438:M4439),"")</f>
        <v/>
      </c>
      <c r="O4439" s="25" t="n">
        <v>2</v>
      </c>
    </row>
    <row r="4440" customFormat="false" ht="16.5" hidden="false" customHeight="true" outlineLevel="0" collapsed="false">
      <c r="B4440" s="40" t="str">
        <f aca="false">IFERROR(INDEX($J$4438:$J$4441,MATCH($O4440,$N$4438:$N$4441,0)),"")</f>
        <v/>
      </c>
      <c r="C4440" s="41" t="str">
        <f aca="false">IFERROR(INDEX($K$4438:$K$4441,MATCH($O4440,$N$4438:$N$4441,0)),"")</f>
        <v/>
      </c>
      <c r="D4440" s="42" t="str">
        <f aca="false">IF(OR(E4440="",N(C4440)=0),"",E4440/C4440-1)</f>
        <v/>
      </c>
      <c r="E4440" s="41" t="str">
        <f aca="false">IFERROR(INDEX($L$4438:$L$4441,MATCH($O4440,$N$4438:$N$4441,0)),"")</f>
        <v/>
      </c>
      <c r="F4440" s="41" t="str">
        <f aca="false">IF(E4440="","",E4440-C4440)</f>
        <v/>
      </c>
      <c r="J4440" s="25" t="str">
        <f aca="false">Lib_Jur</f>
        <v>Mission juridique (approbation des comptes, secrétariat juridique)</v>
      </c>
      <c r="K4440" s="25" t="n">
        <f aca="false">IF($K$4411=0,0,N(INDEX(Clients!$M$2:$M$501,$K$4411)))</f>
        <v>0</v>
      </c>
      <c r="L4440" s="25" t="n">
        <f aca="false">IF($K$4411=0,0,N(INDEX(Clients!$R$2:$R$501,$K$4411)))</f>
        <v>0</v>
      </c>
      <c r="M4440" s="25" t="n">
        <f aca="false">IF(OR(K4440&lt;&gt;0,L4440&lt;&gt;0),1,0)</f>
        <v>0</v>
      </c>
      <c r="N4440" s="25" t="str">
        <f aca="false">IF(M4440=1,SUM($M$4438:M4440),"")</f>
        <v/>
      </c>
      <c r="O4440" s="25" t="n">
        <v>3</v>
      </c>
    </row>
    <row r="4441" customFormat="false" ht="16.5" hidden="false" customHeight="true" outlineLevel="0" collapsed="false">
      <c r="B4441" s="40" t="str">
        <f aca="false">IFERROR(INDEX($J$4438:$J$4441,MATCH($O4441,$N$4438:$N$4441,0)),"")</f>
        <v/>
      </c>
      <c r="C4441" s="41" t="str">
        <f aca="false">IFERROR(INDEX($K$4438:$K$4441,MATCH($O4441,$N$4438:$N$4441,0)),"")</f>
        <v/>
      </c>
      <c r="D4441" s="42" t="str">
        <f aca="false">IF(OR(E4441="",N(C4441)=0),"",E4441/C4441-1)</f>
        <v/>
      </c>
      <c r="E4441" s="41" t="str">
        <f aca="false">IFERROR(INDEX($L$4438:$L$4441,MATCH($O4441,$N$4438:$N$4441,0)),"")</f>
        <v/>
      </c>
      <c r="F4441" s="41" t="str">
        <f aca="false">IF(E4441="","",E4441-C4441)</f>
        <v/>
      </c>
      <c r="J4441" s="25" t="str">
        <f aca="false">Lib_PA</f>
        <v>Plateforme agréée – facturation électronique</v>
      </c>
      <c r="K4441" s="25" t="n">
        <f aca="false">IF($K$4411=0,0,N(INDEX(Clients!$N$2:$N$501,$K$4411)))</f>
        <v>0</v>
      </c>
      <c r="L4441" s="25" t="n">
        <f aca="false">IF($K$4411=0,0,N(INDEX(Clients!$S$2:$S$501,$K$4411)))</f>
        <v>0</v>
      </c>
      <c r="M4441" s="25" t="n">
        <f aca="false">IF(OR(K4441&lt;&gt;0,L4441&lt;&gt;0),1,0)</f>
        <v>0</v>
      </c>
      <c r="N4441" s="25" t="str">
        <f aca="false">IF(M4441=1,SUM($M$4438:M4441),"")</f>
        <v/>
      </c>
      <c r="O4441" s="25" t="n">
        <v>4</v>
      </c>
    </row>
    <row r="4442" customFormat="false" ht="18" hidden="false" customHeight="true" outlineLevel="0" collapsed="false">
      <c r="B4442" s="43" t="s">
        <v>158</v>
      </c>
      <c r="C4442" s="44" t="n">
        <f aca="false">SUM(K4438:K4441)</f>
        <v>0</v>
      </c>
      <c r="D4442" s="45" t="str">
        <f aca="false">IF(N(C4442)=0,"",E4442/C4442-1)</f>
        <v/>
      </c>
      <c r="E4442" s="44" t="n">
        <f aca="false">SUM(L4438:L4441)</f>
        <v>0</v>
      </c>
      <c r="F4442" s="44" t="n">
        <f aca="false">E4442-C4442</f>
        <v>0</v>
      </c>
    </row>
    <row r="4443" customFormat="false" ht="15" hidden="false" customHeight="false" outlineLevel="0" collapsed="false">
      <c r="B4443" s="46" t="str">
        <f aca="false">IF(N(Nb_Mensualites)=0,"","Soit "&amp;FIXED(E4442/Nb_Mensualites,2)&amp;" € HT par échéance ("&amp;Nb_Mensualites&amp;" échéances), "&amp;FIXED(E4442/Nb_Mensualites*(1+Taux_TVA),2)&amp;" € TTC.")</f>
        <v>Soit 0.00 € HT par échéance (12 échéances), 0.00 € TTC.</v>
      </c>
      <c r="C4443" s="46"/>
      <c r="D4443" s="46"/>
      <c r="E4443" s="46"/>
      <c r="F4443" s="46"/>
    </row>
    <row r="4444" customFormat="false" ht="7.5" hidden="false" customHeight="true" outlineLevel="0" collapsed="false">
      <c r="B4444" s="10"/>
      <c r="C4444" s="10"/>
      <c r="D4444" s="10"/>
      <c r="E4444" s="10"/>
      <c r="F4444" s="10"/>
    </row>
    <row r="4445" customFormat="false" ht="36.75" hidden="false" customHeight="true" outlineLevel="0" collapsed="false">
      <c r="B4445" s="37" t="str">
        <f aca="false">SUBSTITUTE(SUBSTITUTE(SUBSTITUTE(SUBSTITUTE(SUBSTITUTE(Txt_P5,"{cabinet}",Cab_Nom),"{societe}",IF($K$4411=0,"",INDEX(Clients!$E$2:$E$501,$K$4411)&amp;"")),"{date_effet}",$K$4413),"{hausse}",$K$4414),"{civilite}",$K$4412)</f>
        <v>Les autres conditions de votre lettre de mission demeurent inchangées. Les nouveaux montants seront appliqués automatiquement sur vos prochaines factures et échéances de prélèvement.</v>
      </c>
      <c r="C4445" s="37"/>
      <c r="D4445" s="37"/>
      <c r="E4445" s="37"/>
      <c r="F4445" s="37"/>
    </row>
    <row r="4446" customFormat="false" ht="36.75" hidden="false" customHeight="true" outlineLevel="0" collapsed="false">
      <c r="B4446" s="37" t="str">
        <f aca="false">SUBSTITUTE(SUBSTITUTE(SUBSTITUTE(SUBSTITUTE(SUBSTITUTE(Txt_P6,"{cabinet}",Cab_Nom),"{societe}",IF($K$4411=0,"",INDEX(Clients!$E$2:$E$501,$K$4411)&amp;"")),"{date_effet}",$K$4413),"{hausse}",$K$4414),"{civilite}",$K$4412)</f>
        <v>Votre interlocuteur habituel reste à votre entière disposition pour répondre à vos questions et faire le point sur l'évolution de vos besoins.</v>
      </c>
      <c r="C4446" s="37"/>
      <c r="D4446" s="37"/>
      <c r="E4446" s="37"/>
      <c r="F4446" s="37"/>
    </row>
    <row r="4447" customFormat="false" ht="24" hidden="false" customHeight="true" outlineLevel="0" collapsed="false">
      <c r="B4447" s="37" t="str">
        <f aca="false">SUBSTITUTE(SUBSTITUTE(SUBSTITUTE(SUBSTITUTE(SUBSTITUTE(Txt_Politesse,"{cabinet}",Cab_Nom),"{societe}",IF($K$4411=0,"",INDEX(Clients!$E$2:$E$501,$K$4411)&amp;"")),"{date_effet}",$K$4413),"{hausse}",$K$4414),"{civilite}",$K$4412)</f>
        <v>Nous vous prions d'agréer, Madame, Monsieur, l'expression de nos salutations distinguées.</v>
      </c>
      <c r="C4447" s="37"/>
      <c r="D4447" s="37"/>
      <c r="E4447" s="37"/>
      <c r="F4447" s="37"/>
    </row>
    <row r="4448" customFormat="false" ht="15" hidden="false" customHeight="false" outlineLevel="0" collapsed="false">
      <c r="B4448" s="10"/>
      <c r="C4448" s="10"/>
      <c r="D4448" s="10"/>
      <c r="E4448" s="10"/>
      <c r="F4448" s="10"/>
    </row>
    <row r="4449" customFormat="false" ht="15" hidden="false" customHeight="false" outlineLevel="0" collapsed="false">
      <c r="B4449" s="10"/>
      <c r="C4449" s="10"/>
      <c r="D4449" s="34" t="str">
        <f aca="false">Signataire</f>
        <v>Prénom NOM</v>
      </c>
      <c r="E4449" s="34"/>
      <c r="F4449" s="34"/>
    </row>
    <row r="4450" customFormat="false" ht="15" hidden="false" customHeight="false" outlineLevel="0" collapsed="false">
      <c r="B4450" s="10"/>
      <c r="C4450" s="10"/>
      <c r="D4450" s="47" t="str">
        <f aca="false">Signataire_Titre</f>
        <v>Expert-comptable associé</v>
      </c>
      <c r="E4450" s="47"/>
      <c r="F4450" s="47"/>
    </row>
    <row r="4451" customFormat="false" ht="15.75" hidden="false" customHeight="true" outlineLevel="0" collapsed="false">
      <c r="B4451" s="10"/>
      <c r="C4451" s="10"/>
      <c r="D4451" s="10"/>
      <c r="E4451" s="10"/>
      <c r="F4451" s="10"/>
    </row>
    <row r="4452" customFormat="false" ht="15.75" hidden="false" customHeight="true" outlineLevel="0" collapsed="false">
      <c r="B4452" s="10"/>
      <c r="C4452" s="10"/>
      <c r="D4452" s="10"/>
      <c r="E4452" s="10"/>
      <c r="F4452" s="10"/>
    </row>
    <row r="4453" customFormat="false" ht="15.75" hidden="false" customHeight="true" outlineLevel="0" collapsed="false">
      <c r="B4453" s="10"/>
      <c r="C4453" s="10"/>
      <c r="D4453" s="10"/>
      <c r="E4453" s="10"/>
      <c r="F4453" s="10"/>
    </row>
    <row r="4454" customFormat="false" ht="15.75" hidden="false" customHeight="true" outlineLevel="0" collapsed="false">
      <c r="B4454" s="10"/>
      <c r="C4454" s="10"/>
      <c r="D4454" s="10"/>
      <c r="E4454" s="10"/>
      <c r="F4454" s="10"/>
    </row>
    <row r="4455" customFormat="false" ht="24" hidden="false" customHeight="true" outlineLevel="0" collapsed="false">
      <c r="B4455" s="48" t="str">
        <f aca="false">Cab_Mentions</f>
        <v>ALTHO EXPERTISE · SAS au capital de 10 000 € · RCS Pontoise 919 706 325 · TVA FR62919706325 · Société d'expertise comptable inscrite au Tableau de l'Ordre des experts-comptables de Paris Île-de-France</v>
      </c>
      <c r="C4455" s="48"/>
      <c r="D4455" s="48"/>
      <c r="E4455" s="48"/>
      <c r="F4455" s="48"/>
    </row>
    <row r="4456" customFormat="false" ht="15" hidden="false" customHeight="false" outlineLevel="0" collapsed="false">
      <c r="B4456" s="10"/>
      <c r="C4456" s="10"/>
      <c r="D4456" s="10"/>
      <c r="E4456" s="10"/>
      <c r="F4456" s="10"/>
      <c r="J4456" s="25" t="s">
        <v>142</v>
      </c>
      <c r="K4456" s="25" t="n">
        <f aca="false">IFERROR(MATCH(100,Clients!$Z$2:$Z$501,0),0)</f>
        <v>0</v>
      </c>
      <c r="L4456" s="25"/>
      <c r="M4456" s="25"/>
      <c r="N4456" s="25"/>
      <c r="O4456" s="25"/>
    </row>
    <row r="4457" customFormat="false" ht="21.75" hidden="false" customHeight="true" outlineLevel="0" collapsed="false">
      <c r="B4457" s="26" t="str">
        <f aca="false">Cab_Nom</f>
        <v>ALTHO EXPERTISE</v>
      </c>
      <c r="C4457" s="26"/>
      <c r="D4457" s="10"/>
      <c r="E4457" s="27" t="str">
        <f aca="false">IF($K$4456=0,"","Réf. client : "&amp;INDEX(Clients!$A$2:$A$501,$K$4456))</f>
        <v/>
      </c>
      <c r="F4457" s="27"/>
      <c r="J4457" s="25" t="s">
        <v>144</v>
      </c>
      <c r="K4457" s="25" t="str">
        <f aca="false">IF(IF($K$4456=0,"",INDEX(Clients!$B$2:$B$501,$K$4456)&amp;"")="Mme","Madame",IF(IF($K$4456=0,"",INDEX(Clients!$B$2:$B$501,$K$4456)&amp;"")="M.","Monsieur","Madame, Monsieur"))</f>
        <v>Madame, Monsieur</v>
      </c>
      <c r="L4457" s="25"/>
      <c r="M4457" s="25"/>
      <c r="N4457" s="25"/>
      <c r="O4457" s="25"/>
    </row>
    <row r="4458" customFormat="false" ht="15" hidden="false" customHeight="false" outlineLevel="0" collapsed="false">
      <c r="B4458" s="29" t="str">
        <f aca="false">Cab_Adr1</f>
        <v>141 rue Charles de Gaulle</v>
      </c>
      <c r="C4458" s="29"/>
      <c r="D4458" s="10"/>
      <c r="E4458" s="10"/>
      <c r="F4458" s="10"/>
      <c r="J4458" s="25" t="s">
        <v>145</v>
      </c>
      <c r="K4458" s="25" t="str">
        <f aca="false">DAY(Date_Effet)&amp;IF(DAY(Date_Effet)=1,"er","")&amp;" "&amp;INDEX(Liste_Mois,MONTH(Date_Effet))&amp;" "&amp;YEAR(Date_Effet)</f>
        <v>1er janvier 2027</v>
      </c>
      <c r="L4458" s="25"/>
      <c r="M4458" s="25"/>
      <c r="N4458" s="25"/>
      <c r="O4458" s="25"/>
    </row>
    <row r="4459" customFormat="false" ht="15" hidden="false" customHeight="false" outlineLevel="0" collapsed="false">
      <c r="B4459" s="29" t="str">
        <f aca="false">Cab_CPVille</f>
        <v>95130 LE PLESSIS-BOUCHARD</v>
      </c>
      <c r="C4459" s="29"/>
      <c r="D4459" s="10"/>
      <c r="E4459" s="10"/>
      <c r="F4459" s="10"/>
      <c r="J4459" s="25" t="s">
        <v>146</v>
      </c>
      <c r="K4459" s="25" t="str">
        <f aca="false">IF(SUM($K$4483:$K$4486)=0,"",FIXED((SUM($L$4483:$L$4486)/SUM($K$4483:$K$4486)-1)*100,1)&amp;" %")</f>
        <v/>
      </c>
      <c r="L4459" s="25"/>
      <c r="M4459" s="25"/>
      <c r="N4459" s="25"/>
      <c r="O4459" s="25"/>
    </row>
    <row r="4460" customFormat="false" ht="15" hidden="false" customHeight="false" outlineLevel="0" collapsed="false">
      <c r="B4460" s="29" t="str">
        <f aca="false">Cab_Contact</f>
        <v>Tél. 01 34 14 53 45  ·  altho@altho-experts.com  ·  altho-experts.com</v>
      </c>
      <c r="C4460" s="29"/>
      <c r="D4460" s="10"/>
      <c r="E4460" s="10"/>
      <c r="F4460" s="10"/>
      <c r="J4460" s="25"/>
      <c r="K4460" s="25"/>
      <c r="L4460" s="25"/>
      <c r="M4460" s="25"/>
      <c r="N4460" s="25"/>
      <c r="O4460" s="25"/>
    </row>
    <row r="4461" customFormat="false" ht="6" hidden="false" customHeight="true" outlineLevel="0" collapsed="false">
      <c r="B4461" s="32"/>
      <c r="C4461" s="32"/>
      <c r="D4461" s="32"/>
      <c r="E4461" s="32"/>
      <c r="F4461" s="32"/>
      <c r="J4461" s="25"/>
      <c r="K4461" s="25"/>
      <c r="L4461" s="25"/>
      <c r="M4461" s="25"/>
      <c r="N4461" s="25"/>
      <c r="O4461" s="25"/>
    </row>
    <row r="4462" customFormat="false" ht="13.5" hidden="false" customHeight="true" outlineLevel="0" collapsed="false">
      <c r="B4462" s="10"/>
      <c r="C4462" s="10"/>
      <c r="D4462" s="10"/>
      <c r="E4462" s="10"/>
      <c r="F4462" s="10"/>
      <c r="J4462" s="25"/>
      <c r="K4462" s="25"/>
      <c r="L4462" s="25"/>
      <c r="M4462" s="25"/>
      <c r="N4462" s="25"/>
      <c r="O4462" s="25"/>
    </row>
    <row r="4463" customFormat="false" ht="13.5" hidden="false" customHeight="true" outlineLevel="0" collapsed="false">
      <c r="B4463" s="10"/>
      <c r="C4463" s="10"/>
      <c r="D4463" s="10"/>
      <c r="E4463" s="10"/>
      <c r="F4463" s="10"/>
      <c r="J4463" s="25"/>
      <c r="K4463" s="25"/>
      <c r="L4463" s="25"/>
      <c r="M4463" s="25"/>
      <c r="N4463" s="25"/>
      <c r="O4463" s="25"/>
    </row>
    <row r="4464" customFormat="false" ht="13.5" hidden="false" customHeight="true" outlineLevel="0" collapsed="false">
      <c r="B4464" s="10"/>
      <c r="C4464" s="10"/>
      <c r="D4464" s="10"/>
      <c r="E4464" s="10"/>
      <c r="F4464" s="10"/>
      <c r="J4464" s="25"/>
      <c r="K4464" s="25"/>
      <c r="L4464" s="25"/>
      <c r="M4464" s="25"/>
      <c r="N4464" s="25"/>
      <c r="O4464" s="25"/>
    </row>
    <row r="4465" customFormat="false" ht="15" hidden="false" customHeight="true" outlineLevel="0" collapsed="false">
      <c r="B4465" s="10"/>
      <c r="C4465" s="10"/>
      <c r="D4465" s="34" t="str">
        <f aca="false">IF($K$4456=0,"",INDEX(Clients!$E$2:$E$501,$K$4456)&amp;"")</f>
        <v/>
      </c>
      <c r="E4465" s="34"/>
      <c r="F4465" s="34"/>
      <c r="J4465" s="25"/>
      <c r="K4465" s="25"/>
      <c r="L4465" s="25"/>
      <c r="M4465" s="25"/>
      <c r="N4465" s="25"/>
      <c r="O4465" s="25"/>
    </row>
    <row r="4466" customFormat="false" ht="15" hidden="false" customHeight="true" outlineLevel="0" collapsed="false">
      <c r="B4466" s="10"/>
      <c r="C4466" s="10"/>
      <c r="D4466" s="35" t="str">
        <f aca="false">IF(IF($K$4456=0,"",INDEX(Clients!$D$2:$D$501,$K$4456)&amp;"")="","","À l'attention de "&amp;TRIM(IF($K$4456=0,"",INDEX(Clients!$B$2:$B$501,$K$4456)&amp;"")&amp;" "&amp;IF($K$4456=0,"",INDEX(Clients!$C$2:$C$501,$K$4456)&amp;"")&amp;" "&amp;IF($K$4456=0,"",INDEX(Clients!$D$2:$D$501,$K$4456)&amp;"")))</f>
        <v/>
      </c>
      <c r="E4466" s="35"/>
      <c r="F4466" s="35"/>
      <c r="J4466" s="25"/>
      <c r="K4466" s="25"/>
      <c r="L4466" s="25"/>
      <c r="M4466" s="25"/>
      <c r="N4466" s="25"/>
      <c r="O4466" s="25"/>
    </row>
    <row r="4467" customFormat="false" ht="15" hidden="false" customHeight="true" outlineLevel="0" collapsed="false">
      <c r="B4467" s="10"/>
      <c r="C4467" s="10"/>
      <c r="D4467" s="35" t="str">
        <f aca="false">IF($K$4456=0,"",INDEX(Clients!$F$2:$F$501,$K$4456)&amp;"")</f>
        <v/>
      </c>
      <c r="E4467" s="35"/>
      <c r="F4467" s="35"/>
      <c r="J4467" s="25"/>
      <c r="K4467" s="25"/>
      <c r="L4467" s="25"/>
      <c r="M4467" s="25"/>
      <c r="N4467" s="25"/>
      <c r="O4467" s="25"/>
    </row>
    <row r="4468" customFormat="false" ht="15" hidden="false" customHeight="true" outlineLevel="0" collapsed="false">
      <c r="B4468" s="10"/>
      <c r="C4468" s="10"/>
      <c r="D4468" s="35" t="str">
        <f aca="false">IF(IF($K$4456=0,"",INDEX(Clients!$G$2:$G$501,$K$4456)&amp;"")="",TRIM(IF($K$4456=0,"",INDEX(Clients!$H$2:$H$501,$K$4456)&amp;"")&amp;" "&amp;UPPER(IF($K$4456=0,"",INDEX(Clients!$I$2:$I$501,$K$4456)&amp;""))),IF($K$4456=0,"",INDEX(Clients!$G$2:$G$501,$K$4456)&amp;""))</f>
        <v/>
      </c>
      <c r="E4468" s="35"/>
      <c r="F4468" s="35"/>
      <c r="J4468" s="25"/>
      <c r="K4468" s="25"/>
      <c r="L4468" s="25"/>
      <c r="M4468" s="25"/>
      <c r="N4468" s="25"/>
      <c r="O4468" s="25"/>
    </row>
    <row r="4469" customFormat="false" ht="15" hidden="false" customHeight="true" outlineLevel="0" collapsed="false">
      <c r="B4469" s="10"/>
      <c r="C4469" s="10"/>
      <c r="D4469" s="35" t="str">
        <f aca="false">IF(IF($K$4456=0,"",INDEX(Clients!$G$2:$G$501,$K$4456)&amp;"")="","",TRIM(IF($K$4456=0,"",INDEX(Clients!$H$2:$H$501,$K$4456)&amp;"")&amp;" "&amp;UPPER(IF($K$4456=0,"",INDEX(Clients!$I$2:$I$501,$K$4456)&amp;""))))</f>
        <v/>
      </c>
      <c r="E4469" s="35"/>
      <c r="F4469" s="35"/>
      <c r="J4469" s="25"/>
      <c r="K4469" s="25"/>
      <c r="L4469" s="25"/>
      <c r="M4469" s="25"/>
      <c r="N4469" s="25"/>
      <c r="O4469" s="25"/>
    </row>
    <row r="4470" customFormat="false" ht="25.5" hidden="false" customHeight="true" outlineLevel="0" collapsed="false">
      <c r="B4470" s="10"/>
      <c r="C4470" s="10"/>
      <c r="D4470" s="10"/>
      <c r="E4470" s="10"/>
      <c r="F4470" s="10"/>
      <c r="J4470" s="25"/>
      <c r="K4470" s="25"/>
      <c r="L4470" s="25"/>
      <c r="M4470" s="25"/>
      <c r="N4470" s="25"/>
      <c r="O4470" s="25"/>
    </row>
    <row r="4471" customFormat="false" ht="15" hidden="false" customHeight="false" outlineLevel="0" collapsed="false">
      <c r="B4471" s="10"/>
      <c r="C4471" s="10"/>
      <c r="D4471" s="36" t="str">
        <f aca="false">Cab_Ville&amp;", le "&amp;DAY(Date_Courrier)&amp;IF(DAY(Date_Courrier)=1,"er","")&amp;" "&amp;INDEX(Liste_Mois,MONTH(Date_Courrier))&amp;" "&amp;YEAR(Date_Courrier)</f>
        <v>Le Plessis-Bouchard, le 22 septembre 2026</v>
      </c>
      <c r="E4471" s="36"/>
      <c r="F4471" s="36"/>
      <c r="J4471" s="25"/>
      <c r="K4471" s="25"/>
      <c r="L4471" s="25"/>
      <c r="M4471" s="25"/>
      <c r="N4471" s="25"/>
      <c r="O4471" s="25"/>
    </row>
    <row r="4472" customFormat="false" ht="19.5" hidden="false" customHeight="true" outlineLevel="0" collapsed="false">
      <c r="B4472" s="10"/>
      <c r="C4472" s="10"/>
      <c r="D4472" s="10"/>
      <c r="E4472" s="10"/>
      <c r="F4472" s="10"/>
      <c r="J4472" s="25"/>
      <c r="K4472" s="25"/>
      <c r="L4472" s="25"/>
      <c r="M4472" s="25"/>
      <c r="N4472" s="25"/>
      <c r="O4472" s="25"/>
    </row>
    <row r="4473" customFormat="false" ht="15" hidden="false" customHeight="false" outlineLevel="0" collapsed="false">
      <c r="B4473" s="34" t="str">
        <f aca="false">SUBSTITUTE(SUBSTITUTE(SUBSTITUTE(SUBSTITUTE(SUBSTITUTE(Txt_Objet,"{cabinet}",Cab_Nom),"{societe}",IF($K$4456=0,"",INDEX(Clients!$E$2:$E$501,$K$4456)&amp;"")),"{date_effet}",$K$4458),"{hausse}",$K$4459),"{civilite}",$K$4457)</f>
        <v>Objet : révision de nos honoraires au 1er janvier 2027</v>
      </c>
      <c r="C4473" s="34"/>
      <c r="D4473" s="34"/>
      <c r="E4473" s="34"/>
      <c r="F4473" s="34"/>
      <c r="J4473" s="25"/>
      <c r="K4473" s="25"/>
      <c r="L4473" s="25"/>
      <c r="M4473" s="25"/>
      <c r="N4473" s="25"/>
      <c r="O4473" s="25"/>
    </row>
    <row r="4474" customFormat="false" ht="13.5" hidden="false" customHeight="true" outlineLevel="0" collapsed="false">
      <c r="B4474" s="10"/>
      <c r="C4474" s="10"/>
      <c r="D4474" s="10"/>
      <c r="E4474" s="10"/>
      <c r="F4474" s="10"/>
      <c r="J4474" s="25"/>
      <c r="K4474" s="25"/>
      <c r="L4474" s="25"/>
      <c r="M4474" s="25"/>
      <c r="N4474" s="25"/>
      <c r="O4474" s="25"/>
    </row>
    <row r="4475" customFormat="false" ht="15" hidden="false" customHeight="false" outlineLevel="0" collapsed="false">
      <c r="B4475" s="10" t="str">
        <f aca="false">$K$4457&amp;","</f>
        <v>Madame, Monsieur,</v>
      </c>
      <c r="C4475" s="10"/>
      <c r="D4475" s="10"/>
      <c r="E4475" s="10"/>
      <c r="F4475" s="10"/>
      <c r="J4475" s="25"/>
      <c r="K4475" s="25"/>
      <c r="L4475" s="25"/>
      <c r="M4475" s="25"/>
      <c r="N4475" s="25"/>
      <c r="O4475" s="25"/>
    </row>
    <row r="4476" customFormat="false" ht="6" hidden="false" customHeight="true" outlineLevel="0" collapsed="false">
      <c r="B4476" s="10"/>
      <c r="C4476" s="10"/>
      <c r="D4476" s="10"/>
      <c r="E4476" s="10"/>
      <c r="F4476" s="10"/>
      <c r="J4476" s="25"/>
      <c r="K4476" s="25"/>
      <c r="L4476" s="25"/>
      <c r="M4476" s="25"/>
      <c r="N4476" s="25"/>
      <c r="O4476" s="25"/>
    </row>
    <row r="4477" customFormat="false" ht="36.75" hidden="false" customHeight="true" outlineLevel="0" collapsed="false">
      <c r="B4477" s="37" t="str">
        <f aca="false">SUBSTITUTE(SUBSTITUTE(SUBSTITUTE(SUBSTITUTE(SUBSTITUTE(Txt_P1,"{cabinet}",Cab_Nom),"{societe}",IF($K$4456=0,"",INDEX(Clients!$E$2:$E$501,$K$4456)&amp;"")),"{date_effet}",$K$4458),"{hausse}",$K$4459),"{civilite}",$K$4457)</f>
        <v>Nous tenons tout d'abord à vous remercier pour la confiance que vous accordez à ALTHO EXPERTISE. Comme chaque année, et conformément aux dispositions de votre lettre de mission, nous procédons à la révision de nos honoraires.</v>
      </c>
      <c r="C4477" s="37"/>
      <c r="D4477" s="37"/>
      <c r="E4477" s="37"/>
      <c r="F4477" s="37"/>
      <c r="J4477" s="25"/>
      <c r="K4477" s="25"/>
      <c r="L4477" s="25"/>
      <c r="M4477" s="25"/>
      <c r="N4477" s="25"/>
      <c r="O4477" s="25"/>
    </row>
    <row r="4478" customFormat="false" ht="49.5" hidden="false" customHeight="true" outlineLevel="0" collapsed="false">
      <c r="B4478" s="37" t="str">
        <f aca="false">SUBSTITUTE(SUBSTITUTE(SUBSTITUTE(SUBSTITUTE(SUBSTITUTE(Txt_P2,"{cabinet}",Cab_Nom),"{societe}",IF($K$4456=0,"",INDEX(Clients!$E$2:$E$501,$K$4456)&amp;"")),"{date_effet}",$K$4458),"{hausse}",$K$4459),"{civilite}",$K$4457)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478" s="37"/>
      <c r="D4478" s="37"/>
      <c r="E4478" s="37"/>
      <c r="F4478" s="37"/>
      <c r="J4478" s="25"/>
      <c r="K4478" s="25"/>
      <c r="L4478" s="25"/>
      <c r="M4478" s="25"/>
      <c r="N4478" s="25"/>
      <c r="O4478" s="25"/>
    </row>
    <row r="4479" customFormat="false" ht="63" hidden="false" customHeight="true" outlineLevel="0" collapsed="false">
      <c r="B4479" s="37" t="str">
        <f aca="false">SUBSTITUTE(SUBSTITUTE(SUBSTITUTE(SUBSTITUTE(SUBSTITUTE(Txt_P3,"{cabinet}",Cab_Nom),"{societe}",IF($K$4456=0,"",INDEX(Clients!$E$2:$E$501,$K$4456)&amp;"")),"{date_effet}",$K$4458),"{hausse}",$K$4459),"{civilite}",$K$4457)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479" s="37"/>
      <c r="D4479" s="37"/>
      <c r="E4479" s="37"/>
      <c r="F4479" s="37"/>
      <c r="J4479" s="25"/>
      <c r="K4479" s="25"/>
      <c r="L4479" s="25"/>
      <c r="M4479" s="25"/>
      <c r="N4479" s="25"/>
      <c r="O4479" s="25"/>
    </row>
    <row r="4480" customFormat="false" ht="24" hidden="false" customHeight="true" outlineLevel="0" collapsed="false">
      <c r="B4480" s="37" t="str">
        <f aca="false">SUBSTITUTE(SUBSTITUTE(SUBSTITUTE(SUBSTITUTE(SUBSTITUTE(Txt_P4,"{cabinet}",Cab_Nom),"{societe}",IF($K$4456=0,"",INDEX(Clients!$E$2:$E$501,$K$4456)&amp;"")),"{date_effet}",$K$4458),"{hausse}",$K$4459),"{civilite}",$K$4457)</f>
        <v>À compter du 1er janvier 2027, vos honoraires annuels hors taxes évolueront ainsi (évolution globale : ) :</v>
      </c>
      <c r="C4480" s="37"/>
      <c r="D4480" s="37"/>
      <c r="E4480" s="37"/>
      <c r="F4480" s="37"/>
      <c r="J4480" s="25"/>
      <c r="K4480" s="25"/>
      <c r="L4480" s="25"/>
      <c r="M4480" s="25"/>
      <c r="N4480" s="25"/>
      <c r="O4480" s="25"/>
    </row>
    <row r="4481" customFormat="false" ht="3.75" hidden="false" customHeight="true" outlineLevel="0" collapsed="false">
      <c r="B4481" s="10"/>
      <c r="C4481" s="10"/>
      <c r="D4481" s="10"/>
      <c r="E4481" s="10"/>
      <c r="F4481" s="10"/>
      <c r="J4481" s="25"/>
      <c r="K4481" s="25"/>
      <c r="L4481" s="25"/>
      <c r="M4481" s="25"/>
      <c r="N4481" s="25"/>
      <c r="O4481" s="25"/>
    </row>
    <row r="4482" customFormat="false" ht="18" hidden="false" customHeight="true" outlineLevel="0" collapsed="false">
      <c r="B4482" s="38" t="s">
        <v>148</v>
      </c>
      <c r="C4482" s="39" t="s">
        <v>149</v>
      </c>
      <c r="D4482" s="39" t="s">
        <v>150</v>
      </c>
      <c r="E4482" s="39" t="s">
        <v>151</v>
      </c>
      <c r="F4482" s="39" t="s">
        <v>109</v>
      </c>
      <c r="J4482" s="25" t="s">
        <v>152</v>
      </c>
      <c r="K4482" s="25" t="s">
        <v>153</v>
      </c>
      <c r="L4482" s="25" t="s">
        <v>154</v>
      </c>
      <c r="M4482" s="25" t="s">
        <v>155</v>
      </c>
      <c r="N4482" s="25" t="s">
        <v>156</v>
      </c>
      <c r="O4482" s="25" t="s">
        <v>157</v>
      </c>
    </row>
    <row r="4483" customFormat="false" ht="16.5" hidden="false" customHeight="true" outlineLevel="0" collapsed="false">
      <c r="B4483" s="40" t="str">
        <f aca="false">IFERROR(INDEX($J$4483:$J$4486,MATCH($O4483,$N$4483:$N$4486,0)),"")</f>
        <v/>
      </c>
      <c r="C4483" s="41" t="str">
        <f aca="false">IFERROR(INDEX($K$4483:$K$4486,MATCH($O4483,$N$4483:$N$4486,0)),"")</f>
        <v/>
      </c>
      <c r="D4483" s="42" t="str">
        <f aca="false">IF(OR(E4483="",N(C4483)=0),"",E4483/C4483-1)</f>
        <v/>
      </c>
      <c r="E4483" s="41" t="str">
        <f aca="false">IFERROR(INDEX($L$4483:$L$4486,MATCH($O4483,$N$4483:$N$4486,0)),"")</f>
        <v/>
      </c>
      <c r="F4483" s="41" t="str">
        <f aca="false">IF(E4483="","",E4483-C4483)</f>
        <v/>
      </c>
      <c r="J4483" s="25" t="str">
        <f aca="false">Lib_Compta</f>
        <v>Mission comptable (tenue, révision, bilan, liasse fiscale)</v>
      </c>
      <c r="K4483" s="25" t="n">
        <f aca="false">IF($K$4456=0,0,N(INDEX(Clients!$K$2:$K$501,$K$4456)))</f>
        <v>0</v>
      </c>
      <c r="L4483" s="25" t="n">
        <f aca="false">IF($K$4456=0,0,N(INDEX(Clients!$P$2:$P$501,$K$4456)))</f>
        <v>0</v>
      </c>
      <c r="M4483" s="25" t="n">
        <f aca="false">IF(OR(K4483&lt;&gt;0,L4483&lt;&gt;0),1,0)</f>
        <v>0</v>
      </c>
      <c r="N4483" s="25" t="str">
        <f aca="false">IF(M4483=1,SUM($M$4483:M4483),"")</f>
        <v/>
      </c>
      <c r="O4483" s="25" t="n">
        <v>1</v>
      </c>
    </row>
    <row r="4484" customFormat="false" ht="16.5" hidden="false" customHeight="true" outlineLevel="0" collapsed="false">
      <c r="B4484" s="40" t="str">
        <f aca="false">IFERROR(INDEX($J$4483:$J$4486,MATCH($O4484,$N$4483:$N$4486,0)),"")</f>
        <v/>
      </c>
      <c r="C4484" s="41" t="str">
        <f aca="false">IFERROR(INDEX($K$4483:$K$4486,MATCH($O4484,$N$4483:$N$4486,0)),"")</f>
        <v/>
      </c>
      <c r="D4484" s="42" t="str">
        <f aca="false">IF(OR(E4484="",N(C4484)=0),"",E4484/C4484-1)</f>
        <v/>
      </c>
      <c r="E4484" s="41" t="str">
        <f aca="false">IFERROR(INDEX($L$4483:$L$4486,MATCH($O4484,$N$4483:$N$4486,0)),"")</f>
        <v/>
      </c>
      <c r="F4484" s="41" t="str">
        <f aca="false">IF(E4484="","",E4484-C4484)</f>
        <v/>
      </c>
      <c r="J4484" s="25" t="str">
        <f aca="false">Lib_Paye</f>
        <v>Mission sociale (bulletins de paie, DSN, déclarations sociales)</v>
      </c>
      <c r="K4484" s="25" t="n">
        <f aca="false">IF($K$4456=0,0,N(INDEX(Clients!$L$2:$L$501,$K$4456)))</f>
        <v>0</v>
      </c>
      <c r="L4484" s="25" t="n">
        <f aca="false">IF($K$4456=0,0,N(INDEX(Clients!$Q$2:$Q$501,$K$4456)))</f>
        <v>0</v>
      </c>
      <c r="M4484" s="25" t="n">
        <f aca="false">IF(OR(K4484&lt;&gt;0,L4484&lt;&gt;0),1,0)</f>
        <v>0</v>
      </c>
      <c r="N4484" s="25" t="str">
        <f aca="false">IF(M4484=1,SUM($M$4483:M4484),"")</f>
        <v/>
      </c>
      <c r="O4484" s="25" t="n">
        <v>2</v>
      </c>
    </row>
    <row r="4485" customFormat="false" ht="16.5" hidden="false" customHeight="true" outlineLevel="0" collapsed="false">
      <c r="B4485" s="40" t="str">
        <f aca="false">IFERROR(INDEX($J$4483:$J$4486,MATCH($O4485,$N$4483:$N$4486,0)),"")</f>
        <v/>
      </c>
      <c r="C4485" s="41" t="str">
        <f aca="false">IFERROR(INDEX($K$4483:$K$4486,MATCH($O4485,$N$4483:$N$4486,0)),"")</f>
        <v/>
      </c>
      <c r="D4485" s="42" t="str">
        <f aca="false">IF(OR(E4485="",N(C4485)=0),"",E4485/C4485-1)</f>
        <v/>
      </c>
      <c r="E4485" s="41" t="str">
        <f aca="false">IFERROR(INDEX($L$4483:$L$4486,MATCH($O4485,$N$4483:$N$4486,0)),"")</f>
        <v/>
      </c>
      <c r="F4485" s="41" t="str">
        <f aca="false">IF(E4485="","",E4485-C4485)</f>
        <v/>
      </c>
      <c r="J4485" s="25" t="str">
        <f aca="false">Lib_Jur</f>
        <v>Mission juridique (approbation des comptes, secrétariat juridique)</v>
      </c>
      <c r="K4485" s="25" t="n">
        <f aca="false">IF($K$4456=0,0,N(INDEX(Clients!$M$2:$M$501,$K$4456)))</f>
        <v>0</v>
      </c>
      <c r="L4485" s="25" t="n">
        <f aca="false">IF($K$4456=0,0,N(INDEX(Clients!$R$2:$R$501,$K$4456)))</f>
        <v>0</v>
      </c>
      <c r="M4485" s="25" t="n">
        <f aca="false">IF(OR(K4485&lt;&gt;0,L4485&lt;&gt;0),1,0)</f>
        <v>0</v>
      </c>
      <c r="N4485" s="25" t="str">
        <f aca="false">IF(M4485=1,SUM($M$4483:M4485),"")</f>
        <v/>
      </c>
      <c r="O4485" s="25" t="n">
        <v>3</v>
      </c>
    </row>
    <row r="4486" customFormat="false" ht="16.5" hidden="false" customHeight="true" outlineLevel="0" collapsed="false">
      <c r="B4486" s="40" t="str">
        <f aca="false">IFERROR(INDEX($J$4483:$J$4486,MATCH($O4486,$N$4483:$N$4486,0)),"")</f>
        <v/>
      </c>
      <c r="C4486" s="41" t="str">
        <f aca="false">IFERROR(INDEX($K$4483:$K$4486,MATCH($O4486,$N$4483:$N$4486,0)),"")</f>
        <v/>
      </c>
      <c r="D4486" s="42" t="str">
        <f aca="false">IF(OR(E4486="",N(C4486)=0),"",E4486/C4486-1)</f>
        <v/>
      </c>
      <c r="E4486" s="41" t="str">
        <f aca="false">IFERROR(INDEX($L$4483:$L$4486,MATCH($O4486,$N$4483:$N$4486,0)),"")</f>
        <v/>
      </c>
      <c r="F4486" s="41" t="str">
        <f aca="false">IF(E4486="","",E4486-C4486)</f>
        <v/>
      </c>
      <c r="J4486" s="25" t="str">
        <f aca="false">Lib_PA</f>
        <v>Plateforme agréée – facturation électronique</v>
      </c>
      <c r="K4486" s="25" t="n">
        <f aca="false">IF($K$4456=0,0,N(INDEX(Clients!$N$2:$N$501,$K$4456)))</f>
        <v>0</v>
      </c>
      <c r="L4486" s="25" t="n">
        <f aca="false">IF($K$4456=0,0,N(INDEX(Clients!$S$2:$S$501,$K$4456)))</f>
        <v>0</v>
      </c>
      <c r="M4486" s="25" t="n">
        <f aca="false">IF(OR(K4486&lt;&gt;0,L4486&lt;&gt;0),1,0)</f>
        <v>0</v>
      </c>
      <c r="N4486" s="25" t="str">
        <f aca="false">IF(M4486=1,SUM($M$4483:M4486),"")</f>
        <v/>
      </c>
      <c r="O4486" s="25" t="n">
        <v>4</v>
      </c>
    </row>
    <row r="4487" customFormat="false" ht="18" hidden="false" customHeight="true" outlineLevel="0" collapsed="false">
      <c r="B4487" s="43" t="s">
        <v>158</v>
      </c>
      <c r="C4487" s="44" t="n">
        <f aca="false">SUM(K4483:K4486)</f>
        <v>0</v>
      </c>
      <c r="D4487" s="45" t="str">
        <f aca="false">IF(N(C4487)=0,"",E4487/C4487-1)</f>
        <v/>
      </c>
      <c r="E4487" s="44" t="n">
        <f aca="false">SUM(L4483:L4486)</f>
        <v>0</v>
      </c>
      <c r="F4487" s="44" t="n">
        <f aca="false">E4487-C4487</f>
        <v>0</v>
      </c>
    </row>
    <row r="4488" customFormat="false" ht="15" hidden="false" customHeight="false" outlineLevel="0" collapsed="false">
      <c r="B4488" s="46" t="str">
        <f aca="false">IF(N(Nb_Mensualites)=0,"","Soit "&amp;FIXED(E4487/Nb_Mensualites,2)&amp;" € HT par échéance ("&amp;Nb_Mensualites&amp;" échéances), "&amp;FIXED(E4487/Nb_Mensualites*(1+Taux_TVA),2)&amp;" € TTC.")</f>
        <v>Soit 0.00 € HT par échéance (12 échéances), 0.00 € TTC.</v>
      </c>
      <c r="C4488" s="46"/>
      <c r="D4488" s="46"/>
      <c r="E4488" s="46"/>
      <c r="F4488" s="46"/>
    </row>
    <row r="4489" customFormat="false" ht="7.5" hidden="false" customHeight="true" outlineLevel="0" collapsed="false">
      <c r="B4489" s="10"/>
      <c r="C4489" s="10"/>
      <c r="D4489" s="10"/>
      <c r="E4489" s="10"/>
      <c r="F4489" s="10"/>
    </row>
    <row r="4490" customFormat="false" ht="36.75" hidden="false" customHeight="true" outlineLevel="0" collapsed="false">
      <c r="B4490" s="37" t="str">
        <f aca="false">SUBSTITUTE(SUBSTITUTE(SUBSTITUTE(SUBSTITUTE(SUBSTITUTE(Txt_P5,"{cabinet}",Cab_Nom),"{societe}",IF($K$4456=0,"",INDEX(Clients!$E$2:$E$501,$K$4456)&amp;"")),"{date_effet}",$K$4458),"{hausse}",$K$4459),"{civilite}",$K$4457)</f>
        <v>Les autres conditions de votre lettre de mission demeurent inchangées. Les nouveaux montants seront appliqués automatiquement sur vos prochaines factures et échéances de prélèvement.</v>
      </c>
      <c r="C4490" s="37"/>
      <c r="D4490" s="37"/>
      <c r="E4490" s="37"/>
      <c r="F4490" s="37"/>
    </row>
    <row r="4491" customFormat="false" ht="36.75" hidden="false" customHeight="true" outlineLevel="0" collapsed="false">
      <c r="B4491" s="37" t="str">
        <f aca="false">SUBSTITUTE(SUBSTITUTE(SUBSTITUTE(SUBSTITUTE(SUBSTITUTE(Txt_P6,"{cabinet}",Cab_Nom),"{societe}",IF($K$4456=0,"",INDEX(Clients!$E$2:$E$501,$K$4456)&amp;"")),"{date_effet}",$K$4458),"{hausse}",$K$4459),"{civilite}",$K$4457)</f>
        <v>Votre interlocuteur habituel reste à votre entière disposition pour répondre à vos questions et faire le point sur l'évolution de vos besoins.</v>
      </c>
      <c r="C4491" s="37"/>
      <c r="D4491" s="37"/>
      <c r="E4491" s="37"/>
      <c r="F4491" s="37"/>
    </row>
    <row r="4492" customFormat="false" ht="24" hidden="false" customHeight="true" outlineLevel="0" collapsed="false">
      <c r="B4492" s="37" t="str">
        <f aca="false">SUBSTITUTE(SUBSTITUTE(SUBSTITUTE(SUBSTITUTE(SUBSTITUTE(Txt_Politesse,"{cabinet}",Cab_Nom),"{societe}",IF($K$4456=0,"",INDEX(Clients!$E$2:$E$501,$K$4456)&amp;"")),"{date_effet}",$K$4458),"{hausse}",$K$4459),"{civilite}",$K$4457)</f>
        <v>Nous vous prions d'agréer, Madame, Monsieur, l'expression de nos salutations distinguées.</v>
      </c>
      <c r="C4492" s="37"/>
      <c r="D4492" s="37"/>
      <c r="E4492" s="37"/>
      <c r="F4492" s="37"/>
    </row>
    <row r="4493" customFormat="false" ht="15" hidden="false" customHeight="false" outlineLevel="0" collapsed="false">
      <c r="B4493" s="10"/>
      <c r="C4493" s="10"/>
      <c r="D4493" s="10"/>
      <c r="E4493" s="10"/>
      <c r="F4493" s="10"/>
    </row>
    <row r="4494" customFormat="false" ht="15" hidden="false" customHeight="false" outlineLevel="0" collapsed="false">
      <c r="B4494" s="10"/>
      <c r="C4494" s="10"/>
      <c r="D4494" s="34" t="str">
        <f aca="false">Signataire</f>
        <v>Prénom NOM</v>
      </c>
      <c r="E4494" s="34"/>
      <c r="F4494" s="34"/>
    </row>
    <row r="4495" customFormat="false" ht="15" hidden="false" customHeight="false" outlineLevel="0" collapsed="false">
      <c r="B4495" s="10"/>
      <c r="C4495" s="10"/>
      <c r="D4495" s="47" t="str">
        <f aca="false">Signataire_Titre</f>
        <v>Expert-comptable associé</v>
      </c>
      <c r="E4495" s="47"/>
      <c r="F4495" s="47"/>
    </row>
    <row r="4496" customFormat="false" ht="15.75" hidden="false" customHeight="true" outlineLevel="0" collapsed="false">
      <c r="B4496" s="10"/>
      <c r="C4496" s="10"/>
      <c r="D4496" s="10"/>
      <c r="E4496" s="10"/>
      <c r="F4496" s="10"/>
    </row>
    <row r="4497" customFormat="false" ht="15.75" hidden="false" customHeight="true" outlineLevel="0" collapsed="false">
      <c r="B4497" s="10"/>
      <c r="C4497" s="10"/>
      <c r="D4497" s="10"/>
      <c r="E4497" s="10"/>
      <c r="F4497" s="10"/>
    </row>
    <row r="4498" customFormat="false" ht="15.75" hidden="false" customHeight="true" outlineLevel="0" collapsed="false">
      <c r="B4498" s="10"/>
      <c r="C4498" s="10"/>
      <c r="D4498" s="10"/>
      <c r="E4498" s="10"/>
      <c r="F4498" s="10"/>
    </row>
    <row r="4499" customFormat="false" ht="15.75" hidden="false" customHeight="true" outlineLevel="0" collapsed="false">
      <c r="B4499" s="10"/>
      <c r="C4499" s="10"/>
      <c r="D4499" s="10"/>
      <c r="E4499" s="10"/>
      <c r="F4499" s="10"/>
    </row>
    <row r="4500" customFormat="false" ht="24" hidden="false" customHeight="true" outlineLevel="0" collapsed="false">
      <c r="B4500" s="48" t="str">
        <f aca="false">Cab_Mentions</f>
        <v>ALTHO EXPERTISE · SAS au capital de 10 000 € · RCS Pontoise 919 706 325 · TVA FR62919706325 · Société d'expertise comptable inscrite au Tableau de l'Ordre des experts-comptables de Paris Île-de-France</v>
      </c>
      <c r="C4500" s="48"/>
      <c r="D4500" s="48"/>
      <c r="E4500" s="48"/>
      <c r="F4500" s="48"/>
    </row>
    <row r="4501" customFormat="false" ht="15" hidden="false" customHeight="false" outlineLevel="0" collapsed="false">
      <c r="B4501" s="10"/>
      <c r="C4501" s="10"/>
      <c r="D4501" s="10"/>
      <c r="E4501" s="10"/>
      <c r="F4501" s="10"/>
      <c r="J4501" s="25" t="s">
        <v>142</v>
      </c>
      <c r="K4501" s="25" t="n">
        <f aca="false">IFERROR(MATCH(101,Clients!$Z$2:$Z$501,0),0)</f>
        <v>0</v>
      </c>
      <c r="L4501" s="25"/>
      <c r="M4501" s="25"/>
      <c r="N4501" s="25"/>
      <c r="O4501" s="25"/>
    </row>
    <row r="4502" customFormat="false" ht="21.75" hidden="false" customHeight="true" outlineLevel="0" collapsed="false">
      <c r="B4502" s="26" t="str">
        <f aca="false">Cab_Nom</f>
        <v>ALTHO EXPERTISE</v>
      </c>
      <c r="C4502" s="26"/>
      <c r="D4502" s="10"/>
      <c r="E4502" s="27" t="str">
        <f aca="false">IF($K$4501=0,"","Réf. client : "&amp;INDEX(Clients!$A$2:$A$501,$K$4501))</f>
        <v/>
      </c>
      <c r="F4502" s="27"/>
      <c r="J4502" s="25" t="s">
        <v>144</v>
      </c>
      <c r="K4502" s="25" t="str">
        <f aca="false">IF(IF($K$4501=0,"",INDEX(Clients!$B$2:$B$501,$K$4501)&amp;"")="Mme","Madame",IF(IF($K$4501=0,"",INDEX(Clients!$B$2:$B$501,$K$4501)&amp;"")="M.","Monsieur","Madame, Monsieur"))</f>
        <v>Madame, Monsieur</v>
      </c>
      <c r="L4502" s="25"/>
      <c r="M4502" s="25"/>
      <c r="N4502" s="25"/>
      <c r="O4502" s="25"/>
    </row>
    <row r="4503" customFormat="false" ht="15" hidden="false" customHeight="false" outlineLevel="0" collapsed="false">
      <c r="B4503" s="29" t="str">
        <f aca="false">Cab_Adr1</f>
        <v>141 rue Charles de Gaulle</v>
      </c>
      <c r="C4503" s="29"/>
      <c r="D4503" s="10"/>
      <c r="E4503" s="10"/>
      <c r="F4503" s="10"/>
      <c r="J4503" s="25" t="s">
        <v>145</v>
      </c>
      <c r="K4503" s="25" t="str">
        <f aca="false">DAY(Date_Effet)&amp;IF(DAY(Date_Effet)=1,"er","")&amp;" "&amp;INDEX(Liste_Mois,MONTH(Date_Effet))&amp;" "&amp;YEAR(Date_Effet)</f>
        <v>1er janvier 2027</v>
      </c>
      <c r="L4503" s="25"/>
      <c r="M4503" s="25"/>
      <c r="N4503" s="25"/>
      <c r="O4503" s="25"/>
    </row>
    <row r="4504" customFormat="false" ht="15" hidden="false" customHeight="false" outlineLevel="0" collapsed="false">
      <c r="B4504" s="29" t="str">
        <f aca="false">Cab_CPVille</f>
        <v>95130 LE PLESSIS-BOUCHARD</v>
      </c>
      <c r="C4504" s="29"/>
      <c r="D4504" s="10"/>
      <c r="E4504" s="10"/>
      <c r="F4504" s="10"/>
      <c r="J4504" s="25" t="s">
        <v>146</v>
      </c>
      <c r="K4504" s="25" t="str">
        <f aca="false">IF(SUM($K$4528:$K$4531)=0,"",FIXED((SUM($L$4528:$L$4531)/SUM($K$4528:$K$4531)-1)*100,1)&amp;" %")</f>
        <v/>
      </c>
      <c r="L4504" s="25"/>
      <c r="M4504" s="25"/>
      <c r="N4504" s="25"/>
      <c r="O4504" s="25"/>
    </row>
    <row r="4505" customFormat="false" ht="15" hidden="false" customHeight="false" outlineLevel="0" collapsed="false">
      <c r="B4505" s="29" t="str">
        <f aca="false">Cab_Contact</f>
        <v>Tél. 01 34 14 53 45  ·  altho@altho-experts.com  ·  altho-experts.com</v>
      </c>
      <c r="C4505" s="29"/>
      <c r="D4505" s="10"/>
      <c r="E4505" s="10"/>
      <c r="F4505" s="10"/>
      <c r="J4505" s="25"/>
      <c r="K4505" s="25"/>
      <c r="L4505" s="25"/>
      <c r="M4505" s="25"/>
      <c r="N4505" s="25"/>
      <c r="O4505" s="25"/>
    </row>
    <row r="4506" customFormat="false" ht="6" hidden="false" customHeight="true" outlineLevel="0" collapsed="false">
      <c r="B4506" s="32"/>
      <c r="C4506" s="32"/>
      <c r="D4506" s="32"/>
      <c r="E4506" s="32"/>
      <c r="F4506" s="32"/>
      <c r="J4506" s="25"/>
      <c r="K4506" s="25"/>
      <c r="L4506" s="25"/>
      <c r="M4506" s="25"/>
      <c r="N4506" s="25"/>
      <c r="O4506" s="25"/>
    </row>
    <row r="4507" customFormat="false" ht="13.5" hidden="false" customHeight="true" outlineLevel="0" collapsed="false">
      <c r="B4507" s="10"/>
      <c r="C4507" s="10"/>
      <c r="D4507" s="10"/>
      <c r="E4507" s="10"/>
      <c r="F4507" s="10"/>
      <c r="J4507" s="25"/>
      <c r="K4507" s="25"/>
      <c r="L4507" s="25"/>
      <c r="M4507" s="25"/>
      <c r="N4507" s="25"/>
      <c r="O4507" s="25"/>
    </row>
    <row r="4508" customFormat="false" ht="13.5" hidden="false" customHeight="true" outlineLevel="0" collapsed="false">
      <c r="B4508" s="10"/>
      <c r="C4508" s="10"/>
      <c r="D4508" s="10"/>
      <c r="E4508" s="10"/>
      <c r="F4508" s="10"/>
      <c r="J4508" s="25"/>
      <c r="K4508" s="25"/>
      <c r="L4508" s="25"/>
      <c r="M4508" s="25"/>
      <c r="N4508" s="25"/>
      <c r="O4508" s="25"/>
    </row>
    <row r="4509" customFormat="false" ht="13.5" hidden="false" customHeight="true" outlineLevel="0" collapsed="false">
      <c r="B4509" s="10"/>
      <c r="C4509" s="10"/>
      <c r="D4509" s="10"/>
      <c r="E4509" s="10"/>
      <c r="F4509" s="10"/>
      <c r="J4509" s="25"/>
      <c r="K4509" s="25"/>
      <c r="L4509" s="25"/>
      <c r="M4509" s="25"/>
      <c r="N4509" s="25"/>
      <c r="O4509" s="25"/>
    </row>
    <row r="4510" customFormat="false" ht="15" hidden="false" customHeight="true" outlineLevel="0" collapsed="false">
      <c r="B4510" s="10"/>
      <c r="C4510" s="10"/>
      <c r="D4510" s="34" t="str">
        <f aca="false">IF($K$4501=0,"",INDEX(Clients!$E$2:$E$501,$K$4501)&amp;"")</f>
        <v/>
      </c>
      <c r="E4510" s="34"/>
      <c r="F4510" s="34"/>
      <c r="J4510" s="25"/>
      <c r="K4510" s="25"/>
      <c r="L4510" s="25"/>
      <c r="M4510" s="25"/>
      <c r="N4510" s="25"/>
      <c r="O4510" s="25"/>
    </row>
    <row r="4511" customFormat="false" ht="15" hidden="false" customHeight="true" outlineLevel="0" collapsed="false">
      <c r="B4511" s="10"/>
      <c r="C4511" s="10"/>
      <c r="D4511" s="35" t="str">
        <f aca="false">IF(IF($K$4501=0,"",INDEX(Clients!$D$2:$D$501,$K$4501)&amp;"")="","","À l'attention de "&amp;TRIM(IF($K$4501=0,"",INDEX(Clients!$B$2:$B$501,$K$4501)&amp;"")&amp;" "&amp;IF($K$4501=0,"",INDEX(Clients!$C$2:$C$501,$K$4501)&amp;"")&amp;" "&amp;IF($K$4501=0,"",INDEX(Clients!$D$2:$D$501,$K$4501)&amp;"")))</f>
        <v/>
      </c>
      <c r="E4511" s="35"/>
      <c r="F4511" s="35"/>
      <c r="J4511" s="25"/>
      <c r="K4511" s="25"/>
      <c r="L4511" s="25"/>
      <c r="M4511" s="25"/>
      <c r="N4511" s="25"/>
      <c r="O4511" s="25"/>
    </row>
    <row r="4512" customFormat="false" ht="15" hidden="false" customHeight="true" outlineLevel="0" collapsed="false">
      <c r="B4512" s="10"/>
      <c r="C4512" s="10"/>
      <c r="D4512" s="35" t="str">
        <f aca="false">IF($K$4501=0,"",INDEX(Clients!$F$2:$F$501,$K$4501)&amp;"")</f>
        <v/>
      </c>
      <c r="E4512" s="35"/>
      <c r="F4512" s="35"/>
      <c r="J4512" s="25"/>
      <c r="K4512" s="25"/>
      <c r="L4512" s="25"/>
      <c r="M4512" s="25"/>
      <c r="N4512" s="25"/>
      <c r="O4512" s="25"/>
    </row>
    <row r="4513" customFormat="false" ht="15" hidden="false" customHeight="true" outlineLevel="0" collapsed="false">
      <c r="B4513" s="10"/>
      <c r="C4513" s="10"/>
      <c r="D4513" s="35" t="str">
        <f aca="false">IF(IF($K$4501=0,"",INDEX(Clients!$G$2:$G$501,$K$4501)&amp;"")="",TRIM(IF($K$4501=0,"",INDEX(Clients!$H$2:$H$501,$K$4501)&amp;"")&amp;" "&amp;UPPER(IF($K$4501=0,"",INDEX(Clients!$I$2:$I$501,$K$4501)&amp;""))),IF($K$4501=0,"",INDEX(Clients!$G$2:$G$501,$K$4501)&amp;""))</f>
        <v/>
      </c>
      <c r="E4513" s="35"/>
      <c r="F4513" s="35"/>
      <c r="J4513" s="25"/>
      <c r="K4513" s="25"/>
      <c r="L4513" s="25"/>
      <c r="M4513" s="25"/>
      <c r="N4513" s="25"/>
      <c r="O4513" s="25"/>
    </row>
    <row r="4514" customFormat="false" ht="15" hidden="false" customHeight="true" outlineLevel="0" collapsed="false">
      <c r="B4514" s="10"/>
      <c r="C4514" s="10"/>
      <c r="D4514" s="35" t="str">
        <f aca="false">IF(IF($K$4501=0,"",INDEX(Clients!$G$2:$G$501,$K$4501)&amp;"")="","",TRIM(IF($K$4501=0,"",INDEX(Clients!$H$2:$H$501,$K$4501)&amp;"")&amp;" "&amp;UPPER(IF($K$4501=0,"",INDEX(Clients!$I$2:$I$501,$K$4501)&amp;""))))</f>
        <v/>
      </c>
      <c r="E4514" s="35"/>
      <c r="F4514" s="35"/>
      <c r="J4514" s="25"/>
      <c r="K4514" s="25"/>
      <c r="L4514" s="25"/>
      <c r="M4514" s="25"/>
      <c r="N4514" s="25"/>
      <c r="O4514" s="25"/>
    </row>
    <row r="4515" customFormat="false" ht="25.5" hidden="false" customHeight="true" outlineLevel="0" collapsed="false">
      <c r="B4515" s="10"/>
      <c r="C4515" s="10"/>
      <c r="D4515" s="10"/>
      <c r="E4515" s="10"/>
      <c r="F4515" s="10"/>
      <c r="J4515" s="25"/>
      <c r="K4515" s="25"/>
      <c r="L4515" s="25"/>
      <c r="M4515" s="25"/>
      <c r="N4515" s="25"/>
      <c r="O4515" s="25"/>
    </row>
    <row r="4516" customFormat="false" ht="15" hidden="false" customHeight="false" outlineLevel="0" collapsed="false">
      <c r="B4516" s="10"/>
      <c r="C4516" s="10"/>
      <c r="D4516" s="36" t="str">
        <f aca="false">Cab_Ville&amp;", le "&amp;DAY(Date_Courrier)&amp;IF(DAY(Date_Courrier)=1,"er","")&amp;" "&amp;INDEX(Liste_Mois,MONTH(Date_Courrier))&amp;" "&amp;YEAR(Date_Courrier)</f>
        <v>Le Plessis-Bouchard, le 22 septembre 2026</v>
      </c>
      <c r="E4516" s="36"/>
      <c r="F4516" s="36"/>
      <c r="J4516" s="25"/>
      <c r="K4516" s="25"/>
      <c r="L4516" s="25"/>
      <c r="M4516" s="25"/>
      <c r="N4516" s="25"/>
      <c r="O4516" s="25"/>
    </row>
    <row r="4517" customFormat="false" ht="19.5" hidden="false" customHeight="true" outlineLevel="0" collapsed="false">
      <c r="B4517" s="10"/>
      <c r="C4517" s="10"/>
      <c r="D4517" s="10"/>
      <c r="E4517" s="10"/>
      <c r="F4517" s="10"/>
      <c r="J4517" s="25"/>
      <c r="K4517" s="25"/>
      <c r="L4517" s="25"/>
      <c r="M4517" s="25"/>
      <c r="N4517" s="25"/>
      <c r="O4517" s="25"/>
    </row>
    <row r="4518" customFormat="false" ht="15" hidden="false" customHeight="false" outlineLevel="0" collapsed="false">
      <c r="B4518" s="34" t="str">
        <f aca="false">SUBSTITUTE(SUBSTITUTE(SUBSTITUTE(SUBSTITUTE(SUBSTITUTE(Txt_Objet,"{cabinet}",Cab_Nom),"{societe}",IF($K$4501=0,"",INDEX(Clients!$E$2:$E$501,$K$4501)&amp;"")),"{date_effet}",$K$4503),"{hausse}",$K$4504),"{civilite}",$K$4502)</f>
        <v>Objet : révision de nos honoraires au 1er janvier 2027</v>
      </c>
      <c r="C4518" s="34"/>
      <c r="D4518" s="34"/>
      <c r="E4518" s="34"/>
      <c r="F4518" s="34"/>
      <c r="J4518" s="25"/>
      <c r="K4518" s="25"/>
      <c r="L4518" s="25"/>
      <c r="M4518" s="25"/>
      <c r="N4518" s="25"/>
      <c r="O4518" s="25"/>
    </row>
    <row r="4519" customFormat="false" ht="13.5" hidden="false" customHeight="true" outlineLevel="0" collapsed="false">
      <c r="B4519" s="10"/>
      <c r="C4519" s="10"/>
      <c r="D4519" s="10"/>
      <c r="E4519" s="10"/>
      <c r="F4519" s="10"/>
      <c r="J4519" s="25"/>
      <c r="K4519" s="25"/>
      <c r="L4519" s="25"/>
      <c r="M4519" s="25"/>
      <c r="N4519" s="25"/>
      <c r="O4519" s="25"/>
    </row>
    <row r="4520" customFormat="false" ht="15" hidden="false" customHeight="false" outlineLevel="0" collapsed="false">
      <c r="B4520" s="10" t="str">
        <f aca="false">$K$4502&amp;","</f>
        <v>Madame, Monsieur,</v>
      </c>
      <c r="C4520" s="10"/>
      <c r="D4520" s="10"/>
      <c r="E4520" s="10"/>
      <c r="F4520" s="10"/>
      <c r="J4520" s="25"/>
      <c r="K4520" s="25"/>
      <c r="L4520" s="25"/>
      <c r="M4520" s="25"/>
      <c r="N4520" s="25"/>
      <c r="O4520" s="25"/>
    </row>
    <row r="4521" customFormat="false" ht="6" hidden="false" customHeight="true" outlineLevel="0" collapsed="false">
      <c r="B4521" s="10"/>
      <c r="C4521" s="10"/>
      <c r="D4521" s="10"/>
      <c r="E4521" s="10"/>
      <c r="F4521" s="10"/>
      <c r="J4521" s="25"/>
      <c r="K4521" s="25"/>
      <c r="L4521" s="25"/>
      <c r="M4521" s="25"/>
      <c r="N4521" s="25"/>
      <c r="O4521" s="25"/>
    </row>
    <row r="4522" customFormat="false" ht="36.75" hidden="false" customHeight="true" outlineLevel="0" collapsed="false">
      <c r="B4522" s="37" t="str">
        <f aca="false">SUBSTITUTE(SUBSTITUTE(SUBSTITUTE(SUBSTITUTE(SUBSTITUTE(Txt_P1,"{cabinet}",Cab_Nom),"{societe}",IF($K$4501=0,"",INDEX(Clients!$E$2:$E$501,$K$4501)&amp;"")),"{date_effet}",$K$4503),"{hausse}",$K$4504),"{civilite}",$K$4502)</f>
        <v>Nous tenons tout d'abord à vous remercier pour la confiance que vous accordez à ALTHO EXPERTISE. Comme chaque année, et conformément aux dispositions de votre lettre de mission, nous procédons à la révision de nos honoraires.</v>
      </c>
      <c r="C4522" s="37"/>
      <c r="D4522" s="37"/>
      <c r="E4522" s="37"/>
      <c r="F4522" s="37"/>
      <c r="J4522" s="25"/>
      <c r="K4522" s="25"/>
      <c r="L4522" s="25"/>
      <c r="M4522" s="25"/>
      <c r="N4522" s="25"/>
      <c r="O4522" s="25"/>
    </row>
    <row r="4523" customFormat="false" ht="49.5" hidden="false" customHeight="true" outlineLevel="0" collapsed="false">
      <c r="B4523" s="37" t="str">
        <f aca="false">SUBSTITUTE(SUBSTITUTE(SUBSTITUTE(SUBSTITUTE(SUBSTITUTE(Txt_P2,"{cabinet}",Cab_Nom),"{societe}",IF($K$4501=0,"",INDEX(Clients!$E$2:$E$501,$K$4501)&amp;"")),"{date_effet}",$K$4503),"{hausse}",$K$4504),"{civilite}",$K$4502)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523" s="37"/>
      <c r="D4523" s="37"/>
      <c r="E4523" s="37"/>
      <c r="F4523" s="37"/>
      <c r="J4523" s="25"/>
      <c r="K4523" s="25"/>
      <c r="L4523" s="25"/>
      <c r="M4523" s="25"/>
      <c r="N4523" s="25"/>
      <c r="O4523" s="25"/>
    </row>
    <row r="4524" customFormat="false" ht="63" hidden="false" customHeight="true" outlineLevel="0" collapsed="false">
      <c r="B4524" s="37" t="str">
        <f aca="false">SUBSTITUTE(SUBSTITUTE(SUBSTITUTE(SUBSTITUTE(SUBSTITUTE(Txt_P3,"{cabinet}",Cab_Nom),"{societe}",IF($K$4501=0,"",INDEX(Clients!$E$2:$E$501,$K$4501)&amp;"")),"{date_effet}",$K$4503),"{hausse}",$K$4504),"{civilite}",$K$4502)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524" s="37"/>
      <c r="D4524" s="37"/>
      <c r="E4524" s="37"/>
      <c r="F4524" s="37"/>
      <c r="J4524" s="25"/>
      <c r="K4524" s="25"/>
      <c r="L4524" s="25"/>
      <c r="M4524" s="25"/>
      <c r="N4524" s="25"/>
      <c r="O4524" s="25"/>
    </row>
    <row r="4525" customFormat="false" ht="24" hidden="false" customHeight="true" outlineLevel="0" collapsed="false">
      <c r="B4525" s="37" t="str">
        <f aca="false">SUBSTITUTE(SUBSTITUTE(SUBSTITUTE(SUBSTITUTE(SUBSTITUTE(Txt_P4,"{cabinet}",Cab_Nom),"{societe}",IF($K$4501=0,"",INDEX(Clients!$E$2:$E$501,$K$4501)&amp;"")),"{date_effet}",$K$4503),"{hausse}",$K$4504),"{civilite}",$K$4502)</f>
        <v>À compter du 1er janvier 2027, vos honoraires annuels hors taxes évolueront ainsi (évolution globale : ) :</v>
      </c>
      <c r="C4525" s="37"/>
      <c r="D4525" s="37"/>
      <c r="E4525" s="37"/>
      <c r="F4525" s="37"/>
      <c r="J4525" s="25"/>
      <c r="K4525" s="25"/>
      <c r="L4525" s="25"/>
      <c r="M4525" s="25"/>
      <c r="N4525" s="25"/>
      <c r="O4525" s="25"/>
    </row>
    <row r="4526" customFormat="false" ht="3.75" hidden="false" customHeight="true" outlineLevel="0" collapsed="false">
      <c r="B4526" s="10"/>
      <c r="C4526" s="10"/>
      <c r="D4526" s="10"/>
      <c r="E4526" s="10"/>
      <c r="F4526" s="10"/>
      <c r="J4526" s="25"/>
      <c r="K4526" s="25"/>
      <c r="L4526" s="25"/>
      <c r="M4526" s="25"/>
      <c r="N4526" s="25"/>
      <c r="O4526" s="25"/>
    </row>
    <row r="4527" customFormat="false" ht="18" hidden="false" customHeight="true" outlineLevel="0" collapsed="false">
      <c r="B4527" s="38" t="s">
        <v>148</v>
      </c>
      <c r="C4527" s="39" t="s">
        <v>149</v>
      </c>
      <c r="D4527" s="39" t="s">
        <v>150</v>
      </c>
      <c r="E4527" s="39" t="s">
        <v>151</v>
      </c>
      <c r="F4527" s="39" t="s">
        <v>109</v>
      </c>
      <c r="J4527" s="25" t="s">
        <v>152</v>
      </c>
      <c r="K4527" s="25" t="s">
        <v>153</v>
      </c>
      <c r="L4527" s="25" t="s">
        <v>154</v>
      </c>
      <c r="M4527" s="25" t="s">
        <v>155</v>
      </c>
      <c r="N4527" s="25" t="s">
        <v>156</v>
      </c>
      <c r="O4527" s="25" t="s">
        <v>157</v>
      </c>
    </row>
    <row r="4528" customFormat="false" ht="16.5" hidden="false" customHeight="true" outlineLevel="0" collapsed="false">
      <c r="B4528" s="40" t="str">
        <f aca="false">IFERROR(INDEX($J$4528:$J$4531,MATCH($O4528,$N$4528:$N$4531,0)),"")</f>
        <v/>
      </c>
      <c r="C4528" s="41" t="str">
        <f aca="false">IFERROR(INDEX($K$4528:$K$4531,MATCH($O4528,$N$4528:$N$4531,0)),"")</f>
        <v/>
      </c>
      <c r="D4528" s="42" t="str">
        <f aca="false">IF(OR(E4528="",N(C4528)=0),"",E4528/C4528-1)</f>
        <v/>
      </c>
      <c r="E4528" s="41" t="str">
        <f aca="false">IFERROR(INDEX($L$4528:$L$4531,MATCH($O4528,$N$4528:$N$4531,0)),"")</f>
        <v/>
      </c>
      <c r="F4528" s="41" t="str">
        <f aca="false">IF(E4528="","",E4528-C4528)</f>
        <v/>
      </c>
      <c r="J4528" s="25" t="str">
        <f aca="false">Lib_Compta</f>
        <v>Mission comptable (tenue, révision, bilan, liasse fiscale)</v>
      </c>
      <c r="K4528" s="25" t="n">
        <f aca="false">IF($K$4501=0,0,N(INDEX(Clients!$K$2:$K$501,$K$4501)))</f>
        <v>0</v>
      </c>
      <c r="L4528" s="25" t="n">
        <f aca="false">IF($K$4501=0,0,N(INDEX(Clients!$P$2:$P$501,$K$4501)))</f>
        <v>0</v>
      </c>
      <c r="M4528" s="25" t="n">
        <f aca="false">IF(OR(K4528&lt;&gt;0,L4528&lt;&gt;0),1,0)</f>
        <v>0</v>
      </c>
      <c r="N4528" s="25" t="str">
        <f aca="false">IF(M4528=1,SUM($M$4528:M4528),"")</f>
        <v/>
      </c>
      <c r="O4528" s="25" t="n">
        <v>1</v>
      </c>
    </row>
    <row r="4529" customFormat="false" ht="16.5" hidden="false" customHeight="true" outlineLevel="0" collapsed="false">
      <c r="B4529" s="40" t="str">
        <f aca="false">IFERROR(INDEX($J$4528:$J$4531,MATCH($O4529,$N$4528:$N$4531,0)),"")</f>
        <v/>
      </c>
      <c r="C4529" s="41" t="str">
        <f aca="false">IFERROR(INDEX($K$4528:$K$4531,MATCH($O4529,$N$4528:$N$4531,0)),"")</f>
        <v/>
      </c>
      <c r="D4529" s="42" t="str">
        <f aca="false">IF(OR(E4529="",N(C4529)=0),"",E4529/C4529-1)</f>
        <v/>
      </c>
      <c r="E4529" s="41" t="str">
        <f aca="false">IFERROR(INDEX($L$4528:$L$4531,MATCH($O4529,$N$4528:$N$4531,0)),"")</f>
        <v/>
      </c>
      <c r="F4529" s="41" t="str">
        <f aca="false">IF(E4529="","",E4529-C4529)</f>
        <v/>
      </c>
      <c r="J4529" s="25" t="str">
        <f aca="false">Lib_Paye</f>
        <v>Mission sociale (bulletins de paie, DSN, déclarations sociales)</v>
      </c>
      <c r="K4529" s="25" t="n">
        <f aca="false">IF($K$4501=0,0,N(INDEX(Clients!$L$2:$L$501,$K$4501)))</f>
        <v>0</v>
      </c>
      <c r="L4529" s="25" t="n">
        <f aca="false">IF($K$4501=0,0,N(INDEX(Clients!$Q$2:$Q$501,$K$4501)))</f>
        <v>0</v>
      </c>
      <c r="M4529" s="25" t="n">
        <f aca="false">IF(OR(K4529&lt;&gt;0,L4529&lt;&gt;0),1,0)</f>
        <v>0</v>
      </c>
      <c r="N4529" s="25" t="str">
        <f aca="false">IF(M4529=1,SUM($M$4528:M4529),"")</f>
        <v/>
      </c>
      <c r="O4529" s="25" t="n">
        <v>2</v>
      </c>
    </row>
    <row r="4530" customFormat="false" ht="16.5" hidden="false" customHeight="true" outlineLevel="0" collapsed="false">
      <c r="B4530" s="40" t="str">
        <f aca="false">IFERROR(INDEX($J$4528:$J$4531,MATCH($O4530,$N$4528:$N$4531,0)),"")</f>
        <v/>
      </c>
      <c r="C4530" s="41" t="str">
        <f aca="false">IFERROR(INDEX($K$4528:$K$4531,MATCH($O4530,$N$4528:$N$4531,0)),"")</f>
        <v/>
      </c>
      <c r="D4530" s="42" t="str">
        <f aca="false">IF(OR(E4530="",N(C4530)=0),"",E4530/C4530-1)</f>
        <v/>
      </c>
      <c r="E4530" s="41" t="str">
        <f aca="false">IFERROR(INDEX($L$4528:$L$4531,MATCH($O4530,$N$4528:$N$4531,0)),"")</f>
        <v/>
      </c>
      <c r="F4530" s="41" t="str">
        <f aca="false">IF(E4530="","",E4530-C4530)</f>
        <v/>
      </c>
      <c r="J4530" s="25" t="str">
        <f aca="false">Lib_Jur</f>
        <v>Mission juridique (approbation des comptes, secrétariat juridique)</v>
      </c>
      <c r="K4530" s="25" t="n">
        <f aca="false">IF($K$4501=0,0,N(INDEX(Clients!$M$2:$M$501,$K$4501)))</f>
        <v>0</v>
      </c>
      <c r="L4530" s="25" t="n">
        <f aca="false">IF($K$4501=0,0,N(INDEX(Clients!$R$2:$R$501,$K$4501)))</f>
        <v>0</v>
      </c>
      <c r="M4530" s="25" t="n">
        <f aca="false">IF(OR(K4530&lt;&gt;0,L4530&lt;&gt;0),1,0)</f>
        <v>0</v>
      </c>
      <c r="N4530" s="25" t="str">
        <f aca="false">IF(M4530=1,SUM($M$4528:M4530),"")</f>
        <v/>
      </c>
      <c r="O4530" s="25" t="n">
        <v>3</v>
      </c>
    </row>
    <row r="4531" customFormat="false" ht="16.5" hidden="false" customHeight="true" outlineLevel="0" collapsed="false">
      <c r="B4531" s="40" t="str">
        <f aca="false">IFERROR(INDEX($J$4528:$J$4531,MATCH($O4531,$N$4528:$N$4531,0)),"")</f>
        <v/>
      </c>
      <c r="C4531" s="41" t="str">
        <f aca="false">IFERROR(INDEX($K$4528:$K$4531,MATCH($O4531,$N$4528:$N$4531,0)),"")</f>
        <v/>
      </c>
      <c r="D4531" s="42" t="str">
        <f aca="false">IF(OR(E4531="",N(C4531)=0),"",E4531/C4531-1)</f>
        <v/>
      </c>
      <c r="E4531" s="41" t="str">
        <f aca="false">IFERROR(INDEX($L$4528:$L$4531,MATCH($O4531,$N$4528:$N$4531,0)),"")</f>
        <v/>
      </c>
      <c r="F4531" s="41" t="str">
        <f aca="false">IF(E4531="","",E4531-C4531)</f>
        <v/>
      </c>
      <c r="J4531" s="25" t="str">
        <f aca="false">Lib_PA</f>
        <v>Plateforme agréée – facturation électronique</v>
      </c>
      <c r="K4531" s="25" t="n">
        <f aca="false">IF($K$4501=0,0,N(INDEX(Clients!$N$2:$N$501,$K$4501)))</f>
        <v>0</v>
      </c>
      <c r="L4531" s="25" t="n">
        <f aca="false">IF($K$4501=0,0,N(INDEX(Clients!$S$2:$S$501,$K$4501)))</f>
        <v>0</v>
      </c>
      <c r="M4531" s="25" t="n">
        <f aca="false">IF(OR(K4531&lt;&gt;0,L4531&lt;&gt;0),1,0)</f>
        <v>0</v>
      </c>
      <c r="N4531" s="25" t="str">
        <f aca="false">IF(M4531=1,SUM($M$4528:M4531),"")</f>
        <v/>
      </c>
      <c r="O4531" s="25" t="n">
        <v>4</v>
      </c>
    </row>
    <row r="4532" customFormat="false" ht="18" hidden="false" customHeight="true" outlineLevel="0" collapsed="false">
      <c r="B4532" s="43" t="s">
        <v>158</v>
      </c>
      <c r="C4532" s="44" t="n">
        <f aca="false">SUM(K4528:K4531)</f>
        <v>0</v>
      </c>
      <c r="D4532" s="45" t="str">
        <f aca="false">IF(N(C4532)=0,"",E4532/C4532-1)</f>
        <v/>
      </c>
      <c r="E4532" s="44" t="n">
        <f aca="false">SUM(L4528:L4531)</f>
        <v>0</v>
      </c>
      <c r="F4532" s="44" t="n">
        <f aca="false">E4532-C4532</f>
        <v>0</v>
      </c>
    </row>
    <row r="4533" customFormat="false" ht="15" hidden="false" customHeight="false" outlineLevel="0" collapsed="false">
      <c r="B4533" s="46" t="str">
        <f aca="false">IF(N(Nb_Mensualites)=0,"","Soit "&amp;FIXED(E4532/Nb_Mensualites,2)&amp;" € HT par échéance ("&amp;Nb_Mensualites&amp;" échéances), "&amp;FIXED(E4532/Nb_Mensualites*(1+Taux_TVA),2)&amp;" € TTC.")</f>
        <v>Soit 0.00 € HT par échéance (12 échéances), 0.00 € TTC.</v>
      </c>
      <c r="C4533" s="46"/>
      <c r="D4533" s="46"/>
      <c r="E4533" s="46"/>
      <c r="F4533" s="46"/>
    </row>
    <row r="4534" customFormat="false" ht="7.5" hidden="false" customHeight="true" outlineLevel="0" collapsed="false">
      <c r="B4534" s="10"/>
      <c r="C4534" s="10"/>
      <c r="D4534" s="10"/>
      <c r="E4534" s="10"/>
      <c r="F4534" s="10"/>
    </row>
    <row r="4535" customFormat="false" ht="36.75" hidden="false" customHeight="true" outlineLevel="0" collapsed="false">
      <c r="B4535" s="37" t="str">
        <f aca="false">SUBSTITUTE(SUBSTITUTE(SUBSTITUTE(SUBSTITUTE(SUBSTITUTE(Txt_P5,"{cabinet}",Cab_Nom),"{societe}",IF($K$4501=0,"",INDEX(Clients!$E$2:$E$501,$K$4501)&amp;"")),"{date_effet}",$K$4503),"{hausse}",$K$4504),"{civilite}",$K$4502)</f>
        <v>Les autres conditions de votre lettre de mission demeurent inchangées. Les nouveaux montants seront appliqués automatiquement sur vos prochaines factures et échéances de prélèvement.</v>
      </c>
      <c r="C4535" s="37"/>
      <c r="D4535" s="37"/>
      <c r="E4535" s="37"/>
      <c r="F4535" s="37"/>
    </row>
    <row r="4536" customFormat="false" ht="36.75" hidden="false" customHeight="true" outlineLevel="0" collapsed="false">
      <c r="B4536" s="37" t="str">
        <f aca="false">SUBSTITUTE(SUBSTITUTE(SUBSTITUTE(SUBSTITUTE(SUBSTITUTE(Txt_P6,"{cabinet}",Cab_Nom),"{societe}",IF($K$4501=0,"",INDEX(Clients!$E$2:$E$501,$K$4501)&amp;"")),"{date_effet}",$K$4503),"{hausse}",$K$4504),"{civilite}",$K$4502)</f>
        <v>Votre interlocuteur habituel reste à votre entière disposition pour répondre à vos questions et faire le point sur l'évolution de vos besoins.</v>
      </c>
      <c r="C4536" s="37"/>
      <c r="D4536" s="37"/>
      <c r="E4536" s="37"/>
      <c r="F4536" s="37"/>
    </row>
    <row r="4537" customFormat="false" ht="24" hidden="false" customHeight="true" outlineLevel="0" collapsed="false">
      <c r="B4537" s="37" t="str">
        <f aca="false">SUBSTITUTE(SUBSTITUTE(SUBSTITUTE(SUBSTITUTE(SUBSTITUTE(Txt_Politesse,"{cabinet}",Cab_Nom),"{societe}",IF($K$4501=0,"",INDEX(Clients!$E$2:$E$501,$K$4501)&amp;"")),"{date_effet}",$K$4503),"{hausse}",$K$4504),"{civilite}",$K$4502)</f>
        <v>Nous vous prions d'agréer, Madame, Monsieur, l'expression de nos salutations distinguées.</v>
      </c>
      <c r="C4537" s="37"/>
      <c r="D4537" s="37"/>
      <c r="E4537" s="37"/>
      <c r="F4537" s="37"/>
    </row>
    <row r="4538" customFormat="false" ht="15" hidden="false" customHeight="false" outlineLevel="0" collapsed="false">
      <c r="B4538" s="10"/>
      <c r="C4538" s="10"/>
      <c r="D4538" s="10"/>
      <c r="E4538" s="10"/>
      <c r="F4538" s="10"/>
    </row>
    <row r="4539" customFormat="false" ht="15" hidden="false" customHeight="false" outlineLevel="0" collapsed="false">
      <c r="B4539" s="10"/>
      <c r="C4539" s="10"/>
      <c r="D4539" s="34" t="str">
        <f aca="false">Signataire</f>
        <v>Prénom NOM</v>
      </c>
      <c r="E4539" s="34"/>
      <c r="F4539" s="34"/>
    </row>
    <row r="4540" customFormat="false" ht="15" hidden="false" customHeight="false" outlineLevel="0" collapsed="false">
      <c r="B4540" s="10"/>
      <c r="C4540" s="10"/>
      <c r="D4540" s="47" t="str">
        <f aca="false">Signataire_Titre</f>
        <v>Expert-comptable associé</v>
      </c>
      <c r="E4540" s="47"/>
      <c r="F4540" s="47"/>
    </row>
    <row r="4541" customFormat="false" ht="15.75" hidden="false" customHeight="true" outlineLevel="0" collapsed="false">
      <c r="B4541" s="10"/>
      <c r="C4541" s="10"/>
      <c r="D4541" s="10"/>
      <c r="E4541" s="10"/>
      <c r="F4541" s="10"/>
    </row>
    <row r="4542" customFormat="false" ht="15.75" hidden="false" customHeight="true" outlineLevel="0" collapsed="false">
      <c r="B4542" s="10"/>
      <c r="C4542" s="10"/>
      <c r="D4542" s="10"/>
      <c r="E4542" s="10"/>
      <c r="F4542" s="10"/>
    </row>
    <row r="4543" customFormat="false" ht="15.75" hidden="false" customHeight="true" outlineLevel="0" collapsed="false">
      <c r="B4543" s="10"/>
      <c r="C4543" s="10"/>
      <c r="D4543" s="10"/>
      <c r="E4543" s="10"/>
      <c r="F4543" s="10"/>
    </row>
    <row r="4544" customFormat="false" ht="15.75" hidden="false" customHeight="true" outlineLevel="0" collapsed="false">
      <c r="B4544" s="10"/>
      <c r="C4544" s="10"/>
      <c r="D4544" s="10"/>
      <c r="E4544" s="10"/>
      <c r="F4544" s="10"/>
    </row>
    <row r="4545" customFormat="false" ht="24" hidden="false" customHeight="true" outlineLevel="0" collapsed="false">
      <c r="B4545" s="48" t="str">
        <f aca="false">Cab_Mentions</f>
        <v>ALTHO EXPERTISE · SAS au capital de 10 000 € · RCS Pontoise 919 706 325 · TVA FR62919706325 · Société d'expertise comptable inscrite au Tableau de l'Ordre des experts-comptables de Paris Île-de-France</v>
      </c>
      <c r="C4545" s="48"/>
      <c r="D4545" s="48"/>
      <c r="E4545" s="48"/>
      <c r="F4545" s="48"/>
    </row>
    <row r="4546" customFormat="false" ht="15" hidden="false" customHeight="false" outlineLevel="0" collapsed="false">
      <c r="B4546" s="10"/>
      <c r="C4546" s="10"/>
      <c r="D4546" s="10"/>
      <c r="E4546" s="10"/>
      <c r="F4546" s="10"/>
      <c r="J4546" s="25" t="s">
        <v>142</v>
      </c>
      <c r="K4546" s="25" t="n">
        <f aca="false">IFERROR(MATCH(102,Clients!$Z$2:$Z$501,0),0)</f>
        <v>0</v>
      </c>
      <c r="L4546" s="25"/>
      <c r="M4546" s="25"/>
      <c r="N4546" s="25"/>
      <c r="O4546" s="25"/>
    </row>
    <row r="4547" customFormat="false" ht="21.75" hidden="false" customHeight="true" outlineLevel="0" collapsed="false">
      <c r="B4547" s="26" t="str">
        <f aca="false">Cab_Nom</f>
        <v>ALTHO EXPERTISE</v>
      </c>
      <c r="C4547" s="26"/>
      <c r="D4547" s="10"/>
      <c r="E4547" s="27" t="str">
        <f aca="false">IF($K$4546=0,"","Réf. client : "&amp;INDEX(Clients!$A$2:$A$501,$K$4546))</f>
        <v/>
      </c>
      <c r="F4547" s="27"/>
      <c r="J4547" s="25" t="s">
        <v>144</v>
      </c>
      <c r="K4547" s="25" t="str">
        <f aca="false">IF(IF($K$4546=0,"",INDEX(Clients!$B$2:$B$501,$K$4546)&amp;"")="Mme","Madame",IF(IF($K$4546=0,"",INDEX(Clients!$B$2:$B$501,$K$4546)&amp;"")="M.","Monsieur","Madame, Monsieur"))</f>
        <v>Madame, Monsieur</v>
      </c>
      <c r="L4547" s="25"/>
      <c r="M4547" s="25"/>
      <c r="N4547" s="25"/>
      <c r="O4547" s="25"/>
    </row>
    <row r="4548" customFormat="false" ht="15" hidden="false" customHeight="false" outlineLevel="0" collapsed="false">
      <c r="B4548" s="29" t="str">
        <f aca="false">Cab_Adr1</f>
        <v>141 rue Charles de Gaulle</v>
      </c>
      <c r="C4548" s="29"/>
      <c r="D4548" s="10"/>
      <c r="E4548" s="10"/>
      <c r="F4548" s="10"/>
      <c r="J4548" s="25" t="s">
        <v>145</v>
      </c>
      <c r="K4548" s="25" t="str">
        <f aca="false">DAY(Date_Effet)&amp;IF(DAY(Date_Effet)=1,"er","")&amp;" "&amp;INDEX(Liste_Mois,MONTH(Date_Effet))&amp;" "&amp;YEAR(Date_Effet)</f>
        <v>1er janvier 2027</v>
      </c>
      <c r="L4548" s="25"/>
      <c r="M4548" s="25"/>
      <c r="N4548" s="25"/>
      <c r="O4548" s="25"/>
    </row>
    <row r="4549" customFormat="false" ht="15" hidden="false" customHeight="false" outlineLevel="0" collapsed="false">
      <c r="B4549" s="29" t="str">
        <f aca="false">Cab_CPVille</f>
        <v>95130 LE PLESSIS-BOUCHARD</v>
      </c>
      <c r="C4549" s="29"/>
      <c r="D4549" s="10"/>
      <c r="E4549" s="10"/>
      <c r="F4549" s="10"/>
      <c r="J4549" s="25" t="s">
        <v>146</v>
      </c>
      <c r="K4549" s="25" t="str">
        <f aca="false">IF(SUM($K$4573:$K$4576)=0,"",FIXED((SUM($L$4573:$L$4576)/SUM($K$4573:$K$4576)-1)*100,1)&amp;" %")</f>
        <v/>
      </c>
      <c r="L4549" s="25"/>
      <c r="M4549" s="25"/>
      <c r="N4549" s="25"/>
      <c r="O4549" s="25"/>
    </row>
    <row r="4550" customFormat="false" ht="15" hidden="false" customHeight="false" outlineLevel="0" collapsed="false">
      <c r="B4550" s="29" t="str">
        <f aca="false">Cab_Contact</f>
        <v>Tél. 01 34 14 53 45  ·  altho@altho-experts.com  ·  altho-experts.com</v>
      </c>
      <c r="C4550" s="29"/>
      <c r="D4550" s="10"/>
      <c r="E4550" s="10"/>
      <c r="F4550" s="10"/>
      <c r="J4550" s="25"/>
      <c r="K4550" s="25"/>
      <c r="L4550" s="25"/>
      <c r="M4550" s="25"/>
      <c r="N4550" s="25"/>
      <c r="O4550" s="25"/>
    </row>
    <row r="4551" customFormat="false" ht="6" hidden="false" customHeight="true" outlineLevel="0" collapsed="false">
      <c r="B4551" s="32"/>
      <c r="C4551" s="32"/>
      <c r="D4551" s="32"/>
      <c r="E4551" s="32"/>
      <c r="F4551" s="32"/>
      <c r="J4551" s="25"/>
      <c r="K4551" s="25"/>
      <c r="L4551" s="25"/>
      <c r="M4551" s="25"/>
      <c r="N4551" s="25"/>
      <c r="O4551" s="25"/>
    </row>
    <row r="4552" customFormat="false" ht="13.5" hidden="false" customHeight="true" outlineLevel="0" collapsed="false">
      <c r="B4552" s="10"/>
      <c r="C4552" s="10"/>
      <c r="D4552" s="10"/>
      <c r="E4552" s="10"/>
      <c r="F4552" s="10"/>
      <c r="J4552" s="25"/>
      <c r="K4552" s="25"/>
      <c r="L4552" s="25"/>
      <c r="M4552" s="25"/>
      <c r="N4552" s="25"/>
      <c r="O4552" s="25"/>
    </row>
    <row r="4553" customFormat="false" ht="13.5" hidden="false" customHeight="true" outlineLevel="0" collapsed="false">
      <c r="B4553" s="10"/>
      <c r="C4553" s="10"/>
      <c r="D4553" s="10"/>
      <c r="E4553" s="10"/>
      <c r="F4553" s="10"/>
      <c r="J4553" s="25"/>
      <c r="K4553" s="25"/>
      <c r="L4553" s="25"/>
      <c r="M4553" s="25"/>
      <c r="N4553" s="25"/>
      <c r="O4553" s="25"/>
    </row>
    <row r="4554" customFormat="false" ht="13.5" hidden="false" customHeight="true" outlineLevel="0" collapsed="false">
      <c r="B4554" s="10"/>
      <c r="C4554" s="10"/>
      <c r="D4554" s="10"/>
      <c r="E4554" s="10"/>
      <c r="F4554" s="10"/>
      <c r="J4554" s="25"/>
      <c r="K4554" s="25"/>
      <c r="L4554" s="25"/>
      <c r="M4554" s="25"/>
      <c r="N4554" s="25"/>
      <c r="O4554" s="25"/>
    </row>
    <row r="4555" customFormat="false" ht="15" hidden="false" customHeight="true" outlineLevel="0" collapsed="false">
      <c r="B4555" s="10"/>
      <c r="C4555" s="10"/>
      <c r="D4555" s="34" t="str">
        <f aca="false">IF($K$4546=0,"",INDEX(Clients!$E$2:$E$501,$K$4546)&amp;"")</f>
        <v/>
      </c>
      <c r="E4555" s="34"/>
      <c r="F4555" s="34"/>
      <c r="J4555" s="25"/>
      <c r="K4555" s="25"/>
      <c r="L4555" s="25"/>
      <c r="M4555" s="25"/>
      <c r="N4555" s="25"/>
      <c r="O4555" s="25"/>
    </row>
    <row r="4556" customFormat="false" ht="15" hidden="false" customHeight="true" outlineLevel="0" collapsed="false">
      <c r="B4556" s="10"/>
      <c r="C4556" s="10"/>
      <c r="D4556" s="35" t="str">
        <f aca="false">IF(IF($K$4546=0,"",INDEX(Clients!$D$2:$D$501,$K$4546)&amp;"")="","","À l'attention de "&amp;TRIM(IF($K$4546=0,"",INDEX(Clients!$B$2:$B$501,$K$4546)&amp;"")&amp;" "&amp;IF($K$4546=0,"",INDEX(Clients!$C$2:$C$501,$K$4546)&amp;"")&amp;" "&amp;IF($K$4546=0,"",INDEX(Clients!$D$2:$D$501,$K$4546)&amp;"")))</f>
        <v/>
      </c>
      <c r="E4556" s="35"/>
      <c r="F4556" s="35"/>
      <c r="J4556" s="25"/>
      <c r="K4556" s="25"/>
      <c r="L4556" s="25"/>
      <c r="M4556" s="25"/>
      <c r="N4556" s="25"/>
      <c r="O4556" s="25"/>
    </row>
    <row r="4557" customFormat="false" ht="15" hidden="false" customHeight="true" outlineLevel="0" collapsed="false">
      <c r="B4557" s="10"/>
      <c r="C4557" s="10"/>
      <c r="D4557" s="35" t="str">
        <f aca="false">IF($K$4546=0,"",INDEX(Clients!$F$2:$F$501,$K$4546)&amp;"")</f>
        <v/>
      </c>
      <c r="E4557" s="35"/>
      <c r="F4557" s="35"/>
      <c r="J4557" s="25"/>
      <c r="K4557" s="25"/>
      <c r="L4557" s="25"/>
      <c r="M4557" s="25"/>
      <c r="N4557" s="25"/>
      <c r="O4557" s="25"/>
    </row>
    <row r="4558" customFormat="false" ht="15" hidden="false" customHeight="true" outlineLevel="0" collapsed="false">
      <c r="B4558" s="10"/>
      <c r="C4558" s="10"/>
      <c r="D4558" s="35" t="str">
        <f aca="false">IF(IF($K$4546=0,"",INDEX(Clients!$G$2:$G$501,$K$4546)&amp;"")="",TRIM(IF($K$4546=0,"",INDEX(Clients!$H$2:$H$501,$K$4546)&amp;"")&amp;" "&amp;UPPER(IF($K$4546=0,"",INDEX(Clients!$I$2:$I$501,$K$4546)&amp;""))),IF($K$4546=0,"",INDEX(Clients!$G$2:$G$501,$K$4546)&amp;""))</f>
        <v/>
      </c>
      <c r="E4558" s="35"/>
      <c r="F4558" s="35"/>
      <c r="J4558" s="25"/>
      <c r="K4558" s="25"/>
      <c r="L4558" s="25"/>
      <c r="M4558" s="25"/>
      <c r="N4558" s="25"/>
      <c r="O4558" s="25"/>
    </row>
    <row r="4559" customFormat="false" ht="15" hidden="false" customHeight="true" outlineLevel="0" collapsed="false">
      <c r="B4559" s="10"/>
      <c r="C4559" s="10"/>
      <c r="D4559" s="35" t="str">
        <f aca="false">IF(IF($K$4546=0,"",INDEX(Clients!$G$2:$G$501,$K$4546)&amp;"")="","",TRIM(IF($K$4546=0,"",INDEX(Clients!$H$2:$H$501,$K$4546)&amp;"")&amp;" "&amp;UPPER(IF($K$4546=0,"",INDEX(Clients!$I$2:$I$501,$K$4546)&amp;""))))</f>
        <v/>
      </c>
      <c r="E4559" s="35"/>
      <c r="F4559" s="35"/>
      <c r="J4559" s="25"/>
      <c r="K4559" s="25"/>
      <c r="L4559" s="25"/>
      <c r="M4559" s="25"/>
      <c r="N4559" s="25"/>
      <c r="O4559" s="25"/>
    </row>
    <row r="4560" customFormat="false" ht="25.5" hidden="false" customHeight="true" outlineLevel="0" collapsed="false">
      <c r="B4560" s="10"/>
      <c r="C4560" s="10"/>
      <c r="D4560" s="10"/>
      <c r="E4560" s="10"/>
      <c r="F4560" s="10"/>
      <c r="J4560" s="25"/>
      <c r="K4560" s="25"/>
      <c r="L4560" s="25"/>
      <c r="M4560" s="25"/>
      <c r="N4560" s="25"/>
      <c r="O4560" s="25"/>
    </row>
    <row r="4561" customFormat="false" ht="15" hidden="false" customHeight="false" outlineLevel="0" collapsed="false">
      <c r="B4561" s="10"/>
      <c r="C4561" s="10"/>
      <c r="D4561" s="36" t="str">
        <f aca="false">Cab_Ville&amp;", le "&amp;DAY(Date_Courrier)&amp;IF(DAY(Date_Courrier)=1,"er","")&amp;" "&amp;INDEX(Liste_Mois,MONTH(Date_Courrier))&amp;" "&amp;YEAR(Date_Courrier)</f>
        <v>Le Plessis-Bouchard, le 22 septembre 2026</v>
      </c>
      <c r="E4561" s="36"/>
      <c r="F4561" s="36"/>
      <c r="J4561" s="25"/>
      <c r="K4561" s="25"/>
      <c r="L4561" s="25"/>
      <c r="M4561" s="25"/>
      <c r="N4561" s="25"/>
      <c r="O4561" s="25"/>
    </row>
    <row r="4562" customFormat="false" ht="19.5" hidden="false" customHeight="true" outlineLevel="0" collapsed="false">
      <c r="B4562" s="10"/>
      <c r="C4562" s="10"/>
      <c r="D4562" s="10"/>
      <c r="E4562" s="10"/>
      <c r="F4562" s="10"/>
      <c r="J4562" s="25"/>
      <c r="K4562" s="25"/>
      <c r="L4562" s="25"/>
      <c r="M4562" s="25"/>
      <c r="N4562" s="25"/>
      <c r="O4562" s="25"/>
    </row>
    <row r="4563" customFormat="false" ht="15" hidden="false" customHeight="false" outlineLevel="0" collapsed="false">
      <c r="B4563" s="34" t="str">
        <f aca="false">SUBSTITUTE(SUBSTITUTE(SUBSTITUTE(SUBSTITUTE(SUBSTITUTE(Txt_Objet,"{cabinet}",Cab_Nom),"{societe}",IF($K$4546=0,"",INDEX(Clients!$E$2:$E$501,$K$4546)&amp;"")),"{date_effet}",$K$4548),"{hausse}",$K$4549),"{civilite}",$K$4547)</f>
        <v>Objet : révision de nos honoraires au 1er janvier 2027</v>
      </c>
      <c r="C4563" s="34"/>
      <c r="D4563" s="34"/>
      <c r="E4563" s="34"/>
      <c r="F4563" s="34"/>
      <c r="J4563" s="25"/>
      <c r="K4563" s="25"/>
      <c r="L4563" s="25"/>
      <c r="M4563" s="25"/>
      <c r="N4563" s="25"/>
      <c r="O4563" s="25"/>
    </row>
    <row r="4564" customFormat="false" ht="13.5" hidden="false" customHeight="true" outlineLevel="0" collapsed="false">
      <c r="B4564" s="10"/>
      <c r="C4564" s="10"/>
      <c r="D4564" s="10"/>
      <c r="E4564" s="10"/>
      <c r="F4564" s="10"/>
      <c r="J4564" s="25"/>
      <c r="K4564" s="25"/>
      <c r="L4564" s="25"/>
      <c r="M4564" s="25"/>
      <c r="N4564" s="25"/>
      <c r="O4564" s="25"/>
    </row>
    <row r="4565" customFormat="false" ht="15" hidden="false" customHeight="false" outlineLevel="0" collapsed="false">
      <c r="B4565" s="10" t="str">
        <f aca="false">$K$4547&amp;","</f>
        <v>Madame, Monsieur,</v>
      </c>
      <c r="C4565" s="10"/>
      <c r="D4565" s="10"/>
      <c r="E4565" s="10"/>
      <c r="F4565" s="10"/>
      <c r="J4565" s="25"/>
      <c r="K4565" s="25"/>
      <c r="L4565" s="25"/>
      <c r="M4565" s="25"/>
      <c r="N4565" s="25"/>
      <c r="O4565" s="25"/>
    </row>
    <row r="4566" customFormat="false" ht="6" hidden="false" customHeight="true" outlineLevel="0" collapsed="false">
      <c r="B4566" s="10"/>
      <c r="C4566" s="10"/>
      <c r="D4566" s="10"/>
      <c r="E4566" s="10"/>
      <c r="F4566" s="10"/>
      <c r="J4566" s="25"/>
      <c r="K4566" s="25"/>
      <c r="L4566" s="25"/>
      <c r="M4566" s="25"/>
      <c r="N4566" s="25"/>
      <c r="O4566" s="25"/>
    </row>
    <row r="4567" customFormat="false" ht="36.75" hidden="false" customHeight="true" outlineLevel="0" collapsed="false">
      <c r="B4567" s="37" t="str">
        <f aca="false">SUBSTITUTE(SUBSTITUTE(SUBSTITUTE(SUBSTITUTE(SUBSTITUTE(Txt_P1,"{cabinet}",Cab_Nom),"{societe}",IF($K$4546=0,"",INDEX(Clients!$E$2:$E$501,$K$4546)&amp;"")),"{date_effet}",$K$4548),"{hausse}",$K$4549),"{civilite}",$K$4547)</f>
        <v>Nous tenons tout d'abord à vous remercier pour la confiance que vous accordez à ALTHO EXPERTISE. Comme chaque année, et conformément aux dispositions de votre lettre de mission, nous procédons à la révision de nos honoraires.</v>
      </c>
      <c r="C4567" s="37"/>
      <c r="D4567" s="37"/>
      <c r="E4567" s="37"/>
      <c r="F4567" s="37"/>
      <c r="J4567" s="25"/>
      <c r="K4567" s="25"/>
      <c r="L4567" s="25"/>
      <c r="M4567" s="25"/>
      <c r="N4567" s="25"/>
      <c r="O4567" s="25"/>
    </row>
    <row r="4568" customFormat="false" ht="49.5" hidden="false" customHeight="true" outlineLevel="0" collapsed="false">
      <c r="B4568" s="37" t="str">
        <f aca="false">SUBSTITUTE(SUBSTITUTE(SUBSTITUTE(SUBSTITUTE(SUBSTITUTE(Txt_P2,"{cabinet}",Cab_Nom),"{societe}",IF($K$4546=0,"",INDEX(Clients!$E$2:$E$501,$K$4546)&amp;"")),"{date_effet}",$K$4548),"{hausse}",$K$4549),"{civilite}",$K$4547)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568" s="37"/>
      <c r="D4568" s="37"/>
      <c r="E4568" s="37"/>
      <c r="F4568" s="37"/>
      <c r="J4568" s="25"/>
      <c r="K4568" s="25"/>
      <c r="L4568" s="25"/>
      <c r="M4568" s="25"/>
      <c r="N4568" s="25"/>
      <c r="O4568" s="25"/>
    </row>
    <row r="4569" customFormat="false" ht="63" hidden="false" customHeight="true" outlineLevel="0" collapsed="false">
      <c r="B4569" s="37" t="str">
        <f aca="false">SUBSTITUTE(SUBSTITUTE(SUBSTITUTE(SUBSTITUTE(SUBSTITUTE(Txt_P3,"{cabinet}",Cab_Nom),"{societe}",IF($K$4546=0,"",INDEX(Clients!$E$2:$E$501,$K$4546)&amp;"")),"{date_effet}",$K$4548),"{hausse}",$K$4549),"{civilite}",$K$4547)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569" s="37"/>
      <c r="D4569" s="37"/>
      <c r="E4569" s="37"/>
      <c r="F4569" s="37"/>
      <c r="J4569" s="25"/>
      <c r="K4569" s="25"/>
      <c r="L4569" s="25"/>
      <c r="M4569" s="25"/>
      <c r="N4569" s="25"/>
      <c r="O4569" s="25"/>
    </row>
    <row r="4570" customFormat="false" ht="24" hidden="false" customHeight="true" outlineLevel="0" collapsed="false">
      <c r="B4570" s="37" t="str">
        <f aca="false">SUBSTITUTE(SUBSTITUTE(SUBSTITUTE(SUBSTITUTE(SUBSTITUTE(Txt_P4,"{cabinet}",Cab_Nom),"{societe}",IF($K$4546=0,"",INDEX(Clients!$E$2:$E$501,$K$4546)&amp;"")),"{date_effet}",$K$4548),"{hausse}",$K$4549),"{civilite}",$K$4547)</f>
        <v>À compter du 1er janvier 2027, vos honoraires annuels hors taxes évolueront ainsi (évolution globale : ) :</v>
      </c>
      <c r="C4570" s="37"/>
      <c r="D4570" s="37"/>
      <c r="E4570" s="37"/>
      <c r="F4570" s="37"/>
      <c r="J4570" s="25"/>
      <c r="K4570" s="25"/>
      <c r="L4570" s="25"/>
      <c r="M4570" s="25"/>
      <c r="N4570" s="25"/>
      <c r="O4570" s="25"/>
    </row>
    <row r="4571" customFormat="false" ht="3.75" hidden="false" customHeight="true" outlineLevel="0" collapsed="false">
      <c r="B4571" s="10"/>
      <c r="C4571" s="10"/>
      <c r="D4571" s="10"/>
      <c r="E4571" s="10"/>
      <c r="F4571" s="10"/>
      <c r="J4571" s="25"/>
      <c r="K4571" s="25"/>
      <c r="L4571" s="25"/>
      <c r="M4571" s="25"/>
      <c r="N4571" s="25"/>
      <c r="O4571" s="25"/>
    </row>
    <row r="4572" customFormat="false" ht="18" hidden="false" customHeight="true" outlineLevel="0" collapsed="false">
      <c r="B4572" s="38" t="s">
        <v>148</v>
      </c>
      <c r="C4572" s="39" t="s">
        <v>149</v>
      </c>
      <c r="D4572" s="39" t="s">
        <v>150</v>
      </c>
      <c r="E4572" s="39" t="s">
        <v>151</v>
      </c>
      <c r="F4572" s="39" t="s">
        <v>109</v>
      </c>
      <c r="J4572" s="25" t="s">
        <v>152</v>
      </c>
      <c r="K4572" s="25" t="s">
        <v>153</v>
      </c>
      <c r="L4572" s="25" t="s">
        <v>154</v>
      </c>
      <c r="M4572" s="25" t="s">
        <v>155</v>
      </c>
      <c r="N4572" s="25" t="s">
        <v>156</v>
      </c>
      <c r="O4572" s="25" t="s">
        <v>157</v>
      </c>
    </row>
    <row r="4573" customFormat="false" ht="16.5" hidden="false" customHeight="true" outlineLevel="0" collapsed="false">
      <c r="B4573" s="40" t="str">
        <f aca="false">IFERROR(INDEX($J$4573:$J$4576,MATCH($O4573,$N$4573:$N$4576,0)),"")</f>
        <v/>
      </c>
      <c r="C4573" s="41" t="str">
        <f aca="false">IFERROR(INDEX($K$4573:$K$4576,MATCH($O4573,$N$4573:$N$4576,0)),"")</f>
        <v/>
      </c>
      <c r="D4573" s="42" t="str">
        <f aca="false">IF(OR(E4573="",N(C4573)=0),"",E4573/C4573-1)</f>
        <v/>
      </c>
      <c r="E4573" s="41" t="str">
        <f aca="false">IFERROR(INDEX($L$4573:$L$4576,MATCH($O4573,$N$4573:$N$4576,0)),"")</f>
        <v/>
      </c>
      <c r="F4573" s="41" t="str">
        <f aca="false">IF(E4573="","",E4573-C4573)</f>
        <v/>
      </c>
      <c r="J4573" s="25" t="str">
        <f aca="false">Lib_Compta</f>
        <v>Mission comptable (tenue, révision, bilan, liasse fiscale)</v>
      </c>
      <c r="K4573" s="25" t="n">
        <f aca="false">IF($K$4546=0,0,N(INDEX(Clients!$K$2:$K$501,$K$4546)))</f>
        <v>0</v>
      </c>
      <c r="L4573" s="25" t="n">
        <f aca="false">IF($K$4546=0,0,N(INDEX(Clients!$P$2:$P$501,$K$4546)))</f>
        <v>0</v>
      </c>
      <c r="M4573" s="25" t="n">
        <f aca="false">IF(OR(K4573&lt;&gt;0,L4573&lt;&gt;0),1,0)</f>
        <v>0</v>
      </c>
      <c r="N4573" s="25" t="str">
        <f aca="false">IF(M4573=1,SUM($M$4573:M4573),"")</f>
        <v/>
      </c>
      <c r="O4573" s="25" t="n">
        <v>1</v>
      </c>
    </row>
    <row r="4574" customFormat="false" ht="16.5" hidden="false" customHeight="true" outlineLevel="0" collapsed="false">
      <c r="B4574" s="40" t="str">
        <f aca="false">IFERROR(INDEX($J$4573:$J$4576,MATCH($O4574,$N$4573:$N$4576,0)),"")</f>
        <v/>
      </c>
      <c r="C4574" s="41" t="str">
        <f aca="false">IFERROR(INDEX($K$4573:$K$4576,MATCH($O4574,$N$4573:$N$4576,0)),"")</f>
        <v/>
      </c>
      <c r="D4574" s="42" t="str">
        <f aca="false">IF(OR(E4574="",N(C4574)=0),"",E4574/C4574-1)</f>
        <v/>
      </c>
      <c r="E4574" s="41" t="str">
        <f aca="false">IFERROR(INDEX($L$4573:$L$4576,MATCH($O4574,$N$4573:$N$4576,0)),"")</f>
        <v/>
      </c>
      <c r="F4574" s="41" t="str">
        <f aca="false">IF(E4574="","",E4574-C4574)</f>
        <v/>
      </c>
      <c r="J4574" s="25" t="str">
        <f aca="false">Lib_Paye</f>
        <v>Mission sociale (bulletins de paie, DSN, déclarations sociales)</v>
      </c>
      <c r="K4574" s="25" t="n">
        <f aca="false">IF($K$4546=0,0,N(INDEX(Clients!$L$2:$L$501,$K$4546)))</f>
        <v>0</v>
      </c>
      <c r="L4574" s="25" t="n">
        <f aca="false">IF($K$4546=0,0,N(INDEX(Clients!$Q$2:$Q$501,$K$4546)))</f>
        <v>0</v>
      </c>
      <c r="M4574" s="25" t="n">
        <f aca="false">IF(OR(K4574&lt;&gt;0,L4574&lt;&gt;0),1,0)</f>
        <v>0</v>
      </c>
      <c r="N4574" s="25" t="str">
        <f aca="false">IF(M4574=1,SUM($M$4573:M4574),"")</f>
        <v/>
      </c>
      <c r="O4574" s="25" t="n">
        <v>2</v>
      </c>
    </row>
    <row r="4575" customFormat="false" ht="16.5" hidden="false" customHeight="true" outlineLevel="0" collapsed="false">
      <c r="B4575" s="40" t="str">
        <f aca="false">IFERROR(INDEX($J$4573:$J$4576,MATCH($O4575,$N$4573:$N$4576,0)),"")</f>
        <v/>
      </c>
      <c r="C4575" s="41" t="str">
        <f aca="false">IFERROR(INDEX($K$4573:$K$4576,MATCH($O4575,$N$4573:$N$4576,0)),"")</f>
        <v/>
      </c>
      <c r="D4575" s="42" t="str">
        <f aca="false">IF(OR(E4575="",N(C4575)=0),"",E4575/C4575-1)</f>
        <v/>
      </c>
      <c r="E4575" s="41" t="str">
        <f aca="false">IFERROR(INDEX($L$4573:$L$4576,MATCH($O4575,$N$4573:$N$4576,0)),"")</f>
        <v/>
      </c>
      <c r="F4575" s="41" t="str">
        <f aca="false">IF(E4575="","",E4575-C4575)</f>
        <v/>
      </c>
      <c r="J4575" s="25" t="str">
        <f aca="false">Lib_Jur</f>
        <v>Mission juridique (approbation des comptes, secrétariat juridique)</v>
      </c>
      <c r="K4575" s="25" t="n">
        <f aca="false">IF($K$4546=0,0,N(INDEX(Clients!$M$2:$M$501,$K$4546)))</f>
        <v>0</v>
      </c>
      <c r="L4575" s="25" t="n">
        <f aca="false">IF($K$4546=0,0,N(INDEX(Clients!$R$2:$R$501,$K$4546)))</f>
        <v>0</v>
      </c>
      <c r="M4575" s="25" t="n">
        <f aca="false">IF(OR(K4575&lt;&gt;0,L4575&lt;&gt;0),1,0)</f>
        <v>0</v>
      </c>
      <c r="N4575" s="25" t="str">
        <f aca="false">IF(M4575=1,SUM($M$4573:M4575),"")</f>
        <v/>
      </c>
      <c r="O4575" s="25" t="n">
        <v>3</v>
      </c>
    </row>
    <row r="4576" customFormat="false" ht="16.5" hidden="false" customHeight="true" outlineLevel="0" collapsed="false">
      <c r="B4576" s="40" t="str">
        <f aca="false">IFERROR(INDEX($J$4573:$J$4576,MATCH($O4576,$N$4573:$N$4576,0)),"")</f>
        <v/>
      </c>
      <c r="C4576" s="41" t="str">
        <f aca="false">IFERROR(INDEX($K$4573:$K$4576,MATCH($O4576,$N$4573:$N$4576,0)),"")</f>
        <v/>
      </c>
      <c r="D4576" s="42" t="str">
        <f aca="false">IF(OR(E4576="",N(C4576)=0),"",E4576/C4576-1)</f>
        <v/>
      </c>
      <c r="E4576" s="41" t="str">
        <f aca="false">IFERROR(INDEX($L$4573:$L$4576,MATCH($O4576,$N$4573:$N$4576,0)),"")</f>
        <v/>
      </c>
      <c r="F4576" s="41" t="str">
        <f aca="false">IF(E4576="","",E4576-C4576)</f>
        <v/>
      </c>
      <c r="J4576" s="25" t="str">
        <f aca="false">Lib_PA</f>
        <v>Plateforme agréée – facturation électronique</v>
      </c>
      <c r="K4576" s="25" t="n">
        <f aca="false">IF($K$4546=0,0,N(INDEX(Clients!$N$2:$N$501,$K$4546)))</f>
        <v>0</v>
      </c>
      <c r="L4576" s="25" t="n">
        <f aca="false">IF($K$4546=0,0,N(INDEX(Clients!$S$2:$S$501,$K$4546)))</f>
        <v>0</v>
      </c>
      <c r="M4576" s="25" t="n">
        <f aca="false">IF(OR(K4576&lt;&gt;0,L4576&lt;&gt;0),1,0)</f>
        <v>0</v>
      </c>
      <c r="N4576" s="25" t="str">
        <f aca="false">IF(M4576=1,SUM($M$4573:M4576),"")</f>
        <v/>
      </c>
      <c r="O4576" s="25" t="n">
        <v>4</v>
      </c>
    </row>
    <row r="4577" customFormat="false" ht="18" hidden="false" customHeight="true" outlineLevel="0" collapsed="false">
      <c r="B4577" s="43" t="s">
        <v>158</v>
      </c>
      <c r="C4577" s="44" t="n">
        <f aca="false">SUM(K4573:K4576)</f>
        <v>0</v>
      </c>
      <c r="D4577" s="45" t="str">
        <f aca="false">IF(N(C4577)=0,"",E4577/C4577-1)</f>
        <v/>
      </c>
      <c r="E4577" s="44" t="n">
        <f aca="false">SUM(L4573:L4576)</f>
        <v>0</v>
      </c>
      <c r="F4577" s="44" t="n">
        <f aca="false">E4577-C4577</f>
        <v>0</v>
      </c>
    </row>
    <row r="4578" customFormat="false" ht="15" hidden="false" customHeight="false" outlineLevel="0" collapsed="false">
      <c r="B4578" s="46" t="str">
        <f aca="false">IF(N(Nb_Mensualites)=0,"","Soit "&amp;FIXED(E4577/Nb_Mensualites,2)&amp;" € HT par échéance ("&amp;Nb_Mensualites&amp;" échéances), "&amp;FIXED(E4577/Nb_Mensualites*(1+Taux_TVA),2)&amp;" € TTC.")</f>
        <v>Soit 0.00 € HT par échéance (12 échéances), 0.00 € TTC.</v>
      </c>
      <c r="C4578" s="46"/>
      <c r="D4578" s="46"/>
      <c r="E4578" s="46"/>
      <c r="F4578" s="46"/>
    </row>
    <row r="4579" customFormat="false" ht="7.5" hidden="false" customHeight="true" outlineLevel="0" collapsed="false">
      <c r="B4579" s="10"/>
      <c r="C4579" s="10"/>
      <c r="D4579" s="10"/>
      <c r="E4579" s="10"/>
      <c r="F4579" s="10"/>
    </row>
    <row r="4580" customFormat="false" ht="36.75" hidden="false" customHeight="true" outlineLevel="0" collapsed="false">
      <c r="B4580" s="37" t="str">
        <f aca="false">SUBSTITUTE(SUBSTITUTE(SUBSTITUTE(SUBSTITUTE(SUBSTITUTE(Txt_P5,"{cabinet}",Cab_Nom),"{societe}",IF($K$4546=0,"",INDEX(Clients!$E$2:$E$501,$K$4546)&amp;"")),"{date_effet}",$K$4548),"{hausse}",$K$4549),"{civilite}",$K$4547)</f>
        <v>Les autres conditions de votre lettre de mission demeurent inchangées. Les nouveaux montants seront appliqués automatiquement sur vos prochaines factures et échéances de prélèvement.</v>
      </c>
      <c r="C4580" s="37"/>
      <c r="D4580" s="37"/>
      <c r="E4580" s="37"/>
      <c r="F4580" s="37"/>
    </row>
    <row r="4581" customFormat="false" ht="36.75" hidden="false" customHeight="true" outlineLevel="0" collapsed="false">
      <c r="B4581" s="37" t="str">
        <f aca="false">SUBSTITUTE(SUBSTITUTE(SUBSTITUTE(SUBSTITUTE(SUBSTITUTE(Txt_P6,"{cabinet}",Cab_Nom),"{societe}",IF($K$4546=0,"",INDEX(Clients!$E$2:$E$501,$K$4546)&amp;"")),"{date_effet}",$K$4548),"{hausse}",$K$4549),"{civilite}",$K$4547)</f>
        <v>Votre interlocuteur habituel reste à votre entière disposition pour répondre à vos questions et faire le point sur l'évolution de vos besoins.</v>
      </c>
      <c r="C4581" s="37"/>
      <c r="D4581" s="37"/>
      <c r="E4581" s="37"/>
      <c r="F4581" s="37"/>
    </row>
    <row r="4582" customFormat="false" ht="24" hidden="false" customHeight="true" outlineLevel="0" collapsed="false">
      <c r="B4582" s="37" t="str">
        <f aca="false">SUBSTITUTE(SUBSTITUTE(SUBSTITUTE(SUBSTITUTE(SUBSTITUTE(Txt_Politesse,"{cabinet}",Cab_Nom),"{societe}",IF($K$4546=0,"",INDEX(Clients!$E$2:$E$501,$K$4546)&amp;"")),"{date_effet}",$K$4548),"{hausse}",$K$4549),"{civilite}",$K$4547)</f>
        <v>Nous vous prions d'agréer, Madame, Monsieur, l'expression de nos salutations distinguées.</v>
      </c>
      <c r="C4582" s="37"/>
      <c r="D4582" s="37"/>
      <c r="E4582" s="37"/>
      <c r="F4582" s="37"/>
    </row>
    <row r="4583" customFormat="false" ht="15" hidden="false" customHeight="false" outlineLevel="0" collapsed="false">
      <c r="B4583" s="10"/>
      <c r="C4583" s="10"/>
      <c r="D4583" s="10"/>
      <c r="E4583" s="10"/>
      <c r="F4583" s="10"/>
    </row>
    <row r="4584" customFormat="false" ht="15" hidden="false" customHeight="false" outlineLevel="0" collapsed="false">
      <c r="B4584" s="10"/>
      <c r="C4584" s="10"/>
      <c r="D4584" s="34" t="str">
        <f aca="false">Signataire</f>
        <v>Prénom NOM</v>
      </c>
      <c r="E4584" s="34"/>
      <c r="F4584" s="34"/>
    </row>
    <row r="4585" customFormat="false" ht="15" hidden="false" customHeight="false" outlineLevel="0" collapsed="false">
      <c r="B4585" s="10"/>
      <c r="C4585" s="10"/>
      <c r="D4585" s="47" t="str">
        <f aca="false">Signataire_Titre</f>
        <v>Expert-comptable associé</v>
      </c>
      <c r="E4585" s="47"/>
      <c r="F4585" s="47"/>
    </row>
    <row r="4586" customFormat="false" ht="15.75" hidden="false" customHeight="true" outlineLevel="0" collapsed="false">
      <c r="B4586" s="10"/>
      <c r="C4586" s="10"/>
      <c r="D4586" s="10"/>
      <c r="E4586" s="10"/>
      <c r="F4586" s="10"/>
    </row>
    <row r="4587" customFormat="false" ht="15.75" hidden="false" customHeight="true" outlineLevel="0" collapsed="false">
      <c r="B4587" s="10"/>
      <c r="C4587" s="10"/>
      <c r="D4587" s="10"/>
      <c r="E4587" s="10"/>
      <c r="F4587" s="10"/>
    </row>
    <row r="4588" customFormat="false" ht="15.75" hidden="false" customHeight="true" outlineLevel="0" collapsed="false">
      <c r="B4588" s="10"/>
      <c r="C4588" s="10"/>
      <c r="D4588" s="10"/>
      <c r="E4588" s="10"/>
      <c r="F4588" s="10"/>
    </row>
    <row r="4589" customFormat="false" ht="15.75" hidden="false" customHeight="true" outlineLevel="0" collapsed="false">
      <c r="B4589" s="10"/>
      <c r="C4589" s="10"/>
      <c r="D4589" s="10"/>
      <c r="E4589" s="10"/>
      <c r="F4589" s="10"/>
    </row>
    <row r="4590" customFormat="false" ht="24" hidden="false" customHeight="true" outlineLevel="0" collapsed="false">
      <c r="B4590" s="48" t="str">
        <f aca="false">Cab_Mentions</f>
        <v>ALTHO EXPERTISE · SAS au capital de 10 000 € · RCS Pontoise 919 706 325 · TVA FR62919706325 · Société d'expertise comptable inscrite au Tableau de l'Ordre des experts-comptables de Paris Île-de-France</v>
      </c>
      <c r="C4590" s="48"/>
      <c r="D4590" s="48"/>
      <c r="E4590" s="48"/>
      <c r="F4590" s="48"/>
    </row>
    <row r="4591" customFormat="false" ht="15" hidden="false" customHeight="false" outlineLevel="0" collapsed="false">
      <c r="B4591" s="10"/>
      <c r="C4591" s="10"/>
      <c r="D4591" s="10"/>
      <c r="E4591" s="10"/>
      <c r="F4591" s="10"/>
      <c r="J4591" s="25" t="s">
        <v>142</v>
      </c>
      <c r="K4591" s="25" t="n">
        <f aca="false">IFERROR(MATCH(103,Clients!$Z$2:$Z$501,0),0)</f>
        <v>0</v>
      </c>
      <c r="L4591" s="25"/>
      <c r="M4591" s="25"/>
      <c r="N4591" s="25"/>
      <c r="O4591" s="25"/>
    </row>
    <row r="4592" customFormat="false" ht="21.75" hidden="false" customHeight="true" outlineLevel="0" collapsed="false">
      <c r="B4592" s="26" t="str">
        <f aca="false">Cab_Nom</f>
        <v>ALTHO EXPERTISE</v>
      </c>
      <c r="C4592" s="26"/>
      <c r="D4592" s="10"/>
      <c r="E4592" s="27" t="str">
        <f aca="false">IF($K$4591=0,"","Réf. client : "&amp;INDEX(Clients!$A$2:$A$501,$K$4591))</f>
        <v/>
      </c>
      <c r="F4592" s="27"/>
      <c r="J4592" s="25" t="s">
        <v>144</v>
      </c>
      <c r="K4592" s="25" t="str">
        <f aca="false">IF(IF($K$4591=0,"",INDEX(Clients!$B$2:$B$501,$K$4591)&amp;"")="Mme","Madame",IF(IF($K$4591=0,"",INDEX(Clients!$B$2:$B$501,$K$4591)&amp;"")="M.","Monsieur","Madame, Monsieur"))</f>
        <v>Madame, Monsieur</v>
      </c>
      <c r="L4592" s="25"/>
      <c r="M4592" s="25"/>
      <c r="N4592" s="25"/>
      <c r="O4592" s="25"/>
    </row>
    <row r="4593" customFormat="false" ht="15" hidden="false" customHeight="false" outlineLevel="0" collapsed="false">
      <c r="B4593" s="29" t="str">
        <f aca="false">Cab_Adr1</f>
        <v>141 rue Charles de Gaulle</v>
      </c>
      <c r="C4593" s="29"/>
      <c r="D4593" s="10"/>
      <c r="E4593" s="10"/>
      <c r="F4593" s="10"/>
      <c r="J4593" s="25" t="s">
        <v>145</v>
      </c>
      <c r="K4593" s="25" t="str">
        <f aca="false">DAY(Date_Effet)&amp;IF(DAY(Date_Effet)=1,"er","")&amp;" "&amp;INDEX(Liste_Mois,MONTH(Date_Effet))&amp;" "&amp;YEAR(Date_Effet)</f>
        <v>1er janvier 2027</v>
      </c>
      <c r="L4593" s="25"/>
      <c r="M4593" s="25"/>
      <c r="N4593" s="25"/>
      <c r="O4593" s="25"/>
    </row>
    <row r="4594" customFormat="false" ht="15" hidden="false" customHeight="false" outlineLevel="0" collapsed="false">
      <c r="B4594" s="29" t="str">
        <f aca="false">Cab_CPVille</f>
        <v>95130 LE PLESSIS-BOUCHARD</v>
      </c>
      <c r="C4594" s="29"/>
      <c r="D4594" s="10"/>
      <c r="E4594" s="10"/>
      <c r="F4594" s="10"/>
      <c r="J4594" s="25" t="s">
        <v>146</v>
      </c>
      <c r="K4594" s="25" t="str">
        <f aca="false">IF(SUM($K$4618:$K$4621)=0,"",FIXED((SUM($L$4618:$L$4621)/SUM($K$4618:$K$4621)-1)*100,1)&amp;" %")</f>
        <v/>
      </c>
      <c r="L4594" s="25"/>
      <c r="M4594" s="25"/>
      <c r="N4594" s="25"/>
      <c r="O4594" s="25"/>
    </row>
    <row r="4595" customFormat="false" ht="15" hidden="false" customHeight="false" outlineLevel="0" collapsed="false">
      <c r="B4595" s="29" t="str">
        <f aca="false">Cab_Contact</f>
        <v>Tél. 01 34 14 53 45  ·  altho@altho-experts.com  ·  altho-experts.com</v>
      </c>
      <c r="C4595" s="29"/>
      <c r="D4595" s="10"/>
      <c r="E4595" s="10"/>
      <c r="F4595" s="10"/>
      <c r="J4595" s="25"/>
      <c r="K4595" s="25"/>
      <c r="L4595" s="25"/>
      <c r="M4595" s="25"/>
      <c r="N4595" s="25"/>
      <c r="O4595" s="25"/>
    </row>
    <row r="4596" customFormat="false" ht="6" hidden="false" customHeight="true" outlineLevel="0" collapsed="false">
      <c r="B4596" s="32"/>
      <c r="C4596" s="32"/>
      <c r="D4596" s="32"/>
      <c r="E4596" s="32"/>
      <c r="F4596" s="32"/>
      <c r="J4596" s="25"/>
      <c r="K4596" s="25"/>
      <c r="L4596" s="25"/>
      <c r="M4596" s="25"/>
      <c r="N4596" s="25"/>
      <c r="O4596" s="25"/>
    </row>
    <row r="4597" customFormat="false" ht="13.5" hidden="false" customHeight="true" outlineLevel="0" collapsed="false">
      <c r="B4597" s="10"/>
      <c r="C4597" s="10"/>
      <c r="D4597" s="10"/>
      <c r="E4597" s="10"/>
      <c r="F4597" s="10"/>
      <c r="J4597" s="25"/>
      <c r="K4597" s="25"/>
      <c r="L4597" s="25"/>
      <c r="M4597" s="25"/>
      <c r="N4597" s="25"/>
      <c r="O4597" s="25"/>
    </row>
    <row r="4598" customFormat="false" ht="13.5" hidden="false" customHeight="true" outlineLevel="0" collapsed="false">
      <c r="B4598" s="10"/>
      <c r="C4598" s="10"/>
      <c r="D4598" s="10"/>
      <c r="E4598" s="10"/>
      <c r="F4598" s="10"/>
      <c r="J4598" s="25"/>
      <c r="K4598" s="25"/>
      <c r="L4598" s="25"/>
      <c r="M4598" s="25"/>
      <c r="N4598" s="25"/>
      <c r="O4598" s="25"/>
    </row>
    <row r="4599" customFormat="false" ht="13.5" hidden="false" customHeight="true" outlineLevel="0" collapsed="false">
      <c r="B4599" s="10"/>
      <c r="C4599" s="10"/>
      <c r="D4599" s="10"/>
      <c r="E4599" s="10"/>
      <c r="F4599" s="10"/>
      <c r="J4599" s="25"/>
      <c r="K4599" s="25"/>
      <c r="L4599" s="25"/>
      <c r="M4599" s="25"/>
      <c r="N4599" s="25"/>
      <c r="O4599" s="25"/>
    </row>
    <row r="4600" customFormat="false" ht="15" hidden="false" customHeight="true" outlineLevel="0" collapsed="false">
      <c r="B4600" s="10"/>
      <c r="C4600" s="10"/>
      <c r="D4600" s="34" t="str">
        <f aca="false">IF($K$4591=0,"",INDEX(Clients!$E$2:$E$501,$K$4591)&amp;"")</f>
        <v/>
      </c>
      <c r="E4600" s="34"/>
      <c r="F4600" s="34"/>
      <c r="J4600" s="25"/>
      <c r="K4600" s="25"/>
      <c r="L4600" s="25"/>
      <c r="M4600" s="25"/>
      <c r="N4600" s="25"/>
      <c r="O4600" s="25"/>
    </row>
    <row r="4601" customFormat="false" ht="15" hidden="false" customHeight="true" outlineLevel="0" collapsed="false">
      <c r="B4601" s="10"/>
      <c r="C4601" s="10"/>
      <c r="D4601" s="35" t="str">
        <f aca="false">IF(IF($K$4591=0,"",INDEX(Clients!$D$2:$D$501,$K$4591)&amp;"")="","","À l'attention de "&amp;TRIM(IF($K$4591=0,"",INDEX(Clients!$B$2:$B$501,$K$4591)&amp;"")&amp;" "&amp;IF($K$4591=0,"",INDEX(Clients!$C$2:$C$501,$K$4591)&amp;"")&amp;" "&amp;IF($K$4591=0,"",INDEX(Clients!$D$2:$D$501,$K$4591)&amp;"")))</f>
        <v/>
      </c>
      <c r="E4601" s="35"/>
      <c r="F4601" s="35"/>
      <c r="J4601" s="25"/>
      <c r="K4601" s="25"/>
      <c r="L4601" s="25"/>
      <c r="M4601" s="25"/>
      <c r="N4601" s="25"/>
      <c r="O4601" s="25"/>
    </row>
    <row r="4602" customFormat="false" ht="15" hidden="false" customHeight="true" outlineLevel="0" collapsed="false">
      <c r="B4602" s="10"/>
      <c r="C4602" s="10"/>
      <c r="D4602" s="35" t="str">
        <f aca="false">IF($K$4591=0,"",INDEX(Clients!$F$2:$F$501,$K$4591)&amp;"")</f>
        <v/>
      </c>
      <c r="E4602" s="35"/>
      <c r="F4602" s="35"/>
      <c r="J4602" s="25"/>
      <c r="K4602" s="25"/>
      <c r="L4602" s="25"/>
      <c r="M4602" s="25"/>
      <c r="N4602" s="25"/>
      <c r="O4602" s="25"/>
    </row>
    <row r="4603" customFormat="false" ht="15" hidden="false" customHeight="true" outlineLevel="0" collapsed="false">
      <c r="B4603" s="10"/>
      <c r="C4603" s="10"/>
      <c r="D4603" s="35" t="str">
        <f aca="false">IF(IF($K$4591=0,"",INDEX(Clients!$G$2:$G$501,$K$4591)&amp;"")="",TRIM(IF($K$4591=0,"",INDEX(Clients!$H$2:$H$501,$K$4591)&amp;"")&amp;" "&amp;UPPER(IF($K$4591=0,"",INDEX(Clients!$I$2:$I$501,$K$4591)&amp;""))),IF($K$4591=0,"",INDEX(Clients!$G$2:$G$501,$K$4591)&amp;""))</f>
        <v/>
      </c>
      <c r="E4603" s="35"/>
      <c r="F4603" s="35"/>
      <c r="J4603" s="25"/>
      <c r="K4603" s="25"/>
      <c r="L4603" s="25"/>
      <c r="M4603" s="25"/>
      <c r="N4603" s="25"/>
      <c r="O4603" s="25"/>
    </row>
    <row r="4604" customFormat="false" ht="15" hidden="false" customHeight="true" outlineLevel="0" collapsed="false">
      <c r="B4604" s="10"/>
      <c r="C4604" s="10"/>
      <c r="D4604" s="35" t="str">
        <f aca="false">IF(IF($K$4591=0,"",INDEX(Clients!$G$2:$G$501,$K$4591)&amp;"")="","",TRIM(IF($K$4591=0,"",INDEX(Clients!$H$2:$H$501,$K$4591)&amp;"")&amp;" "&amp;UPPER(IF($K$4591=0,"",INDEX(Clients!$I$2:$I$501,$K$4591)&amp;""))))</f>
        <v/>
      </c>
      <c r="E4604" s="35"/>
      <c r="F4604" s="35"/>
      <c r="J4604" s="25"/>
      <c r="K4604" s="25"/>
      <c r="L4604" s="25"/>
      <c r="M4604" s="25"/>
      <c r="N4604" s="25"/>
      <c r="O4604" s="25"/>
    </row>
    <row r="4605" customFormat="false" ht="25.5" hidden="false" customHeight="true" outlineLevel="0" collapsed="false">
      <c r="B4605" s="10"/>
      <c r="C4605" s="10"/>
      <c r="D4605" s="10"/>
      <c r="E4605" s="10"/>
      <c r="F4605" s="10"/>
      <c r="J4605" s="25"/>
      <c r="K4605" s="25"/>
      <c r="L4605" s="25"/>
      <c r="M4605" s="25"/>
      <c r="N4605" s="25"/>
      <c r="O4605" s="25"/>
    </row>
    <row r="4606" customFormat="false" ht="15" hidden="false" customHeight="false" outlineLevel="0" collapsed="false">
      <c r="B4606" s="10"/>
      <c r="C4606" s="10"/>
      <c r="D4606" s="36" t="str">
        <f aca="false">Cab_Ville&amp;", le "&amp;DAY(Date_Courrier)&amp;IF(DAY(Date_Courrier)=1,"er","")&amp;" "&amp;INDEX(Liste_Mois,MONTH(Date_Courrier))&amp;" "&amp;YEAR(Date_Courrier)</f>
        <v>Le Plessis-Bouchard, le 22 septembre 2026</v>
      </c>
      <c r="E4606" s="36"/>
      <c r="F4606" s="36"/>
      <c r="J4606" s="25"/>
      <c r="K4606" s="25"/>
      <c r="L4606" s="25"/>
      <c r="M4606" s="25"/>
      <c r="N4606" s="25"/>
      <c r="O4606" s="25"/>
    </row>
    <row r="4607" customFormat="false" ht="19.5" hidden="false" customHeight="true" outlineLevel="0" collapsed="false">
      <c r="B4607" s="10"/>
      <c r="C4607" s="10"/>
      <c r="D4607" s="10"/>
      <c r="E4607" s="10"/>
      <c r="F4607" s="10"/>
      <c r="J4607" s="25"/>
      <c r="K4607" s="25"/>
      <c r="L4607" s="25"/>
      <c r="M4607" s="25"/>
      <c r="N4607" s="25"/>
      <c r="O4607" s="25"/>
    </row>
    <row r="4608" customFormat="false" ht="15" hidden="false" customHeight="false" outlineLevel="0" collapsed="false">
      <c r="B4608" s="34" t="str">
        <f aca="false">SUBSTITUTE(SUBSTITUTE(SUBSTITUTE(SUBSTITUTE(SUBSTITUTE(Txt_Objet,"{cabinet}",Cab_Nom),"{societe}",IF($K$4591=0,"",INDEX(Clients!$E$2:$E$501,$K$4591)&amp;"")),"{date_effet}",$K$4593),"{hausse}",$K$4594),"{civilite}",$K$4592)</f>
        <v>Objet : révision de nos honoraires au 1er janvier 2027</v>
      </c>
      <c r="C4608" s="34"/>
      <c r="D4608" s="34"/>
      <c r="E4608" s="34"/>
      <c r="F4608" s="34"/>
      <c r="J4608" s="25"/>
      <c r="K4608" s="25"/>
      <c r="L4608" s="25"/>
      <c r="M4608" s="25"/>
      <c r="N4608" s="25"/>
      <c r="O4608" s="25"/>
    </row>
    <row r="4609" customFormat="false" ht="13.5" hidden="false" customHeight="true" outlineLevel="0" collapsed="false">
      <c r="B4609" s="10"/>
      <c r="C4609" s="10"/>
      <c r="D4609" s="10"/>
      <c r="E4609" s="10"/>
      <c r="F4609" s="10"/>
      <c r="J4609" s="25"/>
      <c r="K4609" s="25"/>
      <c r="L4609" s="25"/>
      <c r="M4609" s="25"/>
      <c r="N4609" s="25"/>
      <c r="O4609" s="25"/>
    </row>
    <row r="4610" customFormat="false" ht="15" hidden="false" customHeight="false" outlineLevel="0" collapsed="false">
      <c r="B4610" s="10" t="str">
        <f aca="false">$K$4592&amp;","</f>
        <v>Madame, Monsieur,</v>
      </c>
      <c r="C4610" s="10"/>
      <c r="D4610" s="10"/>
      <c r="E4610" s="10"/>
      <c r="F4610" s="10"/>
      <c r="J4610" s="25"/>
      <c r="K4610" s="25"/>
      <c r="L4610" s="25"/>
      <c r="M4610" s="25"/>
      <c r="N4610" s="25"/>
      <c r="O4610" s="25"/>
    </row>
    <row r="4611" customFormat="false" ht="6" hidden="false" customHeight="true" outlineLevel="0" collapsed="false">
      <c r="B4611" s="10"/>
      <c r="C4611" s="10"/>
      <c r="D4611" s="10"/>
      <c r="E4611" s="10"/>
      <c r="F4611" s="10"/>
      <c r="J4611" s="25"/>
      <c r="K4611" s="25"/>
      <c r="L4611" s="25"/>
      <c r="M4611" s="25"/>
      <c r="N4611" s="25"/>
      <c r="O4611" s="25"/>
    </row>
    <row r="4612" customFormat="false" ht="36.75" hidden="false" customHeight="true" outlineLevel="0" collapsed="false">
      <c r="B4612" s="37" t="str">
        <f aca="false">SUBSTITUTE(SUBSTITUTE(SUBSTITUTE(SUBSTITUTE(SUBSTITUTE(Txt_P1,"{cabinet}",Cab_Nom),"{societe}",IF($K$4591=0,"",INDEX(Clients!$E$2:$E$501,$K$4591)&amp;"")),"{date_effet}",$K$4593),"{hausse}",$K$4594),"{civilite}",$K$4592)</f>
        <v>Nous tenons tout d'abord à vous remercier pour la confiance que vous accordez à ALTHO EXPERTISE. Comme chaque année, et conformément aux dispositions de votre lettre de mission, nous procédons à la révision de nos honoraires.</v>
      </c>
      <c r="C4612" s="37"/>
      <c r="D4612" s="37"/>
      <c r="E4612" s="37"/>
      <c r="F4612" s="37"/>
      <c r="J4612" s="25"/>
      <c r="K4612" s="25"/>
      <c r="L4612" s="25"/>
      <c r="M4612" s="25"/>
      <c r="N4612" s="25"/>
      <c r="O4612" s="25"/>
    </row>
    <row r="4613" customFormat="false" ht="49.5" hidden="false" customHeight="true" outlineLevel="0" collapsed="false">
      <c r="B4613" s="37" t="str">
        <f aca="false">SUBSTITUTE(SUBSTITUTE(SUBSTITUTE(SUBSTITUTE(SUBSTITUTE(Txt_P2,"{cabinet}",Cab_Nom),"{societe}",IF($K$4591=0,"",INDEX(Clients!$E$2:$E$501,$K$4591)&amp;"")),"{date_effet}",$K$4593),"{hausse}",$K$4594),"{civilite}",$K$4592)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613" s="37"/>
      <c r="D4613" s="37"/>
      <c r="E4613" s="37"/>
      <c r="F4613" s="37"/>
      <c r="J4613" s="25"/>
      <c r="K4613" s="25"/>
      <c r="L4613" s="25"/>
      <c r="M4613" s="25"/>
      <c r="N4613" s="25"/>
      <c r="O4613" s="25"/>
    </row>
    <row r="4614" customFormat="false" ht="63" hidden="false" customHeight="true" outlineLevel="0" collapsed="false">
      <c r="B4614" s="37" t="str">
        <f aca="false">SUBSTITUTE(SUBSTITUTE(SUBSTITUTE(SUBSTITUTE(SUBSTITUTE(Txt_P3,"{cabinet}",Cab_Nom),"{societe}",IF($K$4591=0,"",INDEX(Clients!$E$2:$E$501,$K$4591)&amp;"")),"{date_effet}",$K$4593),"{hausse}",$K$4594),"{civilite}",$K$4592)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614" s="37"/>
      <c r="D4614" s="37"/>
      <c r="E4614" s="37"/>
      <c r="F4614" s="37"/>
      <c r="J4614" s="25"/>
      <c r="K4614" s="25"/>
      <c r="L4614" s="25"/>
      <c r="M4614" s="25"/>
      <c r="N4614" s="25"/>
      <c r="O4614" s="25"/>
    </row>
    <row r="4615" customFormat="false" ht="24" hidden="false" customHeight="true" outlineLevel="0" collapsed="false">
      <c r="B4615" s="37" t="str">
        <f aca="false">SUBSTITUTE(SUBSTITUTE(SUBSTITUTE(SUBSTITUTE(SUBSTITUTE(Txt_P4,"{cabinet}",Cab_Nom),"{societe}",IF($K$4591=0,"",INDEX(Clients!$E$2:$E$501,$K$4591)&amp;"")),"{date_effet}",$K$4593),"{hausse}",$K$4594),"{civilite}",$K$4592)</f>
        <v>À compter du 1er janvier 2027, vos honoraires annuels hors taxes évolueront ainsi (évolution globale : ) :</v>
      </c>
      <c r="C4615" s="37"/>
      <c r="D4615" s="37"/>
      <c r="E4615" s="37"/>
      <c r="F4615" s="37"/>
      <c r="J4615" s="25"/>
      <c r="K4615" s="25"/>
      <c r="L4615" s="25"/>
      <c r="M4615" s="25"/>
      <c r="N4615" s="25"/>
      <c r="O4615" s="25"/>
    </row>
    <row r="4616" customFormat="false" ht="3.75" hidden="false" customHeight="true" outlineLevel="0" collapsed="false">
      <c r="B4616" s="10"/>
      <c r="C4616" s="10"/>
      <c r="D4616" s="10"/>
      <c r="E4616" s="10"/>
      <c r="F4616" s="10"/>
      <c r="J4616" s="25"/>
      <c r="K4616" s="25"/>
      <c r="L4616" s="25"/>
      <c r="M4616" s="25"/>
      <c r="N4616" s="25"/>
      <c r="O4616" s="25"/>
    </row>
    <row r="4617" customFormat="false" ht="18" hidden="false" customHeight="true" outlineLevel="0" collapsed="false">
      <c r="B4617" s="38" t="s">
        <v>148</v>
      </c>
      <c r="C4617" s="39" t="s">
        <v>149</v>
      </c>
      <c r="D4617" s="39" t="s">
        <v>150</v>
      </c>
      <c r="E4617" s="39" t="s">
        <v>151</v>
      </c>
      <c r="F4617" s="39" t="s">
        <v>109</v>
      </c>
      <c r="J4617" s="25" t="s">
        <v>152</v>
      </c>
      <c r="K4617" s="25" t="s">
        <v>153</v>
      </c>
      <c r="L4617" s="25" t="s">
        <v>154</v>
      </c>
      <c r="M4617" s="25" t="s">
        <v>155</v>
      </c>
      <c r="N4617" s="25" t="s">
        <v>156</v>
      </c>
      <c r="O4617" s="25" t="s">
        <v>157</v>
      </c>
    </row>
    <row r="4618" customFormat="false" ht="16.5" hidden="false" customHeight="true" outlineLevel="0" collapsed="false">
      <c r="B4618" s="40" t="str">
        <f aca="false">IFERROR(INDEX($J$4618:$J$4621,MATCH($O4618,$N$4618:$N$4621,0)),"")</f>
        <v/>
      </c>
      <c r="C4618" s="41" t="str">
        <f aca="false">IFERROR(INDEX($K$4618:$K$4621,MATCH($O4618,$N$4618:$N$4621,0)),"")</f>
        <v/>
      </c>
      <c r="D4618" s="42" t="str">
        <f aca="false">IF(OR(E4618="",N(C4618)=0),"",E4618/C4618-1)</f>
        <v/>
      </c>
      <c r="E4618" s="41" t="str">
        <f aca="false">IFERROR(INDEX($L$4618:$L$4621,MATCH($O4618,$N$4618:$N$4621,0)),"")</f>
        <v/>
      </c>
      <c r="F4618" s="41" t="str">
        <f aca="false">IF(E4618="","",E4618-C4618)</f>
        <v/>
      </c>
      <c r="J4618" s="25" t="str">
        <f aca="false">Lib_Compta</f>
        <v>Mission comptable (tenue, révision, bilan, liasse fiscale)</v>
      </c>
      <c r="K4618" s="25" t="n">
        <f aca="false">IF($K$4591=0,0,N(INDEX(Clients!$K$2:$K$501,$K$4591)))</f>
        <v>0</v>
      </c>
      <c r="L4618" s="25" t="n">
        <f aca="false">IF($K$4591=0,0,N(INDEX(Clients!$P$2:$P$501,$K$4591)))</f>
        <v>0</v>
      </c>
      <c r="M4618" s="25" t="n">
        <f aca="false">IF(OR(K4618&lt;&gt;0,L4618&lt;&gt;0),1,0)</f>
        <v>0</v>
      </c>
      <c r="N4618" s="25" t="str">
        <f aca="false">IF(M4618=1,SUM($M$4618:M4618),"")</f>
        <v/>
      </c>
      <c r="O4618" s="25" t="n">
        <v>1</v>
      </c>
    </row>
    <row r="4619" customFormat="false" ht="16.5" hidden="false" customHeight="true" outlineLevel="0" collapsed="false">
      <c r="B4619" s="40" t="str">
        <f aca="false">IFERROR(INDEX($J$4618:$J$4621,MATCH($O4619,$N$4618:$N$4621,0)),"")</f>
        <v/>
      </c>
      <c r="C4619" s="41" t="str">
        <f aca="false">IFERROR(INDEX($K$4618:$K$4621,MATCH($O4619,$N$4618:$N$4621,0)),"")</f>
        <v/>
      </c>
      <c r="D4619" s="42" t="str">
        <f aca="false">IF(OR(E4619="",N(C4619)=0),"",E4619/C4619-1)</f>
        <v/>
      </c>
      <c r="E4619" s="41" t="str">
        <f aca="false">IFERROR(INDEX($L$4618:$L$4621,MATCH($O4619,$N$4618:$N$4621,0)),"")</f>
        <v/>
      </c>
      <c r="F4619" s="41" t="str">
        <f aca="false">IF(E4619="","",E4619-C4619)</f>
        <v/>
      </c>
      <c r="J4619" s="25" t="str">
        <f aca="false">Lib_Paye</f>
        <v>Mission sociale (bulletins de paie, DSN, déclarations sociales)</v>
      </c>
      <c r="K4619" s="25" t="n">
        <f aca="false">IF($K$4591=0,0,N(INDEX(Clients!$L$2:$L$501,$K$4591)))</f>
        <v>0</v>
      </c>
      <c r="L4619" s="25" t="n">
        <f aca="false">IF($K$4591=0,0,N(INDEX(Clients!$Q$2:$Q$501,$K$4591)))</f>
        <v>0</v>
      </c>
      <c r="M4619" s="25" t="n">
        <f aca="false">IF(OR(K4619&lt;&gt;0,L4619&lt;&gt;0),1,0)</f>
        <v>0</v>
      </c>
      <c r="N4619" s="25" t="str">
        <f aca="false">IF(M4619=1,SUM($M$4618:M4619),"")</f>
        <v/>
      </c>
      <c r="O4619" s="25" t="n">
        <v>2</v>
      </c>
    </row>
    <row r="4620" customFormat="false" ht="16.5" hidden="false" customHeight="true" outlineLevel="0" collapsed="false">
      <c r="B4620" s="40" t="str">
        <f aca="false">IFERROR(INDEX($J$4618:$J$4621,MATCH($O4620,$N$4618:$N$4621,0)),"")</f>
        <v/>
      </c>
      <c r="C4620" s="41" t="str">
        <f aca="false">IFERROR(INDEX($K$4618:$K$4621,MATCH($O4620,$N$4618:$N$4621,0)),"")</f>
        <v/>
      </c>
      <c r="D4620" s="42" t="str">
        <f aca="false">IF(OR(E4620="",N(C4620)=0),"",E4620/C4620-1)</f>
        <v/>
      </c>
      <c r="E4620" s="41" t="str">
        <f aca="false">IFERROR(INDEX($L$4618:$L$4621,MATCH($O4620,$N$4618:$N$4621,0)),"")</f>
        <v/>
      </c>
      <c r="F4620" s="41" t="str">
        <f aca="false">IF(E4620="","",E4620-C4620)</f>
        <v/>
      </c>
      <c r="J4620" s="25" t="str">
        <f aca="false">Lib_Jur</f>
        <v>Mission juridique (approbation des comptes, secrétariat juridique)</v>
      </c>
      <c r="K4620" s="25" t="n">
        <f aca="false">IF($K$4591=0,0,N(INDEX(Clients!$M$2:$M$501,$K$4591)))</f>
        <v>0</v>
      </c>
      <c r="L4620" s="25" t="n">
        <f aca="false">IF($K$4591=0,0,N(INDEX(Clients!$R$2:$R$501,$K$4591)))</f>
        <v>0</v>
      </c>
      <c r="M4620" s="25" t="n">
        <f aca="false">IF(OR(K4620&lt;&gt;0,L4620&lt;&gt;0),1,0)</f>
        <v>0</v>
      </c>
      <c r="N4620" s="25" t="str">
        <f aca="false">IF(M4620=1,SUM($M$4618:M4620),"")</f>
        <v/>
      </c>
      <c r="O4620" s="25" t="n">
        <v>3</v>
      </c>
    </row>
    <row r="4621" customFormat="false" ht="16.5" hidden="false" customHeight="true" outlineLevel="0" collapsed="false">
      <c r="B4621" s="40" t="str">
        <f aca="false">IFERROR(INDEX($J$4618:$J$4621,MATCH($O4621,$N$4618:$N$4621,0)),"")</f>
        <v/>
      </c>
      <c r="C4621" s="41" t="str">
        <f aca="false">IFERROR(INDEX($K$4618:$K$4621,MATCH($O4621,$N$4618:$N$4621,0)),"")</f>
        <v/>
      </c>
      <c r="D4621" s="42" t="str">
        <f aca="false">IF(OR(E4621="",N(C4621)=0),"",E4621/C4621-1)</f>
        <v/>
      </c>
      <c r="E4621" s="41" t="str">
        <f aca="false">IFERROR(INDEX($L$4618:$L$4621,MATCH($O4621,$N$4618:$N$4621,0)),"")</f>
        <v/>
      </c>
      <c r="F4621" s="41" t="str">
        <f aca="false">IF(E4621="","",E4621-C4621)</f>
        <v/>
      </c>
      <c r="J4621" s="25" t="str">
        <f aca="false">Lib_PA</f>
        <v>Plateforme agréée – facturation électronique</v>
      </c>
      <c r="K4621" s="25" t="n">
        <f aca="false">IF($K$4591=0,0,N(INDEX(Clients!$N$2:$N$501,$K$4591)))</f>
        <v>0</v>
      </c>
      <c r="L4621" s="25" t="n">
        <f aca="false">IF($K$4591=0,0,N(INDEX(Clients!$S$2:$S$501,$K$4591)))</f>
        <v>0</v>
      </c>
      <c r="M4621" s="25" t="n">
        <f aca="false">IF(OR(K4621&lt;&gt;0,L4621&lt;&gt;0),1,0)</f>
        <v>0</v>
      </c>
      <c r="N4621" s="25" t="str">
        <f aca="false">IF(M4621=1,SUM($M$4618:M4621),"")</f>
        <v/>
      </c>
      <c r="O4621" s="25" t="n">
        <v>4</v>
      </c>
    </row>
    <row r="4622" customFormat="false" ht="18" hidden="false" customHeight="true" outlineLevel="0" collapsed="false">
      <c r="B4622" s="43" t="s">
        <v>158</v>
      </c>
      <c r="C4622" s="44" t="n">
        <f aca="false">SUM(K4618:K4621)</f>
        <v>0</v>
      </c>
      <c r="D4622" s="45" t="str">
        <f aca="false">IF(N(C4622)=0,"",E4622/C4622-1)</f>
        <v/>
      </c>
      <c r="E4622" s="44" t="n">
        <f aca="false">SUM(L4618:L4621)</f>
        <v>0</v>
      </c>
      <c r="F4622" s="44" t="n">
        <f aca="false">E4622-C4622</f>
        <v>0</v>
      </c>
    </row>
    <row r="4623" customFormat="false" ht="15" hidden="false" customHeight="false" outlineLevel="0" collapsed="false">
      <c r="B4623" s="46" t="str">
        <f aca="false">IF(N(Nb_Mensualites)=0,"","Soit "&amp;FIXED(E4622/Nb_Mensualites,2)&amp;" € HT par échéance ("&amp;Nb_Mensualites&amp;" échéances), "&amp;FIXED(E4622/Nb_Mensualites*(1+Taux_TVA),2)&amp;" € TTC.")</f>
        <v>Soit 0.00 € HT par échéance (12 échéances), 0.00 € TTC.</v>
      </c>
      <c r="C4623" s="46"/>
      <c r="D4623" s="46"/>
      <c r="E4623" s="46"/>
      <c r="F4623" s="46"/>
    </row>
    <row r="4624" customFormat="false" ht="7.5" hidden="false" customHeight="true" outlineLevel="0" collapsed="false">
      <c r="B4624" s="10"/>
      <c r="C4624" s="10"/>
      <c r="D4624" s="10"/>
      <c r="E4624" s="10"/>
      <c r="F4624" s="10"/>
    </row>
    <row r="4625" customFormat="false" ht="36.75" hidden="false" customHeight="true" outlineLevel="0" collapsed="false">
      <c r="B4625" s="37" t="str">
        <f aca="false">SUBSTITUTE(SUBSTITUTE(SUBSTITUTE(SUBSTITUTE(SUBSTITUTE(Txt_P5,"{cabinet}",Cab_Nom),"{societe}",IF($K$4591=0,"",INDEX(Clients!$E$2:$E$501,$K$4591)&amp;"")),"{date_effet}",$K$4593),"{hausse}",$K$4594),"{civilite}",$K$4592)</f>
        <v>Les autres conditions de votre lettre de mission demeurent inchangées. Les nouveaux montants seront appliqués automatiquement sur vos prochaines factures et échéances de prélèvement.</v>
      </c>
      <c r="C4625" s="37"/>
      <c r="D4625" s="37"/>
      <c r="E4625" s="37"/>
      <c r="F4625" s="37"/>
    </row>
    <row r="4626" customFormat="false" ht="36.75" hidden="false" customHeight="true" outlineLevel="0" collapsed="false">
      <c r="B4626" s="37" t="str">
        <f aca="false">SUBSTITUTE(SUBSTITUTE(SUBSTITUTE(SUBSTITUTE(SUBSTITUTE(Txt_P6,"{cabinet}",Cab_Nom),"{societe}",IF($K$4591=0,"",INDEX(Clients!$E$2:$E$501,$K$4591)&amp;"")),"{date_effet}",$K$4593),"{hausse}",$K$4594),"{civilite}",$K$4592)</f>
        <v>Votre interlocuteur habituel reste à votre entière disposition pour répondre à vos questions et faire le point sur l'évolution de vos besoins.</v>
      </c>
      <c r="C4626" s="37"/>
      <c r="D4626" s="37"/>
      <c r="E4626" s="37"/>
      <c r="F4626" s="37"/>
    </row>
    <row r="4627" customFormat="false" ht="24" hidden="false" customHeight="true" outlineLevel="0" collapsed="false">
      <c r="B4627" s="37" t="str">
        <f aca="false">SUBSTITUTE(SUBSTITUTE(SUBSTITUTE(SUBSTITUTE(SUBSTITUTE(Txt_Politesse,"{cabinet}",Cab_Nom),"{societe}",IF($K$4591=0,"",INDEX(Clients!$E$2:$E$501,$K$4591)&amp;"")),"{date_effet}",$K$4593),"{hausse}",$K$4594),"{civilite}",$K$4592)</f>
        <v>Nous vous prions d'agréer, Madame, Monsieur, l'expression de nos salutations distinguées.</v>
      </c>
      <c r="C4627" s="37"/>
      <c r="D4627" s="37"/>
      <c r="E4627" s="37"/>
      <c r="F4627" s="37"/>
    </row>
    <row r="4628" customFormat="false" ht="15" hidden="false" customHeight="false" outlineLevel="0" collapsed="false">
      <c r="B4628" s="10"/>
      <c r="C4628" s="10"/>
      <c r="D4628" s="10"/>
      <c r="E4628" s="10"/>
      <c r="F4628" s="10"/>
    </row>
    <row r="4629" customFormat="false" ht="15" hidden="false" customHeight="false" outlineLevel="0" collapsed="false">
      <c r="B4629" s="10"/>
      <c r="C4629" s="10"/>
      <c r="D4629" s="34" t="str">
        <f aca="false">Signataire</f>
        <v>Prénom NOM</v>
      </c>
      <c r="E4629" s="34"/>
      <c r="F4629" s="34"/>
    </row>
    <row r="4630" customFormat="false" ht="15" hidden="false" customHeight="false" outlineLevel="0" collapsed="false">
      <c r="B4630" s="10"/>
      <c r="C4630" s="10"/>
      <c r="D4630" s="47" t="str">
        <f aca="false">Signataire_Titre</f>
        <v>Expert-comptable associé</v>
      </c>
      <c r="E4630" s="47"/>
      <c r="F4630" s="47"/>
    </row>
    <row r="4631" customFormat="false" ht="15.75" hidden="false" customHeight="true" outlineLevel="0" collapsed="false">
      <c r="B4631" s="10"/>
      <c r="C4631" s="10"/>
      <c r="D4631" s="10"/>
      <c r="E4631" s="10"/>
      <c r="F4631" s="10"/>
    </row>
    <row r="4632" customFormat="false" ht="15.75" hidden="false" customHeight="true" outlineLevel="0" collapsed="false">
      <c r="B4632" s="10"/>
      <c r="C4632" s="10"/>
      <c r="D4632" s="10"/>
      <c r="E4632" s="10"/>
      <c r="F4632" s="10"/>
    </row>
    <row r="4633" customFormat="false" ht="15.75" hidden="false" customHeight="true" outlineLevel="0" collapsed="false">
      <c r="B4633" s="10"/>
      <c r="C4633" s="10"/>
      <c r="D4633" s="10"/>
      <c r="E4633" s="10"/>
      <c r="F4633" s="10"/>
    </row>
    <row r="4634" customFormat="false" ht="15.75" hidden="false" customHeight="true" outlineLevel="0" collapsed="false">
      <c r="B4634" s="10"/>
      <c r="C4634" s="10"/>
      <c r="D4634" s="10"/>
      <c r="E4634" s="10"/>
      <c r="F4634" s="10"/>
    </row>
    <row r="4635" customFormat="false" ht="24" hidden="false" customHeight="true" outlineLevel="0" collapsed="false">
      <c r="B4635" s="48" t="str">
        <f aca="false">Cab_Mentions</f>
        <v>ALTHO EXPERTISE · SAS au capital de 10 000 € · RCS Pontoise 919 706 325 · TVA FR62919706325 · Société d'expertise comptable inscrite au Tableau de l'Ordre des experts-comptables de Paris Île-de-France</v>
      </c>
      <c r="C4635" s="48"/>
      <c r="D4635" s="48"/>
      <c r="E4635" s="48"/>
      <c r="F4635" s="48"/>
    </row>
    <row r="4636" customFormat="false" ht="15" hidden="false" customHeight="false" outlineLevel="0" collapsed="false">
      <c r="B4636" s="10"/>
      <c r="C4636" s="10"/>
      <c r="D4636" s="10"/>
      <c r="E4636" s="10"/>
      <c r="F4636" s="10"/>
      <c r="J4636" s="25" t="s">
        <v>142</v>
      </c>
      <c r="K4636" s="25" t="n">
        <f aca="false">IFERROR(MATCH(104,Clients!$Z$2:$Z$501,0),0)</f>
        <v>0</v>
      </c>
      <c r="L4636" s="25"/>
      <c r="M4636" s="25"/>
      <c r="N4636" s="25"/>
      <c r="O4636" s="25"/>
    </row>
    <row r="4637" customFormat="false" ht="21.75" hidden="false" customHeight="true" outlineLevel="0" collapsed="false">
      <c r="B4637" s="26" t="str">
        <f aca="false">Cab_Nom</f>
        <v>ALTHO EXPERTISE</v>
      </c>
      <c r="C4637" s="26"/>
      <c r="D4637" s="10"/>
      <c r="E4637" s="27" t="str">
        <f aca="false">IF($K$4636=0,"","Réf. client : "&amp;INDEX(Clients!$A$2:$A$501,$K$4636))</f>
        <v/>
      </c>
      <c r="F4637" s="27"/>
      <c r="J4637" s="25" t="s">
        <v>144</v>
      </c>
      <c r="K4637" s="25" t="str">
        <f aca="false">IF(IF($K$4636=0,"",INDEX(Clients!$B$2:$B$501,$K$4636)&amp;"")="Mme","Madame",IF(IF($K$4636=0,"",INDEX(Clients!$B$2:$B$501,$K$4636)&amp;"")="M.","Monsieur","Madame, Monsieur"))</f>
        <v>Madame, Monsieur</v>
      </c>
      <c r="L4637" s="25"/>
      <c r="M4637" s="25"/>
      <c r="N4637" s="25"/>
      <c r="O4637" s="25"/>
    </row>
    <row r="4638" customFormat="false" ht="15" hidden="false" customHeight="false" outlineLevel="0" collapsed="false">
      <c r="B4638" s="29" t="str">
        <f aca="false">Cab_Adr1</f>
        <v>141 rue Charles de Gaulle</v>
      </c>
      <c r="C4638" s="29"/>
      <c r="D4638" s="10"/>
      <c r="E4638" s="10"/>
      <c r="F4638" s="10"/>
      <c r="J4638" s="25" t="s">
        <v>145</v>
      </c>
      <c r="K4638" s="25" t="str">
        <f aca="false">DAY(Date_Effet)&amp;IF(DAY(Date_Effet)=1,"er","")&amp;" "&amp;INDEX(Liste_Mois,MONTH(Date_Effet))&amp;" "&amp;YEAR(Date_Effet)</f>
        <v>1er janvier 2027</v>
      </c>
      <c r="L4638" s="25"/>
      <c r="M4638" s="25"/>
      <c r="N4638" s="25"/>
      <c r="O4638" s="25"/>
    </row>
    <row r="4639" customFormat="false" ht="15" hidden="false" customHeight="false" outlineLevel="0" collapsed="false">
      <c r="B4639" s="29" t="str">
        <f aca="false">Cab_CPVille</f>
        <v>95130 LE PLESSIS-BOUCHARD</v>
      </c>
      <c r="C4639" s="29"/>
      <c r="D4639" s="10"/>
      <c r="E4639" s="10"/>
      <c r="F4639" s="10"/>
      <c r="J4639" s="25" t="s">
        <v>146</v>
      </c>
      <c r="K4639" s="25" t="str">
        <f aca="false">IF(SUM($K$4663:$K$4666)=0,"",FIXED((SUM($L$4663:$L$4666)/SUM($K$4663:$K$4666)-1)*100,1)&amp;" %")</f>
        <v/>
      </c>
      <c r="L4639" s="25"/>
      <c r="M4639" s="25"/>
      <c r="N4639" s="25"/>
      <c r="O4639" s="25"/>
    </row>
    <row r="4640" customFormat="false" ht="15" hidden="false" customHeight="false" outlineLevel="0" collapsed="false">
      <c r="B4640" s="29" t="str">
        <f aca="false">Cab_Contact</f>
        <v>Tél. 01 34 14 53 45  ·  altho@altho-experts.com  ·  altho-experts.com</v>
      </c>
      <c r="C4640" s="29"/>
      <c r="D4640" s="10"/>
      <c r="E4640" s="10"/>
      <c r="F4640" s="10"/>
      <c r="J4640" s="25"/>
      <c r="K4640" s="25"/>
      <c r="L4640" s="25"/>
      <c r="M4640" s="25"/>
      <c r="N4640" s="25"/>
      <c r="O4640" s="25"/>
    </row>
    <row r="4641" customFormat="false" ht="6" hidden="false" customHeight="true" outlineLevel="0" collapsed="false">
      <c r="B4641" s="32"/>
      <c r="C4641" s="32"/>
      <c r="D4641" s="32"/>
      <c r="E4641" s="32"/>
      <c r="F4641" s="32"/>
      <c r="J4641" s="25"/>
      <c r="K4641" s="25"/>
      <c r="L4641" s="25"/>
      <c r="M4641" s="25"/>
      <c r="N4641" s="25"/>
      <c r="O4641" s="25"/>
    </row>
    <row r="4642" customFormat="false" ht="13.5" hidden="false" customHeight="true" outlineLevel="0" collapsed="false">
      <c r="B4642" s="10"/>
      <c r="C4642" s="10"/>
      <c r="D4642" s="10"/>
      <c r="E4642" s="10"/>
      <c r="F4642" s="10"/>
      <c r="J4642" s="25"/>
      <c r="K4642" s="25"/>
      <c r="L4642" s="25"/>
      <c r="M4642" s="25"/>
      <c r="N4642" s="25"/>
      <c r="O4642" s="25"/>
    </row>
    <row r="4643" customFormat="false" ht="13.5" hidden="false" customHeight="true" outlineLevel="0" collapsed="false">
      <c r="B4643" s="10"/>
      <c r="C4643" s="10"/>
      <c r="D4643" s="10"/>
      <c r="E4643" s="10"/>
      <c r="F4643" s="10"/>
      <c r="J4643" s="25"/>
      <c r="K4643" s="25"/>
      <c r="L4643" s="25"/>
      <c r="M4643" s="25"/>
      <c r="N4643" s="25"/>
      <c r="O4643" s="25"/>
    </row>
    <row r="4644" customFormat="false" ht="13.5" hidden="false" customHeight="true" outlineLevel="0" collapsed="false">
      <c r="B4644" s="10"/>
      <c r="C4644" s="10"/>
      <c r="D4644" s="10"/>
      <c r="E4644" s="10"/>
      <c r="F4644" s="10"/>
      <c r="J4644" s="25"/>
      <c r="K4644" s="25"/>
      <c r="L4644" s="25"/>
      <c r="M4644" s="25"/>
      <c r="N4644" s="25"/>
      <c r="O4644" s="25"/>
    </row>
    <row r="4645" customFormat="false" ht="15" hidden="false" customHeight="true" outlineLevel="0" collapsed="false">
      <c r="B4645" s="10"/>
      <c r="C4645" s="10"/>
      <c r="D4645" s="34" t="str">
        <f aca="false">IF($K$4636=0,"",INDEX(Clients!$E$2:$E$501,$K$4636)&amp;"")</f>
        <v/>
      </c>
      <c r="E4645" s="34"/>
      <c r="F4645" s="34"/>
      <c r="J4645" s="25"/>
      <c r="K4645" s="25"/>
      <c r="L4645" s="25"/>
      <c r="M4645" s="25"/>
      <c r="N4645" s="25"/>
      <c r="O4645" s="25"/>
    </row>
    <row r="4646" customFormat="false" ht="15" hidden="false" customHeight="true" outlineLevel="0" collapsed="false">
      <c r="B4646" s="10"/>
      <c r="C4646" s="10"/>
      <c r="D4646" s="35" t="str">
        <f aca="false">IF(IF($K$4636=0,"",INDEX(Clients!$D$2:$D$501,$K$4636)&amp;"")="","","À l'attention de "&amp;TRIM(IF($K$4636=0,"",INDEX(Clients!$B$2:$B$501,$K$4636)&amp;"")&amp;" "&amp;IF($K$4636=0,"",INDEX(Clients!$C$2:$C$501,$K$4636)&amp;"")&amp;" "&amp;IF($K$4636=0,"",INDEX(Clients!$D$2:$D$501,$K$4636)&amp;"")))</f>
        <v/>
      </c>
      <c r="E4646" s="35"/>
      <c r="F4646" s="35"/>
      <c r="J4646" s="25"/>
      <c r="K4646" s="25"/>
      <c r="L4646" s="25"/>
      <c r="M4646" s="25"/>
      <c r="N4646" s="25"/>
      <c r="O4646" s="25"/>
    </row>
    <row r="4647" customFormat="false" ht="15" hidden="false" customHeight="true" outlineLevel="0" collapsed="false">
      <c r="B4647" s="10"/>
      <c r="C4647" s="10"/>
      <c r="D4647" s="35" t="str">
        <f aca="false">IF($K$4636=0,"",INDEX(Clients!$F$2:$F$501,$K$4636)&amp;"")</f>
        <v/>
      </c>
      <c r="E4647" s="35"/>
      <c r="F4647" s="35"/>
      <c r="J4647" s="25"/>
      <c r="K4647" s="25"/>
      <c r="L4647" s="25"/>
      <c r="M4647" s="25"/>
      <c r="N4647" s="25"/>
      <c r="O4647" s="25"/>
    </row>
    <row r="4648" customFormat="false" ht="15" hidden="false" customHeight="true" outlineLevel="0" collapsed="false">
      <c r="B4648" s="10"/>
      <c r="C4648" s="10"/>
      <c r="D4648" s="35" t="str">
        <f aca="false">IF(IF($K$4636=0,"",INDEX(Clients!$G$2:$G$501,$K$4636)&amp;"")="",TRIM(IF($K$4636=0,"",INDEX(Clients!$H$2:$H$501,$K$4636)&amp;"")&amp;" "&amp;UPPER(IF($K$4636=0,"",INDEX(Clients!$I$2:$I$501,$K$4636)&amp;""))),IF($K$4636=0,"",INDEX(Clients!$G$2:$G$501,$K$4636)&amp;""))</f>
        <v/>
      </c>
      <c r="E4648" s="35"/>
      <c r="F4648" s="35"/>
      <c r="J4648" s="25"/>
      <c r="K4648" s="25"/>
      <c r="L4648" s="25"/>
      <c r="M4648" s="25"/>
      <c r="N4648" s="25"/>
      <c r="O4648" s="25"/>
    </row>
    <row r="4649" customFormat="false" ht="15" hidden="false" customHeight="true" outlineLevel="0" collapsed="false">
      <c r="B4649" s="10"/>
      <c r="C4649" s="10"/>
      <c r="D4649" s="35" t="str">
        <f aca="false">IF(IF($K$4636=0,"",INDEX(Clients!$G$2:$G$501,$K$4636)&amp;"")="","",TRIM(IF($K$4636=0,"",INDEX(Clients!$H$2:$H$501,$K$4636)&amp;"")&amp;" "&amp;UPPER(IF($K$4636=0,"",INDEX(Clients!$I$2:$I$501,$K$4636)&amp;""))))</f>
        <v/>
      </c>
      <c r="E4649" s="35"/>
      <c r="F4649" s="35"/>
      <c r="J4649" s="25"/>
      <c r="K4649" s="25"/>
      <c r="L4649" s="25"/>
      <c r="M4649" s="25"/>
      <c r="N4649" s="25"/>
      <c r="O4649" s="25"/>
    </row>
    <row r="4650" customFormat="false" ht="25.5" hidden="false" customHeight="true" outlineLevel="0" collapsed="false">
      <c r="B4650" s="10"/>
      <c r="C4650" s="10"/>
      <c r="D4650" s="10"/>
      <c r="E4650" s="10"/>
      <c r="F4650" s="10"/>
      <c r="J4650" s="25"/>
      <c r="K4650" s="25"/>
      <c r="L4650" s="25"/>
      <c r="M4650" s="25"/>
      <c r="N4650" s="25"/>
      <c r="O4650" s="25"/>
    </row>
    <row r="4651" customFormat="false" ht="15" hidden="false" customHeight="false" outlineLevel="0" collapsed="false">
      <c r="B4651" s="10"/>
      <c r="C4651" s="10"/>
      <c r="D4651" s="36" t="str">
        <f aca="false">Cab_Ville&amp;", le "&amp;DAY(Date_Courrier)&amp;IF(DAY(Date_Courrier)=1,"er","")&amp;" "&amp;INDEX(Liste_Mois,MONTH(Date_Courrier))&amp;" "&amp;YEAR(Date_Courrier)</f>
        <v>Le Plessis-Bouchard, le 22 septembre 2026</v>
      </c>
      <c r="E4651" s="36"/>
      <c r="F4651" s="36"/>
      <c r="J4651" s="25"/>
      <c r="K4651" s="25"/>
      <c r="L4651" s="25"/>
      <c r="M4651" s="25"/>
      <c r="N4651" s="25"/>
      <c r="O4651" s="25"/>
    </row>
    <row r="4652" customFormat="false" ht="19.5" hidden="false" customHeight="true" outlineLevel="0" collapsed="false">
      <c r="B4652" s="10"/>
      <c r="C4652" s="10"/>
      <c r="D4652" s="10"/>
      <c r="E4652" s="10"/>
      <c r="F4652" s="10"/>
      <c r="J4652" s="25"/>
      <c r="K4652" s="25"/>
      <c r="L4652" s="25"/>
      <c r="M4652" s="25"/>
      <c r="N4652" s="25"/>
      <c r="O4652" s="25"/>
    </row>
    <row r="4653" customFormat="false" ht="15" hidden="false" customHeight="false" outlineLevel="0" collapsed="false">
      <c r="B4653" s="34" t="str">
        <f aca="false">SUBSTITUTE(SUBSTITUTE(SUBSTITUTE(SUBSTITUTE(SUBSTITUTE(Txt_Objet,"{cabinet}",Cab_Nom),"{societe}",IF($K$4636=0,"",INDEX(Clients!$E$2:$E$501,$K$4636)&amp;"")),"{date_effet}",$K$4638),"{hausse}",$K$4639),"{civilite}",$K$4637)</f>
        <v>Objet : révision de nos honoraires au 1er janvier 2027</v>
      </c>
      <c r="C4653" s="34"/>
      <c r="D4653" s="34"/>
      <c r="E4653" s="34"/>
      <c r="F4653" s="34"/>
      <c r="J4653" s="25"/>
      <c r="K4653" s="25"/>
      <c r="L4653" s="25"/>
      <c r="M4653" s="25"/>
      <c r="N4653" s="25"/>
      <c r="O4653" s="25"/>
    </row>
    <row r="4654" customFormat="false" ht="13.5" hidden="false" customHeight="true" outlineLevel="0" collapsed="false">
      <c r="B4654" s="10"/>
      <c r="C4654" s="10"/>
      <c r="D4654" s="10"/>
      <c r="E4654" s="10"/>
      <c r="F4654" s="10"/>
      <c r="J4654" s="25"/>
      <c r="K4654" s="25"/>
      <c r="L4654" s="25"/>
      <c r="M4654" s="25"/>
      <c r="N4654" s="25"/>
      <c r="O4654" s="25"/>
    </row>
    <row r="4655" customFormat="false" ht="15" hidden="false" customHeight="false" outlineLevel="0" collapsed="false">
      <c r="B4655" s="10" t="str">
        <f aca="false">$K$4637&amp;","</f>
        <v>Madame, Monsieur,</v>
      </c>
      <c r="C4655" s="10"/>
      <c r="D4655" s="10"/>
      <c r="E4655" s="10"/>
      <c r="F4655" s="10"/>
      <c r="J4655" s="25"/>
      <c r="K4655" s="25"/>
      <c r="L4655" s="25"/>
      <c r="M4655" s="25"/>
      <c r="N4655" s="25"/>
      <c r="O4655" s="25"/>
    </row>
    <row r="4656" customFormat="false" ht="6" hidden="false" customHeight="true" outlineLevel="0" collapsed="false">
      <c r="B4656" s="10"/>
      <c r="C4656" s="10"/>
      <c r="D4656" s="10"/>
      <c r="E4656" s="10"/>
      <c r="F4656" s="10"/>
      <c r="J4656" s="25"/>
      <c r="K4656" s="25"/>
      <c r="L4656" s="25"/>
      <c r="M4656" s="25"/>
      <c r="N4656" s="25"/>
      <c r="O4656" s="25"/>
    </row>
    <row r="4657" customFormat="false" ht="36.75" hidden="false" customHeight="true" outlineLevel="0" collapsed="false">
      <c r="B4657" s="37" t="str">
        <f aca="false">SUBSTITUTE(SUBSTITUTE(SUBSTITUTE(SUBSTITUTE(SUBSTITUTE(Txt_P1,"{cabinet}",Cab_Nom),"{societe}",IF($K$4636=0,"",INDEX(Clients!$E$2:$E$501,$K$4636)&amp;"")),"{date_effet}",$K$4638),"{hausse}",$K$4639),"{civilite}",$K$4637)</f>
        <v>Nous tenons tout d'abord à vous remercier pour la confiance que vous accordez à ALTHO EXPERTISE. Comme chaque année, et conformément aux dispositions de votre lettre de mission, nous procédons à la révision de nos honoraires.</v>
      </c>
      <c r="C4657" s="37"/>
      <c r="D4657" s="37"/>
      <c r="E4657" s="37"/>
      <c r="F4657" s="37"/>
      <c r="J4657" s="25"/>
      <c r="K4657" s="25"/>
      <c r="L4657" s="25"/>
      <c r="M4657" s="25"/>
      <c r="N4657" s="25"/>
      <c r="O4657" s="25"/>
    </row>
    <row r="4658" customFormat="false" ht="49.5" hidden="false" customHeight="true" outlineLevel="0" collapsed="false">
      <c r="B4658" s="37" t="str">
        <f aca="false">SUBSTITUTE(SUBSTITUTE(SUBSTITUTE(SUBSTITUTE(SUBSTITUTE(Txt_P2,"{cabinet}",Cab_Nom),"{societe}",IF($K$4636=0,"",INDEX(Clients!$E$2:$E$501,$K$4636)&amp;"")),"{date_effet}",$K$4638),"{hausse}",$K$4639),"{civilite}",$K$4637)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658" s="37"/>
      <c r="D4658" s="37"/>
      <c r="E4658" s="37"/>
      <c r="F4658" s="37"/>
      <c r="J4658" s="25"/>
      <c r="K4658" s="25"/>
      <c r="L4658" s="25"/>
      <c r="M4658" s="25"/>
      <c r="N4658" s="25"/>
      <c r="O4658" s="25"/>
    </row>
    <row r="4659" customFormat="false" ht="63" hidden="false" customHeight="true" outlineLevel="0" collapsed="false">
      <c r="B4659" s="37" t="str">
        <f aca="false">SUBSTITUTE(SUBSTITUTE(SUBSTITUTE(SUBSTITUTE(SUBSTITUTE(Txt_P3,"{cabinet}",Cab_Nom),"{societe}",IF($K$4636=0,"",INDEX(Clients!$E$2:$E$501,$K$4636)&amp;"")),"{date_effet}",$K$4638),"{hausse}",$K$4639),"{civilite}",$K$4637)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659" s="37"/>
      <c r="D4659" s="37"/>
      <c r="E4659" s="37"/>
      <c r="F4659" s="37"/>
      <c r="J4659" s="25"/>
      <c r="K4659" s="25"/>
      <c r="L4659" s="25"/>
      <c r="M4659" s="25"/>
      <c r="N4659" s="25"/>
      <c r="O4659" s="25"/>
    </row>
    <row r="4660" customFormat="false" ht="24" hidden="false" customHeight="true" outlineLevel="0" collapsed="false">
      <c r="B4660" s="37" t="str">
        <f aca="false">SUBSTITUTE(SUBSTITUTE(SUBSTITUTE(SUBSTITUTE(SUBSTITUTE(Txt_P4,"{cabinet}",Cab_Nom),"{societe}",IF($K$4636=0,"",INDEX(Clients!$E$2:$E$501,$K$4636)&amp;"")),"{date_effet}",$K$4638),"{hausse}",$K$4639),"{civilite}",$K$4637)</f>
        <v>À compter du 1er janvier 2027, vos honoraires annuels hors taxes évolueront ainsi (évolution globale : ) :</v>
      </c>
      <c r="C4660" s="37"/>
      <c r="D4660" s="37"/>
      <c r="E4660" s="37"/>
      <c r="F4660" s="37"/>
      <c r="J4660" s="25"/>
      <c r="K4660" s="25"/>
      <c r="L4660" s="25"/>
      <c r="M4660" s="25"/>
      <c r="N4660" s="25"/>
      <c r="O4660" s="25"/>
    </row>
    <row r="4661" customFormat="false" ht="3.75" hidden="false" customHeight="true" outlineLevel="0" collapsed="false">
      <c r="B4661" s="10"/>
      <c r="C4661" s="10"/>
      <c r="D4661" s="10"/>
      <c r="E4661" s="10"/>
      <c r="F4661" s="10"/>
      <c r="J4661" s="25"/>
      <c r="K4661" s="25"/>
      <c r="L4661" s="25"/>
      <c r="M4661" s="25"/>
      <c r="N4661" s="25"/>
      <c r="O4661" s="25"/>
    </row>
    <row r="4662" customFormat="false" ht="18" hidden="false" customHeight="true" outlineLevel="0" collapsed="false">
      <c r="B4662" s="38" t="s">
        <v>148</v>
      </c>
      <c r="C4662" s="39" t="s">
        <v>149</v>
      </c>
      <c r="D4662" s="39" t="s">
        <v>150</v>
      </c>
      <c r="E4662" s="39" t="s">
        <v>151</v>
      </c>
      <c r="F4662" s="39" t="s">
        <v>109</v>
      </c>
      <c r="J4662" s="25" t="s">
        <v>152</v>
      </c>
      <c r="K4662" s="25" t="s">
        <v>153</v>
      </c>
      <c r="L4662" s="25" t="s">
        <v>154</v>
      </c>
      <c r="M4662" s="25" t="s">
        <v>155</v>
      </c>
      <c r="N4662" s="25" t="s">
        <v>156</v>
      </c>
      <c r="O4662" s="25" t="s">
        <v>157</v>
      </c>
    </row>
    <row r="4663" customFormat="false" ht="16.5" hidden="false" customHeight="true" outlineLevel="0" collapsed="false">
      <c r="B4663" s="40" t="str">
        <f aca="false">IFERROR(INDEX($J$4663:$J$4666,MATCH($O4663,$N$4663:$N$4666,0)),"")</f>
        <v/>
      </c>
      <c r="C4663" s="41" t="str">
        <f aca="false">IFERROR(INDEX($K$4663:$K$4666,MATCH($O4663,$N$4663:$N$4666,0)),"")</f>
        <v/>
      </c>
      <c r="D4663" s="42" t="str">
        <f aca="false">IF(OR(E4663="",N(C4663)=0),"",E4663/C4663-1)</f>
        <v/>
      </c>
      <c r="E4663" s="41" t="str">
        <f aca="false">IFERROR(INDEX($L$4663:$L$4666,MATCH($O4663,$N$4663:$N$4666,0)),"")</f>
        <v/>
      </c>
      <c r="F4663" s="41" t="str">
        <f aca="false">IF(E4663="","",E4663-C4663)</f>
        <v/>
      </c>
      <c r="J4663" s="25" t="str">
        <f aca="false">Lib_Compta</f>
        <v>Mission comptable (tenue, révision, bilan, liasse fiscale)</v>
      </c>
      <c r="K4663" s="25" t="n">
        <f aca="false">IF($K$4636=0,0,N(INDEX(Clients!$K$2:$K$501,$K$4636)))</f>
        <v>0</v>
      </c>
      <c r="L4663" s="25" t="n">
        <f aca="false">IF($K$4636=0,0,N(INDEX(Clients!$P$2:$P$501,$K$4636)))</f>
        <v>0</v>
      </c>
      <c r="M4663" s="25" t="n">
        <f aca="false">IF(OR(K4663&lt;&gt;0,L4663&lt;&gt;0),1,0)</f>
        <v>0</v>
      </c>
      <c r="N4663" s="25" t="str">
        <f aca="false">IF(M4663=1,SUM($M$4663:M4663),"")</f>
        <v/>
      </c>
      <c r="O4663" s="25" t="n">
        <v>1</v>
      </c>
    </row>
    <row r="4664" customFormat="false" ht="16.5" hidden="false" customHeight="true" outlineLevel="0" collapsed="false">
      <c r="B4664" s="40" t="str">
        <f aca="false">IFERROR(INDEX($J$4663:$J$4666,MATCH($O4664,$N$4663:$N$4666,0)),"")</f>
        <v/>
      </c>
      <c r="C4664" s="41" t="str">
        <f aca="false">IFERROR(INDEX($K$4663:$K$4666,MATCH($O4664,$N$4663:$N$4666,0)),"")</f>
        <v/>
      </c>
      <c r="D4664" s="42" t="str">
        <f aca="false">IF(OR(E4664="",N(C4664)=0),"",E4664/C4664-1)</f>
        <v/>
      </c>
      <c r="E4664" s="41" t="str">
        <f aca="false">IFERROR(INDEX($L$4663:$L$4666,MATCH($O4664,$N$4663:$N$4666,0)),"")</f>
        <v/>
      </c>
      <c r="F4664" s="41" t="str">
        <f aca="false">IF(E4664="","",E4664-C4664)</f>
        <v/>
      </c>
      <c r="J4664" s="25" t="str">
        <f aca="false">Lib_Paye</f>
        <v>Mission sociale (bulletins de paie, DSN, déclarations sociales)</v>
      </c>
      <c r="K4664" s="25" t="n">
        <f aca="false">IF($K$4636=0,0,N(INDEX(Clients!$L$2:$L$501,$K$4636)))</f>
        <v>0</v>
      </c>
      <c r="L4664" s="25" t="n">
        <f aca="false">IF($K$4636=0,0,N(INDEX(Clients!$Q$2:$Q$501,$K$4636)))</f>
        <v>0</v>
      </c>
      <c r="M4664" s="25" t="n">
        <f aca="false">IF(OR(K4664&lt;&gt;0,L4664&lt;&gt;0),1,0)</f>
        <v>0</v>
      </c>
      <c r="N4664" s="25" t="str">
        <f aca="false">IF(M4664=1,SUM($M$4663:M4664),"")</f>
        <v/>
      </c>
      <c r="O4664" s="25" t="n">
        <v>2</v>
      </c>
    </row>
    <row r="4665" customFormat="false" ht="16.5" hidden="false" customHeight="true" outlineLevel="0" collapsed="false">
      <c r="B4665" s="40" t="str">
        <f aca="false">IFERROR(INDEX($J$4663:$J$4666,MATCH($O4665,$N$4663:$N$4666,0)),"")</f>
        <v/>
      </c>
      <c r="C4665" s="41" t="str">
        <f aca="false">IFERROR(INDEX($K$4663:$K$4666,MATCH($O4665,$N$4663:$N$4666,0)),"")</f>
        <v/>
      </c>
      <c r="D4665" s="42" t="str">
        <f aca="false">IF(OR(E4665="",N(C4665)=0),"",E4665/C4665-1)</f>
        <v/>
      </c>
      <c r="E4665" s="41" t="str">
        <f aca="false">IFERROR(INDEX($L$4663:$L$4666,MATCH($O4665,$N$4663:$N$4666,0)),"")</f>
        <v/>
      </c>
      <c r="F4665" s="41" t="str">
        <f aca="false">IF(E4665="","",E4665-C4665)</f>
        <v/>
      </c>
      <c r="J4665" s="25" t="str">
        <f aca="false">Lib_Jur</f>
        <v>Mission juridique (approbation des comptes, secrétariat juridique)</v>
      </c>
      <c r="K4665" s="25" t="n">
        <f aca="false">IF($K$4636=0,0,N(INDEX(Clients!$M$2:$M$501,$K$4636)))</f>
        <v>0</v>
      </c>
      <c r="L4665" s="25" t="n">
        <f aca="false">IF($K$4636=0,0,N(INDEX(Clients!$R$2:$R$501,$K$4636)))</f>
        <v>0</v>
      </c>
      <c r="M4665" s="25" t="n">
        <f aca="false">IF(OR(K4665&lt;&gt;0,L4665&lt;&gt;0),1,0)</f>
        <v>0</v>
      </c>
      <c r="N4665" s="25" t="str">
        <f aca="false">IF(M4665=1,SUM($M$4663:M4665),"")</f>
        <v/>
      </c>
      <c r="O4665" s="25" t="n">
        <v>3</v>
      </c>
    </row>
    <row r="4666" customFormat="false" ht="16.5" hidden="false" customHeight="true" outlineLevel="0" collapsed="false">
      <c r="B4666" s="40" t="str">
        <f aca="false">IFERROR(INDEX($J$4663:$J$4666,MATCH($O4666,$N$4663:$N$4666,0)),"")</f>
        <v/>
      </c>
      <c r="C4666" s="41" t="str">
        <f aca="false">IFERROR(INDEX($K$4663:$K$4666,MATCH($O4666,$N$4663:$N$4666,0)),"")</f>
        <v/>
      </c>
      <c r="D4666" s="42" t="str">
        <f aca="false">IF(OR(E4666="",N(C4666)=0),"",E4666/C4666-1)</f>
        <v/>
      </c>
      <c r="E4666" s="41" t="str">
        <f aca="false">IFERROR(INDEX($L$4663:$L$4666,MATCH($O4666,$N$4663:$N$4666,0)),"")</f>
        <v/>
      </c>
      <c r="F4666" s="41" t="str">
        <f aca="false">IF(E4666="","",E4666-C4666)</f>
        <v/>
      </c>
      <c r="J4666" s="25" t="str">
        <f aca="false">Lib_PA</f>
        <v>Plateforme agréée – facturation électronique</v>
      </c>
      <c r="K4666" s="25" t="n">
        <f aca="false">IF($K$4636=0,0,N(INDEX(Clients!$N$2:$N$501,$K$4636)))</f>
        <v>0</v>
      </c>
      <c r="L4666" s="25" t="n">
        <f aca="false">IF($K$4636=0,0,N(INDEX(Clients!$S$2:$S$501,$K$4636)))</f>
        <v>0</v>
      </c>
      <c r="M4666" s="25" t="n">
        <f aca="false">IF(OR(K4666&lt;&gt;0,L4666&lt;&gt;0),1,0)</f>
        <v>0</v>
      </c>
      <c r="N4666" s="25" t="str">
        <f aca="false">IF(M4666=1,SUM($M$4663:M4666),"")</f>
        <v/>
      </c>
      <c r="O4666" s="25" t="n">
        <v>4</v>
      </c>
    </row>
    <row r="4667" customFormat="false" ht="18" hidden="false" customHeight="true" outlineLevel="0" collapsed="false">
      <c r="B4667" s="43" t="s">
        <v>158</v>
      </c>
      <c r="C4667" s="44" t="n">
        <f aca="false">SUM(K4663:K4666)</f>
        <v>0</v>
      </c>
      <c r="D4667" s="45" t="str">
        <f aca="false">IF(N(C4667)=0,"",E4667/C4667-1)</f>
        <v/>
      </c>
      <c r="E4667" s="44" t="n">
        <f aca="false">SUM(L4663:L4666)</f>
        <v>0</v>
      </c>
      <c r="F4667" s="44" t="n">
        <f aca="false">E4667-C4667</f>
        <v>0</v>
      </c>
    </row>
    <row r="4668" customFormat="false" ht="15" hidden="false" customHeight="false" outlineLevel="0" collapsed="false">
      <c r="B4668" s="46" t="str">
        <f aca="false">IF(N(Nb_Mensualites)=0,"","Soit "&amp;FIXED(E4667/Nb_Mensualites,2)&amp;" € HT par échéance ("&amp;Nb_Mensualites&amp;" échéances), "&amp;FIXED(E4667/Nb_Mensualites*(1+Taux_TVA),2)&amp;" € TTC.")</f>
        <v>Soit 0.00 € HT par échéance (12 échéances), 0.00 € TTC.</v>
      </c>
      <c r="C4668" s="46"/>
      <c r="D4668" s="46"/>
      <c r="E4668" s="46"/>
      <c r="F4668" s="46"/>
    </row>
    <row r="4669" customFormat="false" ht="7.5" hidden="false" customHeight="true" outlineLevel="0" collapsed="false">
      <c r="B4669" s="10"/>
      <c r="C4669" s="10"/>
      <c r="D4669" s="10"/>
      <c r="E4669" s="10"/>
      <c r="F4669" s="10"/>
    </row>
    <row r="4670" customFormat="false" ht="36.75" hidden="false" customHeight="true" outlineLevel="0" collapsed="false">
      <c r="B4670" s="37" t="str">
        <f aca="false">SUBSTITUTE(SUBSTITUTE(SUBSTITUTE(SUBSTITUTE(SUBSTITUTE(Txt_P5,"{cabinet}",Cab_Nom),"{societe}",IF($K$4636=0,"",INDEX(Clients!$E$2:$E$501,$K$4636)&amp;"")),"{date_effet}",$K$4638),"{hausse}",$K$4639),"{civilite}",$K$4637)</f>
        <v>Les autres conditions de votre lettre de mission demeurent inchangées. Les nouveaux montants seront appliqués automatiquement sur vos prochaines factures et échéances de prélèvement.</v>
      </c>
      <c r="C4670" s="37"/>
      <c r="D4670" s="37"/>
      <c r="E4670" s="37"/>
      <c r="F4670" s="37"/>
    </row>
    <row r="4671" customFormat="false" ht="36.75" hidden="false" customHeight="true" outlineLevel="0" collapsed="false">
      <c r="B4671" s="37" t="str">
        <f aca="false">SUBSTITUTE(SUBSTITUTE(SUBSTITUTE(SUBSTITUTE(SUBSTITUTE(Txt_P6,"{cabinet}",Cab_Nom),"{societe}",IF($K$4636=0,"",INDEX(Clients!$E$2:$E$501,$K$4636)&amp;"")),"{date_effet}",$K$4638),"{hausse}",$K$4639),"{civilite}",$K$4637)</f>
        <v>Votre interlocuteur habituel reste à votre entière disposition pour répondre à vos questions et faire le point sur l'évolution de vos besoins.</v>
      </c>
      <c r="C4671" s="37"/>
      <c r="D4671" s="37"/>
      <c r="E4671" s="37"/>
      <c r="F4671" s="37"/>
    </row>
    <row r="4672" customFormat="false" ht="24" hidden="false" customHeight="true" outlineLevel="0" collapsed="false">
      <c r="B4672" s="37" t="str">
        <f aca="false">SUBSTITUTE(SUBSTITUTE(SUBSTITUTE(SUBSTITUTE(SUBSTITUTE(Txt_Politesse,"{cabinet}",Cab_Nom),"{societe}",IF($K$4636=0,"",INDEX(Clients!$E$2:$E$501,$K$4636)&amp;"")),"{date_effet}",$K$4638),"{hausse}",$K$4639),"{civilite}",$K$4637)</f>
        <v>Nous vous prions d'agréer, Madame, Monsieur, l'expression de nos salutations distinguées.</v>
      </c>
      <c r="C4672" s="37"/>
      <c r="D4672" s="37"/>
      <c r="E4672" s="37"/>
      <c r="F4672" s="37"/>
    </row>
    <row r="4673" customFormat="false" ht="15" hidden="false" customHeight="false" outlineLevel="0" collapsed="false">
      <c r="B4673" s="10"/>
      <c r="C4673" s="10"/>
      <c r="D4673" s="10"/>
      <c r="E4673" s="10"/>
      <c r="F4673" s="10"/>
    </row>
    <row r="4674" customFormat="false" ht="15" hidden="false" customHeight="false" outlineLevel="0" collapsed="false">
      <c r="B4674" s="10"/>
      <c r="C4674" s="10"/>
      <c r="D4674" s="34" t="str">
        <f aca="false">Signataire</f>
        <v>Prénom NOM</v>
      </c>
      <c r="E4674" s="34"/>
      <c r="F4674" s="34"/>
    </row>
    <row r="4675" customFormat="false" ht="15" hidden="false" customHeight="false" outlineLevel="0" collapsed="false">
      <c r="B4675" s="10"/>
      <c r="C4675" s="10"/>
      <c r="D4675" s="47" t="str">
        <f aca="false">Signataire_Titre</f>
        <v>Expert-comptable associé</v>
      </c>
      <c r="E4675" s="47"/>
      <c r="F4675" s="47"/>
    </row>
    <row r="4676" customFormat="false" ht="15.75" hidden="false" customHeight="true" outlineLevel="0" collapsed="false">
      <c r="B4676" s="10"/>
      <c r="C4676" s="10"/>
      <c r="D4676" s="10"/>
      <c r="E4676" s="10"/>
      <c r="F4676" s="10"/>
    </row>
    <row r="4677" customFormat="false" ht="15.75" hidden="false" customHeight="true" outlineLevel="0" collapsed="false">
      <c r="B4677" s="10"/>
      <c r="C4677" s="10"/>
      <c r="D4677" s="10"/>
      <c r="E4677" s="10"/>
      <c r="F4677" s="10"/>
    </row>
    <row r="4678" customFormat="false" ht="15.75" hidden="false" customHeight="true" outlineLevel="0" collapsed="false">
      <c r="B4678" s="10"/>
      <c r="C4678" s="10"/>
      <c r="D4678" s="10"/>
      <c r="E4678" s="10"/>
      <c r="F4678" s="10"/>
    </row>
    <row r="4679" customFormat="false" ht="15.75" hidden="false" customHeight="true" outlineLevel="0" collapsed="false">
      <c r="B4679" s="10"/>
      <c r="C4679" s="10"/>
      <c r="D4679" s="10"/>
      <c r="E4679" s="10"/>
      <c r="F4679" s="10"/>
    </row>
    <row r="4680" customFormat="false" ht="24" hidden="false" customHeight="true" outlineLevel="0" collapsed="false">
      <c r="B4680" s="48" t="str">
        <f aca="false">Cab_Mentions</f>
        <v>ALTHO EXPERTISE · SAS au capital de 10 000 € · RCS Pontoise 919 706 325 · TVA FR62919706325 · Société d'expertise comptable inscrite au Tableau de l'Ordre des experts-comptables de Paris Île-de-France</v>
      </c>
      <c r="C4680" s="48"/>
      <c r="D4680" s="48"/>
      <c r="E4680" s="48"/>
      <c r="F4680" s="48"/>
    </row>
    <row r="4681" customFormat="false" ht="15" hidden="false" customHeight="false" outlineLevel="0" collapsed="false">
      <c r="B4681" s="10"/>
      <c r="C4681" s="10"/>
      <c r="D4681" s="10"/>
      <c r="E4681" s="10"/>
      <c r="F4681" s="10"/>
      <c r="J4681" s="25" t="s">
        <v>142</v>
      </c>
      <c r="K4681" s="25" t="n">
        <f aca="false">IFERROR(MATCH(105,Clients!$Z$2:$Z$501,0),0)</f>
        <v>0</v>
      </c>
      <c r="L4681" s="25"/>
      <c r="M4681" s="25"/>
      <c r="N4681" s="25"/>
      <c r="O4681" s="25"/>
    </row>
    <row r="4682" customFormat="false" ht="21.75" hidden="false" customHeight="true" outlineLevel="0" collapsed="false">
      <c r="B4682" s="26" t="str">
        <f aca="false">Cab_Nom</f>
        <v>ALTHO EXPERTISE</v>
      </c>
      <c r="C4682" s="26"/>
      <c r="D4682" s="10"/>
      <c r="E4682" s="27" t="str">
        <f aca="false">IF($K$4681=0,"","Réf. client : "&amp;INDEX(Clients!$A$2:$A$501,$K$4681))</f>
        <v/>
      </c>
      <c r="F4682" s="27"/>
      <c r="J4682" s="25" t="s">
        <v>144</v>
      </c>
      <c r="K4682" s="25" t="str">
        <f aca="false">IF(IF($K$4681=0,"",INDEX(Clients!$B$2:$B$501,$K$4681)&amp;"")="Mme","Madame",IF(IF($K$4681=0,"",INDEX(Clients!$B$2:$B$501,$K$4681)&amp;"")="M.","Monsieur","Madame, Monsieur"))</f>
        <v>Madame, Monsieur</v>
      </c>
      <c r="L4682" s="25"/>
      <c r="M4682" s="25"/>
      <c r="N4682" s="25"/>
      <c r="O4682" s="25"/>
    </row>
    <row r="4683" customFormat="false" ht="15" hidden="false" customHeight="false" outlineLevel="0" collapsed="false">
      <c r="B4683" s="29" t="str">
        <f aca="false">Cab_Adr1</f>
        <v>141 rue Charles de Gaulle</v>
      </c>
      <c r="C4683" s="29"/>
      <c r="D4683" s="10"/>
      <c r="E4683" s="10"/>
      <c r="F4683" s="10"/>
      <c r="J4683" s="25" t="s">
        <v>145</v>
      </c>
      <c r="K4683" s="25" t="str">
        <f aca="false">DAY(Date_Effet)&amp;IF(DAY(Date_Effet)=1,"er","")&amp;" "&amp;INDEX(Liste_Mois,MONTH(Date_Effet))&amp;" "&amp;YEAR(Date_Effet)</f>
        <v>1er janvier 2027</v>
      </c>
      <c r="L4683" s="25"/>
      <c r="M4683" s="25"/>
      <c r="N4683" s="25"/>
      <c r="O4683" s="25"/>
    </row>
    <row r="4684" customFormat="false" ht="15" hidden="false" customHeight="false" outlineLevel="0" collapsed="false">
      <c r="B4684" s="29" t="str">
        <f aca="false">Cab_CPVille</f>
        <v>95130 LE PLESSIS-BOUCHARD</v>
      </c>
      <c r="C4684" s="29"/>
      <c r="D4684" s="10"/>
      <c r="E4684" s="10"/>
      <c r="F4684" s="10"/>
      <c r="J4684" s="25" t="s">
        <v>146</v>
      </c>
      <c r="K4684" s="25" t="str">
        <f aca="false">IF(SUM($K$4708:$K$4711)=0,"",FIXED((SUM($L$4708:$L$4711)/SUM($K$4708:$K$4711)-1)*100,1)&amp;" %")</f>
        <v/>
      </c>
      <c r="L4684" s="25"/>
      <c r="M4684" s="25"/>
      <c r="N4684" s="25"/>
      <c r="O4684" s="25"/>
    </row>
    <row r="4685" customFormat="false" ht="15" hidden="false" customHeight="false" outlineLevel="0" collapsed="false">
      <c r="B4685" s="29" t="str">
        <f aca="false">Cab_Contact</f>
        <v>Tél. 01 34 14 53 45  ·  altho@altho-experts.com  ·  altho-experts.com</v>
      </c>
      <c r="C4685" s="29"/>
      <c r="D4685" s="10"/>
      <c r="E4685" s="10"/>
      <c r="F4685" s="10"/>
      <c r="J4685" s="25"/>
      <c r="K4685" s="25"/>
      <c r="L4685" s="25"/>
      <c r="M4685" s="25"/>
      <c r="N4685" s="25"/>
      <c r="O4685" s="25"/>
    </row>
    <row r="4686" customFormat="false" ht="6" hidden="false" customHeight="true" outlineLevel="0" collapsed="false">
      <c r="B4686" s="32"/>
      <c r="C4686" s="32"/>
      <c r="D4686" s="32"/>
      <c r="E4686" s="32"/>
      <c r="F4686" s="32"/>
      <c r="J4686" s="25"/>
      <c r="K4686" s="25"/>
      <c r="L4686" s="25"/>
      <c r="M4686" s="25"/>
      <c r="N4686" s="25"/>
      <c r="O4686" s="25"/>
    </row>
    <row r="4687" customFormat="false" ht="13.5" hidden="false" customHeight="true" outlineLevel="0" collapsed="false">
      <c r="B4687" s="10"/>
      <c r="C4687" s="10"/>
      <c r="D4687" s="10"/>
      <c r="E4687" s="10"/>
      <c r="F4687" s="10"/>
      <c r="J4687" s="25"/>
      <c r="K4687" s="25"/>
      <c r="L4687" s="25"/>
      <c r="M4687" s="25"/>
      <c r="N4687" s="25"/>
      <c r="O4687" s="25"/>
    </row>
    <row r="4688" customFormat="false" ht="13.5" hidden="false" customHeight="true" outlineLevel="0" collapsed="false">
      <c r="B4688" s="10"/>
      <c r="C4688" s="10"/>
      <c r="D4688" s="10"/>
      <c r="E4688" s="10"/>
      <c r="F4688" s="10"/>
      <c r="J4688" s="25"/>
      <c r="K4688" s="25"/>
      <c r="L4688" s="25"/>
      <c r="M4688" s="25"/>
      <c r="N4688" s="25"/>
      <c r="O4688" s="25"/>
    </row>
    <row r="4689" customFormat="false" ht="13.5" hidden="false" customHeight="true" outlineLevel="0" collapsed="false">
      <c r="B4689" s="10"/>
      <c r="C4689" s="10"/>
      <c r="D4689" s="10"/>
      <c r="E4689" s="10"/>
      <c r="F4689" s="10"/>
      <c r="J4689" s="25"/>
      <c r="K4689" s="25"/>
      <c r="L4689" s="25"/>
      <c r="M4689" s="25"/>
      <c r="N4689" s="25"/>
      <c r="O4689" s="25"/>
    </row>
    <row r="4690" customFormat="false" ht="15" hidden="false" customHeight="true" outlineLevel="0" collapsed="false">
      <c r="B4690" s="10"/>
      <c r="C4690" s="10"/>
      <c r="D4690" s="34" t="str">
        <f aca="false">IF($K$4681=0,"",INDEX(Clients!$E$2:$E$501,$K$4681)&amp;"")</f>
        <v/>
      </c>
      <c r="E4690" s="34"/>
      <c r="F4690" s="34"/>
      <c r="J4690" s="25"/>
      <c r="K4690" s="25"/>
      <c r="L4690" s="25"/>
      <c r="M4690" s="25"/>
      <c r="N4690" s="25"/>
      <c r="O4690" s="25"/>
    </row>
    <row r="4691" customFormat="false" ht="15" hidden="false" customHeight="true" outlineLevel="0" collapsed="false">
      <c r="B4691" s="10"/>
      <c r="C4691" s="10"/>
      <c r="D4691" s="35" t="str">
        <f aca="false">IF(IF($K$4681=0,"",INDEX(Clients!$D$2:$D$501,$K$4681)&amp;"")="","","À l'attention de "&amp;TRIM(IF($K$4681=0,"",INDEX(Clients!$B$2:$B$501,$K$4681)&amp;"")&amp;" "&amp;IF($K$4681=0,"",INDEX(Clients!$C$2:$C$501,$K$4681)&amp;"")&amp;" "&amp;IF($K$4681=0,"",INDEX(Clients!$D$2:$D$501,$K$4681)&amp;"")))</f>
        <v/>
      </c>
      <c r="E4691" s="35"/>
      <c r="F4691" s="35"/>
      <c r="J4691" s="25"/>
      <c r="K4691" s="25"/>
      <c r="L4691" s="25"/>
      <c r="M4691" s="25"/>
      <c r="N4691" s="25"/>
      <c r="O4691" s="25"/>
    </row>
    <row r="4692" customFormat="false" ht="15" hidden="false" customHeight="true" outlineLevel="0" collapsed="false">
      <c r="B4692" s="10"/>
      <c r="C4692" s="10"/>
      <c r="D4692" s="35" t="str">
        <f aca="false">IF($K$4681=0,"",INDEX(Clients!$F$2:$F$501,$K$4681)&amp;"")</f>
        <v/>
      </c>
      <c r="E4692" s="35"/>
      <c r="F4692" s="35"/>
      <c r="J4692" s="25"/>
      <c r="K4692" s="25"/>
      <c r="L4692" s="25"/>
      <c r="M4692" s="25"/>
      <c r="N4692" s="25"/>
      <c r="O4692" s="25"/>
    </row>
    <row r="4693" customFormat="false" ht="15" hidden="false" customHeight="true" outlineLevel="0" collapsed="false">
      <c r="B4693" s="10"/>
      <c r="C4693" s="10"/>
      <c r="D4693" s="35" t="str">
        <f aca="false">IF(IF($K$4681=0,"",INDEX(Clients!$G$2:$G$501,$K$4681)&amp;"")="",TRIM(IF($K$4681=0,"",INDEX(Clients!$H$2:$H$501,$K$4681)&amp;"")&amp;" "&amp;UPPER(IF($K$4681=0,"",INDEX(Clients!$I$2:$I$501,$K$4681)&amp;""))),IF($K$4681=0,"",INDEX(Clients!$G$2:$G$501,$K$4681)&amp;""))</f>
        <v/>
      </c>
      <c r="E4693" s="35"/>
      <c r="F4693" s="35"/>
      <c r="J4693" s="25"/>
      <c r="K4693" s="25"/>
      <c r="L4693" s="25"/>
      <c r="M4693" s="25"/>
      <c r="N4693" s="25"/>
      <c r="O4693" s="25"/>
    </row>
    <row r="4694" customFormat="false" ht="15" hidden="false" customHeight="true" outlineLevel="0" collapsed="false">
      <c r="B4694" s="10"/>
      <c r="C4694" s="10"/>
      <c r="D4694" s="35" t="str">
        <f aca="false">IF(IF($K$4681=0,"",INDEX(Clients!$G$2:$G$501,$K$4681)&amp;"")="","",TRIM(IF($K$4681=0,"",INDEX(Clients!$H$2:$H$501,$K$4681)&amp;"")&amp;" "&amp;UPPER(IF($K$4681=0,"",INDEX(Clients!$I$2:$I$501,$K$4681)&amp;""))))</f>
        <v/>
      </c>
      <c r="E4694" s="35"/>
      <c r="F4694" s="35"/>
      <c r="J4694" s="25"/>
      <c r="K4694" s="25"/>
      <c r="L4694" s="25"/>
      <c r="M4694" s="25"/>
      <c r="N4694" s="25"/>
      <c r="O4694" s="25"/>
    </row>
    <row r="4695" customFormat="false" ht="25.5" hidden="false" customHeight="true" outlineLevel="0" collapsed="false">
      <c r="B4695" s="10"/>
      <c r="C4695" s="10"/>
      <c r="D4695" s="10"/>
      <c r="E4695" s="10"/>
      <c r="F4695" s="10"/>
      <c r="J4695" s="25"/>
      <c r="K4695" s="25"/>
      <c r="L4695" s="25"/>
      <c r="M4695" s="25"/>
      <c r="N4695" s="25"/>
      <c r="O4695" s="25"/>
    </row>
    <row r="4696" customFormat="false" ht="15" hidden="false" customHeight="false" outlineLevel="0" collapsed="false">
      <c r="B4696" s="10"/>
      <c r="C4696" s="10"/>
      <c r="D4696" s="36" t="str">
        <f aca="false">Cab_Ville&amp;", le "&amp;DAY(Date_Courrier)&amp;IF(DAY(Date_Courrier)=1,"er","")&amp;" "&amp;INDEX(Liste_Mois,MONTH(Date_Courrier))&amp;" "&amp;YEAR(Date_Courrier)</f>
        <v>Le Plessis-Bouchard, le 22 septembre 2026</v>
      </c>
      <c r="E4696" s="36"/>
      <c r="F4696" s="36"/>
      <c r="J4696" s="25"/>
      <c r="K4696" s="25"/>
      <c r="L4696" s="25"/>
      <c r="M4696" s="25"/>
      <c r="N4696" s="25"/>
      <c r="O4696" s="25"/>
    </row>
    <row r="4697" customFormat="false" ht="19.5" hidden="false" customHeight="true" outlineLevel="0" collapsed="false">
      <c r="B4697" s="10"/>
      <c r="C4697" s="10"/>
      <c r="D4697" s="10"/>
      <c r="E4697" s="10"/>
      <c r="F4697" s="10"/>
      <c r="J4697" s="25"/>
      <c r="K4697" s="25"/>
      <c r="L4697" s="25"/>
      <c r="M4697" s="25"/>
      <c r="N4697" s="25"/>
      <c r="O4697" s="25"/>
    </row>
    <row r="4698" customFormat="false" ht="15" hidden="false" customHeight="false" outlineLevel="0" collapsed="false">
      <c r="B4698" s="34" t="str">
        <f aca="false">SUBSTITUTE(SUBSTITUTE(SUBSTITUTE(SUBSTITUTE(SUBSTITUTE(Txt_Objet,"{cabinet}",Cab_Nom),"{societe}",IF($K$4681=0,"",INDEX(Clients!$E$2:$E$501,$K$4681)&amp;"")),"{date_effet}",$K$4683),"{hausse}",$K$4684),"{civilite}",$K$4682)</f>
        <v>Objet : révision de nos honoraires au 1er janvier 2027</v>
      </c>
      <c r="C4698" s="34"/>
      <c r="D4698" s="34"/>
      <c r="E4698" s="34"/>
      <c r="F4698" s="34"/>
      <c r="J4698" s="25"/>
      <c r="K4698" s="25"/>
      <c r="L4698" s="25"/>
      <c r="M4698" s="25"/>
      <c r="N4698" s="25"/>
      <c r="O4698" s="25"/>
    </row>
    <row r="4699" customFormat="false" ht="13.5" hidden="false" customHeight="true" outlineLevel="0" collapsed="false">
      <c r="B4699" s="10"/>
      <c r="C4699" s="10"/>
      <c r="D4699" s="10"/>
      <c r="E4699" s="10"/>
      <c r="F4699" s="10"/>
      <c r="J4699" s="25"/>
      <c r="K4699" s="25"/>
      <c r="L4699" s="25"/>
      <c r="M4699" s="25"/>
      <c r="N4699" s="25"/>
      <c r="O4699" s="25"/>
    </row>
    <row r="4700" customFormat="false" ht="15" hidden="false" customHeight="false" outlineLevel="0" collapsed="false">
      <c r="B4700" s="10" t="str">
        <f aca="false">$K$4682&amp;","</f>
        <v>Madame, Monsieur,</v>
      </c>
      <c r="C4700" s="10"/>
      <c r="D4700" s="10"/>
      <c r="E4700" s="10"/>
      <c r="F4700" s="10"/>
      <c r="J4700" s="25"/>
      <c r="K4700" s="25"/>
      <c r="L4700" s="25"/>
      <c r="M4700" s="25"/>
      <c r="N4700" s="25"/>
      <c r="O4700" s="25"/>
    </row>
    <row r="4701" customFormat="false" ht="6" hidden="false" customHeight="true" outlineLevel="0" collapsed="false">
      <c r="B4701" s="10"/>
      <c r="C4701" s="10"/>
      <c r="D4701" s="10"/>
      <c r="E4701" s="10"/>
      <c r="F4701" s="10"/>
      <c r="J4701" s="25"/>
      <c r="K4701" s="25"/>
      <c r="L4701" s="25"/>
      <c r="M4701" s="25"/>
      <c r="N4701" s="25"/>
      <c r="O4701" s="25"/>
    </row>
    <row r="4702" customFormat="false" ht="36.75" hidden="false" customHeight="true" outlineLevel="0" collapsed="false">
      <c r="B4702" s="37" t="str">
        <f aca="false">SUBSTITUTE(SUBSTITUTE(SUBSTITUTE(SUBSTITUTE(SUBSTITUTE(Txt_P1,"{cabinet}",Cab_Nom),"{societe}",IF($K$4681=0,"",INDEX(Clients!$E$2:$E$501,$K$4681)&amp;"")),"{date_effet}",$K$4683),"{hausse}",$K$4684),"{civilite}",$K$4682)</f>
        <v>Nous tenons tout d'abord à vous remercier pour la confiance que vous accordez à ALTHO EXPERTISE. Comme chaque année, et conformément aux dispositions de votre lettre de mission, nous procédons à la révision de nos honoraires.</v>
      </c>
      <c r="C4702" s="37"/>
      <c r="D4702" s="37"/>
      <c r="E4702" s="37"/>
      <c r="F4702" s="37"/>
      <c r="J4702" s="25"/>
      <c r="K4702" s="25"/>
      <c r="L4702" s="25"/>
      <c r="M4702" s="25"/>
      <c r="N4702" s="25"/>
      <c r="O4702" s="25"/>
    </row>
    <row r="4703" customFormat="false" ht="49.5" hidden="false" customHeight="true" outlineLevel="0" collapsed="false">
      <c r="B4703" s="37" t="str">
        <f aca="false">SUBSTITUTE(SUBSTITUTE(SUBSTITUTE(SUBSTITUTE(SUBSTITUTE(Txt_P2,"{cabinet}",Cab_Nom),"{societe}",IF($K$4681=0,"",INDEX(Clients!$E$2:$E$501,$K$4681)&amp;"")),"{date_effet}",$K$4683),"{hausse}",$K$4684),"{civilite}",$K$4682)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703" s="37"/>
      <c r="D4703" s="37"/>
      <c r="E4703" s="37"/>
      <c r="F4703" s="37"/>
      <c r="J4703" s="25"/>
      <c r="K4703" s="25"/>
      <c r="L4703" s="25"/>
      <c r="M4703" s="25"/>
      <c r="N4703" s="25"/>
      <c r="O4703" s="25"/>
    </row>
    <row r="4704" customFormat="false" ht="63" hidden="false" customHeight="true" outlineLevel="0" collapsed="false">
      <c r="B4704" s="37" t="str">
        <f aca="false">SUBSTITUTE(SUBSTITUTE(SUBSTITUTE(SUBSTITUTE(SUBSTITUTE(Txt_P3,"{cabinet}",Cab_Nom),"{societe}",IF($K$4681=0,"",INDEX(Clients!$E$2:$E$501,$K$4681)&amp;"")),"{date_effet}",$K$4683),"{hausse}",$K$4684),"{civilite}",$K$4682)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704" s="37"/>
      <c r="D4704" s="37"/>
      <c r="E4704" s="37"/>
      <c r="F4704" s="37"/>
      <c r="J4704" s="25"/>
      <c r="K4704" s="25"/>
      <c r="L4704" s="25"/>
      <c r="M4704" s="25"/>
      <c r="N4704" s="25"/>
      <c r="O4704" s="25"/>
    </row>
    <row r="4705" customFormat="false" ht="24" hidden="false" customHeight="true" outlineLevel="0" collapsed="false">
      <c r="B4705" s="37" t="str">
        <f aca="false">SUBSTITUTE(SUBSTITUTE(SUBSTITUTE(SUBSTITUTE(SUBSTITUTE(Txt_P4,"{cabinet}",Cab_Nom),"{societe}",IF($K$4681=0,"",INDEX(Clients!$E$2:$E$501,$K$4681)&amp;"")),"{date_effet}",$K$4683),"{hausse}",$K$4684),"{civilite}",$K$4682)</f>
        <v>À compter du 1er janvier 2027, vos honoraires annuels hors taxes évolueront ainsi (évolution globale : ) :</v>
      </c>
      <c r="C4705" s="37"/>
      <c r="D4705" s="37"/>
      <c r="E4705" s="37"/>
      <c r="F4705" s="37"/>
      <c r="J4705" s="25"/>
      <c r="K4705" s="25"/>
      <c r="L4705" s="25"/>
      <c r="M4705" s="25"/>
      <c r="N4705" s="25"/>
      <c r="O4705" s="25"/>
    </row>
    <row r="4706" customFormat="false" ht="3.75" hidden="false" customHeight="true" outlineLevel="0" collapsed="false">
      <c r="B4706" s="10"/>
      <c r="C4706" s="10"/>
      <c r="D4706" s="10"/>
      <c r="E4706" s="10"/>
      <c r="F4706" s="10"/>
      <c r="J4706" s="25"/>
      <c r="K4706" s="25"/>
      <c r="L4706" s="25"/>
      <c r="M4706" s="25"/>
      <c r="N4706" s="25"/>
      <c r="O4706" s="25"/>
    </row>
    <row r="4707" customFormat="false" ht="18" hidden="false" customHeight="true" outlineLevel="0" collapsed="false">
      <c r="B4707" s="38" t="s">
        <v>148</v>
      </c>
      <c r="C4707" s="39" t="s">
        <v>149</v>
      </c>
      <c r="D4707" s="39" t="s">
        <v>150</v>
      </c>
      <c r="E4707" s="39" t="s">
        <v>151</v>
      </c>
      <c r="F4707" s="39" t="s">
        <v>109</v>
      </c>
      <c r="J4707" s="25" t="s">
        <v>152</v>
      </c>
      <c r="K4707" s="25" t="s">
        <v>153</v>
      </c>
      <c r="L4707" s="25" t="s">
        <v>154</v>
      </c>
      <c r="M4707" s="25" t="s">
        <v>155</v>
      </c>
      <c r="N4707" s="25" t="s">
        <v>156</v>
      </c>
      <c r="O4707" s="25" t="s">
        <v>157</v>
      </c>
    </row>
    <row r="4708" customFormat="false" ht="16.5" hidden="false" customHeight="true" outlineLevel="0" collapsed="false">
      <c r="B4708" s="40" t="str">
        <f aca="false">IFERROR(INDEX($J$4708:$J$4711,MATCH($O4708,$N$4708:$N$4711,0)),"")</f>
        <v/>
      </c>
      <c r="C4708" s="41" t="str">
        <f aca="false">IFERROR(INDEX($K$4708:$K$4711,MATCH($O4708,$N$4708:$N$4711,0)),"")</f>
        <v/>
      </c>
      <c r="D4708" s="42" t="str">
        <f aca="false">IF(OR(E4708="",N(C4708)=0),"",E4708/C4708-1)</f>
        <v/>
      </c>
      <c r="E4708" s="41" t="str">
        <f aca="false">IFERROR(INDEX($L$4708:$L$4711,MATCH($O4708,$N$4708:$N$4711,0)),"")</f>
        <v/>
      </c>
      <c r="F4708" s="41" t="str">
        <f aca="false">IF(E4708="","",E4708-C4708)</f>
        <v/>
      </c>
      <c r="J4708" s="25" t="str">
        <f aca="false">Lib_Compta</f>
        <v>Mission comptable (tenue, révision, bilan, liasse fiscale)</v>
      </c>
      <c r="K4708" s="25" t="n">
        <f aca="false">IF($K$4681=0,0,N(INDEX(Clients!$K$2:$K$501,$K$4681)))</f>
        <v>0</v>
      </c>
      <c r="L4708" s="25" t="n">
        <f aca="false">IF($K$4681=0,0,N(INDEX(Clients!$P$2:$P$501,$K$4681)))</f>
        <v>0</v>
      </c>
      <c r="M4708" s="25" t="n">
        <f aca="false">IF(OR(K4708&lt;&gt;0,L4708&lt;&gt;0),1,0)</f>
        <v>0</v>
      </c>
      <c r="N4708" s="25" t="str">
        <f aca="false">IF(M4708=1,SUM($M$4708:M4708),"")</f>
        <v/>
      </c>
      <c r="O4708" s="25" t="n">
        <v>1</v>
      </c>
    </row>
    <row r="4709" customFormat="false" ht="16.5" hidden="false" customHeight="true" outlineLevel="0" collapsed="false">
      <c r="B4709" s="40" t="str">
        <f aca="false">IFERROR(INDEX($J$4708:$J$4711,MATCH($O4709,$N$4708:$N$4711,0)),"")</f>
        <v/>
      </c>
      <c r="C4709" s="41" t="str">
        <f aca="false">IFERROR(INDEX($K$4708:$K$4711,MATCH($O4709,$N$4708:$N$4711,0)),"")</f>
        <v/>
      </c>
      <c r="D4709" s="42" t="str">
        <f aca="false">IF(OR(E4709="",N(C4709)=0),"",E4709/C4709-1)</f>
        <v/>
      </c>
      <c r="E4709" s="41" t="str">
        <f aca="false">IFERROR(INDEX($L$4708:$L$4711,MATCH($O4709,$N$4708:$N$4711,0)),"")</f>
        <v/>
      </c>
      <c r="F4709" s="41" t="str">
        <f aca="false">IF(E4709="","",E4709-C4709)</f>
        <v/>
      </c>
      <c r="J4709" s="25" t="str">
        <f aca="false">Lib_Paye</f>
        <v>Mission sociale (bulletins de paie, DSN, déclarations sociales)</v>
      </c>
      <c r="K4709" s="25" t="n">
        <f aca="false">IF($K$4681=0,0,N(INDEX(Clients!$L$2:$L$501,$K$4681)))</f>
        <v>0</v>
      </c>
      <c r="L4709" s="25" t="n">
        <f aca="false">IF($K$4681=0,0,N(INDEX(Clients!$Q$2:$Q$501,$K$4681)))</f>
        <v>0</v>
      </c>
      <c r="M4709" s="25" t="n">
        <f aca="false">IF(OR(K4709&lt;&gt;0,L4709&lt;&gt;0),1,0)</f>
        <v>0</v>
      </c>
      <c r="N4709" s="25" t="str">
        <f aca="false">IF(M4709=1,SUM($M$4708:M4709),"")</f>
        <v/>
      </c>
      <c r="O4709" s="25" t="n">
        <v>2</v>
      </c>
    </row>
    <row r="4710" customFormat="false" ht="16.5" hidden="false" customHeight="true" outlineLevel="0" collapsed="false">
      <c r="B4710" s="40" t="str">
        <f aca="false">IFERROR(INDEX($J$4708:$J$4711,MATCH($O4710,$N$4708:$N$4711,0)),"")</f>
        <v/>
      </c>
      <c r="C4710" s="41" t="str">
        <f aca="false">IFERROR(INDEX($K$4708:$K$4711,MATCH($O4710,$N$4708:$N$4711,0)),"")</f>
        <v/>
      </c>
      <c r="D4710" s="42" t="str">
        <f aca="false">IF(OR(E4710="",N(C4710)=0),"",E4710/C4710-1)</f>
        <v/>
      </c>
      <c r="E4710" s="41" t="str">
        <f aca="false">IFERROR(INDEX($L$4708:$L$4711,MATCH($O4710,$N$4708:$N$4711,0)),"")</f>
        <v/>
      </c>
      <c r="F4710" s="41" t="str">
        <f aca="false">IF(E4710="","",E4710-C4710)</f>
        <v/>
      </c>
      <c r="J4710" s="25" t="str">
        <f aca="false">Lib_Jur</f>
        <v>Mission juridique (approbation des comptes, secrétariat juridique)</v>
      </c>
      <c r="K4710" s="25" t="n">
        <f aca="false">IF($K$4681=0,0,N(INDEX(Clients!$M$2:$M$501,$K$4681)))</f>
        <v>0</v>
      </c>
      <c r="L4710" s="25" t="n">
        <f aca="false">IF($K$4681=0,0,N(INDEX(Clients!$R$2:$R$501,$K$4681)))</f>
        <v>0</v>
      </c>
      <c r="M4710" s="25" t="n">
        <f aca="false">IF(OR(K4710&lt;&gt;0,L4710&lt;&gt;0),1,0)</f>
        <v>0</v>
      </c>
      <c r="N4710" s="25" t="str">
        <f aca="false">IF(M4710=1,SUM($M$4708:M4710),"")</f>
        <v/>
      </c>
      <c r="O4710" s="25" t="n">
        <v>3</v>
      </c>
    </row>
    <row r="4711" customFormat="false" ht="16.5" hidden="false" customHeight="true" outlineLevel="0" collapsed="false">
      <c r="B4711" s="40" t="str">
        <f aca="false">IFERROR(INDEX($J$4708:$J$4711,MATCH($O4711,$N$4708:$N$4711,0)),"")</f>
        <v/>
      </c>
      <c r="C4711" s="41" t="str">
        <f aca="false">IFERROR(INDEX($K$4708:$K$4711,MATCH($O4711,$N$4708:$N$4711,0)),"")</f>
        <v/>
      </c>
      <c r="D4711" s="42" t="str">
        <f aca="false">IF(OR(E4711="",N(C4711)=0),"",E4711/C4711-1)</f>
        <v/>
      </c>
      <c r="E4711" s="41" t="str">
        <f aca="false">IFERROR(INDEX($L$4708:$L$4711,MATCH($O4711,$N$4708:$N$4711,0)),"")</f>
        <v/>
      </c>
      <c r="F4711" s="41" t="str">
        <f aca="false">IF(E4711="","",E4711-C4711)</f>
        <v/>
      </c>
      <c r="J4711" s="25" t="str">
        <f aca="false">Lib_PA</f>
        <v>Plateforme agréée – facturation électronique</v>
      </c>
      <c r="K4711" s="25" t="n">
        <f aca="false">IF($K$4681=0,0,N(INDEX(Clients!$N$2:$N$501,$K$4681)))</f>
        <v>0</v>
      </c>
      <c r="L4711" s="25" t="n">
        <f aca="false">IF($K$4681=0,0,N(INDEX(Clients!$S$2:$S$501,$K$4681)))</f>
        <v>0</v>
      </c>
      <c r="M4711" s="25" t="n">
        <f aca="false">IF(OR(K4711&lt;&gt;0,L4711&lt;&gt;0),1,0)</f>
        <v>0</v>
      </c>
      <c r="N4711" s="25" t="str">
        <f aca="false">IF(M4711=1,SUM($M$4708:M4711),"")</f>
        <v/>
      </c>
      <c r="O4711" s="25" t="n">
        <v>4</v>
      </c>
    </row>
    <row r="4712" customFormat="false" ht="18" hidden="false" customHeight="true" outlineLevel="0" collapsed="false">
      <c r="B4712" s="43" t="s">
        <v>158</v>
      </c>
      <c r="C4712" s="44" t="n">
        <f aca="false">SUM(K4708:K4711)</f>
        <v>0</v>
      </c>
      <c r="D4712" s="45" t="str">
        <f aca="false">IF(N(C4712)=0,"",E4712/C4712-1)</f>
        <v/>
      </c>
      <c r="E4712" s="44" t="n">
        <f aca="false">SUM(L4708:L4711)</f>
        <v>0</v>
      </c>
      <c r="F4712" s="44" t="n">
        <f aca="false">E4712-C4712</f>
        <v>0</v>
      </c>
    </row>
    <row r="4713" customFormat="false" ht="15" hidden="false" customHeight="false" outlineLevel="0" collapsed="false">
      <c r="B4713" s="46" t="str">
        <f aca="false">IF(N(Nb_Mensualites)=0,"","Soit "&amp;FIXED(E4712/Nb_Mensualites,2)&amp;" € HT par échéance ("&amp;Nb_Mensualites&amp;" échéances), "&amp;FIXED(E4712/Nb_Mensualites*(1+Taux_TVA),2)&amp;" € TTC.")</f>
        <v>Soit 0.00 € HT par échéance (12 échéances), 0.00 € TTC.</v>
      </c>
      <c r="C4713" s="46"/>
      <c r="D4713" s="46"/>
      <c r="E4713" s="46"/>
      <c r="F4713" s="46"/>
    </row>
    <row r="4714" customFormat="false" ht="7.5" hidden="false" customHeight="true" outlineLevel="0" collapsed="false">
      <c r="B4714" s="10"/>
      <c r="C4714" s="10"/>
      <c r="D4714" s="10"/>
      <c r="E4714" s="10"/>
      <c r="F4714" s="10"/>
    </row>
    <row r="4715" customFormat="false" ht="36.75" hidden="false" customHeight="true" outlineLevel="0" collapsed="false">
      <c r="B4715" s="37" t="str">
        <f aca="false">SUBSTITUTE(SUBSTITUTE(SUBSTITUTE(SUBSTITUTE(SUBSTITUTE(Txt_P5,"{cabinet}",Cab_Nom),"{societe}",IF($K$4681=0,"",INDEX(Clients!$E$2:$E$501,$K$4681)&amp;"")),"{date_effet}",$K$4683),"{hausse}",$K$4684),"{civilite}",$K$4682)</f>
        <v>Les autres conditions de votre lettre de mission demeurent inchangées. Les nouveaux montants seront appliqués automatiquement sur vos prochaines factures et échéances de prélèvement.</v>
      </c>
      <c r="C4715" s="37"/>
      <c r="D4715" s="37"/>
      <c r="E4715" s="37"/>
      <c r="F4715" s="37"/>
    </row>
    <row r="4716" customFormat="false" ht="36.75" hidden="false" customHeight="true" outlineLevel="0" collapsed="false">
      <c r="B4716" s="37" t="str">
        <f aca="false">SUBSTITUTE(SUBSTITUTE(SUBSTITUTE(SUBSTITUTE(SUBSTITUTE(Txt_P6,"{cabinet}",Cab_Nom),"{societe}",IF($K$4681=0,"",INDEX(Clients!$E$2:$E$501,$K$4681)&amp;"")),"{date_effet}",$K$4683),"{hausse}",$K$4684),"{civilite}",$K$4682)</f>
        <v>Votre interlocuteur habituel reste à votre entière disposition pour répondre à vos questions et faire le point sur l'évolution de vos besoins.</v>
      </c>
      <c r="C4716" s="37"/>
      <c r="D4716" s="37"/>
      <c r="E4716" s="37"/>
      <c r="F4716" s="37"/>
    </row>
    <row r="4717" customFormat="false" ht="24" hidden="false" customHeight="true" outlineLevel="0" collapsed="false">
      <c r="B4717" s="37" t="str">
        <f aca="false">SUBSTITUTE(SUBSTITUTE(SUBSTITUTE(SUBSTITUTE(SUBSTITUTE(Txt_Politesse,"{cabinet}",Cab_Nom),"{societe}",IF($K$4681=0,"",INDEX(Clients!$E$2:$E$501,$K$4681)&amp;"")),"{date_effet}",$K$4683),"{hausse}",$K$4684),"{civilite}",$K$4682)</f>
        <v>Nous vous prions d'agréer, Madame, Monsieur, l'expression de nos salutations distinguées.</v>
      </c>
      <c r="C4717" s="37"/>
      <c r="D4717" s="37"/>
      <c r="E4717" s="37"/>
      <c r="F4717" s="37"/>
    </row>
    <row r="4718" customFormat="false" ht="15" hidden="false" customHeight="false" outlineLevel="0" collapsed="false">
      <c r="B4718" s="10"/>
      <c r="C4718" s="10"/>
      <c r="D4718" s="10"/>
      <c r="E4718" s="10"/>
      <c r="F4718" s="10"/>
    </row>
    <row r="4719" customFormat="false" ht="15" hidden="false" customHeight="false" outlineLevel="0" collapsed="false">
      <c r="B4719" s="10"/>
      <c r="C4719" s="10"/>
      <c r="D4719" s="34" t="str">
        <f aca="false">Signataire</f>
        <v>Prénom NOM</v>
      </c>
      <c r="E4719" s="34"/>
      <c r="F4719" s="34"/>
    </row>
    <row r="4720" customFormat="false" ht="15" hidden="false" customHeight="false" outlineLevel="0" collapsed="false">
      <c r="B4720" s="10"/>
      <c r="C4720" s="10"/>
      <c r="D4720" s="47" t="str">
        <f aca="false">Signataire_Titre</f>
        <v>Expert-comptable associé</v>
      </c>
      <c r="E4720" s="47"/>
      <c r="F4720" s="47"/>
    </row>
    <row r="4721" customFormat="false" ht="15.75" hidden="false" customHeight="true" outlineLevel="0" collapsed="false">
      <c r="B4721" s="10"/>
      <c r="C4721" s="10"/>
      <c r="D4721" s="10"/>
      <c r="E4721" s="10"/>
      <c r="F4721" s="10"/>
    </row>
    <row r="4722" customFormat="false" ht="15.75" hidden="false" customHeight="true" outlineLevel="0" collapsed="false">
      <c r="B4722" s="10"/>
      <c r="C4722" s="10"/>
      <c r="D4722" s="10"/>
      <c r="E4722" s="10"/>
      <c r="F4722" s="10"/>
    </row>
    <row r="4723" customFormat="false" ht="15.75" hidden="false" customHeight="true" outlineLevel="0" collapsed="false">
      <c r="B4723" s="10"/>
      <c r="C4723" s="10"/>
      <c r="D4723" s="10"/>
      <c r="E4723" s="10"/>
      <c r="F4723" s="10"/>
    </row>
    <row r="4724" customFormat="false" ht="15.75" hidden="false" customHeight="true" outlineLevel="0" collapsed="false">
      <c r="B4724" s="10"/>
      <c r="C4724" s="10"/>
      <c r="D4724" s="10"/>
      <c r="E4724" s="10"/>
      <c r="F4724" s="10"/>
    </row>
    <row r="4725" customFormat="false" ht="24" hidden="false" customHeight="true" outlineLevel="0" collapsed="false">
      <c r="B4725" s="48" t="str">
        <f aca="false">Cab_Mentions</f>
        <v>ALTHO EXPERTISE · SAS au capital de 10 000 € · RCS Pontoise 919 706 325 · TVA FR62919706325 · Société d'expertise comptable inscrite au Tableau de l'Ordre des experts-comptables de Paris Île-de-France</v>
      </c>
      <c r="C4725" s="48"/>
      <c r="D4725" s="48"/>
      <c r="E4725" s="48"/>
      <c r="F4725" s="48"/>
    </row>
    <row r="4726" customFormat="false" ht="15" hidden="false" customHeight="false" outlineLevel="0" collapsed="false">
      <c r="B4726" s="10"/>
      <c r="C4726" s="10"/>
      <c r="D4726" s="10"/>
      <c r="E4726" s="10"/>
      <c r="F4726" s="10"/>
      <c r="J4726" s="25" t="s">
        <v>142</v>
      </c>
      <c r="K4726" s="25" t="n">
        <f aca="false">IFERROR(MATCH(106,Clients!$Z$2:$Z$501,0),0)</f>
        <v>0</v>
      </c>
      <c r="L4726" s="25"/>
      <c r="M4726" s="25"/>
      <c r="N4726" s="25"/>
      <c r="O4726" s="25"/>
    </row>
    <row r="4727" customFormat="false" ht="21.75" hidden="false" customHeight="true" outlineLevel="0" collapsed="false">
      <c r="B4727" s="26" t="str">
        <f aca="false">Cab_Nom</f>
        <v>ALTHO EXPERTISE</v>
      </c>
      <c r="C4727" s="26"/>
      <c r="D4727" s="10"/>
      <c r="E4727" s="27" t="str">
        <f aca="false">IF($K$4726=0,"","Réf. client : "&amp;INDEX(Clients!$A$2:$A$501,$K$4726))</f>
        <v/>
      </c>
      <c r="F4727" s="27"/>
      <c r="J4727" s="25" t="s">
        <v>144</v>
      </c>
      <c r="K4727" s="25" t="str">
        <f aca="false">IF(IF($K$4726=0,"",INDEX(Clients!$B$2:$B$501,$K$4726)&amp;"")="Mme","Madame",IF(IF($K$4726=0,"",INDEX(Clients!$B$2:$B$501,$K$4726)&amp;"")="M.","Monsieur","Madame, Monsieur"))</f>
        <v>Madame, Monsieur</v>
      </c>
      <c r="L4727" s="25"/>
      <c r="M4727" s="25"/>
      <c r="N4727" s="25"/>
      <c r="O4727" s="25"/>
    </row>
    <row r="4728" customFormat="false" ht="15" hidden="false" customHeight="false" outlineLevel="0" collapsed="false">
      <c r="B4728" s="29" t="str">
        <f aca="false">Cab_Adr1</f>
        <v>141 rue Charles de Gaulle</v>
      </c>
      <c r="C4728" s="29"/>
      <c r="D4728" s="10"/>
      <c r="E4728" s="10"/>
      <c r="F4728" s="10"/>
      <c r="J4728" s="25" t="s">
        <v>145</v>
      </c>
      <c r="K4728" s="25" t="str">
        <f aca="false">DAY(Date_Effet)&amp;IF(DAY(Date_Effet)=1,"er","")&amp;" "&amp;INDEX(Liste_Mois,MONTH(Date_Effet))&amp;" "&amp;YEAR(Date_Effet)</f>
        <v>1er janvier 2027</v>
      </c>
      <c r="L4728" s="25"/>
      <c r="M4728" s="25"/>
      <c r="N4728" s="25"/>
      <c r="O4728" s="25"/>
    </row>
    <row r="4729" customFormat="false" ht="15" hidden="false" customHeight="false" outlineLevel="0" collapsed="false">
      <c r="B4729" s="29" t="str">
        <f aca="false">Cab_CPVille</f>
        <v>95130 LE PLESSIS-BOUCHARD</v>
      </c>
      <c r="C4729" s="29"/>
      <c r="D4729" s="10"/>
      <c r="E4729" s="10"/>
      <c r="F4729" s="10"/>
      <c r="J4729" s="25" t="s">
        <v>146</v>
      </c>
      <c r="K4729" s="25" t="str">
        <f aca="false">IF(SUM($K$4753:$K$4756)=0,"",FIXED((SUM($L$4753:$L$4756)/SUM($K$4753:$K$4756)-1)*100,1)&amp;" %")</f>
        <v/>
      </c>
      <c r="L4729" s="25"/>
      <c r="M4729" s="25"/>
      <c r="N4729" s="25"/>
      <c r="O4729" s="25"/>
    </row>
    <row r="4730" customFormat="false" ht="15" hidden="false" customHeight="false" outlineLevel="0" collapsed="false">
      <c r="B4730" s="29" t="str">
        <f aca="false">Cab_Contact</f>
        <v>Tél. 01 34 14 53 45  ·  altho@altho-experts.com  ·  altho-experts.com</v>
      </c>
      <c r="C4730" s="29"/>
      <c r="D4730" s="10"/>
      <c r="E4730" s="10"/>
      <c r="F4730" s="10"/>
      <c r="J4730" s="25"/>
      <c r="K4730" s="25"/>
      <c r="L4730" s="25"/>
      <c r="M4730" s="25"/>
      <c r="N4730" s="25"/>
      <c r="O4730" s="25"/>
    </row>
    <row r="4731" customFormat="false" ht="6" hidden="false" customHeight="true" outlineLevel="0" collapsed="false">
      <c r="B4731" s="32"/>
      <c r="C4731" s="32"/>
      <c r="D4731" s="32"/>
      <c r="E4731" s="32"/>
      <c r="F4731" s="32"/>
      <c r="J4731" s="25"/>
      <c r="K4731" s="25"/>
      <c r="L4731" s="25"/>
      <c r="M4731" s="25"/>
      <c r="N4731" s="25"/>
      <c r="O4731" s="25"/>
    </row>
    <row r="4732" customFormat="false" ht="13.5" hidden="false" customHeight="true" outlineLevel="0" collapsed="false">
      <c r="B4732" s="10"/>
      <c r="C4732" s="10"/>
      <c r="D4732" s="10"/>
      <c r="E4732" s="10"/>
      <c r="F4732" s="10"/>
      <c r="J4732" s="25"/>
      <c r="K4732" s="25"/>
      <c r="L4732" s="25"/>
      <c r="M4732" s="25"/>
      <c r="N4732" s="25"/>
      <c r="O4732" s="25"/>
    </row>
    <row r="4733" customFormat="false" ht="13.5" hidden="false" customHeight="true" outlineLevel="0" collapsed="false">
      <c r="B4733" s="10"/>
      <c r="C4733" s="10"/>
      <c r="D4733" s="10"/>
      <c r="E4733" s="10"/>
      <c r="F4733" s="10"/>
      <c r="J4733" s="25"/>
      <c r="K4733" s="25"/>
      <c r="L4733" s="25"/>
      <c r="M4733" s="25"/>
      <c r="N4733" s="25"/>
      <c r="O4733" s="25"/>
    </row>
    <row r="4734" customFormat="false" ht="13.5" hidden="false" customHeight="true" outlineLevel="0" collapsed="false">
      <c r="B4734" s="10"/>
      <c r="C4734" s="10"/>
      <c r="D4734" s="10"/>
      <c r="E4734" s="10"/>
      <c r="F4734" s="10"/>
      <c r="J4734" s="25"/>
      <c r="K4734" s="25"/>
      <c r="L4734" s="25"/>
      <c r="M4734" s="25"/>
      <c r="N4734" s="25"/>
      <c r="O4734" s="25"/>
    </row>
    <row r="4735" customFormat="false" ht="15" hidden="false" customHeight="true" outlineLevel="0" collapsed="false">
      <c r="B4735" s="10"/>
      <c r="C4735" s="10"/>
      <c r="D4735" s="34" t="str">
        <f aca="false">IF($K$4726=0,"",INDEX(Clients!$E$2:$E$501,$K$4726)&amp;"")</f>
        <v/>
      </c>
      <c r="E4735" s="34"/>
      <c r="F4735" s="34"/>
      <c r="J4735" s="25"/>
      <c r="K4735" s="25"/>
      <c r="L4735" s="25"/>
      <c r="M4735" s="25"/>
      <c r="N4735" s="25"/>
      <c r="O4735" s="25"/>
    </row>
    <row r="4736" customFormat="false" ht="15" hidden="false" customHeight="true" outlineLevel="0" collapsed="false">
      <c r="B4736" s="10"/>
      <c r="C4736" s="10"/>
      <c r="D4736" s="35" t="str">
        <f aca="false">IF(IF($K$4726=0,"",INDEX(Clients!$D$2:$D$501,$K$4726)&amp;"")="","","À l'attention de "&amp;TRIM(IF($K$4726=0,"",INDEX(Clients!$B$2:$B$501,$K$4726)&amp;"")&amp;" "&amp;IF($K$4726=0,"",INDEX(Clients!$C$2:$C$501,$K$4726)&amp;"")&amp;" "&amp;IF($K$4726=0,"",INDEX(Clients!$D$2:$D$501,$K$4726)&amp;"")))</f>
        <v/>
      </c>
      <c r="E4736" s="35"/>
      <c r="F4736" s="35"/>
      <c r="J4736" s="25"/>
      <c r="K4736" s="25"/>
      <c r="L4736" s="25"/>
      <c r="M4736" s="25"/>
      <c r="N4736" s="25"/>
      <c r="O4736" s="25"/>
    </row>
    <row r="4737" customFormat="false" ht="15" hidden="false" customHeight="true" outlineLevel="0" collapsed="false">
      <c r="B4737" s="10"/>
      <c r="C4737" s="10"/>
      <c r="D4737" s="35" t="str">
        <f aca="false">IF($K$4726=0,"",INDEX(Clients!$F$2:$F$501,$K$4726)&amp;"")</f>
        <v/>
      </c>
      <c r="E4737" s="35"/>
      <c r="F4737" s="35"/>
      <c r="J4737" s="25"/>
      <c r="K4737" s="25"/>
      <c r="L4737" s="25"/>
      <c r="M4737" s="25"/>
      <c r="N4737" s="25"/>
      <c r="O4737" s="25"/>
    </row>
    <row r="4738" customFormat="false" ht="15" hidden="false" customHeight="true" outlineLevel="0" collapsed="false">
      <c r="B4738" s="10"/>
      <c r="C4738" s="10"/>
      <c r="D4738" s="35" t="str">
        <f aca="false">IF(IF($K$4726=0,"",INDEX(Clients!$G$2:$G$501,$K$4726)&amp;"")="",TRIM(IF($K$4726=0,"",INDEX(Clients!$H$2:$H$501,$K$4726)&amp;"")&amp;" "&amp;UPPER(IF($K$4726=0,"",INDEX(Clients!$I$2:$I$501,$K$4726)&amp;""))),IF($K$4726=0,"",INDEX(Clients!$G$2:$G$501,$K$4726)&amp;""))</f>
        <v/>
      </c>
      <c r="E4738" s="35"/>
      <c r="F4738" s="35"/>
      <c r="J4738" s="25"/>
      <c r="K4738" s="25"/>
      <c r="L4738" s="25"/>
      <c r="M4738" s="25"/>
      <c r="N4738" s="25"/>
      <c r="O4738" s="25"/>
    </row>
    <row r="4739" customFormat="false" ht="15" hidden="false" customHeight="true" outlineLevel="0" collapsed="false">
      <c r="B4739" s="10"/>
      <c r="C4739" s="10"/>
      <c r="D4739" s="35" t="str">
        <f aca="false">IF(IF($K$4726=0,"",INDEX(Clients!$G$2:$G$501,$K$4726)&amp;"")="","",TRIM(IF($K$4726=0,"",INDEX(Clients!$H$2:$H$501,$K$4726)&amp;"")&amp;" "&amp;UPPER(IF($K$4726=0,"",INDEX(Clients!$I$2:$I$501,$K$4726)&amp;""))))</f>
        <v/>
      </c>
      <c r="E4739" s="35"/>
      <c r="F4739" s="35"/>
      <c r="J4739" s="25"/>
      <c r="K4739" s="25"/>
      <c r="L4739" s="25"/>
      <c r="M4739" s="25"/>
      <c r="N4739" s="25"/>
      <c r="O4739" s="25"/>
    </row>
    <row r="4740" customFormat="false" ht="25.5" hidden="false" customHeight="true" outlineLevel="0" collapsed="false">
      <c r="B4740" s="10"/>
      <c r="C4740" s="10"/>
      <c r="D4740" s="10"/>
      <c r="E4740" s="10"/>
      <c r="F4740" s="10"/>
      <c r="J4740" s="25"/>
      <c r="K4740" s="25"/>
      <c r="L4740" s="25"/>
      <c r="M4740" s="25"/>
      <c r="N4740" s="25"/>
      <c r="O4740" s="25"/>
    </row>
    <row r="4741" customFormat="false" ht="15" hidden="false" customHeight="false" outlineLevel="0" collapsed="false">
      <c r="B4741" s="10"/>
      <c r="C4741" s="10"/>
      <c r="D4741" s="36" t="str">
        <f aca="false">Cab_Ville&amp;", le "&amp;DAY(Date_Courrier)&amp;IF(DAY(Date_Courrier)=1,"er","")&amp;" "&amp;INDEX(Liste_Mois,MONTH(Date_Courrier))&amp;" "&amp;YEAR(Date_Courrier)</f>
        <v>Le Plessis-Bouchard, le 22 septembre 2026</v>
      </c>
      <c r="E4741" s="36"/>
      <c r="F4741" s="36"/>
      <c r="J4741" s="25"/>
      <c r="K4741" s="25"/>
      <c r="L4741" s="25"/>
      <c r="M4741" s="25"/>
      <c r="N4741" s="25"/>
      <c r="O4741" s="25"/>
    </row>
    <row r="4742" customFormat="false" ht="19.5" hidden="false" customHeight="true" outlineLevel="0" collapsed="false">
      <c r="B4742" s="10"/>
      <c r="C4742" s="10"/>
      <c r="D4742" s="10"/>
      <c r="E4742" s="10"/>
      <c r="F4742" s="10"/>
      <c r="J4742" s="25"/>
      <c r="K4742" s="25"/>
      <c r="L4742" s="25"/>
      <c r="M4742" s="25"/>
      <c r="N4742" s="25"/>
      <c r="O4742" s="25"/>
    </row>
    <row r="4743" customFormat="false" ht="15" hidden="false" customHeight="false" outlineLevel="0" collapsed="false">
      <c r="B4743" s="34" t="str">
        <f aca="false">SUBSTITUTE(SUBSTITUTE(SUBSTITUTE(SUBSTITUTE(SUBSTITUTE(Txt_Objet,"{cabinet}",Cab_Nom),"{societe}",IF($K$4726=0,"",INDEX(Clients!$E$2:$E$501,$K$4726)&amp;"")),"{date_effet}",$K$4728),"{hausse}",$K$4729),"{civilite}",$K$4727)</f>
        <v>Objet : révision de nos honoraires au 1er janvier 2027</v>
      </c>
      <c r="C4743" s="34"/>
      <c r="D4743" s="34"/>
      <c r="E4743" s="34"/>
      <c r="F4743" s="34"/>
      <c r="J4743" s="25"/>
      <c r="K4743" s="25"/>
      <c r="L4743" s="25"/>
      <c r="M4743" s="25"/>
      <c r="N4743" s="25"/>
      <c r="O4743" s="25"/>
    </row>
    <row r="4744" customFormat="false" ht="13.5" hidden="false" customHeight="true" outlineLevel="0" collapsed="false">
      <c r="B4744" s="10"/>
      <c r="C4744" s="10"/>
      <c r="D4744" s="10"/>
      <c r="E4744" s="10"/>
      <c r="F4744" s="10"/>
      <c r="J4744" s="25"/>
      <c r="K4744" s="25"/>
      <c r="L4744" s="25"/>
      <c r="M4744" s="25"/>
      <c r="N4744" s="25"/>
      <c r="O4744" s="25"/>
    </row>
    <row r="4745" customFormat="false" ht="15" hidden="false" customHeight="false" outlineLevel="0" collapsed="false">
      <c r="B4745" s="10" t="str">
        <f aca="false">$K$4727&amp;","</f>
        <v>Madame, Monsieur,</v>
      </c>
      <c r="C4745" s="10"/>
      <c r="D4745" s="10"/>
      <c r="E4745" s="10"/>
      <c r="F4745" s="10"/>
      <c r="J4745" s="25"/>
      <c r="K4745" s="25"/>
      <c r="L4745" s="25"/>
      <c r="M4745" s="25"/>
      <c r="N4745" s="25"/>
      <c r="O4745" s="25"/>
    </row>
    <row r="4746" customFormat="false" ht="6" hidden="false" customHeight="true" outlineLevel="0" collapsed="false">
      <c r="B4746" s="10"/>
      <c r="C4746" s="10"/>
      <c r="D4746" s="10"/>
      <c r="E4746" s="10"/>
      <c r="F4746" s="10"/>
      <c r="J4746" s="25"/>
      <c r="K4746" s="25"/>
      <c r="L4746" s="25"/>
      <c r="M4746" s="25"/>
      <c r="N4746" s="25"/>
      <c r="O4746" s="25"/>
    </row>
    <row r="4747" customFormat="false" ht="36.75" hidden="false" customHeight="true" outlineLevel="0" collapsed="false">
      <c r="B4747" s="37" t="str">
        <f aca="false">SUBSTITUTE(SUBSTITUTE(SUBSTITUTE(SUBSTITUTE(SUBSTITUTE(Txt_P1,"{cabinet}",Cab_Nom),"{societe}",IF($K$4726=0,"",INDEX(Clients!$E$2:$E$501,$K$4726)&amp;"")),"{date_effet}",$K$4728),"{hausse}",$K$4729),"{civilite}",$K$4727)</f>
        <v>Nous tenons tout d'abord à vous remercier pour la confiance que vous accordez à ALTHO EXPERTISE. Comme chaque année, et conformément aux dispositions de votre lettre de mission, nous procédons à la révision de nos honoraires.</v>
      </c>
      <c r="C4747" s="37"/>
      <c r="D4747" s="37"/>
      <c r="E4747" s="37"/>
      <c r="F4747" s="37"/>
      <c r="J4747" s="25"/>
      <c r="K4747" s="25"/>
      <c r="L4747" s="25"/>
      <c r="M4747" s="25"/>
      <c r="N4747" s="25"/>
      <c r="O4747" s="25"/>
    </row>
    <row r="4748" customFormat="false" ht="49.5" hidden="false" customHeight="true" outlineLevel="0" collapsed="false">
      <c r="B4748" s="37" t="str">
        <f aca="false">SUBSTITUTE(SUBSTITUTE(SUBSTITUTE(SUBSTITUTE(SUBSTITUTE(Txt_P2,"{cabinet}",Cab_Nom),"{societe}",IF($K$4726=0,"",INDEX(Clients!$E$2:$E$501,$K$4726)&amp;"")),"{date_effet}",$K$4728),"{hausse}",$K$4729),"{civilite}",$K$4727)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748" s="37"/>
      <c r="D4748" s="37"/>
      <c r="E4748" s="37"/>
      <c r="F4748" s="37"/>
      <c r="J4748" s="25"/>
      <c r="K4748" s="25"/>
      <c r="L4748" s="25"/>
      <c r="M4748" s="25"/>
      <c r="N4748" s="25"/>
      <c r="O4748" s="25"/>
    </row>
    <row r="4749" customFormat="false" ht="63" hidden="false" customHeight="true" outlineLevel="0" collapsed="false">
      <c r="B4749" s="37" t="str">
        <f aca="false">SUBSTITUTE(SUBSTITUTE(SUBSTITUTE(SUBSTITUTE(SUBSTITUTE(Txt_P3,"{cabinet}",Cab_Nom),"{societe}",IF($K$4726=0,"",INDEX(Clients!$E$2:$E$501,$K$4726)&amp;"")),"{date_effet}",$K$4728),"{hausse}",$K$4729),"{civilite}",$K$4727)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749" s="37"/>
      <c r="D4749" s="37"/>
      <c r="E4749" s="37"/>
      <c r="F4749" s="37"/>
      <c r="J4749" s="25"/>
      <c r="K4749" s="25"/>
      <c r="L4749" s="25"/>
      <c r="M4749" s="25"/>
      <c r="N4749" s="25"/>
      <c r="O4749" s="25"/>
    </row>
    <row r="4750" customFormat="false" ht="24" hidden="false" customHeight="true" outlineLevel="0" collapsed="false">
      <c r="B4750" s="37" t="str">
        <f aca="false">SUBSTITUTE(SUBSTITUTE(SUBSTITUTE(SUBSTITUTE(SUBSTITUTE(Txt_P4,"{cabinet}",Cab_Nom),"{societe}",IF($K$4726=0,"",INDEX(Clients!$E$2:$E$501,$K$4726)&amp;"")),"{date_effet}",$K$4728),"{hausse}",$K$4729),"{civilite}",$K$4727)</f>
        <v>À compter du 1er janvier 2027, vos honoraires annuels hors taxes évolueront ainsi (évolution globale : ) :</v>
      </c>
      <c r="C4750" s="37"/>
      <c r="D4750" s="37"/>
      <c r="E4750" s="37"/>
      <c r="F4750" s="37"/>
      <c r="J4750" s="25"/>
      <c r="K4750" s="25"/>
      <c r="L4750" s="25"/>
      <c r="M4750" s="25"/>
      <c r="N4750" s="25"/>
      <c r="O4750" s="25"/>
    </row>
    <row r="4751" customFormat="false" ht="3.75" hidden="false" customHeight="true" outlineLevel="0" collapsed="false">
      <c r="B4751" s="10"/>
      <c r="C4751" s="10"/>
      <c r="D4751" s="10"/>
      <c r="E4751" s="10"/>
      <c r="F4751" s="10"/>
      <c r="J4751" s="25"/>
      <c r="K4751" s="25"/>
      <c r="L4751" s="25"/>
      <c r="M4751" s="25"/>
      <c r="N4751" s="25"/>
      <c r="O4751" s="25"/>
    </row>
    <row r="4752" customFormat="false" ht="18" hidden="false" customHeight="true" outlineLevel="0" collapsed="false">
      <c r="B4752" s="38" t="s">
        <v>148</v>
      </c>
      <c r="C4752" s="39" t="s">
        <v>149</v>
      </c>
      <c r="D4752" s="39" t="s">
        <v>150</v>
      </c>
      <c r="E4752" s="39" t="s">
        <v>151</v>
      </c>
      <c r="F4752" s="39" t="s">
        <v>109</v>
      </c>
      <c r="J4752" s="25" t="s">
        <v>152</v>
      </c>
      <c r="K4752" s="25" t="s">
        <v>153</v>
      </c>
      <c r="L4752" s="25" t="s">
        <v>154</v>
      </c>
      <c r="M4752" s="25" t="s">
        <v>155</v>
      </c>
      <c r="N4752" s="25" t="s">
        <v>156</v>
      </c>
      <c r="O4752" s="25" t="s">
        <v>157</v>
      </c>
    </row>
    <row r="4753" customFormat="false" ht="16.5" hidden="false" customHeight="true" outlineLevel="0" collapsed="false">
      <c r="B4753" s="40" t="str">
        <f aca="false">IFERROR(INDEX($J$4753:$J$4756,MATCH($O4753,$N$4753:$N$4756,0)),"")</f>
        <v/>
      </c>
      <c r="C4753" s="41" t="str">
        <f aca="false">IFERROR(INDEX($K$4753:$K$4756,MATCH($O4753,$N$4753:$N$4756,0)),"")</f>
        <v/>
      </c>
      <c r="D4753" s="42" t="str">
        <f aca="false">IF(OR(E4753="",N(C4753)=0),"",E4753/C4753-1)</f>
        <v/>
      </c>
      <c r="E4753" s="41" t="str">
        <f aca="false">IFERROR(INDEX($L$4753:$L$4756,MATCH($O4753,$N$4753:$N$4756,0)),"")</f>
        <v/>
      </c>
      <c r="F4753" s="41" t="str">
        <f aca="false">IF(E4753="","",E4753-C4753)</f>
        <v/>
      </c>
      <c r="J4753" s="25" t="str">
        <f aca="false">Lib_Compta</f>
        <v>Mission comptable (tenue, révision, bilan, liasse fiscale)</v>
      </c>
      <c r="K4753" s="25" t="n">
        <f aca="false">IF($K$4726=0,0,N(INDEX(Clients!$K$2:$K$501,$K$4726)))</f>
        <v>0</v>
      </c>
      <c r="L4753" s="25" t="n">
        <f aca="false">IF($K$4726=0,0,N(INDEX(Clients!$P$2:$P$501,$K$4726)))</f>
        <v>0</v>
      </c>
      <c r="M4753" s="25" t="n">
        <f aca="false">IF(OR(K4753&lt;&gt;0,L4753&lt;&gt;0),1,0)</f>
        <v>0</v>
      </c>
      <c r="N4753" s="25" t="str">
        <f aca="false">IF(M4753=1,SUM($M$4753:M4753),"")</f>
        <v/>
      </c>
      <c r="O4753" s="25" t="n">
        <v>1</v>
      </c>
    </row>
    <row r="4754" customFormat="false" ht="16.5" hidden="false" customHeight="true" outlineLevel="0" collapsed="false">
      <c r="B4754" s="40" t="str">
        <f aca="false">IFERROR(INDEX($J$4753:$J$4756,MATCH($O4754,$N$4753:$N$4756,0)),"")</f>
        <v/>
      </c>
      <c r="C4754" s="41" t="str">
        <f aca="false">IFERROR(INDEX($K$4753:$K$4756,MATCH($O4754,$N$4753:$N$4756,0)),"")</f>
        <v/>
      </c>
      <c r="D4754" s="42" t="str">
        <f aca="false">IF(OR(E4754="",N(C4754)=0),"",E4754/C4754-1)</f>
        <v/>
      </c>
      <c r="E4754" s="41" t="str">
        <f aca="false">IFERROR(INDEX($L$4753:$L$4756,MATCH($O4754,$N$4753:$N$4756,0)),"")</f>
        <v/>
      </c>
      <c r="F4754" s="41" t="str">
        <f aca="false">IF(E4754="","",E4754-C4754)</f>
        <v/>
      </c>
      <c r="J4754" s="25" t="str">
        <f aca="false">Lib_Paye</f>
        <v>Mission sociale (bulletins de paie, DSN, déclarations sociales)</v>
      </c>
      <c r="K4754" s="25" t="n">
        <f aca="false">IF($K$4726=0,0,N(INDEX(Clients!$L$2:$L$501,$K$4726)))</f>
        <v>0</v>
      </c>
      <c r="L4754" s="25" t="n">
        <f aca="false">IF($K$4726=0,0,N(INDEX(Clients!$Q$2:$Q$501,$K$4726)))</f>
        <v>0</v>
      </c>
      <c r="M4754" s="25" t="n">
        <f aca="false">IF(OR(K4754&lt;&gt;0,L4754&lt;&gt;0),1,0)</f>
        <v>0</v>
      </c>
      <c r="N4754" s="25" t="str">
        <f aca="false">IF(M4754=1,SUM($M$4753:M4754),"")</f>
        <v/>
      </c>
      <c r="O4754" s="25" t="n">
        <v>2</v>
      </c>
    </row>
    <row r="4755" customFormat="false" ht="16.5" hidden="false" customHeight="true" outlineLevel="0" collapsed="false">
      <c r="B4755" s="40" t="str">
        <f aca="false">IFERROR(INDEX($J$4753:$J$4756,MATCH($O4755,$N$4753:$N$4756,0)),"")</f>
        <v/>
      </c>
      <c r="C4755" s="41" t="str">
        <f aca="false">IFERROR(INDEX($K$4753:$K$4756,MATCH($O4755,$N$4753:$N$4756,0)),"")</f>
        <v/>
      </c>
      <c r="D4755" s="42" t="str">
        <f aca="false">IF(OR(E4755="",N(C4755)=0),"",E4755/C4755-1)</f>
        <v/>
      </c>
      <c r="E4755" s="41" t="str">
        <f aca="false">IFERROR(INDEX($L$4753:$L$4756,MATCH($O4755,$N$4753:$N$4756,0)),"")</f>
        <v/>
      </c>
      <c r="F4755" s="41" t="str">
        <f aca="false">IF(E4755="","",E4755-C4755)</f>
        <v/>
      </c>
      <c r="J4755" s="25" t="str">
        <f aca="false">Lib_Jur</f>
        <v>Mission juridique (approbation des comptes, secrétariat juridique)</v>
      </c>
      <c r="K4755" s="25" t="n">
        <f aca="false">IF($K$4726=0,0,N(INDEX(Clients!$M$2:$M$501,$K$4726)))</f>
        <v>0</v>
      </c>
      <c r="L4755" s="25" t="n">
        <f aca="false">IF($K$4726=0,0,N(INDEX(Clients!$R$2:$R$501,$K$4726)))</f>
        <v>0</v>
      </c>
      <c r="M4755" s="25" t="n">
        <f aca="false">IF(OR(K4755&lt;&gt;0,L4755&lt;&gt;0),1,0)</f>
        <v>0</v>
      </c>
      <c r="N4755" s="25" t="str">
        <f aca="false">IF(M4755=1,SUM($M$4753:M4755),"")</f>
        <v/>
      </c>
      <c r="O4755" s="25" t="n">
        <v>3</v>
      </c>
    </row>
    <row r="4756" customFormat="false" ht="16.5" hidden="false" customHeight="true" outlineLevel="0" collapsed="false">
      <c r="B4756" s="40" t="str">
        <f aca="false">IFERROR(INDEX($J$4753:$J$4756,MATCH($O4756,$N$4753:$N$4756,0)),"")</f>
        <v/>
      </c>
      <c r="C4756" s="41" t="str">
        <f aca="false">IFERROR(INDEX($K$4753:$K$4756,MATCH($O4756,$N$4753:$N$4756,0)),"")</f>
        <v/>
      </c>
      <c r="D4756" s="42" t="str">
        <f aca="false">IF(OR(E4756="",N(C4756)=0),"",E4756/C4756-1)</f>
        <v/>
      </c>
      <c r="E4756" s="41" t="str">
        <f aca="false">IFERROR(INDEX($L$4753:$L$4756,MATCH($O4756,$N$4753:$N$4756,0)),"")</f>
        <v/>
      </c>
      <c r="F4756" s="41" t="str">
        <f aca="false">IF(E4756="","",E4756-C4756)</f>
        <v/>
      </c>
      <c r="J4756" s="25" t="str">
        <f aca="false">Lib_PA</f>
        <v>Plateforme agréée – facturation électronique</v>
      </c>
      <c r="K4756" s="25" t="n">
        <f aca="false">IF($K$4726=0,0,N(INDEX(Clients!$N$2:$N$501,$K$4726)))</f>
        <v>0</v>
      </c>
      <c r="L4756" s="25" t="n">
        <f aca="false">IF($K$4726=0,0,N(INDEX(Clients!$S$2:$S$501,$K$4726)))</f>
        <v>0</v>
      </c>
      <c r="M4756" s="25" t="n">
        <f aca="false">IF(OR(K4756&lt;&gt;0,L4756&lt;&gt;0),1,0)</f>
        <v>0</v>
      </c>
      <c r="N4756" s="25" t="str">
        <f aca="false">IF(M4756=1,SUM($M$4753:M4756),"")</f>
        <v/>
      </c>
      <c r="O4756" s="25" t="n">
        <v>4</v>
      </c>
    </row>
    <row r="4757" customFormat="false" ht="18" hidden="false" customHeight="true" outlineLevel="0" collapsed="false">
      <c r="B4757" s="43" t="s">
        <v>158</v>
      </c>
      <c r="C4757" s="44" t="n">
        <f aca="false">SUM(K4753:K4756)</f>
        <v>0</v>
      </c>
      <c r="D4757" s="45" t="str">
        <f aca="false">IF(N(C4757)=0,"",E4757/C4757-1)</f>
        <v/>
      </c>
      <c r="E4757" s="44" t="n">
        <f aca="false">SUM(L4753:L4756)</f>
        <v>0</v>
      </c>
      <c r="F4757" s="44" t="n">
        <f aca="false">E4757-C4757</f>
        <v>0</v>
      </c>
    </row>
    <row r="4758" customFormat="false" ht="15" hidden="false" customHeight="false" outlineLevel="0" collapsed="false">
      <c r="B4758" s="46" t="str">
        <f aca="false">IF(N(Nb_Mensualites)=0,"","Soit "&amp;FIXED(E4757/Nb_Mensualites,2)&amp;" € HT par échéance ("&amp;Nb_Mensualites&amp;" échéances), "&amp;FIXED(E4757/Nb_Mensualites*(1+Taux_TVA),2)&amp;" € TTC.")</f>
        <v>Soit 0.00 € HT par échéance (12 échéances), 0.00 € TTC.</v>
      </c>
      <c r="C4758" s="46"/>
      <c r="D4758" s="46"/>
      <c r="E4758" s="46"/>
      <c r="F4758" s="46"/>
    </row>
    <row r="4759" customFormat="false" ht="7.5" hidden="false" customHeight="true" outlineLevel="0" collapsed="false">
      <c r="B4759" s="10"/>
      <c r="C4759" s="10"/>
      <c r="D4759" s="10"/>
      <c r="E4759" s="10"/>
      <c r="F4759" s="10"/>
    </row>
    <row r="4760" customFormat="false" ht="36.75" hidden="false" customHeight="true" outlineLevel="0" collapsed="false">
      <c r="B4760" s="37" t="str">
        <f aca="false">SUBSTITUTE(SUBSTITUTE(SUBSTITUTE(SUBSTITUTE(SUBSTITUTE(Txt_P5,"{cabinet}",Cab_Nom),"{societe}",IF($K$4726=0,"",INDEX(Clients!$E$2:$E$501,$K$4726)&amp;"")),"{date_effet}",$K$4728),"{hausse}",$K$4729),"{civilite}",$K$4727)</f>
        <v>Les autres conditions de votre lettre de mission demeurent inchangées. Les nouveaux montants seront appliqués automatiquement sur vos prochaines factures et échéances de prélèvement.</v>
      </c>
      <c r="C4760" s="37"/>
      <c r="D4760" s="37"/>
      <c r="E4760" s="37"/>
      <c r="F4760" s="37"/>
    </row>
    <row r="4761" customFormat="false" ht="36.75" hidden="false" customHeight="true" outlineLevel="0" collapsed="false">
      <c r="B4761" s="37" t="str">
        <f aca="false">SUBSTITUTE(SUBSTITUTE(SUBSTITUTE(SUBSTITUTE(SUBSTITUTE(Txt_P6,"{cabinet}",Cab_Nom),"{societe}",IF($K$4726=0,"",INDEX(Clients!$E$2:$E$501,$K$4726)&amp;"")),"{date_effet}",$K$4728),"{hausse}",$K$4729),"{civilite}",$K$4727)</f>
        <v>Votre interlocuteur habituel reste à votre entière disposition pour répondre à vos questions et faire le point sur l'évolution de vos besoins.</v>
      </c>
      <c r="C4761" s="37"/>
      <c r="D4761" s="37"/>
      <c r="E4761" s="37"/>
      <c r="F4761" s="37"/>
    </row>
    <row r="4762" customFormat="false" ht="24" hidden="false" customHeight="true" outlineLevel="0" collapsed="false">
      <c r="B4762" s="37" t="str">
        <f aca="false">SUBSTITUTE(SUBSTITUTE(SUBSTITUTE(SUBSTITUTE(SUBSTITUTE(Txt_Politesse,"{cabinet}",Cab_Nom),"{societe}",IF($K$4726=0,"",INDEX(Clients!$E$2:$E$501,$K$4726)&amp;"")),"{date_effet}",$K$4728),"{hausse}",$K$4729),"{civilite}",$K$4727)</f>
        <v>Nous vous prions d'agréer, Madame, Monsieur, l'expression de nos salutations distinguées.</v>
      </c>
      <c r="C4762" s="37"/>
      <c r="D4762" s="37"/>
      <c r="E4762" s="37"/>
      <c r="F4762" s="37"/>
    </row>
    <row r="4763" customFormat="false" ht="15" hidden="false" customHeight="false" outlineLevel="0" collapsed="false">
      <c r="B4763" s="10"/>
      <c r="C4763" s="10"/>
      <c r="D4763" s="10"/>
      <c r="E4763" s="10"/>
      <c r="F4763" s="10"/>
    </row>
    <row r="4764" customFormat="false" ht="15" hidden="false" customHeight="false" outlineLevel="0" collapsed="false">
      <c r="B4764" s="10"/>
      <c r="C4764" s="10"/>
      <c r="D4764" s="34" t="str">
        <f aca="false">Signataire</f>
        <v>Prénom NOM</v>
      </c>
      <c r="E4764" s="34"/>
      <c r="F4764" s="34"/>
    </row>
    <row r="4765" customFormat="false" ht="15" hidden="false" customHeight="false" outlineLevel="0" collapsed="false">
      <c r="B4765" s="10"/>
      <c r="C4765" s="10"/>
      <c r="D4765" s="47" t="str">
        <f aca="false">Signataire_Titre</f>
        <v>Expert-comptable associé</v>
      </c>
      <c r="E4765" s="47"/>
      <c r="F4765" s="47"/>
    </row>
    <row r="4766" customFormat="false" ht="15.75" hidden="false" customHeight="true" outlineLevel="0" collapsed="false">
      <c r="B4766" s="10"/>
      <c r="C4766" s="10"/>
      <c r="D4766" s="10"/>
      <c r="E4766" s="10"/>
      <c r="F4766" s="10"/>
    </row>
    <row r="4767" customFormat="false" ht="15.75" hidden="false" customHeight="true" outlineLevel="0" collapsed="false">
      <c r="B4767" s="10"/>
      <c r="C4767" s="10"/>
      <c r="D4767" s="10"/>
      <c r="E4767" s="10"/>
      <c r="F4767" s="10"/>
    </row>
    <row r="4768" customFormat="false" ht="15.75" hidden="false" customHeight="true" outlineLevel="0" collapsed="false">
      <c r="B4768" s="10"/>
      <c r="C4768" s="10"/>
      <c r="D4768" s="10"/>
      <c r="E4768" s="10"/>
      <c r="F4768" s="10"/>
    </row>
    <row r="4769" customFormat="false" ht="15.75" hidden="false" customHeight="true" outlineLevel="0" collapsed="false">
      <c r="B4769" s="10"/>
      <c r="C4769" s="10"/>
      <c r="D4769" s="10"/>
      <c r="E4769" s="10"/>
      <c r="F4769" s="10"/>
    </row>
    <row r="4770" customFormat="false" ht="24" hidden="false" customHeight="true" outlineLevel="0" collapsed="false">
      <c r="B4770" s="48" t="str">
        <f aca="false">Cab_Mentions</f>
        <v>ALTHO EXPERTISE · SAS au capital de 10 000 € · RCS Pontoise 919 706 325 · TVA FR62919706325 · Société d'expertise comptable inscrite au Tableau de l'Ordre des experts-comptables de Paris Île-de-France</v>
      </c>
      <c r="C4770" s="48"/>
      <c r="D4770" s="48"/>
      <c r="E4770" s="48"/>
      <c r="F4770" s="48"/>
    </row>
    <row r="4771" customFormat="false" ht="15" hidden="false" customHeight="false" outlineLevel="0" collapsed="false">
      <c r="B4771" s="10"/>
      <c r="C4771" s="10"/>
      <c r="D4771" s="10"/>
      <c r="E4771" s="10"/>
      <c r="F4771" s="10"/>
      <c r="J4771" s="25" t="s">
        <v>142</v>
      </c>
      <c r="K4771" s="25" t="n">
        <f aca="false">IFERROR(MATCH(107,Clients!$Z$2:$Z$501,0),0)</f>
        <v>0</v>
      </c>
      <c r="L4771" s="25"/>
      <c r="M4771" s="25"/>
      <c r="N4771" s="25"/>
      <c r="O4771" s="25"/>
    </row>
    <row r="4772" customFormat="false" ht="21.75" hidden="false" customHeight="true" outlineLevel="0" collapsed="false">
      <c r="B4772" s="26" t="str">
        <f aca="false">Cab_Nom</f>
        <v>ALTHO EXPERTISE</v>
      </c>
      <c r="C4772" s="26"/>
      <c r="D4772" s="10"/>
      <c r="E4772" s="27" t="str">
        <f aca="false">IF($K$4771=0,"","Réf. client : "&amp;INDEX(Clients!$A$2:$A$501,$K$4771))</f>
        <v/>
      </c>
      <c r="F4772" s="27"/>
      <c r="J4772" s="25" t="s">
        <v>144</v>
      </c>
      <c r="K4772" s="25" t="str">
        <f aca="false">IF(IF($K$4771=0,"",INDEX(Clients!$B$2:$B$501,$K$4771)&amp;"")="Mme","Madame",IF(IF($K$4771=0,"",INDEX(Clients!$B$2:$B$501,$K$4771)&amp;"")="M.","Monsieur","Madame, Monsieur"))</f>
        <v>Madame, Monsieur</v>
      </c>
      <c r="L4772" s="25"/>
      <c r="M4772" s="25"/>
      <c r="N4772" s="25"/>
      <c r="O4772" s="25"/>
    </row>
    <row r="4773" customFormat="false" ht="15" hidden="false" customHeight="false" outlineLevel="0" collapsed="false">
      <c r="B4773" s="29" t="str">
        <f aca="false">Cab_Adr1</f>
        <v>141 rue Charles de Gaulle</v>
      </c>
      <c r="C4773" s="29"/>
      <c r="D4773" s="10"/>
      <c r="E4773" s="10"/>
      <c r="F4773" s="10"/>
      <c r="J4773" s="25" t="s">
        <v>145</v>
      </c>
      <c r="K4773" s="25" t="str">
        <f aca="false">DAY(Date_Effet)&amp;IF(DAY(Date_Effet)=1,"er","")&amp;" "&amp;INDEX(Liste_Mois,MONTH(Date_Effet))&amp;" "&amp;YEAR(Date_Effet)</f>
        <v>1er janvier 2027</v>
      </c>
      <c r="L4773" s="25"/>
      <c r="M4773" s="25"/>
      <c r="N4773" s="25"/>
      <c r="O4773" s="25"/>
    </row>
    <row r="4774" customFormat="false" ht="15" hidden="false" customHeight="false" outlineLevel="0" collapsed="false">
      <c r="B4774" s="29" t="str">
        <f aca="false">Cab_CPVille</f>
        <v>95130 LE PLESSIS-BOUCHARD</v>
      </c>
      <c r="C4774" s="29"/>
      <c r="D4774" s="10"/>
      <c r="E4774" s="10"/>
      <c r="F4774" s="10"/>
      <c r="J4774" s="25" t="s">
        <v>146</v>
      </c>
      <c r="K4774" s="25" t="str">
        <f aca="false">IF(SUM($K$4798:$K$4801)=0,"",FIXED((SUM($L$4798:$L$4801)/SUM($K$4798:$K$4801)-1)*100,1)&amp;" %")</f>
        <v/>
      </c>
      <c r="L4774" s="25"/>
      <c r="M4774" s="25"/>
      <c r="N4774" s="25"/>
      <c r="O4774" s="25"/>
    </row>
    <row r="4775" customFormat="false" ht="15" hidden="false" customHeight="false" outlineLevel="0" collapsed="false">
      <c r="B4775" s="29" t="str">
        <f aca="false">Cab_Contact</f>
        <v>Tél. 01 34 14 53 45  ·  altho@altho-experts.com  ·  altho-experts.com</v>
      </c>
      <c r="C4775" s="29"/>
      <c r="D4775" s="10"/>
      <c r="E4775" s="10"/>
      <c r="F4775" s="10"/>
      <c r="J4775" s="25"/>
      <c r="K4775" s="25"/>
      <c r="L4775" s="25"/>
      <c r="M4775" s="25"/>
      <c r="N4775" s="25"/>
      <c r="O4775" s="25"/>
    </row>
    <row r="4776" customFormat="false" ht="6" hidden="false" customHeight="true" outlineLevel="0" collapsed="false">
      <c r="B4776" s="32"/>
      <c r="C4776" s="32"/>
      <c r="D4776" s="32"/>
      <c r="E4776" s="32"/>
      <c r="F4776" s="32"/>
      <c r="J4776" s="25"/>
      <c r="K4776" s="25"/>
      <c r="L4776" s="25"/>
      <c r="M4776" s="25"/>
      <c r="N4776" s="25"/>
      <c r="O4776" s="25"/>
    </row>
    <row r="4777" customFormat="false" ht="13.5" hidden="false" customHeight="true" outlineLevel="0" collapsed="false">
      <c r="B4777" s="10"/>
      <c r="C4777" s="10"/>
      <c r="D4777" s="10"/>
      <c r="E4777" s="10"/>
      <c r="F4777" s="10"/>
      <c r="J4777" s="25"/>
      <c r="K4777" s="25"/>
      <c r="L4777" s="25"/>
      <c r="M4777" s="25"/>
      <c r="N4777" s="25"/>
      <c r="O4777" s="25"/>
    </row>
    <row r="4778" customFormat="false" ht="13.5" hidden="false" customHeight="true" outlineLevel="0" collapsed="false">
      <c r="B4778" s="10"/>
      <c r="C4778" s="10"/>
      <c r="D4778" s="10"/>
      <c r="E4778" s="10"/>
      <c r="F4778" s="10"/>
      <c r="J4778" s="25"/>
      <c r="K4778" s="25"/>
      <c r="L4778" s="25"/>
      <c r="M4778" s="25"/>
      <c r="N4778" s="25"/>
      <c r="O4778" s="25"/>
    </row>
    <row r="4779" customFormat="false" ht="13.5" hidden="false" customHeight="true" outlineLevel="0" collapsed="false">
      <c r="B4779" s="10"/>
      <c r="C4779" s="10"/>
      <c r="D4779" s="10"/>
      <c r="E4779" s="10"/>
      <c r="F4779" s="10"/>
      <c r="J4779" s="25"/>
      <c r="K4779" s="25"/>
      <c r="L4779" s="25"/>
      <c r="M4779" s="25"/>
      <c r="N4779" s="25"/>
      <c r="O4779" s="25"/>
    </row>
    <row r="4780" customFormat="false" ht="15" hidden="false" customHeight="true" outlineLevel="0" collapsed="false">
      <c r="B4780" s="10"/>
      <c r="C4780" s="10"/>
      <c r="D4780" s="34" t="str">
        <f aca="false">IF($K$4771=0,"",INDEX(Clients!$E$2:$E$501,$K$4771)&amp;"")</f>
        <v/>
      </c>
      <c r="E4780" s="34"/>
      <c r="F4780" s="34"/>
      <c r="J4780" s="25"/>
      <c r="K4780" s="25"/>
      <c r="L4780" s="25"/>
      <c r="M4780" s="25"/>
      <c r="N4780" s="25"/>
      <c r="O4780" s="25"/>
    </row>
    <row r="4781" customFormat="false" ht="15" hidden="false" customHeight="true" outlineLevel="0" collapsed="false">
      <c r="B4781" s="10"/>
      <c r="C4781" s="10"/>
      <c r="D4781" s="35" t="str">
        <f aca="false">IF(IF($K$4771=0,"",INDEX(Clients!$D$2:$D$501,$K$4771)&amp;"")="","","À l'attention de "&amp;TRIM(IF($K$4771=0,"",INDEX(Clients!$B$2:$B$501,$K$4771)&amp;"")&amp;" "&amp;IF($K$4771=0,"",INDEX(Clients!$C$2:$C$501,$K$4771)&amp;"")&amp;" "&amp;IF($K$4771=0,"",INDEX(Clients!$D$2:$D$501,$K$4771)&amp;"")))</f>
        <v/>
      </c>
      <c r="E4781" s="35"/>
      <c r="F4781" s="35"/>
      <c r="J4781" s="25"/>
      <c r="K4781" s="25"/>
      <c r="L4781" s="25"/>
      <c r="M4781" s="25"/>
      <c r="N4781" s="25"/>
      <c r="O4781" s="25"/>
    </row>
    <row r="4782" customFormat="false" ht="15" hidden="false" customHeight="true" outlineLevel="0" collapsed="false">
      <c r="B4782" s="10"/>
      <c r="C4782" s="10"/>
      <c r="D4782" s="35" t="str">
        <f aca="false">IF($K$4771=0,"",INDEX(Clients!$F$2:$F$501,$K$4771)&amp;"")</f>
        <v/>
      </c>
      <c r="E4782" s="35"/>
      <c r="F4782" s="35"/>
      <c r="J4782" s="25"/>
      <c r="K4782" s="25"/>
      <c r="L4782" s="25"/>
      <c r="M4782" s="25"/>
      <c r="N4782" s="25"/>
      <c r="O4782" s="25"/>
    </row>
    <row r="4783" customFormat="false" ht="15" hidden="false" customHeight="true" outlineLevel="0" collapsed="false">
      <c r="B4783" s="10"/>
      <c r="C4783" s="10"/>
      <c r="D4783" s="35" t="str">
        <f aca="false">IF(IF($K$4771=0,"",INDEX(Clients!$G$2:$G$501,$K$4771)&amp;"")="",TRIM(IF($K$4771=0,"",INDEX(Clients!$H$2:$H$501,$K$4771)&amp;"")&amp;" "&amp;UPPER(IF($K$4771=0,"",INDEX(Clients!$I$2:$I$501,$K$4771)&amp;""))),IF($K$4771=0,"",INDEX(Clients!$G$2:$G$501,$K$4771)&amp;""))</f>
        <v/>
      </c>
      <c r="E4783" s="35"/>
      <c r="F4783" s="35"/>
      <c r="J4783" s="25"/>
      <c r="K4783" s="25"/>
      <c r="L4783" s="25"/>
      <c r="M4783" s="25"/>
      <c r="N4783" s="25"/>
      <c r="O4783" s="25"/>
    </row>
    <row r="4784" customFormat="false" ht="15" hidden="false" customHeight="true" outlineLevel="0" collapsed="false">
      <c r="B4784" s="10"/>
      <c r="C4784" s="10"/>
      <c r="D4784" s="35" t="str">
        <f aca="false">IF(IF($K$4771=0,"",INDEX(Clients!$G$2:$G$501,$K$4771)&amp;"")="","",TRIM(IF($K$4771=0,"",INDEX(Clients!$H$2:$H$501,$K$4771)&amp;"")&amp;" "&amp;UPPER(IF($K$4771=0,"",INDEX(Clients!$I$2:$I$501,$K$4771)&amp;""))))</f>
        <v/>
      </c>
      <c r="E4784" s="35"/>
      <c r="F4784" s="35"/>
      <c r="J4784" s="25"/>
      <c r="K4784" s="25"/>
      <c r="L4784" s="25"/>
      <c r="M4784" s="25"/>
      <c r="N4784" s="25"/>
      <c r="O4784" s="25"/>
    </row>
    <row r="4785" customFormat="false" ht="25.5" hidden="false" customHeight="true" outlineLevel="0" collapsed="false">
      <c r="B4785" s="10"/>
      <c r="C4785" s="10"/>
      <c r="D4785" s="10"/>
      <c r="E4785" s="10"/>
      <c r="F4785" s="10"/>
      <c r="J4785" s="25"/>
      <c r="K4785" s="25"/>
      <c r="L4785" s="25"/>
      <c r="M4785" s="25"/>
      <c r="N4785" s="25"/>
      <c r="O4785" s="25"/>
    </row>
    <row r="4786" customFormat="false" ht="15" hidden="false" customHeight="false" outlineLevel="0" collapsed="false">
      <c r="B4786" s="10"/>
      <c r="C4786" s="10"/>
      <c r="D4786" s="36" t="str">
        <f aca="false">Cab_Ville&amp;", le "&amp;DAY(Date_Courrier)&amp;IF(DAY(Date_Courrier)=1,"er","")&amp;" "&amp;INDEX(Liste_Mois,MONTH(Date_Courrier))&amp;" "&amp;YEAR(Date_Courrier)</f>
        <v>Le Plessis-Bouchard, le 22 septembre 2026</v>
      </c>
      <c r="E4786" s="36"/>
      <c r="F4786" s="36"/>
      <c r="J4786" s="25"/>
      <c r="K4786" s="25"/>
      <c r="L4786" s="25"/>
      <c r="M4786" s="25"/>
      <c r="N4786" s="25"/>
      <c r="O4786" s="25"/>
    </row>
    <row r="4787" customFormat="false" ht="19.5" hidden="false" customHeight="true" outlineLevel="0" collapsed="false">
      <c r="B4787" s="10"/>
      <c r="C4787" s="10"/>
      <c r="D4787" s="10"/>
      <c r="E4787" s="10"/>
      <c r="F4787" s="10"/>
      <c r="J4787" s="25"/>
      <c r="K4787" s="25"/>
      <c r="L4787" s="25"/>
      <c r="M4787" s="25"/>
      <c r="N4787" s="25"/>
      <c r="O4787" s="25"/>
    </row>
    <row r="4788" customFormat="false" ht="15" hidden="false" customHeight="false" outlineLevel="0" collapsed="false">
      <c r="B4788" s="34" t="str">
        <f aca="false">SUBSTITUTE(SUBSTITUTE(SUBSTITUTE(SUBSTITUTE(SUBSTITUTE(Txt_Objet,"{cabinet}",Cab_Nom),"{societe}",IF($K$4771=0,"",INDEX(Clients!$E$2:$E$501,$K$4771)&amp;"")),"{date_effet}",$K$4773),"{hausse}",$K$4774),"{civilite}",$K$4772)</f>
        <v>Objet : révision de nos honoraires au 1er janvier 2027</v>
      </c>
      <c r="C4788" s="34"/>
      <c r="D4788" s="34"/>
      <c r="E4788" s="34"/>
      <c r="F4788" s="34"/>
      <c r="J4788" s="25"/>
      <c r="K4788" s="25"/>
      <c r="L4788" s="25"/>
      <c r="M4788" s="25"/>
      <c r="N4788" s="25"/>
      <c r="O4788" s="25"/>
    </row>
    <row r="4789" customFormat="false" ht="13.5" hidden="false" customHeight="true" outlineLevel="0" collapsed="false">
      <c r="B4789" s="10"/>
      <c r="C4789" s="10"/>
      <c r="D4789" s="10"/>
      <c r="E4789" s="10"/>
      <c r="F4789" s="10"/>
      <c r="J4789" s="25"/>
      <c r="K4789" s="25"/>
      <c r="L4789" s="25"/>
      <c r="M4789" s="25"/>
      <c r="N4789" s="25"/>
      <c r="O4789" s="25"/>
    </row>
    <row r="4790" customFormat="false" ht="15" hidden="false" customHeight="false" outlineLevel="0" collapsed="false">
      <c r="B4790" s="10" t="str">
        <f aca="false">$K$4772&amp;","</f>
        <v>Madame, Monsieur,</v>
      </c>
      <c r="C4790" s="10"/>
      <c r="D4790" s="10"/>
      <c r="E4790" s="10"/>
      <c r="F4790" s="10"/>
      <c r="J4790" s="25"/>
      <c r="K4790" s="25"/>
      <c r="L4790" s="25"/>
      <c r="M4790" s="25"/>
      <c r="N4790" s="25"/>
      <c r="O4790" s="25"/>
    </row>
    <row r="4791" customFormat="false" ht="6" hidden="false" customHeight="true" outlineLevel="0" collapsed="false">
      <c r="B4791" s="10"/>
      <c r="C4791" s="10"/>
      <c r="D4791" s="10"/>
      <c r="E4791" s="10"/>
      <c r="F4791" s="10"/>
      <c r="J4791" s="25"/>
      <c r="K4791" s="25"/>
      <c r="L4791" s="25"/>
      <c r="M4791" s="25"/>
      <c r="N4791" s="25"/>
      <c r="O4791" s="25"/>
    </row>
    <row r="4792" customFormat="false" ht="36.75" hidden="false" customHeight="true" outlineLevel="0" collapsed="false">
      <c r="B4792" s="37" t="str">
        <f aca="false">SUBSTITUTE(SUBSTITUTE(SUBSTITUTE(SUBSTITUTE(SUBSTITUTE(Txt_P1,"{cabinet}",Cab_Nom),"{societe}",IF($K$4771=0,"",INDEX(Clients!$E$2:$E$501,$K$4771)&amp;"")),"{date_effet}",$K$4773),"{hausse}",$K$4774),"{civilite}",$K$4772)</f>
        <v>Nous tenons tout d'abord à vous remercier pour la confiance que vous accordez à ALTHO EXPERTISE. Comme chaque année, et conformément aux dispositions de votre lettre de mission, nous procédons à la révision de nos honoraires.</v>
      </c>
      <c r="C4792" s="37"/>
      <c r="D4792" s="37"/>
      <c r="E4792" s="37"/>
      <c r="F4792" s="37"/>
      <c r="J4792" s="25"/>
      <c r="K4792" s="25"/>
      <c r="L4792" s="25"/>
      <c r="M4792" s="25"/>
      <c r="N4792" s="25"/>
      <c r="O4792" s="25"/>
    </row>
    <row r="4793" customFormat="false" ht="49.5" hidden="false" customHeight="true" outlineLevel="0" collapsed="false">
      <c r="B4793" s="37" t="str">
        <f aca="false">SUBSTITUTE(SUBSTITUTE(SUBSTITUTE(SUBSTITUTE(SUBSTITUTE(Txt_P2,"{cabinet}",Cab_Nom),"{societe}",IF($K$4771=0,"",INDEX(Clients!$E$2:$E$501,$K$4771)&amp;"")),"{date_effet}",$K$4773),"{hausse}",$K$4774),"{civilite}",$K$4772)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793" s="37"/>
      <c r="D4793" s="37"/>
      <c r="E4793" s="37"/>
      <c r="F4793" s="37"/>
      <c r="J4793" s="25"/>
      <c r="K4793" s="25"/>
      <c r="L4793" s="25"/>
      <c r="M4793" s="25"/>
      <c r="N4793" s="25"/>
      <c r="O4793" s="25"/>
    </row>
    <row r="4794" customFormat="false" ht="63" hidden="false" customHeight="true" outlineLevel="0" collapsed="false">
      <c r="B4794" s="37" t="str">
        <f aca="false">SUBSTITUTE(SUBSTITUTE(SUBSTITUTE(SUBSTITUTE(SUBSTITUTE(Txt_P3,"{cabinet}",Cab_Nom),"{societe}",IF($K$4771=0,"",INDEX(Clients!$E$2:$E$501,$K$4771)&amp;"")),"{date_effet}",$K$4773),"{hausse}",$K$4774),"{civilite}",$K$4772)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794" s="37"/>
      <c r="D4794" s="37"/>
      <c r="E4794" s="37"/>
      <c r="F4794" s="37"/>
      <c r="J4794" s="25"/>
      <c r="K4794" s="25"/>
      <c r="L4794" s="25"/>
      <c r="M4794" s="25"/>
      <c r="N4794" s="25"/>
      <c r="O4794" s="25"/>
    </row>
    <row r="4795" customFormat="false" ht="24" hidden="false" customHeight="true" outlineLevel="0" collapsed="false">
      <c r="B4795" s="37" t="str">
        <f aca="false">SUBSTITUTE(SUBSTITUTE(SUBSTITUTE(SUBSTITUTE(SUBSTITUTE(Txt_P4,"{cabinet}",Cab_Nom),"{societe}",IF($K$4771=0,"",INDEX(Clients!$E$2:$E$501,$K$4771)&amp;"")),"{date_effet}",$K$4773),"{hausse}",$K$4774),"{civilite}",$K$4772)</f>
        <v>À compter du 1er janvier 2027, vos honoraires annuels hors taxes évolueront ainsi (évolution globale : ) :</v>
      </c>
      <c r="C4795" s="37"/>
      <c r="D4795" s="37"/>
      <c r="E4795" s="37"/>
      <c r="F4795" s="37"/>
      <c r="J4795" s="25"/>
      <c r="K4795" s="25"/>
      <c r="L4795" s="25"/>
      <c r="M4795" s="25"/>
      <c r="N4795" s="25"/>
      <c r="O4795" s="25"/>
    </row>
    <row r="4796" customFormat="false" ht="3.75" hidden="false" customHeight="true" outlineLevel="0" collapsed="false">
      <c r="B4796" s="10"/>
      <c r="C4796" s="10"/>
      <c r="D4796" s="10"/>
      <c r="E4796" s="10"/>
      <c r="F4796" s="10"/>
      <c r="J4796" s="25"/>
      <c r="K4796" s="25"/>
      <c r="L4796" s="25"/>
      <c r="M4796" s="25"/>
      <c r="N4796" s="25"/>
      <c r="O4796" s="25"/>
    </row>
    <row r="4797" customFormat="false" ht="18" hidden="false" customHeight="true" outlineLevel="0" collapsed="false">
      <c r="B4797" s="38" t="s">
        <v>148</v>
      </c>
      <c r="C4797" s="39" t="s">
        <v>149</v>
      </c>
      <c r="D4797" s="39" t="s">
        <v>150</v>
      </c>
      <c r="E4797" s="39" t="s">
        <v>151</v>
      </c>
      <c r="F4797" s="39" t="s">
        <v>109</v>
      </c>
      <c r="J4797" s="25" t="s">
        <v>152</v>
      </c>
      <c r="K4797" s="25" t="s">
        <v>153</v>
      </c>
      <c r="L4797" s="25" t="s">
        <v>154</v>
      </c>
      <c r="M4797" s="25" t="s">
        <v>155</v>
      </c>
      <c r="N4797" s="25" t="s">
        <v>156</v>
      </c>
      <c r="O4797" s="25" t="s">
        <v>157</v>
      </c>
    </row>
    <row r="4798" customFormat="false" ht="16.5" hidden="false" customHeight="true" outlineLevel="0" collapsed="false">
      <c r="B4798" s="40" t="str">
        <f aca="false">IFERROR(INDEX($J$4798:$J$4801,MATCH($O4798,$N$4798:$N$4801,0)),"")</f>
        <v/>
      </c>
      <c r="C4798" s="41" t="str">
        <f aca="false">IFERROR(INDEX($K$4798:$K$4801,MATCH($O4798,$N$4798:$N$4801,0)),"")</f>
        <v/>
      </c>
      <c r="D4798" s="42" t="str">
        <f aca="false">IF(OR(E4798="",N(C4798)=0),"",E4798/C4798-1)</f>
        <v/>
      </c>
      <c r="E4798" s="41" t="str">
        <f aca="false">IFERROR(INDEX($L$4798:$L$4801,MATCH($O4798,$N$4798:$N$4801,0)),"")</f>
        <v/>
      </c>
      <c r="F4798" s="41" t="str">
        <f aca="false">IF(E4798="","",E4798-C4798)</f>
        <v/>
      </c>
      <c r="J4798" s="25" t="str">
        <f aca="false">Lib_Compta</f>
        <v>Mission comptable (tenue, révision, bilan, liasse fiscale)</v>
      </c>
      <c r="K4798" s="25" t="n">
        <f aca="false">IF($K$4771=0,0,N(INDEX(Clients!$K$2:$K$501,$K$4771)))</f>
        <v>0</v>
      </c>
      <c r="L4798" s="25" t="n">
        <f aca="false">IF($K$4771=0,0,N(INDEX(Clients!$P$2:$P$501,$K$4771)))</f>
        <v>0</v>
      </c>
      <c r="M4798" s="25" t="n">
        <f aca="false">IF(OR(K4798&lt;&gt;0,L4798&lt;&gt;0),1,0)</f>
        <v>0</v>
      </c>
      <c r="N4798" s="25" t="str">
        <f aca="false">IF(M4798=1,SUM($M$4798:M4798),"")</f>
        <v/>
      </c>
      <c r="O4798" s="25" t="n">
        <v>1</v>
      </c>
    </row>
    <row r="4799" customFormat="false" ht="16.5" hidden="false" customHeight="true" outlineLevel="0" collapsed="false">
      <c r="B4799" s="40" t="str">
        <f aca="false">IFERROR(INDEX($J$4798:$J$4801,MATCH($O4799,$N$4798:$N$4801,0)),"")</f>
        <v/>
      </c>
      <c r="C4799" s="41" t="str">
        <f aca="false">IFERROR(INDEX($K$4798:$K$4801,MATCH($O4799,$N$4798:$N$4801,0)),"")</f>
        <v/>
      </c>
      <c r="D4799" s="42" t="str">
        <f aca="false">IF(OR(E4799="",N(C4799)=0),"",E4799/C4799-1)</f>
        <v/>
      </c>
      <c r="E4799" s="41" t="str">
        <f aca="false">IFERROR(INDEX($L$4798:$L$4801,MATCH($O4799,$N$4798:$N$4801,0)),"")</f>
        <v/>
      </c>
      <c r="F4799" s="41" t="str">
        <f aca="false">IF(E4799="","",E4799-C4799)</f>
        <v/>
      </c>
      <c r="J4799" s="25" t="str">
        <f aca="false">Lib_Paye</f>
        <v>Mission sociale (bulletins de paie, DSN, déclarations sociales)</v>
      </c>
      <c r="K4799" s="25" t="n">
        <f aca="false">IF($K$4771=0,0,N(INDEX(Clients!$L$2:$L$501,$K$4771)))</f>
        <v>0</v>
      </c>
      <c r="L4799" s="25" t="n">
        <f aca="false">IF($K$4771=0,0,N(INDEX(Clients!$Q$2:$Q$501,$K$4771)))</f>
        <v>0</v>
      </c>
      <c r="M4799" s="25" t="n">
        <f aca="false">IF(OR(K4799&lt;&gt;0,L4799&lt;&gt;0),1,0)</f>
        <v>0</v>
      </c>
      <c r="N4799" s="25" t="str">
        <f aca="false">IF(M4799=1,SUM($M$4798:M4799),"")</f>
        <v/>
      </c>
      <c r="O4799" s="25" t="n">
        <v>2</v>
      </c>
    </row>
    <row r="4800" customFormat="false" ht="16.5" hidden="false" customHeight="true" outlineLevel="0" collapsed="false">
      <c r="B4800" s="40" t="str">
        <f aca="false">IFERROR(INDEX($J$4798:$J$4801,MATCH($O4800,$N$4798:$N$4801,0)),"")</f>
        <v/>
      </c>
      <c r="C4800" s="41" t="str">
        <f aca="false">IFERROR(INDEX($K$4798:$K$4801,MATCH($O4800,$N$4798:$N$4801,0)),"")</f>
        <v/>
      </c>
      <c r="D4800" s="42" t="str">
        <f aca="false">IF(OR(E4800="",N(C4800)=0),"",E4800/C4800-1)</f>
        <v/>
      </c>
      <c r="E4800" s="41" t="str">
        <f aca="false">IFERROR(INDEX($L$4798:$L$4801,MATCH($O4800,$N$4798:$N$4801,0)),"")</f>
        <v/>
      </c>
      <c r="F4800" s="41" t="str">
        <f aca="false">IF(E4800="","",E4800-C4800)</f>
        <v/>
      </c>
      <c r="J4800" s="25" t="str">
        <f aca="false">Lib_Jur</f>
        <v>Mission juridique (approbation des comptes, secrétariat juridique)</v>
      </c>
      <c r="K4800" s="25" t="n">
        <f aca="false">IF($K$4771=0,0,N(INDEX(Clients!$M$2:$M$501,$K$4771)))</f>
        <v>0</v>
      </c>
      <c r="L4800" s="25" t="n">
        <f aca="false">IF($K$4771=0,0,N(INDEX(Clients!$R$2:$R$501,$K$4771)))</f>
        <v>0</v>
      </c>
      <c r="M4800" s="25" t="n">
        <f aca="false">IF(OR(K4800&lt;&gt;0,L4800&lt;&gt;0),1,0)</f>
        <v>0</v>
      </c>
      <c r="N4800" s="25" t="str">
        <f aca="false">IF(M4800=1,SUM($M$4798:M4800),"")</f>
        <v/>
      </c>
      <c r="O4800" s="25" t="n">
        <v>3</v>
      </c>
    </row>
    <row r="4801" customFormat="false" ht="16.5" hidden="false" customHeight="true" outlineLevel="0" collapsed="false">
      <c r="B4801" s="40" t="str">
        <f aca="false">IFERROR(INDEX($J$4798:$J$4801,MATCH($O4801,$N$4798:$N$4801,0)),"")</f>
        <v/>
      </c>
      <c r="C4801" s="41" t="str">
        <f aca="false">IFERROR(INDEX($K$4798:$K$4801,MATCH($O4801,$N$4798:$N$4801,0)),"")</f>
        <v/>
      </c>
      <c r="D4801" s="42" t="str">
        <f aca="false">IF(OR(E4801="",N(C4801)=0),"",E4801/C4801-1)</f>
        <v/>
      </c>
      <c r="E4801" s="41" t="str">
        <f aca="false">IFERROR(INDEX($L$4798:$L$4801,MATCH($O4801,$N$4798:$N$4801,0)),"")</f>
        <v/>
      </c>
      <c r="F4801" s="41" t="str">
        <f aca="false">IF(E4801="","",E4801-C4801)</f>
        <v/>
      </c>
      <c r="J4801" s="25" t="str">
        <f aca="false">Lib_PA</f>
        <v>Plateforme agréée – facturation électronique</v>
      </c>
      <c r="K4801" s="25" t="n">
        <f aca="false">IF($K$4771=0,0,N(INDEX(Clients!$N$2:$N$501,$K$4771)))</f>
        <v>0</v>
      </c>
      <c r="L4801" s="25" t="n">
        <f aca="false">IF($K$4771=0,0,N(INDEX(Clients!$S$2:$S$501,$K$4771)))</f>
        <v>0</v>
      </c>
      <c r="M4801" s="25" t="n">
        <f aca="false">IF(OR(K4801&lt;&gt;0,L4801&lt;&gt;0),1,0)</f>
        <v>0</v>
      </c>
      <c r="N4801" s="25" t="str">
        <f aca="false">IF(M4801=1,SUM($M$4798:M4801),"")</f>
        <v/>
      </c>
      <c r="O4801" s="25" t="n">
        <v>4</v>
      </c>
    </row>
    <row r="4802" customFormat="false" ht="18" hidden="false" customHeight="true" outlineLevel="0" collapsed="false">
      <c r="B4802" s="43" t="s">
        <v>158</v>
      </c>
      <c r="C4802" s="44" t="n">
        <f aca="false">SUM(K4798:K4801)</f>
        <v>0</v>
      </c>
      <c r="D4802" s="45" t="str">
        <f aca="false">IF(N(C4802)=0,"",E4802/C4802-1)</f>
        <v/>
      </c>
      <c r="E4802" s="44" t="n">
        <f aca="false">SUM(L4798:L4801)</f>
        <v>0</v>
      </c>
      <c r="F4802" s="44" t="n">
        <f aca="false">E4802-C4802</f>
        <v>0</v>
      </c>
    </row>
    <row r="4803" customFormat="false" ht="15" hidden="false" customHeight="false" outlineLevel="0" collapsed="false">
      <c r="B4803" s="46" t="str">
        <f aca="false">IF(N(Nb_Mensualites)=0,"","Soit "&amp;FIXED(E4802/Nb_Mensualites,2)&amp;" € HT par échéance ("&amp;Nb_Mensualites&amp;" échéances), "&amp;FIXED(E4802/Nb_Mensualites*(1+Taux_TVA),2)&amp;" € TTC.")</f>
        <v>Soit 0.00 € HT par échéance (12 échéances), 0.00 € TTC.</v>
      </c>
      <c r="C4803" s="46"/>
      <c r="D4803" s="46"/>
      <c r="E4803" s="46"/>
      <c r="F4803" s="46"/>
    </row>
    <row r="4804" customFormat="false" ht="7.5" hidden="false" customHeight="true" outlineLevel="0" collapsed="false">
      <c r="B4804" s="10"/>
      <c r="C4804" s="10"/>
      <c r="D4804" s="10"/>
      <c r="E4804" s="10"/>
      <c r="F4804" s="10"/>
    </row>
    <row r="4805" customFormat="false" ht="36.75" hidden="false" customHeight="true" outlineLevel="0" collapsed="false">
      <c r="B4805" s="37" t="str">
        <f aca="false">SUBSTITUTE(SUBSTITUTE(SUBSTITUTE(SUBSTITUTE(SUBSTITUTE(Txt_P5,"{cabinet}",Cab_Nom),"{societe}",IF($K$4771=0,"",INDEX(Clients!$E$2:$E$501,$K$4771)&amp;"")),"{date_effet}",$K$4773),"{hausse}",$K$4774),"{civilite}",$K$4772)</f>
        <v>Les autres conditions de votre lettre de mission demeurent inchangées. Les nouveaux montants seront appliqués automatiquement sur vos prochaines factures et échéances de prélèvement.</v>
      </c>
      <c r="C4805" s="37"/>
      <c r="D4805" s="37"/>
      <c r="E4805" s="37"/>
      <c r="F4805" s="37"/>
    </row>
    <row r="4806" customFormat="false" ht="36.75" hidden="false" customHeight="true" outlineLevel="0" collapsed="false">
      <c r="B4806" s="37" t="str">
        <f aca="false">SUBSTITUTE(SUBSTITUTE(SUBSTITUTE(SUBSTITUTE(SUBSTITUTE(Txt_P6,"{cabinet}",Cab_Nom),"{societe}",IF($K$4771=0,"",INDEX(Clients!$E$2:$E$501,$K$4771)&amp;"")),"{date_effet}",$K$4773),"{hausse}",$K$4774),"{civilite}",$K$4772)</f>
        <v>Votre interlocuteur habituel reste à votre entière disposition pour répondre à vos questions et faire le point sur l'évolution de vos besoins.</v>
      </c>
      <c r="C4806" s="37"/>
      <c r="D4806" s="37"/>
      <c r="E4806" s="37"/>
      <c r="F4806" s="37"/>
    </row>
    <row r="4807" customFormat="false" ht="24" hidden="false" customHeight="true" outlineLevel="0" collapsed="false">
      <c r="B4807" s="37" t="str">
        <f aca="false">SUBSTITUTE(SUBSTITUTE(SUBSTITUTE(SUBSTITUTE(SUBSTITUTE(Txt_Politesse,"{cabinet}",Cab_Nom),"{societe}",IF($K$4771=0,"",INDEX(Clients!$E$2:$E$501,$K$4771)&amp;"")),"{date_effet}",$K$4773),"{hausse}",$K$4774),"{civilite}",$K$4772)</f>
        <v>Nous vous prions d'agréer, Madame, Monsieur, l'expression de nos salutations distinguées.</v>
      </c>
      <c r="C4807" s="37"/>
      <c r="D4807" s="37"/>
      <c r="E4807" s="37"/>
      <c r="F4807" s="37"/>
    </row>
    <row r="4808" customFormat="false" ht="15" hidden="false" customHeight="false" outlineLevel="0" collapsed="false">
      <c r="B4808" s="10"/>
      <c r="C4808" s="10"/>
      <c r="D4808" s="10"/>
      <c r="E4808" s="10"/>
      <c r="F4808" s="10"/>
    </row>
    <row r="4809" customFormat="false" ht="15" hidden="false" customHeight="false" outlineLevel="0" collapsed="false">
      <c r="B4809" s="10"/>
      <c r="C4809" s="10"/>
      <c r="D4809" s="34" t="str">
        <f aca="false">Signataire</f>
        <v>Prénom NOM</v>
      </c>
      <c r="E4809" s="34"/>
      <c r="F4809" s="34"/>
    </row>
    <row r="4810" customFormat="false" ht="15" hidden="false" customHeight="false" outlineLevel="0" collapsed="false">
      <c r="B4810" s="10"/>
      <c r="C4810" s="10"/>
      <c r="D4810" s="47" t="str">
        <f aca="false">Signataire_Titre</f>
        <v>Expert-comptable associé</v>
      </c>
      <c r="E4810" s="47"/>
      <c r="F4810" s="47"/>
    </row>
    <row r="4811" customFormat="false" ht="15.75" hidden="false" customHeight="true" outlineLevel="0" collapsed="false">
      <c r="B4811" s="10"/>
      <c r="C4811" s="10"/>
      <c r="D4811" s="10"/>
      <c r="E4811" s="10"/>
      <c r="F4811" s="10"/>
    </row>
    <row r="4812" customFormat="false" ht="15.75" hidden="false" customHeight="true" outlineLevel="0" collapsed="false">
      <c r="B4812" s="10"/>
      <c r="C4812" s="10"/>
      <c r="D4812" s="10"/>
      <c r="E4812" s="10"/>
      <c r="F4812" s="10"/>
    </row>
    <row r="4813" customFormat="false" ht="15.75" hidden="false" customHeight="true" outlineLevel="0" collapsed="false">
      <c r="B4813" s="10"/>
      <c r="C4813" s="10"/>
      <c r="D4813" s="10"/>
      <c r="E4813" s="10"/>
      <c r="F4813" s="10"/>
    </row>
    <row r="4814" customFormat="false" ht="15.75" hidden="false" customHeight="true" outlineLevel="0" collapsed="false">
      <c r="B4814" s="10"/>
      <c r="C4814" s="10"/>
      <c r="D4814" s="10"/>
      <c r="E4814" s="10"/>
      <c r="F4814" s="10"/>
    </row>
    <row r="4815" customFormat="false" ht="24" hidden="false" customHeight="true" outlineLevel="0" collapsed="false">
      <c r="B4815" s="48" t="str">
        <f aca="false">Cab_Mentions</f>
        <v>ALTHO EXPERTISE · SAS au capital de 10 000 € · RCS Pontoise 919 706 325 · TVA FR62919706325 · Société d'expertise comptable inscrite au Tableau de l'Ordre des experts-comptables de Paris Île-de-France</v>
      </c>
      <c r="C4815" s="48"/>
      <c r="D4815" s="48"/>
      <c r="E4815" s="48"/>
      <c r="F4815" s="48"/>
    </row>
    <row r="4816" customFormat="false" ht="15" hidden="false" customHeight="false" outlineLevel="0" collapsed="false">
      <c r="B4816" s="10"/>
      <c r="C4816" s="10"/>
      <c r="D4816" s="10"/>
      <c r="E4816" s="10"/>
      <c r="F4816" s="10"/>
      <c r="J4816" s="25" t="s">
        <v>142</v>
      </c>
      <c r="K4816" s="25" t="n">
        <f aca="false">IFERROR(MATCH(108,Clients!$Z$2:$Z$501,0),0)</f>
        <v>0</v>
      </c>
      <c r="L4816" s="25"/>
      <c r="M4816" s="25"/>
      <c r="N4816" s="25"/>
      <c r="O4816" s="25"/>
    </row>
    <row r="4817" customFormat="false" ht="21.75" hidden="false" customHeight="true" outlineLevel="0" collapsed="false">
      <c r="B4817" s="26" t="str">
        <f aca="false">Cab_Nom</f>
        <v>ALTHO EXPERTISE</v>
      </c>
      <c r="C4817" s="26"/>
      <c r="D4817" s="10"/>
      <c r="E4817" s="27" t="str">
        <f aca="false">IF($K$4816=0,"","Réf. client : "&amp;INDEX(Clients!$A$2:$A$501,$K$4816))</f>
        <v/>
      </c>
      <c r="F4817" s="27"/>
      <c r="J4817" s="25" t="s">
        <v>144</v>
      </c>
      <c r="K4817" s="25" t="str">
        <f aca="false">IF(IF($K$4816=0,"",INDEX(Clients!$B$2:$B$501,$K$4816)&amp;"")="Mme","Madame",IF(IF($K$4816=0,"",INDEX(Clients!$B$2:$B$501,$K$4816)&amp;"")="M.","Monsieur","Madame, Monsieur"))</f>
        <v>Madame, Monsieur</v>
      </c>
      <c r="L4817" s="25"/>
      <c r="M4817" s="25"/>
      <c r="N4817" s="25"/>
      <c r="O4817" s="25"/>
    </row>
    <row r="4818" customFormat="false" ht="15" hidden="false" customHeight="false" outlineLevel="0" collapsed="false">
      <c r="B4818" s="29" t="str">
        <f aca="false">Cab_Adr1</f>
        <v>141 rue Charles de Gaulle</v>
      </c>
      <c r="C4818" s="29"/>
      <c r="D4818" s="10"/>
      <c r="E4818" s="10"/>
      <c r="F4818" s="10"/>
      <c r="J4818" s="25" t="s">
        <v>145</v>
      </c>
      <c r="K4818" s="25" t="str">
        <f aca="false">DAY(Date_Effet)&amp;IF(DAY(Date_Effet)=1,"er","")&amp;" "&amp;INDEX(Liste_Mois,MONTH(Date_Effet))&amp;" "&amp;YEAR(Date_Effet)</f>
        <v>1er janvier 2027</v>
      </c>
      <c r="L4818" s="25"/>
      <c r="M4818" s="25"/>
      <c r="N4818" s="25"/>
      <c r="O4818" s="25"/>
    </row>
    <row r="4819" customFormat="false" ht="15" hidden="false" customHeight="false" outlineLevel="0" collapsed="false">
      <c r="B4819" s="29" t="str">
        <f aca="false">Cab_CPVille</f>
        <v>95130 LE PLESSIS-BOUCHARD</v>
      </c>
      <c r="C4819" s="29"/>
      <c r="D4819" s="10"/>
      <c r="E4819" s="10"/>
      <c r="F4819" s="10"/>
      <c r="J4819" s="25" t="s">
        <v>146</v>
      </c>
      <c r="K4819" s="25" t="str">
        <f aca="false">IF(SUM($K$4843:$K$4846)=0,"",FIXED((SUM($L$4843:$L$4846)/SUM($K$4843:$K$4846)-1)*100,1)&amp;" %")</f>
        <v/>
      </c>
      <c r="L4819" s="25"/>
      <c r="M4819" s="25"/>
      <c r="N4819" s="25"/>
      <c r="O4819" s="25"/>
    </row>
    <row r="4820" customFormat="false" ht="15" hidden="false" customHeight="false" outlineLevel="0" collapsed="false">
      <c r="B4820" s="29" t="str">
        <f aca="false">Cab_Contact</f>
        <v>Tél. 01 34 14 53 45  ·  altho@altho-experts.com  ·  altho-experts.com</v>
      </c>
      <c r="C4820" s="29"/>
      <c r="D4820" s="10"/>
      <c r="E4820" s="10"/>
      <c r="F4820" s="10"/>
      <c r="J4820" s="25"/>
      <c r="K4820" s="25"/>
      <c r="L4820" s="25"/>
      <c r="M4820" s="25"/>
      <c r="N4820" s="25"/>
      <c r="O4820" s="25"/>
    </row>
    <row r="4821" customFormat="false" ht="6" hidden="false" customHeight="true" outlineLevel="0" collapsed="false">
      <c r="B4821" s="32"/>
      <c r="C4821" s="32"/>
      <c r="D4821" s="32"/>
      <c r="E4821" s="32"/>
      <c r="F4821" s="32"/>
      <c r="J4821" s="25"/>
      <c r="K4821" s="25"/>
      <c r="L4821" s="25"/>
      <c r="M4821" s="25"/>
      <c r="N4821" s="25"/>
      <c r="O4821" s="25"/>
    </row>
    <row r="4822" customFormat="false" ht="13.5" hidden="false" customHeight="true" outlineLevel="0" collapsed="false">
      <c r="B4822" s="10"/>
      <c r="C4822" s="10"/>
      <c r="D4822" s="10"/>
      <c r="E4822" s="10"/>
      <c r="F4822" s="10"/>
      <c r="J4822" s="25"/>
      <c r="K4822" s="25"/>
      <c r="L4822" s="25"/>
      <c r="M4822" s="25"/>
      <c r="N4822" s="25"/>
      <c r="O4822" s="25"/>
    </row>
    <row r="4823" customFormat="false" ht="13.5" hidden="false" customHeight="true" outlineLevel="0" collapsed="false">
      <c r="B4823" s="10"/>
      <c r="C4823" s="10"/>
      <c r="D4823" s="10"/>
      <c r="E4823" s="10"/>
      <c r="F4823" s="10"/>
      <c r="J4823" s="25"/>
      <c r="K4823" s="25"/>
      <c r="L4823" s="25"/>
      <c r="M4823" s="25"/>
      <c r="N4823" s="25"/>
      <c r="O4823" s="25"/>
    </row>
    <row r="4824" customFormat="false" ht="13.5" hidden="false" customHeight="true" outlineLevel="0" collapsed="false">
      <c r="B4824" s="10"/>
      <c r="C4824" s="10"/>
      <c r="D4824" s="10"/>
      <c r="E4824" s="10"/>
      <c r="F4824" s="10"/>
      <c r="J4824" s="25"/>
      <c r="K4824" s="25"/>
      <c r="L4824" s="25"/>
      <c r="M4824" s="25"/>
      <c r="N4824" s="25"/>
      <c r="O4824" s="25"/>
    </row>
    <row r="4825" customFormat="false" ht="15" hidden="false" customHeight="true" outlineLevel="0" collapsed="false">
      <c r="B4825" s="10"/>
      <c r="C4825" s="10"/>
      <c r="D4825" s="34" t="str">
        <f aca="false">IF($K$4816=0,"",INDEX(Clients!$E$2:$E$501,$K$4816)&amp;"")</f>
        <v/>
      </c>
      <c r="E4825" s="34"/>
      <c r="F4825" s="34"/>
      <c r="J4825" s="25"/>
      <c r="K4825" s="25"/>
      <c r="L4825" s="25"/>
      <c r="M4825" s="25"/>
      <c r="N4825" s="25"/>
      <c r="O4825" s="25"/>
    </row>
    <row r="4826" customFormat="false" ht="15" hidden="false" customHeight="true" outlineLevel="0" collapsed="false">
      <c r="B4826" s="10"/>
      <c r="C4826" s="10"/>
      <c r="D4826" s="35" t="str">
        <f aca="false">IF(IF($K$4816=0,"",INDEX(Clients!$D$2:$D$501,$K$4816)&amp;"")="","","À l'attention de "&amp;TRIM(IF($K$4816=0,"",INDEX(Clients!$B$2:$B$501,$K$4816)&amp;"")&amp;" "&amp;IF($K$4816=0,"",INDEX(Clients!$C$2:$C$501,$K$4816)&amp;"")&amp;" "&amp;IF($K$4816=0,"",INDEX(Clients!$D$2:$D$501,$K$4816)&amp;"")))</f>
        <v/>
      </c>
      <c r="E4826" s="35"/>
      <c r="F4826" s="35"/>
      <c r="J4826" s="25"/>
      <c r="K4826" s="25"/>
      <c r="L4826" s="25"/>
      <c r="M4826" s="25"/>
      <c r="N4826" s="25"/>
      <c r="O4826" s="25"/>
    </row>
    <row r="4827" customFormat="false" ht="15" hidden="false" customHeight="true" outlineLevel="0" collapsed="false">
      <c r="B4827" s="10"/>
      <c r="C4827" s="10"/>
      <c r="D4827" s="35" t="str">
        <f aca="false">IF($K$4816=0,"",INDEX(Clients!$F$2:$F$501,$K$4816)&amp;"")</f>
        <v/>
      </c>
      <c r="E4827" s="35"/>
      <c r="F4827" s="35"/>
      <c r="J4827" s="25"/>
      <c r="K4827" s="25"/>
      <c r="L4827" s="25"/>
      <c r="M4827" s="25"/>
      <c r="N4827" s="25"/>
      <c r="O4827" s="25"/>
    </row>
    <row r="4828" customFormat="false" ht="15" hidden="false" customHeight="true" outlineLevel="0" collapsed="false">
      <c r="B4828" s="10"/>
      <c r="C4828" s="10"/>
      <c r="D4828" s="35" t="str">
        <f aca="false">IF(IF($K$4816=0,"",INDEX(Clients!$G$2:$G$501,$K$4816)&amp;"")="",TRIM(IF($K$4816=0,"",INDEX(Clients!$H$2:$H$501,$K$4816)&amp;"")&amp;" "&amp;UPPER(IF($K$4816=0,"",INDEX(Clients!$I$2:$I$501,$K$4816)&amp;""))),IF($K$4816=0,"",INDEX(Clients!$G$2:$G$501,$K$4816)&amp;""))</f>
        <v/>
      </c>
      <c r="E4828" s="35"/>
      <c r="F4828" s="35"/>
      <c r="J4828" s="25"/>
      <c r="K4828" s="25"/>
      <c r="L4828" s="25"/>
      <c r="M4828" s="25"/>
      <c r="N4828" s="25"/>
      <c r="O4828" s="25"/>
    </row>
    <row r="4829" customFormat="false" ht="15" hidden="false" customHeight="true" outlineLevel="0" collapsed="false">
      <c r="B4829" s="10"/>
      <c r="C4829" s="10"/>
      <c r="D4829" s="35" t="str">
        <f aca="false">IF(IF($K$4816=0,"",INDEX(Clients!$G$2:$G$501,$K$4816)&amp;"")="","",TRIM(IF($K$4816=0,"",INDEX(Clients!$H$2:$H$501,$K$4816)&amp;"")&amp;" "&amp;UPPER(IF($K$4816=0,"",INDEX(Clients!$I$2:$I$501,$K$4816)&amp;""))))</f>
        <v/>
      </c>
      <c r="E4829" s="35"/>
      <c r="F4829" s="35"/>
      <c r="J4829" s="25"/>
      <c r="K4829" s="25"/>
      <c r="L4829" s="25"/>
      <c r="M4829" s="25"/>
      <c r="N4829" s="25"/>
      <c r="O4829" s="25"/>
    </row>
    <row r="4830" customFormat="false" ht="25.5" hidden="false" customHeight="true" outlineLevel="0" collapsed="false">
      <c r="B4830" s="10"/>
      <c r="C4830" s="10"/>
      <c r="D4830" s="10"/>
      <c r="E4830" s="10"/>
      <c r="F4830" s="10"/>
      <c r="J4830" s="25"/>
      <c r="K4830" s="25"/>
      <c r="L4830" s="25"/>
      <c r="M4830" s="25"/>
      <c r="N4830" s="25"/>
      <c r="O4830" s="25"/>
    </row>
    <row r="4831" customFormat="false" ht="15" hidden="false" customHeight="false" outlineLevel="0" collapsed="false">
      <c r="B4831" s="10"/>
      <c r="C4831" s="10"/>
      <c r="D4831" s="36" t="str">
        <f aca="false">Cab_Ville&amp;", le "&amp;DAY(Date_Courrier)&amp;IF(DAY(Date_Courrier)=1,"er","")&amp;" "&amp;INDEX(Liste_Mois,MONTH(Date_Courrier))&amp;" "&amp;YEAR(Date_Courrier)</f>
        <v>Le Plessis-Bouchard, le 22 septembre 2026</v>
      </c>
      <c r="E4831" s="36"/>
      <c r="F4831" s="36"/>
      <c r="J4831" s="25"/>
      <c r="K4831" s="25"/>
      <c r="L4831" s="25"/>
      <c r="M4831" s="25"/>
      <c r="N4831" s="25"/>
      <c r="O4831" s="25"/>
    </row>
    <row r="4832" customFormat="false" ht="19.5" hidden="false" customHeight="true" outlineLevel="0" collapsed="false">
      <c r="B4832" s="10"/>
      <c r="C4832" s="10"/>
      <c r="D4832" s="10"/>
      <c r="E4832" s="10"/>
      <c r="F4832" s="10"/>
      <c r="J4832" s="25"/>
      <c r="K4832" s="25"/>
      <c r="L4832" s="25"/>
      <c r="M4832" s="25"/>
      <c r="N4832" s="25"/>
      <c r="O4832" s="25"/>
    </row>
    <row r="4833" customFormat="false" ht="15" hidden="false" customHeight="false" outlineLevel="0" collapsed="false">
      <c r="B4833" s="34" t="str">
        <f aca="false">SUBSTITUTE(SUBSTITUTE(SUBSTITUTE(SUBSTITUTE(SUBSTITUTE(Txt_Objet,"{cabinet}",Cab_Nom),"{societe}",IF($K$4816=0,"",INDEX(Clients!$E$2:$E$501,$K$4816)&amp;"")),"{date_effet}",$K$4818),"{hausse}",$K$4819),"{civilite}",$K$4817)</f>
        <v>Objet : révision de nos honoraires au 1er janvier 2027</v>
      </c>
      <c r="C4833" s="34"/>
      <c r="D4833" s="34"/>
      <c r="E4833" s="34"/>
      <c r="F4833" s="34"/>
      <c r="J4833" s="25"/>
      <c r="K4833" s="25"/>
      <c r="L4833" s="25"/>
      <c r="M4833" s="25"/>
      <c r="N4833" s="25"/>
      <c r="O4833" s="25"/>
    </row>
    <row r="4834" customFormat="false" ht="13.5" hidden="false" customHeight="true" outlineLevel="0" collapsed="false">
      <c r="B4834" s="10"/>
      <c r="C4834" s="10"/>
      <c r="D4834" s="10"/>
      <c r="E4834" s="10"/>
      <c r="F4834" s="10"/>
      <c r="J4834" s="25"/>
      <c r="K4834" s="25"/>
      <c r="L4834" s="25"/>
      <c r="M4834" s="25"/>
      <c r="N4834" s="25"/>
      <c r="O4834" s="25"/>
    </row>
    <row r="4835" customFormat="false" ht="15" hidden="false" customHeight="false" outlineLevel="0" collapsed="false">
      <c r="B4835" s="10" t="str">
        <f aca="false">$K$4817&amp;","</f>
        <v>Madame, Monsieur,</v>
      </c>
      <c r="C4835" s="10"/>
      <c r="D4835" s="10"/>
      <c r="E4835" s="10"/>
      <c r="F4835" s="10"/>
      <c r="J4835" s="25"/>
      <c r="K4835" s="25"/>
      <c r="L4835" s="25"/>
      <c r="M4835" s="25"/>
      <c r="N4835" s="25"/>
      <c r="O4835" s="25"/>
    </row>
    <row r="4836" customFormat="false" ht="6" hidden="false" customHeight="true" outlineLevel="0" collapsed="false">
      <c r="B4836" s="10"/>
      <c r="C4836" s="10"/>
      <c r="D4836" s="10"/>
      <c r="E4836" s="10"/>
      <c r="F4836" s="10"/>
      <c r="J4836" s="25"/>
      <c r="K4836" s="25"/>
      <c r="L4836" s="25"/>
      <c r="M4836" s="25"/>
      <c r="N4836" s="25"/>
      <c r="O4836" s="25"/>
    </row>
    <row r="4837" customFormat="false" ht="36.75" hidden="false" customHeight="true" outlineLevel="0" collapsed="false">
      <c r="B4837" s="37" t="str">
        <f aca="false">SUBSTITUTE(SUBSTITUTE(SUBSTITUTE(SUBSTITUTE(SUBSTITUTE(Txt_P1,"{cabinet}",Cab_Nom),"{societe}",IF($K$4816=0,"",INDEX(Clients!$E$2:$E$501,$K$4816)&amp;"")),"{date_effet}",$K$4818),"{hausse}",$K$4819),"{civilite}",$K$4817)</f>
        <v>Nous tenons tout d'abord à vous remercier pour la confiance que vous accordez à ALTHO EXPERTISE. Comme chaque année, et conformément aux dispositions de votre lettre de mission, nous procédons à la révision de nos honoraires.</v>
      </c>
      <c r="C4837" s="37"/>
      <c r="D4837" s="37"/>
      <c r="E4837" s="37"/>
      <c r="F4837" s="37"/>
      <c r="J4837" s="25"/>
      <c r="K4837" s="25"/>
      <c r="L4837" s="25"/>
      <c r="M4837" s="25"/>
      <c r="N4837" s="25"/>
      <c r="O4837" s="25"/>
    </row>
    <row r="4838" customFormat="false" ht="49.5" hidden="false" customHeight="true" outlineLevel="0" collapsed="false">
      <c r="B4838" s="37" t="str">
        <f aca="false">SUBSTITUTE(SUBSTITUTE(SUBSTITUTE(SUBSTITUTE(SUBSTITUTE(Txt_P2,"{cabinet}",Cab_Nom),"{societe}",IF($K$4816=0,"",INDEX(Clients!$E$2:$E$501,$K$4816)&amp;"")),"{date_effet}",$K$4818),"{hausse}",$K$4819),"{civilite}",$K$4817)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838" s="37"/>
      <c r="D4838" s="37"/>
      <c r="E4838" s="37"/>
      <c r="F4838" s="37"/>
      <c r="J4838" s="25"/>
      <c r="K4838" s="25"/>
      <c r="L4838" s="25"/>
      <c r="M4838" s="25"/>
      <c r="N4838" s="25"/>
      <c r="O4838" s="25"/>
    </row>
    <row r="4839" customFormat="false" ht="63" hidden="false" customHeight="true" outlineLevel="0" collapsed="false">
      <c r="B4839" s="37" t="str">
        <f aca="false">SUBSTITUTE(SUBSTITUTE(SUBSTITUTE(SUBSTITUTE(SUBSTITUTE(Txt_P3,"{cabinet}",Cab_Nom),"{societe}",IF($K$4816=0,"",INDEX(Clients!$E$2:$E$501,$K$4816)&amp;"")),"{date_effet}",$K$4818),"{hausse}",$K$4819),"{civilite}",$K$4817)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839" s="37"/>
      <c r="D4839" s="37"/>
      <c r="E4839" s="37"/>
      <c r="F4839" s="37"/>
      <c r="J4839" s="25"/>
      <c r="K4839" s="25"/>
      <c r="L4839" s="25"/>
      <c r="M4839" s="25"/>
      <c r="N4839" s="25"/>
      <c r="O4839" s="25"/>
    </row>
    <row r="4840" customFormat="false" ht="24" hidden="false" customHeight="true" outlineLevel="0" collapsed="false">
      <c r="B4840" s="37" t="str">
        <f aca="false">SUBSTITUTE(SUBSTITUTE(SUBSTITUTE(SUBSTITUTE(SUBSTITUTE(Txt_P4,"{cabinet}",Cab_Nom),"{societe}",IF($K$4816=0,"",INDEX(Clients!$E$2:$E$501,$K$4816)&amp;"")),"{date_effet}",$K$4818),"{hausse}",$K$4819),"{civilite}",$K$4817)</f>
        <v>À compter du 1er janvier 2027, vos honoraires annuels hors taxes évolueront ainsi (évolution globale : ) :</v>
      </c>
      <c r="C4840" s="37"/>
      <c r="D4840" s="37"/>
      <c r="E4840" s="37"/>
      <c r="F4840" s="37"/>
      <c r="J4840" s="25"/>
      <c r="K4840" s="25"/>
      <c r="L4840" s="25"/>
      <c r="M4840" s="25"/>
      <c r="N4840" s="25"/>
      <c r="O4840" s="25"/>
    </row>
    <row r="4841" customFormat="false" ht="3.75" hidden="false" customHeight="true" outlineLevel="0" collapsed="false">
      <c r="B4841" s="10"/>
      <c r="C4841" s="10"/>
      <c r="D4841" s="10"/>
      <c r="E4841" s="10"/>
      <c r="F4841" s="10"/>
      <c r="J4841" s="25"/>
      <c r="K4841" s="25"/>
      <c r="L4841" s="25"/>
      <c r="M4841" s="25"/>
      <c r="N4841" s="25"/>
      <c r="O4841" s="25"/>
    </row>
    <row r="4842" customFormat="false" ht="18" hidden="false" customHeight="true" outlineLevel="0" collapsed="false">
      <c r="B4842" s="38" t="s">
        <v>148</v>
      </c>
      <c r="C4842" s="39" t="s">
        <v>149</v>
      </c>
      <c r="D4842" s="39" t="s">
        <v>150</v>
      </c>
      <c r="E4842" s="39" t="s">
        <v>151</v>
      </c>
      <c r="F4842" s="39" t="s">
        <v>109</v>
      </c>
      <c r="J4842" s="25" t="s">
        <v>152</v>
      </c>
      <c r="K4842" s="25" t="s">
        <v>153</v>
      </c>
      <c r="L4842" s="25" t="s">
        <v>154</v>
      </c>
      <c r="M4842" s="25" t="s">
        <v>155</v>
      </c>
      <c r="N4842" s="25" t="s">
        <v>156</v>
      </c>
      <c r="O4842" s="25" t="s">
        <v>157</v>
      </c>
    </row>
    <row r="4843" customFormat="false" ht="16.5" hidden="false" customHeight="true" outlineLevel="0" collapsed="false">
      <c r="B4843" s="40" t="str">
        <f aca="false">IFERROR(INDEX($J$4843:$J$4846,MATCH($O4843,$N$4843:$N$4846,0)),"")</f>
        <v/>
      </c>
      <c r="C4843" s="41" t="str">
        <f aca="false">IFERROR(INDEX($K$4843:$K$4846,MATCH($O4843,$N$4843:$N$4846,0)),"")</f>
        <v/>
      </c>
      <c r="D4843" s="42" t="str">
        <f aca="false">IF(OR(E4843="",N(C4843)=0),"",E4843/C4843-1)</f>
        <v/>
      </c>
      <c r="E4843" s="41" t="str">
        <f aca="false">IFERROR(INDEX($L$4843:$L$4846,MATCH($O4843,$N$4843:$N$4846,0)),"")</f>
        <v/>
      </c>
      <c r="F4843" s="41" t="str">
        <f aca="false">IF(E4843="","",E4843-C4843)</f>
        <v/>
      </c>
      <c r="J4843" s="25" t="str">
        <f aca="false">Lib_Compta</f>
        <v>Mission comptable (tenue, révision, bilan, liasse fiscale)</v>
      </c>
      <c r="K4843" s="25" t="n">
        <f aca="false">IF($K$4816=0,0,N(INDEX(Clients!$K$2:$K$501,$K$4816)))</f>
        <v>0</v>
      </c>
      <c r="L4843" s="25" t="n">
        <f aca="false">IF($K$4816=0,0,N(INDEX(Clients!$P$2:$P$501,$K$4816)))</f>
        <v>0</v>
      </c>
      <c r="M4843" s="25" t="n">
        <f aca="false">IF(OR(K4843&lt;&gt;0,L4843&lt;&gt;0),1,0)</f>
        <v>0</v>
      </c>
      <c r="N4843" s="25" t="str">
        <f aca="false">IF(M4843=1,SUM($M$4843:M4843),"")</f>
        <v/>
      </c>
      <c r="O4843" s="25" t="n">
        <v>1</v>
      </c>
    </row>
    <row r="4844" customFormat="false" ht="16.5" hidden="false" customHeight="true" outlineLevel="0" collapsed="false">
      <c r="B4844" s="40" t="str">
        <f aca="false">IFERROR(INDEX($J$4843:$J$4846,MATCH($O4844,$N$4843:$N$4846,0)),"")</f>
        <v/>
      </c>
      <c r="C4844" s="41" t="str">
        <f aca="false">IFERROR(INDEX($K$4843:$K$4846,MATCH($O4844,$N$4843:$N$4846,0)),"")</f>
        <v/>
      </c>
      <c r="D4844" s="42" t="str">
        <f aca="false">IF(OR(E4844="",N(C4844)=0),"",E4844/C4844-1)</f>
        <v/>
      </c>
      <c r="E4844" s="41" t="str">
        <f aca="false">IFERROR(INDEX($L$4843:$L$4846,MATCH($O4844,$N$4843:$N$4846,0)),"")</f>
        <v/>
      </c>
      <c r="F4844" s="41" t="str">
        <f aca="false">IF(E4844="","",E4844-C4844)</f>
        <v/>
      </c>
      <c r="J4844" s="25" t="str">
        <f aca="false">Lib_Paye</f>
        <v>Mission sociale (bulletins de paie, DSN, déclarations sociales)</v>
      </c>
      <c r="K4844" s="25" t="n">
        <f aca="false">IF($K$4816=0,0,N(INDEX(Clients!$L$2:$L$501,$K$4816)))</f>
        <v>0</v>
      </c>
      <c r="L4844" s="25" t="n">
        <f aca="false">IF($K$4816=0,0,N(INDEX(Clients!$Q$2:$Q$501,$K$4816)))</f>
        <v>0</v>
      </c>
      <c r="M4844" s="25" t="n">
        <f aca="false">IF(OR(K4844&lt;&gt;0,L4844&lt;&gt;0),1,0)</f>
        <v>0</v>
      </c>
      <c r="N4844" s="25" t="str">
        <f aca="false">IF(M4844=1,SUM($M$4843:M4844),"")</f>
        <v/>
      </c>
      <c r="O4844" s="25" t="n">
        <v>2</v>
      </c>
    </row>
    <row r="4845" customFormat="false" ht="16.5" hidden="false" customHeight="true" outlineLevel="0" collapsed="false">
      <c r="B4845" s="40" t="str">
        <f aca="false">IFERROR(INDEX($J$4843:$J$4846,MATCH($O4845,$N$4843:$N$4846,0)),"")</f>
        <v/>
      </c>
      <c r="C4845" s="41" t="str">
        <f aca="false">IFERROR(INDEX($K$4843:$K$4846,MATCH($O4845,$N$4843:$N$4846,0)),"")</f>
        <v/>
      </c>
      <c r="D4845" s="42" t="str">
        <f aca="false">IF(OR(E4845="",N(C4845)=0),"",E4845/C4845-1)</f>
        <v/>
      </c>
      <c r="E4845" s="41" t="str">
        <f aca="false">IFERROR(INDEX($L$4843:$L$4846,MATCH($O4845,$N$4843:$N$4846,0)),"")</f>
        <v/>
      </c>
      <c r="F4845" s="41" t="str">
        <f aca="false">IF(E4845="","",E4845-C4845)</f>
        <v/>
      </c>
      <c r="J4845" s="25" t="str">
        <f aca="false">Lib_Jur</f>
        <v>Mission juridique (approbation des comptes, secrétariat juridique)</v>
      </c>
      <c r="K4845" s="25" t="n">
        <f aca="false">IF($K$4816=0,0,N(INDEX(Clients!$M$2:$M$501,$K$4816)))</f>
        <v>0</v>
      </c>
      <c r="L4845" s="25" t="n">
        <f aca="false">IF($K$4816=0,0,N(INDEX(Clients!$R$2:$R$501,$K$4816)))</f>
        <v>0</v>
      </c>
      <c r="M4845" s="25" t="n">
        <f aca="false">IF(OR(K4845&lt;&gt;0,L4845&lt;&gt;0),1,0)</f>
        <v>0</v>
      </c>
      <c r="N4845" s="25" t="str">
        <f aca="false">IF(M4845=1,SUM($M$4843:M4845),"")</f>
        <v/>
      </c>
      <c r="O4845" s="25" t="n">
        <v>3</v>
      </c>
    </row>
    <row r="4846" customFormat="false" ht="16.5" hidden="false" customHeight="true" outlineLevel="0" collapsed="false">
      <c r="B4846" s="40" t="str">
        <f aca="false">IFERROR(INDEX($J$4843:$J$4846,MATCH($O4846,$N$4843:$N$4846,0)),"")</f>
        <v/>
      </c>
      <c r="C4846" s="41" t="str">
        <f aca="false">IFERROR(INDEX($K$4843:$K$4846,MATCH($O4846,$N$4843:$N$4846,0)),"")</f>
        <v/>
      </c>
      <c r="D4846" s="42" t="str">
        <f aca="false">IF(OR(E4846="",N(C4846)=0),"",E4846/C4846-1)</f>
        <v/>
      </c>
      <c r="E4846" s="41" t="str">
        <f aca="false">IFERROR(INDEX($L$4843:$L$4846,MATCH($O4846,$N$4843:$N$4846,0)),"")</f>
        <v/>
      </c>
      <c r="F4846" s="41" t="str">
        <f aca="false">IF(E4846="","",E4846-C4846)</f>
        <v/>
      </c>
      <c r="J4846" s="25" t="str">
        <f aca="false">Lib_PA</f>
        <v>Plateforme agréée – facturation électronique</v>
      </c>
      <c r="K4846" s="25" t="n">
        <f aca="false">IF($K$4816=0,0,N(INDEX(Clients!$N$2:$N$501,$K$4816)))</f>
        <v>0</v>
      </c>
      <c r="L4846" s="25" t="n">
        <f aca="false">IF($K$4816=0,0,N(INDEX(Clients!$S$2:$S$501,$K$4816)))</f>
        <v>0</v>
      </c>
      <c r="M4846" s="25" t="n">
        <f aca="false">IF(OR(K4846&lt;&gt;0,L4846&lt;&gt;0),1,0)</f>
        <v>0</v>
      </c>
      <c r="N4846" s="25" t="str">
        <f aca="false">IF(M4846=1,SUM($M$4843:M4846),"")</f>
        <v/>
      </c>
      <c r="O4846" s="25" t="n">
        <v>4</v>
      </c>
    </row>
    <row r="4847" customFormat="false" ht="18" hidden="false" customHeight="true" outlineLevel="0" collapsed="false">
      <c r="B4847" s="43" t="s">
        <v>158</v>
      </c>
      <c r="C4847" s="44" t="n">
        <f aca="false">SUM(K4843:K4846)</f>
        <v>0</v>
      </c>
      <c r="D4847" s="45" t="str">
        <f aca="false">IF(N(C4847)=0,"",E4847/C4847-1)</f>
        <v/>
      </c>
      <c r="E4847" s="44" t="n">
        <f aca="false">SUM(L4843:L4846)</f>
        <v>0</v>
      </c>
      <c r="F4847" s="44" t="n">
        <f aca="false">E4847-C4847</f>
        <v>0</v>
      </c>
    </row>
    <row r="4848" customFormat="false" ht="15" hidden="false" customHeight="false" outlineLevel="0" collapsed="false">
      <c r="B4848" s="46" t="str">
        <f aca="false">IF(N(Nb_Mensualites)=0,"","Soit "&amp;FIXED(E4847/Nb_Mensualites,2)&amp;" € HT par échéance ("&amp;Nb_Mensualites&amp;" échéances), "&amp;FIXED(E4847/Nb_Mensualites*(1+Taux_TVA),2)&amp;" € TTC.")</f>
        <v>Soit 0.00 € HT par échéance (12 échéances), 0.00 € TTC.</v>
      </c>
      <c r="C4848" s="46"/>
      <c r="D4848" s="46"/>
      <c r="E4848" s="46"/>
      <c r="F4848" s="46"/>
    </row>
    <row r="4849" customFormat="false" ht="7.5" hidden="false" customHeight="true" outlineLevel="0" collapsed="false">
      <c r="B4849" s="10"/>
      <c r="C4849" s="10"/>
      <c r="D4849" s="10"/>
      <c r="E4849" s="10"/>
      <c r="F4849" s="10"/>
    </row>
    <row r="4850" customFormat="false" ht="36.75" hidden="false" customHeight="true" outlineLevel="0" collapsed="false">
      <c r="B4850" s="37" t="str">
        <f aca="false">SUBSTITUTE(SUBSTITUTE(SUBSTITUTE(SUBSTITUTE(SUBSTITUTE(Txt_P5,"{cabinet}",Cab_Nom),"{societe}",IF($K$4816=0,"",INDEX(Clients!$E$2:$E$501,$K$4816)&amp;"")),"{date_effet}",$K$4818),"{hausse}",$K$4819),"{civilite}",$K$4817)</f>
        <v>Les autres conditions de votre lettre de mission demeurent inchangées. Les nouveaux montants seront appliqués automatiquement sur vos prochaines factures et échéances de prélèvement.</v>
      </c>
      <c r="C4850" s="37"/>
      <c r="D4850" s="37"/>
      <c r="E4850" s="37"/>
      <c r="F4850" s="37"/>
    </row>
    <row r="4851" customFormat="false" ht="36.75" hidden="false" customHeight="true" outlineLevel="0" collapsed="false">
      <c r="B4851" s="37" t="str">
        <f aca="false">SUBSTITUTE(SUBSTITUTE(SUBSTITUTE(SUBSTITUTE(SUBSTITUTE(Txt_P6,"{cabinet}",Cab_Nom),"{societe}",IF($K$4816=0,"",INDEX(Clients!$E$2:$E$501,$K$4816)&amp;"")),"{date_effet}",$K$4818),"{hausse}",$K$4819),"{civilite}",$K$4817)</f>
        <v>Votre interlocuteur habituel reste à votre entière disposition pour répondre à vos questions et faire le point sur l'évolution de vos besoins.</v>
      </c>
      <c r="C4851" s="37"/>
      <c r="D4851" s="37"/>
      <c r="E4851" s="37"/>
      <c r="F4851" s="37"/>
    </row>
    <row r="4852" customFormat="false" ht="24" hidden="false" customHeight="true" outlineLevel="0" collapsed="false">
      <c r="B4852" s="37" t="str">
        <f aca="false">SUBSTITUTE(SUBSTITUTE(SUBSTITUTE(SUBSTITUTE(SUBSTITUTE(Txt_Politesse,"{cabinet}",Cab_Nom),"{societe}",IF($K$4816=0,"",INDEX(Clients!$E$2:$E$501,$K$4816)&amp;"")),"{date_effet}",$K$4818),"{hausse}",$K$4819),"{civilite}",$K$4817)</f>
        <v>Nous vous prions d'agréer, Madame, Monsieur, l'expression de nos salutations distinguées.</v>
      </c>
      <c r="C4852" s="37"/>
      <c r="D4852" s="37"/>
      <c r="E4852" s="37"/>
      <c r="F4852" s="37"/>
    </row>
    <row r="4853" customFormat="false" ht="15" hidden="false" customHeight="false" outlineLevel="0" collapsed="false">
      <c r="B4853" s="10"/>
      <c r="C4853" s="10"/>
      <c r="D4853" s="10"/>
      <c r="E4853" s="10"/>
      <c r="F4853" s="10"/>
    </row>
    <row r="4854" customFormat="false" ht="15" hidden="false" customHeight="false" outlineLevel="0" collapsed="false">
      <c r="B4854" s="10"/>
      <c r="C4854" s="10"/>
      <c r="D4854" s="34" t="str">
        <f aca="false">Signataire</f>
        <v>Prénom NOM</v>
      </c>
      <c r="E4854" s="34"/>
      <c r="F4854" s="34"/>
    </row>
    <row r="4855" customFormat="false" ht="15" hidden="false" customHeight="false" outlineLevel="0" collapsed="false">
      <c r="B4855" s="10"/>
      <c r="C4855" s="10"/>
      <c r="D4855" s="47" t="str">
        <f aca="false">Signataire_Titre</f>
        <v>Expert-comptable associé</v>
      </c>
      <c r="E4855" s="47"/>
      <c r="F4855" s="47"/>
    </row>
    <row r="4856" customFormat="false" ht="15.75" hidden="false" customHeight="true" outlineLevel="0" collapsed="false">
      <c r="B4856" s="10"/>
      <c r="C4856" s="10"/>
      <c r="D4856" s="10"/>
      <c r="E4856" s="10"/>
      <c r="F4856" s="10"/>
    </row>
    <row r="4857" customFormat="false" ht="15.75" hidden="false" customHeight="true" outlineLevel="0" collapsed="false">
      <c r="B4857" s="10"/>
      <c r="C4857" s="10"/>
      <c r="D4857" s="10"/>
      <c r="E4857" s="10"/>
      <c r="F4857" s="10"/>
    </row>
    <row r="4858" customFormat="false" ht="15.75" hidden="false" customHeight="true" outlineLevel="0" collapsed="false">
      <c r="B4858" s="10"/>
      <c r="C4858" s="10"/>
      <c r="D4858" s="10"/>
      <c r="E4858" s="10"/>
      <c r="F4858" s="10"/>
    </row>
    <row r="4859" customFormat="false" ht="15.75" hidden="false" customHeight="true" outlineLevel="0" collapsed="false">
      <c r="B4859" s="10"/>
      <c r="C4859" s="10"/>
      <c r="D4859" s="10"/>
      <c r="E4859" s="10"/>
      <c r="F4859" s="10"/>
    </row>
    <row r="4860" customFormat="false" ht="24" hidden="false" customHeight="true" outlineLevel="0" collapsed="false">
      <c r="B4860" s="48" t="str">
        <f aca="false">Cab_Mentions</f>
        <v>ALTHO EXPERTISE · SAS au capital de 10 000 € · RCS Pontoise 919 706 325 · TVA FR62919706325 · Société d'expertise comptable inscrite au Tableau de l'Ordre des experts-comptables de Paris Île-de-France</v>
      </c>
      <c r="C4860" s="48"/>
      <c r="D4860" s="48"/>
      <c r="E4860" s="48"/>
      <c r="F4860" s="48"/>
    </row>
    <row r="4861" customFormat="false" ht="15" hidden="false" customHeight="false" outlineLevel="0" collapsed="false">
      <c r="B4861" s="10"/>
      <c r="C4861" s="10"/>
      <c r="D4861" s="10"/>
      <c r="E4861" s="10"/>
      <c r="F4861" s="10"/>
      <c r="J4861" s="25" t="s">
        <v>142</v>
      </c>
      <c r="K4861" s="25" t="n">
        <f aca="false">IFERROR(MATCH(109,Clients!$Z$2:$Z$501,0),0)</f>
        <v>0</v>
      </c>
      <c r="L4861" s="25"/>
      <c r="M4861" s="25"/>
      <c r="N4861" s="25"/>
      <c r="O4861" s="25"/>
    </row>
    <row r="4862" customFormat="false" ht="21.75" hidden="false" customHeight="true" outlineLevel="0" collapsed="false">
      <c r="B4862" s="26" t="str">
        <f aca="false">Cab_Nom</f>
        <v>ALTHO EXPERTISE</v>
      </c>
      <c r="C4862" s="26"/>
      <c r="D4862" s="10"/>
      <c r="E4862" s="27" t="str">
        <f aca="false">IF($K$4861=0,"","Réf. client : "&amp;INDEX(Clients!$A$2:$A$501,$K$4861))</f>
        <v/>
      </c>
      <c r="F4862" s="27"/>
      <c r="J4862" s="25" t="s">
        <v>144</v>
      </c>
      <c r="K4862" s="25" t="str">
        <f aca="false">IF(IF($K$4861=0,"",INDEX(Clients!$B$2:$B$501,$K$4861)&amp;"")="Mme","Madame",IF(IF($K$4861=0,"",INDEX(Clients!$B$2:$B$501,$K$4861)&amp;"")="M.","Monsieur","Madame, Monsieur"))</f>
        <v>Madame, Monsieur</v>
      </c>
      <c r="L4862" s="25"/>
      <c r="M4862" s="25"/>
      <c r="N4862" s="25"/>
      <c r="O4862" s="25"/>
    </row>
    <row r="4863" customFormat="false" ht="15" hidden="false" customHeight="false" outlineLevel="0" collapsed="false">
      <c r="B4863" s="29" t="str">
        <f aca="false">Cab_Adr1</f>
        <v>141 rue Charles de Gaulle</v>
      </c>
      <c r="C4863" s="29"/>
      <c r="D4863" s="10"/>
      <c r="E4863" s="10"/>
      <c r="F4863" s="10"/>
      <c r="J4863" s="25" t="s">
        <v>145</v>
      </c>
      <c r="K4863" s="25" t="str">
        <f aca="false">DAY(Date_Effet)&amp;IF(DAY(Date_Effet)=1,"er","")&amp;" "&amp;INDEX(Liste_Mois,MONTH(Date_Effet))&amp;" "&amp;YEAR(Date_Effet)</f>
        <v>1er janvier 2027</v>
      </c>
      <c r="L4863" s="25"/>
      <c r="M4863" s="25"/>
      <c r="N4863" s="25"/>
      <c r="O4863" s="25"/>
    </row>
    <row r="4864" customFormat="false" ht="15" hidden="false" customHeight="false" outlineLevel="0" collapsed="false">
      <c r="B4864" s="29" t="str">
        <f aca="false">Cab_CPVille</f>
        <v>95130 LE PLESSIS-BOUCHARD</v>
      </c>
      <c r="C4864" s="29"/>
      <c r="D4864" s="10"/>
      <c r="E4864" s="10"/>
      <c r="F4864" s="10"/>
      <c r="J4864" s="25" t="s">
        <v>146</v>
      </c>
      <c r="K4864" s="25" t="str">
        <f aca="false">IF(SUM($K$4888:$K$4891)=0,"",FIXED((SUM($L$4888:$L$4891)/SUM($K$4888:$K$4891)-1)*100,1)&amp;" %")</f>
        <v/>
      </c>
      <c r="L4864" s="25"/>
      <c r="M4864" s="25"/>
      <c r="N4864" s="25"/>
      <c r="O4864" s="25"/>
    </row>
    <row r="4865" customFormat="false" ht="15" hidden="false" customHeight="false" outlineLevel="0" collapsed="false">
      <c r="B4865" s="29" t="str">
        <f aca="false">Cab_Contact</f>
        <v>Tél. 01 34 14 53 45  ·  altho@altho-experts.com  ·  altho-experts.com</v>
      </c>
      <c r="C4865" s="29"/>
      <c r="D4865" s="10"/>
      <c r="E4865" s="10"/>
      <c r="F4865" s="10"/>
      <c r="J4865" s="25"/>
      <c r="K4865" s="25"/>
      <c r="L4865" s="25"/>
      <c r="M4865" s="25"/>
      <c r="N4865" s="25"/>
      <c r="O4865" s="25"/>
    </row>
    <row r="4866" customFormat="false" ht="6" hidden="false" customHeight="true" outlineLevel="0" collapsed="false">
      <c r="B4866" s="32"/>
      <c r="C4866" s="32"/>
      <c r="D4866" s="32"/>
      <c r="E4866" s="32"/>
      <c r="F4866" s="32"/>
      <c r="J4866" s="25"/>
      <c r="K4866" s="25"/>
      <c r="L4866" s="25"/>
      <c r="M4866" s="25"/>
      <c r="N4866" s="25"/>
      <c r="O4866" s="25"/>
    </row>
    <row r="4867" customFormat="false" ht="13.5" hidden="false" customHeight="true" outlineLevel="0" collapsed="false">
      <c r="B4867" s="10"/>
      <c r="C4867" s="10"/>
      <c r="D4867" s="10"/>
      <c r="E4867" s="10"/>
      <c r="F4867" s="10"/>
      <c r="J4867" s="25"/>
      <c r="K4867" s="25"/>
      <c r="L4867" s="25"/>
      <c r="M4867" s="25"/>
      <c r="N4867" s="25"/>
      <c r="O4867" s="25"/>
    </row>
    <row r="4868" customFormat="false" ht="13.5" hidden="false" customHeight="true" outlineLevel="0" collapsed="false">
      <c r="B4868" s="10"/>
      <c r="C4868" s="10"/>
      <c r="D4868" s="10"/>
      <c r="E4868" s="10"/>
      <c r="F4868" s="10"/>
      <c r="J4868" s="25"/>
      <c r="K4868" s="25"/>
      <c r="L4868" s="25"/>
      <c r="M4868" s="25"/>
      <c r="N4868" s="25"/>
      <c r="O4868" s="25"/>
    </row>
    <row r="4869" customFormat="false" ht="13.5" hidden="false" customHeight="true" outlineLevel="0" collapsed="false">
      <c r="B4869" s="10"/>
      <c r="C4869" s="10"/>
      <c r="D4869" s="10"/>
      <c r="E4869" s="10"/>
      <c r="F4869" s="10"/>
      <c r="J4869" s="25"/>
      <c r="K4869" s="25"/>
      <c r="L4869" s="25"/>
      <c r="M4869" s="25"/>
      <c r="N4869" s="25"/>
      <c r="O4869" s="25"/>
    </row>
    <row r="4870" customFormat="false" ht="15" hidden="false" customHeight="true" outlineLevel="0" collapsed="false">
      <c r="B4870" s="10"/>
      <c r="C4870" s="10"/>
      <c r="D4870" s="34" t="str">
        <f aca="false">IF($K$4861=0,"",INDEX(Clients!$E$2:$E$501,$K$4861)&amp;"")</f>
        <v/>
      </c>
      <c r="E4870" s="34"/>
      <c r="F4870" s="34"/>
      <c r="J4870" s="25"/>
      <c r="K4870" s="25"/>
      <c r="L4870" s="25"/>
      <c r="M4870" s="25"/>
      <c r="N4870" s="25"/>
      <c r="O4870" s="25"/>
    </row>
    <row r="4871" customFormat="false" ht="15" hidden="false" customHeight="true" outlineLevel="0" collapsed="false">
      <c r="B4871" s="10"/>
      <c r="C4871" s="10"/>
      <c r="D4871" s="35" t="str">
        <f aca="false">IF(IF($K$4861=0,"",INDEX(Clients!$D$2:$D$501,$K$4861)&amp;"")="","","À l'attention de "&amp;TRIM(IF($K$4861=0,"",INDEX(Clients!$B$2:$B$501,$K$4861)&amp;"")&amp;" "&amp;IF($K$4861=0,"",INDEX(Clients!$C$2:$C$501,$K$4861)&amp;"")&amp;" "&amp;IF($K$4861=0,"",INDEX(Clients!$D$2:$D$501,$K$4861)&amp;"")))</f>
        <v/>
      </c>
      <c r="E4871" s="35"/>
      <c r="F4871" s="35"/>
      <c r="J4871" s="25"/>
      <c r="K4871" s="25"/>
      <c r="L4871" s="25"/>
      <c r="M4871" s="25"/>
      <c r="N4871" s="25"/>
      <c r="O4871" s="25"/>
    </row>
    <row r="4872" customFormat="false" ht="15" hidden="false" customHeight="true" outlineLevel="0" collapsed="false">
      <c r="B4872" s="10"/>
      <c r="C4872" s="10"/>
      <c r="D4872" s="35" t="str">
        <f aca="false">IF($K$4861=0,"",INDEX(Clients!$F$2:$F$501,$K$4861)&amp;"")</f>
        <v/>
      </c>
      <c r="E4872" s="35"/>
      <c r="F4872" s="35"/>
      <c r="J4872" s="25"/>
      <c r="K4872" s="25"/>
      <c r="L4872" s="25"/>
      <c r="M4872" s="25"/>
      <c r="N4872" s="25"/>
      <c r="O4872" s="25"/>
    </row>
    <row r="4873" customFormat="false" ht="15" hidden="false" customHeight="true" outlineLevel="0" collapsed="false">
      <c r="B4873" s="10"/>
      <c r="C4873" s="10"/>
      <c r="D4873" s="35" t="str">
        <f aca="false">IF(IF($K$4861=0,"",INDEX(Clients!$G$2:$G$501,$K$4861)&amp;"")="",TRIM(IF($K$4861=0,"",INDEX(Clients!$H$2:$H$501,$K$4861)&amp;"")&amp;" "&amp;UPPER(IF($K$4861=0,"",INDEX(Clients!$I$2:$I$501,$K$4861)&amp;""))),IF($K$4861=0,"",INDEX(Clients!$G$2:$G$501,$K$4861)&amp;""))</f>
        <v/>
      </c>
      <c r="E4873" s="35"/>
      <c r="F4873" s="35"/>
      <c r="J4873" s="25"/>
      <c r="K4873" s="25"/>
      <c r="L4873" s="25"/>
      <c r="M4873" s="25"/>
      <c r="N4873" s="25"/>
      <c r="O4873" s="25"/>
    </row>
    <row r="4874" customFormat="false" ht="15" hidden="false" customHeight="true" outlineLevel="0" collapsed="false">
      <c r="B4874" s="10"/>
      <c r="C4874" s="10"/>
      <c r="D4874" s="35" t="str">
        <f aca="false">IF(IF($K$4861=0,"",INDEX(Clients!$G$2:$G$501,$K$4861)&amp;"")="","",TRIM(IF($K$4861=0,"",INDEX(Clients!$H$2:$H$501,$K$4861)&amp;"")&amp;" "&amp;UPPER(IF($K$4861=0,"",INDEX(Clients!$I$2:$I$501,$K$4861)&amp;""))))</f>
        <v/>
      </c>
      <c r="E4874" s="35"/>
      <c r="F4874" s="35"/>
      <c r="J4874" s="25"/>
      <c r="K4874" s="25"/>
      <c r="L4874" s="25"/>
      <c r="M4874" s="25"/>
      <c r="N4874" s="25"/>
      <c r="O4874" s="25"/>
    </row>
    <row r="4875" customFormat="false" ht="25.5" hidden="false" customHeight="true" outlineLevel="0" collapsed="false">
      <c r="B4875" s="10"/>
      <c r="C4875" s="10"/>
      <c r="D4875" s="10"/>
      <c r="E4875" s="10"/>
      <c r="F4875" s="10"/>
      <c r="J4875" s="25"/>
      <c r="K4875" s="25"/>
      <c r="L4875" s="25"/>
      <c r="M4875" s="25"/>
      <c r="N4875" s="25"/>
      <c r="O4875" s="25"/>
    </row>
    <row r="4876" customFormat="false" ht="15" hidden="false" customHeight="false" outlineLevel="0" collapsed="false">
      <c r="B4876" s="10"/>
      <c r="C4876" s="10"/>
      <c r="D4876" s="36" t="str">
        <f aca="false">Cab_Ville&amp;", le "&amp;DAY(Date_Courrier)&amp;IF(DAY(Date_Courrier)=1,"er","")&amp;" "&amp;INDEX(Liste_Mois,MONTH(Date_Courrier))&amp;" "&amp;YEAR(Date_Courrier)</f>
        <v>Le Plessis-Bouchard, le 22 septembre 2026</v>
      </c>
      <c r="E4876" s="36"/>
      <c r="F4876" s="36"/>
      <c r="J4876" s="25"/>
      <c r="K4876" s="25"/>
      <c r="L4876" s="25"/>
      <c r="M4876" s="25"/>
      <c r="N4876" s="25"/>
      <c r="O4876" s="25"/>
    </row>
    <row r="4877" customFormat="false" ht="19.5" hidden="false" customHeight="true" outlineLevel="0" collapsed="false">
      <c r="B4877" s="10"/>
      <c r="C4877" s="10"/>
      <c r="D4877" s="10"/>
      <c r="E4877" s="10"/>
      <c r="F4877" s="10"/>
      <c r="J4877" s="25"/>
      <c r="K4877" s="25"/>
      <c r="L4877" s="25"/>
      <c r="M4877" s="25"/>
      <c r="N4877" s="25"/>
      <c r="O4877" s="25"/>
    </row>
    <row r="4878" customFormat="false" ht="15" hidden="false" customHeight="false" outlineLevel="0" collapsed="false">
      <c r="B4878" s="34" t="str">
        <f aca="false">SUBSTITUTE(SUBSTITUTE(SUBSTITUTE(SUBSTITUTE(SUBSTITUTE(Txt_Objet,"{cabinet}",Cab_Nom),"{societe}",IF($K$4861=0,"",INDEX(Clients!$E$2:$E$501,$K$4861)&amp;"")),"{date_effet}",$K$4863),"{hausse}",$K$4864),"{civilite}",$K$4862)</f>
        <v>Objet : révision de nos honoraires au 1er janvier 2027</v>
      </c>
      <c r="C4878" s="34"/>
      <c r="D4878" s="34"/>
      <c r="E4878" s="34"/>
      <c r="F4878" s="34"/>
      <c r="J4878" s="25"/>
      <c r="K4878" s="25"/>
      <c r="L4878" s="25"/>
      <c r="M4878" s="25"/>
      <c r="N4878" s="25"/>
      <c r="O4878" s="25"/>
    </row>
    <row r="4879" customFormat="false" ht="13.5" hidden="false" customHeight="true" outlineLevel="0" collapsed="false">
      <c r="B4879" s="10"/>
      <c r="C4879" s="10"/>
      <c r="D4879" s="10"/>
      <c r="E4879" s="10"/>
      <c r="F4879" s="10"/>
      <c r="J4879" s="25"/>
      <c r="K4879" s="25"/>
      <c r="L4879" s="25"/>
      <c r="M4879" s="25"/>
      <c r="N4879" s="25"/>
      <c r="O4879" s="25"/>
    </row>
    <row r="4880" customFormat="false" ht="15" hidden="false" customHeight="false" outlineLevel="0" collapsed="false">
      <c r="B4880" s="10" t="str">
        <f aca="false">$K$4862&amp;","</f>
        <v>Madame, Monsieur,</v>
      </c>
      <c r="C4880" s="10"/>
      <c r="D4880" s="10"/>
      <c r="E4880" s="10"/>
      <c r="F4880" s="10"/>
      <c r="J4880" s="25"/>
      <c r="K4880" s="25"/>
      <c r="L4880" s="25"/>
      <c r="M4880" s="25"/>
      <c r="N4880" s="25"/>
      <c r="O4880" s="25"/>
    </row>
    <row r="4881" customFormat="false" ht="6" hidden="false" customHeight="true" outlineLevel="0" collapsed="false">
      <c r="B4881" s="10"/>
      <c r="C4881" s="10"/>
      <c r="D4881" s="10"/>
      <c r="E4881" s="10"/>
      <c r="F4881" s="10"/>
      <c r="J4881" s="25"/>
      <c r="K4881" s="25"/>
      <c r="L4881" s="25"/>
      <c r="M4881" s="25"/>
      <c r="N4881" s="25"/>
      <c r="O4881" s="25"/>
    </row>
    <row r="4882" customFormat="false" ht="36.75" hidden="false" customHeight="true" outlineLevel="0" collapsed="false">
      <c r="B4882" s="37" t="str">
        <f aca="false">SUBSTITUTE(SUBSTITUTE(SUBSTITUTE(SUBSTITUTE(SUBSTITUTE(Txt_P1,"{cabinet}",Cab_Nom),"{societe}",IF($K$4861=0,"",INDEX(Clients!$E$2:$E$501,$K$4861)&amp;"")),"{date_effet}",$K$4863),"{hausse}",$K$4864),"{civilite}",$K$4862)</f>
        <v>Nous tenons tout d'abord à vous remercier pour la confiance que vous accordez à ALTHO EXPERTISE. Comme chaque année, et conformément aux dispositions de votre lettre de mission, nous procédons à la révision de nos honoraires.</v>
      </c>
      <c r="C4882" s="37"/>
      <c r="D4882" s="37"/>
      <c r="E4882" s="37"/>
      <c r="F4882" s="37"/>
      <c r="J4882" s="25"/>
      <c r="K4882" s="25"/>
      <c r="L4882" s="25"/>
      <c r="M4882" s="25"/>
      <c r="N4882" s="25"/>
      <c r="O4882" s="25"/>
    </row>
    <row r="4883" customFormat="false" ht="49.5" hidden="false" customHeight="true" outlineLevel="0" collapsed="false">
      <c r="B4883" s="37" t="str">
        <f aca="false">SUBSTITUTE(SUBSTITUTE(SUBSTITUTE(SUBSTITUTE(SUBSTITUTE(Txt_P2,"{cabinet}",Cab_Nom),"{societe}",IF($K$4861=0,"",INDEX(Clients!$E$2:$E$501,$K$4861)&amp;"")),"{date_effet}",$K$4863),"{hausse}",$K$4864),"{civilite}",$K$4862)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883" s="37"/>
      <c r="D4883" s="37"/>
      <c r="E4883" s="37"/>
      <c r="F4883" s="37"/>
      <c r="J4883" s="25"/>
      <c r="K4883" s="25"/>
      <c r="L4883" s="25"/>
      <c r="M4883" s="25"/>
      <c r="N4883" s="25"/>
      <c r="O4883" s="25"/>
    </row>
    <row r="4884" customFormat="false" ht="63" hidden="false" customHeight="true" outlineLevel="0" collapsed="false">
      <c r="B4884" s="37" t="str">
        <f aca="false">SUBSTITUTE(SUBSTITUTE(SUBSTITUTE(SUBSTITUTE(SUBSTITUTE(Txt_P3,"{cabinet}",Cab_Nom),"{societe}",IF($K$4861=0,"",INDEX(Clients!$E$2:$E$501,$K$4861)&amp;"")),"{date_effet}",$K$4863),"{hausse}",$K$4864),"{civilite}",$K$4862)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884" s="37"/>
      <c r="D4884" s="37"/>
      <c r="E4884" s="37"/>
      <c r="F4884" s="37"/>
      <c r="J4884" s="25"/>
      <c r="K4884" s="25"/>
      <c r="L4884" s="25"/>
      <c r="M4884" s="25"/>
      <c r="N4884" s="25"/>
      <c r="O4884" s="25"/>
    </row>
    <row r="4885" customFormat="false" ht="24" hidden="false" customHeight="true" outlineLevel="0" collapsed="false">
      <c r="B4885" s="37" t="str">
        <f aca="false">SUBSTITUTE(SUBSTITUTE(SUBSTITUTE(SUBSTITUTE(SUBSTITUTE(Txt_P4,"{cabinet}",Cab_Nom),"{societe}",IF($K$4861=0,"",INDEX(Clients!$E$2:$E$501,$K$4861)&amp;"")),"{date_effet}",$K$4863),"{hausse}",$K$4864),"{civilite}",$K$4862)</f>
        <v>À compter du 1er janvier 2027, vos honoraires annuels hors taxes évolueront ainsi (évolution globale : ) :</v>
      </c>
      <c r="C4885" s="37"/>
      <c r="D4885" s="37"/>
      <c r="E4885" s="37"/>
      <c r="F4885" s="37"/>
      <c r="J4885" s="25"/>
      <c r="K4885" s="25"/>
      <c r="L4885" s="25"/>
      <c r="M4885" s="25"/>
      <c r="N4885" s="25"/>
      <c r="O4885" s="25"/>
    </row>
    <row r="4886" customFormat="false" ht="3.75" hidden="false" customHeight="true" outlineLevel="0" collapsed="false">
      <c r="B4886" s="10"/>
      <c r="C4886" s="10"/>
      <c r="D4886" s="10"/>
      <c r="E4886" s="10"/>
      <c r="F4886" s="10"/>
      <c r="J4886" s="25"/>
      <c r="K4886" s="25"/>
      <c r="L4886" s="25"/>
      <c r="M4886" s="25"/>
      <c r="N4886" s="25"/>
      <c r="O4886" s="25"/>
    </row>
    <row r="4887" customFormat="false" ht="18" hidden="false" customHeight="true" outlineLevel="0" collapsed="false">
      <c r="B4887" s="38" t="s">
        <v>148</v>
      </c>
      <c r="C4887" s="39" t="s">
        <v>149</v>
      </c>
      <c r="D4887" s="39" t="s">
        <v>150</v>
      </c>
      <c r="E4887" s="39" t="s">
        <v>151</v>
      </c>
      <c r="F4887" s="39" t="s">
        <v>109</v>
      </c>
      <c r="J4887" s="25" t="s">
        <v>152</v>
      </c>
      <c r="K4887" s="25" t="s">
        <v>153</v>
      </c>
      <c r="L4887" s="25" t="s">
        <v>154</v>
      </c>
      <c r="M4887" s="25" t="s">
        <v>155</v>
      </c>
      <c r="N4887" s="25" t="s">
        <v>156</v>
      </c>
      <c r="O4887" s="25" t="s">
        <v>157</v>
      </c>
    </row>
    <row r="4888" customFormat="false" ht="16.5" hidden="false" customHeight="true" outlineLevel="0" collapsed="false">
      <c r="B4888" s="40" t="str">
        <f aca="false">IFERROR(INDEX($J$4888:$J$4891,MATCH($O4888,$N$4888:$N$4891,0)),"")</f>
        <v/>
      </c>
      <c r="C4888" s="41" t="str">
        <f aca="false">IFERROR(INDEX($K$4888:$K$4891,MATCH($O4888,$N$4888:$N$4891,0)),"")</f>
        <v/>
      </c>
      <c r="D4888" s="42" t="str">
        <f aca="false">IF(OR(E4888="",N(C4888)=0),"",E4888/C4888-1)</f>
        <v/>
      </c>
      <c r="E4888" s="41" t="str">
        <f aca="false">IFERROR(INDEX($L$4888:$L$4891,MATCH($O4888,$N$4888:$N$4891,0)),"")</f>
        <v/>
      </c>
      <c r="F4888" s="41" t="str">
        <f aca="false">IF(E4888="","",E4888-C4888)</f>
        <v/>
      </c>
      <c r="J4888" s="25" t="str">
        <f aca="false">Lib_Compta</f>
        <v>Mission comptable (tenue, révision, bilan, liasse fiscale)</v>
      </c>
      <c r="K4888" s="25" t="n">
        <f aca="false">IF($K$4861=0,0,N(INDEX(Clients!$K$2:$K$501,$K$4861)))</f>
        <v>0</v>
      </c>
      <c r="L4888" s="25" t="n">
        <f aca="false">IF($K$4861=0,0,N(INDEX(Clients!$P$2:$P$501,$K$4861)))</f>
        <v>0</v>
      </c>
      <c r="M4888" s="25" t="n">
        <f aca="false">IF(OR(K4888&lt;&gt;0,L4888&lt;&gt;0),1,0)</f>
        <v>0</v>
      </c>
      <c r="N4888" s="25" t="str">
        <f aca="false">IF(M4888=1,SUM($M$4888:M4888),"")</f>
        <v/>
      </c>
      <c r="O4888" s="25" t="n">
        <v>1</v>
      </c>
    </row>
    <row r="4889" customFormat="false" ht="16.5" hidden="false" customHeight="true" outlineLevel="0" collapsed="false">
      <c r="B4889" s="40" t="str">
        <f aca="false">IFERROR(INDEX($J$4888:$J$4891,MATCH($O4889,$N$4888:$N$4891,0)),"")</f>
        <v/>
      </c>
      <c r="C4889" s="41" t="str">
        <f aca="false">IFERROR(INDEX($K$4888:$K$4891,MATCH($O4889,$N$4888:$N$4891,0)),"")</f>
        <v/>
      </c>
      <c r="D4889" s="42" t="str">
        <f aca="false">IF(OR(E4889="",N(C4889)=0),"",E4889/C4889-1)</f>
        <v/>
      </c>
      <c r="E4889" s="41" t="str">
        <f aca="false">IFERROR(INDEX($L$4888:$L$4891,MATCH($O4889,$N$4888:$N$4891,0)),"")</f>
        <v/>
      </c>
      <c r="F4889" s="41" t="str">
        <f aca="false">IF(E4889="","",E4889-C4889)</f>
        <v/>
      </c>
      <c r="J4889" s="25" t="str">
        <f aca="false">Lib_Paye</f>
        <v>Mission sociale (bulletins de paie, DSN, déclarations sociales)</v>
      </c>
      <c r="K4889" s="25" t="n">
        <f aca="false">IF($K$4861=0,0,N(INDEX(Clients!$L$2:$L$501,$K$4861)))</f>
        <v>0</v>
      </c>
      <c r="L4889" s="25" t="n">
        <f aca="false">IF($K$4861=0,0,N(INDEX(Clients!$Q$2:$Q$501,$K$4861)))</f>
        <v>0</v>
      </c>
      <c r="M4889" s="25" t="n">
        <f aca="false">IF(OR(K4889&lt;&gt;0,L4889&lt;&gt;0),1,0)</f>
        <v>0</v>
      </c>
      <c r="N4889" s="25" t="str">
        <f aca="false">IF(M4889=1,SUM($M$4888:M4889),"")</f>
        <v/>
      </c>
      <c r="O4889" s="25" t="n">
        <v>2</v>
      </c>
    </row>
    <row r="4890" customFormat="false" ht="16.5" hidden="false" customHeight="true" outlineLevel="0" collapsed="false">
      <c r="B4890" s="40" t="str">
        <f aca="false">IFERROR(INDEX($J$4888:$J$4891,MATCH($O4890,$N$4888:$N$4891,0)),"")</f>
        <v/>
      </c>
      <c r="C4890" s="41" t="str">
        <f aca="false">IFERROR(INDEX($K$4888:$K$4891,MATCH($O4890,$N$4888:$N$4891,0)),"")</f>
        <v/>
      </c>
      <c r="D4890" s="42" t="str">
        <f aca="false">IF(OR(E4890="",N(C4890)=0),"",E4890/C4890-1)</f>
        <v/>
      </c>
      <c r="E4890" s="41" t="str">
        <f aca="false">IFERROR(INDEX($L$4888:$L$4891,MATCH($O4890,$N$4888:$N$4891,0)),"")</f>
        <v/>
      </c>
      <c r="F4890" s="41" t="str">
        <f aca="false">IF(E4890="","",E4890-C4890)</f>
        <v/>
      </c>
      <c r="J4890" s="25" t="str">
        <f aca="false">Lib_Jur</f>
        <v>Mission juridique (approbation des comptes, secrétariat juridique)</v>
      </c>
      <c r="K4890" s="25" t="n">
        <f aca="false">IF($K$4861=0,0,N(INDEX(Clients!$M$2:$M$501,$K$4861)))</f>
        <v>0</v>
      </c>
      <c r="L4890" s="25" t="n">
        <f aca="false">IF($K$4861=0,0,N(INDEX(Clients!$R$2:$R$501,$K$4861)))</f>
        <v>0</v>
      </c>
      <c r="M4890" s="25" t="n">
        <f aca="false">IF(OR(K4890&lt;&gt;0,L4890&lt;&gt;0),1,0)</f>
        <v>0</v>
      </c>
      <c r="N4890" s="25" t="str">
        <f aca="false">IF(M4890=1,SUM($M$4888:M4890),"")</f>
        <v/>
      </c>
      <c r="O4890" s="25" t="n">
        <v>3</v>
      </c>
    </row>
    <row r="4891" customFormat="false" ht="16.5" hidden="false" customHeight="true" outlineLevel="0" collapsed="false">
      <c r="B4891" s="40" t="str">
        <f aca="false">IFERROR(INDEX($J$4888:$J$4891,MATCH($O4891,$N$4888:$N$4891,0)),"")</f>
        <v/>
      </c>
      <c r="C4891" s="41" t="str">
        <f aca="false">IFERROR(INDEX($K$4888:$K$4891,MATCH($O4891,$N$4888:$N$4891,0)),"")</f>
        <v/>
      </c>
      <c r="D4891" s="42" t="str">
        <f aca="false">IF(OR(E4891="",N(C4891)=0),"",E4891/C4891-1)</f>
        <v/>
      </c>
      <c r="E4891" s="41" t="str">
        <f aca="false">IFERROR(INDEX($L$4888:$L$4891,MATCH($O4891,$N$4888:$N$4891,0)),"")</f>
        <v/>
      </c>
      <c r="F4891" s="41" t="str">
        <f aca="false">IF(E4891="","",E4891-C4891)</f>
        <v/>
      </c>
      <c r="J4891" s="25" t="str">
        <f aca="false">Lib_PA</f>
        <v>Plateforme agréée – facturation électronique</v>
      </c>
      <c r="K4891" s="25" t="n">
        <f aca="false">IF($K$4861=0,0,N(INDEX(Clients!$N$2:$N$501,$K$4861)))</f>
        <v>0</v>
      </c>
      <c r="L4891" s="25" t="n">
        <f aca="false">IF($K$4861=0,0,N(INDEX(Clients!$S$2:$S$501,$K$4861)))</f>
        <v>0</v>
      </c>
      <c r="M4891" s="25" t="n">
        <f aca="false">IF(OR(K4891&lt;&gt;0,L4891&lt;&gt;0),1,0)</f>
        <v>0</v>
      </c>
      <c r="N4891" s="25" t="str">
        <f aca="false">IF(M4891=1,SUM($M$4888:M4891),"")</f>
        <v/>
      </c>
      <c r="O4891" s="25" t="n">
        <v>4</v>
      </c>
    </row>
    <row r="4892" customFormat="false" ht="18" hidden="false" customHeight="true" outlineLevel="0" collapsed="false">
      <c r="B4892" s="43" t="s">
        <v>158</v>
      </c>
      <c r="C4892" s="44" t="n">
        <f aca="false">SUM(K4888:K4891)</f>
        <v>0</v>
      </c>
      <c r="D4892" s="45" t="str">
        <f aca="false">IF(N(C4892)=0,"",E4892/C4892-1)</f>
        <v/>
      </c>
      <c r="E4892" s="44" t="n">
        <f aca="false">SUM(L4888:L4891)</f>
        <v>0</v>
      </c>
      <c r="F4892" s="44" t="n">
        <f aca="false">E4892-C4892</f>
        <v>0</v>
      </c>
    </row>
    <row r="4893" customFormat="false" ht="15" hidden="false" customHeight="false" outlineLevel="0" collapsed="false">
      <c r="B4893" s="46" t="str">
        <f aca="false">IF(N(Nb_Mensualites)=0,"","Soit "&amp;FIXED(E4892/Nb_Mensualites,2)&amp;" € HT par échéance ("&amp;Nb_Mensualites&amp;" échéances), "&amp;FIXED(E4892/Nb_Mensualites*(1+Taux_TVA),2)&amp;" € TTC.")</f>
        <v>Soit 0.00 € HT par échéance (12 échéances), 0.00 € TTC.</v>
      </c>
      <c r="C4893" s="46"/>
      <c r="D4893" s="46"/>
      <c r="E4893" s="46"/>
      <c r="F4893" s="46"/>
    </row>
    <row r="4894" customFormat="false" ht="7.5" hidden="false" customHeight="true" outlineLevel="0" collapsed="false">
      <c r="B4894" s="10"/>
      <c r="C4894" s="10"/>
      <c r="D4894" s="10"/>
      <c r="E4894" s="10"/>
      <c r="F4894" s="10"/>
    </row>
    <row r="4895" customFormat="false" ht="36.75" hidden="false" customHeight="true" outlineLevel="0" collapsed="false">
      <c r="B4895" s="37" t="str">
        <f aca="false">SUBSTITUTE(SUBSTITUTE(SUBSTITUTE(SUBSTITUTE(SUBSTITUTE(Txt_P5,"{cabinet}",Cab_Nom),"{societe}",IF($K$4861=0,"",INDEX(Clients!$E$2:$E$501,$K$4861)&amp;"")),"{date_effet}",$K$4863),"{hausse}",$K$4864),"{civilite}",$K$4862)</f>
        <v>Les autres conditions de votre lettre de mission demeurent inchangées. Les nouveaux montants seront appliqués automatiquement sur vos prochaines factures et échéances de prélèvement.</v>
      </c>
      <c r="C4895" s="37"/>
      <c r="D4895" s="37"/>
      <c r="E4895" s="37"/>
      <c r="F4895" s="37"/>
    </row>
    <row r="4896" customFormat="false" ht="36.75" hidden="false" customHeight="true" outlineLevel="0" collapsed="false">
      <c r="B4896" s="37" t="str">
        <f aca="false">SUBSTITUTE(SUBSTITUTE(SUBSTITUTE(SUBSTITUTE(SUBSTITUTE(Txt_P6,"{cabinet}",Cab_Nom),"{societe}",IF($K$4861=0,"",INDEX(Clients!$E$2:$E$501,$K$4861)&amp;"")),"{date_effet}",$K$4863),"{hausse}",$K$4864),"{civilite}",$K$4862)</f>
        <v>Votre interlocuteur habituel reste à votre entière disposition pour répondre à vos questions et faire le point sur l'évolution de vos besoins.</v>
      </c>
      <c r="C4896" s="37"/>
      <c r="D4896" s="37"/>
      <c r="E4896" s="37"/>
      <c r="F4896" s="37"/>
    </row>
    <row r="4897" customFormat="false" ht="24" hidden="false" customHeight="true" outlineLevel="0" collapsed="false">
      <c r="B4897" s="37" t="str">
        <f aca="false">SUBSTITUTE(SUBSTITUTE(SUBSTITUTE(SUBSTITUTE(SUBSTITUTE(Txt_Politesse,"{cabinet}",Cab_Nom),"{societe}",IF($K$4861=0,"",INDEX(Clients!$E$2:$E$501,$K$4861)&amp;"")),"{date_effet}",$K$4863),"{hausse}",$K$4864),"{civilite}",$K$4862)</f>
        <v>Nous vous prions d'agréer, Madame, Monsieur, l'expression de nos salutations distinguées.</v>
      </c>
      <c r="C4897" s="37"/>
      <c r="D4897" s="37"/>
      <c r="E4897" s="37"/>
      <c r="F4897" s="37"/>
    </row>
    <row r="4898" customFormat="false" ht="15" hidden="false" customHeight="false" outlineLevel="0" collapsed="false">
      <c r="B4898" s="10"/>
      <c r="C4898" s="10"/>
      <c r="D4898" s="10"/>
      <c r="E4898" s="10"/>
      <c r="F4898" s="10"/>
    </row>
    <row r="4899" customFormat="false" ht="15" hidden="false" customHeight="false" outlineLevel="0" collapsed="false">
      <c r="B4899" s="10"/>
      <c r="C4899" s="10"/>
      <c r="D4899" s="34" t="str">
        <f aca="false">Signataire</f>
        <v>Prénom NOM</v>
      </c>
      <c r="E4899" s="34"/>
      <c r="F4899" s="34"/>
    </row>
    <row r="4900" customFormat="false" ht="15" hidden="false" customHeight="false" outlineLevel="0" collapsed="false">
      <c r="B4900" s="10"/>
      <c r="C4900" s="10"/>
      <c r="D4900" s="47" t="str">
        <f aca="false">Signataire_Titre</f>
        <v>Expert-comptable associé</v>
      </c>
      <c r="E4900" s="47"/>
      <c r="F4900" s="47"/>
    </row>
    <row r="4901" customFormat="false" ht="15.75" hidden="false" customHeight="true" outlineLevel="0" collapsed="false">
      <c r="B4901" s="10"/>
      <c r="C4901" s="10"/>
      <c r="D4901" s="10"/>
      <c r="E4901" s="10"/>
      <c r="F4901" s="10"/>
    </row>
    <row r="4902" customFormat="false" ht="15.75" hidden="false" customHeight="true" outlineLevel="0" collapsed="false">
      <c r="B4902" s="10"/>
      <c r="C4902" s="10"/>
      <c r="D4902" s="10"/>
      <c r="E4902" s="10"/>
      <c r="F4902" s="10"/>
    </row>
    <row r="4903" customFormat="false" ht="15.75" hidden="false" customHeight="true" outlineLevel="0" collapsed="false">
      <c r="B4903" s="10"/>
      <c r="C4903" s="10"/>
      <c r="D4903" s="10"/>
      <c r="E4903" s="10"/>
      <c r="F4903" s="10"/>
    </row>
    <row r="4904" customFormat="false" ht="15.75" hidden="false" customHeight="true" outlineLevel="0" collapsed="false">
      <c r="B4904" s="10"/>
      <c r="C4904" s="10"/>
      <c r="D4904" s="10"/>
      <c r="E4904" s="10"/>
      <c r="F4904" s="10"/>
    </row>
    <row r="4905" customFormat="false" ht="24" hidden="false" customHeight="true" outlineLevel="0" collapsed="false">
      <c r="B4905" s="48" t="str">
        <f aca="false">Cab_Mentions</f>
        <v>ALTHO EXPERTISE · SAS au capital de 10 000 € · RCS Pontoise 919 706 325 · TVA FR62919706325 · Société d'expertise comptable inscrite au Tableau de l'Ordre des experts-comptables de Paris Île-de-France</v>
      </c>
      <c r="C4905" s="48"/>
      <c r="D4905" s="48"/>
      <c r="E4905" s="48"/>
      <c r="F4905" s="48"/>
    </row>
    <row r="4906" customFormat="false" ht="15" hidden="false" customHeight="false" outlineLevel="0" collapsed="false">
      <c r="B4906" s="10"/>
      <c r="C4906" s="10"/>
      <c r="D4906" s="10"/>
      <c r="E4906" s="10"/>
      <c r="F4906" s="10"/>
      <c r="J4906" s="25" t="s">
        <v>142</v>
      </c>
      <c r="K4906" s="25" t="n">
        <f aca="false">IFERROR(MATCH(110,Clients!$Z$2:$Z$501,0),0)</f>
        <v>0</v>
      </c>
      <c r="L4906" s="25"/>
      <c r="M4906" s="25"/>
      <c r="N4906" s="25"/>
      <c r="O4906" s="25"/>
    </row>
    <row r="4907" customFormat="false" ht="21.75" hidden="false" customHeight="true" outlineLevel="0" collapsed="false">
      <c r="B4907" s="26" t="str">
        <f aca="false">Cab_Nom</f>
        <v>ALTHO EXPERTISE</v>
      </c>
      <c r="C4907" s="26"/>
      <c r="D4907" s="10"/>
      <c r="E4907" s="27" t="str">
        <f aca="false">IF($K$4906=0,"","Réf. client : "&amp;INDEX(Clients!$A$2:$A$501,$K$4906))</f>
        <v/>
      </c>
      <c r="F4907" s="27"/>
      <c r="J4907" s="25" t="s">
        <v>144</v>
      </c>
      <c r="K4907" s="25" t="str">
        <f aca="false">IF(IF($K$4906=0,"",INDEX(Clients!$B$2:$B$501,$K$4906)&amp;"")="Mme","Madame",IF(IF($K$4906=0,"",INDEX(Clients!$B$2:$B$501,$K$4906)&amp;"")="M.","Monsieur","Madame, Monsieur"))</f>
        <v>Madame, Monsieur</v>
      </c>
      <c r="L4907" s="25"/>
      <c r="M4907" s="25"/>
      <c r="N4907" s="25"/>
      <c r="O4907" s="25"/>
    </row>
    <row r="4908" customFormat="false" ht="15" hidden="false" customHeight="false" outlineLevel="0" collapsed="false">
      <c r="B4908" s="29" t="str">
        <f aca="false">Cab_Adr1</f>
        <v>141 rue Charles de Gaulle</v>
      </c>
      <c r="C4908" s="29"/>
      <c r="D4908" s="10"/>
      <c r="E4908" s="10"/>
      <c r="F4908" s="10"/>
      <c r="J4908" s="25" t="s">
        <v>145</v>
      </c>
      <c r="K4908" s="25" t="str">
        <f aca="false">DAY(Date_Effet)&amp;IF(DAY(Date_Effet)=1,"er","")&amp;" "&amp;INDEX(Liste_Mois,MONTH(Date_Effet))&amp;" "&amp;YEAR(Date_Effet)</f>
        <v>1er janvier 2027</v>
      </c>
      <c r="L4908" s="25"/>
      <c r="M4908" s="25"/>
      <c r="N4908" s="25"/>
      <c r="O4908" s="25"/>
    </row>
    <row r="4909" customFormat="false" ht="15" hidden="false" customHeight="false" outlineLevel="0" collapsed="false">
      <c r="B4909" s="29" t="str">
        <f aca="false">Cab_CPVille</f>
        <v>95130 LE PLESSIS-BOUCHARD</v>
      </c>
      <c r="C4909" s="29"/>
      <c r="D4909" s="10"/>
      <c r="E4909" s="10"/>
      <c r="F4909" s="10"/>
      <c r="J4909" s="25" t="s">
        <v>146</v>
      </c>
      <c r="K4909" s="25" t="str">
        <f aca="false">IF(SUM($K$4933:$K$4936)=0,"",FIXED((SUM($L$4933:$L$4936)/SUM($K$4933:$K$4936)-1)*100,1)&amp;" %")</f>
        <v/>
      </c>
      <c r="L4909" s="25"/>
      <c r="M4909" s="25"/>
      <c r="N4909" s="25"/>
      <c r="O4909" s="25"/>
    </row>
    <row r="4910" customFormat="false" ht="15" hidden="false" customHeight="false" outlineLevel="0" collapsed="false">
      <c r="B4910" s="29" t="str">
        <f aca="false">Cab_Contact</f>
        <v>Tél. 01 34 14 53 45  ·  altho@altho-experts.com  ·  altho-experts.com</v>
      </c>
      <c r="C4910" s="29"/>
      <c r="D4910" s="10"/>
      <c r="E4910" s="10"/>
      <c r="F4910" s="10"/>
      <c r="J4910" s="25"/>
      <c r="K4910" s="25"/>
      <c r="L4910" s="25"/>
      <c r="M4910" s="25"/>
      <c r="N4910" s="25"/>
      <c r="O4910" s="25"/>
    </row>
    <row r="4911" customFormat="false" ht="6" hidden="false" customHeight="true" outlineLevel="0" collapsed="false">
      <c r="B4911" s="32"/>
      <c r="C4911" s="32"/>
      <c r="D4911" s="32"/>
      <c r="E4911" s="32"/>
      <c r="F4911" s="32"/>
      <c r="J4911" s="25"/>
      <c r="K4911" s="25"/>
      <c r="L4911" s="25"/>
      <c r="M4911" s="25"/>
      <c r="N4911" s="25"/>
      <c r="O4911" s="25"/>
    </row>
    <row r="4912" customFormat="false" ht="13.5" hidden="false" customHeight="true" outlineLevel="0" collapsed="false">
      <c r="B4912" s="10"/>
      <c r="C4912" s="10"/>
      <c r="D4912" s="10"/>
      <c r="E4912" s="10"/>
      <c r="F4912" s="10"/>
      <c r="J4912" s="25"/>
      <c r="K4912" s="25"/>
      <c r="L4912" s="25"/>
      <c r="M4912" s="25"/>
      <c r="N4912" s="25"/>
      <c r="O4912" s="25"/>
    </row>
    <row r="4913" customFormat="false" ht="13.5" hidden="false" customHeight="true" outlineLevel="0" collapsed="false">
      <c r="B4913" s="10"/>
      <c r="C4913" s="10"/>
      <c r="D4913" s="10"/>
      <c r="E4913" s="10"/>
      <c r="F4913" s="10"/>
      <c r="J4913" s="25"/>
      <c r="K4913" s="25"/>
      <c r="L4913" s="25"/>
      <c r="M4913" s="25"/>
      <c r="N4913" s="25"/>
      <c r="O4913" s="25"/>
    </row>
    <row r="4914" customFormat="false" ht="13.5" hidden="false" customHeight="true" outlineLevel="0" collapsed="false">
      <c r="B4914" s="10"/>
      <c r="C4914" s="10"/>
      <c r="D4914" s="10"/>
      <c r="E4914" s="10"/>
      <c r="F4914" s="10"/>
      <c r="J4914" s="25"/>
      <c r="K4914" s="25"/>
      <c r="L4914" s="25"/>
      <c r="M4914" s="25"/>
      <c r="N4914" s="25"/>
      <c r="O4914" s="25"/>
    </row>
    <row r="4915" customFormat="false" ht="15" hidden="false" customHeight="true" outlineLevel="0" collapsed="false">
      <c r="B4915" s="10"/>
      <c r="C4915" s="10"/>
      <c r="D4915" s="34" t="str">
        <f aca="false">IF($K$4906=0,"",INDEX(Clients!$E$2:$E$501,$K$4906)&amp;"")</f>
        <v/>
      </c>
      <c r="E4915" s="34"/>
      <c r="F4915" s="34"/>
      <c r="J4915" s="25"/>
      <c r="K4915" s="25"/>
      <c r="L4915" s="25"/>
      <c r="M4915" s="25"/>
      <c r="N4915" s="25"/>
      <c r="O4915" s="25"/>
    </row>
    <row r="4916" customFormat="false" ht="15" hidden="false" customHeight="true" outlineLevel="0" collapsed="false">
      <c r="B4916" s="10"/>
      <c r="C4916" s="10"/>
      <c r="D4916" s="35" t="str">
        <f aca="false">IF(IF($K$4906=0,"",INDEX(Clients!$D$2:$D$501,$K$4906)&amp;"")="","","À l'attention de "&amp;TRIM(IF($K$4906=0,"",INDEX(Clients!$B$2:$B$501,$K$4906)&amp;"")&amp;" "&amp;IF($K$4906=0,"",INDEX(Clients!$C$2:$C$501,$K$4906)&amp;"")&amp;" "&amp;IF($K$4906=0,"",INDEX(Clients!$D$2:$D$501,$K$4906)&amp;"")))</f>
        <v/>
      </c>
      <c r="E4916" s="35"/>
      <c r="F4916" s="35"/>
      <c r="J4916" s="25"/>
      <c r="K4916" s="25"/>
      <c r="L4916" s="25"/>
      <c r="M4916" s="25"/>
      <c r="N4916" s="25"/>
      <c r="O4916" s="25"/>
    </row>
    <row r="4917" customFormat="false" ht="15" hidden="false" customHeight="true" outlineLevel="0" collapsed="false">
      <c r="B4917" s="10"/>
      <c r="C4917" s="10"/>
      <c r="D4917" s="35" t="str">
        <f aca="false">IF($K$4906=0,"",INDEX(Clients!$F$2:$F$501,$K$4906)&amp;"")</f>
        <v/>
      </c>
      <c r="E4917" s="35"/>
      <c r="F4917" s="35"/>
      <c r="J4917" s="25"/>
      <c r="K4917" s="25"/>
      <c r="L4917" s="25"/>
      <c r="M4917" s="25"/>
      <c r="N4917" s="25"/>
      <c r="O4917" s="25"/>
    </row>
    <row r="4918" customFormat="false" ht="15" hidden="false" customHeight="true" outlineLevel="0" collapsed="false">
      <c r="B4918" s="10"/>
      <c r="C4918" s="10"/>
      <c r="D4918" s="35" t="str">
        <f aca="false">IF(IF($K$4906=0,"",INDEX(Clients!$G$2:$G$501,$K$4906)&amp;"")="",TRIM(IF($K$4906=0,"",INDEX(Clients!$H$2:$H$501,$K$4906)&amp;"")&amp;" "&amp;UPPER(IF($K$4906=0,"",INDEX(Clients!$I$2:$I$501,$K$4906)&amp;""))),IF($K$4906=0,"",INDEX(Clients!$G$2:$G$501,$K$4906)&amp;""))</f>
        <v/>
      </c>
      <c r="E4918" s="35"/>
      <c r="F4918" s="35"/>
      <c r="J4918" s="25"/>
      <c r="K4918" s="25"/>
      <c r="L4918" s="25"/>
      <c r="M4918" s="25"/>
      <c r="N4918" s="25"/>
      <c r="O4918" s="25"/>
    </row>
    <row r="4919" customFormat="false" ht="15" hidden="false" customHeight="true" outlineLevel="0" collapsed="false">
      <c r="B4919" s="10"/>
      <c r="C4919" s="10"/>
      <c r="D4919" s="35" t="str">
        <f aca="false">IF(IF($K$4906=0,"",INDEX(Clients!$G$2:$G$501,$K$4906)&amp;"")="","",TRIM(IF($K$4906=0,"",INDEX(Clients!$H$2:$H$501,$K$4906)&amp;"")&amp;" "&amp;UPPER(IF($K$4906=0,"",INDEX(Clients!$I$2:$I$501,$K$4906)&amp;""))))</f>
        <v/>
      </c>
      <c r="E4919" s="35"/>
      <c r="F4919" s="35"/>
      <c r="J4919" s="25"/>
      <c r="K4919" s="25"/>
      <c r="L4919" s="25"/>
      <c r="M4919" s="25"/>
      <c r="N4919" s="25"/>
      <c r="O4919" s="25"/>
    </row>
    <row r="4920" customFormat="false" ht="25.5" hidden="false" customHeight="true" outlineLevel="0" collapsed="false">
      <c r="B4920" s="10"/>
      <c r="C4920" s="10"/>
      <c r="D4920" s="10"/>
      <c r="E4920" s="10"/>
      <c r="F4920" s="10"/>
      <c r="J4920" s="25"/>
      <c r="K4920" s="25"/>
      <c r="L4920" s="25"/>
      <c r="M4920" s="25"/>
      <c r="N4920" s="25"/>
      <c r="O4920" s="25"/>
    </row>
    <row r="4921" customFormat="false" ht="15" hidden="false" customHeight="false" outlineLevel="0" collapsed="false">
      <c r="B4921" s="10"/>
      <c r="C4921" s="10"/>
      <c r="D4921" s="36" t="str">
        <f aca="false">Cab_Ville&amp;", le "&amp;DAY(Date_Courrier)&amp;IF(DAY(Date_Courrier)=1,"er","")&amp;" "&amp;INDEX(Liste_Mois,MONTH(Date_Courrier))&amp;" "&amp;YEAR(Date_Courrier)</f>
        <v>Le Plessis-Bouchard, le 22 septembre 2026</v>
      </c>
      <c r="E4921" s="36"/>
      <c r="F4921" s="36"/>
      <c r="J4921" s="25"/>
      <c r="K4921" s="25"/>
      <c r="L4921" s="25"/>
      <c r="M4921" s="25"/>
      <c r="N4921" s="25"/>
      <c r="O4921" s="25"/>
    </row>
    <row r="4922" customFormat="false" ht="19.5" hidden="false" customHeight="true" outlineLevel="0" collapsed="false">
      <c r="B4922" s="10"/>
      <c r="C4922" s="10"/>
      <c r="D4922" s="10"/>
      <c r="E4922" s="10"/>
      <c r="F4922" s="10"/>
      <c r="J4922" s="25"/>
      <c r="K4922" s="25"/>
      <c r="L4922" s="25"/>
      <c r="M4922" s="25"/>
      <c r="N4922" s="25"/>
      <c r="O4922" s="25"/>
    </row>
    <row r="4923" customFormat="false" ht="15" hidden="false" customHeight="false" outlineLevel="0" collapsed="false">
      <c r="B4923" s="34" t="str">
        <f aca="false">SUBSTITUTE(SUBSTITUTE(SUBSTITUTE(SUBSTITUTE(SUBSTITUTE(Txt_Objet,"{cabinet}",Cab_Nom),"{societe}",IF($K$4906=0,"",INDEX(Clients!$E$2:$E$501,$K$4906)&amp;"")),"{date_effet}",$K$4908),"{hausse}",$K$4909),"{civilite}",$K$4907)</f>
        <v>Objet : révision de nos honoraires au 1er janvier 2027</v>
      </c>
      <c r="C4923" s="34"/>
      <c r="D4923" s="34"/>
      <c r="E4923" s="34"/>
      <c r="F4923" s="34"/>
      <c r="J4923" s="25"/>
      <c r="K4923" s="25"/>
      <c r="L4923" s="25"/>
      <c r="M4923" s="25"/>
      <c r="N4923" s="25"/>
      <c r="O4923" s="25"/>
    </row>
    <row r="4924" customFormat="false" ht="13.5" hidden="false" customHeight="true" outlineLevel="0" collapsed="false">
      <c r="B4924" s="10"/>
      <c r="C4924" s="10"/>
      <c r="D4924" s="10"/>
      <c r="E4924" s="10"/>
      <c r="F4924" s="10"/>
      <c r="J4924" s="25"/>
      <c r="K4924" s="25"/>
      <c r="L4924" s="25"/>
      <c r="M4924" s="25"/>
      <c r="N4924" s="25"/>
      <c r="O4924" s="25"/>
    </row>
    <row r="4925" customFormat="false" ht="15" hidden="false" customHeight="false" outlineLevel="0" collapsed="false">
      <c r="B4925" s="10" t="str">
        <f aca="false">$K$4907&amp;","</f>
        <v>Madame, Monsieur,</v>
      </c>
      <c r="C4925" s="10"/>
      <c r="D4925" s="10"/>
      <c r="E4925" s="10"/>
      <c r="F4925" s="10"/>
      <c r="J4925" s="25"/>
      <c r="K4925" s="25"/>
      <c r="L4925" s="25"/>
      <c r="M4925" s="25"/>
      <c r="N4925" s="25"/>
      <c r="O4925" s="25"/>
    </row>
    <row r="4926" customFormat="false" ht="6" hidden="false" customHeight="true" outlineLevel="0" collapsed="false">
      <c r="B4926" s="10"/>
      <c r="C4926" s="10"/>
      <c r="D4926" s="10"/>
      <c r="E4926" s="10"/>
      <c r="F4926" s="10"/>
      <c r="J4926" s="25"/>
      <c r="K4926" s="25"/>
      <c r="L4926" s="25"/>
      <c r="M4926" s="25"/>
      <c r="N4926" s="25"/>
      <c r="O4926" s="25"/>
    </row>
    <row r="4927" customFormat="false" ht="36.75" hidden="false" customHeight="true" outlineLevel="0" collapsed="false">
      <c r="B4927" s="37" t="str">
        <f aca="false">SUBSTITUTE(SUBSTITUTE(SUBSTITUTE(SUBSTITUTE(SUBSTITUTE(Txt_P1,"{cabinet}",Cab_Nom),"{societe}",IF($K$4906=0,"",INDEX(Clients!$E$2:$E$501,$K$4906)&amp;"")),"{date_effet}",$K$4908),"{hausse}",$K$4909),"{civilite}",$K$4907)</f>
        <v>Nous tenons tout d'abord à vous remercier pour la confiance que vous accordez à ALTHO EXPERTISE. Comme chaque année, et conformément aux dispositions de votre lettre de mission, nous procédons à la révision de nos honoraires.</v>
      </c>
      <c r="C4927" s="37"/>
      <c r="D4927" s="37"/>
      <c r="E4927" s="37"/>
      <c r="F4927" s="37"/>
      <c r="J4927" s="25"/>
      <c r="K4927" s="25"/>
      <c r="L4927" s="25"/>
      <c r="M4927" s="25"/>
      <c r="N4927" s="25"/>
      <c r="O4927" s="25"/>
    </row>
    <row r="4928" customFormat="false" ht="49.5" hidden="false" customHeight="true" outlineLevel="0" collapsed="false">
      <c r="B4928" s="37" t="str">
        <f aca="false">SUBSTITUTE(SUBSTITUTE(SUBSTITUTE(SUBSTITUTE(SUBSTITUTE(Txt_P2,"{cabinet}",Cab_Nom),"{societe}",IF($K$4906=0,"",INDEX(Clients!$E$2:$E$501,$K$4906)&amp;"")),"{date_effet}",$K$4908),"{hausse}",$K$4909),"{civilite}",$K$4907)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928" s="37"/>
      <c r="D4928" s="37"/>
      <c r="E4928" s="37"/>
      <c r="F4928" s="37"/>
      <c r="J4928" s="25"/>
      <c r="K4928" s="25"/>
      <c r="L4928" s="25"/>
      <c r="M4928" s="25"/>
      <c r="N4928" s="25"/>
      <c r="O4928" s="25"/>
    </row>
    <row r="4929" customFormat="false" ht="63" hidden="false" customHeight="true" outlineLevel="0" collapsed="false">
      <c r="B4929" s="37" t="str">
        <f aca="false">SUBSTITUTE(SUBSTITUTE(SUBSTITUTE(SUBSTITUTE(SUBSTITUTE(Txt_P3,"{cabinet}",Cab_Nom),"{societe}",IF($K$4906=0,"",INDEX(Clients!$E$2:$E$501,$K$4906)&amp;"")),"{date_effet}",$K$4908),"{hausse}",$K$4909),"{civilite}",$K$4907)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929" s="37"/>
      <c r="D4929" s="37"/>
      <c r="E4929" s="37"/>
      <c r="F4929" s="37"/>
      <c r="J4929" s="25"/>
      <c r="K4929" s="25"/>
      <c r="L4929" s="25"/>
      <c r="M4929" s="25"/>
      <c r="N4929" s="25"/>
      <c r="O4929" s="25"/>
    </row>
    <row r="4930" customFormat="false" ht="24" hidden="false" customHeight="true" outlineLevel="0" collapsed="false">
      <c r="B4930" s="37" t="str">
        <f aca="false">SUBSTITUTE(SUBSTITUTE(SUBSTITUTE(SUBSTITUTE(SUBSTITUTE(Txt_P4,"{cabinet}",Cab_Nom),"{societe}",IF($K$4906=0,"",INDEX(Clients!$E$2:$E$501,$K$4906)&amp;"")),"{date_effet}",$K$4908),"{hausse}",$K$4909),"{civilite}",$K$4907)</f>
        <v>À compter du 1er janvier 2027, vos honoraires annuels hors taxes évolueront ainsi (évolution globale : ) :</v>
      </c>
      <c r="C4930" s="37"/>
      <c r="D4930" s="37"/>
      <c r="E4930" s="37"/>
      <c r="F4930" s="37"/>
      <c r="J4930" s="25"/>
      <c r="K4930" s="25"/>
      <c r="L4930" s="25"/>
      <c r="M4930" s="25"/>
      <c r="N4930" s="25"/>
      <c r="O4930" s="25"/>
    </row>
    <row r="4931" customFormat="false" ht="3.75" hidden="false" customHeight="true" outlineLevel="0" collapsed="false">
      <c r="B4931" s="10"/>
      <c r="C4931" s="10"/>
      <c r="D4931" s="10"/>
      <c r="E4931" s="10"/>
      <c r="F4931" s="10"/>
      <c r="J4931" s="25"/>
      <c r="K4931" s="25"/>
      <c r="L4931" s="25"/>
      <c r="M4931" s="25"/>
      <c r="N4931" s="25"/>
      <c r="O4931" s="25"/>
    </row>
    <row r="4932" customFormat="false" ht="18" hidden="false" customHeight="true" outlineLevel="0" collapsed="false">
      <c r="B4932" s="38" t="s">
        <v>148</v>
      </c>
      <c r="C4932" s="39" t="s">
        <v>149</v>
      </c>
      <c r="D4932" s="39" t="s">
        <v>150</v>
      </c>
      <c r="E4932" s="39" t="s">
        <v>151</v>
      </c>
      <c r="F4932" s="39" t="s">
        <v>109</v>
      </c>
      <c r="J4932" s="25" t="s">
        <v>152</v>
      </c>
      <c r="K4932" s="25" t="s">
        <v>153</v>
      </c>
      <c r="L4932" s="25" t="s">
        <v>154</v>
      </c>
      <c r="M4932" s="25" t="s">
        <v>155</v>
      </c>
      <c r="N4932" s="25" t="s">
        <v>156</v>
      </c>
      <c r="O4932" s="25" t="s">
        <v>157</v>
      </c>
    </row>
    <row r="4933" customFormat="false" ht="16.5" hidden="false" customHeight="true" outlineLevel="0" collapsed="false">
      <c r="B4933" s="40" t="str">
        <f aca="false">IFERROR(INDEX($J$4933:$J$4936,MATCH($O4933,$N$4933:$N$4936,0)),"")</f>
        <v/>
      </c>
      <c r="C4933" s="41" t="str">
        <f aca="false">IFERROR(INDEX($K$4933:$K$4936,MATCH($O4933,$N$4933:$N$4936,0)),"")</f>
        <v/>
      </c>
      <c r="D4933" s="42" t="str">
        <f aca="false">IF(OR(E4933="",N(C4933)=0),"",E4933/C4933-1)</f>
        <v/>
      </c>
      <c r="E4933" s="41" t="str">
        <f aca="false">IFERROR(INDEX($L$4933:$L$4936,MATCH($O4933,$N$4933:$N$4936,0)),"")</f>
        <v/>
      </c>
      <c r="F4933" s="41" t="str">
        <f aca="false">IF(E4933="","",E4933-C4933)</f>
        <v/>
      </c>
      <c r="J4933" s="25" t="str">
        <f aca="false">Lib_Compta</f>
        <v>Mission comptable (tenue, révision, bilan, liasse fiscale)</v>
      </c>
      <c r="K4933" s="25" t="n">
        <f aca="false">IF($K$4906=0,0,N(INDEX(Clients!$K$2:$K$501,$K$4906)))</f>
        <v>0</v>
      </c>
      <c r="L4933" s="25" t="n">
        <f aca="false">IF($K$4906=0,0,N(INDEX(Clients!$P$2:$P$501,$K$4906)))</f>
        <v>0</v>
      </c>
      <c r="M4933" s="25" t="n">
        <f aca="false">IF(OR(K4933&lt;&gt;0,L4933&lt;&gt;0),1,0)</f>
        <v>0</v>
      </c>
      <c r="N4933" s="25" t="str">
        <f aca="false">IF(M4933=1,SUM($M$4933:M4933),"")</f>
        <v/>
      </c>
      <c r="O4933" s="25" t="n">
        <v>1</v>
      </c>
    </row>
    <row r="4934" customFormat="false" ht="16.5" hidden="false" customHeight="true" outlineLevel="0" collapsed="false">
      <c r="B4934" s="40" t="str">
        <f aca="false">IFERROR(INDEX($J$4933:$J$4936,MATCH($O4934,$N$4933:$N$4936,0)),"")</f>
        <v/>
      </c>
      <c r="C4934" s="41" t="str">
        <f aca="false">IFERROR(INDEX($K$4933:$K$4936,MATCH($O4934,$N$4933:$N$4936,0)),"")</f>
        <v/>
      </c>
      <c r="D4934" s="42" t="str">
        <f aca="false">IF(OR(E4934="",N(C4934)=0),"",E4934/C4934-1)</f>
        <v/>
      </c>
      <c r="E4934" s="41" t="str">
        <f aca="false">IFERROR(INDEX($L$4933:$L$4936,MATCH($O4934,$N$4933:$N$4936,0)),"")</f>
        <v/>
      </c>
      <c r="F4934" s="41" t="str">
        <f aca="false">IF(E4934="","",E4934-C4934)</f>
        <v/>
      </c>
      <c r="J4934" s="25" t="str">
        <f aca="false">Lib_Paye</f>
        <v>Mission sociale (bulletins de paie, DSN, déclarations sociales)</v>
      </c>
      <c r="K4934" s="25" t="n">
        <f aca="false">IF($K$4906=0,0,N(INDEX(Clients!$L$2:$L$501,$K$4906)))</f>
        <v>0</v>
      </c>
      <c r="L4934" s="25" t="n">
        <f aca="false">IF($K$4906=0,0,N(INDEX(Clients!$Q$2:$Q$501,$K$4906)))</f>
        <v>0</v>
      </c>
      <c r="M4934" s="25" t="n">
        <f aca="false">IF(OR(K4934&lt;&gt;0,L4934&lt;&gt;0),1,0)</f>
        <v>0</v>
      </c>
      <c r="N4934" s="25" t="str">
        <f aca="false">IF(M4934=1,SUM($M$4933:M4934),"")</f>
        <v/>
      </c>
      <c r="O4934" s="25" t="n">
        <v>2</v>
      </c>
    </row>
    <row r="4935" customFormat="false" ht="16.5" hidden="false" customHeight="true" outlineLevel="0" collapsed="false">
      <c r="B4935" s="40" t="str">
        <f aca="false">IFERROR(INDEX($J$4933:$J$4936,MATCH($O4935,$N$4933:$N$4936,0)),"")</f>
        <v/>
      </c>
      <c r="C4935" s="41" t="str">
        <f aca="false">IFERROR(INDEX($K$4933:$K$4936,MATCH($O4935,$N$4933:$N$4936,0)),"")</f>
        <v/>
      </c>
      <c r="D4935" s="42" t="str">
        <f aca="false">IF(OR(E4935="",N(C4935)=0),"",E4935/C4935-1)</f>
        <v/>
      </c>
      <c r="E4935" s="41" t="str">
        <f aca="false">IFERROR(INDEX($L$4933:$L$4936,MATCH($O4935,$N$4933:$N$4936,0)),"")</f>
        <v/>
      </c>
      <c r="F4935" s="41" t="str">
        <f aca="false">IF(E4935="","",E4935-C4935)</f>
        <v/>
      </c>
      <c r="J4935" s="25" t="str">
        <f aca="false">Lib_Jur</f>
        <v>Mission juridique (approbation des comptes, secrétariat juridique)</v>
      </c>
      <c r="K4935" s="25" t="n">
        <f aca="false">IF($K$4906=0,0,N(INDEX(Clients!$M$2:$M$501,$K$4906)))</f>
        <v>0</v>
      </c>
      <c r="L4935" s="25" t="n">
        <f aca="false">IF($K$4906=0,0,N(INDEX(Clients!$R$2:$R$501,$K$4906)))</f>
        <v>0</v>
      </c>
      <c r="M4935" s="25" t="n">
        <f aca="false">IF(OR(K4935&lt;&gt;0,L4935&lt;&gt;0),1,0)</f>
        <v>0</v>
      </c>
      <c r="N4935" s="25" t="str">
        <f aca="false">IF(M4935=1,SUM($M$4933:M4935),"")</f>
        <v/>
      </c>
      <c r="O4935" s="25" t="n">
        <v>3</v>
      </c>
    </row>
    <row r="4936" customFormat="false" ht="16.5" hidden="false" customHeight="true" outlineLevel="0" collapsed="false">
      <c r="B4936" s="40" t="str">
        <f aca="false">IFERROR(INDEX($J$4933:$J$4936,MATCH($O4936,$N$4933:$N$4936,0)),"")</f>
        <v/>
      </c>
      <c r="C4936" s="41" t="str">
        <f aca="false">IFERROR(INDEX($K$4933:$K$4936,MATCH($O4936,$N$4933:$N$4936,0)),"")</f>
        <v/>
      </c>
      <c r="D4936" s="42" t="str">
        <f aca="false">IF(OR(E4936="",N(C4936)=0),"",E4936/C4936-1)</f>
        <v/>
      </c>
      <c r="E4936" s="41" t="str">
        <f aca="false">IFERROR(INDEX($L$4933:$L$4936,MATCH($O4936,$N$4933:$N$4936,0)),"")</f>
        <v/>
      </c>
      <c r="F4936" s="41" t="str">
        <f aca="false">IF(E4936="","",E4936-C4936)</f>
        <v/>
      </c>
      <c r="J4936" s="25" t="str">
        <f aca="false">Lib_PA</f>
        <v>Plateforme agréée – facturation électronique</v>
      </c>
      <c r="K4936" s="25" t="n">
        <f aca="false">IF($K$4906=0,0,N(INDEX(Clients!$N$2:$N$501,$K$4906)))</f>
        <v>0</v>
      </c>
      <c r="L4936" s="25" t="n">
        <f aca="false">IF($K$4906=0,0,N(INDEX(Clients!$S$2:$S$501,$K$4906)))</f>
        <v>0</v>
      </c>
      <c r="M4936" s="25" t="n">
        <f aca="false">IF(OR(K4936&lt;&gt;0,L4936&lt;&gt;0),1,0)</f>
        <v>0</v>
      </c>
      <c r="N4936" s="25" t="str">
        <f aca="false">IF(M4936=1,SUM($M$4933:M4936),"")</f>
        <v/>
      </c>
      <c r="O4936" s="25" t="n">
        <v>4</v>
      </c>
    </row>
    <row r="4937" customFormat="false" ht="18" hidden="false" customHeight="true" outlineLevel="0" collapsed="false">
      <c r="B4937" s="43" t="s">
        <v>158</v>
      </c>
      <c r="C4937" s="44" t="n">
        <f aca="false">SUM(K4933:K4936)</f>
        <v>0</v>
      </c>
      <c r="D4937" s="45" t="str">
        <f aca="false">IF(N(C4937)=0,"",E4937/C4937-1)</f>
        <v/>
      </c>
      <c r="E4937" s="44" t="n">
        <f aca="false">SUM(L4933:L4936)</f>
        <v>0</v>
      </c>
      <c r="F4937" s="44" t="n">
        <f aca="false">E4937-C4937</f>
        <v>0</v>
      </c>
    </row>
    <row r="4938" customFormat="false" ht="15" hidden="false" customHeight="false" outlineLevel="0" collapsed="false">
      <c r="B4938" s="46" t="str">
        <f aca="false">IF(N(Nb_Mensualites)=0,"","Soit "&amp;FIXED(E4937/Nb_Mensualites,2)&amp;" € HT par échéance ("&amp;Nb_Mensualites&amp;" échéances), "&amp;FIXED(E4937/Nb_Mensualites*(1+Taux_TVA),2)&amp;" € TTC.")</f>
        <v>Soit 0.00 € HT par échéance (12 échéances), 0.00 € TTC.</v>
      </c>
      <c r="C4938" s="46"/>
      <c r="D4938" s="46"/>
      <c r="E4938" s="46"/>
      <c r="F4938" s="46"/>
    </row>
    <row r="4939" customFormat="false" ht="7.5" hidden="false" customHeight="true" outlineLevel="0" collapsed="false">
      <c r="B4939" s="10"/>
      <c r="C4939" s="10"/>
      <c r="D4939" s="10"/>
      <c r="E4939" s="10"/>
      <c r="F4939" s="10"/>
    </row>
    <row r="4940" customFormat="false" ht="36.75" hidden="false" customHeight="true" outlineLevel="0" collapsed="false">
      <c r="B4940" s="37" t="str">
        <f aca="false">SUBSTITUTE(SUBSTITUTE(SUBSTITUTE(SUBSTITUTE(SUBSTITUTE(Txt_P5,"{cabinet}",Cab_Nom),"{societe}",IF($K$4906=0,"",INDEX(Clients!$E$2:$E$501,$K$4906)&amp;"")),"{date_effet}",$K$4908),"{hausse}",$K$4909),"{civilite}",$K$4907)</f>
        <v>Les autres conditions de votre lettre de mission demeurent inchangées. Les nouveaux montants seront appliqués automatiquement sur vos prochaines factures et échéances de prélèvement.</v>
      </c>
      <c r="C4940" s="37"/>
      <c r="D4940" s="37"/>
      <c r="E4940" s="37"/>
      <c r="F4940" s="37"/>
    </row>
    <row r="4941" customFormat="false" ht="36.75" hidden="false" customHeight="true" outlineLevel="0" collapsed="false">
      <c r="B4941" s="37" t="str">
        <f aca="false">SUBSTITUTE(SUBSTITUTE(SUBSTITUTE(SUBSTITUTE(SUBSTITUTE(Txt_P6,"{cabinet}",Cab_Nom),"{societe}",IF($K$4906=0,"",INDEX(Clients!$E$2:$E$501,$K$4906)&amp;"")),"{date_effet}",$K$4908),"{hausse}",$K$4909),"{civilite}",$K$4907)</f>
        <v>Votre interlocuteur habituel reste à votre entière disposition pour répondre à vos questions et faire le point sur l'évolution de vos besoins.</v>
      </c>
      <c r="C4941" s="37"/>
      <c r="D4941" s="37"/>
      <c r="E4941" s="37"/>
      <c r="F4941" s="37"/>
    </row>
    <row r="4942" customFormat="false" ht="24" hidden="false" customHeight="true" outlineLevel="0" collapsed="false">
      <c r="B4942" s="37" t="str">
        <f aca="false">SUBSTITUTE(SUBSTITUTE(SUBSTITUTE(SUBSTITUTE(SUBSTITUTE(Txt_Politesse,"{cabinet}",Cab_Nom),"{societe}",IF($K$4906=0,"",INDEX(Clients!$E$2:$E$501,$K$4906)&amp;"")),"{date_effet}",$K$4908),"{hausse}",$K$4909),"{civilite}",$K$4907)</f>
        <v>Nous vous prions d'agréer, Madame, Monsieur, l'expression de nos salutations distinguées.</v>
      </c>
      <c r="C4942" s="37"/>
      <c r="D4942" s="37"/>
      <c r="E4942" s="37"/>
      <c r="F4942" s="37"/>
    </row>
    <row r="4943" customFormat="false" ht="15" hidden="false" customHeight="false" outlineLevel="0" collapsed="false">
      <c r="B4943" s="10"/>
      <c r="C4943" s="10"/>
      <c r="D4943" s="10"/>
      <c r="E4943" s="10"/>
      <c r="F4943" s="10"/>
    </row>
    <row r="4944" customFormat="false" ht="15" hidden="false" customHeight="false" outlineLevel="0" collapsed="false">
      <c r="B4944" s="10"/>
      <c r="C4944" s="10"/>
      <c r="D4944" s="34" t="str">
        <f aca="false">Signataire</f>
        <v>Prénom NOM</v>
      </c>
      <c r="E4944" s="34"/>
      <c r="F4944" s="34"/>
    </row>
    <row r="4945" customFormat="false" ht="15" hidden="false" customHeight="false" outlineLevel="0" collapsed="false">
      <c r="B4945" s="10"/>
      <c r="C4945" s="10"/>
      <c r="D4945" s="47" t="str">
        <f aca="false">Signataire_Titre</f>
        <v>Expert-comptable associé</v>
      </c>
      <c r="E4945" s="47"/>
      <c r="F4945" s="47"/>
    </row>
    <row r="4946" customFormat="false" ht="15.75" hidden="false" customHeight="true" outlineLevel="0" collapsed="false">
      <c r="B4946" s="10"/>
      <c r="C4946" s="10"/>
      <c r="D4946" s="10"/>
      <c r="E4946" s="10"/>
      <c r="F4946" s="10"/>
    </row>
    <row r="4947" customFormat="false" ht="15.75" hidden="false" customHeight="true" outlineLevel="0" collapsed="false">
      <c r="B4947" s="10"/>
      <c r="C4947" s="10"/>
      <c r="D4947" s="10"/>
      <c r="E4947" s="10"/>
      <c r="F4947" s="10"/>
    </row>
    <row r="4948" customFormat="false" ht="15.75" hidden="false" customHeight="true" outlineLevel="0" collapsed="false">
      <c r="B4948" s="10"/>
      <c r="C4948" s="10"/>
      <c r="D4948" s="10"/>
      <c r="E4948" s="10"/>
      <c r="F4948" s="10"/>
    </row>
    <row r="4949" customFormat="false" ht="15.75" hidden="false" customHeight="true" outlineLevel="0" collapsed="false">
      <c r="B4949" s="10"/>
      <c r="C4949" s="10"/>
      <c r="D4949" s="10"/>
      <c r="E4949" s="10"/>
      <c r="F4949" s="10"/>
    </row>
    <row r="4950" customFormat="false" ht="24" hidden="false" customHeight="true" outlineLevel="0" collapsed="false">
      <c r="B4950" s="48" t="str">
        <f aca="false">Cab_Mentions</f>
        <v>ALTHO EXPERTISE · SAS au capital de 10 000 € · RCS Pontoise 919 706 325 · TVA FR62919706325 · Société d'expertise comptable inscrite au Tableau de l'Ordre des experts-comptables de Paris Île-de-France</v>
      </c>
      <c r="C4950" s="48"/>
      <c r="D4950" s="48"/>
      <c r="E4950" s="48"/>
      <c r="F4950" s="48"/>
    </row>
    <row r="4951" customFormat="false" ht="15" hidden="false" customHeight="false" outlineLevel="0" collapsed="false">
      <c r="B4951" s="10"/>
      <c r="C4951" s="10"/>
      <c r="D4951" s="10"/>
      <c r="E4951" s="10"/>
      <c r="F4951" s="10"/>
      <c r="J4951" s="25" t="s">
        <v>142</v>
      </c>
      <c r="K4951" s="25" t="n">
        <f aca="false">IFERROR(MATCH(111,Clients!$Z$2:$Z$501,0),0)</f>
        <v>0</v>
      </c>
      <c r="L4951" s="25"/>
      <c r="M4951" s="25"/>
      <c r="N4951" s="25"/>
      <c r="O4951" s="25"/>
    </row>
    <row r="4952" customFormat="false" ht="21.75" hidden="false" customHeight="true" outlineLevel="0" collapsed="false">
      <c r="B4952" s="26" t="str">
        <f aca="false">Cab_Nom</f>
        <v>ALTHO EXPERTISE</v>
      </c>
      <c r="C4952" s="26"/>
      <c r="D4952" s="10"/>
      <c r="E4952" s="27" t="str">
        <f aca="false">IF($K$4951=0,"","Réf. client : "&amp;INDEX(Clients!$A$2:$A$501,$K$4951))</f>
        <v/>
      </c>
      <c r="F4952" s="27"/>
      <c r="J4952" s="25" t="s">
        <v>144</v>
      </c>
      <c r="K4952" s="25" t="str">
        <f aca="false">IF(IF($K$4951=0,"",INDEX(Clients!$B$2:$B$501,$K$4951)&amp;"")="Mme","Madame",IF(IF($K$4951=0,"",INDEX(Clients!$B$2:$B$501,$K$4951)&amp;"")="M.","Monsieur","Madame, Monsieur"))</f>
        <v>Madame, Monsieur</v>
      </c>
      <c r="L4952" s="25"/>
      <c r="M4952" s="25"/>
      <c r="N4952" s="25"/>
      <c r="O4952" s="25"/>
    </row>
    <row r="4953" customFormat="false" ht="15" hidden="false" customHeight="false" outlineLevel="0" collapsed="false">
      <c r="B4953" s="29" t="str">
        <f aca="false">Cab_Adr1</f>
        <v>141 rue Charles de Gaulle</v>
      </c>
      <c r="C4953" s="29"/>
      <c r="D4953" s="10"/>
      <c r="E4953" s="10"/>
      <c r="F4953" s="10"/>
      <c r="J4953" s="25" t="s">
        <v>145</v>
      </c>
      <c r="K4953" s="25" t="str">
        <f aca="false">DAY(Date_Effet)&amp;IF(DAY(Date_Effet)=1,"er","")&amp;" "&amp;INDEX(Liste_Mois,MONTH(Date_Effet))&amp;" "&amp;YEAR(Date_Effet)</f>
        <v>1er janvier 2027</v>
      </c>
      <c r="L4953" s="25"/>
      <c r="M4953" s="25"/>
      <c r="N4953" s="25"/>
      <c r="O4953" s="25"/>
    </row>
    <row r="4954" customFormat="false" ht="15" hidden="false" customHeight="false" outlineLevel="0" collapsed="false">
      <c r="B4954" s="29" t="str">
        <f aca="false">Cab_CPVille</f>
        <v>95130 LE PLESSIS-BOUCHARD</v>
      </c>
      <c r="C4954" s="29"/>
      <c r="D4954" s="10"/>
      <c r="E4954" s="10"/>
      <c r="F4954" s="10"/>
      <c r="J4954" s="25" t="s">
        <v>146</v>
      </c>
      <c r="K4954" s="25" t="str">
        <f aca="false">IF(SUM($K$4978:$K$4981)=0,"",FIXED((SUM($L$4978:$L$4981)/SUM($K$4978:$K$4981)-1)*100,1)&amp;" %")</f>
        <v/>
      </c>
      <c r="L4954" s="25"/>
      <c r="M4954" s="25"/>
      <c r="N4954" s="25"/>
      <c r="O4954" s="25"/>
    </row>
    <row r="4955" customFormat="false" ht="15" hidden="false" customHeight="false" outlineLevel="0" collapsed="false">
      <c r="B4955" s="29" t="str">
        <f aca="false">Cab_Contact</f>
        <v>Tél. 01 34 14 53 45  ·  altho@altho-experts.com  ·  altho-experts.com</v>
      </c>
      <c r="C4955" s="29"/>
      <c r="D4955" s="10"/>
      <c r="E4955" s="10"/>
      <c r="F4955" s="10"/>
      <c r="J4955" s="25"/>
      <c r="K4955" s="25"/>
      <c r="L4955" s="25"/>
      <c r="M4955" s="25"/>
      <c r="N4955" s="25"/>
      <c r="O4955" s="25"/>
    </row>
    <row r="4956" customFormat="false" ht="6" hidden="false" customHeight="true" outlineLevel="0" collapsed="false">
      <c r="B4956" s="32"/>
      <c r="C4956" s="32"/>
      <c r="D4956" s="32"/>
      <c r="E4956" s="32"/>
      <c r="F4956" s="32"/>
      <c r="J4956" s="25"/>
      <c r="K4956" s="25"/>
      <c r="L4956" s="25"/>
      <c r="M4956" s="25"/>
      <c r="N4956" s="25"/>
      <c r="O4956" s="25"/>
    </row>
    <row r="4957" customFormat="false" ht="13.5" hidden="false" customHeight="true" outlineLevel="0" collapsed="false">
      <c r="B4957" s="10"/>
      <c r="C4957" s="10"/>
      <c r="D4957" s="10"/>
      <c r="E4957" s="10"/>
      <c r="F4957" s="10"/>
      <c r="J4957" s="25"/>
      <c r="K4957" s="25"/>
      <c r="L4957" s="25"/>
      <c r="M4957" s="25"/>
      <c r="N4957" s="25"/>
      <c r="O4957" s="25"/>
    </row>
    <row r="4958" customFormat="false" ht="13.5" hidden="false" customHeight="true" outlineLevel="0" collapsed="false">
      <c r="B4958" s="10"/>
      <c r="C4958" s="10"/>
      <c r="D4958" s="10"/>
      <c r="E4958" s="10"/>
      <c r="F4958" s="10"/>
      <c r="J4958" s="25"/>
      <c r="K4958" s="25"/>
      <c r="L4958" s="25"/>
      <c r="M4958" s="25"/>
      <c r="N4958" s="25"/>
      <c r="O4958" s="25"/>
    </row>
    <row r="4959" customFormat="false" ht="13.5" hidden="false" customHeight="true" outlineLevel="0" collapsed="false">
      <c r="B4959" s="10"/>
      <c r="C4959" s="10"/>
      <c r="D4959" s="10"/>
      <c r="E4959" s="10"/>
      <c r="F4959" s="10"/>
      <c r="J4959" s="25"/>
      <c r="K4959" s="25"/>
      <c r="L4959" s="25"/>
      <c r="M4959" s="25"/>
      <c r="N4959" s="25"/>
      <c r="O4959" s="25"/>
    </row>
    <row r="4960" customFormat="false" ht="15" hidden="false" customHeight="true" outlineLevel="0" collapsed="false">
      <c r="B4960" s="10"/>
      <c r="C4960" s="10"/>
      <c r="D4960" s="34" t="str">
        <f aca="false">IF($K$4951=0,"",INDEX(Clients!$E$2:$E$501,$K$4951)&amp;"")</f>
        <v/>
      </c>
      <c r="E4960" s="34"/>
      <c r="F4960" s="34"/>
      <c r="J4960" s="25"/>
      <c r="K4960" s="25"/>
      <c r="L4960" s="25"/>
      <c r="M4960" s="25"/>
      <c r="N4960" s="25"/>
      <c r="O4960" s="25"/>
    </row>
    <row r="4961" customFormat="false" ht="15" hidden="false" customHeight="true" outlineLevel="0" collapsed="false">
      <c r="B4961" s="10"/>
      <c r="C4961" s="10"/>
      <c r="D4961" s="35" t="str">
        <f aca="false">IF(IF($K$4951=0,"",INDEX(Clients!$D$2:$D$501,$K$4951)&amp;"")="","","À l'attention de "&amp;TRIM(IF($K$4951=0,"",INDEX(Clients!$B$2:$B$501,$K$4951)&amp;"")&amp;" "&amp;IF($K$4951=0,"",INDEX(Clients!$C$2:$C$501,$K$4951)&amp;"")&amp;" "&amp;IF($K$4951=0,"",INDEX(Clients!$D$2:$D$501,$K$4951)&amp;"")))</f>
        <v/>
      </c>
      <c r="E4961" s="35"/>
      <c r="F4961" s="35"/>
      <c r="J4961" s="25"/>
      <c r="K4961" s="25"/>
      <c r="L4961" s="25"/>
      <c r="M4961" s="25"/>
      <c r="N4961" s="25"/>
      <c r="O4961" s="25"/>
    </row>
    <row r="4962" customFormat="false" ht="15" hidden="false" customHeight="true" outlineLevel="0" collapsed="false">
      <c r="B4962" s="10"/>
      <c r="C4962" s="10"/>
      <c r="D4962" s="35" t="str">
        <f aca="false">IF($K$4951=0,"",INDEX(Clients!$F$2:$F$501,$K$4951)&amp;"")</f>
        <v/>
      </c>
      <c r="E4962" s="35"/>
      <c r="F4962" s="35"/>
      <c r="J4962" s="25"/>
      <c r="K4962" s="25"/>
      <c r="L4962" s="25"/>
      <c r="M4962" s="25"/>
      <c r="N4962" s="25"/>
      <c r="O4962" s="25"/>
    </row>
    <row r="4963" customFormat="false" ht="15" hidden="false" customHeight="true" outlineLevel="0" collapsed="false">
      <c r="B4963" s="10"/>
      <c r="C4963" s="10"/>
      <c r="D4963" s="35" t="str">
        <f aca="false">IF(IF($K$4951=0,"",INDEX(Clients!$G$2:$G$501,$K$4951)&amp;"")="",TRIM(IF($K$4951=0,"",INDEX(Clients!$H$2:$H$501,$K$4951)&amp;"")&amp;" "&amp;UPPER(IF($K$4951=0,"",INDEX(Clients!$I$2:$I$501,$K$4951)&amp;""))),IF($K$4951=0,"",INDEX(Clients!$G$2:$G$501,$K$4951)&amp;""))</f>
        <v/>
      </c>
      <c r="E4963" s="35"/>
      <c r="F4963" s="35"/>
      <c r="J4963" s="25"/>
      <c r="K4963" s="25"/>
      <c r="L4963" s="25"/>
      <c r="M4963" s="25"/>
      <c r="N4963" s="25"/>
      <c r="O4963" s="25"/>
    </row>
    <row r="4964" customFormat="false" ht="15" hidden="false" customHeight="true" outlineLevel="0" collapsed="false">
      <c r="B4964" s="10"/>
      <c r="C4964" s="10"/>
      <c r="D4964" s="35" t="str">
        <f aca="false">IF(IF($K$4951=0,"",INDEX(Clients!$G$2:$G$501,$K$4951)&amp;"")="","",TRIM(IF($K$4951=0,"",INDEX(Clients!$H$2:$H$501,$K$4951)&amp;"")&amp;" "&amp;UPPER(IF($K$4951=0,"",INDEX(Clients!$I$2:$I$501,$K$4951)&amp;""))))</f>
        <v/>
      </c>
      <c r="E4964" s="35"/>
      <c r="F4964" s="35"/>
      <c r="J4964" s="25"/>
      <c r="K4964" s="25"/>
      <c r="L4964" s="25"/>
      <c r="M4964" s="25"/>
      <c r="N4964" s="25"/>
      <c r="O4964" s="25"/>
    </row>
    <row r="4965" customFormat="false" ht="25.5" hidden="false" customHeight="true" outlineLevel="0" collapsed="false">
      <c r="B4965" s="10"/>
      <c r="C4965" s="10"/>
      <c r="D4965" s="10"/>
      <c r="E4965" s="10"/>
      <c r="F4965" s="10"/>
      <c r="J4965" s="25"/>
      <c r="K4965" s="25"/>
      <c r="L4965" s="25"/>
      <c r="M4965" s="25"/>
      <c r="N4965" s="25"/>
      <c r="O4965" s="25"/>
    </row>
    <row r="4966" customFormat="false" ht="15" hidden="false" customHeight="false" outlineLevel="0" collapsed="false">
      <c r="B4966" s="10"/>
      <c r="C4966" s="10"/>
      <c r="D4966" s="36" t="str">
        <f aca="false">Cab_Ville&amp;", le "&amp;DAY(Date_Courrier)&amp;IF(DAY(Date_Courrier)=1,"er","")&amp;" "&amp;INDEX(Liste_Mois,MONTH(Date_Courrier))&amp;" "&amp;YEAR(Date_Courrier)</f>
        <v>Le Plessis-Bouchard, le 22 septembre 2026</v>
      </c>
      <c r="E4966" s="36"/>
      <c r="F4966" s="36"/>
      <c r="J4966" s="25"/>
      <c r="K4966" s="25"/>
      <c r="L4966" s="25"/>
      <c r="M4966" s="25"/>
      <c r="N4966" s="25"/>
      <c r="O4966" s="25"/>
    </row>
    <row r="4967" customFormat="false" ht="19.5" hidden="false" customHeight="true" outlineLevel="0" collapsed="false">
      <c r="B4967" s="10"/>
      <c r="C4967" s="10"/>
      <c r="D4967" s="10"/>
      <c r="E4967" s="10"/>
      <c r="F4967" s="10"/>
      <c r="J4967" s="25"/>
      <c r="K4967" s="25"/>
      <c r="L4967" s="25"/>
      <c r="M4967" s="25"/>
      <c r="N4967" s="25"/>
      <c r="O4967" s="25"/>
    </row>
    <row r="4968" customFormat="false" ht="15" hidden="false" customHeight="false" outlineLevel="0" collapsed="false">
      <c r="B4968" s="34" t="str">
        <f aca="false">SUBSTITUTE(SUBSTITUTE(SUBSTITUTE(SUBSTITUTE(SUBSTITUTE(Txt_Objet,"{cabinet}",Cab_Nom),"{societe}",IF($K$4951=0,"",INDEX(Clients!$E$2:$E$501,$K$4951)&amp;"")),"{date_effet}",$K$4953),"{hausse}",$K$4954),"{civilite}",$K$4952)</f>
        <v>Objet : révision de nos honoraires au 1er janvier 2027</v>
      </c>
      <c r="C4968" s="34"/>
      <c r="D4968" s="34"/>
      <c r="E4968" s="34"/>
      <c r="F4968" s="34"/>
      <c r="J4968" s="25"/>
      <c r="K4968" s="25"/>
      <c r="L4968" s="25"/>
      <c r="M4968" s="25"/>
      <c r="N4968" s="25"/>
      <c r="O4968" s="25"/>
    </row>
    <row r="4969" customFormat="false" ht="13.5" hidden="false" customHeight="true" outlineLevel="0" collapsed="false">
      <c r="B4969" s="10"/>
      <c r="C4969" s="10"/>
      <c r="D4969" s="10"/>
      <c r="E4969" s="10"/>
      <c r="F4969" s="10"/>
      <c r="J4969" s="25"/>
      <c r="K4969" s="25"/>
      <c r="L4969" s="25"/>
      <c r="M4969" s="25"/>
      <c r="N4969" s="25"/>
      <c r="O4969" s="25"/>
    </row>
    <row r="4970" customFormat="false" ht="15" hidden="false" customHeight="false" outlineLevel="0" collapsed="false">
      <c r="B4970" s="10" t="str">
        <f aca="false">$K$4952&amp;","</f>
        <v>Madame, Monsieur,</v>
      </c>
      <c r="C4970" s="10"/>
      <c r="D4970" s="10"/>
      <c r="E4970" s="10"/>
      <c r="F4970" s="10"/>
      <c r="J4970" s="25"/>
      <c r="K4970" s="25"/>
      <c r="L4970" s="25"/>
      <c r="M4970" s="25"/>
      <c r="N4970" s="25"/>
      <c r="O4970" s="25"/>
    </row>
    <row r="4971" customFormat="false" ht="6" hidden="false" customHeight="true" outlineLevel="0" collapsed="false">
      <c r="B4971" s="10"/>
      <c r="C4971" s="10"/>
      <c r="D4971" s="10"/>
      <c r="E4971" s="10"/>
      <c r="F4971" s="10"/>
      <c r="J4971" s="25"/>
      <c r="K4971" s="25"/>
      <c r="L4971" s="25"/>
      <c r="M4971" s="25"/>
      <c r="N4971" s="25"/>
      <c r="O4971" s="25"/>
    </row>
    <row r="4972" customFormat="false" ht="36.75" hidden="false" customHeight="true" outlineLevel="0" collapsed="false">
      <c r="B4972" s="37" t="str">
        <f aca="false">SUBSTITUTE(SUBSTITUTE(SUBSTITUTE(SUBSTITUTE(SUBSTITUTE(Txt_P1,"{cabinet}",Cab_Nom),"{societe}",IF($K$4951=0,"",INDEX(Clients!$E$2:$E$501,$K$4951)&amp;"")),"{date_effet}",$K$4953),"{hausse}",$K$4954),"{civilite}",$K$4952)</f>
        <v>Nous tenons tout d'abord à vous remercier pour la confiance que vous accordez à ALTHO EXPERTISE. Comme chaque année, et conformément aux dispositions de votre lettre de mission, nous procédons à la révision de nos honoraires.</v>
      </c>
      <c r="C4972" s="37"/>
      <c r="D4972" s="37"/>
      <c r="E4972" s="37"/>
      <c r="F4972" s="37"/>
      <c r="J4972" s="25"/>
      <c r="K4972" s="25"/>
      <c r="L4972" s="25"/>
      <c r="M4972" s="25"/>
      <c r="N4972" s="25"/>
      <c r="O4972" s="25"/>
    </row>
    <row r="4973" customFormat="false" ht="49.5" hidden="false" customHeight="true" outlineLevel="0" collapsed="false">
      <c r="B4973" s="37" t="str">
        <f aca="false">SUBSTITUTE(SUBSTITUTE(SUBSTITUTE(SUBSTITUTE(SUBSTITUTE(Txt_P2,"{cabinet}",Cab_Nom),"{societe}",IF($K$4951=0,"",INDEX(Clients!$E$2:$E$501,$K$4951)&amp;"")),"{date_effet}",$K$4953),"{hausse}",$K$4954),"{civilite}",$K$4952)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4973" s="37"/>
      <c r="D4973" s="37"/>
      <c r="E4973" s="37"/>
      <c r="F4973" s="37"/>
      <c r="J4973" s="25"/>
      <c r="K4973" s="25"/>
      <c r="L4973" s="25"/>
      <c r="M4973" s="25"/>
      <c r="N4973" s="25"/>
      <c r="O4973" s="25"/>
    </row>
    <row r="4974" customFormat="false" ht="63" hidden="false" customHeight="true" outlineLevel="0" collapsed="false">
      <c r="B4974" s="37" t="str">
        <f aca="false">SUBSTITUTE(SUBSTITUTE(SUBSTITUTE(SUBSTITUTE(SUBSTITUTE(Txt_P3,"{cabinet}",Cab_Nom),"{societe}",IF($K$4951=0,"",INDEX(Clients!$E$2:$E$501,$K$4951)&amp;"")),"{date_effet}",$K$4953),"{hausse}",$K$4954),"{civilite}",$K$4952)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4974" s="37"/>
      <c r="D4974" s="37"/>
      <c r="E4974" s="37"/>
      <c r="F4974" s="37"/>
      <c r="J4974" s="25"/>
      <c r="K4974" s="25"/>
      <c r="L4974" s="25"/>
      <c r="M4974" s="25"/>
      <c r="N4974" s="25"/>
      <c r="O4974" s="25"/>
    </row>
    <row r="4975" customFormat="false" ht="24" hidden="false" customHeight="true" outlineLevel="0" collapsed="false">
      <c r="B4975" s="37" t="str">
        <f aca="false">SUBSTITUTE(SUBSTITUTE(SUBSTITUTE(SUBSTITUTE(SUBSTITUTE(Txt_P4,"{cabinet}",Cab_Nom),"{societe}",IF($K$4951=0,"",INDEX(Clients!$E$2:$E$501,$K$4951)&amp;"")),"{date_effet}",$K$4953),"{hausse}",$K$4954),"{civilite}",$K$4952)</f>
        <v>À compter du 1er janvier 2027, vos honoraires annuels hors taxes évolueront ainsi (évolution globale : ) :</v>
      </c>
      <c r="C4975" s="37"/>
      <c r="D4975" s="37"/>
      <c r="E4975" s="37"/>
      <c r="F4975" s="37"/>
      <c r="J4975" s="25"/>
      <c r="K4975" s="25"/>
      <c r="L4975" s="25"/>
      <c r="M4975" s="25"/>
      <c r="N4975" s="25"/>
      <c r="O4975" s="25"/>
    </row>
    <row r="4976" customFormat="false" ht="3.75" hidden="false" customHeight="true" outlineLevel="0" collapsed="false">
      <c r="B4976" s="10"/>
      <c r="C4976" s="10"/>
      <c r="D4976" s="10"/>
      <c r="E4976" s="10"/>
      <c r="F4976" s="10"/>
      <c r="J4976" s="25"/>
      <c r="K4976" s="25"/>
      <c r="L4976" s="25"/>
      <c r="M4976" s="25"/>
      <c r="N4976" s="25"/>
      <c r="O4976" s="25"/>
    </row>
    <row r="4977" customFormat="false" ht="18" hidden="false" customHeight="true" outlineLevel="0" collapsed="false">
      <c r="B4977" s="38" t="s">
        <v>148</v>
      </c>
      <c r="C4977" s="39" t="s">
        <v>149</v>
      </c>
      <c r="D4977" s="39" t="s">
        <v>150</v>
      </c>
      <c r="E4977" s="39" t="s">
        <v>151</v>
      </c>
      <c r="F4977" s="39" t="s">
        <v>109</v>
      </c>
      <c r="J4977" s="25" t="s">
        <v>152</v>
      </c>
      <c r="K4977" s="25" t="s">
        <v>153</v>
      </c>
      <c r="L4977" s="25" t="s">
        <v>154</v>
      </c>
      <c r="M4977" s="25" t="s">
        <v>155</v>
      </c>
      <c r="N4977" s="25" t="s">
        <v>156</v>
      </c>
      <c r="O4977" s="25" t="s">
        <v>157</v>
      </c>
    </row>
    <row r="4978" customFormat="false" ht="16.5" hidden="false" customHeight="true" outlineLevel="0" collapsed="false">
      <c r="B4978" s="40" t="str">
        <f aca="false">IFERROR(INDEX($J$4978:$J$4981,MATCH($O4978,$N$4978:$N$4981,0)),"")</f>
        <v/>
      </c>
      <c r="C4978" s="41" t="str">
        <f aca="false">IFERROR(INDEX($K$4978:$K$4981,MATCH($O4978,$N$4978:$N$4981,0)),"")</f>
        <v/>
      </c>
      <c r="D4978" s="42" t="str">
        <f aca="false">IF(OR(E4978="",N(C4978)=0),"",E4978/C4978-1)</f>
        <v/>
      </c>
      <c r="E4978" s="41" t="str">
        <f aca="false">IFERROR(INDEX($L$4978:$L$4981,MATCH($O4978,$N$4978:$N$4981,0)),"")</f>
        <v/>
      </c>
      <c r="F4978" s="41" t="str">
        <f aca="false">IF(E4978="","",E4978-C4978)</f>
        <v/>
      </c>
      <c r="J4978" s="25" t="str">
        <f aca="false">Lib_Compta</f>
        <v>Mission comptable (tenue, révision, bilan, liasse fiscale)</v>
      </c>
      <c r="K4978" s="25" t="n">
        <f aca="false">IF($K$4951=0,0,N(INDEX(Clients!$K$2:$K$501,$K$4951)))</f>
        <v>0</v>
      </c>
      <c r="L4978" s="25" t="n">
        <f aca="false">IF($K$4951=0,0,N(INDEX(Clients!$P$2:$P$501,$K$4951)))</f>
        <v>0</v>
      </c>
      <c r="M4978" s="25" t="n">
        <f aca="false">IF(OR(K4978&lt;&gt;0,L4978&lt;&gt;0),1,0)</f>
        <v>0</v>
      </c>
      <c r="N4978" s="25" t="str">
        <f aca="false">IF(M4978=1,SUM($M$4978:M4978),"")</f>
        <v/>
      </c>
      <c r="O4978" s="25" t="n">
        <v>1</v>
      </c>
    </row>
    <row r="4979" customFormat="false" ht="16.5" hidden="false" customHeight="true" outlineLevel="0" collapsed="false">
      <c r="B4979" s="40" t="str">
        <f aca="false">IFERROR(INDEX($J$4978:$J$4981,MATCH($O4979,$N$4978:$N$4981,0)),"")</f>
        <v/>
      </c>
      <c r="C4979" s="41" t="str">
        <f aca="false">IFERROR(INDEX($K$4978:$K$4981,MATCH($O4979,$N$4978:$N$4981,0)),"")</f>
        <v/>
      </c>
      <c r="D4979" s="42" t="str">
        <f aca="false">IF(OR(E4979="",N(C4979)=0),"",E4979/C4979-1)</f>
        <v/>
      </c>
      <c r="E4979" s="41" t="str">
        <f aca="false">IFERROR(INDEX($L$4978:$L$4981,MATCH($O4979,$N$4978:$N$4981,0)),"")</f>
        <v/>
      </c>
      <c r="F4979" s="41" t="str">
        <f aca="false">IF(E4979="","",E4979-C4979)</f>
        <v/>
      </c>
      <c r="J4979" s="25" t="str">
        <f aca="false">Lib_Paye</f>
        <v>Mission sociale (bulletins de paie, DSN, déclarations sociales)</v>
      </c>
      <c r="K4979" s="25" t="n">
        <f aca="false">IF($K$4951=0,0,N(INDEX(Clients!$L$2:$L$501,$K$4951)))</f>
        <v>0</v>
      </c>
      <c r="L4979" s="25" t="n">
        <f aca="false">IF($K$4951=0,0,N(INDEX(Clients!$Q$2:$Q$501,$K$4951)))</f>
        <v>0</v>
      </c>
      <c r="M4979" s="25" t="n">
        <f aca="false">IF(OR(K4979&lt;&gt;0,L4979&lt;&gt;0),1,0)</f>
        <v>0</v>
      </c>
      <c r="N4979" s="25" t="str">
        <f aca="false">IF(M4979=1,SUM($M$4978:M4979),"")</f>
        <v/>
      </c>
      <c r="O4979" s="25" t="n">
        <v>2</v>
      </c>
    </row>
    <row r="4980" customFormat="false" ht="16.5" hidden="false" customHeight="true" outlineLevel="0" collapsed="false">
      <c r="B4980" s="40" t="str">
        <f aca="false">IFERROR(INDEX($J$4978:$J$4981,MATCH($O4980,$N$4978:$N$4981,0)),"")</f>
        <v/>
      </c>
      <c r="C4980" s="41" t="str">
        <f aca="false">IFERROR(INDEX($K$4978:$K$4981,MATCH($O4980,$N$4978:$N$4981,0)),"")</f>
        <v/>
      </c>
      <c r="D4980" s="42" t="str">
        <f aca="false">IF(OR(E4980="",N(C4980)=0),"",E4980/C4980-1)</f>
        <v/>
      </c>
      <c r="E4980" s="41" t="str">
        <f aca="false">IFERROR(INDEX($L$4978:$L$4981,MATCH($O4980,$N$4978:$N$4981,0)),"")</f>
        <v/>
      </c>
      <c r="F4980" s="41" t="str">
        <f aca="false">IF(E4980="","",E4980-C4980)</f>
        <v/>
      </c>
      <c r="J4980" s="25" t="str">
        <f aca="false">Lib_Jur</f>
        <v>Mission juridique (approbation des comptes, secrétariat juridique)</v>
      </c>
      <c r="K4980" s="25" t="n">
        <f aca="false">IF($K$4951=0,0,N(INDEX(Clients!$M$2:$M$501,$K$4951)))</f>
        <v>0</v>
      </c>
      <c r="L4980" s="25" t="n">
        <f aca="false">IF($K$4951=0,0,N(INDEX(Clients!$R$2:$R$501,$K$4951)))</f>
        <v>0</v>
      </c>
      <c r="M4980" s="25" t="n">
        <f aca="false">IF(OR(K4980&lt;&gt;0,L4980&lt;&gt;0),1,0)</f>
        <v>0</v>
      </c>
      <c r="N4980" s="25" t="str">
        <f aca="false">IF(M4980=1,SUM($M$4978:M4980),"")</f>
        <v/>
      </c>
      <c r="O4980" s="25" t="n">
        <v>3</v>
      </c>
    </row>
    <row r="4981" customFormat="false" ht="16.5" hidden="false" customHeight="true" outlineLevel="0" collapsed="false">
      <c r="B4981" s="40" t="str">
        <f aca="false">IFERROR(INDEX($J$4978:$J$4981,MATCH($O4981,$N$4978:$N$4981,0)),"")</f>
        <v/>
      </c>
      <c r="C4981" s="41" t="str">
        <f aca="false">IFERROR(INDEX($K$4978:$K$4981,MATCH($O4981,$N$4978:$N$4981,0)),"")</f>
        <v/>
      </c>
      <c r="D4981" s="42" t="str">
        <f aca="false">IF(OR(E4981="",N(C4981)=0),"",E4981/C4981-1)</f>
        <v/>
      </c>
      <c r="E4981" s="41" t="str">
        <f aca="false">IFERROR(INDEX($L$4978:$L$4981,MATCH($O4981,$N$4978:$N$4981,0)),"")</f>
        <v/>
      </c>
      <c r="F4981" s="41" t="str">
        <f aca="false">IF(E4981="","",E4981-C4981)</f>
        <v/>
      </c>
      <c r="J4981" s="25" t="str">
        <f aca="false">Lib_PA</f>
        <v>Plateforme agréée – facturation électronique</v>
      </c>
      <c r="K4981" s="25" t="n">
        <f aca="false">IF($K$4951=0,0,N(INDEX(Clients!$N$2:$N$501,$K$4951)))</f>
        <v>0</v>
      </c>
      <c r="L4981" s="25" t="n">
        <f aca="false">IF($K$4951=0,0,N(INDEX(Clients!$S$2:$S$501,$K$4951)))</f>
        <v>0</v>
      </c>
      <c r="M4981" s="25" t="n">
        <f aca="false">IF(OR(K4981&lt;&gt;0,L4981&lt;&gt;0),1,0)</f>
        <v>0</v>
      </c>
      <c r="N4981" s="25" t="str">
        <f aca="false">IF(M4981=1,SUM($M$4978:M4981),"")</f>
        <v/>
      </c>
      <c r="O4981" s="25" t="n">
        <v>4</v>
      </c>
    </row>
    <row r="4982" customFormat="false" ht="18" hidden="false" customHeight="true" outlineLevel="0" collapsed="false">
      <c r="B4982" s="43" t="s">
        <v>158</v>
      </c>
      <c r="C4982" s="44" t="n">
        <f aca="false">SUM(K4978:K4981)</f>
        <v>0</v>
      </c>
      <c r="D4982" s="45" t="str">
        <f aca="false">IF(N(C4982)=0,"",E4982/C4982-1)</f>
        <v/>
      </c>
      <c r="E4982" s="44" t="n">
        <f aca="false">SUM(L4978:L4981)</f>
        <v>0</v>
      </c>
      <c r="F4982" s="44" t="n">
        <f aca="false">E4982-C4982</f>
        <v>0</v>
      </c>
    </row>
    <row r="4983" customFormat="false" ht="15" hidden="false" customHeight="false" outlineLevel="0" collapsed="false">
      <c r="B4983" s="46" t="str">
        <f aca="false">IF(N(Nb_Mensualites)=0,"","Soit "&amp;FIXED(E4982/Nb_Mensualites,2)&amp;" € HT par échéance ("&amp;Nb_Mensualites&amp;" échéances), "&amp;FIXED(E4982/Nb_Mensualites*(1+Taux_TVA),2)&amp;" € TTC.")</f>
        <v>Soit 0.00 € HT par échéance (12 échéances), 0.00 € TTC.</v>
      </c>
      <c r="C4983" s="46"/>
      <c r="D4983" s="46"/>
      <c r="E4983" s="46"/>
      <c r="F4983" s="46"/>
    </row>
    <row r="4984" customFormat="false" ht="7.5" hidden="false" customHeight="true" outlineLevel="0" collapsed="false">
      <c r="B4984" s="10"/>
      <c r="C4984" s="10"/>
      <c r="D4984" s="10"/>
      <c r="E4984" s="10"/>
      <c r="F4984" s="10"/>
    </row>
    <row r="4985" customFormat="false" ht="36.75" hidden="false" customHeight="true" outlineLevel="0" collapsed="false">
      <c r="B4985" s="37" t="str">
        <f aca="false">SUBSTITUTE(SUBSTITUTE(SUBSTITUTE(SUBSTITUTE(SUBSTITUTE(Txt_P5,"{cabinet}",Cab_Nom),"{societe}",IF($K$4951=0,"",INDEX(Clients!$E$2:$E$501,$K$4951)&amp;"")),"{date_effet}",$K$4953),"{hausse}",$K$4954),"{civilite}",$K$4952)</f>
        <v>Les autres conditions de votre lettre de mission demeurent inchangées. Les nouveaux montants seront appliqués automatiquement sur vos prochaines factures et échéances de prélèvement.</v>
      </c>
      <c r="C4985" s="37"/>
      <c r="D4985" s="37"/>
      <c r="E4985" s="37"/>
      <c r="F4985" s="37"/>
    </row>
    <row r="4986" customFormat="false" ht="36.75" hidden="false" customHeight="true" outlineLevel="0" collapsed="false">
      <c r="B4986" s="37" t="str">
        <f aca="false">SUBSTITUTE(SUBSTITUTE(SUBSTITUTE(SUBSTITUTE(SUBSTITUTE(Txt_P6,"{cabinet}",Cab_Nom),"{societe}",IF($K$4951=0,"",INDEX(Clients!$E$2:$E$501,$K$4951)&amp;"")),"{date_effet}",$K$4953),"{hausse}",$K$4954),"{civilite}",$K$4952)</f>
        <v>Votre interlocuteur habituel reste à votre entière disposition pour répondre à vos questions et faire le point sur l'évolution de vos besoins.</v>
      </c>
      <c r="C4986" s="37"/>
      <c r="D4986" s="37"/>
      <c r="E4986" s="37"/>
      <c r="F4986" s="37"/>
    </row>
    <row r="4987" customFormat="false" ht="24" hidden="false" customHeight="true" outlineLevel="0" collapsed="false">
      <c r="B4987" s="37" t="str">
        <f aca="false">SUBSTITUTE(SUBSTITUTE(SUBSTITUTE(SUBSTITUTE(SUBSTITUTE(Txt_Politesse,"{cabinet}",Cab_Nom),"{societe}",IF($K$4951=0,"",INDEX(Clients!$E$2:$E$501,$K$4951)&amp;"")),"{date_effet}",$K$4953),"{hausse}",$K$4954),"{civilite}",$K$4952)</f>
        <v>Nous vous prions d'agréer, Madame, Monsieur, l'expression de nos salutations distinguées.</v>
      </c>
      <c r="C4987" s="37"/>
      <c r="D4987" s="37"/>
      <c r="E4987" s="37"/>
      <c r="F4987" s="37"/>
    </row>
    <row r="4988" customFormat="false" ht="15" hidden="false" customHeight="false" outlineLevel="0" collapsed="false">
      <c r="B4988" s="10"/>
      <c r="C4988" s="10"/>
      <c r="D4988" s="10"/>
      <c r="E4988" s="10"/>
      <c r="F4988" s="10"/>
    </row>
    <row r="4989" customFormat="false" ht="15" hidden="false" customHeight="false" outlineLevel="0" collapsed="false">
      <c r="B4989" s="10"/>
      <c r="C4989" s="10"/>
      <c r="D4989" s="34" t="str">
        <f aca="false">Signataire</f>
        <v>Prénom NOM</v>
      </c>
      <c r="E4989" s="34"/>
      <c r="F4989" s="34"/>
    </row>
    <row r="4990" customFormat="false" ht="15" hidden="false" customHeight="false" outlineLevel="0" collapsed="false">
      <c r="B4990" s="10"/>
      <c r="C4990" s="10"/>
      <c r="D4990" s="47" t="str">
        <f aca="false">Signataire_Titre</f>
        <v>Expert-comptable associé</v>
      </c>
      <c r="E4990" s="47"/>
      <c r="F4990" s="47"/>
    </row>
    <row r="4991" customFormat="false" ht="15.75" hidden="false" customHeight="true" outlineLevel="0" collapsed="false">
      <c r="B4991" s="10"/>
      <c r="C4991" s="10"/>
      <c r="D4991" s="10"/>
      <c r="E4991" s="10"/>
      <c r="F4991" s="10"/>
    </row>
    <row r="4992" customFormat="false" ht="15.75" hidden="false" customHeight="true" outlineLevel="0" collapsed="false">
      <c r="B4992" s="10"/>
      <c r="C4992" s="10"/>
      <c r="D4992" s="10"/>
      <c r="E4992" s="10"/>
      <c r="F4992" s="10"/>
    </row>
    <row r="4993" customFormat="false" ht="15.75" hidden="false" customHeight="true" outlineLevel="0" collapsed="false">
      <c r="B4993" s="10"/>
      <c r="C4993" s="10"/>
      <c r="D4993" s="10"/>
      <c r="E4993" s="10"/>
      <c r="F4993" s="10"/>
    </row>
    <row r="4994" customFormat="false" ht="15.75" hidden="false" customHeight="true" outlineLevel="0" collapsed="false">
      <c r="B4994" s="10"/>
      <c r="C4994" s="10"/>
      <c r="D4994" s="10"/>
      <c r="E4994" s="10"/>
      <c r="F4994" s="10"/>
    </row>
    <row r="4995" customFormat="false" ht="24" hidden="false" customHeight="true" outlineLevel="0" collapsed="false">
      <c r="B4995" s="48" t="str">
        <f aca="false">Cab_Mentions</f>
        <v>ALTHO EXPERTISE · SAS au capital de 10 000 € · RCS Pontoise 919 706 325 · TVA FR62919706325 · Société d'expertise comptable inscrite au Tableau de l'Ordre des experts-comptables de Paris Île-de-France</v>
      </c>
      <c r="C4995" s="48"/>
      <c r="D4995" s="48"/>
      <c r="E4995" s="48"/>
      <c r="F4995" s="48"/>
    </row>
    <row r="4996" customFormat="false" ht="15" hidden="false" customHeight="false" outlineLevel="0" collapsed="false">
      <c r="B4996" s="10"/>
      <c r="C4996" s="10"/>
      <c r="D4996" s="10"/>
      <c r="E4996" s="10"/>
      <c r="F4996" s="10"/>
      <c r="J4996" s="25" t="s">
        <v>142</v>
      </c>
      <c r="K4996" s="25" t="n">
        <f aca="false">IFERROR(MATCH(112,Clients!$Z$2:$Z$501,0),0)</f>
        <v>0</v>
      </c>
      <c r="L4996" s="25"/>
      <c r="M4996" s="25"/>
      <c r="N4996" s="25"/>
      <c r="O4996" s="25"/>
    </row>
    <row r="4997" customFormat="false" ht="21.75" hidden="false" customHeight="true" outlineLevel="0" collapsed="false">
      <c r="B4997" s="26" t="str">
        <f aca="false">Cab_Nom</f>
        <v>ALTHO EXPERTISE</v>
      </c>
      <c r="C4997" s="26"/>
      <c r="D4997" s="10"/>
      <c r="E4997" s="27" t="str">
        <f aca="false">IF($K$4996=0,"","Réf. client : "&amp;INDEX(Clients!$A$2:$A$501,$K$4996))</f>
        <v/>
      </c>
      <c r="F4997" s="27"/>
      <c r="J4997" s="25" t="s">
        <v>144</v>
      </c>
      <c r="K4997" s="25" t="str">
        <f aca="false">IF(IF($K$4996=0,"",INDEX(Clients!$B$2:$B$501,$K$4996)&amp;"")="Mme","Madame",IF(IF($K$4996=0,"",INDEX(Clients!$B$2:$B$501,$K$4996)&amp;"")="M.","Monsieur","Madame, Monsieur"))</f>
        <v>Madame, Monsieur</v>
      </c>
      <c r="L4997" s="25"/>
      <c r="M4997" s="25"/>
      <c r="N4997" s="25"/>
      <c r="O4997" s="25"/>
    </row>
    <row r="4998" customFormat="false" ht="15" hidden="false" customHeight="false" outlineLevel="0" collapsed="false">
      <c r="B4998" s="29" t="str">
        <f aca="false">Cab_Adr1</f>
        <v>141 rue Charles de Gaulle</v>
      </c>
      <c r="C4998" s="29"/>
      <c r="D4998" s="10"/>
      <c r="E4998" s="10"/>
      <c r="F4998" s="10"/>
      <c r="J4998" s="25" t="s">
        <v>145</v>
      </c>
      <c r="K4998" s="25" t="str">
        <f aca="false">DAY(Date_Effet)&amp;IF(DAY(Date_Effet)=1,"er","")&amp;" "&amp;INDEX(Liste_Mois,MONTH(Date_Effet))&amp;" "&amp;YEAR(Date_Effet)</f>
        <v>1er janvier 2027</v>
      </c>
      <c r="L4998" s="25"/>
      <c r="M4998" s="25"/>
      <c r="N4998" s="25"/>
      <c r="O4998" s="25"/>
    </row>
    <row r="4999" customFormat="false" ht="15" hidden="false" customHeight="false" outlineLevel="0" collapsed="false">
      <c r="B4999" s="29" t="str">
        <f aca="false">Cab_CPVille</f>
        <v>95130 LE PLESSIS-BOUCHARD</v>
      </c>
      <c r="C4999" s="29"/>
      <c r="D4999" s="10"/>
      <c r="E4999" s="10"/>
      <c r="F4999" s="10"/>
      <c r="J4999" s="25" t="s">
        <v>146</v>
      </c>
      <c r="K4999" s="25" t="str">
        <f aca="false">IF(SUM($K$5023:$K$5026)=0,"",FIXED((SUM($L$5023:$L$5026)/SUM($K$5023:$K$5026)-1)*100,1)&amp;" %")</f>
        <v/>
      </c>
      <c r="L4999" s="25"/>
      <c r="M4999" s="25"/>
      <c r="N4999" s="25"/>
      <c r="O4999" s="25"/>
    </row>
    <row r="5000" customFormat="false" ht="15" hidden="false" customHeight="false" outlineLevel="0" collapsed="false">
      <c r="B5000" s="29" t="str">
        <f aca="false">Cab_Contact</f>
        <v>Tél. 01 34 14 53 45  ·  altho@altho-experts.com  ·  altho-experts.com</v>
      </c>
      <c r="C5000" s="29"/>
      <c r="D5000" s="10"/>
      <c r="E5000" s="10"/>
      <c r="F5000" s="10"/>
      <c r="J5000" s="25"/>
      <c r="K5000" s="25"/>
      <c r="L5000" s="25"/>
      <c r="M5000" s="25"/>
      <c r="N5000" s="25"/>
      <c r="O5000" s="25"/>
    </row>
    <row r="5001" customFormat="false" ht="6" hidden="false" customHeight="true" outlineLevel="0" collapsed="false">
      <c r="B5001" s="32"/>
      <c r="C5001" s="32"/>
      <c r="D5001" s="32"/>
      <c r="E5001" s="32"/>
      <c r="F5001" s="32"/>
      <c r="J5001" s="25"/>
      <c r="K5001" s="25"/>
      <c r="L5001" s="25"/>
      <c r="M5001" s="25"/>
      <c r="N5001" s="25"/>
      <c r="O5001" s="25"/>
    </row>
    <row r="5002" customFormat="false" ht="13.5" hidden="false" customHeight="true" outlineLevel="0" collapsed="false">
      <c r="B5002" s="10"/>
      <c r="C5002" s="10"/>
      <c r="D5002" s="10"/>
      <c r="E5002" s="10"/>
      <c r="F5002" s="10"/>
      <c r="J5002" s="25"/>
      <c r="K5002" s="25"/>
      <c r="L5002" s="25"/>
      <c r="M5002" s="25"/>
      <c r="N5002" s="25"/>
      <c r="O5002" s="25"/>
    </row>
    <row r="5003" customFormat="false" ht="13.5" hidden="false" customHeight="true" outlineLevel="0" collapsed="false">
      <c r="B5003" s="10"/>
      <c r="C5003" s="10"/>
      <c r="D5003" s="10"/>
      <c r="E5003" s="10"/>
      <c r="F5003" s="10"/>
      <c r="J5003" s="25"/>
      <c r="K5003" s="25"/>
      <c r="L5003" s="25"/>
      <c r="M5003" s="25"/>
      <c r="N5003" s="25"/>
      <c r="O5003" s="25"/>
    </row>
    <row r="5004" customFormat="false" ht="13.5" hidden="false" customHeight="true" outlineLevel="0" collapsed="false">
      <c r="B5004" s="10"/>
      <c r="C5004" s="10"/>
      <c r="D5004" s="10"/>
      <c r="E5004" s="10"/>
      <c r="F5004" s="10"/>
      <c r="J5004" s="25"/>
      <c r="K5004" s="25"/>
      <c r="L5004" s="25"/>
      <c r="M5004" s="25"/>
      <c r="N5004" s="25"/>
      <c r="O5004" s="25"/>
    </row>
    <row r="5005" customFormat="false" ht="15" hidden="false" customHeight="true" outlineLevel="0" collapsed="false">
      <c r="B5005" s="10"/>
      <c r="C5005" s="10"/>
      <c r="D5005" s="34" t="str">
        <f aca="false">IF($K$4996=0,"",INDEX(Clients!$E$2:$E$501,$K$4996)&amp;"")</f>
        <v/>
      </c>
      <c r="E5005" s="34"/>
      <c r="F5005" s="34"/>
      <c r="J5005" s="25"/>
      <c r="K5005" s="25"/>
      <c r="L5005" s="25"/>
      <c r="M5005" s="25"/>
      <c r="N5005" s="25"/>
      <c r="O5005" s="25"/>
    </row>
    <row r="5006" customFormat="false" ht="15" hidden="false" customHeight="true" outlineLevel="0" collapsed="false">
      <c r="B5006" s="10"/>
      <c r="C5006" s="10"/>
      <c r="D5006" s="35" t="str">
        <f aca="false">IF(IF($K$4996=0,"",INDEX(Clients!$D$2:$D$501,$K$4996)&amp;"")="","","À l'attention de "&amp;TRIM(IF($K$4996=0,"",INDEX(Clients!$B$2:$B$501,$K$4996)&amp;"")&amp;" "&amp;IF($K$4996=0,"",INDEX(Clients!$C$2:$C$501,$K$4996)&amp;"")&amp;" "&amp;IF($K$4996=0,"",INDEX(Clients!$D$2:$D$501,$K$4996)&amp;"")))</f>
        <v/>
      </c>
      <c r="E5006" s="35"/>
      <c r="F5006" s="35"/>
      <c r="J5006" s="25"/>
      <c r="K5006" s="25"/>
      <c r="L5006" s="25"/>
      <c r="M5006" s="25"/>
      <c r="N5006" s="25"/>
      <c r="O5006" s="25"/>
    </row>
    <row r="5007" customFormat="false" ht="15" hidden="false" customHeight="true" outlineLevel="0" collapsed="false">
      <c r="B5007" s="10"/>
      <c r="C5007" s="10"/>
      <c r="D5007" s="35" t="str">
        <f aca="false">IF($K$4996=0,"",INDEX(Clients!$F$2:$F$501,$K$4996)&amp;"")</f>
        <v/>
      </c>
      <c r="E5007" s="35"/>
      <c r="F5007" s="35"/>
      <c r="J5007" s="25"/>
      <c r="K5007" s="25"/>
      <c r="L5007" s="25"/>
      <c r="M5007" s="25"/>
      <c r="N5007" s="25"/>
      <c r="O5007" s="25"/>
    </row>
    <row r="5008" customFormat="false" ht="15" hidden="false" customHeight="true" outlineLevel="0" collapsed="false">
      <c r="B5008" s="10"/>
      <c r="C5008" s="10"/>
      <c r="D5008" s="35" t="str">
        <f aca="false">IF(IF($K$4996=0,"",INDEX(Clients!$G$2:$G$501,$K$4996)&amp;"")="",TRIM(IF($K$4996=0,"",INDEX(Clients!$H$2:$H$501,$K$4996)&amp;"")&amp;" "&amp;UPPER(IF($K$4996=0,"",INDEX(Clients!$I$2:$I$501,$K$4996)&amp;""))),IF($K$4996=0,"",INDEX(Clients!$G$2:$G$501,$K$4996)&amp;""))</f>
        <v/>
      </c>
      <c r="E5008" s="35"/>
      <c r="F5008" s="35"/>
      <c r="J5008" s="25"/>
      <c r="K5008" s="25"/>
      <c r="L5008" s="25"/>
      <c r="M5008" s="25"/>
      <c r="N5008" s="25"/>
      <c r="O5008" s="25"/>
    </row>
    <row r="5009" customFormat="false" ht="15" hidden="false" customHeight="true" outlineLevel="0" collapsed="false">
      <c r="B5009" s="10"/>
      <c r="C5009" s="10"/>
      <c r="D5009" s="35" t="str">
        <f aca="false">IF(IF($K$4996=0,"",INDEX(Clients!$G$2:$G$501,$K$4996)&amp;"")="","",TRIM(IF($K$4996=0,"",INDEX(Clients!$H$2:$H$501,$K$4996)&amp;"")&amp;" "&amp;UPPER(IF($K$4996=0,"",INDEX(Clients!$I$2:$I$501,$K$4996)&amp;""))))</f>
        <v/>
      </c>
      <c r="E5009" s="35"/>
      <c r="F5009" s="35"/>
      <c r="J5009" s="25"/>
      <c r="K5009" s="25"/>
      <c r="L5009" s="25"/>
      <c r="M5009" s="25"/>
      <c r="N5009" s="25"/>
      <c r="O5009" s="25"/>
    </row>
    <row r="5010" customFormat="false" ht="25.5" hidden="false" customHeight="true" outlineLevel="0" collapsed="false">
      <c r="B5010" s="10"/>
      <c r="C5010" s="10"/>
      <c r="D5010" s="10"/>
      <c r="E5010" s="10"/>
      <c r="F5010" s="10"/>
      <c r="J5010" s="25"/>
      <c r="K5010" s="25"/>
      <c r="L5010" s="25"/>
      <c r="M5010" s="25"/>
      <c r="N5010" s="25"/>
      <c r="O5010" s="25"/>
    </row>
    <row r="5011" customFormat="false" ht="15" hidden="false" customHeight="false" outlineLevel="0" collapsed="false">
      <c r="B5011" s="10"/>
      <c r="C5011" s="10"/>
      <c r="D5011" s="36" t="str">
        <f aca="false">Cab_Ville&amp;", le "&amp;DAY(Date_Courrier)&amp;IF(DAY(Date_Courrier)=1,"er","")&amp;" "&amp;INDEX(Liste_Mois,MONTH(Date_Courrier))&amp;" "&amp;YEAR(Date_Courrier)</f>
        <v>Le Plessis-Bouchard, le 22 septembre 2026</v>
      </c>
      <c r="E5011" s="36"/>
      <c r="F5011" s="36"/>
      <c r="J5011" s="25"/>
      <c r="K5011" s="25"/>
      <c r="L5011" s="25"/>
      <c r="M5011" s="25"/>
      <c r="N5011" s="25"/>
      <c r="O5011" s="25"/>
    </row>
    <row r="5012" customFormat="false" ht="19.5" hidden="false" customHeight="true" outlineLevel="0" collapsed="false">
      <c r="B5012" s="10"/>
      <c r="C5012" s="10"/>
      <c r="D5012" s="10"/>
      <c r="E5012" s="10"/>
      <c r="F5012" s="10"/>
      <c r="J5012" s="25"/>
      <c r="K5012" s="25"/>
      <c r="L5012" s="25"/>
      <c r="M5012" s="25"/>
      <c r="N5012" s="25"/>
      <c r="O5012" s="25"/>
    </row>
    <row r="5013" customFormat="false" ht="15" hidden="false" customHeight="false" outlineLevel="0" collapsed="false">
      <c r="B5013" s="34" t="str">
        <f aca="false">SUBSTITUTE(SUBSTITUTE(SUBSTITUTE(SUBSTITUTE(SUBSTITUTE(Txt_Objet,"{cabinet}",Cab_Nom),"{societe}",IF($K$4996=0,"",INDEX(Clients!$E$2:$E$501,$K$4996)&amp;"")),"{date_effet}",$K$4998),"{hausse}",$K$4999),"{civilite}",$K$4997)</f>
        <v>Objet : révision de nos honoraires au 1er janvier 2027</v>
      </c>
      <c r="C5013" s="34"/>
      <c r="D5013" s="34"/>
      <c r="E5013" s="34"/>
      <c r="F5013" s="34"/>
      <c r="J5013" s="25"/>
      <c r="K5013" s="25"/>
      <c r="L5013" s="25"/>
      <c r="M5013" s="25"/>
      <c r="N5013" s="25"/>
      <c r="O5013" s="25"/>
    </row>
    <row r="5014" customFormat="false" ht="13.5" hidden="false" customHeight="true" outlineLevel="0" collapsed="false">
      <c r="B5014" s="10"/>
      <c r="C5014" s="10"/>
      <c r="D5014" s="10"/>
      <c r="E5014" s="10"/>
      <c r="F5014" s="10"/>
      <c r="J5014" s="25"/>
      <c r="K5014" s="25"/>
      <c r="L5014" s="25"/>
      <c r="M5014" s="25"/>
      <c r="N5014" s="25"/>
      <c r="O5014" s="25"/>
    </row>
    <row r="5015" customFormat="false" ht="15" hidden="false" customHeight="false" outlineLevel="0" collapsed="false">
      <c r="B5015" s="10" t="str">
        <f aca="false">$K$4997&amp;","</f>
        <v>Madame, Monsieur,</v>
      </c>
      <c r="C5015" s="10"/>
      <c r="D5015" s="10"/>
      <c r="E5015" s="10"/>
      <c r="F5015" s="10"/>
      <c r="J5015" s="25"/>
      <c r="K5015" s="25"/>
      <c r="L5015" s="25"/>
      <c r="M5015" s="25"/>
      <c r="N5015" s="25"/>
      <c r="O5015" s="25"/>
    </row>
    <row r="5016" customFormat="false" ht="6" hidden="false" customHeight="true" outlineLevel="0" collapsed="false">
      <c r="B5016" s="10"/>
      <c r="C5016" s="10"/>
      <c r="D5016" s="10"/>
      <c r="E5016" s="10"/>
      <c r="F5016" s="10"/>
      <c r="J5016" s="25"/>
      <c r="K5016" s="25"/>
      <c r="L5016" s="25"/>
      <c r="M5016" s="25"/>
      <c r="N5016" s="25"/>
      <c r="O5016" s="25"/>
    </row>
    <row r="5017" customFormat="false" ht="36.75" hidden="false" customHeight="true" outlineLevel="0" collapsed="false">
      <c r="B5017" s="37" t="str">
        <f aca="false">SUBSTITUTE(SUBSTITUTE(SUBSTITUTE(SUBSTITUTE(SUBSTITUTE(Txt_P1,"{cabinet}",Cab_Nom),"{societe}",IF($K$4996=0,"",INDEX(Clients!$E$2:$E$501,$K$4996)&amp;"")),"{date_effet}",$K$4998),"{hausse}",$K$4999),"{civilite}",$K$4997)</f>
        <v>Nous tenons tout d'abord à vous remercier pour la confiance que vous accordez à ALTHO EXPERTISE. Comme chaque année, et conformément aux dispositions de votre lettre de mission, nous procédons à la révision de nos honoraires.</v>
      </c>
      <c r="C5017" s="37"/>
      <c r="D5017" s="37"/>
      <c r="E5017" s="37"/>
      <c r="F5017" s="37"/>
      <c r="J5017" s="25"/>
      <c r="K5017" s="25"/>
      <c r="L5017" s="25"/>
      <c r="M5017" s="25"/>
      <c r="N5017" s="25"/>
      <c r="O5017" s="25"/>
    </row>
    <row r="5018" customFormat="false" ht="49.5" hidden="false" customHeight="true" outlineLevel="0" collapsed="false">
      <c r="B5018" s="37" t="str">
        <f aca="false">SUBSTITUTE(SUBSTITUTE(SUBSTITUTE(SUBSTITUTE(SUBSTITUTE(Txt_P2,"{cabinet}",Cab_Nom),"{societe}",IF($K$4996=0,"",INDEX(Clients!$E$2:$E$501,$K$4996)&amp;"")),"{date_effet}",$K$4998),"{hausse}",$K$4999),"{civilite}",$K$4997)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018" s="37"/>
      <c r="D5018" s="37"/>
      <c r="E5018" s="37"/>
      <c r="F5018" s="37"/>
      <c r="J5018" s="25"/>
      <c r="K5018" s="25"/>
      <c r="L5018" s="25"/>
      <c r="M5018" s="25"/>
      <c r="N5018" s="25"/>
      <c r="O5018" s="25"/>
    </row>
    <row r="5019" customFormat="false" ht="63" hidden="false" customHeight="true" outlineLevel="0" collapsed="false">
      <c r="B5019" s="37" t="str">
        <f aca="false">SUBSTITUTE(SUBSTITUTE(SUBSTITUTE(SUBSTITUTE(SUBSTITUTE(Txt_P3,"{cabinet}",Cab_Nom),"{societe}",IF($K$4996=0,"",INDEX(Clients!$E$2:$E$501,$K$4996)&amp;"")),"{date_effet}",$K$4998),"{hausse}",$K$4999),"{civilite}",$K$4997)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019" s="37"/>
      <c r="D5019" s="37"/>
      <c r="E5019" s="37"/>
      <c r="F5019" s="37"/>
      <c r="J5019" s="25"/>
      <c r="K5019" s="25"/>
      <c r="L5019" s="25"/>
      <c r="M5019" s="25"/>
      <c r="N5019" s="25"/>
      <c r="O5019" s="25"/>
    </row>
    <row r="5020" customFormat="false" ht="24" hidden="false" customHeight="true" outlineLevel="0" collapsed="false">
      <c r="B5020" s="37" t="str">
        <f aca="false">SUBSTITUTE(SUBSTITUTE(SUBSTITUTE(SUBSTITUTE(SUBSTITUTE(Txt_P4,"{cabinet}",Cab_Nom),"{societe}",IF($K$4996=0,"",INDEX(Clients!$E$2:$E$501,$K$4996)&amp;"")),"{date_effet}",$K$4998),"{hausse}",$K$4999),"{civilite}",$K$4997)</f>
        <v>À compter du 1er janvier 2027, vos honoraires annuels hors taxes évolueront ainsi (évolution globale : ) :</v>
      </c>
      <c r="C5020" s="37"/>
      <c r="D5020" s="37"/>
      <c r="E5020" s="37"/>
      <c r="F5020" s="37"/>
      <c r="J5020" s="25"/>
      <c r="K5020" s="25"/>
      <c r="L5020" s="25"/>
      <c r="M5020" s="25"/>
      <c r="N5020" s="25"/>
      <c r="O5020" s="25"/>
    </row>
    <row r="5021" customFormat="false" ht="3.75" hidden="false" customHeight="true" outlineLevel="0" collapsed="false">
      <c r="B5021" s="10"/>
      <c r="C5021" s="10"/>
      <c r="D5021" s="10"/>
      <c r="E5021" s="10"/>
      <c r="F5021" s="10"/>
      <c r="J5021" s="25"/>
      <c r="K5021" s="25"/>
      <c r="L5021" s="25"/>
      <c r="M5021" s="25"/>
      <c r="N5021" s="25"/>
      <c r="O5021" s="25"/>
    </row>
    <row r="5022" customFormat="false" ht="18" hidden="false" customHeight="true" outlineLevel="0" collapsed="false">
      <c r="B5022" s="38" t="s">
        <v>148</v>
      </c>
      <c r="C5022" s="39" t="s">
        <v>149</v>
      </c>
      <c r="D5022" s="39" t="s">
        <v>150</v>
      </c>
      <c r="E5022" s="39" t="s">
        <v>151</v>
      </c>
      <c r="F5022" s="39" t="s">
        <v>109</v>
      </c>
      <c r="J5022" s="25" t="s">
        <v>152</v>
      </c>
      <c r="K5022" s="25" t="s">
        <v>153</v>
      </c>
      <c r="L5022" s="25" t="s">
        <v>154</v>
      </c>
      <c r="M5022" s="25" t="s">
        <v>155</v>
      </c>
      <c r="N5022" s="25" t="s">
        <v>156</v>
      </c>
      <c r="O5022" s="25" t="s">
        <v>157</v>
      </c>
    </row>
    <row r="5023" customFormat="false" ht="16.5" hidden="false" customHeight="true" outlineLevel="0" collapsed="false">
      <c r="B5023" s="40" t="str">
        <f aca="false">IFERROR(INDEX($J$5023:$J$5026,MATCH($O5023,$N$5023:$N$5026,0)),"")</f>
        <v/>
      </c>
      <c r="C5023" s="41" t="str">
        <f aca="false">IFERROR(INDEX($K$5023:$K$5026,MATCH($O5023,$N$5023:$N$5026,0)),"")</f>
        <v/>
      </c>
      <c r="D5023" s="42" t="str">
        <f aca="false">IF(OR(E5023="",N(C5023)=0),"",E5023/C5023-1)</f>
        <v/>
      </c>
      <c r="E5023" s="41" t="str">
        <f aca="false">IFERROR(INDEX($L$5023:$L$5026,MATCH($O5023,$N$5023:$N$5026,0)),"")</f>
        <v/>
      </c>
      <c r="F5023" s="41" t="str">
        <f aca="false">IF(E5023="","",E5023-C5023)</f>
        <v/>
      </c>
      <c r="J5023" s="25" t="str">
        <f aca="false">Lib_Compta</f>
        <v>Mission comptable (tenue, révision, bilan, liasse fiscale)</v>
      </c>
      <c r="K5023" s="25" t="n">
        <f aca="false">IF($K$4996=0,0,N(INDEX(Clients!$K$2:$K$501,$K$4996)))</f>
        <v>0</v>
      </c>
      <c r="L5023" s="25" t="n">
        <f aca="false">IF($K$4996=0,0,N(INDEX(Clients!$P$2:$P$501,$K$4996)))</f>
        <v>0</v>
      </c>
      <c r="M5023" s="25" t="n">
        <f aca="false">IF(OR(K5023&lt;&gt;0,L5023&lt;&gt;0),1,0)</f>
        <v>0</v>
      </c>
      <c r="N5023" s="25" t="str">
        <f aca="false">IF(M5023=1,SUM($M$5023:M5023),"")</f>
        <v/>
      </c>
      <c r="O5023" s="25" t="n">
        <v>1</v>
      </c>
    </row>
    <row r="5024" customFormat="false" ht="16.5" hidden="false" customHeight="true" outlineLevel="0" collapsed="false">
      <c r="B5024" s="40" t="str">
        <f aca="false">IFERROR(INDEX($J$5023:$J$5026,MATCH($O5024,$N$5023:$N$5026,0)),"")</f>
        <v/>
      </c>
      <c r="C5024" s="41" t="str">
        <f aca="false">IFERROR(INDEX($K$5023:$K$5026,MATCH($O5024,$N$5023:$N$5026,0)),"")</f>
        <v/>
      </c>
      <c r="D5024" s="42" t="str">
        <f aca="false">IF(OR(E5024="",N(C5024)=0),"",E5024/C5024-1)</f>
        <v/>
      </c>
      <c r="E5024" s="41" t="str">
        <f aca="false">IFERROR(INDEX($L$5023:$L$5026,MATCH($O5024,$N$5023:$N$5026,0)),"")</f>
        <v/>
      </c>
      <c r="F5024" s="41" t="str">
        <f aca="false">IF(E5024="","",E5024-C5024)</f>
        <v/>
      </c>
      <c r="J5024" s="25" t="str">
        <f aca="false">Lib_Paye</f>
        <v>Mission sociale (bulletins de paie, DSN, déclarations sociales)</v>
      </c>
      <c r="K5024" s="25" t="n">
        <f aca="false">IF($K$4996=0,0,N(INDEX(Clients!$L$2:$L$501,$K$4996)))</f>
        <v>0</v>
      </c>
      <c r="L5024" s="25" t="n">
        <f aca="false">IF($K$4996=0,0,N(INDEX(Clients!$Q$2:$Q$501,$K$4996)))</f>
        <v>0</v>
      </c>
      <c r="M5024" s="25" t="n">
        <f aca="false">IF(OR(K5024&lt;&gt;0,L5024&lt;&gt;0),1,0)</f>
        <v>0</v>
      </c>
      <c r="N5024" s="25" t="str">
        <f aca="false">IF(M5024=1,SUM($M$5023:M5024),"")</f>
        <v/>
      </c>
      <c r="O5024" s="25" t="n">
        <v>2</v>
      </c>
    </row>
    <row r="5025" customFormat="false" ht="16.5" hidden="false" customHeight="true" outlineLevel="0" collapsed="false">
      <c r="B5025" s="40" t="str">
        <f aca="false">IFERROR(INDEX($J$5023:$J$5026,MATCH($O5025,$N$5023:$N$5026,0)),"")</f>
        <v/>
      </c>
      <c r="C5025" s="41" t="str">
        <f aca="false">IFERROR(INDEX($K$5023:$K$5026,MATCH($O5025,$N$5023:$N$5026,0)),"")</f>
        <v/>
      </c>
      <c r="D5025" s="42" t="str">
        <f aca="false">IF(OR(E5025="",N(C5025)=0),"",E5025/C5025-1)</f>
        <v/>
      </c>
      <c r="E5025" s="41" t="str">
        <f aca="false">IFERROR(INDEX($L$5023:$L$5026,MATCH($O5025,$N$5023:$N$5026,0)),"")</f>
        <v/>
      </c>
      <c r="F5025" s="41" t="str">
        <f aca="false">IF(E5025="","",E5025-C5025)</f>
        <v/>
      </c>
      <c r="J5025" s="25" t="str">
        <f aca="false">Lib_Jur</f>
        <v>Mission juridique (approbation des comptes, secrétariat juridique)</v>
      </c>
      <c r="K5025" s="25" t="n">
        <f aca="false">IF($K$4996=0,0,N(INDEX(Clients!$M$2:$M$501,$K$4996)))</f>
        <v>0</v>
      </c>
      <c r="L5025" s="25" t="n">
        <f aca="false">IF($K$4996=0,0,N(INDEX(Clients!$R$2:$R$501,$K$4996)))</f>
        <v>0</v>
      </c>
      <c r="M5025" s="25" t="n">
        <f aca="false">IF(OR(K5025&lt;&gt;0,L5025&lt;&gt;0),1,0)</f>
        <v>0</v>
      </c>
      <c r="N5025" s="25" t="str">
        <f aca="false">IF(M5025=1,SUM($M$5023:M5025),"")</f>
        <v/>
      </c>
      <c r="O5025" s="25" t="n">
        <v>3</v>
      </c>
    </row>
    <row r="5026" customFormat="false" ht="16.5" hidden="false" customHeight="true" outlineLevel="0" collapsed="false">
      <c r="B5026" s="40" t="str">
        <f aca="false">IFERROR(INDEX($J$5023:$J$5026,MATCH($O5026,$N$5023:$N$5026,0)),"")</f>
        <v/>
      </c>
      <c r="C5026" s="41" t="str">
        <f aca="false">IFERROR(INDEX($K$5023:$K$5026,MATCH($O5026,$N$5023:$N$5026,0)),"")</f>
        <v/>
      </c>
      <c r="D5026" s="42" t="str">
        <f aca="false">IF(OR(E5026="",N(C5026)=0),"",E5026/C5026-1)</f>
        <v/>
      </c>
      <c r="E5026" s="41" t="str">
        <f aca="false">IFERROR(INDEX($L$5023:$L$5026,MATCH($O5026,$N$5023:$N$5026,0)),"")</f>
        <v/>
      </c>
      <c r="F5026" s="41" t="str">
        <f aca="false">IF(E5026="","",E5026-C5026)</f>
        <v/>
      </c>
      <c r="J5026" s="25" t="str">
        <f aca="false">Lib_PA</f>
        <v>Plateforme agréée – facturation électronique</v>
      </c>
      <c r="K5026" s="25" t="n">
        <f aca="false">IF($K$4996=0,0,N(INDEX(Clients!$N$2:$N$501,$K$4996)))</f>
        <v>0</v>
      </c>
      <c r="L5026" s="25" t="n">
        <f aca="false">IF($K$4996=0,0,N(INDEX(Clients!$S$2:$S$501,$K$4996)))</f>
        <v>0</v>
      </c>
      <c r="M5026" s="25" t="n">
        <f aca="false">IF(OR(K5026&lt;&gt;0,L5026&lt;&gt;0),1,0)</f>
        <v>0</v>
      </c>
      <c r="N5026" s="25" t="str">
        <f aca="false">IF(M5026=1,SUM($M$5023:M5026),"")</f>
        <v/>
      </c>
      <c r="O5026" s="25" t="n">
        <v>4</v>
      </c>
    </row>
    <row r="5027" customFormat="false" ht="18" hidden="false" customHeight="true" outlineLevel="0" collapsed="false">
      <c r="B5027" s="43" t="s">
        <v>158</v>
      </c>
      <c r="C5027" s="44" t="n">
        <f aca="false">SUM(K5023:K5026)</f>
        <v>0</v>
      </c>
      <c r="D5027" s="45" t="str">
        <f aca="false">IF(N(C5027)=0,"",E5027/C5027-1)</f>
        <v/>
      </c>
      <c r="E5027" s="44" t="n">
        <f aca="false">SUM(L5023:L5026)</f>
        <v>0</v>
      </c>
      <c r="F5027" s="44" t="n">
        <f aca="false">E5027-C5027</f>
        <v>0</v>
      </c>
    </row>
    <row r="5028" customFormat="false" ht="15" hidden="false" customHeight="false" outlineLevel="0" collapsed="false">
      <c r="B5028" s="46" t="str">
        <f aca="false">IF(N(Nb_Mensualites)=0,"","Soit "&amp;FIXED(E5027/Nb_Mensualites,2)&amp;" € HT par échéance ("&amp;Nb_Mensualites&amp;" échéances), "&amp;FIXED(E5027/Nb_Mensualites*(1+Taux_TVA),2)&amp;" € TTC.")</f>
        <v>Soit 0.00 € HT par échéance (12 échéances), 0.00 € TTC.</v>
      </c>
      <c r="C5028" s="46"/>
      <c r="D5028" s="46"/>
      <c r="E5028" s="46"/>
      <c r="F5028" s="46"/>
    </row>
    <row r="5029" customFormat="false" ht="7.5" hidden="false" customHeight="true" outlineLevel="0" collapsed="false">
      <c r="B5029" s="10"/>
      <c r="C5029" s="10"/>
      <c r="D5029" s="10"/>
      <c r="E5029" s="10"/>
      <c r="F5029" s="10"/>
    </row>
    <row r="5030" customFormat="false" ht="36.75" hidden="false" customHeight="true" outlineLevel="0" collapsed="false">
      <c r="B5030" s="37" t="str">
        <f aca="false">SUBSTITUTE(SUBSTITUTE(SUBSTITUTE(SUBSTITUTE(SUBSTITUTE(Txt_P5,"{cabinet}",Cab_Nom),"{societe}",IF($K$4996=0,"",INDEX(Clients!$E$2:$E$501,$K$4996)&amp;"")),"{date_effet}",$K$4998),"{hausse}",$K$4999),"{civilite}",$K$4997)</f>
        <v>Les autres conditions de votre lettre de mission demeurent inchangées. Les nouveaux montants seront appliqués automatiquement sur vos prochaines factures et échéances de prélèvement.</v>
      </c>
      <c r="C5030" s="37"/>
      <c r="D5030" s="37"/>
      <c r="E5030" s="37"/>
      <c r="F5030" s="37"/>
    </row>
    <row r="5031" customFormat="false" ht="36.75" hidden="false" customHeight="true" outlineLevel="0" collapsed="false">
      <c r="B5031" s="37" t="str">
        <f aca="false">SUBSTITUTE(SUBSTITUTE(SUBSTITUTE(SUBSTITUTE(SUBSTITUTE(Txt_P6,"{cabinet}",Cab_Nom),"{societe}",IF($K$4996=0,"",INDEX(Clients!$E$2:$E$501,$K$4996)&amp;"")),"{date_effet}",$K$4998),"{hausse}",$K$4999),"{civilite}",$K$4997)</f>
        <v>Votre interlocuteur habituel reste à votre entière disposition pour répondre à vos questions et faire le point sur l'évolution de vos besoins.</v>
      </c>
      <c r="C5031" s="37"/>
      <c r="D5031" s="37"/>
      <c r="E5031" s="37"/>
      <c r="F5031" s="37"/>
    </row>
    <row r="5032" customFormat="false" ht="24" hidden="false" customHeight="true" outlineLevel="0" collapsed="false">
      <c r="B5032" s="37" t="str">
        <f aca="false">SUBSTITUTE(SUBSTITUTE(SUBSTITUTE(SUBSTITUTE(SUBSTITUTE(Txt_Politesse,"{cabinet}",Cab_Nom),"{societe}",IF($K$4996=0,"",INDEX(Clients!$E$2:$E$501,$K$4996)&amp;"")),"{date_effet}",$K$4998),"{hausse}",$K$4999),"{civilite}",$K$4997)</f>
        <v>Nous vous prions d'agréer, Madame, Monsieur, l'expression de nos salutations distinguées.</v>
      </c>
      <c r="C5032" s="37"/>
      <c r="D5032" s="37"/>
      <c r="E5032" s="37"/>
      <c r="F5032" s="37"/>
    </row>
    <row r="5033" customFormat="false" ht="15" hidden="false" customHeight="false" outlineLevel="0" collapsed="false">
      <c r="B5033" s="10"/>
      <c r="C5033" s="10"/>
      <c r="D5033" s="10"/>
      <c r="E5033" s="10"/>
      <c r="F5033" s="10"/>
    </row>
    <row r="5034" customFormat="false" ht="15" hidden="false" customHeight="false" outlineLevel="0" collapsed="false">
      <c r="B5034" s="10"/>
      <c r="C5034" s="10"/>
      <c r="D5034" s="34" t="str">
        <f aca="false">Signataire</f>
        <v>Prénom NOM</v>
      </c>
      <c r="E5034" s="34"/>
      <c r="F5034" s="34"/>
    </row>
    <row r="5035" customFormat="false" ht="15" hidden="false" customHeight="false" outlineLevel="0" collapsed="false">
      <c r="B5035" s="10"/>
      <c r="C5035" s="10"/>
      <c r="D5035" s="47" t="str">
        <f aca="false">Signataire_Titre</f>
        <v>Expert-comptable associé</v>
      </c>
      <c r="E5035" s="47"/>
      <c r="F5035" s="47"/>
    </row>
    <row r="5036" customFormat="false" ht="15.75" hidden="false" customHeight="true" outlineLevel="0" collapsed="false">
      <c r="B5036" s="10"/>
      <c r="C5036" s="10"/>
      <c r="D5036" s="10"/>
      <c r="E5036" s="10"/>
      <c r="F5036" s="10"/>
    </row>
    <row r="5037" customFormat="false" ht="15.75" hidden="false" customHeight="true" outlineLevel="0" collapsed="false">
      <c r="B5037" s="10"/>
      <c r="C5037" s="10"/>
      <c r="D5037" s="10"/>
      <c r="E5037" s="10"/>
      <c r="F5037" s="10"/>
    </row>
    <row r="5038" customFormat="false" ht="15.75" hidden="false" customHeight="true" outlineLevel="0" collapsed="false">
      <c r="B5038" s="10"/>
      <c r="C5038" s="10"/>
      <c r="D5038" s="10"/>
      <c r="E5038" s="10"/>
      <c r="F5038" s="10"/>
    </row>
    <row r="5039" customFormat="false" ht="15.75" hidden="false" customHeight="true" outlineLevel="0" collapsed="false">
      <c r="B5039" s="10"/>
      <c r="C5039" s="10"/>
      <c r="D5039" s="10"/>
      <c r="E5039" s="10"/>
      <c r="F5039" s="10"/>
    </row>
    <row r="5040" customFormat="false" ht="24" hidden="false" customHeight="true" outlineLevel="0" collapsed="false">
      <c r="B5040" s="48" t="str">
        <f aca="false">Cab_Mentions</f>
        <v>ALTHO EXPERTISE · SAS au capital de 10 000 € · RCS Pontoise 919 706 325 · TVA FR62919706325 · Société d'expertise comptable inscrite au Tableau de l'Ordre des experts-comptables de Paris Île-de-France</v>
      </c>
      <c r="C5040" s="48"/>
      <c r="D5040" s="48"/>
      <c r="E5040" s="48"/>
      <c r="F5040" s="48"/>
    </row>
    <row r="5041" customFormat="false" ht="15" hidden="false" customHeight="false" outlineLevel="0" collapsed="false">
      <c r="B5041" s="10"/>
      <c r="C5041" s="10"/>
      <c r="D5041" s="10"/>
      <c r="E5041" s="10"/>
      <c r="F5041" s="10"/>
      <c r="J5041" s="25" t="s">
        <v>142</v>
      </c>
      <c r="K5041" s="25" t="n">
        <f aca="false">IFERROR(MATCH(113,Clients!$Z$2:$Z$501,0),0)</f>
        <v>0</v>
      </c>
      <c r="L5041" s="25"/>
      <c r="M5041" s="25"/>
      <c r="N5041" s="25"/>
      <c r="O5041" s="25"/>
    </row>
    <row r="5042" customFormat="false" ht="21.75" hidden="false" customHeight="true" outlineLevel="0" collapsed="false">
      <c r="B5042" s="26" t="str">
        <f aca="false">Cab_Nom</f>
        <v>ALTHO EXPERTISE</v>
      </c>
      <c r="C5042" s="26"/>
      <c r="D5042" s="10"/>
      <c r="E5042" s="27" t="str">
        <f aca="false">IF($K$5041=0,"","Réf. client : "&amp;INDEX(Clients!$A$2:$A$501,$K$5041))</f>
        <v/>
      </c>
      <c r="F5042" s="27"/>
      <c r="J5042" s="25" t="s">
        <v>144</v>
      </c>
      <c r="K5042" s="25" t="str">
        <f aca="false">IF(IF($K$5041=0,"",INDEX(Clients!$B$2:$B$501,$K$5041)&amp;"")="Mme","Madame",IF(IF($K$5041=0,"",INDEX(Clients!$B$2:$B$501,$K$5041)&amp;"")="M.","Monsieur","Madame, Monsieur"))</f>
        <v>Madame, Monsieur</v>
      </c>
      <c r="L5042" s="25"/>
      <c r="M5042" s="25"/>
      <c r="N5042" s="25"/>
      <c r="O5042" s="25"/>
    </row>
    <row r="5043" customFormat="false" ht="15" hidden="false" customHeight="false" outlineLevel="0" collapsed="false">
      <c r="B5043" s="29" t="str">
        <f aca="false">Cab_Adr1</f>
        <v>141 rue Charles de Gaulle</v>
      </c>
      <c r="C5043" s="29"/>
      <c r="D5043" s="10"/>
      <c r="E5043" s="10"/>
      <c r="F5043" s="10"/>
      <c r="J5043" s="25" t="s">
        <v>145</v>
      </c>
      <c r="K5043" s="25" t="str">
        <f aca="false">DAY(Date_Effet)&amp;IF(DAY(Date_Effet)=1,"er","")&amp;" "&amp;INDEX(Liste_Mois,MONTH(Date_Effet))&amp;" "&amp;YEAR(Date_Effet)</f>
        <v>1er janvier 2027</v>
      </c>
      <c r="L5043" s="25"/>
      <c r="M5043" s="25"/>
      <c r="N5043" s="25"/>
      <c r="O5043" s="25"/>
    </row>
    <row r="5044" customFormat="false" ht="15" hidden="false" customHeight="false" outlineLevel="0" collapsed="false">
      <c r="B5044" s="29" t="str">
        <f aca="false">Cab_CPVille</f>
        <v>95130 LE PLESSIS-BOUCHARD</v>
      </c>
      <c r="C5044" s="29"/>
      <c r="D5044" s="10"/>
      <c r="E5044" s="10"/>
      <c r="F5044" s="10"/>
      <c r="J5044" s="25" t="s">
        <v>146</v>
      </c>
      <c r="K5044" s="25" t="str">
        <f aca="false">IF(SUM($K$5068:$K$5071)=0,"",FIXED((SUM($L$5068:$L$5071)/SUM($K$5068:$K$5071)-1)*100,1)&amp;" %")</f>
        <v/>
      </c>
      <c r="L5044" s="25"/>
      <c r="M5044" s="25"/>
      <c r="N5044" s="25"/>
      <c r="O5044" s="25"/>
    </row>
    <row r="5045" customFormat="false" ht="15" hidden="false" customHeight="false" outlineLevel="0" collapsed="false">
      <c r="B5045" s="29" t="str">
        <f aca="false">Cab_Contact</f>
        <v>Tél. 01 34 14 53 45  ·  altho@altho-experts.com  ·  altho-experts.com</v>
      </c>
      <c r="C5045" s="29"/>
      <c r="D5045" s="10"/>
      <c r="E5045" s="10"/>
      <c r="F5045" s="10"/>
      <c r="J5045" s="25"/>
      <c r="K5045" s="25"/>
      <c r="L5045" s="25"/>
      <c r="M5045" s="25"/>
      <c r="N5045" s="25"/>
      <c r="O5045" s="25"/>
    </row>
    <row r="5046" customFormat="false" ht="6" hidden="false" customHeight="true" outlineLevel="0" collapsed="false">
      <c r="B5046" s="32"/>
      <c r="C5046" s="32"/>
      <c r="D5046" s="32"/>
      <c r="E5046" s="32"/>
      <c r="F5046" s="32"/>
      <c r="J5046" s="25"/>
      <c r="K5046" s="25"/>
      <c r="L5046" s="25"/>
      <c r="M5046" s="25"/>
      <c r="N5046" s="25"/>
      <c r="O5046" s="25"/>
    </row>
    <row r="5047" customFormat="false" ht="13.5" hidden="false" customHeight="true" outlineLevel="0" collapsed="false">
      <c r="B5047" s="10"/>
      <c r="C5047" s="10"/>
      <c r="D5047" s="10"/>
      <c r="E5047" s="10"/>
      <c r="F5047" s="10"/>
      <c r="J5047" s="25"/>
      <c r="K5047" s="25"/>
      <c r="L5047" s="25"/>
      <c r="M5047" s="25"/>
      <c r="N5047" s="25"/>
      <c r="O5047" s="25"/>
    </row>
    <row r="5048" customFormat="false" ht="13.5" hidden="false" customHeight="true" outlineLevel="0" collapsed="false">
      <c r="B5048" s="10"/>
      <c r="C5048" s="10"/>
      <c r="D5048" s="10"/>
      <c r="E5048" s="10"/>
      <c r="F5048" s="10"/>
      <c r="J5048" s="25"/>
      <c r="K5048" s="25"/>
      <c r="L5048" s="25"/>
      <c r="M5048" s="25"/>
      <c r="N5048" s="25"/>
      <c r="O5048" s="25"/>
    </row>
    <row r="5049" customFormat="false" ht="13.5" hidden="false" customHeight="true" outlineLevel="0" collapsed="false">
      <c r="B5049" s="10"/>
      <c r="C5049" s="10"/>
      <c r="D5049" s="10"/>
      <c r="E5049" s="10"/>
      <c r="F5049" s="10"/>
      <c r="J5049" s="25"/>
      <c r="K5049" s="25"/>
      <c r="L5049" s="25"/>
      <c r="M5049" s="25"/>
      <c r="N5049" s="25"/>
      <c r="O5049" s="25"/>
    </row>
    <row r="5050" customFormat="false" ht="15" hidden="false" customHeight="true" outlineLevel="0" collapsed="false">
      <c r="B5050" s="10"/>
      <c r="C5050" s="10"/>
      <c r="D5050" s="34" t="str">
        <f aca="false">IF($K$5041=0,"",INDEX(Clients!$E$2:$E$501,$K$5041)&amp;"")</f>
        <v/>
      </c>
      <c r="E5050" s="34"/>
      <c r="F5050" s="34"/>
      <c r="J5050" s="25"/>
      <c r="K5050" s="25"/>
      <c r="L5050" s="25"/>
      <c r="M5050" s="25"/>
      <c r="N5050" s="25"/>
      <c r="O5050" s="25"/>
    </row>
    <row r="5051" customFormat="false" ht="15" hidden="false" customHeight="true" outlineLevel="0" collapsed="false">
      <c r="B5051" s="10"/>
      <c r="C5051" s="10"/>
      <c r="D5051" s="35" t="str">
        <f aca="false">IF(IF($K$5041=0,"",INDEX(Clients!$D$2:$D$501,$K$5041)&amp;"")="","","À l'attention de "&amp;TRIM(IF($K$5041=0,"",INDEX(Clients!$B$2:$B$501,$K$5041)&amp;"")&amp;" "&amp;IF($K$5041=0,"",INDEX(Clients!$C$2:$C$501,$K$5041)&amp;"")&amp;" "&amp;IF($K$5041=0,"",INDEX(Clients!$D$2:$D$501,$K$5041)&amp;"")))</f>
        <v/>
      </c>
      <c r="E5051" s="35"/>
      <c r="F5051" s="35"/>
      <c r="J5051" s="25"/>
      <c r="K5051" s="25"/>
      <c r="L5051" s="25"/>
      <c r="M5051" s="25"/>
      <c r="N5051" s="25"/>
      <c r="O5051" s="25"/>
    </row>
    <row r="5052" customFormat="false" ht="15" hidden="false" customHeight="true" outlineLevel="0" collapsed="false">
      <c r="B5052" s="10"/>
      <c r="C5052" s="10"/>
      <c r="D5052" s="35" t="str">
        <f aca="false">IF($K$5041=0,"",INDEX(Clients!$F$2:$F$501,$K$5041)&amp;"")</f>
        <v/>
      </c>
      <c r="E5052" s="35"/>
      <c r="F5052" s="35"/>
      <c r="J5052" s="25"/>
      <c r="K5052" s="25"/>
      <c r="L5052" s="25"/>
      <c r="M5052" s="25"/>
      <c r="N5052" s="25"/>
      <c r="O5052" s="25"/>
    </row>
    <row r="5053" customFormat="false" ht="15" hidden="false" customHeight="true" outlineLevel="0" collapsed="false">
      <c r="B5053" s="10"/>
      <c r="C5053" s="10"/>
      <c r="D5053" s="35" t="str">
        <f aca="false">IF(IF($K$5041=0,"",INDEX(Clients!$G$2:$G$501,$K$5041)&amp;"")="",TRIM(IF($K$5041=0,"",INDEX(Clients!$H$2:$H$501,$K$5041)&amp;"")&amp;" "&amp;UPPER(IF($K$5041=0,"",INDEX(Clients!$I$2:$I$501,$K$5041)&amp;""))),IF($K$5041=0,"",INDEX(Clients!$G$2:$G$501,$K$5041)&amp;""))</f>
        <v/>
      </c>
      <c r="E5053" s="35"/>
      <c r="F5053" s="35"/>
      <c r="J5053" s="25"/>
      <c r="K5053" s="25"/>
      <c r="L5053" s="25"/>
      <c r="M5053" s="25"/>
      <c r="N5053" s="25"/>
      <c r="O5053" s="25"/>
    </row>
    <row r="5054" customFormat="false" ht="15" hidden="false" customHeight="true" outlineLevel="0" collapsed="false">
      <c r="B5054" s="10"/>
      <c r="C5054" s="10"/>
      <c r="D5054" s="35" t="str">
        <f aca="false">IF(IF($K$5041=0,"",INDEX(Clients!$G$2:$G$501,$K$5041)&amp;"")="","",TRIM(IF($K$5041=0,"",INDEX(Clients!$H$2:$H$501,$K$5041)&amp;"")&amp;" "&amp;UPPER(IF($K$5041=0,"",INDEX(Clients!$I$2:$I$501,$K$5041)&amp;""))))</f>
        <v/>
      </c>
      <c r="E5054" s="35"/>
      <c r="F5054" s="35"/>
      <c r="J5054" s="25"/>
      <c r="K5054" s="25"/>
      <c r="L5054" s="25"/>
      <c r="M5054" s="25"/>
      <c r="N5054" s="25"/>
      <c r="O5054" s="25"/>
    </row>
    <row r="5055" customFormat="false" ht="25.5" hidden="false" customHeight="true" outlineLevel="0" collapsed="false">
      <c r="B5055" s="10"/>
      <c r="C5055" s="10"/>
      <c r="D5055" s="10"/>
      <c r="E5055" s="10"/>
      <c r="F5055" s="10"/>
      <c r="J5055" s="25"/>
      <c r="K5055" s="25"/>
      <c r="L5055" s="25"/>
      <c r="M5055" s="25"/>
      <c r="N5055" s="25"/>
      <c r="O5055" s="25"/>
    </row>
    <row r="5056" customFormat="false" ht="15" hidden="false" customHeight="false" outlineLevel="0" collapsed="false">
      <c r="B5056" s="10"/>
      <c r="C5056" s="10"/>
      <c r="D5056" s="36" t="str">
        <f aca="false">Cab_Ville&amp;", le "&amp;DAY(Date_Courrier)&amp;IF(DAY(Date_Courrier)=1,"er","")&amp;" "&amp;INDEX(Liste_Mois,MONTH(Date_Courrier))&amp;" "&amp;YEAR(Date_Courrier)</f>
        <v>Le Plessis-Bouchard, le 22 septembre 2026</v>
      </c>
      <c r="E5056" s="36"/>
      <c r="F5056" s="36"/>
      <c r="J5056" s="25"/>
      <c r="K5056" s="25"/>
      <c r="L5056" s="25"/>
      <c r="M5056" s="25"/>
      <c r="N5056" s="25"/>
      <c r="O5056" s="25"/>
    </row>
    <row r="5057" customFormat="false" ht="19.5" hidden="false" customHeight="true" outlineLevel="0" collapsed="false">
      <c r="B5057" s="10"/>
      <c r="C5057" s="10"/>
      <c r="D5057" s="10"/>
      <c r="E5057" s="10"/>
      <c r="F5057" s="10"/>
      <c r="J5057" s="25"/>
      <c r="K5057" s="25"/>
      <c r="L5057" s="25"/>
      <c r="M5057" s="25"/>
      <c r="N5057" s="25"/>
      <c r="O5057" s="25"/>
    </row>
    <row r="5058" customFormat="false" ht="15" hidden="false" customHeight="false" outlineLevel="0" collapsed="false">
      <c r="B5058" s="34" t="str">
        <f aca="false">SUBSTITUTE(SUBSTITUTE(SUBSTITUTE(SUBSTITUTE(SUBSTITUTE(Txt_Objet,"{cabinet}",Cab_Nom),"{societe}",IF($K$5041=0,"",INDEX(Clients!$E$2:$E$501,$K$5041)&amp;"")),"{date_effet}",$K$5043),"{hausse}",$K$5044),"{civilite}",$K$5042)</f>
        <v>Objet : révision de nos honoraires au 1er janvier 2027</v>
      </c>
      <c r="C5058" s="34"/>
      <c r="D5058" s="34"/>
      <c r="E5058" s="34"/>
      <c r="F5058" s="34"/>
      <c r="J5058" s="25"/>
      <c r="K5058" s="25"/>
      <c r="L5058" s="25"/>
      <c r="M5058" s="25"/>
      <c r="N5058" s="25"/>
      <c r="O5058" s="25"/>
    </row>
    <row r="5059" customFormat="false" ht="13.5" hidden="false" customHeight="true" outlineLevel="0" collapsed="false">
      <c r="B5059" s="10"/>
      <c r="C5059" s="10"/>
      <c r="D5059" s="10"/>
      <c r="E5059" s="10"/>
      <c r="F5059" s="10"/>
      <c r="J5059" s="25"/>
      <c r="K5059" s="25"/>
      <c r="L5059" s="25"/>
      <c r="M5059" s="25"/>
      <c r="N5059" s="25"/>
      <c r="O5059" s="25"/>
    </row>
    <row r="5060" customFormat="false" ht="15" hidden="false" customHeight="false" outlineLevel="0" collapsed="false">
      <c r="B5060" s="10" t="str">
        <f aca="false">$K$5042&amp;","</f>
        <v>Madame, Monsieur,</v>
      </c>
      <c r="C5060" s="10"/>
      <c r="D5060" s="10"/>
      <c r="E5060" s="10"/>
      <c r="F5060" s="10"/>
      <c r="J5060" s="25"/>
      <c r="K5060" s="25"/>
      <c r="L5060" s="25"/>
      <c r="M5060" s="25"/>
      <c r="N5060" s="25"/>
      <c r="O5060" s="25"/>
    </row>
    <row r="5061" customFormat="false" ht="6" hidden="false" customHeight="true" outlineLevel="0" collapsed="false">
      <c r="B5061" s="10"/>
      <c r="C5061" s="10"/>
      <c r="D5061" s="10"/>
      <c r="E5061" s="10"/>
      <c r="F5061" s="10"/>
      <c r="J5061" s="25"/>
      <c r="K5061" s="25"/>
      <c r="L5061" s="25"/>
      <c r="M5061" s="25"/>
      <c r="N5061" s="25"/>
      <c r="O5061" s="25"/>
    </row>
    <row r="5062" customFormat="false" ht="36.75" hidden="false" customHeight="true" outlineLevel="0" collapsed="false">
      <c r="B5062" s="37" t="str">
        <f aca="false">SUBSTITUTE(SUBSTITUTE(SUBSTITUTE(SUBSTITUTE(SUBSTITUTE(Txt_P1,"{cabinet}",Cab_Nom),"{societe}",IF($K$5041=0,"",INDEX(Clients!$E$2:$E$501,$K$5041)&amp;"")),"{date_effet}",$K$5043),"{hausse}",$K$5044),"{civilite}",$K$5042)</f>
        <v>Nous tenons tout d'abord à vous remercier pour la confiance que vous accordez à ALTHO EXPERTISE. Comme chaque année, et conformément aux dispositions de votre lettre de mission, nous procédons à la révision de nos honoraires.</v>
      </c>
      <c r="C5062" s="37"/>
      <c r="D5062" s="37"/>
      <c r="E5062" s="37"/>
      <c r="F5062" s="37"/>
      <c r="J5062" s="25"/>
      <c r="K5062" s="25"/>
      <c r="L5062" s="25"/>
      <c r="M5062" s="25"/>
      <c r="N5062" s="25"/>
      <c r="O5062" s="25"/>
    </row>
    <row r="5063" customFormat="false" ht="49.5" hidden="false" customHeight="true" outlineLevel="0" collapsed="false">
      <c r="B5063" s="37" t="str">
        <f aca="false">SUBSTITUTE(SUBSTITUTE(SUBSTITUTE(SUBSTITUTE(SUBSTITUTE(Txt_P2,"{cabinet}",Cab_Nom),"{societe}",IF($K$5041=0,"",INDEX(Clients!$E$2:$E$501,$K$5041)&amp;"")),"{date_effet}",$K$5043),"{hausse}",$K$5044),"{civilite}",$K$5042)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063" s="37"/>
      <c r="D5063" s="37"/>
      <c r="E5063" s="37"/>
      <c r="F5063" s="37"/>
      <c r="J5063" s="25"/>
      <c r="K5063" s="25"/>
      <c r="L5063" s="25"/>
      <c r="M5063" s="25"/>
      <c r="N5063" s="25"/>
      <c r="O5063" s="25"/>
    </row>
    <row r="5064" customFormat="false" ht="63" hidden="false" customHeight="true" outlineLevel="0" collapsed="false">
      <c r="B5064" s="37" t="str">
        <f aca="false">SUBSTITUTE(SUBSTITUTE(SUBSTITUTE(SUBSTITUTE(SUBSTITUTE(Txt_P3,"{cabinet}",Cab_Nom),"{societe}",IF($K$5041=0,"",INDEX(Clients!$E$2:$E$501,$K$5041)&amp;"")),"{date_effet}",$K$5043),"{hausse}",$K$5044),"{civilite}",$K$5042)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064" s="37"/>
      <c r="D5064" s="37"/>
      <c r="E5064" s="37"/>
      <c r="F5064" s="37"/>
      <c r="J5064" s="25"/>
      <c r="K5064" s="25"/>
      <c r="L5064" s="25"/>
      <c r="M5064" s="25"/>
      <c r="N5064" s="25"/>
      <c r="O5064" s="25"/>
    </row>
    <row r="5065" customFormat="false" ht="24" hidden="false" customHeight="true" outlineLevel="0" collapsed="false">
      <c r="B5065" s="37" t="str">
        <f aca="false">SUBSTITUTE(SUBSTITUTE(SUBSTITUTE(SUBSTITUTE(SUBSTITUTE(Txt_P4,"{cabinet}",Cab_Nom),"{societe}",IF($K$5041=0,"",INDEX(Clients!$E$2:$E$501,$K$5041)&amp;"")),"{date_effet}",$K$5043),"{hausse}",$K$5044),"{civilite}",$K$5042)</f>
        <v>À compter du 1er janvier 2027, vos honoraires annuels hors taxes évolueront ainsi (évolution globale : ) :</v>
      </c>
      <c r="C5065" s="37"/>
      <c r="D5065" s="37"/>
      <c r="E5065" s="37"/>
      <c r="F5065" s="37"/>
      <c r="J5065" s="25"/>
      <c r="K5065" s="25"/>
      <c r="L5065" s="25"/>
      <c r="M5065" s="25"/>
      <c r="N5065" s="25"/>
      <c r="O5065" s="25"/>
    </row>
    <row r="5066" customFormat="false" ht="3.75" hidden="false" customHeight="true" outlineLevel="0" collapsed="false">
      <c r="B5066" s="10"/>
      <c r="C5066" s="10"/>
      <c r="D5066" s="10"/>
      <c r="E5066" s="10"/>
      <c r="F5066" s="10"/>
      <c r="J5066" s="25"/>
      <c r="K5066" s="25"/>
      <c r="L5066" s="25"/>
      <c r="M5066" s="25"/>
      <c r="N5066" s="25"/>
      <c r="O5066" s="25"/>
    </row>
    <row r="5067" customFormat="false" ht="18" hidden="false" customHeight="true" outlineLevel="0" collapsed="false">
      <c r="B5067" s="38" t="s">
        <v>148</v>
      </c>
      <c r="C5067" s="39" t="s">
        <v>149</v>
      </c>
      <c r="D5067" s="39" t="s">
        <v>150</v>
      </c>
      <c r="E5067" s="39" t="s">
        <v>151</v>
      </c>
      <c r="F5067" s="39" t="s">
        <v>109</v>
      </c>
      <c r="J5067" s="25" t="s">
        <v>152</v>
      </c>
      <c r="K5067" s="25" t="s">
        <v>153</v>
      </c>
      <c r="L5067" s="25" t="s">
        <v>154</v>
      </c>
      <c r="M5067" s="25" t="s">
        <v>155</v>
      </c>
      <c r="N5067" s="25" t="s">
        <v>156</v>
      </c>
      <c r="O5067" s="25" t="s">
        <v>157</v>
      </c>
    </row>
    <row r="5068" customFormat="false" ht="16.5" hidden="false" customHeight="true" outlineLevel="0" collapsed="false">
      <c r="B5068" s="40" t="str">
        <f aca="false">IFERROR(INDEX($J$5068:$J$5071,MATCH($O5068,$N$5068:$N$5071,0)),"")</f>
        <v/>
      </c>
      <c r="C5068" s="41" t="str">
        <f aca="false">IFERROR(INDEX($K$5068:$K$5071,MATCH($O5068,$N$5068:$N$5071,0)),"")</f>
        <v/>
      </c>
      <c r="D5068" s="42" t="str">
        <f aca="false">IF(OR(E5068="",N(C5068)=0),"",E5068/C5068-1)</f>
        <v/>
      </c>
      <c r="E5068" s="41" t="str">
        <f aca="false">IFERROR(INDEX($L$5068:$L$5071,MATCH($O5068,$N$5068:$N$5071,0)),"")</f>
        <v/>
      </c>
      <c r="F5068" s="41" t="str">
        <f aca="false">IF(E5068="","",E5068-C5068)</f>
        <v/>
      </c>
      <c r="J5068" s="25" t="str">
        <f aca="false">Lib_Compta</f>
        <v>Mission comptable (tenue, révision, bilan, liasse fiscale)</v>
      </c>
      <c r="K5068" s="25" t="n">
        <f aca="false">IF($K$5041=0,0,N(INDEX(Clients!$K$2:$K$501,$K$5041)))</f>
        <v>0</v>
      </c>
      <c r="L5068" s="25" t="n">
        <f aca="false">IF($K$5041=0,0,N(INDEX(Clients!$P$2:$P$501,$K$5041)))</f>
        <v>0</v>
      </c>
      <c r="M5068" s="25" t="n">
        <f aca="false">IF(OR(K5068&lt;&gt;0,L5068&lt;&gt;0),1,0)</f>
        <v>0</v>
      </c>
      <c r="N5068" s="25" t="str">
        <f aca="false">IF(M5068=1,SUM($M$5068:M5068),"")</f>
        <v/>
      </c>
      <c r="O5068" s="25" t="n">
        <v>1</v>
      </c>
    </row>
    <row r="5069" customFormat="false" ht="16.5" hidden="false" customHeight="true" outlineLevel="0" collapsed="false">
      <c r="B5069" s="40" t="str">
        <f aca="false">IFERROR(INDEX($J$5068:$J$5071,MATCH($O5069,$N$5068:$N$5071,0)),"")</f>
        <v/>
      </c>
      <c r="C5069" s="41" t="str">
        <f aca="false">IFERROR(INDEX($K$5068:$K$5071,MATCH($O5069,$N$5068:$N$5071,0)),"")</f>
        <v/>
      </c>
      <c r="D5069" s="42" t="str">
        <f aca="false">IF(OR(E5069="",N(C5069)=0),"",E5069/C5069-1)</f>
        <v/>
      </c>
      <c r="E5069" s="41" t="str">
        <f aca="false">IFERROR(INDEX($L$5068:$L$5071,MATCH($O5069,$N$5068:$N$5071,0)),"")</f>
        <v/>
      </c>
      <c r="F5069" s="41" t="str">
        <f aca="false">IF(E5069="","",E5069-C5069)</f>
        <v/>
      </c>
      <c r="J5069" s="25" t="str">
        <f aca="false">Lib_Paye</f>
        <v>Mission sociale (bulletins de paie, DSN, déclarations sociales)</v>
      </c>
      <c r="K5069" s="25" t="n">
        <f aca="false">IF($K$5041=0,0,N(INDEX(Clients!$L$2:$L$501,$K$5041)))</f>
        <v>0</v>
      </c>
      <c r="L5069" s="25" t="n">
        <f aca="false">IF($K$5041=0,0,N(INDEX(Clients!$Q$2:$Q$501,$K$5041)))</f>
        <v>0</v>
      </c>
      <c r="M5069" s="25" t="n">
        <f aca="false">IF(OR(K5069&lt;&gt;0,L5069&lt;&gt;0),1,0)</f>
        <v>0</v>
      </c>
      <c r="N5069" s="25" t="str">
        <f aca="false">IF(M5069=1,SUM($M$5068:M5069),"")</f>
        <v/>
      </c>
      <c r="O5069" s="25" t="n">
        <v>2</v>
      </c>
    </row>
    <row r="5070" customFormat="false" ht="16.5" hidden="false" customHeight="true" outlineLevel="0" collapsed="false">
      <c r="B5070" s="40" t="str">
        <f aca="false">IFERROR(INDEX($J$5068:$J$5071,MATCH($O5070,$N$5068:$N$5071,0)),"")</f>
        <v/>
      </c>
      <c r="C5070" s="41" t="str">
        <f aca="false">IFERROR(INDEX($K$5068:$K$5071,MATCH($O5070,$N$5068:$N$5071,0)),"")</f>
        <v/>
      </c>
      <c r="D5070" s="42" t="str">
        <f aca="false">IF(OR(E5070="",N(C5070)=0),"",E5070/C5070-1)</f>
        <v/>
      </c>
      <c r="E5070" s="41" t="str">
        <f aca="false">IFERROR(INDEX($L$5068:$L$5071,MATCH($O5070,$N$5068:$N$5071,0)),"")</f>
        <v/>
      </c>
      <c r="F5070" s="41" t="str">
        <f aca="false">IF(E5070="","",E5070-C5070)</f>
        <v/>
      </c>
      <c r="J5070" s="25" t="str">
        <f aca="false">Lib_Jur</f>
        <v>Mission juridique (approbation des comptes, secrétariat juridique)</v>
      </c>
      <c r="K5070" s="25" t="n">
        <f aca="false">IF($K$5041=0,0,N(INDEX(Clients!$M$2:$M$501,$K$5041)))</f>
        <v>0</v>
      </c>
      <c r="L5070" s="25" t="n">
        <f aca="false">IF($K$5041=0,0,N(INDEX(Clients!$R$2:$R$501,$K$5041)))</f>
        <v>0</v>
      </c>
      <c r="M5070" s="25" t="n">
        <f aca="false">IF(OR(K5070&lt;&gt;0,L5070&lt;&gt;0),1,0)</f>
        <v>0</v>
      </c>
      <c r="N5070" s="25" t="str">
        <f aca="false">IF(M5070=1,SUM($M$5068:M5070),"")</f>
        <v/>
      </c>
      <c r="O5070" s="25" t="n">
        <v>3</v>
      </c>
    </row>
    <row r="5071" customFormat="false" ht="16.5" hidden="false" customHeight="true" outlineLevel="0" collapsed="false">
      <c r="B5071" s="40" t="str">
        <f aca="false">IFERROR(INDEX($J$5068:$J$5071,MATCH($O5071,$N$5068:$N$5071,0)),"")</f>
        <v/>
      </c>
      <c r="C5071" s="41" t="str">
        <f aca="false">IFERROR(INDEX($K$5068:$K$5071,MATCH($O5071,$N$5068:$N$5071,0)),"")</f>
        <v/>
      </c>
      <c r="D5071" s="42" t="str">
        <f aca="false">IF(OR(E5071="",N(C5071)=0),"",E5071/C5071-1)</f>
        <v/>
      </c>
      <c r="E5071" s="41" t="str">
        <f aca="false">IFERROR(INDEX($L$5068:$L$5071,MATCH($O5071,$N$5068:$N$5071,0)),"")</f>
        <v/>
      </c>
      <c r="F5071" s="41" t="str">
        <f aca="false">IF(E5071="","",E5071-C5071)</f>
        <v/>
      </c>
      <c r="J5071" s="25" t="str">
        <f aca="false">Lib_PA</f>
        <v>Plateforme agréée – facturation électronique</v>
      </c>
      <c r="K5071" s="25" t="n">
        <f aca="false">IF($K$5041=0,0,N(INDEX(Clients!$N$2:$N$501,$K$5041)))</f>
        <v>0</v>
      </c>
      <c r="L5071" s="25" t="n">
        <f aca="false">IF($K$5041=0,0,N(INDEX(Clients!$S$2:$S$501,$K$5041)))</f>
        <v>0</v>
      </c>
      <c r="M5071" s="25" t="n">
        <f aca="false">IF(OR(K5071&lt;&gt;0,L5071&lt;&gt;0),1,0)</f>
        <v>0</v>
      </c>
      <c r="N5071" s="25" t="str">
        <f aca="false">IF(M5071=1,SUM($M$5068:M5071),"")</f>
        <v/>
      </c>
      <c r="O5071" s="25" t="n">
        <v>4</v>
      </c>
    </row>
    <row r="5072" customFormat="false" ht="18" hidden="false" customHeight="true" outlineLevel="0" collapsed="false">
      <c r="B5072" s="43" t="s">
        <v>158</v>
      </c>
      <c r="C5072" s="44" t="n">
        <f aca="false">SUM(K5068:K5071)</f>
        <v>0</v>
      </c>
      <c r="D5072" s="45" t="str">
        <f aca="false">IF(N(C5072)=0,"",E5072/C5072-1)</f>
        <v/>
      </c>
      <c r="E5072" s="44" t="n">
        <f aca="false">SUM(L5068:L5071)</f>
        <v>0</v>
      </c>
      <c r="F5072" s="44" t="n">
        <f aca="false">E5072-C5072</f>
        <v>0</v>
      </c>
    </row>
    <row r="5073" customFormat="false" ht="15" hidden="false" customHeight="false" outlineLevel="0" collapsed="false">
      <c r="B5073" s="46" t="str">
        <f aca="false">IF(N(Nb_Mensualites)=0,"","Soit "&amp;FIXED(E5072/Nb_Mensualites,2)&amp;" € HT par échéance ("&amp;Nb_Mensualites&amp;" échéances), "&amp;FIXED(E5072/Nb_Mensualites*(1+Taux_TVA),2)&amp;" € TTC.")</f>
        <v>Soit 0.00 € HT par échéance (12 échéances), 0.00 € TTC.</v>
      </c>
      <c r="C5073" s="46"/>
      <c r="D5073" s="46"/>
      <c r="E5073" s="46"/>
      <c r="F5073" s="46"/>
    </row>
    <row r="5074" customFormat="false" ht="7.5" hidden="false" customHeight="true" outlineLevel="0" collapsed="false">
      <c r="B5074" s="10"/>
      <c r="C5074" s="10"/>
      <c r="D5074" s="10"/>
      <c r="E5074" s="10"/>
      <c r="F5074" s="10"/>
    </row>
    <row r="5075" customFormat="false" ht="36.75" hidden="false" customHeight="true" outlineLevel="0" collapsed="false">
      <c r="B5075" s="37" t="str">
        <f aca="false">SUBSTITUTE(SUBSTITUTE(SUBSTITUTE(SUBSTITUTE(SUBSTITUTE(Txt_P5,"{cabinet}",Cab_Nom),"{societe}",IF($K$5041=0,"",INDEX(Clients!$E$2:$E$501,$K$5041)&amp;"")),"{date_effet}",$K$5043),"{hausse}",$K$5044),"{civilite}",$K$5042)</f>
        <v>Les autres conditions de votre lettre de mission demeurent inchangées. Les nouveaux montants seront appliqués automatiquement sur vos prochaines factures et échéances de prélèvement.</v>
      </c>
      <c r="C5075" s="37"/>
      <c r="D5075" s="37"/>
      <c r="E5075" s="37"/>
      <c r="F5075" s="37"/>
    </row>
    <row r="5076" customFormat="false" ht="36.75" hidden="false" customHeight="true" outlineLevel="0" collapsed="false">
      <c r="B5076" s="37" t="str">
        <f aca="false">SUBSTITUTE(SUBSTITUTE(SUBSTITUTE(SUBSTITUTE(SUBSTITUTE(Txt_P6,"{cabinet}",Cab_Nom),"{societe}",IF($K$5041=0,"",INDEX(Clients!$E$2:$E$501,$K$5041)&amp;"")),"{date_effet}",$K$5043),"{hausse}",$K$5044),"{civilite}",$K$5042)</f>
        <v>Votre interlocuteur habituel reste à votre entière disposition pour répondre à vos questions et faire le point sur l'évolution de vos besoins.</v>
      </c>
      <c r="C5076" s="37"/>
      <c r="D5076" s="37"/>
      <c r="E5076" s="37"/>
      <c r="F5076" s="37"/>
    </row>
    <row r="5077" customFormat="false" ht="24" hidden="false" customHeight="true" outlineLevel="0" collapsed="false">
      <c r="B5077" s="37" t="str">
        <f aca="false">SUBSTITUTE(SUBSTITUTE(SUBSTITUTE(SUBSTITUTE(SUBSTITUTE(Txt_Politesse,"{cabinet}",Cab_Nom),"{societe}",IF($K$5041=0,"",INDEX(Clients!$E$2:$E$501,$K$5041)&amp;"")),"{date_effet}",$K$5043),"{hausse}",$K$5044),"{civilite}",$K$5042)</f>
        <v>Nous vous prions d'agréer, Madame, Monsieur, l'expression de nos salutations distinguées.</v>
      </c>
      <c r="C5077" s="37"/>
      <c r="D5077" s="37"/>
      <c r="E5077" s="37"/>
      <c r="F5077" s="37"/>
    </row>
    <row r="5078" customFormat="false" ht="15" hidden="false" customHeight="false" outlineLevel="0" collapsed="false">
      <c r="B5078" s="10"/>
      <c r="C5078" s="10"/>
      <c r="D5078" s="10"/>
      <c r="E5078" s="10"/>
      <c r="F5078" s="10"/>
    </row>
    <row r="5079" customFormat="false" ht="15" hidden="false" customHeight="false" outlineLevel="0" collapsed="false">
      <c r="B5079" s="10"/>
      <c r="C5079" s="10"/>
      <c r="D5079" s="34" t="str">
        <f aca="false">Signataire</f>
        <v>Prénom NOM</v>
      </c>
      <c r="E5079" s="34"/>
      <c r="F5079" s="34"/>
    </row>
    <row r="5080" customFormat="false" ht="15" hidden="false" customHeight="false" outlineLevel="0" collapsed="false">
      <c r="B5080" s="10"/>
      <c r="C5080" s="10"/>
      <c r="D5080" s="47" t="str">
        <f aca="false">Signataire_Titre</f>
        <v>Expert-comptable associé</v>
      </c>
      <c r="E5080" s="47"/>
      <c r="F5080" s="47"/>
    </row>
    <row r="5081" customFormat="false" ht="15.75" hidden="false" customHeight="true" outlineLevel="0" collapsed="false">
      <c r="B5081" s="10"/>
      <c r="C5081" s="10"/>
      <c r="D5081" s="10"/>
      <c r="E5081" s="10"/>
      <c r="F5081" s="10"/>
    </row>
    <row r="5082" customFormat="false" ht="15.75" hidden="false" customHeight="true" outlineLevel="0" collapsed="false">
      <c r="B5082" s="10"/>
      <c r="C5082" s="10"/>
      <c r="D5082" s="10"/>
      <c r="E5082" s="10"/>
      <c r="F5082" s="10"/>
    </row>
    <row r="5083" customFormat="false" ht="15.75" hidden="false" customHeight="true" outlineLevel="0" collapsed="false">
      <c r="B5083" s="10"/>
      <c r="C5083" s="10"/>
      <c r="D5083" s="10"/>
      <c r="E5083" s="10"/>
      <c r="F5083" s="10"/>
    </row>
    <row r="5084" customFormat="false" ht="15.75" hidden="false" customHeight="true" outlineLevel="0" collapsed="false">
      <c r="B5084" s="10"/>
      <c r="C5084" s="10"/>
      <c r="D5084" s="10"/>
      <c r="E5084" s="10"/>
      <c r="F5084" s="10"/>
    </row>
    <row r="5085" customFormat="false" ht="24" hidden="false" customHeight="true" outlineLevel="0" collapsed="false">
      <c r="B5085" s="48" t="str">
        <f aca="false">Cab_Mentions</f>
        <v>ALTHO EXPERTISE · SAS au capital de 10 000 € · RCS Pontoise 919 706 325 · TVA FR62919706325 · Société d'expertise comptable inscrite au Tableau de l'Ordre des experts-comptables de Paris Île-de-France</v>
      </c>
      <c r="C5085" s="48"/>
      <c r="D5085" s="48"/>
      <c r="E5085" s="48"/>
      <c r="F5085" s="48"/>
    </row>
    <row r="5086" customFormat="false" ht="15" hidden="false" customHeight="false" outlineLevel="0" collapsed="false">
      <c r="B5086" s="10"/>
      <c r="C5086" s="10"/>
      <c r="D5086" s="10"/>
      <c r="E5086" s="10"/>
      <c r="F5086" s="10"/>
      <c r="J5086" s="25" t="s">
        <v>142</v>
      </c>
      <c r="K5086" s="25" t="n">
        <f aca="false">IFERROR(MATCH(114,Clients!$Z$2:$Z$501,0),0)</f>
        <v>0</v>
      </c>
      <c r="L5086" s="25"/>
      <c r="M5086" s="25"/>
      <c r="N5086" s="25"/>
      <c r="O5086" s="25"/>
    </row>
    <row r="5087" customFormat="false" ht="21.75" hidden="false" customHeight="true" outlineLevel="0" collapsed="false">
      <c r="B5087" s="26" t="str">
        <f aca="false">Cab_Nom</f>
        <v>ALTHO EXPERTISE</v>
      </c>
      <c r="C5087" s="26"/>
      <c r="D5087" s="10"/>
      <c r="E5087" s="27" t="str">
        <f aca="false">IF($K$5086=0,"","Réf. client : "&amp;INDEX(Clients!$A$2:$A$501,$K$5086))</f>
        <v/>
      </c>
      <c r="F5087" s="27"/>
      <c r="J5087" s="25" t="s">
        <v>144</v>
      </c>
      <c r="K5087" s="25" t="str">
        <f aca="false">IF(IF($K$5086=0,"",INDEX(Clients!$B$2:$B$501,$K$5086)&amp;"")="Mme","Madame",IF(IF($K$5086=0,"",INDEX(Clients!$B$2:$B$501,$K$5086)&amp;"")="M.","Monsieur","Madame, Monsieur"))</f>
        <v>Madame, Monsieur</v>
      </c>
      <c r="L5087" s="25"/>
      <c r="M5087" s="25"/>
      <c r="N5087" s="25"/>
      <c r="O5087" s="25"/>
    </row>
    <row r="5088" customFormat="false" ht="15" hidden="false" customHeight="false" outlineLevel="0" collapsed="false">
      <c r="B5088" s="29" t="str">
        <f aca="false">Cab_Adr1</f>
        <v>141 rue Charles de Gaulle</v>
      </c>
      <c r="C5088" s="29"/>
      <c r="D5088" s="10"/>
      <c r="E5088" s="10"/>
      <c r="F5088" s="10"/>
      <c r="J5088" s="25" t="s">
        <v>145</v>
      </c>
      <c r="K5088" s="25" t="str">
        <f aca="false">DAY(Date_Effet)&amp;IF(DAY(Date_Effet)=1,"er","")&amp;" "&amp;INDEX(Liste_Mois,MONTH(Date_Effet))&amp;" "&amp;YEAR(Date_Effet)</f>
        <v>1er janvier 2027</v>
      </c>
      <c r="L5088" s="25"/>
      <c r="M5088" s="25"/>
      <c r="N5088" s="25"/>
      <c r="O5088" s="25"/>
    </row>
    <row r="5089" customFormat="false" ht="15" hidden="false" customHeight="false" outlineLevel="0" collapsed="false">
      <c r="B5089" s="29" t="str">
        <f aca="false">Cab_CPVille</f>
        <v>95130 LE PLESSIS-BOUCHARD</v>
      </c>
      <c r="C5089" s="29"/>
      <c r="D5089" s="10"/>
      <c r="E5089" s="10"/>
      <c r="F5089" s="10"/>
      <c r="J5089" s="25" t="s">
        <v>146</v>
      </c>
      <c r="K5089" s="25" t="str">
        <f aca="false">IF(SUM($K$5113:$K$5116)=0,"",FIXED((SUM($L$5113:$L$5116)/SUM($K$5113:$K$5116)-1)*100,1)&amp;" %")</f>
        <v/>
      </c>
      <c r="L5089" s="25"/>
      <c r="M5089" s="25"/>
      <c r="N5089" s="25"/>
      <c r="O5089" s="25"/>
    </row>
    <row r="5090" customFormat="false" ht="15" hidden="false" customHeight="false" outlineLevel="0" collapsed="false">
      <c r="B5090" s="29" t="str">
        <f aca="false">Cab_Contact</f>
        <v>Tél. 01 34 14 53 45  ·  altho@altho-experts.com  ·  altho-experts.com</v>
      </c>
      <c r="C5090" s="29"/>
      <c r="D5090" s="10"/>
      <c r="E5090" s="10"/>
      <c r="F5090" s="10"/>
      <c r="J5090" s="25"/>
      <c r="K5090" s="25"/>
      <c r="L5090" s="25"/>
      <c r="M5090" s="25"/>
      <c r="N5090" s="25"/>
      <c r="O5090" s="25"/>
    </row>
    <row r="5091" customFormat="false" ht="6" hidden="false" customHeight="true" outlineLevel="0" collapsed="false">
      <c r="B5091" s="32"/>
      <c r="C5091" s="32"/>
      <c r="D5091" s="32"/>
      <c r="E5091" s="32"/>
      <c r="F5091" s="32"/>
      <c r="J5091" s="25"/>
      <c r="K5091" s="25"/>
      <c r="L5091" s="25"/>
      <c r="M5091" s="25"/>
      <c r="N5091" s="25"/>
      <c r="O5091" s="25"/>
    </row>
    <row r="5092" customFormat="false" ht="13.5" hidden="false" customHeight="true" outlineLevel="0" collapsed="false">
      <c r="B5092" s="10"/>
      <c r="C5092" s="10"/>
      <c r="D5092" s="10"/>
      <c r="E5092" s="10"/>
      <c r="F5092" s="10"/>
      <c r="J5092" s="25"/>
      <c r="K5092" s="25"/>
      <c r="L5092" s="25"/>
      <c r="M5092" s="25"/>
      <c r="N5092" s="25"/>
      <c r="O5092" s="25"/>
    </row>
    <row r="5093" customFormat="false" ht="13.5" hidden="false" customHeight="true" outlineLevel="0" collapsed="false">
      <c r="B5093" s="10"/>
      <c r="C5093" s="10"/>
      <c r="D5093" s="10"/>
      <c r="E5093" s="10"/>
      <c r="F5093" s="10"/>
      <c r="J5093" s="25"/>
      <c r="K5093" s="25"/>
      <c r="L5093" s="25"/>
      <c r="M5093" s="25"/>
      <c r="N5093" s="25"/>
      <c r="O5093" s="25"/>
    </row>
    <row r="5094" customFormat="false" ht="13.5" hidden="false" customHeight="true" outlineLevel="0" collapsed="false">
      <c r="B5094" s="10"/>
      <c r="C5094" s="10"/>
      <c r="D5094" s="10"/>
      <c r="E5094" s="10"/>
      <c r="F5094" s="10"/>
      <c r="J5094" s="25"/>
      <c r="K5094" s="25"/>
      <c r="L5094" s="25"/>
      <c r="M5094" s="25"/>
      <c r="N5094" s="25"/>
      <c r="O5094" s="25"/>
    </row>
    <row r="5095" customFormat="false" ht="15" hidden="false" customHeight="true" outlineLevel="0" collapsed="false">
      <c r="B5095" s="10"/>
      <c r="C5095" s="10"/>
      <c r="D5095" s="34" t="str">
        <f aca="false">IF($K$5086=0,"",INDEX(Clients!$E$2:$E$501,$K$5086)&amp;"")</f>
        <v/>
      </c>
      <c r="E5095" s="34"/>
      <c r="F5095" s="34"/>
      <c r="J5095" s="25"/>
      <c r="K5095" s="25"/>
      <c r="L5095" s="25"/>
      <c r="M5095" s="25"/>
      <c r="N5095" s="25"/>
      <c r="O5095" s="25"/>
    </row>
    <row r="5096" customFormat="false" ht="15" hidden="false" customHeight="true" outlineLevel="0" collapsed="false">
      <c r="B5096" s="10"/>
      <c r="C5096" s="10"/>
      <c r="D5096" s="35" t="str">
        <f aca="false">IF(IF($K$5086=0,"",INDEX(Clients!$D$2:$D$501,$K$5086)&amp;"")="","","À l'attention de "&amp;TRIM(IF($K$5086=0,"",INDEX(Clients!$B$2:$B$501,$K$5086)&amp;"")&amp;" "&amp;IF($K$5086=0,"",INDEX(Clients!$C$2:$C$501,$K$5086)&amp;"")&amp;" "&amp;IF($K$5086=0,"",INDEX(Clients!$D$2:$D$501,$K$5086)&amp;"")))</f>
        <v/>
      </c>
      <c r="E5096" s="35"/>
      <c r="F5096" s="35"/>
      <c r="J5096" s="25"/>
      <c r="K5096" s="25"/>
      <c r="L5096" s="25"/>
      <c r="M5096" s="25"/>
      <c r="N5096" s="25"/>
      <c r="O5096" s="25"/>
    </row>
    <row r="5097" customFormat="false" ht="15" hidden="false" customHeight="true" outlineLevel="0" collapsed="false">
      <c r="B5097" s="10"/>
      <c r="C5097" s="10"/>
      <c r="D5097" s="35" t="str">
        <f aca="false">IF($K$5086=0,"",INDEX(Clients!$F$2:$F$501,$K$5086)&amp;"")</f>
        <v/>
      </c>
      <c r="E5097" s="35"/>
      <c r="F5097" s="35"/>
      <c r="J5097" s="25"/>
      <c r="K5097" s="25"/>
      <c r="L5097" s="25"/>
      <c r="M5097" s="25"/>
      <c r="N5097" s="25"/>
      <c r="O5097" s="25"/>
    </row>
    <row r="5098" customFormat="false" ht="15" hidden="false" customHeight="true" outlineLevel="0" collapsed="false">
      <c r="B5098" s="10"/>
      <c r="C5098" s="10"/>
      <c r="D5098" s="35" t="str">
        <f aca="false">IF(IF($K$5086=0,"",INDEX(Clients!$G$2:$G$501,$K$5086)&amp;"")="",TRIM(IF($K$5086=0,"",INDEX(Clients!$H$2:$H$501,$K$5086)&amp;"")&amp;" "&amp;UPPER(IF($K$5086=0,"",INDEX(Clients!$I$2:$I$501,$K$5086)&amp;""))),IF($K$5086=0,"",INDEX(Clients!$G$2:$G$501,$K$5086)&amp;""))</f>
        <v/>
      </c>
      <c r="E5098" s="35"/>
      <c r="F5098" s="35"/>
      <c r="J5098" s="25"/>
      <c r="K5098" s="25"/>
      <c r="L5098" s="25"/>
      <c r="M5098" s="25"/>
      <c r="N5098" s="25"/>
      <c r="O5098" s="25"/>
    </row>
    <row r="5099" customFormat="false" ht="15" hidden="false" customHeight="true" outlineLevel="0" collapsed="false">
      <c r="B5099" s="10"/>
      <c r="C5099" s="10"/>
      <c r="D5099" s="35" t="str">
        <f aca="false">IF(IF($K$5086=0,"",INDEX(Clients!$G$2:$G$501,$K$5086)&amp;"")="","",TRIM(IF($K$5086=0,"",INDEX(Clients!$H$2:$H$501,$K$5086)&amp;"")&amp;" "&amp;UPPER(IF($K$5086=0,"",INDEX(Clients!$I$2:$I$501,$K$5086)&amp;""))))</f>
        <v/>
      </c>
      <c r="E5099" s="35"/>
      <c r="F5099" s="35"/>
      <c r="J5099" s="25"/>
      <c r="K5099" s="25"/>
      <c r="L5099" s="25"/>
      <c r="M5099" s="25"/>
      <c r="N5099" s="25"/>
      <c r="O5099" s="25"/>
    </row>
    <row r="5100" customFormat="false" ht="25.5" hidden="false" customHeight="true" outlineLevel="0" collapsed="false">
      <c r="B5100" s="10"/>
      <c r="C5100" s="10"/>
      <c r="D5100" s="10"/>
      <c r="E5100" s="10"/>
      <c r="F5100" s="10"/>
      <c r="J5100" s="25"/>
      <c r="K5100" s="25"/>
      <c r="L5100" s="25"/>
      <c r="M5100" s="25"/>
      <c r="N5100" s="25"/>
      <c r="O5100" s="25"/>
    </row>
    <row r="5101" customFormat="false" ht="15" hidden="false" customHeight="false" outlineLevel="0" collapsed="false">
      <c r="B5101" s="10"/>
      <c r="C5101" s="10"/>
      <c r="D5101" s="36" t="str">
        <f aca="false">Cab_Ville&amp;", le "&amp;DAY(Date_Courrier)&amp;IF(DAY(Date_Courrier)=1,"er","")&amp;" "&amp;INDEX(Liste_Mois,MONTH(Date_Courrier))&amp;" "&amp;YEAR(Date_Courrier)</f>
        <v>Le Plessis-Bouchard, le 22 septembre 2026</v>
      </c>
      <c r="E5101" s="36"/>
      <c r="F5101" s="36"/>
      <c r="J5101" s="25"/>
      <c r="K5101" s="25"/>
      <c r="L5101" s="25"/>
      <c r="M5101" s="25"/>
      <c r="N5101" s="25"/>
      <c r="O5101" s="25"/>
    </row>
    <row r="5102" customFormat="false" ht="19.5" hidden="false" customHeight="true" outlineLevel="0" collapsed="false">
      <c r="B5102" s="10"/>
      <c r="C5102" s="10"/>
      <c r="D5102" s="10"/>
      <c r="E5102" s="10"/>
      <c r="F5102" s="10"/>
      <c r="J5102" s="25"/>
      <c r="K5102" s="25"/>
      <c r="L5102" s="25"/>
      <c r="M5102" s="25"/>
      <c r="N5102" s="25"/>
      <c r="O5102" s="25"/>
    </row>
    <row r="5103" customFormat="false" ht="15" hidden="false" customHeight="false" outlineLevel="0" collapsed="false">
      <c r="B5103" s="34" t="str">
        <f aca="false">SUBSTITUTE(SUBSTITUTE(SUBSTITUTE(SUBSTITUTE(SUBSTITUTE(Txt_Objet,"{cabinet}",Cab_Nom),"{societe}",IF($K$5086=0,"",INDEX(Clients!$E$2:$E$501,$K$5086)&amp;"")),"{date_effet}",$K$5088),"{hausse}",$K$5089),"{civilite}",$K$5087)</f>
        <v>Objet : révision de nos honoraires au 1er janvier 2027</v>
      </c>
      <c r="C5103" s="34"/>
      <c r="D5103" s="34"/>
      <c r="E5103" s="34"/>
      <c r="F5103" s="34"/>
      <c r="J5103" s="25"/>
      <c r="K5103" s="25"/>
      <c r="L5103" s="25"/>
      <c r="M5103" s="25"/>
      <c r="N5103" s="25"/>
      <c r="O5103" s="25"/>
    </row>
    <row r="5104" customFormat="false" ht="13.5" hidden="false" customHeight="true" outlineLevel="0" collapsed="false">
      <c r="B5104" s="10"/>
      <c r="C5104" s="10"/>
      <c r="D5104" s="10"/>
      <c r="E5104" s="10"/>
      <c r="F5104" s="10"/>
      <c r="J5104" s="25"/>
      <c r="K5104" s="25"/>
      <c r="L5104" s="25"/>
      <c r="M5104" s="25"/>
      <c r="N5104" s="25"/>
      <c r="O5104" s="25"/>
    </row>
    <row r="5105" customFormat="false" ht="15" hidden="false" customHeight="false" outlineLevel="0" collapsed="false">
      <c r="B5105" s="10" t="str">
        <f aca="false">$K$5087&amp;","</f>
        <v>Madame, Monsieur,</v>
      </c>
      <c r="C5105" s="10"/>
      <c r="D5105" s="10"/>
      <c r="E5105" s="10"/>
      <c r="F5105" s="10"/>
      <c r="J5105" s="25"/>
      <c r="K5105" s="25"/>
      <c r="L5105" s="25"/>
      <c r="M5105" s="25"/>
      <c r="N5105" s="25"/>
      <c r="O5105" s="25"/>
    </row>
    <row r="5106" customFormat="false" ht="6" hidden="false" customHeight="true" outlineLevel="0" collapsed="false">
      <c r="B5106" s="10"/>
      <c r="C5106" s="10"/>
      <c r="D5106" s="10"/>
      <c r="E5106" s="10"/>
      <c r="F5106" s="10"/>
      <c r="J5106" s="25"/>
      <c r="K5106" s="25"/>
      <c r="L5106" s="25"/>
      <c r="M5106" s="25"/>
      <c r="N5106" s="25"/>
      <c r="O5106" s="25"/>
    </row>
    <row r="5107" customFormat="false" ht="36.75" hidden="false" customHeight="true" outlineLevel="0" collapsed="false">
      <c r="B5107" s="37" t="str">
        <f aca="false">SUBSTITUTE(SUBSTITUTE(SUBSTITUTE(SUBSTITUTE(SUBSTITUTE(Txt_P1,"{cabinet}",Cab_Nom),"{societe}",IF($K$5086=0,"",INDEX(Clients!$E$2:$E$501,$K$5086)&amp;"")),"{date_effet}",$K$5088),"{hausse}",$K$5089),"{civilite}",$K$5087)</f>
        <v>Nous tenons tout d'abord à vous remercier pour la confiance que vous accordez à ALTHO EXPERTISE. Comme chaque année, et conformément aux dispositions de votre lettre de mission, nous procédons à la révision de nos honoraires.</v>
      </c>
      <c r="C5107" s="37"/>
      <c r="D5107" s="37"/>
      <c r="E5107" s="37"/>
      <c r="F5107" s="37"/>
      <c r="J5107" s="25"/>
      <c r="K5107" s="25"/>
      <c r="L5107" s="25"/>
      <c r="M5107" s="25"/>
      <c r="N5107" s="25"/>
      <c r="O5107" s="25"/>
    </row>
    <row r="5108" customFormat="false" ht="49.5" hidden="false" customHeight="true" outlineLevel="0" collapsed="false">
      <c r="B5108" s="37" t="str">
        <f aca="false">SUBSTITUTE(SUBSTITUTE(SUBSTITUTE(SUBSTITUTE(SUBSTITUTE(Txt_P2,"{cabinet}",Cab_Nom),"{societe}",IF($K$5086=0,"",INDEX(Clients!$E$2:$E$501,$K$5086)&amp;"")),"{date_effet}",$K$5088),"{hausse}",$K$5089),"{civilite}",$K$5087)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108" s="37"/>
      <c r="D5108" s="37"/>
      <c r="E5108" s="37"/>
      <c r="F5108" s="37"/>
      <c r="J5108" s="25"/>
      <c r="K5108" s="25"/>
      <c r="L5108" s="25"/>
      <c r="M5108" s="25"/>
      <c r="N5108" s="25"/>
      <c r="O5108" s="25"/>
    </row>
    <row r="5109" customFormat="false" ht="63" hidden="false" customHeight="true" outlineLevel="0" collapsed="false">
      <c r="B5109" s="37" t="str">
        <f aca="false">SUBSTITUTE(SUBSTITUTE(SUBSTITUTE(SUBSTITUTE(SUBSTITUTE(Txt_P3,"{cabinet}",Cab_Nom),"{societe}",IF($K$5086=0,"",INDEX(Clients!$E$2:$E$501,$K$5086)&amp;"")),"{date_effet}",$K$5088),"{hausse}",$K$5089),"{civilite}",$K$5087)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109" s="37"/>
      <c r="D5109" s="37"/>
      <c r="E5109" s="37"/>
      <c r="F5109" s="37"/>
      <c r="J5109" s="25"/>
      <c r="K5109" s="25"/>
      <c r="L5109" s="25"/>
      <c r="M5109" s="25"/>
      <c r="N5109" s="25"/>
      <c r="O5109" s="25"/>
    </row>
    <row r="5110" customFormat="false" ht="24" hidden="false" customHeight="true" outlineLevel="0" collapsed="false">
      <c r="B5110" s="37" t="str">
        <f aca="false">SUBSTITUTE(SUBSTITUTE(SUBSTITUTE(SUBSTITUTE(SUBSTITUTE(Txt_P4,"{cabinet}",Cab_Nom),"{societe}",IF($K$5086=0,"",INDEX(Clients!$E$2:$E$501,$K$5086)&amp;"")),"{date_effet}",$K$5088),"{hausse}",$K$5089),"{civilite}",$K$5087)</f>
        <v>À compter du 1er janvier 2027, vos honoraires annuels hors taxes évolueront ainsi (évolution globale : ) :</v>
      </c>
      <c r="C5110" s="37"/>
      <c r="D5110" s="37"/>
      <c r="E5110" s="37"/>
      <c r="F5110" s="37"/>
      <c r="J5110" s="25"/>
      <c r="K5110" s="25"/>
      <c r="L5110" s="25"/>
      <c r="M5110" s="25"/>
      <c r="N5110" s="25"/>
      <c r="O5110" s="25"/>
    </row>
    <row r="5111" customFormat="false" ht="3.75" hidden="false" customHeight="true" outlineLevel="0" collapsed="false">
      <c r="B5111" s="10"/>
      <c r="C5111" s="10"/>
      <c r="D5111" s="10"/>
      <c r="E5111" s="10"/>
      <c r="F5111" s="10"/>
      <c r="J5111" s="25"/>
      <c r="K5111" s="25"/>
      <c r="L5111" s="25"/>
      <c r="M5111" s="25"/>
      <c r="N5111" s="25"/>
      <c r="O5111" s="25"/>
    </row>
    <row r="5112" customFormat="false" ht="18" hidden="false" customHeight="true" outlineLevel="0" collapsed="false">
      <c r="B5112" s="38" t="s">
        <v>148</v>
      </c>
      <c r="C5112" s="39" t="s">
        <v>149</v>
      </c>
      <c r="D5112" s="39" t="s">
        <v>150</v>
      </c>
      <c r="E5112" s="39" t="s">
        <v>151</v>
      </c>
      <c r="F5112" s="39" t="s">
        <v>109</v>
      </c>
      <c r="J5112" s="25" t="s">
        <v>152</v>
      </c>
      <c r="K5112" s="25" t="s">
        <v>153</v>
      </c>
      <c r="L5112" s="25" t="s">
        <v>154</v>
      </c>
      <c r="M5112" s="25" t="s">
        <v>155</v>
      </c>
      <c r="N5112" s="25" t="s">
        <v>156</v>
      </c>
      <c r="O5112" s="25" t="s">
        <v>157</v>
      </c>
    </row>
    <row r="5113" customFormat="false" ht="16.5" hidden="false" customHeight="true" outlineLevel="0" collapsed="false">
      <c r="B5113" s="40" t="str">
        <f aca="false">IFERROR(INDEX($J$5113:$J$5116,MATCH($O5113,$N$5113:$N$5116,0)),"")</f>
        <v/>
      </c>
      <c r="C5113" s="41" t="str">
        <f aca="false">IFERROR(INDEX($K$5113:$K$5116,MATCH($O5113,$N$5113:$N$5116,0)),"")</f>
        <v/>
      </c>
      <c r="D5113" s="42" t="str">
        <f aca="false">IF(OR(E5113="",N(C5113)=0),"",E5113/C5113-1)</f>
        <v/>
      </c>
      <c r="E5113" s="41" t="str">
        <f aca="false">IFERROR(INDEX($L$5113:$L$5116,MATCH($O5113,$N$5113:$N$5116,0)),"")</f>
        <v/>
      </c>
      <c r="F5113" s="41" t="str">
        <f aca="false">IF(E5113="","",E5113-C5113)</f>
        <v/>
      </c>
      <c r="J5113" s="25" t="str">
        <f aca="false">Lib_Compta</f>
        <v>Mission comptable (tenue, révision, bilan, liasse fiscale)</v>
      </c>
      <c r="K5113" s="25" t="n">
        <f aca="false">IF($K$5086=0,0,N(INDEX(Clients!$K$2:$K$501,$K$5086)))</f>
        <v>0</v>
      </c>
      <c r="L5113" s="25" t="n">
        <f aca="false">IF($K$5086=0,0,N(INDEX(Clients!$P$2:$P$501,$K$5086)))</f>
        <v>0</v>
      </c>
      <c r="M5113" s="25" t="n">
        <f aca="false">IF(OR(K5113&lt;&gt;0,L5113&lt;&gt;0),1,0)</f>
        <v>0</v>
      </c>
      <c r="N5113" s="25" t="str">
        <f aca="false">IF(M5113=1,SUM($M$5113:M5113),"")</f>
        <v/>
      </c>
      <c r="O5113" s="25" t="n">
        <v>1</v>
      </c>
    </row>
    <row r="5114" customFormat="false" ht="16.5" hidden="false" customHeight="true" outlineLevel="0" collapsed="false">
      <c r="B5114" s="40" t="str">
        <f aca="false">IFERROR(INDEX($J$5113:$J$5116,MATCH($O5114,$N$5113:$N$5116,0)),"")</f>
        <v/>
      </c>
      <c r="C5114" s="41" t="str">
        <f aca="false">IFERROR(INDEX($K$5113:$K$5116,MATCH($O5114,$N$5113:$N$5116,0)),"")</f>
        <v/>
      </c>
      <c r="D5114" s="42" t="str">
        <f aca="false">IF(OR(E5114="",N(C5114)=0),"",E5114/C5114-1)</f>
        <v/>
      </c>
      <c r="E5114" s="41" t="str">
        <f aca="false">IFERROR(INDEX($L$5113:$L$5116,MATCH($O5114,$N$5113:$N$5116,0)),"")</f>
        <v/>
      </c>
      <c r="F5114" s="41" t="str">
        <f aca="false">IF(E5114="","",E5114-C5114)</f>
        <v/>
      </c>
      <c r="J5114" s="25" t="str">
        <f aca="false">Lib_Paye</f>
        <v>Mission sociale (bulletins de paie, DSN, déclarations sociales)</v>
      </c>
      <c r="K5114" s="25" t="n">
        <f aca="false">IF($K$5086=0,0,N(INDEX(Clients!$L$2:$L$501,$K$5086)))</f>
        <v>0</v>
      </c>
      <c r="L5114" s="25" t="n">
        <f aca="false">IF($K$5086=0,0,N(INDEX(Clients!$Q$2:$Q$501,$K$5086)))</f>
        <v>0</v>
      </c>
      <c r="M5114" s="25" t="n">
        <f aca="false">IF(OR(K5114&lt;&gt;0,L5114&lt;&gt;0),1,0)</f>
        <v>0</v>
      </c>
      <c r="N5114" s="25" t="str">
        <f aca="false">IF(M5114=1,SUM($M$5113:M5114),"")</f>
        <v/>
      </c>
      <c r="O5114" s="25" t="n">
        <v>2</v>
      </c>
    </row>
    <row r="5115" customFormat="false" ht="16.5" hidden="false" customHeight="true" outlineLevel="0" collapsed="false">
      <c r="B5115" s="40" t="str">
        <f aca="false">IFERROR(INDEX($J$5113:$J$5116,MATCH($O5115,$N$5113:$N$5116,0)),"")</f>
        <v/>
      </c>
      <c r="C5115" s="41" t="str">
        <f aca="false">IFERROR(INDEX($K$5113:$K$5116,MATCH($O5115,$N$5113:$N$5116,0)),"")</f>
        <v/>
      </c>
      <c r="D5115" s="42" t="str">
        <f aca="false">IF(OR(E5115="",N(C5115)=0),"",E5115/C5115-1)</f>
        <v/>
      </c>
      <c r="E5115" s="41" t="str">
        <f aca="false">IFERROR(INDEX($L$5113:$L$5116,MATCH($O5115,$N$5113:$N$5116,0)),"")</f>
        <v/>
      </c>
      <c r="F5115" s="41" t="str">
        <f aca="false">IF(E5115="","",E5115-C5115)</f>
        <v/>
      </c>
      <c r="J5115" s="25" t="str">
        <f aca="false">Lib_Jur</f>
        <v>Mission juridique (approbation des comptes, secrétariat juridique)</v>
      </c>
      <c r="K5115" s="25" t="n">
        <f aca="false">IF($K$5086=0,0,N(INDEX(Clients!$M$2:$M$501,$K$5086)))</f>
        <v>0</v>
      </c>
      <c r="L5115" s="25" t="n">
        <f aca="false">IF($K$5086=0,0,N(INDEX(Clients!$R$2:$R$501,$K$5086)))</f>
        <v>0</v>
      </c>
      <c r="M5115" s="25" t="n">
        <f aca="false">IF(OR(K5115&lt;&gt;0,L5115&lt;&gt;0),1,0)</f>
        <v>0</v>
      </c>
      <c r="N5115" s="25" t="str">
        <f aca="false">IF(M5115=1,SUM($M$5113:M5115),"")</f>
        <v/>
      </c>
      <c r="O5115" s="25" t="n">
        <v>3</v>
      </c>
    </row>
    <row r="5116" customFormat="false" ht="16.5" hidden="false" customHeight="true" outlineLevel="0" collapsed="false">
      <c r="B5116" s="40" t="str">
        <f aca="false">IFERROR(INDEX($J$5113:$J$5116,MATCH($O5116,$N$5113:$N$5116,0)),"")</f>
        <v/>
      </c>
      <c r="C5116" s="41" t="str">
        <f aca="false">IFERROR(INDEX($K$5113:$K$5116,MATCH($O5116,$N$5113:$N$5116,0)),"")</f>
        <v/>
      </c>
      <c r="D5116" s="42" t="str">
        <f aca="false">IF(OR(E5116="",N(C5116)=0),"",E5116/C5116-1)</f>
        <v/>
      </c>
      <c r="E5116" s="41" t="str">
        <f aca="false">IFERROR(INDEX($L$5113:$L$5116,MATCH($O5116,$N$5113:$N$5116,0)),"")</f>
        <v/>
      </c>
      <c r="F5116" s="41" t="str">
        <f aca="false">IF(E5116="","",E5116-C5116)</f>
        <v/>
      </c>
      <c r="J5116" s="25" t="str">
        <f aca="false">Lib_PA</f>
        <v>Plateforme agréée – facturation électronique</v>
      </c>
      <c r="K5116" s="25" t="n">
        <f aca="false">IF($K$5086=0,0,N(INDEX(Clients!$N$2:$N$501,$K$5086)))</f>
        <v>0</v>
      </c>
      <c r="L5116" s="25" t="n">
        <f aca="false">IF($K$5086=0,0,N(INDEX(Clients!$S$2:$S$501,$K$5086)))</f>
        <v>0</v>
      </c>
      <c r="M5116" s="25" t="n">
        <f aca="false">IF(OR(K5116&lt;&gt;0,L5116&lt;&gt;0),1,0)</f>
        <v>0</v>
      </c>
      <c r="N5116" s="25" t="str">
        <f aca="false">IF(M5116=1,SUM($M$5113:M5116),"")</f>
        <v/>
      </c>
      <c r="O5116" s="25" t="n">
        <v>4</v>
      </c>
    </row>
    <row r="5117" customFormat="false" ht="18" hidden="false" customHeight="true" outlineLevel="0" collapsed="false">
      <c r="B5117" s="43" t="s">
        <v>158</v>
      </c>
      <c r="C5117" s="44" t="n">
        <f aca="false">SUM(K5113:K5116)</f>
        <v>0</v>
      </c>
      <c r="D5117" s="45" t="str">
        <f aca="false">IF(N(C5117)=0,"",E5117/C5117-1)</f>
        <v/>
      </c>
      <c r="E5117" s="44" t="n">
        <f aca="false">SUM(L5113:L5116)</f>
        <v>0</v>
      </c>
      <c r="F5117" s="44" t="n">
        <f aca="false">E5117-C5117</f>
        <v>0</v>
      </c>
    </row>
    <row r="5118" customFormat="false" ht="15" hidden="false" customHeight="false" outlineLevel="0" collapsed="false">
      <c r="B5118" s="46" t="str">
        <f aca="false">IF(N(Nb_Mensualites)=0,"","Soit "&amp;FIXED(E5117/Nb_Mensualites,2)&amp;" € HT par échéance ("&amp;Nb_Mensualites&amp;" échéances), "&amp;FIXED(E5117/Nb_Mensualites*(1+Taux_TVA),2)&amp;" € TTC.")</f>
        <v>Soit 0.00 € HT par échéance (12 échéances), 0.00 € TTC.</v>
      </c>
      <c r="C5118" s="46"/>
      <c r="D5118" s="46"/>
      <c r="E5118" s="46"/>
      <c r="F5118" s="46"/>
    </row>
    <row r="5119" customFormat="false" ht="7.5" hidden="false" customHeight="true" outlineLevel="0" collapsed="false">
      <c r="B5119" s="10"/>
      <c r="C5119" s="10"/>
      <c r="D5119" s="10"/>
      <c r="E5119" s="10"/>
      <c r="F5119" s="10"/>
    </row>
    <row r="5120" customFormat="false" ht="36.75" hidden="false" customHeight="true" outlineLevel="0" collapsed="false">
      <c r="B5120" s="37" t="str">
        <f aca="false">SUBSTITUTE(SUBSTITUTE(SUBSTITUTE(SUBSTITUTE(SUBSTITUTE(Txt_P5,"{cabinet}",Cab_Nom),"{societe}",IF($K$5086=0,"",INDEX(Clients!$E$2:$E$501,$K$5086)&amp;"")),"{date_effet}",$K$5088),"{hausse}",$K$5089),"{civilite}",$K$5087)</f>
        <v>Les autres conditions de votre lettre de mission demeurent inchangées. Les nouveaux montants seront appliqués automatiquement sur vos prochaines factures et échéances de prélèvement.</v>
      </c>
      <c r="C5120" s="37"/>
      <c r="D5120" s="37"/>
      <c r="E5120" s="37"/>
      <c r="F5120" s="37"/>
    </row>
    <row r="5121" customFormat="false" ht="36.75" hidden="false" customHeight="true" outlineLevel="0" collapsed="false">
      <c r="B5121" s="37" t="str">
        <f aca="false">SUBSTITUTE(SUBSTITUTE(SUBSTITUTE(SUBSTITUTE(SUBSTITUTE(Txt_P6,"{cabinet}",Cab_Nom),"{societe}",IF($K$5086=0,"",INDEX(Clients!$E$2:$E$501,$K$5086)&amp;"")),"{date_effet}",$K$5088),"{hausse}",$K$5089),"{civilite}",$K$5087)</f>
        <v>Votre interlocuteur habituel reste à votre entière disposition pour répondre à vos questions et faire le point sur l'évolution de vos besoins.</v>
      </c>
      <c r="C5121" s="37"/>
      <c r="D5121" s="37"/>
      <c r="E5121" s="37"/>
      <c r="F5121" s="37"/>
    </row>
    <row r="5122" customFormat="false" ht="24" hidden="false" customHeight="true" outlineLevel="0" collapsed="false">
      <c r="B5122" s="37" t="str">
        <f aca="false">SUBSTITUTE(SUBSTITUTE(SUBSTITUTE(SUBSTITUTE(SUBSTITUTE(Txt_Politesse,"{cabinet}",Cab_Nom),"{societe}",IF($K$5086=0,"",INDEX(Clients!$E$2:$E$501,$K$5086)&amp;"")),"{date_effet}",$K$5088),"{hausse}",$K$5089),"{civilite}",$K$5087)</f>
        <v>Nous vous prions d'agréer, Madame, Monsieur, l'expression de nos salutations distinguées.</v>
      </c>
      <c r="C5122" s="37"/>
      <c r="D5122" s="37"/>
      <c r="E5122" s="37"/>
      <c r="F5122" s="37"/>
    </row>
    <row r="5123" customFormat="false" ht="15" hidden="false" customHeight="false" outlineLevel="0" collapsed="false">
      <c r="B5123" s="10"/>
      <c r="C5123" s="10"/>
      <c r="D5123" s="10"/>
      <c r="E5123" s="10"/>
      <c r="F5123" s="10"/>
    </row>
    <row r="5124" customFormat="false" ht="15" hidden="false" customHeight="false" outlineLevel="0" collapsed="false">
      <c r="B5124" s="10"/>
      <c r="C5124" s="10"/>
      <c r="D5124" s="34" t="str">
        <f aca="false">Signataire</f>
        <v>Prénom NOM</v>
      </c>
      <c r="E5124" s="34"/>
      <c r="F5124" s="34"/>
    </row>
    <row r="5125" customFormat="false" ht="15" hidden="false" customHeight="false" outlineLevel="0" collapsed="false">
      <c r="B5125" s="10"/>
      <c r="C5125" s="10"/>
      <c r="D5125" s="47" t="str">
        <f aca="false">Signataire_Titre</f>
        <v>Expert-comptable associé</v>
      </c>
      <c r="E5125" s="47"/>
      <c r="F5125" s="47"/>
    </row>
    <row r="5126" customFormat="false" ht="15.75" hidden="false" customHeight="true" outlineLevel="0" collapsed="false">
      <c r="B5126" s="10"/>
      <c r="C5126" s="10"/>
      <c r="D5126" s="10"/>
      <c r="E5126" s="10"/>
      <c r="F5126" s="10"/>
    </row>
    <row r="5127" customFormat="false" ht="15.75" hidden="false" customHeight="true" outlineLevel="0" collapsed="false">
      <c r="B5127" s="10"/>
      <c r="C5127" s="10"/>
      <c r="D5127" s="10"/>
      <c r="E5127" s="10"/>
      <c r="F5127" s="10"/>
    </row>
    <row r="5128" customFormat="false" ht="15.75" hidden="false" customHeight="true" outlineLevel="0" collapsed="false">
      <c r="B5128" s="10"/>
      <c r="C5128" s="10"/>
      <c r="D5128" s="10"/>
      <c r="E5128" s="10"/>
      <c r="F5128" s="10"/>
    </row>
    <row r="5129" customFormat="false" ht="15.75" hidden="false" customHeight="true" outlineLevel="0" collapsed="false">
      <c r="B5129" s="10"/>
      <c r="C5129" s="10"/>
      <c r="D5129" s="10"/>
      <c r="E5129" s="10"/>
      <c r="F5129" s="10"/>
    </row>
    <row r="5130" customFormat="false" ht="24" hidden="false" customHeight="true" outlineLevel="0" collapsed="false">
      <c r="B5130" s="48" t="str">
        <f aca="false">Cab_Mentions</f>
        <v>ALTHO EXPERTISE · SAS au capital de 10 000 € · RCS Pontoise 919 706 325 · TVA FR62919706325 · Société d'expertise comptable inscrite au Tableau de l'Ordre des experts-comptables de Paris Île-de-France</v>
      </c>
      <c r="C5130" s="48"/>
      <c r="D5130" s="48"/>
      <c r="E5130" s="48"/>
      <c r="F5130" s="48"/>
    </row>
    <row r="5131" customFormat="false" ht="15" hidden="false" customHeight="false" outlineLevel="0" collapsed="false">
      <c r="B5131" s="10"/>
      <c r="C5131" s="10"/>
      <c r="D5131" s="10"/>
      <c r="E5131" s="10"/>
      <c r="F5131" s="10"/>
      <c r="J5131" s="25" t="s">
        <v>142</v>
      </c>
      <c r="K5131" s="25" t="n">
        <f aca="false">IFERROR(MATCH(115,Clients!$Z$2:$Z$501,0),0)</f>
        <v>0</v>
      </c>
      <c r="L5131" s="25"/>
      <c r="M5131" s="25"/>
      <c r="N5131" s="25"/>
      <c r="O5131" s="25"/>
    </row>
    <row r="5132" customFormat="false" ht="21.75" hidden="false" customHeight="true" outlineLevel="0" collapsed="false">
      <c r="B5132" s="26" t="str">
        <f aca="false">Cab_Nom</f>
        <v>ALTHO EXPERTISE</v>
      </c>
      <c r="C5132" s="26"/>
      <c r="D5132" s="10"/>
      <c r="E5132" s="27" t="str">
        <f aca="false">IF($K$5131=0,"","Réf. client : "&amp;INDEX(Clients!$A$2:$A$501,$K$5131))</f>
        <v/>
      </c>
      <c r="F5132" s="27"/>
      <c r="J5132" s="25" t="s">
        <v>144</v>
      </c>
      <c r="K5132" s="25" t="str">
        <f aca="false">IF(IF($K$5131=0,"",INDEX(Clients!$B$2:$B$501,$K$5131)&amp;"")="Mme","Madame",IF(IF($K$5131=0,"",INDEX(Clients!$B$2:$B$501,$K$5131)&amp;"")="M.","Monsieur","Madame, Monsieur"))</f>
        <v>Madame, Monsieur</v>
      </c>
      <c r="L5132" s="25"/>
      <c r="M5132" s="25"/>
      <c r="N5132" s="25"/>
      <c r="O5132" s="25"/>
    </row>
    <row r="5133" customFormat="false" ht="15" hidden="false" customHeight="false" outlineLevel="0" collapsed="false">
      <c r="B5133" s="29" t="str">
        <f aca="false">Cab_Adr1</f>
        <v>141 rue Charles de Gaulle</v>
      </c>
      <c r="C5133" s="29"/>
      <c r="D5133" s="10"/>
      <c r="E5133" s="10"/>
      <c r="F5133" s="10"/>
      <c r="J5133" s="25" t="s">
        <v>145</v>
      </c>
      <c r="K5133" s="25" t="str">
        <f aca="false">DAY(Date_Effet)&amp;IF(DAY(Date_Effet)=1,"er","")&amp;" "&amp;INDEX(Liste_Mois,MONTH(Date_Effet))&amp;" "&amp;YEAR(Date_Effet)</f>
        <v>1er janvier 2027</v>
      </c>
      <c r="L5133" s="25"/>
      <c r="M5133" s="25"/>
      <c r="N5133" s="25"/>
      <c r="O5133" s="25"/>
    </row>
    <row r="5134" customFormat="false" ht="15" hidden="false" customHeight="false" outlineLevel="0" collapsed="false">
      <c r="B5134" s="29" t="str">
        <f aca="false">Cab_CPVille</f>
        <v>95130 LE PLESSIS-BOUCHARD</v>
      </c>
      <c r="C5134" s="29"/>
      <c r="D5134" s="10"/>
      <c r="E5134" s="10"/>
      <c r="F5134" s="10"/>
      <c r="J5134" s="25" t="s">
        <v>146</v>
      </c>
      <c r="K5134" s="25" t="str">
        <f aca="false">IF(SUM($K$5158:$K$5161)=0,"",FIXED((SUM($L$5158:$L$5161)/SUM($K$5158:$K$5161)-1)*100,1)&amp;" %")</f>
        <v/>
      </c>
      <c r="L5134" s="25"/>
      <c r="M5134" s="25"/>
      <c r="N5134" s="25"/>
      <c r="O5134" s="25"/>
    </row>
    <row r="5135" customFormat="false" ht="15" hidden="false" customHeight="false" outlineLevel="0" collapsed="false">
      <c r="B5135" s="29" t="str">
        <f aca="false">Cab_Contact</f>
        <v>Tél. 01 34 14 53 45  ·  altho@altho-experts.com  ·  altho-experts.com</v>
      </c>
      <c r="C5135" s="29"/>
      <c r="D5135" s="10"/>
      <c r="E5135" s="10"/>
      <c r="F5135" s="10"/>
      <c r="J5135" s="25"/>
      <c r="K5135" s="25"/>
      <c r="L5135" s="25"/>
      <c r="M5135" s="25"/>
      <c r="N5135" s="25"/>
      <c r="O5135" s="25"/>
    </row>
    <row r="5136" customFormat="false" ht="6" hidden="false" customHeight="true" outlineLevel="0" collapsed="false">
      <c r="B5136" s="32"/>
      <c r="C5136" s="32"/>
      <c r="D5136" s="32"/>
      <c r="E5136" s="32"/>
      <c r="F5136" s="32"/>
      <c r="J5136" s="25"/>
      <c r="K5136" s="25"/>
      <c r="L5136" s="25"/>
      <c r="M5136" s="25"/>
      <c r="N5136" s="25"/>
      <c r="O5136" s="25"/>
    </row>
    <row r="5137" customFormat="false" ht="13.5" hidden="false" customHeight="true" outlineLevel="0" collapsed="false">
      <c r="B5137" s="10"/>
      <c r="C5137" s="10"/>
      <c r="D5137" s="10"/>
      <c r="E5137" s="10"/>
      <c r="F5137" s="10"/>
      <c r="J5137" s="25"/>
      <c r="K5137" s="25"/>
      <c r="L5137" s="25"/>
      <c r="M5137" s="25"/>
      <c r="N5137" s="25"/>
      <c r="O5137" s="25"/>
    </row>
    <row r="5138" customFormat="false" ht="13.5" hidden="false" customHeight="true" outlineLevel="0" collapsed="false">
      <c r="B5138" s="10"/>
      <c r="C5138" s="10"/>
      <c r="D5138" s="10"/>
      <c r="E5138" s="10"/>
      <c r="F5138" s="10"/>
      <c r="J5138" s="25"/>
      <c r="K5138" s="25"/>
      <c r="L5138" s="25"/>
      <c r="M5138" s="25"/>
      <c r="N5138" s="25"/>
      <c r="O5138" s="25"/>
    </row>
    <row r="5139" customFormat="false" ht="13.5" hidden="false" customHeight="true" outlineLevel="0" collapsed="false">
      <c r="B5139" s="10"/>
      <c r="C5139" s="10"/>
      <c r="D5139" s="10"/>
      <c r="E5139" s="10"/>
      <c r="F5139" s="10"/>
      <c r="J5139" s="25"/>
      <c r="K5139" s="25"/>
      <c r="L5139" s="25"/>
      <c r="M5139" s="25"/>
      <c r="N5139" s="25"/>
      <c r="O5139" s="25"/>
    </row>
    <row r="5140" customFormat="false" ht="15" hidden="false" customHeight="true" outlineLevel="0" collapsed="false">
      <c r="B5140" s="10"/>
      <c r="C5140" s="10"/>
      <c r="D5140" s="34" t="str">
        <f aca="false">IF($K$5131=0,"",INDEX(Clients!$E$2:$E$501,$K$5131)&amp;"")</f>
        <v/>
      </c>
      <c r="E5140" s="34"/>
      <c r="F5140" s="34"/>
      <c r="J5140" s="25"/>
      <c r="K5140" s="25"/>
      <c r="L5140" s="25"/>
      <c r="M5140" s="25"/>
      <c r="N5140" s="25"/>
      <c r="O5140" s="25"/>
    </row>
    <row r="5141" customFormat="false" ht="15" hidden="false" customHeight="true" outlineLevel="0" collapsed="false">
      <c r="B5141" s="10"/>
      <c r="C5141" s="10"/>
      <c r="D5141" s="35" t="str">
        <f aca="false">IF(IF($K$5131=0,"",INDEX(Clients!$D$2:$D$501,$K$5131)&amp;"")="","","À l'attention de "&amp;TRIM(IF($K$5131=0,"",INDEX(Clients!$B$2:$B$501,$K$5131)&amp;"")&amp;" "&amp;IF($K$5131=0,"",INDEX(Clients!$C$2:$C$501,$K$5131)&amp;"")&amp;" "&amp;IF($K$5131=0,"",INDEX(Clients!$D$2:$D$501,$K$5131)&amp;"")))</f>
        <v/>
      </c>
      <c r="E5141" s="35"/>
      <c r="F5141" s="35"/>
      <c r="J5141" s="25"/>
      <c r="K5141" s="25"/>
      <c r="L5141" s="25"/>
      <c r="M5141" s="25"/>
      <c r="N5141" s="25"/>
      <c r="O5141" s="25"/>
    </row>
    <row r="5142" customFormat="false" ht="15" hidden="false" customHeight="true" outlineLevel="0" collapsed="false">
      <c r="B5142" s="10"/>
      <c r="C5142" s="10"/>
      <c r="D5142" s="35" t="str">
        <f aca="false">IF($K$5131=0,"",INDEX(Clients!$F$2:$F$501,$K$5131)&amp;"")</f>
        <v/>
      </c>
      <c r="E5142" s="35"/>
      <c r="F5142" s="35"/>
      <c r="J5142" s="25"/>
      <c r="K5142" s="25"/>
      <c r="L5142" s="25"/>
      <c r="M5142" s="25"/>
      <c r="N5142" s="25"/>
      <c r="O5142" s="25"/>
    </row>
    <row r="5143" customFormat="false" ht="15" hidden="false" customHeight="true" outlineLevel="0" collapsed="false">
      <c r="B5143" s="10"/>
      <c r="C5143" s="10"/>
      <c r="D5143" s="35" t="str">
        <f aca="false">IF(IF($K$5131=0,"",INDEX(Clients!$G$2:$G$501,$K$5131)&amp;"")="",TRIM(IF($K$5131=0,"",INDEX(Clients!$H$2:$H$501,$K$5131)&amp;"")&amp;" "&amp;UPPER(IF($K$5131=0,"",INDEX(Clients!$I$2:$I$501,$K$5131)&amp;""))),IF($K$5131=0,"",INDEX(Clients!$G$2:$G$501,$K$5131)&amp;""))</f>
        <v/>
      </c>
      <c r="E5143" s="35"/>
      <c r="F5143" s="35"/>
      <c r="J5143" s="25"/>
      <c r="K5143" s="25"/>
      <c r="L5143" s="25"/>
      <c r="M5143" s="25"/>
      <c r="N5143" s="25"/>
      <c r="O5143" s="25"/>
    </row>
    <row r="5144" customFormat="false" ht="15" hidden="false" customHeight="true" outlineLevel="0" collapsed="false">
      <c r="B5144" s="10"/>
      <c r="C5144" s="10"/>
      <c r="D5144" s="35" t="str">
        <f aca="false">IF(IF($K$5131=0,"",INDEX(Clients!$G$2:$G$501,$K$5131)&amp;"")="","",TRIM(IF($K$5131=0,"",INDEX(Clients!$H$2:$H$501,$K$5131)&amp;"")&amp;" "&amp;UPPER(IF($K$5131=0,"",INDEX(Clients!$I$2:$I$501,$K$5131)&amp;""))))</f>
        <v/>
      </c>
      <c r="E5144" s="35"/>
      <c r="F5144" s="35"/>
      <c r="J5144" s="25"/>
      <c r="K5144" s="25"/>
      <c r="L5144" s="25"/>
      <c r="M5144" s="25"/>
      <c r="N5144" s="25"/>
      <c r="O5144" s="25"/>
    </row>
    <row r="5145" customFormat="false" ht="25.5" hidden="false" customHeight="true" outlineLevel="0" collapsed="false">
      <c r="B5145" s="10"/>
      <c r="C5145" s="10"/>
      <c r="D5145" s="10"/>
      <c r="E5145" s="10"/>
      <c r="F5145" s="10"/>
      <c r="J5145" s="25"/>
      <c r="K5145" s="25"/>
      <c r="L5145" s="25"/>
      <c r="M5145" s="25"/>
      <c r="N5145" s="25"/>
      <c r="O5145" s="25"/>
    </row>
    <row r="5146" customFormat="false" ht="15" hidden="false" customHeight="false" outlineLevel="0" collapsed="false">
      <c r="B5146" s="10"/>
      <c r="C5146" s="10"/>
      <c r="D5146" s="36" t="str">
        <f aca="false">Cab_Ville&amp;", le "&amp;DAY(Date_Courrier)&amp;IF(DAY(Date_Courrier)=1,"er","")&amp;" "&amp;INDEX(Liste_Mois,MONTH(Date_Courrier))&amp;" "&amp;YEAR(Date_Courrier)</f>
        <v>Le Plessis-Bouchard, le 22 septembre 2026</v>
      </c>
      <c r="E5146" s="36"/>
      <c r="F5146" s="36"/>
      <c r="J5146" s="25"/>
      <c r="K5146" s="25"/>
      <c r="L5146" s="25"/>
      <c r="M5146" s="25"/>
      <c r="N5146" s="25"/>
      <c r="O5146" s="25"/>
    </row>
    <row r="5147" customFormat="false" ht="19.5" hidden="false" customHeight="true" outlineLevel="0" collapsed="false">
      <c r="B5147" s="10"/>
      <c r="C5147" s="10"/>
      <c r="D5147" s="10"/>
      <c r="E5147" s="10"/>
      <c r="F5147" s="10"/>
      <c r="J5147" s="25"/>
      <c r="K5147" s="25"/>
      <c r="L5147" s="25"/>
      <c r="M5147" s="25"/>
      <c r="N5147" s="25"/>
      <c r="O5147" s="25"/>
    </row>
    <row r="5148" customFormat="false" ht="15" hidden="false" customHeight="false" outlineLevel="0" collapsed="false">
      <c r="B5148" s="34" t="str">
        <f aca="false">SUBSTITUTE(SUBSTITUTE(SUBSTITUTE(SUBSTITUTE(SUBSTITUTE(Txt_Objet,"{cabinet}",Cab_Nom),"{societe}",IF($K$5131=0,"",INDEX(Clients!$E$2:$E$501,$K$5131)&amp;"")),"{date_effet}",$K$5133),"{hausse}",$K$5134),"{civilite}",$K$5132)</f>
        <v>Objet : révision de nos honoraires au 1er janvier 2027</v>
      </c>
      <c r="C5148" s="34"/>
      <c r="D5148" s="34"/>
      <c r="E5148" s="34"/>
      <c r="F5148" s="34"/>
      <c r="J5148" s="25"/>
      <c r="K5148" s="25"/>
      <c r="L5148" s="25"/>
      <c r="M5148" s="25"/>
      <c r="N5148" s="25"/>
      <c r="O5148" s="25"/>
    </row>
    <row r="5149" customFormat="false" ht="13.5" hidden="false" customHeight="true" outlineLevel="0" collapsed="false">
      <c r="B5149" s="10"/>
      <c r="C5149" s="10"/>
      <c r="D5149" s="10"/>
      <c r="E5149" s="10"/>
      <c r="F5149" s="10"/>
      <c r="J5149" s="25"/>
      <c r="K5149" s="25"/>
      <c r="L5149" s="25"/>
      <c r="M5149" s="25"/>
      <c r="N5149" s="25"/>
      <c r="O5149" s="25"/>
    </row>
    <row r="5150" customFormat="false" ht="15" hidden="false" customHeight="false" outlineLevel="0" collapsed="false">
      <c r="B5150" s="10" t="str">
        <f aca="false">$K$5132&amp;","</f>
        <v>Madame, Monsieur,</v>
      </c>
      <c r="C5150" s="10"/>
      <c r="D5150" s="10"/>
      <c r="E5150" s="10"/>
      <c r="F5150" s="10"/>
      <c r="J5150" s="25"/>
      <c r="K5150" s="25"/>
      <c r="L5150" s="25"/>
      <c r="M5150" s="25"/>
      <c r="N5150" s="25"/>
      <c r="O5150" s="25"/>
    </row>
    <row r="5151" customFormat="false" ht="6" hidden="false" customHeight="true" outlineLevel="0" collapsed="false">
      <c r="B5151" s="10"/>
      <c r="C5151" s="10"/>
      <c r="D5151" s="10"/>
      <c r="E5151" s="10"/>
      <c r="F5151" s="10"/>
      <c r="J5151" s="25"/>
      <c r="K5151" s="25"/>
      <c r="L5151" s="25"/>
      <c r="M5151" s="25"/>
      <c r="N5151" s="25"/>
      <c r="O5151" s="25"/>
    </row>
    <row r="5152" customFormat="false" ht="36.75" hidden="false" customHeight="true" outlineLevel="0" collapsed="false">
      <c r="B5152" s="37" t="str">
        <f aca="false">SUBSTITUTE(SUBSTITUTE(SUBSTITUTE(SUBSTITUTE(SUBSTITUTE(Txt_P1,"{cabinet}",Cab_Nom),"{societe}",IF($K$5131=0,"",INDEX(Clients!$E$2:$E$501,$K$5131)&amp;"")),"{date_effet}",$K$5133),"{hausse}",$K$5134),"{civilite}",$K$5132)</f>
        <v>Nous tenons tout d'abord à vous remercier pour la confiance que vous accordez à ALTHO EXPERTISE. Comme chaque année, et conformément aux dispositions de votre lettre de mission, nous procédons à la révision de nos honoraires.</v>
      </c>
      <c r="C5152" s="37"/>
      <c r="D5152" s="37"/>
      <c r="E5152" s="37"/>
      <c r="F5152" s="37"/>
      <c r="J5152" s="25"/>
      <c r="K5152" s="25"/>
      <c r="L5152" s="25"/>
      <c r="M5152" s="25"/>
      <c r="N5152" s="25"/>
      <c r="O5152" s="25"/>
    </row>
    <row r="5153" customFormat="false" ht="49.5" hidden="false" customHeight="true" outlineLevel="0" collapsed="false">
      <c r="B5153" s="37" t="str">
        <f aca="false">SUBSTITUTE(SUBSTITUTE(SUBSTITUTE(SUBSTITUTE(SUBSTITUTE(Txt_P2,"{cabinet}",Cab_Nom),"{societe}",IF($K$5131=0,"",INDEX(Clients!$E$2:$E$501,$K$5131)&amp;"")),"{date_effet}",$K$5133),"{hausse}",$K$5134),"{civilite}",$K$5132)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153" s="37"/>
      <c r="D5153" s="37"/>
      <c r="E5153" s="37"/>
      <c r="F5153" s="37"/>
      <c r="J5153" s="25"/>
      <c r="K5153" s="25"/>
      <c r="L5153" s="25"/>
      <c r="M5153" s="25"/>
      <c r="N5153" s="25"/>
      <c r="O5153" s="25"/>
    </row>
    <row r="5154" customFormat="false" ht="63" hidden="false" customHeight="true" outlineLevel="0" collapsed="false">
      <c r="B5154" s="37" t="str">
        <f aca="false">SUBSTITUTE(SUBSTITUTE(SUBSTITUTE(SUBSTITUTE(SUBSTITUTE(Txt_P3,"{cabinet}",Cab_Nom),"{societe}",IF($K$5131=0,"",INDEX(Clients!$E$2:$E$501,$K$5131)&amp;"")),"{date_effet}",$K$5133),"{hausse}",$K$5134),"{civilite}",$K$5132)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154" s="37"/>
      <c r="D5154" s="37"/>
      <c r="E5154" s="37"/>
      <c r="F5154" s="37"/>
      <c r="J5154" s="25"/>
      <c r="K5154" s="25"/>
      <c r="L5154" s="25"/>
      <c r="M5154" s="25"/>
      <c r="N5154" s="25"/>
      <c r="O5154" s="25"/>
    </row>
    <row r="5155" customFormat="false" ht="24" hidden="false" customHeight="true" outlineLevel="0" collapsed="false">
      <c r="B5155" s="37" t="str">
        <f aca="false">SUBSTITUTE(SUBSTITUTE(SUBSTITUTE(SUBSTITUTE(SUBSTITUTE(Txt_P4,"{cabinet}",Cab_Nom),"{societe}",IF($K$5131=0,"",INDEX(Clients!$E$2:$E$501,$K$5131)&amp;"")),"{date_effet}",$K$5133),"{hausse}",$K$5134),"{civilite}",$K$5132)</f>
        <v>À compter du 1er janvier 2027, vos honoraires annuels hors taxes évolueront ainsi (évolution globale : ) :</v>
      </c>
      <c r="C5155" s="37"/>
      <c r="D5155" s="37"/>
      <c r="E5155" s="37"/>
      <c r="F5155" s="37"/>
      <c r="J5155" s="25"/>
      <c r="K5155" s="25"/>
      <c r="L5155" s="25"/>
      <c r="M5155" s="25"/>
      <c r="N5155" s="25"/>
      <c r="O5155" s="25"/>
    </row>
    <row r="5156" customFormat="false" ht="3.75" hidden="false" customHeight="true" outlineLevel="0" collapsed="false">
      <c r="B5156" s="10"/>
      <c r="C5156" s="10"/>
      <c r="D5156" s="10"/>
      <c r="E5156" s="10"/>
      <c r="F5156" s="10"/>
      <c r="J5156" s="25"/>
      <c r="K5156" s="25"/>
      <c r="L5156" s="25"/>
      <c r="M5156" s="25"/>
      <c r="N5156" s="25"/>
      <c r="O5156" s="25"/>
    </row>
    <row r="5157" customFormat="false" ht="18" hidden="false" customHeight="true" outlineLevel="0" collapsed="false">
      <c r="B5157" s="38" t="s">
        <v>148</v>
      </c>
      <c r="C5157" s="39" t="s">
        <v>149</v>
      </c>
      <c r="D5157" s="39" t="s">
        <v>150</v>
      </c>
      <c r="E5157" s="39" t="s">
        <v>151</v>
      </c>
      <c r="F5157" s="39" t="s">
        <v>109</v>
      </c>
      <c r="J5157" s="25" t="s">
        <v>152</v>
      </c>
      <c r="K5157" s="25" t="s">
        <v>153</v>
      </c>
      <c r="L5157" s="25" t="s">
        <v>154</v>
      </c>
      <c r="M5157" s="25" t="s">
        <v>155</v>
      </c>
      <c r="N5157" s="25" t="s">
        <v>156</v>
      </c>
      <c r="O5157" s="25" t="s">
        <v>157</v>
      </c>
    </row>
    <row r="5158" customFormat="false" ht="16.5" hidden="false" customHeight="true" outlineLevel="0" collapsed="false">
      <c r="B5158" s="40" t="str">
        <f aca="false">IFERROR(INDEX($J$5158:$J$5161,MATCH($O5158,$N$5158:$N$5161,0)),"")</f>
        <v/>
      </c>
      <c r="C5158" s="41" t="str">
        <f aca="false">IFERROR(INDEX($K$5158:$K$5161,MATCH($O5158,$N$5158:$N$5161,0)),"")</f>
        <v/>
      </c>
      <c r="D5158" s="42" t="str">
        <f aca="false">IF(OR(E5158="",N(C5158)=0),"",E5158/C5158-1)</f>
        <v/>
      </c>
      <c r="E5158" s="41" t="str">
        <f aca="false">IFERROR(INDEX($L$5158:$L$5161,MATCH($O5158,$N$5158:$N$5161,0)),"")</f>
        <v/>
      </c>
      <c r="F5158" s="41" t="str">
        <f aca="false">IF(E5158="","",E5158-C5158)</f>
        <v/>
      </c>
      <c r="J5158" s="25" t="str">
        <f aca="false">Lib_Compta</f>
        <v>Mission comptable (tenue, révision, bilan, liasse fiscale)</v>
      </c>
      <c r="K5158" s="25" t="n">
        <f aca="false">IF($K$5131=0,0,N(INDEX(Clients!$K$2:$K$501,$K$5131)))</f>
        <v>0</v>
      </c>
      <c r="L5158" s="25" t="n">
        <f aca="false">IF($K$5131=0,0,N(INDEX(Clients!$P$2:$P$501,$K$5131)))</f>
        <v>0</v>
      </c>
      <c r="M5158" s="25" t="n">
        <f aca="false">IF(OR(K5158&lt;&gt;0,L5158&lt;&gt;0),1,0)</f>
        <v>0</v>
      </c>
      <c r="N5158" s="25" t="str">
        <f aca="false">IF(M5158=1,SUM($M$5158:M5158),"")</f>
        <v/>
      </c>
      <c r="O5158" s="25" t="n">
        <v>1</v>
      </c>
    </row>
    <row r="5159" customFormat="false" ht="16.5" hidden="false" customHeight="true" outlineLevel="0" collapsed="false">
      <c r="B5159" s="40" t="str">
        <f aca="false">IFERROR(INDEX($J$5158:$J$5161,MATCH($O5159,$N$5158:$N$5161,0)),"")</f>
        <v/>
      </c>
      <c r="C5159" s="41" t="str">
        <f aca="false">IFERROR(INDEX($K$5158:$K$5161,MATCH($O5159,$N$5158:$N$5161,0)),"")</f>
        <v/>
      </c>
      <c r="D5159" s="42" t="str">
        <f aca="false">IF(OR(E5159="",N(C5159)=0),"",E5159/C5159-1)</f>
        <v/>
      </c>
      <c r="E5159" s="41" t="str">
        <f aca="false">IFERROR(INDEX($L$5158:$L$5161,MATCH($O5159,$N$5158:$N$5161,0)),"")</f>
        <v/>
      </c>
      <c r="F5159" s="41" t="str">
        <f aca="false">IF(E5159="","",E5159-C5159)</f>
        <v/>
      </c>
      <c r="J5159" s="25" t="str">
        <f aca="false">Lib_Paye</f>
        <v>Mission sociale (bulletins de paie, DSN, déclarations sociales)</v>
      </c>
      <c r="K5159" s="25" t="n">
        <f aca="false">IF($K$5131=0,0,N(INDEX(Clients!$L$2:$L$501,$K$5131)))</f>
        <v>0</v>
      </c>
      <c r="L5159" s="25" t="n">
        <f aca="false">IF($K$5131=0,0,N(INDEX(Clients!$Q$2:$Q$501,$K$5131)))</f>
        <v>0</v>
      </c>
      <c r="M5159" s="25" t="n">
        <f aca="false">IF(OR(K5159&lt;&gt;0,L5159&lt;&gt;0),1,0)</f>
        <v>0</v>
      </c>
      <c r="N5159" s="25" t="str">
        <f aca="false">IF(M5159=1,SUM($M$5158:M5159),"")</f>
        <v/>
      </c>
      <c r="O5159" s="25" t="n">
        <v>2</v>
      </c>
    </row>
    <row r="5160" customFormat="false" ht="16.5" hidden="false" customHeight="true" outlineLevel="0" collapsed="false">
      <c r="B5160" s="40" t="str">
        <f aca="false">IFERROR(INDEX($J$5158:$J$5161,MATCH($O5160,$N$5158:$N$5161,0)),"")</f>
        <v/>
      </c>
      <c r="C5160" s="41" t="str">
        <f aca="false">IFERROR(INDEX($K$5158:$K$5161,MATCH($O5160,$N$5158:$N$5161,0)),"")</f>
        <v/>
      </c>
      <c r="D5160" s="42" t="str">
        <f aca="false">IF(OR(E5160="",N(C5160)=0),"",E5160/C5160-1)</f>
        <v/>
      </c>
      <c r="E5160" s="41" t="str">
        <f aca="false">IFERROR(INDEX($L$5158:$L$5161,MATCH($O5160,$N$5158:$N$5161,0)),"")</f>
        <v/>
      </c>
      <c r="F5160" s="41" t="str">
        <f aca="false">IF(E5160="","",E5160-C5160)</f>
        <v/>
      </c>
      <c r="J5160" s="25" t="str">
        <f aca="false">Lib_Jur</f>
        <v>Mission juridique (approbation des comptes, secrétariat juridique)</v>
      </c>
      <c r="K5160" s="25" t="n">
        <f aca="false">IF($K$5131=0,0,N(INDEX(Clients!$M$2:$M$501,$K$5131)))</f>
        <v>0</v>
      </c>
      <c r="L5160" s="25" t="n">
        <f aca="false">IF($K$5131=0,0,N(INDEX(Clients!$R$2:$R$501,$K$5131)))</f>
        <v>0</v>
      </c>
      <c r="M5160" s="25" t="n">
        <f aca="false">IF(OR(K5160&lt;&gt;0,L5160&lt;&gt;0),1,0)</f>
        <v>0</v>
      </c>
      <c r="N5160" s="25" t="str">
        <f aca="false">IF(M5160=1,SUM($M$5158:M5160),"")</f>
        <v/>
      </c>
      <c r="O5160" s="25" t="n">
        <v>3</v>
      </c>
    </row>
    <row r="5161" customFormat="false" ht="16.5" hidden="false" customHeight="true" outlineLevel="0" collapsed="false">
      <c r="B5161" s="40" t="str">
        <f aca="false">IFERROR(INDEX($J$5158:$J$5161,MATCH($O5161,$N$5158:$N$5161,0)),"")</f>
        <v/>
      </c>
      <c r="C5161" s="41" t="str">
        <f aca="false">IFERROR(INDEX($K$5158:$K$5161,MATCH($O5161,$N$5158:$N$5161,0)),"")</f>
        <v/>
      </c>
      <c r="D5161" s="42" t="str">
        <f aca="false">IF(OR(E5161="",N(C5161)=0),"",E5161/C5161-1)</f>
        <v/>
      </c>
      <c r="E5161" s="41" t="str">
        <f aca="false">IFERROR(INDEX($L$5158:$L$5161,MATCH($O5161,$N$5158:$N$5161,0)),"")</f>
        <v/>
      </c>
      <c r="F5161" s="41" t="str">
        <f aca="false">IF(E5161="","",E5161-C5161)</f>
        <v/>
      </c>
      <c r="J5161" s="25" t="str">
        <f aca="false">Lib_PA</f>
        <v>Plateforme agréée – facturation électronique</v>
      </c>
      <c r="K5161" s="25" t="n">
        <f aca="false">IF($K$5131=0,0,N(INDEX(Clients!$N$2:$N$501,$K$5131)))</f>
        <v>0</v>
      </c>
      <c r="L5161" s="25" t="n">
        <f aca="false">IF($K$5131=0,0,N(INDEX(Clients!$S$2:$S$501,$K$5131)))</f>
        <v>0</v>
      </c>
      <c r="M5161" s="25" t="n">
        <f aca="false">IF(OR(K5161&lt;&gt;0,L5161&lt;&gt;0),1,0)</f>
        <v>0</v>
      </c>
      <c r="N5161" s="25" t="str">
        <f aca="false">IF(M5161=1,SUM($M$5158:M5161),"")</f>
        <v/>
      </c>
      <c r="O5161" s="25" t="n">
        <v>4</v>
      </c>
    </row>
    <row r="5162" customFormat="false" ht="18" hidden="false" customHeight="true" outlineLevel="0" collapsed="false">
      <c r="B5162" s="43" t="s">
        <v>158</v>
      </c>
      <c r="C5162" s="44" t="n">
        <f aca="false">SUM(K5158:K5161)</f>
        <v>0</v>
      </c>
      <c r="D5162" s="45" t="str">
        <f aca="false">IF(N(C5162)=0,"",E5162/C5162-1)</f>
        <v/>
      </c>
      <c r="E5162" s="44" t="n">
        <f aca="false">SUM(L5158:L5161)</f>
        <v>0</v>
      </c>
      <c r="F5162" s="44" t="n">
        <f aca="false">E5162-C5162</f>
        <v>0</v>
      </c>
    </row>
    <row r="5163" customFormat="false" ht="15" hidden="false" customHeight="false" outlineLevel="0" collapsed="false">
      <c r="B5163" s="46" t="str">
        <f aca="false">IF(N(Nb_Mensualites)=0,"","Soit "&amp;FIXED(E5162/Nb_Mensualites,2)&amp;" € HT par échéance ("&amp;Nb_Mensualites&amp;" échéances), "&amp;FIXED(E5162/Nb_Mensualites*(1+Taux_TVA),2)&amp;" € TTC.")</f>
        <v>Soit 0.00 € HT par échéance (12 échéances), 0.00 € TTC.</v>
      </c>
      <c r="C5163" s="46"/>
      <c r="D5163" s="46"/>
      <c r="E5163" s="46"/>
      <c r="F5163" s="46"/>
    </row>
    <row r="5164" customFormat="false" ht="7.5" hidden="false" customHeight="true" outlineLevel="0" collapsed="false">
      <c r="B5164" s="10"/>
      <c r="C5164" s="10"/>
      <c r="D5164" s="10"/>
      <c r="E5164" s="10"/>
      <c r="F5164" s="10"/>
    </row>
    <row r="5165" customFormat="false" ht="36.75" hidden="false" customHeight="true" outlineLevel="0" collapsed="false">
      <c r="B5165" s="37" t="str">
        <f aca="false">SUBSTITUTE(SUBSTITUTE(SUBSTITUTE(SUBSTITUTE(SUBSTITUTE(Txt_P5,"{cabinet}",Cab_Nom),"{societe}",IF($K$5131=0,"",INDEX(Clients!$E$2:$E$501,$K$5131)&amp;"")),"{date_effet}",$K$5133),"{hausse}",$K$5134),"{civilite}",$K$5132)</f>
        <v>Les autres conditions de votre lettre de mission demeurent inchangées. Les nouveaux montants seront appliqués automatiquement sur vos prochaines factures et échéances de prélèvement.</v>
      </c>
      <c r="C5165" s="37"/>
      <c r="D5165" s="37"/>
      <c r="E5165" s="37"/>
      <c r="F5165" s="37"/>
    </row>
    <row r="5166" customFormat="false" ht="36.75" hidden="false" customHeight="true" outlineLevel="0" collapsed="false">
      <c r="B5166" s="37" t="str">
        <f aca="false">SUBSTITUTE(SUBSTITUTE(SUBSTITUTE(SUBSTITUTE(SUBSTITUTE(Txt_P6,"{cabinet}",Cab_Nom),"{societe}",IF($K$5131=0,"",INDEX(Clients!$E$2:$E$501,$K$5131)&amp;"")),"{date_effet}",$K$5133),"{hausse}",$K$5134),"{civilite}",$K$5132)</f>
        <v>Votre interlocuteur habituel reste à votre entière disposition pour répondre à vos questions et faire le point sur l'évolution de vos besoins.</v>
      </c>
      <c r="C5166" s="37"/>
      <c r="D5166" s="37"/>
      <c r="E5166" s="37"/>
      <c r="F5166" s="37"/>
    </row>
    <row r="5167" customFormat="false" ht="24" hidden="false" customHeight="true" outlineLevel="0" collapsed="false">
      <c r="B5167" s="37" t="str">
        <f aca="false">SUBSTITUTE(SUBSTITUTE(SUBSTITUTE(SUBSTITUTE(SUBSTITUTE(Txt_Politesse,"{cabinet}",Cab_Nom),"{societe}",IF($K$5131=0,"",INDEX(Clients!$E$2:$E$501,$K$5131)&amp;"")),"{date_effet}",$K$5133),"{hausse}",$K$5134),"{civilite}",$K$5132)</f>
        <v>Nous vous prions d'agréer, Madame, Monsieur, l'expression de nos salutations distinguées.</v>
      </c>
      <c r="C5167" s="37"/>
      <c r="D5167" s="37"/>
      <c r="E5167" s="37"/>
      <c r="F5167" s="37"/>
    </row>
    <row r="5168" customFormat="false" ht="15" hidden="false" customHeight="false" outlineLevel="0" collapsed="false">
      <c r="B5168" s="10"/>
      <c r="C5168" s="10"/>
      <c r="D5168" s="10"/>
      <c r="E5168" s="10"/>
      <c r="F5168" s="10"/>
    </row>
    <row r="5169" customFormat="false" ht="15" hidden="false" customHeight="false" outlineLevel="0" collapsed="false">
      <c r="B5169" s="10"/>
      <c r="C5169" s="10"/>
      <c r="D5169" s="34" t="str">
        <f aca="false">Signataire</f>
        <v>Prénom NOM</v>
      </c>
      <c r="E5169" s="34"/>
      <c r="F5169" s="34"/>
    </row>
    <row r="5170" customFormat="false" ht="15" hidden="false" customHeight="false" outlineLevel="0" collapsed="false">
      <c r="B5170" s="10"/>
      <c r="C5170" s="10"/>
      <c r="D5170" s="47" t="str">
        <f aca="false">Signataire_Titre</f>
        <v>Expert-comptable associé</v>
      </c>
      <c r="E5170" s="47"/>
      <c r="F5170" s="47"/>
    </row>
    <row r="5171" customFormat="false" ht="15.75" hidden="false" customHeight="true" outlineLevel="0" collapsed="false">
      <c r="B5171" s="10"/>
      <c r="C5171" s="10"/>
      <c r="D5171" s="10"/>
      <c r="E5171" s="10"/>
      <c r="F5171" s="10"/>
    </row>
    <row r="5172" customFormat="false" ht="15.75" hidden="false" customHeight="true" outlineLevel="0" collapsed="false">
      <c r="B5172" s="10"/>
      <c r="C5172" s="10"/>
      <c r="D5172" s="10"/>
      <c r="E5172" s="10"/>
      <c r="F5172" s="10"/>
    </row>
    <row r="5173" customFormat="false" ht="15.75" hidden="false" customHeight="true" outlineLevel="0" collapsed="false">
      <c r="B5173" s="10"/>
      <c r="C5173" s="10"/>
      <c r="D5173" s="10"/>
      <c r="E5173" s="10"/>
      <c r="F5173" s="10"/>
    </row>
    <row r="5174" customFormat="false" ht="15.75" hidden="false" customHeight="true" outlineLevel="0" collapsed="false">
      <c r="B5174" s="10"/>
      <c r="C5174" s="10"/>
      <c r="D5174" s="10"/>
      <c r="E5174" s="10"/>
      <c r="F5174" s="10"/>
    </row>
    <row r="5175" customFormat="false" ht="24" hidden="false" customHeight="true" outlineLevel="0" collapsed="false">
      <c r="B5175" s="48" t="str">
        <f aca="false">Cab_Mentions</f>
        <v>ALTHO EXPERTISE · SAS au capital de 10 000 € · RCS Pontoise 919 706 325 · TVA FR62919706325 · Société d'expertise comptable inscrite au Tableau de l'Ordre des experts-comptables de Paris Île-de-France</v>
      </c>
      <c r="C5175" s="48"/>
      <c r="D5175" s="48"/>
      <c r="E5175" s="48"/>
      <c r="F5175" s="48"/>
    </row>
    <row r="5176" customFormat="false" ht="15" hidden="false" customHeight="false" outlineLevel="0" collapsed="false">
      <c r="B5176" s="10"/>
      <c r="C5176" s="10"/>
      <c r="D5176" s="10"/>
      <c r="E5176" s="10"/>
      <c r="F5176" s="10"/>
      <c r="J5176" s="25" t="s">
        <v>142</v>
      </c>
      <c r="K5176" s="25" t="n">
        <f aca="false">IFERROR(MATCH(116,Clients!$Z$2:$Z$501,0),0)</f>
        <v>0</v>
      </c>
      <c r="L5176" s="25"/>
      <c r="M5176" s="25"/>
      <c r="N5176" s="25"/>
      <c r="O5176" s="25"/>
    </row>
    <row r="5177" customFormat="false" ht="21.75" hidden="false" customHeight="true" outlineLevel="0" collapsed="false">
      <c r="B5177" s="26" t="str">
        <f aca="false">Cab_Nom</f>
        <v>ALTHO EXPERTISE</v>
      </c>
      <c r="C5177" s="26"/>
      <c r="D5177" s="10"/>
      <c r="E5177" s="27" t="str">
        <f aca="false">IF($K$5176=0,"","Réf. client : "&amp;INDEX(Clients!$A$2:$A$501,$K$5176))</f>
        <v/>
      </c>
      <c r="F5177" s="27"/>
      <c r="J5177" s="25" t="s">
        <v>144</v>
      </c>
      <c r="K5177" s="25" t="str">
        <f aca="false">IF(IF($K$5176=0,"",INDEX(Clients!$B$2:$B$501,$K$5176)&amp;"")="Mme","Madame",IF(IF($K$5176=0,"",INDEX(Clients!$B$2:$B$501,$K$5176)&amp;"")="M.","Monsieur","Madame, Monsieur"))</f>
        <v>Madame, Monsieur</v>
      </c>
      <c r="L5177" s="25"/>
      <c r="M5177" s="25"/>
      <c r="N5177" s="25"/>
      <c r="O5177" s="25"/>
    </row>
    <row r="5178" customFormat="false" ht="15" hidden="false" customHeight="false" outlineLevel="0" collapsed="false">
      <c r="B5178" s="29" t="str">
        <f aca="false">Cab_Adr1</f>
        <v>141 rue Charles de Gaulle</v>
      </c>
      <c r="C5178" s="29"/>
      <c r="D5178" s="10"/>
      <c r="E5178" s="10"/>
      <c r="F5178" s="10"/>
      <c r="J5178" s="25" t="s">
        <v>145</v>
      </c>
      <c r="K5178" s="25" t="str">
        <f aca="false">DAY(Date_Effet)&amp;IF(DAY(Date_Effet)=1,"er","")&amp;" "&amp;INDEX(Liste_Mois,MONTH(Date_Effet))&amp;" "&amp;YEAR(Date_Effet)</f>
        <v>1er janvier 2027</v>
      </c>
      <c r="L5178" s="25"/>
      <c r="M5178" s="25"/>
      <c r="N5178" s="25"/>
      <c r="O5178" s="25"/>
    </row>
    <row r="5179" customFormat="false" ht="15" hidden="false" customHeight="false" outlineLevel="0" collapsed="false">
      <c r="B5179" s="29" t="str">
        <f aca="false">Cab_CPVille</f>
        <v>95130 LE PLESSIS-BOUCHARD</v>
      </c>
      <c r="C5179" s="29"/>
      <c r="D5179" s="10"/>
      <c r="E5179" s="10"/>
      <c r="F5179" s="10"/>
      <c r="J5179" s="25" t="s">
        <v>146</v>
      </c>
      <c r="K5179" s="25" t="str">
        <f aca="false">IF(SUM($K$5203:$K$5206)=0,"",FIXED((SUM($L$5203:$L$5206)/SUM($K$5203:$K$5206)-1)*100,1)&amp;" %")</f>
        <v/>
      </c>
      <c r="L5179" s="25"/>
      <c r="M5179" s="25"/>
      <c r="N5179" s="25"/>
      <c r="O5179" s="25"/>
    </row>
    <row r="5180" customFormat="false" ht="15" hidden="false" customHeight="false" outlineLevel="0" collapsed="false">
      <c r="B5180" s="29" t="str">
        <f aca="false">Cab_Contact</f>
        <v>Tél. 01 34 14 53 45  ·  altho@altho-experts.com  ·  altho-experts.com</v>
      </c>
      <c r="C5180" s="29"/>
      <c r="D5180" s="10"/>
      <c r="E5180" s="10"/>
      <c r="F5180" s="10"/>
      <c r="J5180" s="25"/>
      <c r="K5180" s="25"/>
      <c r="L5180" s="25"/>
      <c r="M5180" s="25"/>
      <c r="N5180" s="25"/>
      <c r="O5180" s="25"/>
    </row>
    <row r="5181" customFormat="false" ht="6" hidden="false" customHeight="true" outlineLevel="0" collapsed="false">
      <c r="B5181" s="32"/>
      <c r="C5181" s="32"/>
      <c r="D5181" s="32"/>
      <c r="E5181" s="32"/>
      <c r="F5181" s="32"/>
      <c r="J5181" s="25"/>
      <c r="K5181" s="25"/>
      <c r="L5181" s="25"/>
      <c r="M5181" s="25"/>
      <c r="N5181" s="25"/>
      <c r="O5181" s="25"/>
    </row>
    <row r="5182" customFormat="false" ht="13.5" hidden="false" customHeight="true" outlineLevel="0" collapsed="false">
      <c r="B5182" s="10"/>
      <c r="C5182" s="10"/>
      <c r="D5182" s="10"/>
      <c r="E5182" s="10"/>
      <c r="F5182" s="10"/>
      <c r="J5182" s="25"/>
      <c r="K5182" s="25"/>
      <c r="L5182" s="25"/>
      <c r="M5182" s="25"/>
      <c r="N5182" s="25"/>
      <c r="O5182" s="25"/>
    </row>
    <row r="5183" customFormat="false" ht="13.5" hidden="false" customHeight="true" outlineLevel="0" collapsed="false">
      <c r="B5183" s="10"/>
      <c r="C5183" s="10"/>
      <c r="D5183" s="10"/>
      <c r="E5183" s="10"/>
      <c r="F5183" s="10"/>
      <c r="J5183" s="25"/>
      <c r="K5183" s="25"/>
      <c r="L5183" s="25"/>
      <c r="M5183" s="25"/>
      <c r="N5183" s="25"/>
      <c r="O5183" s="25"/>
    </row>
    <row r="5184" customFormat="false" ht="13.5" hidden="false" customHeight="true" outlineLevel="0" collapsed="false">
      <c r="B5184" s="10"/>
      <c r="C5184" s="10"/>
      <c r="D5184" s="10"/>
      <c r="E5184" s="10"/>
      <c r="F5184" s="10"/>
      <c r="J5184" s="25"/>
      <c r="K5184" s="25"/>
      <c r="L5184" s="25"/>
      <c r="M5184" s="25"/>
      <c r="N5184" s="25"/>
      <c r="O5184" s="25"/>
    </row>
    <row r="5185" customFormat="false" ht="15" hidden="false" customHeight="true" outlineLevel="0" collapsed="false">
      <c r="B5185" s="10"/>
      <c r="C5185" s="10"/>
      <c r="D5185" s="34" t="str">
        <f aca="false">IF($K$5176=0,"",INDEX(Clients!$E$2:$E$501,$K$5176)&amp;"")</f>
        <v/>
      </c>
      <c r="E5185" s="34"/>
      <c r="F5185" s="34"/>
      <c r="J5185" s="25"/>
      <c r="K5185" s="25"/>
      <c r="L5185" s="25"/>
      <c r="M5185" s="25"/>
      <c r="N5185" s="25"/>
      <c r="O5185" s="25"/>
    </row>
    <row r="5186" customFormat="false" ht="15" hidden="false" customHeight="true" outlineLevel="0" collapsed="false">
      <c r="B5186" s="10"/>
      <c r="C5186" s="10"/>
      <c r="D5186" s="35" t="str">
        <f aca="false">IF(IF($K$5176=0,"",INDEX(Clients!$D$2:$D$501,$K$5176)&amp;"")="","","À l'attention de "&amp;TRIM(IF($K$5176=0,"",INDEX(Clients!$B$2:$B$501,$K$5176)&amp;"")&amp;" "&amp;IF($K$5176=0,"",INDEX(Clients!$C$2:$C$501,$K$5176)&amp;"")&amp;" "&amp;IF($K$5176=0,"",INDEX(Clients!$D$2:$D$501,$K$5176)&amp;"")))</f>
        <v/>
      </c>
      <c r="E5186" s="35"/>
      <c r="F5186" s="35"/>
      <c r="J5186" s="25"/>
      <c r="K5186" s="25"/>
      <c r="L5186" s="25"/>
      <c r="M5186" s="25"/>
      <c r="N5186" s="25"/>
      <c r="O5186" s="25"/>
    </row>
    <row r="5187" customFormat="false" ht="15" hidden="false" customHeight="true" outlineLevel="0" collapsed="false">
      <c r="B5187" s="10"/>
      <c r="C5187" s="10"/>
      <c r="D5187" s="35" t="str">
        <f aca="false">IF($K$5176=0,"",INDEX(Clients!$F$2:$F$501,$K$5176)&amp;"")</f>
        <v/>
      </c>
      <c r="E5187" s="35"/>
      <c r="F5187" s="35"/>
      <c r="J5187" s="25"/>
      <c r="K5187" s="25"/>
      <c r="L5187" s="25"/>
      <c r="M5187" s="25"/>
      <c r="N5187" s="25"/>
      <c r="O5187" s="25"/>
    </row>
    <row r="5188" customFormat="false" ht="15" hidden="false" customHeight="true" outlineLevel="0" collapsed="false">
      <c r="B5188" s="10"/>
      <c r="C5188" s="10"/>
      <c r="D5188" s="35" t="str">
        <f aca="false">IF(IF($K$5176=0,"",INDEX(Clients!$G$2:$G$501,$K$5176)&amp;"")="",TRIM(IF($K$5176=0,"",INDEX(Clients!$H$2:$H$501,$K$5176)&amp;"")&amp;" "&amp;UPPER(IF($K$5176=0,"",INDEX(Clients!$I$2:$I$501,$K$5176)&amp;""))),IF($K$5176=0,"",INDEX(Clients!$G$2:$G$501,$K$5176)&amp;""))</f>
        <v/>
      </c>
      <c r="E5188" s="35"/>
      <c r="F5188" s="35"/>
      <c r="J5188" s="25"/>
      <c r="K5188" s="25"/>
      <c r="L5188" s="25"/>
      <c r="M5188" s="25"/>
      <c r="N5188" s="25"/>
      <c r="O5188" s="25"/>
    </row>
    <row r="5189" customFormat="false" ht="15" hidden="false" customHeight="true" outlineLevel="0" collapsed="false">
      <c r="B5189" s="10"/>
      <c r="C5189" s="10"/>
      <c r="D5189" s="35" t="str">
        <f aca="false">IF(IF($K$5176=0,"",INDEX(Clients!$G$2:$G$501,$K$5176)&amp;"")="","",TRIM(IF($K$5176=0,"",INDEX(Clients!$H$2:$H$501,$K$5176)&amp;"")&amp;" "&amp;UPPER(IF($K$5176=0,"",INDEX(Clients!$I$2:$I$501,$K$5176)&amp;""))))</f>
        <v/>
      </c>
      <c r="E5189" s="35"/>
      <c r="F5189" s="35"/>
      <c r="J5189" s="25"/>
      <c r="K5189" s="25"/>
      <c r="L5189" s="25"/>
      <c r="M5189" s="25"/>
      <c r="N5189" s="25"/>
      <c r="O5189" s="25"/>
    </row>
    <row r="5190" customFormat="false" ht="25.5" hidden="false" customHeight="true" outlineLevel="0" collapsed="false">
      <c r="B5190" s="10"/>
      <c r="C5190" s="10"/>
      <c r="D5190" s="10"/>
      <c r="E5190" s="10"/>
      <c r="F5190" s="10"/>
      <c r="J5190" s="25"/>
      <c r="K5190" s="25"/>
      <c r="L5190" s="25"/>
      <c r="M5190" s="25"/>
      <c r="N5190" s="25"/>
      <c r="O5190" s="25"/>
    </row>
    <row r="5191" customFormat="false" ht="15" hidden="false" customHeight="false" outlineLevel="0" collapsed="false">
      <c r="B5191" s="10"/>
      <c r="C5191" s="10"/>
      <c r="D5191" s="36" t="str">
        <f aca="false">Cab_Ville&amp;", le "&amp;DAY(Date_Courrier)&amp;IF(DAY(Date_Courrier)=1,"er","")&amp;" "&amp;INDEX(Liste_Mois,MONTH(Date_Courrier))&amp;" "&amp;YEAR(Date_Courrier)</f>
        <v>Le Plessis-Bouchard, le 22 septembre 2026</v>
      </c>
      <c r="E5191" s="36"/>
      <c r="F5191" s="36"/>
      <c r="J5191" s="25"/>
      <c r="K5191" s="25"/>
      <c r="L5191" s="25"/>
      <c r="M5191" s="25"/>
      <c r="N5191" s="25"/>
      <c r="O5191" s="25"/>
    </row>
    <row r="5192" customFormat="false" ht="19.5" hidden="false" customHeight="true" outlineLevel="0" collapsed="false">
      <c r="B5192" s="10"/>
      <c r="C5192" s="10"/>
      <c r="D5192" s="10"/>
      <c r="E5192" s="10"/>
      <c r="F5192" s="10"/>
      <c r="J5192" s="25"/>
      <c r="K5192" s="25"/>
      <c r="L5192" s="25"/>
      <c r="M5192" s="25"/>
      <c r="N5192" s="25"/>
      <c r="O5192" s="25"/>
    </row>
    <row r="5193" customFormat="false" ht="15" hidden="false" customHeight="false" outlineLevel="0" collapsed="false">
      <c r="B5193" s="34" t="str">
        <f aca="false">SUBSTITUTE(SUBSTITUTE(SUBSTITUTE(SUBSTITUTE(SUBSTITUTE(Txt_Objet,"{cabinet}",Cab_Nom),"{societe}",IF($K$5176=0,"",INDEX(Clients!$E$2:$E$501,$K$5176)&amp;"")),"{date_effet}",$K$5178),"{hausse}",$K$5179),"{civilite}",$K$5177)</f>
        <v>Objet : révision de nos honoraires au 1er janvier 2027</v>
      </c>
      <c r="C5193" s="34"/>
      <c r="D5193" s="34"/>
      <c r="E5193" s="34"/>
      <c r="F5193" s="34"/>
      <c r="J5193" s="25"/>
      <c r="K5193" s="25"/>
      <c r="L5193" s="25"/>
      <c r="M5193" s="25"/>
      <c r="N5193" s="25"/>
      <c r="O5193" s="25"/>
    </row>
    <row r="5194" customFormat="false" ht="13.5" hidden="false" customHeight="true" outlineLevel="0" collapsed="false">
      <c r="B5194" s="10"/>
      <c r="C5194" s="10"/>
      <c r="D5194" s="10"/>
      <c r="E5194" s="10"/>
      <c r="F5194" s="10"/>
      <c r="J5194" s="25"/>
      <c r="K5194" s="25"/>
      <c r="L5194" s="25"/>
      <c r="M5194" s="25"/>
      <c r="N5194" s="25"/>
      <c r="O5194" s="25"/>
    </row>
    <row r="5195" customFormat="false" ht="15" hidden="false" customHeight="false" outlineLevel="0" collapsed="false">
      <c r="B5195" s="10" t="str">
        <f aca="false">$K$5177&amp;","</f>
        <v>Madame, Monsieur,</v>
      </c>
      <c r="C5195" s="10"/>
      <c r="D5195" s="10"/>
      <c r="E5195" s="10"/>
      <c r="F5195" s="10"/>
      <c r="J5195" s="25"/>
      <c r="K5195" s="25"/>
      <c r="L5195" s="25"/>
      <c r="M5195" s="25"/>
      <c r="N5195" s="25"/>
      <c r="O5195" s="25"/>
    </row>
    <row r="5196" customFormat="false" ht="6" hidden="false" customHeight="true" outlineLevel="0" collapsed="false">
      <c r="B5196" s="10"/>
      <c r="C5196" s="10"/>
      <c r="D5196" s="10"/>
      <c r="E5196" s="10"/>
      <c r="F5196" s="10"/>
      <c r="J5196" s="25"/>
      <c r="K5196" s="25"/>
      <c r="L5196" s="25"/>
      <c r="M5196" s="25"/>
      <c r="N5196" s="25"/>
      <c r="O5196" s="25"/>
    </row>
    <row r="5197" customFormat="false" ht="36.75" hidden="false" customHeight="true" outlineLevel="0" collapsed="false">
      <c r="B5197" s="37" t="str">
        <f aca="false">SUBSTITUTE(SUBSTITUTE(SUBSTITUTE(SUBSTITUTE(SUBSTITUTE(Txt_P1,"{cabinet}",Cab_Nom),"{societe}",IF($K$5176=0,"",INDEX(Clients!$E$2:$E$501,$K$5176)&amp;"")),"{date_effet}",$K$5178),"{hausse}",$K$5179),"{civilite}",$K$5177)</f>
        <v>Nous tenons tout d'abord à vous remercier pour la confiance que vous accordez à ALTHO EXPERTISE. Comme chaque année, et conformément aux dispositions de votre lettre de mission, nous procédons à la révision de nos honoraires.</v>
      </c>
      <c r="C5197" s="37"/>
      <c r="D5197" s="37"/>
      <c r="E5197" s="37"/>
      <c r="F5197" s="37"/>
      <c r="J5197" s="25"/>
      <c r="K5197" s="25"/>
      <c r="L5197" s="25"/>
      <c r="M5197" s="25"/>
      <c r="N5197" s="25"/>
      <c r="O5197" s="25"/>
    </row>
    <row r="5198" customFormat="false" ht="49.5" hidden="false" customHeight="true" outlineLevel="0" collapsed="false">
      <c r="B5198" s="37" t="str">
        <f aca="false">SUBSTITUTE(SUBSTITUTE(SUBSTITUTE(SUBSTITUTE(SUBSTITUTE(Txt_P2,"{cabinet}",Cab_Nom),"{societe}",IF($K$5176=0,"",INDEX(Clients!$E$2:$E$501,$K$5176)&amp;"")),"{date_effet}",$K$5178),"{hausse}",$K$5179),"{civilite}",$K$5177)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198" s="37"/>
      <c r="D5198" s="37"/>
      <c r="E5198" s="37"/>
      <c r="F5198" s="37"/>
      <c r="J5198" s="25"/>
      <c r="K5198" s="25"/>
      <c r="L5198" s="25"/>
      <c r="M5198" s="25"/>
      <c r="N5198" s="25"/>
      <c r="O5198" s="25"/>
    </row>
    <row r="5199" customFormat="false" ht="63" hidden="false" customHeight="true" outlineLevel="0" collapsed="false">
      <c r="B5199" s="37" t="str">
        <f aca="false">SUBSTITUTE(SUBSTITUTE(SUBSTITUTE(SUBSTITUTE(SUBSTITUTE(Txt_P3,"{cabinet}",Cab_Nom),"{societe}",IF($K$5176=0,"",INDEX(Clients!$E$2:$E$501,$K$5176)&amp;"")),"{date_effet}",$K$5178),"{hausse}",$K$5179),"{civilite}",$K$5177)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199" s="37"/>
      <c r="D5199" s="37"/>
      <c r="E5199" s="37"/>
      <c r="F5199" s="37"/>
      <c r="J5199" s="25"/>
      <c r="K5199" s="25"/>
      <c r="L5199" s="25"/>
      <c r="M5199" s="25"/>
      <c r="N5199" s="25"/>
      <c r="O5199" s="25"/>
    </row>
    <row r="5200" customFormat="false" ht="24" hidden="false" customHeight="true" outlineLevel="0" collapsed="false">
      <c r="B5200" s="37" t="str">
        <f aca="false">SUBSTITUTE(SUBSTITUTE(SUBSTITUTE(SUBSTITUTE(SUBSTITUTE(Txt_P4,"{cabinet}",Cab_Nom),"{societe}",IF($K$5176=0,"",INDEX(Clients!$E$2:$E$501,$K$5176)&amp;"")),"{date_effet}",$K$5178),"{hausse}",$K$5179),"{civilite}",$K$5177)</f>
        <v>À compter du 1er janvier 2027, vos honoraires annuels hors taxes évolueront ainsi (évolution globale : ) :</v>
      </c>
      <c r="C5200" s="37"/>
      <c r="D5200" s="37"/>
      <c r="E5200" s="37"/>
      <c r="F5200" s="37"/>
      <c r="J5200" s="25"/>
      <c r="K5200" s="25"/>
      <c r="L5200" s="25"/>
      <c r="M5200" s="25"/>
      <c r="N5200" s="25"/>
      <c r="O5200" s="25"/>
    </row>
    <row r="5201" customFormat="false" ht="3.75" hidden="false" customHeight="true" outlineLevel="0" collapsed="false">
      <c r="B5201" s="10"/>
      <c r="C5201" s="10"/>
      <c r="D5201" s="10"/>
      <c r="E5201" s="10"/>
      <c r="F5201" s="10"/>
      <c r="J5201" s="25"/>
      <c r="K5201" s="25"/>
      <c r="L5201" s="25"/>
      <c r="M5201" s="25"/>
      <c r="N5201" s="25"/>
      <c r="O5201" s="25"/>
    </row>
    <row r="5202" customFormat="false" ht="18" hidden="false" customHeight="true" outlineLevel="0" collapsed="false">
      <c r="B5202" s="38" t="s">
        <v>148</v>
      </c>
      <c r="C5202" s="39" t="s">
        <v>149</v>
      </c>
      <c r="D5202" s="39" t="s">
        <v>150</v>
      </c>
      <c r="E5202" s="39" t="s">
        <v>151</v>
      </c>
      <c r="F5202" s="39" t="s">
        <v>109</v>
      </c>
      <c r="J5202" s="25" t="s">
        <v>152</v>
      </c>
      <c r="K5202" s="25" t="s">
        <v>153</v>
      </c>
      <c r="L5202" s="25" t="s">
        <v>154</v>
      </c>
      <c r="M5202" s="25" t="s">
        <v>155</v>
      </c>
      <c r="N5202" s="25" t="s">
        <v>156</v>
      </c>
      <c r="O5202" s="25" t="s">
        <v>157</v>
      </c>
    </row>
    <row r="5203" customFormat="false" ht="16.5" hidden="false" customHeight="true" outlineLevel="0" collapsed="false">
      <c r="B5203" s="40" t="str">
        <f aca="false">IFERROR(INDEX($J$5203:$J$5206,MATCH($O5203,$N$5203:$N$5206,0)),"")</f>
        <v/>
      </c>
      <c r="C5203" s="41" t="str">
        <f aca="false">IFERROR(INDEX($K$5203:$K$5206,MATCH($O5203,$N$5203:$N$5206,0)),"")</f>
        <v/>
      </c>
      <c r="D5203" s="42" t="str">
        <f aca="false">IF(OR(E5203="",N(C5203)=0),"",E5203/C5203-1)</f>
        <v/>
      </c>
      <c r="E5203" s="41" t="str">
        <f aca="false">IFERROR(INDEX($L$5203:$L$5206,MATCH($O5203,$N$5203:$N$5206,0)),"")</f>
        <v/>
      </c>
      <c r="F5203" s="41" t="str">
        <f aca="false">IF(E5203="","",E5203-C5203)</f>
        <v/>
      </c>
      <c r="J5203" s="25" t="str">
        <f aca="false">Lib_Compta</f>
        <v>Mission comptable (tenue, révision, bilan, liasse fiscale)</v>
      </c>
      <c r="K5203" s="25" t="n">
        <f aca="false">IF($K$5176=0,0,N(INDEX(Clients!$K$2:$K$501,$K$5176)))</f>
        <v>0</v>
      </c>
      <c r="L5203" s="25" t="n">
        <f aca="false">IF($K$5176=0,0,N(INDEX(Clients!$P$2:$P$501,$K$5176)))</f>
        <v>0</v>
      </c>
      <c r="M5203" s="25" t="n">
        <f aca="false">IF(OR(K5203&lt;&gt;0,L5203&lt;&gt;0),1,0)</f>
        <v>0</v>
      </c>
      <c r="N5203" s="25" t="str">
        <f aca="false">IF(M5203=1,SUM($M$5203:M5203),"")</f>
        <v/>
      </c>
      <c r="O5203" s="25" t="n">
        <v>1</v>
      </c>
    </row>
    <row r="5204" customFormat="false" ht="16.5" hidden="false" customHeight="true" outlineLevel="0" collapsed="false">
      <c r="B5204" s="40" t="str">
        <f aca="false">IFERROR(INDEX($J$5203:$J$5206,MATCH($O5204,$N$5203:$N$5206,0)),"")</f>
        <v/>
      </c>
      <c r="C5204" s="41" t="str">
        <f aca="false">IFERROR(INDEX($K$5203:$K$5206,MATCH($O5204,$N$5203:$N$5206,0)),"")</f>
        <v/>
      </c>
      <c r="D5204" s="42" t="str">
        <f aca="false">IF(OR(E5204="",N(C5204)=0),"",E5204/C5204-1)</f>
        <v/>
      </c>
      <c r="E5204" s="41" t="str">
        <f aca="false">IFERROR(INDEX($L$5203:$L$5206,MATCH($O5204,$N$5203:$N$5206,0)),"")</f>
        <v/>
      </c>
      <c r="F5204" s="41" t="str">
        <f aca="false">IF(E5204="","",E5204-C5204)</f>
        <v/>
      </c>
      <c r="J5204" s="25" t="str">
        <f aca="false">Lib_Paye</f>
        <v>Mission sociale (bulletins de paie, DSN, déclarations sociales)</v>
      </c>
      <c r="K5204" s="25" t="n">
        <f aca="false">IF($K$5176=0,0,N(INDEX(Clients!$L$2:$L$501,$K$5176)))</f>
        <v>0</v>
      </c>
      <c r="L5204" s="25" t="n">
        <f aca="false">IF($K$5176=0,0,N(INDEX(Clients!$Q$2:$Q$501,$K$5176)))</f>
        <v>0</v>
      </c>
      <c r="M5204" s="25" t="n">
        <f aca="false">IF(OR(K5204&lt;&gt;0,L5204&lt;&gt;0),1,0)</f>
        <v>0</v>
      </c>
      <c r="N5204" s="25" t="str">
        <f aca="false">IF(M5204=1,SUM($M$5203:M5204),"")</f>
        <v/>
      </c>
      <c r="O5204" s="25" t="n">
        <v>2</v>
      </c>
    </row>
    <row r="5205" customFormat="false" ht="16.5" hidden="false" customHeight="true" outlineLevel="0" collapsed="false">
      <c r="B5205" s="40" t="str">
        <f aca="false">IFERROR(INDEX($J$5203:$J$5206,MATCH($O5205,$N$5203:$N$5206,0)),"")</f>
        <v/>
      </c>
      <c r="C5205" s="41" t="str">
        <f aca="false">IFERROR(INDEX($K$5203:$K$5206,MATCH($O5205,$N$5203:$N$5206,0)),"")</f>
        <v/>
      </c>
      <c r="D5205" s="42" t="str">
        <f aca="false">IF(OR(E5205="",N(C5205)=0),"",E5205/C5205-1)</f>
        <v/>
      </c>
      <c r="E5205" s="41" t="str">
        <f aca="false">IFERROR(INDEX($L$5203:$L$5206,MATCH($O5205,$N$5203:$N$5206,0)),"")</f>
        <v/>
      </c>
      <c r="F5205" s="41" t="str">
        <f aca="false">IF(E5205="","",E5205-C5205)</f>
        <v/>
      </c>
      <c r="J5205" s="25" t="str">
        <f aca="false">Lib_Jur</f>
        <v>Mission juridique (approbation des comptes, secrétariat juridique)</v>
      </c>
      <c r="K5205" s="25" t="n">
        <f aca="false">IF($K$5176=0,0,N(INDEX(Clients!$M$2:$M$501,$K$5176)))</f>
        <v>0</v>
      </c>
      <c r="L5205" s="25" t="n">
        <f aca="false">IF($K$5176=0,0,N(INDEX(Clients!$R$2:$R$501,$K$5176)))</f>
        <v>0</v>
      </c>
      <c r="M5205" s="25" t="n">
        <f aca="false">IF(OR(K5205&lt;&gt;0,L5205&lt;&gt;0),1,0)</f>
        <v>0</v>
      </c>
      <c r="N5205" s="25" t="str">
        <f aca="false">IF(M5205=1,SUM($M$5203:M5205),"")</f>
        <v/>
      </c>
      <c r="O5205" s="25" t="n">
        <v>3</v>
      </c>
    </row>
    <row r="5206" customFormat="false" ht="16.5" hidden="false" customHeight="true" outlineLevel="0" collapsed="false">
      <c r="B5206" s="40" t="str">
        <f aca="false">IFERROR(INDEX($J$5203:$J$5206,MATCH($O5206,$N$5203:$N$5206,0)),"")</f>
        <v/>
      </c>
      <c r="C5206" s="41" t="str">
        <f aca="false">IFERROR(INDEX($K$5203:$K$5206,MATCH($O5206,$N$5203:$N$5206,0)),"")</f>
        <v/>
      </c>
      <c r="D5206" s="42" t="str">
        <f aca="false">IF(OR(E5206="",N(C5206)=0),"",E5206/C5206-1)</f>
        <v/>
      </c>
      <c r="E5206" s="41" t="str">
        <f aca="false">IFERROR(INDEX($L$5203:$L$5206,MATCH($O5206,$N$5203:$N$5206,0)),"")</f>
        <v/>
      </c>
      <c r="F5206" s="41" t="str">
        <f aca="false">IF(E5206="","",E5206-C5206)</f>
        <v/>
      </c>
      <c r="J5206" s="25" t="str">
        <f aca="false">Lib_PA</f>
        <v>Plateforme agréée – facturation électronique</v>
      </c>
      <c r="K5206" s="25" t="n">
        <f aca="false">IF($K$5176=0,0,N(INDEX(Clients!$N$2:$N$501,$K$5176)))</f>
        <v>0</v>
      </c>
      <c r="L5206" s="25" t="n">
        <f aca="false">IF($K$5176=0,0,N(INDEX(Clients!$S$2:$S$501,$K$5176)))</f>
        <v>0</v>
      </c>
      <c r="M5206" s="25" t="n">
        <f aca="false">IF(OR(K5206&lt;&gt;0,L5206&lt;&gt;0),1,0)</f>
        <v>0</v>
      </c>
      <c r="N5206" s="25" t="str">
        <f aca="false">IF(M5206=1,SUM($M$5203:M5206),"")</f>
        <v/>
      </c>
      <c r="O5206" s="25" t="n">
        <v>4</v>
      </c>
    </row>
    <row r="5207" customFormat="false" ht="18" hidden="false" customHeight="true" outlineLevel="0" collapsed="false">
      <c r="B5207" s="43" t="s">
        <v>158</v>
      </c>
      <c r="C5207" s="44" t="n">
        <f aca="false">SUM(K5203:K5206)</f>
        <v>0</v>
      </c>
      <c r="D5207" s="45" t="str">
        <f aca="false">IF(N(C5207)=0,"",E5207/C5207-1)</f>
        <v/>
      </c>
      <c r="E5207" s="44" t="n">
        <f aca="false">SUM(L5203:L5206)</f>
        <v>0</v>
      </c>
      <c r="F5207" s="44" t="n">
        <f aca="false">E5207-C5207</f>
        <v>0</v>
      </c>
    </row>
    <row r="5208" customFormat="false" ht="15" hidden="false" customHeight="false" outlineLevel="0" collapsed="false">
      <c r="B5208" s="46" t="str">
        <f aca="false">IF(N(Nb_Mensualites)=0,"","Soit "&amp;FIXED(E5207/Nb_Mensualites,2)&amp;" € HT par échéance ("&amp;Nb_Mensualites&amp;" échéances), "&amp;FIXED(E5207/Nb_Mensualites*(1+Taux_TVA),2)&amp;" € TTC.")</f>
        <v>Soit 0.00 € HT par échéance (12 échéances), 0.00 € TTC.</v>
      </c>
      <c r="C5208" s="46"/>
      <c r="D5208" s="46"/>
      <c r="E5208" s="46"/>
      <c r="F5208" s="46"/>
    </row>
    <row r="5209" customFormat="false" ht="7.5" hidden="false" customHeight="true" outlineLevel="0" collapsed="false">
      <c r="B5209" s="10"/>
      <c r="C5209" s="10"/>
      <c r="D5209" s="10"/>
      <c r="E5209" s="10"/>
      <c r="F5209" s="10"/>
    </row>
    <row r="5210" customFormat="false" ht="36.75" hidden="false" customHeight="true" outlineLevel="0" collapsed="false">
      <c r="B5210" s="37" t="str">
        <f aca="false">SUBSTITUTE(SUBSTITUTE(SUBSTITUTE(SUBSTITUTE(SUBSTITUTE(Txt_P5,"{cabinet}",Cab_Nom),"{societe}",IF($K$5176=0,"",INDEX(Clients!$E$2:$E$501,$K$5176)&amp;"")),"{date_effet}",$K$5178),"{hausse}",$K$5179),"{civilite}",$K$5177)</f>
        <v>Les autres conditions de votre lettre de mission demeurent inchangées. Les nouveaux montants seront appliqués automatiquement sur vos prochaines factures et échéances de prélèvement.</v>
      </c>
      <c r="C5210" s="37"/>
      <c r="D5210" s="37"/>
      <c r="E5210" s="37"/>
      <c r="F5210" s="37"/>
    </row>
    <row r="5211" customFormat="false" ht="36.75" hidden="false" customHeight="true" outlineLevel="0" collapsed="false">
      <c r="B5211" s="37" t="str">
        <f aca="false">SUBSTITUTE(SUBSTITUTE(SUBSTITUTE(SUBSTITUTE(SUBSTITUTE(Txt_P6,"{cabinet}",Cab_Nom),"{societe}",IF($K$5176=0,"",INDEX(Clients!$E$2:$E$501,$K$5176)&amp;"")),"{date_effet}",$K$5178),"{hausse}",$K$5179),"{civilite}",$K$5177)</f>
        <v>Votre interlocuteur habituel reste à votre entière disposition pour répondre à vos questions et faire le point sur l'évolution de vos besoins.</v>
      </c>
      <c r="C5211" s="37"/>
      <c r="D5211" s="37"/>
      <c r="E5211" s="37"/>
      <c r="F5211" s="37"/>
    </row>
    <row r="5212" customFormat="false" ht="24" hidden="false" customHeight="true" outlineLevel="0" collapsed="false">
      <c r="B5212" s="37" t="str">
        <f aca="false">SUBSTITUTE(SUBSTITUTE(SUBSTITUTE(SUBSTITUTE(SUBSTITUTE(Txt_Politesse,"{cabinet}",Cab_Nom),"{societe}",IF($K$5176=0,"",INDEX(Clients!$E$2:$E$501,$K$5176)&amp;"")),"{date_effet}",$K$5178),"{hausse}",$K$5179),"{civilite}",$K$5177)</f>
        <v>Nous vous prions d'agréer, Madame, Monsieur, l'expression de nos salutations distinguées.</v>
      </c>
      <c r="C5212" s="37"/>
      <c r="D5212" s="37"/>
      <c r="E5212" s="37"/>
      <c r="F5212" s="37"/>
    </row>
    <row r="5213" customFormat="false" ht="15" hidden="false" customHeight="false" outlineLevel="0" collapsed="false">
      <c r="B5213" s="10"/>
      <c r="C5213" s="10"/>
      <c r="D5213" s="10"/>
      <c r="E5213" s="10"/>
      <c r="F5213" s="10"/>
    </row>
    <row r="5214" customFormat="false" ht="15" hidden="false" customHeight="false" outlineLevel="0" collapsed="false">
      <c r="B5214" s="10"/>
      <c r="C5214" s="10"/>
      <c r="D5214" s="34" t="str">
        <f aca="false">Signataire</f>
        <v>Prénom NOM</v>
      </c>
      <c r="E5214" s="34"/>
      <c r="F5214" s="34"/>
    </row>
    <row r="5215" customFormat="false" ht="15" hidden="false" customHeight="false" outlineLevel="0" collapsed="false">
      <c r="B5215" s="10"/>
      <c r="C5215" s="10"/>
      <c r="D5215" s="47" t="str">
        <f aca="false">Signataire_Titre</f>
        <v>Expert-comptable associé</v>
      </c>
      <c r="E5215" s="47"/>
      <c r="F5215" s="47"/>
    </row>
    <row r="5216" customFormat="false" ht="15.75" hidden="false" customHeight="true" outlineLevel="0" collapsed="false">
      <c r="B5216" s="10"/>
      <c r="C5216" s="10"/>
      <c r="D5216" s="10"/>
      <c r="E5216" s="10"/>
      <c r="F5216" s="10"/>
    </row>
    <row r="5217" customFormat="false" ht="15.75" hidden="false" customHeight="true" outlineLevel="0" collapsed="false">
      <c r="B5217" s="10"/>
      <c r="C5217" s="10"/>
      <c r="D5217" s="10"/>
      <c r="E5217" s="10"/>
      <c r="F5217" s="10"/>
    </row>
    <row r="5218" customFormat="false" ht="15.75" hidden="false" customHeight="true" outlineLevel="0" collapsed="false">
      <c r="B5218" s="10"/>
      <c r="C5218" s="10"/>
      <c r="D5218" s="10"/>
      <c r="E5218" s="10"/>
      <c r="F5218" s="10"/>
    </row>
    <row r="5219" customFormat="false" ht="15.75" hidden="false" customHeight="true" outlineLevel="0" collapsed="false">
      <c r="B5219" s="10"/>
      <c r="C5219" s="10"/>
      <c r="D5219" s="10"/>
      <c r="E5219" s="10"/>
      <c r="F5219" s="10"/>
    </row>
    <row r="5220" customFormat="false" ht="24" hidden="false" customHeight="true" outlineLevel="0" collapsed="false">
      <c r="B5220" s="48" t="str">
        <f aca="false">Cab_Mentions</f>
        <v>ALTHO EXPERTISE · SAS au capital de 10 000 € · RCS Pontoise 919 706 325 · TVA FR62919706325 · Société d'expertise comptable inscrite au Tableau de l'Ordre des experts-comptables de Paris Île-de-France</v>
      </c>
      <c r="C5220" s="48"/>
      <c r="D5220" s="48"/>
      <c r="E5220" s="48"/>
      <c r="F5220" s="48"/>
    </row>
    <row r="5221" customFormat="false" ht="15" hidden="false" customHeight="false" outlineLevel="0" collapsed="false">
      <c r="B5221" s="10"/>
      <c r="C5221" s="10"/>
      <c r="D5221" s="10"/>
      <c r="E5221" s="10"/>
      <c r="F5221" s="10"/>
      <c r="J5221" s="25" t="s">
        <v>142</v>
      </c>
      <c r="K5221" s="25" t="n">
        <f aca="false">IFERROR(MATCH(117,Clients!$Z$2:$Z$501,0),0)</f>
        <v>0</v>
      </c>
      <c r="L5221" s="25"/>
      <c r="M5221" s="25"/>
      <c r="N5221" s="25"/>
      <c r="O5221" s="25"/>
    </row>
    <row r="5222" customFormat="false" ht="21.75" hidden="false" customHeight="true" outlineLevel="0" collapsed="false">
      <c r="B5222" s="26" t="str">
        <f aca="false">Cab_Nom</f>
        <v>ALTHO EXPERTISE</v>
      </c>
      <c r="C5222" s="26"/>
      <c r="D5222" s="10"/>
      <c r="E5222" s="27" t="str">
        <f aca="false">IF($K$5221=0,"","Réf. client : "&amp;INDEX(Clients!$A$2:$A$501,$K$5221))</f>
        <v/>
      </c>
      <c r="F5222" s="27"/>
      <c r="J5222" s="25" t="s">
        <v>144</v>
      </c>
      <c r="K5222" s="25" t="str">
        <f aca="false">IF(IF($K$5221=0,"",INDEX(Clients!$B$2:$B$501,$K$5221)&amp;"")="Mme","Madame",IF(IF($K$5221=0,"",INDEX(Clients!$B$2:$B$501,$K$5221)&amp;"")="M.","Monsieur","Madame, Monsieur"))</f>
        <v>Madame, Monsieur</v>
      </c>
      <c r="L5222" s="25"/>
      <c r="M5222" s="25"/>
      <c r="N5222" s="25"/>
      <c r="O5222" s="25"/>
    </row>
    <row r="5223" customFormat="false" ht="15" hidden="false" customHeight="false" outlineLevel="0" collapsed="false">
      <c r="B5223" s="29" t="str">
        <f aca="false">Cab_Adr1</f>
        <v>141 rue Charles de Gaulle</v>
      </c>
      <c r="C5223" s="29"/>
      <c r="D5223" s="10"/>
      <c r="E5223" s="10"/>
      <c r="F5223" s="10"/>
      <c r="J5223" s="25" t="s">
        <v>145</v>
      </c>
      <c r="K5223" s="25" t="str">
        <f aca="false">DAY(Date_Effet)&amp;IF(DAY(Date_Effet)=1,"er","")&amp;" "&amp;INDEX(Liste_Mois,MONTH(Date_Effet))&amp;" "&amp;YEAR(Date_Effet)</f>
        <v>1er janvier 2027</v>
      </c>
      <c r="L5223" s="25"/>
      <c r="M5223" s="25"/>
      <c r="N5223" s="25"/>
      <c r="O5223" s="25"/>
    </row>
    <row r="5224" customFormat="false" ht="15" hidden="false" customHeight="false" outlineLevel="0" collapsed="false">
      <c r="B5224" s="29" t="str">
        <f aca="false">Cab_CPVille</f>
        <v>95130 LE PLESSIS-BOUCHARD</v>
      </c>
      <c r="C5224" s="29"/>
      <c r="D5224" s="10"/>
      <c r="E5224" s="10"/>
      <c r="F5224" s="10"/>
      <c r="J5224" s="25" t="s">
        <v>146</v>
      </c>
      <c r="K5224" s="25" t="str">
        <f aca="false">IF(SUM($K$5248:$K$5251)=0,"",FIXED((SUM($L$5248:$L$5251)/SUM($K$5248:$K$5251)-1)*100,1)&amp;" %")</f>
        <v/>
      </c>
      <c r="L5224" s="25"/>
      <c r="M5224" s="25"/>
      <c r="N5224" s="25"/>
      <c r="O5224" s="25"/>
    </row>
    <row r="5225" customFormat="false" ht="15" hidden="false" customHeight="false" outlineLevel="0" collapsed="false">
      <c r="B5225" s="29" t="str">
        <f aca="false">Cab_Contact</f>
        <v>Tél. 01 34 14 53 45  ·  altho@altho-experts.com  ·  altho-experts.com</v>
      </c>
      <c r="C5225" s="29"/>
      <c r="D5225" s="10"/>
      <c r="E5225" s="10"/>
      <c r="F5225" s="10"/>
      <c r="J5225" s="25"/>
      <c r="K5225" s="25"/>
      <c r="L5225" s="25"/>
      <c r="M5225" s="25"/>
      <c r="N5225" s="25"/>
      <c r="O5225" s="25"/>
    </row>
    <row r="5226" customFormat="false" ht="6" hidden="false" customHeight="true" outlineLevel="0" collapsed="false">
      <c r="B5226" s="32"/>
      <c r="C5226" s="32"/>
      <c r="D5226" s="32"/>
      <c r="E5226" s="32"/>
      <c r="F5226" s="32"/>
      <c r="J5226" s="25"/>
      <c r="K5226" s="25"/>
      <c r="L5226" s="25"/>
      <c r="M5226" s="25"/>
      <c r="N5226" s="25"/>
      <c r="O5226" s="25"/>
    </row>
    <row r="5227" customFormat="false" ht="13.5" hidden="false" customHeight="true" outlineLevel="0" collapsed="false">
      <c r="B5227" s="10"/>
      <c r="C5227" s="10"/>
      <c r="D5227" s="10"/>
      <c r="E5227" s="10"/>
      <c r="F5227" s="10"/>
      <c r="J5227" s="25"/>
      <c r="K5227" s="25"/>
      <c r="L5227" s="25"/>
      <c r="M5227" s="25"/>
      <c r="N5227" s="25"/>
      <c r="O5227" s="25"/>
    </row>
    <row r="5228" customFormat="false" ht="13.5" hidden="false" customHeight="true" outlineLevel="0" collapsed="false">
      <c r="B5228" s="10"/>
      <c r="C5228" s="10"/>
      <c r="D5228" s="10"/>
      <c r="E5228" s="10"/>
      <c r="F5228" s="10"/>
      <c r="J5228" s="25"/>
      <c r="K5228" s="25"/>
      <c r="L5228" s="25"/>
      <c r="M5228" s="25"/>
      <c r="N5228" s="25"/>
      <c r="O5228" s="25"/>
    </row>
    <row r="5229" customFormat="false" ht="13.5" hidden="false" customHeight="true" outlineLevel="0" collapsed="false">
      <c r="B5229" s="10"/>
      <c r="C5229" s="10"/>
      <c r="D5229" s="10"/>
      <c r="E5229" s="10"/>
      <c r="F5229" s="10"/>
      <c r="J5229" s="25"/>
      <c r="K5229" s="25"/>
      <c r="L5229" s="25"/>
      <c r="M5229" s="25"/>
      <c r="N5229" s="25"/>
      <c r="O5229" s="25"/>
    </row>
    <row r="5230" customFormat="false" ht="15" hidden="false" customHeight="true" outlineLevel="0" collapsed="false">
      <c r="B5230" s="10"/>
      <c r="C5230" s="10"/>
      <c r="D5230" s="34" t="str">
        <f aca="false">IF($K$5221=0,"",INDEX(Clients!$E$2:$E$501,$K$5221)&amp;"")</f>
        <v/>
      </c>
      <c r="E5230" s="34"/>
      <c r="F5230" s="34"/>
      <c r="J5230" s="25"/>
      <c r="K5230" s="25"/>
      <c r="L5230" s="25"/>
      <c r="M5230" s="25"/>
      <c r="N5230" s="25"/>
      <c r="O5230" s="25"/>
    </row>
    <row r="5231" customFormat="false" ht="15" hidden="false" customHeight="true" outlineLevel="0" collapsed="false">
      <c r="B5231" s="10"/>
      <c r="C5231" s="10"/>
      <c r="D5231" s="35" t="str">
        <f aca="false">IF(IF($K$5221=0,"",INDEX(Clients!$D$2:$D$501,$K$5221)&amp;"")="","","À l'attention de "&amp;TRIM(IF($K$5221=0,"",INDEX(Clients!$B$2:$B$501,$K$5221)&amp;"")&amp;" "&amp;IF($K$5221=0,"",INDEX(Clients!$C$2:$C$501,$K$5221)&amp;"")&amp;" "&amp;IF($K$5221=0,"",INDEX(Clients!$D$2:$D$501,$K$5221)&amp;"")))</f>
        <v/>
      </c>
      <c r="E5231" s="35"/>
      <c r="F5231" s="35"/>
      <c r="J5231" s="25"/>
      <c r="K5231" s="25"/>
      <c r="L5231" s="25"/>
      <c r="M5231" s="25"/>
      <c r="N5231" s="25"/>
      <c r="O5231" s="25"/>
    </row>
    <row r="5232" customFormat="false" ht="15" hidden="false" customHeight="true" outlineLevel="0" collapsed="false">
      <c r="B5232" s="10"/>
      <c r="C5232" s="10"/>
      <c r="D5232" s="35" t="str">
        <f aca="false">IF($K$5221=0,"",INDEX(Clients!$F$2:$F$501,$K$5221)&amp;"")</f>
        <v/>
      </c>
      <c r="E5232" s="35"/>
      <c r="F5232" s="35"/>
      <c r="J5232" s="25"/>
      <c r="K5232" s="25"/>
      <c r="L5232" s="25"/>
      <c r="M5232" s="25"/>
      <c r="N5232" s="25"/>
      <c r="O5232" s="25"/>
    </row>
    <row r="5233" customFormat="false" ht="15" hidden="false" customHeight="true" outlineLevel="0" collapsed="false">
      <c r="B5233" s="10"/>
      <c r="C5233" s="10"/>
      <c r="D5233" s="35" t="str">
        <f aca="false">IF(IF($K$5221=0,"",INDEX(Clients!$G$2:$G$501,$K$5221)&amp;"")="",TRIM(IF($K$5221=0,"",INDEX(Clients!$H$2:$H$501,$K$5221)&amp;"")&amp;" "&amp;UPPER(IF($K$5221=0,"",INDEX(Clients!$I$2:$I$501,$K$5221)&amp;""))),IF($K$5221=0,"",INDEX(Clients!$G$2:$G$501,$K$5221)&amp;""))</f>
        <v/>
      </c>
      <c r="E5233" s="35"/>
      <c r="F5233" s="35"/>
      <c r="J5233" s="25"/>
      <c r="K5233" s="25"/>
      <c r="L5233" s="25"/>
      <c r="M5233" s="25"/>
      <c r="N5233" s="25"/>
      <c r="O5233" s="25"/>
    </row>
    <row r="5234" customFormat="false" ht="15" hidden="false" customHeight="true" outlineLevel="0" collapsed="false">
      <c r="B5234" s="10"/>
      <c r="C5234" s="10"/>
      <c r="D5234" s="35" t="str">
        <f aca="false">IF(IF($K$5221=0,"",INDEX(Clients!$G$2:$G$501,$K$5221)&amp;"")="","",TRIM(IF($K$5221=0,"",INDEX(Clients!$H$2:$H$501,$K$5221)&amp;"")&amp;" "&amp;UPPER(IF($K$5221=0,"",INDEX(Clients!$I$2:$I$501,$K$5221)&amp;""))))</f>
        <v/>
      </c>
      <c r="E5234" s="35"/>
      <c r="F5234" s="35"/>
      <c r="J5234" s="25"/>
      <c r="K5234" s="25"/>
      <c r="L5234" s="25"/>
      <c r="M5234" s="25"/>
      <c r="N5234" s="25"/>
      <c r="O5234" s="25"/>
    </row>
    <row r="5235" customFormat="false" ht="25.5" hidden="false" customHeight="true" outlineLevel="0" collapsed="false">
      <c r="B5235" s="10"/>
      <c r="C5235" s="10"/>
      <c r="D5235" s="10"/>
      <c r="E5235" s="10"/>
      <c r="F5235" s="10"/>
      <c r="J5235" s="25"/>
      <c r="K5235" s="25"/>
      <c r="L5235" s="25"/>
      <c r="M5235" s="25"/>
      <c r="N5235" s="25"/>
      <c r="O5235" s="25"/>
    </row>
    <row r="5236" customFormat="false" ht="15" hidden="false" customHeight="false" outlineLevel="0" collapsed="false">
      <c r="B5236" s="10"/>
      <c r="C5236" s="10"/>
      <c r="D5236" s="36" t="str">
        <f aca="false">Cab_Ville&amp;", le "&amp;DAY(Date_Courrier)&amp;IF(DAY(Date_Courrier)=1,"er","")&amp;" "&amp;INDEX(Liste_Mois,MONTH(Date_Courrier))&amp;" "&amp;YEAR(Date_Courrier)</f>
        <v>Le Plessis-Bouchard, le 22 septembre 2026</v>
      </c>
      <c r="E5236" s="36"/>
      <c r="F5236" s="36"/>
      <c r="J5236" s="25"/>
      <c r="K5236" s="25"/>
      <c r="L5236" s="25"/>
      <c r="M5236" s="25"/>
      <c r="N5236" s="25"/>
      <c r="O5236" s="25"/>
    </row>
    <row r="5237" customFormat="false" ht="19.5" hidden="false" customHeight="true" outlineLevel="0" collapsed="false">
      <c r="B5237" s="10"/>
      <c r="C5237" s="10"/>
      <c r="D5237" s="10"/>
      <c r="E5237" s="10"/>
      <c r="F5237" s="10"/>
      <c r="J5237" s="25"/>
      <c r="K5237" s="25"/>
      <c r="L5237" s="25"/>
      <c r="M5237" s="25"/>
      <c r="N5237" s="25"/>
      <c r="O5237" s="25"/>
    </row>
    <row r="5238" customFormat="false" ht="15" hidden="false" customHeight="false" outlineLevel="0" collapsed="false">
      <c r="B5238" s="34" t="str">
        <f aca="false">SUBSTITUTE(SUBSTITUTE(SUBSTITUTE(SUBSTITUTE(SUBSTITUTE(Txt_Objet,"{cabinet}",Cab_Nom),"{societe}",IF($K$5221=0,"",INDEX(Clients!$E$2:$E$501,$K$5221)&amp;"")),"{date_effet}",$K$5223),"{hausse}",$K$5224),"{civilite}",$K$5222)</f>
        <v>Objet : révision de nos honoraires au 1er janvier 2027</v>
      </c>
      <c r="C5238" s="34"/>
      <c r="D5238" s="34"/>
      <c r="E5238" s="34"/>
      <c r="F5238" s="34"/>
      <c r="J5238" s="25"/>
      <c r="K5238" s="25"/>
      <c r="L5238" s="25"/>
      <c r="M5238" s="25"/>
      <c r="N5238" s="25"/>
      <c r="O5238" s="25"/>
    </row>
    <row r="5239" customFormat="false" ht="13.5" hidden="false" customHeight="true" outlineLevel="0" collapsed="false">
      <c r="B5239" s="10"/>
      <c r="C5239" s="10"/>
      <c r="D5239" s="10"/>
      <c r="E5239" s="10"/>
      <c r="F5239" s="10"/>
      <c r="J5239" s="25"/>
      <c r="K5239" s="25"/>
      <c r="L5239" s="25"/>
      <c r="M5239" s="25"/>
      <c r="N5239" s="25"/>
      <c r="O5239" s="25"/>
    </row>
    <row r="5240" customFormat="false" ht="15" hidden="false" customHeight="false" outlineLevel="0" collapsed="false">
      <c r="B5240" s="10" t="str">
        <f aca="false">$K$5222&amp;","</f>
        <v>Madame, Monsieur,</v>
      </c>
      <c r="C5240" s="10"/>
      <c r="D5240" s="10"/>
      <c r="E5240" s="10"/>
      <c r="F5240" s="10"/>
      <c r="J5240" s="25"/>
      <c r="K5240" s="25"/>
      <c r="L5240" s="25"/>
      <c r="M5240" s="25"/>
      <c r="N5240" s="25"/>
      <c r="O5240" s="25"/>
    </row>
    <row r="5241" customFormat="false" ht="6" hidden="false" customHeight="true" outlineLevel="0" collapsed="false">
      <c r="B5241" s="10"/>
      <c r="C5241" s="10"/>
      <c r="D5241" s="10"/>
      <c r="E5241" s="10"/>
      <c r="F5241" s="10"/>
      <c r="J5241" s="25"/>
      <c r="K5241" s="25"/>
      <c r="L5241" s="25"/>
      <c r="M5241" s="25"/>
      <c r="N5241" s="25"/>
      <c r="O5241" s="25"/>
    </row>
    <row r="5242" customFormat="false" ht="36.75" hidden="false" customHeight="true" outlineLevel="0" collapsed="false">
      <c r="B5242" s="37" t="str">
        <f aca="false">SUBSTITUTE(SUBSTITUTE(SUBSTITUTE(SUBSTITUTE(SUBSTITUTE(Txt_P1,"{cabinet}",Cab_Nom),"{societe}",IF($K$5221=0,"",INDEX(Clients!$E$2:$E$501,$K$5221)&amp;"")),"{date_effet}",$K$5223),"{hausse}",$K$5224),"{civilite}",$K$5222)</f>
        <v>Nous tenons tout d'abord à vous remercier pour la confiance que vous accordez à ALTHO EXPERTISE. Comme chaque année, et conformément aux dispositions de votre lettre de mission, nous procédons à la révision de nos honoraires.</v>
      </c>
      <c r="C5242" s="37"/>
      <c r="D5242" s="37"/>
      <c r="E5242" s="37"/>
      <c r="F5242" s="37"/>
      <c r="J5242" s="25"/>
      <c r="K5242" s="25"/>
      <c r="L5242" s="25"/>
      <c r="M5242" s="25"/>
      <c r="N5242" s="25"/>
      <c r="O5242" s="25"/>
    </row>
    <row r="5243" customFormat="false" ht="49.5" hidden="false" customHeight="true" outlineLevel="0" collapsed="false">
      <c r="B5243" s="37" t="str">
        <f aca="false">SUBSTITUTE(SUBSTITUTE(SUBSTITUTE(SUBSTITUTE(SUBSTITUTE(Txt_P2,"{cabinet}",Cab_Nom),"{societe}",IF($K$5221=0,"",INDEX(Clients!$E$2:$E$501,$K$5221)&amp;"")),"{date_effet}",$K$5223),"{hausse}",$K$5224),"{civilite}",$K$5222)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243" s="37"/>
      <c r="D5243" s="37"/>
      <c r="E5243" s="37"/>
      <c r="F5243" s="37"/>
      <c r="J5243" s="25"/>
      <c r="K5243" s="25"/>
      <c r="L5243" s="25"/>
      <c r="M5243" s="25"/>
      <c r="N5243" s="25"/>
      <c r="O5243" s="25"/>
    </row>
    <row r="5244" customFormat="false" ht="63" hidden="false" customHeight="true" outlineLevel="0" collapsed="false">
      <c r="B5244" s="37" t="str">
        <f aca="false">SUBSTITUTE(SUBSTITUTE(SUBSTITUTE(SUBSTITUTE(SUBSTITUTE(Txt_P3,"{cabinet}",Cab_Nom),"{societe}",IF($K$5221=0,"",INDEX(Clients!$E$2:$E$501,$K$5221)&amp;"")),"{date_effet}",$K$5223),"{hausse}",$K$5224),"{civilite}",$K$5222)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244" s="37"/>
      <c r="D5244" s="37"/>
      <c r="E5244" s="37"/>
      <c r="F5244" s="37"/>
      <c r="J5244" s="25"/>
      <c r="K5244" s="25"/>
      <c r="L5244" s="25"/>
      <c r="M5244" s="25"/>
      <c r="N5244" s="25"/>
      <c r="O5244" s="25"/>
    </row>
    <row r="5245" customFormat="false" ht="24" hidden="false" customHeight="true" outlineLevel="0" collapsed="false">
      <c r="B5245" s="37" t="str">
        <f aca="false">SUBSTITUTE(SUBSTITUTE(SUBSTITUTE(SUBSTITUTE(SUBSTITUTE(Txt_P4,"{cabinet}",Cab_Nom),"{societe}",IF($K$5221=0,"",INDEX(Clients!$E$2:$E$501,$K$5221)&amp;"")),"{date_effet}",$K$5223),"{hausse}",$K$5224),"{civilite}",$K$5222)</f>
        <v>À compter du 1er janvier 2027, vos honoraires annuels hors taxes évolueront ainsi (évolution globale : ) :</v>
      </c>
      <c r="C5245" s="37"/>
      <c r="D5245" s="37"/>
      <c r="E5245" s="37"/>
      <c r="F5245" s="37"/>
      <c r="J5245" s="25"/>
      <c r="K5245" s="25"/>
      <c r="L5245" s="25"/>
      <c r="M5245" s="25"/>
      <c r="N5245" s="25"/>
      <c r="O5245" s="25"/>
    </row>
    <row r="5246" customFormat="false" ht="3.75" hidden="false" customHeight="true" outlineLevel="0" collapsed="false">
      <c r="B5246" s="10"/>
      <c r="C5246" s="10"/>
      <c r="D5246" s="10"/>
      <c r="E5246" s="10"/>
      <c r="F5246" s="10"/>
      <c r="J5246" s="25"/>
      <c r="K5246" s="25"/>
      <c r="L5246" s="25"/>
      <c r="M5246" s="25"/>
      <c r="N5246" s="25"/>
      <c r="O5246" s="25"/>
    </row>
    <row r="5247" customFormat="false" ht="18" hidden="false" customHeight="true" outlineLevel="0" collapsed="false">
      <c r="B5247" s="38" t="s">
        <v>148</v>
      </c>
      <c r="C5247" s="39" t="s">
        <v>149</v>
      </c>
      <c r="D5247" s="39" t="s">
        <v>150</v>
      </c>
      <c r="E5247" s="39" t="s">
        <v>151</v>
      </c>
      <c r="F5247" s="39" t="s">
        <v>109</v>
      </c>
      <c r="J5247" s="25" t="s">
        <v>152</v>
      </c>
      <c r="K5247" s="25" t="s">
        <v>153</v>
      </c>
      <c r="L5247" s="25" t="s">
        <v>154</v>
      </c>
      <c r="M5247" s="25" t="s">
        <v>155</v>
      </c>
      <c r="N5247" s="25" t="s">
        <v>156</v>
      </c>
      <c r="O5247" s="25" t="s">
        <v>157</v>
      </c>
    </row>
    <row r="5248" customFormat="false" ht="16.5" hidden="false" customHeight="true" outlineLevel="0" collapsed="false">
      <c r="B5248" s="40" t="str">
        <f aca="false">IFERROR(INDEX($J$5248:$J$5251,MATCH($O5248,$N$5248:$N$5251,0)),"")</f>
        <v/>
      </c>
      <c r="C5248" s="41" t="str">
        <f aca="false">IFERROR(INDEX($K$5248:$K$5251,MATCH($O5248,$N$5248:$N$5251,0)),"")</f>
        <v/>
      </c>
      <c r="D5248" s="42" t="str">
        <f aca="false">IF(OR(E5248="",N(C5248)=0),"",E5248/C5248-1)</f>
        <v/>
      </c>
      <c r="E5248" s="41" t="str">
        <f aca="false">IFERROR(INDEX($L$5248:$L$5251,MATCH($O5248,$N$5248:$N$5251,0)),"")</f>
        <v/>
      </c>
      <c r="F5248" s="41" t="str">
        <f aca="false">IF(E5248="","",E5248-C5248)</f>
        <v/>
      </c>
      <c r="J5248" s="25" t="str">
        <f aca="false">Lib_Compta</f>
        <v>Mission comptable (tenue, révision, bilan, liasse fiscale)</v>
      </c>
      <c r="K5248" s="25" t="n">
        <f aca="false">IF($K$5221=0,0,N(INDEX(Clients!$K$2:$K$501,$K$5221)))</f>
        <v>0</v>
      </c>
      <c r="L5248" s="25" t="n">
        <f aca="false">IF($K$5221=0,0,N(INDEX(Clients!$P$2:$P$501,$K$5221)))</f>
        <v>0</v>
      </c>
      <c r="M5248" s="25" t="n">
        <f aca="false">IF(OR(K5248&lt;&gt;0,L5248&lt;&gt;0),1,0)</f>
        <v>0</v>
      </c>
      <c r="N5248" s="25" t="str">
        <f aca="false">IF(M5248=1,SUM($M$5248:M5248),"")</f>
        <v/>
      </c>
      <c r="O5248" s="25" t="n">
        <v>1</v>
      </c>
    </row>
    <row r="5249" customFormat="false" ht="16.5" hidden="false" customHeight="true" outlineLevel="0" collapsed="false">
      <c r="B5249" s="40" t="str">
        <f aca="false">IFERROR(INDEX($J$5248:$J$5251,MATCH($O5249,$N$5248:$N$5251,0)),"")</f>
        <v/>
      </c>
      <c r="C5249" s="41" t="str">
        <f aca="false">IFERROR(INDEX($K$5248:$K$5251,MATCH($O5249,$N$5248:$N$5251,0)),"")</f>
        <v/>
      </c>
      <c r="D5249" s="42" t="str">
        <f aca="false">IF(OR(E5249="",N(C5249)=0),"",E5249/C5249-1)</f>
        <v/>
      </c>
      <c r="E5249" s="41" t="str">
        <f aca="false">IFERROR(INDEX($L$5248:$L$5251,MATCH($O5249,$N$5248:$N$5251,0)),"")</f>
        <v/>
      </c>
      <c r="F5249" s="41" t="str">
        <f aca="false">IF(E5249="","",E5249-C5249)</f>
        <v/>
      </c>
      <c r="J5249" s="25" t="str">
        <f aca="false">Lib_Paye</f>
        <v>Mission sociale (bulletins de paie, DSN, déclarations sociales)</v>
      </c>
      <c r="K5249" s="25" t="n">
        <f aca="false">IF($K$5221=0,0,N(INDEX(Clients!$L$2:$L$501,$K$5221)))</f>
        <v>0</v>
      </c>
      <c r="L5249" s="25" t="n">
        <f aca="false">IF($K$5221=0,0,N(INDEX(Clients!$Q$2:$Q$501,$K$5221)))</f>
        <v>0</v>
      </c>
      <c r="M5249" s="25" t="n">
        <f aca="false">IF(OR(K5249&lt;&gt;0,L5249&lt;&gt;0),1,0)</f>
        <v>0</v>
      </c>
      <c r="N5249" s="25" t="str">
        <f aca="false">IF(M5249=1,SUM($M$5248:M5249),"")</f>
        <v/>
      </c>
      <c r="O5249" s="25" t="n">
        <v>2</v>
      </c>
    </row>
    <row r="5250" customFormat="false" ht="16.5" hidden="false" customHeight="true" outlineLevel="0" collapsed="false">
      <c r="B5250" s="40" t="str">
        <f aca="false">IFERROR(INDEX($J$5248:$J$5251,MATCH($O5250,$N$5248:$N$5251,0)),"")</f>
        <v/>
      </c>
      <c r="C5250" s="41" t="str">
        <f aca="false">IFERROR(INDEX($K$5248:$K$5251,MATCH($O5250,$N$5248:$N$5251,0)),"")</f>
        <v/>
      </c>
      <c r="D5250" s="42" t="str">
        <f aca="false">IF(OR(E5250="",N(C5250)=0),"",E5250/C5250-1)</f>
        <v/>
      </c>
      <c r="E5250" s="41" t="str">
        <f aca="false">IFERROR(INDEX($L$5248:$L$5251,MATCH($O5250,$N$5248:$N$5251,0)),"")</f>
        <v/>
      </c>
      <c r="F5250" s="41" t="str">
        <f aca="false">IF(E5250="","",E5250-C5250)</f>
        <v/>
      </c>
      <c r="J5250" s="25" t="str">
        <f aca="false">Lib_Jur</f>
        <v>Mission juridique (approbation des comptes, secrétariat juridique)</v>
      </c>
      <c r="K5250" s="25" t="n">
        <f aca="false">IF($K$5221=0,0,N(INDEX(Clients!$M$2:$M$501,$K$5221)))</f>
        <v>0</v>
      </c>
      <c r="L5250" s="25" t="n">
        <f aca="false">IF($K$5221=0,0,N(INDEX(Clients!$R$2:$R$501,$K$5221)))</f>
        <v>0</v>
      </c>
      <c r="M5250" s="25" t="n">
        <f aca="false">IF(OR(K5250&lt;&gt;0,L5250&lt;&gt;0),1,0)</f>
        <v>0</v>
      </c>
      <c r="N5250" s="25" t="str">
        <f aca="false">IF(M5250=1,SUM($M$5248:M5250),"")</f>
        <v/>
      </c>
      <c r="O5250" s="25" t="n">
        <v>3</v>
      </c>
    </row>
    <row r="5251" customFormat="false" ht="16.5" hidden="false" customHeight="true" outlineLevel="0" collapsed="false">
      <c r="B5251" s="40" t="str">
        <f aca="false">IFERROR(INDEX($J$5248:$J$5251,MATCH($O5251,$N$5248:$N$5251,0)),"")</f>
        <v/>
      </c>
      <c r="C5251" s="41" t="str">
        <f aca="false">IFERROR(INDEX($K$5248:$K$5251,MATCH($O5251,$N$5248:$N$5251,0)),"")</f>
        <v/>
      </c>
      <c r="D5251" s="42" t="str">
        <f aca="false">IF(OR(E5251="",N(C5251)=0),"",E5251/C5251-1)</f>
        <v/>
      </c>
      <c r="E5251" s="41" t="str">
        <f aca="false">IFERROR(INDEX($L$5248:$L$5251,MATCH($O5251,$N$5248:$N$5251,0)),"")</f>
        <v/>
      </c>
      <c r="F5251" s="41" t="str">
        <f aca="false">IF(E5251="","",E5251-C5251)</f>
        <v/>
      </c>
      <c r="J5251" s="25" t="str">
        <f aca="false">Lib_PA</f>
        <v>Plateforme agréée – facturation électronique</v>
      </c>
      <c r="K5251" s="25" t="n">
        <f aca="false">IF($K$5221=0,0,N(INDEX(Clients!$N$2:$N$501,$K$5221)))</f>
        <v>0</v>
      </c>
      <c r="L5251" s="25" t="n">
        <f aca="false">IF($K$5221=0,0,N(INDEX(Clients!$S$2:$S$501,$K$5221)))</f>
        <v>0</v>
      </c>
      <c r="M5251" s="25" t="n">
        <f aca="false">IF(OR(K5251&lt;&gt;0,L5251&lt;&gt;0),1,0)</f>
        <v>0</v>
      </c>
      <c r="N5251" s="25" t="str">
        <f aca="false">IF(M5251=1,SUM($M$5248:M5251),"")</f>
        <v/>
      </c>
      <c r="O5251" s="25" t="n">
        <v>4</v>
      </c>
    </row>
    <row r="5252" customFormat="false" ht="18" hidden="false" customHeight="true" outlineLevel="0" collapsed="false">
      <c r="B5252" s="43" t="s">
        <v>158</v>
      </c>
      <c r="C5252" s="44" t="n">
        <f aca="false">SUM(K5248:K5251)</f>
        <v>0</v>
      </c>
      <c r="D5252" s="45" t="str">
        <f aca="false">IF(N(C5252)=0,"",E5252/C5252-1)</f>
        <v/>
      </c>
      <c r="E5252" s="44" t="n">
        <f aca="false">SUM(L5248:L5251)</f>
        <v>0</v>
      </c>
      <c r="F5252" s="44" t="n">
        <f aca="false">E5252-C5252</f>
        <v>0</v>
      </c>
    </row>
    <row r="5253" customFormat="false" ht="15" hidden="false" customHeight="false" outlineLevel="0" collapsed="false">
      <c r="B5253" s="46" t="str">
        <f aca="false">IF(N(Nb_Mensualites)=0,"","Soit "&amp;FIXED(E5252/Nb_Mensualites,2)&amp;" € HT par échéance ("&amp;Nb_Mensualites&amp;" échéances), "&amp;FIXED(E5252/Nb_Mensualites*(1+Taux_TVA),2)&amp;" € TTC.")</f>
        <v>Soit 0.00 € HT par échéance (12 échéances), 0.00 € TTC.</v>
      </c>
      <c r="C5253" s="46"/>
      <c r="D5253" s="46"/>
      <c r="E5253" s="46"/>
      <c r="F5253" s="46"/>
    </row>
    <row r="5254" customFormat="false" ht="7.5" hidden="false" customHeight="true" outlineLevel="0" collapsed="false">
      <c r="B5254" s="10"/>
      <c r="C5254" s="10"/>
      <c r="D5254" s="10"/>
      <c r="E5254" s="10"/>
      <c r="F5254" s="10"/>
    </row>
    <row r="5255" customFormat="false" ht="36.75" hidden="false" customHeight="true" outlineLevel="0" collapsed="false">
      <c r="B5255" s="37" t="str">
        <f aca="false">SUBSTITUTE(SUBSTITUTE(SUBSTITUTE(SUBSTITUTE(SUBSTITUTE(Txt_P5,"{cabinet}",Cab_Nom),"{societe}",IF($K$5221=0,"",INDEX(Clients!$E$2:$E$501,$K$5221)&amp;"")),"{date_effet}",$K$5223),"{hausse}",$K$5224),"{civilite}",$K$5222)</f>
        <v>Les autres conditions de votre lettre de mission demeurent inchangées. Les nouveaux montants seront appliqués automatiquement sur vos prochaines factures et échéances de prélèvement.</v>
      </c>
      <c r="C5255" s="37"/>
      <c r="D5255" s="37"/>
      <c r="E5255" s="37"/>
      <c r="F5255" s="37"/>
    </row>
    <row r="5256" customFormat="false" ht="36.75" hidden="false" customHeight="true" outlineLevel="0" collapsed="false">
      <c r="B5256" s="37" t="str">
        <f aca="false">SUBSTITUTE(SUBSTITUTE(SUBSTITUTE(SUBSTITUTE(SUBSTITUTE(Txt_P6,"{cabinet}",Cab_Nom),"{societe}",IF($K$5221=0,"",INDEX(Clients!$E$2:$E$501,$K$5221)&amp;"")),"{date_effet}",$K$5223),"{hausse}",$K$5224),"{civilite}",$K$5222)</f>
        <v>Votre interlocuteur habituel reste à votre entière disposition pour répondre à vos questions et faire le point sur l'évolution de vos besoins.</v>
      </c>
      <c r="C5256" s="37"/>
      <c r="D5256" s="37"/>
      <c r="E5256" s="37"/>
      <c r="F5256" s="37"/>
    </row>
    <row r="5257" customFormat="false" ht="24" hidden="false" customHeight="true" outlineLevel="0" collapsed="false">
      <c r="B5257" s="37" t="str">
        <f aca="false">SUBSTITUTE(SUBSTITUTE(SUBSTITUTE(SUBSTITUTE(SUBSTITUTE(Txt_Politesse,"{cabinet}",Cab_Nom),"{societe}",IF($K$5221=0,"",INDEX(Clients!$E$2:$E$501,$K$5221)&amp;"")),"{date_effet}",$K$5223),"{hausse}",$K$5224),"{civilite}",$K$5222)</f>
        <v>Nous vous prions d'agréer, Madame, Monsieur, l'expression de nos salutations distinguées.</v>
      </c>
      <c r="C5257" s="37"/>
      <c r="D5257" s="37"/>
      <c r="E5257" s="37"/>
      <c r="F5257" s="37"/>
    </row>
    <row r="5258" customFormat="false" ht="15" hidden="false" customHeight="false" outlineLevel="0" collapsed="false">
      <c r="B5258" s="10"/>
      <c r="C5258" s="10"/>
      <c r="D5258" s="10"/>
      <c r="E5258" s="10"/>
      <c r="F5258" s="10"/>
    </row>
    <row r="5259" customFormat="false" ht="15" hidden="false" customHeight="false" outlineLevel="0" collapsed="false">
      <c r="B5259" s="10"/>
      <c r="C5259" s="10"/>
      <c r="D5259" s="34" t="str">
        <f aca="false">Signataire</f>
        <v>Prénom NOM</v>
      </c>
      <c r="E5259" s="34"/>
      <c r="F5259" s="34"/>
    </row>
    <row r="5260" customFormat="false" ht="15" hidden="false" customHeight="false" outlineLevel="0" collapsed="false">
      <c r="B5260" s="10"/>
      <c r="C5260" s="10"/>
      <c r="D5260" s="47" t="str">
        <f aca="false">Signataire_Titre</f>
        <v>Expert-comptable associé</v>
      </c>
      <c r="E5260" s="47"/>
      <c r="F5260" s="47"/>
    </row>
    <row r="5261" customFormat="false" ht="15.75" hidden="false" customHeight="true" outlineLevel="0" collapsed="false">
      <c r="B5261" s="10"/>
      <c r="C5261" s="10"/>
      <c r="D5261" s="10"/>
      <c r="E5261" s="10"/>
      <c r="F5261" s="10"/>
    </row>
    <row r="5262" customFormat="false" ht="15.75" hidden="false" customHeight="true" outlineLevel="0" collapsed="false">
      <c r="B5262" s="10"/>
      <c r="C5262" s="10"/>
      <c r="D5262" s="10"/>
      <c r="E5262" s="10"/>
      <c r="F5262" s="10"/>
    </row>
    <row r="5263" customFormat="false" ht="15.75" hidden="false" customHeight="true" outlineLevel="0" collapsed="false">
      <c r="B5263" s="10"/>
      <c r="C5263" s="10"/>
      <c r="D5263" s="10"/>
      <c r="E5263" s="10"/>
      <c r="F5263" s="10"/>
    </row>
    <row r="5264" customFormat="false" ht="15.75" hidden="false" customHeight="true" outlineLevel="0" collapsed="false">
      <c r="B5264" s="10"/>
      <c r="C5264" s="10"/>
      <c r="D5264" s="10"/>
      <c r="E5264" s="10"/>
      <c r="F5264" s="10"/>
    </row>
    <row r="5265" customFormat="false" ht="24" hidden="false" customHeight="true" outlineLevel="0" collapsed="false">
      <c r="B5265" s="48" t="str">
        <f aca="false">Cab_Mentions</f>
        <v>ALTHO EXPERTISE · SAS au capital de 10 000 € · RCS Pontoise 919 706 325 · TVA FR62919706325 · Société d'expertise comptable inscrite au Tableau de l'Ordre des experts-comptables de Paris Île-de-France</v>
      </c>
      <c r="C5265" s="48"/>
      <c r="D5265" s="48"/>
      <c r="E5265" s="48"/>
      <c r="F5265" s="48"/>
    </row>
    <row r="5266" customFormat="false" ht="15" hidden="false" customHeight="false" outlineLevel="0" collapsed="false">
      <c r="B5266" s="10"/>
      <c r="C5266" s="10"/>
      <c r="D5266" s="10"/>
      <c r="E5266" s="10"/>
      <c r="F5266" s="10"/>
      <c r="J5266" s="25" t="s">
        <v>142</v>
      </c>
      <c r="K5266" s="25" t="n">
        <f aca="false">IFERROR(MATCH(118,Clients!$Z$2:$Z$501,0),0)</f>
        <v>0</v>
      </c>
      <c r="L5266" s="25"/>
      <c r="M5266" s="25"/>
      <c r="N5266" s="25"/>
      <c r="O5266" s="25"/>
    </row>
    <row r="5267" customFormat="false" ht="21.75" hidden="false" customHeight="true" outlineLevel="0" collapsed="false">
      <c r="B5267" s="26" t="str">
        <f aca="false">Cab_Nom</f>
        <v>ALTHO EXPERTISE</v>
      </c>
      <c r="C5267" s="26"/>
      <c r="D5267" s="10"/>
      <c r="E5267" s="27" t="str">
        <f aca="false">IF($K$5266=0,"","Réf. client : "&amp;INDEX(Clients!$A$2:$A$501,$K$5266))</f>
        <v/>
      </c>
      <c r="F5267" s="27"/>
      <c r="J5267" s="25" t="s">
        <v>144</v>
      </c>
      <c r="K5267" s="25" t="str">
        <f aca="false">IF(IF($K$5266=0,"",INDEX(Clients!$B$2:$B$501,$K$5266)&amp;"")="Mme","Madame",IF(IF($K$5266=0,"",INDEX(Clients!$B$2:$B$501,$K$5266)&amp;"")="M.","Monsieur","Madame, Monsieur"))</f>
        <v>Madame, Monsieur</v>
      </c>
      <c r="L5267" s="25"/>
      <c r="M5267" s="25"/>
      <c r="N5267" s="25"/>
      <c r="O5267" s="25"/>
    </row>
    <row r="5268" customFormat="false" ht="15" hidden="false" customHeight="false" outlineLevel="0" collapsed="false">
      <c r="B5268" s="29" t="str">
        <f aca="false">Cab_Adr1</f>
        <v>141 rue Charles de Gaulle</v>
      </c>
      <c r="C5268" s="29"/>
      <c r="D5268" s="10"/>
      <c r="E5268" s="10"/>
      <c r="F5268" s="10"/>
      <c r="J5268" s="25" t="s">
        <v>145</v>
      </c>
      <c r="K5268" s="25" t="str">
        <f aca="false">DAY(Date_Effet)&amp;IF(DAY(Date_Effet)=1,"er","")&amp;" "&amp;INDEX(Liste_Mois,MONTH(Date_Effet))&amp;" "&amp;YEAR(Date_Effet)</f>
        <v>1er janvier 2027</v>
      </c>
      <c r="L5268" s="25"/>
      <c r="M5268" s="25"/>
      <c r="N5268" s="25"/>
      <c r="O5268" s="25"/>
    </row>
    <row r="5269" customFormat="false" ht="15" hidden="false" customHeight="false" outlineLevel="0" collapsed="false">
      <c r="B5269" s="29" t="str">
        <f aca="false">Cab_CPVille</f>
        <v>95130 LE PLESSIS-BOUCHARD</v>
      </c>
      <c r="C5269" s="29"/>
      <c r="D5269" s="10"/>
      <c r="E5269" s="10"/>
      <c r="F5269" s="10"/>
      <c r="J5269" s="25" t="s">
        <v>146</v>
      </c>
      <c r="K5269" s="25" t="str">
        <f aca="false">IF(SUM($K$5293:$K$5296)=0,"",FIXED((SUM($L$5293:$L$5296)/SUM($K$5293:$K$5296)-1)*100,1)&amp;" %")</f>
        <v/>
      </c>
      <c r="L5269" s="25"/>
      <c r="M5269" s="25"/>
      <c r="N5269" s="25"/>
      <c r="O5269" s="25"/>
    </row>
    <row r="5270" customFormat="false" ht="15" hidden="false" customHeight="false" outlineLevel="0" collapsed="false">
      <c r="B5270" s="29" t="str">
        <f aca="false">Cab_Contact</f>
        <v>Tél. 01 34 14 53 45  ·  altho@altho-experts.com  ·  altho-experts.com</v>
      </c>
      <c r="C5270" s="29"/>
      <c r="D5270" s="10"/>
      <c r="E5270" s="10"/>
      <c r="F5270" s="10"/>
      <c r="J5270" s="25"/>
      <c r="K5270" s="25"/>
      <c r="L5270" s="25"/>
      <c r="M5270" s="25"/>
      <c r="N5270" s="25"/>
      <c r="O5270" s="25"/>
    </row>
    <row r="5271" customFormat="false" ht="6" hidden="false" customHeight="true" outlineLevel="0" collapsed="false">
      <c r="B5271" s="32"/>
      <c r="C5271" s="32"/>
      <c r="D5271" s="32"/>
      <c r="E5271" s="32"/>
      <c r="F5271" s="32"/>
      <c r="J5271" s="25"/>
      <c r="K5271" s="25"/>
      <c r="L5271" s="25"/>
      <c r="M5271" s="25"/>
      <c r="N5271" s="25"/>
      <c r="O5271" s="25"/>
    </row>
    <row r="5272" customFormat="false" ht="13.5" hidden="false" customHeight="true" outlineLevel="0" collapsed="false">
      <c r="B5272" s="10"/>
      <c r="C5272" s="10"/>
      <c r="D5272" s="10"/>
      <c r="E5272" s="10"/>
      <c r="F5272" s="10"/>
      <c r="J5272" s="25"/>
      <c r="K5272" s="25"/>
      <c r="L5272" s="25"/>
      <c r="M5272" s="25"/>
      <c r="N5272" s="25"/>
      <c r="O5272" s="25"/>
    </row>
    <row r="5273" customFormat="false" ht="13.5" hidden="false" customHeight="true" outlineLevel="0" collapsed="false">
      <c r="B5273" s="10"/>
      <c r="C5273" s="10"/>
      <c r="D5273" s="10"/>
      <c r="E5273" s="10"/>
      <c r="F5273" s="10"/>
      <c r="J5273" s="25"/>
      <c r="K5273" s="25"/>
      <c r="L5273" s="25"/>
      <c r="M5273" s="25"/>
      <c r="N5273" s="25"/>
      <c r="O5273" s="25"/>
    </row>
    <row r="5274" customFormat="false" ht="13.5" hidden="false" customHeight="true" outlineLevel="0" collapsed="false">
      <c r="B5274" s="10"/>
      <c r="C5274" s="10"/>
      <c r="D5274" s="10"/>
      <c r="E5274" s="10"/>
      <c r="F5274" s="10"/>
      <c r="J5274" s="25"/>
      <c r="K5274" s="25"/>
      <c r="L5274" s="25"/>
      <c r="M5274" s="25"/>
      <c r="N5274" s="25"/>
      <c r="O5274" s="25"/>
    </row>
    <row r="5275" customFormat="false" ht="15" hidden="false" customHeight="true" outlineLevel="0" collapsed="false">
      <c r="B5275" s="10"/>
      <c r="C5275" s="10"/>
      <c r="D5275" s="34" t="str">
        <f aca="false">IF($K$5266=0,"",INDEX(Clients!$E$2:$E$501,$K$5266)&amp;"")</f>
        <v/>
      </c>
      <c r="E5275" s="34"/>
      <c r="F5275" s="34"/>
      <c r="J5275" s="25"/>
      <c r="K5275" s="25"/>
      <c r="L5275" s="25"/>
      <c r="M5275" s="25"/>
      <c r="N5275" s="25"/>
      <c r="O5275" s="25"/>
    </row>
    <row r="5276" customFormat="false" ht="15" hidden="false" customHeight="true" outlineLevel="0" collapsed="false">
      <c r="B5276" s="10"/>
      <c r="C5276" s="10"/>
      <c r="D5276" s="35" t="str">
        <f aca="false">IF(IF($K$5266=0,"",INDEX(Clients!$D$2:$D$501,$K$5266)&amp;"")="","","À l'attention de "&amp;TRIM(IF($K$5266=0,"",INDEX(Clients!$B$2:$B$501,$K$5266)&amp;"")&amp;" "&amp;IF($K$5266=0,"",INDEX(Clients!$C$2:$C$501,$K$5266)&amp;"")&amp;" "&amp;IF($K$5266=0,"",INDEX(Clients!$D$2:$D$501,$K$5266)&amp;"")))</f>
        <v/>
      </c>
      <c r="E5276" s="35"/>
      <c r="F5276" s="35"/>
      <c r="J5276" s="25"/>
      <c r="K5276" s="25"/>
      <c r="L5276" s="25"/>
      <c r="M5276" s="25"/>
      <c r="N5276" s="25"/>
      <c r="O5276" s="25"/>
    </row>
    <row r="5277" customFormat="false" ht="15" hidden="false" customHeight="true" outlineLevel="0" collapsed="false">
      <c r="B5277" s="10"/>
      <c r="C5277" s="10"/>
      <c r="D5277" s="35" t="str">
        <f aca="false">IF($K$5266=0,"",INDEX(Clients!$F$2:$F$501,$K$5266)&amp;"")</f>
        <v/>
      </c>
      <c r="E5277" s="35"/>
      <c r="F5277" s="35"/>
      <c r="J5277" s="25"/>
      <c r="K5277" s="25"/>
      <c r="L5277" s="25"/>
      <c r="M5277" s="25"/>
      <c r="N5277" s="25"/>
      <c r="O5277" s="25"/>
    </row>
    <row r="5278" customFormat="false" ht="15" hidden="false" customHeight="true" outlineLevel="0" collapsed="false">
      <c r="B5278" s="10"/>
      <c r="C5278" s="10"/>
      <c r="D5278" s="35" t="str">
        <f aca="false">IF(IF($K$5266=0,"",INDEX(Clients!$G$2:$G$501,$K$5266)&amp;"")="",TRIM(IF($K$5266=0,"",INDEX(Clients!$H$2:$H$501,$K$5266)&amp;"")&amp;" "&amp;UPPER(IF($K$5266=0,"",INDEX(Clients!$I$2:$I$501,$K$5266)&amp;""))),IF($K$5266=0,"",INDEX(Clients!$G$2:$G$501,$K$5266)&amp;""))</f>
        <v/>
      </c>
      <c r="E5278" s="35"/>
      <c r="F5278" s="35"/>
      <c r="J5278" s="25"/>
      <c r="K5278" s="25"/>
      <c r="L5278" s="25"/>
      <c r="M5278" s="25"/>
      <c r="N5278" s="25"/>
      <c r="O5278" s="25"/>
    </row>
    <row r="5279" customFormat="false" ht="15" hidden="false" customHeight="true" outlineLevel="0" collapsed="false">
      <c r="B5279" s="10"/>
      <c r="C5279" s="10"/>
      <c r="D5279" s="35" t="str">
        <f aca="false">IF(IF($K$5266=0,"",INDEX(Clients!$G$2:$G$501,$K$5266)&amp;"")="","",TRIM(IF($K$5266=0,"",INDEX(Clients!$H$2:$H$501,$K$5266)&amp;"")&amp;" "&amp;UPPER(IF($K$5266=0,"",INDEX(Clients!$I$2:$I$501,$K$5266)&amp;""))))</f>
        <v/>
      </c>
      <c r="E5279" s="35"/>
      <c r="F5279" s="35"/>
      <c r="J5279" s="25"/>
      <c r="K5279" s="25"/>
      <c r="L5279" s="25"/>
      <c r="M5279" s="25"/>
      <c r="N5279" s="25"/>
      <c r="O5279" s="25"/>
    </row>
    <row r="5280" customFormat="false" ht="25.5" hidden="false" customHeight="true" outlineLevel="0" collapsed="false">
      <c r="B5280" s="10"/>
      <c r="C5280" s="10"/>
      <c r="D5280" s="10"/>
      <c r="E5280" s="10"/>
      <c r="F5280" s="10"/>
      <c r="J5280" s="25"/>
      <c r="K5280" s="25"/>
      <c r="L5280" s="25"/>
      <c r="M5280" s="25"/>
      <c r="N5280" s="25"/>
      <c r="O5280" s="25"/>
    </row>
    <row r="5281" customFormat="false" ht="15" hidden="false" customHeight="false" outlineLevel="0" collapsed="false">
      <c r="B5281" s="10"/>
      <c r="C5281" s="10"/>
      <c r="D5281" s="36" t="str">
        <f aca="false">Cab_Ville&amp;", le "&amp;DAY(Date_Courrier)&amp;IF(DAY(Date_Courrier)=1,"er","")&amp;" "&amp;INDEX(Liste_Mois,MONTH(Date_Courrier))&amp;" "&amp;YEAR(Date_Courrier)</f>
        <v>Le Plessis-Bouchard, le 22 septembre 2026</v>
      </c>
      <c r="E5281" s="36"/>
      <c r="F5281" s="36"/>
      <c r="J5281" s="25"/>
      <c r="K5281" s="25"/>
      <c r="L5281" s="25"/>
      <c r="M5281" s="25"/>
      <c r="N5281" s="25"/>
      <c r="O5281" s="25"/>
    </row>
    <row r="5282" customFormat="false" ht="19.5" hidden="false" customHeight="true" outlineLevel="0" collapsed="false">
      <c r="B5282" s="10"/>
      <c r="C5282" s="10"/>
      <c r="D5282" s="10"/>
      <c r="E5282" s="10"/>
      <c r="F5282" s="10"/>
      <c r="J5282" s="25"/>
      <c r="K5282" s="25"/>
      <c r="L5282" s="25"/>
      <c r="M5282" s="25"/>
      <c r="N5282" s="25"/>
      <c r="O5282" s="25"/>
    </row>
    <row r="5283" customFormat="false" ht="15" hidden="false" customHeight="false" outlineLevel="0" collapsed="false">
      <c r="B5283" s="34" t="str">
        <f aca="false">SUBSTITUTE(SUBSTITUTE(SUBSTITUTE(SUBSTITUTE(SUBSTITUTE(Txt_Objet,"{cabinet}",Cab_Nom),"{societe}",IF($K$5266=0,"",INDEX(Clients!$E$2:$E$501,$K$5266)&amp;"")),"{date_effet}",$K$5268),"{hausse}",$K$5269),"{civilite}",$K$5267)</f>
        <v>Objet : révision de nos honoraires au 1er janvier 2027</v>
      </c>
      <c r="C5283" s="34"/>
      <c r="D5283" s="34"/>
      <c r="E5283" s="34"/>
      <c r="F5283" s="34"/>
      <c r="J5283" s="25"/>
      <c r="K5283" s="25"/>
      <c r="L5283" s="25"/>
      <c r="M5283" s="25"/>
      <c r="N5283" s="25"/>
      <c r="O5283" s="25"/>
    </row>
    <row r="5284" customFormat="false" ht="13.5" hidden="false" customHeight="true" outlineLevel="0" collapsed="false">
      <c r="B5284" s="10"/>
      <c r="C5284" s="10"/>
      <c r="D5284" s="10"/>
      <c r="E5284" s="10"/>
      <c r="F5284" s="10"/>
      <c r="J5284" s="25"/>
      <c r="K5284" s="25"/>
      <c r="L5284" s="25"/>
      <c r="M5284" s="25"/>
      <c r="N5284" s="25"/>
      <c r="O5284" s="25"/>
    </row>
    <row r="5285" customFormat="false" ht="15" hidden="false" customHeight="false" outlineLevel="0" collapsed="false">
      <c r="B5285" s="10" t="str">
        <f aca="false">$K$5267&amp;","</f>
        <v>Madame, Monsieur,</v>
      </c>
      <c r="C5285" s="10"/>
      <c r="D5285" s="10"/>
      <c r="E5285" s="10"/>
      <c r="F5285" s="10"/>
      <c r="J5285" s="25"/>
      <c r="K5285" s="25"/>
      <c r="L5285" s="25"/>
      <c r="M5285" s="25"/>
      <c r="N5285" s="25"/>
      <c r="O5285" s="25"/>
    </row>
    <row r="5286" customFormat="false" ht="6" hidden="false" customHeight="true" outlineLevel="0" collapsed="false">
      <c r="B5286" s="10"/>
      <c r="C5286" s="10"/>
      <c r="D5286" s="10"/>
      <c r="E5286" s="10"/>
      <c r="F5286" s="10"/>
      <c r="J5286" s="25"/>
      <c r="K5286" s="25"/>
      <c r="L5286" s="25"/>
      <c r="M5286" s="25"/>
      <c r="N5286" s="25"/>
      <c r="O5286" s="25"/>
    </row>
    <row r="5287" customFormat="false" ht="36.75" hidden="false" customHeight="true" outlineLevel="0" collapsed="false">
      <c r="B5287" s="37" t="str">
        <f aca="false">SUBSTITUTE(SUBSTITUTE(SUBSTITUTE(SUBSTITUTE(SUBSTITUTE(Txt_P1,"{cabinet}",Cab_Nom),"{societe}",IF($K$5266=0,"",INDEX(Clients!$E$2:$E$501,$K$5266)&amp;"")),"{date_effet}",$K$5268),"{hausse}",$K$5269),"{civilite}",$K$5267)</f>
        <v>Nous tenons tout d'abord à vous remercier pour la confiance que vous accordez à ALTHO EXPERTISE. Comme chaque année, et conformément aux dispositions de votre lettre de mission, nous procédons à la révision de nos honoraires.</v>
      </c>
      <c r="C5287" s="37"/>
      <c r="D5287" s="37"/>
      <c r="E5287" s="37"/>
      <c r="F5287" s="37"/>
      <c r="J5287" s="25"/>
      <c r="K5287" s="25"/>
      <c r="L5287" s="25"/>
      <c r="M5287" s="25"/>
      <c r="N5287" s="25"/>
      <c r="O5287" s="25"/>
    </row>
    <row r="5288" customFormat="false" ht="49.5" hidden="false" customHeight="true" outlineLevel="0" collapsed="false">
      <c r="B5288" s="37" t="str">
        <f aca="false">SUBSTITUTE(SUBSTITUTE(SUBSTITUTE(SUBSTITUTE(SUBSTITUTE(Txt_P2,"{cabinet}",Cab_Nom),"{societe}",IF($K$5266=0,"",INDEX(Clients!$E$2:$E$501,$K$5266)&amp;"")),"{date_effet}",$K$5268),"{hausse}",$K$5269),"{civilite}",$K$5267)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288" s="37"/>
      <c r="D5288" s="37"/>
      <c r="E5288" s="37"/>
      <c r="F5288" s="37"/>
      <c r="J5288" s="25"/>
      <c r="K5288" s="25"/>
      <c r="L5288" s="25"/>
      <c r="M5288" s="25"/>
      <c r="N5288" s="25"/>
      <c r="O5288" s="25"/>
    </row>
    <row r="5289" customFormat="false" ht="63" hidden="false" customHeight="true" outlineLevel="0" collapsed="false">
      <c r="B5289" s="37" t="str">
        <f aca="false">SUBSTITUTE(SUBSTITUTE(SUBSTITUTE(SUBSTITUTE(SUBSTITUTE(Txt_P3,"{cabinet}",Cab_Nom),"{societe}",IF($K$5266=0,"",INDEX(Clients!$E$2:$E$501,$K$5266)&amp;"")),"{date_effet}",$K$5268),"{hausse}",$K$5269),"{civilite}",$K$5267)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289" s="37"/>
      <c r="D5289" s="37"/>
      <c r="E5289" s="37"/>
      <c r="F5289" s="37"/>
      <c r="J5289" s="25"/>
      <c r="K5289" s="25"/>
      <c r="L5289" s="25"/>
      <c r="M5289" s="25"/>
      <c r="N5289" s="25"/>
      <c r="O5289" s="25"/>
    </row>
    <row r="5290" customFormat="false" ht="24" hidden="false" customHeight="true" outlineLevel="0" collapsed="false">
      <c r="B5290" s="37" t="str">
        <f aca="false">SUBSTITUTE(SUBSTITUTE(SUBSTITUTE(SUBSTITUTE(SUBSTITUTE(Txt_P4,"{cabinet}",Cab_Nom),"{societe}",IF($K$5266=0,"",INDEX(Clients!$E$2:$E$501,$K$5266)&amp;"")),"{date_effet}",$K$5268),"{hausse}",$K$5269),"{civilite}",$K$5267)</f>
        <v>À compter du 1er janvier 2027, vos honoraires annuels hors taxes évolueront ainsi (évolution globale : ) :</v>
      </c>
      <c r="C5290" s="37"/>
      <c r="D5290" s="37"/>
      <c r="E5290" s="37"/>
      <c r="F5290" s="37"/>
      <c r="J5290" s="25"/>
      <c r="K5290" s="25"/>
      <c r="L5290" s="25"/>
      <c r="M5290" s="25"/>
      <c r="N5290" s="25"/>
      <c r="O5290" s="25"/>
    </row>
    <row r="5291" customFormat="false" ht="3.75" hidden="false" customHeight="true" outlineLevel="0" collapsed="false">
      <c r="B5291" s="10"/>
      <c r="C5291" s="10"/>
      <c r="D5291" s="10"/>
      <c r="E5291" s="10"/>
      <c r="F5291" s="10"/>
      <c r="J5291" s="25"/>
      <c r="K5291" s="25"/>
      <c r="L5291" s="25"/>
      <c r="M5291" s="25"/>
      <c r="N5291" s="25"/>
      <c r="O5291" s="25"/>
    </row>
    <row r="5292" customFormat="false" ht="18" hidden="false" customHeight="true" outlineLevel="0" collapsed="false">
      <c r="B5292" s="38" t="s">
        <v>148</v>
      </c>
      <c r="C5292" s="39" t="s">
        <v>149</v>
      </c>
      <c r="D5292" s="39" t="s">
        <v>150</v>
      </c>
      <c r="E5292" s="39" t="s">
        <v>151</v>
      </c>
      <c r="F5292" s="39" t="s">
        <v>109</v>
      </c>
      <c r="J5292" s="25" t="s">
        <v>152</v>
      </c>
      <c r="K5292" s="25" t="s">
        <v>153</v>
      </c>
      <c r="L5292" s="25" t="s">
        <v>154</v>
      </c>
      <c r="M5292" s="25" t="s">
        <v>155</v>
      </c>
      <c r="N5292" s="25" t="s">
        <v>156</v>
      </c>
      <c r="O5292" s="25" t="s">
        <v>157</v>
      </c>
    </row>
    <row r="5293" customFormat="false" ht="16.5" hidden="false" customHeight="true" outlineLevel="0" collapsed="false">
      <c r="B5293" s="40" t="str">
        <f aca="false">IFERROR(INDEX($J$5293:$J$5296,MATCH($O5293,$N$5293:$N$5296,0)),"")</f>
        <v/>
      </c>
      <c r="C5293" s="41" t="str">
        <f aca="false">IFERROR(INDEX($K$5293:$K$5296,MATCH($O5293,$N$5293:$N$5296,0)),"")</f>
        <v/>
      </c>
      <c r="D5293" s="42" t="str">
        <f aca="false">IF(OR(E5293="",N(C5293)=0),"",E5293/C5293-1)</f>
        <v/>
      </c>
      <c r="E5293" s="41" t="str">
        <f aca="false">IFERROR(INDEX($L$5293:$L$5296,MATCH($O5293,$N$5293:$N$5296,0)),"")</f>
        <v/>
      </c>
      <c r="F5293" s="41" t="str">
        <f aca="false">IF(E5293="","",E5293-C5293)</f>
        <v/>
      </c>
      <c r="J5293" s="25" t="str">
        <f aca="false">Lib_Compta</f>
        <v>Mission comptable (tenue, révision, bilan, liasse fiscale)</v>
      </c>
      <c r="K5293" s="25" t="n">
        <f aca="false">IF($K$5266=0,0,N(INDEX(Clients!$K$2:$K$501,$K$5266)))</f>
        <v>0</v>
      </c>
      <c r="L5293" s="25" t="n">
        <f aca="false">IF($K$5266=0,0,N(INDEX(Clients!$P$2:$P$501,$K$5266)))</f>
        <v>0</v>
      </c>
      <c r="M5293" s="25" t="n">
        <f aca="false">IF(OR(K5293&lt;&gt;0,L5293&lt;&gt;0),1,0)</f>
        <v>0</v>
      </c>
      <c r="N5293" s="25" t="str">
        <f aca="false">IF(M5293=1,SUM($M$5293:M5293),"")</f>
        <v/>
      </c>
      <c r="O5293" s="25" t="n">
        <v>1</v>
      </c>
    </row>
    <row r="5294" customFormat="false" ht="16.5" hidden="false" customHeight="true" outlineLevel="0" collapsed="false">
      <c r="B5294" s="40" t="str">
        <f aca="false">IFERROR(INDEX($J$5293:$J$5296,MATCH($O5294,$N$5293:$N$5296,0)),"")</f>
        <v/>
      </c>
      <c r="C5294" s="41" t="str">
        <f aca="false">IFERROR(INDEX($K$5293:$K$5296,MATCH($O5294,$N$5293:$N$5296,0)),"")</f>
        <v/>
      </c>
      <c r="D5294" s="42" t="str">
        <f aca="false">IF(OR(E5294="",N(C5294)=0),"",E5294/C5294-1)</f>
        <v/>
      </c>
      <c r="E5294" s="41" t="str">
        <f aca="false">IFERROR(INDEX($L$5293:$L$5296,MATCH($O5294,$N$5293:$N$5296,0)),"")</f>
        <v/>
      </c>
      <c r="F5294" s="41" t="str">
        <f aca="false">IF(E5294="","",E5294-C5294)</f>
        <v/>
      </c>
      <c r="J5294" s="25" t="str">
        <f aca="false">Lib_Paye</f>
        <v>Mission sociale (bulletins de paie, DSN, déclarations sociales)</v>
      </c>
      <c r="K5294" s="25" t="n">
        <f aca="false">IF($K$5266=0,0,N(INDEX(Clients!$L$2:$L$501,$K$5266)))</f>
        <v>0</v>
      </c>
      <c r="L5294" s="25" t="n">
        <f aca="false">IF($K$5266=0,0,N(INDEX(Clients!$Q$2:$Q$501,$K$5266)))</f>
        <v>0</v>
      </c>
      <c r="M5294" s="25" t="n">
        <f aca="false">IF(OR(K5294&lt;&gt;0,L5294&lt;&gt;0),1,0)</f>
        <v>0</v>
      </c>
      <c r="N5294" s="25" t="str">
        <f aca="false">IF(M5294=1,SUM($M$5293:M5294),"")</f>
        <v/>
      </c>
      <c r="O5294" s="25" t="n">
        <v>2</v>
      </c>
    </row>
    <row r="5295" customFormat="false" ht="16.5" hidden="false" customHeight="true" outlineLevel="0" collapsed="false">
      <c r="B5295" s="40" t="str">
        <f aca="false">IFERROR(INDEX($J$5293:$J$5296,MATCH($O5295,$N$5293:$N$5296,0)),"")</f>
        <v/>
      </c>
      <c r="C5295" s="41" t="str">
        <f aca="false">IFERROR(INDEX($K$5293:$K$5296,MATCH($O5295,$N$5293:$N$5296,0)),"")</f>
        <v/>
      </c>
      <c r="D5295" s="42" t="str">
        <f aca="false">IF(OR(E5295="",N(C5295)=0),"",E5295/C5295-1)</f>
        <v/>
      </c>
      <c r="E5295" s="41" t="str">
        <f aca="false">IFERROR(INDEX($L$5293:$L$5296,MATCH($O5295,$N$5293:$N$5296,0)),"")</f>
        <v/>
      </c>
      <c r="F5295" s="41" t="str">
        <f aca="false">IF(E5295="","",E5295-C5295)</f>
        <v/>
      </c>
      <c r="J5295" s="25" t="str">
        <f aca="false">Lib_Jur</f>
        <v>Mission juridique (approbation des comptes, secrétariat juridique)</v>
      </c>
      <c r="K5295" s="25" t="n">
        <f aca="false">IF($K$5266=0,0,N(INDEX(Clients!$M$2:$M$501,$K$5266)))</f>
        <v>0</v>
      </c>
      <c r="L5295" s="25" t="n">
        <f aca="false">IF($K$5266=0,0,N(INDEX(Clients!$R$2:$R$501,$K$5266)))</f>
        <v>0</v>
      </c>
      <c r="M5295" s="25" t="n">
        <f aca="false">IF(OR(K5295&lt;&gt;0,L5295&lt;&gt;0),1,0)</f>
        <v>0</v>
      </c>
      <c r="N5295" s="25" t="str">
        <f aca="false">IF(M5295=1,SUM($M$5293:M5295),"")</f>
        <v/>
      </c>
      <c r="O5295" s="25" t="n">
        <v>3</v>
      </c>
    </row>
    <row r="5296" customFormat="false" ht="16.5" hidden="false" customHeight="true" outlineLevel="0" collapsed="false">
      <c r="B5296" s="40" t="str">
        <f aca="false">IFERROR(INDEX($J$5293:$J$5296,MATCH($O5296,$N$5293:$N$5296,0)),"")</f>
        <v/>
      </c>
      <c r="C5296" s="41" t="str">
        <f aca="false">IFERROR(INDEX($K$5293:$K$5296,MATCH($O5296,$N$5293:$N$5296,0)),"")</f>
        <v/>
      </c>
      <c r="D5296" s="42" t="str">
        <f aca="false">IF(OR(E5296="",N(C5296)=0),"",E5296/C5296-1)</f>
        <v/>
      </c>
      <c r="E5296" s="41" t="str">
        <f aca="false">IFERROR(INDEX($L$5293:$L$5296,MATCH($O5296,$N$5293:$N$5296,0)),"")</f>
        <v/>
      </c>
      <c r="F5296" s="41" t="str">
        <f aca="false">IF(E5296="","",E5296-C5296)</f>
        <v/>
      </c>
      <c r="J5296" s="25" t="str">
        <f aca="false">Lib_PA</f>
        <v>Plateforme agréée – facturation électronique</v>
      </c>
      <c r="K5296" s="25" t="n">
        <f aca="false">IF($K$5266=0,0,N(INDEX(Clients!$N$2:$N$501,$K$5266)))</f>
        <v>0</v>
      </c>
      <c r="L5296" s="25" t="n">
        <f aca="false">IF($K$5266=0,0,N(INDEX(Clients!$S$2:$S$501,$K$5266)))</f>
        <v>0</v>
      </c>
      <c r="M5296" s="25" t="n">
        <f aca="false">IF(OR(K5296&lt;&gt;0,L5296&lt;&gt;0),1,0)</f>
        <v>0</v>
      </c>
      <c r="N5296" s="25" t="str">
        <f aca="false">IF(M5296=1,SUM($M$5293:M5296),"")</f>
        <v/>
      </c>
      <c r="O5296" s="25" t="n">
        <v>4</v>
      </c>
    </row>
    <row r="5297" customFormat="false" ht="18" hidden="false" customHeight="true" outlineLevel="0" collapsed="false">
      <c r="B5297" s="43" t="s">
        <v>158</v>
      </c>
      <c r="C5297" s="44" t="n">
        <f aca="false">SUM(K5293:K5296)</f>
        <v>0</v>
      </c>
      <c r="D5297" s="45" t="str">
        <f aca="false">IF(N(C5297)=0,"",E5297/C5297-1)</f>
        <v/>
      </c>
      <c r="E5297" s="44" t="n">
        <f aca="false">SUM(L5293:L5296)</f>
        <v>0</v>
      </c>
      <c r="F5297" s="44" t="n">
        <f aca="false">E5297-C5297</f>
        <v>0</v>
      </c>
    </row>
    <row r="5298" customFormat="false" ht="15" hidden="false" customHeight="false" outlineLevel="0" collapsed="false">
      <c r="B5298" s="46" t="str">
        <f aca="false">IF(N(Nb_Mensualites)=0,"","Soit "&amp;FIXED(E5297/Nb_Mensualites,2)&amp;" € HT par échéance ("&amp;Nb_Mensualites&amp;" échéances), "&amp;FIXED(E5297/Nb_Mensualites*(1+Taux_TVA),2)&amp;" € TTC.")</f>
        <v>Soit 0.00 € HT par échéance (12 échéances), 0.00 € TTC.</v>
      </c>
      <c r="C5298" s="46"/>
      <c r="D5298" s="46"/>
      <c r="E5298" s="46"/>
      <c r="F5298" s="46"/>
    </row>
    <row r="5299" customFormat="false" ht="7.5" hidden="false" customHeight="true" outlineLevel="0" collapsed="false">
      <c r="B5299" s="10"/>
      <c r="C5299" s="10"/>
      <c r="D5299" s="10"/>
      <c r="E5299" s="10"/>
      <c r="F5299" s="10"/>
    </row>
    <row r="5300" customFormat="false" ht="36.75" hidden="false" customHeight="true" outlineLevel="0" collapsed="false">
      <c r="B5300" s="37" t="str">
        <f aca="false">SUBSTITUTE(SUBSTITUTE(SUBSTITUTE(SUBSTITUTE(SUBSTITUTE(Txt_P5,"{cabinet}",Cab_Nom),"{societe}",IF($K$5266=0,"",INDEX(Clients!$E$2:$E$501,$K$5266)&amp;"")),"{date_effet}",$K$5268),"{hausse}",$K$5269),"{civilite}",$K$5267)</f>
        <v>Les autres conditions de votre lettre de mission demeurent inchangées. Les nouveaux montants seront appliqués automatiquement sur vos prochaines factures et échéances de prélèvement.</v>
      </c>
      <c r="C5300" s="37"/>
      <c r="D5300" s="37"/>
      <c r="E5300" s="37"/>
      <c r="F5300" s="37"/>
    </row>
    <row r="5301" customFormat="false" ht="36.75" hidden="false" customHeight="true" outlineLevel="0" collapsed="false">
      <c r="B5301" s="37" t="str">
        <f aca="false">SUBSTITUTE(SUBSTITUTE(SUBSTITUTE(SUBSTITUTE(SUBSTITUTE(Txt_P6,"{cabinet}",Cab_Nom),"{societe}",IF($K$5266=0,"",INDEX(Clients!$E$2:$E$501,$K$5266)&amp;"")),"{date_effet}",$K$5268),"{hausse}",$K$5269),"{civilite}",$K$5267)</f>
        <v>Votre interlocuteur habituel reste à votre entière disposition pour répondre à vos questions et faire le point sur l'évolution de vos besoins.</v>
      </c>
      <c r="C5301" s="37"/>
      <c r="D5301" s="37"/>
      <c r="E5301" s="37"/>
      <c r="F5301" s="37"/>
    </row>
    <row r="5302" customFormat="false" ht="24" hidden="false" customHeight="true" outlineLevel="0" collapsed="false">
      <c r="B5302" s="37" t="str">
        <f aca="false">SUBSTITUTE(SUBSTITUTE(SUBSTITUTE(SUBSTITUTE(SUBSTITUTE(Txt_Politesse,"{cabinet}",Cab_Nom),"{societe}",IF($K$5266=0,"",INDEX(Clients!$E$2:$E$501,$K$5266)&amp;"")),"{date_effet}",$K$5268),"{hausse}",$K$5269),"{civilite}",$K$5267)</f>
        <v>Nous vous prions d'agréer, Madame, Monsieur, l'expression de nos salutations distinguées.</v>
      </c>
      <c r="C5302" s="37"/>
      <c r="D5302" s="37"/>
      <c r="E5302" s="37"/>
      <c r="F5302" s="37"/>
    </row>
    <row r="5303" customFormat="false" ht="15" hidden="false" customHeight="false" outlineLevel="0" collapsed="false">
      <c r="B5303" s="10"/>
      <c r="C5303" s="10"/>
      <c r="D5303" s="10"/>
      <c r="E5303" s="10"/>
      <c r="F5303" s="10"/>
    </row>
    <row r="5304" customFormat="false" ht="15" hidden="false" customHeight="false" outlineLevel="0" collapsed="false">
      <c r="B5304" s="10"/>
      <c r="C5304" s="10"/>
      <c r="D5304" s="34" t="str">
        <f aca="false">Signataire</f>
        <v>Prénom NOM</v>
      </c>
      <c r="E5304" s="34"/>
      <c r="F5304" s="34"/>
    </row>
    <row r="5305" customFormat="false" ht="15" hidden="false" customHeight="false" outlineLevel="0" collapsed="false">
      <c r="B5305" s="10"/>
      <c r="C5305" s="10"/>
      <c r="D5305" s="47" t="str">
        <f aca="false">Signataire_Titre</f>
        <v>Expert-comptable associé</v>
      </c>
      <c r="E5305" s="47"/>
      <c r="F5305" s="47"/>
    </row>
    <row r="5306" customFormat="false" ht="15.75" hidden="false" customHeight="true" outlineLevel="0" collapsed="false">
      <c r="B5306" s="10"/>
      <c r="C5306" s="10"/>
      <c r="D5306" s="10"/>
      <c r="E5306" s="10"/>
      <c r="F5306" s="10"/>
    </row>
    <row r="5307" customFormat="false" ht="15.75" hidden="false" customHeight="true" outlineLevel="0" collapsed="false">
      <c r="B5307" s="10"/>
      <c r="C5307" s="10"/>
      <c r="D5307" s="10"/>
      <c r="E5307" s="10"/>
      <c r="F5307" s="10"/>
    </row>
    <row r="5308" customFormat="false" ht="15.75" hidden="false" customHeight="true" outlineLevel="0" collapsed="false">
      <c r="B5308" s="10"/>
      <c r="C5308" s="10"/>
      <c r="D5308" s="10"/>
      <c r="E5308" s="10"/>
      <c r="F5308" s="10"/>
    </row>
    <row r="5309" customFormat="false" ht="15.75" hidden="false" customHeight="true" outlineLevel="0" collapsed="false">
      <c r="B5309" s="10"/>
      <c r="C5309" s="10"/>
      <c r="D5309" s="10"/>
      <c r="E5309" s="10"/>
      <c r="F5309" s="10"/>
    </row>
    <row r="5310" customFormat="false" ht="24" hidden="false" customHeight="true" outlineLevel="0" collapsed="false">
      <c r="B5310" s="48" t="str">
        <f aca="false">Cab_Mentions</f>
        <v>ALTHO EXPERTISE · SAS au capital de 10 000 € · RCS Pontoise 919 706 325 · TVA FR62919706325 · Société d'expertise comptable inscrite au Tableau de l'Ordre des experts-comptables de Paris Île-de-France</v>
      </c>
      <c r="C5310" s="48"/>
      <c r="D5310" s="48"/>
      <c r="E5310" s="48"/>
      <c r="F5310" s="48"/>
    </row>
    <row r="5311" customFormat="false" ht="15" hidden="false" customHeight="false" outlineLevel="0" collapsed="false">
      <c r="B5311" s="10"/>
      <c r="C5311" s="10"/>
      <c r="D5311" s="10"/>
      <c r="E5311" s="10"/>
      <c r="F5311" s="10"/>
      <c r="J5311" s="25" t="s">
        <v>142</v>
      </c>
      <c r="K5311" s="25" t="n">
        <f aca="false">IFERROR(MATCH(119,Clients!$Z$2:$Z$501,0),0)</f>
        <v>0</v>
      </c>
      <c r="L5311" s="25"/>
      <c r="M5311" s="25"/>
      <c r="N5311" s="25"/>
      <c r="O5311" s="25"/>
    </row>
    <row r="5312" customFormat="false" ht="21.75" hidden="false" customHeight="true" outlineLevel="0" collapsed="false">
      <c r="B5312" s="26" t="str">
        <f aca="false">Cab_Nom</f>
        <v>ALTHO EXPERTISE</v>
      </c>
      <c r="C5312" s="26"/>
      <c r="D5312" s="10"/>
      <c r="E5312" s="27" t="str">
        <f aca="false">IF($K$5311=0,"","Réf. client : "&amp;INDEX(Clients!$A$2:$A$501,$K$5311))</f>
        <v/>
      </c>
      <c r="F5312" s="27"/>
      <c r="J5312" s="25" t="s">
        <v>144</v>
      </c>
      <c r="K5312" s="25" t="str">
        <f aca="false">IF(IF($K$5311=0,"",INDEX(Clients!$B$2:$B$501,$K$5311)&amp;"")="Mme","Madame",IF(IF($K$5311=0,"",INDEX(Clients!$B$2:$B$501,$K$5311)&amp;"")="M.","Monsieur","Madame, Monsieur"))</f>
        <v>Madame, Monsieur</v>
      </c>
      <c r="L5312" s="25"/>
      <c r="M5312" s="25"/>
      <c r="N5312" s="25"/>
      <c r="O5312" s="25"/>
    </row>
    <row r="5313" customFormat="false" ht="15" hidden="false" customHeight="false" outlineLevel="0" collapsed="false">
      <c r="B5313" s="29" t="str">
        <f aca="false">Cab_Adr1</f>
        <v>141 rue Charles de Gaulle</v>
      </c>
      <c r="C5313" s="29"/>
      <c r="D5313" s="10"/>
      <c r="E5313" s="10"/>
      <c r="F5313" s="10"/>
      <c r="J5313" s="25" t="s">
        <v>145</v>
      </c>
      <c r="K5313" s="25" t="str">
        <f aca="false">DAY(Date_Effet)&amp;IF(DAY(Date_Effet)=1,"er","")&amp;" "&amp;INDEX(Liste_Mois,MONTH(Date_Effet))&amp;" "&amp;YEAR(Date_Effet)</f>
        <v>1er janvier 2027</v>
      </c>
      <c r="L5313" s="25"/>
      <c r="M5313" s="25"/>
      <c r="N5313" s="25"/>
      <c r="O5313" s="25"/>
    </row>
    <row r="5314" customFormat="false" ht="15" hidden="false" customHeight="false" outlineLevel="0" collapsed="false">
      <c r="B5314" s="29" t="str">
        <f aca="false">Cab_CPVille</f>
        <v>95130 LE PLESSIS-BOUCHARD</v>
      </c>
      <c r="C5314" s="29"/>
      <c r="D5314" s="10"/>
      <c r="E5314" s="10"/>
      <c r="F5314" s="10"/>
      <c r="J5314" s="25" t="s">
        <v>146</v>
      </c>
      <c r="K5314" s="25" t="str">
        <f aca="false">IF(SUM($K$5338:$K$5341)=0,"",FIXED((SUM($L$5338:$L$5341)/SUM($K$5338:$K$5341)-1)*100,1)&amp;" %")</f>
        <v/>
      </c>
      <c r="L5314" s="25"/>
      <c r="M5314" s="25"/>
      <c r="N5314" s="25"/>
      <c r="O5314" s="25"/>
    </row>
    <row r="5315" customFormat="false" ht="15" hidden="false" customHeight="false" outlineLevel="0" collapsed="false">
      <c r="B5315" s="29" t="str">
        <f aca="false">Cab_Contact</f>
        <v>Tél. 01 34 14 53 45  ·  altho@altho-experts.com  ·  altho-experts.com</v>
      </c>
      <c r="C5315" s="29"/>
      <c r="D5315" s="10"/>
      <c r="E5315" s="10"/>
      <c r="F5315" s="10"/>
      <c r="J5315" s="25"/>
      <c r="K5315" s="25"/>
      <c r="L5315" s="25"/>
      <c r="M5315" s="25"/>
      <c r="N5315" s="25"/>
      <c r="O5315" s="25"/>
    </row>
    <row r="5316" customFormat="false" ht="6" hidden="false" customHeight="true" outlineLevel="0" collapsed="false">
      <c r="B5316" s="32"/>
      <c r="C5316" s="32"/>
      <c r="D5316" s="32"/>
      <c r="E5316" s="32"/>
      <c r="F5316" s="32"/>
      <c r="J5316" s="25"/>
      <c r="K5316" s="25"/>
      <c r="L5316" s="25"/>
      <c r="M5316" s="25"/>
      <c r="N5316" s="25"/>
      <c r="O5316" s="25"/>
    </row>
    <row r="5317" customFormat="false" ht="13.5" hidden="false" customHeight="true" outlineLevel="0" collapsed="false">
      <c r="B5317" s="10"/>
      <c r="C5317" s="10"/>
      <c r="D5317" s="10"/>
      <c r="E5317" s="10"/>
      <c r="F5317" s="10"/>
      <c r="J5317" s="25"/>
      <c r="K5317" s="25"/>
      <c r="L5317" s="25"/>
      <c r="M5317" s="25"/>
      <c r="N5317" s="25"/>
      <c r="O5317" s="25"/>
    </row>
    <row r="5318" customFormat="false" ht="13.5" hidden="false" customHeight="true" outlineLevel="0" collapsed="false">
      <c r="B5318" s="10"/>
      <c r="C5318" s="10"/>
      <c r="D5318" s="10"/>
      <c r="E5318" s="10"/>
      <c r="F5318" s="10"/>
      <c r="J5318" s="25"/>
      <c r="K5318" s="25"/>
      <c r="L5318" s="25"/>
      <c r="M5318" s="25"/>
      <c r="N5318" s="25"/>
      <c r="O5318" s="25"/>
    </row>
    <row r="5319" customFormat="false" ht="13.5" hidden="false" customHeight="true" outlineLevel="0" collapsed="false">
      <c r="B5319" s="10"/>
      <c r="C5319" s="10"/>
      <c r="D5319" s="10"/>
      <c r="E5319" s="10"/>
      <c r="F5319" s="10"/>
      <c r="J5319" s="25"/>
      <c r="K5319" s="25"/>
      <c r="L5319" s="25"/>
      <c r="M5319" s="25"/>
      <c r="N5319" s="25"/>
      <c r="O5319" s="25"/>
    </row>
    <row r="5320" customFormat="false" ht="15" hidden="false" customHeight="true" outlineLevel="0" collapsed="false">
      <c r="B5320" s="10"/>
      <c r="C5320" s="10"/>
      <c r="D5320" s="34" t="str">
        <f aca="false">IF($K$5311=0,"",INDEX(Clients!$E$2:$E$501,$K$5311)&amp;"")</f>
        <v/>
      </c>
      <c r="E5320" s="34"/>
      <c r="F5320" s="34"/>
      <c r="J5320" s="25"/>
      <c r="K5320" s="25"/>
      <c r="L5320" s="25"/>
      <c r="M5320" s="25"/>
      <c r="N5320" s="25"/>
      <c r="O5320" s="25"/>
    </row>
    <row r="5321" customFormat="false" ht="15" hidden="false" customHeight="true" outlineLevel="0" collapsed="false">
      <c r="B5321" s="10"/>
      <c r="C5321" s="10"/>
      <c r="D5321" s="35" t="str">
        <f aca="false">IF(IF($K$5311=0,"",INDEX(Clients!$D$2:$D$501,$K$5311)&amp;"")="","","À l'attention de "&amp;TRIM(IF($K$5311=0,"",INDEX(Clients!$B$2:$B$501,$K$5311)&amp;"")&amp;" "&amp;IF($K$5311=0,"",INDEX(Clients!$C$2:$C$501,$K$5311)&amp;"")&amp;" "&amp;IF($K$5311=0,"",INDEX(Clients!$D$2:$D$501,$K$5311)&amp;"")))</f>
        <v/>
      </c>
      <c r="E5321" s="35"/>
      <c r="F5321" s="35"/>
      <c r="J5321" s="25"/>
      <c r="K5321" s="25"/>
      <c r="L5321" s="25"/>
      <c r="M5321" s="25"/>
      <c r="N5321" s="25"/>
      <c r="O5321" s="25"/>
    </row>
    <row r="5322" customFormat="false" ht="15" hidden="false" customHeight="true" outlineLevel="0" collapsed="false">
      <c r="B5322" s="10"/>
      <c r="C5322" s="10"/>
      <c r="D5322" s="35" t="str">
        <f aca="false">IF($K$5311=0,"",INDEX(Clients!$F$2:$F$501,$K$5311)&amp;"")</f>
        <v/>
      </c>
      <c r="E5322" s="35"/>
      <c r="F5322" s="35"/>
      <c r="J5322" s="25"/>
      <c r="K5322" s="25"/>
      <c r="L5322" s="25"/>
      <c r="M5322" s="25"/>
      <c r="N5322" s="25"/>
      <c r="O5322" s="25"/>
    </row>
    <row r="5323" customFormat="false" ht="15" hidden="false" customHeight="true" outlineLevel="0" collapsed="false">
      <c r="B5323" s="10"/>
      <c r="C5323" s="10"/>
      <c r="D5323" s="35" t="str">
        <f aca="false">IF(IF($K$5311=0,"",INDEX(Clients!$G$2:$G$501,$K$5311)&amp;"")="",TRIM(IF($K$5311=0,"",INDEX(Clients!$H$2:$H$501,$K$5311)&amp;"")&amp;" "&amp;UPPER(IF($K$5311=0,"",INDEX(Clients!$I$2:$I$501,$K$5311)&amp;""))),IF($K$5311=0,"",INDEX(Clients!$G$2:$G$501,$K$5311)&amp;""))</f>
        <v/>
      </c>
      <c r="E5323" s="35"/>
      <c r="F5323" s="35"/>
      <c r="J5323" s="25"/>
      <c r="K5323" s="25"/>
      <c r="L5323" s="25"/>
      <c r="M5323" s="25"/>
      <c r="N5323" s="25"/>
      <c r="O5323" s="25"/>
    </row>
    <row r="5324" customFormat="false" ht="15" hidden="false" customHeight="true" outlineLevel="0" collapsed="false">
      <c r="B5324" s="10"/>
      <c r="C5324" s="10"/>
      <c r="D5324" s="35" t="str">
        <f aca="false">IF(IF($K$5311=0,"",INDEX(Clients!$G$2:$G$501,$K$5311)&amp;"")="","",TRIM(IF($K$5311=0,"",INDEX(Clients!$H$2:$H$501,$K$5311)&amp;"")&amp;" "&amp;UPPER(IF($K$5311=0,"",INDEX(Clients!$I$2:$I$501,$K$5311)&amp;""))))</f>
        <v/>
      </c>
      <c r="E5324" s="35"/>
      <c r="F5324" s="35"/>
      <c r="J5324" s="25"/>
      <c r="K5324" s="25"/>
      <c r="L5324" s="25"/>
      <c r="M5324" s="25"/>
      <c r="N5324" s="25"/>
      <c r="O5324" s="25"/>
    </row>
    <row r="5325" customFormat="false" ht="25.5" hidden="false" customHeight="true" outlineLevel="0" collapsed="false">
      <c r="B5325" s="10"/>
      <c r="C5325" s="10"/>
      <c r="D5325" s="10"/>
      <c r="E5325" s="10"/>
      <c r="F5325" s="10"/>
      <c r="J5325" s="25"/>
      <c r="K5325" s="25"/>
      <c r="L5325" s="25"/>
      <c r="M5325" s="25"/>
      <c r="N5325" s="25"/>
      <c r="O5325" s="25"/>
    </row>
    <row r="5326" customFormat="false" ht="15" hidden="false" customHeight="false" outlineLevel="0" collapsed="false">
      <c r="B5326" s="10"/>
      <c r="C5326" s="10"/>
      <c r="D5326" s="36" t="str">
        <f aca="false">Cab_Ville&amp;", le "&amp;DAY(Date_Courrier)&amp;IF(DAY(Date_Courrier)=1,"er","")&amp;" "&amp;INDEX(Liste_Mois,MONTH(Date_Courrier))&amp;" "&amp;YEAR(Date_Courrier)</f>
        <v>Le Plessis-Bouchard, le 22 septembre 2026</v>
      </c>
      <c r="E5326" s="36"/>
      <c r="F5326" s="36"/>
      <c r="J5326" s="25"/>
      <c r="K5326" s="25"/>
      <c r="L5326" s="25"/>
      <c r="M5326" s="25"/>
      <c r="N5326" s="25"/>
      <c r="O5326" s="25"/>
    </row>
    <row r="5327" customFormat="false" ht="19.5" hidden="false" customHeight="true" outlineLevel="0" collapsed="false">
      <c r="B5327" s="10"/>
      <c r="C5327" s="10"/>
      <c r="D5327" s="10"/>
      <c r="E5327" s="10"/>
      <c r="F5327" s="10"/>
      <c r="J5327" s="25"/>
      <c r="K5327" s="25"/>
      <c r="L5327" s="25"/>
      <c r="M5327" s="25"/>
      <c r="N5327" s="25"/>
      <c r="O5327" s="25"/>
    </row>
    <row r="5328" customFormat="false" ht="15" hidden="false" customHeight="false" outlineLevel="0" collapsed="false">
      <c r="B5328" s="34" t="str">
        <f aca="false">SUBSTITUTE(SUBSTITUTE(SUBSTITUTE(SUBSTITUTE(SUBSTITUTE(Txt_Objet,"{cabinet}",Cab_Nom),"{societe}",IF($K$5311=0,"",INDEX(Clients!$E$2:$E$501,$K$5311)&amp;"")),"{date_effet}",$K$5313),"{hausse}",$K$5314),"{civilite}",$K$5312)</f>
        <v>Objet : révision de nos honoraires au 1er janvier 2027</v>
      </c>
      <c r="C5328" s="34"/>
      <c r="D5328" s="34"/>
      <c r="E5328" s="34"/>
      <c r="F5328" s="34"/>
      <c r="J5328" s="25"/>
      <c r="K5328" s="25"/>
      <c r="L5328" s="25"/>
      <c r="M5328" s="25"/>
      <c r="N5328" s="25"/>
      <c r="O5328" s="25"/>
    </row>
    <row r="5329" customFormat="false" ht="13.5" hidden="false" customHeight="true" outlineLevel="0" collapsed="false">
      <c r="B5329" s="10"/>
      <c r="C5329" s="10"/>
      <c r="D5329" s="10"/>
      <c r="E5329" s="10"/>
      <c r="F5329" s="10"/>
      <c r="J5329" s="25"/>
      <c r="K5329" s="25"/>
      <c r="L5329" s="25"/>
      <c r="M5329" s="25"/>
      <c r="N5329" s="25"/>
      <c r="O5329" s="25"/>
    </row>
    <row r="5330" customFormat="false" ht="15" hidden="false" customHeight="false" outlineLevel="0" collapsed="false">
      <c r="B5330" s="10" t="str">
        <f aca="false">$K$5312&amp;","</f>
        <v>Madame, Monsieur,</v>
      </c>
      <c r="C5330" s="10"/>
      <c r="D5330" s="10"/>
      <c r="E5330" s="10"/>
      <c r="F5330" s="10"/>
      <c r="J5330" s="25"/>
      <c r="K5330" s="25"/>
      <c r="L5330" s="25"/>
      <c r="M5330" s="25"/>
      <c r="N5330" s="25"/>
      <c r="O5330" s="25"/>
    </row>
    <row r="5331" customFormat="false" ht="6" hidden="false" customHeight="true" outlineLevel="0" collapsed="false">
      <c r="B5331" s="10"/>
      <c r="C5331" s="10"/>
      <c r="D5331" s="10"/>
      <c r="E5331" s="10"/>
      <c r="F5331" s="10"/>
      <c r="J5331" s="25"/>
      <c r="K5331" s="25"/>
      <c r="L5331" s="25"/>
      <c r="M5331" s="25"/>
      <c r="N5331" s="25"/>
      <c r="O5331" s="25"/>
    </row>
    <row r="5332" customFormat="false" ht="36.75" hidden="false" customHeight="true" outlineLevel="0" collapsed="false">
      <c r="B5332" s="37" t="str">
        <f aca="false">SUBSTITUTE(SUBSTITUTE(SUBSTITUTE(SUBSTITUTE(SUBSTITUTE(Txt_P1,"{cabinet}",Cab_Nom),"{societe}",IF($K$5311=0,"",INDEX(Clients!$E$2:$E$501,$K$5311)&amp;"")),"{date_effet}",$K$5313),"{hausse}",$K$5314),"{civilite}",$K$5312)</f>
        <v>Nous tenons tout d'abord à vous remercier pour la confiance que vous accordez à ALTHO EXPERTISE. Comme chaque année, et conformément aux dispositions de votre lettre de mission, nous procédons à la révision de nos honoraires.</v>
      </c>
      <c r="C5332" s="37"/>
      <c r="D5332" s="37"/>
      <c r="E5332" s="37"/>
      <c r="F5332" s="37"/>
      <c r="J5332" s="25"/>
      <c r="K5332" s="25"/>
      <c r="L5332" s="25"/>
      <c r="M5332" s="25"/>
      <c r="N5332" s="25"/>
      <c r="O5332" s="25"/>
    </row>
    <row r="5333" customFormat="false" ht="49.5" hidden="false" customHeight="true" outlineLevel="0" collapsed="false">
      <c r="B5333" s="37" t="str">
        <f aca="false">SUBSTITUTE(SUBSTITUTE(SUBSTITUTE(SUBSTITUTE(SUBSTITUTE(Txt_P2,"{cabinet}",Cab_Nom),"{societe}",IF($K$5311=0,"",INDEX(Clients!$E$2:$E$501,$K$5311)&amp;"")),"{date_effet}",$K$5313),"{hausse}",$K$5314),"{civilite}",$K$5312)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333" s="37"/>
      <c r="D5333" s="37"/>
      <c r="E5333" s="37"/>
      <c r="F5333" s="37"/>
      <c r="J5333" s="25"/>
      <c r="K5333" s="25"/>
      <c r="L5333" s="25"/>
      <c r="M5333" s="25"/>
      <c r="N5333" s="25"/>
      <c r="O5333" s="25"/>
    </row>
    <row r="5334" customFormat="false" ht="63" hidden="false" customHeight="true" outlineLevel="0" collapsed="false">
      <c r="B5334" s="37" t="str">
        <f aca="false">SUBSTITUTE(SUBSTITUTE(SUBSTITUTE(SUBSTITUTE(SUBSTITUTE(Txt_P3,"{cabinet}",Cab_Nom),"{societe}",IF($K$5311=0,"",INDEX(Clients!$E$2:$E$501,$K$5311)&amp;"")),"{date_effet}",$K$5313),"{hausse}",$K$5314),"{civilite}",$K$5312)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334" s="37"/>
      <c r="D5334" s="37"/>
      <c r="E5334" s="37"/>
      <c r="F5334" s="37"/>
      <c r="J5334" s="25"/>
      <c r="K5334" s="25"/>
      <c r="L5334" s="25"/>
      <c r="M5334" s="25"/>
      <c r="N5334" s="25"/>
      <c r="O5334" s="25"/>
    </row>
    <row r="5335" customFormat="false" ht="24" hidden="false" customHeight="true" outlineLevel="0" collapsed="false">
      <c r="B5335" s="37" t="str">
        <f aca="false">SUBSTITUTE(SUBSTITUTE(SUBSTITUTE(SUBSTITUTE(SUBSTITUTE(Txt_P4,"{cabinet}",Cab_Nom),"{societe}",IF($K$5311=0,"",INDEX(Clients!$E$2:$E$501,$K$5311)&amp;"")),"{date_effet}",$K$5313),"{hausse}",$K$5314),"{civilite}",$K$5312)</f>
        <v>À compter du 1er janvier 2027, vos honoraires annuels hors taxes évolueront ainsi (évolution globale : ) :</v>
      </c>
      <c r="C5335" s="37"/>
      <c r="D5335" s="37"/>
      <c r="E5335" s="37"/>
      <c r="F5335" s="37"/>
      <c r="J5335" s="25"/>
      <c r="K5335" s="25"/>
      <c r="L5335" s="25"/>
      <c r="M5335" s="25"/>
      <c r="N5335" s="25"/>
      <c r="O5335" s="25"/>
    </row>
    <row r="5336" customFormat="false" ht="3.75" hidden="false" customHeight="true" outlineLevel="0" collapsed="false">
      <c r="B5336" s="10"/>
      <c r="C5336" s="10"/>
      <c r="D5336" s="10"/>
      <c r="E5336" s="10"/>
      <c r="F5336" s="10"/>
      <c r="J5336" s="25"/>
      <c r="K5336" s="25"/>
      <c r="L5336" s="25"/>
      <c r="M5336" s="25"/>
      <c r="N5336" s="25"/>
      <c r="O5336" s="25"/>
    </row>
    <row r="5337" customFormat="false" ht="18" hidden="false" customHeight="true" outlineLevel="0" collapsed="false">
      <c r="B5337" s="38" t="s">
        <v>148</v>
      </c>
      <c r="C5337" s="39" t="s">
        <v>149</v>
      </c>
      <c r="D5337" s="39" t="s">
        <v>150</v>
      </c>
      <c r="E5337" s="39" t="s">
        <v>151</v>
      </c>
      <c r="F5337" s="39" t="s">
        <v>109</v>
      </c>
      <c r="J5337" s="25" t="s">
        <v>152</v>
      </c>
      <c r="K5337" s="25" t="s">
        <v>153</v>
      </c>
      <c r="L5337" s="25" t="s">
        <v>154</v>
      </c>
      <c r="M5337" s="25" t="s">
        <v>155</v>
      </c>
      <c r="N5337" s="25" t="s">
        <v>156</v>
      </c>
      <c r="O5337" s="25" t="s">
        <v>157</v>
      </c>
    </row>
    <row r="5338" customFormat="false" ht="16.5" hidden="false" customHeight="true" outlineLevel="0" collapsed="false">
      <c r="B5338" s="40" t="str">
        <f aca="false">IFERROR(INDEX($J$5338:$J$5341,MATCH($O5338,$N$5338:$N$5341,0)),"")</f>
        <v/>
      </c>
      <c r="C5338" s="41" t="str">
        <f aca="false">IFERROR(INDEX($K$5338:$K$5341,MATCH($O5338,$N$5338:$N$5341,0)),"")</f>
        <v/>
      </c>
      <c r="D5338" s="42" t="str">
        <f aca="false">IF(OR(E5338="",N(C5338)=0),"",E5338/C5338-1)</f>
        <v/>
      </c>
      <c r="E5338" s="41" t="str">
        <f aca="false">IFERROR(INDEX($L$5338:$L$5341,MATCH($O5338,$N$5338:$N$5341,0)),"")</f>
        <v/>
      </c>
      <c r="F5338" s="41" t="str">
        <f aca="false">IF(E5338="","",E5338-C5338)</f>
        <v/>
      </c>
      <c r="J5338" s="25" t="str">
        <f aca="false">Lib_Compta</f>
        <v>Mission comptable (tenue, révision, bilan, liasse fiscale)</v>
      </c>
      <c r="K5338" s="25" t="n">
        <f aca="false">IF($K$5311=0,0,N(INDEX(Clients!$K$2:$K$501,$K$5311)))</f>
        <v>0</v>
      </c>
      <c r="L5338" s="25" t="n">
        <f aca="false">IF($K$5311=0,0,N(INDEX(Clients!$P$2:$P$501,$K$5311)))</f>
        <v>0</v>
      </c>
      <c r="M5338" s="25" t="n">
        <f aca="false">IF(OR(K5338&lt;&gt;0,L5338&lt;&gt;0),1,0)</f>
        <v>0</v>
      </c>
      <c r="N5338" s="25" t="str">
        <f aca="false">IF(M5338=1,SUM($M$5338:M5338),"")</f>
        <v/>
      </c>
      <c r="O5338" s="25" t="n">
        <v>1</v>
      </c>
    </row>
    <row r="5339" customFormat="false" ht="16.5" hidden="false" customHeight="true" outlineLevel="0" collapsed="false">
      <c r="B5339" s="40" t="str">
        <f aca="false">IFERROR(INDEX($J$5338:$J$5341,MATCH($O5339,$N$5338:$N$5341,0)),"")</f>
        <v/>
      </c>
      <c r="C5339" s="41" t="str">
        <f aca="false">IFERROR(INDEX($K$5338:$K$5341,MATCH($O5339,$N$5338:$N$5341,0)),"")</f>
        <v/>
      </c>
      <c r="D5339" s="42" t="str">
        <f aca="false">IF(OR(E5339="",N(C5339)=0),"",E5339/C5339-1)</f>
        <v/>
      </c>
      <c r="E5339" s="41" t="str">
        <f aca="false">IFERROR(INDEX($L$5338:$L$5341,MATCH($O5339,$N$5338:$N$5341,0)),"")</f>
        <v/>
      </c>
      <c r="F5339" s="41" t="str">
        <f aca="false">IF(E5339="","",E5339-C5339)</f>
        <v/>
      </c>
      <c r="J5339" s="25" t="str">
        <f aca="false">Lib_Paye</f>
        <v>Mission sociale (bulletins de paie, DSN, déclarations sociales)</v>
      </c>
      <c r="K5339" s="25" t="n">
        <f aca="false">IF($K$5311=0,0,N(INDEX(Clients!$L$2:$L$501,$K$5311)))</f>
        <v>0</v>
      </c>
      <c r="L5339" s="25" t="n">
        <f aca="false">IF($K$5311=0,0,N(INDEX(Clients!$Q$2:$Q$501,$K$5311)))</f>
        <v>0</v>
      </c>
      <c r="M5339" s="25" t="n">
        <f aca="false">IF(OR(K5339&lt;&gt;0,L5339&lt;&gt;0),1,0)</f>
        <v>0</v>
      </c>
      <c r="N5339" s="25" t="str">
        <f aca="false">IF(M5339=1,SUM($M$5338:M5339),"")</f>
        <v/>
      </c>
      <c r="O5339" s="25" t="n">
        <v>2</v>
      </c>
    </row>
    <row r="5340" customFormat="false" ht="16.5" hidden="false" customHeight="true" outlineLevel="0" collapsed="false">
      <c r="B5340" s="40" t="str">
        <f aca="false">IFERROR(INDEX($J$5338:$J$5341,MATCH($O5340,$N$5338:$N$5341,0)),"")</f>
        <v/>
      </c>
      <c r="C5340" s="41" t="str">
        <f aca="false">IFERROR(INDEX($K$5338:$K$5341,MATCH($O5340,$N$5338:$N$5341,0)),"")</f>
        <v/>
      </c>
      <c r="D5340" s="42" t="str">
        <f aca="false">IF(OR(E5340="",N(C5340)=0),"",E5340/C5340-1)</f>
        <v/>
      </c>
      <c r="E5340" s="41" t="str">
        <f aca="false">IFERROR(INDEX($L$5338:$L$5341,MATCH($O5340,$N$5338:$N$5341,0)),"")</f>
        <v/>
      </c>
      <c r="F5340" s="41" t="str">
        <f aca="false">IF(E5340="","",E5340-C5340)</f>
        <v/>
      </c>
      <c r="J5340" s="25" t="str">
        <f aca="false">Lib_Jur</f>
        <v>Mission juridique (approbation des comptes, secrétariat juridique)</v>
      </c>
      <c r="K5340" s="25" t="n">
        <f aca="false">IF($K$5311=0,0,N(INDEX(Clients!$M$2:$M$501,$K$5311)))</f>
        <v>0</v>
      </c>
      <c r="L5340" s="25" t="n">
        <f aca="false">IF($K$5311=0,0,N(INDEX(Clients!$R$2:$R$501,$K$5311)))</f>
        <v>0</v>
      </c>
      <c r="M5340" s="25" t="n">
        <f aca="false">IF(OR(K5340&lt;&gt;0,L5340&lt;&gt;0),1,0)</f>
        <v>0</v>
      </c>
      <c r="N5340" s="25" t="str">
        <f aca="false">IF(M5340=1,SUM($M$5338:M5340),"")</f>
        <v/>
      </c>
      <c r="O5340" s="25" t="n">
        <v>3</v>
      </c>
    </row>
    <row r="5341" customFormat="false" ht="16.5" hidden="false" customHeight="true" outlineLevel="0" collapsed="false">
      <c r="B5341" s="40" t="str">
        <f aca="false">IFERROR(INDEX($J$5338:$J$5341,MATCH($O5341,$N$5338:$N$5341,0)),"")</f>
        <v/>
      </c>
      <c r="C5341" s="41" t="str">
        <f aca="false">IFERROR(INDEX($K$5338:$K$5341,MATCH($O5341,$N$5338:$N$5341,0)),"")</f>
        <v/>
      </c>
      <c r="D5341" s="42" t="str">
        <f aca="false">IF(OR(E5341="",N(C5341)=0),"",E5341/C5341-1)</f>
        <v/>
      </c>
      <c r="E5341" s="41" t="str">
        <f aca="false">IFERROR(INDEX($L$5338:$L$5341,MATCH($O5341,$N$5338:$N$5341,0)),"")</f>
        <v/>
      </c>
      <c r="F5341" s="41" t="str">
        <f aca="false">IF(E5341="","",E5341-C5341)</f>
        <v/>
      </c>
      <c r="J5341" s="25" t="str">
        <f aca="false">Lib_PA</f>
        <v>Plateforme agréée – facturation électronique</v>
      </c>
      <c r="K5341" s="25" t="n">
        <f aca="false">IF($K$5311=0,0,N(INDEX(Clients!$N$2:$N$501,$K$5311)))</f>
        <v>0</v>
      </c>
      <c r="L5341" s="25" t="n">
        <f aca="false">IF($K$5311=0,0,N(INDEX(Clients!$S$2:$S$501,$K$5311)))</f>
        <v>0</v>
      </c>
      <c r="M5341" s="25" t="n">
        <f aca="false">IF(OR(K5341&lt;&gt;0,L5341&lt;&gt;0),1,0)</f>
        <v>0</v>
      </c>
      <c r="N5341" s="25" t="str">
        <f aca="false">IF(M5341=1,SUM($M$5338:M5341),"")</f>
        <v/>
      </c>
      <c r="O5341" s="25" t="n">
        <v>4</v>
      </c>
    </row>
    <row r="5342" customFormat="false" ht="18" hidden="false" customHeight="true" outlineLevel="0" collapsed="false">
      <c r="B5342" s="43" t="s">
        <v>158</v>
      </c>
      <c r="C5342" s="44" t="n">
        <f aca="false">SUM(K5338:K5341)</f>
        <v>0</v>
      </c>
      <c r="D5342" s="45" t="str">
        <f aca="false">IF(N(C5342)=0,"",E5342/C5342-1)</f>
        <v/>
      </c>
      <c r="E5342" s="44" t="n">
        <f aca="false">SUM(L5338:L5341)</f>
        <v>0</v>
      </c>
      <c r="F5342" s="44" t="n">
        <f aca="false">E5342-C5342</f>
        <v>0</v>
      </c>
    </row>
    <row r="5343" customFormat="false" ht="15" hidden="false" customHeight="false" outlineLevel="0" collapsed="false">
      <c r="B5343" s="46" t="str">
        <f aca="false">IF(N(Nb_Mensualites)=0,"","Soit "&amp;FIXED(E5342/Nb_Mensualites,2)&amp;" € HT par échéance ("&amp;Nb_Mensualites&amp;" échéances), "&amp;FIXED(E5342/Nb_Mensualites*(1+Taux_TVA),2)&amp;" € TTC.")</f>
        <v>Soit 0.00 € HT par échéance (12 échéances), 0.00 € TTC.</v>
      </c>
      <c r="C5343" s="46"/>
      <c r="D5343" s="46"/>
      <c r="E5343" s="46"/>
      <c r="F5343" s="46"/>
    </row>
    <row r="5344" customFormat="false" ht="7.5" hidden="false" customHeight="true" outlineLevel="0" collapsed="false">
      <c r="B5344" s="10"/>
      <c r="C5344" s="10"/>
      <c r="D5344" s="10"/>
      <c r="E5344" s="10"/>
      <c r="F5344" s="10"/>
    </row>
    <row r="5345" customFormat="false" ht="36.75" hidden="false" customHeight="true" outlineLevel="0" collapsed="false">
      <c r="B5345" s="37" t="str">
        <f aca="false">SUBSTITUTE(SUBSTITUTE(SUBSTITUTE(SUBSTITUTE(SUBSTITUTE(Txt_P5,"{cabinet}",Cab_Nom),"{societe}",IF($K$5311=0,"",INDEX(Clients!$E$2:$E$501,$K$5311)&amp;"")),"{date_effet}",$K$5313),"{hausse}",$K$5314),"{civilite}",$K$5312)</f>
        <v>Les autres conditions de votre lettre de mission demeurent inchangées. Les nouveaux montants seront appliqués automatiquement sur vos prochaines factures et échéances de prélèvement.</v>
      </c>
      <c r="C5345" s="37"/>
      <c r="D5345" s="37"/>
      <c r="E5345" s="37"/>
      <c r="F5345" s="37"/>
    </row>
    <row r="5346" customFormat="false" ht="36.75" hidden="false" customHeight="true" outlineLevel="0" collapsed="false">
      <c r="B5346" s="37" t="str">
        <f aca="false">SUBSTITUTE(SUBSTITUTE(SUBSTITUTE(SUBSTITUTE(SUBSTITUTE(Txt_P6,"{cabinet}",Cab_Nom),"{societe}",IF($K$5311=0,"",INDEX(Clients!$E$2:$E$501,$K$5311)&amp;"")),"{date_effet}",$K$5313),"{hausse}",$K$5314),"{civilite}",$K$5312)</f>
        <v>Votre interlocuteur habituel reste à votre entière disposition pour répondre à vos questions et faire le point sur l'évolution de vos besoins.</v>
      </c>
      <c r="C5346" s="37"/>
      <c r="D5346" s="37"/>
      <c r="E5346" s="37"/>
      <c r="F5346" s="37"/>
    </row>
    <row r="5347" customFormat="false" ht="24" hidden="false" customHeight="true" outlineLevel="0" collapsed="false">
      <c r="B5347" s="37" t="str">
        <f aca="false">SUBSTITUTE(SUBSTITUTE(SUBSTITUTE(SUBSTITUTE(SUBSTITUTE(Txt_Politesse,"{cabinet}",Cab_Nom),"{societe}",IF($K$5311=0,"",INDEX(Clients!$E$2:$E$501,$K$5311)&amp;"")),"{date_effet}",$K$5313),"{hausse}",$K$5314),"{civilite}",$K$5312)</f>
        <v>Nous vous prions d'agréer, Madame, Monsieur, l'expression de nos salutations distinguées.</v>
      </c>
      <c r="C5347" s="37"/>
      <c r="D5347" s="37"/>
      <c r="E5347" s="37"/>
      <c r="F5347" s="37"/>
    </row>
    <row r="5348" customFormat="false" ht="15" hidden="false" customHeight="false" outlineLevel="0" collapsed="false">
      <c r="B5348" s="10"/>
      <c r="C5348" s="10"/>
      <c r="D5348" s="10"/>
      <c r="E5348" s="10"/>
      <c r="F5348" s="10"/>
    </row>
    <row r="5349" customFormat="false" ht="15" hidden="false" customHeight="false" outlineLevel="0" collapsed="false">
      <c r="B5349" s="10"/>
      <c r="C5349" s="10"/>
      <c r="D5349" s="34" t="str">
        <f aca="false">Signataire</f>
        <v>Prénom NOM</v>
      </c>
      <c r="E5349" s="34"/>
      <c r="F5349" s="34"/>
    </row>
    <row r="5350" customFormat="false" ht="15" hidden="false" customHeight="false" outlineLevel="0" collapsed="false">
      <c r="B5350" s="10"/>
      <c r="C5350" s="10"/>
      <c r="D5350" s="47" t="str">
        <f aca="false">Signataire_Titre</f>
        <v>Expert-comptable associé</v>
      </c>
      <c r="E5350" s="47"/>
      <c r="F5350" s="47"/>
    </row>
    <row r="5351" customFormat="false" ht="15.75" hidden="false" customHeight="true" outlineLevel="0" collapsed="false">
      <c r="B5351" s="10"/>
      <c r="C5351" s="10"/>
      <c r="D5351" s="10"/>
      <c r="E5351" s="10"/>
      <c r="F5351" s="10"/>
    </row>
    <row r="5352" customFormat="false" ht="15.75" hidden="false" customHeight="true" outlineLevel="0" collapsed="false">
      <c r="B5352" s="10"/>
      <c r="C5352" s="10"/>
      <c r="D5352" s="10"/>
      <c r="E5352" s="10"/>
      <c r="F5352" s="10"/>
    </row>
    <row r="5353" customFormat="false" ht="15.75" hidden="false" customHeight="true" outlineLevel="0" collapsed="false">
      <c r="B5353" s="10"/>
      <c r="C5353" s="10"/>
      <c r="D5353" s="10"/>
      <c r="E5353" s="10"/>
      <c r="F5353" s="10"/>
    </row>
    <row r="5354" customFormat="false" ht="15.75" hidden="false" customHeight="true" outlineLevel="0" collapsed="false">
      <c r="B5354" s="10"/>
      <c r="C5354" s="10"/>
      <c r="D5354" s="10"/>
      <c r="E5354" s="10"/>
      <c r="F5354" s="10"/>
    </row>
    <row r="5355" customFormat="false" ht="24" hidden="false" customHeight="true" outlineLevel="0" collapsed="false">
      <c r="B5355" s="48" t="str">
        <f aca="false">Cab_Mentions</f>
        <v>ALTHO EXPERTISE · SAS au capital de 10 000 € · RCS Pontoise 919 706 325 · TVA FR62919706325 · Société d'expertise comptable inscrite au Tableau de l'Ordre des experts-comptables de Paris Île-de-France</v>
      </c>
      <c r="C5355" s="48"/>
      <c r="D5355" s="48"/>
      <c r="E5355" s="48"/>
      <c r="F5355" s="48"/>
    </row>
    <row r="5356" customFormat="false" ht="15" hidden="false" customHeight="false" outlineLevel="0" collapsed="false">
      <c r="B5356" s="10"/>
      <c r="C5356" s="10"/>
      <c r="D5356" s="10"/>
      <c r="E5356" s="10"/>
      <c r="F5356" s="10"/>
      <c r="J5356" s="25" t="s">
        <v>142</v>
      </c>
      <c r="K5356" s="25" t="n">
        <f aca="false">IFERROR(MATCH(120,Clients!$Z$2:$Z$501,0),0)</f>
        <v>0</v>
      </c>
      <c r="L5356" s="25"/>
      <c r="M5356" s="25"/>
      <c r="N5356" s="25"/>
      <c r="O5356" s="25"/>
    </row>
    <row r="5357" customFormat="false" ht="21.75" hidden="false" customHeight="true" outlineLevel="0" collapsed="false">
      <c r="B5357" s="26" t="str">
        <f aca="false">Cab_Nom</f>
        <v>ALTHO EXPERTISE</v>
      </c>
      <c r="C5357" s="26"/>
      <c r="D5357" s="10"/>
      <c r="E5357" s="27" t="str">
        <f aca="false">IF($K$5356=0,"","Réf. client : "&amp;INDEX(Clients!$A$2:$A$501,$K$5356))</f>
        <v/>
      </c>
      <c r="F5357" s="27"/>
      <c r="J5357" s="25" t="s">
        <v>144</v>
      </c>
      <c r="K5357" s="25" t="str">
        <f aca="false">IF(IF($K$5356=0,"",INDEX(Clients!$B$2:$B$501,$K$5356)&amp;"")="Mme","Madame",IF(IF($K$5356=0,"",INDEX(Clients!$B$2:$B$501,$K$5356)&amp;"")="M.","Monsieur","Madame, Monsieur"))</f>
        <v>Madame, Monsieur</v>
      </c>
      <c r="L5357" s="25"/>
      <c r="M5357" s="25"/>
      <c r="N5357" s="25"/>
      <c r="O5357" s="25"/>
    </row>
    <row r="5358" customFormat="false" ht="15" hidden="false" customHeight="false" outlineLevel="0" collapsed="false">
      <c r="B5358" s="29" t="str">
        <f aca="false">Cab_Adr1</f>
        <v>141 rue Charles de Gaulle</v>
      </c>
      <c r="C5358" s="29"/>
      <c r="D5358" s="10"/>
      <c r="E5358" s="10"/>
      <c r="F5358" s="10"/>
      <c r="J5358" s="25" t="s">
        <v>145</v>
      </c>
      <c r="K5358" s="25" t="str">
        <f aca="false">DAY(Date_Effet)&amp;IF(DAY(Date_Effet)=1,"er","")&amp;" "&amp;INDEX(Liste_Mois,MONTH(Date_Effet))&amp;" "&amp;YEAR(Date_Effet)</f>
        <v>1er janvier 2027</v>
      </c>
      <c r="L5358" s="25"/>
      <c r="M5358" s="25"/>
      <c r="N5358" s="25"/>
      <c r="O5358" s="25"/>
    </row>
    <row r="5359" customFormat="false" ht="15" hidden="false" customHeight="false" outlineLevel="0" collapsed="false">
      <c r="B5359" s="29" t="str">
        <f aca="false">Cab_CPVille</f>
        <v>95130 LE PLESSIS-BOUCHARD</v>
      </c>
      <c r="C5359" s="29"/>
      <c r="D5359" s="10"/>
      <c r="E5359" s="10"/>
      <c r="F5359" s="10"/>
      <c r="J5359" s="25" t="s">
        <v>146</v>
      </c>
      <c r="K5359" s="25" t="str">
        <f aca="false">IF(SUM($K$5383:$K$5386)=0,"",FIXED((SUM($L$5383:$L$5386)/SUM($K$5383:$K$5386)-1)*100,1)&amp;" %")</f>
        <v/>
      </c>
      <c r="L5359" s="25"/>
      <c r="M5359" s="25"/>
      <c r="N5359" s="25"/>
      <c r="O5359" s="25"/>
    </row>
    <row r="5360" customFormat="false" ht="15" hidden="false" customHeight="false" outlineLevel="0" collapsed="false">
      <c r="B5360" s="29" t="str">
        <f aca="false">Cab_Contact</f>
        <v>Tél. 01 34 14 53 45  ·  altho@altho-experts.com  ·  altho-experts.com</v>
      </c>
      <c r="C5360" s="29"/>
      <c r="D5360" s="10"/>
      <c r="E5360" s="10"/>
      <c r="F5360" s="10"/>
      <c r="J5360" s="25"/>
      <c r="K5360" s="25"/>
      <c r="L5360" s="25"/>
      <c r="M5360" s="25"/>
      <c r="N5360" s="25"/>
      <c r="O5360" s="25"/>
    </row>
    <row r="5361" customFormat="false" ht="6" hidden="false" customHeight="true" outlineLevel="0" collapsed="false">
      <c r="B5361" s="32"/>
      <c r="C5361" s="32"/>
      <c r="D5361" s="32"/>
      <c r="E5361" s="32"/>
      <c r="F5361" s="32"/>
      <c r="J5361" s="25"/>
      <c r="K5361" s="25"/>
      <c r="L5361" s="25"/>
      <c r="M5361" s="25"/>
      <c r="N5361" s="25"/>
      <c r="O5361" s="25"/>
    </row>
    <row r="5362" customFormat="false" ht="13.5" hidden="false" customHeight="true" outlineLevel="0" collapsed="false">
      <c r="B5362" s="10"/>
      <c r="C5362" s="10"/>
      <c r="D5362" s="10"/>
      <c r="E5362" s="10"/>
      <c r="F5362" s="10"/>
      <c r="J5362" s="25"/>
      <c r="K5362" s="25"/>
      <c r="L5362" s="25"/>
      <c r="M5362" s="25"/>
      <c r="N5362" s="25"/>
      <c r="O5362" s="25"/>
    </row>
    <row r="5363" customFormat="false" ht="13.5" hidden="false" customHeight="true" outlineLevel="0" collapsed="false">
      <c r="B5363" s="10"/>
      <c r="C5363" s="10"/>
      <c r="D5363" s="10"/>
      <c r="E5363" s="10"/>
      <c r="F5363" s="10"/>
      <c r="J5363" s="25"/>
      <c r="K5363" s="25"/>
      <c r="L5363" s="25"/>
      <c r="M5363" s="25"/>
      <c r="N5363" s="25"/>
      <c r="O5363" s="25"/>
    </row>
    <row r="5364" customFormat="false" ht="13.5" hidden="false" customHeight="true" outlineLevel="0" collapsed="false">
      <c r="B5364" s="10"/>
      <c r="C5364" s="10"/>
      <c r="D5364" s="10"/>
      <c r="E5364" s="10"/>
      <c r="F5364" s="10"/>
      <c r="J5364" s="25"/>
      <c r="K5364" s="25"/>
      <c r="L5364" s="25"/>
      <c r="M5364" s="25"/>
      <c r="N5364" s="25"/>
      <c r="O5364" s="25"/>
    </row>
    <row r="5365" customFormat="false" ht="15" hidden="false" customHeight="true" outlineLevel="0" collapsed="false">
      <c r="B5365" s="10"/>
      <c r="C5365" s="10"/>
      <c r="D5365" s="34" t="str">
        <f aca="false">IF($K$5356=0,"",INDEX(Clients!$E$2:$E$501,$K$5356)&amp;"")</f>
        <v/>
      </c>
      <c r="E5365" s="34"/>
      <c r="F5365" s="34"/>
      <c r="J5365" s="25"/>
      <c r="K5365" s="25"/>
      <c r="L5365" s="25"/>
      <c r="M5365" s="25"/>
      <c r="N5365" s="25"/>
      <c r="O5365" s="25"/>
    </row>
    <row r="5366" customFormat="false" ht="15" hidden="false" customHeight="true" outlineLevel="0" collapsed="false">
      <c r="B5366" s="10"/>
      <c r="C5366" s="10"/>
      <c r="D5366" s="35" t="str">
        <f aca="false">IF(IF($K$5356=0,"",INDEX(Clients!$D$2:$D$501,$K$5356)&amp;"")="","","À l'attention de "&amp;TRIM(IF($K$5356=0,"",INDEX(Clients!$B$2:$B$501,$K$5356)&amp;"")&amp;" "&amp;IF($K$5356=0,"",INDEX(Clients!$C$2:$C$501,$K$5356)&amp;"")&amp;" "&amp;IF($K$5356=0,"",INDEX(Clients!$D$2:$D$501,$K$5356)&amp;"")))</f>
        <v/>
      </c>
      <c r="E5366" s="35"/>
      <c r="F5366" s="35"/>
      <c r="J5366" s="25"/>
      <c r="K5366" s="25"/>
      <c r="L5366" s="25"/>
      <c r="M5366" s="25"/>
      <c r="N5366" s="25"/>
      <c r="O5366" s="25"/>
    </row>
    <row r="5367" customFormat="false" ht="15" hidden="false" customHeight="true" outlineLevel="0" collapsed="false">
      <c r="B5367" s="10"/>
      <c r="C5367" s="10"/>
      <c r="D5367" s="35" t="str">
        <f aca="false">IF($K$5356=0,"",INDEX(Clients!$F$2:$F$501,$K$5356)&amp;"")</f>
        <v/>
      </c>
      <c r="E5367" s="35"/>
      <c r="F5367" s="35"/>
      <c r="J5367" s="25"/>
      <c r="K5367" s="25"/>
      <c r="L5367" s="25"/>
      <c r="M5367" s="25"/>
      <c r="N5367" s="25"/>
      <c r="O5367" s="25"/>
    </row>
    <row r="5368" customFormat="false" ht="15" hidden="false" customHeight="true" outlineLevel="0" collapsed="false">
      <c r="B5368" s="10"/>
      <c r="C5368" s="10"/>
      <c r="D5368" s="35" t="str">
        <f aca="false">IF(IF($K$5356=0,"",INDEX(Clients!$G$2:$G$501,$K$5356)&amp;"")="",TRIM(IF($K$5356=0,"",INDEX(Clients!$H$2:$H$501,$K$5356)&amp;"")&amp;" "&amp;UPPER(IF($K$5356=0,"",INDEX(Clients!$I$2:$I$501,$K$5356)&amp;""))),IF($K$5356=0,"",INDEX(Clients!$G$2:$G$501,$K$5356)&amp;""))</f>
        <v/>
      </c>
      <c r="E5368" s="35"/>
      <c r="F5368" s="35"/>
      <c r="J5368" s="25"/>
      <c r="K5368" s="25"/>
      <c r="L5368" s="25"/>
      <c r="M5368" s="25"/>
      <c r="N5368" s="25"/>
      <c r="O5368" s="25"/>
    </row>
    <row r="5369" customFormat="false" ht="15" hidden="false" customHeight="true" outlineLevel="0" collapsed="false">
      <c r="B5369" s="10"/>
      <c r="C5369" s="10"/>
      <c r="D5369" s="35" t="str">
        <f aca="false">IF(IF($K$5356=0,"",INDEX(Clients!$G$2:$G$501,$K$5356)&amp;"")="","",TRIM(IF($K$5356=0,"",INDEX(Clients!$H$2:$H$501,$K$5356)&amp;"")&amp;" "&amp;UPPER(IF($K$5356=0,"",INDEX(Clients!$I$2:$I$501,$K$5356)&amp;""))))</f>
        <v/>
      </c>
      <c r="E5369" s="35"/>
      <c r="F5369" s="35"/>
      <c r="J5369" s="25"/>
      <c r="K5369" s="25"/>
      <c r="L5369" s="25"/>
      <c r="M5369" s="25"/>
      <c r="N5369" s="25"/>
      <c r="O5369" s="25"/>
    </row>
    <row r="5370" customFormat="false" ht="25.5" hidden="false" customHeight="true" outlineLevel="0" collapsed="false">
      <c r="B5370" s="10"/>
      <c r="C5370" s="10"/>
      <c r="D5370" s="10"/>
      <c r="E5370" s="10"/>
      <c r="F5370" s="10"/>
      <c r="J5370" s="25"/>
      <c r="K5370" s="25"/>
      <c r="L5370" s="25"/>
      <c r="M5370" s="25"/>
      <c r="N5370" s="25"/>
      <c r="O5370" s="25"/>
    </row>
    <row r="5371" customFormat="false" ht="15" hidden="false" customHeight="false" outlineLevel="0" collapsed="false">
      <c r="B5371" s="10"/>
      <c r="C5371" s="10"/>
      <c r="D5371" s="36" t="str">
        <f aca="false">Cab_Ville&amp;", le "&amp;DAY(Date_Courrier)&amp;IF(DAY(Date_Courrier)=1,"er","")&amp;" "&amp;INDEX(Liste_Mois,MONTH(Date_Courrier))&amp;" "&amp;YEAR(Date_Courrier)</f>
        <v>Le Plessis-Bouchard, le 22 septembre 2026</v>
      </c>
      <c r="E5371" s="36"/>
      <c r="F5371" s="36"/>
      <c r="J5371" s="25"/>
      <c r="K5371" s="25"/>
      <c r="L5371" s="25"/>
      <c r="M5371" s="25"/>
      <c r="N5371" s="25"/>
      <c r="O5371" s="25"/>
    </row>
    <row r="5372" customFormat="false" ht="19.5" hidden="false" customHeight="true" outlineLevel="0" collapsed="false">
      <c r="B5372" s="10"/>
      <c r="C5372" s="10"/>
      <c r="D5372" s="10"/>
      <c r="E5372" s="10"/>
      <c r="F5372" s="10"/>
      <c r="J5372" s="25"/>
      <c r="K5372" s="25"/>
      <c r="L5372" s="25"/>
      <c r="M5372" s="25"/>
      <c r="N5372" s="25"/>
      <c r="O5372" s="25"/>
    </row>
    <row r="5373" customFormat="false" ht="15" hidden="false" customHeight="false" outlineLevel="0" collapsed="false">
      <c r="B5373" s="34" t="str">
        <f aca="false">SUBSTITUTE(SUBSTITUTE(SUBSTITUTE(SUBSTITUTE(SUBSTITUTE(Txt_Objet,"{cabinet}",Cab_Nom),"{societe}",IF($K$5356=0,"",INDEX(Clients!$E$2:$E$501,$K$5356)&amp;"")),"{date_effet}",$K$5358),"{hausse}",$K$5359),"{civilite}",$K$5357)</f>
        <v>Objet : révision de nos honoraires au 1er janvier 2027</v>
      </c>
      <c r="C5373" s="34"/>
      <c r="D5373" s="34"/>
      <c r="E5373" s="34"/>
      <c r="F5373" s="34"/>
      <c r="J5373" s="25"/>
      <c r="K5373" s="25"/>
      <c r="L5373" s="25"/>
      <c r="M5373" s="25"/>
      <c r="N5373" s="25"/>
      <c r="O5373" s="25"/>
    </row>
    <row r="5374" customFormat="false" ht="13.5" hidden="false" customHeight="true" outlineLevel="0" collapsed="false">
      <c r="B5374" s="10"/>
      <c r="C5374" s="10"/>
      <c r="D5374" s="10"/>
      <c r="E5374" s="10"/>
      <c r="F5374" s="10"/>
      <c r="J5374" s="25"/>
      <c r="K5374" s="25"/>
      <c r="L5374" s="25"/>
      <c r="M5374" s="25"/>
      <c r="N5374" s="25"/>
      <c r="O5374" s="25"/>
    </row>
    <row r="5375" customFormat="false" ht="15" hidden="false" customHeight="false" outlineLevel="0" collapsed="false">
      <c r="B5375" s="10" t="str">
        <f aca="false">$K$5357&amp;","</f>
        <v>Madame, Monsieur,</v>
      </c>
      <c r="C5375" s="10"/>
      <c r="D5375" s="10"/>
      <c r="E5375" s="10"/>
      <c r="F5375" s="10"/>
      <c r="J5375" s="25"/>
      <c r="K5375" s="25"/>
      <c r="L5375" s="25"/>
      <c r="M5375" s="25"/>
      <c r="N5375" s="25"/>
      <c r="O5375" s="25"/>
    </row>
    <row r="5376" customFormat="false" ht="6" hidden="false" customHeight="true" outlineLevel="0" collapsed="false">
      <c r="B5376" s="10"/>
      <c r="C5376" s="10"/>
      <c r="D5376" s="10"/>
      <c r="E5376" s="10"/>
      <c r="F5376" s="10"/>
      <c r="J5376" s="25"/>
      <c r="K5376" s="25"/>
      <c r="L5376" s="25"/>
      <c r="M5376" s="25"/>
      <c r="N5376" s="25"/>
      <c r="O5376" s="25"/>
    </row>
    <row r="5377" customFormat="false" ht="36.75" hidden="false" customHeight="true" outlineLevel="0" collapsed="false">
      <c r="B5377" s="37" t="str">
        <f aca="false">SUBSTITUTE(SUBSTITUTE(SUBSTITUTE(SUBSTITUTE(SUBSTITUTE(Txt_P1,"{cabinet}",Cab_Nom),"{societe}",IF($K$5356=0,"",INDEX(Clients!$E$2:$E$501,$K$5356)&amp;"")),"{date_effet}",$K$5358),"{hausse}",$K$5359),"{civilite}",$K$5357)</f>
        <v>Nous tenons tout d'abord à vous remercier pour la confiance que vous accordez à ALTHO EXPERTISE. Comme chaque année, et conformément aux dispositions de votre lettre de mission, nous procédons à la révision de nos honoraires.</v>
      </c>
      <c r="C5377" s="37"/>
      <c r="D5377" s="37"/>
      <c r="E5377" s="37"/>
      <c r="F5377" s="37"/>
      <c r="J5377" s="25"/>
      <c r="K5377" s="25"/>
      <c r="L5377" s="25"/>
      <c r="M5377" s="25"/>
      <c r="N5377" s="25"/>
      <c r="O5377" s="25"/>
    </row>
    <row r="5378" customFormat="false" ht="49.5" hidden="false" customHeight="true" outlineLevel="0" collapsed="false">
      <c r="B5378" s="37" t="str">
        <f aca="false">SUBSTITUTE(SUBSTITUTE(SUBSTITUTE(SUBSTITUTE(SUBSTITUTE(Txt_P2,"{cabinet}",Cab_Nom),"{societe}",IF($K$5356=0,"",INDEX(Clients!$E$2:$E$501,$K$5356)&amp;"")),"{date_effet}",$K$5358),"{hausse}",$K$5359),"{civilite}",$K$5357)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378" s="37"/>
      <c r="D5378" s="37"/>
      <c r="E5378" s="37"/>
      <c r="F5378" s="37"/>
      <c r="J5378" s="25"/>
      <c r="K5378" s="25"/>
      <c r="L5378" s="25"/>
      <c r="M5378" s="25"/>
      <c r="N5378" s="25"/>
      <c r="O5378" s="25"/>
    </row>
    <row r="5379" customFormat="false" ht="63" hidden="false" customHeight="true" outlineLevel="0" collapsed="false">
      <c r="B5379" s="37" t="str">
        <f aca="false">SUBSTITUTE(SUBSTITUTE(SUBSTITUTE(SUBSTITUTE(SUBSTITUTE(Txt_P3,"{cabinet}",Cab_Nom),"{societe}",IF($K$5356=0,"",INDEX(Clients!$E$2:$E$501,$K$5356)&amp;"")),"{date_effet}",$K$5358),"{hausse}",$K$5359),"{civilite}",$K$5357)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379" s="37"/>
      <c r="D5379" s="37"/>
      <c r="E5379" s="37"/>
      <c r="F5379" s="37"/>
      <c r="J5379" s="25"/>
      <c r="K5379" s="25"/>
      <c r="L5379" s="25"/>
      <c r="M5379" s="25"/>
      <c r="N5379" s="25"/>
      <c r="O5379" s="25"/>
    </row>
    <row r="5380" customFormat="false" ht="24" hidden="false" customHeight="true" outlineLevel="0" collapsed="false">
      <c r="B5380" s="37" t="str">
        <f aca="false">SUBSTITUTE(SUBSTITUTE(SUBSTITUTE(SUBSTITUTE(SUBSTITUTE(Txt_P4,"{cabinet}",Cab_Nom),"{societe}",IF($K$5356=0,"",INDEX(Clients!$E$2:$E$501,$K$5356)&amp;"")),"{date_effet}",$K$5358),"{hausse}",$K$5359),"{civilite}",$K$5357)</f>
        <v>À compter du 1er janvier 2027, vos honoraires annuels hors taxes évolueront ainsi (évolution globale : ) :</v>
      </c>
      <c r="C5380" s="37"/>
      <c r="D5380" s="37"/>
      <c r="E5380" s="37"/>
      <c r="F5380" s="37"/>
      <c r="J5380" s="25"/>
      <c r="K5380" s="25"/>
      <c r="L5380" s="25"/>
      <c r="M5380" s="25"/>
      <c r="N5380" s="25"/>
      <c r="O5380" s="25"/>
    </row>
    <row r="5381" customFormat="false" ht="3.75" hidden="false" customHeight="true" outlineLevel="0" collapsed="false">
      <c r="B5381" s="10"/>
      <c r="C5381" s="10"/>
      <c r="D5381" s="10"/>
      <c r="E5381" s="10"/>
      <c r="F5381" s="10"/>
      <c r="J5381" s="25"/>
      <c r="K5381" s="25"/>
      <c r="L5381" s="25"/>
      <c r="M5381" s="25"/>
      <c r="N5381" s="25"/>
      <c r="O5381" s="25"/>
    </row>
    <row r="5382" customFormat="false" ht="18" hidden="false" customHeight="true" outlineLevel="0" collapsed="false">
      <c r="B5382" s="38" t="s">
        <v>148</v>
      </c>
      <c r="C5382" s="39" t="s">
        <v>149</v>
      </c>
      <c r="D5382" s="39" t="s">
        <v>150</v>
      </c>
      <c r="E5382" s="39" t="s">
        <v>151</v>
      </c>
      <c r="F5382" s="39" t="s">
        <v>109</v>
      </c>
      <c r="J5382" s="25" t="s">
        <v>152</v>
      </c>
      <c r="K5382" s="25" t="s">
        <v>153</v>
      </c>
      <c r="L5382" s="25" t="s">
        <v>154</v>
      </c>
      <c r="M5382" s="25" t="s">
        <v>155</v>
      </c>
      <c r="N5382" s="25" t="s">
        <v>156</v>
      </c>
      <c r="O5382" s="25" t="s">
        <v>157</v>
      </c>
    </row>
    <row r="5383" customFormat="false" ht="16.5" hidden="false" customHeight="true" outlineLevel="0" collapsed="false">
      <c r="B5383" s="40" t="str">
        <f aca="false">IFERROR(INDEX($J$5383:$J$5386,MATCH($O5383,$N$5383:$N$5386,0)),"")</f>
        <v/>
      </c>
      <c r="C5383" s="41" t="str">
        <f aca="false">IFERROR(INDEX($K$5383:$K$5386,MATCH($O5383,$N$5383:$N$5386,0)),"")</f>
        <v/>
      </c>
      <c r="D5383" s="42" t="str">
        <f aca="false">IF(OR(E5383="",N(C5383)=0),"",E5383/C5383-1)</f>
        <v/>
      </c>
      <c r="E5383" s="41" t="str">
        <f aca="false">IFERROR(INDEX($L$5383:$L$5386,MATCH($O5383,$N$5383:$N$5386,0)),"")</f>
        <v/>
      </c>
      <c r="F5383" s="41" t="str">
        <f aca="false">IF(E5383="","",E5383-C5383)</f>
        <v/>
      </c>
      <c r="J5383" s="25" t="str">
        <f aca="false">Lib_Compta</f>
        <v>Mission comptable (tenue, révision, bilan, liasse fiscale)</v>
      </c>
      <c r="K5383" s="25" t="n">
        <f aca="false">IF($K$5356=0,0,N(INDEX(Clients!$K$2:$K$501,$K$5356)))</f>
        <v>0</v>
      </c>
      <c r="L5383" s="25" t="n">
        <f aca="false">IF($K$5356=0,0,N(INDEX(Clients!$P$2:$P$501,$K$5356)))</f>
        <v>0</v>
      </c>
      <c r="M5383" s="25" t="n">
        <f aca="false">IF(OR(K5383&lt;&gt;0,L5383&lt;&gt;0),1,0)</f>
        <v>0</v>
      </c>
      <c r="N5383" s="25" t="str">
        <f aca="false">IF(M5383=1,SUM($M$5383:M5383),"")</f>
        <v/>
      </c>
      <c r="O5383" s="25" t="n">
        <v>1</v>
      </c>
    </row>
    <row r="5384" customFormat="false" ht="16.5" hidden="false" customHeight="true" outlineLevel="0" collapsed="false">
      <c r="B5384" s="40" t="str">
        <f aca="false">IFERROR(INDEX($J$5383:$J$5386,MATCH($O5384,$N$5383:$N$5386,0)),"")</f>
        <v/>
      </c>
      <c r="C5384" s="41" t="str">
        <f aca="false">IFERROR(INDEX($K$5383:$K$5386,MATCH($O5384,$N$5383:$N$5386,0)),"")</f>
        <v/>
      </c>
      <c r="D5384" s="42" t="str">
        <f aca="false">IF(OR(E5384="",N(C5384)=0),"",E5384/C5384-1)</f>
        <v/>
      </c>
      <c r="E5384" s="41" t="str">
        <f aca="false">IFERROR(INDEX($L$5383:$L$5386,MATCH($O5384,$N$5383:$N$5386,0)),"")</f>
        <v/>
      </c>
      <c r="F5384" s="41" t="str">
        <f aca="false">IF(E5384="","",E5384-C5384)</f>
        <v/>
      </c>
      <c r="J5384" s="25" t="str">
        <f aca="false">Lib_Paye</f>
        <v>Mission sociale (bulletins de paie, DSN, déclarations sociales)</v>
      </c>
      <c r="K5384" s="25" t="n">
        <f aca="false">IF($K$5356=0,0,N(INDEX(Clients!$L$2:$L$501,$K$5356)))</f>
        <v>0</v>
      </c>
      <c r="L5384" s="25" t="n">
        <f aca="false">IF($K$5356=0,0,N(INDEX(Clients!$Q$2:$Q$501,$K$5356)))</f>
        <v>0</v>
      </c>
      <c r="M5384" s="25" t="n">
        <f aca="false">IF(OR(K5384&lt;&gt;0,L5384&lt;&gt;0),1,0)</f>
        <v>0</v>
      </c>
      <c r="N5384" s="25" t="str">
        <f aca="false">IF(M5384=1,SUM($M$5383:M5384),"")</f>
        <v/>
      </c>
      <c r="O5384" s="25" t="n">
        <v>2</v>
      </c>
    </row>
    <row r="5385" customFormat="false" ht="16.5" hidden="false" customHeight="true" outlineLevel="0" collapsed="false">
      <c r="B5385" s="40" t="str">
        <f aca="false">IFERROR(INDEX($J$5383:$J$5386,MATCH($O5385,$N$5383:$N$5386,0)),"")</f>
        <v/>
      </c>
      <c r="C5385" s="41" t="str">
        <f aca="false">IFERROR(INDEX($K$5383:$K$5386,MATCH($O5385,$N$5383:$N$5386,0)),"")</f>
        <v/>
      </c>
      <c r="D5385" s="42" t="str">
        <f aca="false">IF(OR(E5385="",N(C5385)=0),"",E5385/C5385-1)</f>
        <v/>
      </c>
      <c r="E5385" s="41" t="str">
        <f aca="false">IFERROR(INDEX($L$5383:$L$5386,MATCH($O5385,$N$5383:$N$5386,0)),"")</f>
        <v/>
      </c>
      <c r="F5385" s="41" t="str">
        <f aca="false">IF(E5385="","",E5385-C5385)</f>
        <v/>
      </c>
      <c r="J5385" s="25" t="str">
        <f aca="false">Lib_Jur</f>
        <v>Mission juridique (approbation des comptes, secrétariat juridique)</v>
      </c>
      <c r="K5385" s="25" t="n">
        <f aca="false">IF($K$5356=0,0,N(INDEX(Clients!$M$2:$M$501,$K$5356)))</f>
        <v>0</v>
      </c>
      <c r="L5385" s="25" t="n">
        <f aca="false">IF($K$5356=0,0,N(INDEX(Clients!$R$2:$R$501,$K$5356)))</f>
        <v>0</v>
      </c>
      <c r="M5385" s="25" t="n">
        <f aca="false">IF(OR(K5385&lt;&gt;0,L5385&lt;&gt;0),1,0)</f>
        <v>0</v>
      </c>
      <c r="N5385" s="25" t="str">
        <f aca="false">IF(M5385=1,SUM($M$5383:M5385),"")</f>
        <v/>
      </c>
      <c r="O5385" s="25" t="n">
        <v>3</v>
      </c>
    </row>
    <row r="5386" customFormat="false" ht="16.5" hidden="false" customHeight="true" outlineLevel="0" collapsed="false">
      <c r="B5386" s="40" t="str">
        <f aca="false">IFERROR(INDEX($J$5383:$J$5386,MATCH($O5386,$N$5383:$N$5386,0)),"")</f>
        <v/>
      </c>
      <c r="C5386" s="41" t="str">
        <f aca="false">IFERROR(INDEX($K$5383:$K$5386,MATCH($O5386,$N$5383:$N$5386,0)),"")</f>
        <v/>
      </c>
      <c r="D5386" s="42" t="str">
        <f aca="false">IF(OR(E5386="",N(C5386)=0),"",E5386/C5386-1)</f>
        <v/>
      </c>
      <c r="E5386" s="41" t="str">
        <f aca="false">IFERROR(INDEX($L$5383:$L$5386,MATCH($O5386,$N$5383:$N$5386,0)),"")</f>
        <v/>
      </c>
      <c r="F5386" s="41" t="str">
        <f aca="false">IF(E5386="","",E5386-C5386)</f>
        <v/>
      </c>
      <c r="J5386" s="25" t="str">
        <f aca="false">Lib_PA</f>
        <v>Plateforme agréée – facturation électronique</v>
      </c>
      <c r="K5386" s="25" t="n">
        <f aca="false">IF($K$5356=0,0,N(INDEX(Clients!$N$2:$N$501,$K$5356)))</f>
        <v>0</v>
      </c>
      <c r="L5386" s="25" t="n">
        <f aca="false">IF($K$5356=0,0,N(INDEX(Clients!$S$2:$S$501,$K$5356)))</f>
        <v>0</v>
      </c>
      <c r="M5386" s="25" t="n">
        <f aca="false">IF(OR(K5386&lt;&gt;0,L5386&lt;&gt;0),1,0)</f>
        <v>0</v>
      </c>
      <c r="N5386" s="25" t="str">
        <f aca="false">IF(M5386=1,SUM($M$5383:M5386),"")</f>
        <v/>
      </c>
      <c r="O5386" s="25" t="n">
        <v>4</v>
      </c>
    </row>
    <row r="5387" customFormat="false" ht="18" hidden="false" customHeight="true" outlineLevel="0" collapsed="false">
      <c r="B5387" s="43" t="s">
        <v>158</v>
      </c>
      <c r="C5387" s="44" t="n">
        <f aca="false">SUM(K5383:K5386)</f>
        <v>0</v>
      </c>
      <c r="D5387" s="45" t="str">
        <f aca="false">IF(N(C5387)=0,"",E5387/C5387-1)</f>
        <v/>
      </c>
      <c r="E5387" s="44" t="n">
        <f aca="false">SUM(L5383:L5386)</f>
        <v>0</v>
      </c>
      <c r="F5387" s="44" t="n">
        <f aca="false">E5387-C5387</f>
        <v>0</v>
      </c>
    </row>
    <row r="5388" customFormat="false" ht="15" hidden="false" customHeight="false" outlineLevel="0" collapsed="false">
      <c r="B5388" s="46" t="str">
        <f aca="false">IF(N(Nb_Mensualites)=0,"","Soit "&amp;FIXED(E5387/Nb_Mensualites,2)&amp;" € HT par échéance ("&amp;Nb_Mensualites&amp;" échéances), "&amp;FIXED(E5387/Nb_Mensualites*(1+Taux_TVA),2)&amp;" € TTC.")</f>
        <v>Soit 0.00 € HT par échéance (12 échéances), 0.00 € TTC.</v>
      </c>
      <c r="C5388" s="46"/>
      <c r="D5388" s="46"/>
      <c r="E5388" s="46"/>
      <c r="F5388" s="46"/>
    </row>
    <row r="5389" customFormat="false" ht="7.5" hidden="false" customHeight="true" outlineLevel="0" collapsed="false">
      <c r="B5389" s="10"/>
      <c r="C5389" s="10"/>
      <c r="D5389" s="10"/>
      <c r="E5389" s="10"/>
      <c r="F5389" s="10"/>
    </row>
    <row r="5390" customFormat="false" ht="36.75" hidden="false" customHeight="true" outlineLevel="0" collapsed="false">
      <c r="B5390" s="37" t="str">
        <f aca="false">SUBSTITUTE(SUBSTITUTE(SUBSTITUTE(SUBSTITUTE(SUBSTITUTE(Txt_P5,"{cabinet}",Cab_Nom),"{societe}",IF($K$5356=0,"",INDEX(Clients!$E$2:$E$501,$K$5356)&amp;"")),"{date_effet}",$K$5358),"{hausse}",$K$5359),"{civilite}",$K$5357)</f>
        <v>Les autres conditions de votre lettre de mission demeurent inchangées. Les nouveaux montants seront appliqués automatiquement sur vos prochaines factures et échéances de prélèvement.</v>
      </c>
      <c r="C5390" s="37"/>
      <c r="D5390" s="37"/>
      <c r="E5390" s="37"/>
      <c r="F5390" s="37"/>
    </row>
    <row r="5391" customFormat="false" ht="36.75" hidden="false" customHeight="true" outlineLevel="0" collapsed="false">
      <c r="B5391" s="37" t="str">
        <f aca="false">SUBSTITUTE(SUBSTITUTE(SUBSTITUTE(SUBSTITUTE(SUBSTITUTE(Txt_P6,"{cabinet}",Cab_Nom),"{societe}",IF($K$5356=0,"",INDEX(Clients!$E$2:$E$501,$K$5356)&amp;"")),"{date_effet}",$K$5358),"{hausse}",$K$5359),"{civilite}",$K$5357)</f>
        <v>Votre interlocuteur habituel reste à votre entière disposition pour répondre à vos questions et faire le point sur l'évolution de vos besoins.</v>
      </c>
      <c r="C5391" s="37"/>
      <c r="D5391" s="37"/>
      <c r="E5391" s="37"/>
      <c r="F5391" s="37"/>
    </row>
    <row r="5392" customFormat="false" ht="24" hidden="false" customHeight="true" outlineLevel="0" collapsed="false">
      <c r="B5392" s="37" t="str">
        <f aca="false">SUBSTITUTE(SUBSTITUTE(SUBSTITUTE(SUBSTITUTE(SUBSTITUTE(Txt_Politesse,"{cabinet}",Cab_Nom),"{societe}",IF($K$5356=0,"",INDEX(Clients!$E$2:$E$501,$K$5356)&amp;"")),"{date_effet}",$K$5358),"{hausse}",$K$5359),"{civilite}",$K$5357)</f>
        <v>Nous vous prions d'agréer, Madame, Monsieur, l'expression de nos salutations distinguées.</v>
      </c>
      <c r="C5392" s="37"/>
      <c r="D5392" s="37"/>
      <c r="E5392" s="37"/>
      <c r="F5392" s="37"/>
    </row>
    <row r="5393" customFormat="false" ht="15" hidden="false" customHeight="false" outlineLevel="0" collapsed="false">
      <c r="B5393" s="10"/>
      <c r="C5393" s="10"/>
      <c r="D5393" s="10"/>
      <c r="E5393" s="10"/>
      <c r="F5393" s="10"/>
    </row>
    <row r="5394" customFormat="false" ht="15" hidden="false" customHeight="false" outlineLevel="0" collapsed="false">
      <c r="B5394" s="10"/>
      <c r="C5394" s="10"/>
      <c r="D5394" s="34" t="str">
        <f aca="false">Signataire</f>
        <v>Prénom NOM</v>
      </c>
      <c r="E5394" s="34"/>
      <c r="F5394" s="34"/>
    </row>
    <row r="5395" customFormat="false" ht="15" hidden="false" customHeight="false" outlineLevel="0" collapsed="false">
      <c r="B5395" s="10"/>
      <c r="C5395" s="10"/>
      <c r="D5395" s="47" t="str">
        <f aca="false">Signataire_Titre</f>
        <v>Expert-comptable associé</v>
      </c>
      <c r="E5395" s="47"/>
      <c r="F5395" s="47"/>
    </row>
    <row r="5396" customFormat="false" ht="15.75" hidden="false" customHeight="true" outlineLevel="0" collapsed="false">
      <c r="B5396" s="10"/>
      <c r="C5396" s="10"/>
      <c r="D5396" s="10"/>
      <c r="E5396" s="10"/>
      <c r="F5396" s="10"/>
    </row>
    <row r="5397" customFormat="false" ht="15.75" hidden="false" customHeight="true" outlineLevel="0" collapsed="false">
      <c r="B5397" s="10"/>
      <c r="C5397" s="10"/>
      <c r="D5397" s="10"/>
      <c r="E5397" s="10"/>
      <c r="F5397" s="10"/>
    </row>
    <row r="5398" customFormat="false" ht="15.75" hidden="false" customHeight="true" outlineLevel="0" collapsed="false">
      <c r="B5398" s="10"/>
      <c r="C5398" s="10"/>
      <c r="D5398" s="10"/>
      <c r="E5398" s="10"/>
      <c r="F5398" s="10"/>
    </row>
    <row r="5399" customFormat="false" ht="15.75" hidden="false" customHeight="true" outlineLevel="0" collapsed="false">
      <c r="B5399" s="10"/>
      <c r="C5399" s="10"/>
      <c r="D5399" s="10"/>
      <c r="E5399" s="10"/>
      <c r="F5399" s="10"/>
    </row>
    <row r="5400" customFormat="false" ht="24" hidden="false" customHeight="true" outlineLevel="0" collapsed="false">
      <c r="B5400" s="48" t="str">
        <f aca="false">Cab_Mentions</f>
        <v>ALTHO EXPERTISE · SAS au capital de 10 000 € · RCS Pontoise 919 706 325 · TVA FR62919706325 · Société d'expertise comptable inscrite au Tableau de l'Ordre des experts-comptables de Paris Île-de-France</v>
      </c>
      <c r="C5400" s="48"/>
      <c r="D5400" s="48"/>
      <c r="E5400" s="48"/>
      <c r="F5400" s="48"/>
    </row>
    <row r="5401" customFormat="false" ht="15" hidden="false" customHeight="false" outlineLevel="0" collapsed="false">
      <c r="B5401" s="10"/>
      <c r="C5401" s="10"/>
      <c r="D5401" s="10"/>
      <c r="E5401" s="10"/>
      <c r="F5401" s="10"/>
      <c r="J5401" s="25" t="s">
        <v>142</v>
      </c>
      <c r="K5401" s="25" t="n">
        <f aca="false">IFERROR(MATCH(121,Clients!$Z$2:$Z$501,0),0)</f>
        <v>0</v>
      </c>
      <c r="L5401" s="25"/>
      <c r="M5401" s="25"/>
      <c r="N5401" s="25"/>
      <c r="O5401" s="25"/>
    </row>
    <row r="5402" customFormat="false" ht="21.75" hidden="false" customHeight="true" outlineLevel="0" collapsed="false">
      <c r="B5402" s="26" t="str">
        <f aca="false">Cab_Nom</f>
        <v>ALTHO EXPERTISE</v>
      </c>
      <c r="C5402" s="26"/>
      <c r="D5402" s="10"/>
      <c r="E5402" s="27" t="str">
        <f aca="false">IF($K$5401=0,"","Réf. client : "&amp;INDEX(Clients!$A$2:$A$501,$K$5401))</f>
        <v/>
      </c>
      <c r="F5402" s="27"/>
      <c r="J5402" s="25" t="s">
        <v>144</v>
      </c>
      <c r="K5402" s="25" t="str">
        <f aca="false">IF(IF($K$5401=0,"",INDEX(Clients!$B$2:$B$501,$K$5401)&amp;"")="Mme","Madame",IF(IF($K$5401=0,"",INDEX(Clients!$B$2:$B$501,$K$5401)&amp;"")="M.","Monsieur","Madame, Monsieur"))</f>
        <v>Madame, Monsieur</v>
      </c>
      <c r="L5402" s="25"/>
      <c r="M5402" s="25"/>
      <c r="N5402" s="25"/>
      <c r="O5402" s="25"/>
    </row>
    <row r="5403" customFormat="false" ht="15" hidden="false" customHeight="false" outlineLevel="0" collapsed="false">
      <c r="B5403" s="29" t="str">
        <f aca="false">Cab_Adr1</f>
        <v>141 rue Charles de Gaulle</v>
      </c>
      <c r="C5403" s="29"/>
      <c r="D5403" s="10"/>
      <c r="E5403" s="10"/>
      <c r="F5403" s="10"/>
      <c r="J5403" s="25" t="s">
        <v>145</v>
      </c>
      <c r="K5403" s="25" t="str">
        <f aca="false">DAY(Date_Effet)&amp;IF(DAY(Date_Effet)=1,"er","")&amp;" "&amp;INDEX(Liste_Mois,MONTH(Date_Effet))&amp;" "&amp;YEAR(Date_Effet)</f>
        <v>1er janvier 2027</v>
      </c>
      <c r="L5403" s="25"/>
      <c r="M5403" s="25"/>
      <c r="N5403" s="25"/>
      <c r="O5403" s="25"/>
    </row>
    <row r="5404" customFormat="false" ht="15" hidden="false" customHeight="false" outlineLevel="0" collapsed="false">
      <c r="B5404" s="29" t="str">
        <f aca="false">Cab_CPVille</f>
        <v>95130 LE PLESSIS-BOUCHARD</v>
      </c>
      <c r="C5404" s="29"/>
      <c r="D5404" s="10"/>
      <c r="E5404" s="10"/>
      <c r="F5404" s="10"/>
      <c r="J5404" s="25" t="s">
        <v>146</v>
      </c>
      <c r="K5404" s="25" t="str">
        <f aca="false">IF(SUM($K$5428:$K$5431)=0,"",FIXED((SUM($L$5428:$L$5431)/SUM($K$5428:$K$5431)-1)*100,1)&amp;" %")</f>
        <v/>
      </c>
      <c r="L5404" s="25"/>
      <c r="M5404" s="25"/>
      <c r="N5404" s="25"/>
      <c r="O5404" s="25"/>
    </row>
    <row r="5405" customFormat="false" ht="15" hidden="false" customHeight="false" outlineLevel="0" collapsed="false">
      <c r="B5405" s="29" t="str">
        <f aca="false">Cab_Contact</f>
        <v>Tél. 01 34 14 53 45  ·  altho@altho-experts.com  ·  altho-experts.com</v>
      </c>
      <c r="C5405" s="29"/>
      <c r="D5405" s="10"/>
      <c r="E5405" s="10"/>
      <c r="F5405" s="10"/>
      <c r="J5405" s="25"/>
      <c r="K5405" s="25"/>
      <c r="L5405" s="25"/>
      <c r="M5405" s="25"/>
      <c r="N5405" s="25"/>
      <c r="O5405" s="25"/>
    </row>
    <row r="5406" customFormat="false" ht="6" hidden="false" customHeight="true" outlineLevel="0" collapsed="false">
      <c r="B5406" s="32"/>
      <c r="C5406" s="32"/>
      <c r="D5406" s="32"/>
      <c r="E5406" s="32"/>
      <c r="F5406" s="32"/>
      <c r="J5406" s="25"/>
      <c r="K5406" s="25"/>
      <c r="L5406" s="25"/>
      <c r="M5406" s="25"/>
      <c r="N5406" s="25"/>
      <c r="O5406" s="25"/>
    </row>
    <row r="5407" customFormat="false" ht="13.5" hidden="false" customHeight="true" outlineLevel="0" collapsed="false">
      <c r="B5407" s="10"/>
      <c r="C5407" s="10"/>
      <c r="D5407" s="10"/>
      <c r="E5407" s="10"/>
      <c r="F5407" s="10"/>
      <c r="J5407" s="25"/>
      <c r="K5407" s="25"/>
      <c r="L5407" s="25"/>
      <c r="M5407" s="25"/>
      <c r="N5407" s="25"/>
      <c r="O5407" s="25"/>
    </row>
    <row r="5408" customFormat="false" ht="13.5" hidden="false" customHeight="true" outlineLevel="0" collapsed="false">
      <c r="B5408" s="10"/>
      <c r="C5408" s="10"/>
      <c r="D5408" s="10"/>
      <c r="E5408" s="10"/>
      <c r="F5408" s="10"/>
      <c r="J5408" s="25"/>
      <c r="K5408" s="25"/>
      <c r="L5408" s="25"/>
      <c r="M5408" s="25"/>
      <c r="N5408" s="25"/>
      <c r="O5408" s="25"/>
    </row>
    <row r="5409" customFormat="false" ht="13.5" hidden="false" customHeight="true" outlineLevel="0" collapsed="false">
      <c r="B5409" s="10"/>
      <c r="C5409" s="10"/>
      <c r="D5409" s="10"/>
      <c r="E5409" s="10"/>
      <c r="F5409" s="10"/>
      <c r="J5409" s="25"/>
      <c r="K5409" s="25"/>
      <c r="L5409" s="25"/>
      <c r="M5409" s="25"/>
      <c r="N5409" s="25"/>
      <c r="O5409" s="25"/>
    </row>
    <row r="5410" customFormat="false" ht="15" hidden="false" customHeight="true" outlineLevel="0" collapsed="false">
      <c r="B5410" s="10"/>
      <c r="C5410" s="10"/>
      <c r="D5410" s="34" t="str">
        <f aca="false">IF($K$5401=0,"",INDEX(Clients!$E$2:$E$501,$K$5401)&amp;"")</f>
        <v/>
      </c>
      <c r="E5410" s="34"/>
      <c r="F5410" s="34"/>
      <c r="J5410" s="25"/>
      <c r="K5410" s="25"/>
      <c r="L5410" s="25"/>
      <c r="M5410" s="25"/>
      <c r="N5410" s="25"/>
      <c r="O5410" s="25"/>
    </row>
    <row r="5411" customFormat="false" ht="15" hidden="false" customHeight="true" outlineLevel="0" collapsed="false">
      <c r="B5411" s="10"/>
      <c r="C5411" s="10"/>
      <c r="D5411" s="35" t="str">
        <f aca="false">IF(IF($K$5401=0,"",INDEX(Clients!$D$2:$D$501,$K$5401)&amp;"")="","","À l'attention de "&amp;TRIM(IF($K$5401=0,"",INDEX(Clients!$B$2:$B$501,$K$5401)&amp;"")&amp;" "&amp;IF($K$5401=0,"",INDEX(Clients!$C$2:$C$501,$K$5401)&amp;"")&amp;" "&amp;IF($K$5401=0,"",INDEX(Clients!$D$2:$D$501,$K$5401)&amp;"")))</f>
        <v/>
      </c>
      <c r="E5411" s="35"/>
      <c r="F5411" s="35"/>
      <c r="J5411" s="25"/>
      <c r="K5411" s="25"/>
      <c r="L5411" s="25"/>
      <c r="M5411" s="25"/>
      <c r="N5411" s="25"/>
      <c r="O5411" s="25"/>
    </row>
    <row r="5412" customFormat="false" ht="15" hidden="false" customHeight="true" outlineLevel="0" collapsed="false">
      <c r="B5412" s="10"/>
      <c r="C5412" s="10"/>
      <c r="D5412" s="35" t="str">
        <f aca="false">IF($K$5401=0,"",INDEX(Clients!$F$2:$F$501,$K$5401)&amp;"")</f>
        <v/>
      </c>
      <c r="E5412" s="35"/>
      <c r="F5412" s="35"/>
      <c r="J5412" s="25"/>
      <c r="K5412" s="25"/>
      <c r="L5412" s="25"/>
      <c r="M5412" s="25"/>
      <c r="N5412" s="25"/>
      <c r="O5412" s="25"/>
    </row>
    <row r="5413" customFormat="false" ht="15" hidden="false" customHeight="true" outlineLevel="0" collapsed="false">
      <c r="B5413" s="10"/>
      <c r="C5413" s="10"/>
      <c r="D5413" s="35" t="str">
        <f aca="false">IF(IF($K$5401=0,"",INDEX(Clients!$G$2:$G$501,$K$5401)&amp;"")="",TRIM(IF($K$5401=0,"",INDEX(Clients!$H$2:$H$501,$K$5401)&amp;"")&amp;" "&amp;UPPER(IF($K$5401=0,"",INDEX(Clients!$I$2:$I$501,$K$5401)&amp;""))),IF($K$5401=0,"",INDEX(Clients!$G$2:$G$501,$K$5401)&amp;""))</f>
        <v/>
      </c>
      <c r="E5413" s="35"/>
      <c r="F5413" s="35"/>
      <c r="J5413" s="25"/>
      <c r="K5413" s="25"/>
      <c r="L5413" s="25"/>
      <c r="M5413" s="25"/>
      <c r="N5413" s="25"/>
      <c r="O5413" s="25"/>
    </row>
    <row r="5414" customFormat="false" ht="15" hidden="false" customHeight="true" outlineLevel="0" collapsed="false">
      <c r="B5414" s="10"/>
      <c r="C5414" s="10"/>
      <c r="D5414" s="35" t="str">
        <f aca="false">IF(IF($K$5401=0,"",INDEX(Clients!$G$2:$G$501,$K$5401)&amp;"")="","",TRIM(IF($K$5401=0,"",INDEX(Clients!$H$2:$H$501,$K$5401)&amp;"")&amp;" "&amp;UPPER(IF($K$5401=0,"",INDEX(Clients!$I$2:$I$501,$K$5401)&amp;""))))</f>
        <v/>
      </c>
      <c r="E5414" s="35"/>
      <c r="F5414" s="35"/>
      <c r="J5414" s="25"/>
      <c r="K5414" s="25"/>
      <c r="L5414" s="25"/>
      <c r="M5414" s="25"/>
      <c r="N5414" s="25"/>
      <c r="O5414" s="25"/>
    </row>
    <row r="5415" customFormat="false" ht="25.5" hidden="false" customHeight="true" outlineLevel="0" collapsed="false">
      <c r="B5415" s="10"/>
      <c r="C5415" s="10"/>
      <c r="D5415" s="10"/>
      <c r="E5415" s="10"/>
      <c r="F5415" s="10"/>
      <c r="J5415" s="25"/>
      <c r="K5415" s="25"/>
      <c r="L5415" s="25"/>
      <c r="M5415" s="25"/>
      <c r="N5415" s="25"/>
      <c r="O5415" s="25"/>
    </row>
    <row r="5416" customFormat="false" ht="15" hidden="false" customHeight="false" outlineLevel="0" collapsed="false">
      <c r="B5416" s="10"/>
      <c r="C5416" s="10"/>
      <c r="D5416" s="36" t="str">
        <f aca="false">Cab_Ville&amp;", le "&amp;DAY(Date_Courrier)&amp;IF(DAY(Date_Courrier)=1,"er","")&amp;" "&amp;INDEX(Liste_Mois,MONTH(Date_Courrier))&amp;" "&amp;YEAR(Date_Courrier)</f>
        <v>Le Plessis-Bouchard, le 22 septembre 2026</v>
      </c>
      <c r="E5416" s="36"/>
      <c r="F5416" s="36"/>
      <c r="J5416" s="25"/>
      <c r="K5416" s="25"/>
      <c r="L5416" s="25"/>
      <c r="M5416" s="25"/>
      <c r="N5416" s="25"/>
      <c r="O5416" s="25"/>
    </row>
    <row r="5417" customFormat="false" ht="19.5" hidden="false" customHeight="true" outlineLevel="0" collapsed="false">
      <c r="B5417" s="10"/>
      <c r="C5417" s="10"/>
      <c r="D5417" s="10"/>
      <c r="E5417" s="10"/>
      <c r="F5417" s="10"/>
      <c r="J5417" s="25"/>
      <c r="K5417" s="25"/>
      <c r="L5417" s="25"/>
      <c r="M5417" s="25"/>
      <c r="N5417" s="25"/>
      <c r="O5417" s="25"/>
    </row>
    <row r="5418" customFormat="false" ht="15" hidden="false" customHeight="false" outlineLevel="0" collapsed="false">
      <c r="B5418" s="34" t="str">
        <f aca="false">SUBSTITUTE(SUBSTITUTE(SUBSTITUTE(SUBSTITUTE(SUBSTITUTE(Txt_Objet,"{cabinet}",Cab_Nom),"{societe}",IF($K$5401=0,"",INDEX(Clients!$E$2:$E$501,$K$5401)&amp;"")),"{date_effet}",$K$5403),"{hausse}",$K$5404),"{civilite}",$K$5402)</f>
        <v>Objet : révision de nos honoraires au 1er janvier 2027</v>
      </c>
      <c r="C5418" s="34"/>
      <c r="D5418" s="34"/>
      <c r="E5418" s="34"/>
      <c r="F5418" s="34"/>
      <c r="J5418" s="25"/>
      <c r="K5418" s="25"/>
      <c r="L5418" s="25"/>
      <c r="M5418" s="25"/>
      <c r="N5418" s="25"/>
      <c r="O5418" s="25"/>
    </row>
    <row r="5419" customFormat="false" ht="13.5" hidden="false" customHeight="true" outlineLevel="0" collapsed="false">
      <c r="B5419" s="10"/>
      <c r="C5419" s="10"/>
      <c r="D5419" s="10"/>
      <c r="E5419" s="10"/>
      <c r="F5419" s="10"/>
      <c r="J5419" s="25"/>
      <c r="K5419" s="25"/>
      <c r="L5419" s="25"/>
      <c r="M5419" s="25"/>
      <c r="N5419" s="25"/>
      <c r="O5419" s="25"/>
    </row>
    <row r="5420" customFormat="false" ht="15" hidden="false" customHeight="false" outlineLevel="0" collapsed="false">
      <c r="B5420" s="10" t="str">
        <f aca="false">$K$5402&amp;","</f>
        <v>Madame, Monsieur,</v>
      </c>
      <c r="C5420" s="10"/>
      <c r="D5420" s="10"/>
      <c r="E5420" s="10"/>
      <c r="F5420" s="10"/>
      <c r="J5420" s="25"/>
      <c r="K5420" s="25"/>
      <c r="L5420" s="25"/>
      <c r="M5420" s="25"/>
      <c r="N5420" s="25"/>
      <c r="O5420" s="25"/>
    </row>
    <row r="5421" customFormat="false" ht="6" hidden="false" customHeight="true" outlineLevel="0" collapsed="false">
      <c r="B5421" s="10"/>
      <c r="C5421" s="10"/>
      <c r="D5421" s="10"/>
      <c r="E5421" s="10"/>
      <c r="F5421" s="10"/>
      <c r="J5421" s="25"/>
      <c r="K5421" s="25"/>
      <c r="L5421" s="25"/>
      <c r="M5421" s="25"/>
      <c r="N5421" s="25"/>
      <c r="O5421" s="25"/>
    </row>
    <row r="5422" customFormat="false" ht="36.75" hidden="false" customHeight="true" outlineLevel="0" collapsed="false">
      <c r="B5422" s="37" t="str">
        <f aca="false">SUBSTITUTE(SUBSTITUTE(SUBSTITUTE(SUBSTITUTE(SUBSTITUTE(Txt_P1,"{cabinet}",Cab_Nom),"{societe}",IF($K$5401=0,"",INDEX(Clients!$E$2:$E$501,$K$5401)&amp;"")),"{date_effet}",$K$5403),"{hausse}",$K$5404),"{civilite}",$K$5402)</f>
        <v>Nous tenons tout d'abord à vous remercier pour la confiance que vous accordez à ALTHO EXPERTISE. Comme chaque année, et conformément aux dispositions de votre lettre de mission, nous procédons à la révision de nos honoraires.</v>
      </c>
      <c r="C5422" s="37"/>
      <c r="D5422" s="37"/>
      <c r="E5422" s="37"/>
      <c r="F5422" s="37"/>
      <c r="J5422" s="25"/>
      <c r="K5422" s="25"/>
      <c r="L5422" s="25"/>
      <c r="M5422" s="25"/>
      <c r="N5422" s="25"/>
      <c r="O5422" s="25"/>
    </row>
    <row r="5423" customFormat="false" ht="49.5" hidden="false" customHeight="true" outlineLevel="0" collapsed="false">
      <c r="B5423" s="37" t="str">
        <f aca="false">SUBSTITUTE(SUBSTITUTE(SUBSTITUTE(SUBSTITUTE(SUBSTITUTE(Txt_P2,"{cabinet}",Cab_Nom),"{societe}",IF($K$5401=0,"",INDEX(Clients!$E$2:$E$501,$K$5401)&amp;"")),"{date_effet}",$K$5403),"{hausse}",$K$5404),"{civilite}",$K$5402)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423" s="37"/>
      <c r="D5423" s="37"/>
      <c r="E5423" s="37"/>
      <c r="F5423" s="37"/>
      <c r="J5423" s="25"/>
      <c r="K5423" s="25"/>
      <c r="L5423" s="25"/>
      <c r="M5423" s="25"/>
      <c r="N5423" s="25"/>
      <c r="O5423" s="25"/>
    </row>
    <row r="5424" customFormat="false" ht="63" hidden="false" customHeight="true" outlineLevel="0" collapsed="false">
      <c r="B5424" s="37" t="str">
        <f aca="false">SUBSTITUTE(SUBSTITUTE(SUBSTITUTE(SUBSTITUTE(SUBSTITUTE(Txt_P3,"{cabinet}",Cab_Nom),"{societe}",IF($K$5401=0,"",INDEX(Clients!$E$2:$E$501,$K$5401)&amp;"")),"{date_effet}",$K$5403),"{hausse}",$K$5404),"{civilite}",$K$5402)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424" s="37"/>
      <c r="D5424" s="37"/>
      <c r="E5424" s="37"/>
      <c r="F5424" s="37"/>
      <c r="J5424" s="25"/>
      <c r="K5424" s="25"/>
      <c r="L5424" s="25"/>
      <c r="M5424" s="25"/>
      <c r="N5424" s="25"/>
      <c r="O5424" s="25"/>
    </row>
    <row r="5425" customFormat="false" ht="24" hidden="false" customHeight="true" outlineLevel="0" collapsed="false">
      <c r="B5425" s="37" t="str">
        <f aca="false">SUBSTITUTE(SUBSTITUTE(SUBSTITUTE(SUBSTITUTE(SUBSTITUTE(Txt_P4,"{cabinet}",Cab_Nom),"{societe}",IF($K$5401=0,"",INDEX(Clients!$E$2:$E$501,$K$5401)&amp;"")),"{date_effet}",$K$5403),"{hausse}",$K$5404),"{civilite}",$K$5402)</f>
        <v>À compter du 1er janvier 2027, vos honoraires annuels hors taxes évolueront ainsi (évolution globale : ) :</v>
      </c>
      <c r="C5425" s="37"/>
      <c r="D5425" s="37"/>
      <c r="E5425" s="37"/>
      <c r="F5425" s="37"/>
      <c r="J5425" s="25"/>
      <c r="K5425" s="25"/>
      <c r="L5425" s="25"/>
      <c r="M5425" s="25"/>
      <c r="N5425" s="25"/>
      <c r="O5425" s="25"/>
    </row>
    <row r="5426" customFormat="false" ht="3.75" hidden="false" customHeight="true" outlineLevel="0" collapsed="false">
      <c r="B5426" s="10"/>
      <c r="C5426" s="10"/>
      <c r="D5426" s="10"/>
      <c r="E5426" s="10"/>
      <c r="F5426" s="10"/>
      <c r="J5426" s="25"/>
      <c r="K5426" s="25"/>
      <c r="L5426" s="25"/>
      <c r="M5426" s="25"/>
      <c r="N5426" s="25"/>
      <c r="O5426" s="25"/>
    </row>
    <row r="5427" customFormat="false" ht="18" hidden="false" customHeight="true" outlineLevel="0" collapsed="false">
      <c r="B5427" s="38" t="s">
        <v>148</v>
      </c>
      <c r="C5427" s="39" t="s">
        <v>149</v>
      </c>
      <c r="D5427" s="39" t="s">
        <v>150</v>
      </c>
      <c r="E5427" s="39" t="s">
        <v>151</v>
      </c>
      <c r="F5427" s="39" t="s">
        <v>109</v>
      </c>
      <c r="J5427" s="25" t="s">
        <v>152</v>
      </c>
      <c r="K5427" s="25" t="s">
        <v>153</v>
      </c>
      <c r="L5427" s="25" t="s">
        <v>154</v>
      </c>
      <c r="M5427" s="25" t="s">
        <v>155</v>
      </c>
      <c r="N5427" s="25" t="s">
        <v>156</v>
      </c>
      <c r="O5427" s="25" t="s">
        <v>157</v>
      </c>
    </row>
    <row r="5428" customFormat="false" ht="16.5" hidden="false" customHeight="true" outlineLevel="0" collapsed="false">
      <c r="B5428" s="40" t="str">
        <f aca="false">IFERROR(INDEX($J$5428:$J$5431,MATCH($O5428,$N$5428:$N$5431,0)),"")</f>
        <v/>
      </c>
      <c r="C5428" s="41" t="str">
        <f aca="false">IFERROR(INDEX($K$5428:$K$5431,MATCH($O5428,$N$5428:$N$5431,0)),"")</f>
        <v/>
      </c>
      <c r="D5428" s="42" t="str">
        <f aca="false">IF(OR(E5428="",N(C5428)=0),"",E5428/C5428-1)</f>
        <v/>
      </c>
      <c r="E5428" s="41" t="str">
        <f aca="false">IFERROR(INDEX($L$5428:$L$5431,MATCH($O5428,$N$5428:$N$5431,0)),"")</f>
        <v/>
      </c>
      <c r="F5428" s="41" t="str">
        <f aca="false">IF(E5428="","",E5428-C5428)</f>
        <v/>
      </c>
      <c r="J5428" s="25" t="str">
        <f aca="false">Lib_Compta</f>
        <v>Mission comptable (tenue, révision, bilan, liasse fiscale)</v>
      </c>
      <c r="K5428" s="25" t="n">
        <f aca="false">IF($K$5401=0,0,N(INDEX(Clients!$K$2:$K$501,$K$5401)))</f>
        <v>0</v>
      </c>
      <c r="L5428" s="25" t="n">
        <f aca="false">IF($K$5401=0,0,N(INDEX(Clients!$P$2:$P$501,$K$5401)))</f>
        <v>0</v>
      </c>
      <c r="M5428" s="25" t="n">
        <f aca="false">IF(OR(K5428&lt;&gt;0,L5428&lt;&gt;0),1,0)</f>
        <v>0</v>
      </c>
      <c r="N5428" s="25" t="str">
        <f aca="false">IF(M5428=1,SUM($M$5428:M5428),"")</f>
        <v/>
      </c>
      <c r="O5428" s="25" t="n">
        <v>1</v>
      </c>
    </row>
    <row r="5429" customFormat="false" ht="16.5" hidden="false" customHeight="true" outlineLevel="0" collapsed="false">
      <c r="B5429" s="40" t="str">
        <f aca="false">IFERROR(INDEX($J$5428:$J$5431,MATCH($O5429,$N$5428:$N$5431,0)),"")</f>
        <v/>
      </c>
      <c r="C5429" s="41" t="str">
        <f aca="false">IFERROR(INDEX($K$5428:$K$5431,MATCH($O5429,$N$5428:$N$5431,0)),"")</f>
        <v/>
      </c>
      <c r="D5429" s="42" t="str">
        <f aca="false">IF(OR(E5429="",N(C5429)=0),"",E5429/C5429-1)</f>
        <v/>
      </c>
      <c r="E5429" s="41" t="str">
        <f aca="false">IFERROR(INDEX($L$5428:$L$5431,MATCH($O5429,$N$5428:$N$5431,0)),"")</f>
        <v/>
      </c>
      <c r="F5429" s="41" t="str">
        <f aca="false">IF(E5429="","",E5429-C5429)</f>
        <v/>
      </c>
      <c r="J5429" s="25" t="str">
        <f aca="false">Lib_Paye</f>
        <v>Mission sociale (bulletins de paie, DSN, déclarations sociales)</v>
      </c>
      <c r="K5429" s="25" t="n">
        <f aca="false">IF($K$5401=0,0,N(INDEX(Clients!$L$2:$L$501,$K$5401)))</f>
        <v>0</v>
      </c>
      <c r="L5429" s="25" t="n">
        <f aca="false">IF($K$5401=0,0,N(INDEX(Clients!$Q$2:$Q$501,$K$5401)))</f>
        <v>0</v>
      </c>
      <c r="M5429" s="25" t="n">
        <f aca="false">IF(OR(K5429&lt;&gt;0,L5429&lt;&gt;0),1,0)</f>
        <v>0</v>
      </c>
      <c r="N5429" s="25" t="str">
        <f aca="false">IF(M5429=1,SUM($M$5428:M5429),"")</f>
        <v/>
      </c>
      <c r="O5429" s="25" t="n">
        <v>2</v>
      </c>
    </row>
    <row r="5430" customFormat="false" ht="16.5" hidden="false" customHeight="true" outlineLevel="0" collapsed="false">
      <c r="B5430" s="40" t="str">
        <f aca="false">IFERROR(INDEX($J$5428:$J$5431,MATCH($O5430,$N$5428:$N$5431,0)),"")</f>
        <v/>
      </c>
      <c r="C5430" s="41" t="str">
        <f aca="false">IFERROR(INDEX($K$5428:$K$5431,MATCH($O5430,$N$5428:$N$5431,0)),"")</f>
        <v/>
      </c>
      <c r="D5430" s="42" t="str">
        <f aca="false">IF(OR(E5430="",N(C5430)=0),"",E5430/C5430-1)</f>
        <v/>
      </c>
      <c r="E5430" s="41" t="str">
        <f aca="false">IFERROR(INDEX($L$5428:$L$5431,MATCH($O5430,$N$5428:$N$5431,0)),"")</f>
        <v/>
      </c>
      <c r="F5430" s="41" t="str">
        <f aca="false">IF(E5430="","",E5430-C5430)</f>
        <v/>
      </c>
      <c r="J5430" s="25" t="str">
        <f aca="false">Lib_Jur</f>
        <v>Mission juridique (approbation des comptes, secrétariat juridique)</v>
      </c>
      <c r="K5430" s="25" t="n">
        <f aca="false">IF($K$5401=0,0,N(INDEX(Clients!$M$2:$M$501,$K$5401)))</f>
        <v>0</v>
      </c>
      <c r="L5430" s="25" t="n">
        <f aca="false">IF($K$5401=0,0,N(INDEX(Clients!$R$2:$R$501,$K$5401)))</f>
        <v>0</v>
      </c>
      <c r="M5430" s="25" t="n">
        <f aca="false">IF(OR(K5430&lt;&gt;0,L5430&lt;&gt;0),1,0)</f>
        <v>0</v>
      </c>
      <c r="N5430" s="25" t="str">
        <f aca="false">IF(M5430=1,SUM($M$5428:M5430),"")</f>
        <v/>
      </c>
      <c r="O5430" s="25" t="n">
        <v>3</v>
      </c>
    </row>
    <row r="5431" customFormat="false" ht="16.5" hidden="false" customHeight="true" outlineLevel="0" collapsed="false">
      <c r="B5431" s="40" t="str">
        <f aca="false">IFERROR(INDEX($J$5428:$J$5431,MATCH($O5431,$N$5428:$N$5431,0)),"")</f>
        <v/>
      </c>
      <c r="C5431" s="41" t="str">
        <f aca="false">IFERROR(INDEX($K$5428:$K$5431,MATCH($O5431,$N$5428:$N$5431,0)),"")</f>
        <v/>
      </c>
      <c r="D5431" s="42" t="str">
        <f aca="false">IF(OR(E5431="",N(C5431)=0),"",E5431/C5431-1)</f>
        <v/>
      </c>
      <c r="E5431" s="41" t="str">
        <f aca="false">IFERROR(INDEX($L$5428:$L$5431,MATCH($O5431,$N$5428:$N$5431,0)),"")</f>
        <v/>
      </c>
      <c r="F5431" s="41" t="str">
        <f aca="false">IF(E5431="","",E5431-C5431)</f>
        <v/>
      </c>
      <c r="J5431" s="25" t="str">
        <f aca="false">Lib_PA</f>
        <v>Plateforme agréée – facturation électronique</v>
      </c>
      <c r="K5431" s="25" t="n">
        <f aca="false">IF($K$5401=0,0,N(INDEX(Clients!$N$2:$N$501,$K$5401)))</f>
        <v>0</v>
      </c>
      <c r="L5431" s="25" t="n">
        <f aca="false">IF($K$5401=0,0,N(INDEX(Clients!$S$2:$S$501,$K$5401)))</f>
        <v>0</v>
      </c>
      <c r="M5431" s="25" t="n">
        <f aca="false">IF(OR(K5431&lt;&gt;0,L5431&lt;&gt;0),1,0)</f>
        <v>0</v>
      </c>
      <c r="N5431" s="25" t="str">
        <f aca="false">IF(M5431=1,SUM($M$5428:M5431),"")</f>
        <v/>
      </c>
      <c r="O5431" s="25" t="n">
        <v>4</v>
      </c>
    </row>
    <row r="5432" customFormat="false" ht="18" hidden="false" customHeight="true" outlineLevel="0" collapsed="false">
      <c r="B5432" s="43" t="s">
        <v>158</v>
      </c>
      <c r="C5432" s="44" t="n">
        <f aca="false">SUM(K5428:K5431)</f>
        <v>0</v>
      </c>
      <c r="D5432" s="45" t="str">
        <f aca="false">IF(N(C5432)=0,"",E5432/C5432-1)</f>
        <v/>
      </c>
      <c r="E5432" s="44" t="n">
        <f aca="false">SUM(L5428:L5431)</f>
        <v>0</v>
      </c>
      <c r="F5432" s="44" t="n">
        <f aca="false">E5432-C5432</f>
        <v>0</v>
      </c>
    </row>
    <row r="5433" customFormat="false" ht="15" hidden="false" customHeight="false" outlineLevel="0" collapsed="false">
      <c r="B5433" s="46" t="str">
        <f aca="false">IF(N(Nb_Mensualites)=0,"","Soit "&amp;FIXED(E5432/Nb_Mensualites,2)&amp;" € HT par échéance ("&amp;Nb_Mensualites&amp;" échéances), "&amp;FIXED(E5432/Nb_Mensualites*(1+Taux_TVA),2)&amp;" € TTC.")</f>
        <v>Soit 0.00 € HT par échéance (12 échéances), 0.00 € TTC.</v>
      </c>
      <c r="C5433" s="46"/>
      <c r="D5433" s="46"/>
      <c r="E5433" s="46"/>
      <c r="F5433" s="46"/>
    </row>
    <row r="5434" customFormat="false" ht="7.5" hidden="false" customHeight="true" outlineLevel="0" collapsed="false">
      <c r="B5434" s="10"/>
      <c r="C5434" s="10"/>
      <c r="D5434" s="10"/>
      <c r="E5434" s="10"/>
      <c r="F5434" s="10"/>
    </row>
    <row r="5435" customFormat="false" ht="36.75" hidden="false" customHeight="true" outlineLevel="0" collapsed="false">
      <c r="B5435" s="37" t="str">
        <f aca="false">SUBSTITUTE(SUBSTITUTE(SUBSTITUTE(SUBSTITUTE(SUBSTITUTE(Txt_P5,"{cabinet}",Cab_Nom),"{societe}",IF($K$5401=0,"",INDEX(Clients!$E$2:$E$501,$K$5401)&amp;"")),"{date_effet}",$K$5403),"{hausse}",$K$5404),"{civilite}",$K$5402)</f>
        <v>Les autres conditions de votre lettre de mission demeurent inchangées. Les nouveaux montants seront appliqués automatiquement sur vos prochaines factures et échéances de prélèvement.</v>
      </c>
      <c r="C5435" s="37"/>
      <c r="D5435" s="37"/>
      <c r="E5435" s="37"/>
      <c r="F5435" s="37"/>
    </row>
    <row r="5436" customFormat="false" ht="36.75" hidden="false" customHeight="true" outlineLevel="0" collapsed="false">
      <c r="B5436" s="37" t="str">
        <f aca="false">SUBSTITUTE(SUBSTITUTE(SUBSTITUTE(SUBSTITUTE(SUBSTITUTE(Txt_P6,"{cabinet}",Cab_Nom),"{societe}",IF($K$5401=0,"",INDEX(Clients!$E$2:$E$501,$K$5401)&amp;"")),"{date_effet}",$K$5403),"{hausse}",$K$5404),"{civilite}",$K$5402)</f>
        <v>Votre interlocuteur habituel reste à votre entière disposition pour répondre à vos questions et faire le point sur l'évolution de vos besoins.</v>
      </c>
      <c r="C5436" s="37"/>
      <c r="D5436" s="37"/>
      <c r="E5436" s="37"/>
      <c r="F5436" s="37"/>
    </row>
    <row r="5437" customFormat="false" ht="24" hidden="false" customHeight="true" outlineLevel="0" collapsed="false">
      <c r="B5437" s="37" t="str">
        <f aca="false">SUBSTITUTE(SUBSTITUTE(SUBSTITUTE(SUBSTITUTE(SUBSTITUTE(Txt_Politesse,"{cabinet}",Cab_Nom),"{societe}",IF($K$5401=0,"",INDEX(Clients!$E$2:$E$501,$K$5401)&amp;"")),"{date_effet}",$K$5403),"{hausse}",$K$5404),"{civilite}",$K$5402)</f>
        <v>Nous vous prions d'agréer, Madame, Monsieur, l'expression de nos salutations distinguées.</v>
      </c>
      <c r="C5437" s="37"/>
      <c r="D5437" s="37"/>
      <c r="E5437" s="37"/>
      <c r="F5437" s="37"/>
    </row>
    <row r="5438" customFormat="false" ht="15" hidden="false" customHeight="false" outlineLevel="0" collapsed="false">
      <c r="B5438" s="10"/>
      <c r="C5438" s="10"/>
      <c r="D5438" s="10"/>
      <c r="E5438" s="10"/>
      <c r="F5438" s="10"/>
    </row>
    <row r="5439" customFormat="false" ht="15" hidden="false" customHeight="false" outlineLevel="0" collapsed="false">
      <c r="B5439" s="10"/>
      <c r="C5439" s="10"/>
      <c r="D5439" s="34" t="str">
        <f aca="false">Signataire</f>
        <v>Prénom NOM</v>
      </c>
      <c r="E5439" s="34"/>
      <c r="F5439" s="34"/>
    </row>
    <row r="5440" customFormat="false" ht="15" hidden="false" customHeight="false" outlineLevel="0" collapsed="false">
      <c r="B5440" s="10"/>
      <c r="C5440" s="10"/>
      <c r="D5440" s="47" t="str">
        <f aca="false">Signataire_Titre</f>
        <v>Expert-comptable associé</v>
      </c>
      <c r="E5440" s="47"/>
      <c r="F5440" s="47"/>
    </row>
    <row r="5441" customFormat="false" ht="15.75" hidden="false" customHeight="true" outlineLevel="0" collapsed="false">
      <c r="B5441" s="10"/>
      <c r="C5441" s="10"/>
      <c r="D5441" s="10"/>
      <c r="E5441" s="10"/>
      <c r="F5441" s="10"/>
    </row>
    <row r="5442" customFormat="false" ht="15.75" hidden="false" customHeight="true" outlineLevel="0" collapsed="false">
      <c r="B5442" s="10"/>
      <c r="C5442" s="10"/>
      <c r="D5442" s="10"/>
      <c r="E5442" s="10"/>
      <c r="F5442" s="10"/>
    </row>
    <row r="5443" customFormat="false" ht="15.75" hidden="false" customHeight="true" outlineLevel="0" collapsed="false">
      <c r="B5443" s="10"/>
      <c r="C5443" s="10"/>
      <c r="D5443" s="10"/>
      <c r="E5443" s="10"/>
      <c r="F5443" s="10"/>
    </row>
    <row r="5444" customFormat="false" ht="15.75" hidden="false" customHeight="true" outlineLevel="0" collapsed="false">
      <c r="B5444" s="10"/>
      <c r="C5444" s="10"/>
      <c r="D5444" s="10"/>
      <c r="E5444" s="10"/>
      <c r="F5444" s="10"/>
    </row>
    <row r="5445" customFormat="false" ht="24" hidden="false" customHeight="true" outlineLevel="0" collapsed="false">
      <c r="B5445" s="48" t="str">
        <f aca="false">Cab_Mentions</f>
        <v>ALTHO EXPERTISE · SAS au capital de 10 000 € · RCS Pontoise 919 706 325 · TVA FR62919706325 · Société d'expertise comptable inscrite au Tableau de l'Ordre des experts-comptables de Paris Île-de-France</v>
      </c>
      <c r="C5445" s="48"/>
      <c r="D5445" s="48"/>
      <c r="E5445" s="48"/>
      <c r="F5445" s="48"/>
    </row>
    <row r="5446" customFormat="false" ht="15" hidden="false" customHeight="false" outlineLevel="0" collapsed="false">
      <c r="B5446" s="10"/>
      <c r="C5446" s="10"/>
      <c r="D5446" s="10"/>
      <c r="E5446" s="10"/>
      <c r="F5446" s="10"/>
      <c r="J5446" s="25" t="s">
        <v>142</v>
      </c>
      <c r="K5446" s="25" t="n">
        <f aca="false">IFERROR(MATCH(122,Clients!$Z$2:$Z$501,0),0)</f>
        <v>0</v>
      </c>
      <c r="L5446" s="25"/>
      <c r="M5446" s="25"/>
      <c r="N5446" s="25"/>
      <c r="O5446" s="25"/>
    </row>
    <row r="5447" customFormat="false" ht="21.75" hidden="false" customHeight="true" outlineLevel="0" collapsed="false">
      <c r="B5447" s="26" t="str">
        <f aca="false">Cab_Nom</f>
        <v>ALTHO EXPERTISE</v>
      </c>
      <c r="C5447" s="26"/>
      <c r="D5447" s="10"/>
      <c r="E5447" s="27" t="str">
        <f aca="false">IF($K$5446=0,"","Réf. client : "&amp;INDEX(Clients!$A$2:$A$501,$K$5446))</f>
        <v/>
      </c>
      <c r="F5447" s="27"/>
      <c r="J5447" s="25" t="s">
        <v>144</v>
      </c>
      <c r="K5447" s="25" t="str">
        <f aca="false">IF(IF($K$5446=0,"",INDEX(Clients!$B$2:$B$501,$K$5446)&amp;"")="Mme","Madame",IF(IF($K$5446=0,"",INDEX(Clients!$B$2:$B$501,$K$5446)&amp;"")="M.","Monsieur","Madame, Monsieur"))</f>
        <v>Madame, Monsieur</v>
      </c>
      <c r="L5447" s="25"/>
      <c r="M5447" s="25"/>
      <c r="N5447" s="25"/>
      <c r="O5447" s="25"/>
    </row>
    <row r="5448" customFormat="false" ht="15" hidden="false" customHeight="false" outlineLevel="0" collapsed="false">
      <c r="B5448" s="29" t="str">
        <f aca="false">Cab_Adr1</f>
        <v>141 rue Charles de Gaulle</v>
      </c>
      <c r="C5448" s="29"/>
      <c r="D5448" s="10"/>
      <c r="E5448" s="10"/>
      <c r="F5448" s="10"/>
      <c r="J5448" s="25" t="s">
        <v>145</v>
      </c>
      <c r="K5448" s="25" t="str">
        <f aca="false">DAY(Date_Effet)&amp;IF(DAY(Date_Effet)=1,"er","")&amp;" "&amp;INDEX(Liste_Mois,MONTH(Date_Effet))&amp;" "&amp;YEAR(Date_Effet)</f>
        <v>1er janvier 2027</v>
      </c>
      <c r="L5448" s="25"/>
      <c r="M5448" s="25"/>
      <c r="N5448" s="25"/>
      <c r="O5448" s="25"/>
    </row>
    <row r="5449" customFormat="false" ht="15" hidden="false" customHeight="false" outlineLevel="0" collapsed="false">
      <c r="B5449" s="29" t="str">
        <f aca="false">Cab_CPVille</f>
        <v>95130 LE PLESSIS-BOUCHARD</v>
      </c>
      <c r="C5449" s="29"/>
      <c r="D5449" s="10"/>
      <c r="E5449" s="10"/>
      <c r="F5449" s="10"/>
      <c r="J5449" s="25" t="s">
        <v>146</v>
      </c>
      <c r="K5449" s="25" t="str">
        <f aca="false">IF(SUM($K$5473:$K$5476)=0,"",FIXED((SUM($L$5473:$L$5476)/SUM($K$5473:$K$5476)-1)*100,1)&amp;" %")</f>
        <v/>
      </c>
      <c r="L5449" s="25"/>
      <c r="M5449" s="25"/>
      <c r="N5449" s="25"/>
      <c r="O5449" s="25"/>
    </row>
    <row r="5450" customFormat="false" ht="15" hidden="false" customHeight="false" outlineLevel="0" collapsed="false">
      <c r="B5450" s="29" t="str">
        <f aca="false">Cab_Contact</f>
        <v>Tél. 01 34 14 53 45  ·  altho@altho-experts.com  ·  altho-experts.com</v>
      </c>
      <c r="C5450" s="29"/>
      <c r="D5450" s="10"/>
      <c r="E5450" s="10"/>
      <c r="F5450" s="10"/>
      <c r="J5450" s="25"/>
      <c r="K5450" s="25"/>
      <c r="L5450" s="25"/>
      <c r="M5450" s="25"/>
      <c r="N5450" s="25"/>
      <c r="O5450" s="25"/>
    </row>
    <row r="5451" customFormat="false" ht="6" hidden="false" customHeight="true" outlineLevel="0" collapsed="false">
      <c r="B5451" s="32"/>
      <c r="C5451" s="32"/>
      <c r="D5451" s="32"/>
      <c r="E5451" s="32"/>
      <c r="F5451" s="32"/>
      <c r="J5451" s="25"/>
      <c r="K5451" s="25"/>
      <c r="L5451" s="25"/>
      <c r="M5451" s="25"/>
      <c r="N5451" s="25"/>
      <c r="O5451" s="25"/>
    </row>
    <row r="5452" customFormat="false" ht="13.5" hidden="false" customHeight="true" outlineLevel="0" collapsed="false">
      <c r="B5452" s="10"/>
      <c r="C5452" s="10"/>
      <c r="D5452" s="10"/>
      <c r="E5452" s="10"/>
      <c r="F5452" s="10"/>
      <c r="J5452" s="25"/>
      <c r="K5452" s="25"/>
      <c r="L5452" s="25"/>
      <c r="M5452" s="25"/>
      <c r="N5452" s="25"/>
      <c r="O5452" s="25"/>
    </row>
    <row r="5453" customFormat="false" ht="13.5" hidden="false" customHeight="true" outlineLevel="0" collapsed="false">
      <c r="B5453" s="10"/>
      <c r="C5453" s="10"/>
      <c r="D5453" s="10"/>
      <c r="E5453" s="10"/>
      <c r="F5453" s="10"/>
      <c r="J5453" s="25"/>
      <c r="K5453" s="25"/>
      <c r="L5453" s="25"/>
      <c r="M5453" s="25"/>
      <c r="N5453" s="25"/>
      <c r="O5453" s="25"/>
    </row>
    <row r="5454" customFormat="false" ht="13.5" hidden="false" customHeight="true" outlineLevel="0" collapsed="false">
      <c r="B5454" s="10"/>
      <c r="C5454" s="10"/>
      <c r="D5454" s="10"/>
      <c r="E5454" s="10"/>
      <c r="F5454" s="10"/>
      <c r="J5454" s="25"/>
      <c r="K5454" s="25"/>
      <c r="L5454" s="25"/>
      <c r="M5454" s="25"/>
      <c r="N5454" s="25"/>
      <c r="O5454" s="25"/>
    </row>
    <row r="5455" customFormat="false" ht="15" hidden="false" customHeight="true" outlineLevel="0" collapsed="false">
      <c r="B5455" s="10"/>
      <c r="C5455" s="10"/>
      <c r="D5455" s="34" t="str">
        <f aca="false">IF($K$5446=0,"",INDEX(Clients!$E$2:$E$501,$K$5446)&amp;"")</f>
        <v/>
      </c>
      <c r="E5455" s="34"/>
      <c r="F5455" s="34"/>
      <c r="J5455" s="25"/>
      <c r="K5455" s="25"/>
      <c r="L5455" s="25"/>
      <c r="M5455" s="25"/>
      <c r="N5455" s="25"/>
      <c r="O5455" s="25"/>
    </row>
    <row r="5456" customFormat="false" ht="15" hidden="false" customHeight="true" outlineLevel="0" collapsed="false">
      <c r="B5456" s="10"/>
      <c r="C5456" s="10"/>
      <c r="D5456" s="35" t="str">
        <f aca="false">IF(IF($K$5446=0,"",INDEX(Clients!$D$2:$D$501,$K$5446)&amp;"")="","","À l'attention de "&amp;TRIM(IF($K$5446=0,"",INDEX(Clients!$B$2:$B$501,$K$5446)&amp;"")&amp;" "&amp;IF($K$5446=0,"",INDEX(Clients!$C$2:$C$501,$K$5446)&amp;"")&amp;" "&amp;IF($K$5446=0,"",INDEX(Clients!$D$2:$D$501,$K$5446)&amp;"")))</f>
        <v/>
      </c>
      <c r="E5456" s="35"/>
      <c r="F5456" s="35"/>
      <c r="J5456" s="25"/>
      <c r="K5456" s="25"/>
      <c r="L5456" s="25"/>
      <c r="M5456" s="25"/>
      <c r="N5456" s="25"/>
      <c r="O5456" s="25"/>
    </row>
    <row r="5457" customFormat="false" ht="15" hidden="false" customHeight="true" outlineLevel="0" collapsed="false">
      <c r="B5457" s="10"/>
      <c r="C5457" s="10"/>
      <c r="D5457" s="35" t="str">
        <f aca="false">IF($K$5446=0,"",INDEX(Clients!$F$2:$F$501,$K$5446)&amp;"")</f>
        <v/>
      </c>
      <c r="E5457" s="35"/>
      <c r="F5457" s="35"/>
      <c r="J5457" s="25"/>
      <c r="K5457" s="25"/>
      <c r="L5457" s="25"/>
      <c r="M5457" s="25"/>
      <c r="N5457" s="25"/>
      <c r="O5457" s="25"/>
    </row>
    <row r="5458" customFormat="false" ht="15" hidden="false" customHeight="true" outlineLevel="0" collapsed="false">
      <c r="B5458" s="10"/>
      <c r="C5458" s="10"/>
      <c r="D5458" s="35" t="str">
        <f aca="false">IF(IF($K$5446=0,"",INDEX(Clients!$G$2:$G$501,$K$5446)&amp;"")="",TRIM(IF($K$5446=0,"",INDEX(Clients!$H$2:$H$501,$K$5446)&amp;"")&amp;" "&amp;UPPER(IF($K$5446=0,"",INDEX(Clients!$I$2:$I$501,$K$5446)&amp;""))),IF($K$5446=0,"",INDEX(Clients!$G$2:$G$501,$K$5446)&amp;""))</f>
        <v/>
      </c>
      <c r="E5458" s="35"/>
      <c r="F5458" s="35"/>
      <c r="J5458" s="25"/>
      <c r="K5458" s="25"/>
      <c r="L5458" s="25"/>
      <c r="M5458" s="25"/>
      <c r="N5458" s="25"/>
      <c r="O5458" s="25"/>
    </row>
    <row r="5459" customFormat="false" ht="15" hidden="false" customHeight="true" outlineLevel="0" collapsed="false">
      <c r="B5459" s="10"/>
      <c r="C5459" s="10"/>
      <c r="D5459" s="35" t="str">
        <f aca="false">IF(IF($K$5446=0,"",INDEX(Clients!$G$2:$G$501,$K$5446)&amp;"")="","",TRIM(IF($K$5446=0,"",INDEX(Clients!$H$2:$H$501,$K$5446)&amp;"")&amp;" "&amp;UPPER(IF($K$5446=0,"",INDEX(Clients!$I$2:$I$501,$K$5446)&amp;""))))</f>
        <v/>
      </c>
      <c r="E5459" s="35"/>
      <c r="F5459" s="35"/>
      <c r="J5459" s="25"/>
      <c r="K5459" s="25"/>
      <c r="L5459" s="25"/>
      <c r="M5459" s="25"/>
      <c r="N5459" s="25"/>
      <c r="O5459" s="25"/>
    </row>
    <row r="5460" customFormat="false" ht="25.5" hidden="false" customHeight="true" outlineLevel="0" collapsed="false">
      <c r="B5460" s="10"/>
      <c r="C5460" s="10"/>
      <c r="D5460" s="10"/>
      <c r="E5460" s="10"/>
      <c r="F5460" s="10"/>
      <c r="J5460" s="25"/>
      <c r="K5460" s="25"/>
      <c r="L5460" s="25"/>
      <c r="M5460" s="25"/>
      <c r="N5460" s="25"/>
      <c r="O5460" s="25"/>
    </row>
    <row r="5461" customFormat="false" ht="15" hidden="false" customHeight="false" outlineLevel="0" collapsed="false">
      <c r="B5461" s="10"/>
      <c r="C5461" s="10"/>
      <c r="D5461" s="36" t="str">
        <f aca="false">Cab_Ville&amp;", le "&amp;DAY(Date_Courrier)&amp;IF(DAY(Date_Courrier)=1,"er","")&amp;" "&amp;INDEX(Liste_Mois,MONTH(Date_Courrier))&amp;" "&amp;YEAR(Date_Courrier)</f>
        <v>Le Plessis-Bouchard, le 22 septembre 2026</v>
      </c>
      <c r="E5461" s="36"/>
      <c r="F5461" s="36"/>
      <c r="J5461" s="25"/>
      <c r="K5461" s="25"/>
      <c r="L5461" s="25"/>
      <c r="M5461" s="25"/>
      <c r="N5461" s="25"/>
      <c r="O5461" s="25"/>
    </row>
    <row r="5462" customFormat="false" ht="19.5" hidden="false" customHeight="true" outlineLevel="0" collapsed="false">
      <c r="B5462" s="10"/>
      <c r="C5462" s="10"/>
      <c r="D5462" s="10"/>
      <c r="E5462" s="10"/>
      <c r="F5462" s="10"/>
      <c r="J5462" s="25"/>
      <c r="K5462" s="25"/>
      <c r="L5462" s="25"/>
      <c r="M5462" s="25"/>
      <c r="N5462" s="25"/>
      <c r="O5462" s="25"/>
    </row>
    <row r="5463" customFormat="false" ht="15" hidden="false" customHeight="false" outlineLevel="0" collapsed="false">
      <c r="B5463" s="34" t="str">
        <f aca="false">SUBSTITUTE(SUBSTITUTE(SUBSTITUTE(SUBSTITUTE(SUBSTITUTE(Txt_Objet,"{cabinet}",Cab_Nom),"{societe}",IF($K$5446=0,"",INDEX(Clients!$E$2:$E$501,$K$5446)&amp;"")),"{date_effet}",$K$5448),"{hausse}",$K$5449),"{civilite}",$K$5447)</f>
        <v>Objet : révision de nos honoraires au 1er janvier 2027</v>
      </c>
      <c r="C5463" s="34"/>
      <c r="D5463" s="34"/>
      <c r="E5463" s="34"/>
      <c r="F5463" s="34"/>
      <c r="J5463" s="25"/>
      <c r="K5463" s="25"/>
      <c r="L5463" s="25"/>
      <c r="M5463" s="25"/>
      <c r="N5463" s="25"/>
      <c r="O5463" s="25"/>
    </row>
    <row r="5464" customFormat="false" ht="13.5" hidden="false" customHeight="true" outlineLevel="0" collapsed="false">
      <c r="B5464" s="10"/>
      <c r="C5464" s="10"/>
      <c r="D5464" s="10"/>
      <c r="E5464" s="10"/>
      <c r="F5464" s="10"/>
      <c r="J5464" s="25"/>
      <c r="K5464" s="25"/>
      <c r="L5464" s="25"/>
      <c r="M5464" s="25"/>
      <c r="N5464" s="25"/>
      <c r="O5464" s="25"/>
    </row>
    <row r="5465" customFormat="false" ht="15" hidden="false" customHeight="false" outlineLevel="0" collapsed="false">
      <c r="B5465" s="10" t="str">
        <f aca="false">$K$5447&amp;","</f>
        <v>Madame, Monsieur,</v>
      </c>
      <c r="C5465" s="10"/>
      <c r="D5465" s="10"/>
      <c r="E5465" s="10"/>
      <c r="F5465" s="10"/>
      <c r="J5465" s="25"/>
      <c r="K5465" s="25"/>
      <c r="L5465" s="25"/>
      <c r="M5465" s="25"/>
      <c r="N5465" s="25"/>
      <c r="O5465" s="25"/>
    </row>
    <row r="5466" customFormat="false" ht="6" hidden="false" customHeight="true" outlineLevel="0" collapsed="false">
      <c r="B5466" s="10"/>
      <c r="C5466" s="10"/>
      <c r="D5466" s="10"/>
      <c r="E5466" s="10"/>
      <c r="F5466" s="10"/>
      <c r="J5466" s="25"/>
      <c r="K5466" s="25"/>
      <c r="L5466" s="25"/>
      <c r="M5466" s="25"/>
      <c r="N5466" s="25"/>
      <c r="O5466" s="25"/>
    </row>
    <row r="5467" customFormat="false" ht="36.75" hidden="false" customHeight="true" outlineLevel="0" collapsed="false">
      <c r="B5467" s="37" t="str">
        <f aca="false">SUBSTITUTE(SUBSTITUTE(SUBSTITUTE(SUBSTITUTE(SUBSTITUTE(Txt_P1,"{cabinet}",Cab_Nom),"{societe}",IF($K$5446=0,"",INDEX(Clients!$E$2:$E$501,$K$5446)&amp;"")),"{date_effet}",$K$5448),"{hausse}",$K$5449),"{civilite}",$K$5447)</f>
        <v>Nous tenons tout d'abord à vous remercier pour la confiance que vous accordez à ALTHO EXPERTISE. Comme chaque année, et conformément aux dispositions de votre lettre de mission, nous procédons à la révision de nos honoraires.</v>
      </c>
      <c r="C5467" s="37"/>
      <c r="D5467" s="37"/>
      <c r="E5467" s="37"/>
      <c r="F5467" s="37"/>
      <c r="J5467" s="25"/>
      <c r="K5467" s="25"/>
      <c r="L5467" s="25"/>
      <c r="M5467" s="25"/>
      <c r="N5467" s="25"/>
      <c r="O5467" s="25"/>
    </row>
    <row r="5468" customFormat="false" ht="49.5" hidden="false" customHeight="true" outlineLevel="0" collapsed="false">
      <c r="B5468" s="37" t="str">
        <f aca="false">SUBSTITUTE(SUBSTITUTE(SUBSTITUTE(SUBSTITUTE(SUBSTITUTE(Txt_P2,"{cabinet}",Cab_Nom),"{societe}",IF($K$5446=0,"",INDEX(Clients!$E$2:$E$501,$K$5446)&amp;"")),"{date_effet}",$K$5448),"{hausse}",$K$5449),"{civilite}",$K$5447)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468" s="37"/>
      <c r="D5468" s="37"/>
      <c r="E5468" s="37"/>
      <c r="F5468" s="37"/>
      <c r="J5468" s="25"/>
      <c r="K5468" s="25"/>
      <c r="L5468" s="25"/>
      <c r="M5468" s="25"/>
      <c r="N5468" s="25"/>
      <c r="O5468" s="25"/>
    </row>
    <row r="5469" customFormat="false" ht="63" hidden="false" customHeight="true" outlineLevel="0" collapsed="false">
      <c r="B5469" s="37" t="str">
        <f aca="false">SUBSTITUTE(SUBSTITUTE(SUBSTITUTE(SUBSTITUTE(SUBSTITUTE(Txt_P3,"{cabinet}",Cab_Nom),"{societe}",IF($K$5446=0,"",INDEX(Clients!$E$2:$E$501,$K$5446)&amp;"")),"{date_effet}",$K$5448),"{hausse}",$K$5449),"{civilite}",$K$5447)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469" s="37"/>
      <c r="D5469" s="37"/>
      <c r="E5469" s="37"/>
      <c r="F5469" s="37"/>
      <c r="J5469" s="25"/>
      <c r="K5469" s="25"/>
      <c r="L5469" s="25"/>
      <c r="M5469" s="25"/>
      <c r="N5469" s="25"/>
      <c r="O5469" s="25"/>
    </row>
    <row r="5470" customFormat="false" ht="24" hidden="false" customHeight="true" outlineLevel="0" collapsed="false">
      <c r="B5470" s="37" t="str">
        <f aca="false">SUBSTITUTE(SUBSTITUTE(SUBSTITUTE(SUBSTITUTE(SUBSTITUTE(Txt_P4,"{cabinet}",Cab_Nom),"{societe}",IF($K$5446=0,"",INDEX(Clients!$E$2:$E$501,$K$5446)&amp;"")),"{date_effet}",$K$5448),"{hausse}",$K$5449),"{civilite}",$K$5447)</f>
        <v>À compter du 1er janvier 2027, vos honoraires annuels hors taxes évolueront ainsi (évolution globale : ) :</v>
      </c>
      <c r="C5470" s="37"/>
      <c r="D5470" s="37"/>
      <c r="E5470" s="37"/>
      <c r="F5470" s="37"/>
      <c r="J5470" s="25"/>
      <c r="K5470" s="25"/>
      <c r="L5470" s="25"/>
      <c r="M5470" s="25"/>
      <c r="N5470" s="25"/>
      <c r="O5470" s="25"/>
    </row>
    <row r="5471" customFormat="false" ht="3.75" hidden="false" customHeight="true" outlineLevel="0" collapsed="false">
      <c r="B5471" s="10"/>
      <c r="C5471" s="10"/>
      <c r="D5471" s="10"/>
      <c r="E5471" s="10"/>
      <c r="F5471" s="10"/>
      <c r="J5471" s="25"/>
      <c r="K5471" s="25"/>
      <c r="L5471" s="25"/>
      <c r="M5471" s="25"/>
      <c r="N5471" s="25"/>
      <c r="O5471" s="25"/>
    </row>
    <row r="5472" customFormat="false" ht="18" hidden="false" customHeight="true" outlineLevel="0" collapsed="false">
      <c r="B5472" s="38" t="s">
        <v>148</v>
      </c>
      <c r="C5472" s="39" t="s">
        <v>149</v>
      </c>
      <c r="D5472" s="39" t="s">
        <v>150</v>
      </c>
      <c r="E5472" s="39" t="s">
        <v>151</v>
      </c>
      <c r="F5472" s="39" t="s">
        <v>109</v>
      </c>
      <c r="J5472" s="25" t="s">
        <v>152</v>
      </c>
      <c r="K5472" s="25" t="s">
        <v>153</v>
      </c>
      <c r="L5472" s="25" t="s">
        <v>154</v>
      </c>
      <c r="M5472" s="25" t="s">
        <v>155</v>
      </c>
      <c r="N5472" s="25" t="s">
        <v>156</v>
      </c>
      <c r="O5472" s="25" t="s">
        <v>157</v>
      </c>
    </row>
    <row r="5473" customFormat="false" ht="16.5" hidden="false" customHeight="true" outlineLevel="0" collapsed="false">
      <c r="B5473" s="40" t="str">
        <f aca="false">IFERROR(INDEX($J$5473:$J$5476,MATCH($O5473,$N$5473:$N$5476,0)),"")</f>
        <v/>
      </c>
      <c r="C5473" s="41" t="str">
        <f aca="false">IFERROR(INDEX($K$5473:$K$5476,MATCH($O5473,$N$5473:$N$5476,0)),"")</f>
        <v/>
      </c>
      <c r="D5473" s="42" t="str">
        <f aca="false">IF(OR(E5473="",N(C5473)=0),"",E5473/C5473-1)</f>
        <v/>
      </c>
      <c r="E5473" s="41" t="str">
        <f aca="false">IFERROR(INDEX($L$5473:$L$5476,MATCH($O5473,$N$5473:$N$5476,0)),"")</f>
        <v/>
      </c>
      <c r="F5473" s="41" t="str">
        <f aca="false">IF(E5473="","",E5473-C5473)</f>
        <v/>
      </c>
      <c r="J5473" s="25" t="str">
        <f aca="false">Lib_Compta</f>
        <v>Mission comptable (tenue, révision, bilan, liasse fiscale)</v>
      </c>
      <c r="K5473" s="25" t="n">
        <f aca="false">IF($K$5446=0,0,N(INDEX(Clients!$K$2:$K$501,$K$5446)))</f>
        <v>0</v>
      </c>
      <c r="L5473" s="25" t="n">
        <f aca="false">IF($K$5446=0,0,N(INDEX(Clients!$P$2:$P$501,$K$5446)))</f>
        <v>0</v>
      </c>
      <c r="M5473" s="25" t="n">
        <f aca="false">IF(OR(K5473&lt;&gt;0,L5473&lt;&gt;0),1,0)</f>
        <v>0</v>
      </c>
      <c r="N5473" s="25" t="str">
        <f aca="false">IF(M5473=1,SUM($M$5473:M5473),"")</f>
        <v/>
      </c>
      <c r="O5473" s="25" t="n">
        <v>1</v>
      </c>
    </row>
    <row r="5474" customFormat="false" ht="16.5" hidden="false" customHeight="true" outlineLevel="0" collapsed="false">
      <c r="B5474" s="40" t="str">
        <f aca="false">IFERROR(INDEX($J$5473:$J$5476,MATCH($O5474,$N$5473:$N$5476,0)),"")</f>
        <v/>
      </c>
      <c r="C5474" s="41" t="str">
        <f aca="false">IFERROR(INDEX($K$5473:$K$5476,MATCH($O5474,$N$5473:$N$5476,0)),"")</f>
        <v/>
      </c>
      <c r="D5474" s="42" t="str">
        <f aca="false">IF(OR(E5474="",N(C5474)=0),"",E5474/C5474-1)</f>
        <v/>
      </c>
      <c r="E5474" s="41" t="str">
        <f aca="false">IFERROR(INDEX($L$5473:$L$5476,MATCH($O5474,$N$5473:$N$5476,0)),"")</f>
        <v/>
      </c>
      <c r="F5474" s="41" t="str">
        <f aca="false">IF(E5474="","",E5474-C5474)</f>
        <v/>
      </c>
      <c r="J5474" s="25" t="str">
        <f aca="false">Lib_Paye</f>
        <v>Mission sociale (bulletins de paie, DSN, déclarations sociales)</v>
      </c>
      <c r="K5474" s="25" t="n">
        <f aca="false">IF($K$5446=0,0,N(INDEX(Clients!$L$2:$L$501,$K$5446)))</f>
        <v>0</v>
      </c>
      <c r="L5474" s="25" t="n">
        <f aca="false">IF($K$5446=0,0,N(INDEX(Clients!$Q$2:$Q$501,$K$5446)))</f>
        <v>0</v>
      </c>
      <c r="M5474" s="25" t="n">
        <f aca="false">IF(OR(K5474&lt;&gt;0,L5474&lt;&gt;0),1,0)</f>
        <v>0</v>
      </c>
      <c r="N5474" s="25" t="str">
        <f aca="false">IF(M5474=1,SUM($M$5473:M5474),"")</f>
        <v/>
      </c>
      <c r="O5474" s="25" t="n">
        <v>2</v>
      </c>
    </row>
    <row r="5475" customFormat="false" ht="16.5" hidden="false" customHeight="true" outlineLevel="0" collapsed="false">
      <c r="B5475" s="40" t="str">
        <f aca="false">IFERROR(INDEX($J$5473:$J$5476,MATCH($O5475,$N$5473:$N$5476,0)),"")</f>
        <v/>
      </c>
      <c r="C5475" s="41" t="str">
        <f aca="false">IFERROR(INDEX($K$5473:$K$5476,MATCH($O5475,$N$5473:$N$5476,0)),"")</f>
        <v/>
      </c>
      <c r="D5475" s="42" t="str">
        <f aca="false">IF(OR(E5475="",N(C5475)=0),"",E5475/C5475-1)</f>
        <v/>
      </c>
      <c r="E5475" s="41" t="str">
        <f aca="false">IFERROR(INDEX($L$5473:$L$5476,MATCH($O5475,$N$5473:$N$5476,0)),"")</f>
        <v/>
      </c>
      <c r="F5475" s="41" t="str">
        <f aca="false">IF(E5475="","",E5475-C5475)</f>
        <v/>
      </c>
      <c r="J5475" s="25" t="str">
        <f aca="false">Lib_Jur</f>
        <v>Mission juridique (approbation des comptes, secrétariat juridique)</v>
      </c>
      <c r="K5475" s="25" t="n">
        <f aca="false">IF($K$5446=0,0,N(INDEX(Clients!$M$2:$M$501,$K$5446)))</f>
        <v>0</v>
      </c>
      <c r="L5475" s="25" t="n">
        <f aca="false">IF($K$5446=0,0,N(INDEX(Clients!$R$2:$R$501,$K$5446)))</f>
        <v>0</v>
      </c>
      <c r="M5475" s="25" t="n">
        <f aca="false">IF(OR(K5475&lt;&gt;0,L5475&lt;&gt;0),1,0)</f>
        <v>0</v>
      </c>
      <c r="N5475" s="25" t="str">
        <f aca="false">IF(M5475=1,SUM($M$5473:M5475),"")</f>
        <v/>
      </c>
      <c r="O5475" s="25" t="n">
        <v>3</v>
      </c>
    </row>
    <row r="5476" customFormat="false" ht="16.5" hidden="false" customHeight="true" outlineLevel="0" collapsed="false">
      <c r="B5476" s="40" t="str">
        <f aca="false">IFERROR(INDEX($J$5473:$J$5476,MATCH($O5476,$N$5473:$N$5476,0)),"")</f>
        <v/>
      </c>
      <c r="C5476" s="41" t="str">
        <f aca="false">IFERROR(INDEX($K$5473:$K$5476,MATCH($O5476,$N$5473:$N$5476,0)),"")</f>
        <v/>
      </c>
      <c r="D5476" s="42" t="str">
        <f aca="false">IF(OR(E5476="",N(C5476)=0),"",E5476/C5476-1)</f>
        <v/>
      </c>
      <c r="E5476" s="41" t="str">
        <f aca="false">IFERROR(INDEX($L$5473:$L$5476,MATCH($O5476,$N$5473:$N$5476,0)),"")</f>
        <v/>
      </c>
      <c r="F5476" s="41" t="str">
        <f aca="false">IF(E5476="","",E5476-C5476)</f>
        <v/>
      </c>
      <c r="J5476" s="25" t="str">
        <f aca="false">Lib_PA</f>
        <v>Plateforme agréée – facturation électronique</v>
      </c>
      <c r="K5476" s="25" t="n">
        <f aca="false">IF($K$5446=0,0,N(INDEX(Clients!$N$2:$N$501,$K$5446)))</f>
        <v>0</v>
      </c>
      <c r="L5476" s="25" t="n">
        <f aca="false">IF($K$5446=0,0,N(INDEX(Clients!$S$2:$S$501,$K$5446)))</f>
        <v>0</v>
      </c>
      <c r="M5476" s="25" t="n">
        <f aca="false">IF(OR(K5476&lt;&gt;0,L5476&lt;&gt;0),1,0)</f>
        <v>0</v>
      </c>
      <c r="N5476" s="25" t="str">
        <f aca="false">IF(M5476=1,SUM($M$5473:M5476),"")</f>
        <v/>
      </c>
      <c r="O5476" s="25" t="n">
        <v>4</v>
      </c>
    </row>
    <row r="5477" customFormat="false" ht="18" hidden="false" customHeight="true" outlineLevel="0" collapsed="false">
      <c r="B5477" s="43" t="s">
        <v>158</v>
      </c>
      <c r="C5477" s="44" t="n">
        <f aca="false">SUM(K5473:K5476)</f>
        <v>0</v>
      </c>
      <c r="D5477" s="45" t="str">
        <f aca="false">IF(N(C5477)=0,"",E5477/C5477-1)</f>
        <v/>
      </c>
      <c r="E5477" s="44" t="n">
        <f aca="false">SUM(L5473:L5476)</f>
        <v>0</v>
      </c>
      <c r="F5477" s="44" t="n">
        <f aca="false">E5477-C5477</f>
        <v>0</v>
      </c>
    </row>
    <row r="5478" customFormat="false" ht="15" hidden="false" customHeight="false" outlineLevel="0" collapsed="false">
      <c r="B5478" s="46" t="str">
        <f aca="false">IF(N(Nb_Mensualites)=0,"","Soit "&amp;FIXED(E5477/Nb_Mensualites,2)&amp;" € HT par échéance ("&amp;Nb_Mensualites&amp;" échéances), "&amp;FIXED(E5477/Nb_Mensualites*(1+Taux_TVA),2)&amp;" € TTC.")</f>
        <v>Soit 0.00 € HT par échéance (12 échéances), 0.00 € TTC.</v>
      </c>
      <c r="C5478" s="46"/>
      <c r="D5478" s="46"/>
      <c r="E5478" s="46"/>
      <c r="F5478" s="46"/>
    </row>
    <row r="5479" customFormat="false" ht="7.5" hidden="false" customHeight="true" outlineLevel="0" collapsed="false">
      <c r="B5479" s="10"/>
      <c r="C5479" s="10"/>
      <c r="D5479" s="10"/>
      <c r="E5479" s="10"/>
      <c r="F5479" s="10"/>
    </row>
    <row r="5480" customFormat="false" ht="36.75" hidden="false" customHeight="true" outlineLevel="0" collapsed="false">
      <c r="B5480" s="37" t="str">
        <f aca="false">SUBSTITUTE(SUBSTITUTE(SUBSTITUTE(SUBSTITUTE(SUBSTITUTE(Txt_P5,"{cabinet}",Cab_Nom),"{societe}",IF($K$5446=0,"",INDEX(Clients!$E$2:$E$501,$K$5446)&amp;"")),"{date_effet}",$K$5448),"{hausse}",$K$5449),"{civilite}",$K$5447)</f>
        <v>Les autres conditions de votre lettre de mission demeurent inchangées. Les nouveaux montants seront appliqués automatiquement sur vos prochaines factures et échéances de prélèvement.</v>
      </c>
      <c r="C5480" s="37"/>
      <c r="D5480" s="37"/>
      <c r="E5480" s="37"/>
      <c r="F5480" s="37"/>
    </row>
    <row r="5481" customFormat="false" ht="36.75" hidden="false" customHeight="true" outlineLevel="0" collapsed="false">
      <c r="B5481" s="37" t="str">
        <f aca="false">SUBSTITUTE(SUBSTITUTE(SUBSTITUTE(SUBSTITUTE(SUBSTITUTE(Txt_P6,"{cabinet}",Cab_Nom),"{societe}",IF($K$5446=0,"",INDEX(Clients!$E$2:$E$501,$K$5446)&amp;"")),"{date_effet}",$K$5448),"{hausse}",$K$5449),"{civilite}",$K$5447)</f>
        <v>Votre interlocuteur habituel reste à votre entière disposition pour répondre à vos questions et faire le point sur l'évolution de vos besoins.</v>
      </c>
      <c r="C5481" s="37"/>
      <c r="D5481" s="37"/>
      <c r="E5481" s="37"/>
      <c r="F5481" s="37"/>
    </row>
    <row r="5482" customFormat="false" ht="24" hidden="false" customHeight="true" outlineLevel="0" collapsed="false">
      <c r="B5482" s="37" t="str">
        <f aca="false">SUBSTITUTE(SUBSTITUTE(SUBSTITUTE(SUBSTITUTE(SUBSTITUTE(Txt_Politesse,"{cabinet}",Cab_Nom),"{societe}",IF($K$5446=0,"",INDEX(Clients!$E$2:$E$501,$K$5446)&amp;"")),"{date_effet}",$K$5448),"{hausse}",$K$5449),"{civilite}",$K$5447)</f>
        <v>Nous vous prions d'agréer, Madame, Monsieur, l'expression de nos salutations distinguées.</v>
      </c>
      <c r="C5482" s="37"/>
      <c r="D5482" s="37"/>
      <c r="E5482" s="37"/>
      <c r="F5482" s="37"/>
    </row>
    <row r="5483" customFormat="false" ht="15" hidden="false" customHeight="false" outlineLevel="0" collapsed="false">
      <c r="B5483" s="10"/>
      <c r="C5483" s="10"/>
      <c r="D5483" s="10"/>
      <c r="E5483" s="10"/>
      <c r="F5483" s="10"/>
    </row>
    <row r="5484" customFormat="false" ht="15" hidden="false" customHeight="false" outlineLevel="0" collapsed="false">
      <c r="B5484" s="10"/>
      <c r="C5484" s="10"/>
      <c r="D5484" s="34" t="str">
        <f aca="false">Signataire</f>
        <v>Prénom NOM</v>
      </c>
      <c r="E5484" s="34"/>
      <c r="F5484" s="34"/>
    </row>
    <row r="5485" customFormat="false" ht="15" hidden="false" customHeight="false" outlineLevel="0" collapsed="false">
      <c r="B5485" s="10"/>
      <c r="C5485" s="10"/>
      <c r="D5485" s="47" t="str">
        <f aca="false">Signataire_Titre</f>
        <v>Expert-comptable associé</v>
      </c>
      <c r="E5485" s="47"/>
      <c r="F5485" s="47"/>
    </row>
    <row r="5486" customFormat="false" ht="15.75" hidden="false" customHeight="true" outlineLevel="0" collapsed="false">
      <c r="B5486" s="10"/>
      <c r="C5486" s="10"/>
      <c r="D5486" s="10"/>
      <c r="E5486" s="10"/>
      <c r="F5486" s="10"/>
    </row>
    <row r="5487" customFormat="false" ht="15.75" hidden="false" customHeight="true" outlineLevel="0" collapsed="false">
      <c r="B5487" s="10"/>
      <c r="C5487" s="10"/>
      <c r="D5487" s="10"/>
      <c r="E5487" s="10"/>
      <c r="F5487" s="10"/>
    </row>
    <row r="5488" customFormat="false" ht="15.75" hidden="false" customHeight="true" outlineLevel="0" collapsed="false">
      <c r="B5488" s="10"/>
      <c r="C5488" s="10"/>
      <c r="D5488" s="10"/>
      <c r="E5488" s="10"/>
      <c r="F5488" s="10"/>
    </row>
    <row r="5489" customFormat="false" ht="15.75" hidden="false" customHeight="true" outlineLevel="0" collapsed="false">
      <c r="B5489" s="10"/>
      <c r="C5489" s="10"/>
      <c r="D5489" s="10"/>
      <c r="E5489" s="10"/>
      <c r="F5489" s="10"/>
    </row>
    <row r="5490" customFormat="false" ht="24" hidden="false" customHeight="true" outlineLevel="0" collapsed="false">
      <c r="B5490" s="48" t="str">
        <f aca="false">Cab_Mentions</f>
        <v>ALTHO EXPERTISE · SAS au capital de 10 000 € · RCS Pontoise 919 706 325 · TVA FR62919706325 · Société d'expertise comptable inscrite au Tableau de l'Ordre des experts-comptables de Paris Île-de-France</v>
      </c>
      <c r="C5490" s="48"/>
      <c r="D5490" s="48"/>
      <c r="E5490" s="48"/>
      <c r="F5490" s="48"/>
    </row>
    <row r="5491" customFormat="false" ht="15" hidden="false" customHeight="false" outlineLevel="0" collapsed="false">
      <c r="B5491" s="10"/>
      <c r="C5491" s="10"/>
      <c r="D5491" s="10"/>
      <c r="E5491" s="10"/>
      <c r="F5491" s="10"/>
      <c r="J5491" s="25" t="s">
        <v>142</v>
      </c>
      <c r="K5491" s="25" t="n">
        <f aca="false">IFERROR(MATCH(123,Clients!$Z$2:$Z$501,0),0)</f>
        <v>0</v>
      </c>
      <c r="L5491" s="25"/>
      <c r="M5491" s="25"/>
      <c r="N5491" s="25"/>
      <c r="O5491" s="25"/>
    </row>
    <row r="5492" customFormat="false" ht="21.75" hidden="false" customHeight="true" outlineLevel="0" collapsed="false">
      <c r="B5492" s="26" t="str">
        <f aca="false">Cab_Nom</f>
        <v>ALTHO EXPERTISE</v>
      </c>
      <c r="C5492" s="26"/>
      <c r="D5492" s="10"/>
      <c r="E5492" s="27" t="str">
        <f aca="false">IF($K$5491=0,"","Réf. client : "&amp;INDEX(Clients!$A$2:$A$501,$K$5491))</f>
        <v/>
      </c>
      <c r="F5492" s="27"/>
      <c r="J5492" s="25" t="s">
        <v>144</v>
      </c>
      <c r="K5492" s="25" t="str">
        <f aca="false">IF(IF($K$5491=0,"",INDEX(Clients!$B$2:$B$501,$K$5491)&amp;"")="Mme","Madame",IF(IF($K$5491=0,"",INDEX(Clients!$B$2:$B$501,$K$5491)&amp;"")="M.","Monsieur","Madame, Monsieur"))</f>
        <v>Madame, Monsieur</v>
      </c>
      <c r="L5492" s="25"/>
      <c r="M5492" s="25"/>
      <c r="N5492" s="25"/>
      <c r="O5492" s="25"/>
    </row>
    <row r="5493" customFormat="false" ht="15" hidden="false" customHeight="false" outlineLevel="0" collapsed="false">
      <c r="B5493" s="29" t="str">
        <f aca="false">Cab_Adr1</f>
        <v>141 rue Charles de Gaulle</v>
      </c>
      <c r="C5493" s="29"/>
      <c r="D5493" s="10"/>
      <c r="E5493" s="10"/>
      <c r="F5493" s="10"/>
      <c r="J5493" s="25" t="s">
        <v>145</v>
      </c>
      <c r="K5493" s="25" t="str">
        <f aca="false">DAY(Date_Effet)&amp;IF(DAY(Date_Effet)=1,"er","")&amp;" "&amp;INDEX(Liste_Mois,MONTH(Date_Effet))&amp;" "&amp;YEAR(Date_Effet)</f>
        <v>1er janvier 2027</v>
      </c>
      <c r="L5493" s="25"/>
      <c r="M5493" s="25"/>
      <c r="N5493" s="25"/>
      <c r="O5493" s="25"/>
    </row>
    <row r="5494" customFormat="false" ht="15" hidden="false" customHeight="false" outlineLevel="0" collapsed="false">
      <c r="B5494" s="29" t="str">
        <f aca="false">Cab_CPVille</f>
        <v>95130 LE PLESSIS-BOUCHARD</v>
      </c>
      <c r="C5494" s="29"/>
      <c r="D5494" s="10"/>
      <c r="E5494" s="10"/>
      <c r="F5494" s="10"/>
      <c r="J5494" s="25" t="s">
        <v>146</v>
      </c>
      <c r="K5494" s="25" t="str">
        <f aca="false">IF(SUM($K$5518:$K$5521)=0,"",FIXED((SUM($L$5518:$L$5521)/SUM($K$5518:$K$5521)-1)*100,1)&amp;" %")</f>
        <v/>
      </c>
      <c r="L5494" s="25"/>
      <c r="M5494" s="25"/>
      <c r="N5494" s="25"/>
      <c r="O5494" s="25"/>
    </row>
    <row r="5495" customFormat="false" ht="15" hidden="false" customHeight="false" outlineLevel="0" collapsed="false">
      <c r="B5495" s="29" t="str">
        <f aca="false">Cab_Contact</f>
        <v>Tél. 01 34 14 53 45  ·  altho@altho-experts.com  ·  altho-experts.com</v>
      </c>
      <c r="C5495" s="29"/>
      <c r="D5495" s="10"/>
      <c r="E5495" s="10"/>
      <c r="F5495" s="10"/>
      <c r="J5495" s="25"/>
      <c r="K5495" s="25"/>
      <c r="L5495" s="25"/>
      <c r="M5495" s="25"/>
      <c r="N5495" s="25"/>
      <c r="O5495" s="25"/>
    </row>
    <row r="5496" customFormat="false" ht="6" hidden="false" customHeight="true" outlineLevel="0" collapsed="false">
      <c r="B5496" s="32"/>
      <c r="C5496" s="32"/>
      <c r="D5496" s="32"/>
      <c r="E5496" s="32"/>
      <c r="F5496" s="32"/>
      <c r="J5496" s="25"/>
      <c r="K5496" s="25"/>
      <c r="L5496" s="25"/>
      <c r="M5496" s="25"/>
      <c r="N5496" s="25"/>
      <c r="O5496" s="25"/>
    </row>
    <row r="5497" customFormat="false" ht="13.5" hidden="false" customHeight="true" outlineLevel="0" collapsed="false">
      <c r="B5497" s="10"/>
      <c r="C5497" s="10"/>
      <c r="D5497" s="10"/>
      <c r="E5497" s="10"/>
      <c r="F5497" s="10"/>
      <c r="J5497" s="25"/>
      <c r="K5497" s="25"/>
      <c r="L5497" s="25"/>
      <c r="M5497" s="25"/>
      <c r="N5497" s="25"/>
      <c r="O5497" s="25"/>
    </row>
    <row r="5498" customFormat="false" ht="13.5" hidden="false" customHeight="true" outlineLevel="0" collapsed="false">
      <c r="B5498" s="10"/>
      <c r="C5498" s="10"/>
      <c r="D5498" s="10"/>
      <c r="E5498" s="10"/>
      <c r="F5498" s="10"/>
      <c r="J5498" s="25"/>
      <c r="K5498" s="25"/>
      <c r="L5498" s="25"/>
      <c r="M5498" s="25"/>
      <c r="N5498" s="25"/>
      <c r="O5498" s="25"/>
    </row>
    <row r="5499" customFormat="false" ht="13.5" hidden="false" customHeight="true" outlineLevel="0" collapsed="false">
      <c r="B5499" s="10"/>
      <c r="C5499" s="10"/>
      <c r="D5499" s="10"/>
      <c r="E5499" s="10"/>
      <c r="F5499" s="10"/>
      <c r="J5499" s="25"/>
      <c r="K5499" s="25"/>
      <c r="L5499" s="25"/>
      <c r="M5499" s="25"/>
      <c r="N5499" s="25"/>
      <c r="O5499" s="25"/>
    </row>
    <row r="5500" customFormat="false" ht="15" hidden="false" customHeight="true" outlineLevel="0" collapsed="false">
      <c r="B5500" s="10"/>
      <c r="C5500" s="10"/>
      <c r="D5500" s="34" t="str">
        <f aca="false">IF($K$5491=0,"",INDEX(Clients!$E$2:$E$501,$K$5491)&amp;"")</f>
        <v/>
      </c>
      <c r="E5500" s="34"/>
      <c r="F5500" s="34"/>
      <c r="J5500" s="25"/>
      <c r="K5500" s="25"/>
      <c r="L5500" s="25"/>
      <c r="M5500" s="25"/>
      <c r="N5500" s="25"/>
      <c r="O5500" s="25"/>
    </row>
    <row r="5501" customFormat="false" ht="15" hidden="false" customHeight="true" outlineLevel="0" collapsed="false">
      <c r="B5501" s="10"/>
      <c r="C5501" s="10"/>
      <c r="D5501" s="35" t="str">
        <f aca="false">IF(IF($K$5491=0,"",INDEX(Clients!$D$2:$D$501,$K$5491)&amp;"")="","","À l'attention de "&amp;TRIM(IF($K$5491=0,"",INDEX(Clients!$B$2:$B$501,$K$5491)&amp;"")&amp;" "&amp;IF($K$5491=0,"",INDEX(Clients!$C$2:$C$501,$K$5491)&amp;"")&amp;" "&amp;IF($K$5491=0,"",INDEX(Clients!$D$2:$D$501,$K$5491)&amp;"")))</f>
        <v/>
      </c>
      <c r="E5501" s="35"/>
      <c r="F5501" s="35"/>
      <c r="J5501" s="25"/>
      <c r="K5501" s="25"/>
      <c r="L5501" s="25"/>
      <c r="M5501" s="25"/>
      <c r="N5501" s="25"/>
      <c r="O5501" s="25"/>
    </row>
    <row r="5502" customFormat="false" ht="15" hidden="false" customHeight="true" outlineLevel="0" collapsed="false">
      <c r="B5502" s="10"/>
      <c r="C5502" s="10"/>
      <c r="D5502" s="35" t="str">
        <f aca="false">IF($K$5491=0,"",INDEX(Clients!$F$2:$F$501,$K$5491)&amp;"")</f>
        <v/>
      </c>
      <c r="E5502" s="35"/>
      <c r="F5502" s="35"/>
      <c r="J5502" s="25"/>
      <c r="K5502" s="25"/>
      <c r="L5502" s="25"/>
      <c r="M5502" s="25"/>
      <c r="N5502" s="25"/>
      <c r="O5502" s="25"/>
    </row>
    <row r="5503" customFormat="false" ht="15" hidden="false" customHeight="true" outlineLevel="0" collapsed="false">
      <c r="B5503" s="10"/>
      <c r="C5503" s="10"/>
      <c r="D5503" s="35" t="str">
        <f aca="false">IF(IF($K$5491=0,"",INDEX(Clients!$G$2:$G$501,$K$5491)&amp;"")="",TRIM(IF($K$5491=0,"",INDEX(Clients!$H$2:$H$501,$K$5491)&amp;"")&amp;" "&amp;UPPER(IF($K$5491=0,"",INDEX(Clients!$I$2:$I$501,$K$5491)&amp;""))),IF($K$5491=0,"",INDEX(Clients!$G$2:$G$501,$K$5491)&amp;""))</f>
        <v/>
      </c>
      <c r="E5503" s="35"/>
      <c r="F5503" s="35"/>
      <c r="J5503" s="25"/>
      <c r="K5503" s="25"/>
      <c r="L5503" s="25"/>
      <c r="M5503" s="25"/>
      <c r="N5503" s="25"/>
      <c r="O5503" s="25"/>
    </row>
    <row r="5504" customFormat="false" ht="15" hidden="false" customHeight="true" outlineLevel="0" collapsed="false">
      <c r="B5504" s="10"/>
      <c r="C5504" s="10"/>
      <c r="D5504" s="35" t="str">
        <f aca="false">IF(IF($K$5491=0,"",INDEX(Clients!$G$2:$G$501,$K$5491)&amp;"")="","",TRIM(IF($K$5491=0,"",INDEX(Clients!$H$2:$H$501,$K$5491)&amp;"")&amp;" "&amp;UPPER(IF($K$5491=0,"",INDEX(Clients!$I$2:$I$501,$K$5491)&amp;""))))</f>
        <v/>
      </c>
      <c r="E5504" s="35"/>
      <c r="F5504" s="35"/>
      <c r="J5504" s="25"/>
      <c r="K5504" s="25"/>
      <c r="L5504" s="25"/>
      <c r="M5504" s="25"/>
      <c r="N5504" s="25"/>
      <c r="O5504" s="25"/>
    </row>
    <row r="5505" customFormat="false" ht="25.5" hidden="false" customHeight="true" outlineLevel="0" collapsed="false">
      <c r="B5505" s="10"/>
      <c r="C5505" s="10"/>
      <c r="D5505" s="10"/>
      <c r="E5505" s="10"/>
      <c r="F5505" s="10"/>
      <c r="J5505" s="25"/>
      <c r="K5505" s="25"/>
      <c r="L5505" s="25"/>
      <c r="M5505" s="25"/>
      <c r="N5505" s="25"/>
      <c r="O5505" s="25"/>
    </row>
    <row r="5506" customFormat="false" ht="15" hidden="false" customHeight="false" outlineLevel="0" collapsed="false">
      <c r="B5506" s="10"/>
      <c r="C5506" s="10"/>
      <c r="D5506" s="36" t="str">
        <f aca="false">Cab_Ville&amp;", le "&amp;DAY(Date_Courrier)&amp;IF(DAY(Date_Courrier)=1,"er","")&amp;" "&amp;INDEX(Liste_Mois,MONTH(Date_Courrier))&amp;" "&amp;YEAR(Date_Courrier)</f>
        <v>Le Plessis-Bouchard, le 22 septembre 2026</v>
      </c>
      <c r="E5506" s="36"/>
      <c r="F5506" s="36"/>
      <c r="J5506" s="25"/>
      <c r="K5506" s="25"/>
      <c r="L5506" s="25"/>
      <c r="M5506" s="25"/>
      <c r="N5506" s="25"/>
      <c r="O5506" s="25"/>
    </row>
    <row r="5507" customFormat="false" ht="19.5" hidden="false" customHeight="true" outlineLevel="0" collapsed="false">
      <c r="B5507" s="10"/>
      <c r="C5507" s="10"/>
      <c r="D5507" s="10"/>
      <c r="E5507" s="10"/>
      <c r="F5507" s="10"/>
      <c r="J5507" s="25"/>
      <c r="K5507" s="25"/>
      <c r="L5507" s="25"/>
      <c r="M5507" s="25"/>
      <c r="N5507" s="25"/>
      <c r="O5507" s="25"/>
    </row>
    <row r="5508" customFormat="false" ht="15" hidden="false" customHeight="false" outlineLevel="0" collapsed="false">
      <c r="B5508" s="34" t="str">
        <f aca="false">SUBSTITUTE(SUBSTITUTE(SUBSTITUTE(SUBSTITUTE(SUBSTITUTE(Txt_Objet,"{cabinet}",Cab_Nom),"{societe}",IF($K$5491=0,"",INDEX(Clients!$E$2:$E$501,$K$5491)&amp;"")),"{date_effet}",$K$5493),"{hausse}",$K$5494),"{civilite}",$K$5492)</f>
        <v>Objet : révision de nos honoraires au 1er janvier 2027</v>
      </c>
      <c r="C5508" s="34"/>
      <c r="D5508" s="34"/>
      <c r="E5508" s="34"/>
      <c r="F5508" s="34"/>
      <c r="J5508" s="25"/>
      <c r="K5508" s="25"/>
      <c r="L5508" s="25"/>
      <c r="M5508" s="25"/>
      <c r="N5508" s="25"/>
      <c r="O5508" s="25"/>
    </row>
    <row r="5509" customFormat="false" ht="13.5" hidden="false" customHeight="true" outlineLevel="0" collapsed="false">
      <c r="B5509" s="10"/>
      <c r="C5509" s="10"/>
      <c r="D5509" s="10"/>
      <c r="E5509" s="10"/>
      <c r="F5509" s="10"/>
      <c r="J5509" s="25"/>
      <c r="K5509" s="25"/>
      <c r="L5509" s="25"/>
      <c r="M5509" s="25"/>
      <c r="N5509" s="25"/>
      <c r="O5509" s="25"/>
    </row>
    <row r="5510" customFormat="false" ht="15" hidden="false" customHeight="false" outlineLevel="0" collapsed="false">
      <c r="B5510" s="10" t="str">
        <f aca="false">$K$5492&amp;","</f>
        <v>Madame, Monsieur,</v>
      </c>
      <c r="C5510" s="10"/>
      <c r="D5510" s="10"/>
      <c r="E5510" s="10"/>
      <c r="F5510" s="10"/>
      <c r="J5510" s="25"/>
      <c r="K5510" s="25"/>
      <c r="L5510" s="25"/>
      <c r="M5510" s="25"/>
      <c r="N5510" s="25"/>
      <c r="O5510" s="25"/>
    </row>
    <row r="5511" customFormat="false" ht="6" hidden="false" customHeight="true" outlineLevel="0" collapsed="false">
      <c r="B5511" s="10"/>
      <c r="C5511" s="10"/>
      <c r="D5511" s="10"/>
      <c r="E5511" s="10"/>
      <c r="F5511" s="10"/>
      <c r="J5511" s="25"/>
      <c r="K5511" s="25"/>
      <c r="L5511" s="25"/>
      <c r="M5511" s="25"/>
      <c r="N5511" s="25"/>
      <c r="O5511" s="25"/>
    </row>
    <row r="5512" customFormat="false" ht="36.75" hidden="false" customHeight="true" outlineLevel="0" collapsed="false">
      <c r="B5512" s="37" t="str">
        <f aca="false">SUBSTITUTE(SUBSTITUTE(SUBSTITUTE(SUBSTITUTE(SUBSTITUTE(Txt_P1,"{cabinet}",Cab_Nom),"{societe}",IF($K$5491=0,"",INDEX(Clients!$E$2:$E$501,$K$5491)&amp;"")),"{date_effet}",$K$5493),"{hausse}",$K$5494),"{civilite}",$K$5492)</f>
        <v>Nous tenons tout d'abord à vous remercier pour la confiance que vous accordez à ALTHO EXPERTISE. Comme chaque année, et conformément aux dispositions de votre lettre de mission, nous procédons à la révision de nos honoraires.</v>
      </c>
      <c r="C5512" s="37"/>
      <c r="D5512" s="37"/>
      <c r="E5512" s="37"/>
      <c r="F5512" s="37"/>
      <c r="J5512" s="25"/>
      <c r="K5512" s="25"/>
      <c r="L5512" s="25"/>
      <c r="M5512" s="25"/>
      <c r="N5512" s="25"/>
      <c r="O5512" s="25"/>
    </row>
    <row r="5513" customFormat="false" ht="49.5" hidden="false" customHeight="true" outlineLevel="0" collapsed="false">
      <c r="B5513" s="37" t="str">
        <f aca="false">SUBSTITUTE(SUBSTITUTE(SUBSTITUTE(SUBSTITUTE(SUBSTITUTE(Txt_P2,"{cabinet}",Cab_Nom),"{societe}",IF($K$5491=0,"",INDEX(Clients!$E$2:$E$501,$K$5491)&amp;"")),"{date_effet}",$K$5493),"{hausse}",$K$5494),"{civilite}",$K$5492)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513" s="37"/>
      <c r="D5513" s="37"/>
      <c r="E5513" s="37"/>
      <c r="F5513" s="37"/>
      <c r="J5513" s="25"/>
      <c r="K5513" s="25"/>
      <c r="L5513" s="25"/>
      <c r="M5513" s="25"/>
      <c r="N5513" s="25"/>
      <c r="O5513" s="25"/>
    </row>
    <row r="5514" customFormat="false" ht="63" hidden="false" customHeight="true" outlineLevel="0" collapsed="false">
      <c r="B5514" s="37" t="str">
        <f aca="false">SUBSTITUTE(SUBSTITUTE(SUBSTITUTE(SUBSTITUTE(SUBSTITUTE(Txt_P3,"{cabinet}",Cab_Nom),"{societe}",IF($K$5491=0,"",INDEX(Clients!$E$2:$E$501,$K$5491)&amp;"")),"{date_effet}",$K$5493),"{hausse}",$K$5494),"{civilite}",$K$5492)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514" s="37"/>
      <c r="D5514" s="37"/>
      <c r="E5514" s="37"/>
      <c r="F5514" s="37"/>
      <c r="J5514" s="25"/>
      <c r="K5514" s="25"/>
      <c r="L5514" s="25"/>
      <c r="M5514" s="25"/>
      <c r="N5514" s="25"/>
      <c r="O5514" s="25"/>
    </row>
    <row r="5515" customFormat="false" ht="24" hidden="false" customHeight="true" outlineLevel="0" collapsed="false">
      <c r="B5515" s="37" t="str">
        <f aca="false">SUBSTITUTE(SUBSTITUTE(SUBSTITUTE(SUBSTITUTE(SUBSTITUTE(Txt_P4,"{cabinet}",Cab_Nom),"{societe}",IF($K$5491=0,"",INDEX(Clients!$E$2:$E$501,$K$5491)&amp;"")),"{date_effet}",$K$5493),"{hausse}",$K$5494),"{civilite}",$K$5492)</f>
        <v>À compter du 1er janvier 2027, vos honoraires annuels hors taxes évolueront ainsi (évolution globale : ) :</v>
      </c>
      <c r="C5515" s="37"/>
      <c r="D5515" s="37"/>
      <c r="E5515" s="37"/>
      <c r="F5515" s="37"/>
      <c r="J5515" s="25"/>
      <c r="K5515" s="25"/>
      <c r="L5515" s="25"/>
      <c r="M5515" s="25"/>
      <c r="N5515" s="25"/>
      <c r="O5515" s="25"/>
    </row>
    <row r="5516" customFormat="false" ht="3.75" hidden="false" customHeight="true" outlineLevel="0" collapsed="false">
      <c r="B5516" s="10"/>
      <c r="C5516" s="10"/>
      <c r="D5516" s="10"/>
      <c r="E5516" s="10"/>
      <c r="F5516" s="10"/>
      <c r="J5516" s="25"/>
      <c r="K5516" s="25"/>
      <c r="L5516" s="25"/>
      <c r="M5516" s="25"/>
      <c r="N5516" s="25"/>
      <c r="O5516" s="25"/>
    </row>
    <row r="5517" customFormat="false" ht="18" hidden="false" customHeight="true" outlineLevel="0" collapsed="false">
      <c r="B5517" s="38" t="s">
        <v>148</v>
      </c>
      <c r="C5517" s="39" t="s">
        <v>149</v>
      </c>
      <c r="D5517" s="39" t="s">
        <v>150</v>
      </c>
      <c r="E5517" s="39" t="s">
        <v>151</v>
      </c>
      <c r="F5517" s="39" t="s">
        <v>109</v>
      </c>
      <c r="J5517" s="25" t="s">
        <v>152</v>
      </c>
      <c r="K5517" s="25" t="s">
        <v>153</v>
      </c>
      <c r="L5517" s="25" t="s">
        <v>154</v>
      </c>
      <c r="M5517" s="25" t="s">
        <v>155</v>
      </c>
      <c r="N5517" s="25" t="s">
        <v>156</v>
      </c>
      <c r="O5517" s="25" t="s">
        <v>157</v>
      </c>
    </row>
    <row r="5518" customFormat="false" ht="16.5" hidden="false" customHeight="true" outlineLevel="0" collapsed="false">
      <c r="B5518" s="40" t="str">
        <f aca="false">IFERROR(INDEX($J$5518:$J$5521,MATCH($O5518,$N$5518:$N$5521,0)),"")</f>
        <v/>
      </c>
      <c r="C5518" s="41" t="str">
        <f aca="false">IFERROR(INDEX($K$5518:$K$5521,MATCH($O5518,$N$5518:$N$5521,0)),"")</f>
        <v/>
      </c>
      <c r="D5518" s="42" t="str">
        <f aca="false">IF(OR(E5518="",N(C5518)=0),"",E5518/C5518-1)</f>
        <v/>
      </c>
      <c r="E5518" s="41" t="str">
        <f aca="false">IFERROR(INDEX($L$5518:$L$5521,MATCH($O5518,$N$5518:$N$5521,0)),"")</f>
        <v/>
      </c>
      <c r="F5518" s="41" t="str">
        <f aca="false">IF(E5518="","",E5518-C5518)</f>
        <v/>
      </c>
      <c r="J5518" s="25" t="str">
        <f aca="false">Lib_Compta</f>
        <v>Mission comptable (tenue, révision, bilan, liasse fiscale)</v>
      </c>
      <c r="K5518" s="25" t="n">
        <f aca="false">IF($K$5491=0,0,N(INDEX(Clients!$K$2:$K$501,$K$5491)))</f>
        <v>0</v>
      </c>
      <c r="L5518" s="25" t="n">
        <f aca="false">IF($K$5491=0,0,N(INDEX(Clients!$P$2:$P$501,$K$5491)))</f>
        <v>0</v>
      </c>
      <c r="M5518" s="25" t="n">
        <f aca="false">IF(OR(K5518&lt;&gt;0,L5518&lt;&gt;0),1,0)</f>
        <v>0</v>
      </c>
      <c r="N5518" s="25" t="str">
        <f aca="false">IF(M5518=1,SUM($M$5518:M5518),"")</f>
        <v/>
      </c>
      <c r="O5518" s="25" t="n">
        <v>1</v>
      </c>
    </row>
    <row r="5519" customFormat="false" ht="16.5" hidden="false" customHeight="true" outlineLevel="0" collapsed="false">
      <c r="B5519" s="40" t="str">
        <f aca="false">IFERROR(INDEX($J$5518:$J$5521,MATCH($O5519,$N$5518:$N$5521,0)),"")</f>
        <v/>
      </c>
      <c r="C5519" s="41" t="str">
        <f aca="false">IFERROR(INDEX($K$5518:$K$5521,MATCH($O5519,$N$5518:$N$5521,0)),"")</f>
        <v/>
      </c>
      <c r="D5519" s="42" t="str">
        <f aca="false">IF(OR(E5519="",N(C5519)=0),"",E5519/C5519-1)</f>
        <v/>
      </c>
      <c r="E5519" s="41" t="str">
        <f aca="false">IFERROR(INDEX($L$5518:$L$5521,MATCH($O5519,$N$5518:$N$5521,0)),"")</f>
        <v/>
      </c>
      <c r="F5519" s="41" t="str">
        <f aca="false">IF(E5519="","",E5519-C5519)</f>
        <v/>
      </c>
      <c r="J5519" s="25" t="str">
        <f aca="false">Lib_Paye</f>
        <v>Mission sociale (bulletins de paie, DSN, déclarations sociales)</v>
      </c>
      <c r="K5519" s="25" t="n">
        <f aca="false">IF($K$5491=0,0,N(INDEX(Clients!$L$2:$L$501,$K$5491)))</f>
        <v>0</v>
      </c>
      <c r="L5519" s="25" t="n">
        <f aca="false">IF($K$5491=0,0,N(INDEX(Clients!$Q$2:$Q$501,$K$5491)))</f>
        <v>0</v>
      </c>
      <c r="M5519" s="25" t="n">
        <f aca="false">IF(OR(K5519&lt;&gt;0,L5519&lt;&gt;0),1,0)</f>
        <v>0</v>
      </c>
      <c r="N5519" s="25" t="str">
        <f aca="false">IF(M5519=1,SUM($M$5518:M5519),"")</f>
        <v/>
      </c>
      <c r="O5519" s="25" t="n">
        <v>2</v>
      </c>
    </row>
    <row r="5520" customFormat="false" ht="16.5" hidden="false" customHeight="true" outlineLevel="0" collapsed="false">
      <c r="B5520" s="40" t="str">
        <f aca="false">IFERROR(INDEX($J$5518:$J$5521,MATCH($O5520,$N$5518:$N$5521,0)),"")</f>
        <v/>
      </c>
      <c r="C5520" s="41" t="str">
        <f aca="false">IFERROR(INDEX($K$5518:$K$5521,MATCH($O5520,$N$5518:$N$5521,0)),"")</f>
        <v/>
      </c>
      <c r="D5520" s="42" t="str">
        <f aca="false">IF(OR(E5520="",N(C5520)=0),"",E5520/C5520-1)</f>
        <v/>
      </c>
      <c r="E5520" s="41" t="str">
        <f aca="false">IFERROR(INDEX($L$5518:$L$5521,MATCH($O5520,$N$5518:$N$5521,0)),"")</f>
        <v/>
      </c>
      <c r="F5520" s="41" t="str">
        <f aca="false">IF(E5520="","",E5520-C5520)</f>
        <v/>
      </c>
      <c r="J5520" s="25" t="str">
        <f aca="false">Lib_Jur</f>
        <v>Mission juridique (approbation des comptes, secrétariat juridique)</v>
      </c>
      <c r="K5520" s="25" t="n">
        <f aca="false">IF($K$5491=0,0,N(INDEX(Clients!$M$2:$M$501,$K$5491)))</f>
        <v>0</v>
      </c>
      <c r="L5520" s="25" t="n">
        <f aca="false">IF($K$5491=0,0,N(INDEX(Clients!$R$2:$R$501,$K$5491)))</f>
        <v>0</v>
      </c>
      <c r="M5520" s="25" t="n">
        <f aca="false">IF(OR(K5520&lt;&gt;0,L5520&lt;&gt;0),1,0)</f>
        <v>0</v>
      </c>
      <c r="N5520" s="25" t="str">
        <f aca="false">IF(M5520=1,SUM($M$5518:M5520),"")</f>
        <v/>
      </c>
      <c r="O5520" s="25" t="n">
        <v>3</v>
      </c>
    </row>
    <row r="5521" customFormat="false" ht="16.5" hidden="false" customHeight="true" outlineLevel="0" collapsed="false">
      <c r="B5521" s="40" t="str">
        <f aca="false">IFERROR(INDEX($J$5518:$J$5521,MATCH($O5521,$N$5518:$N$5521,0)),"")</f>
        <v/>
      </c>
      <c r="C5521" s="41" t="str">
        <f aca="false">IFERROR(INDEX($K$5518:$K$5521,MATCH($O5521,$N$5518:$N$5521,0)),"")</f>
        <v/>
      </c>
      <c r="D5521" s="42" t="str">
        <f aca="false">IF(OR(E5521="",N(C5521)=0),"",E5521/C5521-1)</f>
        <v/>
      </c>
      <c r="E5521" s="41" t="str">
        <f aca="false">IFERROR(INDEX($L$5518:$L$5521,MATCH($O5521,$N$5518:$N$5521,0)),"")</f>
        <v/>
      </c>
      <c r="F5521" s="41" t="str">
        <f aca="false">IF(E5521="","",E5521-C5521)</f>
        <v/>
      </c>
      <c r="J5521" s="25" t="str">
        <f aca="false">Lib_PA</f>
        <v>Plateforme agréée – facturation électronique</v>
      </c>
      <c r="K5521" s="25" t="n">
        <f aca="false">IF($K$5491=0,0,N(INDEX(Clients!$N$2:$N$501,$K$5491)))</f>
        <v>0</v>
      </c>
      <c r="L5521" s="25" t="n">
        <f aca="false">IF($K$5491=0,0,N(INDEX(Clients!$S$2:$S$501,$K$5491)))</f>
        <v>0</v>
      </c>
      <c r="M5521" s="25" t="n">
        <f aca="false">IF(OR(K5521&lt;&gt;0,L5521&lt;&gt;0),1,0)</f>
        <v>0</v>
      </c>
      <c r="N5521" s="25" t="str">
        <f aca="false">IF(M5521=1,SUM($M$5518:M5521),"")</f>
        <v/>
      </c>
      <c r="O5521" s="25" t="n">
        <v>4</v>
      </c>
    </row>
    <row r="5522" customFormat="false" ht="18" hidden="false" customHeight="true" outlineLevel="0" collapsed="false">
      <c r="B5522" s="43" t="s">
        <v>158</v>
      </c>
      <c r="C5522" s="44" t="n">
        <f aca="false">SUM(K5518:K5521)</f>
        <v>0</v>
      </c>
      <c r="D5522" s="45" t="str">
        <f aca="false">IF(N(C5522)=0,"",E5522/C5522-1)</f>
        <v/>
      </c>
      <c r="E5522" s="44" t="n">
        <f aca="false">SUM(L5518:L5521)</f>
        <v>0</v>
      </c>
      <c r="F5522" s="44" t="n">
        <f aca="false">E5522-C5522</f>
        <v>0</v>
      </c>
    </row>
    <row r="5523" customFormat="false" ht="15" hidden="false" customHeight="false" outlineLevel="0" collapsed="false">
      <c r="B5523" s="46" t="str">
        <f aca="false">IF(N(Nb_Mensualites)=0,"","Soit "&amp;FIXED(E5522/Nb_Mensualites,2)&amp;" € HT par échéance ("&amp;Nb_Mensualites&amp;" échéances), "&amp;FIXED(E5522/Nb_Mensualites*(1+Taux_TVA),2)&amp;" € TTC.")</f>
        <v>Soit 0.00 € HT par échéance (12 échéances), 0.00 € TTC.</v>
      </c>
      <c r="C5523" s="46"/>
      <c r="D5523" s="46"/>
      <c r="E5523" s="46"/>
      <c r="F5523" s="46"/>
    </row>
    <row r="5524" customFormat="false" ht="7.5" hidden="false" customHeight="true" outlineLevel="0" collapsed="false">
      <c r="B5524" s="10"/>
      <c r="C5524" s="10"/>
      <c r="D5524" s="10"/>
      <c r="E5524" s="10"/>
      <c r="F5524" s="10"/>
    </row>
    <row r="5525" customFormat="false" ht="36.75" hidden="false" customHeight="true" outlineLevel="0" collapsed="false">
      <c r="B5525" s="37" t="str">
        <f aca="false">SUBSTITUTE(SUBSTITUTE(SUBSTITUTE(SUBSTITUTE(SUBSTITUTE(Txt_P5,"{cabinet}",Cab_Nom),"{societe}",IF($K$5491=0,"",INDEX(Clients!$E$2:$E$501,$K$5491)&amp;"")),"{date_effet}",$K$5493),"{hausse}",$K$5494),"{civilite}",$K$5492)</f>
        <v>Les autres conditions de votre lettre de mission demeurent inchangées. Les nouveaux montants seront appliqués automatiquement sur vos prochaines factures et échéances de prélèvement.</v>
      </c>
      <c r="C5525" s="37"/>
      <c r="D5525" s="37"/>
      <c r="E5525" s="37"/>
      <c r="F5525" s="37"/>
    </row>
    <row r="5526" customFormat="false" ht="36.75" hidden="false" customHeight="true" outlineLevel="0" collapsed="false">
      <c r="B5526" s="37" t="str">
        <f aca="false">SUBSTITUTE(SUBSTITUTE(SUBSTITUTE(SUBSTITUTE(SUBSTITUTE(Txt_P6,"{cabinet}",Cab_Nom),"{societe}",IF($K$5491=0,"",INDEX(Clients!$E$2:$E$501,$K$5491)&amp;"")),"{date_effet}",$K$5493),"{hausse}",$K$5494),"{civilite}",$K$5492)</f>
        <v>Votre interlocuteur habituel reste à votre entière disposition pour répondre à vos questions et faire le point sur l'évolution de vos besoins.</v>
      </c>
      <c r="C5526" s="37"/>
      <c r="D5526" s="37"/>
      <c r="E5526" s="37"/>
      <c r="F5526" s="37"/>
    </row>
    <row r="5527" customFormat="false" ht="24" hidden="false" customHeight="true" outlineLevel="0" collapsed="false">
      <c r="B5527" s="37" t="str">
        <f aca="false">SUBSTITUTE(SUBSTITUTE(SUBSTITUTE(SUBSTITUTE(SUBSTITUTE(Txt_Politesse,"{cabinet}",Cab_Nom),"{societe}",IF($K$5491=0,"",INDEX(Clients!$E$2:$E$501,$K$5491)&amp;"")),"{date_effet}",$K$5493),"{hausse}",$K$5494),"{civilite}",$K$5492)</f>
        <v>Nous vous prions d'agréer, Madame, Monsieur, l'expression de nos salutations distinguées.</v>
      </c>
      <c r="C5527" s="37"/>
      <c r="D5527" s="37"/>
      <c r="E5527" s="37"/>
      <c r="F5527" s="37"/>
    </row>
    <row r="5528" customFormat="false" ht="15" hidden="false" customHeight="false" outlineLevel="0" collapsed="false">
      <c r="B5528" s="10"/>
      <c r="C5528" s="10"/>
      <c r="D5528" s="10"/>
      <c r="E5528" s="10"/>
      <c r="F5528" s="10"/>
    </row>
    <row r="5529" customFormat="false" ht="15" hidden="false" customHeight="false" outlineLevel="0" collapsed="false">
      <c r="B5529" s="10"/>
      <c r="C5529" s="10"/>
      <c r="D5529" s="34" t="str">
        <f aca="false">Signataire</f>
        <v>Prénom NOM</v>
      </c>
      <c r="E5529" s="34"/>
      <c r="F5529" s="34"/>
    </row>
    <row r="5530" customFormat="false" ht="15" hidden="false" customHeight="false" outlineLevel="0" collapsed="false">
      <c r="B5530" s="10"/>
      <c r="C5530" s="10"/>
      <c r="D5530" s="47" t="str">
        <f aca="false">Signataire_Titre</f>
        <v>Expert-comptable associé</v>
      </c>
      <c r="E5530" s="47"/>
      <c r="F5530" s="47"/>
    </row>
    <row r="5531" customFormat="false" ht="15.75" hidden="false" customHeight="true" outlineLevel="0" collapsed="false">
      <c r="B5531" s="10"/>
      <c r="C5531" s="10"/>
      <c r="D5531" s="10"/>
      <c r="E5531" s="10"/>
      <c r="F5531" s="10"/>
    </row>
    <row r="5532" customFormat="false" ht="15.75" hidden="false" customHeight="true" outlineLevel="0" collapsed="false">
      <c r="B5532" s="10"/>
      <c r="C5532" s="10"/>
      <c r="D5532" s="10"/>
      <c r="E5532" s="10"/>
      <c r="F5532" s="10"/>
    </row>
    <row r="5533" customFormat="false" ht="15.75" hidden="false" customHeight="true" outlineLevel="0" collapsed="false">
      <c r="B5533" s="10"/>
      <c r="C5533" s="10"/>
      <c r="D5533" s="10"/>
      <c r="E5533" s="10"/>
      <c r="F5533" s="10"/>
    </row>
    <row r="5534" customFormat="false" ht="15.75" hidden="false" customHeight="true" outlineLevel="0" collapsed="false">
      <c r="B5534" s="10"/>
      <c r="C5534" s="10"/>
      <c r="D5534" s="10"/>
      <c r="E5534" s="10"/>
      <c r="F5534" s="10"/>
    </row>
    <row r="5535" customFormat="false" ht="24" hidden="false" customHeight="true" outlineLevel="0" collapsed="false">
      <c r="B5535" s="48" t="str">
        <f aca="false">Cab_Mentions</f>
        <v>ALTHO EXPERTISE · SAS au capital de 10 000 € · RCS Pontoise 919 706 325 · TVA FR62919706325 · Société d'expertise comptable inscrite au Tableau de l'Ordre des experts-comptables de Paris Île-de-France</v>
      </c>
      <c r="C5535" s="48"/>
      <c r="D5535" s="48"/>
      <c r="E5535" s="48"/>
      <c r="F5535" s="48"/>
    </row>
    <row r="5536" customFormat="false" ht="15" hidden="false" customHeight="false" outlineLevel="0" collapsed="false">
      <c r="B5536" s="10"/>
      <c r="C5536" s="10"/>
      <c r="D5536" s="10"/>
      <c r="E5536" s="10"/>
      <c r="F5536" s="10"/>
      <c r="J5536" s="25" t="s">
        <v>142</v>
      </c>
      <c r="K5536" s="25" t="n">
        <f aca="false">IFERROR(MATCH(124,Clients!$Z$2:$Z$501,0),0)</f>
        <v>0</v>
      </c>
      <c r="L5536" s="25"/>
      <c r="M5536" s="25"/>
      <c r="N5536" s="25"/>
      <c r="O5536" s="25"/>
    </row>
    <row r="5537" customFormat="false" ht="21.75" hidden="false" customHeight="true" outlineLevel="0" collapsed="false">
      <c r="B5537" s="26" t="str">
        <f aca="false">Cab_Nom</f>
        <v>ALTHO EXPERTISE</v>
      </c>
      <c r="C5537" s="26"/>
      <c r="D5537" s="10"/>
      <c r="E5537" s="27" t="str">
        <f aca="false">IF($K$5536=0,"","Réf. client : "&amp;INDEX(Clients!$A$2:$A$501,$K$5536))</f>
        <v/>
      </c>
      <c r="F5537" s="27"/>
      <c r="J5537" s="25" t="s">
        <v>144</v>
      </c>
      <c r="K5537" s="25" t="str">
        <f aca="false">IF(IF($K$5536=0,"",INDEX(Clients!$B$2:$B$501,$K$5536)&amp;"")="Mme","Madame",IF(IF($K$5536=0,"",INDEX(Clients!$B$2:$B$501,$K$5536)&amp;"")="M.","Monsieur","Madame, Monsieur"))</f>
        <v>Madame, Monsieur</v>
      </c>
      <c r="L5537" s="25"/>
      <c r="M5537" s="25"/>
      <c r="N5537" s="25"/>
      <c r="O5537" s="25"/>
    </row>
    <row r="5538" customFormat="false" ht="15" hidden="false" customHeight="false" outlineLevel="0" collapsed="false">
      <c r="B5538" s="29" t="str">
        <f aca="false">Cab_Adr1</f>
        <v>141 rue Charles de Gaulle</v>
      </c>
      <c r="C5538" s="29"/>
      <c r="D5538" s="10"/>
      <c r="E5538" s="10"/>
      <c r="F5538" s="10"/>
      <c r="J5538" s="25" t="s">
        <v>145</v>
      </c>
      <c r="K5538" s="25" t="str">
        <f aca="false">DAY(Date_Effet)&amp;IF(DAY(Date_Effet)=1,"er","")&amp;" "&amp;INDEX(Liste_Mois,MONTH(Date_Effet))&amp;" "&amp;YEAR(Date_Effet)</f>
        <v>1er janvier 2027</v>
      </c>
      <c r="L5538" s="25"/>
      <c r="M5538" s="25"/>
      <c r="N5538" s="25"/>
      <c r="O5538" s="25"/>
    </row>
    <row r="5539" customFormat="false" ht="15" hidden="false" customHeight="false" outlineLevel="0" collapsed="false">
      <c r="B5539" s="29" t="str">
        <f aca="false">Cab_CPVille</f>
        <v>95130 LE PLESSIS-BOUCHARD</v>
      </c>
      <c r="C5539" s="29"/>
      <c r="D5539" s="10"/>
      <c r="E5539" s="10"/>
      <c r="F5539" s="10"/>
      <c r="J5539" s="25" t="s">
        <v>146</v>
      </c>
      <c r="K5539" s="25" t="str">
        <f aca="false">IF(SUM($K$5563:$K$5566)=0,"",FIXED((SUM($L$5563:$L$5566)/SUM($K$5563:$K$5566)-1)*100,1)&amp;" %")</f>
        <v/>
      </c>
      <c r="L5539" s="25"/>
      <c r="M5539" s="25"/>
      <c r="N5539" s="25"/>
      <c r="O5539" s="25"/>
    </row>
    <row r="5540" customFormat="false" ht="15" hidden="false" customHeight="false" outlineLevel="0" collapsed="false">
      <c r="B5540" s="29" t="str">
        <f aca="false">Cab_Contact</f>
        <v>Tél. 01 34 14 53 45  ·  altho@altho-experts.com  ·  altho-experts.com</v>
      </c>
      <c r="C5540" s="29"/>
      <c r="D5540" s="10"/>
      <c r="E5540" s="10"/>
      <c r="F5540" s="10"/>
      <c r="J5540" s="25"/>
      <c r="K5540" s="25"/>
      <c r="L5540" s="25"/>
      <c r="M5540" s="25"/>
      <c r="N5540" s="25"/>
      <c r="O5540" s="25"/>
    </row>
    <row r="5541" customFormat="false" ht="6" hidden="false" customHeight="true" outlineLevel="0" collapsed="false">
      <c r="B5541" s="32"/>
      <c r="C5541" s="32"/>
      <c r="D5541" s="32"/>
      <c r="E5541" s="32"/>
      <c r="F5541" s="32"/>
      <c r="J5541" s="25"/>
      <c r="K5541" s="25"/>
      <c r="L5541" s="25"/>
      <c r="M5541" s="25"/>
      <c r="N5541" s="25"/>
      <c r="O5541" s="25"/>
    </row>
    <row r="5542" customFormat="false" ht="13.5" hidden="false" customHeight="true" outlineLevel="0" collapsed="false">
      <c r="B5542" s="10"/>
      <c r="C5542" s="10"/>
      <c r="D5542" s="10"/>
      <c r="E5542" s="10"/>
      <c r="F5542" s="10"/>
      <c r="J5542" s="25"/>
      <c r="K5542" s="25"/>
      <c r="L5542" s="25"/>
      <c r="M5542" s="25"/>
      <c r="N5542" s="25"/>
      <c r="O5542" s="25"/>
    </row>
    <row r="5543" customFormat="false" ht="13.5" hidden="false" customHeight="true" outlineLevel="0" collapsed="false">
      <c r="B5543" s="10"/>
      <c r="C5543" s="10"/>
      <c r="D5543" s="10"/>
      <c r="E5543" s="10"/>
      <c r="F5543" s="10"/>
      <c r="J5543" s="25"/>
      <c r="K5543" s="25"/>
      <c r="L5543" s="25"/>
      <c r="M5543" s="25"/>
      <c r="N5543" s="25"/>
      <c r="O5543" s="25"/>
    </row>
    <row r="5544" customFormat="false" ht="13.5" hidden="false" customHeight="true" outlineLevel="0" collapsed="false">
      <c r="B5544" s="10"/>
      <c r="C5544" s="10"/>
      <c r="D5544" s="10"/>
      <c r="E5544" s="10"/>
      <c r="F5544" s="10"/>
      <c r="J5544" s="25"/>
      <c r="K5544" s="25"/>
      <c r="L5544" s="25"/>
      <c r="M5544" s="25"/>
      <c r="N5544" s="25"/>
      <c r="O5544" s="25"/>
    </row>
    <row r="5545" customFormat="false" ht="15" hidden="false" customHeight="true" outlineLevel="0" collapsed="false">
      <c r="B5545" s="10"/>
      <c r="C5545" s="10"/>
      <c r="D5545" s="34" t="str">
        <f aca="false">IF($K$5536=0,"",INDEX(Clients!$E$2:$E$501,$K$5536)&amp;"")</f>
        <v/>
      </c>
      <c r="E5545" s="34"/>
      <c r="F5545" s="34"/>
      <c r="J5545" s="25"/>
      <c r="K5545" s="25"/>
      <c r="L5545" s="25"/>
      <c r="M5545" s="25"/>
      <c r="N5545" s="25"/>
      <c r="O5545" s="25"/>
    </row>
    <row r="5546" customFormat="false" ht="15" hidden="false" customHeight="true" outlineLevel="0" collapsed="false">
      <c r="B5546" s="10"/>
      <c r="C5546" s="10"/>
      <c r="D5546" s="35" t="str">
        <f aca="false">IF(IF($K$5536=0,"",INDEX(Clients!$D$2:$D$501,$K$5536)&amp;"")="","","À l'attention de "&amp;TRIM(IF($K$5536=0,"",INDEX(Clients!$B$2:$B$501,$K$5536)&amp;"")&amp;" "&amp;IF($K$5536=0,"",INDEX(Clients!$C$2:$C$501,$K$5536)&amp;"")&amp;" "&amp;IF($K$5536=0,"",INDEX(Clients!$D$2:$D$501,$K$5536)&amp;"")))</f>
        <v/>
      </c>
      <c r="E5546" s="35"/>
      <c r="F5546" s="35"/>
      <c r="J5546" s="25"/>
      <c r="K5546" s="25"/>
      <c r="L5546" s="25"/>
      <c r="M5546" s="25"/>
      <c r="N5546" s="25"/>
      <c r="O5546" s="25"/>
    </row>
    <row r="5547" customFormat="false" ht="15" hidden="false" customHeight="true" outlineLevel="0" collapsed="false">
      <c r="B5547" s="10"/>
      <c r="C5547" s="10"/>
      <c r="D5547" s="35" t="str">
        <f aca="false">IF($K$5536=0,"",INDEX(Clients!$F$2:$F$501,$K$5536)&amp;"")</f>
        <v/>
      </c>
      <c r="E5547" s="35"/>
      <c r="F5547" s="35"/>
      <c r="J5547" s="25"/>
      <c r="K5547" s="25"/>
      <c r="L5547" s="25"/>
      <c r="M5547" s="25"/>
      <c r="N5547" s="25"/>
      <c r="O5547" s="25"/>
    </row>
    <row r="5548" customFormat="false" ht="15" hidden="false" customHeight="true" outlineLevel="0" collapsed="false">
      <c r="B5548" s="10"/>
      <c r="C5548" s="10"/>
      <c r="D5548" s="35" t="str">
        <f aca="false">IF(IF($K$5536=0,"",INDEX(Clients!$G$2:$G$501,$K$5536)&amp;"")="",TRIM(IF($K$5536=0,"",INDEX(Clients!$H$2:$H$501,$K$5536)&amp;"")&amp;" "&amp;UPPER(IF($K$5536=0,"",INDEX(Clients!$I$2:$I$501,$K$5536)&amp;""))),IF($K$5536=0,"",INDEX(Clients!$G$2:$G$501,$K$5536)&amp;""))</f>
        <v/>
      </c>
      <c r="E5548" s="35"/>
      <c r="F5548" s="35"/>
      <c r="J5548" s="25"/>
      <c r="K5548" s="25"/>
      <c r="L5548" s="25"/>
      <c r="M5548" s="25"/>
      <c r="N5548" s="25"/>
      <c r="O5548" s="25"/>
    </row>
    <row r="5549" customFormat="false" ht="15" hidden="false" customHeight="true" outlineLevel="0" collapsed="false">
      <c r="B5549" s="10"/>
      <c r="C5549" s="10"/>
      <c r="D5549" s="35" t="str">
        <f aca="false">IF(IF($K$5536=0,"",INDEX(Clients!$G$2:$G$501,$K$5536)&amp;"")="","",TRIM(IF($K$5536=0,"",INDEX(Clients!$H$2:$H$501,$K$5536)&amp;"")&amp;" "&amp;UPPER(IF($K$5536=0,"",INDEX(Clients!$I$2:$I$501,$K$5536)&amp;""))))</f>
        <v/>
      </c>
      <c r="E5549" s="35"/>
      <c r="F5549" s="35"/>
      <c r="J5549" s="25"/>
      <c r="K5549" s="25"/>
      <c r="L5549" s="25"/>
      <c r="M5549" s="25"/>
      <c r="N5549" s="25"/>
      <c r="O5549" s="25"/>
    </row>
    <row r="5550" customFormat="false" ht="25.5" hidden="false" customHeight="true" outlineLevel="0" collapsed="false">
      <c r="B5550" s="10"/>
      <c r="C5550" s="10"/>
      <c r="D5550" s="10"/>
      <c r="E5550" s="10"/>
      <c r="F5550" s="10"/>
      <c r="J5550" s="25"/>
      <c r="K5550" s="25"/>
      <c r="L5550" s="25"/>
      <c r="M5550" s="25"/>
      <c r="N5550" s="25"/>
      <c r="O5550" s="25"/>
    </row>
    <row r="5551" customFormat="false" ht="15" hidden="false" customHeight="false" outlineLevel="0" collapsed="false">
      <c r="B5551" s="10"/>
      <c r="C5551" s="10"/>
      <c r="D5551" s="36" t="str">
        <f aca="false">Cab_Ville&amp;", le "&amp;DAY(Date_Courrier)&amp;IF(DAY(Date_Courrier)=1,"er","")&amp;" "&amp;INDEX(Liste_Mois,MONTH(Date_Courrier))&amp;" "&amp;YEAR(Date_Courrier)</f>
        <v>Le Plessis-Bouchard, le 22 septembre 2026</v>
      </c>
      <c r="E5551" s="36"/>
      <c r="F5551" s="36"/>
      <c r="J5551" s="25"/>
      <c r="K5551" s="25"/>
      <c r="L5551" s="25"/>
      <c r="M5551" s="25"/>
      <c r="N5551" s="25"/>
      <c r="O5551" s="25"/>
    </row>
    <row r="5552" customFormat="false" ht="19.5" hidden="false" customHeight="true" outlineLevel="0" collapsed="false">
      <c r="B5552" s="10"/>
      <c r="C5552" s="10"/>
      <c r="D5552" s="10"/>
      <c r="E5552" s="10"/>
      <c r="F5552" s="10"/>
      <c r="J5552" s="25"/>
      <c r="K5552" s="25"/>
      <c r="L5552" s="25"/>
      <c r="M5552" s="25"/>
      <c r="N5552" s="25"/>
      <c r="O5552" s="25"/>
    </row>
    <row r="5553" customFormat="false" ht="15" hidden="false" customHeight="false" outlineLevel="0" collapsed="false">
      <c r="B5553" s="34" t="str">
        <f aca="false">SUBSTITUTE(SUBSTITUTE(SUBSTITUTE(SUBSTITUTE(SUBSTITUTE(Txt_Objet,"{cabinet}",Cab_Nom),"{societe}",IF($K$5536=0,"",INDEX(Clients!$E$2:$E$501,$K$5536)&amp;"")),"{date_effet}",$K$5538),"{hausse}",$K$5539),"{civilite}",$K$5537)</f>
        <v>Objet : révision de nos honoraires au 1er janvier 2027</v>
      </c>
      <c r="C5553" s="34"/>
      <c r="D5553" s="34"/>
      <c r="E5553" s="34"/>
      <c r="F5553" s="34"/>
      <c r="J5553" s="25"/>
      <c r="K5553" s="25"/>
      <c r="L5553" s="25"/>
      <c r="M5553" s="25"/>
      <c r="N5553" s="25"/>
      <c r="O5553" s="25"/>
    </row>
    <row r="5554" customFormat="false" ht="13.5" hidden="false" customHeight="true" outlineLevel="0" collapsed="false">
      <c r="B5554" s="10"/>
      <c r="C5554" s="10"/>
      <c r="D5554" s="10"/>
      <c r="E5554" s="10"/>
      <c r="F5554" s="10"/>
      <c r="J5554" s="25"/>
      <c r="K5554" s="25"/>
      <c r="L5554" s="25"/>
      <c r="M5554" s="25"/>
      <c r="N5554" s="25"/>
      <c r="O5554" s="25"/>
    </row>
    <row r="5555" customFormat="false" ht="15" hidden="false" customHeight="false" outlineLevel="0" collapsed="false">
      <c r="B5555" s="10" t="str">
        <f aca="false">$K$5537&amp;","</f>
        <v>Madame, Monsieur,</v>
      </c>
      <c r="C5555" s="10"/>
      <c r="D5555" s="10"/>
      <c r="E5555" s="10"/>
      <c r="F5555" s="10"/>
      <c r="J5555" s="25"/>
      <c r="K5555" s="25"/>
      <c r="L5555" s="25"/>
      <c r="M5555" s="25"/>
      <c r="N5555" s="25"/>
      <c r="O5555" s="25"/>
    </row>
    <row r="5556" customFormat="false" ht="6" hidden="false" customHeight="true" outlineLevel="0" collapsed="false">
      <c r="B5556" s="10"/>
      <c r="C5556" s="10"/>
      <c r="D5556" s="10"/>
      <c r="E5556" s="10"/>
      <c r="F5556" s="10"/>
      <c r="J5556" s="25"/>
      <c r="K5556" s="25"/>
      <c r="L5556" s="25"/>
      <c r="M5556" s="25"/>
      <c r="N5556" s="25"/>
      <c r="O5556" s="25"/>
    </row>
    <row r="5557" customFormat="false" ht="36.75" hidden="false" customHeight="true" outlineLevel="0" collapsed="false">
      <c r="B5557" s="37" t="str">
        <f aca="false">SUBSTITUTE(SUBSTITUTE(SUBSTITUTE(SUBSTITUTE(SUBSTITUTE(Txt_P1,"{cabinet}",Cab_Nom),"{societe}",IF($K$5536=0,"",INDEX(Clients!$E$2:$E$501,$K$5536)&amp;"")),"{date_effet}",$K$5538),"{hausse}",$K$5539),"{civilite}",$K$5537)</f>
        <v>Nous tenons tout d'abord à vous remercier pour la confiance que vous accordez à ALTHO EXPERTISE. Comme chaque année, et conformément aux dispositions de votre lettre de mission, nous procédons à la révision de nos honoraires.</v>
      </c>
      <c r="C5557" s="37"/>
      <c r="D5557" s="37"/>
      <c r="E5557" s="37"/>
      <c r="F5557" s="37"/>
      <c r="J5557" s="25"/>
      <c r="K5557" s="25"/>
      <c r="L5557" s="25"/>
      <c r="M5557" s="25"/>
      <c r="N5557" s="25"/>
      <c r="O5557" s="25"/>
    </row>
    <row r="5558" customFormat="false" ht="49.5" hidden="false" customHeight="true" outlineLevel="0" collapsed="false">
      <c r="B5558" s="37" t="str">
        <f aca="false">SUBSTITUTE(SUBSTITUTE(SUBSTITUTE(SUBSTITUTE(SUBSTITUTE(Txt_P2,"{cabinet}",Cab_Nom),"{societe}",IF($K$5536=0,"",INDEX(Clients!$E$2:$E$501,$K$5536)&amp;"")),"{date_effet}",$K$5538),"{hausse}",$K$5539),"{civilite}",$K$5537)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558" s="37"/>
      <c r="D5558" s="37"/>
      <c r="E5558" s="37"/>
      <c r="F5558" s="37"/>
      <c r="J5558" s="25"/>
      <c r="K5558" s="25"/>
      <c r="L5558" s="25"/>
      <c r="M5558" s="25"/>
      <c r="N5558" s="25"/>
      <c r="O5558" s="25"/>
    </row>
    <row r="5559" customFormat="false" ht="63" hidden="false" customHeight="true" outlineLevel="0" collapsed="false">
      <c r="B5559" s="37" t="str">
        <f aca="false">SUBSTITUTE(SUBSTITUTE(SUBSTITUTE(SUBSTITUTE(SUBSTITUTE(Txt_P3,"{cabinet}",Cab_Nom),"{societe}",IF($K$5536=0,"",INDEX(Clients!$E$2:$E$501,$K$5536)&amp;"")),"{date_effet}",$K$5538),"{hausse}",$K$5539),"{civilite}",$K$5537)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559" s="37"/>
      <c r="D5559" s="37"/>
      <c r="E5559" s="37"/>
      <c r="F5559" s="37"/>
      <c r="J5559" s="25"/>
      <c r="K5559" s="25"/>
      <c r="L5559" s="25"/>
      <c r="M5559" s="25"/>
      <c r="N5559" s="25"/>
      <c r="O5559" s="25"/>
    </row>
    <row r="5560" customFormat="false" ht="24" hidden="false" customHeight="true" outlineLevel="0" collapsed="false">
      <c r="B5560" s="37" t="str">
        <f aca="false">SUBSTITUTE(SUBSTITUTE(SUBSTITUTE(SUBSTITUTE(SUBSTITUTE(Txt_P4,"{cabinet}",Cab_Nom),"{societe}",IF($K$5536=0,"",INDEX(Clients!$E$2:$E$501,$K$5536)&amp;"")),"{date_effet}",$K$5538),"{hausse}",$K$5539),"{civilite}",$K$5537)</f>
        <v>À compter du 1er janvier 2027, vos honoraires annuels hors taxes évolueront ainsi (évolution globale : ) :</v>
      </c>
      <c r="C5560" s="37"/>
      <c r="D5560" s="37"/>
      <c r="E5560" s="37"/>
      <c r="F5560" s="37"/>
      <c r="J5560" s="25"/>
      <c r="K5560" s="25"/>
      <c r="L5560" s="25"/>
      <c r="M5560" s="25"/>
      <c r="N5560" s="25"/>
      <c r="O5560" s="25"/>
    </row>
    <row r="5561" customFormat="false" ht="3.75" hidden="false" customHeight="true" outlineLevel="0" collapsed="false">
      <c r="B5561" s="10"/>
      <c r="C5561" s="10"/>
      <c r="D5561" s="10"/>
      <c r="E5561" s="10"/>
      <c r="F5561" s="10"/>
      <c r="J5561" s="25"/>
      <c r="K5561" s="25"/>
      <c r="L5561" s="25"/>
      <c r="M5561" s="25"/>
      <c r="N5561" s="25"/>
      <c r="O5561" s="25"/>
    </row>
    <row r="5562" customFormat="false" ht="18" hidden="false" customHeight="true" outlineLevel="0" collapsed="false">
      <c r="B5562" s="38" t="s">
        <v>148</v>
      </c>
      <c r="C5562" s="39" t="s">
        <v>149</v>
      </c>
      <c r="D5562" s="39" t="s">
        <v>150</v>
      </c>
      <c r="E5562" s="39" t="s">
        <v>151</v>
      </c>
      <c r="F5562" s="39" t="s">
        <v>109</v>
      </c>
      <c r="J5562" s="25" t="s">
        <v>152</v>
      </c>
      <c r="K5562" s="25" t="s">
        <v>153</v>
      </c>
      <c r="L5562" s="25" t="s">
        <v>154</v>
      </c>
      <c r="M5562" s="25" t="s">
        <v>155</v>
      </c>
      <c r="N5562" s="25" t="s">
        <v>156</v>
      </c>
      <c r="O5562" s="25" t="s">
        <v>157</v>
      </c>
    </row>
    <row r="5563" customFormat="false" ht="16.5" hidden="false" customHeight="true" outlineLevel="0" collapsed="false">
      <c r="B5563" s="40" t="str">
        <f aca="false">IFERROR(INDEX($J$5563:$J$5566,MATCH($O5563,$N$5563:$N$5566,0)),"")</f>
        <v/>
      </c>
      <c r="C5563" s="41" t="str">
        <f aca="false">IFERROR(INDEX($K$5563:$K$5566,MATCH($O5563,$N$5563:$N$5566,0)),"")</f>
        <v/>
      </c>
      <c r="D5563" s="42" t="str">
        <f aca="false">IF(OR(E5563="",N(C5563)=0),"",E5563/C5563-1)</f>
        <v/>
      </c>
      <c r="E5563" s="41" t="str">
        <f aca="false">IFERROR(INDEX($L$5563:$L$5566,MATCH($O5563,$N$5563:$N$5566,0)),"")</f>
        <v/>
      </c>
      <c r="F5563" s="41" t="str">
        <f aca="false">IF(E5563="","",E5563-C5563)</f>
        <v/>
      </c>
      <c r="J5563" s="25" t="str">
        <f aca="false">Lib_Compta</f>
        <v>Mission comptable (tenue, révision, bilan, liasse fiscale)</v>
      </c>
      <c r="K5563" s="25" t="n">
        <f aca="false">IF($K$5536=0,0,N(INDEX(Clients!$K$2:$K$501,$K$5536)))</f>
        <v>0</v>
      </c>
      <c r="L5563" s="25" t="n">
        <f aca="false">IF($K$5536=0,0,N(INDEX(Clients!$P$2:$P$501,$K$5536)))</f>
        <v>0</v>
      </c>
      <c r="M5563" s="25" t="n">
        <f aca="false">IF(OR(K5563&lt;&gt;0,L5563&lt;&gt;0),1,0)</f>
        <v>0</v>
      </c>
      <c r="N5563" s="25" t="str">
        <f aca="false">IF(M5563=1,SUM($M$5563:M5563),"")</f>
        <v/>
      </c>
      <c r="O5563" s="25" t="n">
        <v>1</v>
      </c>
    </row>
    <row r="5564" customFormat="false" ht="16.5" hidden="false" customHeight="true" outlineLevel="0" collapsed="false">
      <c r="B5564" s="40" t="str">
        <f aca="false">IFERROR(INDEX($J$5563:$J$5566,MATCH($O5564,$N$5563:$N$5566,0)),"")</f>
        <v/>
      </c>
      <c r="C5564" s="41" t="str">
        <f aca="false">IFERROR(INDEX($K$5563:$K$5566,MATCH($O5564,$N$5563:$N$5566,0)),"")</f>
        <v/>
      </c>
      <c r="D5564" s="42" t="str">
        <f aca="false">IF(OR(E5564="",N(C5564)=0),"",E5564/C5564-1)</f>
        <v/>
      </c>
      <c r="E5564" s="41" t="str">
        <f aca="false">IFERROR(INDEX($L$5563:$L$5566,MATCH($O5564,$N$5563:$N$5566,0)),"")</f>
        <v/>
      </c>
      <c r="F5564" s="41" t="str">
        <f aca="false">IF(E5564="","",E5564-C5564)</f>
        <v/>
      </c>
      <c r="J5564" s="25" t="str">
        <f aca="false">Lib_Paye</f>
        <v>Mission sociale (bulletins de paie, DSN, déclarations sociales)</v>
      </c>
      <c r="K5564" s="25" t="n">
        <f aca="false">IF($K$5536=0,0,N(INDEX(Clients!$L$2:$L$501,$K$5536)))</f>
        <v>0</v>
      </c>
      <c r="L5564" s="25" t="n">
        <f aca="false">IF($K$5536=0,0,N(INDEX(Clients!$Q$2:$Q$501,$K$5536)))</f>
        <v>0</v>
      </c>
      <c r="M5564" s="25" t="n">
        <f aca="false">IF(OR(K5564&lt;&gt;0,L5564&lt;&gt;0),1,0)</f>
        <v>0</v>
      </c>
      <c r="N5564" s="25" t="str">
        <f aca="false">IF(M5564=1,SUM($M$5563:M5564),"")</f>
        <v/>
      </c>
      <c r="O5564" s="25" t="n">
        <v>2</v>
      </c>
    </row>
    <row r="5565" customFormat="false" ht="16.5" hidden="false" customHeight="true" outlineLevel="0" collapsed="false">
      <c r="B5565" s="40" t="str">
        <f aca="false">IFERROR(INDEX($J$5563:$J$5566,MATCH($O5565,$N$5563:$N$5566,0)),"")</f>
        <v/>
      </c>
      <c r="C5565" s="41" t="str">
        <f aca="false">IFERROR(INDEX($K$5563:$K$5566,MATCH($O5565,$N$5563:$N$5566,0)),"")</f>
        <v/>
      </c>
      <c r="D5565" s="42" t="str">
        <f aca="false">IF(OR(E5565="",N(C5565)=0),"",E5565/C5565-1)</f>
        <v/>
      </c>
      <c r="E5565" s="41" t="str">
        <f aca="false">IFERROR(INDEX($L$5563:$L$5566,MATCH($O5565,$N$5563:$N$5566,0)),"")</f>
        <v/>
      </c>
      <c r="F5565" s="41" t="str">
        <f aca="false">IF(E5565="","",E5565-C5565)</f>
        <v/>
      </c>
      <c r="J5565" s="25" t="str">
        <f aca="false">Lib_Jur</f>
        <v>Mission juridique (approbation des comptes, secrétariat juridique)</v>
      </c>
      <c r="K5565" s="25" t="n">
        <f aca="false">IF($K$5536=0,0,N(INDEX(Clients!$M$2:$M$501,$K$5536)))</f>
        <v>0</v>
      </c>
      <c r="L5565" s="25" t="n">
        <f aca="false">IF($K$5536=0,0,N(INDEX(Clients!$R$2:$R$501,$K$5536)))</f>
        <v>0</v>
      </c>
      <c r="M5565" s="25" t="n">
        <f aca="false">IF(OR(K5565&lt;&gt;0,L5565&lt;&gt;0),1,0)</f>
        <v>0</v>
      </c>
      <c r="N5565" s="25" t="str">
        <f aca="false">IF(M5565=1,SUM($M$5563:M5565),"")</f>
        <v/>
      </c>
      <c r="O5565" s="25" t="n">
        <v>3</v>
      </c>
    </row>
    <row r="5566" customFormat="false" ht="16.5" hidden="false" customHeight="true" outlineLevel="0" collapsed="false">
      <c r="B5566" s="40" t="str">
        <f aca="false">IFERROR(INDEX($J$5563:$J$5566,MATCH($O5566,$N$5563:$N$5566,0)),"")</f>
        <v/>
      </c>
      <c r="C5566" s="41" t="str">
        <f aca="false">IFERROR(INDEX($K$5563:$K$5566,MATCH($O5566,$N$5563:$N$5566,0)),"")</f>
        <v/>
      </c>
      <c r="D5566" s="42" t="str">
        <f aca="false">IF(OR(E5566="",N(C5566)=0),"",E5566/C5566-1)</f>
        <v/>
      </c>
      <c r="E5566" s="41" t="str">
        <f aca="false">IFERROR(INDEX($L$5563:$L$5566,MATCH($O5566,$N$5563:$N$5566,0)),"")</f>
        <v/>
      </c>
      <c r="F5566" s="41" t="str">
        <f aca="false">IF(E5566="","",E5566-C5566)</f>
        <v/>
      </c>
      <c r="J5566" s="25" t="str">
        <f aca="false">Lib_PA</f>
        <v>Plateforme agréée – facturation électronique</v>
      </c>
      <c r="K5566" s="25" t="n">
        <f aca="false">IF($K$5536=0,0,N(INDEX(Clients!$N$2:$N$501,$K$5536)))</f>
        <v>0</v>
      </c>
      <c r="L5566" s="25" t="n">
        <f aca="false">IF($K$5536=0,0,N(INDEX(Clients!$S$2:$S$501,$K$5536)))</f>
        <v>0</v>
      </c>
      <c r="M5566" s="25" t="n">
        <f aca="false">IF(OR(K5566&lt;&gt;0,L5566&lt;&gt;0),1,0)</f>
        <v>0</v>
      </c>
      <c r="N5566" s="25" t="str">
        <f aca="false">IF(M5566=1,SUM($M$5563:M5566),"")</f>
        <v/>
      </c>
      <c r="O5566" s="25" t="n">
        <v>4</v>
      </c>
    </row>
    <row r="5567" customFormat="false" ht="18" hidden="false" customHeight="true" outlineLevel="0" collapsed="false">
      <c r="B5567" s="43" t="s">
        <v>158</v>
      </c>
      <c r="C5567" s="44" t="n">
        <f aca="false">SUM(K5563:K5566)</f>
        <v>0</v>
      </c>
      <c r="D5567" s="45" t="str">
        <f aca="false">IF(N(C5567)=0,"",E5567/C5567-1)</f>
        <v/>
      </c>
      <c r="E5567" s="44" t="n">
        <f aca="false">SUM(L5563:L5566)</f>
        <v>0</v>
      </c>
      <c r="F5567" s="44" t="n">
        <f aca="false">E5567-C5567</f>
        <v>0</v>
      </c>
    </row>
    <row r="5568" customFormat="false" ht="15" hidden="false" customHeight="false" outlineLevel="0" collapsed="false">
      <c r="B5568" s="46" t="str">
        <f aca="false">IF(N(Nb_Mensualites)=0,"","Soit "&amp;FIXED(E5567/Nb_Mensualites,2)&amp;" € HT par échéance ("&amp;Nb_Mensualites&amp;" échéances), "&amp;FIXED(E5567/Nb_Mensualites*(1+Taux_TVA),2)&amp;" € TTC.")</f>
        <v>Soit 0.00 € HT par échéance (12 échéances), 0.00 € TTC.</v>
      </c>
      <c r="C5568" s="46"/>
      <c r="D5568" s="46"/>
      <c r="E5568" s="46"/>
      <c r="F5568" s="46"/>
    </row>
    <row r="5569" customFormat="false" ht="7.5" hidden="false" customHeight="true" outlineLevel="0" collapsed="false">
      <c r="B5569" s="10"/>
      <c r="C5569" s="10"/>
      <c r="D5569" s="10"/>
      <c r="E5569" s="10"/>
      <c r="F5569" s="10"/>
    </row>
    <row r="5570" customFormat="false" ht="36.75" hidden="false" customHeight="true" outlineLevel="0" collapsed="false">
      <c r="B5570" s="37" t="str">
        <f aca="false">SUBSTITUTE(SUBSTITUTE(SUBSTITUTE(SUBSTITUTE(SUBSTITUTE(Txt_P5,"{cabinet}",Cab_Nom),"{societe}",IF($K$5536=0,"",INDEX(Clients!$E$2:$E$501,$K$5536)&amp;"")),"{date_effet}",$K$5538),"{hausse}",$K$5539),"{civilite}",$K$5537)</f>
        <v>Les autres conditions de votre lettre de mission demeurent inchangées. Les nouveaux montants seront appliqués automatiquement sur vos prochaines factures et échéances de prélèvement.</v>
      </c>
      <c r="C5570" s="37"/>
      <c r="D5570" s="37"/>
      <c r="E5570" s="37"/>
      <c r="F5570" s="37"/>
    </row>
    <row r="5571" customFormat="false" ht="36.75" hidden="false" customHeight="true" outlineLevel="0" collapsed="false">
      <c r="B5571" s="37" t="str">
        <f aca="false">SUBSTITUTE(SUBSTITUTE(SUBSTITUTE(SUBSTITUTE(SUBSTITUTE(Txt_P6,"{cabinet}",Cab_Nom),"{societe}",IF($K$5536=0,"",INDEX(Clients!$E$2:$E$501,$K$5536)&amp;"")),"{date_effet}",$K$5538),"{hausse}",$K$5539),"{civilite}",$K$5537)</f>
        <v>Votre interlocuteur habituel reste à votre entière disposition pour répondre à vos questions et faire le point sur l'évolution de vos besoins.</v>
      </c>
      <c r="C5571" s="37"/>
      <c r="D5571" s="37"/>
      <c r="E5571" s="37"/>
      <c r="F5571" s="37"/>
    </row>
    <row r="5572" customFormat="false" ht="24" hidden="false" customHeight="true" outlineLevel="0" collapsed="false">
      <c r="B5572" s="37" t="str">
        <f aca="false">SUBSTITUTE(SUBSTITUTE(SUBSTITUTE(SUBSTITUTE(SUBSTITUTE(Txt_Politesse,"{cabinet}",Cab_Nom),"{societe}",IF($K$5536=0,"",INDEX(Clients!$E$2:$E$501,$K$5536)&amp;"")),"{date_effet}",$K$5538),"{hausse}",$K$5539),"{civilite}",$K$5537)</f>
        <v>Nous vous prions d'agréer, Madame, Monsieur, l'expression de nos salutations distinguées.</v>
      </c>
      <c r="C5572" s="37"/>
      <c r="D5572" s="37"/>
      <c r="E5572" s="37"/>
      <c r="F5572" s="37"/>
    </row>
    <row r="5573" customFormat="false" ht="15" hidden="false" customHeight="false" outlineLevel="0" collapsed="false">
      <c r="B5573" s="10"/>
      <c r="C5573" s="10"/>
      <c r="D5573" s="10"/>
      <c r="E5573" s="10"/>
      <c r="F5573" s="10"/>
    </row>
    <row r="5574" customFormat="false" ht="15" hidden="false" customHeight="false" outlineLevel="0" collapsed="false">
      <c r="B5574" s="10"/>
      <c r="C5574" s="10"/>
      <c r="D5574" s="34" t="str">
        <f aca="false">Signataire</f>
        <v>Prénom NOM</v>
      </c>
      <c r="E5574" s="34"/>
      <c r="F5574" s="34"/>
    </row>
    <row r="5575" customFormat="false" ht="15" hidden="false" customHeight="false" outlineLevel="0" collapsed="false">
      <c r="B5575" s="10"/>
      <c r="C5575" s="10"/>
      <c r="D5575" s="47" t="str">
        <f aca="false">Signataire_Titre</f>
        <v>Expert-comptable associé</v>
      </c>
      <c r="E5575" s="47"/>
      <c r="F5575" s="47"/>
    </row>
    <row r="5576" customFormat="false" ht="15.75" hidden="false" customHeight="true" outlineLevel="0" collapsed="false">
      <c r="B5576" s="10"/>
      <c r="C5576" s="10"/>
      <c r="D5576" s="10"/>
      <c r="E5576" s="10"/>
      <c r="F5576" s="10"/>
    </row>
    <row r="5577" customFormat="false" ht="15.75" hidden="false" customHeight="true" outlineLevel="0" collapsed="false">
      <c r="B5577" s="10"/>
      <c r="C5577" s="10"/>
      <c r="D5577" s="10"/>
      <c r="E5577" s="10"/>
      <c r="F5577" s="10"/>
    </row>
    <row r="5578" customFormat="false" ht="15.75" hidden="false" customHeight="true" outlineLevel="0" collapsed="false">
      <c r="B5578" s="10"/>
      <c r="C5578" s="10"/>
      <c r="D5578" s="10"/>
      <c r="E5578" s="10"/>
      <c r="F5578" s="10"/>
    </row>
    <row r="5579" customFormat="false" ht="15.75" hidden="false" customHeight="true" outlineLevel="0" collapsed="false">
      <c r="B5579" s="10"/>
      <c r="C5579" s="10"/>
      <c r="D5579" s="10"/>
      <c r="E5579" s="10"/>
      <c r="F5579" s="10"/>
    </row>
    <row r="5580" customFormat="false" ht="24" hidden="false" customHeight="true" outlineLevel="0" collapsed="false">
      <c r="B5580" s="48" t="str">
        <f aca="false">Cab_Mentions</f>
        <v>ALTHO EXPERTISE · SAS au capital de 10 000 € · RCS Pontoise 919 706 325 · TVA FR62919706325 · Société d'expertise comptable inscrite au Tableau de l'Ordre des experts-comptables de Paris Île-de-France</v>
      </c>
      <c r="C5580" s="48"/>
      <c r="D5580" s="48"/>
      <c r="E5580" s="48"/>
      <c r="F5580" s="48"/>
    </row>
    <row r="5581" customFormat="false" ht="15" hidden="false" customHeight="false" outlineLevel="0" collapsed="false">
      <c r="B5581" s="10"/>
      <c r="C5581" s="10"/>
      <c r="D5581" s="10"/>
      <c r="E5581" s="10"/>
      <c r="F5581" s="10"/>
      <c r="J5581" s="25" t="s">
        <v>142</v>
      </c>
      <c r="K5581" s="25" t="n">
        <f aca="false">IFERROR(MATCH(125,Clients!$Z$2:$Z$501,0),0)</f>
        <v>0</v>
      </c>
      <c r="L5581" s="25"/>
      <c r="M5581" s="25"/>
      <c r="N5581" s="25"/>
      <c r="O5581" s="25"/>
    </row>
    <row r="5582" customFormat="false" ht="21.75" hidden="false" customHeight="true" outlineLevel="0" collapsed="false">
      <c r="B5582" s="26" t="str">
        <f aca="false">Cab_Nom</f>
        <v>ALTHO EXPERTISE</v>
      </c>
      <c r="C5582" s="26"/>
      <c r="D5582" s="10"/>
      <c r="E5582" s="27" t="str">
        <f aca="false">IF($K$5581=0,"","Réf. client : "&amp;INDEX(Clients!$A$2:$A$501,$K$5581))</f>
        <v/>
      </c>
      <c r="F5582" s="27"/>
      <c r="J5582" s="25" t="s">
        <v>144</v>
      </c>
      <c r="K5582" s="25" t="str">
        <f aca="false">IF(IF($K$5581=0,"",INDEX(Clients!$B$2:$B$501,$K$5581)&amp;"")="Mme","Madame",IF(IF($K$5581=0,"",INDEX(Clients!$B$2:$B$501,$K$5581)&amp;"")="M.","Monsieur","Madame, Monsieur"))</f>
        <v>Madame, Monsieur</v>
      </c>
      <c r="L5582" s="25"/>
      <c r="M5582" s="25"/>
      <c r="N5582" s="25"/>
      <c r="O5582" s="25"/>
    </row>
    <row r="5583" customFormat="false" ht="15" hidden="false" customHeight="false" outlineLevel="0" collapsed="false">
      <c r="B5583" s="29" t="str">
        <f aca="false">Cab_Adr1</f>
        <v>141 rue Charles de Gaulle</v>
      </c>
      <c r="C5583" s="29"/>
      <c r="D5583" s="10"/>
      <c r="E5583" s="10"/>
      <c r="F5583" s="10"/>
      <c r="J5583" s="25" t="s">
        <v>145</v>
      </c>
      <c r="K5583" s="25" t="str">
        <f aca="false">DAY(Date_Effet)&amp;IF(DAY(Date_Effet)=1,"er","")&amp;" "&amp;INDEX(Liste_Mois,MONTH(Date_Effet))&amp;" "&amp;YEAR(Date_Effet)</f>
        <v>1er janvier 2027</v>
      </c>
      <c r="L5583" s="25"/>
      <c r="M5583" s="25"/>
      <c r="N5583" s="25"/>
      <c r="O5583" s="25"/>
    </row>
    <row r="5584" customFormat="false" ht="15" hidden="false" customHeight="false" outlineLevel="0" collapsed="false">
      <c r="B5584" s="29" t="str">
        <f aca="false">Cab_CPVille</f>
        <v>95130 LE PLESSIS-BOUCHARD</v>
      </c>
      <c r="C5584" s="29"/>
      <c r="D5584" s="10"/>
      <c r="E5584" s="10"/>
      <c r="F5584" s="10"/>
      <c r="J5584" s="25" t="s">
        <v>146</v>
      </c>
      <c r="K5584" s="25" t="str">
        <f aca="false">IF(SUM($K$5608:$K$5611)=0,"",FIXED((SUM($L$5608:$L$5611)/SUM($K$5608:$K$5611)-1)*100,1)&amp;" %")</f>
        <v/>
      </c>
      <c r="L5584" s="25"/>
      <c r="M5584" s="25"/>
      <c r="N5584" s="25"/>
      <c r="O5584" s="25"/>
    </row>
    <row r="5585" customFormat="false" ht="15" hidden="false" customHeight="false" outlineLevel="0" collapsed="false">
      <c r="B5585" s="29" t="str">
        <f aca="false">Cab_Contact</f>
        <v>Tél. 01 34 14 53 45  ·  altho@altho-experts.com  ·  altho-experts.com</v>
      </c>
      <c r="C5585" s="29"/>
      <c r="D5585" s="10"/>
      <c r="E5585" s="10"/>
      <c r="F5585" s="10"/>
      <c r="J5585" s="25"/>
      <c r="K5585" s="25"/>
      <c r="L5585" s="25"/>
      <c r="M5585" s="25"/>
      <c r="N5585" s="25"/>
      <c r="O5585" s="25"/>
    </row>
    <row r="5586" customFormat="false" ht="6" hidden="false" customHeight="true" outlineLevel="0" collapsed="false">
      <c r="B5586" s="32"/>
      <c r="C5586" s="32"/>
      <c r="D5586" s="32"/>
      <c r="E5586" s="32"/>
      <c r="F5586" s="32"/>
      <c r="J5586" s="25"/>
      <c r="K5586" s="25"/>
      <c r="L5586" s="25"/>
      <c r="M5586" s="25"/>
      <c r="N5586" s="25"/>
      <c r="O5586" s="25"/>
    </row>
    <row r="5587" customFormat="false" ht="13.5" hidden="false" customHeight="true" outlineLevel="0" collapsed="false">
      <c r="B5587" s="10"/>
      <c r="C5587" s="10"/>
      <c r="D5587" s="10"/>
      <c r="E5587" s="10"/>
      <c r="F5587" s="10"/>
      <c r="J5587" s="25"/>
      <c r="K5587" s="25"/>
      <c r="L5587" s="25"/>
      <c r="M5587" s="25"/>
      <c r="N5587" s="25"/>
      <c r="O5587" s="25"/>
    </row>
    <row r="5588" customFormat="false" ht="13.5" hidden="false" customHeight="true" outlineLevel="0" collapsed="false">
      <c r="B5588" s="10"/>
      <c r="C5588" s="10"/>
      <c r="D5588" s="10"/>
      <c r="E5588" s="10"/>
      <c r="F5588" s="10"/>
      <c r="J5588" s="25"/>
      <c r="K5588" s="25"/>
      <c r="L5588" s="25"/>
      <c r="M5588" s="25"/>
      <c r="N5588" s="25"/>
      <c r="O5588" s="25"/>
    </row>
    <row r="5589" customFormat="false" ht="13.5" hidden="false" customHeight="true" outlineLevel="0" collapsed="false">
      <c r="B5589" s="10"/>
      <c r="C5589" s="10"/>
      <c r="D5589" s="10"/>
      <c r="E5589" s="10"/>
      <c r="F5589" s="10"/>
      <c r="J5589" s="25"/>
      <c r="K5589" s="25"/>
      <c r="L5589" s="25"/>
      <c r="M5589" s="25"/>
      <c r="N5589" s="25"/>
      <c r="O5589" s="25"/>
    </row>
    <row r="5590" customFormat="false" ht="15" hidden="false" customHeight="true" outlineLevel="0" collapsed="false">
      <c r="B5590" s="10"/>
      <c r="C5590" s="10"/>
      <c r="D5590" s="34" t="str">
        <f aca="false">IF($K$5581=0,"",INDEX(Clients!$E$2:$E$501,$K$5581)&amp;"")</f>
        <v/>
      </c>
      <c r="E5590" s="34"/>
      <c r="F5590" s="34"/>
      <c r="J5590" s="25"/>
      <c r="K5590" s="25"/>
      <c r="L5590" s="25"/>
      <c r="M5590" s="25"/>
      <c r="N5590" s="25"/>
      <c r="O5590" s="25"/>
    </row>
    <row r="5591" customFormat="false" ht="15" hidden="false" customHeight="true" outlineLevel="0" collapsed="false">
      <c r="B5591" s="10"/>
      <c r="C5591" s="10"/>
      <c r="D5591" s="35" t="str">
        <f aca="false">IF(IF($K$5581=0,"",INDEX(Clients!$D$2:$D$501,$K$5581)&amp;"")="","","À l'attention de "&amp;TRIM(IF($K$5581=0,"",INDEX(Clients!$B$2:$B$501,$K$5581)&amp;"")&amp;" "&amp;IF($K$5581=0,"",INDEX(Clients!$C$2:$C$501,$K$5581)&amp;"")&amp;" "&amp;IF($K$5581=0,"",INDEX(Clients!$D$2:$D$501,$K$5581)&amp;"")))</f>
        <v/>
      </c>
      <c r="E5591" s="35"/>
      <c r="F5591" s="35"/>
      <c r="J5591" s="25"/>
      <c r="K5591" s="25"/>
      <c r="L5591" s="25"/>
      <c r="M5591" s="25"/>
      <c r="N5591" s="25"/>
      <c r="O5591" s="25"/>
    </row>
    <row r="5592" customFormat="false" ht="15" hidden="false" customHeight="true" outlineLevel="0" collapsed="false">
      <c r="B5592" s="10"/>
      <c r="C5592" s="10"/>
      <c r="D5592" s="35" t="str">
        <f aca="false">IF($K$5581=0,"",INDEX(Clients!$F$2:$F$501,$K$5581)&amp;"")</f>
        <v/>
      </c>
      <c r="E5592" s="35"/>
      <c r="F5592" s="35"/>
      <c r="J5592" s="25"/>
      <c r="K5592" s="25"/>
      <c r="L5592" s="25"/>
      <c r="M5592" s="25"/>
      <c r="N5592" s="25"/>
      <c r="O5592" s="25"/>
    </row>
    <row r="5593" customFormat="false" ht="15" hidden="false" customHeight="true" outlineLevel="0" collapsed="false">
      <c r="B5593" s="10"/>
      <c r="C5593" s="10"/>
      <c r="D5593" s="35" t="str">
        <f aca="false">IF(IF($K$5581=0,"",INDEX(Clients!$G$2:$G$501,$K$5581)&amp;"")="",TRIM(IF($K$5581=0,"",INDEX(Clients!$H$2:$H$501,$K$5581)&amp;"")&amp;" "&amp;UPPER(IF($K$5581=0,"",INDEX(Clients!$I$2:$I$501,$K$5581)&amp;""))),IF($K$5581=0,"",INDEX(Clients!$G$2:$G$501,$K$5581)&amp;""))</f>
        <v/>
      </c>
      <c r="E5593" s="35"/>
      <c r="F5593" s="35"/>
      <c r="J5593" s="25"/>
      <c r="K5593" s="25"/>
      <c r="L5593" s="25"/>
      <c r="M5593" s="25"/>
      <c r="N5593" s="25"/>
      <c r="O5593" s="25"/>
    </row>
    <row r="5594" customFormat="false" ht="15" hidden="false" customHeight="true" outlineLevel="0" collapsed="false">
      <c r="B5594" s="10"/>
      <c r="C5594" s="10"/>
      <c r="D5594" s="35" t="str">
        <f aca="false">IF(IF($K$5581=0,"",INDEX(Clients!$G$2:$G$501,$K$5581)&amp;"")="","",TRIM(IF($K$5581=0,"",INDEX(Clients!$H$2:$H$501,$K$5581)&amp;"")&amp;" "&amp;UPPER(IF($K$5581=0,"",INDEX(Clients!$I$2:$I$501,$K$5581)&amp;""))))</f>
        <v/>
      </c>
      <c r="E5594" s="35"/>
      <c r="F5594" s="35"/>
      <c r="J5594" s="25"/>
      <c r="K5594" s="25"/>
      <c r="L5594" s="25"/>
      <c r="M5594" s="25"/>
      <c r="N5594" s="25"/>
      <c r="O5594" s="25"/>
    </row>
    <row r="5595" customFormat="false" ht="25.5" hidden="false" customHeight="true" outlineLevel="0" collapsed="false">
      <c r="B5595" s="10"/>
      <c r="C5595" s="10"/>
      <c r="D5595" s="10"/>
      <c r="E5595" s="10"/>
      <c r="F5595" s="10"/>
      <c r="J5595" s="25"/>
      <c r="K5595" s="25"/>
      <c r="L5595" s="25"/>
      <c r="M5595" s="25"/>
      <c r="N5595" s="25"/>
      <c r="O5595" s="25"/>
    </row>
    <row r="5596" customFormat="false" ht="15" hidden="false" customHeight="false" outlineLevel="0" collapsed="false">
      <c r="B5596" s="10"/>
      <c r="C5596" s="10"/>
      <c r="D5596" s="36" t="str">
        <f aca="false">Cab_Ville&amp;", le "&amp;DAY(Date_Courrier)&amp;IF(DAY(Date_Courrier)=1,"er","")&amp;" "&amp;INDEX(Liste_Mois,MONTH(Date_Courrier))&amp;" "&amp;YEAR(Date_Courrier)</f>
        <v>Le Plessis-Bouchard, le 22 septembre 2026</v>
      </c>
      <c r="E5596" s="36"/>
      <c r="F5596" s="36"/>
      <c r="J5596" s="25"/>
      <c r="K5596" s="25"/>
      <c r="L5596" s="25"/>
      <c r="M5596" s="25"/>
      <c r="N5596" s="25"/>
      <c r="O5596" s="25"/>
    </row>
    <row r="5597" customFormat="false" ht="19.5" hidden="false" customHeight="true" outlineLevel="0" collapsed="false">
      <c r="B5597" s="10"/>
      <c r="C5597" s="10"/>
      <c r="D5597" s="10"/>
      <c r="E5597" s="10"/>
      <c r="F5597" s="10"/>
      <c r="J5597" s="25"/>
      <c r="K5597" s="25"/>
      <c r="L5597" s="25"/>
      <c r="M5597" s="25"/>
      <c r="N5597" s="25"/>
      <c r="O5597" s="25"/>
    </row>
    <row r="5598" customFormat="false" ht="15" hidden="false" customHeight="false" outlineLevel="0" collapsed="false">
      <c r="B5598" s="34" t="str">
        <f aca="false">SUBSTITUTE(SUBSTITUTE(SUBSTITUTE(SUBSTITUTE(SUBSTITUTE(Txt_Objet,"{cabinet}",Cab_Nom),"{societe}",IF($K$5581=0,"",INDEX(Clients!$E$2:$E$501,$K$5581)&amp;"")),"{date_effet}",$K$5583),"{hausse}",$K$5584),"{civilite}",$K$5582)</f>
        <v>Objet : révision de nos honoraires au 1er janvier 2027</v>
      </c>
      <c r="C5598" s="34"/>
      <c r="D5598" s="34"/>
      <c r="E5598" s="34"/>
      <c r="F5598" s="34"/>
      <c r="J5598" s="25"/>
      <c r="K5598" s="25"/>
      <c r="L5598" s="25"/>
      <c r="M5598" s="25"/>
      <c r="N5598" s="25"/>
      <c r="O5598" s="25"/>
    </row>
    <row r="5599" customFormat="false" ht="13.5" hidden="false" customHeight="true" outlineLevel="0" collapsed="false">
      <c r="B5599" s="10"/>
      <c r="C5599" s="10"/>
      <c r="D5599" s="10"/>
      <c r="E5599" s="10"/>
      <c r="F5599" s="10"/>
      <c r="J5599" s="25"/>
      <c r="K5599" s="25"/>
      <c r="L5599" s="25"/>
      <c r="M5599" s="25"/>
      <c r="N5599" s="25"/>
      <c r="O5599" s="25"/>
    </row>
    <row r="5600" customFormat="false" ht="15" hidden="false" customHeight="false" outlineLevel="0" collapsed="false">
      <c r="B5600" s="10" t="str">
        <f aca="false">$K$5582&amp;","</f>
        <v>Madame, Monsieur,</v>
      </c>
      <c r="C5600" s="10"/>
      <c r="D5600" s="10"/>
      <c r="E5600" s="10"/>
      <c r="F5600" s="10"/>
      <c r="J5600" s="25"/>
      <c r="K5600" s="25"/>
      <c r="L5600" s="25"/>
      <c r="M5600" s="25"/>
      <c r="N5600" s="25"/>
      <c r="O5600" s="25"/>
    </row>
    <row r="5601" customFormat="false" ht="6" hidden="false" customHeight="true" outlineLevel="0" collapsed="false">
      <c r="B5601" s="10"/>
      <c r="C5601" s="10"/>
      <c r="D5601" s="10"/>
      <c r="E5601" s="10"/>
      <c r="F5601" s="10"/>
      <c r="J5601" s="25"/>
      <c r="K5601" s="25"/>
      <c r="L5601" s="25"/>
      <c r="M5601" s="25"/>
      <c r="N5601" s="25"/>
      <c r="O5601" s="25"/>
    </row>
    <row r="5602" customFormat="false" ht="36.75" hidden="false" customHeight="true" outlineLevel="0" collapsed="false">
      <c r="B5602" s="37" t="str">
        <f aca="false">SUBSTITUTE(SUBSTITUTE(SUBSTITUTE(SUBSTITUTE(SUBSTITUTE(Txt_P1,"{cabinet}",Cab_Nom),"{societe}",IF($K$5581=0,"",INDEX(Clients!$E$2:$E$501,$K$5581)&amp;"")),"{date_effet}",$K$5583),"{hausse}",$K$5584),"{civilite}",$K$5582)</f>
        <v>Nous tenons tout d'abord à vous remercier pour la confiance que vous accordez à ALTHO EXPERTISE. Comme chaque année, et conformément aux dispositions de votre lettre de mission, nous procédons à la révision de nos honoraires.</v>
      </c>
      <c r="C5602" s="37"/>
      <c r="D5602" s="37"/>
      <c r="E5602" s="37"/>
      <c r="F5602" s="37"/>
      <c r="J5602" s="25"/>
      <c r="K5602" s="25"/>
      <c r="L5602" s="25"/>
      <c r="M5602" s="25"/>
      <c r="N5602" s="25"/>
      <c r="O5602" s="25"/>
    </row>
    <row r="5603" customFormat="false" ht="49.5" hidden="false" customHeight="true" outlineLevel="0" collapsed="false">
      <c r="B5603" s="37" t="str">
        <f aca="false">SUBSTITUTE(SUBSTITUTE(SUBSTITUTE(SUBSTITUTE(SUBSTITUTE(Txt_P2,"{cabinet}",Cab_Nom),"{societe}",IF($K$5581=0,"",INDEX(Clients!$E$2:$E$501,$K$5581)&amp;"")),"{date_effet}",$K$5583),"{hausse}",$K$5584),"{civilite}",$K$5582)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603" s="37"/>
      <c r="D5603" s="37"/>
      <c r="E5603" s="37"/>
      <c r="F5603" s="37"/>
      <c r="J5603" s="25"/>
      <c r="K5603" s="25"/>
      <c r="L5603" s="25"/>
      <c r="M5603" s="25"/>
      <c r="N5603" s="25"/>
      <c r="O5603" s="25"/>
    </row>
    <row r="5604" customFormat="false" ht="63" hidden="false" customHeight="true" outlineLevel="0" collapsed="false">
      <c r="B5604" s="37" t="str">
        <f aca="false">SUBSTITUTE(SUBSTITUTE(SUBSTITUTE(SUBSTITUTE(SUBSTITUTE(Txt_P3,"{cabinet}",Cab_Nom),"{societe}",IF($K$5581=0,"",INDEX(Clients!$E$2:$E$501,$K$5581)&amp;"")),"{date_effet}",$K$5583),"{hausse}",$K$5584),"{civilite}",$K$5582)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604" s="37"/>
      <c r="D5604" s="37"/>
      <c r="E5604" s="37"/>
      <c r="F5604" s="37"/>
      <c r="J5604" s="25"/>
      <c r="K5604" s="25"/>
      <c r="L5604" s="25"/>
      <c r="M5604" s="25"/>
      <c r="N5604" s="25"/>
      <c r="O5604" s="25"/>
    </row>
    <row r="5605" customFormat="false" ht="24" hidden="false" customHeight="true" outlineLevel="0" collapsed="false">
      <c r="B5605" s="37" t="str">
        <f aca="false">SUBSTITUTE(SUBSTITUTE(SUBSTITUTE(SUBSTITUTE(SUBSTITUTE(Txt_P4,"{cabinet}",Cab_Nom),"{societe}",IF($K$5581=0,"",INDEX(Clients!$E$2:$E$501,$K$5581)&amp;"")),"{date_effet}",$K$5583),"{hausse}",$K$5584),"{civilite}",$K$5582)</f>
        <v>À compter du 1er janvier 2027, vos honoraires annuels hors taxes évolueront ainsi (évolution globale : ) :</v>
      </c>
      <c r="C5605" s="37"/>
      <c r="D5605" s="37"/>
      <c r="E5605" s="37"/>
      <c r="F5605" s="37"/>
      <c r="J5605" s="25"/>
      <c r="K5605" s="25"/>
      <c r="L5605" s="25"/>
      <c r="M5605" s="25"/>
      <c r="N5605" s="25"/>
      <c r="O5605" s="25"/>
    </row>
    <row r="5606" customFormat="false" ht="3.75" hidden="false" customHeight="true" outlineLevel="0" collapsed="false">
      <c r="B5606" s="10"/>
      <c r="C5606" s="10"/>
      <c r="D5606" s="10"/>
      <c r="E5606" s="10"/>
      <c r="F5606" s="10"/>
      <c r="J5606" s="25"/>
      <c r="K5606" s="25"/>
      <c r="L5606" s="25"/>
      <c r="M5606" s="25"/>
      <c r="N5606" s="25"/>
      <c r="O5606" s="25"/>
    </row>
    <row r="5607" customFormat="false" ht="18" hidden="false" customHeight="true" outlineLevel="0" collapsed="false">
      <c r="B5607" s="38" t="s">
        <v>148</v>
      </c>
      <c r="C5607" s="39" t="s">
        <v>149</v>
      </c>
      <c r="D5607" s="39" t="s">
        <v>150</v>
      </c>
      <c r="E5607" s="39" t="s">
        <v>151</v>
      </c>
      <c r="F5607" s="39" t="s">
        <v>109</v>
      </c>
      <c r="J5607" s="25" t="s">
        <v>152</v>
      </c>
      <c r="K5607" s="25" t="s">
        <v>153</v>
      </c>
      <c r="L5607" s="25" t="s">
        <v>154</v>
      </c>
      <c r="M5607" s="25" t="s">
        <v>155</v>
      </c>
      <c r="N5607" s="25" t="s">
        <v>156</v>
      </c>
      <c r="O5607" s="25" t="s">
        <v>157</v>
      </c>
    </row>
    <row r="5608" customFormat="false" ht="16.5" hidden="false" customHeight="true" outlineLevel="0" collapsed="false">
      <c r="B5608" s="40" t="str">
        <f aca="false">IFERROR(INDEX($J$5608:$J$5611,MATCH($O5608,$N$5608:$N$5611,0)),"")</f>
        <v/>
      </c>
      <c r="C5608" s="41" t="str">
        <f aca="false">IFERROR(INDEX($K$5608:$K$5611,MATCH($O5608,$N$5608:$N$5611,0)),"")</f>
        <v/>
      </c>
      <c r="D5608" s="42" t="str">
        <f aca="false">IF(OR(E5608="",N(C5608)=0),"",E5608/C5608-1)</f>
        <v/>
      </c>
      <c r="E5608" s="41" t="str">
        <f aca="false">IFERROR(INDEX($L$5608:$L$5611,MATCH($O5608,$N$5608:$N$5611,0)),"")</f>
        <v/>
      </c>
      <c r="F5608" s="41" t="str">
        <f aca="false">IF(E5608="","",E5608-C5608)</f>
        <v/>
      </c>
      <c r="J5608" s="25" t="str">
        <f aca="false">Lib_Compta</f>
        <v>Mission comptable (tenue, révision, bilan, liasse fiscale)</v>
      </c>
      <c r="K5608" s="25" t="n">
        <f aca="false">IF($K$5581=0,0,N(INDEX(Clients!$K$2:$K$501,$K$5581)))</f>
        <v>0</v>
      </c>
      <c r="L5608" s="25" t="n">
        <f aca="false">IF($K$5581=0,0,N(INDEX(Clients!$P$2:$P$501,$K$5581)))</f>
        <v>0</v>
      </c>
      <c r="M5608" s="25" t="n">
        <f aca="false">IF(OR(K5608&lt;&gt;0,L5608&lt;&gt;0),1,0)</f>
        <v>0</v>
      </c>
      <c r="N5608" s="25" t="str">
        <f aca="false">IF(M5608=1,SUM($M$5608:M5608),"")</f>
        <v/>
      </c>
      <c r="O5608" s="25" t="n">
        <v>1</v>
      </c>
    </row>
    <row r="5609" customFormat="false" ht="16.5" hidden="false" customHeight="true" outlineLevel="0" collapsed="false">
      <c r="B5609" s="40" t="str">
        <f aca="false">IFERROR(INDEX($J$5608:$J$5611,MATCH($O5609,$N$5608:$N$5611,0)),"")</f>
        <v/>
      </c>
      <c r="C5609" s="41" t="str">
        <f aca="false">IFERROR(INDEX($K$5608:$K$5611,MATCH($O5609,$N$5608:$N$5611,0)),"")</f>
        <v/>
      </c>
      <c r="D5609" s="42" t="str">
        <f aca="false">IF(OR(E5609="",N(C5609)=0),"",E5609/C5609-1)</f>
        <v/>
      </c>
      <c r="E5609" s="41" t="str">
        <f aca="false">IFERROR(INDEX($L$5608:$L$5611,MATCH($O5609,$N$5608:$N$5611,0)),"")</f>
        <v/>
      </c>
      <c r="F5609" s="41" t="str">
        <f aca="false">IF(E5609="","",E5609-C5609)</f>
        <v/>
      </c>
      <c r="J5609" s="25" t="str">
        <f aca="false">Lib_Paye</f>
        <v>Mission sociale (bulletins de paie, DSN, déclarations sociales)</v>
      </c>
      <c r="K5609" s="25" t="n">
        <f aca="false">IF($K$5581=0,0,N(INDEX(Clients!$L$2:$L$501,$K$5581)))</f>
        <v>0</v>
      </c>
      <c r="L5609" s="25" t="n">
        <f aca="false">IF($K$5581=0,0,N(INDEX(Clients!$Q$2:$Q$501,$K$5581)))</f>
        <v>0</v>
      </c>
      <c r="M5609" s="25" t="n">
        <f aca="false">IF(OR(K5609&lt;&gt;0,L5609&lt;&gt;0),1,0)</f>
        <v>0</v>
      </c>
      <c r="N5609" s="25" t="str">
        <f aca="false">IF(M5609=1,SUM($M$5608:M5609),"")</f>
        <v/>
      </c>
      <c r="O5609" s="25" t="n">
        <v>2</v>
      </c>
    </row>
    <row r="5610" customFormat="false" ht="16.5" hidden="false" customHeight="true" outlineLevel="0" collapsed="false">
      <c r="B5610" s="40" t="str">
        <f aca="false">IFERROR(INDEX($J$5608:$J$5611,MATCH($O5610,$N$5608:$N$5611,0)),"")</f>
        <v/>
      </c>
      <c r="C5610" s="41" t="str">
        <f aca="false">IFERROR(INDEX($K$5608:$K$5611,MATCH($O5610,$N$5608:$N$5611,0)),"")</f>
        <v/>
      </c>
      <c r="D5610" s="42" t="str">
        <f aca="false">IF(OR(E5610="",N(C5610)=0),"",E5610/C5610-1)</f>
        <v/>
      </c>
      <c r="E5610" s="41" t="str">
        <f aca="false">IFERROR(INDEX($L$5608:$L$5611,MATCH($O5610,$N$5608:$N$5611,0)),"")</f>
        <v/>
      </c>
      <c r="F5610" s="41" t="str">
        <f aca="false">IF(E5610="","",E5610-C5610)</f>
        <v/>
      </c>
      <c r="J5610" s="25" t="str">
        <f aca="false">Lib_Jur</f>
        <v>Mission juridique (approbation des comptes, secrétariat juridique)</v>
      </c>
      <c r="K5610" s="25" t="n">
        <f aca="false">IF($K$5581=0,0,N(INDEX(Clients!$M$2:$M$501,$K$5581)))</f>
        <v>0</v>
      </c>
      <c r="L5610" s="25" t="n">
        <f aca="false">IF($K$5581=0,0,N(INDEX(Clients!$R$2:$R$501,$K$5581)))</f>
        <v>0</v>
      </c>
      <c r="M5610" s="25" t="n">
        <f aca="false">IF(OR(K5610&lt;&gt;0,L5610&lt;&gt;0),1,0)</f>
        <v>0</v>
      </c>
      <c r="N5610" s="25" t="str">
        <f aca="false">IF(M5610=1,SUM($M$5608:M5610),"")</f>
        <v/>
      </c>
      <c r="O5610" s="25" t="n">
        <v>3</v>
      </c>
    </row>
    <row r="5611" customFormat="false" ht="16.5" hidden="false" customHeight="true" outlineLevel="0" collapsed="false">
      <c r="B5611" s="40" t="str">
        <f aca="false">IFERROR(INDEX($J$5608:$J$5611,MATCH($O5611,$N$5608:$N$5611,0)),"")</f>
        <v/>
      </c>
      <c r="C5611" s="41" t="str">
        <f aca="false">IFERROR(INDEX($K$5608:$K$5611,MATCH($O5611,$N$5608:$N$5611,0)),"")</f>
        <v/>
      </c>
      <c r="D5611" s="42" t="str">
        <f aca="false">IF(OR(E5611="",N(C5611)=0),"",E5611/C5611-1)</f>
        <v/>
      </c>
      <c r="E5611" s="41" t="str">
        <f aca="false">IFERROR(INDEX($L$5608:$L$5611,MATCH($O5611,$N$5608:$N$5611,0)),"")</f>
        <v/>
      </c>
      <c r="F5611" s="41" t="str">
        <f aca="false">IF(E5611="","",E5611-C5611)</f>
        <v/>
      </c>
      <c r="J5611" s="25" t="str">
        <f aca="false">Lib_PA</f>
        <v>Plateforme agréée – facturation électronique</v>
      </c>
      <c r="K5611" s="25" t="n">
        <f aca="false">IF($K$5581=0,0,N(INDEX(Clients!$N$2:$N$501,$K$5581)))</f>
        <v>0</v>
      </c>
      <c r="L5611" s="25" t="n">
        <f aca="false">IF($K$5581=0,0,N(INDEX(Clients!$S$2:$S$501,$K$5581)))</f>
        <v>0</v>
      </c>
      <c r="M5611" s="25" t="n">
        <f aca="false">IF(OR(K5611&lt;&gt;0,L5611&lt;&gt;0),1,0)</f>
        <v>0</v>
      </c>
      <c r="N5611" s="25" t="str">
        <f aca="false">IF(M5611=1,SUM($M$5608:M5611),"")</f>
        <v/>
      </c>
      <c r="O5611" s="25" t="n">
        <v>4</v>
      </c>
    </row>
    <row r="5612" customFormat="false" ht="18" hidden="false" customHeight="true" outlineLevel="0" collapsed="false">
      <c r="B5612" s="43" t="s">
        <v>158</v>
      </c>
      <c r="C5612" s="44" t="n">
        <f aca="false">SUM(K5608:K5611)</f>
        <v>0</v>
      </c>
      <c r="D5612" s="45" t="str">
        <f aca="false">IF(N(C5612)=0,"",E5612/C5612-1)</f>
        <v/>
      </c>
      <c r="E5612" s="44" t="n">
        <f aca="false">SUM(L5608:L5611)</f>
        <v>0</v>
      </c>
      <c r="F5612" s="44" t="n">
        <f aca="false">E5612-C5612</f>
        <v>0</v>
      </c>
    </row>
    <row r="5613" customFormat="false" ht="15" hidden="false" customHeight="false" outlineLevel="0" collapsed="false">
      <c r="B5613" s="46" t="str">
        <f aca="false">IF(N(Nb_Mensualites)=0,"","Soit "&amp;FIXED(E5612/Nb_Mensualites,2)&amp;" € HT par échéance ("&amp;Nb_Mensualites&amp;" échéances), "&amp;FIXED(E5612/Nb_Mensualites*(1+Taux_TVA),2)&amp;" € TTC.")</f>
        <v>Soit 0.00 € HT par échéance (12 échéances), 0.00 € TTC.</v>
      </c>
      <c r="C5613" s="46"/>
      <c r="D5613" s="46"/>
      <c r="E5613" s="46"/>
      <c r="F5613" s="46"/>
    </row>
    <row r="5614" customFormat="false" ht="7.5" hidden="false" customHeight="true" outlineLevel="0" collapsed="false">
      <c r="B5614" s="10"/>
      <c r="C5614" s="10"/>
      <c r="D5614" s="10"/>
      <c r="E5614" s="10"/>
      <c r="F5614" s="10"/>
    </row>
    <row r="5615" customFormat="false" ht="36.75" hidden="false" customHeight="true" outlineLevel="0" collapsed="false">
      <c r="B5615" s="37" t="str">
        <f aca="false">SUBSTITUTE(SUBSTITUTE(SUBSTITUTE(SUBSTITUTE(SUBSTITUTE(Txt_P5,"{cabinet}",Cab_Nom),"{societe}",IF($K$5581=0,"",INDEX(Clients!$E$2:$E$501,$K$5581)&amp;"")),"{date_effet}",$K$5583),"{hausse}",$K$5584),"{civilite}",$K$5582)</f>
        <v>Les autres conditions de votre lettre de mission demeurent inchangées. Les nouveaux montants seront appliqués automatiquement sur vos prochaines factures et échéances de prélèvement.</v>
      </c>
      <c r="C5615" s="37"/>
      <c r="D5615" s="37"/>
      <c r="E5615" s="37"/>
      <c r="F5615" s="37"/>
    </row>
    <row r="5616" customFormat="false" ht="36.75" hidden="false" customHeight="true" outlineLevel="0" collapsed="false">
      <c r="B5616" s="37" t="str">
        <f aca="false">SUBSTITUTE(SUBSTITUTE(SUBSTITUTE(SUBSTITUTE(SUBSTITUTE(Txt_P6,"{cabinet}",Cab_Nom),"{societe}",IF($K$5581=0,"",INDEX(Clients!$E$2:$E$501,$K$5581)&amp;"")),"{date_effet}",$K$5583),"{hausse}",$K$5584),"{civilite}",$K$5582)</f>
        <v>Votre interlocuteur habituel reste à votre entière disposition pour répondre à vos questions et faire le point sur l'évolution de vos besoins.</v>
      </c>
      <c r="C5616" s="37"/>
      <c r="D5616" s="37"/>
      <c r="E5616" s="37"/>
      <c r="F5616" s="37"/>
    </row>
    <row r="5617" customFormat="false" ht="24" hidden="false" customHeight="true" outlineLevel="0" collapsed="false">
      <c r="B5617" s="37" t="str">
        <f aca="false">SUBSTITUTE(SUBSTITUTE(SUBSTITUTE(SUBSTITUTE(SUBSTITUTE(Txt_Politesse,"{cabinet}",Cab_Nom),"{societe}",IF($K$5581=0,"",INDEX(Clients!$E$2:$E$501,$K$5581)&amp;"")),"{date_effet}",$K$5583),"{hausse}",$K$5584),"{civilite}",$K$5582)</f>
        <v>Nous vous prions d'agréer, Madame, Monsieur, l'expression de nos salutations distinguées.</v>
      </c>
      <c r="C5617" s="37"/>
      <c r="D5617" s="37"/>
      <c r="E5617" s="37"/>
      <c r="F5617" s="37"/>
    </row>
    <row r="5618" customFormat="false" ht="15" hidden="false" customHeight="false" outlineLevel="0" collapsed="false">
      <c r="B5618" s="10"/>
      <c r="C5618" s="10"/>
      <c r="D5618" s="10"/>
      <c r="E5618" s="10"/>
      <c r="F5618" s="10"/>
    </row>
    <row r="5619" customFormat="false" ht="15" hidden="false" customHeight="false" outlineLevel="0" collapsed="false">
      <c r="B5619" s="10"/>
      <c r="C5619" s="10"/>
      <c r="D5619" s="34" t="str">
        <f aca="false">Signataire</f>
        <v>Prénom NOM</v>
      </c>
      <c r="E5619" s="34"/>
      <c r="F5619" s="34"/>
    </row>
    <row r="5620" customFormat="false" ht="15" hidden="false" customHeight="false" outlineLevel="0" collapsed="false">
      <c r="B5620" s="10"/>
      <c r="C5620" s="10"/>
      <c r="D5620" s="47" t="str">
        <f aca="false">Signataire_Titre</f>
        <v>Expert-comptable associé</v>
      </c>
      <c r="E5620" s="47"/>
      <c r="F5620" s="47"/>
    </row>
    <row r="5621" customFormat="false" ht="15.75" hidden="false" customHeight="true" outlineLevel="0" collapsed="false">
      <c r="B5621" s="10"/>
      <c r="C5621" s="10"/>
      <c r="D5621" s="10"/>
      <c r="E5621" s="10"/>
      <c r="F5621" s="10"/>
    </row>
    <row r="5622" customFormat="false" ht="15.75" hidden="false" customHeight="true" outlineLevel="0" collapsed="false">
      <c r="B5622" s="10"/>
      <c r="C5622" s="10"/>
      <c r="D5622" s="10"/>
      <c r="E5622" s="10"/>
      <c r="F5622" s="10"/>
    </row>
    <row r="5623" customFormat="false" ht="15.75" hidden="false" customHeight="true" outlineLevel="0" collapsed="false">
      <c r="B5623" s="10"/>
      <c r="C5623" s="10"/>
      <c r="D5623" s="10"/>
      <c r="E5623" s="10"/>
      <c r="F5623" s="10"/>
    </row>
    <row r="5624" customFormat="false" ht="15.75" hidden="false" customHeight="true" outlineLevel="0" collapsed="false">
      <c r="B5624" s="10"/>
      <c r="C5624" s="10"/>
      <c r="D5624" s="10"/>
      <c r="E5624" s="10"/>
      <c r="F5624" s="10"/>
    </row>
    <row r="5625" customFormat="false" ht="24" hidden="false" customHeight="true" outlineLevel="0" collapsed="false">
      <c r="B5625" s="48" t="str">
        <f aca="false">Cab_Mentions</f>
        <v>ALTHO EXPERTISE · SAS au capital de 10 000 € · RCS Pontoise 919 706 325 · TVA FR62919706325 · Société d'expertise comptable inscrite au Tableau de l'Ordre des experts-comptables de Paris Île-de-France</v>
      </c>
      <c r="C5625" s="48"/>
      <c r="D5625" s="48"/>
      <c r="E5625" s="48"/>
      <c r="F5625" s="48"/>
    </row>
    <row r="5626" customFormat="false" ht="15" hidden="false" customHeight="false" outlineLevel="0" collapsed="false">
      <c r="B5626" s="10"/>
      <c r="C5626" s="10"/>
      <c r="D5626" s="10"/>
      <c r="E5626" s="10"/>
      <c r="F5626" s="10"/>
      <c r="J5626" s="25" t="s">
        <v>142</v>
      </c>
      <c r="K5626" s="25" t="n">
        <f aca="false">IFERROR(MATCH(126,Clients!$Z$2:$Z$501,0),0)</f>
        <v>0</v>
      </c>
      <c r="L5626" s="25"/>
      <c r="M5626" s="25"/>
      <c r="N5626" s="25"/>
      <c r="O5626" s="25"/>
    </row>
    <row r="5627" customFormat="false" ht="21.75" hidden="false" customHeight="true" outlineLevel="0" collapsed="false">
      <c r="B5627" s="26" t="str">
        <f aca="false">Cab_Nom</f>
        <v>ALTHO EXPERTISE</v>
      </c>
      <c r="C5627" s="26"/>
      <c r="D5627" s="10"/>
      <c r="E5627" s="27" t="str">
        <f aca="false">IF($K$5626=0,"","Réf. client : "&amp;INDEX(Clients!$A$2:$A$501,$K$5626))</f>
        <v/>
      </c>
      <c r="F5627" s="27"/>
      <c r="J5627" s="25" t="s">
        <v>144</v>
      </c>
      <c r="K5627" s="25" t="str">
        <f aca="false">IF(IF($K$5626=0,"",INDEX(Clients!$B$2:$B$501,$K$5626)&amp;"")="Mme","Madame",IF(IF($K$5626=0,"",INDEX(Clients!$B$2:$B$501,$K$5626)&amp;"")="M.","Monsieur","Madame, Monsieur"))</f>
        <v>Madame, Monsieur</v>
      </c>
      <c r="L5627" s="25"/>
      <c r="M5627" s="25"/>
      <c r="N5627" s="25"/>
      <c r="O5627" s="25"/>
    </row>
    <row r="5628" customFormat="false" ht="15" hidden="false" customHeight="false" outlineLevel="0" collapsed="false">
      <c r="B5628" s="29" t="str">
        <f aca="false">Cab_Adr1</f>
        <v>141 rue Charles de Gaulle</v>
      </c>
      <c r="C5628" s="29"/>
      <c r="D5628" s="10"/>
      <c r="E5628" s="10"/>
      <c r="F5628" s="10"/>
      <c r="J5628" s="25" t="s">
        <v>145</v>
      </c>
      <c r="K5628" s="25" t="str">
        <f aca="false">DAY(Date_Effet)&amp;IF(DAY(Date_Effet)=1,"er","")&amp;" "&amp;INDEX(Liste_Mois,MONTH(Date_Effet))&amp;" "&amp;YEAR(Date_Effet)</f>
        <v>1er janvier 2027</v>
      </c>
      <c r="L5628" s="25"/>
      <c r="M5628" s="25"/>
      <c r="N5628" s="25"/>
      <c r="O5628" s="25"/>
    </row>
    <row r="5629" customFormat="false" ht="15" hidden="false" customHeight="false" outlineLevel="0" collapsed="false">
      <c r="B5629" s="29" t="str">
        <f aca="false">Cab_CPVille</f>
        <v>95130 LE PLESSIS-BOUCHARD</v>
      </c>
      <c r="C5629" s="29"/>
      <c r="D5629" s="10"/>
      <c r="E5629" s="10"/>
      <c r="F5629" s="10"/>
      <c r="J5629" s="25" t="s">
        <v>146</v>
      </c>
      <c r="K5629" s="25" t="str">
        <f aca="false">IF(SUM($K$5653:$K$5656)=0,"",FIXED((SUM($L$5653:$L$5656)/SUM($K$5653:$K$5656)-1)*100,1)&amp;" %")</f>
        <v/>
      </c>
      <c r="L5629" s="25"/>
      <c r="M5629" s="25"/>
      <c r="N5629" s="25"/>
      <c r="O5629" s="25"/>
    </row>
    <row r="5630" customFormat="false" ht="15" hidden="false" customHeight="false" outlineLevel="0" collapsed="false">
      <c r="B5630" s="29" t="str">
        <f aca="false">Cab_Contact</f>
        <v>Tél. 01 34 14 53 45  ·  altho@altho-experts.com  ·  altho-experts.com</v>
      </c>
      <c r="C5630" s="29"/>
      <c r="D5630" s="10"/>
      <c r="E5630" s="10"/>
      <c r="F5630" s="10"/>
      <c r="J5630" s="25"/>
      <c r="K5630" s="25"/>
      <c r="L5630" s="25"/>
      <c r="M5630" s="25"/>
      <c r="N5630" s="25"/>
      <c r="O5630" s="25"/>
    </row>
    <row r="5631" customFormat="false" ht="6" hidden="false" customHeight="true" outlineLevel="0" collapsed="false">
      <c r="B5631" s="32"/>
      <c r="C5631" s="32"/>
      <c r="D5631" s="32"/>
      <c r="E5631" s="32"/>
      <c r="F5631" s="32"/>
      <c r="J5631" s="25"/>
      <c r="K5631" s="25"/>
      <c r="L5631" s="25"/>
      <c r="M5631" s="25"/>
      <c r="N5631" s="25"/>
      <c r="O5631" s="25"/>
    </row>
    <row r="5632" customFormat="false" ht="13.5" hidden="false" customHeight="true" outlineLevel="0" collapsed="false">
      <c r="B5632" s="10"/>
      <c r="C5632" s="10"/>
      <c r="D5632" s="10"/>
      <c r="E5632" s="10"/>
      <c r="F5632" s="10"/>
      <c r="J5632" s="25"/>
      <c r="K5632" s="25"/>
      <c r="L5632" s="25"/>
      <c r="M5632" s="25"/>
      <c r="N5632" s="25"/>
      <c r="O5632" s="25"/>
    </row>
    <row r="5633" customFormat="false" ht="13.5" hidden="false" customHeight="true" outlineLevel="0" collapsed="false">
      <c r="B5633" s="10"/>
      <c r="C5633" s="10"/>
      <c r="D5633" s="10"/>
      <c r="E5633" s="10"/>
      <c r="F5633" s="10"/>
      <c r="J5633" s="25"/>
      <c r="K5633" s="25"/>
      <c r="L5633" s="25"/>
      <c r="M5633" s="25"/>
      <c r="N5633" s="25"/>
      <c r="O5633" s="25"/>
    </row>
    <row r="5634" customFormat="false" ht="13.5" hidden="false" customHeight="true" outlineLevel="0" collapsed="false">
      <c r="B5634" s="10"/>
      <c r="C5634" s="10"/>
      <c r="D5634" s="10"/>
      <c r="E5634" s="10"/>
      <c r="F5634" s="10"/>
      <c r="J5634" s="25"/>
      <c r="K5634" s="25"/>
      <c r="L5634" s="25"/>
      <c r="M5634" s="25"/>
      <c r="N5634" s="25"/>
      <c r="O5634" s="25"/>
    </row>
    <row r="5635" customFormat="false" ht="15" hidden="false" customHeight="true" outlineLevel="0" collapsed="false">
      <c r="B5635" s="10"/>
      <c r="C5635" s="10"/>
      <c r="D5635" s="34" t="str">
        <f aca="false">IF($K$5626=0,"",INDEX(Clients!$E$2:$E$501,$K$5626)&amp;"")</f>
        <v/>
      </c>
      <c r="E5635" s="34"/>
      <c r="F5635" s="34"/>
      <c r="J5635" s="25"/>
      <c r="K5635" s="25"/>
      <c r="L5635" s="25"/>
      <c r="M5635" s="25"/>
      <c r="N5635" s="25"/>
      <c r="O5635" s="25"/>
    </row>
    <row r="5636" customFormat="false" ht="15" hidden="false" customHeight="true" outlineLevel="0" collapsed="false">
      <c r="B5636" s="10"/>
      <c r="C5636" s="10"/>
      <c r="D5636" s="35" t="str">
        <f aca="false">IF(IF($K$5626=0,"",INDEX(Clients!$D$2:$D$501,$K$5626)&amp;"")="","","À l'attention de "&amp;TRIM(IF($K$5626=0,"",INDEX(Clients!$B$2:$B$501,$K$5626)&amp;"")&amp;" "&amp;IF($K$5626=0,"",INDEX(Clients!$C$2:$C$501,$K$5626)&amp;"")&amp;" "&amp;IF($K$5626=0,"",INDEX(Clients!$D$2:$D$501,$K$5626)&amp;"")))</f>
        <v/>
      </c>
      <c r="E5636" s="35"/>
      <c r="F5636" s="35"/>
      <c r="J5636" s="25"/>
      <c r="K5636" s="25"/>
      <c r="L5636" s="25"/>
      <c r="M5636" s="25"/>
      <c r="N5636" s="25"/>
      <c r="O5636" s="25"/>
    </row>
    <row r="5637" customFormat="false" ht="15" hidden="false" customHeight="true" outlineLevel="0" collapsed="false">
      <c r="B5637" s="10"/>
      <c r="C5637" s="10"/>
      <c r="D5637" s="35" t="str">
        <f aca="false">IF($K$5626=0,"",INDEX(Clients!$F$2:$F$501,$K$5626)&amp;"")</f>
        <v/>
      </c>
      <c r="E5637" s="35"/>
      <c r="F5637" s="35"/>
      <c r="J5637" s="25"/>
      <c r="K5637" s="25"/>
      <c r="L5637" s="25"/>
      <c r="M5637" s="25"/>
      <c r="N5637" s="25"/>
      <c r="O5637" s="25"/>
    </row>
    <row r="5638" customFormat="false" ht="15" hidden="false" customHeight="true" outlineLevel="0" collapsed="false">
      <c r="B5638" s="10"/>
      <c r="C5638" s="10"/>
      <c r="D5638" s="35" t="str">
        <f aca="false">IF(IF($K$5626=0,"",INDEX(Clients!$G$2:$G$501,$K$5626)&amp;"")="",TRIM(IF($K$5626=0,"",INDEX(Clients!$H$2:$H$501,$K$5626)&amp;"")&amp;" "&amp;UPPER(IF($K$5626=0,"",INDEX(Clients!$I$2:$I$501,$K$5626)&amp;""))),IF($K$5626=0,"",INDEX(Clients!$G$2:$G$501,$K$5626)&amp;""))</f>
        <v/>
      </c>
      <c r="E5638" s="35"/>
      <c r="F5638" s="35"/>
      <c r="J5638" s="25"/>
      <c r="K5638" s="25"/>
      <c r="L5638" s="25"/>
      <c r="M5638" s="25"/>
      <c r="N5638" s="25"/>
      <c r="O5638" s="25"/>
    </row>
    <row r="5639" customFormat="false" ht="15" hidden="false" customHeight="true" outlineLevel="0" collapsed="false">
      <c r="B5639" s="10"/>
      <c r="C5639" s="10"/>
      <c r="D5639" s="35" t="str">
        <f aca="false">IF(IF($K$5626=0,"",INDEX(Clients!$G$2:$G$501,$K$5626)&amp;"")="","",TRIM(IF($K$5626=0,"",INDEX(Clients!$H$2:$H$501,$K$5626)&amp;"")&amp;" "&amp;UPPER(IF($K$5626=0,"",INDEX(Clients!$I$2:$I$501,$K$5626)&amp;""))))</f>
        <v/>
      </c>
      <c r="E5639" s="35"/>
      <c r="F5639" s="35"/>
      <c r="J5639" s="25"/>
      <c r="K5639" s="25"/>
      <c r="L5639" s="25"/>
      <c r="M5639" s="25"/>
      <c r="N5639" s="25"/>
      <c r="O5639" s="25"/>
    </row>
    <row r="5640" customFormat="false" ht="25.5" hidden="false" customHeight="true" outlineLevel="0" collapsed="false">
      <c r="B5640" s="10"/>
      <c r="C5640" s="10"/>
      <c r="D5640" s="10"/>
      <c r="E5640" s="10"/>
      <c r="F5640" s="10"/>
      <c r="J5640" s="25"/>
      <c r="K5640" s="25"/>
      <c r="L5640" s="25"/>
      <c r="M5640" s="25"/>
      <c r="N5640" s="25"/>
      <c r="O5640" s="25"/>
    </row>
    <row r="5641" customFormat="false" ht="15" hidden="false" customHeight="false" outlineLevel="0" collapsed="false">
      <c r="B5641" s="10"/>
      <c r="C5641" s="10"/>
      <c r="D5641" s="36" t="str">
        <f aca="false">Cab_Ville&amp;", le "&amp;DAY(Date_Courrier)&amp;IF(DAY(Date_Courrier)=1,"er","")&amp;" "&amp;INDEX(Liste_Mois,MONTH(Date_Courrier))&amp;" "&amp;YEAR(Date_Courrier)</f>
        <v>Le Plessis-Bouchard, le 22 septembre 2026</v>
      </c>
      <c r="E5641" s="36"/>
      <c r="F5641" s="36"/>
      <c r="J5641" s="25"/>
      <c r="K5641" s="25"/>
      <c r="L5641" s="25"/>
      <c r="M5641" s="25"/>
      <c r="N5641" s="25"/>
      <c r="O5641" s="25"/>
    </row>
    <row r="5642" customFormat="false" ht="19.5" hidden="false" customHeight="true" outlineLevel="0" collapsed="false">
      <c r="B5642" s="10"/>
      <c r="C5642" s="10"/>
      <c r="D5642" s="10"/>
      <c r="E5642" s="10"/>
      <c r="F5642" s="10"/>
      <c r="J5642" s="25"/>
      <c r="K5642" s="25"/>
      <c r="L5642" s="25"/>
      <c r="M5642" s="25"/>
      <c r="N5642" s="25"/>
      <c r="O5642" s="25"/>
    </row>
    <row r="5643" customFormat="false" ht="15" hidden="false" customHeight="false" outlineLevel="0" collapsed="false">
      <c r="B5643" s="34" t="str">
        <f aca="false">SUBSTITUTE(SUBSTITUTE(SUBSTITUTE(SUBSTITUTE(SUBSTITUTE(Txt_Objet,"{cabinet}",Cab_Nom),"{societe}",IF($K$5626=0,"",INDEX(Clients!$E$2:$E$501,$K$5626)&amp;"")),"{date_effet}",$K$5628),"{hausse}",$K$5629),"{civilite}",$K$5627)</f>
        <v>Objet : révision de nos honoraires au 1er janvier 2027</v>
      </c>
      <c r="C5643" s="34"/>
      <c r="D5643" s="34"/>
      <c r="E5643" s="34"/>
      <c r="F5643" s="34"/>
      <c r="J5643" s="25"/>
      <c r="K5643" s="25"/>
      <c r="L5643" s="25"/>
      <c r="M5643" s="25"/>
      <c r="N5643" s="25"/>
      <c r="O5643" s="25"/>
    </row>
    <row r="5644" customFormat="false" ht="13.5" hidden="false" customHeight="true" outlineLevel="0" collapsed="false">
      <c r="B5644" s="10"/>
      <c r="C5644" s="10"/>
      <c r="D5644" s="10"/>
      <c r="E5644" s="10"/>
      <c r="F5644" s="10"/>
      <c r="J5644" s="25"/>
      <c r="K5644" s="25"/>
      <c r="L5644" s="25"/>
      <c r="M5644" s="25"/>
      <c r="N5644" s="25"/>
      <c r="O5644" s="25"/>
    </row>
    <row r="5645" customFormat="false" ht="15" hidden="false" customHeight="false" outlineLevel="0" collapsed="false">
      <c r="B5645" s="10" t="str">
        <f aca="false">$K$5627&amp;","</f>
        <v>Madame, Monsieur,</v>
      </c>
      <c r="C5645" s="10"/>
      <c r="D5645" s="10"/>
      <c r="E5645" s="10"/>
      <c r="F5645" s="10"/>
      <c r="J5645" s="25"/>
      <c r="K5645" s="25"/>
      <c r="L5645" s="25"/>
      <c r="M5645" s="25"/>
      <c r="N5645" s="25"/>
      <c r="O5645" s="25"/>
    </row>
    <row r="5646" customFormat="false" ht="6" hidden="false" customHeight="true" outlineLevel="0" collapsed="false">
      <c r="B5646" s="10"/>
      <c r="C5646" s="10"/>
      <c r="D5646" s="10"/>
      <c r="E5646" s="10"/>
      <c r="F5646" s="10"/>
      <c r="J5646" s="25"/>
      <c r="K5646" s="25"/>
      <c r="L5646" s="25"/>
      <c r="M5646" s="25"/>
      <c r="N5646" s="25"/>
      <c r="O5646" s="25"/>
    </row>
    <row r="5647" customFormat="false" ht="36.75" hidden="false" customHeight="true" outlineLevel="0" collapsed="false">
      <c r="B5647" s="37" t="str">
        <f aca="false">SUBSTITUTE(SUBSTITUTE(SUBSTITUTE(SUBSTITUTE(SUBSTITUTE(Txt_P1,"{cabinet}",Cab_Nom),"{societe}",IF($K$5626=0,"",INDEX(Clients!$E$2:$E$501,$K$5626)&amp;"")),"{date_effet}",$K$5628),"{hausse}",$K$5629),"{civilite}",$K$5627)</f>
        <v>Nous tenons tout d'abord à vous remercier pour la confiance que vous accordez à ALTHO EXPERTISE. Comme chaque année, et conformément aux dispositions de votre lettre de mission, nous procédons à la révision de nos honoraires.</v>
      </c>
      <c r="C5647" s="37"/>
      <c r="D5647" s="37"/>
      <c r="E5647" s="37"/>
      <c r="F5647" s="37"/>
      <c r="J5647" s="25"/>
      <c r="K5647" s="25"/>
      <c r="L5647" s="25"/>
      <c r="M5647" s="25"/>
      <c r="N5647" s="25"/>
      <c r="O5647" s="25"/>
    </row>
    <row r="5648" customFormat="false" ht="49.5" hidden="false" customHeight="true" outlineLevel="0" collapsed="false">
      <c r="B5648" s="37" t="str">
        <f aca="false">SUBSTITUTE(SUBSTITUTE(SUBSTITUTE(SUBSTITUTE(SUBSTITUTE(Txt_P2,"{cabinet}",Cab_Nom),"{societe}",IF($K$5626=0,"",INDEX(Clients!$E$2:$E$501,$K$5626)&amp;"")),"{date_effet}",$K$5628),"{hausse}",$K$5629),"{civilite}",$K$5627)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648" s="37"/>
      <c r="D5648" s="37"/>
      <c r="E5648" s="37"/>
      <c r="F5648" s="37"/>
      <c r="J5648" s="25"/>
      <c r="K5648" s="25"/>
      <c r="L5648" s="25"/>
      <c r="M5648" s="25"/>
      <c r="N5648" s="25"/>
      <c r="O5648" s="25"/>
    </row>
    <row r="5649" customFormat="false" ht="63" hidden="false" customHeight="true" outlineLevel="0" collapsed="false">
      <c r="B5649" s="37" t="str">
        <f aca="false">SUBSTITUTE(SUBSTITUTE(SUBSTITUTE(SUBSTITUTE(SUBSTITUTE(Txt_P3,"{cabinet}",Cab_Nom),"{societe}",IF($K$5626=0,"",INDEX(Clients!$E$2:$E$501,$K$5626)&amp;"")),"{date_effet}",$K$5628),"{hausse}",$K$5629),"{civilite}",$K$5627)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649" s="37"/>
      <c r="D5649" s="37"/>
      <c r="E5649" s="37"/>
      <c r="F5649" s="37"/>
      <c r="J5649" s="25"/>
      <c r="K5649" s="25"/>
      <c r="L5649" s="25"/>
      <c r="M5649" s="25"/>
      <c r="N5649" s="25"/>
      <c r="O5649" s="25"/>
    </row>
    <row r="5650" customFormat="false" ht="24" hidden="false" customHeight="true" outlineLevel="0" collapsed="false">
      <c r="B5650" s="37" t="str">
        <f aca="false">SUBSTITUTE(SUBSTITUTE(SUBSTITUTE(SUBSTITUTE(SUBSTITUTE(Txt_P4,"{cabinet}",Cab_Nom),"{societe}",IF($K$5626=0,"",INDEX(Clients!$E$2:$E$501,$K$5626)&amp;"")),"{date_effet}",$K$5628),"{hausse}",$K$5629),"{civilite}",$K$5627)</f>
        <v>À compter du 1er janvier 2027, vos honoraires annuels hors taxes évolueront ainsi (évolution globale : ) :</v>
      </c>
      <c r="C5650" s="37"/>
      <c r="D5650" s="37"/>
      <c r="E5650" s="37"/>
      <c r="F5650" s="37"/>
      <c r="J5650" s="25"/>
      <c r="K5650" s="25"/>
      <c r="L5650" s="25"/>
      <c r="M5650" s="25"/>
      <c r="N5650" s="25"/>
      <c r="O5650" s="25"/>
    </row>
    <row r="5651" customFormat="false" ht="3.75" hidden="false" customHeight="true" outlineLevel="0" collapsed="false">
      <c r="B5651" s="10"/>
      <c r="C5651" s="10"/>
      <c r="D5651" s="10"/>
      <c r="E5651" s="10"/>
      <c r="F5651" s="10"/>
      <c r="J5651" s="25"/>
      <c r="K5651" s="25"/>
      <c r="L5651" s="25"/>
      <c r="M5651" s="25"/>
      <c r="N5651" s="25"/>
      <c r="O5651" s="25"/>
    </row>
    <row r="5652" customFormat="false" ht="18" hidden="false" customHeight="true" outlineLevel="0" collapsed="false">
      <c r="B5652" s="38" t="s">
        <v>148</v>
      </c>
      <c r="C5652" s="39" t="s">
        <v>149</v>
      </c>
      <c r="D5652" s="39" t="s">
        <v>150</v>
      </c>
      <c r="E5652" s="39" t="s">
        <v>151</v>
      </c>
      <c r="F5652" s="39" t="s">
        <v>109</v>
      </c>
      <c r="J5652" s="25" t="s">
        <v>152</v>
      </c>
      <c r="K5652" s="25" t="s">
        <v>153</v>
      </c>
      <c r="L5652" s="25" t="s">
        <v>154</v>
      </c>
      <c r="M5652" s="25" t="s">
        <v>155</v>
      </c>
      <c r="N5652" s="25" t="s">
        <v>156</v>
      </c>
      <c r="O5652" s="25" t="s">
        <v>157</v>
      </c>
    </row>
    <row r="5653" customFormat="false" ht="16.5" hidden="false" customHeight="true" outlineLevel="0" collapsed="false">
      <c r="B5653" s="40" t="str">
        <f aca="false">IFERROR(INDEX($J$5653:$J$5656,MATCH($O5653,$N$5653:$N$5656,0)),"")</f>
        <v/>
      </c>
      <c r="C5653" s="41" t="str">
        <f aca="false">IFERROR(INDEX($K$5653:$K$5656,MATCH($O5653,$N$5653:$N$5656,0)),"")</f>
        <v/>
      </c>
      <c r="D5653" s="42" t="str">
        <f aca="false">IF(OR(E5653="",N(C5653)=0),"",E5653/C5653-1)</f>
        <v/>
      </c>
      <c r="E5653" s="41" t="str">
        <f aca="false">IFERROR(INDEX($L$5653:$L$5656,MATCH($O5653,$N$5653:$N$5656,0)),"")</f>
        <v/>
      </c>
      <c r="F5653" s="41" t="str">
        <f aca="false">IF(E5653="","",E5653-C5653)</f>
        <v/>
      </c>
      <c r="J5653" s="25" t="str">
        <f aca="false">Lib_Compta</f>
        <v>Mission comptable (tenue, révision, bilan, liasse fiscale)</v>
      </c>
      <c r="K5653" s="25" t="n">
        <f aca="false">IF($K$5626=0,0,N(INDEX(Clients!$K$2:$K$501,$K$5626)))</f>
        <v>0</v>
      </c>
      <c r="L5653" s="25" t="n">
        <f aca="false">IF($K$5626=0,0,N(INDEX(Clients!$P$2:$P$501,$K$5626)))</f>
        <v>0</v>
      </c>
      <c r="M5653" s="25" t="n">
        <f aca="false">IF(OR(K5653&lt;&gt;0,L5653&lt;&gt;0),1,0)</f>
        <v>0</v>
      </c>
      <c r="N5653" s="25" t="str">
        <f aca="false">IF(M5653=1,SUM($M$5653:M5653),"")</f>
        <v/>
      </c>
      <c r="O5653" s="25" t="n">
        <v>1</v>
      </c>
    </row>
    <row r="5654" customFormat="false" ht="16.5" hidden="false" customHeight="true" outlineLevel="0" collapsed="false">
      <c r="B5654" s="40" t="str">
        <f aca="false">IFERROR(INDEX($J$5653:$J$5656,MATCH($O5654,$N$5653:$N$5656,0)),"")</f>
        <v/>
      </c>
      <c r="C5654" s="41" t="str">
        <f aca="false">IFERROR(INDEX($K$5653:$K$5656,MATCH($O5654,$N$5653:$N$5656,0)),"")</f>
        <v/>
      </c>
      <c r="D5654" s="42" t="str">
        <f aca="false">IF(OR(E5654="",N(C5654)=0),"",E5654/C5654-1)</f>
        <v/>
      </c>
      <c r="E5654" s="41" t="str">
        <f aca="false">IFERROR(INDEX($L$5653:$L$5656,MATCH($O5654,$N$5653:$N$5656,0)),"")</f>
        <v/>
      </c>
      <c r="F5654" s="41" t="str">
        <f aca="false">IF(E5654="","",E5654-C5654)</f>
        <v/>
      </c>
      <c r="J5654" s="25" t="str">
        <f aca="false">Lib_Paye</f>
        <v>Mission sociale (bulletins de paie, DSN, déclarations sociales)</v>
      </c>
      <c r="K5654" s="25" t="n">
        <f aca="false">IF($K$5626=0,0,N(INDEX(Clients!$L$2:$L$501,$K$5626)))</f>
        <v>0</v>
      </c>
      <c r="L5654" s="25" t="n">
        <f aca="false">IF($K$5626=0,0,N(INDEX(Clients!$Q$2:$Q$501,$K$5626)))</f>
        <v>0</v>
      </c>
      <c r="M5654" s="25" t="n">
        <f aca="false">IF(OR(K5654&lt;&gt;0,L5654&lt;&gt;0),1,0)</f>
        <v>0</v>
      </c>
      <c r="N5654" s="25" t="str">
        <f aca="false">IF(M5654=1,SUM($M$5653:M5654),"")</f>
        <v/>
      </c>
      <c r="O5654" s="25" t="n">
        <v>2</v>
      </c>
    </row>
    <row r="5655" customFormat="false" ht="16.5" hidden="false" customHeight="true" outlineLevel="0" collapsed="false">
      <c r="B5655" s="40" t="str">
        <f aca="false">IFERROR(INDEX($J$5653:$J$5656,MATCH($O5655,$N$5653:$N$5656,0)),"")</f>
        <v/>
      </c>
      <c r="C5655" s="41" t="str">
        <f aca="false">IFERROR(INDEX($K$5653:$K$5656,MATCH($O5655,$N$5653:$N$5656,0)),"")</f>
        <v/>
      </c>
      <c r="D5655" s="42" t="str">
        <f aca="false">IF(OR(E5655="",N(C5655)=0),"",E5655/C5655-1)</f>
        <v/>
      </c>
      <c r="E5655" s="41" t="str">
        <f aca="false">IFERROR(INDEX($L$5653:$L$5656,MATCH($O5655,$N$5653:$N$5656,0)),"")</f>
        <v/>
      </c>
      <c r="F5655" s="41" t="str">
        <f aca="false">IF(E5655="","",E5655-C5655)</f>
        <v/>
      </c>
      <c r="J5655" s="25" t="str">
        <f aca="false">Lib_Jur</f>
        <v>Mission juridique (approbation des comptes, secrétariat juridique)</v>
      </c>
      <c r="K5655" s="25" t="n">
        <f aca="false">IF($K$5626=0,0,N(INDEX(Clients!$M$2:$M$501,$K$5626)))</f>
        <v>0</v>
      </c>
      <c r="L5655" s="25" t="n">
        <f aca="false">IF($K$5626=0,0,N(INDEX(Clients!$R$2:$R$501,$K$5626)))</f>
        <v>0</v>
      </c>
      <c r="M5655" s="25" t="n">
        <f aca="false">IF(OR(K5655&lt;&gt;0,L5655&lt;&gt;0),1,0)</f>
        <v>0</v>
      </c>
      <c r="N5655" s="25" t="str">
        <f aca="false">IF(M5655=1,SUM($M$5653:M5655),"")</f>
        <v/>
      </c>
      <c r="O5655" s="25" t="n">
        <v>3</v>
      </c>
    </row>
    <row r="5656" customFormat="false" ht="16.5" hidden="false" customHeight="true" outlineLevel="0" collapsed="false">
      <c r="B5656" s="40" t="str">
        <f aca="false">IFERROR(INDEX($J$5653:$J$5656,MATCH($O5656,$N$5653:$N$5656,0)),"")</f>
        <v/>
      </c>
      <c r="C5656" s="41" t="str">
        <f aca="false">IFERROR(INDEX($K$5653:$K$5656,MATCH($O5656,$N$5653:$N$5656,0)),"")</f>
        <v/>
      </c>
      <c r="D5656" s="42" t="str">
        <f aca="false">IF(OR(E5656="",N(C5656)=0),"",E5656/C5656-1)</f>
        <v/>
      </c>
      <c r="E5656" s="41" t="str">
        <f aca="false">IFERROR(INDEX($L$5653:$L$5656,MATCH($O5656,$N$5653:$N$5656,0)),"")</f>
        <v/>
      </c>
      <c r="F5656" s="41" t="str">
        <f aca="false">IF(E5656="","",E5656-C5656)</f>
        <v/>
      </c>
      <c r="J5656" s="25" t="str">
        <f aca="false">Lib_PA</f>
        <v>Plateforme agréée – facturation électronique</v>
      </c>
      <c r="K5656" s="25" t="n">
        <f aca="false">IF($K$5626=0,0,N(INDEX(Clients!$N$2:$N$501,$K$5626)))</f>
        <v>0</v>
      </c>
      <c r="L5656" s="25" t="n">
        <f aca="false">IF($K$5626=0,0,N(INDEX(Clients!$S$2:$S$501,$K$5626)))</f>
        <v>0</v>
      </c>
      <c r="M5656" s="25" t="n">
        <f aca="false">IF(OR(K5656&lt;&gt;0,L5656&lt;&gt;0),1,0)</f>
        <v>0</v>
      </c>
      <c r="N5656" s="25" t="str">
        <f aca="false">IF(M5656=1,SUM($M$5653:M5656),"")</f>
        <v/>
      </c>
      <c r="O5656" s="25" t="n">
        <v>4</v>
      </c>
    </row>
    <row r="5657" customFormat="false" ht="18" hidden="false" customHeight="true" outlineLevel="0" collapsed="false">
      <c r="B5657" s="43" t="s">
        <v>158</v>
      </c>
      <c r="C5657" s="44" t="n">
        <f aca="false">SUM(K5653:K5656)</f>
        <v>0</v>
      </c>
      <c r="D5657" s="45" t="str">
        <f aca="false">IF(N(C5657)=0,"",E5657/C5657-1)</f>
        <v/>
      </c>
      <c r="E5657" s="44" t="n">
        <f aca="false">SUM(L5653:L5656)</f>
        <v>0</v>
      </c>
      <c r="F5657" s="44" t="n">
        <f aca="false">E5657-C5657</f>
        <v>0</v>
      </c>
    </row>
    <row r="5658" customFormat="false" ht="15" hidden="false" customHeight="false" outlineLevel="0" collapsed="false">
      <c r="B5658" s="46" t="str">
        <f aca="false">IF(N(Nb_Mensualites)=0,"","Soit "&amp;FIXED(E5657/Nb_Mensualites,2)&amp;" € HT par échéance ("&amp;Nb_Mensualites&amp;" échéances), "&amp;FIXED(E5657/Nb_Mensualites*(1+Taux_TVA),2)&amp;" € TTC.")</f>
        <v>Soit 0.00 € HT par échéance (12 échéances), 0.00 € TTC.</v>
      </c>
      <c r="C5658" s="46"/>
      <c r="D5658" s="46"/>
      <c r="E5658" s="46"/>
      <c r="F5658" s="46"/>
    </row>
    <row r="5659" customFormat="false" ht="7.5" hidden="false" customHeight="true" outlineLevel="0" collapsed="false">
      <c r="B5659" s="10"/>
      <c r="C5659" s="10"/>
      <c r="D5659" s="10"/>
      <c r="E5659" s="10"/>
      <c r="F5659" s="10"/>
    </row>
    <row r="5660" customFormat="false" ht="36.75" hidden="false" customHeight="true" outlineLevel="0" collapsed="false">
      <c r="B5660" s="37" t="str">
        <f aca="false">SUBSTITUTE(SUBSTITUTE(SUBSTITUTE(SUBSTITUTE(SUBSTITUTE(Txt_P5,"{cabinet}",Cab_Nom),"{societe}",IF($K$5626=0,"",INDEX(Clients!$E$2:$E$501,$K$5626)&amp;"")),"{date_effet}",$K$5628),"{hausse}",$K$5629),"{civilite}",$K$5627)</f>
        <v>Les autres conditions de votre lettre de mission demeurent inchangées. Les nouveaux montants seront appliqués automatiquement sur vos prochaines factures et échéances de prélèvement.</v>
      </c>
      <c r="C5660" s="37"/>
      <c r="D5660" s="37"/>
      <c r="E5660" s="37"/>
      <c r="F5660" s="37"/>
    </row>
    <row r="5661" customFormat="false" ht="36.75" hidden="false" customHeight="true" outlineLevel="0" collapsed="false">
      <c r="B5661" s="37" t="str">
        <f aca="false">SUBSTITUTE(SUBSTITUTE(SUBSTITUTE(SUBSTITUTE(SUBSTITUTE(Txt_P6,"{cabinet}",Cab_Nom),"{societe}",IF($K$5626=0,"",INDEX(Clients!$E$2:$E$501,$K$5626)&amp;"")),"{date_effet}",$K$5628),"{hausse}",$K$5629),"{civilite}",$K$5627)</f>
        <v>Votre interlocuteur habituel reste à votre entière disposition pour répondre à vos questions et faire le point sur l'évolution de vos besoins.</v>
      </c>
      <c r="C5661" s="37"/>
      <c r="D5661" s="37"/>
      <c r="E5661" s="37"/>
      <c r="F5661" s="37"/>
    </row>
    <row r="5662" customFormat="false" ht="24" hidden="false" customHeight="true" outlineLevel="0" collapsed="false">
      <c r="B5662" s="37" t="str">
        <f aca="false">SUBSTITUTE(SUBSTITUTE(SUBSTITUTE(SUBSTITUTE(SUBSTITUTE(Txt_Politesse,"{cabinet}",Cab_Nom),"{societe}",IF($K$5626=0,"",INDEX(Clients!$E$2:$E$501,$K$5626)&amp;"")),"{date_effet}",$K$5628),"{hausse}",$K$5629),"{civilite}",$K$5627)</f>
        <v>Nous vous prions d'agréer, Madame, Monsieur, l'expression de nos salutations distinguées.</v>
      </c>
      <c r="C5662" s="37"/>
      <c r="D5662" s="37"/>
      <c r="E5662" s="37"/>
      <c r="F5662" s="37"/>
    </row>
    <row r="5663" customFormat="false" ht="15" hidden="false" customHeight="false" outlineLevel="0" collapsed="false">
      <c r="B5663" s="10"/>
      <c r="C5663" s="10"/>
      <c r="D5663" s="10"/>
      <c r="E5663" s="10"/>
      <c r="F5663" s="10"/>
    </row>
    <row r="5664" customFormat="false" ht="15" hidden="false" customHeight="false" outlineLevel="0" collapsed="false">
      <c r="B5664" s="10"/>
      <c r="C5664" s="10"/>
      <c r="D5664" s="34" t="str">
        <f aca="false">Signataire</f>
        <v>Prénom NOM</v>
      </c>
      <c r="E5664" s="34"/>
      <c r="F5664" s="34"/>
    </row>
    <row r="5665" customFormat="false" ht="15" hidden="false" customHeight="false" outlineLevel="0" collapsed="false">
      <c r="B5665" s="10"/>
      <c r="C5665" s="10"/>
      <c r="D5665" s="47" t="str">
        <f aca="false">Signataire_Titre</f>
        <v>Expert-comptable associé</v>
      </c>
      <c r="E5665" s="47"/>
      <c r="F5665" s="47"/>
    </row>
    <row r="5666" customFormat="false" ht="15.75" hidden="false" customHeight="true" outlineLevel="0" collapsed="false">
      <c r="B5666" s="10"/>
      <c r="C5666" s="10"/>
      <c r="D5666" s="10"/>
      <c r="E5666" s="10"/>
      <c r="F5666" s="10"/>
    </row>
    <row r="5667" customFormat="false" ht="15.75" hidden="false" customHeight="true" outlineLevel="0" collapsed="false">
      <c r="B5667" s="10"/>
      <c r="C5667" s="10"/>
      <c r="D5667" s="10"/>
      <c r="E5667" s="10"/>
      <c r="F5667" s="10"/>
    </row>
    <row r="5668" customFormat="false" ht="15.75" hidden="false" customHeight="true" outlineLevel="0" collapsed="false">
      <c r="B5668" s="10"/>
      <c r="C5668" s="10"/>
      <c r="D5668" s="10"/>
      <c r="E5668" s="10"/>
      <c r="F5668" s="10"/>
    </row>
    <row r="5669" customFormat="false" ht="15.75" hidden="false" customHeight="true" outlineLevel="0" collapsed="false">
      <c r="B5669" s="10"/>
      <c r="C5669" s="10"/>
      <c r="D5669" s="10"/>
      <c r="E5669" s="10"/>
      <c r="F5669" s="10"/>
    </row>
    <row r="5670" customFormat="false" ht="24" hidden="false" customHeight="true" outlineLevel="0" collapsed="false">
      <c r="B5670" s="48" t="str">
        <f aca="false">Cab_Mentions</f>
        <v>ALTHO EXPERTISE · SAS au capital de 10 000 € · RCS Pontoise 919 706 325 · TVA FR62919706325 · Société d'expertise comptable inscrite au Tableau de l'Ordre des experts-comptables de Paris Île-de-France</v>
      </c>
      <c r="C5670" s="48"/>
      <c r="D5670" s="48"/>
      <c r="E5670" s="48"/>
      <c r="F5670" s="48"/>
    </row>
    <row r="5671" customFormat="false" ht="15" hidden="false" customHeight="false" outlineLevel="0" collapsed="false">
      <c r="B5671" s="10"/>
      <c r="C5671" s="10"/>
      <c r="D5671" s="10"/>
      <c r="E5671" s="10"/>
      <c r="F5671" s="10"/>
      <c r="J5671" s="25" t="s">
        <v>142</v>
      </c>
      <c r="K5671" s="25" t="n">
        <f aca="false">IFERROR(MATCH(127,Clients!$Z$2:$Z$501,0),0)</f>
        <v>0</v>
      </c>
      <c r="L5671" s="25"/>
      <c r="M5671" s="25"/>
      <c r="N5671" s="25"/>
      <c r="O5671" s="25"/>
    </row>
    <row r="5672" customFormat="false" ht="21.75" hidden="false" customHeight="true" outlineLevel="0" collapsed="false">
      <c r="B5672" s="26" t="str">
        <f aca="false">Cab_Nom</f>
        <v>ALTHO EXPERTISE</v>
      </c>
      <c r="C5672" s="26"/>
      <c r="D5672" s="10"/>
      <c r="E5672" s="27" t="str">
        <f aca="false">IF($K$5671=0,"","Réf. client : "&amp;INDEX(Clients!$A$2:$A$501,$K$5671))</f>
        <v/>
      </c>
      <c r="F5672" s="27"/>
      <c r="J5672" s="25" t="s">
        <v>144</v>
      </c>
      <c r="K5672" s="25" t="str">
        <f aca="false">IF(IF($K$5671=0,"",INDEX(Clients!$B$2:$B$501,$K$5671)&amp;"")="Mme","Madame",IF(IF($K$5671=0,"",INDEX(Clients!$B$2:$B$501,$K$5671)&amp;"")="M.","Monsieur","Madame, Monsieur"))</f>
        <v>Madame, Monsieur</v>
      </c>
      <c r="L5672" s="25"/>
      <c r="M5672" s="25"/>
      <c r="N5672" s="25"/>
      <c r="O5672" s="25"/>
    </row>
    <row r="5673" customFormat="false" ht="15" hidden="false" customHeight="false" outlineLevel="0" collapsed="false">
      <c r="B5673" s="29" t="str">
        <f aca="false">Cab_Adr1</f>
        <v>141 rue Charles de Gaulle</v>
      </c>
      <c r="C5673" s="29"/>
      <c r="D5673" s="10"/>
      <c r="E5673" s="10"/>
      <c r="F5673" s="10"/>
      <c r="J5673" s="25" t="s">
        <v>145</v>
      </c>
      <c r="K5673" s="25" t="str">
        <f aca="false">DAY(Date_Effet)&amp;IF(DAY(Date_Effet)=1,"er","")&amp;" "&amp;INDEX(Liste_Mois,MONTH(Date_Effet))&amp;" "&amp;YEAR(Date_Effet)</f>
        <v>1er janvier 2027</v>
      </c>
      <c r="L5673" s="25"/>
      <c r="M5673" s="25"/>
      <c r="N5673" s="25"/>
      <c r="O5673" s="25"/>
    </row>
    <row r="5674" customFormat="false" ht="15" hidden="false" customHeight="false" outlineLevel="0" collapsed="false">
      <c r="B5674" s="29" t="str">
        <f aca="false">Cab_CPVille</f>
        <v>95130 LE PLESSIS-BOUCHARD</v>
      </c>
      <c r="C5674" s="29"/>
      <c r="D5674" s="10"/>
      <c r="E5674" s="10"/>
      <c r="F5674" s="10"/>
      <c r="J5674" s="25" t="s">
        <v>146</v>
      </c>
      <c r="K5674" s="25" t="str">
        <f aca="false">IF(SUM($K$5698:$K$5701)=0,"",FIXED((SUM($L$5698:$L$5701)/SUM($K$5698:$K$5701)-1)*100,1)&amp;" %")</f>
        <v/>
      </c>
      <c r="L5674" s="25"/>
      <c r="M5674" s="25"/>
      <c r="N5674" s="25"/>
      <c r="O5674" s="25"/>
    </row>
    <row r="5675" customFormat="false" ht="15" hidden="false" customHeight="false" outlineLevel="0" collapsed="false">
      <c r="B5675" s="29" t="str">
        <f aca="false">Cab_Contact</f>
        <v>Tél. 01 34 14 53 45  ·  altho@altho-experts.com  ·  altho-experts.com</v>
      </c>
      <c r="C5675" s="29"/>
      <c r="D5675" s="10"/>
      <c r="E5675" s="10"/>
      <c r="F5675" s="10"/>
      <c r="J5675" s="25"/>
      <c r="K5675" s="25"/>
      <c r="L5675" s="25"/>
      <c r="M5675" s="25"/>
      <c r="N5675" s="25"/>
      <c r="O5675" s="25"/>
    </row>
    <row r="5676" customFormat="false" ht="6" hidden="false" customHeight="true" outlineLevel="0" collapsed="false">
      <c r="B5676" s="32"/>
      <c r="C5676" s="32"/>
      <c r="D5676" s="32"/>
      <c r="E5676" s="32"/>
      <c r="F5676" s="32"/>
      <c r="J5676" s="25"/>
      <c r="K5676" s="25"/>
      <c r="L5676" s="25"/>
      <c r="M5676" s="25"/>
      <c r="N5676" s="25"/>
      <c r="O5676" s="25"/>
    </row>
    <row r="5677" customFormat="false" ht="13.5" hidden="false" customHeight="true" outlineLevel="0" collapsed="false">
      <c r="B5677" s="10"/>
      <c r="C5677" s="10"/>
      <c r="D5677" s="10"/>
      <c r="E5677" s="10"/>
      <c r="F5677" s="10"/>
      <c r="J5677" s="25"/>
      <c r="K5677" s="25"/>
      <c r="L5677" s="25"/>
      <c r="M5677" s="25"/>
      <c r="N5677" s="25"/>
      <c r="O5677" s="25"/>
    </row>
    <row r="5678" customFormat="false" ht="13.5" hidden="false" customHeight="true" outlineLevel="0" collapsed="false">
      <c r="B5678" s="10"/>
      <c r="C5678" s="10"/>
      <c r="D5678" s="10"/>
      <c r="E5678" s="10"/>
      <c r="F5678" s="10"/>
      <c r="J5678" s="25"/>
      <c r="K5678" s="25"/>
      <c r="L5678" s="25"/>
      <c r="M5678" s="25"/>
      <c r="N5678" s="25"/>
      <c r="O5678" s="25"/>
    </row>
    <row r="5679" customFormat="false" ht="13.5" hidden="false" customHeight="true" outlineLevel="0" collapsed="false">
      <c r="B5679" s="10"/>
      <c r="C5679" s="10"/>
      <c r="D5679" s="10"/>
      <c r="E5679" s="10"/>
      <c r="F5679" s="10"/>
      <c r="J5679" s="25"/>
      <c r="K5679" s="25"/>
      <c r="L5679" s="25"/>
      <c r="M5679" s="25"/>
      <c r="N5679" s="25"/>
      <c r="O5679" s="25"/>
    </row>
    <row r="5680" customFormat="false" ht="15" hidden="false" customHeight="true" outlineLevel="0" collapsed="false">
      <c r="B5680" s="10"/>
      <c r="C5680" s="10"/>
      <c r="D5680" s="34" t="str">
        <f aca="false">IF($K$5671=0,"",INDEX(Clients!$E$2:$E$501,$K$5671)&amp;"")</f>
        <v/>
      </c>
      <c r="E5680" s="34"/>
      <c r="F5680" s="34"/>
      <c r="J5680" s="25"/>
      <c r="K5680" s="25"/>
      <c r="L5680" s="25"/>
      <c r="M5680" s="25"/>
      <c r="N5680" s="25"/>
      <c r="O5680" s="25"/>
    </row>
    <row r="5681" customFormat="false" ht="15" hidden="false" customHeight="true" outlineLevel="0" collapsed="false">
      <c r="B5681" s="10"/>
      <c r="C5681" s="10"/>
      <c r="D5681" s="35" t="str">
        <f aca="false">IF(IF($K$5671=0,"",INDEX(Clients!$D$2:$D$501,$K$5671)&amp;"")="","","À l'attention de "&amp;TRIM(IF($K$5671=0,"",INDEX(Clients!$B$2:$B$501,$K$5671)&amp;"")&amp;" "&amp;IF($K$5671=0,"",INDEX(Clients!$C$2:$C$501,$K$5671)&amp;"")&amp;" "&amp;IF($K$5671=0,"",INDEX(Clients!$D$2:$D$501,$K$5671)&amp;"")))</f>
        <v/>
      </c>
      <c r="E5681" s="35"/>
      <c r="F5681" s="35"/>
      <c r="J5681" s="25"/>
      <c r="K5681" s="25"/>
      <c r="L5681" s="25"/>
      <c r="M5681" s="25"/>
      <c r="N5681" s="25"/>
      <c r="O5681" s="25"/>
    </row>
    <row r="5682" customFormat="false" ht="15" hidden="false" customHeight="true" outlineLevel="0" collapsed="false">
      <c r="B5682" s="10"/>
      <c r="C5682" s="10"/>
      <c r="D5682" s="35" t="str">
        <f aca="false">IF($K$5671=0,"",INDEX(Clients!$F$2:$F$501,$K$5671)&amp;"")</f>
        <v/>
      </c>
      <c r="E5682" s="35"/>
      <c r="F5682" s="35"/>
      <c r="J5682" s="25"/>
      <c r="K5682" s="25"/>
      <c r="L5682" s="25"/>
      <c r="M5682" s="25"/>
      <c r="N5682" s="25"/>
      <c r="O5682" s="25"/>
    </row>
    <row r="5683" customFormat="false" ht="15" hidden="false" customHeight="true" outlineLevel="0" collapsed="false">
      <c r="B5683" s="10"/>
      <c r="C5683" s="10"/>
      <c r="D5683" s="35" t="str">
        <f aca="false">IF(IF($K$5671=0,"",INDEX(Clients!$G$2:$G$501,$K$5671)&amp;"")="",TRIM(IF($K$5671=0,"",INDEX(Clients!$H$2:$H$501,$K$5671)&amp;"")&amp;" "&amp;UPPER(IF($K$5671=0,"",INDEX(Clients!$I$2:$I$501,$K$5671)&amp;""))),IF($K$5671=0,"",INDEX(Clients!$G$2:$G$501,$K$5671)&amp;""))</f>
        <v/>
      </c>
      <c r="E5683" s="35"/>
      <c r="F5683" s="35"/>
      <c r="J5683" s="25"/>
      <c r="K5683" s="25"/>
      <c r="L5683" s="25"/>
      <c r="M5683" s="25"/>
      <c r="N5683" s="25"/>
      <c r="O5683" s="25"/>
    </row>
    <row r="5684" customFormat="false" ht="15" hidden="false" customHeight="true" outlineLevel="0" collapsed="false">
      <c r="B5684" s="10"/>
      <c r="C5684" s="10"/>
      <c r="D5684" s="35" t="str">
        <f aca="false">IF(IF($K$5671=0,"",INDEX(Clients!$G$2:$G$501,$K$5671)&amp;"")="","",TRIM(IF($K$5671=0,"",INDEX(Clients!$H$2:$H$501,$K$5671)&amp;"")&amp;" "&amp;UPPER(IF($K$5671=0,"",INDEX(Clients!$I$2:$I$501,$K$5671)&amp;""))))</f>
        <v/>
      </c>
      <c r="E5684" s="35"/>
      <c r="F5684" s="35"/>
      <c r="J5684" s="25"/>
      <c r="K5684" s="25"/>
      <c r="L5684" s="25"/>
      <c r="M5684" s="25"/>
      <c r="N5684" s="25"/>
      <c r="O5684" s="25"/>
    </row>
    <row r="5685" customFormat="false" ht="25.5" hidden="false" customHeight="true" outlineLevel="0" collapsed="false">
      <c r="B5685" s="10"/>
      <c r="C5685" s="10"/>
      <c r="D5685" s="10"/>
      <c r="E5685" s="10"/>
      <c r="F5685" s="10"/>
      <c r="J5685" s="25"/>
      <c r="K5685" s="25"/>
      <c r="L5685" s="25"/>
      <c r="M5685" s="25"/>
      <c r="N5685" s="25"/>
      <c r="O5685" s="25"/>
    </row>
    <row r="5686" customFormat="false" ht="15" hidden="false" customHeight="false" outlineLevel="0" collapsed="false">
      <c r="B5686" s="10"/>
      <c r="C5686" s="10"/>
      <c r="D5686" s="36" t="str">
        <f aca="false">Cab_Ville&amp;", le "&amp;DAY(Date_Courrier)&amp;IF(DAY(Date_Courrier)=1,"er","")&amp;" "&amp;INDEX(Liste_Mois,MONTH(Date_Courrier))&amp;" "&amp;YEAR(Date_Courrier)</f>
        <v>Le Plessis-Bouchard, le 22 septembre 2026</v>
      </c>
      <c r="E5686" s="36"/>
      <c r="F5686" s="36"/>
      <c r="J5686" s="25"/>
      <c r="K5686" s="25"/>
      <c r="L5686" s="25"/>
      <c r="M5686" s="25"/>
      <c r="N5686" s="25"/>
      <c r="O5686" s="25"/>
    </row>
    <row r="5687" customFormat="false" ht="19.5" hidden="false" customHeight="true" outlineLevel="0" collapsed="false">
      <c r="B5687" s="10"/>
      <c r="C5687" s="10"/>
      <c r="D5687" s="10"/>
      <c r="E5687" s="10"/>
      <c r="F5687" s="10"/>
      <c r="J5687" s="25"/>
      <c r="K5687" s="25"/>
      <c r="L5687" s="25"/>
      <c r="M5687" s="25"/>
      <c r="N5687" s="25"/>
      <c r="O5687" s="25"/>
    </row>
    <row r="5688" customFormat="false" ht="15" hidden="false" customHeight="false" outlineLevel="0" collapsed="false">
      <c r="B5688" s="34" t="str">
        <f aca="false">SUBSTITUTE(SUBSTITUTE(SUBSTITUTE(SUBSTITUTE(SUBSTITUTE(Txt_Objet,"{cabinet}",Cab_Nom),"{societe}",IF($K$5671=0,"",INDEX(Clients!$E$2:$E$501,$K$5671)&amp;"")),"{date_effet}",$K$5673),"{hausse}",$K$5674),"{civilite}",$K$5672)</f>
        <v>Objet : révision de nos honoraires au 1er janvier 2027</v>
      </c>
      <c r="C5688" s="34"/>
      <c r="D5688" s="34"/>
      <c r="E5688" s="34"/>
      <c r="F5688" s="34"/>
      <c r="J5688" s="25"/>
      <c r="K5688" s="25"/>
      <c r="L5688" s="25"/>
      <c r="M5688" s="25"/>
      <c r="N5688" s="25"/>
      <c r="O5688" s="25"/>
    </row>
    <row r="5689" customFormat="false" ht="13.5" hidden="false" customHeight="true" outlineLevel="0" collapsed="false">
      <c r="B5689" s="10"/>
      <c r="C5689" s="10"/>
      <c r="D5689" s="10"/>
      <c r="E5689" s="10"/>
      <c r="F5689" s="10"/>
      <c r="J5689" s="25"/>
      <c r="K5689" s="25"/>
      <c r="L5689" s="25"/>
      <c r="M5689" s="25"/>
      <c r="N5689" s="25"/>
      <c r="O5689" s="25"/>
    </row>
    <row r="5690" customFormat="false" ht="15" hidden="false" customHeight="false" outlineLevel="0" collapsed="false">
      <c r="B5690" s="10" t="str">
        <f aca="false">$K$5672&amp;","</f>
        <v>Madame, Monsieur,</v>
      </c>
      <c r="C5690" s="10"/>
      <c r="D5690" s="10"/>
      <c r="E5690" s="10"/>
      <c r="F5690" s="10"/>
      <c r="J5690" s="25"/>
      <c r="K5690" s="25"/>
      <c r="L5690" s="25"/>
      <c r="M5690" s="25"/>
      <c r="N5690" s="25"/>
      <c r="O5690" s="25"/>
    </row>
    <row r="5691" customFormat="false" ht="6" hidden="false" customHeight="true" outlineLevel="0" collapsed="false">
      <c r="B5691" s="10"/>
      <c r="C5691" s="10"/>
      <c r="D5691" s="10"/>
      <c r="E5691" s="10"/>
      <c r="F5691" s="10"/>
      <c r="J5691" s="25"/>
      <c r="K5691" s="25"/>
      <c r="L5691" s="25"/>
      <c r="M5691" s="25"/>
      <c r="N5691" s="25"/>
      <c r="O5691" s="25"/>
    </row>
    <row r="5692" customFormat="false" ht="36.75" hidden="false" customHeight="true" outlineLevel="0" collapsed="false">
      <c r="B5692" s="37" t="str">
        <f aca="false">SUBSTITUTE(SUBSTITUTE(SUBSTITUTE(SUBSTITUTE(SUBSTITUTE(Txt_P1,"{cabinet}",Cab_Nom),"{societe}",IF($K$5671=0,"",INDEX(Clients!$E$2:$E$501,$K$5671)&amp;"")),"{date_effet}",$K$5673),"{hausse}",$K$5674),"{civilite}",$K$5672)</f>
        <v>Nous tenons tout d'abord à vous remercier pour la confiance que vous accordez à ALTHO EXPERTISE. Comme chaque année, et conformément aux dispositions de votre lettre de mission, nous procédons à la révision de nos honoraires.</v>
      </c>
      <c r="C5692" s="37"/>
      <c r="D5692" s="37"/>
      <c r="E5692" s="37"/>
      <c r="F5692" s="37"/>
      <c r="J5692" s="25"/>
      <c r="K5692" s="25"/>
      <c r="L5692" s="25"/>
      <c r="M5692" s="25"/>
      <c r="N5692" s="25"/>
      <c r="O5692" s="25"/>
    </row>
    <row r="5693" customFormat="false" ht="49.5" hidden="false" customHeight="true" outlineLevel="0" collapsed="false">
      <c r="B5693" s="37" t="str">
        <f aca="false">SUBSTITUTE(SUBSTITUTE(SUBSTITUTE(SUBSTITUTE(SUBSTITUTE(Txt_P2,"{cabinet}",Cab_Nom),"{societe}",IF($K$5671=0,"",INDEX(Clients!$E$2:$E$501,$K$5671)&amp;"")),"{date_effet}",$K$5673),"{hausse}",$K$5674),"{civilite}",$K$5672)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693" s="37"/>
      <c r="D5693" s="37"/>
      <c r="E5693" s="37"/>
      <c r="F5693" s="37"/>
      <c r="J5693" s="25"/>
      <c r="K5693" s="25"/>
      <c r="L5693" s="25"/>
      <c r="M5693" s="25"/>
      <c r="N5693" s="25"/>
      <c r="O5693" s="25"/>
    </row>
    <row r="5694" customFormat="false" ht="63" hidden="false" customHeight="true" outlineLevel="0" collapsed="false">
      <c r="B5694" s="37" t="str">
        <f aca="false">SUBSTITUTE(SUBSTITUTE(SUBSTITUTE(SUBSTITUTE(SUBSTITUTE(Txt_P3,"{cabinet}",Cab_Nom),"{societe}",IF($K$5671=0,"",INDEX(Clients!$E$2:$E$501,$K$5671)&amp;"")),"{date_effet}",$K$5673),"{hausse}",$K$5674),"{civilite}",$K$5672)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694" s="37"/>
      <c r="D5694" s="37"/>
      <c r="E5694" s="37"/>
      <c r="F5694" s="37"/>
      <c r="J5694" s="25"/>
      <c r="K5694" s="25"/>
      <c r="L5694" s="25"/>
      <c r="M5694" s="25"/>
      <c r="N5694" s="25"/>
      <c r="O5694" s="25"/>
    </row>
    <row r="5695" customFormat="false" ht="24" hidden="false" customHeight="true" outlineLevel="0" collapsed="false">
      <c r="B5695" s="37" t="str">
        <f aca="false">SUBSTITUTE(SUBSTITUTE(SUBSTITUTE(SUBSTITUTE(SUBSTITUTE(Txt_P4,"{cabinet}",Cab_Nom),"{societe}",IF($K$5671=0,"",INDEX(Clients!$E$2:$E$501,$K$5671)&amp;"")),"{date_effet}",$K$5673),"{hausse}",$K$5674),"{civilite}",$K$5672)</f>
        <v>À compter du 1er janvier 2027, vos honoraires annuels hors taxes évolueront ainsi (évolution globale : ) :</v>
      </c>
      <c r="C5695" s="37"/>
      <c r="D5695" s="37"/>
      <c r="E5695" s="37"/>
      <c r="F5695" s="37"/>
      <c r="J5695" s="25"/>
      <c r="K5695" s="25"/>
      <c r="L5695" s="25"/>
      <c r="M5695" s="25"/>
      <c r="N5695" s="25"/>
      <c r="O5695" s="25"/>
    </row>
    <row r="5696" customFormat="false" ht="3.75" hidden="false" customHeight="true" outlineLevel="0" collapsed="false">
      <c r="B5696" s="10"/>
      <c r="C5696" s="10"/>
      <c r="D5696" s="10"/>
      <c r="E5696" s="10"/>
      <c r="F5696" s="10"/>
      <c r="J5696" s="25"/>
      <c r="K5696" s="25"/>
      <c r="L5696" s="25"/>
      <c r="M5696" s="25"/>
      <c r="N5696" s="25"/>
      <c r="O5696" s="25"/>
    </row>
    <row r="5697" customFormat="false" ht="18" hidden="false" customHeight="true" outlineLevel="0" collapsed="false">
      <c r="B5697" s="38" t="s">
        <v>148</v>
      </c>
      <c r="C5697" s="39" t="s">
        <v>149</v>
      </c>
      <c r="D5697" s="39" t="s">
        <v>150</v>
      </c>
      <c r="E5697" s="39" t="s">
        <v>151</v>
      </c>
      <c r="F5697" s="39" t="s">
        <v>109</v>
      </c>
      <c r="J5697" s="25" t="s">
        <v>152</v>
      </c>
      <c r="K5697" s="25" t="s">
        <v>153</v>
      </c>
      <c r="L5697" s="25" t="s">
        <v>154</v>
      </c>
      <c r="M5697" s="25" t="s">
        <v>155</v>
      </c>
      <c r="N5697" s="25" t="s">
        <v>156</v>
      </c>
      <c r="O5697" s="25" t="s">
        <v>157</v>
      </c>
    </row>
    <row r="5698" customFormat="false" ht="16.5" hidden="false" customHeight="true" outlineLevel="0" collapsed="false">
      <c r="B5698" s="40" t="str">
        <f aca="false">IFERROR(INDEX($J$5698:$J$5701,MATCH($O5698,$N$5698:$N$5701,0)),"")</f>
        <v/>
      </c>
      <c r="C5698" s="41" t="str">
        <f aca="false">IFERROR(INDEX($K$5698:$K$5701,MATCH($O5698,$N$5698:$N$5701,0)),"")</f>
        <v/>
      </c>
      <c r="D5698" s="42" t="str">
        <f aca="false">IF(OR(E5698="",N(C5698)=0),"",E5698/C5698-1)</f>
        <v/>
      </c>
      <c r="E5698" s="41" t="str">
        <f aca="false">IFERROR(INDEX($L$5698:$L$5701,MATCH($O5698,$N$5698:$N$5701,0)),"")</f>
        <v/>
      </c>
      <c r="F5698" s="41" t="str">
        <f aca="false">IF(E5698="","",E5698-C5698)</f>
        <v/>
      </c>
      <c r="J5698" s="25" t="str">
        <f aca="false">Lib_Compta</f>
        <v>Mission comptable (tenue, révision, bilan, liasse fiscale)</v>
      </c>
      <c r="K5698" s="25" t="n">
        <f aca="false">IF($K$5671=0,0,N(INDEX(Clients!$K$2:$K$501,$K$5671)))</f>
        <v>0</v>
      </c>
      <c r="L5698" s="25" t="n">
        <f aca="false">IF($K$5671=0,0,N(INDEX(Clients!$P$2:$P$501,$K$5671)))</f>
        <v>0</v>
      </c>
      <c r="M5698" s="25" t="n">
        <f aca="false">IF(OR(K5698&lt;&gt;0,L5698&lt;&gt;0),1,0)</f>
        <v>0</v>
      </c>
      <c r="N5698" s="25" t="str">
        <f aca="false">IF(M5698=1,SUM($M$5698:M5698),"")</f>
        <v/>
      </c>
      <c r="O5698" s="25" t="n">
        <v>1</v>
      </c>
    </row>
    <row r="5699" customFormat="false" ht="16.5" hidden="false" customHeight="true" outlineLevel="0" collapsed="false">
      <c r="B5699" s="40" t="str">
        <f aca="false">IFERROR(INDEX($J$5698:$J$5701,MATCH($O5699,$N$5698:$N$5701,0)),"")</f>
        <v/>
      </c>
      <c r="C5699" s="41" t="str">
        <f aca="false">IFERROR(INDEX($K$5698:$K$5701,MATCH($O5699,$N$5698:$N$5701,0)),"")</f>
        <v/>
      </c>
      <c r="D5699" s="42" t="str">
        <f aca="false">IF(OR(E5699="",N(C5699)=0),"",E5699/C5699-1)</f>
        <v/>
      </c>
      <c r="E5699" s="41" t="str">
        <f aca="false">IFERROR(INDEX($L$5698:$L$5701,MATCH($O5699,$N$5698:$N$5701,0)),"")</f>
        <v/>
      </c>
      <c r="F5699" s="41" t="str">
        <f aca="false">IF(E5699="","",E5699-C5699)</f>
        <v/>
      </c>
      <c r="J5699" s="25" t="str">
        <f aca="false">Lib_Paye</f>
        <v>Mission sociale (bulletins de paie, DSN, déclarations sociales)</v>
      </c>
      <c r="K5699" s="25" t="n">
        <f aca="false">IF($K$5671=0,0,N(INDEX(Clients!$L$2:$L$501,$K$5671)))</f>
        <v>0</v>
      </c>
      <c r="L5699" s="25" t="n">
        <f aca="false">IF($K$5671=0,0,N(INDEX(Clients!$Q$2:$Q$501,$K$5671)))</f>
        <v>0</v>
      </c>
      <c r="M5699" s="25" t="n">
        <f aca="false">IF(OR(K5699&lt;&gt;0,L5699&lt;&gt;0),1,0)</f>
        <v>0</v>
      </c>
      <c r="N5699" s="25" t="str">
        <f aca="false">IF(M5699=1,SUM($M$5698:M5699),"")</f>
        <v/>
      </c>
      <c r="O5699" s="25" t="n">
        <v>2</v>
      </c>
    </row>
    <row r="5700" customFormat="false" ht="16.5" hidden="false" customHeight="true" outlineLevel="0" collapsed="false">
      <c r="B5700" s="40" t="str">
        <f aca="false">IFERROR(INDEX($J$5698:$J$5701,MATCH($O5700,$N$5698:$N$5701,0)),"")</f>
        <v/>
      </c>
      <c r="C5700" s="41" t="str">
        <f aca="false">IFERROR(INDEX($K$5698:$K$5701,MATCH($O5700,$N$5698:$N$5701,0)),"")</f>
        <v/>
      </c>
      <c r="D5700" s="42" t="str">
        <f aca="false">IF(OR(E5700="",N(C5700)=0),"",E5700/C5700-1)</f>
        <v/>
      </c>
      <c r="E5700" s="41" t="str">
        <f aca="false">IFERROR(INDEX($L$5698:$L$5701,MATCH($O5700,$N$5698:$N$5701,0)),"")</f>
        <v/>
      </c>
      <c r="F5700" s="41" t="str">
        <f aca="false">IF(E5700="","",E5700-C5700)</f>
        <v/>
      </c>
      <c r="J5700" s="25" t="str">
        <f aca="false">Lib_Jur</f>
        <v>Mission juridique (approbation des comptes, secrétariat juridique)</v>
      </c>
      <c r="K5700" s="25" t="n">
        <f aca="false">IF($K$5671=0,0,N(INDEX(Clients!$M$2:$M$501,$K$5671)))</f>
        <v>0</v>
      </c>
      <c r="L5700" s="25" t="n">
        <f aca="false">IF($K$5671=0,0,N(INDEX(Clients!$R$2:$R$501,$K$5671)))</f>
        <v>0</v>
      </c>
      <c r="M5700" s="25" t="n">
        <f aca="false">IF(OR(K5700&lt;&gt;0,L5700&lt;&gt;0),1,0)</f>
        <v>0</v>
      </c>
      <c r="N5700" s="25" t="str">
        <f aca="false">IF(M5700=1,SUM($M$5698:M5700),"")</f>
        <v/>
      </c>
      <c r="O5700" s="25" t="n">
        <v>3</v>
      </c>
    </row>
    <row r="5701" customFormat="false" ht="16.5" hidden="false" customHeight="true" outlineLevel="0" collapsed="false">
      <c r="B5701" s="40" t="str">
        <f aca="false">IFERROR(INDEX($J$5698:$J$5701,MATCH($O5701,$N$5698:$N$5701,0)),"")</f>
        <v/>
      </c>
      <c r="C5701" s="41" t="str">
        <f aca="false">IFERROR(INDEX($K$5698:$K$5701,MATCH($O5701,$N$5698:$N$5701,0)),"")</f>
        <v/>
      </c>
      <c r="D5701" s="42" t="str">
        <f aca="false">IF(OR(E5701="",N(C5701)=0),"",E5701/C5701-1)</f>
        <v/>
      </c>
      <c r="E5701" s="41" t="str">
        <f aca="false">IFERROR(INDEX($L$5698:$L$5701,MATCH($O5701,$N$5698:$N$5701,0)),"")</f>
        <v/>
      </c>
      <c r="F5701" s="41" t="str">
        <f aca="false">IF(E5701="","",E5701-C5701)</f>
        <v/>
      </c>
      <c r="J5701" s="25" t="str">
        <f aca="false">Lib_PA</f>
        <v>Plateforme agréée – facturation électronique</v>
      </c>
      <c r="K5701" s="25" t="n">
        <f aca="false">IF($K$5671=0,0,N(INDEX(Clients!$N$2:$N$501,$K$5671)))</f>
        <v>0</v>
      </c>
      <c r="L5701" s="25" t="n">
        <f aca="false">IF($K$5671=0,0,N(INDEX(Clients!$S$2:$S$501,$K$5671)))</f>
        <v>0</v>
      </c>
      <c r="M5701" s="25" t="n">
        <f aca="false">IF(OR(K5701&lt;&gt;0,L5701&lt;&gt;0),1,0)</f>
        <v>0</v>
      </c>
      <c r="N5701" s="25" t="str">
        <f aca="false">IF(M5701=1,SUM($M$5698:M5701),"")</f>
        <v/>
      </c>
      <c r="O5701" s="25" t="n">
        <v>4</v>
      </c>
    </row>
    <row r="5702" customFormat="false" ht="18" hidden="false" customHeight="true" outlineLevel="0" collapsed="false">
      <c r="B5702" s="43" t="s">
        <v>158</v>
      </c>
      <c r="C5702" s="44" t="n">
        <f aca="false">SUM(K5698:K5701)</f>
        <v>0</v>
      </c>
      <c r="D5702" s="45" t="str">
        <f aca="false">IF(N(C5702)=0,"",E5702/C5702-1)</f>
        <v/>
      </c>
      <c r="E5702" s="44" t="n">
        <f aca="false">SUM(L5698:L5701)</f>
        <v>0</v>
      </c>
      <c r="F5702" s="44" t="n">
        <f aca="false">E5702-C5702</f>
        <v>0</v>
      </c>
    </row>
    <row r="5703" customFormat="false" ht="15" hidden="false" customHeight="false" outlineLevel="0" collapsed="false">
      <c r="B5703" s="46" t="str">
        <f aca="false">IF(N(Nb_Mensualites)=0,"","Soit "&amp;FIXED(E5702/Nb_Mensualites,2)&amp;" € HT par échéance ("&amp;Nb_Mensualites&amp;" échéances), "&amp;FIXED(E5702/Nb_Mensualites*(1+Taux_TVA),2)&amp;" € TTC.")</f>
        <v>Soit 0.00 € HT par échéance (12 échéances), 0.00 € TTC.</v>
      </c>
      <c r="C5703" s="46"/>
      <c r="D5703" s="46"/>
      <c r="E5703" s="46"/>
      <c r="F5703" s="46"/>
    </row>
    <row r="5704" customFormat="false" ht="7.5" hidden="false" customHeight="true" outlineLevel="0" collapsed="false">
      <c r="B5704" s="10"/>
      <c r="C5704" s="10"/>
      <c r="D5704" s="10"/>
      <c r="E5704" s="10"/>
      <c r="F5704" s="10"/>
    </row>
    <row r="5705" customFormat="false" ht="36.75" hidden="false" customHeight="true" outlineLevel="0" collapsed="false">
      <c r="B5705" s="37" t="str">
        <f aca="false">SUBSTITUTE(SUBSTITUTE(SUBSTITUTE(SUBSTITUTE(SUBSTITUTE(Txt_P5,"{cabinet}",Cab_Nom),"{societe}",IF($K$5671=0,"",INDEX(Clients!$E$2:$E$501,$K$5671)&amp;"")),"{date_effet}",$K$5673),"{hausse}",$K$5674),"{civilite}",$K$5672)</f>
        <v>Les autres conditions de votre lettre de mission demeurent inchangées. Les nouveaux montants seront appliqués automatiquement sur vos prochaines factures et échéances de prélèvement.</v>
      </c>
      <c r="C5705" s="37"/>
      <c r="D5705" s="37"/>
      <c r="E5705" s="37"/>
      <c r="F5705" s="37"/>
    </row>
    <row r="5706" customFormat="false" ht="36.75" hidden="false" customHeight="true" outlineLevel="0" collapsed="false">
      <c r="B5706" s="37" t="str">
        <f aca="false">SUBSTITUTE(SUBSTITUTE(SUBSTITUTE(SUBSTITUTE(SUBSTITUTE(Txt_P6,"{cabinet}",Cab_Nom),"{societe}",IF($K$5671=0,"",INDEX(Clients!$E$2:$E$501,$K$5671)&amp;"")),"{date_effet}",$K$5673),"{hausse}",$K$5674),"{civilite}",$K$5672)</f>
        <v>Votre interlocuteur habituel reste à votre entière disposition pour répondre à vos questions et faire le point sur l'évolution de vos besoins.</v>
      </c>
      <c r="C5706" s="37"/>
      <c r="D5706" s="37"/>
      <c r="E5706" s="37"/>
      <c r="F5706" s="37"/>
    </row>
    <row r="5707" customFormat="false" ht="24" hidden="false" customHeight="true" outlineLevel="0" collapsed="false">
      <c r="B5707" s="37" t="str">
        <f aca="false">SUBSTITUTE(SUBSTITUTE(SUBSTITUTE(SUBSTITUTE(SUBSTITUTE(Txt_Politesse,"{cabinet}",Cab_Nom),"{societe}",IF($K$5671=0,"",INDEX(Clients!$E$2:$E$501,$K$5671)&amp;"")),"{date_effet}",$K$5673),"{hausse}",$K$5674),"{civilite}",$K$5672)</f>
        <v>Nous vous prions d'agréer, Madame, Monsieur, l'expression de nos salutations distinguées.</v>
      </c>
      <c r="C5707" s="37"/>
      <c r="D5707" s="37"/>
      <c r="E5707" s="37"/>
      <c r="F5707" s="37"/>
    </row>
    <row r="5708" customFormat="false" ht="15" hidden="false" customHeight="false" outlineLevel="0" collapsed="false">
      <c r="B5708" s="10"/>
      <c r="C5708" s="10"/>
      <c r="D5708" s="10"/>
      <c r="E5708" s="10"/>
      <c r="F5708" s="10"/>
    </row>
    <row r="5709" customFormat="false" ht="15" hidden="false" customHeight="false" outlineLevel="0" collapsed="false">
      <c r="B5709" s="10"/>
      <c r="C5709" s="10"/>
      <c r="D5709" s="34" t="str">
        <f aca="false">Signataire</f>
        <v>Prénom NOM</v>
      </c>
      <c r="E5709" s="34"/>
      <c r="F5709" s="34"/>
    </row>
    <row r="5710" customFormat="false" ht="15" hidden="false" customHeight="false" outlineLevel="0" collapsed="false">
      <c r="B5710" s="10"/>
      <c r="C5710" s="10"/>
      <c r="D5710" s="47" t="str">
        <f aca="false">Signataire_Titre</f>
        <v>Expert-comptable associé</v>
      </c>
      <c r="E5710" s="47"/>
      <c r="F5710" s="47"/>
    </row>
    <row r="5711" customFormat="false" ht="15.75" hidden="false" customHeight="true" outlineLevel="0" collapsed="false">
      <c r="B5711" s="10"/>
      <c r="C5711" s="10"/>
      <c r="D5711" s="10"/>
      <c r="E5711" s="10"/>
      <c r="F5711" s="10"/>
    </row>
    <row r="5712" customFormat="false" ht="15.75" hidden="false" customHeight="true" outlineLevel="0" collapsed="false">
      <c r="B5712" s="10"/>
      <c r="C5712" s="10"/>
      <c r="D5712" s="10"/>
      <c r="E5712" s="10"/>
      <c r="F5712" s="10"/>
    </row>
    <row r="5713" customFormat="false" ht="15.75" hidden="false" customHeight="true" outlineLevel="0" collapsed="false">
      <c r="B5713" s="10"/>
      <c r="C5713" s="10"/>
      <c r="D5713" s="10"/>
      <c r="E5713" s="10"/>
      <c r="F5713" s="10"/>
    </row>
    <row r="5714" customFormat="false" ht="15.75" hidden="false" customHeight="true" outlineLevel="0" collapsed="false">
      <c r="B5714" s="10"/>
      <c r="C5714" s="10"/>
      <c r="D5714" s="10"/>
      <c r="E5714" s="10"/>
      <c r="F5714" s="10"/>
    </row>
    <row r="5715" customFormat="false" ht="24" hidden="false" customHeight="true" outlineLevel="0" collapsed="false">
      <c r="B5715" s="48" t="str">
        <f aca="false">Cab_Mentions</f>
        <v>ALTHO EXPERTISE · SAS au capital de 10 000 € · RCS Pontoise 919 706 325 · TVA FR62919706325 · Société d'expertise comptable inscrite au Tableau de l'Ordre des experts-comptables de Paris Île-de-France</v>
      </c>
      <c r="C5715" s="48"/>
      <c r="D5715" s="48"/>
      <c r="E5715" s="48"/>
      <c r="F5715" s="48"/>
    </row>
    <row r="5716" customFormat="false" ht="15" hidden="false" customHeight="false" outlineLevel="0" collapsed="false">
      <c r="B5716" s="10"/>
      <c r="C5716" s="10"/>
      <c r="D5716" s="10"/>
      <c r="E5716" s="10"/>
      <c r="F5716" s="10"/>
      <c r="J5716" s="25" t="s">
        <v>142</v>
      </c>
      <c r="K5716" s="25" t="n">
        <f aca="false">IFERROR(MATCH(128,Clients!$Z$2:$Z$501,0),0)</f>
        <v>0</v>
      </c>
      <c r="L5716" s="25"/>
      <c r="M5716" s="25"/>
      <c r="N5716" s="25"/>
      <c r="O5716" s="25"/>
    </row>
    <row r="5717" customFormat="false" ht="21.75" hidden="false" customHeight="true" outlineLevel="0" collapsed="false">
      <c r="B5717" s="26" t="str">
        <f aca="false">Cab_Nom</f>
        <v>ALTHO EXPERTISE</v>
      </c>
      <c r="C5717" s="26"/>
      <c r="D5717" s="10"/>
      <c r="E5717" s="27" t="str">
        <f aca="false">IF($K$5716=0,"","Réf. client : "&amp;INDEX(Clients!$A$2:$A$501,$K$5716))</f>
        <v/>
      </c>
      <c r="F5717" s="27"/>
      <c r="J5717" s="25" t="s">
        <v>144</v>
      </c>
      <c r="K5717" s="25" t="str">
        <f aca="false">IF(IF($K$5716=0,"",INDEX(Clients!$B$2:$B$501,$K$5716)&amp;"")="Mme","Madame",IF(IF($K$5716=0,"",INDEX(Clients!$B$2:$B$501,$K$5716)&amp;"")="M.","Monsieur","Madame, Monsieur"))</f>
        <v>Madame, Monsieur</v>
      </c>
      <c r="L5717" s="25"/>
      <c r="M5717" s="25"/>
      <c r="N5717" s="25"/>
      <c r="O5717" s="25"/>
    </row>
    <row r="5718" customFormat="false" ht="15" hidden="false" customHeight="false" outlineLevel="0" collapsed="false">
      <c r="B5718" s="29" t="str">
        <f aca="false">Cab_Adr1</f>
        <v>141 rue Charles de Gaulle</v>
      </c>
      <c r="C5718" s="29"/>
      <c r="D5718" s="10"/>
      <c r="E5718" s="10"/>
      <c r="F5718" s="10"/>
      <c r="J5718" s="25" t="s">
        <v>145</v>
      </c>
      <c r="K5718" s="25" t="str">
        <f aca="false">DAY(Date_Effet)&amp;IF(DAY(Date_Effet)=1,"er","")&amp;" "&amp;INDEX(Liste_Mois,MONTH(Date_Effet))&amp;" "&amp;YEAR(Date_Effet)</f>
        <v>1er janvier 2027</v>
      </c>
      <c r="L5718" s="25"/>
      <c r="M5718" s="25"/>
      <c r="N5718" s="25"/>
      <c r="O5718" s="25"/>
    </row>
    <row r="5719" customFormat="false" ht="15" hidden="false" customHeight="false" outlineLevel="0" collapsed="false">
      <c r="B5719" s="29" t="str">
        <f aca="false">Cab_CPVille</f>
        <v>95130 LE PLESSIS-BOUCHARD</v>
      </c>
      <c r="C5719" s="29"/>
      <c r="D5719" s="10"/>
      <c r="E5719" s="10"/>
      <c r="F5719" s="10"/>
      <c r="J5719" s="25" t="s">
        <v>146</v>
      </c>
      <c r="K5719" s="25" t="str">
        <f aca="false">IF(SUM($K$5743:$K$5746)=0,"",FIXED((SUM($L$5743:$L$5746)/SUM($K$5743:$K$5746)-1)*100,1)&amp;" %")</f>
        <v/>
      </c>
      <c r="L5719" s="25"/>
      <c r="M5719" s="25"/>
      <c r="N5719" s="25"/>
      <c r="O5719" s="25"/>
    </row>
    <row r="5720" customFormat="false" ht="15" hidden="false" customHeight="false" outlineLevel="0" collapsed="false">
      <c r="B5720" s="29" t="str">
        <f aca="false">Cab_Contact</f>
        <v>Tél. 01 34 14 53 45  ·  altho@altho-experts.com  ·  altho-experts.com</v>
      </c>
      <c r="C5720" s="29"/>
      <c r="D5720" s="10"/>
      <c r="E5720" s="10"/>
      <c r="F5720" s="10"/>
      <c r="J5720" s="25"/>
      <c r="K5720" s="25"/>
      <c r="L5720" s="25"/>
      <c r="M5720" s="25"/>
      <c r="N5720" s="25"/>
      <c r="O5720" s="25"/>
    </row>
    <row r="5721" customFormat="false" ht="6" hidden="false" customHeight="true" outlineLevel="0" collapsed="false">
      <c r="B5721" s="32"/>
      <c r="C5721" s="32"/>
      <c r="D5721" s="32"/>
      <c r="E5721" s="32"/>
      <c r="F5721" s="32"/>
      <c r="J5721" s="25"/>
      <c r="K5721" s="25"/>
      <c r="L5721" s="25"/>
      <c r="M5721" s="25"/>
      <c r="N5721" s="25"/>
      <c r="O5721" s="25"/>
    </row>
    <row r="5722" customFormat="false" ht="13.5" hidden="false" customHeight="true" outlineLevel="0" collapsed="false">
      <c r="B5722" s="10"/>
      <c r="C5722" s="10"/>
      <c r="D5722" s="10"/>
      <c r="E5722" s="10"/>
      <c r="F5722" s="10"/>
      <c r="J5722" s="25"/>
      <c r="K5722" s="25"/>
      <c r="L5722" s="25"/>
      <c r="M5722" s="25"/>
      <c r="N5722" s="25"/>
      <c r="O5722" s="25"/>
    </row>
    <row r="5723" customFormat="false" ht="13.5" hidden="false" customHeight="true" outlineLevel="0" collapsed="false">
      <c r="B5723" s="10"/>
      <c r="C5723" s="10"/>
      <c r="D5723" s="10"/>
      <c r="E5723" s="10"/>
      <c r="F5723" s="10"/>
      <c r="J5723" s="25"/>
      <c r="K5723" s="25"/>
      <c r="L5723" s="25"/>
      <c r="M5723" s="25"/>
      <c r="N5723" s="25"/>
      <c r="O5723" s="25"/>
    </row>
    <row r="5724" customFormat="false" ht="13.5" hidden="false" customHeight="true" outlineLevel="0" collapsed="false">
      <c r="B5724" s="10"/>
      <c r="C5724" s="10"/>
      <c r="D5724" s="10"/>
      <c r="E5724" s="10"/>
      <c r="F5724" s="10"/>
      <c r="J5724" s="25"/>
      <c r="K5724" s="25"/>
      <c r="L5724" s="25"/>
      <c r="M5724" s="25"/>
      <c r="N5724" s="25"/>
      <c r="O5724" s="25"/>
    </row>
    <row r="5725" customFormat="false" ht="15" hidden="false" customHeight="true" outlineLevel="0" collapsed="false">
      <c r="B5725" s="10"/>
      <c r="C5725" s="10"/>
      <c r="D5725" s="34" t="str">
        <f aca="false">IF($K$5716=0,"",INDEX(Clients!$E$2:$E$501,$K$5716)&amp;"")</f>
        <v/>
      </c>
      <c r="E5725" s="34"/>
      <c r="F5725" s="34"/>
      <c r="J5725" s="25"/>
      <c r="K5725" s="25"/>
      <c r="L5725" s="25"/>
      <c r="M5725" s="25"/>
      <c r="N5725" s="25"/>
      <c r="O5725" s="25"/>
    </row>
    <row r="5726" customFormat="false" ht="15" hidden="false" customHeight="true" outlineLevel="0" collapsed="false">
      <c r="B5726" s="10"/>
      <c r="C5726" s="10"/>
      <c r="D5726" s="35" t="str">
        <f aca="false">IF(IF($K$5716=0,"",INDEX(Clients!$D$2:$D$501,$K$5716)&amp;"")="","","À l'attention de "&amp;TRIM(IF($K$5716=0,"",INDEX(Clients!$B$2:$B$501,$K$5716)&amp;"")&amp;" "&amp;IF($K$5716=0,"",INDEX(Clients!$C$2:$C$501,$K$5716)&amp;"")&amp;" "&amp;IF($K$5716=0,"",INDEX(Clients!$D$2:$D$501,$K$5716)&amp;"")))</f>
        <v/>
      </c>
      <c r="E5726" s="35"/>
      <c r="F5726" s="35"/>
      <c r="J5726" s="25"/>
      <c r="K5726" s="25"/>
      <c r="L5726" s="25"/>
      <c r="M5726" s="25"/>
      <c r="N5726" s="25"/>
      <c r="O5726" s="25"/>
    </row>
    <row r="5727" customFormat="false" ht="15" hidden="false" customHeight="true" outlineLevel="0" collapsed="false">
      <c r="B5727" s="10"/>
      <c r="C5727" s="10"/>
      <c r="D5727" s="35" t="str">
        <f aca="false">IF($K$5716=0,"",INDEX(Clients!$F$2:$F$501,$K$5716)&amp;"")</f>
        <v/>
      </c>
      <c r="E5727" s="35"/>
      <c r="F5727" s="35"/>
      <c r="J5727" s="25"/>
      <c r="K5727" s="25"/>
      <c r="L5727" s="25"/>
      <c r="M5727" s="25"/>
      <c r="N5727" s="25"/>
      <c r="O5727" s="25"/>
    </row>
    <row r="5728" customFormat="false" ht="15" hidden="false" customHeight="true" outlineLevel="0" collapsed="false">
      <c r="B5728" s="10"/>
      <c r="C5728" s="10"/>
      <c r="D5728" s="35" t="str">
        <f aca="false">IF(IF($K$5716=0,"",INDEX(Clients!$G$2:$G$501,$K$5716)&amp;"")="",TRIM(IF($K$5716=0,"",INDEX(Clients!$H$2:$H$501,$K$5716)&amp;"")&amp;" "&amp;UPPER(IF($K$5716=0,"",INDEX(Clients!$I$2:$I$501,$K$5716)&amp;""))),IF($K$5716=0,"",INDEX(Clients!$G$2:$G$501,$K$5716)&amp;""))</f>
        <v/>
      </c>
      <c r="E5728" s="35"/>
      <c r="F5728" s="35"/>
      <c r="J5728" s="25"/>
      <c r="K5728" s="25"/>
      <c r="L5728" s="25"/>
      <c r="M5728" s="25"/>
      <c r="N5728" s="25"/>
      <c r="O5728" s="25"/>
    </row>
    <row r="5729" customFormat="false" ht="15" hidden="false" customHeight="true" outlineLevel="0" collapsed="false">
      <c r="B5729" s="10"/>
      <c r="C5729" s="10"/>
      <c r="D5729" s="35" t="str">
        <f aca="false">IF(IF($K$5716=0,"",INDEX(Clients!$G$2:$G$501,$K$5716)&amp;"")="","",TRIM(IF($K$5716=0,"",INDEX(Clients!$H$2:$H$501,$K$5716)&amp;"")&amp;" "&amp;UPPER(IF($K$5716=0,"",INDEX(Clients!$I$2:$I$501,$K$5716)&amp;""))))</f>
        <v/>
      </c>
      <c r="E5729" s="35"/>
      <c r="F5729" s="35"/>
      <c r="J5729" s="25"/>
      <c r="K5729" s="25"/>
      <c r="L5729" s="25"/>
      <c r="M5729" s="25"/>
      <c r="N5729" s="25"/>
      <c r="O5729" s="25"/>
    </row>
    <row r="5730" customFormat="false" ht="25.5" hidden="false" customHeight="true" outlineLevel="0" collapsed="false">
      <c r="B5730" s="10"/>
      <c r="C5730" s="10"/>
      <c r="D5730" s="10"/>
      <c r="E5730" s="10"/>
      <c r="F5730" s="10"/>
      <c r="J5730" s="25"/>
      <c r="K5730" s="25"/>
      <c r="L5730" s="25"/>
      <c r="M5730" s="25"/>
      <c r="N5730" s="25"/>
      <c r="O5730" s="25"/>
    </row>
    <row r="5731" customFormat="false" ht="15" hidden="false" customHeight="false" outlineLevel="0" collapsed="false">
      <c r="B5731" s="10"/>
      <c r="C5731" s="10"/>
      <c r="D5731" s="36" t="str">
        <f aca="false">Cab_Ville&amp;", le "&amp;DAY(Date_Courrier)&amp;IF(DAY(Date_Courrier)=1,"er","")&amp;" "&amp;INDEX(Liste_Mois,MONTH(Date_Courrier))&amp;" "&amp;YEAR(Date_Courrier)</f>
        <v>Le Plessis-Bouchard, le 22 septembre 2026</v>
      </c>
      <c r="E5731" s="36"/>
      <c r="F5731" s="36"/>
      <c r="J5731" s="25"/>
      <c r="K5731" s="25"/>
      <c r="L5731" s="25"/>
      <c r="M5731" s="25"/>
      <c r="N5731" s="25"/>
      <c r="O5731" s="25"/>
    </row>
    <row r="5732" customFormat="false" ht="19.5" hidden="false" customHeight="true" outlineLevel="0" collapsed="false">
      <c r="B5732" s="10"/>
      <c r="C5732" s="10"/>
      <c r="D5732" s="10"/>
      <c r="E5732" s="10"/>
      <c r="F5732" s="10"/>
      <c r="J5732" s="25"/>
      <c r="K5732" s="25"/>
      <c r="L5732" s="25"/>
      <c r="M5732" s="25"/>
      <c r="N5732" s="25"/>
      <c r="O5732" s="25"/>
    </row>
    <row r="5733" customFormat="false" ht="15" hidden="false" customHeight="false" outlineLevel="0" collapsed="false">
      <c r="B5733" s="34" t="str">
        <f aca="false">SUBSTITUTE(SUBSTITUTE(SUBSTITUTE(SUBSTITUTE(SUBSTITUTE(Txt_Objet,"{cabinet}",Cab_Nom),"{societe}",IF($K$5716=0,"",INDEX(Clients!$E$2:$E$501,$K$5716)&amp;"")),"{date_effet}",$K$5718),"{hausse}",$K$5719),"{civilite}",$K$5717)</f>
        <v>Objet : révision de nos honoraires au 1er janvier 2027</v>
      </c>
      <c r="C5733" s="34"/>
      <c r="D5733" s="34"/>
      <c r="E5733" s="34"/>
      <c r="F5733" s="34"/>
      <c r="J5733" s="25"/>
      <c r="K5733" s="25"/>
      <c r="L5733" s="25"/>
      <c r="M5733" s="25"/>
      <c r="N5733" s="25"/>
      <c r="O5733" s="25"/>
    </row>
    <row r="5734" customFormat="false" ht="13.5" hidden="false" customHeight="true" outlineLevel="0" collapsed="false">
      <c r="B5734" s="10"/>
      <c r="C5734" s="10"/>
      <c r="D5734" s="10"/>
      <c r="E5734" s="10"/>
      <c r="F5734" s="10"/>
      <c r="J5734" s="25"/>
      <c r="K5734" s="25"/>
      <c r="L5734" s="25"/>
      <c r="M5734" s="25"/>
      <c r="N5734" s="25"/>
      <c r="O5734" s="25"/>
    </row>
    <row r="5735" customFormat="false" ht="15" hidden="false" customHeight="false" outlineLevel="0" collapsed="false">
      <c r="B5735" s="10" t="str">
        <f aca="false">$K$5717&amp;","</f>
        <v>Madame, Monsieur,</v>
      </c>
      <c r="C5735" s="10"/>
      <c r="D5735" s="10"/>
      <c r="E5735" s="10"/>
      <c r="F5735" s="10"/>
      <c r="J5735" s="25"/>
      <c r="K5735" s="25"/>
      <c r="L5735" s="25"/>
      <c r="M5735" s="25"/>
      <c r="N5735" s="25"/>
      <c r="O5735" s="25"/>
    </row>
    <row r="5736" customFormat="false" ht="6" hidden="false" customHeight="true" outlineLevel="0" collapsed="false">
      <c r="B5736" s="10"/>
      <c r="C5736" s="10"/>
      <c r="D5736" s="10"/>
      <c r="E5736" s="10"/>
      <c r="F5736" s="10"/>
      <c r="J5736" s="25"/>
      <c r="K5736" s="25"/>
      <c r="L5736" s="25"/>
      <c r="M5736" s="25"/>
      <c r="N5736" s="25"/>
      <c r="O5736" s="25"/>
    </row>
    <row r="5737" customFormat="false" ht="36.75" hidden="false" customHeight="true" outlineLevel="0" collapsed="false">
      <c r="B5737" s="37" t="str">
        <f aca="false">SUBSTITUTE(SUBSTITUTE(SUBSTITUTE(SUBSTITUTE(SUBSTITUTE(Txt_P1,"{cabinet}",Cab_Nom),"{societe}",IF($K$5716=0,"",INDEX(Clients!$E$2:$E$501,$K$5716)&amp;"")),"{date_effet}",$K$5718),"{hausse}",$K$5719),"{civilite}",$K$5717)</f>
        <v>Nous tenons tout d'abord à vous remercier pour la confiance que vous accordez à ALTHO EXPERTISE. Comme chaque année, et conformément aux dispositions de votre lettre de mission, nous procédons à la révision de nos honoraires.</v>
      </c>
      <c r="C5737" s="37"/>
      <c r="D5737" s="37"/>
      <c r="E5737" s="37"/>
      <c r="F5737" s="37"/>
      <c r="J5737" s="25"/>
      <c r="K5737" s="25"/>
      <c r="L5737" s="25"/>
      <c r="M5737" s="25"/>
      <c r="N5737" s="25"/>
      <c r="O5737" s="25"/>
    </row>
    <row r="5738" customFormat="false" ht="49.5" hidden="false" customHeight="true" outlineLevel="0" collapsed="false">
      <c r="B5738" s="37" t="str">
        <f aca="false">SUBSTITUTE(SUBSTITUTE(SUBSTITUTE(SUBSTITUTE(SUBSTITUTE(Txt_P2,"{cabinet}",Cab_Nom),"{societe}",IF($K$5716=0,"",INDEX(Clients!$E$2:$E$501,$K$5716)&amp;"")),"{date_effet}",$K$5718),"{hausse}",$K$5719),"{civilite}",$K$5717)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738" s="37"/>
      <c r="D5738" s="37"/>
      <c r="E5738" s="37"/>
      <c r="F5738" s="37"/>
      <c r="J5738" s="25"/>
      <c r="K5738" s="25"/>
      <c r="L5738" s="25"/>
      <c r="M5738" s="25"/>
      <c r="N5738" s="25"/>
      <c r="O5738" s="25"/>
    </row>
    <row r="5739" customFormat="false" ht="63" hidden="false" customHeight="true" outlineLevel="0" collapsed="false">
      <c r="B5739" s="37" t="str">
        <f aca="false">SUBSTITUTE(SUBSTITUTE(SUBSTITUTE(SUBSTITUTE(SUBSTITUTE(Txt_P3,"{cabinet}",Cab_Nom),"{societe}",IF($K$5716=0,"",INDEX(Clients!$E$2:$E$501,$K$5716)&amp;"")),"{date_effet}",$K$5718),"{hausse}",$K$5719),"{civilite}",$K$5717)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739" s="37"/>
      <c r="D5739" s="37"/>
      <c r="E5739" s="37"/>
      <c r="F5739" s="37"/>
      <c r="J5739" s="25"/>
      <c r="K5739" s="25"/>
      <c r="L5739" s="25"/>
      <c r="M5739" s="25"/>
      <c r="N5739" s="25"/>
      <c r="O5739" s="25"/>
    </row>
    <row r="5740" customFormat="false" ht="24" hidden="false" customHeight="true" outlineLevel="0" collapsed="false">
      <c r="B5740" s="37" t="str">
        <f aca="false">SUBSTITUTE(SUBSTITUTE(SUBSTITUTE(SUBSTITUTE(SUBSTITUTE(Txt_P4,"{cabinet}",Cab_Nom),"{societe}",IF($K$5716=0,"",INDEX(Clients!$E$2:$E$501,$K$5716)&amp;"")),"{date_effet}",$K$5718),"{hausse}",$K$5719),"{civilite}",$K$5717)</f>
        <v>À compter du 1er janvier 2027, vos honoraires annuels hors taxes évolueront ainsi (évolution globale : ) :</v>
      </c>
      <c r="C5740" s="37"/>
      <c r="D5740" s="37"/>
      <c r="E5740" s="37"/>
      <c r="F5740" s="37"/>
      <c r="J5740" s="25"/>
      <c r="K5740" s="25"/>
      <c r="L5740" s="25"/>
      <c r="M5740" s="25"/>
      <c r="N5740" s="25"/>
      <c r="O5740" s="25"/>
    </row>
    <row r="5741" customFormat="false" ht="3.75" hidden="false" customHeight="true" outlineLevel="0" collapsed="false">
      <c r="B5741" s="10"/>
      <c r="C5741" s="10"/>
      <c r="D5741" s="10"/>
      <c r="E5741" s="10"/>
      <c r="F5741" s="10"/>
      <c r="J5741" s="25"/>
      <c r="K5741" s="25"/>
      <c r="L5741" s="25"/>
      <c r="M5741" s="25"/>
      <c r="N5741" s="25"/>
      <c r="O5741" s="25"/>
    </row>
    <row r="5742" customFormat="false" ht="18" hidden="false" customHeight="true" outlineLevel="0" collapsed="false">
      <c r="B5742" s="38" t="s">
        <v>148</v>
      </c>
      <c r="C5742" s="39" t="s">
        <v>149</v>
      </c>
      <c r="D5742" s="39" t="s">
        <v>150</v>
      </c>
      <c r="E5742" s="39" t="s">
        <v>151</v>
      </c>
      <c r="F5742" s="39" t="s">
        <v>109</v>
      </c>
      <c r="J5742" s="25" t="s">
        <v>152</v>
      </c>
      <c r="K5742" s="25" t="s">
        <v>153</v>
      </c>
      <c r="L5742" s="25" t="s">
        <v>154</v>
      </c>
      <c r="M5742" s="25" t="s">
        <v>155</v>
      </c>
      <c r="N5742" s="25" t="s">
        <v>156</v>
      </c>
      <c r="O5742" s="25" t="s">
        <v>157</v>
      </c>
    </row>
    <row r="5743" customFormat="false" ht="16.5" hidden="false" customHeight="true" outlineLevel="0" collapsed="false">
      <c r="B5743" s="40" t="str">
        <f aca="false">IFERROR(INDEX($J$5743:$J$5746,MATCH($O5743,$N$5743:$N$5746,0)),"")</f>
        <v/>
      </c>
      <c r="C5743" s="41" t="str">
        <f aca="false">IFERROR(INDEX($K$5743:$K$5746,MATCH($O5743,$N$5743:$N$5746,0)),"")</f>
        <v/>
      </c>
      <c r="D5743" s="42" t="str">
        <f aca="false">IF(OR(E5743="",N(C5743)=0),"",E5743/C5743-1)</f>
        <v/>
      </c>
      <c r="E5743" s="41" t="str">
        <f aca="false">IFERROR(INDEX($L$5743:$L$5746,MATCH($O5743,$N$5743:$N$5746,0)),"")</f>
        <v/>
      </c>
      <c r="F5743" s="41" t="str">
        <f aca="false">IF(E5743="","",E5743-C5743)</f>
        <v/>
      </c>
      <c r="J5743" s="25" t="str">
        <f aca="false">Lib_Compta</f>
        <v>Mission comptable (tenue, révision, bilan, liasse fiscale)</v>
      </c>
      <c r="K5743" s="25" t="n">
        <f aca="false">IF($K$5716=0,0,N(INDEX(Clients!$K$2:$K$501,$K$5716)))</f>
        <v>0</v>
      </c>
      <c r="L5743" s="25" t="n">
        <f aca="false">IF($K$5716=0,0,N(INDEX(Clients!$P$2:$P$501,$K$5716)))</f>
        <v>0</v>
      </c>
      <c r="M5743" s="25" t="n">
        <f aca="false">IF(OR(K5743&lt;&gt;0,L5743&lt;&gt;0),1,0)</f>
        <v>0</v>
      </c>
      <c r="N5743" s="25" t="str">
        <f aca="false">IF(M5743=1,SUM($M$5743:M5743),"")</f>
        <v/>
      </c>
      <c r="O5743" s="25" t="n">
        <v>1</v>
      </c>
    </row>
    <row r="5744" customFormat="false" ht="16.5" hidden="false" customHeight="true" outlineLevel="0" collapsed="false">
      <c r="B5744" s="40" t="str">
        <f aca="false">IFERROR(INDEX($J$5743:$J$5746,MATCH($O5744,$N$5743:$N$5746,0)),"")</f>
        <v/>
      </c>
      <c r="C5744" s="41" t="str">
        <f aca="false">IFERROR(INDEX($K$5743:$K$5746,MATCH($O5744,$N$5743:$N$5746,0)),"")</f>
        <v/>
      </c>
      <c r="D5744" s="42" t="str">
        <f aca="false">IF(OR(E5744="",N(C5744)=0),"",E5744/C5744-1)</f>
        <v/>
      </c>
      <c r="E5744" s="41" t="str">
        <f aca="false">IFERROR(INDEX($L$5743:$L$5746,MATCH($O5744,$N$5743:$N$5746,0)),"")</f>
        <v/>
      </c>
      <c r="F5744" s="41" t="str">
        <f aca="false">IF(E5744="","",E5744-C5744)</f>
        <v/>
      </c>
      <c r="J5744" s="25" t="str">
        <f aca="false">Lib_Paye</f>
        <v>Mission sociale (bulletins de paie, DSN, déclarations sociales)</v>
      </c>
      <c r="K5744" s="25" t="n">
        <f aca="false">IF($K$5716=0,0,N(INDEX(Clients!$L$2:$L$501,$K$5716)))</f>
        <v>0</v>
      </c>
      <c r="L5744" s="25" t="n">
        <f aca="false">IF($K$5716=0,0,N(INDEX(Clients!$Q$2:$Q$501,$K$5716)))</f>
        <v>0</v>
      </c>
      <c r="M5744" s="25" t="n">
        <f aca="false">IF(OR(K5744&lt;&gt;0,L5744&lt;&gt;0),1,0)</f>
        <v>0</v>
      </c>
      <c r="N5744" s="25" t="str">
        <f aca="false">IF(M5744=1,SUM($M$5743:M5744),"")</f>
        <v/>
      </c>
      <c r="O5744" s="25" t="n">
        <v>2</v>
      </c>
    </row>
    <row r="5745" customFormat="false" ht="16.5" hidden="false" customHeight="true" outlineLevel="0" collapsed="false">
      <c r="B5745" s="40" t="str">
        <f aca="false">IFERROR(INDEX($J$5743:$J$5746,MATCH($O5745,$N$5743:$N$5746,0)),"")</f>
        <v/>
      </c>
      <c r="C5745" s="41" t="str">
        <f aca="false">IFERROR(INDEX($K$5743:$K$5746,MATCH($O5745,$N$5743:$N$5746,0)),"")</f>
        <v/>
      </c>
      <c r="D5745" s="42" t="str">
        <f aca="false">IF(OR(E5745="",N(C5745)=0),"",E5745/C5745-1)</f>
        <v/>
      </c>
      <c r="E5745" s="41" t="str">
        <f aca="false">IFERROR(INDEX($L$5743:$L$5746,MATCH($O5745,$N$5743:$N$5746,0)),"")</f>
        <v/>
      </c>
      <c r="F5745" s="41" t="str">
        <f aca="false">IF(E5745="","",E5745-C5745)</f>
        <v/>
      </c>
      <c r="J5745" s="25" t="str">
        <f aca="false">Lib_Jur</f>
        <v>Mission juridique (approbation des comptes, secrétariat juridique)</v>
      </c>
      <c r="K5745" s="25" t="n">
        <f aca="false">IF($K$5716=0,0,N(INDEX(Clients!$M$2:$M$501,$K$5716)))</f>
        <v>0</v>
      </c>
      <c r="L5745" s="25" t="n">
        <f aca="false">IF($K$5716=0,0,N(INDEX(Clients!$R$2:$R$501,$K$5716)))</f>
        <v>0</v>
      </c>
      <c r="M5745" s="25" t="n">
        <f aca="false">IF(OR(K5745&lt;&gt;0,L5745&lt;&gt;0),1,0)</f>
        <v>0</v>
      </c>
      <c r="N5745" s="25" t="str">
        <f aca="false">IF(M5745=1,SUM($M$5743:M5745),"")</f>
        <v/>
      </c>
      <c r="O5745" s="25" t="n">
        <v>3</v>
      </c>
    </row>
    <row r="5746" customFormat="false" ht="16.5" hidden="false" customHeight="true" outlineLevel="0" collapsed="false">
      <c r="B5746" s="40" t="str">
        <f aca="false">IFERROR(INDEX($J$5743:$J$5746,MATCH($O5746,$N$5743:$N$5746,0)),"")</f>
        <v/>
      </c>
      <c r="C5746" s="41" t="str">
        <f aca="false">IFERROR(INDEX($K$5743:$K$5746,MATCH($O5746,$N$5743:$N$5746,0)),"")</f>
        <v/>
      </c>
      <c r="D5746" s="42" t="str">
        <f aca="false">IF(OR(E5746="",N(C5746)=0),"",E5746/C5746-1)</f>
        <v/>
      </c>
      <c r="E5746" s="41" t="str">
        <f aca="false">IFERROR(INDEX($L$5743:$L$5746,MATCH($O5746,$N$5743:$N$5746,0)),"")</f>
        <v/>
      </c>
      <c r="F5746" s="41" t="str">
        <f aca="false">IF(E5746="","",E5746-C5746)</f>
        <v/>
      </c>
      <c r="J5746" s="25" t="str">
        <f aca="false">Lib_PA</f>
        <v>Plateforme agréée – facturation électronique</v>
      </c>
      <c r="K5746" s="25" t="n">
        <f aca="false">IF($K$5716=0,0,N(INDEX(Clients!$N$2:$N$501,$K$5716)))</f>
        <v>0</v>
      </c>
      <c r="L5746" s="25" t="n">
        <f aca="false">IF($K$5716=0,0,N(INDEX(Clients!$S$2:$S$501,$K$5716)))</f>
        <v>0</v>
      </c>
      <c r="M5746" s="25" t="n">
        <f aca="false">IF(OR(K5746&lt;&gt;0,L5746&lt;&gt;0),1,0)</f>
        <v>0</v>
      </c>
      <c r="N5746" s="25" t="str">
        <f aca="false">IF(M5746=1,SUM($M$5743:M5746),"")</f>
        <v/>
      </c>
      <c r="O5746" s="25" t="n">
        <v>4</v>
      </c>
    </row>
    <row r="5747" customFormat="false" ht="18" hidden="false" customHeight="true" outlineLevel="0" collapsed="false">
      <c r="B5747" s="43" t="s">
        <v>158</v>
      </c>
      <c r="C5747" s="44" t="n">
        <f aca="false">SUM(K5743:K5746)</f>
        <v>0</v>
      </c>
      <c r="D5747" s="45" t="str">
        <f aca="false">IF(N(C5747)=0,"",E5747/C5747-1)</f>
        <v/>
      </c>
      <c r="E5747" s="44" t="n">
        <f aca="false">SUM(L5743:L5746)</f>
        <v>0</v>
      </c>
      <c r="F5747" s="44" t="n">
        <f aca="false">E5747-C5747</f>
        <v>0</v>
      </c>
    </row>
    <row r="5748" customFormat="false" ht="15" hidden="false" customHeight="false" outlineLevel="0" collapsed="false">
      <c r="B5748" s="46" t="str">
        <f aca="false">IF(N(Nb_Mensualites)=0,"","Soit "&amp;FIXED(E5747/Nb_Mensualites,2)&amp;" € HT par échéance ("&amp;Nb_Mensualites&amp;" échéances), "&amp;FIXED(E5747/Nb_Mensualites*(1+Taux_TVA),2)&amp;" € TTC.")</f>
        <v>Soit 0.00 € HT par échéance (12 échéances), 0.00 € TTC.</v>
      </c>
      <c r="C5748" s="46"/>
      <c r="D5748" s="46"/>
      <c r="E5748" s="46"/>
      <c r="F5748" s="46"/>
    </row>
    <row r="5749" customFormat="false" ht="7.5" hidden="false" customHeight="true" outlineLevel="0" collapsed="false">
      <c r="B5749" s="10"/>
      <c r="C5749" s="10"/>
      <c r="D5749" s="10"/>
      <c r="E5749" s="10"/>
      <c r="F5749" s="10"/>
    </row>
    <row r="5750" customFormat="false" ht="36.75" hidden="false" customHeight="true" outlineLevel="0" collapsed="false">
      <c r="B5750" s="37" t="str">
        <f aca="false">SUBSTITUTE(SUBSTITUTE(SUBSTITUTE(SUBSTITUTE(SUBSTITUTE(Txt_P5,"{cabinet}",Cab_Nom),"{societe}",IF($K$5716=0,"",INDEX(Clients!$E$2:$E$501,$K$5716)&amp;"")),"{date_effet}",$K$5718),"{hausse}",$K$5719),"{civilite}",$K$5717)</f>
        <v>Les autres conditions de votre lettre de mission demeurent inchangées. Les nouveaux montants seront appliqués automatiquement sur vos prochaines factures et échéances de prélèvement.</v>
      </c>
      <c r="C5750" s="37"/>
      <c r="D5750" s="37"/>
      <c r="E5750" s="37"/>
      <c r="F5750" s="37"/>
    </row>
    <row r="5751" customFormat="false" ht="36.75" hidden="false" customHeight="true" outlineLevel="0" collapsed="false">
      <c r="B5751" s="37" t="str">
        <f aca="false">SUBSTITUTE(SUBSTITUTE(SUBSTITUTE(SUBSTITUTE(SUBSTITUTE(Txt_P6,"{cabinet}",Cab_Nom),"{societe}",IF($K$5716=0,"",INDEX(Clients!$E$2:$E$501,$K$5716)&amp;"")),"{date_effet}",$K$5718),"{hausse}",$K$5719),"{civilite}",$K$5717)</f>
        <v>Votre interlocuteur habituel reste à votre entière disposition pour répondre à vos questions et faire le point sur l'évolution de vos besoins.</v>
      </c>
      <c r="C5751" s="37"/>
      <c r="D5751" s="37"/>
      <c r="E5751" s="37"/>
      <c r="F5751" s="37"/>
    </row>
    <row r="5752" customFormat="false" ht="24" hidden="false" customHeight="true" outlineLevel="0" collapsed="false">
      <c r="B5752" s="37" t="str">
        <f aca="false">SUBSTITUTE(SUBSTITUTE(SUBSTITUTE(SUBSTITUTE(SUBSTITUTE(Txt_Politesse,"{cabinet}",Cab_Nom),"{societe}",IF($K$5716=0,"",INDEX(Clients!$E$2:$E$501,$K$5716)&amp;"")),"{date_effet}",$K$5718),"{hausse}",$K$5719),"{civilite}",$K$5717)</f>
        <v>Nous vous prions d'agréer, Madame, Monsieur, l'expression de nos salutations distinguées.</v>
      </c>
      <c r="C5752" s="37"/>
      <c r="D5752" s="37"/>
      <c r="E5752" s="37"/>
      <c r="F5752" s="37"/>
    </row>
    <row r="5753" customFormat="false" ht="15" hidden="false" customHeight="false" outlineLevel="0" collapsed="false">
      <c r="B5753" s="10"/>
      <c r="C5753" s="10"/>
      <c r="D5753" s="10"/>
      <c r="E5753" s="10"/>
      <c r="F5753" s="10"/>
    </row>
    <row r="5754" customFormat="false" ht="15" hidden="false" customHeight="false" outlineLevel="0" collapsed="false">
      <c r="B5754" s="10"/>
      <c r="C5754" s="10"/>
      <c r="D5754" s="34" t="str">
        <f aca="false">Signataire</f>
        <v>Prénom NOM</v>
      </c>
      <c r="E5754" s="34"/>
      <c r="F5754" s="34"/>
    </row>
    <row r="5755" customFormat="false" ht="15" hidden="false" customHeight="false" outlineLevel="0" collapsed="false">
      <c r="B5755" s="10"/>
      <c r="C5755" s="10"/>
      <c r="D5755" s="47" t="str">
        <f aca="false">Signataire_Titre</f>
        <v>Expert-comptable associé</v>
      </c>
      <c r="E5755" s="47"/>
      <c r="F5755" s="47"/>
    </row>
    <row r="5756" customFormat="false" ht="15.75" hidden="false" customHeight="true" outlineLevel="0" collapsed="false">
      <c r="B5756" s="10"/>
      <c r="C5756" s="10"/>
      <c r="D5756" s="10"/>
      <c r="E5756" s="10"/>
      <c r="F5756" s="10"/>
    </row>
    <row r="5757" customFormat="false" ht="15.75" hidden="false" customHeight="true" outlineLevel="0" collapsed="false">
      <c r="B5757" s="10"/>
      <c r="C5757" s="10"/>
      <c r="D5757" s="10"/>
      <c r="E5757" s="10"/>
      <c r="F5757" s="10"/>
    </row>
    <row r="5758" customFormat="false" ht="15.75" hidden="false" customHeight="true" outlineLevel="0" collapsed="false">
      <c r="B5758" s="10"/>
      <c r="C5758" s="10"/>
      <c r="D5758" s="10"/>
      <c r="E5758" s="10"/>
      <c r="F5758" s="10"/>
    </row>
    <row r="5759" customFormat="false" ht="15.75" hidden="false" customHeight="true" outlineLevel="0" collapsed="false">
      <c r="B5759" s="10"/>
      <c r="C5759" s="10"/>
      <c r="D5759" s="10"/>
      <c r="E5759" s="10"/>
      <c r="F5759" s="10"/>
    </row>
    <row r="5760" customFormat="false" ht="24" hidden="false" customHeight="true" outlineLevel="0" collapsed="false">
      <c r="B5760" s="48" t="str">
        <f aca="false">Cab_Mentions</f>
        <v>ALTHO EXPERTISE · SAS au capital de 10 000 € · RCS Pontoise 919 706 325 · TVA FR62919706325 · Société d'expertise comptable inscrite au Tableau de l'Ordre des experts-comptables de Paris Île-de-France</v>
      </c>
      <c r="C5760" s="48"/>
      <c r="D5760" s="48"/>
      <c r="E5760" s="48"/>
      <c r="F5760" s="48"/>
    </row>
    <row r="5761" customFormat="false" ht="15" hidden="false" customHeight="false" outlineLevel="0" collapsed="false">
      <c r="B5761" s="10"/>
      <c r="C5761" s="10"/>
      <c r="D5761" s="10"/>
      <c r="E5761" s="10"/>
      <c r="F5761" s="10"/>
      <c r="J5761" s="25" t="s">
        <v>142</v>
      </c>
      <c r="K5761" s="25" t="n">
        <f aca="false">IFERROR(MATCH(129,Clients!$Z$2:$Z$501,0),0)</f>
        <v>0</v>
      </c>
      <c r="L5761" s="25"/>
      <c r="M5761" s="25"/>
      <c r="N5761" s="25"/>
      <c r="O5761" s="25"/>
    </row>
    <row r="5762" customFormat="false" ht="21.75" hidden="false" customHeight="true" outlineLevel="0" collapsed="false">
      <c r="B5762" s="26" t="str">
        <f aca="false">Cab_Nom</f>
        <v>ALTHO EXPERTISE</v>
      </c>
      <c r="C5762" s="26"/>
      <c r="D5762" s="10"/>
      <c r="E5762" s="27" t="str">
        <f aca="false">IF($K$5761=0,"","Réf. client : "&amp;INDEX(Clients!$A$2:$A$501,$K$5761))</f>
        <v/>
      </c>
      <c r="F5762" s="27"/>
      <c r="J5762" s="25" t="s">
        <v>144</v>
      </c>
      <c r="K5762" s="25" t="str">
        <f aca="false">IF(IF($K$5761=0,"",INDEX(Clients!$B$2:$B$501,$K$5761)&amp;"")="Mme","Madame",IF(IF($K$5761=0,"",INDEX(Clients!$B$2:$B$501,$K$5761)&amp;"")="M.","Monsieur","Madame, Monsieur"))</f>
        <v>Madame, Monsieur</v>
      </c>
      <c r="L5762" s="25"/>
      <c r="M5762" s="25"/>
      <c r="N5762" s="25"/>
      <c r="O5762" s="25"/>
    </row>
    <row r="5763" customFormat="false" ht="15" hidden="false" customHeight="false" outlineLevel="0" collapsed="false">
      <c r="B5763" s="29" t="str">
        <f aca="false">Cab_Adr1</f>
        <v>141 rue Charles de Gaulle</v>
      </c>
      <c r="C5763" s="29"/>
      <c r="D5763" s="10"/>
      <c r="E5763" s="10"/>
      <c r="F5763" s="10"/>
      <c r="J5763" s="25" t="s">
        <v>145</v>
      </c>
      <c r="K5763" s="25" t="str">
        <f aca="false">DAY(Date_Effet)&amp;IF(DAY(Date_Effet)=1,"er","")&amp;" "&amp;INDEX(Liste_Mois,MONTH(Date_Effet))&amp;" "&amp;YEAR(Date_Effet)</f>
        <v>1er janvier 2027</v>
      </c>
      <c r="L5763" s="25"/>
      <c r="M5763" s="25"/>
      <c r="N5763" s="25"/>
      <c r="O5763" s="25"/>
    </row>
    <row r="5764" customFormat="false" ht="15" hidden="false" customHeight="false" outlineLevel="0" collapsed="false">
      <c r="B5764" s="29" t="str">
        <f aca="false">Cab_CPVille</f>
        <v>95130 LE PLESSIS-BOUCHARD</v>
      </c>
      <c r="C5764" s="29"/>
      <c r="D5764" s="10"/>
      <c r="E5764" s="10"/>
      <c r="F5764" s="10"/>
      <c r="J5764" s="25" t="s">
        <v>146</v>
      </c>
      <c r="K5764" s="25" t="str">
        <f aca="false">IF(SUM($K$5788:$K$5791)=0,"",FIXED((SUM($L$5788:$L$5791)/SUM($K$5788:$K$5791)-1)*100,1)&amp;" %")</f>
        <v/>
      </c>
      <c r="L5764" s="25"/>
      <c r="M5764" s="25"/>
      <c r="N5764" s="25"/>
      <c r="O5764" s="25"/>
    </row>
    <row r="5765" customFormat="false" ht="15" hidden="false" customHeight="false" outlineLevel="0" collapsed="false">
      <c r="B5765" s="29" t="str">
        <f aca="false">Cab_Contact</f>
        <v>Tél. 01 34 14 53 45  ·  altho@altho-experts.com  ·  altho-experts.com</v>
      </c>
      <c r="C5765" s="29"/>
      <c r="D5765" s="10"/>
      <c r="E5765" s="10"/>
      <c r="F5765" s="10"/>
      <c r="J5765" s="25"/>
      <c r="K5765" s="25"/>
      <c r="L5765" s="25"/>
      <c r="M5765" s="25"/>
      <c r="N5765" s="25"/>
      <c r="O5765" s="25"/>
    </row>
    <row r="5766" customFormat="false" ht="6" hidden="false" customHeight="true" outlineLevel="0" collapsed="false">
      <c r="B5766" s="32"/>
      <c r="C5766" s="32"/>
      <c r="D5766" s="32"/>
      <c r="E5766" s="32"/>
      <c r="F5766" s="32"/>
      <c r="J5766" s="25"/>
      <c r="K5766" s="25"/>
      <c r="L5766" s="25"/>
      <c r="M5766" s="25"/>
      <c r="N5766" s="25"/>
      <c r="O5766" s="25"/>
    </row>
    <row r="5767" customFormat="false" ht="13.5" hidden="false" customHeight="true" outlineLevel="0" collapsed="false">
      <c r="B5767" s="10"/>
      <c r="C5767" s="10"/>
      <c r="D5767" s="10"/>
      <c r="E5767" s="10"/>
      <c r="F5767" s="10"/>
      <c r="J5767" s="25"/>
      <c r="K5767" s="25"/>
      <c r="L5767" s="25"/>
      <c r="M5767" s="25"/>
      <c r="N5767" s="25"/>
      <c r="O5767" s="25"/>
    </row>
    <row r="5768" customFormat="false" ht="13.5" hidden="false" customHeight="true" outlineLevel="0" collapsed="false">
      <c r="B5768" s="10"/>
      <c r="C5768" s="10"/>
      <c r="D5768" s="10"/>
      <c r="E5768" s="10"/>
      <c r="F5768" s="10"/>
      <c r="J5768" s="25"/>
      <c r="K5768" s="25"/>
      <c r="L5768" s="25"/>
      <c r="M5768" s="25"/>
      <c r="N5768" s="25"/>
      <c r="O5768" s="25"/>
    </row>
    <row r="5769" customFormat="false" ht="13.5" hidden="false" customHeight="true" outlineLevel="0" collapsed="false">
      <c r="B5769" s="10"/>
      <c r="C5769" s="10"/>
      <c r="D5769" s="10"/>
      <c r="E5769" s="10"/>
      <c r="F5769" s="10"/>
      <c r="J5769" s="25"/>
      <c r="K5769" s="25"/>
      <c r="L5769" s="25"/>
      <c r="M5769" s="25"/>
      <c r="N5769" s="25"/>
      <c r="O5769" s="25"/>
    </row>
    <row r="5770" customFormat="false" ht="15" hidden="false" customHeight="true" outlineLevel="0" collapsed="false">
      <c r="B5770" s="10"/>
      <c r="C5770" s="10"/>
      <c r="D5770" s="34" t="str">
        <f aca="false">IF($K$5761=0,"",INDEX(Clients!$E$2:$E$501,$K$5761)&amp;"")</f>
        <v/>
      </c>
      <c r="E5770" s="34"/>
      <c r="F5770" s="34"/>
      <c r="J5770" s="25"/>
      <c r="K5770" s="25"/>
      <c r="L5770" s="25"/>
      <c r="M5770" s="25"/>
      <c r="N5770" s="25"/>
      <c r="O5770" s="25"/>
    </row>
    <row r="5771" customFormat="false" ht="15" hidden="false" customHeight="true" outlineLevel="0" collapsed="false">
      <c r="B5771" s="10"/>
      <c r="C5771" s="10"/>
      <c r="D5771" s="35" t="str">
        <f aca="false">IF(IF($K$5761=0,"",INDEX(Clients!$D$2:$D$501,$K$5761)&amp;"")="","","À l'attention de "&amp;TRIM(IF($K$5761=0,"",INDEX(Clients!$B$2:$B$501,$K$5761)&amp;"")&amp;" "&amp;IF($K$5761=0,"",INDEX(Clients!$C$2:$C$501,$K$5761)&amp;"")&amp;" "&amp;IF($K$5761=0,"",INDEX(Clients!$D$2:$D$501,$K$5761)&amp;"")))</f>
        <v/>
      </c>
      <c r="E5771" s="35"/>
      <c r="F5771" s="35"/>
      <c r="J5771" s="25"/>
      <c r="K5771" s="25"/>
      <c r="L5771" s="25"/>
      <c r="M5771" s="25"/>
      <c r="N5771" s="25"/>
      <c r="O5771" s="25"/>
    </row>
    <row r="5772" customFormat="false" ht="15" hidden="false" customHeight="true" outlineLevel="0" collapsed="false">
      <c r="B5772" s="10"/>
      <c r="C5772" s="10"/>
      <c r="D5772" s="35" t="str">
        <f aca="false">IF($K$5761=0,"",INDEX(Clients!$F$2:$F$501,$K$5761)&amp;"")</f>
        <v/>
      </c>
      <c r="E5772" s="35"/>
      <c r="F5772" s="35"/>
      <c r="J5772" s="25"/>
      <c r="K5772" s="25"/>
      <c r="L5772" s="25"/>
      <c r="M5772" s="25"/>
      <c r="N5772" s="25"/>
      <c r="O5772" s="25"/>
    </row>
    <row r="5773" customFormat="false" ht="15" hidden="false" customHeight="true" outlineLevel="0" collapsed="false">
      <c r="B5773" s="10"/>
      <c r="C5773" s="10"/>
      <c r="D5773" s="35" t="str">
        <f aca="false">IF(IF($K$5761=0,"",INDEX(Clients!$G$2:$G$501,$K$5761)&amp;"")="",TRIM(IF($K$5761=0,"",INDEX(Clients!$H$2:$H$501,$K$5761)&amp;"")&amp;" "&amp;UPPER(IF($K$5761=0,"",INDEX(Clients!$I$2:$I$501,$K$5761)&amp;""))),IF($K$5761=0,"",INDEX(Clients!$G$2:$G$501,$K$5761)&amp;""))</f>
        <v/>
      </c>
      <c r="E5773" s="35"/>
      <c r="F5773" s="35"/>
      <c r="J5773" s="25"/>
      <c r="K5773" s="25"/>
      <c r="L5773" s="25"/>
      <c r="M5773" s="25"/>
      <c r="N5773" s="25"/>
      <c r="O5773" s="25"/>
    </row>
    <row r="5774" customFormat="false" ht="15" hidden="false" customHeight="true" outlineLevel="0" collapsed="false">
      <c r="B5774" s="10"/>
      <c r="C5774" s="10"/>
      <c r="D5774" s="35" t="str">
        <f aca="false">IF(IF($K$5761=0,"",INDEX(Clients!$G$2:$G$501,$K$5761)&amp;"")="","",TRIM(IF($K$5761=0,"",INDEX(Clients!$H$2:$H$501,$K$5761)&amp;"")&amp;" "&amp;UPPER(IF($K$5761=0,"",INDEX(Clients!$I$2:$I$501,$K$5761)&amp;""))))</f>
        <v/>
      </c>
      <c r="E5774" s="35"/>
      <c r="F5774" s="35"/>
      <c r="J5774" s="25"/>
      <c r="K5774" s="25"/>
      <c r="L5774" s="25"/>
      <c r="M5774" s="25"/>
      <c r="N5774" s="25"/>
      <c r="O5774" s="25"/>
    </row>
    <row r="5775" customFormat="false" ht="25.5" hidden="false" customHeight="true" outlineLevel="0" collapsed="false">
      <c r="B5775" s="10"/>
      <c r="C5775" s="10"/>
      <c r="D5775" s="10"/>
      <c r="E5775" s="10"/>
      <c r="F5775" s="10"/>
      <c r="J5775" s="25"/>
      <c r="K5775" s="25"/>
      <c r="L5775" s="25"/>
      <c r="M5775" s="25"/>
      <c r="N5775" s="25"/>
      <c r="O5775" s="25"/>
    </row>
    <row r="5776" customFormat="false" ht="15" hidden="false" customHeight="false" outlineLevel="0" collapsed="false">
      <c r="B5776" s="10"/>
      <c r="C5776" s="10"/>
      <c r="D5776" s="36" t="str">
        <f aca="false">Cab_Ville&amp;", le "&amp;DAY(Date_Courrier)&amp;IF(DAY(Date_Courrier)=1,"er","")&amp;" "&amp;INDEX(Liste_Mois,MONTH(Date_Courrier))&amp;" "&amp;YEAR(Date_Courrier)</f>
        <v>Le Plessis-Bouchard, le 22 septembre 2026</v>
      </c>
      <c r="E5776" s="36"/>
      <c r="F5776" s="36"/>
      <c r="J5776" s="25"/>
      <c r="K5776" s="25"/>
      <c r="L5776" s="25"/>
      <c r="M5776" s="25"/>
      <c r="N5776" s="25"/>
      <c r="O5776" s="25"/>
    </row>
    <row r="5777" customFormat="false" ht="19.5" hidden="false" customHeight="true" outlineLevel="0" collapsed="false">
      <c r="B5777" s="10"/>
      <c r="C5777" s="10"/>
      <c r="D5777" s="10"/>
      <c r="E5777" s="10"/>
      <c r="F5777" s="10"/>
      <c r="J5777" s="25"/>
      <c r="K5777" s="25"/>
      <c r="L5777" s="25"/>
      <c r="M5777" s="25"/>
      <c r="N5777" s="25"/>
      <c r="O5777" s="25"/>
    </row>
    <row r="5778" customFormat="false" ht="15" hidden="false" customHeight="false" outlineLevel="0" collapsed="false">
      <c r="B5778" s="34" t="str">
        <f aca="false">SUBSTITUTE(SUBSTITUTE(SUBSTITUTE(SUBSTITUTE(SUBSTITUTE(Txt_Objet,"{cabinet}",Cab_Nom),"{societe}",IF($K$5761=0,"",INDEX(Clients!$E$2:$E$501,$K$5761)&amp;"")),"{date_effet}",$K$5763),"{hausse}",$K$5764),"{civilite}",$K$5762)</f>
        <v>Objet : révision de nos honoraires au 1er janvier 2027</v>
      </c>
      <c r="C5778" s="34"/>
      <c r="D5778" s="34"/>
      <c r="E5778" s="34"/>
      <c r="F5778" s="34"/>
      <c r="J5778" s="25"/>
      <c r="K5778" s="25"/>
      <c r="L5778" s="25"/>
      <c r="M5778" s="25"/>
      <c r="N5778" s="25"/>
      <c r="O5778" s="25"/>
    </row>
    <row r="5779" customFormat="false" ht="13.5" hidden="false" customHeight="true" outlineLevel="0" collapsed="false">
      <c r="B5779" s="10"/>
      <c r="C5779" s="10"/>
      <c r="D5779" s="10"/>
      <c r="E5779" s="10"/>
      <c r="F5779" s="10"/>
      <c r="J5779" s="25"/>
      <c r="K5779" s="25"/>
      <c r="L5779" s="25"/>
      <c r="M5779" s="25"/>
      <c r="N5779" s="25"/>
      <c r="O5779" s="25"/>
    </row>
    <row r="5780" customFormat="false" ht="15" hidden="false" customHeight="false" outlineLevel="0" collapsed="false">
      <c r="B5780" s="10" t="str">
        <f aca="false">$K$5762&amp;","</f>
        <v>Madame, Monsieur,</v>
      </c>
      <c r="C5780" s="10"/>
      <c r="D5780" s="10"/>
      <c r="E5780" s="10"/>
      <c r="F5780" s="10"/>
      <c r="J5780" s="25"/>
      <c r="K5780" s="25"/>
      <c r="L5780" s="25"/>
      <c r="M5780" s="25"/>
      <c r="N5780" s="25"/>
      <c r="O5780" s="25"/>
    </row>
    <row r="5781" customFormat="false" ht="6" hidden="false" customHeight="true" outlineLevel="0" collapsed="false">
      <c r="B5781" s="10"/>
      <c r="C5781" s="10"/>
      <c r="D5781" s="10"/>
      <c r="E5781" s="10"/>
      <c r="F5781" s="10"/>
      <c r="J5781" s="25"/>
      <c r="K5781" s="25"/>
      <c r="L5781" s="25"/>
      <c r="M5781" s="25"/>
      <c r="N5781" s="25"/>
      <c r="O5781" s="25"/>
    </row>
    <row r="5782" customFormat="false" ht="36.75" hidden="false" customHeight="true" outlineLevel="0" collapsed="false">
      <c r="B5782" s="37" t="str">
        <f aca="false">SUBSTITUTE(SUBSTITUTE(SUBSTITUTE(SUBSTITUTE(SUBSTITUTE(Txt_P1,"{cabinet}",Cab_Nom),"{societe}",IF($K$5761=0,"",INDEX(Clients!$E$2:$E$501,$K$5761)&amp;"")),"{date_effet}",$K$5763),"{hausse}",$K$5764),"{civilite}",$K$5762)</f>
        <v>Nous tenons tout d'abord à vous remercier pour la confiance que vous accordez à ALTHO EXPERTISE. Comme chaque année, et conformément aux dispositions de votre lettre de mission, nous procédons à la révision de nos honoraires.</v>
      </c>
      <c r="C5782" s="37"/>
      <c r="D5782" s="37"/>
      <c r="E5782" s="37"/>
      <c r="F5782" s="37"/>
      <c r="J5782" s="25"/>
      <c r="K5782" s="25"/>
      <c r="L5782" s="25"/>
      <c r="M5782" s="25"/>
      <c r="N5782" s="25"/>
      <c r="O5782" s="25"/>
    </row>
    <row r="5783" customFormat="false" ht="49.5" hidden="false" customHeight="true" outlineLevel="0" collapsed="false">
      <c r="B5783" s="37" t="str">
        <f aca="false">SUBSTITUTE(SUBSTITUTE(SUBSTITUTE(SUBSTITUTE(SUBSTITUTE(Txt_P2,"{cabinet}",Cab_Nom),"{societe}",IF($K$5761=0,"",INDEX(Clients!$E$2:$E$501,$K$5761)&amp;"")),"{date_effet}",$K$5763),"{hausse}",$K$5764),"{civilite}",$K$5762)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783" s="37"/>
      <c r="D5783" s="37"/>
      <c r="E5783" s="37"/>
      <c r="F5783" s="37"/>
      <c r="J5783" s="25"/>
      <c r="K5783" s="25"/>
      <c r="L5783" s="25"/>
      <c r="M5783" s="25"/>
      <c r="N5783" s="25"/>
      <c r="O5783" s="25"/>
    </row>
    <row r="5784" customFormat="false" ht="63" hidden="false" customHeight="true" outlineLevel="0" collapsed="false">
      <c r="B5784" s="37" t="str">
        <f aca="false">SUBSTITUTE(SUBSTITUTE(SUBSTITUTE(SUBSTITUTE(SUBSTITUTE(Txt_P3,"{cabinet}",Cab_Nom),"{societe}",IF($K$5761=0,"",INDEX(Clients!$E$2:$E$501,$K$5761)&amp;"")),"{date_effet}",$K$5763),"{hausse}",$K$5764),"{civilite}",$K$5762)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784" s="37"/>
      <c r="D5784" s="37"/>
      <c r="E5784" s="37"/>
      <c r="F5784" s="37"/>
      <c r="J5784" s="25"/>
      <c r="K5784" s="25"/>
      <c r="L5784" s="25"/>
      <c r="M5784" s="25"/>
      <c r="N5784" s="25"/>
      <c r="O5784" s="25"/>
    </row>
    <row r="5785" customFormat="false" ht="24" hidden="false" customHeight="true" outlineLevel="0" collapsed="false">
      <c r="B5785" s="37" t="str">
        <f aca="false">SUBSTITUTE(SUBSTITUTE(SUBSTITUTE(SUBSTITUTE(SUBSTITUTE(Txt_P4,"{cabinet}",Cab_Nom),"{societe}",IF($K$5761=0,"",INDEX(Clients!$E$2:$E$501,$K$5761)&amp;"")),"{date_effet}",$K$5763),"{hausse}",$K$5764),"{civilite}",$K$5762)</f>
        <v>À compter du 1er janvier 2027, vos honoraires annuels hors taxes évolueront ainsi (évolution globale : ) :</v>
      </c>
      <c r="C5785" s="37"/>
      <c r="D5785" s="37"/>
      <c r="E5785" s="37"/>
      <c r="F5785" s="37"/>
      <c r="J5785" s="25"/>
      <c r="K5785" s="25"/>
      <c r="L5785" s="25"/>
      <c r="M5785" s="25"/>
      <c r="N5785" s="25"/>
      <c r="O5785" s="25"/>
    </row>
    <row r="5786" customFormat="false" ht="3.75" hidden="false" customHeight="true" outlineLevel="0" collapsed="false">
      <c r="B5786" s="10"/>
      <c r="C5786" s="10"/>
      <c r="D5786" s="10"/>
      <c r="E5786" s="10"/>
      <c r="F5786" s="10"/>
      <c r="J5786" s="25"/>
      <c r="K5786" s="25"/>
      <c r="L5786" s="25"/>
      <c r="M5786" s="25"/>
      <c r="N5786" s="25"/>
      <c r="O5786" s="25"/>
    </row>
    <row r="5787" customFormat="false" ht="18" hidden="false" customHeight="true" outlineLevel="0" collapsed="false">
      <c r="B5787" s="38" t="s">
        <v>148</v>
      </c>
      <c r="C5787" s="39" t="s">
        <v>149</v>
      </c>
      <c r="D5787" s="39" t="s">
        <v>150</v>
      </c>
      <c r="E5787" s="39" t="s">
        <v>151</v>
      </c>
      <c r="F5787" s="39" t="s">
        <v>109</v>
      </c>
      <c r="J5787" s="25" t="s">
        <v>152</v>
      </c>
      <c r="K5787" s="25" t="s">
        <v>153</v>
      </c>
      <c r="L5787" s="25" t="s">
        <v>154</v>
      </c>
      <c r="M5787" s="25" t="s">
        <v>155</v>
      </c>
      <c r="N5787" s="25" t="s">
        <v>156</v>
      </c>
      <c r="O5787" s="25" t="s">
        <v>157</v>
      </c>
    </row>
    <row r="5788" customFormat="false" ht="16.5" hidden="false" customHeight="true" outlineLevel="0" collapsed="false">
      <c r="B5788" s="40" t="str">
        <f aca="false">IFERROR(INDEX($J$5788:$J$5791,MATCH($O5788,$N$5788:$N$5791,0)),"")</f>
        <v/>
      </c>
      <c r="C5788" s="41" t="str">
        <f aca="false">IFERROR(INDEX($K$5788:$K$5791,MATCH($O5788,$N$5788:$N$5791,0)),"")</f>
        <v/>
      </c>
      <c r="D5788" s="42" t="str">
        <f aca="false">IF(OR(E5788="",N(C5788)=0),"",E5788/C5788-1)</f>
        <v/>
      </c>
      <c r="E5788" s="41" t="str">
        <f aca="false">IFERROR(INDEX($L$5788:$L$5791,MATCH($O5788,$N$5788:$N$5791,0)),"")</f>
        <v/>
      </c>
      <c r="F5788" s="41" t="str">
        <f aca="false">IF(E5788="","",E5788-C5788)</f>
        <v/>
      </c>
      <c r="J5788" s="25" t="str">
        <f aca="false">Lib_Compta</f>
        <v>Mission comptable (tenue, révision, bilan, liasse fiscale)</v>
      </c>
      <c r="K5788" s="25" t="n">
        <f aca="false">IF($K$5761=0,0,N(INDEX(Clients!$K$2:$K$501,$K$5761)))</f>
        <v>0</v>
      </c>
      <c r="L5788" s="25" t="n">
        <f aca="false">IF($K$5761=0,0,N(INDEX(Clients!$P$2:$P$501,$K$5761)))</f>
        <v>0</v>
      </c>
      <c r="M5788" s="25" t="n">
        <f aca="false">IF(OR(K5788&lt;&gt;0,L5788&lt;&gt;0),1,0)</f>
        <v>0</v>
      </c>
      <c r="N5788" s="25" t="str">
        <f aca="false">IF(M5788=1,SUM($M$5788:M5788),"")</f>
        <v/>
      </c>
      <c r="O5788" s="25" t="n">
        <v>1</v>
      </c>
    </row>
    <row r="5789" customFormat="false" ht="16.5" hidden="false" customHeight="true" outlineLevel="0" collapsed="false">
      <c r="B5789" s="40" t="str">
        <f aca="false">IFERROR(INDEX($J$5788:$J$5791,MATCH($O5789,$N$5788:$N$5791,0)),"")</f>
        <v/>
      </c>
      <c r="C5789" s="41" t="str">
        <f aca="false">IFERROR(INDEX($K$5788:$K$5791,MATCH($O5789,$N$5788:$N$5791,0)),"")</f>
        <v/>
      </c>
      <c r="D5789" s="42" t="str">
        <f aca="false">IF(OR(E5789="",N(C5789)=0),"",E5789/C5789-1)</f>
        <v/>
      </c>
      <c r="E5789" s="41" t="str">
        <f aca="false">IFERROR(INDEX($L$5788:$L$5791,MATCH($O5789,$N$5788:$N$5791,0)),"")</f>
        <v/>
      </c>
      <c r="F5789" s="41" t="str">
        <f aca="false">IF(E5789="","",E5789-C5789)</f>
        <v/>
      </c>
      <c r="J5789" s="25" t="str">
        <f aca="false">Lib_Paye</f>
        <v>Mission sociale (bulletins de paie, DSN, déclarations sociales)</v>
      </c>
      <c r="K5789" s="25" t="n">
        <f aca="false">IF($K$5761=0,0,N(INDEX(Clients!$L$2:$L$501,$K$5761)))</f>
        <v>0</v>
      </c>
      <c r="L5789" s="25" t="n">
        <f aca="false">IF($K$5761=0,0,N(INDEX(Clients!$Q$2:$Q$501,$K$5761)))</f>
        <v>0</v>
      </c>
      <c r="M5789" s="25" t="n">
        <f aca="false">IF(OR(K5789&lt;&gt;0,L5789&lt;&gt;0),1,0)</f>
        <v>0</v>
      </c>
      <c r="N5789" s="25" t="str">
        <f aca="false">IF(M5789=1,SUM($M$5788:M5789),"")</f>
        <v/>
      </c>
      <c r="O5789" s="25" t="n">
        <v>2</v>
      </c>
    </row>
    <row r="5790" customFormat="false" ht="16.5" hidden="false" customHeight="true" outlineLevel="0" collapsed="false">
      <c r="B5790" s="40" t="str">
        <f aca="false">IFERROR(INDEX($J$5788:$J$5791,MATCH($O5790,$N$5788:$N$5791,0)),"")</f>
        <v/>
      </c>
      <c r="C5790" s="41" t="str">
        <f aca="false">IFERROR(INDEX($K$5788:$K$5791,MATCH($O5790,$N$5788:$N$5791,0)),"")</f>
        <v/>
      </c>
      <c r="D5790" s="42" t="str">
        <f aca="false">IF(OR(E5790="",N(C5790)=0),"",E5790/C5790-1)</f>
        <v/>
      </c>
      <c r="E5790" s="41" t="str">
        <f aca="false">IFERROR(INDEX($L$5788:$L$5791,MATCH($O5790,$N$5788:$N$5791,0)),"")</f>
        <v/>
      </c>
      <c r="F5790" s="41" t="str">
        <f aca="false">IF(E5790="","",E5790-C5790)</f>
        <v/>
      </c>
      <c r="J5790" s="25" t="str">
        <f aca="false">Lib_Jur</f>
        <v>Mission juridique (approbation des comptes, secrétariat juridique)</v>
      </c>
      <c r="K5790" s="25" t="n">
        <f aca="false">IF($K$5761=0,0,N(INDEX(Clients!$M$2:$M$501,$K$5761)))</f>
        <v>0</v>
      </c>
      <c r="L5790" s="25" t="n">
        <f aca="false">IF($K$5761=0,0,N(INDEX(Clients!$R$2:$R$501,$K$5761)))</f>
        <v>0</v>
      </c>
      <c r="M5790" s="25" t="n">
        <f aca="false">IF(OR(K5790&lt;&gt;0,L5790&lt;&gt;0),1,0)</f>
        <v>0</v>
      </c>
      <c r="N5790" s="25" t="str">
        <f aca="false">IF(M5790=1,SUM($M$5788:M5790),"")</f>
        <v/>
      </c>
      <c r="O5790" s="25" t="n">
        <v>3</v>
      </c>
    </row>
    <row r="5791" customFormat="false" ht="16.5" hidden="false" customHeight="true" outlineLevel="0" collapsed="false">
      <c r="B5791" s="40" t="str">
        <f aca="false">IFERROR(INDEX($J$5788:$J$5791,MATCH($O5791,$N$5788:$N$5791,0)),"")</f>
        <v/>
      </c>
      <c r="C5791" s="41" t="str">
        <f aca="false">IFERROR(INDEX($K$5788:$K$5791,MATCH($O5791,$N$5788:$N$5791,0)),"")</f>
        <v/>
      </c>
      <c r="D5791" s="42" t="str">
        <f aca="false">IF(OR(E5791="",N(C5791)=0),"",E5791/C5791-1)</f>
        <v/>
      </c>
      <c r="E5791" s="41" t="str">
        <f aca="false">IFERROR(INDEX($L$5788:$L$5791,MATCH($O5791,$N$5788:$N$5791,0)),"")</f>
        <v/>
      </c>
      <c r="F5791" s="41" t="str">
        <f aca="false">IF(E5791="","",E5791-C5791)</f>
        <v/>
      </c>
      <c r="J5791" s="25" t="str">
        <f aca="false">Lib_PA</f>
        <v>Plateforme agréée – facturation électronique</v>
      </c>
      <c r="K5791" s="25" t="n">
        <f aca="false">IF($K$5761=0,0,N(INDEX(Clients!$N$2:$N$501,$K$5761)))</f>
        <v>0</v>
      </c>
      <c r="L5791" s="25" t="n">
        <f aca="false">IF($K$5761=0,0,N(INDEX(Clients!$S$2:$S$501,$K$5761)))</f>
        <v>0</v>
      </c>
      <c r="M5791" s="25" t="n">
        <f aca="false">IF(OR(K5791&lt;&gt;0,L5791&lt;&gt;0),1,0)</f>
        <v>0</v>
      </c>
      <c r="N5791" s="25" t="str">
        <f aca="false">IF(M5791=1,SUM($M$5788:M5791),"")</f>
        <v/>
      </c>
      <c r="O5791" s="25" t="n">
        <v>4</v>
      </c>
    </row>
    <row r="5792" customFormat="false" ht="18" hidden="false" customHeight="true" outlineLevel="0" collapsed="false">
      <c r="B5792" s="43" t="s">
        <v>158</v>
      </c>
      <c r="C5792" s="44" t="n">
        <f aca="false">SUM(K5788:K5791)</f>
        <v>0</v>
      </c>
      <c r="D5792" s="45" t="str">
        <f aca="false">IF(N(C5792)=0,"",E5792/C5792-1)</f>
        <v/>
      </c>
      <c r="E5792" s="44" t="n">
        <f aca="false">SUM(L5788:L5791)</f>
        <v>0</v>
      </c>
      <c r="F5792" s="44" t="n">
        <f aca="false">E5792-C5792</f>
        <v>0</v>
      </c>
    </row>
    <row r="5793" customFormat="false" ht="15" hidden="false" customHeight="false" outlineLevel="0" collapsed="false">
      <c r="B5793" s="46" t="str">
        <f aca="false">IF(N(Nb_Mensualites)=0,"","Soit "&amp;FIXED(E5792/Nb_Mensualites,2)&amp;" € HT par échéance ("&amp;Nb_Mensualites&amp;" échéances), "&amp;FIXED(E5792/Nb_Mensualites*(1+Taux_TVA),2)&amp;" € TTC.")</f>
        <v>Soit 0.00 € HT par échéance (12 échéances), 0.00 € TTC.</v>
      </c>
      <c r="C5793" s="46"/>
      <c r="D5793" s="46"/>
      <c r="E5793" s="46"/>
      <c r="F5793" s="46"/>
    </row>
    <row r="5794" customFormat="false" ht="7.5" hidden="false" customHeight="true" outlineLevel="0" collapsed="false">
      <c r="B5794" s="10"/>
      <c r="C5794" s="10"/>
      <c r="D5794" s="10"/>
      <c r="E5794" s="10"/>
      <c r="F5794" s="10"/>
    </row>
    <row r="5795" customFormat="false" ht="36.75" hidden="false" customHeight="true" outlineLevel="0" collapsed="false">
      <c r="B5795" s="37" t="str">
        <f aca="false">SUBSTITUTE(SUBSTITUTE(SUBSTITUTE(SUBSTITUTE(SUBSTITUTE(Txt_P5,"{cabinet}",Cab_Nom),"{societe}",IF($K$5761=0,"",INDEX(Clients!$E$2:$E$501,$K$5761)&amp;"")),"{date_effet}",$K$5763),"{hausse}",$K$5764),"{civilite}",$K$5762)</f>
        <v>Les autres conditions de votre lettre de mission demeurent inchangées. Les nouveaux montants seront appliqués automatiquement sur vos prochaines factures et échéances de prélèvement.</v>
      </c>
      <c r="C5795" s="37"/>
      <c r="D5795" s="37"/>
      <c r="E5795" s="37"/>
      <c r="F5795" s="37"/>
    </row>
    <row r="5796" customFormat="false" ht="36.75" hidden="false" customHeight="true" outlineLevel="0" collapsed="false">
      <c r="B5796" s="37" t="str">
        <f aca="false">SUBSTITUTE(SUBSTITUTE(SUBSTITUTE(SUBSTITUTE(SUBSTITUTE(Txt_P6,"{cabinet}",Cab_Nom),"{societe}",IF($K$5761=0,"",INDEX(Clients!$E$2:$E$501,$K$5761)&amp;"")),"{date_effet}",$K$5763),"{hausse}",$K$5764),"{civilite}",$K$5762)</f>
        <v>Votre interlocuteur habituel reste à votre entière disposition pour répondre à vos questions et faire le point sur l'évolution de vos besoins.</v>
      </c>
      <c r="C5796" s="37"/>
      <c r="D5796" s="37"/>
      <c r="E5796" s="37"/>
      <c r="F5796" s="37"/>
    </row>
    <row r="5797" customFormat="false" ht="24" hidden="false" customHeight="true" outlineLevel="0" collapsed="false">
      <c r="B5797" s="37" t="str">
        <f aca="false">SUBSTITUTE(SUBSTITUTE(SUBSTITUTE(SUBSTITUTE(SUBSTITUTE(Txt_Politesse,"{cabinet}",Cab_Nom),"{societe}",IF($K$5761=0,"",INDEX(Clients!$E$2:$E$501,$K$5761)&amp;"")),"{date_effet}",$K$5763),"{hausse}",$K$5764),"{civilite}",$K$5762)</f>
        <v>Nous vous prions d'agréer, Madame, Monsieur, l'expression de nos salutations distinguées.</v>
      </c>
      <c r="C5797" s="37"/>
      <c r="D5797" s="37"/>
      <c r="E5797" s="37"/>
      <c r="F5797" s="37"/>
    </row>
    <row r="5798" customFormat="false" ht="15" hidden="false" customHeight="false" outlineLevel="0" collapsed="false">
      <c r="B5798" s="10"/>
      <c r="C5798" s="10"/>
      <c r="D5798" s="10"/>
      <c r="E5798" s="10"/>
      <c r="F5798" s="10"/>
    </row>
    <row r="5799" customFormat="false" ht="15" hidden="false" customHeight="false" outlineLevel="0" collapsed="false">
      <c r="B5799" s="10"/>
      <c r="C5799" s="10"/>
      <c r="D5799" s="34" t="str">
        <f aca="false">Signataire</f>
        <v>Prénom NOM</v>
      </c>
      <c r="E5799" s="34"/>
      <c r="F5799" s="34"/>
    </row>
    <row r="5800" customFormat="false" ht="15" hidden="false" customHeight="false" outlineLevel="0" collapsed="false">
      <c r="B5800" s="10"/>
      <c r="C5800" s="10"/>
      <c r="D5800" s="47" t="str">
        <f aca="false">Signataire_Titre</f>
        <v>Expert-comptable associé</v>
      </c>
      <c r="E5800" s="47"/>
      <c r="F5800" s="47"/>
    </row>
    <row r="5801" customFormat="false" ht="15.75" hidden="false" customHeight="true" outlineLevel="0" collapsed="false">
      <c r="B5801" s="10"/>
      <c r="C5801" s="10"/>
      <c r="D5801" s="10"/>
      <c r="E5801" s="10"/>
      <c r="F5801" s="10"/>
    </row>
    <row r="5802" customFormat="false" ht="15.75" hidden="false" customHeight="true" outlineLevel="0" collapsed="false">
      <c r="B5802" s="10"/>
      <c r="C5802" s="10"/>
      <c r="D5802" s="10"/>
      <c r="E5802" s="10"/>
      <c r="F5802" s="10"/>
    </row>
    <row r="5803" customFormat="false" ht="15.75" hidden="false" customHeight="true" outlineLevel="0" collapsed="false">
      <c r="B5803" s="10"/>
      <c r="C5803" s="10"/>
      <c r="D5803" s="10"/>
      <c r="E5803" s="10"/>
      <c r="F5803" s="10"/>
    </row>
    <row r="5804" customFormat="false" ht="15.75" hidden="false" customHeight="true" outlineLevel="0" collapsed="false">
      <c r="B5804" s="10"/>
      <c r="C5804" s="10"/>
      <c r="D5804" s="10"/>
      <c r="E5804" s="10"/>
      <c r="F5804" s="10"/>
    </row>
    <row r="5805" customFormat="false" ht="24" hidden="false" customHeight="true" outlineLevel="0" collapsed="false">
      <c r="B5805" s="48" t="str">
        <f aca="false">Cab_Mentions</f>
        <v>ALTHO EXPERTISE · SAS au capital de 10 000 € · RCS Pontoise 919 706 325 · TVA FR62919706325 · Société d'expertise comptable inscrite au Tableau de l'Ordre des experts-comptables de Paris Île-de-France</v>
      </c>
      <c r="C5805" s="48"/>
      <c r="D5805" s="48"/>
      <c r="E5805" s="48"/>
      <c r="F5805" s="48"/>
    </row>
    <row r="5806" customFormat="false" ht="15" hidden="false" customHeight="false" outlineLevel="0" collapsed="false">
      <c r="B5806" s="10"/>
      <c r="C5806" s="10"/>
      <c r="D5806" s="10"/>
      <c r="E5806" s="10"/>
      <c r="F5806" s="10"/>
      <c r="J5806" s="25" t="s">
        <v>142</v>
      </c>
      <c r="K5806" s="25" t="n">
        <f aca="false">IFERROR(MATCH(130,Clients!$Z$2:$Z$501,0),0)</f>
        <v>0</v>
      </c>
      <c r="L5806" s="25"/>
      <c r="M5806" s="25"/>
      <c r="N5806" s="25"/>
      <c r="O5806" s="25"/>
    </row>
    <row r="5807" customFormat="false" ht="21.75" hidden="false" customHeight="true" outlineLevel="0" collapsed="false">
      <c r="B5807" s="26" t="str">
        <f aca="false">Cab_Nom</f>
        <v>ALTHO EXPERTISE</v>
      </c>
      <c r="C5807" s="26"/>
      <c r="D5807" s="10"/>
      <c r="E5807" s="27" t="str">
        <f aca="false">IF($K$5806=0,"","Réf. client : "&amp;INDEX(Clients!$A$2:$A$501,$K$5806))</f>
        <v/>
      </c>
      <c r="F5807" s="27"/>
      <c r="J5807" s="25" t="s">
        <v>144</v>
      </c>
      <c r="K5807" s="25" t="str">
        <f aca="false">IF(IF($K$5806=0,"",INDEX(Clients!$B$2:$B$501,$K$5806)&amp;"")="Mme","Madame",IF(IF($K$5806=0,"",INDEX(Clients!$B$2:$B$501,$K$5806)&amp;"")="M.","Monsieur","Madame, Monsieur"))</f>
        <v>Madame, Monsieur</v>
      </c>
      <c r="L5807" s="25"/>
      <c r="M5807" s="25"/>
      <c r="N5807" s="25"/>
      <c r="O5807" s="25"/>
    </row>
    <row r="5808" customFormat="false" ht="15" hidden="false" customHeight="false" outlineLevel="0" collapsed="false">
      <c r="B5808" s="29" t="str">
        <f aca="false">Cab_Adr1</f>
        <v>141 rue Charles de Gaulle</v>
      </c>
      <c r="C5808" s="29"/>
      <c r="D5808" s="10"/>
      <c r="E5808" s="10"/>
      <c r="F5808" s="10"/>
      <c r="J5808" s="25" t="s">
        <v>145</v>
      </c>
      <c r="K5808" s="25" t="str">
        <f aca="false">DAY(Date_Effet)&amp;IF(DAY(Date_Effet)=1,"er","")&amp;" "&amp;INDEX(Liste_Mois,MONTH(Date_Effet))&amp;" "&amp;YEAR(Date_Effet)</f>
        <v>1er janvier 2027</v>
      </c>
      <c r="L5808" s="25"/>
      <c r="M5808" s="25"/>
      <c r="N5808" s="25"/>
      <c r="O5808" s="25"/>
    </row>
    <row r="5809" customFormat="false" ht="15" hidden="false" customHeight="false" outlineLevel="0" collapsed="false">
      <c r="B5809" s="29" t="str">
        <f aca="false">Cab_CPVille</f>
        <v>95130 LE PLESSIS-BOUCHARD</v>
      </c>
      <c r="C5809" s="29"/>
      <c r="D5809" s="10"/>
      <c r="E5809" s="10"/>
      <c r="F5809" s="10"/>
      <c r="J5809" s="25" t="s">
        <v>146</v>
      </c>
      <c r="K5809" s="25" t="str">
        <f aca="false">IF(SUM($K$5833:$K$5836)=0,"",FIXED((SUM($L$5833:$L$5836)/SUM($K$5833:$K$5836)-1)*100,1)&amp;" %")</f>
        <v/>
      </c>
      <c r="L5809" s="25"/>
      <c r="M5809" s="25"/>
      <c r="N5809" s="25"/>
      <c r="O5809" s="25"/>
    </row>
    <row r="5810" customFormat="false" ht="15" hidden="false" customHeight="false" outlineLevel="0" collapsed="false">
      <c r="B5810" s="29" t="str">
        <f aca="false">Cab_Contact</f>
        <v>Tél. 01 34 14 53 45  ·  altho@altho-experts.com  ·  altho-experts.com</v>
      </c>
      <c r="C5810" s="29"/>
      <c r="D5810" s="10"/>
      <c r="E5810" s="10"/>
      <c r="F5810" s="10"/>
      <c r="J5810" s="25"/>
      <c r="K5810" s="25"/>
      <c r="L5810" s="25"/>
      <c r="M5810" s="25"/>
      <c r="N5810" s="25"/>
      <c r="O5810" s="25"/>
    </row>
    <row r="5811" customFormat="false" ht="6" hidden="false" customHeight="true" outlineLevel="0" collapsed="false">
      <c r="B5811" s="32"/>
      <c r="C5811" s="32"/>
      <c r="D5811" s="32"/>
      <c r="E5811" s="32"/>
      <c r="F5811" s="32"/>
      <c r="J5811" s="25"/>
      <c r="K5811" s="25"/>
      <c r="L5811" s="25"/>
      <c r="M5811" s="25"/>
      <c r="N5811" s="25"/>
      <c r="O5811" s="25"/>
    </row>
    <row r="5812" customFormat="false" ht="13.5" hidden="false" customHeight="true" outlineLevel="0" collapsed="false">
      <c r="B5812" s="10"/>
      <c r="C5812" s="10"/>
      <c r="D5812" s="10"/>
      <c r="E5812" s="10"/>
      <c r="F5812" s="10"/>
      <c r="J5812" s="25"/>
      <c r="K5812" s="25"/>
      <c r="L5812" s="25"/>
      <c r="M5812" s="25"/>
      <c r="N5812" s="25"/>
      <c r="O5812" s="25"/>
    </row>
    <row r="5813" customFormat="false" ht="13.5" hidden="false" customHeight="true" outlineLevel="0" collapsed="false">
      <c r="B5813" s="10"/>
      <c r="C5813" s="10"/>
      <c r="D5813" s="10"/>
      <c r="E5813" s="10"/>
      <c r="F5813" s="10"/>
      <c r="J5813" s="25"/>
      <c r="K5813" s="25"/>
      <c r="L5813" s="25"/>
      <c r="M5813" s="25"/>
      <c r="N5813" s="25"/>
      <c r="O5813" s="25"/>
    </row>
    <row r="5814" customFormat="false" ht="13.5" hidden="false" customHeight="true" outlineLevel="0" collapsed="false">
      <c r="B5814" s="10"/>
      <c r="C5814" s="10"/>
      <c r="D5814" s="10"/>
      <c r="E5814" s="10"/>
      <c r="F5814" s="10"/>
      <c r="J5814" s="25"/>
      <c r="K5814" s="25"/>
      <c r="L5814" s="25"/>
      <c r="M5814" s="25"/>
      <c r="N5814" s="25"/>
      <c r="O5814" s="25"/>
    </row>
    <row r="5815" customFormat="false" ht="15" hidden="false" customHeight="true" outlineLevel="0" collapsed="false">
      <c r="B5815" s="10"/>
      <c r="C5815" s="10"/>
      <c r="D5815" s="34" t="str">
        <f aca="false">IF($K$5806=0,"",INDEX(Clients!$E$2:$E$501,$K$5806)&amp;"")</f>
        <v/>
      </c>
      <c r="E5815" s="34"/>
      <c r="F5815" s="34"/>
      <c r="J5815" s="25"/>
      <c r="K5815" s="25"/>
      <c r="L5815" s="25"/>
      <c r="M5815" s="25"/>
      <c r="N5815" s="25"/>
      <c r="O5815" s="25"/>
    </row>
    <row r="5816" customFormat="false" ht="15" hidden="false" customHeight="true" outlineLevel="0" collapsed="false">
      <c r="B5816" s="10"/>
      <c r="C5816" s="10"/>
      <c r="D5816" s="35" t="str">
        <f aca="false">IF(IF($K$5806=0,"",INDEX(Clients!$D$2:$D$501,$K$5806)&amp;"")="","","À l'attention de "&amp;TRIM(IF($K$5806=0,"",INDEX(Clients!$B$2:$B$501,$K$5806)&amp;"")&amp;" "&amp;IF($K$5806=0,"",INDEX(Clients!$C$2:$C$501,$K$5806)&amp;"")&amp;" "&amp;IF($K$5806=0,"",INDEX(Clients!$D$2:$D$501,$K$5806)&amp;"")))</f>
        <v/>
      </c>
      <c r="E5816" s="35"/>
      <c r="F5816" s="35"/>
      <c r="J5816" s="25"/>
      <c r="K5816" s="25"/>
      <c r="L5816" s="25"/>
      <c r="M5816" s="25"/>
      <c r="N5816" s="25"/>
      <c r="O5816" s="25"/>
    </row>
    <row r="5817" customFormat="false" ht="15" hidden="false" customHeight="true" outlineLevel="0" collapsed="false">
      <c r="B5817" s="10"/>
      <c r="C5817" s="10"/>
      <c r="D5817" s="35" t="str">
        <f aca="false">IF($K$5806=0,"",INDEX(Clients!$F$2:$F$501,$K$5806)&amp;"")</f>
        <v/>
      </c>
      <c r="E5817" s="35"/>
      <c r="F5817" s="35"/>
      <c r="J5817" s="25"/>
      <c r="K5817" s="25"/>
      <c r="L5817" s="25"/>
      <c r="M5817" s="25"/>
      <c r="N5817" s="25"/>
      <c r="O5817" s="25"/>
    </row>
    <row r="5818" customFormat="false" ht="15" hidden="false" customHeight="true" outlineLevel="0" collapsed="false">
      <c r="B5818" s="10"/>
      <c r="C5818" s="10"/>
      <c r="D5818" s="35" t="str">
        <f aca="false">IF(IF($K$5806=0,"",INDEX(Clients!$G$2:$G$501,$K$5806)&amp;"")="",TRIM(IF($K$5806=0,"",INDEX(Clients!$H$2:$H$501,$K$5806)&amp;"")&amp;" "&amp;UPPER(IF($K$5806=0,"",INDEX(Clients!$I$2:$I$501,$K$5806)&amp;""))),IF($K$5806=0,"",INDEX(Clients!$G$2:$G$501,$K$5806)&amp;""))</f>
        <v/>
      </c>
      <c r="E5818" s="35"/>
      <c r="F5818" s="35"/>
      <c r="J5818" s="25"/>
      <c r="K5818" s="25"/>
      <c r="L5818" s="25"/>
      <c r="M5818" s="25"/>
      <c r="N5818" s="25"/>
      <c r="O5818" s="25"/>
    </row>
    <row r="5819" customFormat="false" ht="15" hidden="false" customHeight="true" outlineLevel="0" collapsed="false">
      <c r="B5819" s="10"/>
      <c r="C5819" s="10"/>
      <c r="D5819" s="35" t="str">
        <f aca="false">IF(IF($K$5806=0,"",INDEX(Clients!$G$2:$G$501,$K$5806)&amp;"")="","",TRIM(IF($K$5806=0,"",INDEX(Clients!$H$2:$H$501,$K$5806)&amp;"")&amp;" "&amp;UPPER(IF($K$5806=0,"",INDEX(Clients!$I$2:$I$501,$K$5806)&amp;""))))</f>
        <v/>
      </c>
      <c r="E5819" s="35"/>
      <c r="F5819" s="35"/>
      <c r="J5819" s="25"/>
      <c r="K5819" s="25"/>
      <c r="L5819" s="25"/>
      <c r="M5819" s="25"/>
      <c r="N5819" s="25"/>
      <c r="O5819" s="25"/>
    </row>
    <row r="5820" customFormat="false" ht="25.5" hidden="false" customHeight="true" outlineLevel="0" collapsed="false">
      <c r="B5820" s="10"/>
      <c r="C5820" s="10"/>
      <c r="D5820" s="10"/>
      <c r="E5820" s="10"/>
      <c r="F5820" s="10"/>
      <c r="J5820" s="25"/>
      <c r="K5820" s="25"/>
      <c r="L5820" s="25"/>
      <c r="M5820" s="25"/>
      <c r="N5820" s="25"/>
      <c r="O5820" s="25"/>
    </row>
    <row r="5821" customFormat="false" ht="15" hidden="false" customHeight="false" outlineLevel="0" collapsed="false">
      <c r="B5821" s="10"/>
      <c r="C5821" s="10"/>
      <c r="D5821" s="36" t="str">
        <f aca="false">Cab_Ville&amp;", le "&amp;DAY(Date_Courrier)&amp;IF(DAY(Date_Courrier)=1,"er","")&amp;" "&amp;INDEX(Liste_Mois,MONTH(Date_Courrier))&amp;" "&amp;YEAR(Date_Courrier)</f>
        <v>Le Plessis-Bouchard, le 22 septembre 2026</v>
      </c>
      <c r="E5821" s="36"/>
      <c r="F5821" s="36"/>
      <c r="J5821" s="25"/>
      <c r="K5821" s="25"/>
      <c r="L5821" s="25"/>
      <c r="M5821" s="25"/>
      <c r="N5821" s="25"/>
      <c r="O5821" s="25"/>
    </row>
    <row r="5822" customFormat="false" ht="19.5" hidden="false" customHeight="true" outlineLevel="0" collapsed="false">
      <c r="B5822" s="10"/>
      <c r="C5822" s="10"/>
      <c r="D5822" s="10"/>
      <c r="E5822" s="10"/>
      <c r="F5822" s="10"/>
      <c r="J5822" s="25"/>
      <c r="K5822" s="25"/>
      <c r="L5822" s="25"/>
      <c r="M5822" s="25"/>
      <c r="N5822" s="25"/>
      <c r="O5822" s="25"/>
    </row>
    <row r="5823" customFormat="false" ht="15" hidden="false" customHeight="false" outlineLevel="0" collapsed="false">
      <c r="B5823" s="34" t="str">
        <f aca="false">SUBSTITUTE(SUBSTITUTE(SUBSTITUTE(SUBSTITUTE(SUBSTITUTE(Txt_Objet,"{cabinet}",Cab_Nom),"{societe}",IF($K$5806=0,"",INDEX(Clients!$E$2:$E$501,$K$5806)&amp;"")),"{date_effet}",$K$5808),"{hausse}",$K$5809),"{civilite}",$K$5807)</f>
        <v>Objet : révision de nos honoraires au 1er janvier 2027</v>
      </c>
      <c r="C5823" s="34"/>
      <c r="D5823" s="34"/>
      <c r="E5823" s="34"/>
      <c r="F5823" s="34"/>
      <c r="J5823" s="25"/>
      <c r="K5823" s="25"/>
      <c r="L5823" s="25"/>
      <c r="M5823" s="25"/>
      <c r="N5823" s="25"/>
      <c r="O5823" s="25"/>
    </row>
    <row r="5824" customFormat="false" ht="13.5" hidden="false" customHeight="true" outlineLevel="0" collapsed="false">
      <c r="B5824" s="10"/>
      <c r="C5824" s="10"/>
      <c r="D5824" s="10"/>
      <c r="E5824" s="10"/>
      <c r="F5824" s="10"/>
      <c r="J5824" s="25"/>
      <c r="K5824" s="25"/>
      <c r="L5824" s="25"/>
      <c r="M5824" s="25"/>
      <c r="N5824" s="25"/>
      <c r="O5824" s="25"/>
    </row>
    <row r="5825" customFormat="false" ht="15" hidden="false" customHeight="false" outlineLevel="0" collapsed="false">
      <c r="B5825" s="10" t="str">
        <f aca="false">$K$5807&amp;","</f>
        <v>Madame, Monsieur,</v>
      </c>
      <c r="C5825" s="10"/>
      <c r="D5825" s="10"/>
      <c r="E5825" s="10"/>
      <c r="F5825" s="10"/>
      <c r="J5825" s="25"/>
      <c r="K5825" s="25"/>
      <c r="L5825" s="25"/>
      <c r="M5825" s="25"/>
      <c r="N5825" s="25"/>
      <c r="O5825" s="25"/>
    </row>
    <row r="5826" customFormat="false" ht="6" hidden="false" customHeight="true" outlineLevel="0" collapsed="false">
      <c r="B5826" s="10"/>
      <c r="C5826" s="10"/>
      <c r="D5826" s="10"/>
      <c r="E5826" s="10"/>
      <c r="F5826" s="10"/>
      <c r="J5826" s="25"/>
      <c r="K5826" s="25"/>
      <c r="L5826" s="25"/>
      <c r="M5826" s="25"/>
      <c r="N5826" s="25"/>
      <c r="O5826" s="25"/>
    </row>
    <row r="5827" customFormat="false" ht="36.75" hidden="false" customHeight="true" outlineLevel="0" collapsed="false">
      <c r="B5827" s="37" t="str">
        <f aca="false">SUBSTITUTE(SUBSTITUTE(SUBSTITUTE(SUBSTITUTE(SUBSTITUTE(Txt_P1,"{cabinet}",Cab_Nom),"{societe}",IF($K$5806=0,"",INDEX(Clients!$E$2:$E$501,$K$5806)&amp;"")),"{date_effet}",$K$5808),"{hausse}",$K$5809),"{civilite}",$K$5807)</f>
        <v>Nous tenons tout d'abord à vous remercier pour la confiance que vous accordez à ALTHO EXPERTISE. Comme chaque année, et conformément aux dispositions de votre lettre de mission, nous procédons à la révision de nos honoraires.</v>
      </c>
      <c r="C5827" s="37"/>
      <c r="D5827" s="37"/>
      <c r="E5827" s="37"/>
      <c r="F5827" s="37"/>
      <c r="J5827" s="25"/>
      <c r="K5827" s="25"/>
      <c r="L5827" s="25"/>
      <c r="M5827" s="25"/>
      <c r="N5827" s="25"/>
      <c r="O5827" s="25"/>
    </row>
    <row r="5828" customFormat="false" ht="49.5" hidden="false" customHeight="true" outlineLevel="0" collapsed="false">
      <c r="B5828" s="37" t="str">
        <f aca="false">SUBSTITUTE(SUBSTITUTE(SUBSTITUTE(SUBSTITUTE(SUBSTITUTE(Txt_P2,"{cabinet}",Cab_Nom),"{societe}",IF($K$5806=0,"",INDEX(Clients!$E$2:$E$501,$K$5806)&amp;"")),"{date_effet}",$K$5808),"{hausse}",$K$5809),"{civilite}",$K$5807)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828" s="37"/>
      <c r="D5828" s="37"/>
      <c r="E5828" s="37"/>
      <c r="F5828" s="37"/>
      <c r="J5828" s="25"/>
      <c r="K5828" s="25"/>
      <c r="L5828" s="25"/>
      <c r="M5828" s="25"/>
      <c r="N5828" s="25"/>
      <c r="O5828" s="25"/>
    </row>
    <row r="5829" customFormat="false" ht="63" hidden="false" customHeight="true" outlineLevel="0" collapsed="false">
      <c r="B5829" s="37" t="str">
        <f aca="false">SUBSTITUTE(SUBSTITUTE(SUBSTITUTE(SUBSTITUTE(SUBSTITUTE(Txt_P3,"{cabinet}",Cab_Nom),"{societe}",IF($K$5806=0,"",INDEX(Clients!$E$2:$E$501,$K$5806)&amp;"")),"{date_effet}",$K$5808),"{hausse}",$K$5809),"{civilite}",$K$5807)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829" s="37"/>
      <c r="D5829" s="37"/>
      <c r="E5829" s="37"/>
      <c r="F5829" s="37"/>
      <c r="J5829" s="25"/>
      <c r="K5829" s="25"/>
      <c r="L5829" s="25"/>
      <c r="M5829" s="25"/>
      <c r="N5829" s="25"/>
      <c r="O5829" s="25"/>
    </row>
    <row r="5830" customFormat="false" ht="24" hidden="false" customHeight="true" outlineLevel="0" collapsed="false">
      <c r="B5830" s="37" t="str">
        <f aca="false">SUBSTITUTE(SUBSTITUTE(SUBSTITUTE(SUBSTITUTE(SUBSTITUTE(Txt_P4,"{cabinet}",Cab_Nom),"{societe}",IF($K$5806=0,"",INDEX(Clients!$E$2:$E$501,$K$5806)&amp;"")),"{date_effet}",$K$5808),"{hausse}",$K$5809),"{civilite}",$K$5807)</f>
        <v>À compter du 1er janvier 2027, vos honoraires annuels hors taxes évolueront ainsi (évolution globale : ) :</v>
      </c>
      <c r="C5830" s="37"/>
      <c r="D5830" s="37"/>
      <c r="E5830" s="37"/>
      <c r="F5830" s="37"/>
      <c r="J5830" s="25"/>
      <c r="K5830" s="25"/>
      <c r="L5830" s="25"/>
      <c r="M5830" s="25"/>
      <c r="N5830" s="25"/>
      <c r="O5830" s="25"/>
    </row>
    <row r="5831" customFormat="false" ht="3.75" hidden="false" customHeight="true" outlineLevel="0" collapsed="false">
      <c r="B5831" s="10"/>
      <c r="C5831" s="10"/>
      <c r="D5831" s="10"/>
      <c r="E5831" s="10"/>
      <c r="F5831" s="10"/>
      <c r="J5831" s="25"/>
      <c r="K5831" s="25"/>
      <c r="L5831" s="25"/>
      <c r="M5831" s="25"/>
      <c r="N5831" s="25"/>
      <c r="O5831" s="25"/>
    </row>
    <row r="5832" customFormat="false" ht="18" hidden="false" customHeight="true" outlineLevel="0" collapsed="false">
      <c r="B5832" s="38" t="s">
        <v>148</v>
      </c>
      <c r="C5832" s="39" t="s">
        <v>149</v>
      </c>
      <c r="D5832" s="39" t="s">
        <v>150</v>
      </c>
      <c r="E5832" s="39" t="s">
        <v>151</v>
      </c>
      <c r="F5832" s="39" t="s">
        <v>109</v>
      </c>
      <c r="J5832" s="25" t="s">
        <v>152</v>
      </c>
      <c r="K5832" s="25" t="s">
        <v>153</v>
      </c>
      <c r="L5832" s="25" t="s">
        <v>154</v>
      </c>
      <c r="M5832" s="25" t="s">
        <v>155</v>
      </c>
      <c r="N5832" s="25" t="s">
        <v>156</v>
      </c>
      <c r="O5832" s="25" t="s">
        <v>157</v>
      </c>
    </row>
    <row r="5833" customFormat="false" ht="16.5" hidden="false" customHeight="true" outlineLevel="0" collapsed="false">
      <c r="B5833" s="40" t="str">
        <f aca="false">IFERROR(INDEX($J$5833:$J$5836,MATCH($O5833,$N$5833:$N$5836,0)),"")</f>
        <v/>
      </c>
      <c r="C5833" s="41" t="str">
        <f aca="false">IFERROR(INDEX($K$5833:$K$5836,MATCH($O5833,$N$5833:$N$5836,0)),"")</f>
        <v/>
      </c>
      <c r="D5833" s="42" t="str">
        <f aca="false">IF(OR(E5833="",N(C5833)=0),"",E5833/C5833-1)</f>
        <v/>
      </c>
      <c r="E5833" s="41" t="str">
        <f aca="false">IFERROR(INDEX($L$5833:$L$5836,MATCH($O5833,$N$5833:$N$5836,0)),"")</f>
        <v/>
      </c>
      <c r="F5833" s="41" t="str">
        <f aca="false">IF(E5833="","",E5833-C5833)</f>
        <v/>
      </c>
      <c r="J5833" s="25" t="str">
        <f aca="false">Lib_Compta</f>
        <v>Mission comptable (tenue, révision, bilan, liasse fiscale)</v>
      </c>
      <c r="K5833" s="25" t="n">
        <f aca="false">IF($K$5806=0,0,N(INDEX(Clients!$K$2:$K$501,$K$5806)))</f>
        <v>0</v>
      </c>
      <c r="L5833" s="25" t="n">
        <f aca="false">IF($K$5806=0,0,N(INDEX(Clients!$P$2:$P$501,$K$5806)))</f>
        <v>0</v>
      </c>
      <c r="M5833" s="25" t="n">
        <f aca="false">IF(OR(K5833&lt;&gt;0,L5833&lt;&gt;0),1,0)</f>
        <v>0</v>
      </c>
      <c r="N5833" s="25" t="str">
        <f aca="false">IF(M5833=1,SUM($M$5833:M5833),"")</f>
        <v/>
      </c>
      <c r="O5833" s="25" t="n">
        <v>1</v>
      </c>
    </row>
    <row r="5834" customFormat="false" ht="16.5" hidden="false" customHeight="true" outlineLevel="0" collapsed="false">
      <c r="B5834" s="40" t="str">
        <f aca="false">IFERROR(INDEX($J$5833:$J$5836,MATCH($O5834,$N$5833:$N$5836,0)),"")</f>
        <v/>
      </c>
      <c r="C5834" s="41" t="str">
        <f aca="false">IFERROR(INDEX($K$5833:$K$5836,MATCH($O5834,$N$5833:$N$5836,0)),"")</f>
        <v/>
      </c>
      <c r="D5834" s="42" t="str">
        <f aca="false">IF(OR(E5834="",N(C5834)=0),"",E5834/C5834-1)</f>
        <v/>
      </c>
      <c r="E5834" s="41" t="str">
        <f aca="false">IFERROR(INDEX($L$5833:$L$5836,MATCH($O5834,$N$5833:$N$5836,0)),"")</f>
        <v/>
      </c>
      <c r="F5834" s="41" t="str">
        <f aca="false">IF(E5834="","",E5834-C5834)</f>
        <v/>
      </c>
      <c r="J5834" s="25" t="str">
        <f aca="false">Lib_Paye</f>
        <v>Mission sociale (bulletins de paie, DSN, déclarations sociales)</v>
      </c>
      <c r="K5834" s="25" t="n">
        <f aca="false">IF($K$5806=0,0,N(INDEX(Clients!$L$2:$L$501,$K$5806)))</f>
        <v>0</v>
      </c>
      <c r="L5834" s="25" t="n">
        <f aca="false">IF($K$5806=0,0,N(INDEX(Clients!$Q$2:$Q$501,$K$5806)))</f>
        <v>0</v>
      </c>
      <c r="M5834" s="25" t="n">
        <f aca="false">IF(OR(K5834&lt;&gt;0,L5834&lt;&gt;0),1,0)</f>
        <v>0</v>
      </c>
      <c r="N5834" s="25" t="str">
        <f aca="false">IF(M5834=1,SUM($M$5833:M5834),"")</f>
        <v/>
      </c>
      <c r="O5834" s="25" t="n">
        <v>2</v>
      </c>
    </row>
    <row r="5835" customFormat="false" ht="16.5" hidden="false" customHeight="true" outlineLevel="0" collapsed="false">
      <c r="B5835" s="40" t="str">
        <f aca="false">IFERROR(INDEX($J$5833:$J$5836,MATCH($O5835,$N$5833:$N$5836,0)),"")</f>
        <v/>
      </c>
      <c r="C5835" s="41" t="str">
        <f aca="false">IFERROR(INDEX($K$5833:$K$5836,MATCH($O5835,$N$5833:$N$5836,0)),"")</f>
        <v/>
      </c>
      <c r="D5835" s="42" t="str">
        <f aca="false">IF(OR(E5835="",N(C5835)=0),"",E5835/C5835-1)</f>
        <v/>
      </c>
      <c r="E5835" s="41" t="str">
        <f aca="false">IFERROR(INDEX($L$5833:$L$5836,MATCH($O5835,$N$5833:$N$5836,0)),"")</f>
        <v/>
      </c>
      <c r="F5835" s="41" t="str">
        <f aca="false">IF(E5835="","",E5835-C5835)</f>
        <v/>
      </c>
      <c r="J5835" s="25" t="str">
        <f aca="false">Lib_Jur</f>
        <v>Mission juridique (approbation des comptes, secrétariat juridique)</v>
      </c>
      <c r="K5835" s="25" t="n">
        <f aca="false">IF($K$5806=0,0,N(INDEX(Clients!$M$2:$M$501,$K$5806)))</f>
        <v>0</v>
      </c>
      <c r="L5835" s="25" t="n">
        <f aca="false">IF($K$5806=0,0,N(INDEX(Clients!$R$2:$R$501,$K$5806)))</f>
        <v>0</v>
      </c>
      <c r="M5835" s="25" t="n">
        <f aca="false">IF(OR(K5835&lt;&gt;0,L5835&lt;&gt;0),1,0)</f>
        <v>0</v>
      </c>
      <c r="N5835" s="25" t="str">
        <f aca="false">IF(M5835=1,SUM($M$5833:M5835),"")</f>
        <v/>
      </c>
      <c r="O5835" s="25" t="n">
        <v>3</v>
      </c>
    </row>
    <row r="5836" customFormat="false" ht="16.5" hidden="false" customHeight="true" outlineLevel="0" collapsed="false">
      <c r="B5836" s="40" t="str">
        <f aca="false">IFERROR(INDEX($J$5833:$J$5836,MATCH($O5836,$N$5833:$N$5836,0)),"")</f>
        <v/>
      </c>
      <c r="C5836" s="41" t="str">
        <f aca="false">IFERROR(INDEX($K$5833:$K$5836,MATCH($O5836,$N$5833:$N$5836,0)),"")</f>
        <v/>
      </c>
      <c r="D5836" s="42" t="str">
        <f aca="false">IF(OR(E5836="",N(C5836)=0),"",E5836/C5836-1)</f>
        <v/>
      </c>
      <c r="E5836" s="41" t="str">
        <f aca="false">IFERROR(INDEX($L$5833:$L$5836,MATCH($O5836,$N$5833:$N$5836,0)),"")</f>
        <v/>
      </c>
      <c r="F5836" s="41" t="str">
        <f aca="false">IF(E5836="","",E5836-C5836)</f>
        <v/>
      </c>
      <c r="J5836" s="25" t="str">
        <f aca="false">Lib_PA</f>
        <v>Plateforme agréée – facturation électronique</v>
      </c>
      <c r="K5836" s="25" t="n">
        <f aca="false">IF($K$5806=0,0,N(INDEX(Clients!$N$2:$N$501,$K$5806)))</f>
        <v>0</v>
      </c>
      <c r="L5836" s="25" t="n">
        <f aca="false">IF($K$5806=0,0,N(INDEX(Clients!$S$2:$S$501,$K$5806)))</f>
        <v>0</v>
      </c>
      <c r="M5836" s="25" t="n">
        <f aca="false">IF(OR(K5836&lt;&gt;0,L5836&lt;&gt;0),1,0)</f>
        <v>0</v>
      </c>
      <c r="N5836" s="25" t="str">
        <f aca="false">IF(M5836=1,SUM($M$5833:M5836),"")</f>
        <v/>
      </c>
      <c r="O5836" s="25" t="n">
        <v>4</v>
      </c>
    </row>
    <row r="5837" customFormat="false" ht="18" hidden="false" customHeight="true" outlineLevel="0" collapsed="false">
      <c r="B5837" s="43" t="s">
        <v>158</v>
      </c>
      <c r="C5837" s="44" t="n">
        <f aca="false">SUM(K5833:K5836)</f>
        <v>0</v>
      </c>
      <c r="D5837" s="45" t="str">
        <f aca="false">IF(N(C5837)=0,"",E5837/C5837-1)</f>
        <v/>
      </c>
      <c r="E5837" s="44" t="n">
        <f aca="false">SUM(L5833:L5836)</f>
        <v>0</v>
      </c>
      <c r="F5837" s="44" t="n">
        <f aca="false">E5837-C5837</f>
        <v>0</v>
      </c>
    </row>
    <row r="5838" customFormat="false" ht="15" hidden="false" customHeight="false" outlineLevel="0" collapsed="false">
      <c r="B5838" s="46" t="str">
        <f aca="false">IF(N(Nb_Mensualites)=0,"","Soit "&amp;FIXED(E5837/Nb_Mensualites,2)&amp;" € HT par échéance ("&amp;Nb_Mensualites&amp;" échéances), "&amp;FIXED(E5837/Nb_Mensualites*(1+Taux_TVA),2)&amp;" € TTC.")</f>
        <v>Soit 0.00 € HT par échéance (12 échéances), 0.00 € TTC.</v>
      </c>
      <c r="C5838" s="46"/>
      <c r="D5838" s="46"/>
      <c r="E5838" s="46"/>
      <c r="F5838" s="46"/>
    </row>
    <row r="5839" customFormat="false" ht="7.5" hidden="false" customHeight="true" outlineLevel="0" collapsed="false">
      <c r="B5839" s="10"/>
      <c r="C5839" s="10"/>
      <c r="D5839" s="10"/>
      <c r="E5839" s="10"/>
      <c r="F5839" s="10"/>
    </row>
    <row r="5840" customFormat="false" ht="36.75" hidden="false" customHeight="true" outlineLevel="0" collapsed="false">
      <c r="B5840" s="37" t="str">
        <f aca="false">SUBSTITUTE(SUBSTITUTE(SUBSTITUTE(SUBSTITUTE(SUBSTITUTE(Txt_P5,"{cabinet}",Cab_Nom),"{societe}",IF($K$5806=0,"",INDEX(Clients!$E$2:$E$501,$K$5806)&amp;"")),"{date_effet}",$K$5808),"{hausse}",$K$5809),"{civilite}",$K$5807)</f>
        <v>Les autres conditions de votre lettre de mission demeurent inchangées. Les nouveaux montants seront appliqués automatiquement sur vos prochaines factures et échéances de prélèvement.</v>
      </c>
      <c r="C5840" s="37"/>
      <c r="D5840" s="37"/>
      <c r="E5840" s="37"/>
      <c r="F5840" s="37"/>
    </row>
    <row r="5841" customFormat="false" ht="36.75" hidden="false" customHeight="true" outlineLevel="0" collapsed="false">
      <c r="B5841" s="37" t="str">
        <f aca="false">SUBSTITUTE(SUBSTITUTE(SUBSTITUTE(SUBSTITUTE(SUBSTITUTE(Txt_P6,"{cabinet}",Cab_Nom),"{societe}",IF($K$5806=0,"",INDEX(Clients!$E$2:$E$501,$K$5806)&amp;"")),"{date_effet}",$K$5808),"{hausse}",$K$5809),"{civilite}",$K$5807)</f>
        <v>Votre interlocuteur habituel reste à votre entière disposition pour répondre à vos questions et faire le point sur l'évolution de vos besoins.</v>
      </c>
      <c r="C5841" s="37"/>
      <c r="D5841" s="37"/>
      <c r="E5841" s="37"/>
      <c r="F5841" s="37"/>
    </row>
    <row r="5842" customFormat="false" ht="24" hidden="false" customHeight="true" outlineLevel="0" collapsed="false">
      <c r="B5842" s="37" t="str">
        <f aca="false">SUBSTITUTE(SUBSTITUTE(SUBSTITUTE(SUBSTITUTE(SUBSTITUTE(Txt_Politesse,"{cabinet}",Cab_Nom),"{societe}",IF($K$5806=0,"",INDEX(Clients!$E$2:$E$501,$K$5806)&amp;"")),"{date_effet}",$K$5808),"{hausse}",$K$5809),"{civilite}",$K$5807)</f>
        <v>Nous vous prions d'agréer, Madame, Monsieur, l'expression de nos salutations distinguées.</v>
      </c>
      <c r="C5842" s="37"/>
      <c r="D5842" s="37"/>
      <c r="E5842" s="37"/>
      <c r="F5842" s="37"/>
    </row>
    <row r="5843" customFormat="false" ht="15" hidden="false" customHeight="false" outlineLevel="0" collapsed="false">
      <c r="B5843" s="10"/>
      <c r="C5843" s="10"/>
      <c r="D5843" s="10"/>
      <c r="E5843" s="10"/>
      <c r="F5843" s="10"/>
    </row>
    <row r="5844" customFormat="false" ht="15" hidden="false" customHeight="false" outlineLevel="0" collapsed="false">
      <c r="B5844" s="10"/>
      <c r="C5844" s="10"/>
      <c r="D5844" s="34" t="str">
        <f aca="false">Signataire</f>
        <v>Prénom NOM</v>
      </c>
      <c r="E5844" s="34"/>
      <c r="F5844" s="34"/>
    </row>
    <row r="5845" customFormat="false" ht="15" hidden="false" customHeight="false" outlineLevel="0" collapsed="false">
      <c r="B5845" s="10"/>
      <c r="C5845" s="10"/>
      <c r="D5845" s="47" t="str">
        <f aca="false">Signataire_Titre</f>
        <v>Expert-comptable associé</v>
      </c>
      <c r="E5845" s="47"/>
      <c r="F5845" s="47"/>
    </row>
    <row r="5846" customFormat="false" ht="15.75" hidden="false" customHeight="true" outlineLevel="0" collapsed="false">
      <c r="B5846" s="10"/>
      <c r="C5846" s="10"/>
      <c r="D5846" s="10"/>
      <c r="E5846" s="10"/>
      <c r="F5846" s="10"/>
    </row>
    <row r="5847" customFormat="false" ht="15.75" hidden="false" customHeight="true" outlineLevel="0" collapsed="false">
      <c r="B5847" s="10"/>
      <c r="C5847" s="10"/>
      <c r="D5847" s="10"/>
      <c r="E5847" s="10"/>
      <c r="F5847" s="10"/>
    </row>
    <row r="5848" customFormat="false" ht="15.75" hidden="false" customHeight="true" outlineLevel="0" collapsed="false">
      <c r="B5848" s="10"/>
      <c r="C5848" s="10"/>
      <c r="D5848" s="10"/>
      <c r="E5848" s="10"/>
      <c r="F5848" s="10"/>
    </row>
    <row r="5849" customFormat="false" ht="15.75" hidden="false" customHeight="true" outlineLevel="0" collapsed="false">
      <c r="B5849" s="10"/>
      <c r="C5849" s="10"/>
      <c r="D5849" s="10"/>
      <c r="E5849" s="10"/>
      <c r="F5849" s="10"/>
    </row>
    <row r="5850" customFormat="false" ht="24" hidden="false" customHeight="true" outlineLevel="0" collapsed="false">
      <c r="B5850" s="48" t="str">
        <f aca="false">Cab_Mentions</f>
        <v>ALTHO EXPERTISE · SAS au capital de 10 000 € · RCS Pontoise 919 706 325 · TVA FR62919706325 · Société d'expertise comptable inscrite au Tableau de l'Ordre des experts-comptables de Paris Île-de-France</v>
      </c>
      <c r="C5850" s="48"/>
      <c r="D5850" s="48"/>
      <c r="E5850" s="48"/>
      <c r="F5850" s="48"/>
    </row>
    <row r="5851" customFormat="false" ht="15" hidden="false" customHeight="false" outlineLevel="0" collapsed="false">
      <c r="B5851" s="10"/>
      <c r="C5851" s="10"/>
      <c r="D5851" s="10"/>
      <c r="E5851" s="10"/>
      <c r="F5851" s="10"/>
      <c r="J5851" s="25" t="s">
        <v>142</v>
      </c>
      <c r="K5851" s="25" t="n">
        <f aca="false">IFERROR(MATCH(131,Clients!$Z$2:$Z$501,0),0)</f>
        <v>0</v>
      </c>
      <c r="L5851" s="25"/>
      <c r="M5851" s="25"/>
      <c r="N5851" s="25"/>
      <c r="O5851" s="25"/>
    </row>
    <row r="5852" customFormat="false" ht="21.75" hidden="false" customHeight="true" outlineLevel="0" collapsed="false">
      <c r="B5852" s="26" t="str">
        <f aca="false">Cab_Nom</f>
        <v>ALTHO EXPERTISE</v>
      </c>
      <c r="C5852" s="26"/>
      <c r="D5852" s="10"/>
      <c r="E5852" s="27" t="str">
        <f aca="false">IF($K$5851=0,"","Réf. client : "&amp;INDEX(Clients!$A$2:$A$501,$K$5851))</f>
        <v/>
      </c>
      <c r="F5852" s="27"/>
      <c r="J5852" s="25" t="s">
        <v>144</v>
      </c>
      <c r="K5852" s="25" t="str">
        <f aca="false">IF(IF($K$5851=0,"",INDEX(Clients!$B$2:$B$501,$K$5851)&amp;"")="Mme","Madame",IF(IF($K$5851=0,"",INDEX(Clients!$B$2:$B$501,$K$5851)&amp;"")="M.","Monsieur","Madame, Monsieur"))</f>
        <v>Madame, Monsieur</v>
      </c>
      <c r="L5852" s="25"/>
      <c r="M5852" s="25"/>
      <c r="N5852" s="25"/>
      <c r="O5852" s="25"/>
    </row>
    <row r="5853" customFormat="false" ht="15" hidden="false" customHeight="false" outlineLevel="0" collapsed="false">
      <c r="B5853" s="29" t="str">
        <f aca="false">Cab_Adr1</f>
        <v>141 rue Charles de Gaulle</v>
      </c>
      <c r="C5853" s="29"/>
      <c r="D5853" s="10"/>
      <c r="E5853" s="10"/>
      <c r="F5853" s="10"/>
      <c r="J5853" s="25" t="s">
        <v>145</v>
      </c>
      <c r="K5853" s="25" t="str">
        <f aca="false">DAY(Date_Effet)&amp;IF(DAY(Date_Effet)=1,"er","")&amp;" "&amp;INDEX(Liste_Mois,MONTH(Date_Effet))&amp;" "&amp;YEAR(Date_Effet)</f>
        <v>1er janvier 2027</v>
      </c>
      <c r="L5853" s="25"/>
      <c r="M5853" s="25"/>
      <c r="N5853" s="25"/>
      <c r="O5853" s="25"/>
    </row>
    <row r="5854" customFormat="false" ht="15" hidden="false" customHeight="false" outlineLevel="0" collapsed="false">
      <c r="B5854" s="29" t="str">
        <f aca="false">Cab_CPVille</f>
        <v>95130 LE PLESSIS-BOUCHARD</v>
      </c>
      <c r="C5854" s="29"/>
      <c r="D5854" s="10"/>
      <c r="E5854" s="10"/>
      <c r="F5854" s="10"/>
      <c r="J5854" s="25" t="s">
        <v>146</v>
      </c>
      <c r="K5854" s="25" t="str">
        <f aca="false">IF(SUM($K$5878:$K$5881)=0,"",FIXED((SUM($L$5878:$L$5881)/SUM($K$5878:$K$5881)-1)*100,1)&amp;" %")</f>
        <v/>
      </c>
      <c r="L5854" s="25"/>
      <c r="M5854" s="25"/>
      <c r="N5854" s="25"/>
      <c r="O5854" s="25"/>
    </row>
    <row r="5855" customFormat="false" ht="15" hidden="false" customHeight="false" outlineLevel="0" collapsed="false">
      <c r="B5855" s="29" t="str">
        <f aca="false">Cab_Contact</f>
        <v>Tél. 01 34 14 53 45  ·  altho@altho-experts.com  ·  altho-experts.com</v>
      </c>
      <c r="C5855" s="29"/>
      <c r="D5855" s="10"/>
      <c r="E5855" s="10"/>
      <c r="F5855" s="10"/>
      <c r="J5855" s="25"/>
      <c r="K5855" s="25"/>
      <c r="L5855" s="25"/>
      <c r="M5855" s="25"/>
      <c r="N5855" s="25"/>
      <c r="O5855" s="25"/>
    </row>
    <row r="5856" customFormat="false" ht="6" hidden="false" customHeight="true" outlineLevel="0" collapsed="false">
      <c r="B5856" s="32"/>
      <c r="C5856" s="32"/>
      <c r="D5856" s="32"/>
      <c r="E5856" s="32"/>
      <c r="F5856" s="32"/>
      <c r="J5856" s="25"/>
      <c r="K5856" s="25"/>
      <c r="L5856" s="25"/>
      <c r="M5856" s="25"/>
      <c r="N5856" s="25"/>
      <c r="O5856" s="25"/>
    </row>
    <row r="5857" customFormat="false" ht="13.5" hidden="false" customHeight="true" outlineLevel="0" collapsed="false">
      <c r="B5857" s="10"/>
      <c r="C5857" s="10"/>
      <c r="D5857" s="10"/>
      <c r="E5857" s="10"/>
      <c r="F5857" s="10"/>
      <c r="J5857" s="25"/>
      <c r="K5857" s="25"/>
      <c r="L5857" s="25"/>
      <c r="M5857" s="25"/>
      <c r="N5857" s="25"/>
      <c r="O5857" s="25"/>
    </row>
    <row r="5858" customFormat="false" ht="13.5" hidden="false" customHeight="true" outlineLevel="0" collapsed="false">
      <c r="B5858" s="10"/>
      <c r="C5858" s="10"/>
      <c r="D5858" s="10"/>
      <c r="E5858" s="10"/>
      <c r="F5858" s="10"/>
      <c r="J5858" s="25"/>
      <c r="K5858" s="25"/>
      <c r="L5858" s="25"/>
      <c r="M5858" s="25"/>
      <c r="N5858" s="25"/>
      <c r="O5858" s="25"/>
    </row>
    <row r="5859" customFormat="false" ht="13.5" hidden="false" customHeight="true" outlineLevel="0" collapsed="false">
      <c r="B5859" s="10"/>
      <c r="C5859" s="10"/>
      <c r="D5859" s="10"/>
      <c r="E5859" s="10"/>
      <c r="F5859" s="10"/>
      <c r="J5859" s="25"/>
      <c r="K5859" s="25"/>
      <c r="L5859" s="25"/>
      <c r="M5859" s="25"/>
      <c r="N5859" s="25"/>
      <c r="O5859" s="25"/>
    </row>
    <row r="5860" customFormat="false" ht="15" hidden="false" customHeight="true" outlineLevel="0" collapsed="false">
      <c r="B5860" s="10"/>
      <c r="C5860" s="10"/>
      <c r="D5860" s="34" t="str">
        <f aca="false">IF($K$5851=0,"",INDEX(Clients!$E$2:$E$501,$K$5851)&amp;"")</f>
        <v/>
      </c>
      <c r="E5860" s="34"/>
      <c r="F5860" s="34"/>
      <c r="J5860" s="25"/>
      <c r="K5860" s="25"/>
      <c r="L5860" s="25"/>
      <c r="M5860" s="25"/>
      <c r="N5860" s="25"/>
      <c r="O5860" s="25"/>
    </row>
    <row r="5861" customFormat="false" ht="15" hidden="false" customHeight="true" outlineLevel="0" collapsed="false">
      <c r="B5861" s="10"/>
      <c r="C5861" s="10"/>
      <c r="D5861" s="35" t="str">
        <f aca="false">IF(IF($K$5851=0,"",INDEX(Clients!$D$2:$D$501,$K$5851)&amp;"")="","","À l'attention de "&amp;TRIM(IF($K$5851=0,"",INDEX(Clients!$B$2:$B$501,$K$5851)&amp;"")&amp;" "&amp;IF($K$5851=0,"",INDEX(Clients!$C$2:$C$501,$K$5851)&amp;"")&amp;" "&amp;IF($K$5851=0,"",INDEX(Clients!$D$2:$D$501,$K$5851)&amp;"")))</f>
        <v/>
      </c>
      <c r="E5861" s="35"/>
      <c r="F5861" s="35"/>
      <c r="J5861" s="25"/>
      <c r="K5861" s="25"/>
      <c r="L5861" s="25"/>
      <c r="M5861" s="25"/>
      <c r="N5861" s="25"/>
      <c r="O5861" s="25"/>
    </row>
    <row r="5862" customFormat="false" ht="15" hidden="false" customHeight="true" outlineLevel="0" collapsed="false">
      <c r="B5862" s="10"/>
      <c r="C5862" s="10"/>
      <c r="D5862" s="35" t="str">
        <f aca="false">IF($K$5851=0,"",INDEX(Clients!$F$2:$F$501,$K$5851)&amp;"")</f>
        <v/>
      </c>
      <c r="E5862" s="35"/>
      <c r="F5862" s="35"/>
      <c r="J5862" s="25"/>
      <c r="K5862" s="25"/>
      <c r="L5862" s="25"/>
      <c r="M5862" s="25"/>
      <c r="N5862" s="25"/>
      <c r="O5862" s="25"/>
    </row>
    <row r="5863" customFormat="false" ht="15" hidden="false" customHeight="true" outlineLevel="0" collapsed="false">
      <c r="B5863" s="10"/>
      <c r="C5863" s="10"/>
      <c r="D5863" s="35" t="str">
        <f aca="false">IF(IF($K$5851=0,"",INDEX(Clients!$G$2:$G$501,$K$5851)&amp;"")="",TRIM(IF($K$5851=0,"",INDEX(Clients!$H$2:$H$501,$K$5851)&amp;"")&amp;" "&amp;UPPER(IF($K$5851=0,"",INDEX(Clients!$I$2:$I$501,$K$5851)&amp;""))),IF($K$5851=0,"",INDEX(Clients!$G$2:$G$501,$K$5851)&amp;""))</f>
        <v/>
      </c>
      <c r="E5863" s="35"/>
      <c r="F5863" s="35"/>
      <c r="J5863" s="25"/>
      <c r="K5863" s="25"/>
      <c r="L5863" s="25"/>
      <c r="M5863" s="25"/>
      <c r="N5863" s="25"/>
      <c r="O5863" s="25"/>
    </row>
    <row r="5864" customFormat="false" ht="15" hidden="false" customHeight="true" outlineLevel="0" collapsed="false">
      <c r="B5864" s="10"/>
      <c r="C5864" s="10"/>
      <c r="D5864" s="35" t="str">
        <f aca="false">IF(IF($K$5851=0,"",INDEX(Clients!$G$2:$G$501,$K$5851)&amp;"")="","",TRIM(IF($K$5851=0,"",INDEX(Clients!$H$2:$H$501,$K$5851)&amp;"")&amp;" "&amp;UPPER(IF($K$5851=0,"",INDEX(Clients!$I$2:$I$501,$K$5851)&amp;""))))</f>
        <v/>
      </c>
      <c r="E5864" s="35"/>
      <c r="F5864" s="35"/>
      <c r="J5864" s="25"/>
      <c r="K5864" s="25"/>
      <c r="L5864" s="25"/>
      <c r="M5864" s="25"/>
      <c r="N5864" s="25"/>
      <c r="O5864" s="25"/>
    </row>
    <row r="5865" customFormat="false" ht="25.5" hidden="false" customHeight="true" outlineLevel="0" collapsed="false">
      <c r="B5865" s="10"/>
      <c r="C5865" s="10"/>
      <c r="D5865" s="10"/>
      <c r="E5865" s="10"/>
      <c r="F5865" s="10"/>
      <c r="J5865" s="25"/>
      <c r="K5865" s="25"/>
      <c r="L5865" s="25"/>
      <c r="M5865" s="25"/>
      <c r="N5865" s="25"/>
      <c r="O5865" s="25"/>
    </row>
    <row r="5866" customFormat="false" ht="15" hidden="false" customHeight="false" outlineLevel="0" collapsed="false">
      <c r="B5866" s="10"/>
      <c r="C5866" s="10"/>
      <c r="D5866" s="36" t="str">
        <f aca="false">Cab_Ville&amp;", le "&amp;DAY(Date_Courrier)&amp;IF(DAY(Date_Courrier)=1,"er","")&amp;" "&amp;INDEX(Liste_Mois,MONTH(Date_Courrier))&amp;" "&amp;YEAR(Date_Courrier)</f>
        <v>Le Plessis-Bouchard, le 22 septembre 2026</v>
      </c>
      <c r="E5866" s="36"/>
      <c r="F5866" s="36"/>
      <c r="J5866" s="25"/>
      <c r="K5866" s="25"/>
      <c r="L5866" s="25"/>
      <c r="M5866" s="25"/>
      <c r="N5866" s="25"/>
      <c r="O5866" s="25"/>
    </row>
    <row r="5867" customFormat="false" ht="19.5" hidden="false" customHeight="true" outlineLevel="0" collapsed="false">
      <c r="B5867" s="10"/>
      <c r="C5867" s="10"/>
      <c r="D5867" s="10"/>
      <c r="E5867" s="10"/>
      <c r="F5867" s="10"/>
      <c r="J5867" s="25"/>
      <c r="K5867" s="25"/>
      <c r="L5867" s="25"/>
      <c r="M5867" s="25"/>
      <c r="N5867" s="25"/>
      <c r="O5867" s="25"/>
    </row>
    <row r="5868" customFormat="false" ht="15" hidden="false" customHeight="false" outlineLevel="0" collapsed="false">
      <c r="B5868" s="34" t="str">
        <f aca="false">SUBSTITUTE(SUBSTITUTE(SUBSTITUTE(SUBSTITUTE(SUBSTITUTE(Txt_Objet,"{cabinet}",Cab_Nom),"{societe}",IF($K$5851=0,"",INDEX(Clients!$E$2:$E$501,$K$5851)&amp;"")),"{date_effet}",$K$5853),"{hausse}",$K$5854),"{civilite}",$K$5852)</f>
        <v>Objet : révision de nos honoraires au 1er janvier 2027</v>
      </c>
      <c r="C5868" s="34"/>
      <c r="D5868" s="34"/>
      <c r="E5868" s="34"/>
      <c r="F5868" s="34"/>
      <c r="J5868" s="25"/>
      <c r="K5868" s="25"/>
      <c r="L5868" s="25"/>
      <c r="M5868" s="25"/>
      <c r="N5868" s="25"/>
      <c r="O5868" s="25"/>
    </row>
    <row r="5869" customFormat="false" ht="13.5" hidden="false" customHeight="true" outlineLevel="0" collapsed="false">
      <c r="B5869" s="10"/>
      <c r="C5869" s="10"/>
      <c r="D5869" s="10"/>
      <c r="E5869" s="10"/>
      <c r="F5869" s="10"/>
      <c r="J5869" s="25"/>
      <c r="K5869" s="25"/>
      <c r="L5869" s="25"/>
      <c r="M5869" s="25"/>
      <c r="N5869" s="25"/>
      <c r="O5869" s="25"/>
    </row>
    <row r="5870" customFormat="false" ht="15" hidden="false" customHeight="false" outlineLevel="0" collapsed="false">
      <c r="B5870" s="10" t="str">
        <f aca="false">$K$5852&amp;","</f>
        <v>Madame, Monsieur,</v>
      </c>
      <c r="C5870" s="10"/>
      <c r="D5870" s="10"/>
      <c r="E5870" s="10"/>
      <c r="F5870" s="10"/>
      <c r="J5870" s="25"/>
      <c r="K5870" s="25"/>
      <c r="L5870" s="25"/>
      <c r="M5870" s="25"/>
      <c r="N5870" s="25"/>
      <c r="O5870" s="25"/>
    </row>
    <row r="5871" customFormat="false" ht="6" hidden="false" customHeight="true" outlineLevel="0" collapsed="false">
      <c r="B5871" s="10"/>
      <c r="C5871" s="10"/>
      <c r="D5871" s="10"/>
      <c r="E5871" s="10"/>
      <c r="F5871" s="10"/>
      <c r="J5871" s="25"/>
      <c r="K5871" s="25"/>
      <c r="L5871" s="25"/>
      <c r="M5871" s="25"/>
      <c r="N5871" s="25"/>
      <c r="O5871" s="25"/>
    </row>
    <row r="5872" customFormat="false" ht="36.75" hidden="false" customHeight="true" outlineLevel="0" collapsed="false">
      <c r="B5872" s="37" t="str">
        <f aca="false">SUBSTITUTE(SUBSTITUTE(SUBSTITUTE(SUBSTITUTE(SUBSTITUTE(Txt_P1,"{cabinet}",Cab_Nom),"{societe}",IF($K$5851=0,"",INDEX(Clients!$E$2:$E$501,$K$5851)&amp;"")),"{date_effet}",$K$5853),"{hausse}",$K$5854),"{civilite}",$K$5852)</f>
        <v>Nous tenons tout d'abord à vous remercier pour la confiance que vous accordez à ALTHO EXPERTISE. Comme chaque année, et conformément aux dispositions de votre lettre de mission, nous procédons à la révision de nos honoraires.</v>
      </c>
      <c r="C5872" s="37"/>
      <c r="D5872" s="37"/>
      <c r="E5872" s="37"/>
      <c r="F5872" s="37"/>
      <c r="J5872" s="25"/>
      <c r="K5872" s="25"/>
      <c r="L5872" s="25"/>
      <c r="M5872" s="25"/>
      <c r="N5872" s="25"/>
      <c r="O5872" s="25"/>
    </row>
    <row r="5873" customFormat="false" ht="49.5" hidden="false" customHeight="true" outlineLevel="0" collapsed="false">
      <c r="B5873" s="37" t="str">
        <f aca="false">SUBSTITUTE(SUBSTITUTE(SUBSTITUTE(SUBSTITUTE(SUBSTITUTE(Txt_P2,"{cabinet}",Cab_Nom),"{societe}",IF($K$5851=0,"",INDEX(Clients!$E$2:$E$501,$K$5851)&amp;"")),"{date_effet}",$K$5853),"{hausse}",$K$5854),"{civilite}",$K$5852)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873" s="37"/>
      <c r="D5873" s="37"/>
      <c r="E5873" s="37"/>
      <c r="F5873" s="37"/>
      <c r="J5873" s="25"/>
      <c r="K5873" s="25"/>
      <c r="L5873" s="25"/>
      <c r="M5873" s="25"/>
      <c r="N5873" s="25"/>
      <c r="O5873" s="25"/>
    </row>
    <row r="5874" customFormat="false" ht="63" hidden="false" customHeight="true" outlineLevel="0" collapsed="false">
      <c r="B5874" s="37" t="str">
        <f aca="false">SUBSTITUTE(SUBSTITUTE(SUBSTITUTE(SUBSTITUTE(SUBSTITUTE(Txt_P3,"{cabinet}",Cab_Nom),"{societe}",IF($K$5851=0,"",INDEX(Clients!$E$2:$E$501,$K$5851)&amp;"")),"{date_effet}",$K$5853),"{hausse}",$K$5854),"{civilite}",$K$5852)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874" s="37"/>
      <c r="D5874" s="37"/>
      <c r="E5874" s="37"/>
      <c r="F5874" s="37"/>
      <c r="J5874" s="25"/>
      <c r="K5874" s="25"/>
      <c r="L5874" s="25"/>
      <c r="M5874" s="25"/>
      <c r="N5874" s="25"/>
      <c r="O5874" s="25"/>
    </row>
    <row r="5875" customFormat="false" ht="24" hidden="false" customHeight="true" outlineLevel="0" collapsed="false">
      <c r="B5875" s="37" t="str">
        <f aca="false">SUBSTITUTE(SUBSTITUTE(SUBSTITUTE(SUBSTITUTE(SUBSTITUTE(Txt_P4,"{cabinet}",Cab_Nom),"{societe}",IF($K$5851=0,"",INDEX(Clients!$E$2:$E$501,$K$5851)&amp;"")),"{date_effet}",$K$5853),"{hausse}",$K$5854),"{civilite}",$K$5852)</f>
        <v>À compter du 1er janvier 2027, vos honoraires annuels hors taxes évolueront ainsi (évolution globale : ) :</v>
      </c>
      <c r="C5875" s="37"/>
      <c r="D5875" s="37"/>
      <c r="E5875" s="37"/>
      <c r="F5875" s="37"/>
      <c r="J5875" s="25"/>
      <c r="K5875" s="25"/>
      <c r="L5875" s="25"/>
      <c r="M5875" s="25"/>
      <c r="N5875" s="25"/>
      <c r="O5875" s="25"/>
    </row>
    <row r="5876" customFormat="false" ht="3.75" hidden="false" customHeight="true" outlineLevel="0" collapsed="false">
      <c r="B5876" s="10"/>
      <c r="C5876" s="10"/>
      <c r="D5876" s="10"/>
      <c r="E5876" s="10"/>
      <c r="F5876" s="10"/>
      <c r="J5876" s="25"/>
      <c r="K5876" s="25"/>
      <c r="L5876" s="25"/>
      <c r="M5876" s="25"/>
      <c r="N5876" s="25"/>
      <c r="O5876" s="25"/>
    </row>
    <row r="5877" customFormat="false" ht="18" hidden="false" customHeight="true" outlineLevel="0" collapsed="false">
      <c r="B5877" s="38" t="s">
        <v>148</v>
      </c>
      <c r="C5877" s="39" t="s">
        <v>149</v>
      </c>
      <c r="D5877" s="39" t="s">
        <v>150</v>
      </c>
      <c r="E5877" s="39" t="s">
        <v>151</v>
      </c>
      <c r="F5877" s="39" t="s">
        <v>109</v>
      </c>
      <c r="J5877" s="25" t="s">
        <v>152</v>
      </c>
      <c r="K5877" s="25" t="s">
        <v>153</v>
      </c>
      <c r="L5877" s="25" t="s">
        <v>154</v>
      </c>
      <c r="M5877" s="25" t="s">
        <v>155</v>
      </c>
      <c r="N5877" s="25" t="s">
        <v>156</v>
      </c>
      <c r="O5877" s="25" t="s">
        <v>157</v>
      </c>
    </row>
    <row r="5878" customFormat="false" ht="16.5" hidden="false" customHeight="true" outlineLevel="0" collapsed="false">
      <c r="B5878" s="40" t="str">
        <f aca="false">IFERROR(INDEX($J$5878:$J$5881,MATCH($O5878,$N$5878:$N$5881,0)),"")</f>
        <v/>
      </c>
      <c r="C5878" s="41" t="str">
        <f aca="false">IFERROR(INDEX($K$5878:$K$5881,MATCH($O5878,$N$5878:$N$5881,0)),"")</f>
        <v/>
      </c>
      <c r="D5878" s="42" t="str">
        <f aca="false">IF(OR(E5878="",N(C5878)=0),"",E5878/C5878-1)</f>
        <v/>
      </c>
      <c r="E5878" s="41" t="str">
        <f aca="false">IFERROR(INDEX($L$5878:$L$5881,MATCH($O5878,$N$5878:$N$5881,0)),"")</f>
        <v/>
      </c>
      <c r="F5878" s="41" t="str">
        <f aca="false">IF(E5878="","",E5878-C5878)</f>
        <v/>
      </c>
      <c r="J5878" s="25" t="str">
        <f aca="false">Lib_Compta</f>
        <v>Mission comptable (tenue, révision, bilan, liasse fiscale)</v>
      </c>
      <c r="K5878" s="25" t="n">
        <f aca="false">IF($K$5851=0,0,N(INDEX(Clients!$K$2:$K$501,$K$5851)))</f>
        <v>0</v>
      </c>
      <c r="L5878" s="25" t="n">
        <f aca="false">IF($K$5851=0,0,N(INDEX(Clients!$P$2:$P$501,$K$5851)))</f>
        <v>0</v>
      </c>
      <c r="M5878" s="25" t="n">
        <f aca="false">IF(OR(K5878&lt;&gt;0,L5878&lt;&gt;0),1,0)</f>
        <v>0</v>
      </c>
      <c r="N5878" s="25" t="str">
        <f aca="false">IF(M5878=1,SUM($M$5878:M5878),"")</f>
        <v/>
      </c>
      <c r="O5878" s="25" t="n">
        <v>1</v>
      </c>
    </row>
    <row r="5879" customFormat="false" ht="16.5" hidden="false" customHeight="true" outlineLevel="0" collapsed="false">
      <c r="B5879" s="40" t="str">
        <f aca="false">IFERROR(INDEX($J$5878:$J$5881,MATCH($O5879,$N$5878:$N$5881,0)),"")</f>
        <v/>
      </c>
      <c r="C5879" s="41" t="str">
        <f aca="false">IFERROR(INDEX($K$5878:$K$5881,MATCH($O5879,$N$5878:$N$5881,0)),"")</f>
        <v/>
      </c>
      <c r="D5879" s="42" t="str">
        <f aca="false">IF(OR(E5879="",N(C5879)=0),"",E5879/C5879-1)</f>
        <v/>
      </c>
      <c r="E5879" s="41" t="str">
        <f aca="false">IFERROR(INDEX($L$5878:$L$5881,MATCH($O5879,$N$5878:$N$5881,0)),"")</f>
        <v/>
      </c>
      <c r="F5879" s="41" t="str">
        <f aca="false">IF(E5879="","",E5879-C5879)</f>
        <v/>
      </c>
      <c r="J5879" s="25" t="str">
        <f aca="false">Lib_Paye</f>
        <v>Mission sociale (bulletins de paie, DSN, déclarations sociales)</v>
      </c>
      <c r="K5879" s="25" t="n">
        <f aca="false">IF($K$5851=0,0,N(INDEX(Clients!$L$2:$L$501,$K$5851)))</f>
        <v>0</v>
      </c>
      <c r="L5879" s="25" t="n">
        <f aca="false">IF($K$5851=0,0,N(INDEX(Clients!$Q$2:$Q$501,$K$5851)))</f>
        <v>0</v>
      </c>
      <c r="M5879" s="25" t="n">
        <f aca="false">IF(OR(K5879&lt;&gt;0,L5879&lt;&gt;0),1,0)</f>
        <v>0</v>
      </c>
      <c r="N5879" s="25" t="str">
        <f aca="false">IF(M5879=1,SUM($M$5878:M5879),"")</f>
        <v/>
      </c>
      <c r="O5879" s="25" t="n">
        <v>2</v>
      </c>
    </row>
    <row r="5880" customFormat="false" ht="16.5" hidden="false" customHeight="true" outlineLevel="0" collapsed="false">
      <c r="B5880" s="40" t="str">
        <f aca="false">IFERROR(INDEX($J$5878:$J$5881,MATCH($O5880,$N$5878:$N$5881,0)),"")</f>
        <v/>
      </c>
      <c r="C5880" s="41" t="str">
        <f aca="false">IFERROR(INDEX($K$5878:$K$5881,MATCH($O5880,$N$5878:$N$5881,0)),"")</f>
        <v/>
      </c>
      <c r="D5880" s="42" t="str">
        <f aca="false">IF(OR(E5880="",N(C5880)=0),"",E5880/C5880-1)</f>
        <v/>
      </c>
      <c r="E5880" s="41" t="str">
        <f aca="false">IFERROR(INDEX($L$5878:$L$5881,MATCH($O5880,$N$5878:$N$5881,0)),"")</f>
        <v/>
      </c>
      <c r="F5880" s="41" t="str">
        <f aca="false">IF(E5880="","",E5880-C5880)</f>
        <v/>
      </c>
      <c r="J5880" s="25" t="str">
        <f aca="false">Lib_Jur</f>
        <v>Mission juridique (approbation des comptes, secrétariat juridique)</v>
      </c>
      <c r="K5880" s="25" t="n">
        <f aca="false">IF($K$5851=0,0,N(INDEX(Clients!$M$2:$M$501,$K$5851)))</f>
        <v>0</v>
      </c>
      <c r="L5880" s="25" t="n">
        <f aca="false">IF($K$5851=0,0,N(INDEX(Clients!$R$2:$R$501,$K$5851)))</f>
        <v>0</v>
      </c>
      <c r="M5880" s="25" t="n">
        <f aca="false">IF(OR(K5880&lt;&gt;0,L5880&lt;&gt;0),1,0)</f>
        <v>0</v>
      </c>
      <c r="N5880" s="25" t="str">
        <f aca="false">IF(M5880=1,SUM($M$5878:M5880),"")</f>
        <v/>
      </c>
      <c r="O5880" s="25" t="n">
        <v>3</v>
      </c>
    </row>
    <row r="5881" customFormat="false" ht="16.5" hidden="false" customHeight="true" outlineLevel="0" collapsed="false">
      <c r="B5881" s="40" t="str">
        <f aca="false">IFERROR(INDEX($J$5878:$J$5881,MATCH($O5881,$N$5878:$N$5881,0)),"")</f>
        <v/>
      </c>
      <c r="C5881" s="41" t="str">
        <f aca="false">IFERROR(INDEX($K$5878:$K$5881,MATCH($O5881,$N$5878:$N$5881,0)),"")</f>
        <v/>
      </c>
      <c r="D5881" s="42" t="str">
        <f aca="false">IF(OR(E5881="",N(C5881)=0),"",E5881/C5881-1)</f>
        <v/>
      </c>
      <c r="E5881" s="41" t="str">
        <f aca="false">IFERROR(INDEX($L$5878:$L$5881,MATCH($O5881,$N$5878:$N$5881,0)),"")</f>
        <v/>
      </c>
      <c r="F5881" s="41" t="str">
        <f aca="false">IF(E5881="","",E5881-C5881)</f>
        <v/>
      </c>
      <c r="J5881" s="25" t="str">
        <f aca="false">Lib_PA</f>
        <v>Plateforme agréée – facturation électronique</v>
      </c>
      <c r="K5881" s="25" t="n">
        <f aca="false">IF($K$5851=0,0,N(INDEX(Clients!$N$2:$N$501,$K$5851)))</f>
        <v>0</v>
      </c>
      <c r="L5881" s="25" t="n">
        <f aca="false">IF($K$5851=0,0,N(INDEX(Clients!$S$2:$S$501,$K$5851)))</f>
        <v>0</v>
      </c>
      <c r="M5881" s="25" t="n">
        <f aca="false">IF(OR(K5881&lt;&gt;0,L5881&lt;&gt;0),1,0)</f>
        <v>0</v>
      </c>
      <c r="N5881" s="25" t="str">
        <f aca="false">IF(M5881=1,SUM($M$5878:M5881),"")</f>
        <v/>
      </c>
      <c r="O5881" s="25" t="n">
        <v>4</v>
      </c>
    </row>
    <row r="5882" customFormat="false" ht="18" hidden="false" customHeight="true" outlineLevel="0" collapsed="false">
      <c r="B5882" s="43" t="s">
        <v>158</v>
      </c>
      <c r="C5882" s="44" t="n">
        <f aca="false">SUM(K5878:K5881)</f>
        <v>0</v>
      </c>
      <c r="D5882" s="45" t="str">
        <f aca="false">IF(N(C5882)=0,"",E5882/C5882-1)</f>
        <v/>
      </c>
      <c r="E5882" s="44" t="n">
        <f aca="false">SUM(L5878:L5881)</f>
        <v>0</v>
      </c>
      <c r="F5882" s="44" t="n">
        <f aca="false">E5882-C5882</f>
        <v>0</v>
      </c>
    </row>
    <row r="5883" customFormat="false" ht="15" hidden="false" customHeight="false" outlineLevel="0" collapsed="false">
      <c r="B5883" s="46" t="str">
        <f aca="false">IF(N(Nb_Mensualites)=0,"","Soit "&amp;FIXED(E5882/Nb_Mensualites,2)&amp;" € HT par échéance ("&amp;Nb_Mensualites&amp;" échéances), "&amp;FIXED(E5882/Nb_Mensualites*(1+Taux_TVA),2)&amp;" € TTC.")</f>
        <v>Soit 0.00 € HT par échéance (12 échéances), 0.00 € TTC.</v>
      </c>
      <c r="C5883" s="46"/>
      <c r="D5883" s="46"/>
      <c r="E5883" s="46"/>
      <c r="F5883" s="46"/>
    </row>
    <row r="5884" customFormat="false" ht="7.5" hidden="false" customHeight="true" outlineLevel="0" collapsed="false">
      <c r="B5884" s="10"/>
      <c r="C5884" s="10"/>
      <c r="D5884" s="10"/>
      <c r="E5884" s="10"/>
      <c r="F5884" s="10"/>
    </row>
    <row r="5885" customFormat="false" ht="36.75" hidden="false" customHeight="true" outlineLevel="0" collapsed="false">
      <c r="B5885" s="37" t="str">
        <f aca="false">SUBSTITUTE(SUBSTITUTE(SUBSTITUTE(SUBSTITUTE(SUBSTITUTE(Txt_P5,"{cabinet}",Cab_Nom),"{societe}",IF($K$5851=0,"",INDEX(Clients!$E$2:$E$501,$K$5851)&amp;"")),"{date_effet}",$K$5853),"{hausse}",$K$5854),"{civilite}",$K$5852)</f>
        <v>Les autres conditions de votre lettre de mission demeurent inchangées. Les nouveaux montants seront appliqués automatiquement sur vos prochaines factures et échéances de prélèvement.</v>
      </c>
      <c r="C5885" s="37"/>
      <c r="D5885" s="37"/>
      <c r="E5885" s="37"/>
      <c r="F5885" s="37"/>
    </row>
    <row r="5886" customFormat="false" ht="36.75" hidden="false" customHeight="true" outlineLevel="0" collapsed="false">
      <c r="B5886" s="37" t="str">
        <f aca="false">SUBSTITUTE(SUBSTITUTE(SUBSTITUTE(SUBSTITUTE(SUBSTITUTE(Txt_P6,"{cabinet}",Cab_Nom),"{societe}",IF($K$5851=0,"",INDEX(Clients!$E$2:$E$501,$K$5851)&amp;"")),"{date_effet}",$K$5853),"{hausse}",$K$5854),"{civilite}",$K$5852)</f>
        <v>Votre interlocuteur habituel reste à votre entière disposition pour répondre à vos questions et faire le point sur l'évolution de vos besoins.</v>
      </c>
      <c r="C5886" s="37"/>
      <c r="D5886" s="37"/>
      <c r="E5886" s="37"/>
      <c r="F5886" s="37"/>
    </row>
    <row r="5887" customFormat="false" ht="24" hidden="false" customHeight="true" outlineLevel="0" collapsed="false">
      <c r="B5887" s="37" t="str">
        <f aca="false">SUBSTITUTE(SUBSTITUTE(SUBSTITUTE(SUBSTITUTE(SUBSTITUTE(Txt_Politesse,"{cabinet}",Cab_Nom),"{societe}",IF($K$5851=0,"",INDEX(Clients!$E$2:$E$501,$K$5851)&amp;"")),"{date_effet}",$K$5853),"{hausse}",$K$5854),"{civilite}",$K$5852)</f>
        <v>Nous vous prions d'agréer, Madame, Monsieur, l'expression de nos salutations distinguées.</v>
      </c>
      <c r="C5887" s="37"/>
      <c r="D5887" s="37"/>
      <c r="E5887" s="37"/>
      <c r="F5887" s="37"/>
    </row>
    <row r="5888" customFormat="false" ht="15" hidden="false" customHeight="false" outlineLevel="0" collapsed="false">
      <c r="B5888" s="10"/>
      <c r="C5888" s="10"/>
      <c r="D5888" s="10"/>
      <c r="E5888" s="10"/>
      <c r="F5888" s="10"/>
    </row>
    <row r="5889" customFormat="false" ht="15" hidden="false" customHeight="false" outlineLevel="0" collapsed="false">
      <c r="B5889" s="10"/>
      <c r="C5889" s="10"/>
      <c r="D5889" s="34" t="str">
        <f aca="false">Signataire</f>
        <v>Prénom NOM</v>
      </c>
      <c r="E5889" s="34"/>
      <c r="F5889" s="34"/>
    </row>
    <row r="5890" customFormat="false" ht="15" hidden="false" customHeight="false" outlineLevel="0" collapsed="false">
      <c r="B5890" s="10"/>
      <c r="C5890" s="10"/>
      <c r="D5890" s="47" t="str">
        <f aca="false">Signataire_Titre</f>
        <v>Expert-comptable associé</v>
      </c>
      <c r="E5890" s="47"/>
      <c r="F5890" s="47"/>
    </row>
    <row r="5891" customFormat="false" ht="15.75" hidden="false" customHeight="true" outlineLevel="0" collapsed="false">
      <c r="B5891" s="10"/>
      <c r="C5891" s="10"/>
      <c r="D5891" s="10"/>
      <c r="E5891" s="10"/>
      <c r="F5891" s="10"/>
    </row>
    <row r="5892" customFormat="false" ht="15.75" hidden="false" customHeight="true" outlineLevel="0" collapsed="false">
      <c r="B5892" s="10"/>
      <c r="C5892" s="10"/>
      <c r="D5892" s="10"/>
      <c r="E5892" s="10"/>
      <c r="F5892" s="10"/>
    </row>
    <row r="5893" customFormat="false" ht="15.75" hidden="false" customHeight="true" outlineLevel="0" collapsed="false">
      <c r="B5893" s="10"/>
      <c r="C5893" s="10"/>
      <c r="D5893" s="10"/>
      <c r="E5893" s="10"/>
      <c r="F5893" s="10"/>
    </row>
    <row r="5894" customFormat="false" ht="15.75" hidden="false" customHeight="true" outlineLevel="0" collapsed="false">
      <c r="B5894" s="10"/>
      <c r="C5894" s="10"/>
      <c r="D5894" s="10"/>
      <c r="E5894" s="10"/>
      <c r="F5894" s="10"/>
    </row>
    <row r="5895" customFormat="false" ht="24" hidden="false" customHeight="true" outlineLevel="0" collapsed="false">
      <c r="B5895" s="48" t="str">
        <f aca="false">Cab_Mentions</f>
        <v>ALTHO EXPERTISE · SAS au capital de 10 000 € · RCS Pontoise 919 706 325 · TVA FR62919706325 · Société d'expertise comptable inscrite au Tableau de l'Ordre des experts-comptables de Paris Île-de-France</v>
      </c>
      <c r="C5895" s="48"/>
      <c r="D5895" s="48"/>
      <c r="E5895" s="48"/>
      <c r="F5895" s="48"/>
    </row>
    <row r="5896" customFormat="false" ht="15" hidden="false" customHeight="false" outlineLevel="0" collapsed="false">
      <c r="B5896" s="10"/>
      <c r="C5896" s="10"/>
      <c r="D5896" s="10"/>
      <c r="E5896" s="10"/>
      <c r="F5896" s="10"/>
      <c r="J5896" s="25" t="s">
        <v>142</v>
      </c>
      <c r="K5896" s="25" t="n">
        <f aca="false">IFERROR(MATCH(132,Clients!$Z$2:$Z$501,0),0)</f>
        <v>0</v>
      </c>
      <c r="L5896" s="25"/>
      <c r="M5896" s="25"/>
      <c r="N5896" s="25"/>
      <c r="O5896" s="25"/>
    </row>
    <row r="5897" customFormat="false" ht="21.75" hidden="false" customHeight="true" outlineLevel="0" collapsed="false">
      <c r="B5897" s="26" t="str">
        <f aca="false">Cab_Nom</f>
        <v>ALTHO EXPERTISE</v>
      </c>
      <c r="C5897" s="26"/>
      <c r="D5897" s="10"/>
      <c r="E5897" s="27" t="str">
        <f aca="false">IF($K$5896=0,"","Réf. client : "&amp;INDEX(Clients!$A$2:$A$501,$K$5896))</f>
        <v/>
      </c>
      <c r="F5897" s="27"/>
      <c r="J5897" s="25" t="s">
        <v>144</v>
      </c>
      <c r="K5897" s="25" t="str">
        <f aca="false">IF(IF($K$5896=0,"",INDEX(Clients!$B$2:$B$501,$K$5896)&amp;"")="Mme","Madame",IF(IF($K$5896=0,"",INDEX(Clients!$B$2:$B$501,$K$5896)&amp;"")="M.","Monsieur","Madame, Monsieur"))</f>
        <v>Madame, Monsieur</v>
      </c>
      <c r="L5897" s="25"/>
      <c r="M5897" s="25"/>
      <c r="N5897" s="25"/>
      <c r="O5897" s="25"/>
    </row>
    <row r="5898" customFormat="false" ht="15" hidden="false" customHeight="false" outlineLevel="0" collapsed="false">
      <c r="B5898" s="29" t="str">
        <f aca="false">Cab_Adr1</f>
        <v>141 rue Charles de Gaulle</v>
      </c>
      <c r="C5898" s="29"/>
      <c r="D5898" s="10"/>
      <c r="E5898" s="10"/>
      <c r="F5898" s="10"/>
      <c r="J5898" s="25" t="s">
        <v>145</v>
      </c>
      <c r="K5898" s="25" t="str">
        <f aca="false">DAY(Date_Effet)&amp;IF(DAY(Date_Effet)=1,"er","")&amp;" "&amp;INDEX(Liste_Mois,MONTH(Date_Effet))&amp;" "&amp;YEAR(Date_Effet)</f>
        <v>1er janvier 2027</v>
      </c>
      <c r="L5898" s="25"/>
      <c r="M5898" s="25"/>
      <c r="N5898" s="25"/>
      <c r="O5898" s="25"/>
    </row>
    <row r="5899" customFormat="false" ht="15" hidden="false" customHeight="false" outlineLevel="0" collapsed="false">
      <c r="B5899" s="29" t="str">
        <f aca="false">Cab_CPVille</f>
        <v>95130 LE PLESSIS-BOUCHARD</v>
      </c>
      <c r="C5899" s="29"/>
      <c r="D5899" s="10"/>
      <c r="E5899" s="10"/>
      <c r="F5899" s="10"/>
      <c r="J5899" s="25" t="s">
        <v>146</v>
      </c>
      <c r="K5899" s="25" t="str">
        <f aca="false">IF(SUM($K$5923:$K$5926)=0,"",FIXED((SUM($L$5923:$L$5926)/SUM($K$5923:$K$5926)-1)*100,1)&amp;" %")</f>
        <v/>
      </c>
      <c r="L5899" s="25"/>
      <c r="M5899" s="25"/>
      <c r="N5899" s="25"/>
      <c r="O5899" s="25"/>
    </row>
    <row r="5900" customFormat="false" ht="15" hidden="false" customHeight="false" outlineLevel="0" collapsed="false">
      <c r="B5900" s="29" t="str">
        <f aca="false">Cab_Contact</f>
        <v>Tél. 01 34 14 53 45  ·  altho@altho-experts.com  ·  altho-experts.com</v>
      </c>
      <c r="C5900" s="29"/>
      <c r="D5900" s="10"/>
      <c r="E5900" s="10"/>
      <c r="F5900" s="10"/>
      <c r="J5900" s="25"/>
      <c r="K5900" s="25"/>
      <c r="L5900" s="25"/>
      <c r="M5900" s="25"/>
      <c r="N5900" s="25"/>
      <c r="O5900" s="25"/>
    </row>
    <row r="5901" customFormat="false" ht="6" hidden="false" customHeight="true" outlineLevel="0" collapsed="false">
      <c r="B5901" s="32"/>
      <c r="C5901" s="32"/>
      <c r="D5901" s="32"/>
      <c r="E5901" s="32"/>
      <c r="F5901" s="32"/>
      <c r="J5901" s="25"/>
      <c r="K5901" s="25"/>
      <c r="L5901" s="25"/>
      <c r="M5901" s="25"/>
      <c r="N5901" s="25"/>
      <c r="O5901" s="25"/>
    </row>
    <row r="5902" customFormat="false" ht="13.5" hidden="false" customHeight="true" outlineLevel="0" collapsed="false">
      <c r="B5902" s="10"/>
      <c r="C5902" s="10"/>
      <c r="D5902" s="10"/>
      <c r="E5902" s="10"/>
      <c r="F5902" s="10"/>
      <c r="J5902" s="25"/>
      <c r="K5902" s="25"/>
      <c r="L5902" s="25"/>
      <c r="M5902" s="25"/>
      <c r="N5902" s="25"/>
      <c r="O5902" s="25"/>
    </row>
    <row r="5903" customFormat="false" ht="13.5" hidden="false" customHeight="true" outlineLevel="0" collapsed="false">
      <c r="B5903" s="10"/>
      <c r="C5903" s="10"/>
      <c r="D5903" s="10"/>
      <c r="E5903" s="10"/>
      <c r="F5903" s="10"/>
      <c r="J5903" s="25"/>
      <c r="K5903" s="25"/>
      <c r="L5903" s="25"/>
      <c r="M5903" s="25"/>
      <c r="N5903" s="25"/>
      <c r="O5903" s="25"/>
    </row>
    <row r="5904" customFormat="false" ht="13.5" hidden="false" customHeight="true" outlineLevel="0" collapsed="false">
      <c r="B5904" s="10"/>
      <c r="C5904" s="10"/>
      <c r="D5904" s="10"/>
      <c r="E5904" s="10"/>
      <c r="F5904" s="10"/>
      <c r="J5904" s="25"/>
      <c r="K5904" s="25"/>
      <c r="L5904" s="25"/>
      <c r="M5904" s="25"/>
      <c r="N5904" s="25"/>
      <c r="O5904" s="25"/>
    </row>
    <row r="5905" customFormat="false" ht="15" hidden="false" customHeight="true" outlineLevel="0" collapsed="false">
      <c r="B5905" s="10"/>
      <c r="C5905" s="10"/>
      <c r="D5905" s="34" t="str">
        <f aca="false">IF($K$5896=0,"",INDEX(Clients!$E$2:$E$501,$K$5896)&amp;"")</f>
        <v/>
      </c>
      <c r="E5905" s="34"/>
      <c r="F5905" s="34"/>
      <c r="J5905" s="25"/>
      <c r="K5905" s="25"/>
      <c r="L5905" s="25"/>
      <c r="M5905" s="25"/>
      <c r="N5905" s="25"/>
      <c r="O5905" s="25"/>
    </row>
    <row r="5906" customFormat="false" ht="15" hidden="false" customHeight="true" outlineLevel="0" collapsed="false">
      <c r="B5906" s="10"/>
      <c r="C5906" s="10"/>
      <c r="D5906" s="35" t="str">
        <f aca="false">IF(IF($K$5896=0,"",INDEX(Clients!$D$2:$D$501,$K$5896)&amp;"")="","","À l'attention de "&amp;TRIM(IF($K$5896=0,"",INDEX(Clients!$B$2:$B$501,$K$5896)&amp;"")&amp;" "&amp;IF($K$5896=0,"",INDEX(Clients!$C$2:$C$501,$K$5896)&amp;"")&amp;" "&amp;IF($K$5896=0,"",INDEX(Clients!$D$2:$D$501,$K$5896)&amp;"")))</f>
        <v/>
      </c>
      <c r="E5906" s="35"/>
      <c r="F5906" s="35"/>
      <c r="J5906" s="25"/>
      <c r="K5906" s="25"/>
      <c r="L5906" s="25"/>
      <c r="M5906" s="25"/>
      <c r="N5906" s="25"/>
      <c r="O5906" s="25"/>
    </row>
    <row r="5907" customFormat="false" ht="15" hidden="false" customHeight="true" outlineLevel="0" collapsed="false">
      <c r="B5907" s="10"/>
      <c r="C5907" s="10"/>
      <c r="D5907" s="35" t="str">
        <f aca="false">IF($K$5896=0,"",INDEX(Clients!$F$2:$F$501,$K$5896)&amp;"")</f>
        <v/>
      </c>
      <c r="E5907" s="35"/>
      <c r="F5907" s="35"/>
      <c r="J5907" s="25"/>
      <c r="K5907" s="25"/>
      <c r="L5907" s="25"/>
      <c r="M5907" s="25"/>
      <c r="N5907" s="25"/>
      <c r="O5907" s="25"/>
    </row>
    <row r="5908" customFormat="false" ht="15" hidden="false" customHeight="true" outlineLevel="0" collapsed="false">
      <c r="B5908" s="10"/>
      <c r="C5908" s="10"/>
      <c r="D5908" s="35" t="str">
        <f aca="false">IF(IF($K$5896=0,"",INDEX(Clients!$G$2:$G$501,$K$5896)&amp;"")="",TRIM(IF($K$5896=0,"",INDEX(Clients!$H$2:$H$501,$K$5896)&amp;"")&amp;" "&amp;UPPER(IF($K$5896=0,"",INDEX(Clients!$I$2:$I$501,$K$5896)&amp;""))),IF($K$5896=0,"",INDEX(Clients!$G$2:$G$501,$K$5896)&amp;""))</f>
        <v/>
      </c>
      <c r="E5908" s="35"/>
      <c r="F5908" s="35"/>
      <c r="J5908" s="25"/>
      <c r="K5908" s="25"/>
      <c r="L5908" s="25"/>
      <c r="M5908" s="25"/>
      <c r="N5908" s="25"/>
      <c r="O5908" s="25"/>
    </row>
    <row r="5909" customFormat="false" ht="15" hidden="false" customHeight="true" outlineLevel="0" collapsed="false">
      <c r="B5909" s="10"/>
      <c r="C5909" s="10"/>
      <c r="D5909" s="35" t="str">
        <f aca="false">IF(IF($K$5896=0,"",INDEX(Clients!$G$2:$G$501,$K$5896)&amp;"")="","",TRIM(IF($K$5896=0,"",INDEX(Clients!$H$2:$H$501,$K$5896)&amp;"")&amp;" "&amp;UPPER(IF($K$5896=0,"",INDEX(Clients!$I$2:$I$501,$K$5896)&amp;""))))</f>
        <v/>
      </c>
      <c r="E5909" s="35"/>
      <c r="F5909" s="35"/>
      <c r="J5909" s="25"/>
      <c r="K5909" s="25"/>
      <c r="L5909" s="25"/>
      <c r="M5909" s="25"/>
      <c r="N5909" s="25"/>
      <c r="O5909" s="25"/>
    </row>
    <row r="5910" customFormat="false" ht="25.5" hidden="false" customHeight="true" outlineLevel="0" collapsed="false">
      <c r="B5910" s="10"/>
      <c r="C5910" s="10"/>
      <c r="D5910" s="10"/>
      <c r="E5910" s="10"/>
      <c r="F5910" s="10"/>
      <c r="J5910" s="25"/>
      <c r="K5910" s="25"/>
      <c r="L5910" s="25"/>
      <c r="M5910" s="25"/>
      <c r="N5910" s="25"/>
      <c r="O5910" s="25"/>
    </row>
    <row r="5911" customFormat="false" ht="15" hidden="false" customHeight="false" outlineLevel="0" collapsed="false">
      <c r="B5911" s="10"/>
      <c r="C5911" s="10"/>
      <c r="D5911" s="36" t="str">
        <f aca="false">Cab_Ville&amp;", le "&amp;DAY(Date_Courrier)&amp;IF(DAY(Date_Courrier)=1,"er","")&amp;" "&amp;INDEX(Liste_Mois,MONTH(Date_Courrier))&amp;" "&amp;YEAR(Date_Courrier)</f>
        <v>Le Plessis-Bouchard, le 22 septembre 2026</v>
      </c>
      <c r="E5911" s="36"/>
      <c r="F5911" s="36"/>
      <c r="J5911" s="25"/>
      <c r="K5911" s="25"/>
      <c r="L5911" s="25"/>
      <c r="M5911" s="25"/>
      <c r="N5911" s="25"/>
      <c r="O5911" s="25"/>
    </row>
    <row r="5912" customFormat="false" ht="19.5" hidden="false" customHeight="true" outlineLevel="0" collapsed="false">
      <c r="B5912" s="10"/>
      <c r="C5912" s="10"/>
      <c r="D5912" s="10"/>
      <c r="E5912" s="10"/>
      <c r="F5912" s="10"/>
      <c r="J5912" s="25"/>
      <c r="K5912" s="25"/>
      <c r="L5912" s="25"/>
      <c r="M5912" s="25"/>
      <c r="N5912" s="25"/>
      <c r="O5912" s="25"/>
    </row>
    <row r="5913" customFormat="false" ht="15" hidden="false" customHeight="false" outlineLevel="0" collapsed="false">
      <c r="B5913" s="34" t="str">
        <f aca="false">SUBSTITUTE(SUBSTITUTE(SUBSTITUTE(SUBSTITUTE(SUBSTITUTE(Txt_Objet,"{cabinet}",Cab_Nom),"{societe}",IF($K$5896=0,"",INDEX(Clients!$E$2:$E$501,$K$5896)&amp;"")),"{date_effet}",$K$5898),"{hausse}",$K$5899),"{civilite}",$K$5897)</f>
        <v>Objet : révision de nos honoraires au 1er janvier 2027</v>
      </c>
      <c r="C5913" s="34"/>
      <c r="D5913" s="34"/>
      <c r="E5913" s="34"/>
      <c r="F5913" s="34"/>
      <c r="J5913" s="25"/>
      <c r="K5913" s="25"/>
      <c r="L5913" s="25"/>
      <c r="M5913" s="25"/>
      <c r="N5913" s="25"/>
      <c r="O5913" s="25"/>
    </row>
    <row r="5914" customFormat="false" ht="13.5" hidden="false" customHeight="true" outlineLevel="0" collapsed="false">
      <c r="B5914" s="10"/>
      <c r="C5914" s="10"/>
      <c r="D5914" s="10"/>
      <c r="E5914" s="10"/>
      <c r="F5914" s="10"/>
      <c r="J5914" s="25"/>
      <c r="K5914" s="25"/>
      <c r="L5914" s="25"/>
      <c r="M5914" s="25"/>
      <c r="N5914" s="25"/>
      <c r="O5914" s="25"/>
    </row>
    <row r="5915" customFormat="false" ht="15" hidden="false" customHeight="false" outlineLevel="0" collapsed="false">
      <c r="B5915" s="10" t="str">
        <f aca="false">$K$5897&amp;","</f>
        <v>Madame, Monsieur,</v>
      </c>
      <c r="C5915" s="10"/>
      <c r="D5915" s="10"/>
      <c r="E5915" s="10"/>
      <c r="F5915" s="10"/>
      <c r="J5915" s="25"/>
      <c r="K5915" s="25"/>
      <c r="L5915" s="25"/>
      <c r="M5915" s="25"/>
      <c r="N5915" s="25"/>
      <c r="O5915" s="25"/>
    </row>
    <row r="5916" customFormat="false" ht="6" hidden="false" customHeight="true" outlineLevel="0" collapsed="false">
      <c r="B5916" s="10"/>
      <c r="C5916" s="10"/>
      <c r="D5916" s="10"/>
      <c r="E5916" s="10"/>
      <c r="F5916" s="10"/>
      <c r="J5916" s="25"/>
      <c r="K5916" s="25"/>
      <c r="L5916" s="25"/>
      <c r="M5916" s="25"/>
      <c r="N5916" s="25"/>
      <c r="O5916" s="25"/>
    </row>
    <row r="5917" customFormat="false" ht="36.75" hidden="false" customHeight="true" outlineLevel="0" collapsed="false">
      <c r="B5917" s="37" t="str">
        <f aca="false">SUBSTITUTE(SUBSTITUTE(SUBSTITUTE(SUBSTITUTE(SUBSTITUTE(Txt_P1,"{cabinet}",Cab_Nom),"{societe}",IF($K$5896=0,"",INDEX(Clients!$E$2:$E$501,$K$5896)&amp;"")),"{date_effet}",$K$5898),"{hausse}",$K$5899),"{civilite}",$K$5897)</f>
        <v>Nous tenons tout d'abord à vous remercier pour la confiance que vous accordez à ALTHO EXPERTISE. Comme chaque année, et conformément aux dispositions de votre lettre de mission, nous procédons à la révision de nos honoraires.</v>
      </c>
      <c r="C5917" s="37"/>
      <c r="D5917" s="37"/>
      <c r="E5917" s="37"/>
      <c r="F5917" s="37"/>
      <c r="J5917" s="25"/>
      <c r="K5917" s="25"/>
      <c r="L5917" s="25"/>
      <c r="M5917" s="25"/>
      <c r="N5917" s="25"/>
      <c r="O5917" s="25"/>
    </row>
    <row r="5918" customFormat="false" ht="49.5" hidden="false" customHeight="true" outlineLevel="0" collapsed="false">
      <c r="B5918" s="37" t="str">
        <f aca="false">SUBSTITUTE(SUBSTITUTE(SUBSTITUTE(SUBSTITUTE(SUBSTITUTE(Txt_P2,"{cabinet}",Cab_Nom),"{societe}",IF($K$5896=0,"",INDEX(Clients!$E$2:$E$501,$K$5896)&amp;"")),"{date_effet}",$K$5898),"{hausse}",$K$5899),"{civilite}",$K$5897)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918" s="37"/>
      <c r="D5918" s="37"/>
      <c r="E5918" s="37"/>
      <c r="F5918" s="37"/>
      <c r="J5918" s="25"/>
      <c r="K5918" s="25"/>
      <c r="L5918" s="25"/>
      <c r="M5918" s="25"/>
      <c r="N5918" s="25"/>
      <c r="O5918" s="25"/>
    </row>
    <row r="5919" customFormat="false" ht="63" hidden="false" customHeight="true" outlineLevel="0" collapsed="false">
      <c r="B5919" s="37" t="str">
        <f aca="false">SUBSTITUTE(SUBSTITUTE(SUBSTITUTE(SUBSTITUTE(SUBSTITUTE(Txt_P3,"{cabinet}",Cab_Nom),"{societe}",IF($K$5896=0,"",INDEX(Clients!$E$2:$E$501,$K$5896)&amp;"")),"{date_effet}",$K$5898),"{hausse}",$K$5899),"{civilite}",$K$5897)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919" s="37"/>
      <c r="D5919" s="37"/>
      <c r="E5919" s="37"/>
      <c r="F5919" s="37"/>
      <c r="J5919" s="25"/>
      <c r="K5919" s="25"/>
      <c r="L5919" s="25"/>
      <c r="M5919" s="25"/>
      <c r="N5919" s="25"/>
      <c r="O5919" s="25"/>
    </row>
    <row r="5920" customFormat="false" ht="24" hidden="false" customHeight="true" outlineLevel="0" collapsed="false">
      <c r="B5920" s="37" t="str">
        <f aca="false">SUBSTITUTE(SUBSTITUTE(SUBSTITUTE(SUBSTITUTE(SUBSTITUTE(Txt_P4,"{cabinet}",Cab_Nom),"{societe}",IF($K$5896=0,"",INDEX(Clients!$E$2:$E$501,$K$5896)&amp;"")),"{date_effet}",$K$5898),"{hausse}",$K$5899),"{civilite}",$K$5897)</f>
        <v>À compter du 1er janvier 2027, vos honoraires annuels hors taxes évolueront ainsi (évolution globale : ) :</v>
      </c>
      <c r="C5920" s="37"/>
      <c r="D5920" s="37"/>
      <c r="E5920" s="37"/>
      <c r="F5920" s="37"/>
      <c r="J5920" s="25"/>
      <c r="K5920" s="25"/>
      <c r="L5920" s="25"/>
      <c r="M5920" s="25"/>
      <c r="N5920" s="25"/>
      <c r="O5920" s="25"/>
    </row>
    <row r="5921" customFormat="false" ht="3.75" hidden="false" customHeight="true" outlineLevel="0" collapsed="false">
      <c r="B5921" s="10"/>
      <c r="C5921" s="10"/>
      <c r="D5921" s="10"/>
      <c r="E5921" s="10"/>
      <c r="F5921" s="10"/>
      <c r="J5921" s="25"/>
      <c r="K5921" s="25"/>
      <c r="L5921" s="25"/>
      <c r="M5921" s="25"/>
      <c r="N5921" s="25"/>
      <c r="O5921" s="25"/>
    </row>
    <row r="5922" customFormat="false" ht="18" hidden="false" customHeight="true" outlineLevel="0" collapsed="false">
      <c r="B5922" s="38" t="s">
        <v>148</v>
      </c>
      <c r="C5922" s="39" t="s">
        <v>149</v>
      </c>
      <c r="D5922" s="39" t="s">
        <v>150</v>
      </c>
      <c r="E5922" s="39" t="s">
        <v>151</v>
      </c>
      <c r="F5922" s="39" t="s">
        <v>109</v>
      </c>
      <c r="J5922" s="25" t="s">
        <v>152</v>
      </c>
      <c r="K5922" s="25" t="s">
        <v>153</v>
      </c>
      <c r="L5922" s="25" t="s">
        <v>154</v>
      </c>
      <c r="M5922" s="25" t="s">
        <v>155</v>
      </c>
      <c r="N5922" s="25" t="s">
        <v>156</v>
      </c>
      <c r="O5922" s="25" t="s">
        <v>157</v>
      </c>
    </row>
    <row r="5923" customFormat="false" ht="16.5" hidden="false" customHeight="true" outlineLevel="0" collapsed="false">
      <c r="B5923" s="40" t="str">
        <f aca="false">IFERROR(INDEX($J$5923:$J$5926,MATCH($O5923,$N$5923:$N$5926,0)),"")</f>
        <v/>
      </c>
      <c r="C5923" s="41" t="str">
        <f aca="false">IFERROR(INDEX($K$5923:$K$5926,MATCH($O5923,$N$5923:$N$5926,0)),"")</f>
        <v/>
      </c>
      <c r="D5923" s="42" t="str">
        <f aca="false">IF(OR(E5923="",N(C5923)=0),"",E5923/C5923-1)</f>
        <v/>
      </c>
      <c r="E5923" s="41" t="str">
        <f aca="false">IFERROR(INDEX($L$5923:$L$5926,MATCH($O5923,$N$5923:$N$5926,0)),"")</f>
        <v/>
      </c>
      <c r="F5923" s="41" t="str">
        <f aca="false">IF(E5923="","",E5923-C5923)</f>
        <v/>
      </c>
      <c r="J5923" s="25" t="str">
        <f aca="false">Lib_Compta</f>
        <v>Mission comptable (tenue, révision, bilan, liasse fiscale)</v>
      </c>
      <c r="K5923" s="25" t="n">
        <f aca="false">IF($K$5896=0,0,N(INDEX(Clients!$K$2:$K$501,$K$5896)))</f>
        <v>0</v>
      </c>
      <c r="L5923" s="25" t="n">
        <f aca="false">IF($K$5896=0,0,N(INDEX(Clients!$P$2:$P$501,$K$5896)))</f>
        <v>0</v>
      </c>
      <c r="M5923" s="25" t="n">
        <f aca="false">IF(OR(K5923&lt;&gt;0,L5923&lt;&gt;0),1,0)</f>
        <v>0</v>
      </c>
      <c r="N5923" s="25" t="str">
        <f aca="false">IF(M5923=1,SUM($M$5923:M5923),"")</f>
        <v/>
      </c>
      <c r="O5923" s="25" t="n">
        <v>1</v>
      </c>
    </row>
    <row r="5924" customFormat="false" ht="16.5" hidden="false" customHeight="true" outlineLevel="0" collapsed="false">
      <c r="B5924" s="40" t="str">
        <f aca="false">IFERROR(INDEX($J$5923:$J$5926,MATCH($O5924,$N$5923:$N$5926,0)),"")</f>
        <v/>
      </c>
      <c r="C5924" s="41" t="str">
        <f aca="false">IFERROR(INDEX($K$5923:$K$5926,MATCH($O5924,$N$5923:$N$5926,0)),"")</f>
        <v/>
      </c>
      <c r="D5924" s="42" t="str">
        <f aca="false">IF(OR(E5924="",N(C5924)=0),"",E5924/C5924-1)</f>
        <v/>
      </c>
      <c r="E5924" s="41" t="str">
        <f aca="false">IFERROR(INDEX($L$5923:$L$5926,MATCH($O5924,$N$5923:$N$5926,0)),"")</f>
        <v/>
      </c>
      <c r="F5924" s="41" t="str">
        <f aca="false">IF(E5924="","",E5924-C5924)</f>
        <v/>
      </c>
      <c r="J5924" s="25" t="str">
        <f aca="false">Lib_Paye</f>
        <v>Mission sociale (bulletins de paie, DSN, déclarations sociales)</v>
      </c>
      <c r="K5924" s="25" t="n">
        <f aca="false">IF($K$5896=0,0,N(INDEX(Clients!$L$2:$L$501,$K$5896)))</f>
        <v>0</v>
      </c>
      <c r="L5924" s="25" t="n">
        <f aca="false">IF($K$5896=0,0,N(INDEX(Clients!$Q$2:$Q$501,$K$5896)))</f>
        <v>0</v>
      </c>
      <c r="M5924" s="25" t="n">
        <f aca="false">IF(OR(K5924&lt;&gt;0,L5924&lt;&gt;0),1,0)</f>
        <v>0</v>
      </c>
      <c r="N5924" s="25" t="str">
        <f aca="false">IF(M5924=1,SUM($M$5923:M5924),"")</f>
        <v/>
      </c>
      <c r="O5924" s="25" t="n">
        <v>2</v>
      </c>
    </row>
    <row r="5925" customFormat="false" ht="16.5" hidden="false" customHeight="true" outlineLevel="0" collapsed="false">
      <c r="B5925" s="40" t="str">
        <f aca="false">IFERROR(INDEX($J$5923:$J$5926,MATCH($O5925,$N$5923:$N$5926,0)),"")</f>
        <v/>
      </c>
      <c r="C5925" s="41" t="str">
        <f aca="false">IFERROR(INDEX($K$5923:$K$5926,MATCH($O5925,$N$5923:$N$5926,0)),"")</f>
        <v/>
      </c>
      <c r="D5925" s="42" t="str">
        <f aca="false">IF(OR(E5925="",N(C5925)=0),"",E5925/C5925-1)</f>
        <v/>
      </c>
      <c r="E5925" s="41" t="str">
        <f aca="false">IFERROR(INDEX($L$5923:$L$5926,MATCH($O5925,$N$5923:$N$5926,0)),"")</f>
        <v/>
      </c>
      <c r="F5925" s="41" t="str">
        <f aca="false">IF(E5925="","",E5925-C5925)</f>
        <v/>
      </c>
      <c r="J5925" s="25" t="str">
        <f aca="false">Lib_Jur</f>
        <v>Mission juridique (approbation des comptes, secrétariat juridique)</v>
      </c>
      <c r="K5925" s="25" t="n">
        <f aca="false">IF($K$5896=0,0,N(INDEX(Clients!$M$2:$M$501,$K$5896)))</f>
        <v>0</v>
      </c>
      <c r="L5925" s="25" t="n">
        <f aca="false">IF($K$5896=0,0,N(INDEX(Clients!$R$2:$R$501,$K$5896)))</f>
        <v>0</v>
      </c>
      <c r="M5925" s="25" t="n">
        <f aca="false">IF(OR(K5925&lt;&gt;0,L5925&lt;&gt;0),1,0)</f>
        <v>0</v>
      </c>
      <c r="N5925" s="25" t="str">
        <f aca="false">IF(M5925=1,SUM($M$5923:M5925),"")</f>
        <v/>
      </c>
      <c r="O5925" s="25" t="n">
        <v>3</v>
      </c>
    </row>
    <row r="5926" customFormat="false" ht="16.5" hidden="false" customHeight="true" outlineLevel="0" collapsed="false">
      <c r="B5926" s="40" t="str">
        <f aca="false">IFERROR(INDEX($J$5923:$J$5926,MATCH($O5926,$N$5923:$N$5926,0)),"")</f>
        <v/>
      </c>
      <c r="C5926" s="41" t="str">
        <f aca="false">IFERROR(INDEX($K$5923:$K$5926,MATCH($O5926,$N$5923:$N$5926,0)),"")</f>
        <v/>
      </c>
      <c r="D5926" s="42" t="str">
        <f aca="false">IF(OR(E5926="",N(C5926)=0),"",E5926/C5926-1)</f>
        <v/>
      </c>
      <c r="E5926" s="41" t="str">
        <f aca="false">IFERROR(INDEX($L$5923:$L$5926,MATCH($O5926,$N$5923:$N$5926,0)),"")</f>
        <v/>
      </c>
      <c r="F5926" s="41" t="str">
        <f aca="false">IF(E5926="","",E5926-C5926)</f>
        <v/>
      </c>
      <c r="J5926" s="25" t="str">
        <f aca="false">Lib_PA</f>
        <v>Plateforme agréée – facturation électronique</v>
      </c>
      <c r="K5926" s="25" t="n">
        <f aca="false">IF($K$5896=0,0,N(INDEX(Clients!$N$2:$N$501,$K$5896)))</f>
        <v>0</v>
      </c>
      <c r="L5926" s="25" t="n">
        <f aca="false">IF($K$5896=0,0,N(INDEX(Clients!$S$2:$S$501,$K$5896)))</f>
        <v>0</v>
      </c>
      <c r="M5926" s="25" t="n">
        <f aca="false">IF(OR(K5926&lt;&gt;0,L5926&lt;&gt;0),1,0)</f>
        <v>0</v>
      </c>
      <c r="N5926" s="25" t="str">
        <f aca="false">IF(M5926=1,SUM($M$5923:M5926),"")</f>
        <v/>
      </c>
      <c r="O5926" s="25" t="n">
        <v>4</v>
      </c>
    </row>
    <row r="5927" customFormat="false" ht="18" hidden="false" customHeight="true" outlineLevel="0" collapsed="false">
      <c r="B5927" s="43" t="s">
        <v>158</v>
      </c>
      <c r="C5927" s="44" t="n">
        <f aca="false">SUM(K5923:K5926)</f>
        <v>0</v>
      </c>
      <c r="D5927" s="45" t="str">
        <f aca="false">IF(N(C5927)=0,"",E5927/C5927-1)</f>
        <v/>
      </c>
      <c r="E5927" s="44" t="n">
        <f aca="false">SUM(L5923:L5926)</f>
        <v>0</v>
      </c>
      <c r="F5927" s="44" t="n">
        <f aca="false">E5927-C5927</f>
        <v>0</v>
      </c>
    </row>
    <row r="5928" customFormat="false" ht="15" hidden="false" customHeight="false" outlineLevel="0" collapsed="false">
      <c r="B5928" s="46" t="str">
        <f aca="false">IF(N(Nb_Mensualites)=0,"","Soit "&amp;FIXED(E5927/Nb_Mensualites,2)&amp;" € HT par échéance ("&amp;Nb_Mensualites&amp;" échéances), "&amp;FIXED(E5927/Nb_Mensualites*(1+Taux_TVA),2)&amp;" € TTC.")</f>
        <v>Soit 0.00 € HT par échéance (12 échéances), 0.00 € TTC.</v>
      </c>
      <c r="C5928" s="46"/>
      <c r="D5928" s="46"/>
      <c r="E5928" s="46"/>
      <c r="F5928" s="46"/>
    </row>
    <row r="5929" customFormat="false" ht="7.5" hidden="false" customHeight="true" outlineLevel="0" collapsed="false">
      <c r="B5929" s="10"/>
      <c r="C5929" s="10"/>
      <c r="D5929" s="10"/>
      <c r="E5929" s="10"/>
      <c r="F5929" s="10"/>
    </row>
    <row r="5930" customFormat="false" ht="36.75" hidden="false" customHeight="true" outlineLevel="0" collapsed="false">
      <c r="B5930" s="37" t="str">
        <f aca="false">SUBSTITUTE(SUBSTITUTE(SUBSTITUTE(SUBSTITUTE(SUBSTITUTE(Txt_P5,"{cabinet}",Cab_Nom),"{societe}",IF($K$5896=0,"",INDEX(Clients!$E$2:$E$501,$K$5896)&amp;"")),"{date_effet}",$K$5898),"{hausse}",$K$5899),"{civilite}",$K$5897)</f>
        <v>Les autres conditions de votre lettre de mission demeurent inchangées. Les nouveaux montants seront appliqués automatiquement sur vos prochaines factures et échéances de prélèvement.</v>
      </c>
      <c r="C5930" s="37"/>
      <c r="D5930" s="37"/>
      <c r="E5930" s="37"/>
      <c r="F5930" s="37"/>
    </row>
    <row r="5931" customFormat="false" ht="36.75" hidden="false" customHeight="true" outlineLevel="0" collapsed="false">
      <c r="B5931" s="37" t="str">
        <f aca="false">SUBSTITUTE(SUBSTITUTE(SUBSTITUTE(SUBSTITUTE(SUBSTITUTE(Txt_P6,"{cabinet}",Cab_Nom),"{societe}",IF($K$5896=0,"",INDEX(Clients!$E$2:$E$501,$K$5896)&amp;"")),"{date_effet}",$K$5898),"{hausse}",$K$5899),"{civilite}",$K$5897)</f>
        <v>Votre interlocuteur habituel reste à votre entière disposition pour répondre à vos questions et faire le point sur l'évolution de vos besoins.</v>
      </c>
      <c r="C5931" s="37"/>
      <c r="D5931" s="37"/>
      <c r="E5931" s="37"/>
      <c r="F5931" s="37"/>
    </row>
    <row r="5932" customFormat="false" ht="24" hidden="false" customHeight="true" outlineLevel="0" collapsed="false">
      <c r="B5932" s="37" t="str">
        <f aca="false">SUBSTITUTE(SUBSTITUTE(SUBSTITUTE(SUBSTITUTE(SUBSTITUTE(Txt_Politesse,"{cabinet}",Cab_Nom),"{societe}",IF($K$5896=0,"",INDEX(Clients!$E$2:$E$501,$K$5896)&amp;"")),"{date_effet}",$K$5898),"{hausse}",$K$5899),"{civilite}",$K$5897)</f>
        <v>Nous vous prions d'agréer, Madame, Monsieur, l'expression de nos salutations distinguées.</v>
      </c>
      <c r="C5932" s="37"/>
      <c r="D5932" s="37"/>
      <c r="E5932" s="37"/>
      <c r="F5932" s="37"/>
    </row>
    <row r="5933" customFormat="false" ht="15" hidden="false" customHeight="false" outlineLevel="0" collapsed="false">
      <c r="B5933" s="10"/>
      <c r="C5933" s="10"/>
      <c r="D5933" s="10"/>
      <c r="E5933" s="10"/>
      <c r="F5933" s="10"/>
    </row>
    <row r="5934" customFormat="false" ht="15" hidden="false" customHeight="false" outlineLevel="0" collapsed="false">
      <c r="B5934" s="10"/>
      <c r="C5934" s="10"/>
      <c r="D5934" s="34" t="str">
        <f aca="false">Signataire</f>
        <v>Prénom NOM</v>
      </c>
      <c r="E5934" s="34"/>
      <c r="F5934" s="34"/>
    </row>
    <row r="5935" customFormat="false" ht="15" hidden="false" customHeight="false" outlineLevel="0" collapsed="false">
      <c r="B5935" s="10"/>
      <c r="C5935" s="10"/>
      <c r="D5935" s="47" t="str">
        <f aca="false">Signataire_Titre</f>
        <v>Expert-comptable associé</v>
      </c>
      <c r="E5935" s="47"/>
      <c r="F5935" s="47"/>
    </row>
    <row r="5936" customFormat="false" ht="15.75" hidden="false" customHeight="true" outlineLevel="0" collapsed="false">
      <c r="B5936" s="10"/>
      <c r="C5936" s="10"/>
      <c r="D5936" s="10"/>
      <c r="E5936" s="10"/>
      <c r="F5936" s="10"/>
    </row>
    <row r="5937" customFormat="false" ht="15.75" hidden="false" customHeight="true" outlineLevel="0" collapsed="false">
      <c r="B5937" s="10"/>
      <c r="C5937" s="10"/>
      <c r="D5937" s="10"/>
      <c r="E5937" s="10"/>
      <c r="F5937" s="10"/>
    </row>
    <row r="5938" customFormat="false" ht="15.75" hidden="false" customHeight="true" outlineLevel="0" collapsed="false">
      <c r="B5938" s="10"/>
      <c r="C5938" s="10"/>
      <c r="D5938" s="10"/>
      <c r="E5938" s="10"/>
      <c r="F5938" s="10"/>
    </row>
    <row r="5939" customFormat="false" ht="15.75" hidden="false" customHeight="true" outlineLevel="0" collapsed="false">
      <c r="B5939" s="10"/>
      <c r="C5939" s="10"/>
      <c r="D5939" s="10"/>
      <c r="E5939" s="10"/>
      <c r="F5939" s="10"/>
    </row>
    <row r="5940" customFormat="false" ht="24" hidden="false" customHeight="true" outlineLevel="0" collapsed="false">
      <c r="B5940" s="48" t="str">
        <f aca="false">Cab_Mentions</f>
        <v>ALTHO EXPERTISE · SAS au capital de 10 000 € · RCS Pontoise 919 706 325 · TVA FR62919706325 · Société d'expertise comptable inscrite au Tableau de l'Ordre des experts-comptables de Paris Île-de-France</v>
      </c>
      <c r="C5940" s="48"/>
      <c r="D5940" s="48"/>
      <c r="E5940" s="48"/>
      <c r="F5940" s="48"/>
    </row>
    <row r="5941" customFormat="false" ht="15" hidden="false" customHeight="false" outlineLevel="0" collapsed="false">
      <c r="B5941" s="10"/>
      <c r="C5941" s="10"/>
      <c r="D5941" s="10"/>
      <c r="E5941" s="10"/>
      <c r="F5941" s="10"/>
      <c r="J5941" s="25" t="s">
        <v>142</v>
      </c>
      <c r="K5941" s="25" t="n">
        <f aca="false">IFERROR(MATCH(133,Clients!$Z$2:$Z$501,0),0)</f>
        <v>0</v>
      </c>
      <c r="L5941" s="25"/>
      <c r="M5941" s="25"/>
      <c r="N5941" s="25"/>
      <c r="O5941" s="25"/>
    </row>
    <row r="5942" customFormat="false" ht="21.75" hidden="false" customHeight="true" outlineLevel="0" collapsed="false">
      <c r="B5942" s="26" t="str">
        <f aca="false">Cab_Nom</f>
        <v>ALTHO EXPERTISE</v>
      </c>
      <c r="C5942" s="26"/>
      <c r="D5942" s="10"/>
      <c r="E5942" s="27" t="str">
        <f aca="false">IF($K$5941=0,"","Réf. client : "&amp;INDEX(Clients!$A$2:$A$501,$K$5941))</f>
        <v/>
      </c>
      <c r="F5942" s="27"/>
      <c r="J5942" s="25" t="s">
        <v>144</v>
      </c>
      <c r="K5942" s="25" t="str">
        <f aca="false">IF(IF($K$5941=0,"",INDEX(Clients!$B$2:$B$501,$K$5941)&amp;"")="Mme","Madame",IF(IF($K$5941=0,"",INDEX(Clients!$B$2:$B$501,$K$5941)&amp;"")="M.","Monsieur","Madame, Monsieur"))</f>
        <v>Madame, Monsieur</v>
      </c>
      <c r="L5942" s="25"/>
      <c r="M5942" s="25"/>
      <c r="N5942" s="25"/>
      <c r="O5942" s="25"/>
    </row>
    <row r="5943" customFormat="false" ht="15" hidden="false" customHeight="false" outlineLevel="0" collapsed="false">
      <c r="B5943" s="29" t="str">
        <f aca="false">Cab_Adr1</f>
        <v>141 rue Charles de Gaulle</v>
      </c>
      <c r="C5943" s="29"/>
      <c r="D5943" s="10"/>
      <c r="E5943" s="10"/>
      <c r="F5943" s="10"/>
      <c r="J5943" s="25" t="s">
        <v>145</v>
      </c>
      <c r="K5943" s="25" t="str">
        <f aca="false">DAY(Date_Effet)&amp;IF(DAY(Date_Effet)=1,"er","")&amp;" "&amp;INDEX(Liste_Mois,MONTH(Date_Effet))&amp;" "&amp;YEAR(Date_Effet)</f>
        <v>1er janvier 2027</v>
      </c>
      <c r="L5943" s="25"/>
      <c r="M5943" s="25"/>
      <c r="N5943" s="25"/>
      <c r="O5943" s="25"/>
    </row>
    <row r="5944" customFormat="false" ht="15" hidden="false" customHeight="false" outlineLevel="0" collapsed="false">
      <c r="B5944" s="29" t="str">
        <f aca="false">Cab_CPVille</f>
        <v>95130 LE PLESSIS-BOUCHARD</v>
      </c>
      <c r="C5944" s="29"/>
      <c r="D5944" s="10"/>
      <c r="E5944" s="10"/>
      <c r="F5944" s="10"/>
      <c r="J5944" s="25" t="s">
        <v>146</v>
      </c>
      <c r="K5944" s="25" t="str">
        <f aca="false">IF(SUM($K$5968:$K$5971)=0,"",FIXED((SUM($L$5968:$L$5971)/SUM($K$5968:$K$5971)-1)*100,1)&amp;" %")</f>
        <v/>
      </c>
      <c r="L5944" s="25"/>
      <c r="M5944" s="25"/>
      <c r="N5944" s="25"/>
      <c r="O5944" s="25"/>
    </row>
    <row r="5945" customFormat="false" ht="15" hidden="false" customHeight="false" outlineLevel="0" collapsed="false">
      <c r="B5945" s="29" t="str">
        <f aca="false">Cab_Contact</f>
        <v>Tél. 01 34 14 53 45  ·  altho@altho-experts.com  ·  altho-experts.com</v>
      </c>
      <c r="C5945" s="29"/>
      <c r="D5945" s="10"/>
      <c r="E5945" s="10"/>
      <c r="F5945" s="10"/>
      <c r="J5945" s="25"/>
      <c r="K5945" s="25"/>
      <c r="L5945" s="25"/>
      <c r="M5945" s="25"/>
      <c r="N5945" s="25"/>
      <c r="O5945" s="25"/>
    </row>
    <row r="5946" customFormat="false" ht="6" hidden="false" customHeight="true" outlineLevel="0" collapsed="false">
      <c r="B5946" s="32"/>
      <c r="C5946" s="32"/>
      <c r="D5946" s="32"/>
      <c r="E5946" s="32"/>
      <c r="F5946" s="32"/>
      <c r="J5946" s="25"/>
      <c r="K5946" s="25"/>
      <c r="L5946" s="25"/>
      <c r="M5946" s="25"/>
      <c r="N5946" s="25"/>
      <c r="O5946" s="25"/>
    </row>
    <row r="5947" customFormat="false" ht="13.5" hidden="false" customHeight="true" outlineLevel="0" collapsed="false">
      <c r="B5947" s="10"/>
      <c r="C5947" s="10"/>
      <c r="D5947" s="10"/>
      <c r="E5947" s="10"/>
      <c r="F5947" s="10"/>
      <c r="J5947" s="25"/>
      <c r="K5947" s="25"/>
      <c r="L5947" s="25"/>
      <c r="M5947" s="25"/>
      <c r="N5947" s="25"/>
      <c r="O5947" s="25"/>
    </row>
    <row r="5948" customFormat="false" ht="13.5" hidden="false" customHeight="true" outlineLevel="0" collapsed="false">
      <c r="B5948" s="10"/>
      <c r="C5948" s="10"/>
      <c r="D5948" s="10"/>
      <c r="E5948" s="10"/>
      <c r="F5948" s="10"/>
      <c r="J5948" s="25"/>
      <c r="K5948" s="25"/>
      <c r="L5948" s="25"/>
      <c r="M5948" s="25"/>
      <c r="N5948" s="25"/>
      <c r="O5948" s="25"/>
    </row>
    <row r="5949" customFormat="false" ht="13.5" hidden="false" customHeight="true" outlineLevel="0" collapsed="false">
      <c r="B5949" s="10"/>
      <c r="C5949" s="10"/>
      <c r="D5949" s="10"/>
      <c r="E5949" s="10"/>
      <c r="F5949" s="10"/>
      <c r="J5949" s="25"/>
      <c r="K5949" s="25"/>
      <c r="L5949" s="25"/>
      <c r="M5949" s="25"/>
      <c r="N5949" s="25"/>
      <c r="O5949" s="25"/>
    </row>
    <row r="5950" customFormat="false" ht="15" hidden="false" customHeight="true" outlineLevel="0" collapsed="false">
      <c r="B5950" s="10"/>
      <c r="C5950" s="10"/>
      <c r="D5950" s="34" t="str">
        <f aca="false">IF($K$5941=0,"",INDEX(Clients!$E$2:$E$501,$K$5941)&amp;"")</f>
        <v/>
      </c>
      <c r="E5950" s="34"/>
      <c r="F5950" s="34"/>
      <c r="J5950" s="25"/>
      <c r="K5950" s="25"/>
      <c r="L5950" s="25"/>
      <c r="M5950" s="25"/>
      <c r="N5950" s="25"/>
      <c r="O5950" s="25"/>
    </row>
    <row r="5951" customFormat="false" ht="15" hidden="false" customHeight="true" outlineLevel="0" collapsed="false">
      <c r="B5951" s="10"/>
      <c r="C5951" s="10"/>
      <c r="D5951" s="35" t="str">
        <f aca="false">IF(IF($K$5941=0,"",INDEX(Clients!$D$2:$D$501,$K$5941)&amp;"")="","","À l'attention de "&amp;TRIM(IF($K$5941=0,"",INDEX(Clients!$B$2:$B$501,$K$5941)&amp;"")&amp;" "&amp;IF($K$5941=0,"",INDEX(Clients!$C$2:$C$501,$K$5941)&amp;"")&amp;" "&amp;IF($K$5941=0,"",INDEX(Clients!$D$2:$D$501,$K$5941)&amp;"")))</f>
        <v/>
      </c>
      <c r="E5951" s="35"/>
      <c r="F5951" s="35"/>
      <c r="J5951" s="25"/>
      <c r="K5951" s="25"/>
      <c r="L5951" s="25"/>
      <c r="M5951" s="25"/>
      <c r="N5951" s="25"/>
      <c r="O5951" s="25"/>
    </row>
    <row r="5952" customFormat="false" ht="15" hidden="false" customHeight="true" outlineLevel="0" collapsed="false">
      <c r="B5952" s="10"/>
      <c r="C5952" s="10"/>
      <c r="D5952" s="35" t="str">
        <f aca="false">IF($K$5941=0,"",INDEX(Clients!$F$2:$F$501,$K$5941)&amp;"")</f>
        <v/>
      </c>
      <c r="E5952" s="35"/>
      <c r="F5952" s="35"/>
      <c r="J5952" s="25"/>
      <c r="K5952" s="25"/>
      <c r="L5952" s="25"/>
      <c r="M5952" s="25"/>
      <c r="N5952" s="25"/>
      <c r="O5952" s="25"/>
    </row>
    <row r="5953" customFormat="false" ht="15" hidden="false" customHeight="true" outlineLevel="0" collapsed="false">
      <c r="B5953" s="10"/>
      <c r="C5953" s="10"/>
      <c r="D5953" s="35" t="str">
        <f aca="false">IF(IF($K$5941=0,"",INDEX(Clients!$G$2:$G$501,$K$5941)&amp;"")="",TRIM(IF($K$5941=0,"",INDEX(Clients!$H$2:$H$501,$K$5941)&amp;"")&amp;" "&amp;UPPER(IF($K$5941=0,"",INDEX(Clients!$I$2:$I$501,$K$5941)&amp;""))),IF($K$5941=0,"",INDEX(Clients!$G$2:$G$501,$K$5941)&amp;""))</f>
        <v/>
      </c>
      <c r="E5953" s="35"/>
      <c r="F5953" s="35"/>
      <c r="J5953" s="25"/>
      <c r="K5953" s="25"/>
      <c r="L5953" s="25"/>
      <c r="M5953" s="25"/>
      <c r="N5953" s="25"/>
      <c r="O5953" s="25"/>
    </row>
    <row r="5954" customFormat="false" ht="15" hidden="false" customHeight="true" outlineLevel="0" collapsed="false">
      <c r="B5954" s="10"/>
      <c r="C5954" s="10"/>
      <c r="D5954" s="35" t="str">
        <f aca="false">IF(IF($K$5941=0,"",INDEX(Clients!$G$2:$G$501,$K$5941)&amp;"")="","",TRIM(IF($K$5941=0,"",INDEX(Clients!$H$2:$H$501,$K$5941)&amp;"")&amp;" "&amp;UPPER(IF($K$5941=0,"",INDEX(Clients!$I$2:$I$501,$K$5941)&amp;""))))</f>
        <v/>
      </c>
      <c r="E5954" s="35"/>
      <c r="F5954" s="35"/>
      <c r="J5954" s="25"/>
      <c r="K5954" s="25"/>
      <c r="L5954" s="25"/>
      <c r="M5954" s="25"/>
      <c r="N5954" s="25"/>
      <c r="O5954" s="25"/>
    </row>
    <row r="5955" customFormat="false" ht="25.5" hidden="false" customHeight="true" outlineLevel="0" collapsed="false">
      <c r="B5955" s="10"/>
      <c r="C5955" s="10"/>
      <c r="D5955" s="10"/>
      <c r="E5955" s="10"/>
      <c r="F5955" s="10"/>
      <c r="J5955" s="25"/>
      <c r="K5955" s="25"/>
      <c r="L5955" s="25"/>
      <c r="M5955" s="25"/>
      <c r="N5955" s="25"/>
      <c r="O5955" s="25"/>
    </row>
    <row r="5956" customFormat="false" ht="15" hidden="false" customHeight="false" outlineLevel="0" collapsed="false">
      <c r="B5956" s="10"/>
      <c r="C5956" s="10"/>
      <c r="D5956" s="36" t="str">
        <f aca="false">Cab_Ville&amp;", le "&amp;DAY(Date_Courrier)&amp;IF(DAY(Date_Courrier)=1,"er","")&amp;" "&amp;INDEX(Liste_Mois,MONTH(Date_Courrier))&amp;" "&amp;YEAR(Date_Courrier)</f>
        <v>Le Plessis-Bouchard, le 22 septembre 2026</v>
      </c>
      <c r="E5956" s="36"/>
      <c r="F5956" s="36"/>
      <c r="J5956" s="25"/>
      <c r="K5956" s="25"/>
      <c r="L5956" s="25"/>
      <c r="M5956" s="25"/>
      <c r="N5956" s="25"/>
      <c r="O5956" s="25"/>
    </row>
    <row r="5957" customFormat="false" ht="19.5" hidden="false" customHeight="true" outlineLevel="0" collapsed="false">
      <c r="B5957" s="10"/>
      <c r="C5957" s="10"/>
      <c r="D5957" s="10"/>
      <c r="E5957" s="10"/>
      <c r="F5957" s="10"/>
      <c r="J5957" s="25"/>
      <c r="K5957" s="25"/>
      <c r="L5957" s="25"/>
      <c r="M5957" s="25"/>
      <c r="N5957" s="25"/>
      <c r="O5957" s="25"/>
    </row>
    <row r="5958" customFormat="false" ht="15" hidden="false" customHeight="false" outlineLevel="0" collapsed="false">
      <c r="B5958" s="34" t="str">
        <f aca="false">SUBSTITUTE(SUBSTITUTE(SUBSTITUTE(SUBSTITUTE(SUBSTITUTE(Txt_Objet,"{cabinet}",Cab_Nom),"{societe}",IF($K$5941=0,"",INDEX(Clients!$E$2:$E$501,$K$5941)&amp;"")),"{date_effet}",$K$5943),"{hausse}",$K$5944),"{civilite}",$K$5942)</f>
        <v>Objet : révision de nos honoraires au 1er janvier 2027</v>
      </c>
      <c r="C5958" s="34"/>
      <c r="D5958" s="34"/>
      <c r="E5958" s="34"/>
      <c r="F5958" s="34"/>
      <c r="J5958" s="25"/>
      <c r="K5958" s="25"/>
      <c r="L5958" s="25"/>
      <c r="M5958" s="25"/>
      <c r="N5958" s="25"/>
      <c r="O5958" s="25"/>
    </row>
    <row r="5959" customFormat="false" ht="13.5" hidden="false" customHeight="true" outlineLevel="0" collapsed="false">
      <c r="B5959" s="10"/>
      <c r="C5959" s="10"/>
      <c r="D5959" s="10"/>
      <c r="E5959" s="10"/>
      <c r="F5959" s="10"/>
      <c r="J5959" s="25"/>
      <c r="K5959" s="25"/>
      <c r="L5959" s="25"/>
      <c r="M5959" s="25"/>
      <c r="N5959" s="25"/>
      <c r="O5959" s="25"/>
    </row>
    <row r="5960" customFormat="false" ht="15" hidden="false" customHeight="false" outlineLevel="0" collapsed="false">
      <c r="B5960" s="10" t="str">
        <f aca="false">$K$5942&amp;","</f>
        <v>Madame, Monsieur,</v>
      </c>
      <c r="C5960" s="10"/>
      <c r="D5960" s="10"/>
      <c r="E5960" s="10"/>
      <c r="F5960" s="10"/>
      <c r="J5960" s="25"/>
      <c r="K5960" s="25"/>
      <c r="L5960" s="25"/>
      <c r="M5960" s="25"/>
      <c r="N5960" s="25"/>
      <c r="O5960" s="25"/>
    </row>
    <row r="5961" customFormat="false" ht="6" hidden="false" customHeight="true" outlineLevel="0" collapsed="false">
      <c r="B5961" s="10"/>
      <c r="C5961" s="10"/>
      <c r="D5961" s="10"/>
      <c r="E5961" s="10"/>
      <c r="F5961" s="10"/>
      <c r="J5961" s="25"/>
      <c r="K5961" s="25"/>
      <c r="L5961" s="25"/>
      <c r="M5961" s="25"/>
      <c r="N5961" s="25"/>
      <c r="O5961" s="25"/>
    </row>
    <row r="5962" customFormat="false" ht="36.75" hidden="false" customHeight="true" outlineLevel="0" collapsed="false">
      <c r="B5962" s="37" t="str">
        <f aca="false">SUBSTITUTE(SUBSTITUTE(SUBSTITUTE(SUBSTITUTE(SUBSTITUTE(Txt_P1,"{cabinet}",Cab_Nom),"{societe}",IF($K$5941=0,"",INDEX(Clients!$E$2:$E$501,$K$5941)&amp;"")),"{date_effet}",$K$5943),"{hausse}",$K$5944),"{civilite}",$K$5942)</f>
        <v>Nous tenons tout d'abord à vous remercier pour la confiance que vous accordez à ALTHO EXPERTISE. Comme chaque année, et conformément aux dispositions de votre lettre de mission, nous procédons à la révision de nos honoraires.</v>
      </c>
      <c r="C5962" s="37"/>
      <c r="D5962" s="37"/>
      <c r="E5962" s="37"/>
      <c r="F5962" s="37"/>
      <c r="J5962" s="25"/>
      <c r="K5962" s="25"/>
      <c r="L5962" s="25"/>
      <c r="M5962" s="25"/>
      <c r="N5962" s="25"/>
      <c r="O5962" s="25"/>
    </row>
    <row r="5963" customFormat="false" ht="49.5" hidden="false" customHeight="true" outlineLevel="0" collapsed="false">
      <c r="B5963" s="37" t="str">
        <f aca="false">SUBSTITUTE(SUBSTITUTE(SUBSTITUTE(SUBSTITUTE(SUBSTITUTE(Txt_P2,"{cabinet}",Cab_Nom),"{societe}",IF($K$5941=0,"",INDEX(Clients!$E$2:$E$501,$K$5941)&amp;"")),"{date_effet}",$K$5943),"{hausse}",$K$5944),"{civilite}",$K$5942)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5963" s="37"/>
      <c r="D5963" s="37"/>
      <c r="E5963" s="37"/>
      <c r="F5963" s="37"/>
      <c r="J5963" s="25"/>
      <c r="K5963" s="25"/>
      <c r="L5963" s="25"/>
      <c r="M5963" s="25"/>
      <c r="N5963" s="25"/>
      <c r="O5963" s="25"/>
    </row>
    <row r="5964" customFormat="false" ht="63" hidden="false" customHeight="true" outlineLevel="0" collapsed="false">
      <c r="B5964" s="37" t="str">
        <f aca="false">SUBSTITUTE(SUBSTITUTE(SUBSTITUTE(SUBSTITUTE(SUBSTITUTE(Txt_P3,"{cabinet}",Cab_Nom),"{societe}",IF($K$5941=0,"",INDEX(Clients!$E$2:$E$501,$K$5941)&amp;"")),"{date_effet}",$K$5943),"{hausse}",$K$5944),"{civilite}",$K$5942)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5964" s="37"/>
      <c r="D5964" s="37"/>
      <c r="E5964" s="37"/>
      <c r="F5964" s="37"/>
      <c r="J5964" s="25"/>
      <c r="K5964" s="25"/>
      <c r="L5964" s="25"/>
      <c r="M5964" s="25"/>
      <c r="N5964" s="25"/>
      <c r="O5964" s="25"/>
    </row>
    <row r="5965" customFormat="false" ht="24" hidden="false" customHeight="true" outlineLevel="0" collapsed="false">
      <c r="B5965" s="37" t="str">
        <f aca="false">SUBSTITUTE(SUBSTITUTE(SUBSTITUTE(SUBSTITUTE(SUBSTITUTE(Txt_P4,"{cabinet}",Cab_Nom),"{societe}",IF($K$5941=0,"",INDEX(Clients!$E$2:$E$501,$K$5941)&amp;"")),"{date_effet}",$K$5943),"{hausse}",$K$5944),"{civilite}",$K$5942)</f>
        <v>À compter du 1er janvier 2027, vos honoraires annuels hors taxes évolueront ainsi (évolution globale : ) :</v>
      </c>
      <c r="C5965" s="37"/>
      <c r="D5965" s="37"/>
      <c r="E5965" s="37"/>
      <c r="F5965" s="37"/>
      <c r="J5965" s="25"/>
      <c r="K5965" s="25"/>
      <c r="L5965" s="25"/>
      <c r="M5965" s="25"/>
      <c r="N5965" s="25"/>
      <c r="O5965" s="25"/>
    </row>
    <row r="5966" customFormat="false" ht="3.75" hidden="false" customHeight="true" outlineLevel="0" collapsed="false">
      <c r="B5966" s="10"/>
      <c r="C5966" s="10"/>
      <c r="D5966" s="10"/>
      <c r="E5966" s="10"/>
      <c r="F5966" s="10"/>
      <c r="J5966" s="25"/>
      <c r="K5966" s="25"/>
      <c r="L5966" s="25"/>
      <c r="M5966" s="25"/>
      <c r="N5966" s="25"/>
      <c r="O5966" s="25"/>
    </row>
    <row r="5967" customFormat="false" ht="18" hidden="false" customHeight="true" outlineLevel="0" collapsed="false">
      <c r="B5967" s="38" t="s">
        <v>148</v>
      </c>
      <c r="C5967" s="39" t="s">
        <v>149</v>
      </c>
      <c r="D5967" s="39" t="s">
        <v>150</v>
      </c>
      <c r="E5967" s="39" t="s">
        <v>151</v>
      </c>
      <c r="F5967" s="39" t="s">
        <v>109</v>
      </c>
      <c r="J5967" s="25" t="s">
        <v>152</v>
      </c>
      <c r="K5967" s="25" t="s">
        <v>153</v>
      </c>
      <c r="L5967" s="25" t="s">
        <v>154</v>
      </c>
      <c r="M5967" s="25" t="s">
        <v>155</v>
      </c>
      <c r="N5967" s="25" t="s">
        <v>156</v>
      </c>
      <c r="O5967" s="25" t="s">
        <v>157</v>
      </c>
    </row>
    <row r="5968" customFormat="false" ht="16.5" hidden="false" customHeight="true" outlineLevel="0" collapsed="false">
      <c r="B5968" s="40" t="str">
        <f aca="false">IFERROR(INDEX($J$5968:$J$5971,MATCH($O5968,$N$5968:$N$5971,0)),"")</f>
        <v/>
      </c>
      <c r="C5968" s="41" t="str">
        <f aca="false">IFERROR(INDEX($K$5968:$K$5971,MATCH($O5968,$N$5968:$N$5971,0)),"")</f>
        <v/>
      </c>
      <c r="D5968" s="42" t="str">
        <f aca="false">IF(OR(E5968="",N(C5968)=0),"",E5968/C5968-1)</f>
        <v/>
      </c>
      <c r="E5968" s="41" t="str">
        <f aca="false">IFERROR(INDEX($L$5968:$L$5971,MATCH($O5968,$N$5968:$N$5971,0)),"")</f>
        <v/>
      </c>
      <c r="F5968" s="41" t="str">
        <f aca="false">IF(E5968="","",E5968-C5968)</f>
        <v/>
      </c>
      <c r="J5968" s="25" t="str">
        <f aca="false">Lib_Compta</f>
        <v>Mission comptable (tenue, révision, bilan, liasse fiscale)</v>
      </c>
      <c r="K5968" s="25" t="n">
        <f aca="false">IF($K$5941=0,0,N(INDEX(Clients!$K$2:$K$501,$K$5941)))</f>
        <v>0</v>
      </c>
      <c r="L5968" s="25" t="n">
        <f aca="false">IF($K$5941=0,0,N(INDEX(Clients!$P$2:$P$501,$K$5941)))</f>
        <v>0</v>
      </c>
      <c r="M5968" s="25" t="n">
        <f aca="false">IF(OR(K5968&lt;&gt;0,L5968&lt;&gt;0),1,0)</f>
        <v>0</v>
      </c>
      <c r="N5968" s="25" t="str">
        <f aca="false">IF(M5968=1,SUM($M$5968:M5968),"")</f>
        <v/>
      </c>
      <c r="O5968" s="25" t="n">
        <v>1</v>
      </c>
    </row>
    <row r="5969" customFormat="false" ht="16.5" hidden="false" customHeight="true" outlineLevel="0" collapsed="false">
      <c r="B5969" s="40" t="str">
        <f aca="false">IFERROR(INDEX($J$5968:$J$5971,MATCH($O5969,$N$5968:$N$5971,0)),"")</f>
        <v/>
      </c>
      <c r="C5969" s="41" t="str">
        <f aca="false">IFERROR(INDEX($K$5968:$K$5971,MATCH($O5969,$N$5968:$N$5971,0)),"")</f>
        <v/>
      </c>
      <c r="D5969" s="42" t="str">
        <f aca="false">IF(OR(E5969="",N(C5969)=0),"",E5969/C5969-1)</f>
        <v/>
      </c>
      <c r="E5969" s="41" t="str">
        <f aca="false">IFERROR(INDEX($L$5968:$L$5971,MATCH($O5969,$N$5968:$N$5971,0)),"")</f>
        <v/>
      </c>
      <c r="F5969" s="41" t="str">
        <f aca="false">IF(E5969="","",E5969-C5969)</f>
        <v/>
      </c>
      <c r="J5969" s="25" t="str">
        <f aca="false">Lib_Paye</f>
        <v>Mission sociale (bulletins de paie, DSN, déclarations sociales)</v>
      </c>
      <c r="K5969" s="25" t="n">
        <f aca="false">IF($K$5941=0,0,N(INDEX(Clients!$L$2:$L$501,$K$5941)))</f>
        <v>0</v>
      </c>
      <c r="L5969" s="25" t="n">
        <f aca="false">IF($K$5941=0,0,N(INDEX(Clients!$Q$2:$Q$501,$K$5941)))</f>
        <v>0</v>
      </c>
      <c r="M5969" s="25" t="n">
        <f aca="false">IF(OR(K5969&lt;&gt;0,L5969&lt;&gt;0),1,0)</f>
        <v>0</v>
      </c>
      <c r="N5969" s="25" t="str">
        <f aca="false">IF(M5969=1,SUM($M$5968:M5969),"")</f>
        <v/>
      </c>
      <c r="O5969" s="25" t="n">
        <v>2</v>
      </c>
    </row>
    <row r="5970" customFormat="false" ht="16.5" hidden="false" customHeight="true" outlineLevel="0" collapsed="false">
      <c r="B5970" s="40" t="str">
        <f aca="false">IFERROR(INDEX($J$5968:$J$5971,MATCH($O5970,$N$5968:$N$5971,0)),"")</f>
        <v/>
      </c>
      <c r="C5970" s="41" t="str">
        <f aca="false">IFERROR(INDEX($K$5968:$K$5971,MATCH($O5970,$N$5968:$N$5971,0)),"")</f>
        <v/>
      </c>
      <c r="D5970" s="42" t="str">
        <f aca="false">IF(OR(E5970="",N(C5970)=0),"",E5970/C5970-1)</f>
        <v/>
      </c>
      <c r="E5970" s="41" t="str">
        <f aca="false">IFERROR(INDEX($L$5968:$L$5971,MATCH($O5970,$N$5968:$N$5971,0)),"")</f>
        <v/>
      </c>
      <c r="F5970" s="41" t="str">
        <f aca="false">IF(E5970="","",E5970-C5970)</f>
        <v/>
      </c>
      <c r="J5970" s="25" t="str">
        <f aca="false">Lib_Jur</f>
        <v>Mission juridique (approbation des comptes, secrétariat juridique)</v>
      </c>
      <c r="K5970" s="25" t="n">
        <f aca="false">IF($K$5941=0,0,N(INDEX(Clients!$M$2:$M$501,$K$5941)))</f>
        <v>0</v>
      </c>
      <c r="L5970" s="25" t="n">
        <f aca="false">IF($K$5941=0,0,N(INDEX(Clients!$R$2:$R$501,$K$5941)))</f>
        <v>0</v>
      </c>
      <c r="M5970" s="25" t="n">
        <f aca="false">IF(OR(K5970&lt;&gt;0,L5970&lt;&gt;0),1,0)</f>
        <v>0</v>
      </c>
      <c r="N5970" s="25" t="str">
        <f aca="false">IF(M5970=1,SUM($M$5968:M5970),"")</f>
        <v/>
      </c>
      <c r="O5970" s="25" t="n">
        <v>3</v>
      </c>
    </row>
    <row r="5971" customFormat="false" ht="16.5" hidden="false" customHeight="true" outlineLevel="0" collapsed="false">
      <c r="B5971" s="40" t="str">
        <f aca="false">IFERROR(INDEX($J$5968:$J$5971,MATCH($O5971,$N$5968:$N$5971,0)),"")</f>
        <v/>
      </c>
      <c r="C5971" s="41" t="str">
        <f aca="false">IFERROR(INDEX($K$5968:$K$5971,MATCH($O5971,$N$5968:$N$5971,0)),"")</f>
        <v/>
      </c>
      <c r="D5971" s="42" t="str">
        <f aca="false">IF(OR(E5971="",N(C5971)=0),"",E5971/C5971-1)</f>
        <v/>
      </c>
      <c r="E5971" s="41" t="str">
        <f aca="false">IFERROR(INDEX($L$5968:$L$5971,MATCH($O5971,$N$5968:$N$5971,0)),"")</f>
        <v/>
      </c>
      <c r="F5971" s="41" t="str">
        <f aca="false">IF(E5971="","",E5971-C5971)</f>
        <v/>
      </c>
      <c r="J5971" s="25" t="str">
        <f aca="false">Lib_PA</f>
        <v>Plateforme agréée – facturation électronique</v>
      </c>
      <c r="K5971" s="25" t="n">
        <f aca="false">IF($K$5941=0,0,N(INDEX(Clients!$N$2:$N$501,$K$5941)))</f>
        <v>0</v>
      </c>
      <c r="L5971" s="25" t="n">
        <f aca="false">IF($K$5941=0,0,N(INDEX(Clients!$S$2:$S$501,$K$5941)))</f>
        <v>0</v>
      </c>
      <c r="M5971" s="25" t="n">
        <f aca="false">IF(OR(K5971&lt;&gt;0,L5971&lt;&gt;0),1,0)</f>
        <v>0</v>
      </c>
      <c r="N5971" s="25" t="str">
        <f aca="false">IF(M5971=1,SUM($M$5968:M5971),"")</f>
        <v/>
      </c>
      <c r="O5971" s="25" t="n">
        <v>4</v>
      </c>
    </row>
    <row r="5972" customFormat="false" ht="18" hidden="false" customHeight="true" outlineLevel="0" collapsed="false">
      <c r="B5972" s="43" t="s">
        <v>158</v>
      </c>
      <c r="C5972" s="44" t="n">
        <f aca="false">SUM(K5968:K5971)</f>
        <v>0</v>
      </c>
      <c r="D5972" s="45" t="str">
        <f aca="false">IF(N(C5972)=0,"",E5972/C5972-1)</f>
        <v/>
      </c>
      <c r="E5972" s="44" t="n">
        <f aca="false">SUM(L5968:L5971)</f>
        <v>0</v>
      </c>
      <c r="F5972" s="44" t="n">
        <f aca="false">E5972-C5972</f>
        <v>0</v>
      </c>
    </row>
    <row r="5973" customFormat="false" ht="15" hidden="false" customHeight="false" outlineLevel="0" collapsed="false">
      <c r="B5973" s="46" t="str">
        <f aca="false">IF(N(Nb_Mensualites)=0,"","Soit "&amp;FIXED(E5972/Nb_Mensualites,2)&amp;" € HT par échéance ("&amp;Nb_Mensualites&amp;" échéances), "&amp;FIXED(E5972/Nb_Mensualites*(1+Taux_TVA),2)&amp;" € TTC.")</f>
        <v>Soit 0.00 € HT par échéance (12 échéances), 0.00 € TTC.</v>
      </c>
      <c r="C5973" s="46"/>
      <c r="D5973" s="46"/>
      <c r="E5973" s="46"/>
      <c r="F5973" s="46"/>
    </row>
    <row r="5974" customFormat="false" ht="7.5" hidden="false" customHeight="true" outlineLevel="0" collapsed="false">
      <c r="B5974" s="10"/>
      <c r="C5974" s="10"/>
      <c r="D5974" s="10"/>
      <c r="E5974" s="10"/>
      <c r="F5974" s="10"/>
    </row>
    <row r="5975" customFormat="false" ht="36.75" hidden="false" customHeight="true" outlineLevel="0" collapsed="false">
      <c r="B5975" s="37" t="str">
        <f aca="false">SUBSTITUTE(SUBSTITUTE(SUBSTITUTE(SUBSTITUTE(SUBSTITUTE(Txt_P5,"{cabinet}",Cab_Nom),"{societe}",IF($K$5941=0,"",INDEX(Clients!$E$2:$E$501,$K$5941)&amp;"")),"{date_effet}",$K$5943),"{hausse}",$K$5944),"{civilite}",$K$5942)</f>
        <v>Les autres conditions de votre lettre de mission demeurent inchangées. Les nouveaux montants seront appliqués automatiquement sur vos prochaines factures et échéances de prélèvement.</v>
      </c>
      <c r="C5975" s="37"/>
      <c r="D5975" s="37"/>
      <c r="E5975" s="37"/>
      <c r="F5975" s="37"/>
    </row>
    <row r="5976" customFormat="false" ht="36.75" hidden="false" customHeight="true" outlineLevel="0" collapsed="false">
      <c r="B5976" s="37" t="str">
        <f aca="false">SUBSTITUTE(SUBSTITUTE(SUBSTITUTE(SUBSTITUTE(SUBSTITUTE(Txt_P6,"{cabinet}",Cab_Nom),"{societe}",IF($K$5941=0,"",INDEX(Clients!$E$2:$E$501,$K$5941)&amp;"")),"{date_effet}",$K$5943),"{hausse}",$K$5944),"{civilite}",$K$5942)</f>
        <v>Votre interlocuteur habituel reste à votre entière disposition pour répondre à vos questions et faire le point sur l'évolution de vos besoins.</v>
      </c>
      <c r="C5976" s="37"/>
      <c r="D5976" s="37"/>
      <c r="E5976" s="37"/>
      <c r="F5976" s="37"/>
    </row>
    <row r="5977" customFormat="false" ht="24" hidden="false" customHeight="true" outlineLevel="0" collapsed="false">
      <c r="B5977" s="37" t="str">
        <f aca="false">SUBSTITUTE(SUBSTITUTE(SUBSTITUTE(SUBSTITUTE(SUBSTITUTE(Txt_Politesse,"{cabinet}",Cab_Nom),"{societe}",IF($K$5941=0,"",INDEX(Clients!$E$2:$E$501,$K$5941)&amp;"")),"{date_effet}",$K$5943),"{hausse}",$K$5944),"{civilite}",$K$5942)</f>
        <v>Nous vous prions d'agréer, Madame, Monsieur, l'expression de nos salutations distinguées.</v>
      </c>
      <c r="C5977" s="37"/>
      <c r="D5977" s="37"/>
      <c r="E5977" s="37"/>
      <c r="F5977" s="37"/>
    </row>
    <row r="5978" customFormat="false" ht="15" hidden="false" customHeight="false" outlineLevel="0" collapsed="false">
      <c r="B5978" s="10"/>
      <c r="C5978" s="10"/>
      <c r="D5978" s="10"/>
      <c r="E5978" s="10"/>
      <c r="F5978" s="10"/>
    </row>
    <row r="5979" customFormat="false" ht="15" hidden="false" customHeight="false" outlineLevel="0" collapsed="false">
      <c r="B5979" s="10"/>
      <c r="C5979" s="10"/>
      <c r="D5979" s="34" t="str">
        <f aca="false">Signataire</f>
        <v>Prénom NOM</v>
      </c>
      <c r="E5979" s="34"/>
      <c r="F5979" s="34"/>
    </row>
    <row r="5980" customFormat="false" ht="15" hidden="false" customHeight="false" outlineLevel="0" collapsed="false">
      <c r="B5980" s="10"/>
      <c r="C5980" s="10"/>
      <c r="D5980" s="47" t="str">
        <f aca="false">Signataire_Titre</f>
        <v>Expert-comptable associé</v>
      </c>
      <c r="E5980" s="47"/>
      <c r="F5980" s="47"/>
    </row>
    <row r="5981" customFormat="false" ht="15.75" hidden="false" customHeight="true" outlineLevel="0" collapsed="false">
      <c r="B5981" s="10"/>
      <c r="C5981" s="10"/>
      <c r="D5981" s="10"/>
      <c r="E5981" s="10"/>
      <c r="F5981" s="10"/>
    </row>
    <row r="5982" customFormat="false" ht="15.75" hidden="false" customHeight="true" outlineLevel="0" collapsed="false">
      <c r="B5982" s="10"/>
      <c r="C5982" s="10"/>
      <c r="D5982" s="10"/>
      <c r="E5982" s="10"/>
      <c r="F5982" s="10"/>
    </row>
    <row r="5983" customFormat="false" ht="15.75" hidden="false" customHeight="true" outlineLevel="0" collapsed="false">
      <c r="B5983" s="10"/>
      <c r="C5983" s="10"/>
      <c r="D5983" s="10"/>
      <c r="E5983" s="10"/>
      <c r="F5983" s="10"/>
    </row>
    <row r="5984" customFormat="false" ht="15.75" hidden="false" customHeight="true" outlineLevel="0" collapsed="false">
      <c r="B5984" s="10"/>
      <c r="C5984" s="10"/>
      <c r="D5984" s="10"/>
      <c r="E5984" s="10"/>
      <c r="F5984" s="10"/>
    </row>
    <row r="5985" customFormat="false" ht="24" hidden="false" customHeight="true" outlineLevel="0" collapsed="false">
      <c r="B5985" s="48" t="str">
        <f aca="false">Cab_Mentions</f>
        <v>ALTHO EXPERTISE · SAS au capital de 10 000 € · RCS Pontoise 919 706 325 · TVA FR62919706325 · Société d'expertise comptable inscrite au Tableau de l'Ordre des experts-comptables de Paris Île-de-France</v>
      </c>
      <c r="C5985" s="48"/>
      <c r="D5985" s="48"/>
      <c r="E5985" s="48"/>
      <c r="F5985" s="48"/>
    </row>
    <row r="5986" customFormat="false" ht="15" hidden="false" customHeight="false" outlineLevel="0" collapsed="false">
      <c r="B5986" s="10"/>
      <c r="C5986" s="10"/>
      <c r="D5986" s="10"/>
      <c r="E5986" s="10"/>
      <c r="F5986" s="10"/>
      <c r="J5986" s="25" t="s">
        <v>142</v>
      </c>
      <c r="K5986" s="25" t="n">
        <f aca="false">IFERROR(MATCH(134,Clients!$Z$2:$Z$501,0),0)</f>
        <v>0</v>
      </c>
      <c r="L5986" s="25"/>
      <c r="M5986" s="25"/>
      <c r="N5986" s="25"/>
      <c r="O5986" s="25"/>
    </row>
    <row r="5987" customFormat="false" ht="21.75" hidden="false" customHeight="true" outlineLevel="0" collapsed="false">
      <c r="B5987" s="26" t="str">
        <f aca="false">Cab_Nom</f>
        <v>ALTHO EXPERTISE</v>
      </c>
      <c r="C5987" s="26"/>
      <c r="D5987" s="10"/>
      <c r="E5987" s="27" t="str">
        <f aca="false">IF($K$5986=0,"","Réf. client : "&amp;INDEX(Clients!$A$2:$A$501,$K$5986))</f>
        <v/>
      </c>
      <c r="F5987" s="27"/>
      <c r="J5987" s="25" t="s">
        <v>144</v>
      </c>
      <c r="K5987" s="25" t="str">
        <f aca="false">IF(IF($K$5986=0,"",INDEX(Clients!$B$2:$B$501,$K$5986)&amp;"")="Mme","Madame",IF(IF($K$5986=0,"",INDEX(Clients!$B$2:$B$501,$K$5986)&amp;"")="M.","Monsieur","Madame, Monsieur"))</f>
        <v>Madame, Monsieur</v>
      </c>
      <c r="L5987" s="25"/>
      <c r="M5987" s="25"/>
      <c r="N5987" s="25"/>
      <c r="O5987" s="25"/>
    </row>
    <row r="5988" customFormat="false" ht="15" hidden="false" customHeight="false" outlineLevel="0" collapsed="false">
      <c r="B5988" s="29" t="str">
        <f aca="false">Cab_Adr1</f>
        <v>141 rue Charles de Gaulle</v>
      </c>
      <c r="C5988" s="29"/>
      <c r="D5988" s="10"/>
      <c r="E5988" s="10"/>
      <c r="F5988" s="10"/>
      <c r="J5988" s="25" t="s">
        <v>145</v>
      </c>
      <c r="K5988" s="25" t="str">
        <f aca="false">DAY(Date_Effet)&amp;IF(DAY(Date_Effet)=1,"er","")&amp;" "&amp;INDEX(Liste_Mois,MONTH(Date_Effet))&amp;" "&amp;YEAR(Date_Effet)</f>
        <v>1er janvier 2027</v>
      </c>
      <c r="L5988" s="25"/>
      <c r="M5988" s="25"/>
      <c r="N5988" s="25"/>
      <c r="O5988" s="25"/>
    </row>
    <row r="5989" customFormat="false" ht="15" hidden="false" customHeight="false" outlineLevel="0" collapsed="false">
      <c r="B5989" s="29" t="str">
        <f aca="false">Cab_CPVille</f>
        <v>95130 LE PLESSIS-BOUCHARD</v>
      </c>
      <c r="C5989" s="29"/>
      <c r="D5989" s="10"/>
      <c r="E5989" s="10"/>
      <c r="F5989" s="10"/>
      <c r="J5989" s="25" t="s">
        <v>146</v>
      </c>
      <c r="K5989" s="25" t="str">
        <f aca="false">IF(SUM($K$6013:$K$6016)=0,"",FIXED((SUM($L$6013:$L$6016)/SUM($K$6013:$K$6016)-1)*100,1)&amp;" %")</f>
        <v/>
      </c>
      <c r="L5989" s="25"/>
      <c r="M5989" s="25"/>
      <c r="N5989" s="25"/>
      <c r="O5989" s="25"/>
    </row>
    <row r="5990" customFormat="false" ht="15" hidden="false" customHeight="false" outlineLevel="0" collapsed="false">
      <c r="B5990" s="29" t="str">
        <f aca="false">Cab_Contact</f>
        <v>Tél. 01 34 14 53 45  ·  altho@altho-experts.com  ·  altho-experts.com</v>
      </c>
      <c r="C5990" s="29"/>
      <c r="D5990" s="10"/>
      <c r="E5990" s="10"/>
      <c r="F5990" s="10"/>
      <c r="J5990" s="25"/>
      <c r="K5990" s="25"/>
      <c r="L5990" s="25"/>
      <c r="M5990" s="25"/>
      <c r="N5990" s="25"/>
      <c r="O5990" s="25"/>
    </row>
    <row r="5991" customFormat="false" ht="6" hidden="false" customHeight="true" outlineLevel="0" collapsed="false">
      <c r="B5991" s="32"/>
      <c r="C5991" s="32"/>
      <c r="D5991" s="32"/>
      <c r="E5991" s="32"/>
      <c r="F5991" s="32"/>
      <c r="J5991" s="25"/>
      <c r="K5991" s="25"/>
      <c r="L5991" s="25"/>
      <c r="M5991" s="25"/>
      <c r="N5991" s="25"/>
      <c r="O5991" s="25"/>
    </row>
    <row r="5992" customFormat="false" ht="13.5" hidden="false" customHeight="true" outlineLevel="0" collapsed="false">
      <c r="B5992" s="10"/>
      <c r="C5992" s="10"/>
      <c r="D5992" s="10"/>
      <c r="E5992" s="10"/>
      <c r="F5992" s="10"/>
      <c r="J5992" s="25"/>
      <c r="K5992" s="25"/>
      <c r="L5992" s="25"/>
      <c r="M5992" s="25"/>
      <c r="N5992" s="25"/>
      <c r="O5992" s="25"/>
    </row>
    <row r="5993" customFormat="false" ht="13.5" hidden="false" customHeight="true" outlineLevel="0" collapsed="false">
      <c r="B5993" s="10"/>
      <c r="C5993" s="10"/>
      <c r="D5993" s="10"/>
      <c r="E5993" s="10"/>
      <c r="F5993" s="10"/>
      <c r="J5993" s="25"/>
      <c r="K5993" s="25"/>
      <c r="L5993" s="25"/>
      <c r="M5993" s="25"/>
      <c r="N5993" s="25"/>
      <c r="O5993" s="25"/>
    </row>
    <row r="5994" customFormat="false" ht="13.5" hidden="false" customHeight="true" outlineLevel="0" collapsed="false">
      <c r="B5994" s="10"/>
      <c r="C5994" s="10"/>
      <c r="D5994" s="10"/>
      <c r="E5994" s="10"/>
      <c r="F5994" s="10"/>
      <c r="J5994" s="25"/>
      <c r="K5994" s="25"/>
      <c r="L5994" s="25"/>
      <c r="M5994" s="25"/>
      <c r="N5994" s="25"/>
      <c r="O5994" s="25"/>
    </row>
    <row r="5995" customFormat="false" ht="15" hidden="false" customHeight="true" outlineLevel="0" collapsed="false">
      <c r="B5995" s="10"/>
      <c r="C5995" s="10"/>
      <c r="D5995" s="34" t="str">
        <f aca="false">IF($K$5986=0,"",INDEX(Clients!$E$2:$E$501,$K$5986)&amp;"")</f>
        <v/>
      </c>
      <c r="E5995" s="34"/>
      <c r="F5995" s="34"/>
      <c r="J5995" s="25"/>
      <c r="K5995" s="25"/>
      <c r="L5995" s="25"/>
      <c r="M5995" s="25"/>
      <c r="N5995" s="25"/>
      <c r="O5995" s="25"/>
    </row>
    <row r="5996" customFormat="false" ht="15" hidden="false" customHeight="true" outlineLevel="0" collapsed="false">
      <c r="B5996" s="10"/>
      <c r="C5996" s="10"/>
      <c r="D5996" s="35" t="str">
        <f aca="false">IF(IF($K$5986=0,"",INDEX(Clients!$D$2:$D$501,$K$5986)&amp;"")="","","À l'attention de "&amp;TRIM(IF($K$5986=0,"",INDEX(Clients!$B$2:$B$501,$K$5986)&amp;"")&amp;" "&amp;IF($K$5986=0,"",INDEX(Clients!$C$2:$C$501,$K$5986)&amp;"")&amp;" "&amp;IF($K$5986=0,"",INDEX(Clients!$D$2:$D$501,$K$5986)&amp;"")))</f>
        <v/>
      </c>
      <c r="E5996" s="35"/>
      <c r="F5996" s="35"/>
      <c r="J5996" s="25"/>
      <c r="K5996" s="25"/>
      <c r="L5996" s="25"/>
      <c r="M5996" s="25"/>
      <c r="N5996" s="25"/>
      <c r="O5996" s="25"/>
    </row>
    <row r="5997" customFormat="false" ht="15" hidden="false" customHeight="true" outlineLevel="0" collapsed="false">
      <c r="B5997" s="10"/>
      <c r="C5997" s="10"/>
      <c r="D5997" s="35" t="str">
        <f aca="false">IF($K$5986=0,"",INDEX(Clients!$F$2:$F$501,$K$5986)&amp;"")</f>
        <v/>
      </c>
      <c r="E5997" s="35"/>
      <c r="F5997" s="35"/>
      <c r="J5997" s="25"/>
      <c r="K5997" s="25"/>
      <c r="L5997" s="25"/>
      <c r="M5997" s="25"/>
      <c r="N5997" s="25"/>
      <c r="O5997" s="25"/>
    </row>
    <row r="5998" customFormat="false" ht="15" hidden="false" customHeight="true" outlineLevel="0" collapsed="false">
      <c r="B5998" s="10"/>
      <c r="C5998" s="10"/>
      <c r="D5998" s="35" t="str">
        <f aca="false">IF(IF($K$5986=0,"",INDEX(Clients!$G$2:$G$501,$K$5986)&amp;"")="",TRIM(IF($K$5986=0,"",INDEX(Clients!$H$2:$H$501,$K$5986)&amp;"")&amp;" "&amp;UPPER(IF($K$5986=0,"",INDEX(Clients!$I$2:$I$501,$K$5986)&amp;""))),IF($K$5986=0,"",INDEX(Clients!$G$2:$G$501,$K$5986)&amp;""))</f>
        <v/>
      </c>
      <c r="E5998" s="35"/>
      <c r="F5998" s="35"/>
      <c r="J5998" s="25"/>
      <c r="K5998" s="25"/>
      <c r="L5998" s="25"/>
      <c r="M5998" s="25"/>
      <c r="N5998" s="25"/>
      <c r="O5998" s="25"/>
    </row>
    <row r="5999" customFormat="false" ht="15" hidden="false" customHeight="true" outlineLevel="0" collapsed="false">
      <c r="B5999" s="10"/>
      <c r="C5999" s="10"/>
      <c r="D5999" s="35" t="str">
        <f aca="false">IF(IF($K$5986=0,"",INDEX(Clients!$G$2:$G$501,$K$5986)&amp;"")="","",TRIM(IF($K$5986=0,"",INDEX(Clients!$H$2:$H$501,$K$5986)&amp;"")&amp;" "&amp;UPPER(IF($K$5986=0,"",INDEX(Clients!$I$2:$I$501,$K$5986)&amp;""))))</f>
        <v/>
      </c>
      <c r="E5999" s="35"/>
      <c r="F5999" s="35"/>
      <c r="J5999" s="25"/>
      <c r="K5999" s="25"/>
      <c r="L5999" s="25"/>
      <c r="M5999" s="25"/>
      <c r="N5999" s="25"/>
      <c r="O5999" s="25"/>
    </row>
    <row r="6000" customFormat="false" ht="25.5" hidden="false" customHeight="true" outlineLevel="0" collapsed="false">
      <c r="B6000" s="10"/>
      <c r="C6000" s="10"/>
      <c r="D6000" s="10"/>
      <c r="E6000" s="10"/>
      <c r="F6000" s="10"/>
      <c r="J6000" s="25"/>
      <c r="K6000" s="25"/>
      <c r="L6000" s="25"/>
      <c r="M6000" s="25"/>
      <c r="N6000" s="25"/>
      <c r="O6000" s="25"/>
    </row>
    <row r="6001" customFormat="false" ht="15" hidden="false" customHeight="false" outlineLevel="0" collapsed="false">
      <c r="B6001" s="10"/>
      <c r="C6001" s="10"/>
      <c r="D6001" s="36" t="str">
        <f aca="false">Cab_Ville&amp;", le "&amp;DAY(Date_Courrier)&amp;IF(DAY(Date_Courrier)=1,"er","")&amp;" "&amp;INDEX(Liste_Mois,MONTH(Date_Courrier))&amp;" "&amp;YEAR(Date_Courrier)</f>
        <v>Le Plessis-Bouchard, le 22 septembre 2026</v>
      </c>
      <c r="E6001" s="36"/>
      <c r="F6001" s="36"/>
      <c r="J6001" s="25"/>
      <c r="K6001" s="25"/>
      <c r="L6001" s="25"/>
      <c r="M6001" s="25"/>
      <c r="N6001" s="25"/>
      <c r="O6001" s="25"/>
    </row>
    <row r="6002" customFormat="false" ht="19.5" hidden="false" customHeight="true" outlineLevel="0" collapsed="false">
      <c r="B6002" s="10"/>
      <c r="C6002" s="10"/>
      <c r="D6002" s="10"/>
      <c r="E6002" s="10"/>
      <c r="F6002" s="10"/>
      <c r="J6002" s="25"/>
      <c r="K6002" s="25"/>
      <c r="L6002" s="25"/>
      <c r="M6002" s="25"/>
      <c r="N6002" s="25"/>
      <c r="O6002" s="25"/>
    </row>
    <row r="6003" customFormat="false" ht="15" hidden="false" customHeight="false" outlineLevel="0" collapsed="false">
      <c r="B6003" s="34" t="str">
        <f aca="false">SUBSTITUTE(SUBSTITUTE(SUBSTITUTE(SUBSTITUTE(SUBSTITUTE(Txt_Objet,"{cabinet}",Cab_Nom),"{societe}",IF($K$5986=0,"",INDEX(Clients!$E$2:$E$501,$K$5986)&amp;"")),"{date_effet}",$K$5988),"{hausse}",$K$5989),"{civilite}",$K$5987)</f>
        <v>Objet : révision de nos honoraires au 1er janvier 2027</v>
      </c>
      <c r="C6003" s="34"/>
      <c r="D6003" s="34"/>
      <c r="E6003" s="34"/>
      <c r="F6003" s="34"/>
      <c r="J6003" s="25"/>
      <c r="K6003" s="25"/>
      <c r="L6003" s="25"/>
      <c r="M6003" s="25"/>
      <c r="N6003" s="25"/>
      <c r="O6003" s="25"/>
    </row>
    <row r="6004" customFormat="false" ht="13.5" hidden="false" customHeight="true" outlineLevel="0" collapsed="false">
      <c r="B6004" s="10"/>
      <c r="C6004" s="10"/>
      <c r="D6004" s="10"/>
      <c r="E6004" s="10"/>
      <c r="F6004" s="10"/>
      <c r="J6004" s="25"/>
      <c r="K6004" s="25"/>
      <c r="L6004" s="25"/>
      <c r="M6004" s="25"/>
      <c r="N6004" s="25"/>
      <c r="O6004" s="25"/>
    </row>
    <row r="6005" customFormat="false" ht="15" hidden="false" customHeight="false" outlineLevel="0" collapsed="false">
      <c r="B6005" s="10" t="str">
        <f aca="false">$K$5987&amp;","</f>
        <v>Madame, Monsieur,</v>
      </c>
      <c r="C6005" s="10"/>
      <c r="D6005" s="10"/>
      <c r="E6005" s="10"/>
      <c r="F6005" s="10"/>
      <c r="J6005" s="25"/>
      <c r="K6005" s="25"/>
      <c r="L6005" s="25"/>
      <c r="M6005" s="25"/>
      <c r="N6005" s="25"/>
      <c r="O6005" s="25"/>
    </row>
    <row r="6006" customFormat="false" ht="6" hidden="false" customHeight="true" outlineLevel="0" collapsed="false">
      <c r="B6006" s="10"/>
      <c r="C6006" s="10"/>
      <c r="D6006" s="10"/>
      <c r="E6006" s="10"/>
      <c r="F6006" s="10"/>
      <c r="J6006" s="25"/>
      <c r="K6006" s="25"/>
      <c r="L6006" s="25"/>
      <c r="M6006" s="25"/>
      <c r="N6006" s="25"/>
      <c r="O6006" s="25"/>
    </row>
    <row r="6007" customFormat="false" ht="36.75" hidden="false" customHeight="true" outlineLevel="0" collapsed="false">
      <c r="B6007" s="37" t="str">
        <f aca="false">SUBSTITUTE(SUBSTITUTE(SUBSTITUTE(SUBSTITUTE(SUBSTITUTE(Txt_P1,"{cabinet}",Cab_Nom),"{societe}",IF($K$5986=0,"",INDEX(Clients!$E$2:$E$501,$K$5986)&amp;"")),"{date_effet}",$K$5988),"{hausse}",$K$5989),"{civilite}",$K$5987)</f>
        <v>Nous tenons tout d'abord à vous remercier pour la confiance que vous accordez à ALTHO EXPERTISE. Comme chaque année, et conformément aux dispositions de votre lettre de mission, nous procédons à la révision de nos honoraires.</v>
      </c>
      <c r="C6007" s="37"/>
      <c r="D6007" s="37"/>
      <c r="E6007" s="37"/>
      <c r="F6007" s="37"/>
      <c r="J6007" s="25"/>
      <c r="K6007" s="25"/>
      <c r="L6007" s="25"/>
      <c r="M6007" s="25"/>
      <c r="N6007" s="25"/>
      <c r="O6007" s="25"/>
    </row>
    <row r="6008" customFormat="false" ht="49.5" hidden="false" customHeight="true" outlineLevel="0" collapsed="false">
      <c r="B6008" s="37" t="str">
        <f aca="false">SUBSTITUTE(SUBSTITUTE(SUBSTITUTE(SUBSTITUTE(SUBSTITUTE(Txt_P2,"{cabinet}",Cab_Nom),"{societe}",IF($K$5986=0,"",INDEX(Clients!$E$2:$E$501,$K$5986)&amp;"")),"{date_effet}",$K$5988),"{hausse}",$K$5989),"{civilite}",$K$5987)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008" s="37"/>
      <c r="D6008" s="37"/>
      <c r="E6008" s="37"/>
      <c r="F6008" s="37"/>
      <c r="J6008" s="25"/>
      <c r="K6008" s="25"/>
      <c r="L6008" s="25"/>
      <c r="M6008" s="25"/>
      <c r="N6008" s="25"/>
      <c r="O6008" s="25"/>
    </row>
    <row r="6009" customFormat="false" ht="63" hidden="false" customHeight="true" outlineLevel="0" collapsed="false">
      <c r="B6009" s="37" t="str">
        <f aca="false">SUBSTITUTE(SUBSTITUTE(SUBSTITUTE(SUBSTITUTE(SUBSTITUTE(Txt_P3,"{cabinet}",Cab_Nom),"{societe}",IF($K$5986=0,"",INDEX(Clients!$E$2:$E$501,$K$5986)&amp;"")),"{date_effet}",$K$5988),"{hausse}",$K$5989),"{civilite}",$K$5987)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009" s="37"/>
      <c r="D6009" s="37"/>
      <c r="E6009" s="37"/>
      <c r="F6009" s="37"/>
      <c r="J6009" s="25"/>
      <c r="K6009" s="25"/>
      <c r="L6009" s="25"/>
      <c r="M6009" s="25"/>
      <c r="N6009" s="25"/>
      <c r="O6009" s="25"/>
    </row>
    <row r="6010" customFormat="false" ht="24" hidden="false" customHeight="true" outlineLevel="0" collapsed="false">
      <c r="B6010" s="37" t="str">
        <f aca="false">SUBSTITUTE(SUBSTITUTE(SUBSTITUTE(SUBSTITUTE(SUBSTITUTE(Txt_P4,"{cabinet}",Cab_Nom),"{societe}",IF($K$5986=0,"",INDEX(Clients!$E$2:$E$501,$K$5986)&amp;"")),"{date_effet}",$K$5988),"{hausse}",$K$5989),"{civilite}",$K$5987)</f>
        <v>À compter du 1er janvier 2027, vos honoraires annuels hors taxes évolueront ainsi (évolution globale : ) :</v>
      </c>
      <c r="C6010" s="37"/>
      <c r="D6010" s="37"/>
      <c r="E6010" s="37"/>
      <c r="F6010" s="37"/>
      <c r="J6010" s="25"/>
      <c r="K6010" s="25"/>
      <c r="L6010" s="25"/>
      <c r="M6010" s="25"/>
      <c r="N6010" s="25"/>
      <c r="O6010" s="25"/>
    </row>
    <row r="6011" customFormat="false" ht="3.75" hidden="false" customHeight="true" outlineLevel="0" collapsed="false">
      <c r="B6011" s="10"/>
      <c r="C6011" s="10"/>
      <c r="D6011" s="10"/>
      <c r="E6011" s="10"/>
      <c r="F6011" s="10"/>
      <c r="J6011" s="25"/>
      <c r="K6011" s="25"/>
      <c r="L6011" s="25"/>
      <c r="M6011" s="25"/>
      <c r="N6011" s="25"/>
      <c r="O6011" s="25"/>
    </row>
    <row r="6012" customFormat="false" ht="18" hidden="false" customHeight="true" outlineLevel="0" collapsed="false">
      <c r="B6012" s="38" t="s">
        <v>148</v>
      </c>
      <c r="C6012" s="39" t="s">
        <v>149</v>
      </c>
      <c r="D6012" s="39" t="s">
        <v>150</v>
      </c>
      <c r="E6012" s="39" t="s">
        <v>151</v>
      </c>
      <c r="F6012" s="39" t="s">
        <v>109</v>
      </c>
      <c r="J6012" s="25" t="s">
        <v>152</v>
      </c>
      <c r="K6012" s="25" t="s">
        <v>153</v>
      </c>
      <c r="L6012" s="25" t="s">
        <v>154</v>
      </c>
      <c r="M6012" s="25" t="s">
        <v>155</v>
      </c>
      <c r="N6012" s="25" t="s">
        <v>156</v>
      </c>
      <c r="O6012" s="25" t="s">
        <v>157</v>
      </c>
    </row>
    <row r="6013" customFormat="false" ht="16.5" hidden="false" customHeight="true" outlineLevel="0" collapsed="false">
      <c r="B6013" s="40" t="str">
        <f aca="false">IFERROR(INDEX($J$6013:$J$6016,MATCH($O6013,$N$6013:$N$6016,0)),"")</f>
        <v/>
      </c>
      <c r="C6013" s="41" t="str">
        <f aca="false">IFERROR(INDEX($K$6013:$K$6016,MATCH($O6013,$N$6013:$N$6016,0)),"")</f>
        <v/>
      </c>
      <c r="D6013" s="42" t="str">
        <f aca="false">IF(OR(E6013="",N(C6013)=0),"",E6013/C6013-1)</f>
        <v/>
      </c>
      <c r="E6013" s="41" t="str">
        <f aca="false">IFERROR(INDEX($L$6013:$L$6016,MATCH($O6013,$N$6013:$N$6016,0)),"")</f>
        <v/>
      </c>
      <c r="F6013" s="41" t="str">
        <f aca="false">IF(E6013="","",E6013-C6013)</f>
        <v/>
      </c>
      <c r="J6013" s="25" t="str">
        <f aca="false">Lib_Compta</f>
        <v>Mission comptable (tenue, révision, bilan, liasse fiscale)</v>
      </c>
      <c r="K6013" s="25" t="n">
        <f aca="false">IF($K$5986=0,0,N(INDEX(Clients!$K$2:$K$501,$K$5986)))</f>
        <v>0</v>
      </c>
      <c r="L6013" s="25" t="n">
        <f aca="false">IF($K$5986=0,0,N(INDEX(Clients!$P$2:$P$501,$K$5986)))</f>
        <v>0</v>
      </c>
      <c r="M6013" s="25" t="n">
        <f aca="false">IF(OR(K6013&lt;&gt;0,L6013&lt;&gt;0),1,0)</f>
        <v>0</v>
      </c>
      <c r="N6013" s="25" t="str">
        <f aca="false">IF(M6013=1,SUM($M$6013:M6013),"")</f>
        <v/>
      </c>
      <c r="O6013" s="25" t="n">
        <v>1</v>
      </c>
    </row>
    <row r="6014" customFormat="false" ht="16.5" hidden="false" customHeight="true" outlineLevel="0" collapsed="false">
      <c r="B6014" s="40" t="str">
        <f aca="false">IFERROR(INDEX($J$6013:$J$6016,MATCH($O6014,$N$6013:$N$6016,0)),"")</f>
        <v/>
      </c>
      <c r="C6014" s="41" t="str">
        <f aca="false">IFERROR(INDEX($K$6013:$K$6016,MATCH($O6014,$N$6013:$N$6016,0)),"")</f>
        <v/>
      </c>
      <c r="D6014" s="42" t="str">
        <f aca="false">IF(OR(E6014="",N(C6014)=0),"",E6014/C6014-1)</f>
        <v/>
      </c>
      <c r="E6014" s="41" t="str">
        <f aca="false">IFERROR(INDEX($L$6013:$L$6016,MATCH($O6014,$N$6013:$N$6016,0)),"")</f>
        <v/>
      </c>
      <c r="F6014" s="41" t="str">
        <f aca="false">IF(E6014="","",E6014-C6014)</f>
        <v/>
      </c>
      <c r="J6014" s="25" t="str">
        <f aca="false">Lib_Paye</f>
        <v>Mission sociale (bulletins de paie, DSN, déclarations sociales)</v>
      </c>
      <c r="K6014" s="25" t="n">
        <f aca="false">IF($K$5986=0,0,N(INDEX(Clients!$L$2:$L$501,$K$5986)))</f>
        <v>0</v>
      </c>
      <c r="L6014" s="25" t="n">
        <f aca="false">IF($K$5986=0,0,N(INDEX(Clients!$Q$2:$Q$501,$K$5986)))</f>
        <v>0</v>
      </c>
      <c r="M6014" s="25" t="n">
        <f aca="false">IF(OR(K6014&lt;&gt;0,L6014&lt;&gt;0),1,0)</f>
        <v>0</v>
      </c>
      <c r="N6014" s="25" t="str">
        <f aca="false">IF(M6014=1,SUM($M$6013:M6014),"")</f>
        <v/>
      </c>
      <c r="O6014" s="25" t="n">
        <v>2</v>
      </c>
    </row>
    <row r="6015" customFormat="false" ht="16.5" hidden="false" customHeight="true" outlineLevel="0" collapsed="false">
      <c r="B6015" s="40" t="str">
        <f aca="false">IFERROR(INDEX($J$6013:$J$6016,MATCH($O6015,$N$6013:$N$6016,0)),"")</f>
        <v/>
      </c>
      <c r="C6015" s="41" t="str">
        <f aca="false">IFERROR(INDEX($K$6013:$K$6016,MATCH($O6015,$N$6013:$N$6016,0)),"")</f>
        <v/>
      </c>
      <c r="D6015" s="42" t="str">
        <f aca="false">IF(OR(E6015="",N(C6015)=0),"",E6015/C6015-1)</f>
        <v/>
      </c>
      <c r="E6015" s="41" t="str">
        <f aca="false">IFERROR(INDEX($L$6013:$L$6016,MATCH($O6015,$N$6013:$N$6016,0)),"")</f>
        <v/>
      </c>
      <c r="F6015" s="41" t="str">
        <f aca="false">IF(E6015="","",E6015-C6015)</f>
        <v/>
      </c>
      <c r="J6015" s="25" t="str">
        <f aca="false">Lib_Jur</f>
        <v>Mission juridique (approbation des comptes, secrétariat juridique)</v>
      </c>
      <c r="K6015" s="25" t="n">
        <f aca="false">IF($K$5986=0,0,N(INDEX(Clients!$M$2:$M$501,$K$5986)))</f>
        <v>0</v>
      </c>
      <c r="L6015" s="25" t="n">
        <f aca="false">IF($K$5986=0,0,N(INDEX(Clients!$R$2:$R$501,$K$5986)))</f>
        <v>0</v>
      </c>
      <c r="M6015" s="25" t="n">
        <f aca="false">IF(OR(K6015&lt;&gt;0,L6015&lt;&gt;0),1,0)</f>
        <v>0</v>
      </c>
      <c r="N6015" s="25" t="str">
        <f aca="false">IF(M6015=1,SUM($M$6013:M6015),"")</f>
        <v/>
      </c>
      <c r="O6015" s="25" t="n">
        <v>3</v>
      </c>
    </row>
    <row r="6016" customFormat="false" ht="16.5" hidden="false" customHeight="true" outlineLevel="0" collapsed="false">
      <c r="B6016" s="40" t="str">
        <f aca="false">IFERROR(INDEX($J$6013:$J$6016,MATCH($O6016,$N$6013:$N$6016,0)),"")</f>
        <v/>
      </c>
      <c r="C6016" s="41" t="str">
        <f aca="false">IFERROR(INDEX($K$6013:$K$6016,MATCH($O6016,$N$6013:$N$6016,0)),"")</f>
        <v/>
      </c>
      <c r="D6016" s="42" t="str">
        <f aca="false">IF(OR(E6016="",N(C6016)=0),"",E6016/C6016-1)</f>
        <v/>
      </c>
      <c r="E6016" s="41" t="str">
        <f aca="false">IFERROR(INDEX($L$6013:$L$6016,MATCH($O6016,$N$6013:$N$6016,0)),"")</f>
        <v/>
      </c>
      <c r="F6016" s="41" t="str">
        <f aca="false">IF(E6016="","",E6016-C6016)</f>
        <v/>
      </c>
      <c r="J6016" s="25" t="str">
        <f aca="false">Lib_PA</f>
        <v>Plateforme agréée – facturation électronique</v>
      </c>
      <c r="K6016" s="25" t="n">
        <f aca="false">IF($K$5986=0,0,N(INDEX(Clients!$N$2:$N$501,$K$5986)))</f>
        <v>0</v>
      </c>
      <c r="L6016" s="25" t="n">
        <f aca="false">IF($K$5986=0,0,N(INDEX(Clients!$S$2:$S$501,$K$5986)))</f>
        <v>0</v>
      </c>
      <c r="M6016" s="25" t="n">
        <f aca="false">IF(OR(K6016&lt;&gt;0,L6016&lt;&gt;0),1,0)</f>
        <v>0</v>
      </c>
      <c r="N6016" s="25" t="str">
        <f aca="false">IF(M6016=1,SUM($M$6013:M6016),"")</f>
        <v/>
      </c>
      <c r="O6016" s="25" t="n">
        <v>4</v>
      </c>
    </row>
    <row r="6017" customFormat="false" ht="18" hidden="false" customHeight="true" outlineLevel="0" collapsed="false">
      <c r="B6017" s="43" t="s">
        <v>158</v>
      </c>
      <c r="C6017" s="44" t="n">
        <f aca="false">SUM(K6013:K6016)</f>
        <v>0</v>
      </c>
      <c r="D6017" s="45" t="str">
        <f aca="false">IF(N(C6017)=0,"",E6017/C6017-1)</f>
        <v/>
      </c>
      <c r="E6017" s="44" t="n">
        <f aca="false">SUM(L6013:L6016)</f>
        <v>0</v>
      </c>
      <c r="F6017" s="44" t="n">
        <f aca="false">E6017-C6017</f>
        <v>0</v>
      </c>
    </row>
    <row r="6018" customFormat="false" ht="15" hidden="false" customHeight="false" outlineLevel="0" collapsed="false">
      <c r="B6018" s="46" t="str">
        <f aca="false">IF(N(Nb_Mensualites)=0,"","Soit "&amp;FIXED(E6017/Nb_Mensualites,2)&amp;" € HT par échéance ("&amp;Nb_Mensualites&amp;" échéances), "&amp;FIXED(E6017/Nb_Mensualites*(1+Taux_TVA),2)&amp;" € TTC.")</f>
        <v>Soit 0.00 € HT par échéance (12 échéances), 0.00 € TTC.</v>
      </c>
      <c r="C6018" s="46"/>
      <c r="D6018" s="46"/>
      <c r="E6018" s="46"/>
      <c r="F6018" s="46"/>
    </row>
    <row r="6019" customFormat="false" ht="7.5" hidden="false" customHeight="true" outlineLevel="0" collapsed="false">
      <c r="B6019" s="10"/>
      <c r="C6019" s="10"/>
      <c r="D6019" s="10"/>
      <c r="E6019" s="10"/>
      <c r="F6019" s="10"/>
    </row>
    <row r="6020" customFormat="false" ht="36.75" hidden="false" customHeight="true" outlineLevel="0" collapsed="false">
      <c r="B6020" s="37" t="str">
        <f aca="false">SUBSTITUTE(SUBSTITUTE(SUBSTITUTE(SUBSTITUTE(SUBSTITUTE(Txt_P5,"{cabinet}",Cab_Nom),"{societe}",IF($K$5986=0,"",INDEX(Clients!$E$2:$E$501,$K$5986)&amp;"")),"{date_effet}",$K$5988),"{hausse}",$K$5989),"{civilite}",$K$5987)</f>
        <v>Les autres conditions de votre lettre de mission demeurent inchangées. Les nouveaux montants seront appliqués automatiquement sur vos prochaines factures et échéances de prélèvement.</v>
      </c>
      <c r="C6020" s="37"/>
      <c r="D6020" s="37"/>
      <c r="E6020" s="37"/>
      <c r="F6020" s="37"/>
    </row>
    <row r="6021" customFormat="false" ht="36.75" hidden="false" customHeight="true" outlineLevel="0" collapsed="false">
      <c r="B6021" s="37" t="str">
        <f aca="false">SUBSTITUTE(SUBSTITUTE(SUBSTITUTE(SUBSTITUTE(SUBSTITUTE(Txt_P6,"{cabinet}",Cab_Nom),"{societe}",IF($K$5986=0,"",INDEX(Clients!$E$2:$E$501,$K$5986)&amp;"")),"{date_effet}",$K$5988),"{hausse}",$K$5989),"{civilite}",$K$5987)</f>
        <v>Votre interlocuteur habituel reste à votre entière disposition pour répondre à vos questions et faire le point sur l'évolution de vos besoins.</v>
      </c>
      <c r="C6021" s="37"/>
      <c r="D6021" s="37"/>
      <c r="E6021" s="37"/>
      <c r="F6021" s="37"/>
    </row>
    <row r="6022" customFormat="false" ht="24" hidden="false" customHeight="true" outlineLevel="0" collapsed="false">
      <c r="B6022" s="37" t="str">
        <f aca="false">SUBSTITUTE(SUBSTITUTE(SUBSTITUTE(SUBSTITUTE(SUBSTITUTE(Txt_Politesse,"{cabinet}",Cab_Nom),"{societe}",IF($K$5986=0,"",INDEX(Clients!$E$2:$E$501,$K$5986)&amp;"")),"{date_effet}",$K$5988),"{hausse}",$K$5989),"{civilite}",$K$5987)</f>
        <v>Nous vous prions d'agréer, Madame, Monsieur, l'expression de nos salutations distinguées.</v>
      </c>
      <c r="C6022" s="37"/>
      <c r="D6022" s="37"/>
      <c r="E6022" s="37"/>
      <c r="F6022" s="37"/>
    </row>
    <row r="6023" customFormat="false" ht="15" hidden="false" customHeight="false" outlineLevel="0" collapsed="false">
      <c r="B6023" s="10"/>
      <c r="C6023" s="10"/>
      <c r="D6023" s="10"/>
      <c r="E6023" s="10"/>
      <c r="F6023" s="10"/>
    </row>
    <row r="6024" customFormat="false" ht="15" hidden="false" customHeight="false" outlineLevel="0" collapsed="false">
      <c r="B6024" s="10"/>
      <c r="C6024" s="10"/>
      <c r="D6024" s="34" t="str">
        <f aca="false">Signataire</f>
        <v>Prénom NOM</v>
      </c>
      <c r="E6024" s="34"/>
      <c r="F6024" s="34"/>
    </row>
    <row r="6025" customFormat="false" ht="15" hidden="false" customHeight="false" outlineLevel="0" collapsed="false">
      <c r="B6025" s="10"/>
      <c r="C6025" s="10"/>
      <c r="D6025" s="47" t="str">
        <f aca="false">Signataire_Titre</f>
        <v>Expert-comptable associé</v>
      </c>
      <c r="E6025" s="47"/>
      <c r="F6025" s="47"/>
    </row>
    <row r="6026" customFormat="false" ht="15.75" hidden="false" customHeight="true" outlineLevel="0" collapsed="false">
      <c r="B6026" s="10"/>
      <c r="C6026" s="10"/>
      <c r="D6026" s="10"/>
      <c r="E6026" s="10"/>
      <c r="F6026" s="10"/>
    </row>
    <row r="6027" customFormat="false" ht="15.75" hidden="false" customHeight="true" outlineLevel="0" collapsed="false">
      <c r="B6027" s="10"/>
      <c r="C6027" s="10"/>
      <c r="D6027" s="10"/>
      <c r="E6027" s="10"/>
      <c r="F6027" s="10"/>
    </row>
    <row r="6028" customFormat="false" ht="15.75" hidden="false" customHeight="true" outlineLevel="0" collapsed="false">
      <c r="B6028" s="10"/>
      <c r="C6028" s="10"/>
      <c r="D6028" s="10"/>
      <c r="E6028" s="10"/>
      <c r="F6028" s="10"/>
    </row>
    <row r="6029" customFormat="false" ht="15.75" hidden="false" customHeight="true" outlineLevel="0" collapsed="false">
      <c r="B6029" s="10"/>
      <c r="C6029" s="10"/>
      <c r="D6029" s="10"/>
      <c r="E6029" s="10"/>
      <c r="F6029" s="10"/>
    </row>
    <row r="6030" customFormat="false" ht="24" hidden="false" customHeight="true" outlineLevel="0" collapsed="false">
      <c r="B6030" s="48" t="str">
        <f aca="false">Cab_Mentions</f>
        <v>ALTHO EXPERTISE · SAS au capital de 10 000 € · RCS Pontoise 919 706 325 · TVA FR62919706325 · Société d'expertise comptable inscrite au Tableau de l'Ordre des experts-comptables de Paris Île-de-France</v>
      </c>
      <c r="C6030" s="48"/>
      <c r="D6030" s="48"/>
      <c r="E6030" s="48"/>
      <c r="F6030" s="48"/>
    </row>
    <row r="6031" customFormat="false" ht="15" hidden="false" customHeight="false" outlineLevel="0" collapsed="false">
      <c r="B6031" s="10"/>
      <c r="C6031" s="10"/>
      <c r="D6031" s="10"/>
      <c r="E6031" s="10"/>
      <c r="F6031" s="10"/>
      <c r="J6031" s="25" t="s">
        <v>142</v>
      </c>
      <c r="K6031" s="25" t="n">
        <f aca="false">IFERROR(MATCH(135,Clients!$Z$2:$Z$501,0),0)</f>
        <v>0</v>
      </c>
      <c r="L6031" s="25"/>
      <c r="M6031" s="25"/>
      <c r="N6031" s="25"/>
      <c r="O6031" s="25"/>
    </row>
    <row r="6032" customFormat="false" ht="21.75" hidden="false" customHeight="true" outlineLevel="0" collapsed="false">
      <c r="B6032" s="26" t="str">
        <f aca="false">Cab_Nom</f>
        <v>ALTHO EXPERTISE</v>
      </c>
      <c r="C6032" s="26"/>
      <c r="D6032" s="10"/>
      <c r="E6032" s="27" t="str">
        <f aca="false">IF($K$6031=0,"","Réf. client : "&amp;INDEX(Clients!$A$2:$A$501,$K$6031))</f>
        <v/>
      </c>
      <c r="F6032" s="27"/>
      <c r="J6032" s="25" t="s">
        <v>144</v>
      </c>
      <c r="K6032" s="25" t="str">
        <f aca="false">IF(IF($K$6031=0,"",INDEX(Clients!$B$2:$B$501,$K$6031)&amp;"")="Mme","Madame",IF(IF($K$6031=0,"",INDEX(Clients!$B$2:$B$501,$K$6031)&amp;"")="M.","Monsieur","Madame, Monsieur"))</f>
        <v>Madame, Monsieur</v>
      </c>
      <c r="L6032" s="25"/>
      <c r="M6032" s="25"/>
      <c r="N6032" s="25"/>
      <c r="O6032" s="25"/>
    </row>
    <row r="6033" customFormat="false" ht="15" hidden="false" customHeight="false" outlineLevel="0" collapsed="false">
      <c r="B6033" s="29" t="str">
        <f aca="false">Cab_Adr1</f>
        <v>141 rue Charles de Gaulle</v>
      </c>
      <c r="C6033" s="29"/>
      <c r="D6033" s="10"/>
      <c r="E6033" s="10"/>
      <c r="F6033" s="10"/>
      <c r="J6033" s="25" t="s">
        <v>145</v>
      </c>
      <c r="K6033" s="25" t="str">
        <f aca="false">DAY(Date_Effet)&amp;IF(DAY(Date_Effet)=1,"er","")&amp;" "&amp;INDEX(Liste_Mois,MONTH(Date_Effet))&amp;" "&amp;YEAR(Date_Effet)</f>
        <v>1er janvier 2027</v>
      </c>
      <c r="L6033" s="25"/>
      <c r="M6033" s="25"/>
      <c r="N6033" s="25"/>
      <c r="O6033" s="25"/>
    </row>
    <row r="6034" customFormat="false" ht="15" hidden="false" customHeight="false" outlineLevel="0" collapsed="false">
      <c r="B6034" s="29" t="str">
        <f aca="false">Cab_CPVille</f>
        <v>95130 LE PLESSIS-BOUCHARD</v>
      </c>
      <c r="C6034" s="29"/>
      <c r="D6034" s="10"/>
      <c r="E6034" s="10"/>
      <c r="F6034" s="10"/>
      <c r="J6034" s="25" t="s">
        <v>146</v>
      </c>
      <c r="K6034" s="25" t="str">
        <f aca="false">IF(SUM($K$6058:$K$6061)=0,"",FIXED((SUM($L$6058:$L$6061)/SUM($K$6058:$K$6061)-1)*100,1)&amp;" %")</f>
        <v/>
      </c>
      <c r="L6034" s="25"/>
      <c r="M6034" s="25"/>
      <c r="N6034" s="25"/>
      <c r="O6034" s="25"/>
    </row>
    <row r="6035" customFormat="false" ht="15" hidden="false" customHeight="false" outlineLevel="0" collapsed="false">
      <c r="B6035" s="29" t="str">
        <f aca="false">Cab_Contact</f>
        <v>Tél. 01 34 14 53 45  ·  altho@altho-experts.com  ·  altho-experts.com</v>
      </c>
      <c r="C6035" s="29"/>
      <c r="D6035" s="10"/>
      <c r="E6035" s="10"/>
      <c r="F6035" s="10"/>
      <c r="J6035" s="25"/>
      <c r="K6035" s="25"/>
      <c r="L6035" s="25"/>
      <c r="M6035" s="25"/>
      <c r="N6035" s="25"/>
      <c r="O6035" s="25"/>
    </row>
    <row r="6036" customFormat="false" ht="6" hidden="false" customHeight="true" outlineLevel="0" collapsed="false">
      <c r="B6036" s="32"/>
      <c r="C6036" s="32"/>
      <c r="D6036" s="32"/>
      <c r="E6036" s="32"/>
      <c r="F6036" s="32"/>
      <c r="J6036" s="25"/>
      <c r="K6036" s="25"/>
      <c r="L6036" s="25"/>
      <c r="M6036" s="25"/>
      <c r="N6036" s="25"/>
      <c r="O6036" s="25"/>
    </row>
    <row r="6037" customFormat="false" ht="13.5" hidden="false" customHeight="true" outlineLevel="0" collapsed="false">
      <c r="B6037" s="10"/>
      <c r="C6037" s="10"/>
      <c r="D6037" s="10"/>
      <c r="E6037" s="10"/>
      <c r="F6037" s="10"/>
      <c r="J6037" s="25"/>
      <c r="K6037" s="25"/>
      <c r="L6037" s="25"/>
      <c r="M6037" s="25"/>
      <c r="N6037" s="25"/>
      <c r="O6037" s="25"/>
    </row>
    <row r="6038" customFormat="false" ht="13.5" hidden="false" customHeight="true" outlineLevel="0" collapsed="false">
      <c r="B6038" s="10"/>
      <c r="C6038" s="10"/>
      <c r="D6038" s="10"/>
      <c r="E6038" s="10"/>
      <c r="F6038" s="10"/>
      <c r="J6038" s="25"/>
      <c r="K6038" s="25"/>
      <c r="L6038" s="25"/>
      <c r="M6038" s="25"/>
      <c r="N6038" s="25"/>
      <c r="O6038" s="25"/>
    </row>
    <row r="6039" customFormat="false" ht="13.5" hidden="false" customHeight="true" outlineLevel="0" collapsed="false">
      <c r="B6039" s="10"/>
      <c r="C6039" s="10"/>
      <c r="D6039" s="10"/>
      <c r="E6039" s="10"/>
      <c r="F6039" s="10"/>
      <c r="J6039" s="25"/>
      <c r="K6039" s="25"/>
      <c r="L6039" s="25"/>
      <c r="M6039" s="25"/>
      <c r="N6039" s="25"/>
      <c r="O6039" s="25"/>
    </row>
    <row r="6040" customFormat="false" ht="15" hidden="false" customHeight="true" outlineLevel="0" collapsed="false">
      <c r="B6040" s="10"/>
      <c r="C6040" s="10"/>
      <c r="D6040" s="34" t="str">
        <f aca="false">IF($K$6031=0,"",INDEX(Clients!$E$2:$E$501,$K$6031)&amp;"")</f>
        <v/>
      </c>
      <c r="E6040" s="34"/>
      <c r="F6040" s="34"/>
      <c r="J6040" s="25"/>
      <c r="K6040" s="25"/>
      <c r="L6040" s="25"/>
      <c r="M6040" s="25"/>
      <c r="N6040" s="25"/>
      <c r="O6040" s="25"/>
    </row>
    <row r="6041" customFormat="false" ht="15" hidden="false" customHeight="true" outlineLevel="0" collapsed="false">
      <c r="B6041" s="10"/>
      <c r="C6041" s="10"/>
      <c r="D6041" s="35" t="str">
        <f aca="false">IF(IF($K$6031=0,"",INDEX(Clients!$D$2:$D$501,$K$6031)&amp;"")="","","À l'attention de "&amp;TRIM(IF($K$6031=0,"",INDEX(Clients!$B$2:$B$501,$K$6031)&amp;"")&amp;" "&amp;IF($K$6031=0,"",INDEX(Clients!$C$2:$C$501,$K$6031)&amp;"")&amp;" "&amp;IF($K$6031=0,"",INDEX(Clients!$D$2:$D$501,$K$6031)&amp;"")))</f>
        <v/>
      </c>
      <c r="E6041" s="35"/>
      <c r="F6041" s="35"/>
      <c r="J6041" s="25"/>
      <c r="K6041" s="25"/>
      <c r="L6041" s="25"/>
      <c r="M6041" s="25"/>
      <c r="N6041" s="25"/>
      <c r="O6041" s="25"/>
    </row>
    <row r="6042" customFormat="false" ht="15" hidden="false" customHeight="true" outlineLevel="0" collapsed="false">
      <c r="B6042" s="10"/>
      <c r="C6042" s="10"/>
      <c r="D6042" s="35" t="str">
        <f aca="false">IF($K$6031=0,"",INDEX(Clients!$F$2:$F$501,$K$6031)&amp;"")</f>
        <v/>
      </c>
      <c r="E6042" s="35"/>
      <c r="F6042" s="35"/>
      <c r="J6042" s="25"/>
      <c r="K6042" s="25"/>
      <c r="L6042" s="25"/>
      <c r="M6042" s="25"/>
      <c r="N6042" s="25"/>
      <c r="O6042" s="25"/>
    </row>
    <row r="6043" customFormat="false" ht="15" hidden="false" customHeight="true" outlineLevel="0" collapsed="false">
      <c r="B6043" s="10"/>
      <c r="C6043" s="10"/>
      <c r="D6043" s="35" t="str">
        <f aca="false">IF(IF($K$6031=0,"",INDEX(Clients!$G$2:$G$501,$K$6031)&amp;"")="",TRIM(IF($K$6031=0,"",INDEX(Clients!$H$2:$H$501,$K$6031)&amp;"")&amp;" "&amp;UPPER(IF($K$6031=0,"",INDEX(Clients!$I$2:$I$501,$K$6031)&amp;""))),IF($K$6031=0,"",INDEX(Clients!$G$2:$G$501,$K$6031)&amp;""))</f>
        <v/>
      </c>
      <c r="E6043" s="35"/>
      <c r="F6043" s="35"/>
      <c r="J6043" s="25"/>
      <c r="K6043" s="25"/>
      <c r="L6043" s="25"/>
      <c r="M6043" s="25"/>
      <c r="N6043" s="25"/>
      <c r="O6043" s="25"/>
    </row>
    <row r="6044" customFormat="false" ht="15" hidden="false" customHeight="true" outlineLevel="0" collapsed="false">
      <c r="B6044" s="10"/>
      <c r="C6044" s="10"/>
      <c r="D6044" s="35" t="str">
        <f aca="false">IF(IF($K$6031=0,"",INDEX(Clients!$G$2:$G$501,$K$6031)&amp;"")="","",TRIM(IF($K$6031=0,"",INDEX(Clients!$H$2:$H$501,$K$6031)&amp;"")&amp;" "&amp;UPPER(IF($K$6031=0,"",INDEX(Clients!$I$2:$I$501,$K$6031)&amp;""))))</f>
        <v/>
      </c>
      <c r="E6044" s="35"/>
      <c r="F6044" s="35"/>
      <c r="J6044" s="25"/>
      <c r="K6044" s="25"/>
      <c r="L6044" s="25"/>
      <c r="M6044" s="25"/>
      <c r="N6044" s="25"/>
      <c r="O6044" s="25"/>
    </row>
    <row r="6045" customFormat="false" ht="25.5" hidden="false" customHeight="true" outlineLevel="0" collapsed="false">
      <c r="B6045" s="10"/>
      <c r="C6045" s="10"/>
      <c r="D6045" s="10"/>
      <c r="E6045" s="10"/>
      <c r="F6045" s="10"/>
      <c r="J6045" s="25"/>
      <c r="K6045" s="25"/>
      <c r="L6045" s="25"/>
      <c r="M6045" s="25"/>
      <c r="N6045" s="25"/>
      <c r="O6045" s="25"/>
    </row>
    <row r="6046" customFormat="false" ht="15" hidden="false" customHeight="false" outlineLevel="0" collapsed="false">
      <c r="B6046" s="10"/>
      <c r="C6046" s="10"/>
      <c r="D6046" s="36" t="str">
        <f aca="false">Cab_Ville&amp;", le "&amp;DAY(Date_Courrier)&amp;IF(DAY(Date_Courrier)=1,"er","")&amp;" "&amp;INDEX(Liste_Mois,MONTH(Date_Courrier))&amp;" "&amp;YEAR(Date_Courrier)</f>
        <v>Le Plessis-Bouchard, le 22 septembre 2026</v>
      </c>
      <c r="E6046" s="36"/>
      <c r="F6046" s="36"/>
      <c r="J6046" s="25"/>
      <c r="K6046" s="25"/>
      <c r="L6046" s="25"/>
      <c r="M6046" s="25"/>
      <c r="N6046" s="25"/>
      <c r="O6046" s="25"/>
    </row>
    <row r="6047" customFormat="false" ht="19.5" hidden="false" customHeight="true" outlineLevel="0" collapsed="false">
      <c r="B6047" s="10"/>
      <c r="C6047" s="10"/>
      <c r="D6047" s="10"/>
      <c r="E6047" s="10"/>
      <c r="F6047" s="10"/>
      <c r="J6047" s="25"/>
      <c r="K6047" s="25"/>
      <c r="L6047" s="25"/>
      <c r="M6047" s="25"/>
      <c r="N6047" s="25"/>
      <c r="O6047" s="25"/>
    </row>
    <row r="6048" customFormat="false" ht="15" hidden="false" customHeight="false" outlineLevel="0" collapsed="false">
      <c r="B6048" s="34" t="str">
        <f aca="false">SUBSTITUTE(SUBSTITUTE(SUBSTITUTE(SUBSTITUTE(SUBSTITUTE(Txt_Objet,"{cabinet}",Cab_Nom),"{societe}",IF($K$6031=0,"",INDEX(Clients!$E$2:$E$501,$K$6031)&amp;"")),"{date_effet}",$K$6033),"{hausse}",$K$6034),"{civilite}",$K$6032)</f>
        <v>Objet : révision de nos honoraires au 1er janvier 2027</v>
      </c>
      <c r="C6048" s="34"/>
      <c r="D6048" s="34"/>
      <c r="E6048" s="34"/>
      <c r="F6048" s="34"/>
      <c r="J6048" s="25"/>
      <c r="K6048" s="25"/>
      <c r="L6048" s="25"/>
      <c r="M6048" s="25"/>
      <c r="N6048" s="25"/>
      <c r="O6048" s="25"/>
    </row>
    <row r="6049" customFormat="false" ht="13.5" hidden="false" customHeight="true" outlineLevel="0" collapsed="false">
      <c r="B6049" s="10"/>
      <c r="C6049" s="10"/>
      <c r="D6049" s="10"/>
      <c r="E6049" s="10"/>
      <c r="F6049" s="10"/>
      <c r="J6049" s="25"/>
      <c r="K6049" s="25"/>
      <c r="L6049" s="25"/>
      <c r="M6049" s="25"/>
      <c r="N6049" s="25"/>
      <c r="O6049" s="25"/>
    </row>
    <row r="6050" customFormat="false" ht="15" hidden="false" customHeight="false" outlineLevel="0" collapsed="false">
      <c r="B6050" s="10" t="str">
        <f aca="false">$K$6032&amp;","</f>
        <v>Madame, Monsieur,</v>
      </c>
      <c r="C6050" s="10"/>
      <c r="D6050" s="10"/>
      <c r="E6050" s="10"/>
      <c r="F6050" s="10"/>
      <c r="J6050" s="25"/>
      <c r="K6050" s="25"/>
      <c r="L6050" s="25"/>
      <c r="M6050" s="25"/>
      <c r="N6050" s="25"/>
      <c r="O6050" s="25"/>
    </row>
    <row r="6051" customFormat="false" ht="6" hidden="false" customHeight="true" outlineLevel="0" collapsed="false">
      <c r="B6051" s="10"/>
      <c r="C6051" s="10"/>
      <c r="D6051" s="10"/>
      <c r="E6051" s="10"/>
      <c r="F6051" s="10"/>
      <c r="J6051" s="25"/>
      <c r="K6051" s="25"/>
      <c r="L6051" s="25"/>
      <c r="M6051" s="25"/>
      <c r="N6051" s="25"/>
      <c r="O6051" s="25"/>
    </row>
    <row r="6052" customFormat="false" ht="36.75" hidden="false" customHeight="true" outlineLevel="0" collapsed="false">
      <c r="B6052" s="37" t="str">
        <f aca="false">SUBSTITUTE(SUBSTITUTE(SUBSTITUTE(SUBSTITUTE(SUBSTITUTE(Txt_P1,"{cabinet}",Cab_Nom),"{societe}",IF($K$6031=0,"",INDEX(Clients!$E$2:$E$501,$K$6031)&amp;"")),"{date_effet}",$K$6033),"{hausse}",$K$6034),"{civilite}",$K$6032)</f>
        <v>Nous tenons tout d'abord à vous remercier pour la confiance que vous accordez à ALTHO EXPERTISE. Comme chaque année, et conformément aux dispositions de votre lettre de mission, nous procédons à la révision de nos honoraires.</v>
      </c>
      <c r="C6052" s="37"/>
      <c r="D6052" s="37"/>
      <c r="E6052" s="37"/>
      <c r="F6052" s="37"/>
      <c r="J6052" s="25"/>
      <c r="K6052" s="25"/>
      <c r="L6052" s="25"/>
      <c r="M6052" s="25"/>
      <c r="N6052" s="25"/>
      <c r="O6052" s="25"/>
    </row>
    <row r="6053" customFormat="false" ht="49.5" hidden="false" customHeight="true" outlineLevel="0" collapsed="false">
      <c r="B6053" s="37" t="str">
        <f aca="false">SUBSTITUTE(SUBSTITUTE(SUBSTITUTE(SUBSTITUTE(SUBSTITUTE(Txt_P2,"{cabinet}",Cab_Nom),"{societe}",IF($K$6031=0,"",INDEX(Clients!$E$2:$E$501,$K$6031)&amp;"")),"{date_effet}",$K$6033),"{hausse}",$K$6034),"{civilite}",$K$6032)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053" s="37"/>
      <c r="D6053" s="37"/>
      <c r="E6053" s="37"/>
      <c r="F6053" s="37"/>
      <c r="J6053" s="25"/>
      <c r="K6053" s="25"/>
      <c r="L6053" s="25"/>
      <c r="M6053" s="25"/>
      <c r="N6053" s="25"/>
      <c r="O6053" s="25"/>
    </row>
    <row r="6054" customFormat="false" ht="63" hidden="false" customHeight="true" outlineLevel="0" collapsed="false">
      <c r="B6054" s="37" t="str">
        <f aca="false">SUBSTITUTE(SUBSTITUTE(SUBSTITUTE(SUBSTITUTE(SUBSTITUTE(Txt_P3,"{cabinet}",Cab_Nom),"{societe}",IF($K$6031=0,"",INDEX(Clients!$E$2:$E$501,$K$6031)&amp;"")),"{date_effet}",$K$6033),"{hausse}",$K$6034),"{civilite}",$K$6032)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054" s="37"/>
      <c r="D6054" s="37"/>
      <c r="E6054" s="37"/>
      <c r="F6054" s="37"/>
      <c r="J6054" s="25"/>
      <c r="K6054" s="25"/>
      <c r="L6054" s="25"/>
      <c r="M6054" s="25"/>
      <c r="N6054" s="25"/>
      <c r="O6054" s="25"/>
    </row>
    <row r="6055" customFormat="false" ht="24" hidden="false" customHeight="true" outlineLevel="0" collapsed="false">
      <c r="B6055" s="37" t="str">
        <f aca="false">SUBSTITUTE(SUBSTITUTE(SUBSTITUTE(SUBSTITUTE(SUBSTITUTE(Txt_P4,"{cabinet}",Cab_Nom),"{societe}",IF($K$6031=0,"",INDEX(Clients!$E$2:$E$501,$K$6031)&amp;"")),"{date_effet}",$K$6033),"{hausse}",$K$6034),"{civilite}",$K$6032)</f>
        <v>À compter du 1er janvier 2027, vos honoraires annuels hors taxes évolueront ainsi (évolution globale : ) :</v>
      </c>
      <c r="C6055" s="37"/>
      <c r="D6055" s="37"/>
      <c r="E6055" s="37"/>
      <c r="F6055" s="37"/>
      <c r="J6055" s="25"/>
      <c r="K6055" s="25"/>
      <c r="L6055" s="25"/>
      <c r="M6055" s="25"/>
      <c r="N6055" s="25"/>
      <c r="O6055" s="25"/>
    </row>
    <row r="6056" customFormat="false" ht="3.75" hidden="false" customHeight="true" outlineLevel="0" collapsed="false">
      <c r="B6056" s="10"/>
      <c r="C6056" s="10"/>
      <c r="D6056" s="10"/>
      <c r="E6056" s="10"/>
      <c r="F6056" s="10"/>
      <c r="J6056" s="25"/>
      <c r="K6056" s="25"/>
      <c r="L6056" s="25"/>
      <c r="M6056" s="25"/>
      <c r="N6056" s="25"/>
      <c r="O6056" s="25"/>
    </row>
    <row r="6057" customFormat="false" ht="18" hidden="false" customHeight="true" outlineLevel="0" collapsed="false">
      <c r="B6057" s="38" t="s">
        <v>148</v>
      </c>
      <c r="C6057" s="39" t="s">
        <v>149</v>
      </c>
      <c r="D6057" s="39" t="s">
        <v>150</v>
      </c>
      <c r="E6057" s="39" t="s">
        <v>151</v>
      </c>
      <c r="F6057" s="39" t="s">
        <v>109</v>
      </c>
      <c r="J6057" s="25" t="s">
        <v>152</v>
      </c>
      <c r="K6057" s="25" t="s">
        <v>153</v>
      </c>
      <c r="L6057" s="25" t="s">
        <v>154</v>
      </c>
      <c r="M6057" s="25" t="s">
        <v>155</v>
      </c>
      <c r="N6057" s="25" t="s">
        <v>156</v>
      </c>
      <c r="O6057" s="25" t="s">
        <v>157</v>
      </c>
    </row>
    <row r="6058" customFormat="false" ht="16.5" hidden="false" customHeight="true" outlineLevel="0" collapsed="false">
      <c r="B6058" s="40" t="str">
        <f aca="false">IFERROR(INDEX($J$6058:$J$6061,MATCH($O6058,$N$6058:$N$6061,0)),"")</f>
        <v/>
      </c>
      <c r="C6058" s="41" t="str">
        <f aca="false">IFERROR(INDEX($K$6058:$K$6061,MATCH($O6058,$N$6058:$N$6061,0)),"")</f>
        <v/>
      </c>
      <c r="D6058" s="42" t="str">
        <f aca="false">IF(OR(E6058="",N(C6058)=0),"",E6058/C6058-1)</f>
        <v/>
      </c>
      <c r="E6058" s="41" t="str">
        <f aca="false">IFERROR(INDEX($L$6058:$L$6061,MATCH($O6058,$N$6058:$N$6061,0)),"")</f>
        <v/>
      </c>
      <c r="F6058" s="41" t="str">
        <f aca="false">IF(E6058="","",E6058-C6058)</f>
        <v/>
      </c>
      <c r="J6058" s="25" t="str">
        <f aca="false">Lib_Compta</f>
        <v>Mission comptable (tenue, révision, bilan, liasse fiscale)</v>
      </c>
      <c r="K6058" s="25" t="n">
        <f aca="false">IF($K$6031=0,0,N(INDEX(Clients!$K$2:$K$501,$K$6031)))</f>
        <v>0</v>
      </c>
      <c r="L6058" s="25" t="n">
        <f aca="false">IF($K$6031=0,0,N(INDEX(Clients!$P$2:$P$501,$K$6031)))</f>
        <v>0</v>
      </c>
      <c r="M6058" s="25" t="n">
        <f aca="false">IF(OR(K6058&lt;&gt;0,L6058&lt;&gt;0),1,0)</f>
        <v>0</v>
      </c>
      <c r="N6058" s="25" t="str">
        <f aca="false">IF(M6058=1,SUM($M$6058:M6058),"")</f>
        <v/>
      </c>
      <c r="O6058" s="25" t="n">
        <v>1</v>
      </c>
    </row>
    <row r="6059" customFormat="false" ht="16.5" hidden="false" customHeight="true" outlineLevel="0" collapsed="false">
      <c r="B6059" s="40" t="str">
        <f aca="false">IFERROR(INDEX($J$6058:$J$6061,MATCH($O6059,$N$6058:$N$6061,0)),"")</f>
        <v/>
      </c>
      <c r="C6059" s="41" t="str">
        <f aca="false">IFERROR(INDEX($K$6058:$K$6061,MATCH($O6059,$N$6058:$N$6061,0)),"")</f>
        <v/>
      </c>
      <c r="D6059" s="42" t="str">
        <f aca="false">IF(OR(E6059="",N(C6059)=0),"",E6059/C6059-1)</f>
        <v/>
      </c>
      <c r="E6059" s="41" t="str">
        <f aca="false">IFERROR(INDEX($L$6058:$L$6061,MATCH($O6059,$N$6058:$N$6061,0)),"")</f>
        <v/>
      </c>
      <c r="F6059" s="41" t="str">
        <f aca="false">IF(E6059="","",E6059-C6059)</f>
        <v/>
      </c>
      <c r="J6059" s="25" t="str">
        <f aca="false">Lib_Paye</f>
        <v>Mission sociale (bulletins de paie, DSN, déclarations sociales)</v>
      </c>
      <c r="K6059" s="25" t="n">
        <f aca="false">IF($K$6031=0,0,N(INDEX(Clients!$L$2:$L$501,$K$6031)))</f>
        <v>0</v>
      </c>
      <c r="L6059" s="25" t="n">
        <f aca="false">IF($K$6031=0,0,N(INDEX(Clients!$Q$2:$Q$501,$K$6031)))</f>
        <v>0</v>
      </c>
      <c r="M6059" s="25" t="n">
        <f aca="false">IF(OR(K6059&lt;&gt;0,L6059&lt;&gt;0),1,0)</f>
        <v>0</v>
      </c>
      <c r="N6059" s="25" t="str">
        <f aca="false">IF(M6059=1,SUM($M$6058:M6059),"")</f>
        <v/>
      </c>
      <c r="O6059" s="25" t="n">
        <v>2</v>
      </c>
    </row>
    <row r="6060" customFormat="false" ht="16.5" hidden="false" customHeight="true" outlineLevel="0" collapsed="false">
      <c r="B6060" s="40" t="str">
        <f aca="false">IFERROR(INDEX($J$6058:$J$6061,MATCH($O6060,$N$6058:$N$6061,0)),"")</f>
        <v/>
      </c>
      <c r="C6060" s="41" t="str">
        <f aca="false">IFERROR(INDEX($K$6058:$K$6061,MATCH($O6060,$N$6058:$N$6061,0)),"")</f>
        <v/>
      </c>
      <c r="D6060" s="42" t="str">
        <f aca="false">IF(OR(E6060="",N(C6060)=0),"",E6060/C6060-1)</f>
        <v/>
      </c>
      <c r="E6060" s="41" t="str">
        <f aca="false">IFERROR(INDEX($L$6058:$L$6061,MATCH($O6060,$N$6058:$N$6061,0)),"")</f>
        <v/>
      </c>
      <c r="F6060" s="41" t="str">
        <f aca="false">IF(E6060="","",E6060-C6060)</f>
        <v/>
      </c>
      <c r="J6060" s="25" t="str">
        <f aca="false">Lib_Jur</f>
        <v>Mission juridique (approbation des comptes, secrétariat juridique)</v>
      </c>
      <c r="K6060" s="25" t="n">
        <f aca="false">IF($K$6031=0,0,N(INDEX(Clients!$M$2:$M$501,$K$6031)))</f>
        <v>0</v>
      </c>
      <c r="L6060" s="25" t="n">
        <f aca="false">IF($K$6031=0,0,N(INDEX(Clients!$R$2:$R$501,$K$6031)))</f>
        <v>0</v>
      </c>
      <c r="M6060" s="25" t="n">
        <f aca="false">IF(OR(K6060&lt;&gt;0,L6060&lt;&gt;0),1,0)</f>
        <v>0</v>
      </c>
      <c r="N6060" s="25" t="str">
        <f aca="false">IF(M6060=1,SUM($M$6058:M6060),"")</f>
        <v/>
      </c>
      <c r="O6060" s="25" t="n">
        <v>3</v>
      </c>
    </row>
    <row r="6061" customFormat="false" ht="16.5" hidden="false" customHeight="true" outlineLevel="0" collapsed="false">
      <c r="B6061" s="40" t="str">
        <f aca="false">IFERROR(INDEX($J$6058:$J$6061,MATCH($O6061,$N$6058:$N$6061,0)),"")</f>
        <v/>
      </c>
      <c r="C6061" s="41" t="str">
        <f aca="false">IFERROR(INDEX($K$6058:$K$6061,MATCH($O6061,$N$6058:$N$6061,0)),"")</f>
        <v/>
      </c>
      <c r="D6061" s="42" t="str">
        <f aca="false">IF(OR(E6061="",N(C6061)=0),"",E6061/C6061-1)</f>
        <v/>
      </c>
      <c r="E6061" s="41" t="str">
        <f aca="false">IFERROR(INDEX($L$6058:$L$6061,MATCH($O6061,$N$6058:$N$6061,0)),"")</f>
        <v/>
      </c>
      <c r="F6061" s="41" t="str">
        <f aca="false">IF(E6061="","",E6061-C6061)</f>
        <v/>
      </c>
      <c r="J6061" s="25" t="str">
        <f aca="false">Lib_PA</f>
        <v>Plateforme agréée – facturation électronique</v>
      </c>
      <c r="K6061" s="25" t="n">
        <f aca="false">IF($K$6031=0,0,N(INDEX(Clients!$N$2:$N$501,$K$6031)))</f>
        <v>0</v>
      </c>
      <c r="L6061" s="25" t="n">
        <f aca="false">IF($K$6031=0,0,N(INDEX(Clients!$S$2:$S$501,$K$6031)))</f>
        <v>0</v>
      </c>
      <c r="M6061" s="25" t="n">
        <f aca="false">IF(OR(K6061&lt;&gt;0,L6061&lt;&gt;0),1,0)</f>
        <v>0</v>
      </c>
      <c r="N6061" s="25" t="str">
        <f aca="false">IF(M6061=1,SUM($M$6058:M6061),"")</f>
        <v/>
      </c>
      <c r="O6061" s="25" t="n">
        <v>4</v>
      </c>
    </row>
    <row r="6062" customFormat="false" ht="18" hidden="false" customHeight="true" outlineLevel="0" collapsed="false">
      <c r="B6062" s="43" t="s">
        <v>158</v>
      </c>
      <c r="C6062" s="44" t="n">
        <f aca="false">SUM(K6058:K6061)</f>
        <v>0</v>
      </c>
      <c r="D6062" s="45" t="str">
        <f aca="false">IF(N(C6062)=0,"",E6062/C6062-1)</f>
        <v/>
      </c>
      <c r="E6062" s="44" t="n">
        <f aca="false">SUM(L6058:L6061)</f>
        <v>0</v>
      </c>
      <c r="F6062" s="44" t="n">
        <f aca="false">E6062-C6062</f>
        <v>0</v>
      </c>
    </row>
    <row r="6063" customFormat="false" ht="15" hidden="false" customHeight="false" outlineLevel="0" collapsed="false">
      <c r="B6063" s="46" t="str">
        <f aca="false">IF(N(Nb_Mensualites)=0,"","Soit "&amp;FIXED(E6062/Nb_Mensualites,2)&amp;" € HT par échéance ("&amp;Nb_Mensualites&amp;" échéances), "&amp;FIXED(E6062/Nb_Mensualites*(1+Taux_TVA),2)&amp;" € TTC.")</f>
        <v>Soit 0.00 € HT par échéance (12 échéances), 0.00 € TTC.</v>
      </c>
      <c r="C6063" s="46"/>
      <c r="D6063" s="46"/>
      <c r="E6063" s="46"/>
      <c r="F6063" s="46"/>
    </row>
    <row r="6064" customFormat="false" ht="7.5" hidden="false" customHeight="true" outlineLevel="0" collapsed="false">
      <c r="B6064" s="10"/>
      <c r="C6064" s="10"/>
      <c r="D6064" s="10"/>
      <c r="E6064" s="10"/>
      <c r="F6064" s="10"/>
    </row>
    <row r="6065" customFormat="false" ht="36.75" hidden="false" customHeight="true" outlineLevel="0" collapsed="false">
      <c r="B6065" s="37" t="str">
        <f aca="false">SUBSTITUTE(SUBSTITUTE(SUBSTITUTE(SUBSTITUTE(SUBSTITUTE(Txt_P5,"{cabinet}",Cab_Nom),"{societe}",IF($K$6031=0,"",INDEX(Clients!$E$2:$E$501,$K$6031)&amp;"")),"{date_effet}",$K$6033),"{hausse}",$K$6034),"{civilite}",$K$6032)</f>
        <v>Les autres conditions de votre lettre de mission demeurent inchangées. Les nouveaux montants seront appliqués automatiquement sur vos prochaines factures et échéances de prélèvement.</v>
      </c>
      <c r="C6065" s="37"/>
      <c r="D6065" s="37"/>
      <c r="E6065" s="37"/>
      <c r="F6065" s="37"/>
    </row>
    <row r="6066" customFormat="false" ht="36.75" hidden="false" customHeight="true" outlineLevel="0" collapsed="false">
      <c r="B6066" s="37" t="str">
        <f aca="false">SUBSTITUTE(SUBSTITUTE(SUBSTITUTE(SUBSTITUTE(SUBSTITUTE(Txt_P6,"{cabinet}",Cab_Nom),"{societe}",IF($K$6031=0,"",INDEX(Clients!$E$2:$E$501,$K$6031)&amp;"")),"{date_effet}",$K$6033),"{hausse}",$K$6034),"{civilite}",$K$6032)</f>
        <v>Votre interlocuteur habituel reste à votre entière disposition pour répondre à vos questions et faire le point sur l'évolution de vos besoins.</v>
      </c>
      <c r="C6066" s="37"/>
      <c r="D6066" s="37"/>
      <c r="E6066" s="37"/>
      <c r="F6066" s="37"/>
    </row>
    <row r="6067" customFormat="false" ht="24" hidden="false" customHeight="true" outlineLevel="0" collapsed="false">
      <c r="B6067" s="37" t="str">
        <f aca="false">SUBSTITUTE(SUBSTITUTE(SUBSTITUTE(SUBSTITUTE(SUBSTITUTE(Txt_Politesse,"{cabinet}",Cab_Nom),"{societe}",IF($K$6031=0,"",INDEX(Clients!$E$2:$E$501,$K$6031)&amp;"")),"{date_effet}",$K$6033),"{hausse}",$K$6034),"{civilite}",$K$6032)</f>
        <v>Nous vous prions d'agréer, Madame, Monsieur, l'expression de nos salutations distinguées.</v>
      </c>
      <c r="C6067" s="37"/>
      <c r="D6067" s="37"/>
      <c r="E6067" s="37"/>
      <c r="F6067" s="37"/>
    </row>
    <row r="6068" customFormat="false" ht="15" hidden="false" customHeight="false" outlineLevel="0" collapsed="false">
      <c r="B6068" s="10"/>
      <c r="C6068" s="10"/>
      <c r="D6068" s="10"/>
      <c r="E6068" s="10"/>
      <c r="F6068" s="10"/>
    </row>
    <row r="6069" customFormat="false" ht="15" hidden="false" customHeight="false" outlineLevel="0" collapsed="false">
      <c r="B6069" s="10"/>
      <c r="C6069" s="10"/>
      <c r="D6069" s="34" t="str">
        <f aca="false">Signataire</f>
        <v>Prénom NOM</v>
      </c>
      <c r="E6069" s="34"/>
      <c r="F6069" s="34"/>
    </row>
    <row r="6070" customFormat="false" ht="15" hidden="false" customHeight="false" outlineLevel="0" collapsed="false">
      <c r="B6070" s="10"/>
      <c r="C6070" s="10"/>
      <c r="D6070" s="47" t="str">
        <f aca="false">Signataire_Titre</f>
        <v>Expert-comptable associé</v>
      </c>
      <c r="E6070" s="47"/>
      <c r="F6070" s="47"/>
    </row>
    <row r="6071" customFormat="false" ht="15.75" hidden="false" customHeight="true" outlineLevel="0" collapsed="false">
      <c r="B6071" s="10"/>
      <c r="C6071" s="10"/>
      <c r="D6071" s="10"/>
      <c r="E6071" s="10"/>
      <c r="F6071" s="10"/>
    </row>
    <row r="6072" customFormat="false" ht="15.75" hidden="false" customHeight="true" outlineLevel="0" collapsed="false">
      <c r="B6072" s="10"/>
      <c r="C6072" s="10"/>
      <c r="D6072" s="10"/>
      <c r="E6072" s="10"/>
      <c r="F6072" s="10"/>
    </row>
    <row r="6073" customFormat="false" ht="15.75" hidden="false" customHeight="true" outlineLevel="0" collapsed="false">
      <c r="B6073" s="10"/>
      <c r="C6073" s="10"/>
      <c r="D6073" s="10"/>
      <c r="E6073" s="10"/>
      <c r="F6073" s="10"/>
    </row>
    <row r="6074" customFormat="false" ht="15.75" hidden="false" customHeight="true" outlineLevel="0" collapsed="false">
      <c r="B6074" s="10"/>
      <c r="C6074" s="10"/>
      <c r="D6074" s="10"/>
      <c r="E6074" s="10"/>
      <c r="F6074" s="10"/>
    </row>
    <row r="6075" customFormat="false" ht="24" hidden="false" customHeight="true" outlineLevel="0" collapsed="false">
      <c r="B6075" s="48" t="str">
        <f aca="false">Cab_Mentions</f>
        <v>ALTHO EXPERTISE · SAS au capital de 10 000 € · RCS Pontoise 919 706 325 · TVA FR62919706325 · Société d'expertise comptable inscrite au Tableau de l'Ordre des experts-comptables de Paris Île-de-France</v>
      </c>
      <c r="C6075" s="48"/>
      <c r="D6075" s="48"/>
      <c r="E6075" s="48"/>
      <c r="F6075" s="48"/>
    </row>
    <row r="6076" customFormat="false" ht="15" hidden="false" customHeight="false" outlineLevel="0" collapsed="false">
      <c r="B6076" s="10"/>
      <c r="C6076" s="10"/>
      <c r="D6076" s="10"/>
      <c r="E6076" s="10"/>
      <c r="F6076" s="10"/>
      <c r="J6076" s="25" t="s">
        <v>142</v>
      </c>
      <c r="K6076" s="25" t="n">
        <f aca="false">IFERROR(MATCH(136,Clients!$Z$2:$Z$501,0),0)</f>
        <v>0</v>
      </c>
      <c r="L6076" s="25"/>
      <c r="M6076" s="25"/>
      <c r="N6076" s="25"/>
      <c r="O6076" s="25"/>
    </row>
    <row r="6077" customFormat="false" ht="21.75" hidden="false" customHeight="true" outlineLevel="0" collapsed="false">
      <c r="B6077" s="26" t="str">
        <f aca="false">Cab_Nom</f>
        <v>ALTHO EXPERTISE</v>
      </c>
      <c r="C6077" s="26"/>
      <c r="D6077" s="10"/>
      <c r="E6077" s="27" t="str">
        <f aca="false">IF($K$6076=0,"","Réf. client : "&amp;INDEX(Clients!$A$2:$A$501,$K$6076))</f>
        <v/>
      </c>
      <c r="F6077" s="27"/>
      <c r="J6077" s="25" t="s">
        <v>144</v>
      </c>
      <c r="K6077" s="25" t="str">
        <f aca="false">IF(IF($K$6076=0,"",INDEX(Clients!$B$2:$B$501,$K$6076)&amp;"")="Mme","Madame",IF(IF($K$6076=0,"",INDEX(Clients!$B$2:$B$501,$K$6076)&amp;"")="M.","Monsieur","Madame, Monsieur"))</f>
        <v>Madame, Monsieur</v>
      </c>
      <c r="L6077" s="25"/>
      <c r="M6077" s="25"/>
      <c r="N6077" s="25"/>
      <c r="O6077" s="25"/>
    </row>
    <row r="6078" customFormat="false" ht="15" hidden="false" customHeight="false" outlineLevel="0" collapsed="false">
      <c r="B6078" s="29" t="str">
        <f aca="false">Cab_Adr1</f>
        <v>141 rue Charles de Gaulle</v>
      </c>
      <c r="C6078" s="29"/>
      <c r="D6078" s="10"/>
      <c r="E6078" s="10"/>
      <c r="F6078" s="10"/>
      <c r="J6078" s="25" t="s">
        <v>145</v>
      </c>
      <c r="K6078" s="25" t="str">
        <f aca="false">DAY(Date_Effet)&amp;IF(DAY(Date_Effet)=1,"er","")&amp;" "&amp;INDEX(Liste_Mois,MONTH(Date_Effet))&amp;" "&amp;YEAR(Date_Effet)</f>
        <v>1er janvier 2027</v>
      </c>
      <c r="L6078" s="25"/>
      <c r="M6078" s="25"/>
      <c r="N6078" s="25"/>
      <c r="O6078" s="25"/>
    </row>
    <row r="6079" customFormat="false" ht="15" hidden="false" customHeight="false" outlineLevel="0" collapsed="false">
      <c r="B6079" s="29" t="str">
        <f aca="false">Cab_CPVille</f>
        <v>95130 LE PLESSIS-BOUCHARD</v>
      </c>
      <c r="C6079" s="29"/>
      <c r="D6079" s="10"/>
      <c r="E6079" s="10"/>
      <c r="F6079" s="10"/>
      <c r="J6079" s="25" t="s">
        <v>146</v>
      </c>
      <c r="K6079" s="25" t="str">
        <f aca="false">IF(SUM($K$6103:$K$6106)=0,"",FIXED((SUM($L$6103:$L$6106)/SUM($K$6103:$K$6106)-1)*100,1)&amp;" %")</f>
        <v/>
      </c>
      <c r="L6079" s="25"/>
      <c r="M6079" s="25"/>
      <c r="N6079" s="25"/>
      <c r="O6079" s="25"/>
    </row>
    <row r="6080" customFormat="false" ht="15" hidden="false" customHeight="false" outlineLevel="0" collapsed="false">
      <c r="B6080" s="29" t="str">
        <f aca="false">Cab_Contact</f>
        <v>Tél. 01 34 14 53 45  ·  altho@altho-experts.com  ·  altho-experts.com</v>
      </c>
      <c r="C6080" s="29"/>
      <c r="D6080" s="10"/>
      <c r="E6080" s="10"/>
      <c r="F6080" s="10"/>
      <c r="J6080" s="25"/>
      <c r="K6080" s="25"/>
      <c r="L6080" s="25"/>
      <c r="M6080" s="25"/>
      <c r="N6080" s="25"/>
      <c r="O6080" s="25"/>
    </row>
    <row r="6081" customFormat="false" ht="6" hidden="false" customHeight="true" outlineLevel="0" collapsed="false">
      <c r="B6081" s="32"/>
      <c r="C6081" s="32"/>
      <c r="D6081" s="32"/>
      <c r="E6081" s="32"/>
      <c r="F6081" s="32"/>
      <c r="J6081" s="25"/>
      <c r="K6081" s="25"/>
      <c r="L6081" s="25"/>
      <c r="M6081" s="25"/>
      <c r="N6081" s="25"/>
      <c r="O6081" s="25"/>
    </row>
    <row r="6082" customFormat="false" ht="13.5" hidden="false" customHeight="true" outlineLevel="0" collapsed="false">
      <c r="B6082" s="10"/>
      <c r="C6082" s="10"/>
      <c r="D6082" s="10"/>
      <c r="E6082" s="10"/>
      <c r="F6082" s="10"/>
      <c r="J6082" s="25"/>
      <c r="K6082" s="25"/>
      <c r="L6082" s="25"/>
      <c r="M6082" s="25"/>
      <c r="N6082" s="25"/>
      <c r="O6082" s="25"/>
    </row>
    <row r="6083" customFormat="false" ht="13.5" hidden="false" customHeight="true" outlineLevel="0" collapsed="false">
      <c r="B6083" s="10"/>
      <c r="C6083" s="10"/>
      <c r="D6083" s="10"/>
      <c r="E6083" s="10"/>
      <c r="F6083" s="10"/>
      <c r="J6083" s="25"/>
      <c r="K6083" s="25"/>
      <c r="L6083" s="25"/>
      <c r="M6083" s="25"/>
      <c r="N6083" s="25"/>
      <c r="O6083" s="25"/>
    </row>
    <row r="6084" customFormat="false" ht="13.5" hidden="false" customHeight="true" outlineLevel="0" collapsed="false">
      <c r="B6084" s="10"/>
      <c r="C6084" s="10"/>
      <c r="D6084" s="10"/>
      <c r="E6084" s="10"/>
      <c r="F6084" s="10"/>
      <c r="J6084" s="25"/>
      <c r="K6084" s="25"/>
      <c r="L6084" s="25"/>
      <c r="M6084" s="25"/>
      <c r="N6084" s="25"/>
      <c r="O6084" s="25"/>
    </row>
    <row r="6085" customFormat="false" ht="15" hidden="false" customHeight="true" outlineLevel="0" collapsed="false">
      <c r="B6085" s="10"/>
      <c r="C6085" s="10"/>
      <c r="D6085" s="34" t="str">
        <f aca="false">IF($K$6076=0,"",INDEX(Clients!$E$2:$E$501,$K$6076)&amp;"")</f>
        <v/>
      </c>
      <c r="E6085" s="34"/>
      <c r="F6085" s="34"/>
      <c r="J6085" s="25"/>
      <c r="K6085" s="25"/>
      <c r="L6085" s="25"/>
      <c r="M6085" s="25"/>
      <c r="N6085" s="25"/>
      <c r="O6085" s="25"/>
    </row>
    <row r="6086" customFormat="false" ht="15" hidden="false" customHeight="true" outlineLevel="0" collapsed="false">
      <c r="B6086" s="10"/>
      <c r="C6086" s="10"/>
      <c r="D6086" s="35" t="str">
        <f aca="false">IF(IF($K$6076=0,"",INDEX(Clients!$D$2:$D$501,$K$6076)&amp;"")="","","À l'attention de "&amp;TRIM(IF($K$6076=0,"",INDEX(Clients!$B$2:$B$501,$K$6076)&amp;"")&amp;" "&amp;IF($K$6076=0,"",INDEX(Clients!$C$2:$C$501,$K$6076)&amp;"")&amp;" "&amp;IF($K$6076=0,"",INDEX(Clients!$D$2:$D$501,$K$6076)&amp;"")))</f>
        <v/>
      </c>
      <c r="E6086" s="35"/>
      <c r="F6086" s="35"/>
      <c r="J6086" s="25"/>
      <c r="K6086" s="25"/>
      <c r="L6086" s="25"/>
      <c r="M6086" s="25"/>
      <c r="N6086" s="25"/>
      <c r="O6086" s="25"/>
    </row>
    <row r="6087" customFormat="false" ht="15" hidden="false" customHeight="true" outlineLevel="0" collapsed="false">
      <c r="B6087" s="10"/>
      <c r="C6087" s="10"/>
      <c r="D6087" s="35" t="str">
        <f aca="false">IF($K$6076=0,"",INDEX(Clients!$F$2:$F$501,$K$6076)&amp;"")</f>
        <v/>
      </c>
      <c r="E6087" s="35"/>
      <c r="F6087" s="35"/>
      <c r="J6087" s="25"/>
      <c r="K6087" s="25"/>
      <c r="L6087" s="25"/>
      <c r="M6087" s="25"/>
      <c r="N6087" s="25"/>
      <c r="O6087" s="25"/>
    </row>
    <row r="6088" customFormat="false" ht="15" hidden="false" customHeight="true" outlineLevel="0" collapsed="false">
      <c r="B6088" s="10"/>
      <c r="C6088" s="10"/>
      <c r="D6088" s="35" t="str">
        <f aca="false">IF(IF($K$6076=0,"",INDEX(Clients!$G$2:$G$501,$K$6076)&amp;"")="",TRIM(IF($K$6076=0,"",INDEX(Clients!$H$2:$H$501,$K$6076)&amp;"")&amp;" "&amp;UPPER(IF($K$6076=0,"",INDEX(Clients!$I$2:$I$501,$K$6076)&amp;""))),IF($K$6076=0,"",INDEX(Clients!$G$2:$G$501,$K$6076)&amp;""))</f>
        <v/>
      </c>
      <c r="E6088" s="35"/>
      <c r="F6088" s="35"/>
      <c r="J6088" s="25"/>
      <c r="K6088" s="25"/>
      <c r="L6088" s="25"/>
      <c r="M6088" s="25"/>
      <c r="N6088" s="25"/>
      <c r="O6088" s="25"/>
    </row>
    <row r="6089" customFormat="false" ht="15" hidden="false" customHeight="true" outlineLevel="0" collapsed="false">
      <c r="B6089" s="10"/>
      <c r="C6089" s="10"/>
      <c r="D6089" s="35" t="str">
        <f aca="false">IF(IF($K$6076=0,"",INDEX(Clients!$G$2:$G$501,$K$6076)&amp;"")="","",TRIM(IF($K$6076=0,"",INDEX(Clients!$H$2:$H$501,$K$6076)&amp;"")&amp;" "&amp;UPPER(IF($K$6076=0,"",INDEX(Clients!$I$2:$I$501,$K$6076)&amp;""))))</f>
        <v/>
      </c>
      <c r="E6089" s="35"/>
      <c r="F6089" s="35"/>
      <c r="J6089" s="25"/>
      <c r="K6089" s="25"/>
      <c r="L6089" s="25"/>
      <c r="M6089" s="25"/>
      <c r="N6089" s="25"/>
      <c r="O6089" s="25"/>
    </row>
    <row r="6090" customFormat="false" ht="25.5" hidden="false" customHeight="true" outlineLevel="0" collapsed="false">
      <c r="B6090" s="10"/>
      <c r="C6090" s="10"/>
      <c r="D6090" s="10"/>
      <c r="E6090" s="10"/>
      <c r="F6090" s="10"/>
      <c r="J6090" s="25"/>
      <c r="K6090" s="25"/>
      <c r="L6090" s="25"/>
      <c r="M6090" s="25"/>
      <c r="N6090" s="25"/>
      <c r="O6090" s="25"/>
    </row>
    <row r="6091" customFormat="false" ht="15" hidden="false" customHeight="false" outlineLevel="0" collapsed="false">
      <c r="B6091" s="10"/>
      <c r="C6091" s="10"/>
      <c r="D6091" s="36" t="str">
        <f aca="false">Cab_Ville&amp;", le "&amp;DAY(Date_Courrier)&amp;IF(DAY(Date_Courrier)=1,"er","")&amp;" "&amp;INDEX(Liste_Mois,MONTH(Date_Courrier))&amp;" "&amp;YEAR(Date_Courrier)</f>
        <v>Le Plessis-Bouchard, le 22 septembre 2026</v>
      </c>
      <c r="E6091" s="36"/>
      <c r="F6091" s="36"/>
      <c r="J6091" s="25"/>
      <c r="K6091" s="25"/>
      <c r="L6091" s="25"/>
      <c r="M6091" s="25"/>
      <c r="N6091" s="25"/>
      <c r="O6091" s="25"/>
    </row>
    <row r="6092" customFormat="false" ht="19.5" hidden="false" customHeight="true" outlineLevel="0" collapsed="false">
      <c r="B6092" s="10"/>
      <c r="C6092" s="10"/>
      <c r="D6092" s="10"/>
      <c r="E6092" s="10"/>
      <c r="F6092" s="10"/>
      <c r="J6092" s="25"/>
      <c r="K6092" s="25"/>
      <c r="L6092" s="25"/>
      <c r="M6092" s="25"/>
      <c r="N6092" s="25"/>
      <c r="O6092" s="25"/>
    </row>
    <row r="6093" customFormat="false" ht="15" hidden="false" customHeight="false" outlineLevel="0" collapsed="false">
      <c r="B6093" s="34" t="str">
        <f aca="false">SUBSTITUTE(SUBSTITUTE(SUBSTITUTE(SUBSTITUTE(SUBSTITUTE(Txt_Objet,"{cabinet}",Cab_Nom),"{societe}",IF($K$6076=0,"",INDEX(Clients!$E$2:$E$501,$K$6076)&amp;"")),"{date_effet}",$K$6078),"{hausse}",$K$6079),"{civilite}",$K$6077)</f>
        <v>Objet : révision de nos honoraires au 1er janvier 2027</v>
      </c>
      <c r="C6093" s="34"/>
      <c r="D6093" s="34"/>
      <c r="E6093" s="34"/>
      <c r="F6093" s="34"/>
      <c r="J6093" s="25"/>
      <c r="K6093" s="25"/>
      <c r="L6093" s="25"/>
      <c r="M6093" s="25"/>
      <c r="N6093" s="25"/>
      <c r="O6093" s="25"/>
    </row>
    <row r="6094" customFormat="false" ht="13.5" hidden="false" customHeight="true" outlineLevel="0" collapsed="false">
      <c r="B6094" s="10"/>
      <c r="C6094" s="10"/>
      <c r="D6094" s="10"/>
      <c r="E6094" s="10"/>
      <c r="F6094" s="10"/>
      <c r="J6094" s="25"/>
      <c r="K6094" s="25"/>
      <c r="L6094" s="25"/>
      <c r="M6094" s="25"/>
      <c r="N6094" s="25"/>
      <c r="O6094" s="25"/>
    </row>
    <row r="6095" customFormat="false" ht="15" hidden="false" customHeight="false" outlineLevel="0" collapsed="false">
      <c r="B6095" s="10" t="str">
        <f aca="false">$K$6077&amp;","</f>
        <v>Madame, Monsieur,</v>
      </c>
      <c r="C6095" s="10"/>
      <c r="D6095" s="10"/>
      <c r="E6095" s="10"/>
      <c r="F6095" s="10"/>
      <c r="J6095" s="25"/>
      <c r="K6095" s="25"/>
      <c r="L6095" s="25"/>
      <c r="M6095" s="25"/>
      <c r="N6095" s="25"/>
      <c r="O6095" s="25"/>
    </row>
    <row r="6096" customFormat="false" ht="6" hidden="false" customHeight="true" outlineLevel="0" collapsed="false">
      <c r="B6096" s="10"/>
      <c r="C6096" s="10"/>
      <c r="D6096" s="10"/>
      <c r="E6096" s="10"/>
      <c r="F6096" s="10"/>
      <c r="J6096" s="25"/>
      <c r="K6096" s="25"/>
      <c r="L6096" s="25"/>
      <c r="M6096" s="25"/>
      <c r="N6096" s="25"/>
      <c r="O6096" s="25"/>
    </row>
    <row r="6097" customFormat="false" ht="36.75" hidden="false" customHeight="true" outlineLevel="0" collapsed="false">
      <c r="B6097" s="37" t="str">
        <f aca="false">SUBSTITUTE(SUBSTITUTE(SUBSTITUTE(SUBSTITUTE(SUBSTITUTE(Txt_P1,"{cabinet}",Cab_Nom),"{societe}",IF($K$6076=0,"",INDEX(Clients!$E$2:$E$501,$K$6076)&amp;"")),"{date_effet}",$K$6078),"{hausse}",$K$6079),"{civilite}",$K$6077)</f>
        <v>Nous tenons tout d'abord à vous remercier pour la confiance que vous accordez à ALTHO EXPERTISE. Comme chaque année, et conformément aux dispositions de votre lettre de mission, nous procédons à la révision de nos honoraires.</v>
      </c>
      <c r="C6097" s="37"/>
      <c r="D6097" s="37"/>
      <c r="E6097" s="37"/>
      <c r="F6097" s="37"/>
      <c r="J6097" s="25"/>
      <c r="K6097" s="25"/>
      <c r="L6097" s="25"/>
      <c r="M6097" s="25"/>
      <c r="N6097" s="25"/>
      <c r="O6097" s="25"/>
    </row>
    <row r="6098" customFormat="false" ht="49.5" hidden="false" customHeight="true" outlineLevel="0" collapsed="false">
      <c r="B6098" s="37" t="str">
        <f aca="false">SUBSTITUTE(SUBSTITUTE(SUBSTITUTE(SUBSTITUTE(SUBSTITUTE(Txt_P2,"{cabinet}",Cab_Nom),"{societe}",IF($K$6076=0,"",INDEX(Clients!$E$2:$E$501,$K$6076)&amp;"")),"{date_effet}",$K$6078),"{hausse}",$K$6079),"{civilite}",$K$6077)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098" s="37"/>
      <c r="D6098" s="37"/>
      <c r="E6098" s="37"/>
      <c r="F6098" s="37"/>
      <c r="J6098" s="25"/>
      <c r="K6098" s="25"/>
      <c r="L6098" s="25"/>
      <c r="M6098" s="25"/>
      <c r="N6098" s="25"/>
      <c r="O6098" s="25"/>
    </row>
    <row r="6099" customFormat="false" ht="63" hidden="false" customHeight="true" outlineLevel="0" collapsed="false">
      <c r="B6099" s="37" t="str">
        <f aca="false">SUBSTITUTE(SUBSTITUTE(SUBSTITUTE(SUBSTITUTE(SUBSTITUTE(Txt_P3,"{cabinet}",Cab_Nom),"{societe}",IF($K$6076=0,"",INDEX(Clients!$E$2:$E$501,$K$6076)&amp;"")),"{date_effet}",$K$6078),"{hausse}",$K$6079),"{civilite}",$K$6077)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099" s="37"/>
      <c r="D6099" s="37"/>
      <c r="E6099" s="37"/>
      <c r="F6099" s="37"/>
      <c r="J6099" s="25"/>
      <c r="K6099" s="25"/>
      <c r="L6099" s="25"/>
      <c r="M6099" s="25"/>
      <c r="N6099" s="25"/>
      <c r="O6099" s="25"/>
    </row>
    <row r="6100" customFormat="false" ht="24" hidden="false" customHeight="true" outlineLevel="0" collapsed="false">
      <c r="B6100" s="37" t="str">
        <f aca="false">SUBSTITUTE(SUBSTITUTE(SUBSTITUTE(SUBSTITUTE(SUBSTITUTE(Txt_P4,"{cabinet}",Cab_Nom),"{societe}",IF($K$6076=0,"",INDEX(Clients!$E$2:$E$501,$K$6076)&amp;"")),"{date_effet}",$K$6078),"{hausse}",$K$6079),"{civilite}",$K$6077)</f>
        <v>À compter du 1er janvier 2027, vos honoraires annuels hors taxes évolueront ainsi (évolution globale : ) :</v>
      </c>
      <c r="C6100" s="37"/>
      <c r="D6100" s="37"/>
      <c r="E6100" s="37"/>
      <c r="F6100" s="37"/>
      <c r="J6100" s="25"/>
      <c r="K6100" s="25"/>
      <c r="L6100" s="25"/>
      <c r="M6100" s="25"/>
      <c r="N6100" s="25"/>
      <c r="O6100" s="25"/>
    </row>
    <row r="6101" customFormat="false" ht="3.75" hidden="false" customHeight="true" outlineLevel="0" collapsed="false">
      <c r="B6101" s="10"/>
      <c r="C6101" s="10"/>
      <c r="D6101" s="10"/>
      <c r="E6101" s="10"/>
      <c r="F6101" s="10"/>
      <c r="J6101" s="25"/>
      <c r="K6101" s="25"/>
      <c r="L6101" s="25"/>
      <c r="M6101" s="25"/>
      <c r="N6101" s="25"/>
      <c r="O6101" s="25"/>
    </row>
    <row r="6102" customFormat="false" ht="18" hidden="false" customHeight="true" outlineLevel="0" collapsed="false">
      <c r="B6102" s="38" t="s">
        <v>148</v>
      </c>
      <c r="C6102" s="39" t="s">
        <v>149</v>
      </c>
      <c r="D6102" s="39" t="s">
        <v>150</v>
      </c>
      <c r="E6102" s="39" t="s">
        <v>151</v>
      </c>
      <c r="F6102" s="39" t="s">
        <v>109</v>
      </c>
      <c r="J6102" s="25" t="s">
        <v>152</v>
      </c>
      <c r="K6102" s="25" t="s">
        <v>153</v>
      </c>
      <c r="L6102" s="25" t="s">
        <v>154</v>
      </c>
      <c r="M6102" s="25" t="s">
        <v>155</v>
      </c>
      <c r="N6102" s="25" t="s">
        <v>156</v>
      </c>
      <c r="O6102" s="25" t="s">
        <v>157</v>
      </c>
    </row>
    <row r="6103" customFormat="false" ht="16.5" hidden="false" customHeight="true" outlineLevel="0" collapsed="false">
      <c r="B6103" s="40" t="str">
        <f aca="false">IFERROR(INDEX($J$6103:$J$6106,MATCH($O6103,$N$6103:$N$6106,0)),"")</f>
        <v/>
      </c>
      <c r="C6103" s="41" t="str">
        <f aca="false">IFERROR(INDEX($K$6103:$K$6106,MATCH($O6103,$N$6103:$N$6106,0)),"")</f>
        <v/>
      </c>
      <c r="D6103" s="42" t="str">
        <f aca="false">IF(OR(E6103="",N(C6103)=0),"",E6103/C6103-1)</f>
        <v/>
      </c>
      <c r="E6103" s="41" t="str">
        <f aca="false">IFERROR(INDEX($L$6103:$L$6106,MATCH($O6103,$N$6103:$N$6106,0)),"")</f>
        <v/>
      </c>
      <c r="F6103" s="41" t="str">
        <f aca="false">IF(E6103="","",E6103-C6103)</f>
        <v/>
      </c>
      <c r="J6103" s="25" t="str">
        <f aca="false">Lib_Compta</f>
        <v>Mission comptable (tenue, révision, bilan, liasse fiscale)</v>
      </c>
      <c r="K6103" s="25" t="n">
        <f aca="false">IF($K$6076=0,0,N(INDEX(Clients!$K$2:$K$501,$K$6076)))</f>
        <v>0</v>
      </c>
      <c r="L6103" s="25" t="n">
        <f aca="false">IF($K$6076=0,0,N(INDEX(Clients!$P$2:$P$501,$K$6076)))</f>
        <v>0</v>
      </c>
      <c r="M6103" s="25" t="n">
        <f aca="false">IF(OR(K6103&lt;&gt;0,L6103&lt;&gt;0),1,0)</f>
        <v>0</v>
      </c>
      <c r="N6103" s="25" t="str">
        <f aca="false">IF(M6103=1,SUM($M$6103:M6103),"")</f>
        <v/>
      </c>
      <c r="O6103" s="25" t="n">
        <v>1</v>
      </c>
    </row>
    <row r="6104" customFormat="false" ht="16.5" hidden="false" customHeight="true" outlineLevel="0" collapsed="false">
      <c r="B6104" s="40" t="str">
        <f aca="false">IFERROR(INDEX($J$6103:$J$6106,MATCH($O6104,$N$6103:$N$6106,0)),"")</f>
        <v/>
      </c>
      <c r="C6104" s="41" t="str">
        <f aca="false">IFERROR(INDEX($K$6103:$K$6106,MATCH($O6104,$N$6103:$N$6106,0)),"")</f>
        <v/>
      </c>
      <c r="D6104" s="42" t="str">
        <f aca="false">IF(OR(E6104="",N(C6104)=0),"",E6104/C6104-1)</f>
        <v/>
      </c>
      <c r="E6104" s="41" t="str">
        <f aca="false">IFERROR(INDEX($L$6103:$L$6106,MATCH($O6104,$N$6103:$N$6106,0)),"")</f>
        <v/>
      </c>
      <c r="F6104" s="41" t="str">
        <f aca="false">IF(E6104="","",E6104-C6104)</f>
        <v/>
      </c>
      <c r="J6104" s="25" t="str">
        <f aca="false">Lib_Paye</f>
        <v>Mission sociale (bulletins de paie, DSN, déclarations sociales)</v>
      </c>
      <c r="K6104" s="25" t="n">
        <f aca="false">IF($K$6076=0,0,N(INDEX(Clients!$L$2:$L$501,$K$6076)))</f>
        <v>0</v>
      </c>
      <c r="L6104" s="25" t="n">
        <f aca="false">IF($K$6076=0,0,N(INDEX(Clients!$Q$2:$Q$501,$K$6076)))</f>
        <v>0</v>
      </c>
      <c r="M6104" s="25" t="n">
        <f aca="false">IF(OR(K6104&lt;&gt;0,L6104&lt;&gt;0),1,0)</f>
        <v>0</v>
      </c>
      <c r="N6104" s="25" t="str">
        <f aca="false">IF(M6104=1,SUM($M$6103:M6104),"")</f>
        <v/>
      </c>
      <c r="O6104" s="25" t="n">
        <v>2</v>
      </c>
    </row>
    <row r="6105" customFormat="false" ht="16.5" hidden="false" customHeight="true" outlineLevel="0" collapsed="false">
      <c r="B6105" s="40" t="str">
        <f aca="false">IFERROR(INDEX($J$6103:$J$6106,MATCH($O6105,$N$6103:$N$6106,0)),"")</f>
        <v/>
      </c>
      <c r="C6105" s="41" t="str">
        <f aca="false">IFERROR(INDEX($K$6103:$K$6106,MATCH($O6105,$N$6103:$N$6106,0)),"")</f>
        <v/>
      </c>
      <c r="D6105" s="42" t="str">
        <f aca="false">IF(OR(E6105="",N(C6105)=0),"",E6105/C6105-1)</f>
        <v/>
      </c>
      <c r="E6105" s="41" t="str">
        <f aca="false">IFERROR(INDEX($L$6103:$L$6106,MATCH($O6105,$N$6103:$N$6106,0)),"")</f>
        <v/>
      </c>
      <c r="F6105" s="41" t="str">
        <f aca="false">IF(E6105="","",E6105-C6105)</f>
        <v/>
      </c>
      <c r="J6105" s="25" t="str">
        <f aca="false">Lib_Jur</f>
        <v>Mission juridique (approbation des comptes, secrétariat juridique)</v>
      </c>
      <c r="K6105" s="25" t="n">
        <f aca="false">IF($K$6076=0,0,N(INDEX(Clients!$M$2:$M$501,$K$6076)))</f>
        <v>0</v>
      </c>
      <c r="L6105" s="25" t="n">
        <f aca="false">IF($K$6076=0,0,N(INDEX(Clients!$R$2:$R$501,$K$6076)))</f>
        <v>0</v>
      </c>
      <c r="M6105" s="25" t="n">
        <f aca="false">IF(OR(K6105&lt;&gt;0,L6105&lt;&gt;0),1,0)</f>
        <v>0</v>
      </c>
      <c r="N6105" s="25" t="str">
        <f aca="false">IF(M6105=1,SUM($M$6103:M6105),"")</f>
        <v/>
      </c>
      <c r="O6105" s="25" t="n">
        <v>3</v>
      </c>
    </row>
    <row r="6106" customFormat="false" ht="16.5" hidden="false" customHeight="true" outlineLevel="0" collapsed="false">
      <c r="B6106" s="40" t="str">
        <f aca="false">IFERROR(INDEX($J$6103:$J$6106,MATCH($O6106,$N$6103:$N$6106,0)),"")</f>
        <v/>
      </c>
      <c r="C6106" s="41" t="str">
        <f aca="false">IFERROR(INDEX($K$6103:$K$6106,MATCH($O6106,$N$6103:$N$6106,0)),"")</f>
        <v/>
      </c>
      <c r="D6106" s="42" t="str">
        <f aca="false">IF(OR(E6106="",N(C6106)=0),"",E6106/C6106-1)</f>
        <v/>
      </c>
      <c r="E6106" s="41" t="str">
        <f aca="false">IFERROR(INDEX($L$6103:$L$6106,MATCH($O6106,$N$6103:$N$6106,0)),"")</f>
        <v/>
      </c>
      <c r="F6106" s="41" t="str">
        <f aca="false">IF(E6106="","",E6106-C6106)</f>
        <v/>
      </c>
      <c r="J6106" s="25" t="str">
        <f aca="false">Lib_PA</f>
        <v>Plateforme agréée – facturation électronique</v>
      </c>
      <c r="K6106" s="25" t="n">
        <f aca="false">IF($K$6076=0,0,N(INDEX(Clients!$N$2:$N$501,$K$6076)))</f>
        <v>0</v>
      </c>
      <c r="L6106" s="25" t="n">
        <f aca="false">IF($K$6076=0,0,N(INDEX(Clients!$S$2:$S$501,$K$6076)))</f>
        <v>0</v>
      </c>
      <c r="M6106" s="25" t="n">
        <f aca="false">IF(OR(K6106&lt;&gt;0,L6106&lt;&gt;0),1,0)</f>
        <v>0</v>
      </c>
      <c r="N6106" s="25" t="str">
        <f aca="false">IF(M6106=1,SUM($M$6103:M6106),"")</f>
        <v/>
      </c>
      <c r="O6106" s="25" t="n">
        <v>4</v>
      </c>
    </row>
    <row r="6107" customFormat="false" ht="18" hidden="false" customHeight="true" outlineLevel="0" collapsed="false">
      <c r="B6107" s="43" t="s">
        <v>158</v>
      </c>
      <c r="C6107" s="44" t="n">
        <f aca="false">SUM(K6103:K6106)</f>
        <v>0</v>
      </c>
      <c r="D6107" s="45" t="str">
        <f aca="false">IF(N(C6107)=0,"",E6107/C6107-1)</f>
        <v/>
      </c>
      <c r="E6107" s="44" t="n">
        <f aca="false">SUM(L6103:L6106)</f>
        <v>0</v>
      </c>
      <c r="F6107" s="44" t="n">
        <f aca="false">E6107-C6107</f>
        <v>0</v>
      </c>
    </row>
    <row r="6108" customFormat="false" ht="15" hidden="false" customHeight="false" outlineLevel="0" collapsed="false">
      <c r="B6108" s="46" t="str">
        <f aca="false">IF(N(Nb_Mensualites)=0,"","Soit "&amp;FIXED(E6107/Nb_Mensualites,2)&amp;" € HT par échéance ("&amp;Nb_Mensualites&amp;" échéances), "&amp;FIXED(E6107/Nb_Mensualites*(1+Taux_TVA),2)&amp;" € TTC.")</f>
        <v>Soit 0.00 € HT par échéance (12 échéances), 0.00 € TTC.</v>
      </c>
      <c r="C6108" s="46"/>
      <c r="D6108" s="46"/>
      <c r="E6108" s="46"/>
      <c r="F6108" s="46"/>
    </row>
    <row r="6109" customFormat="false" ht="7.5" hidden="false" customHeight="true" outlineLevel="0" collapsed="false">
      <c r="B6109" s="10"/>
      <c r="C6109" s="10"/>
      <c r="D6109" s="10"/>
      <c r="E6109" s="10"/>
      <c r="F6109" s="10"/>
    </row>
    <row r="6110" customFormat="false" ht="36.75" hidden="false" customHeight="true" outlineLevel="0" collapsed="false">
      <c r="B6110" s="37" t="str">
        <f aca="false">SUBSTITUTE(SUBSTITUTE(SUBSTITUTE(SUBSTITUTE(SUBSTITUTE(Txt_P5,"{cabinet}",Cab_Nom),"{societe}",IF($K$6076=0,"",INDEX(Clients!$E$2:$E$501,$K$6076)&amp;"")),"{date_effet}",$K$6078),"{hausse}",$K$6079),"{civilite}",$K$6077)</f>
        <v>Les autres conditions de votre lettre de mission demeurent inchangées. Les nouveaux montants seront appliqués automatiquement sur vos prochaines factures et échéances de prélèvement.</v>
      </c>
      <c r="C6110" s="37"/>
      <c r="D6110" s="37"/>
      <c r="E6110" s="37"/>
      <c r="F6110" s="37"/>
    </row>
    <row r="6111" customFormat="false" ht="36.75" hidden="false" customHeight="true" outlineLevel="0" collapsed="false">
      <c r="B6111" s="37" t="str">
        <f aca="false">SUBSTITUTE(SUBSTITUTE(SUBSTITUTE(SUBSTITUTE(SUBSTITUTE(Txt_P6,"{cabinet}",Cab_Nom),"{societe}",IF($K$6076=0,"",INDEX(Clients!$E$2:$E$501,$K$6076)&amp;"")),"{date_effet}",$K$6078),"{hausse}",$K$6079),"{civilite}",$K$6077)</f>
        <v>Votre interlocuteur habituel reste à votre entière disposition pour répondre à vos questions et faire le point sur l'évolution de vos besoins.</v>
      </c>
      <c r="C6111" s="37"/>
      <c r="D6111" s="37"/>
      <c r="E6111" s="37"/>
      <c r="F6111" s="37"/>
    </row>
    <row r="6112" customFormat="false" ht="24" hidden="false" customHeight="true" outlineLevel="0" collapsed="false">
      <c r="B6112" s="37" t="str">
        <f aca="false">SUBSTITUTE(SUBSTITUTE(SUBSTITUTE(SUBSTITUTE(SUBSTITUTE(Txt_Politesse,"{cabinet}",Cab_Nom),"{societe}",IF($K$6076=0,"",INDEX(Clients!$E$2:$E$501,$K$6076)&amp;"")),"{date_effet}",$K$6078),"{hausse}",$K$6079),"{civilite}",$K$6077)</f>
        <v>Nous vous prions d'agréer, Madame, Monsieur, l'expression de nos salutations distinguées.</v>
      </c>
      <c r="C6112" s="37"/>
      <c r="D6112" s="37"/>
      <c r="E6112" s="37"/>
      <c r="F6112" s="37"/>
    </row>
    <row r="6113" customFormat="false" ht="15" hidden="false" customHeight="false" outlineLevel="0" collapsed="false">
      <c r="B6113" s="10"/>
      <c r="C6113" s="10"/>
      <c r="D6113" s="10"/>
      <c r="E6113" s="10"/>
      <c r="F6113" s="10"/>
    </row>
    <row r="6114" customFormat="false" ht="15" hidden="false" customHeight="false" outlineLevel="0" collapsed="false">
      <c r="B6114" s="10"/>
      <c r="C6114" s="10"/>
      <c r="D6114" s="34" t="str">
        <f aca="false">Signataire</f>
        <v>Prénom NOM</v>
      </c>
      <c r="E6114" s="34"/>
      <c r="F6114" s="34"/>
    </row>
    <row r="6115" customFormat="false" ht="15" hidden="false" customHeight="false" outlineLevel="0" collapsed="false">
      <c r="B6115" s="10"/>
      <c r="C6115" s="10"/>
      <c r="D6115" s="47" t="str">
        <f aca="false">Signataire_Titre</f>
        <v>Expert-comptable associé</v>
      </c>
      <c r="E6115" s="47"/>
      <c r="F6115" s="47"/>
    </row>
    <row r="6116" customFormat="false" ht="15.75" hidden="false" customHeight="true" outlineLevel="0" collapsed="false">
      <c r="B6116" s="10"/>
      <c r="C6116" s="10"/>
      <c r="D6116" s="10"/>
      <c r="E6116" s="10"/>
      <c r="F6116" s="10"/>
    </row>
    <row r="6117" customFormat="false" ht="15.75" hidden="false" customHeight="true" outlineLevel="0" collapsed="false">
      <c r="B6117" s="10"/>
      <c r="C6117" s="10"/>
      <c r="D6117" s="10"/>
      <c r="E6117" s="10"/>
      <c r="F6117" s="10"/>
    </row>
    <row r="6118" customFormat="false" ht="15.75" hidden="false" customHeight="true" outlineLevel="0" collapsed="false">
      <c r="B6118" s="10"/>
      <c r="C6118" s="10"/>
      <c r="D6118" s="10"/>
      <c r="E6118" s="10"/>
      <c r="F6118" s="10"/>
    </row>
    <row r="6119" customFormat="false" ht="15.75" hidden="false" customHeight="true" outlineLevel="0" collapsed="false">
      <c r="B6119" s="10"/>
      <c r="C6119" s="10"/>
      <c r="D6119" s="10"/>
      <c r="E6119" s="10"/>
      <c r="F6119" s="10"/>
    </row>
    <row r="6120" customFormat="false" ht="24" hidden="false" customHeight="true" outlineLevel="0" collapsed="false">
      <c r="B6120" s="48" t="str">
        <f aca="false">Cab_Mentions</f>
        <v>ALTHO EXPERTISE · SAS au capital de 10 000 € · RCS Pontoise 919 706 325 · TVA FR62919706325 · Société d'expertise comptable inscrite au Tableau de l'Ordre des experts-comptables de Paris Île-de-France</v>
      </c>
      <c r="C6120" s="48"/>
      <c r="D6120" s="48"/>
      <c r="E6120" s="48"/>
      <c r="F6120" s="48"/>
    </row>
    <row r="6121" customFormat="false" ht="15" hidden="false" customHeight="false" outlineLevel="0" collapsed="false">
      <c r="B6121" s="10"/>
      <c r="C6121" s="10"/>
      <c r="D6121" s="10"/>
      <c r="E6121" s="10"/>
      <c r="F6121" s="10"/>
      <c r="J6121" s="25" t="s">
        <v>142</v>
      </c>
      <c r="K6121" s="25" t="n">
        <f aca="false">IFERROR(MATCH(137,Clients!$Z$2:$Z$501,0),0)</f>
        <v>0</v>
      </c>
      <c r="L6121" s="25"/>
      <c r="M6121" s="25"/>
      <c r="N6121" s="25"/>
      <c r="O6121" s="25"/>
    </row>
    <row r="6122" customFormat="false" ht="21.75" hidden="false" customHeight="true" outlineLevel="0" collapsed="false">
      <c r="B6122" s="26" t="str">
        <f aca="false">Cab_Nom</f>
        <v>ALTHO EXPERTISE</v>
      </c>
      <c r="C6122" s="26"/>
      <c r="D6122" s="10"/>
      <c r="E6122" s="27" t="str">
        <f aca="false">IF($K$6121=0,"","Réf. client : "&amp;INDEX(Clients!$A$2:$A$501,$K$6121))</f>
        <v/>
      </c>
      <c r="F6122" s="27"/>
      <c r="J6122" s="25" t="s">
        <v>144</v>
      </c>
      <c r="K6122" s="25" t="str">
        <f aca="false">IF(IF($K$6121=0,"",INDEX(Clients!$B$2:$B$501,$K$6121)&amp;"")="Mme","Madame",IF(IF($K$6121=0,"",INDEX(Clients!$B$2:$B$501,$K$6121)&amp;"")="M.","Monsieur","Madame, Monsieur"))</f>
        <v>Madame, Monsieur</v>
      </c>
      <c r="L6122" s="25"/>
      <c r="M6122" s="25"/>
      <c r="N6122" s="25"/>
      <c r="O6122" s="25"/>
    </row>
    <row r="6123" customFormat="false" ht="15" hidden="false" customHeight="false" outlineLevel="0" collapsed="false">
      <c r="B6123" s="29" t="str">
        <f aca="false">Cab_Adr1</f>
        <v>141 rue Charles de Gaulle</v>
      </c>
      <c r="C6123" s="29"/>
      <c r="D6123" s="10"/>
      <c r="E6123" s="10"/>
      <c r="F6123" s="10"/>
      <c r="J6123" s="25" t="s">
        <v>145</v>
      </c>
      <c r="K6123" s="25" t="str">
        <f aca="false">DAY(Date_Effet)&amp;IF(DAY(Date_Effet)=1,"er","")&amp;" "&amp;INDEX(Liste_Mois,MONTH(Date_Effet))&amp;" "&amp;YEAR(Date_Effet)</f>
        <v>1er janvier 2027</v>
      </c>
      <c r="L6123" s="25"/>
      <c r="M6123" s="25"/>
      <c r="N6123" s="25"/>
      <c r="O6123" s="25"/>
    </row>
    <row r="6124" customFormat="false" ht="15" hidden="false" customHeight="false" outlineLevel="0" collapsed="false">
      <c r="B6124" s="29" t="str">
        <f aca="false">Cab_CPVille</f>
        <v>95130 LE PLESSIS-BOUCHARD</v>
      </c>
      <c r="C6124" s="29"/>
      <c r="D6124" s="10"/>
      <c r="E6124" s="10"/>
      <c r="F6124" s="10"/>
      <c r="J6124" s="25" t="s">
        <v>146</v>
      </c>
      <c r="K6124" s="25" t="str">
        <f aca="false">IF(SUM($K$6148:$K$6151)=0,"",FIXED((SUM($L$6148:$L$6151)/SUM($K$6148:$K$6151)-1)*100,1)&amp;" %")</f>
        <v/>
      </c>
      <c r="L6124" s="25"/>
      <c r="M6124" s="25"/>
      <c r="N6124" s="25"/>
      <c r="O6124" s="25"/>
    </row>
    <row r="6125" customFormat="false" ht="15" hidden="false" customHeight="false" outlineLevel="0" collapsed="false">
      <c r="B6125" s="29" t="str">
        <f aca="false">Cab_Contact</f>
        <v>Tél. 01 34 14 53 45  ·  altho@altho-experts.com  ·  altho-experts.com</v>
      </c>
      <c r="C6125" s="29"/>
      <c r="D6125" s="10"/>
      <c r="E6125" s="10"/>
      <c r="F6125" s="10"/>
      <c r="J6125" s="25"/>
      <c r="K6125" s="25"/>
      <c r="L6125" s="25"/>
      <c r="M6125" s="25"/>
      <c r="N6125" s="25"/>
      <c r="O6125" s="25"/>
    </row>
    <row r="6126" customFormat="false" ht="6" hidden="false" customHeight="true" outlineLevel="0" collapsed="false">
      <c r="B6126" s="32"/>
      <c r="C6126" s="32"/>
      <c r="D6126" s="32"/>
      <c r="E6126" s="32"/>
      <c r="F6126" s="32"/>
      <c r="J6126" s="25"/>
      <c r="K6126" s="25"/>
      <c r="L6126" s="25"/>
      <c r="M6126" s="25"/>
      <c r="N6126" s="25"/>
      <c r="O6126" s="25"/>
    </row>
    <row r="6127" customFormat="false" ht="13.5" hidden="false" customHeight="true" outlineLevel="0" collapsed="false">
      <c r="B6127" s="10"/>
      <c r="C6127" s="10"/>
      <c r="D6127" s="10"/>
      <c r="E6127" s="10"/>
      <c r="F6127" s="10"/>
      <c r="J6127" s="25"/>
      <c r="K6127" s="25"/>
      <c r="L6127" s="25"/>
      <c r="M6127" s="25"/>
      <c r="N6127" s="25"/>
      <c r="O6127" s="25"/>
    </row>
    <row r="6128" customFormat="false" ht="13.5" hidden="false" customHeight="true" outlineLevel="0" collapsed="false">
      <c r="B6128" s="10"/>
      <c r="C6128" s="10"/>
      <c r="D6128" s="10"/>
      <c r="E6128" s="10"/>
      <c r="F6128" s="10"/>
      <c r="J6128" s="25"/>
      <c r="K6128" s="25"/>
      <c r="L6128" s="25"/>
      <c r="M6128" s="25"/>
      <c r="N6128" s="25"/>
      <c r="O6128" s="25"/>
    </row>
    <row r="6129" customFormat="false" ht="13.5" hidden="false" customHeight="true" outlineLevel="0" collapsed="false">
      <c r="B6129" s="10"/>
      <c r="C6129" s="10"/>
      <c r="D6129" s="10"/>
      <c r="E6129" s="10"/>
      <c r="F6129" s="10"/>
      <c r="J6129" s="25"/>
      <c r="K6129" s="25"/>
      <c r="L6129" s="25"/>
      <c r="M6129" s="25"/>
      <c r="N6129" s="25"/>
      <c r="O6129" s="25"/>
    </row>
    <row r="6130" customFormat="false" ht="15" hidden="false" customHeight="true" outlineLevel="0" collapsed="false">
      <c r="B6130" s="10"/>
      <c r="C6130" s="10"/>
      <c r="D6130" s="34" t="str">
        <f aca="false">IF($K$6121=0,"",INDEX(Clients!$E$2:$E$501,$K$6121)&amp;"")</f>
        <v/>
      </c>
      <c r="E6130" s="34"/>
      <c r="F6130" s="34"/>
      <c r="J6130" s="25"/>
      <c r="K6130" s="25"/>
      <c r="L6130" s="25"/>
      <c r="M6130" s="25"/>
      <c r="N6130" s="25"/>
      <c r="O6130" s="25"/>
    </row>
    <row r="6131" customFormat="false" ht="15" hidden="false" customHeight="true" outlineLevel="0" collapsed="false">
      <c r="B6131" s="10"/>
      <c r="C6131" s="10"/>
      <c r="D6131" s="35" t="str">
        <f aca="false">IF(IF($K$6121=0,"",INDEX(Clients!$D$2:$D$501,$K$6121)&amp;"")="","","À l'attention de "&amp;TRIM(IF($K$6121=0,"",INDEX(Clients!$B$2:$B$501,$K$6121)&amp;"")&amp;" "&amp;IF($K$6121=0,"",INDEX(Clients!$C$2:$C$501,$K$6121)&amp;"")&amp;" "&amp;IF($K$6121=0,"",INDEX(Clients!$D$2:$D$501,$K$6121)&amp;"")))</f>
        <v/>
      </c>
      <c r="E6131" s="35"/>
      <c r="F6131" s="35"/>
      <c r="J6131" s="25"/>
      <c r="K6131" s="25"/>
      <c r="L6131" s="25"/>
      <c r="M6131" s="25"/>
      <c r="N6131" s="25"/>
      <c r="O6131" s="25"/>
    </row>
    <row r="6132" customFormat="false" ht="15" hidden="false" customHeight="true" outlineLevel="0" collapsed="false">
      <c r="B6132" s="10"/>
      <c r="C6132" s="10"/>
      <c r="D6132" s="35" t="str">
        <f aca="false">IF($K$6121=0,"",INDEX(Clients!$F$2:$F$501,$K$6121)&amp;"")</f>
        <v/>
      </c>
      <c r="E6132" s="35"/>
      <c r="F6132" s="35"/>
      <c r="J6132" s="25"/>
      <c r="K6132" s="25"/>
      <c r="L6132" s="25"/>
      <c r="M6132" s="25"/>
      <c r="N6132" s="25"/>
      <c r="O6132" s="25"/>
    </row>
    <row r="6133" customFormat="false" ht="15" hidden="false" customHeight="true" outlineLevel="0" collapsed="false">
      <c r="B6133" s="10"/>
      <c r="C6133" s="10"/>
      <c r="D6133" s="35" t="str">
        <f aca="false">IF(IF($K$6121=0,"",INDEX(Clients!$G$2:$G$501,$K$6121)&amp;"")="",TRIM(IF($K$6121=0,"",INDEX(Clients!$H$2:$H$501,$K$6121)&amp;"")&amp;" "&amp;UPPER(IF($K$6121=0,"",INDEX(Clients!$I$2:$I$501,$K$6121)&amp;""))),IF($K$6121=0,"",INDEX(Clients!$G$2:$G$501,$K$6121)&amp;""))</f>
        <v/>
      </c>
      <c r="E6133" s="35"/>
      <c r="F6133" s="35"/>
      <c r="J6133" s="25"/>
      <c r="K6133" s="25"/>
      <c r="L6133" s="25"/>
      <c r="M6133" s="25"/>
      <c r="N6133" s="25"/>
      <c r="O6133" s="25"/>
    </row>
    <row r="6134" customFormat="false" ht="15" hidden="false" customHeight="true" outlineLevel="0" collapsed="false">
      <c r="B6134" s="10"/>
      <c r="C6134" s="10"/>
      <c r="D6134" s="35" t="str">
        <f aca="false">IF(IF($K$6121=0,"",INDEX(Clients!$G$2:$G$501,$K$6121)&amp;"")="","",TRIM(IF($K$6121=0,"",INDEX(Clients!$H$2:$H$501,$K$6121)&amp;"")&amp;" "&amp;UPPER(IF($K$6121=0,"",INDEX(Clients!$I$2:$I$501,$K$6121)&amp;""))))</f>
        <v/>
      </c>
      <c r="E6134" s="35"/>
      <c r="F6134" s="35"/>
      <c r="J6134" s="25"/>
      <c r="K6134" s="25"/>
      <c r="L6134" s="25"/>
      <c r="M6134" s="25"/>
      <c r="N6134" s="25"/>
      <c r="O6134" s="25"/>
    </row>
    <row r="6135" customFormat="false" ht="25.5" hidden="false" customHeight="true" outlineLevel="0" collapsed="false">
      <c r="B6135" s="10"/>
      <c r="C6135" s="10"/>
      <c r="D6135" s="10"/>
      <c r="E6135" s="10"/>
      <c r="F6135" s="10"/>
      <c r="J6135" s="25"/>
      <c r="K6135" s="25"/>
      <c r="L6135" s="25"/>
      <c r="M6135" s="25"/>
      <c r="N6135" s="25"/>
      <c r="O6135" s="25"/>
    </row>
    <row r="6136" customFormat="false" ht="15" hidden="false" customHeight="false" outlineLevel="0" collapsed="false">
      <c r="B6136" s="10"/>
      <c r="C6136" s="10"/>
      <c r="D6136" s="36" t="str">
        <f aca="false">Cab_Ville&amp;", le "&amp;DAY(Date_Courrier)&amp;IF(DAY(Date_Courrier)=1,"er","")&amp;" "&amp;INDEX(Liste_Mois,MONTH(Date_Courrier))&amp;" "&amp;YEAR(Date_Courrier)</f>
        <v>Le Plessis-Bouchard, le 22 septembre 2026</v>
      </c>
      <c r="E6136" s="36"/>
      <c r="F6136" s="36"/>
      <c r="J6136" s="25"/>
      <c r="K6136" s="25"/>
      <c r="L6136" s="25"/>
      <c r="M6136" s="25"/>
      <c r="N6136" s="25"/>
      <c r="O6136" s="25"/>
    </row>
    <row r="6137" customFormat="false" ht="19.5" hidden="false" customHeight="true" outlineLevel="0" collapsed="false">
      <c r="B6137" s="10"/>
      <c r="C6137" s="10"/>
      <c r="D6137" s="10"/>
      <c r="E6137" s="10"/>
      <c r="F6137" s="10"/>
      <c r="J6137" s="25"/>
      <c r="K6137" s="25"/>
      <c r="L6137" s="25"/>
      <c r="M6137" s="25"/>
      <c r="N6137" s="25"/>
      <c r="O6137" s="25"/>
    </row>
    <row r="6138" customFormat="false" ht="15" hidden="false" customHeight="false" outlineLevel="0" collapsed="false">
      <c r="B6138" s="34" t="str">
        <f aca="false">SUBSTITUTE(SUBSTITUTE(SUBSTITUTE(SUBSTITUTE(SUBSTITUTE(Txt_Objet,"{cabinet}",Cab_Nom),"{societe}",IF($K$6121=0,"",INDEX(Clients!$E$2:$E$501,$K$6121)&amp;"")),"{date_effet}",$K$6123),"{hausse}",$K$6124),"{civilite}",$K$6122)</f>
        <v>Objet : révision de nos honoraires au 1er janvier 2027</v>
      </c>
      <c r="C6138" s="34"/>
      <c r="D6138" s="34"/>
      <c r="E6138" s="34"/>
      <c r="F6138" s="34"/>
      <c r="J6138" s="25"/>
      <c r="K6138" s="25"/>
      <c r="L6138" s="25"/>
      <c r="M6138" s="25"/>
      <c r="N6138" s="25"/>
      <c r="O6138" s="25"/>
    </row>
    <row r="6139" customFormat="false" ht="13.5" hidden="false" customHeight="true" outlineLevel="0" collapsed="false">
      <c r="B6139" s="10"/>
      <c r="C6139" s="10"/>
      <c r="D6139" s="10"/>
      <c r="E6139" s="10"/>
      <c r="F6139" s="10"/>
      <c r="J6139" s="25"/>
      <c r="K6139" s="25"/>
      <c r="L6139" s="25"/>
      <c r="M6139" s="25"/>
      <c r="N6139" s="25"/>
      <c r="O6139" s="25"/>
    </row>
    <row r="6140" customFormat="false" ht="15" hidden="false" customHeight="false" outlineLevel="0" collapsed="false">
      <c r="B6140" s="10" t="str">
        <f aca="false">$K$6122&amp;","</f>
        <v>Madame, Monsieur,</v>
      </c>
      <c r="C6140" s="10"/>
      <c r="D6140" s="10"/>
      <c r="E6140" s="10"/>
      <c r="F6140" s="10"/>
      <c r="J6140" s="25"/>
      <c r="K6140" s="25"/>
      <c r="L6140" s="25"/>
      <c r="M6140" s="25"/>
      <c r="N6140" s="25"/>
      <c r="O6140" s="25"/>
    </row>
    <row r="6141" customFormat="false" ht="6" hidden="false" customHeight="true" outlineLevel="0" collapsed="false">
      <c r="B6141" s="10"/>
      <c r="C6141" s="10"/>
      <c r="D6141" s="10"/>
      <c r="E6141" s="10"/>
      <c r="F6141" s="10"/>
      <c r="J6141" s="25"/>
      <c r="K6141" s="25"/>
      <c r="L6141" s="25"/>
      <c r="M6141" s="25"/>
      <c r="N6141" s="25"/>
      <c r="O6141" s="25"/>
    </row>
    <row r="6142" customFormat="false" ht="36.75" hidden="false" customHeight="true" outlineLevel="0" collapsed="false">
      <c r="B6142" s="37" t="str">
        <f aca="false">SUBSTITUTE(SUBSTITUTE(SUBSTITUTE(SUBSTITUTE(SUBSTITUTE(Txt_P1,"{cabinet}",Cab_Nom),"{societe}",IF($K$6121=0,"",INDEX(Clients!$E$2:$E$501,$K$6121)&amp;"")),"{date_effet}",$K$6123),"{hausse}",$K$6124),"{civilite}",$K$6122)</f>
        <v>Nous tenons tout d'abord à vous remercier pour la confiance que vous accordez à ALTHO EXPERTISE. Comme chaque année, et conformément aux dispositions de votre lettre de mission, nous procédons à la révision de nos honoraires.</v>
      </c>
      <c r="C6142" s="37"/>
      <c r="D6142" s="37"/>
      <c r="E6142" s="37"/>
      <c r="F6142" s="37"/>
      <c r="J6142" s="25"/>
      <c r="K6142" s="25"/>
      <c r="L6142" s="25"/>
      <c r="M6142" s="25"/>
      <c r="N6142" s="25"/>
      <c r="O6142" s="25"/>
    </row>
    <row r="6143" customFormat="false" ht="49.5" hidden="false" customHeight="true" outlineLevel="0" collapsed="false">
      <c r="B6143" s="37" t="str">
        <f aca="false">SUBSTITUTE(SUBSTITUTE(SUBSTITUTE(SUBSTITUTE(SUBSTITUTE(Txt_P2,"{cabinet}",Cab_Nom),"{societe}",IF($K$6121=0,"",INDEX(Clients!$E$2:$E$501,$K$6121)&amp;"")),"{date_effet}",$K$6123),"{hausse}",$K$6124),"{civilite}",$K$6122)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143" s="37"/>
      <c r="D6143" s="37"/>
      <c r="E6143" s="37"/>
      <c r="F6143" s="37"/>
      <c r="J6143" s="25"/>
      <c r="K6143" s="25"/>
      <c r="L6143" s="25"/>
      <c r="M6143" s="25"/>
      <c r="N6143" s="25"/>
      <c r="O6143" s="25"/>
    </row>
    <row r="6144" customFormat="false" ht="63" hidden="false" customHeight="true" outlineLevel="0" collapsed="false">
      <c r="B6144" s="37" t="str">
        <f aca="false">SUBSTITUTE(SUBSTITUTE(SUBSTITUTE(SUBSTITUTE(SUBSTITUTE(Txt_P3,"{cabinet}",Cab_Nom),"{societe}",IF($K$6121=0,"",INDEX(Clients!$E$2:$E$501,$K$6121)&amp;"")),"{date_effet}",$K$6123),"{hausse}",$K$6124),"{civilite}",$K$6122)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144" s="37"/>
      <c r="D6144" s="37"/>
      <c r="E6144" s="37"/>
      <c r="F6144" s="37"/>
      <c r="J6144" s="25"/>
      <c r="K6144" s="25"/>
      <c r="L6144" s="25"/>
      <c r="M6144" s="25"/>
      <c r="N6144" s="25"/>
      <c r="O6144" s="25"/>
    </row>
    <row r="6145" customFormat="false" ht="24" hidden="false" customHeight="true" outlineLevel="0" collapsed="false">
      <c r="B6145" s="37" t="str">
        <f aca="false">SUBSTITUTE(SUBSTITUTE(SUBSTITUTE(SUBSTITUTE(SUBSTITUTE(Txt_P4,"{cabinet}",Cab_Nom),"{societe}",IF($K$6121=0,"",INDEX(Clients!$E$2:$E$501,$K$6121)&amp;"")),"{date_effet}",$K$6123),"{hausse}",$K$6124),"{civilite}",$K$6122)</f>
        <v>À compter du 1er janvier 2027, vos honoraires annuels hors taxes évolueront ainsi (évolution globale : ) :</v>
      </c>
      <c r="C6145" s="37"/>
      <c r="D6145" s="37"/>
      <c r="E6145" s="37"/>
      <c r="F6145" s="37"/>
      <c r="J6145" s="25"/>
      <c r="K6145" s="25"/>
      <c r="L6145" s="25"/>
      <c r="M6145" s="25"/>
      <c r="N6145" s="25"/>
      <c r="O6145" s="25"/>
    </row>
    <row r="6146" customFormat="false" ht="3.75" hidden="false" customHeight="true" outlineLevel="0" collapsed="false">
      <c r="B6146" s="10"/>
      <c r="C6146" s="10"/>
      <c r="D6146" s="10"/>
      <c r="E6146" s="10"/>
      <c r="F6146" s="10"/>
      <c r="J6146" s="25"/>
      <c r="K6146" s="25"/>
      <c r="L6146" s="25"/>
      <c r="M6146" s="25"/>
      <c r="N6146" s="25"/>
      <c r="O6146" s="25"/>
    </row>
    <row r="6147" customFormat="false" ht="18" hidden="false" customHeight="true" outlineLevel="0" collapsed="false">
      <c r="B6147" s="38" t="s">
        <v>148</v>
      </c>
      <c r="C6147" s="39" t="s">
        <v>149</v>
      </c>
      <c r="D6147" s="39" t="s">
        <v>150</v>
      </c>
      <c r="E6147" s="39" t="s">
        <v>151</v>
      </c>
      <c r="F6147" s="39" t="s">
        <v>109</v>
      </c>
      <c r="J6147" s="25" t="s">
        <v>152</v>
      </c>
      <c r="K6147" s="25" t="s">
        <v>153</v>
      </c>
      <c r="L6147" s="25" t="s">
        <v>154</v>
      </c>
      <c r="M6147" s="25" t="s">
        <v>155</v>
      </c>
      <c r="N6147" s="25" t="s">
        <v>156</v>
      </c>
      <c r="O6147" s="25" t="s">
        <v>157</v>
      </c>
    </row>
    <row r="6148" customFormat="false" ht="16.5" hidden="false" customHeight="true" outlineLevel="0" collapsed="false">
      <c r="B6148" s="40" t="str">
        <f aca="false">IFERROR(INDEX($J$6148:$J$6151,MATCH($O6148,$N$6148:$N$6151,0)),"")</f>
        <v/>
      </c>
      <c r="C6148" s="41" t="str">
        <f aca="false">IFERROR(INDEX($K$6148:$K$6151,MATCH($O6148,$N$6148:$N$6151,0)),"")</f>
        <v/>
      </c>
      <c r="D6148" s="42" t="str">
        <f aca="false">IF(OR(E6148="",N(C6148)=0),"",E6148/C6148-1)</f>
        <v/>
      </c>
      <c r="E6148" s="41" t="str">
        <f aca="false">IFERROR(INDEX($L$6148:$L$6151,MATCH($O6148,$N$6148:$N$6151,0)),"")</f>
        <v/>
      </c>
      <c r="F6148" s="41" t="str">
        <f aca="false">IF(E6148="","",E6148-C6148)</f>
        <v/>
      </c>
      <c r="J6148" s="25" t="str">
        <f aca="false">Lib_Compta</f>
        <v>Mission comptable (tenue, révision, bilan, liasse fiscale)</v>
      </c>
      <c r="K6148" s="25" t="n">
        <f aca="false">IF($K$6121=0,0,N(INDEX(Clients!$K$2:$K$501,$K$6121)))</f>
        <v>0</v>
      </c>
      <c r="L6148" s="25" t="n">
        <f aca="false">IF($K$6121=0,0,N(INDEX(Clients!$P$2:$P$501,$K$6121)))</f>
        <v>0</v>
      </c>
      <c r="M6148" s="25" t="n">
        <f aca="false">IF(OR(K6148&lt;&gt;0,L6148&lt;&gt;0),1,0)</f>
        <v>0</v>
      </c>
      <c r="N6148" s="25" t="str">
        <f aca="false">IF(M6148=1,SUM($M$6148:M6148),"")</f>
        <v/>
      </c>
      <c r="O6148" s="25" t="n">
        <v>1</v>
      </c>
    </row>
    <row r="6149" customFormat="false" ht="16.5" hidden="false" customHeight="true" outlineLevel="0" collapsed="false">
      <c r="B6149" s="40" t="str">
        <f aca="false">IFERROR(INDEX($J$6148:$J$6151,MATCH($O6149,$N$6148:$N$6151,0)),"")</f>
        <v/>
      </c>
      <c r="C6149" s="41" t="str">
        <f aca="false">IFERROR(INDEX($K$6148:$K$6151,MATCH($O6149,$N$6148:$N$6151,0)),"")</f>
        <v/>
      </c>
      <c r="D6149" s="42" t="str">
        <f aca="false">IF(OR(E6149="",N(C6149)=0),"",E6149/C6149-1)</f>
        <v/>
      </c>
      <c r="E6149" s="41" t="str">
        <f aca="false">IFERROR(INDEX($L$6148:$L$6151,MATCH($O6149,$N$6148:$N$6151,0)),"")</f>
        <v/>
      </c>
      <c r="F6149" s="41" t="str">
        <f aca="false">IF(E6149="","",E6149-C6149)</f>
        <v/>
      </c>
      <c r="J6149" s="25" t="str">
        <f aca="false">Lib_Paye</f>
        <v>Mission sociale (bulletins de paie, DSN, déclarations sociales)</v>
      </c>
      <c r="K6149" s="25" t="n">
        <f aca="false">IF($K$6121=0,0,N(INDEX(Clients!$L$2:$L$501,$K$6121)))</f>
        <v>0</v>
      </c>
      <c r="L6149" s="25" t="n">
        <f aca="false">IF($K$6121=0,0,N(INDEX(Clients!$Q$2:$Q$501,$K$6121)))</f>
        <v>0</v>
      </c>
      <c r="M6149" s="25" t="n">
        <f aca="false">IF(OR(K6149&lt;&gt;0,L6149&lt;&gt;0),1,0)</f>
        <v>0</v>
      </c>
      <c r="N6149" s="25" t="str">
        <f aca="false">IF(M6149=1,SUM($M$6148:M6149),"")</f>
        <v/>
      </c>
      <c r="O6149" s="25" t="n">
        <v>2</v>
      </c>
    </row>
    <row r="6150" customFormat="false" ht="16.5" hidden="false" customHeight="true" outlineLevel="0" collapsed="false">
      <c r="B6150" s="40" t="str">
        <f aca="false">IFERROR(INDEX($J$6148:$J$6151,MATCH($O6150,$N$6148:$N$6151,0)),"")</f>
        <v/>
      </c>
      <c r="C6150" s="41" t="str">
        <f aca="false">IFERROR(INDEX($K$6148:$K$6151,MATCH($O6150,$N$6148:$N$6151,0)),"")</f>
        <v/>
      </c>
      <c r="D6150" s="42" t="str">
        <f aca="false">IF(OR(E6150="",N(C6150)=0),"",E6150/C6150-1)</f>
        <v/>
      </c>
      <c r="E6150" s="41" t="str">
        <f aca="false">IFERROR(INDEX($L$6148:$L$6151,MATCH($O6150,$N$6148:$N$6151,0)),"")</f>
        <v/>
      </c>
      <c r="F6150" s="41" t="str">
        <f aca="false">IF(E6150="","",E6150-C6150)</f>
        <v/>
      </c>
      <c r="J6150" s="25" t="str">
        <f aca="false">Lib_Jur</f>
        <v>Mission juridique (approbation des comptes, secrétariat juridique)</v>
      </c>
      <c r="K6150" s="25" t="n">
        <f aca="false">IF($K$6121=0,0,N(INDEX(Clients!$M$2:$M$501,$K$6121)))</f>
        <v>0</v>
      </c>
      <c r="L6150" s="25" t="n">
        <f aca="false">IF($K$6121=0,0,N(INDEX(Clients!$R$2:$R$501,$K$6121)))</f>
        <v>0</v>
      </c>
      <c r="M6150" s="25" t="n">
        <f aca="false">IF(OR(K6150&lt;&gt;0,L6150&lt;&gt;0),1,0)</f>
        <v>0</v>
      </c>
      <c r="N6150" s="25" t="str">
        <f aca="false">IF(M6150=1,SUM($M$6148:M6150),"")</f>
        <v/>
      </c>
      <c r="O6150" s="25" t="n">
        <v>3</v>
      </c>
    </row>
    <row r="6151" customFormat="false" ht="16.5" hidden="false" customHeight="true" outlineLevel="0" collapsed="false">
      <c r="B6151" s="40" t="str">
        <f aca="false">IFERROR(INDEX($J$6148:$J$6151,MATCH($O6151,$N$6148:$N$6151,0)),"")</f>
        <v/>
      </c>
      <c r="C6151" s="41" t="str">
        <f aca="false">IFERROR(INDEX($K$6148:$K$6151,MATCH($O6151,$N$6148:$N$6151,0)),"")</f>
        <v/>
      </c>
      <c r="D6151" s="42" t="str">
        <f aca="false">IF(OR(E6151="",N(C6151)=0),"",E6151/C6151-1)</f>
        <v/>
      </c>
      <c r="E6151" s="41" t="str">
        <f aca="false">IFERROR(INDEX($L$6148:$L$6151,MATCH($O6151,$N$6148:$N$6151,0)),"")</f>
        <v/>
      </c>
      <c r="F6151" s="41" t="str">
        <f aca="false">IF(E6151="","",E6151-C6151)</f>
        <v/>
      </c>
      <c r="J6151" s="25" t="str">
        <f aca="false">Lib_PA</f>
        <v>Plateforme agréée – facturation électronique</v>
      </c>
      <c r="K6151" s="25" t="n">
        <f aca="false">IF($K$6121=0,0,N(INDEX(Clients!$N$2:$N$501,$K$6121)))</f>
        <v>0</v>
      </c>
      <c r="L6151" s="25" t="n">
        <f aca="false">IF($K$6121=0,0,N(INDEX(Clients!$S$2:$S$501,$K$6121)))</f>
        <v>0</v>
      </c>
      <c r="M6151" s="25" t="n">
        <f aca="false">IF(OR(K6151&lt;&gt;0,L6151&lt;&gt;0),1,0)</f>
        <v>0</v>
      </c>
      <c r="N6151" s="25" t="str">
        <f aca="false">IF(M6151=1,SUM($M$6148:M6151),"")</f>
        <v/>
      </c>
      <c r="O6151" s="25" t="n">
        <v>4</v>
      </c>
    </row>
    <row r="6152" customFormat="false" ht="18" hidden="false" customHeight="true" outlineLevel="0" collapsed="false">
      <c r="B6152" s="43" t="s">
        <v>158</v>
      </c>
      <c r="C6152" s="44" t="n">
        <f aca="false">SUM(K6148:K6151)</f>
        <v>0</v>
      </c>
      <c r="D6152" s="45" t="str">
        <f aca="false">IF(N(C6152)=0,"",E6152/C6152-1)</f>
        <v/>
      </c>
      <c r="E6152" s="44" t="n">
        <f aca="false">SUM(L6148:L6151)</f>
        <v>0</v>
      </c>
      <c r="F6152" s="44" t="n">
        <f aca="false">E6152-C6152</f>
        <v>0</v>
      </c>
    </row>
    <row r="6153" customFormat="false" ht="15" hidden="false" customHeight="false" outlineLevel="0" collapsed="false">
      <c r="B6153" s="46" t="str">
        <f aca="false">IF(N(Nb_Mensualites)=0,"","Soit "&amp;FIXED(E6152/Nb_Mensualites,2)&amp;" € HT par échéance ("&amp;Nb_Mensualites&amp;" échéances), "&amp;FIXED(E6152/Nb_Mensualites*(1+Taux_TVA),2)&amp;" € TTC.")</f>
        <v>Soit 0.00 € HT par échéance (12 échéances), 0.00 € TTC.</v>
      </c>
      <c r="C6153" s="46"/>
      <c r="D6153" s="46"/>
      <c r="E6153" s="46"/>
      <c r="F6153" s="46"/>
    </row>
    <row r="6154" customFormat="false" ht="7.5" hidden="false" customHeight="true" outlineLevel="0" collapsed="false">
      <c r="B6154" s="10"/>
      <c r="C6154" s="10"/>
      <c r="D6154" s="10"/>
      <c r="E6154" s="10"/>
      <c r="F6154" s="10"/>
    </row>
    <row r="6155" customFormat="false" ht="36.75" hidden="false" customHeight="true" outlineLevel="0" collapsed="false">
      <c r="B6155" s="37" t="str">
        <f aca="false">SUBSTITUTE(SUBSTITUTE(SUBSTITUTE(SUBSTITUTE(SUBSTITUTE(Txt_P5,"{cabinet}",Cab_Nom),"{societe}",IF($K$6121=0,"",INDEX(Clients!$E$2:$E$501,$K$6121)&amp;"")),"{date_effet}",$K$6123),"{hausse}",$K$6124),"{civilite}",$K$6122)</f>
        <v>Les autres conditions de votre lettre de mission demeurent inchangées. Les nouveaux montants seront appliqués automatiquement sur vos prochaines factures et échéances de prélèvement.</v>
      </c>
      <c r="C6155" s="37"/>
      <c r="D6155" s="37"/>
      <c r="E6155" s="37"/>
      <c r="F6155" s="37"/>
    </row>
    <row r="6156" customFormat="false" ht="36.75" hidden="false" customHeight="true" outlineLevel="0" collapsed="false">
      <c r="B6156" s="37" t="str">
        <f aca="false">SUBSTITUTE(SUBSTITUTE(SUBSTITUTE(SUBSTITUTE(SUBSTITUTE(Txt_P6,"{cabinet}",Cab_Nom),"{societe}",IF($K$6121=0,"",INDEX(Clients!$E$2:$E$501,$K$6121)&amp;"")),"{date_effet}",$K$6123),"{hausse}",$K$6124),"{civilite}",$K$6122)</f>
        <v>Votre interlocuteur habituel reste à votre entière disposition pour répondre à vos questions et faire le point sur l'évolution de vos besoins.</v>
      </c>
      <c r="C6156" s="37"/>
      <c r="D6156" s="37"/>
      <c r="E6156" s="37"/>
      <c r="F6156" s="37"/>
    </row>
    <row r="6157" customFormat="false" ht="24" hidden="false" customHeight="true" outlineLevel="0" collapsed="false">
      <c r="B6157" s="37" t="str">
        <f aca="false">SUBSTITUTE(SUBSTITUTE(SUBSTITUTE(SUBSTITUTE(SUBSTITUTE(Txt_Politesse,"{cabinet}",Cab_Nom),"{societe}",IF($K$6121=0,"",INDEX(Clients!$E$2:$E$501,$K$6121)&amp;"")),"{date_effet}",$K$6123),"{hausse}",$K$6124),"{civilite}",$K$6122)</f>
        <v>Nous vous prions d'agréer, Madame, Monsieur, l'expression de nos salutations distinguées.</v>
      </c>
      <c r="C6157" s="37"/>
      <c r="D6157" s="37"/>
      <c r="E6157" s="37"/>
      <c r="F6157" s="37"/>
    </row>
    <row r="6158" customFormat="false" ht="15" hidden="false" customHeight="false" outlineLevel="0" collapsed="false">
      <c r="B6158" s="10"/>
      <c r="C6158" s="10"/>
      <c r="D6158" s="10"/>
      <c r="E6158" s="10"/>
      <c r="F6158" s="10"/>
    </row>
    <row r="6159" customFormat="false" ht="15" hidden="false" customHeight="false" outlineLevel="0" collapsed="false">
      <c r="B6159" s="10"/>
      <c r="C6159" s="10"/>
      <c r="D6159" s="34" t="str">
        <f aca="false">Signataire</f>
        <v>Prénom NOM</v>
      </c>
      <c r="E6159" s="34"/>
      <c r="F6159" s="34"/>
    </row>
    <row r="6160" customFormat="false" ht="15" hidden="false" customHeight="false" outlineLevel="0" collapsed="false">
      <c r="B6160" s="10"/>
      <c r="C6160" s="10"/>
      <c r="D6160" s="47" t="str">
        <f aca="false">Signataire_Titre</f>
        <v>Expert-comptable associé</v>
      </c>
      <c r="E6160" s="47"/>
      <c r="F6160" s="47"/>
    </row>
    <row r="6161" customFormat="false" ht="15.75" hidden="false" customHeight="true" outlineLevel="0" collapsed="false">
      <c r="B6161" s="10"/>
      <c r="C6161" s="10"/>
      <c r="D6161" s="10"/>
      <c r="E6161" s="10"/>
      <c r="F6161" s="10"/>
    </row>
    <row r="6162" customFormat="false" ht="15.75" hidden="false" customHeight="true" outlineLevel="0" collapsed="false">
      <c r="B6162" s="10"/>
      <c r="C6162" s="10"/>
      <c r="D6162" s="10"/>
      <c r="E6162" s="10"/>
      <c r="F6162" s="10"/>
    </row>
    <row r="6163" customFormat="false" ht="15.75" hidden="false" customHeight="true" outlineLevel="0" collapsed="false">
      <c r="B6163" s="10"/>
      <c r="C6163" s="10"/>
      <c r="D6163" s="10"/>
      <c r="E6163" s="10"/>
      <c r="F6163" s="10"/>
    </row>
    <row r="6164" customFormat="false" ht="15.75" hidden="false" customHeight="true" outlineLevel="0" collapsed="false">
      <c r="B6164" s="10"/>
      <c r="C6164" s="10"/>
      <c r="D6164" s="10"/>
      <c r="E6164" s="10"/>
      <c r="F6164" s="10"/>
    </row>
    <row r="6165" customFormat="false" ht="24" hidden="false" customHeight="true" outlineLevel="0" collapsed="false">
      <c r="B6165" s="48" t="str">
        <f aca="false">Cab_Mentions</f>
        <v>ALTHO EXPERTISE · SAS au capital de 10 000 € · RCS Pontoise 919 706 325 · TVA FR62919706325 · Société d'expertise comptable inscrite au Tableau de l'Ordre des experts-comptables de Paris Île-de-France</v>
      </c>
      <c r="C6165" s="48"/>
      <c r="D6165" s="48"/>
      <c r="E6165" s="48"/>
      <c r="F6165" s="48"/>
    </row>
    <row r="6166" customFormat="false" ht="15" hidden="false" customHeight="false" outlineLevel="0" collapsed="false">
      <c r="B6166" s="10"/>
      <c r="C6166" s="10"/>
      <c r="D6166" s="10"/>
      <c r="E6166" s="10"/>
      <c r="F6166" s="10"/>
      <c r="J6166" s="25" t="s">
        <v>142</v>
      </c>
      <c r="K6166" s="25" t="n">
        <f aca="false">IFERROR(MATCH(138,Clients!$Z$2:$Z$501,0),0)</f>
        <v>0</v>
      </c>
      <c r="L6166" s="25"/>
      <c r="M6166" s="25"/>
      <c r="N6166" s="25"/>
      <c r="O6166" s="25"/>
    </row>
    <row r="6167" customFormat="false" ht="21.75" hidden="false" customHeight="true" outlineLevel="0" collapsed="false">
      <c r="B6167" s="26" t="str">
        <f aca="false">Cab_Nom</f>
        <v>ALTHO EXPERTISE</v>
      </c>
      <c r="C6167" s="26"/>
      <c r="D6167" s="10"/>
      <c r="E6167" s="27" t="str">
        <f aca="false">IF($K$6166=0,"","Réf. client : "&amp;INDEX(Clients!$A$2:$A$501,$K$6166))</f>
        <v/>
      </c>
      <c r="F6167" s="27"/>
      <c r="J6167" s="25" t="s">
        <v>144</v>
      </c>
      <c r="K6167" s="25" t="str">
        <f aca="false">IF(IF($K$6166=0,"",INDEX(Clients!$B$2:$B$501,$K$6166)&amp;"")="Mme","Madame",IF(IF($K$6166=0,"",INDEX(Clients!$B$2:$B$501,$K$6166)&amp;"")="M.","Monsieur","Madame, Monsieur"))</f>
        <v>Madame, Monsieur</v>
      </c>
      <c r="L6167" s="25"/>
      <c r="M6167" s="25"/>
      <c r="N6167" s="25"/>
      <c r="O6167" s="25"/>
    </row>
    <row r="6168" customFormat="false" ht="15" hidden="false" customHeight="false" outlineLevel="0" collapsed="false">
      <c r="B6168" s="29" t="str">
        <f aca="false">Cab_Adr1</f>
        <v>141 rue Charles de Gaulle</v>
      </c>
      <c r="C6168" s="29"/>
      <c r="D6168" s="10"/>
      <c r="E6168" s="10"/>
      <c r="F6168" s="10"/>
      <c r="J6168" s="25" t="s">
        <v>145</v>
      </c>
      <c r="K6168" s="25" t="str">
        <f aca="false">DAY(Date_Effet)&amp;IF(DAY(Date_Effet)=1,"er","")&amp;" "&amp;INDEX(Liste_Mois,MONTH(Date_Effet))&amp;" "&amp;YEAR(Date_Effet)</f>
        <v>1er janvier 2027</v>
      </c>
      <c r="L6168" s="25"/>
      <c r="M6168" s="25"/>
      <c r="N6168" s="25"/>
      <c r="O6168" s="25"/>
    </row>
    <row r="6169" customFormat="false" ht="15" hidden="false" customHeight="false" outlineLevel="0" collapsed="false">
      <c r="B6169" s="29" t="str">
        <f aca="false">Cab_CPVille</f>
        <v>95130 LE PLESSIS-BOUCHARD</v>
      </c>
      <c r="C6169" s="29"/>
      <c r="D6169" s="10"/>
      <c r="E6169" s="10"/>
      <c r="F6169" s="10"/>
      <c r="J6169" s="25" t="s">
        <v>146</v>
      </c>
      <c r="K6169" s="25" t="str">
        <f aca="false">IF(SUM($K$6193:$K$6196)=0,"",FIXED((SUM($L$6193:$L$6196)/SUM($K$6193:$K$6196)-1)*100,1)&amp;" %")</f>
        <v/>
      </c>
      <c r="L6169" s="25"/>
      <c r="M6169" s="25"/>
      <c r="N6169" s="25"/>
      <c r="O6169" s="25"/>
    </row>
    <row r="6170" customFormat="false" ht="15" hidden="false" customHeight="false" outlineLevel="0" collapsed="false">
      <c r="B6170" s="29" t="str">
        <f aca="false">Cab_Contact</f>
        <v>Tél. 01 34 14 53 45  ·  altho@altho-experts.com  ·  altho-experts.com</v>
      </c>
      <c r="C6170" s="29"/>
      <c r="D6170" s="10"/>
      <c r="E6170" s="10"/>
      <c r="F6170" s="10"/>
      <c r="J6170" s="25"/>
      <c r="K6170" s="25"/>
      <c r="L6170" s="25"/>
      <c r="M6170" s="25"/>
      <c r="N6170" s="25"/>
      <c r="O6170" s="25"/>
    </row>
    <row r="6171" customFormat="false" ht="6" hidden="false" customHeight="true" outlineLevel="0" collapsed="false">
      <c r="B6171" s="32"/>
      <c r="C6171" s="32"/>
      <c r="D6171" s="32"/>
      <c r="E6171" s="32"/>
      <c r="F6171" s="32"/>
      <c r="J6171" s="25"/>
      <c r="K6171" s="25"/>
      <c r="L6171" s="25"/>
      <c r="M6171" s="25"/>
      <c r="N6171" s="25"/>
      <c r="O6171" s="25"/>
    </row>
    <row r="6172" customFormat="false" ht="13.5" hidden="false" customHeight="true" outlineLevel="0" collapsed="false">
      <c r="B6172" s="10"/>
      <c r="C6172" s="10"/>
      <c r="D6172" s="10"/>
      <c r="E6172" s="10"/>
      <c r="F6172" s="10"/>
      <c r="J6172" s="25"/>
      <c r="K6172" s="25"/>
      <c r="L6172" s="25"/>
      <c r="M6172" s="25"/>
      <c r="N6172" s="25"/>
      <c r="O6172" s="25"/>
    </row>
    <row r="6173" customFormat="false" ht="13.5" hidden="false" customHeight="true" outlineLevel="0" collapsed="false">
      <c r="B6173" s="10"/>
      <c r="C6173" s="10"/>
      <c r="D6173" s="10"/>
      <c r="E6173" s="10"/>
      <c r="F6173" s="10"/>
      <c r="J6173" s="25"/>
      <c r="K6173" s="25"/>
      <c r="L6173" s="25"/>
      <c r="M6173" s="25"/>
      <c r="N6173" s="25"/>
      <c r="O6173" s="25"/>
    </row>
    <row r="6174" customFormat="false" ht="13.5" hidden="false" customHeight="true" outlineLevel="0" collapsed="false">
      <c r="B6174" s="10"/>
      <c r="C6174" s="10"/>
      <c r="D6174" s="10"/>
      <c r="E6174" s="10"/>
      <c r="F6174" s="10"/>
      <c r="J6174" s="25"/>
      <c r="K6174" s="25"/>
      <c r="L6174" s="25"/>
      <c r="M6174" s="25"/>
      <c r="N6174" s="25"/>
      <c r="O6174" s="25"/>
    </row>
    <row r="6175" customFormat="false" ht="15" hidden="false" customHeight="true" outlineLevel="0" collapsed="false">
      <c r="B6175" s="10"/>
      <c r="C6175" s="10"/>
      <c r="D6175" s="34" t="str">
        <f aca="false">IF($K$6166=0,"",INDEX(Clients!$E$2:$E$501,$K$6166)&amp;"")</f>
        <v/>
      </c>
      <c r="E6175" s="34"/>
      <c r="F6175" s="34"/>
      <c r="J6175" s="25"/>
      <c r="K6175" s="25"/>
      <c r="L6175" s="25"/>
      <c r="M6175" s="25"/>
      <c r="N6175" s="25"/>
      <c r="O6175" s="25"/>
    </row>
    <row r="6176" customFormat="false" ht="15" hidden="false" customHeight="true" outlineLevel="0" collapsed="false">
      <c r="B6176" s="10"/>
      <c r="C6176" s="10"/>
      <c r="D6176" s="35" t="str">
        <f aca="false">IF(IF($K$6166=0,"",INDEX(Clients!$D$2:$D$501,$K$6166)&amp;"")="","","À l'attention de "&amp;TRIM(IF($K$6166=0,"",INDEX(Clients!$B$2:$B$501,$K$6166)&amp;"")&amp;" "&amp;IF($K$6166=0,"",INDEX(Clients!$C$2:$C$501,$K$6166)&amp;"")&amp;" "&amp;IF($K$6166=0,"",INDEX(Clients!$D$2:$D$501,$K$6166)&amp;"")))</f>
        <v/>
      </c>
      <c r="E6176" s="35"/>
      <c r="F6176" s="35"/>
      <c r="J6176" s="25"/>
      <c r="K6176" s="25"/>
      <c r="L6176" s="25"/>
      <c r="M6176" s="25"/>
      <c r="N6176" s="25"/>
      <c r="O6176" s="25"/>
    </row>
    <row r="6177" customFormat="false" ht="15" hidden="false" customHeight="true" outlineLevel="0" collapsed="false">
      <c r="B6177" s="10"/>
      <c r="C6177" s="10"/>
      <c r="D6177" s="35" t="str">
        <f aca="false">IF($K$6166=0,"",INDEX(Clients!$F$2:$F$501,$K$6166)&amp;"")</f>
        <v/>
      </c>
      <c r="E6177" s="35"/>
      <c r="F6177" s="35"/>
      <c r="J6177" s="25"/>
      <c r="K6177" s="25"/>
      <c r="L6177" s="25"/>
      <c r="M6177" s="25"/>
      <c r="N6177" s="25"/>
      <c r="O6177" s="25"/>
    </row>
    <row r="6178" customFormat="false" ht="15" hidden="false" customHeight="true" outlineLevel="0" collapsed="false">
      <c r="B6178" s="10"/>
      <c r="C6178" s="10"/>
      <c r="D6178" s="35" t="str">
        <f aca="false">IF(IF($K$6166=0,"",INDEX(Clients!$G$2:$G$501,$K$6166)&amp;"")="",TRIM(IF($K$6166=0,"",INDEX(Clients!$H$2:$H$501,$K$6166)&amp;"")&amp;" "&amp;UPPER(IF($K$6166=0,"",INDEX(Clients!$I$2:$I$501,$K$6166)&amp;""))),IF($K$6166=0,"",INDEX(Clients!$G$2:$G$501,$K$6166)&amp;""))</f>
        <v/>
      </c>
      <c r="E6178" s="35"/>
      <c r="F6178" s="35"/>
      <c r="J6178" s="25"/>
      <c r="K6178" s="25"/>
      <c r="L6178" s="25"/>
      <c r="M6178" s="25"/>
      <c r="N6178" s="25"/>
      <c r="O6178" s="25"/>
    </row>
    <row r="6179" customFormat="false" ht="15" hidden="false" customHeight="true" outlineLevel="0" collapsed="false">
      <c r="B6179" s="10"/>
      <c r="C6179" s="10"/>
      <c r="D6179" s="35" t="str">
        <f aca="false">IF(IF($K$6166=0,"",INDEX(Clients!$G$2:$G$501,$K$6166)&amp;"")="","",TRIM(IF($K$6166=0,"",INDEX(Clients!$H$2:$H$501,$K$6166)&amp;"")&amp;" "&amp;UPPER(IF($K$6166=0,"",INDEX(Clients!$I$2:$I$501,$K$6166)&amp;""))))</f>
        <v/>
      </c>
      <c r="E6179" s="35"/>
      <c r="F6179" s="35"/>
      <c r="J6179" s="25"/>
      <c r="K6179" s="25"/>
      <c r="L6179" s="25"/>
      <c r="M6179" s="25"/>
      <c r="N6179" s="25"/>
      <c r="O6179" s="25"/>
    </row>
    <row r="6180" customFormat="false" ht="25.5" hidden="false" customHeight="true" outlineLevel="0" collapsed="false">
      <c r="B6180" s="10"/>
      <c r="C6180" s="10"/>
      <c r="D6180" s="10"/>
      <c r="E6180" s="10"/>
      <c r="F6180" s="10"/>
      <c r="J6180" s="25"/>
      <c r="K6180" s="25"/>
      <c r="L6180" s="25"/>
      <c r="M6180" s="25"/>
      <c r="N6180" s="25"/>
      <c r="O6180" s="25"/>
    </row>
    <row r="6181" customFormat="false" ht="15" hidden="false" customHeight="false" outlineLevel="0" collapsed="false">
      <c r="B6181" s="10"/>
      <c r="C6181" s="10"/>
      <c r="D6181" s="36" t="str">
        <f aca="false">Cab_Ville&amp;", le "&amp;DAY(Date_Courrier)&amp;IF(DAY(Date_Courrier)=1,"er","")&amp;" "&amp;INDEX(Liste_Mois,MONTH(Date_Courrier))&amp;" "&amp;YEAR(Date_Courrier)</f>
        <v>Le Plessis-Bouchard, le 22 septembre 2026</v>
      </c>
      <c r="E6181" s="36"/>
      <c r="F6181" s="36"/>
      <c r="J6181" s="25"/>
      <c r="K6181" s="25"/>
      <c r="L6181" s="25"/>
      <c r="M6181" s="25"/>
      <c r="N6181" s="25"/>
      <c r="O6181" s="25"/>
    </row>
    <row r="6182" customFormat="false" ht="19.5" hidden="false" customHeight="true" outlineLevel="0" collapsed="false">
      <c r="B6182" s="10"/>
      <c r="C6182" s="10"/>
      <c r="D6182" s="10"/>
      <c r="E6182" s="10"/>
      <c r="F6182" s="10"/>
      <c r="J6182" s="25"/>
      <c r="K6182" s="25"/>
      <c r="L6182" s="25"/>
      <c r="M6182" s="25"/>
      <c r="N6182" s="25"/>
      <c r="O6182" s="25"/>
    </row>
    <row r="6183" customFormat="false" ht="15" hidden="false" customHeight="false" outlineLevel="0" collapsed="false">
      <c r="B6183" s="34" t="str">
        <f aca="false">SUBSTITUTE(SUBSTITUTE(SUBSTITUTE(SUBSTITUTE(SUBSTITUTE(Txt_Objet,"{cabinet}",Cab_Nom),"{societe}",IF($K$6166=0,"",INDEX(Clients!$E$2:$E$501,$K$6166)&amp;"")),"{date_effet}",$K$6168),"{hausse}",$K$6169),"{civilite}",$K$6167)</f>
        <v>Objet : révision de nos honoraires au 1er janvier 2027</v>
      </c>
      <c r="C6183" s="34"/>
      <c r="D6183" s="34"/>
      <c r="E6183" s="34"/>
      <c r="F6183" s="34"/>
      <c r="J6183" s="25"/>
      <c r="K6183" s="25"/>
      <c r="L6183" s="25"/>
      <c r="M6183" s="25"/>
      <c r="N6183" s="25"/>
      <c r="O6183" s="25"/>
    </row>
    <row r="6184" customFormat="false" ht="13.5" hidden="false" customHeight="true" outlineLevel="0" collapsed="false">
      <c r="B6184" s="10"/>
      <c r="C6184" s="10"/>
      <c r="D6184" s="10"/>
      <c r="E6184" s="10"/>
      <c r="F6184" s="10"/>
      <c r="J6184" s="25"/>
      <c r="K6184" s="25"/>
      <c r="L6184" s="25"/>
      <c r="M6184" s="25"/>
      <c r="N6184" s="25"/>
      <c r="O6184" s="25"/>
    </row>
    <row r="6185" customFormat="false" ht="15" hidden="false" customHeight="false" outlineLevel="0" collapsed="false">
      <c r="B6185" s="10" t="str">
        <f aca="false">$K$6167&amp;","</f>
        <v>Madame, Monsieur,</v>
      </c>
      <c r="C6185" s="10"/>
      <c r="D6185" s="10"/>
      <c r="E6185" s="10"/>
      <c r="F6185" s="10"/>
      <c r="J6185" s="25"/>
      <c r="K6185" s="25"/>
      <c r="L6185" s="25"/>
      <c r="M6185" s="25"/>
      <c r="N6185" s="25"/>
      <c r="O6185" s="25"/>
    </row>
    <row r="6186" customFormat="false" ht="6" hidden="false" customHeight="true" outlineLevel="0" collapsed="false">
      <c r="B6186" s="10"/>
      <c r="C6186" s="10"/>
      <c r="D6186" s="10"/>
      <c r="E6186" s="10"/>
      <c r="F6186" s="10"/>
      <c r="J6186" s="25"/>
      <c r="K6186" s="25"/>
      <c r="L6186" s="25"/>
      <c r="M6186" s="25"/>
      <c r="N6186" s="25"/>
      <c r="O6186" s="25"/>
    </row>
    <row r="6187" customFormat="false" ht="36.75" hidden="false" customHeight="true" outlineLevel="0" collapsed="false">
      <c r="B6187" s="37" t="str">
        <f aca="false">SUBSTITUTE(SUBSTITUTE(SUBSTITUTE(SUBSTITUTE(SUBSTITUTE(Txt_P1,"{cabinet}",Cab_Nom),"{societe}",IF($K$6166=0,"",INDEX(Clients!$E$2:$E$501,$K$6166)&amp;"")),"{date_effet}",$K$6168),"{hausse}",$K$6169),"{civilite}",$K$6167)</f>
        <v>Nous tenons tout d'abord à vous remercier pour la confiance que vous accordez à ALTHO EXPERTISE. Comme chaque année, et conformément aux dispositions de votre lettre de mission, nous procédons à la révision de nos honoraires.</v>
      </c>
      <c r="C6187" s="37"/>
      <c r="D6187" s="37"/>
      <c r="E6187" s="37"/>
      <c r="F6187" s="37"/>
      <c r="J6187" s="25"/>
      <c r="K6187" s="25"/>
      <c r="L6187" s="25"/>
      <c r="M6187" s="25"/>
      <c r="N6187" s="25"/>
      <c r="O6187" s="25"/>
    </row>
    <row r="6188" customFormat="false" ht="49.5" hidden="false" customHeight="true" outlineLevel="0" collapsed="false">
      <c r="B6188" s="37" t="str">
        <f aca="false">SUBSTITUTE(SUBSTITUTE(SUBSTITUTE(SUBSTITUTE(SUBSTITUTE(Txt_P2,"{cabinet}",Cab_Nom),"{societe}",IF($K$6166=0,"",INDEX(Clients!$E$2:$E$501,$K$6166)&amp;"")),"{date_effet}",$K$6168),"{hausse}",$K$6169),"{civilite}",$K$6167)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188" s="37"/>
      <c r="D6188" s="37"/>
      <c r="E6188" s="37"/>
      <c r="F6188" s="37"/>
      <c r="J6188" s="25"/>
      <c r="K6188" s="25"/>
      <c r="L6188" s="25"/>
      <c r="M6188" s="25"/>
      <c r="N6188" s="25"/>
      <c r="O6188" s="25"/>
    </row>
    <row r="6189" customFormat="false" ht="63" hidden="false" customHeight="true" outlineLevel="0" collapsed="false">
      <c r="B6189" s="37" t="str">
        <f aca="false">SUBSTITUTE(SUBSTITUTE(SUBSTITUTE(SUBSTITUTE(SUBSTITUTE(Txt_P3,"{cabinet}",Cab_Nom),"{societe}",IF($K$6166=0,"",INDEX(Clients!$E$2:$E$501,$K$6166)&amp;"")),"{date_effet}",$K$6168),"{hausse}",$K$6169),"{civilite}",$K$6167)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189" s="37"/>
      <c r="D6189" s="37"/>
      <c r="E6189" s="37"/>
      <c r="F6189" s="37"/>
      <c r="J6189" s="25"/>
      <c r="K6189" s="25"/>
      <c r="L6189" s="25"/>
      <c r="M6189" s="25"/>
      <c r="N6189" s="25"/>
      <c r="O6189" s="25"/>
    </row>
    <row r="6190" customFormat="false" ht="24" hidden="false" customHeight="true" outlineLevel="0" collapsed="false">
      <c r="B6190" s="37" t="str">
        <f aca="false">SUBSTITUTE(SUBSTITUTE(SUBSTITUTE(SUBSTITUTE(SUBSTITUTE(Txt_P4,"{cabinet}",Cab_Nom),"{societe}",IF($K$6166=0,"",INDEX(Clients!$E$2:$E$501,$K$6166)&amp;"")),"{date_effet}",$K$6168),"{hausse}",$K$6169),"{civilite}",$K$6167)</f>
        <v>À compter du 1er janvier 2027, vos honoraires annuels hors taxes évolueront ainsi (évolution globale : ) :</v>
      </c>
      <c r="C6190" s="37"/>
      <c r="D6190" s="37"/>
      <c r="E6190" s="37"/>
      <c r="F6190" s="37"/>
      <c r="J6190" s="25"/>
      <c r="K6190" s="25"/>
      <c r="L6190" s="25"/>
      <c r="M6190" s="25"/>
      <c r="N6190" s="25"/>
      <c r="O6190" s="25"/>
    </row>
    <row r="6191" customFormat="false" ht="3.75" hidden="false" customHeight="true" outlineLevel="0" collapsed="false">
      <c r="B6191" s="10"/>
      <c r="C6191" s="10"/>
      <c r="D6191" s="10"/>
      <c r="E6191" s="10"/>
      <c r="F6191" s="10"/>
      <c r="J6191" s="25"/>
      <c r="K6191" s="25"/>
      <c r="L6191" s="25"/>
      <c r="M6191" s="25"/>
      <c r="N6191" s="25"/>
      <c r="O6191" s="25"/>
    </row>
    <row r="6192" customFormat="false" ht="18" hidden="false" customHeight="true" outlineLevel="0" collapsed="false">
      <c r="B6192" s="38" t="s">
        <v>148</v>
      </c>
      <c r="C6192" s="39" t="s">
        <v>149</v>
      </c>
      <c r="D6192" s="39" t="s">
        <v>150</v>
      </c>
      <c r="E6192" s="39" t="s">
        <v>151</v>
      </c>
      <c r="F6192" s="39" t="s">
        <v>109</v>
      </c>
      <c r="J6192" s="25" t="s">
        <v>152</v>
      </c>
      <c r="K6192" s="25" t="s">
        <v>153</v>
      </c>
      <c r="L6192" s="25" t="s">
        <v>154</v>
      </c>
      <c r="M6192" s="25" t="s">
        <v>155</v>
      </c>
      <c r="N6192" s="25" t="s">
        <v>156</v>
      </c>
      <c r="O6192" s="25" t="s">
        <v>157</v>
      </c>
    </row>
    <row r="6193" customFormat="false" ht="16.5" hidden="false" customHeight="true" outlineLevel="0" collapsed="false">
      <c r="B6193" s="40" t="str">
        <f aca="false">IFERROR(INDEX($J$6193:$J$6196,MATCH($O6193,$N$6193:$N$6196,0)),"")</f>
        <v/>
      </c>
      <c r="C6193" s="41" t="str">
        <f aca="false">IFERROR(INDEX($K$6193:$K$6196,MATCH($O6193,$N$6193:$N$6196,0)),"")</f>
        <v/>
      </c>
      <c r="D6193" s="42" t="str">
        <f aca="false">IF(OR(E6193="",N(C6193)=0),"",E6193/C6193-1)</f>
        <v/>
      </c>
      <c r="E6193" s="41" t="str">
        <f aca="false">IFERROR(INDEX($L$6193:$L$6196,MATCH($O6193,$N$6193:$N$6196,0)),"")</f>
        <v/>
      </c>
      <c r="F6193" s="41" t="str">
        <f aca="false">IF(E6193="","",E6193-C6193)</f>
        <v/>
      </c>
      <c r="J6193" s="25" t="str">
        <f aca="false">Lib_Compta</f>
        <v>Mission comptable (tenue, révision, bilan, liasse fiscale)</v>
      </c>
      <c r="K6193" s="25" t="n">
        <f aca="false">IF($K$6166=0,0,N(INDEX(Clients!$K$2:$K$501,$K$6166)))</f>
        <v>0</v>
      </c>
      <c r="L6193" s="25" t="n">
        <f aca="false">IF($K$6166=0,0,N(INDEX(Clients!$P$2:$P$501,$K$6166)))</f>
        <v>0</v>
      </c>
      <c r="M6193" s="25" t="n">
        <f aca="false">IF(OR(K6193&lt;&gt;0,L6193&lt;&gt;0),1,0)</f>
        <v>0</v>
      </c>
      <c r="N6193" s="25" t="str">
        <f aca="false">IF(M6193=1,SUM($M$6193:M6193),"")</f>
        <v/>
      </c>
      <c r="O6193" s="25" t="n">
        <v>1</v>
      </c>
    </row>
    <row r="6194" customFormat="false" ht="16.5" hidden="false" customHeight="true" outlineLevel="0" collapsed="false">
      <c r="B6194" s="40" t="str">
        <f aca="false">IFERROR(INDEX($J$6193:$J$6196,MATCH($O6194,$N$6193:$N$6196,0)),"")</f>
        <v/>
      </c>
      <c r="C6194" s="41" t="str">
        <f aca="false">IFERROR(INDEX($K$6193:$K$6196,MATCH($O6194,$N$6193:$N$6196,0)),"")</f>
        <v/>
      </c>
      <c r="D6194" s="42" t="str">
        <f aca="false">IF(OR(E6194="",N(C6194)=0),"",E6194/C6194-1)</f>
        <v/>
      </c>
      <c r="E6194" s="41" t="str">
        <f aca="false">IFERROR(INDEX($L$6193:$L$6196,MATCH($O6194,$N$6193:$N$6196,0)),"")</f>
        <v/>
      </c>
      <c r="F6194" s="41" t="str">
        <f aca="false">IF(E6194="","",E6194-C6194)</f>
        <v/>
      </c>
      <c r="J6194" s="25" t="str">
        <f aca="false">Lib_Paye</f>
        <v>Mission sociale (bulletins de paie, DSN, déclarations sociales)</v>
      </c>
      <c r="K6194" s="25" t="n">
        <f aca="false">IF($K$6166=0,0,N(INDEX(Clients!$L$2:$L$501,$K$6166)))</f>
        <v>0</v>
      </c>
      <c r="L6194" s="25" t="n">
        <f aca="false">IF($K$6166=0,0,N(INDEX(Clients!$Q$2:$Q$501,$K$6166)))</f>
        <v>0</v>
      </c>
      <c r="M6194" s="25" t="n">
        <f aca="false">IF(OR(K6194&lt;&gt;0,L6194&lt;&gt;0),1,0)</f>
        <v>0</v>
      </c>
      <c r="N6194" s="25" t="str">
        <f aca="false">IF(M6194=1,SUM($M$6193:M6194),"")</f>
        <v/>
      </c>
      <c r="O6194" s="25" t="n">
        <v>2</v>
      </c>
    </row>
    <row r="6195" customFormat="false" ht="16.5" hidden="false" customHeight="true" outlineLevel="0" collapsed="false">
      <c r="B6195" s="40" t="str">
        <f aca="false">IFERROR(INDEX($J$6193:$J$6196,MATCH($O6195,$N$6193:$N$6196,0)),"")</f>
        <v/>
      </c>
      <c r="C6195" s="41" t="str">
        <f aca="false">IFERROR(INDEX($K$6193:$K$6196,MATCH($O6195,$N$6193:$N$6196,0)),"")</f>
        <v/>
      </c>
      <c r="D6195" s="42" t="str">
        <f aca="false">IF(OR(E6195="",N(C6195)=0),"",E6195/C6195-1)</f>
        <v/>
      </c>
      <c r="E6195" s="41" t="str">
        <f aca="false">IFERROR(INDEX($L$6193:$L$6196,MATCH($O6195,$N$6193:$N$6196,0)),"")</f>
        <v/>
      </c>
      <c r="F6195" s="41" t="str">
        <f aca="false">IF(E6195="","",E6195-C6195)</f>
        <v/>
      </c>
      <c r="J6195" s="25" t="str">
        <f aca="false">Lib_Jur</f>
        <v>Mission juridique (approbation des comptes, secrétariat juridique)</v>
      </c>
      <c r="K6195" s="25" t="n">
        <f aca="false">IF($K$6166=0,0,N(INDEX(Clients!$M$2:$M$501,$K$6166)))</f>
        <v>0</v>
      </c>
      <c r="L6195" s="25" t="n">
        <f aca="false">IF($K$6166=0,0,N(INDEX(Clients!$R$2:$R$501,$K$6166)))</f>
        <v>0</v>
      </c>
      <c r="M6195" s="25" t="n">
        <f aca="false">IF(OR(K6195&lt;&gt;0,L6195&lt;&gt;0),1,0)</f>
        <v>0</v>
      </c>
      <c r="N6195" s="25" t="str">
        <f aca="false">IF(M6195=1,SUM($M$6193:M6195),"")</f>
        <v/>
      </c>
      <c r="O6195" s="25" t="n">
        <v>3</v>
      </c>
    </row>
    <row r="6196" customFormat="false" ht="16.5" hidden="false" customHeight="true" outlineLevel="0" collapsed="false">
      <c r="B6196" s="40" t="str">
        <f aca="false">IFERROR(INDEX($J$6193:$J$6196,MATCH($O6196,$N$6193:$N$6196,0)),"")</f>
        <v/>
      </c>
      <c r="C6196" s="41" t="str">
        <f aca="false">IFERROR(INDEX($K$6193:$K$6196,MATCH($O6196,$N$6193:$N$6196,0)),"")</f>
        <v/>
      </c>
      <c r="D6196" s="42" t="str">
        <f aca="false">IF(OR(E6196="",N(C6196)=0),"",E6196/C6196-1)</f>
        <v/>
      </c>
      <c r="E6196" s="41" t="str">
        <f aca="false">IFERROR(INDEX($L$6193:$L$6196,MATCH($O6196,$N$6193:$N$6196,0)),"")</f>
        <v/>
      </c>
      <c r="F6196" s="41" t="str">
        <f aca="false">IF(E6196="","",E6196-C6196)</f>
        <v/>
      </c>
      <c r="J6196" s="25" t="str">
        <f aca="false">Lib_PA</f>
        <v>Plateforme agréée – facturation électronique</v>
      </c>
      <c r="K6196" s="25" t="n">
        <f aca="false">IF($K$6166=0,0,N(INDEX(Clients!$N$2:$N$501,$K$6166)))</f>
        <v>0</v>
      </c>
      <c r="L6196" s="25" t="n">
        <f aca="false">IF($K$6166=0,0,N(INDEX(Clients!$S$2:$S$501,$K$6166)))</f>
        <v>0</v>
      </c>
      <c r="M6196" s="25" t="n">
        <f aca="false">IF(OR(K6196&lt;&gt;0,L6196&lt;&gt;0),1,0)</f>
        <v>0</v>
      </c>
      <c r="N6196" s="25" t="str">
        <f aca="false">IF(M6196=1,SUM($M$6193:M6196),"")</f>
        <v/>
      </c>
      <c r="O6196" s="25" t="n">
        <v>4</v>
      </c>
    </row>
    <row r="6197" customFormat="false" ht="18" hidden="false" customHeight="true" outlineLevel="0" collapsed="false">
      <c r="B6197" s="43" t="s">
        <v>158</v>
      </c>
      <c r="C6197" s="44" t="n">
        <f aca="false">SUM(K6193:K6196)</f>
        <v>0</v>
      </c>
      <c r="D6197" s="45" t="str">
        <f aca="false">IF(N(C6197)=0,"",E6197/C6197-1)</f>
        <v/>
      </c>
      <c r="E6197" s="44" t="n">
        <f aca="false">SUM(L6193:L6196)</f>
        <v>0</v>
      </c>
      <c r="F6197" s="44" t="n">
        <f aca="false">E6197-C6197</f>
        <v>0</v>
      </c>
    </row>
    <row r="6198" customFormat="false" ht="15" hidden="false" customHeight="false" outlineLevel="0" collapsed="false">
      <c r="B6198" s="46" t="str">
        <f aca="false">IF(N(Nb_Mensualites)=0,"","Soit "&amp;FIXED(E6197/Nb_Mensualites,2)&amp;" € HT par échéance ("&amp;Nb_Mensualites&amp;" échéances), "&amp;FIXED(E6197/Nb_Mensualites*(1+Taux_TVA),2)&amp;" € TTC.")</f>
        <v>Soit 0.00 € HT par échéance (12 échéances), 0.00 € TTC.</v>
      </c>
      <c r="C6198" s="46"/>
      <c r="D6198" s="46"/>
      <c r="E6198" s="46"/>
      <c r="F6198" s="46"/>
    </row>
    <row r="6199" customFormat="false" ht="7.5" hidden="false" customHeight="true" outlineLevel="0" collapsed="false">
      <c r="B6199" s="10"/>
      <c r="C6199" s="10"/>
      <c r="D6199" s="10"/>
      <c r="E6199" s="10"/>
      <c r="F6199" s="10"/>
    </row>
    <row r="6200" customFormat="false" ht="36.75" hidden="false" customHeight="true" outlineLevel="0" collapsed="false">
      <c r="B6200" s="37" t="str">
        <f aca="false">SUBSTITUTE(SUBSTITUTE(SUBSTITUTE(SUBSTITUTE(SUBSTITUTE(Txt_P5,"{cabinet}",Cab_Nom),"{societe}",IF($K$6166=0,"",INDEX(Clients!$E$2:$E$501,$K$6166)&amp;"")),"{date_effet}",$K$6168),"{hausse}",$K$6169),"{civilite}",$K$6167)</f>
        <v>Les autres conditions de votre lettre de mission demeurent inchangées. Les nouveaux montants seront appliqués automatiquement sur vos prochaines factures et échéances de prélèvement.</v>
      </c>
      <c r="C6200" s="37"/>
      <c r="D6200" s="37"/>
      <c r="E6200" s="37"/>
      <c r="F6200" s="37"/>
    </row>
    <row r="6201" customFormat="false" ht="36.75" hidden="false" customHeight="true" outlineLevel="0" collapsed="false">
      <c r="B6201" s="37" t="str">
        <f aca="false">SUBSTITUTE(SUBSTITUTE(SUBSTITUTE(SUBSTITUTE(SUBSTITUTE(Txt_P6,"{cabinet}",Cab_Nom),"{societe}",IF($K$6166=0,"",INDEX(Clients!$E$2:$E$501,$K$6166)&amp;"")),"{date_effet}",$K$6168),"{hausse}",$K$6169),"{civilite}",$K$6167)</f>
        <v>Votre interlocuteur habituel reste à votre entière disposition pour répondre à vos questions et faire le point sur l'évolution de vos besoins.</v>
      </c>
      <c r="C6201" s="37"/>
      <c r="D6201" s="37"/>
      <c r="E6201" s="37"/>
      <c r="F6201" s="37"/>
    </row>
    <row r="6202" customFormat="false" ht="24" hidden="false" customHeight="true" outlineLevel="0" collapsed="false">
      <c r="B6202" s="37" t="str">
        <f aca="false">SUBSTITUTE(SUBSTITUTE(SUBSTITUTE(SUBSTITUTE(SUBSTITUTE(Txt_Politesse,"{cabinet}",Cab_Nom),"{societe}",IF($K$6166=0,"",INDEX(Clients!$E$2:$E$501,$K$6166)&amp;"")),"{date_effet}",$K$6168),"{hausse}",$K$6169),"{civilite}",$K$6167)</f>
        <v>Nous vous prions d'agréer, Madame, Monsieur, l'expression de nos salutations distinguées.</v>
      </c>
      <c r="C6202" s="37"/>
      <c r="D6202" s="37"/>
      <c r="E6202" s="37"/>
      <c r="F6202" s="37"/>
    </row>
    <row r="6203" customFormat="false" ht="15" hidden="false" customHeight="false" outlineLevel="0" collapsed="false">
      <c r="B6203" s="10"/>
      <c r="C6203" s="10"/>
      <c r="D6203" s="10"/>
      <c r="E6203" s="10"/>
      <c r="F6203" s="10"/>
    </row>
    <row r="6204" customFormat="false" ht="15" hidden="false" customHeight="false" outlineLevel="0" collapsed="false">
      <c r="B6204" s="10"/>
      <c r="C6204" s="10"/>
      <c r="D6204" s="34" t="str">
        <f aca="false">Signataire</f>
        <v>Prénom NOM</v>
      </c>
      <c r="E6204" s="34"/>
      <c r="F6204" s="34"/>
    </row>
    <row r="6205" customFormat="false" ht="15" hidden="false" customHeight="false" outlineLevel="0" collapsed="false">
      <c r="B6205" s="10"/>
      <c r="C6205" s="10"/>
      <c r="D6205" s="47" t="str">
        <f aca="false">Signataire_Titre</f>
        <v>Expert-comptable associé</v>
      </c>
      <c r="E6205" s="47"/>
      <c r="F6205" s="47"/>
    </row>
    <row r="6206" customFormat="false" ht="15.75" hidden="false" customHeight="true" outlineLevel="0" collapsed="false">
      <c r="B6206" s="10"/>
      <c r="C6206" s="10"/>
      <c r="D6206" s="10"/>
      <c r="E6206" s="10"/>
      <c r="F6206" s="10"/>
    </row>
    <row r="6207" customFormat="false" ht="15.75" hidden="false" customHeight="true" outlineLevel="0" collapsed="false">
      <c r="B6207" s="10"/>
      <c r="C6207" s="10"/>
      <c r="D6207" s="10"/>
      <c r="E6207" s="10"/>
      <c r="F6207" s="10"/>
    </row>
    <row r="6208" customFormat="false" ht="15.75" hidden="false" customHeight="true" outlineLevel="0" collapsed="false">
      <c r="B6208" s="10"/>
      <c r="C6208" s="10"/>
      <c r="D6208" s="10"/>
      <c r="E6208" s="10"/>
      <c r="F6208" s="10"/>
    </row>
    <row r="6209" customFormat="false" ht="15.75" hidden="false" customHeight="true" outlineLevel="0" collapsed="false">
      <c r="B6209" s="10"/>
      <c r="C6209" s="10"/>
      <c r="D6209" s="10"/>
      <c r="E6209" s="10"/>
      <c r="F6209" s="10"/>
    </row>
    <row r="6210" customFormat="false" ht="24" hidden="false" customHeight="true" outlineLevel="0" collapsed="false">
      <c r="B6210" s="48" t="str">
        <f aca="false">Cab_Mentions</f>
        <v>ALTHO EXPERTISE · SAS au capital de 10 000 € · RCS Pontoise 919 706 325 · TVA FR62919706325 · Société d'expertise comptable inscrite au Tableau de l'Ordre des experts-comptables de Paris Île-de-France</v>
      </c>
      <c r="C6210" s="48"/>
      <c r="D6210" s="48"/>
      <c r="E6210" s="48"/>
      <c r="F6210" s="48"/>
    </row>
    <row r="6211" customFormat="false" ht="15" hidden="false" customHeight="false" outlineLevel="0" collapsed="false">
      <c r="B6211" s="10"/>
      <c r="C6211" s="10"/>
      <c r="D6211" s="10"/>
      <c r="E6211" s="10"/>
      <c r="F6211" s="10"/>
      <c r="J6211" s="25" t="s">
        <v>142</v>
      </c>
      <c r="K6211" s="25" t="n">
        <f aca="false">IFERROR(MATCH(139,Clients!$Z$2:$Z$501,0),0)</f>
        <v>0</v>
      </c>
      <c r="L6211" s="25"/>
      <c r="M6211" s="25"/>
      <c r="N6211" s="25"/>
      <c r="O6211" s="25"/>
    </row>
    <row r="6212" customFormat="false" ht="21.75" hidden="false" customHeight="true" outlineLevel="0" collapsed="false">
      <c r="B6212" s="26" t="str">
        <f aca="false">Cab_Nom</f>
        <v>ALTHO EXPERTISE</v>
      </c>
      <c r="C6212" s="26"/>
      <c r="D6212" s="10"/>
      <c r="E6212" s="27" t="str">
        <f aca="false">IF($K$6211=0,"","Réf. client : "&amp;INDEX(Clients!$A$2:$A$501,$K$6211))</f>
        <v/>
      </c>
      <c r="F6212" s="27"/>
      <c r="J6212" s="25" t="s">
        <v>144</v>
      </c>
      <c r="K6212" s="25" t="str">
        <f aca="false">IF(IF($K$6211=0,"",INDEX(Clients!$B$2:$B$501,$K$6211)&amp;"")="Mme","Madame",IF(IF($K$6211=0,"",INDEX(Clients!$B$2:$B$501,$K$6211)&amp;"")="M.","Monsieur","Madame, Monsieur"))</f>
        <v>Madame, Monsieur</v>
      </c>
      <c r="L6212" s="25"/>
      <c r="M6212" s="25"/>
      <c r="N6212" s="25"/>
      <c r="O6212" s="25"/>
    </row>
    <row r="6213" customFormat="false" ht="15" hidden="false" customHeight="false" outlineLevel="0" collapsed="false">
      <c r="B6213" s="29" t="str">
        <f aca="false">Cab_Adr1</f>
        <v>141 rue Charles de Gaulle</v>
      </c>
      <c r="C6213" s="29"/>
      <c r="D6213" s="10"/>
      <c r="E6213" s="10"/>
      <c r="F6213" s="10"/>
      <c r="J6213" s="25" t="s">
        <v>145</v>
      </c>
      <c r="K6213" s="25" t="str">
        <f aca="false">DAY(Date_Effet)&amp;IF(DAY(Date_Effet)=1,"er","")&amp;" "&amp;INDEX(Liste_Mois,MONTH(Date_Effet))&amp;" "&amp;YEAR(Date_Effet)</f>
        <v>1er janvier 2027</v>
      </c>
      <c r="L6213" s="25"/>
      <c r="M6213" s="25"/>
      <c r="N6213" s="25"/>
      <c r="O6213" s="25"/>
    </row>
    <row r="6214" customFormat="false" ht="15" hidden="false" customHeight="false" outlineLevel="0" collapsed="false">
      <c r="B6214" s="29" t="str">
        <f aca="false">Cab_CPVille</f>
        <v>95130 LE PLESSIS-BOUCHARD</v>
      </c>
      <c r="C6214" s="29"/>
      <c r="D6214" s="10"/>
      <c r="E6214" s="10"/>
      <c r="F6214" s="10"/>
      <c r="J6214" s="25" t="s">
        <v>146</v>
      </c>
      <c r="K6214" s="25" t="str">
        <f aca="false">IF(SUM($K$6238:$K$6241)=0,"",FIXED((SUM($L$6238:$L$6241)/SUM($K$6238:$K$6241)-1)*100,1)&amp;" %")</f>
        <v/>
      </c>
      <c r="L6214" s="25"/>
      <c r="M6214" s="25"/>
      <c r="N6214" s="25"/>
      <c r="O6214" s="25"/>
    </row>
    <row r="6215" customFormat="false" ht="15" hidden="false" customHeight="false" outlineLevel="0" collapsed="false">
      <c r="B6215" s="29" t="str">
        <f aca="false">Cab_Contact</f>
        <v>Tél. 01 34 14 53 45  ·  altho@altho-experts.com  ·  altho-experts.com</v>
      </c>
      <c r="C6215" s="29"/>
      <c r="D6215" s="10"/>
      <c r="E6215" s="10"/>
      <c r="F6215" s="10"/>
      <c r="J6215" s="25"/>
      <c r="K6215" s="25"/>
      <c r="L6215" s="25"/>
      <c r="M6215" s="25"/>
      <c r="N6215" s="25"/>
      <c r="O6215" s="25"/>
    </row>
    <row r="6216" customFormat="false" ht="6" hidden="false" customHeight="true" outlineLevel="0" collapsed="false">
      <c r="B6216" s="32"/>
      <c r="C6216" s="32"/>
      <c r="D6216" s="32"/>
      <c r="E6216" s="32"/>
      <c r="F6216" s="32"/>
      <c r="J6216" s="25"/>
      <c r="K6216" s="25"/>
      <c r="L6216" s="25"/>
      <c r="M6216" s="25"/>
      <c r="N6216" s="25"/>
      <c r="O6216" s="25"/>
    </row>
    <row r="6217" customFormat="false" ht="13.5" hidden="false" customHeight="true" outlineLevel="0" collapsed="false">
      <c r="B6217" s="10"/>
      <c r="C6217" s="10"/>
      <c r="D6217" s="10"/>
      <c r="E6217" s="10"/>
      <c r="F6217" s="10"/>
      <c r="J6217" s="25"/>
      <c r="K6217" s="25"/>
      <c r="L6217" s="25"/>
      <c r="M6217" s="25"/>
      <c r="N6217" s="25"/>
      <c r="O6217" s="25"/>
    </row>
    <row r="6218" customFormat="false" ht="13.5" hidden="false" customHeight="true" outlineLevel="0" collapsed="false">
      <c r="B6218" s="10"/>
      <c r="C6218" s="10"/>
      <c r="D6218" s="10"/>
      <c r="E6218" s="10"/>
      <c r="F6218" s="10"/>
      <c r="J6218" s="25"/>
      <c r="K6218" s="25"/>
      <c r="L6218" s="25"/>
      <c r="M6218" s="25"/>
      <c r="N6218" s="25"/>
      <c r="O6218" s="25"/>
    </row>
    <row r="6219" customFormat="false" ht="13.5" hidden="false" customHeight="true" outlineLevel="0" collapsed="false">
      <c r="B6219" s="10"/>
      <c r="C6219" s="10"/>
      <c r="D6219" s="10"/>
      <c r="E6219" s="10"/>
      <c r="F6219" s="10"/>
      <c r="J6219" s="25"/>
      <c r="K6219" s="25"/>
      <c r="L6219" s="25"/>
      <c r="M6219" s="25"/>
      <c r="N6219" s="25"/>
      <c r="O6219" s="25"/>
    </row>
    <row r="6220" customFormat="false" ht="15" hidden="false" customHeight="true" outlineLevel="0" collapsed="false">
      <c r="B6220" s="10"/>
      <c r="C6220" s="10"/>
      <c r="D6220" s="34" t="str">
        <f aca="false">IF($K$6211=0,"",INDEX(Clients!$E$2:$E$501,$K$6211)&amp;"")</f>
        <v/>
      </c>
      <c r="E6220" s="34"/>
      <c r="F6220" s="34"/>
      <c r="J6220" s="25"/>
      <c r="K6220" s="25"/>
      <c r="L6220" s="25"/>
      <c r="M6220" s="25"/>
      <c r="N6220" s="25"/>
      <c r="O6220" s="25"/>
    </row>
    <row r="6221" customFormat="false" ht="15" hidden="false" customHeight="true" outlineLevel="0" collapsed="false">
      <c r="B6221" s="10"/>
      <c r="C6221" s="10"/>
      <c r="D6221" s="35" t="str">
        <f aca="false">IF(IF($K$6211=0,"",INDEX(Clients!$D$2:$D$501,$K$6211)&amp;"")="","","À l'attention de "&amp;TRIM(IF($K$6211=0,"",INDEX(Clients!$B$2:$B$501,$K$6211)&amp;"")&amp;" "&amp;IF($K$6211=0,"",INDEX(Clients!$C$2:$C$501,$K$6211)&amp;"")&amp;" "&amp;IF($K$6211=0,"",INDEX(Clients!$D$2:$D$501,$K$6211)&amp;"")))</f>
        <v/>
      </c>
      <c r="E6221" s="35"/>
      <c r="F6221" s="35"/>
      <c r="J6221" s="25"/>
      <c r="K6221" s="25"/>
      <c r="L6221" s="25"/>
      <c r="M6221" s="25"/>
      <c r="N6221" s="25"/>
      <c r="O6221" s="25"/>
    </row>
    <row r="6222" customFormat="false" ht="15" hidden="false" customHeight="true" outlineLevel="0" collapsed="false">
      <c r="B6222" s="10"/>
      <c r="C6222" s="10"/>
      <c r="D6222" s="35" t="str">
        <f aca="false">IF($K$6211=0,"",INDEX(Clients!$F$2:$F$501,$K$6211)&amp;"")</f>
        <v/>
      </c>
      <c r="E6222" s="35"/>
      <c r="F6222" s="35"/>
      <c r="J6222" s="25"/>
      <c r="K6222" s="25"/>
      <c r="L6222" s="25"/>
      <c r="M6222" s="25"/>
      <c r="N6222" s="25"/>
      <c r="O6222" s="25"/>
    </row>
    <row r="6223" customFormat="false" ht="15" hidden="false" customHeight="true" outlineLevel="0" collapsed="false">
      <c r="B6223" s="10"/>
      <c r="C6223" s="10"/>
      <c r="D6223" s="35" t="str">
        <f aca="false">IF(IF($K$6211=0,"",INDEX(Clients!$G$2:$G$501,$K$6211)&amp;"")="",TRIM(IF($K$6211=0,"",INDEX(Clients!$H$2:$H$501,$K$6211)&amp;"")&amp;" "&amp;UPPER(IF($K$6211=0,"",INDEX(Clients!$I$2:$I$501,$K$6211)&amp;""))),IF($K$6211=0,"",INDEX(Clients!$G$2:$G$501,$K$6211)&amp;""))</f>
        <v/>
      </c>
      <c r="E6223" s="35"/>
      <c r="F6223" s="35"/>
      <c r="J6223" s="25"/>
      <c r="K6223" s="25"/>
      <c r="L6223" s="25"/>
      <c r="M6223" s="25"/>
      <c r="N6223" s="25"/>
      <c r="O6223" s="25"/>
    </row>
    <row r="6224" customFormat="false" ht="15" hidden="false" customHeight="true" outlineLevel="0" collapsed="false">
      <c r="B6224" s="10"/>
      <c r="C6224" s="10"/>
      <c r="D6224" s="35" t="str">
        <f aca="false">IF(IF($K$6211=0,"",INDEX(Clients!$G$2:$G$501,$K$6211)&amp;"")="","",TRIM(IF($K$6211=0,"",INDEX(Clients!$H$2:$H$501,$K$6211)&amp;"")&amp;" "&amp;UPPER(IF($K$6211=0,"",INDEX(Clients!$I$2:$I$501,$K$6211)&amp;""))))</f>
        <v/>
      </c>
      <c r="E6224" s="35"/>
      <c r="F6224" s="35"/>
      <c r="J6224" s="25"/>
      <c r="K6224" s="25"/>
      <c r="L6224" s="25"/>
      <c r="M6224" s="25"/>
      <c r="N6224" s="25"/>
      <c r="O6224" s="25"/>
    </row>
    <row r="6225" customFormat="false" ht="25.5" hidden="false" customHeight="true" outlineLevel="0" collapsed="false">
      <c r="B6225" s="10"/>
      <c r="C6225" s="10"/>
      <c r="D6225" s="10"/>
      <c r="E6225" s="10"/>
      <c r="F6225" s="10"/>
      <c r="J6225" s="25"/>
      <c r="K6225" s="25"/>
      <c r="L6225" s="25"/>
      <c r="M6225" s="25"/>
      <c r="N6225" s="25"/>
      <c r="O6225" s="25"/>
    </row>
    <row r="6226" customFormat="false" ht="15" hidden="false" customHeight="false" outlineLevel="0" collapsed="false">
      <c r="B6226" s="10"/>
      <c r="C6226" s="10"/>
      <c r="D6226" s="36" t="str">
        <f aca="false">Cab_Ville&amp;", le "&amp;DAY(Date_Courrier)&amp;IF(DAY(Date_Courrier)=1,"er","")&amp;" "&amp;INDEX(Liste_Mois,MONTH(Date_Courrier))&amp;" "&amp;YEAR(Date_Courrier)</f>
        <v>Le Plessis-Bouchard, le 22 septembre 2026</v>
      </c>
      <c r="E6226" s="36"/>
      <c r="F6226" s="36"/>
      <c r="J6226" s="25"/>
      <c r="K6226" s="25"/>
      <c r="L6226" s="25"/>
      <c r="M6226" s="25"/>
      <c r="N6226" s="25"/>
      <c r="O6226" s="25"/>
    </row>
    <row r="6227" customFormat="false" ht="19.5" hidden="false" customHeight="true" outlineLevel="0" collapsed="false">
      <c r="B6227" s="10"/>
      <c r="C6227" s="10"/>
      <c r="D6227" s="10"/>
      <c r="E6227" s="10"/>
      <c r="F6227" s="10"/>
      <c r="J6227" s="25"/>
      <c r="K6227" s="25"/>
      <c r="L6227" s="25"/>
      <c r="M6227" s="25"/>
      <c r="N6227" s="25"/>
      <c r="O6227" s="25"/>
    </row>
    <row r="6228" customFormat="false" ht="15" hidden="false" customHeight="false" outlineLevel="0" collapsed="false">
      <c r="B6228" s="34" t="str">
        <f aca="false">SUBSTITUTE(SUBSTITUTE(SUBSTITUTE(SUBSTITUTE(SUBSTITUTE(Txt_Objet,"{cabinet}",Cab_Nom),"{societe}",IF($K$6211=0,"",INDEX(Clients!$E$2:$E$501,$K$6211)&amp;"")),"{date_effet}",$K$6213),"{hausse}",$K$6214),"{civilite}",$K$6212)</f>
        <v>Objet : révision de nos honoraires au 1er janvier 2027</v>
      </c>
      <c r="C6228" s="34"/>
      <c r="D6228" s="34"/>
      <c r="E6228" s="34"/>
      <c r="F6228" s="34"/>
      <c r="J6228" s="25"/>
      <c r="K6228" s="25"/>
      <c r="L6228" s="25"/>
      <c r="M6228" s="25"/>
      <c r="N6228" s="25"/>
      <c r="O6228" s="25"/>
    </row>
    <row r="6229" customFormat="false" ht="13.5" hidden="false" customHeight="true" outlineLevel="0" collapsed="false">
      <c r="B6229" s="10"/>
      <c r="C6229" s="10"/>
      <c r="D6229" s="10"/>
      <c r="E6229" s="10"/>
      <c r="F6229" s="10"/>
      <c r="J6229" s="25"/>
      <c r="K6229" s="25"/>
      <c r="L6229" s="25"/>
      <c r="M6229" s="25"/>
      <c r="N6229" s="25"/>
      <c r="O6229" s="25"/>
    </row>
    <row r="6230" customFormat="false" ht="15" hidden="false" customHeight="false" outlineLevel="0" collapsed="false">
      <c r="B6230" s="10" t="str">
        <f aca="false">$K$6212&amp;","</f>
        <v>Madame, Monsieur,</v>
      </c>
      <c r="C6230" s="10"/>
      <c r="D6230" s="10"/>
      <c r="E6230" s="10"/>
      <c r="F6230" s="10"/>
      <c r="J6230" s="25"/>
      <c r="K6230" s="25"/>
      <c r="L6230" s="25"/>
      <c r="M6230" s="25"/>
      <c r="N6230" s="25"/>
      <c r="O6230" s="25"/>
    </row>
    <row r="6231" customFormat="false" ht="6" hidden="false" customHeight="true" outlineLevel="0" collapsed="false">
      <c r="B6231" s="10"/>
      <c r="C6231" s="10"/>
      <c r="D6231" s="10"/>
      <c r="E6231" s="10"/>
      <c r="F6231" s="10"/>
      <c r="J6231" s="25"/>
      <c r="K6231" s="25"/>
      <c r="L6231" s="25"/>
      <c r="M6231" s="25"/>
      <c r="N6231" s="25"/>
      <c r="O6231" s="25"/>
    </row>
    <row r="6232" customFormat="false" ht="36.75" hidden="false" customHeight="true" outlineLevel="0" collapsed="false">
      <c r="B6232" s="37" t="str">
        <f aca="false">SUBSTITUTE(SUBSTITUTE(SUBSTITUTE(SUBSTITUTE(SUBSTITUTE(Txt_P1,"{cabinet}",Cab_Nom),"{societe}",IF($K$6211=0,"",INDEX(Clients!$E$2:$E$501,$K$6211)&amp;"")),"{date_effet}",$K$6213),"{hausse}",$K$6214),"{civilite}",$K$6212)</f>
        <v>Nous tenons tout d'abord à vous remercier pour la confiance que vous accordez à ALTHO EXPERTISE. Comme chaque année, et conformément aux dispositions de votre lettre de mission, nous procédons à la révision de nos honoraires.</v>
      </c>
      <c r="C6232" s="37"/>
      <c r="D6232" s="37"/>
      <c r="E6232" s="37"/>
      <c r="F6232" s="37"/>
      <c r="J6232" s="25"/>
      <c r="K6232" s="25"/>
      <c r="L6232" s="25"/>
      <c r="M6232" s="25"/>
      <c r="N6232" s="25"/>
      <c r="O6232" s="25"/>
    </row>
    <row r="6233" customFormat="false" ht="49.5" hidden="false" customHeight="true" outlineLevel="0" collapsed="false">
      <c r="B6233" s="37" t="str">
        <f aca="false">SUBSTITUTE(SUBSTITUTE(SUBSTITUTE(SUBSTITUTE(SUBSTITUTE(Txt_P2,"{cabinet}",Cab_Nom),"{societe}",IF($K$6211=0,"",INDEX(Clients!$E$2:$E$501,$K$6211)&amp;"")),"{date_effet}",$K$6213),"{hausse}",$K$6214),"{civilite}",$K$6212)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233" s="37"/>
      <c r="D6233" s="37"/>
      <c r="E6233" s="37"/>
      <c r="F6233" s="37"/>
      <c r="J6233" s="25"/>
      <c r="K6233" s="25"/>
      <c r="L6233" s="25"/>
      <c r="M6233" s="25"/>
      <c r="N6233" s="25"/>
      <c r="O6233" s="25"/>
    </row>
    <row r="6234" customFormat="false" ht="63" hidden="false" customHeight="true" outlineLevel="0" collapsed="false">
      <c r="B6234" s="37" t="str">
        <f aca="false">SUBSTITUTE(SUBSTITUTE(SUBSTITUTE(SUBSTITUTE(SUBSTITUTE(Txt_P3,"{cabinet}",Cab_Nom),"{societe}",IF($K$6211=0,"",INDEX(Clients!$E$2:$E$501,$K$6211)&amp;"")),"{date_effet}",$K$6213),"{hausse}",$K$6214),"{civilite}",$K$6212)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234" s="37"/>
      <c r="D6234" s="37"/>
      <c r="E6234" s="37"/>
      <c r="F6234" s="37"/>
      <c r="J6234" s="25"/>
      <c r="K6234" s="25"/>
      <c r="L6234" s="25"/>
      <c r="M6234" s="25"/>
      <c r="N6234" s="25"/>
      <c r="O6234" s="25"/>
    </row>
    <row r="6235" customFormat="false" ht="24" hidden="false" customHeight="true" outlineLevel="0" collapsed="false">
      <c r="B6235" s="37" t="str">
        <f aca="false">SUBSTITUTE(SUBSTITUTE(SUBSTITUTE(SUBSTITUTE(SUBSTITUTE(Txt_P4,"{cabinet}",Cab_Nom),"{societe}",IF($K$6211=0,"",INDEX(Clients!$E$2:$E$501,$K$6211)&amp;"")),"{date_effet}",$K$6213),"{hausse}",$K$6214),"{civilite}",$K$6212)</f>
        <v>À compter du 1er janvier 2027, vos honoraires annuels hors taxes évolueront ainsi (évolution globale : ) :</v>
      </c>
      <c r="C6235" s="37"/>
      <c r="D6235" s="37"/>
      <c r="E6235" s="37"/>
      <c r="F6235" s="37"/>
      <c r="J6235" s="25"/>
      <c r="K6235" s="25"/>
      <c r="L6235" s="25"/>
      <c r="M6235" s="25"/>
      <c r="N6235" s="25"/>
      <c r="O6235" s="25"/>
    </row>
    <row r="6236" customFormat="false" ht="3.75" hidden="false" customHeight="true" outlineLevel="0" collapsed="false">
      <c r="B6236" s="10"/>
      <c r="C6236" s="10"/>
      <c r="D6236" s="10"/>
      <c r="E6236" s="10"/>
      <c r="F6236" s="10"/>
      <c r="J6236" s="25"/>
      <c r="K6236" s="25"/>
      <c r="L6236" s="25"/>
      <c r="M6236" s="25"/>
      <c r="N6236" s="25"/>
      <c r="O6236" s="25"/>
    </row>
    <row r="6237" customFormat="false" ht="18" hidden="false" customHeight="true" outlineLevel="0" collapsed="false">
      <c r="B6237" s="38" t="s">
        <v>148</v>
      </c>
      <c r="C6237" s="39" t="s">
        <v>149</v>
      </c>
      <c r="D6237" s="39" t="s">
        <v>150</v>
      </c>
      <c r="E6237" s="39" t="s">
        <v>151</v>
      </c>
      <c r="F6237" s="39" t="s">
        <v>109</v>
      </c>
      <c r="J6237" s="25" t="s">
        <v>152</v>
      </c>
      <c r="K6237" s="25" t="s">
        <v>153</v>
      </c>
      <c r="L6237" s="25" t="s">
        <v>154</v>
      </c>
      <c r="M6237" s="25" t="s">
        <v>155</v>
      </c>
      <c r="N6237" s="25" t="s">
        <v>156</v>
      </c>
      <c r="O6237" s="25" t="s">
        <v>157</v>
      </c>
    </row>
    <row r="6238" customFormat="false" ht="16.5" hidden="false" customHeight="true" outlineLevel="0" collapsed="false">
      <c r="B6238" s="40" t="str">
        <f aca="false">IFERROR(INDEX($J$6238:$J$6241,MATCH($O6238,$N$6238:$N$6241,0)),"")</f>
        <v/>
      </c>
      <c r="C6238" s="41" t="str">
        <f aca="false">IFERROR(INDEX($K$6238:$K$6241,MATCH($O6238,$N$6238:$N$6241,0)),"")</f>
        <v/>
      </c>
      <c r="D6238" s="42" t="str">
        <f aca="false">IF(OR(E6238="",N(C6238)=0),"",E6238/C6238-1)</f>
        <v/>
      </c>
      <c r="E6238" s="41" t="str">
        <f aca="false">IFERROR(INDEX($L$6238:$L$6241,MATCH($O6238,$N$6238:$N$6241,0)),"")</f>
        <v/>
      </c>
      <c r="F6238" s="41" t="str">
        <f aca="false">IF(E6238="","",E6238-C6238)</f>
        <v/>
      </c>
      <c r="J6238" s="25" t="str">
        <f aca="false">Lib_Compta</f>
        <v>Mission comptable (tenue, révision, bilan, liasse fiscale)</v>
      </c>
      <c r="K6238" s="25" t="n">
        <f aca="false">IF($K$6211=0,0,N(INDEX(Clients!$K$2:$K$501,$K$6211)))</f>
        <v>0</v>
      </c>
      <c r="L6238" s="25" t="n">
        <f aca="false">IF($K$6211=0,0,N(INDEX(Clients!$P$2:$P$501,$K$6211)))</f>
        <v>0</v>
      </c>
      <c r="M6238" s="25" t="n">
        <f aca="false">IF(OR(K6238&lt;&gt;0,L6238&lt;&gt;0),1,0)</f>
        <v>0</v>
      </c>
      <c r="N6238" s="25" t="str">
        <f aca="false">IF(M6238=1,SUM($M$6238:M6238),"")</f>
        <v/>
      </c>
      <c r="O6238" s="25" t="n">
        <v>1</v>
      </c>
    </row>
    <row r="6239" customFormat="false" ht="16.5" hidden="false" customHeight="true" outlineLevel="0" collapsed="false">
      <c r="B6239" s="40" t="str">
        <f aca="false">IFERROR(INDEX($J$6238:$J$6241,MATCH($O6239,$N$6238:$N$6241,0)),"")</f>
        <v/>
      </c>
      <c r="C6239" s="41" t="str">
        <f aca="false">IFERROR(INDEX($K$6238:$K$6241,MATCH($O6239,$N$6238:$N$6241,0)),"")</f>
        <v/>
      </c>
      <c r="D6239" s="42" t="str">
        <f aca="false">IF(OR(E6239="",N(C6239)=0),"",E6239/C6239-1)</f>
        <v/>
      </c>
      <c r="E6239" s="41" t="str">
        <f aca="false">IFERROR(INDEX($L$6238:$L$6241,MATCH($O6239,$N$6238:$N$6241,0)),"")</f>
        <v/>
      </c>
      <c r="F6239" s="41" t="str">
        <f aca="false">IF(E6239="","",E6239-C6239)</f>
        <v/>
      </c>
      <c r="J6239" s="25" t="str">
        <f aca="false">Lib_Paye</f>
        <v>Mission sociale (bulletins de paie, DSN, déclarations sociales)</v>
      </c>
      <c r="K6239" s="25" t="n">
        <f aca="false">IF($K$6211=0,0,N(INDEX(Clients!$L$2:$L$501,$K$6211)))</f>
        <v>0</v>
      </c>
      <c r="L6239" s="25" t="n">
        <f aca="false">IF($K$6211=0,0,N(INDEX(Clients!$Q$2:$Q$501,$K$6211)))</f>
        <v>0</v>
      </c>
      <c r="M6239" s="25" t="n">
        <f aca="false">IF(OR(K6239&lt;&gt;0,L6239&lt;&gt;0),1,0)</f>
        <v>0</v>
      </c>
      <c r="N6239" s="25" t="str">
        <f aca="false">IF(M6239=1,SUM($M$6238:M6239),"")</f>
        <v/>
      </c>
      <c r="O6239" s="25" t="n">
        <v>2</v>
      </c>
    </row>
    <row r="6240" customFormat="false" ht="16.5" hidden="false" customHeight="true" outlineLevel="0" collapsed="false">
      <c r="B6240" s="40" t="str">
        <f aca="false">IFERROR(INDEX($J$6238:$J$6241,MATCH($O6240,$N$6238:$N$6241,0)),"")</f>
        <v/>
      </c>
      <c r="C6240" s="41" t="str">
        <f aca="false">IFERROR(INDEX($K$6238:$K$6241,MATCH($O6240,$N$6238:$N$6241,0)),"")</f>
        <v/>
      </c>
      <c r="D6240" s="42" t="str">
        <f aca="false">IF(OR(E6240="",N(C6240)=0),"",E6240/C6240-1)</f>
        <v/>
      </c>
      <c r="E6240" s="41" t="str">
        <f aca="false">IFERROR(INDEX($L$6238:$L$6241,MATCH($O6240,$N$6238:$N$6241,0)),"")</f>
        <v/>
      </c>
      <c r="F6240" s="41" t="str">
        <f aca="false">IF(E6240="","",E6240-C6240)</f>
        <v/>
      </c>
      <c r="J6240" s="25" t="str">
        <f aca="false">Lib_Jur</f>
        <v>Mission juridique (approbation des comptes, secrétariat juridique)</v>
      </c>
      <c r="K6240" s="25" t="n">
        <f aca="false">IF($K$6211=0,0,N(INDEX(Clients!$M$2:$M$501,$K$6211)))</f>
        <v>0</v>
      </c>
      <c r="L6240" s="25" t="n">
        <f aca="false">IF($K$6211=0,0,N(INDEX(Clients!$R$2:$R$501,$K$6211)))</f>
        <v>0</v>
      </c>
      <c r="M6240" s="25" t="n">
        <f aca="false">IF(OR(K6240&lt;&gt;0,L6240&lt;&gt;0),1,0)</f>
        <v>0</v>
      </c>
      <c r="N6240" s="25" t="str">
        <f aca="false">IF(M6240=1,SUM($M$6238:M6240),"")</f>
        <v/>
      </c>
      <c r="O6240" s="25" t="n">
        <v>3</v>
      </c>
    </row>
    <row r="6241" customFormat="false" ht="16.5" hidden="false" customHeight="true" outlineLevel="0" collapsed="false">
      <c r="B6241" s="40" t="str">
        <f aca="false">IFERROR(INDEX($J$6238:$J$6241,MATCH($O6241,$N$6238:$N$6241,0)),"")</f>
        <v/>
      </c>
      <c r="C6241" s="41" t="str">
        <f aca="false">IFERROR(INDEX($K$6238:$K$6241,MATCH($O6241,$N$6238:$N$6241,0)),"")</f>
        <v/>
      </c>
      <c r="D6241" s="42" t="str">
        <f aca="false">IF(OR(E6241="",N(C6241)=0),"",E6241/C6241-1)</f>
        <v/>
      </c>
      <c r="E6241" s="41" t="str">
        <f aca="false">IFERROR(INDEX($L$6238:$L$6241,MATCH($O6241,$N$6238:$N$6241,0)),"")</f>
        <v/>
      </c>
      <c r="F6241" s="41" t="str">
        <f aca="false">IF(E6241="","",E6241-C6241)</f>
        <v/>
      </c>
      <c r="J6241" s="25" t="str">
        <f aca="false">Lib_PA</f>
        <v>Plateforme agréée – facturation électronique</v>
      </c>
      <c r="K6241" s="25" t="n">
        <f aca="false">IF($K$6211=0,0,N(INDEX(Clients!$N$2:$N$501,$K$6211)))</f>
        <v>0</v>
      </c>
      <c r="L6241" s="25" t="n">
        <f aca="false">IF($K$6211=0,0,N(INDEX(Clients!$S$2:$S$501,$K$6211)))</f>
        <v>0</v>
      </c>
      <c r="M6241" s="25" t="n">
        <f aca="false">IF(OR(K6241&lt;&gt;0,L6241&lt;&gt;0),1,0)</f>
        <v>0</v>
      </c>
      <c r="N6241" s="25" t="str">
        <f aca="false">IF(M6241=1,SUM($M$6238:M6241),"")</f>
        <v/>
      </c>
      <c r="O6241" s="25" t="n">
        <v>4</v>
      </c>
    </row>
    <row r="6242" customFormat="false" ht="18" hidden="false" customHeight="true" outlineLevel="0" collapsed="false">
      <c r="B6242" s="43" t="s">
        <v>158</v>
      </c>
      <c r="C6242" s="44" t="n">
        <f aca="false">SUM(K6238:K6241)</f>
        <v>0</v>
      </c>
      <c r="D6242" s="45" t="str">
        <f aca="false">IF(N(C6242)=0,"",E6242/C6242-1)</f>
        <v/>
      </c>
      <c r="E6242" s="44" t="n">
        <f aca="false">SUM(L6238:L6241)</f>
        <v>0</v>
      </c>
      <c r="F6242" s="44" t="n">
        <f aca="false">E6242-C6242</f>
        <v>0</v>
      </c>
    </row>
    <row r="6243" customFormat="false" ht="15" hidden="false" customHeight="false" outlineLevel="0" collapsed="false">
      <c r="B6243" s="46" t="str">
        <f aca="false">IF(N(Nb_Mensualites)=0,"","Soit "&amp;FIXED(E6242/Nb_Mensualites,2)&amp;" € HT par échéance ("&amp;Nb_Mensualites&amp;" échéances), "&amp;FIXED(E6242/Nb_Mensualites*(1+Taux_TVA),2)&amp;" € TTC.")</f>
        <v>Soit 0.00 € HT par échéance (12 échéances), 0.00 € TTC.</v>
      </c>
      <c r="C6243" s="46"/>
      <c r="D6243" s="46"/>
      <c r="E6243" s="46"/>
      <c r="F6243" s="46"/>
    </row>
    <row r="6244" customFormat="false" ht="7.5" hidden="false" customHeight="true" outlineLevel="0" collapsed="false">
      <c r="B6244" s="10"/>
      <c r="C6244" s="10"/>
      <c r="D6244" s="10"/>
      <c r="E6244" s="10"/>
      <c r="F6244" s="10"/>
    </row>
    <row r="6245" customFormat="false" ht="36.75" hidden="false" customHeight="true" outlineLevel="0" collapsed="false">
      <c r="B6245" s="37" t="str">
        <f aca="false">SUBSTITUTE(SUBSTITUTE(SUBSTITUTE(SUBSTITUTE(SUBSTITUTE(Txt_P5,"{cabinet}",Cab_Nom),"{societe}",IF($K$6211=0,"",INDEX(Clients!$E$2:$E$501,$K$6211)&amp;"")),"{date_effet}",$K$6213),"{hausse}",$K$6214),"{civilite}",$K$6212)</f>
        <v>Les autres conditions de votre lettre de mission demeurent inchangées. Les nouveaux montants seront appliqués automatiquement sur vos prochaines factures et échéances de prélèvement.</v>
      </c>
      <c r="C6245" s="37"/>
      <c r="D6245" s="37"/>
      <c r="E6245" s="37"/>
      <c r="F6245" s="37"/>
    </row>
    <row r="6246" customFormat="false" ht="36.75" hidden="false" customHeight="true" outlineLevel="0" collapsed="false">
      <c r="B6246" s="37" t="str">
        <f aca="false">SUBSTITUTE(SUBSTITUTE(SUBSTITUTE(SUBSTITUTE(SUBSTITUTE(Txt_P6,"{cabinet}",Cab_Nom),"{societe}",IF($K$6211=0,"",INDEX(Clients!$E$2:$E$501,$K$6211)&amp;"")),"{date_effet}",$K$6213),"{hausse}",$K$6214),"{civilite}",$K$6212)</f>
        <v>Votre interlocuteur habituel reste à votre entière disposition pour répondre à vos questions et faire le point sur l'évolution de vos besoins.</v>
      </c>
      <c r="C6246" s="37"/>
      <c r="D6246" s="37"/>
      <c r="E6246" s="37"/>
      <c r="F6246" s="37"/>
    </row>
    <row r="6247" customFormat="false" ht="24" hidden="false" customHeight="true" outlineLevel="0" collapsed="false">
      <c r="B6247" s="37" t="str">
        <f aca="false">SUBSTITUTE(SUBSTITUTE(SUBSTITUTE(SUBSTITUTE(SUBSTITUTE(Txt_Politesse,"{cabinet}",Cab_Nom),"{societe}",IF($K$6211=0,"",INDEX(Clients!$E$2:$E$501,$K$6211)&amp;"")),"{date_effet}",$K$6213),"{hausse}",$K$6214),"{civilite}",$K$6212)</f>
        <v>Nous vous prions d'agréer, Madame, Monsieur, l'expression de nos salutations distinguées.</v>
      </c>
      <c r="C6247" s="37"/>
      <c r="D6247" s="37"/>
      <c r="E6247" s="37"/>
      <c r="F6247" s="37"/>
    </row>
    <row r="6248" customFormat="false" ht="15" hidden="false" customHeight="false" outlineLevel="0" collapsed="false">
      <c r="B6248" s="10"/>
      <c r="C6248" s="10"/>
      <c r="D6248" s="10"/>
      <c r="E6248" s="10"/>
      <c r="F6248" s="10"/>
    </row>
    <row r="6249" customFormat="false" ht="15" hidden="false" customHeight="false" outlineLevel="0" collapsed="false">
      <c r="B6249" s="10"/>
      <c r="C6249" s="10"/>
      <c r="D6249" s="34" t="str">
        <f aca="false">Signataire</f>
        <v>Prénom NOM</v>
      </c>
      <c r="E6249" s="34"/>
      <c r="F6249" s="34"/>
    </row>
    <row r="6250" customFormat="false" ht="15" hidden="false" customHeight="false" outlineLevel="0" collapsed="false">
      <c r="B6250" s="10"/>
      <c r="C6250" s="10"/>
      <c r="D6250" s="47" t="str">
        <f aca="false">Signataire_Titre</f>
        <v>Expert-comptable associé</v>
      </c>
      <c r="E6250" s="47"/>
      <c r="F6250" s="47"/>
    </row>
    <row r="6251" customFormat="false" ht="15.75" hidden="false" customHeight="true" outlineLevel="0" collapsed="false">
      <c r="B6251" s="10"/>
      <c r="C6251" s="10"/>
      <c r="D6251" s="10"/>
      <c r="E6251" s="10"/>
      <c r="F6251" s="10"/>
    </row>
    <row r="6252" customFormat="false" ht="15.75" hidden="false" customHeight="true" outlineLevel="0" collapsed="false">
      <c r="B6252" s="10"/>
      <c r="C6252" s="10"/>
      <c r="D6252" s="10"/>
      <c r="E6252" s="10"/>
      <c r="F6252" s="10"/>
    </row>
    <row r="6253" customFormat="false" ht="15.75" hidden="false" customHeight="true" outlineLevel="0" collapsed="false">
      <c r="B6253" s="10"/>
      <c r="C6253" s="10"/>
      <c r="D6253" s="10"/>
      <c r="E6253" s="10"/>
      <c r="F6253" s="10"/>
    </row>
    <row r="6254" customFormat="false" ht="15.75" hidden="false" customHeight="true" outlineLevel="0" collapsed="false">
      <c r="B6254" s="10"/>
      <c r="C6254" s="10"/>
      <c r="D6254" s="10"/>
      <c r="E6254" s="10"/>
      <c r="F6254" s="10"/>
    </row>
    <row r="6255" customFormat="false" ht="24" hidden="false" customHeight="true" outlineLevel="0" collapsed="false">
      <c r="B6255" s="48" t="str">
        <f aca="false">Cab_Mentions</f>
        <v>ALTHO EXPERTISE · SAS au capital de 10 000 € · RCS Pontoise 919 706 325 · TVA FR62919706325 · Société d'expertise comptable inscrite au Tableau de l'Ordre des experts-comptables de Paris Île-de-France</v>
      </c>
      <c r="C6255" s="48"/>
      <c r="D6255" s="48"/>
      <c r="E6255" s="48"/>
      <c r="F6255" s="48"/>
    </row>
    <row r="6256" customFormat="false" ht="15" hidden="false" customHeight="false" outlineLevel="0" collapsed="false">
      <c r="B6256" s="10"/>
      <c r="C6256" s="10"/>
      <c r="D6256" s="10"/>
      <c r="E6256" s="10"/>
      <c r="F6256" s="10"/>
      <c r="J6256" s="25" t="s">
        <v>142</v>
      </c>
      <c r="K6256" s="25" t="n">
        <f aca="false">IFERROR(MATCH(140,Clients!$Z$2:$Z$501,0),0)</f>
        <v>0</v>
      </c>
      <c r="L6256" s="25"/>
      <c r="M6256" s="25"/>
      <c r="N6256" s="25"/>
      <c r="O6256" s="25"/>
    </row>
    <row r="6257" customFormat="false" ht="21.75" hidden="false" customHeight="true" outlineLevel="0" collapsed="false">
      <c r="B6257" s="26" t="str">
        <f aca="false">Cab_Nom</f>
        <v>ALTHO EXPERTISE</v>
      </c>
      <c r="C6257" s="26"/>
      <c r="D6257" s="10"/>
      <c r="E6257" s="27" t="str">
        <f aca="false">IF($K$6256=0,"","Réf. client : "&amp;INDEX(Clients!$A$2:$A$501,$K$6256))</f>
        <v/>
      </c>
      <c r="F6257" s="27"/>
      <c r="J6257" s="25" t="s">
        <v>144</v>
      </c>
      <c r="K6257" s="25" t="str">
        <f aca="false">IF(IF($K$6256=0,"",INDEX(Clients!$B$2:$B$501,$K$6256)&amp;"")="Mme","Madame",IF(IF($K$6256=0,"",INDEX(Clients!$B$2:$B$501,$K$6256)&amp;"")="M.","Monsieur","Madame, Monsieur"))</f>
        <v>Madame, Monsieur</v>
      </c>
      <c r="L6257" s="25"/>
      <c r="M6257" s="25"/>
      <c r="N6257" s="25"/>
      <c r="O6257" s="25"/>
    </row>
    <row r="6258" customFormat="false" ht="15" hidden="false" customHeight="false" outlineLevel="0" collapsed="false">
      <c r="B6258" s="29" t="str">
        <f aca="false">Cab_Adr1</f>
        <v>141 rue Charles de Gaulle</v>
      </c>
      <c r="C6258" s="29"/>
      <c r="D6258" s="10"/>
      <c r="E6258" s="10"/>
      <c r="F6258" s="10"/>
      <c r="J6258" s="25" t="s">
        <v>145</v>
      </c>
      <c r="K6258" s="25" t="str">
        <f aca="false">DAY(Date_Effet)&amp;IF(DAY(Date_Effet)=1,"er","")&amp;" "&amp;INDEX(Liste_Mois,MONTH(Date_Effet))&amp;" "&amp;YEAR(Date_Effet)</f>
        <v>1er janvier 2027</v>
      </c>
      <c r="L6258" s="25"/>
      <c r="M6258" s="25"/>
      <c r="N6258" s="25"/>
      <c r="O6258" s="25"/>
    </row>
    <row r="6259" customFormat="false" ht="15" hidden="false" customHeight="false" outlineLevel="0" collapsed="false">
      <c r="B6259" s="29" t="str">
        <f aca="false">Cab_CPVille</f>
        <v>95130 LE PLESSIS-BOUCHARD</v>
      </c>
      <c r="C6259" s="29"/>
      <c r="D6259" s="10"/>
      <c r="E6259" s="10"/>
      <c r="F6259" s="10"/>
      <c r="J6259" s="25" t="s">
        <v>146</v>
      </c>
      <c r="K6259" s="25" t="str">
        <f aca="false">IF(SUM($K$6283:$K$6286)=0,"",FIXED((SUM($L$6283:$L$6286)/SUM($K$6283:$K$6286)-1)*100,1)&amp;" %")</f>
        <v/>
      </c>
      <c r="L6259" s="25"/>
      <c r="M6259" s="25"/>
      <c r="N6259" s="25"/>
      <c r="O6259" s="25"/>
    </row>
    <row r="6260" customFormat="false" ht="15" hidden="false" customHeight="false" outlineLevel="0" collapsed="false">
      <c r="B6260" s="29" t="str">
        <f aca="false">Cab_Contact</f>
        <v>Tél. 01 34 14 53 45  ·  altho@altho-experts.com  ·  altho-experts.com</v>
      </c>
      <c r="C6260" s="29"/>
      <c r="D6260" s="10"/>
      <c r="E6260" s="10"/>
      <c r="F6260" s="10"/>
      <c r="J6260" s="25"/>
      <c r="K6260" s="25"/>
      <c r="L6260" s="25"/>
      <c r="M6260" s="25"/>
      <c r="N6260" s="25"/>
      <c r="O6260" s="25"/>
    </row>
    <row r="6261" customFormat="false" ht="6" hidden="false" customHeight="true" outlineLevel="0" collapsed="false">
      <c r="B6261" s="32"/>
      <c r="C6261" s="32"/>
      <c r="D6261" s="32"/>
      <c r="E6261" s="32"/>
      <c r="F6261" s="32"/>
      <c r="J6261" s="25"/>
      <c r="K6261" s="25"/>
      <c r="L6261" s="25"/>
      <c r="M6261" s="25"/>
      <c r="N6261" s="25"/>
      <c r="O6261" s="25"/>
    </row>
    <row r="6262" customFormat="false" ht="13.5" hidden="false" customHeight="true" outlineLevel="0" collapsed="false">
      <c r="B6262" s="10"/>
      <c r="C6262" s="10"/>
      <c r="D6262" s="10"/>
      <c r="E6262" s="10"/>
      <c r="F6262" s="10"/>
      <c r="J6262" s="25"/>
      <c r="K6262" s="25"/>
      <c r="L6262" s="25"/>
      <c r="M6262" s="25"/>
      <c r="N6262" s="25"/>
      <c r="O6262" s="25"/>
    </row>
    <row r="6263" customFormat="false" ht="13.5" hidden="false" customHeight="true" outlineLevel="0" collapsed="false">
      <c r="B6263" s="10"/>
      <c r="C6263" s="10"/>
      <c r="D6263" s="10"/>
      <c r="E6263" s="10"/>
      <c r="F6263" s="10"/>
      <c r="J6263" s="25"/>
      <c r="K6263" s="25"/>
      <c r="L6263" s="25"/>
      <c r="M6263" s="25"/>
      <c r="N6263" s="25"/>
      <c r="O6263" s="25"/>
    </row>
    <row r="6264" customFormat="false" ht="13.5" hidden="false" customHeight="true" outlineLevel="0" collapsed="false">
      <c r="B6264" s="10"/>
      <c r="C6264" s="10"/>
      <c r="D6264" s="10"/>
      <c r="E6264" s="10"/>
      <c r="F6264" s="10"/>
      <c r="J6264" s="25"/>
      <c r="K6264" s="25"/>
      <c r="L6264" s="25"/>
      <c r="M6264" s="25"/>
      <c r="N6264" s="25"/>
      <c r="O6264" s="25"/>
    </row>
    <row r="6265" customFormat="false" ht="15" hidden="false" customHeight="true" outlineLevel="0" collapsed="false">
      <c r="B6265" s="10"/>
      <c r="C6265" s="10"/>
      <c r="D6265" s="34" t="str">
        <f aca="false">IF($K$6256=0,"",INDEX(Clients!$E$2:$E$501,$K$6256)&amp;"")</f>
        <v/>
      </c>
      <c r="E6265" s="34"/>
      <c r="F6265" s="34"/>
      <c r="J6265" s="25"/>
      <c r="K6265" s="25"/>
      <c r="L6265" s="25"/>
      <c r="M6265" s="25"/>
      <c r="N6265" s="25"/>
      <c r="O6265" s="25"/>
    </row>
    <row r="6266" customFormat="false" ht="15" hidden="false" customHeight="true" outlineLevel="0" collapsed="false">
      <c r="B6266" s="10"/>
      <c r="C6266" s="10"/>
      <c r="D6266" s="35" t="str">
        <f aca="false">IF(IF($K$6256=0,"",INDEX(Clients!$D$2:$D$501,$K$6256)&amp;"")="","","À l'attention de "&amp;TRIM(IF($K$6256=0,"",INDEX(Clients!$B$2:$B$501,$K$6256)&amp;"")&amp;" "&amp;IF($K$6256=0,"",INDEX(Clients!$C$2:$C$501,$K$6256)&amp;"")&amp;" "&amp;IF($K$6256=0,"",INDEX(Clients!$D$2:$D$501,$K$6256)&amp;"")))</f>
        <v/>
      </c>
      <c r="E6266" s="35"/>
      <c r="F6266" s="35"/>
      <c r="J6266" s="25"/>
      <c r="K6266" s="25"/>
      <c r="L6266" s="25"/>
      <c r="M6266" s="25"/>
      <c r="N6266" s="25"/>
      <c r="O6266" s="25"/>
    </row>
    <row r="6267" customFormat="false" ht="15" hidden="false" customHeight="true" outlineLevel="0" collapsed="false">
      <c r="B6267" s="10"/>
      <c r="C6267" s="10"/>
      <c r="D6267" s="35" t="str">
        <f aca="false">IF($K$6256=0,"",INDEX(Clients!$F$2:$F$501,$K$6256)&amp;"")</f>
        <v/>
      </c>
      <c r="E6267" s="35"/>
      <c r="F6267" s="35"/>
      <c r="J6267" s="25"/>
      <c r="K6267" s="25"/>
      <c r="L6267" s="25"/>
      <c r="M6267" s="25"/>
      <c r="N6267" s="25"/>
      <c r="O6267" s="25"/>
    </row>
    <row r="6268" customFormat="false" ht="15" hidden="false" customHeight="true" outlineLevel="0" collapsed="false">
      <c r="B6268" s="10"/>
      <c r="C6268" s="10"/>
      <c r="D6268" s="35" t="str">
        <f aca="false">IF(IF($K$6256=0,"",INDEX(Clients!$G$2:$G$501,$K$6256)&amp;"")="",TRIM(IF($K$6256=0,"",INDEX(Clients!$H$2:$H$501,$K$6256)&amp;"")&amp;" "&amp;UPPER(IF($K$6256=0,"",INDEX(Clients!$I$2:$I$501,$K$6256)&amp;""))),IF($K$6256=0,"",INDEX(Clients!$G$2:$G$501,$K$6256)&amp;""))</f>
        <v/>
      </c>
      <c r="E6268" s="35"/>
      <c r="F6268" s="35"/>
      <c r="J6268" s="25"/>
      <c r="K6268" s="25"/>
      <c r="L6268" s="25"/>
      <c r="M6268" s="25"/>
      <c r="N6268" s="25"/>
      <c r="O6268" s="25"/>
    </row>
    <row r="6269" customFormat="false" ht="15" hidden="false" customHeight="true" outlineLevel="0" collapsed="false">
      <c r="B6269" s="10"/>
      <c r="C6269" s="10"/>
      <c r="D6269" s="35" t="str">
        <f aca="false">IF(IF($K$6256=0,"",INDEX(Clients!$G$2:$G$501,$K$6256)&amp;"")="","",TRIM(IF($K$6256=0,"",INDEX(Clients!$H$2:$H$501,$K$6256)&amp;"")&amp;" "&amp;UPPER(IF($K$6256=0,"",INDEX(Clients!$I$2:$I$501,$K$6256)&amp;""))))</f>
        <v/>
      </c>
      <c r="E6269" s="35"/>
      <c r="F6269" s="35"/>
      <c r="J6269" s="25"/>
      <c r="K6269" s="25"/>
      <c r="L6269" s="25"/>
      <c r="M6269" s="25"/>
      <c r="N6269" s="25"/>
      <c r="O6269" s="25"/>
    </row>
    <row r="6270" customFormat="false" ht="25.5" hidden="false" customHeight="true" outlineLevel="0" collapsed="false">
      <c r="B6270" s="10"/>
      <c r="C6270" s="10"/>
      <c r="D6270" s="10"/>
      <c r="E6270" s="10"/>
      <c r="F6270" s="10"/>
      <c r="J6270" s="25"/>
      <c r="K6270" s="25"/>
      <c r="L6270" s="25"/>
      <c r="M6270" s="25"/>
      <c r="N6270" s="25"/>
      <c r="O6270" s="25"/>
    </row>
    <row r="6271" customFormat="false" ht="15" hidden="false" customHeight="false" outlineLevel="0" collapsed="false">
      <c r="B6271" s="10"/>
      <c r="C6271" s="10"/>
      <c r="D6271" s="36" t="str">
        <f aca="false">Cab_Ville&amp;", le "&amp;DAY(Date_Courrier)&amp;IF(DAY(Date_Courrier)=1,"er","")&amp;" "&amp;INDEX(Liste_Mois,MONTH(Date_Courrier))&amp;" "&amp;YEAR(Date_Courrier)</f>
        <v>Le Plessis-Bouchard, le 22 septembre 2026</v>
      </c>
      <c r="E6271" s="36"/>
      <c r="F6271" s="36"/>
      <c r="J6271" s="25"/>
      <c r="K6271" s="25"/>
      <c r="L6271" s="25"/>
      <c r="M6271" s="25"/>
      <c r="N6271" s="25"/>
      <c r="O6271" s="25"/>
    </row>
    <row r="6272" customFormat="false" ht="19.5" hidden="false" customHeight="true" outlineLevel="0" collapsed="false">
      <c r="B6272" s="10"/>
      <c r="C6272" s="10"/>
      <c r="D6272" s="10"/>
      <c r="E6272" s="10"/>
      <c r="F6272" s="10"/>
      <c r="J6272" s="25"/>
      <c r="K6272" s="25"/>
      <c r="L6272" s="25"/>
      <c r="M6272" s="25"/>
      <c r="N6272" s="25"/>
      <c r="O6272" s="25"/>
    </row>
    <row r="6273" customFormat="false" ht="15" hidden="false" customHeight="false" outlineLevel="0" collapsed="false">
      <c r="B6273" s="34" t="str">
        <f aca="false">SUBSTITUTE(SUBSTITUTE(SUBSTITUTE(SUBSTITUTE(SUBSTITUTE(Txt_Objet,"{cabinet}",Cab_Nom),"{societe}",IF($K$6256=0,"",INDEX(Clients!$E$2:$E$501,$K$6256)&amp;"")),"{date_effet}",$K$6258),"{hausse}",$K$6259),"{civilite}",$K$6257)</f>
        <v>Objet : révision de nos honoraires au 1er janvier 2027</v>
      </c>
      <c r="C6273" s="34"/>
      <c r="D6273" s="34"/>
      <c r="E6273" s="34"/>
      <c r="F6273" s="34"/>
      <c r="J6273" s="25"/>
      <c r="K6273" s="25"/>
      <c r="L6273" s="25"/>
      <c r="M6273" s="25"/>
      <c r="N6273" s="25"/>
      <c r="O6273" s="25"/>
    </row>
    <row r="6274" customFormat="false" ht="13.5" hidden="false" customHeight="true" outlineLevel="0" collapsed="false">
      <c r="B6274" s="10"/>
      <c r="C6274" s="10"/>
      <c r="D6274" s="10"/>
      <c r="E6274" s="10"/>
      <c r="F6274" s="10"/>
      <c r="J6274" s="25"/>
      <c r="K6274" s="25"/>
      <c r="L6274" s="25"/>
      <c r="M6274" s="25"/>
      <c r="N6274" s="25"/>
      <c r="O6274" s="25"/>
    </row>
    <row r="6275" customFormat="false" ht="15" hidden="false" customHeight="false" outlineLevel="0" collapsed="false">
      <c r="B6275" s="10" t="str">
        <f aca="false">$K$6257&amp;","</f>
        <v>Madame, Monsieur,</v>
      </c>
      <c r="C6275" s="10"/>
      <c r="D6275" s="10"/>
      <c r="E6275" s="10"/>
      <c r="F6275" s="10"/>
      <c r="J6275" s="25"/>
      <c r="K6275" s="25"/>
      <c r="L6275" s="25"/>
      <c r="M6275" s="25"/>
      <c r="N6275" s="25"/>
      <c r="O6275" s="25"/>
    </row>
    <row r="6276" customFormat="false" ht="6" hidden="false" customHeight="true" outlineLevel="0" collapsed="false">
      <c r="B6276" s="10"/>
      <c r="C6276" s="10"/>
      <c r="D6276" s="10"/>
      <c r="E6276" s="10"/>
      <c r="F6276" s="10"/>
      <c r="J6276" s="25"/>
      <c r="K6276" s="25"/>
      <c r="L6276" s="25"/>
      <c r="M6276" s="25"/>
      <c r="N6276" s="25"/>
      <c r="O6276" s="25"/>
    </row>
    <row r="6277" customFormat="false" ht="36.75" hidden="false" customHeight="true" outlineLevel="0" collapsed="false">
      <c r="B6277" s="37" t="str">
        <f aca="false">SUBSTITUTE(SUBSTITUTE(SUBSTITUTE(SUBSTITUTE(SUBSTITUTE(Txt_P1,"{cabinet}",Cab_Nom),"{societe}",IF($K$6256=0,"",INDEX(Clients!$E$2:$E$501,$K$6256)&amp;"")),"{date_effet}",$K$6258),"{hausse}",$K$6259),"{civilite}",$K$6257)</f>
        <v>Nous tenons tout d'abord à vous remercier pour la confiance que vous accordez à ALTHO EXPERTISE. Comme chaque année, et conformément aux dispositions de votre lettre de mission, nous procédons à la révision de nos honoraires.</v>
      </c>
      <c r="C6277" s="37"/>
      <c r="D6277" s="37"/>
      <c r="E6277" s="37"/>
      <c r="F6277" s="37"/>
      <c r="J6277" s="25"/>
      <c r="K6277" s="25"/>
      <c r="L6277" s="25"/>
      <c r="M6277" s="25"/>
      <c r="N6277" s="25"/>
      <c r="O6277" s="25"/>
    </row>
    <row r="6278" customFormat="false" ht="49.5" hidden="false" customHeight="true" outlineLevel="0" collapsed="false">
      <c r="B6278" s="37" t="str">
        <f aca="false">SUBSTITUTE(SUBSTITUTE(SUBSTITUTE(SUBSTITUTE(SUBSTITUTE(Txt_P2,"{cabinet}",Cab_Nom),"{societe}",IF($K$6256=0,"",INDEX(Clients!$E$2:$E$501,$K$6256)&amp;"")),"{date_effet}",$K$6258),"{hausse}",$K$6259),"{civilite}",$K$6257)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278" s="37"/>
      <c r="D6278" s="37"/>
      <c r="E6278" s="37"/>
      <c r="F6278" s="37"/>
      <c r="J6278" s="25"/>
      <c r="K6278" s="25"/>
      <c r="L6278" s="25"/>
      <c r="M6278" s="25"/>
      <c r="N6278" s="25"/>
      <c r="O6278" s="25"/>
    </row>
    <row r="6279" customFormat="false" ht="63" hidden="false" customHeight="true" outlineLevel="0" collapsed="false">
      <c r="B6279" s="37" t="str">
        <f aca="false">SUBSTITUTE(SUBSTITUTE(SUBSTITUTE(SUBSTITUTE(SUBSTITUTE(Txt_P3,"{cabinet}",Cab_Nom),"{societe}",IF($K$6256=0,"",INDEX(Clients!$E$2:$E$501,$K$6256)&amp;"")),"{date_effet}",$K$6258),"{hausse}",$K$6259),"{civilite}",$K$6257)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279" s="37"/>
      <c r="D6279" s="37"/>
      <c r="E6279" s="37"/>
      <c r="F6279" s="37"/>
      <c r="J6279" s="25"/>
      <c r="K6279" s="25"/>
      <c r="L6279" s="25"/>
      <c r="M6279" s="25"/>
      <c r="N6279" s="25"/>
      <c r="O6279" s="25"/>
    </row>
    <row r="6280" customFormat="false" ht="24" hidden="false" customHeight="true" outlineLevel="0" collapsed="false">
      <c r="B6280" s="37" t="str">
        <f aca="false">SUBSTITUTE(SUBSTITUTE(SUBSTITUTE(SUBSTITUTE(SUBSTITUTE(Txt_P4,"{cabinet}",Cab_Nom),"{societe}",IF($K$6256=0,"",INDEX(Clients!$E$2:$E$501,$K$6256)&amp;"")),"{date_effet}",$K$6258),"{hausse}",$K$6259),"{civilite}",$K$6257)</f>
        <v>À compter du 1er janvier 2027, vos honoraires annuels hors taxes évolueront ainsi (évolution globale : ) :</v>
      </c>
      <c r="C6280" s="37"/>
      <c r="D6280" s="37"/>
      <c r="E6280" s="37"/>
      <c r="F6280" s="37"/>
      <c r="J6280" s="25"/>
      <c r="K6280" s="25"/>
      <c r="L6280" s="25"/>
      <c r="M6280" s="25"/>
      <c r="N6280" s="25"/>
      <c r="O6280" s="25"/>
    </row>
    <row r="6281" customFormat="false" ht="3.75" hidden="false" customHeight="true" outlineLevel="0" collapsed="false">
      <c r="B6281" s="10"/>
      <c r="C6281" s="10"/>
      <c r="D6281" s="10"/>
      <c r="E6281" s="10"/>
      <c r="F6281" s="10"/>
      <c r="J6281" s="25"/>
      <c r="K6281" s="25"/>
      <c r="L6281" s="25"/>
      <c r="M6281" s="25"/>
      <c r="N6281" s="25"/>
      <c r="O6281" s="25"/>
    </row>
    <row r="6282" customFormat="false" ht="18" hidden="false" customHeight="true" outlineLevel="0" collapsed="false">
      <c r="B6282" s="38" t="s">
        <v>148</v>
      </c>
      <c r="C6282" s="39" t="s">
        <v>149</v>
      </c>
      <c r="D6282" s="39" t="s">
        <v>150</v>
      </c>
      <c r="E6282" s="39" t="s">
        <v>151</v>
      </c>
      <c r="F6282" s="39" t="s">
        <v>109</v>
      </c>
      <c r="J6282" s="25" t="s">
        <v>152</v>
      </c>
      <c r="K6282" s="25" t="s">
        <v>153</v>
      </c>
      <c r="L6282" s="25" t="s">
        <v>154</v>
      </c>
      <c r="M6282" s="25" t="s">
        <v>155</v>
      </c>
      <c r="N6282" s="25" t="s">
        <v>156</v>
      </c>
      <c r="O6282" s="25" t="s">
        <v>157</v>
      </c>
    </row>
    <row r="6283" customFormat="false" ht="16.5" hidden="false" customHeight="true" outlineLevel="0" collapsed="false">
      <c r="B6283" s="40" t="str">
        <f aca="false">IFERROR(INDEX($J$6283:$J$6286,MATCH($O6283,$N$6283:$N$6286,0)),"")</f>
        <v/>
      </c>
      <c r="C6283" s="41" t="str">
        <f aca="false">IFERROR(INDEX($K$6283:$K$6286,MATCH($O6283,$N$6283:$N$6286,0)),"")</f>
        <v/>
      </c>
      <c r="D6283" s="42" t="str">
        <f aca="false">IF(OR(E6283="",N(C6283)=0),"",E6283/C6283-1)</f>
        <v/>
      </c>
      <c r="E6283" s="41" t="str">
        <f aca="false">IFERROR(INDEX($L$6283:$L$6286,MATCH($O6283,$N$6283:$N$6286,0)),"")</f>
        <v/>
      </c>
      <c r="F6283" s="41" t="str">
        <f aca="false">IF(E6283="","",E6283-C6283)</f>
        <v/>
      </c>
      <c r="J6283" s="25" t="str">
        <f aca="false">Lib_Compta</f>
        <v>Mission comptable (tenue, révision, bilan, liasse fiscale)</v>
      </c>
      <c r="K6283" s="25" t="n">
        <f aca="false">IF($K$6256=0,0,N(INDEX(Clients!$K$2:$K$501,$K$6256)))</f>
        <v>0</v>
      </c>
      <c r="L6283" s="25" t="n">
        <f aca="false">IF($K$6256=0,0,N(INDEX(Clients!$P$2:$P$501,$K$6256)))</f>
        <v>0</v>
      </c>
      <c r="M6283" s="25" t="n">
        <f aca="false">IF(OR(K6283&lt;&gt;0,L6283&lt;&gt;0),1,0)</f>
        <v>0</v>
      </c>
      <c r="N6283" s="25" t="str">
        <f aca="false">IF(M6283=1,SUM($M$6283:M6283),"")</f>
        <v/>
      </c>
      <c r="O6283" s="25" t="n">
        <v>1</v>
      </c>
    </row>
    <row r="6284" customFormat="false" ht="16.5" hidden="false" customHeight="true" outlineLevel="0" collapsed="false">
      <c r="B6284" s="40" t="str">
        <f aca="false">IFERROR(INDEX($J$6283:$J$6286,MATCH($O6284,$N$6283:$N$6286,0)),"")</f>
        <v/>
      </c>
      <c r="C6284" s="41" t="str">
        <f aca="false">IFERROR(INDEX($K$6283:$K$6286,MATCH($O6284,$N$6283:$N$6286,0)),"")</f>
        <v/>
      </c>
      <c r="D6284" s="42" t="str">
        <f aca="false">IF(OR(E6284="",N(C6284)=0),"",E6284/C6284-1)</f>
        <v/>
      </c>
      <c r="E6284" s="41" t="str">
        <f aca="false">IFERROR(INDEX($L$6283:$L$6286,MATCH($O6284,$N$6283:$N$6286,0)),"")</f>
        <v/>
      </c>
      <c r="F6284" s="41" t="str">
        <f aca="false">IF(E6284="","",E6284-C6284)</f>
        <v/>
      </c>
      <c r="J6284" s="25" t="str">
        <f aca="false">Lib_Paye</f>
        <v>Mission sociale (bulletins de paie, DSN, déclarations sociales)</v>
      </c>
      <c r="K6284" s="25" t="n">
        <f aca="false">IF($K$6256=0,0,N(INDEX(Clients!$L$2:$L$501,$K$6256)))</f>
        <v>0</v>
      </c>
      <c r="L6284" s="25" t="n">
        <f aca="false">IF($K$6256=0,0,N(INDEX(Clients!$Q$2:$Q$501,$K$6256)))</f>
        <v>0</v>
      </c>
      <c r="M6284" s="25" t="n">
        <f aca="false">IF(OR(K6284&lt;&gt;0,L6284&lt;&gt;0),1,0)</f>
        <v>0</v>
      </c>
      <c r="N6284" s="25" t="str">
        <f aca="false">IF(M6284=1,SUM($M$6283:M6284),"")</f>
        <v/>
      </c>
      <c r="O6284" s="25" t="n">
        <v>2</v>
      </c>
    </row>
    <row r="6285" customFormat="false" ht="16.5" hidden="false" customHeight="true" outlineLevel="0" collapsed="false">
      <c r="B6285" s="40" t="str">
        <f aca="false">IFERROR(INDEX($J$6283:$J$6286,MATCH($O6285,$N$6283:$N$6286,0)),"")</f>
        <v/>
      </c>
      <c r="C6285" s="41" t="str">
        <f aca="false">IFERROR(INDEX($K$6283:$K$6286,MATCH($O6285,$N$6283:$N$6286,0)),"")</f>
        <v/>
      </c>
      <c r="D6285" s="42" t="str">
        <f aca="false">IF(OR(E6285="",N(C6285)=0),"",E6285/C6285-1)</f>
        <v/>
      </c>
      <c r="E6285" s="41" t="str">
        <f aca="false">IFERROR(INDEX($L$6283:$L$6286,MATCH($O6285,$N$6283:$N$6286,0)),"")</f>
        <v/>
      </c>
      <c r="F6285" s="41" t="str">
        <f aca="false">IF(E6285="","",E6285-C6285)</f>
        <v/>
      </c>
      <c r="J6285" s="25" t="str">
        <f aca="false">Lib_Jur</f>
        <v>Mission juridique (approbation des comptes, secrétariat juridique)</v>
      </c>
      <c r="K6285" s="25" t="n">
        <f aca="false">IF($K$6256=0,0,N(INDEX(Clients!$M$2:$M$501,$K$6256)))</f>
        <v>0</v>
      </c>
      <c r="L6285" s="25" t="n">
        <f aca="false">IF($K$6256=0,0,N(INDEX(Clients!$R$2:$R$501,$K$6256)))</f>
        <v>0</v>
      </c>
      <c r="M6285" s="25" t="n">
        <f aca="false">IF(OR(K6285&lt;&gt;0,L6285&lt;&gt;0),1,0)</f>
        <v>0</v>
      </c>
      <c r="N6285" s="25" t="str">
        <f aca="false">IF(M6285=1,SUM($M$6283:M6285),"")</f>
        <v/>
      </c>
      <c r="O6285" s="25" t="n">
        <v>3</v>
      </c>
    </row>
    <row r="6286" customFormat="false" ht="16.5" hidden="false" customHeight="true" outlineLevel="0" collapsed="false">
      <c r="B6286" s="40" t="str">
        <f aca="false">IFERROR(INDEX($J$6283:$J$6286,MATCH($O6286,$N$6283:$N$6286,0)),"")</f>
        <v/>
      </c>
      <c r="C6286" s="41" t="str">
        <f aca="false">IFERROR(INDEX($K$6283:$K$6286,MATCH($O6286,$N$6283:$N$6286,0)),"")</f>
        <v/>
      </c>
      <c r="D6286" s="42" t="str">
        <f aca="false">IF(OR(E6286="",N(C6286)=0),"",E6286/C6286-1)</f>
        <v/>
      </c>
      <c r="E6286" s="41" t="str">
        <f aca="false">IFERROR(INDEX($L$6283:$L$6286,MATCH($O6286,$N$6283:$N$6286,0)),"")</f>
        <v/>
      </c>
      <c r="F6286" s="41" t="str">
        <f aca="false">IF(E6286="","",E6286-C6286)</f>
        <v/>
      </c>
      <c r="J6286" s="25" t="str">
        <f aca="false">Lib_PA</f>
        <v>Plateforme agréée – facturation électronique</v>
      </c>
      <c r="K6286" s="25" t="n">
        <f aca="false">IF($K$6256=0,0,N(INDEX(Clients!$N$2:$N$501,$K$6256)))</f>
        <v>0</v>
      </c>
      <c r="L6286" s="25" t="n">
        <f aca="false">IF($K$6256=0,0,N(INDEX(Clients!$S$2:$S$501,$K$6256)))</f>
        <v>0</v>
      </c>
      <c r="M6286" s="25" t="n">
        <f aca="false">IF(OR(K6286&lt;&gt;0,L6286&lt;&gt;0),1,0)</f>
        <v>0</v>
      </c>
      <c r="N6286" s="25" t="str">
        <f aca="false">IF(M6286=1,SUM($M$6283:M6286),"")</f>
        <v/>
      </c>
      <c r="O6286" s="25" t="n">
        <v>4</v>
      </c>
    </row>
    <row r="6287" customFormat="false" ht="18" hidden="false" customHeight="true" outlineLevel="0" collapsed="false">
      <c r="B6287" s="43" t="s">
        <v>158</v>
      </c>
      <c r="C6287" s="44" t="n">
        <f aca="false">SUM(K6283:K6286)</f>
        <v>0</v>
      </c>
      <c r="D6287" s="45" t="str">
        <f aca="false">IF(N(C6287)=0,"",E6287/C6287-1)</f>
        <v/>
      </c>
      <c r="E6287" s="44" t="n">
        <f aca="false">SUM(L6283:L6286)</f>
        <v>0</v>
      </c>
      <c r="F6287" s="44" t="n">
        <f aca="false">E6287-C6287</f>
        <v>0</v>
      </c>
    </row>
    <row r="6288" customFormat="false" ht="15" hidden="false" customHeight="false" outlineLevel="0" collapsed="false">
      <c r="B6288" s="46" t="str">
        <f aca="false">IF(N(Nb_Mensualites)=0,"","Soit "&amp;FIXED(E6287/Nb_Mensualites,2)&amp;" € HT par échéance ("&amp;Nb_Mensualites&amp;" échéances), "&amp;FIXED(E6287/Nb_Mensualites*(1+Taux_TVA),2)&amp;" € TTC.")</f>
        <v>Soit 0.00 € HT par échéance (12 échéances), 0.00 € TTC.</v>
      </c>
      <c r="C6288" s="46"/>
      <c r="D6288" s="46"/>
      <c r="E6288" s="46"/>
      <c r="F6288" s="46"/>
    </row>
    <row r="6289" customFormat="false" ht="7.5" hidden="false" customHeight="true" outlineLevel="0" collapsed="false">
      <c r="B6289" s="10"/>
      <c r="C6289" s="10"/>
      <c r="D6289" s="10"/>
      <c r="E6289" s="10"/>
      <c r="F6289" s="10"/>
    </row>
    <row r="6290" customFormat="false" ht="36.75" hidden="false" customHeight="true" outlineLevel="0" collapsed="false">
      <c r="B6290" s="37" t="str">
        <f aca="false">SUBSTITUTE(SUBSTITUTE(SUBSTITUTE(SUBSTITUTE(SUBSTITUTE(Txt_P5,"{cabinet}",Cab_Nom),"{societe}",IF($K$6256=0,"",INDEX(Clients!$E$2:$E$501,$K$6256)&amp;"")),"{date_effet}",$K$6258),"{hausse}",$K$6259),"{civilite}",$K$6257)</f>
        <v>Les autres conditions de votre lettre de mission demeurent inchangées. Les nouveaux montants seront appliqués automatiquement sur vos prochaines factures et échéances de prélèvement.</v>
      </c>
      <c r="C6290" s="37"/>
      <c r="D6290" s="37"/>
      <c r="E6290" s="37"/>
      <c r="F6290" s="37"/>
    </row>
    <row r="6291" customFormat="false" ht="36.75" hidden="false" customHeight="true" outlineLevel="0" collapsed="false">
      <c r="B6291" s="37" t="str">
        <f aca="false">SUBSTITUTE(SUBSTITUTE(SUBSTITUTE(SUBSTITUTE(SUBSTITUTE(Txt_P6,"{cabinet}",Cab_Nom),"{societe}",IF($K$6256=0,"",INDEX(Clients!$E$2:$E$501,$K$6256)&amp;"")),"{date_effet}",$K$6258),"{hausse}",$K$6259),"{civilite}",$K$6257)</f>
        <v>Votre interlocuteur habituel reste à votre entière disposition pour répondre à vos questions et faire le point sur l'évolution de vos besoins.</v>
      </c>
      <c r="C6291" s="37"/>
      <c r="D6291" s="37"/>
      <c r="E6291" s="37"/>
      <c r="F6291" s="37"/>
    </row>
    <row r="6292" customFormat="false" ht="24" hidden="false" customHeight="true" outlineLevel="0" collapsed="false">
      <c r="B6292" s="37" t="str">
        <f aca="false">SUBSTITUTE(SUBSTITUTE(SUBSTITUTE(SUBSTITUTE(SUBSTITUTE(Txt_Politesse,"{cabinet}",Cab_Nom),"{societe}",IF($K$6256=0,"",INDEX(Clients!$E$2:$E$501,$K$6256)&amp;"")),"{date_effet}",$K$6258),"{hausse}",$K$6259),"{civilite}",$K$6257)</f>
        <v>Nous vous prions d'agréer, Madame, Monsieur, l'expression de nos salutations distinguées.</v>
      </c>
      <c r="C6292" s="37"/>
      <c r="D6292" s="37"/>
      <c r="E6292" s="37"/>
      <c r="F6292" s="37"/>
    </row>
    <row r="6293" customFormat="false" ht="15" hidden="false" customHeight="false" outlineLevel="0" collapsed="false">
      <c r="B6293" s="10"/>
      <c r="C6293" s="10"/>
      <c r="D6293" s="10"/>
      <c r="E6293" s="10"/>
      <c r="F6293" s="10"/>
    </row>
    <row r="6294" customFormat="false" ht="15" hidden="false" customHeight="false" outlineLevel="0" collapsed="false">
      <c r="B6294" s="10"/>
      <c r="C6294" s="10"/>
      <c r="D6294" s="34" t="str">
        <f aca="false">Signataire</f>
        <v>Prénom NOM</v>
      </c>
      <c r="E6294" s="34"/>
      <c r="F6294" s="34"/>
    </row>
    <row r="6295" customFormat="false" ht="15" hidden="false" customHeight="false" outlineLevel="0" collapsed="false">
      <c r="B6295" s="10"/>
      <c r="C6295" s="10"/>
      <c r="D6295" s="47" t="str">
        <f aca="false">Signataire_Titre</f>
        <v>Expert-comptable associé</v>
      </c>
      <c r="E6295" s="47"/>
      <c r="F6295" s="47"/>
    </row>
    <row r="6296" customFormat="false" ht="15.75" hidden="false" customHeight="true" outlineLevel="0" collapsed="false">
      <c r="B6296" s="10"/>
      <c r="C6296" s="10"/>
      <c r="D6296" s="10"/>
      <c r="E6296" s="10"/>
      <c r="F6296" s="10"/>
    </row>
    <row r="6297" customFormat="false" ht="15.75" hidden="false" customHeight="true" outlineLevel="0" collapsed="false">
      <c r="B6297" s="10"/>
      <c r="C6297" s="10"/>
      <c r="D6297" s="10"/>
      <c r="E6297" s="10"/>
      <c r="F6297" s="10"/>
    </row>
    <row r="6298" customFormat="false" ht="15.75" hidden="false" customHeight="true" outlineLevel="0" collapsed="false">
      <c r="B6298" s="10"/>
      <c r="C6298" s="10"/>
      <c r="D6298" s="10"/>
      <c r="E6298" s="10"/>
      <c r="F6298" s="10"/>
    </row>
    <row r="6299" customFormat="false" ht="15.75" hidden="false" customHeight="true" outlineLevel="0" collapsed="false">
      <c r="B6299" s="10"/>
      <c r="C6299" s="10"/>
      <c r="D6299" s="10"/>
      <c r="E6299" s="10"/>
      <c r="F6299" s="10"/>
    </row>
    <row r="6300" customFormat="false" ht="24" hidden="false" customHeight="true" outlineLevel="0" collapsed="false">
      <c r="B6300" s="48" t="str">
        <f aca="false">Cab_Mentions</f>
        <v>ALTHO EXPERTISE · SAS au capital de 10 000 € · RCS Pontoise 919 706 325 · TVA FR62919706325 · Société d'expertise comptable inscrite au Tableau de l'Ordre des experts-comptables de Paris Île-de-France</v>
      </c>
      <c r="C6300" s="48"/>
      <c r="D6300" s="48"/>
      <c r="E6300" s="48"/>
      <c r="F6300" s="48"/>
    </row>
    <row r="6301" customFormat="false" ht="15" hidden="false" customHeight="false" outlineLevel="0" collapsed="false">
      <c r="B6301" s="10"/>
      <c r="C6301" s="10"/>
      <c r="D6301" s="10"/>
      <c r="E6301" s="10"/>
      <c r="F6301" s="10"/>
      <c r="J6301" s="25" t="s">
        <v>142</v>
      </c>
      <c r="K6301" s="25" t="n">
        <f aca="false">IFERROR(MATCH(141,Clients!$Z$2:$Z$501,0),0)</f>
        <v>0</v>
      </c>
      <c r="L6301" s="25"/>
      <c r="M6301" s="25"/>
      <c r="N6301" s="25"/>
      <c r="O6301" s="25"/>
    </row>
    <row r="6302" customFormat="false" ht="21.75" hidden="false" customHeight="true" outlineLevel="0" collapsed="false">
      <c r="B6302" s="26" t="str">
        <f aca="false">Cab_Nom</f>
        <v>ALTHO EXPERTISE</v>
      </c>
      <c r="C6302" s="26"/>
      <c r="D6302" s="10"/>
      <c r="E6302" s="27" t="str">
        <f aca="false">IF($K$6301=0,"","Réf. client : "&amp;INDEX(Clients!$A$2:$A$501,$K$6301))</f>
        <v/>
      </c>
      <c r="F6302" s="27"/>
      <c r="J6302" s="25" t="s">
        <v>144</v>
      </c>
      <c r="K6302" s="25" t="str">
        <f aca="false">IF(IF($K$6301=0,"",INDEX(Clients!$B$2:$B$501,$K$6301)&amp;"")="Mme","Madame",IF(IF($K$6301=0,"",INDEX(Clients!$B$2:$B$501,$K$6301)&amp;"")="M.","Monsieur","Madame, Monsieur"))</f>
        <v>Madame, Monsieur</v>
      </c>
      <c r="L6302" s="25"/>
      <c r="M6302" s="25"/>
      <c r="N6302" s="25"/>
      <c r="O6302" s="25"/>
    </row>
    <row r="6303" customFormat="false" ht="15" hidden="false" customHeight="false" outlineLevel="0" collapsed="false">
      <c r="B6303" s="29" t="str">
        <f aca="false">Cab_Adr1</f>
        <v>141 rue Charles de Gaulle</v>
      </c>
      <c r="C6303" s="29"/>
      <c r="D6303" s="10"/>
      <c r="E6303" s="10"/>
      <c r="F6303" s="10"/>
      <c r="J6303" s="25" t="s">
        <v>145</v>
      </c>
      <c r="K6303" s="25" t="str">
        <f aca="false">DAY(Date_Effet)&amp;IF(DAY(Date_Effet)=1,"er","")&amp;" "&amp;INDEX(Liste_Mois,MONTH(Date_Effet))&amp;" "&amp;YEAR(Date_Effet)</f>
        <v>1er janvier 2027</v>
      </c>
      <c r="L6303" s="25"/>
      <c r="M6303" s="25"/>
      <c r="N6303" s="25"/>
      <c r="O6303" s="25"/>
    </row>
    <row r="6304" customFormat="false" ht="15" hidden="false" customHeight="false" outlineLevel="0" collapsed="false">
      <c r="B6304" s="29" t="str">
        <f aca="false">Cab_CPVille</f>
        <v>95130 LE PLESSIS-BOUCHARD</v>
      </c>
      <c r="C6304" s="29"/>
      <c r="D6304" s="10"/>
      <c r="E6304" s="10"/>
      <c r="F6304" s="10"/>
      <c r="J6304" s="25" t="s">
        <v>146</v>
      </c>
      <c r="K6304" s="25" t="str">
        <f aca="false">IF(SUM($K$6328:$K$6331)=0,"",FIXED((SUM($L$6328:$L$6331)/SUM($K$6328:$K$6331)-1)*100,1)&amp;" %")</f>
        <v/>
      </c>
      <c r="L6304" s="25"/>
      <c r="M6304" s="25"/>
      <c r="N6304" s="25"/>
      <c r="O6304" s="25"/>
    </row>
    <row r="6305" customFormat="false" ht="15" hidden="false" customHeight="false" outlineLevel="0" collapsed="false">
      <c r="B6305" s="29" t="str">
        <f aca="false">Cab_Contact</f>
        <v>Tél. 01 34 14 53 45  ·  altho@altho-experts.com  ·  altho-experts.com</v>
      </c>
      <c r="C6305" s="29"/>
      <c r="D6305" s="10"/>
      <c r="E6305" s="10"/>
      <c r="F6305" s="10"/>
      <c r="J6305" s="25"/>
      <c r="K6305" s="25"/>
      <c r="L6305" s="25"/>
      <c r="M6305" s="25"/>
      <c r="N6305" s="25"/>
      <c r="O6305" s="25"/>
    </row>
    <row r="6306" customFormat="false" ht="6" hidden="false" customHeight="true" outlineLevel="0" collapsed="false">
      <c r="B6306" s="32"/>
      <c r="C6306" s="32"/>
      <c r="D6306" s="32"/>
      <c r="E6306" s="32"/>
      <c r="F6306" s="32"/>
      <c r="J6306" s="25"/>
      <c r="K6306" s="25"/>
      <c r="L6306" s="25"/>
      <c r="M6306" s="25"/>
      <c r="N6306" s="25"/>
      <c r="O6306" s="25"/>
    </row>
    <row r="6307" customFormat="false" ht="13.5" hidden="false" customHeight="true" outlineLevel="0" collapsed="false">
      <c r="B6307" s="10"/>
      <c r="C6307" s="10"/>
      <c r="D6307" s="10"/>
      <c r="E6307" s="10"/>
      <c r="F6307" s="10"/>
      <c r="J6307" s="25"/>
      <c r="K6307" s="25"/>
      <c r="L6307" s="25"/>
      <c r="M6307" s="25"/>
      <c r="N6307" s="25"/>
      <c r="O6307" s="25"/>
    </row>
    <row r="6308" customFormat="false" ht="13.5" hidden="false" customHeight="true" outlineLevel="0" collapsed="false">
      <c r="B6308" s="10"/>
      <c r="C6308" s="10"/>
      <c r="D6308" s="10"/>
      <c r="E6308" s="10"/>
      <c r="F6308" s="10"/>
      <c r="J6308" s="25"/>
      <c r="K6308" s="25"/>
      <c r="L6308" s="25"/>
      <c r="M6308" s="25"/>
      <c r="N6308" s="25"/>
      <c r="O6308" s="25"/>
    </row>
    <row r="6309" customFormat="false" ht="13.5" hidden="false" customHeight="true" outlineLevel="0" collapsed="false">
      <c r="B6309" s="10"/>
      <c r="C6309" s="10"/>
      <c r="D6309" s="10"/>
      <c r="E6309" s="10"/>
      <c r="F6309" s="10"/>
      <c r="J6309" s="25"/>
      <c r="K6309" s="25"/>
      <c r="L6309" s="25"/>
      <c r="M6309" s="25"/>
      <c r="N6309" s="25"/>
      <c r="O6309" s="25"/>
    </row>
    <row r="6310" customFormat="false" ht="15" hidden="false" customHeight="true" outlineLevel="0" collapsed="false">
      <c r="B6310" s="10"/>
      <c r="C6310" s="10"/>
      <c r="D6310" s="34" t="str">
        <f aca="false">IF($K$6301=0,"",INDEX(Clients!$E$2:$E$501,$K$6301)&amp;"")</f>
        <v/>
      </c>
      <c r="E6310" s="34"/>
      <c r="F6310" s="34"/>
      <c r="J6310" s="25"/>
      <c r="K6310" s="25"/>
      <c r="L6310" s="25"/>
      <c r="M6310" s="25"/>
      <c r="N6310" s="25"/>
      <c r="O6310" s="25"/>
    </row>
    <row r="6311" customFormat="false" ht="15" hidden="false" customHeight="true" outlineLevel="0" collapsed="false">
      <c r="B6311" s="10"/>
      <c r="C6311" s="10"/>
      <c r="D6311" s="35" t="str">
        <f aca="false">IF(IF($K$6301=0,"",INDEX(Clients!$D$2:$D$501,$K$6301)&amp;"")="","","À l'attention de "&amp;TRIM(IF($K$6301=0,"",INDEX(Clients!$B$2:$B$501,$K$6301)&amp;"")&amp;" "&amp;IF($K$6301=0,"",INDEX(Clients!$C$2:$C$501,$K$6301)&amp;"")&amp;" "&amp;IF($K$6301=0,"",INDEX(Clients!$D$2:$D$501,$K$6301)&amp;"")))</f>
        <v/>
      </c>
      <c r="E6311" s="35"/>
      <c r="F6311" s="35"/>
      <c r="J6311" s="25"/>
      <c r="K6311" s="25"/>
      <c r="L6311" s="25"/>
      <c r="M6311" s="25"/>
      <c r="N6311" s="25"/>
      <c r="O6311" s="25"/>
    </row>
    <row r="6312" customFormat="false" ht="15" hidden="false" customHeight="true" outlineLevel="0" collapsed="false">
      <c r="B6312" s="10"/>
      <c r="C6312" s="10"/>
      <c r="D6312" s="35" t="str">
        <f aca="false">IF($K$6301=0,"",INDEX(Clients!$F$2:$F$501,$K$6301)&amp;"")</f>
        <v/>
      </c>
      <c r="E6312" s="35"/>
      <c r="F6312" s="35"/>
      <c r="J6312" s="25"/>
      <c r="K6312" s="25"/>
      <c r="L6312" s="25"/>
      <c r="M6312" s="25"/>
      <c r="N6312" s="25"/>
      <c r="O6312" s="25"/>
    </row>
    <row r="6313" customFormat="false" ht="15" hidden="false" customHeight="true" outlineLevel="0" collapsed="false">
      <c r="B6313" s="10"/>
      <c r="C6313" s="10"/>
      <c r="D6313" s="35" t="str">
        <f aca="false">IF(IF($K$6301=0,"",INDEX(Clients!$G$2:$G$501,$K$6301)&amp;"")="",TRIM(IF($K$6301=0,"",INDEX(Clients!$H$2:$H$501,$K$6301)&amp;"")&amp;" "&amp;UPPER(IF($K$6301=0,"",INDEX(Clients!$I$2:$I$501,$K$6301)&amp;""))),IF($K$6301=0,"",INDEX(Clients!$G$2:$G$501,$K$6301)&amp;""))</f>
        <v/>
      </c>
      <c r="E6313" s="35"/>
      <c r="F6313" s="35"/>
      <c r="J6313" s="25"/>
      <c r="K6313" s="25"/>
      <c r="L6313" s="25"/>
      <c r="M6313" s="25"/>
      <c r="N6313" s="25"/>
      <c r="O6313" s="25"/>
    </row>
    <row r="6314" customFormat="false" ht="15" hidden="false" customHeight="true" outlineLevel="0" collapsed="false">
      <c r="B6314" s="10"/>
      <c r="C6314" s="10"/>
      <c r="D6314" s="35" t="str">
        <f aca="false">IF(IF($K$6301=0,"",INDEX(Clients!$G$2:$G$501,$K$6301)&amp;"")="","",TRIM(IF($K$6301=0,"",INDEX(Clients!$H$2:$H$501,$K$6301)&amp;"")&amp;" "&amp;UPPER(IF($K$6301=0,"",INDEX(Clients!$I$2:$I$501,$K$6301)&amp;""))))</f>
        <v/>
      </c>
      <c r="E6314" s="35"/>
      <c r="F6314" s="35"/>
      <c r="J6314" s="25"/>
      <c r="K6314" s="25"/>
      <c r="L6314" s="25"/>
      <c r="M6314" s="25"/>
      <c r="N6314" s="25"/>
      <c r="O6314" s="25"/>
    </row>
    <row r="6315" customFormat="false" ht="25.5" hidden="false" customHeight="true" outlineLevel="0" collapsed="false">
      <c r="B6315" s="10"/>
      <c r="C6315" s="10"/>
      <c r="D6315" s="10"/>
      <c r="E6315" s="10"/>
      <c r="F6315" s="10"/>
      <c r="J6315" s="25"/>
      <c r="K6315" s="25"/>
      <c r="L6315" s="25"/>
      <c r="M6315" s="25"/>
      <c r="N6315" s="25"/>
      <c r="O6315" s="25"/>
    </row>
    <row r="6316" customFormat="false" ht="15" hidden="false" customHeight="false" outlineLevel="0" collapsed="false">
      <c r="B6316" s="10"/>
      <c r="C6316" s="10"/>
      <c r="D6316" s="36" t="str">
        <f aca="false">Cab_Ville&amp;", le "&amp;DAY(Date_Courrier)&amp;IF(DAY(Date_Courrier)=1,"er","")&amp;" "&amp;INDEX(Liste_Mois,MONTH(Date_Courrier))&amp;" "&amp;YEAR(Date_Courrier)</f>
        <v>Le Plessis-Bouchard, le 22 septembre 2026</v>
      </c>
      <c r="E6316" s="36"/>
      <c r="F6316" s="36"/>
      <c r="J6316" s="25"/>
      <c r="K6316" s="25"/>
      <c r="L6316" s="25"/>
      <c r="M6316" s="25"/>
      <c r="N6316" s="25"/>
      <c r="O6316" s="25"/>
    </row>
    <row r="6317" customFormat="false" ht="19.5" hidden="false" customHeight="true" outlineLevel="0" collapsed="false">
      <c r="B6317" s="10"/>
      <c r="C6317" s="10"/>
      <c r="D6317" s="10"/>
      <c r="E6317" s="10"/>
      <c r="F6317" s="10"/>
      <c r="J6317" s="25"/>
      <c r="K6317" s="25"/>
      <c r="L6317" s="25"/>
      <c r="M6317" s="25"/>
      <c r="N6317" s="25"/>
      <c r="O6317" s="25"/>
    </row>
    <row r="6318" customFormat="false" ht="15" hidden="false" customHeight="false" outlineLevel="0" collapsed="false">
      <c r="B6318" s="34" t="str">
        <f aca="false">SUBSTITUTE(SUBSTITUTE(SUBSTITUTE(SUBSTITUTE(SUBSTITUTE(Txt_Objet,"{cabinet}",Cab_Nom),"{societe}",IF($K$6301=0,"",INDEX(Clients!$E$2:$E$501,$K$6301)&amp;"")),"{date_effet}",$K$6303),"{hausse}",$K$6304),"{civilite}",$K$6302)</f>
        <v>Objet : révision de nos honoraires au 1er janvier 2027</v>
      </c>
      <c r="C6318" s="34"/>
      <c r="D6318" s="34"/>
      <c r="E6318" s="34"/>
      <c r="F6318" s="34"/>
      <c r="J6318" s="25"/>
      <c r="K6318" s="25"/>
      <c r="L6318" s="25"/>
      <c r="M6318" s="25"/>
      <c r="N6318" s="25"/>
      <c r="O6318" s="25"/>
    </row>
    <row r="6319" customFormat="false" ht="13.5" hidden="false" customHeight="true" outlineLevel="0" collapsed="false">
      <c r="B6319" s="10"/>
      <c r="C6319" s="10"/>
      <c r="D6319" s="10"/>
      <c r="E6319" s="10"/>
      <c r="F6319" s="10"/>
      <c r="J6319" s="25"/>
      <c r="K6319" s="25"/>
      <c r="L6319" s="25"/>
      <c r="M6319" s="25"/>
      <c r="N6319" s="25"/>
      <c r="O6319" s="25"/>
    </row>
    <row r="6320" customFormat="false" ht="15" hidden="false" customHeight="false" outlineLevel="0" collapsed="false">
      <c r="B6320" s="10" t="str">
        <f aca="false">$K$6302&amp;","</f>
        <v>Madame, Monsieur,</v>
      </c>
      <c r="C6320" s="10"/>
      <c r="D6320" s="10"/>
      <c r="E6320" s="10"/>
      <c r="F6320" s="10"/>
      <c r="J6320" s="25"/>
      <c r="K6320" s="25"/>
      <c r="L6320" s="25"/>
      <c r="M6320" s="25"/>
      <c r="N6320" s="25"/>
      <c r="O6320" s="25"/>
    </row>
    <row r="6321" customFormat="false" ht="6" hidden="false" customHeight="true" outlineLevel="0" collapsed="false">
      <c r="B6321" s="10"/>
      <c r="C6321" s="10"/>
      <c r="D6321" s="10"/>
      <c r="E6321" s="10"/>
      <c r="F6321" s="10"/>
      <c r="J6321" s="25"/>
      <c r="K6321" s="25"/>
      <c r="L6321" s="25"/>
      <c r="M6321" s="25"/>
      <c r="N6321" s="25"/>
      <c r="O6321" s="25"/>
    </row>
    <row r="6322" customFormat="false" ht="36.75" hidden="false" customHeight="true" outlineLevel="0" collapsed="false">
      <c r="B6322" s="37" t="str">
        <f aca="false">SUBSTITUTE(SUBSTITUTE(SUBSTITUTE(SUBSTITUTE(SUBSTITUTE(Txt_P1,"{cabinet}",Cab_Nom),"{societe}",IF($K$6301=0,"",INDEX(Clients!$E$2:$E$501,$K$6301)&amp;"")),"{date_effet}",$K$6303),"{hausse}",$K$6304),"{civilite}",$K$6302)</f>
        <v>Nous tenons tout d'abord à vous remercier pour la confiance que vous accordez à ALTHO EXPERTISE. Comme chaque année, et conformément aux dispositions de votre lettre de mission, nous procédons à la révision de nos honoraires.</v>
      </c>
      <c r="C6322" s="37"/>
      <c r="D6322" s="37"/>
      <c r="E6322" s="37"/>
      <c r="F6322" s="37"/>
      <c r="J6322" s="25"/>
      <c r="K6322" s="25"/>
      <c r="L6322" s="25"/>
      <c r="M6322" s="25"/>
      <c r="N6322" s="25"/>
      <c r="O6322" s="25"/>
    </row>
    <row r="6323" customFormat="false" ht="49.5" hidden="false" customHeight="true" outlineLevel="0" collapsed="false">
      <c r="B6323" s="37" t="str">
        <f aca="false">SUBSTITUTE(SUBSTITUTE(SUBSTITUTE(SUBSTITUTE(SUBSTITUTE(Txt_P2,"{cabinet}",Cab_Nom),"{societe}",IF($K$6301=0,"",INDEX(Clients!$E$2:$E$501,$K$6301)&amp;"")),"{date_effet}",$K$6303),"{hausse}",$K$6304),"{civilite}",$K$6302)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323" s="37"/>
      <c r="D6323" s="37"/>
      <c r="E6323" s="37"/>
      <c r="F6323" s="37"/>
      <c r="J6323" s="25"/>
      <c r="K6323" s="25"/>
      <c r="L6323" s="25"/>
      <c r="M6323" s="25"/>
      <c r="N6323" s="25"/>
      <c r="O6323" s="25"/>
    </row>
    <row r="6324" customFormat="false" ht="63" hidden="false" customHeight="true" outlineLevel="0" collapsed="false">
      <c r="B6324" s="37" t="str">
        <f aca="false">SUBSTITUTE(SUBSTITUTE(SUBSTITUTE(SUBSTITUTE(SUBSTITUTE(Txt_P3,"{cabinet}",Cab_Nom),"{societe}",IF($K$6301=0,"",INDEX(Clients!$E$2:$E$501,$K$6301)&amp;"")),"{date_effet}",$K$6303),"{hausse}",$K$6304),"{civilite}",$K$6302)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324" s="37"/>
      <c r="D6324" s="37"/>
      <c r="E6324" s="37"/>
      <c r="F6324" s="37"/>
      <c r="J6324" s="25"/>
      <c r="K6324" s="25"/>
      <c r="L6324" s="25"/>
      <c r="M6324" s="25"/>
      <c r="N6324" s="25"/>
      <c r="O6324" s="25"/>
    </row>
    <row r="6325" customFormat="false" ht="24" hidden="false" customHeight="true" outlineLevel="0" collapsed="false">
      <c r="B6325" s="37" t="str">
        <f aca="false">SUBSTITUTE(SUBSTITUTE(SUBSTITUTE(SUBSTITUTE(SUBSTITUTE(Txt_P4,"{cabinet}",Cab_Nom),"{societe}",IF($K$6301=0,"",INDEX(Clients!$E$2:$E$501,$K$6301)&amp;"")),"{date_effet}",$K$6303),"{hausse}",$K$6304),"{civilite}",$K$6302)</f>
        <v>À compter du 1er janvier 2027, vos honoraires annuels hors taxes évolueront ainsi (évolution globale : ) :</v>
      </c>
      <c r="C6325" s="37"/>
      <c r="D6325" s="37"/>
      <c r="E6325" s="37"/>
      <c r="F6325" s="37"/>
      <c r="J6325" s="25"/>
      <c r="K6325" s="25"/>
      <c r="L6325" s="25"/>
      <c r="M6325" s="25"/>
      <c r="N6325" s="25"/>
      <c r="O6325" s="25"/>
    </row>
    <row r="6326" customFormat="false" ht="3.75" hidden="false" customHeight="true" outlineLevel="0" collapsed="false">
      <c r="B6326" s="10"/>
      <c r="C6326" s="10"/>
      <c r="D6326" s="10"/>
      <c r="E6326" s="10"/>
      <c r="F6326" s="10"/>
      <c r="J6326" s="25"/>
      <c r="K6326" s="25"/>
      <c r="L6326" s="25"/>
      <c r="M6326" s="25"/>
      <c r="N6326" s="25"/>
      <c r="O6326" s="25"/>
    </row>
    <row r="6327" customFormat="false" ht="18" hidden="false" customHeight="true" outlineLevel="0" collapsed="false">
      <c r="B6327" s="38" t="s">
        <v>148</v>
      </c>
      <c r="C6327" s="39" t="s">
        <v>149</v>
      </c>
      <c r="D6327" s="39" t="s">
        <v>150</v>
      </c>
      <c r="E6327" s="39" t="s">
        <v>151</v>
      </c>
      <c r="F6327" s="39" t="s">
        <v>109</v>
      </c>
      <c r="J6327" s="25" t="s">
        <v>152</v>
      </c>
      <c r="K6327" s="25" t="s">
        <v>153</v>
      </c>
      <c r="L6327" s="25" t="s">
        <v>154</v>
      </c>
      <c r="M6327" s="25" t="s">
        <v>155</v>
      </c>
      <c r="N6327" s="25" t="s">
        <v>156</v>
      </c>
      <c r="O6327" s="25" t="s">
        <v>157</v>
      </c>
    </row>
    <row r="6328" customFormat="false" ht="16.5" hidden="false" customHeight="true" outlineLevel="0" collapsed="false">
      <c r="B6328" s="40" t="str">
        <f aca="false">IFERROR(INDEX($J$6328:$J$6331,MATCH($O6328,$N$6328:$N$6331,0)),"")</f>
        <v/>
      </c>
      <c r="C6328" s="41" t="str">
        <f aca="false">IFERROR(INDEX($K$6328:$K$6331,MATCH($O6328,$N$6328:$N$6331,0)),"")</f>
        <v/>
      </c>
      <c r="D6328" s="42" t="str">
        <f aca="false">IF(OR(E6328="",N(C6328)=0),"",E6328/C6328-1)</f>
        <v/>
      </c>
      <c r="E6328" s="41" t="str">
        <f aca="false">IFERROR(INDEX($L$6328:$L$6331,MATCH($O6328,$N$6328:$N$6331,0)),"")</f>
        <v/>
      </c>
      <c r="F6328" s="41" t="str">
        <f aca="false">IF(E6328="","",E6328-C6328)</f>
        <v/>
      </c>
      <c r="J6328" s="25" t="str">
        <f aca="false">Lib_Compta</f>
        <v>Mission comptable (tenue, révision, bilan, liasse fiscale)</v>
      </c>
      <c r="K6328" s="25" t="n">
        <f aca="false">IF($K$6301=0,0,N(INDEX(Clients!$K$2:$K$501,$K$6301)))</f>
        <v>0</v>
      </c>
      <c r="L6328" s="25" t="n">
        <f aca="false">IF($K$6301=0,0,N(INDEX(Clients!$P$2:$P$501,$K$6301)))</f>
        <v>0</v>
      </c>
      <c r="M6328" s="25" t="n">
        <f aca="false">IF(OR(K6328&lt;&gt;0,L6328&lt;&gt;0),1,0)</f>
        <v>0</v>
      </c>
      <c r="N6328" s="25" t="str">
        <f aca="false">IF(M6328=1,SUM($M$6328:M6328),"")</f>
        <v/>
      </c>
      <c r="O6328" s="25" t="n">
        <v>1</v>
      </c>
    </row>
    <row r="6329" customFormat="false" ht="16.5" hidden="false" customHeight="true" outlineLevel="0" collapsed="false">
      <c r="B6329" s="40" t="str">
        <f aca="false">IFERROR(INDEX($J$6328:$J$6331,MATCH($O6329,$N$6328:$N$6331,0)),"")</f>
        <v/>
      </c>
      <c r="C6329" s="41" t="str">
        <f aca="false">IFERROR(INDEX($K$6328:$K$6331,MATCH($O6329,$N$6328:$N$6331,0)),"")</f>
        <v/>
      </c>
      <c r="D6329" s="42" t="str">
        <f aca="false">IF(OR(E6329="",N(C6329)=0),"",E6329/C6329-1)</f>
        <v/>
      </c>
      <c r="E6329" s="41" t="str">
        <f aca="false">IFERROR(INDEX($L$6328:$L$6331,MATCH($O6329,$N$6328:$N$6331,0)),"")</f>
        <v/>
      </c>
      <c r="F6329" s="41" t="str">
        <f aca="false">IF(E6329="","",E6329-C6329)</f>
        <v/>
      </c>
      <c r="J6329" s="25" t="str">
        <f aca="false">Lib_Paye</f>
        <v>Mission sociale (bulletins de paie, DSN, déclarations sociales)</v>
      </c>
      <c r="K6329" s="25" t="n">
        <f aca="false">IF($K$6301=0,0,N(INDEX(Clients!$L$2:$L$501,$K$6301)))</f>
        <v>0</v>
      </c>
      <c r="L6329" s="25" t="n">
        <f aca="false">IF($K$6301=0,0,N(INDEX(Clients!$Q$2:$Q$501,$K$6301)))</f>
        <v>0</v>
      </c>
      <c r="M6329" s="25" t="n">
        <f aca="false">IF(OR(K6329&lt;&gt;0,L6329&lt;&gt;0),1,0)</f>
        <v>0</v>
      </c>
      <c r="N6329" s="25" t="str">
        <f aca="false">IF(M6329=1,SUM($M$6328:M6329),"")</f>
        <v/>
      </c>
      <c r="O6329" s="25" t="n">
        <v>2</v>
      </c>
    </row>
    <row r="6330" customFormat="false" ht="16.5" hidden="false" customHeight="true" outlineLevel="0" collapsed="false">
      <c r="B6330" s="40" t="str">
        <f aca="false">IFERROR(INDEX($J$6328:$J$6331,MATCH($O6330,$N$6328:$N$6331,0)),"")</f>
        <v/>
      </c>
      <c r="C6330" s="41" t="str">
        <f aca="false">IFERROR(INDEX($K$6328:$K$6331,MATCH($O6330,$N$6328:$N$6331,0)),"")</f>
        <v/>
      </c>
      <c r="D6330" s="42" t="str">
        <f aca="false">IF(OR(E6330="",N(C6330)=0),"",E6330/C6330-1)</f>
        <v/>
      </c>
      <c r="E6330" s="41" t="str">
        <f aca="false">IFERROR(INDEX($L$6328:$L$6331,MATCH($O6330,$N$6328:$N$6331,0)),"")</f>
        <v/>
      </c>
      <c r="F6330" s="41" t="str">
        <f aca="false">IF(E6330="","",E6330-C6330)</f>
        <v/>
      </c>
      <c r="J6330" s="25" t="str">
        <f aca="false">Lib_Jur</f>
        <v>Mission juridique (approbation des comptes, secrétariat juridique)</v>
      </c>
      <c r="K6330" s="25" t="n">
        <f aca="false">IF($K$6301=0,0,N(INDEX(Clients!$M$2:$M$501,$K$6301)))</f>
        <v>0</v>
      </c>
      <c r="L6330" s="25" t="n">
        <f aca="false">IF($K$6301=0,0,N(INDEX(Clients!$R$2:$R$501,$K$6301)))</f>
        <v>0</v>
      </c>
      <c r="M6330" s="25" t="n">
        <f aca="false">IF(OR(K6330&lt;&gt;0,L6330&lt;&gt;0),1,0)</f>
        <v>0</v>
      </c>
      <c r="N6330" s="25" t="str">
        <f aca="false">IF(M6330=1,SUM($M$6328:M6330),"")</f>
        <v/>
      </c>
      <c r="O6330" s="25" t="n">
        <v>3</v>
      </c>
    </row>
    <row r="6331" customFormat="false" ht="16.5" hidden="false" customHeight="true" outlineLevel="0" collapsed="false">
      <c r="B6331" s="40" t="str">
        <f aca="false">IFERROR(INDEX($J$6328:$J$6331,MATCH($O6331,$N$6328:$N$6331,0)),"")</f>
        <v/>
      </c>
      <c r="C6331" s="41" t="str">
        <f aca="false">IFERROR(INDEX($K$6328:$K$6331,MATCH($O6331,$N$6328:$N$6331,0)),"")</f>
        <v/>
      </c>
      <c r="D6331" s="42" t="str">
        <f aca="false">IF(OR(E6331="",N(C6331)=0),"",E6331/C6331-1)</f>
        <v/>
      </c>
      <c r="E6331" s="41" t="str">
        <f aca="false">IFERROR(INDEX($L$6328:$L$6331,MATCH($O6331,$N$6328:$N$6331,0)),"")</f>
        <v/>
      </c>
      <c r="F6331" s="41" t="str">
        <f aca="false">IF(E6331="","",E6331-C6331)</f>
        <v/>
      </c>
      <c r="J6331" s="25" t="str">
        <f aca="false">Lib_PA</f>
        <v>Plateforme agréée – facturation électronique</v>
      </c>
      <c r="K6331" s="25" t="n">
        <f aca="false">IF($K$6301=0,0,N(INDEX(Clients!$N$2:$N$501,$K$6301)))</f>
        <v>0</v>
      </c>
      <c r="L6331" s="25" t="n">
        <f aca="false">IF($K$6301=0,0,N(INDEX(Clients!$S$2:$S$501,$K$6301)))</f>
        <v>0</v>
      </c>
      <c r="M6331" s="25" t="n">
        <f aca="false">IF(OR(K6331&lt;&gt;0,L6331&lt;&gt;0),1,0)</f>
        <v>0</v>
      </c>
      <c r="N6331" s="25" t="str">
        <f aca="false">IF(M6331=1,SUM($M$6328:M6331),"")</f>
        <v/>
      </c>
      <c r="O6331" s="25" t="n">
        <v>4</v>
      </c>
    </row>
    <row r="6332" customFormat="false" ht="18" hidden="false" customHeight="true" outlineLevel="0" collapsed="false">
      <c r="B6332" s="43" t="s">
        <v>158</v>
      </c>
      <c r="C6332" s="44" t="n">
        <f aca="false">SUM(K6328:K6331)</f>
        <v>0</v>
      </c>
      <c r="D6332" s="45" t="str">
        <f aca="false">IF(N(C6332)=0,"",E6332/C6332-1)</f>
        <v/>
      </c>
      <c r="E6332" s="44" t="n">
        <f aca="false">SUM(L6328:L6331)</f>
        <v>0</v>
      </c>
      <c r="F6332" s="44" t="n">
        <f aca="false">E6332-C6332</f>
        <v>0</v>
      </c>
    </row>
    <row r="6333" customFormat="false" ht="15" hidden="false" customHeight="false" outlineLevel="0" collapsed="false">
      <c r="B6333" s="46" t="str">
        <f aca="false">IF(N(Nb_Mensualites)=0,"","Soit "&amp;FIXED(E6332/Nb_Mensualites,2)&amp;" € HT par échéance ("&amp;Nb_Mensualites&amp;" échéances), "&amp;FIXED(E6332/Nb_Mensualites*(1+Taux_TVA),2)&amp;" € TTC.")</f>
        <v>Soit 0.00 € HT par échéance (12 échéances), 0.00 € TTC.</v>
      </c>
      <c r="C6333" s="46"/>
      <c r="D6333" s="46"/>
      <c r="E6333" s="46"/>
      <c r="F6333" s="46"/>
    </row>
    <row r="6334" customFormat="false" ht="7.5" hidden="false" customHeight="true" outlineLevel="0" collapsed="false">
      <c r="B6334" s="10"/>
      <c r="C6334" s="10"/>
      <c r="D6334" s="10"/>
      <c r="E6334" s="10"/>
      <c r="F6334" s="10"/>
    </row>
    <row r="6335" customFormat="false" ht="36.75" hidden="false" customHeight="true" outlineLevel="0" collapsed="false">
      <c r="B6335" s="37" t="str">
        <f aca="false">SUBSTITUTE(SUBSTITUTE(SUBSTITUTE(SUBSTITUTE(SUBSTITUTE(Txt_P5,"{cabinet}",Cab_Nom),"{societe}",IF($K$6301=0,"",INDEX(Clients!$E$2:$E$501,$K$6301)&amp;"")),"{date_effet}",$K$6303),"{hausse}",$K$6304),"{civilite}",$K$6302)</f>
        <v>Les autres conditions de votre lettre de mission demeurent inchangées. Les nouveaux montants seront appliqués automatiquement sur vos prochaines factures et échéances de prélèvement.</v>
      </c>
      <c r="C6335" s="37"/>
      <c r="D6335" s="37"/>
      <c r="E6335" s="37"/>
      <c r="F6335" s="37"/>
    </row>
    <row r="6336" customFormat="false" ht="36.75" hidden="false" customHeight="true" outlineLevel="0" collapsed="false">
      <c r="B6336" s="37" t="str">
        <f aca="false">SUBSTITUTE(SUBSTITUTE(SUBSTITUTE(SUBSTITUTE(SUBSTITUTE(Txt_P6,"{cabinet}",Cab_Nom),"{societe}",IF($K$6301=0,"",INDEX(Clients!$E$2:$E$501,$K$6301)&amp;"")),"{date_effet}",$K$6303),"{hausse}",$K$6304),"{civilite}",$K$6302)</f>
        <v>Votre interlocuteur habituel reste à votre entière disposition pour répondre à vos questions et faire le point sur l'évolution de vos besoins.</v>
      </c>
      <c r="C6336" s="37"/>
      <c r="D6336" s="37"/>
      <c r="E6336" s="37"/>
      <c r="F6336" s="37"/>
    </row>
    <row r="6337" customFormat="false" ht="24" hidden="false" customHeight="true" outlineLevel="0" collapsed="false">
      <c r="B6337" s="37" t="str">
        <f aca="false">SUBSTITUTE(SUBSTITUTE(SUBSTITUTE(SUBSTITUTE(SUBSTITUTE(Txt_Politesse,"{cabinet}",Cab_Nom),"{societe}",IF($K$6301=0,"",INDEX(Clients!$E$2:$E$501,$K$6301)&amp;"")),"{date_effet}",$K$6303),"{hausse}",$K$6304),"{civilite}",$K$6302)</f>
        <v>Nous vous prions d'agréer, Madame, Monsieur, l'expression de nos salutations distinguées.</v>
      </c>
      <c r="C6337" s="37"/>
      <c r="D6337" s="37"/>
      <c r="E6337" s="37"/>
      <c r="F6337" s="37"/>
    </row>
    <row r="6338" customFormat="false" ht="15" hidden="false" customHeight="false" outlineLevel="0" collapsed="false">
      <c r="B6338" s="10"/>
      <c r="C6338" s="10"/>
      <c r="D6338" s="10"/>
      <c r="E6338" s="10"/>
      <c r="F6338" s="10"/>
    </row>
    <row r="6339" customFormat="false" ht="15" hidden="false" customHeight="false" outlineLevel="0" collapsed="false">
      <c r="B6339" s="10"/>
      <c r="C6339" s="10"/>
      <c r="D6339" s="34" t="str">
        <f aca="false">Signataire</f>
        <v>Prénom NOM</v>
      </c>
      <c r="E6339" s="34"/>
      <c r="F6339" s="34"/>
    </row>
    <row r="6340" customFormat="false" ht="15" hidden="false" customHeight="false" outlineLevel="0" collapsed="false">
      <c r="B6340" s="10"/>
      <c r="C6340" s="10"/>
      <c r="D6340" s="47" t="str">
        <f aca="false">Signataire_Titre</f>
        <v>Expert-comptable associé</v>
      </c>
      <c r="E6340" s="47"/>
      <c r="F6340" s="47"/>
    </row>
    <row r="6341" customFormat="false" ht="15.75" hidden="false" customHeight="true" outlineLevel="0" collapsed="false">
      <c r="B6341" s="10"/>
      <c r="C6341" s="10"/>
      <c r="D6341" s="10"/>
      <c r="E6341" s="10"/>
      <c r="F6341" s="10"/>
    </row>
    <row r="6342" customFormat="false" ht="15.75" hidden="false" customHeight="true" outlineLevel="0" collapsed="false">
      <c r="B6342" s="10"/>
      <c r="C6342" s="10"/>
      <c r="D6342" s="10"/>
      <c r="E6342" s="10"/>
      <c r="F6342" s="10"/>
    </row>
    <row r="6343" customFormat="false" ht="15.75" hidden="false" customHeight="true" outlineLevel="0" collapsed="false">
      <c r="B6343" s="10"/>
      <c r="C6343" s="10"/>
      <c r="D6343" s="10"/>
      <c r="E6343" s="10"/>
      <c r="F6343" s="10"/>
    </row>
    <row r="6344" customFormat="false" ht="15.75" hidden="false" customHeight="true" outlineLevel="0" collapsed="false">
      <c r="B6344" s="10"/>
      <c r="C6344" s="10"/>
      <c r="D6344" s="10"/>
      <c r="E6344" s="10"/>
      <c r="F6344" s="10"/>
    </row>
    <row r="6345" customFormat="false" ht="24" hidden="false" customHeight="true" outlineLevel="0" collapsed="false">
      <c r="B6345" s="48" t="str">
        <f aca="false">Cab_Mentions</f>
        <v>ALTHO EXPERTISE · SAS au capital de 10 000 € · RCS Pontoise 919 706 325 · TVA FR62919706325 · Société d'expertise comptable inscrite au Tableau de l'Ordre des experts-comptables de Paris Île-de-France</v>
      </c>
      <c r="C6345" s="48"/>
      <c r="D6345" s="48"/>
      <c r="E6345" s="48"/>
      <c r="F6345" s="48"/>
    </row>
    <row r="6346" customFormat="false" ht="15" hidden="false" customHeight="false" outlineLevel="0" collapsed="false">
      <c r="B6346" s="10"/>
      <c r="C6346" s="10"/>
      <c r="D6346" s="10"/>
      <c r="E6346" s="10"/>
      <c r="F6346" s="10"/>
      <c r="J6346" s="25" t="s">
        <v>142</v>
      </c>
      <c r="K6346" s="25" t="n">
        <f aca="false">IFERROR(MATCH(142,Clients!$Z$2:$Z$501,0),0)</f>
        <v>0</v>
      </c>
      <c r="L6346" s="25"/>
      <c r="M6346" s="25"/>
      <c r="N6346" s="25"/>
      <c r="O6346" s="25"/>
    </row>
    <row r="6347" customFormat="false" ht="21.75" hidden="false" customHeight="true" outlineLevel="0" collapsed="false">
      <c r="B6347" s="26" t="str">
        <f aca="false">Cab_Nom</f>
        <v>ALTHO EXPERTISE</v>
      </c>
      <c r="C6347" s="26"/>
      <c r="D6347" s="10"/>
      <c r="E6347" s="27" t="str">
        <f aca="false">IF($K$6346=0,"","Réf. client : "&amp;INDEX(Clients!$A$2:$A$501,$K$6346))</f>
        <v/>
      </c>
      <c r="F6347" s="27"/>
      <c r="J6347" s="25" t="s">
        <v>144</v>
      </c>
      <c r="K6347" s="25" t="str">
        <f aca="false">IF(IF($K$6346=0,"",INDEX(Clients!$B$2:$B$501,$K$6346)&amp;"")="Mme","Madame",IF(IF($K$6346=0,"",INDEX(Clients!$B$2:$B$501,$K$6346)&amp;"")="M.","Monsieur","Madame, Monsieur"))</f>
        <v>Madame, Monsieur</v>
      </c>
      <c r="L6347" s="25"/>
      <c r="M6347" s="25"/>
      <c r="N6347" s="25"/>
      <c r="O6347" s="25"/>
    </row>
    <row r="6348" customFormat="false" ht="15" hidden="false" customHeight="false" outlineLevel="0" collapsed="false">
      <c r="B6348" s="29" t="str">
        <f aca="false">Cab_Adr1</f>
        <v>141 rue Charles de Gaulle</v>
      </c>
      <c r="C6348" s="29"/>
      <c r="D6348" s="10"/>
      <c r="E6348" s="10"/>
      <c r="F6348" s="10"/>
      <c r="J6348" s="25" t="s">
        <v>145</v>
      </c>
      <c r="K6348" s="25" t="str">
        <f aca="false">DAY(Date_Effet)&amp;IF(DAY(Date_Effet)=1,"er","")&amp;" "&amp;INDEX(Liste_Mois,MONTH(Date_Effet))&amp;" "&amp;YEAR(Date_Effet)</f>
        <v>1er janvier 2027</v>
      </c>
      <c r="L6348" s="25"/>
      <c r="M6348" s="25"/>
      <c r="N6348" s="25"/>
      <c r="O6348" s="25"/>
    </row>
    <row r="6349" customFormat="false" ht="15" hidden="false" customHeight="false" outlineLevel="0" collapsed="false">
      <c r="B6349" s="29" t="str">
        <f aca="false">Cab_CPVille</f>
        <v>95130 LE PLESSIS-BOUCHARD</v>
      </c>
      <c r="C6349" s="29"/>
      <c r="D6349" s="10"/>
      <c r="E6349" s="10"/>
      <c r="F6349" s="10"/>
      <c r="J6349" s="25" t="s">
        <v>146</v>
      </c>
      <c r="K6349" s="25" t="str">
        <f aca="false">IF(SUM($K$6373:$K$6376)=0,"",FIXED((SUM($L$6373:$L$6376)/SUM($K$6373:$K$6376)-1)*100,1)&amp;" %")</f>
        <v/>
      </c>
      <c r="L6349" s="25"/>
      <c r="M6349" s="25"/>
      <c r="N6349" s="25"/>
      <c r="O6349" s="25"/>
    </row>
    <row r="6350" customFormat="false" ht="15" hidden="false" customHeight="false" outlineLevel="0" collapsed="false">
      <c r="B6350" s="29" t="str">
        <f aca="false">Cab_Contact</f>
        <v>Tél. 01 34 14 53 45  ·  altho@altho-experts.com  ·  altho-experts.com</v>
      </c>
      <c r="C6350" s="29"/>
      <c r="D6350" s="10"/>
      <c r="E6350" s="10"/>
      <c r="F6350" s="10"/>
      <c r="J6350" s="25"/>
      <c r="K6350" s="25"/>
      <c r="L6350" s="25"/>
      <c r="M6350" s="25"/>
      <c r="N6350" s="25"/>
      <c r="O6350" s="25"/>
    </row>
    <row r="6351" customFormat="false" ht="6" hidden="false" customHeight="true" outlineLevel="0" collapsed="false">
      <c r="B6351" s="32"/>
      <c r="C6351" s="32"/>
      <c r="D6351" s="32"/>
      <c r="E6351" s="32"/>
      <c r="F6351" s="32"/>
      <c r="J6351" s="25"/>
      <c r="K6351" s="25"/>
      <c r="L6351" s="25"/>
      <c r="M6351" s="25"/>
      <c r="N6351" s="25"/>
      <c r="O6351" s="25"/>
    </row>
    <row r="6352" customFormat="false" ht="13.5" hidden="false" customHeight="true" outlineLevel="0" collapsed="false">
      <c r="B6352" s="10"/>
      <c r="C6352" s="10"/>
      <c r="D6352" s="10"/>
      <c r="E6352" s="10"/>
      <c r="F6352" s="10"/>
      <c r="J6352" s="25"/>
      <c r="K6352" s="25"/>
      <c r="L6352" s="25"/>
      <c r="M6352" s="25"/>
      <c r="N6352" s="25"/>
      <c r="O6352" s="25"/>
    </row>
    <row r="6353" customFormat="false" ht="13.5" hidden="false" customHeight="true" outlineLevel="0" collapsed="false">
      <c r="B6353" s="10"/>
      <c r="C6353" s="10"/>
      <c r="D6353" s="10"/>
      <c r="E6353" s="10"/>
      <c r="F6353" s="10"/>
      <c r="J6353" s="25"/>
      <c r="K6353" s="25"/>
      <c r="L6353" s="25"/>
      <c r="M6353" s="25"/>
      <c r="N6353" s="25"/>
      <c r="O6353" s="25"/>
    </row>
    <row r="6354" customFormat="false" ht="13.5" hidden="false" customHeight="true" outlineLevel="0" collapsed="false">
      <c r="B6354" s="10"/>
      <c r="C6354" s="10"/>
      <c r="D6354" s="10"/>
      <c r="E6354" s="10"/>
      <c r="F6354" s="10"/>
      <c r="J6354" s="25"/>
      <c r="K6354" s="25"/>
      <c r="L6354" s="25"/>
      <c r="M6354" s="25"/>
      <c r="N6354" s="25"/>
      <c r="O6354" s="25"/>
    </row>
    <row r="6355" customFormat="false" ht="15" hidden="false" customHeight="true" outlineLevel="0" collapsed="false">
      <c r="B6355" s="10"/>
      <c r="C6355" s="10"/>
      <c r="D6355" s="34" t="str">
        <f aca="false">IF($K$6346=0,"",INDEX(Clients!$E$2:$E$501,$K$6346)&amp;"")</f>
        <v/>
      </c>
      <c r="E6355" s="34"/>
      <c r="F6355" s="34"/>
      <c r="J6355" s="25"/>
      <c r="K6355" s="25"/>
      <c r="L6355" s="25"/>
      <c r="M6355" s="25"/>
      <c r="N6355" s="25"/>
      <c r="O6355" s="25"/>
    </row>
    <row r="6356" customFormat="false" ht="15" hidden="false" customHeight="true" outlineLevel="0" collapsed="false">
      <c r="B6356" s="10"/>
      <c r="C6356" s="10"/>
      <c r="D6356" s="35" t="str">
        <f aca="false">IF(IF($K$6346=0,"",INDEX(Clients!$D$2:$D$501,$K$6346)&amp;"")="","","À l'attention de "&amp;TRIM(IF($K$6346=0,"",INDEX(Clients!$B$2:$B$501,$K$6346)&amp;"")&amp;" "&amp;IF($K$6346=0,"",INDEX(Clients!$C$2:$C$501,$K$6346)&amp;"")&amp;" "&amp;IF($K$6346=0,"",INDEX(Clients!$D$2:$D$501,$K$6346)&amp;"")))</f>
        <v/>
      </c>
      <c r="E6356" s="35"/>
      <c r="F6356" s="35"/>
      <c r="J6356" s="25"/>
      <c r="K6356" s="25"/>
      <c r="L6356" s="25"/>
      <c r="M6356" s="25"/>
      <c r="N6356" s="25"/>
      <c r="O6356" s="25"/>
    </row>
    <row r="6357" customFormat="false" ht="15" hidden="false" customHeight="true" outlineLevel="0" collapsed="false">
      <c r="B6357" s="10"/>
      <c r="C6357" s="10"/>
      <c r="D6357" s="35" t="str">
        <f aca="false">IF($K$6346=0,"",INDEX(Clients!$F$2:$F$501,$K$6346)&amp;"")</f>
        <v/>
      </c>
      <c r="E6357" s="35"/>
      <c r="F6357" s="35"/>
      <c r="J6357" s="25"/>
      <c r="K6357" s="25"/>
      <c r="L6357" s="25"/>
      <c r="M6357" s="25"/>
      <c r="N6357" s="25"/>
      <c r="O6357" s="25"/>
    </row>
    <row r="6358" customFormat="false" ht="15" hidden="false" customHeight="true" outlineLevel="0" collapsed="false">
      <c r="B6358" s="10"/>
      <c r="C6358" s="10"/>
      <c r="D6358" s="35" t="str">
        <f aca="false">IF(IF($K$6346=0,"",INDEX(Clients!$G$2:$G$501,$K$6346)&amp;"")="",TRIM(IF($K$6346=0,"",INDEX(Clients!$H$2:$H$501,$K$6346)&amp;"")&amp;" "&amp;UPPER(IF($K$6346=0,"",INDEX(Clients!$I$2:$I$501,$K$6346)&amp;""))),IF($K$6346=0,"",INDEX(Clients!$G$2:$G$501,$K$6346)&amp;""))</f>
        <v/>
      </c>
      <c r="E6358" s="35"/>
      <c r="F6358" s="35"/>
      <c r="J6358" s="25"/>
      <c r="K6358" s="25"/>
      <c r="L6358" s="25"/>
      <c r="M6358" s="25"/>
      <c r="N6358" s="25"/>
      <c r="O6358" s="25"/>
    </row>
    <row r="6359" customFormat="false" ht="15" hidden="false" customHeight="true" outlineLevel="0" collapsed="false">
      <c r="B6359" s="10"/>
      <c r="C6359" s="10"/>
      <c r="D6359" s="35" t="str">
        <f aca="false">IF(IF($K$6346=0,"",INDEX(Clients!$G$2:$G$501,$K$6346)&amp;"")="","",TRIM(IF($K$6346=0,"",INDEX(Clients!$H$2:$H$501,$K$6346)&amp;"")&amp;" "&amp;UPPER(IF($K$6346=0,"",INDEX(Clients!$I$2:$I$501,$K$6346)&amp;""))))</f>
        <v/>
      </c>
      <c r="E6359" s="35"/>
      <c r="F6359" s="35"/>
      <c r="J6359" s="25"/>
      <c r="K6359" s="25"/>
      <c r="L6359" s="25"/>
      <c r="M6359" s="25"/>
      <c r="N6359" s="25"/>
      <c r="O6359" s="25"/>
    </row>
    <row r="6360" customFormat="false" ht="25.5" hidden="false" customHeight="true" outlineLevel="0" collapsed="false">
      <c r="B6360" s="10"/>
      <c r="C6360" s="10"/>
      <c r="D6360" s="10"/>
      <c r="E6360" s="10"/>
      <c r="F6360" s="10"/>
      <c r="J6360" s="25"/>
      <c r="K6360" s="25"/>
      <c r="L6360" s="25"/>
      <c r="M6360" s="25"/>
      <c r="N6360" s="25"/>
      <c r="O6360" s="25"/>
    </row>
    <row r="6361" customFormat="false" ht="15" hidden="false" customHeight="false" outlineLevel="0" collapsed="false">
      <c r="B6361" s="10"/>
      <c r="C6361" s="10"/>
      <c r="D6361" s="36" t="str">
        <f aca="false">Cab_Ville&amp;", le "&amp;DAY(Date_Courrier)&amp;IF(DAY(Date_Courrier)=1,"er","")&amp;" "&amp;INDEX(Liste_Mois,MONTH(Date_Courrier))&amp;" "&amp;YEAR(Date_Courrier)</f>
        <v>Le Plessis-Bouchard, le 22 septembre 2026</v>
      </c>
      <c r="E6361" s="36"/>
      <c r="F6361" s="36"/>
      <c r="J6361" s="25"/>
      <c r="K6361" s="25"/>
      <c r="L6361" s="25"/>
      <c r="M6361" s="25"/>
      <c r="N6361" s="25"/>
      <c r="O6361" s="25"/>
    </row>
    <row r="6362" customFormat="false" ht="19.5" hidden="false" customHeight="true" outlineLevel="0" collapsed="false">
      <c r="B6362" s="10"/>
      <c r="C6362" s="10"/>
      <c r="D6362" s="10"/>
      <c r="E6362" s="10"/>
      <c r="F6362" s="10"/>
      <c r="J6362" s="25"/>
      <c r="K6362" s="25"/>
      <c r="L6362" s="25"/>
      <c r="M6362" s="25"/>
      <c r="N6362" s="25"/>
      <c r="O6362" s="25"/>
    </row>
    <row r="6363" customFormat="false" ht="15" hidden="false" customHeight="false" outlineLevel="0" collapsed="false">
      <c r="B6363" s="34" t="str">
        <f aca="false">SUBSTITUTE(SUBSTITUTE(SUBSTITUTE(SUBSTITUTE(SUBSTITUTE(Txt_Objet,"{cabinet}",Cab_Nom),"{societe}",IF($K$6346=0,"",INDEX(Clients!$E$2:$E$501,$K$6346)&amp;"")),"{date_effet}",$K$6348),"{hausse}",$K$6349),"{civilite}",$K$6347)</f>
        <v>Objet : révision de nos honoraires au 1er janvier 2027</v>
      </c>
      <c r="C6363" s="34"/>
      <c r="D6363" s="34"/>
      <c r="E6363" s="34"/>
      <c r="F6363" s="34"/>
      <c r="J6363" s="25"/>
      <c r="K6363" s="25"/>
      <c r="L6363" s="25"/>
      <c r="M6363" s="25"/>
      <c r="N6363" s="25"/>
      <c r="O6363" s="25"/>
    </row>
    <row r="6364" customFormat="false" ht="13.5" hidden="false" customHeight="true" outlineLevel="0" collapsed="false">
      <c r="B6364" s="10"/>
      <c r="C6364" s="10"/>
      <c r="D6364" s="10"/>
      <c r="E6364" s="10"/>
      <c r="F6364" s="10"/>
      <c r="J6364" s="25"/>
      <c r="K6364" s="25"/>
      <c r="L6364" s="25"/>
      <c r="M6364" s="25"/>
      <c r="N6364" s="25"/>
      <c r="O6364" s="25"/>
    </row>
    <row r="6365" customFormat="false" ht="15" hidden="false" customHeight="false" outlineLevel="0" collapsed="false">
      <c r="B6365" s="10" t="str">
        <f aca="false">$K$6347&amp;","</f>
        <v>Madame, Monsieur,</v>
      </c>
      <c r="C6365" s="10"/>
      <c r="D6365" s="10"/>
      <c r="E6365" s="10"/>
      <c r="F6365" s="10"/>
      <c r="J6365" s="25"/>
      <c r="K6365" s="25"/>
      <c r="L6365" s="25"/>
      <c r="M6365" s="25"/>
      <c r="N6365" s="25"/>
      <c r="O6365" s="25"/>
    </row>
    <row r="6366" customFormat="false" ht="6" hidden="false" customHeight="true" outlineLevel="0" collapsed="false">
      <c r="B6366" s="10"/>
      <c r="C6366" s="10"/>
      <c r="D6366" s="10"/>
      <c r="E6366" s="10"/>
      <c r="F6366" s="10"/>
      <c r="J6366" s="25"/>
      <c r="K6366" s="25"/>
      <c r="L6366" s="25"/>
      <c r="M6366" s="25"/>
      <c r="N6366" s="25"/>
      <c r="O6366" s="25"/>
    </row>
    <row r="6367" customFormat="false" ht="36.75" hidden="false" customHeight="true" outlineLevel="0" collapsed="false">
      <c r="B6367" s="37" t="str">
        <f aca="false">SUBSTITUTE(SUBSTITUTE(SUBSTITUTE(SUBSTITUTE(SUBSTITUTE(Txt_P1,"{cabinet}",Cab_Nom),"{societe}",IF($K$6346=0,"",INDEX(Clients!$E$2:$E$501,$K$6346)&amp;"")),"{date_effet}",$K$6348),"{hausse}",$K$6349),"{civilite}",$K$6347)</f>
        <v>Nous tenons tout d'abord à vous remercier pour la confiance que vous accordez à ALTHO EXPERTISE. Comme chaque année, et conformément aux dispositions de votre lettre de mission, nous procédons à la révision de nos honoraires.</v>
      </c>
      <c r="C6367" s="37"/>
      <c r="D6367" s="37"/>
      <c r="E6367" s="37"/>
      <c r="F6367" s="37"/>
      <c r="J6367" s="25"/>
      <c r="K6367" s="25"/>
      <c r="L6367" s="25"/>
      <c r="M6367" s="25"/>
      <c r="N6367" s="25"/>
      <c r="O6367" s="25"/>
    </row>
    <row r="6368" customFormat="false" ht="49.5" hidden="false" customHeight="true" outlineLevel="0" collapsed="false">
      <c r="B6368" s="37" t="str">
        <f aca="false">SUBSTITUTE(SUBSTITUTE(SUBSTITUTE(SUBSTITUTE(SUBSTITUTE(Txt_P2,"{cabinet}",Cab_Nom),"{societe}",IF($K$6346=0,"",INDEX(Clients!$E$2:$E$501,$K$6346)&amp;"")),"{date_effet}",$K$6348),"{hausse}",$K$6349),"{civilite}",$K$6347)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368" s="37"/>
      <c r="D6368" s="37"/>
      <c r="E6368" s="37"/>
      <c r="F6368" s="37"/>
      <c r="J6368" s="25"/>
      <c r="K6368" s="25"/>
      <c r="L6368" s="25"/>
      <c r="M6368" s="25"/>
      <c r="N6368" s="25"/>
      <c r="O6368" s="25"/>
    </row>
    <row r="6369" customFormat="false" ht="63" hidden="false" customHeight="true" outlineLevel="0" collapsed="false">
      <c r="B6369" s="37" t="str">
        <f aca="false">SUBSTITUTE(SUBSTITUTE(SUBSTITUTE(SUBSTITUTE(SUBSTITUTE(Txt_P3,"{cabinet}",Cab_Nom),"{societe}",IF($K$6346=0,"",INDEX(Clients!$E$2:$E$501,$K$6346)&amp;"")),"{date_effet}",$K$6348),"{hausse}",$K$6349),"{civilite}",$K$6347)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369" s="37"/>
      <c r="D6369" s="37"/>
      <c r="E6369" s="37"/>
      <c r="F6369" s="37"/>
      <c r="J6369" s="25"/>
      <c r="K6369" s="25"/>
      <c r="L6369" s="25"/>
      <c r="M6369" s="25"/>
      <c r="N6369" s="25"/>
      <c r="O6369" s="25"/>
    </row>
    <row r="6370" customFormat="false" ht="24" hidden="false" customHeight="true" outlineLevel="0" collapsed="false">
      <c r="B6370" s="37" t="str">
        <f aca="false">SUBSTITUTE(SUBSTITUTE(SUBSTITUTE(SUBSTITUTE(SUBSTITUTE(Txt_P4,"{cabinet}",Cab_Nom),"{societe}",IF($K$6346=0,"",INDEX(Clients!$E$2:$E$501,$K$6346)&amp;"")),"{date_effet}",$K$6348),"{hausse}",$K$6349),"{civilite}",$K$6347)</f>
        <v>À compter du 1er janvier 2027, vos honoraires annuels hors taxes évolueront ainsi (évolution globale : ) :</v>
      </c>
      <c r="C6370" s="37"/>
      <c r="D6370" s="37"/>
      <c r="E6370" s="37"/>
      <c r="F6370" s="37"/>
      <c r="J6370" s="25"/>
      <c r="K6370" s="25"/>
      <c r="L6370" s="25"/>
      <c r="M6370" s="25"/>
      <c r="N6370" s="25"/>
      <c r="O6370" s="25"/>
    </row>
    <row r="6371" customFormat="false" ht="3.75" hidden="false" customHeight="true" outlineLevel="0" collapsed="false">
      <c r="B6371" s="10"/>
      <c r="C6371" s="10"/>
      <c r="D6371" s="10"/>
      <c r="E6371" s="10"/>
      <c r="F6371" s="10"/>
      <c r="J6371" s="25"/>
      <c r="K6371" s="25"/>
      <c r="L6371" s="25"/>
      <c r="M6371" s="25"/>
      <c r="N6371" s="25"/>
      <c r="O6371" s="25"/>
    </row>
    <row r="6372" customFormat="false" ht="18" hidden="false" customHeight="true" outlineLevel="0" collapsed="false">
      <c r="B6372" s="38" t="s">
        <v>148</v>
      </c>
      <c r="C6372" s="39" t="s">
        <v>149</v>
      </c>
      <c r="D6372" s="39" t="s">
        <v>150</v>
      </c>
      <c r="E6372" s="39" t="s">
        <v>151</v>
      </c>
      <c r="F6372" s="39" t="s">
        <v>109</v>
      </c>
      <c r="J6372" s="25" t="s">
        <v>152</v>
      </c>
      <c r="K6372" s="25" t="s">
        <v>153</v>
      </c>
      <c r="L6372" s="25" t="s">
        <v>154</v>
      </c>
      <c r="M6372" s="25" t="s">
        <v>155</v>
      </c>
      <c r="N6372" s="25" t="s">
        <v>156</v>
      </c>
      <c r="O6372" s="25" t="s">
        <v>157</v>
      </c>
    </row>
    <row r="6373" customFormat="false" ht="16.5" hidden="false" customHeight="true" outlineLevel="0" collapsed="false">
      <c r="B6373" s="40" t="str">
        <f aca="false">IFERROR(INDEX($J$6373:$J$6376,MATCH($O6373,$N$6373:$N$6376,0)),"")</f>
        <v/>
      </c>
      <c r="C6373" s="41" t="str">
        <f aca="false">IFERROR(INDEX($K$6373:$K$6376,MATCH($O6373,$N$6373:$N$6376,0)),"")</f>
        <v/>
      </c>
      <c r="D6373" s="42" t="str">
        <f aca="false">IF(OR(E6373="",N(C6373)=0),"",E6373/C6373-1)</f>
        <v/>
      </c>
      <c r="E6373" s="41" t="str">
        <f aca="false">IFERROR(INDEX($L$6373:$L$6376,MATCH($O6373,$N$6373:$N$6376,0)),"")</f>
        <v/>
      </c>
      <c r="F6373" s="41" t="str">
        <f aca="false">IF(E6373="","",E6373-C6373)</f>
        <v/>
      </c>
      <c r="J6373" s="25" t="str">
        <f aca="false">Lib_Compta</f>
        <v>Mission comptable (tenue, révision, bilan, liasse fiscale)</v>
      </c>
      <c r="K6373" s="25" t="n">
        <f aca="false">IF($K$6346=0,0,N(INDEX(Clients!$K$2:$K$501,$K$6346)))</f>
        <v>0</v>
      </c>
      <c r="L6373" s="25" t="n">
        <f aca="false">IF($K$6346=0,0,N(INDEX(Clients!$P$2:$P$501,$K$6346)))</f>
        <v>0</v>
      </c>
      <c r="M6373" s="25" t="n">
        <f aca="false">IF(OR(K6373&lt;&gt;0,L6373&lt;&gt;0),1,0)</f>
        <v>0</v>
      </c>
      <c r="N6373" s="25" t="str">
        <f aca="false">IF(M6373=1,SUM($M$6373:M6373),"")</f>
        <v/>
      </c>
      <c r="O6373" s="25" t="n">
        <v>1</v>
      </c>
    </row>
    <row r="6374" customFormat="false" ht="16.5" hidden="false" customHeight="true" outlineLevel="0" collapsed="false">
      <c r="B6374" s="40" t="str">
        <f aca="false">IFERROR(INDEX($J$6373:$J$6376,MATCH($O6374,$N$6373:$N$6376,0)),"")</f>
        <v/>
      </c>
      <c r="C6374" s="41" t="str">
        <f aca="false">IFERROR(INDEX($K$6373:$K$6376,MATCH($O6374,$N$6373:$N$6376,0)),"")</f>
        <v/>
      </c>
      <c r="D6374" s="42" t="str">
        <f aca="false">IF(OR(E6374="",N(C6374)=0),"",E6374/C6374-1)</f>
        <v/>
      </c>
      <c r="E6374" s="41" t="str">
        <f aca="false">IFERROR(INDEX($L$6373:$L$6376,MATCH($O6374,$N$6373:$N$6376,0)),"")</f>
        <v/>
      </c>
      <c r="F6374" s="41" t="str">
        <f aca="false">IF(E6374="","",E6374-C6374)</f>
        <v/>
      </c>
      <c r="J6374" s="25" t="str">
        <f aca="false">Lib_Paye</f>
        <v>Mission sociale (bulletins de paie, DSN, déclarations sociales)</v>
      </c>
      <c r="K6374" s="25" t="n">
        <f aca="false">IF($K$6346=0,0,N(INDEX(Clients!$L$2:$L$501,$K$6346)))</f>
        <v>0</v>
      </c>
      <c r="L6374" s="25" t="n">
        <f aca="false">IF($K$6346=0,0,N(INDEX(Clients!$Q$2:$Q$501,$K$6346)))</f>
        <v>0</v>
      </c>
      <c r="M6374" s="25" t="n">
        <f aca="false">IF(OR(K6374&lt;&gt;0,L6374&lt;&gt;0),1,0)</f>
        <v>0</v>
      </c>
      <c r="N6374" s="25" t="str">
        <f aca="false">IF(M6374=1,SUM($M$6373:M6374),"")</f>
        <v/>
      </c>
      <c r="O6374" s="25" t="n">
        <v>2</v>
      </c>
    </row>
    <row r="6375" customFormat="false" ht="16.5" hidden="false" customHeight="true" outlineLevel="0" collapsed="false">
      <c r="B6375" s="40" t="str">
        <f aca="false">IFERROR(INDEX($J$6373:$J$6376,MATCH($O6375,$N$6373:$N$6376,0)),"")</f>
        <v/>
      </c>
      <c r="C6375" s="41" t="str">
        <f aca="false">IFERROR(INDEX($K$6373:$K$6376,MATCH($O6375,$N$6373:$N$6376,0)),"")</f>
        <v/>
      </c>
      <c r="D6375" s="42" t="str">
        <f aca="false">IF(OR(E6375="",N(C6375)=0),"",E6375/C6375-1)</f>
        <v/>
      </c>
      <c r="E6375" s="41" t="str">
        <f aca="false">IFERROR(INDEX($L$6373:$L$6376,MATCH($O6375,$N$6373:$N$6376,0)),"")</f>
        <v/>
      </c>
      <c r="F6375" s="41" t="str">
        <f aca="false">IF(E6375="","",E6375-C6375)</f>
        <v/>
      </c>
      <c r="J6375" s="25" t="str">
        <f aca="false">Lib_Jur</f>
        <v>Mission juridique (approbation des comptes, secrétariat juridique)</v>
      </c>
      <c r="K6375" s="25" t="n">
        <f aca="false">IF($K$6346=0,0,N(INDEX(Clients!$M$2:$M$501,$K$6346)))</f>
        <v>0</v>
      </c>
      <c r="L6375" s="25" t="n">
        <f aca="false">IF($K$6346=0,0,N(INDEX(Clients!$R$2:$R$501,$K$6346)))</f>
        <v>0</v>
      </c>
      <c r="M6375" s="25" t="n">
        <f aca="false">IF(OR(K6375&lt;&gt;0,L6375&lt;&gt;0),1,0)</f>
        <v>0</v>
      </c>
      <c r="N6375" s="25" t="str">
        <f aca="false">IF(M6375=1,SUM($M$6373:M6375),"")</f>
        <v/>
      </c>
      <c r="O6375" s="25" t="n">
        <v>3</v>
      </c>
    </row>
    <row r="6376" customFormat="false" ht="16.5" hidden="false" customHeight="true" outlineLevel="0" collapsed="false">
      <c r="B6376" s="40" t="str">
        <f aca="false">IFERROR(INDEX($J$6373:$J$6376,MATCH($O6376,$N$6373:$N$6376,0)),"")</f>
        <v/>
      </c>
      <c r="C6376" s="41" t="str">
        <f aca="false">IFERROR(INDEX($K$6373:$K$6376,MATCH($O6376,$N$6373:$N$6376,0)),"")</f>
        <v/>
      </c>
      <c r="D6376" s="42" t="str">
        <f aca="false">IF(OR(E6376="",N(C6376)=0),"",E6376/C6376-1)</f>
        <v/>
      </c>
      <c r="E6376" s="41" t="str">
        <f aca="false">IFERROR(INDEX($L$6373:$L$6376,MATCH($O6376,$N$6373:$N$6376,0)),"")</f>
        <v/>
      </c>
      <c r="F6376" s="41" t="str">
        <f aca="false">IF(E6376="","",E6376-C6376)</f>
        <v/>
      </c>
      <c r="J6376" s="25" t="str">
        <f aca="false">Lib_PA</f>
        <v>Plateforme agréée – facturation électronique</v>
      </c>
      <c r="K6376" s="25" t="n">
        <f aca="false">IF($K$6346=0,0,N(INDEX(Clients!$N$2:$N$501,$K$6346)))</f>
        <v>0</v>
      </c>
      <c r="L6376" s="25" t="n">
        <f aca="false">IF($K$6346=0,0,N(INDEX(Clients!$S$2:$S$501,$K$6346)))</f>
        <v>0</v>
      </c>
      <c r="M6376" s="25" t="n">
        <f aca="false">IF(OR(K6376&lt;&gt;0,L6376&lt;&gt;0),1,0)</f>
        <v>0</v>
      </c>
      <c r="N6376" s="25" t="str">
        <f aca="false">IF(M6376=1,SUM($M$6373:M6376),"")</f>
        <v/>
      </c>
      <c r="O6376" s="25" t="n">
        <v>4</v>
      </c>
    </row>
    <row r="6377" customFormat="false" ht="18" hidden="false" customHeight="true" outlineLevel="0" collapsed="false">
      <c r="B6377" s="43" t="s">
        <v>158</v>
      </c>
      <c r="C6377" s="44" t="n">
        <f aca="false">SUM(K6373:K6376)</f>
        <v>0</v>
      </c>
      <c r="D6377" s="45" t="str">
        <f aca="false">IF(N(C6377)=0,"",E6377/C6377-1)</f>
        <v/>
      </c>
      <c r="E6377" s="44" t="n">
        <f aca="false">SUM(L6373:L6376)</f>
        <v>0</v>
      </c>
      <c r="F6377" s="44" t="n">
        <f aca="false">E6377-C6377</f>
        <v>0</v>
      </c>
    </row>
    <row r="6378" customFormat="false" ht="15" hidden="false" customHeight="false" outlineLevel="0" collapsed="false">
      <c r="B6378" s="46" t="str">
        <f aca="false">IF(N(Nb_Mensualites)=0,"","Soit "&amp;FIXED(E6377/Nb_Mensualites,2)&amp;" € HT par échéance ("&amp;Nb_Mensualites&amp;" échéances), "&amp;FIXED(E6377/Nb_Mensualites*(1+Taux_TVA),2)&amp;" € TTC.")</f>
        <v>Soit 0.00 € HT par échéance (12 échéances), 0.00 € TTC.</v>
      </c>
      <c r="C6378" s="46"/>
      <c r="D6378" s="46"/>
      <c r="E6378" s="46"/>
      <c r="F6378" s="46"/>
    </row>
    <row r="6379" customFormat="false" ht="7.5" hidden="false" customHeight="true" outlineLevel="0" collapsed="false">
      <c r="B6379" s="10"/>
      <c r="C6379" s="10"/>
      <c r="D6379" s="10"/>
      <c r="E6379" s="10"/>
      <c r="F6379" s="10"/>
    </row>
    <row r="6380" customFormat="false" ht="36.75" hidden="false" customHeight="true" outlineLevel="0" collapsed="false">
      <c r="B6380" s="37" t="str">
        <f aca="false">SUBSTITUTE(SUBSTITUTE(SUBSTITUTE(SUBSTITUTE(SUBSTITUTE(Txt_P5,"{cabinet}",Cab_Nom),"{societe}",IF($K$6346=0,"",INDEX(Clients!$E$2:$E$501,$K$6346)&amp;"")),"{date_effet}",$K$6348),"{hausse}",$K$6349),"{civilite}",$K$6347)</f>
        <v>Les autres conditions de votre lettre de mission demeurent inchangées. Les nouveaux montants seront appliqués automatiquement sur vos prochaines factures et échéances de prélèvement.</v>
      </c>
      <c r="C6380" s="37"/>
      <c r="D6380" s="37"/>
      <c r="E6380" s="37"/>
      <c r="F6380" s="37"/>
    </row>
    <row r="6381" customFormat="false" ht="36.75" hidden="false" customHeight="true" outlineLevel="0" collapsed="false">
      <c r="B6381" s="37" t="str">
        <f aca="false">SUBSTITUTE(SUBSTITUTE(SUBSTITUTE(SUBSTITUTE(SUBSTITUTE(Txt_P6,"{cabinet}",Cab_Nom),"{societe}",IF($K$6346=0,"",INDEX(Clients!$E$2:$E$501,$K$6346)&amp;"")),"{date_effet}",$K$6348),"{hausse}",$K$6349),"{civilite}",$K$6347)</f>
        <v>Votre interlocuteur habituel reste à votre entière disposition pour répondre à vos questions et faire le point sur l'évolution de vos besoins.</v>
      </c>
      <c r="C6381" s="37"/>
      <c r="D6381" s="37"/>
      <c r="E6381" s="37"/>
      <c r="F6381" s="37"/>
    </row>
    <row r="6382" customFormat="false" ht="24" hidden="false" customHeight="true" outlineLevel="0" collapsed="false">
      <c r="B6382" s="37" t="str">
        <f aca="false">SUBSTITUTE(SUBSTITUTE(SUBSTITUTE(SUBSTITUTE(SUBSTITUTE(Txt_Politesse,"{cabinet}",Cab_Nom),"{societe}",IF($K$6346=0,"",INDEX(Clients!$E$2:$E$501,$K$6346)&amp;"")),"{date_effet}",$K$6348),"{hausse}",$K$6349),"{civilite}",$K$6347)</f>
        <v>Nous vous prions d'agréer, Madame, Monsieur, l'expression de nos salutations distinguées.</v>
      </c>
      <c r="C6382" s="37"/>
      <c r="D6382" s="37"/>
      <c r="E6382" s="37"/>
      <c r="F6382" s="37"/>
    </row>
    <row r="6383" customFormat="false" ht="15" hidden="false" customHeight="false" outlineLevel="0" collapsed="false">
      <c r="B6383" s="10"/>
      <c r="C6383" s="10"/>
      <c r="D6383" s="10"/>
      <c r="E6383" s="10"/>
      <c r="F6383" s="10"/>
    </row>
    <row r="6384" customFormat="false" ht="15" hidden="false" customHeight="false" outlineLevel="0" collapsed="false">
      <c r="B6384" s="10"/>
      <c r="C6384" s="10"/>
      <c r="D6384" s="34" t="str">
        <f aca="false">Signataire</f>
        <v>Prénom NOM</v>
      </c>
      <c r="E6384" s="34"/>
      <c r="F6384" s="34"/>
    </row>
    <row r="6385" customFormat="false" ht="15" hidden="false" customHeight="false" outlineLevel="0" collapsed="false">
      <c r="B6385" s="10"/>
      <c r="C6385" s="10"/>
      <c r="D6385" s="47" t="str">
        <f aca="false">Signataire_Titre</f>
        <v>Expert-comptable associé</v>
      </c>
      <c r="E6385" s="47"/>
      <c r="F6385" s="47"/>
    </row>
    <row r="6386" customFormat="false" ht="15.75" hidden="false" customHeight="true" outlineLevel="0" collapsed="false">
      <c r="B6386" s="10"/>
      <c r="C6386" s="10"/>
      <c r="D6386" s="10"/>
      <c r="E6386" s="10"/>
      <c r="F6386" s="10"/>
    </row>
    <row r="6387" customFormat="false" ht="15.75" hidden="false" customHeight="true" outlineLevel="0" collapsed="false">
      <c r="B6387" s="10"/>
      <c r="C6387" s="10"/>
      <c r="D6387" s="10"/>
      <c r="E6387" s="10"/>
      <c r="F6387" s="10"/>
    </row>
    <row r="6388" customFormat="false" ht="15.75" hidden="false" customHeight="true" outlineLevel="0" collapsed="false">
      <c r="B6388" s="10"/>
      <c r="C6388" s="10"/>
      <c r="D6388" s="10"/>
      <c r="E6388" s="10"/>
      <c r="F6388" s="10"/>
    </row>
    <row r="6389" customFormat="false" ht="15.75" hidden="false" customHeight="true" outlineLevel="0" collapsed="false">
      <c r="B6389" s="10"/>
      <c r="C6389" s="10"/>
      <c r="D6389" s="10"/>
      <c r="E6389" s="10"/>
      <c r="F6389" s="10"/>
    </row>
    <row r="6390" customFormat="false" ht="24" hidden="false" customHeight="true" outlineLevel="0" collapsed="false">
      <c r="B6390" s="48" t="str">
        <f aca="false">Cab_Mentions</f>
        <v>ALTHO EXPERTISE · SAS au capital de 10 000 € · RCS Pontoise 919 706 325 · TVA FR62919706325 · Société d'expertise comptable inscrite au Tableau de l'Ordre des experts-comptables de Paris Île-de-France</v>
      </c>
      <c r="C6390" s="48"/>
      <c r="D6390" s="48"/>
      <c r="E6390" s="48"/>
      <c r="F6390" s="48"/>
    </row>
    <row r="6391" customFormat="false" ht="15" hidden="false" customHeight="false" outlineLevel="0" collapsed="false">
      <c r="B6391" s="10"/>
      <c r="C6391" s="10"/>
      <c r="D6391" s="10"/>
      <c r="E6391" s="10"/>
      <c r="F6391" s="10"/>
      <c r="J6391" s="25" t="s">
        <v>142</v>
      </c>
      <c r="K6391" s="25" t="n">
        <f aca="false">IFERROR(MATCH(143,Clients!$Z$2:$Z$501,0),0)</f>
        <v>0</v>
      </c>
      <c r="L6391" s="25"/>
      <c r="M6391" s="25"/>
      <c r="N6391" s="25"/>
      <c r="O6391" s="25"/>
    </row>
    <row r="6392" customFormat="false" ht="21.75" hidden="false" customHeight="true" outlineLevel="0" collapsed="false">
      <c r="B6392" s="26" t="str">
        <f aca="false">Cab_Nom</f>
        <v>ALTHO EXPERTISE</v>
      </c>
      <c r="C6392" s="26"/>
      <c r="D6392" s="10"/>
      <c r="E6392" s="27" t="str">
        <f aca="false">IF($K$6391=0,"","Réf. client : "&amp;INDEX(Clients!$A$2:$A$501,$K$6391))</f>
        <v/>
      </c>
      <c r="F6392" s="27"/>
      <c r="J6392" s="25" t="s">
        <v>144</v>
      </c>
      <c r="K6392" s="25" t="str">
        <f aca="false">IF(IF($K$6391=0,"",INDEX(Clients!$B$2:$B$501,$K$6391)&amp;"")="Mme","Madame",IF(IF($K$6391=0,"",INDEX(Clients!$B$2:$B$501,$K$6391)&amp;"")="M.","Monsieur","Madame, Monsieur"))</f>
        <v>Madame, Monsieur</v>
      </c>
      <c r="L6392" s="25"/>
      <c r="M6392" s="25"/>
      <c r="N6392" s="25"/>
      <c r="O6392" s="25"/>
    </row>
    <row r="6393" customFormat="false" ht="15" hidden="false" customHeight="false" outlineLevel="0" collapsed="false">
      <c r="B6393" s="29" t="str">
        <f aca="false">Cab_Adr1</f>
        <v>141 rue Charles de Gaulle</v>
      </c>
      <c r="C6393" s="29"/>
      <c r="D6393" s="10"/>
      <c r="E6393" s="10"/>
      <c r="F6393" s="10"/>
      <c r="J6393" s="25" t="s">
        <v>145</v>
      </c>
      <c r="K6393" s="25" t="str">
        <f aca="false">DAY(Date_Effet)&amp;IF(DAY(Date_Effet)=1,"er","")&amp;" "&amp;INDEX(Liste_Mois,MONTH(Date_Effet))&amp;" "&amp;YEAR(Date_Effet)</f>
        <v>1er janvier 2027</v>
      </c>
      <c r="L6393" s="25"/>
      <c r="M6393" s="25"/>
      <c r="N6393" s="25"/>
      <c r="O6393" s="25"/>
    </row>
    <row r="6394" customFormat="false" ht="15" hidden="false" customHeight="false" outlineLevel="0" collapsed="false">
      <c r="B6394" s="29" t="str">
        <f aca="false">Cab_CPVille</f>
        <v>95130 LE PLESSIS-BOUCHARD</v>
      </c>
      <c r="C6394" s="29"/>
      <c r="D6394" s="10"/>
      <c r="E6394" s="10"/>
      <c r="F6394" s="10"/>
      <c r="J6394" s="25" t="s">
        <v>146</v>
      </c>
      <c r="K6394" s="25" t="str">
        <f aca="false">IF(SUM($K$6418:$K$6421)=0,"",FIXED((SUM($L$6418:$L$6421)/SUM($K$6418:$K$6421)-1)*100,1)&amp;" %")</f>
        <v/>
      </c>
      <c r="L6394" s="25"/>
      <c r="M6394" s="25"/>
      <c r="N6394" s="25"/>
      <c r="O6394" s="25"/>
    </row>
    <row r="6395" customFormat="false" ht="15" hidden="false" customHeight="false" outlineLevel="0" collapsed="false">
      <c r="B6395" s="29" t="str">
        <f aca="false">Cab_Contact</f>
        <v>Tél. 01 34 14 53 45  ·  altho@altho-experts.com  ·  altho-experts.com</v>
      </c>
      <c r="C6395" s="29"/>
      <c r="D6395" s="10"/>
      <c r="E6395" s="10"/>
      <c r="F6395" s="10"/>
      <c r="J6395" s="25"/>
      <c r="K6395" s="25"/>
      <c r="L6395" s="25"/>
      <c r="M6395" s="25"/>
      <c r="N6395" s="25"/>
      <c r="O6395" s="25"/>
    </row>
    <row r="6396" customFormat="false" ht="6" hidden="false" customHeight="true" outlineLevel="0" collapsed="false">
      <c r="B6396" s="32"/>
      <c r="C6396" s="32"/>
      <c r="D6396" s="32"/>
      <c r="E6396" s="32"/>
      <c r="F6396" s="32"/>
      <c r="J6396" s="25"/>
      <c r="K6396" s="25"/>
      <c r="L6396" s="25"/>
      <c r="M6396" s="25"/>
      <c r="N6396" s="25"/>
      <c r="O6396" s="25"/>
    </row>
    <row r="6397" customFormat="false" ht="13.5" hidden="false" customHeight="true" outlineLevel="0" collapsed="false">
      <c r="B6397" s="10"/>
      <c r="C6397" s="10"/>
      <c r="D6397" s="10"/>
      <c r="E6397" s="10"/>
      <c r="F6397" s="10"/>
      <c r="J6397" s="25"/>
      <c r="K6397" s="25"/>
      <c r="L6397" s="25"/>
      <c r="M6397" s="25"/>
      <c r="N6397" s="25"/>
      <c r="O6397" s="25"/>
    </row>
    <row r="6398" customFormat="false" ht="13.5" hidden="false" customHeight="true" outlineLevel="0" collapsed="false">
      <c r="B6398" s="10"/>
      <c r="C6398" s="10"/>
      <c r="D6398" s="10"/>
      <c r="E6398" s="10"/>
      <c r="F6398" s="10"/>
      <c r="J6398" s="25"/>
      <c r="K6398" s="25"/>
      <c r="L6398" s="25"/>
      <c r="M6398" s="25"/>
      <c r="N6398" s="25"/>
      <c r="O6398" s="25"/>
    </row>
    <row r="6399" customFormat="false" ht="13.5" hidden="false" customHeight="true" outlineLevel="0" collapsed="false">
      <c r="B6399" s="10"/>
      <c r="C6399" s="10"/>
      <c r="D6399" s="10"/>
      <c r="E6399" s="10"/>
      <c r="F6399" s="10"/>
      <c r="J6399" s="25"/>
      <c r="K6399" s="25"/>
      <c r="L6399" s="25"/>
      <c r="M6399" s="25"/>
      <c r="N6399" s="25"/>
      <c r="O6399" s="25"/>
    </row>
    <row r="6400" customFormat="false" ht="15" hidden="false" customHeight="true" outlineLevel="0" collapsed="false">
      <c r="B6400" s="10"/>
      <c r="C6400" s="10"/>
      <c r="D6400" s="34" t="str">
        <f aca="false">IF($K$6391=0,"",INDEX(Clients!$E$2:$E$501,$K$6391)&amp;"")</f>
        <v/>
      </c>
      <c r="E6400" s="34"/>
      <c r="F6400" s="34"/>
      <c r="J6400" s="25"/>
      <c r="K6400" s="25"/>
      <c r="L6400" s="25"/>
      <c r="M6400" s="25"/>
      <c r="N6400" s="25"/>
      <c r="O6400" s="25"/>
    </row>
    <row r="6401" customFormat="false" ht="15" hidden="false" customHeight="true" outlineLevel="0" collapsed="false">
      <c r="B6401" s="10"/>
      <c r="C6401" s="10"/>
      <c r="D6401" s="35" t="str">
        <f aca="false">IF(IF($K$6391=0,"",INDEX(Clients!$D$2:$D$501,$K$6391)&amp;"")="","","À l'attention de "&amp;TRIM(IF($K$6391=0,"",INDEX(Clients!$B$2:$B$501,$K$6391)&amp;"")&amp;" "&amp;IF($K$6391=0,"",INDEX(Clients!$C$2:$C$501,$K$6391)&amp;"")&amp;" "&amp;IF($K$6391=0,"",INDEX(Clients!$D$2:$D$501,$K$6391)&amp;"")))</f>
        <v/>
      </c>
      <c r="E6401" s="35"/>
      <c r="F6401" s="35"/>
      <c r="J6401" s="25"/>
      <c r="K6401" s="25"/>
      <c r="L6401" s="25"/>
      <c r="M6401" s="25"/>
      <c r="N6401" s="25"/>
      <c r="O6401" s="25"/>
    </row>
    <row r="6402" customFormat="false" ht="15" hidden="false" customHeight="true" outlineLevel="0" collapsed="false">
      <c r="B6402" s="10"/>
      <c r="C6402" s="10"/>
      <c r="D6402" s="35" t="str">
        <f aca="false">IF($K$6391=0,"",INDEX(Clients!$F$2:$F$501,$K$6391)&amp;"")</f>
        <v/>
      </c>
      <c r="E6402" s="35"/>
      <c r="F6402" s="35"/>
      <c r="J6402" s="25"/>
      <c r="K6402" s="25"/>
      <c r="L6402" s="25"/>
      <c r="M6402" s="25"/>
      <c r="N6402" s="25"/>
      <c r="O6402" s="25"/>
    </row>
    <row r="6403" customFormat="false" ht="15" hidden="false" customHeight="true" outlineLevel="0" collapsed="false">
      <c r="B6403" s="10"/>
      <c r="C6403" s="10"/>
      <c r="D6403" s="35" t="str">
        <f aca="false">IF(IF($K$6391=0,"",INDEX(Clients!$G$2:$G$501,$K$6391)&amp;"")="",TRIM(IF($K$6391=0,"",INDEX(Clients!$H$2:$H$501,$K$6391)&amp;"")&amp;" "&amp;UPPER(IF($K$6391=0,"",INDEX(Clients!$I$2:$I$501,$K$6391)&amp;""))),IF($K$6391=0,"",INDEX(Clients!$G$2:$G$501,$K$6391)&amp;""))</f>
        <v/>
      </c>
      <c r="E6403" s="35"/>
      <c r="F6403" s="35"/>
      <c r="J6403" s="25"/>
      <c r="K6403" s="25"/>
      <c r="L6403" s="25"/>
      <c r="M6403" s="25"/>
      <c r="N6403" s="25"/>
      <c r="O6403" s="25"/>
    </row>
    <row r="6404" customFormat="false" ht="15" hidden="false" customHeight="true" outlineLevel="0" collapsed="false">
      <c r="B6404" s="10"/>
      <c r="C6404" s="10"/>
      <c r="D6404" s="35" t="str">
        <f aca="false">IF(IF($K$6391=0,"",INDEX(Clients!$G$2:$G$501,$K$6391)&amp;"")="","",TRIM(IF($K$6391=0,"",INDEX(Clients!$H$2:$H$501,$K$6391)&amp;"")&amp;" "&amp;UPPER(IF($K$6391=0,"",INDEX(Clients!$I$2:$I$501,$K$6391)&amp;""))))</f>
        <v/>
      </c>
      <c r="E6404" s="35"/>
      <c r="F6404" s="35"/>
      <c r="J6404" s="25"/>
      <c r="K6404" s="25"/>
      <c r="L6404" s="25"/>
      <c r="M6404" s="25"/>
      <c r="N6404" s="25"/>
      <c r="O6404" s="25"/>
    </row>
    <row r="6405" customFormat="false" ht="25.5" hidden="false" customHeight="true" outlineLevel="0" collapsed="false">
      <c r="B6405" s="10"/>
      <c r="C6405" s="10"/>
      <c r="D6405" s="10"/>
      <c r="E6405" s="10"/>
      <c r="F6405" s="10"/>
      <c r="J6405" s="25"/>
      <c r="K6405" s="25"/>
      <c r="L6405" s="25"/>
      <c r="M6405" s="25"/>
      <c r="N6405" s="25"/>
      <c r="O6405" s="25"/>
    </row>
    <row r="6406" customFormat="false" ht="15" hidden="false" customHeight="false" outlineLevel="0" collapsed="false">
      <c r="B6406" s="10"/>
      <c r="C6406" s="10"/>
      <c r="D6406" s="36" t="str">
        <f aca="false">Cab_Ville&amp;", le "&amp;DAY(Date_Courrier)&amp;IF(DAY(Date_Courrier)=1,"er","")&amp;" "&amp;INDEX(Liste_Mois,MONTH(Date_Courrier))&amp;" "&amp;YEAR(Date_Courrier)</f>
        <v>Le Plessis-Bouchard, le 22 septembre 2026</v>
      </c>
      <c r="E6406" s="36"/>
      <c r="F6406" s="36"/>
      <c r="J6406" s="25"/>
      <c r="K6406" s="25"/>
      <c r="L6406" s="25"/>
      <c r="M6406" s="25"/>
      <c r="N6406" s="25"/>
      <c r="O6406" s="25"/>
    </row>
    <row r="6407" customFormat="false" ht="19.5" hidden="false" customHeight="true" outlineLevel="0" collapsed="false">
      <c r="B6407" s="10"/>
      <c r="C6407" s="10"/>
      <c r="D6407" s="10"/>
      <c r="E6407" s="10"/>
      <c r="F6407" s="10"/>
      <c r="J6407" s="25"/>
      <c r="K6407" s="25"/>
      <c r="L6407" s="25"/>
      <c r="M6407" s="25"/>
      <c r="N6407" s="25"/>
      <c r="O6407" s="25"/>
    </row>
    <row r="6408" customFormat="false" ht="15" hidden="false" customHeight="false" outlineLevel="0" collapsed="false">
      <c r="B6408" s="34" t="str">
        <f aca="false">SUBSTITUTE(SUBSTITUTE(SUBSTITUTE(SUBSTITUTE(SUBSTITUTE(Txt_Objet,"{cabinet}",Cab_Nom),"{societe}",IF($K$6391=0,"",INDEX(Clients!$E$2:$E$501,$K$6391)&amp;"")),"{date_effet}",$K$6393),"{hausse}",$K$6394),"{civilite}",$K$6392)</f>
        <v>Objet : révision de nos honoraires au 1er janvier 2027</v>
      </c>
      <c r="C6408" s="34"/>
      <c r="D6408" s="34"/>
      <c r="E6408" s="34"/>
      <c r="F6408" s="34"/>
      <c r="J6408" s="25"/>
      <c r="K6408" s="25"/>
      <c r="L6408" s="25"/>
      <c r="M6408" s="25"/>
      <c r="N6408" s="25"/>
      <c r="O6408" s="25"/>
    </row>
    <row r="6409" customFormat="false" ht="13.5" hidden="false" customHeight="true" outlineLevel="0" collapsed="false">
      <c r="B6409" s="10"/>
      <c r="C6409" s="10"/>
      <c r="D6409" s="10"/>
      <c r="E6409" s="10"/>
      <c r="F6409" s="10"/>
      <c r="J6409" s="25"/>
      <c r="K6409" s="25"/>
      <c r="L6409" s="25"/>
      <c r="M6409" s="25"/>
      <c r="N6409" s="25"/>
      <c r="O6409" s="25"/>
    </row>
    <row r="6410" customFormat="false" ht="15" hidden="false" customHeight="false" outlineLevel="0" collapsed="false">
      <c r="B6410" s="10" t="str">
        <f aca="false">$K$6392&amp;","</f>
        <v>Madame, Monsieur,</v>
      </c>
      <c r="C6410" s="10"/>
      <c r="D6410" s="10"/>
      <c r="E6410" s="10"/>
      <c r="F6410" s="10"/>
      <c r="J6410" s="25"/>
      <c r="K6410" s="25"/>
      <c r="L6410" s="25"/>
      <c r="M6410" s="25"/>
      <c r="N6410" s="25"/>
      <c r="O6410" s="25"/>
    </row>
    <row r="6411" customFormat="false" ht="6" hidden="false" customHeight="true" outlineLevel="0" collapsed="false">
      <c r="B6411" s="10"/>
      <c r="C6411" s="10"/>
      <c r="D6411" s="10"/>
      <c r="E6411" s="10"/>
      <c r="F6411" s="10"/>
      <c r="J6411" s="25"/>
      <c r="K6411" s="25"/>
      <c r="L6411" s="25"/>
      <c r="M6411" s="25"/>
      <c r="N6411" s="25"/>
      <c r="O6411" s="25"/>
    </row>
    <row r="6412" customFormat="false" ht="36.75" hidden="false" customHeight="true" outlineLevel="0" collapsed="false">
      <c r="B6412" s="37" t="str">
        <f aca="false">SUBSTITUTE(SUBSTITUTE(SUBSTITUTE(SUBSTITUTE(SUBSTITUTE(Txt_P1,"{cabinet}",Cab_Nom),"{societe}",IF($K$6391=0,"",INDEX(Clients!$E$2:$E$501,$K$6391)&amp;"")),"{date_effet}",$K$6393),"{hausse}",$K$6394),"{civilite}",$K$6392)</f>
        <v>Nous tenons tout d'abord à vous remercier pour la confiance que vous accordez à ALTHO EXPERTISE. Comme chaque année, et conformément aux dispositions de votre lettre de mission, nous procédons à la révision de nos honoraires.</v>
      </c>
      <c r="C6412" s="37"/>
      <c r="D6412" s="37"/>
      <c r="E6412" s="37"/>
      <c r="F6412" s="37"/>
      <c r="J6412" s="25"/>
      <c r="K6412" s="25"/>
      <c r="L6412" s="25"/>
      <c r="M6412" s="25"/>
      <c r="N6412" s="25"/>
      <c r="O6412" s="25"/>
    </row>
    <row r="6413" customFormat="false" ht="49.5" hidden="false" customHeight="true" outlineLevel="0" collapsed="false">
      <c r="B6413" s="37" t="str">
        <f aca="false">SUBSTITUTE(SUBSTITUTE(SUBSTITUTE(SUBSTITUTE(SUBSTITUTE(Txt_P2,"{cabinet}",Cab_Nom),"{societe}",IF($K$6391=0,"",INDEX(Clients!$E$2:$E$501,$K$6391)&amp;"")),"{date_effet}",$K$6393),"{hausse}",$K$6394),"{civilite}",$K$6392)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413" s="37"/>
      <c r="D6413" s="37"/>
      <c r="E6413" s="37"/>
      <c r="F6413" s="37"/>
      <c r="J6413" s="25"/>
      <c r="K6413" s="25"/>
      <c r="L6413" s="25"/>
      <c r="M6413" s="25"/>
      <c r="N6413" s="25"/>
      <c r="O6413" s="25"/>
    </row>
    <row r="6414" customFormat="false" ht="63" hidden="false" customHeight="true" outlineLevel="0" collapsed="false">
      <c r="B6414" s="37" t="str">
        <f aca="false">SUBSTITUTE(SUBSTITUTE(SUBSTITUTE(SUBSTITUTE(SUBSTITUTE(Txt_P3,"{cabinet}",Cab_Nom),"{societe}",IF($K$6391=0,"",INDEX(Clients!$E$2:$E$501,$K$6391)&amp;"")),"{date_effet}",$K$6393),"{hausse}",$K$6394),"{civilite}",$K$6392)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414" s="37"/>
      <c r="D6414" s="37"/>
      <c r="E6414" s="37"/>
      <c r="F6414" s="37"/>
      <c r="J6414" s="25"/>
      <c r="K6414" s="25"/>
      <c r="L6414" s="25"/>
      <c r="M6414" s="25"/>
      <c r="N6414" s="25"/>
      <c r="O6414" s="25"/>
    </row>
    <row r="6415" customFormat="false" ht="24" hidden="false" customHeight="true" outlineLevel="0" collapsed="false">
      <c r="B6415" s="37" t="str">
        <f aca="false">SUBSTITUTE(SUBSTITUTE(SUBSTITUTE(SUBSTITUTE(SUBSTITUTE(Txt_P4,"{cabinet}",Cab_Nom),"{societe}",IF($K$6391=0,"",INDEX(Clients!$E$2:$E$501,$K$6391)&amp;"")),"{date_effet}",$K$6393),"{hausse}",$K$6394),"{civilite}",$K$6392)</f>
        <v>À compter du 1er janvier 2027, vos honoraires annuels hors taxes évolueront ainsi (évolution globale : ) :</v>
      </c>
      <c r="C6415" s="37"/>
      <c r="D6415" s="37"/>
      <c r="E6415" s="37"/>
      <c r="F6415" s="37"/>
      <c r="J6415" s="25"/>
      <c r="K6415" s="25"/>
      <c r="L6415" s="25"/>
      <c r="M6415" s="25"/>
      <c r="N6415" s="25"/>
      <c r="O6415" s="25"/>
    </row>
    <row r="6416" customFormat="false" ht="3.75" hidden="false" customHeight="true" outlineLevel="0" collapsed="false">
      <c r="B6416" s="10"/>
      <c r="C6416" s="10"/>
      <c r="D6416" s="10"/>
      <c r="E6416" s="10"/>
      <c r="F6416" s="10"/>
      <c r="J6416" s="25"/>
      <c r="K6416" s="25"/>
      <c r="L6416" s="25"/>
      <c r="M6416" s="25"/>
      <c r="N6416" s="25"/>
      <c r="O6416" s="25"/>
    </row>
    <row r="6417" customFormat="false" ht="18" hidden="false" customHeight="true" outlineLevel="0" collapsed="false">
      <c r="B6417" s="38" t="s">
        <v>148</v>
      </c>
      <c r="C6417" s="39" t="s">
        <v>149</v>
      </c>
      <c r="D6417" s="39" t="s">
        <v>150</v>
      </c>
      <c r="E6417" s="39" t="s">
        <v>151</v>
      </c>
      <c r="F6417" s="39" t="s">
        <v>109</v>
      </c>
      <c r="J6417" s="25" t="s">
        <v>152</v>
      </c>
      <c r="K6417" s="25" t="s">
        <v>153</v>
      </c>
      <c r="L6417" s="25" t="s">
        <v>154</v>
      </c>
      <c r="M6417" s="25" t="s">
        <v>155</v>
      </c>
      <c r="N6417" s="25" t="s">
        <v>156</v>
      </c>
      <c r="O6417" s="25" t="s">
        <v>157</v>
      </c>
    </row>
    <row r="6418" customFormat="false" ht="16.5" hidden="false" customHeight="true" outlineLevel="0" collapsed="false">
      <c r="B6418" s="40" t="str">
        <f aca="false">IFERROR(INDEX($J$6418:$J$6421,MATCH($O6418,$N$6418:$N$6421,0)),"")</f>
        <v/>
      </c>
      <c r="C6418" s="41" t="str">
        <f aca="false">IFERROR(INDEX($K$6418:$K$6421,MATCH($O6418,$N$6418:$N$6421,0)),"")</f>
        <v/>
      </c>
      <c r="D6418" s="42" t="str">
        <f aca="false">IF(OR(E6418="",N(C6418)=0),"",E6418/C6418-1)</f>
        <v/>
      </c>
      <c r="E6418" s="41" t="str">
        <f aca="false">IFERROR(INDEX($L$6418:$L$6421,MATCH($O6418,$N$6418:$N$6421,0)),"")</f>
        <v/>
      </c>
      <c r="F6418" s="41" t="str">
        <f aca="false">IF(E6418="","",E6418-C6418)</f>
        <v/>
      </c>
      <c r="J6418" s="25" t="str">
        <f aca="false">Lib_Compta</f>
        <v>Mission comptable (tenue, révision, bilan, liasse fiscale)</v>
      </c>
      <c r="K6418" s="25" t="n">
        <f aca="false">IF($K$6391=0,0,N(INDEX(Clients!$K$2:$K$501,$K$6391)))</f>
        <v>0</v>
      </c>
      <c r="L6418" s="25" t="n">
        <f aca="false">IF($K$6391=0,0,N(INDEX(Clients!$P$2:$P$501,$K$6391)))</f>
        <v>0</v>
      </c>
      <c r="M6418" s="25" t="n">
        <f aca="false">IF(OR(K6418&lt;&gt;0,L6418&lt;&gt;0),1,0)</f>
        <v>0</v>
      </c>
      <c r="N6418" s="25" t="str">
        <f aca="false">IF(M6418=1,SUM($M$6418:M6418),"")</f>
        <v/>
      </c>
      <c r="O6418" s="25" t="n">
        <v>1</v>
      </c>
    </row>
    <row r="6419" customFormat="false" ht="16.5" hidden="false" customHeight="true" outlineLevel="0" collapsed="false">
      <c r="B6419" s="40" t="str">
        <f aca="false">IFERROR(INDEX($J$6418:$J$6421,MATCH($O6419,$N$6418:$N$6421,0)),"")</f>
        <v/>
      </c>
      <c r="C6419" s="41" t="str">
        <f aca="false">IFERROR(INDEX($K$6418:$K$6421,MATCH($O6419,$N$6418:$N$6421,0)),"")</f>
        <v/>
      </c>
      <c r="D6419" s="42" t="str">
        <f aca="false">IF(OR(E6419="",N(C6419)=0),"",E6419/C6419-1)</f>
        <v/>
      </c>
      <c r="E6419" s="41" t="str">
        <f aca="false">IFERROR(INDEX($L$6418:$L$6421,MATCH($O6419,$N$6418:$N$6421,0)),"")</f>
        <v/>
      </c>
      <c r="F6419" s="41" t="str">
        <f aca="false">IF(E6419="","",E6419-C6419)</f>
        <v/>
      </c>
      <c r="J6419" s="25" t="str">
        <f aca="false">Lib_Paye</f>
        <v>Mission sociale (bulletins de paie, DSN, déclarations sociales)</v>
      </c>
      <c r="K6419" s="25" t="n">
        <f aca="false">IF($K$6391=0,0,N(INDEX(Clients!$L$2:$L$501,$K$6391)))</f>
        <v>0</v>
      </c>
      <c r="L6419" s="25" t="n">
        <f aca="false">IF($K$6391=0,0,N(INDEX(Clients!$Q$2:$Q$501,$K$6391)))</f>
        <v>0</v>
      </c>
      <c r="M6419" s="25" t="n">
        <f aca="false">IF(OR(K6419&lt;&gt;0,L6419&lt;&gt;0),1,0)</f>
        <v>0</v>
      </c>
      <c r="N6419" s="25" t="str">
        <f aca="false">IF(M6419=1,SUM($M$6418:M6419),"")</f>
        <v/>
      </c>
      <c r="O6419" s="25" t="n">
        <v>2</v>
      </c>
    </row>
    <row r="6420" customFormat="false" ht="16.5" hidden="false" customHeight="true" outlineLevel="0" collapsed="false">
      <c r="B6420" s="40" t="str">
        <f aca="false">IFERROR(INDEX($J$6418:$J$6421,MATCH($O6420,$N$6418:$N$6421,0)),"")</f>
        <v/>
      </c>
      <c r="C6420" s="41" t="str">
        <f aca="false">IFERROR(INDEX($K$6418:$K$6421,MATCH($O6420,$N$6418:$N$6421,0)),"")</f>
        <v/>
      </c>
      <c r="D6420" s="42" t="str">
        <f aca="false">IF(OR(E6420="",N(C6420)=0),"",E6420/C6420-1)</f>
        <v/>
      </c>
      <c r="E6420" s="41" t="str">
        <f aca="false">IFERROR(INDEX($L$6418:$L$6421,MATCH($O6420,$N$6418:$N$6421,0)),"")</f>
        <v/>
      </c>
      <c r="F6420" s="41" t="str">
        <f aca="false">IF(E6420="","",E6420-C6420)</f>
        <v/>
      </c>
      <c r="J6420" s="25" t="str">
        <f aca="false">Lib_Jur</f>
        <v>Mission juridique (approbation des comptes, secrétariat juridique)</v>
      </c>
      <c r="K6420" s="25" t="n">
        <f aca="false">IF($K$6391=0,0,N(INDEX(Clients!$M$2:$M$501,$K$6391)))</f>
        <v>0</v>
      </c>
      <c r="L6420" s="25" t="n">
        <f aca="false">IF($K$6391=0,0,N(INDEX(Clients!$R$2:$R$501,$K$6391)))</f>
        <v>0</v>
      </c>
      <c r="M6420" s="25" t="n">
        <f aca="false">IF(OR(K6420&lt;&gt;0,L6420&lt;&gt;0),1,0)</f>
        <v>0</v>
      </c>
      <c r="N6420" s="25" t="str">
        <f aca="false">IF(M6420=1,SUM($M$6418:M6420),"")</f>
        <v/>
      </c>
      <c r="O6420" s="25" t="n">
        <v>3</v>
      </c>
    </row>
    <row r="6421" customFormat="false" ht="16.5" hidden="false" customHeight="true" outlineLevel="0" collapsed="false">
      <c r="B6421" s="40" t="str">
        <f aca="false">IFERROR(INDEX($J$6418:$J$6421,MATCH($O6421,$N$6418:$N$6421,0)),"")</f>
        <v/>
      </c>
      <c r="C6421" s="41" t="str">
        <f aca="false">IFERROR(INDEX($K$6418:$K$6421,MATCH($O6421,$N$6418:$N$6421,0)),"")</f>
        <v/>
      </c>
      <c r="D6421" s="42" t="str">
        <f aca="false">IF(OR(E6421="",N(C6421)=0),"",E6421/C6421-1)</f>
        <v/>
      </c>
      <c r="E6421" s="41" t="str">
        <f aca="false">IFERROR(INDEX($L$6418:$L$6421,MATCH($O6421,$N$6418:$N$6421,0)),"")</f>
        <v/>
      </c>
      <c r="F6421" s="41" t="str">
        <f aca="false">IF(E6421="","",E6421-C6421)</f>
        <v/>
      </c>
      <c r="J6421" s="25" t="str">
        <f aca="false">Lib_PA</f>
        <v>Plateforme agréée – facturation électronique</v>
      </c>
      <c r="K6421" s="25" t="n">
        <f aca="false">IF($K$6391=0,0,N(INDEX(Clients!$N$2:$N$501,$K$6391)))</f>
        <v>0</v>
      </c>
      <c r="L6421" s="25" t="n">
        <f aca="false">IF($K$6391=0,0,N(INDEX(Clients!$S$2:$S$501,$K$6391)))</f>
        <v>0</v>
      </c>
      <c r="M6421" s="25" t="n">
        <f aca="false">IF(OR(K6421&lt;&gt;0,L6421&lt;&gt;0),1,0)</f>
        <v>0</v>
      </c>
      <c r="N6421" s="25" t="str">
        <f aca="false">IF(M6421=1,SUM($M$6418:M6421),"")</f>
        <v/>
      </c>
      <c r="O6421" s="25" t="n">
        <v>4</v>
      </c>
    </row>
    <row r="6422" customFormat="false" ht="18" hidden="false" customHeight="true" outlineLevel="0" collapsed="false">
      <c r="B6422" s="43" t="s">
        <v>158</v>
      </c>
      <c r="C6422" s="44" t="n">
        <f aca="false">SUM(K6418:K6421)</f>
        <v>0</v>
      </c>
      <c r="D6422" s="45" t="str">
        <f aca="false">IF(N(C6422)=0,"",E6422/C6422-1)</f>
        <v/>
      </c>
      <c r="E6422" s="44" t="n">
        <f aca="false">SUM(L6418:L6421)</f>
        <v>0</v>
      </c>
      <c r="F6422" s="44" t="n">
        <f aca="false">E6422-C6422</f>
        <v>0</v>
      </c>
    </row>
    <row r="6423" customFormat="false" ht="15" hidden="false" customHeight="false" outlineLevel="0" collapsed="false">
      <c r="B6423" s="46" t="str">
        <f aca="false">IF(N(Nb_Mensualites)=0,"","Soit "&amp;FIXED(E6422/Nb_Mensualites,2)&amp;" € HT par échéance ("&amp;Nb_Mensualites&amp;" échéances), "&amp;FIXED(E6422/Nb_Mensualites*(1+Taux_TVA),2)&amp;" € TTC.")</f>
        <v>Soit 0.00 € HT par échéance (12 échéances), 0.00 € TTC.</v>
      </c>
      <c r="C6423" s="46"/>
      <c r="D6423" s="46"/>
      <c r="E6423" s="46"/>
      <c r="F6423" s="46"/>
    </row>
    <row r="6424" customFormat="false" ht="7.5" hidden="false" customHeight="true" outlineLevel="0" collapsed="false">
      <c r="B6424" s="10"/>
      <c r="C6424" s="10"/>
      <c r="D6424" s="10"/>
      <c r="E6424" s="10"/>
      <c r="F6424" s="10"/>
    </row>
    <row r="6425" customFormat="false" ht="36.75" hidden="false" customHeight="true" outlineLevel="0" collapsed="false">
      <c r="B6425" s="37" t="str">
        <f aca="false">SUBSTITUTE(SUBSTITUTE(SUBSTITUTE(SUBSTITUTE(SUBSTITUTE(Txt_P5,"{cabinet}",Cab_Nom),"{societe}",IF($K$6391=0,"",INDEX(Clients!$E$2:$E$501,$K$6391)&amp;"")),"{date_effet}",$K$6393),"{hausse}",$K$6394),"{civilite}",$K$6392)</f>
        <v>Les autres conditions de votre lettre de mission demeurent inchangées. Les nouveaux montants seront appliqués automatiquement sur vos prochaines factures et échéances de prélèvement.</v>
      </c>
      <c r="C6425" s="37"/>
      <c r="D6425" s="37"/>
      <c r="E6425" s="37"/>
      <c r="F6425" s="37"/>
    </row>
    <row r="6426" customFormat="false" ht="36.75" hidden="false" customHeight="true" outlineLevel="0" collapsed="false">
      <c r="B6426" s="37" t="str">
        <f aca="false">SUBSTITUTE(SUBSTITUTE(SUBSTITUTE(SUBSTITUTE(SUBSTITUTE(Txt_P6,"{cabinet}",Cab_Nom),"{societe}",IF($K$6391=0,"",INDEX(Clients!$E$2:$E$501,$K$6391)&amp;"")),"{date_effet}",$K$6393),"{hausse}",$K$6394),"{civilite}",$K$6392)</f>
        <v>Votre interlocuteur habituel reste à votre entière disposition pour répondre à vos questions et faire le point sur l'évolution de vos besoins.</v>
      </c>
      <c r="C6426" s="37"/>
      <c r="D6426" s="37"/>
      <c r="E6426" s="37"/>
      <c r="F6426" s="37"/>
    </row>
    <row r="6427" customFormat="false" ht="24" hidden="false" customHeight="true" outlineLevel="0" collapsed="false">
      <c r="B6427" s="37" t="str">
        <f aca="false">SUBSTITUTE(SUBSTITUTE(SUBSTITUTE(SUBSTITUTE(SUBSTITUTE(Txt_Politesse,"{cabinet}",Cab_Nom),"{societe}",IF($K$6391=0,"",INDEX(Clients!$E$2:$E$501,$K$6391)&amp;"")),"{date_effet}",$K$6393),"{hausse}",$K$6394),"{civilite}",$K$6392)</f>
        <v>Nous vous prions d'agréer, Madame, Monsieur, l'expression de nos salutations distinguées.</v>
      </c>
      <c r="C6427" s="37"/>
      <c r="D6427" s="37"/>
      <c r="E6427" s="37"/>
      <c r="F6427" s="37"/>
    </row>
    <row r="6428" customFormat="false" ht="15" hidden="false" customHeight="false" outlineLevel="0" collapsed="false">
      <c r="B6428" s="10"/>
      <c r="C6428" s="10"/>
      <c r="D6428" s="10"/>
      <c r="E6428" s="10"/>
      <c r="F6428" s="10"/>
    </row>
    <row r="6429" customFormat="false" ht="15" hidden="false" customHeight="false" outlineLevel="0" collapsed="false">
      <c r="B6429" s="10"/>
      <c r="C6429" s="10"/>
      <c r="D6429" s="34" t="str">
        <f aca="false">Signataire</f>
        <v>Prénom NOM</v>
      </c>
      <c r="E6429" s="34"/>
      <c r="F6429" s="34"/>
    </row>
    <row r="6430" customFormat="false" ht="15" hidden="false" customHeight="false" outlineLevel="0" collapsed="false">
      <c r="B6430" s="10"/>
      <c r="C6430" s="10"/>
      <c r="D6430" s="47" t="str">
        <f aca="false">Signataire_Titre</f>
        <v>Expert-comptable associé</v>
      </c>
      <c r="E6430" s="47"/>
      <c r="F6430" s="47"/>
    </row>
    <row r="6431" customFormat="false" ht="15.75" hidden="false" customHeight="true" outlineLevel="0" collapsed="false">
      <c r="B6431" s="10"/>
      <c r="C6431" s="10"/>
      <c r="D6431" s="10"/>
      <c r="E6431" s="10"/>
      <c r="F6431" s="10"/>
    </row>
    <row r="6432" customFormat="false" ht="15.75" hidden="false" customHeight="true" outlineLevel="0" collapsed="false">
      <c r="B6432" s="10"/>
      <c r="C6432" s="10"/>
      <c r="D6432" s="10"/>
      <c r="E6432" s="10"/>
      <c r="F6432" s="10"/>
    </row>
    <row r="6433" customFormat="false" ht="15.75" hidden="false" customHeight="true" outlineLevel="0" collapsed="false">
      <c r="B6433" s="10"/>
      <c r="C6433" s="10"/>
      <c r="D6433" s="10"/>
      <c r="E6433" s="10"/>
      <c r="F6433" s="10"/>
    </row>
    <row r="6434" customFormat="false" ht="15.75" hidden="false" customHeight="true" outlineLevel="0" collapsed="false">
      <c r="B6434" s="10"/>
      <c r="C6434" s="10"/>
      <c r="D6434" s="10"/>
      <c r="E6434" s="10"/>
      <c r="F6434" s="10"/>
    </row>
    <row r="6435" customFormat="false" ht="24" hidden="false" customHeight="true" outlineLevel="0" collapsed="false">
      <c r="B6435" s="48" t="str">
        <f aca="false">Cab_Mentions</f>
        <v>ALTHO EXPERTISE · SAS au capital de 10 000 € · RCS Pontoise 919 706 325 · TVA FR62919706325 · Société d'expertise comptable inscrite au Tableau de l'Ordre des experts-comptables de Paris Île-de-France</v>
      </c>
      <c r="C6435" s="48"/>
      <c r="D6435" s="48"/>
      <c r="E6435" s="48"/>
      <c r="F6435" s="48"/>
    </row>
    <row r="6436" customFormat="false" ht="15" hidden="false" customHeight="false" outlineLevel="0" collapsed="false">
      <c r="B6436" s="10"/>
      <c r="C6436" s="10"/>
      <c r="D6436" s="10"/>
      <c r="E6436" s="10"/>
      <c r="F6436" s="10"/>
      <c r="J6436" s="25" t="s">
        <v>142</v>
      </c>
      <c r="K6436" s="25" t="n">
        <f aca="false">IFERROR(MATCH(144,Clients!$Z$2:$Z$501,0),0)</f>
        <v>0</v>
      </c>
      <c r="L6436" s="25"/>
      <c r="M6436" s="25"/>
      <c r="N6436" s="25"/>
      <c r="O6436" s="25"/>
    </row>
    <row r="6437" customFormat="false" ht="21.75" hidden="false" customHeight="true" outlineLevel="0" collapsed="false">
      <c r="B6437" s="26" t="str">
        <f aca="false">Cab_Nom</f>
        <v>ALTHO EXPERTISE</v>
      </c>
      <c r="C6437" s="26"/>
      <c r="D6437" s="10"/>
      <c r="E6437" s="27" t="str">
        <f aca="false">IF($K$6436=0,"","Réf. client : "&amp;INDEX(Clients!$A$2:$A$501,$K$6436))</f>
        <v/>
      </c>
      <c r="F6437" s="27"/>
      <c r="J6437" s="25" t="s">
        <v>144</v>
      </c>
      <c r="K6437" s="25" t="str">
        <f aca="false">IF(IF($K$6436=0,"",INDEX(Clients!$B$2:$B$501,$K$6436)&amp;"")="Mme","Madame",IF(IF($K$6436=0,"",INDEX(Clients!$B$2:$B$501,$K$6436)&amp;"")="M.","Monsieur","Madame, Monsieur"))</f>
        <v>Madame, Monsieur</v>
      </c>
      <c r="L6437" s="25"/>
      <c r="M6437" s="25"/>
      <c r="N6437" s="25"/>
      <c r="O6437" s="25"/>
    </row>
    <row r="6438" customFormat="false" ht="15" hidden="false" customHeight="false" outlineLevel="0" collapsed="false">
      <c r="B6438" s="29" t="str">
        <f aca="false">Cab_Adr1</f>
        <v>141 rue Charles de Gaulle</v>
      </c>
      <c r="C6438" s="29"/>
      <c r="D6438" s="10"/>
      <c r="E6438" s="10"/>
      <c r="F6438" s="10"/>
      <c r="J6438" s="25" t="s">
        <v>145</v>
      </c>
      <c r="K6438" s="25" t="str">
        <f aca="false">DAY(Date_Effet)&amp;IF(DAY(Date_Effet)=1,"er","")&amp;" "&amp;INDEX(Liste_Mois,MONTH(Date_Effet))&amp;" "&amp;YEAR(Date_Effet)</f>
        <v>1er janvier 2027</v>
      </c>
      <c r="L6438" s="25"/>
      <c r="M6438" s="25"/>
      <c r="N6438" s="25"/>
      <c r="O6438" s="25"/>
    </row>
    <row r="6439" customFormat="false" ht="15" hidden="false" customHeight="false" outlineLevel="0" collapsed="false">
      <c r="B6439" s="29" t="str">
        <f aca="false">Cab_CPVille</f>
        <v>95130 LE PLESSIS-BOUCHARD</v>
      </c>
      <c r="C6439" s="29"/>
      <c r="D6439" s="10"/>
      <c r="E6439" s="10"/>
      <c r="F6439" s="10"/>
      <c r="J6439" s="25" t="s">
        <v>146</v>
      </c>
      <c r="K6439" s="25" t="str">
        <f aca="false">IF(SUM($K$6463:$K$6466)=0,"",FIXED((SUM($L$6463:$L$6466)/SUM($K$6463:$K$6466)-1)*100,1)&amp;" %")</f>
        <v/>
      </c>
      <c r="L6439" s="25"/>
      <c r="M6439" s="25"/>
      <c r="N6439" s="25"/>
      <c r="O6439" s="25"/>
    </row>
    <row r="6440" customFormat="false" ht="15" hidden="false" customHeight="false" outlineLevel="0" collapsed="false">
      <c r="B6440" s="29" t="str">
        <f aca="false">Cab_Contact</f>
        <v>Tél. 01 34 14 53 45  ·  altho@altho-experts.com  ·  altho-experts.com</v>
      </c>
      <c r="C6440" s="29"/>
      <c r="D6440" s="10"/>
      <c r="E6440" s="10"/>
      <c r="F6440" s="10"/>
      <c r="J6440" s="25"/>
      <c r="K6440" s="25"/>
      <c r="L6440" s="25"/>
      <c r="M6440" s="25"/>
      <c r="N6440" s="25"/>
      <c r="O6440" s="25"/>
    </row>
    <row r="6441" customFormat="false" ht="6" hidden="false" customHeight="true" outlineLevel="0" collapsed="false">
      <c r="B6441" s="32"/>
      <c r="C6441" s="32"/>
      <c r="D6441" s="32"/>
      <c r="E6441" s="32"/>
      <c r="F6441" s="32"/>
      <c r="J6441" s="25"/>
      <c r="K6441" s="25"/>
      <c r="L6441" s="25"/>
      <c r="M6441" s="25"/>
      <c r="N6441" s="25"/>
      <c r="O6441" s="25"/>
    </row>
    <row r="6442" customFormat="false" ht="13.5" hidden="false" customHeight="true" outlineLevel="0" collapsed="false">
      <c r="B6442" s="10"/>
      <c r="C6442" s="10"/>
      <c r="D6442" s="10"/>
      <c r="E6442" s="10"/>
      <c r="F6442" s="10"/>
      <c r="J6442" s="25"/>
      <c r="K6442" s="25"/>
      <c r="L6442" s="25"/>
      <c r="M6442" s="25"/>
      <c r="N6442" s="25"/>
      <c r="O6442" s="25"/>
    </row>
    <row r="6443" customFormat="false" ht="13.5" hidden="false" customHeight="true" outlineLevel="0" collapsed="false">
      <c r="B6443" s="10"/>
      <c r="C6443" s="10"/>
      <c r="D6443" s="10"/>
      <c r="E6443" s="10"/>
      <c r="F6443" s="10"/>
      <c r="J6443" s="25"/>
      <c r="K6443" s="25"/>
      <c r="L6443" s="25"/>
      <c r="M6443" s="25"/>
      <c r="N6443" s="25"/>
      <c r="O6443" s="25"/>
    </row>
    <row r="6444" customFormat="false" ht="13.5" hidden="false" customHeight="true" outlineLevel="0" collapsed="false">
      <c r="B6444" s="10"/>
      <c r="C6444" s="10"/>
      <c r="D6444" s="10"/>
      <c r="E6444" s="10"/>
      <c r="F6444" s="10"/>
      <c r="J6444" s="25"/>
      <c r="K6444" s="25"/>
      <c r="L6444" s="25"/>
      <c r="M6444" s="25"/>
      <c r="N6444" s="25"/>
      <c r="O6444" s="25"/>
    </row>
    <row r="6445" customFormat="false" ht="15" hidden="false" customHeight="true" outlineLevel="0" collapsed="false">
      <c r="B6445" s="10"/>
      <c r="C6445" s="10"/>
      <c r="D6445" s="34" t="str">
        <f aca="false">IF($K$6436=0,"",INDEX(Clients!$E$2:$E$501,$K$6436)&amp;"")</f>
        <v/>
      </c>
      <c r="E6445" s="34"/>
      <c r="F6445" s="34"/>
      <c r="J6445" s="25"/>
      <c r="K6445" s="25"/>
      <c r="L6445" s="25"/>
      <c r="M6445" s="25"/>
      <c r="N6445" s="25"/>
      <c r="O6445" s="25"/>
    </row>
    <row r="6446" customFormat="false" ht="15" hidden="false" customHeight="true" outlineLevel="0" collapsed="false">
      <c r="B6446" s="10"/>
      <c r="C6446" s="10"/>
      <c r="D6446" s="35" t="str">
        <f aca="false">IF(IF($K$6436=0,"",INDEX(Clients!$D$2:$D$501,$K$6436)&amp;"")="","","À l'attention de "&amp;TRIM(IF($K$6436=0,"",INDEX(Clients!$B$2:$B$501,$K$6436)&amp;"")&amp;" "&amp;IF($K$6436=0,"",INDEX(Clients!$C$2:$C$501,$K$6436)&amp;"")&amp;" "&amp;IF($K$6436=0,"",INDEX(Clients!$D$2:$D$501,$K$6436)&amp;"")))</f>
        <v/>
      </c>
      <c r="E6446" s="35"/>
      <c r="F6446" s="35"/>
      <c r="J6446" s="25"/>
      <c r="K6446" s="25"/>
      <c r="L6446" s="25"/>
      <c r="M6446" s="25"/>
      <c r="N6446" s="25"/>
      <c r="O6446" s="25"/>
    </row>
    <row r="6447" customFormat="false" ht="15" hidden="false" customHeight="true" outlineLevel="0" collapsed="false">
      <c r="B6447" s="10"/>
      <c r="C6447" s="10"/>
      <c r="D6447" s="35" t="str">
        <f aca="false">IF($K$6436=0,"",INDEX(Clients!$F$2:$F$501,$K$6436)&amp;"")</f>
        <v/>
      </c>
      <c r="E6447" s="35"/>
      <c r="F6447" s="35"/>
      <c r="J6447" s="25"/>
      <c r="K6447" s="25"/>
      <c r="L6447" s="25"/>
      <c r="M6447" s="25"/>
      <c r="N6447" s="25"/>
      <c r="O6447" s="25"/>
    </row>
    <row r="6448" customFormat="false" ht="15" hidden="false" customHeight="true" outlineLevel="0" collapsed="false">
      <c r="B6448" s="10"/>
      <c r="C6448" s="10"/>
      <c r="D6448" s="35" t="str">
        <f aca="false">IF(IF($K$6436=0,"",INDEX(Clients!$G$2:$G$501,$K$6436)&amp;"")="",TRIM(IF($K$6436=0,"",INDEX(Clients!$H$2:$H$501,$K$6436)&amp;"")&amp;" "&amp;UPPER(IF($K$6436=0,"",INDEX(Clients!$I$2:$I$501,$K$6436)&amp;""))),IF($K$6436=0,"",INDEX(Clients!$G$2:$G$501,$K$6436)&amp;""))</f>
        <v/>
      </c>
      <c r="E6448" s="35"/>
      <c r="F6448" s="35"/>
      <c r="J6448" s="25"/>
      <c r="K6448" s="25"/>
      <c r="L6448" s="25"/>
      <c r="M6448" s="25"/>
      <c r="N6448" s="25"/>
      <c r="O6448" s="25"/>
    </row>
    <row r="6449" customFormat="false" ht="15" hidden="false" customHeight="true" outlineLevel="0" collapsed="false">
      <c r="B6449" s="10"/>
      <c r="C6449" s="10"/>
      <c r="D6449" s="35" t="str">
        <f aca="false">IF(IF($K$6436=0,"",INDEX(Clients!$G$2:$G$501,$K$6436)&amp;"")="","",TRIM(IF($K$6436=0,"",INDEX(Clients!$H$2:$H$501,$K$6436)&amp;"")&amp;" "&amp;UPPER(IF($K$6436=0,"",INDEX(Clients!$I$2:$I$501,$K$6436)&amp;""))))</f>
        <v/>
      </c>
      <c r="E6449" s="35"/>
      <c r="F6449" s="35"/>
      <c r="J6449" s="25"/>
      <c r="K6449" s="25"/>
      <c r="L6449" s="25"/>
      <c r="M6449" s="25"/>
      <c r="N6449" s="25"/>
      <c r="O6449" s="25"/>
    </row>
    <row r="6450" customFormat="false" ht="25.5" hidden="false" customHeight="true" outlineLevel="0" collapsed="false">
      <c r="B6450" s="10"/>
      <c r="C6450" s="10"/>
      <c r="D6450" s="10"/>
      <c r="E6450" s="10"/>
      <c r="F6450" s="10"/>
      <c r="J6450" s="25"/>
      <c r="K6450" s="25"/>
      <c r="L6450" s="25"/>
      <c r="M6450" s="25"/>
      <c r="N6450" s="25"/>
      <c r="O6450" s="25"/>
    </row>
    <row r="6451" customFormat="false" ht="15" hidden="false" customHeight="false" outlineLevel="0" collapsed="false">
      <c r="B6451" s="10"/>
      <c r="C6451" s="10"/>
      <c r="D6451" s="36" t="str">
        <f aca="false">Cab_Ville&amp;", le "&amp;DAY(Date_Courrier)&amp;IF(DAY(Date_Courrier)=1,"er","")&amp;" "&amp;INDEX(Liste_Mois,MONTH(Date_Courrier))&amp;" "&amp;YEAR(Date_Courrier)</f>
        <v>Le Plessis-Bouchard, le 22 septembre 2026</v>
      </c>
      <c r="E6451" s="36"/>
      <c r="F6451" s="36"/>
      <c r="J6451" s="25"/>
      <c r="K6451" s="25"/>
      <c r="L6451" s="25"/>
      <c r="M6451" s="25"/>
      <c r="N6451" s="25"/>
      <c r="O6451" s="25"/>
    </row>
    <row r="6452" customFormat="false" ht="19.5" hidden="false" customHeight="true" outlineLevel="0" collapsed="false">
      <c r="B6452" s="10"/>
      <c r="C6452" s="10"/>
      <c r="D6452" s="10"/>
      <c r="E6452" s="10"/>
      <c r="F6452" s="10"/>
      <c r="J6452" s="25"/>
      <c r="K6452" s="25"/>
      <c r="L6452" s="25"/>
      <c r="M6452" s="25"/>
      <c r="N6452" s="25"/>
      <c r="O6452" s="25"/>
    </row>
    <row r="6453" customFormat="false" ht="15" hidden="false" customHeight="false" outlineLevel="0" collapsed="false">
      <c r="B6453" s="34" t="str">
        <f aca="false">SUBSTITUTE(SUBSTITUTE(SUBSTITUTE(SUBSTITUTE(SUBSTITUTE(Txt_Objet,"{cabinet}",Cab_Nom),"{societe}",IF($K$6436=0,"",INDEX(Clients!$E$2:$E$501,$K$6436)&amp;"")),"{date_effet}",$K$6438),"{hausse}",$K$6439),"{civilite}",$K$6437)</f>
        <v>Objet : révision de nos honoraires au 1er janvier 2027</v>
      </c>
      <c r="C6453" s="34"/>
      <c r="D6453" s="34"/>
      <c r="E6453" s="34"/>
      <c r="F6453" s="34"/>
      <c r="J6453" s="25"/>
      <c r="K6453" s="25"/>
      <c r="L6453" s="25"/>
      <c r="M6453" s="25"/>
      <c r="N6453" s="25"/>
      <c r="O6453" s="25"/>
    </row>
    <row r="6454" customFormat="false" ht="13.5" hidden="false" customHeight="true" outlineLevel="0" collapsed="false">
      <c r="B6454" s="10"/>
      <c r="C6454" s="10"/>
      <c r="D6454" s="10"/>
      <c r="E6454" s="10"/>
      <c r="F6454" s="10"/>
      <c r="J6454" s="25"/>
      <c r="K6454" s="25"/>
      <c r="L6454" s="25"/>
      <c r="M6454" s="25"/>
      <c r="N6454" s="25"/>
      <c r="O6454" s="25"/>
    </row>
    <row r="6455" customFormat="false" ht="15" hidden="false" customHeight="false" outlineLevel="0" collapsed="false">
      <c r="B6455" s="10" t="str">
        <f aca="false">$K$6437&amp;","</f>
        <v>Madame, Monsieur,</v>
      </c>
      <c r="C6455" s="10"/>
      <c r="D6455" s="10"/>
      <c r="E6455" s="10"/>
      <c r="F6455" s="10"/>
      <c r="J6455" s="25"/>
      <c r="K6455" s="25"/>
      <c r="L6455" s="25"/>
      <c r="M6455" s="25"/>
      <c r="N6455" s="25"/>
      <c r="O6455" s="25"/>
    </row>
    <row r="6456" customFormat="false" ht="6" hidden="false" customHeight="true" outlineLevel="0" collapsed="false">
      <c r="B6456" s="10"/>
      <c r="C6456" s="10"/>
      <c r="D6456" s="10"/>
      <c r="E6456" s="10"/>
      <c r="F6456" s="10"/>
      <c r="J6456" s="25"/>
      <c r="K6456" s="25"/>
      <c r="L6456" s="25"/>
      <c r="M6456" s="25"/>
      <c r="N6456" s="25"/>
      <c r="O6456" s="25"/>
    </row>
    <row r="6457" customFormat="false" ht="36.75" hidden="false" customHeight="true" outlineLevel="0" collapsed="false">
      <c r="B6457" s="37" t="str">
        <f aca="false">SUBSTITUTE(SUBSTITUTE(SUBSTITUTE(SUBSTITUTE(SUBSTITUTE(Txt_P1,"{cabinet}",Cab_Nom),"{societe}",IF($K$6436=0,"",INDEX(Clients!$E$2:$E$501,$K$6436)&amp;"")),"{date_effet}",$K$6438),"{hausse}",$K$6439),"{civilite}",$K$6437)</f>
        <v>Nous tenons tout d'abord à vous remercier pour la confiance que vous accordez à ALTHO EXPERTISE. Comme chaque année, et conformément aux dispositions de votre lettre de mission, nous procédons à la révision de nos honoraires.</v>
      </c>
      <c r="C6457" s="37"/>
      <c r="D6457" s="37"/>
      <c r="E6457" s="37"/>
      <c r="F6457" s="37"/>
      <c r="J6457" s="25"/>
      <c r="K6457" s="25"/>
      <c r="L6457" s="25"/>
      <c r="M6457" s="25"/>
      <c r="N6457" s="25"/>
      <c r="O6457" s="25"/>
    </row>
    <row r="6458" customFormat="false" ht="49.5" hidden="false" customHeight="true" outlineLevel="0" collapsed="false">
      <c r="B6458" s="37" t="str">
        <f aca="false">SUBSTITUTE(SUBSTITUTE(SUBSTITUTE(SUBSTITUTE(SUBSTITUTE(Txt_P2,"{cabinet}",Cab_Nom),"{societe}",IF($K$6436=0,"",INDEX(Clients!$E$2:$E$501,$K$6436)&amp;"")),"{date_effet}",$K$6438),"{hausse}",$K$6439),"{civilite}",$K$6437)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458" s="37"/>
      <c r="D6458" s="37"/>
      <c r="E6458" s="37"/>
      <c r="F6458" s="37"/>
      <c r="J6458" s="25"/>
      <c r="K6458" s="25"/>
      <c r="L6458" s="25"/>
      <c r="M6458" s="25"/>
      <c r="N6458" s="25"/>
      <c r="O6458" s="25"/>
    </row>
    <row r="6459" customFormat="false" ht="63" hidden="false" customHeight="true" outlineLevel="0" collapsed="false">
      <c r="B6459" s="37" t="str">
        <f aca="false">SUBSTITUTE(SUBSTITUTE(SUBSTITUTE(SUBSTITUTE(SUBSTITUTE(Txt_P3,"{cabinet}",Cab_Nom),"{societe}",IF($K$6436=0,"",INDEX(Clients!$E$2:$E$501,$K$6436)&amp;"")),"{date_effet}",$K$6438),"{hausse}",$K$6439),"{civilite}",$K$6437)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459" s="37"/>
      <c r="D6459" s="37"/>
      <c r="E6459" s="37"/>
      <c r="F6459" s="37"/>
      <c r="J6459" s="25"/>
      <c r="K6459" s="25"/>
      <c r="L6459" s="25"/>
      <c r="M6459" s="25"/>
      <c r="N6459" s="25"/>
      <c r="O6459" s="25"/>
    </row>
    <row r="6460" customFormat="false" ht="24" hidden="false" customHeight="true" outlineLevel="0" collapsed="false">
      <c r="B6460" s="37" t="str">
        <f aca="false">SUBSTITUTE(SUBSTITUTE(SUBSTITUTE(SUBSTITUTE(SUBSTITUTE(Txt_P4,"{cabinet}",Cab_Nom),"{societe}",IF($K$6436=0,"",INDEX(Clients!$E$2:$E$501,$K$6436)&amp;"")),"{date_effet}",$K$6438),"{hausse}",$K$6439),"{civilite}",$K$6437)</f>
        <v>À compter du 1er janvier 2027, vos honoraires annuels hors taxes évolueront ainsi (évolution globale : ) :</v>
      </c>
      <c r="C6460" s="37"/>
      <c r="D6460" s="37"/>
      <c r="E6460" s="37"/>
      <c r="F6460" s="37"/>
      <c r="J6460" s="25"/>
      <c r="K6460" s="25"/>
      <c r="L6460" s="25"/>
      <c r="M6460" s="25"/>
      <c r="N6460" s="25"/>
      <c r="O6460" s="25"/>
    </row>
    <row r="6461" customFormat="false" ht="3.75" hidden="false" customHeight="true" outlineLevel="0" collapsed="false">
      <c r="B6461" s="10"/>
      <c r="C6461" s="10"/>
      <c r="D6461" s="10"/>
      <c r="E6461" s="10"/>
      <c r="F6461" s="10"/>
      <c r="J6461" s="25"/>
      <c r="K6461" s="25"/>
      <c r="L6461" s="25"/>
      <c r="M6461" s="25"/>
      <c r="N6461" s="25"/>
      <c r="O6461" s="25"/>
    </row>
    <row r="6462" customFormat="false" ht="18" hidden="false" customHeight="true" outlineLevel="0" collapsed="false">
      <c r="B6462" s="38" t="s">
        <v>148</v>
      </c>
      <c r="C6462" s="39" t="s">
        <v>149</v>
      </c>
      <c r="D6462" s="39" t="s">
        <v>150</v>
      </c>
      <c r="E6462" s="39" t="s">
        <v>151</v>
      </c>
      <c r="F6462" s="39" t="s">
        <v>109</v>
      </c>
      <c r="J6462" s="25" t="s">
        <v>152</v>
      </c>
      <c r="K6462" s="25" t="s">
        <v>153</v>
      </c>
      <c r="L6462" s="25" t="s">
        <v>154</v>
      </c>
      <c r="M6462" s="25" t="s">
        <v>155</v>
      </c>
      <c r="N6462" s="25" t="s">
        <v>156</v>
      </c>
      <c r="O6462" s="25" t="s">
        <v>157</v>
      </c>
    </row>
    <row r="6463" customFormat="false" ht="16.5" hidden="false" customHeight="true" outlineLevel="0" collapsed="false">
      <c r="B6463" s="40" t="str">
        <f aca="false">IFERROR(INDEX($J$6463:$J$6466,MATCH($O6463,$N$6463:$N$6466,0)),"")</f>
        <v/>
      </c>
      <c r="C6463" s="41" t="str">
        <f aca="false">IFERROR(INDEX($K$6463:$K$6466,MATCH($O6463,$N$6463:$N$6466,0)),"")</f>
        <v/>
      </c>
      <c r="D6463" s="42" t="str">
        <f aca="false">IF(OR(E6463="",N(C6463)=0),"",E6463/C6463-1)</f>
        <v/>
      </c>
      <c r="E6463" s="41" t="str">
        <f aca="false">IFERROR(INDEX($L$6463:$L$6466,MATCH($O6463,$N$6463:$N$6466,0)),"")</f>
        <v/>
      </c>
      <c r="F6463" s="41" t="str">
        <f aca="false">IF(E6463="","",E6463-C6463)</f>
        <v/>
      </c>
      <c r="J6463" s="25" t="str">
        <f aca="false">Lib_Compta</f>
        <v>Mission comptable (tenue, révision, bilan, liasse fiscale)</v>
      </c>
      <c r="K6463" s="25" t="n">
        <f aca="false">IF($K$6436=0,0,N(INDEX(Clients!$K$2:$K$501,$K$6436)))</f>
        <v>0</v>
      </c>
      <c r="L6463" s="25" t="n">
        <f aca="false">IF($K$6436=0,0,N(INDEX(Clients!$P$2:$P$501,$K$6436)))</f>
        <v>0</v>
      </c>
      <c r="M6463" s="25" t="n">
        <f aca="false">IF(OR(K6463&lt;&gt;0,L6463&lt;&gt;0),1,0)</f>
        <v>0</v>
      </c>
      <c r="N6463" s="25" t="str">
        <f aca="false">IF(M6463=1,SUM($M$6463:M6463),"")</f>
        <v/>
      </c>
      <c r="O6463" s="25" t="n">
        <v>1</v>
      </c>
    </row>
    <row r="6464" customFormat="false" ht="16.5" hidden="false" customHeight="true" outlineLevel="0" collapsed="false">
      <c r="B6464" s="40" t="str">
        <f aca="false">IFERROR(INDEX($J$6463:$J$6466,MATCH($O6464,$N$6463:$N$6466,0)),"")</f>
        <v/>
      </c>
      <c r="C6464" s="41" t="str">
        <f aca="false">IFERROR(INDEX($K$6463:$K$6466,MATCH($O6464,$N$6463:$N$6466,0)),"")</f>
        <v/>
      </c>
      <c r="D6464" s="42" t="str">
        <f aca="false">IF(OR(E6464="",N(C6464)=0),"",E6464/C6464-1)</f>
        <v/>
      </c>
      <c r="E6464" s="41" t="str">
        <f aca="false">IFERROR(INDEX($L$6463:$L$6466,MATCH($O6464,$N$6463:$N$6466,0)),"")</f>
        <v/>
      </c>
      <c r="F6464" s="41" t="str">
        <f aca="false">IF(E6464="","",E6464-C6464)</f>
        <v/>
      </c>
      <c r="J6464" s="25" t="str">
        <f aca="false">Lib_Paye</f>
        <v>Mission sociale (bulletins de paie, DSN, déclarations sociales)</v>
      </c>
      <c r="K6464" s="25" t="n">
        <f aca="false">IF($K$6436=0,0,N(INDEX(Clients!$L$2:$L$501,$K$6436)))</f>
        <v>0</v>
      </c>
      <c r="L6464" s="25" t="n">
        <f aca="false">IF($K$6436=0,0,N(INDEX(Clients!$Q$2:$Q$501,$K$6436)))</f>
        <v>0</v>
      </c>
      <c r="M6464" s="25" t="n">
        <f aca="false">IF(OR(K6464&lt;&gt;0,L6464&lt;&gt;0),1,0)</f>
        <v>0</v>
      </c>
      <c r="N6464" s="25" t="str">
        <f aca="false">IF(M6464=1,SUM($M$6463:M6464),"")</f>
        <v/>
      </c>
      <c r="O6464" s="25" t="n">
        <v>2</v>
      </c>
    </row>
    <row r="6465" customFormat="false" ht="16.5" hidden="false" customHeight="true" outlineLevel="0" collapsed="false">
      <c r="B6465" s="40" t="str">
        <f aca="false">IFERROR(INDEX($J$6463:$J$6466,MATCH($O6465,$N$6463:$N$6466,0)),"")</f>
        <v/>
      </c>
      <c r="C6465" s="41" t="str">
        <f aca="false">IFERROR(INDEX($K$6463:$K$6466,MATCH($O6465,$N$6463:$N$6466,0)),"")</f>
        <v/>
      </c>
      <c r="D6465" s="42" t="str">
        <f aca="false">IF(OR(E6465="",N(C6465)=0),"",E6465/C6465-1)</f>
        <v/>
      </c>
      <c r="E6465" s="41" t="str">
        <f aca="false">IFERROR(INDEX($L$6463:$L$6466,MATCH($O6465,$N$6463:$N$6466,0)),"")</f>
        <v/>
      </c>
      <c r="F6465" s="41" t="str">
        <f aca="false">IF(E6465="","",E6465-C6465)</f>
        <v/>
      </c>
      <c r="J6465" s="25" t="str">
        <f aca="false">Lib_Jur</f>
        <v>Mission juridique (approbation des comptes, secrétariat juridique)</v>
      </c>
      <c r="K6465" s="25" t="n">
        <f aca="false">IF($K$6436=0,0,N(INDEX(Clients!$M$2:$M$501,$K$6436)))</f>
        <v>0</v>
      </c>
      <c r="L6465" s="25" t="n">
        <f aca="false">IF($K$6436=0,0,N(INDEX(Clients!$R$2:$R$501,$K$6436)))</f>
        <v>0</v>
      </c>
      <c r="M6465" s="25" t="n">
        <f aca="false">IF(OR(K6465&lt;&gt;0,L6465&lt;&gt;0),1,0)</f>
        <v>0</v>
      </c>
      <c r="N6465" s="25" t="str">
        <f aca="false">IF(M6465=1,SUM($M$6463:M6465),"")</f>
        <v/>
      </c>
      <c r="O6465" s="25" t="n">
        <v>3</v>
      </c>
    </row>
    <row r="6466" customFormat="false" ht="16.5" hidden="false" customHeight="true" outlineLevel="0" collapsed="false">
      <c r="B6466" s="40" t="str">
        <f aca="false">IFERROR(INDEX($J$6463:$J$6466,MATCH($O6466,$N$6463:$N$6466,0)),"")</f>
        <v/>
      </c>
      <c r="C6466" s="41" t="str">
        <f aca="false">IFERROR(INDEX($K$6463:$K$6466,MATCH($O6466,$N$6463:$N$6466,0)),"")</f>
        <v/>
      </c>
      <c r="D6466" s="42" t="str">
        <f aca="false">IF(OR(E6466="",N(C6466)=0),"",E6466/C6466-1)</f>
        <v/>
      </c>
      <c r="E6466" s="41" t="str">
        <f aca="false">IFERROR(INDEX($L$6463:$L$6466,MATCH($O6466,$N$6463:$N$6466,0)),"")</f>
        <v/>
      </c>
      <c r="F6466" s="41" t="str">
        <f aca="false">IF(E6466="","",E6466-C6466)</f>
        <v/>
      </c>
      <c r="J6466" s="25" t="str">
        <f aca="false">Lib_PA</f>
        <v>Plateforme agréée – facturation électronique</v>
      </c>
      <c r="K6466" s="25" t="n">
        <f aca="false">IF($K$6436=0,0,N(INDEX(Clients!$N$2:$N$501,$K$6436)))</f>
        <v>0</v>
      </c>
      <c r="L6466" s="25" t="n">
        <f aca="false">IF($K$6436=0,0,N(INDEX(Clients!$S$2:$S$501,$K$6436)))</f>
        <v>0</v>
      </c>
      <c r="M6466" s="25" t="n">
        <f aca="false">IF(OR(K6466&lt;&gt;0,L6466&lt;&gt;0),1,0)</f>
        <v>0</v>
      </c>
      <c r="N6466" s="25" t="str">
        <f aca="false">IF(M6466=1,SUM($M$6463:M6466),"")</f>
        <v/>
      </c>
      <c r="O6466" s="25" t="n">
        <v>4</v>
      </c>
    </row>
    <row r="6467" customFormat="false" ht="18" hidden="false" customHeight="true" outlineLevel="0" collapsed="false">
      <c r="B6467" s="43" t="s">
        <v>158</v>
      </c>
      <c r="C6467" s="44" t="n">
        <f aca="false">SUM(K6463:K6466)</f>
        <v>0</v>
      </c>
      <c r="D6467" s="45" t="str">
        <f aca="false">IF(N(C6467)=0,"",E6467/C6467-1)</f>
        <v/>
      </c>
      <c r="E6467" s="44" t="n">
        <f aca="false">SUM(L6463:L6466)</f>
        <v>0</v>
      </c>
      <c r="F6467" s="44" t="n">
        <f aca="false">E6467-C6467</f>
        <v>0</v>
      </c>
    </row>
    <row r="6468" customFormat="false" ht="15" hidden="false" customHeight="false" outlineLevel="0" collapsed="false">
      <c r="B6468" s="46" t="str">
        <f aca="false">IF(N(Nb_Mensualites)=0,"","Soit "&amp;FIXED(E6467/Nb_Mensualites,2)&amp;" € HT par échéance ("&amp;Nb_Mensualites&amp;" échéances), "&amp;FIXED(E6467/Nb_Mensualites*(1+Taux_TVA),2)&amp;" € TTC.")</f>
        <v>Soit 0.00 € HT par échéance (12 échéances), 0.00 € TTC.</v>
      </c>
      <c r="C6468" s="46"/>
      <c r="D6468" s="46"/>
      <c r="E6468" s="46"/>
      <c r="F6468" s="46"/>
    </row>
    <row r="6469" customFormat="false" ht="7.5" hidden="false" customHeight="true" outlineLevel="0" collapsed="false">
      <c r="B6469" s="10"/>
      <c r="C6469" s="10"/>
      <c r="D6469" s="10"/>
      <c r="E6469" s="10"/>
      <c r="F6469" s="10"/>
    </row>
    <row r="6470" customFormat="false" ht="36.75" hidden="false" customHeight="true" outlineLevel="0" collapsed="false">
      <c r="B6470" s="37" t="str">
        <f aca="false">SUBSTITUTE(SUBSTITUTE(SUBSTITUTE(SUBSTITUTE(SUBSTITUTE(Txt_P5,"{cabinet}",Cab_Nom),"{societe}",IF($K$6436=0,"",INDEX(Clients!$E$2:$E$501,$K$6436)&amp;"")),"{date_effet}",$K$6438),"{hausse}",$K$6439),"{civilite}",$K$6437)</f>
        <v>Les autres conditions de votre lettre de mission demeurent inchangées. Les nouveaux montants seront appliqués automatiquement sur vos prochaines factures et échéances de prélèvement.</v>
      </c>
      <c r="C6470" s="37"/>
      <c r="D6470" s="37"/>
      <c r="E6470" s="37"/>
      <c r="F6470" s="37"/>
    </row>
    <row r="6471" customFormat="false" ht="36.75" hidden="false" customHeight="true" outlineLevel="0" collapsed="false">
      <c r="B6471" s="37" t="str">
        <f aca="false">SUBSTITUTE(SUBSTITUTE(SUBSTITUTE(SUBSTITUTE(SUBSTITUTE(Txt_P6,"{cabinet}",Cab_Nom),"{societe}",IF($K$6436=0,"",INDEX(Clients!$E$2:$E$501,$K$6436)&amp;"")),"{date_effet}",$K$6438),"{hausse}",$K$6439),"{civilite}",$K$6437)</f>
        <v>Votre interlocuteur habituel reste à votre entière disposition pour répondre à vos questions et faire le point sur l'évolution de vos besoins.</v>
      </c>
      <c r="C6471" s="37"/>
      <c r="D6471" s="37"/>
      <c r="E6471" s="37"/>
      <c r="F6471" s="37"/>
    </row>
    <row r="6472" customFormat="false" ht="24" hidden="false" customHeight="true" outlineLevel="0" collapsed="false">
      <c r="B6472" s="37" t="str">
        <f aca="false">SUBSTITUTE(SUBSTITUTE(SUBSTITUTE(SUBSTITUTE(SUBSTITUTE(Txt_Politesse,"{cabinet}",Cab_Nom),"{societe}",IF($K$6436=0,"",INDEX(Clients!$E$2:$E$501,$K$6436)&amp;"")),"{date_effet}",$K$6438),"{hausse}",$K$6439),"{civilite}",$K$6437)</f>
        <v>Nous vous prions d'agréer, Madame, Monsieur, l'expression de nos salutations distinguées.</v>
      </c>
      <c r="C6472" s="37"/>
      <c r="D6472" s="37"/>
      <c r="E6472" s="37"/>
      <c r="F6472" s="37"/>
    </row>
    <row r="6473" customFormat="false" ht="15" hidden="false" customHeight="false" outlineLevel="0" collapsed="false">
      <c r="B6473" s="10"/>
      <c r="C6473" s="10"/>
      <c r="D6473" s="10"/>
      <c r="E6473" s="10"/>
      <c r="F6473" s="10"/>
    </row>
    <row r="6474" customFormat="false" ht="15" hidden="false" customHeight="false" outlineLevel="0" collapsed="false">
      <c r="B6474" s="10"/>
      <c r="C6474" s="10"/>
      <c r="D6474" s="34" t="str">
        <f aca="false">Signataire</f>
        <v>Prénom NOM</v>
      </c>
      <c r="E6474" s="34"/>
      <c r="F6474" s="34"/>
    </row>
    <row r="6475" customFormat="false" ht="15" hidden="false" customHeight="false" outlineLevel="0" collapsed="false">
      <c r="B6475" s="10"/>
      <c r="C6475" s="10"/>
      <c r="D6475" s="47" t="str">
        <f aca="false">Signataire_Titre</f>
        <v>Expert-comptable associé</v>
      </c>
      <c r="E6475" s="47"/>
      <c r="F6475" s="47"/>
    </row>
    <row r="6476" customFormat="false" ht="15.75" hidden="false" customHeight="true" outlineLevel="0" collapsed="false">
      <c r="B6476" s="10"/>
      <c r="C6476" s="10"/>
      <c r="D6476" s="10"/>
      <c r="E6476" s="10"/>
      <c r="F6476" s="10"/>
    </row>
    <row r="6477" customFormat="false" ht="15.75" hidden="false" customHeight="true" outlineLevel="0" collapsed="false">
      <c r="B6477" s="10"/>
      <c r="C6477" s="10"/>
      <c r="D6477" s="10"/>
      <c r="E6477" s="10"/>
      <c r="F6477" s="10"/>
    </row>
    <row r="6478" customFormat="false" ht="15.75" hidden="false" customHeight="true" outlineLevel="0" collapsed="false">
      <c r="B6478" s="10"/>
      <c r="C6478" s="10"/>
      <c r="D6478" s="10"/>
      <c r="E6478" s="10"/>
      <c r="F6478" s="10"/>
    </row>
    <row r="6479" customFormat="false" ht="15.75" hidden="false" customHeight="true" outlineLevel="0" collapsed="false">
      <c r="B6479" s="10"/>
      <c r="C6479" s="10"/>
      <c r="D6479" s="10"/>
      <c r="E6479" s="10"/>
      <c r="F6479" s="10"/>
    </row>
    <row r="6480" customFormat="false" ht="24" hidden="false" customHeight="true" outlineLevel="0" collapsed="false">
      <c r="B6480" s="48" t="str">
        <f aca="false">Cab_Mentions</f>
        <v>ALTHO EXPERTISE · SAS au capital de 10 000 € · RCS Pontoise 919 706 325 · TVA FR62919706325 · Société d'expertise comptable inscrite au Tableau de l'Ordre des experts-comptables de Paris Île-de-France</v>
      </c>
      <c r="C6480" s="48"/>
      <c r="D6480" s="48"/>
      <c r="E6480" s="48"/>
      <c r="F6480" s="48"/>
    </row>
    <row r="6481" customFormat="false" ht="15" hidden="false" customHeight="false" outlineLevel="0" collapsed="false">
      <c r="B6481" s="10"/>
      <c r="C6481" s="10"/>
      <c r="D6481" s="10"/>
      <c r="E6481" s="10"/>
      <c r="F6481" s="10"/>
      <c r="J6481" s="25" t="s">
        <v>142</v>
      </c>
      <c r="K6481" s="25" t="n">
        <f aca="false">IFERROR(MATCH(145,Clients!$Z$2:$Z$501,0),0)</f>
        <v>0</v>
      </c>
      <c r="L6481" s="25"/>
      <c r="M6481" s="25"/>
      <c r="N6481" s="25"/>
      <c r="O6481" s="25"/>
    </row>
    <row r="6482" customFormat="false" ht="21.75" hidden="false" customHeight="true" outlineLevel="0" collapsed="false">
      <c r="B6482" s="26" t="str">
        <f aca="false">Cab_Nom</f>
        <v>ALTHO EXPERTISE</v>
      </c>
      <c r="C6482" s="26"/>
      <c r="D6482" s="10"/>
      <c r="E6482" s="27" t="str">
        <f aca="false">IF($K$6481=0,"","Réf. client : "&amp;INDEX(Clients!$A$2:$A$501,$K$6481))</f>
        <v/>
      </c>
      <c r="F6482" s="27"/>
      <c r="J6482" s="25" t="s">
        <v>144</v>
      </c>
      <c r="K6482" s="25" t="str">
        <f aca="false">IF(IF($K$6481=0,"",INDEX(Clients!$B$2:$B$501,$K$6481)&amp;"")="Mme","Madame",IF(IF($K$6481=0,"",INDEX(Clients!$B$2:$B$501,$K$6481)&amp;"")="M.","Monsieur","Madame, Monsieur"))</f>
        <v>Madame, Monsieur</v>
      </c>
      <c r="L6482" s="25"/>
      <c r="M6482" s="25"/>
      <c r="N6482" s="25"/>
      <c r="O6482" s="25"/>
    </row>
    <row r="6483" customFormat="false" ht="15" hidden="false" customHeight="false" outlineLevel="0" collapsed="false">
      <c r="B6483" s="29" t="str">
        <f aca="false">Cab_Adr1</f>
        <v>141 rue Charles de Gaulle</v>
      </c>
      <c r="C6483" s="29"/>
      <c r="D6483" s="10"/>
      <c r="E6483" s="10"/>
      <c r="F6483" s="10"/>
      <c r="J6483" s="25" t="s">
        <v>145</v>
      </c>
      <c r="K6483" s="25" t="str">
        <f aca="false">DAY(Date_Effet)&amp;IF(DAY(Date_Effet)=1,"er","")&amp;" "&amp;INDEX(Liste_Mois,MONTH(Date_Effet))&amp;" "&amp;YEAR(Date_Effet)</f>
        <v>1er janvier 2027</v>
      </c>
      <c r="L6483" s="25"/>
      <c r="M6483" s="25"/>
      <c r="N6483" s="25"/>
      <c r="O6483" s="25"/>
    </row>
    <row r="6484" customFormat="false" ht="15" hidden="false" customHeight="false" outlineLevel="0" collapsed="false">
      <c r="B6484" s="29" t="str">
        <f aca="false">Cab_CPVille</f>
        <v>95130 LE PLESSIS-BOUCHARD</v>
      </c>
      <c r="C6484" s="29"/>
      <c r="D6484" s="10"/>
      <c r="E6484" s="10"/>
      <c r="F6484" s="10"/>
      <c r="J6484" s="25" t="s">
        <v>146</v>
      </c>
      <c r="K6484" s="25" t="str">
        <f aca="false">IF(SUM($K$6508:$K$6511)=0,"",FIXED((SUM($L$6508:$L$6511)/SUM($K$6508:$K$6511)-1)*100,1)&amp;" %")</f>
        <v/>
      </c>
      <c r="L6484" s="25"/>
      <c r="M6484" s="25"/>
      <c r="N6484" s="25"/>
      <c r="O6484" s="25"/>
    </row>
    <row r="6485" customFormat="false" ht="15" hidden="false" customHeight="false" outlineLevel="0" collapsed="false">
      <c r="B6485" s="29" t="str">
        <f aca="false">Cab_Contact</f>
        <v>Tél. 01 34 14 53 45  ·  altho@altho-experts.com  ·  altho-experts.com</v>
      </c>
      <c r="C6485" s="29"/>
      <c r="D6485" s="10"/>
      <c r="E6485" s="10"/>
      <c r="F6485" s="10"/>
      <c r="J6485" s="25"/>
      <c r="K6485" s="25"/>
      <c r="L6485" s="25"/>
      <c r="M6485" s="25"/>
      <c r="N6485" s="25"/>
      <c r="O6485" s="25"/>
    </row>
    <row r="6486" customFormat="false" ht="6" hidden="false" customHeight="true" outlineLevel="0" collapsed="false">
      <c r="B6486" s="32"/>
      <c r="C6486" s="32"/>
      <c r="D6486" s="32"/>
      <c r="E6486" s="32"/>
      <c r="F6486" s="32"/>
      <c r="J6486" s="25"/>
      <c r="K6486" s="25"/>
      <c r="L6486" s="25"/>
      <c r="M6486" s="25"/>
      <c r="N6486" s="25"/>
      <c r="O6486" s="25"/>
    </row>
    <row r="6487" customFormat="false" ht="13.5" hidden="false" customHeight="true" outlineLevel="0" collapsed="false">
      <c r="B6487" s="10"/>
      <c r="C6487" s="10"/>
      <c r="D6487" s="10"/>
      <c r="E6487" s="10"/>
      <c r="F6487" s="10"/>
      <c r="J6487" s="25"/>
      <c r="K6487" s="25"/>
      <c r="L6487" s="25"/>
      <c r="M6487" s="25"/>
      <c r="N6487" s="25"/>
      <c r="O6487" s="25"/>
    </row>
    <row r="6488" customFormat="false" ht="13.5" hidden="false" customHeight="true" outlineLevel="0" collapsed="false">
      <c r="B6488" s="10"/>
      <c r="C6488" s="10"/>
      <c r="D6488" s="10"/>
      <c r="E6488" s="10"/>
      <c r="F6488" s="10"/>
      <c r="J6488" s="25"/>
      <c r="K6488" s="25"/>
      <c r="L6488" s="25"/>
      <c r="M6488" s="25"/>
      <c r="N6488" s="25"/>
      <c r="O6488" s="25"/>
    </row>
    <row r="6489" customFormat="false" ht="13.5" hidden="false" customHeight="true" outlineLevel="0" collapsed="false">
      <c r="B6489" s="10"/>
      <c r="C6489" s="10"/>
      <c r="D6489" s="10"/>
      <c r="E6489" s="10"/>
      <c r="F6489" s="10"/>
      <c r="J6489" s="25"/>
      <c r="K6489" s="25"/>
      <c r="L6489" s="25"/>
      <c r="M6489" s="25"/>
      <c r="N6489" s="25"/>
      <c r="O6489" s="25"/>
    </row>
    <row r="6490" customFormat="false" ht="15" hidden="false" customHeight="true" outlineLevel="0" collapsed="false">
      <c r="B6490" s="10"/>
      <c r="C6490" s="10"/>
      <c r="D6490" s="34" t="str">
        <f aca="false">IF($K$6481=0,"",INDEX(Clients!$E$2:$E$501,$K$6481)&amp;"")</f>
        <v/>
      </c>
      <c r="E6490" s="34"/>
      <c r="F6490" s="34"/>
      <c r="J6490" s="25"/>
      <c r="K6490" s="25"/>
      <c r="L6490" s="25"/>
      <c r="M6490" s="25"/>
      <c r="N6490" s="25"/>
      <c r="O6490" s="25"/>
    </row>
    <row r="6491" customFormat="false" ht="15" hidden="false" customHeight="true" outlineLevel="0" collapsed="false">
      <c r="B6491" s="10"/>
      <c r="C6491" s="10"/>
      <c r="D6491" s="35" t="str">
        <f aca="false">IF(IF($K$6481=0,"",INDEX(Clients!$D$2:$D$501,$K$6481)&amp;"")="","","À l'attention de "&amp;TRIM(IF($K$6481=0,"",INDEX(Clients!$B$2:$B$501,$K$6481)&amp;"")&amp;" "&amp;IF($K$6481=0,"",INDEX(Clients!$C$2:$C$501,$K$6481)&amp;"")&amp;" "&amp;IF($K$6481=0,"",INDEX(Clients!$D$2:$D$501,$K$6481)&amp;"")))</f>
        <v/>
      </c>
      <c r="E6491" s="35"/>
      <c r="F6491" s="35"/>
      <c r="J6491" s="25"/>
      <c r="K6491" s="25"/>
      <c r="L6491" s="25"/>
      <c r="M6491" s="25"/>
      <c r="N6491" s="25"/>
      <c r="O6491" s="25"/>
    </row>
    <row r="6492" customFormat="false" ht="15" hidden="false" customHeight="true" outlineLevel="0" collapsed="false">
      <c r="B6492" s="10"/>
      <c r="C6492" s="10"/>
      <c r="D6492" s="35" t="str">
        <f aca="false">IF($K$6481=0,"",INDEX(Clients!$F$2:$F$501,$K$6481)&amp;"")</f>
        <v/>
      </c>
      <c r="E6492" s="35"/>
      <c r="F6492" s="35"/>
      <c r="J6492" s="25"/>
      <c r="K6492" s="25"/>
      <c r="L6492" s="25"/>
      <c r="M6492" s="25"/>
      <c r="N6492" s="25"/>
      <c r="O6492" s="25"/>
    </row>
    <row r="6493" customFormat="false" ht="15" hidden="false" customHeight="true" outlineLevel="0" collapsed="false">
      <c r="B6493" s="10"/>
      <c r="C6493" s="10"/>
      <c r="D6493" s="35" t="str">
        <f aca="false">IF(IF($K$6481=0,"",INDEX(Clients!$G$2:$G$501,$K$6481)&amp;"")="",TRIM(IF($K$6481=0,"",INDEX(Clients!$H$2:$H$501,$K$6481)&amp;"")&amp;" "&amp;UPPER(IF($K$6481=0,"",INDEX(Clients!$I$2:$I$501,$K$6481)&amp;""))),IF($K$6481=0,"",INDEX(Clients!$G$2:$G$501,$K$6481)&amp;""))</f>
        <v/>
      </c>
      <c r="E6493" s="35"/>
      <c r="F6493" s="35"/>
      <c r="J6493" s="25"/>
      <c r="K6493" s="25"/>
      <c r="L6493" s="25"/>
      <c r="M6493" s="25"/>
      <c r="N6493" s="25"/>
      <c r="O6493" s="25"/>
    </row>
    <row r="6494" customFormat="false" ht="15" hidden="false" customHeight="true" outlineLevel="0" collapsed="false">
      <c r="B6494" s="10"/>
      <c r="C6494" s="10"/>
      <c r="D6494" s="35" t="str">
        <f aca="false">IF(IF($K$6481=0,"",INDEX(Clients!$G$2:$G$501,$K$6481)&amp;"")="","",TRIM(IF($K$6481=0,"",INDEX(Clients!$H$2:$H$501,$K$6481)&amp;"")&amp;" "&amp;UPPER(IF($K$6481=0,"",INDEX(Clients!$I$2:$I$501,$K$6481)&amp;""))))</f>
        <v/>
      </c>
      <c r="E6494" s="35"/>
      <c r="F6494" s="35"/>
      <c r="J6494" s="25"/>
      <c r="K6494" s="25"/>
      <c r="L6494" s="25"/>
      <c r="M6494" s="25"/>
      <c r="N6494" s="25"/>
      <c r="O6494" s="25"/>
    </row>
    <row r="6495" customFormat="false" ht="25.5" hidden="false" customHeight="true" outlineLevel="0" collapsed="false">
      <c r="B6495" s="10"/>
      <c r="C6495" s="10"/>
      <c r="D6495" s="10"/>
      <c r="E6495" s="10"/>
      <c r="F6495" s="10"/>
      <c r="J6495" s="25"/>
      <c r="K6495" s="25"/>
      <c r="L6495" s="25"/>
      <c r="M6495" s="25"/>
      <c r="N6495" s="25"/>
      <c r="O6495" s="25"/>
    </row>
    <row r="6496" customFormat="false" ht="15" hidden="false" customHeight="false" outlineLevel="0" collapsed="false">
      <c r="B6496" s="10"/>
      <c r="C6496" s="10"/>
      <c r="D6496" s="36" t="str">
        <f aca="false">Cab_Ville&amp;", le "&amp;DAY(Date_Courrier)&amp;IF(DAY(Date_Courrier)=1,"er","")&amp;" "&amp;INDEX(Liste_Mois,MONTH(Date_Courrier))&amp;" "&amp;YEAR(Date_Courrier)</f>
        <v>Le Plessis-Bouchard, le 22 septembre 2026</v>
      </c>
      <c r="E6496" s="36"/>
      <c r="F6496" s="36"/>
      <c r="J6496" s="25"/>
      <c r="K6496" s="25"/>
      <c r="L6496" s="25"/>
      <c r="M6496" s="25"/>
      <c r="N6496" s="25"/>
      <c r="O6496" s="25"/>
    </row>
    <row r="6497" customFormat="false" ht="19.5" hidden="false" customHeight="true" outlineLevel="0" collapsed="false">
      <c r="B6497" s="10"/>
      <c r="C6497" s="10"/>
      <c r="D6497" s="10"/>
      <c r="E6497" s="10"/>
      <c r="F6497" s="10"/>
      <c r="J6497" s="25"/>
      <c r="K6497" s="25"/>
      <c r="L6497" s="25"/>
      <c r="M6497" s="25"/>
      <c r="N6497" s="25"/>
      <c r="O6497" s="25"/>
    </row>
    <row r="6498" customFormat="false" ht="15" hidden="false" customHeight="false" outlineLevel="0" collapsed="false">
      <c r="B6498" s="34" t="str">
        <f aca="false">SUBSTITUTE(SUBSTITUTE(SUBSTITUTE(SUBSTITUTE(SUBSTITUTE(Txt_Objet,"{cabinet}",Cab_Nom),"{societe}",IF($K$6481=0,"",INDEX(Clients!$E$2:$E$501,$K$6481)&amp;"")),"{date_effet}",$K$6483),"{hausse}",$K$6484),"{civilite}",$K$6482)</f>
        <v>Objet : révision de nos honoraires au 1er janvier 2027</v>
      </c>
      <c r="C6498" s="34"/>
      <c r="D6498" s="34"/>
      <c r="E6498" s="34"/>
      <c r="F6498" s="34"/>
      <c r="J6498" s="25"/>
      <c r="K6498" s="25"/>
      <c r="L6498" s="25"/>
      <c r="M6498" s="25"/>
      <c r="N6498" s="25"/>
      <c r="O6498" s="25"/>
    </row>
    <row r="6499" customFormat="false" ht="13.5" hidden="false" customHeight="true" outlineLevel="0" collapsed="false">
      <c r="B6499" s="10"/>
      <c r="C6499" s="10"/>
      <c r="D6499" s="10"/>
      <c r="E6499" s="10"/>
      <c r="F6499" s="10"/>
      <c r="J6499" s="25"/>
      <c r="K6499" s="25"/>
      <c r="L6499" s="25"/>
      <c r="M6499" s="25"/>
      <c r="N6499" s="25"/>
      <c r="O6499" s="25"/>
    </row>
    <row r="6500" customFormat="false" ht="15" hidden="false" customHeight="false" outlineLevel="0" collapsed="false">
      <c r="B6500" s="10" t="str">
        <f aca="false">$K$6482&amp;","</f>
        <v>Madame, Monsieur,</v>
      </c>
      <c r="C6500" s="10"/>
      <c r="D6500" s="10"/>
      <c r="E6500" s="10"/>
      <c r="F6500" s="10"/>
      <c r="J6500" s="25"/>
      <c r="K6500" s="25"/>
      <c r="L6500" s="25"/>
      <c r="M6500" s="25"/>
      <c r="N6500" s="25"/>
      <c r="O6500" s="25"/>
    </row>
    <row r="6501" customFormat="false" ht="6" hidden="false" customHeight="true" outlineLevel="0" collapsed="false">
      <c r="B6501" s="10"/>
      <c r="C6501" s="10"/>
      <c r="D6501" s="10"/>
      <c r="E6501" s="10"/>
      <c r="F6501" s="10"/>
      <c r="J6501" s="25"/>
      <c r="K6501" s="25"/>
      <c r="L6501" s="25"/>
      <c r="M6501" s="25"/>
      <c r="N6501" s="25"/>
      <c r="O6501" s="25"/>
    </row>
    <row r="6502" customFormat="false" ht="36.75" hidden="false" customHeight="true" outlineLevel="0" collapsed="false">
      <c r="B6502" s="37" t="str">
        <f aca="false">SUBSTITUTE(SUBSTITUTE(SUBSTITUTE(SUBSTITUTE(SUBSTITUTE(Txt_P1,"{cabinet}",Cab_Nom),"{societe}",IF($K$6481=0,"",INDEX(Clients!$E$2:$E$501,$K$6481)&amp;"")),"{date_effet}",$K$6483),"{hausse}",$K$6484),"{civilite}",$K$6482)</f>
        <v>Nous tenons tout d'abord à vous remercier pour la confiance que vous accordez à ALTHO EXPERTISE. Comme chaque année, et conformément aux dispositions de votre lettre de mission, nous procédons à la révision de nos honoraires.</v>
      </c>
      <c r="C6502" s="37"/>
      <c r="D6502" s="37"/>
      <c r="E6502" s="37"/>
      <c r="F6502" s="37"/>
      <c r="J6502" s="25"/>
      <c r="K6502" s="25"/>
      <c r="L6502" s="25"/>
      <c r="M6502" s="25"/>
      <c r="N6502" s="25"/>
      <c r="O6502" s="25"/>
    </row>
    <row r="6503" customFormat="false" ht="49.5" hidden="false" customHeight="true" outlineLevel="0" collapsed="false">
      <c r="B6503" s="37" t="str">
        <f aca="false">SUBSTITUTE(SUBSTITUTE(SUBSTITUTE(SUBSTITUTE(SUBSTITUTE(Txt_P2,"{cabinet}",Cab_Nom),"{societe}",IF($K$6481=0,"",INDEX(Clients!$E$2:$E$501,$K$6481)&amp;"")),"{date_effet}",$K$6483),"{hausse}",$K$6484),"{civilite}",$K$6482)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503" s="37"/>
      <c r="D6503" s="37"/>
      <c r="E6503" s="37"/>
      <c r="F6503" s="37"/>
      <c r="J6503" s="25"/>
      <c r="K6503" s="25"/>
      <c r="L6503" s="25"/>
      <c r="M6503" s="25"/>
      <c r="N6503" s="25"/>
      <c r="O6503" s="25"/>
    </row>
    <row r="6504" customFormat="false" ht="63" hidden="false" customHeight="true" outlineLevel="0" collapsed="false">
      <c r="B6504" s="37" t="str">
        <f aca="false">SUBSTITUTE(SUBSTITUTE(SUBSTITUTE(SUBSTITUTE(SUBSTITUTE(Txt_P3,"{cabinet}",Cab_Nom),"{societe}",IF($K$6481=0,"",INDEX(Clients!$E$2:$E$501,$K$6481)&amp;"")),"{date_effet}",$K$6483),"{hausse}",$K$6484),"{civilite}",$K$6482)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504" s="37"/>
      <c r="D6504" s="37"/>
      <c r="E6504" s="37"/>
      <c r="F6504" s="37"/>
      <c r="J6504" s="25"/>
      <c r="K6504" s="25"/>
      <c r="L6504" s="25"/>
      <c r="M6504" s="25"/>
      <c r="N6504" s="25"/>
      <c r="O6504" s="25"/>
    </row>
    <row r="6505" customFormat="false" ht="24" hidden="false" customHeight="true" outlineLevel="0" collapsed="false">
      <c r="B6505" s="37" t="str">
        <f aca="false">SUBSTITUTE(SUBSTITUTE(SUBSTITUTE(SUBSTITUTE(SUBSTITUTE(Txt_P4,"{cabinet}",Cab_Nom),"{societe}",IF($K$6481=0,"",INDEX(Clients!$E$2:$E$501,$K$6481)&amp;"")),"{date_effet}",$K$6483),"{hausse}",$K$6484),"{civilite}",$K$6482)</f>
        <v>À compter du 1er janvier 2027, vos honoraires annuels hors taxes évolueront ainsi (évolution globale : ) :</v>
      </c>
      <c r="C6505" s="37"/>
      <c r="D6505" s="37"/>
      <c r="E6505" s="37"/>
      <c r="F6505" s="37"/>
      <c r="J6505" s="25"/>
      <c r="K6505" s="25"/>
      <c r="L6505" s="25"/>
      <c r="M6505" s="25"/>
      <c r="N6505" s="25"/>
      <c r="O6505" s="25"/>
    </row>
    <row r="6506" customFormat="false" ht="3.75" hidden="false" customHeight="true" outlineLevel="0" collapsed="false">
      <c r="B6506" s="10"/>
      <c r="C6506" s="10"/>
      <c r="D6506" s="10"/>
      <c r="E6506" s="10"/>
      <c r="F6506" s="10"/>
      <c r="J6506" s="25"/>
      <c r="K6506" s="25"/>
      <c r="L6506" s="25"/>
      <c r="M6506" s="25"/>
      <c r="N6506" s="25"/>
      <c r="O6506" s="25"/>
    </row>
    <row r="6507" customFormat="false" ht="18" hidden="false" customHeight="true" outlineLevel="0" collapsed="false">
      <c r="B6507" s="38" t="s">
        <v>148</v>
      </c>
      <c r="C6507" s="39" t="s">
        <v>149</v>
      </c>
      <c r="D6507" s="39" t="s">
        <v>150</v>
      </c>
      <c r="E6507" s="39" t="s">
        <v>151</v>
      </c>
      <c r="F6507" s="39" t="s">
        <v>109</v>
      </c>
      <c r="J6507" s="25" t="s">
        <v>152</v>
      </c>
      <c r="K6507" s="25" t="s">
        <v>153</v>
      </c>
      <c r="L6507" s="25" t="s">
        <v>154</v>
      </c>
      <c r="M6507" s="25" t="s">
        <v>155</v>
      </c>
      <c r="N6507" s="25" t="s">
        <v>156</v>
      </c>
      <c r="O6507" s="25" t="s">
        <v>157</v>
      </c>
    </row>
    <row r="6508" customFormat="false" ht="16.5" hidden="false" customHeight="true" outlineLevel="0" collapsed="false">
      <c r="B6508" s="40" t="str">
        <f aca="false">IFERROR(INDEX($J$6508:$J$6511,MATCH($O6508,$N$6508:$N$6511,0)),"")</f>
        <v/>
      </c>
      <c r="C6508" s="41" t="str">
        <f aca="false">IFERROR(INDEX($K$6508:$K$6511,MATCH($O6508,$N$6508:$N$6511,0)),"")</f>
        <v/>
      </c>
      <c r="D6508" s="42" t="str">
        <f aca="false">IF(OR(E6508="",N(C6508)=0),"",E6508/C6508-1)</f>
        <v/>
      </c>
      <c r="E6508" s="41" t="str">
        <f aca="false">IFERROR(INDEX($L$6508:$L$6511,MATCH($O6508,$N$6508:$N$6511,0)),"")</f>
        <v/>
      </c>
      <c r="F6508" s="41" t="str">
        <f aca="false">IF(E6508="","",E6508-C6508)</f>
        <v/>
      </c>
      <c r="J6508" s="25" t="str">
        <f aca="false">Lib_Compta</f>
        <v>Mission comptable (tenue, révision, bilan, liasse fiscale)</v>
      </c>
      <c r="K6508" s="25" t="n">
        <f aca="false">IF($K$6481=0,0,N(INDEX(Clients!$K$2:$K$501,$K$6481)))</f>
        <v>0</v>
      </c>
      <c r="L6508" s="25" t="n">
        <f aca="false">IF($K$6481=0,0,N(INDEX(Clients!$P$2:$P$501,$K$6481)))</f>
        <v>0</v>
      </c>
      <c r="M6508" s="25" t="n">
        <f aca="false">IF(OR(K6508&lt;&gt;0,L6508&lt;&gt;0),1,0)</f>
        <v>0</v>
      </c>
      <c r="N6508" s="25" t="str">
        <f aca="false">IF(M6508=1,SUM($M$6508:M6508),"")</f>
        <v/>
      </c>
      <c r="O6508" s="25" t="n">
        <v>1</v>
      </c>
    </row>
    <row r="6509" customFormat="false" ht="16.5" hidden="false" customHeight="true" outlineLevel="0" collapsed="false">
      <c r="B6509" s="40" t="str">
        <f aca="false">IFERROR(INDEX($J$6508:$J$6511,MATCH($O6509,$N$6508:$N$6511,0)),"")</f>
        <v/>
      </c>
      <c r="C6509" s="41" t="str">
        <f aca="false">IFERROR(INDEX($K$6508:$K$6511,MATCH($O6509,$N$6508:$N$6511,0)),"")</f>
        <v/>
      </c>
      <c r="D6509" s="42" t="str">
        <f aca="false">IF(OR(E6509="",N(C6509)=0),"",E6509/C6509-1)</f>
        <v/>
      </c>
      <c r="E6509" s="41" t="str">
        <f aca="false">IFERROR(INDEX($L$6508:$L$6511,MATCH($O6509,$N$6508:$N$6511,0)),"")</f>
        <v/>
      </c>
      <c r="F6509" s="41" t="str">
        <f aca="false">IF(E6509="","",E6509-C6509)</f>
        <v/>
      </c>
      <c r="J6509" s="25" t="str">
        <f aca="false">Lib_Paye</f>
        <v>Mission sociale (bulletins de paie, DSN, déclarations sociales)</v>
      </c>
      <c r="K6509" s="25" t="n">
        <f aca="false">IF($K$6481=0,0,N(INDEX(Clients!$L$2:$L$501,$K$6481)))</f>
        <v>0</v>
      </c>
      <c r="L6509" s="25" t="n">
        <f aca="false">IF($K$6481=0,0,N(INDEX(Clients!$Q$2:$Q$501,$K$6481)))</f>
        <v>0</v>
      </c>
      <c r="M6509" s="25" t="n">
        <f aca="false">IF(OR(K6509&lt;&gt;0,L6509&lt;&gt;0),1,0)</f>
        <v>0</v>
      </c>
      <c r="N6509" s="25" t="str">
        <f aca="false">IF(M6509=1,SUM($M$6508:M6509),"")</f>
        <v/>
      </c>
      <c r="O6509" s="25" t="n">
        <v>2</v>
      </c>
    </row>
    <row r="6510" customFormat="false" ht="16.5" hidden="false" customHeight="true" outlineLevel="0" collapsed="false">
      <c r="B6510" s="40" t="str">
        <f aca="false">IFERROR(INDEX($J$6508:$J$6511,MATCH($O6510,$N$6508:$N$6511,0)),"")</f>
        <v/>
      </c>
      <c r="C6510" s="41" t="str">
        <f aca="false">IFERROR(INDEX($K$6508:$K$6511,MATCH($O6510,$N$6508:$N$6511,0)),"")</f>
        <v/>
      </c>
      <c r="D6510" s="42" t="str">
        <f aca="false">IF(OR(E6510="",N(C6510)=0),"",E6510/C6510-1)</f>
        <v/>
      </c>
      <c r="E6510" s="41" t="str">
        <f aca="false">IFERROR(INDEX($L$6508:$L$6511,MATCH($O6510,$N$6508:$N$6511,0)),"")</f>
        <v/>
      </c>
      <c r="F6510" s="41" t="str">
        <f aca="false">IF(E6510="","",E6510-C6510)</f>
        <v/>
      </c>
      <c r="J6510" s="25" t="str">
        <f aca="false">Lib_Jur</f>
        <v>Mission juridique (approbation des comptes, secrétariat juridique)</v>
      </c>
      <c r="K6510" s="25" t="n">
        <f aca="false">IF($K$6481=0,0,N(INDEX(Clients!$M$2:$M$501,$K$6481)))</f>
        <v>0</v>
      </c>
      <c r="L6510" s="25" t="n">
        <f aca="false">IF($K$6481=0,0,N(INDEX(Clients!$R$2:$R$501,$K$6481)))</f>
        <v>0</v>
      </c>
      <c r="M6510" s="25" t="n">
        <f aca="false">IF(OR(K6510&lt;&gt;0,L6510&lt;&gt;0),1,0)</f>
        <v>0</v>
      </c>
      <c r="N6510" s="25" t="str">
        <f aca="false">IF(M6510=1,SUM($M$6508:M6510),"")</f>
        <v/>
      </c>
      <c r="O6510" s="25" t="n">
        <v>3</v>
      </c>
    </row>
    <row r="6511" customFormat="false" ht="16.5" hidden="false" customHeight="true" outlineLevel="0" collapsed="false">
      <c r="B6511" s="40" t="str">
        <f aca="false">IFERROR(INDEX($J$6508:$J$6511,MATCH($O6511,$N$6508:$N$6511,0)),"")</f>
        <v/>
      </c>
      <c r="C6511" s="41" t="str">
        <f aca="false">IFERROR(INDEX($K$6508:$K$6511,MATCH($O6511,$N$6508:$N$6511,0)),"")</f>
        <v/>
      </c>
      <c r="D6511" s="42" t="str">
        <f aca="false">IF(OR(E6511="",N(C6511)=0),"",E6511/C6511-1)</f>
        <v/>
      </c>
      <c r="E6511" s="41" t="str">
        <f aca="false">IFERROR(INDEX($L$6508:$L$6511,MATCH($O6511,$N$6508:$N$6511,0)),"")</f>
        <v/>
      </c>
      <c r="F6511" s="41" t="str">
        <f aca="false">IF(E6511="","",E6511-C6511)</f>
        <v/>
      </c>
      <c r="J6511" s="25" t="str">
        <f aca="false">Lib_PA</f>
        <v>Plateforme agréée – facturation électronique</v>
      </c>
      <c r="K6511" s="25" t="n">
        <f aca="false">IF($K$6481=0,0,N(INDEX(Clients!$N$2:$N$501,$K$6481)))</f>
        <v>0</v>
      </c>
      <c r="L6511" s="25" t="n">
        <f aca="false">IF($K$6481=0,0,N(INDEX(Clients!$S$2:$S$501,$K$6481)))</f>
        <v>0</v>
      </c>
      <c r="M6511" s="25" t="n">
        <f aca="false">IF(OR(K6511&lt;&gt;0,L6511&lt;&gt;0),1,0)</f>
        <v>0</v>
      </c>
      <c r="N6511" s="25" t="str">
        <f aca="false">IF(M6511=1,SUM($M$6508:M6511),"")</f>
        <v/>
      </c>
      <c r="O6511" s="25" t="n">
        <v>4</v>
      </c>
    </row>
    <row r="6512" customFormat="false" ht="18" hidden="false" customHeight="true" outlineLevel="0" collapsed="false">
      <c r="B6512" s="43" t="s">
        <v>158</v>
      </c>
      <c r="C6512" s="44" t="n">
        <f aca="false">SUM(K6508:K6511)</f>
        <v>0</v>
      </c>
      <c r="D6512" s="45" t="str">
        <f aca="false">IF(N(C6512)=0,"",E6512/C6512-1)</f>
        <v/>
      </c>
      <c r="E6512" s="44" t="n">
        <f aca="false">SUM(L6508:L6511)</f>
        <v>0</v>
      </c>
      <c r="F6512" s="44" t="n">
        <f aca="false">E6512-C6512</f>
        <v>0</v>
      </c>
    </row>
    <row r="6513" customFormat="false" ht="15" hidden="false" customHeight="false" outlineLevel="0" collapsed="false">
      <c r="B6513" s="46" t="str">
        <f aca="false">IF(N(Nb_Mensualites)=0,"","Soit "&amp;FIXED(E6512/Nb_Mensualites,2)&amp;" € HT par échéance ("&amp;Nb_Mensualites&amp;" échéances), "&amp;FIXED(E6512/Nb_Mensualites*(1+Taux_TVA),2)&amp;" € TTC.")</f>
        <v>Soit 0.00 € HT par échéance (12 échéances), 0.00 € TTC.</v>
      </c>
      <c r="C6513" s="46"/>
      <c r="D6513" s="46"/>
      <c r="E6513" s="46"/>
      <c r="F6513" s="46"/>
    </row>
    <row r="6514" customFormat="false" ht="7.5" hidden="false" customHeight="true" outlineLevel="0" collapsed="false">
      <c r="B6514" s="10"/>
      <c r="C6514" s="10"/>
      <c r="D6514" s="10"/>
      <c r="E6514" s="10"/>
      <c r="F6514" s="10"/>
    </row>
    <row r="6515" customFormat="false" ht="36.75" hidden="false" customHeight="true" outlineLevel="0" collapsed="false">
      <c r="B6515" s="37" t="str">
        <f aca="false">SUBSTITUTE(SUBSTITUTE(SUBSTITUTE(SUBSTITUTE(SUBSTITUTE(Txt_P5,"{cabinet}",Cab_Nom),"{societe}",IF($K$6481=0,"",INDEX(Clients!$E$2:$E$501,$K$6481)&amp;"")),"{date_effet}",$K$6483),"{hausse}",$K$6484),"{civilite}",$K$6482)</f>
        <v>Les autres conditions de votre lettre de mission demeurent inchangées. Les nouveaux montants seront appliqués automatiquement sur vos prochaines factures et échéances de prélèvement.</v>
      </c>
      <c r="C6515" s="37"/>
      <c r="D6515" s="37"/>
      <c r="E6515" s="37"/>
      <c r="F6515" s="37"/>
    </row>
    <row r="6516" customFormat="false" ht="36.75" hidden="false" customHeight="true" outlineLevel="0" collapsed="false">
      <c r="B6516" s="37" t="str">
        <f aca="false">SUBSTITUTE(SUBSTITUTE(SUBSTITUTE(SUBSTITUTE(SUBSTITUTE(Txt_P6,"{cabinet}",Cab_Nom),"{societe}",IF($K$6481=0,"",INDEX(Clients!$E$2:$E$501,$K$6481)&amp;"")),"{date_effet}",$K$6483),"{hausse}",$K$6484),"{civilite}",$K$6482)</f>
        <v>Votre interlocuteur habituel reste à votre entière disposition pour répondre à vos questions et faire le point sur l'évolution de vos besoins.</v>
      </c>
      <c r="C6516" s="37"/>
      <c r="D6516" s="37"/>
      <c r="E6516" s="37"/>
      <c r="F6516" s="37"/>
    </row>
    <row r="6517" customFormat="false" ht="24" hidden="false" customHeight="true" outlineLevel="0" collapsed="false">
      <c r="B6517" s="37" t="str">
        <f aca="false">SUBSTITUTE(SUBSTITUTE(SUBSTITUTE(SUBSTITUTE(SUBSTITUTE(Txt_Politesse,"{cabinet}",Cab_Nom),"{societe}",IF($K$6481=0,"",INDEX(Clients!$E$2:$E$501,$K$6481)&amp;"")),"{date_effet}",$K$6483),"{hausse}",$K$6484),"{civilite}",$K$6482)</f>
        <v>Nous vous prions d'agréer, Madame, Monsieur, l'expression de nos salutations distinguées.</v>
      </c>
      <c r="C6517" s="37"/>
      <c r="D6517" s="37"/>
      <c r="E6517" s="37"/>
      <c r="F6517" s="37"/>
    </row>
    <row r="6518" customFormat="false" ht="15" hidden="false" customHeight="false" outlineLevel="0" collapsed="false">
      <c r="B6518" s="10"/>
      <c r="C6518" s="10"/>
      <c r="D6518" s="10"/>
      <c r="E6518" s="10"/>
      <c r="F6518" s="10"/>
    </row>
    <row r="6519" customFormat="false" ht="15" hidden="false" customHeight="false" outlineLevel="0" collapsed="false">
      <c r="B6519" s="10"/>
      <c r="C6519" s="10"/>
      <c r="D6519" s="34" t="str">
        <f aca="false">Signataire</f>
        <v>Prénom NOM</v>
      </c>
      <c r="E6519" s="34"/>
      <c r="F6519" s="34"/>
    </row>
    <row r="6520" customFormat="false" ht="15" hidden="false" customHeight="false" outlineLevel="0" collapsed="false">
      <c r="B6520" s="10"/>
      <c r="C6520" s="10"/>
      <c r="D6520" s="47" t="str">
        <f aca="false">Signataire_Titre</f>
        <v>Expert-comptable associé</v>
      </c>
      <c r="E6520" s="47"/>
      <c r="F6520" s="47"/>
    </row>
    <row r="6521" customFormat="false" ht="15.75" hidden="false" customHeight="true" outlineLevel="0" collapsed="false">
      <c r="B6521" s="10"/>
      <c r="C6521" s="10"/>
      <c r="D6521" s="10"/>
      <c r="E6521" s="10"/>
      <c r="F6521" s="10"/>
    </row>
    <row r="6522" customFormat="false" ht="15.75" hidden="false" customHeight="true" outlineLevel="0" collapsed="false">
      <c r="B6522" s="10"/>
      <c r="C6522" s="10"/>
      <c r="D6522" s="10"/>
      <c r="E6522" s="10"/>
      <c r="F6522" s="10"/>
    </row>
    <row r="6523" customFormat="false" ht="15.75" hidden="false" customHeight="true" outlineLevel="0" collapsed="false">
      <c r="B6523" s="10"/>
      <c r="C6523" s="10"/>
      <c r="D6523" s="10"/>
      <c r="E6523" s="10"/>
      <c r="F6523" s="10"/>
    </row>
    <row r="6524" customFormat="false" ht="15.75" hidden="false" customHeight="true" outlineLevel="0" collapsed="false">
      <c r="B6524" s="10"/>
      <c r="C6524" s="10"/>
      <c r="D6524" s="10"/>
      <c r="E6524" s="10"/>
      <c r="F6524" s="10"/>
    </row>
    <row r="6525" customFormat="false" ht="24" hidden="false" customHeight="true" outlineLevel="0" collapsed="false">
      <c r="B6525" s="48" t="str">
        <f aca="false">Cab_Mentions</f>
        <v>ALTHO EXPERTISE · SAS au capital de 10 000 € · RCS Pontoise 919 706 325 · TVA FR62919706325 · Société d'expertise comptable inscrite au Tableau de l'Ordre des experts-comptables de Paris Île-de-France</v>
      </c>
      <c r="C6525" s="48"/>
      <c r="D6525" s="48"/>
      <c r="E6525" s="48"/>
      <c r="F6525" s="48"/>
    </row>
    <row r="6526" customFormat="false" ht="15" hidden="false" customHeight="false" outlineLevel="0" collapsed="false">
      <c r="B6526" s="10"/>
      <c r="C6526" s="10"/>
      <c r="D6526" s="10"/>
      <c r="E6526" s="10"/>
      <c r="F6526" s="10"/>
      <c r="J6526" s="25" t="s">
        <v>142</v>
      </c>
      <c r="K6526" s="25" t="n">
        <f aca="false">IFERROR(MATCH(146,Clients!$Z$2:$Z$501,0),0)</f>
        <v>0</v>
      </c>
      <c r="L6526" s="25"/>
      <c r="M6526" s="25"/>
      <c r="N6526" s="25"/>
      <c r="O6526" s="25"/>
    </row>
    <row r="6527" customFormat="false" ht="21.75" hidden="false" customHeight="true" outlineLevel="0" collapsed="false">
      <c r="B6527" s="26" t="str">
        <f aca="false">Cab_Nom</f>
        <v>ALTHO EXPERTISE</v>
      </c>
      <c r="C6527" s="26"/>
      <c r="D6527" s="10"/>
      <c r="E6527" s="27" t="str">
        <f aca="false">IF($K$6526=0,"","Réf. client : "&amp;INDEX(Clients!$A$2:$A$501,$K$6526))</f>
        <v/>
      </c>
      <c r="F6527" s="27"/>
      <c r="J6527" s="25" t="s">
        <v>144</v>
      </c>
      <c r="K6527" s="25" t="str">
        <f aca="false">IF(IF($K$6526=0,"",INDEX(Clients!$B$2:$B$501,$K$6526)&amp;"")="Mme","Madame",IF(IF($K$6526=0,"",INDEX(Clients!$B$2:$B$501,$K$6526)&amp;"")="M.","Monsieur","Madame, Monsieur"))</f>
        <v>Madame, Monsieur</v>
      </c>
      <c r="L6527" s="25"/>
      <c r="M6527" s="25"/>
      <c r="N6527" s="25"/>
      <c r="O6527" s="25"/>
    </row>
    <row r="6528" customFormat="false" ht="15" hidden="false" customHeight="false" outlineLevel="0" collapsed="false">
      <c r="B6528" s="29" t="str">
        <f aca="false">Cab_Adr1</f>
        <v>141 rue Charles de Gaulle</v>
      </c>
      <c r="C6528" s="29"/>
      <c r="D6528" s="10"/>
      <c r="E6528" s="10"/>
      <c r="F6528" s="10"/>
      <c r="J6528" s="25" t="s">
        <v>145</v>
      </c>
      <c r="K6528" s="25" t="str">
        <f aca="false">DAY(Date_Effet)&amp;IF(DAY(Date_Effet)=1,"er","")&amp;" "&amp;INDEX(Liste_Mois,MONTH(Date_Effet))&amp;" "&amp;YEAR(Date_Effet)</f>
        <v>1er janvier 2027</v>
      </c>
      <c r="L6528" s="25"/>
      <c r="M6528" s="25"/>
      <c r="N6528" s="25"/>
      <c r="O6528" s="25"/>
    </row>
    <row r="6529" customFormat="false" ht="15" hidden="false" customHeight="false" outlineLevel="0" collapsed="false">
      <c r="B6529" s="29" t="str">
        <f aca="false">Cab_CPVille</f>
        <v>95130 LE PLESSIS-BOUCHARD</v>
      </c>
      <c r="C6529" s="29"/>
      <c r="D6529" s="10"/>
      <c r="E6529" s="10"/>
      <c r="F6529" s="10"/>
      <c r="J6529" s="25" t="s">
        <v>146</v>
      </c>
      <c r="K6529" s="25" t="str">
        <f aca="false">IF(SUM($K$6553:$K$6556)=0,"",FIXED((SUM($L$6553:$L$6556)/SUM($K$6553:$K$6556)-1)*100,1)&amp;" %")</f>
        <v/>
      </c>
      <c r="L6529" s="25"/>
      <c r="M6529" s="25"/>
      <c r="N6529" s="25"/>
      <c r="O6529" s="25"/>
    </row>
    <row r="6530" customFormat="false" ht="15" hidden="false" customHeight="false" outlineLevel="0" collapsed="false">
      <c r="B6530" s="29" t="str">
        <f aca="false">Cab_Contact</f>
        <v>Tél. 01 34 14 53 45  ·  altho@altho-experts.com  ·  altho-experts.com</v>
      </c>
      <c r="C6530" s="29"/>
      <c r="D6530" s="10"/>
      <c r="E6530" s="10"/>
      <c r="F6530" s="10"/>
      <c r="J6530" s="25"/>
      <c r="K6530" s="25"/>
      <c r="L6530" s="25"/>
      <c r="M6530" s="25"/>
      <c r="N6530" s="25"/>
      <c r="O6530" s="25"/>
    </row>
    <row r="6531" customFormat="false" ht="6" hidden="false" customHeight="true" outlineLevel="0" collapsed="false">
      <c r="B6531" s="32"/>
      <c r="C6531" s="32"/>
      <c r="D6531" s="32"/>
      <c r="E6531" s="32"/>
      <c r="F6531" s="32"/>
      <c r="J6531" s="25"/>
      <c r="K6531" s="25"/>
      <c r="L6531" s="25"/>
      <c r="M6531" s="25"/>
      <c r="N6531" s="25"/>
      <c r="O6531" s="25"/>
    </row>
    <row r="6532" customFormat="false" ht="13.5" hidden="false" customHeight="true" outlineLevel="0" collapsed="false">
      <c r="B6532" s="10"/>
      <c r="C6532" s="10"/>
      <c r="D6532" s="10"/>
      <c r="E6532" s="10"/>
      <c r="F6532" s="10"/>
      <c r="J6532" s="25"/>
      <c r="K6532" s="25"/>
      <c r="L6532" s="25"/>
      <c r="M6532" s="25"/>
      <c r="N6532" s="25"/>
      <c r="O6532" s="25"/>
    </row>
    <row r="6533" customFormat="false" ht="13.5" hidden="false" customHeight="true" outlineLevel="0" collapsed="false">
      <c r="B6533" s="10"/>
      <c r="C6533" s="10"/>
      <c r="D6533" s="10"/>
      <c r="E6533" s="10"/>
      <c r="F6533" s="10"/>
      <c r="J6533" s="25"/>
      <c r="K6533" s="25"/>
      <c r="L6533" s="25"/>
      <c r="M6533" s="25"/>
      <c r="N6533" s="25"/>
      <c r="O6533" s="25"/>
    </row>
    <row r="6534" customFormat="false" ht="13.5" hidden="false" customHeight="true" outlineLevel="0" collapsed="false">
      <c r="B6534" s="10"/>
      <c r="C6534" s="10"/>
      <c r="D6534" s="10"/>
      <c r="E6534" s="10"/>
      <c r="F6534" s="10"/>
      <c r="J6534" s="25"/>
      <c r="K6534" s="25"/>
      <c r="L6534" s="25"/>
      <c r="M6534" s="25"/>
      <c r="N6534" s="25"/>
      <c r="O6534" s="25"/>
    </row>
    <row r="6535" customFormat="false" ht="15" hidden="false" customHeight="true" outlineLevel="0" collapsed="false">
      <c r="B6535" s="10"/>
      <c r="C6535" s="10"/>
      <c r="D6535" s="34" t="str">
        <f aca="false">IF($K$6526=0,"",INDEX(Clients!$E$2:$E$501,$K$6526)&amp;"")</f>
        <v/>
      </c>
      <c r="E6535" s="34"/>
      <c r="F6535" s="34"/>
      <c r="J6535" s="25"/>
      <c r="K6535" s="25"/>
      <c r="L6535" s="25"/>
      <c r="M6535" s="25"/>
      <c r="N6535" s="25"/>
      <c r="O6535" s="25"/>
    </row>
    <row r="6536" customFormat="false" ht="15" hidden="false" customHeight="true" outlineLevel="0" collapsed="false">
      <c r="B6536" s="10"/>
      <c r="C6536" s="10"/>
      <c r="D6536" s="35" t="str">
        <f aca="false">IF(IF($K$6526=0,"",INDEX(Clients!$D$2:$D$501,$K$6526)&amp;"")="","","À l'attention de "&amp;TRIM(IF($K$6526=0,"",INDEX(Clients!$B$2:$B$501,$K$6526)&amp;"")&amp;" "&amp;IF($K$6526=0,"",INDEX(Clients!$C$2:$C$501,$K$6526)&amp;"")&amp;" "&amp;IF($K$6526=0,"",INDEX(Clients!$D$2:$D$501,$K$6526)&amp;"")))</f>
        <v/>
      </c>
      <c r="E6536" s="35"/>
      <c r="F6536" s="35"/>
      <c r="J6536" s="25"/>
      <c r="K6536" s="25"/>
      <c r="L6536" s="25"/>
      <c r="M6536" s="25"/>
      <c r="N6536" s="25"/>
      <c r="O6536" s="25"/>
    </row>
    <row r="6537" customFormat="false" ht="15" hidden="false" customHeight="true" outlineLevel="0" collapsed="false">
      <c r="B6537" s="10"/>
      <c r="C6537" s="10"/>
      <c r="D6537" s="35" t="str">
        <f aca="false">IF($K$6526=0,"",INDEX(Clients!$F$2:$F$501,$K$6526)&amp;"")</f>
        <v/>
      </c>
      <c r="E6537" s="35"/>
      <c r="F6537" s="35"/>
      <c r="J6537" s="25"/>
      <c r="K6537" s="25"/>
      <c r="L6537" s="25"/>
      <c r="M6537" s="25"/>
      <c r="N6537" s="25"/>
      <c r="O6537" s="25"/>
    </row>
    <row r="6538" customFormat="false" ht="15" hidden="false" customHeight="true" outlineLevel="0" collapsed="false">
      <c r="B6538" s="10"/>
      <c r="C6538" s="10"/>
      <c r="D6538" s="35" t="str">
        <f aca="false">IF(IF($K$6526=0,"",INDEX(Clients!$G$2:$G$501,$K$6526)&amp;"")="",TRIM(IF($K$6526=0,"",INDEX(Clients!$H$2:$H$501,$K$6526)&amp;"")&amp;" "&amp;UPPER(IF($K$6526=0,"",INDEX(Clients!$I$2:$I$501,$K$6526)&amp;""))),IF($K$6526=0,"",INDEX(Clients!$G$2:$G$501,$K$6526)&amp;""))</f>
        <v/>
      </c>
      <c r="E6538" s="35"/>
      <c r="F6538" s="35"/>
      <c r="J6538" s="25"/>
      <c r="K6538" s="25"/>
      <c r="L6538" s="25"/>
      <c r="M6538" s="25"/>
      <c r="N6538" s="25"/>
      <c r="O6538" s="25"/>
    </row>
    <row r="6539" customFormat="false" ht="15" hidden="false" customHeight="true" outlineLevel="0" collapsed="false">
      <c r="B6539" s="10"/>
      <c r="C6539" s="10"/>
      <c r="D6539" s="35" t="str">
        <f aca="false">IF(IF($K$6526=0,"",INDEX(Clients!$G$2:$G$501,$K$6526)&amp;"")="","",TRIM(IF($K$6526=0,"",INDEX(Clients!$H$2:$H$501,$K$6526)&amp;"")&amp;" "&amp;UPPER(IF($K$6526=0,"",INDEX(Clients!$I$2:$I$501,$K$6526)&amp;""))))</f>
        <v/>
      </c>
      <c r="E6539" s="35"/>
      <c r="F6539" s="35"/>
      <c r="J6539" s="25"/>
      <c r="K6539" s="25"/>
      <c r="L6539" s="25"/>
      <c r="M6539" s="25"/>
      <c r="N6539" s="25"/>
      <c r="O6539" s="25"/>
    </row>
    <row r="6540" customFormat="false" ht="25.5" hidden="false" customHeight="true" outlineLevel="0" collapsed="false">
      <c r="B6540" s="10"/>
      <c r="C6540" s="10"/>
      <c r="D6540" s="10"/>
      <c r="E6540" s="10"/>
      <c r="F6540" s="10"/>
      <c r="J6540" s="25"/>
      <c r="K6540" s="25"/>
      <c r="L6540" s="25"/>
      <c r="M6540" s="25"/>
      <c r="N6540" s="25"/>
      <c r="O6540" s="25"/>
    </row>
    <row r="6541" customFormat="false" ht="15" hidden="false" customHeight="false" outlineLevel="0" collapsed="false">
      <c r="B6541" s="10"/>
      <c r="C6541" s="10"/>
      <c r="D6541" s="36" t="str">
        <f aca="false">Cab_Ville&amp;", le "&amp;DAY(Date_Courrier)&amp;IF(DAY(Date_Courrier)=1,"er","")&amp;" "&amp;INDEX(Liste_Mois,MONTH(Date_Courrier))&amp;" "&amp;YEAR(Date_Courrier)</f>
        <v>Le Plessis-Bouchard, le 22 septembre 2026</v>
      </c>
      <c r="E6541" s="36"/>
      <c r="F6541" s="36"/>
      <c r="J6541" s="25"/>
      <c r="K6541" s="25"/>
      <c r="L6541" s="25"/>
      <c r="M6541" s="25"/>
      <c r="N6541" s="25"/>
      <c r="O6541" s="25"/>
    </row>
    <row r="6542" customFormat="false" ht="19.5" hidden="false" customHeight="true" outlineLevel="0" collapsed="false">
      <c r="B6542" s="10"/>
      <c r="C6542" s="10"/>
      <c r="D6542" s="10"/>
      <c r="E6542" s="10"/>
      <c r="F6542" s="10"/>
      <c r="J6542" s="25"/>
      <c r="K6542" s="25"/>
      <c r="L6542" s="25"/>
      <c r="M6542" s="25"/>
      <c r="N6542" s="25"/>
      <c r="O6542" s="25"/>
    </row>
    <row r="6543" customFormat="false" ht="15" hidden="false" customHeight="false" outlineLevel="0" collapsed="false">
      <c r="B6543" s="34" t="str">
        <f aca="false">SUBSTITUTE(SUBSTITUTE(SUBSTITUTE(SUBSTITUTE(SUBSTITUTE(Txt_Objet,"{cabinet}",Cab_Nom),"{societe}",IF($K$6526=0,"",INDEX(Clients!$E$2:$E$501,$K$6526)&amp;"")),"{date_effet}",$K$6528),"{hausse}",$K$6529),"{civilite}",$K$6527)</f>
        <v>Objet : révision de nos honoraires au 1er janvier 2027</v>
      </c>
      <c r="C6543" s="34"/>
      <c r="D6543" s="34"/>
      <c r="E6543" s="34"/>
      <c r="F6543" s="34"/>
      <c r="J6543" s="25"/>
      <c r="K6543" s="25"/>
      <c r="L6543" s="25"/>
      <c r="M6543" s="25"/>
      <c r="N6543" s="25"/>
      <c r="O6543" s="25"/>
    </row>
    <row r="6544" customFormat="false" ht="13.5" hidden="false" customHeight="true" outlineLevel="0" collapsed="false">
      <c r="B6544" s="10"/>
      <c r="C6544" s="10"/>
      <c r="D6544" s="10"/>
      <c r="E6544" s="10"/>
      <c r="F6544" s="10"/>
      <c r="J6544" s="25"/>
      <c r="K6544" s="25"/>
      <c r="L6544" s="25"/>
      <c r="M6544" s="25"/>
      <c r="N6544" s="25"/>
      <c r="O6544" s="25"/>
    </row>
    <row r="6545" customFormat="false" ht="15" hidden="false" customHeight="false" outlineLevel="0" collapsed="false">
      <c r="B6545" s="10" t="str">
        <f aca="false">$K$6527&amp;","</f>
        <v>Madame, Monsieur,</v>
      </c>
      <c r="C6545" s="10"/>
      <c r="D6545" s="10"/>
      <c r="E6545" s="10"/>
      <c r="F6545" s="10"/>
      <c r="J6545" s="25"/>
      <c r="K6545" s="25"/>
      <c r="L6545" s="25"/>
      <c r="M6545" s="25"/>
      <c r="N6545" s="25"/>
      <c r="O6545" s="25"/>
    </row>
    <row r="6546" customFormat="false" ht="6" hidden="false" customHeight="true" outlineLevel="0" collapsed="false">
      <c r="B6546" s="10"/>
      <c r="C6546" s="10"/>
      <c r="D6546" s="10"/>
      <c r="E6546" s="10"/>
      <c r="F6546" s="10"/>
      <c r="J6546" s="25"/>
      <c r="K6546" s="25"/>
      <c r="L6546" s="25"/>
      <c r="M6546" s="25"/>
      <c r="N6546" s="25"/>
      <c r="O6546" s="25"/>
    </row>
    <row r="6547" customFormat="false" ht="36.75" hidden="false" customHeight="true" outlineLevel="0" collapsed="false">
      <c r="B6547" s="37" t="str">
        <f aca="false">SUBSTITUTE(SUBSTITUTE(SUBSTITUTE(SUBSTITUTE(SUBSTITUTE(Txt_P1,"{cabinet}",Cab_Nom),"{societe}",IF($K$6526=0,"",INDEX(Clients!$E$2:$E$501,$K$6526)&amp;"")),"{date_effet}",$K$6528),"{hausse}",$K$6529),"{civilite}",$K$6527)</f>
        <v>Nous tenons tout d'abord à vous remercier pour la confiance que vous accordez à ALTHO EXPERTISE. Comme chaque année, et conformément aux dispositions de votre lettre de mission, nous procédons à la révision de nos honoraires.</v>
      </c>
      <c r="C6547" s="37"/>
      <c r="D6547" s="37"/>
      <c r="E6547" s="37"/>
      <c r="F6547" s="37"/>
      <c r="J6547" s="25"/>
      <c r="K6547" s="25"/>
      <c r="L6547" s="25"/>
      <c r="M6547" s="25"/>
      <c r="N6547" s="25"/>
      <c r="O6547" s="25"/>
    </row>
    <row r="6548" customFormat="false" ht="49.5" hidden="false" customHeight="true" outlineLevel="0" collapsed="false">
      <c r="B6548" s="37" t="str">
        <f aca="false">SUBSTITUTE(SUBSTITUTE(SUBSTITUTE(SUBSTITUTE(SUBSTITUTE(Txt_P2,"{cabinet}",Cab_Nom),"{societe}",IF($K$6526=0,"",INDEX(Clients!$E$2:$E$501,$K$6526)&amp;"")),"{date_effet}",$K$6528),"{hausse}",$K$6529),"{civilite}",$K$6527)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548" s="37"/>
      <c r="D6548" s="37"/>
      <c r="E6548" s="37"/>
      <c r="F6548" s="37"/>
      <c r="J6548" s="25"/>
      <c r="K6548" s="25"/>
      <c r="L6548" s="25"/>
      <c r="M6548" s="25"/>
      <c r="N6548" s="25"/>
      <c r="O6548" s="25"/>
    </row>
    <row r="6549" customFormat="false" ht="63" hidden="false" customHeight="true" outlineLevel="0" collapsed="false">
      <c r="B6549" s="37" t="str">
        <f aca="false">SUBSTITUTE(SUBSTITUTE(SUBSTITUTE(SUBSTITUTE(SUBSTITUTE(Txt_P3,"{cabinet}",Cab_Nom),"{societe}",IF($K$6526=0,"",INDEX(Clients!$E$2:$E$501,$K$6526)&amp;"")),"{date_effet}",$K$6528),"{hausse}",$K$6529),"{civilite}",$K$6527)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549" s="37"/>
      <c r="D6549" s="37"/>
      <c r="E6549" s="37"/>
      <c r="F6549" s="37"/>
      <c r="J6549" s="25"/>
      <c r="K6549" s="25"/>
      <c r="L6549" s="25"/>
      <c r="M6549" s="25"/>
      <c r="N6549" s="25"/>
      <c r="O6549" s="25"/>
    </row>
    <row r="6550" customFormat="false" ht="24" hidden="false" customHeight="true" outlineLevel="0" collapsed="false">
      <c r="B6550" s="37" t="str">
        <f aca="false">SUBSTITUTE(SUBSTITUTE(SUBSTITUTE(SUBSTITUTE(SUBSTITUTE(Txt_P4,"{cabinet}",Cab_Nom),"{societe}",IF($K$6526=0,"",INDEX(Clients!$E$2:$E$501,$K$6526)&amp;"")),"{date_effet}",$K$6528),"{hausse}",$K$6529),"{civilite}",$K$6527)</f>
        <v>À compter du 1er janvier 2027, vos honoraires annuels hors taxes évolueront ainsi (évolution globale : ) :</v>
      </c>
      <c r="C6550" s="37"/>
      <c r="D6550" s="37"/>
      <c r="E6550" s="37"/>
      <c r="F6550" s="37"/>
      <c r="J6550" s="25"/>
      <c r="K6550" s="25"/>
      <c r="L6550" s="25"/>
      <c r="M6550" s="25"/>
      <c r="N6550" s="25"/>
      <c r="O6550" s="25"/>
    </row>
    <row r="6551" customFormat="false" ht="3.75" hidden="false" customHeight="true" outlineLevel="0" collapsed="false">
      <c r="B6551" s="10"/>
      <c r="C6551" s="10"/>
      <c r="D6551" s="10"/>
      <c r="E6551" s="10"/>
      <c r="F6551" s="10"/>
      <c r="J6551" s="25"/>
      <c r="K6551" s="25"/>
      <c r="L6551" s="25"/>
      <c r="M6551" s="25"/>
      <c r="N6551" s="25"/>
      <c r="O6551" s="25"/>
    </row>
    <row r="6552" customFormat="false" ht="18" hidden="false" customHeight="true" outlineLevel="0" collapsed="false">
      <c r="B6552" s="38" t="s">
        <v>148</v>
      </c>
      <c r="C6552" s="39" t="s">
        <v>149</v>
      </c>
      <c r="D6552" s="39" t="s">
        <v>150</v>
      </c>
      <c r="E6552" s="39" t="s">
        <v>151</v>
      </c>
      <c r="F6552" s="39" t="s">
        <v>109</v>
      </c>
      <c r="J6552" s="25" t="s">
        <v>152</v>
      </c>
      <c r="K6552" s="25" t="s">
        <v>153</v>
      </c>
      <c r="L6552" s="25" t="s">
        <v>154</v>
      </c>
      <c r="M6552" s="25" t="s">
        <v>155</v>
      </c>
      <c r="N6552" s="25" t="s">
        <v>156</v>
      </c>
      <c r="O6552" s="25" t="s">
        <v>157</v>
      </c>
    </row>
    <row r="6553" customFormat="false" ht="16.5" hidden="false" customHeight="true" outlineLevel="0" collapsed="false">
      <c r="B6553" s="40" t="str">
        <f aca="false">IFERROR(INDEX($J$6553:$J$6556,MATCH($O6553,$N$6553:$N$6556,0)),"")</f>
        <v/>
      </c>
      <c r="C6553" s="41" t="str">
        <f aca="false">IFERROR(INDEX($K$6553:$K$6556,MATCH($O6553,$N$6553:$N$6556,0)),"")</f>
        <v/>
      </c>
      <c r="D6553" s="42" t="str">
        <f aca="false">IF(OR(E6553="",N(C6553)=0),"",E6553/C6553-1)</f>
        <v/>
      </c>
      <c r="E6553" s="41" t="str">
        <f aca="false">IFERROR(INDEX($L$6553:$L$6556,MATCH($O6553,$N$6553:$N$6556,0)),"")</f>
        <v/>
      </c>
      <c r="F6553" s="41" t="str">
        <f aca="false">IF(E6553="","",E6553-C6553)</f>
        <v/>
      </c>
      <c r="J6553" s="25" t="str">
        <f aca="false">Lib_Compta</f>
        <v>Mission comptable (tenue, révision, bilan, liasse fiscale)</v>
      </c>
      <c r="K6553" s="25" t="n">
        <f aca="false">IF($K$6526=0,0,N(INDEX(Clients!$K$2:$K$501,$K$6526)))</f>
        <v>0</v>
      </c>
      <c r="L6553" s="25" t="n">
        <f aca="false">IF($K$6526=0,0,N(INDEX(Clients!$P$2:$P$501,$K$6526)))</f>
        <v>0</v>
      </c>
      <c r="M6553" s="25" t="n">
        <f aca="false">IF(OR(K6553&lt;&gt;0,L6553&lt;&gt;0),1,0)</f>
        <v>0</v>
      </c>
      <c r="N6553" s="25" t="str">
        <f aca="false">IF(M6553=1,SUM($M$6553:M6553),"")</f>
        <v/>
      </c>
      <c r="O6553" s="25" t="n">
        <v>1</v>
      </c>
    </row>
    <row r="6554" customFormat="false" ht="16.5" hidden="false" customHeight="true" outlineLevel="0" collapsed="false">
      <c r="B6554" s="40" t="str">
        <f aca="false">IFERROR(INDEX($J$6553:$J$6556,MATCH($O6554,$N$6553:$N$6556,0)),"")</f>
        <v/>
      </c>
      <c r="C6554" s="41" t="str">
        <f aca="false">IFERROR(INDEX($K$6553:$K$6556,MATCH($O6554,$N$6553:$N$6556,0)),"")</f>
        <v/>
      </c>
      <c r="D6554" s="42" t="str">
        <f aca="false">IF(OR(E6554="",N(C6554)=0),"",E6554/C6554-1)</f>
        <v/>
      </c>
      <c r="E6554" s="41" t="str">
        <f aca="false">IFERROR(INDEX($L$6553:$L$6556,MATCH($O6554,$N$6553:$N$6556,0)),"")</f>
        <v/>
      </c>
      <c r="F6554" s="41" t="str">
        <f aca="false">IF(E6554="","",E6554-C6554)</f>
        <v/>
      </c>
      <c r="J6554" s="25" t="str">
        <f aca="false">Lib_Paye</f>
        <v>Mission sociale (bulletins de paie, DSN, déclarations sociales)</v>
      </c>
      <c r="K6554" s="25" t="n">
        <f aca="false">IF($K$6526=0,0,N(INDEX(Clients!$L$2:$L$501,$K$6526)))</f>
        <v>0</v>
      </c>
      <c r="L6554" s="25" t="n">
        <f aca="false">IF($K$6526=0,0,N(INDEX(Clients!$Q$2:$Q$501,$K$6526)))</f>
        <v>0</v>
      </c>
      <c r="M6554" s="25" t="n">
        <f aca="false">IF(OR(K6554&lt;&gt;0,L6554&lt;&gt;0),1,0)</f>
        <v>0</v>
      </c>
      <c r="N6554" s="25" t="str">
        <f aca="false">IF(M6554=1,SUM($M$6553:M6554),"")</f>
        <v/>
      </c>
      <c r="O6554" s="25" t="n">
        <v>2</v>
      </c>
    </row>
    <row r="6555" customFormat="false" ht="16.5" hidden="false" customHeight="true" outlineLevel="0" collapsed="false">
      <c r="B6555" s="40" t="str">
        <f aca="false">IFERROR(INDEX($J$6553:$J$6556,MATCH($O6555,$N$6553:$N$6556,0)),"")</f>
        <v/>
      </c>
      <c r="C6555" s="41" t="str">
        <f aca="false">IFERROR(INDEX($K$6553:$K$6556,MATCH($O6555,$N$6553:$N$6556,0)),"")</f>
        <v/>
      </c>
      <c r="D6555" s="42" t="str">
        <f aca="false">IF(OR(E6555="",N(C6555)=0),"",E6555/C6555-1)</f>
        <v/>
      </c>
      <c r="E6555" s="41" t="str">
        <f aca="false">IFERROR(INDEX($L$6553:$L$6556,MATCH($O6555,$N$6553:$N$6556,0)),"")</f>
        <v/>
      </c>
      <c r="F6555" s="41" t="str">
        <f aca="false">IF(E6555="","",E6555-C6555)</f>
        <v/>
      </c>
      <c r="J6555" s="25" t="str">
        <f aca="false">Lib_Jur</f>
        <v>Mission juridique (approbation des comptes, secrétariat juridique)</v>
      </c>
      <c r="K6555" s="25" t="n">
        <f aca="false">IF($K$6526=0,0,N(INDEX(Clients!$M$2:$M$501,$K$6526)))</f>
        <v>0</v>
      </c>
      <c r="L6555" s="25" t="n">
        <f aca="false">IF($K$6526=0,0,N(INDEX(Clients!$R$2:$R$501,$K$6526)))</f>
        <v>0</v>
      </c>
      <c r="M6555" s="25" t="n">
        <f aca="false">IF(OR(K6555&lt;&gt;0,L6555&lt;&gt;0),1,0)</f>
        <v>0</v>
      </c>
      <c r="N6555" s="25" t="str">
        <f aca="false">IF(M6555=1,SUM($M$6553:M6555),"")</f>
        <v/>
      </c>
      <c r="O6555" s="25" t="n">
        <v>3</v>
      </c>
    </row>
    <row r="6556" customFormat="false" ht="16.5" hidden="false" customHeight="true" outlineLevel="0" collapsed="false">
      <c r="B6556" s="40" t="str">
        <f aca="false">IFERROR(INDEX($J$6553:$J$6556,MATCH($O6556,$N$6553:$N$6556,0)),"")</f>
        <v/>
      </c>
      <c r="C6556" s="41" t="str">
        <f aca="false">IFERROR(INDEX($K$6553:$K$6556,MATCH($O6556,$N$6553:$N$6556,0)),"")</f>
        <v/>
      </c>
      <c r="D6556" s="42" t="str">
        <f aca="false">IF(OR(E6556="",N(C6556)=0),"",E6556/C6556-1)</f>
        <v/>
      </c>
      <c r="E6556" s="41" t="str">
        <f aca="false">IFERROR(INDEX($L$6553:$L$6556,MATCH($O6556,$N$6553:$N$6556,0)),"")</f>
        <v/>
      </c>
      <c r="F6556" s="41" t="str">
        <f aca="false">IF(E6556="","",E6556-C6556)</f>
        <v/>
      </c>
      <c r="J6556" s="25" t="str">
        <f aca="false">Lib_PA</f>
        <v>Plateforme agréée – facturation électronique</v>
      </c>
      <c r="K6556" s="25" t="n">
        <f aca="false">IF($K$6526=0,0,N(INDEX(Clients!$N$2:$N$501,$K$6526)))</f>
        <v>0</v>
      </c>
      <c r="L6556" s="25" t="n">
        <f aca="false">IF($K$6526=0,0,N(INDEX(Clients!$S$2:$S$501,$K$6526)))</f>
        <v>0</v>
      </c>
      <c r="M6556" s="25" t="n">
        <f aca="false">IF(OR(K6556&lt;&gt;0,L6556&lt;&gt;0),1,0)</f>
        <v>0</v>
      </c>
      <c r="N6556" s="25" t="str">
        <f aca="false">IF(M6556=1,SUM($M$6553:M6556),"")</f>
        <v/>
      </c>
      <c r="O6556" s="25" t="n">
        <v>4</v>
      </c>
    </row>
    <row r="6557" customFormat="false" ht="18" hidden="false" customHeight="true" outlineLevel="0" collapsed="false">
      <c r="B6557" s="43" t="s">
        <v>158</v>
      </c>
      <c r="C6557" s="44" t="n">
        <f aca="false">SUM(K6553:K6556)</f>
        <v>0</v>
      </c>
      <c r="D6557" s="45" t="str">
        <f aca="false">IF(N(C6557)=0,"",E6557/C6557-1)</f>
        <v/>
      </c>
      <c r="E6557" s="44" t="n">
        <f aca="false">SUM(L6553:L6556)</f>
        <v>0</v>
      </c>
      <c r="F6557" s="44" t="n">
        <f aca="false">E6557-C6557</f>
        <v>0</v>
      </c>
    </row>
    <row r="6558" customFormat="false" ht="15" hidden="false" customHeight="false" outlineLevel="0" collapsed="false">
      <c r="B6558" s="46" t="str">
        <f aca="false">IF(N(Nb_Mensualites)=0,"","Soit "&amp;FIXED(E6557/Nb_Mensualites,2)&amp;" € HT par échéance ("&amp;Nb_Mensualites&amp;" échéances), "&amp;FIXED(E6557/Nb_Mensualites*(1+Taux_TVA),2)&amp;" € TTC.")</f>
        <v>Soit 0.00 € HT par échéance (12 échéances), 0.00 € TTC.</v>
      </c>
      <c r="C6558" s="46"/>
      <c r="D6558" s="46"/>
      <c r="E6558" s="46"/>
      <c r="F6558" s="46"/>
    </row>
    <row r="6559" customFormat="false" ht="7.5" hidden="false" customHeight="true" outlineLevel="0" collapsed="false">
      <c r="B6559" s="10"/>
      <c r="C6559" s="10"/>
      <c r="D6559" s="10"/>
      <c r="E6559" s="10"/>
      <c r="F6559" s="10"/>
    </row>
    <row r="6560" customFormat="false" ht="36.75" hidden="false" customHeight="true" outlineLevel="0" collapsed="false">
      <c r="B6560" s="37" t="str">
        <f aca="false">SUBSTITUTE(SUBSTITUTE(SUBSTITUTE(SUBSTITUTE(SUBSTITUTE(Txt_P5,"{cabinet}",Cab_Nom),"{societe}",IF($K$6526=0,"",INDEX(Clients!$E$2:$E$501,$K$6526)&amp;"")),"{date_effet}",$K$6528),"{hausse}",$K$6529),"{civilite}",$K$6527)</f>
        <v>Les autres conditions de votre lettre de mission demeurent inchangées. Les nouveaux montants seront appliqués automatiquement sur vos prochaines factures et échéances de prélèvement.</v>
      </c>
      <c r="C6560" s="37"/>
      <c r="D6560" s="37"/>
      <c r="E6560" s="37"/>
      <c r="F6560" s="37"/>
    </row>
    <row r="6561" customFormat="false" ht="36.75" hidden="false" customHeight="true" outlineLevel="0" collapsed="false">
      <c r="B6561" s="37" t="str">
        <f aca="false">SUBSTITUTE(SUBSTITUTE(SUBSTITUTE(SUBSTITUTE(SUBSTITUTE(Txt_P6,"{cabinet}",Cab_Nom),"{societe}",IF($K$6526=0,"",INDEX(Clients!$E$2:$E$501,$K$6526)&amp;"")),"{date_effet}",$K$6528),"{hausse}",$K$6529),"{civilite}",$K$6527)</f>
        <v>Votre interlocuteur habituel reste à votre entière disposition pour répondre à vos questions et faire le point sur l'évolution de vos besoins.</v>
      </c>
      <c r="C6561" s="37"/>
      <c r="D6561" s="37"/>
      <c r="E6561" s="37"/>
      <c r="F6561" s="37"/>
    </row>
    <row r="6562" customFormat="false" ht="24" hidden="false" customHeight="true" outlineLevel="0" collapsed="false">
      <c r="B6562" s="37" t="str">
        <f aca="false">SUBSTITUTE(SUBSTITUTE(SUBSTITUTE(SUBSTITUTE(SUBSTITUTE(Txt_Politesse,"{cabinet}",Cab_Nom),"{societe}",IF($K$6526=0,"",INDEX(Clients!$E$2:$E$501,$K$6526)&amp;"")),"{date_effet}",$K$6528),"{hausse}",$K$6529),"{civilite}",$K$6527)</f>
        <v>Nous vous prions d'agréer, Madame, Monsieur, l'expression de nos salutations distinguées.</v>
      </c>
      <c r="C6562" s="37"/>
      <c r="D6562" s="37"/>
      <c r="E6562" s="37"/>
      <c r="F6562" s="37"/>
    </row>
    <row r="6563" customFormat="false" ht="15" hidden="false" customHeight="false" outlineLevel="0" collapsed="false">
      <c r="B6563" s="10"/>
      <c r="C6563" s="10"/>
      <c r="D6563" s="10"/>
      <c r="E6563" s="10"/>
      <c r="F6563" s="10"/>
    </row>
    <row r="6564" customFormat="false" ht="15" hidden="false" customHeight="false" outlineLevel="0" collapsed="false">
      <c r="B6564" s="10"/>
      <c r="C6564" s="10"/>
      <c r="D6564" s="34" t="str">
        <f aca="false">Signataire</f>
        <v>Prénom NOM</v>
      </c>
      <c r="E6564" s="34"/>
      <c r="F6564" s="34"/>
    </row>
    <row r="6565" customFormat="false" ht="15" hidden="false" customHeight="false" outlineLevel="0" collapsed="false">
      <c r="B6565" s="10"/>
      <c r="C6565" s="10"/>
      <c r="D6565" s="47" t="str">
        <f aca="false">Signataire_Titre</f>
        <v>Expert-comptable associé</v>
      </c>
      <c r="E6565" s="47"/>
      <c r="F6565" s="47"/>
    </row>
    <row r="6566" customFormat="false" ht="15.75" hidden="false" customHeight="true" outlineLevel="0" collapsed="false">
      <c r="B6566" s="10"/>
      <c r="C6566" s="10"/>
      <c r="D6566" s="10"/>
      <c r="E6566" s="10"/>
      <c r="F6566" s="10"/>
    </row>
    <row r="6567" customFormat="false" ht="15.75" hidden="false" customHeight="true" outlineLevel="0" collapsed="false">
      <c r="B6567" s="10"/>
      <c r="C6567" s="10"/>
      <c r="D6567" s="10"/>
      <c r="E6567" s="10"/>
      <c r="F6567" s="10"/>
    </row>
    <row r="6568" customFormat="false" ht="15.75" hidden="false" customHeight="true" outlineLevel="0" collapsed="false">
      <c r="B6568" s="10"/>
      <c r="C6568" s="10"/>
      <c r="D6568" s="10"/>
      <c r="E6568" s="10"/>
      <c r="F6568" s="10"/>
    </row>
    <row r="6569" customFormat="false" ht="15.75" hidden="false" customHeight="true" outlineLevel="0" collapsed="false">
      <c r="B6569" s="10"/>
      <c r="C6569" s="10"/>
      <c r="D6569" s="10"/>
      <c r="E6569" s="10"/>
      <c r="F6569" s="10"/>
    </row>
    <row r="6570" customFormat="false" ht="24" hidden="false" customHeight="true" outlineLevel="0" collapsed="false">
      <c r="B6570" s="48" t="str">
        <f aca="false">Cab_Mentions</f>
        <v>ALTHO EXPERTISE · SAS au capital de 10 000 € · RCS Pontoise 919 706 325 · TVA FR62919706325 · Société d'expertise comptable inscrite au Tableau de l'Ordre des experts-comptables de Paris Île-de-France</v>
      </c>
      <c r="C6570" s="48"/>
      <c r="D6570" s="48"/>
      <c r="E6570" s="48"/>
      <c r="F6570" s="48"/>
    </row>
    <row r="6571" customFormat="false" ht="15" hidden="false" customHeight="false" outlineLevel="0" collapsed="false">
      <c r="B6571" s="10"/>
      <c r="C6571" s="10"/>
      <c r="D6571" s="10"/>
      <c r="E6571" s="10"/>
      <c r="F6571" s="10"/>
      <c r="J6571" s="25" t="s">
        <v>142</v>
      </c>
      <c r="K6571" s="25" t="n">
        <f aca="false">IFERROR(MATCH(147,Clients!$Z$2:$Z$501,0),0)</f>
        <v>0</v>
      </c>
      <c r="L6571" s="25"/>
      <c r="M6571" s="25"/>
      <c r="N6571" s="25"/>
      <c r="O6571" s="25"/>
    </row>
    <row r="6572" customFormat="false" ht="21.75" hidden="false" customHeight="true" outlineLevel="0" collapsed="false">
      <c r="B6572" s="26" t="str">
        <f aca="false">Cab_Nom</f>
        <v>ALTHO EXPERTISE</v>
      </c>
      <c r="C6572" s="26"/>
      <c r="D6572" s="10"/>
      <c r="E6572" s="27" t="str">
        <f aca="false">IF($K$6571=0,"","Réf. client : "&amp;INDEX(Clients!$A$2:$A$501,$K$6571))</f>
        <v/>
      </c>
      <c r="F6572" s="27"/>
      <c r="J6572" s="25" t="s">
        <v>144</v>
      </c>
      <c r="K6572" s="25" t="str">
        <f aca="false">IF(IF($K$6571=0,"",INDEX(Clients!$B$2:$B$501,$K$6571)&amp;"")="Mme","Madame",IF(IF($K$6571=0,"",INDEX(Clients!$B$2:$B$501,$K$6571)&amp;"")="M.","Monsieur","Madame, Monsieur"))</f>
        <v>Madame, Monsieur</v>
      </c>
      <c r="L6572" s="25"/>
      <c r="M6572" s="25"/>
      <c r="N6572" s="25"/>
      <c r="O6572" s="25"/>
    </row>
    <row r="6573" customFormat="false" ht="15" hidden="false" customHeight="false" outlineLevel="0" collapsed="false">
      <c r="B6573" s="29" t="str">
        <f aca="false">Cab_Adr1</f>
        <v>141 rue Charles de Gaulle</v>
      </c>
      <c r="C6573" s="29"/>
      <c r="D6573" s="10"/>
      <c r="E6573" s="10"/>
      <c r="F6573" s="10"/>
      <c r="J6573" s="25" t="s">
        <v>145</v>
      </c>
      <c r="K6573" s="25" t="str">
        <f aca="false">DAY(Date_Effet)&amp;IF(DAY(Date_Effet)=1,"er","")&amp;" "&amp;INDEX(Liste_Mois,MONTH(Date_Effet))&amp;" "&amp;YEAR(Date_Effet)</f>
        <v>1er janvier 2027</v>
      </c>
      <c r="L6573" s="25"/>
      <c r="M6573" s="25"/>
      <c r="N6573" s="25"/>
      <c r="O6573" s="25"/>
    </row>
    <row r="6574" customFormat="false" ht="15" hidden="false" customHeight="false" outlineLevel="0" collapsed="false">
      <c r="B6574" s="29" t="str">
        <f aca="false">Cab_CPVille</f>
        <v>95130 LE PLESSIS-BOUCHARD</v>
      </c>
      <c r="C6574" s="29"/>
      <c r="D6574" s="10"/>
      <c r="E6574" s="10"/>
      <c r="F6574" s="10"/>
      <c r="J6574" s="25" t="s">
        <v>146</v>
      </c>
      <c r="K6574" s="25" t="str">
        <f aca="false">IF(SUM($K$6598:$K$6601)=0,"",FIXED((SUM($L$6598:$L$6601)/SUM($K$6598:$K$6601)-1)*100,1)&amp;" %")</f>
        <v/>
      </c>
      <c r="L6574" s="25"/>
      <c r="M6574" s="25"/>
      <c r="N6574" s="25"/>
      <c r="O6574" s="25"/>
    </row>
    <row r="6575" customFormat="false" ht="15" hidden="false" customHeight="false" outlineLevel="0" collapsed="false">
      <c r="B6575" s="29" t="str">
        <f aca="false">Cab_Contact</f>
        <v>Tél. 01 34 14 53 45  ·  altho@altho-experts.com  ·  altho-experts.com</v>
      </c>
      <c r="C6575" s="29"/>
      <c r="D6575" s="10"/>
      <c r="E6575" s="10"/>
      <c r="F6575" s="10"/>
      <c r="J6575" s="25"/>
      <c r="K6575" s="25"/>
      <c r="L6575" s="25"/>
      <c r="M6575" s="25"/>
      <c r="N6575" s="25"/>
      <c r="O6575" s="25"/>
    </row>
    <row r="6576" customFormat="false" ht="6" hidden="false" customHeight="true" outlineLevel="0" collapsed="false">
      <c r="B6576" s="32"/>
      <c r="C6576" s="32"/>
      <c r="D6576" s="32"/>
      <c r="E6576" s="32"/>
      <c r="F6576" s="32"/>
      <c r="J6576" s="25"/>
      <c r="K6576" s="25"/>
      <c r="L6576" s="25"/>
      <c r="M6576" s="25"/>
      <c r="N6576" s="25"/>
      <c r="O6576" s="25"/>
    </row>
    <row r="6577" customFormat="false" ht="13.5" hidden="false" customHeight="true" outlineLevel="0" collapsed="false">
      <c r="B6577" s="10"/>
      <c r="C6577" s="10"/>
      <c r="D6577" s="10"/>
      <c r="E6577" s="10"/>
      <c r="F6577" s="10"/>
      <c r="J6577" s="25"/>
      <c r="K6577" s="25"/>
      <c r="L6577" s="25"/>
      <c r="M6577" s="25"/>
      <c r="N6577" s="25"/>
      <c r="O6577" s="25"/>
    </row>
    <row r="6578" customFormat="false" ht="13.5" hidden="false" customHeight="true" outlineLevel="0" collapsed="false">
      <c r="B6578" s="10"/>
      <c r="C6578" s="10"/>
      <c r="D6578" s="10"/>
      <c r="E6578" s="10"/>
      <c r="F6578" s="10"/>
      <c r="J6578" s="25"/>
      <c r="K6578" s="25"/>
      <c r="L6578" s="25"/>
      <c r="M6578" s="25"/>
      <c r="N6578" s="25"/>
      <c r="O6578" s="25"/>
    </row>
    <row r="6579" customFormat="false" ht="13.5" hidden="false" customHeight="true" outlineLevel="0" collapsed="false">
      <c r="B6579" s="10"/>
      <c r="C6579" s="10"/>
      <c r="D6579" s="10"/>
      <c r="E6579" s="10"/>
      <c r="F6579" s="10"/>
      <c r="J6579" s="25"/>
      <c r="K6579" s="25"/>
      <c r="L6579" s="25"/>
      <c r="M6579" s="25"/>
      <c r="N6579" s="25"/>
      <c r="O6579" s="25"/>
    </row>
    <row r="6580" customFormat="false" ht="15" hidden="false" customHeight="true" outlineLevel="0" collapsed="false">
      <c r="B6580" s="10"/>
      <c r="C6580" s="10"/>
      <c r="D6580" s="34" t="str">
        <f aca="false">IF($K$6571=0,"",INDEX(Clients!$E$2:$E$501,$K$6571)&amp;"")</f>
        <v/>
      </c>
      <c r="E6580" s="34"/>
      <c r="F6580" s="34"/>
      <c r="J6580" s="25"/>
      <c r="K6580" s="25"/>
      <c r="L6580" s="25"/>
      <c r="M6580" s="25"/>
      <c r="N6580" s="25"/>
      <c r="O6580" s="25"/>
    </row>
    <row r="6581" customFormat="false" ht="15" hidden="false" customHeight="true" outlineLevel="0" collapsed="false">
      <c r="B6581" s="10"/>
      <c r="C6581" s="10"/>
      <c r="D6581" s="35" t="str">
        <f aca="false">IF(IF($K$6571=0,"",INDEX(Clients!$D$2:$D$501,$K$6571)&amp;"")="","","À l'attention de "&amp;TRIM(IF($K$6571=0,"",INDEX(Clients!$B$2:$B$501,$K$6571)&amp;"")&amp;" "&amp;IF($K$6571=0,"",INDEX(Clients!$C$2:$C$501,$K$6571)&amp;"")&amp;" "&amp;IF($K$6571=0,"",INDEX(Clients!$D$2:$D$501,$K$6571)&amp;"")))</f>
        <v/>
      </c>
      <c r="E6581" s="35"/>
      <c r="F6581" s="35"/>
      <c r="J6581" s="25"/>
      <c r="K6581" s="25"/>
      <c r="L6581" s="25"/>
      <c r="M6581" s="25"/>
      <c r="N6581" s="25"/>
      <c r="O6581" s="25"/>
    </row>
    <row r="6582" customFormat="false" ht="15" hidden="false" customHeight="true" outlineLevel="0" collapsed="false">
      <c r="B6582" s="10"/>
      <c r="C6582" s="10"/>
      <c r="D6582" s="35" t="str">
        <f aca="false">IF($K$6571=0,"",INDEX(Clients!$F$2:$F$501,$K$6571)&amp;"")</f>
        <v/>
      </c>
      <c r="E6582" s="35"/>
      <c r="F6582" s="35"/>
      <c r="J6582" s="25"/>
      <c r="K6582" s="25"/>
      <c r="L6582" s="25"/>
      <c r="M6582" s="25"/>
      <c r="N6582" s="25"/>
      <c r="O6582" s="25"/>
    </row>
    <row r="6583" customFormat="false" ht="15" hidden="false" customHeight="true" outlineLevel="0" collapsed="false">
      <c r="B6583" s="10"/>
      <c r="C6583" s="10"/>
      <c r="D6583" s="35" t="str">
        <f aca="false">IF(IF($K$6571=0,"",INDEX(Clients!$G$2:$G$501,$K$6571)&amp;"")="",TRIM(IF($K$6571=0,"",INDEX(Clients!$H$2:$H$501,$K$6571)&amp;"")&amp;" "&amp;UPPER(IF($K$6571=0,"",INDEX(Clients!$I$2:$I$501,$K$6571)&amp;""))),IF($K$6571=0,"",INDEX(Clients!$G$2:$G$501,$K$6571)&amp;""))</f>
        <v/>
      </c>
      <c r="E6583" s="35"/>
      <c r="F6583" s="35"/>
      <c r="J6583" s="25"/>
      <c r="K6583" s="25"/>
      <c r="L6583" s="25"/>
      <c r="M6583" s="25"/>
      <c r="N6583" s="25"/>
      <c r="O6583" s="25"/>
    </row>
    <row r="6584" customFormat="false" ht="15" hidden="false" customHeight="true" outlineLevel="0" collapsed="false">
      <c r="B6584" s="10"/>
      <c r="C6584" s="10"/>
      <c r="D6584" s="35" t="str">
        <f aca="false">IF(IF($K$6571=0,"",INDEX(Clients!$G$2:$G$501,$K$6571)&amp;"")="","",TRIM(IF($K$6571=0,"",INDEX(Clients!$H$2:$H$501,$K$6571)&amp;"")&amp;" "&amp;UPPER(IF($K$6571=0,"",INDEX(Clients!$I$2:$I$501,$K$6571)&amp;""))))</f>
        <v/>
      </c>
      <c r="E6584" s="35"/>
      <c r="F6584" s="35"/>
      <c r="J6584" s="25"/>
      <c r="K6584" s="25"/>
      <c r="L6584" s="25"/>
      <c r="M6584" s="25"/>
      <c r="N6584" s="25"/>
      <c r="O6584" s="25"/>
    </row>
    <row r="6585" customFormat="false" ht="25.5" hidden="false" customHeight="true" outlineLevel="0" collapsed="false">
      <c r="B6585" s="10"/>
      <c r="C6585" s="10"/>
      <c r="D6585" s="10"/>
      <c r="E6585" s="10"/>
      <c r="F6585" s="10"/>
      <c r="J6585" s="25"/>
      <c r="K6585" s="25"/>
      <c r="L6585" s="25"/>
      <c r="M6585" s="25"/>
      <c r="N6585" s="25"/>
      <c r="O6585" s="25"/>
    </row>
    <row r="6586" customFormat="false" ht="15" hidden="false" customHeight="false" outlineLevel="0" collapsed="false">
      <c r="B6586" s="10"/>
      <c r="C6586" s="10"/>
      <c r="D6586" s="36" t="str">
        <f aca="false">Cab_Ville&amp;", le "&amp;DAY(Date_Courrier)&amp;IF(DAY(Date_Courrier)=1,"er","")&amp;" "&amp;INDEX(Liste_Mois,MONTH(Date_Courrier))&amp;" "&amp;YEAR(Date_Courrier)</f>
        <v>Le Plessis-Bouchard, le 22 septembre 2026</v>
      </c>
      <c r="E6586" s="36"/>
      <c r="F6586" s="36"/>
      <c r="J6586" s="25"/>
      <c r="K6586" s="25"/>
      <c r="L6586" s="25"/>
      <c r="M6586" s="25"/>
      <c r="N6586" s="25"/>
      <c r="O6586" s="25"/>
    </row>
    <row r="6587" customFormat="false" ht="19.5" hidden="false" customHeight="true" outlineLevel="0" collapsed="false">
      <c r="B6587" s="10"/>
      <c r="C6587" s="10"/>
      <c r="D6587" s="10"/>
      <c r="E6587" s="10"/>
      <c r="F6587" s="10"/>
      <c r="J6587" s="25"/>
      <c r="K6587" s="25"/>
      <c r="L6587" s="25"/>
      <c r="M6587" s="25"/>
      <c r="N6587" s="25"/>
      <c r="O6587" s="25"/>
    </row>
    <row r="6588" customFormat="false" ht="15" hidden="false" customHeight="false" outlineLevel="0" collapsed="false">
      <c r="B6588" s="34" t="str">
        <f aca="false">SUBSTITUTE(SUBSTITUTE(SUBSTITUTE(SUBSTITUTE(SUBSTITUTE(Txt_Objet,"{cabinet}",Cab_Nom),"{societe}",IF($K$6571=0,"",INDEX(Clients!$E$2:$E$501,$K$6571)&amp;"")),"{date_effet}",$K$6573),"{hausse}",$K$6574),"{civilite}",$K$6572)</f>
        <v>Objet : révision de nos honoraires au 1er janvier 2027</v>
      </c>
      <c r="C6588" s="34"/>
      <c r="D6588" s="34"/>
      <c r="E6588" s="34"/>
      <c r="F6588" s="34"/>
      <c r="J6588" s="25"/>
      <c r="K6588" s="25"/>
      <c r="L6588" s="25"/>
      <c r="M6588" s="25"/>
      <c r="N6588" s="25"/>
      <c r="O6588" s="25"/>
    </row>
    <row r="6589" customFormat="false" ht="13.5" hidden="false" customHeight="true" outlineLevel="0" collapsed="false">
      <c r="B6589" s="10"/>
      <c r="C6589" s="10"/>
      <c r="D6589" s="10"/>
      <c r="E6589" s="10"/>
      <c r="F6589" s="10"/>
      <c r="J6589" s="25"/>
      <c r="K6589" s="25"/>
      <c r="L6589" s="25"/>
      <c r="M6589" s="25"/>
      <c r="N6589" s="25"/>
      <c r="O6589" s="25"/>
    </row>
    <row r="6590" customFormat="false" ht="15" hidden="false" customHeight="false" outlineLevel="0" collapsed="false">
      <c r="B6590" s="10" t="str">
        <f aca="false">$K$6572&amp;","</f>
        <v>Madame, Monsieur,</v>
      </c>
      <c r="C6590" s="10"/>
      <c r="D6590" s="10"/>
      <c r="E6590" s="10"/>
      <c r="F6590" s="10"/>
      <c r="J6590" s="25"/>
      <c r="K6590" s="25"/>
      <c r="L6590" s="25"/>
      <c r="M6590" s="25"/>
      <c r="N6590" s="25"/>
      <c r="O6590" s="25"/>
    </row>
    <row r="6591" customFormat="false" ht="6" hidden="false" customHeight="true" outlineLevel="0" collapsed="false">
      <c r="B6591" s="10"/>
      <c r="C6591" s="10"/>
      <c r="D6591" s="10"/>
      <c r="E6591" s="10"/>
      <c r="F6591" s="10"/>
      <c r="J6591" s="25"/>
      <c r="K6591" s="25"/>
      <c r="L6591" s="25"/>
      <c r="M6591" s="25"/>
      <c r="N6591" s="25"/>
      <c r="O6591" s="25"/>
    </row>
    <row r="6592" customFormat="false" ht="36.75" hidden="false" customHeight="true" outlineLevel="0" collapsed="false">
      <c r="B6592" s="37" t="str">
        <f aca="false">SUBSTITUTE(SUBSTITUTE(SUBSTITUTE(SUBSTITUTE(SUBSTITUTE(Txt_P1,"{cabinet}",Cab_Nom),"{societe}",IF($K$6571=0,"",INDEX(Clients!$E$2:$E$501,$K$6571)&amp;"")),"{date_effet}",$K$6573),"{hausse}",$K$6574),"{civilite}",$K$6572)</f>
        <v>Nous tenons tout d'abord à vous remercier pour la confiance que vous accordez à ALTHO EXPERTISE. Comme chaque année, et conformément aux dispositions de votre lettre de mission, nous procédons à la révision de nos honoraires.</v>
      </c>
      <c r="C6592" s="37"/>
      <c r="D6592" s="37"/>
      <c r="E6592" s="37"/>
      <c r="F6592" s="37"/>
      <c r="J6592" s="25"/>
      <c r="K6592" s="25"/>
      <c r="L6592" s="25"/>
      <c r="M6592" s="25"/>
      <c r="N6592" s="25"/>
      <c r="O6592" s="25"/>
    </row>
    <row r="6593" customFormat="false" ht="49.5" hidden="false" customHeight="true" outlineLevel="0" collapsed="false">
      <c r="B6593" s="37" t="str">
        <f aca="false">SUBSTITUTE(SUBSTITUTE(SUBSTITUTE(SUBSTITUTE(SUBSTITUTE(Txt_P2,"{cabinet}",Cab_Nom),"{societe}",IF($K$6571=0,"",INDEX(Clients!$E$2:$E$501,$K$6571)&amp;"")),"{date_effet}",$K$6573),"{hausse}",$K$6574),"{civilite}",$K$6572)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593" s="37"/>
      <c r="D6593" s="37"/>
      <c r="E6593" s="37"/>
      <c r="F6593" s="37"/>
      <c r="J6593" s="25"/>
      <c r="K6593" s="25"/>
      <c r="L6593" s="25"/>
      <c r="M6593" s="25"/>
      <c r="N6593" s="25"/>
      <c r="O6593" s="25"/>
    </row>
    <row r="6594" customFormat="false" ht="63" hidden="false" customHeight="true" outlineLevel="0" collapsed="false">
      <c r="B6594" s="37" t="str">
        <f aca="false">SUBSTITUTE(SUBSTITUTE(SUBSTITUTE(SUBSTITUTE(SUBSTITUTE(Txt_P3,"{cabinet}",Cab_Nom),"{societe}",IF($K$6571=0,"",INDEX(Clients!$E$2:$E$501,$K$6571)&amp;"")),"{date_effet}",$K$6573),"{hausse}",$K$6574),"{civilite}",$K$6572)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594" s="37"/>
      <c r="D6594" s="37"/>
      <c r="E6594" s="37"/>
      <c r="F6594" s="37"/>
      <c r="J6594" s="25"/>
      <c r="K6594" s="25"/>
      <c r="L6594" s="25"/>
      <c r="M6594" s="25"/>
      <c r="N6594" s="25"/>
      <c r="O6594" s="25"/>
    </row>
    <row r="6595" customFormat="false" ht="24" hidden="false" customHeight="true" outlineLevel="0" collapsed="false">
      <c r="B6595" s="37" t="str">
        <f aca="false">SUBSTITUTE(SUBSTITUTE(SUBSTITUTE(SUBSTITUTE(SUBSTITUTE(Txt_P4,"{cabinet}",Cab_Nom),"{societe}",IF($K$6571=0,"",INDEX(Clients!$E$2:$E$501,$K$6571)&amp;"")),"{date_effet}",$K$6573),"{hausse}",$K$6574),"{civilite}",$K$6572)</f>
        <v>À compter du 1er janvier 2027, vos honoraires annuels hors taxes évolueront ainsi (évolution globale : ) :</v>
      </c>
      <c r="C6595" s="37"/>
      <c r="D6595" s="37"/>
      <c r="E6595" s="37"/>
      <c r="F6595" s="37"/>
      <c r="J6595" s="25"/>
      <c r="K6595" s="25"/>
      <c r="L6595" s="25"/>
      <c r="M6595" s="25"/>
      <c r="N6595" s="25"/>
      <c r="O6595" s="25"/>
    </row>
    <row r="6596" customFormat="false" ht="3.75" hidden="false" customHeight="true" outlineLevel="0" collapsed="false">
      <c r="B6596" s="10"/>
      <c r="C6596" s="10"/>
      <c r="D6596" s="10"/>
      <c r="E6596" s="10"/>
      <c r="F6596" s="10"/>
      <c r="J6596" s="25"/>
      <c r="K6596" s="25"/>
      <c r="L6596" s="25"/>
      <c r="M6596" s="25"/>
      <c r="N6596" s="25"/>
      <c r="O6596" s="25"/>
    </row>
    <row r="6597" customFormat="false" ht="18" hidden="false" customHeight="true" outlineLevel="0" collapsed="false">
      <c r="B6597" s="38" t="s">
        <v>148</v>
      </c>
      <c r="C6597" s="39" t="s">
        <v>149</v>
      </c>
      <c r="D6597" s="39" t="s">
        <v>150</v>
      </c>
      <c r="E6597" s="39" t="s">
        <v>151</v>
      </c>
      <c r="F6597" s="39" t="s">
        <v>109</v>
      </c>
      <c r="J6597" s="25" t="s">
        <v>152</v>
      </c>
      <c r="K6597" s="25" t="s">
        <v>153</v>
      </c>
      <c r="L6597" s="25" t="s">
        <v>154</v>
      </c>
      <c r="M6597" s="25" t="s">
        <v>155</v>
      </c>
      <c r="N6597" s="25" t="s">
        <v>156</v>
      </c>
      <c r="O6597" s="25" t="s">
        <v>157</v>
      </c>
    </row>
    <row r="6598" customFormat="false" ht="16.5" hidden="false" customHeight="true" outlineLevel="0" collapsed="false">
      <c r="B6598" s="40" t="str">
        <f aca="false">IFERROR(INDEX($J$6598:$J$6601,MATCH($O6598,$N$6598:$N$6601,0)),"")</f>
        <v/>
      </c>
      <c r="C6598" s="41" t="str">
        <f aca="false">IFERROR(INDEX($K$6598:$K$6601,MATCH($O6598,$N$6598:$N$6601,0)),"")</f>
        <v/>
      </c>
      <c r="D6598" s="42" t="str">
        <f aca="false">IF(OR(E6598="",N(C6598)=0),"",E6598/C6598-1)</f>
        <v/>
      </c>
      <c r="E6598" s="41" t="str">
        <f aca="false">IFERROR(INDEX($L$6598:$L$6601,MATCH($O6598,$N$6598:$N$6601,0)),"")</f>
        <v/>
      </c>
      <c r="F6598" s="41" t="str">
        <f aca="false">IF(E6598="","",E6598-C6598)</f>
        <v/>
      </c>
      <c r="J6598" s="25" t="str">
        <f aca="false">Lib_Compta</f>
        <v>Mission comptable (tenue, révision, bilan, liasse fiscale)</v>
      </c>
      <c r="K6598" s="25" t="n">
        <f aca="false">IF($K$6571=0,0,N(INDEX(Clients!$K$2:$K$501,$K$6571)))</f>
        <v>0</v>
      </c>
      <c r="L6598" s="25" t="n">
        <f aca="false">IF($K$6571=0,0,N(INDEX(Clients!$P$2:$P$501,$K$6571)))</f>
        <v>0</v>
      </c>
      <c r="M6598" s="25" t="n">
        <f aca="false">IF(OR(K6598&lt;&gt;0,L6598&lt;&gt;0),1,0)</f>
        <v>0</v>
      </c>
      <c r="N6598" s="25" t="str">
        <f aca="false">IF(M6598=1,SUM($M$6598:M6598),"")</f>
        <v/>
      </c>
      <c r="O6598" s="25" t="n">
        <v>1</v>
      </c>
    </row>
    <row r="6599" customFormat="false" ht="16.5" hidden="false" customHeight="true" outlineLevel="0" collapsed="false">
      <c r="B6599" s="40" t="str">
        <f aca="false">IFERROR(INDEX($J$6598:$J$6601,MATCH($O6599,$N$6598:$N$6601,0)),"")</f>
        <v/>
      </c>
      <c r="C6599" s="41" t="str">
        <f aca="false">IFERROR(INDEX($K$6598:$K$6601,MATCH($O6599,$N$6598:$N$6601,0)),"")</f>
        <v/>
      </c>
      <c r="D6599" s="42" t="str">
        <f aca="false">IF(OR(E6599="",N(C6599)=0),"",E6599/C6599-1)</f>
        <v/>
      </c>
      <c r="E6599" s="41" t="str">
        <f aca="false">IFERROR(INDEX($L$6598:$L$6601,MATCH($O6599,$N$6598:$N$6601,0)),"")</f>
        <v/>
      </c>
      <c r="F6599" s="41" t="str">
        <f aca="false">IF(E6599="","",E6599-C6599)</f>
        <v/>
      </c>
      <c r="J6599" s="25" t="str">
        <f aca="false">Lib_Paye</f>
        <v>Mission sociale (bulletins de paie, DSN, déclarations sociales)</v>
      </c>
      <c r="K6599" s="25" t="n">
        <f aca="false">IF($K$6571=0,0,N(INDEX(Clients!$L$2:$L$501,$K$6571)))</f>
        <v>0</v>
      </c>
      <c r="L6599" s="25" t="n">
        <f aca="false">IF($K$6571=0,0,N(INDEX(Clients!$Q$2:$Q$501,$K$6571)))</f>
        <v>0</v>
      </c>
      <c r="M6599" s="25" t="n">
        <f aca="false">IF(OR(K6599&lt;&gt;0,L6599&lt;&gt;0),1,0)</f>
        <v>0</v>
      </c>
      <c r="N6599" s="25" t="str">
        <f aca="false">IF(M6599=1,SUM($M$6598:M6599),"")</f>
        <v/>
      </c>
      <c r="O6599" s="25" t="n">
        <v>2</v>
      </c>
    </row>
    <row r="6600" customFormat="false" ht="16.5" hidden="false" customHeight="true" outlineLevel="0" collapsed="false">
      <c r="B6600" s="40" t="str">
        <f aca="false">IFERROR(INDEX($J$6598:$J$6601,MATCH($O6600,$N$6598:$N$6601,0)),"")</f>
        <v/>
      </c>
      <c r="C6600" s="41" t="str">
        <f aca="false">IFERROR(INDEX($K$6598:$K$6601,MATCH($O6600,$N$6598:$N$6601,0)),"")</f>
        <v/>
      </c>
      <c r="D6600" s="42" t="str">
        <f aca="false">IF(OR(E6600="",N(C6600)=0),"",E6600/C6600-1)</f>
        <v/>
      </c>
      <c r="E6600" s="41" t="str">
        <f aca="false">IFERROR(INDEX($L$6598:$L$6601,MATCH($O6600,$N$6598:$N$6601,0)),"")</f>
        <v/>
      </c>
      <c r="F6600" s="41" t="str">
        <f aca="false">IF(E6600="","",E6600-C6600)</f>
        <v/>
      </c>
      <c r="J6600" s="25" t="str">
        <f aca="false">Lib_Jur</f>
        <v>Mission juridique (approbation des comptes, secrétariat juridique)</v>
      </c>
      <c r="K6600" s="25" t="n">
        <f aca="false">IF($K$6571=0,0,N(INDEX(Clients!$M$2:$M$501,$K$6571)))</f>
        <v>0</v>
      </c>
      <c r="L6600" s="25" t="n">
        <f aca="false">IF($K$6571=0,0,N(INDEX(Clients!$R$2:$R$501,$K$6571)))</f>
        <v>0</v>
      </c>
      <c r="M6600" s="25" t="n">
        <f aca="false">IF(OR(K6600&lt;&gt;0,L6600&lt;&gt;0),1,0)</f>
        <v>0</v>
      </c>
      <c r="N6600" s="25" t="str">
        <f aca="false">IF(M6600=1,SUM($M$6598:M6600),"")</f>
        <v/>
      </c>
      <c r="O6600" s="25" t="n">
        <v>3</v>
      </c>
    </row>
    <row r="6601" customFormat="false" ht="16.5" hidden="false" customHeight="true" outlineLevel="0" collapsed="false">
      <c r="B6601" s="40" t="str">
        <f aca="false">IFERROR(INDEX($J$6598:$J$6601,MATCH($O6601,$N$6598:$N$6601,0)),"")</f>
        <v/>
      </c>
      <c r="C6601" s="41" t="str">
        <f aca="false">IFERROR(INDEX($K$6598:$K$6601,MATCH($O6601,$N$6598:$N$6601,0)),"")</f>
        <v/>
      </c>
      <c r="D6601" s="42" t="str">
        <f aca="false">IF(OR(E6601="",N(C6601)=0),"",E6601/C6601-1)</f>
        <v/>
      </c>
      <c r="E6601" s="41" t="str">
        <f aca="false">IFERROR(INDEX($L$6598:$L$6601,MATCH($O6601,$N$6598:$N$6601,0)),"")</f>
        <v/>
      </c>
      <c r="F6601" s="41" t="str">
        <f aca="false">IF(E6601="","",E6601-C6601)</f>
        <v/>
      </c>
      <c r="J6601" s="25" t="str">
        <f aca="false">Lib_PA</f>
        <v>Plateforme agréée – facturation électronique</v>
      </c>
      <c r="K6601" s="25" t="n">
        <f aca="false">IF($K$6571=0,0,N(INDEX(Clients!$N$2:$N$501,$K$6571)))</f>
        <v>0</v>
      </c>
      <c r="L6601" s="25" t="n">
        <f aca="false">IF($K$6571=0,0,N(INDEX(Clients!$S$2:$S$501,$K$6571)))</f>
        <v>0</v>
      </c>
      <c r="M6601" s="25" t="n">
        <f aca="false">IF(OR(K6601&lt;&gt;0,L6601&lt;&gt;0),1,0)</f>
        <v>0</v>
      </c>
      <c r="N6601" s="25" t="str">
        <f aca="false">IF(M6601=1,SUM($M$6598:M6601),"")</f>
        <v/>
      </c>
      <c r="O6601" s="25" t="n">
        <v>4</v>
      </c>
    </row>
    <row r="6602" customFormat="false" ht="18" hidden="false" customHeight="true" outlineLevel="0" collapsed="false">
      <c r="B6602" s="43" t="s">
        <v>158</v>
      </c>
      <c r="C6602" s="44" t="n">
        <f aca="false">SUM(K6598:K6601)</f>
        <v>0</v>
      </c>
      <c r="D6602" s="45" t="str">
        <f aca="false">IF(N(C6602)=0,"",E6602/C6602-1)</f>
        <v/>
      </c>
      <c r="E6602" s="44" t="n">
        <f aca="false">SUM(L6598:L6601)</f>
        <v>0</v>
      </c>
      <c r="F6602" s="44" t="n">
        <f aca="false">E6602-C6602</f>
        <v>0</v>
      </c>
    </row>
    <row r="6603" customFormat="false" ht="15" hidden="false" customHeight="false" outlineLevel="0" collapsed="false">
      <c r="B6603" s="46" t="str">
        <f aca="false">IF(N(Nb_Mensualites)=0,"","Soit "&amp;FIXED(E6602/Nb_Mensualites,2)&amp;" € HT par échéance ("&amp;Nb_Mensualites&amp;" échéances), "&amp;FIXED(E6602/Nb_Mensualites*(1+Taux_TVA),2)&amp;" € TTC.")</f>
        <v>Soit 0.00 € HT par échéance (12 échéances), 0.00 € TTC.</v>
      </c>
      <c r="C6603" s="46"/>
      <c r="D6603" s="46"/>
      <c r="E6603" s="46"/>
      <c r="F6603" s="46"/>
    </row>
    <row r="6604" customFormat="false" ht="7.5" hidden="false" customHeight="true" outlineLevel="0" collapsed="false">
      <c r="B6604" s="10"/>
      <c r="C6604" s="10"/>
      <c r="D6604" s="10"/>
      <c r="E6604" s="10"/>
      <c r="F6604" s="10"/>
    </row>
    <row r="6605" customFormat="false" ht="36.75" hidden="false" customHeight="true" outlineLevel="0" collapsed="false">
      <c r="B6605" s="37" t="str">
        <f aca="false">SUBSTITUTE(SUBSTITUTE(SUBSTITUTE(SUBSTITUTE(SUBSTITUTE(Txt_P5,"{cabinet}",Cab_Nom),"{societe}",IF($K$6571=0,"",INDEX(Clients!$E$2:$E$501,$K$6571)&amp;"")),"{date_effet}",$K$6573),"{hausse}",$K$6574),"{civilite}",$K$6572)</f>
        <v>Les autres conditions de votre lettre de mission demeurent inchangées. Les nouveaux montants seront appliqués automatiquement sur vos prochaines factures et échéances de prélèvement.</v>
      </c>
      <c r="C6605" s="37"/>
      <c r="D6605" s="37"/>
      <c r="E6605" s="37"/>
      <c r="F6605" s="37"/>
    </row>
    <row r="6606" customFormat="false" ht="36.75" hidden="false" customHeight="true" outlineLevel="0" collapsed="false">
      <c r="B6606" s="37" t="str">
        <f aca="false">SUBSTITUTE(SUBSTITUTE(SUBSTITUTE(SUBSTITUTE(SUBSTITUTE(Txt_P6,"{cabinet}",Cab_Nom),"{societe}",IF($K$6571=0,"",INDEX(Clients!$E$2:$E$501,$K$6571)&amp;"")),"{date_effet}",$K$6573),"{hausse}",$K$6574),"{civilite}",$K$6572)</f>
        <v>Votre interlocuteur habituel reste à votre entière disposition pour répondre à vos questions et faire le point sur l'évolution de vos besoins.</v>
      </c>
      <c r="C6606" s="37"/>
      <c r="D6606" s="37"/>
      <c r="E6606" s="37"/>
      <c r="F6606" s="37"/>
    </row>
    <row r="6607" customFormat="false" ht="24" hidden="false" customHeight="true" outlineLevel="0" collapsed="false">
      <c r="B6607" s="37" t="str">
        <f aca="false">SUBSTITUTE(SUBSTITUTE(SUBSTITUTE(SUBSTITUTE(SUBSTITUTE(Txt_Politesse,"{cabinet}",Cab_Nom),"{societe}",IF($K$6571=0,"",INDEX(Clients!$E$2:$E$501,$K$6571)&amp;"")),"{date_effet}",$K$6573),"{hausse}",$K$6574),"{civilite}",$K$6572)</f>
        <v>Nous vous prions d'agréer, Madame, Monsieur, l'expression de nos salutations distinguées.</v>
      </c>
      <c r="C6607" s="37"/>
      <c r="D6607" s="37"/>
      <c r="E6607" s="37"/>
      <c r="F6607" s="37"/>
    </row>
    <row r="6608" customFormat="false" ht="15" hidden="false" customHeight="false" outlineLevel="0" collapsed="false">
      <c r="B6608" s="10"/>
      <c r="C6608" s="10"/>
      <c r="D6608" s="10"/>
      <c r="E6608" s="10"/>
      <c r="F6608" s="10"/>
    </row>
    <row r="6609" customFormat="false" ht="15" hidden="false" customHeight="false" outlineLevel="0" collapsed="false">
      <c r="B6609" s="10"/>
      <c r="C6609" s="10"/>
      <c r="D6609" s="34" t="str">
        <f aca="false">Signataire</f>
        <v>Prénom NOM</v>
      </c>
      <c r="E6609" s="34"/>
      <c r="F6609" s="34"/>
    </row>
    <row r="6610" customFormat="false" ht="15" hidden="false" customHeight="false" outlineLevel="0" collapsed="false">
      <c r="B6610" s="10"/>
      <c r="C6610" s="10"/>
      <c r="D6610" s="47" t="str">
        <f aca="false">Signataire_Titre</f>
        <v>Expert-comptable associé</v>
      </c>
      <c r="E6610" s="47"/>
      <c r="F6610" s="47"/>
    </row>
    <row r="6611" customFormat="false" ht="15.75" hidden="false" customHeight="true" outlineLevel="0" collapsed="false">
      <c r="B6611" s="10"/>
      <c r="C6611" s="10"/>
      <c r="D6611" s="10"/>
      <c r="E6611" s="10"/>
      <c r="F6611" s="10"/>
    </row>
    <row r="6612" customFormat="false" ht="15.75" hidden="false" customHeight="true" outlineLevel="0" collapsed="false">
      <c r="B6612" s="10"/>
      <c r="C6612" s="10"/>
      <c r="D6612" s="10"/>
      <c r="E6612" s="10"/>
      <c r="F6612" s="10"/>
    </row>
    <row r="6613" customFormat="false" ht="15.75" hidden="false" customHeight="true" outlineLevel="0" collapsed="false">
      <c r="B6613" s="10"/>
      <c r="C6613" s="10"/>
      <c r="D6613" s="10"/>
      <c r="E6613" s="10"/>
      <c r="F6613" s="10"/>
    </row>
    <row r="6614" customFormat="false" ht="15.75" hidden="false" customHeight="true" outlineLevel="0" collapsed="false">
      <c r="B6614" s="10"/>
      <c r="C6614" s="10"/>
      <c r="D6614" s="10"/>
      <c r="E6614" s="10"/>
      <c r="F6614" s="10"/>
    </row>
    <row r="6615" customFormat="false" ht="24" hidden="false" customHeight="true" outlineLevel="0" collapsed="false">
      <c r="B6615" s="48" t="str">
        <f aca="false">Cab_Mentions</f>
        <v>ALTHO EXPERTISE · SAS au capital de 10 000 € · RCS Pontoise 919 706 325 · TVA FR62919706325 · Société d'expertise comptable inscrite au Tableau de l'Ordre des experts-comptables de Paris Île-de-France</v>
      </c>
      <c r="C6615" s="48"/>
      <c r="D6615" s="48"/>
      <c r="E6615" s="48"/>
      <c r="F6615" s="48"/>
    </row>
    <row r="6616" customFormat="false" ht="15" hidden="false" customHeight="false" outlineLevel="0" collapsed="false">
      <c r="B6616" s="10"/>
      <c r="C6616" s="10"/>
      <c r="D6616" s="10"/>
      <c r="E6616" s="10"/>
      <c r="F6616" s="10"/>
      <c r="J6616" s="25" t="s">
        <v>142</v>
      </c>
      <c r="K6616" s="25" t="n">
        <f aca="false">IFERROR(MATCH(148,Clients!$Z$2:$Z$501,0),0)</f>
        <v>0</v>
      </c>
      <c r="L6616" s="25"/>
      <c r="M6616" s="25"/>
      <c r="N6616" s="25"/>
      <c r="O6616" s="25"/>
    </row>
    <row r="6617" customFormat="false" ht="21.75" hidden="false" customHeight="true" outlineLevel="0" collapsed="false">
      <c r="B6617" s="26" t="str">
        <f aca="false">Cab_Nom</f>
        <v>ALTHO EXPERTISE</v>
      </c>
      <c r="C6617" s="26"/>
      <c r="D6617" s="10"/>
      <c r="E6617" s="27" t="str">
        <f aca="false">IF($K$6616=0,"","Réf. client : "&amp;INDEX(Clients!$A$2:$A$501,$K$6616))</f>
        <v/>
      </c>
      <c r="F6617" s="27"/>
      <c r="J6617" s="25" t="s">
        <v>144</v>
      </c>
      <c r="K6617" s="25" t="str">
        <f aca="false">IF(IF($K$6616=0,"",INDEX(Clients!$B$2:$B$501,$K$6616)&amp;"")="Mme","Madame",IF(IF($K$6616=0,"",INDEX(Clients!$B$2:$B$501,$K$6616)&amp;"")="M.","Monsieur","Madame, Monsieur"))</f>
        <v>Madame, Monsieur</v>
      </c>
      <c r="L6617" s="25"/>
      <c r="M6617" s="25"/>
      <c r="N6617" s="25"/>
      <c r="O6617" s="25"/>
    </row>
    <row r="6618" customFormat="false" ht="15" hidden="false" customHeight="false" outlineLevel="0" collapsed="false">
      <c r="B6618" s="29" t="str">
        <f aca="false">Cab_Adr1</f>
        <v>141 rue Charles de Gaulle</v>
      </c>
      <c r="C6618" s="29"/>
      <c r="D6618" s="10"/>
      <c r="E6618" s="10"/>
      <c r="F6618" s="10"/>
      <c r="J6618" s="25" t="s">
        <v>145</v>
      </c>
      <c r="K6618" s="25" t="str">
        <f aca="false">DAY(Date_Effet)&amp;IF(DAY(Date_Effet)=1,"er","")&amp;" "&amp;INDEX(Liste_Mois,MONTH(Date_Effet))&amp;" "&amp;YEAR(Date_Effet)</f>
        <v>1er janvier 2027</v>
      </c>
      <c r="L6618" s="25"/>
      <c r="M6618" s="25"/>
      <c r="N6618" s="25"/>
      <c r="O6618" s="25"/>
    </row>
    <row r="6619" customFormat="false" ht="15" hidden="false" customHeight="false" outlineLevel="0" collapsed="false">
      <c r="B6619" s="29" t="str">
        <f aca="false">Cab_CPVille</f>
        <v>95130 LE PLESSIS-BOUCHARD</v>
      </c>
      <c r="C6619" s="29"/>
      <c r="D6619" s="10"/>
      <c r="E6619" s="10"/>
      <c r="F6619" s="10"/>
      <c r="J6619" s="25" t="s">
        <v>146</v>
      </c>
      <c r="K6619" s="25" t="str">
        <f aca="false">IF(SUM($K$6643:$K$6646)=0,"",FIXED((SUM($L$6643:$L$6646)/SUM($K$6643:$K$6646)-1)*100,1)&amp;" %")</f>
        <v/>
      </c>
      <c r="L6619" s="25"/>
      <c r="M6619" s="25"/>
      <c r="N6619" s="25"/>
      <c r="O6619" s="25"/>
    </row>
    <row r="6620" customFormat="false" ht="15" hidden="false" customHeight="false" outlineLevel="0" collapsed="false">
      <c r="B6620" s="29" t="str">
        <f aca="false">Cab_Contact</f>
        <v>Tél. 01 34 14 53 45  ·  altho@altho-experts.com  ·  altho-experts.com</v>
      </c>
      <c r="C6620" s="29"/>
      <c r="D6620" s="10"/>
      <c r="E6620" s="10"/>
      <c r="F6620" s="10"/>
      <c r="J6620" s="25"/>
      <c r="K6620" s="25"/>
      <c r="L6620" s="25"/>
      <c r="M6620" s="25"/>
      <c r="N6620" s="25"/>
      <c r="O6620" s="25"/>
    </row>
    <row r="6621" customFormat="false" ht="6" hidden="false" customHeight="true" outlineLevel="0" collapsed="false">
      <c r="B6621" s="32"/>
      <c r="C6621" s="32"/>
      <c r="D6621" s="32"/>
      <c r="E6621" s="32"/>
      <c r="F6621" s="32"/>
      <c r="J6621" s="25"/>
      <c r="K6621" s="25"/>
      <c r="L6621" s="25"/>
      <c r="M6621" s="25"/>
      <c r="N6621" s="25"/>
      <c r="O6621" s="25"/>
    </row>
    <row r="6622" customFormat="false" ht="13.5" hidden="false" customHeight="true" outlineLevel="0" collapsed="false">
      <c r="B6622" s="10"/>
      <c r="C6622" s="10"/>
      <c r="D6622" s="10"/>
      <c r="E6622" s="10"/>
      <c r="F6622" s="10"/>
      <c r="J6622" s="25"/>
      <c r="K6622" s="25"/>
      <c r="L6622" s="25"/>
      <c r="M6622" s="25"/>
      <c r="N6622" s="25"/>
      <c r="O6622" s="25"/>
    </row>
    <row r="6623" customFormat="false" ht="13.5" hidden="false" customHeight="true" outlineLevel="0" collapsed="false">
      <c r="B6623" s="10"/>
      <c r="C6623" s="10"/>
      <c r="D6623" s="10"/>
      <c r="E6623" s="10"/>
      <c r="F6623" s="10"/>
      <c r="J6623" s="25"/>
      <c r="K6623" s="25"/>
      <c r="L6623" s="25"/>
      <c r="M6623" s="25"/>
      <c r="N6623" s="25"/>
      <c r="O6623" s="25"/>
    </row>
    <row r="6624" customFormat="false" ht="13.5" hidden="false" customHeight="true" outlineLevel="0" collapsed="false">
      <c r="B6624" s="10"/>
      <c r="C6624" s="10"/>
      <c r="D6624" s="10"/>
      <c r="E6624" s="10"/>
      <c r="F6624" s="10"/>
      <c r="J6624" s="25"/>
      <c r="K6624" s="25"/>
      <c r="L6624" s="25"/>
      <c r="M6624" s="25"/>
      <c r="N6624" s="25"/>
      <c r="O6624" s="25"/>
    </row>
    <row r="6625" customFormat="false" ht="15" hidden="false" customHeight="true" outlineLevel="0" collapsed="false">
      <c r="B6625" s="10"/>
      <c r="C6625" s="10"/>
      <c r="D6625" s="34" t="str">
        <f aca="false">IF($K$6616=0,"",INDEX(Clients!$E$2:$E$501,$K$6616)&amp;"")</f>
        <v/>
      </c>
      <c r="E6625" s="34"/>
      <c r="F6625" s="34"/>
      <c r="J6625" s="25"/>
      <c r="K6625" s="25"/>
      <c r="L6625" s="25"/>
      <c r="M6625" s="25"/>
      <c r="N6625" s="25"/>
      <c r="O6625" s="25"/>
    </row>
    <row r="6626" customFormat="false" ht="15" hidden="false" customHeight="true" outlineLevel="0" collapsed="false">
      <c r="B6626" s="10"/>
      <c r="C6626" s="10"/>
      <c r="D6626" s="35" t="str">
        <f aca="false">IF(IF($K$6616=0,"",INDEX(Clients!$D$2:$D$501,$K$6616)&amp;"")="","","À l'attention de "&amp;TRIM(IF($K$6616=0,"",INDEX(Clients!$B$2:$B$501,$K$6616)&amp;"")&amp;" "&amp;IF($K$6616=0,"",INDEX(Clients!$C$2:$C$501,$K$6616)&amp;"")&amp;" "&amp;IF($K$6616=0,"",INDEX(Clients!$D$2:$D$501,$K$6616)&amp;"")))</f>
        <v/>
      </c>
      <c r="E6626" s="35"/>
      <c r="F6626" s="35"/>
      <c r="J6626" s="25"/>
      <c r="K6626" s="25"/>
      <c r="L6626" s="25"/>
      <c r="M6626" s="25"/>
      <c r="N6626" s="25"/>
      <c r="O6626" s="25"/>
    </row>
    <row r="6627" customFormat="false" ht="15" hidden="false" customHeight="true" outlineLevel="0" collapsed="false">
      <c r="B6627" s="10"/>
      <c r="C6627" s="10"/>
      <c r="D6627" s="35" t="str">
        <f aca="false">IF($K$6616=0,"",INDEX(Clients!$F$2:$F$501,$K$6616)&amp;"")</f>
        <v/>
      </c>
      <c r="E6627" s="35"/>
      <c r="F6627" s="35"/>
      <c r="J6627" s="25"/>
      <c r="K6627" s="25"/>
      <c r="L6627" s="25"/>
      <c r="M6627" s="25"/>
      <c r="N6627" s="25"/>
      <c r="O6627" s="25"/>
    </row>
    <row r="6628" customFormat="false" ht="15" hidden="false" customHeight="true" outlineLevel="0" collapsed="false">
      <c r="B6628" s="10"/>
      <c r="C6628" s="10"/>
      <c r="D6628" s="35" t="str">
        <f aca="false">IF(IF($K$6616=0,"",INDEX(Clients!$G$2:$G$501,$K$6616)&amp;"")="",TRIM(IF($K$6616=0,"",INDEX(Clients!$H$2:$H$501,$K$6616)&amp;"")&amp;" "&amp;UPPER(IF($K$6616=0,"",INDEX(Clients!$I$2:$I$501,$K$6616)&amp;""))),IF($K$6616=0,"",INDEX(Clients!$G$2:$G$501,$K$6616)&amp;""))</f>
        <v/>
      </c>
      <c r="E6628" s="35"/>
      <c r="F6628" s="35"/>
      <c r="J6628" s="25"/>
      <c r="K6628" s="25"/>
      <c r="L6628" s="25"/>
      <c r="M6628" s="25"/>
      <c r="N6628" s="25"/>
      <c r="O6628" s="25"/>
    </row>
    <row r="6629" customFormat="false" ht="15" hidden="false" customHeight="true" outlineLevel="0" collapsed="false">
      <c r="B6629" s="10"/>
      <c r="C6629" s="10"/>
      <c r="D6629" s="35" t="str">
        <f aca="false">IF(IF($K$6616=0,"",INDEX(Clients!$G$2:$G$501,$K$6616)&amp;"")="","",TRIM(IF($K$6616=0,"",INDEX(Clients!$H$2:$H$501,$K$6616)&amp;"")&amp;" "&amp;UPPER(IF($K$6616=0,"",INDEX(Clients!$I$2:$I$501,$K$6616)&amp;""))))</f>
        <v/>
      </c>
      <c r="E6629" s="35"/>
      <c r="F6629" s="35"/>
      <c r="J6629" s="25"/>
      <c r="K6629" s="25"/>
      <c r="L6629" s="25"/>
      <c r="M6629" s="25"/>
      <c r="N6629" s="25"/>
      <c r="O6629" s="25"/>
    </row>
    <row r="6630" customFormat="false" ht="25.5" hidden="false" customHeight="true" outlineLevel="0" collapsed="false">
      <c r="B6630" s="10"/>
      <c r="C6630" s="10"/>
      <c r="D6630" s="10"/>
      <c r="E6630" s="10"/>
      <c r="F6630" s="10"/>
      <c r="J6630" s="25"/>
      <c r="K6630" s="25"/>
      <c r="L6630" s="25"/>
      <c r="M6630" s="25"/>
      <c r="N6630" s="25"/>
      <c r="O6630" s="25"/>
    </row>
    <row r="6631" customFormat="false" ht="15" hidden="false" customHeight="false" outlineLevel="0" collapsed="false">
      <c r="B6631" s="10"/>
      <c r="C6631" s="10"/>
      <c r="D6631" s="36" t="str">
        <f aca="false">Cab_Ville&amp;", le "&amp;DAY(Date_Courrier)&amp;IF(DAY(Date_Courrier)=1,"er","")&amp;" "&amp;INDEX(Liste_Mois,MONTH(Date_Courrier))&amp;" "&amp;YEAR(Date_Courrier)</f>
        <v>Le Plessis-Bouchard, le 22 septembre 2026</v>
      </c>
      <c r="E6631" s="36"/>
      <c r="F6631" s="36"/>
      <c r="J6631" s="25"/>
      <c r="K6631" s="25"/>
      <c r="L6631" s="25"/>
      <c r="M6631" s="25"/>
      <c r="N6631" s="25"/>
      <c r="O6631" s="25"/>
    </row>
    <row r="6632" customFormat="false" ht="19.5" hidden="false" customHeight="true" outlineLevel="0" collapsed="false">
      <c r="B6632" s="10"/>
      <c r="C6632" s="10"/>
      <c r="D6632" s="10"/>
      <c r="E6632" s="10"/>
      <c r="F6632" s="10"/>
      <c r="J6632" s="25"/>
      <c r="K6632" s="25"/>
      <c r="L6632" s="25"/>
      <c r="M6632" s="25"/>
      <c r="N6632" s="25"/>
      <c r="O6632" s="25"/>
    </row>
    <row r="6633" customFormat="false" ht="15" hidden="false" customHeight="false" outlineLevel="0" collapsed="false">
      <c r="B6633" s="34" t="str">
        <f aca="false">SUBSTITUTE(SUBSTITUTE(SUBSTITUTE(SUBSTITUTE(SUBSTITUTE(Txt_Objet,"{cabinet}",Cab_Nom),"{societe}",IF($K$6616=0,"",INDEX(Clients!$E$2:$E$501,$K$6616)&amp;"")),"{date_effet}",$K$6618),"{hausse}",$K$6619),"{civilite}",$K$6617)</f>
        <v>Objet : révision de nos honoraires au 1er janvier 2027</v>
      </c>
      <c r="C6633" s="34"/>
      <c r="D6633" s="34"/>
      <c r="E6633" s="34"/>
      <c r="F6633" s="34"/>
      <c r="J6633" s="25"/>
      <c r="K6633" s="25"/>
      <c r="L6633" s="25"/>
      <c r="M6633" s="25"/>
      <c r="N6633" s="25"/>
      <c r="O6633" s="25"/>
    </row>
    <row r="6634" customFormat="false" ht="13.5" hidden="false" customHeight="true" outlineLevel="0" collapsed="false">
      <c r="B6634" s="10"/>
      <c r="C6634" s="10"/>
      <c r="D6634" s="10"/>
      <c r="E6634" s="10"/>
      <c r="F6634" s="10"/>
      <c r="J6634" s="25"/>
      <c r="K6634" s="25"/>
      <c r="L6634" s="25"/>
      <c r="M6634" s="25"/>
      <c r="N6634" s="25"/>
      <c r="O6634" s="25"/>
    </row>
    <row r="6635" customFormat="false" ht="15" hidden="false" customHeight="false" outlineLevel="0" collapsed="false">
      <c r="B6635" s="10" t="str">
        <f aca="false">$K$6617&amp;","</f>
        <v>Madame, Monsieur,</v>
      </c>
      <c r="C6635" s="10"/>
      <c r="D6635" s="10"/>
      <c r="E6635" s="10"/>
      <c r="F6635" s="10"/>
      <c r="J6635" s="25"/>
      <c r="K6635" s="25"/>
      <c r="L6635" s="25"/>
      <c r="M6635" s="25"/>
      <c r="N6635" s="25"/>
      <c r="O6635" s="25"/>
    </row>
    <row r="6636" customFormat="false" ht="6" hidden="false" customHeight="true" outlineLevel="0" collapsed="false">
      <c r="B6636" s="10"/>
      <c r="C6636" s="10"/>
      <c r="D6636" s="10"/>
      <c r="E6636" s="10"/>
      <c r="F6636" s="10"/>
      <c r="J6636" s="25"/>
      <c r="K6636" s="25"/>
      <c r="L6636" s="25"/>
      <c r="M6636" s="25"/>
      <c r="N6636" s="25"/>
      <c r="O6636" s="25"/>
    </row>
    <row r="6637" customFormat="false" ht="36.75" hidden="false" customHeight="true" outlineLevel="0" collapsed="false">
      <c r="B6637" s="37" t="str">
        <f aca="false">SUBSTITUTE(SUBSTITUTE(SUBSTITUTE(SUBSTITUTE(SUBSTITUTE(Txt_P1,"{cabinet}",Cab_Nom),"{societe}",IF($K$6616=0,"",INDEX(Clients!$E$2:$E$501,$K$6616)&amp;"")),"{date_effet}",$K$6618),"{hausse}",$K$6619),"{civilite}",$K$6617)</f>
        <v>Nous tenons tout d'abord à vous remercier pour la confiance que vous accordez à ALTHO EXPERTISE. Comme chaque année, et conformément aux dispositions de votre lettre de mission, nous procédons à la révision de nos honoraires.</v>
      </c>
      <c r="C6637" s="37"/>
      <c r="D6637" s="37"/>
      <c r="E6637" s="37"/>
      <c r="F6637" s="37"/>
      <c r="J6637" s="25"/>
      <c r="K6637" s="25"/>
      <c r="L6637" s="25"/>
      <c r="M6637" s="25"/>
      <c r="N6637" s="25"/>
      <c r="O6637" s="25"/>
    </row>
    <row r="6638" customFormat="false" ht="49.5" hidden="false" customHeight="true" outlineLevel="0" collapsed="false">
      <c r="B6638" s="37" t="str">
        <f aca="false">SUBSTITUTE(SUBSTITUTE(SUBSTITUTE(SUBSTITUTE(SUBSTITUTE(Txt_P2,"{cabinet}",Cab_Nom),"{societe}",IF($K$6616=0,"",INDEX(Clients!$E$2:$E$501,$K$6616)&amp;"")),"{date_effet}",$K$6618),"{hausse}",$K$6619),"{civilite}",$K$6617)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638" s="37"/>
      <c r="D6638" s="37"/>
      <c r="E6638" s="37"/>
      <c r="F6638" s="37"/>
      <c r="J6638" s="25"/>
      <c r="K6638" s="25"/>
      <c r="L6638" s="25"/>
      <c r="M6638" s="25"/>
      <c r="N6638" s="25"/>
      <c r="O6638" s="25"/>
    </row>
    <row r="6639" customFormat="false" ht="63" hidden="false" customHeight="true" outlineLevel="0" collapsed="false">
      <c r="B6639" s="37" t="str">
        <f aca="false">SUBSTITUTE(SUBSTITUTE(SUBSTITUTE(SUBSTITUTE(SUBSTITUTE(Txt_P3,"{cabinet}",Cab_Nom),"{societe}",IF($K$6616=0,"",INDEX(Clients!$E$2:$E$501,$K$6616)&amp;"")),"{date_effet}",$K$6618),"{hausse}",$K$6619),"{civilite}",$K$6617)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639" s="37"/>
      <c r="D6639" s="37"/>
      <c r="E6639" s="37"/>
      <c r="F6639" s="37"/>
      <c r="J6639" s="25"/>
      <c r="K6639" s="25"/>
      <c r="L6639" s="25"/>
      <c r="M6639" s="25"/>
      <c r="N6639" s="25"/>
      <c r="O6639" s="25"/>
    </row>
    <row r="6640" customFormat="false" ht="24" hidden="false" customHeight="true" outlineLevel="0" collapsed="false">
      <c r="B6640" s="37" t="str">
        <f aca="false">SUBSTITUTE(SUBSTITUTE(SUBSTITUTE(SUBSTITUTE(SUBSTITUTE(Txt_P4,"{cabinet}",Cab_Nom),"{societe}",IF($K$6616=0,"",INDEX(Clients!$E$2:$E$501,$K$6616)&amp;"")),"{date_effet}",$K$6618),"{hausse}",$K$6619),"{civilite}",$K$6617)</f>
        <v>À compter du 1er janvier 2027, vos honoraires annuels hors taxes évolueront ainsi (évolution globale : ) :</v>
      </c>
      <c r="C6640" s="37"/>
      <c r="D6640" s="37"/>
      <c r="E6640" s="37"/>
      <c r="F6640" s="37"/>
      <c r="J6640" s="25"/>
      <c r="K6640" s="25"/>
      <c r="L6640" s="25"/>
      <c r="M6640" s="25"/>
      <c r="N6640" s="25"/>
      <c r="O6640" s="25"/>
    </row>
    <row r="6641" customFormat="false" ht="3.75" hidden="false" customHeight="true" outlineLevel="0" collapsed="false">
      <c r="B6641" s="10"/>
      <c r="C6641" s="10"/>
      <c r="D6641" s="10"/>
      <c r="E6641" s="10"/>
      <c r="F6641" s="10"/>
      <c r="J6641" s="25"/>
      <c r="K6641" s="25"/>
      <c r="L6641" s="25"/>
      <c r="M6641" s="25"/>
      <c r="N6641" s="25"/>
      <c r="O6641" s="25"/>
    </row>
    <row r="6642" customFormat="false" ht="18" hidden="false" customHeight="true" outlineLevel="0" collapsed="false">
      <c r="B6642" s="38" t="s">
        <v>148</v>
      </c>
      <c r="C6642" s="39" t="s">
        <v>149</v>
      </c>
      <c r="D6642" s="39" t="s">
        <v>150</v>
      </c>
      <c r="E6642" s="39" t="s">
        <v>151</v>
      </c>
      <c r="F6642" s="39" t="s">
        <v>109</v>
      </c>
      <c r="J6642" s="25" t="s">
        <v>152</v>
      </c>
      <c r="K6642" s="25" t="s">
        <v>153</v>
      </c>
      <c r="L6642" s="25" t="s">
        <v>154</v>
      </c>
      <c r="M6642" s="25" t="s">
        <v>155</v>
      </c>
      <c r="N6642" s="25" t="s">
        <v>156</v>
      </c>
      <c r="O6642" s="25" t="s">
        <v>157</v>
      </c>
    </row>
    <row r="6643" customFormat="false" ht="16.5" hidden="false" customHeight="true" outlineLevel="0" collapsed="false">
      <c r="B6643" s="40" t="str">
        <f aca="false">IFERROR(INDEX($J$6643:$J$6646,MATCH($O6643,$N$6643:$N$6646,0)),"")</f>
        <v/>
      </c>
      <c r="C6643" s="41" t="str">
        <f aca="false">IFERROR(INDEX($K$6643:$K$6646,MATCH($O6643,$N$6643:$N$6646,0)),"")</f>
        <v/>
      </c>
      <c r="D6643" s="42" t="str">
        <f aca="false">IF(OR(E6643="",N(C6643)=0),"",E6643/C6643-1)</f>
        <v/>
      </c>
      <c r="E6643" s="41" t="str">
        <f aca="false">IFERROR(INDEX($L$6643:$L$6646,MATCH($O6643,$N$6643:$N$6646,0)),"")</f>
        <v/>
      </c>
      <c r="F6643" s="41" t="str">
        <f aca="false">IF(E6643="","",E6643-C6643)</f>
        <v/>
      </c>
      <c r="J6643" s="25" t="str">
        <f aca="false">Lib_Compta</f>
        <v>Mission comptable (tenue, révision, bilan, liasse fiscale)</v>
      </c>
      <c r="K6643" s="25" t="n">
        <f aca="false">IF($K$6616=0,0,N(INDEX(Clients!$K$2:$K$501,$K$6616)))</f>
        <v>0</v>
      </c>
      <c r="L6643" s="25" t="n">
        <f aca="false">IF($K$6616=0,0,N(INDEX(Clients!$P$2:$P$501,$K$6616)))</f>
        <v>0</v>
      </c>
      <c r="M6643" s="25" t="n">
        <f aca="false">IF(OR(K6643&lt;&gt;0,L6643&lt;&gt;0),1,0)</f>
        <v>0</v>
      </c>
      <c r="N6643" s="25" t="str">
        <f aca="false">IF(M6643=1,SUM($M$6643:M6643),"")</f>
        <v/>
      </c>
      <c r="O6643" s="25" t="n">
        <v>1</v>
      </c>
    </row>
    <row r="6644" customFormat="false" ht="16.5" hidden="false" customHeight="true" outlineLevel="0" collapsed="false">
      <c r="B6644" s="40" t="str">
        <f aca="false">IFERROR(INDEX($J$6643:$J$6646,MATCH($O6644,$N$6643:$N$6646,0)),"")</f>
        <v/>
      </c>
      <c r="C6644" s="41" t="str">
        <f aca="false">IFERROR(INDEX($K$6643:$K$6646,MATCH($O6644,$N$6643:$N$6646,0)),"")</f>
        <v/>
      </c>
      <c r="D6644" s="42" t="str">
        <f aca="false">IF(OR(E6644="",N(C6644)=0),"",E6644/C6644-1)</f>
        <v/>
      </c>
      <c r="E6644" s="41" t="str">
        <f aca="false">IFERROR(INDEX($L$6643:$L$6646,MATCH($O6644,$N$6643:$N$6646,0)),"")</f>
        <v/>
      </c>
      <c r="F6644" s="41" t="str">
        <f aca="false">IF(E6644="","",E6644-C6644)</f>
        <v/>
      </c>
      <c r="J6644" s="25" t="str">
        <f aca="false">Lib_Paye</f>
        <v>Mission sociale (bulletins de paie, DSN, déclarations sociales)</v>
      </c>
      <c r="K6644" s="25" t="n">
        <f aca="false">IF($K$6616=0,0,N(INDEX(Clients!$L$2:$L$501,$K$6616)))</f>
        <v>0</v>
      </c>
      <c r="L6644" s="25" t="n">
        <f aca="false">IF($K$6616=0,0,N(INDEX(Clients!$Q$2:$Q$501,$K$6616)))</f>
        <v>0</v>
      </c>
      <c r="M6644" s="25" t="n">
        <f aca="false">IF(OR(K6644&lt;&gt;0,L6644&lt;&gt;0),1,0)</f>
        <v>0</v>
      </c>
      <c r="N6644" s="25" t="str">
        <f aca="false">IF(M6644=1,SUM($M$6643:M6644),"")</f>
        <v/>
      </c>
      <c r="O6644" s="25" t="n">
        <v>2</v>
      </c>
    </row>
    <row r="6645" customFormat="false" ht="16.5" hidden="false" customHeight="true" outlineLevel="0" collapsed="false">
      <c r="B6645" s="40" t="str">
        <f aca="false">IFERROR(INDEX($J$6643:$J$6646,MATCH($O6645,$N$6643:$N$6646,0)),"")</f>
        <v/>
      </c>
      <c r="C6645" s="41" t="str">
        <f aca="false">IFERROR(INDEX($K$6643:$K$6646,MATCH($O6645,$N$6643:$N$6646,0)),"")</f>
        <v/>
      </c>
      <c r="D6645" s="42" t="str">
        <f aca="false">IF(OR(E6645="",N(C6645)=0),"",E6645/C6645-1)</f>
        <v/>
      </c>
      <c r="E6645" s="41" t="str">
        <f aca="false">IFERROR(INDEX($L$6643:$L$6646,MATCH($O6645,$N$6643:$N$6646,0)),"")</f>
        <v/>
      </c>
      <c r="F6645" s="41" t="str">
        <f aca="false">IF(E6645="","",E6645-C6645)</f>
        <v/>
      </c>
      <c r="J6645" s="25" t="str">
        <f aca="false">Lib_Jur</f>
        <v>Mission juridique (approbation des comptes, secrétariat juridique)</v>
      </c>
      <c r="K6645" s="25" t="n">
        <f aca="false">IF($K$6616=0,0,N(INDEX(Clients!$M$2:$M$501,$K$6616)))</f>
        <v>0</v>
      </c>
      <c r="L6645" s="25" t="n">
        <f aca="false">IF($K$6616=0,0,N(INDEX(Clients!$R$2:$R$501,$K$6616)))</f>
        <v>0</v>
      </c>
      <c r="M6645" s="25" t="n">
        <f aca="false">IF(OR(K6645&lt;&gt;0,L6645&lt;&gt;0),1,0)</f>
        <v>0</v>
      </c>
      <c r="N6645" s="25" t="str">
        <f aca="false">IF(M6645=1,SUM($M$6643:M6645),"")</f>
        <v/>
      </c>
      <c r="O6645" s="25" t="n">
        <v>3</v>
      </c>
    </row>
    <row r="6646" customFormat="false" ht="16.5" hidden="false" customHeight="true" outlineLevel="0" collapsed="false">
      <c r="B6646" s="40" t="str">
        <f aca="false">IFERROR(INDEX($J$6643:$J$6646,MATCH($O6646,$N$6643:$N$6646,0)),"")</f>
        <v/>
      </c>
      <c r="C6646" s="41" t="str">
        <f aca="false">IFERROR(INDEX($K$6643:$K$6646,MATCH($O6646,$N$6643:$N$6646,0)),"")</f>
        <v/>
      </c>
      <c r="D6646" s="42" t="str">
        <f aca="false">IF(OR(E6646="",N(C6646)=0),"",E6646/C6646-1)</f>
        <v/>
      </c>
      <c r="E6646" s="41" t="str">
        <f aca="false">IFERROR(INDEX($L$6643:$L$6646,MATCH($O6646,$N$6643:$N$6646,0)),"")</f>
        <v/>
      </c>
      <c r="F6646" s="41" t="str">
        <f aca="false">IF(E6646="","",E6646-C6646)</f>
        <v/>
      </c>
      <c r="J6646" s="25" t="str">
        <f aca="false">Lib_PA</f>
        <v>Plateforme agréée – facturation électronique</v>
      </c>
      <c r="K6646" s="25" t="n">
        <f aca="false">IF($K$6616=0,0,N(INDEX(Clients!$N$2:$N$501,$K$6616)))</f>
        <v>0</v>
      </c>
      <c r="L6646" s="25" t="n">
        <f aca="false">IF($K$6616=0,0,N(INDEX(Clients!$S$2:$S$501,$K$6616)))</f>
        <v>0</v>
      </c>
      <c r="M6646" s="25" t="n">
        <f aca="false">IF(OR(K6646&lt;&gt;0,L6646&lt;&gt;0),1,0)</f>
        <v>0</v>
      </c>
      <c r="N6646" s="25" t="str">
        <f aca="false">IF(M6646=1,SUM($M$6643:M6646),"")</f>
        <v/>
      </c>
      <c r="O6646" s="25" t="n">
        <v>4</v>
      </c>
    </row>
    <row r="6647" customFormat="false" ht="18" hidden="false" customHeight="true" outlineLevel="0" collapsed="false">
      <c r="B6647" s="43" t="s">
        <v>158</v>
      </c>
      <c r="C6647" s="44" t="n">
        <f aca="false">SUM(K6643:K6646)</f>
        <v>0</v>
      </c>
      <c r="D6647" s="45" t="str">
        <f aca="false">IF(N(C6647)=0,"",E6647/C6647-1)</f>
        <v/>
      </c>
      <c r="E6647" s="44" t="n">
        <f aca="false">SUM(L6643:L6646)</f>
        <v>0</v>
      </c>
      <c r="F6647" s="44" t="n">
        <f aca="false">E6647-C6647</f>
        <v>0</v>
      </c>
    </row>
    <row r="6648" customFormat="false" ht="15" hidden="false" customHeight="false" outlineLevel="0" collapsed="false">
      <c r="B6648" s="46" t="str">
        <f aca="false">IF(N(Nb_Mensualites)=0,"","Soit "&amp;FIXED(E6647/Nb_Mensualites,2)&amp;" € HT par échéance ("&amp;Nb_Mensualites&amp;" échéances), "&amp;FIXED(E6647/Nb_Mensualites*(1+Taux_TVA),2)&amp;" € TTC.")</f>
        <v>Soit 0.00 € HT par échéance (12 échéances), 0.00 € TTC.</v>
      </c>
      <c r="C6648" s="46"/>
      <c r="D6648" s="46"/>
      <c r="E6648" s="46"/>
      <c r="F6648" s="46"/>
    </row>
    <row r="6649" customFormat="false" ht="7.5" hidden="false" customHeight="true" outlineLevel="0" collapsed="false">
      <c r="B6649" s="10"/>
      <c r="C6649" s="10"/>
      <c r="D6649" s="10"/>
      <c r="E6649" s="10"/>
      <c r="F6649" s="10"/>
    </row>
    <row r="6650" customFormat="false" ht="36.75" hidden="false" customHeight="true" outlineLevel="0" collapsed="false">
      <c r="B6650" s="37" t="str">
        <f aca="false">SUBSTITUTE(SUBSTITUTE(SUBSTITUTE(SUBSTITUTE(SUBSTITUTE(Txt_P5,"{cabinet}",Cab_Nom),"{societe}",IF($K$6616=0,"",INDEX(Clients!$E$2:$E$501,$K$6616)&amp;"")),"{date_effet}",$K$6618),"{hausse}",$K$6619),"{civilite}",$K$6617)</f>
        <v>Les autres conditions de votre lettre de mission demeurent inchangées. Les nouveaux montants seront appliqués automatiquement sur vos prochaines factures et échéances de prélèvement.</v>
      </c>
      <c r="C6650" s="37"/>
      <c r="D6650" s="37"/>
      <c r="E6650" s="37"/>
      <c r="F6650" s="37"/>
    </row>
    <row r="6651" customFormat="false" ht="36.75" hidden="false" customHeight="true" outlineLevel="0" collapsed="false">
      <c r="B6651" s="37" t="str">
        <f aca="false">SUBSTITUTE(SUBSTITUTE(SUBSTITUTE(SUBSTITUTE(SUBSTITUTE(Txt_P6,"{cabinet}",Cab_Nom),"{societe}",IF($K$6616=0,"",INDEX(Clients!$E$2:$E$501,$K$6616)&amp;"")),"{date_effet}",$K$6618),"{hausse}",$K$6619),"{civilite}",$K$6617)</f>
        <v>Votre interlocuteur habituel reste à votre entière disposition pour répondre à vos questions et faire le point sur l'évolution de vos besoins.</v>
      </c>
      <c r="C6651" s="37"/>
      <c r="D6651" s="37"/>
      <c r="E6651" s="37"/>
      <c r="F6651" s="37"/>
    </row>
    <row r="6652" customFormat="false" ht="24" hidden="false" customHeight="true" outlineLevel="0" collapsed="false">
      <c r="B6652" s="37" t="str">
        <f aca="false">SUBSTITUTE(SUBSTITUTE(SUBSTITUTE(SUBSTITUTE(SUBSTITUTE(Txt_Politesse,"{cabinet}",Cab_Nom),"{societe}",IF($K$6616=0,"",INDEX(Clients!$E$2:$E$501,$K$6616)&amp;"")),"{date_effet}",$K$6618),"{hausse}",$K$6619),"{civilite}",$K$6617)</f>
        <v>Nous vous prions d'agréer, Madame, Monsieur, l'expression de nos salutations distinguées.</v>
      </c>
      <c r="C6652" s="37"/>
      <c r="D6652" s="37"/>
      <c r="E6652" s="37"/>
      <c r="F6652" s="37"/>
    </row>
    <row r="6653" customFormat="false" ht="15" hidden="false" customHeight="false" outlineLevel="0" collapsed="false">
      <c r="B6653" s="10"/>
      <c r="C6653" s="10"/>
      <c r="D6653" s="10"/>
      <c r="E6653" s="10"/>
      <c r="F6653" s="10"/>
    </row>
    <row r="6654" customFormat="false" ht="15" hidden="false" customHeight="false" outlineLevel="0" collapsed="false">
      <c r="B6654" s="10"/>
      <c r="C6654" s="10"/>
      <c r="D6654" s="34" t="str">
        <f aca="false">Signataire</f>
        <v>Prénom NOM</v>
      </c>
      <c r="E6654" s="34"/>
      <c r="F6654" s="34"/>
    </row>
    <row r="6655" customFormat="false" ht="15" hidden="false" customHeight="false" outlineLevel="0" collapsed="false">
      <c r="B6655" s="10"/>
      <c r="C6655" s="10"/>
      <c r="D6655" s="47" t="str">
        <f aca="false">Signataire_Titre</f>
        <v>Expert-comptable associé</v>
      </c>
      <c r="E6655" s="47"/>
      <c r="F6655" s="47"/>
    </row>
    <row r="6656" customFormat="false" ht="15.75" hidden="false" customHeight="true" outlineLevel="0" collapsed="false">
      <c r="B6656" s="10"/>
      <c r="C6656" s="10"/>
      <c r="D6656" s="10"/>
      <c r="E6656" s="10"/>
      <c r="F6656" s="10"/>
    </row>
    <row r="6657" customFormat="false" ht="15.75" hidden="false" customHeight="true" outlineLevel="0" collapsed="false">
      <c r="B6657" s="10"/>
      <c r="C6657" s="10"/>
      <c r="D6657" s="10"/>
      <c r="E6657" s="10"/>
      <c r="F6657" s="10"/>
    </row>
    <row r="6658" customFormat="false" ht="15.75" hidden="false" customHeight="true" outlineLevel="0" collapsed="false">
      <c r="B6658" s="10"/>
      <c r="C6658" s="10"/>
      <c r="D6658" s="10"/>
      <c r="E6658" s="10"/>
      <c r="F6658" s="10"/>
    </row>
    <row r="6659" customFormat="false" ht="15.75" hidden="false" customHeight="true" outlineLevel="0" collapsed="false">
      <c r="B6659" s="10"/>
      <c r="C6659" s="10"/>
      <c r="D6659" s="10"/>
      <c r="E6659" s="10"/>
      <c r="F6659" s="10"/>
    </row>
    <row r="6660" customFormat="false" ht="24" hidden="false" customHeight="true" outlineLevel="0" collapsed="false">
      <c r="B6660" s="48" t="str">
        <f aca="false">Cab_Mentions</f>
        <v>ALTHO EXPERTISE · SAS au capital de 10 000 € · RCS Pontoise 919 706 325 · TVA FR62919706325 · Société d'expertise comptable inscrite au Tableau de l'Ordre des experts-comptables de Paris Île-de-France</v>
      </c>
      <c r="C6660" s="48"/>
      <c r="D6660" s="48"/>
      <c r="E6660" s="48"/>
      <c r="F6660" s="48"/>
    </row>
    <row r="6661" customFormat="false" ht="15" hidden="false" customHeight="false" outlineLevel="0" collapsed="false">
      <c r="B6661" s="10"/>
      <c r="C6661" s="10"/>
      <c r="D6661" s="10"/>
      <c r="E6661" s="10"/>
      <c r="F6661" s="10"/>
      <c r="J6661" s="25" t="s">
        <v>142</v>
      </c>
      <c r="K6661" s="25" t="n">
        <f aca="false">IFERROR(MATCH(149,Clients!$Z$2:$Z$501,0),0)</f>
        <v>0</v>
      </c>
      <c r="L6661" s="25"/>
      <c r="M6661" s="25"/>
      <c r="N6661" s="25"/>
      <c r="O6661" s="25"/>
    </row>
    <row r="6662" customFormat="false" ht="21.75" hidden="false" customHeight="true" outlineLevel="0" collapsed="false">
      <c r="B6662" s="26" t="str">
        <f aca="false">Cab_Nom</f>
        <v>ALTHO EXPERTISE</v>
      </c>
      <c r="C6662" s="26"/>
      <c r="D6662" s="10"/>
      <c r="E6662" s="27" t="str">
        <f aca="false">IF($K$6661=0,"","Réf. client : "&amp;INDEX(Clients!$A$2:$A$501,$K$6661))</f>
        <v/>
      </c>
      <c r="F6662" s="27"/>
      <c r="J6662" s="25" t="s">
        <v>144</v>
      </c>
      <c r="K6662" s="25" t="str">
        <f aca="false">IF(IF($K$6661=0,"",INDEX(Clients!$B$2:$B$501,$K$6661)&amp;"")="Mme","Madame",IF(IF($K$6661=0,"",INDEX(Clients!$B$2:$B$501,$K$6661)&amp;"")="M.","Monsieur","Madame, Monsieur"))</f>
        <v>Madame, Monsieur</v>
      </c>
      <c r="L6662" s="25"/>
      <c r="M6662" s="25"/>
      <c r="N6662" s="25"/>
      <c r="O6662" s="25"/>
    </row>
    <row r="6663" customFormat="false" ht="15" hidden="false" customHeight="false" outlineLevel="0" collapsed="false">
      <c r="B6663" s="29" t="str">
        <f aca="false">Cab_Adr1</f>
        <v>141 rue Charles de Gaulle</v>
      </c>
      <c r="C6663" s="29"/>
      <c r="D6663" s="10"/>
      <c r="E6663" s="10"/>
      <c r="F6663" s="10"/>
      <c r="J6663" s="25" t="s">
        <v>145</v>
      </c>
      <c r="K6663" s="25" t="str">
        <f aca="false">DAY(Date_Effet)&amp;IF(DAY(Date_Effet)=1,"er","")&amp;" "&amp;INDEX(Liste_Mois,MONTH(Date_Effet))&amp;" "&amp;YEAR(Date_Effet)</f>
        <v>1er janvier 2027</v>
      </c>
      <c r="L6663" s="25"/>
      <c r="M6663" s="25"/>
      <c r="N6663" s="25"/>
      <c r="O6663" s="25"/>
    </row>
    <row r="6664" customFormat="false" ht="15" hidden="false" customHeight="false" outlineLevel="0" collapsed="false">
      <c r="B6664" s="29" t="str">
        <f aca="false">Cab_CPVille</f>
        <v>95130 LE PLESSIS-BOUCHARD</v>
      </c>
      <c r="C6664" s="29"/>
      <c r="D6664" s="10"/>
      <c r="E6664" s="10"/>
      <c r="F6664" s="10"/>
      <c r="J6664" s="25" t="s">
        <v>146</v>
      </c>
      <c r="K6664" s="25" t="str">
        <f aca="false">IF(SUM($K$6688:$K$6691)=0,"",FIXED((SUM($L$6688:$L$6691)/SUM($K$6688:$K$6691)-1)*100,1)&amp;" %")</f>
        <v/>
      </c>
      <c r="L6664" s="25"/>
      <c r="M6664" s="25"/>
      <c r="N6664" s="25"/>
      <c r="O6664" s="25"/>
    </row>
    <row r="6665" customFormat="false" ht="15" hidden="false" customHeight="false" outlineLevel="0" collapsed="false">
      <c r="B6665" s="29" t="str">
        <f aca="false">Cab_Contact</f>
        <v>Tél. 01 34 14 53 45  ·  altho@altho-experts.com  ·  altho-experts.com</v>
      </c>
      <c r="C6665" s="29"/>
      <c r="D6665" s="10"/>
      <c r="E6665" s="10"/>
      <c r="F6665" s="10"/>
      <c r="J6665" s="25"/>
      <c r="K6665" s="25"/>
      <c r="L6665" s="25"/>
      <c r="M6665" s="25"/>
      <c r="N6665" s="25"/>
      <c r="O6665" s="25"/>
    </row>
    <row r="6666" customFormat="false" ht="6" hidden="false" customHeight="true" outlineLevel="0" collapsed="false">
      <c r="B6666" s="32"/>
      <c r="C6666" s="32"/>
      <c r="D6666" s="32"/>
      <c r="E6666" s="32"/>
      <c r="F6666" s="32"/>
      <c r="J6666" s="25"/>
      <c r="K6666" s="25"/>
      <c r="L6666" s="25"/>
      <c r="M6666" s="25"/>
      <c r="N6666" s="25"/>
      <c r="O6666" s="25"/>
    </row>
    <row r="6667" customFormat="false" ht="13.5" hidden="false" customHeight="true" outlineLevel="0" collapsed="false">
      <c r="B6667" s="10"/>
      <c r="C6667" s="10"/>
      <c r="D6667" s="10"/>
      <c r="E6667" s="10"/>
      <c r="F6667" s="10"/>
      <c r="J6667" s="25"/>
      <c r="K6667" s="25"/>
      <c r="L6667" s="25"/>
      <c r="M6667" s="25"/>
      <c r="N6667" s="25"/>
      <c r="O6667" s="25"/>
    </row>
    <row r="6668" customFormat="false" ht="13.5" hidden="false" customHeight="true" outlineLevel="0" collapsed="false">
      <c r="B6668" s="10"/>
      <c r="C6668" s="10"/>
      <c r="D6668" s="10"/>
      <c r="E6668" s="10"/>
      <c r="F6668" s="10"/>
      <c r="J6668" s="25"/>
      <c r="K6668" s="25"/>
      <c r="L6668" s="25"/>
      <c r="M6668" s="25"/>
      <c r="N6668" s="25"/>
      <c r="O6668" s="25"/>
    </row>
    <row r="6669" customFormat="false" ht="13.5" hidden="false" customHeight="true" outlineLevel="0" collapsed="false">
      <c r="B6669" s="10"/>
      <c r="C6669" s="10"/>
      <c r="D6669" s="10"/>
      <c r="E6669" s="10"/>
      <c r="F6669" s="10"/>
      <c r="J6669" s="25"/>
      <c r="K6669" s="25"/>
      <c r="L6669" s="25"/>
      <c r="M6669" s="25"/>
      <c r="N6669" s="25"/>
      <c r="O6669" s="25"/>
    </row>
    <row r="6670" customFormat="false" ht="15" hidden="false" customHeight="true" outlineLevel="0" collapsed="false">
      <c r="B6670" s="10"/>
      <c r="C6670" s="10"/>
      <c r="D6670" s="34" t="str">
        <f aca="false">IF($K$6661=0,"",INDEX(Clients!$E$2:$E$501,$K$6661)&amp;"")</f>
        <v/>
      </c>
      <c r="E6670" s="34"/>
      <c r="F6670" s="34"/>
      <c r="J6670" s="25"/>
      <c r="K6670" s="25"/>
      <c r="L6670" s="25"/>
      <c r="M6670" s="25"/>
      <c r="N6670" s="25"/>
      <c r="O6670" s="25"/>
    </row>
    <row r="6671" customFormat="false" ht="15" hidden="false" customHeight="true" outlineLevel="0" collapsed="false">
      <c r="B6671" s="10"/>
      <c r="C6671" s="10"/>
      <c r="D6671" s="35" t="str">
        <f aca="false">IF(IF($K$6661=0,"",INDEX(Clients!$D$2:$D$501,$K$6661)&amp;"")="","","À l'attention de "&amp;TRIM(IF($K$6661=0,"",INDEX(Clients!$B$2:$B$501,$K$6661)&amp;"")&amp;" "&amp;IF($K$6661=0,"",INDEX(Clients!$C$2:$C$501,$K$6661)&amp;"")&amp;" "&amp;IF($K$6661=0,"",INDEX(Clients!$D$2:$D$501,$K$6661)&amp;"")))</f>
        <v/>
      </c>
      <c r="E6671" s="35"/>
      <c r="F6671" s="35"/>
      <c r="J6671" s="25"/>
      <c r="K6671" s="25"/>
      <c r="L6671" s="25"/>
      <c r="M6671" s="25"/>
      <c r="N6671" s="25"/>
      <c r="O6671" s="25"/>
    </row>
    <row r="6672" customFormat="false" ht="15" hidden="false" customHeight="true" outlineLevel="0" collapsed="false">
      <c r="B6672" s="10"/>
      <c r="C6672" s="10"/>
      <c r="D6672" s="35" t="str">
        <f aca="false">IF($K$6661=0,"",INDEX(Clients!$F$2:$F$501,$K$6661)&amp;"")</f>
        <v/>
      </c>
      <c r="E6672" s="35"/>
      <c r="F6672" s="35"/>
      <c r="J6672" s="25"/>
      <c r="K6672" s="25"/>
      <c r="L6672" s="25"/>
      <c r="M6672" s="25"/>
      <c r="N6672" s="25"/>
      <c r="O6672" s="25"/>
    </row>
    <row r="6673" customFormat="false" ht="15" hidden="false" customHeight="true" outlineLevel="0" collapsed="false">
      <c r="B6673" s="10"/>
      <c r="C6673" s="10"/>
      <c r="D6673" s="35" t="str">
        <f aca="false">IF(IF($K$6661=0,"",INDEX(Clients!$G$2:$G$501,$K$6661)&amp;"")="",TRIM(IF($K$6661=0,"",INDEX(Clients!$H$2:$H$501,$K$6661)&amp;"")&amp;" "&amp;UPPER(IF($K$6661=0,"",INDEX(Clients!$I$2:$I$501,$K$6661)&amp;""))),IF($K$6661=0,"",INDEX(Clients!$G$2:$G$501,$K$6661)&amp;""))</f>
        <v/>
      </c>
      <c r="E6673" s="35"/>
      <c r="F6673" s="35"/>
      <c r="J6673" s="25"/>
      <c r="K6673" s="25"/>
      <c r="L6673" s="25"/>
      <c r="M6673" s="25"/>
      <c r="N6673" s="25"/>
      <c r="O6673" s="25"/>
    </row>
    <row r="6674" customFormat="false" ht="15" hidden="false" customHeight="true" outlineLevel="0" collapsed="false">
      <c r="B6674" s="10"/>
      <c r="C6674" s="10"/>
      <c r="D6674" s="35" t="str">
        <f aca="false">IF(IF($K$6661=0,"",INDEX(Clients!$G$2:$G$501,$K$6661)&amp;"")="","",TRIM(IF($K$6661=0,"",INDEX(Clients!$H$2:$H$501,$K$6661)&amp;"")&amp;" "&amp;UPPER(IF($K$6661=0,"",INDEX(Clients!$I$2:$I$501,$K$6661)&amp;""))))</f>
        <v/>
      </c>
      <c r="E6674" s="35"/>
      <c r="F6674" s="35"/>
      <c r="J6674" s="25"/>
      <c r="K6674" s="25"/>
      <c r="L6674" s="25"/>
      <c r="M6674" s="25"/>
      <c r="N6674" s="25"/>
      <c r="O6674" s="25"/>
    </row>
    <row r="6675" customFormat="false" ht="25.5" hidden="false" customHeight="true" outlineLevel="0" collapsed="false">
      <c r="B6675" s="10"/>
      <c r="C6675" s="10"/>
      <c r="D6675" s="10"/>
      <c r="E6675" s="10"/>
      <c r="F6675" s="10"/>
      <c r="J6675" s="25"/>
      <c r="K6675" s="25"/>
      <c r="L6675" s="25"/>
      <c r="M6675" s="25"/>
      <c r="N6675" s="25"/>
      <c r="O6675" s="25"/>
    </row>
    <row r="6676" customFormat="false" ht="15" hidden="false" customHeight="false" outlineLevel="0" collapsed="false">
      <c r="B6676" s="10"/>
      <c r="C6676" s="10"/>
      <c r="D6676" s="36" t="str">
        <f aca="false">Cab_Ville&amp;", le "&amp;DAY(Date_Courrier)&amp;IF(DAY(Date_Courrier)=1,"er","")&amp;" "&amp;INDEX(Liste_Mois,MONTH(Date_Courrier))&amp;" "&amp;YEAR(Date_Courrier)</f>
        <v>Le Plessis-Bouchard, le 22 septembre 2026</v>
      </c>
      <c r="E6676" s="36"/>
      <c r="F6676" s="36"/>
      <c r="J6676" s="25"/>
      <c r="K6676" s="25"/>
      <c r="L6676" s="25"/>
      <c r="M6676" s="25"/>
      <c r="N6676" s="25"/>
      <c r="O6676" s="25"/>
    </row>
    <row r="6677" customFormat="false" ht="19.5" hidden="false" customHeight="true" outlineLevel="0" collapsed="false">
      <c r="B6677" s="10"/>
      <c r="C6677" s="10"/>
      <c r="D6677" s="10"/>
      <c r="E6677" s="10"/>
      <c r="F6677" s="10"/>
      <c r="J6677" s="25"/>
      <c r="K6677" s="25"/>
      <c r="L6677" s="25"/>
      <c r="M6677" s="25"/>
      <c r="N6677" s="25"/>
      <c r="O6677" s="25"/>
    </row>
    <row r="6678" customFormat="false" ht="15" hidden="false" customHeight="false" outlineLevel="0" collapsed="false">
      <c r="B6678" s="34" t="str">
        <f aca="false">SUBSTITUTE(SUBSTITUTE(SUBSTITUTE(SUBSTITUTE(SUBSTITUTE(Txt_Objet,"{cabinet}",Cab_Nom),"{societe}",IF($K$6661=0,"",INDEX(Clients!$E$2:$E$501,$K$6661)&amp;"")),"{date_effet}",$K$6663),"{hausse}",$K$6664),"{civilite}",$K$6662)</f>
        <v>Objet : révision de nos honoraires au 1er janvier 2027</v>
      </c>
      <c r="C6678" s="34"/>
      <c r="D6678" s="34"/>
      <c r="E6678" s="34"/>
      <c r="F6678" s="34"/>
      <c r="J6678" s="25"/>
      <c r="K6678" s="25"/>
      <c r="L6678" s="25"/>
      <c r="M6678" s="25"/>
      <c r="N6678" s="25"/>
      <c r="O6678" s="25"/>
    </row>
    <row r="6679" customFormat="false" ht="13.5" hidden="false" customHeight="true" outlineLevel="0" collapsed="false">
      <c r="B6679" s="10"/>
      <c r="C6679" s="10"/>
      <c r="D6679" s="10"/>
      <c r="E6679" s="10"/>
      <c r="F6679" s="10"/>
      <c r="J6679" s="25"/>
      <c r="K6679" s="25"/>
      <c r="L6679" s="25"/>
      <c r="M6679" s="25"/>
      <c r="N6679" s="25"/>
      <c r="O6679" s="25"/>
    </row>
    <row r="6680" customFormat="false" ht="15" hidden="false" customHeight="false" outlineLevel="0" collapsed="false">
      <c r="B6680" s="10" t="str">
        <f aca="false">$K$6662&amp;","</f>
        <v>Madame, Monsieur,</v>
      </c>
      <c r="C6680" s="10"/>
      <c r="D6680" s="10"/>
      <c r="E6680" s="10"/>
      <c r="F6680" s="10"/>
      <c r="J6680" s="25"/>
      <c r="K6680" s="25"/>
      <c r="L6680" s="25"/>
      <c r="M6680" s="25"/>
      <c r="N6680" s="25"/>
      <c r="O6680" s="25"/>
    </row>
    <row r="6681" customFormat="false" ht="6" hidden="false" customHeight="true" outlineLevel="0" collapsed="false">
      <c r="B6681" s="10"/>
      <c r="C6681" s="10"/>
      <c r="D6681" s="10"/>
      <c r="E6681" s="10"/>
      <c r="F6681" s="10"/>
      <c r="J6681" s="25"/>
      <c r="K6681" s="25"/>
      <c r="L6681" s="25"/>
      <c r="M6681" s="25"/>
      <c r="N6681" s="25"/>
      <c r="O6681" s="25"/>
    </row>
    <row r="6682" customFormat="false" ht="36.75" hidden="false" customHeight="true" outlineLevel="0" collapsed="false">
      <c r="B6682" s="37" t="str">
        <f aca="false">SUBSTITUTE(SUBSTITUTE(SUBSTITUTE(SUBSTITUTE(SUBSTITUTE(Txt_P1,"{cabinet}",Cab_Nom),"{societe}",IF($K$6661=0,"",INDEX(Clients!$E$2:$E$501,$K$6661)&amp;"")),"{date_effet}",$K$6663),"{hausse}",$K$6664),"{civilite}",$K$6662)</f>
        <v>Nous tenons tout d'abord à vous remercier pour la confiance que vous accordez à ALTHO EXPERTISE. Comme chaque année, et conformément aux dispositions de votre lettre de mission, nous procédons à la révision de nos honoraires.</v>
      </c>
      <c r="C6682" s="37"/>
      <c r="D6682" s="37"/>
      <c r="E6682" s="37"/>
      <c r="F6682" s="37"/>
      <c r="J6682" s="25"/>
      <c r="K6682" s="25"/>
      <c r="L6682" s="25"/>
      <c r="M6682" s="25"/>
      <c r="N6682" s="25"/>
      <c r="O6682" s="25"/>
    </row>
    <row r="6683" customFormat="false" ht="49.5" hidden="false" customHeight="true" outlineLevel="0" collapsed="false">
      <c r="B6683" s="37" t="str">
        <f aca="false">SUBSTITUTE(SUBSTITUTE(SUBSTITUTE(SUBSTITUTE(SUBSTITUTE(Txt_P2,"{cabinet}",Cab_Nom),"{societe}",IF($K$6661=0,"",INDEX(Clients!$E$2:$E$501,$K$6661)&amp;"")),"{date_effet}",$K$6663),"{hausse}",$K$6664),"{civilite}",$K$6662)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683" s="37"/>
      <c r="D6683" s="37"/>
      <c r="E6683" s="37"/>
      <c r="F6683" s="37"/>
      <c r="J6683" s="25"/>
      <c r="K6683" s="25"/>
      <c r="L6683" s="25"/>
      <c r="M6683" s="25"/>
      <c r="N6683" s="25"/>
      <c r="O6683" s="25"/>
    </row>
    <row r="6684" customFormat="false" ht="63" hidden="false" customHeight="true" outlineLevel="0" collapsed="false">
      <c r="B6684" s="37" t="str">
        <f aca="false">SUBSTITUTE(SUBSTITUTE(SUBSTITUTE(SUBSTITUTE(SUBSTITUTE(Txt_P3,"{cabinet}",Cab_Nom),"{societe}",IF($K$6661=0,"",INDEX(Clients!$E$2:$E$501,$K$6661)&amp;"")),"{date_effet}",$K$6663),"{hausse}",$K$6664),"{civilite}",$K$6662)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684" s="37"/>
      <c r="D6684" s="37"/>
      <c r="E6684" s="37"/>
      <c r="F6684" s="37"/>
      <c r="J6684" s="25"/>
      <c r="K6684" s="25"/>
      <c r="L6684" s="25"/>
      <c r="M6684" s="25"/>
      <c r="N6684" s="25"/>
      <c r="O6684" s="25"/>
    </row>
    <row r="6685" customFormat="false" ht="24" hidden="false" customHeight="true" outlineLevel="0" collapsed="false">
      <c r="B6685" s="37" t="str">
        <f aca="false">SUBSTITUTE(SUBSTITUTE(SUBSTITUTE(SUBSTITUTE(SUBSTITUTE(Txt_P4,"{cabinet}",Cab_Nom),"{societe}",IF($K$6661=0,"",INDEX(Clients!$E$2:$E$501,$K$6661)&amp;"")),"{date_effet}",$K$6663),"{hausse}",$K$6664),"{civilite}",$K$6662)</f>
        <v>À compter du 1er janvier 2027, vos honoraires annuels hors taxes évolueront ainsi (évolution globale : ) :</v>
      </c>
      <c r="C6685" s="37"/>
      <c r="D6685" s="37"/>
      <c r="E6685" s="37"/>
      <c r="F6685" s="37"/>
      <c r="J6685" s="25"/>
      <c r="K6685" s="25"/>
      <c r="L6685" s="25"/>
      <c r="M6685" s="25"/>
      <c r="N6685" s="25"/>
      <c r="O6685" s="25"/>
    </row>
    <row r="6686" customFormat="false" ht="3.75" hidden="false" customHeight="true" outlineLevel="0" collapsed="false">
      <c r="B6686" s="10"/>
      <c r="C6686" s="10"/>
      <c r="D6686" s="10"/>
      <c r="E6686" s="10"/>
      <c r="F6686" s="10"/>
      <c r="J6686" s="25"/>
      <c r="K6686" s="25"/>
      <c r="L6686" s="25"/>
      <c r="M6686" s="25"/>
      <c r="N6686" s="25"/>
      <c r="O6686" s="25"/>
    </row>
    <row r="6687" customFormat="false" ht="18" hidden="false" customHeight="true" outlineLevel="0" collapsed="false">
      <c r="B6687" s="38" t="s">
        <v>148</v>
      </c>
      <c r="C6687" s="39" t="s">
        <v>149</v>
      </c>
      <c r="D6687" s="39" t="s">
        <v>150</v>
      </c>
      <c r="E6687" s="39" t="s">
        <v>151</v>
      </c>
      <c r="F6687" s="39" t="s">
        <v>109</v>
      </c>
      <c r="J6687" s="25" t="s">
        <v>152</v>
      </c>
      <c r="K6687" s="25" t="s">
        <v>153</v>
      </c>
      <c r="L6687" s="25" t="s">
        <v>154</v>
      </c>
      <c r="M6687" s="25" t="s">
        <v>155</v>
      </c>
      <c r="N6687" s="25" t="s">
        <v>156</v>
      </c>
      <c r="O6687" s="25" t="s">
        <v>157</v>
      </c>
    </row>
    <row r="6688" customFormat="false" ht="16.5" hidden="false" customHeight="true" outlineLevel="0" collapsed="false">
      <c r="B6688" s="40" t="str">
        <f aca="false">IFERROR(INDEX($J$6688:$J$6691,MATCH($O6688,$N$6688:$N$6691,0)),"")</f>
        <v/>
      </c>
      <c r="C6688" s="41" t="str">
        <f aca="false">IFERROR(INDEX($K$6688:$K$6691,MATCH($O6688,$N$6688:$N$6691,0)),"")</f>
        <v/>
      </c>
      <c r="D6688" s="42" t="str">
        <f aca="false">IF(OR(E6688="",N(C6688)=0),"",E6688/C6688-1)</f>
        <v/>
      </c>
      <c r="E6688" s="41" t="str">
        <f aca="false">IFERROR(INDEX($L$6688:$L$6691,MATCH($O6688,$N$6688:$N$6691,0)),"")</f>
        <v/>
      </c>
      <c r="F6688" s="41" t="str">
        <f aca="false">IF(E6688="","",E6688-C6688)</f>
        <v/>
      </c>
      <c r="J6688" s="25" t="str">
        <f aca="false">Lib_Compta</f>
        <v>Mission comptable (tenue, révision, bilan, liasse fiscale)</v>
      </c>
      <c r="K6688" s="25" t="n">
        <f aca="false">IF($K$6661=0,0,N(INDEX(Clients!$K$2:$K$501,$K$6661)))</f>
        <v>0</v>
      </c>
      <c r="L6688" s="25" t="n">
        <f aca="false">IF($K$6661=0,0,N(INDEX(Clients!$P$2:$P$501,$K$6661)))</f>
        <v>0</v>
      </c>
      <c r="M6688" s="25" t="n">
        <f aca="false">IF(OR(K6688&lt;&gt;0,L6688&lt;&gt;0),1,0)</f>
        <v>0</v>
      </c>
      <c r="N6688" s="25" t="str">
        <f aca="false">IF(M6688=1,SUM($M$6688:M6688),"")</f>
        <v/>
      </c>
      <c r="O6688" s="25" t="n">
        <v>1</v>
      </c>
    </row>
    <row r="6689" customFormat="false" ht="16.5" hidden="false" customHeight="true" outlineLevel="0" collapsed="false">
      <c r="B6689" s="40" t="str">
        <f aca="false">IFERROR(INDEX($J$6688:$J$6691,MATCH($O6689,$N$6688:$N$6691,0)),"")</f>
        <v/>
      </c>
      <c r="C6689" s="41" t="str">
        <f aca="false">IFERROR(INDEX($K$6688:$K$6691,MATCH($O6689,$N$6688:$N$6691,0)),"")</f>
        <v/>
      </c>
      <c r="D6689" s="42" t="str">
        <f aca="false">IF(OR(E6689="",N(C6689)=0),"",E6689/C6689-1)</f>
        <v/>
      </c>
      <c r="E6689" s="41" t="str">
        <f aca="false">IFERROR(INDEX($L$6688:$L$6691,MATCH($O6689,$N$6688:$N$6691,0)),"")</f>
        <v/>
      </c>
      <c r="F6689" s="41" t="str">
        <f aca="false">IF(E6689="","",E6689-C6689)</f>
        <v/>
      </c>
      <c r="J6689" s="25" t="str">
        <f aca="false">Lib_Paye</f>
        <v>Mission sociale (bulletins de paie, DSN, déclarations sociales)</v>
      </c>
      <c r="K6689" s="25" t="n">
        <f aca="false">IF($K$6661=0,0,N(INDEX(Clients!$L$2:$L$501,$K$6661)))</f>
        <v>0</v>
      </c>
      <c r="L6689" s="25" t="n">
        <f aca="false">IF($K$6661=0,0,N(INDEX(Clients!$Q$2:$Q$501,$K$6661)))</f>
        <v>0</v>
      </c>
      <c r="M6689" s="25" t="n">
        <f aca="false">IF(OR(K6689&lt;&gt;0,L6689&lt;&gt;0),1,0)</f>
        <v>0</v>
      </c>
      <c r="N6689" s="25" t="str">
        <f aca="false">IF(M6689=1,SUM($M$6688:M6689),"")</f>
        <v/>
      </c>
      <c r="O6689" s="25" t="n">
        <v>2</v>
      </c>
    </row>
    <row r="6690" customFormat="false" ht="16.5" hidden="false" customHeight="true" outlineLevel="0" collapsed="false">
      <c r="B6690" s="40" t="str">
        <f aca="false">IFERROR(INDEX($J$6688:$J$6691,MATCH($O6690,$N$6688:$N$6691,0)),"")</f>
        <v/>
      </c>
      <c r="C6690" s="41" t="str">
        <f aca="false">IFERROR(INDEX($K$6688:$K$6691,MATCH($O6690,$N$6688:$N$6691,0)),"")</f>
        <v/>
      </c>
      <c r="D6690" s="42" t="str">
        <f aca="false">IF(OR(E6690="",N(C6690)=0),"",E6690/C6690-1)</f>
        <v/>
      </c>
      <c r="E6690" s="41" t="str">
        <f aca="false">IFERROR(INDEX($L$6688:$L$6691,MATCH($O6690,$N$6688:$N$6691,0)),"")</f>
        <v/>
      </c>
      <c r="F6690" s="41" t="str">
        <f aca="false">IF(E6690="","",E6690-C6690)</f>
        <v/>
      </c>
      <c r="J6690" s="25" t="str">
        <f aca="false">Lib_Jur</f>
        <v>Mission juridique (approbation des comptes, secrétariat juridique)</v>
      </c>
      <c r="K6690" s="25" t="n">
        <f aca="false">IF($K$6661=0,0,N(INDEX(Clients!$M$2:$M$501,$K$6661)))</f>
        <v>0</v>
      </c>
      <c r="L6690" s="25" t="n">
        <f aca="false">IF($K$6661=0,0,N(INDEX(Clients!$R$2:$R$501,$K$6661)))</f>
        <v>0</v>
      </c>
      <c r="M6690" s="25" t="n">
        <f aca="false">IF(OR(K6690&lt;&gt;0,L6690&lt;&gt;0),1,0)</f>
        <v>0</v>
      </c>
      <c r="N6690" s="25" t="str">
        <f aca="false">IF(M6690=1,SUM($M$6688:M6690),"")</f>
        <v/>
      </c>
      <c r="O6690" s="25" t="n">
        <v>3</v>
      </c>
    </row>
    <row r="6691" customFormat="false" ht="16.5" hidden="false" customHeight="true" outlineLevel="0" collapsed="false">
      <c r="B6691" s="40" t="str">
        <f aca="false">IFERROR(INDEX($J$6688:$J$6691,MATCH($O6691,$N$6688:$N$6691,0)),"")</f>
        <v/>
      </c>
      <c r="C6691" s="41" t="str">
        <f aca="false">IFERROR(INDEX($K$6688:$K$6691,MATCH($O6691,$N$6688:$N$6691,0)),"")</f>
        <v/>
      </c>
      <c r="D6691" s="42" t="str">
        <f aca="false">IF(OR(E6691="",N(C6691)=0),"",E6691/C6691-1)</f>
        <v/>
      </c>
      <c r="E6691" s="41" t="str">
        <f aca="false">IFERROR(INDEX($L$6688:$L$6691,MATCH($O6691,$N$6688:$N$6691,0)),"")</f>
        <v/>
      </c>
      <c r="F6691" s="41" t="str">
        <f aca="false">IF(E6691="","",E6691-C6691)</f>
        <v/>
      </c>
      <c r="J6691" s="25" t="str">
        <f aca="false">Lib_PA</f>
        <v>Plateforme agréée – facturation électronique</v>
      </c>
      <c r="K6691" s="25" t="n">
        <f aca="false">IF($K$6661=0,0,N(INDEX(Clients!$N$2:$N$501,$K$6661)))</f>
        <v>0</v>
      </c>
      <c r="L6691" s="25" t="n">
        <f aca="false">IF($K$6661=0,0,N(INDEX(Clients!$S$2:$S$501,$K$6661)))</f>
        <v>0</v>
      </c>
      <c r="M6691" s="25" t="n">
        <f aca="false">IF(OR(K6691&lt;&gt;0,L6691&lt;&gt;0),1,0)</f>
        <v>0</v>
      </c>
      <c r="N6691" s="25" t="str">
        <f aca="false">IF(M6691=1,SUM($M$6688:M6691),"")</f>
        <v/>
      </c>
      <c r="O6691" s="25" t="n">
        <v>4</v>
      </c>
    </row>
    <row r="6692" customFormat="false" ht="18" hidden="false" customHeight="true" outlineLevel="0" collapsed="false">
      <c r="B6692" s="43" t="s">
        <v>158</v>
      </c>
      <c r="C6692" s="44" t="n">
        <f aca="false">SUM(K6688:K6691)</f>
        <v>0</v>
      </c>
      <c r="D6692" s="45" t="str">
        <f aca="false">IF(N(C6692)=0,"",E6692/C6692-1)</f>
        <v/>
      </c>
      <c r="E6692" s="44" t="n">
        <f aca="false">SUM(L6688:L6691)</f>
        <v>0</v>
      </c>
      <c r="F6692" s="44" t="n">
        <f aca="false">E6692-C6692</f>
        <v>0</v>
      </c>
    </row>
    <row r="6693" customFormat="false" ht="15" hidden="false" customHeight="false" outlineLevel="0" collapsed="false">
      <c r="B6693" s="46" t="str">
        <f aca="false">IF(N(Nb_Mensualites)=0,"","Soit "&amp;FIXED(E6692/Nb_Mensualites,2)&amp;" € HT par échéance ("&amp;Nb_Mensualites&amp;" échéances), "&amp;FIXED(E6692/Nb_Mensualites*(1+Taux_TVA),2)&amp;" € TTC.")</f>
        <v>Soit 0.00 € HT par échéance (12 échéances), 0.00 € TTC.</v>
      </c>
      <c r="C6693" s="46"/>
      <c r="D6693" s="46"/>
      <c r="E6693" s="46"/>
      <c r="F6693" s="46"/>
    </row>
    <row r="6694" customFormat="false" ht="7.5" hidden="false" customHeight="true" outlineLevel="0" collapsed="false">
      <c r="B6694" s="10"/>
      <c r="C6694" s="10"/>
      <c r="D6694" s="10"/>
      <c r="E6694" s="10"/>
      <c r="F6694" s="10"/>
    </row>
    <row r="6695" customFormat="false" ht="36.75" hidden="false" customHeight="true" outlineLevel="0" collapsed="false">
      <c r="B6695" s="37" t="str">
        <f aca="false">SUBSTITUTE(SUBSTITUTE(SUBSTITUTE(SUBSTITUTE(SUBSTITUTE(Txt_P5,"{cabinet}",Cab_Nom),"{societe}",IF($K$6661=0,"",INDEX(Clients!$E$2:$E$501,$K$6661)&amp;"")),"{date_effet}",$K$6663),"{hausse}",$K$6664),"{civilite}",$K$6662)</f>
        <v>Les autres conditions de votre lettre de mission demeurent inchangées. Les nouveaux montants seront appliqués automatiquement sur vos prochaines factures et échéances de prélèvement.</v>
      </c>
      <c r="C6695" s="37"/>
      <c r="D6695" s="37"/>
      <c r="E6695" s="37"/>
      <c r="F6695" s="37"/>
    </row>
    <row r="6696" customFormat="false" ht="36.75" hidden="false" customHeight="true" outlineLevel="0" collapsed="false">
      <c r="B6696" s="37" t="str">
        <f aca="false">SUBSTITUTE(SUBSTITUTE(SUBSTITUTE(SUBSTITUTE(SUBSTITUTE(Txt_P6,"{cabinet}",Cab_Nom),"{societe}",IF($K$6661=0,"",INDEX(Clients!$E$2:$E$501,$K$6661)&amp;"")),"{date_effet}",$K$6663),"{hausse}",$K$6664),"{civilite}",$K$6662)</f>
        <v>Votre interlocuteur habituel reste à votre entière disposition pour répondre à vos questions et faire le point sur l'évolution de vos besoins.</v>
      </c>
      <c r="C6696" s="37"/>
      <c r="D6696" s="37"/>
      <c r="E6696" s="37"/>
      <c r="F6696" s="37"/>
    </row>
    <row r="6697" customFormat="false" ht="24" hidden="false" customHeight="true" outlineLevel="0" collapsed="false">
      <c r="B6697" s="37" t="str">
        <f aca="false">SUBSTITUTE(SUBSTITUTE(SUBSTITUTE(SUBSTITUTE(SUBSTITUTE(Txt_Politesse,"{cabinet}",Cab_Nom),"{societe}",IF($K$6661=0,"",INDEX(Clients!$E$2:$E$501,$K$6661)&amp;"")),"{date_effet}",$K$6663),"{hausse}",$K$6664),"{civilite}",$K$6662)</f>
        <v>Nous vous prions d'agréer, Madame, Monsieur, l'expression de nos salutations distinguées.</v>
      </c>
      <c r="C6697" s="37"/>
      <c r="D6697" s="37"/>
      <c r="E6697" s="37"/>
      <c r="F6697" s="37"/>
    </row>
    <row r="6698" customFormat="false" ht="15" hidden="false" customHeight="false" outlineLevel="0" collapsed="false">
      <c r="B6698" s="10"/>
      <c r="C6698" s="10"/>
      <c r="D6698" s="10"/>
      <c r="E6698" s="10"/>
      <c r="F6698" s="10"/>
    </row>
    <row r="6699" customFormat="false" ht="15" hidden="false" customHeight="false" outlineLevel="0" collapsed="false">
      <c r="B6699" s="10"/>
      <c r="C6699" s="10"/>
      <c r="D6699" s="34" t="str">
        <f aca="false">Signataire</f>
        <v>Prénom NOM</v>
      </c>
      <c r="E6699" s="34"/>
      <c r="F6699" s="34"/>
    </row>
    <row r="6700" customFormat="false" ht="15" hidden="false" customHeight="false" outlineLevel="0" collapsed="false">
      <c r="B6700" s="10"/>
      <c r="C6700" s="10"/>
      <c r="D6700" s="47" t="str">
        <f aca="false">Signataire_Titre</f>
        <v>Expert-comptable associé</v>
      </c>
      <c r="E6700" s="47"/>
      <c r="F6700" s="47"/>
    </row>
    <row r="6701" customFormat="false" ht="15.75" hidden="false" customHeight="true" outlineLevel="0" collapsed="false">
      <c r="B6701" s="10"/>
      <c r="C6701" s="10"/>
      <c r="D6701" s="10"/>
      <c r="E6701" s="10"/>
      <c r="F6701" s="10"/>
    </row>
    <row r="6702" customFormat="false" ht="15.75" hidden="false" customHeight="true" outlineLevel="0" collapsed="false">
      <c r="B6702" s="10"/>
      <c r="C6702" s="10"/>
      <c r="D6702" s="10"/>
      <c r="E6702" s="10"/>
      <c r="F6702" s="10"/>
    </row>
    <row r="6703" customFormat="false" ht="15.75" hidden="false" customHeight="true" outlineLevel="0" collapsed="false">
      <c r="B6703" s="10"/>
      <c r="C6703" s="10"/>
      <c r="D6703" s="10"/>
      <c r="E6703" s="10"/>
      <c r="F6703" s="10"/>
    </row>
    <row r="6704" customFormat="false" ht="15.75" hidden="false" customHeight="true" outlineLevel="0" collapsed="false">
      <c r="B6704" s="10"/>
      <c r="C6704" s="10"/>
      <c r="D6704" s="10"/>
      <c r="E6704" s="10"/>
      <c r="F6704" s="10"/>
    </row>
    <row r="6705" customFormat="false" ht="24" hidden="false" customHeight="true" outlineLevel="0" collapsed="false">
      <c r="B6705" s="48" t="str">
        <f aca="false">Cab_Mentions</f>
        <v>ALTHO EXPERTISE · SAS au capital de 10 000 € · RCS Pontoise 919 706 325 · TVA FR62919706325 · Société d'expertise comptable inscrite au Tableau de l'Ordre des experts-comptables de Paris Île-de-France</v>
      </c>
      <c r="C6705" s="48"/>
      <c r="D6705" s="48"/>
      <c r="E6705" s="48"/>
      <c r="F6705" s="48"/>
    </row>
    <row r="6706" customFormat="false" ht="15" hidden="false" customHeight="false" outlineLevel="0" collapsed="false">
      <c r="B6706" s="10"/>
      <c r="C6706" s="10"/>
      <c r="D6706" s="10"/>
      <c r="E6706" s="10"/>
      <c r="F6706" s="10"/>
      <c r="J6706" s="25" t="s">
        <v>142</v>
      </c>
      <c r="K6706" s="25" t="n">
        <f aca="false">IFERROR(MATCH(150,Clients!$Z$2:$Z$501,0),0)</f>
        <v>0</v>
      </c>
      <c r="L6706" s="25"/>
      <c r="M6706" s="25"/>
      <c r="N6706" s="25"/>
      <c r="O6706" s="25"/>
    </row>
    <row r="6707" customFormat="false" ht="21.75" hidden="false" customHeight="true" outlineLevel="0" collapsed="false">
      <c r="B6707" s="26" t="str">
        <f aca="false">Cab_Nom</f>
        <v>ALTHO EXPERTISE</v>
      </c>
      <c r="C6707" s="26"/>
      <c r="D6707" s="10"/>
      <c r="E6707" s="27" t="str">
        <f aca="false">IF($K$6706=0,"","Réf. client : "&amp;INDEX(Clients!$A$2:$A$501,$K$6706))</f>
        <v/>
      </c>
      <c r="F6707" s="27"/>
      <c r="J6707" s="25" t="s">
        <v>144</v>
      </c>
      <c r="K6707" s="25" t="str">
        <f aca="false">IF(IF($K$6706=0,"",INDEX(Clients!$B$2:$B$501,$K$6706)&amp;"")="Mme","Madame",IF(IF($K$6706=0,"",INDEX(Clients!$B$2:$B$501,$K$6706)&amp;"")="M.","Monsieur","Madame, Monsieur"))</f>
        <v>Madame, Monsieur</v>
      </c>
      <c r="L6707" s="25"/>
      <c r="M6707" s="25"/>
      <c r="N6707" s="25"/>
      <c r="O6707" s="25"/>
    </row>
    <row r="6708" customFormat="false" ht="15" hidden="false" customHeight="false" outlineLevel="0" collapsed="false">
      <c r="B6708" s="29" t="str">
        <f aca="false">Cab_Adr1</f>
        <v>141 rue Charles de Gaulle</v>
      </c>
      <c r="C6708" s="29"/>
      <c r="D6708" s="10"/>
      <c r="E6708" s="10"/>
      <c r="F6708" s="10"/>
      <c r="J6708" s="25" t="s">
        <v>145</v>
      </c>
      <c r="K6708" s="25" t="str">
        <f aca="false">DAY(Date_Effet)&amp;IF(DAY(Date_Effet)=1,"er","")&amp;" "&amp;INDEX(Liste_Mois,MONTH(Date_Effet))&amp;" "&amp;YEAR(Date_Effet)</f>
        <v>1er janvier 2027</v>
      </c>
      <c r="L6708" s="25"/>
      <c r="M6708" s="25"/>
      <c r="N6708" s="25"/>
      <c r="O6708" s="25"/>
    </row>
    <row r="6709" customFormat="false" ht="15" hidden="false" customHeight="false" outlineLevel="0" collapsed="false">
      <c r="B6709" s="29" t="str">
        <f aca="false">Cab_CPVille</f>
        <v>95130 LE PLESSIS-BOUCHARD</v>
      </c>
      <c r="C6709" s="29"/>
      <c r="D6709" s="10"/>
      <c r="E6709" s="10"/>
      <c r="F6709" s="10"/>
      <c r="J6709" s="25" t="s">
        <v>146</v>
      </c>
      <c r="K6709" s="25" t="str">
        <f aca="false">IF(SUM($K$6733:$K$6736)=0,"",FIXED((SUM($L$6733:$L$6736)/SUM($K$6733:$K$6736)-1)*100,1)&amp;" %")</f>
        <v/>
      </c>
      <c r="L6709" s="25"/>
      <c r="M6709" s="25"/>
      <c r="N6709" s="25"/>
      <c r="O6709" s="25"/>
    </row>
    <row r="6710" customFormat="false" ht="15" hidden="false" customHeight="false" outlineLevel="0" collapsed="false">
      <c r="B6710" s="29" t="str">
        <f aca="false">Cab_Contact</f>
        <v>Tél. 01 34 14 53 45  ·  altho@altho-experts.com  ·  altho-experts.com</v>
      </c>
      <c r="C6710" s="29"/>
      <c r="D6710" s="10"/>
      <c r="E6710" s="10"/>
      <c r="F6710" s="10"/>
      <c r="J6710" s="25"/>
      <c r="K6710" s="25"/>
      <c r="L6710" s="25"/>
      <c r="M6710" s="25"/>
      <c r="N6710" s="25"/>
      <c r="O6710" s="25"/>
    </row>
    <row r="6711" customFormat="false" ht="6" hidden="false" customHeight="true" outlineLevel="0" collapsed="false">
      <c r="B6711" s="32"/>
      <c r="C6711" s="32"/>
      <c r="D6711" s="32"/>
      <c r="E6711" s="32"/>
      <c r="F6711" s="32"/>
      <c r="J6711" s="25"/>
      <c r="K6711" s="25"/>
      <c r="L6711" s="25"/>
      <c r="M6711" s="25"/>
      <c r="N6711" s="25"/>
      <c r="O6711" s="25"/>
    </row>
    <row r="6712" customFormat="false" ht="13.5" hidden="false" customHeight="true" outlineLevel="0" collapsed="false">
      <c r="B6712" s="10"/>
      <c r="C6712" s="10"/>
      <c r="D6712" s="10"/>
      <c r="E6712" s="10"/>
      <c r="F6712" s="10"/>
      <c r="J6712" s="25"/>
      <c r="K6712" s="25"/>
      <c r="L6712" s="25"/>
      <c r="M6712" s="25"/>
      <c r="N6712" s="25"/>
      <c r="O6712" s="25"/>
    </row>
    <row r="6713" customFormat="false" ht="13.5" hidden="false" customHeight="true" outlineLevel="0" collapsed="false">
      <c r="B6713" s="10"/>
      <c r="C6713" s="10"/>
      <c r="D6713" s="10"/>
      <c r="E6713" s="10"/>
      <c r="F6713" s="10"/>
      <c r="J6713" s="25"/>
      <c r="K6713" s="25"/>
      <c r="L6713" s="25"/>
      <c r="M6713" s="25"/>
      <c r="N6713" s="25"/>
      <c r="O6713" s="25"/>
    </row>
    <row r="6714" customFormat="false" ht="13.5" hidden="false" customHeight="true" outlineLevel="0" collapsed="false">
      <c r="B6714" s="10"/>
      <c r="C6714" s="10"/>
      <c r="D6714" s="10"/>
      <c r="E6714" s="10"/>
      <c r="F6714" s="10"/>
      <c r="J6714" s="25"/>
      <c r="K6714" s="25"/>
      <c r="L6714" s="25"/>
      <c r="M6714" s="25"/>
      <c r="N6714" s="25"/>
      <c r="O6714" s="25"/>
    </row>
    <row r="6715" customFormat="false" ht="15" hidden="false" customHeight="true" outlineLevel="0" collapsed="false">
      <c r="B6715" s="10"/>
      <c r="C6715" s="10"/>
      <c r="D6715" s="34" t="str">
        <f aca="false">IF($K$6706=0,"",INDEX(Clients!$E$2:$E$501,$K$6706)&amp;"")</f>
        <v/>
      </c>
      <c r="E6715" s="34"/>
      <c r="F6715" s="34"/>
      <c r="J6715" s="25"/>
      <c r="K6715" s="25"/>
      <c r="L6715" s="25"/>
      <c r="M6715" s="25"/>
      <c r="N6715" s="25"/>
      <c r="O6715" s="25"/>
    </row>
    <row r="6716" customFormat="false" ht="15" hidden="false" customHeight="true" outlineLevel="0" collapsed="false">
      <c r="B6716" s="10"/>
      <c r="C6716" s="10"/>
      <c r="D6716" s="35" t="str">
        <f aca="false">IF(IF($K$6706=0,"",INDEX(Clients!$D$2:$D$501,$K$6706)&amp;"")="","","À l'attention de "&amp;TRIM(IF($K$6706=0,"",INDEX(Clients!$B$2:$B$501,$K$6706)&amp;"")&amp;" "&amp;IF($K$6706=0,"",INDEX(Clients!$C$2:$C$501,$K$6706)&amp;"")&amp;" "&amp;IF($K$6706=0,"",INDEX(Clients!$D$2:$D$501,$K$6706)&amp;"")))</f>
        <v/>
      </c>
      <c r="E6716" s="35"/>
      <c r="F6716" s="35"/>
      <c r="J6716" s="25"/>
      <c r="K6716" s="25"/>
      <c r="L6716" s="25"/>
      <c r="M6716" s="25"/>
      <c r="N6716" s="25"/>
      <c r="O6716" s="25"/>
    </row>
    <row r="6717" customFormat="false" ht="15" hidden="false" customHeight="true" outlineLevel="0" collapsed="false">
      <c r="B6717" s="10"/>
      <c r="C6717" s="10"/>
      <c r="D6717" s="35" t="str">
        <f aca="false">IF($K$6706=0,"",INDEX(Clients!$F$2:$F$501,$K$6706)&amp;"")</f>
        <v/>
      </c>
      <c r="E6717" s="35"/>
      <c r="F6717" s="35"/>
      <c r="J6717" s="25"/>
      <c r="K6717" s="25"/>
      <c r="L6717" s="25"/>
      <c r="M6717" s="25"/>
      <c r="N6717" s="25"/>
      <c r="O6717" s="25"/>
    </row>
    <row r="6718" customFormat="false" ht="15" hidden="false" customHeight="true" outlineLevel="0" collapsed="false">
      <c r="B6718" s="10"/>
      <c r="C6718" s="10"/>
      <c r="D6718" s="35" t="str">
        <f aca="false">IF(IF($K$6706=0,"",INDEX(Clients!$G$2:$G$501,$K$6706)&amp;"")="",TRIM(IF($K$6706=0,"",INDEX(Clients!$H$2:$H$501,$K$6706)&amp;"")&amp;" "&amp;UPPER(IF($K$6706=0,"",INDEX(Clients!$I$2:$I$501,$K$6706)&amp;""))),IF($K$6706=0,"",INDEX(Clients!$G$2:$G$501,$K$6706)&amp;""))</f>
        <v/>
      </c>
      <c r="E6718" s="35"/>
      <c r="F6718" s="35"/>
      <c r="J6718" s="25"/>
      <c r="K6718" s="25"/>
      <c r="L6718" s="25"/>
      <c r="M6718" s="25"/>
      <c r="N6718" s="25"/>
      <c r="O6718" s="25"/>
    </row>
    <row r="6719" customFormat="false" ht="15" hidden="false" customHeight="true" outlineLevel="0" collapsed="false">
      <c r="B6719" s="10"/>
      <c r="C6719" s="10"/>
      <c r="D6719" s="35" t="str">
        <f aca="false">IF(IF($K$6706=0,"",INDEX(Clients!$G$2:$G$501,$K$6706)&amp;"")="","",TRIM(IF($K$6706=0,"",INDEX(Clients!$H$2:$H$501,$K$6706)&amp;"")&amp;" "&amp;UPPER(IF($K$6706=0,"",INDEX(Clients!$I$2:$I$501,$K$6706)&amp;""))))</f>
        <v/>
      </c>
      <c r="E6719" s="35"/>
      <c r="F6719" s="35"/>
      <c r="J6719" s="25"/>
      <c r="K6719" s="25"/>
      <c r="L6719" s="25"/>
      <c r="M6719" s="25"/>
      <c r="N6719" s="25"/>
      <c r="O6719" s="25"/>
    </row>
    <row r="6720" customFormat="false" ht="25.5" hidden="false" customHeight="true" outlineLevel="0" collapsed="false">
      <c r="B6720" s="10"/>
      <c r="C6720" s="10"/>
      <c r="D6720" s="10"/>
      <c r="E6720" s="10"/>
      <c r="F6720" s="10"/>
      <c r="J6720" s="25"/>
      <c r="K6720" s="25"/>
      <c r="L6720" s="25"/>
      <c r="M6720" s="25"/>
      <c r="N6720" s="25"/>
      <c r="O6720" s="25"/>
    </row>
    <row r="6721" customFormat="false" ht="15" hidden="false" customHeight="false" outlineLevel="0" collapsed="false">
      <c r="B6721" s="10"/>
      <c r="C6721" s="10"/>
      <c r="D6721" s="36" t="str">
        <f aca="false">Cab_Ville&amp;", le "&amp;DAY(Date_Courrier)&amp;IF(DAY(Date_Courrier)=1,"er","")&amp;" "&amp;INDEX(Liste_Mois,MONTH(Date_Courrier))&amp;" "&amp;YEAR(Date_Courrier)</f>
        <v>Le Plessis-Bouchard, le 22 septembre 2026</v>
      </c>
      <c r="E6721" s="36"/>
      <c r="F6721" s="36"/>
      <c r="J6721" s="25"/>
      <c r="K6721" s="25"/>
      <c r="L6721" s="25"/>
      <c r="M6721" s="25"/>
      <c r="N6721" s="25"/>
      <c r="O6721" s="25"/>
    </row>
    <row r="6722" customFormat="false" ht="19.5" hidden="false" customHeight="true" outlineLevel="0" collapsed="false">
      <c r="B6722" s="10"/>
      <c r="C6722" s="10"/>
      <c r="D6722" s="10"/>
      <c r="E6722" s="10"/>
      <c r="F6722" s="10"/>
      <c r="J6722" s="25"/>
      <c r="K6722" s="25"/>
      <c r="L6722" s="25"/>
      <c r="M6722" s="25"/>
      <c r="N6722" s="25"/>
      <c r="O6722" s="25"/>
    </row>
    <row r="6723" customFormat="false" ht="15" hidden="false" customHeight="false" outlineLevel="0" collapsed="false">
      <c r="B6723" s="34" t="str">
        <f aca="false">SUBSTITUTE(SUBSTITUTE(SUBSTITUTE(SUBSTITUTE(SUBSTITUTE(Txt_Objet,"{cabinet}",Cab_Nom),"{societe}",IF($K$6706=0,"",INDEX(Clients!$E$2:$E$501,$K$6706)&amp;"")),"{date_effet}",$K$6708),"{hausse}",$K$6709),"{civilite}",$K$6707)</f>
        <v>Objet : révision de nos honoraires au 1er janvier 2027</v>
      </c>
      <c r="C6723" s="34"/>
      <c r="D6723" s="34"/>
      <c r="E6723" s="34"/>
      <c r="F6723" s="34"/>
      <c r="J6723" s="25"/>
      <c r="K6723" s="25"/>
      <c r="L6723" s="25"/>
      <c r="M6723" s="25"/>
      <c r="N6723" s="25"/>
      <c r="O6723" s="25"/>
    </row>
    <row r="6724" customFormat="false" ht="13.5" hidden="false" customHeight="true" outlineLevel="0" collapsed="false">
      <c r="B6724" s="10"/>
      <c r="C6724" s="10"/>
      <c r="D6724" s="10"/>
      <c r="E6724" s="10"/>
      <c r="F6724" s="10"/>
      <c r="J6724" s="25"/>
      <c r="K6724" s="25"/>
      <c r="L6724" s="25"/>
      <c r="M6724" s="25"/>
      <c r="N6724" s="25"/>
      <c r="O6724" s="25"/>
    </row>
    <row r="6725" customFormat="false" ht="15" hidden="false" customHeight="false" outlineLevel="0" collapsed="false">
      <c r="B6725" s="10" t="str">
        <f aca="false">$K$6707&amp;","</f>
        <v>Madame, Monsieur,</v>
      </c>
      <c r="C6725" s="10"/>
      <c r="D6725" s="10"/>
      <c r="E6725" s="10"/>
      <c r="F6725" s="10"/>
      <c r="J6725" s="25"/>
      <c r="K6725" s="25"/>
      <c r="L6725" s="25"/>
      <c r="M6725" s="25"/>
      <c r="N6725" s="25"/>
      <c r="O6725" s="25"/>
    </row>
    <row r="6726" customFormat="false" ht="6" hidden="false" customHeight="true" outlineLevel="0" collapsed="false">
      <c r="B6726" s="10"/>
      <c r="C6726" s="10"/>
      <c r="D6726" s="10"/>
      <c r="E6726" s="10"/>
      <c r="F6726" s="10"/>
      <c r="J6726" s="25"/>
      <c r="K6726" s="25"/>
      <c r="L6726" s="25"/>
      <c r="M6726" s="25"/>
      <c r="N6726" s="25"/>
      <c r="O6726" s="25"/>
    </row>
    <row r="6727" customFormat="false" ht="36.75" hidden="false" customHeight="true" outlineLevel="0" collapsed="false">
      <c r="B6727" s="37" t="str">
        <f aca="false">SUBSTITUTE(SUBSTITUTE(SUBSTITUTE(SUBSTITUTE(SUBSTITUTE(Txt_P1,"{cabinet}",Cab_Nom),"{societe}",IF($K$6706=0,"",INDEX(Clients!$E$2:$E$501,$K$6706)&amp;"")),"{date_effet}",$K$6708),"{hausse}",$K$6709),"{civilite}",$K$6707)</f>
        <v>Nous tenons tout d'abord à vous remercier pour la confiance que vous accordez à ALTHO EXPERTISE. Comme chaque année, et conformément aux dispositions de votre lettre de mission, nous procédons à la révision de nos honoraires.</v>
      </c>
      <c r="C6727" s="37"/>
      <c r="D6727" s="37"/>
      <c r="E6727" s="37"/>
      <c r="F6727" s="37"/>
      <c r="J6727" s="25"/>
      <c r="K6727" s="25"/>
      <c r="L6727" s="25"/>
      <c r="M6727" s="25"/>
      <c r="N6727" s="25"/>
      <c r="O6727" s="25"/>
    </row>
    <row r="6728" customFormat="false" ht="49.5" hidden="false" customHeight="true" outlineLevel="0" collapsed="false">
      <c r="B6728" s="37" t="str">
        <f aca="false">SUBSTITUTE(SUBSTITUTE(SUBSTITUTE(SUBSTITUTE(SUBSTITUTE(Txt_P2,"{cabinet}",Cab_Nom),"{societe}",IF($K$6706=0,"",INDEX(Clients!$E$2:$E$501,$K$6706)&amp;"")),"{date_effet}",$K$6708),"{hausse}",$K$6709),"{civilite}",$K$6707)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728" s="37"/>
      <c r="D6728" s="37"/>
      <c r="E6728" s="37"/>
      <c r="F6728" s="37"/>
      <c r="J6728" s="25"/>
      <c r="K6728" s="25"/>
      <c r="L6728" s="25"/>
      <c r="M6728" s="25"/>
      <c r="N6728" s="25"/>
      <c r="O6728" s="25"/>
    </row>
    <row r="6729" customFormat="false" ht="63" hidden="false" customHeight="true" outlineLevel="0" collapsed="false">
      <c r="B6729" s="37" t="str">
        <f aca="false">SUBSTITUTE(SUBSTITUTE(SUBSTITUTE(SUBSTITUTE(SUBSTITUTE(Txt_P3,"{cabinet}",Cab_Nom),"{societe}",IF($K$6706=0,"",INDEX(Clients!$E$2:$E$501,$K$6706)&amp;"")),"{date_effet}",$K$6708),"{hausse}",$K$6709),"{civilite}",$K$6707)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729" s="37"/>
      <c r="D6729" s="37"/>
      <c r="E6729" s="37"/>
      <c r="F6729" s="37"/>
      <c r="J6729" s="25"/>
      <c r="K6729" s="25"/>
      <c r="L6729" s="25"/>
      <c r="M6729" s="25"/>
      <c r="N6729" s="25"/>
      <c r="O6729" s="25"/>
    </row>
    <row r="6730" customFormat="false" ht="24" hidden="false" customHeight="true" outlineLevel="0" collapsed="false">
      <c r="B6730" s="37" t="str">
        <f aca="false">SUBSTITUTE(SUBSTITUTE(SUBSTITUTE(SUBSTITUTE(SUBSTITUTE(Txt_P4,"{cabinet}",Cab_Nom),"{societe}",IF($K$6706=0,"",INDEX(Clients!$E$2:$E$501,$K$6706)&amp;"")),"{date_effet}",$K$6708),"{hausse}",$K$6709),"{civilite}",$K$6707)</f>
        <v>À compter du 1er janvier 2027, vos honoraires annuels hors taxes évolueront ainsi (évolution globale : ) :</v>
      </c>
      <c r="C6730" s="37"/>
      <c r="D6730" s="37"/>
      <c r="E6730" s="37"/>
      <c r="F6730" s="37"/>
      <c r="J6730" s="25"/>
      <c r="K6730" s="25"/>
      <c r="L6730" s="25"/>
      <c r="M6730" s="25"/>
      <c r="N6730" s="25"/>
      <c r="O6730" s="25"/>
    </row>
    <row r="6731" customFormat="false" ht="3.75" hidden="false" customHeight="true" outlineLevel="0" collapsed="false">
      <c r="B6731" s="10"/>
      <c r="C6731" s="10"/>
      <c r="D6731" s="10"/>
      <c r="E6731" s="10"/>
      <c r="F6731" s="10"/>
      <c r="J6731" s="25"/>
      <c r="K6731" s="25"/>
      <c r="L6731" s="25"/>
      <c r="M6731" s="25"/>
      <c r="N6731" s="25"/>
      <c r="O6731" s="25"/>
    </row>
    <row r="6732" customFormat="false" ht="18" hidden="false" customHeight="true" outlineLevel="0" collapsed="false">
      <c r="B6732" s="38" t="s">
        <v>148</v>
      </c>
      <c r="C6732" s="39" t="s">
        <v>149</v>
      </c>
      <c r="D6732" s="39" t="s">
        <v>150</v>
      </c>
      <c r="E6732" s="39" t="s">
        <v>151</v>
      </c>
      <c r="F6732" s="39" t="s">
        <v>109</v>
      </c>
      <c r="J6732" s="25" t="s">
        <v>152</v>
      </c>
      <c r="K6732" s="25" t="s">
        <v>153</v>
      </c>
      <c r="L6732" s="25" t="s">
        <v>154</v>
      </c>
      <c r="M6732" s="25" t="s">
        <v>155</v>
      </c>
      <c r="N6732" s="25" t="s">
        <v>156</v>
      </c>
      <c r="O6732" s="25" t="s">
        <v>157</v>
      </c>
    </row>
    <row r="6733" customFormat="false" ht="16.5" hidden="false" customHeight="true" outlineLevel="0" collapsed="false">
      <c r="B6733" s="40" t="str">
        <f aca="false">IFERROR(INDEX($J$6733:$J$6736,MATCH($O6733,$N$6733:$N$6736,0)),"")</f>
        <v/>
      </c>
      <c r="C6733" s="41" t="str">
        <f aca="false">IFERROR(INDEX($K$6733:$K$6736,MATCH($O6733,$N$6733:$N$6736,0)),"")</f>
        <v/>
      </c>
      <c r="D6733" s="42" t="str">
        <f aca="false">IF(OR(E6733="",N(C6733)=0),"",E6733/C6733-1)</f>
        <v/>
      </c>
      <c r="E6733" s="41" t="str">
        <f aca="false">IFERROR(INDEX($L$6733:$L$6736,MATCH($O6733,$N$6733:$N$6736,0)),"")</f>
        <v/>
      </c>
      <c r="F6733" s="41" t="str">
        <f aca="false">IF(E6733="","",E6733-C6733)</f>
        <v/>
      </c>
      <c r="J6733" s="25" t="str">
        <f aca="false">Lib_Compta</f>
        <v>Mission comptable (tenue, révision, bilan, liasse fiscale)</v>
      </c>
      <c r="K6733" s="25" t="n">
        <f aca="false">IF($K$6706=0,0,N(INDEX(Clients!$K$2:$K$501,$K$6706)))</f>
        <v>0</v>
      </c>
      <c r="L6733" s="25" t="n">
        <f aca="false">IF($K$6706=0,0,N(INDEX(Clients!$P$2:$P$501,$K$6706)))</f>
        <v>0</v>
      </c>
      <c r="M6733" s="25" t="n">
        <f aca="false">IF(OR(K6733&lt;&gt;0,L6733&lt;&gt;0),1,0)</f>
        <v>0</v>
      </c>
      <c r="N6733" s="25" t="str">
        <f aca="false">IF(M6733=1,SUM($M$6733:M6733),"")</f>
        <v/>
      </c>
      <c r="O6733" s="25" t="n">
        <v>1</v>
      </c>
    </row>
    <row r="6734" customFormat="false" ht="16.5" hidden="false" customHeight="true" outlineLevel="0" collapsed="false">
      <c r="B6734" s="40" t="str">
        <f aca="false">IFERROR(INDEX($J$6733:$J$6736,MATCH($O6734,$N$6733:$N$6736,0)),"")</f>
        <v/>
      </c>
      <c r="C6734" s="41" t="str">
        <f aca="false">IFERROR(INDEX($K$6733:$K$6736,MATCH($O6734,$N$6733:$N$6736,0)),"")</f>
        <v/>
      </c>
      <c r="D6734" s="42" t="str">
        <f aca="false">IF(OR(E6734="",N(C6734)=0),"",E6734/C6734-1)</f>
        <v/>
      </c>
      <c r="E6734" s="41" t="str">
        <f aca="false">IFERROR(INDEX($L$6733:$L$6736,MATCH($O6734,$N$6733:$N$6736,0)),"")</f>
        <v/>
      </c>
      <c r="F6734" s="41" t="str">
        <f aca="false">IF(E6734="","",E6734-C6734)</f>
        <v/>
      </c>
      <c r="J6734" s="25" t="str">
        <f aca="false">Lib_Paye</f>
        <v>Mission sociale (bulletins de paie, DSN, déclarations sociales)</v>
      </c>
      <c r="K6734" s="25" t="n">
        <f aca="false">IF($K$6706=0,0,N(INDEX(Clients!$L$2:$L$501,$K$6706)))</f>
        <v>0</v>
      </c>
      <c r="L6734" s="25" t="n">
        <f aca="false">IF($K$6706=0,0,N(INDEX(Clients!$Q$2:$Q$501,$K$6706)))</f>
        <v>0</v>
      </c>
      <c r="M6734" s="25" t="n">
        <f aca="false">IF(OR(K6734&lt;&gt;0,L6734&lt;&gt;0),1,0)</f>
        <v>0</v>
      </c>
      <c r="N6734" s="25" t="str">
        <f aca="false">IF(M6734=1,SUM($M$6733:M6734),"")</f>
        <v/>
      </c>
      <c r="O6734" s="25" t="n">
        <v>2</v>
      </c>
    </row>
    <row r="6735" customFormat="false" ht="16.5" hidden="false" customHeight="true" outlineLevel="0" collapsed="false">
      <c r="B6735" s="40" t="str">
        <f aca="false">IFERROR(INDEX($J$6733:$J$6736,MATCH($O6735,$N$6733:$N$6736,0)),"")</f>
        <v/>
      </c>
      <c r="C6735" s="41" t="str">
        <f aca="false">IFERROR(INDEX($K$6733:$K$6736,MATCH($O6735,$N$6733:$N$6736,0)),"")</f>
        <v/>
      </c>
      <c r="D6735" s="42" t="str">
        <f aca="false">IF(OR(E6735="",N(C6735)=0),"",E6735/C6735-1)</f>
        <v/>
      </c>
      <c r="E6735" s="41" t="str">
        <f aca="false">IFERROR(INDEX($L$6733:$L$6736,MATCH($O6735,$N$6733:$N$6736,0)),"")</f>
        <v/>
      </c>
      <c r="F6735" s="41" t="str">
        <f aca="false">IF(E6735="","",E6735-C6735)</f>
        <v/>
      </c>
      <c r="J6735" s="25" t="str">
        <f aca="false">Lib_Jur</f>
        <v>Mission juridique (approbation des comptes, secrétariat juridique)</v>
      </c>
      <c r="K6735" s="25" t="n">
        <f aca="false">IF($K$6706=0,0,N(INDEX(Clients!$M$2:$M$501,$K$6706)))</f>
        <v>0</v>
      </c>
      <c r="L6735" s="25" t="n">
        <f aca="false">IF($K$6706=0,0,N(INDEX(Clients!$R$2:$R$501,$K$6706)))</f>
        <v>0</v>
      </c>
      <c r="M6735" s="25" t="n">
        <f aca="false">IF(OR(K6735&lt;&gt;0,L6735&lt;&gt;0),1,0)</f>
        <v>0</v>
      </c>
      <c r="N6735" s="25" t="str">
        <f aca="false">IF(M6735=1,SUM($M$6733:M6735),"")</f>
        <v/>
      </c>
      <c r="O6735" s="25" t="n">
        <v>3</v>
      </c>
    </row>
    <row r="6736" customFormat="false" ht="16.5" hidden="false" customHeight="true" outlineLevel="0" collapsed="false">
      <c r="B6736" s="40" t="str">
        <f aca="false">IFERROR(INDEX($J$6733:$J$6736,MATCH($O6736,$N$6733:$N$6736,0)),"")</f>
        <v/>
      </c>
      <c r="C6736" s="41" t="str">
        <f aca="false">IFERROR(INDEX($K$6733:$K$6736,MATCH($O6736,$N$6733:$N$6736,0)),"")</f>
        <v/>
      </c>
      <c r="D6736" s="42" t="str">
        <f aca="false">IF(OR(E6736="",N(C6736)=0),"",E6736/C6736-1)</f>
        <v/>
      </c>
      <c r="E6736" s="41" t="str">
        <f aca="false">IFERROR(INDEX($L$6733:$L$6736,MATCH($O6736,$N$6733:$N$6736,0)),"")</f>
        <v/>
      </c>
      <c r="F6736" s="41" t="str">
        <f aca="false">IF(E6736="","",E6736-C6736)</f>
        <v/>
      </c>
      <c r="J6736" s="25" t="str">
        <f aca="false">Lib_PA</f>
        <v>Plateforme agréée – facturation électronique</v>
      </c>
      <c r="K6736" s="25" t="n">
        <f aca="false">IF($K$6706=0,0,N(INDEX(Clients!$N$2:$N$501,$K$6706)))</f>
        <v>0</v>
      </c>
      <c r="L6736" s="25" t="n">
        <f aca="false">IF($K$6706=0,0,N(INDEX(Clients!$S$2:$S$501,$K$6706)))</f>
        <v>0</v>
      </c>
      <c r="M6736" s="25" t="n">
        <f aca="false">IF(OR(K6736&lt;&gt;0,L6736&lt;&gt;0),1,0)</f>
        <v>0</v>
      </c>
      <c r="N6736" s="25" t="str">
        <f aca="false">IF(M6736=1,SUM($M$6733:M6736),"")</f>
        <v/>
      </c>
      <c r="O6736" s="25" t="n">
        <v>4</v>
      </c>
    </row>
    <row r="6737" customFormat="false" ht="18" hidden="false" customHeight="true" outlineLevel="0" collapsed="false">
      <c r="B6737" s="43" t="s">
        <v>158</v>
      </c>
      <c r="C6737" s="44" t="n">
        <f aca="false">SUM(K6733:K6736)</f>
        <v>0</v>
      </c>
      <c r="D6737" s="45" t="str">
        <f aca="false">IF(N(C6737)=0,"",E6737/C6737-1)</f>
        <v/>
      </c>
      <c r="E6737" s="44" t="n">
        <f aca="false">SUM(L6733:L6736)</f>
        <v>0</v>
      </c>
      <c r="F6737" s="44" t="n">
        <f aca="false">E6737-C6737</f>
        <v>0</v>
      </c>
    </row>
    <row r="6738" customFormat="false" ht="15" hidden="false" customHeight="false" outlineLevel="0" collapsed="false">
      <c r="B6738" s="46" t="str">
        <f aca="false">IF(N(Nb_Mensualites)=0,"","Soit "&amp;FIXED(E6737/Nb_Mensualites,2)&amp;" € HT par échéance ("&amp;Nb_Mensualites&amp;" échéances), "&amp;FIXED(E6737/Nb_Mensualites*(1+Taux_TVA),2)&amp;" € TTC.")</f>
        <v>Soit 0.00 € HT par échéance (12 échéances), 0.00 € TTC.</v>
      </c>
      <c r="C6738" s="46"/>
      <c r="D6738" s="46"/>
      <c r="E6738" s="46"/>
      <c r="F6738" s="46"/>
    </row>
    <row r="6739" customFormat="false" ht="7.5" hidden="false" customHeight="true" outlineLevel="0" collapsed="false">
      <c r="B6739" s="10"/>
      <c r="C6739" s="10"/>
      <c r="D6739" s="10"/>
      <c r="E6739" s="10"/>
      <c r="F6739" s="10"/>
    </row>
    <row r="6740" customFormat="false" ht="36.75" hidden="false" customHeight="true" outlineLevel="0" collapsed="false">
      <c r="B6740" s="37" t="str">
        <f aca="false">SUBSTITUTE(SUBSTITUTE(SUBSTITUTE(SUBSTITUTE(SUBSTITUTE(Txt_P5,"{cabinet}",Cab_Nom),"{societe}",IF($K$6706=0,"",INDEX(Clients!$E$2:$E$501,$K$6706)&amp;"")),"{date_effet}",$K$6708),"{hausse}",$K$6709),"{civilite}",$K$6707)</f>
        <v>Les autres conditions de votre lettre de mission demeurent inchangées. Les nouveaux montants seront appliqués automatiquement sur vos prochaines factures et échéances de prélèvement.</v>
      </c>
      <c r="C6740" s="37"/>
      <c r="D6740" s="37"/>
      <c r="E6740" s="37"/>
      <c r="F6740" s="37"/>
    </row>
    <row r="6741" customFormat="false" ht="36.75" hidden="false" customHeight="true" outlineLevel="0" collapsed="false">
      <c r="B6741" s="37" t="str">
        <f aca="false">SUBSTITUTE(SUBSTITUTE(SUBSTITUTE(SUBSTITUTE(SUBSTITUTE(Txt_P6,"{cabinet}",Cab_Nom),"{societe}",IF($K$6706=0,"",INDEX(Clients!$E$2:$E$501,$K$6706)&amp;"")),"{date_effet}",$K$6708),"{hausse}",$K$6709),"{civilite}",$K$6707)</f>
        <v>Votre interlocuteur habituel reste à votre entière disposition pour répondre à vos questions et faire le point sur l'évolution de vos besoins.</v>
      </c>
      <c r="C6741" s="37"/>
      <c r="D6741" s="37"/>
      <c r="E6741" s="37"/>
      <c r="F6741" s="37"/>
    </row>
    <row r="6742" customFormat="false" ht="24" hidden="false" customHeight="true" outlineLevel="0" collapsed="false">
      <c r="B6742" s="37" t="str">
        <f aca="false">SUBSTITUTE(SUBSTITUTE(SUBSTITUTE(SUBSTITUTE(SUBSTITUTE(Txt_Politesse,"{cabinet}",Cab_Nom),"{societe}",IF($K$6706=0,"",INDEX(Clients!$E$2:$E$501,$K$6706)&amp;"")),"{date_effet}",$K$6708),"{hausse}",$K$6709),"{civilite}",$K$6707)</f>
        <v>Nous vous prions d'agréer, Madame, Monsieur, l'expression de nos salutations distinguées.</v>
      </c>
      <c r="C6742" s="37"/>
      <c r="D6742" s="37"/>
      <c r="E6742" s="37"/>
      <c r="F6742" s="37"/>
    </row>
    <row r="6743" customFormat="false" ht="15" hidden="false" customHeight="false" outlineLevel="0" collapsed="false">
      <c r="B6743" s="10"/>
      <c r="C6743" s="10"/>
      <c r="D6743" s="10"/>
      <c r="E6743" s="10"/>
      <c r="F6743" s="10"/>
    </row>
    <row r="6744" customFormat="false" ht="15" hidden="false" customHeight="false" outlineLevel="0" collapsed="false">
      <c r="B6744" s="10"/>
      <c r="C6744" s="10"/>
      <c r="D6744" s="34" t="str">
        <f aca="false">Signataire</f>
        <v>Prénom NOM</v>
      </c>
      <c r="E6744" s="34"/>
      <c r="F6744" s="34"/>
    </row>
    <row r="6745" customFormat="false" ht="15" hidden="false" customHeight="false" outlineLevel="0" collapsed="false">
      <c r="B6745" s="10"/>
      <c r="C6745" s="10"/>
      <c r="D6745" s="47" t="str">
        <f aca="false">Signataire_Titre</f>
        <v>Expert-comptable associé</v>
      </c>
      <c r="E6745" s="47"/>
      <c r="F6745" s="47"/>
    </row>
    <row r="6746" customFormat="false" ht="15.75" hidden="false" customHeight="true" outlineLevel="0" collapsed="false">
      <c r="B6746" s="10"/>
      <c r="C6746" s="10"/>
      <c r="D6746" s="10"/>
      <c r="E6746" s="10"/>
      <c r="F6746" s="10"/>
    </row>
    <row r="6747" customFormat="false" ht="15.75" hidden="false" customHeight="true" outlineLevel="0" collapsed="false">
      <c r="B6747" s="10"/>
      <c r="C6747" s="10"/>
      <c r="D6747" s="10"/>
      <c r="E6747" s="10"/>
      <c r="F6747" s="10"/>
    </row>
    <row r="6748" customFormat="false" ht="15.75" hidden="false" customHeight="true" outlineLevel="0" collapsed="false">
      <c r="B6748" s="10"/>
      <c r="C6748" s="10"/>
      <c r="D6748" s="10"/>
      <c r="E6748" s="10"/>
      <c r="F6748" s="10"/>
    </row>
    <row r="6749" customFormat="false" ht="15.75" hidden="false" customHeight="true" outlineLevel="0" collapsed="false">
      <c r="B6749" s="10"/>
      <c r="C6749" s="10"/>
      <c r="D6749" s="10"/>
      <c r="E6749" s="10"/>
      <c r="F6749" s="10"/>
    </row>
    <row r="6750" customFormat="false" ht="24" hidden="false" customHeight="true" outlineLevel="0" collapsed="false">
      <c r="B6750" s="48" t="str">
        <f aca="false">Cab_Mentions</f>
        <v>ALTHO EXPERTISE · SAS au capital de 10 000 € · RCS Pontoise 919 706 325 · TVA FR62919706325 · Société d'expertise comptable inscrite au Tableau de l'Ordre des experts-comptables de Paris Île-de-France</v>
      </c>
      <c r="C6750" s="48"/>
      <c r="D6750" s="48"/>
      <c r="E6750" s="48"/>
      <c r="F6750" s="48"/>
    </row>
    <row r="6751" customFormat="false" ht="15" hidden="false" customHeight="false" outlineLevel="0" collapsed="false">
      <c r="B6751" s="10"/>
      <c r="C6751" s="10"/>
      <c r="D6751" s="10"/>
      <c r="E6751" s="10"/>
      <c r="F6751" s="10"/>
      <c r="J6751" s="25" t="s">
        <v>142</v>
      </c>
      <c r="K6751" s="25" t="n">
        <f aca="false">IFERROR(MATCH(151,Clients!$Z$2:$Z$501,0),0)</f>
        <v>0</v>
      </c>
      <c r="L6751" s="25"/>
      <c r="M6751" s="25"/>
      <c r="N6751" s="25"/>
      <c r="O6751" s="25"/>
    </row>
    <row r="6752" customFormat="false" ht="21.75" hidden="false" customHeight="true" outlineLevel="0" collapsed="false">
      <c r="B6752" s="26" t="str">
        <f aca="false">Cab_Nom</f>
        <v>ALTHO EXPERTISE</v>
      </c>
      <c r="C6752" s="26"/>
      <c r="D6752" s="10"/>
      <c r="E6752" s="27" t="str">
        <f aca="false">IF($K$6751=0,"","Réf. client : "&amp;INDEX(Clients!$A$2:$A$501,$K$6751))</f>
        <v/>
      </c>
      <c r="F6752" s="27"/>
      <c r="J6752" s="25" t="s">
        <v>144</v>
      </c>
      <c r="K6752" s="25" t="str">
        <f aca="false">IF(IF($K$6751=0,"",INDEX(Clients!$B$2:$B$501,$K$6751)&amp;"")="Mme","Madame",IF(IF($K$6751=0,"",INDEX(Clients!$B$2:$B$501,$K$6751)&amp;"")="M.","Monsieur","Madame, Monsieur"))</f>
        <v>Madame, Monsieur</v>
      </c>
      <c r="L6752" s="25"/>
      <c r="M6752" s="25"/>
      <c r="N6752" s="25"/>
      <c r="O6752" s="25"/>
    </row>
    <row r="6753" customFormat="false" ht="15" hidden="false" customHeight="false" outlineLevel="0" collapsed="false">
      <c r="B6753" s="29" t="str">
        <f aca="false">Cab_Adr1</f>
        <v>141 rue Charles de Gaulle</v>
      </c>
      <c r="C6753" s="29"/>
      <c r="D6753" s="10"/>
      <c r="E6753" s="10"/>
      <c r="F6753" s="10"/>
      <c r="J6753" s="25" t="s">
        <v>145</v>
      </c>
      <c r="K6753" s="25" t="str">
        <f aca="false">DAY(Date_Effet)&amp;IF(DAY(Date_Effet)=1,"er","")&amp;" "&amp;INDEX(Liste_Mois,MONTH(Date_Effet))&amp;" "&amp;YEAR(Date_Effet)</f>
        <v>1er janvier 2027</v>
      </c>
      <c r="L6753" s="25"/>
      <c r="M6753" s="25"/>
      <c r="N6753" s="25"/>
      <c r="O6753" s="25"/>
    </row>
    <row r="6754" customFormat="false" ht="15" hidden="false" customHeight="false" outlineLevel="0" collapsed="false">
      <c r="B6754" s="29" t="str">
        <f aca="false">Cab_CPVille</f>
        <v>95130 LE PLESSIS-BOUCHARD</v>
      </c>
      <c r="C6754" s="29"/>
      <c r="D6754" s="10"/>
      <c r="E6754" s="10"/>
      <c r="F6754" s="10"/>
      <c r="J6754" s="25" t="s">
        <v>146</v>
      </c>
      <c r="K6754" s="25" t="str">
        <f aca="false">IF(SUM($K$6778:$K$6781)=0,"",FIXED((SUM($L$6778:$L$6781)/SUM($K$6778:$K$6781)-1)*100,1)&amp;" %")</f>
        <v/>
      </c>
      <c r="L6754" s="25"/>
      <c r="M6754" s="25"/>
      <c r="N6754" s="25"/>
      <c r="O6754" s="25"/>
    </row>
    <row r="6755" customFormat="false" ht="15" hidden="false" customHeight="false" outlineLevel="0" collapsed="false">
      <c r="B6755" s="29" t="str">
        <f aca="false">Cab_Contact</f>
        <v>Tél. 01 34 14 53 45  ·  altho@altho-experts.com  ·  altho-experts.com</v>
      </c>
      <c r="C6755" s="29"/>
      <c r="D6755" s="10"/>
      <c r="E6755" s="10"/>
      <c r="F6755" s="10"/>
      <c r="J6755" s="25"/>
      <c r="K6755" s="25"/>
      <c r="L6755" s="25"/>
      <c r="M6755" s="25"/>
      <c r="N6755" s="25"/>
      <c r="O6755" s="25"/>
    </row>
    <row r="6756" customFormat="false" ht="6" hidden="false" customHeight="true" outlineLevel="0" collapsed="false">
      <c r="B6756" s="32"/>
      <c r="C6756" s="32"/>
      <c r="D6756" s="32"/>
      <c r="E6756" s="32"/>
      <c r="F6756" s="32"/>
      <c r="J6756" s="25"/>
      <c r="K6756" s="25"/>
      <c r="L6756" s="25"/>
      <c r="M6756" s="25"/>
      <c r="N6756" s="25"/>
      <c r="O6756" s="25"/>
    </row>
    <row r="6757" customFormat="false" ht="13.5" hidden="false" customHeight="true" outlineLevel="0" collapsed="false">
      <c r="B6757" s="10"/>
      <c r="C6757" s="10"/>
      <c r="D6757" s="10"/>
      <c r="E6757" s="10"/>
      <c r="F6757" s="10"/>
      <c r="J6757" s="25"/>
      <c r="K6757" s="25"/>
      <c r="L6757" s="25"/>
      <c r="M6757" s="25"/>
      <c r="N6757" s="25"/>
      <c r="O6757" s="25"/>
    </row>
    <row r="6758" customFormat="false" ht="13.5" hidden="false" customHeight="true" outlineLevel="0" collapsed="false">
      <c r="B6758" s="10"/>
      <c r="C6758" s="10"/>
      <c r="D6758" s="10"/>
      <c r="E6758" s="10"/>
      <c r="F6758" s="10"/>
      <c r="J6758" s="25"/>
      <c r="K6758" s="25"/>
      <c r="L6758" s="25"/>
      <c r="M6758" s="25"/>
      <c r="N6758" s="25"/>
      <c r="O6758" s="25"/>
    </row>
    <row r="6759" customFormat="false" ht="13.5" hidden="false" customHeight="true" outlineLevel="0" collapsed="false">
      <c r="B6759" s="10"/>
      <c r="C6759" s="10"/>
      <c r="D6759" s="10"/>
      <c r="E6759" s="10"/>
      <c r="F6759" s="10"/>
      <c r="J6759" s="25"/>
      <c r="K6759" s="25"/>
      <c r="L6759" s="25"/>
      <c r="M6759" s="25"/>
      <c r="N6759" s="25"/>
      <c r="O6759" s="25"/>
    </row>
    <row r="6760" customFormat="false" ht="15" hidden="false" customHeight="true" outlineLevel="0" collapsed="false">
      <c r="B6760" s="10"/>
      <c r="C6760" s="10"/>
      <c r="D6760" s="34" t="str">
        <f aca="false">IF($K$6751=0,"",INDEX(Clients!$E$2:$E$501,$K$6751)&amp;"")</f>
        <v/>
      </c>
      <c r="E6760" s="34"/>
      <c r="F6760" s="34"/>
      <c r="J6760" s="25"/>
      <c r="K6760" s="25"/>
      <c r="L6760" s="25"/>
      <c r="M6760" s="25"/>
      <c r="N6760" s="25"/>
      <c r="O6760" s="25"/>
    </row>
    <row r="6761" customFormat="false" ht="15" hidden="false" customHeight="true" outlineLevel="0" collapsed="false">
      <c r="B6761" s="10"/>
      <c r="C6761" s="10"/>
      <c r="D6761" s="35" t="str">
        <f aca="false">IF(IF($K$6751=0,"",INDEX(Clients!$D$2:$D$501,$K$6751)&amp;"")="","","À l'attention de "&amp;TRIM(IF($K$6751=0,"",INDEX(Clients!$B$2:$B$501,$K$6751)&amp;"")&amp;" "&amp;IF($K$6751=0,"",INDEX(Clients!$C$2:$C$501,$K$6751)&amp;"")&amp;" "&amp;IF($K$6751=0,"",INDEX(Clients!$D$2:$D$501,$K$6751)&amp;"")))</f>
        <v/>
      </c>
      <c r="E6761" s="35"/>
      <c r="F6761" s="35"/>
      <c r="J6761" s="25"/>
      <c r="K6761" s="25"/>
      <c r="L6761" s="25"/>
      <c r="M6761" s="25"/>
      <c r="N6761" s="25"/>
      <c r="O6761" s="25"/>
    </row>
    <row r="6762" customFormat="false" ht="15" hidden="false" customHeight="true" outlineLevel="0" collapsed="false">
      <c r="B6762" s="10"/>
      <c r="C6762" s="10"/>
      <c r="D6762" s="35" t="str">
        <f aca="false">IF($K$6751=0,"",INDEX(Clients!$F$2:$F$501,$K$6751)&amp;"")</f>
        <v/>
      </c>
      <c r="E6762" s="35"/>
      <c r="F6762" s="35"/>
      <c r="J6762" s="25"/>
      <c r="K6762" s="25"/>
      <c r="L6762" s="25"/>
      <c r="M6762" s="25"/>
      <c r="N6762" s="25"/>
      <c r="O6762" s="25"/>
    </row>
    <row r="6763" customFormat="false" ht="15" hidden="false" customHeight="true" outlineLevel="0" collapsed="false">
      <c r="B6763" s="10"/>
      <c r="C6763" s="10"/>
      <c r="D6763" s="35" t="str">
        <f aca="false">IF(IF($K$6751=0,"",INDEX(Clients!$G$2:$G$501,$K$6751)&amp;"")="",TRIM(IF($K$6751=0,"",INDEX(Clients!$H$2:$H$501,$K$6751)&amp;"")&amp;" "&amp;UPPER(IF($K$6751=0,"",INDEX(Clients!$I$2:$I$501,$K$6751)&amp;""))),IF($K$6751=0,"",INDEX(Clients!$G$2:$G$501,$K$6751)&amp;""))</f>
        <v/>
      </c>
      <c r="E6763" s="35"/>
      <c r="F6763" s="35"/>
      <c r="J6763" s="25"/>
      <c r="K6763" s="25"/>
      <c r="L6763" s="25"/>
      <c r="M6763" s="25"/>
      <c r="N6763" s="25"/>
      <c r="O6763" s="25"/>
    </row>
    <row r="6764" customFormat="false" ht="15" hidden="false" customHeight="true" outlineLevel="0" collapsed="false">
      <c r="B6764" s="10"/>
      <c r="C6764" s="10"/>
      <c r="D6764" s="35" t="str">
        <f aca="false">IF(IF($K$6751=0,"",INDEX(Clients!$G$2:$G$501,$K$6751)&amp;"")="","",TRIM(IF($K$6751=0,"",INDEX(Clients!$H$2:$H$501,$K$6751)&amp;"")&amp;" "&amp;UPPER(IF($K$6751=0,"",INDEX(Clients!$I$2:$I$501,$K$6751)&amp;""))))</f>
        <v/>
      </c>
      <c r="E6764" s="35"/>
      <c r="F6764" s="35"/>
      <c r="J6764" s="25"/>
      <c r="K6764" s="25"/>
      <c r="L6764" s="25"/>
      <c r="M6764" s="25"/>
      <c r="N6764" s="25"/>
      <c r="O6764" s="25"/>
    </row>
    <row r="6765" customFormat="false" ht="25.5" hidden="false" customHeight="true" outlineLevel="0" collapsed="false">
      <c r="B6765" s="10"/>
      <c r="C6765" s="10"/>
      <c r="D6765" s="10"/>
      <c r="E6765" s="10"/>
      <c r="F6765" s="10"/>
      <c r="J6765" s="25"/>
      <c r="K6765" s="25"/>
      <c r="L6765" s="25"/>
      <c r="M6765" s="25"/>
      <c r="N6765" s="25"/>
      <c r="O6765" s="25"/>
    </row>
    <row r="6766" customFormat="false" ht="15" hidden="false" customHeight="false" outlineLevel="0" collapsed="false">
      <c r="B6766" s="10"/>
      <c r="C6766" s="10"/>
      <c r="D6766" s="36" t="str">
        <f aca="false">Cab_Ville&amp;", le "&amp;DAY(Date_Courrier)&amp;IF(DAY(Date_Courrier)=1,"er","")&amp;" "&amp;INDEX(Liste_Mois,MONTH(Date_Courrier))&amp;" "&amp;YEAR(Date_Courrier)</f>
        <v>Le Plessis-Bouchard, le 22 septembre 2026</v>
      </c>
      <c r="E6766" s="36"/>
      <c r="F6766" s="36"/>
      <c r="J6766" s="25"/>
      <c r="K6766" s="25"/>
      <c r="L6766" s="25"/>
      <c r="M6766" s="25"/>
      <c r="N6766" s="25"/>
      <c r="O6766" s="25"/>
    </row>
    <row r="6767" customFormat="false" ht="19.5" hidden="false" customHeight="true" outlineLevel="0" collapsed="false">
      <c r="B6767" s="10"/>
      <c r="C6767" s="10"/>
      <c r="D6767" s="10"/>
      <c r="E6767" s="10"/>
      <c r="F6767" s="10"/>
      <c r="J6767" s="25"/>
      <c r="K6767" s="25"/>
      <c r="L6767" s="25"/>
      <c r="M6767" s="25"/>
      <c r="N6767" s="25"/>
      <c r="O6767" s="25"/>
    </row>
    <row r="6768" customFormat="false" ht="15" hidden="false" customHeight="false" outlineLevel="0" collapsed="false">
      <c r="B6768" s="34" t="str">
        <f aca="false">SUBSTITUTE(SUBSTITUTE(SUBSTITUTE(SUBSTITUTE(SUBSTITUTE(Txt_Objet,"{cabinet}",Cab_Nom),"{societe}",IF($K$6751=0,"",INDEX(Clients!$E$2:$E$501,$K$6751)&amp;"")),"{date_effet}",$K$6753),"{hausse}",$K$6754),"{civilite}",$K$6752)</f>
        <v>Objet : révision de nos honoraires au 1er janvier 2027</v>
      </c>
      <c r="C6768" s="34"/>
      <c r="D6768" s="34"/>
      <c r="E6768" s="34"/>
      <c r="F6768" s="34"/>
      <c r="J6768" s="25"/>
      <c r="K6768" s="25"/>
      <c r="L6768" s="25"/>
      <c r="M6768" s="25"/>
      <c r="N6768" s="25"/>
      <c r="O6768" s="25"/>
    </row>
    <row r="6769" customFormat="false" ht="13.5" hidden="false" customHeight="true" outlineLevel="0" collapsed="false">
      <c r="B6769" s="10"/>
      <c r="C6769" s="10"/>
      <c r="D6769" s="10"/>
      <c r="E6769" s="10"/>
      <c r="F6769" s="10"/>
      <c r="J6769" s="25"/>
      <c r="K6769" s="25"/>
      <c r="L6769" s="25"/>
      <c r="M6769" s="25"/>
      <c r="N6769" s="25"/>
      <c r="O6769" s="25"/>
    </row>
    <row r="6770" customFormat="false" ht="15" hidden="false" customHeight="false" outlineLevel="0" collapsed="false">
      <c r="B6770" s="10" t="str">
        <f aca="false">$K$6752&amp;","</f>
        <v>Madame, Monsieur,</v>
      </c>
      <c r="C6770" s="10"/>
      <c r="D6770" s="10"/>
      <c r="E6770" s="10"/>
      <c r="F6770" s="10"/>
      <c r="J6770" s="25"/>
      <c r="K6770" s="25"/>
      <c r="L6770" s="25"/>
      <c r="M6770" s="25"/>
      <c r="N6770" s="25"/>
      <c r="O6770" s="25"/>
    </row>
    <row r="6771" customFormat="false" ht="6" hidden="false" customHeight="true" outlineLevel="0" collapsed="false">
      <c r="B6771" s="10"/>
      <c r="C6771" s="10"/>
      <c r="D6771" s="10"/>
      <c r="E6771" s="10"/>
      <c r="F6771" s="10"/>
      <c r="J6771" s="25"/>
      <c r="K6771" s="25"/>
      <c r="L6771" s="25"/>
      <c r="M6771" s="25"/>
      <c r="N6771" s="25"/>
      <c r="O6771" s="25"/>
    </row>
    <row r="6772" customFormat="false" ht="36.75" hidden="false" customHeight="true" outlineLevel="0" collapsed="false">
      <c r="B6772" s="37" t="str">
        <f aca="false">SUBSTITUTE(SUBSTITUTE(SUBSTITUTE(SUBSTITUTE(SUBSTITUTE(Txt_P1,"{cabinet}",Cab_Nom),"{societe}",IF($K$6751=0,"",INDEX(Clients!$E$2:$E$501,$K$6751)&amp;"")),"{date_effet}",$K$6753),"{hausse}",$K$6754),"{civilite}",$K$6752)</f>
        <v>Nous tenons tout d'abord à vous remercier pour la confiance que vous accordez à ALTHO EXPERTISE. Comme chaque année, et conformément aux dispositions de votre lettre de mission, nous procédons à la révision de nos honoraires.</v>
      </c>
      <c r="C6772" s="37"/>
      <c r="D6772" s="37"/>
      <c r="E6772" s="37"/>
      <c r="F6772" s="37"/>
      <c r="J6772" s="25"/>
      <c r="K6772" s="25"/>
      <c r="L6772" s="25"/>
      <c r="M6772" s="25"/>
      <c r="N6772" s="25"/>
      <c r="O6772" s="25"/>
    </row>
    <row r="6773" customFormat="false" ht="49.5" hidden="false" customHeight="true" outlineLevel="0" collapsed="false">
      <c r="B6773" s="37" t="str">
        <f aca="false">SUBSTITUTE(SUBSTITUTE(SUBSTITUTE(SUBSTITUTE(SUBSTITUTE(Txt_P2,"{cabinet}",Cab_Nom),"{societe}",IF($K$6751=0,"",INDEX(Clients!$E$2:$E$501,$K$6751)&amp;"")),"{date_effet}",$K$6753),"{hausse}",$K$6754),"{civilite}",$K$6752)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773" s="37"/>
      <c r="D6773" s="37"/>
      <c r="E6773" s="37"/>
      <c r="F6773" s="37"/>
      <c r="J6773" s="25"/>
      <c r="K6773" s="25"/>
      <c r="L6773" s="25"/>
      <c r="M6773" s="25"/>
      <c r="N6773" s="25"/>
      <c r="O6773" s="25"/>
    </row>
    <row r="6774" customFormat="false" ht="63" hidden="false" customHeight="true" outlineLevel="0" collapsed="false">
      <c r="B6774" s="37" t="str">
        <f aca="false">SUBSTITUTE(SUBSTITUTE(SUBSTITUTE(SUBSTITUTE(SUBSTITUTE(Txt_P3,"{cabinet}",Cab_Nom),"{societe}",IF($K$6751=0,"",INDEX(Clients!$E$2:$E$501,$K$6751)&amp;"")),"{date_effet}",$K$6753),"{hausse}",$K$6754),"{civilite}",$K$6752)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774" s="37"/>
      <c r="D6774" s="37"/>
      <c r="E6774" s="37"/>
      <c r="F6774" s="37"/>
      <c r="J6774" s="25"/>
      <c r="K6774" s="25"/>
      <c r="L6774" s="25"/>
      <c r="M6774" s="25"/>
      <c r="N6774" s="25"/>
      <c r="O6774" s="25"/>
    </row>
    <row r="6775" customFormat="false" ht="24" hidden="false" customHeight="true" outlineLevel="0" collapsed="false">
      <c r="B6775" s="37" t="str">
        <f aca="false">SUBSTITUTE(SUBSTITUTE(SUBSTITUTE(SUBSTITUTE(SUBSTITUTE(Txt_P4,"{cabinet}",Cab_Nom),"{societe}",IF($K$6751=0,"",INDEX(Clients!$E$2:$E$501,$K$6751)&amp;"")),"{date_effet}",$K$6753),"{hausse}",$K$6754),"{civilite}",$K$6752)</f>
        <v>À compter du 1er janvier 2027, vos honoraires annuels hors taxes évolueront ainsi (évolution globale : ) :</v>
      </c>
      <c r="C6775" s="37"/>
      <c r="D6775" s="37"/>
      <c r="E6775" s="37"/>
      <c r="F6775" s="37"/>
      <c r="J6775" s="25"/>
      <c r="K6775" s="25"/>
      <c r="L6775" s="25"/>
      <c r="M6775" s="25"/>
      <c r="N6775" s="25"/>
      <c r="O6775" s="25"/>
    </row>
    <row r="6776" customFormat="false" ht="3.75" hidden="false" customHeight="true" outlineLevel="0" collapsed="false">
      <c r="B6776" s="10"/>
      <c r="C6776" s="10"/>
      <c r="D6776" s="10"/>
      <c r="E6776" s="10"/>
      <c r="F6776" s="10"/>
      <c r="J6776" s="25"/>
      <c r="K6776" s="25"/>
      <c r="L6776" s="25"/>
      <c r="M6776" s="25"/>
      <c r="N6776" s="25"/>
      <c r="O6776" s="25"/>
    </row>
    <row r="6777" customFormat="false" ht="18" hidden="false" customHeight="true" outlineLevel="0" collapsed="false">
      <c r="B6777" s="38" t="s">
        <v>148</v>
      </c>
      <c r="C6777" s="39" t="s">
        <v>149</v>
      </c>
      <c r="D6777" s="39" t="s">
        <v>150</v>
      </c>
      <c r="E6777" s="39" t="s">
        <v>151</v>
      </c>
      <c r="F6777" s="39" t="s">
        <v>109</v>
      </c>
      <c r="J6777" s="25" t="s">
        <v>152</v>
      </c>
      <c r="K6777" s="25" t="s">
        <v>153</v>
      </c>
      <c r="L6777" s="25" t="s">
        <v>154</v>
      </c>
      <c r="M6777" s="25" t="s">
        <v>155</v>
      </c>
      <c r="N6777" s="25" t="s">
        <v>156</v>
      </c>
      <c r="O6777" s="25" t="s">
        <v>157</v>
      </c>
    </row>
    <row r="6778" customFormat="false" ht="16.5" hidden="false" customHeight="true" outlineLevel="0" collapsed="false">
      <c r="B6778" s="40" t="str">
        <f aca="false">IFERROR(INDEX($J$6778:$J$6781,MATCH($O6778,$N$6778:$N$6781,0)),"")</f>
        <v/>
      </c>
      <c r="C6778" s="41" t="str">
        <f aca="false">IFERROR(INDEX($K$6778:$K$6781,MATCH($O6778,$N$6778:$N$6781,0)),"")</f>
        <v/>
      </c>
      <c r="D6778" s="42" t="str">
        <f aca="false">IF(OR(E6778="",N(C6778)=0),"",E6778/C6778-1)</f>
        <v/>
      </c>
      <c r="E6778" s="41" t="str">
        <f aca="false">IFERROR(INDEX($L$6778:$L$6781,MATCH($O6778,$N$6778:$N$6781,0)),"")</f>
        <v/>
      </c>
      <c r="F6778" s="41" t="str">
        <f aca="false">IF(E6778="","",E6778-C6778)</f>
        <v/>
      </c>
      <c r="J6778" s="25" t="str">
        <f aca="false">Lib_Compta</f>
        <v>Mission comptable (tenue, révision, bilan, liasse fiscale)</v>
      </c>
      <c r="K6778" s="25" t="n">
        <f aca="false">IF($K$6751=0,0,N(INDEX(Clients!$K$2:$K$501,$K$6751)))</f>
        <v>0</v>
      </c>
      <c r="L6778" s="25" t="n">
        <f aca="false">IF($K$6751=0,0,N(INDEX(Clients!$P$2:$P$501,$K$6751)))</f>
        <v>0</v>
      </c>
      <c r="M6778" s="25" t="n">
        <f aca="false">IF(OR(K6778&lt;&gt;0,L6778&lt;&gt;0),1,0)</f>
        <v>0</v>
      </c>
      <c r="N6778" s="25" t="str">
        <f aca="false">IF(M6778=1,SUM($M$6778:M6778),"")</f>
        <v/>
      </c>
      <c r="O6778" s="25" t="n">
        <v>1</v>
      </c>
    </row>
    <row r="6779" customFormat="false" ht="16.5" hidden="false" customHeight="true" outlineLevel="0" collapsed="false">
      <c r="B6779" s="40" t="str">
        <f aca="false">IFERROR(INDEX($J$6778:$J$6781,MATCH($O6779,$N$6778:$N$6781,0)),"")</f>
        <v/>
      </c>
      <c r="C6779" s="41" t="str">
        <f aca="false">IFERROR(INDEX($K$6778:$K$6781,MATCH($O6779,$N$6778:$N$6781,0)),"")</f>
        <v/>
      </c>
      <c r="D6779" s="42" t="str">
        <f aca="false">IF(OR(E6779="",N(C6779)=0),"",E6779/C6779-1)</f>
        <v/>
      </c>
      <c r="E6779" s="41" t="str">
        <f aca="false">IFERROR(INDEX($L$6778:$L$6781,MATCH($O6779,$N$6778:$N$6781,0)),"")</f>
        <v/>
      </c>
      <c r="F6779" s="41" t="str">
        <f aca="false">IF(E6779="","",E6779-C6779)</f>
        <v/>
      </c>
      <c r="J6779" s="25" t="str">
        <f aca="false">Lib_Paye</f>
        <v>Mission sociale (bulletins de paie, DSN, déclarations sociales)</v>
      </c>
      <c r="K6779" s="25" t="n">
        <f aca="false">IF($K$6751=0,0,N(INDEX(Clients!$L$2:$L$501,$K$6751)))</f>
        <v>0</v>
      </c>
      <c r="L6779" s="25" t="n">
        <f aca="false">IF($K$6751=0,0,N(INDEX(Clients!$Q$2:$Q$501,$K$6751)))</f>
        <v>0</v>
      </c>
      <c r="M6779" s="25" t="n">
        <f aca="false">IF(OR(K6779&lt;&gt;0,L6779&lt;&gt;0),1,0)</f>
        <v>0</v>
      </c>
      <c r="N6779" s="25" t="str">
        <f aca="false">IF(M6779=1,SUM($M$6778:M6779),"")</f>
        <v/>
      </c>
      <c r="O6779" s="25" t="n">
        <v>2</v>
      </c>
    </row>
    <row r="6780" customFormat="false" ht="16.5" hidden="false" customHeight="true" outlineLevel="0" collapsed="false">
      <c r="B6780" s="40" t="str">
        <f aca="false">IFERROR(INDEX($J$6778:$J$6781,MATCH($O6780,$N$6778:$N$6781,0)),"")</f>
        <v/>
      </c>
      <c r="C6780" s="41" t="str">
        <f aca="false">IFERROR(INDEX($K$6778:$K$6781,MATCH($O6780,$N$6778:$N$6781,0)),"")</f>
        <v/>
      </c>
      <c r="D6780" s="42" t="str">
        <f aca="false">IF(OR(E6780="",N(C6780)=0),"",E6780/C6780-1)</f>
        <v/>
      </c>
      <c r="E6780" s="41" t="str">
        <f aca="false">IFERROR(INDEX($L$6778:$L$6781,MATCH($O6780,$N$6778:$N$6781,0)),"")</f>
        <v/>
      </c>
      <c r="F6780" s="41" t="str">
        <f aca="false">IF(E6780="","",E6780-C6780)</f>
        <v/>
      </c>
      <c r="J6780" s="25" t="str">
        <f aca="false">Lib_Jur</f>
        <v>Mission juridique (approbation des comptes, secrétariat juridique)</v>
      </c>
      <c r="K6780" s="25" t="n">
        <f aca="false">IF($K$6751=0,0,N(INDEX(Clients!$M$2:$M$501,$K$6751)))</f>
        <v>0</v>
      </c>
      <c r="L6780" s="25" t="n">
        <f aca="false">IF($K$6751=0,0,N(INDEX(Clients!$R$2:$R$501,$K$6751)))</f>
        <v>0</v>
      </c>
      <c r="M6780" s="25" t="n">
        <f aca="false">IF(OR(K6780&lt;&gt;0,L6780&lt;&gt;0),1,0)</f>
        <v>0</v>
      </c>
      <c r="N6780" s="25" t="str">
        <f aca="false">IF(M6780=1,SUM($M$6778:M6780),"")</f>
        <v/>
      </c>
      <c r="O6780" s="25" t="n">
        <v>3</v>
      </c>
    </row>
    <row r="6781" customFormat="false" ht="16.5" hidden="false" customHeight="true" outlineLevel="0" collapsed="false">
      <c r="B6781" s="40" t="str">
        <f aca="false">IFERROR(INDEX($J$6778:$J$6781,MATCH($O6781,$N$6778:$N$6781,0)),"")</f>
        <v/>
      </c>
      <c r="C6781" s="41" t="str">
        <f aca="false">IFERROR(INDEX($K$6778:$K$6781,MATCH($O6781,$N$6778:$N$6781,0)),"")</f>
        <v/>
      </c>
      <c r="D6781" s="42" t="str">
        <f aca="false">IF(OR(E6781="",N(C6781)=0),"",E6781/C6781-1)</f>
        <v/>
      </c>
      <c r="E6781" s="41" t="str">
        <f aca="false">IFERROR(INDEX($L$6778:$L$6781,MATCH($O6781,$N$6778:$N$6781,0)),"")</f>
        <v/>
      </c>
      <c r="F6781" s="41" t="str">
        <f aca="false">IF(E6781="","",E6781-C6781)</f>
        <v/>
      </c>
      <c r="J6781" s="25" t="str">
        <f aca="false">Lib_PA</f>
        <v>Plateforme agréée – facturation électronique</v>
      </c>
      <c r="K6781" s="25" t="n">
        <f aca="false">IF($K$6751=0,0,N(INDEX(Clients!$N$2:$N$501,$K$6751)))</f>
        <v>0</v>
      </c>
      <c r="L6781" s="25" t="n">
        <f aca="false">IF($K$6751=0,0,N(INDEX(Clients!$S$2:$S$501,$K$6751)))</f>
        <v>0</v>
      </c>
      <c r="M6781" s="25" t="n">
        <f aca="false">IF(OR(K6781&lt;&gt;0,L6781&lt;&gt;0),1,0)</f>
        <v>0</v>
      </c>
      <c r="N6781" s="25" t="str">
        <f aca="false">IF(M6781=1,SUM($M$6778:M6781),"")</f>
        <v/>
      </c>
      <c r="O6781" s="25" t="n">
        <v>4</v>
      </c>
    </row>
    <row r="6782" customFormat="false" ht="18" hidden="false" customHeight="true" outlineLevel="0" collapsed="false">
      <c r="B6782" s="43" t="s">
        <v>158</v>
      </c>
      <c r="C6782" s="44" t="n">
        <f aca="false">SUM(K6778:K6781)</f>
        <v>0</v>
      </c>
      <c r="D6782" s="45" t="str">
        <f aca="false">IF(N(C6782)=0,"",E6782/C6782-1)</f>
        <v/>
      </c>
      <c r="E6782" s="44" t="n">
        <f aca="false">SUM(L6778:L6781)</f>
        <v>0</v>
      </c>
      <c r="F6782" s="44" t="n">
        <f aca="false">E6782-C6782</f>
        <v>0</v>
      </c>
    </row>
    <row r="6783" customFormat="false" ht="15" hidden="false" customHeight="false" outlineLevel="0" collapsed="false">
      <c r="B6783" s="46" t="str">
        <f aca="false">IF(N(Nb_Mensualites)=0,"","Soit "&amp;FIXED(E6782/Nb_Mensualites,2)&amp;" € HT par échéance ("&amp;Nb_Mensualites&amp;" échéances), "&amp;FIXED(E6782/Nb_Mensualites*(1+Taux_TVA),2)&amp;" € TTC.")</f>
        <v>Soit 0.00 € HT par échéance (12 échéances), 0.00 € TTC.</v>
      </c>
      <c r="C6783" s="46"/>
      <c r="D6783" s="46"/>
      <c r="E6783" s="46"/>
      <c r="F6783" s="46"/>
    </row>
    <row r="6784" customFormat="false" ht="7.5" hidden="false" customHeight="true" outlineLevel="0" collapsed="false">
      <c r="B6784" s="10"/>
      <c r="C6784" s="10"/>
      <c r="D6784" s="10"/>
      <c r="E6784" s="10"/>
      <c r="F6784" s="10"/>
    </row>
    <row r="6785" customFormat="false" ht="36.75" hidden="false" customHeight="true" outlineLevel="0" collapsed="false">
      <c r="B6785" s="37" t="str">
        <f aca="false">SUBSTITUTE(SUBSTITUTE(SUBSTITUTE(SUBSTITUTE(SUBSTITUTE(Txt_P5,"{cabinet}",Cab_Nom),"{societe}",IF($K$6751=0,"",INDEX(Clients!$E$2:$E$501,$K$6751)&amp;"")),"{date_effet}",$K$6753),"{hausse}",$K$6754),"{civilite}",$K$6752)</f>
        <v>Les autres conditions de votre lettre de mission demeurent inchangées. Les nouveaux montants seront appliqués automatiquement sur vos prochaines factures et échéances de prélèvement.</v>
      </c>
      <c r="C6785" s="37"/>
      <c r="D6785" s="37"/>
      <c r="E6785" s="37"/>
      <c r="F6785" s="37"/>
    </row>
    <row r="6786" customFormat="false" ht="36.75" hidden="false" customHeight="true" outlineLevel="0" collapsed="false">
      <c r="B6786" s="37" t="str">
        <f aca="false">SUBSTITUTE(SUBSTITUTE(SUBSTITUTE(SUBSTITUTE(SUBSTITUTE(Txt_P6,"{cabinet}",Cab_Nom),"{societe}",IF($K$6751=0,"",INDEX(Clients!$E$2:$E$501,$K$6751)&amp;"")),"{date_effet}",$K$6753),"{hausse}",$K$6754),"{civilite}",$K$6752)</f>
        <v>Votre interlocuteur habituel reste à votre entière disposition pour répondre à vos questions et faire le point sur l'évolution de vos besoins.</v>
      </c>
      <c r="C6786" s="37"/>
      <c r="D6786" s="37"/>
      <c r="E6786" s="37"/>
      <c r="F6786" s="37"/>
    </row>
    <row r="6787" customFormat="false" ht="24" hidden="false" customHeight="true" outlineLevel="0" collapsed="false">
      <c r="B6787" s="37" t="str">
        <f aca="false">SUBSTITUTE(SUBSTITUTE(SUBSTITUTE(SUBSTITUTE(SUBSTITUTE(Txt_Politesse,"{cabinet}",Cab_Nom),"{societe}",IF($K$6751=0,"",INDEX(Clients!$E$2:$E$501,$K$6751)&amp;"")),"{date_effet}",$K$6753),"{hausse}",$K$6754),"{civilite}",$K$6752)</f>
        <v>Nous vous prions d'agréer, Madame, Monsieur, l'expression de nos salutations distinguées.</v>
      </c>
      <c r="C6787" s="37"/>
      <c r="D6787" s="37"/>
      <c r="E6787" s="37"/>
      <c r="F6787" s="37"/>
    </row>
    <row r="6788" customFormat="false" ht="15" hidden="false" customHeight="false" outlineLevel="0" collapsed="false">
      <c r="B6788" s="10"/>
      <c r="C6788" s="10"/>
      <c r="D6788" s="10"/>
      <c r="E6788" s="10"/>
      <c r="F6788" s="10"/>
    </row>
    <row r="6789" customFormat="false" ht="15" hidden="false" customHeight="false" outlineLevel="0" collapsed="false">
      <c r="B6789" s="10"/>
      <c r="C6789" s="10"/>
      <c r="D6789" s="34" t="str">
        <f aca="false">Signataire</f>
        <v>Prénom NOM</v>
      </c>
      <c r="E6789" s="34"/>
      <c r="F6789" s="34"/>
    </row>
    <row r="6790" customFormat="false" ht="15" hidden="false" customHeight="false" outlineLevel="0" collapsed="false">
      <c r="B6790" s="10"/>
      <c r="C6790" s="10"/>
      <c r="D6790" s="47" t="str">
        <f aca="false">Signataire_Titre</f>
        <v>Expert-comptable associé</v>
      </c>
      <c r="E6790" s="47"/>
      <c r="F6790" s="47"/>
    </row>
    <row r="6791" customFormat="false" ht="15.75" hidden="false" customHeight="true" outlineLevel="0" collapsed="false">
      <c r="B6791" s="10"/>
      <c r="C6791" s="10"/>
      <c r="D6791" s="10"/>
      <c r="E6791" s="10"/>
      <c r="F6791" s="10"/>
    </row>
    <row r="6792" customFormat="false" ht="15.75" hidden="false" customHeight="true" outlineLevel="0" collapsed="false">
      <c r="B6792" s="10"/>
      <c r="C6792" s="10"/>
      <c r="D6792" s="10"/>
      <c r="E6792" s="10"/>
      <c r="F6792" s="10"/>
    </row>
    <row r="6793" customFormat="false" ht="15.75" hidden="false" customHeight="true" outlineLevel="0" collapsed="false">
      <c r="B6793" s="10"/>
      <c r="C6793" s="10"/>
      <c r="D6793" s="10"/>
      <c r="E6793" s="10"/>
      <c r="F6793" s="10"/>
    </row>
    <row r="6794" customFormat="false" ht="15.75" hidden="false" customHeight="true" outlineLevel="0" collapsed="false">
      <c r="B6794" s="10"/>
      <c r="C6794" s="10"/>
      <c r="D6794" s="10"/>
      <c r="E6794" s="10"/>
      <c r="F6794" s="10"/>
    </row>
    <row r="6795" customFormat="false" ht="24" hidden="false" customHeight="true" outlineLevel="0" collapsed="false">
      <c r="B6795" s="48" t="str">
        <f aca="false">Cab_Mentions</f>
        <v>ALTHO EXPERTISE · SAS au capital de 10 000 € · RCS Pontoise 919 706 325 · TVA FR62919706325 · Société d'expertise comptable inscrite au Tableau de l'Ordre des experts-comptables de Paris Île-de-France</v>
      </c>
      <c r="C6795" s="48"/>
      <c r="D6795" s="48"/>
      <c r="E6795" s="48"/>
      <c r="F6795" s="48"/>
    </row>
    <row r="6796" customFormat="false" ht="15" hidden="false" customHeight="false" outlineLevel="0" collapsed="false">
      <c r="B6796" s="10"/>
      <c r="C6796" s="10"/>
      <c r="D6796" s="10"/>
      <c r="E6796" s="10"/>
      <c r="F6796" s="10"/>
      <c r="J6796" s="25" t="s">
        <v>142</v>
      </c>
      <c r="K6796" s="25" t="n">
        <f aca="false">IFERROR(MATCH(152,Clients!$Z$2:$Z$501,0),0)</f>
        <v>0</v>
      </c>
      <c r="L6796" s="25"/>
      <c r="M6796" s="25"/>
      <c r="N6796" s="25"/>
      <c r="O6796" s="25"/>
    </row>
    <row r="6797" customFormat="false" ht="21.75" hidden="false" customHeight="true" outlineLevel="0" collapsed="false">
      <c r="B6797" s="26" t="str">
        <f aca="false">Cab_Nom</f>
        <v>ALTHO EXPERTISE</v>
      </c>
      <c r="C6797" s="26"/>
      <c r="D6797" s="10"/>
      <c r="E6797" s="27" t="str">
        <f aca="false">IF($K$6796=0,"","Réf. client : "&amp;INDEX(Clients!$A$2:$A$501,$K$6796))</f>
        <v/>
      </c>
      <c r="F6797" s="27"/>
      <c r="J6797" s="25" t="s">
        <v>144</v>
      </c>
      <c r="K6797" s="25" t="str">
        <f aca="false">IF(IF($K$6796=0,"",INDEX(Clients!$B$2:$B$501,$K$6796)&amp;"")="Mme","Madame",IF(IF($K$6796=0,"",INDEX(Clients!$B$2:$B$501,$K$6796)&amp;"")="M.","Monsieur","Madame, Monsieur"))</f>
        <v>Madame, Monsieur</v>
      </c>
      <c r="L6797" s="25"/>
      <c r="M6797" s="25"/>
      <c r="N6797" s="25"/>
      <c r="O6797" s="25"/>
    </row>
    <row r="6798" customFormat="false" ht="15" hidden="false" customHeight="false" outlineLevel="0" collapsed="false">
      <c r="B6798" s="29" t="str">
        <f aca="false">Cab_Adr1</f>
        <v>141 rue Charles de Gaulle</v>
      </c>
      <c r="C6798" s="29"/>
      <c r="D6798" s="10"/>
      <c r="E6798" s="10"/>
      <c r="F6798" s="10"/>
      <c r="J6798" s="25" t="s">
        <v>145</v>
      </c>
      <c r="K6798" s="25" t="str">
        <f aca="false">DAY(Date_Effet)&amp;IF(DAY(Date_Effet)=1,"er","")&amp;" "&amp;INDEX(Liste_Mois,MONTH(Date_Effet))&amp;" "&amp;YEAR(Date_Effet)</f>
        <v>1er janvier 2027</v>
      </c>
      <c r="L6798" s="25"/>
      <c r="M6798" s="25"/>
      <c r="N6798" s="25"/>
      <c r="O6798" s="25"/>
    </row>
    <row r="6799" customFormat="false" ht="15" hidden="false" customHeight="false" outlineLevel="0" collapsed="false">
      <c r="B6799" s="29" t="str">
        <f aca="false">Cab_CPVille</f>
        <v>95130 LE PLESSIS-BOUCHARD</v>
      </c>
      <c r="C6799" s="29"/>
      <c r="D6799" s="10"/>
      <c r="E6799" s="10"/>
      <c r="F6799" s="10"/>
      <c r="J6799" s="25" t="s">
        <v>146</v>
      </c>
      <c r="K6799" s="25" t="str">
        <f aca="false">IF(SUM($K$6823:$K$6826)=0,"",FIXED((SUM($L$6823:$L$6826)/SUM($K$6823:$K$6826)-1)*100,1)&amp;" %")</f>
        <v/>
      </c>
      <c r="L6799" s="25"/>
      <c r="M6799" s="25"/>
      <c r="N6799" s="25"/>
      <c r="O6799" s="25"/>
    </row>
    <row r="6800" customFormat="false" ht="15" hidden="false" customHeight="false" outlineLevel="0" collapsed="false">
      <c r="B6800" s="29" t="str">
        <f aca="false">Cab_Contact</f>
        <v>Tél. 01 34 14 53 45  ·  altho@altho-experts.com  ·  altho-experts.com</v>
      </c>
      <c r="C6800" s="29"/>
      <c r="D6800" s="10"/>
      <c r="E6800" s="10"/>
      <c r="F6800" s="10"/>
      <c r="J6800" s="25"/>
      <c r="K6800" s="25"/>
      <c r="L6800" s="25"/>
      <c r="M6800" s="25"/>
      <c r="N6800" s="25"/>
      <c r="O6800" s="25"/>
    </row>
    <row r="6801" customFormat="false" ht="6" hidden="false" customHeight="true" outlineLevel="0" collapsed="false">
      <c r="B6801" s="32"/>
      <c r="C6801" s="32"/>
      <c r="D6801" s="32"/>
      <c r="E6801" s="32"/>
      <c r="F6801" s="32"/>
      <c r="J6801" s="25"/>
      <c r="K6801" s="25"/>
      <c r="L6801" s="25"/>
      <c r="M6801" s="25"/>
      <c r="N6801" s="25"/>
      <c r="O6801" s="25"/>
    </row>
    <row r="6802" customFormat="false" ht="13.5" hidden="false" customHeight="true" outlineLevel="0" collapsed="false">
      <c r="B6802" s="10"/>
      <c r="C6802" s="10"/>
      <c r="D6802" s="10"/>
      <c r="E6802" s="10"/>
      <c r="F6802" s="10"/>
      <c r="J6802" s="25"/>
      <c r="K6802" s="25"/>
      <c r="L6802" s="25"/>
      <c r="M6802" s="25"/>
      <c r="N6802" s="25"/>
      <c r="O6802" s="25"/>
    </row>
    <row r="6803" customFormat="false" ht="13.5" hidden="false" customHeight="true" outlineLevel="0" collapsed="false">
      <c r="B6803" s="10"/>
      <c r="C6803" s="10"/>
      <c r="D6803" s="10"/>
      <c r="E6803" s="10"/>
      <c r="F6803" s="10"/>
      <c r="J6803" s="25"/>
      <c r="K6803" s="25"/>
      <c r="L6803" s="25"/>
      <c r="M6803" s="25"/>
      <c r="N6803" s="25"/>
      <c r="O6803" s="25"/>
    </row>
    <row r="6804" customFormat="false" ht="13.5" hidden="false" customHeight="true" outlineLevel="0" collapsed="false">
      <c r="B6804" s="10"/>
      <c r="C6804" s="10"/>
      <c r="D6804" s="10"/>
      <c r="E6804" s="10"/>
      <c r="F6804" s="10"/>
      <c r="J6804" s="25"/>
      <c r="K6804" s="25"/>
      <c r="L6804" s="25"/>
      <c r="M6804" s="25"/>
      <c r="N6804" s="25"/>
      <c r="O6804" s="25"/>
    </row>
    <row r="6805" customFormat="false" ht="15" hidden="false" customHeight="true" outlineLevel="0" collapsed="false">
      <c r="B6805" s="10"/>
      <c r="C6805" s="10"/>
      <c r="D6805" s="34" t="str">
        <f aca="false">IF($K$6796=0,"",INDEX(Clients!$E$2:$E$501,$K$6796)&amp;"")</f>
        <v/>
      </c>
      <c r="E6805" s="34"/>
      <c r="F6805" s="34"/>
      <c r="J6805" s="25"/>
      <c r="K6805" s="25"/>
      <c r="L6805" s="25"/>
      <c r="M6805" s="25"/>
      <c r="N6805" s="25"/>
      <c r="O6805" s="25"/>
    </row>
    <row r="6806" customFormat="false" ht="15" hidden="false" customHeight="true" outlineLevel="0" collapsed="false">
      <c r="B6806" s="10"/>
      <c r="C6806" s="10"/>
      <c r="D6806" s="35" t="str">
        <f aca="false">IF(IF($K$6796=0,"",INDEX(Clients!$D$2:$D$501,$K$6796)&amp;"")="","","À l'attention de "&amp;TRIM(IF($K$6796=0,"",INDEX(Clients!$B$2:$B$501,$K$6796)&amp;"")&amp;" "&amp;IF($K$6796=0,"",INDEX(Clients!$C$2:$C$501,$K$6796)&amp;"")&amp;" "&amp;IF($K$6796=0,"",INDEX(Clients!$D$2:$D$501,$K$6796)&amp;"")))</f>
        <v/>
      </c>
      <c r="E6806" s="35"/>
      <c r="F6806" s="35"/>
      <c r="J6806" s="25"/>
      <c r="K6806" s="25"/>
      <c r="L6806" s="25"/>
      <c r="M6806" s="25"/>
      <c r="N6806" s="25"/>
      <c r="O6806" s="25"/>
    </row>
    <row r="6807" customFormat="false" ht="15" hidden="false" customHeight="true" outlineLevel="0" collapsed="false">
      <c r="B6807" s="10"/>
      <c r="C6807" s="10"/>
      <c r="D6807" s="35" t="str">
        <f aca="false">IF($K$6796=0,"",INDEX(Clients!$F$2:$F$501,$K$6796)&amp;"")</f>
        <v/>
      </c>
      <c r="E6807" s="35"/>
      <c r="F6807" s="35"/>
      <c r="J6807" s="25"/>
      <c r="K6807" s="25"/>
      <c r="L6807" s="25"/>
      <c r="M6807" s="25"/>
      <c r="N6807" s="25"/>
      <c r="O6807" s="25"/>
    </row>
    <row r="6808" customFormat="false" ht="15" hidden="false" customHeight="true" outlineLevel="0" collapsed="false">
      <c r="B6808" s="10"/>
      <c r="C6808" s="10"/>
      <c r="D6808" s="35" t="str">
        <f aca="false">IF(IF($K$6796=0,"",INDEX(Clients!$G$2:$G$501,$K$6796)&amp;"")="",TRIM(IF($K$6796=0,"",INDEX(Clients!$H$2:$H$501,$K$6796)&amp;"")&amp;" "&amp;UPPER(IF($K$6796=0,"",INDEX(Clients!$I$2:$I$501,$K$6796)&amp;""))),IF($K$6796=0,"",INDEX(Clients!$G$2:$G$501,$K$6796)&amp;""))</f>
        <v/>
      </c>
      <c r="E6808" s="35"/>
      <c r="F6808" s="35"/>
      <c r="J6808" s="25"/>
      <c r="K6808" s="25"/>
      <c r="L6808" s="25"/>
      <c r="M6808" s="25"/>
      <c r="N6808" s="25"/>
      <c r="O6808" s="25"/>
    </row>
    <row r="6809" customFormat="false" ht="15" hidden="false" customHeight="true" outlineLevel="0" collapsed="false">
      <c r="B6809" s="10"/>
      <c r="C6809" s="10"/>
      <c r="D6809" s="35" t="str">
        <f aca="false">IF(IF($K$6796=0,"",INDEX(Clients!$G$2:$G$501,$K$6796)&amp;"")="","",TRIM(IF($K$6796=0,"",INDEX(Clients!$H$2:$H$501,$K$6796)&amp;"")&amp;" "&amp;UPPER(IF($K$6796=0,"",INDEX(Clients!$I$2:$I$501,$K$6796)&amp;""))))</f>
        <v/>
      </c>
      <c r="E6809" s="35"/>
      <c r="F6809" s="35"/>
      <c r="J6809" s="25"/>
      <c r="K6809" s="25"/>
      <c r="L6809" s="25"/>
      <c r="M6809" s="25"/>
      <c r="N6809" s="25"/>
      <c r="O6809" s="25"/>
    </row>
    <row r="6810" customFormat="false" ht="25.5" hidden="false" customHeight="true" outlineLevel="0" collapsed="false">
      <c r="B6810" s="10"/>
      <c r="C6810" s="10"/>
      <c r="D6810" s="10"/>
      <c r="E6810" s="10"/>
      <c r="F6810" s="10"/>
      <c r="J6810" s="25"/>
      <c r="K6810" s="25"/>
      <c r="L6810" s="25"/>
      <c r="M6810" s="25"/>
      <c r="N6810" s="25"/>
      <c r="O6810" s="25"/>
    </row>
    <row r="6811" customFormat="false" ht="15" hidden="false" customHeight="false" outlineLevel="0" collapsed="false">
      <c r="B6811" s="10"/>
      <c r="C6811" s="10"/>
      <c r="D6811" s="36" t="str">
        <f aca="false">Cab_Ville&amp;", le "&amp;DAY(Date_Courrier)&amp;IF(DAY(Date_Courrier)=1,"er","")&amp;" "&amp;INDEX(Liste_Mois,MONTH(Date_Courrier))&amp;" "&amp;YEAR(Date_Courrier)</f>
        <v>Le Plessis-Bouchard, le 22 septembre 2026</v>
      </c>
      <c r="E6811" s="36"/>
      <c r="F6811" s="36"/>
      <c r="J6811" s="25"/>
      <c r="K6811" s="25"/>
      <c r="L6811" s="25"/>
      <c r="M6811" s="25"/>
      <c r="N6811" s="25"/>
      <c r="O6811" s="25"/>
    </row>
    <row r="6812" customFormat="false" ht="19.5" hidden="false" customHeight="true" outlineLevel="0" collapsed="false">
      <c r="B6812" s="10"/>
      <c r="C6812" s="10"/>
      <c r="D6812" s="10"/>
      <c r="E6812" s="10"/>
      <c r="F6812" s="10"/>
      <c r="J6812" s="25"/>
      <c r="K6812" s="25"/>
      <c r="L6812" s="25"/>
      <c r="M6812" s="25"/>
      <c r="N6812" s="25"/>
      <c r="O6812" s="25"/>
    </row>
    <row r="6813" customFormat="false" ht="15" hidden="false" customHeight="false" outlineLevel="0" collapsed="false">
      <c r="B6813" s="34" t="str">
        <f aca="false">SUBSTITUTE(SUBSTITUTE(SUBSTITUTE(SUBSTITUTE(SUBSTITUTE(Txt_Objet,"{cabinet}",Cab_Nom),"{societe}",IF($K$6796=0,"",INDEX(Clients!$E$2:$E$501,$K$6796)&amp;"")),"{date_effet}",$K$6798),"{hausse}",$K$6799),"{civilite}",$K$6797)</f>
        <v>Objet : révision de nos honoraires au 1er janvier 2027</v>
      </c>
      <c r="C6813" s="34"/>
      <c r="D6813" s="34"/>
      <c r="E6813" s="34"/>
      <c r="F6813" s="34"/>
      <c r="J6813" s="25"/>
      <c r="K6813" s="25"/>
      <c r="L6813" s="25"/>
      <c r="M6813" s="25"/>
      <c r="N6813" s="25"/>
      <c r="O6813" s="25"/>
    </row>
    <row r="6814" customFormat="false" ht="13.5" hidden="false" customHeight="true" outlineLevel="0" collapsed="false">
      <c r="B6814" s="10"/>
      <c r="C6814" s="10"/>
      <c r="D6814" s="10"/>
      <c r="E6814" s="10"/>
      <c r="F6814" s="10"/>
      <c r="J6814" s="25"/>
      <c r="K6814" s="25"/>
      <c r="L6814" s="25"/>
      <c r="M6814" s="25"/>
      <c r="N6814" s="25"/>
      <c r="O6814" s="25"/>
    </row>
    <row r="6815" customFormat="false" ht="15" hidden="false" customHeight="false" outlineLevel="0" collapsed="false">
      <c r="B6815" s="10" t="str">
        <f aca="false">$K$6797&amp;","</f>
        <v>Madame, Monsieur,</v>
      </c>
      <c r="C6815" s="10"/>
      <c r="D6815" s="10"/>
      <c r="E6815" s="10"/>
      <c r="F6815" s="10"/>
      <c r="J6815" s="25"/>
      <c r="K6815" s="25"/>
      <c r="L6815" s="25"/>
      <c r="M6815" s="25"/>
      <c r="N6815" s="25"/>
      <c r="O6815" s="25"/>
    </row>
    <row r="6816" customFormat="false" ht="6" hidden="false" customHeight="true" outlineLevel="0" collapsed="false">
      <c r="B6816" s="10"/>
      <c r="C6816" s="10"/>
      <c r="D6816" s="10"/>
      <c r="E6816" s="10"/>
      <c r="F6816" s="10"/>
      <c r="J6816" s="25"/>
      <c r="K6816" s="25"/>
      <c r="L6816" s="25"/>
      <c r="M6816" s="25"/>
      <c r="N6816" s="25"/>
      <c r="O6816" s="25"/>
    </row>
    <row r="6817" customFormat="false" ht="36.75" hidden="false" customHeight="true" outlineLevel="0" collapsed="false">
      <c r="B6817" s="37" t="str">
        <f aca="false">SUBSTITUTE(SUBSTITUTE(SUBSTITUTE(SUBSTITUTE(SUBSTITUTE(Txt_P1,"{cabinet}",Cab_Nom),"{societe}",IF($K$6796=0,"",INDEX(Clients!$E$2:$E$501,$K$6796)&amp;"")),"{date_effet}",$K$6798),"{hausse}",$K$6799),"{civilite}",$K$6797)</f>
        <v>Nous tenons tout d'abord à vous remercier pour la confiance que vous accordez à ALTHO EXPERTISE. Comme chaque année, et conformément aux dispositions de votre lettre de mission, nous procédons à la révision de nos honoraires.</v>
      </c>
      <c r="C6817" s="37"/>
      <c r="D6817" s="37"/>
      <c r="E6817" s="37"/>
      <c r="F6817" s="37"/>
      <c r="J6817" s="25"/>
      <c r="K6817" s="25"/>
      <c r="L6817" s="25"/>
      <c r="M6817" s="25"/>
      <c r="N6817" s="25"/>
      <c r="O6817" s="25"/>
    </row>
    <row r="6818" customFormat="false" ht="49.5" hidden="false" customHeight="true" outlineLevel="0" collapsed="false">
      <c r="B6818" s="37" t="str">
        <f aca="false">SUBSTITUTE(SUBSTITUTE(SUBSTITUTE(SUBSTITUTE(SUBSTITUTE(Txt_P2,"{cabinet}",Cab_Nom),"{societe}",IF($K$6796=0,"",INDEX(Clients!$E$2:$E$501,$K$6796)&amp;"")),"{date_effet}",$K$6798),"{hausse}",$K$6799),"{civilite}",$K$6797)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818" s="37"/>
      <c r="D6818" s="37"/>
      <c r="E6818" s="37"/>
      <c r="F6818" s="37"/>
      <c r="J6818" s="25"/>
      <c r="K6818" s="25"/>
      <c r="L6818" s="25"/>
      <c r="M6818" s="25"/>
      <c r="N6818" s="25"/>
      <c r="O6818" s="25"/>
    </row>
    <row r="6819" customFormat="false" ht="63" hidden="false" customHeight="true" outlineLevel="0" collapsed="false">
      <c r="B6819" s="37" t="str">
        <f aca="false">SUBSTITUTE(SUBSTITUTE(SUBSTITUTE(SUBSTITUTE(SUBSTITUTE(Txt_P3,"{cabinet}",Cab_Nom),"{societe}",IF($K$6796=0,"",INDEX(Clients!$E$2:$E$501,$K$6796)&amp;"")),"{date_effet}",$K$6798),"{hausse}",$K$6799),"{civilite}",$K$6797)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819" s="37"/>
      <c r="D6819" s="37"/>
      <c r="E6819" s="37"/>
      <c r="F6819" s="37"/>
      <c r="J6819" s="25"/>
      <c r="K6819" s="25"/>
      <c r="L6819" s="25"/>
      <c r="M6819" s="25"/>
      <c r="N6819" s="25"/>
      <c r="O6819" s="25"/>
    </row>
    <row r="6820" customFormat="false" ht="24" hidden="false" customHeight="true" outlineLevel="0" collapsed="false">
      <c r="B6820" s="37" t="str">
        <f aca="false">SUBSTITUTE(SUBSTITUTE(SUBSTITUTE(SUBSTITUTE(SUBSTITUTE(Txt_P4,"{cabinet}",Cab_Nom),"{societe}",IF($K$6796=0,"",INDEX(Clients!$E$2:$E$501,$K$6796)&amp;"")),"{date_effet}",$K$6798),"{hausse}",$K$6799),"{civilite}",$K$6797)</f>
        <v>À compter du 1er janvier 2027, vos honoraires annuels hors taxes évolueront ainsi (évolution globale : ) :</v>
      </c>
      <c r="C6820" s="37"/>
      <c r="D6820" s="37"/>
      <c r="E6820" s="37"/>
      <c r="F6820" s="37"/>
      <c r="J6820" s="25"/>
      <c r="K6820" s="25"/>
      <c r="L6820" s="25"/>
      <c r="M6820" s="25"/>
      <c r="N6820" s="25"/>
      <c r="O6820" s="25"/>
    </row>
    <row r="6821" customFormat="false" ht="3.75" hidden="false" customHeight="true" outlineLevel="0" collapsed="false">
      <c r="B6821" s="10"/>
      <c r="C6821" s="10"/>
      <c r="D6821" s="10"/>
      <c r="E6821" s="10"/>
      <c r="F6821" s="10"/>
      <c r="J6821" s="25"/>
      <c r="K6821" s="25"/>
      <c r="L6821" s="25"/>
      <c r="M6821" s="25"/>
      <c r="N6821" s="25"/>
      <c r="O6821" s="25"/>
    </row>
    <row r="6822" customFormat="false" ht="18" hidden="false" customHeight="true" outlineLevel="0" collapsed="false">
      <c r="B6822" s="38" t="s">
        <v>148</v>
      </c>
      <c r="C6822" s="39" t="s">
        <v>149</v>
      </c>
      <c r="D6822" s="39" t="s">
        <v>150</v>
      </c>
      <c r="E6822" s="39" t="s">
        <v>151</v>
      </c>
      <c r="F6822" s="39" t="s">
        <v>109</v>
      </c>
      <c r="J6822" s="25" t="s">
        <v>152</v>
      </c>
      <c r="K6822" s="25" t="s">
        <v>153</v>
      </c>
      <c r="L6822" s="25" t="s">
        <v>154</v>
      </c>
      <c r="M6822" s="25" t="s">
        <v>155</v>
      </c>
      <c r="N6822" s="25" t="s">
        <v>156</v>
      </c>
      <c r="O6822" s="25" t="s">
        <v>157</v>
      </c>
    </row>
    <row r="6823" customFormat="false" ht="16.5" hidden="false" customHeight="true" outlineLevel="0" collapsed="false">
      <c r="B6823" s="40" t="str">
        <f aca="false">IFERROR(INDEX($J$6823:$J$6826,MATCH($O6823,$N$6823:$N$6826,0)),"")</f>
        <v/>
      </c>
      <c r="C6823" s="41" t="str">
        <f aca="false">IFERROR(INDEX($K$6823:$K$6826,MATCH($O6823,$N$6823:$N$6826,0)),"")</f>
        <v/>
      </c>
      <c r="D6823" s="42" t="str">
        <f aca="false">IF(OR(E6823="",N(C6823)=0),"",E6823/C6823-1)</f>
        <v/>
      </c>
      <c r="E6823" s="41" t="str">
        <f aca="false">IFERROR(INDEX($L$6823:$L$6826,MATCH($O6823,$N$6823:$N$6826,0)),"")</f>
        <v/>
      </c>
      <c r="F6823" s="41" t="str">
        <f aca="false">IF(E6823="","",E6823-C6823)</f>
        <v/>
      </c>
      <c r="J6823" s="25" t="str">
        <f aca="false">Lib_Compta</f>
        <v>Mission comptable (tenue, révision, bilan, liasse fiscale)</v>
      </c>
      <c r="K6823" s="25" t="n">
        <f aca="false">IF($K$6796=0,0,N(INDEX(Clients!$K$2:$K$501,$K$6796)))</f>
        <v>0</v>
      </c>
      <c r="L6823" s="25" t="n">
        <f aca="false">IF($K$6796=0,0,N(INDEX(Clients!$P$2:$P$501,$K$6796)))</f>
        <v>0</v>
      </c>
      <c r="M6823" s="25" t="n">
        <f aca="false">IF(OR(K6823&lt;&gt;0,L6823&lt;&gt;0),1,0)</f>
        <v>0</v>
      </c>
      <c r="N6823" s="25" t="str">
        <f aca="false">IF(M6823=1,SUM($M$6823:M6823),"")</f>
        <v/>
      </c>
      <c r="O6823" s="25" t="n">
        <v>1</v>
      </c>
    </row>
    <row r="6824" customFormat="false" ht="16.5" hidden="false" customHeight="true" outlineLevel="0" collapsed="false">
      <c r="B6824" s="40" t="str">
        <f aca="false">IFERROR(INDEX($J$6823:$J$6826,MATCH($O6824,$N$6823:$N$6826,0)),"")</f>
        <v/>
      </c>
      <c r="C6824" s="41" t="str">
        <f aca="false">IFERROR(INDEX($K$6823:$K$6826,MATCH($O6824,$N$6823:$N$6826,0)),"")</f>
        <v/>
      </c>
      <c r="D6824" s="42" t="str">
        <f aca="false">IF(OR(E6824="",N(C6824)=0),"",E6824/C6824-1)</f>
        <v/>
      </c>
      <c r="E6824" s="41" t="str">
        <f aca="false">IFERROR(INDEX($L$6823:$L$6826,MATCH($O6824,$N$6823:$N$6826,0)),"")</f>
        <v/>
      </c>
      <c r="F6824" s="41" t="str">
        <f aca="false">IF(E6824="","",E6824-C6824)</f>
        <v/>
      </c>
      <c r="J6824" s="25" t="str">
        <f aca="false">Lib_Paye</f>
        <v>Mission sociale (bulletins de paie, DSN, déclarations sociales)</v>
      </c>
      <c r="K6824" s="25" t="n">
        <f aca="false">IF($K$6796=0,0,N(INDEX(Clients!$L$2:$L$501,$K$6796)))</f>
        <v>0</v>
      </c>
      <c r="L6824" s="25" t="n">
        <f aca="false">IF($K$6796=0,0,N(INDEX(Clients!$Q$2:$Q$501,$K$6796)))</f>
        <v>0</v>
      </c>
      <c r="M6824" s="25" t="n">
        <f aca="false">IF(OR(K6824&lt;&gt;0,L6824&lt;&gt;0),1,0)</f>
        <v>0</v>
      </c>
      <c r="N6824" s="25" t="str">
        <f aca="false">IF(M6824=1,SUM($M$6823:M6824),"")</f>
        <v/>
      </c>
      <c r="O6824" s="25" t="n">
        <v>2</v>
      </c>
    </row>
    <row r="6825" customFormat="false" ht="16.5" hidden="false" customHeight="true" outlineLevel="0" collapsed="false">
      <c r="B6825" s="40" t="str">
        <f aca="false">IFERROR(INDEX($J$6823:$J$6826,MATCH($O6825,$N$6823:$N$6826,0)),"")</f>
        <v/>
      </c>
      <c r="C6825" s="41" t="str">
        <f aca="false">IFERROR(INDEX($K$6823:$K$6826,MATCH($O6825,$N$6823:$N$6826,0)),"")</f>
        <v/>
      </c>
      <c r="D6825" s="42" t="str">
        <f aca="false">IF(OR(E6825="",N(C6825)=0),"",E6825/C6825-1)</f>
        <v/>
      </c>
      <c r="E6825" s="41" t="str">
        <f aca="false">IFERROR(INDEX($L$6823:$L$6826,MATCH($O6825,$N$6823:$N$6826,0)),"")</f>
        <v/>
      </c>
      <c r="F6825" s="41" t="str">
        <f aca="false">IF(E6825="","",E6825-C6825)</f>
        <v/>
      </c>
      <c r="J6825" s="25" t="str">
        <f aca="false">Lib_Jur</f>
        <v>Mission juridique (approbation des comptes, secrétariat juridique)</v>
      </c>
      <c r="K6825" s="25" t="n">
        <f aca="false">IF($K$6796=0,0,N(INDEX(Clients!$M$2:$M$501,$K$6796)))</f>
        <v>0</v>
      </c>
      <c r="L6825" s="25" t="n">
        <f aca="false">IF($K$6796=0,0,N(INDEX(Clients!$R$2:$R$501,$K$6796)))</f>
        <v>0</v>
      </c>
      <c r="M6825" s="25" t="n">
        <f aca="false">IF(OR(K6825&lt;&gt;0,L6825&lt;&gt;0),1,0)</f>
        <v>0</v>
      </c>
      <c r="N6825" s="25" t="str">
        <f aca="false">IF(M6825=1,SUM($M$6823:M6825),"")</f>
        <v/>
      </c>
      <c r="O6825" s="25" t="n">
        <v>3</v>
      </c>
    </row>
    <row r="6826" customFormat="false" ht="16.5" hidden="false" customHeight="true" outlineLevel="0" collapsed="false">
      <c r="B6826" s="40" t="str">
        <f aca="false">IFERROR(INDEX($J$6823:$J$6826,MATCH($O6826,$N$6823:$N$6826,0)),"")</f>
        <v/>
      </c>
      <c r="C6826" s="41" t="str">
        <f aca="false">IFERROR(INDEX($K$6823:$K$6826,MATCH($O6826,$N$6823:$N$6826,0)),"")</f>
        <v/>
      </c>
      <c r="D6826" s="42" t="str">
        <f aca="false">IF(OR(E6826="",N(C6826)=0),"",E6826/C6826-1)</f>
        <v/>
      </c>
      <c r="E6826" s="41" t="str">
        <f aca="false">IFERROR(INDEX($L$6823:$L$6826,MATCH($O6826,$N$6823:$N$6826,0)),"")</f>
        <v/>
      </c>
      <c r="F6826" s="41" t="str">
        <f aca="false">IF(E6826="","",E6826-C6826)</f>
        <v/>
      </c>
      <c r="J6826" s="25" t="str">
        <f aca="false">Lib_PA</f>
        <v>Plateforme agréée – facturation électronique</v>
      </c>
      <c r="K6826" s="25" t="n">
        <f aca="false">IF($K$6796=0,0,N(INDEX(Clients!$N$2:$N$501,$K$6796)))</f>
        <v>0</v>
      </c>
      <c r="L6826" s="25" t="n">
        <f aca="false">IF($K$6796=0,0,N(INDEX(Clients!$S$2:$S$501,$K$6796)))</f>
        <v>0</v>
      </c>
      <c r="M6826" s="25" t="n">
        <f aca="false">IF(OR(K6826&lt;&gt;0,L6826&lt;&gt;0),1,0)</f>
        <v>0</v>
      </c>
      <c r="N6826" s="25" t="str">
        <f aca="false">IF(M6826=1,SUM($M$6823:M6826),"")</f>
        <v/>
      </c>
      <c r="O6826" s="25" t="n">
        <v>4</v>
      </c>
    </row>
    <row r="6827" customFormat="false" ht="18" hidden="false" customHeight="true" outlineLevel="0" collapsed="false">
      <c r="B6827" s="43" t="s">
        <v>158</v>
      </c>
      <c r="C6827" s="44" t="n">
        <f aca="false">SUM(K6823:K6826)</f>
        <v>0</v>
      </c>
      <c r="D6827" s="45" t="str">
        <f aca="false">IF(N(C6827)=0,"",E6827/C6827-1)</f>
        <v/>
      </c>
      <c r="E6827" s="44" t="n">
        <f aca="false">SUM(L6823:L6826)</f>
        <v>0</v>
      </c>
      <c r="F6827" s="44" t="n">
        <f aca="false">E6827-C6827</f>
        <v>0</v>
      </c>
    </row>
    <row r="6828" customFormat="false" ht="15" hidden="false" customHeight="false" outlineLevel="0" collapsed="false">
      <c r="B6828" s="46" t="str">
        <f aca="false">IF(N(Nb_Mensualites)=0,"","Soit "&amp;FIXED(E6827/Nb_Mensualites,2)&amp;" € HT par échéance ("&amp;Nb_Mensualites&amp;" échéances), "&amp;FIXED(E6827/Nb_Mensualites*(1+Taux_TVA),2)&amp;" € TTC.")</f>
        <v>Soit 0.00 € HT par échéance (12 échéances), 0.00 € TTC.</v>
      </c>
      <c r="C6828" s="46"/>
      <c r="D6828" s="46"/>
      <c r="E6828" s="46"/>
      <c r="F6828" s="46"/>
    </row>
    <row r="6829" customFormat="false" ht="7.5" hidden="false" customHeight="true" outlineLevel="0" collapsed="false">
      <c r="B6829" s="10"/>
      <c r="C6829" s="10"/>
      <c r="D6829" s="10"/>
      <c r="E6829" s="10"/>
      <c r="F6829" s="10"/>
    </row>
    <row r="6830" customFormat="false" ht="36.75" hidden="false" customHeight="true" outlineLevel="0" collapsed="false">
      <c r="B6830" s="37" t="str">
        <f aca="false">SUBSTITUTE(SUBSTITUTE(SUBSTITUTE(SUBSTITUTE(SUBSTITUTE(Txt_P5,"{cabinet}",Cab_Nom),"{societe}",IF($K$6796=0,"",INDEX(Clients!$E$2:$E$501,$K$6796)&amp;"")),"{date_effet}",$K$6798),"{hausse}",$K$6799),"{civilite}",$K$6797)</f>
        <v>Les autres conditions de votre lettre de mission demeurent inchangées. Les nouveaux montants seront appliqués automatiquement sur vos prochaines factures et échéances de prélèvement.</v>
      </c>
      <c r="C6830" s="37"/>
      <c r="D6830" s="37"/>
      <c r="E6830" s="37"/>
      <c r="F6830" s="37"/>
    </row>
    <row r="6831" customFormat="false" ht="36.75" hidden="false" customHeight="true" outlineLevel="0" collapsed="false">
      <c r="B6831" s="37" t="str">
        <f aca="false">SUBSTITUTE(SUBSTITUTE(SUBSTITUTE(SUBSTITUTE(SUBSTITUTE(Txt_P6,"{cabinet}",Cab_Nom),"{societe}",IF($K$6796=0,"",INDEX(Clients!$E$2:$E$501,$K$6796)&amp;"")),"{date_effet}",$K$6798),"{hausse}",$K$6799),"{civilite}",$K$6797)</f>
        <v>Votre interlocuteur habituel reste à votre entière disposition pour répondre à vos questions et faire le point sur l'évolution de vos besoins.</v>
      </c>
      <c r="C6831" s="37"/>
      <c r="D6831" s="37"/>
      <c r="E6831" s="37"/>
      <c r="F6831" s="37"/>
    </row>
    <row r="6832" customFormat="false" ht="24" hidden="false" customHeight="true" outlineLevel="0" collapsed="false">
      <c r="B6832" s="37" t="str">
        <f aca="false">SUBSTITUTE(SUBSTITUTE(SUBSTITUTE(SUBSTITUTE(SUBSTITUTE(Txt_Politesse,"{cabinet}",Cab_Nom),"{societe}",IF($K$6796=0,"",INDEX(Clients!$E$2:$E$501,$K$6796)&amp;"")),"{date_effet}",$K$6798),"{hausse}",$K$6799),"{civilite}",$K$6797)</f>
        <v>Nous vous prions d'agréer, Madame, Monsieur, l'expression de nos salutations distinguées.</v>
      </c>
      <c r="C6832" s="37"/>
      <c r="D6832" s="37"/>
      <c r="E6832" s="37"/>
      <c r="F6832" s="37"/>
    </row>
    <row r="6833" customFormat="false" ht="15" hidden="false" customHeight="false" outlineLevel="0" collapsed="false">
      <c r="B6833" s="10"/>
      <c r="C6833" s="10"/>
      <c r="D6833" s="10"/>
      <c r="E6833" s="10"/>
      <c r="F6833" s="10"/>
    </row>
    <row r="6834" customFormat="false" ht="15" hidden="false" customHeight="false" outlineLevel="0" collapsed="false">
      <c r="B6834" s="10"/>
      <c r="C6834" s="10"/>
      <c r="D6834" s="34" t="str">
        <f aca="false">Signataire</f>
        <v>Prénom NOM</v>
      </c>
      <c r="E6834" s="34"/>
      <c r="F6834" s="34"/>
    </row>
    <row r="6835" customFormat="false" ht="15" hidden="false" customHeight="false" outlineLevel="0" collapsed="false">
      <c r="B6835" s="10"/>
      <c r="C6835" s="10"/>
      <c r="D6835" s="47" t="str">
        <f aca="false">Signataire_Titre</f>
        <v>Expert-comptable associé</v>
      </c>
      <c r="E6835" s="47"/>
      <c r="F6835" s="47"/>
    </row>
    <row r="6836" customFormat="false" ht="15.75" hidden="false" customHeight="true" outlineLevel="0" collapsed="false">
      <c r="B6836" s="10"/>
      <c r="C6836" s="10"/>
      <c r="D6836" s="10"/>
      <c r="E6836" s="10"/>
      <c r="F6836" s="10"/>
    </row>
    <row r="6837" customFormat="false" ht="15.75" hidden="false" customHeight="true" outlineLevel="0" collapsed="false">
      <c r="B6837" s="10"/>
      <c r="C6837" s="10"/>
      <c r="D6837" s="10"/>
      <c r="E6837" s="10"/>
      <c r="F6837" s="10"/>
    </row>
    <row r="6838" customFormat="false" ht="15.75" hidden="false" customHeight="true" outlineLevel="0" collapsed="false">
      <c r="B6838" s="10"/>
      <c r="C6838" s="10"/>
      <c r="D6838" s="10"/>
      <c r="E6838" s="10"/>
      <c r="F6838" s="10"/>
    </row>
    <row r="6839" customFormat="false" ht="15.75" hidden="false" customHeight="true" outlineLevel="0" collapsed="false">
      <c r="B6839" s="10"/>
      <c r="C6839" s="10"/>
      <c r="D6839" s="10"/>
      <c r="E6839" s="10"/>
      <c r="F6839" s="10"/>
    </row>
    <row r="6840" customFormat="false" ht="24" hidden="false" customHeight="true" outlineLevel="0" collapsed="false">
      <c r="B6840" s="48" t="str">
        <f aca="false">Cab_Mentions</f>
        <v>ALTHO EXPERTISE · SAS au capital de 10 000 € · RCS Pontoise 919 706 325 · TVA FR62919706325 · Société d'expertise comptable inscrite au Tableau de l'Ordre des experts-comptables de Paris Île-de-France</v>
      </c>
      <c r="C6840" s="48"/>
      <c r="D6840" s="48"/>
      <c r="E6840" s="48"/>
      <c r="F6840" s="48"/>
    </row>
    <row r="6841" customFormat="false" ht="15" hidden="false" customHeight="false" outlineLevel="0" collapsed="false">
      <c r="B6841" s="10"/>
      <c r="C6841" s="10"/>
      <c r="D6841" s="10"/>
      <c r="E6841" s="10"/>
      <c r="F6841" s="10"/>
      <c r="J6841" s="25" t="s">
        <v>142</v>
      </c>
      <c r="K6841" s="25" t="n">
        <f aca="false">IFERROR(MATCH(153,Clients!$Z$2:$Z$501,0),0)</f>
        <v>0</v>
      </c>
      <c r="L6841" s="25"/>
      <c r="M6841" s="25"/>
      <c r="N6841" s="25"/>
      <c r="O6841" s="25"/>
    </row>
    <row r="6842" customFormat="false" ht="21.75" hidden="false" customHeight="true" outlineLevel="0" collapsed="false">
      <c r="B6842" s="26" t="str">
        <f aca="false">Cab_Nom</f>
        <v>ALTHO EXPERTISE</v>
      </c>
      <c r="C6842" s="26"/>
      <c r="D6842" s="10"/>
      <c r="E6842" s="27" t="str">
        <f aca="false">IF($K$6841=0,"","Réf. client : "&amp;INDEX(Clients!$A$2:$A$501,$K$6841))</f>
        <v/>
      </c>
      <c r="F6842" s="27"/>
      <c r="J6842" s="25" t="s">
        <v>144</v>
      </c>
      <c r="K6842" s="25" t="str">
        <f aca="false">IF(IF($K$6841=0,"",INDEX(Clients!$B$2:$B$501,$K$6841)&amp;"")="Mme","Madame",IF(IF($K$6841=0,"",INDEX(Clients!$B$2:$B$501,$K$6841)&amp;"")="M.","Monsieur","Madame, Monsieur"))</f>
        <v>Madame, Monsieur</v>
      </c>
      <c r="L6842" s="25"/>
      <c r="M6842" s="25"/>
      <c r="N6842" s="25"/>
      <c r="O6842" s="25"/>
    </row>
    <row r="6843" customFormat="false" ht="15" hidden="false" customHeight="false" outlineLevel="0" collapsed="false">
      <c r="B6843" s="29" t="str">
        <f aca="false">Cab_Adr1</f>
        <v>141 rue Charles de Gaulle</v>
      </c>
      <c r="C6843" s="29"/>
      <c r="D6843" s="10"/>
      <c r="E6843" s="10"/>
      <c r="F6843" s="10"/>
      <c r="J6843" s="25" t="s">
        <v>145</v>
      </c>
      <c r="K6843" s="25" t="str">
        <f aca="false">DAY(Date_Effet)&amp;IF(DAY(Date_Effet)=1,"er","")&amp;" "&amp;INDEX(Liste_Mois,MONTH(Date_Effet))&amp;" "&amp;YEAR(Date_Effet)</f>
        <v>1er janvier 2027</v>
      </c>
      <c r="L6843" s="25"/>
      <c r="M6843" s="25"/>
      <c r="N6843" s="25"/>
      <c r="O6843" s="25"/>
    </row>
    <row r="6844" customFormat="false" ht="15" hidden="false" customHeight="false" outlineLevel="0" collapsed="false">
      <c r="B6844" s="29" t="str">
        <f aca="false">Cab_CPVille</f>
        <v>95130 LE PLESSIS-BOUCHARD</v>
      </c>
      <c r="C6844" s="29"/>
      <c r="D6844" s="10"/>
      <c r="E6844" s="10"/>
      <c r="F6844" s="10"/>
      <c r="J6844" s="25" t="s">
        <v>146</v>
      </c>
      <c r="K6844" s="25" t="str">
        <f aca="false">IF(SUM($K$6868:$K$6871)=0,"",FIXED((SUM($L$6868:$L$6871)/SUM($K$6868:$K$6871)-1)*100,1)&amp;" %")</f>
        <v/>
      </c>
      <c r="L6844" s="25"/>
      <c r="M6844" s="25"/>
      <c r="N6844" s="25"/>
      <c r="O6844" s="25"/>
    </row>
    <row r="6845" customFormat="false" ht="15" hidden="false" customHeight="false" outlineLevel="0" collapsed="false">
      <c r="B6845" s="29" t="str">
        <f aca="false">Cab_Contact</f>
        <v>Tél. 01 34 14 53 45  ·  altho@altho-experts.com  ·  altho-experts.com</v>
      </c>
      <c r="C6845" s="29"/>
      <c r="D6845" s="10"/>
      <c r="E6845" s="10"/>
      <c r="F6845" s="10"/>
      <c r="J6845" s="25"/>
      <c r="K6845" s="25"/>
      <c r="L6845" s="25"/>
      <c r="M6845" s="25"/>
      <c r="N6845" s="25"/>
      <c r="O6845" s="25"/>
    </row>
    <row r="6846" customFormat="false" ht="6" hidden="false" customHeight="true" outlineLevel="0" collapsed="false">
      <c r="B6846" s="32"/>
      <c r="C6846" s="32"/>
      <c r="D6846" s="32"/>
      <c r="E6846" s="32"/>
      <c r="F6846" s="32"/>
      <c r="J6846" s="25"/>
      <c r="K6846" s="25"/>
      <c r="L6846" s="25"/>
      <c r="M6846" s="25"/>
      <c r="N6846" s="25"/>
      <c r="O6846" s="25"/>
    </row>
    <row r="6847" customFormat="false" ht="13.5" hidden="false" customHeight="true" outlineLevel="0" collapsed="false">
      <c r="B6847" s="10"/>
      <c r="C6847" s="10"/>
      <c r="D6847" s="10"/>
      <c r="E6847" s="10"/>
      <c r="F6847" s="10"/>
      <c r="J6847" s="25"/>
      <c r="K6847" s="25"/>
      <c r="L6847" s="25"/>
      <c r="M6847" s="25"/>
      <c r="N6847" s="25"/>
      <c r="O6847" s="25"/>
    </row>
    <row r="6848" customFormat="false" ht="13.5" hidden="false" customHeight="true" outlineLevel="0" collapsed="false">
      <c r="B6848" s="10"/>
      <c r="C6848" s="10"/>
      <c r="D6848" s="10"/>
      <c r="E6848" s="10"/>
      <c r="F6848" s="10"/>
      <c r="J6848" s="25"/>
      <c r="K6848" s="25"/>
      <c r="L6848" s="25"/>
      <c r="M6848" s="25"/>
      <c r="N6848" s="25"/>
      <c r="O6848" s="25"/>
    </row>
    <row r="6849" customFormat="false" ht="13.5" hidden="false" customHeight="true" outlineLevel="0" collapsed="false">
      <c r="B6849" s="10"/>
      <c r="C6849" s="10"/>
      <c r="D6849" s="10"/>
      <c r="E6849" s="10"/>
      <c r="F6849" s="10"/>
      <c r="J6849" s="25"/>
      <c r="K6849" s="25"/>
      <c r="L6849" s="25"/>
      <c r="M6849" s="25"/>
      <c r="N6849" s="25"/>
      <c r="O6849" s="25"/>
    </row>
    <row r="6850" customFormat="false" ht="15" hidden="false" customHeight="true" outlineLevel="0" collapsed="false">
      <c r="B6850" s="10"/>
      <c r="C6850" s="10"/>
      <c r="D6850" s="34" t="str">
        <f aca="false">IF($K$6841=0,"",INDEX(Clients!$E$2:$E$501,$K$6841)&amp;"")</f>
        <v/>
      </c>
      <c r="E6850" s="34"/>
      <c r="F6850" s="34"/>
      <c r="J6850" s="25"/>
      <c r="K6850" s="25"/>
      <c r="L6850" s="25"/>
      <c r="M6850" s="25"/>
      <c r="N6850" s="25"/>
      <c r="O6850" s="25"/>
    </row>
    <row r="6851" customFormat="false" ht="15" hidden="false" customHeight="true" outlineLevel="0" collapsed="false">
      <c r="B6851" s="10"/>
      <c r="C6851" s="10"/>
      <c r="D6851" s="35" t="str">
        <f aca="false">IF(IF($K$6841=0,"",INDEX(Clients!$D$2:$D$501,$K$6841)&amp;"")="","","À l'attention de "&amp;TRIM(IF($K$6841=0,"",INDEX(Clients!$B$2:$B$501,$K$6841)&amp;"")&amp;" "&amp;IF($K$6841=0,"",INDEX(Clients!$C$2:$C$501,$K$6841)&amp;"")&amp;" "&amp;IF($K$6841=0,"",INDEX(Clients!$D$2:$D$501,$K$6841)&amp;"")))</f>
        <v/>
      </c>
      <c r="E6851" s="35"/>
      <c r="F6851" s="35"/>
      <c r="J6851" s="25"/>
      <c r="K6851" s="25"/>
      <c r="L6851" s="25"/>
      <c r="M6851" s="25"/>
      <c r="N6851" s="25"/>
      <c r="O6851" s="25"/>
    </row>
    <row r="6852" customFormat="false" ht="15" hidden="false" customHeight="true" outlineLevel="0" collapsed="false">
      <c r="B6852" s="10"/>
      <c r="C6852" s="10"/>
      <c r="D6852" s="35" t="str">
        <f aca="false">IF($K$6841=0,"",INDEX(Clients!$F$2:$F$501,$K$6841)&amp;"")</f>
        <v/>
      </c>
      <c r="E6852" s="35"/>
      <c r="F6852" s="35"/>
      <c r="J6852" s="25"/>
      <c r="K6852" s="25"/>
      <c r="L6852" s="25"/>
      <c r="M6852" s="25"/>
      <c r="N6852" s="25"/>
      <c r="O6852" s="25"/>
    </row>
    <row r="6853" customFormat="false" ht="15" hidden="false" customHeight="true" outlineLevel="0" collapsed="false">
      <c r="B6853" s="10"/>
      <c r="C6853" s="10"/>
      <c r="D6853" s="35" t="str">
        <f aca="false">IF(IF($K$6841=0,"",INDEX(Clients!$G$2:$G$501,$K$6841)&amp;"")="",TRIM(IF($K$6841=0,"",INDEX(Clients!$H$2:$H$501,$K$6841)&amp;"")&amp;" "&amp;UPPER(IF($K$6841=0,"",INDEX(Clients!$I$2:$I$501,$K$6841)&amp;""))),IF($K$6841=0,"",INDEX(Clients!$G$2:$G$501,$K$6841)&amp;""))</f>
        <v/>
      </c>
      <c r="E6853" s="35"/>
      <c r="F6853" s="35"/>
      <c r="J6853" s="25"/>
      <c r="K6853" s="25"/>
      <c r="L6853" s="25"/>
      <c r="M6853" s="25"/>
      <c r="N6853" s="25"/>
      <c r="O6853" s="25"/>
    </row>
    <row r="6854" customFormat="false" ht="15" hidden="false" customHeight="true" outlineLevel="0" collapsed="false">
      <c r="B6854" s="10"/>
      <c r="C6854" s="10"/>
      <c r="D6854" s="35" t="str">
        <f aca="false">IF(IF($K$6841=0,"",INDEX(Clients!$G$2:$G$501,$K$6841)&amp;"")="","",TRIM(IF($K$6841=0,"",INDEX(Clients!$H$2:$H$501,$K$6841)&amp;"")&amp;" "&amp;UPPER(IF($K$6841=0,"",INDEX(Clients!$I$2:$I$501,$K$6841)&amp;""))))</f>
        <v/>
      </c>
      <c r="E6854" s="35"/>
      <c r="F6854" s="35"/>
      <c r="J6854" s="25"/>
      <c r="K6854" s="25"/>
      <c r="L6854" s="25"/>
      <c r="M6854" s="25"/>
      <c r="N6854" s="25"/>
      <c r="O6854" s="25"/>
    </row>
    <row r="6855" customFormat="false" ht="25.5" hidden="false" customHeight="true" outlineLevel="0" collapsed="false">
      <c r="B6855" s="10"/>
      <c r="C6855" s="10"/>
      <c r="D6855" s="10"/>
      <c r="E6855" s="10"/>
      <c r="F6855" s="10"/>
      <c r="J6855" s="25"/>
      <c r="K6855" s="25"/>
      <c r="L6855" s="25"/>
      <c r="M6855" s="25"/>
      <c r="N6855" s="25"/>
      <c r="O6855" s="25"/>
    </row>
    <row r="6856" customFormat="false" ht="15" hidden="false" customHeight="false" outlineLevel="0" collapsed="false">
      <c r="B6856" s="10"/>
      <c r="C6856" s="10"/>
      <c r="D6856" s="36" t="str">
        <f aca="false">Cab_Ville&amp;", le "&amp;DAY(Date_Courrier)&amp;IF(DAY(Date_Courrier)=1,"er","")&amp;" "&amp;INDEX(Liste_Mois,MONTH(Date_Courrier))&amp;" "&amp;YEAR(Date_Courrier)</f>
        <v>Le Plessis-Bouchard, le 22 septembre 2026</v>
      </c>
      <c r="E6856" s="36"/>
      <c r="F6856" s="36"/>
      <c r="J6856" s="25"/>
      <c r="K6856" s="25"/>
      <c r="L6856" s="25"/>
      <c r="M6856" s="25"/>
      <c r="N6856" s="25"/>
      <c r="O6856" s="25"/>
    </row>
    <row r="6857" customFormat="false" ht="19.5" hidden="false" customHeight="true" outlineLevel="0" collapsed="false">
      <c r="B6857" s="10"/>
      <c r="C6857" s="10"/>
      <c r="D6857" s="10"/>
      <c r="E6857" s="10"/>
      <c r="F6857" s="10"/>
      <c r="J6857" s="25"/>
      <c r="K6857" s="25"/>
      <c r="L6857" s="25"/>
      <c r="M6857" s="25"/>
      <c r="N6857" s="25"/>
      <c r="O6857" s="25"/>
    </row>
    <row r="6858" customFormat="false" ht="15" hidden="false" customHeight="false" outlineLevel="0" collapsed="false">
      <c r="B6858" s="34" t="str">
        <f aca="false">SUBSTITUTE(SUBSTITUTE(SUBSTITUTE(SUBSTITUTE(SUBSTITUTE(Txt_Objet,"{cabinet}",Cab_Nom),"{societe}",IF($K$6841=0,"",INDEX(Clients!$E$2:$E$501,$K$6841)&amp;"")),"{date_effet}",$K$6843),"{hausse}",$K$6844),"{civilite}",$K$6842)</f>
        <v>Objet : révision de nos honoraires au 1er janvier 2027</v>
      </c>
      <c r="C6858" s="34"/>
      <c r="D6858" s="34"/>
      <c r="E6858" s="34"/>
      <c r="F6858" s="34"/>
      <c r="J6858" s="25"/>
      <c r="K6858" s="25"/>
      <c r="L6858" s="25"/>
      <c r="M6858" s="25"/>
      <c r="N6858" s="25"/>
      <c r="O6858" s="25"/>
    </row>
    <row r="6859" customFormat="false" ht="13.5" hidden="false" customHeight="true" outlineLevel="0" collapsed="false">
      <c r="B6859" s="10"/>
      <c r="C6859" s="10"/>
      <c r="D6859" s="10"/>
      <c r="E6859" s="10"/>
      <c r="F6859" s="10"/>
      <c r="J6859" s="25"/>
      <c r="K6859" s="25"/>
      <c r="L6859" s="25"/>
      <c r="M6859" s="25"/>
      <c r="N6859" s="25"/>
      <c r="O6859" s="25"/>
    </row>
    <row r="6860" customFormat="false" ht="15" hidden="false" customHeight="false" outlineLevel="0" collapsed="false">
      <c r="B6860" s="10" t="str">
        <f aca="false">$K$6842&amp;","</f>
        <v>Madame, Monsieur,</v>
      </c>
      <c r="C6860" s="10"/>
      <c r="D6860" s="10"/>
      <c r="E6860" s="10"/>
      <c r="F6860" s="10"/>
      <c r="J6860" s="25"/>
      <c r="K6860" s="25"/>
      <c r="L6860" s="25"/>
      <c r="M6860" s="25"/>
      <c r="N6860" s="25"/>
      <c r="O6860" s="25"/>
    </row>
    <row r="6861" customFormat="false" ht="6" hidden="false" customHeight="true" outlineLevel="0" collapsed="false">
      <c r="B6861" s="10"/>
      <c r="C6861" s="10"/>
      <c r="D6861" s="10"/>
      <c r="E6861" s="10"/>
      <c r="F6861" s="10"/>
      <c r="J6861" s="25"/>
      <c r="K6861" s="25"/>
      <c r="L6861" s="25"/>
      <c r="M6861" s="25"/>
      <c r="N6861" s="25"/>
      <c r="O6861" s="25"/>
    </row>
    <row r="6862" customFormat="false" ht="36.75" hidden="false" customHeight="true" outlineLevel="0" collapsed="false">
      <c r="B6862" s="37" t="str">
        <f aca="false">SUBSTITUTE(SUBSTITUTE(SUBSTITUTE(SUBSTITUTE(SUBSTITUTE(Txt_P1,"{cabinet}",Cab_Nom),"{societe}",IF($K$6841=0,"",INDEX(Clients!$E$2:$E$501,$K$6841)&amp;"")),"{date_effet}",$K$6843),"{hausse}",$K$6844),"{civilite}",$K$6842)</f>
        <v>Nous tenons tout d'abord à vous remercier pour la confiance que vous accordez à ALTHO EXPERTISE. Comme chaque année, et conformément aux dispositions de votre lettre de mission, nous procédons à la révision de nos honoraires.</v>
      </c>
      <c r="C6862" s="37"/>
      <c r="D6862" s="37"/>
      <c r="E6862" s="37"/>
      <c r="F6862" s="37"/>
      <c r="J6862" s="25"/>
      <c r="K6862" s="25"/>
      <c r="L6862" s="25"/>
      <c r="M6862" s="25"/>
      <c r="N6862" s="25"/>
      <c r="O6862" s="25"/>
    </row>
    <row r="6863" customFormat="false" ht="49.5" hidden="false" customHeight="true" outlineLevel="0" collapsed="false">
      <c r="B6863" s="37" t="str">
        <f aca="false">SUBSTITUTE(SUBSTITUTE(SUBSTITUTE(SUBSTITUTE(SUBSTITUTE(Txt_P2,"{cabinet}",Cab_Nom),"{societe}",IF($K$6841=0,"",INDEX(Clients!$E$2:$E$501,$K$6841)&amp;"")),"{date_effet}",$K$6843),"{hausse}",$K$6844),"{civilite}",$K$6842)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863" s="37"/>
      <c r="D6863" s="37"/>
      <c r="E6863" s="37"/>
      <c r="F6863" s="37"/>
      <c r="J6863" s="25"/>
      <c r="K6863" s="25"/>
      <c r="L6863" s="25"/>
      <c r="M6863" s="25"/>
      <c r="N6863" s="25"/>
      <c r="O6863" s="25"/>
    </row>
    <row r="6864" customFormat="false" ht="63" hidden="false" customHeight="true" outlineLevel="0" collapsed="false">
      <c r="B6864" s="37" t="str">
        <f aca="false">SUBSTITUTE(SUBSTITUTE(SUBSTITUTE(SUBSTITUTE(SUBSTITUTE(Txt_P3,"{cabinet}",Cab_Nom),"{societe}",IF($K$6841=0,"",INDEX(Clients!$E$2:$E$501,$K$6841)&amp;"")),"{date_effet}",$K$6843),"{hausse}",$K$6844),"{civilite}",$K$6842)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864" s="37"/>
      <c r="D6864" s="37"/>
      <c r="E6864" s="37"/>
      <c r="F6864" s="37"/>
      <c r="J6864" s="25"/>
      <c r="K6864" s="25"/>
      <c r="L6864" s="25"/>
      <c r="M6864" s="25"/>
      <c r="N6864" s="25"/>
      <c r="O6864" s="25"/>
    </row>
    <row r="6865" customFormat="false" ht="24" hidden="false" customHeight="true" outlineLevel="0" collapsed="false">
      <c r="B6865" s="37" t="str">
        <f aca="false">SUBSTITUTE(SUBSTITUTE(SUBSTITUTE(SUBSTITUTE(SUBSTITUTE(Txt_P4,"{cabinet}",Cab_Nom),"{societe}",IF($K$6841=0,"",INDEX(Clients!$E$2:$E$501,$K$6841)&amp;"")),"{date_effet}",$K$6843),"{hausse}",$K$6844),"{civilite}",$K$6842)</f>
        <v>À compter du 1er janvier 2027, vos honoraires annuels hors taxes évolueront ainsi (évolution globale : ) :</v>
      </c>
      <c r="C6865" s="37"/>
      <c r="D6865" s="37"/>
      <c r="E6865" s="37"/>
      <c r="F6865" s="37"/>
      <c r="J6865" s="25"/>
      <c r="K6865" s="25"/>
      <c r="L6865" s="25"/>
      <c r="M6865" s="25"/>
      <c r="N6865" s="25"/>
      <c r="O6865" s="25"/>
    </row>
    <row r="6866" customFormat="false" ht="3.75" hidden="false" customHeight="true" outlineLevel="0" collapsed="false">
      <c r="B6866" s="10"/>
      <c r="C6866" s="10"/>
      <c r="D6866" s="10"/>
      <c r="E6866" s="10"/>
      <c r="F6866" s="10"/>
      <c r="J6866" s="25"/>
      <c r="K6866" s="25"/>
      <c r="L6866" s="25"/>
      <c r="M6866" s="25"/>
      <c r="N6866" s="25"/>
      <c r="O6866" s="25"/>
    </row>
    <row r="6867" customFormat="false" ht="18" hidden="false" customHeight="true" outlineLevel="0" collapsed="false">
      <c r="B6867" s="38" t="s">
        <v>148</v>
      </c>
      <c r="C6867" s="39" t="s">
        <v>149</v>
      </c>
      <c r="D6867" s="39" t="s">
        <v>150</v>
      </c>
      <c r="E6867" s="39" t="s">
        <v>151</v>
      </c>
      <c r="F6867" s="39" t="s">
        <v>109</v>
      </c>
      <c r="J6867" s="25" t="s">
        <v>152</v>
      </c>
      <c r="K6867" s="25" t="s">
        <v>153</v>
      </c>
      <c r="L6867" s="25" t="s">
        <v>154</v>
      </c>
      <c r="M6867" s="25" t="s">
        <v>155</v>
      </c>
      <c r="N6867" s="25" t="s">
        <v>156</v>
      </c>
      <c r="O6867" s="25" t="s">
        <v>157</v>
      </c>
    </row>
    <row r="6868" customFormat="false" ht="16.5" hidden="false" customHeight="true" outlineLevel="0" collapsed="false">
      <c r="B6868" s="40" t="str">
        <f aca="false">IFERROR(INDEX($J$6868:$J$6871,MATCH($O6868,$N$6868:$N$6871,0)),"")</f>
        <v/>
      </c>
      <c r="C6868" s="41" t="str">
        <f aca="false">IFERROR(INDEX($K$6868:$K$6871,MATCH($O6868,$N$6868:$N$6871,0)),"")</f>
        <v/>
      </c>
      <c r="D6868" s="42" t="str">
        <f aca="false">IF(OR(E6868="",N(C6868)=0),"",E6868/C6868-1)</f>
        <v/>
      </c>
      <c r="E6868" s="41" t="str">
        <f aca="false">IFERROR(INDEX($L$6868:$L$6871,MATCH($O6868,$N$6868:$N$6871,0)),"")</f>
        <v/>
      </c>
      <c r="F6868" s="41" t="str">
        <f aca="false">IF(E6868="","",E6868-C6868)</f>
        <v/>
      </c>
      <c r="J6868" s="25" t="str">
        <f aca="false">Lib_Compta</f>
        <v>Mission comptable (tenue, révision, bilan, liasse fiscale)</v>
      </c>
      <c r="K6868" s="25" t="n">
        <f aca="false">IF($K$6841=0,0,N(INDEX(Clients!$K$2:$K$501,$K$6841)))</f>
        <v>0</v>
      </c>
      <c r="L6868" s="25" t="n">
        <f aca="false">IF($K$6841=0,0,N(INDEX(Clients!$P$2:$P$501,$K$6841)))</f>
        <v>0</v>
      </c>
      <c r="M6868" s="25" t="n">
        <f aca="false">IF(OR(K6868&lt;&gt;0,L6868&lt;&gt;0),1,0)</f>
        <v>0</v>
      </c>
      <c r="N6868" s="25" t="str">
        <f aca="false">IF(M6868=1,SUM($M$6868:M6868),"")</f>
        <v/>
      </c>
      <c r="O6868" s="25" t="n">
        <v>1</v>
      </c>
    </row>
    <row r="6869" customFormat="false" ht="16.5" hidden="false" customHeight="true" outlineLevel="0" collapsed="false">
      <c r="B6869" s="40" t="str">
        <f aca="false">IFERROR(INDEX($J$6868:$J$6871,MATCH($O6869,$N$6868:$N$6871,0)),"")</f>
        <v/>
      </c>
      <c r="C6869" s="41" t="str">
        <f aca="false">IFERROR(INDEX($K$6868:$K$6871,MATCH($O6869,$N$6868:$N$6871,0)),"")</f>
        <v/>
      </c>
      <c r="D6869" s="42" t="str">
        <f aca="false">IF(OR(E6869="",N(C6869)=0),"",E6869/C6869-1)</f>
        <v/>
      </c>
      <c r="E6869" s="41" t="str">
        <f aca="false">IFERROR(INDEX($L$6868:$L$6871,MATCH($O6869,$N$6868:$N$6871,0)),"")</f>
        <v/>
      </c>
      <c r="F6869" s="41" t="str">
        <f aca="false">IF(E6869="","",E6869-C6869)</f>
        <v/>
      </c>
      <c r="J6869" s="25" t="str">
        <f aca="false">Lib_Paye</f>
        <v>Mission sociale (bulletins de paie, DSN, déclarations sociales)</v>
      </c>
      <c r="K6869" s="25" t="n">
        <f aca="false">IF($K$6841=0,0,N(INDEX(Clients!$L$2:$L$501,$K$6841)))</f>
        <v>0</v>
      </c>
      <c r="L6869" s="25" t="n">
        <f aca="false">IF($K$6841=0,0,N(INDEX(Clients!$Q$2:$Q$501,$K$6841)))</f>
        <v>0</v>
      </c>
      <c r="M6869" s="25" t="n">
        <f aca="false">IF(OR(K6869&lt;&gt;0,L6869&lt;&gt;0),1,0)</f>
        <v>0</v>
      </c>
      <c r="N6869" s="25" t="str">
        <f aca="false">IF(M6869=1,SUM($M$6868:M6869),"")</f>
        <v/>
      </c>
      <c r="O6869" s="25" t="n">
        <v>2</v>
      </c>
    </row>
    <row r="6870" customFormat="false" ht="16.5" hidden="false" customHeight="true" outlineLevel="0" collapsed="false">
      <c r="B6870" s="40" t="str">
        <f aca="false">IFERROR(INDEX($J$6868:$J$6871,MATCH($O6870,$N$6868:$N$6871,0)),"")</f>
        <v/>
      </c>
      <c r="C6870" s="41" t="str">
        <f aca="false">IFERROR(INDEX($K$6868:$K$6871,MATCH($O6870,$N$6868:$N$6871,0)),"")</f>
        <v/>
      </c>
      <c r="D6870" s="42" t="str">
        <f aca="false">IF(OR(E6870="",N(C6870)=0),"",E6870/C6870-1)</f>
        <v/>
      </c>
      <c r="E6870" s="41" t="str">
        <f aca="false">IFERROR(INDEX($L$6868:$L$6871,MATCH($O6870,$N$6868:$N$6871,0)),"")</f>
        <v/>
      </c>
      <c r="F6870" s="41" t="str">
        <f aca="false">IF(E6870="","",E6870-C6870)</f>
        <v/>
      </c>
      <c r="J6870" s="25" t="str">
        <f aca="false">Lib_Jur</f>
        <v>Mission juridique (approbation des comptes, secrétariat juridique)</v>
      </c>
      <c r="K6870" s="25" t="n">
        <f aca="false">IF($K$6841=0,0,N(INDEX(Clients!$M$2:$M$501,$K$6841)))</f>
        <v>0</v>
      </c>
      <c r="L6870" s="25" t="n">
        <f aca="false">IF($K$6841=0,0,N(INDEX(Clients!$R$2:$R$501,$K$6841)))</f>
        <v>0</v>
      </c>
      <c r="M6870" s="25" t="n">
        <f aca="false">IF(OR(K6870&lt;&gt;0,L6870&lt;&gt;0),1,0)</f>
        <v>0</v>
      </c>
      <c r="N6870" s="25" t="str">
        <f aca="false">IF(M6870=1,SUM($M$6868:M6870),"")</f>
        <v/>
      </c>
      <c r="O6870" s="25" t="n">
        <v>3</v>
      </c>
    </row>
    <row r="6871" customFormat="false" ht="16.5" hidden="false" customHeight="true" outlineLevel="0" collapsed="false">
      <c r="B6871" s="40" t="str">
        <f aca="false">IFERROR(INDEX($J$6868:$J$6871,MATCH($O6871,$N$6868:$N$6871,0)),"")</f>
        <v/>
      </c>
      <c r="C6871" s="41" t="str">
        <f aca="false">IFERROR(INDEX($K$6868:$K$6871,MATCH($O6871,$N$6868:$N$6871,0)),"")</f>
        <v/>
      </c>
      <c r="D6871" s="42" t="str">
        <f aca="false">IF(OR(E6871="",N(C6871)=0),"",E6871/C6871-1)</f>
        <v/>
      </c>
      <c r="E6871" s="41" t="str">
        <f aca="false">IFERROR(INDEX($L$6868:$L$6871,MATCH($O6871,$N$6868:$N$6871,0)),"")</f>
        <v/>
      </c>
      <c r="F6871" s="41" t="str">
        <f aca="false">IF(E6871="","",E6871-C6871)</f>
        <v/>
      </c>
      <c r="J6871" s="25" t="str">
        <f aca="false">Lib_PA</f>
        <v>Plateforme agréée – facturation électronique</v>
      </c>
      <c r="K6871" s="25" t="n">
        <f aca="false">IF($K$6841=0,0,N(INDEX(Clients!$N$2:$N$501,$K$6841)))</f>
        <v>0</v>
      </c>
      <c r="L6871" s="25" t="n">
        <f aca="false">IF($K$6841=0,0,N(INDEX(Clients!$S$2:$S$501,$K$6841)))</f>
        <v>0</v>
      </c>
      <c r="M6871" s="25" t="n">
        <f aca="false">IF(OR(K6871&lt;&gt;0,L6871&lt;&gt;0),1,0)</f>
        <v>0</v>
      </c>
      <c r="N6871" s="25" t="str">
        <f aca="false">IF(M6871=1,SUM($M$6868:M6871),"")</f>
        <v/>
      </c>
      <c r="O6871" s="25" t="n">
        <v>4</v>
      </c>
    </row>
    <row r="6872" customFormat="false" ht="18" hidden="false" customHeight="true" outlineLevel="0" collapsed="false">
      <c r="B6872" s="43" t="s">
        <v>158</v>
      </c>
      <c r="C6872" s="44" t="n">
        <f aca="false">SUM(K6868:K6871)</f>
        <v>0</v>
      </c>
      <c r="D6872" s="45" t="str">
        <f aca="false">IF(N(C6872)=0,"",E6872/C6872-1)</f>
        <v/>
      </c>
      <c r="E6872" s="44" t="n">
        <f aca="false">SUM(L6868:L6871)</f>
        <v>0</v>
      </c>
      <c r="F6872" s="44" t="n">
        <f aca="false">E6872-C6872</f>
        <v>0</v>
      </c>
    </row>
    <row r="6873" customFormat="false" ht="15" hidden="false" customHeight="false" outlineLevel="0" collapsed="false">
      <c r="B6873" s="46" t="str">
        <f aca="false">IF(N(Nb_Mensualites)=0,"","Soit "&amp;FIXED(E6872/Nb_Mensualites,2)&amp;" € HT par échéance ("&amp;Nb_Mensualites&amp;" échéances), "&amp;FIXED(E6872/Nb_Mensualites*(1+Taux_TVA),2)&amp;" € TTC.")</f>
        <v>Soit 0.00 € HT par échéance (12 échéances), 0.00 € TTC.</v>
      </c>
      <c r="C6873" s="46"/>
      <c r="D6873" s="46"/>
      <c r="E6873" s="46"/>
      <c r="F6873" s="46"/>
    </row>
    <row r="6874" customFormat="false" ht="7.5" hidden="false" customHeight="true" outlineLevel="0" collapsed="false">
      <c r="B6874" s="10"/>
      <c r="C6874" s="10"/>
      <c r="D6874" s="10"/>
      <c r="E6874" s="10"/>
      <c r="F6874" s="10"/>
    </row>
    <row r="6875" customFormat="false" ht="36.75" hidden="false" customHeight="true" outlineLevel="0" collapsed="false">
      <c r="B6875" s="37" t="str">
        <f aca="false">SUBSTITUTE(SUBSTITUTE(SUBSTITUTE(SUBSTITUTE(SUBSTITUTE(Txt_P5,"{cabinet}",Cab_Nom),"{societe}",IF($K$6841=0,"",INDEX(Clients!$E$2:$E$501,$K$6841)&amp;"")),"{date_effet}",$K$6843),"{hausse}",$K$6844),"{civilite}",$K$6842)</f>
        <v>Les autres conditions de votre lettre de mission demeurent inchangées. Les nouveaux montants seront appliqués automatiquement sur vos prochaines factures et échéances de prélèvement.</v>
      </c>
      <c r="C6875" s="37"/>
      <c r="D6875" s="37"/>
      <c r="E6875" s="37"/>
      <c r="F6875" s="37"/>
    </row>
    <row r="6876" customFormat="false" ht="36.75" hidden="false" customHeight="true" outlineLevel="0" collapsed="false">
      <c r="B6876" s="37" t="str">
        <f aca="false">SUBSTITUTE(SUBSTITUTE(SUBSTITUTE(SUBSTITUTE(SUBSTITUTE(Txt_P6,"{cabinet}",Cab_Nom),"{societe}",IF($K$6841=0,"",INDEX(Clients!$E$2:$E$501,$K$6841)&amp;"")),"{date_effet}",$K$6843),"{hausse}",$K$6844),"{civilite}",$K$6842)</f>
        <v>Votre interlocuteur habituel reste à votre entière disposition pour répondre à vos questions et faire le point sur l'évolution de vos besoins.</v>
      </c>
      <c r="C6876" s="37"/>
      <c r="D6876" s="37"/>
      <c r="E6876" s="37"/>
      <c r="F6876" s="37"/>
    </row>
    <row r="6877" customFormat="false" ht="24" hidden="false" customHeight="true" outlineLevel="0" collapsed="false">
      <c r="B6877" s="37" t="str">
        <f aca="false">SUBSTITUTE(SUBSTITUTE(SUBSTITUTE(SUBSTITUTE(SUBSTITUTE(Txt_Politesse,"{cabinet}",Cab_Nom),"{societe}",IF($K$6841=0,"",INDEX(Clients!$E$2:$E$501,$K$6841)&amp;"")),"{date_effet}",$K$6843),"{hausse}",$K$6844),"{civilite}",$K$6842)</f>
        <v>Nous vous prions d'agréer, Madame, Monsieur, l'expression de nos salutations distinguées.</v>
      </c>
      <c r="C6877" s="37"/>
      <c r="D6877" s="37"/>
      <c r="E6877" s="37"/>
      <c r="F6877" s="37"/>
    </row>
    <row r="6878" customFormat="false" ht="15" hidden="false" customHeight="false" outlineLevel="0" collapsed="false">
      <c r="B6878" s="10"/>
      <c r="C6878" s="10"/>
      <c r="D6878" s="10"/>
      <c r="E6878" s="10"/>
      <c r="F6878" s="10"/>
    </row>
    <row r="6879" customFormat="false" ht="15" hidden="false" customHeight="false" outlineLevel="0" collapsed="false">
      <c r="B6879" s="10"/>
      <c r="C6879" s="10"/>
      <c r="D6879" s="34" t="str">
        <f aca="false">Signataire</f>
        <v>Prénom NOM</v>
      </c>
      <c r="E6879" s="34"/>
      <c r="F6879" s="34"/>
    </row>
    <row r="6880" customFormat="false" ht="15" hidden="false" customHeight="false" outlineLevel="0" collapsed="false">
      <c r="B6880" s="10"/>
      <c r="C6880" s="10"/>
      <c r="D6880" s="47" t="str">
        <f aca="false">Signataire_Titre</f>
        <v>Expert-comptable associé</v>
      </c>
      <c r="E6880" s="47"/>
      <c r="F6880" s="47"/>
    </row>
    <row r="6881" customFormat="false" ht="15.75" hidden="false" customHeight="true" outlineLevel="0" collapsed="false">
      <c r="B6881" s="10"/>
      <c r="C6881" s="10"/>
      <c r="D6881" s="10"/>
      <c r="E6881" s="10"/>
      <c r="F6881" s="10"/>
    </row>
    <row r="6882" customFormat="false" ht="15.75" hidden="false" customHeight="true" outlineLevel="0" collapsed="false">
      <c r="B6882" s="10"/>
      <c r="C6882" s="10"/>
      <c r="D6882" s="10"/>
      <c r="E6882" s="10"/>
      <c r="F6882" s="10"/>
    </row>
    <row r="6883" customFormat="false" ht="15.75" hidden="false" customHeight="true" outlineLevel="0" collapsed="false">
      <c r="B6883" s="10"/>
      <c r="C6883" s="10"/>
      <c r="D6883" s="10"/>
      <c r="E6883" s="10"/>
      <c r="F6883" s="10"/>
    </row>
    <row r="6884" customFormat="false" ht="15.75" hidden="false" customHeight="true" outlineLevel="0" collapsed="false">
      <c r="B6884" s="10"/>
      <c r="C6884" s="10"/>
      <c r="D6884" s="10"/>
      <c r="E6884" s="10"/>
      <c r="F6884" s="10"/>
    </row>
    <row r="6885" customFormat="false" ht="24" hidden="false" customHeight="true" outlineLevel="0" collapsed="false">
      <c r="B6885" s="48" t="str">
        <f aca="false">Cab_Mentions</f>
        <v>ALTHO EXPERTISE · SAS au capital de 10 000 € · RCS Pontoise 919 706 325 · TVA FR62919706325 · Société d'expertise comptable inscrite au Tableau de l'Ordre des experts-comptables de Paris Île-de-France</v>
      </c>
      <c r="C6885" s="48"/>
      <c r="D6885" s="48"/>
      <c r="E6885" s="48"/>
      <c r="F6885" s="48"/>
    </row>
    <row r="6886" customFormat="false" ht="15" hidden="false" customHeight="false" outlineLevel="0" collapsed="false">
      <c r="B6886" s="10"/>
      <c r="C6886" s="10"/>
      <c r="D6886" s="10"/>
      <c r="E6886" s="10"/>
      <c r="F6886" s="10"/>
      <c r="J6886" s="25" t="s">
        <v>142</v>
      </c>
      <c r="K6886" s="25" t="n">
        <f aca="false">IFERROR(MATCH(154,Clients!$Z$2:$Z$501,0),0)</f>
        <v>0</v>
      </c>
      <c r="L6886" s="25"/>
      <c r="M6886" s="25"/>
      <c r="N6886" s="25"/>
      <c r="O6886" s="25"/>
    </row>
    <row r="6887" customFormat="false" ht="21.75" hidden="false" customHeight="true" outlineLevel="0" collapsed="false">
      <c r="B6887" s="26" t="str">
        <f aca="false">Cab_Nom</f>
        <v>ALTHO EXPERTISE</v>
      </c>
      <c r="C6887" s="26"/>
      <c r="D6887" s="10"/>
      <c r="E6887" s="27" t="str">
        <f aca="false">IF($K$6886=0,"","Réf. client : "&amp;INDEX(Clients!$A$2:$A$501,$K$6886))</f>
        <v/>
      </c>
      <c r="F6887" s="27"/>
      <c r="J6887" s="25" t="s">
        <v>144</v>
      </c>
      <c r="K6887" s="25" t="str">
        <f aca="false">IF(IF($K$6886=0,"",INDEX(Clients!$B$2:$B$501,$K$6886)&amp;"")="Mme","Madame",IF(IF($K$6886=0,"",INDEX(Clients!$B$2:$B$501,$K$6886)&amp;"")="M.","Monsieur","Madame, Monsieur"))</f>
        <v>Madame, Monsieur</v>
      </c>
      <c r="L6887" s="25"/>
      <c r="M6887" s="25"/>
      <c r="N6887" s="25"/>
      <c r="O6887" s="25"/>
    </row>
    <row r="6888" customFormat="false" ht="15" hidden="false" customHeight="false" outlineLevel="0" collapsed="false">
      <c r="B6888" s="29" t="str">
        <f aca="false">Cab_Adr1</f>
        <v>141 rue Charles de Gaulle</v>
      </c>
      <c r="C6888" s="29"/>
      <c r="D6888" s="10"/>
      <c r="E6888" s="10"/>
      <c r="F6888" s="10"/>
      <c r="J6888" s="25" t="s">
        <v>145</v>
      </c>
      <c r="K6888" s="25" t="str">
        <f aca="false">DAY(Date_Effet)&amp;IF(DAY(Date_Effet)=1,"er","")&amp;" "&amp;INDEX(Liste_Mois,MONTH(Date_Effet))&amp;" "&amp;YEAR(Date_Effet)</f>
        <v>1er janvier 2027</v>
      </c>
      <c r="L6888" s="25"/>
      <c r="M6888" s="25"/>
      <c r="N6888" s="25"/>
      <c r="O6888" s="25"/>
    </row>
    <row r="6889" customFormat="false" ht="15" hidden="false" customHeight="false" outlineLevel="0" collapsed="false">
      <c r="B6889" s="29" t="str">
        <f aca="false">Cab_CPVille</f>
        <v>95130 LE PLESSIS-BOUCHARD</v>
      </c>
      <c r="C6889" s="29"/>
      <c r="D6889" s="10"/>
      <c r="E6889" s="10"/>
      <c r="F6889" s="10"/>
      <c r="J6889" s="25" t="s">
        <v>146</v>
      </c>
      <c r="K6889" s="25" t="str">
        <f aca="false">IF(SUM($K$6913:$K$6916)=0,"",FIXED((SUM($L$6913:$L$6916)/SUM($K$6913:$K$6916)-1)*100,1)&amp;" %")</f>
        <v/>
      </c>
      <c r="L6889" s="25"/>
      <c r="M6889" s="25"/>
      <c r="N6889" s="25"/>
      <c r="O6889" s="25"/>
    </row>
    <row r="6890" customFormat="false" ht="15" hidden="false" customHeight="false" outlineLevel="0" collapsed="false">
      <c r="B6890" s="29" t="str">
        <f aca="false">Cab_Contact</f>
        <v>Tél. 01 34 14 53 45  ·  altho@altho-experts.com  ·  altho-experts.com</v>
      </c>
      <c r="C6890" s="29"/>
      <c r="D6890" s="10"/>
      <c r="E6890" s="10"/>
      <c r="F6890" s="10"/>
      <c r="J6890" s="25"/>
      <c r="K6890" s="25"/>
      <c r="L6890" s="25"/>
      <c r="M6890" s="25"/>
      <c r="N6890" s="25"/>
      <c r="O6890" s="25"/>
    </row>
    <row r="6891" customFormat="false" ht="6" hidden="false" customHeight="true" outlineLevel="0" collapsed="false">
      <c r="B6891" s="32"/>
      <c r="C6891" s="32"/>
      <c r="D6891" s="32"/>
      <c r="E6891" s="32"/>
      <c r="F6891" s="32"/>
      <c r="J6891" s="25"/>
      <c r="K6891" s="25"/>
      <c r="L6891" s="25"/>
      <c r="M6891" s="25"/>
      <c r="N6891" s="25"/>
      <c r="O6891" s="25"/>
    </row>
    <row r="6892" customFormat="false" ht="13.5" hidden="false" customHeight="true" outlineLevel="0" collapsed="false">
      <c r="B6892" s="10"/>
      <c r="C6892" s="10"/>
      <c r="D6892" s="10"/>
      <c r="E6892" s="10"/>
      <c r="F6892" s="10"/>
      <c r="J6892" s="25"/>
      <c r="K6892" s="25"/>
      <c r="L6892" s="25"/>
      <c r="M6892" s="25"/>
      <c r="N6892" s="25"/>
      <c r="O6892" s="25"/>
    </row>
    <row r="6893" customFormat="false" ht="13.5" hidden="false" customHeight="true" outlineLevel="0" collapsed="false">
      <c r="B6893" s="10"/>
      <c r="C6893" s="10"/>
      <c r="D6893" s="10"/>
      <c r="E6893" s="10"/>
      <c r="F6893" s="10"/>
      <c r="J6893" s="25"/>
      <c r="K6893" s="25"/>
      <c r="L6893" s="25"/>
      <c r="M6893" s="25"/>
      <c r="N6893" s="25"/>
      <c r="O6893" s="25"/>
    </row>
    <row r="6894" customFormat="false" ht="13.5" hidden="false" customHeight="true" outlineLevel="0" collapsed="false">
      <c r="B6894" s="10"/>
      <c r="C6894" s="10"/>
      <c r="D6894" s="10"/>
      <c r="E6894" s="10"/>
      <c r="F6894" s="10"/>
      <c r="J6894" s="25"/>
      <c r="K6894" s="25"/>
      <c r="L6894" s="25"/>
      <c r="M6894" s="25"/>
      <c r="N6894" s="25"/>
      <c r="O6894" s="25"/>
    </row>
    <row r="6895" customFormat="false" ht="15" hidden="false" customHeight="true" outlineLevel="0" collapsed="false">
      <c r="B6895" s="10"/>
      <c r="C6895" s="10"/>
      <c r="D6895" s="34" t="str">
        <f aca="false">IF($K$6886=0,"",INDEX(Clients!$E$2:$E$501,$K$6886)&amp;"")</f>
        <v/>
      </c>
      <c r="E6895" s="34"/>
      <c r="F6895" s="34"/>
      <c r="J6895" s="25"/>
      <c r="K6895" s="25"/>
      <c r="L6895" s="25"/>
      <c r="M6895" s="25"/>
      <c r="N6895" s="25"/>
      <c r="O6895" s="25"/>
    </row>
    <row r="6896" customFormat="false" ht="15" hidden="false" customHeight="true" outlineLevel="0" collapsed="false">
      <c r="B6896" s="10"/>
      <c r="C6896" s="10"/>
      <c r="D6896" s="35" t="str">
        <f aca="false">IF(IF($K$6886=0,"",INDEX(Clients!$D$2:$D$501,$K$6886)&amp;"")="","","À l'attention de "&amp;TRIM(IF($K$6886=0,"",INDEX(Clients!$B$2:$B$501,$K$6886)&amp;"")&amp;" "&amp;IF($K$6886=0,"",INDEX(Clients!$C$2:$C$501,$K$6886)&amp;"")&amp;" "&amp;IF($K$6886=0,"",INDEX(Clients!$D$2:$D$501,$K$6886)&amp;"")))</f>
        <v/>
      </c>
      <c r="E6896" s="35"/>
      <c r="F6896" s="35"/>
      <c r="J6896" s="25"/>
      <c r="K6896" s="25"/>
      <c r="L6896" s="25"/>
      <c r="M6896" s="25"/>
      <c r="N6896" s="25"/>
      <c r="O6896" s="25"/>
    </row>
    <row r="6897" customFormat="false" ht="15" hidden="false" customHeight="true" outlineLevel="0" collapsed="false">
      <c r="B6897" s="10"/>
      <c r="C6897" s="10"/>
      <c r="D6897" s="35" t="str">
        <f aca="false">IF($K$6886=0,"",INDEX(Clients!$F$2:$F$501,$K$6886)&amp;"")</f>
        <v/>
      </c>
      <c r="E6897" s="35"/>
      <c r="F6897" s="35"/>
      <c r="J6897" s="25"/>
      <c r="K6897" s="25"/>
      <c r="L6897" s="25"/>
      <c r="M6897" s="25"/>
      <c r="N6897" s="25"/>
      <c r="O6897" s="25"/>
    </row>
    <row r="6898" customFormat="false" ht="15" hidden="false" customHeight="true" outlineLevel="0" collapsed="false">
      <c r="B6898" s="10"/>
      <c r="C6898" s="10"/>
      <c r="D6898" s="35" t="str">
        <f aca="false">IF(IF($K$6886=0,"",INDEX(Clients!$G$2:$G$501,$K$6886)&amp;"")="",TRIM(IF($K$6886=0,"",INDEX(Clients!$H$2:$H$501,$K$6886)&amp;"")&amp;" "&amp;UPPER(IF($K$6886=0,"",INDEX(Clients!$I$2:$I$501,$K$6886)&amp;""))),IF($K$6886=0,"",INDEX(Clients!$G$2:$G$501,$K$6886)&amp;""))</f>
        <v/>
      </c>
      <c r="E6898" s="35"/>
      <c r="F6898" s="35"/>
      <c r="J6898" s="25"/>
      <c r="K6898" s="25"/>
      <c r="L6898" s="25"/>
      <c r="M6898" s="25"/>
      <c r="N6898" s="25"/>
      <c r="O6898" s="25"/>
    </row>
    <row r="6899" customFormat="false" ht="15" hidden="false" customHeight="true" outlineLevel="0" collapsed="false">
      <c r="B6899" s="10"/>
      <c r="C6899" s="10"/>
      <c r="D6899" s="35" t="str">
        <f aca="false">IF(IF($K$6886=0,"",INDEX(Clients!$G$2:$G$501,$K$6886)&amp;"")="","",TRIM(IF($K$6886=0,"",INDEX(Clients!$H$2:$H$501,$K$6886)&amp;"")&amp;" "&amp;UPPER(IF($K$6886=0,"",INDEX(Clients!$I$2:$I$501,$K$6886)&amp;""))))</f>
        <v/>
      </c>
      <c r="E6899" s="35"/>
      <c r="F6899" s="35"/>
      <c r="J6899" s="25"/>
      <c r="K6899" s="25"/>
      <c r="L6899" s="25"/>
      <c r="M6899" s="25"/>
      <c r="N6899" s="25"/>
      <c r="O6899" s="25"/>
    </row>
    <row r="6900" customFormat="false" ht="25.5" hidden="false" customHeight="true" outlineLevel="0" collapsed="false">
      <c r="B6900" s="10"/>
      <c r="C6900" s="10"/>
      <c r="D6900" s="10"/>
      <c r="E6900" s="10"/>
      <c r="F6900" s="10"/>
      <c r="J6900" s="25"/>
      <c r="K6900" s="25"/>
      <c r="L6900" s="25"/>
      <c r="M6900" s="25"/>
      <c r="N6900" s="25"/>
      <c r="O6900" s="25"/>
    </row>
    <row r="6901" customFormat="false" ht="15" hidden="false" customHeight="false" outlineLevel="0" collapsed="false">
      <c r="B6901" s="10"/>
      <c r="C6901" s="10"/>
      <c r="D6901" s="36" t="str">
        <f aca="false">Cab_Ville&amp;", le "&amp;DAY(Date_Courrier)&amp;IF(DAY(Date_Courrier)=1,"er","")&amp;" "&amp;INDEX(Liste_Mois,MONTH(Date_Courrier))&amp;" "&amp;YEAR(Date_Courrier)</f>
        <v>Le Plessis-Bouchard, le 22 septembre 2026</v>
      </c>
      <c r="E6901" s="36"/>
      <c r="F6901" s="36"/>
      <c r="J6901" s="25"/>
      <c r="K6901" s="25"/>
      <c r="L6901" s="25"/>
      <c r="M6901" s="25"/>
      <c r="N6901" s="25"/>
      <c r="O6901" s="25"/>
    </row>
    <row r="6902" customFormat="false" ht="19.5" hidden="false" customHeight="true" outlineLevel="0" collapsed="false">
      <c r="B6902" s="10"/>
      <c r="C6902" s="10"/>
      <c r="D6902" s="10"/>
      <c r="E6902" s="10"/>
      <c r="F6902" s="10"/>
      <c r="J6902" s="25"/>
      <c r="K6902" s="25"/>
      <c r="L6902" s="25"/>
      <c r="M6902" s="25"/>
      <c r="N6902" s="25"/>
      <c r="O6902" s="25"/>
    </row>
    <row r="6903" customFormat="false" ht="15" hidden="false" customHeight="false" outlineLevel="0" collapsed="false">
      <c r="B6903" s="34" t="str">
        <f aca="false">SUBSTITUTE(SUBSTITUTE(SUBSTITUTE(SUBSTITUTE(SUBSTITUTE(Txt_Objet,"{cabinet}",Cab_Nom),"{societe}",IF($K$6886=0,"",INDEX(Clients!$E$2:$E$501,$K$6886)&amp;"")),"{date_effet}",$K$6888),"{hausse}",$K$6889),"{civilite}",$K$6887)</f>
        <v>Objet : révision de nos honoraires au 1er janvier 2027</v>
      </c>
      <c r="C6903" s="34"/>
      <c r="D6903" s="34"/>
      <c r="E6903" s="34"/>
      <c r="F6903" s="34"/>
      <c r="J6903" s="25"/>
      <c r="K6903" s="25"/>
      <c r="L6903" s="25"/>
      <c r="M6903" s="25"/>
      <c r="N6903" s="25"/>
      <c r="O6903" s="25"/>
    </row>
    <row r="6904" customFormat="false" ht="13.5" hidden="false" customHeight="true" outlineLevel="0" collapsed="false">
      <c r="B6904" s="10"/>
      <c r="C6904" s="10"/>
      <c r="D6904" s="10"/>
      <c r="E6904" s="10"/>
      <c r="F6904" s="10"/>
      <c r="J6904" s="25"/>
      <c r="K6904" s="25"/>
      <c r="L6904" s="25"/>
      <c r="M6904" s="25"/>
      <c r="N6904" s="25"/>
      <c r="O6904" s="25"/>
    </row>
    <row r="6905" customFormat="false" ht="15" hidden="false" customHeight="false" outlineLevel="0" collapsed="false">
      <c r="B6905" s="10" t="str">
        <f aca="false">$K$6887&amp;","</f>
        <v>Madame, Monsieur,</v>
      </c>
      <c r="C6905" s="10"/>
      <c r="D6905" s="10"/>
      <c r="E6905" s="10"/>
      <c r="F6905" s="10"/>
      <c r="J6905" s="25"/>
      <c r="K6905" s="25"/>
      <c r="L6905" s="25"/>
      <c r="M6905" s="25"/>
      <c r="N6905" s="25"/>
      <c r="O6905" s="25"/>
    </row>
    <row r="6906" customFormat="false" ht="6" hidden="false" customHeight="true" outlineLevel="0" collapsed="false">
      <c r="B6906" s="10"/>
      <c r="C6906" s="10"/>
      <c r="D6906" s="10"/>
      <c r="E6906" s="10"/>
      <c r="F6906" s="10"/>
      <c r="J6906" s="25"/>
      <c r="K6906" s="25"/>
      <c r="L6906" s="25"/>
      <c r="M6906" s="25"/>
      <c r="N6906" s="25"/>
      <c r="O6906" s="25"/>
    </row>
    <row r="6907" customFormat="false" ht="36.75" hidden="false" customHeight="true" outlineLevel="0" collapsed="false">
      <c r="B6907" s="37" t="str">
        <f aca="false">SUBSTITUTE(SUBSTITUTE(SUBSTITUTE(SUBSTITUTE(SUBSTITUTE(Txt_P1,"{cabinet}",Cab_Nom),"{societe}",IF($K$6886=0,"",INDEX(Clients!$E$2:$E$501,$K$6886)&amp;"")),"{date_effet}",$K$6888),"{hausse}",$K$6889),"{civilite}",$K$6887)</f>
        <v>Nous tenons tout d'abord à vous remercier pour la confiance que vous accordez à ALTHO EXPERTISE. Comme chaque année, et conformément aux dispositions de votre lettre de mission, nous procédons à la révision de nos honoraires.</v>
      </c>
      <c r="C6907" s="37"/>
      <c r="D6907" s="37"/>
      <c r="E6907" s="37"/>
      <c r="F6907" s="37"/>
      <c r="J6907" s="25"/>
      <c r="K6907" s="25"/>
      <c r="L6907" s="25"/>
      <c r="M6907" s="25"/>
      <c r="N6907" s="25"/>
      <c r="O6907" s="25"/>
    </row>
    <row r="6908" customFormat="false" ht="49.5" hidden="false" customHeight="true" outlineLevel="0" collapsed="false">
      <c r="B6908" s="37" t="str">
        <f aca="false">SUBSTITUTE(SUBSTITUTE(SUBSTITUTE(SUBSTITUTE(SUBSTITUTE(Txt_P2,"{cabinet}",Cab_Nom),"{societe}",IF($K$6886=0,"",INDEX(Clients!$E$2:$E$501,$K$6886)&amp;"")),"{date_effet}",$K$6888),"{hausse}",$K$6889),"{civilite}",$K$6887)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908" s="37"/>
      <c r="D6908" s="37"/>
      <c r="E6908" s="37"/>
      <c r="F6908" s="37"/>
      <c r="J6908" s="25"/>
      <c r="K6908" s="25"/>
      <c r="L6908" s="25"/>
      <c r="M6908" s="25"/>
      <c r="N6908" s="25"/>
      <c r="O6908" s="25"/>
    </row>
    <row r="6909" customFormat="false" ht="63" hidden="false" customHeight="true" outlineLevel="0" collapsed="false">
      <c r="B6909" s="37" t="str">
        <f aca="false">SUBSTITUTE(SUBSTITUTE(SUBSTITUTE(SUBSTITUTE(SUBSTITUTE(Txt_P3,"{cabinet}",Cab_Nom),"{societe}",IF($K$6886=0,"",INDEX(Clients!$E$2:$E$501,$K$6886)&amp;"")),"{date_effet}",$K$6888),"{hausse}",$K$6889),"{civilite}",$K$6887)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909" s="37"/>
      <c r="D6909" s="37"/>
      <c r="E6909" s="37"/>
      <c r="F6909" s="37"/>
      <c r="J6909" s="25"/>
      <c r="K6909" s="25"/>
      <c r="L6909" s="25"/>
      <c r="M6909" s="25"/>
      <c r="N6909" s="25"/>
      <c r="O6909" s="25"/>
    </row>
    <row r="6910" customFormat="false" ht="24" hidden="false" customHeight="true" outlineLevel="0" collapsed="false">
      <c r="B6910" s="37" t="str">
        <f aca="false">SUBSTITUTE(SUBSTITUTE(SUBSTITUTE(SUBSTITUTE(SUBSTITUTE(Txt_P4,"{cabinet}",Cab_Nom),"{societe}",IF($K$6886=0,"",INDEX(Clients!$E$2:$E$501,$K$6886)&amp;"")),"{date_effet}",$K$6888),"{hausse}",$K$6889),"{civilite}",$K$6887)</f>
        <v>À compter du 1er janvier 2027, vos honoraires annuels hors taxes évolueront ainsi (évolution globale : ) :</v>
      </c>
      <c r="C6910" s="37"/>
      <c r="D6910" s="37"/>
      <c r="E6910" s="37"/>
      <c r="F6910" s="37"/>
      <c r="J6910" s="25"/>
      <c r="K6910" s="25"/>
      <c r="L6910" s="25"/>
      <c r="M6910" s="25"/>
      <c r="N6910" s="25"/>
      <c r="O6910" s="25"/>
    </row>
    <row r="6911" customFormat="false" ht="3.75" hidden="false" customHeight="true" outlineLevel="0" collapsed="false">
      <c r="B6911" s="10"/>
      <c r="C6911" s="10"/>
      <c r="D6911" s="10"/>
      <c r="E6911" s="10"/>
      <c r="F6911" s="10"/>
      <c r="J6911" s="25"/>
      <c r="K6911" s="25"/>
      <c r="L6911" s="25"/>
      <c r="M6911" s="25"/>
      <c r="N6911" s="25"/>
      <c r="O6911" s="25"/>
    </row>
    <row r="6912" customFormat="false" ht="18" hidden="false" customHeight="true" outlineLevel="0" collapsed="false">
      <c r="B6912" s="38" t="s">
        <v>148</v>
      </c>
      <c r="C6912" s="39" t="s">
        <v>149</v>
      </c>
      <c r="D6912" s="39" t="s">
        <v>150</v>
      </c>
      <c r="E6912" s="39" t="s">
        <v>151</v>
      </c>
      <c r="F6912" s="39" t="s">
        <v>109</v>
      </c>
      <c r="J6912" s="25" t="s">
        <v>152</v>
      </c>
      <c r="K6912" s="25" t="s">
        <v>153</v>
      </c>
      <c r="L6912" s="25" t="s">
        <v>154</v>
      </c>
      <c r="M6912" s="25" t="s">
        <v>155</v>
      </c>
      <c r="N6912" s="25" t="s">
        <v>156</v>
      </c>
      <c r="O6912" s="25" t="s">
        <v>157</v>
      </c>
    </row>
    <row r="6913" customFormat="false" ht="16.5" hidden="false" customHeight="true" outlineLevel="0" collapsed="false">
      <c r="B6913" s="40" t="str">
        <f aca="false">IFERROR(INDEX($J$6913:$J$6916,MATCH($O6913,$N$6913:$N$6916,0)),"")</f>
        <v/>
      </c>
      <c r="C6913" s="41" t="str">
        <f aca="false">IFERROR(INDEX($K$6913:$K$6916,MATCH($O6913,$N$6913:$N$6916,0)),"")</f>
        <v/>
      </c>
      <c r="D6913" s="42" t="str">
        <f aca="false">IF(OR(E6913="",N(C6913)=0),"",E6913/C6913-1)</f>
        <v/>
      </c>
      <c r="E6913" s="41" t="str">
        <f aca="false">IFERROR(INDEX($L$6913:$L$6916,MATCH($O6913,$N$6913:$N$6916,0)),"")</f>
        <v/>
      </c>
      <c r="F6913" s="41" t="str">
        <f aca="false">IF(E6913="","",E6913-C6913)</f>
        <v/>
      </c>
      <c r="J6913" s="25" t="str">
        <f aca="false">Lib_Compta</f>
        <v>Mission comptable (tenue, révision, bilan, liasse fiscale)</v>
      </c>
      <c r="K6913" s="25" t="n">
        <f aca="false">IF($K$6886=0,0,N(INDEX(Clients!$K$2:$K$501,$K$6886)))</f>
        <v>0</v>
      </c>
      <c r="L6913" s="25" t="n">
        <f aca="false">IF($K$6886=0,0,N(INDEX(Clients!$P$2:$P$501,$K$6886)))</f>
        <v>0</v>
      </c>
      <c r="M6913" s="25" t="n">
        <f aca="false">IF(OR(K6913&lt;&gt;0,L6913&lt;&gt;0),1,0)</f>
        <v>0</v>
      </c>
      <c r="N6913" s="25" t="str">
        <f aca="false">IF(M6913=1,SUM($M$6913:M6913),"")</f>
        <v/>
      </c>
      <c r="O6913" s="25" t="n">
        <v>1</v>
      </c>
    </row>
    <row r="6914" customFormat="false" ht="16.5" hidden="false" customHeight="true" outlineLevel="0" collapsed="false">
      <c r="B6914" s="40" t="str">
        <f aca="false">IFERROR(INDEX($J$6913:$J$6916,MATCH($O6914,$N$6913:$N$6916,0)),"")</f>
        <v/>
      </c>
      <c r="C6914" s="41" t="str">
        <f aca="false">IFERROR(INDEX($K$6913:$K$6916,MATCH($O6914,$N$6913:$N$6916,0)),"")</f>
        <v/>
      </c>
      <c r="D6914" s="42" t="str">
        <f aca="false">IF(OR(E6914="",N(C6914)=0),"",E6914/C6914-1)</f>
        <v/>
      </c>
      <c r="E6914" s="41" t="str">
        <f aca="false">IFERROR(INDEX($L$6913:$L$6916,MATCH($O6914,$N$6913:$N$6916,0)),"")</f>
        <v/>
      </c>
      <c r="F6914" s="41" t="str">
        <f aca="false">IF(E6914="","",E6914-C6914)</f>
        <v/>
      </c>
      <c r="J6914" s="25" t="str">
        <f aca="false">Lib_Paye</f>
        <v>Mission sociale (bulletins de paie, DSN, déclarations sociales)</v>
      </c>
      <c r="K6914" s="25" t="n">
        <f aca="false">IF($K$6886=0,0,N(INDEX(Clients!$L$2:$L$501,$K$6886)))</f>
        <v>0</v>
      </c>
      <c r="L6914" s="25" t="n">
        <f aca="false">IF($K$6886=0,0,N(INDEX(Clients!$Q$2:$Q$501,$K$6886)))</f>
        <v>0</v>
      </c>
      <c r="M6914" s="25" t="n">
        <f aca="false">IF(OR(K6914&lt;&gt;0,L6914&lt;&gt;0),1,0)</f>
        <v>0</v>
      </c>
      <c r="N6914" s="25" t="str">
        <f aca="false">IF(M6914=1,SUM($M$6913:M6914),"")</f>
        <v/>
      </c>
      <c r="O6914" s="25" t="n">
        <v>2</v>
      </c>
    </row>
    <row r="6915" customFormat="false" ht="16.5" hidden="false" customHeight="true" outlineLevel="0" collapsed="false">
      <c r="B6915" s="40" t="str">
        <f aca="false">IFERROR(INDEX($J$6913:$J$6916,MATCH($O6915,$N$6913:$N$6916,0)),"")</f>
        <v/>
      </c>
      <c r="C6915" s="41" t="str">
        <f aca="false">IFERROR(INDEX($K$6913:$K$6916,MATCH($O6915,$N$6913:$N$6916,0)),"")</f>
        <v/>
      </c>
      <c r="D6915" s="42" t="str">
        <f aca="false">IF(OR(E6915="",N(C6915)=0),"",E6915/C6915-1)</f>
        <v/>
      </c>
      <c r="E6915" s="41" t="str">
        <f aca="false">IFERROR(INDEX($L$6913:$L$6916,MATCH($O6915,$N$6913:$N$6916,0)),"")</f>
        <v/>
      </c>
      <c r="F6915" s="41" t="str">
        <f aca="false">IF(E6915="","",E6915-C6915)</f>
        <v/>
      </c>
      <c r="J6915" s="25" t="str">
        <f aca="false">Lib_Jur</f>
        <v>Mission juridique (approbation des comptes, secrétariat juridique)</v>
      </c>
      <c r="K6915" s="25" t="n">
        <f aca="false">IF($K$6886=0,0,N(INDEX(Clients!$M$2:$M$501,$K$6886)))</f>
        <v>0</v>
      </c>
      <c r="L6915" s="25" t="n">
        <f aca="false">IF($K$6886=0,0,N(INDEX(Clients!$R$2:$R$501,$K$6886)))</f>
        <v>0</v>
      </c>
      <c r="M6915" s="25" t="n">
        <f aca="false">IF(OR(K6915&lt;&gt;0,L6915&lt;&gt;0),1,0)</f>
        <v>0</v>
      </c>
      <c r="N6915" s="25" t="str">
        <f aca="false">IF(M6915=1,SUM($M$6913:M6915),"")</f>
        <v/>
      </c>
      <c r="O6915" s="25" t="n">
        <v>3</v>
      </c>
    </row>
    <row r="6916" customFormat="false" ht="16.5" hidden="false" customHeight="true" outlineLevel="0" collapsed="false">
      <c r="B6916" s="40" t="str">
        <f aca="false">IFERROR(INDEX($J$6913:$J$6916,MATCH($O6916,$N$6913:$N$6916,0)),"")</f>
        <v/>
      </c>
      <c r="C6916" s="41" t="str">
        <f aca="false">IFERROR(INDEX($K$6913:$K$6916,MATCH($O6916,$N$6913:$N$6916,0)),"")</f>
        <v/>
      </c>
      <c r="D6916" s="42" t="str">
        <f aca="false">IF(OR(E6916="",N(C6916)=0),"",E6916/C6916-1)</f>
        <v/>
      </c>
      <c r="E6916" s="41" t="str">
        <f aca="false">IFERROR(INDEX($L$6913:$L$6916,MATCH($O6916,$N$6913:$N$6916,0)),"")</f>
        <v/>
      </c>
      <c r="F6916" s="41" t="str">
        <f aca="false">IF(E6916="","",E6916-C6916)</f>
        <v/>
      </c>
      <c r="J6916" s="25" t="str">
        <f aca="false">Lib_PA</f>
        <v>Plateforme agréée – facturation électronique</v>
      </c>
      <c r="K6916" s="25" t="n">
        <f aca="false">IF($K$6886=0,0,N(INDEX(Clients!$N$2:$N$501,$K$6886)))</f>
        <v>0</v>
      </c>
      <c r="L6916" s="25" t="n">
        <f aca="false">IF($K$6886=0,0,N(INDEX(Clients!$S$2:$S$501,$K$6886)))</f>
        <v>0</v>
      </c>
      <c r="M6916" s="25" t="n">
        <f aca="false">IF(OR(K6916&lt;&gt;0,L6916&lt;&gt;0),1,0)</f>
        <v>0</v>
      </c>
      <c r="N6916" s="25" t="str">
        <f aca="false">IF(M6916=1,SUM($M$6913:M6916),"")</f>
        <v/>
      </c>
      <c r="O6916" s="25" t="n">
        <v>4</v>
      </c>
    </row>
    <row r="6917" customFormat="false" ht="18" hidden="false" customHeight="true" outlineLevel="0" collapsed="false">
      <c r="B6917" s="43" t="s">
        <v>158</v>
      </c>
      <c r="C6917" s="44" t="n">
        <f aca="false">SUM(K6913:K6916)</f>
        <v>0</v>
      </c>
      <c r="D6917" s="45" t="str">
        <f aca="false">IF(N(C6917)=0,"",E6917/C6917-1)</f>
        <v/>
      </c>
      <c r="E6917" s="44" t="n">
        <f aca="false">SUM(L6913:L6916)</f>
        <v>0</v>
      </c>
      <c r="F6917" s="44" t="n">
        <f aca="false">E6917-C6917</f>
        <v>0</v>
      </c>
    </row>
    <row r="6918" customFormat="false" ht="15" hidden="false" customHeight="false" outlineLevel="0" collapsed="false">
      <c r="B6918" s="46" t="str">
        <f aca="false">IF(N(Nb_Mensualites)=0,"","Soit "&amp;FIXED(E6917/Nb_Mensualites,2)&amp;" € HT par échéance ("&amp;Nb_Mensualites&amp;" échéances), "&amp;FIXED(E6917/Nb_Mensualites*(1+Taux_TVA),2)&amp;" € TTC.")</f>
        <v>Soit 0.00 € HT par échéance (12 échéances), 0.00 € TTC.</v>
      </c>
      <c r="C6918" s="46"/>
      <c r="D6918" s="46"/>
      <c r="E6918" s="46"/>
      <c r="F6918" s="46"/>
    </row>
    <row r="6919" customFormat="false" ht="7.5" hidden="false" customHeight="true" outlineLevel="0" collapsed="false">
      <c r="B6919" s="10"/>
      <c r="C6919" s="10"/>
      <c r="D6919" s="10"/>
      <c r="E6919" s="10"/>
      <c r="F6919" s="10"/>
    </row>
    <row r="6920" customFormat="false" ht="36.75" hidden="false" customHeight="true" outlineLevel="0" collapsed="false">
      <c r="B6920" s="37" t="str">
        <f aca="false">SUBSTITUTE(SUBSTITUTE(SUBSTITUTE(SUBSTITUTE(SUBSTITUTE(Txt_P5,"{cabinet}",Cab_Nom),"{societe}",IF($K$6886=0,"",INDEX(Clients!$E$2:$E$501,$K$6886)&amp;"")),"{date_effet}",$K$6888),"{hausse}",$K$6889),"{civilite}",$K$6887)</f>
        <v>Les autres conditions de votre lettre de mission demeurent inchangées. Les nouveaux montants seront appliqués automatiquement sur vos prochaines factures et échéances de prélèvement.</v>
      </c>
      <c r="C6920" s="37"/>
      <c r="D6920" s="37"/>
      <c r="E6920" s="37"/>
      <c r="F6920" s="37"/>
    </row>
    <row r="6921" customFormat="false" ht="36.75" hidden="false" customHeight="true" outlineLevel="0" collapsed="false">
      <c r="B6921" s="37" t="str">
        <f aca="false">SUBSTITUTE(SUBSTITUTE(SUBSTITUTE(SUBSTITUTE(SUBSTITUTE(Txt_P6,"{cabinet}",Cab_Nom),"{societe}",IF($K$6886=0,"",INDEX(Clients!$E$2:$E$501,$K$6886)&amp;"")),"{date_effet}",$K$6888),"{hausse}",$K$6889),"{civilite}",$K$6887)</f>
        <v>Votre interlocuteur habituel reste à votre entière disposition pour répondre à vos questions et faire le point sur l'évolution de vos besoins.</v>
      </c>
      <c r="C6921" s="37"/>
      <c r="D6921" s="37"/>
      <c r="E6921" s="37"/>
      <c r="F6921" s="37"/>
    </row>
    <row r="6922" customFormat="false" ht="24" hidden="false" customHeight="true" outlineLevel="0" collapsed="false">
      <c r="B6922" s="37" t="str">
        <f aca="false">SUBSTITUTE(SUBSTITUTE(SUBSTITUTE(SUBSTITUTE(SUBSTITUTE(Txt_Politesse,"{cabinet}",Cab_Nom),"{societe}",IF($K$6886=0,"",INDEX(Clients!$E$2:$E$501,$K$6886)&amp;"")),"{date_effet}",$K$6888),"{hausse}",$K$6889),"{civilite}",$K$6887)</f>
        <v>Nous vous prions d'agréer, Madame, Monsieur, l'expression de nos salutations distinguées.</v>
      </c>
      <c r="C6922" s="37"/>
      <c r="D6922" s="37"/>
      <c r="E6922" s="37"/>
      <c r="F6922" s="37"/>
    </row>
    <row r="6923" customFormat="false" ht="15" hidden="false" customHeight="false" outlineLevel="0" collapsed="false">
      <c r="B6923" s="10"/>
      <c r="C6923" s="10"/>
      <c r="D6923" s="10"/>
      <c r="E6923" s="10"/>
      <c r="F6923" s="10"/>
    </row>
    <row r="6924" customFormat="false" ht="15" hidden="false" customHeight="false" outlineLevel="0" collapsed="false">
      <c r="B6924" s="10"/>
      <c r="C6924" s="10"/>
      <c r="D6924" s="34" t="str">
        <f aca="false">Signataire</f>
        <v>Prénom NOM</v>
      </c>
      <c r="E6924" s="34"/>
      <c r="F6924" s="34"/>
    </row>
    <row r="6925" customFormat="false" ht="15" hidden="false" customHeight="false" outlineLevel="0" collapsed="false">
      <c r="B6925" s="10"/>
      <c r="C6925" s="10"/>
      <c r="D6925" s="47" t="str">
        <f aca="false">Signataire_Titre</f>
        <v>Expert-comptable associé</v>
      </c>
      <c r="E6925" s="47"/>
      <c r="F6925" s="47"/>
    </row>
    <row r="6926" customFormat="false" ht="15.75" hidden="false" customHeight="true" outlineLevel="0" collapsed="false">
      <c r="B6926" s="10"/>
      <c r="C6926" s="10"/>
      <c r="D6926" s="10"/>
      <c r="E6926" s="10"/>
      <c r="F6926" s="10"/>
    </row>
    <row r="6927" customFormat="false" ht="15.75" hidden="false" customHeight="true" outlineLevel="0" collapsed="false">
      <c r="B6927" s="10"/>
      <c r="C6927" s="10"/>
      <c r="D6927" s="10"/>
      <c r="E6927" s="10"/>
      <c r="F6927" s="10"/>
    </row>
    <row r="6928" customFormat="false" ht="15.75" hidden="false" customHeight="true" outlineLevel="0" collapsed="false">
      <c r="B6928" s="10"/>
      <c r="C6928" s="10"/>
      <c r="D6928" s="10"/>
      <c r="E6928" s="10"/>
      <c r="F6928" s="10"/>
    </row>
    <row r="6929" customFormat="false" ht="15.75" hidden="false" customHeight="true" outlineLevel="0" collapsed="false">
      <c r="B6929" s="10"/>
      <c r="C6929" s="10"/>
      <c r="D6929" s="10"/>
      <c r="E6929" s="10"/>
      <c r="F6929" s="10"/>
    </row>
    <row r="6930" customFormat="false" ht="24" hidden="false" customHeight="true" outlineLevel="0" collapsed="false">
      <c r="B6930" s="48" t="str">
        <f aca="false">Cab_Mentions</f>
        <v>ALTHO EXPERTISE · SAS au capital de 10 000 € · RCS Pontoise 919 706 325 · TVA FR62919706325 · Société d'expertise comptable inscrite au Tableau de l'Ordre des experts-comptables de Paris Île-de-France</v>
      </c>
      <c r="C6930" s="48"/>
      <c r="D6930" s="48"/>
      <c r="E6930" s="48"/>
      <c r="F6930" s="48"/>
    </row>
    <row r="6931" customFormat="false" ht="15" hidden="false" customHeight="false" outlineLevel="0" collapsed="false">
      <c r="B6931" s="10"/>
      <c r="C6931" s="10"/>
      <c r="D6931" s="10"/>
      <c r="E6931" s="10"/>
      <c r="F6931" s="10"/>
      <c r="J6931" s="25" t="s">
        <v>142</v>
      </c>
      <c r="K6931" s="25" t="n">
        <f aca="false">IFERROR(MATCH(155,Clients!$Z$2:$Z$501,0),0)</f>
        <v>0</v>
      </c>
      <c r="L6931" s="25"/>
      <c r="M6931" s="25"/>
      <c r="N6931" s="25"/>
      <c r="O6931" s="25"/>
    </row>
    <row r="6932" customFormat="false" ht="21.75" hidden="false" customHeight="true" outlineLevel="0" collapsed="false">
      <c r="B6932" s="26" t="str">
        <f aca="false">Cab_Nom</f>
        <v>ALTHO EXPERTISE</v>
      </c>
      <c r="C6932" s="26"/>
      <c r="D6932" s="10"/>
      <c r="E6932" s="27" t="str">
        <f aca="false">IF($K$6931=0,"","Réf. client : "&amp;INDEX(Clients!$A$2:$A$501,$K$6931))</f>
        <v/>
      </c>
      <c r="F6932" s="27"/>
      <c r="J6932" s="25" t="s">
        <v>144</v>
      </c>
      <c r="K6932" s="25" t="str">
        <f aca="false">IF(IF($K$6931=0,"",INDEX(Clients!$B$2:$B$501,$K$6931)&amp;"")="Mme","Madame",IF(IF($K$6931=0,"",INDEX(Clients!$B$2:$B$501,$K$6931)&amp;"")="M.","Monsieur","Madame, Monsieur"))</f>
        <v>Madame, Monsieur</v>
      </c>
      <c r="L6932" s="25"/>
      <c r="M6932" s="25"/>
      <c r="N6932" s="25"/>
      <c r="O6932" s="25"/>
    </row>
    <row r="6933" customFormat="false" ht="15" hidden="false" customHeight="false" outlineLevel="0" collapsed="false">
      <c r="B6933" s="29" t="str">
        <f aca="false">Cab_Adr1</f>
        <v>141 rue Charles de Gaulle</v>
      </c>
      <c r="C6933" s="29"/>
      <c r="D6933" s="10"/>
      <c r="E6933" s="10"/>
      <c r="F6933" s="10"/>
      <c r="J6933" s="25" t="s">
        <v>145</v>
      </c>
      <c r="K6933" s="25" t="str">
        <f aca="false">DAY(Date_Effet)&amp;IF(DAY(Date_Effet)=1,"er","")&amp;" "&amp;INDEX(Liste_Mois,MONTH(Date_Effet))&amp;" "&amp;YEAR(Date_Effet)</f>
        <v>1er janvier 2027</v>
      </c>
      <c r="L6933" s="25"/>
      <c r="M6933" s="25"/>
      <c r="N6933" s="25"/>
      <c r="O6933" s="25"/>
    </row>
    <row r="6934" customFormat="false" ht="15" hidden="false" customHeight="false" outlineLevel="0" collapsed="false">
      <c r="B6934" s="29" t="str">
        <f aca="false">Cab_CPVille</f>
        <v>95130 LE PLESSIS-BOUCHARD</v>
      </c>
      <c r="C6934" s="29"/>
      <c r="D6934" s="10"/>
      <c r="E6934" s="10"/>
      <c r="F6934" s="10"/>
      <c r="J6934" s="25" t="s">
        <v>146</v>
      </c>
      <c r="K6934" s="25" t="str">
        <f aca="false">IF(SUM($K$6958:$K$6961)=0,"",FIXED((SUM($L$6958:$L$6961)/SUM($K$6958:$K$6961)-1)*100,1)&amp;" %")</f>
        <v/>
      </c>
      <c r="L6934" s="25"/>
      <c r="M6934" s="25"/>
      <c r="N6934" s="25"/>
      <c r="O6934" s="25"/>
    </row>
    <row r="6935" customFormat="false" ht="15" hidden="false" customHeight="false" outlineLevel="0" collapsed="false">
      <c r="B6935" s="29" t="str">
        <f aca="false">Cab_Contact</f>
        <v>Tél. 01 34 14 53 45  ·  altho@altho-experts.com  ·  altho-experts.com</v>
      </c>
      <c r="C6935" s="29"/>
      <c r="D6935" s="10"/>
      <c r="E6935" s="10"/>
      <c r="F6935" s="10"/>
      <c r="J6935" s="25"/>
      <c r="K6935" s="25"/>
      <c r="L6935" s="25"/>
      <c r="M6935" s="25"/>
      <c r="N6935" s="25"/>
      <c r="O6935" s="25"/>
    </row>
    <row r="6936" customFormat="false" ht="6" hidden="false" customHeight="true" outlineLevel="0" collapsed="false">
      <c r="B6936" s="32"/>
      <c r="C6936" s="32"/>
      <c r="D6936" s="32"/>
      <c r="E6936" s="32"/>
      <c r="F6936" s="32"/>
      <c r="J6936" s="25"/>
      <c r="K6936" s="25"/>
      <c r="L6936" s="25"/>
      <c r="M6936" s="25"/>
      <c r="N6936" s="25"/>
      <c r="O6936" s="25"/>
    </row>
    <row r="6937" customFormat="false" ht="13.5" hidden="false" customHeight="true" outlineLevel="0" collapsed="false">
      <c r="B6937" s="10"/>
      <c r="C6937" s="10"/>
      <c r="D6937" s="10"/>
      <c r="E6937" s="10"/>
      <c r="F6937" s="10"/>
      <c r="J6937" s="25"/>
      <c r="K6937" s="25"/>
      <c r="L6937" s="25"/>
      <c r="M6937" s="25"/>
      <c r="N6937" s="25"/>
      <c r="O6937" s="25"/>
    </row>
    <row r="6938" customFormat="false" ht="13.5" hidden="false" customHeight="true" outlineLevel="0" collapsed="false">
      <c r="B6938" s="10"/>
      <c r="C6938" s="10"/>
      <c r="D6938" s="10"/>
      <c r="E6938" s="10"/>
      <c r="F6938" s="10"/>
      <c r="J6938" s="25"/>
      <c r="K6938" s="25"/>
      <c r="L6938" s="25"/>
      <c r="M6938" s="25"/>
      <c r="N6938" s="25"/>
      <c r="O6938" s="25"/>
    </row>
    <row r="6939" customFormat="false" ht="13.5" hidden="false" customHeight="true" outlineLevel="0" collapsed="false">
      <c r="B6939" s="10"/>
      <c r="C6939" s="10"/>
      <c r="D6939" s="10"/>
      <c r="E6939" s="10"/>
      <c r="F6939" s="10"/>
      <c r="J6939" s="25"/>
      <c r="K6939" s="25"/>
      <c r="L6939" s="25"/>
      <c r="M6939" s="25"/>
      <c r="N6939" s="25"/>
      <c r="O6939" s="25"/>
    </row>
    <row r="6940" customFormat="false" ht="15" hidden="false" customHeight="true" outlineLevel="0" collapsed="false">
      <c r="B6940" s="10"/>
      <c r="C6940" s="10"/>
      <c r="D6940" s="34" t="str">
        <f aca="false">IF($K$6931=0,"",INDEX(Clients!$E$2:$E$501,$K$6931)&amp;"")</f>
        <v/>
      </c>
      <c r="E6940" s="34"/>
      <c r="F6940" s="34"/>
      <c r="J6940" s="25"/>
      <c r="K6940" s="25"/>
      <c r="L6940" s="25"/>
      <c r="M6940" s="25"/>
      <c r="N6940" s="25"/>
      <c r="O6940" s="25"/>
    </row>
    <row r="6941" customFormat="false" ht="15" hidden="false" customHeight="true" outlineLevel="0" collapsed="false">
      <c r="B6941" s="10"/>
      <c r="C6941" s="10"/>
      <c r="D6941" s="35" t="str">
        <f aca="false">IF(IF($K$6931=0,"",INDEX(Clients!$D$2:$D$501,$K$6931)&amp;"")="","","À l'attention de "&amp;TRIM(IF($K$6931=0,"",INDEX(Clients!$B$2:$B$501,$K$6931)&amp;"")&amp;" "&amp;IF($K$6931=0,"",INDEX(Clients!$C$2:$C$501,$K$6931)&amp;"")&amp;" "&amp;IF($K$6931=0,"",INDEX(Clients!$D$2:$D$501,$K$6931)&amp;"")))</f>
        <v/>
      </c>
      <c r="E6941" s="35"/>
      <c r="F6941" s="35"/>
      <c r="J6941" s="25"/>
      <c r="K6941" s="25"/>
      <c r="L6941" s="25"/>
      <c r="M6941" s="25"/>
      <c r="N6941" s="25"/>
      <c r="O6941" s="25"/>
    </row>
    <row r="6942" customFormat="false" ht="15" hidden="false" customHeight="true" outlineLevel="0" collapsed="false">
      <c r="B6942" s="10"/>
      <c r="C6942" s="10"/>
      <c r="D6942" s="35" t="str">
        <f aca="false">IF($K$6931=0,"",INDEX(Clients!$F$2:$F$501,$K$6931)&amp;"")</f>
        <v/>
      </c>
      <c r="E6942" s="35"/>
      <c r="F6942" s="35"/>
      <c r="J6942" s="25"/>
      <c r="K6942" s="25"/>
      <c r="L6942" s="25"/>
      <c r="M6942" s="25"/>
      <c r="N6942" s="25"/>
      <c r="O6942" s="25"/>
    </row>
    <row r="6943" customFormat="false" ht="15" hidden="false" customHeight="true" outlineLevel="0" collapsed="false">
      <c r="B6943" s="10"/>
      <c r="C6943" s="10"/>
      <c r="D6943" s="35" t="str">
        <f aca="false">IF(IF($K$6931=0,"",INDEX(Clients!$G$2:$G$501,$K$6931)&amp;"")="",TRIM(IF($K$6931=0,"",INDEX(Clients!$H$2:$H$501,$K$6931)&amp;"")&amp;" "&amp;UPPER(IF($K$6931=0,"",INDEX(Clients!$I$2:$I$501,$K$6931)&amp;""))),IF($K$6931=0,"",INDEX(Clients!$G$2:$G$501,$K$6931)&amp;""))</f>
        <v/>
      </c>
      <c r="E6943" s="35"/>
      <c r="F6943" s="35"/>
      <c r="J6943" s="25"/>
      <c r="K6943" s="25"/>
      <c r="L6943" s="25"/>
      <c r="M6943" s="25"/>
      <c r="N6943" s="25"/>
      <c r="O6943" s="25"/>
    </row>
    <row r="6944" customFormat="false" ht="15" hidden="false" customHeight="true" outlineLevel="0" collapsed="false">
      <c r="B6944" s="10"/>
      <c r="C6944" s="10"/>
      <c r="D6944" s="35" t="str">
        <f aca="false">IF(IF($K$6931=0,"",INDEX(Clients!$G$2:$G$501,$K$6931)&amp;"")="","",TRIM(IF($K$6931=0,"",INDEX(Clients!$H$2:$H$501,$K$6931)&amp;"")&amp;" "&amp;UPPER(IF($K$6931=0,"",INDEX(Clients!$I$2:$I$501,$K$6931)&amp;""))))</f>
        <v/>
      </c>
      <c r="E6944" s="35"/>
      <c r="F6944" s="35"/>
      <c r="J6944" s="25"/>
      <c r="K6944" s="25"/>
      <c r="L6944" s="25"/>
      <c r="M6944" s="25"/>
      <c r="N6944" s="25"/>
      <c r="O6944" s="25"/>
    </row>
    <row r="6945" customFormat="false" ht="25.5" hidden="false" customHeight="true" outlineLevel="0" collapsed="false">
      <c r="B6945" s="10"/>
      <c r="C6945" s="10"/>
      <c r="D6945" s="10"/>
      <c r="E6945" s="10"/>
      <c r="F6945" s="10"/>
      <c r="J6945" s="25"/>
      <c r="K6945" s="25"/>
      <c r="L6945" s="25"/>
      <c r="M6945" s="25"/>
      <c r="N6945" s="25"/>
      <c r="O6945" s="25"/>
    </row>
    <row r="6946" customFormat="false" ht="15" hidden="false" customHeight="false" outlineLevel="0" collapsed="false">
      <c r="B6946" s="10"/>
      <c r="C6946" s="10"/>
      <c r="D6946" s="36" t="str">
        <f aca="false">Cab_Ville&amp;", le "&amp;DAY(Date_Courrier)&amp;IF(DAY(Date_Courrier)=1,"er","")&amp;" "&amp;INDEX(Liste_Mois,MONTH(Date_Courrier))&amp;" "&amp;YEAR(Date_Courrier)</f>
        <v>Le Plessis-Bouchard, le 22 septembre 2026</v>
      </c>
      <c r="E6946" s="36"/>
      <c r="F6946" s="36"/>
      <c r="J6946" s="25"/>
      <c r="K6946" s="25"/>
      <c r="L6946" s="25"/>
      <c r="M6946" s="25"/>
      <c r="N6946" s="25"/>
      <c r="O6946" s="25"/>
    </row>
    <row r="6947" customFormat="false" ht="19.5" hidden="false" customHeight="true" outlineLevel="0" collapsed="false">
      <c r="B6947" s="10"/>
      <c r="C6947" s="10"/>
      <c r="D6947" s="10"/>
      <c r="E6947" s="10"/>
      <c r="F6947" s="10"/>
      <c r="J6947" s="25"/>
      <c r="K6947" s="25"/>
      <c r="L6947" s="25"/>
      <c r="M6947" s="25"/>
      <c r="N6947" s="25"/>
      <c r="O6947" s="25"/>
    </row>
    <row r="6948" customFormat="false" ht="15" hidden="false" customHeight="false" outlineLevel="0" collapsed="false">
      <c r="B6948" s="34" t="str">
        <f aca="false">SUBSTITUTE(SUBSTITUTE(SUBSTITUTE(SUBSTITUTE(SUBSTITUTE(Txt_Objet,"{cabinet}",Cab_Nom),"{societe}",IF($K$6931=0,"",INDEX(Clients!$E$2:$E$501,$K$6931)&amp;"")),"{date_effet}",$K$6933),"{hausse}",$K$6934),"{civilite}",$K$6932)</f>
        <v>Objet : révision de nos honoraires au 1er janvier 2027</v>
      </c>
      <c r="C6948" s="34"/>
      <c r="D6948" s="34"/>
      <c r="E6948" s="34"/>
      <c r="F6948" s="34"/>
      <c r="J6948" s="25"/>
      <c r="K6948" s="25"/>
      <c r="L6948" s="25"/>
      <c r="M6948" s="25"/>
      <c r="N6948" s="25"/>
      <c r="O6948" s="25"/>
    </row>
    <row r="6949" customFormat="false" ht="13.5" hidden="false" customHeight="true" outlineLevel="0" collapsed="false">
      <c r="B6949" s="10"/>
      <c r="C6949" s="10"/>
      <c r="D6949" s="10"/>
      <c r="E6949" s="10"/>
      <c r="F6949" s="10"/>
      <c r="J6949" s="25"/>
      <c r="K6949" s="25"/>
      <c r="L6949" s="25"/>
      <c r="M6949" s="25"/>
      <c r="N6949" s="25"/>
      <c r="O6949" s="25"/>
    </row>
    <row r="6950" customFormat="false" ht="15" hidden="false" customHeight="false" outlineLevel="0" collapsed="false">
      <c r="B6950" s="10" t="str">
        <f aca="false">$K$6932&amp;","</f>
        <v>Madame, Monsieur,</v>
      </c>
      <c r="C6950" s="10"/>
      <c r="D6950" s="10"/>
      <c r="E6950" s="10"/>
      <c r="F6950" s="10"/>
      <c r="J6950" s="25"/>
      <c r="K6950" s="25"/>
      <c r="L6950" s="25"/>
      <c r="M6950" s="25"/>
      <c r="N6950" s="25"/>
      <c r="O6950" s="25"/>
    </row>
    <row r="6951" customFormat="false" ht="6" hidden="false" customHeight="true" outlineLevel="0" collapsed="false">
      <c r="B6951" s="10"/>
      <c r="C6951" s="10"/>
      <c r="D6951" s="10"/>
      <c r="E6951" s="10"/>
      <c r="F6951" s="10"/>
      <c r="J6951" s="25"/>
      <c r="K6951" s="25"/>
      <c r="L6951" s="25"/>
      <c r="M6951" s="25"/>
      <c r="N6951" s="25"/>
      <c r="O6951" s="25"/>
    </row>
    <row r="6952" customFormat="false" ht="36.75" hidden="false" customHeight="true" outlineLevel="0" collapsed="false">
      <c r="B6952" s="37" t="str">
        <f aca="false">SUBSTITUTE(SUBSTITUTE(SUBSTITUTE(SUBSTITUTE(SUBSTITUTE(Txt_P1,"{cabinet}",Cab_Nom),"{societe}",IF($K$6931=0,"",INDEX(Clients!$E$2:$E$501,$K$6931)&amp;"")),"{date_effet}",$K$6933),"{hausse}",$K$6934),"{civilite}",$K$6932)</f>
        <v>Nous tenons tout d'abord à vous remercier pour la confiance que vous accordez à ALTHO EXPERTISE. Comme chaque année, et conformément aux dispositions de votre lettre de mission, nous procédons à la révision de nos honoraires.</v>
      </c>
      <c r="C6952" s="37"/>
      <c r="D6952" s="37"/>
      <c r="E6952" s="37"/>
      <c r="F6952" s="37"/>
      <c r="J6952" s="25"/>
      <c r="K6952" s="25"/>
      <c r="L6952" s="25"/>
      <c r="M6952" s="25"/>
      <c r="N6952" s="25"/>
      <c r="O6952" s="25"/>
    </row>
    <row r="6953" customFormat="false" ht="49.5" hidden="false" customHeight="true" outlineLevel="0" collapsed="false">
      <c r="B6953" s="37" t="str">
        <f aca="false">SUBSTITUTE(SUBSTITUTE(SUBSTITUTE(SUBSTITUTE(SUBSTITUTE(Txt_P2,"{cabinet}",Cab_Nom),"{societe}",IF($K$6931=0,"",INDEX(Clients!$E$2:$E$501,$K$6931)&amp;"")),"{date_effet}",$K$6933),"{hausse}",$K$6934),"{civilite}",$K$6932)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953" s="37"/>
      <c r="D6953" s="37"/>
      <c r="E6953" s="37"/>
      <c r="F6953" s="37"/>
      <c r="J6953" s="25"/>
      <c r="K6953" s="25"/>
      <c r="L6953" s="25"/>
      <c r="M6953" s="25"/>
      <c r="N6953" s="25"/>
      <c r="O6953" s="25"/>
    </row>
    <row r="6954" customFormat="false" ht="63" hidden="false" customHeight="true" outlineLevel="0" collapsed="false">
      <c r="B6954" s="37" t="str">
        <f aca="false">SUBSTITUTE(SUBSTITUTE(SUBSTITUTE(SUBSTITUTE(SUBSTITUTE(Txt_P3,"{cabinet}",Cab_Nom),"{societe}",IF($K$6931=0,"",INDEX(Clients!$E$2:$E$501,$K$6931)&amp;"")),"{date_effet}",$K$6933),"{hausse}",$K$6934),"{civilite}",$K$6932)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954" s="37"/>
      <c r="D6954" s="37"/>
      <c r="E6954" s="37"/>
      <c r="F6954" s="37"/>
      <c r="J6954" s="25"/>
      <c r="K6954" s="25"/>
      <c r="L6954" s="25"/>
      <c r="M6954" s="25"/>
      <c r="N6954" s="25"/>
      <c r="O6954" s="25"/>
    </row>
    <row r="6955" customFormat="false" ht="24" hidden="false" customHeight="true" outlineLevel="0" collapsed="false">
      <c r="B6955" s="37" t="str">
        <f aca="false">SUBSTITUTE(SUBSTITUTE(SUBSTITUTE(SUBSTITUTE(SUBSTITUTE(Txt_P4,"{cabinet}",Cab_Nom),"{societe}",IF($K$6931=0,"",INDEX(Clients!$E$2:$E$501,$K$6931)&amp;"")),"{date_effet}",$K$6933),"{hausse}",$K$6934),"{civilite}",$K$6932)</f>
        <v>À compter du 1er janvier 2027, vos honoraires annuels hors taxes évolueront ainsi (évolution globale : ) :</v>
      </c>
      <c r="C6955" s="37"/>
      <c r="D6955" s="37"/>
      <c r="E6955" s="37"/>
      <c r="F6955" s="37"/>
      <c r="J6955" s="25"/>
      <c r="K6955" s="25"/>
      <c r="L6955" s="25"/>
      <c r="M6955" s="25"/>
      <c r="N6955" s="25"/>
      <c r="O6955" s="25"/>
    </row>
    <row r="6956" customFormat="false" ht="3.75" hidden="false" customHeight="true" outlineLevel="0" collapsed="false">
      <c r="B6956" s="10"/>
      <c r="C6956" s="10"/>
      <c r="D6956" s="10"/>
      <c r="E6956" s="10"/>
      <c r="F6956" s="10"/>
      <c r="J6956" s="25"/>
      <c r="K6956" s="25"/>
      <c r="L6956" s="25"/>
      <c r="M6956" s="25"/>
      <c r="N6956" s="25"/>
      <c r="O6956" s="25"/>
    </row>
    <row r="6957" customFormat="false" ht="18" hidden="false" customHeight="true" outlineLevel="0" collapsed="false">
      <c r="B6957" s="38" t="s">
        <v>148</v>
      </c>
      <c r="C6957" s="39" t="s">
        <v>149</v>
      </c>
      <c r="D6957" s="39" t="s">
        <v>150</v>
      </c>
      <c r="E6957" s="39" t="s">
        <v>151</v>
      </c>
      <c r="F6957" s="39" t="s">
        <v>109</v>
      </c>
      <c r="J6957" s="25" t="s">
        <v>152</v>
      </c>
      <c r="K6957" s="25" t="s">
        <v>153</v>
      </c>
      <c r="L6957" s="25" t="s">
        <v>154</v>
      </c>
      <c r="M6957" s="25" t="s">
        <v>155</v>
      </c>
      <c r="N6957" s="25" t="s">
        <v>156</v>
      </c>
      <c r="O6957" s="25" t="s">
        <v>157</v>
      </c>
    </row>
    <row r="6958" customFormat="false" ht="16.5" hidden="false" customHeight="true" outlineLevel="0" collapsed="false">
      <c r="B6958" s="40" t="str">
        <f aca="false">IFERROR(INDEX($J$6958:$J$6961,MATCH($O6958,$N$6958:$N$6961,0)),"")</f>
        <v/>
      </c>
      <c r="C6958" s="41" t="str">
        <f aca="false">IFERROR(INDEX($K$6958:$K$6961,MATCH($O6958,$N$6958:$N$6961,0)),"")</f>
        <v/>
      </c>
      <c r="D6958" s="42" t="str">
        <f aca="false">IF(OR(E6958="",N(C6958)=0),"",E6958/C6958-1)</f>
        <v/>
      </c>
      <c r="E6958" s="41" t="str">
        <f aca="false">IFERROR(INDEX($L$6958:$L$6961,MATCH($O6958,$N$6958:$N$6961,0)),"")</f>
        <v/>
      </c>
      <c r="F6958" s="41" t="str">
        <f aca="false">IF(E6958="","",E6958-C6958)</f>
        <v/>
      </c>
      <c r="J6958" s="25" t="str">
        <f aca="false">Lib_Compta</f>
        <v>Mission comptable (tenue, révision, bilan, liasse fiscale)</v>
      </c>
      <c r="K6958" s="25" t="n">
        <f aca="false">IF($K$6931=0,0,N(INDEX(Clients!$K$2:$K$501,$K$6931)))</f>
        <v>0</v>
      </c>
      <c r="L6958" s="25" t="n">
        <f aca="false">IF($K$6931=0,0,N(INDEX(Clients!$P$2:$P$501,$K$6931)))</f>
        <v>0</v>
      </c>
      <c r="M6958" s="25" t="n">
        <f aca="false">IF(OR(K6958&lt;&gt;0,L6958&lt;&gt;0),1,0)</f>
        <v>0</v>
      </c>
      <c r="N6958" s="25" t="str">
        <f aca="false">IF(M6958=1,SUM($M$6958:M6958),"")</f>
        <v/>
      </c>
      <c r="O6958" s="25" t="n">
        <v>1</v>
      </c>
    </row>
    <row r="6959" customFormat="false" ht="16.5" hidden="false" customHeight="true" outlineLevel="0" collapsed="false">
      <c r="B6959" s="40" t="str">
        <f aca="false">IFERROR(INDEX($J$6958:$J$6961,MATCH($O6959,$N$6958:$N$6961,0)),"")</f>
        <v/>
      </c>
      <c r="C6959" s="41" t="str">
        <f aca="false">IFERROR(INDEX($K$6958:$K$6961,MATCH($O6959,$N$6958:$N$6961,0)),"")</f>
        <v/>
      </c>
      <c r="D6959" s="42" t="str">
        <f aca="false">IF(OR(E6959="",N(C6959)=0),"",E6959/C6959-1)</f>
        <v/>
      </c>
      <c r="E6959" s="41" t="str">
        <f aca="false">IFERROR(INDEX($L$6958:$L$6961,MATCH($O6959,$N$6958:$N$6961,0)),"")</f>
        <v/>
      </c>
      <c r="F6959" s="41" t="str">
        <f aca="false">IF(E6959="","",E6959-C6959)</f>
        <v/>
      </c>
      <c r="J6959" s="25" t="str">
        <f aca="false">Lib_Paye</f>
        <v>Mission sociale (bulletins de paie, DSN, déclarations sociales)</v>
      </c>
      <c r="K6959" s="25" t="n">
        <f aca="false">IF($K$6931=0,0,N(INDEX(Clients!$L$2:$L$501,$K$6931)))</f>
        <v>0</v>
      </c>
      <c r="L6959" s="25" t="n">
        <f aca="false">IF($K$6931=0,0,N(INDEX(Clients!$Q$2:$Q$501,$K$6931)))</f>
        <v>0</v>
      </c>
      <c r="M6959" s="25" t="n">
        <f aca="false">IF(OR(K6959&lt;&gt;0,L6959&lt;&gt;0),1,0)</f>
        <v>0</v>
      </c>
      <c r="N6959" s="25" t="str">
        <f aca="false">IF(M6959=1,SUM($M$6958:M6959),"")</f>
        <v/>
      </c>
      <c r="O6959" s="25" t="n">
        <v>2</v>
      </c>
    </row>
    <row r="6960" customFormat="false" ht="16.5" hidden="false" customHeight="true" outlineLevel="0" collapsed="false">
      <c r="B6960" s="40" t="str">
        <f aca="false">IFERROR(INDEX($J$6958:$J$6961,MATCH($O6960,$N$6958:$N$6961,0)),"")</f>
        <v/>
      </c>
      <c r="C6960" s="41" t="str">
        <f aca="false">IFERROR(INDEX($K$6958:$K$6961,MATCH($O6960,$N$6958:$N$6961,0)),"")</f>
        <v/>
      </c>
      <c r="D6960" s="42" t="str">
        <f aca="false">IF(OR(E6960="",N(C6960)=0),"",E6960/C6960-1)</f>
        <v/>
      </c>
      <c r="E6960" s="41" t="str">
        <f aca="false">IFERROR(INDEX($L$6958:$L$6961,MATCH($O6960,$N$6958:$N$6961,0)),"")</f>
        <v/>
      </c>
      <c r="F6960" s="41" t="str">
        <f aca="false">IF(E6960="","",E6960-C6960)</f>
        <v/>
      </c>
      <c r="J6960" s="25" t="str">
        <f aca="false">Lib_Jur</f>
        <v>Mission juridique (approbation des comptes, secrétariat juridique)</v>
      </c>
      <c r="K6960" s="25" t="n">
        <f aca="false">IF($K$6931=0,0,N(INDEX(Clients!$M$2:$M$501,$K$6931)))</f>
        <v>0</v>
      </c>
      <c r="L6960" s="25" t="n">
        <f aca="false">IF($K$6931=0,0,N(INDEX(Clients!$R$2:$R$501,$K$6931)))</f>
        <v>0</v>
      </c>
      <c r="M6960" s="25" t="n">
        <f aca="false">IF(OR(K6960&lt;&gt;0,L6960&lt;&gt;0),1,0)</f>
        <v>0</v>
      </c>
      <c r="N6960" s="25" t="str">
        <f aca="false">IF(M6960=1,SUM($M$6958:M6960),"")</f>
        <v/>
      </c>
      <c r="O6960" s="25" t="n">
        <v>3</v>
      </c>
    </row>
    <row r="6961" customFormat="false" ht="16.5" hidden="false" customHeight="true" outlineLevel="0" collapsed="false">
      <c r="B6961" s="40" t="str">
        <f aca="false">IFERROR(INDEX($J$6958:$J$6961,MATCH($O6961,$N$6958:$N$6961,0)),"")</f>
        <v/>
      </c>
      <c r="C6961" s="41" t="str">
        <f aca="false">IFERROR(INDEX($K$6958:$K$6961,MATCH($O6961,$N$6958:$N$6961,0)),"")</f>
        <v/>
      </c>
      <c r="D6961" s="42" t="str">
        <f aca="false">IF(OR(E6961="",N(C6961)=0),"",E6961/C6961-1)</f>
        <v/>
      </c>
      <c r="E6961" s="41" t="str">
        <f aca="false">IFERROR(INDEX($L$6958:$L$6961,MATCH($O6961,$N$6958:$N$6961,0)),"")</f>
        <v/>
      </c>
      <c r="F6961" s="41" t="str">
        <f aca="false">IF(E6961="","",E6961-C6961)</f>
        <v/>
      </c>
      <c r="J6961" s="25" t="str">
        <f aca="false">Lib_PA</f>
        <v>Plateforme agréée – facturation électronique</v>
      </c>
      <c r="K6961" s="25" t="n">
        <f aca="false">IF($K$6931=0,0,N(INDEX(Clients!$N$2:$N$501,$K$6931)))</f>
        <v>0</v>
      </c>
      <c r="L6961" s="25" t="n">
        <f aca="false">IF($K$6931=0,0,N(INDEX(Clients!$S$2:$S$501,$K$6931)))</f>
        <v>0</v>
      </c>
      <c r="M6961" s="25" t="n">
        <f aca="false">IF(OR(K6961&lt;&gt;0,L6961&lt;&gt;0),1,0)</f>
        <v>0</v>
      </c>
      <c r="N6961" s="25" t="str">
        <f aca="false">IF(M6961=1,SUM($M$6958:M6961),"")</f>
        <v/>
      </c>
      <c r="O6961" s="25" t="n">
        <v>4</v>
      </c>
    </row>
    <row r="6962" customFormat="false" ht="18" hidden="false" customHeight="true" outlineLevel="0" collapsed="false">
      <c r="B6962" s="43" t="s">
        <v>158</v>
      </c>
      <c r="C6962" s="44" t="n">
        <f aca="false">SUM(K6958:K6961)</f>
        <v>0</v>
      </c>
      <c r="D6962" s="45" t="str">
        <f aca="false">IF(N(C6962)=0,"",E6962/C6962-1)</f>
        <v/>
      </c>
      <c r="E6962" s="44" t="n">
        <f aca="false">SUM(L6958:L6961)</f>
        <v>0</v>
      </c>
      <c r="F6962" s="44" t="n">
        <f aca="false">E6962-C6962</f>
        <v>0</v>
      </c>
    </row>
    <row r="6963" customFormat="false" ht="15" hidden="false" customHeight="false" outlineLevel="0" collapsed="false">
      <c r="B6963" s="46" t="str">
        <f aca="false">IF(N(Nb_Mensualites)=0,"","Soit "&amp;FIXED(E6962/Nb_Mensualites,2)&amp;" € HT par échéance ("&amp;Nb_Mensualites&amp;" échéances), "&amp;FIXED(E6962/Nb_Mensualites*(1+Taux_TVA),2)&amp;" € TTC.")</f>
        <v>Soit 0.00 € HT par échéance (12 échéances), 0.00 € TTC.</v>
      </c>
      <c r="C6963" s="46"/>
      <c r="D6963" s="46"/>
      <c r="E6963" s="46"/>
      <c r="F6963" s="46"/>
    </row>
    <row r="6964" customFormat="false" ht="7.5" hidden="false" customHeight="true" outlineLevel="0" collapsed="false">
      <c r="B6964" s="10"/>
      <c r="C6964" s="10"/>
      <c r="D6964" s="10"/>
      <c r="E6964" s="10"/>
      <c r="F6964" s="10"/>
    </row>
    <row r="6965" customFormat="false" ht="36.75" hidden="false" customHeight="true" outlineLevel="0" collapsed="false">
      <c r="B6965" s="37" t="str">
        <f aca="false">SUBSTITUTE(SUBSTITUTE(SUBSTITUTE(SUBSTITUTE(SUBSTITUTE(Txt_P5,"{cabinet}",Cab_Nom),"{societe}",IF($K$6931=0,"",INDEX(Clients!$E$2:$E$501,$K$6931)&amp;"")),"{date_effet}",$K$6933),"{hausse}",$K$6934),"{civilite}",$K$6932)</f>
        <v>Les autres conditions de votre lettre de mission demeurent inchangées. Les nouveaux montants seront appliqués automatiquement sur vos prochaines factures et échéances de prélèvement.</v>
      </c>
      <c r="C6965" s="37"/>
      <c r="D6965" s="37"/>
      <c r="E6965" s="37"/>
      <c r="F6965" s="37"/>
    </row>
    <row r="6966" customFormat="false" ht="36.75" hidden="false" customHeight="true" outlineLevel="0" collapsed="false">
      <c r="B6966" s="37" t="str">
        <f aca="false">SUBSTITUTE(SUBSTITUTE(SUBSTITUTE(SUBSTITUTE(SUBSTITUTE(Txt_P6,"{cabinet}",Cab_Nom),"{societe}",IF($K$6931=0,"",INDEX(Clients!$E$2:$E$501,$K$6931)&amp;"")),"{date_effet}",$K$6933),"{hausse}",$K$6934),"{civilite}",$K$6932)</f>
        <v>Votre interlocuteur habituel reste à votre entière disposition pour répondre à vos questions et faire le point sur l'évolution de vos besoins.</v>
      </c>
      <c r="C6966" s="37"/>
      <c r="D6966" s="37"/>
      <c r="E6966" s="37"/>
      <c r="F6966" s="37"/>
    </row>
    <row r="6967" customFormat="false" ht="24" hidden="false" customHeight="true" outlineLevel="0" collapsed="false">
      <c r="B6967" s="37" t="str">
        <f aca="false">SUBSTITUTE(SUBSTITUTE(SUBSTITUTE(SUBSTITUTE(SUBSTITUTE(Txt_Politesse,"{cabinet}",Cab_Nom),"{societe}",IF($K$6931=0,"",INDEX(Clients!$E$2:$E$501,$K$6931)&amp;"")),"{date_effet}",$K$6933),"{hausse}",$K$6934),"{civilite}",$K$6932)</f>
        <v>Nous vous prions d'agréer, Madame, Monsieur, l'expression de nos salutations distinguées.</v>
      </c>
      <c r="C6967" s="37"/>
      <c r="D6967" s="37"/>
      <c r="E6967" s="37"/>
      <c r="F6967" s="37"/>
    </row>
    <row r="6968" customFormat="false" ht="15" hidden="false" customHeight="false" outlineLevel="0" collapsed="false">
      <c r="B6968" s="10"/>
      <c r="C6968" s="10"/>
      <c r="D6968" s="10"/>
      <c r="E6968" s="10"/>
      <c r="F6968" s="10"/>
    </row>
    <row r="6969" customFormat="false" ht="15" hidden="false" customHeight="false" outlineLevel="0" collapsed="false">
      <c r="B6969" s="10"/>
      <c r="C6969" s="10"/>
      <c r="D6969" s="34" t="str">
        <f aca="false">Signataire</f>
        <v>Prénom NOM</v>
      </c>
      <c r="E6969" s="34"/>
      <c r="F6969" s="34"/>
    </row>
    <row r="6970" customFormat="false" ht="15" hidden="false" customHeight="false" outlineLevel="0" collapsed="false">
      <c r="B6970" s="10"/>
      <c r="C6970" s="10"/>
      <c r="D6970" s="47" t="str">
        <f aca="false">Signataire_Titre</f>
        <v>Expert-comptable associé</v>
      </c>
      <c r="E6970" s="47"/>
      <c r="F6970" s="47"/>
    </row>
    <row r="6971" customFormat="false" ht="15.75" hidden="false" customHeight="true" outlineLevel="0" collapsed="false">
      <c r="B6971" s="10"/>
      <c r="C6971" s="10"/>
      <c r="D6971" s="10"/>
      <c r="E6971" s="10"/>
      <c r="F6971" s="10"/>
    </row>
    <row r="6972" customFormat="false" ht="15.75" hidden="false" customHeight="true" outlineLevel="0" collapsed="false">
      <c r="B6972" s="10"/>
      <c r="C6972" s="10"/>
      <c r="D6972" s="10"/>
      <c r="E6972" s="10"/>
      <c r="F6972" s="10"/>
    </row>
    <row r="6973" customFormat="false" ht="15.75" hidden="false" customHeight="true" outlineLevel="0" collapsed="false">
      <c r="B6973" s="10"/>
      <c r="C6973" s="10"/>
      <c r="D6973" s="10"/>
      <c r="E6973" s="10"/>
      <c r="F6973" s="10"/>
    </row>
    <row r="6974" customFormat="false" ht="15.75" hidden="false" customHeight="true" outlineLevel="0" collapsed="false">
      <c r="B6974" s="10"/>
      <c r="C6974" s="10"/>
      <c r="D6974" s="10"/>
      <c r="E6974" s="10"/>
      <c r="F6974" s="10"/>
    </row>
    <row r="6975" customFormat="false" ht="24" hidden="false" customHeight="true" outlineLevel="0" collapsed="false">
      <c r="B6975" s="48" t="str">
        <f aca="false">Cab_Mentions</f>
        <v>ALTHO EXPERTISE · SAS au capital de 10 000 € · RCS Pontoise 919 706 325 · TVA FR62919706325 · Société d'expertise comptable inscrite au Tableau de l'Ordre des experts-comptables de Paris Île-de-France</v>
      </c>
      <c r="C6975" s="48"/>
      <c r="D6975" s="48"/>
      <c r="E6975" s="48"/>
      <c r="F6975" s="48"/>
    </row>
    <row r="6976" customFormat="false" ht="15" hidden="false" customHeight="false" outlineLevel="0" collapsed="false">
      <c r="B6976" s="10"/>
      <c r="C6976" s="10"/>
      <c r="D6976" s="10"/>
      <c r="E6976" s="10"/>
      <c r="F6976" s="10"/>
      <c r="J6976" s="25" t="s">
        <v>142</v>
      </c>
      <c r="K6976" s="25" t="n">
        <f aca="false">IFERROR(MATCH(156,Clients!$Z$2:$Z$501,0),0)</f>
        <v>0</v>
      </c>
      <c r="L6976" s="25"/>
      <c r="M6976" s="25"/>
      <c r="N6976" s="25"/>
      <c r="O6976" s="25"/>
    </row>
    <row r="6977" customFormat="false" ht="21.75" hidden="false" customHeight="true" outlineLevel="0" collapsed="false">
      <c r="B6977" s="26" t="str">
        <f aca="false">Cab_Nom</f>
        <v>ALTHO EXPERTISE</v>
      </c>
      <c r="C6977" s="26"/>
      <c r="D6977" s="10"/>
      <c r="E6977" s="27" t="str">
        <f aca="false">IF($K$6976=0,"","Réf. client : "&amp;INDEX(Clients!$A$2:$A$501,$K$6976))</f>
        <v/>
      </c>
      <c r="F6977" s="27"/>
      <c r="J6977" s="25" t="s">
        <v>144</v>
      </c>
      <c r="K6977" s="25" t="str">
        <f aca="false">IF(IF($K$6976=0,"",INDEX(Clients!$B$2:$B$501,$K$6976)&amp;"")="Mme","Madame",IF(IF($K$6976=0,"",INDEX(Clients!$B$2:$B$501,$K$6976)&amp;"")="M.","Monsieur","Madame, Monsieur"))</f>
        <v>Madame, Monsieur</v>
      </c>
      <c r="L6977" s="25"/>
      <c r="M6977" s="25"/>
      <c r="N6977" s="25"/>
      <c r="O6977" s="25"/>
    </row>
    <row r="6978" customFormat="false" ht="15" hidden="false" customHeight="false" outlineLevel="0" collapsed="false">
      <c r="B6978" s="29" t="str">
        <f aca="false">Cab_Adr1</f>
        <v>141 rue Charles de Gaulle</v>
      </c>
      <c r="C6978" s="29"/>
      <c r="D6978" s="10"/>
      <c r="E6978" s="10"/>
      <c r="F6978" s="10"/>
      <c r="J6978" s="25" t="s">
        <v>145</v>
      </c>
      <c r="K6978" s="25" t="str">
        <f aca="false">DAY(Date_Effet)&amp;IF(DAY(Date_Effet)=1,"er","")&amp;" "&amp;INDEX(Liste_Mois,MONTH(Date_Effet))&amp;" "&amp;YEAR(Date_Effet)</f>
        <v>1er janvier 2027</v>
      </c>
      <c r="L6978" s="25"/>
      <c r="M6978" s="25"/>
      <c r="N6978" s="25"/>
      <c r="O6978" s="25"/>
    </row>
    <row r="6979" customFormat="false" ht="15" hidden="false" customHeight="false" outlineLevel="0" collapsed="false">
      <c r="B6979" s="29" t="str">
        <f aca="false">Cab_CPVille</f>
        <v>95130 LE PLESSIS-BOUCHARD</v>
      </c>
      <c r="C6979" s="29"/>
      <c r="D6979" s="10"/>
      <c r="E6979" s="10"/>
      <c r="F6979" s="10"/>
      <c r="J6979" s="25" t="s">
        <v>146</v>
      </c>
      <c r="K6979" s="25" t="str">
        <f aca="false">IF(SUM($K$7003:$K$7006)=0,"",FIXED((SUM($L$7003:$L$7006)/SUM($K$7003:$K$7006)-1)*100,1)&amp;" %")</f>
        <v/>
      </c>
      <c r="L6979" s="25"/>
      <c r="M6979" s="25"/>
      <c r="N6979" s="25"/>
      <c r="O6979" s="25"/>
    </row>
    <row r="6980" customFormat="false" ht="15" hidden="false" customHeight="false" outlineLevel="0" collapsed="false">
      <c r="B6980" s="29" t="str">
        <f aca="false">Cab_Contact</f>
        <v>Tél. 01 34 14 53 45  ·  altho@altho-experts.com  ·  altho-experts.com</v>
      </c>
      <c r="C6980" s="29"/>
      <c r="D6980" s="10"/>
      <c r="E6980" s="10"/>
      <c r="F6980" s="10"/>
      <c r="J6980" s="25"/>
      <c r="K6980" s="25"/>
      <c r="L6980" s="25"/>
      <c r="M6980" s="25"/>
      <c r="N6980" s="25"/>
      <c r="O6980" s="25"/>
    </row>
    <row r="6981" customFormat="false" ht="6" hidden="false" customHeight="true" outlineLevel="0" collapsed="false">
      <c r="B6981" s="32"/>
      <c r="C6981" s="32"/>
      <c r="D6981" s="32"/>
      <c r="E6981" s="32"/>
      <c r="F6981" s="32"/>
      <c r="J6981" s="25"/>
      <c r="K6981" s="25"/>
      <c r="L6981" s="25"/>
      <c r="M6981" s="25"/>
      <c r="N6981" s="25"/>
      <c r="O6981" s="25"/>
    </row>
    <row r="6982" customFormat="false" ht="13.5" hidden="false" customHeight="true" outlineLevel="0" collapsed="false">
      <c r="B6982" s="10"/>
      <c r="C6982" s="10"/>
      <c r="D6982" s="10"/>
      <c r="E6982" s="10"/>
      <c r="F6982" s="10"/>
      <c r="J6982" s="25"/>
      <c r="K6982" s="25"/>
      <c r="L6982" s="25"/>
      <c r="M6982" s="25"/>
      <c r="N6982" s="25"/>
      <c r="O6982" s="25"/>
    </row>
    <row r="6983" customFormat="false" ht="13.5" hidden="false" customHeight="true" outlineLevel="0" collapsed="false">
      <c r="B6983" s="10"/>
      <c r="C6983" s="10"/>
      <c r="D6983" s="10"/>
      <c r="E6983" s="10"/>
      <c r="F6983" s="10"/>
      <c r="J6983" s="25"/>
      <c r="K6983" s="25"/>
      <c r="L6983" s="25"/>
      <c r="M6983" s="25"/>
      <c r="N6983" s="25"/>
      <c r="O6983" s="25"/>
    </row>
    <row r="6984" customFormat="false" ht="13.5" hidden="false" customHeight="true" outlineLevel="0" collapsed="false">
      <c r="B6984" s="10"/>
      <c r="C6984" s="10"/>
      <c r="D6984" s="10"/>
      <c r="E6984" s="10"/>
      <c r="F6984" s="10"/>
      <c r="J6984" s="25"/>
      <c r="K6984" s="25"/>
      <c r="L6984" s="25"/>
      <c r="M6984" s="25"/>
      <c r="N6984" s="25"/>
      <c r="O6984" s="25"/>
    </row>
    <row r="6985" customFormat="false" ht="15" hidden="false" customHeight="true" outlineLevel="0" collapsed="false">
      <c r="B6985" s="10"/>
      <c r="C6985" s="10"/>
      <c r="D6985" s="34" t="str">
        <f aca="false">IF($K$6976=0,"",INDEX(Clients!$E$2:$E$501,$K$6976)&amp;"")</f>
        <v/>
      </c>
      <c r="E6985" s="34"/>
      <c r="F6985" s="34"/>
      <c r="J6985" s="25"/>
      <c r="K6985" s="25"/>
      <c r="L6985" s="25"/>
      <c r="M6985" s="25"/>
      <c r="N6985" s="25"/>
      <c r="O6985" s="25"/>
    </row>
    <row r="6986" customFormat="false" ht="15" hidden="false" customHeight="true" outlineLevel="0" collapsed="false">
      <c r="B6986" s="10"/>
      <c r="C6986" s="10"/>
      <c r="D6986" s="35" t="str">
        <f aca="false">IF(IF($K$6976=0,"",INDEX(Clients!$D$2:$D$501,$K$6976)&amp;"")="","","À l'attention de "&amp;TRIM(IF($K$6976=0,"",INDEX(Clients!$B$2:$B$501,$K$6976)&amp;"")&amp;" "&amp;IF($K$6976=0,"",INDEX(Clients!$C$2:$C$501,$K$6976)&amp;"")&amp;" "&amp;IF($K$6976=0,"",INDEX(Clients!$D$2:$D$501,$K$6976)&amp;"")))</f>
        <v/>
      </c>
      <c r="E6986" s="35"/>
      <c r="F6986" s="35"/>
      <c r="J6986" s="25"/>
      <c r="K6986" s="25"/>
      <c r="L6986" s="25"/>
      <c r="M6986" s="25"/>
      <c r="N6986" s="25"/>
      <c r="O6986" s="25"/>
    </row>
    <row r="6987" customFormat="false" ht="15" hidden="false" customHeight="true" outlineLevel="0" collapsed="false">
      <c r="B6987" s="10"/>
      <c r="C6987" s="10"/>
      <c r="D6987" s="35" t="str">
        <f aca="false">IF($K$6976=0,"",INDEX(Clients!$F$2:$F$501,$K$6976)&amp;"")</f>
        <v/>
      </c>
      <c r="E6987" s="35"/>
      <c r="F6987" s="35"/>
      <c r="J6987" s="25"/>
      <c r="K6987" s="25"/>
      <c r="L6987" s="25"/>
      <c r="M6987" s="25"/>
      <c r="N6987" s="25"/>
      <c r="O6987" s="25"/>
    </row>
    <row r="6988" customFormat="false" ht="15" hidden="false" customHeight="true" outlineLevel="0" collapsed="false">
      <c r="B6988" s="10"/>
      <c r="C6988" s="10"/>
      <c r="D6988" s="35" t="str">
        <f aca="false">IF(IF($K$6976=0,"",INDEX(Clients!$G$2:$G$501,$K$6976)&amp;"")="",TRIM(IF($K$6976=0,"",INDEX(Clients!$H$2:$H$501,$K$6976)&amp;"")&amp;" "&amp;UPPER(IF($K$6976=0,"",INDEX(Clients!$I$2:$I$501,$K$6976)&amp;""))),IF($K$6976=0,"",INDEX(Clients!$G$2:$G$501,$K$6976)&amp;""))</f>
        <v/>
      </c>
      <c r="E6988" s="35"/>
      <c r="F6988" s="35"/>
      <c r="J6988" s="25"/>
      <c r="K6988" s="25"/>
      <c r="L6988" s="25"/>
      <c r="M6988" s="25"/>
      <c r="N6988" s="25"/>
      <c r="O6988" s="25"/>
    </row>
    <row r="6989" customFormat="false" ht="15" hidden="false" customHeight="true" outlineLevel="0" collapsed="false">
      <c r="B6989" s="10"/>
      <c r="C6989" s="10"/>
      <c r="D6989" s="35" t="str">
        <f aca="false">IF(IF($K$6976=0,"",INDEX(Clients!$G$2:$G$501,$K$6976)&amp;"")="","",TRIM(IF($K$6976=0,"",INDEX(Clients!$H$2:$H$501,$K$6976)&amp;"")&amp;" "&amp;UPPER(IF($K$6976=0,"",INDEX(Clients!$I$2:$I$501,$K$6976)&amp;""))))</f>
        <v/>
      </c>
      <c r="E6989" s="35"/>
      <c r="F6989" s="35"/>
      <c r="J6989" s="25"/>
      <c r="K6989" s="25"/>
      <c r="L6989" s="25"/>
      <c r="M6989" s="25"/>
      <c r="N6989" s="25"/>
      <c r="O6989" s="25"/>
    </row>
    <row r="6990" customFormat="false" ht="25.5" hidden="false" customHeight="true" outlineLevel="0" collapsed="false">
      <c r="B6990" s="10"/>
      <c r="C6990" s="10"/>
      <c r="D6990" s="10"/>
      <c r="E6990" s="10"/>
      <c r="F6990" s="10"/>
      <c r="J6990" s="25"/>
      <c r="K6990" s="25"/>
      <c r="L6990" s="25"/>
      <c r="M6990" s="25"/>
      <c r="N6990" s="25"/>
      <c r="O6990" s="25"/>
    </row>
    <row r="6991" customFormat="false" ht="15" hidden="false" customHeight="false" outlineLevel="0" collapsed="false">
      <c r="B6991" s="10"/>
      <c r="C6991" s="10"/>
      <c r="D6991" s="36" t="str">
        <f aca="false">Cab_Ville&amp;", le "&amp;DAY(Date_Courrier)&amp;IF(DAY(Date_Courrier)=1,"er","")&amp;" "&amp;INDEX(Liste_Mois,MONTH(Date_Courrier))&amp;" "&amp;YEAR(Date_Courrier)</f>
        <v>Le Plessis-Bouchard, le 22 septembre 2026</v>
      </c>
      <c r="E6991" s="36"/>
      <c r="F6991" s="36"/>
      <c r="J6991" s="25"/>
      <c r="K6991" s="25"/>
      <c r="L6991" s="25"/>
      <c r="M6991" s="25"/>
      <c r="N6991" s="25"/>
      <c r="O6991" s="25"/>
    </row>
    <row r="6992" customFormat="false" ht="19.5" hidden="false" customHeight="true" outlineLevel="0" collapsed="false">
      <c r="B6992" s="10"/>
      <c r="C6992" s="10"/>
      <c r="D6992" s="10"/>
      <c r="E6992" s="10"/>
      <c r="F6992" s="10"/>
      <c r="J6992" s="25"/>
      <c r="K6992" s="25"/>
      <c r="L6992" s="25"/>
      <c r="M6992" s="25"/>
      <c r="N6992" s="25"/>
      <c r="O6992" s="25"/>
    </row>
    <row r="6993" customFormat="false" ht="15" hidden="false" customHeight="false" outlineLevel="0" collapsed="false">
      <c r="B6993" s="34" t="str">
        <f aca="false">SUBSTITUTE(SUBSTITUTE(SUBSTITUTE(SUBSTITUTE(SUBSTITUTE(Txt_Objet,"{cabinet}",Cab_Nom),"{societe}",IF($K$6976=0,"",INDEX(Clients!$E$2:$E$501,$K$6976)&amp;"")),"{date_effet}",$K$6978),"{hausse}",$K$6979),"{civilite}",$K$6977)</f>
        <v>Objet : révision de nos honoraires au 1er janvier 2027</v>
      </c>
      <c r="C6993" s="34"/>
      <c r="D6993" s="34"/>
      <c r="E6993" s="34"/>
      <c r="F6993" s="34"/>
      <c r="J6993" s="25"/>
      <c r="K6993" s="25"/>
      <c r="L6993" s="25"/>
      <c r="M6993" s="25"/>
      <c r="N6993" s="25"/>
      <c r="O6993" s="25"/>
    </row>
    <row r="6994" customFormat="false" ht="13.5" hidden="false" customHeight="true" outlineLevel="0" collapsed="false">
      <c r="B6994" s="10"/>
      <c r="C6994" s="10"/>
      <c r="D6994" s="10"/>
      <c r="E6994" s="10"/>
      <c r="F6994" s="10"/>
      <c r="J6994" s="25"/>
      <c r="K6994" s="25"/>
      <c r="L6994" s="25"/>
      <c r="M6994" s="25"/>
      <c r="N6994" s="25"/>
      <c r="O6994" s="25"/>
    </row>
    <row r="6995" customFormat="false" ht="15" hidden="false" customHeight="false" outlineLevel="0" collapsed="false">
      <c r="B6995" s="10" t="str">
        <f aca="false">$K$6977&amp;","</f>
        <v>Madame, Monsieur,</v>
      </c>
      <c r="C6995" s="10"/>
      <c r="D6995" s="10"/>
      <c r="E6995" s="10"/>
      <c r="F6995" s="10"/>
      <c r="J6995" s="25"/>
      <c r="K6995" s="25"/>
      <c r="L6995" s="25"/>
      <c r="M6995" s="25"/>
      <c r="N6995" s="25"/>
      <c r="O6995" s="25"/>
    </row>
    <row r="6996" customFormat="false" ht="6" hidden="false" customHeight="true" outlineLevel="0" collapsed="false">
      <c r="B6996" s="10"/>
      <c r="C6996" s="10"/>
      <c r="D6996" s="10"/>
      <c r="E6996" s="10"/>
      <c r="F6996" s="10"/>
      <c r="J6996" s="25"/>
      <c r="K6996" s="25"/>
      <c r="L6996" s="25"/>
      <c r="M6996" s="25"/>
      <c r="N6996" s="25"/>
      <c r="O6996" s="25"/>
    </row>
    <row r="6997" customFormat="false" ht="36.75" hidden="false" customHeight="true" outlineLevel="0" collapsed="false">
      <c r="B6997" s="37" t="str">
        <f aca="false">SUBSTITUTE(SUBSTITUTE(SUBSTITUTE(SUBSTITUTE(SUBSTITUTE(Txt_P1,"{cabinet}",Cab_Nom),"{societe}",IF($K$6976=0,"",INDEX(Clients!$E$2:$E$501,$K$6976)&amp;"")),"{date_effet}",$K$6978),"{hausse}",$K$6979),"{civilite}",$K$6977)</f>
        <v>Nous tenons tout d'abord à vous remercier pour la confiance que vous accordez à ALTHO EXPERTISE. Comme chaque année, et conformément aux dispositions de votre lettre de mission, nous procédons à la révision de nos honoraires.</v>
      </c>
      <c r="C6997" s="37"/>
      <c r="D6997" s="37"/>
      <c r="E6997" s="37"/>
      <c r="F6997" s="37"/>
      <c r="J6997" s="25"/>
      <c r="K6997" s="25"/>
      <c r="L6997" s="25"/>
      <c r="M6997" s="25"/>
      <c r="N6997" s="25"/>
      <c r="O6997" s="25"/>
    </row>
    <row r="6998" customFormat="false" ht="49.5" hidden="false" customHeight="true" outlineLevel="0" collapsed="false">
      <c r="B6998" s="37" t="str">
        <f aca="false">SUBSTITUTE(SUBSTITUTE(SUBSTITUTE(SUBSTITUTE(SUBSTITUTE(Txt_P2,"{cabinet}",Cab_Nom),"{societe}",IF($K$6976=0,"",INDEX(Clients!$E$2:$E$501,$K$6976)&amp;"")),"{date_effet}",$K$6978),"{hausse}",$K$6979),"{civilite}",$K$6977)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6998" s="37"/>
      <c r="D6998" s="37"/>
      <c r="E6998" s="37"/>
      <c r="F6998" s="37"/>
      <c r="J6998" s="25"/>
      <c r="K6998" s="25"/>
      <c r="L6998" s="25"/>
      <c r="M6998" s="25"/>
      <c r="N6998" s="25"/>
      <c r="O6998" s="25"/>
    </row>
    <row r="6999" customFormat="false" ht="63" hidden="false" customHeight="true" outlineLevel="0" collapsed="false">
      <c r="B6999" s="37" t="str">
        <f aca="false">SUBSTITUTE(SUBSTITUTE(SUBSTITUTE(SUBSTITUTE(SUBSTITUTE(Txt_P3,"{cabinet}",Cab_Nom),"{societe}",IF($K$6976=0,"",INDEX(Clients!$E$2:$E$501,$K$6976)&amp;"")),"{date_effet}",$K$6978),"{hausse}",$K$6979),"{civilite}",$K$6977)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6999" s="37"/>
      <c r="D6999" s="37"/>
      <c r="E6999" s="37"/>
      <c r="F6999" s="37"/>
      <c r="J6999" s="25"/>
      <c r="K6999" s="25"/>
      <c r="L6999" s="25"/>
      <c r="M6999" s="25"/>
      <c r="N6999" s="25"/>
      <c r="O6999" s="25"/>
    </row>
    <row r="7000" customFormat="false" ht="24" hidden="false" customHeight="true" outlineLevel="0" collapsed="false">
      <c r="B7000" s="37" t="str">
        <f aca="false">SUBSTITUTE(SUBSTITUTE(SUBSTITUTE(SUBSTITUTE(SUBSTITUTE(Txt_P4,"{cabinet}",Cab_Nom),"{societe}",IF($K$6976=0,"",INDEX(Clients!$E$2:$E$501,$K$6976)&amp;"")),"{date_effet}",$K$6978),"{hausse}",$K$6979),"{civilite}",$K$6977)</f>
        <v>À compter du 1er janvier 2027, vos honoraires annuels hors taxes évolueront ainsi (évolution globale : ) :</v>
      </c>
      <c r="C7000" s="37"/>
      <c r="D7000" s="37"/>
      <c r="E7000" s="37"/>
      <c r="F7000" s="37"/>
      <c r="J7000" s="25"/>
      <c r="K7000" s="25"/>
      <c r="L7000" s="25"/>
      <c r="M7000" s="25"/>
      <c r="N7000" s="25"/>
      <c r="O7000" s="25"/>
    </row>
    <row r="7001" customFormat="false" ht="3.75" hidden="false" customHeight="true" outlineLevel="0" collapsed="false">
      <c r="B7001" s="10"/>
      <c r="C7001" s="10"/>
      <c r="D7001" s="10"/>
      <c r="E7001" s="10"/>
      <c r="F7001" s="10"/>
      <c r="J7001" s="25"/>
      <c r="K7001" s="25"/>
      <c r="L7001" s="25"/>
      <c r="M7001" s="25"/>
      <c r="N7001" s="25"/>
      <c r="O7001" s="25"/>
    </row>
    <row r="7002" customFormat="false" ht="18" hidden="false" customHeight="true" outlineLevel="0" collapsed="false">
      <c r="B7002" s="38" t="s">
        <v>148</v>
      </c>
      <c r="C7002" s="39" t="s">
        <v>149</v>
      </c>
      <c r="D7002" s="39" t="s">
        <v>150</v>
      </c>
      <c r="E7002" s="39" t="s">
        <v>151</v>
      </c>
      <c r="F7002" s="39" t="s">
        <v>109</v>
      </c>
      <c r="J7002" s="25" t="s">
        <v>152</v>
      </c>
      <c r="K7002" s="25" t="s">
        <v>153</v>
      </c>
      <c r="L7002" s="25" t="s">
        <v>154</v>
      </c>
      <c r="M7002" s="25" t="s">
        <v>155</v>
      </c>
      <c r="N7002" s="25" t="s">
        <v>156</v>
      </c>
      <c r="O7002" s="25" t="s">
        <v>157</v>
      </c>
    </row>
    <row r="7003" customFormat="false" ht="16.5" hidden="false" customHeight="true" outlineLevel="0" collapsed="false">
      <c r="B7003" s="40" t="str">
        <f aca="false">IFERROR(INDEX($J$7003:$J$7006,MATCH($O7003,$N$7003:$N$7006,0)),"")</f>
        <v/>
      </c>
      <c r="C7003" s="41" t="str">
        <f aca="false">IFERROR(INDEX($K$7003:$K$7006,MATCH($O7003,$N$7003:$N$7006,0)),"")</f>
        <v/>
      </c>
      <c r="D7003" s="42" t="str">
        <f aca="false">IF(OR(E7003="",N(C7003)=0),"",E7003/C7003-1)</f>
        <v/>
      </c>
      <c r="E7003" s="41" t="str">
        <f aca="false">IFERROR(INDEX($L$7003:$L$7006,MATCH($O7003,$N$7003:$N$7006,0)),"")</f>
        <v/>
      </c>
      <c r="F7003" s="41" t="str">
        <f aca="false">IF(E7003="","",E7003-C7003)</f>
        <v/>
      </c>
      <c r="J7003" s="25" t="str">
        <f aca="false">Lib_Compta</f>
        <v>Mission comptable (tenue, révision, bilan, liasse fiscale)</v>
      </c>
      <c r="K7003" s="25" t="n">
        <f aca="false">IF($K$6976=0,0,N(INDEX(Clients!$K$2:$K$501,$K$6976)))</f>
        <v>0</v>
      </c>
      <c r="L7003" s="25" t="n">
        <f aca="false">IF($K$6976=0,0,N(INDEX(Clients!$P$2:$P$501,$K$6976)))</f>
        <v>0</v>
      </c>
      <c r="M7003" s="25" t="n">
        <f aca="false">IF(OR(K7003&lt;&gt;0,L7003&lt;&gt;0),1,0)</f>
        <v>0</v>
      </c>
      <c r="N7003" s="25" t="str">
        <f aca="false">IF(M7003=1,SUM($M$7003:M7003),"")</f>
        <v/>
      </c>
      <c r="O7003" s="25" t="n">
        <v>1</v>
      </c>
    </row>
    <row r="7004" customFormat="false" ht="16.5" hidden="false" customHeight="true" outlineLevel="0" collapsed="false">
      <c r="B7004" s="40" t="str">
        <f aca="false">IFERROR(INDEX($J$7003:$J$7006,MATCH($O7004,$N$7003:$N$7006,0)),"")</f>
        <v/>
      </c>
      <c r="C7004" s="41" t="str">
        <f aca="false">IFERROR(INDEX($K$7003:$K$7006,MATCH($O7004,$N$7003:$N$7006,0)),"")</f>
        <v/>
      </c>
      <c r="D7004" s="42" t="str">
        <f aca="false">IF(OR(E7004="",N(C7004)=0),"",E7004/C7004-1)</f>
        <v/>
      </c>
      <c r="E7004" s="41" t="str">
        <f aca="false">IFERROR(INDEX($L$7003:$L$7006,MATCH($O7004,$N$7003:$N$7006,0)),"")</f>
        <v/>
      </c>
      <c r="F7004" s="41" t="str">
        <f aca="false">IF(E7004="","",E7004-C7004)</f>
        <v/>
      </c>
      <c r="J7004" s="25" t="str">
        <f aca="false">Lib_Paye</f>
        <v>Mission sociale (bulletins de paie, DSN, déclarations sociales)</v>
      </c>
      <c r="K7004" s="25" t="n">
        <f aca="false">IF($K$6976=0,0,N(INDEX(Clients!$L$2:$L$501,$K$6976)))</f>
        <v>0</v>
      </c>
      <c r="L7004" s="25" t="n">
        <f aca="false">IF($K$6976=0,0,N(INDEX(Clients!$Q$2:$Q$501,$K$6976)))</f>
        <v>0</v>
      </c>
      <c r="M7004" s="25" t="n">
        <f aca="false">IF(OR(K7004&lt;&gt;0,L7004&lt;&gt;0),1,0)</f>
        <v>0</v>
      </c>
      <c r="N7004" s="25" t="str">
        <f aca="false">IF(M7004=1,SUM($M$7003:M7004),"")</f>
        <v/>
      </c>
      <c r="O7004" s="25" t="n">
        <v>2</v>
      </c>
    </row>
    <row r="7005" customFormat="false" ht="16.5" hidden="false" customHeight="true" outlineLevel="0" collapsed="false">
      <c r="B7005" s="40" t="str">
        <f aca="false">IFERROR(INDEX($J$7003:$J$7006,MATCH($O7005,$N$7003:$N$7006,0)),"")</f>
        <v/>
      </c>
      <c r="C7005" s="41" t="str">
        <f aca="false">IFERROR(INDEX($K$7003:$K$7006,MATCH($O7005,$N$7003:$N$7006,0)),"")</f>
        <v/>
      </c>
      <c r="D7005" s="42" t="str">
        <f aca="false">IF(OR(E7005="",N(C7005)=0),"",E7005/C7005-1)</f>
        <v/>
      </c>
      <c r="E7005" s="41" t="str">
        <f aca="false">IFERROR(INDEX($L$7003:$L$7006,MATCH($O7005,$N$7003:$N$7006,0)),"")</f>
        <v/>
      </c>
      <c r="F7005" s="41" t="str">
        <f aca="false">IF(E7005="","",E7005-C7005)</f>
        <v/>
      </c>
      <c r="J7005" s="25" t="str">
        <f aca="false">Lib_Jur</f>
        <v>Mission juridique (approbation des comptes, secrétariat juridique)</v>
      </c>
      <c r="K7005" s="25" t="n">
        <f aca="false">IF($K$6976=0,0,N(INDEX(Clients!$M$2:$M$501,$K$6976)))</f>
        <v>0</v>
      </c>
      <c r="L7005" s="25" t="n">
        <f aca="false">IF($K$6976=0,0,N(INDEX(Clients!$R$2:$R$501,$K$6976)))</f>
        <v>0</v>
      </c>
      <c r="M7005" s="25" t="n">
        <f aca="false">IF(OR(K7005&lt;&gt;0,L7005&lt;&gt;0),1,0)</f>
        <v>0</v>
      </c>
      <c r="N7005" s="25" t="str">
        <f aca="false">IF(M7005=1,SUM($M$7003:M7005),"")</f>
        <v/>
      </c>
      <c r="O7005" s="25" t="n">
        <v>3</v>
      </c>
    </row>
    <row r="7006" customFormat="false" ht="16.5" hidden="false" customHeight="true" outlineLevel="0" collapsed="false">
      <c r="B7006" s="40" t="str">
        <f aca="false">IFERROR(INDEX($J$7003:$J$7006,MATCH($O7006,$N$7003:$N$7006,0)),"")</f>
        <v/>
      </c>
      <c r="C7006" s="41" t="str">
        <f aca="false">IFERROR(INDEX($K$7003:$K$7006,MATCH($O7006,$N$7003:$N$7006,0)),"")</f>
        <v/>
      </c>
      <c r="D7006" s="42" t="str">
        <f aca="false">IF(OR(E7006="",N(C7006)=0),"",E7006/C7006-1)</f>
        <v/>
      </c>
      <c r="E7006" s="41" t="str">
        <f aca="false">IFERROR(INDEX($L$7003:$L$7006,MATCH($O7006,$N$7003:$N$7006,0)),"")</f>
        <v/>
      </c>
      <c r="F7006" s="41" t="str">
        <f aca="false">IF(E7006="","",E7006-C7006)</f>
        <v/>
      </c>
      <c r="J7006" s="25" t="str">
        <f aca="false">Lib_PA</f>
        <v>Plateforme agréée – facturation électronique</v>
      </c>
      <c r="K7006" s="25" t="n">
        <f aca="false">IF($K$6976=0,0,N(INDEX(Clients!$N$2:$N$501,$K$6976)))</f>
        <v>0</v>
      </c>
      <c r="L7006" s="25" t="n">
        <f aca="false">IF($K$6976=0,0,N(INDEX(Clients!$S$2:$S$501,$K$6976)))</f>
        <v>0</v>
      </c>
      <c r="M7006" s="25" t="n">
        <f aca="false">IF(OR(K7006&lt;&gt;0,L7006&lt;&gt;0),1,0)</f>
        <v>0</v>
      </c>
      <c r="N7006" s="25" t="str">
        <f aca="false">IF(M7006=1,SUM($M$7003:M7006),"")</f>
        <v/>
      </c>
      <c r="O7006" s="25" t="n">
        <v>4</v>
      </c>
    </row>
    <row r="7007" customFormat="false" ht="18" hidden="false" customHeight="true" outlineLevel="0" collapsed="false">
      <c r="B7007" s="43" t="s">
        <v>158</v>
      </c>
      <c r="C7007" s="44" t="n">
        <f aca="false">SUM(K7003:K7006)</f>
        <v>0</v>
      </c>
      <c r="D7007" s="45" t="str">
        <f aca="false">IF(N(C7007)=0,"",E7007/C7007-1)</f>
        <v/>
      </c>
      <c r="E7007" s="44" t="n">
        <f aca="false">SUM(L7003:L7006)</f>
        <v>0</v>
      </c>
      <c r="F7007" s="44" t="n">
        <f aca="false">E7007-C7007</f>
        <v>0</v>
      </c>
    </row>
    <row r="7008" customFormat="false" ht="15" hidden="false" customHeight="false" outlineLevel="0" collapsed="false">
      <c r="B7008" s="46" t="str">
        <f aca="false">IF(N(Nb_Mensualites)=0,"","Soit "&amp;FIXED(E7007/Nb_Mensualites,2)&amp;" € HT par échéance ("&amp;Nb_Mensualites&amp;" échéances), "&amp;FIXED(E7007/Nb_Mensualites*(1+Taux_TVA),2)&amp;" € TTC.")</f>
        <v>Soit 0.00 € HT par échéance (12 échéances), 0.00 € TTC.</v>
      </c>
      <c r="C7008" s="46"/>
      <c r="D7008" s="46"/>
      <c r="E7008" s="46"/>
      <c r="F7008" s="46"/>
    </row>
    <row r="7009" customFormat="false" ht="7.5" hidden="false" customHeight="true" outlineLevel="0" collapsed="false">
      <c r="B7009" s="10"/>
      <c r="C7009" s="10"/>
      <c r="D7009" s="10"/>
      <c r="E7009" s="10"/>
      <c r="F7009" s="10"/>
    </row>
    <row r="7010" customFormat="false" ht="36.75" hidden="false" customHeight="true" outlineLevel="0" collapsed="false">
      <c r="B7010" s="37" t="str">
        <f aca="false">SUBSTITUTE(SUBSTITUTE(SUBSTITUTE(SUBSTITUTE(SUBSTITUTE(Txt_P5,"{cabinet}",Cab_Nom),"{societe}",IF($K$6976=0,"",INDEX(Clients!$E$2:$E$501,$K$6976)&amp;"")),"{date_effet}",$K$6978),"{hausse}",$K$6979),"{civilite}",$K$6977)</f>
        <v>Les autres conditions de votre lettre de mission demeurent inchangées. Les nouveaux montants seront appliqués automatiquement sur vos prochaines factures et échéances de prélèvement.</v>
      </c>
      <c r="C7010" s="37"/>
      <c r="D7010" s="37"/>
      <c r="E7010" s="37"/>
      <c r="F7010" s="37"/>
    </row>
    <row r="7011" customFormat="false" ht="36.75" hidden="false" customHeight="true" outlineLevel="0" collapsed="false">
      <c r="B7011" s="37" t="str">
        <f aca="false">SUBSTITUTE(SUBSTITUTE(SUBSTITUTE(SUBSTITUTE(SUBSTITUTE(Txt_P6,"{cabinet}",Cab_Nom),"{societe}",IF($K$6976=0,"",INDEX(Clients!$E$2:$E$501,$K$6976)&amp;"")),"{date_effet}",$K$6978),"{hausse}",$K$6979),"{civilite}",$K$6977)</f>
        <v>Votre interlocuteur habituel reste à votre entière disposition pour répondre à vos questions et faire le point sur l'évolution de vos besoins.</v>
      </c>
      <c r="C7011" s="37"/>
      <c r="D7011" s="37"/>
      <c r="E7011" s="37"/>
      <c r="F7011" s="37"/>
    </row>
    <row r="7012" customFormat="false" ht="24" hidden="false" customHeight="true" outlineLevel="0" collapsed="false">
      <c r="B7012" s="37" t="str">
        <f aca="false">SUBSTITUTE(SUBSTITUTE(SUBSTITUTE(SUBSTITUTE(SUBSTITUTE(Txt_Politesse,"{cabinet}",Cab_Nom),"{societe}",IF($K$6976=0,"",INDEX(Clients!$E$2:$E$501,$K$6976)&amp;"")),"{date_effet}",$K$6978),"{hausse}",$K$6979),"{civilite}",$K$6977)</f>
        <v>Nous vous prions d'agréer, Madame, Monsieur, l'expression de nos salutations distinguées.</v>
      </c>
      <c r="C7012" s="37"/>
      <c r="D7012" s="37"/>
      <c r="E7012" s="37"/>
      <c r="F7012" s="37"/>
    </row>
    <row r="7013" customFormat="false" ht="15" hidden="false" customHeight="false" outlineLevel="0" collapsed="false">
      <c r="B7013" s="10"/>
      <c r="C7013" s="10"/>
      <c r="D7013" s="10"/>
      <c r="E7013" s="10"/>
      <c r="F7013" s="10"/>
    </row>
    <row r="7014" customFormat="false" ht="15" hidden="false" customHeight="false" outlineLevel="0" collapsed="false">
      <c r="B7014" s="10"/>
      <c r="C7014" s="10"/>
      <c r="D7014" s="34" t="str">
        <f aca="false">Signataire</f>
        <v>Prénom NOM</v>
      </c>
      <c r="E7014" s="34"/>
      <c r="F7014" s="34"/>
    </row>
    <row r="7015" customFormat="false" ht="15" hidden="false" customHeight="false" outlineLevel="0" collapsed="false">
      <c r="B7015" s="10"/>
      <c r="C7015" s="10"/>
      <c r="D7015" s="47" t="str">
        <f aca="false">Signataire_Titre</f>
        <v>Expert-comptable associé</v>
      </c>
      <c r="E7015" s="47"/>
      <c r="F7015" s="47"/>
    </row>
    <row r="7016" customFormat="false" ht="15.75" hidden="false" customHeight="true" outlineLevel="0" collapsed="false">
      <c r="B7016" s="10"/>
      <c r="C7016" s="10"/>
      <c r="D7016" s="10"/>
      <c r="E7016" s="10"/>
      <c r="F7016" s="10"/>
    </row>
    <row r="7017" customFormat="false" ht="15.75" hidden="false" customHeight="true" outlineLevel="0" collapsed="false">
      <c r="B7017" s="10"/>
      <c r="C7017" s="10"/>
      <c r="D7017" s="10"/>
      <c r="E7017" s="10"/>
      <c r="F7017" s="10"/>
    </row>
    <row r="7018" customFormat="false" ht="15.75" hidden="false" customHeight="true" outlineLevel="0" collapsed="false">
      <c r="B7018" s="10"/>
      <c r="C7018" s="10"/>
      <c r="D7018" s="10"/>
      <c r="E7018" s="10"/>
      <c r="F7018" s="10"/>
    </row>
    <row r="7019" customFormat="false" ht="15.75" hidden="false" customHeight="true" outlineLevel="0" collapsed="false">
      <c r="B7019" s="10"/>
      <c r="C7019" s="10"/>
      <c r="D7019" s="10"/>
      <c r="E7019" s="10"/>
      <c r="F7019" s="10"/>
    </row>
    <row r="7020" customFormat="false" ht="24" hidden="false" customHeight="true" outlineLevel="0" collapsed="false">
      <c r="B7020" s="48" t="str">
        <f aca="false">Cab_Mentions</f>
        <v>ALTHO EXPERTISE · SAS au capital de 10 000 € · RCS Pontoise 919 706 325 · TVA FR62919706325 · Société d'expertise comptable inscrite au Tableau de l'Ordre des experts-comptables de Paris Île-de-France</v>
      </c>
      <c r="C7020" s="48"/>
      <c r="D7020" s="48"/>
      <c r="E7020" s="48"/>
      <c r="F7020" s="48"/>
    </row>
    <row r="7021" customFormat="false" ht="15" hidden="false" customHeight="false" outlineLevel="0" collapsed="false">
      <c r="B7021" s="10"/>
      <c r="C7021" s="10"/>
      <c r="D7021" s="10"/>
      <c r="E7021" s="10"/>
      <c r="F7021" s="10"/>
      <c r="J7021" s="25" t="s">
        <v>142</v>
      </c>
      <c r="K7021" s="25" t="n">
        <f aca="false">IFERROR(MATCH(157,Clients!$Z$2:$Z$501,0),0)</f>
        <v>0</v>
      </c>
      <c r="L7021" s="25"/>
      <c r="M7021" s="25"/>
      <c r="N7021" s="25"/>
      <c r="O7021" s="25"/>
    </row>
    <row r="7022" customFormat="false" ht="21.75" hidden="false" customHeight="true" outlineLevel="0" collapsed="false">
      <c r="B7022" s="26" t="str">
        <f aca="false">Cab_Nom</f>
        <v>ALTHO EXPERTISE</v>
      </c>
      <c r="C7022" s="26"/>
      <c r="D7022" s="10"/>
      <c r="E7022" s="27" t="str">
        <f aca="false">IF($K$7021=0,"","Réf. client : "&amp;INDEX(Clients!$A$2:$A$501,$K$7021))</f>
        <v/>
      </c>
      <c r="F7022" s="27"/>
      <c r="J7022" s="25" t="s">
        <v>144</v>
      </c>
      <c r="K7022" s="25" t="str">
        <f aca="false">IF(IF($K$7021=0,"",INDEX(Clients!$B$2:$B$501,$K$7021)&amp;"")="Mme","Madame",IF(IF($K$7021=0,"",INDEX(Clients!$B$2:$B$501,$K$7021)&amp;"")="M.","Monsieur","Madame, Monsieur"))</f>
        <v>Madame, Monsieur</v>
      </c>
      <c r="L7022" s="25"/>
      <c r="M7022" s="25"/>
      <c r="N7022" s="25"/>
      <c r="O7022" s="25"/>
    </row>
    <row r="7023" customFormat="false" ht="15" hidden="false" customHeight="false" outlineLevel="0" collapsed="false">
      <c r="B7023" s="29" t="str">
        <f aca="false">Cab_Adr1</f>
        <v>141 rue Charles de Gaulle</v>
      </c>
      <c r="C7023" s="29"/>
      <c r="D7023" s="10"/>
      <c r="E7023" s="10"/>
      <c r="F7023" s="10"/>
      <c r="J7023" s="25" t="s">
        <v>145</v>
      </c>
      <c r="K7023" s="25" t="str">
        <f aca="false">DAY(Date_Effet)&amp;IF(DAY(Date_Effet)=1,"er","")&amp;" "&amp;INDEX(Liste_Mois,MONTH(Date_Effet))&amp;" "&amp;YEAR(Date_Effet)</f>
        <v>1er janvier 2027</v>
      </c>
      <c r="L7023" s="25"/>
      <c r="M7023" s="25"/>
      <c r="N7023" s="25"/>
      <c r="O7023" s="25"/>
    </row>
    <row r="7024" customFormat="false" ht="15" hidden="false" customHeight="false" outlineLevel="0" collapsed="false">
      <c r="B7024" s="29" t="str">
        <f aca="false">Cab_CPVille</f>
        <v>95130 LE PLESSIS-BOUCHARD</v>
      </c>
      <c r="C7024" s="29"/>
      <c r="D7024" s="10"/>
      <c r="E7024" s="10"/>
      <c r="F7024" s="10"/>
      <c r="J7024" s="25" t="s">
        <v>146</v>
      </c>
      <c r="K7024" s="25" t="str">
        <f aca="false">IF(SUM($K$7048:$K$7051)=0,"",FIXED((SUM($L$7048:$L$7051)/SUM($K$7048:$K$7051)-1)*100,1)&amp;" %")</f>
        <v/>
      </c>
      <c r="L7024" s="25"/>
      <c r="M7024" s="25"/>
      <c r="N7024" s="25"/>
      <c r="O7024" s="25"/>
    </row>
    <row r="7025" customFormat="false" ht="15" hidden="false" customHeight="false" outlineLevel="0" collapsed="false">
      <c r="B7025" s="29" t="str">
        <f aca="false">Cab_Contact</f>
        <v>Tél. 01 34 14 53 45  ·  altho@altho-experts.com  ·  altho-experts.com</v>
      </c>
      <c r="C7025" s="29"/>
      <c r="D7025" s="10"/>
      <c r="E7025" s="10"/>
      <c r="F7025" s="10"/>
      <c r="J7025" s="25"/>
      <c r="K7025" s="25"/>
      <c r="L7025" s="25"/>
      <c r="M7025" s="25"/>
      <c r="N7025" s="25"/>
      <c r="O7025" s="25"/>
    </row>
    <row r="7026" customFormat="false" ht="6" hidden="false" customHeight="true" outlineLevel="0" collapsed="false">
      <c r="B7026" s="32"/>
      <c r="C7026" s="32"/>
      <c r="D7026" s="32"/>
      <c r="E7026" s="32"/>
      <c r="F7026" s="32"/>
      <c r="J7026" s="25"/>
      <c r="K7026" s="25"/>
      <c r="L7026" s="25"/>
      <c r="M7026" s="25"/>
      <c r="N7026" s="25"/>
      <c r="O7026" s="25"/>
    </row>
    <row r="7027" customFormat="false" ht="13.5" hidden="false" customHeight="true" outlineLevel="0" collapsed="false">
      <c r="B7027" s="10"/>
      <c r="C7027" s="10"/>
      <c r="D7027" s="10"/>
      <c r="E7027" s="10"/>
      <c r="F7027" s="10"/>
      <c r="J7027" s="25"/>
      <c r="K7027" s="25"/>
      <c r="L7027" s="25"/>
      <c r="M7027" s="25"/>
      <c r="N7027" s="25"/>
      <c r="O7027" s="25"/>
    </row>
    <row r="7028" customFormat="false" ht="13.5" hidden="false" customHeight="true" outlineLevel="0" collapsed="false">
      <c r="B7028" s="10"/>
      <c r="C7028" s="10"/>
      <c r="D7028" s="10"/>
      <c r="E7028" s="10"/>
      <c r="F7028" s="10"/>
      <c r="J7028" s="25"/>
      <c r="K7028" s="25"/>
      <c r="L7028" s="25"/>
      <c r="M7028" s="25"/>
      <c r="N7028" s="25"/>
      <c r="O7028" s="25"/>
    </row>
    <row r="7029" customFormat="false" ht="13.5" hidden="false" customHeight="true" outlineLevel="0" collapsed="false">
      <c r="B7029" s="10"/>
      <c r="C7029" s="10"/>
      <c r="D7029" s="10"/>
      <c r="E7029" s="10"/>
      <c r="F7029" s="10"/>
      <c r="J7029" s="25"/>
      <c r="K7029" s="25"/>
      <c r="L7029" s="25"/>
      <c r="M7029" s="25"/>
      <c r="N7029" s="25"/>
      <c r="O7029" s="25"/>
    </row>
    <row r="7030" customFormat="false" ht="15" hidden="false" customHeight="true" outlineLevel="0" collapsed="false">
      <c r="B7030" s="10"/>
      <c r="C7030" s="10"/>
      <c r="D7030" s="34" t="str">
        <f aca="false">IF($K$7021=0,"",INDEX(Clients!$E$2:$E$501,$K$7021)&amp;"")</f>
        <v/>
      </c>
      <c r="E7030" s="34"/>
      <c r="F7030" s="34"/>
      <c r="J7030" s="25"/>
      <c r="K7030" s="25"/>
      <c r="L7030" s="25"/>
      <c r="M7030" s="25"/>
      <c r="N7030" s="25"/>
      <c r="O7030" s="25"/>
    </row>
    <row r="7031" customFormat="false" ht="15" hidden="false" customHeight="true" outlineLevel="0" collapsed="false">
      <c r="B7031" s="10"/>
      <c r="C7031" s="10"/>
      <c r="D7031" s="35" t="str">
        <f aca="false">IF(IF($K$7021=0,"",INDEX(Clients!$D$2:$D$501,$K$7021)&amp;"")="","","À l'attention de "&amp;TRIM(IF($K$7021=0,"",INDEX(Clients!$B$2:$B$501,$K$7021)&amp;"")&amp;" "&amp;IF($K$7021=0,"",INDEX(Clients!$C$2:$C$501,$K$7021)&amp;"")&amp;" "&amp;IF($K$7021=0,"",INDEX(Clients!$D$2:$D$501,$K$7021)&amp;"")))</f>
        <v/>
      </c>
      <c r="E7031" s="35"/>
      <c r="F7031" s="35"/>
      <c r="J7031" s="25"/>
      <c r="K7031" s="25"/>
      <c r="L7031" s="25"/>
      <c r="M7031" s="25"/>
      <c r="N7031" s="25"/>
      <c r="O7031" s="25"/>
    </row>
    <row r="7032" customFormat="false" ht="15" hidden="false" customHeight="true" outlineLevel="0" collapsed="false">
      <c r="B7032" s="10"/>
      <c r="C7032" s="10"/>
      <c r="D7032" s="35" t="str">
        <f aca="false">IF($K$7021=0,"",INDEX(Clients!$F$2:$F$501,$K$7021)&amp;"")</f>
        <v/>
      </c>
      <c r="E7032" s="35"/>
      <c r="F7032" s="35"/>
      <c r="J7032" s="25"/>
      <c r="K7032" s="25"/>
      <c r="L7032" s="25"/>
      <c r="M7032" s="25"/>
      <c r="N7032" s="25"/>
      <c r="O7032" s="25"/>
    </row>
    <row r="7033" customFormat="false" ht="15" hidden="false" customHeight="true" outlineLevel="0" collapsed="false">
      <c r="B7033" s="10"/>
      <c r="C7033" s="10"/>
      <c r="D7033" s="35" t="str">
        <f aca="false">IF(IF($K$7021=0,"",INDEX(Clients!$G$2:$G$501,$K$7021)&amp;"")="",TRIM(IF($K$7021=0,"",INDEX(Clients!$H$2:$H$501,$K$7021)&amp;"")&amp;" "&amp;UPPER(IF($K$7021=0,"",INDEX(Clients!$I$2:$I$501,$K$7021)&amp;""))),IF($K$7021=0,"",INDEX(Clients!$G$2:$G$501,$K$7021)&amp;""))</f>
        <v/>
      </c>
      <c r="E7033" s="35"/>
      <c r="F7033" s="35"/>
      <c r="J7033" s="25"/>
      <c r="K7033" s="25"/>
      <c r="L7033" s="25"/>
      <c r="M7033" s="25"/>
      <c r="N7033" s="25"/>
      <c r="O7033" s="25"/>
    </row>
    <row r="7034" customFormat="false" ht="15" hidden="false" customHeight="true" outlineLevel="0" collapsed="false">
      <c r="B7034" s="10"/>
      <c r="C7034" s="10"/>
      <c r="D7034" s="35" t="str">
        <f aca="false">IF(IF($K$7021=0,"",INDEX(Clients!$G$2:$G$501,$K$7021)&amp;"")="","",TRIM(IF($K$7021=0,"",INDEX(Clients!$H$2:$H$501,$K$7021)&amp;"")&amp;" "&amp;UPPER(IF($K$7021=0,"",INDEX(Clients!$I$2:$I$501,$K$7021)&amp;""))))</f>
        <v/>
      </c>
      <c r="E7034" s="35"/>
      <c r="F7034" s="35"/>
      <c r="J7034" s="25"/>
      <c r="K7034" s="25"/>
      <c r="L7034" s="25"/>
      <c r="M7034" s="25"/>
      <c r="N7034" s="25"/>
      <c r="O7034" s="25"/>
    </row>
    <row r="7035" customFormat="false" ht="25.5" hidden="false" customHeight="true" outlineLevel="0" collapsed="false">
      <c r="B7035" s="10"/>
      <c r="C7035" s="10"/>
      <c r="D7035" s="10"/>
      <c r="E7035" s="10"/>
      <c r="F7035" s="10"/>
      <c r="J7035" s="25"/>
      <c r="K7035" s="25"/>
      <c r="L7035" s="25"/>
      <c r="M7035" s="25"/>
      <c r="N7035" s="25"/>
      <c r="O7035" s="25"/>
    </row>
    <row r="7036" customFormat="false" ht="15" hidden="false" customHeight="false" outlineLevel="0" collapsed="false">
      <c r="B7036" s="10"/>
      <c r="C7036" s="10"/>
      <c r="D7036" s="36" t="str">
        <f aca="false">Cab_Ville&amp;", le "&amp;DAY(Date_Courrier)&amp;IF(DAY(Date_Courrier)=1,"er","")&amp;" "&amp;INDEX(Liste_Mois,MONTH(Date_Courrier))&amp;" "&amp;YEAR(Date_Courrier)</f>
        <v>Le Plessis-Bouchard, le 22 septembre 2026</v>
      </c>
      <c r="E7036" s="36"/>
      <c r="F7036" s="36"/>
      <c r="J7036" s="25"/>
      <c r="K7036" s="25"/>
      <c r="L7036" s="25"/>
      <c r="M7036" s="25"/>
      <c r="N7036" s="25"/>
      <c r="O7036" s="25"/>
    </row>
    <row r="7037" customFormat="false" ht="19.5" hidden="false" customHeight="true" outlineLevel="0" collapsed="false">
      <c r="B7037" s="10"/>
      <c r="C7037" s="10"/>
      <c r="D7037" s="10"/>
      <c r="E7037" s="10"/>
      <c r="F7037" s="10"/>
      <c r="J7037" s="25"/>
      <c r="K7037" s="25"/>
      <c r="L7037" s="25"/>
      <c r="M7037" s="25"/>
      <c r="N7037" s="25"/>
      <c r="O7037" s="25"/>
    </row>
    <row r="7038" customFormat="false" ht="15" hidden="false" customHeight="false" outlineLevel="0" collapsed="false">
      <c r="B7038" s="34" t="str">
        <f aca="false">SUBSTITUTE(SUBSTITUTE(SUBSTITUTE(SUBSTITUTE(SUBSTITUTE(Txt_Objet,"{cabinet}",Cab_Nom),"{societe}",IF($K$7021=0,"",INDEX(Clients!$E$2:$E$501,$K$7021)&amp;"")),"{date_effet}",$K$7023),"{hausse}",$K$7024),"{civilite}",$K$7022)</f>
        <v>Objet : révision de nos honoraires au 1er janvier 2027</v>
      </c>
      <c r="C7038" s="34"/>
      <c r="D7038" s="34"/>
      <c r="E7038" s="34"/>
      <c r="F7038" s="34"/>
      <c r="J7038" s="25"/>
      <c r="K7038" s="25"/>
      <c r="L7038" s="25"/>
      <c r="M7038" s="25"/>
      <c r="N7038" s="25"/>
      <c r="O7038" s="25"/>
    </row>
    <row r="7039" customFormat="false" ht="13.5" hidden="false" customHeight="true" outlineLevel="0" collapsed="false">
      <c r="B7039" s="10"/>
      <c r="C7039" s="10"/>
      <c r="D7039" s="10"/>
      <c r="E7039" s="10"/>
      <c r="F7039" s="10"/>
      <c r="J7039" s="25"/>
      <c r="K7039" s="25"/>
      <c r="L7039" s="25"/>
      <c r="M7039" s="25"/>
      <c r="N7039" s="25"/>
      <c r="O7039" s="25"/>
    </row>
    <row r="7040" customFormat="false" ht="15" hidden="false" customHeight="false" outlineLevel="0" collapsed="false">
      <c r="B7040" s="10" t="str">
        <f aca="false">$K$7022&amp;","</f>
        <v>Madame, Monsieur,</v>
      </c>
      <c r="C7040" s="10"/>
      <c r="D7040" s="10"/>
      <c r="E7040" s="10"/>
      <c r="F7040" s="10"/>
      <c r="J7040" s="25"/>
      <c r="K7040" s="25"/>
      <c r="L7040" s="25"/>
      <c r="M7040" s="25"/>
      <c r="N7040" s="25"/>
      <c r="O7040" s="25"/>
    </row>
    <row r="7041" customFormat="false" ht="6" hidden="false" customHeight="true" outlineLevel="0" collapsed="false">
      <c r="B7041" s="10"/>
      <c r="C7041" s="10"/>
      <c r="D7041" s="10"/>
      <c r="E7041" s="10"/>
      <c r="F7041" s="10"/>
      <c r="J7041" s="25"/>
      <c r="K7041" s="25"/>
      <c r="L7041" s="25"/>
      <c r="M7041" s="25"/>
      <c r="N7041" s="25"/>
      <c r="O7041" s="25"/>
    </row>
    <row r="7042" customFormat="false" ht="36.75" hidden="false" customHeight="true" outlineLevel="0" collapsed="false">
      <c r="B7042" s="37" t="str">
        <f aca="false">SUBSTITUTE(SUBSTITUTE(SUBSTITUTE(SUBSTITUTE(SUBSTITUTE(Txt_P1,"{cabinet}",Cab_Nom),"{societe}",IF($K$7021=0,"",INDEX(Clients!$E$2:$E$501,$K$7021)&amp;"")),"{date_effet}",$K$7023),"{hausse}",$K$7024),"{civilite}",$K$7022)</f>
        <v>Nous tenons tout d'abord à vous remercier pour la confiance que vous accordez à ALTHO EXPERTISE. Comme chaque année, et conformément aux dispositions de votre lettre de mission, nous procédons à la révision de nos honoraires.</v>
      </c>
      <c r="C7042" s="37"/>
      <c r="D7042" s="37"/>
      <c r="E7042" s="37"/>
      <c r="F7042" s="37"/>
      <c r="J7042" s="25"/>
      <c r="K7042" s="25"/>
      <c r="L7042" s="25"/>
      <c r="M7042" s="25"/>
      <c r="N7042" s="25"/>
      <c r="O7042" s="25"/>
    </row>
    <row r="7043" customFormat="false" ht="49.5" hidden="false" customHeight="true" outlineLevel="0" collapsed="false">
      <c r="B7043" s="37" t="str">
        <f aca="false">SUBSTITUTE(SUBSTITUTE(SUBSTITUTE(SUBSTITUTE(SUBSTITUTE(Txt_P2,"{cabinet}",Cab_Nom),"{societe}",IF($K$7021=0,"",INDEX(Clients!$E$2:$E$501,$K$7021)&amp;"")),"{date_effet}",$K$7023),"{hausse}",$K$7024),"{civilite}",$K$7022)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043" s="37"/>
      <c r="D7043" s="37"/>
      <c r="E7043" s="37"/>
      <c r="F7043" s="37"/>
      <c r="J7043" s="25"/>
      <c r="K7043" s="25"/>
      <c r="L7043" s="25"/>
      <c r="M7043" s="25"/>
      <c r="N7043" s="25"/>
      <c r="O7043" s="25"/>
    </row>
    <row r="7044" customFormat="false" ht="63" hidden="false" customHeight="true" outlineLevel="0" collapsed="false">
      <c r="B7044" s="37" t="str">
        <f aca="false">SUBSTITUTE(SUBSTITUTE(SUBSTITUTE(SUBSTITUTE(SUBSTITUTE(Txt_P3,"{cabinet}",Cab_Nom),"{societe}",IF($K$7021=0,"",INDEX(Clients!$E$2:$E$501,$K$7021)&amp;"")),"{date_effet}",$K$7023),"{hausse}",$K$7024),"{civilite}",$K$7022)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044" s="37"/>
      <c r="D7044" s="37"/>
      <c r="E7044" s="37"/>
      <c r="F7044" s="37"/>
      <c r="J7044" s="25"/>
      <c r="K7044" s="25"/>
      <c r="L7044" s="25"/>
      <c r="M7044" s="25"/>
      <c r="N7044" s="25"/>
      <c r="O7044" s="25"/>
    </row>
    <row r="7045" customFormat="false" ht="24" hidden="false" customHeight="true" outlineLevel="0" collapsed="false">
      <c r="B7045" s="37" t="str">
        <f aca="false">SUBSTITUTE(SUBSTITUTE(SUBSTITUTE(SUBSTITUTE(SUBSTITUTE(Txt_P4,"{cabinet}",Cab_Nom),"{societe}",IF($K$7021=0,"",INDEX(Clients!$E$2:$E$501,$K$7021)&amp;"")),"{date_effet}",$K$7023),"{hausse}",$K$7024),"{civilite}",$K$7022)</f>
        <v>À compter du 1er janvier 2027, vos honoraires annuels hors taxes évolueront ainsi (évolution globale : ) :</v>
      </c>
      <c r="C7045" s="37"/>
      <c r="D7045" s="37"/>
      <c r="E7045" s="37"/>
      <c r="F7045" s="37"/>
      <c r="J7045" s="25"/>
      <c r="K7045" s="25"/>
      <c r="L7045" s="25"/>
      <c r="M7045" s="25"/>
      <c r="N7045" s="25"/>
      <c r="O7045" s="25"/>
    </row>
    <row r="7046" customFormat="false" ht="3.75" hidden="false" customHeight="true" outlineLevel="0" collapsed="false">
      <c r="B7046" s="10"/>
      <c r="C7046" s="10"/>
      <c r="D7046" s="10"/>
      <c r="E7046" s="10"/>
      <c r="F7046" s="10"/>
      <c r="J7046" s="25"/>
      <c r="K7046" s="25"/>
      <c r="L7046" s="25"/>
      <c r="M7046" s="25"/>
      <c r="N7046" s="25"/>
      <c r="O7046" s="25"/>
    </row>
    <row r="7047" customFormat="false" ht="18" hidden="false" customHeight="true" outlineLevel="0" collapsed="false">
      <c r="B7047" s="38" t="s">
        <v>148</v>
      </c>
      <c r="C7047" s="39" t="s">
        <v>149</v>
      </c>
      <c r="D7047" s="39" t="s">
        <v>150</v>
      </c>
      <c r="E7047" s="39" t="s">
        <v>151</v>
      </c>
      <c r="F7047" s="39" t="s">
        <v>109</v>
      </c>
      <c r="J7047" s="25" t="s">
        <v>152</v>
      </c>
      <c r="K7047" s="25" t="s">
        <v>153</v>
      </c>
      <c r="L7047" s="25" t="s">
        <v>154</v>
      </c>
      <c r="M7047" s="25" t="s">
        <v>155</v>
      </c>
      <c r="N7047" s="25" t="s">
        <v>156</v>
      </c>
      <c r="O7047" s="25" t="s">
        <v>157</v>
      </c>
    </row>
    <row r="7048" customFormat="false" ht="16.5" hidden="false" customHeight="true" outlineLevel="0" collapsed="false">
      <c r="B7048" s="40" t="str">
        <f aca="false">IFERROR(INDEX($J$7048:$J$7051,MATCH($O7048,$N$7048:$N$7051,0)),"")</f>
        <v/>
      </c>
      <c r="C7048" s="41" t="str">
        <f aca="false">IFERROR(INDEX($K$7048:$K$7051,MATCH($O7048,$N$7048:$N$7051,0)),"")</f>
        <v/>
      </c>
      <c r="D7048" s="42" t="str">
        <f aca="false">IF(OR(E7048="",N(C7048)=0),"",E7048/C7048-1)</f>
        <v/>
      </c>
      <c r="E7048" s="41" t="str">
        <f aca="false">IFERROR(INDEX($L$7048:$L$7051,MATCH($O7048,$N$7048:$N$7051,0)),"")</f>
        <v/>
      </c>
      <c r="F7048" s="41" t="str">
        <f aca="false">IF(E7048="","",E7048-C7048)</f>
        <v/>
      </c>
      <c r="J7048" s="25" t="str">
        <f aca="false">Lib_Compta</f>
        <v>Mission comptable (tenue, révision, bilan, liasse fiscale)</v>
      </c>
      <c r="K7048" s="25" t="n">
        <f aca="false">IF($K$7021=0,0,N(INDEX(Clients!$K$2:$K$501,$K$7021)))</f>
        <v>0</v>
      </c>
      <c r="L7048" s="25" t="n">
        <f aca="false">IF($K$7021=0,0,N(INDEX(Clients!$P$2:$P$501,$K$7021)))</f>
        <v>0</v>
      </c>
      <c r="M7048" s="25" t="n">
        <f aca="false">IF(OR(K7048&lt;&gt;0,L7048&lt;&gt;0),1,0)</f>
        <v>0</v>
      </c>
      <c r="N7048" s="25" t="str">
        <f aca="false">IF(M7048=1,SUM($M$7048:M7048),"")</f>
        <v/>
      </c>
      <c r="O7048" s="25" t="n">
        <v>1</v>
      </c>
    </row>
    <row r="7049" customFormat="false" ht="16.5" hidden="false" customHeight="true" outlineLevel="0" collapsed="false">
      <c r="B7049" s="40" t="str">
        <f aca="false">IFERROR(INDEX($J$7048:$J$7051,MATCH($O7049,$N$7048:$N$7051,0)),"")</f>
        <v/>
      </c>
      <c r="C7049" s="41" t="str">
        <f aca="false">IFERROR(INDEX($K$7048:$K$7051,MATCH($O7049,$N$7048:$N$7051,0)),"")</f>
        <v/>
      </c>
      <c r="D7049" s="42" t="str">
        <f aca="false">IF(OR(E7049="",N(C7049)=0),"",E7049/C7049-1)</f>
        <v/>
      </c>
      <c r="E7049" s="41" t="str">
        <f aca="false">IFERROR(INDEX($L$7048:$L$7051,MATCH($O7049,$N$7048:$N$7051,0)),"")</f>
        <v/>
      </c>
      <c r="F7049" s="41" t="str">
        <f aca="false">IF(E7049="","",E7049-C7049)</f>
        <v/>
      </c>
      <c r="J7049" s="25" t="str">
        <f aca="false">Lib_Paye</f>
        <v>Mission sociale (bulletins de paie, DSN, déclarations sociales)</v>
      </c>
      <c r="K7049" s="25" t="n">
        <f aca="false">IF($K$7021=0,0,N(INDEX(Clients!$L$2:$L$501,$K$7021)))</f>
        <v>0</v>
      </c>
      <c r="L7049" s="25" t="n">
        <f aca="false">IF($K$7021=0,0,N(INDEX(Clients!$Q$2:$Q$501,$K$7021)))</f>
        <v>0</v>
      </c>
      <c r="M7049" s="25" t="n">
        <f aca="false">IF(OR(K7049&lt;&gt;0,L7049&lt;&gt;0),1,0)</f>
        <v>0</v>
      </c>
      <c r="N7049" s="25" t="str">
        <f aca="false">IF(M7049=1,SUM($M$7048:M7049),"")</f>
        <v/>
      </c>
      <c r="O7049" s="25" t="n">
        <v>2</v>
      </c>
    </row>
    <row r="7050" customFormat="false" ht="16.5" hidden="false" customHeight="true" outlineLevel="0" collapsed="false">
      <c r="B7050" s="40" t="str">
        <f aca="false">IFERROR(INDEX($J$7048:$J$7051,MATCH($O7050,$N$7048:$N$7051,0)),"")</f>
        <v/>
      </c>
      <c r="C7050" s="41" t="str">
        <f aca="false">IFERROR(INDEX($K$7048:$K$7051,MATCH($O7050,$N$7048:$N$7051,0)),"")</f>
        <v/>
      </c>
      <c r="D7050" s="42" t="str">
        <f aca="false">IF(OR(E7050="",N(C7050)=0),"",E7050/C7050-1)</f>
        <v/>
      </c>
      <c r="E7050" s="41" t="str">
        <f aca="false">IFERROR(INDEX($L$7048:$L$7051,MATCH($O7050,$N$7048:$N$7051,0)),"")</f>
        <v/>
      </c>
      <c r="F7050" s="41" t="str">
        <f aca="false">IF(E7050="","",E7050-C7050)</f>
        <v/>
      </c>
      <c r="J7050" s="25" t="str">
        <f aca="false">Lib_Jur</f>
        <v>Mission juridique (approbation des comptes, secrétariat juridique)</v>
      </c>
      <c r="K7050" s="25" t="n">
        <f aca="false">IF($K$7021=0,0,N(INDEX(Clients!$M$2:$M$501,$K$7021)))</f>
        <v>0</v>
      </c>
      <c r="L7050" s="25" t="n">
        <f aca="false">IF($K$7021=0,0,N(INDEX(Clients!$R$2:$R$501,$K$7021)))</f>
        <v>0</v>
      </c>
      <c r="M7050" s="25" t="n">
        <f aca="false">IF(OR(K7050&lt;&gt;0,L7050&lt;&gt;0),1,0)</f>
        <v>0</v>
      </c>
      <c r="N7050" s="25" t="str">
        <f aca="false">IF(M7050=1,SUM($M$7048:M7050),"")</f>
        <v/>
      </c>
      <c r="O7050" s="25" t="n">
        <v>3</v>
      </c>
    </row>
    <row r="7051" customFormat="false" ht="16.5" hidden="false" customHeight="true" outlineLevel="0" collapsed="false">
      <c r="B7051" s="40" t="str">
        <f aca="false">IFERROR(INDEX($J$7048:$J$7051,MATCH($O7051,$N$7048:$N$7051,0)),"")</f>
        <v/>
      </c>
      <c r="C7051" s="41" t="str">
        <f aca="false">IFERROR(INDEX($K$7048:$K$7051,MATCH($O7051,$N$7048:$N$7051,0)),"")</f>
        <v/>
      </c>
      <c r="D7051" s="42" t="str">
        <f aca="false">IF(OR(E7051="",N(C7051)=0),"",E7051/C7051-1)</f>
        <v/>
      </c>
      <c r="E7051" s="41" t="str">
        <f aca="false">IFERROR(INDEX($L$7048:$L$7051,MATCH($O7051,$N$7048:$N$7051,0)),"")</f>
        <v/>
      </c>
      <c r="F7051" s="41" t="str">
        <f aca="false">IF(E7051="","",E7051-C7051)</f>
        <v/>
      </c>
      <c r="J7051" s="25" t="str">
        <f aca="false">Lib_PA</f>
        <v>Plateforme agréée – facturation électronique</v>
      </c>
      <c r="K7051" s="25" t="n">
        <f aca="false">IF($K$7021=0,0,N(INDEX(Clients!$N$2:$N$501,$K$7021)))</f>
        <v>0</v>
      </c>
      <c r="L7051" s="25" t="n">
        <f aca="false">IF($K$7021=0,0,N(INDEX(Clients!$S$2:$S$501,$K$7021)))</f>
        <v>0</v>
      </c>
      <c r="M7051" s="25" t="n">
        <f aca="false">IF(OR(K7051&lt;&gt;0,L7051&lt;&gt;0),1,0)</f>
        <v>0</v>
      </c>
      <c r="N7051" s="25" t="str">
        <f aca="false">IF(M7051=1,SUM($M$7048:M7051),"")</f>
        <v/>
      </c>
      <c r="O7051" s="25" t="n">
        <v>4</v>
      </c>
    </row>
    <row r="7052" customFormat="false" ht="18" hidden="false" customHeight="true" outlineLevel="0" collapsed="false">
      <c r="B7052" s="43" t="s">
        <v>158</v>
      </c>
      <c r="C7052" s="44" t="n">
        <f aca="false">SUM(K7048:K7051)</f>
        <v>0</v>
      </c>
      <c r="D7052" s="45" t="str">
        <f aca="false">IF(N(C7052)=0,"",E7052/C7052-1)</f>
        <v/>
      </c>
      <c r="E7052" s="44" t="n">
        <f aca="false">SUM(L7048:L7051)</f>
        <v>0</v>
      </c>
      <c r="F7052" s="44" t="n">
        <f aca="false">E7052-C7052</f>
        <v>0</v>
      </c>
    </row>
    <row r="7053" customFormat="false" ht="15" hidden="false" customHeight="false" outlineLevel="0" collapsed="false">
      <c r="B7053" s="46" t="str">
        <f aca="false">IF(N(Nb_Mensualites)=0,"","Soit "&amp;FIXED(E7052/Nb_Mensualites,2)&amp;" € HT par échéance ("&amp;Nb_Mensualites&amp;" échéances), "&amp;FIXED(E7052/Nb_Mensualites*(1+Taux_TVA),2)&amp;" € TTC.")</f>
        <v>Soit 0.00 € HT par échéance (12 échéances), 0.00 € TTC.</v>
      </c>
      <c r="C7053" s="46"/>
      <c r="D7053" s="46"/>
      <c r="E7053" s="46"/>
      <c r="F7053" s="46"/>
    </row>
    <row r="7054" customFormat="false" ht="7.5" hidden="false" customHeight="true" outlineLevel="0" collapsed="false">
      <c r="B7054" s="10"/>
      <c r="C7054" s="10"/>
      <c r="D7054" s="10"/>
      <c r="E7054" s="10"/>
      <c r="F7054" s="10"/>
    </row>
    <row r="7055" customFormat="false" ht="36.75" hidden="false" customHeight="true" outlineLevel="0" collapsed="false">
      <c r="B7055" s="37" t="str">
        <f aca="false">SUBSTITUTE(SUBSTITUTE(SUBSTITUTE(SUBSTITUTE(SUBSTITUTE(Txt_P5,"{cabinet}",Cab_Nom),"{societe}",IF($K$7021=0,"",INDEX(Clients!$E$2:$E$501,$K$7021)&amp;"")),"{date_effet}",$K$7023),"{hausse}",$K$7024),"{civilite}",$K$7022)</f>
        <v>Les autres conditions de votre lettre de mission demeurent inchangées. Les nouveaux montants seront appliqués automatiquement sur vos prochaines factures et échéances de prélèvement.</v>
      </c>
      <c r="C7055" s="37"/>
      <c r="D7055" s="37"/>
      <c r="E7055" s="37"/>
      <c r="F7055" s="37"/>
    </row>
    <row r="7056" customFormat="false" ht="36.75" hidden="false" customHeight="true" outlineLevel="0" collapsed="false">
      <c r="B7056" s="37" t="str">
        <f aca="false">SUBSTITUTE(SUBSTITUTE(SUBSTITUTE(SUBSTITUTE(SUBSTITUTE(Txt_P6,"{cabinet}",Cab_Nom),"{societe}",IF($K$7021=0,"",INDEX(Clients!$E$2:$E$501,$K$7021)&amp;"")),"{date_effet}",$K$7023),"{hausse}",$K$7024),"{civilite}",$K$7022)</f>
        <v>Votre interlocuteur habituel reste à votre entière disposition pour répondre à vos questions et faire le point sur l'évolution de vos besoins.</v>
      </c>
      <c r="C7056" s="37"/>
      <c r="D7056" s="37"/>
      <c r="E7056" s="37"/>
      <c r="F7056" s="37"/>
    </row>
    <row r="7057" customFormat="false" ht="24" hidden="false" customHeight="true" outlineLevel="0" collapsed="false">
      <c r="B7057" s="37" t="str">
        <f aca="false">SUBSTITUTE(SUBSTITUTE(SUBSTITUTE(SUBSTITUTE(SUBSTITUTE(Txt_Politesse,"{cabinet}",Cab_Nom),"{societe}",IF($K$7021=0,"",INDEX(Clients!$E$2:$E$501,$K$7021)&amp;"")),"{date_effet}",$K$7023),"{hausse}",$K$7024),"{civilite}",$K$7022)</f>
        <v>Nous vous prions d'agréer, Madame, Monsieur, l'expression de nos salutations distinguées.</v>
      </c>
      <c r="C7057" s="37"/>
      <c r="D7057" s="37"/>
      <c r="E7057" s="37"/>
      <c r="F7057" s="37"/>
    </row>
    <row r="7058" customFormat="false" ht="15" hidden="false" customHeight="false" outlineLevel="0" collapsed="false">
      <c r="B7058" s="10"/>
      <c r="C7058" s="10"/>
      <c r="D7058" s="10"/>
      <c r="E7058" s="10"/>
      <c r="F7058" s="10"/>
    </row>
    <row r="7059" customFormat="false" ht="15" hidden="false" customHeight="false" outlineLevel="0" collapsed="false">
      <c r="B7059" s="10"/>
      <c r="C7059" s="10"/>
      <c r="D7059" s="34" t="str">
        <f aca="false">Signataire</f>
        <v>Prénom NOM</v>
      </c>
      <c r="E7059" s="34"/>
      <c r="F7059" s="34"/>
    </row>
    <row r="7060" customFormat="false" ht="15" hidden="false" customHeight="false" outlineLevel="0" collapsed="false">
      <c r="B7060" s="10"/>
      <c r="C7060" s="10"/>
      <c r="D7060" s="47" t="str">
        <f aca="false">Signataire_Titre</f>
        <v>Expert-comptable associé</v>
      </c>
      <c r="E7060" s="47"/>
      <c r="F7060" s="47"/>
    </row>
    <row r="7061" customFormat="false" ht="15.75" hidden="false" customHeight="true" outlineLevel="0" collapsed="false">
      <c r="B7061" s="10"/>
      <c r="C7061" s="10"/>
      <c r="D7061" s="10"/>
      <c r="E7061" s="10"/>
      <c r="F7061" s="10"/>
    </row>
    <row r="7062" customFormat="false" ht="15.75" hidden="false" customHeight="true" outlineLevel="0" collapsed="false">
      <c r="B7062" s="10"/>
      <c r="C7062" s="10"/>
      <c r="D7062" s="10"/>
      <c r="E7062" s="10"/>
      <c r="F7062" s="10"/>
    </row>
    <row r="7063" customFormat="false" ht="15.75" hidden="false" customHeight="true" outlineLevel="0" collapsed="false">
      <c r="B7063" s="10"/>
      <c r="C7063" s="10"/>
      <c r="D7063" s="10"/>
      <c r="E7063" s="10"/>
      <c r="F7063" s="10"/>
    </row>
    <row r="7064" customFormat="false" ht="15.75" hidden="false" customHeight="true" outlineLevel="0" collapsed="false">
      <c r="B7064" s="10"/>
      <c r="C7064" s="10"/>
      <c r="D7064" s="10"/>
      <c r="E7064" s="10"/>
      <c r="F7064" s="10"/>
    </row>
    <row r="7065" customFormat="false" ht="24" hidden="false" customHeight="true" outlineLevel="0" collapsed="false">
      <c r="B7065" s="48" t="str">
        <f aca="false">Cab_Mentions</f>
        <v>ALTHO EXPERTISE · SAS au capital de 10 000 € · RCS Pontoise 919 706 325 · TVA FR62919706325 · Société d'expertise comptable inscrite au Tableau de l'Ordre des experts-comptables de Paris Île-de-France</v>
      </c>
      <c r="C7065" s="48"/>
      <c r="D7065" s="48"/>
      <c r="E7065" s="48"/>
      <c r="F7065" s="48"/>
    </row>
    <row r="7066" customFormat="false" ht="15" hidden="false" customHeight="false" outlineLevel="0" collapsed="false">
      <c r="B7066" s="10"/>
      <c r="C7066" s="10"/>
      <c r="D7066" s="10"/>
      <c r="E7066" s="10"/>
      <c r="F7066" s="10"/>
      <c r="J7066" s="25" t="s">
        <v>142</v>
      </c>
      <c r="K7066" s="25" t="n">
        <f aca="false">IFERROR(MATCH(158,Clients!$Z$2:$Z$501,0),0)</f>
        <v>0</v>
      </c>
      <c r="L7066" s="25"/>
      <c r="M7066" s="25"/>
      <c r="N7066" s="25"/>
      <c r="O7066" s="25"/>
    </row>
    <row r="7067" customFormat="false" ht="21.75" hidden="false" customHeight="true" outlineLevel="0" collapsed="false">
      <c r="B7067" s="26" t="str">
        <f aca="false">Cab_Nom</f>
        <v>ALTHO EXPERTISE</v>
      </c>
      <c r="C7067" s="26"/>
      <c r="D7067" s="10"/>
      <c r="E7067" s="27" t="str">
        <f aca="false">IF($K$7066=0,"","Réf. client : "&amp;INDEX(Clients!$A$2:$A$501,$K$7066))</f>
        <v/>
      </c>
      <c r="F7067" s="27"/>
      <c r="J7067" s="25" t="s">
        <v>144</v>
      </c>
      <c r="K7067" s="25" t="str">
        <f aca="false">IF(IF($K$7066=0,"",INDEX(Clients!$B$2:$B$501,$K$7066)&amp;"")="Mme","Madame",IF(IF($K$7066=0,"",INDEX(Clients!$B$2:$B$501,$K$7066)&amp;"")="M.","Monsieur","Madame, Monsieur"))</f>
        <v>Madame, Monsieur</v>
      </c>
      <c r="L7067" s="25"/>
      <c r="M7067" s="25"/>
      <c r="N7067" s="25"/>
      <c r="O7067" s="25"/>
    </row>
    <row r="7068" customFormat="false" ht="15" hidden="false" customHeight="false" outlineLevel="0" collapsed="false">
      <c r="B7068" s="29" t="str">
        <f aca="false">Cab_Adr1</f>
        <v>141 rue Charles de Gaulle</v>
      </c>
      <c r="C7068" s="29"/>
      <c r="D7068" s="10"/>
      <c r="E7068" s="10"/>
      <c r="F7068" s="10"/>
      <c r="J7068" s="25" t="s">
        <v>145</v>
      </c>
      <c r="K7068" s="25" t="str">
        <f aca="false">DAY(Date_Effet)&amp;IF(DAY(Date_Effet)=1,"er","")&amp;" "&amp;INDEX(Liste_Mois,MONTH(Date_Effet))&amp;" "&amp;YEAR(Date_Effet)</f>
        <v>1er janvier 2027</v>
      </c>
      <c r="L7068" s="25"/>
      <c r="M7068" s="25"/>
      <c r="N7068" s="25"/>
      <c r="O7068" s="25"/>
    </row>
    <row r="7069" customFormat="false" ht="15" hidden="false" customHeight="false" outlineLevel="0" collapsed="false">
      <c r="B7069" s="29" t="str">
        <f aca="false">Cab_CPVille</f>
        <v>95130 LE PLESSIS-BOUCHARD</v>
      </c>
      <c r="C7069" s="29"/>
      <c r="D7069" s="10"/>
      <c r="E7069" s="10"/>
      <c r="F7069" s="10"/>
      <c r="J7069" s="25" t="s">
        <v>146</v>
      </c>
      <c r="K7069" s="25" t="str">
        <f aca="false">IF(SUM($K$7093:$K$7096)=0,"",FIXED((SUM($L$7093:$L$7096)/SUM($K$7093:$K$7096)-1)*100,1)&amp;" %")</f>
        <v/>
      </c>
      <c r="L7069" s="25"/>
      <c r="M7069" s="25"/>
      <c r="N7069" s="25"/>
      <c r="O7069" s="25"/>
    </row>
    <row r="7070" customFormat="false" ht="15" hidden="false" customHeight="false" outlineLevel="0" collapsed="false">
      <c r="B7070" s="29" t="str">
        <f aca="false">Cab_Contact</f>
        <v>Tél. 01 34 14 53 45  ·  altho@altho-experts.com  ·  altho-experts.com</v>
      </c>
      <c r="C7070" s="29"/>
      <c r="D7070" s="10"/>
      <c r="E7070" s="10"/>
      <c r="F7070" s="10"/>
      <c r="J7070" s="25"/>
      <c r="K7070" s="25"/>
      <c r="L7070" s="25"/>
      <c r="M7070" s="25"/>
      <c r="N7070" s="25"/>
      <c r="O7070" s="25"/>
    </row>
    <row r="7071" customFormat="false" ht="6" hidden="false" customHeight="true" outlineLevel="0" collapsed="false">
      <c r="B7071" s="32"/>
      <c r="C7071" s="32"/>
      <c r="D7071" s="32"/>
      <c r="E7071" s="32"/>
      <c r="F7071" s="32"/>
      <c r="J7071" s="25"/>
      <c r="K7071" s="25"/>
      <c r="L7071" s="25"/>
      <c r="M7071" s="25"/>
      <c r="N7071" s="25"/>
      <c r="O7071" s="25"/>
    </row>
    <row r="7072" customFormat="false" ht="13.5" hidden="false" customHeight="true" outlineLevel="0" collapsed="false">
      <c r="B7072" s="10"/>
      <c r="C7072" s="10"/>
      <c r="D7072" s="10"/>
      <c r="E7072" s="10"/>
      <c r="F7072" s="10"/>
      <c r="J7072" s="25"/>
      <c r="K7072" s="25"/>
      <c r="L7072" s="25"/>
      <c r="M7072" s="25"/>
      <c r="N7072" s="25"/>
      <c r="O7072" s="25"/>
    </row>
    <row r="7073" customFormat="false" ht="13.5" hidden="false" customHeight="true" outlineLevel="0" collapsed="false">
      <c r="B7073" s="10"/>
      <c r="C7073" s="10"/>
      <c r="D7073" s="10"/>
      <c r="E7073" s="10"/>
      <c r="F7073" s="10"/>
      <c r="J7073" s="25"/>
      <c r="K7073" s="25"/>
      <c r="L7073" s="25"/>
      <c r="M7073" s="25"/>
      <c r="N7073" s="25"/>
      <c r="O7073" s="25"/>
    </row>
    <row r="7074" customFormat="false" ht="13.5" hidden="false" customHeight="true" outlineLevel="0" collapsed="false">
      <c r="B7074" s="10"/>
      <c r="C7074" s="10"/>
      <c r="D7074" s="10"/>
      <c r="E7074" s="10"/>
      <c r="F7074" s="10"/>
      <c r="J7074" s="25"/>
      <c r="K7074" s="25"/>
      <c r="L7074" s="25"/>
      <c r="M7074" s="25"/>
      <c r="N7074" s="25"/>
      <c r="O7074" s="25"/>
    </row>
    <row r="7075" customFormat="false" ht="15" hidden="false" customHeight="true" outlineLevel="0" collapsed="false">
      <c r="B7075" s="10"/>
      <c r="C7075" s="10"/>
      <c r="D7075" s="34" t="str">
        <f aca="false">IF($K$7066=0,"",INDEX(Clients!$E$2:$E$501,$K$7066)&amp;"")</f>
        <v/>
      </c>
      <c r="E7075" s="34"/>
      <c r="F7075" s="34"/>
      <c r="J7075" s="25"/>
      <c r="K7075" s="25"/>
      <c r="L7075" s="25"/>
      <c r="M7075" s="25"/>
      <c r="N7075" s="25"/>
      <c r="O7075" s="25"/>
    </row>
    <row r="7076" customFormat="false" ht="15" hidden="false" customHeight="true" outlineLevel="0" collapsed="false">
      <c r="B7076" s="10"/>
      <c r="C7076" s="10"/>
      <c r="D7076" s="35" t="str">
        <f aca="false">IF(IF($K$7066=0,"",INDEX(Clients!$D$2:$D$501,$K$7066)&amp;"")="","","À l'attention de "&amp;TRIM(IF($K$7066=0,"",INDEX(Clients!$B$2:$B$501,$K$7066)&amp;"")&amp;" "&amp;IF($K$7066=0,"",INDEX(Clients!$C$2:$C$501,$K$7066)&amp;"")&amp;" "&amp;IF($K$7066=0,"",INDEX(Clients!$D$2:$D$501,$K$7066)&amp;"")))</f>
        <v/>
      </c>
      <c r="E7076" s="35"/>
      <c r="F7076" s="35"/>
      <c r="J7076" s="25"/>
      <c r="K7076" s="25"/>
      <c r="L7076" s="25"/>
      <c r="M7076" s="25"/>
      <c r="N7076" s="25"/>
      <c r="O7076" s="25"/>
    </row>
    <row r="7077" customFormat="false" ht="15" hidden="false" customHeight="true" outlineLevel="0" collapsed="false">
      <c r="B7077" s="10"/>
      <c r="C7077" s="10"/>
      <c r="D7077" s="35" t="str">
        <f aca="false">IF($K$7066=0,"",INDEX(Clients!$F$2:$F$501,$K$7066)&amp;"")</f>
        <v/>
      </c>
      <c r="E7077" s="35"/>
      <c r="F7077" s="35"/>
      <c r="J7077" s="25"/>
      <c r="K7077" s="25"/>
      <c r="L7077" s="25"/>
      <c r="M7077" s="25"/>
      <c r="N7077" s="25"/>
      <c r="O7077" s="25"/>
    </row>
    <row r="7078" customFormat="false" ht="15" hidden="false" customHeight="true" outlineLevel="0" collapsed="false">
      <c r="B7078" s="10"/>
      <c r="C7078" s="10"/>
      <c r="D7078" s="35" t="str">
        <f aca="false">IF(IF($K$7066=0,"",INDEX(Clients!$G$2:$G$501,$K$7066)&amp;"")="",TRIM(IF($K$7066=0,"",INDEX(Clients!$H$2:$H$501,$K$7066)&amp;"")&amp;" "&amp;UPPER(IF($K$7066=0,"",INDEX(Clients!$I$2:$I$501,$K$7066)&amp;""))),IF($K$7066=0,"",INDEX(Clients!$G$2:$G$501,$K$7066)&amp;""))</f>
        <v/>
      </c>
      <c r="E7078" s="35"/>
      <c r="F7078" s="35"/>
      <c r="J7078" s="25"/>
      <c r="K7078" s="25"/>
      <c r="L7078" s="25"/>
      <c r="M7078" s="25"/>
      <c r="N7078" s="25"/>
      <c r="O7078" s="25"/>
    </row>
    <row r="7079" customFormat="false" ht="15" hidden="false" customHeight="true" outlineLevel="0" collapsed="false">
      <c r="B7079" s="10"/>
      <c r="C7079" s="10"/>
      <c r="D7079" s="35" t="str">
        <f aca="false">IF(IF($K$7066=0,"",INDEX(Clients!$G$2:$G$501,$K$7066)&amp;"")="","",TRIM(IF($K$7066=0,"",INDEX(Clients!$H$2:$H$501,$K$7066)&amp;"")&amp;" "&amp;UPPER(IF($K$7066=0,"",INDEX(Clients!$I$2:$I$501,$K$7066)&amp;""))))</f>
        <v/>
      </c>
      <c r="E7079" s="35"/>
      <c r="F7079" s="35"/>
      <c r="J7079" s="25"/>
      <c r="K7079" s="25"/>
      <c r="L7079" s="25"/>
      <c r="M7079" s="25"/>
      <c r="N7079" s="25"/>
      <c r="O7079" s="25"/>
    </row>
    <row r="7080" customFormat="false" ht="25.5" hidden="false" customHeight="true" outlineLevel="0" collapsed="false">
      <c r="B7080" s="10"/>
      <c r="C7080" s="10"/>
      <c r="D7080" s="10"/>
      <c r="E7080" s="10"/>
      <c r="F7080" s="10"/>
      <c r="J7080" s="25"/>
      <c r="K7080" s="25"/>
      <c r="L7080" s="25"/>
      <c r="M7080" s="25"/>
      <c r="N7080" s="25"/>
      <c r="O7080" s="25"/>
    </row>
    <row r="7081" customFormat="false" ht="15" hidden="false" customHeight="false" outlineLevel="0" collapsed="false">
      <c r="B7081" s="10"/>
      <c r="C7081" s="10"/>
      <c r="D7081" s="36" t="str">
        <f aca="false">Cab_Ville&amp;", le "&amp;DAY(Date_Courrier)&amp;IF(DAY(Date_Courrier)=1,"er","")&amp;" "&amp;INDEX(Liste_Mois,MONTH(Date_Courrier))&amp;" "&amp;YEAR(Date_Courrier)</f>
        <v>Le Plessis-Bouchard, le 22 septembre 2026</v>
      </c>
      <c r="E7081" s="36"/>
      <c r="F7081" s="36"/>
      <c r="J7081" s="25"/>
      <c r="K7081" s="25"/>
      <c r="L7081" s="25"/>
      <c r="M7081" s="25"/>
      <c r="N7081" s="25"/>
      <c r="O7081" s="25"/>
    </row>
    <row r="7082" customFormat="false" ht="19.5" hidden="false" customHeight="true" outlineLevel="0" collapsed="false">
      <c r="B7082" s="10"/>
      <c r="C7082" s="10"/>
      <c r="D7082" s="10"/>
      <c r="E7082" s="10"/>
      <c r="F7082" s="10"/>
      <c r="J7082" s="25"/>
      <c r="K7082" s="25"/>
      <c r="L7082" s="25"/>
      <c r="M7082" s="25"/>
      <c r="N7082" s="25"/>
      <c r="O7082" s="25"/>
    </row>
    <row r="7083" customFormat="false" ht="15" hidden="false" customHeight="false" outlineLevel="0" collapsed="false">
      <c r="B7083" s="34" t="str">
        <f aca="false">SUBSTITUTE(SUBSTITUTE(SUBSTITUTE(SUBSTITUTE(SUBSTITUTE(Txt_Objet,"{cabinet}",Cab_Nom),"{societe}",IF($K$7066=0,"",INDEX(Clients!$E$2:$E$501,$K$7066)&amp;"")),"{date_effet}",$K$7068),"{hausse}",$K$7069),"{civilite}",$K$7067)</f>
        <v>Objet : révision de nos honoraires au 1er janvier 2027</v>
      </c>
      <c r="C7083" s="34"/>
      <c r="D7083" s="34"/>
      <c r="E7083" s="34"/>
      <c r="F7083" s="34"/>
      <c r="J7083" s="25"/>
      <c r="K7083" s="25"/>
      <c r="L7083" s="25"/>
      <c r="M7083" s="25"/>
      <c r="N7083" s="25"/>
      <c r="O7083" s="25"/>
    </row>
    <row r="7084" customFormat="false" ht="13.5" hidden="false" customHeight="true" outlineLevel="0" collapsed="false">
      <c r="B7084" s="10"/>
      <c r="C7084" s="10"/>
      <c r="D7084" s="10"/>
      <c r="E7084" s="10"/>
      <c r="F7084" s="10"/>
      <c r="J7084" s="25"/>
      <c r="K7084" s="25"/>
      <c r="L7084" s="25"/>
      <c r="M7084" s="25"/>
      <c r="N7084" s="25"/>
      <c r="O7084" s="25"/>
    </row>
    <row r="7085" customFormat="false" ht="15" hidden="false" customHeight="false" outlineLevel="0" collapsed="false">
      <c r="B7085" s="10" t="str">
        <f aca="false">$K$7067&amp;","</f>
        <v>Madame, Monsieur,</v>
      </c>
      <c r="C7085" s="10"/>
      <c r="D7085" s="10"/>
      <c r="E7085" s="10"/>
      <c r="F7085" s="10"/>
      <c r="J7085" s="25"/>
      <c r="K7085" s="25"/>
      <c r="L7085" s="25"/>
      <c r="M7085" s="25"/>
      <c r="N7085" s="25"/>
      <c r="O7085" s="25"/>
    </row>
    <row r="7086" customFormat="false" ht="6" hidden="false" customHeight="true" outlineLevel="0" collapsed="false">
      <c r="B7086" s="10"/>
      <c r="C7086" s="10"/>
      <c r="D7086" s="10"/>
      <c r="E7086" s="10"/>
      <c r="F7086" s="10"/>
      <c r="J7086" s="25"/>
      <c r="K7086" s="25"/>
      <c r="L7086" s="25"/>
      <c r="M7086" s="25"/>
      <c r="N7086" s="25"/>
      <c r="O7086" s="25"/>
    </row>
    <row r="7087" customFormat="false" ht="36.75" hidden="false" customHeight="true" outlineLevel="0" collapsed="false">
      <c r="B7087" s="37" t="str">
        <f aca="false">SUBSTITUTE(SUBSTITUTE(SUBSTITUTE(SUBSTITUTE(SUBSTITUTE(Txt_P1,"{cabinet}",Cab_Nom),"{societe}",IF($K$7066=0,"",INDEX(Clients!$E$2:$E$501,$K$7066)&amp;"")),"{date_effet}",$K$7068),"{hausse}",$K$7069),"{civilite}",$K$7067)</f>
        <v>Nous tenons tout d'abord à vous remercier pour la confiance que vous accordez à ALTHO EXPERTISE. Comme chaque année, et conformément aux dispositions de votre lettre de mission, nous procédons à la révision de nos honoraires.</v>
      </c>
      <c r="C7087" s="37"/>
      <c r="D7087" s="37"/>
      <c r="E7087" s="37"/>
      <c r="F7087" s="37"/>
      <c r="J7087" s="25"/>
      <c r="K7087" s="25"/>
      <c r="L7087" s="25"/>
      <c r="M7087" s="25"/>
      <c r="N7087" s="25"/>
      <c r="O7087" s="25"/>
    </row>
    <row r="7088" customFormat="false" ht="49.5" hidden="false" customHeight="true" outlineLevel="0" collapsed="false">
      <c r="B7088" s="37" t="str">
        <f aca="false">SUBSTITUTE(SUBSTITUTE(SUBSTITUTE(SUBSTITUTE(SUBSTITUTE(Txt_P2,"{cabinet}",Cab_Nom),"{societe}",IF($K$7066=0,"",INDEX(Clients!$E$2:$E$501,$K$7066)&amp;"")),"{date_effet}",$K$7068),"{hausse}",$K$7069),"{civilite}",$K$7067)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088" s="37"/>
      <c r="D7088" s="37"/>
      <c r="E7088" s="37"/>
      <c r="F7088" s="37"/>
      <c r="J7088" s="25"/>
      <c r="K7088" s="25"/>
      <c r="L7088" s="25"/>
      <c r="M7088" s="25"/>
      <c r="N7088" s="25"/>
      <c r="O7088" s="25"/>
    </row>
    <row r="7089" customFormat="false" ht="63" hidden="false" customHeight="true" outlineLevel="0" collapsed="false">
      <c r="B7089" s="37" t="str">
        <f aca="false">SUBSTITUTE(SUBSTITUTE(SUBSTITUTE(SUBSTITUTE(SUBSTITUTE(Txt_P3,"{cabinet}",Cab_Nom),"{societe}",IF($K$7066=0,"",INDEX(Clients!$E$2:$E$501,$K$7066)&amp;"")),"{date_effet}",$K$7068),"{hausse}",$K$7069),"{civilite}",$K$7067)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089" s="37"/>
      <c r="D7089" s="37"/>
      <c r="E7089" s="37"/>
      <c r="F7089" s="37"/>
      <c r="J7089" s="25"/>
      <c r="K7089" s="25"/>
      <c r="L7089" s="25"/>
      <c r="M7089" s="25"/>
      <c r="N7089" s="25"/>
      <c r="O7089" s="25"/>
    </row>
    <row r="7090" customFormat="false" ht="24" hidden="false" customHeight="true" outlineLevel="0" collapsed="false">
      <c r="B7090" s="37" t="str">
        <f aca="false">SUBSTITUTE(SUBSTITUTE(SUBSTITUTE(SUBSTITUTE(SUBSTITUTE(Txt_P4,"{cabinet}",Cab_Nom),"{societe}",IF($K$7066=0,"",INDEX(Clients!$E$2:$E$501,$K$7066)&amp;"")),"{date_effet}",$K$7068),"{hausse}",$K$7069),"{civilite}",$K$7067)</f>
        <v>À compter du 1er janvier 2027, vos honoraires annuels hors taxes évolueront ainsi (évolution globale : ) :</v>
      </c>
      <c r="C7090" s="37"/>
      <c r="D7090" s="37"/>
      <c r="E7090" s="37"/>
      <c r="F7090" s="37"/>
      <c r="J7090" s="25"/>
      <c r="K7090" s="25"/>
      <c r="L7090" s="25"/>
      <c r="M7090" s="25"/>
      <c r="N7090" s="25"/>
      <c r="O7090" s="25"/>
    </row>
    <row r="7091" customFormat="false" ht="3.75" hidden="false" customHeight="true" outlineLevel="0" collapsed="false">
      <c r="B7091" s="10"/>
      <c r="C7091" s="10"/>
      <c r="D7091" s="10"/>
      <c r="E7091" s="10"/>
      <c r="F7091" s="10"/>
      <c r="J7091" s="25"/>
      <c r="K7091" s="25"/>
      <c r="L7091" s="25"/>
      <c r="M7091" s="25"/>
      <c r="N7091" s="25"/>
      <c r="O7091" s="25"/>
    </row>
    <row r="7092" customFormat="false" ht="18" hidden="false" customHeight="true" outlineLevel="0" collapsed="false">
      <c r="B7092" s="38" t="s">
        <v>148</v>
      </c>
      <c r="C7092" s="39" t="s">
        <v>149</v>
      </c>
      <c r="D7092" s="39" t="s">
        <v>150</v>
      </c>
      <c r="E7092" s="39" t="s">
        <v>151</v>
      </c>
      <c r="F7092" s="39" t="s">
        <v>109</v>
      </c>
      <c r="J7092" s="25" t="s">
        <v>152</v>
      </c>
      <c r="K7092" s="25" t="s">
        <v>153</v>
      </c>
      <c r="L7092" s="25" t="s">
        <v>154</v>
      </c>
      <c r="M7092" s="25" t="s">
        <v>155</v>
      </c>
      <c r="N7092" s="25" t="s">
        <v>156</v>
      </c>
      <c r="O7092" s="25" t="s">
        <v>157</v>
      </c>
    </row>
    <row r="7093" customFormat="false" ht="16.5" hidden="false" customHeight="true" outlineLevel="0" collapsed="false">
      <c r="B7093" s="40" t="str">
        <f aca="false">IFERROR(INDEX($J$7093:$J$7096,MATCH($O7093,$N$7093:$N$7096,0)),"")</f>
        <v/>
      </c>
      <c r="C7093" s="41" t="str">
        <f aca="false">IFERROR(INDEX($K$7093:$K$7096,MATCH($O7093,$N$7093:$N$7096,0)),"")</f>
        <v/>
      </c>
      <c r="D7093" s="42" t="str">
        <f aca="false">IF(OR(E7093="",N(C7093)=0),"",E7093/C7093-1)</f>
        <v/>
      </c>
      <c r="E7093" s="41" t="str">
        <f aca="false">IFERROR(INDEX($L$7093:$L$7096,MATCH($O7093,$N$7093:$N$7096,0)),"")</f>
        <v/>
      </c>
      <c r="F7093" s="41" t="str">
        <f aca="false">IF(E7093="","",E7093-C7093)</f>
        <v/>
      </c>
      <c r="J7093" s="25" t="str">
        <f aca="false">Lib_Compta</f>
        <v>Mission comptable (tenue, révision, bilan, liasse fiscale)</v>
      </c>
      <c r="K7093" s="25" t="n">
        <f aca="false">IF($K$7066=0,0,N(INDEX(Clients!$K$2:$K$501,$K$7066)))</f>
        <v>0</v>
      </c>
      <c r="L7093" s="25" t="n">
        <f aca="false">IF($K$7066=0,0,N(INDEX(Clients!$P$2:$P$501,$K$7066)))</f>
        <v>0</v>
      </c>
      <c r="M7093" s="25" t="n">
        <f aca="false">IF(OR(K7093&lt;&gt;0,L7093&lt;&gt;0),1,0)</f>
        <v>0</v>
      </c>
      <c r="N7093" s="25" t="str">
        <f aca="false">IF(M7093=1,SUM($M$7093:M7093),"")</f>
        <v/>
      </c>
      <c r="O7093" s="25" t="n">
        <v>1</v>
      </c>
    </row>
    <row r="7094" customFormat="false" ht="16.5" hidden="false" customHeight="true" outlineLevel="0" collapsed="false">
      <c r="B7094" s="40" t="str">
        <f aca="false">IFERROR(INDEX($J$7093:$J$7096,MATCH($O7094,$N$7093:$N$7096,0)),"")</f>
        <v/>
      </c>
      <c r="C7094" s="41" t="str">
        <f aca="false">IFERROR(INDEX($K$7093:$K$7096,MATCH($O7094,$N$7093:$N$7096,0)),"")</f>
        <v/>
      </c>
      <c r="D7094" s="42" t="str">
        <f aca="false">IF(OR(E7094="",N(C7094)=0),"",E7094/C7094-1)</f>
        <v/>
      </c>
      <c r="E7094" s="41" t="str">
        <f aca="false">IFERROR(INDEX($L$7093:$L$7096,MATCH($O7094,$N$7093:$N$7096,0)),"")</f>
        <v/>
      </c>
      <c r="F7094" s="41" t="str">
        <f aca="false">IF(E7094="","",E7094-C7094)</f>
        <v/>
      </c>
      <c r="J7094" s="25" t="str">
        <f aca="false">Lib_Paye</f>
        <v>Mission sociale (bulletins de paie, DSN, déclarations sociales)</v>
      </c>
      <c r="K7094" s="25" t="n">
        <f aca="false">IF($K$7066=0,0,N(INDEX(Clients!$L$2:$L$501,$K$7066)))</f>
        <v>0</v>
      </c>
      <c r="L7094" s="25" t="n">
        <f aca="false">IF($K$7066=0,0,N(INDEX(Clients!$Q$2:$Q$501,$K$7066)))</f>
        <v>0</v>
      </c>
      <c r="M7094" s="25" t="n">
        <f aca="false">IF(OR(K7094&lt;&gt;0,L7094&lt;&gt;0),1,0)</f>
        <v>0</v>
      </c>
      <c r="N7094" s="25" t="str">
        <f aca="false">IF(M7094=1,SUM($M$7093:M7094),"")</f>
        <v/>
      </c>
      <c r="O7094" s="25" t="n">
        <v>2</v>
      </c>
    </row>
    <row r="7095" customFormat="false" ht="16.5" hidden="false" customHeight="true" outlineLevel="0" collapsed="false">
      <c r="B7095" s="40" t="str">
        <f aca="false">IFERROR(INDEX($J$7093:$J$7096,MATCH($O7095,$N$7093:$N$7096,0)),"")</f>
        <v/>
      </c>
      <c r="C7095" s="41" t="str">
        <f aca="false">IFERROR(INDEX($K$7093:$K$7096,MATCH($O7095,$N$7093:$N$7096,0)),"")</f>
        <v/>
      </c>
      <c r="D7095" s="42" t="str">
        <f aca="false">IF(OR(E7095="",N(C7095)=0),"",E7095/C7095-1)</f>
        <v/>
      </c>
      <c r="E7095" s="41" t="str">
        <f aca="false">IFERROR(INDEX($L$7093:$L$7096,MATCH($O7095,$N$7093:$N$7096,0)),"")</f>
        <v/>
      </c>
      <c r="F7095" s="41" t="str">
        <f aca="false">IF(E7095="","",E7095-C7095)</f>
        <v/>
      </c>
      <c r="J7095" s="25" t="str">
        <f aca="false">Lib_Jur</f>
        <v>Mission juridique (approbation des comptes, secrétariat juridique)</v>
      </c>
      <c r="K7095" s="25" t="n">
        <f aca="false">IF($K$7066=0,0,N(INDEX(Clients!$M$2:$M$501,$K$7066)))</f>
        <v>0</v>
      </c>
      <c r="L7095" s="25" t="n">
        <f aca="false">IF($K$7066=0,0,N(INDEX(Clients!$R$2:$R$501,$K$7066)))</f>
        <v>0</v>
      </c>
      <c r="M7095" s="25" t="n">
        <f aca="false">IF(OR(K7095&lt;&gt;0,L7095&lt;&gt;0),1,0)</f>
        <v>0</v>
      </c>
      <c r="N7095" s="25" t="str">
        <f aca="false">IF(M7095=1,SUM($M$7093:M7095),"")</f>
        <v/>
      </c>
      <c r="O7095" s="25" t="n">
        <v>3</v>
      </c>
    </row>
    <row r="7096" customFormat="false" ht="16.5" hidden="false" customHeight="true" outlineLevel="0" collapsed="false">
      <c r="B7096" s="40" t="str">
        <f aca="false">IFERROR(INDEX($J$7093:$J$7096,MATCH($O7096,$N$7093:$N$7096,0)),"")</f>
        <v/>
      </c>
      <c r="C7096" s="41" t="str">
        <f aca="false">IFERROR(INDEX($K$7093:$K$7096,MATCH($O7096,$N$7093:$N$7096,0)),"")</f>
        <v/>
      </c>
      <c r="D7096" s="42" t="str">
        <f aca="false">IF(OR(E7096="",N(C7096)=0),"",E7096/C7096-1)</f>
        <v/>
      </c>
      <c r="E7096" s="41" t="str">
        <f aca="false">IFERROR(INDEX($L$7093:$L$7096,MATCH($O7096,$N$7093:$N$7096,0)),"")</f>
        <v/>
      </c>
      <c r="F7096" s="41" t="str">
        <f aca="false">IF(E7096="","",E7096-C7096)</f>
        <v/>
      </c>
      <c r="J7096" s="25" t="str">
        <f aca="false">Lib_PA</f>
        <v>Plateforme agréée – facturation électronique</v>
      </c>
      <c r="K7096" s="25" t="n">
        <f aca="false">IF($K$7066=0,0,N(INDEX(Clients!$N$2:$N$501,$K$7066)))</f>
        <v>0</v>
      </c>
      <c r="L7096" s="25" t="n">
        <f aca="false">IF($K$7066=0,0,N(INDEX(Clients!$S$2:$S$501,$K$7066)))</f>
        <v>0</v>
      </c>
      <c r="M7096" s="25" t="n">
        <f aca="false">IF(OR(K7096&lt;&gt;0,L7096&lt;&gt;0),1,0)</f>
        <v>0</v>
      </c>
      <c r="N7096" s="25" t="str">
        <f aca="false">IF(M7096=1,SUM($M$7093:M7096),"")</f>
        <v/>
      </c>
      <c r="O7096" s="25" t="n">
        <v>4</v>
      </c>
    </row>
    <row r="7097" customFormat="false" ht="18" hidden="false" customHeight="true" outlineLevel="0" collapsed="false">
      <c r="B7097" s="43" t="s">
        <v>158</v>
      </c>
      <c r="C7097" s="44" t="n">
        <f aca="false">SUM(K7093:K7096)</f>
        <v>0</v>
      </c>
      <c r="D7097" s="45" t="str">
        <f aca="false">IF(N(C7097)=0,"",E7097/C7097-1)</f>
        <v/>
      </c>
      <c r="E7097" s="44" t="n">
        <f aca="false">SUM(L7093:L7096)</f>
        <v>0</v>
      </c>
      <c r="F7097" s="44" t="n">
        <f aca="false">E7097-C7097</f>
        <v>0</v>
      </c>
    </row>
    <row r="7098" customFormat="false" ht="15" hidden="false" customHeight="false" outlineLevel="0" collapsed="false">
      <c r="B7098" s="46" t="str">
        <f aca="false">IF(N(Nb_Mensualites)=0,"","Soit "&amp;FIXED(E7097/Nb_Mensualites,2)&amp;" € HT par échéance ("&amp;Nb_Mensualites&amp;" échéances), "&amp;FIXED(E7097/Nb_Mensualites*(1+Taux_TVA),2)&amp;" € TTC.")</f>
        <v>Soit 0.00 € HT par échéance (12 échéances), 0.00 € TTC.</v>
      </c>
      <c r="C7098" s="46"/>
      <c r="D7098" s="46"/>
      <c r="E7098" s="46"/>
      <c r="F7098" s="46"/>
    </row>
    <row r="7099" customFormat="false" ht="7.5" hidden="false" customHeight="true" outlineLevel="0" collapsed="false">
      <c r="B7099" s="10"/>
      <c r="C7099" s="10"/>
      <c r="D7099" s="10"/>
      <c r="E7099" s="10"/>
      <c r="F7099" s="10"/>
    </row>
    <row r="7100" customFormat="false" ht="36.75" hidden="false" customHeight="true" outlineLevel="0" collapsed="false">
      <c r="B7100" s="37" t="str">
        <f aca="false">SUBSTITUTE(SUBSTITUTE(SUBSTITUTE(SUBSTITUTE(SUBSTITUTE(Txt_P5,"{cabinet}",Cab_Nom),"{societe}",IF($K$7066=0,"",INDEX(Clients!$E$2:$E$501,$K$7066)&amp;"")),"{date_effet}",$K$7068),"{hausse}",$K$7069),"{civilite}",$K$7067)</f>
        <v>Les autres conditions de votre lettre de mission demeurent inchangées. Les nouveaux montants seront appliqués automatiquement sur vos prochaines factures et échéances de prélèvement.</v>
      </c>
      <c r="C7100" s="37"/>
      <c r="D7100" s="37"/>
      <c r="E7100" s="37"/>
      <c r="F7100" s="37"/>
    </row>
    <row r="7101" customFormat="false" ht="36.75" hidden="false" customHeight="true" outlineLevel="0" collapsed="false">
      <c r="B7101" s="37" t="str">
        <f aca="false">SUBSTITUTE(SUBSTITUTE(SUBSTITUTE(SUBSTITUTE(SUBSTITUTE(Txt_P6,"{cabinet}",Cab_Nom),"{societe}",IF($K$7066=0,"",INDEX(Clients!$E$2:$E$501,$K$7066)&amp;"")),"{date_effet}",$K$7068),"{hausse}",$K$7069),"{civilite}",$K$7067)</f>
        <v>Votre interlocuteur habituel reste à votre entière disposition pour répondre à vos questions et faire le point sur l'évolution de vos besoins.</v>
      </c>
      <c r="C7101" s="37"/>
      <c r="D7101" s="37"/>
      <c r="E7101" s="37"/>
      <c r="F7101" s="37"/>
    </row>
    <row r="7102" customFormat="false" ht="24" hidden="false" customHeight="true" outlineLevel="0" collapsed="false">
      <c r="B7102" s="37" t="str">
        <f aca="false">SUBSTITUTE(SUBSTITUTE(SUBSTITUTE(SUBSTITUTE(SUBSTITUTE(Txt_Politesse,"{cabinet}",Cab_Nom),"{societe}",IF($K$7066=0,"",INDEX(Clients!$E$2:$E$501,$K$7066)&amp;"")),"{date_effet}",$K$7068),"{hausse}",$K$7069),"{civilite}",$K$7067)</f>
        <v>Nous vous prions d'agréer, Madame, Monsieur, l'expression de nos salutations distinguées.</v>
      </c>
      <c r="C7102" s="37"/>
      <c r="D7102" s="37"/>
      <c r="E7102" s="37"/>
      <c r="F7102" s="37"/>
    </row>
    <row r="7103" customFormat="false" ht="15" hidden="false" customHeight="false" outlineLevel="0" collapsed="false">
      <c r="B7103" s="10"/>
      <c r="C7103" s="10"/>
      <c r="D7103" s="10"/>
      <c r="E7103" s="10"/>
      <c r="F7103" s="10"/>
    </row>
    <row r="7104" customFormat="false" ht="15" hidden="false" customHeight="false" outlineLevel="0" collapsed="false">
      <c r="B7104" s="10"/>
      <c r="C7104" s="10"/>
      <c r="D7104" s="34" t="str">
        <f aca="false">Signataire</f>
        <v>Prénom NOM</v>
      </c>
      <c r="E7104" s="34"/>
      <c r="F7104" s="34"/>
    </row>
    <row r="7105" customFormat="false" ht="15" hidden="false" customHeight="false" outlineLevel="0" collapsed="false">
      <c r="B7105" s="10"/>
      <c r="C7105" s="10"/>
      <c r="D7105" s="47" t="str">
        <f aca="false">Signataire_Titre</f>
        <v>Expert-comptable associé</v>
      </c>
      <c r="E7105" s="47"/>
      <c r="F7105" s="47"/>
    </row>
    <row r="7106" customFormat="false" ht="15.75" hidden="false" customHeight="true" outlineLevel="0" collapsed="false">
      <c r="B7106" s="10"/>
      <c r="C7106" s="10"/>
      <c r="D7106" s="10"/>
      <c r="E7106" s="10"/>
      <c r="F7106" s="10"/>
    </row>
    <row r="7107" customFormat="false" ht="15.75" hidden="false" customHeight="true" outlineLevel="0" collapsed="false">
      <c r="B7107" s="10"/>
      <c r="C7107" s="10"/>
      <c r="D7107" s="10"/>
      <c r="E7107" s="10"/>
      <c r="F7107" s="10"/>
    </row>
    <row r="7108" customFormat="false" ht="15.75" hidden="false" customHeight="true" outlineLevel="0" collapsed="false">
      <c r="B7108" s="10"/>
      <c r="C7108" s="10"/>
      <c r="D7108" s="10"/>
      <c r="E7108" s="10"/>
      <c r="F7108" s="10"/>
    </row>
    <row r="7109" customFormat="false" ht="15.75" hidden="false" customHeight="true" outlineLevel="0" collapsed="false">
      <c r="B7109" s="10"/>
      <c r="C7109" s="10"/>
      <c r="D7109" s="10"/>
      <c r="E7109" s="10"/>
      <c r="F7109" s="10"/>
    </row>
    <row r="7110" customFormat="false" ht="24" hidden="false" customHeight="true" outlineLevel="0" collapsed="false">
      <c r="B7110" s="48" t="str">
        <f aca="false">Cab_Mentions</f>
        <v>ALTHO EXPERTISE · SAS au capital de 10 000 € · RCS Pontoise 919 706 325 · TVA FR62919706325 · Société d'expertise comptable inscrite au Tableau de l'Ordre des experts-comptables de Paris Île-de-France</v>
      </c>
      <c r="C7110" s="48"/>
      <c r="D7110" s="48"/>
      <c r="E7110" s="48"/>
      <c r="F7110" s="48"/>
    </row>
    <row r="7111" customFormat="false" ht="15" hidden="false" customHeight="false" outlineLevel="0" collapsed="false">
      <c r="B7111" s="10"/>
      <c r="C7111" s="10"/>
      <c r="D7111" s="10"/>
      <c r="E7111" s="10"/>
      <c r="F7111" s="10"/>
      <c r="J7111" s="25" t="s">
        <v>142</v>
      </c>
      <c r="K7111" s="25" t="n">
        <f aca="false">IFERROR(MATCH(159,Clients!$Z$2:$Z$501,0),0)</f>
        <v>0</v>
      </c>
      <c r="L7111" s="25"/>
      <c r="M7111" s="25"/>
      <c r="N7111" s="25"/>
      <c r="O7111" s="25"/>
    </row>
    <row r="7112" customFormat="false" ht="21.75" hidden="false" customHeight="true" outlineLevel="0" collapsed="false">
      <c r="B7112" s="26" t="str">
        <f aca="false">Cab_Nom</f>
        <v>ALTHO EXPERTISE</v>
      </c>
      <c r="C7112" s="26"/>
      <c r="D7112" s="10"/>
      <c r="E7112" s="27" t="str">
        <f aca="false">IF($K$7111=0,"","Réf. client : "&amp;INDEX(Clients!$A$2:$A$501,$K$7111))</f>
        <v/>
      </c>
      <c r="F7112" s="27"/>
      <c r="J7112" s="25" t="s">
        <v>144</v>
      </c>
      <c r="K7112" s="25" t="str">
        <f aca="false">IF(IF($K$7111=0,"",INDEX(Clients!$B$2:$B$501,$K$7111)&amp;"")="Mme","Madame",IF(IF($K$7111=0,"",INDEX(Clients!$B$2:$B$501,$K$7111)&amp;"")="M.","Monsieur","Madame, Monsieur"))</f>
        <v>Madame, Monsieur</v>
      </c>
      <c r="L7112" s="25"/>
      <c r="M7112" s="25"/>
      <c r="N7112" s="25"/>
      <c r="O7112" s="25"/>
    </row>
    <row r="7113" customFormat="false" ht="15" hidden="false" customHeight="false" outlineLevel="0" collapsed="false">
      <c r="B7113" s="29" t="str">
        <f aca="false">Cab_Adr1</f>
        <v>141 rue Charles de Gaulle</v>
      </c>
      <c r="C7113" s="29"/>
      <c r="D7113" s="10"/>
      <c r="E7113" s="10"/>
      <c r="F7113" s="10"/>
      <c r="J7113" s="25" t="s">
        <v>145</v>
      </c>
      <c r="K7113" s="25" t="str">
        <f aca="false">DAY(Date_Effet)&amp;IF(DAY(Date_Effet)=1,"er","")&amp;" "&amp;INDEX(Liste_Mois,MONTH(Date_Effet))&amp;" "&amp;YEAR(Date_Effet)</f>
        <v>1er janvier 2027</v>
      </c>
      <c r="L7113" s="25"/>
      <c r="M7113" s="25"/>
      <c r="N7113" s="25"/>
      <c r="O7113" s="25"/>
    </row>
    <row r="7114" customFormat="false" ht="15" hidden="false" customHeight="false" outlineLevel="0" collapsed="false">
      <c r="B7114" s="29" t="str">
        <f aca="false">Cab_CPVille</f>
        <v>95130 LE PLESSIS-BOUCHARD</v>
      </c>
      <c r="C7114" s="29"/>
      <c r="D7114" s="10"/>
      <c r="E7114" s="10"/>
      <c r="F7114" s="10"/>
      <c r="J7114" s="25" t="s">
        <v>146</v>
      </c>
      <c r="K7114" s="25" t="str">
        <f aca="false">IF(SUM($K$7138:$K$7141)=0,"",FIXED((SUM($L$7138:$L$7141)/SUM($K$7138:$K$7141)-1)*100,1)&amp;" %")</f>
        <v/>
      </c>
      <c r="L7114" s="25"/>
      <c r="M7114" s="25"/>
      <c r="N7114" s="25"/>
      <c r="O7114" s="25"/>
    </row>
    <row r="7115" customFormat="false" ht="15" hidden="false" customHeight="false" outlineLevel="0" collapsed="false">
      <c r="B7115" s="29" t="str">
        <f aca="false">Cab_Contact</f>
        <v>Tél. 01 34 14 53 45  ·  altho@altho-experts.com  ·  altho-experts.com</v>
      </c>
      <c r="C7115" s="29"/>
      <c r="D7115" s="10"/>
      <c r="E7115" s="10"/>
      <c r="F7115" s="10"/>
      <c r="J7115" s="25"/>
      <c r="K7115" s="25"/>
      <c r="L7115" s="25"/>
      <c r="M7115" s="25"/>
      <c r="N7115" s="25"/>
      <c r="O7115" s="25"/>
    </row>
    <row r="7116" customFormat="false" ht="6" hidden="false" customHeight="true" outlineLevel="0" collapsed="false">
      <c r="B7116" s="32"/>
      <c r="C7116" s="32"/>
      <c r="D7116" s="32"/>
      <c r="E7116" s="32"/>
      <c r="F7116" s="32"/>
      <c r="J7116" s="25"/>
      <c r="K7116" s="25"/>
      <c r="L7116" s="25"/>
      <c r="M7116" s="25"/>
      <c r="N7116" s="25"/>
      <c r="O7116" s="25"/>
    </row>
    <row r="7117" customFormat="false" ht="13.5" hidden="false" customHeight="true" outlineLevel="0" collapsed="false">
      <c r="B7117" s="10"/>
      <c r="C7117" s="10"/>
      <c r="D7117" s="10"/>
      <c r="E7117" s="10"/>
      <c r="F7117" s="10"/>
      <c r="J7117" s="25"/>
      <c r="K7117" s="25"/>
      <c r="L7117" s="25"/>
      <c r="M7117" s="25"/>
      <c r="N7117" s="25"/>
      <c r="O7117" s="25"/>
    </row>
    <row r="7118" customFormat="false" ht="13.5" hidden="false" customHeight="true" outlineLevel="0" collapsed="false">
      <c r="B7118" s="10"/>
      <c r="C7118" s="10"/>
      <c r="D7118" s="10"/>
      <c r="E7118" s="10"/>
      <c r="F7118" s="10"/>
      <c r="J7118" s="25"/>
      <c r="K7118" s="25"/>
      <c r="L7118" s="25"/>
      <c r="M7118" s="25"/>
      <c r="N7118" s="25"/>
      <c r="O7118" s="25"/>
    </row>
    <row r="7119" customFormat="false" ht="13.5" hidden="false" customHeight="true" outlineLevel="0" collapsed="false">
      <c r="B7119" s="10"/>
      <c r="C7119" s="10"/>
      <c r="D7119" s="10"/>
      <c r="E7119" s="10"/>
      <c r="F7119" s="10"/>
      <c r="J7119" s="25"/>
      <c r="K7119" s="25"/>
      <c r="L7119" s="25"/>
      <c r="M7119" s="25"/>
      <c r="N7119" s="25"/>
      <c r="O7119" s="25"/>
    </row>
    <row r="7120" customFormat="false" ht="15" hidden="false" customHeight="true" outlineLevel="0" collapsed="false">
      <c r="B7120" s="10"/>
      <c r="C7120" s="10"/>
      <c r="D7120" s="34" t="str">
        <f aca="false">IF($K$7111=0,"",INDEX(Clients!$E$2:$E$501,$K$7111)&amp;"")</f>
        <v/>
      </c>
      <c r="E7120" s="34"/>
      <c r="F7120" s="34"/>
      <c r="J7120" s="25"/>
      <c r="K7120" s="25"/>
      <c r="L7120" s="25"/>
      <c r="M7120" s="25"/>
      <c r="N7120" s="25"/>
      <c r="O7120" s="25"/>
    </row>
    <row r="7121" customFormat="false" ht="15" hidden="false" customHeight="true" outlineLevel="0" collapsed="false">
      <c r="B7121" s="10"/>
      <c r="C7121" s="10"/>
      <c r="D7121" s="35" t="str">
        <f aca="false">IF(IF($K$7111=0,"",INDEX(Clients!$D$2:$D$501,$K$7111)&amp;"")="","","À l'attention de "&amp;TRIM(IF($K$7111=0,"",INDEX(Clients!$B$2:$B$501,$K$7111)&amp;"")&amp;" "&amp;IF($K$7111=0,"",INDEX(Clients!$C$2:$C$501,$K$7111)&amp;"")&amp;" "&amp;IF($K$7111=0,"",INDEX(Clients!$D$2:$D$501,$K$7111)&amp;"")))</f>
        <v/>
      </c>
      <c r="E7121" s="35"/>
      <c r="F7121" s="35"/>
      <c r="J7121" s="25"/>
      <c r="K7121" s="25"/>
      <c r="L7121" s="25"/>
      <c r="M7121" s="25"/>
      <c r="N7121" s="25"/>
      <c r="O7121" s="25"/>
    </row>
    <row r="7122" customFormat="false" ht="15" hidden="false" customHeight="true" outlineLevel="0" collapsed="false">
      <c r="B7122" s="10"/>
      <c r="C7122" s="10"/>
      <c r="D7122" s="35" t="str">
        <f aca="false">IF($K$7111=0,"",INDEX(Clients!$F$2:$F$501,$K$7111)&amp;"")</f>
        <v/>
      </c>
      <c r="E7122" s="35"/>
      <c r="F7122" s="35"/>
      <c r="J7122" s="25"/>
      <c r="K7122" s="25"/>
      <c r="L7122" s="25"/>
      <c r="M7122" s="25"/>
      <c r="N7122" s="25"/>
      <c r="O7122" s="25"/>
    </row>
    <row r="7123" customFormat="false" ht="15" hidden="false" customHeight="true" outlineLevel="0" collapsed="false">
      <c r="B7123" s="10"/>
      <c r="C7123" s="10"/>
      <c r="D7123" s="35" t="str">
        <f aca="false">IF(IF($K$7111=0,"",INDEX(Clients!$G$2:$G$501,$K$7111)&amp;"")="",TRIM(IF($K$7111=0,"",INDEX(Clients!$H$2:$H$501,$K$7111)&amp;"")&amp;" "&amp;UPPER(IF($K$7111=0,"",INDEX(Clients!$I$2:$I$501,$K$7111)&amp;""))),IF($K$7111=0,"",INDEX(Clients!$G$2:$G$501,$K$7111)&amp;""))</f>
        <v/>
      </c>
      <c r="E7123" s="35"/>
      <c r="F7123" s="35"/>
      <c r="J7123" s="25"/>
      <c r="K7123" s="25"/>
      <c r="L7123" s="25"/>
      <c r="M7123" s="25"/>
      <c r="N7123" s="25"/>
      <c r="O7123" s="25"/>
    </row>
    <row r="7124" customFormat="false" ht="15" hidden="false" customHeight="true" outlineLevel="0" collapsed="false">
      <c r="B7124" s="10"/>
      <c r="C7124" s="10"/>
      <c r="D7124" s="35" t="str">
        <f aca="false">IF(IF($K$7111=0,"",INDEX(Clients!$G$2:$G$501,$K$7111)&amp;"")="","",TRIM(IF($K$7111=0,"",INDEX(Clients!$H$2:$H$501,$K$7111)&amp;"")&amp;" "&amp;UPPER(IF($K$7111=0,"",INDEX(Clients!$I$2:$I$501,$K$7111)&amp;""))))</f>
        <v/>
      </c>
      <c r="E7124" s="35"/>
      <c r="F7124" s="35"/>
      <c r="J7124" s="25"/>
      <c r="K7124" s="25"/>
      <c r="L7124" s="25"/>
      <c r="M7124" s="25"/>
      <c r="N7124" s="25"/>
      <c r="O7124" s="25"/>
    </row>
    <row r="7125" customFormat="false" ht="25.5" hidden="false" customHeight="true" outlineLevel="0" collapsed="false">
      <c r="B7125" s="10"/>
      <c r="C7125" s="10"/>
      <c r="D7125" s="10"/>
      <c r="E7125" s="10"/>
      <c r="F7125" s="10"/>
      <c r="J7125" s="25"/>
      <c r="K7125" s="25"/>
      <c r="L7125" s="25"/>
      <c r="M7125" s="25"/>
      <c r="N7125" s="25"/>
      <c r="O7125" s="25"/>
    </row>
    <row r="7126" customFormat="false" ht="15" hidden="false" customHeight="false" outlineLevel="0" collapsed="false">
      <c r="B7126" s="10"/>
      <c r="C7126" s="10"/>
      <c r="D7126" s="36" t="str">
        <f aca="false">Cab_Ville&amp;", le "&amp;DAY(Date_Courrier)&amp;IF(DAY(Date_Courrier)=1,"er","")&amp;" "&amp;INDEX(Liste_Mois,MONTH(Date_Courrier))&amp;" "&amp;YEAR(Date_Courrier)</f>
        <v>Le Plessis-Bouchard, le 22 septembre 2026</v>
      </c>
      <c r="E7126" s="36"/>
      <c r="F7126" s="36"/>
      <c r="J7126" s="25"/>
      <c r="K7126" s="25"/>
      <c r="L7126" s="25"/>
      <c r="M7126" s="25"/>
      <c r="N7126" s="25"/>
      <c r="O7126" s="25"/>
    </row>
    <row r="7127" customFormat="false" ht="19.5" hidden="false" customHeight="true" outlineLevel="0" collapsed="false">
      <c r="B7127" s="10"/>
      <c r="C7127" s="10"/>
      <c r="D7127" s="10"/>
      <c r="E7127" s="10"/>
      <c r="F7127" s="10"/>
      <c r="J7127" s="25"/>
      <c r="K7127" s="25"/>
      <c r="L7127" s="25"/>
      <c r="M7127" s="25"/>
      <c r="N7127" s="25"/>
      <c r="O7127" s="25"/>
    </row>
    <row r="7128" customFormat="false" ht="15" hidden="false" customHeight="false" outlineLevel="0" collapsed="false">
      <c r="B7128" s="34" t="str">
        <f aca="false">SUBSTITUTE(SUBSTITUTE(SUBSTITUTE(SUBSTITUTE(SUBSTITUTE(Txt_Objet,"{cabinet}",Cab_Nom),"{societe}",IF($K$7111=0,"",INDEX(Clients!$E$2:$E$501,$K$7111)&amp;"")),"{date_effet}",$K$7113),"{hausse}",$K$7114),"{civilite}",$K$7112)</f>
        <v>Objet : révision de nos honoraires au 1er janvier 2027</v>
      </c>
      <c r="C7128" s="34"/>
      <c r="D7128" s="34"/>
      <c r="E7128" s="34"/>
      <c r="F7128" s="34"/>
      <c r="J7128" s="25"/>
      <c r="K7128" s="25"/>
      <c r="L7128" s="25"/>
      <c r="M7128" s="25"/>
      <c r="N7128" s="25"/>
      <c r="O7128" s="25"/>
    </row>
    <row r="7129" customFormat="false" ht="13.5" hidden="false" customHeight="true" outlineLevel="0" collapsed="false">
      <c r="B7129" s="10"/>
      <c r="C7129" s="10"/>
      <c r="D7129" s="10"/>
      <c r="E7129" s="10"/>
      <c r="F7129" s="10"/>
      <c r="J7129" s="25"/>
      <c r="K7129" s="25"/>
      <c r="L7129" s="25"/>
      <c r="M7129" s="25"/>
      <c r="N7129" s="25"/>
      <c r="O7129" s="25"/>
    </row>
    <row r="7130" customFormat="false" ht="15" hidden="false" customHeight="false" outlineLevel="0" collapsed="false">
      <c r="B7130" s="10" t="str">
        <f aca="false">$K$7112&amp;","</f>
        <v>Madame, Monsieur,</v>
      </c>
      <c r="C7130" s="10"/>
      <c r="D7130" s="10"/>
      <c r="E7130" s="10"/>
      <c r="F7130" s="10"/>
      <c r="J7130" s="25"/>
      <c r="K7130" s="25"/>
      <c r="L7130" s="25"/>
      <c r="M7130" s="25"/>
      <c r="N7130" s="25"/>
      <c r="O7130" s="25"/>
    </row>
    <row r="7131" customFormat="false" ht="6" hidden="false" customHeight="true" outlineLevel="0" collapsed="false">
      <c r="B7131" s="10"/>
      <c r="C7131" s="10"/>
      <c r="D7131" s="10"/>
      <c r="E7131" s="10"/>
      <c r="F7131" s="10"/>
      <c r="J7131" s="25"/>
      <c r="K7131" s="25"/>
      <c r="L7131" s="25"/>
      <c r="M7131" s="25"/>
      <c r="N7131" s="25"/>
      <c r="O7131" s="25"/>
    </row>
    <row r="7132" customFormat="false" ht="36.75" hidden="false" customHeight="true" outlineLevel="0" collapsed="false">
      <c r="B7132" s="37" t="str">
        <f aca="false">SUBSTITUTE(SUBSTITUTE(SUBSTITUTE(SUBSTITUTE(SUBSTITUTE(Txt_P1,"{cabinet}",Cab_Nom),"{societe}",IF($K$7111=0,"",INDEX(Clients!$E$2:$E$501,$K$7111)&amp;"")),"{date_effet}",$K$7113),"{hausse}",$K$7114),"{civilite}",$K$7112)</f>
        <v>Nous tenons tout d'abord à vous remercier pour la confiance que vous accordez à ALTHO EXPERTISE. Comme chaque année, et conformément aux dispositions de votre lettre de mission, nous procédons à la révision de nos honoraires.</v>
      </c>
      <c r="C7132" s="37"/>
      <c r="D7132" s="37"/>
      <c r="E7132" s="37"/>
      <c r="F7132" s="37"/>
      <c r="J7132" s="25"/>
      <c r="K7132" s="25"/>
      <c r="L7132" s="25"/>
      <c r="M7132" s="25"/>
      <c r="N7132" s="25"/>
      <c r="O7132" s="25"/>
    </row>
    <row r="7133" customFormat="false" ht="49.5" hidden="false" customHeight="true" outlineLevel="0" collapsed="false">
      <c r="B7133" s="37" t="str">
        <f aca="false">SUBSTITUTE(SUBSTITUTE(SUBSTITUTE(SUBSTITUTE(SUBSTITUTE(Txt_P2,"{cabinet}",Cab_Nom),"{societe}",IF($K$7111=0,"",INDEX(Clients!$E$2:$E$501,$K$7111)&amp;"")),"{date_effet}",$K$7113),"{hausse}",$K$7114),"{civilite}",$K$7112)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133" s="37"/>
      <c r="D7133" s="37"/>
      <c r="E7133" s="37"/>
      <c r="F7133" s="37"/>
      <c r="J7133" s="25"/>
      <c r="K7133" s="25"/>
      <c r="L7133" s="25"/>
      <c r="M7133" s="25"/>
      <c r="N7133" s="25"/>
      <c r="O7133" s="25"/>
    </row>
    <row r="7134" customFormat="false" ht="63" hidden="false" customHeight="true" outlineLevel="0" collapsed="false">
      <c r="B7134" s="37" t="str">
        <f aca="false">SUBSTITUTE(SUBSTITUTE(SUBSTITUTE(SUBSTITUTE(SUBSTITUTE(Txt_P3,"{cabinet}",Cab_Nom),"{societe}",IF($K$7111=0,"",INDEX(Clients!$E$2:$E$501,$K$7111)&amp;"")),"{date_effet}",$K$7113),"{hausse}",$K$7114),"{civilite}",$K$7112)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134" s="37"/>
      <c r="D7134" s="37"/>
      <c r="E7134" s="37"/>
      <c r="F7134" s="37"/>
      <c r="J7134" s="25"/>
      <c r="K7134" s="25"/>
      <c r="L7134" s="25"/>
      <c r="M7134" s="25"/>
      <c r="N7134" s="25"/>
      <c r="O7134" s="25"/>
    </row>
    <row r="7135" customFormat="false" ht="24" hidden="false" customHeight="true" outlineLevel="0" collapsed="false">
      <c r="B7135" s="37" t="str">
        <f aca="false">SUBSTITUTE(SUBSTITUTE(SUBSTITUTE(SUBSTITUTE(SUBSTITUTE(Txt_P4,"{cabinet}",Cab_Nom),"{societe}",IF($K$7111=0,"",INDEX(Clients!$E$2:$E$501,$K$7111)&amp;"")),"{date_effet}",$K$7113),"{hausse}",$K$7114),"{civilite}",$K$7112)</f>
        <v>À compter du 1er janvier 2027, vos honoraires annuels hors taxes évolueront ainsi (évolution globale : ) :</v>
      </c>
      <c r="C7135" s="37"/>
      <c r="D7135" s="37"/>
      <c r="E7135" s="37"/>
      <c r="F7135" s="37"/>
      <c r="J7135" s="25"/>
      <c r="K7135" s="25"/>
      <c r="L7135" s="25"/>
      <c r="M7135" s="25"/>
      <c r="N7135" s="25"/>
      <c r="O7135" s="25"/>
    </row>
    <row r="7136" customFormat="false" ht="3.75" hidden="false" customHeight="true" outlineLevel="0" collapsed="false">
      <c r="B7136" s="10"/>
      <c r="C7136" s="10"/>
      <c r="D7136" s="10"/>
      <c r="E7136" s="10"/>
      <c r="F7136" s="10"/>
      <c r="J7136" s="25"/>
      <c r="K7136" s="25"/>
      <c r="L7136" s="25"/>
      <c r="M7136" s="25"/>
      <c r="N7136" s="25"/>
      <c r="O7136" s="25"/>
    </row>
    <row r="7137" customFormat="false" ht="18" hidden="false" customHeight="true" outlineLevel="0" collapsed="false">
      <c r="B7137" s="38" t="s">
        <v>148</v>
      </c>
      <c r="C7137" s="39" t="s">
        <v>149</v>
      </c>
      <c r="D7137" s="39" t="s">
        <v>150</v>
      </c>
      <c r="E7137" s="39" t="s">
        <v>151</v>
      </c>
      <c r="F7137" s="39" t="s">
        <v>109</v>
      </c>
      <c r="J7137" s="25" t="s">
        <v>152</v>
      </c>
      <c r="K7137" s="25" t="s">
        <v>153</v>
      </c>
      <c r="L7137" s="25" t="s">
        <v>154</v>
      </c>
      <c r="M7137" s="25" t="s">
        <v>155</v>
      </c>
      <c r="N7137" s="25" t="s">
        <v>156</v>
      </c>
      <c r="O7137" s="25" t="s">
        <v>157</v>
      </c>
    </row>
    <row r="7138" customFormat="false" ht="16.5" hidden="false" customHeight="true" outlineLevel="0" collapsed="false">
      <c r="B7138" s="40" t="str">
        <f aca="false">IFERROR(INDEX($J$7138:$J$7141,MATCH($O7138,$N$7138:$N$7141,0)),"")</f>
        <v/>
      </c>
      <c r="C7138" s="41" t="str">
        <f aca="false">IFERROR(INDEX($K$7138:$K$7141,MATCH($O7138,$N$7138:$N$7141,0)),"")</f>
        <v/>
      </c>
      <c r="D7138" s="42" t="str">
        <f aca="false">IF(OR(E7138="",N(C7138)=0),"",E7138/C7138-1)</f>
        <v/>
      </c>
      <c r="E7138" s="41" t="str">
        <f aca="false">IFERROR(INDEX($L$7138:$L$7141,MATCH($O7138,$N$7138:$N$7141,0)),"")</f>
        <v/>
      </c>
      <c r="F7138" s="41" t="str">
        <f aca="false">IF(E7138="","",E7138-C7138)</f>
        <v/>
      </c>
      <c r="J7138" s="25" t="str">
        <f aca="false">Lib_Compta</f>
        <v>Mission comptable (tenue, révision, bilan, liasse fiscale)</v>
      </c>
      <c r="K7138" s="25" t="n">
        <f aca="false">IF($K$7111=0,0,N(INDEX(Clients!$K$2:$K$501,$K$7111)))</f>
        <v>0</v>
      </c>
      <c r="L7138" s="25" t="n">
        <f aca="false">IF($K$7111=0,0,N(INDEX(Clients!$P$2:$P$501,$K$7111)))</f>
        <v>0</v>
      </c>
      <c r="M7138" s="25" t="n">
        <f aca="false">IF(OR(K7138&lt;&gt;0,L7138&lt;&gt;0),1,0)</f>
        <v>0</v>
      </c>
      <c r="N7138" s="25" t="str">
        <f aca="false">IF(M7138=1,SUM($M$7138:M7138),"")</f>
        <v/>
      </c>
      <c r="O7138" s="25" t="n">
        <v>1</v>
      </c>
    </row>
    <row r="7139" customFormat="false" ht="16.5" hidden="false" customHeight="true" outlineLevel="0" collapsed="false">
      <c r="B7139" s="40" t="str">
        <f aca="false">IFERROR(INDEX($J$7138:$J$7141,MATCH($O7139,$N$7138:$N$7141,0)),"")</f>
        <v/>
      </c>
      <c r="C7139" s="41" t="str">
        <f aca="false">IFERROR(INDEX($K$7138:$K$7141,MATCH($O7139,$N$7138:$N$7141,0)),"")</f>
        <v/>
      </c>
      <c r="D7139" s="42" t="str">
        <f aca="false">IF(OR(E7139="",N(C7139)=0),"",E7139/C7139-1)</f>
        <v/>
      </c>
      <c r="E7139" s="41" t="str">
        <f aca="false">IFERROR(INDEX($L$7138:$L$7141,MATCH($O7139,$N$7138:$N$7141,0)),"")</f>
        <v/>
      </c>
      <c r="F7139" s="41" t="str">
        <f aca="false">IF(E7139="","",E7139-C7139)</f>
        <v/>
      </c>
      <c r="J7139" s="25" t="str">
        <f aca="false">Lib_Paye</f>
        <v>Mission sociale (bulletins de paie, DSN, déclarations sociales)</v>
      </c>
      <c r="K7139" s="25" t="n">
        <f aca="false">IF($K$7111=0,0,N(INDEX(Clients!$L$2:$L$501,$K$7111)))</f>
        <v>0</v>
      </c>
      <c r="L7139" s="25" t="n">
        <f aca="false">IF($K$7111=0,0,N(INDEX(Clients!$Q$2:$Q$501,$K$7111)))</f>
        <v>0</v>
      </c>
      <c r="M7139" s="25" t="n">
        <f aca="false">IF(OR(K7139&lt;&gt;0,L7139&lt;&gt;0),1,0)</f>
        <v>0</v>
      </c>
      <c r="N7139" s="25" t="str">
        <f aca="false">IF(M7139=1,SUM($M$7138:M7139),"")</f>
        <v/>
      </c>
      <c r="O7139" s="25" t="n">
        <v>2</v>
      </c>
    </row>
    <row r="7140" customFormat="false" ht="16.5" hidden="false" customHeight="true" outlineLevel="0" collapsed="false">
      <c r="B7140" s="40" t="str">
        <f aca="false">IFERROR(INDEX($J$7138:$J$7141,MATCH($O7140,$N$7138:$N$7141,0)),"")</f>
        <v/>
      </c>
      <c r="C7140" s="41" t="str">
        <f aca="false">IFERROR(INDEX($K$7138:$K$7141,MATCH($O7140,$N$7138:$N$7141,0)),"")</f>
        <v/>
      </c>
      <c r="D7140" s="42" t="str">
        <f aca="false">IF(OR(E7140="",N(C7140)=0),"",E7140/C7140-1)</f>
        <v/>
      </c>
      <c r="E7140" s="41" t="str">
        <f aca="false">IFERROR(INDEX($L$7138:$L$7141,MATCH($O7140,$N$7138:$N$7141,0)),"")</f>
        <v/>
      </c>
      <c r="F7140" s="41" t="str">
        <f aca="false">IF(E7140="","",E7140-C7140)</f>
        <v/>
      </c>
      <c r="J7140" s="25" t="str">
        <f aca="false">Lib_Jur</f>
        <v>Mission juridique (approbation des comptes, secrétariat juridique)</v>
      </c>
      <c r="K7140" s="25" t="n">
        <f aca="false">IF($K$7111=0,0,N(INDEX(Clients!$M$2:$M$501,$K$7111)))</f>
        <v>0</v>
      </c>
      <c r="L7140" s="25" t="n">
        <f aca="false">IF($K$7111=0,0,N(INDEX(Clients!$R$2:$R$501,$K$7111)))</f>
        <v>0</v>
      </c>
      <c r="M7140" s="25" t="n">
        <f aca="false">IF(OR(K7140&lt;&gt;0,L7140&lt;&gt;0),1,0)</f>
        <v>0</v>
      </c>
      <c r="N7140" s="25" t="str">
        <f aca="false">IF(M7140=1,SUM($M$7138:M7140),"")</f>
        <v/>
      </c>
      <c r="O7140" s="25" t="n">
        <v>3</v>
      </c>
    </row>
    <row r="7141" customFormat="false" ht="16.5" hidden="false" customHeight="true" outlineLevel="0" collapsed="false">
      <c r="B7141" s="40" t="str">
        <f aca="false">IFERROR(INDEX($J$7138:$J$7141,MATCH($O7141,$N$7138:$N$7141,0)),"")</f>
        <v/>
      </c>
      <c r="C7141" s="41" t="str">
        <f aca="false">IFERROR(INDEX($K$7138:$K$7141,MATCH($O7141,$N$7138:$N$7141,0)),"")</f>
        <v/>
      </c>
      <c r="D7141" s="42" t="str">
        <f aca="false">IF(OR(E7141="",N(C7141)=0),"",E7141/C7141-1)</f>
        <v/>
      </c>
      <c r="E7141" s="41" t="str">
        <f aca="false">IFERROR(INDEX($L$7138:$L$7141,MATCH($O7141,$N$7138:$N$7141,0)),"")</f>
        <v/>
      </c>
      <c r="F7141" s="41" t="str">
        <f aca="false">IF(E7141="","",E7141-C7141)</f>
        <v/>
      </c>
      <c r="J7141" s="25" t="str">
        <f aca="false">Lib_PA</f>
        <v>Plateforme agréée – facturation électronique</v>
      </c>
      <c r="K7141" s="25" t="n">
        <f aca="false">IF($K$7111=0,0,N(INDEX(Clients!$N$2:$N$501,$K$7111)))</f>
        <v>0</v>
      </c>
      <c r="L7141" s="25" t="n">
        <f aca="false">IF($K$7111=0,0,N(INDEX(Clients!$S$2:$S$501,$K$7111)))</f>
        <v>0</v>
      </c>
      <c r="M7141" s="25" t="n">
        <f aca="false">IF(OR(K7141&lt;&gt;0,L7141&lt;&gt;0),1,0)</f>
        <v>0</v>
      </c>
      <c r="N7141" s="25" t="str">
        <f aca="false">IF(M7141=1,SUM($M$7138:M7141),"")</f>
        <v/>
      </c>
      <c r="O7141" s="25" t="n">
        <v>4</v>
      </c>
    </row>
    <row r="7142" customFormat="false" ht="18" hidden="false" customHeight="true" outlineLevel="0" collapsed="false">
      <c r="B7142" s="43" t="s">
        <v>158</v>
      </c>
      <c r="C7142" s="44" t="n">
        <f aca="false">SUM(K7138:K7141)</f>
        <v>0</v>
      </c>
      <c r="D7142" s="45" t="str">
        <f aca="false">IF(N(C7142)=0,"",E7142/C7142-1)</f>
        <v/>
      </c>
      <c r="E7142" s="44" t="n">
        <f aca="false">SUM(L7138:L7141)</f>
        <v>0</v>
      </c>
      <c r="F7142" s="44" t="n">
        <f aca="false">E7142-C7142</f>
        <v>0</v>
      </c>
    </row>
    <row r="7143" customFormat="false" ht="15" hidden="false" customHeight="false" outlineLevel="0" collapsed="false">
      <c r="B7143" s="46" t="str">
        <f aca="false">IF(N(Nb_Mensualites)=0,"","Soit "&amp;FIXED(E7142/Nb_Mensualites,2)&amp;" € HT par échéance ("&amp;Nb_Mensualites&amp;" échéances), "&amp;FIXED(E7142/Nb_Mensualites*(1+Taux_TVA),2)&amp;" € TTC.")</f>
        <v>Soit 0.00 € HT par échéance (12 échéances), 0.00 € TTC.</v>
      </c>
      <c r="C7143" s="46"/>
      <c r="D7143" s="46"/>
      <c r="E7143" s="46"/>
      <c r="F7143" s="46"/>
    </row>
    <row r="7144" customFormat="false" ht="7.5" hidden="false" customHeight="true" outlineLevel="0" collapsed="false">
      <c r="B7144" s="10"/>
      <c r="C7144" s="10"/>
      <c r="D7144" s="10"/>
      <c r="E7144" s="10"/>
      <c r="F7144" s="10"/>
    </row>
    <row r="7145" customFormat="false" ht="36.75" hidden="false" customHeight="true" outlineLevel="0" collapsed="false">
      <c r="B7145" s="37" t="str">
        <f aca="false">SUBSTITUTE(SUBSTITUTE(SUBSTITUTE(SUBSTITUTE(SUBSTITUTE(Txt_P5,"{cabinet}",Cab_Nom),"{societe}",IF($K$7111=0,"",INDEX(Clients!$E$2:$E$501,$K$7111)&amp;"")),"{date_effet}",$K$7113),"{hausse}",$K$7114),"{civilite}",$K$7112)</f>
        <v>Les autres conditions de votre lettre de mission demeurent inchangées. Les nouveaux montants seront appliqués automatiquement sur vos prochaines factures et échéances de prélèvement.</v>
      </c>
      <c r="C7145" s="37"/>
      <c r="D7145" s="37"/>
      <c r="E7145" s="37"/>
      <c r="F7145" s="37"/>
    </row>
    <row r="7146" customFormat="false" ht="36.75" hidden="false" customHeight="true" outlineLevel="0" collapsed="false">
      <c r="B7146" s="37" t="str">
        <f aca="false">SUBSTITUTE(SUBSTITUTE(SUBSTITUTE(SUBSTITUTE(SUBSTITUTE(Txt_P6,"{cabinet}",Cab_Nom),"{societe}",IF($K$7111=0,"",INDEX(Clients!$E$2:$E$501,$K$7111)&amp;"")),"{date_effet}",$K$7113),"{hausse}",$K$7114),"{civilite}",$K$7112)</f>
        <v>Votre interlocuteur habituel reste à votre entière disposition pour répondre à vos questions et faire le point sur l'évolution de vos besoins.</v>
      </c>
      <c r="C7146" s="37"/>
      <c r="D7146" s="37"/>
      <c r="E7146" s="37"/>
      <c r="F7146" s="37"/>
    </row>
    <row r="7147" customFormat="false" ht="24" hidden="false" customHeight="true" outlineLevel="0" collapsed="false">
      <c r="B7147" s="37" t="str">
        <f aca="false">SUBSTITUTE(SUBSTITUTE(SUBSTITUTE(SUBSTITUTE(SUBSTITUTE(Txt_Politesse,"{cabinet}",Cab_Nom),"{societe}",IF($K$7111=0,"",INDEX(Clients!$E$2:$E$501,$K$7111)&amp;"")),"{date_effet}",$K$7113),"{hausse}",$K$7114),"{civilite}",$K$7112)</f>
        <v>Nous vous prions d'agréer, Madame, Monsieur, l'expression de nos salutations distinguées.</v>
      </c>
      <c r="C7147" s="37"/>
      <c r="D7147" s="37"/>
      <c r="E7147" s="37"/>
      <c r="F7147" s="37"/>
    </row>
    <row r="7148" customFormat="false" ht="15" hidden="false" customHeight="false" outlineLevel="0" collapsed="false">
      <c r="B7148" s="10"/>
      <c r="C7148" s="10"/>
      <c r="D7148" s="10"/>
      <c r="E7148" s="10"/>
      <c r="F7148" s="10"/>
    </row>
    <row r="7149" customFormat="false" ht="15" hidden="false" customHeight="false" outlineLevel="0" collapsed="false">
      <c r="B7149" s="10"/>
      <c r="C7149" s="10"/>
      <c r="D7149" s="34" t="str">
        <f aca="false">Signataire</f>
        <v>Prénom NOM</v>
      </c>
      <c r="E7149" s="34"/>
      <c r="F7149" s="34"/>
    </row>
    <row r="7150" customFormat="false" ht="15" hidden="false" customHeight="false" outlineLevel="0" collapsed="false">
      <c r="B7150" s="10"/>
      <c r="C7150" s="10"/>
      <c r="D7150" s="47" t="str">
        <f aca="false">Signataire_Titre</f>
        <v>Expert-comptable associé</v>
      </c>
      <c r="E7150" s="47"/>
      <c r="F7150" s="47"/>
    </row>
    <row r="7151" customFormat="false" ht="15.75" hidden="false" customHeight="true" outlineLevel="0" collapsed="false">
      <c r="B7151" s="10"/>
      <c r="C7151" s="10"/>
      <c r="D7151" s="10"/>
      <c r="E7151" s="10"/>
      <c r="F7151" s="10"/>
    </row>
    <row r="7152" customFormat="false" ht="15.75" hidden="false" customHeight="true" outlineLevel="0" collapsed="false">
      <c r="B7152" s="10"/>
      <c r="C7152" s="10"/>
      <c r="D7152" s="10"/>
      <c r="E7152" s="10"/>
      <c r="F7152" s="10"/>
    </row>
    <row r="7153" customFormat="false" ht="15.75" hidden="false" customHeight="true" outlineLevel="0" collapsed="false">
      <c r="B7153" s="10"/>
      <c r="C7153" s="10"/>
      <c r="D7153" s="10"/>
      <c r="E7153" s="10"/>
      <c r="F7153" s="10"/>
    </row>
    <row r="7154" customFormat="false" ht="15.75" hidden="false" customHeight="true" outlineLevel="0" collapsed="false">
      <c r="B7154" s="10"/>
      <c r="C7154" s="10"/>
      <c r="D7154" s="10"/>
      <c r="E7154" s="10"/>
      <c r="F7154" s="10"/>
    </row>
    <row r="7155" customFormat="false" ht="24" hidden="false" customHeight="true" outlineLevel="0" collapsed="false">
      <c r="B7155" s="48" t="str">
        <f aca="false">Cab_Mentions</f>
        <v>ALTHO EXPERTISE · SAS au capital de 10 000 € · RCS Pontoise 919 706 325 · TVA FR62919706325 · Société d'expertise comptable inscrite au Tableau de l'Ordre des experts-comptables de Paris Île-de-France</v>
      </c>
      <c r="C7155" s="48"/>
      <c r="D7155" s="48"/>
      <c r="E7155" s="48"/>
      <c r="F7155" s="48"/>
    </row>
    <row r="7156" customFormat="false" ht="15" hidden="false" customHeight="false" outlineLevel="0" collapsed="false">
      <c r="B7156" s="10"/>
      <c r="C7156" s="10"/>
      <c r="D7156" s="10"/>
      <c r="E7156" s="10"/>
      <c r="F7156" s="10"/>
      <c r="J7156" s="25" t="s">
        <v>142</v>
      </c>
      <c r="K7156" s="25" t="n">
        <f aca="false">IFERROR(MATCH(160,Clients!$Z$2:$Z$501,0),0)</f>
        <v>0</v>
      </c>
      <c r="L7156" s="25"/>
      <c r="M7156" s="25"/>
      <c r="N7156" s="25"/>
      <c r="O7156" s="25"/>
    </row>
    <row r="7157" customFormat="false" ht="21.75" hidden="false" customHeight="true" outlineLevel="0" collapsed="false">
      <c r="B7157" s="26" t="str">
        <f aca="false">Cab_Nom</f>
        <v>ALTHO EXPERTISE</v>
      </c>
      <c r="C7157" s="26"/>
      <c r="D7157" s="10"/>
      <c r="E7157" s="27" t="str">
        <f aca="false">IF($K$7156=0,"","Réf. client : "&amp;INDEX(Clients!$A$2:$A$501,$K$7156))</f>
        <v/>
      </c>
      <c r="F7157" s="27"/>
      <c r="J7157" s="25" t="s">
        <v>144</v>
      </c>
      <c r="K7157" s="25" t="str">
        <f aca="false">IF(IF($K$7156=0,"",INDEX(Clients!$B$2:$B$501,$K$7156)&amp;"")="Mme","Madame",IF(IF($K$7156=0,"",INDEX(Clients!$B$2:$B$501,$K$7156)&amp;"")="M.","Monsieur","Madame, Monsieur"))</f>
        <v>Madame, Monsieur</v>
      </c>
      <c r="L7157" s="25"/>
      <c r="M7157" s="25"/>
      <c r="N7157" s="25"/>
      <c r="O7157" s="25"/>
    </row>
    <row r="7158" customFormat="false" ht="15" hidden="false" customHeight="false" outlineLevel="0" collapsed="false">
      <c r="B7158" s="29" t="str">
        <f aca="false">Cab_Adr1</f>
        <v>141 rue Charles de Gaulle</v>
      </c>
      <c r="C7158" s="29"/>
      <c r="D7158" s="10"/>
      <c r="E7158" s="10"/>
      <c r="F7158" s="10"/>
      <c r="J7158" s="25" t="s">
        <v>145</v>
      </c>
      <c r="K7158" s="25" t="str">
        <f aca="false">DAY(Date_Effet)&amp;IF(DAY(Date_Effet)=1,"er","")&amp;" "&amp;INDEX(Liste_Mois,MONTH(Date_Effet))&amp;" "&amp;YEAR(Date_Effet)</f>
        <v>1er janvier 2027</v>
      </c>
      <c r="L7158" s="25"/>
      <c r="M7158" s="25"/>
      <c r="N7158" s="25"/>
      <c r="O7158" s="25"/>
    </row>
    <row r="7159" customFormat="false" ht="15" hidden="false" customHeight="false" outlineLevel="0" collapsed="false">
      <c r="B7159" s="29" t="str">
        <f aca="false">Cab_CPVille</f>
        <v>95130 LE PLESSIS-BOUCHARD</v>
      </c>
      <c r="C7159" s="29"/>
      <c r="D7159" s="10"/>
      <c r="E7159" s="10"/>
      <c r="F7159" s="10"/>
      <c r="J7159" s="25" t="s">
        <v>146</v>
      </c>
      <c r="K7159" s="25" t="str">
        <f aca="false">IF(SUM($K$7183:$K$7186)=0,"",FIXED((SUM($L$7183:$L$7186)/SUM($K$7183:$K$7186)-1)*100,1)&amp;" %")</f>
        <v/>
      </c>
      <c r="L7159" s="25"/>
      <c r="M7159" s="25"/>
      <c r="N7159" s="25"/>
      <c r="O7159" s="25"/>
    </row>
    <row r="7160" customFormat="false" ht="15" hidden="false" customHeight="false" outlineLevel="0" collapsed="false">
      <c r="B7160" s="29" t="str">
        <f aca="false">Cab_Contact</f>
        <v>Tél. 01 34 14 53 45  ·  altho@altho-experts.com  ·  altho-experts.com</v>
      </c>
      <c r="C7160" s="29"/>
      <c r="D7160" s="10"/>
      <c r="E7160" s="10"/>
      <c r="F7160" s="10"/>
      <c r="J7160" s="25"/>
      <c r="K7160" s="25"/>
      <c r="L7160" s="25"/>
      <c r="M7160" s="25"/>
      <c r="N7160" s="25"/>
      <c r="O7160" s="25"/>
    </row>
    <row r="7161" customFormat="false" ht="6" hidden="false" customHeight="true" outlineLevel="0" collapsed="false">
      <c r="B7161" s="32"/>
      <c r="C7161" s="32"/>
      <c r="D7161" s="32"/>
      <c r="E7161" s="32"/>
      <c r="F7161" s="32"/>
      <c r="J7161" s="25"/>
      <c r="K7161" s="25"/>
      <c r="L7161" s="25"/>
      <c r="M7161" s="25"/>
      <c r="N7161" s="25"/>
      <c r="O7161" s="25"/>
    </row>
    <row r="7162" customFormat="false" ht="13.5" hidden="false" customHeight="true" outlineLevel="0" collapsed="false">
      <c r="B7162" s="10"/>
      <c r="C7162" s="10"/>
      <c r="D7162" s="10"/>
      <c r="E7162" s="10"/>
      <c r="F7162" s="10"/>
      <c r="J7162" s="25"/>
      <c r="K7162" s="25"/>
      <c r="L7162" s="25"/>
      <c r="M7162" s="25"/>
      <c r="N7162" s="25"/>
      <c r="O7162" s="25"/>
    </row>
    <row r="7163" customFormat="false" ht="13.5" hidden="false" customHeight="true" outlineLevel="0" collapsed="false">
      <c r="B7163" s="10"/>
      <c r="C7163" s="10"/>
      <c r="D7163" s="10"/>
      <c r="E7163" s="10"/>
      <c r="F7163" s="10"/>
      <c r="J7163" s="25"/>
      <c r="K7163" s="25"/>
      <c r="L7163" s="25"/>
      <c r="M7163" s="25"/>
      <c r="N7163" s="25"/>
      <c r="O7163" s="25"/>
    </row>
    <row r="7164" customFormat="false" ht="13.5" hidden="false" customHeight="true" outlineLevel="0" collapsed="false">
      <c r="B7164" s="10"/>
      <c r="C7164" s="10"/>
      <c r="D7164" s="10"/>
      <c r="E7164" s="10"/>
      <c r="F7164" s="10"/>
      <c r="J7164" s="25"/>
      <c r="K7164" s="25"/>
      <c r="L7164" s="25"/>
      <c r="M7164" s="25"/>
      <c r="N7164" s="25"/>
      <c r="O7164" s="25"/>
    </row>
    <row r="7165" customFormat="false" ht="15" hidden="false" customHeight="true" outlineLevel="0" collapsed="false">
      <c r="B7165" s="10"/>
      <c r="C7165" s="10"/>
      <c r="D7165" s="34" t="str">
        <f aca="false">IF($K$7156=0,"",INDEX(Clients!$E$2:$E$501,$K$7156)&amp;"")</f>
        <v/>
      </c>
      <c r="E7165" s="34"/>
      <c r="F7165" s="34"/>
      <c r="J7165" s="25"/>
      <c r="K7165" s="25"/>
      <c r="L7165" s="25"/>
      <c r="M7165" s="25"/>
      <c r="N7165" s="25"/>
      <c r="O7165" s="25"/>
    </row>
    <row r="7166" customFormat="false" ht="15" hidden="false" customHeight="true" outlineLevel="0" collapsed="false">
      <c r="B7166" s="10"/>
      <c r="C7166" s="10"/>
      <c r="D7166" s="35" t="str">
        <f aca="false">IF(IF($K$7156=0,"",INDEX(Clients!$D$2:$D$501,$K$7156)&amp;"")="","","À l'attention de "&amp;TRIM(IF($K$7156=0,"",INDEX(Clients!$B$2:$B$501,$K$7156)&amp;"")&amp;" "&amp;IF($K$7156=0,"",INDEX(Clients!$C$2:$C$501,$K$7156)&amp;"")&amp;" "&amp;IF($K$7156=0,"",INDEX(Clients!$D$2:$D$501,$K$7156)&amp;"")))</f>
        <v/>
      </c>
      <c r="E7166" s="35"/>
      <c r="F7166" s="35"/>
      <c r="J7166" s="25"/>
      <c r="K7166" s="25"/>
      <c r="L7166" s="25"/>
      <c r="M7166" s="25"/>
      <c r="N7166" s="25"/>
      <c r="O7166" s="25"/>
    </row>
    <row r="7167" customFormat="false" ht="15" hidden="false" customHeight="true" outlineLevel="0" collapsed="false">
      <c r="B7167" s="10"/>
      <c r="C7167" s="10"/>
      <c r="D7167" s="35" t="str">
        <f aca="false">IF($K$7156=0,"",INDEX(Clients!$F$2:$F$501,$K$7156)&amp;"")</f>
        <v/>
      </c>
      <c r="E7167" s="35"/>
      <c r="F7167" s="35"/>
      <c r="J7167" s="25"/>
      <c r="K7167" s="25"/>
      <c r="L7167" s="25"/>
      <c r="M7167" s="25"/>
      <c r="N7167" s="25"/>
      <c r="O7167" s="25"/>
    </row>
    <row r="7168" customFormat="false" ht="15" hidden="false" customHeight="true" outlineLevel="0" collapsed="false">
      <c r="B7168" s="10"/>
      <c r="C7168" s="10"/>
      <c r="D7168" s="35" t="str">
        <f aca="false">IF(IF($K$7156=0,"",INDEX(Clients!$G$2:$G$501,$K$7156)&amp;"")="",TRIM(IF($K$7156=0,"",INDEX(Clients!$H$2:$H$501,$K$7156)&amp;"")&amp;" "&amp;UPPER(IF($K$7156=0,"",INDEX(Clients!$I$2:$I$501,$K$7156)&amp;""))),IF($K$7156=0,"",INDEX(Clients!$G$2:$G$501,$K$7156)&amp;""))</f>
        <v/>
      </c>
      <c r="E7168" s="35"/>
      <c r="F7168" s="35"/>
      <c r="J7168" s="25"/>
      <c r="K7168" s="25"/>
      <c r="L7168" s="25"/>
      <c r="M7168" s="25"/>
      <c r="N7168" s="25"/>
      <c r="O7168" s="25"/>
    </row>
    <row r="7169" customFormat="false" ht="15" hidden="false" customHeight="true" outlineLevel="0" collapsed="false">
      <c r="B7169" s="10"/>
      <c r="C7169" s="10"/>
      <c r="D7169" s="35" t="str">
        <f aca="false">IF(IF($K$7156=0,"",INDEX(Clients!$G$2:$G$501,$K$7156)&amp;"")="","",TRIM(IF($K$7156=0,"",INDEX(Clients!$H$2:$H$501,$K$7156)&amp;"")&amp;" "&amp;UPPER(IF($K$7156=0,"",INDEX(Clients!$I$2:$I$501,$K$7156)&amp;""))))</f>
        <v/>
      </c>
      <c r="E7169" s="35"/>
      <c r="F7169" s="35"/>
      <c r="J7169" s="25"/>
      <c r="K7169" s="25"/>
      <c r="L7169" s="25"/>
      <c r="M7169" s="25"/>
      <c r="N7169" s="25"/>
      <c r="O7169" s="25"/>
    </row>
    <row r="7170" customFormat="false" ht="25.5" hidden="false" customHeight="true" outlineLevel="0" collapsed="false">
      <c r="B7170" s="10"/>
      <c r="C7170" s="10"/>
      <c r="D7170" s="10"/>
      <c r="E7170" s="10"/>
      <c r="F7170" s="10"/>
      <c r="J7170" s="25"/>
      <c r="K7170" s="25"/>
      <c r="L7170" s="25"/>
      <c r="M7170" s="25"/>
      <c r="N7170" s="25"/>
      <c r="O7170" s="25"/>
    </row>
    <row r="7171" customFormat="false" ht="15" hidden="false" customHeight="false" outlineLevel="0" collapsed="false">
      <c r="B7171" s="10"/>
      <c r="C7171" s="10"/>
      <c r="D7171" s="36" t="str">
        <f aca="false">Cab_Ville&amp;", le "&amp;DAY(Date_Courrier)&amp;IF(DAY(Date_Courrier)=1,"er","")&amp;" "&amp;INDEX(Liste_Mois,MONTH(Date_Courrier))&amp;" "&amp;YEAR(Date_Courrier)</f>
        <v>Le Plessis-Bouchard, le 22 septembre 2026</v>
      </c>
      <c r="E7171" s="36"/>
      <c r="F7171" s="36"/>
      <c r="J7171" s="25"/>
      <c r="K7171" s="25"/>
      <c r="L7171" s="25"/>
      <c r="M7171" s="25"/>
      <c r="N7171" s="25"/>
      <c r="O7171" s="25"/>
    </row>
    <row r="7172" customFormat="false" ht="19.5" hidden="false" customHeight="true" outlineLevel="0" collapsed="false">
      <c r="B7172" s="10"/>
      <c r="C7172" s="10"/>
      <c r="D7172" s="10"/>
      <c r="E7172" s="10"/>
      <c r="F7172" s="10"/>
      <c r="J7172" s="25"/>
      <c r="K7172" s="25"/>
      <c r="L7172" s="25"/>
      <c r="M7172" s="25"/>
      <c r="N7172" s="25"/>
      <c r="O7172" s="25"/>
    </row>
    <row r="7173" customFormat="false" ht="15" hidden="false" customHeight="false" outlineLevel="0" collapsed="false">
      <c r="B7173" s="34" t="str">
        <f aca="false">SUBSTITUTE(SUBSTITUTE(SUBSTITUTE(SUBSTITUTE(SUBSTITUTE(Txt_Objet,"{cabinet}",Cab_Nom),"{societe}",IF($K$7156=0,"",INDEX(Clients!$E$2:$E$501,$K$7156)&amp;"")),"{date_effet}",$K$7158),"{hausse}",$K$7159),"{civilite}",$K$7157)</f>
        <v>Objet : révision de nos honoraires au 1er janvier 2027</v>
      </c>
      <c r="C7173" s="34"/>
      <c r="D7173" s="34"/>
      <c r="E7173" s="34"/>
      <c r="F7173" s="34"/>
      <c r="J7173" s="25"/>
      <c r="K7173" s="25"/>
      <c r="L7173" s="25"/>
      <c r="M7173" s="25"/>
      <c r="N7173" s="25"/>
      <c r="O7173" s="25"/>
    </row>
    <row r="7174" customFormat="false" ht="13.5" hidden="false" customHeight="true" outlineLevel="0" collapsed="false">
      <c r="B7174" s="10"/>
      <c r="C7174" s="10"/>
      <c r="D7174" s="10"/>
      <c r="E7174" s="10"/>
      <c r="F7174" s="10"/>
      <c r="J7174" s="25"/>
      <c r="K7174" s="25"/>
      <c r="L7174" s="25"/>
      <c r="M7174" s="25"/>
      <c r="N7174" s="25"/>
      <c r="O7174" s="25"/>
    </row>
    <row r="7175" customFormat="false" ht="15" hidden="false" customHeight="false" outlineLevel="0" collapsed="false">
      <c r="B7175" s="10" t="str">
        <f aca="false">$K$7157&amp;","</f>
        <v>Madame, Monsieur,</v>
      </c>
      <c r="C7175" s="10"/>
      <c r="D7175" s="10"/>
      <c r="E7175" s="10"/>
      <c r="F7175" s="10"/>
      <c r="J7175" s="25"/>
      <c r="K7175" s="25"/>
      <c r="L7175" s="25"/>
      <c r="M7175" s="25"/>
      <c r="N7175" s="25"/>
      <c r="O7175" s="25"/>
    </row>
    <row r="7176" customFormat="false" ht="6" hidden="false" customHeight="true" outlineLevel="0" collapsed="false">
      <c r="B7176" s="10"/>
      <c r="C7176" s="10"/>
      <c r="D7176" s="10"/>
      <c r="E7176" s="10"/>
      <c r="F7176" s="10"/>
      <c r="J7176" s="25"/>
      <c r="K7176" s="25"/>
      <c r="L7176" s="25"/>
      <c r="M7176" s="25"/>
      <c r="N7176" s="25"/>
      <c r="O7176" s="25"/>
    </row>
    <row r="7177" customFormat="false" ht="36.75" hidden="false" customHeight="true" outlineLevel="0" collapsed="false">
      <c r="B7177" s="37" t="str">
        <f aca="false">SUBSTITUTE(SUBSTITUTE(SUBSTITUTE(SUBSTITUTE(SUBSTITUTE(Txt_P1,"{cabinet}",Cab_Nom),"{societe}",IF($K$7156=0,"",INDEX(Clients!$E$2:$E$501,$K$7156)&amp;"")),"{date_effet}",$K$7158),"{hausse}",$K$7159),"{civilite}",$K$7157)</f>
        <v>Nous tenons tout d'abord à vous remercier pour la confiance que vous accordez à ALTHO EXPERTISE. Comme chaque année, et conformément aux dispositions de votre lettre de mission, nous procédons à la révision de nos honoraires.</v>
      </c>
      <c r="C7177" s="37"/>
      <c r="D7177" s="37"/>
      <c r="E7177" s="37"/>
      <c r="F7177" s="37"/>
      <c r="J7177" s="25"/>
      <c r="K7177" s="25"/>
      <c r="L7177" s="25"/>
      <c r="M7177" s="25"/>
      <c r="N7177" s="25"/>
      <c r="O7177" s="25"/>
    </row>
    <row r="7178" customFormat="false" ht="49.5" hidden="false" customHeight="true" outlineLevel="0" collapsed="false">
      <c r="B7178" s="37" t="str">
        <f aca="false">SUBSTITUTE(SUBSTITUTE(SUBSTITUTE(SUBSTITUTE(SUBSTITUTE(Txt_P2,"{cabinet}",Cab_Nom),"{societe}",IF($K$7156=0,"",INDEX(Clients!$E$2:$E$501,$K$7156)&amp;"")),"{date_effet}",$K$7158),"{hausse}",$K$7159),"{civilite}",$K$7157)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178" s="37"/>
      <c r="D7178" s="37"/>
      <c r="E7178" s="37"/>
      <c r="F7178" s="37"/>
      <c r="J7178" s="25"/>
      <c r="K7178" s="25"/>
      <c r="L7178" s="25"/>
      <c r="M7178" s="25"/>
      <c r="N7178" s="25"/>
      <c r="O7178" s="25"/>
    </row>
    <row r="7179" customFormat="false" ht="63" hidden="false" customHeight="true" outlineLevel="0" collapsed="false">
      <c r="B7179" s="37" t="str">
        <f aca="false">SUBSTITUTE(SUBSTITUTE(SUBSTITUTE(SUBSTITUTE(SUBSTITUTE(Txt_P3,"{cabinet}",Cab_Nom),"{societe}",IF($K$7156=0,"",INDEX(Clients!$E$2:$E$501,$K$7156)&amp;"")),"{date_effet}",$K$7158),"{hausse}",$K$7159),"{civilite}",$K$7157)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179" s="37"/>
      <c r="D7179" s="37"/>
      <c r="E7179" s="37"/>
      <c r="F7179" s="37"/>
      <c r="J7179" s="25"/>
      <c r="K7179" s="25"/>
      <c r="L7179" s="25"/>
      <c r="M7179" s="25"/>
      <c r="N7179" s="25"/>
      <c r="O7179" s="25"/>
    </row>
    <row r="7180" customFormat="false" ht="24" hidden="false" customHeight="true" outlineLevel="0" collapsed="false">
      <c r="B7180" s="37" t="str">
        <f aca="false">SUBSTITUTE(SUBSTITUTE(SUBSTITUTE(SUBSTITUTE(SUBSTITUTE(Txt_P4,"{cabinet}",Cab_Nom),"{societe}",IF($K$7156=0,"",INDEX(Clients!$E$2:$E$501,$K$7156)&amp;"")),"{date_effet}",$K$7158),"{hausse}",$K$7159),"{civilite}",$K$7157)</f>
        <v>À compter du 1er janvier 2027, vos honoraires annuels hors taxes évolueront ainsi (évolution globale : ) :</v>
      </c>
      <c r="C7180" s="37"/>
      <c r="D7180" s="37"/>
      <c r="E7180" s="37"/>
      <c r="F7180" s="37"/>
      <c r="J7180" s="25"/>
      <c r="K7180" s="25"/>
      <c r="L7180" s="25"/>
      <c r="M7180" s="25"/>
      <c r="N7180" s="25"/>
      <c r="O7180" s="25"/>
    </row>
    <row r="7181" customFormat="false" ht="3.75" hidden="false" customHeight="true" outlineLevel="0" collapsed="false">
      <c r="B7181" s="10"/>
      <c r="C7181" s="10"/>
      <c r="D7181" s="10"/>
      <c r="E7181" s="10"/>
      <c r="F7181" s="10"/>
      <c r="J7181" s="25"/>
      <c r="K7181" s="25"/>
      <c r="L7181" s="25"/>
      <c r="M7181" s="25"/>
      <c r="N7181" s="25"/>
      <c r="O7181" s="25"/>
    </row>
    <row r="7182" customFormat="false" ht="18" hidden="false" customHeight="true" outlineLevel="0" collapsed="false">
      <c r="B7182" s="38" t="s">
        <v>148</v>
      </c>
      <c r="C7182" s="39" t="s">
        <v>149</v>
      </c>
      <c r="D7182" s="39" t="s">
        <v>150</v>
      </c>
      <c r="E7182" s="39" t="s">
        <v>151</v>
      </c>
      <c r="F7182" s="39" t="s">
        <v>109</v>
      </c>
      <c r="J7182" s="25" t="s">
        <v>152</v>
      </c>
      <c r="K7182" s="25" t="s">
        <v>153</v>
      </c>
      <c r="L7182" s="25" t="s">
        <v>154</v>
      </c>
      <c r="M7182" s="25" t="s">
        <v>155</v>
      </c>
      <c r="N7182" s="25" t="s">
        <v>156</v>
      </c>
      <c r="O7182" s="25" t="s">
        <v>157</v>
      </c>
    </row>
    <row r="7183" customFormat="false" ht="16.5" hidden="false" customHeight="true" outlineLevel="0" collapsed="false">
      <c r="B7183" s="40" t="str">
        <f aca="false">IFERROR(INDEX($J$7183:$J$7186,MATCH($O7183,$N$7183:$N$7186,0)),"")</f>
        <v/>
      </c>
      <c r="C7183" s="41" t="str">
        <f aca="false">IFERROR(INDEX($K$7183:$K$7186,MATCH($O7183,$N$7183:$N$7186,0)),"")</f>
        <v/>
      </c>
      <c r="D7183" s="42" t="str">
        <f aca="false">IF(OR(E7183="",N(C7183)=0),"",E7183/C7183-1)</f>
        <v/>
      </c>
      <c r="E7183" s="41" t="str">
        <f aca="false">IFERROR(INDEX($L$7183:$L$7186,MATCH($O7183,$N$7183:$N$7186,0)),"")</f>
        <v/>
      </c>
      <c r="F7183" s="41" t="str">
        <f aca="false">IF(E7183="","",E7183-C7183)</f>
        <v/>
      </c>
      <c r="J7183" s="25" t="str">
        <f aca="false">Lib_Compta</f>
        <v>Mission comptable (tenue, révision, bilan, liasse fiscale)</v>
      </c>
      <c r="K7183" s="25" t="n">
        <f aca="false">IF($K$7156=0,0,N(INDEX(Clients!$K$2:$K$501,$K$7156)))</f>
        <v>0</v>
      </c>
      <c r="L7183" s="25" t="n">
        <f aca="false">IF($K$7156=0,0,N(INDEX(Clients!$P$2:$P$501,$K$7156)))</f>
        <v>0</v>
      </c>
      <c r="M7183" s="25" t="n">
        <f aca="false">IF(OR(K7183&lt;&gt;0,L7183&lt;&gt;0),1,0)</f>
        <v>0</v>
      </c>
      <c r="N7183" s="25" t="str">
        <f aca="false">IF(M7183=1,SUM($M$7183:M7183),"")</f>
        <v/>
      </c>
      <c r="O7183" s="25" t="n">
        <v>1</v>
      </c>
    </row>
    <row r="7184" customFormat="false" ht="16.5" hidden="false" customHeight="true" outlineLevel="0" collapsed="false">
      <c r="B7184" s="40" t="str">
        <f aca="false">IFERROR(INDEX($J$7183:$J$7186,MATCH($O7184,$N$7183:$N$7186,0)),"")</f>
        <v/>
      </c>
      <c r="C7184" s="41" t="str">
        <f aca="false">IFERROR(INDEX($K$7183:$K$7186,MATCH($O7184,$N$7183:$N$7186,0)),"")</f>
        <v/>
      </c>
      <c r="D7184" s="42" t="str">
        <f aca="false">IF(OR(E7184="",N(C7184)=0),"",E7184/C7184-1)</f>
        <v/>
      </c>
      <c r="E7184" s="41" t="str">
        <f aca="false">IFERROR(INDEX($L$7183:$L$7186,MATCH($O7184,$N$7183:$N$7186,0)),"")</f>
        <v/>
      </c>
      <c r="F7184" s="41" t="str">
        <f aca="false">IF(E7184="","",E7184-C7184)</f>
        <v/>
      </c>
      <c r="J7184" s="25" t="str">
        <f aca="false">Lib_Paye</f>
        <v>Mission sociale (bulletins de paie, DSN, déclarations sociales)</v>
      </c>
      <c r="K7184" s="25" t="n">
        <f aca="false">IF($K$7156=0,0,N(INDEX(Clients!$L$2:$L$501,$K$7156)))</f>
        <v>0</v>
      </c>
      <c r="L7184" s="25" t="n">
        <f aca="false">IF($K$7156=0,0,N(INDEX(Clients!$Q$2:$Q$501,$K$7156)))</f>
        <v>0</v>
      </c>
      <c r="M7184" s="25" t="n">
        <f aca="false">IF(OR(K7184&lt;&gt;0,L7184&lt;&gt;0),1,0)</f>
        <v>0</v>
      </c>
      <c r="N7184" s="25" t="str">
        <f aca="false">IF(M7184=1,SUM($M$7183:M7184),"")</f>
        <v/>
      </c>
      <c r="O7184" s="25" t="n">
        <v>2</v>
      </c>
    </row>
    <row r="7185" customFormat="false" ht="16.5" hidden="false" customHeight="true" outlineLevel="0" collapsed="false">
      <c r="B7185" s="40" t="str">
        <f aca="false">IFERROR(INDEX($J$7183:$J$7186,MATCH($O7185,$N$7183:$N$7186,0)),"")</f>
        <v/>
      </c>
      <c r="C7185" s="41" t="str">
        <f aca="false">IFERROR(INDEX($K$7183:$K$7186,MATCH($O7185,$N$7183:$N$7186,0)),"")</f>
        <v/>
      </c>
      <c r="D7185" s="42" t="str">
        <f aca="false">IF(OR(E7185="",N(C7185)=0),"",E7185/C7185-1)</f>
        <v/>
      </c>
      <c r="E7185" s="41" t="str">
        <f aca="false">IFERROR(INDEX($L$7183:$L$7186,MATCH($O7185,$N$7183:$N$7186,0)),"")</f>
        <v/>
      </c>
      <c r="F7185" s="41" t="str">
        <f aca="false">IF(E7185="","",E7185-C7185)</f>
        <v/>
      </c>
      <c r="J7185" s="25" t="str">
        <f aca="false">Lib_Jur</f>
        <v>Mission juridique (approbation des comptes, secrétariat juridique)</v>
      </c>
      <c r="K7185" s="25" t="n">
        <f aca="false">IF($K$7156=0,0,N(INDEX(Clients!$M$2:$M$501,$K$7156)))</f>
        <v>0</v>
      </c>
      <c r="L7185" s="25" t="n">
        <f aca="false">IF($K$7156=0,0,N(INDEX(Clients!$R$2:$R$501,$K$7156)))</f>
        <v>0</v>
      </c>
      <c r="M7185" s="25" t="n">
        <f aca="false">IF(OR(K7185&lt;&gt;0,L7185&lt;&gt;0),1,0)</f>
        <v>0</v>
      </c>
      <c r="N7185" s="25" t="str">
        <f aca="false">IF(M7185=1,SUM($M$7183:M7185),"")</f>
        <v/>
      </c>
      <c r="O7185" s="25" t="n">
        <v>3</v>
      </c>
    </row>
    <row r="7186" customFormat="false" ht="16.5" hidden="false" customHeight="true" outlineLevel="0" collapsed="false">
      <c r="B7186" s="40" t="str">
        <f aca="false">IFERROR(INDEX($J$7183:$J$7186,MATCH($O7186,$N$7183:$N$7186,0)),"")</f>
        <v/>
      </c>
      <c r="C7186" s="41" t="str">
        <f aca="false">IFERROR(INDEX($K$7183:$K$7186,MATCH($O7186,$N$7183:$N$7186,0)),"")</f>
        <v/>
      </c>
      <c r="D7186" s="42" t="str">
        <f aca="false">IF(OR(E7186="",N(C7186)=0),"",E7186/C7186-1)</f>
        <v/>
      </c>
      <c r="E7186" s="41" t="str">
        <f aca="false">IFERROR(INDEX($L$7183:$L$7186,MATCH($O7186,$N$7183:$N$7186,0)),"")</f>
        <v/>
      </c>
      <c r="F7186" s="41" t="str">
        <f aca="false">IF(E7186="","",E7186-C7186)</f>
        <v/>
      </c>
      <c r="J7186" s="25" t="str">
        <f aca="false">Lib_PA</f>
        <v>Plateforme agréée – facturation électronique</v>
      </c>
      <c r="K7186" s="25" t="n">
        <f aca="false">IF($K$7156=0,0,N(INDEX(Clients!$N$2:$N$501,$K$7156)))</f>
        <v>0</v>
      </c>
      <c r="L7186" s="25" t="n">
        <f aca="false">IF($K$7156=0,0,N(INDEX(Clients!$S$2:$S$501,$K$7156)))</f>
        <v>0</v>
      </c>
      <c r="M7186" s="25" t="n">
        <f aca="false">IF(OR(K7186&lt;&gt;0,L7186&lt;&gt;0),1,0)</f>
        <v>0</v>
      </c>
      <c r="N7186" s="25" t="str">
        <f aca="false">IF(M7186=1,SUM($M$7183:M7186),"")</f>
        <v/>
      </c>
      <c r="O7186" s="25" t="n">
        <v>4</v>
      </c>
    </row>
    <row r="7187" customFormat="false" ht="18" hidden="false" customHeight="true" outlineLevel="0" collapsed="false">
      <c r="B7187" s="43" t="s">
        <v>158</v>
      </c>
      <c r="C7187" s="44" t="n">
        <f aca="false">SUM(K7183:K7186)</f>
        <v>0</v>
      </c>
      <c r="D7187" s="45" t="str">
        <f aca="false">IF(N(C7187)=0,"",E7187/C7187-1)</f>
        <v/>
      </c>
      <c r="E7187" s="44" t="n">
        <f aca="false">SUM(L7183:L7186)</f>
        <v>0</v>
      </c>
      <c r="F7187" s="44" t="n">
        <f aca="false">E7187-C7187</f>
        <v>0</v>
      </c>
    </row>
    <row r="7188" customFormat="false" ht="15" hidden="false" customHeight="false" outlineLevel="0" collapsed="false">
      <c r="B7188" s="46" t="str">
        <f aca="false">IF(N(Nb_Mensualites)=0,"","Soit "&amp;FIXED(E7187/Nb_Mensualites,2)&amp;" € HT par échéance ("&amp;Nb_Mensualites&amp;" échéances), "&amp;FIXED(E7187/Nb_Mensualites*(1+Taux_TVA),2)&amp;" € TTC.")</f>
        <v>Soit 0.00 € HT par échéance (12 échéances), 0.00 € TTC.</v>
      </c>
      <c r="C7188" s="46"/>
      <c r="D7188" s="46"/>
      <c r="E7188" s="46"/>
      <c r="F7188" s="46"/>
    </row>
    <row r="7189" customFormat="false" ht="7.5" hidden="false" customHeight="true" outlineLevel="0" collapsed="false">
      <c r="B7189" s="10"/>
      <c r="C7189" s="10"/>
      <c r="D7189" s="10"/>
      <c r="E7189" s="10"/>
      <c r="F7189" s="10"/>
    </row>
    <row r="7190" customFormat="false" ht="36.75" hidden="false" customHeight="true" outlineLevel="0" collapsed="false">
      <c r="B7190" s="37" t="str">
        <f aca="false">SUBSTITUTE(SUBSTITUTE(SUBSTITUTE(SUBSTITUTE(SUBSTITUTE(Txt_P5,"{cabinet}",Cab_Nom),"{societe}",IF($K$7156=0,"",INDEX(Clients!$E$2:$E$501,$K$7156)&amp;"")),"{date_effet}",$K$7158),"{hausse}",$K$7159),"{civilite}",$K$7157)</f>
        <v>Les autres conditions de votre lettre de mission demeurent inchangées. Les nouveaux montants seront appliqués automatiquement sur vos prochaines factures et échéances de prélèvement.</v>
      </c>
      <c r="C7190" s="37"/>
      <c r="D7190" s="37"/>
      <c r="E7190" s="37"/>
      <c r="F7190" s="37"/>
    </row>
    <row r="7191" customFormat="false" ht="36.75" hidden="false" customHeight="true" outlineLevel="0" collapsed="false">
      <c r="B7191" s="37" t="str">
        <f aca="false">SUBSTITUTE(SUBSTITUTE(SUBSTITUTE(SUBSTITUTE(SUBSTITUTE(Txt_P6,"{cabinet}",Cab_Nom),"{societe}",IF($K$7156=0,"",INDEX(Clients!$E$2:$E$501,$K$7156)&amp;"")),"{date_effet}",$K$7158),"{hausse}",$K$7159),"{civilite}",$K$7157)</f>
        <v>Votre interlocuteur habituel reste à votre entière disposition pour répondre à vos questions et faire le point sur l'évolution de vos besoins.</v>
      </c>
      <c r="C7191" s="37"/>
      <c r="D7191" s="37"/>
      <c r="E7191" s="37"/>
      <c r="F7191" s="37"/>
    </row>
    <row r="7192" customFormat="false" ht="24" hidden="false" customHeight="true" outlineLevel="0" collapsed="false">
      <c r="B7192" s="37" t="str">
        <f aca="false">SUBSTITUTE(SUBSTITUTE(SUBSTITUTE(SUBSTITUTE(SUBSTITUTE(Txt_Politesse,"{cabinet}",Cab_Nom),"{societe}",IF($K$7156=0,"",INDEX(Clients!$E$2:$E$501,$K$7156)&amp;"")),"{date_effet}",$K$7158),"{hausse}",$K$7159),"{civilite}",$K$7157)</f>
        <v>Nous vous prions d'agréer, Madame, Monsieur, l'expression de nos salutations distinguées.</v>
      </c>
      <c r="C7192" s="37"/>
      <c r="D7192" s="37"/>
      <c r="E7192" s="37"/>
      <c r="F7192" s="37"/>
    </row>
    <row r="7193" customFormat="false" ht="15" hidden="false" customHeight="false" outlineLevel="0" collapsed="false">
      <c r="B7193" s="10"/>
      <c r="C7193" s="10"/>
      <c r="D7193" s="10"/>
      <c r="E7193" s="10"/>
      <c r="F7193" s="10"/>
    </row>
    <row r="7194" customFormat="false" ht="15" hidden="false" customHeight="false" outlineLevel="0" collapsed="false">
      <c r="B7194" s="10"/>
      <c r="C7194" s="10"/>
      <c r="D7194" s="34" t="str">
        <f aca="false">Signataire</f>
        <v>Prénom NOM</v>
      </c>
      <c r="E7194" s="34"/>
      <c r="F7194" s="34"/>
    </row>
    <row r="7195" customFormat="false" ht="15" hidden="false" customHeight="false" outlineLevel="0" collapsed="false">
      <c r="B7195" s="10"/>
      <c r="C7195" s="10"/>
      <c r="D7195" s="47" t="str">
        <f aca="false">Signataire_Titre</f>
        <v>Expert-comptable associé</v>
      </c>
      <c r="E7195" s="47"/>
      <c r="F7195" s="47"/>
    </row>
    <row r="7196" customFormat="false" ht="15.75" hidden="false" customHeight="true" outlineLevel="0" collapsed="false">
      <c r="B7196" s="10"/>
      <c r="C7196" s="10"/>
      <c r="D7196" s="10"/>
      <c r="E7196" s="10"/>
      <c r="F7196" s="10"/>
    </row>
    <row r="7197" customFormat="false" ht="15.75" hidden="false" customHeight="true" outlineLevel="0" collapsed="false">
      <c r="B7197" s="10"/>
      <c r="C7197" s="10"/>
      <c r="D7197" s="10"/>
      <c r="E7197" s="10"/>
      <c r="F7197" s="10"/>
    </row>
    <row r="7198" customFormat="false" ht="15.75" hidden="false" customHeight="true" outlineLevel="0" collapsed="false">
      <c r="B7198" s="10"/>
      <c r="C7198" s="10"/>
      <c r="D7198" s="10"/>
      <c r="E7198" s="10"/>
      <c r="F7198" s="10"/>
    </row>
    <row r="7199" customFormat="false" ht="15.75" hidden="false" customHeight="true" outlineLevel="0" collapsed="false">
      <c r="B7199" s="10"/>
      <c r="C7199" s="10"/>
      <c r="D7199" s="10"/>
      <c r="E7199" s="10"/>
      <c r="F7199" s="10"/>
    </row>
    <row r="7200" customFormat="false" ht="24" hidden="false" customHeight="true" outlineLevel="0" collapsed="false">
      <c r="B7200" s="48" t="str">
        <f aca="false">Cab_Mentions</f>
        <v>ALTHO EXPERTISE · SAS au capital de 10 000 € · RCS Pontoise 919 706 325 · TVA FR62919706325 · Société d'expertise comptable inscrite au Tableau de l'Ordre des experts-comptables de Paris Île-de-France</v>
      </c>
      <c r="C7200" s="48"/>
      <c r="D7200" s="48"/>
      <c r="E7200" s="48"/>
      <c r="F7200" s="48"/>
    </row>
    <row r="7201" customFormat="false" ht="15" hidden="false" customHeight="false" outlineLevel="0" collapsed="false">
      <c r="B7201" s="10"/>
      <c r="C7201" s="10"/>
      <c r="D7201" s="10"/>
      <c r="E7201" s="10"/>
      <c r="F7201" s="10"/>
      <c r="J7201" s="25" t="s">
        <v>142</v>
      </c>
      <c r="K7201" s="25" t="n">
        <f aca="false">IFERROR(MATCH(161,Clients!$Z$2:$Z$501,0),0)</f>
        <v>0</v>
      </c>
      <c r="L7201" s="25"/>
      <c r="M7201" s="25"/>
      <c r="N7201" s="25"/>
      <c r="O7201" s="25"/>
    </row>
    <row r="7202" customFormat="false" ht="21.75" hidden="false" customHeight="true" outlineLevel="0" collapsed="false">
      <c r="B7202" s="26" t="str">
        <f aca="false">Cab_Nom</f>
        <v>ALTHO EXPERTISE</v>
      </c>
      <c r="C7202" s="26"/>
      <c r="D7202" s="10"/>
      <c r="E7202" s="27" t="str">
        <f aca="false">IF($K$7201=0,"","Réf. client : "&amp;INDEX(Clients!$A$2:$A$501,$K$7201))</f>
        <v/>
      </c>
      <c r="F7202" s="27"/>
      <c r="J7202" s="25" t="s">
        <v>144</v>
      </c>
      <c r="K7202" s="25" t="str">
        <f aca="false">IF(IF($K$7201=0,"",INDEX(Clients!$B$2:$B$501,$K$7201)&amp;"")="Mme","Madame",IF(IF($K$7201=0,"",INDEX(Clients!$B$2:$B$501,$K$7201)&amp;"")="M.","Monsieur","Madame, Monsieur"))</f>
        <v>Madame, Monsieur</v>
      </c>
      <c r="L7202" s="25"/>
      <c r="M7202" s="25"/>
      <c r="N7202" s="25"/>
      <c r="O7202" s="25"/>
    </row>
    <row r="7203" customFormat="false" ht="15" hidden="false" customHeight="false" outlineLevel="0" collapsed="false">
      <c r="B7203" s="29" t="str">
        <f aca="false">Cab_Adr1</f>
        <v>141 rue Charles de Gaulle</v>
      </c>
      <c r="C7203" s="29"/>
      <c r="D7203" s="10"/>
      <c r="E7203" s="10"/>
      <c r="F7203" s="10"/>
      <c r="J7203" s="25" t="s">
        <v>145</v>
      </c>
      <c r="K7203" s="25" t="str">
        <f aca="false">DAY(Date_Effet)&amp;IF(DAY(Date_Effet)=1,"er","")&amp;" "&amp;INDEX(Liste_Mois,MONTH(Date_Effet))&amp;" "&amp;YEAR(Date_Effet)</f>
        <v>1er janvier 2027</v>
      </c>
      <c r="L7203" s="25"/>
      <c r="M7203" s="25"/>
      <c r="N7203" s="25"/>
      <c r="O7203" s="25"/>
    </row>
    <row r="7204" customFormat="false" ht="15" hidden="false" customHeight="false" outlineLevel="0" collapsed="false">
      <c r="B7204" s="29" t="str">
        <f aca="false">Cab_CPVille</f>
        <v>95130 LE PLESSIS-BOUCHARD</v>
      </c>
      <c r="C7204" s="29"/>
      <c r="D7204" s="10"/>
      <c r="E7204" s="10"/>
      <c r="F7204" s="10"/>
      <c r="J7204" s="25" t="s">
        <v>146</v>
      </c>
      <c r="K7204" s="25" t="str">
        <f aca="false">IF(SUM($K$7228:$K$7231)=0,"",FIXED((SUM($L$7228:$L$7231)/SUM($K$7228:$K$7231)-1)*100,1)&amp;" %")</f>
        <v/>
      </c>
      <c r="L7204" s="25"/>
      <c r="M7204" s="25"/>
      <c r="N7204" s="25"/>
      <c r="O7204" s="25"/>
    </row>
    <row r="7205" customFormat="false" ht="15" hidden="false" customHeight="false" outlineLevel="0" collapsed="false">
      <c r="B7205" s="29" t="str">
        <f aca="false">Cab_Contact</f>
        <v>Tél. 01 34 14 53 45  ·  altho@altho-experts.com  ·  altho-experts.com</v>
      </c>
      <c r="C7205" s="29"/>
      <c r="D7205" s="10"/>
      <c r="E7205" s="10"/>
      <c r="F7205" s="10"/>
      <c r="J7205" s="25"/>
      <c r="K7205" s="25"/>
      <c r="L7205" s="25"/>
      <c r="M7205" s="25"/>
      <c r="N7205" s="25"/>
      <c r="O7205" s="25"/>
    </row>
    <row r="7206" customFormat="false" ht="6" hidden="false" customHeight="true" outlineLevel="0" collapsed="false">
      <c r="B7206" s="32"/>
      <c r="C7206" s="32"/>
      <c r="D7206" s="32"/>
      <c r="E7206" s="32"/>
      <c r="F7206" s="32"/>
      <c r="J7206" s="25"/>
      <c r="K7206" s="25"/>
      <c r="L7206" s="25"/>
      <c r="M7206" s="25"/>
      <c r="N7206" s="25"/>
      <c r="O7206" s="25"/>
    </row>
    <row r="7207" customFormat="false" ht="13.5" hidden="false" customHeight="true" outlineLevel="0" collapsed="false">
      <c r="B7207" s="10"/>
      <c r="C7207" s="10"/>
      <c r="D7207" s="10"/>
      <c r="E7207" s="10"/>
      <c r="F7207" s="10"/>
      <c r="J7207" s="25"/>
      <c r="K7207" s="25"/>
      <c r="L7207" s="25"/>
      <c r="M7207" s="25"/>
      <c r="N7207" s="25"/>
      <c r="O7207" s="25"/>
    </row>
    <row r="7208" customFormat="false" ht="13.5" hidden="false" customHeight="true" outlineLevel="0" collapsed="false">
      <c r="B7208" s="10"/>
      <c r="C7208" s="10"/>
      <c r="D7208" s="10"/>
      <c r="E7208" s="10"/>
      <c r="F7208" s="10"/>
      <c r="J7208" s="25"/>
      <c r="K7208" s="25"/>
      <c r="L7208" s="25"/>
      <c r="M7208" s="25"/>
      <c r="N7208" s="25"/>
      <c r="O7208" s="25"/>
    </row>
    <row r="7209" customFormat="false" ht="13.5" hidden="false" customHeight="true" outlineLevel="0" collapsed="false">
      <c r="B7209" s="10"/>
      <c r="C7209" s="10"/>
      <c r="D7209" s="10"/>
      <c r="E7209" s="10"/>
      <c r="F7209" s="10"/>
      <c r="J7209" s="25"/>
      <c r="K7209" s="25"/>
      <c r="L7209" s="25"/>
      <c r="M7209" s="25"/>
      <c r="N7209" s="25"/>
      <c r="O7209" s="25"/>
    </row>
    <row r="7210" customFormat="false" ht="15" hidden="false" customHeight="true" outlineLevel="0" collapsed="false">
      <c r="B7210" s="10"/>
      <c r="C7210" s="10"/>
      <c r="D7210" s="34" t="str">
        <f aca="false">IF($K$7201=0,"",INDEX(Clients!$E$2:$E$501,$K$7201)&amp;"")</f>
        <v/>
      </c>
      <c r="E7210" s="34"/>
      <c r="F7210" s="34"/>
      <c r="J7210" s="25"/>
      <c r="K7210" s="25"/>
      <c r="L7210" s="25"/>
      <c r="M7210" s="25"/>
      <c r="N7210" s="25"/>
      <c r="O7210" s="25"/>
    </row>
    <row r="7211" customFormat="false" ht="15" hidden="false" customHeight="true" outlineLevel="0" collapsed="false">
      <c r="B7211" s="10"/>
      <c r="C7211" s="10"/>
      <c r="D7211" s="35" t="str">
        <f aca="false">IF(IF($K$7201=0,"",INDEX(Clients!$D$2:$D$501,$K$7201)&amp;"")="","","À l'attention de "&amp;TRIM(IF($K$7201=0,"",INDEX(Clients!$B$2:$B$501,$K$7201)&amp;"")&amp;" "&amp;IF($K$7201=0,"",INDEX(Clients!$C$2:$C$501,$K$7201)&amp;"")&amp;" "&amp;IF($K$7201=0,"",INDEX(Clients!$D$2:$D$501,$K$7201)&amp;"")))</f>
        <v/>
      </c>
      <c r="E7211" s="35"/>
      <c r="F7211" s="35"/>
      <c r="J7211" s="25"/>
      <c r="K7211" s="25"/>
      <c r="L7211" s="25"/>
      <c r="M7211" s="25"/>
      <c r="N7211" s="25"/>
      <c r="O7211" s="25"/>
    </row>
    <row r="7212" customFormat="false" ht="15" hidden="false" customHeight="true" outlineLevel="0" collapsed="false">
      <c r="B7212" s="10"/>
      <c r="C7212" s="10"/>
      <c r="D7212" s="35" t="str">
        <f aca="false">IF($K$7201=0,"",INDEX(Clients!$F$2:$F$501,$K$7201)&amp;"")</f>
        <v/>
      </c>
      <c r="E7212" s="35"/>
      <c r="F7212" s="35"/>
      <c r="J7212" s="25"/>
      <c r="K7212" s="25"/>
      <c r="L7212" s="25"/>
      <c r="M7212" s="25"/>
      <c r="N7212" s="25"/>
      <c r="O7212" s="25"/>
    </row>
    <row r="7213" customFormat="false" ht="15" hidden="false" customHeight="true" outlineLevel="0" collapsed="false">
      <c r="B7213" s="10"/>
      <c r="C7213" s="10"/>
      <c r="D7213" s="35" t="str">
        <f aca="false">IF(IF($K$7201=0,"",INDEX(Clients!$G$2:$G$501,$K$7201)&amp;"")="",TRIM(IF($K$7201=0,"",INDEX(Clients!$H$2:$H$501,$K$7201)&amp;"")&amp;" "&amp;UPPER(IF($K$7201=0,"",INDEX(Clients!$I$2:$I$501,$K$7201)&amp;""))),IF($K$7201=0,"",INDEX(Clients!$G$2:$G$501,$K$7201)&amp;""))</f>
        <v/>
      </c>
      <c r="E7213" s="35"/>
      <c r="F7213" s="35"/>
      <c r="J7213" s="25"/>
      <c r="K7213" s="25"/>
      <c r="L7213" s="25"/>
      <c r="M7213" s="25"/>
      <c r="N7213" s="25"/>
      <c r="O7213" s="25"/>
    </row>
    <row r="7214" customFormat="false" ht="15" hidden="false" customHeight="true" outlineLevel="0" collapsed="false">
      <c r="B7214" s="10"/>
      <c r="C7214" s="10"/>
      <c r="D7214" s="35" t="str">
        <f aca="false">IF(IF($K$7201=0,"",INDEX(Clients!$G$2:$G$501,$K$7201)&amp;"")="","",TRIM(IF($K$7201=0,"",INDEX(Clients!$H$2:$H$501,$K$7201)&amp;"")&amp;" "&amp;UPPER(IF($K$7201=0,"",INDEX(Clients!$I$2:$I$501,$K$7201)&amp;""))))</f>
        <v/>
      </c>
      <c r="E7214" s="35"/>
      <c r="F7214" s="35"/>
      <c r="J7214" s="25"/>
      <c r="K7214" s="25"/>
      <c r="L7214" s="25"/>
      <c r="M7214" s="25"/>
      <c r="N7214" s="25"/>
      <c r="O7214" s="25"/>
    </row>
    <row r="7215" customFormat="false" ht="25.5" hidden="false" customHeight="true" outlineLevel="0" collapsed="false">
      <c r="B7215" s="10"/>
      <c r="C7215" s="10"/>
      <c r="D7215" s="10"/>
      <c r="E7215" s="10"/>
      <c r="F7215" s="10"/>
      <c r="J7215" s="25"/>
      <c r="K7215" s="25"/>
      <c r="L7215" s="25"/>
      <c r="M7215" s="25"/>
      <c r="N7215" s="25"/>
      <c r="O7215" s="25"/>
    </row>
    <row r="7216" customFormat="false" ht="15" hidden="false" customHeight="false" outlineLevel="0" collapsed="false">
      <c r="B7216" s="10"/>
      <c r="C7216" s="10"/>
      <c r="D7216" s="36" t="str">
        <f aca="false">Cab_Ville&amp;", le "&amp;DAY(Date_Courrier)&amp;IF(DAY(Date_Courrier)=1,"er","")&amp;" "&amp;INDEX(Liste_Mois,MONTH(Date_Courrier))&amp;" "&amp;YEAR(Date_Courrier)</f>
        <v>Le Plessis-Bouchard, le 22 septembre 2026</v>
      </c>
      <c r="E7216" s="36"/>
      <c r="F7216" s="36"/>
      <c r="J7216" s="25"/>
      <c r="K7216" s="25"/>
      <c r="L7216" s="25"/>
      <c r="M7216" s="25"/>
      <c r="N7216" s="25"/>
      <c r="O7216" s="25"/>
    </row>
    <row r="7217" customFormat="false" ht="19.5" hidden="false" customHeight="true" outlineLevel="0" collapsed="false">
      <c r="B7217" s="10"/>
      <c r="C7217" s="10"/>
      <c r="D7217" s="10"/>
      <c r="E7217" s="10"/>
      <c r="F7217" s="10"/>
      <c r="J7217" s="25"/>
      <c r="K7217" s="25"/>
      <c r="L7217" s="25"/>
      <c r="M7217" s="25"/>
      <c r="N7217" s="25"/>
      <c r="O7217" s="25"/>
    </row>
    <row r="7218" customFormat="false" ht="15" hidden="false" customHeight="false" outlineLevel="0" collapsed="false">
      <c r="B7218" s="34" t="str">
        <f aca="false">SUBSTITUTE(SUBSTITUTE(SUBSTITUTE(SUBSTITUTE(SUBSTITUTE(Txt_Objet,"{cabinet}",Cab_Nom),"{societe}",IF($K$7201=0,"",INDEX(Clients!$E$2:$E$501,$K$7201)&amp;"")),"{date_effet}",$K$7203),"{hausse}",$K$7204),"{civilite}",$K$7202)</f>
        <v>Objet : révision de nos honoraires au 1er janvier 2027</v>
      </c>
      <c r="C7218" s="34"/>
      <c r="D7218" s="34"/>
      <c r="E7218" s="34"/>
      <c r="F7218" s="34"/>
      <c r="J7218" s="25"/>
      <c r="K7218" s="25"/>
      <c r="L7218" s="25"/>
      <c r="M7218" s="25"/>
      <c r="N7218" s="25"/>
      <c r="O7218" s="25"/>
    </row>
    <row r="7219" customFormat="false" ht="13.5" hidden="false" customHeight="true" outlineLevel="0" collapsed="false">
      <c r="B7219" s="10"/>
      <c r="C7219" s="10"/>
      <c r="D7219" s="10"/>
      <c r="E7219" s="10"/>
      <c r="F7219" s="10"/>
      <c r="J7219" s="25"/>
      <c r="K7219" s="25"/>
      <c r="L7219" s="25"/>
      <c r="M7219" s="25"/>
      <c r="N7219" s="25"/>
      <c r="O7219" s="25"/>
    </row>
    <row r="7220" customFormat="false" ht="15" hidden="false" customHeight="false" outlineLevel="0" collapsed="false">
      <c r="B7220" s="10" t="str">
        <f aca="false">$K$7202&amp;","</f>
        <v>Madame, Monsieur,</v>
      </c>
      <c r="C7220" s="10"/>
      <c r="D7220" s="10"/>
      <c r="E7220" s="10"/>
      <c r="F7220" s="10"/>
      <c r="J7220" s="25"/>
      <c r="K7220" s="25"/>
      <c r="L7220" s="25"/>
      <c r="M7220" s="25"/>
      <c r="N7220" s="25"/>
      <c r="O7220" s="25"/>
    </row>
    <row r="7221" customFormat="false" ht="6" hidden="false" customHeight="true" outlineLevel="0" collapsed="false">
      <c r="B7221" s="10"/>
      <c r="C7221" s="10"/>
      <c r="D7221" s="10"/>
      <c r="E7221" s="10"/>
      <c r="F7221" s="10"/>
      <c r="J7221" s="25"/>
      <c r="K7221" s="25"/>
      <c r="L7221" s="25"/>
      <c r="M7221" s="25"/>
      <c r="N7221" s="25"/>
      <c r="O7221" s="25"/>
    </row>
    <row r="7222" customFormat="false" ht="36.75" hidden="false" customHeight="true" outlineLevel="0" collapsed="false">
      <c r="B7222" s="37" t="str">
        <f aca="false">SUBSTITUTE(SUBSTITUTE(SUBSTITUTE(SUBSTITUTE(SUBSTITUTE(Txt_P1,"{cabinet}",Cab_Nom),"{societe}",IF($K$7201=0,"",INDEX(Clients!$E$2:$E$501,$K$7201)&amp;"")),"{date_effet}",$K$7203),"{hausse}",$K$7204),"{civilite}",$K$7202)</f>
        <v>Nous tenons tout d'abord à vous remercier pour la confiance que vous accordez à ALTHO EXPERTISE. Comme chaque année, et conformément aux dispositions de votre lettre de mission, nous procédons à la révision de nos honoraires.</v>
      </c>
      <c r="C7222" s="37"/>
      <c r="D7222" s="37"/>
      <c r="E7222" s="37"/>
      <c r="F7222" s="37"/>
      <c r="J7222" s="25"/>
      <c r="K7222" s="25"/>
      <c r="L7222" s="25"/>
      <c r="M7222" s="25"/>
      <c r="N7222" s="25"/>
      <c r="O7222" s="25"/>
    </row>
    <row r="7223" customFormat="false" ht="49.5" hidden="false" customHeight="true" outlineLevel="0" collapsed="false">
      <c r="B7223" s="37" t="str">
        <f aca="false">SUBSTITUTE(SUBSTITUTE(SUBSTITUTE(SUBSTITUTE(SUBSTITUTE(Txt_P2,"{cabinet}",Cab_Nom),"{societe}",IF($K$7201=0,"",INDEX(Clients!$E$2:$E$501,$K$7201)&amp;"")),"{date_effet}",$K$7203),"{hausse}",$K$7204),"{civilite}",$K$7202)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223" s="37"/>
      <c r="D7223" s="37"/>
      <c r="E7223" s="37"/>
      <c r="F7223" s="37"/>
      <c r="J7223" s="25"/>
      <c r="K7223" s="25"/>
      <c r="L7223" s="25"/>
      <c r="M7223" s="25"/>
      <c r="N7223" s="25"/>
      <c r="O7223" s="25"/>
    </row>
    <row r="7224" customFormat="false" ht="63" hidden="false" customHeight="true" outlineLevel="0" collapsed="false">
      <c r="B7224" s="37" t="str">
        <f aca="false">SUBSTITUTE(SUBSTITUTE(SUBSTITUTE(SUBSTITUTE(SUBSTITUTE(Txt_P3,"{cabinet}",Cab_Nom),"{societe}",IF($K$7201=0,"",INDEX(Clients!$E$2:$E$501,$K$7201)&amp;"")),"{date_effet}",$K$7203),"{hausse}",$K$7204),"{civilite}",$K$7202)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224" s="37"/>
      <c r="D7224" s="37"/>
      <c r="E7224" s="37"/>
      <c r="F7224" s="37"/>
      <c r="J7224" s="25"/>
      <c r="K7224" s="25"/>
      <c r="L7224" s="25"/>
      <c r="M7224" s="25"/>
      <c r="N7224" s="25"/>
      <c r="O7224" s="25"/>
    </row>
    <row r="7225" customFormat="false" ht="24" hidden="false" customHeight="true" outlineLevel="0" collapsed="false">
      <c r="B7225" s="37" t="str">
        <f aca="false">SUBSTITUTE(SUBSTITUTE(SUBSTITUTE(SUBSTITUTE(SUBSTITUTE(Txt_P4,"{cabinet}",Cab_Nom),"{societe}",IF($K$7201=0,"",INDEX(Clients!$E$2:$E$501,$K$7201)&amp;"")),"{date_effet}",$K$7203),"{hausse}",$K$7204),"{civilite}",$K$7202)</f>
        <v>À compter du 1er janvier 2027, vos honoraires annuels hors taxes évolueront ainsi (évolution globale : ) :</v>
      </c>
      <c r="C7225" s="37"/>
      <c r="D7225" s="37"/>
      <c r="E7225" s="37"/>
      <c r="F7225" s="37"/>
      <c r="J7225" s="25"/>
      <c r="K7225" s="25"/>
      <c r="L7225" s="25"/>
      <c r="M7225" s="25"/>
      <c r="N7225" s="25"/>
      <c r="O7225" s="25"/>
    </row>
    <row r="7226" customFormat="false" ht="3.75" hidden="false" customHeight="true" outlineLevel="0" collapsed="false">
      <c r="B7226" s="10"/>
      <c r="C7226" s="10"/>
      <c r="D7226" s="10"/>
      <c r="E7226" s="10"/>
      <c r="F7226" s="10"/>
      <c r="J7226" s="25"/>
      <c r="K7226" s="25"/>
      <c r="L7226" s="25"/>
      <c r="M7226" s="25"/>
      <c r="N7226" s="25"/>
      <c r="O7226" s="25"/>
    </row>
    <row r="7227" customFormat="false" ht="18" hidden="false" customHeight="true" outlineLevel="0" collapsed="false">
      <c r="B7227" s="38" t="s">
        <v>148</v>
      </c>
      <c r="C7227" s="39" t="s">
        <v>149</v>
      </c>
      <c r="D7227" s="39" t="s">
        <v>150</v>
      </c>
      <c r="E7227" s="39" t="s">
        <v>151</v>
      </c>
      <c r="F7227" s="39" t="s">
        <v>109</v>
      </c>
      <c r="J7227" s="25" t="s">
        <v>152</v>
      </c>
      <c r="K7227" s="25" t="s">
        <v>153</v>
      </c>
      <c r="L7227" s="25" t="s">
        <v>154</v>
      </c>
      <c r="M7227" s="25" t="s">
        <v>155</v>
      </c>
      <c r="N7227" s="25" t="s">
        <v>156</v>
      </c>
      <c r="O7227" s="25" t="s">
        <v>157</v>
      </c>
    </row>
    <row r="7228" customFormat="false" ht="16.5" hidden="false" customHeight="true" outlineLevel="0" collapsed="false">
      <c r="B7228" s="40" t="str">
        <f aca="false">IFERROR(INDEX($J$7228:$J$7231,MATCH($O7228,$N$7228:$N$7231,0)),"")</f>
        <v/>
      </c>
      <c r="C7228" s="41" t="str">
        <f aca="false">IFERROR(INDEX($K$7228:$K$7231,MATCH($O7228,$N$7228:$N$7231,0)),"")</f>
        <v/>
      </c>
      <c r="D7228" s="42" t="str">
        <f aca="false">IF(OR(E7228="",N(C7228)=0),"",E7228/C7228-1)</f>
        <v/>
      </c>
      <c r="E7228" s="41" t="str">
        <f aca="false">IFERROR(INDEX($L$7228:$L$7231,MATCH($O7228,$N$7228:$N$7231,0)),"")</f>
        <v/>
      </c>
      <c r="F7228" s="41" t="str">
        <f aca="false">IF(E7228="","",E7228-C7228)</f>
        <v/>
      </c>
      <c r="J7228" s="25" t="str">
        <f aca="false">Lib_Compta</f>
        <v>Mission comptable (tenue, révision, bilan, liasse fiscale)</v>
      </c>
      <c r="K7228" s="25" t="n">
        <f aca="false">IF($K$7201=0,0,N(INDEX(Clients!$K$2:$K$501,$K$7201)))</f>
        <v>0</v>
      </c>
      <c r="L7228" s="25" t="n">
        <f aca="false">IF($K$7201=0,0,N(INDEX(Clients!$P$2:$P$501,$K$7201)))</f>
        <v>0</v>
      </c>
      <c r="M7228" s="25" t="n">
        <f aca="false">IF(OR(K7228&lt;&gt;0,L7228&lt;&gt;0),1,0)</f>
        <v>0</v>
      </c>
      <c r="N7228" s="25" t="str">
        <f aca="false">IF(M7228=1,SUM($M$7228:M7228),"")</f>
        <v/>
      </c>
      <c r="O7228" s="25" t="n">
        <v>1</v>
      </c>
    </row>
    <row r="7229" customFormat="false" ht="16.5" hidden="false" customHeight="true" outlineLevel="0" collapsed="false">
      <c r="B7229" s="40" t="str">
        <f aca="false">IFERROR(INDEX($J$7228:$J$7231,MATCH($O7229,$N$7228:$N$7231,0)),"")</f>
        <v/>
      </c>
      <c r="C7229" s="41" t="str">
        <f aca="false">IFERROR(INDEX($K$7228:$K$7231,MATCH($O7229,$N$7228:$N$7231,0)),"")</f>
        <v/>
      </c>
      <c r="D7229" s="42" t="str">
        <f aca="false">IF(OR(E7229="",N(C7229)=0),"",E7229/C7229-1)</f>
        <v/>
      </c>
      <c r="E7229" s="41" t="str">
        <f aca="false">IFERROR(INDEX($L$7228:$L$7231,MATCH($O7229,$N$7228:$N$7231,0)),"")</f>
        <v/>
      </c>
      <c r="F7229" s="41" t="str">
        <f aca="false">IF(E7229="","",E7229-C7229)</f>
        <v/>
      </c>
      <c r="J7229" s="25" t="str">
        <f aca="false">Lib_Paye</f>
        <v>Mission sociale (bulletins de paie, DSN, déclarations sociales)</v>
      </c>
      <c r="K7229" s="25" t="n">
        <f aca="false">IF($K$7201=0,0,N(INDEX(Clients!$L$2:$L$501,$K$7201)))</f>
        <v>0</v>
      </c>
      <c r="L7229" s="25" t="n">
        <f aca="false">IF($K$7201=0,0,N(INDEX(Clients!$Q$2:$Q$501,$K$7201)))</f>
        <v>0</v>
      </c>
      <c r="M7229" s="25" t="n">
        <f aca="false">IF(OR(K7229&lt;&gt;0,L7229&lt;&gt;0),1,0)</f>
        <v>0</v>
      </c>
      <c r="N7229" s="25" t="str">
        <f aca="false">IF(M7229=1,SUM($M$7228:M7229),"")</f>
        <v/>
      </c>
      <c r="O7229" s="25" t="n">
        <v>2</v>
      </c>
    </row>
    <row r="7230" customFormat="false" ht="16.5" hidden="false" customHeight="true" outlineLevel="0" collapsed="false">
      <c r="B7230" s="40" t="str">
        <f aca="false">IFERROR(INDEX($J$7228:$J$7231,MATCH($O7230,$N$7228:$N$7231,0)),"")</f>
        <v/>
      </c>
      <c r="C7230" s="41" t="str">
        <f aca="false">IFERROR(INDEX($K$7228:$K$7231,MATCH($O7230,$N$7228:$N$7231,0)),"")</f>
        <v/>
      </c>
      <c r="D7230" s="42" t="str">
        <f aca="false">IF(OR(E7230="",N(C7230)=0),"",E7230/C7230-1)</f>
        <v/>
      </c>
      <c r="E7230" s="41" t="str">
        <f aca="false">IFERROR(INDEX($L$7228:$L$7231,MATCH($O7230,$N$7228:$N$7231,0)),"")</f>
        <v/>
      </c>
      <c r="F7230" s="41" t="str">
        <f aca="false">IF(E7230="","",E7230-C7230)</f>
        <v/>
      </c>
      <c r="J7230" s="25" t="str">
        <f aca="false">Lib_Jur</f>
        <v>Mission juridique (approbation des comptes, secrétariat juridique)</v>
      </c>
      <c r="K7230" s="25" t="n">
        <f aca="false">IF($K$7201=0,0,N(INDEX(Clients!$M$2:$M$501,$K$7201)))</f>
        <v>0</v>
      </c>
      <c r="L7230" s="25" t="n">
        <f aca="false">IF($K$7201=0,0,N(INDEX(Clients!$R$2:$R$501,$K$7201)))</f>
        <v>0</v>
      </c>
      <c r="M7230" s="25" t="n">
        <f aca="false">IF(OR(K7230&lt;&gt;0,L7230&lt;&gt;0),1,0)</f>
        <v>0</v>
      </c>
      <c r="N7230" s="25" t="str">
        <f aca="false">IF(M7230=1,SUM($M$7228:M7230),"")</f>
        <v/>
      </c>
      <c r="O7230" s="25" t="n">
        <v>3</v>
      </c>
    </row>
    <row r="7231" customFormat="false" ht="16.5" hidden="false" customHeight="true" outlineLevel="0" collapsed="false">
      <c r="B7231" s="40" t="str">
        <f aca="false">IFERROR(INDEX($J$7228:$J$7231,MATCH($O7231,$N$7228:$N$7231,0)),"")</f>
        <v/>
      </c>
      <c r="C7231" s="41" t="str">
        <f aca="false">IFERROR(INDEX($K$7228:$K$7231,MATCH($O7231,$N$7228:$N$7231,0)),"")</f>
        <v/>
      </c>
      <c r="D7231" s="42" t="str">
        <f aca="false">IF(OR(E7231="",N(C7231)=0),"",E7231/C7231-1)</f>
        <v/>
      </c>
      <c r="E7231" s="41" t="str">
        <f aca="false">IFERROR(INDEX($L$7228:$L$7231,MATCH($O7231,$N$7228:$N$7231,0)),"")</f>
        <v/>
      </c>
      <c r="F7231" s="41" t="str">
        <f aca="false">IF(E7231="","",E7231-C7231)</f>
        <v/>
      </c>
      <c r="J7231" s="25" t="str">
        <f aca="false">Lib_PA</f>
        <v>Plateforme agréée – facturation électronique</v>
      </c>
      <c r="K7231" s="25" t="n">
        <f aca="false">IF($K$7201=0,0,N(INDEX(Clients!$N$2:$N$501,$K$7201)))</f>
        <v>0</v>
      </c>
      <c r="L7231" s="25" t="n">
        <f aca="false">IF($K$7201=0,0,N(INDEX(Clients!$S$2:$S$501,$K$7201)))</f>
        <v>0</v>
      </c>
      <c r="M7231" s="25" t="n">
        <f aca="false">IF(OR(K7231&lt;&gt;0,L7231&lt;&gt;0),1,0)</f>
        <v>0</v>
      </c>
      <c r="N7231" s="25" t="str">
        <f aca="false">IF(M7231=1,SUM($M$7228:M7231),"")</f>
        <v/>
      </c>
      <c r="O7231" s="25" t="n">
        <v>4</v>
      </c>
    </row>
    <row r="7232" customFormat="false" ht="18" hidden="false" customHeight="true" outlineLevel="0" collapsed="false">
      <c r="B7232" s="43" t="s">
        <v>158</v>
      </c>
      <c r="C7232" s="44" t="n">
        <f aca="false">SUM(K7228:K7231)</f>
        <v>0</v>
      </c>
      <c r="D7232" s="45" t="str">
        <f aca="false">IF(N(C7232)=0,"",E7232/C7232-1)</f>
        <v/>
      </c>
      <c r="E7232" s="44" t="n">
        <f aca="false">SUM(L7228:L7231)</f>
        <v>0</v>
      </c>
      <c r="F7232" s="44" t="n">
        <f aca="false">E7232-C7232</f>
        <v>0</v>
      </c>
    </row>
    <row r="7233" customFormat="false" ht="15" hidden="false" customHeight="false" outlineLevel="0" collapsed="false">
      <c r="B7233" s="46" t="str">
        <f aca="false">IF(N(Nb_Mensualites)=0,"","Soit "&amp;FIXED(E7232/Nb_Mensualites,2)&amp;" € HT par échéance ("&amp;Nb_Mensualites&amp;" échéances), "&amp;FIXED(E7232/Nb_Mensualites*(1+Taux_TVA),2)&amp;" € TTC.")</f>
        <v>Soit 0.00 € HT par échéance (12 échéances), 0.00 € TTC.</v>
      </c>
      <c r="C7233" s="46"/>
      <c r="D7233" s="46"/>
      <c r="E7233" s="46"/>
      <c r="F7233" s="46"/>
    </row>
    <row r="7234" customFormat="false" ht="7.5" hidden="false" customHeight="true" outlineLevel="0" collapsed="false">
      <c r="B7234" s="10"/>
      <c r="C7234" s="10"/>
      <c r="D7234" s="10"/>
      <c r="E7234" s="10"/>
      <c r="F7234" s="10"/>
    </row>
    <row r="7235" customFormat="false" ht="36.75" hidden="false" customHeight="true" outlineLevel="0" collapsed="false">
      <c r="B7235" s="37" t="str">
        <f aca="false">SUBSTITUTE(SUBSTITUTE(SUBSTITUTE(SUBSTITUTE(SUBSTITUTE(Txt_P5,"{cabinet}",Cab_Nom),"{societe}",IF($K$7201=0,"",INDEX(Clients!$E$2:$E$501,$K$7201)&amp;"")),"{date_effet}",$K$7203),"{hausse}",$K$7204),"{civilite}",$K$7202)</f>
        <v>Les autres conditions de votre lettre de mission demeurent inchangées. Les nouveaux montants seront appliqués automatiquement sur vos prochaines factures et échéances de prélèvement.</v>
      </c>
      <c r="C7235" s="37"/>
      <c r="D7235" s="37"/>
      <c r="E7235" s="37"/>
      <c r="F7235" s="37"/>
    </row>
    <row r="7236" customFormat="false" ht="36.75" hidden="false" customHeight="true" outlineLevel="0" collapsed="false">
      <c r="B7236" s="37" t="str">
        <f aca="false">SUBSTITUTE(SUBSTITUTE(SUBSTITUTE(SUBSTITUTE(SUBSTITUTE(Txt_P6,"{cabinet}",Cab_Nom),"{societe}",IF($K$7201=0,"",INDEX(Clients!$E$2:$E$501,$K$7201)&amp;"")),"{date_effet}",$K$7203),"{hausse}",$K$7204),"{civilite}",$K$7202)</f>
        <v>Votre interlocuteur habituel reste à votre entière disposition pour répondre à vos questions et faire le point sur l'évolution de vos besoins.</v>
      </c>
      <c r="C7236" s="37"/>
      <c r="D7236" s="37"/>
      <c r="E7236" s="37"/>
      <c r="F7236" s="37"/>
    </row>
    <row r="7237" customFormat="false" ht="24" hidden="false" customHeight="true" outlineLevel="0" collapsed="false">
      <c r="B7237" s="37" t="str">
        <f aca="false">SUBSTITUTE(SUBSTITUTE(SUBSTITUTE(SUBSTITUTE(SUBSTITUTE(Txt_Politesse,"{cabinet}",Cab_Nom),"{societe}",IF($K$7201=0,"",INDEX(Clients!$E$2:$E$501,$K$7201)&amp;"")),"{date_effet}",$K$7203),"{hausse}",$K$7204),"{civilite}",$K$7202)</f>
        <v>Nous vous prions d'agréer, Madame, Monsieur, l'expression de nos salutations distinguées.</v>
      </c>
      <c r="C7237" s="37"/>
      <c r="D7237" s="37"/>
      <c r="E7237" s="37"/>
      <c r="F7237" s="37"/>
    </row>
    <row r="7238" customFormat="false" ht="15" hidden="false" customHeight="false" outlineLevel="0" collapsed="false">
      <c r="B7238" s="10"/>
      <c r="C7238" s="10"/>
      <c r="D7238" s="10"/>
      <c r="E7238" s="10"/>
      <c r="F7238" s="10"/>
    </row>
    <row r="7239" customFormat="false" ht="15" hidden="false" customHeight="false" outlineLevel="0" collapsed="false">
      <c r="B7239" s="10"/>
      <c r="C7239" s="10"/>
      <c r="D7239" s="34" t="str">
        <f aca="false">Signataire</f>
        <v>Prénom NOM</v>
      </c>
      <c r="E7239" s="34"/>
      <c r="F7239" s="34"/>
    </row>
    <row r="7240" customFormat="false" ht="15" hidden="false" customHeight="false" outlineLevel="0" collapsed="false">
      <c r="B7240" s="10"/>
      <c r="C7240" s="10"/>
      <c r="D7240" s="47" t="str">
        <f aca="false">Signataire_Titre</f>
        <v>Expert-comptable associé</v>
      </c>
      <c r="E7240" s="47"/>
      <c r="F7240" s="47"/>
    </row>
    <row r="7241" customFormat="false" ht="15.75" hidden="false" customHeight="true" outlineLevel="0" collapsed="false">
      <c r="B7241" s="10"/>
      <c r="C7241" s="10"/>
      <c r="D7241" s="10"/>
      <c r="E7241" s="10"/>
      <c r="F7241" s="10"/>
    </row>
    <row r="7242" customFormat="false" ht="15.75" hidden="false" customHeight="true" outlineLevel="0" collapsed="false">
      <c r="B7242" s="10"/>
      <c r="C7242" s="10"/>
      <c r="D7242" s="10"/>
      <c r="E7242" s="10"/>
      <c r="F7242" s="10"/>
    </row>
    <row r="7243" customFormat="false" ht="15.75" hidden="false" customHeight="true" outlineLevel="0" collapsed="false">
      <c r="B7243" s="10"/>
      <c r="C7243" s="10"/>
      <c r="D7243" s="10"/>
      <c r="E7243" s="10"/>
      <c r="F7243" s="10"/>
    </row>
    <row r="7244" customFormat="false" ht="15.75" hidden="false" customHeight="true" outlineLevel="0" collapsed="false">
      <c r="B7244" s="10"/>
      <c r="C7244" s="10"/>
      <c r="D7244" s="10"/>
      <c r="E7244" s="10"/>
      <c r="F7244" s="10"/>
    </row>
    <row r="7245" customFormat="false" ht="24" hidden="false" customHeight="true" outlineLevel="0" collapsed="false">
      <c r="B7245" s="48" t="str">
        <f aca="false">Cab_Mentions</f>
        <v>ALTHO EXPERTISE · SAS au capital de 10 000 € · RCS Pontoise 919 706 325 · TVA FR62919706325 · Société d'expertise comptable inscrite au Tableau de l'Ordre des experts-comptables de Paris Île-de-France</v>
      </c>
      <c r="C7245" s="48"/>
      <c r="D7245" s="48"/>
      <c r="E7245" s="48"/>
      <c r="F7245" s="48"/>
    </row>
    <row r="7246" customFormat="false" ht="15" hidden="false" customHeight="false" outlineLevel="0" collapsed="false">
      <c r="B7246" s="10"/>
      <c r="C7246" s="10"/>
      <c r="D7246" s="10"/>
      <c r="E7246" s="10"/>
      <c r="F7246" s="10"/>
      <c r="J7246" s="25" t="s">
        <v>142</v>
      </c>
      <c r="K7246" s="25" t="n">
        <f aca="false">IFERROR(MATCH(162,Clients!$Z$2:$Z$501,0),0)</f>
        <v>0</v>
      </c>
      <c r="L7246" s="25"/>
      <c r="M7246" s="25"/>
      <c r="N7246" s="25"/>
      <c r="O7246" s="25"/>
    </row>
    <row r="7247" customFormat="false" ht="21.75" hidden="false" customHeight="true" outlineLevel="0" collapsed="false">
      <c r="B7247" s="26" t="str">
        <f aca="false">Cab_Nom</f>
        <v>ALTHO EXPERTISE</v>
      </c>
      <c r="C7247" s="26"/>
      <c r="D7247" s="10"/>
      <c r="E7247" s="27" t="str">
        <f aca="false">IF($K$7246=0,"","Réf. client : "&amp;INDEX(Clients!$A$2:$A$501,$K$7246))</f>
        <v/>
      </c>
      <c r="F7247" s="27"/>
      <c r="J7247" s="25" t="s">
        <v>144</v>
      </c>
      <c r="K7247" s="25" t="str">
        <f aca="false">IF(IF($K$7246=0,"",INDEX(Clients!$B$2:$B$501,$K$7246)&amp;"")="Mme","Madame",IF(IF($K$7246=0,"",INDEX(Clients!$B$2:$B$501,$K$7246)&amp;"")="M.","Monsieur","Madame, Monsieur"))</f>
        <v>Madame, Monsieur</v>
      </c>
      <c r="L7247" s="25"/>
      <c r="M7247" s="25"/>
      <c r="N7247" s="25"/>
      <c r="O7247" s="25"/>
    </row>
    <row r="7248" customFormat="false" ht="15" hidden="false" customHeight="false" outlineLevel="0" collapsed="false">
      <c r="B7248" s="29" t="str">
        <f aca="false">Cab_Adr1</f>
        <v>141 rue Charles de Gaulle</v>
      </c>
      <c r="C7248" s="29"/>
      <c r="D7248" s="10"/>
      <c r="E7248" s="10"/>
      <c r="F7248" s="10"/>
      <c r="J7248" s="25" t="s">
        <v>145</v>
      </c>
      <c r="K7248" s="25" t="str">
        <f aca="false">DAY(Date_Effet)&amp;IF(DAY(Date_Effet)=1,"er","")&amp;" "&amp;INDEX(Liste_Mois,MONTH(Date_Effet))&amp;" "&amp;YEAR(Date_Effet)</f>
        <v>1er janvier 2027</v>
      </c>
      <c r="L7248" s="25"/>
      <c r="M7248" s="25"/>
      <c r="N7248" s="25"/>
      <c r="O7248" s="25"/>
    </row>
    <row r="7249" customFormat="false" ht="15" hidden="false" customHeight="false" outlineLevel="0" collapsed="false">
      <c r="B7249" s="29" t="str">
        <f aca="false">Cab_CPVille</f>
        <v>95130 LE PLESSIS-BOUCHARD</v>
      </c>
      <c r="C7249" s="29"/>
      <c r="D7249" s="10"/>
      <c r="E7249" s="10"/>
      <c r="F7249" s="10"/>
      <c r="J7249" s="25" t="s">
        <v>146</v>
      </c>
      <c r="K7249" s="25" t="str">
        <f aca="false">IF(SUM($K$7273:$K$7276)=0,"",FIXED((SUM($L$7273:$L$7276)/SUM($K$7273:$K$7276)-1)*100,1)&amp;" %")</f>
        <v/>
      </c>
      <c r="L7249" s="25"/>
      <c r="M7249" s="25"/>
      <c r="N7249" s="25"/>
      <c r="O7249" s="25"/>
    </row>
    <row r="7250" customFormat="false" ht="15" hidden="false" customHeight="false" outlineLevel="0" collapsed="false">
      <c r="B7250" s="29" t="str">
        <f aca="false">Cab_Contact</f>
        <v>Tél. 01 34 14 53 45  ·  altho@altho-experts.com  ·  altho-experts.com</v>
      </c>
      <c r="C7250" s="29"/>
      <c r="D7250" s="10"/>
      <c r="E7250" s="10"/>
      <c r="F7250" s="10"/>
      <c r="J7250" s="25"/>
      <c r="K7250" s="25"/>
      <c r="L7250" s="25"/>
      <c r="M7250" s="25"/>
      <c r="N7250" s="25"/>
      <c r="O7250" s="25"/>
    </row>
    <row r="7251" customFormat="false" ht="6" hidden="false" customHeight="true" outlineLevel="0" collapsed="false">
      <c r="B7251" s="32"/>
      <c r="C7251" s="32"/>
      <c r="D7251" s="32"/>
      <c r="E7251" s="32"/>
      <c r="F7251" s="32"/>
      <c r="J7251" s="25"/>
      <c r="K7251" s="25"/>
      <c r="L7251" s="25"/>
      <c r="M7251" s="25"/>
      <c r="N7251" s="25"/>
      <c r="O7251" s="25"/>
    </row>
    <row r="7252" customFormat="false" ht="13.5" hidden="false" customHeight="true" outlineLevel="0" collapsed="false">
      <c r="B7252" s="10"/>
      <c r="C7252" s="10"/>
      <c r="D7252" s="10"/>
      <c r="E7252" s="10"/>
      <c r="F7252" s="10"/>
      <c r="J7252" s="25"/>
      <c r="K7252" s="25"/>
      <c r="L7252" s="25"/>
      <c r="M7252" s="25"/>
      <c r="N7252" s="25"/>
      <c r="O7252" s="25"/>
    </row>
    <row r="7253" customFormat="false" ht="13.5" hidden="false" customHeight="true" outlineLevel="0" collapsed="false">
      <c r="B7253" s="10"/>
      <c r="C7253" s="10"/>
      <c r="D7253" s="10"/>
      <c r="E7253" s="10"/>
      <c r="F7253" s="10"/>
      <c r="J7253" s="25"/>
      <c r="K7253" s="25"/>
      <c r="L7253" s="25"/>
      <c r="M7253" s="25"/>
      <c r="N7253" s="25"/>
      <c r="O7253" s="25"/>
    </row>
    <row r="7254" customFormat="false" ht="13.5" hidden="false" customHeight="true" outlineLevel="0" collapsed="false">
      <c r="B7254" s="10"/>
      <c r="C7254" s="10"/>
      <c r="D7254" s="10"/>
      <c r="E7254" s="10"/>
      <c r="F7254" s="10"/>
      <c r="J7254" s="25"/>
      <c r="K7254" s="25"/>
      <c r="L7254" s="25"/>
      <c r="M7254" s="25"/>
      <c r="N7254" s="25"/>
      <c r="O7254" s="25"/>
    </row>
    <row r="7255" customFormat="false" ht="15" hidden="false" customHeight="true" outlineLevel="0" collapsed="false">
      <c r="B7255" s="10"/>
      <c r="C7255" s="10"/>
      <c r="D7255" s="34" t="str">
        <f aca="false">IF($K$7246=0,"",INDEX(Clients!$E$2:$E$501,$K$7246)&amp;"")</f>
        <v/>
      </c>
      <c r="E7255" s="34"/>
      <c r="F7255" s="34"/>
      <c r="J7255" s="25"/>
      <c r="K7255" s="25"/>
      <c r="L7255" s="25"/>
      <c r="M7255" s="25"/>
      <c r="N7255" s="25"/>
      <c r="O7255" s="25"/>
    </row>
    <row r="7256" customFormat="false" ht="15" hidden="false" customHeight="true" outlineLevel="0" collapsed="false">
      <c r="B7256" s="10"/>
      <c r="C7256" s="10"/>
      <c r="D7256" s="35" t="str">
        <f aca="false">IF(IF($K$7246=0,"",INDEX(Clients!$D$2:$D$501,$K$7246)&amp;"")="","","À l'attention de "&amp;TRIM(IF($K$7246=0,"",INDEX(Clients!$B$2:$B$501,$K$7246)&amp;"")&amp;" "&amp;IF($K$7246=0,"",INDEX(Clients!$C$2:$C$501,$K$7246)&amp;"")&amp;" "&amp;IF($K$7246=0,"",INDEX(Clients!$D$2:$D$501,$K$7246)&amp;"")))</f>
        <v/>
      </c>
      <c r="E7256" s="35"/>
      <c r="F7256" s="35"/>
      <c r="J7256" s="25"/>
      <c r="K7256" s="25"/>
      <c r="L7256" s="25"/>
      <c r="M7256" s="25"/>
      <c r="N7256" s="25"/>
      <c r="O7256" s="25"/>
    </row>
    <row r="7257" customFormat="false" ht="15" hidden="false" customHeight="true" outlineLevel="0" collapsed="false">
      <c r="B7257" s="10"/>
      <c r="C7257" s="10"/>
      <c r="D7257" s="35" t="str">
        <f aca="false">IF($K$7246=0,"",INDEX(Clients!$F$2:$F$501,$K$7246)&amp;"")</f>
        <v/>
      </c>
      <c r="E7257" s="35"/>
      <c r="F7257" s="35"/>
      <c r="J7257" s="25"/>
      <c r="K7257" s="25"/>
      <c r="L7257" s="25"/>
      <c r="M7257" s="25"/>
      <c r="N7257" s="25"/>
      <c r="O7257" s="25"/>
    </row>
    <row r="7258" customFormat="false" ht="15" hidden="false" customHeight="true" outlineLevel="0" collapsed="false">
      <c r="B7258" s="10"/>
      <c r="C7258" s="10"/>
      <c r="D7258" s="35" t="str">
        <f aca="false">IF(IF($K$7246=0,"",INDEX(Clients!$G$2:$G$501,$K$7246)&amp;"")="",TRIM(IF($K$7246=0,"",INDEX(Clients!$H$2:$H$501,$K$7246)&amp;"")&amp;" "&amp;UPPER(IF($K$7246=0,"",INDEX(Clients!$I$2:$I$501,$K$7246)&amp;""))),IF($K$7246=0,"",INDEX(Clients!$G$2:$G$501,$K$7246)&amp;""))</f>
        <v/>
      </c>
      <c r="E7258" s="35"/>
      <c r="F7258" s="35"/>
      <c r="J7258" s="25"/>
      <c r="K7258" s="25"/>
      <c r="L7258" s="25"/>
      <c r="M7258" s="25"/>
      <c r="N7258" s="25"/>
      <c r="O7258" s="25"/>
    </row>
    <row r="7259" customFormat="false" ht="15" hidden="false" customHeight="true" outlineLevel="0" collapsed="false">
      <c r="B7259" s="10"/>
      <c r="C7259" s="10"/>
      <c r="D7259" s="35" t="str">
        <f aca="false">IF(IF($K$7246=0,"",INDEX(Clients!$G$2:$G$501,$K$7246)&amp;"")="","",TRIM(IF($K$7246=0,"",INDEX(Clients!$H$2:$H$501,$K$7246)&amp;"")&amp;" "&amp;UPPER(IF($K$7246=0,"",INDEX(Clients!$I$2:$I$501,$K$7246)&amp;""))))</f>
        <v/>
      </c>
      <c r="E7259" s="35"/>
      <c r="F7259" s="35"/>
      <c r="J7259" s="25"/>
      <c r="K7259" s="25"/>
      <c r="L7259" s="25"/>
      <c r="M7259" s="25"/>
      <c r="N7259" s="25"/>
      <c r="O7259" s="25"/>
    </row>
    <row r="7260" customFormat="false" ht="25.5" hidden="false" customHeight="true" outlineLevel="0" collapsed="false">
      <c r="B7260" s="10"/>
      <c r="C7260" s="10"/>
      <c r="D7260" s="10"/>
      <c r="E7260" s="10"/>
      <c r="F7260" s="10"/>
      <c r="J7260" s="25"/>
      <c r="K7260" s="25"/>
      <c r="L7260" s="25"/>
      <c r="M7260" s="25"/>
      <c r="N7260" s="25"/>
      <c r="O7260" s="25"/>
    </row>
    <row r="7261" customFormat="false" ht="15" hidden="false" customHeight="false" outlineLevel="0" collapsed="false">
      <c r="B7261" s="10"/>
      <c r="C7261" s="10"/>
      <c r="D7261" s="36" t="str">
        <f aca="false">Cab_Ville&amp;", le "&amp;DAY(Date_Courrier)&amp;IF(DAY(Date_Courrier)=1,"er","")&amp;" "&amp;INDEX(Liste_Mois,MONTH(Date_Courrier))&amp;" "&amp;YEAR(Date_Courrier)</f>
        <v>Le Plessis-Bouchard, le 22 septembre 2026</v>
      </c>
      <c r="E7261" s="36"/>
      <c r="F7261" s="36"/>
      <c r="J7261" s="25"/>
      <c r="K7261" s="25"/>
      <c r="L7261" s="25"/>
      <c r="M7261" s="25"/>
      <c r="N7261" s="25"/>
      <c r="O7261" s="25"/>
    </row>
    <row r="7262" customFormat="false" ht="19.5" hidden="false" customHeight="true" outlineLevel="0" collapsed="false">
      <c r="B7262" s="10"/>
      <c r="C7262" s="10"/>
      <c r="D7262" s="10"/>
      <c r="E7262" s="10"/>
      <c r="F7262" s="10"/>
      <c r="J7262" s="25"/>
      <c r="K7262" s="25"/>
      <c r="L7262" s="25"/>
      <c r="M7262" s="25"/>
      <c r="N7262" s="25"/>
      <c r="O7262" s="25"/>
    </row>
    <row r="7263" customFormat="false" ht="15" hidden="false" customHeight="false" outlineLevel="0" collapsed="false">
      <c r="B7263" s="34" t="str">
        <f aca="false">SUBSTITUTE(SUBSTITUTE(SUBSTITUTE(SUBSTITUTE(SUBSTITUTE(Txt_Objet,"{cabinet}",Cab_Nom),"{societe}",IF($K$7246=0,"",INDEX(Clients!$E$2:$E$501,$K$7246)&amp;"")),"{date_effet}",$K$7248),"{hausse}",$K$7249),"{civilite}",$K$7247)</f>
        <v>Objet : révision de nos honoraires au 1er janvier 2027</v>
      </c>
      <c r="C7263" s="34"/>
      <c r="D7263" s="34"/>
      <c r="E7263" s="34"/>
      <c r="F7263" s="34"/>
      <c r="J7263" s="25"/>
      <c r="K7263" s="25"/>
      <c r="L7263" s="25"/>
      <c r="M7263" s="25"/>
      <c r="N7263" s="25"/>
      <c r="O7263" s="25"/>
    </row>
    <row r="7264" customFormat="false" ht="13.5" hidden="false" customHeight="true" outlineLevel="0" collapsed="false">
      <c r="B7264" s="10"/>
      <c r="C7264" s="10"/>
      <c r="D7264" s="10"/>
      <c r="E7264" s="10"/>
      <c r="F7264" s="10"/>
      <c r="J7264" s="25"/>
      <c r="K7264" s="25"/>
      <c r="L7264" s="25"/>
      <c r="M7264" s="25"/>
      <c r="N7264" s="25"/>
      <c r="O7264" s="25"/>
    </row>
    <row r="7265" customFormat="false" ht="15" hidden="false" customHeight="false" outlineLevel="0" collapsed="false">
      <c r="B7265" s="10" t="str">
        <f aca="false">$K$7247&amp;","</f>
        <v>Madame, Monsieur,</v>
      </c>
      <c r="C7265" s="10"/>
      <c r="D7265" s="10"/>
      <c r="E7265" s="10"/>
      <c r="F7265" s="10"/>
      <c r="J7265" s="25"/>
      <c r="K7265" s="25"/>
      <c r="L7265" s="25"/>
      <c r="M7265" s="25"/>
      <c r="N7265" s="25"/>
      <c r="O7265" s="25"/>
    </row>
    <row r="7266" customFormat="false" ht="6" hidden="false" customHeight="true" outlineLevel="0" collapsed="false">
      <c r="B7266" s="10"/>
      <c r="C7266" s="10"/>
      <c r="D7266" s="10"/>
      <c r="E7266" s="10"/>
      <c r="F7266" s="10"/>
      <c r="J7266" s="25"/>
      <c r="K7266" s="25"/>
      <c r="L7266" s="25"/>
      <c r="M7266" s="25"/>
      <c r="N7266" s="25"/>
      <c r="O7266" s="25"/>
    </row>
    <row r="7267" customFormat="false" ht="36.75" hidden="false" customHeight="true" outlineLevel="0" collapsed="false">
      <c r="B7267" s="37" t="str">
        <f aca="false">SUBSTITUTE(SUBSTITUTE(SUBSTITUTE(SUBSTITUTE(SUBSTITUTE(Txt_P1,"{cabinet}",Cab_Nom),"{societe}",IF($K$7246=0,"",INDEX(Clients!$E$2:$E$501,$K$7246)&amp;"")),"{date_effet}",$K$7248),"{hausse}",$K$7249),"{civilite}",$K$7247)</f>
        <v>Nous tenons tout d'abord à vous remercier pour la confiance que vous accordez à ALTHO EXPERTISE. Comme chaque année, et conformément aux dispositions de votre lettre de mission, nous procédons à la révision de nos honoraires.</v>
      </c>
      <c r="C7267" s="37"/>
      <c r="D7267" s="37"/>
      <c r="E7267" s="37"/>
      <c r="F7267" s="37"/>
      <c r="J7267" s="25"/>
      <c r="K7267" s="25"/>
      <c r="L7267" s="25"/>
      <c r="M7267" s="25"/>
      <c r="N7267" s="25"/>
      <c r="O7267" s="25"/>
    </row>
    <row r="7268" customFormat="false" ht="49.5" hidden="false" customHeight="true" outlineLevel="0" collapsed="false">
      <c r="B7268" s="37" t="str">
        <f aca="false">SUBSTITUTE(SUBSTITUTE(SUBSTITUTE(SUBSTITUTE(SUBSTITUTE(Txt_P2,"{cabinet}",Cab_Nom),"{societe}",IF($K$7246=0,"",INDEX(Clients!$E$2:$E$501,$K$7246)&amp;"")),"{date_effet}",$K$7248),"{hausse}",$K$7249),"{civilite}",$K$7247)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268" s="37"/>
      <c r="D7268" s="37"/>
      <c r="E7268" s="37"/>
      <c r="F7268" s="37"/>
      <c r="J7268" s="25"/>
      <c r="K7268" s="25"/>
      <c r="L7268" s="25"/>
      <c r="M7268" s="25"/>
      <c r="N7268" s="25"/>
      <c r="O7268" s="25"/>
    </row>
    <row r="7269" customFormat="false" ht="63" hidden="false" customHeight="true" outlineLevel="0" collapsed="false">
      <c r="B7269" s="37" t="str">
        <f aca="false">SUBSTITUTE(SUBSTITUTE(SUBSTITUTE(SUBSTITUTE(SUBSTITUTE(Txt_P3,"{cabinet}",Cab_Nom),"{societe}",IF($K$7246=0,"",INDEX(Clients!$E$2:$E$501,$K$7246)&amp;"")),"{date_effet}",$K$7248),"{hausse}",$K$7249),"{civilite}",$K$7247)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269" s="37"/>
      <c r="D7269" s="37"/>
      <c r="E7269" s="37"/>
      <c r="F7269" s="37"/>
      <c r="J7269" s="25"/>
      <c r="K7269" s="25"/>
      <c r="L7269" s="25"/>
      <c r="M7269" s="25"/>
      <c r="N7269" s="25"/>
      <c r="O7269" s="25"/>
    </row>
    <row r="7270" customFormat="false" ht="24" hidden="false" customHeight="true" outlineLevel="0" collapsed="false">
      <c r="B7270" s="37" t="str">
        <f aca="false">SUBSTITUTE(SUBSTITUTE(SUBSTITUTE(SUBSTITUTE(SUBSTITUTE(Txt_P4,"{cabinet}",Cab_Nom),"{societe}",IF($K$7246=0,"",INDEX(Clients!$E$2:$E$501,$K$7246)&amp;"")),"{date_effet}",$K$7248),"{hausse}",$K$7249),"{civilite}",$K$7247)</f>
        <v>À compter du 1er janvier 2027, vos honoraires annuels hors taxes évolueront ainsi (évolution globale : ) :</v>
      </c>
      <c r="C7270" s="37"/>
      <c r="D7270" s="37"/>
      <c r="E7270" s="37"/>
      <c r="F7270" s="37"/>
      <c r="J7270" s="25"/>
      <c r="K7270" s="25"/>
      <c r="L7270" s="25"/>
      <c r="M7270" s="25"/>
      <c r="N7270" s="25"/>
      <c r="O7270" s="25"/>
    </row>
    <row r="7271" customFormat="false" ht="3.75" hidden="false" customHeight="true" outlineLevel="0" collapsed="false">
      <c r="B7271" s="10"/>
      <c r="C7271" s="10"/>
      <c r="D7271" s="10"/>
      <c r="E7271" s="10"/>
      <c r="F7271" s="10"/>
      <c r="J7271" s="25"/>
      <c r="K7271" s="25"/>
      <c r="L7271" s="25"/>
      <c r="M7271" s="25"/>
      <c r="N7271" s="25"/>
      <c r="O7271" s="25"/>
    </row>
    <row r="7272" customFormat="false" ht="18" hidden="false" customHeight="true" outlineLevel="0" collapsed="false">
      <c r="B7272" s="38" t="s">
        <v>148</v>
      </c>
      <c r="C7272" s="39" t="s">
        <v>149</v>
      </c>
      <c r="D7272" s="39" t="s">
        <v>150</v>
      </c>
      <c r="E7272" s="39" t="s">
        <v>151</v>
      </c>
      <c r="F7272" s="39" t="s">
        <v>109</v>
      </c>
      <c r="J7272" s="25" t="s">
        <v>152</v>
      </c>
      <c r="K7272" s="25" t="s">
        <v>153</v>
      </c>
      <c r="L7272" s="25" t="s">
        <v>154</v>
      </c>
      <c r="M7272" s="25" t="s">
        <v>155</v>
      </c>
      <c r="N7272" s="25" t="s">
        <v>156</v>
      </c>
      <c r="O7272" s="25" t="s">
        <v>157</v>
      </c>
    </row>
    <row r="7273" customFormat="false" ht="16.5" hidden="false" customHeight="true" outlineLevel="0" collapsed="false">
      <c r="B7273" s="40" t="str">
        <f aca="false">IFERROR(INDEX($J$7273:$J$7276,MATCH($O7273,$N$7273:$N$7276,0)),"")</f>
        <v/>
      </c>
      <c r="C7273" s="41" t="str">
        <f aca="false">IFERROR(INDEX($K$7273:$K$7276,MATCH($O7273,$N$7273:$N$7276,0)),"")</f>
        <v/>
      </c>
      <c r="D7273" s="42" t="str">
        <f aca="false">IF(OR(E7273="",N(C7273)=0),"",E7273/C7273-1)</f>
        <v/>
      </c>
      <c r="E7273" s="41" t="str">
        <f aca="false">IFERROR(INDEX($L$7273:$L$7276,MATCH($O7273,$N$7273:$N$7276,0)),"")</f>
        <v/>
      </c>
      <c r="F7273" s="41" t="str">
        <f aca="false">IF(E7273="","",E7273-C7273)</f>
        <v/>
      </c>
      <c r="J7273" s="25" t="str">
        <f aca="false">Lib_Compta</f>
        <v>Mission comptable (tenue, révision, bilan, liasse fiscale)</v>
      </c>
      <c r="K7273" s="25" t="n">
        <f aca="false">IF($K$7246=0,0,N(INDEX(Clients!$K$2:$K$501,$K$7246)))</f>
        <v>0</v>
      </c>
      <c r="L7273" s="25" t="n">
        <f aca="false">IF($K$7246=0,0,N(INDEX(Clients!$P$2:$P$501,$K$7246)))</f>
        <v>0</v>
      </c>
      <c r="M7273" s="25" t="n">
        <f aca="false">IF(OR(K7273&lt;&gt;0,L7273&lt;&gt;0),1,0)</f>
        <v>0</v>
      </c>
      <c r="N7273" s="25" t="str">
        <f aca="false">IF(M7273=1,SUM($M$7273:M7273),"")</f>
        <v/>
      </c>
      <c r="O7273" s="25" t="n">
        <v>1</v>
      </c>
    </row>
    <row r="7274" customFormat="false" ht="16.5" hidden="false" customHeight="true" outlineLevel="0" collapsed="false">
      <c r="B7274" s="40" t="str">
        <f aca="false">IFERROR(INDEX($J$7273:$J$7276,MATCH($O7274,$N$7273:$N$7276,0)),"")</f>
        <v/>
      </c>
      <c r="C7274" s="41" t="str">
        <f aca="false">IFERROR(INDEX($K$7273:$K$7276,MATCH($O7274,$N$7273:$N$7276,0)),"")</f>
        <v/>
      </c>
      <c r="D7274" s="42" t="str">
        <f aca="false">IF(OR(E7274="",N(C7274)=0),"",E7274/C7274-1)</f>
        <v/>
      </c>
      <c r="E7274" s="41" t="str">
        <f aca="false">IFERROR(INDEX($L$7273:$L$7276,MATCH($O7274,$N$7273:$N$7276,0)),"")</f>
        <v/>
      </c>
      <c r="F7274" s="41" t="str">
        <f aca="false">IF(E7274="","",E7274-C7274)</f>
        <v/>
      </c>
      <c r="J7274" s="25" t="str">
        <f aca="false">Lib_Paye</f>
        <v>Mission sociale (bulletins de paie, DSN, déclarations sociales)</v>
      </c>
      <c r="K7274" s="25" t="n">
        <f aca="false">IF($K$7246=0,0,N(INDEX(Clients!$L$2:$L$501,$K$7246)))</f>
        <v>0</v>
      </c>
      <c r="L7274" s="25" t="n">
        <f aca="false">IF($K$7246=0,0,N(INDEX(Clients!$Q$2:$Q$501,$K$7246)))</f>
        <v>0</v>
      </c>
      <c r="M7274" s="25" t="n">
        <f aca="false">IF(OR(K7274&lt;&gt;0,L7274&lt;&gt;0),1,0)</f>
        <v>0</v>
      </c>
      <c r="N7274" s="25" t="str">
        <f aca="false">IF(M7274=1,SUM($M$7273:M7274),"")</f>
        <v/>
      </c>
      <c r="O7274" s="25" t="n">
        <v>2</v>
      </c>
    </row>
    <row r="7275" customFormat="false" ht="16.5" hidden="false" customHeight="true" outlineLevel="0" collapsed="false">
      <c r="B7275" s="40" t="str">
        <f aca="false">IFERROR(INDEX($J$7273:$J$7276,MATCH($O7275,$N$7273:$N$7276,0)),"")</f>
        <v/>
      </c>
      <c r="C7275" s="41" t="str">
        <f aca="false">IFERROR(INDEX($K$7273:$K$7276,MATCH($O7275,$N$7273:$N$7276,0)),"")</f>
        <v/>
      </c>
      <c r="D7275" s="42" t="str">
        <f aca="false">IF(OR(E7275="",N(C7275)=0),"",E7275/C7275-1)</f>
        <v/>
      </c>
      <c r="E7275" s="41" t="str">
        <f aca="false">IFERROR(INDEX($L$7273:$L$7276,MATCH($O7275,$N$7273:$N$7276,0)),"")</f>
        <v/>
      </c>
      <c r="F7275" s="41" t="str">
        <f aca="false">IF(E7275="","",E7275-C7275)</f>
        <v/>
      </c>
      <c r="J7275" s="25" t="str">
        <f aca="false">Lib_Jur</f>
        <v>Mission juridique (approbation des comptes, secrétariat juridique)</v>
      </c>
      <c r="K7275" s="25" t="n">
        <f aca="false">IF($K$7246=0,0,N(INDEX(Clients!$M$2:$M$501,$K$7246)))</f>
        <v>0</v>
      </c>
      <c r="L7275" s="25" t="n">
        <f aca="false">IF($K$7246=0,0,N(INDEX(Clients!$R$2:$R$501,$K$7246)))</f>
        <v>0</v>
      </c>
      <c r="M7275" s="25" t="n">
        <f aca="false">IF(OR(K7275&lt;&gt;0,L7275&lt;&gt;0),1,0)</f>
        <v>0</v>
      </c>
      <c r="N7275" s="25" t="str">
        <f aca="false">IF(M7275=1,SUM($M$7273:M7275),"")</f>
        <v/>
      </c>
      <c r="O7275" s="25" t="n">
        <v>3</v>
      </c>
    </row>
    <row r="7276" customFormat="false" ht="16.5" hidden="false" customHeight="true" outlineLevel="0" collapsed="false">
      <c r="B7276" s="40" t="str">
        <f aca="false">IFERROR(INDEX($J$7273:$J$7276,MATCH($O7276,$N$7273:$N$7276,0)),"")</f>
        <v/>
      </c>
      <c r="C7276" s="41" t="str">
        <f aca="false">IFERROR(INDEX($K$7273:$K$7276,MATCH($O7276,$N$7273:$N$7276,0)),"")</f>
        <v/>
      </c>
      <c r="D7276" s="42" t="str">
        <f aca="false">IF(OR(E7276="",N(C7276)=0),"",E7276/C7276-1)</f>
        <v/>
      </c>
      <c r="E7276" s="41" t="str">
        <f aca="false">IFERROR(INDEX($L$7273:$L$7276,MATCH($O7276,$N$7273:$N$7276,0)),"")</f>
        <v/>
      </c>
      <c r="F7276" s="41" t="str">
        <f aca="false">IF(E7276="","",E7276-C7276)</f>
        <v/>
      </c>
      <c r="J7276" s="25" t="str">
        <f aca="false">Lib_PA</f>
        <v>Plateforme agréée – facturation électronique</v>
      </c>
      <c r="K7276" s="25" t="n">
        <f aca="false">IF($K$7246=0,0,N(INDEX(Clients!$N$2:$N$501,$K$7246)))</f>
        <v>0</v>
      </c>
      <c r="L7276" s="25" t="n">
        <f aca="false">IF($K$7246=0,0,N(INDEX(Clients!$S$2:$S$501,$K$7246)))</f>
        <v>0</v>
      </c>
      <c r="M7276" s="25" t="n">
        <f aca="false">IF(OR(K7276&lt;&gt;0,L7276&lt;&gt;0),1,0)</f>
        <v>0</v>
      </c>
      <c r="N7276" s="25" t="str">
        <f aca="false">IF(M7276=1,SUM($M$7273:M7276),"")</f>
        <v/>
      </c>
      <c r="O7276" s="25" t="n">
        <v>4</v>
      </c>
    </row>
    <row r="7277" customFormat="false" ht="18" hidden="false" customHeight="true" outlineLevel="0" collapsed="false">
      <c r="B7277" s="43" t="s">
        <v>158</v>
      </c>
      <c r="C7277" s="44" t="n">
        <f aca="false">SUM(K7273:K7276)</f>
        <v>0</v>
      </c>
      <c r="D7277" s="45" t="str">
        <f aca="false">IF(N(C7277)=0,"",E7277/C7277-1)</f>
        <v/>
      </c>
      <c r="E7277" s="44" t="n">
        <f aca="false">SUM(L7273:L7276)</f>
        <v>0</v>
      </c>
      <c r="F7277" s="44" t="n">
        <f aca="false">E7277-C7277</f>
        <v>0</v>
      </c>
    </row>
    <row r="7278" customFormat="false" ht="15" hidden="false" customHeight="false" outlineLevel="0" collapsed="false">
      <c r="B7278" s="46" t="str">
        <f aca="false">IF(N(Nb_Mensualites)=0,"","Soit "&amp;FIXED(E7277/Nb_Mensualites,2)&amp;" € HT par échéance ("&amp;Nb_Mensualites&amp;" échéances), "&amp;FIXED(E7277/Nb_Mensualites*(1+Taux_TVA),2)&amp;" € TTC.")</f>
        <v>Soit 0.00 € HT par échéance (12 échéances), 0.00 € TTC.</v>
      </c>
      <c r="C7278" s="46"/>
      <c r="D7278" s="46"/>
      <c r="E7278" s="46"/>
      <c r="F7278" s="46"/>
    </row>
    <row r="7279" customFormat="false" ht="7.5" hidden="false" customHeight="true" outlineLevel="0" collapsed="false">
      <c r="B7279" s="10"/>
      <c r="C7279" s="10"/>
      <c r="D7279" s="10"/>
      <c r="E7279" s="10"/>
      <c r="F7279" s="10"/>
    </row>
    <row r="7280" customFormat="false" ht="36.75" hidden="false" customHeight="true" outlineLevel="0" collapsed="false">
      <c r="B7280" s="37" t="str">
        <f aca="false">SUBSTITUTE(SUBSTITUTE(SUBSTITUTE(SUBSTITUTE(SUBSTITUTE(Txt_P5,"{cabinet}",Cab_Nom),"{societe}",IF($K$7246=0,"",INDEX(Clients!$E$2:$E$501,$K$7246)&amp;"")),"{date_effet}",$K$7248),"{hausse}",$K$7249),"{civilite}",$K$7247)</f>
        <v>Les autres conditions de votre lettre de mission demeurent inchangées. Les nouveaux montants seront appliqués automatiquement sur vos prochaines factures et échéances de prélèvement.</v>
      </c>
      <c r="C7280" s="37"/>
      <c r="D7280" s="37"/>
      <c r="E7280" s="37"/>
      <c r="F7280" s="37"/>
    </row>
    <row r="7281" customFormat="false" ht="36.75" hidden="false" customHeight="true" outlineLevel="0" collapsed="false">
      <c r="B7281" s="37" t="str">
        <f aca="false">SUBSTITUTE(SUBSTITUTE(SUBSTITUTE(SUBSTITUTE(SUBSTITUTE(Txt_P6,"{cabinet}",Cab_Nom),"{societe}",IF($K$7246=0,"",INDEX(Clients!$E$2:$E$501,$K$7246)&amp;"")),"{date_effet}",$K$7248),"{hausse}",$K$7249),"{civilite}",$K$7247)</f>
        <v>Votre interlocuteur habituel reste à votre entière disposition pour répondre à vos questions et faire le point sur l'évolution de vos besoins.</v>
      </c>
      <c r="C7281" s="37"/>
      <c r="D7281" s="37"/>
      <c r="E7281" s="37"/>
      <c r="F7281" s="37"/>
    </row>
    <row r="7282" customFormat="false" ht="24" hidden="false" customHeight="true" outlineLevel="0" collapsed="false">
      <c r="B7282" s="37" t="str">
        <f aca="false">SUBSTITUTE(SUBSTITUTE(SUBSTITUTE(SUBSTITUTE(SUBSTITUTE(Txt_Politesse,"{cabinet}",Cab_Nom),"{societe}",IF($K$7246=0,"",INDEX(Clients!$E$2:$E$501,$K$7246)&amp;"")),"{date_effet}",$K$7248),"{hausse}",$K$7249),"{civilite}",$K$7247)</f>
        <v>Nous vous prions d'agréer, Madame, Monsieur, l'expression de nos salutations distinguées.</v>
      </c>
      <c r="C7282" s="37"/>
      <c r="D7282" s="37"/>
      <c r="E7282" s="37"/>
      <c r="F7282" s="37"/>
    </row>
    <row r="7283" customFormat="false" ht="15" hidden="false" customHeight="false" outlineLevel="0" collapsed="false">
      <c r="B7283" s="10"/>
      <c r="C7283" s="10"/>
      <c r="D7283" s="10"/>
      <c r="E7283" s="10"/>
      <c r="F7283" s="10"/>
    </row>
    <row r="7284" customFormat="false" ht="15" hidden="false" customHeight="false" outlineLevel="0" collapsed="false">
      <c r="B7284" s="10"/>
      <c r="C7284" s="10"/>
      <c r="D7284" s="34" t="str">
        <f aca="false">Signataire</f>
        <v>Prénom NOM</v>
      </c>
      <c r="E7284" s="34"/>
      <c r="F7284" s="34"/>
    </row>
    <row r="7285" customFormat="false" ht="15" hidden="false" customHeight="false" outlineLevel="0" collapsed="false">
      <c r="B7285" s="10"/>
      <c r="C7285" s="10"/>
      <c r="D7285" s="47" t="str">
        <f aca="false">Signataire_Titre</f>
        <v>Expert-comptable associé</v>
      </c>
      <c r="E7285" s="47"/>
      <c r="F7285" s="47"/>
    </row>
    <row r="7286" customFormat="false" ht="15.75" hidden="false" customHeight="true" outlineLevel="0" collapsed="false">
      <c r="B7286" s="10"/>
      <c r="C7286" s="10"/>
      <c r="D7286" s="10"/>
      <c r="E7286" s="10"/>
      <c r="F7286" s="10"/>
    </row>
    <row r="7287" customFormat="false" ht="15.75" hidden="false" customHeight="true" outlineLevel="0" collapsed="false">
      <c r="B7287" s="10"/>
      <c r="C7287" s="10"/>
      <c r="D7287" s="10"/>
      <c r="E7287" s="10"/>
      <c r="F7287" s="10"/>
    </row>
    <row r="7288" customFormat="false" ht="15.75" hidden="false" customHeight="true" outlineLevel="0" collapsed="false">
      <c r="B7288" s="10"/>
      <c r="C7288" s="10"/>
      <c r="D7288" s="10"/>
      <c r="E7288" s="10"/>
      <c r="F7288" s="10"/>
    </row>
    <row r="7289" customFormat="false" ht="15.75" hidden="false" customHeight="true" outlineLevel="0" collapsed="false">
      <c r="B7289" s="10"/>
      <c r="C7289" s="10"/>
      <c r="D7289" s="10"/>
      <c r="E7289" s="10"/>
      <c r="F7289" s="10"/>
    </row>
    <row r="7290" customFormat="false" ht="24" hidden="false" customHeight="true" outlineLevel="0" collapsed="false">
      <c r="B7290" s="48" t="str">
        <f aca="false">Cab_Mentions</f>
        <v>ALTHO EXPERTISE · SAS au capital de 10 000 € · RCS Pontoise 919 706 325 · TVA FR62919706325 · Société d'expertise comptable inscrite au Tableau de l'Ordre des experts-comptables de Paris Île-de-France</v>
      </c>
      <c r="C7290" s="48"/>
      <c r="D7290" s="48"/>
      <c r="E7290" s="48"/>
      <c r="F7290" s="48"/>
    </row>
    <row r="7291" customFormat="false" ht="15" hidden="false" customHeight="false" outlineLevel="0" collapsed="false">
      <c r="B7291" s="10"/>
      <c r="C7291" s="10"/>
      <c r="D7291" s="10"/>
      <c r="E7291" s="10"/>
      <c r="F7291" s="10"/>
      <c r="J7291" s="25" t="s">
        <v>142</v>
      </c>
      <c r="K7291" s="25" t="n">
        <f aca="false">IFERROR(MATCH(163,Clients!$Z$2:$Z$501,0),0)</f>
        <v>0</v>
      </c>
      <c r="L7291" s="25"/>
      <c r="M7291" s="25"/>
      <c r="N7291" s="25"/>
      <c r="O7291" s="25"/>
    </row>
    <row r="7292" customFormat="false" ht="21.75" hidden="false" customHeight="true" outlineLevel="0" collapsed="false">
      <c r="B7292" s="26" t="str">
        <f aca="false">Cab_Nom</f>
        <v>ALTHO EXPERTISE</v>
      </c>
      <c r="C7292" s="26"/>
      <c r="D7292" s="10"/>
      <c r="E7292" s="27" t="str">
        <f aca="false">IF($K$7291=0,"","Réf. client : "&amp;INDEX(Clients!$A$2:$A$501,$K$7291))</f>
        <v/>
      </c>
      <c r="F7292" s="27"/>
      <c r="J7292" s="25" t="s">
        <v>144</v>
      </c>
      <c r="K7292" s="25" t="str">
        <f aca="false">IF(IF($K$7291=0,"",INDEX(Clients!$B$2:$B$501,$K$7291)&amp;"")="Mme","Madame",IF(IF($K$7291=0,"",INDEX(Clients!$B$2:$B$501,$K$7291)&amp;"")="M.","Monsieur","Madame, Monsieur"))</f>
        <v>Madame, Monsieur</v>
      </c>
      <c r="L7292" s="25"/>
      <c r="M7292" s="25"/>
      <c r="N7292" s="25"/>
      <c r="O7292" s="25"/>
    </row>
    <row r="7293" customFormat="false" ht="15" hidden="false" customHeight="false" outlineLevel="0" collapsed="false">
      <c r="B7293" s="29" t="str">
        <f aca="false">Cab_Adr1</f>
        <v>141 rue Charles de Gaulle</v>
      </c>
      <c r="C7293" s="29"/>
      <c r="D7293" s="10"/>
      <c r="E7293" s="10"/>
      <c r="F7293" s="10"/>
      <c r="J7293" s="25" t="s">
        <v>145</v>
      </c>
      <c r="K7293" s="25" t="str">
        <f aca="false">DAY(Date_Effet)&amp;IF(DAY(Date_Effet)=1,"er","")&amp;" "&amp;INDEX(Liste_Mois,MONTH(Date_Effet))&amp;" "&amp;YEAR(Date_Effet)</f>
        <v>1er janvier 2027</v>
      </c>
      <c r="L7293" s="25"/>
      <c r="M7293" s="25"/>
      <c r="N7293" s="25"/>
      <c r="O7293" s="25"/>
    </row>
    <row r="7294" customFormat="false" ht="15" hidden="false" customHeight="false" outlineLevel="0" collapsed="false">
      <c r="B7294" s="29" t="str">
        <f aca="false">Cab_CPVille</f>
        <v>95130 LE PLESSIS-BOUCHARD</v>
      </c>
      <c r="C7294" s="29"/>
      <c r="D7294" s="10"/>
      <c r="E7294" s="10"/>
      <c r="F7294" s="10"/>
      <c r="J7294" s="25" t="s">
        <v>146</v>
      </c>
      <c r="K7294" s="25" t="str">
        <f aca="false">IF(SUM($K$7318:$K$7321)=0,"",FIXED((SUM($L$7318:$L$7321)/SUM($K$7318:$K$7321)-1)*100,1)&amp;" %")</f>
        <v/>
      </c>
      <c r="L7294" s="25"/>
      <c r="M7294" s="25"/>
      <c r="N7294" s="25"/>
      <c r="O7294" s="25"/>
    </row>
    <row r="7295" customFormat="false" ht="15" hidden="false" customHeight="false" outlineLevel="0" collapsed="false">
      <c r="B7295" s="29" t="str">
        <f aca="false">Cab_Contact</f>
        <v>Tél. 01 34 14 53 45  ·  altho@altho-experts.com  ·  altho-experts.com</v>
      </c>
      <c r="C7295" s="29"/>
      <c r="D7295" s="10"/>
      <c r="E7295" s="10"/>
      <c r="F7295" s="10"/>
      <c r="J7295" s="25"/>
      <c r="K7295" s="25"/>
      <c r="L7295" s="25"/>
      <c r="M7295" s="25"/>
      <c r="N7295" s="25"/>
      <c r="O7295" s="25"/>
    </row>
    <row r="7296" customFormat="false" ht="6" hidden="false" customHeight="true" outlineLevel="0" collapsed="false">
      <c r="B7296" s="32"/>
      <c r="C7296" s="32"/>
      <c r="D7296" s="32"/>
      <c r="E7296" s="32"/>
      <c r="F7296" s="32"/>
      <c r="J7296" s="25"/>
      <c r="K7296" s="25"/>
      <c r="L7296" s="25"/>
      <c r="M7296" s="25"/>
      <c r="N7296" s="25"/>
      <c r="O7296" s="25"/>
    </row>
    <row r="7297" customFormat="false" ht="13.5" hidden="false" customHeight="true" outlineLevel="0" collapsed="false">
      <c r="B7297" s="10"/>
      <c r="C7297" s="10"/>
      <c r="D7297" s="10"/>
      <c r="E7297" s="10"/>
      <c r="F7297" s="10"/>
      <c r="J7297" s="25"/>
      <c r="K7297" s="25"/>
      <c r="L7297" s="25"/>
      <c r="M7297" s="25"/>
      <c r="N7297" s="25"/>
      <c r="O7297" s="25"/>
    </row>
    <row r="7298" customFormat="false" ht="13.5" hidden="false" customHeight="true" outlineLevel="0" collapsed="false">
      <c r="B7298" s="10"/>
      <c r="C7298" s="10"/>
      <c r="D7298" s="10"/>
      <c r="E7298" s="10"/>
      <c r="F7298" s="10"/>
      <c r="J7298" s="25"/>
      <c r="K7298" s="25"/>
      <c r="L7298" s="25"/>
      <c r="M7298" s="25"/>
      <c r="N7298" s="25"/>
      <c r="O7298" s="25"/>
    </row>
    <row r="7299" customFormat="false" ht="13.5" hidden="false" customHeight="true" outlineLevel="0" collapsed="false">
      <c r="B7299" s="10"/>
      <c r="C7299" s="10"/>
      <c r="D7299" s="10"/>
      <c r="E7299" s="10"/>
      <c r="F7299" s="10"/>
      <c r="J7299" s="25"/>
      <c r="K7299" s="25"/>
      <c r="L7299" s="25"/>
      <c r="M7299" s="25"/>
      <c r="N7299" s="25"/>
      <c r="O7299" s="25"/>
    </row>
    <row r="7300" customFormat="false" ht="15" hidden="false" customHeight="true" outlineLevel="0" collapsed="false">
      <c r="B7300" s="10"/>
      <c r="C7300" s="10"/>
      <c r="D7300" s="34" t="str">
        <f aca="false">IF($K$7291=0,"",INDEX(Clients!$E$2:$E$501,$K$7291)&amp;"")</f>
        <v/>
      </c>
      <c r="E7300" s="34"/>
      <c r="F7300" s="34"/>
      <c r="J7300" s="25"/>
      <c r="K7300" s="25"/>
      <c r="L7300" s="25"/>
      <c r="M7300" s="25"/>
      <c r="N7300" s="25"/>
      <c r="O7300" s="25"/>
    </row>
    <row r="7301" customFormat="false" ht="15" hidden="false" customHeight="true" outlineLevel="0" collapsed="false">
      <c r="B7301" s="10"/>
      <c r="C7301" s="10"/>
      <c r="D7301" s="35" t="str">
        <f aca="false">IF(IF($K$7291=0,"",INDEX(Clients!$D$2:$D$501,$K$7291)&amp;"")="","","À l'attention de "&amp;TRIM(IF($K$7291=0,"",INDEX(Clients!$B$2:$B$501,$K$7291)&amp;"")&amp;" "&amp;IF($K$7291=0,"",INDEX(Clients!$C$2:$C$501,$K$7291)&amp;"")&amp;" "&amp;IF($K$7291=0,"",INDEX(Clients!$D$2:$D$501,$K$7291)&amp;"")))</f>
        <v/>
      </c>
      <c r="E7301" s="35"/>
      <c r="F7301" s="35"/>
      <c r="J7301" s="25"/>
      <c r="K7301" s="25"/>
      <c r="L7301" s="25"/>
      <c r="M7301" s="25"/>
      <c r="N7301" s="25"/>
      <c r="O7301" s="25"/>
    </row>
    <row r="7302" customFormat="false" ht="15" hidden="false" customHeight="true" outlineLevel="0" collapsed="false">
      <c r="B7302" s="10"/>
      <c r="C7302" s="10"/>
      <c r="D7302" s="35" t="str">
        <f aca="false">IF($K$7291=0,"",INDEX(Clients!$F$2:$F$501,$K$7291)&amp;"")</f>
        <v/>
      </c>
      <c r="E7302" s="35"/>
      <c r="F7302" s="35"/>
      <c r="J7302" s="25"/>
      <c r="K7302" s="25"/>
      <c r="L7302" s="25"/>
      <c r="M7302" s="25"/>
      <c r="N7302" s="25"/>
      <c r="O7302" s="25"/>
    </row>
    <row r="7303" customFormat="false" ht="15" hidden="false" customHeight="true" outlineLevel="0" collapsed="false">
      <c r="B7303" s="10"/>
      <c r="C7303" s="10"/>
      <c r="D7303" s="35" t="str">
        <f aca="false">IF(IF($K$7291=0,"",INDEX(Clients!$G$2:$G$501,$K$7291)&amp;"")="",TRIM(IF($K$7291=0,"",INDEX(Clients!$H$2:$H$501,$K$7291)&amp;"")&amp;" "&amp;UPPER(IF($K$7291=0,"",INDEX(Clients!$I$2:$I$501,$K$7291)&amp;""))),IF($K$7291=0,"",INDEX(Clients!$G$2:$G$501,$K$7291)&amp;""))</f>
        <v/>
      </c>
      <c r="E7303" s="35"/>
      <c r="F7303" s="35"/>
      <c r="J7303" s="25"/>
      <c r="K7303" s="25"/>
      <c r="L7303" s="25"/>
      <c r="M7303" s="25"/>
      <c r="N7303" s="25"/>
      <c r="O7303" s="25"/>
    </row>
    <row r="7304" customFormat="false" ht="15" hidden="false" customHeight="true" outlineLevel="0" collapsed="false">
      <c r="B7304" s="10"/>
      <c r="C7304" s="10"/>
      <c r="D7304" s="35" t="str">
        <f aca="false">IF(IF($K$7291=0,"",INDEX(Clients!$G$2:$G$501,$K$7291)&amp;"")="","",TRIM(IF($K$7291=0,"",INDEX(Clients!$H$2:$H$501,$K$7291)&amp;"")&amp;" "&amp;UPPER(IF($K$7291=0,"",INDEX(Clients!$I$2:$I$501,$K$7291)&amp;""))))</f>
        <v/>
      </c>
      <c r="E7304" s="35"/>
      <c r="F7304" s="35"/>
      <c r="J7304" s="25"/>
      <c r="K7304" s="25"/>
      <c r="L7304" s="25"/>
      <c r="M7304" s="25"/>
      <c r="N7304" s="25"/>
      <c r="O7304" s="25"/>
    </row>
    <row r="7305" customFormat="false" ht="25.5" hidden="false" customHeight="true" outlineLevel="0" collapsed="false">
      <c r="B7305" s="10"/>
      <c r="C7305" s="10"/>
      <c r="D7305" s="10"/>
      <c r="E7305" s="10"/>
      <c r="F7305" s="10"/>
      <c r="J7305" s="25"/>
      <c r="K7305" s="25"/>
      <c r="L7305" s="25"/>
      <c r="M7305" s="25"/>
      <c r="N7305" s="25"/>
      <c r="O7305" s="25"/>
    </row>
    <row r="7306" customFormat="false" ht="15" hidden="false" customHeight="false" outlineLevel="0" collapsed="false">
      <c r="B7306" s="10"/>
      <c r="C7306" s="10"/>
      <c r="D7306" s="36" t="str">
        <f aca="false">Cab_Ville&amp;", le "&amp;DAY(Date_Courrier)&amp;IF(DAY(Date_Courrier)=1,"er","")&amp;" "&amp;INDEX(Liste_Mois,MONTH(Date_Courrier))&amp;" "&amp;YEAR(Date_Courrier)</f>
        <v>Le Plessis-Bouchard, le 22 septembre 2026</v>
      </c>
      <c r="E7306" s="36"/>
      <c r="F7306" s="36"/>
      <c r="J7306" s="25"/>
      <c r="K7306" s="25"/>
      <c r="L7306" s="25"/>
      <c r="M7306" s="25"/>
      <c r="N7306" s="25"/>
      <c r="O7306" s="25"/>
    </row>
    <row r="7307" customFormat="false" ht="19.5" hidden="false" customHeight="true" outlineLevel="0" collapsed="false">
      <c r="B7307" s="10"/>
      <c r="C7307" s="10"/>
      <c r="D7307" s="10"/>
      <c r="E7307" s="10"/>
      <c r="F7307" s="10"/>
      <c r="J7307" s="25"/>
      <c r="K7307" s="25"/>
      <c r="L7307" s="25"/>
      <c r="M7307" s="25"/>
      <c r="N7307" s="25"/>
      <c r="O7307" s="25"/>
    </row>
    <row r="7308" customFormat="false" ht="15" hidden="false" customHeight="false" outlineLevel="0" collapsed="false">
      <c r="B7308" s="34" t="str">
        <f aca="false">SUBSTITUTE(SUBSTITUTE(SUBSTITUTE(SUBSTITUTE(SUBSTITUTE(Txt_Objet,"{cabinet}",Cab_Nom),"{societe}",IF($K$7291=0,"",INDEX(Clients!$E$2:$E$501,$K$7291)&amp;"")),"{date_effet}",$K$7293),"{hausse}",$K$7294),"{civilite}",$K$7292)</f>
        <v>Objet : révision de nos honoraires au 1er janvier 2027</v>
      </c>
      <c r="C7308" s="34"/>
      <c r="D7308" s="34"/>
      <c r="E7308" s="34"/>
      <c r="F7308" s="34"/>
      <c r="J7308" s="25"/>
      <c r="K7308" s="25"/>
      <c r="L7308" s="25"/>
      <c r="M7308" s="25"/>
      <c r="N7308" s="25"/>
      <c r="O7308" s="25"/>
    </row>
    <row r="7309" customFormat="false" ht="13.5" hidden="false" customHeight="true" outlineLevel="0" collapsed="false">
      <c r="B7309" s="10"/>
      <c r="C7309" s="10"/>
      <c r="D7309" s="10"/>
      <c r="E7309" s="10"/>
      <c r="F7309" s="10"/>
      <c r="J7309" s="25"/>
      <c r="K7309" s="25"/>
      <c r="L7309" s="25"/>
      <c r="M7309" s="25"/>
      <c r="N7309" s="25"/>
      <c r="O7309" s="25"/>
    </row>
    <row r="7310" customFormat="false" ht="15" hidden="false" customHeight="false" outlineLevel="0" collapsed="false">
      <c r="B7310" s="10" t="str">
        <f aca="false">$K$7292&amp;","</f>
        <v>Madame, Monsieur,</v>
      </c>
      <c r="C7310" s="10"/>
      <c r="D7310" s="10"/>
      <c r="E7310" s="10"/>
      <c r="F7310" s="10"/>
      <c r="J7310" s="25"/>
      <c r="K7310" s="25"/>
      <c r="L7310" s="25"/>
      <c r="M7310" s="25"/>
      <c r="N7310" s="25"/>
      <c r="O7310" s="25"/>
    </row>
    <row r="7311" customFormat="false" ht="6" hidden="false" customHeight="true" outlineLevel="0" collapsed="false">
      <c r="B7311" s="10"/>
      <c r="C7311" s="10"/>
      <c r="D7311" s="10"/>
      <c r="E7311" s="10"/>
      <c r="F7311" s="10"/>
      <c r="J7311" s="25"/>
      <c r="K7311" s="25"/>
      <c r="L7311" s="25"/>
      <c r="M7311" s="25"/>
      <c r="N7311" s="25"/>
      <c r="O7311" s="25"/>
    </row>
    <row r="7312" customFormat="false" ht="36.75" hidden="false" customHeight="true" outlineLevel="0" collapsed="false">
      <c r="B7312" s="37" t="str">
        <f aca="false">SUBSTITUTE(SUBSTITUTE(SUBSTITUTE(SUBSTITUTE(SUBSTITUTE(Txt_P1,"{cabinet}",Cab_Nom),"{societe}",IF($K$7291=0,"",INDEX(Clients!$E$2:$E$501,$K$7291)&amp;"")),"{date_effet}",$K$7293),"{hausse}",$K$7294),"{civilite}",$K$7292)</f>
        <v>Nous tenons tout d'abord à vous remercier pour la confiance que vous accordez à ALTHO EXPERTISE. Comme chaque année, et conformément aux dispositions de votre lettre de mission, nous procédons à la révision de nos honoraires.</v>
      </c>
      <c r="C7312" s="37"/>
      <c r="D7312" s="37"/>
      <c r="E7312" s="37"/>
      <c r="F7312" s="37"/>
      <c r="J7312" s="25"/>
      <c r="K7312" s="25"/>
      <c r="L7312" s="25"/>
      <c r="M7312" s="25"/>
      <c r="N7312" s="25"/>
      <c r="O7312" s="25"/>
    </row>
    <row r="7313" customFormat="false" ht="49.5" hidden="false" customHeight="true" outlineLevel="0" collapsed="false">
      <c r="B7313" s="37" t="str">
        <f aca="false">SUBSTITUTE(SUBSTITUTE(SUBSTITUTE(SUBSTITUTE(SUBSTITUTE(Txt_P2,"{cabinet}",Cab_Nom),"{societe}",IF($K$7291=0,"",INDEX(Clients!$E$2:$E$501,$K$7291)&amp;"")),"{date_effet}",$K$7293),"{hausse}",$K$7294),"{civilite}",$K$7292)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313" s="37"/>
      <c r="D7313" s="37"/>
      <c r="E7313" s="37"/>
      <c r="F7313" s="37"/>
      <c r="J7313" s="25"/>
      <c r="K7313" s="25"/>
      <c r="L7313" s="25"/>
      <c r="M7313" s="25"/>
      <c r="N7313" s="25"/>
      <c r="O7313" s="25"/>
    </row>
    <row r="7314" customFormat="false" ht="63" hidden="false" customHeight="true" outlineLevel="0" collapsed="false">
      <c r="B7314" s="37" t="str">
        <f aca="false">SUBSTITUTE(SUBSTITUTE(SUBSTITUTE(SUBSTITUTE(SUBSTITUTE(Txt_P3,"{cabinet}",Cab_Nom),"{societe}",IF($K$7291=0,"",INDEX(Clients!$E$2:$E$501,$K$7291)&amp;"")),"{date_effet}",$K$7293),"{hausse}",$K$7294),"{civilite}",$K$7292)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314" s="37"/>
      <c r="D7314" s="37"/>
      <c r="E7314" s="37"/>
      <c r="F7314" s="37"/>
      <c r="J7314" s="25"/>
      <c r="K7314" s="25"/>
      <c r="L7314" s="25"/>
      <c r="M7314" s="25"/>
      <c r="N7314" s="25"/>
      <c r="O7314" s="25"/>
    </row>
    <row r="7315" customFormat="false" ht="24" hidden="false" customHeight="true" outlineLevel="0" collapsed="false">
      <c r="B7315" s="37" t="str">
        <f aca="false">SUBSTITUTE(SUBSTITUTE(SUBSTITUTE(SUBSTITUTE(SUBSTITUTE(Txt_P4,"{cabinet}",Cab_Nom),"{societe}",IF($K$7291=0,"",INDEX(Clients!$E$2:$E$501,$K$7291)&amp;"")),"{date_effet}",$K$7293),"{hausse}",$K$7294),"{civilite}",$K$7292)</f>
        <v>À compter du 1er janvier 2027, vos honoraires annuels hors taxes évolueront ainsi (évolution globale : ) :</v>
      </c>
      <c r="C7315" s="37"/>
      <c r="D7315" s="37"/>
      <c r="E7315" s="37"/>
      <c r="F7315" s="37"/>
      <c r="J7315" s="25"/>
      <c r="K7315" s="25"/>
      <c r="L7315" s="25"/>
      <c r="M7315" s="25"/>
      <c r="N7315" s="25"/>
      <c r="O7315" s="25"/>
    </row>
    <row r="7316" customFormat="false" ht="3.75" hidden="false" customHeight="true" outlineLevel="0" collapsed="false">
      <c r="B7316" s="10"/>
      <c r="C7316" s="10"/>
      <c r="D7316" s="10"/>
      <c r="E7316" s="10"/>
      <c r="F7316" s="10"/>
      <c r="J7316" s="25"/>
      <c r="K7316" s="25"/>
      <c r="L7316" s="25"/>
      <c r="M7316" s="25"/>
      <c r="N7316" s="25"/>
      <c r="O7316" s="25"/>
    </row>
    <row r="7317" customFormat="false" ht="18" hidden="false" customHeight="true" outlineLevel="0" collapsed="false">
      <c r="B7317" s="38" t="s">
        <v>148</v>
      </c>
      <c r="C7317" s="39" t="s">
        <v>149</v>
      </c>
      <c r="D7317" s="39" t="s">
        <v>150</v>
      </c>
      <c r="E7317" s="39" t="s">
        <v>151</v>
      </c>
      <c r="F7317" s="39" t="s">
        <v>109</v>
      </c>
      <c r="J7317" s="25" t="s">
        <v>152</v>
      </c>
      <c r="K7317" s="25" t="s">
        <v>153</v>
      </c>
      <c r="L7317" s="25" t="s">
        <v>154</v>
      </c>
      <c r="M7317" s="25" t="s">
        <v>155</v>
      </c>
      <c r="N7317" s="25" t="s">
        <v>156</v>
      </c>
      <c r="O7317" s="25" t="s">
        <v>157</v>
      </c>
    </row>
    <row r="7318" customFormat="false" ht="16.5" hidden="false" customHeight="true" outlineLevel="0" collapsed="false">
      <c r="B7318" s="40" t="str">
        <f aca="false">IFERROR(INDEX($J$7318:$J$7321,MATCH($O7318,$N$7318:$N$7321,0)),"")</f>
        <v/>
      </c>
      <c r="C7318" s="41" t="str">
        <f aca="false">IFERROR(INDEX($K$7318:$K$7321,MATCH($O7318,$N$7318:$N$7321,0)),"")</f>
        <v/>
      </c>
      <c r="D7318" s="42" t="str">
        <f aca="false">IF(OR(E7318="",N(C7318)=0),"",E7318/C7318-1)</f>
        <v/>
      </c>
      <c r="E7318" s="41" t="str">
        <f aca="false">IFERROR(INDEX($L$7318:$L$7321,MATCH($O7318,$N$7318:$N$7321,0)),"")</f>
        <v/>
      </c>
      <c r="F7318" s="41" t="str">
        <f aca="false">IF(E7318="","",E7318-C7318)</f>
        <v/>
      </c>
      <c r="J7318" s="25" t="str">
        <f aca="false">Lib_Compta</f>
        <v>Mission comptable (tenue, révision, bilan, liasse fiscale)</v>
      </c>
      <c r="K7318" s="25" t="n">
        <f aca="false">IF($K$7291=0,0,N(INDEX(Clients!$K$2:$K$501,$K$7291)))</f>
        <v>0</v>
      </c>
      <c r="L7318" s="25" t="n">
        <f aca="false">IF($K$7291=0,0,N(INDEX(Clients!$P$2:$P$501,$K$7291)))</f>
        <v>0</v>
      </c>
      <c r="M7318" s="25" t="n">
        <f aca="false">IF(OR(K7318&lt;&gt;0,L7318&lt;&gt;0),1,0)</f>
        <v>0</v>
      </c>
      <c r="N7318" s="25" t="str">
        <f aca="false">IF(M7318=1,SUM($M$7318:M7318),"")</f>
        <v/>
      </c>
      <c r="O7318" s="25" t="n">
        <v>1</v>
      </c>
    </row>
    <row r="7319" customFormat="false" ht="16.5" hidden="false" customHeight="true" outlineLevel="0" collapsed="false">
      <c r="B7319" s="40" t="str">
        <f aca="false">IFERROR(INDEX($J$7318:$J$7321,MATCH($O7319,$N$7318:$N$7321,0)),"")</f>
        <v/>
      </c>
      <c r="C7319" s="41" t="str">
        <f aca="false">IFERROR(INDEX($K$7318:$K$7321,MATCH($O7319,$N$7318:$N$7321,0)),"")</f>
        <v/>
      </c>
      <c r="D7319" s="42" t="str">
        <f aca="false">IF(OR(E7319="",N(C7319)=0),"",E7319/C7319-1)</f>
        <v/>
      </c>
      <c r="E7319" s="41" t="str">
        <f aca="false">IFERROR(INDEX($L$7318:$L$7321,MATCH($O7319,$N$7318:$N$7321,0)),"")</f>
        <v/>
      </c>
      <c r="F7319" s="41" t="str">
        <f aca="false">IF(E7319="","",E7319-C7319)</f>
        <v/>
      </c>
      <c r="J7319" s="25" t="str">
        <f aca="false">Lib_Paye</f>
        <v>Mission sociale (bulletins de paie, DSN, déclarations sociales)</v>
      </c>
      <c r="K7319" s="25" t="n">
        <f aca="false">IF($K$7291=0,0,N(INDEX(Clients!$L$2:$L$501,$K$7291)))</f>
        <v>0</v>
      </c>
      <c r="L7319" s="25" t="n">
        <f aca="false">IF($K$7291=0,0,N(INDEX(Clients!$Q$2:$Q$501,$K$7291)))</f>
        <v>0</v>
      </c>
      <c r="M7319" s="25" t="n">
        <f aca="false">IF(OR(K7319&lt;&gt;0,L7319&lt;&gt;0),1,0)</f>
        <v>0</v>
      </c>
      <c r="N7319" s="25" t="str">
        <f aca="false">IF(M7319=1,SUM($M$7318:M7319),"")</f>
        <v/>
      </c>
      <c r="O7319" s="25" t="n">
        <v>2</v>
      </c>
    </row>
    <row r="7320" customFormat="false" ht="16.5" hidden="false" customHeight="true" outlineLevel="0" collapsed="false">
      <c r="B7320" s="40" t="str">
        <f aca="false">IFERROR(INDEX($J$7318:$J$7321,MATCH($O7320,$N$7318:$N$7321,0)),"")</f>
        <v/>
      </c>
      <c r="C7320" s="41" t="str">
        <f aca="false">IFERROR(INDEX($K$7318:$K$7321,MATCH($O7320,$N$7318:$N$7321,0)),"")</f>
        <v/>
      </c>
      <c r="D7320" s="42" t="str">
        <f aca="false">IF(OR(E7320="",N(C7320)=0),"",E7320/C7320-1)</f>
        <v/>
      </c>
      <c r="E7320" s="41" t="str">
        <f aca="false">IFERROR(INDEX($L$7318:$L$7321,MATCH($O7320,$N$7318:$N$7321,0)),"")</f>
        <v/>
      </c>
      <c r="F7320" s="41" t="str">
        <f aca="false">IF(E7320="","",E7320-C7320)</f>
        <v/>
      </c>
      <c r="J7320" s="25" t="str">
        <f aca="false">Lib_Jur</f>
        <v>Mission juridique (approbation des comptes, secrétariat juridique)</v>
      </c>
      <c r="K7320" s="25" t="n">
        <f aca="false">IF($K$7291=0,0,N(INDEX(Clients!$M$2:$M$501,$K$7291)))</f>
        <v>0</v>
      </c>
      <c r="L7320" s="25" t="n">
        <f aca="false">IF($K$7291=0,0,N(INDEX(Clients!$R$2:$R$501,$K$7291)))</f>
        <v>0</v>
      </c>
      <c r="M7320" s="25" t="n">
        <f aca="false">IF(OR(K7320&lt;&gt;0,L7320&lt;&gt;0),1,0)</f>
        <v>0</v>
      </c>
      <c r="N7320" s="25" t="str">
        <f aca="false">IF(M7320=1,SUM($M$7318:M7320),"")</f>
        <v/>
      </c>
      <c r="O7320" s="25" t="n">
        <v>3</v>
      </c>
    </row>
    <row r="7321" customFormat="false" ht="16.5" hidden="false" customHeight="true" outlineLevel="0" collapsed="false">
      <c r="B7321" s="40" t="str">
        <f aca="false">IFERROR(INDEX($J$7318:$J$7321,MATCH($O7321,$N$7318:$N$7321,0)),"")</f>
        <v/>
      </c>
      <c r="C7321" s="41" t="str">
        <f aca="false">IFERROR(INDEX($K$7318:$K$7321,MATCH($O7321,$N$7318:$N$7321,0)),"")</f>
        <v/>
      </c>
      <c r="D7321" s="42" t="str">
        <f aca="false">IF(OR(E7321="",N(C7321)=0),"",E7321/C7321-1)</f>
        <v/>
      </c>
      <c r="E7321" s="41" t="str">
        <f aca="false">IFERROR(INDEX($L$7318:$L$7321,MATCH($O7321,$N$7318:$N$7321,0)),"")</f>
        <v/>
      </c>
      <c r="F7321" s="41" t="str">
        <f aca="false">IF(E7321="","",E7321-C7321)</f>
        <v/>
      </c>
      <c r="J7321" s="25" t="str">
        <f aca="false">Lib_PA</f>
        <v>Plateforme agréée – facturation électronique</v>
      </c>
      <c r="K7321" s="25" t="n">
        <f aca="false">IF($K$7291=0,0,N(INDEX(Clients!$N$2:$N$501,$K$7291)))</f>
        <v>0</v>
      </c>
      <c r="L7321" s="25" t="n">
        <f aca="false">IF($K$7291=0,0,N(INDEX(Clients!$S$2:$S$501,$K$7291)))</f>
        <v>0</v>
      </c>
      <c r="M7321" s="25" t="n">
        <f aca="false">IF(OR(K7321&lt;&gt;0,L7321&lt;&gt;0),1,0)</f>
        <v>0</v>
      </c>
      <c r="N7321" s="25" t="str">
        <f aca="false">IF(M7321=1,SUM($M$7318:M7321),"")</f>
        <v/>
      </c>
      <c r="O7321" s="25" t="n">
        <v>4</v>
      </c>
    </row>
    <row r="7322" customFormat="false" ht="18" hidden="false" customHeight="true" outlineLevel="0" collapsed="false">
      <c r="B7322" s="43" t="s">
        <v>158</v>
      </c>
      <c r="C7322" s="44" t="n">
        <f aca="false">SUM(K7318:K7321)</f>
        <v>0</v>
      </c>
      <c r="D7322" s="45" t="str">
        <f aca="false">IF(N(C7322)=0,"",E7322/C7322-1)</f>
        <v/>
      </c>
      <c r="E7322" s="44" t="n">
        <f aca="false">SUM(L7318:L7321)</f>
        <v>0</v>
      </c>
      <c r="F7322" s="44" t="n">
        <f aca="false">E7322-C7322</f>
        <v>0</v>
      </c>
    </row>
    <row r="7323" customFormat="false" ht="15" hidden="false" customHeight="false" outlineLevel="0" collapsed="false">
      <c r="B7323" s="46" t="str">
        <f aca="false">IF(N(Nb_Mensualites)=0,"","Soit "&amp;FIXED(E7322/Nb_Mensualites,2)&amp;" € HT par échéance ("&amp;Nb_Mensualites&amp;" échéances), "&amp;FIXED(E7322/Nb_Mensualites*(1+Taux_TVA),2)&amp;" € TTC.")</f>
        <v>Soit 0.00 € HT par échéance (12 échéances), 0.00 € TTC.</v>
      </c>
      <c r="C7323" s="46"/>
      <c r="D7323" s="46"/>
      <c r="E7323" s="46"/>
      <c r="F7323" s="46"/>
    </row>
    <row r="7324" customFormat="false" ht="7.5" hidden="false" customHeight="true" outlineLevel="0" collapsed="false">
      <c r="B7324" s="10"/>
      <c r="C7324" s="10"/>
      <c r="D7324" s="10"/>
      <c r="E7324" s="10"/>
      <c r="F7324" s="10"/>
    </row>
    <row r="7325" customFormat="false" ht="36.75" hidden="false" customHeight="true" outlineLevel="0" collapsed="false">
      <c r="B7325" s="37" t="str">
        <f aca="false">SUBSTITUTE(SUBSTITUTE(SUBSTITUTE(SUBSTITUTE(SUBSTITUTE(Txt_P5,"{cabinet}",Cab_Nom),"{societe}",IF($K$7291=0,"",INDEX(Clients!$E$2:$E$501,$K$7291)&amp;"")),"{date_effet}",$K$7293),"{hausse}",$K$7294),"{civilite}",$K$7292)</f>
        <v>Les autres conditions de votre lettre de mission demeurent inchangées. Les nouveaux montants seront appliqués automatiquement sur vos prochaines factures et échéances de prélèvement.</v>
      </c>
      <c r="C7325" s="37"/>
      <c r="D7325" s="37"/>
      <c r="E7325" s="37"/>
      <c r="F7325" s="37"/>
    </row>
    <row r="7326" customFormat="false" ht="36.75" hidden="false" customHeight="true" outlineLevel="0" collapsed="false">
      <c r="B7326" s="37" t="str">
        <f aca="false">SUBSTITUTE(SUBSTITUTE(SUBSTITUTE(SUBSTITUTE(SUBSTITUTE(Txt_P6,"{cabinet}",Cab_Nom),"{societe}",IF($K$7291=0,"",INDEX(Clients!$E$2:$E$501,$K$7291)&amp;"")),"{date_effet}",$K$7293),"{hausse}",$K$7294),"{civilite}",$K$7292)</f>
        <v>Votre interlocuteur habituel reste à votre entière disposition pour répondre à vos questions et faire le point sur l'évolution de vos besoins.</v>
      </c>
      <c r="C7326" s="37"/>
      <c r="D7326" s="37"/>
      <c r="E7326" s="37"/>
      <c r="F7326" s="37"/>
    </row>
    <row r="7327" customFormat="false" ht="24" hidden="false" customHeight="true" outlineLevel="0" collapsed="false">
      <c r="B7327" s="37" t="str">
        <f aca="false">SUBSTITUTE(SUBSTITUTE(SUBSTITUTE(SUBSTITUTE(SUBSTITUTE(Txt_Politesse,"{cabinet}",Cab_Nom),"{societe}",IF($K$7291=0,"",INDEX(Clients!$E$2:$E$501,$K$7291)&amp;"")),"{date_effet}",$K$7293),"{hausse}",$K$7294),"{civilite}",$K$7292)</f>
        <v>Nous vous prions d'agréer, Madame, Monsieur, l'expression de nos salutations distinguées.</v>
      </c>
      <c r="C7327" s="37"/>
      <c r="D7327" s="37"/>
      <c r="E7327" s="37"/>
      <c r="F7327" s="37"/>
    </row>
    <row r="7328" customFormat="false" ht="15" hidden="false" customHeight="false" outlineLevel="0" collapsed="false">
      <c r="B7328" s="10"/>
      <c r="C7328" s="10"/>
      <c r="D7328" s="10"/>
      <c r="E7328" s="10"/>
      <c r="F7328" s="10"/>
    </row>
    <row r="7329" customFormat="false" ht="15" hidden="false" customHeight="false" outlineLevel="0" collapsed="false">
      <c r="B7329" s="10"/>
      <c r="C7329" s="10"/>
      <c r="D7329" s="34" t="str">
        <f aca="false">Signataire</f>
        <v>Prénom NOM</v>
      </c>
      <c r="E7329" s="34"/>
      <c r="F7329" s="34"/>
    </row>
    <row r="7330" customFormat="false" ht="15" hidden="false" customHeight="false" outlineLevel="0" collapsed="false">
      <c r="B7330" s="10"/>
      <c r="C7330" s="10"/>
      <c r="D7330" s="47" t="str">
        <f aca="false">Signataire_Titre</f>
        <v>Expert-comptable associé</v>
      </c>
      <c r="E7330" s="47"/>
      <c r="F7330" s="47"/>
    </row>
    <row r="7331" customFormat="false" ht="15.75" hidden="false" customHeight="true" outlineLevel="0" collapsed="false">
      <c r="B7331" s="10"/>
      <c r="C7331" s="10"/>
      <c r="D7331" s="10"/>
      <c r="E7331" s="10"/>
      <c r="F7331" s="10"/>
    </row>
    <row r="7332" customFormat="false" ht="15.75" hidden="false" customHeight="true" outlineLevel="0" collapsed="false">
      <c r="B7332" s="10"/>
      <c r="C7332" s="10"/>
      <c r="D7332" s="10"/>
      <c r="E7332" s="10"/>
      <c r="F7332" s="10"/>
    </row>
    <row r="7333" customFormat="false" ht="15.75" hidden="false" customHeight="true" outlineLevel="0" collapsed="false">
      <c r="B7333" s="10"/>
      <c r="C7333" s="10"/>
      <c r="D7333" s="10"/>
      <c r="E7333" s="10"/>
      <c r="F7333" s="10"/>
    </row>
    <row r="7334" customFormat="false" ht="15.75" hidden="false" customHeight="true" outlineLevel="0" collapsed="false">
      <c r="B7334" s="10"/>
      <c r="C7334" s="10"/>
      <c r="D7334" s="10"/>
      <c r="E7334" s="10"/>
      <c r="F7334" s="10"/>
    </row>
    <row r="7335" customFormat="false" ht="24" hidden="false" customHeight="true" outlineLevel="0" collapsed="false">
      <c r="B7335" s="48" t="str">
        <f aca="false">Cab_Mentions</f>
        <v>ALTHO EXPERTISE · SAS au capital de 10 000 € · RCS Pontoise 919 706 325 · TVA FR62919706325 · Société d'expertise comptable inscrite au Tableau de l'Ordre des experts-comptables de Paris Île-de-France</v>
      </c>
      <c r="C7335" s="48"/>
      <c r="D7335" s="48"/>
      <c r="E7335" s="48"/>
      <c r="F7335" s="48"/>
    </row>
    <row r="7336" customFormat="false" ht="15" hidden="false" customHeight="false" outlineLevel="0" collapsed="false">
      <c r="B7336" s="10"/>
      <c r="C7336" s="10"/>
      <c r="D7336" s="10"/>
      <c r="E7336" s="10"/>
      <c r="F7336" s="10"/>
      <c r="J7336" s="25" t="s">
        <v>142</v>
      </c>
      <c r="K7336" s="25" t="n">
        <f aca="false">IFERROR(MATCH(164,Clients!$Z$2:$Z$501,0),0)</f>
        <v>0</v>
      </c>
      <c r="L7336" s="25"/>
      <c r="M7336" s="25"/>
      <c r="N7336" s="25"/>
      <c r="O7336" s="25"/>
    </row>
    <row r="7337" customFormat="false" ht="21.75" hidden="false" customHeight="true" outlineLevel="0" collapsed="false">
      <c r="B7337" s="26" t="str">
        <f aca="false">Cab_Nom</f>
        <v>ALTHO EXPERTISE</v>
      </c>
      <c r="C7337" s="26"/>
      <c r="D7337" s="10"/>
      <c r="E7337" s="27" t="str">
        <f aca="false">IF($K$7336=0,"","Réf. client : "&amp;INDEX(Clients!$A$2:$A$501,$K$7336))</f>
        <v/>
      </c>
      <c r="F7337" s="27"/>
      <c r="J7337" s="25" t="s">
        <v>144</v>
      </c>
      <c r="K7337" s="25" t="str">
        <f aca="false">IF(IF($K$7336=0,"",INDEX(Clients!$B$2:$B$501,$K$7336)&amp;"")="Mme","Madame",IF(IF($K$7336=0,"",INDEX(Clients!$B$2:$B$501,$K$7336)&amp;"")="M.","Monsieur","Madame, Monsieur"))</f>
        <v>Madame, Monsieur</v>
      </c>
      <c r="L7337" s="25"/>
      <c r="M7337" s="25"/>
      <c r="N7337" s="25"/>
      <c r="O7337" s="25"/>
    </row>
    <row r="7338" customFormat="false" ht="15" hidden="false" customHeight="false" outlineLevel="0" collapsed="false">
      <c r="B7338" s="29" t="str">
        <f aca="false">Cab_Adr1</f>
        <v>141 rue Charles de Gaulle</v>
      </c>
      <c r="C7338" s="29"/>
      <c r="D7338" s="10"/>
      <c r="E7338" s="10"/>
      <c r="F7338" s="10"/>
      <c r="J7338" s="25" t="s">
        <v>145</v>
      </c>
      <c r="K7338" s="25" t="str">
        <f aca="false">DAY(Date_Effet)&amp;IF(DAY(Date_Effet)=1,"er","")&amp;" "&amp;INDEX(Liste_Mois,MONTH(Date_Effet))&amp;" "&amp;YEAR(Date_Effet)</f>
        <v>1er janvier 2027</v>
      </c>
      <c r="L7338" s="25"/>
      <c r="M7338" s="25"/>
      <c r="N7338" s="25"/>
      <c r="O7338" s="25"/>
    </row>
    <row r="7339" customFormat="false" ht="15" hidden="false" customHeight="false" outlineLevel="0" collapsed="false">
      <c r="B7339" s="29" t="str">
        <f aca="false">Cab_CPVille</f>
        <v>95130 LE PLESSIS-BOUCHARD</v>
      </c>
      <c r="C7339" s="29"/>
      <c r="D7339" s="10"/>
      <c r="E7339" s="10"/>
      <c r="F7339" s="10"/>
      <c r="J7339" s="25" t="s">
        <v>146</v>
      </c>
      <c r="K7339" s="25" t="str">
        <f aca="false">IF(SUM($K$7363:$K$7366)=0,"",FIXED((SUM($L$7363:$L$7366)/SUM($K$7363:$K$7366)-1)*100,1)&amp;" %")</f>
        <v/>
      </c>
      <c r="L7339" s="25"/>
      <c r="M7339" s="25"/>
      <c r="N7339" s="25"/>
      <c r="O7339" s="25"/>
    </row>
    <row r="7340" customFormat="false" ht="15" hidden="false" customHeight="false" outlineLevel="0" collapsed="false">
      <c r="B7340" s="29" t="str">
        <f aca="false">Cab_Contact</f>
        <v>Tél. 01 34 14 53 45  ·  altho@altho-experts.com  ·  altho-experts.com</v>
      </c>
      <c r="C7340" s="29"/>
      <c r="D7340" s="10"/>
      <c r="E7340" s="10"/>
      <c r="F7340" s="10"/>
      <c r="J7340" s="25"/>
      <c r="K7340" s="25"/>
      <c r="L7340" s="25"/>
      <c r="M7340" s="25"/>
      <c r="N7340" s="25"/>
      <c r="O7340" s="25"/>
    </row>
    <row r="7341" customFormat="false" ht="6" hidden="false" customHeight="true" outlineLevel="0" collapsed="false">
      <c r="B7341" s="32"/>
      <c r="C7341" s="32"/>
      <c r="D7341" s="32"/>
      <c r="E7341" s="32"/>
      <c r="F7341" s="32"/>
      <c r="J7341" s="25"/>
      <c r="K7341" s="25"/>
      <c r="L7341" s="25"/>
      <c r="M7341" s="25"/>
      <c r="N7341" s="25"/>
      <c r="O7341" s="25"/>
    </row>
    <row r="7342" customFormat="false" ht="13.5" hidden="false" customHeight="true" outlineLevel="0" collapsed="false">
      <c r="B7342" s="10"/>
      <c r="C7342" s="10"/>
      <c r="D7342" s="10"/>
      <c r="E7342" s="10"/>
      <c r="F7342" s="10"/>
      <c r="J7342" s="25"/>
      <c r="K7342" s="25"/>
      <c r="L7342" s="25"/>
      <c r="M7342" s="25"/>
      <c r="N7342" s="25"/>
      <c r="O7342" s="25"/>
    </row>
    <row r="7343" customFormat="false" ht="13.5" hidden="false" customHeight="true" outlineLevel="0" collapsed="false">
      <c r="B7343" s="10"/>
      <c r="C7343" s="10"/>
      <c r="D7343" s="10"/>
      <c r="E7343" s="10"/>
      <c r="F7343" s="10"/>
      <c r="J7343" s="25"/>
      <c r="K7343" s="25"/>
      <c r="L7343" s="25"/>
      <c r="M7343" s="25"/>
      <c r="N7343" s="25"/>
      <c r="O7343" s="25"/>
    </row>
    <row r="7344" customFormat="false" ht="13.5" hidden="false" customHeight="true" outlineLevel="0" collapsed="false">
      <c r="B7344" s="10"/>
      <c r="C7344" s="10"/>
      <c r="D7344" s="10"/>
      <c r="E7344" s="10"/>
      <c r="F7344" s="10"/>
      <c r="J7344" s="25"/>
      <c r="K7344" s="25"/>
      <c r="L7344" s="25"/>
      <c r="M7344" s="25"/>
      <c r="N7344" s="25"/>
      <c r="O7344" s="25"/>
    </row>
    <row r="7345" customFormat="false" ht="15" hidden="false" customHeight="true" outlineLevel="0" collapsed="false">
      <c r="B7345" s="10"/>
      <c r="C7345" s="10"/>
      <c r="D7345" s="34" t="str">
        <f aca="false">IF($K$7336=0,"",INDEX(Clients!$E$2:$E$501,$K$7336)&amp;"")</f>
        <v/>
      </c>
      <c r="E7345" s="34"/>
      <c r="F7345" s="34"/>
      <c r="J7345" s="25"/>
      <c r="K7345" s="25"/>
      <c r="L7345" s="25"/>
      <c r="M7345" s="25"/>
      <c r="N7345" s="25"/>
      <c r="O7345" s="25"/>
    </row>
    <row r="7346" customFormat="false" ht="15" hidden="false" customHeight="true" outlineLevel="0" collapsed="false">
      <c r="B7346" s="10"/>
      <c r="C7346" s="10"/>
      <c r="D7346" s="35" t="str">
        <f aca="false">IF(IF($K$7336=0,"",INDEX(Clients!$D$2:$D$501,$K$7336)&amp;"")="","","À l'attention de "&amp;TRIM(IF($K$7336=0,"",INDEX(Clients!$B$2:$B$501,$K$7336)&amp;"")&amp;" "&amp;IF($K$7336=0,"",INDEX(Clients!$C$2:$C$501,$K$7336)&amp;"")&amp;" "&amp;IF($K$7336=0,"",INDEX(Clients!$D$2:$D$501,$K$7336)&amp;"")))</f>
        <v/>
      </c>
      <c r="E7346" s="35"/>
      <c r="F7346" s="35"/>
      <c r="J7346" s="25"/>
      <c r="K7346" s="25"/>
      <c r="L7346" s="25"/>
      <c r="M7346" s="25"/>
      <c r="N7346" s="25"/>
      <c r="O7346" s="25"/>
    </row>
    <row r="7347" customFormat="false" ht="15" hidden="false" customHeight="true" outlineLevel="0" collapsed="false">
      <c r="B7347" s="10"/>
      <c r="C7347" s="10"/>
      <c r="D7347" s="35" t="str">
        <f aca="false">IF($K$7336=0,"",INDEX(Clients!$F$2:$F$501,$K$7336)&amp;"")</f>
        <v/>
      </c>
      <c r="E7347" s="35"/>
      <c r="F7347" s="35"/>
      <c r="J7347" s="25"/>
      <c r="K7347" s="25"/>
      <c r="L7347" s="25"/>
      <c r="M7347" s="25"/>
      <c r="N7347" s="25"/>
      <c r="O7347" s="25"/>
    </row>
    <row r="7348" customFormat="false" ht="15" hidden="false" customHeight="true" outlineLevel="0" collapsed="false">
      <c r="B7348" s="10"/>
      <c r="C7348" s="10"/>
      <c r="D7348" s="35" t="str">
        <f aca="false">IF(IF($K$7336=0,"",INDEX(Clients!$G$2:$G$501,$K$7336)&amp;"")="",TRIM(IF($K$7336=0,"",INDEX(Clients!$H$2:$H$501,$K$7336)&amp;"")&amp;" "&amp;UPPER(IF($K$7336=0,"",INDEX(Clients!$I$2:$I$501,$K$7336)&amp;""))),IF($K$7336=0,"",INDEX(Clients!$G$2:$G$501,$K$7336)&amp;""))</f>
        <v/>
      </c>
      <c r="E7348" s="35"/>
      <c r="F7348" s="35"/>
      <c r="J7348" s="25"/>
      <c r="K7348" s="25"/>
      <c r="L7348" s="25"/>
      <c r="M7348" s="25"/>
      <c r="N7348" s="25"/>
      <c r="O7348" s="25"/>
    </row>
    <row r="7349" customFormat="false" ht="15" hidden="false" customHeight="true" outlineLevel="0" collapsed="false">
      <c r="B7349" s="10"/>
      <c r="C7349" s="10"/>
      <c r="D7349" s="35" t="str">
        <f aca="false">IF(IF($K$7336=0,"",INDEX(Clients!$G$2:$G$501,$K$7336)&amp;"")="","",TRIM(IF($K$7336=0,"",INDEX(Clients!$H$2:$H$501,$K$7336)&amp;"")&amp;" "&amp;UPPER(IF($K$7336=0,"",INDEX(Clients!$I$2:$I$501,$K$7336)&amp;""))))</f>
        <v/>
      </c>
      <c r="E7349" s="35"/>
      <c r="F7349" s="35"/>
      <c r="J7349" s="25"/>
      <c r="K7349" s="25"/>
      <c r="L7349" s="25"/>
      <c r="M7349" s="25"/>
      <c r="N7349" s="25"/>
      <c r="O7349" s="25"/>
    </row>
    <row r="7350" customFormat="false" ht="25.5" hidden="false" customHeight="true" outlineLevel="0" collapsed="false">
      <c r="B7350" s="10"/>
      <c r="C7350" s="10"/>
      <c r="D7350" s="10"/>
      <c r="E7350" s="10"/>
      <c r="F7350" s="10"/>
      <c r="J7350" s="25"/>
      <c r="K7350" s="25"/>
      <c r="L7350" s="25"/>
      <c r="M7350" s="25"/>
      <c r="N7350" s="25"/>
      <c r="O7350" s="25"/>
    </row>
    <row r="7351" customFormat="false" ht="15" hidden="false" customHeight="false" outlineLevel="0" collapsed="false">
      <c r="B7351" s="10"/>
      <c r="C7351" s="10"/>
      <c r="D7351" s="36" t="str">
        <f aca="false">Cab_Ville&amp;", le "&amp;DAY(Date_Courrier)&amp;IF(DAY(Date_Courrier)=1,"er","")&amp;" "&amp;INDEX(Liste_Mois,MONTH(Date_Courrier))&amp;" "&amp;YEAR(Date_Courrier)</f>
        <v>Le Plessis-Bouchard, le 22 septembre 2026</v>
      </c>
      <c r="E7351" s="36"/>
      <c r="F7351" s="36"/>
      <c r="J7351" s="25"/>
      <c r="K7351" s="25"/>
      <c r="L7351" s="25"/>
      <c r="M7351" s="25"/>
      <c r="N7351" s="25"/>
      <c r="O7351" s="25"/>
    </row>
    <row r="7352" customFormat="false" ht="19.5" hidden="false" customHeight="true" outlineLevel="0" collapsed="false">
      <c r="B7352" s="10"/>
      <c r="C7352" s="10"/>
      <c r="D7352" s="10"/>
      <c r="E7352" s="10"/>
      <c r="F7352" s="10"/>
      <c r="J7352" s="25"/>
      <c r="K7352" s="25"/>
      <c r="L7352" s="25"/>
      <c r="M7352" s="25"/>
      <c r="N7352" s="25"/>
      <c r="O7352" s="25"/>
    </row>
    <row r="7353" customFormat="false" ht="15" hidden="false" customHeight="false" outlineLevel="0" collapsed="false">
      <c r="B7353" s="34" t="str">
        <f aca="false">SUBSTITUTE(SUBSTITUTE(SUBSTITUTE(SUBSTITUTE(SUBSTITUTE(Txt_Objet,"{cabinet}",Cab_Nom),"{societe}",IF($K$7336=0,"",INDEX(Clients!$E$2:$E$501,$K$7336)&amp;"")),"{date_effet}",$K$7338),"{hausse}",$K$7339),"{civilite}",$K$7337)</f>
        <v>Objet : révision de nos honoraires au 1er janvier 2027</v>
      </c>
      <c r="C7353" s="34"/>
      <c r="D7353" s="34"/>
      <c r="E7353" s="34"/>
      <c r="F7353" s="34"/>
      <c r="J7353" s="25"/>
      <c r="K7353" s="25"/>
      <c r="L7353" s="25"/>
      <c r="M7353" s="25"/>
      <c r="N7353" s="25"/>
      <c r="O7353" s="25"/>
    </row>
    <row r="7354" customFormat="false" ht="13.5" hidden="false" customHeight="true" outlineLevel="0" collapsed="false">
      <c r="B7354" s="10"/>
      <c r="C7354" s="10"/>
      <c r="D7354" s="10"/>
      <c r="E7354" s="10"/>
      <c r="F7354" s="10"/>
      <c r="J7354" s="25"/>
      <c r="K7354" s="25"/>
      <c r="L7354" s="25"/>
      <c r="M7354" s="25"/>
      <c r="N7354" s="25"/>
      <c r="O7354" s="25"/>
    </row>
    <row r="7355" customFormat="false" ht="15" hidden="false" customHeight="false" outlineLevel="0" collapsed="false">
      <c r="B7355" s="10" t="str">
        <f aca="false">$K$7337&amp;","</f>
        <v>Madame, Monsieur,</v>
      </c>
      <c r="C7355" s="10"/>
      <c r="D7355" s="10"/>
      <c r="E7355" s="10"/>
      <c r="F7355" s="10"/>
      <c r="J7355" s="25"/>
      <c r="K7355" s="25"/>
      <c r="L7355" s="25"/>
      <c r="M7355" s="25"/>
      <c r="N7355" s="25"/>
      <c r="O7355" s="25"/>
    </row>
    <row r="7356" customFormat="false" ht="6" hidden="false" customHeight="true" outlineLevel="0" collapsed="false">
      <c r="B7356" s="10"/>
      <c r="C7356" s="10"/>
      <c r="D7356" s="10"/>
      <c r="E7356" s="10"/>
      <c r="F7356" s="10"/>
      <c r="J7356" s="25"/>
      <c r="K7356" s="25"/>
      <c r="L7356" s="25"/>
      <c r="M7356" s="25"/>
      <c r="N7356" s="25"/>
      <c r="O7356" s="25"/>
    </row>
    <row r="7357" customFormat="false" ht="36.75" hidden="false" customHeight="true" outlineLevel="0" collapsed="false">
      <c r="B7357" s="37" t="str">
        <f aca="false">SUBSTITUTE(SUBSTITUTE(SUBSTITUTE(SUBSTITUTE(SUBSTITUTE(Txt_P1,"{cabinet}",Cab_Nom),"{societe}",IF($K$7336=0,"",INDEX(Clients!$E$2:$E$501,$K$7336)&amp;"")),"{date_effet}",$K$7338),"{hausse}",$K$7339),"{civilite}",$K$7337)</f>
        <v>Nous tenons tout d'abord à vous remercier pour la confiance que vous accordez à ALTHO EXPERTISE. Comme chaque année, et conformément aux dispositions de votre lettre de mission, nous procédons à la révision de nos honoraires.</v>
      </c>
      <c r="C7357" s="37"/>
      <c r="D7357" s="37"/>
      <c r="E7357" s="37"/>
      <c r="F7357" s="37"/>
      <c r="J7357" s="25"/>
      <c r="K7357" s="25"/>
      <c r="L7357" s="25"/>
      <c r="M7357" s="25"/>
      <c r="N7357" s="25"/>
      <c r="O7357" s="25"/>
    </row>
    <row r="7358" customFormat="false" ht="49.5" hidden="false" customHeight="true" outlineLevel="0" collapsed="false">
      <c r="B7358" s="37" t="str">
        <f aca="false">SUBSTITUTE(SUBSTITUTE(SUBSTITUTE(SUBSTITUTE(SUBSTITUTE(Txt_P2,"{cabinet}",Cab_Nom),"{societe}",IF($K$7336=0,"",INDEX(Clients!$E$2:$E$501,$K$7336)&amp;"")),"{date_effet}",$K$7338),"{hausse}",$K$7339),"{civilite}",$K$7337)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358" s="37"/>
      <c r="D7358" s="37"/>
      <c r="E7358" s="37"/>
      <c r="F7358" s="37"/>
      <c r="J7358" s="25"/>
      <c r="K7358" s="25"/>
      <c r="L7358" s="25"/>
      <c r="M7358" s="25"/>
      <c r="N7358" s="25"/>
      <c r="O7358" s="25"/>
    </row>
    <row r="7359" customFormat="false" ht="63" hidden="false" customHeight="true" outlineLevel="0" collapsed="false">
      <c r="B7359" s="37" t="str">
        <f aca="false">SUBSTITUTE(SUBSTITUTE(SUBSTITUTE(SUBSTITUTE(SUBSTITUTE(Txt_P3,"{cabinet}",Cab_Nom),"{societe}",IF($K$7336=0,"",INDEX(Clients!$E$2:$E$501,$K$7336)&amp;"")),"{date_effet}",$K$7338),"{hausse}",$K$7339),"{civilite}",$K$7337)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359" s="37"/>
      <c r="D7359" s="37"/>
      <c r="E7359" s="37"/>
      <c r="F7359" s="37"/>
      <c r="J7359" s="25"/>
      <c r="K7359" s="25"/>
      <c r="L7359" s="25"/>
      <c r="M7359" s="25"/>
      <c r="N7359" s="25"/>
      <c r="O7359" s="25"/>
    </row>
    <row r="7360" customFormat="false" ht="24" hidden="false" customHeight="true" outlineLevel="0" collapsed="false">
      <c r="B7360" s="37" t="str">
        <f aca="false">SUBSTITUTE(SUBSTITUTE(SUBSTITUTE(SUBSTITUTE(SUBSTITUTE(Txt_P4,"{cabinet}",Cab_Nom),"{societe}",IF($K$7336=0,"",INDEX(Clients!$E$2:$E$501,$K$7336)&amp;"")),"{date_effet}",$K$7338),"{hausse}",$K$7339),"{civilite}",$K$7337)</f>
        <v>À compter du 1er janvier 2027, vos honoraires annuels hors taxes évolueront ainsi (évolution globale : ) :</v>
      </c>
      <c r="C7360" s="37"/>
      <c r="D7360" s="37"/>
      <c r="E7360" s="37"/>
      <c r="F7360" s="37"/>
      <c r="J7360" s="25"/>
      <c r="K7360" s="25"/>
      <c r="L7360" s="25"/>
      <c r="M7360" s="25"/>
      <c r="N7360" s="25"/>
      <c r="O7360" s="25"/>
    </row>
    <row r="7361" customFormat="false" ht="3.75" hidden="false" customHeight="true" outlineLevel="0" collapsed="false">
      <c r="B7361" s="10"/>
      <c r="C7361" s="10"/>
      <c r="D7361" s="10"/>
      <c r="E7361" s="10"/>
      <c r="F7361" s="10"/>
      <c r="J7361" s="25"/>
      <c r="K7361" s="25"/>
      <c r="L7361" s="25"/>
      <c r="M7361" s="25"/>
      <c r="N7361" s="25"/>
      <c r="O7361" s="25"/>
    </row>
    <row r="7362" customFormat="false" ht="18" hidden="false" customHeight="true" outlineLevel="0" collapsed="false">
      <c r="B7362" s="38" t="s">
        <v>148</v>
      </c>
      <c r="C7362" s="39" t="s">
        <v>149</v>
      </c>
      <c r="D7362" s="39" t="s">
        <v>150</v>
      </c>
      <c r="E7362" s="39" t="s">
        <v>151</v>
      </c>
      <c r="F7362" s="39" t="s">
        <v>109</v>
      </c>
      <c r="J7362" s="25" t="s">
        <v>152</v>
      </c>
      <c r="K7362" s="25" t="s">
        <v>153</v>
      </c>
      <c r="L7362" s="25" t="s">
        <v>154</v>
      </c>
      <c r="M7362" s="25" t="s">
        <v>155</v>
      </c>
      <c r="N7362" s="25" t="s">
        <v>156</v>
      </c>
      <c r="O7362" s="25" t="s">
        <v>157</v>
      </c>
    </row>
    <row r="7363" customFormat="false" ht="16.5" hidden="false" customHeight="true" outlineLevel="0" collapsed="false">
      <c r="B7363" s="40" t="str">
        <f aca="false">IFERROR(INDEX($J$7363:$J$7366,MATCH($O7363,$N$7363:$N$7366,0)),"")</f>
        <v/>
      </c>
      <c r="C7363" s="41" t="str">
        <f aca="false">IFERROR(INDEX($K$7363:$K$7366,MATCH($O7363,$N$7363:$N$7366,0)),"")</f>
        <v/>
      </c>
      <c r="D7363" s="42" t="str">
        <f aca="false">IF(OR(E7363="",N(C7363)=0),"",E7363/C7363-1)</f>
        <v/>
      </c>
      <c r="E7363" s="41" t="str">
        <f aca="false">IFERROR(INDEX($L$7363:$L$7366,MATCH($O7363,$N$7363:$N$7366,0)),"")</f>
        <v/>
      </c>
      <c r="F7363" s="41" t="str">
        <f aca="false">IF(E7363="","",E7363-C7363)</f>
        <v/>
      </c>
      <c r="J7363" s="25" t="str">
        <f aca="false">Lib_Compta</f>
        <v>Mission comptable (tenue, révision, bilan, liasse fiscale)</v>
      </c>
      <c r="K7363" s="25" t="n">
        <f aca="false">IF($K$7336=0,0,N(INDEX(Clients!$K$2:$K$501,$K$7336)))</f>
        <v>0</v>
      </c>
      <c r="L7363" s="25" t="n">
        <f aca="false">IF($K$7336=0,0,N(INDEX(Clients!$P$2:$P$501,$K$7336)))</f>
        <v>0</v>
      </c>
      <c r="M7363" s="25" t="n">
        <f aca="false">IF(OR(K7363&lt;&gt;0,L7363&lt;&gt;0),1,0)</f>
        <v>0</v>
      </c>
      <c r="N7363" s="25" t="str">
        <f aca="false">IF(M7363=1,SUM($M$7363:M7363),"")</f>
        <v/>
      </c>
      <c r="O7363" s="25" t="n">
        <v>1</v>
      </c>
    </row>
    <row r="7364" customFormat="false" ht="16.5" hidden="false" customHeight="true" outlineLevel="0" collapsed="false">
      <c r="B7364" s="40" t="str">
        <f aca="false">IFERROR(INDEX($J$7363:$J$7366,MATCH($O7364,$N$7363:$N$7366,0)),"")</f>
        <v/>
      </c>
      <c r="C7364" s="41" t="str">
        <f aca="false">IFERROR(INDEX($K$7363:$K$7366,MATCH($O7364,$N$7363:$N$7366,0)),"")</f>
        <v/>
      </c>
      <c r="D7364" s="42" t="str">
        <f aca="false">IF(OR(E7364="",N(C7364)=0),"",E7364/C7364-1)</f>
        <v/>
      </c>
      <c r="E7364" s="41" t="str">
        <f aca="false">IFERROR(INDEX($L$7363:$L$7366,MATCH($O7364,$N$7363:$N$7366,0)),"")</f>
        <v/>
      </c>
      <c r="F7364" s="41" t="str">
        <f aca="false">IF(E7364="","",E7364-C7364)</f>
        <v/>
      </c>
      <c r="J7364" s="25" t="str">
        <f aca="false">Lib_Paye</f>
        <v>Mission sociale (bulletins de paie, DSN, déclarations sociales)</v>
      </c>
      <c r="K7364" s="25" t="n">
        <f aca="false">IF($K$7336=0,0,N(INDEX(Clients!$L$2:$L$501,$K$7336)))</f>
        <v>0</v>
      </c>
      <c r="L7364" s="25" t="n">
        <f aca="false">IF($K$7336=0,0,N(INDEX(Clients!$Q$2:$Q$501,$K$7336)))</f>
        <v>0</v>
      </c>
      <c r="M7364" s="25" t="n">
        <f aca="false">IF(OR(K7364&lt;&gt;0,L7364&lt;&gt;0),1,0)</f>
        <v>0</v>
      </c>
      <c r="N7364" s="25" t="str">
        <f aca="false">IF(M7364=1,SUM($M$7363:M7364),"")</f>
        <v/>
      </c>
      <c r="O7364" s="25" t="n">
        <v>2</v>
      </c>
    </row>
    <row r="7365" customFormat="false" ht="16.5" hidden="false" customHeight="true" outlineLevel="0" collapsed="false">
      <c r="B7365" s="40" t="str">
        <f aca="false">IFERROR(INDEX($J$7363:$J$7366,MATCH($O7365,$N$7363:$N$7366,0)),"")</f>
        <v/>
      </c>
      <c r="C7365" s="41" t="str">
        <f aca="false">IFERROR(INDEX($K$7363:$K$7366,MATCH($O7365,$N$7363:$N$7366,0)),"")</f>
        <v/>
      </c>
      <c r="D7365" s="42" t="str">
        <f aca="false">IF(OR(E7365="",N(C7365)=0),"",E7365/C7365-1)</f>
        <v/>
      </c>
      <c r="E7365" s="41" t="str">
        <f aca="false">IFERROR(INDEX($L$7363:$L$7366,MATCH($O7365,$N$7363:$N$7366,0)),"")</f>
        <v/>
      </c>
      <c r="F7365" s="41" t="str">
        <f aca="false">IF(E7365="","",E7365-C7365)</f>
        <v/>
      </c>
      <c r="J7365" s="25" t="str">
        <f aca="false">Lib_Jur</f>
        <v>Mission juridique (approbation des comptes, secrétariat juridique)</v>
      </c>
      <c r="K7365" s="25" t="n">
        <f aca="false">IF($K$7336=0,0,N(INDEX(Clients!$M$2:$M$501,$K$7336)))</f>
        <v>0</v>
      </c>
      <c r="L7365" s="25" t="n">
        <f aca="false">IF($K$7336=0,0,N(INDEX(Clients!$R$2:$R$501,$K$7336)))</f>
        <v>0</v>
      </c>
      <c r="M7365" s="25" t="n">
        <f aca="false">IF(OR(K7365&lt;&gt;0,L7365&lt;&gt;0),1,0)</f>
        <v>0</v>
      </c>
      <c r="N7365" s="25" t="str">
        <f aca="false">IF(M7365=1,SUM($M$7363:M7365),"")</f>
        <v/>
      </c>
      <c r="O7365" s="25" t="n">
        <v>3</v>
      </c>
    </row>
    <row r="7366" customFormat="false" ht="16.5" hidden="false" customHeight="true" outlineLevel="0" collapsed="false">
      <c r="B7366" s="40" t="str">
        <f aca="false">IFERROR(INDEX($J$7363:$J$7366,MATCH($O7366,$N$7363:$N$7366,0)),"")</f>
        <v/>
      </c>
      <c r="C7366" s="41" t="str">
        <f aca="false">IFERROR(INDEX($K$7363:$K$7366,MATCH($O7366,$N$7363:$N$7366,0)),"")</f>
        <v/>
      </c>
      <c r="D7366" s="42" t="str">
        <f aca="false">IF(OR(E7366="",N(C7366)=0),"",E7366/C7366-1)</f>
        <v/>
      </c>
      <c r="E7366" s="41" t="str">
        <f aca="false">IFERROR(INDEX($L$7363:$L$7366,MATCH($O7366,$N$7363:$N$7366,0)),"")</f>
        <v/>
      </c>
      <c r="F7366" s="41" t="str">
        <f aca="false">IF(E7366="","",E7366-C7366)</f>
        <v/>
      </c>
      <c r="J7366" s="25" t="str">
        <f aca="false">Lib_PA</f>
        <v>Plateforme agréée – facturation électronique</v>
      </c>
      <c r="K7366" s="25" t="n">
        <f aca="false">IF($K$7336=0,0,N(INDEX(Clients!$N$2:$N$501,$K$7336)))</f>
        <v>0</v>
      </c>
      <c r="L7366" s="25" t="n">
        <f aca="false">IF($K$7336=0,0,N(INDEX(Clients!$S$2:$S$501,$K$7336)))</f>
        <v>0</v>
      </c>
      <c r="M7366" s="25" t="n">
        <f aca="false">IF(OR(K7366&lt;&gt;0,L7366&lt;&gt;0),1,0)</f>
        <v>0</v>
      </c>
      <c r="N7366" s="25" t="str">
        <f aca="false">IF(M7366=1,SUM($M$7363:M7366),"")</f>
        <v/>
      </c>
      <c r="O7366" s="25" t="n">
        <v>4</v>
      </c>
    </row>
    <row r="7367" customFormat="false" ht="18" hidden="false" customHeight="true" outlineLevel="0" collapsed="false">
      <c r="B7367" s="43" t="s">
        <v>158</v>
      </c>
      <c r="C7367" s="44" t="n">
        <f aca="false">SUM(K7363:K7366)</f>
        <v>0</v>
      </c>
      <c r="D7367" s="45" t="str">
        <f aca="false">IF(N(C7367)=0,"",E7367/C7367-1)</f>
        <v/>
      </c>
      <c r="E7367" s="44" t="n">
        <f aca="false">SUM(L7363:L7366)</f>
        <v>0</v>
      </c>
      <c r="F7367" s="44" t="n">
        <f aca="false">E7367-C7367</f>
        <v>0</v>
      </c>
    </row>
    <row r="7368" customFormat="false" ht="15" hidden="false" customHeight="false" outlineLevel="0" collapsed="false">
      <c r="B7368" s="46" t="str">
        <f aca="false">IF(N(Nb_Mensualites)=0,"","Soit "&amp;FIXED(E7367/Nb_Mensualites,2)&amp;" € HT par échéance ("&amp;Nb_Mensualites&amp;" échéances), "&amp;FIXED(E7367/Nb_Mensualites*(1+Taux_TVA),2)&amp;" € TTC.")</f>
        <v>Soit 0.00 € HT par échéance (12 échéances), 0.00 € TTC.</v>
      </c>
      <c r="C7368" s="46"/>
      <c r="D7368" s="46"/>
      <c r="E7368" s="46"/>
      <c r="F7368" s="46"/>
    </row>
    <row r="7369" customFormat="false" ht="7.5" hidden="false" customHeight="true" outlineLevel="0" collapsed="false">
      <c r="B7369" s="10"/>
      <c r="C7369" s="10"/>
      <c r="D7369" s="10"/>
      <c r="E7369" s="10"/>
      <c r="F7369" s="10"/>
    </row>
    <row r="7370" customFormat="false" ht="36.75" hidden="false" customHeight="true" outlineLevel="0" collapsed="false">
      <c r="B7370" s="37" t="str">
        <f aca="false">SUBSTITUTE(SUBSTITUTE(SUBSTITUTE(SUBSTITUTE(SUBSTITUTE(Txt_P5,"{cabinet}",Cab_Nom),"{societe}",IF($K$7336=0,"",INDEX(Clients!$E$2:$E$501,$K$7336)&amp;"")),"{date_effet}",$K$7338),"{hausse}",$K$7339),"{civilite}",$K$7337)</f>
        <v>Les autres conditions de votre lettre de mission demeurent inchangées. Les nouveaux montants seront appliqués automatiquement sur vos prochaines factures et échéances de prélèvement.</v>
      </c>
      <c r="C7370" s="37"/>
      <c r="D7370" s="37"/>
      <c r="E7370" s="37"/>
      <c r="F7370" s="37"/>
    </row>
    <row r="7371" customFormat="false" ht="36.75" hidden="false" customHeight="true" outlineLevel="0" collapsed="false">
      <c r="B7371" s="37" t="str">
        <f aca="false">SUBSTITUTE(SUBSTITUTE(SUBSTITUTE(SUBSTITUTE(SUBSTITUTE(Txt_P6,"{cabinet}",Cab_Nom),"{societe}",IF($K$7336=0,"",INDEX(Clients!$E$2:$E$501,$K$7336)&amp;"")),"{date_effet}",$K$7338),"{hausse}",$K$7339),"{civilite}",$K$7337)</f>
        <v>Votre interlocuteur habituel reste à votre entière disposition pour répondre à vos questions et faire le point sur l'évolution de vos besoins.</v>
      </c>
      <c r="C7371" s="37"/>
      <c r="D7371" s="37"/>
      <c r="E7371" s="37"/>
      <c r="F7371" s="37"/>
    </row>
    <row r="7372" customFormat="false" ht="24" hidden="false" customHeight="true" outlineLevel="0" collapsed="false">
      <c r="B7372" s="37" t="str">
        <f aca="false">SUBSTITUTE(SUBSTITUTE(SUBSTITUTE(SUBSTITUTE(SUBSTITUTE(Txt_Politesse,"{cabinet}",Cab_Nom),"{societe}",IF($K$7336=0,"",INDEX(Clients!$E$2:$E$501,$K$7336)&amp;"")),"{date_effet}",$K$7338),"{hausse}",$K$7339),"{civilite}",$K$7337)</f>
        <v>Nous vous prions d'agréer, Madame, Monsieur, l'expression de nos salutations distinguées.</v>
      </c>
      <c r="C7372" s="37"/>
      <c r="D7372" s="37"/>
      <c r="E7372" s="37"/>
      <c r="F7372" s="37"/>
    </row>
    <row r="7373" customFormat="false" ht="15" hidden="false" customHeight="false" outlineLevel="0" collapsed="false">
      <c r="B7373" s="10"/>
      <c r="C7373" s="10"/>
      <c r="D7373" s="10"/>
      <c r="E7373" s="10"/>
      <c r="F7373" s="10"/>
    </row>
    <row r="7374" customFormat="false" ht="15" hidden="false" customHeight="false" outlineLevel="0" collapsed="false">
      <c r="B7374" s="10"/>
      <c r="C7374" s="10"/>
      <c r="D7374" s="34" t="str">
        <f aca="false">Signataire</f>
        <v>Prénom NOM</v>
      </c>
      <c r="E7374" s="34"/>
      <c r="F7374" s="34"/>
    </row>
    <row r="7375" customFormat="false" ht="15" hidden="false" customHeight="false" outlineLevel="0" collapsed="false">
      <c r="B7375" s="10"/>
      <c r="C7375" s="10"/>
      <c r="D7375" s="47" t="str">
        <f aca="false">Signataire_Titre</f>
        <v>Expert-comptable associé</v>
      </c>
      <c r="E7375" s="47"/>
      <c r="F7375" s="47"/>
    </row>
    <row r="7376" customFormat="false" ht="15.75" hidden="false" customHeight="true" outlineLevel="0" collapsed="false">
      <c r="B7376" s="10"/>
      <c r="C7376" s="10"/>
      <c r="D7376" s="10"/>
      <c r="E7376" s="10"/>
      <c r="F7376" s="10"/>
    </row>
    <row r="7377" customFormat="false" ht="15.75" hidden="false" customHeight="true" outlineLevel="0" collapsed="false">
      <c r="B7377" s="10"/>
      <c r="C7377" s="10"/>
      <c r="D7377" s="10"/>
      <c r="E7377" s="10"/>
      <c r="F7377" s="10"/>
    </row>
    <row r="7378" customFormat="false" ht="15.75" hidden="false" customHeight="true" outlineLevel="0" collapsed="false">
      <c r="B7378" s="10"/>
      <c r="C7378" s="10"/>
      <c r="D7378" s="10"/>
      <c r="E7378" s="10"/>
      <c r="F7378" s="10"/>
    </row>
    <row r="7379" customFormat="false" ht="15.75" hidden="false" customHeight="true" outlineLevel="0" collapsed="false">
      <c r="B7379" s="10"/>
      <c r="C7379" s="10"/>
      <c r="D7379" s="10"/>
      <c r="E7379" s="10"/>
      <c r="F7379" s="10"/>
    </row>
    <row r="7380" customFormat="false" ht="24" hidden="false" customHeight="true" outlineLevel="0" collapsed="false">
      <c r="B7380" s="48" t="str">
        <f aca="false">Cab_Mentions</f>
        <v>ALTHO EXPERTISE · SAS au capital de 10 000 € · RCS Pontoise 919 706 325 · TVA FR62919706325 · Société d'expertise comptable inscrite au Tableau de l'Ordre des experts-comptables de Paris Île-de-France</v>
      </c>
      <c r="C7380" s="48"/>
      <c r="D7380" s="48"/>
      <c r="E7380" s="48"/>
      <c r="F7380" s="48"/>
    </row>
    <row r="7381" customFormat="false" ht="15" hidden="false" customHeight="false" outlineLevel="0" collapsed="false">
      <c r="B7381" s="10"/>
      <c r="C7381" s="10"/>
      <c r="D7381" s="10"/>
      <c r="E7381" s="10"/>
      <c r="F7381" s="10"/>
      <c r="J7381" s="25" t="s">
        <v>142</v>
      </c>
      <c r="K7381" s="25" t="n">
        <f aca="false">IFERROR(MATCH(165,Clients!$Z$2:$Z$501,0),0)</f>
        <v>0</v>
      </c>
      <c r="L7381" s="25"/>
      <c r="M7381" s="25"/>
      <c r="N7381" s="25"/>
      <c r="O7381" s="25"/>
    </row>
    <row r="7382" customFormat="false" ht="21.75" hidden="false" customHeight="true" outlineLevel="0" collapsed="false">
      <c r="B7382" s="26" t="str">
        <f aca="false">Cab_Nom</f>
        <v>ALTHO EXPERTISE</v>
      </c>
      <c r="C7382" s="26"/>
      <c r="D7382" s="10"/>
      <c r="E7382" s="27" t="str">
        <f aca="false">IF($K$7381=0,"","Réf. client : "&amp;INDEX(Clients!$A$2:$A$501,$K$7381))</f>
        <v/>
      </c>
      <c r="F7382" s="27"/>
      <c r="J7382" s="25" t="s">
        <v>144</v>
      </c>
      <c r="K7382" s="25" t="str">
        <f aca="false">IF(IF($K$7381=0,"",INDEX(Clients!$B$2:$B$501,$K$7381)&amp;"")="Mme","Madame",IF(IF($K$7381=0,"",INDEX(Clients!$B$2:$B$501,$K$7381)&amp;"")="M.","Monsieur","Madame, Monsieur"))</f>
        <v>Madame, Monsieur</v>
      </c>
      <c r="L7382" s="25"/>
      <c r="M7382" s="25"/>
      <c r="N7382" s="25"/>
      <c r="O7382" s="25"/>
    </row>
    <row r="7383" customFormat="false" ht="15" hidden="false" customHeight="false" outlineLevel="0" collapsed="false">
      <c r="B7383" s="29" t="str">
        <f aca="false">Cab_Adr1</f>
        <v>141 rue Charles de Gaulle</v>
      </c>
      <c r="C7383" s="29"/>
      <c r="D7383" s="10"/>
      <c r="E7383" s="10"/>
      <c r="F7383" s="10"/>
      <c r="J7383" s="25" t="s">
        <v>145</v>
      </c>
      <c r="K7383" s="25" t="str">
        <f aca="false">DAY(Date_Effet)&amp;IF(DAY(Date_Effet)=1,"er","")&amp;" "&amp;INDEX(Liste_Mois,MONTH(Date_Effet))&amp;" "&amp;YEAR(Date_Effet)</f>
        <v>1er janvier 2027</v>
      </c>
      <c r="L7383" s="25"/>
      <c r="M7383" s="25"/>
      <c r="N7383" s="25"/>
      <c r="O7383" s="25"/>
    </row>
    <row r="7384" customFormat="false" ht="15" hidden="false" customHeight="false" outlineLevel="0" collapsed="false">
      <c r="B7384" s="29" t="str">
        <f aca="false">Cab_CPVille</f>
        <v>95130 LE PLESSIS-BOUCHARD</v>
      </c>
      <c r="C7384" s="29"/>
      <c r="D7384" s="10"/>
      <c r="E7384" s="10"/>
      <c r="F7384" s="10"/>
      <c r="J7384" s="25" t="s">
        <v>146</v>
      </c>
      <c r="K7384" s="25" t="str">
        <f aca="false">IF(SUM($K$7408:$K$7411)=0,"",FIXED((SUM($L$7408:$L$7411)/SUM($K$7408:$K$7411)-1)*100,1)&amp;" %")</f>
        <v/>
      </c>
      <c r="L7384" s="25"/>
      <c r="M7384" s="25"/>
      <c r="N7384" s="25"/>
      <c r="O7384" s="25"/>
    </row>
    <row r="7385" customFormat="false" ht="15" hidden="false" customHeight="false" outlineLevel="0" collapsed="false">
      <c r="B7385" s="29" t="str">
        <f aca="false">Cab_Contact</f>
        <v>Tél. 01 34 14 53 45  ·  altho@altho-experts.com  ·  altho-experts.com</v>
      </c>
      <c r="C7385" s="29"/>
      <c r="D7385" s="10"/>
      <c r="E7385" s="10"/>
      <c r="F7385" s="10"/>
      <c r="J7385" s="25"/>
      <c r="K7385" s="25"/>
      <c r="L7385" s="25"/>
      <c r="M7385" s="25"/>
      <c r="N7385" s="25"/>
      <c r="O7385" s="25"/>
    </row>
    <row r="7386" customFormat="false" ht="6" hidden="false" customHeight="true" outlineLevel="0" collapsed="false">
      <c r="B7386" s="32"/>
      <c r="C7386" s="32"/>
      <c r="D7386" s="32"/>
      <c r="E7386" s="32"/>
      <c r="F7386" s="32"/>
      <c r="J7386" s="25"/>
      <c r="K7386" s="25"/>
      <c r="L7386" s="25"/>
      <c r="M7386" s="25"/>
      <c r="N7386" s="25"/>
      <c r="O7386" s="25"/>
    </row>
    <row r="7387" customFormat="false" ht="13.5" hidden="false" customHeight="true" outlineLevel="0" collapsed="false">
      <c r="B7387" s="10"/>
      <c r="C7387" s="10"/>
      <c r="D7387" s="10"/>
      <c r="E7387" s="10"/>
      <c r="F7387" s="10"/>
      <c r="J7387" s="25"/>
      <c r="K7387" s="25"/>
      <c r="L7387" s="25"/>
      <c r="M7387" s="25"/>
      <c r="N7387" s="25"/>
      <c r="O7387" s="25"/>
    </row>
    <row r="7388" customFormat="false" ht="13.5" hidden="false" customHeight="true" outlineLevel="0" collapsed="false">
      <c r="B7388" s="10"/>
      <c r="C7388" s="10"/>
      <c r="D7388" s="10"/>
      <c r="E7388" s="10"/>
      <c r="F7388" s="10"/>
      <c r="J7388" s="25"/>
      <c r="K7388" s="25"/>
      <c r="L7388" s="25"/>
      <c r="M7388" s="25"/>
      <c r="N7388" s="25"/>
      <c r="O7388" s="25"/>
    </row>
    <row r="7389" customFormat="false" ht="13.5" hidden="false" customHeight="true" outlineLevel="0" collapsed="false">
      <c r="B7389" s="10"/>
      <c r="C7389" s="10"/>
      <c r="D7389" s="10"/>
      <c r="E7389" s="10"/>
      <c r="F7389" s="10"/>
      <c r="J7389" s="25"/>
      <c r="K7389" s="25"/>
      <c r="L7389" s="25"/>
      <c r="M7389" s="25"/>
      <c r="N7389" s="25"/>
      <c r="O7389" s="25"/>
    </row>
    <row r="7390" customFormat="false" ht="15" hidden="false" customHeight="true" outlineLevel="0" collapsed="false">
      <c r="B7390" s="10"/>
      <c r="C7390" s="10"/>
      <c r="D7390" s="34" t="str">
        <f aca="false">IF($K$7381=0,"",INDEX(Clients!$E$2:$E$501,$K$7381)&amp;"")</f>
        <v/>
      </c>
      <c r="E7390" s="34"/>
      <c r="F7390" s="34"/>
      <c r="J7390" s="25"/>
      <c r="K7390" s="25"/>
      <c r="L7390" s="25"/>
      <c r="M7390" s="25"/>
      <c r="N7390" s="25"/>
      <c r="O7390" s="25"/>
    </row>
    <row r="7391" customFormat="false" ht="15" hidden="false" customHeight="true" outlineLevel="0" collapsed="false">
      <c r="B7391" s="10"/>
      <c r="C7391" s="10"/>
      <c r="D7391" s="35" t="str">
        <f aca="false">IF(IF($K$7381=0,"",INDEX(Clients!$D$2:$D$501,$K$7381)&amp;"")="","","À l'attention de "&amp;TRIM(IF($K$7381=0,"",INDEX(Clients!$B$2:$B$501,$K$7381)&amp;"")&amp;" "&amp;IF($K$7381=0,"",INDEX(Clients!$C$2:$C$501,$K$7381)&amp;"")&amp;" "&amp;IF($K$7381=0,"",INDEX(Clients!$D$2:$D$501,$K$7381)&amp;"")))</f>
        <v/>
      </c>
      <c r="E7391" s="35"/>
      <c r="F7391" s="35"/>
      <c r="J7391" s="25"/>
      <c r="K7391" s="25"/>
      <c r="L7391" s="25"/>
      <c r="M7391" s="25"/>
      <c r="N7391" s="25"/>
      <c r="O7391" s="25"/>
    </row>
    <row r="7392" customFormat="false" ht="15" hidden="false" customHeight="true" outlineLevel="0" collapsed="false">
      <c r="B7392" s="10"/>
      <c r="C7392" s="10"/>
      <c r="D7392" s="35" t="str">
        <f aca="false">IF($K$7381=0,"",INDEX(Clients!$F$2:$F$501,$K$7381)&amp;"")</f>
        <v/>
      </c>
      <c r="E7392" s="35"/>
      <c r="F7392" s="35"/>
      <c r="J7392" s="25"/>
      <c r="K7392" s="25"/>
      <c r="L7392" s="25"/>
      <c r="M7392" s="25"/>
      <c r="N7392" s="25"/>
      <c r="O7392" s="25"/>
    </row>
    <row r="7393" customFormat="false" ht="15" hidden="false" customHeight="true" outlineLevel="0" collapsed="false">
      <c r="B7393" s="10"/>
      <c r="C7393" s="10"/>
      <c r="D7393" s="35" t="str">
        <f aca="false">IF(IF($K$7381=0,"",INDEX(Clients!$G$2:$G$501,$K$7381)&amp;"")="",TRIM(IF($K$7381=0,"",INDEX(Clients!$H$2:$H$501,$K$7381)&amp;"")&amp;" "&amp;UPPER(IF($K$7381=0,"",INDEX(Clients!$I$2:$I$501,$K$7381)&amp;""))),IF($K$7381=0,"",INDEX(Clients!$G$2:$G$501,$K$7381)&amp;""))</f>
        <v/>
      </c>
      <c r="E7393" s="35"/>
      <c r="F7393" s="35"/>
      <c r="J7393" s="25"/>
      <c r="K7393" s="25"/>
      <c r="L7393" s="25"/>
      <c r="M7393" s="25"/>
      <c r="N7393" s="25"/>
      <c r="O7393" s="25"/>
    </row>
    <row r="7394" customFormat="false" ht="15" hidden="false" customHeight="true" outlineLevel="0" collapsed="false">
      <c r="B7394" s="10"/>
      <c r="C7394" s="10"/>
      <c r="D7394" s="35" t="str">
        <f aca="false">IF(IF($K$7381=0,"",INDEX(Clients!$G$2:$G$501,$K$7381)&amp;"")="","",TRIM(IF($K$7381=0,"",INDEX(Clients!$H$2:$H$501,$K$7381)&amp;"")&amp;" "&amp;UPPER(IF($K$7381=0,"",INDEX(Clients!$I$2:$I$501,$K$7381)&amp;""))))</f>
        <v/>
      </c>
      <c r="E7394" s="35"/>
      <c r="F7394" s="35"/>
      <c r="J7394" s="25"/>
      <c r="K7394" s="25"/>
      <c r="L7394" s="25"/>
      <c r="M7394" s="25"/>
      <c r="N7394" s="25"/>
      <c r="O7394" s="25"/>
    </row>
    <row r="7395" customFormat="false" ht="25.5" hidden="false" customHeight="true" outlineLevel="0" collapsed="false">
      <c r="B7395" s="10"/>
      <c r="C7395" s="10"/>
      <c r="D7395" s="10"/>
      <c r="E7395" s="10"/>
      <c r="F7395" s="10"/>
      <c r="J7395" s="25"/>
      <c r="K7395" s="25"/>
      <c r="L7395" s="25"/>
      <c r="M7395" s="25"/>
      <c r="N7395" s="25"/>
      <c r="O7395" s="25"/>
    </row>
    <row r="7396" customFormat="false" ht="15" hidden="false" customHeight="false" outlineLevel="0" collapsed="false">
      <c r="B7396" s="10"/>
      <c r="C7396" s="10"/>
      <c r="D7396" s="36" t="str">
        <f aca="false">Cab_Ville&amp;", le "&amp;DAY(Date_Courrier)&amp;IF(DAY(Date_Courrier)=1,"er","")&amp;" "&amp;INDEX(Liste_Mois,MONTH(Date_Courrier))&amp;" "&amp;YEAR(Date_Courrier)</f>
        <v>Le Plessis-Bouchard, le 22 septembre 2026</v>
      </c>
      <c r="E7396" s="36"/>
      <c r="F7396" s="36"/>
      <c r="J7396" s="25"/>
      <c r="K7396" s="25"/>
      <c r="L7396" s="25"/>
      <c r="M7396" s="25"/>
      <c r="N7396" s="25"/>
      <c r="O7396" s="25"/>
    </row>
    <row r="7397" customFormat="false" ht="19.5" hidden="false" customHeight="true" outlineLevel="0" collapsed="false">
      <c r="B7397" s="10"/>
      <c r="C7397" s="10"/>
      <c r="D7397" s="10"/>
      <c r="E7397" s="10"/>
      <c r="F7397" s="10"/>
      <c r="J7397" s="25"/>
      <c r="K7397" s="25"/>
      <c r="L7397" s="25"/>
      <c r="M7397" s="25"/>
      <c r="N7397" s="25"/>
      <c r="O7397" s="25"/>
    </row>
    <row r="7398" customFormat="false" ht="15" hidden="false" customHeight="false" outlineLevel="0" collapsed="false">
      <c r="B7398" s="34" t="str">
        <f aca="false">SUBSTITUTE(SUBSTITUTE(SUBSTITUTE(SUBSTITUTE(SUBSTITUTE(Txt_Objet,"{cabinet}",Cab_Nom),"{societe}",IF($K$7381=0,"",INDEX(Clients!$E$2:$E$501,$K$7381)&amp;"")),"{date_effet}",$K$7383),"{hausse}",$K$7384),"{civilite}",$K$7382)</f>
        <v>Objet : révision de nos honoraires au 1er janvier 2027</v>
      </c>
      <c r="C7398" s="34"/>
      <c r="D7398" s="34"/>
      <c r="E7398" s="34"/>
      <c r="F7398" s="34"/>
      <c r="J7398" s="25"/>
      <c r="K7398" s="25"/>
      <c r="L7398" s="25"/>
      <c r="M7398" s="25"/>
      <c r="N7398" s="25"/>
      <c r="O7398" s="25"/>
    </row>
    <row r="7399" customFormat="false" ht="13.5" hidden="false" customHeight="true" outlineLevel="0" collapsed="false">
      <c r="B7399" s="10"/>
      <c r="C7399" s="10"/>
      <c r="D7399" s="10"/>
      <c r="E7399" s="10"/>
      <c r="F7399" s="10"/>
      <c r="J7399" s="25"/>
      <c r="K7399" s="25"/>
      <c r="L7399" s="25"/>
      <c r="M7399" s="25"/>
      <c r="N7399" s="25"/>
      <c r="O7399" s="25"/>
    </row>
    <row r="7400" customFormat="false" ht="15" hidden="false" customHeight="false" outlineLevel="0" collapsed="false">
      <c r="B7400" s="10" t="str">
        <f aca="false">$K$7382&amp;","</f>
        <v>Madame, Monsieur,</v>
      </c>
      <c r="C7400" s="10"/>
      <c r="D7400" s="10"/>
      <c r="E7400" s="10"/>
      <c r="F7400" s="10"/>
      <c r="J7400" s="25"/>
      <c r="K7400" s="25"/>
      <c r="L7400" s="25"/>
      <c r="M7400" s="25"/>
      <c r="N7400" s="25"/>
      <c r="O7400" s="25"/>
    </row>
    <row r="7401" customFormat="false" ht="6" hidden="false" customHeight="true" outlineLevel="0" collapsed="false">
      <c r="B7401" s="10"/>
      <c r="C7401" s="10"/>
      <c r="D7401" s="10"/>
      <c r="E7401" s="10"/>
      <c r="F7401" s="10"/>
      <c r="J7401" s="25"/>
      <c r="K7401" s="25"/>
      <c r="L7401" s="25"/>
      <c r="M7401" s="25"/>
      <c r="N7401" s="25"/>
      <c r="O7401" s="25"/>
    </row>
    <row r="7402" customFormat="false" ht="36.75" hidden="false" customHeight="true" outlineLevel="0" collapsed="false">
      <c r="B7402" s="37" t="str">
        <f aca="false">SUBSTITUTE(SUBSTITUTE(SUBSTITUTE(SUBSTITUTE(SUBSTITUTE(Txt_P1,"{cabinet}",Cab_Nom),"{societe}",IF($K$7381=0,"",INDEX(Clients!$E$2:$E$501,$K$7381)&amp;"")),"{date_effet}",$K$7383),"{hausse}",$K$7384),"{civilite}",$K$7382)</f>
        <v>Nous tenons tout d'abord à vous remercier pour la confiance que vous accordez à ALTHO EXPERTISE. Comme chaque année, et conformément aux dispositions de votre lettre de mission, nous procédons à la révision de nos honoraires.</v>
      </c>
      <c r="C7402" s="37"/>
      <c r="D7402" s="37"/>
      <c r="E7402" s="37"/>
      <c r="F7402" s="37"/>
      <c r="J7402" s="25"/>
      <c r="K7402" s="25"/>
      <c r="L7402" s="25"/>
      <c r="M7402" s="25"/>
      <c r="N7402" s="25"/>
      <c r="O7402" s="25"/>
    </row>
    <row r="7403" customFormat="false" ht="49.5" hidden="false" customHeight="true" outlineLevel="0" collapsed="false">
      <c r="B7403" s="37" t="str">
        <f aca="false">SUBSTITUTE(SUBSTITUTE(SUBSTITUTE(SUBSTITUTE(SUBSTITUTE(Txt_P2,"{cabinet}",Cab_Nom),"{societe}",IF($K$7381=0,"",INDEX(Clients!$E$2:$E$501,$K$7381)&amp;"")),"{date_effet}",$K$7383),"{hausse}",$K$7384),"{civilite}",$K$7382)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403" s="37"/>
      <c r="D7403" s="37"/>
      <c r="E7403" s="37"/>
      <c r="F7403" s="37"/>
      <c r="J7403" s="25"/>
      <c r="K7403" s="25"/>
      <c r="L7403" s="25"/>
      <c r="M7403" s="25"/>
      <c r="N7403" s="25"/>
      <c r="O7403" s="25"/>
    </row>
    <row r="7404" customFormat="false" ht="63" hidden="false" customHeight="true" outlineLevel="0" collapsed="false">
      <c r="B7404" s="37" t="str">
        <f aca="false">SUBSTITUTE(SUBSTITUTE(SUBSTITUTE(SUBSTITUTE(SUBSTITUTE(Txt_P3,"{cabinet}",Cab_Nom),"{societe}",IF($K$7381=0,"",INDEX(Clients!$E$2:$E$501,$K$7381)&amp;"")),"{date_effet}",$K$7383),"{hausse}",$K$7384),"{civilite}",$K$7382)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404" s="37"/>
      <c r="D7404" s="37"/>
      <c r="E7404" s="37"/>
      <c r="F7404" s="37"/>
      <c r="J7404" s="25"/>
      <c r="K7404" s="25"/>
      <c r="L7404" s="25"/>
      <c r="M7404" s="25"/>
      <c r="N7404" s="25"/>
      <c r="O7404" s="25"/>
    </row>
    <row r="7405" customFormat="false" ht="24" hidden="false" customHeight="true" outlineLevel="0" collapsed="false">
      <c r="B7405" s="37" t="str">
        <f aca="false">SUBSTITUTE(SUBSTITUTE(SUBSTITUTE(SUBSTITUTE(SUBSTITUTE(Txt_P4,"{cabinet}",Cab_Nom),"{societe}",IF($K$7381=0,"",INDEX(Clients!$E$2:$E$501,$K$7381)&amp;"")),"{date_effet}",$K$7383),"{hausse}",$K$7384),"{civilite}",$K$7382)</f>
        <v>À compter du 1er janvier 2027, vos honoraires annuels hors taxes évolueront ainsi (évolution globale : ) :</v>
      </c>
      <c r="C7405" s="37"/>
      <c r="D7405" s="37"/>
      <c r="E7405" s="37"/>
      <c r="F7405" s="37"/>
      <c r="J7405" s="25"/>
      <c r="K7405" s="25"/>
      <c r="L7405" s="25"/>
      <c r="M7405" s="25"/>
      <c r="N7405" s="25"/>
      <c r="O7405" s="25"/>
    </row>
    <row r="7406" customFormat="false" ht="3.75" hidden="false" customHeight="true" outlineLevel="0" collapsed="false">
      <c r="B7406" s="10"/>
      <c r="C7406" s="10"/>
      <c r="D7406" s="10"/>
      <c r="E7406" s="10"/>
      <c r="F7406" s="10"/>
      <c r="J7406" s="25"/>
      <c r="K7406" s="25"/>
      <c r="L7406" s="25"/>
      <c r="M7406" s="25"/>
      <c r="N7406" s="25"/>
      <c r="O7406" s="25"/>
    </row>
    <row r="7407" customFormat="false" ht="18" hidden="false" customHeight="true" outlineLevel="0" collapsed="false">
      <c r="B7407" s="38" t="s">
        <v>148</v>
      </c>
      <c r="C7407" s="39" t="s">
        <v>149</v>
      </c>
      <c r="D7407" s="39" t="s">
        <v>150</v>
      </c>
      <c r="E7407" s="39" t="s">
        <v>151</v>
      </c>
      <c r="F7407" s="39" t="s">
        <v>109</v>
      </c>
      <c r="J7407" s="25" t="s">
        <v>152</v>
      </c>
      <c r="K7407" s="25" t="s">
        <v>153</v>
      </c>
      <c r="L7407" s="25" t="s">
        <v>154</v>
      </c>
      <c r="M7407" s="25" t="s">
        <v>155</v>
      </c>
      <c r="N7407" s="25" t="s">
        <v>156</v>
      </c>
      <c r="O7407" s="25" t="s">
        <v>157</v>
      </c>
    </row>
    <row r="7408" customFormat="false" ht="16.5" hidden="false" customHeight="true" outlineLevel="0" collapsed="false">
      <c r="B7408" s="40" t="str">
        <f aca="false">IFERROR(INDEX($J$7408:$J$7411,MATCH($O7408,$N$7408:$N$7411,0)),"")</f>
        <v/>
      </c>
      <c r="C7408" s="41" t="str">
        <f aca="false">IFERROR(INDEX($K$7408:$K$7411,MATCH($O7408,$N$7408:$N$7411,0)),"")</f>
        <v/>
      </c>
      <c r="D7408" s="42" t="str">
        <f aca="false">IF(OR(E7408="",N(C7408)=0),"",E7408/C7408-1)</f>
        <v/>
      </c>
      <c r="E7408" s="41" t="str">
        <f aca="false">IFERROR(INDEX($L$7408:$L$7411,MATCH($O7408,$N$7408:$N$7411,0)),"")</f>
        <v/>
      </c>
      <c r="F7408" s="41" t="str">
        <f aca="false">IF(E7408="","",E7408-C7408)</f>
        <v/>
      </c>
      <c r="J7408" s="25" t="str">
        <f aca="false">Lib_Compta</f>
        <v>Mission comptable (tenue, révision, bilan, liasse fiscale)</v>
      </c>
      <c r="K7408" s="25" t="n">
        <f aca="false">IF($K$7381=0,0,N(INDEX(Clients!$K$2:$K$501,$K$7381)))</f>
        <v>0</v>
      </c>
      <c r="L7408" s="25" t="n">
        <f aca="false">IF($K$7381=0,0,N(INDEX(Clients!$P$2:$P$501,$K$7381)))</f>
        <v>0</v>
      </c>
      <c r="M7408" s="25" t="n">
        <f aca="false">IF(OR(K7408&lt;&gt;0,L7408&lt;&gt;0),1,0)</f>
        <v>0</v>
      </c>
      <c r="N7408" s="25" t="str">
        <f aca="false">IF(M7408=1,SUM($M$7408:M7408),"")</f>
        <v/>
      </c>
      <c r="O7408" s="25" t="n">
        <v>1</v>
      </c>
    </row>
    <row r="7409" customFormat="false" ht="16.5" hidden="false" customHeight="true" outlineLevel="0" collapsed="false">
      <c r="B7409" s="40" t="str">
        <f aca="false">IFERROR(INDEX($J$7408:$J$7411,MATCH($O7409,$N$7408:$N$7411,0)),"")</f>
        <v/>
      </c>
      <c r="C7409" s="41" t="str">
        <f aca="false">IFERROR(INDEX($K$7408:$K$7411,MATCH($O7409,$N$7408:$N$7411,0)),"")</f>
        <v/>
      </c>
      <c r="D7409" s="42" t="str">
        <f aca="false">IF(OR(E7409="",N(C7409)=0),"",E7409/C7409-1)</f>
        <v/>
      </c>
      <c r="E7409" s="41" t="str">
        <f aca="false">IFERROR(INDEX($L$7408:$L$7411,MATCH($O7409,$N$7408:$N$7411,0)),"")</f>
        <v/>
      </c>
      <c r="F7409" s="41" t="str">
        <f aca="false">IF(E7409="","",E7409-C7409)</f>
        <v/>
      </c>
      <c r="J7409" s="25" t="str">
        <f aca="false">Lib_Paye</f>
        <v>Mission sociale (bulletins de paie, DSN, déclarations sociales)</v>
      </c>
      <c r="K7409" s="25" t="n">
        <f aca="false">IF($K$7381=0,0,N(INDEX(Clients!$L$2:$L$501,$K$7381)))</f>
        <v>0</v>
      </c>
      <c r="L7409" s="25" t="n">
        <f aca="false">IF($K$7381=0,0,N(INDEX(Clients!$Q$2:$Q$501,$K$7381)))</f>
        <v>0</v>
      </c>
      <c r="M7409" s="25" t="n">
        <f aca="false">IF(OR(K7409&lt;&gt;0,L7409&lt;&gt;0),1,0)</f>
        <v>0</v>
      </c>
      <c r="N7409" s="25" t="str">
        <f aca="false">IF(M7409=1,SUM($M$7408:M7409),"")</f>
        <v/>
      </c>
      <c r="O7409" s="25" t="n">
        <v>2</v>
      </c>
    </row>
    <row r="7410" customFormat="false" ht="16.5" hidden="false" customHeight="true" outlineLevel="0" collapsed="false">
      <c r="B7410" s="40" t="str">
        <f aca="false">IFERROR(INDEX($J$7408:$J$7411,MATCH($O7410,$N$7408:$N$7411,0)),"")</f>
        <v/>
      </c>
      <c r="C7410" s="41" t="str">
        <f aca="false">IFERROR(INDEX($K$7408:$K$7411,MATCH($O7410,$N$7408:$N$7411,0)),"")</f>
        <v/>
      </c>
      <c r="D7410" s="42" t="str">
        <f aca="false">IF(OR(E7410="",N(C7410)=0),"",E7410/C7410-1)</f>
        <v/>
      </c>
      <c r="E7410" s="41" t="str">
        <f aca="false">IFERROR(INDEX($L$7408:$L$7411,MATCH($O7410,$N$7408:$N$7411,0)),"")</f>
        <v/>
      </c>
      <c r="F7410" s="41" t="str">
        <f aca="false">IF(E7410="","",E7410-C7410)</f>
        <v/>
      </c>
      <c r="J7410" s="25" t="str">
        <f aca="false">Lib_Jur</f>
        <v>Mission juridique (approbation des comptes, secrétariat juridique)</v>
      </c>
      <c r="K7410" s="25" t="n">
        <f aca="false">IF($K$7381=0,0,N(INDEX(Clients!$M$2:$M$501,$K$7381)))</f>
        <v>0</v>
      </c>
      <c r="L7410" s="25" t="n">
        <f aca="false">IF($K$7381=0,0,N(INDEX(Clients!$R$2:$R$501,$K$7381)))</f>
        <v>0</v>
      </c>
      <c r="M7410" s="25" t="n">
        <f aca="false">IF(OR(K7410&lt;&gt;0,L7410&lt;&gt;0),1,0)</f>
        <v>0</v>
      </c>
      <c r="N7410" s="25" t="str">
        <f aca="false">IF(M7410=1,SUM($M$7408:M7410),"")</f>
        <v/>
      </c>
      <c r="O7410" s="25" t="n">
        <v>3</v>
      </c>
    </row>
    <row r="7411" customFormat="false" ht="16.5" hidden="false" customHeight="true" outlineLevel="0" collapsed="false">
      <c r="B7411" s="40" t="str">
        <f aca="false">IFERROR(INDEX($J$7408:$J$7411,MATCH($O7411,$N$7408:$N$7411,0)),"")</f>
        <v/>
      </c>
      <c r="C7411" s="41" t="str">
        <f aca="false">IFERROR(INDEX($K$7408:$K$7411,MATCH($O7411,$N$7408:$N$7411,0)),"")</f>
        <v/>
      </c>
      <c r="D7411" s="42" t="str">
        <f aca="false">IF(OR(E7411="",N(C7411)=0),"",E7411/C7411-1)</f>
        <v/>
      </c>
      <c r="E7411" s="41" t="str">
        <f aca="false">IFERROR(INDEX($L$7408:$L$7411,MATCH($O7411,$N$7408:$N$7411,0)),"")</f>
        <v/>
      </c>
      <c r="F7411" s="41" t="str">
        <f aca="false">IF(E7411="","",E7411-C7411)</f>
        <v/>
      </c>
      <c r="J7411" s="25" t="str">
        <f aca="false">Lib_PA</f>
        <v>Plateforme agréée – facturation électronique</v>
      </c>
      <c r="K7411" s="25" t="n">
        <f aca="false">IF($K$7381=0,0,N(INDEX(Clients!$N$2:$N$501,$K$7381)))</f>
        <v>0</v>
      </c>
      <c r="L7411" s="25" t="n">
        <f aca="false">IF($K$7381=0,0,N(INDEX(Clients!$S$2:$S$501,$K$7381)))</f>
        <v>0</v>
      </c>
      <c r="M7411" s="25" t="n">
        <f aca="false">IF(OR(K7411&lt;&gt;0,L7411&lt;&gt;0),1,0)</f>
        <v>0</v>
      </c>
      <c r="N7411" s="25" t="str">
        <f aca="false">IF(M7411=1,SUM($M$7408:M7411),"")</f>
        <v/>
      </c>
      <c r="O7411" s="25" t="n">
        <v>4</v>
      </c>
    </row>
    <row r="7412" customFormat="false" ht="18" hidden="false" customHeight="true" outlineLevel="0" collapsed="false">
      <c r="B7412" s="43" t="s">
        <v>158</v>
      </c>
      <c r="C7412" s="44" t="n">
        <f aca="false">SUM(K7408:K7411)</f>
        <v>0</v>
      </c>
      <c r="D7412" s="45" t="str">
        <f aca="false">IF(N(C7412)=0,"",E7412/C7412-1)</f>
        <v/>
      </c>
      <c r="E7412" s="44" t="n">
        <f aca="false">SUM(L7408:L7411)</f>
        <v>0</v>
      </c>
      <c r="F7412" s="44" t="n">
        <f aca="false">E7412-C7412</f>
        <v>0</v>
      </c>
    </row>
    <row r="7413" customFormat="false" ht="15" hidden="false" customHeight="false" outlineLevel="0" collapsed="false">
      <c r="B7413" s="46" t="str">
        <f aca="false">IF(N(Nb_Mensualites)=0,"","Soit "&amp;FIXED(E7412/Nb_Mensualites,2)&amp;" € HT par échéance ("&amp;Nb_Mensualites&amp;" échéances), "&amp;FIXED(E7412/Nb_Mensualites*(1+Taux_TVA),2)&amp;" € TTC.")</f>
        <v>Soit 0.00 € HT par échéance (12 échéances), 0.00 € TTC.</v>
      </c>
      <c r="C7413" s="46"/>
      <c r="D7413" s="46"/>
      <c r="E7413" s="46"/>
      <c r="F7413" s="46"/>
    </row>
    <row r="7414" customFormat="false" ht="7.5" hidden="false" customHeight="true" outlineLevel="0" collapsed="false">
      <c r="B7414" s="10"/>
      <c r="C7414" s="10"/>
      <c r="D7414" s="10"/>
      <c r="E7414" s="10"/>
      <c r="F7414" s="10"/>
    </row>
    <row r="7415" customFormat="false" ht="36.75" hidden="false" customHeight="true" outlineLevel="0" collapsed="false">
      <c r="B7415" s="37" t="str">
        <f aca="false">SUBSTITUTE(SUBSTITUTE(SUBSTITUTE(SUBSTITUTE(SUBSTITUTE(Txt_P5,"{cabinet}",Cab_Nom),"{societe}",IF($K$7381=0,"",INDEX(Clients!$E$2:$E$501,$K$7381)&amp;"")),"{date_effet}",$K$7383),"{hausse}",$K$7384),"{civilite}",$K$7382)</f>
        <v>Les autres conditions de votre lettre de mission demeurent inchangées. Les nouveaux montants seront appliqués automatiquement sur vos prochaines factures et échéances de prélèvement.</v>
      </c>
      <c r="C7415" s="37"/>
      <c r="D7415" s="37"/>
      <c r="E7415" s="37"/>
      <c r="F7415" s="37"/>
    </row>
    <row r="7416" customFormat="false" ht="36.75" hidden="false" customHeight="true" outlineLevel="0" collapsed="false">
      <c r="B7416" s="37" t="str">
        <f aca="false">SUBSTITUTE(SUBSTITUTE(SUBSTITUTE(SUBSTITUTE(SUBSTITUTE(Txt_P6,"{cabinet}",Cab_Nom),"{societe}",IF($K$7381=0,"",INDEX(Clients!$E$2:$E$501,$K$7381)&amp;"")),"{date_effet}",$K$7383),"{hausse}",$K$7384),"{civilite}",$K$7382)</f>
        <v>Votre interlocuteur habituel reste à votre entière disposition pour répondre à vos questions et faire le point sur l'évolution de vos besoins.</v>
      </c>
      <c r="C7416" s="37"/>
      <c r="D7416" s="37"/>
      <c r="E7416" s="37"/>
      <c r="F7416" s="37"/>
    </row>
    <row r="7417" customFormat="false" ht="24" hidden="false" customHeight="true" outlineLevel="0" collapsed="false">
      <c r="B7417" s="37" t="str">
        <f aca="false">SUBSTITUTE(SUBSTITUTE(SUBSTITUTE(SUBSTITUTE(SUBSTITUTE(Txt_Politesse,"{cabinet}",Cab_Nom),"{societe}",IF($K$7381=0,"",INDEX(Clients!$E$2:$E$501,$K$7381)&amp;"")),"{date_effet}",$K$7383),"{hausse}",$K$7384),"{civilite}",$K$7382)</f>
        <v>Nous vous prions d'agréer, Madame, Monsieur, l'expression de nos salutations distinguées.</v>
      </c>
      <c r="C7417" s="37"/>
      <c r="D7417" s="37"/>
      <c r="E7417" s="37"/>
      <c r="F7417" s="37"/>
    </row>
    <row r="7418" customFormat="false" ht="15" hidden="false" customHeight="false" outlineLevel="0" collapsed="false">
      <c r="B7418" s="10"/>
      <c r="C7418" s="10"/>
      <c r="D7418" s="10"/>
      <c r="E7418" s="10"/>
      <c r="F7418" s="10"/>
    </row>
    <row r="7419" customFormat="false" ht="15" hidden="false" customHeight="false" outlineLevel="0" collapsed="false">
      <c r="B7419" s="10"/>
      <c r="C7419" s="10"/>
      <c r="D7419" s="34" t="str">
        <f aca="false">Signataire</f>
        <v>Prénom NOM</v>
      </c>
      <c r="E7419" s="34"/>
      <c r="F7419" s="34"/>
    </row>
    <row r="7420" customFormat="false" ht="15" hidden="false" customHeight="false" outlineLevel="0" collapsed="false">
      <c r="B7420" s="10"/>
      <c r="C7420" s="10"/>
      <c r="D7420" s="47" t="str">
        <f aca="false">Signataire_Titre</f>
        <v>Expert-comptable associé</v>
      </c>
      <c r="E7420" s="47"/>
      <c r="F7420" s="47"/>
    </row>
    <row r="7421" customFormat="false" ht="15.75" hidden="false" customHeight="true" outlineLevel="0" collapsed="false">
      <c r="B7421" s="10"/>
      <c r="C7421" s="10"/>
      <c r="D7421" s="10"/>
      <c r="E7421" s="10"/>
      <c r="F7421" s="10"/>
    </row>
    <row r="7422" customFormat="false" ht="15.75" hidden="false" customHeight="true" outlineLevel="0" collapsed="false">
      <c r="B7422" s="10"/>
      <c r="C7422" s="10"/>
      <c r="D7422" s="10"/>
      <c r="E7422" s="10"/>
      <c r="F7422" s="10"/>
    </row>
    <row r="7423" customFormat="false" ht="15.75" hidden="false" customHeight="true" outlineLevel="0" collapsed="false">
      <c r="B7423" s="10"/>
      <c r="C7423" s="10"/>
      <c r="D7423" s="10"/>
      <c r="E7423" s="10"/>
      <c r="F7423" s="10"/>
    </row>
    <row r="7424" customFormat="false" ht="15.75" hidden="false" customHeight="true" outlineLevel="0" collapsed="false">
      <c r="B7424" s="10"/>
      <c r="C7424" s="10"/>
      <c r="D7424" s="10"/>
      <c r="E7424" s="10"/>
      <c r="F7424" s="10"/>
    </row>
    <row r="7425" customFormat="false" ht="24" hidden="false" customHeight="true" outlineLevel="0" collapsed="false">
      <c r="B7425" s="48" t="str">
        <f aca="false">Cab_Mentions</f>
        <v>ALTHO EXPERTISE · SAS au capital de 10 000 € · RCS Pontoise 919 706 325 · TVA FR62919706325 · Société d'expertise comptable inscrite au Tableau de l'Ordre des experts-comptables de Paris Île-de-France</v>
      </c>
      <c r="C7425" s="48"/>
      <c r="D7425" s="48"/>
      <c r="E7425" s="48"/>
      <c r="F7425" s="48"/>
    </row>
    <row r="7426" customFormat="false" ht="15" hidden="false" customHeight="false" outlineLevel="0" collapsed="false">
      <c r="B7426" s="10"/>
      <c r="C7426" s="10"/>
      <c r="D7426" s="10"/>
      <c r="E7426" s="10"/>
      <c r="F7426" s="10"/>
      <c r="J7426" s="25" t="s">
        <v>142</v>
      </c>
      <c r="K7426" s="25" t="n">
        <f aca="false">IFERROR(MATCH(166,Clients!$Z$2:$Z$501,0),0)</f>
        <v>0</v>
      </c>
      <c r="L7426" s="25"/>
      <c r="M7426" s="25"/>
      <c r="N7426" s="25"/>
      <c r="O7426" s="25"/>
    </row>
    <row r="7427" customFormat="false" ht="21.75" hidden="false" customHeight="true" outlineLevel="0" collapsed="false">
      <c r="B7427" s="26" t="str">
        <f aca="false">Cab_Nom</f>
        <v>ALTHO EXPERTISE</v>
      </c>
      <c r="C7427" s="26"/>
      <c r="D7427" s="10"/>
      <c r="E7427" s="27" t="str">
        <f aca="false">IF($K$7426=0,"","Réf. client : "&amp;INDEX(Clients!$A$2:$A$501,$K$7426))</f>
        <v/>
      </c>
      <c r="F7427" s="27"/>
      <c r="J7427" s="25" t="s">
        <v>144</v>
      </c>
      <c r="K7427" s="25" t="str">
        <f aca="false">IF(IF($K$7426=0,"",INDEX(Clients!$B$2:$B$501,$K$7426)&amp;"")="Mme","Madame",IF(IF($K$7426=0,"",INDEX(Clients!$B$2:$B$501,$K$7426)&amp;"")="M.","Monsieur","Madame, Monsieur"))</f>
        <v>Madame, Monsieur</v>
      </c>
      <c r="L7427" s="25"/>
      <c r="M7427" s="25"/>
      <c r="N7427" s="25"/>
      <c r="O7427" s="25"/>
    </row>
    <row r="7428" customFormat="false" ht="15" hidden="false" customHeight="false" outlineLevel="0" collapsed="false">
      <c r="B7428" s="29" t="str">
        <f aca="false">Cab_Adr1</f>
        <v>141 rue Charles de Gaulle</v>
      </c>
      <c r="C7428" s="29"/>
      <c r="D7428" s="10"/>
      <c r="E7428" s="10"/>
      <c r="F7428" s="10"/>
      <c r="J7428" s="25" t="s">
        <v>145</v>
      </c>
      <c r="K7428" s="25" t="str">
        <f aca="false">DAY(Date_Effet)&amp;IF(DAY(Date_Effet)=1,"er","")&amp;" "&amp;INDEX(Liste_Mois,MONTH(Date_Effet))&amp;" "&amp;YEAR(Date_Effet)</f>
        <v>1er janvier 2027</v>
      </c>
      <c r="L7428" s="25"/>
      <c r="M7428" s="25"/>
      <c r="N7428" s="25"/>
      <c r="O7428" s="25"/>
    </row>
    <row r="7429" customFormat="false" ht="15" hidden="false" customHeight="false" outlineLevel="0" collapsed="false">
      <c r="B7429" s="29" t="str">
        <f aca="false">Cab_CPVille</f>
        <v>95130 LE PLESSIS-BOUCHARD</v>
      </c>
      <c r="C7429" s="29"/>
      <c r="D7429" s="10"/>
      <c r="E7429" s="10"/>
      <c r="F7429" s="10"/>
      <c r="J7429" s="25" t="s">
        <v>146</v>
      </c>
      <c r="K7429" s="25" t="str">
        <f aca="false">IF(SUM($K$7453:$K$7456)=0,"",FIXED((SUM($L$7453:$L$7456)/SUM($K$7453:$K$7456)-1)*100,1)&amp;" %")</f>
        <v/>
      </c>
      <c r="L7429" s="25"/>
      <c r="M7429" s="25"/>
      <c r="N7429" s="25"/>
      <c r="O7429" s="25"/>
    </row>
    <row r="7430" customFormat="false" ht="15" hidden="false" customHeight="false" outlineLevel="0" collapsed="false">
      <c r="B7430" s="29" t="str">
        <f aca="false">Cab_Contact</f>
        <v>Tél. 01 34 14 53 45  ·  altho@altho-experts.com  ·  altho-experts.com</v>
      </c>
      <c r="C7430" s="29"/>
      <c r="D7430" s="10"/>
      <c r="E7430" s="10"/>
      <c r="F7430" s="10"/>
      <c r="J7430" s="25"/>
      <c r="K7430" s="25"/>
      <c r="L7430" s="25"/>
      <c r="M7430" s="25"/>
      <c r="N7430" s="25"/>
      <c r="O7430" s="25"/>
    </row>
    <row r="7431" customFormat="false" ht="6" hidden="false" customHeight="true" outlineLevel="0" collapsed="false">
      <c r="B7431" s="32"/>
      <c r="C7431" s="32"/>
      <c r="D7431" s="32"/>
      <c r="E7431" s="32"/>
      <c r="F7431" s="32"/>
      <c r="J7431" s="25"/>
      <c r="K7431" s="25"/>
      <c r="L7431" s="25"/>
      <c r="M7431" s="25"/>
      <c r="N7431" s="25"/>
      <c r="O7431" s="25"/>
    </row>
    <row r="7432" customFormat="false" ht="13.5" hidden="false" customHeight="true" outlineLevel="0" collapsed="false">
      <c r="B7432" s="10"/>
      <c r="C7432" s="10"/>
      <c r="D7432" s="10"/>
      <c r="E7432" s="10"/>
      <c r="F7432" s="10"/>
      <c r="J7432" s="25"/>
      <c r="K7432" s="25"/>
      <c r="L7432" s="25"/>
      <c r="M7432" s="25"/>
      <c r="N7432" s="25"/>
      <c r="O7432" s="25"/>
    </row>
    <row r="7433" customFormat="false" ht="13.5" hidden="false" customHeight="true" outlineLevel="0" collapsed="false">
      <c r="B7433" s="10"/>
      <c r="C7433" s="10"/>
      <c r="D7433" s="10"/>
      <c r="E7433" s="10"/>
      <c r="F7433" s="10"/>
      <c r="J7433" s="25"/>
      <c r="K7433" s="25"/>
      <c r="L7433" s="25"/>
      <c r="M7433" s="25"/>
      <c r="N7433" s="25"/>
      <c r="O7433" s="25"/>
    </row>
    <row r="7434" customFormat="false" ht="13.5" hidden="false" customHeight="true" outlineLevel="0" collapsed="false">
      <c r="B7434" s="10"/>
      <c r="C7434" s="10"/>
      <c r="D7434" s="10"/>
      <c r="E7434" s="10"/>
      <c r="F7434" s="10"/>
      <c r="J7434" s="25"/>
      <c r="K7434" s="25"/>
      <c r="L7434" s="25"/>
      <c r="M7434" s="25"/>
      <c r="N7434" s="25"/>
      <c r="O7434" s="25"/>
    </row>
    <row r="7435" customFormat="false" ht="15" hidden="false" customHeight="true" outlineLevel="0" collapsed="false">
      <c r="B7435" s="10"/>
      <c r="C7435" s="10"/>
      <c r="D7435" s="34" t="str">
        <f aca="false">IF($K$7426=0,"",INDEX(Clients!$E$2:$E$501,$K$7426)&amp;"")</f>
        <v/>
      </c>
      <c r="E7435" s="34"/>
      <c r="F7435" s="34"/>
      <c r="J7435" s="25"/>
      <c r="K7435" s="25"/>
      <c r="L7435" s="25"/>
      <c r="M7435" s="25"/>
      <c r="N7435" s="25"/>
      <c r="O7435" s="25"/>
    </row>
    <row r="7436" customFormat="false" ht="15" hidden="false" customHeight="true" outlineLevel="0" collapsed="false">
      <c r="B7436" s="10"/>
      <c r="C7436" s="10"/>
      <c r="D7436" s="35" t="str">
        <f aca="false">IF(IF($K$7426=0,"",INDEX(Clients!$D$2:$D$501,$K$7426)&amp;"")="","","À l'attention de "&amp;TRIM(IF($K$7426=0,"",INDEX(Clients!$B$2:$B$501,$K$7426)&amp;"")&amp;" "&amp;IF($K$7426=0,"",INDEX(Clients!$C$2:$C$501,$K$7426)&amp;"")&amp;" "&amp;IF($K$7426=0,"",INDEX(Clients!$D$2:$D$501,$K$7426)&amp;"")))</f>
        <v/>
      </c>
      <c r="E7436" s="35"/>
      <c r="F7436" s="35"/>
      <c r="J7436" s="25"/>
      <c r="K7436" s="25"/>
      <c r="L7436" s="25"/>
      <c r="M7436" s="25"/>
      <c r="N7436" s="25"/>
      <c r="O7436" s="25"/>
    </row>
    <row r="7437" customFormat="false" ht="15" hidden="false" customHeight="true" outlineLevel="0" collapsed="false">
      <c r="B7437" s="10"/>
      <c r="C7437" s="10"/>
      <c r="D7437" s="35" t="str">
        <f aca="false">IF($K$7426=0,"",INDEX(Clients!$F$2:$F$501,$K$7426)&amp;"")</f>
        <v/>
      </c>
      <c r="E7437" s="35"/>
      <c r="F7437" s="35"/>
      <c r="J7437" s="25"/>
      <c r="K7437" s="25"/>
      <c r="L7437" s="25"/>
      <c r="M7437" s="25"/>
      <c r="N7437" s="25"/>
      <c r="O7437" s="25"/>
    </row>
    <row r="7438" customFormat="false" ht="15" hidden="false" customHeight="true" outlineLevel="0" collapsed="false">
      <c r="B7438" s="10"/>
      <c r="C7438" s="10"/>
      <c r="D7438" s="35" t="str">
        <f aca="false">IF(IF($K$7426=0,"",INDEX(Clients!$G$2:$G$501,$K$7426)&amp;"")="",TRIM(IF($K$7426=0,"",INDEX(Clients!$H$2:$H$501,$K$7426)&amp;"")&amp;" "&amp;UPPER(IF($K$7426=0,"",INDEX(Clients!$I$2:$I$501,$K$7426)&amp;""))),IF($K$7426=0,"",INDEX(Clients!$G$2:$G$501,$K$7426)&amp;""))</f>
        <v/>
      </c>
      <c r="E7438" s="35"/>
      <c r="F7438" s="35"/>
      <c r="J7438" s="25"/>
      <c r="K7438" s="25"/>
      <c r="L7438" s="25"/>
      <c r="M7438" s="25"/>
      <c r="N7438" s="25"/>
      <c r="O7438" s="25"/>
    </row>
    <row r="7439" customFormat="false" ht="15" hidden="false" customHeight="true" outlineLevel="0" collapsed="false">
      <c r="B7439" s="10"/>
      <c r="C7439" s="10"/>
      <c r="D7439" s="35" t="str">
        <f aca="false">IF(IF($K$7426=0,"",INDEX(Clients!$G$2:$G$501,$K$7426)&amp;"")="","",TRIM(IF($K$7426=0,"",INDEX(Clients!$H$2:$H$501,$K$7426)&amp;"")&amp;" "&amp;UPPER(IF($K$7426=0,"",INDEX(Clients!$I$2:$I$501,$K$7426)&amp;""))))</f>
        <v/>
      </c>
      <c r="E7439" s="35"/>
      <c r="F7439" s="35"/>
      <c r="J7439" s="25"/>
      <c r="K7439" s="25"/>
      <c r="L7439" s="25"/>
      <c r="M7439" s="25"/>
      <c r="N7439" s="25"/>
      <c r="O7439" s="25"/>
    </row>
    <row r="7440" customFormat="false" ht="25.5" hidden="false" customHeight="true" outlineLevel="0" collapsed="false">
      <c r="B7440" s="10"/>
      <c r="C7440" s="10"/>
      <c r="D7440" s="10"/>
      <c r="E7440" s="10"/>
      <c r="F7440" s="10"/>
      <c r="J7440" s="25"/>
      <c r="K7440" s="25"/>
      <c r="L7440" s="25"/>
      <c r="M7440" s="25"/>
      <c r="N7440" s="25"/>
      <c r="O7440" s="25"/>
    </row>
    <row r="7441" customFormat="false" ht="15" hidden="false" customHeight="false" outlineLevel="0" collapsed="false">
      <c r="B7441" s="10"/>
      <c r="C7441" s="10"/>
      <c r="D7441" s="36" t="str">
        <f aca="false">Cab_Ville&amp;", le "&amp;DAY(Date_Courrier)&amp;IF(DAY(Date_Courrier)=1,"er","")&amp;" "&amp;INDEX(Liste_Mois,MONTH(Date_Courrier))&amp;" "&amp;YEAR(Date_Courrier)</f>
        <v>Le Plessis-Bouchard, le 22 septembre 2026</v>
      </c>
      <c r="E7441" s="36"/>
      <c r="F7441" s="36"/>
      <c r="J7441" s="25"/>
      <c r="K7441" s="25"/>
      <c r="L7441" s="25"/>
      <c r="M7441" s="25"/>
      <c r="N7441" s="25"/>
      <c r="O7441" s="25"/>
    </row>
    <row r="7442" customFormat="false" ht="19.5" hidden="false" customHeight="true" outlineLevel="0" collapsed="false">
      <c r="B7442" s="10"/>
      <c r="C7442" s="10"/>
      <c r="D7442" s="10"/>
      <c r="E7442" s="10"/>
      <c r="F7442" s="10"/>
      <c r="J7442" s="25"/>
      <c r="K7442" s="25"/>
      <c r="L7442" s="25"/>
      <c r="M7442" s="25"/>
      <c r="N7442" s="25"/>
      <c r="O7442" s="25"/>
    </row>
    <row r="7443" customFormat="false" ht="15" hidden="false" customHeight="false" outlineLevel="0" collapsed="false">
      <c r="B7443" s="34" t="str">
        <f aca="false">SUBSTITUTE(SUBSTITUTE(SUBSTITUTE(SUBSTITUTE(SUBSTITUTE(Txt_Objet,"{cabinet}",Cab_Nom),"{societe}",IF($K$7426=0,"",INDEX(Clients!$E$2:$E$501,$K$7426)&amp;"")),"{date_effet}",$K$7428),"{hausse}",$K$7429),"{civilite}",$K$7427)</f>
        <v>Objet : révision de nos honoraires au 1er janvier 2027</v>
      </c>
      <c r="C7443" s="34"/>
      <c r="D7443" s="34"/>
      <c r="E7443" s="34"/>
      <c r="F7443" s="34"/>
      <c r="J7443" s="25"/>
      <c r="K7443" s="25"/>
      <c r="L7443" s="25"/>
      <c r="M7443" s="25"/>
      <c r="N7443" s="25"/>
      <c r="O7443" s="25"/>
    </row>
    <row r="7444" customFormat="false" ht="13.5" hidden="false" customHeight="true" outlineLevel="0" collapsed="false">
      <c r="B7444" s="10"/>
      <c r="C7444" s="10"/>
      <c r="D7444" s="10"/>
      <c r="E7444" s="10"/>
      <c r="F7444" s="10"/>
      <c r="J7444" s="25"/>
      <c r="K7444" s="25"/>
      <c r="L7444" s="25"/>
      <c r="M7444" s="25"/>
      <c r="N7444" s="25"/>
      <c r="O7444" s="25"/>
    </row>
    <row r="7445" customFormat="false" ht="15" hidden="false" customHeight="false" outlineLevel="0" collapsed="false">
      <c r="B7445" s="10" t="str">
        <f aca="false">$K$7427&amp;","</f>
        <v>Madame, Monsieur,</v>
      </c>
      <c r="C7445" s="10"/>
      <c r="D7445" s="10"/>
      <c r="E7445" s="10"/>
      <c r="F7445" s="10"/>
      <c r="J7445" s="25"/>
      <c r="K7445" s="25"/>
      <c r="L7445" s="25"/>
      <c r="M7445" s="25"/>
      <c r="N7445" s="25"/>
      <c r="O7445" s="25"/>
    </row>
    <row r="7446" customFormat="false" ht="6" hidden="false" customHeight="true" outlineLevel="0" collapsed="false">
      <c r="B7446" s="10"/>
      <c r="C7446" s="10"/>
      <c r="D7446" s="10"/>
      <c r="E7446" s="10"/>
      <c r="F7446" s="10"/>
      <c r="J7446" s="25"/>
      <c r="K7446" s="25"/>
      <c r="L7446" s="25"/>
      <c r="M7446" s="25"/>
      <c r="N7446" s="25"/>
      <c r="O7446" s="25"/>
    </row>
    <row r="7447" customFormat="false" ht="36.75" hidden="false" customHeight="true" outlineLevel="0" collapsed="false">
      <c r="B7447" s="37" t="str">
        <f aca="false">SUBSTITUTE(SUBSTITUTE(SUBSTITUTE(SUBSTITUTE(SUBSTITUTE(Txt_P1,"{cabinet}",Cab_Nom),"{societe}",IF($K$7426=0,"",INDEX(Clients!$E$2:$E$501,$K$7426)&amp;"")),"{date_effet}",$K$7428),"{hausse}",$K$7429),"{civilite}",$K$7427)</f>
        <v>Nous tenons tout d'abord à vous remercier pour la confiance que vous accordez à ALTHO EXPERTISE. Comme chaque année, et conformément aux dispositions de votre lettre de mission, nous procédons à la révision de nos honoraires.</v>
      </c>
      <c r="C7447" s="37"/>
      <c r="D7447" s="37"/>
      <c r="E7447" s="37"/>
      <c r="F7447" s="37"/>
      <c r="J7447" s="25"/>
      <c r="K7447" s="25"/>
      <c r="L7447" s="25"/>
      <c r="M7447" s="25"/>
      <c r="N7447" s="25"/>
      <c r="O7447" s="25"/>
    </row>
    <row r="7448" customFormat="false" ht="49.5" hidden="false" customHeight="true" outlineLevel="0" collapsed="false">
      <c r="B7448" s="37" t="str">
        <f aca="false">SUBSTITUTE(SUBSTITUTE(SUBSTITUTE(SUBSTITUTE(SUBSTITUTE(Txt_P2,"{cabinet}",Cab_Nom),"{societe}",IF($K$7426=0,"",INDEX(Clients!$E$2:$E$501,$K$7426)&amp;"")),"{date_effet}",$K$7428),"{hausse}",$K$7429),"{civilite}",$K$7427)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448" s="37"/>
      <c r="D7448" s="37"/>
      <c r="E7448" s="37"/>
      <c r="F7448" s="37"/>
      <c r="J7448" s="25"/>
      <c r="K7448" s="25"/>
      <c r="L7448" s="25"/>
      <c r="M7448" s="25"/>
      <c r="N7448" s="25"/>
      <c r="O7448" s="25"/>
    </row>
    <row r="7449" customFormat="false" ht="63" hidden="false" customHeight="true" outlineLevel="0" collapsed="false">
      <c r="B7449" s="37" t="str">
        <f aca="false">SUBSTITUTE(SUBSTITUTE(SUBSTITUTE(SUBSTITUTE(SUBSTITUTE(Txt_P3,"{cabinet}",Cab_Nom),"{societe}",IF($K$7426=0,"",INDEX(Clients!$E$2:$E$501,$K$7426)&amp;"")),"{date_effet}",$K$7428),"{hausse}",$K$7429),"{civilite}",$K$7427)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449" s="37"/>
      <c r="D7449" s="37"/>
      <c r="E7449" s="37"/>
      <c r="F7449" s="37"/>
      <c r="J7449" s="25"/>
      <c r="K7449" s="25"/>
      <c r="L7449" s="25"/>
      <c r="M7449" s="25"/>
      <c r="N7449" s="25"/>
      <c r="O7449" s="25"/>
    </row>
    <row r="7450" customFormat="false" ht="24" hidden="false" customHeight="true" outlineLevel="0" collapsed="false">
      <c r="B7450" s="37" t="str">
        <f aca="false">SUBSTITUTE(SUBSTITUTE(SUBSTITUTE(SUBSTITUTE(SUBSTITUTE(Txt_P4,"{cabinet}",Cab_Nom),"{societe}",IF($K$7426=0,"",INDEX(Clients!$E$2:$E$501,$K$7426)&amp;"")),"{date_effet}",$K$7428),"{hausse}",$K$7429),"{civilite}",$K$7427)</f>
        <v>À compter du 1er janvier 2027, vos honoraires annuels hors taxes évolueront ainsi (évolution globale : ) :</v>
      </c>
      <c r="C7450" s="37"/>
      <c r="D7450" s="37"/>
      <c r="E7450" s="37"/>
      <c r="F7450" s="37"/>
      <c r="J7450" s="25"/>
      <c r="K7450" s="25"/>
      <c r="L7450" s="25"/>
      <c r="M7450" s="25"/>
      <c r="N7450" s="25"/>
      <c r="O7450" s="25"/>
    </row>
    <row r="7451" customFormat="false" ht="3.75" hidden="false" customHeight="true" outlineLevel="0" collapsed="false">
      <c r="B7451" s="10"/>
      <c r="C7451" s="10"/>
      <c r="D7451" s="10"/>
      <c r="E7451" s="10"/>
      <c r="F7451" s="10"/>
      <c r="J7451" s="25"/>
      <c r="K7451" s="25"/>
      <c r="L7451" s="25"/>
      <c r="M7451" s="25"/>
      <c r="N7451" s="25"/>
      <c r="O7451" s="25"/>
    </row>
    <row r="7452" customFormat="false" ht="18" hidden="false" customHeight="true" outlineLevel="0" collapsed="false">
      <c r="B7452" s="38" t="s">
        <v>148</v>
      </c>
      <c r="C7452" s="39" t="s">
        <v>149</v>
      </c>
      <c r="D7452" s="39" t="s">
        <v>150</v>
      </c>
      <c r="E7452" s="39" t="s">
        <v>151</v>
      </c>
      <c r="F7452" s="39" t="s">
        <v>109</v>
      </c>
      <c r="J7452" s="25" t="s">
        <v>152</v>
      </c>
      <c r="K7452" s="25" t="s">
        <v>153</v>
      </c>
      <c r="L7452" s="25" t="s">
        <v>154</v>
      </c>
      <c r="M7452" s="25" t="s">
        <v>155</v>
      </c>
      <c r="N7452" s="25" t="s">
        <v>156</v>
      </c>
      <c r="O7452" s="25" t="s">
        <v>157</v>
      </c>
    </row>
    <row r="7453" customFormat="false" ht="16.5" hidden="false" customHeight="true" outlineLevel="0" collapsed="false">
      <c r="B7453" s="40" t="str">
        <f aca="false">IFERROR(INDEX($J$7453:$J$7456,MATCH($O7453,$N$7453:$N$7456,0)),"")</f>
        <v/>
      </c>
      <c r="C7453" s="41" t="str">
        <f aca="false">IFERROR(INDEX($K$7453:$K$7456,MATCH($O7453,$N$7453:$N$7456,0)),"")</f>
        <v/>
      </c>
      <c r="D7453" s="42" t="str">
        <f aca="false">IF(OR(E7453="",N(C7453)=0),"",E7453/C7453-1)</f>
        <v/>
      </c>
      <c r="E7453" s="41" t="str">
        <f aca="false">IFERROR(INDEX($L$7453:$L$7456,MATCH($O7453,$N$7453:$N$7456,0)),"")</f>
        <v/>
      </c>
      <c r="F7453" s="41" t="str">
        <f aca="false">IF(E7453="","",E7453-C7453)</f>
        <v/>
      </c>
      <c r="J7453" s="25" t="str">
        <f aca="false">Lib_Compta</f>
        <v>Mission comptable (tenue, révision, bilan, liasse fiscale)</v>
      </c>
      <c r="K7453" s="25" t="n">
        <f aca="false">IF($K$7426=0,0,N(INDEX(Clients!$K$2:$K$501,$K$7426)))</f>
        <v>0</v>
      </c>
      <c r="L7453" s="25" t="n">
        <f aca="false">IF($K$7426=0,0,N(INDEX(Clients!$P$2:$P$501,$K$7426)))</f>
        <v>0</v>
      </c>
      <c r="M7453" s="25" t="n">
        <f aca="false">IF(OR(K7453&lt;&gt;0,L7453&lt;&gt;0),1,0)</f>
        <v>0</v>
      </c>
      <c r="N7453" s="25" t="str">
        <f aca="false">IF(M7453=1,SUM($M$7453:M7453),"")</f>
        <v/>
      </c>
      <c r="O7453" s="25" t="n">
        <v>1</v>
      </c>
    </row>
    <row r="7454" customFormat="false" ht="16.5" hidden="false" customHeight="true" outlineLevel="0" collapsed="false">
      <c r="B7454" s="40" t="str">
        <f aca="false">IFERROR(INDEX($J$7453:$J$7456,MATCH($O7454,$N$7453:$N$7456,0)),"")</f>
        <v/>
      </c>
      <c r="C7454" s="41" t="str">
        <f aca="false">IFERROR(INDEX($K$7453:$K$7456,MATCH($O7454,$N$7453:$N$7456,0)),"")</f>
        <v/>
      </c>
      <c r="D7454" s="42" t="str">
        <f aca="false">IF(OR(E7454="",N(C7454)=0),"",E7454/C7454-1)</f>
        <v/>
      </c>
      <c r="E7454" s="41" t="str">
        <f aca="false">IFERROR(INDEX($L$7453:$L$7456,MATCH($O7454,$N$7453:$N$7456,0)),"")</f>
        <v/>
      </c>
      <c r="F7454" s="41" t="str">
        <f aca="false">IF(E7454="","",E7454-C7454)</f>
        <v/>
      </c>
      <c r="J7454" s="25" t="str">
        <f aca="false">Lib_Paye</f>
        <v>Mission sociale (bulletins de paie, DSN, déclarations sociales)</v>
      </c>
      <c r="K7454" s="25" t="n">
        <f aca="false">IF($K$7426=0,0,N(INDEX(Clients!$L$2:$L$501,$K$7426)))</f>
        <v>0</v>
      </c>
      <c r="L7454" s="25" t="n">
        <f aca="false">IF($K$7426=0,0,N(INDEX(Clients!$Q$2:$Q$501,$K$7426)))</f>
        <v>0</v>
      </c>
      <c r="M7454" s="25" t="n">
        <f aca="false">IF(OR(K7454&lt;&gt;0,L7454&lt;&gt;0),1,0)</f>
        <v>0</v>
      </c>
      <c r="N7454" s="25" t="str">
        <f aca="false">IF(M7454=1,SUM($M$7453:M7454),"")</f>
        <v/>
      </c>
      <c r="O7454" s="25" t="n">
        <v>2</v>
      </c>
    </row>
    <row r="7455" customFormat="false" ht="16.5" hidden="false" customHeight="true" outlineLevel="0" collapsed="false">
      <c r="B7455" s="40" t="str">
        <f aca="false">IFERROR(INDEX($J$7453:$J$7456,MATCH($O7455,$N$7453:$N$7456,0)),"")</f>
        <v/>
      </c>
      <c r="C7455" s="41" t="str">
        <f aca="false">IFERROR(INDEX($K$7453:$K$7456,MATCH($O7455,$N$7453:$N$7456,0)),"")</f>
        <v/>
      </c>
      <c r="D7455" s="42" t="str">
        <f aca="false">IF(OR(E7455="",N(C7455)=0),"",E7455/C7455-1)</f>
        <v/>
      </c>
      <c r="E7455" s="41" t="str">
        <f aca="false">IFERROR(INDEX($L$7453:$L$7456,MATCH($O7455,$N$7453:$N$7456,0)),"")</f>
        <v/>
      </c>
      <c r="F7455" s="41" t="str">
        <f aca="false">IF(E7455="","",E7455-C7455)</f>
        <v/>
      </c>
      <c r="J7455" s="25" t="str">
        <f aca="false">Lib_Jur</f>
        <v>Mission juridique (approbation des comptes, secrétariat juridique)</v>
      </c>
      <c r="K7455" s="25" t="n">
        <f aca="false">IF($K$7426=0,0,N(INDEX(Clients!$M$2:$M$501,$K$7426)))</f>
        <v>0</v>
      </c>
      <c r="L7455" s="25" t="n">
        <f aca="false">IF($K$7426=0,0,N(INDEX(Clients!$R$2:$R$501,$K$7426)))</f>
        <v>0</v>
      </c>
      <c r="M7455" s="25" t="n">
        <f aca="false">IF(OR(K7455&lt;&gt;0,L7455&lt;&gt;0),1,0)</f>
        <v>0</v>
      </c>
      <c r="N7455" s="25" t="str">
        <f aca="false">IF(M7455=1,SUM($M$7453:M7455),"")</f>
        <v/>
      </c>
      <c r="O7455" s="25" t="n">
        <v>3</v>
      </c>
    </row>
    <row r="7456" customFormat="false" ht="16.5" hidden="false" customHeight="true" outlineLevel="0" collapsed="false">
      <c r="B7456" s="40" t="str">
        <f aca="false">IFERROR(INDEX($J$7453:$J$7456,MATCH($O7456,$N$7453:$N$7456,0)),"")</f>
        <v/>
      </c>
      <c r="C7456" s="41" t="str">
        <f aca="false">IFERROR(INDEX($K$7453:$K$7456,MATCH($O7456,$N$7453:$N$7456,0)),"")</f>
        <v/>
      </c>
      <c r="D7456" s="42" t="str">
        <f aca="false">IF(OR(E7456="",N(C7456)=0),"",E7456/C7456-1)</f>
        <v/>
      </c>
      <c r="E7456" s="41" t="str">
        <f aca="false">IFERROR(INDEX($L$7453:$L$7456,MATCH($O7456,$N$7453:$N$7456,0)),"")</f>
        <v/>
      </c>
      <c r="F7456" s="41" t="str">
        <f aca="false">IF(E7456="","",E7456-C7456)</f>
        <v/>
      </c>
      <c r="J7456" s="25" t="str">
        <f aca="false">Lib_PA</f>
        <v>Plateforme agréée – facturation électronique</v>
      </c>
      <c r="K7456" s="25" t="n">
        <f aca="false">IF($K$7426=0,0,N(INDEX(Clients!$N$2:$N$501,$K$7426)))</f>
        <v>0</v>
      </c>
      <c r="L7456" s="25" t="n">
        <f aca="false">IF($K$7426=0,0,N(INDEX(Clients!$S$2:$S$501,$K$7426)))</f>
        <v>0</v>
      </c>
      <c r="M7456" s="25" t="n">
        <f aca="false">IF(OR(K7456&lt;&gt;0,L7456&lt;&gt;0),1,0)</f>
        <v>0</v>
      </c>
      <c r="N7456" s="25" t="str">
        <f aca="false">IF(M7456=1,SUM($M$7453:M7456),"")</f>
        <v/>
      </c>
      <c r="O7456" s="25" t="n">
        <v>4</v>
      </c>
    </row>
    <row r="7457" customFormat="false" ht="18" hidden="false" customHeight="true" outlineLevel="0" collapsed="false">
      <c r="B7457" s="43" t="s">
        <v>158</v>
      </c>
      <c r="C7457" s="44" t="n">
        <f aca="false">SUM(K7453:K7456)</f>
        <v>0</v>
      </c>
      <c r="D7457" s="45" t="str">
        <f aca="false">IF(N(C7457)=0,"",E7457/C7457-1)</f>
        <v/>
      </c>
      <c r="E7457" s="44" t="n">
        <f aca="false">SUM(L7453:L7456)</f>
        <v>0</v>
      </c>
      <c r="F7457" s="44" t="n">
        <f aca="false">E7457-C7457</f>
        <v>0</v>
      </c>
    </row>
    <row r="7458" customFormat="false" ht="15" hidden="false" customHeight="false" outlineLevel="0" collapsed="false">
      <c r="B7458" s="46" t="str">
        <f aca="false">IF(N(Nb_Mensualites)=0,"","Soit "&amp;FIXED(E7457/Nb_Mensualites,2)&amp;" € HT par échéance ("&amp;Nb_Mensualites&amp;" échéances), "&amp;FIXED(E7457/Nb_Mensualites*(1+Taux_TVA),2)&amp;" € TTC.")</f>
        <v>Soit 0.00 € HT par échéance (12 échéances), 0.00 € TTC.</v>
      </c>
      <c r="C7458" s="46"/>
      <c r="D7458" s="46"/>
      <c r="E7458" s="46"/>
      <c r="F7458" s="46"/>
    </row>
    <row r="7459" customFormat="false" ht="7.5" hidden="false" customHeight="true" outlineLevel="0" collapsed="false">
      <c r="B7459" s="10"/>
      <c r="C7459" s="10"/>
      <c r="D7459" s="10"/>
      <c r="E7459" s="10"/>
      <c r="F7459" s="10"/>
    </row>
    <row r="7460" customFormat="false" ht="36.75" hidden="false" customHeight="true" outlineLevel="0" collapsed="false">
      <c r="B7460" s="37" t="str">
        <f aca="false">SUBSTITUTE(SUBSTITUTE(SUBSTITUTE(SUBSTITUTE(SUBSTITUTE(Txt_P5,"{cabinet}",Cab_Nom),"{societe}",IF($K$7426=0,"",INDEX(Clients!$E$2:$E$501,$K$7426)&amp;"")),"{date_effet}",$K$7428),"{hausse}",$K$7429),"{civilite}",$K$7427)</f>
        <v>Les autres conditions de votre lettre de mission demeurent inchangées. Les nouveaux montants seront appliqués automatiquement sur vos prochaines factures et échéances de prélèvement.</v>
      </c>
      <c r="C7460" s="37"/>
      <c r="D7460" s="37"/>
      <c r="E7460" s="37"/>
      <c r="F7460" s="37"/>
    </row>
    <row r="7461" customFormat="false" ht="36.75" hidden="false" customHeight="true" outlineLevel="0" collapsed="false">
      <c r="B7461" s="37" t="str">
        <f aca="false">SUBSTITUTE(SUBSTITUTE(SUBSTITUTE(SUBSTITUTE(SUBSTITUTE(Txt_P6,"{cabinet}",Cab_Nom),"{societe}",IF($K$7426=0,"",INDEX(Clients!$E$2:$E$501,$K$7426)&amp;"")),"{date_effet}",$K$7428),"{hausse}",$K$7429),"{civilite}",$K$7427)</f>
        <v>Votre interlocuteur habituel reste à votre entière disposition pour répondre à vos questions et faire le point sur l'évolution de vos besoins.</v>
      </c>
      <c r="C7461" s="37"/>
      <c r="D7461" s="37"/>
      <c r="E7461" s="37"/>
      <c r="F7461" s="37"/>
    </row>
    <row r="7462" customFormat="false" ht="24" hidden="false" customHeight="true" outlineLevel="0" collapsed="false">
      <c r="B7462" s="37" t="str">
        <f aca="false">SUBSTITUTE(SUBSTITUTE(SUBSTITUTE(SUBSTITUTE(SUBSTITUTE(Txt_Politesse,"{cabinet}",Cab_Nom),"{societe}",IF($K$7426=0,"",INDEX(Clients!$E$2:$E$501,$K$7426)&amp;"")),"{date_effet}",$K$7428),"{hausse}",$K$7429),"{civilite}",$K$7427)</f>
        <v>Nous vous prions d'agréer, Madame, Monsieur, l'expression de nos salutations distinguées.</v>
      </c>
      <c r="C7462" s="37"/>
      <c r="D7462" s="37"/>
      <c r="E7462" s="37"/>
      <c r="F7462" s="37"/>
    </row>
    <row r="7463" customFormat="false" ht="15" hidden="false" customHeight="false" outlineLevel="0" collapsed="false">
      <c r="B7463" s="10"/>
      <c r="C7463" s="10"/>
      <c r="D7463" s="10"/>
      <c r="E7463" s="10"/>
      <c r="F7463" s="10"/>
    </row>
    <row r="7464" customFormat="false" ht="15" hidden="false" customHeight="false" outlineLevel="0" collapsed="false">
      <c r="B7464" s="10"/>
      <c r="C7464" s="10"/>
      <c r="D7464" s="34" t="str">
        <f aca="false">Signataire</f>
        <v>Prénom NOM</v>
      </c>
      <c r="E7464" s="34"/>
      <c r="F7464" s="34"/>
    </row>
    <row r="7465" customFormat="false" ht="15" hidden="false" customHeight="false" outlineLevel="0" collapsed="false">
      <c r="B7465" s="10"/>
      <c r="C7465" s="10"/>
      <c r="D7465" s="47" t="str">
        <f aca="false">Signataire_Titre</f>
        <v>Expert-comptable associé</v>
      </c>
      <c r="E7465" s="47"/>
      <c r="F7465" s="47"/>
    </row>
    <row r="7466" customFormat="false" ht="15.75" hidden="false" customHeight="true" outlineLevel="0" collapsed="false">
      <c r="B7466" s="10"/>
      <c r="C7466" s="10"/>
      <c r="D7466" s="10"/>
      <c r="E7466" s="10"/>
      <c r="F7466" s="10"/>
    </row>
    <row r="7467" customFormat="false" ht="15.75" hidden="false" customHeight="true" outlineLevel="0" collapsed="false">
      <c r="B7467" s="10"/>
      <c r="C7467" s="10"/>
      <c r="D7467" s="10"/>
      <c r="E7467" s="10"/>
      <c r="F7467" s="10"/>
    </row>
    <row r="7468" customFormat="false" ht="15.75" hidden="false" customHeight="true" outlineLevel="0" collapsed="false">
      <c r="B7468" s="10"/>
      <c r="C7468" s="10"/>
      <c r="D7468" s="10"/>
      <c r="E7468" s="10"/>
      <c r="F7468" s="10"/>
    </row>
    <row r="7469" customFormat="false" ht="15.75" hidden="false" customHeight="true" outlineLevel="0" collapsed="false">
      <c r="B7469" s="10"/>
      <c r="C7469" s="10"/>
      <c r="D7469" s="10"/>
      <c r="E7469" s="10"/>
      <c r="F7469" s="10"/>
    </row>
    <row r="7470" customFormat="false" ht="24" hidden="false" customHeight="true" outlineLevel="0" collapsed="false">
      <c r="B7470" s="48" t="str">
        <f aca="false">Cab_Mentions</f>
        <v>ALTHO EXPERTISE · SAS au capital de 10 000 € · RCS Pontoise 919 706 325 · TVA FR62919706325 · Société d'expertise comptable inscrite au Tableau de l'Ordre des experts-comptables de Paris Île-de-France</v>
      </c>
      <c r="C7470" s="48"/>
      <c r="D7470" s="48"/>
      <c r="E7470" s="48"/>
      <c r="F7470" s="48"/>
    </row>
    <row r="7471" customFormat="false" ht="15" hidden="false" customHeight="false" outlineLevel="0" collapsed="false">
      <c r="B7471" s="10"/>
      <c r="C7471" s="10"/>
      <c r="D7471" s="10"/>
      <c r="E7471" s="10"/>
      <c r="F7471" s="10"/>
      <c r="J7471" s="25" t="s">
        <v>142</v>
      </c>
      <c r="K7471" s="25" t="n">
        <f aca="false">IFERROR(MATCH(167,Clients!$Z$2:$Z$501,0),0)</f>
        <v>0</v>
      </c>
      <c r="L7471" s="25"/>
      <c r="M7471" s="25"/>
      <c r="N7471" s="25"/>
      <c r="O7471" s="25"/>
    </row>
    <row r="7472" customFormat="false" ht="21.75" hidden="false" customHeight="true" outlineLevel="0" collapsed="false">
      <c r="B7472" s="26" t="str">
        <f aca="false">Cab_Nom</f>
        <v>ALTHO EXPERTISE</v>
      </c>
      <c r="C7472" s="26"/>
      <c r="D7472" s="10"/>
      <c r="E7472" s="27" t="str">
        <f aca="false">IF($K$7471=0,"","Réf. client : "&amp;INDEX(Clients!$A$2:$A$501,$K$7471))</f>
        <v/>
      </c>
      <c r="F7472" s="27"/>
      <c r="J7472" s="25" t="s">
        <v>144</v>
      </c>
      <c r="K7472" s="25" t="str">
        <f aca="false">IF(IF($K$7471=0,"",INDEX(Clients!$B$2:$B$501,$K$7471)&amp;"")="Mme","Madame",IF(IF($K$7471=0,"",INDEX(Clients!$B$2:$B$501,$K$7471)&amp;"")="M.","Monsieur","Madame, Monsieur"))</f>
        <v>Madame, Monsieur</v>
      </c>
      <c r="L7472" s="25"/>
      <c r="M7472" s="25"/>
      <c r="N7472" s="25"/>
      <c r="O7472" s="25"/>
    </row>
    <row r="7473" customFormat="false" ht="15" hidden="false" customHeight="false" outlineLevel="0" collapsed="false">
      <c r="B7473" s="29" t="str">
        <f aca="false">Cab_Adr1</f>
        <v>141 rue Charles de Gaulle</v>
      </c>
      <c r="C7473" s="29"/>
      <c r="D7473" s="10"/>
      <c r="E7473" s="10"/>
      <c r="F7473" s="10"/>
      <c r="J7473" s="25" t="s">
        <v>145</v>
      </c>
      <c r="K7473" s="25" t="str">
        <f aca="false">DAY(Date_Effet)&amp;IF(DAY(Date_Effet)=1,"er","")&amp;" "&amp;INDEX(Liste_Mois,MONTH(Date_Effet))&amp;" "&amp;YEAR(Date_Effet)</f>
        <v>1er janvier 2027</v>
      </c>
      <c r="L7473" s="25"/>
      <c r="M7473" s="25"/>
      <c r="N7473" s="25"/>
      <c r="O7473" s="25"/>
    </row>
    <row r="7474" customFormat="false" ht="15" hidden="false" customHeight="false" outlineLevel="0" collapsed="false">
      <c r="B7474" s="29" t="str">
        <f aca="false">Cab_CPVille</f>
        <v>95130 LE PLESSIS-BOUCHARD</v>
      </c>
      <c r="C7474" s="29"/>
      <c r="D7474" s="10"/>
      <c r="E7474" s="10"/>
      <c r="F7474" s="10"/>
      <c r="J7474" s="25" t="s">
        <v>146</v>
      </c>
      <c r="K7474" s="25" t="str">
        <f aca="false">IF(SUM($K$7498:$K$7501)=0,"",FIXED((SUM($L$7498:$L$7501)/SUM($K$7498:$K$7501)-1)*100,1)&amp;" %")</f>
        <v/>
      </c>
      <c r="L7474" s="25"/>
      <c r="M7474" s="25"/>
      <c r="N7474" s="25"/>
      <c r="O7474" s="25"/>
    </row>
    <row r="7475" customFormat="false" ht="15" hidden="false" customHeight="false" outlineLevel="0" collapsed="false">
      <c r="B7475" s="29" t="str">
        <f aca="false">Cab_Contact</f>
        <v>Tél. 01 34 14 53 45  ·  altho@altho-experts.com  ·  altho-experts.com</v>
      </c>
      <c r="C7475" s="29"/>
      <c r="D7475" s="10"/>
      <c r="E7475" s="10"/>
      <c r="F7475" s="10"/>
      <c r="J7475" s="25"/>
      <c r="K7475" s="25"/>
      <c r="L7475" s="25"/>
      <c r="M7475" s="25"/>
      <c r="N7475" s="25"/>
      <c r="O7475" s="25"/>
    </row>
    <row r="7476" customFormat="false" ht="6" hidden="false" customHeight="true" outlineLevel="0" collapsed="false">
      <c r="B7476" s="32"/>
      <c r="C7476" s="32"/>
      <c r="D7476" s="32"/>
      <c r="E7476" s="32"/>
      <c r="F7476" s="32"/>
      <c r="J7476" s="25"/>
      <c r="K7476" s="25"/>
      <c r="L7476" s="25"/>
      <c r="M7476" s="25"/>
      <c r="N7476" s="25"/>
      <c r="O7476" s="25"/>
    </row>
    <row r="7477" customFormat="false" ht="13.5" hidden="false" customHeight="true" outlineLevel="0" collapsed="false">
      <c r="B7477" s="10"/>
      <c r="C7477" s="10"/>
      <c r="D7477" s="10"/>
      <c r="E7477" s="10"/>
      <c r="F7477" s="10"/>
      <c r="J7477" s="25"/>
      <c r="K7477" s="25"/>
      <c r="L7477" s="25"/>
      <c r="M7477" s="25"/>
      <c r="N7477" s="25"/>
      <c r="O7477" s="25"/>
    </row>
    <row r="7478" customFormat="false" ht="13.5" hidden="false" customHeight="true" outlineLevel="0" collapsed="false">
      <c r="B7478" s="10"/>
      <c r="C7478" s="10"/>
      <c r="D7478" s="10"/>
      <c r="E7478" s="10"/>
      <c r="F7478" s="10"/>
      <c r="J7478" s="25"/>
      <c r="K7478" s="25"/>
      <c r="L7478" s="25"/>
      <c r="M7478" s="25"/>
      <c r="N7478" s="25"/>
      <c r="O7478" s="25"/>
    </row>
    <row r="7479" customFormat="false" ht="13.5" hidden="false" customHeight="true" outlineLevel="0" collapsed="false">
      <c r="B7479" s="10"/>
      <c r="C7479" s="10"/>
      <c r="D7479" s="10"/>
      <c r="E7479" s="10"/>
      <c r="F7479" s="10"/>
      <c r="J7479" s="25"/>
      <c r="K7479" s="25"/>
      <c r="L7479" s="25"/>
      <c r="M7479" s="25"/>
      <c r="N7479" s="25"/>
      <c r="O7479" s="25"/>
    </row>
    <row r="7480" customFormat="false" ht="15" hidden="false" customHeight="true" outlineLevel="0" collapsed="false">
      <c r="B7480" s="10"/>
      <c r="C7480" s="10"/>
      <c r="D7480" s="34" t="str">
        <f aca="false">IF($K$7471=0,"",INDEX(Clients!$E$2:$E$501,$K$7471)&amp;"")</f>
        <v/>
      </c>
      <c r="E7480" s="34"/>
      <c r="F7480" s="34"/>
      <c r="J7480" s="25"/>
      <c r="K7480" s="25"/>
      <c r="L7480" s="25"/>
      <c r="M7480" s="25"/>
      <c r="N7480" s="25"/>
      <c r="O7480" s="25"/>
    </row>
    <row r="7481" customFormat="false" ht="15" hidden="false" customHeight="true" outlineLevel="0" collapsed="false">
      <c r="B7481" s="10"/>
      <c r="C7481" s="10"/>
      <c r="D7481" s="35" t="str">
        <f aca="false">IF(IF($K$7471=0,"",INDEX(Clients!$D$2:$D$501,$K$7471)&amp;"")="","","À l'attention de "&amp;TRIM(IF($K$7471=0,"",INDEX(Clients!$B$2:$B$501,$K$7471)&amp;"")&amp;" "&amp;IF($K$7471=0,"",INDEX(Clients!$C$2:$C$501,$K$7471)&amp;"")&amp;" "&amp;IF($K$7471=0,"",INDEX(Clients!$D$2:$D$501,$K$7471)&amp;"")))</f>
        <v/>
      </c>
      <c r="E7481" s="35"/>
      <c r="F7481" s="35"/>
      <c r="J7481" s="25"/>
      <c r="K7481" s="25"/>
      <c r="L7481" s="25"/>
      <c r="M7481" s="25"/>
      <c r="N7481" s="25"/>
      <c r="O7481" s="25"/>
    </row>
    <row r="7482" customFormat="false" ht="15" hidden="false" customHeight="true" outlineLevel="0" collapsed="false">
      <c r="B7482" s="10"/>
      <c r="C7482" s="10"/>
      <c r="D7482" s="35" t="str">
        <f aca="false">IF($K$7471=0,"",INDEX(Clients!$F$2:$F$501,$K$7471)&amp;"")</f>
        <v/>
      </c>
      <c r="E7482" s="35"/>
      <c r="F7482" s="35"/>
      <c r="J7482" s="25"/>
      <c r="K7482" s="25"/>
      <c r="L7482" s="25"/>
      <c r="M7482" s="25"/>
      <c r="N7482" s="25"/>
      <c r="O7482" s="25"/>
    </row>
    <row r="7483" customFormat="false" ht="15" hidden="false" customHeight="true" outlineLevel="0" collapsed="false">
      <c r="B7483" s="10"/>
      <c r="C7483" s="10"/>
      <c r="D7483" s="35" t="str">
        <f aca="false">IF(IF($K$7471=0,"",INDEX(Clients!$G$2:$G$501,$K$7471)&amp;"")="",TRIM(IF($K$7471=0,"",INDEX(Clients!$H$2:$H$501,$K$7471)&amp;"")&amp;" "&amp;UPPER(IF($K$7471=0,"",INDEX(Clients!$I$2:$I$501,$K$7471)&amp;""))),IF($K$7471=0,"",INDEX(Clients!$G$2:$G$501,$K$7471)&amp;""))</f>
        <v/>
      </c>
      <c r="E7483" s="35"/>
      <c r="F7483" s="35"/>
      <c r="J7483" s="25"/>
      <c r="K7483" s="25"/>
      <c r="L7483" s="25"/>
      <c r="M7483" s="25"/>
      <c r="N7483" s="25"/>
      <c r="O7483" s="25"/>
    </row>
    <row r="7484" customFormat="false" ht="15" hidden="false" customHeight="true" outlineLevel="0" collapsed="false">
      <c r="B7484" s="10"/>
      <c r="C7484" s="10"/>
      <c r="D7484" s="35" t="str">
        <f aca="false">IF(IF($K$7471=0,"",INDEX(Clients!$G$2:$G$501,$K$7471)&amp;"")="","",TRIM(IF($K$7471=0,"",INDEX(Clients!$H$2:$H$501,$K$7471)&amp;"")&amp;" "&amp;UPPER(IF($K$7471=0,"",INDEX(Clients!$I$2:$I$501,$K$7471)&amp;""))))</f>
        <v/>
      </c>
      <c r="E7484" s="35"/>
      <c r="F7484" s="35"/>
      <c r="J7484" s="25"/>
      <c r="K7484" s="25"/>
      <c r="L7484" s="25"/>
      <c r="M7484" s="25"/>
      <c r="N7484" s="25"/>
      <c r="O7484" s="25"/>
    </row>
    <row r="7485" customFormat="false" ht="25.5" hidden="false" customHeight="true" outlineLevel="0" collapsed="false">
      <c r="B7485" s="10"/>
      <c r="C7485" s="10"/>
      <c r="D7485" s="10"/>
      <c r="E7485" s="10"/>
      <c r="F7485" s="10"/>
      <c r="J7485" s="25"/>
      <c r="K7485" s="25"/>
      <c r="L7485" s="25"/>
      <c r="M7485" s="25"/>
      <c r="N7485" s="25"/>
      <c r="O7485" s="25"/>
    </row>
    <row r="7486" customFormat="false" ht="15" hidden="false" customHeight="false" outlineLevel="0" collapsed="false">
      <c r="B7486" s="10"/>
      <c r="C7486" s="10"/>
      <c r="D7486" s="36" t="str">
        <f aca="false">Cab_Ville&amp;", le "&amp;DAY(Date_Courrier)&amp;IF(DAY(Date_Courrier)=1,"er","")&amp;" "&amp;INDEX(Liste_Mois,MONTH(Date_Courrier))&amp;" "&amp;YEAR(Date_Courrier)</f>
        <v>Le Plessis-Bouchard, le 22 septembre 2026</v>
      </c>
      <c r="E7486" s="36"/>
      <c r="F7486" s="36"/>
      <c r="J7486" s="25"/>
      <c r="K7486" s="25"/>
      <c r="L7486" s="25"/>
      <c r="M7486" s="25"/>
      <c r="N7486" s="25"/>
      <c r="O7486" s="25"/>
    </row>
    <row r="7487" customFormat="false" ht="19.5" hidden="false" customHeight="true" outlineLevel="0" collapsed="false">
      <c r="B7487" s="10"/>
      <c r="C7487" s="10"/>
      <c r="D7487" s="10"/>
      <c r="E7487" s="10"/>
      <c r="F7487" s="10"/>
      <c r="J7487" s="25"/>
      <c r="K7487" s="25"/>
      <c r="L7487" s="25"/>
      <c r="M7487" s="25"/>
      <c r="N7487" s="25"/>
      <c r="O7487" s="25"/>
    </row>
    <row r="7488" customFormat="false" ht="15" hidden="false" customHeight="false" outlineLevel="0" collapsed="false">
      <c r="B7488" s="34" t="str">
        <f aca="false">SUBSTITUTE(SUBSTITUTE(SUBSTITUTE(SUBSTITUTE(SUBSTITUTE(Txt_Objet,"{cabinet}",Cab_Nom),"{societe}",IF($K$7471=0,"",INDEX(Clients!$E$2:$E$501,$K$7471)&amp;"")),"{date_effet}",$K$7473),"{hausse}",$K$7474),"{civilite}",$K$7472)</f>
        <v>Objet : révision de nos honoraires au 1er janvier 2027</v>
      </c>
      <c r="C7488" s="34"/>
      <c r="D7488" s="34"/>
      <c r="E7488" s="34"/>
      <c r="F7488" s="34"/>
      <c r="J7488" s="25"/>
      <c r="K7488" s="25"/>
      <c r="L7488" s="25"/>
      <c r="M7488" s="25"/>
      <c r="N7488" s="25"/>
      <c r="O7488" s="25"/>
    </row>
    <row r="7489" customFormat="false" ht="13.5" hidden="false" customHeight="true" outlineLevel="0" collapsed="false">
      <c r="B7489" s="10"/>
      <c r="C7489" s="10"/>
      <c r="D7489" s="10"/>
      <c r="E7489" s="10"/>
      <c r="F7489" s="10"/>
      <c r="J7489" s="25"/>
      <c r="K7489" s="25"/>
      <c r="L7489" s="25"/>
      <c r="M7489" s="25"/>
      <c r="N7489" s="25"/>
      <c r="O7489" s="25"/>
    </row>
    <row r="7490" customFormat="false" ht="15" hidden="false" customHeight="false" outlineLevel="0" collapsed="false">
      <c r="B7490" s="10" t="str">
        <f aca="false">$K$7472&amp;","</f>
        <v>Madame, Monsieur,</v>
      </c>
      <c r="C7490" s="10"/>
      <c r="D7490" s="10"/>
      <c r="E7490" s="10"/>
      <c r="F7490" s="10"/>
      <c r="J7490" s="25"/>
      <c r="K7490" s="25"/>
      <c r="L7490" s="25"/>
      <c r="M7490" s="25"/>
      <c r="N7490" s="25"/>
      <c r="O7490" s="25"/>
    </row>
    <row r="7491" customFormat="false" ht="6" hidden="false" customHeight="true" outlineLevel="0" collapsed="false">
      <c r="B7491" s="10"/>
      <c r="C7491" s="10"/>
      <c r="D7491" s="10"/>
      <c r="E7491" s="10"/>
      <c r="F7491" s="10"/>
      <c r="J7491" s="25"/>
      <c r="K7491" s="25"/>
      <c r="L7491" s="25"/>
      <c r="M7491" s="25"/>
      <c r="N7491" s="25"/>
      <c r="O7491" s="25"/>
    </row>
    <row r="7492" customFormat="false" ht="36.75" hidden="false" customHeight="true" outlineLevel="0" collapsed="false">
      <c r="B7492" s="37" t="str">
        <f aca="false">SUBSTITUTE(SUBSTITUTE(SUBSTITUTE(SUBSTITUTE(SUBSTITUTE(Txt_P1,"{cabinet}",Cab_Nom),"{societe}",IF($K$7471=0,"",INDEX(Clients!$E$2:$E$501,$K$7471)&amp;"")),"{date_effet}",$K$7473),"{hausse}",$K$7474),"{civilite}",$K$7472)</f>
        <v>Nous tenons tout d'abord à vous remercier pour la confiance que vous accordez à ALTHO EXPERTISE. Comme chaque année, et conformément aux dispositions de votre lettre de mission, nous procédons à la révision de nos honoraires.</v>
      </c>
      <c r="C7492" s="37"/>
      <c r="D7492" s="37"/>
      <c r="E7492" s="37"/>
      <c r="F7492" s="37"/>
      <c r="J7492" s="25"/>
      <c r="K7492" s="25"/>
      <c r="L7492" s="25"/>
      <c r="M7492" s="25"/>
      <c r="N7492" s="25"/>
      <c r="O7492" s="25"/>
    </row>
    <row r="7493" customFormat="false" ht="49.5" hidden="false" customHeight="true" outlineLevel="0" collapsed="false">
      <c r="B7493" s="37" t="str">
        <f aca="false">SUBSTITUTE(SUBSTITUTE(SUBSTITUTE(SUBSTITUTE(SUBSTITUTE(Txt_P2,"{cabinet}",Cab_Nom),"{societe}",IF($K$7471=0,"",INDEX(Clients!$E$2:$E$501,$K$7471)&amp;"")),"{date_effet}",$K$7473),"{hausse}",$K$7474),"{civilite}",$K$7472)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493" s="37"/>
      <c r="D7493" s="37"/>
      <c r="E7493" s="37"/>
      <c r="F7493" s="37"/>
      <c r="J7493" s="25"/>
      <c r="K7493" s="25"/>
      <c r="L7493" s="25"/>
      <c r="M7493" s="25"/>
      <c r="N7493" s="25"/>
      <c r="O7493" s="25"/>
    </row>
    <row r="7494" customFormat="false" ht="63" hidden="false" customHeight="true" outlineLevel="0" collapsed="false">
      <c r="B7494" s="37" t="str">
        <f aca="false">SUBSTITUTE(SUBSTITUTE(SUBSTITUTE(SUBSTITUTE(SUBSTITUTE(Txt_P3,"{cabinet}",Cab_Nom),"{societe}",IF($K$7471=0,"",INDEX(Clients!$E$2:$E$501,$K$7471)&amp;"")),"{date_effet}",$K$7473),"{hausse}",$K$7474),"{civilite}",$K$7472)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494" s="37"/>
      <c r="D7494" s="37"/>
      <c r="E7494" s="37"/>
      <c r="F7494" s="37"/>
      <c r="J7494" s="25"/>
      <c r="K7494" s="25"/>
      <c r="L7494" s="25"/>
      <c r="M7494" s="25"/>
      <c r="N7494" s="25"/>
      <c r="O7494" s="25"/>
    </row>
    <row r="7495" customFormat="false" ht="24" hidden="false" customHeight="true" outlineLevel="0" collapsed="false">
      <c r="B7495" s="37" t="str">
        <f aca="false">SUBSTITUTE(SUBSTITUTE(SUBSTITUTE(SUBSTITUTE(SUBSTITUTE(Txt_P4,"{cabinet}",Cab_Nom),"{societe}",IF($K$7471=0,"",INDEX(Clients!$E$2:$E$501,$K$7471)&amp;"")),"{date_effet}",$K$7473),"{hausse}",$K$7474),"{civilite}",$K$7472)</f>
        <v>À compter du 1er janvier 2027, vos honoraires annuels hors taxes évolueront ainsi (évolution globale : ) :</v>
      </c>
      <c r="C7495" s="37"/>
      <c r="D7495" s="37"/>
      <c r="E7495" s="37"/>
      <c r="F7495" s="37"/>
      <c r="J7495" s="25"/>
      <c r="K7495" s="25"/>
      <c r="L7495" s="25"/>
      <c r="M7495" s="25"/>
      <c r="N7495" s="25"/>
      <c r="O7495" s="25"/>
    </row>
    <row r="7496" customFormat="false" ht="3.75" hidden="false" customHeight="true" outlineLevel="0" collapsed="false">
      <c r="B7496" s="10"/>
      <c r="C7496" s="10"/>
      <c r="D7496" s="10"/>
      <c r="E7496" s="10"/>
      <c r="F7496" s="10"/>
      <c r="J7496" s="25"/>
      <c r="K7496" s="25"/>
      <c r="L7496" s="25"/>
      <c r="M7496" s="25"/>
      <c r="N7496" s="25"/>
      <c r="O7496" s="25"/>
    </row>
    <row r="7497" customFormat="false" ht="18" hidden="false" customHeight="true" outlineLevel="0" collapsed="false">
      <c r="B7497" s="38" t="s">
        <v>148</v>
      </c>
      <c r="C7497" s="39" t="s">
        <v>149</v>
      </c>
      <c r="D7497" s="39" t="s">
        <v>150</v>
      </c>
      <c r="E7497" s="39" t="s">
        <v>151</v>
      </c>
      <c r="F7497" s="39" t="s">
        <v>109</v>
      </c>
      <c r="J7497" s="25" t="s">
        <v>152</v>
      </c>
      <c r="K7497" s="25" t="s">
        <v>153</v>
      </c>
      <c r="L7497" s="25" t="s">
        <v>154</v>
      </c>
      <c r="M7497" s="25" t="s">
        <v>155</v>
      </c>
      <c r="N7497" s="25" t="s">
        <v>156</v>
      </c>
      <c r="O7497" s="25" t="s">
        <v>157</v>
      </c>
    </row>
    <row r="7498" customFormat="false" ht="16.5" hidden="false" customHeight="true" outlineLevel="0" collapsed="false">
      <c r="B7498" s="40" t="str">
        <f aca="false">IFERROR(INDEX($J$7498:$J$7501,MATCH($O7498,$N$7498:$N$7501,0)),"")</f>
        <v/>
      </c>
      <c r="C7498" s="41" t="str">
        <f aca="false">IFERROR(INDEX($K$7498:$K$7501,MATCH($O7498,$N$7498:$N$7501,0)),"")</f>
        <v/>
      </c>
      <c r="D7498" s="42" t="str">
        <f aca="false">IF(OR(E7498="",N(C7498)=0),"",E7498/C7498-1)</f>
        <v/>
      </c>
      <c r="E7498" s="41" t="str">
        <f aca="false">IFERROR(INDEX($L$7498:$L$7501,MATCH($O7498,$N$7498:$N$7501,0)),"")</f>
        <v/>
      </c>
      <c r="F7498" s="41" t="str">
        <f aca="false">IF(E7498="","",E7498-C7498)</f>
        <v/>
      </c>
      <c r="J7498" s="25" t="str">
        <f aca="false">Lib_Compta</f>
        <v>Mission comptable (tenue, révision, bilan, liasse fiscale)</v>
      </c>
      <c r="K7498" s="25" t="n">
        <f aca="false">IF($K$7471=0,0,N(INDEX(Clients!$K$2:$K$501,$K$7471)))</f>
        <v>0</v>
      </c>
      <c r="L7498" s="25" t="n">
        <f aca="false">IF($K$7471=0,0,N(INDEX(Clients!$P$2:$P$501,$K$7471)))</f>
        <v>0</v>
      </c>
      <c r="M7498" s="25" t="n">
        <f aca="false">IF(OR(K7498&lt;&gt;0,L7498&lt;&gt;0),1,0)</f>
        <v>0</v>
      </c>
      <c r="N7498" s="25" t="str">
        <f aca="false">IF(M7498=1,SUM($M$7498:M7498),"")</f>
        <v/>
      </c>
      <c r="O7498" s="25" t="n">
        <v>1</v>
      </c>
    </row>
    <row r="7499" customFormat="false" ht="16.5" hidden="false" customHeight="true" outlineLevel="0" collapsed="false">
      <c r="B7499" s="40" t="str">
        <f aca="false">IFERROR(INDEX($J$7498:$J$7501,MATCH($O7499,$N$7498:$N$7501,0)),"")</f>
        <v/>
      </c>
      <c r="C7499" s="41" t="str">
        <f aca="false">IFERROR(INDEX($K$7498:$K$7501,MATCH($O7499,$N$7498:$N$7501,0)),"")</f>
        <v/>
      </c>
      <c r="D7499" s="42" t="str">
        <f aca="false">IF(OR(E7499="",N(C7499)=0),"",E7499/C7499-1)</f>
        <v/>
      </c>
      <c r="E7499" s="41" t="str">
        <f aca="false">IFERROR(INDEX($L$7498:$L$7501,MATCH($O7499,$N$7498:$N$7501,0)),"")</f>
        <v/>
      </c>
      <c r="F7499" s="41" t="str">
        <f aca="false">IF(E7499="","",E7499-C7499)</f>
        <v/>
      </c>
      <c r="J7499" s="25" t="str">
        <f aca="false">Lib_Paye</f>
        <v>Mission sociale (bulletins de paie, DSN, déclarations sociales)</v>
      </c>
      <c r="K7499" s="25" t="n">
        <f aca="false">IF($K$7471=0,0,N(INDEX(Clients!$L$2:$L$501,$K$7471)))</f>
        <v>0</v>
      </c>
      <c r="L7499" s="25" t="n">
        <f aca="false">IF($K$7471=0,0,N(INDEX(Clients!$Q$2:$Q$501,$K$7471)))</f>
        <v>0</v>
      </c>
      <c r="M7499" s="25" t="n">
        <f aca="false">IF(OR(K7499&lt;&gt;0,L7499&lt;&gt;0),1,0)</f>
        <v>0</v>
      </c>
      <c r="N7499" s="25" t="str">
        <f aca="false">IF(M7499=1,SUM($M$7498:M7499),"")</f>
        <v/>
      </c>
      <c r="O7499" s="25" t="n">
        <v>2</v>
      </c>
    </row>
    <row r="7500" customFormat="false" ht="16.5" hidden="false" customHeight="true" outlineLevel="0" collapsed="false">
      <c r="B7500" s="40" t="str">
        <f aca="false">IFERROR(INDEX($J$7498:$J$7501,MATCH($O7500,$N$7498:$N$7501,0)),"")</f>
        <v/>
      </c>
      <c r="C7500" s="41" t="str">
        <f aca="false">IFERROR(INDEX($K$7498:$K$7501,MATCH($O7500,$N$7498:$N$7501,0)),"")</f>
        <v/>
      </c>
      <c r="D7500" s="42" t="str">
        <f aca="false">IF(OR(E7500="",N(C7500)=0),"",E7500/C7500-1)</f>
        <v/>
      </c>
      <c r="E7500" s="41" t="str">
        <f aca="false">IFERROR(INDEX($L$7498:$L$7501,MATCH($O7500,$N$7498:$N$7501,0)),"")</f>
        <v/>
      </c>
      <c r="F7500" s="41" t="str">
        <f aca="false">IF(E7500="","",E7500-C7500)</f>
        <v/>
      </c>
      <c r="J7500" s="25" t="str">
        <f aca="false">Lib_Jur</f>
        <v>Mission juridique (approbation des comptes, secrétariat juridique)</v>
      </c>
      <c r="K7500" s="25" t="n">
        <f aca="false">IF($K$7471=0,0,N(INDEX(Clients!$M$2:$M$501,$K$7471)))</f>
        <v>0</v>
      </c>
      <c r="L7500" s="25" t="n">
        <f aca="false">IF($K$7471=0,0,N(INDEX(Clients!$R$2:$R$501,$K$7471)))</f>
        <v>0</v>
      </c>
      <c r="M7500" s="25" t="n">
        <f aca="false">IF(OR(K7500&lt;&gt;0,L7500&lt;&gt;0),1,0)</f>
        <v>0</v>
      </c>
      <c r="N7500" s="25" t="str">
        <f aca="false">IF(M7500=1,SUM($M$7498:M7500),"")</f>
        <v/>
      </c>
      <c r="O7500" s="25" t="n">
        <v>3</v>
      </c>
    </row>
    <row r="7501" customFormat="false" ht="16.5" hidden="false" customHeight="true" outlineLevel="0" collapsed="false">
      <c r="B7501" s="40" t="str">
        <f aca="false">IFERROR(INDEX($J$7498:$J$7501,MATCH($O7501,$N$7498:$N$7501,0)),"")</f>
        <v/>
      </c>
      <c r="C7501" s="41" t="str">
        <f aca="false">IFERROR(INDEX($K$7498:$K$7501,MATCH($O7501,$N$7498:$N$7501,0)),"")</f>
        <v/>
      </c>
      <c r="D7501" s="42" t="str">
        <f aca="false">IF(OR(E7501="",N(C7501)=0),"",E7501/C7501-1)</f>
        <v/>
      </c>
      <c r="E7501" s="41" t="str">
        <f aca="false">IFERROR(INDEX($L$7498:$L$7501,MATCH($O7501,$N$7498:$N$7501,0)),"")</f>
        <v/>
      </c>
      <c r="F7501" s="41" t="str">
        <f aca="false">IF(E7501="","",E7501-C7501)</f>
        <v/>
      </c>
      <c r="J7501" s="25" t="str">
        <f aca="false">Lib_PA</f>
        <v>Plateforme agréée – facturation électronique</v>
      </c>
      <c r="K7501" s="25" t="n">
        <f aca="false">IF($K$7471=0,0,N(INDEX(Clients!$N$2:$N$501,$K$7471)))</f>
        <v>0</v>
      </c>
      <c r="L7501" s="25" t="n">
        <f aca="false">IF($K$7471=0,0,N(INDEX(Clients!$S$2:$S$501,$K$7471)))</f>
        <v>0</v>
      </c>
      <c r="M7501" s="25" t="n">
        <f aca="false">IF(OR(K7501&lt;&gt;0,L7501&lt;&gt;0),1,0)</f>
        <v>0</v>
      </c>
      <c r="N7501" s="25" t="str">
        <f aca="false">IF(M7501=1,SUM($M$7498:M7501),"")</f>
        <v/>
      </c>
      <c r="O7501" s="25" t="n">
        <v>4</v>
      </c>
    </row>
    <row r="7502" customFormat="false" ht="18" hidden="false" customHeight="true" outlineLevel="0" collapsed="false">
      <c r="B7502" s="43" t="s">
        <v>158</v>
      </c>
      <c r="C7502" s="44" t="n">
        <f aca="false">SUM(K7498:K7501)</f>
        <v>0</v>
      </c>
      <c r="D7502" s="45" t="str">
        <f aca="false">IF(N(C7502)=0,"",E7502/C7502-1)</f>
        <v/>
      </c>
      <c r="E7502" s="44" t="n">
        <f aca="false">SUM(L7498:L7501)</f>
        <v>0</v>
      </c>
      <c r="F7502" s="44" t="n">
        <f aca="false">E7502-C7502</f>
        <v>0</v>
      </c>
    </row>
    <row r="7503" customFormat="false" ht="15" hidden="false" customHeight="false" outlineLevel="0" collapsed="false">
      <c r="B7503" s="46" t="str">
        <f aca="false">IF(N(Nb_Mensualites)=0,"","Soit "&amp;FIXED(E7502/Nb_Mensualites,2)&amp;" € HT par échéance ("&amp;Nb_Mensualites&amp;" échéances), "&amp;FIXED(E7502/Nb_Mensualites*(1+Taux_TVA),2)&amp;" € TTC.")</f>
        <v>Soit 0.00 € HT par échéance (12 échéances), 0.00 € TTC.</v>
      </c>
      <c r="C7503" s="46"/>
      <c r="D7503" s="46"/>
      <c r="E7503" s="46"/>
      <c r="F7503" s="46"/>
    </row>
    <row r="7504" customFormat="false" ht="7.5" hidden="false" customHeight="true" outlineLevel="0" collapsed="false">
      <c r="B7504" s="10"/>
      <c r="C7504" s="10"/>
      <c r="D7504" s="10"/>
      <c r="E7504" s="10"/>
      <c r="F7504" s="10"/>
    </row>
    <row r="7505" customFormat="false" ht="36.75" hidden="false" customHeight="true" outlineLevel="0" collapsed="false">
      <c r="B7505" s="37" t="str">
        <f aca="false">SUBSTITUTE(SUBSTITUTE(SUBSTITUTE(SUBSTITUTE(SUBSTITUTE(Txt_P5,"{cabinet}",Cab_Nom),"{societe}",IF($K$7471=0,"",INDEX(Clients!$E$2:$E$501,$K$7471)&amp;"")),"{date_effet}",$K$7473),"{hausse}",$K$7474),"{civilite}",$K$7472)</f>
        <v>Les autres conditions de votre lettre de mission demeurent inchangées. Les nouveaux montants seront appliqués automatiquement sur vos prochaines factures et échéances de prélèvement.</v>
      </c>
      <c r="C7505" s="37"/>
      <c r="D7505" s="37"/>
      <c r="E7505" s="37"/>
      <c r="F7505" s="37"/>
    </row>
    <row r="7506" customFormat="false" ht="36.75" hidden="false" customHeight="true" outlineLevel="0" collapsed="false">
      <c r="B7506" s="37" t="str">
        <f aca="false">SUBSTITUTE(SUBSTITUTE(SUBSTITUTE(SUBSTITUTE(SUBSTITUTE(Txt_P6,"{cabinet}",Cab_Nom),"{societe}",IF($K$7471=0,"",INDEX(Clients!$E$2:$E$501,$K$7471)&amp;"")),"{date_effet}",$K$7473),"{hausse}",$K$7474),"{civilite}",$K$7472)</f>
        <v>Votre interlocuteur habituel reste à votre entière disposition pour répondre à vos questions et faire le point sur l'évolution de vos besoins.</v>
      </c>
      <c r="C7506" s="37"/>
      <c r="D7506" s="37"/>
      <c r="E7506" s="37"/>
      <c r="F7506" s="37"/>
    </row>
    <row r="7507" customFormat="false" ht="24" hidden="false" customHeight="true" outlineLevel="0" collapsed="false">
      <c r="B7507" s="37" t="str">
        <f aca="false">SUBSTITUTE(SUBSTITUTE(SUBSTITUTE(SUBSTITUTE(SUBSTITUTE(Txt_Politesse,"{cabinet}",Cab_Nom),"{societe}",IF($K$7471=0,"",INDEX(Clients!$E$2:$E$501,$K$7471)&amp;"")),"{date_effet}",$K$7473),"{hausse}",$K$7474),"{civilite}",$K$7472)</f>
        <v>Nous vous prions d'agréer, Madame, Monsieur, l'expression de nos salutations distinguées.</v>
      </c>
      <c r="C7507" s="37"/>
      <c r="D7507" s="37"/>
      <c r="E7507" s="37"/>
      <c r="F7507" s="37"/>
    </row>
    <row r="7508" customFormat="false" ht="15" hidden="false" customHeight="false" outlineLevel="0" collapsed="false">
      <c r="B7508" s="10"/>
      <c r="C7508" s="10"/>
      <c r="D7508" s="10"/>
      <c r="E7508" s="10"/>
      <c r="F7508" s="10"/>
    </row>
    <row r="7509" customFormat="false" ht="15" hidden="false" customHeight="false" outlineLevel="0" collapsed="false">
      <c r="B7509" s="10"/>
      <c r="C7509" s="10"/>
      <c r="D7509" s="34" t="str">
        <f aca="false">Signataire</f>
        <v>Prénom NOM</v>
      </c>
      <c r="E7509" s="34"/>
      <c r="F7509" s="34"/>
    </row>
    <row r="7510" customFormat="false" ht="15" hidden="false" customHeight="false" outlineLevel="0" collapsed="false">
      <c r="B7510" s="10"/>
      <c r="C7510" s="10"/>
      <c r="D7510" s="47" t="str">
        <f aca="false">Signataire_Titre</f>
        <v>Expert-comptable associé</v>
      </c>
      <c r="E7510" s="47"/>
      <c r="F7510" s="47"/>
    </row>
    <row r="7511" customFormat="false" ht="15.75" hidden="false" customHeight="true" outlineLevel="0" collapsed="false">
      <c r="B7511" s="10"/>
      <c r="C7511" s="10"/>
      <c r="D7511" s="10"/>
      <c r="E7511" s="10"/>
      <c r="F7511" s="10"/>
    </row>
    <row r="7512" customFormat="false" ht="15.75" hidden="false" customHeight="true" outlineLevel="0" collapsed="false">
      <c r="B7512" s="10"/>
      <c r="C7512" s="10"/>
      <c r="D7512" s="10"/>
      <c r="E7512" s="10"/>
      <c r="F7512" s="10"/>
    </row>
    <row r="7513" customFormat="false" ht="15.75" hidden="false" customHeight="true" outlineLevel="0" collapsed="false">
      <c r="B7513" s="10"/>
      <c r="C7513" s="10"/>
      <c r="D7513" s="10"/>
      <c r="E7513" s="10"/>
      <c r="F7513" s="10"/>
    </row>
    <row r="7514" customFormat="false" ht="15.75" hidden="false" customHeight="true" outlineLevel="0" collapsed="false">
      <c r="B7514" s="10"/>
      <c r="C7514" s="10"/>
      <c r="D7514" s="10"/>
      <c r="E7514" s="10"/>
      <c r="F7514" s="10"/>
    </row>
    <row r="7515" customFormat="false" ht="24" hidden="false" customHeight="true" outlineLevel="0" collapsed="false">
      <c r="B7515" s="48" t="str">
        <f aca="false">Cab_Mentions</f>
        <v>ALTHO EXPERTISE · SAS au capital de 10 000 € · RCS Pontoise 919 706 325 · TVA FR62919706325 · Société d'expertise comptable inscrite au Tableau de l'Ordre des experts-comptables de Paris Île-de-France</v>
      </c>
      <c r="C7515" s="48"/>
      <c r="D7515" s="48"/>
      <c r="E7515" s="48"/>
      <c r="F7515" s="48"/>
    </row>
    <row r="7516" customFormat="false" ht="15" hidden="false" customHeight="false" outlineLevel="0" collapsed="false">
      <c r="B7516" s="10"/>
      <c r="C7516" s="10"/>
      <c r="D7516" s="10"/>
      <c r="E7516" s="10"/>
      <c r="F7516" s="10"/>
      <c r="J7516" s="25" t="s">
        <v>142</v>
      </c>
      <c r="K7516" s="25" t="n">
        <f aca="false">IFERROR(MATCH(168,Clients!$Z$2:$Z$501,0),0)</f>
        <v>0</v>
      </c>
      <c r="L7516" s="25"/>
      <c r="M7516" s="25"/>
      <c r="N7516" s="25"/>
      <c r="O7516" s="25"/>
    </row>
    <row r="7517" customFormat="false" ht="21.75" hidden="false" customHeight="true" outlineLevel="0" collapsed="false">
      <c r="B7517" s="26" t="str">
        <f aca="false">Cab_Nom</f>
        <v>ALTHO EXPERTISE</v>
      </c>
      <c r="C7517" s="26"/>
      <c r="D7517" s="10"/>
      <c r="E7517" s="27" t="str">
        <f aca="false">IF($K$7516=0,"","Réf. client : "&amp;INDEX(Clients!$A$2:$A$501,$K$7516))</f>
        <v/>
      </c>
      <c r="F7517" s="27"/>
      <c r="J7517" s="25" t="s">
        <v>144</v>
      </c>
      <c r="K7517" s="25" t="str">
        <f aca="false">IF(IF($K$7516=0,"",INDEX(Clients!$B$2:$B$501,$K$7516)&amp;"")="Mme","Madame",IF(IF($K$7516=0,"",INDEX(Clients!$B$2:$B$501,$K$7516)&amp;"")="M.","Monsieur","Madame, Monsieur"))</f>
        <v>Madame, Monsieur</v>
      </c>
      <c r="L7517" s="25"/>
      <c r="M7517" s="25"/>
      <c r="N7517" s="25"/>
      <c r="O7517" s="25"/>
    </row>
    <row r="7518" customFormat="false" ht="15" hidden="false" customHeight="false" outlineLevel="0" collapsed="false">
      <c r="B7518" s="29" t="str">
        <f aca="false">Cab_Adr1</f>
        <v>141 rue Charles de Gaulle</v>
      </c>
      <c r="C7518" s="29"/>
      <c r="D7518" s="10"/>
      <c r="E7518" s="10"/>
      <c r="F7518" s="10"/>
      <c r="J7518" s="25" t="s">
        <v>145</v>
      </c>
      <c r="K7518" s="25" t="str">
        <f aca="false">DAY(Date_Effet)&amp;IF(DAY(Date_Effet)=1,"er","")&amp;" "&amp;INDEX(Liste_Mois,MONTH(Date_Effet))&amp;" "&amp;YEAR(Date_Effet)</f>
        <v>1er janvier 2027</v>
      </c>
      <c r="L7518" s="25"/>
      <c r="M7518" s="25"/>
      <c r="N7518" s="25"/>
      <c r="O7518" s="25"/>
    </row>
    <row r="7519" customFormat="false" ht="15" hidden="false" customHeight="false" outlineLevel="0" collapsed="false">
      <c r="B7519" s="29" t="str">
        <f aca="false">Cab_CPVille</f>
        <v>95130 LE PLESSIS-BOUCHARD</v>
      </c>
      <c r="C7519" s="29"/>
      <c r="D7519" s="10"/>
      <c r="E7519" s="10"/>
      <c r="F7519" s="10"/>
      <c r="J7519" s="25" t="s">
        <v>146</v>
      </c>
      <c r="K7519" s="25" t="str">
        <f aca="false">IF(SUM($K$7543:$K$7546)=0,"",FIXED((SUM($L$7543:$L$7546)/SUM($K$7543:$K$7546)-1)*100,1)&amp;" %")</f>
        <v/>
      </c>
      <c r="L7519" s="25"/>
      <c r="M7519" s="25"/>
      <c r="N7519" s="25"/>
      <c r="O7519" s="25"/>
    </row>
    <row r="7520" customFormat="false" ht="15" hidden="false" customHeight="false" outlineLevel="0" collapsed="false">
      <c r="B7520" s="29" t="str">
        <f aca="false">Cab_Contact</f>
        <v>Tél. 01 34 14 53 45  ·  altho@altho-experts.com  ·  altho-experts.com</v>
      </c>
      <c r="C7520" s="29"/>
      <c r="D7520" s="10"/>
      <c r="E7520" s="10"/>
      <c r="F7520" s="10"/>
      <c r="J7520" s="25"/>
      <c r="K7520" s="25"/>
      <c r="L7520" s="25"/>
      <c r="M7520" s="25"/>
      <c r="N7520" s="25"/>
      <c r="O7520" s="25"/>
    </row>
    <row r="7521" customFormat="false" ht="6" hidden="false" customHeight="true" outlineLevel="0" collapsed="false">
      <c r="B7521" s="32"/>
      <c r="C7521" s="32"/>
      <c r="D7521" s="32"/>
      <c r="E7521" s="32"/>
      <c r="F7521" s="32"/>
      <c r="J7521" s="25"/>
      <c r="K7521" s="25"/>
      <c r="L7521" s="25"/>
      <c r="M7521" s="25"/>
      <c r="N7521" s="25"/>
      <c r="O7521" s="25"/>
    </row>
    <row r="7522" customFormat="false" ht="13.5" hidden="false" customHeight="true" outlineLevel="0" collapsed="false">
      <c r="B7522" s="10"/>
      <c r="C7522" s="10"/>
      <c r="D7522" s="10"/>
      <c r="E7522" s="10"/>
      <c r="F7522" s="10"/>
      <c r="J7522" s="25"/>
      <c r="K7522" s="25"/>
      <c r="L7522" s="25"/>
      <c r="M7522" s="25"/>
      <c r="N7522" s="25"/>
      <c r="O7522" s="25"/>
    </row>
    <row r="7523" customFormat="false" ht="13.5" hidden="false" customHeight="true" outlineLevel="0" collapsed="false">
      <c r="B7523" s="10"/>
      <c r="C7523" s="10"/>
      <c r="D7523" s="10"/>
      <c r="E7523" s="10"/>
      <c r="F7523" s="10"/>
      <c r="J7523" s="25"/>
      <c r="K7523" s="25"/>
      <c r="L7523" s="25"/>
      <c r="M7523" s="25"/>
      <c r="N7523" s="25"/>
      <c r="O7523" s="25"/>
    </row>
    <row r="7524" customFormat="false" ht="13.5" hidden="false" customHeight="true" outlineLevel="0" collapsed="false">
      <c r="B7524" s="10"/>
      <c r="C7524" s="10"/>
      <c r="D7524" s="10"/>
      <c r="E7524" s="10"/>
      <c r="F7524" s="10"/>
      <c r="J7524" s="25"/>
      <c r="K7524" s="25"/>
      <c r="L7524" s="25"/>
      <c r="M7524" s="25"/>
      <c r="N7524" s="25"/>
      <c r="O7524" s="25"/>
    </row>
    <row r="7525" customFormat="false" ht="15" hidden="false" customHeight="true" outlineLevel="0" collapsed="false">
      <c r="B7525" s="10"/>
      <c r="C7525" s="10"/>
      <c r="D7525" s="34" t="str">
        <f aca="false">IF($K$7516=0,"",INDEX(Clients!$E$2:$E$501,$K$7516)&amp;"")</f>
        <v/>
      </c>
      <c r="E7525" s="34"/>
      <c r="F7525" s="34"/>
      <c r="J7525" s="25"/>
      <c r="K7525" s="25"/>
      <c r="L7525" s="25"/>
      <c r="M7525" s="25"/>
      <c r="N7525" s="25"/>
      <c r="O7525" s="25"/>
    </row>
    <row r="7526" customFormat="false" ht="15" hidden="false" customHeight="true" outlineLevel="0" collapsed="false">
      <c r="B7526" s="10"/>
      <c r="C7526" s="10"/>
      <c r="D7526" s="35" t="str">
        <f aca="false">IF(IF($K$7516=0,"",INDEX(Clients!$D$2:$D$501,$K$7516)&amp;"")="","","À l'attention de "&amp;TRIM(IF($K$7516=0,"",INDEX(Clients!$B$2:$B$501,$K$7516)&amp;"")&amp;" "&amp;IF($K$7516=0,"",INDEX(Clients!$C$2:$C$501,$K$7516)&amp;"")&amp;" "&amp;IF($K$7516=0,"",INDEX(Clients!$D$2:$D$501,$K$7516)&amp;"")))</f>
        <v/>
      </c>
      <c r="E7526" s="35"/>
      <c r="F7526" s="35"/>
      <c r="J7526" s="25"/>
      <c r="K7526" s="25"/>
      <c r="L7526" s="25"/>
      <c r="M7526" s="25"/>
      <c r="N7526" s="25"/>
      <c r="O7526" s="25"/>
    </row>
    <row r="7527" customFormat="false" ht="15" hidden="false" customHeight="true" outlineLevel="0" collapsed="false">
      <c r="B7527" s="10"/>
      <c r="C7527" s="10"/>
      <c r="D7527" s="35" t="str">
        <f aca="false">IF($K$7516=0,"",INDEX(Clients!$F$2:$F$501,$K$7516)&amp;"")</f>
        <v/>
      </c>
      <c r="E7527" s="35"/>
      <c r="F7527" s="35"/>
      <c r="J7527" s="25"/>
      <c r="K7527" s="25"/>
      <c r="L7527" s="25"/>
      <c r="M7527" s="25"/>
      <c r="N7527" s="25"/>
      <c r="O7527" s="25"/>
    </row>
    <row r="7528" customFormat="false" ht="15" hidden="false" customHeight="true" outlineLevel="0" collapsed="false">
      <c r="B7528" s="10"/>
      <c r="C7528" s="10"/>
      <c r="D7528" s="35" t="str">
        <f aca="false">IF(IF($K$7516=0,"",INDEX(Clients!$G$2:$G$501,$K$7516)&amp;"")="",TRIM(IF($K$7516=0,"",INDEX(Clients!$H$2:$H$501,$K$7516)&amp;"")&amp;" "&amp;UPPER(IF($K$7516=0,"",INDEX(Clients!$I$2:$I$501,$K$7516)&amp;""))),IF($K$7516=0,"",INDEX(Clients!$G$2:$G$501,$K$7516)&amp;""))</f>
        <v/>
      </c>
      <c r="E7528" s="35"/>
      <c r="F7528" s="35"/>
      <c r="J7528" s="25"/>
      <c r="K7528" s="25"/>
      <c r="L7528" s="25"/>
      <c r="M7528" s="25"/>
      <c r="N7528" s="25"/>
      <c r="O7528" s="25"/>
    </row>
    <row r="7529" customFormat="false" ht="15" hidden="false" customHeight="true" outlineLevel="0" collapsed="false">
      <c r="B7529" s="10"/>
      <c r="C7529" s="10"/>
      <c r="D7529" s="35" t="str">
        <f aca="false">IF(IF($K$7516=0,"",INDEX(Clients!$G$2:$G$501,$K$7516)&amp;"")="","",TRIM(IF($K$7516=0,"",INDEX(Clients!$H$2:$H$501,$K$7516)&amp;"")&amp;" "&amp;UPPER(IF($K$7516=0,"",INDEX(Clients!$I$2:$I$501,$K$7516)&amp;""))))</f>
        <v/>
      </c>
      <c r="E7529" s="35"/>
      <c r="F7529" s="35"/>
      <c r="J7529" s="25"/>
      <c r="K7529" s="25"/>
      <c r="L7529" s="25"/>
      <c r="M7529" s="25"/>
      <c r="N7529" s="25"/>
      <c r="O7529" s="25"/>
    </row>
    <row r="7530" customFormat="false" ht="25.5" hidden="false" customHeight="true" outlineLevel="0" collapsed="false">
      <c r="B7530" s="10"/>
      <c r="C7530" s="10"/>
      <c r="D7530" s="10"/>
      <c r="E7530" s="10"/>
      <c r="F7530" s="10"/>
      <c r="J7530" s="25"/>
      <c r="K7530" s="25"/>
      <c r="L7530" s="25"/>
      <c r="M7530" s="25"/>
      <c r="N7530" s="25"/>
      <c r="O7530" s="25"/>
    </row>
    <row r="7531" customFormat="false" ht="15" hidden="false" customHeight="false" outlineLevel="0" collapsed="false">
      <c r="B7531" s="10"/>
      <c r="C7531" s="10"/>
      <c r="D7531" s="36" t="str">
        <f aca="false">Cab_Ville&amp;", le "&amp;DAY(Date_Courrier)&amp;IF(DAY(Date_Courrier)=1,"er","")&amp;" "&amp;INDEX(Liste_Mois,MONTH(Date_Courrier))&amp;" "&amp;YEAR(Date_Courrier)</f>
        <v>Le Plessis-Bouchard, le 22 septembre 2026</v>
      </c>
      <c r="E7531" s="36"/>
      <c r="F7531" s="36"/>
      <c r="J7531" s="25"/>
      <c r="K7531" s="25"/>
      <c r="L7531" s="25"/>
      <c r="M7531" s="25"/>
      <c r="N7531" s="25"/>
      <c r="O7531" s="25"/>
    </row>
    <row r="7532" customFormat="false" ht="19.5" hidden="false" customHeight="true" outlineLevel="0" collapsed="false">
      <c r="B7532" s="10"/>
      <c r="C7532" s="10"/>
      <c r="D7532" s="10"/>
      <c r="E7532" s="10"/>
      <c r="F7532" s="10"/>
      <c r="J7532" s="25"/>
      <c r="K7532" s="25"/>
      <c r="L7532" s="25"/>
      <c r="M7532" s="25"/>
      <c r="N7532" s="25"/>
      <c r="O7532" s="25"/>
    </row>
    <row r="7533" customFormat="false" ht="15" hidden="false" customHeight="false" outlineLevel="0" collapsed="false">
      <c r="B7533" s="34" t="str">
        <f aca="false">SUBSTITUTE(SUBSTITUTE(SUBSTITUTE(SUBSTITUTE(SUBSTITUTE(Txt_Objet,"{cabinet}",Cab_Nom),"{societe}",IF($K$7516=0,"",INDEX(Clients!$E$2:$E$501,$K$7516)&amp;"")),"{date_effet}",$K$7518),"{hausse}",$K$7519),"{civilite}",$K$7517)</f>
        <v>Objet : révision de nos honoraires au 1er janvier 2027</v>
      </c>
      <c r="C7533" s="34"/>
      <c r="D7533" s="34"/>
      <c r="E7533" s="34"/>
      <c r="F7533" s="34"/>
      <c r="J7533" s="25"/>
      <c r="K7533" s="25"/>
      <c r="L7533" s="25"/>
      <c r="M7533" s="25"/>
      <c r="N7533" s="25"/>
      <c r="O7533" s="25"/>
    </row>
    <row r="7534" customFormat="false" ht="13.5" hidden="false" customHeight="true" outlineLevel="0" collapsed="false">
      <c r="B7534" s="10"/>
      <c r="C7534" s="10"/>
      <c r="D7534" s="10"/>
      <c r="E7534" s="10"/>
      <c r="F7534" s="10"/>
      <c r="J7534" s="25"/>
      <c r="K7534" s="25"/>
      <c r="L7534" s="25"/>
      <c r="M7534" s="25"/>
      <c r="N7534" s="25"/>
      <c r="O7534" s="25"/>
    </row>
    <row r="7535" customFormat="false" ht="15" hidden="false" customHeight="false" outlineLevel="0" collapsed="false">
      <c r="B7535" s="10" t="str">
        <f aca="false">$K$7517&amp;","</f>
        <v>Madame, Monsieur,</v>
      </c>
      <c r="C7535" s="10"/>
      <c r="D7535" s="10"/>
      <c r="E7535" s="10"/>
      <c r="F7535" s="10"/>
      <c r="J7535" s="25"/>
      <c r="K7535" s="25"/>
      <c r="L7535" s="25"/>
      <c r="M7535" s="25"/>
      <c r="N7535" s="25"/>
      <c r="O7535" s="25"/>
    </row>
    <row r="7536" customFormat="false" ht="6" hidden="false" customHeight="true" outlineLevel="0" collapsed="false">
      <c r="B7536" s="10"/>
      <c r="C7536" s="10"/>
      <c r="D7536" s="10"/>
      <c r="E7536" s="10"/>
      <c r="F7536" s="10"/>
      <c r="J7536" s="25"/>
      <c r="K7536" s="25"/>
      <c r="L7536" s="25"/>
      <c r="M7536" s="25"/>
      <c r="N7536" s="25"/>
      <c r="O7536" s="25"/>
    </row>
    <row r="7537" customFormat="false" ht="36.75" hidden="false" customHeight="true" outlineLevel="0" collapsed="false">
      <c r="B7537" s="37" t="str">
        <f aca="false">SUBSTITUTE(SUBSTITUTE(SUBSTITUTE(SUBSTITUTE(SUBSTITUTE(Txt_P1,"{cabinet}",Cab_Nom),"{societe}",IF($K$7516=0,"",INDEX(Clients!$E$2:$E$501,$K$7516)&amp;"")),"{date_effet}",$K$7518),"{hausse}",$K$7519),"{civilite}",$K$7517)</f>
        <v>Nous tenons tout d'abord à vous remercier pour la confiance que vous accordez à ALTHO EXPERTISE. Comme chaque année, et conformément aux dispositions de votre lettre de mission, nous procédons à la révision de nos honoraires.</v>
      </c>
      <c r="C7537" s="37"/>
      <c r="D7537" s="37"/>
      <c r="E7537" s="37"/>
      <c r="F7537" s="37"/>
      <c r="J7537" s="25"/>
      <c r="K7537" s="25"/>
      <c r="L7537" s="25"/>
      <c r="M7537" s="25"/>
      <c r="N7537" s="25"/>
      <c r="O7537" s="25"/>
    </row>
    <row r="7538" customFormat="false" ht="49.5" hidden="false" customHeight="true" outlineLevel="0" collapsed="false">
      <c r="B7538" s="37" t="str">
        <f aca="false">SUBSTITUTE(SUBSTITUTE(SUBSTITUTE(SUBSTITUTE(SUBSTITUTE(Txt_P2,"{cabinet}",Cab_Nom),"{societe}",IF($K$7516=0,"",INDEX(Clients!$E$2:$E$501,$K$7516)&amp;"")),"{date_effet}",$K$7518),"{hausse}",$K$7519),"{civilite}",$K$7517)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538" s="37"/>
      <c r="D7538" s="37"/>
      <c r="E7538" s="37"/>
      <c r="F7538" s="37"/>
      <c r="J7538" s="25"/>
      <c r="K7538" s="25"/>
      <c r="L7538" s="25"/>
      <c r="M7538" s="25"/>
      <c r="N7538" s="25"/>
      <c r="O7538" s="25"/>
    </row>
    <row r="7539" customFormat="false" ht="63" hidden="false" customHeight="true" outlineLevel="0" collapsed="false">
      <c r="B7539" s="37" t="str">
        <f aca="false">SUBSTITUTE(SUBSTITUTE(SUBSTITUTE(SUBSTITUTE(SUBSTITUTE(Txt_P3,"{cabinet}",Cab_Nom),"{societe}",IF($K$7516=0,"",INDEX(Clients!$E$2:$E$501,$K$7516)&amp;"")),"{date_effet}",$K$7518),"{hausse}",$K$7519),"{civilite}",$K$7517)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539" s="37"/>
      <c r="D7539" s="37"/>
      <c r="E7539" s="37"/>
      <c r="F7539" s="37"/>
      <c r="J7539" s="25"/>
      <c r="K7539" s="25"/>
      <c r="L7539" s="25"/>
      <c r="M7539" s="25"/>
      <c r="N7539" s="25"/>
      <c r="O7539" s="25"/>
    </row>
    <row r="7540" customFormat="false" ht="24" hidden="false" customHeight="true" outlineLevel="0" collapsed="false">
      <c r="B7540" s="37" t="str">
        <f aca="false">SUBSTITUTE(SUBSTITUTE(SUBSTITUTE(SUBSTITUTE(SUBSTITUTE(Txt_P4,"{cabinet}",Cab_Nom),"{societe}",IF($K$7516=0,"",INDEX(Clients!$E$2:$E$501,$K$7516)&amp;"")),"{date_effet}",$K$7518),"{hausse}",$K$7519),"{civilite}",$K$7517)</f>
        <v>À compter du 1er janvier 2027, vos honoraires annuels hors taxes évolueront ainsi (évolution globale : ) :</v>
      </c>
      <c r="C7540" s="37"/>
      <c r="D7540" s="37"/>
      <c r="E7540" s="37"/>
      <c r="F7540" s="37"/>
      <c r="J7540" s="25"/>
      <c r="K7540" s="25"/>
      <c r="L7540" s="25"/>
      <c r="M7540" s="25"/>
      <c r="N7540" s="25"/>
      <c r="O7540" s="25"/>
    </row>
    <row r="7541" customFormat="false" ht="3.75" hidden="false" customHeight="true" outlineLevel="0" collapsed="false">
      <c r="B7541" s="10"/>
      <c r="C7541" s="10"/>
      <c r="D7541" s="10"/>
      <c r="E7541" s="10"/>
      <c r="F7541" s="10"/>
      <c r="J7541" s="25"/>
      <c r="K7541" s="25"/>
      <c r="L7541" s="25"/>
      <c r="M7541" s="25"/>
      <c r="N7541" s="25"/>
      <c r="O7541" s="25"/>
    </row>
    <row r="7542" customFormat="false" ht="18" hidden="false" customHeight="true" outlineLevel="0" collapsed="false">
      <c r="B7542" s="38" t="s">
        <v>148</v>
      </c>
      <c r="C7542" s="39" t="s">
        <v>149</v>
      </c>
      <c r="D7542" s="39" t="s">
        <v>150</v>
      </c>
      <c r="E7542" s="39" t="s">
        <v>151</v>
      </c>
      <c r="F7542" s="39" t="s">
        <v>109</v>
      </c>
      <c r="J7542" s="25" t="s">
        <v>152</v>
      </c>
      <c r="K7542" s="25" t="s">
        <v>153</v>
      </c>
      <c r="L7542" s="25" t="s">
        <v>154</v>
      </c>
      <c r="M7542" s="25" t="s">
        <v>155</v>
      </c>
      <c r="N7542" s="25" t="s">
        <v>156</v>
      </c>
      <c r="O7542" s="25" t="s">
        <v>157</v>
      </c>
    </row>
    <row r="7543" customFormat="false" ht="16.5" hidden="false" customHeight="true" outlineLevel="0" collapsed="false">
      <c r="B7543" s="40" t="str">
        <f aca="false">IFERROR(INDEX($J$7543:$J$7546,MATCH($O7543,$N$7543:$N$7546,0)),"")</f>
        <v/>
      </c>
      <c r="C7543" s="41" t="str">
        <f aca="false">IFERROR(INDEX($K$7543:$K$7546,MATCH($O7543,$N$7543:$N$7546,0)),"")</f>
        <v/>
      </c>
      <c r="D7543" s="42" t="str">
        <f aca="false">IF(OR(E7543="",N(C7543)=0),"",E7543/C7543-1)</f>
        <v/>
      </c>
      <c r="E7543" s="41" t="str">
        <f aca="false">IFERROR(INDEX($L$7543:$L$7546,MATCH($O7543,$N$7543:$N$7546,0)),"")</f>
        <v/>
      </c>
      <c r="F7543" s="41" t="str">
        <f aca="false">IF(E7543="","",E7543-C7543)</f>
        <v/>
      </c>
      <c r="J7543" s="25" t="str">
        <f aca="false">Lib_Compta</f>
        <v>Mission comptable (tenue, révision, bilan, liasse fiscale)</v>
      </c>
      <c r="K7543" s="25" t="n">
        <f aca="false">IF($K$7516=0,0,N(INDEX(Clients!$K$2:$K$501,$K$7516)))</f>
        <v>0</v>
      </c>
      <c r="L7543" s="25" t="n">
        <f aca="false">IF($K$7516=0,0,N(INDEX(Clients!$P$2:$P$501,$K$7516)))</f>
        <v>0</v>
      </c>
      <c r="M7543" s="25" t="n">
        <f aca="false">IF(OR(K7543&lt;&gt;0,L7543&lt;&gt;0),1,0)</f>
        <v>0</v>
      </c>
      <c r="N7543" s="25" t="str">
        <f aca="false">IF(M7543=1,SUM($M$7543:M7543),"")</f>
        <v/>
      </c>
      <c r="O7543" s="25" t="n">
        <v>1</v>
      </c>
    </row>
    <row r="7544" customFormat="false" ht="16.5" hidden="false" customHeight="true" outlineLevel="0" collapsed="false">
      <c r="B7544" s="40" t="str">
        <f aca="false">IFERROR(INDEX($J$7543:$J$7546,MATCH($O7544,$N$7543:$N$7546,0)),"")</f>
        <v/>
      </c>
      <c r="C7544" s="41" t="str">
        <f aca="false">IFERROR(INDEX($K$7543:$K$7546,MATCH($O7544,$N$7543:$N$7546,0)),"")</f>
        <v/>
      </c>
      <c r="D7544" s="42" t="str">
        <f aca="false">IF(OR(E7544="",N(C7544)=0),"",E7544/C7544-1)</f>
        <v/>
      </c>
      <c r="E7544" s="41" t="str">
        <f aca="false">IFERROR(INDEX($L$7543:$L$7546,MATCH($O7544,$N$7543:$N$7546,0)),"")</f>
        <v/>
      </c>
      <c r="F7544" s="41" t="str">
        <f aca="false">IF(E7544="","",E7544-C7544)</f>
        <v/>
      </c>
      <c r="J7544" s="25" t="str">
        <f aca="false">Lib_Paye</f>
        <v>Mission sociale (bulletins de paie, DSN, déclarations sociales)</v>
      </c>
      <c r="K7544" s="25" t="n">
        <f aca="false">IF($K$7516=0,0,N(INDEX(Clients!$L$2:$L$501,$K$7516)))</f>
        <v>0</v>
      </c>
      <c r="L7544" s="25" t="n">
        <f aca="false">IF($K$7516=0,0,N(INDEX(Clients!$Q$2:$Q$501,$K$7516)))</f>
        <v>0</v>
      </c>
      <c r="M7544" s="25" t="n">
        <f aca="false">IF(OR(K7544&lt;&gt;0,L7544&lt;&gt;0),1,0)</f>
        <v>0</v>
      </c>
      <c r="N7544" s="25" t="str">
        <f aca="false">IF(M7544=1,SUM($M$7543:M7544),"")</f>
        <v/>
      </c>
      <c r="O7544" s="25" t="n">
        <v>2</v>
      </c>
    </row>
    <row r="7545" customFormat="false" ht="16.5" hidden="false" customHeight="true" outlineLevel="0" collapsed="false">
      <c r="B7545" s="40" t="str">
        <f aca="false">IFERROR(INDEX($J$7543:$J$7546,MATCH($O7545,$N$7543:$N$7546,0)),"")</f>
        <v/>
      </c>
      <c r="C7545" s="41" t="str">
        <f aca="false">IFERROR(INDEX($K$7543:$K$7546,MATCH($O7545,$N$7543:$N$7546,0)),"")</f>
        <v/>
      </c>
      <c r="D7545" s="42" t="str">
        <f aca="false">IF(OR(E7545="",N(C7545)=0),"",E7545/C7545-1)</f>
        <v/>
      </c>
      <c r="E7545" s="41" t="str">
        <f aca="false">IFERROR(INDEX($L$7543:$L$7546,MATCH($O7545,$N$7543:$N$7546,0)),"")</f>
        <v/>
      </c>
      <c r="F7545" s="41" t="str">
        <f aca="false">IF(E7545="","",E7545-C7545)</f>
        <v/>
      </c>
      <c r="J7545" s="25" t="str">
        <f aca="false">Lib_Jur</f>
        <v>Mission juridique (approbation des comptes, secrétariat juridique)</v>
      </c>
      <c r="K7545" s="25" t="n">
        <f aca="false">IF($K$7516=0,0,N(INDEX(Clients!$M$2:$M$501,$K$7516)))</f>
        <v>0</v>
      </c>
      <c r="L7545" s="25" t="n">
        <f aca="false">IF($K$7516=0,0,N(INDEX(Clients!$R$2:$R$501,$K$7516)))</f>
        <v>0</v>
      </c>
      <c r="M7545" s="25" t="n">
        <f aca="false">IF(OR(K7545&lt;&gt;0,L7545&lt;&gt;0),1,0)</f>
        <v>0</v>
      </c>
      <c r="N7545" s="25" t="str">
        <f aca="false">IF(M7545=1,SUM($M$7543:M7545),"")</f>
        <v/>
      </c>
      <c r="O7545" s="25" t="n">
        <v>3</v>
      </c>
    </row>
    <row r="7546" customFormat="false" ht="16.5" hidden="false" customHeight="true" outlineLevel="0" collapsed="false">
      <c r="B7546" s="40" t="str">
        <f aca="false">IFERROR(INDEX($J$7543:$J$7546,MATCH($O7546,$N$7543:$N$7546,0)),"")</f>
        <v/>
      </c>
      <c r="C7546" s="41" t="str">
        <f aca="false">IFERROR(INDEX($K$7543:$K$7546,MATCH($O7546,$N$7543:$N$7546,0)),"")</f>
        <v/>
      </c>
      <c r="D7546" s="42" t="str">
        <f aca="false">IF(OR(E7546="",N(C7546)=0),"",E7546/C7546-1)</f>
        <v/>
      </c>
      <c r="E7546" s="41" t="str">
        <f aca="false">IFERROR(INDEX($L$7543:$L$7546,MATCH($O7546,$N$7543:$N$7546,0)),"")</f>
        <v/>
      </c>
      <c r="F7546" s="41" t="str">
        <f aca="false">IF(E7546="","",E7546-C7546)</f>
        <v/>
      </c>
      <c r="J7546" s="25" t="str">
        <f aca="false">Lib_PA</f>
        <v>Plateforme agréée – facturation électronique</v>
      </c>
      <c r="K7546" s="25" t="n">
        <f aca="false">IF($K$7516=0,0,N(INDEX(Clients!$N$2:$N$501,$K$7516)))</f>
        <v>0</v>
      </c>
      <c r="L7546" s="25" t="n">
        <f aca="false">IF($K$7516=0,0,N(INDEX(Clients!$S$2:$S$501,$K$7516)))</f>
        <v>0</v>
      </c>
      <c r="M7546" s="25" t="n">
        <f aca="false">IF(OR(K7546&lt;&gt;0,L7546&lt;&gt;0),1,0)</f>
        <v>0</v>
      </c>
      <c r="N7546" s="25" t="str">
        <f aca="false">IF(M7546=1,SUM($M$7543:M7546),"")</f>
        <v/>
      </c>
      <c r="O7546" s="25" t="n">
        <v>4</v>
      </c>
    </row>
    <row r="7547" customFormat="false" ht="18" hidden="false" customHeight="true" outlineLevel="0" collapsed="false">
      <c r="B7547" s="43" t="s">
        <v>158</v>
      </c>
      <c r="C7547" s="44" t="n">
        <f aca="false">SUM(K7543:K7546)</f>
        <v>0</v>
      </c>
      <c r="D7547" s="45" t="str">
        <f aca="false">IF(N(C7547)=0,"",E7547/C7547-1)</f>
        <v/>
      </c>
      <c r="E7547" s="44" t="n">
        <f aca="false">SUM(L7543:L7546)</f>
        <v>0</v>
      </c>
      <c r="F7547" s="44" t="n">
        <f aca="false">E7547-C7547</f>
        <v>0</v>
      </c>
    </row>
    <row r="7548" customFormat="false" ht="15" hidden="false" customHeight="false" outlineLevel="0" collapsed="false">
      <c r="B7548" s="46" t="str">
        <f aca="false">IF(N(Nb_Mensualites)=0,"","Soit "&amp;FIXED(E7547/Nb_Mensualites,2)&amp;" € HT par échéance ("&amp;Nb_Mensualites&amp;" échéances), "&amp;FIXED(E7547/Nb_Mensualites*(1+Taux_TVA),2)&amp;" € TTC.")</f>
        <v>Soit 0.00 € HT par échéance (12 échéances), 0.00 € TTC.</v>
      </c>
      <c r="C7548" s="46"/>
      <c r="D7548" s="46"/>
      <c r="E7548" s="46"/>
      <c r="F7548" s="46"/>
    </row>
    <row r="7549" customFormat="false" ht="7.5" hidden="false" customHeight="true" outlineLevel="0" collapsed="false">
      <c r="B7549" s="10"/>
      <c r="C7549" s="10"/>
      <c r="D7549" s="10"/>
      <c r="E7549" s="10"/>
      <c r="F7549" s="10"/>
    </row>
    <row r="7550" customFormat="false" ht="36.75" hidden="false" customHeight="true" outlineLevel="0" collapsed="false">
      <c r="B7550" s="37" t="str">
        <f aca="false">SUBSTITUTE(SUBSTITUTE(SUBSTITUTE(SUBSTITUTE(SUBSTITUTE(Txt_P5,"{cabinet}",Cab_Nom),"{societe}",IF($K$7516=0,"",INDEX(Clients!$E$2:$E$501,$K$7516)&amp;"")),"{date_effet}",$K$7518),"{hausse}",$K$7519),"{civilite}",$K$7517)</f>
        <v>Les autres conditions de votre lettre de mission demeurent inchangées. Les nouveaux montants seront appliqués automatiquement sur vos prochaines factures et échéances de prélèvement.</v>
      </c>
      <c r="C7550" s="37"/>
      <c r="D7550" s="37"/>
      <c r="E7550" s="37"/>
      <c r="F7550" s="37"/>
    </row>
    <row r="7551" customFormat="false" ht="36.75" hidden="false" customHeight="true" outlineLevel="0" collapsed="false">
      <c r="B7551" s="37" t="str">
        <f aca="false">SUBSTITUTE(SUBSTITUTE(SUBSTITUTE(SUBSTITUTE(SUBSTITUTE(Txt_P6,"{cabinet}",Cab_Nom),"{societe}",IF($K$7516=0,"",INDEX(Clients!$E$2:$E$501,$K$7516)&amp;"")),"{date_effet}",$K$7518),"{hausse}",$K$7519),"{civilite}",$K$7517)</f>
        <v>Votre interlocuteur habituel reste à votre entière disposition pour répondre à vos questions et faire le point sur l'évolution de vos besoins.</v>
      </c>
      <c r="C7551" s="37"/>
      <c r="D7551" s="37"/>
      <c r="E7551" s="37"/>
      <c r="F7551" s="37"/>
    </row>
    <row r="7552" customFormat="false" ht="24" hidden="false" customHeight="true" outlineLevel="0" collapsed="false">
      <c r="B7552" s="37" t="str">
        <f aca="false">SUBSTITUTE(SUBSTITUTE(SUBSTITUTE(SUBSTITUTE(SUBSTITUTE(Txt_Politesse,"{cabinet}",Cab_Nom),"{societe}",IF($K$7516=0,"",INDEX(Clients!$E$2:$E$501,$K$7516)&amp;"")),"{date_effet}",$K$7518),"{hausse}",$K$7519),"{civilite}",$K$7517)</f>
        <v>Nous vous prions d'agréer, Madame, Monsieur, l'expression de nos salutations distinguées.</v>
      </c>
      <c r="C7552" s="37"/>
      <c r="D7552" s="37"/>
      <c r="E7552" s="37"/>
      <c r="F7552" s="37"/>
    </row>
    <row r="7553" customFormat="false" ht="15" hidden="false" customHeight="false" outlineLevel="0" collapsed="false">
      <c r="B7553" s="10"/>
      <c r="C7553" s="10"/>
      <c r="D7553" s="10"/>
      <c r="E7553" s="10"/>
      <c r="F7553" s="10"/>
    </row>
    <row r="7554" customFormat="false" ht="15" hidden="false" customHeight="false" outlineLevel="0" collapsed="false">
      <c r="B7554" s="10"/>
      <c r="C7554" s="10"/>
      <c r="D7554" s="34" t="str">
        <f aca="false">Signataire</f>
        <v>Prénom NOM</v>
      </c>
      <c r="E7554" s="34"/>
      <c r="F7554" s="34"/>
    </row>
    <row r="7555" customFormat="false" ht="15" hidden="false" customHeight="false" outlineLevel="0" collapsed="false">
      <c r="B7555" s="10"/>
      <c r="C7555" s="10"/>
      <c r="D7555" s="47" t="str">
        <f aca="false">Signataire_Titre</f>
        <v>Expert-comptable associé</v>
      </c>
      <c r="E7555" s="47"/>
      <c r="F7555" s="47"/>
    </row>
    <row r="7556" customFormat="false" ht="15.75" hidden="false" customHeight="true" outlineLevel="0" collapsed="false">
      <c r="B7556" s="10"/>
      <c r="C7556" s="10"/>
      <c r="D7556" s="10"/>
      <c r="E7556" s="10"/>
      <c r="F7556" s="10"/>
    </row>
    <row r="7557" customFormat="false" ht="15.75" hidden="false" customHeight="true" outlineLevel="0" collapsed="false">
      <c r="B7557" s="10"/>
      <c r="C7557" s="10"/>
      <c r="D7557" s="10"/>
      <c r="E7557" s="10"/>
      <c r="F7557" s="10"/>
    </row>
    <row r="7558" customFormat="false" ht="15.75" hidden="false" customHeight="true" outlineLevel="0" collapsed="false">
      <c r="B7558" s="10"/>
      <c r="C7558" s="10"/>
      <c r="D7558" s="10"/>
      <c r="E7558" s="10"/>
      <c r="F7558" s="10"/>
    </row>
    <row r="7559" customFormat="false" ht="15.75" hidden="false" customHeight="true" outlineLevel="0" collapsed="false">
      <c r="B7559" s="10"/>
      <c r="C7559" s="10"/>
      <c r="D7559" s="10"/>
      <c r="E7559" s="10"/>
      <c r="F7559" s="10"/>
    </row>
    <row r="7560" customFormat="false" ht="24" hidden="false" customHeight="true" outlineLevel="0" collapsed="false">
      <c r="B7560" s="48" t="str">
        <f aca="false">Cab_Mentions</f>
        <v>ALTHO EXPERTISE · SAS au capital de 10 000 € · RCS Pontoise 919 706 325 · TVA FR62919706325 · Société d'expertise comptable inscrite au Tableau de l'Ordre des experts-comptables de Paris Île-de-France</v>
      </c>
      <c r="C7560" s="48"/>
      <c r="D7560" s="48"/>
      <c r="E7560" s="48"/>
      <c r="F7560" s="48"/>
    </row>
    <row r="7561" customFormat="false" ht="15" hidden="false" customHeight="false" outlineLevel="0" collapsed="false">
      <c r="B7561" s="10"/>
      <c r="C7561" s="10"/>
      <c r="D7561" s="10"/>
      <c r="E7561" s="10"/>
      <c r="F7561" s="10"/>
      <c r="J7561" s="25" t="s">
        <v>142</v>
      </c>
      <c r="K7561" s="25" t="n">
        <f aca="false">IFERROR(MATCH(169,Clients!$Z$2:$Z$501,0),0)</f>
        <v>0</v>
      </c>
      <c r="L7561" s="25"/>
      <c r="M7561" s="25"/>
      <c r="N7561" s="25"/>
      <c r="O7561" s="25"/>
    </row>
    <row r="7562" customFormat="false" ht="21.75" hidden="false" customHeight="true" outlineLevel="0" collapsed="false">
      <c r="B7562" s="26" t="str">
        <f aca="false">Cab_Nom</f>
        <v>ALTHO EXPERTISE</v>
      </c>
      <c r="C7562" s="26"/>
      <c r="D7562" s="10"/>
      <c r="E7562" s="27" t="str">
        <f aca="false">IF($K$7561=0,"","Réf. client : "&amp;INDEX(Clients!$A$2:$A$501,$K$7561))</f>
        <v/>
      </c>
      <c r="F7562" s="27"/>
      <c r="J7562" s="25" t="s">
        <v>144</v>
      </c>
      <c r="K7562" s="25" t="str">
        <f aca="false">IF(IF($K$7561=0,"",INDEX(Clients!$B$2:$B$501,$K$7561)&amp;"")="Mme","Madame",IF(IF($K$7561=0,"",INDEX(Clients!$B$2:$B$501,$K$7561)&amp;"")="M.","Monsieur","Madame, Monsieur"))</f>
        <v>Madame, Monsieur</v>
      </c>
      <c r="L7562" s="25"/>
      <c r="M7562" s="25"/>
      <c r="N7562" s="25"/>
      <c r="O7562" s="25"/>
    </row>
    <row r="7563" customFormat="false" ht="15" hidden="false" customHeight="false" outlineLevel="0" collapsed="false">
      <c r="B7563" s="29" t="str">
        <f aca="false">Cab_Adr1</f>
        <v>141 rue Charles de Gaulle</v>
      </c>
      <c r="C7563" s="29"/>
      <c r="D7563" s="10"/>
      <c r="E7563" s="10"/>
      <c r="F7563" s="10"/>
      <c r="J7563" s="25" t="s">
        <v>145</v>
      </c>
      <c r="K7563" s="25" t="str">
        <f aca="false">DAY(Date_Effet)&amp;IF(DAY(Date_Effet)=1,"er","")&amp;" "&amp;INDEX(Liste_Mois,MONTH(Date_Effet))&amp;" "&amp;YEAR(Date_Effet)</f>
        <v>1er janvier 2027</v>
      </c>
      <c r="L7563" s="25"/>
      <c r="M7563" s="25"/>
      <c r="N7563" s="25"/>
      <c r="O7563" s="25"/>
    </row>
    <row r="7564" customFormat="false" ht="15" hidden="false" customHeight="false" outlineLevel="0" collapsed="false">
      <c r="B7564" s="29" t="str">
        <f aca="false">Cab_CPVille</f>
        <v>95130 LE PLESSIS-BOUCHARD</v>
      </c>
      <c r="C7564" s="29"/>
      <c r="D7564" s="10"/>
      <c r="E7564" s="10"/>
      <c r="F7564" s="10"/>
      <c r="J7564" s="25" t="s">
        <v>146</v>
      </c>
      <c r="K7564" s="25" t="str">
        <f aca="false">IF(SUM($K$7588:$K$7591)=0,"",FIXED((SUM($L$7588:$L$7591)/SUM($K$7588:$K$7591)-1)*100,1)&amp;" %")</f>
        <v/>
      </c>
      <c r="L7564" s="25"/>
      <c r="M7564" s="25"/>
      <c r="N7564" s="25"/>
      <c r="O7564" s="25"/>
    </row>
    <row r="7565" customFormat="false" ht="15" hidden="false" customHeight="false" outlineLevel="0" collapsed="false">
      <c r="B7565" s="29" t="str">
        <f aca="false">Cab_Contact</f>
        <v>Tél. 01 34 14 53 45  ·  altho@altho-experts.com  ·  altho-experts.com</v>
      </c>
      <c r="C7565" s="29"/>
      <c r="D7565" s="10"/>
      <c r="E7565" s="10"/>
      <c r="F7565" s="10"/>
      <c r="J7565" s="25"/>
      <c r="K7565" s="25"/>
      <c r="L7565" s="25"/>
      <c r="M7565" s="25"/>
      <c r="N7565" s="25"/>
      <c r="O7565" s="25"/>
    </row>
    <row r="7566" customFormat="false" ht="6" hidden="false" customHeight="true" outlineLevel="0" collapsed="false">
      <c r="B7566" s="32"/>
      <c r="C7566" s="32"/>
      <c r="D7566" s="32"/>
      <c r="E7566" s="32"/>
      <c r="F7566" s="32"/>
      <c r="J7566" s="25"/>
      <c r="K7566" s="25"/>
      <c r="L7566" s="25"/>
      <c r="M7566" s="25"/>
      <c r="N7566" s="25"/>
      <c r="O7566" s="25"/>
    </row>
    <row r="7567" customFormat="false" ht="13.5" hidden="false" customHeight="true" outlineLevel="0" collapsed="false">
      <c r="B7567" s="10"/>
      <c r="C7567" s="10"/>
      <c r="D7567" s="10"/>
      <c r="E7567" s="10"/>
      <c r="F7567" s="10"/>
      <c r="J7567" s="25"/>
      <c r="K7567" s="25"/>
      <c r="L7567" s="25"/>
      <c r="M7567" s="25"/>
      <c r="N7567" s="25"/>
      <c r="O7567" s="25"/>
    </row>
    <row r="7568" customFormat="false" ht="13.5" hidden="false" customHeight="true" outlineLevel="0" collapsed="false">
      <c r="B7568" s="10"/>
      <c r="C7568" s="10"/>
      <c r="D7568" s="10"/>
      <c r="E7568" s="10"/>
      <c r="F7568" s="10"/>
      <c r="J7568" s="25"/>
      <c r="K7568" s="25"/>
      <c r="L7568" s="25"/>
      <c r="M7568" s="25"/>
      <c r="N7568" s="25"/>
      <c r="O7568" s="25"/>
    </row>
    <row r="7569" customFormat="false" ht="13.5" hidden="false" customHeight="true" outlineLevel="0" collapsed="false">
      <c r="B7569" s="10"/>
      <c r="C7569" s="10"/>
      <c r="D7569" s="10"/>
      <c r="E7569" s="10"/>
      <c r="F7569" s="10"/>
      <c r="J7569" s="25"/>
      <c r="K7569" s="25"/>
      <c r="L7569" s="25"/>
      <c r="M7569" s="25"/>
      <c r="N7569" s="25"/>
      <c r="O7569" s="25"/>
    </row>
    <row r="7570" customFormat="false" ht="15" hidden="false" customHeight="true" outlineLevel="0" collapsed="false">
      <c r="B7570" s="10"/>
      <c r="C7570" s="10"/>
      <c r="D7570" s="34" t="str">
        <f aca="false">IF($K$7561=0,"",INDEX(Clients!$E$2:$E$501,$K$7561)&amp;"")</f>
        <v/>
      </c>
      <c r="E7570" s="34"/>
      <c r="F7570" s="34"/>
      <c r="J7570" s="25"/>
      <c r="K7570" s="25"/>
      <c r="L7570" s="25"/>
      <c r="M7570" s="25"/>
      <c r="N7570" s="25"/>
      <c r="O7570" s="25"/>
    </row>
    <row r="7571" customFormat="false" ht="15" hidden="false" customHeight="true" outlineLevel="0" collapsed="false">
      <c r="B7571" s="10"/>
      <c r="C7571" s="10"/>
      <c r="D7571" s="35" t="str">
        <f aca="false">IF(IF($K$7561=0,"",INDEX(Clients!$D$2:$D$501,$K$7561)&amp;"")="","","À l'attention de "&amp;TRIM(IF($K$7561=0,"",INDEX(Clients!$B$2:$B$501,$K$7561)&amp;"")&amp;" "&amp;IF($K$7561=0,"",INDEX(Clients!$C$2:$C$501,$K$7561)&amp;"")&amp;" "&amp;IF($K$7561=0,"",INDEX(Clients!$D$2:$D$501,$K$7561)&amp;"")))</f>
        <v/>
      </c>
      <c r="E7571" s="35"/>
      <c r="F7571" s="35"/>
      <c r="J7571" s="25"/>
      <c r="K7571" s="25"/>
      <c r="L7571" s="25"/>
      <c r="M7571" s="25"/>
      <c r="N7571" s="25"/>
      <c r="O7571" s="25"/>
    </row>
    <row r="7572" customFormat="false" ht="15" hidden="false" customHeight="true" outlineLevel="0" collapsed="false">
      <c r="B7572" s="10"/>
      <c r="C7572" s="10"/>
      <c r="D7572" s="35" t="str">
        <f aca="false">IF($K$7561=0,"",INDEX(Clients!$F$2:$F$501,$K$7561)&amp;"")</f>
        <v/>
      </c>
      <c r="E7572" s="35"/>
      <c r="F7572" s="35"/>
      <c r="J7572" s="25"/>
      <c r="K7572" s="25"/>
      <c r="L7572" s="25"/>
      <c r="M7572" s="25"/>
      <c r="N7572" s="25"/>
      <c r="O7572" s="25"/>
    </row>
    <row r="7573" customFormat="false" ht="15" hidden="false" customHeight="true" outlineLevel="0" collapsed="false">
      <c r="B7573" s="10"/>
      <c r="C7573" s="10"/>
      <c r="D7573" s="35" t="str">
        <f aca="false">IF(IF($K$7561=0,"",INDEX(Clients!$G$2:$G$501,$K$7561)&amp;"")="",TRIM(IF($K$7561=0,"",INDEX(Clients!$H$2:$H$501,$K$7561)&amp;"")&amp;" "&amp;UPPER(IF($K$7561=0,"",INDEX(Clients!$I$2:$I$501,$K$7561)&amp;""))),IF($K$7561=0,"",INDEX(Clients!$G$2:$G$501,$K$7561)&amp;""))</f>
        <v/>
      </c>
      <c r="E7573" s="35"/>
      <c r="F7573" s="35"/>
      <c r="J7573" s="25"/>
      <c r="K7573" s="25"/>
      <c r="L7573" s="25"/>
      <c r="M7573" s="25"/>
      <c r="N7573" s="25"/>
      <c r="O7573" s="25"/>
    </row>
    <row r="7574" customFormat="false" ht="15" hidden="false" customHeight="true" outlineLevel="0" collapsed="false">
      <c r="B7574" s="10"/>
      <c r="C7574" s="10"/>
      <c r="D7574" s="35" t="str">
        <f aca="false">IF(IF($K$7561=0,"",INDEX(Clients!$G$2:$G$501,$K$7561)&amp;"")="","",TRIM(IF($K$7561=0,"",INDEX(Clients!$H$2:$H$501,$K$7561)&amp;"")&amp;" "&amp;UPPER(IF($K$7561=0,"",INDEX(Clients!$I$2:$I$501,$K$7561)&amp;""))))</f>
        <v/>
      </c>
      <c r="E7574" s="35"/>
      <c r="F7574" s="35"/>
      <c r="J7574" s="25"/>
      <c r="K7574" s="25"/>
      <c r="L7574" s="25"/>
      <c r="M7574" s="25"/>
      <c r="N7574" s="25"/>
      <c r="O7574" s="25"/>
    </row>
    <row r="7575" customFormat="false" ht="25.5" hidden="false" customHeight="true" outlineLevel="0" collapsed="false">
      <c r="B7575" s="10"/>
      <c r="C7575" s="10"/>
      <c r="D7575" s="10"/>
      <c r="E7575" s="10"/>
      <c r="F7575" s="10"/>
      <c r="J7575" s="25"/>
      <c r="K7575" s="25"/>
      <c r="L7575" s="25"/>
      <c r="M7575" s="25"/>
      <c r="N7575" s="25"/>
      <c r="O7575" s="25"/>
    </row>
    <row r="7576" customFormat="false" ht="15" hidden="false" customHeight="false" outlineLevel="0" collapsed="false">
      <c r="B7576" s="10"/>
      <c r="C7576" s="10"/>
      <c r="D7576" s="36" t="str">
        <f aca="false">Cab_Ville&amp;", le "&amp;DAY(Date_Courrier)&amp;IF(DAY(Date_Courrier)=1,"er","")&amp;" "&amp;INDEX(Liste_Mois,MONTH(Date_Courrier))&amp;" "&amp;YEAR(Date_Courrier)</f>
        <v>Le Plessis-Bouchard, le 22 septembre 2026</v>
      </c>
      <c r="E7576" s="36"/>
      <c r="F7576" s="36"/>
      <c r="J7576" s="25"/>
      <c r="K7576" s="25"/>
      <c r="L7576" s="25"/>
      <c r="M7576" s="25"/>
      <c r="N7576" s="25"/>
      <c r="O7576" s="25"/>
    </row>
    <row r="7577" customFormat="false" ht="19.5" hidden="false" customHeight="true" outlineLevel="0" collapsed="false">
      <c r="B7577" s="10"/>
      <c r="C7577" s="10"/>
      <c r="D7577" s="10"/>
      <c r="E7577" s="10"/>
      <c r="F7577" s="10"/>
      <c r="J7577" s="25"/>
      <c r="K7577" s="25"/>
      <c r="L7577" s="25"/>
      <c r="M7577" s="25"/>
      <c r="N7577" s="25"/>
      <c r="O7577" s="25"/>
    </row>
    <row r="7578" customFormat="false" ht="15" hidden="false" customHeight="false" outlineLevel="0" collapsed="false">
      <c r="B7578" s="34" t="str">
        <f aca="false">SUBSTITUTE(SUBSTITUTE(SUBSTITUTE(SUBSTITUTE(SUBSTITUTE(Txt_Objet,"{cabinet}",Cab_Nom),"{societe}",IF($K$7561=0,"",INDEX(Clients!$E$2:$E$501,$K$7561)&amp;"")),"{date_effet}",$K$7563),"{hausse}",$K$7564),"{civilite}",$K$7562)</f>
        <v>Objet : révision de nos honoraires au 1er janvier 2027</v>
      </c>
      <c r="C7578" s="34"/>
      <c r="D7578" s="34"/>
      <c r="E7578" s="34"/>
      <c r="F7578" s="34"/>
      <c r="J7578" s="25"/>
      <c r="K7578" s="25"/>
      <c r="L7578" s="25"/>
      <c r="M7578" s="25"/>
      <c r="N7578" s="25"/>
      <c r="O7578" s="25"/>
    </row>
    <row r="7579" customFormat="false" ht="13.5" hidden="false" customHeight="true" outlineLevel="0" collapsed="false">
      <c r="B7579" s="10"/>
      <c r="C7579" s="10"/>
      <c r="D7579" s="10"/>
      <c r="E7579" s="10"/>
      <c r="F7579" s="10"/>
      <c r="J7579" s="25"/>
      <c r="K7579" s="25"/>
      <c r="L7579" s="25"/>
      <c r="M7579" s="25"/>
      <c r="N7579" s="25"/>
      <c r="O7579" s="25"/>
    </row>
    <row r="7580" customFormat="false" ht="15" hidden="false" customHeight="false" outlineLevel="0" collapsed="false">
      <c r="B7580" s="10" t="str">
        <f aca="false">$K$7562&amp;","</f>
        <v>Madame, Monsieur,</v>
      </c>
      <c r="C7580" s="10"/>
      <c r="D7580" s="10"/>
      <c r="E7580" s="10"/>
      <c r="F7580" s="10"/>
      <c r="J7580" s="25"/>
      <c r="K7580" s="25"/>
      <c r="L7580" s="25"/>
      <c r="M7580" s="25"/>
      <c r="N7580" s="25"/>
      <c r="O7580" s="25"/>
    </row>
    <row r="7581" customFormat="false" ht="6" hidden="false" customHeight="true" outlineLevel="0" collapsed="false">
      <c r="B7581" s="10"/>
      <c r="C7581" s="10"/>
      <c r="D7581" s="10"/>
      <c r="E7581" s="10"/>
      <c r="F7581" s="10"/>
      <c r="J7581" s="25"/>
      <c r="K7581" s="25"/>
      <c r="L7581" s="25"/>
      <c r="M7581" s="25"/>
      <c r="N7581" s="25"/>
      <c r="O7581" s="25"/>
    </row>
    <row r="7582" customFormat="false" ht="36.75" hidden="false" customHeight="true" outlineLevel="0" collapsed="false">
      <c r="B7582" s="37" t="str">
        <f aca="false">SUBSTITUTE(SUBSTITUTE(SUBSTITUTE(SUBSTITUTE(SUBSTITUTE(Txt_P1,"{cabinet}",Cab_Nom),"{societe}",IF($K$7561=0,"",INDEX(Clients!$E$2:$E$501,$K$7561)&amp;"")),"{date_effet}",$K$7563),"{hausse}",$K$7564),"{civilite}",$K$7562)</f>
        <v>Nous tenons tout d'abord à vous remercier pour la confiance que vous accordez à ALTHO EXPERTISE. Comme chaque année, et conformément aux dispositions de votre lettre de mission, nous procédons à la révision de nos honoraires.</v>
      </c>
      <c r="C7582" s="37"/>
      <c r="D7582" s="37"/>
      <c r="E7582" s="37"/>
      <c r="F7582" s="37"/>
      <c r="J7582" s="25"/>
      <c r="K7582" s="25"/>
      <c r="L7582" s="25"/>
      <c r="M7582" s="25"/>
      <c r="N7582" s="25"/>
      <c r="O7582" s="25"/>
    </row>
    <row r="7583" customFormat="false" ht="49.5" hidden="false" customHeight="true" outlineLevel="0" collapsed="false">
      <c r="B7583" s="37" t="str">
        <f aca="false">SUBSTITUTE(SUBSTITUTE(SUBSTITUTE(SUBSTITUTE(SUBSTITUTE(Txt_P2,"{cabinet}",Cab_Nom),"{societe}",IF($K$7561=0,"",INDEX(Clients!$E$2:$E$501,$K$7561)&amp;"")),"{date_effet}",$K$7563),"{hausse}",$K$7564),"{civilite}",$K$7562)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583" s="37"/>
      <c r="D7583" s="37"/>
      <c r="E7583" s="37"/>
      <c r="F7583" s="37"/>
      <c r="J7583" s="25"/>
      <c r="K7583" s="25"/>
      <c r="L7583" s="25"/>
      <c r="M7583" s="25"/>
      <c r="N7583" s="25"/>
      <c r="O7583" s="25"/>
    </row>
    <row r="7584" customFormat="false" ht="63" hidden="false" customHeight="true" outlineLevel="0" collapsed="false">
      <c r="B7584" s="37" t="str">
        <f aca="false">SUBSTITUTE(SUBSTITUTE(SUBSTITUTE(SUBSTITUTE(SUBSTITUTE(Txt_P3,"{cabinet}",Cab_Nom),"{societe}",IF($K$7561=0,"",INDEX(Clients!$E$2:$E$501,$K$7561)&amp;"")),"{date_effet}",$K$7563),"{hausse}",$K$7564),"{civilite}",$K$7562)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584" s="37"/>
      <c r="D7584" s="37"/>
      <c r="E7584" s="37"/>
      <c r="F7584" s="37"/>
      <c r="J7584" s="25"/>
      <c r="K7584" s="25"/>
      <c r="L7584" s="25"/>
      <c r="M7584" s="25"/>
      <c r="N7584" s="25"/>
      <c r="O7584" s="25"/>
    </row>
    <row r="7585" customFormat="false" ht="24" hidden="false" customHeight="true" outlineLevel="0" collapsed="false">
      <c r="B7585" s="37" t="str">
        <f aca="false">SUBSTITUTE(SUBSTITUTE(SUBSTITUTE(SUBSTITUTE(SUBSTITUTE(Txt_P4,"{cabinet}",Cab_Nom),"{societe}",IF($K$7561=0,"",INDEX(Clients!$E$2:$E$501,$K$7561)&amp;"")),"{date_effet}",$K$7563),"{hausse}",$K$7564),"{civilite}",$K$7562)</f>
        <v>À compter du 1er janvier 2027, vos honoraires annuels hors taxes évolueront ainsi (évolution globale : ) :</v>
      </c>
      <c r="C7585" s="37"/>
      <c r="D7585" s="37"/>
      <c r="E7585" s="37"/>
      <c r="F7585" s="37"/>
      <c r="J7585" s="25"/>
      <c r="K7585" s="25"/>
      <c r="L7585" s="25"/>
      <c r="M7585" s="25"/>
      <c r="N7585" s="25"/>
      <c r="O7585" s="25"/>
    </row>
    <row r="7586" customFormat="false" ht="3.75" hidden="false" customHeight="true" outlineLevel="0" collapsed="false">
      <c r="B7586" s="10"/>
      <c r="C7586" s="10"/>
      <c r="D7586" s="10"/>
      <c r="E7586" s="10"/>
      <c r="F7586" s="10"/>
      <c r="J7586" s="25"/>
      <c r="K7586" s="25"/>
      <c r="L7586" s="25"/>
      <c r="M7586" s="25"/>
      <c r="N7586" s="25"/>
      <c r="O7586" s="25"/>
    </row>
    <row r="7587" customFormat="false" ht="18" hidden="false" customHeight="true" outlineLevel="0" collapsed="false">
      <c r="B7587" s="38" t="s">
        <v>148</v>
      </c>
      <c r="C7587" s="39" t="s">
        <v>149</v>
      </c>
      <c r="D7587" s="39" t="s">
        <v>150</v>
      </c>
      <c r="E7587" s="39" t="s">
        <v>151</v>
      </c>
      <c r="F7587" s="39" t="s">
        <v>109</v>
      </c>
      <c r="J7587" s="25" t="s">
        <v>152</v>
      </c>
      <c r="K7587" s="25" t="s">
        <v>153</v>
      </c>
      <c r="L7587" s="25" t="s">
        <v>154</v>
      </c>
      <c r="M7587" s="25" t="s">
        <v>155</v>
      </c>
      <c r="N7587" s="25" t="s">
        <v>156</v>
      </c>
      <c r="O7587" s="25" t="s">
        <v>157</v>
      </c>
    </row>
    <row r="7588" customFormat="false" ht="16.5" hidden="false" customHeight="true" outlineLevel="0" collapsed="false">
      <c r="B7588" s="40" t="str">
        <f aca="false">IFERROR(INDEX($J$7588:$J$7591,MATCH($O7588,$N$7588:$N$7591,0)),"")</f>
        <v/>
      </c>
      <c r="C7588" s="41" t="str">
        <f aca="false">IFERROR(INDEX($K$7588:$K$7591,MATCH($O7588,$N$7588:$N$7591,0)),"")</f>
        <v/>
      </c>
      <c r="D7588" s="42" t="str">
        <f aca="false">IF(OR(E7588="",N(C7588)=0),"",E7588/C7588-1)</f>
        <v/>
      </c>
      <c r="E7588" s="41" t="str">
        <f aca="false">IFERROR(INDEX($L$7588:$L$7591,MATCH($O7588,$N$7588:$N$7591,0)),"")</f>
        <v/>
      </c>
      <c r="F7588" s="41" t="str">
        <f aca="false">IF(E7588="","",E7588-C7588)</f>
        <v/>
      </c>
      <c r="J7588" s="25" t="str">
        <f aca="false">Lib_Compta</f>
        <v>Mission comptable (tenue, révision, bilan, liasse fiscale)</v>
      </c>
      <c r="K7588" s="25" t="n">
        <f aca="false">IF($K$7561=0,0,N(INDEX(Clients!$K$2:$K$501,$K$7561)))</f>
        <v>0</v>
      </c>
      <c r="L7588" s="25" t="n">
        <f aca="false">IF($K$7561=0,0,N(INDEX(Clients!$P$2:$P$501,$K$7561)))</f>
        <v>0</v>
      </c>
      <c r="M7588" s="25" t="n">
        <f aca="false">IF(OR(K7588&lt;&gt;0,L7588&lt;&gt;0),1,0)</f>
        <v>0</v>
      </c>
      <c r="N7588" s="25" t="str">
        <f aca="false">IF(M7588=1,SUM($M$7588:M7588),"")</f>
        <v/>
      </c>
      <c r="O7588" s="25" t="n">
        <v>1</v>
      </c>
    </row>
    <row r="7589" customFormat="false" ht="16.5" hidden="false" customHeight="true" outlineLevel="0" collapsed="false">
      <c r="B7589" s="40" t="str">
        <f aca="false">IFERROR(INDEX($J$7588:$J$7591,MATCH($O7589,$N$7588:$N$7591,0)),"")</f>
        <v/>
      </c>
      <c r="C7589" s="41" t="str">
        <f aca="false">IFERROR(INDEX($K$7588:$K$7591,MATCH($O7589,$N$7588:$N$7591,0)),"")</f>
        <v/>
      </c>
      <c r="D7589" s="42" t="str">
        <f aca="false">IF(OR(E7589="",N(C7589)=0),"",E7589/C7589-1)</f>
        <v/>
      </c>
      <c r="E7589" s="41" t="str">
        <f aca="false">IFERROR(INDEX($L$7588:$L$7591,MATCH($O7589,$N$7588:$N$7591,0)),"")</f>
        <v/>
      </c>
      <c r="F7589" s="41" t="str">
        <f aca="false">IF(E7589="","",E7589-C7589)</f>
        <v/>
      </c>
      <c r="J7589" s="25" t="str">
        <f aca="false">Lib_Paye</f>
        <v>Mission sociale (bulletins de paie, DSN, déclarations sociales)</v>
      </c>
      <c r="K7589" s="25" t="n">
        <f aca="false">IF($K$7561=0,0,N(INDEX(Clients!$L$2:$L$501,$K$7561)))</f>
        <v>0</v>
      </c>
      <c r="L7589" s="25" t="n">
        <f aca="false">IF($K$7561=0,0,N(INDEX(Clients!$Q$2:$Q$501,$K$7561)))</f>
        <v>0</v>
      </c>
      <c r="M7589" s="25" t="n">
        <f aca="false">IF(OR(K7589&lt;&gt;0,L7589&lt;&gt;0),1,0)</f>
        <v>0</v>
      </c>
      <c r="N7589" s="25" t="str">
        <f aca="false">IF(M7589=1,SUM($M$7588:M7589),"")</f>
        <v/>
      </c>
      <c r="O7589" s="25" t="n">
        <v>2</v>
      </c>
    </row>
    <row r="7590" customFormat="false" ht="16.5" hidden="false" customHeight="true" outlineLevel="0" collapsed="false">
      <c r="B7590" s="40" t="str">
        <f aca="false">IFERROR(INDEX($J$7588:$J$7591,MATCH($O7590,$N$7588:$N$7591,0)),"")</f>
        <v/>
      </c>
      <c r="C7590" s="41" t="str">
        <f aca="false">IFERROR(INDEX($K$7588:$K$7591,MATCH($O7590,$N$7588:$N$7591,0)),"")</f>
        <v/>
      </c>
      <c r="D7590" s="42" t="str">
        <f aca="false">IF(OR(E7590="",N(C7590)=0),"",E7590/C7590-1)</f>
        <v/>
      </c>
      <c r="E7590" s="41" t="str">
        <f aca="false">IFERROR(INDEX($L$7588:$L$7591,MATCH($O7590,$N$7588:$N$7591,0)),"")</f>
        <v/>
      </c>
      <c r="F7590" s="41" t="str">
        <f aca="false">IF(E7590="","",E7590-C7590)</f>
        <v/>
      </c>
      <c r="J7590" s="25" t="str">
        <f aca="false">Lib_Jur</f>
        <v>Mission juridique (approbation des comptes, secrétariat juridique)</v>
      </c>
      <c r="K7590" s="25" t="n">
        <f aca="false">IF($K$7561=0,0,N(INDEX(Clients!$M$2:$M$501,$K$7561)))</f>
        <v>0</v>
      </c>
      <c r="L7590" s="25" t="n">
        <f aca="false">IF($K$7561=0,0,N(INDEX(Clients!$R$2:$R$501,$K$7561)))</f>
        <v>0</v>
      </c>
      <c r="M7590" s="25" t="n">
        <f aca="false">IF(OR(K7590&lt;&gt;0,L7590&lt;&gt;0),1,0)</f>
        <v>0</v>
      </c>
      <c r="N7590" s="25" t="str">
        <f aca="false">IF(M7590=1,SUM($M$7588:M7590),"")</f>
        <v/>
      </c>
      <c r="O7590" s="25" t="n">
        <v>3</v>
      </c>
    </row>
    <row r="7591" customFormat="false" ht="16.5" hidden="false" customHeight="true" outlineLevel="0" collapsed="false">
      <c r="B7591" s="40" t="str">
        <f aca="false">IFERROR(INDEX($J$7588:$J$7591,MATCH($O7591,$N$7588:$N$7591,0)),"")</f>
        <v/>
      </c>
      <c r="C7591" s="41" t="str">
        <f aca="false">IFERROR(INDEX($K$7588:$K$7591,MATCH($O7591,$N$7588:$N$7591,0)),"")</f>
        <v/>
      </c>
      <c r="D7591" s="42" t="str">
        <f aca="false">IF(OR(E7591="",N(C7591)=0),"",E7591/C7591-1)</f>
        <v/>
      </c>
      <c r="E7591" s="41" t="str">
        <f aca="false">IFERROR(INDEX($L$7588:$L$7591,MATCH($O7591,$N$7588:$N$7591,0)),"")</f>
        <v/>
      </c>
      <c r="F7591" s="41" t="str">
        <f aca="false">IF(E7591="","",E7591-C7591)</f>
        <v/>
      </c>
      <c r="J7591" s="25" t="str">
        <f aca="false">Lib_PA</f>
        <v>Plateforme agréée – facturation électronique</v>
      </c>
      <c r="K7591" s="25" t="n">
        <f aca="false">IF($K$7561=0,0,N(INDEX(Clients!$N$2:$N$501,$K$7561)))</f>
        <v>0</v>
      </c>
      <c r="L7591" s="25" t="n">
        <f aca="false">IF($K$7561=0,0,N(INDEX(Clients!$S$2:$S$501,$K$7561)))</f>
        <v>0</v>
      </c>
      <c r="M7591" s="25" t="n">
        <f aca="false">IF(OR(K7591&lt;&gt;0,L7591&lt;&gt;0),1,0)</f>
        <v>0</v>
      </c>
      <c r="N7591" s="25" t="str">
        <f aca="false">IF(M7591=1,SUM($M$7588:M7591),"")</f>
        <v/>
      </c>
      <c r="O7591" s="25" t="n">
        <v>4</v>
      </c>
    </row>
    <row r="7592" customFormat="false" ht="18" hidden="false" customHeight="true" outlineLevel="0" collapsed="false">
      <c r="B7592" s="43" t="s">
        <v>158</v>
      </c>
      <c r="C7592" s="44" t="n">
        <f aca="false">SUM(K7588:K7591)</f>
        <v>0</v>
      </c>
      <c r="D7592" s="45" t="str">
        <f aca="false">IF(N(C7592)=0,"",E7592/C7592-1)</f>
        <v/>
      </c>
      <c r="E7592" s="44" t="n">
        <f aca="false">SUM(L7588:L7591)</f>
        <v>0</v>
      </c>
      <c r="F7592" s="44" t="n">
        <f aca="false">E7592-C7592</f>
        <v>0</v>
      </c>
    </row>
    <row r="7593" customFormat="false" ht="15" hidden="false" customHeight="false" outlineLevel="0" collapsed="false">
      <c r="B7593" s="46" t="str">
        <f aca="false">IF(N(Nb_Mensualites)=0,"","Soit "&amp;FIXED(E7592/Nb_Mensualites,2)&amp;" € HT par échéance ("&amp;Nb_Mensualites&amp;" échéances), "&amp;FIXED(E7592/Nb_Mensualites*(1+Taux_TVA),2)&amp;" € TTC.")</f>
        <v>Soit 0.00 € HT par échéance (12 échéances), 0.00 € TTC.</v>
      </c>
      <c r="C7593" s="46"/>
      <c r="D7593" s="46"/>
      <c r="E7593" s="46"/>
      <c r="F7593" s="46"/>
    </row>
    <row r="7594" customFormat="false" ht="7.5" hidden="false" customHeight="true" outlineLevel="0" collapsed="false">
      <c r="B7594" s="10"/>
      <c r="C7594" s="10"/>
      <c r="D7594" s="10"/>
      <c r="E7594" s="10"/>
      <c r="F7594" s="10"/>
    </row>
    <row r="7595" customFormat="false" ht="36.75" hidden="false" customHeight="true" outlineLevel="0" collapsed="false">
      <c r="B7595" s="37" t="str">
        <f aca="false">SUBSTITUTE(SUBSTITUTE(SUBSTITUTE(SUBSTITUTE(SUBSTITUTE(Txt_P5,"{cabinet}",Cab_Nom),"{societe}",IF($K$7561=0,"",INDEX(Clients!$E$2:$E$501,$K$7561)&amp;"")),"{date_effet}",$K$7563),"{hausse}",$K$7564),"{civilite}",$K$7562)</f>
        <v>Les autres conditions de votre lettre de mission demeurent inchangées. Les nouveaux montants seront appliqués automatiquement sur vos prochaines factures et échéances de prélèvement.</v>
      </c>
      <c r="C7595" s="37"/>
      <c r="D7595" s="37"/>
      <c r="E7595" s="37"/>
      <c r="F7595" s="37"/>
    </row>
    <row r="7596" customFormat="false" ht="36.75" hidden="false" customHeight="true" outlineLevel="0" collapsed="false">
      <c r="B7596" s="37" t="str">
        <f aca="false">SUBSTITUTE(SUBSTITUTE(SUBSTITUTE(SUBSTITUTE(SUBSTITUTE(Txt_P6,"{cabinet}",Cab_Nom),"{societe}",IF($K$7561=0,"",INDEX(Clients!$E$2:$E$501,$K$7561)&amp;"")),"{date_effet}",$K$7563),"{hausse}",$K$7564),"{civilite}",$K$7562)</f>
        <v>Votre interlocuteur habituel reste à votre entière disposition pour répondre à vos questions et faire le point sur l'évolution de vos besoins.</v>
      </c>
      <c r="C7596" s="37"/>
      <c r="D7596" s="37"/>
      <c r="E7596" s="37"/>
      <c r="F7596" s="37"/>
    </row>
    <row r="7597" customFormat="false" ht="24" hidden="false" customHeight="true" outlineLevel="0" collapsed="false">
      <c r="B7597" s="37" t="str">
        <f aca="false">SUBSTITUTE(SUBSTITUTE(SUBSTITUTE(SUBSTITUTE(SUBSTITUTE(Txt_Politesse,"{cabinet}",Cab_Nom),"{societe}",IF($K$7561=0,"",INDEX(Clients!$E$2:$E$501,$K$7561)&amp;"")),"{date_effet}",$K$7563),"{hausse}",$K$7564),"{civilite}",$K$7562)</f>
        <v>Nous vous prions d'agréer, Madame, Monsieur, l'expression de nos salutations distinguées.</v>
      </c>
      <c r="C7597" s="37"/>
      <c r="D7597" s="37"/>
      <c r="E7597" s="37"/>
      <c r="F7597" s="37"/>
    </row>
    <row r="7598" customFormat="false" ht="15" hidden="false" customHeight="false" outlineLevel="0" collapsed="false">
      <c r="B7598" s="10"/>
      <c r="C7598" s="10"/>
      <c r="D7598" s="10"/>
      <c r="E7598" s="10"/>
      <c r="F7598" s="10"/>
    </row>
    <row r="7599" customFormat="false" ht="15" hidden="false" customHeight="false" outlineLevel="0" collapsed="false">
      <c r="B7599" s="10"/>
      <c r="C7599" s="10"/>
      <c r="D7599" s="34" t="str">
        <f aca="false">Signataire</f>
        <v>Prénom NOM</v>
      </c>
      <c r="E7599" s="34"/>
      <c r="F7599" s="34"/>
    </row>
    <row r="7600" customFormat="false" ht="15" hidden="false" customHeight="false" outlineLevel="0" collapsed="false">
      <c r="B7600" s="10"/>
      <c r="C7600" s="10"/>
      <c r="D7600" s="47" t="str">
        <f aca="false">Signataire_Titre</f>
        <v>Expert-comptable associé</v>
      </c>
      <c r="E7600" s="47"/>
      <c r="F7600" s="47"/>
    </row>
    <row r="7601" customFormat="false" ht="15.75" hidden="false" customHeight="true" outlineLevel="0" collapsed="false">
      <c r="B7601" s="10"/>
      <c r="C7601" s="10"/>
      <c r="D7601" s="10"/>
      <c r="E7601" s="10"/>
      <c r="F7601" s="10"/>
    </row>
    <row r="7602" customFormat="false" ht="15.75" hidden="false" customHeight="true" outlineLevel="0" collapsed="false">
      <c r="B7602" s="10"/>
      <c r="C7602" s="10"/>
      <c r="D7602" s="10"/>
      <c r="E7602" s="10"/>
      <c r="F7602" s="10"/>
    </row>
    <row r="7603" customFormat="false" ht="15.75" hidden="false" customHeight="true" outlineLevel="0" collapsed="false">
      <c r="B7603" s="10"/>
      <c r="C7603" s="10"/>
      <c r="D7603" s="10"/>
      <c r="E7603" s="10"/>
      <c r="F7603" s="10"/>
    </row>
    <row r="7604" customFormat="false" ht="15.75" hidden="false" customHeight="true" outlineLevel="0" collapsed="false">
      <c r="B7604" s="10"/>
      <c r="C7604" s="10"/>
      <c r="D7604" s="10"/>
      <c r="E7604" s="10"/>
      <c r="F7604" s="10"/>
    </row>
    <row r="7605" customFormat="false" ht="24" hidden="false" customHeight="true" outlineLevel="0" collapsed="false">
      <c r="B7605" s="48" t="str">
        <f aca="false">Cab_Mentions</f>
        <v>ALTHO EXPERTISE · SAS au capital de 10 000 € · RCS Pontoise 919 706 325 · TVA FR62919706325 · Société d'expertise comptable inscrite au Tableau de l'Ordre des experts-comptables de Paris Île-de-France</v>
      </c>
      <c r="C7605" s="48"/>
      <c r="D7605" s="48"/>
      <c r="E7605" s="48"/>
      <c r="F7605" s="48"/>
    </row>
    <row r="7606" customFormat="false" ht="15" hidden="false" customHeight="false" outlineLevel="0" collapsed="false">
      <c r="B7606" s="10"/>
      <c r="C7606" s="10"/>
      <c r="D7606" s="10"/>
      <c r="E7606" s="10"/>
      <c r="F7606" s="10"/>
      <c r="J7606" s="25" t="s">
        <v>142</v>
      </c>
      <c r="K7606" s="25" t="n">
        <f aca="false">IFERROR(MATCH(170,Clients!$Z$2:$Z$501,0),0)</f>
        <v>0</v>
      </c>
      <c r="L7606" s="25"/>
      <c r="M7606" s="25"/>
      <c r="N7606" s="25"/>
      <c r="O7606" s="25"/>
    </row>
    <row r="7607" customFormat="false" ht="21.75" hidden="false" customHeight="true" outlineLevel="0" collapsed="false">
      <c r="B7607" s="26" t="str">
        <f aca="false">Cab_Nom</f>
        <v>ALTHO EXPERTISE</v>
      </c>
      <c r="C7607" s="26"/>
      <c r="D7607" s="10"/>
      <c r="E7607" s="27" t="str">
        <f aca="false">IF($K$7606=0,"","Réf. client : "&amp;INDEX(Clients!$A$2:$A$501,$K$7606))</f>
        <v/>
      </c>
      <c r="F7607" s="27"/>
      <c r="J7607" s="25" t="s">
        <v>144</v>
      </c>
      <c r="K7607" s="25" t="str">
        <f aca="false">IF(IF($K$7606=0,"",INDEX(Clients!$B$2:$B$501,$K$7606)&amp;"")="Mme","Madame",IF(IF($K$7606=0,"",INDEX(Clients!$B$2:$B$501,$K$7606)&amp;"")="M.","Monsieur","Madame, Monsieur"))</f>
        <v>Madame, Monsieur</v>
      </c>
      <c r="L7607" s="25"/>
      <c r="M7607" s="25"/>
      <c r="N7607" s="25"/>
      <c r="O7607" s="25"/>
    </row>
    <row r="7608" customFormat="false" ht="15" hidden="false" customHeight="false" outlineLevel="0" collapsed="false">
      <c r="B7608" s="29" t="str">
        <f aca="false">Cab_Adr1</f>
        <v>141 rue Charles de Gaulle</v>
      </c>
      <c r="C7608" s="29"/>
      <c r="D7608" s="10"/>
      <c r="E7608" s="10"/>
      <c r="F7608" s="10"/>
      <c r="J7608" s="25" t="s">
        <v>145</v>
      </c>
      <c r="K7608" s="25" t="str">
        <f aca="false">DAY(Date_Effet)&amp;IF(DAY(Date_Effet)=1,"er","")&amp;" "&amp;INDEX(Liste_Mois,MONTH(Date_Effet))&amp;" "&amp;YEAR(Date_Effet)</f>
        <v>1er janvier 2027</v>
      </c>
      <c r="L7608" s="25"/>
      <c r="M7608" s="25"/>
      <c r="N7608" s="25"/>
      <c r="O7608" s="25"/>
    </row>
    <row r="7609" customFormat="false" ht="15" hidden="false" customHeight="false" outlineLevel="0" collapsed="false">
      <c r="B7609" s="29" t="str">
        <f aca="false">Cab_CPVille</f>
        <v>95130 LE PLESSIS-BOUCHARD</v>
      </c>
      <c r="C7609" s="29"/>
      <c r="D7609" s="10"/>
      <c r="E7609" s="10"/>
      <c r="F7609" s="10"/>
      <c r="J7609" s="25" t="s">
        <v>146</v>
      </c>
      <c r="K7609" s="25" t="str">
        <f aca="false">IF(SUM($K$7633:$K$7636)=0,"",FIXED((SUM($L$7633:$L$7636)/SUM($K$7633:$K$7636)-1)*100,1)&amp;" %")</f>
        <v/>
      </c>
      <c r="L7609" s="25"/>
      <c r="M7609" s="25"/>
      <c r="N7609" s="25"/>
      <c r="O7609" s="25"/>
    </row>
    <row r="7610" customFormat="false" ht="15" hidden="false" customHeight="false" outlineLevel="0" collapsed="false">
      <c r="B7610" s="29" t="str">
        <f aca="false">Cab_Contact</f>
        <v>Tél. 01 34 14 53 45  ·  altho@altho-experts.com  ·  altho-experts.com</v>
      </c>
      <c r="C7610" s="29"/>
      <c r="D7610" s="10"/>
      <c r="E7610" s="10"/>
      <c r="F7610" s="10"/>
      <c r="J7610" s="25"/>
      <c r="K7610" s="25"/>
      <c r="L7610" s="25"/>
      <c r="M7610" s="25"/>
      <c r="N7610" s="25"/>
      <c r="O7610" s="25"/>
    </row>
    <row r="7611" customFormat="false" ht="6" hidden="false" customHeight="true" outlineLevel="0" collapsed="false">
      <c r="B7611" s="32"/>
      <c r="C7611" s="32"/>
      <c r="D7611" s="32"/>
      <c r="E7611" s="32"/>
      <c r="F7611" s="32"/>
      <c r="J7611" s="25"/>
      <c r="K7611" s="25"/>
      <c r="L7611" s="25"/>
      <c r="M7611" s="25"/>
      <c r="N7611" s="25"/>
      <c r="O7611" s="25"/>
    </row>
    <row r="7612" customFormat="false" ht="13.5" hidden="false" customHeight="true" outlineLevel="0" collapsed="false">
      <c r="B7612" s="10"/>
      <c r="C7612" s="10"/>
      <c r="D7612" s="10"/>
      <c r="E7612" s="10"/>
      <c r="F7612" s="10"/>
      <c r="J7612" s="25"/>
      <c r="K7612" s="25"/>
      <c r="L7612" s="25"/>
      <c r="M7612" s="25"/>
      <c r="N7612" s="25"/>
      <c r="O7612" s="25"/>
    </row>
    <row r="7613" customFormat="false" ht="13.5" hidden="false" customHeight="true" outlineLevel="0" collapsed="false">
      <c r="B7613" s="10"/>
      <c r="C7613" s="10"/>
      <c r="D7613" s="10"/>
      <c r="E7613" s="10"/>
      <c r="F7613" s="10"/>
      <c r="J7613" s="25"/>
      <c r="K7613" s="25"/>
      <c r="L7613" s="25"/>
      <c r="M7613" s="25"/>
      <c r="N7613" s="25"/>
      <c r="O7613" s="25"/>
    </row>
    <row r="7614" customFormat="false" ht="13.5" hidden="false" customHeight="true" outlineLevel="0" collapsed="false">
      <c r="B7614" s="10"/>
      <c r="C7614" s="10"/>
      <c r="D7614" s="10"/>
      <c r="E7614" s="10"/>
      <c r="F7614" s="10"/>
      <c r="J7614" s="25"/>
      <c r="K7614" s="25"/>
      <c r="L7614" s="25"/>
      <c r="M7614" s="25"/>
      <c r="N7614" s="25"/>
      <c r="O7614" s="25"/>
    </row>
    <row r="7615" customFormat="false" ht="15" hidden="false" customHeight="true" outlineLevel="0" collapsed="false">
      <c r="B7615" s="10"/>
      <c r="C7615" s="10"/>
      <c r="D7615" s="34" t="str">
        <f aca="false">IF($K$7606=0,"",INDEX(Clients!$E$2:$E$501,$K$7606)&amp;"")</f>
        <v/>
      </c>
      <c r="E7615" s="34"/>
      <c r="F7615" s="34"/>
      <c r="J7615" s="25"/>
      <c r="K7615" s="25"/>
      <c r="L7615" s="25"/>
      <c r="M7615" s="25"/>
      <c r="N7615" s="25"/>
      <c r="O7615" s="25"/>
    </row>
    <row r="7616" customFormat="false" ht="15" hidden="false" customHeight="true" outlineLevel="0" collapsed="false">
      <c r="B7616" s="10"/>
      <c r="C7616" s="10"/>
      <c r="D7616" s="35" t="str">
        <f aca="false">IF(IF($K$7606=0,"",INDEX(Clients!$D$2:$D$501,$K$7606)&amp;"")="","","À l'attention de "&amp;TRIM(IF($K$7606=0,"",INDEX(Clients!$B$2:$B$501,$K$7606)&amp;"")&amp;" "&amp;IF($K$7606=0,"",INDEX(Clients!$C$2:$C$501,$K$7606)&amp;"")&amp;" "&amp;IF($K$7606=0,"",INDEX(Clients!$D$2:$D$501,$K$7606)&amp;"")))</f>
        <v/>
      </c>
      <c r="E7616" s="35"/>
      <c r="F7616" s="35"/>
      <c r="J7616" s="25"/>
      <c r="K7616" s="25"/>
      <c r="L7616" s="25"/>
      <c r="M7616" s="25"/>
      <c r="N7616" s="25"/>
      <c r="O7616" s="25"/>
    </row>
    <row r="7617" customFormat="false" ht="15" hidden="false" customHeight="true" outlineLevel="0" collapsed="false">
      <c r="B7617" s="10"/>
      <c r="C7617" s="10"/>
      <c r="D7617" s="35" t="str">
        <f aca="false">IF($K$7606=0,"",INDEX(Clients!$F$2:$F$501,$K$7606)&amp;"")</f>
        <v/>
      </c>
      <c r="E7617" s="35"/>
      <c r="F7617" s="35"/>
      <c r="J7617" s="25"/>
      <c r="K7617" s="25"/>
      <c r="L7617" s="25"/>
      <c r="M7617" s="25"/>
      <c r="N7617" s="25"/>
      <c r="O7617" s="25"/>
    </row>
    <row r="7618" customFormat="false" ht="15" hidden="false" customHeight="true" outlineLevel="0" collapsed="false">
      <c r="B7618" s="10"/>
      <c r="C7618" s="10"/>
      <c r="D7618" s="35" t="str">
        <f aca="false">IF(IF($K$7606=0,"",INDEX(Clients!$G$2:$G$501,$K$7606)&amp;"")="",TRIM(IF($K$7606=0,"",INDEX(Clients!$H$2:$H$501,$K$7606)&amp;"")&amp;" "&amp;UPPER(IF($K$7606=0,"",INDEX(Clients!$I$2:$I$501,$K$7606)&amp;""))),IF($K$7606=0,"",INDEX(Clients!$G$2:$G$501,$K$7606)&amp;""))</f>
        <v/>
      </c>
      <c r="E7618" s="35"/>
      <c r="F7618" s="35"/>
      <c r="J7618" s="25"/>
      <c r="K7618" s="25"/>
      <c r="L7618" s="25"/>
      <c r="M7618" s="25"/>
      <c r="N7618" s="25"/>
      <c r="O7618" s="25"/>
    </row>
    <row r="7619" customFormat="false" ht="15" hidden="false" customHeight="true" outlineLevel="0" collapsed="false">
      <c r="B7619" s="10"/>
      <c r="C7619" s="10"/>
      <c r="D7619" s="35" t="str">
        <f aca="false">IF(IF($K$7606=0,"",INDEX(Clients!$G$2:$G$501,$K$7606)&amp;"")="","",TRIM(IF($K$7606=0,"",INDEX(Clients!$H$2:$H$501,$K$7606)&amp;"")&amp;" "&amp;UPPER(IF($K$7606=0,"",INDEX(Clients!$I$2:$I$501,$K$7606)&amp;""))))</f>
        <v/>
      </c>
      <c r="E7619" s="35"/>
      <c r="F7619" s="35"/>
      <c r="J7619" s="25"/>
      <c r="K7619" s="25"/>
      <c r="L7619" s="25"/>
      <c r="M7619" s="25"/>
      <c r="N7619" s="25"/>
      <c r="O7619" s="25"/>
    </row>
    <row r="7620" customFormat="false" ht="25.5" hidden="false" customHeight="true" outlineLevel="0" collapsed="false">
      <c r="B7620" s="10"/>
      <c r="C7620" s="10"/>
      <c r="D7620" s="10"/>
      <c r="E7620" s="10"/>
      <c r="F7620" s="10"/>
      <c r="J7620" s="25"/>
      <c r="K7620" s="25"/>
      <c r="L7620" s="25"/>
      <c r="M7620" s="25"/>
      <c r="N7620" s="25"/>
      <c r="O7620" s="25"/>
    </row>
    <row r="7621" customFormat="false" ht="15" hidden="false" customHeight="false" outlineLevel="0" collapsed="false">
      <c r="B7621" s="10"/>
      <c r="C7621" s="10"/>
      <c r="D7621" s="36" t="str">
        <f aca="false">Cab_Ville&amp;", le "&amp;DAY(Date_Courrier)&amp;IF(DAY(Date_Courrier)=1,"er","")&amp;" "&amp;INDEX(Liste_Mois,MONTH(Date_Courrier))&amp;" "&amp;YEAR(Date_Courrier)</f>
        <v>Le Plessis-Bouchard, le 22 septembre 2026</v>
      </c>
      <c r="E7621" s="36"/>
      <c r="F7621" s="36"/>
      <c r="J7621" s="25"/>
      <c r="K7621" s="25"/>
      <c r="L7621" s="25"/>
      <c r="M7621" s="25"/>
      <c r="N7621" s="25"/>
      <c r="O7621" s="25"/>
    </row>
    <row r="7622" customFormat="false" ht="19.5" hidden="false" customHeight="true" outlineLevel="0" collapsed="false">
      <c r="B7622" s="10"/>
      <c r="C7622" s="10"/>
      <c r="D7622" s="10"/>
      <c r="E7622" s="10"/>
      <c r="F7622" s="10"/>
      <c r="J7622" s="25"/>
      <c r="K7622" s="25"/>
      <c r="L7622" s="25"/>
      <c r="M7622" s="25"/>
      <c r="N7622" s="25"/>
      <c r="O7622" s="25"/>
    </row>
    <row r="7623" customFormat="false" ht="15" hidden="false" customHeight="false" outlineLevel="0" collapsed="false">
      <c r="B7623" s="34" t="str">
        <f aca="false">SUBSTITUTE(SUBSTITUTE(SUBSTITUTE(SUBSTITUTE(SUBSTITUTE(Txt_Objet,"{cabinet}",Cab_Nom),"{societe}",IF($K$7606=0,"",INDEX(Clients!$E$2:$E$501,$K$7606)&amp;"")),"{date_effet}",$K$7608),"{hausse}",$K$7609),"{civilite}",$K$7607)</f>
        <v>Objet : révision de nos honoraires au 1er janvier 2027</v>
      </c>
      <c r="C7623" s="34"/>
      <c r="D7623" s="34"/>
      <c r="E7623" s="34"/>
      <c r="F7623" s="34"/>
      <c r="J7623" s="25"/>
      <c r="K7623" s="25"/>
      <c r="L7623" s="25"/>
      <c r="M7623" s="25"/>
      <c r="N7623" s="25"/>
      <c r="O7623" s="25"/>
    </row>
    <row r="7624" customFormat="false" ht="13.5" hidden="false" customHeight="true" outlineLevel="0" collapsed="false">
      <c r="B7624" s="10"/>
      <c r="C7624" s="10"/>
      <c r="D7624" s="10"/>
      <c r="E7624" s="10"/>
      <c r="F7624" s="10"/>
      <c r="J7624" s="25"/>
      <c r="K7624" s="25"/>
      <c r="L7624" s="25"/>
      <c r="M7624" s="25"/>
      <c r="N7624" s="25"/>
      <c r="O7624" s="25"/>
    </row>
    <row r="7625" customFormat="false" ht="15" hidden="false" customHeight="false" outlineLevel="0" collapsed="false">
      <c r="B7625" s="10" t="str">
        <f aca="false">$K$7607&amp;","</f>
        <v>Madame, Monsieur,</v>
      </c>
      <c r="C7625" s="10"/>
      <c r="D7625" s="10"/>
      <c r="E7625" s="10"/>
      <c r="F7625" s="10"/>
      <c r="J7625" s="25"/>
      <c r="K7625" s="25"/>
      <c r="L7625" s="25"/>
      <c r="M7625" s="25"/>
      <c r="N7625" s="25"/>
      <c r="O7625" s="25"/>
    </row>
    <row r="7626" customFormat="false" ht="6" hidden="false" customHeight="true" outlineLevel="0" collapsed="false">
      <c r="B7626" s="10"/>
      <c r="C7626" s="10"/>
      <c r="D7626" s="10"/>
      <c r="E7626" s="10"/>
      <c r="F7626" s="10"/>
      <c r="J7626" s="25"/>
      <c r="K7626" s="25"/>
      <c r="L7626" s="25"/>
      <c r="M7626" s="25"/>
      <c r="N7626" s="25"/>
      <c r="O7626" s="25"/>
    </row>
    <row r="7627" customFormat="false" ht="36.75" hidden="false" customHeight="true" outlineLevel="0" collapsed="false">
      <c r="B7627" s="37" t="str">
        <f aca="false">SUBSTITUTE(SUBSTITUTE(SUBSTITUTE(SUBSTITUTE(SUBSTITUTE(Txt_P1,"{cabinet}",Cab_Nom),"{societe}",IF($K$7606=0,"",INDEX(Clients!$E$2:$E$501,$K$7606)&amp;"")),"{date_effet}",$K$7608),"{hausse}",$K$7609),"{civilite}",$K$7607)</f>
        <v>Nous tenons tout d'abord à vous remercier pour la confiance que vous accordez à ALTHO EXPERTISE. Comme chaque année, et conformément aux dispositions de votre lettre de mission, nous procédons à la révision de nos honoraires.</v>
      </c>
      <c r="C7627" s="37"/>
      <c r="D7627" s="37"/>
      <c r="E7627" s="37"/>
      <c r="F7627" s="37"/>
      <c r="J7627" s="25"/>
      <c r="K7627" s="25"/>
      <c r="L7627" s="25"/>
      <c r="M7627" s="25"/>
      <c r="N7627" s="25"/>
      <c r="O7627" s="25"/>
    </row>
    <row r="7628" customFormat="false" ht="49.5" hidden="false" customHeight="true" outlineLevel="0" collapsed="false">
      <c r="B7628" s="37" t="str">
        <f aca="false">SUBSTITUTE(SUBSTITUTE(SUBSTITUTE(SUBSTITUTE(SUBSTITUTE(Txt_P2,"{cabinet}",Cab_Nom),"{societe}",IF($K$7606=0,"",INDEX(Clients!$E$2:$E$501,$K$7606)&amp;"")),"{date_effet}",$K$7608),"{hausse}",$K$7609),"{civilite}",$K$7607)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628" s="37"/>
      <c r="D7628" s="37"/>
      <c r="E7628" s="37"/>
      <c r="F7628" s="37"/>
      <c r="J7628" s="25"/>
      <c r="K7628" s="25"/>
      <c r="L7628" s="25"/>
      <c r="M7628" s="25"/>
      <c r="N7628" s="25"/>
      <c r="O7628" s="25"/>
    </row>
    <row r="7629" customFormat="false" ht="63" hidden="false" customHeight="true" outlineLevel="0" collapsed="false">
      <c r="B7629" s="37" t="str">
        <f aca="false">SUBSTITUTE(SUBSTITUTE(SUBSTITUTE(SUBSTITUTE(SUBSTITUTE(Txt_P3,"{cabinet}",Cab_Nom),"{societe}",IF($K$7606=0,"",INDEX(Clients!$E$2:$E$501,$K$7606)&amp;"")),"{date_effet}",$K$7608),"{hausse}",$K$7609),"{civilite}",$K$7607)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629" s="37"/>
      <c r="D7629" s="37"/>
      <c r="E7629" s="37"/>
      <c r="F7629" s="37"/>
      <c r="J7629" s="25"/>
      <c r="K7629" s="25"/>
      <c r="L7629" s="25"/>
      <c r="M7629" s="25"/>
      <c r="N7629" s="25"/>
      <c r="O7629" s="25"/>
    </row>
    <row r="7630" customFormat="false" ht="24" hidden="false" customHeight="true" outlineLevel="0" collapsed="false">
      <c r="B7630" s="37" t="str">
        <f aca="false">SUBSTITUTE(SUBSTITUTE(SUBSTITUTE(SUBSTITUTE(SUBSTITUTE(Txt_P4,"{cabinet}",Cab_Nom),"{societe}",IF($K$7606=0,"",INDEX(Clients!$E$2:$E$501,$K$7606)&amp;"")),"{date_effet}",$K$7608),"{hausse}",$K$7609),"{civilite}",$K$7607)</f>
        <v>À compter du 1er janvier 2027, vos honoraires annuels hors taxes évolueront ainsi (évolution globale : ) :</v>
      </c>
      <c r="C7630" s="37"/>
      <c r="D7630" s="37"/>
      <c r="E7630" s="37"/>
      <c r="F7630" s="37"/>
      <c r="J7630" s="25"/>
      <c r="K7630" s="25"/>
      <c r="L7630" s="25"/>
      <c r="M7630" s="25"/>
      <c r="N7630" s="25"/>
      <c r="O7630" s="25"/>
    </row>
    <row r="7631" customFormat="false" ht="3.75" hidden="false" customHeight="true" outlineLevel="0" collapsed="false">
      <c r="B7631" s="10"/>
      <c r="C7631" s="10"/>
      <c r="D7631" s="10"/>
      <c r="E7631" s="10"/>
      <c r="F7631" s="10"/>
      <c r="J7631" s="25"/>
      <c r="K7631" s="25"/>
      <c r="L7631" s="25"/>
      <c r="M7631" s="25"/>
      <c r="N7631" s="25"/>
      <c r="O7631" s="25"/>
    </row>
    <row r="7632" customFormat="false" ht="18" hidden="false" customHeight="true" outlineLevel="0" collapsed="false">
      <c r="B7632" s="38" t="s">
        <v>148</v>
      </c>
      <c r="C7632" s="39" t="s">
        <v>149</v>
      </c>
      <c r="D7632" s="39" t="s">
        <v>150</v>
      </c>
      <c r="E7632" s="39" t="s">
        <v>151</v>
      </c>
      <c r="F7632" s="39" t="s">
        <v>109</v>
      </c>
      <c r="J7632" s="25" t="s">
        <v>152</v>
      </c>
      <c r="K7632" s="25" t="s">
        <v>153</v>
      </c>
      <c r="L7632" s="25" t="s">
        <v>154</v>
      </c>
      <c r="M7632" s="25" t="s">
        <v>155</v>
      </c>
      <c r="N7632" s="25" t="s">
        <v>156</v>
      </c>
      <c r="O7632" s="25" t="s">
        <v>157</v>
      </c>
    </row>
    <row r="7633" customFormat="false" ht="16.5" hidden="false" customHeight="true" outlineLevel="0" collapsed="false">
      <c r="B7633" s="40" t="str">
        <f aca="false">IFERROR(INDEX($J$7633:$J$7636,MATCH($O7633,$N$7633:$N$7636,0)),"")</f>
        <v/>
      </c>
      <c r="C7633" s="41" t="str">
        <f aca="false">IFERROR(INDEX($K$7633:$K$7636,MATCH($O7633,$N$7633:$N$7636,0)),"")</f>
        <v/>
      </c>
      <c r="D7633" s="42" t="str">
        <f aca="false">IF(OR(E7633="",N(C7633)=0),"",E7633/C7633-1)</f>
        <v/>
      </c>
      <c r="E7633" s="41" t="str">
        <f aca="false">IFERROR(INDEX($L$7633:$L$7636,MATCH($O7633,$N$7633:$N$7636,0)),"")</f>
        <v/>
      </c>
      <c r="F7633" s="41" t="str">
        <f aca="false">IF(E7633="","",E7633-C7633)</f>
        <v/>
      </c>
      <c r="J7633" s="25" t="str">
        <f aca="false">Lib_Compta</f>
        <v>Mission comptable (tenue, révision, bilan, liasse fiscale)</v>
      </c>
      <c r="K7633" s="25" t="n">
        <f aca="false">IF($K$7606=0,0,N(INDEX(Clients!$K$2:$K$501,$K$7606)))</f>
        <v>0</v>
      </c>
      <c r="L7633" s="25" t="n">
        <f aca="false">IF($K$7606=0,0,N(INDEX(Clients!$P$2:$P$501,$K$7606)))</f>
        <v>0</v>
      </c>
      <c r="M7633" s="25" t="n">
        <f aca="false">IF(OR(K7633&lt;&gt;0,L7633&lt;&gt;0),1,0)</f>
        <v>0</v>
      </c>
      <c r="N7633" s="25" t="str">
        <f aca="false">IF(M7633=1,SUM($M$7633:M7633),"")</f>
        <v/>
      </c>
      <c r="O7633" s="25" t="n">
        <v>1</v>
      </c>
    </row>
    <row r="7634" customFormat="false" ht="16.5" hidden="false" customHeight="true" outlineLevel="0" collapsed="false">
      <c r="B7634" s="40" t="str">
        <f aca="false">IFERROR(INDEX($J$7633:$J$7636,MATCH($O7634,$N$7633:$N$7636,0)),"")</f>
        <v/>
      </c>
      <c r="C7634" s="41" t="str">
        <f aca="false">IFERROR(INDEX($K$7633:$K$7636,MATCH($O7634,$N$7633:$N$7636,0)),"")</f>
        <v/>
      </c>
      <c r="D7634" s="42" t="str">
        <f aca="false">IF(OR(E7634="",N(C7634)=0),"",E7634/C7634-1)</f>
        <v/>
      </c>
      <c r="E7634" s="41" t="str">
        <f aca="false">IFERROR(INDEX($L$7633:$L$7636,MATCH($O7634,$N$7633:$N$7636,0)),"")</f>
        <v/>
      </c>
      <c r="F7634" s="41" t="str">
        <f aca="false">IF(E7634="","",E7634-C7634)</f>
        <v/>
      </c>
      <c r="J7634" s="25" t="str">
        <f aca="false">Lib_Paye</f>
        <v>Mission sociale (bulletins de paie, DSN, déclarations sociales)</v>
      </c>
      <c r="K7634" s="25" t="n">
        <f aca="false">IF($K$7606=0,0,N(INDEX(Clients!$L$2:$L$501,$K$7606)))</f>
        <v>0</v>
      </c>
      <c r="L7634" s="25" t="n">
        <f aca="false">IF($K$7606=0,0,N(INDEX(Clients!$Q$2:$Q$501,$K$7606)))</f>
        <v>0</v>
      </c>
      <c r="M7634" s="25" t="n">
        <f aca="false">IF(OR(K7634&lt;&gt;0,L7634&lt;&gt;0),1,0)</f>
        <v>0</v>
      </c>
      <c r="N7634" s="25" t="str">
        <f aca="false">IF(M7634=1,SUM($M$7633:M7634),"")</f>
        <v/>
      </c>
      <c r="O7634" s="25" t="n">
        <v>2</v>
      </c>
    </row>
    <row r="7635" customFormat="false" ht="16.5" hidden="false" customHeight="true" outlineLevel="0" collapsed="false">
      <c r="B7635" s="40" t="str">
        <f aca="false">IFERROR(INDEX($J$7633:$J$7636,MATCH($O7635,$N$7633:$N$7636,0)),"")</f>
        <v/>
      </c>
      <c r="C7635" s="41" t="str">
        <f aca="false">IFERROR(INDEX($K$7633:$K$7636,MATCH($O7635,$N$7633:$N$7636,0)),"")</f>
        <v/>
      </c>
      <c r="D7635" s="42" t="str">
        <f aca="false">IF(OR(E7635="",N(C7635)=0),"",E7635/C7635-1)</f>
        <v/>
      </c>
      <c r="E7635" s="41" t="str">
        <f aca="false">IFERROR(INDEX($L$7633:$L$7636,MATCH($O7635,$N$7633:$N$7636,0)),"")</f>
        <v/>
      </c>
      <c r="F7635" s="41" t="str">
        <f aca="false">IF(E7635="","",E7635-C7635)</f>
        <v/>
      </c>
      <c r="J7635" s="25" t="str">
        <f aca="false">Lib_Jur</f>
        <v>Mission juridique (approbation des comptes, secrétariat juridique)</v>
      </c>
      <c r="K7635" s="25" t="n">
        <f aca="false">IF($K$7606=0,0,N(INDEX(Clients!$M$2:$M$501,$K$7606)))</f>
        <v>0</v>
      </c>
      <c r="L7635" s="25" t="n">
        <f aca="false">IF($K$7606=0,0,N(INDEX(Clients!$R$2:$R$501,$K$7606)))</f>
        <v>0</v>
      </c>
      <c r="M7635" s="25" t="n">
        <f aca="false">IF(OR(K7635&lt;&gt;0,L7635&lt;&gt;0),1,0)</f>
        <v>0</v>
      </c>
      <c r="N7635" s="25" t="str">
        <f aca="false">IF(M7635=1,SUM($M$7633:M7635),"")</f>
        <v/>
      </c>
      <c r="O7635" s="25" t="n">
        <v>3</v>
      </c>
    </row>
    <row r="7636" customFormat="false" ht="16.5" hidden="false" customHeight="true" outlineLevel="0" collapsed="false">
      <c r="B7636" s="40" t="str">
        <f aca="false">IFERROR(INDEX($J$7633:$J$7636,MATCH($O7636,$N$7633:$N$7636,0)),"")</f>
        <v/>
      </c>
      <c r="C7636" s="41" t="str">
        <f aca="false">IFERROR(INDEX($K$7633:$K$7636,MATCH($O7636,$N$7633:$N$7636,0)),"")</f>
        <v/>
      </c>
      <c r="D7636" s="42" t="str">
        <f aca="false">IF(OR(E7636="",N(C7636)=0),"",E7636/C7636-1)</f>
        <v/>
      </c>
      <c r="E7636" s="41" t="str">
        <f aca="false">IFERROR(INDEX($L$7633:$L$7636,MATCH($O7636,$N$7633:$N$7636,0)),"")</f>
        <v/>
      </c>
      <c r="F7636" s="41" t="str">
        <f aca="false">IF(E7636="","",E7636-C7636)</f>
        <v/>
      </c>
      <c r="J7636" s="25" t="str">
        <f aca="false">Lib_PA</f>
        <v>Plateforme agréée – facturation électronique</v>
      </c>
      <c r="K7636" s="25" t="n">
        <f aca="false">IF($K$7606=0,0,N(INDEX(Clients!$N$2:$N$501,$K$7606)))</f>
        <v>0</v>
      </c>
      <c r="L7636" s="25" t="n">
        <f aca="false">IF($K$7606=0,0,N(INDEX(Clients!$S$2:$S$501,$K$7606)))</f>
        <v>0</v>
      </c>
      <c r="M7636" s="25" t="n">
        <f aca="false">IF(OR(K7636&lt;&gt;0,L7636&lt;&gt;0),1,0)</f>
        <v>0</v>
      </c>
      <c r="N7636" s="25" t="str">
        <f aca="false">IF(M7636=1,SUM($M$7633:M7636),"")</f>
        <v/>
      </c>
      <c r="O7636" s="25" t="n">
        <v>4</v>
      </c>
    </row>
    <row r="7637" customFormat="false" ht="18" hidden="false" customHeight="true" outlineLevel="0" collapsed="false">
      <c r="B7637" s="43" t="s">
        <v>158</v>
      </c>
      <c r="C7637" s="44" t="n">
        <f aca="false">SUM(K7633:K7636)</f>
        <v>0</v>
      </c>
      <c r="D7637" s="45" t="str">
        <f aca="false">IF(N(C7637)=0,"",E7637/C7637-1)</f>
        <v/>
      </c>
      <c r="E7637" s="44" t="n">
        <f aca="false">SUM(L7633:L7636)</f>
        <v>0</v>
      </c>
      <c r="F7637" s="44" t="n">
        <f aca="false">E7637-C7637</f>
        <v>0</v>
      </c>
    </row>
    <row r="7638" customFormat="false" ht="15" hidden="false" customHeight="false" outlineLevel="0" collapsed="false">
      <c r="B7638" s="46" t="str">
        <f aca="false">IF(N(Nb_Mensualites)=0,"","Soit "&amp;FIXED(E7637/Nb_Mensualites,2)&amp;" € HT par échéance ("&amp;Nb_Mensualites&amp;" échéances), "&amp;FIXED(E7637/Nb_Mensualites*(1+Taux_TVA),2)&amp;" € TTC.")</f>
        <v>Soit 0.00 € HT par échéance (12 échéances), 0.00 € TTC.</v>
      </c>
      <c r="C7638" s="46"/>
      <c r="D7638" s="46"/>
      <c r="E7638" s="46"/>
      <c r="F7638" s="46"/>
    </row>
    <row r="7639" customFormat="false" ht="7.5" hidden="false" customHeight="true" outlineLevel="0" collapsed="false">
      <c r="B7639" s="10"/>
      <c r="C7639" s="10"/>
      <c r="D7639" s="10"/>
      <c r="E7639" s="10"/>
      <c r="F7639" s="10"/>
    </row>
    <row r="7640" customFormat="false" ht="36.75" hidden="false" customHeight="true" outlineLevel="0" collapsed="false">
      <c r="B7640" s="37" t="str">
        <f aca="false">SUBSTITUTE(SUBSTITUTE(SUBSTITUTE(SUBSTITUTE(SUBSTITUTE(Txt_P5,"{cabinet}",Cab_Nom),"{societe}",IF($K$7606=0,"",INDEX(Clients!$E$2:$E$501,$K$7606)&amp;"")),"{date_effet}",$K$7608),"{hausse}",$K$7609),"{civilite}",$K$7607)</f>
        <v>Les autres conditions de votre lettre de mission demeurent inchangées. Les nouveaux montants seront appliqués automatiquement sur vos prochaines factures et échéances de prélèvement.</v>
      </c>
      <c r="C7640" s="37"/>
      <c r="D7640" s="37"/>
      <c r="E7640" s="37"/>
      <c r="F7640" s="37"/>
    </row>
    <row r="7641" customFormat="false" ht="36.75" hidden="false" customHeight="true" outlineLevel="0" collapsed="false">
      <c r="B7641" s="37" t="str">
        <f aca="false">SUBSTITUTE(SUBSTITUTE(SUBSTITUTE(SUBSTITUTE(SUBSTITUTE(Txt_P6,"{cabinet}",Cab_Nom),"{societe}",IF($K$7606=0,"",INDEX(Clients!$E$2:$E$501,$K$7606)&amp;"")),"{date_effet}",$K$7608),"{hausse}",$K$7609),"{civilite}",$K$7607)</f>
        <v>Votre interlocuteur habituel reste à votre entière disposition pour répondre à vos questions et faire le point sur l'évolution de vos besoins.</v>
      </c>
      <c r="C7641" s="37"/>
      <c r="D7641" s="37"/>
      <c r="E7641" s="37"/>
      <c r="F7641" s="37"/>
    </row>
    <row r="7642" customFormat="false" ht="24" hidden="false" customHeight="true" outlineLevel="0" collapsed="false">
      <c r="B7642" s="37" t="str">
        <f aca="false">SUBSTITUTE(SUBSTITUTE(SUBSTITUTE(SUBSTITUTE(SUBSTITUTE(Txt_Politesse,"{cabinet}",Cab_Nom),"{societe}",IF($K$7606=0,"",INDEX(Clients!$E$2:$E$501,$K$7606)&amp;"")),"{date_effet}",$K$7608),"{hausse}",$K$7609),"{civilite}",$K$7607)</f>
        <v>Nous vous prions d'agréer, Madame, Monsieur, l'expression de nos salutations distinguées.</v>
      </c>
      <c r="C7642" s="37"/>
      <c r="D7642" s="37"/>
      <c r="E7642" s="37"/>
      <c r="F7642" s="37"/>
    </row>
    <row r="7643" customFormat="false" ht="15" hidden="false" customHeight="false" outlineLevel="0" collapsed="false">
      <c r="B7643" s="10"/>
      <c r="C7643" s="10"/>
      <c r="D7643" s="10"/>
      <c r="E7643" s="10"/>
      <c r="F7643" s="10"/>
    </row>
    <row r="7644" customFormat="false" ht="15" hidden="false" customHeight="false" outlineLevel="0" collapsed="false">
      <c r="B7644" s="10"/>
      <c r="C7644" s="10"/>
      <c r="D7644" s="34" t="str">
        <f aca="false">Signataire</f>
        <v>Prénom NOM</v>
      </c>
      <c r="E7644" s="34"/>
      <c r="F7644" s="34"/>
    </row>
    <row r="7645" customFormat="false" ht="15" hidden="false" customHeight="false" outlineLevel="0" collapsed="false">
      <c r="B7645" s="10"/>
      <c r="C7645" s="10"/>
      <c r="D7645" s="47" t="str">
        <f aca="false">Signataire_Titre</f>
        <v>Expert-comptable associé</v>
      </c>
      <c r="E7645" s="47"/>
      <c r="F7645" s="47"/>
    </row>
    <row r="7646" customFormat="false" ht="15.75" hidden="false" customHeight="true" outlineLevel="0" collapsed="false">
      <c r="B7646" s="10"/>
      <c r="C7646" s="10"/>
      <c r="D7646" s="10"/>
      <c r="E7646" s="10"/>
      <c r="F7646" s="10"/>
    </row>
    <row r="7647" customFormat="false" ht="15.75" hidden="false" customHeight="true" outlineLevel="0" collapsed="false">
      <c r="B7647" s="10"/>
      <c r="C7647" s="10"/>
      <c r="D7647" s="10"/>
      <c r="E7647" s="10"/>
      <c r="F7647" s="10"/>
    </row>
    <row r="7648" customFormat="false" ht="15.75" hidden="false" customHeight="true" outlineLevel="0" collapsed="false">
      <c r="B7648" s="10"/>
      <c r="C7648" s="10"/>
      <c r="D7648" s="10"/>
      <c r="E7648" s="10"/>
      <c r="F7648" s="10"/>
    </row>
    <row r="7649" customFormat="false" ht="15.75" hidden="false" customHeight="true" outlineLevel="0" collapsed="false">
      <c r="B7649" s="10"/>
      <c r="C7649" s="10"/>
      <c r="D7649" s="10"/>
      <c r="E7649" s="10"/>
      <c r="F7649" s="10"/>
    </row>
    <row r="7650" customFormat="false" ht="24" hidden="false" customHeight="true" outlineLevel="0" collapsed="false">
      <c r="B7650" s="48" t="str">
        <f aca="false">Cab_Mentions</f>
        <v>ALTHO EXPERTISE · SAS au capital de 10 000 € · RCS Pontoise 919 706 325 · TVA FR62919706325 · Société d'expertise comptable inscrite au Tableau de l'Ordre des experts-comptables de Paris Île-de-France</v>
      </c>
      <c r="C7650" s="48"/>
      <c r="D7650" s="48"/>
      <c r="E7650" s="48"/>
      <c r="F7650" s="48"/>
    </row>
    <row r="7651" customFormat="false" ht="15" hidden="false" customHeight="false" outlineLevel="0" collapsed="false">
      <c r="B7651" s="10"/>
      <c r="C7651" s="10"/>
      <c r="D7651" s="10"/>
      <c r="E7651" s="10"/>
      <c r="F7651" s="10"/>
      <c r="J7651" s="25" t="s">
        <v>142</v>
      </c>
      <c r="K7651" s="25" t="n">
        <f aca="false">IFERROR(MATCH(171,Clients!$Z$2:$Z$501,0),0)</f>
        <v>0</v>
      </c>
      <c r="L7651" s="25"/>
      <c r="M7651" s="25"/>
      <c r="N7651" s="25"/>
      <c r="O7651" s="25"/>
    </row>
    <row r="7652" customFormat="false" ht="21.75" hidden="false" customHeight="true" outlineLevel="0" collapsed="false">
      <c r="B7652" s="26" t="str">
        <f aca="false">Cab_Nom</f>
        <v>ALTHO EXPERTISE</v>
      </c>
      <c r="C7652" s="26"/>
      <c r="D7652" s="10"/>
      <c r="E7652" s="27" t="str">
        <f aca="false">IF($K$7651=0,"","Réf. client : "&amp;INDEX(Clients!$A$2:$A$501,$K$7651))</f>
        <v/>
      </c>
      <c r="F7652" s="27"/>
      <c r="J7652" s="25" t="s">
        <v>144</v>
      </c>
      <c r="K7652" s="25" t="str">
        <f aca="false">IF(IF($K$7651=0,"",INDEX(Clients!$B$2:$B$501,$K$7651)&amp;"")="Mme","Madame",IF(IF($K$7651=0,"",INDEX(Clients!$B$2:$B$501,$K$7651)&amp;"")="M.","Monsieur","Madame, Monsieur"))</f>
        <v>Madame, Monsieur</v>
      </c>
      <c r="L7652" s="25"/>
      <c r="M7652" s="25"/>
      <c r="N7652" s="25"/>
      <c r="O7652" s="25"/>
    </row>
    <row r="7653" customFormat="false" ht="15" hidden="false" customHeight="false" outlineLevel="0" collapsed="false">
      <c r="B7653" s="29" t="str">
        <f aca="false">Cab_Adr1</f>
        <v>141 rue Charles de Gaulle</v>
      </c>
      <c r="C7653" s="29"/>
      <c r="D7653" s="10"/>
      <c r="E7653" s="10"/>
      <c r="F7653" s="10"/>
      <c r="J7653" s="25" t="s">
        <v>145</v>
      </c>
      <c r="K7653" s="25" t="str">
        <f aca="false">DAY(Date_Effet)&amp;IF(DAY(Date_Effet)=1,"er","")&amp;" "&amp;INDEX(Liste_Mois,MONTH(Date_Effet))&amp;" "&amp;YEAR(Date_Effet)</f>
        <v>1er janvier 2027</v>
      </c>
      <c r="L7653" s="25"/>
      <c r="M7653" s="25"/>
      <c r="N7653" s="25"/>
      <c r="O7653" s="25"/>
    </row>
    <row r="7654" customFormat="false" ht="15" hidden="false" customHeight="false" outlineLevel="0" collapsed="false">
      <c r="B7654" s="29" t="str">
        <f aca="false">Cab_CPVille</f>
        <v>95130 LE PLESSIS-BOUCHARD</v>
      </c>
      <c r="C7654" s="29"/>
      <c r="D7654" s="10"/>
      <c r="E7654" s="10"/>
      <c r="F7654" s="10"/>
      <c r="J7654" s="25" t="s">
        <v>146</v>
      </c>
      <c r="K7654" s="25" t="str">
        <f aca="false">IF(SUM($K$7678:$K$7681)=0,"",FIXED((SUM($L$7678:$L$7681)/SUM($K$7678:$K$7681)-1)*100,1)&amp;" %")</f>
        <v/>
      </c>
      <c r="L7654" s="25"/>
      <c r="M7654" s="25"/>
      <c r="N7654" s="25"/>
      <c r="O7654" s="25"/>
    </row>
    <row r="7655" customFormat="false" ht="15" hidden="false" customHeight="false" outlineLevel="0" collapsed="false">
      <c r="B7655" s="29" t="str">
        <f aca="false">Cab_Contact</f>
        <v>Tél. 01 34 14 53 45  ·  altho@altho-experts.com  ·  altho-experts.com</v>
      </c>
      <c r="C7655" s="29"/>
      <c r="D7655" s="10"/>
      <c r="E7655" s="10"/>
      <c r="F7655" s="10"/>
      <c r="J7655" s="25"/>
      <c r="K7655" s="25"/>
      <c r="L7655" s="25"/>
      <c r="M7655" s="25"/>
      <c r="N7655" s="25"/>
      <c r="O7655" s="25"/>
    </row>
    <row r="7656" customFormat="false" ht="6" hidden="false" customHeight="true" outlineLevel="0" collapsed="false">
      <c r="B7656" s="32"/>
      <c r="C7656" s="32"/>
      <c r="D7656" s="32"/>
      <c r="E7656" s="32"/>
      <c r="F7656" s="32"/>
      <c r="J7656" s="25"/>
      <c r="K7656" s="25"/>
      <c r="L7656" s="25"/>
      <c r="M7656" s="25"/>
      <c r="N7656" s="25"/>
      <c r="O7656" s="25"/>
    </row>
    <row r="7657" customFormat="false" ht="13.5" hidden="false" customHeight="true" outlineLevel="0" collapsed="false">
      <c r="B7657" s="10"/>
      <c r="C7657" s="10"/>
      <c r="D7657" s="10"/>
      <c r="E7657" s="10"/>
      <c r="F7657" s="10"/>
      <c r="J7657" s="25"/>
      <c r="K7657" s="25"/>
      <c r="L7657" s="25"/>
      <c r="M7657" s="25"/>
      <c r="N7657" s="25"/>
      <c r="O7657" s="25"/>
    </row>
    <row r="7658" customFormat="false" ht="13.5" hidden="false" customHeight="true" outlineLevel="0" collapsed="false">
      <c r="B7658" s="10"/>
      <c r="C7658" s="10"/>
      <c r="D7658" s="10"/>
      <c r="E7658" s="10"/>
      <c r="F7658" s="10"/>
      <c r="J7658" s="25"/>
      <c r="K7658" s="25"/>
      <c r="L7658" s="25"/>
      <c r="M7658" s="25"/>
      <c r="N7658" s="25"/>
      <c r="O7658" s="25"/>
    </row>
    <row r="7659" customFormat="false" ht="13.5" hidden="false" customHeight="true" outlineLevel="0" collapsed="false">
      <c r="B7659" s="10"/>
      <c r="C7659" s="10"/>
      <c r="D7659" s="10"/>
      <c r="E7659" s="10"/>
      <c r="F7659" s="10"/>
      <c r="J7659" s="25"/>
      <c r="K7659" s="25"/>
      <c r="L7659" s="25"/>
      <c r="M7659" s="25"/>
      <c r="N7659" s="25"/>
      <c r="O7659" s="25"/>
    </row>
    <row r="7660" customFormat="false" ht="15" hidden="false" customHeight="true" outlineLevel="0" collapsed="false">
      <c r="B7660" s="10"/>
      <c r="C7660" s="10"/>
      <c r="D7660" s="34" t="str">
        <f aca="false">IF($K$7651=0,"",INDEX(Clients!$E$2:$E$501,$K$7651)&amp;"")</f>
        <v/>
      </c>
      <c r="E7660" s="34"/>
      <c r="F7660" s="34"/>
      <c r="J7660" s="25"/>
      <c r="K7660" s="25"/>
      <c r="L7660" s="25"/>
      <c r="M7660" s="25"/>
      <c r="N7660" s="25"/>
      <c r="O7660" s="25"/>
    </row>
    <row r="7661" customFormat="false" ht="15" hidden="false" customHeight="true" outlineLevel="0" collapsed="false">
      <c r="B7661" s="10"/>
      <c r="C7661" s="10"/>
      <c r="D7661" s="35" t="str">
        <f aca="false">IF(IF($K$7651=0,"",INDEX(Clients!$D$2:$D$501,$K$7651)&amp;"")="","","À l'attention de "&amp;TRIM(IF($K$7651=0,"",INDEX(Clients!$B$2:$B$501,$K$7651)&amp;"")&amp;" "&amp;IF($K$7651=0,"",INDEX(Clients!$C$2:$C$501,$K$7651)&amp;"")&amp;" "&amp;IF($K$7651=0,"",INDEX(Clients!$D$2:$D$501,$K$7651)&amp;"")))</f>
        <v/>
      </c>
      <c r="E7661" s="35"/>
      <c r="F7661" s="35"/>
      <c r="J7661" s="25"/>
      <c r="K7661" s="25"/>
      <c r="L7661" s="25"/>
      <c r="M7661" s="25"/>
      <c r="N7661" s="25"/>
      <c r="O7661" s="25"/>
    </row>
    <row r="7662" customFormat="false" ht="15" hidden="false" customHeight="true" outlineLevel="0" collapsed="false">
      <c r="B7662" s="10"/>
      <c r="C7662" s="10"/>
      <c r="D7662" s="35" t="str">
        <f aca="false">IF($K$7651=0,"",INDEX(Clients!$F$2:$F$501,$K$7651)&amp;"")</f>
        <v/>
      </c>
      <c r="E7662" s="35"/>
      <c r="F7662" s="35"/>
      <c r="J7662" s="25"/>
      <c r="K7662" s="25"/>
      <c r="L7662" s="25"/>
      <c r="M7662" s="25"/>
      <c r="N7662" s="25"/>
      <c r="O7662" s="25"/>
    </row>
    <row r="7663" customFormat="false" ht="15" hidden="false" customHeight="true" outlineLevel="0" collapsed="false">
      <c r="B7663" s="10"/>
      <c r="C7663" s="10"/>
      <c r="D7663" s="35" t="str">
        <f aca="false">IF(IF($K$7651=0,"",INDEX(Clients!$G$2:$G$501,$K$7651)&amp;"")="",TRIM(IF($K$7651=0,"",INDEX(Clients!$H$2:$H$501,$K$7651)&amp;"")&amp;" "&amp;UPPER(IF($K$7651=0,"",INDEX(Clients!$I$2:$I$501,$K$7651)&amp;""))),IF($K$7651=0,"",INDEX(Clients!$G$2:$G$501,$K$7651)&amp;""))</f>
        <v/>
      </c>
      <c r="E7663" s="35"/>
      <c r="F7663" s="35"/>
      <c r="J7663" s="25"/>
      <c r="K7663" s="25"/>
      <c r="L7663" s="25"/>
      <c r="M7663" s="25"/>
      <c r="N7663" s="25"/>
      <c r="O7663" s="25"/>
    </row>
    <row r="7664" customFormat="false" ht="15" hidden="false" customHeight="true" outlineLevel="0" collapsed="false">
      <c r="B7664" s="10"/>
      <c r="C7664" s="10"/>
      <c r="D7664" s="35" t="str">
        <f aca="false">IF(IF($K$7651=0,"",INDEX(Clients!$G$2:$G$501,$K$7651)&amp;"")="","",TRIM(IF($K$7651=0,"",INDEX(Clients!$H$2:$H$501,$K$7651)&amp;"")&amp;" "&amp;UPPER(IF($K$7651=0,"",INDEX(Clients!$I$2:$I$501,$K$7651)&amp;""))))</f>
        <v/>
      </c>
      <c r="E7664" s="35"/>
      <c r="F7664" s="35"/>
      <c r="J7664" s="25"/>
      <c r="K7664" s="25"/>
      <c r="L7664" s="25"/>
      <c r="M7664" s="25"/>
      <c r="N7664" s="25"/>
      <c r="O7664" s="25"/>
    </row>
    <row r="7665" customFormat="false" ht="25.5" hidden="false" customHeight="true" outlineLevel="0" collapsed="false">
      <c r="B7665" s="10"/>
      <c r="C7665" s="10"/>
      <c r="D7665" s="10"/>
      <c r="E7665" s="10"/>
      <c r="F7665" s="10"/>
      <c r="J7665" s="25"/>
      <c r="K7665" s="25"/>
      <c r="L7665" s="25"/>
      <c r="M7665" s="25"/>
      <c r="N7665" s="25"/>
      <c r="O7665" s="25"/>
    </row>
    <row r="7666" customFormat="false" ht="15" hidden="false" customHeight="false" outlineLevel="0" collapsed="false">
      <c r="B7666" s="10"/>
      <c r="C7666" s="10"/>
      <c r="D7666" s="36" t="str">
        <f aca="false">Cab_Ville&amp;", le "&amp;DAY(Date_Courrier)&amp;IF(DAY(Date_Courrier)=1,"er","")&amp;" "&amp;INDEX(Liste_Mois,MONTH(Date_Courrier))&amp;" "&amp;YEAR(Date_Courrier)</f>
        <v>Le Plessis-Bouchard, le 22 septembre 2026</v>
      </c>
      <c r="E7666" s="36"/>
      <c r="F7666" s="36"/>
      <c r="J7666" s="25"/>
      <c r="K7666" s="25"/>
      <c r="L7666" s="25"/>
      <c r="M7666" s="25"/>
      <c r="N7666" s="25"/>
      <c r="O7666" s="25"/>
    </row>
    <row r="7667" customFormat="false" ht="19.5" hidden="false" customHeight="true" outlineLevel="0" collapsed="false">
      <c r="B7667" s="10"/>
      <c r="C7667" s="10"/>
      <c r="D7667" s="10"/>
      <c r="E7667" s="10"/>
      <c r="F7667" s="10"/>
      <c r="J7667" s="25"/>
      <c r="K7667" s="25"/>
      <c r="L7667" s="25"/>
      <c r="M7667" s="25"/>
      <c r="N7667" s="25"/>
      <c r="O7667" s="25"/>
    </row>
    <row r="7668" customFormat="false" ht="15" hidden="false" customHeight="false" outlineLevel="0" collapsed="false">
      <c r="B7668" s="34" t="str">
        <f aca="false">SUBSTITUTE(SUBSTITUTE(SUBSTITUTE(SUBSTITUTE(SUBSTITUTE(Txt_Objet,"{cabinet}",Cab_Nom),"{societe}",IF($K$7651=0,"",INDEX(Clients!$E$2:$E$501,$K$7651)&amp;"")),"{date_effet}",$K$7653),"{hausse}",$K$7654),"{civilite}",$K$7652)</f>
        <v>Objet : révision de nos honoraires au 1er janvier 2027</v>
      </c>
      <c r="C7668" s="34"/>
      <c r="D7668" s="34"/>
      <c r="E7668" s="34"/>
      <c r="F7668" s="34"/>
      <c r="J7668" s="25"/>
      <c r="K7668" s="25"/>
      <c r="L7668" s="25"/>
      <c r="M7668" s="25"/>
      <c r="N7668" s="25"/>
      <c r="O7668" s="25"/>
    </row>
    <row r="7669" customFormat="false" ht="13.5" hidden="false" customHeight="true" outlineLevel="0" collapsed="false">
      <c r="B7669" s="10"/>
      <c r="C7669" s="10"/>
      <c r="D7669" s="10"/>
      <c r="E7669" s="10"/>
      <c r="F7669" s="10"/>
      <c r="J7669" s="25"/>
      <c r="K7669" s="25"/>
      <c r="L7669" s="25"/>
      <c r="M7669" s="25"/>
      <c r="N7669" s="25"/>
      <c r="O7669" s="25"/>
    </row>
    <row r="7670" customFormat="false" ht="15" hidden="false" customHeight="false" outlineLevel="0" collapsed="false">
      <c r="B7670" s="10" t="str">
        <f aca="false">$K$7652&amp;","</f>
        <v>Madame, Monsieur,</v>
      </c>
      <c r="C7670" s="10"/>
      <c r="D7670" s="10"/>
      <c r="E7670" s="10"/>
      <c r="F7670" s="10"/>
      <c r="J7670" s="25"/>
      <c r="K7670" s="25"/>
      <c r="L7670" s="25"/>
      <c r="M7670" s="25"/>
      <c r="N7670" s="25"/>
      <c r="O7670" s="25"/>
    </row>
    <row r="7671" customFormat="false" ht="6" hidden="false" customHeight="true" outlineLevel="0" collapsed="false">
      <c r="B7671" s="10"/>
      <c r="C7671" s="10"/>
      <c r="D7671" s="10"/>
      <c r="E7671" s="10"/>
      <c r="F7671" s="10"/>
      <c r="J7671" s="25"/>
      <c r="K7671" s="25"/>
      <c r="L7671" s="25"/>
      <c r="M7671" s="25"/>
      <c r="N7671" s="25"/>
      <c r="O7671" s="25"/>
    </row>
    <row r="7672" customFormat="false" ht="36.75" hidden="false" customHeight="true" outlineLevel="0" collapsed="false">
      <c r="B7672" s="37" t="str">
        <f aca="false">SUBSTITUTE(SUBSTITUTE(SUBSTITUTE(SUBSTITUTE(SUBSTITUTE(Txt_P1,"{cabinet}",Cab_Nom),"{societe}",IF($K$7651=0,"",INDEX(Clients!$E$2:$E$501,$K$7651)&amp;"")),"{date_effet}",$K$7653),"{hausse}",$K$7654),"{civilite}",$K$7652)</f>
        <v>Nous tenons tout d'abord à vous remercier pour la confiance que vous accordez à ALTHO EXPERTISE. Comme chaque année, et conformément aux dispositions de votre lettre de mission, nous procédons à la révision de nos honoraires.</v>
      </c>
      <c r="C7672" s="37"/>
      <c r="D7672" s="37"/>
      <c r="E7672" s="37"/>
      <c r="F7672" s="37"/>
      <c r="J7672" s="25"/>
      <c r="K7672" s="25"/>
      <c r="L7672" s="25"/>
      <c r="M7672" s="25"/>
      <c r="N7672" s="25"/>
      <c r="O7672" s="25"/>
    </row>
    <row r="7673" customFormat="false" ht="49.5" hidden="false" customHeight="true" outlineLevel="0" collapsed="false">
      <c r="B7673" s="37" t="str">
        <f aca="false">SUBSTITUTE(SUBSTITUTE(SUBSTITUTE(SUBSTITUTE(SUBSTITUTE(Txt_P2,"{cabinet}",Cab_Nom),"{societe}",IF($K$7651=0,"",INDEX(Clients!$E$2:$E$501,$K$7651)&amp;"")),"{date_effet}",$K$7653),"{hausse}",$K$7654),"{civilite}",$K$7652)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673" s="37"/>
      <c r="D7673" s="37"/>
      <c r="E7673" s="37"/>
      <c r="F7673" s="37"/>
      <c r="J7673" s="25"/>
      <c r="K7673" s="25"/>
      <c r="L7673" s="25"/>
      <c r="M7673" s="25"/>
      <c r="N7673" s="25"/>
      <c r="O7673" s="25"/>
    </row>
    <row r="7674" customFormat="false" ht="63" hidden="false" customHeight="true" outlineLevel="0" collapsed="false">
      <c r="B7674" s="37" t="str">
        <f aca="false">SUBSTITUTE(SUBSTITUTE(SUBSTITUTE(SUBSTITUTE(SUBSTITUTE(Txt_P3,"{cabinet}",Cab_Nom),"{societe}",IF($K$7651=0,"",INDEX(Clients!$E$2:$E$501,$K$7651)&amp;"")),"{date_effet}",$K$7653),"{hausse}",$K$7654),"{civilite}",$K$7652)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674" s="37"/>
      <c r="D7674" s="37"/>
      <c r="E7674" s="37"/>
      <c r="F7674" s="37"/>
      <c r="J7674" s="25"/>
      <c r="K7674" s="25"/>
      <c r="L7674" s="25"/>
      <c r="M7674" s="25"/>
      <c r="N7674" s="25"/>
      <c r="O7674" s="25"/>
    </row>
    <row r="7675" customFormat="false" ht="24" hidden="false" customHeight="true" outlineLevel="0" collapsed="false">
      <c r="B7675" s="37" t="str">
        <f aca="false">SUBSTITUTE(SUBSTITUTE(SUBSTITUTE(SUBSTITUTE(SUBSTITUTE(Txt_P4,"{cabinet}",Cab_Nom),"{societe}",IF($K$7651=0,"",INDEX(Clients!$E$2:$E$501,$K$7651)&amp;"")),"{date_effet}",$K$7653),"{hausse}",$K$7654),"{civilite}",$K$7652)</f>
        <v>À compter du 1er janvier 2027, vos honoraires annuels hors taxes évolueront ainsi (évolution globale : ) :</v>
      </c>
      <c r="C7675" s="37"/>
      <c r="D7675" s="37"/>
      <c r="E7675" s="37"/>
      <c r="F7675" s="37"/>
      <c r="J7675" s="25"/>
      <c r="K7675" s="25"/>
      <c r="L7675" s="25"/>
      <c r="M7675" s="25"/>
      <c r="N7675" s="25"/>
      <c r="O7675" s="25"/>
    </row>
    <row r="7676" customFormat="false" ht="3.75" hidden="false" customHeight="true" outlineLevel="0" collapsed="false">
      <c r="B7676" s="10"/>
      <c r="C7676" s="10"/>
      <c r="D7676" s="10"/>
      <c r="E7676" s="10"/>
      <c r="F7676" s="10"/>
      <c r="J7676" s="25"/>
      <c r="K7676" s="25"/>
      <c r="L7676" s="25"/>
      <c r="M7676" s="25"/>
      <c r="N7676" s="25"/>
      <c r="O7676" s="25"/>
    </row>
    <row r="7677" customFormat="false" ht="18" hidden="false" customHeight="true" outlineLevel="0" collapsed="false">
      <c r="B7677" s="38" t="s">
        <v>148</v>
      </c>
      <c r="C7677" s="39" t="s">
        <v>149</v>
      </c>
      <c r="D7677" s="39" t="s">
        <v>150</v>
      </c>
      <c r="E7677" s="39" t="s">
        <v>151</v>
      </c>
      <c r="F7677" s="39" t="s">
        <v>109</v>
      </c>
      <c r="J7677" s="25" t="s">
        <v>152</v>
      </c>
      <c r="K7677" s="25" t="s">
        <v>153</v>
      </c>
      <c r="L7677" s="25" t="s">
        <v>154</v>
      </c>
      <c r="M7677" s="25" t="s">
        <v>155</v>
      </c>
      <c r="N7677" s="25" t="s">
        <v>156</v>
      </c>
      <c r="O7677" s="25" t="s">
        <v>157</v>
      </c>
    </row>
    <row r="7678" customFormat="false" ht="16.5" hidden="false" customHeight="true" outlineLevel="0" collapsed="false">
      <c r="B7678" s="40" t="str">
        <f aca="false">IFERROR(INDEX($J$7678:$J$7681,MATCH($O7678,$N$7678:$N$7681,0)),"")</f>
        <v/>
      </c>
      <c r="C7678" s="41" t="str">
        <f aca="false">IFERROR(INDEX($K$7678:$K$7681,MATCH($O7678,$N$7678:$N$7681,0)),"")</f>
        <v/>
      </c>
      <c r="D7678" s="42" t="str">
        <f aca="false">IF(OR(E7678="",N(C7678)=0),"",E7678/C7678-1)</f>
        <v/>
      </c>
      <c r="E7678" s="41" t="str">
        <f aca="false">IFERROR(INDEX($L$7678:$L$7681,MATCH($O7678,$N$7678:$N$7681,0)),"")</f>
        <v/>
      </c>
      <c r="F7678" s="41" t="str">
        <f aca="false">IF(E7678="","",E7678-C7678)</f>
        <v/>
      </c>
      <c r="J7678" s="25" t="str">
        <f aca="false">Lib_Compta</f>
        <v>Mission comptable (tenue, révision, bilan, liasse fiscale)</v>
      </c>
      <c r="K7678" s="25" t="n">
        <f aca="false">IF($K$7651=0,0,N(INDEX(Clients!$K$2:$K$501,$K$7651)))</f>
        <v>0</v>
      </c>
      <c r="L7678" s="25" t="n">
        <f aca="false">IF($K$7651=0,0,N(INDEX(Clients!$P$2:$P$501,$K$7651)))</f>
        <v>0</v>
      </c>
      <c r="M7678" s="25" t="n">
        <f aca="false">IF(OR(K7678&lt;&gt;0,L7678&lt;&gt;0),1,0)</f>
        <v>0</v>
      </c>
      <c r="N7678" s="25" t="str">
        <f aca="false">IF(M7678=1,SUM($M$7678:M7678),"")</f>
        <v/>
      </c>
      <c r="O7678" s="25" t="n">
        <v>1</v>
      </c>
    </row>
    <row r="7679" customFormat="false" ht="16.5" hidden="false" customHeight="true" outlineLevel="0" collapsed="false">
      <c r="B7679" s="40" t="str">
        <f aca="false">IFERROR(INDEX($J$7678:$J$7681,MATCH($O7679,$N$7678:$N$7681,0)),"")</f>
        <v/>
      </c>
      <c r="C7679" s="41" t="str">
        <f aca="false">IFERROR(INDEX($K$7678:$K$7681,MATCH($O7679,$N$7678:$N$7681,0)),"")</f>
        <v/>
      </c>
      <c r="D7679" s="42" t="str">
        <f aca="false">IF(OR(E7679="",N(C7679)=0),"",E7679/C7679-1)</f>
        <v/>
      </c>
      <c r="E7679" s="41" t="str">
        <f aca="false">IFERROR(INDEX($L$7678:$L$7681,MATCH($O7679,$N$7678:$N$7681,0)),"")</f>
        <v/>
      </c>
      <c r="F7679" s="41" t="str">
        <f aca="false">IF(E7679="","",E7679-C7679)</f>
        <v/>
      </c>
      <c r="J7679" s="25" t="str">
        <f aca="false">Lib_Paye</f>
        <v>Mission sociale (bulletins de paie, DSN, déclarations sociales)</v>
      </c>
      <c r="K7679" s="25" t="n">
        <f aca="false">IF($K$7651=0,0,N(INDEX(Clients!$L$2:$L$501,$K$7651)))</f>
        <v>0</v>
      </c>
      <c r="L7679" s="25" t="n">
        <f aca="false">IF($K$7651=0,0,N(INDEX(Clients!$Q$2:$Q$501,$K$7651)))</f>
        <v>0</v>
      </c>
      <c r="M7679" s="25" t="n">
        <f aca="false">IF(OR(K7679&lt;&gt;0,L7679&lt;&gt;0),1,0)</f>
        <v>0</v>
      </c>
      <c r="N7679" s="25" t="str">
        <f aca="false">IF(M7679=1,SUM($M$7678:M7679),"")</f>
        <v/>
      </c>
      <c r="O7679" s="25" t="n">
        <v>2</v>
      </c>
    </row>
    <row r="7680" customFormat="false" ht="16.5" hidden="false" customHeight="true" outlineLevel="0" collapsed="false">
      <c r="B7680" s="40" t="str">
        <f aca="false">IFERROR(INDEX($J$7678:$J$7681,MATCH($O7680,$N$7678:$N$7681,0)),"")</f>
        <v/>
      </c>
      <c r="C7680" s="41" t="str">
        <f aca="false">IFERROR(INDEX($K$7678:$K$7681,MATCH($O7680,$N$7678:$N$7681,0)),"")</f>
        <v/>
      </c>
      <c r="D7680" s="42" t="str">
        <f aca="false">IF(OR(E7680="",N(C7680)=0),"",E7680/C7680-1)</f>
        <v/>
      </c>
      <c r="E7680" s="41" t="str">
        <f aca="false">IFERROR(INDEX($L$7678:$L$7681,MATCH($O7680,$N$7678:$N$7681,0)),"")</f>
        <v/>
      </c>
      <c r="F7680" s="41" t="str">
        <f aca="false">IF(E7680="","",E7680-C7680)</f>
        <v/>
      </c>
      <c r="J7680" s="25" t="str">
        <f aca="false">Lib_Jur</f>
        <v>Mission juridique (approbation des comptes, secrétariat juridique)</v>
      </c>
      <c r="K7680" s="25" t="n">
        <f aca="false">IF($K$7651=0,0,N(INDEX(Clients!$M$2:$M$501,$K$7651)))</f>
        <v>0</v>
      </c>
      <c r="L7680" s="25" t="n">
        <f aca="false">IF($K$7651=0,0,N(INDEX(Clients!$R$2:$R$501,$K$7651)))</f>
        <v>0</v>
      </c>
      <c r="M7680" s="25" t="n">
        <f aca="false">IF(OR(K7680&lt;&gt;0,L7680&lt;&gt;0),1,0)</f>
        <v>0</v>
      </c>
      <c r="N7680" s="25" t="str">
        <f aca="false">IF(M7680=1,SUM($M$7678:M7680),"")</f>
        <v/>
      </c>
      <c r="O7680" s="25" t="n">
        <v>3</v>
      </c>
    </row>
    <row r="7681" customFormat="false" ht="16.5" hidden="false" customHeight="true" outlineLevel="0" collapsed="false">
      <c r="B7681" s="40" t="str">
        <f aca="false">IFERROR(INDEX($J$7678:$J$7681,MATCH($O7681,$N$7678:$N$7681,0)),"")</f>
        <v/>
      </c>
      <c r="C7681" s="41" t="str">
        <f aca="false">IFERROR(INDEX($K$7678:$K$7681,MATCH($O7681,$N$7678:$N$7681,0)),"")</f>
        <v/>
      </c>
      <c r="D7681" s="42" t="str">
        <f aca="false">IF(OR(E7681="",N(C7681)=0),"",E7681/C7681-1)</f>
        <v/>
      </c>
      <c r="E7681" s="41" t="str">
        <f aca="false">IFERROR(INDEX($L$7678:$L$7681,MATCH($O7681,$N$7678:$N$7681,0)),"")</f>
        <v/>
      </c>
      <c r="F7681" s="41" t="str">
        <f aca="false">IF(E7681="","",E7681-C7681)</f>
        <v/>
      </c>
      <c r="J7681" s="25" t="str">
        <f aca="false">Lib_PA</f>
        <v>Plateforme agréée – facturation électronique</v>
      </c>
      <c r="K7681" s="25" t="n">
        <f aca="false">IF($K$7651=0,0,N(INDEX(Clients!$N$2:$N$501,$K$7651)))</f>
        <v>0</v>
      </c>
      <c r="L7681" s="25" t="n">
        <f aca="false">IF($K$7651=0,0,N(INDEX(Clients!$S$2:$S$501,$K$7651)))</f>
        <v>0</v>
      </c>
      <c r="M7681" s="25" t="n">
        <f aca="false">IF(OR(K7681&lt;&gt;0,L7681&lt;&gt;0),1,0)</f>
        <v>0</v>
      </c>
      <c r="N7681" s="25" t="str">
        <f aca="false">IF(M7681=1,SUM($M$7678:M7681),"")</f>
        <v/>
      </c>
      <c r="O7681" s="25" t="n">
        <v>4</v>
      </c>
    </row>
    <row r="7682" customFormat="false" ht="18" hidden="false" customHeight="true" outlineLevel="0" collapsed="false">
      <c r="B7682" s="43" t="s">
        <v>158</v>
      </c>
      <c r="C7682" s="44" t="n">
        <f aca="false">SUM(K7678:K7681)</f>
        <v>0</v>
      </c>
      <c r="D7682" s="45" t="str">
        <f aca="false">IF(N(C7682)=0,"",E7682/C7682-1)</f>
        <v/>
      </c>
      <c r="E7682" s="44" t="n">
        <f aca="false">SUM(L7678:L7681)</f>
        <v>0</v>
      </c>
      <c r="F7682" s="44" t="n">
        <f aca="false">E7682-C7682</f>
        <v>0</v>
      </c>
    </row>
    <row r="7683" customFormat="false" ht="15" hidden="false" customHeight="false" outlineLevel="0" collapsed="false">
      <c r="B7683" s="46" t="str">
        <f aca="false">IF(N(Nb_Mensualites)=0,"","Soit "&amp;FIXED(E7682/Nb_Mensualites,2)&amp;" € HT par échéance ("&amp;Nb_Mensualites&amp;" échéances), "&amp;FIXED(E7682/Nb_Mensualites*(1+Taux_TVA),2)&amp;" € TTC.")</f>
        <v>Soit 0.00 € HT par échéance (12 échéances), 0.00 € TTC.</v>
      </c>
      <c r="C7683" s="46"/>
      <c r="D7683" s="46"/>
      <c r="E7683" s="46"/>
      <c r="F7683" s="46"/>
    </row>
    <row r="7684" customFormat="false" ht="7.5" hidden="false" customHeight="true" outlineLevel="0" collapsed="false">
      <c r="B7684" s="10"/>
      <c r="C7684" s="10"/>
      <c r="D7684" s="10"/>
      <c r="E7684" s="10"/>
      <c r="F7684" s="10"/>
    </row>
    <row r="7685" customFormat="false" ht="36.75" hidden="false" customHeight="true" outlineLevel="0" collapsed="false">
      <c r="B7685" s="37" t="str">
        <f aca="false">SUBSTITUTE(SUBSTITUTE(SUBSTITUTE(SUBSTITUTE(SUBSTITUTE(Txt_P5,"{cabinet}",Cab_Nom),"{societe}",IF($K$7651=0,"",INDEX(Clients!$E$2:$E$501,$K$7651)&amp;"")),"{date_effet}",$K$7653),"{hausse}",$K$7654),"{civilite}",$K$7652)</f>
        <v>Les autres conditions de votre lettre de mission demeurent inchangées. Les nouveaux montants seront appliqués automatiquement sur vos prochaines factures et échéances de prélèvement.</v>
      </c>
      <c r="C7685" s="37"/>
      <c r="D7685" s="37"/>
      <c r="E7685" s="37"/>
      <c r="F7685" s="37"/>
    </row>
    <row r="7686" customFormat="false" ht="36.75" hidden="false" customHeight="true" outlineLevel="0" collapsed="false">
      <c r="B7686" s="37" t="str">
        <f aca="false">SUBSTITUTE(SUBSTITUTE(SUBSTITUTE(SUBSTITUTE(SUBSTITUTE(Txt_P6,"{cabinet}",Cab_Nom),"{societe}",IF($K$7651=0,"",INDEX(Clients!$E$2:$E$501,$K$7651)&amp;"")),"{date_effet}",$K$7653),"{hausse}",$K$7654),"{civilite}",$K$7652)</f>
        <v>Votre interlocuteur habituel reste à votre entière disposition pour répondre à vos questions et faire le point sur l'évolution de vos besoins.</v>
      </c>
      <c r="C7686" s="37"/>
      <c r="D7686" s="37"/>
      <c r="E7686" s="37"/>
      <c r="F7686" s="37"/>
    </row>
    <row r="7687" customFormat="false" ht="24" hidden="false" customHeight="true" outlineLevel="0" collapsed="false">
      <c r="B7687" s="37" t="str">
        <f aca="false">SUBSTITUTE(SUBSTITUTE(SUBSTITUTE(SUBSTITUTE(SUBSTITUTE(Txt_Politesse,"{cabinet}",Cab_Nom),"{societe}",IF($K$7651=0,"",INDEX(Clients!$E$2:$E$501,$K$7651)&amp;"")),"{date_effet}",$K$7653),"{hausse}",$K$7654),"{civilite}",$K$7652)</f>
        <v>Nous vous prions d'agréer, Madame, Monsieur, l'expression de nos salutations distinguées.</v>
      </c>
      <c r="C7687" s="37"/>
      <c r="D7687" s="37"/>
      <c r="E7687" s="37"/>
      <c r="F7687" s="37"/>
    </row>
    <row r="7688" customFormat="false" ht="15" hidden="false" customHeight="false" outlineLevel="0" collapsed="false">
      <c r="B7688" s="10"/>
      <c r="C7688" s="10"/>
      <c r="D7688" s="10"/>
      <c r="E7688" s="10"/>
      <c r="F7688" s="10"/>
    </row>
    <row r="7689" customFormat="false" ht="15" hidden="false" customHeight="false" outlineLevel="0" collapsed="false">
      <c r="B7689" s="10"/>
      <c r="C7689" s="10"/>
      <c r="D7689" s="34" t="str">
        <f aca="false">Signataire</f>
        <v>Prénom NOM</v>
      </c>
      <c r="E7689" s="34"/>
      <c r="F7689" s="34"/>
    </row>
    <row r="7690" customFormat="false" ht="15" hidden="false" customHeight="false" outlineLevel="0" collapsed="false">
      <c r="B7690" s="10"/>
      <c r="C7690" s="10"/>
      <c r="D7690" s="47" t="str">
        <f aca="false">Signataire_Titre</f>
        <v>Expert-comptable associé</v>
      </c>
      <c r="E7690" s="47"/>
      <c r="F7690" s="47"/>
    </row>
    <row r="7691" customFormat="false" ht="15.75" hidden="false" customHeight="true" outlineLevel="0" collapsed="false">
      <c r="B7691" s="10"/>
      <c r="C7691" s="10"/>
      <c r="D7691" s="10"/>
      <c r="E7691" s="10"/>
      <c r="F7691" s="10"/>
    </row>
    <row r="7692" customFormat="false" ht="15.75" hidden="false" customHeight="true" outlineLevel="0" collapsed="false">
      <c r="B7692" s="10"/>
      <c r="C7692" s="10"/>
      <c r="D7692" s="10"/>
      <c r="E7692" s="10"/>
      <c r="F7692" s="10"/>
    </row>
    <row r="7693" customFormat="false" ht="15.75" hidden="false" customHeight="true" outlineLevel="0" collapsed="false">
      <c r="B7693" s="10"/>
      <c r="C7693" s="10"/>
      <c r="D7693" s="10"/>
      <c r="E7693" s="10"/>
      <c r="F7693" s="10"/>
    </row>
    <row r="7694" customFormat="false" ht="15.75" hidden="false" customHeight="true" outlineLevel="0" collapsed="false">
      <c r="B7694" s="10"/>
      <c r="C7694" s="10"/>
      <c r="D7694" s="10"/>
      <c r="E7694" s="10"/>
      <c r="F7694" s="10"/>
    </row>
    <row r="7695" customFormat="false" ht="24" hidden="false" customHeight="true" outlineLevel="0" collapsed="false">
      <c r="B7695" s="48" t="str">
        <f aca="false">Cab_Mentions</f>
        <v>ALTHO EXPERTISE · SAS au capital de 10 000 € · RCS Pontoise 919 706 325 · TVA FR62919706325 · Société d'expertise comptable inscrite au Tableau de l'Ordre des experts-comptables de Paris Île-de-France</v>
      </c>
      <c r="C7695" s="48"/>
      <c r="D7695" s="48"/>
      <c r="E7695" s="48"/>
      <c r="F7695" s="48"/>
    </row>
    <row r="7696" customFormat="false" ht="15" hidden="false" customHeight="false" outlineLevel="0" collapsed="false">
      <c r="B7696" s="10"/>
      <c r="C7696" s="10"/>
      <c r="D7696" s="10"/>
      <c r="E7696" s="10"/>
      <c r="F7696" s="10"/>
      <c r="J7696" s="25" t="s">
        <v>142</v>
      </c>
      <c r="K7696" s="25" t="n">
        <f aca="false">IFERROR(MATCH(172,Clients!$Z$2:$Z$501,0),0)</f>
        <v>0</v>
      </c>
      <c r="L7696" s="25"/>
      <c r="M7696" s="25"/>
      <c r="N7696" s="25"/>
      <c r="O7696" s="25"/>
    </row>
    <row r="7697" customFormat="false" ht="21.75" hidden="false" customHeight="true" outlineLevel="0" collapsed="false">
      <c r="B7697" s="26" t="str">
        <f aca="false">Cab_Nom</f>
        <v>ALTHO EXPERTISE</v>
      </c>
      <c r="C7697" s="26"/>
      <c r="D7697" s="10"/>
      <c r="E7697" s="27" t="str">
        <f aca="false">IF($K$7696=0,"","Réf. client : "&amp;INDEX(Clients!$A$2:$A$501,$K$7696))</f>
        <v/>
      </c>
      <c r="F7697" s="27"/>
      <c r="J7697" s="25" t="s">
        <v>144</v>
      </c>
      <c r="K7697" s="25" t="str">
        <f aca="false">IF(IF($K$7696=0,"",INDEX(Clients!$B$2:$B$501,$K$7696)&amp;"")="Mme","Madame",IF(IF($K$7696=0,"",INDEX(Clients!$B$2:$B$501,$K$7696)&amp;"")="M.","Monsieur","Madame, Monsieur"))</f>
        <v>Madame, Monsieur</v>
      </c>
      <c r="L7697" s="25"/>
      <c r="M7697" s="25"/>
      <c r="N7697" s="25"/>
      <c r="O7697" s="25"/>
    </row>
    <row r="7698" customFormat="false" ht="15" hidden="false" customHeight="false" outlineLevel="0" collapsed="false">
      <c r="B7698" s="29" t="str">
        <f aca="false">Cab_Adr1</f>
        <v>141 rue Charles de Gaulle</v>
      </c>
      <c r="C7698" s="29"/>
      <c r="D7698" s="10"/>
      <c r="E7698" s="10"/>
      <c r="F7698" s="10"/>
      <c r="J7698" s="25" t="s">
        <v>145</v>
      </c>
      <c r="K7698" s="25" t="str">
        <f aca="false">DAY(Date_Effet)&amp;IF(DAY(Date_Effet)=1,"er","")&amp;" "&amp;INDEX(Liste_Mois,MONTH(Date_Effet))&amp;" "&amp;YEAR(Date_Effet)</f>
        <v>1er janvier 2027</v>
      </c>
      <c r="L7698" s="25"/>
      <c r="M7698" s="25"/>
      <c r="N7698" s="25"/>
      <c r="O7698" s="25"/>
    </row>
    <row r="7699" customFormat="false" ht="15" hidden="false" customHeight="false" outlineLevel="0" collapsed="false">
      <c r="B7699" s="29" t="str">
        <f aca="false">Cab_CPVille</f>
        <v>95130 LE PLESSIS-BOUCHARD</v>
      </c>
      <c r="C7699" s="29"/>
      <c r="D7699" s="10"/>
      <c r="E7699" s="10"/>
      <c r="F7699" s="10"/>
      <c r="J7699" s="25" t="s">
        <v>146</v>
      </c>
      <c r="K7699" s="25" t="str">
        <f aca="false">IF(SUM($K$7723:$K$7726)=0,"",FIXED((SUM($L$7723:$L$7726)/SUM($K$7723:$K$7726)-1)*100,1)&amp;" %")</f>
        <v/>
      </c>
      <c r="L7699" s="25"/>
      <c r="M7699" s="25"/>
      <c r="N7699" s="25"/>
      <c r="O7699" s="25"/>
    </row>
    <row r="7700" customFormat="false" ht="15" hidden="false" customHeight="false" outlineLevel="0" collapsed="false">
      <c r="B7700" s="29" t="str">
        <f aca="false">Cab_Contact</f>
        <v>Tél. 01 34 14 53 45  ·  altho@altho-experts.com  ·  altho-experts.com</v>
      </c>
      <c r="C7700" s="29"/>
      <c r="D7700" s="10"/>
      <c r="E7700" s="10"/>
      <c r="F7700" s="10"/>
      <c r="J7700" s="25"/>
      <c r="K7700" s="25"/>
      <c r="L7700" s="25"/>
      <c r="M7700" s="25"/>
      <c r="N7700" s="25"/>
      <c r="O7700" s="25"/>
    </row>
    <row r="7701" customFormat="false" ht="6" hidden="false" customHeight="true" outlineLevel="0" collapsed="false">
      <c r="B7701" s="32"/>
      <c r="C7701" s="32"/>
      <c r="D7701" s="32"/>
      <c r="E7701" s="32"/>
      <c r="F7701" s="32"/>
      <c r="J7701" s="25"/>
      <c r="K7701" s="25"/>
      <c r="L7701" s="25"/>
      <c r="M7701" s="25"/>
      <c r="N7701" s="25"/>
      <c r="O7701" s="25"/>
    </row>
    <row r="7702" customFormat="false" ht="13.5" hidden="false" customHeight="true" outlineLevel="0" collapsed="false">
      <c r="B7702" s="10"/>
      <c r="C7702" s="10"/>
      <c r="D7702" s="10"/>
      <c r="E7702" s="10"/>
      <c r="F7702" s="10"/>
      <c r="J7702" s="25"/>
      <c r="K7702" s="25"/>
      <c r="L7702" s="25"/>
      <c r="M7702" s="25"/>
      <c r="N7702" s="25"/>
      <c r="O7702" s="25"/>
    </row>
    <row r="7703" customFormat="false" ht="13.5" hidden="false" customHeight="true" outlineLevel="0" collapsed="false">
      <c r="B7703" s="10"/>
      <c r="C7703" s="10"/>
      <c r="D7703" s="10"/>
      <c r="E7703" s="10"/>
      <c r="F7703" s="10"/>
      <c r="J7703" s="25"/>
      <c r="K7703" s="25"/>
      <c r="L7703" s="25"/>
      <c r="M7703" s="25"/>
      <c r="N7703" s="25"/>
      <c r="O7703" s="25"/>
    </row>
    <row r="7704" customFormat="false" ht="13.5" hidden="false" customHeight="true" outlineLevel="0" collapsed="false">
      <c r="B7704" s="10"/>
      <c r="C7704" s="10"/>
      <c r="D7704" s="10"/>
      <c r="E7704" s="10"/>
      <c r="F7704" s="10"/>
      <c r="J7704" s="25"/>
      <c r="K7704" s="25"/>
      <c r="L7704" s="25"/>
      <c r="M7704" s="25"/>
      <c r="N7704" s="25"/>
      <c r="O7704" s="25"/>
    </row>
    <row r="7705" customFormat="false" ht="15" hidden="false" customHeight="true" outlineLevel="0" collapsed="false">
      <c r="B7705" s="10"/>
      <c r="C7705" s="10"/>
      <c r="D7705" s="34" t="str">
        <f aca="false">IF($K$7696=0,"",INDEX(Clients!$E$2:$E$501,$K$7696)&amp;"")</f>
        <v/>
      </c>
      <c r="E7705" s="34"/>
      <c r="F7705" s="34"/>
      <c r="J7705" s="25"/>
      <c r="K7705" s="25"/>
      <c r="L7705" s="25"/>
      <c r="M7705" s="25"/>
      <c r="N7705" s="25"/>
      <c r="O7705" s="25"/>
    </row>
    <row r="7706" customFormat="false" ht="15" hidden="false" customHeight="true" outlineLevel="0" collapsed="false">
      <c r="B7706" s="10"/>
      <c r="C7706" s="10"/>
      <c r="D7706" s="35" t="str">
        <f aca="false">IF(IF($K$7696=0,"",INDEX(Clients!$D$2:$D$501,$K$7696)&amp;"")="","","À l'attention de "&amp;TRIM(IF($K$7696=0,"",INDEX(Clients!$B$2:$B$501,$K$7696)&amp;"")&amp;" "&amp;IF($K$7696=0,"",INDEX(Clients!$C$2:$C$501,$K$7696)&amp;"")&amp;" "&amp;IF($K$7696=0,"",INDEX(Clients!$D$2:$D$501,$K$7696)&amp;"")))</f>
        <v/>
      </c>
      <c r="E7706" s="35"/>
      <c r="F7706" s="35"/>
      <c r="J7706" s="25"/>
      <c r="K7706" s="25"/>
      <c r="L7706" s="25"/>
      <c r="M7706" s="25"/>
      <c r="N7706" s="25"/>
      <c r="O7706" s="25"/>
    </row>
    <row r="7707" customFormat="false" ht="15" hidden="false" customHeight="true" outlineLevel="0" collapsed="false">
      <c r="B7707" s="10"/>
      <c r="C7707" s="10"/>
      <c r="D7707" s="35" t="str">
        <f aca="false">IF($K$7696=0,"",INDEX(Clients!$F$2:$F$501,$K$7696)&amp;"")</f>
        <v/>
      </c>
      <c r="E7707" s="35"/>
      <c r="F7707" s="35"/>
      <c r="J7707" s="25"/>
      <c r="K7707" s="25"/>
      <c r="L7707" s="25"/>
      <c r="M7707" s="25"/>
      <c r="N7707" s="25"/>
      <c r="O7707" s="25"/>
    </row>
    <row r="7708" customFormat="false" ht="15" hidden="false" customHeight="true" outlineLevel="0" collapsed="false">
      <c r="B7708" s="10"/>
      <c r="C7708" s="10"/>
      <c r="D7708" s="35" t="str">
        <f aca="false">IF(IF($K$7696=0,"",INDEX(Clients!$G$2:$G$501,$K$7696)&amp;"")="",TRIM(IF($K$7696=0,"",INDEX(Clients!$H$2:$H$501,$K$7696)&amp;"")&amp;" "&amp;UPPER(IF($K$7696=0,"",INDEX(Clients!$I$2:$I$501,$K$7696)&amp;""))),IF($K$7696=0,"",INDEX(Clients!$G$2:$G$501,$K$7696)&amp;""))</f>
        <v/>
      </c>
      <c r="E7708" s="35"/>
      <c r="F7708" s="35"/>
      <c r="J7708" s="25"/>
      <c r="K7708" s="25"/>
      <c r="L7708" s="25"/>
      <c r="M7708" s="25"/>
      <c r="N7708" s="25"/>
      <c r="O7708" s="25"/>
    </row>
    <row r="7709" customFormat="false" ht="15" hidden="false" customHeight="true" outlineLevel="0" collapsed="false">
      <c r="B7709" s="10"/>
      <c r="C7709" s="10"/>
      <c r="D7709" s="35" t="str">
        <f aca="false">IF(IF($K$7696=0,"",INDEX(Clients!$G$2:$G$501,$K$7696)&amp;"")="","",TRIM(IF($K$7696=0,"",INDEX(Clients!$H$2:$H$501,$K$7696)&amp;"")&amp;" "&amp;UPPER(IF($K$7696=0,"",INDEX(Clients!$I$2:$I$501,$K$7696)&amp;""))))</f>
        <v/>
      </c>
      <c r="E7709" s="35"/>
      <c r="F7709" s="35"/>
      <c r="J7709" s="25"/>
      <c r="K7709" s="25"/>
      <c r="L7709" s="25"/>
      <c r="M7709" s="25"/>
      <c r="N7709" s="25"/>
      <c r="O7709" s="25"/>
    </row>
    <row r="7710" customFormat="false" ht="25.5" hidden="false" customHeight="true" outlineLevel="0" collapsed="false">
      <c r="B7710" s="10"/>
      <c r="C7710" s="10"/>
      <c r="D7710" s="10"/>
      <c r="E7710" s="10"/>
      <c r="F7710" s="10"/>
      <c r="J7710" s="25"/>
      <c r="K7710" s="25"/>
      <c r="L7710" s="25"/>
      <c r="M7710" s="25"/>
      <c r="N7710" s="25"/>
      <c r="O7710" s="25"/>
    </row>
    <row r="7711" customFormat="false" ht="15" hidden="false" customHeight="false" outlineLevel="0" collapsed="false">
      <c r="B7711" s="10"/>
      <c r="C7711" s="10"/>
      <c r="D7711" s="36" t="str">
        <f aca="false">Cab_Ville&amp;", le "&amp;DAY(Date_Courrier)&amp;IF(DAY(Date_Courrier)=1,"er","")&amp;" "&amp;INDEX(Liste_Mois,MONTH(Date_Courrier))&amp;" "&amp;YEAR(Date_Courrier)</f>
        <v>Le Plessis-Bouchard, le 22 septembre 2026</v>
      </c>
      <c r="E7711" s="36"/>
      <c r="F7711" s="36"/>
      <c r="J7711" s="25"/>
      <c r="K7711" s="25"/>
      <c r="L7711" s="25"/>
      <c r="M7711" s="25"/>
      <c r="N7711" s="25"/>
      <c r="O7711" s="25"/>
    </row>
    <row r="7712" customFormat="false" ht="19.5" hidden="false" customHeight="true" outlineLevel="0" collapsed="false">
      <c r="B7712" s="10"/>
      <c r="C7712" s="10"/>
      <c r="D7712" s="10"/>
      <c r="E7712" s="10"/>
      <c r="F7712" s="10"/>
      <c r="J7712" s="25"/>
      <c r="K7712" s="25"/>
      <c r="L7712" s="25"/>
      <c r="M7712" s="25"/>
      <c r="N7712" s="25"/>
      <c r="O7712" s="25"/>
    </row>
    <row r="7713" customFormat="false" ht="15" hidden="false" customHeight="false" outlineLevel="0" collapsed="false">
      <c r="B7713" s="34" t="str">
        <f aca="false">SUBSTITUTE(SUBSTITUTE(SUBSTITUTE(SUBSTITUTE(SUBSTITUTE(Txt_Objet,"{cabinet}",Cab_Nom),"{societe}",IF($K$7696=0,"",INDEX(Clients!$E$2:$E$501,$K$7696)&amp;"")),"{date_effet}",$K$7698),"{hausse}",$K$7699),"{civilite}",$K$7697)</f>
        <v>Objet : révision de nos honoraires au 1er janvier 2027</v>
      </c>
      <c r="C7713" s="34"/>
      <c r="D7713" s="34"/>
      <c r="E7713" s="34"/>
      <c r="F7713" s="34"/>
      <c r="J7713" s="25"/>
      <c r="K7713" s="25"/>
      <c r="L7713" s="25"/>
      <c r="M7713" s="25"/>
      <c r="N7713" s="25"/>
      <c r="O7713" s="25"/>
    </row>
    <row r="7714" customFormat="false" ht="13.5" hidden="false" customHeight="true" outlineLevel="0" collapsed="false">
      <c r="B7714" s="10"/>
      <c r="C7714" s="10"/>
      <c r="D7714" s="10"/>
      <c r="E7714" s="10"/>
      <c r="F7714" s="10"/>
      <c r="J7714" s="25"/>
      <c r="K7714" s="25"/>
      <c r="L7714" s="25"/>
      <c r="M7714" s="25"/>
      <c r="N7714" s="25"/>
      <c r="O7714" s="25"/>
    </row>
    <row r="7715" customFormat="false" ht="15" hidden="false" customHeight="false" outlineLevel="0" collapsed="false">
      <c r="B7715" s="10" t="str">
        <f aca="false">$K$7697&amp;","</f>
        <v>Madame, Monsieur,</v>
      </c>
      <c r="C7715" s="10"/>
      <c r="D7715" s="10"/>
      <c r="E7715" s="10"/>
      <c r="F7715" s="10"/>
      <c r="J7715" s="25"/>
      <c r="K7715" s="25"/>
      <c r="L7715" s="25"/>
      <c r="M7715" s="25"/>
      <c r="N7715" s="25"/>
      <c r="O7715" s="25"/>
    </row>
    <row r="7716" customFormat="false" ht="6" hidden="false" customHeight="true" outlineLevel="0" collapsed="false">
      <c r="B7716" s="10"/>
      <c r="C7716" s="10"/>
      <c r="D7716" s="10"/>
      <c r="E7716" s="10"/>
      <c r="F7716" s="10"/>
      <c r="J7716" s="25"/>
      <c r="K7716" s="25"/>
      <c r="L7716" s="25"/>
      <c r="M7716" s="25"/>
      <c r="N7716" s="25"/>
      <c r="O7716" s="25"/>
    </row>
    <row r="7717" customFormat="false" ht="36.75" hidden="false" customHeight="true" outlineLevel="0" collapsed="false">
      <c r="B7717" s="37" t="str">
        <f aca="false">SUBSTITUTE(SUBSTITUTE(SUBSTITUTE(SUBSTITUTE(SUBSTITUTE(Txt_P1,"{cabinet}",Cab_Nom),"{societe}",IF($K$7696=0,"",INDEX(Clients!$E$2:$E$501,$K$7696)&amp;"")),"{date_effet}",$K$7698),"{hausse}",$K$7699),"{civilite}",$K$7697)</f>
        <v>Nous tenons tout d'abord à vous remercier pour la confiance que vous accordez à ALTHO EXPERTISE. Comme chaque année, et conformément aux dispositions de votre lettre de mission, nous procédons à la révision de nos honoraires.</v>
      </c>
      <c r="C7717" s="37"/>
      <c r="D7717" s="37"/>
      <c r="E7717" s="37"/>
      <c r="F7717" s="37"/>
      <c r="J7717" s="25"/>
      <c r="K7717" s="25"/>
      <c r="L7717" s="25"/>
      <c r="M7717" s="25"/>
      <c r="N7717" s="25"/>
      <c r="O7717" s="25"/>
    </row>
    <row r="7718" customFormat="false" ht="49.5" hidden="false" customHeight="true" outlineLevel="0" collapsed="false">
      <c r="B7718" s="37" t="str">
        <f aca="false">SUBSTITUTE(SUBSTITUTE(SUBSTITUTE(SUBSTITUTE(SUBSTITUTE(Txt_P2,"{cabinet}",Cab_Nom),"{societe}",IF($K$7696=0,"",INDEX(Clients!$E$2:$E$501,$K$7696)&amp;"")),"{date_effet}",$K$7698),"{hausse}",$K$7699),"{civilite}",$K$7697)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718" s="37"/>
      <c r="D7718" s="37"/>
      <c r="E7718" s="37"/>
      <c r="F7718" s="37"/>
      <c r="J7718" s="25"/>
      <c r="K7718" s="25"/>
      <c r="L7718" s="25"/>
      <c r="M7718" s="25"/>
      <c r="N7718" s="25"/>
      <c r="O7718" s="25"/>
    </row>
    <row r="7719" customFormat="false" ht="63" hidden="false" customHeight="true" outlineLevel="0" collapsed="false">
      <c r="B7719" s="37" t="str">
        <f aca="false">SUBSTITUTE(SUBSTITUTE(SUBSTITUTE(SUBSTITUTE(SUBSTITUTE(Txt_P3,"{cabinet}",Cab_Nom),"{societe}",IF($K$7696=0,"",INDEX(Clients!$E$2:$E$501,$K$7696)&amp;"")),"{date_effet}",$K$7698),"{hausse}",$K$7699),"{civilite}",$K$7697)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719" s="37"/>
      <c r="D7719" s="37"/>
      <c r="E7719" s="37"/>
      <c r="F7719" s="37"/>
      <c r="J7719" s="25"/>
      <c r="K7719" s="25"/>
      <c r="L7719" s="25"/>
      <c r="M7719" s="25"/>
      <c r="N7719" s="25"/>
      <c r="O7719" s="25"/>
    </row>
    <row r="7720" customFormat="false" ht="24" hidden="false" customHeight="true" outlineLevel="0" collapsed="false">
      <c r="B7720" s="37" t="str">
        <f aca="false">SUBSTITUTE(SUBSTITUTE(SUBSTITUTE(SUBSTITUTE(SUBSTITUTE(Txt_P4,"{cabinet}",Cab_Nom),"{societe}",IF($K$7696=0,"",INDEX(Clients!$E$2:$E$501,$K$7696)&amp;"")),"{date_effet}",$K$7698),"{hausse}",$K$7699),"{civilite}",$K$7697)</f>
        <v>À compter du 1er janvier 2027, vos honoraires annuels hors taxes évolueront ainsi (évolution globale : ) :</v>
      </c>
      <c r="C7720" s="37"/>
      <c r="D7720" s="37"/>
      <c r="E7720" s="37"/>
      <c r="F7720" s="37"/>
      <c r="J7720" s="25"/>
      <c r="K7720" s="25"/>
      <c r="L7720" s="25"/>
      <c r="M7720" s="25"/>
      <c r="N7720" s="25"/>
      <c r="O7720" s="25"/>
    </row>
    <row r="7721" customFormat="false" ht="3.75" hidden="false" customHeight="true" outlineLevel="0" collapsed="false">
      <c r="B7721" s="10"/>
      <c r="C7721" s="10"/>
      <c r="D7721" s="10"/>
      <c r="E7721" s="10"/>
      <c r="F7721" s="10"/>
      <c r="J7721" s="25"/>
      <c r="K7721" s="25"/>
      <c r="L7721" s="25"/>
      <c r="M7721" s="25"/>
      <c r="N7721" s="25"/>
      <c r="O7721" s="25"/>
    </row>
    <row r="7722" customFormat="false" ht="18" hidden="false" customHeight="true" outlineLevel="0" collapsed="false">
      <c r="B7722" s="38" t="s">
        <v>148</v>
      </c>
      <c r="C7722" s="39" t="s">
        <v>149</v>
      </c>
      <c r="D7722" s="39" t="s">
        <v>150</v>
      </c>
      <c r="E7722" s="39" t="s">
        <v>151</v>
      </c>
      <c r="F7722" s="39" t="s">
        <v>109</v>
      </c>
      <c r="J7722" s="25" t="s">
        <v>152</v>
      </c>
      <c r="K7722" s="25" t="s">
        <v>153</v>
      </c>
      <c r="L7722" s="25" t="s">
        <v>154</v>
      </c>
      <c r="M7722" s="25" t="s">
        <v>155</v>
      </c>
      <c r="N7722" s="25" t="s">
        <v>156</v>
      </c>
      <c r="O7722" s="25" t="s">
        <v>157</v>
      </c>
    </row>
    <row r="7723" customFormat="false" ht="16.5" hidden="false" customHeight="true" outlineLevel="0" collapsed="false">
      <c r="B7723" s="40" t="str">
        <f aca="false">IFERROR(INDEX($J$7723:$J$7726,MATCH($O7723,$N$7723:$N$7726,0)),"")</f>
        <v/>
      </c>
      <c r="C7723" s="41" t="str">
        <f aca="false">IFERROR(INDEX($K$7723:$K$7726,MATCH($O7723,$N$7723:$N$7726,0)),"")</f>
        <v/>
      </c>
      <c r="D7723" s="42" t="str">
        <f aca="false">IF(OR(E7723="",N(C7723)=0),"",E7723/C7723-1)</f>
        <v/>
      </c>
      <c r="E7723" s="41" t="str">
        <f aca="false">IFERROR(INDEX($L$7723:$L$7726,MATCH($O7723,$N$7723:$N$7726,0)),"")</f>
        <v/>
      </c>
      <c r="F7723" s="41" t="str">
        <f aca="false">IF(E7723="","",E7723-C7723)</f>
        <v/>
      </c>
      <c r="J7723" s="25" t="str">
        <f aca="false">Lib_Compta</f>
        <v>Mission comptable (tenue, révision, bilan, liasse fiscale)</v>
      </c>
      <c r="K7723" s="25" t="n">
        <f aca="false">IF($K$7696=0,0,N(INDEX(Clients!$K$2:$K$501,$K$7696)))</f>
        <v>0</v>
      </c>
      <c r="L7723" s="25" t="n">
        <f aca="false">IF($K$7696=0,0,N(INDEX(Clients!$P$2:$P$501,$K$7696)))</f>
        <v>0</v>
      </c>
      <c r="M7723" s="25" t="n">
        <f aca="false">IF(OR(K7723&lt;&gt;0,L7723&lt;&gt;0),1,0)</f>
        <v>0</v>
      </c>
      <c r="N7723" s="25" t="str">
        <f aca="false">IF(M7723=1,SUM($M$7723:M7723),"")</f>
        <v/>
      </c>
      <c r="O7723" s="25" t="n">
        <v>1</v>
      </c>
    </row>
    <row r="7724" customFormat="false" ht="16.5" hidden="false" customHeight="true" outlineLevel="0" collapsed="false">
      <c r="B7724" s="40" t="str">
        <f aca="false">IFERROR(INDEX($J$7723:$J$7726,MATCH($O7724,$N$7723:$N$7726,0)),"")</f>
        <v/>
      </c>
      <c r="C7724" s="41" t="str">
        <f aca="false">IFERROR(INDEX($K$7723:$K$7726,MATCH($O7724,$N$7723:$N$7726,0)),"")</f>
        <v/>
      </c>
      <c r="D7724" s="42" t="str">
        <f aca="false">IF(OR(E7724="",N(C7724)=0),"",E7724/C7724-1)</f>
        <v/>
      </c>
      <c r="E7724" s="41" t="str">
        <f aca="false">IFERROR(INDEX($L$7723:$L$7726,MATCH($O7724,$N$7723:$N$7726,0)),"")</f>
        <v/>
      </c>
      <c r="F7724" s="41" t="str">
        <f aca="false">IF(E7724="","",E7724-C7724)</f>
        <v/>
      </c>
      <c r="J7724" s="25" t="str">
        <f aca="false">Lib_Paye</f>
        <v>Mission sociale (bulletins de paie, DSN, déclarations sociales)</v>
      </c>
      <c r="K7724" s="25" t="n">
        <f aca="false">IF($K$7696=0,0,N(INDEX(Clients!$L$2:$L$501,$K$7696)))</f>
        <v>0</v>
      </c>
      <c r="L7724" s="25" t="n">
        <f aca="false">IF($K$7696=0,0,N(INDEX(Clients!$Q$2:$Q$501,$K$7696)))</f>
        <v>0</v>
      </c>
      <c r="M7724" s="25" t="n">
        <f aca="false">IF(OR(K7724&lt;&gt;0,L7724&lt;&gt;0),1,0)</f>
        <v>0</v>
      </c>
      <c r="N7724" s="25" t="str">
        <f aca="false">IF(M7724=1,SUM($M$7723:M7724),"")</f>
        <v/>
      </c>
      <c r="O7724" s="25" t="n">
        <v>2</v>
      </c>
    </row>
    <row r="7725" customFormat="false" ht="16.5" hidden="false" customHeight="true" outlineLevel="0" collapsed="false">
      <c r="B7725" s="40" t="str">
        <f aca="false">IFERROR(INDEX($J$7723:$J$7726,MATCH($O7725,$N$7723:$N$7726,0)),"")</f>
        <v/>
      </c>
      <c r="C7725" s="41" t="str">
        <f aca="false">IFERROR(INDEX($K$7723:$K$7726,MATCH($O7725,$N$7723:$N$7726,0)),"")</f>
        <v/>
      </c>
      <c r="D7725" s="42" t="str">
        <f aca="false">IF(OR(E7725="",N(C7725)=0),"",E7725/C7725-1)</f>
        <v/>
      </c>
      <c r="E7725" s="41" t="str">
        <f aca="false">IFERROR(INDEX($L$7723:$L$7726,MATCH($O7725,$N$7723:$N$7726,0)),"")</f>
        <v/>
      </c>
      <c r="F7725" s="41" t="str">
        <f aca="false">IF(E7725="","",E7725-C7725)</f>
        <v/>
      </c>
      <c r="J7725" s="25" t="str">
        <f aca="false">Lib_Jur</f>
        <v>Mission juridique (approbation des comptes, secrétariat juridique)</v>
      </c>
      <c r="K7725" s="25" t="n">
        <f aca="false">IF($K$7696=0,0,N(INDEX(Clients!$M$2:$M$501,$K$7696)))</f>
        <v>0</v>
      </c>
      <c r="L7725" s="25" t="n">
        <f aca="false">IF($K$7696=0,0,N(INDEX(Clients!$R$2:$R$501,$K$7696)))</f>
        <v>0</v>
      </c>
      <c r="M7725" s="25" t="n">
        <f aca="false">IF(OR(K7725&lt;&gt;0,L7725&lt;&gt;0),1,0)</f>
        <v>0</v>
      </c>
      <c r="N7725" s="25" t="str">
        <f aca="false">IF(M7725=1,SUM($M$7723:M7725),"")</f>
        <v/>
      </c>
      <c r="O7725" s="25" t="n">
        <v>3</v>
      </c>
    </row>
    <row r="7726" customFormat="false" ht="16.5" hidden="false" customHeight="true" outlineLevel="0" collapsed="false">
      <c r="B7726" s="40" t="str">
        <f aca="false">IFERROR(INDEX($J$7723:$J$7726,MATCH($O7726,$N$7723:$N$7726,0)),"")</f>
        <v/>
      </c>
      <c r="C7726" s="41" t="str">
        <f aca="false">IFERROR(INDEX($K$7723:$K$7726,MATCH($O7726,$N$7723:$N$7726,0)),"")</f>
        <v/>
      </c>
      <c r="D7726" s="42" t="str">
        <f aca="false">IF(OR(E7726="",N(C7726)=0),"",E7726/C7726-1)</f>
        <v/>
      </c>
      <c r="E7726" s="41" t="str">
        <f aca="false">IFERROR(INDEX($L$7723:$L$7726,MATCH($O7726,$N$7723:$N$7726,0)),"")</f>
        <v/>
      </c>
      <c r="F7726" s="41" t="str">
        <f aca="false">IF(E7726="","",E7726-C7726)</f>
        <v/>
      </c>
      <c r="J7726" s="25" t="str">
        <f aca="false">Lib_PA</f>
        <v>Plateforme agréée – facturation électronique</v>
      </c>
      <c r="K7726" s="25" t="n">
        <f aca="false">IF($K$7696=0,0,N(INDEX(Clients!$N$2:$N$501,$K$7696)))</f>
        <v>0</v>
      </c>
      <c r="L7726" s="25" t="n">
        <f aca="false">IF($K$7696=0,0,N(INDEX(Clients!$S$2:$S$501,$K$7696)))</f>
        <v>0</v>
      </c>
      <c r="M7726" s="25" t="n">
        <f aca="false">IF(OR(K7726&lt;&gt;0,L7726&lt;&gt;0),1,0)</f>
        <v>0</v>
      </c>
      <c r="N7726" s="25" t="str">
        <f aca="false">IF(M7726=1,SUM($M$7723:M7726),"")</f>
        <v/>
      </c>
      <c r="O7726" s="25" t="n">
        <v>4</v>
      </c>
    </row>
    <row r="7727" customFormat="false" ht="18" hidden="false" customHeight="true" outlineLevel="0" collapsed="false">
      <c r="B7727" s="43" t="s">
        <v>158</v>
      </c>
      <c r="C7727" s="44" t="n">
        <f aca="false">SUM(K7723:K7726)</f>
        <v>0</v>
      </c>
      <c r="D7727" s="45" t="str">
        <f aca="false">IF(N(C7727)=0,"",E7727/C7727-1)</f>
        <v/>
      </c>
      <c r="E7727" s="44" t="n">
        <f aca="false">SUM(L7723:L7726)</f>
        <v>0</v>
      </c>
      <c r="F7727" s="44" t="n">
        <f aca="false">E7727-C7727</f>
        <v>0</v>
      </c>
    </row>
    <row r="7728" customFormat="false" ht="15" hidden="false" customHeight="false" outlineLevel="0" collapsed="false">
      <c r="B7728" s="46" t="str">
        <f aca="false">IF(N(Nb_Mensualites)=0,"","Soit "&amp;FIXED(E7727/Nb_Mensualites,2)&amp;" € HT par échéance ("&amp;Nb_Mensualites&amp;" échéances), "&amp;FIXED(E7727/Nb_Mensualites*(1+Taux_TVA),2)&amp;" € TTC.")</f>
        <v>Soit 0.00 € HT par échéance (12 échéances), 0.00 € TTC.</v>
      </c>
      <c r="C7728" s="46"/>
      <c r="D7728" s="46"/>
      <c r="E7728" s="46"/>
      <c r="F7728" s="46"/>
    </row>
    <row r="7729" customFormat="false" ht="7.5" hidden="false" customHeight="true" outlineLevel="0" collapsed="false">
      <c r="B7729" s="10"/>
      <c r="C7729" s="10"/>
      <c r="D7729" s="10"/>
      <c r="E7729" s="10"/>
      <c r="F7729" s="10"/>
    </row>
    <row r="7730" customFormat="false" ht="36.75" hidden="false" customHeight="true" outlineLevel="0" collapsed="false">
      <c r="B7730" s="37" t="str">
        <f aca="false">SUBSTITUTE(SUBSTITUTE(SUBSTITUTE(SUBSTITUTE(SUBSTITUTE(Txt_P5,"{cabinet}",Cab_Nom),"{societe}",IF($K$7696=0,"",INDEX(Clients!$E$2:$E$501,$K$7696)&amp;"")),"{date_effet}",$K$7698),"{hausse}",$K$7699),"{civilite}",$K$7697)</f>
        <v>Les autres conditions de votre lettre de mission demeurent inchangées. Les nouveaux montants seront appliqués automatiquement sur vos prochaines factures et échéances de prélèvement.</v>
      </c>
      <c r="C7730" s="37"/>
      <c r="D7730" s="37"/>
      <c r="E7730" s="37"/>
      <c r="F7730" s="37"/>
    </row>
    <row r="7731" customFormat="false" ht="36.75" hidden="false" customHeight="true" outlineLevel="0" collapsed="false">
      <c r="B7731" s="37" t="str">
        <f aca="false">SUBSTITUTE(SUBSTITUTE(SUBSTITUTE(SUBSTITUTE(SUBSTITUTE(Txt_P6,"{cabinet}",Cab_Nom),"{societe}",IF($K$7696=0,"",INDEX(Clients!$E$2:$E$501,$K$7696)&amp;"")),"{date_effet}",$K$7698),"{hausse}",$K$7699),"{civilite}",$K$7697)</f>
        <v>Votre interlocuteur habituel reste à votre entière disposition pour répondre à vos questions et faire le point sur l'évolution de vos besoins.</v>
      </c>
      <c r="C7731" s="37"/>
      <c r="D7731" s="37"/>
      <c r="E7731" s="37"/>
      <c r="F7731" s="37"/>
    </row>
    <row r="7732" customFormat="false" ht="24" hidden="false" customHeight="true" outlineLevel="0" collapsed="false">
      <c r="B7732" s="37" t="str">
        <f aca="false">SUBSTITUTE(SUBSTITUTE(SUBSTITUTE(SUBSTITUTE(SUBSTITUTE(Txt_Politesse,"{cabinet}",Cab_Nom),"{societe}",IF($K$7696=0,"",INDEX(Clients!$E$2:$E$501,$K$7696)&amp;"")),"{date_effet}",$K$7698),"{hausse}",$K$7699),"{civilite}",$K$7697)</f>
        <v>Nous vous prions d'agréer, Madame, Monsieur, l'expression de nos salutations distinguées.</v>
      </c>
      <c r="C7732" s="37"/>
      <c r="D7732" s="37"/>
      <c r="E7732" s="37"/>
      <c r="F7732" s="37"/>
    </row>
    <row r="7733" customFormat="false" ht="15" hidden="false" customHeight="false" outlineLevel="0" collapsed="false">
      <c r="B7733" s="10"/>
      <c r="C7733" s="10"/>
      <c r="D7733" s="10"/>
      <c r="E7733" s="10"/>
      <c r="F7733" s="10"/>
    </row>
    <row r="7734" customFormat="false" ht="15" hidden="false" customHeight="false" outlineLevel="0" collapsed="false">
      <c r="B7734" s="10"/>
      <c r="C7734" s="10"/>
      <c r="D7734" s="34" t="str">
        <f aca="false">Signataire</f>
        <v>Prénom NOM</v>
      </c>
      <c r="E7734" s="34"/>
      <c r="F7734" s="34"/>
    </row>
    <row r="7735" customFormat="false" ht="15" hidden="false" customHeight="false" outlineLevel="0" collapsed="false">
      <c r="B7735" s="10"/>
      <c r="C7735" s="10"/>
      <c r="D7735" s="47" t="str">
        <f aca="false">Signataire_Titre</f>
        <v>Expert-comptable associé</v>
      </c>
      <c r="E7735" s="47"/>
      <c r="F7735" s="47"/>
    </row>
    <row r="7736" customFormat="false" ht="15.75" hidden="false" customHeight="true" outlineLevel="0" collapsed="false">
      <c r="B7736" s="10"/>
      <c r="C7736" s="10"/>
      <c r="D7736" s="10"/>
      <c r="E7736" s="10"/>
      <c r="F7736" s="10"/>
    </row>
    <row r="7737" customFormat="false" ht="15.75" hidden="false" customHeight="true" outlineLevel="0" collapsed="false">
      <c r="B7737" s="10"/>
      <c r="C7737" s="10"/>
      <c r="D7737" s="10"/>
      <c r="E7737" s="10"/>
      <c r="F7737" s="10"/>
    </row>
    <row r="7738" customFormat="false" ht="15.75" hidden="false" customHeight="true" outlineLevel="0" collapsed="false">
      <c r="B7738" s="10"/>
      <c r="C7738" s="10"/>
      <c r="D7738" s="10"/>
      <c r="E7738" s="10"/>
      <c r="F7738" s="10"/>
    </row>
    <row r="7739" customFormat="false" ht="15.75" hidden="false" customHeight="true" outlineLevel="0" collapsed="false">
      <c r="B7739" s="10"/>
      <c r="C7739" s="10"/>
      <c r="D7739" s="10"/>
      <c r="E7739" s="10"/>
      <c r="F7739" s="10"/>
    </row>
    <row r="7740" customFormat="false" ht="24" hidden="false" customHeight="true" outlineLevel="0" collapsed="false">
      <c r="B7740" s="48" t="str">
        <f aca="false">Cab_Mentions</f>
        <v>ALTHO EXPERTISE · SAS au capital de 10 000 € · RCS Pontoise 919 706 325 · TVA FR62919706325 · Société d'expertise comptable inscrite au Tableau de l'Ordre des experts-comptables de Paris Île-de-France</v>
      </c>
      <c r="C7740" s="48"/>
      <c r="D7740" s="48"/>
      <c r="E7740" s="48"/>
      <c r="F7740" s="48"/>
    </row>
    <row r="7741" customFormat="false" ht="15" hidden="false" customHeight="false" outlineLevel="0" collapsed="false">
      <c r="B7741" s="10"/>
      <c r="C7741" s="10"/>
      <c r="D7741" s="10"/>
      <c r="E7741" s="10"/>
      <c r="F7741" s="10"/>
      <c r="J7741" s="25" t="s">
        <v>142</v>
      </c>
      <c r="K7741" s="25" t="n">
        <f aca="false">IFERROR(MATCH(173,Clients!$Z$2:$Z$501,0),0)</f>
        <v>0</v>
      </c>
      <c r="L7741" s="25"/>
      <c r="M7741" s="25"/>
      <c r="N7741" s="25"/>
      <c r="O7741" s="25"/>
    </row>
    <row r="7742" customFormat="false" ht="21.75" hidden="false" customHeight="true" outlineLevel="0" collapsed="false">
      <c r="B7742" s="26" t="str">
        <f aca="false">Cab_Nom</f>
        <v>ALTHO EXPERTISE</v>
      </c>
      <c r="C7742" s="26"/>
      <c r="D7742" s="10"/>
      <c r="E7742" s="27" t="str">
        <f aca="false">IF($K$7741=0,"","Réf. client : "&amp;INDEX(Clients!$A$2:$A$501,$K$7741))</f>
        <v/>
      </c>
      <c r="F7742" s="27"/>
      <c r="J7742" s="25" t="s">
        <v>144</v>
      </c>
      <c r="K7742" s="25" t="str">
        <f aca="false">IF(IF($K$7741=0,"",INDEX(Clients!$B$2:$B$501,$K$7741)&amp;"")="Mme","Madame",IF(IF($K$7741=0,"",INDEX(Clients!$B$2:$B$501,$K$7741)&amp;"")="M.","Monsieur","Madame, Monsieur"))</f>
        <v>Madame, Monsieur</v>
      </c>
      <c r="L7742" s="25"/>
      <c r="M7742" s="25"/>
      <c r="N7742" s="25"/>
      <c r="O7742" s="25"/>
    </row>
    <row r="7743" customFormat="false" ht="15" hidden="false" customHeight="false" outlineLevel="0" collapsed="false">
      <c r="B7743" s="29" t="str">
        <f aca="false">Cab_Adr1</f>
        <v>141 rue Charles de Gaulle</v>
      </c>
      <c r="C7743" s="29"/>
      <c r="D7743" s="10"/>
      <c r="E7743" s="10"/>
      <c r="F7743" s="10"/>
      <c r="J7743" s="25" t="s">
        <v>145</v>
      </c>
      <c r="K7743" s="25" t="str">
        <f aca="false">DAY(Date_Effet)&amp;IF(DAY(Date_Effet)=1,"er","")&amp;" "&amp;INDEX(Liste_Mois,MONTH(Date_Effet))&amp;" "&amp;YEAR(Date_Effet)</f>
        <v>1er janvier 2027</v>
      </c>
      <c r="L7743" s="25"/>
      <c r="M7743" s="25"/>
      <c r="N7743" s="25"/>
      <c r="O7743" s="25"/>
    </row>
    <row r="7744" customFormat="false" ht="15" hidden="false" customHeight="false" outlineLevel="0" collapsed="false">
      <c r="B7744" s="29" t="str">
        <f aca="false">Cab_CPVille</f>
        <v>95130 LE PLESSIS-BOUCHARD</v>
      </c>
      <c r="C7744" s="29"/>
      <c r="D7744" s="10"/>
      <c r="E7744" s="10"/>
      <c r="F7744" s="10"/>
      <c r="J7744" s="25" t="s">
        <v>146</v>
      </c>
      <c r="K7744" s="25" t="str">
        <f aca="false">IF(SUM($K$7768:$K$7771)=0,"",FIXED((SUM($L$7768:$L$7771)/SUM($K$7768:$K$7771)-1)*100,1)&amp;" %")</f>
        <v/>
      </c>
      <c r="L7744" s="25"/>
      <c r="M7744" s="25"/>
      <c r="N7744" s="25"/>
      <c r="O7744" s="25"/>
    </row>
    <row r="7745" customFormat="false" ht="15" hidden="false" customHeight="false" outlineLevel="0" collapsed="false">
      <c r="B7745" s="29" t="str">
        <f aca="false">Cab_Contact</f>
        <v>Tél. 01 34 14 53 45  ·  altho@altho-experts.com  ·  altho-experts.com</v>
      </c>
      <c r="C7745" s="29"/>
      <c r="D7745" s="10"/>
      <c r="E7745" s="10"/>
      <c r="F7745" s="10"/>
      <c r="J7745" s="25"/>
      <c r="K7745" s="25"/>
      <c r="L7745" s="25"/>
      <c r="M7745" s="25"/>
      <c r="N7745" s="25"/>
      <c r="O7745" s="25"/>
    </row>
    <row r="7746" customFormat="false" ht="6" hidden="false" customHeight="true" outlineLevel="0" collapsed="false">
      <c r="B7746" s="32"/>
      <c r="C7746" s="32"/>
      <c r="D7746" s="32"/>
      <c r="E7746" s="32"/>
      <c r="F7746" s="32"/>
      <c r="J7746" s="25"/>
      <c r="K7746" s="25"/>
      <c r="L7746" s="25"/>
      <c r="M7746" s="25"/>
      <c r="N7746" s="25"/>
      <c r="O7746" s="25"/>
    </row>
    <row r="7747" customFormat="false" ht="13.5" hidden="false" customHeight="true" outlineLevel="0" collapsed="false">
      <c r="B7747" s="10"/>
      <c r="C7747" s="10"/>
      <c r="D7747" s="10"/>
      <c r="E7747" s="10"/>
      <c r="F7747" s="10"/>
      <c r="J7747" s="25"/>
      <c r="K7747" s="25"/>
      <c r="L7747" s="25"/>
      <c r="M7747" s="25"/>
      <c r="N7747" s="25"/>
      <c r="O7747" s="25"/>
    </row>
    <row r="7748" customFormat="false" ht="13.5" hidden="false" customHeight="true" outlineLevel="0" collapsed="false">
      <c r="B7748" s="10"/>
      <c r="C7748" s="10"/>
      <c r="D7748" s="10"/>
      <c r="E7748" s="10"/>
      <c r="F7748" s="10"/>
      <c r="J7748" s="25"/>
      <c r="K7748" s="25"/>
      <c r="L7748" s="25"/>
      <c r="M7748" s="25"/>
      <c r="N7748" s="25"/>
      <c r="O7748" s="25"/>
    </row>
    <row r="7749" customFormat="false" ht="13.5" hidden="false" customHeight="true" outlineLevel="0" collapsed="false">
      <c r="B7749" s="10"/>
      <c r="C7749" s="10"/>
      <c r="D7749" s="10"/>
      <c r="E7749" s="10"/>
      <c r="F7749" s="10"/>
      <c r="J7749" s="25"/>
      <c r="K7749" s="25"/>
      <c r="L7749" s="25"/>
      <c r="M7749" s="25"/>
      <c r="N7749" s="25"/>
      <c r="O7749" s="25"/>
    </row>
    <row r="7750" customFormat="false" ht="15" hidden="false" customHeight="true" outlineLevel="0" collapsed="false">
      <c r="B7750" s="10"/>
      <c r="C7750" s="10"/>
      <c r="D7750" s="34" t="str">
        <f aca="false">IF($K$7741=0,"",INDEX(Clients!$E$2:$E$501,$K$7741)&amp;"")</f>
        <v/>
      </c>
      <c r="E7750" s="34"/>
      <c r="F7750" s="34"/>
      <c r="J7750" s="25"/>
      <c r="K7750" s="25"/>
      <c r="L7750" s="25"/>
      <c r="M7750" s="25"/>
      <c r="N7750" s="25"/>
      <c r="O7750" s="25"/>
    </row>
    <row r="7751" customFormat="false" ht="15" hidden="false" customHeight="true" outlineLevel="0" collapsed="false">
      <c r="B7751" s="10"/>
      <c r="C7751" s="10"/>
      <c r="D7751" s="35" t="str">
        <f aca="false">IF(IF($K$7741=0,"",INDEX(Clients!$D$2:$D$501,$K$7741)&amp;"")="","","À l'attention de "&amp;TRIM(IF($K$7741=0,"",INDEX(Clients!$B$2:$B$501,$K$7741)&amp;"")&amp;" "&amp;IF($K$7741=0,"",INDEX(Clients!$C$2:$C$501,$K$7741)&amp;"")&amp;" "&amp;IF($K$7741=0,"",INDEX(Clients!$D$2:$D$501,$K$7741)&amp;"")))</f>
        <v/>
      </c>
      <c r="E7751" s="35"/>
      <c r="F7751" s="35"/>
      <c r="J7751" s="25"/>
      <c r="K7751" s="25"/>
      <c r="L7751" s="25"/>
      <c r="M7751" s="25"/>
      <c r="N7751" s="25"/>
      <c r="O7751" s="25"/>
    </row>
    <row r="7752" customFormat="false" ht="15" hidden="false" customHeight="true" outlineLevel="0" collapsed="false">
      <c r="B7752" s="10"/>
      <c r="C7752" s="10"/>
      <c r="D7752" s="35" t="str">
        <f aca="false">IF($K$7741=0,"",INDEX(Clients!$F$2:$F$501,$K$7741)&amp;"")</f>
        <v/>
      </c>
      <c r="E7752" s="35"/>
      <c r="F7752" s="35"/>
      <c r="J7752" s="25"/>
      <c r="K7752" s="25"/>
      <c r="L7752" s="25"/>
      <c r="M7752" s="25"/>
      <c r="N7752" s="25"/>
      <c r="O7752" s="25"/>
    </row>
    <row r="7753" customFormat="false" ht="15" hidden="false" customHeight="true" outlineLevel="0" collapsed="false">
      <c r="B7753" s="10"/>
      <c r="C7753" s="10"/>
      <c r="D7753" s="35" t="str">
        <f aca="false">IF(IF($K$7741=0,"",INDEX(Clients!$G$2:$G$501,$K$7741)&amp;"")="",TRIM(IF($K$7741=0,"",INDEX(Clients!$H$2:$H$501,$K$7741)&amp;"")&amp;" "&amp;UPPER(IF($K$7741=0,"",INDEX(Clients!$I$2:$I$501,$K$7741)&amp;""))),IF($K$7741=0,"",INDEX(Clients!$G$2:$G$501,$K$7741)&amp;""))</f>
        <v/>
      </c>
      <c r="E7753" s="35"/>
      <c r="F7753" s="35"/>
      <c r="J7753" s="25"/>
      <c r="K7753" s="25"/>
      <c r="L7753" s="25"/>
      <c r="M7753" s="25"/>
      <c r="N7753" s="25"/>
      <c r="O7753" s="25"/>
    </row>
    <row r="7754" customFormat="false" ht="15" hidden="false" customHeight="true" outlineLevel="0" collapsed="false">
      <c r="B7754" s="10"/>
      <c r="C7754" s="10"/>
      <c r="D7754" s="35" t="str">
        <f aca="false">IF(IF($K$7741=0,"",INDEX(Clients!$G$2:$G$501,$K$7741)&amp;"")="","",TRIM(IF($K$7741=0,"",INDEX(Clients!$H$2:$H$501,$K$7741)&amp;"")&amp;" "&amp;UPPER(IF($K$7741=0,"",INDEX(Clients!$I$2:$I$501,$K$7741)&amp;""))))</f>
        <v/>
      </c>
      <c r="E7754" s="35"/>
      <c r="F7754" s="35"/>
      <c r="J7754" s="25"/>
      <c r="K7754" s="25"/>
      <c r="L7754" s="25"/>
      <c r="M7754" s="25"/>
      <c r="N7754" s="25"/>
      <c r="O7754" s="25"/>
    </row>
    <row r="7755" customFormat="false" ht="25.5" hidden="false" customHeight="true" outlineLevel="0" collapsed="false">
      <c r="B7755" s="10"/>
      <c r="C7755" s="10"/>
      <c r="D7755" s="10"/>
      <c r="E7755" s="10"/>
      <c r="F7755" s="10"/>
      <c r="J7755" s="25"/>
      <c r="K7755" s="25"/>
      <c r="L7755" s="25"/>
      <c r="M7755" s="25"/>
      <c r="N7755" s="25"/>
      <c r="O7755" s="25"/>
    </row>
    <row r="7756" customFormat="false" ht="15" hidden="false" customHeight="false" outlineLevel="0" collapsed="false">
      <c r="B7756" s="10"/>
      <c r="C7756" s="10"/>
      <c r="D7756" s="36" t="str">
        <f aca="false">Cab_Ville&amp;", le "&amp;DAY(Date_Courrier)&amp;IF(DAY(Date_Courrier)=1,"er","")&amp;" "&amp;INDEX(Liste_Mois,MONTH(Date_Courrier))&amp;" "&amp;YEAR(Date_Courrier)</f>
        <v>Le Plessis-Bouchard, le 22 septembre 2026</v>
      </c>
      <c r="E7756" s="36"/>
      <c r="F7756" s="36"/>
      <c r="J7756" s="25"/>
      <c r="K7756" s="25"/>
      <c r="L7756" s="25"/>
      <c r="M7756" s="25"/>
      <c r="N7756" s="25"/>
      <c r="O7756" s="25"/>
    </row>
    <row r="7757" customFormat="false" ht="19.5" hidden="false" customHeight="true" outlineLevel="0" collapsed="false">
      <c r="B7757" s="10"/>
      <c r="C7757" s="10"/>
      <c r="D7757" s="10"/>
      <c r="E7757" s="10"/>
      <c r="F7757" s="10"/>
      <c r="J7757" s="25"/>
      <c r="K7757" s="25"/>
      <c r="L7757" s="25"/>
      <c r="M7757" s="25"/>
      <c r="N7757" s="25"/>
      <c r="O7757" s="25"/>
    </row>
    <row r="7758" customFormat="false" ht="15" hidden="false" customHeight="false" outlineLevel="0" collapsed="false">
      <c r="B7758" s="34" t="str">
        <f aca="false">SUBSTITUTE(SUBSTITUTE(SUBSTITUTE(SUBSTITUTE(SUBSTITUTE(Txt_Objet,"{cabinet}",Cab_Nom),"{societe}",IF($K$7741=0,"",INDEX(Clients!$E$2:$E$501,$K$7741)&amp;"")),"{date_effet}",$K$7743),"{hausse}",$K$7744),"{civilite}",$K$7742)</f>
        <v>Objet : révision de nos honoraires au 1er janvier 2027</v>
      </c>
      <c r="C7758" s="34"/>
      <c r="D7758" s="34"/>
      <c r="E7758" s="34"/>
      <c r="F7758" s="34"/>
      <c r="J7758" s="25"/>
      <c r="K7758" s="25"/>
      <c r="L7758" s="25"/>
      <c r="M7758" s="25"/>
      <c r="N7758" s="25"/>
      <c r="O7758" s="25"/>
    </row>
    <row r="7759" customFormat="false" ht="13.5" hidden="false" customHeight="true" outlineLevel="0" collapsed="false">
      <c r="B7759" s="10"/>
      <c r="C7759" s="10"/>
      <c r="D7759" s="10"/>
      <c r="E7759" s="10"/>
      <c r="F7759" s="10"/>
      <c r="J7759" s="25"/>
      <c r="K7759" s="25"/>
      <c r="L7759" s="25"/>
      <c r="M7759" s="25"/>
      <c r="N7759" s="25"/>
      <c r="O7759" s="25"/>
    </row>
    <row r="7760" customFormat="false" ht="15" hidden="false" customHeight="false" outlineLevel="0" collapsed="false">
      <c r="B7760" s="10" t="str">
        <f aca="false">$K$7742&amp;","</f>
        <v>Madame, Monsieur,</v>
      </c>
      <c r="C7760" s="10"/>
      <c r="D7760" s="10"/>
      <c r="E7760" s="10"/>
      <c r="F7760" s="10"/>
      <c r="J7760" s="25"/>
      <c r="K7760" s="25"/>
      <c r="L7760" s="25"/>
      <c r="M7760" s="25"/>
      <c r="N7760" s="25"/>
      <c r="O7760" s="25"/>
    </row>
    <row r="7761" customFormat="false" ht="6" hidden="false" customHeight="true" outlineLevel="0" collapsed="false">
      <c r="B7761" s="10"/>
      <c r="C7761" s="10"/>
      <c r="D7761" s="10"/>
      <c r="E7761" s="10"/>
      <c r="F7761" s="10"/>
      <c r="J7761" s="25"/>
      <c r="K7761" s="25"/>
      <c r="L7761" s="25"/>
      <c r="M7761" s="25"/>
      <c r="N7761" s="25"/>
      <c r="O7761" s="25"/>
    </row>
    <row r="7762" customFormat="false" ht="36.75" hidden="false" customHeight="true" outlineLevel="0" collapsed="false">
      <c r="B7762" s="37" t="str">
        <f aca="false">SUBSTITUTE(SUBSTITUTE(SUBSTITUTE(SUBSTITUTE(SUBSTITUTE(Txt_P1,"{cabinet}",Cab_Nom),"{societe}",IF($K$7741=0,"",INDEX(Clients!$E$2:$E$501,$K$7741)&amp;"")),"{date_effet}",$K$7743),"{hausse}",$K$7744),"{civilite}",$K$7742)</f>
        <v>Nous tenons tout d'abord à vous remercier pour la confiance que vous accordez à ALTHO EXPERTISE. Comme chaque année, et conformément aux dispositions de votre lettre de mission, nous procédons à la révision de nos honoraires.</v>
      </c>
      <c r="C7762" s="37"/>
      <c r="D7762" s="37"/>
      <c r="E7762" s="37"/>
      <c r="F7762" s="37"/>
      <c r="J7762" s="25"/>
      <c r="K7762" s="25"/>
      <c r="L7762" s="25"/>
      <c r="M7762" s="25"/>
      <c r="N7762" s="25"/>
      <c r="O7762" s="25"/>
    </row>
    <row r="7763" customFormat="false" ht="49.5" hidden="false" customHeight="true" outlineLevel="0" collapsed="false">
      <c r="B7763" s="37" t="str">
        <f aca="false">SUBSTITUTE(SUBSTITUTE(SUBSTITUTE(SUBSTITUTE(SUBSTITUTE(Txt_P2,"{cabinet}",Cab_Nom),"{societe}",IF($K$7741=0,"",INDEX(Clients!$E$2:$E$501,$K$7741)&amp;"")),"{date_effet}",$K$7743),"{hausse}",$K$7744),"{civilite}",$K$7742)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763" s="37"/>
      <c r="D7763" s="37"/>
      <c r="E7763" s="37"/>
      <c r="F7763" s="37"/>
      <c r="J7763" s="25"/>
      <c r="K7763" s="25"/>
      <c r="L7763" s="25"/>
      <c r="M7763" s="25"/>
      <c r="N7763" s="25"/>
      <c r="O7763" s="25"/>
    </row>
    <row r="7764" customFormat="false" ht="63" hidden="false" customHeight="true" outlineLevel="0" collapsed="false">
      <c r="B7764" s="37" t="str">
        <f aca="false">SUBSTITUTE(SUBSTITUTE(SUBSTITUTE(SUBSTITUTE(SUBSTITUTE(Txt_P3,"{cabinet}",Cab_Nom),"{societe}",IF($K$7741=0,"",INDEX(Clients!$E$2:$E$501,$K$7741)&amp;"")),"{date_effet}",$K$7743),"{hausse}",$K$7744),"{civilite}",$K$7742)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764" s="37"/>
      <c r="D7764" s="37"/>
      <c r="E7764" s="37"/>
      <c r="F7764" s="37"/>
      <c r="J7764" s="25"/>
      <c r="K7764" s="25"/>
      <c r="L7764" s="25"/>
      <c r="M7764" s="25"/>
      <c r="N7764" s="25"/>
      <c r="O7764" s="25"/>
    </row>
    <row r="7765" customFormat="false" ht="24" hidden="false" customHeight="true" outlineLevel="0" collapsed="false">
      <c r="B7765" s="37" t="str">
        <f aca="false">SUBSTITUTE(SUBSTITUTE(SUBSTITUTE(SUBSTITUTE(SUBSTITUTE(Txt_P4,"{cabinet}",Cab_Nom),"{societe}",IF($K$7741=0,"",INDEX(Clients!$E$2:$E$501,$K$7741)&amp;"")),"{date_effet}",$K$7743),"{hausse}",$K$7744),"{civilite}",$K$7742)</f>
        <v>À compter du 1er janvier 2027, vos honoraires annuels hors taxes évolueront ainsi (évolution globale : ) :</v>
      </c>
      <c r="C7765" s="37"/>
      <c r="D7765" s="37"/>
      <c r="E7765" s="37"/>
      <c r="F7765" s="37"/>
      <c r="J7765" s="25"/>
      <c r="K7765" s="25"/>
      <c r="L7765" s="25"/>
      <c r="M7765" s="25"/>
      <c r="N7765" s="25"/>
      <c r="O7765" s="25"/>
    </row>
    <row r="7766" customFormat="false" ht="3.75" hidden="false" customHeight="true" outlineLevel="0" collapsed="false">
      <c r="B7766" s="10"/>
      <c r="C7766" s="10"/>
      <c r="D7766" s="10"/>
      <c r="E7766" s="10"/>
      <c r="F7766" s="10"/>
      <c r="J7766" s="25"/>
      <c r="K7766" s="25"/>
      <c r="L7766" s="25"/>
      <c r="M7766" s="25"/>
      <c r="N7766" s="25"/>
      <c r="O7766" s="25"/>
    </row>
    <row r="7767" customFormat="false" ht="18" hidden="false" customHeight="true" outlineLevel="0" collapsed="false">
      <c r="B7767" s="38" t="s">
        <v>148</v>
      </c>
      <c r="C7767" s="39" t="s">
        <v>149</v>
      </c>
      <c r="D7767" s="39" t="s">
        <v>150</v>
      </c>
      <c r="E7767" s="39" t="s">
        <v>151</v>
      </c>
      <c r="F7767" s="39" t="s">
        <v>109</v>
      </c>
      <c r="J7767" s="25" t="s">
        <v>152</v>
      </c>
      <c r="K7767" s="25" t="s">
        <v>153</v>
      </c>
      <c r="L7767" s="25" t="s">
        <v>154</v>
      </c>
      <c r="M7767" s="25" t="s">
        <v>155</v>
      </c>
      <c r="N7767" s="25" t="s">
        <v>156</v>
      </c>
      <c r="O7767" s="25" t="s">
        <v>157</v>
      </c>
    </row>
    <row r="7768" customFormat="false" ht="16.5" hidden="false" customHeight="true" outlineLevel="0" collapsed="false">
      <c r="B7768" s="40" t="str">
        <f aca="false">IFERROR(INDEX($J$7768:$J$7771,MATCH($O7768,$N$7768:$N$7771,0)),"")</f>
        <v/>
      </c>
      <c r="C7768" s="41" t="str">
        <f aca="false">IFERROR(INDEX($K$7768:$K$7771,MATCH($O7768,$N$7768:$N$7771,0)),"")</f>
        <v/>
      </c>
      <c r="D7768" s="42" t="str">
        <f aca="false">IF(OR(E7768="",N(C7768)=0),"",E7768/C7768-1)</f>
        <v/>
      </c>
      <c r="E7768" s="41" t="str">
        <f aca="false">IFERROR(INDEX($L$7768:$L$7771,MATCH($O7768,$N$7768:$N$7771,0)),"")</f>
        <v/>
      </c>
      <c r="F7768" s="41" t="str">
        <f aca="false">IF(E7768="","",E7768-C7768)</f>
        <v/>
      </c>
      <c r="J7768" s="25" t="str">
        <f aca="false">Lib_Compta</f>
        <v>Mission comptable (tenue, révision, bilan, liasse fiscale)</v>
      </c>
      <c r="K7768" s="25" t="n">
        <f aca="false">IF($K$7741=0,0,N(INDEX(Clients!$K$2:$K$501,$K$7741)))</f>
        <v>0</v>
      </c>
      <c r="L7768" s="25" t="n">
        <f aca="false">IF($K$7741=0,0,N(INDEX(Clients!$P$2:$P$501,$K$7741)))</f>
        <v>0</v>
      </c>
      <c r="M7768" s="25" t="n">
        <f aca="false">IF(OR(K7768&lt;&gt;0,L7768&lt;&gt;0),1,0)</f>
        <v>0</v>
      </c>
      <c r="N7768" s="25" t="str">
        <f aca="false">IF(M7768=1,SUM($M$7768:M7768),"")</f>
        <v/>
      </c>
      <c r="O7768" s="25" t="n">
        <v>1</v>
      </c>
    </row>
    <row r="7769" customFormat="false" ht="16.5" hidden="false" customHeight="true" outlineLevel="0" collapsed="false">
      <c r="B7769" s="40" t="str">
        <f aca="false">IFERROR(INDEX($J$7768:$J$7771,MATCH($O7769,$N$7768:$N$7771,0)),"")</f>
        <v/>
      </c>
      <c r="C7769" s="41" t="str">
        <f aca="false">IFERROR(INDEX($K$7768:$K$7771,MATCH($O7769,$N$7768:$N$7771,0)),"")</f>
        <v/>
      </c>
      <c r="D7769" s="42" t="str">
        <f aca="false">IF(OR(E7769="",N(C7769)=0),"",E7769/C7769-1)</f>
        <v/>
      </c>
      <c r="E7769" s="41" t="str">
        <f aca="false">IFERROR(INDEX($L$7768:$L$7771,MATCH($O7769,$N$7768:$N$7771,0)),"")</f>
        <v/>
      </c>
      <c r="F7769" s="41" t="str">
        <f aca="false">IF(E7769="","",E7769-C7769)</f>
        <v/>
      </c>
      <c r="J7769" s="25" t="str">
        <f aca="false">Lib_Paye</f>
        <v>Mission sociale (bulletins de paie, DSN, déclarations sociales)</v>
      </c>
      <c r="K7769" s="25" t="n">
        <f aca="false">IF($K$7741=0,0,N(INDEX(Clients!$L$2:$L$501,$K$7741)))</f>
        <v>0</v>
      </c>
      <c r="L7769" s="25" t="n">
        <f aca="false">IF($K$7741=0,0,N(INDEX(Clients!$Q$2:$Q$501,$K$7741)))</f>
        <v>0</v>
      </c>
      <c r="M7769" s="25" t="n">
        <f aca="false">IF(OR(K7769&lt;&gt;0,L7769&lt;&gt;0),1,0)</f>
        <v>0</v>
      </c>
      <c r="N7769" s="25" t="str">
        <f aca="false">IF(M7769=1,SUM($M$7768:M7769),"")</f>
        <v/>
      </c>
      <c r="O7769" s="25" t="n">
        <v>2</v>
      </c>
    </row>
    <row r="7770" customFormat="false" ht="16.5" hidden="false" customHeight="true" outlineLevel="0" collapsed="false">
      <c r="B7770" s="40" t="str">
        <f aca="false">IFERROR(INDEX($J$7768:$J$7771,MATCH($O7770,$N$7768:$N$7771,0)),"")</f>
        <v/>
      </c>
      <c r="C7770" s="41" t="str">
        <f aca="false">IFERROR(INDEX($K$7768:$K$7771,MATCH($O7770,$N$7768:$N$7771,0)),"")</f>
        <v/>
      </c>
      <c r="D7770" s="42" t="str">
        <f aca="false">IF(OR(E7770="",N(C7770)=0),"",E7770/C7770-1)</f>
        <v/>
      </c>
      <c r="E7770" s="41" t="str">
        <f aca="false">IFERROR(INDEX($L$7768:$L$7771,MATCH($O7770,$N$7768:$N$7771,0)),"")</f>
        <v/>
      </c>
      <c r="F7770" s="41" t="str">
        <f aca="false">IF(E7770="","",E7770-C7770)</f>
        <v/>
      </c>
      <c r="J7770" s="25" t="str">
        <f aca="false">Lib_Jur</f>
        <v>Mission juridique (approbation des comptes, secrétariat juridique)</v>
      </c>
      <c r="K7770" s="25" t="n">
        <f aca="false">IF($K$7741=0,0,N(INDEX(Clients!$M$2:$M$501,$K$7741)))</f>
        <v>0</v>
      </c>
      <c r="L7770" s="25" t="n">
        <f aca="false">IF($K$7741=0,0,N(INDEX(Clients!$R$2:$R$501,$K$7741)))</f>
        <v>0</v>
      </c>
      <c r="M7770" s="25" t="n">
        <f aca="false">IF(OR(K7770&lt;&gt;0,L7770&lt;&gt;0),1,0)</f>
        <v>0</v>
      </c>
      <c r="N7770" s="25" t="str">
        <f aca="false">IF(M7770=1,SUM($M$7768:M7770),"")</f>
        <v/>
      </c>
      <c r="O7770" s="25" t="n">
        <v>3</v>
      </c>
    </row>
    <row r="7771" customFormat="false" ht="16.5" hidden="false" customHeight="true" outlineLevel="0" collapsed="false">
      <c r="B7771" s="40" t="str">
        <f aca="false">IFERROR(INDEX($J$7768:$J$7771,MATCH($O7771,$N$7768:$N$7771,0)),"")</f>
        <v/>
      </c>
      <c r="C7771" s="41" t="str">
        <f aca="false">IFERROR(INDEX($K$7768:$K$7771,MATCH($O7771,$N$7768:$N$7771,0)),"")</f>
        <v/>
      </c>
      <c r="D7771" s="42" t="str">
        <f aca="false">IF(OR(E7771="",N(C7771)=0),"",E7771/C7771-1)</f>
        <v/>
      </c>
      <c r="E7771" s="41" t="str">
        <f aca="false">IFERROR(INDEX($L$7768:$L$7771,MATCH($O7771,$N$7768:$N$7771,0)),"")</f>
        <v/>
      </c>
      <c r="F7771" s="41" t="str">
        <f aca="false">IF(E7771="","",E7771-C7771)</f>
        <v/>
      </c>
      <c r="J7771" s="25" t="str">
        <f aca="false">Lib_PA</f>
        <v>Plateforme agréée – facturation électronique</v>
      </c>
      <c r="K7771" s="25" t="n">
        <f aca="false">IF($K$7741=0,0,N(INDEX(Clients!$N$2:$N$501,$K$7741)))</f>
        <v>0</v>
      </c>
      <c r="L7771" s="25" t="n">
        <f aca="false">IF($K$7741=0,0,N(INDEX(Clients!$S$2:$S$501,$K$7741)))</f>
        <v>0</v>
      </c>
      <c r="M7771" s="25" t="n">
        <f aca="false">IF(OR(K7771&lt;&gt;0,L7771&lt;&gt;0),1,0)</f>
        <v>0</v>
      </c>
      <c r="N7771" s="25" t="str">
        <f aca="false">IF(M7771=1,SUM($M$7768:M7771),"")</f>
        <v/>
      </c>
      <c r="O7771" s="25" t="n">
        <v>4</v>
      </c>
    </row>
    <row r="7772" customFormat="false" ht="18" hidden="false" customHeight="true" outlineLevel="0" collapsed="false">
      <c r="B7772" s="43" t="s">
        <v>158</v>
      </c>
      <c r="C7772" s="44" t="n">
        <f aca="false">SUM(K7768:K7771)</f>
        <v>0</v>
      </c>
      <c r="D7772" s="45" t="str">
        <f aca="false">IF(N(C7772)=0,"",E7772/C7772-1)</f>
        <v/>
      </c>
      <c r="E7772" s="44" t="n">
        <f aca="false">SUM(L7768:L7771)</f>
        <v>0</v>
      </c>
      <c r="F7772" s="44" t="n">
        <f aca="false">E7772-C7772</f>
        <v>0</v>
      </c>
    </row>
    <row r="7773" customFormat="false" ht="15" hidden="false" customHeight="false" outlineLevel="0" collapsed="false">
      <c r="B7773" s="46" t="str">
        <f aca="false">IF(N(Nb_Mensualites)=0,"","Soit "&amp;FIXED(E7772/Nb_Mensualites,2)&amp;" € HT par échéance ("&amp;Nb_Mensualites&amp;" échéances), "&amp;FIXED(E7772/Nb_Mensualites*(1+Taux_TVA),2)&amp;" € TTC.")</f>
        <v>Soit 0.00 € HT par échéance (12 échéances), 0.00 € TTC.</v>
      </c>
      <c r="C7773" s="46"/>
      <c r="D7773" s="46"/>
      <c r="E7773" s="46"/>
      <c r="F7773" s="46"/>
    </row>
    <row r="7774" customFormat="false" ht="7.5" hidden="false" customHeight="true" outlineLevel="0" collapsed="false">
      <c r="B7774" s="10"/>
      <c r="C7774" s="10"/>
      <c r="D7774" s="10"/>
      <c r="E7774" s="10"/>
      <c r="F7774" s="10"/>
    </row>
    <row r="7775" customFormat="false" ht="36.75" hidden="false" customHeight="true" outlineLevel="0" collapsed="false">
      <c r="B7775" s="37" t="str">
        <f aca="false">SUBSTITUTE(SUBSTITUTE(SUBSTITUTE(SUBSTITUTE(SUBSTITUTE(Txt_P5,"{cabinet}",Cab_Nom),"{societe}",IF($K$7741=0,"",INDEX(Clients!$E$2:$E$501,$K$7741)&amp;"")),"{date_effet}",$K$7743),"{hausse}",$K$7744),"{civilite}",$K$7742)</f>
        <v>Les autres conditions de votre lettre de mission demeurent inchangées. Les nouveaux montants seront appliqués automatiquement sur vos prochaines factures et échéances de prélèvement.</v>
      </c>
      <c r="C7775" s="37"/>
      <c r="D7775" s="37"/>
      <c r="E7775" s="37"/>
      <c r="F7775" s="37"/>
    </row>
    <row r="7776" customFormat="false" ht="36.75" hidden="false" customHeight="true" outlineLevel="0" collapsed="false">
      <c r="B7776" s="37" t="str">
        <f aca="false">SUBSTITUTE(SUBSTITUTE(SUBSTITUTE(SUBSTITUTE(SUBSTITUTE(Txt_P6,"{cabinet}",Cab_Nom),"{societe}",IF($K$7741=0,"",INDEX(Clients!$E$2:$E$501,$K$7741)&amp;"")),"{date_effet}",$K$7743),"{hausse}",$K$7744),"{civilite}",$K$7742)</f>
        <v>Votre interlocuteur habituel reste à votre entière disposition pour répondre à vos questions et faire le point sur l'évolution de vos besoins.</v>
      </c>
      <c r="C7776" s="37"/>
      <c r="D7776" s="37"/>
      <c r="E7776" s="37"/>
      <c r="F7776" s="37"/>
    </row>
    <row r="7777" customFormat="false" ht="24" hidden="false" customHeight="true" outlineLevel="0" collapsed="false">
      <c r="B7777" s="37" t="str">
        <f aca="false">SUBSTITUTE(SUBSTITUTE(SUBSTITUTE(SUBSTITUTE(SUBSTITUTE(Txt_Politesse,"{cabinet}",Cab_Nom),"{societe}",IF($K$7741=0,"",INDEX(Clients!$E$2:$E$501,$K$7741)&amp;"")),"{date_effet}",$K$7743),"{hausse}",$K$7744),"{civilite}",$K$7742)</f>
        <v>Nous vous prions d'agréer, Madame, Monsieur, l'expression de nos salutations distinguées.</v>
      </c>
      <c r="C7777" s="37"/>
      <c r="D7777" s="37"/>
      <c r="E7777" s="37"/>
      <c r="F7777" s="37"/>
    </row>
    <row r="7778" customFormat="false" ht="15" hidden="false" customHeight="false" outlineLevel="0" collapsed="false">
      <c r="B7778" s="10"/>
      <c r="C7778" s="10"/>
      <c r="D7778" s="10"/>
      <c r="E7778" s="10"/>
      <c r="F7778" s="10"/>
    </row>
    <row r="7779" customFormat="false" ht="15" hidden="false" customHeight="false" outlineLevel="0" collapsed="false">
      <c r="B7779" s="10"/>
      <c r="C7779" s="10"/>
      <c r="D7779" s="34" t="str">
        <f aca="false">Signataire</f>
        <v>Prénom NOM</v>
      </c>
      <c r="E7779" s="34"/>
      <c r="F7779" s="34"/>
    </row>
    <row r="7780" customFormat="false" ht="15" hidden="false" customHeight="false" outlineLevel="0" collapsed="false">
      <c r="B7780" s="10"/>
      <c r="C7780" s="10"/>
      <c r="D7780" s="47" t="str">
        <f aca="false">Signataire_Titre</f>
        <v>Expert-comptable associé</v>
      </c>
      <c r="E7780" s="47"/>
      <c r="F7780" s="47"/>
    </row>
    <row r="7781" customFormat="false" ht="15.75" hidden="false" customHeight="true" outlineLevel="0" collapsed="false">
      <c r="B7781" s="10"/>
      <c r="C7781" s="10"/>
      <c r="D7781" s="10"/>
      <c r="E7781" s="10"/>
      <c r="F7781" s="10"/>
    </row>
    <row r="7782" customFormat="false" ht="15.75" hidden="false" customHeight="true" outlineLevel="0" collapsed="false">
      <c r="B7782" s="10"/>
      <c r="C7782" s="10"/>
      <c r="D7782" s="10"/>
      <c r="E7782" s="10"/>
      <c r="F7782" s="10"/>
    </row>
    <row r="7783" customFormat="false" ht="15.75" hidden="false" customHeight="true" outlineLevel="0" collapsed="false">
      <c r="B7783" s="10"/>
      <c r="C7783" s="10"/>
      <c r="D7783" s="10"/>
      <c r="E7783" s="10"/>
      <c r="F7783" s="10"/>
    </row>
    <row r="7784" customFormat="false" ht="15.75" hidden="false" customHeight="true" outlineLevel="0" collapsed="false">
      <c r="B7784" s="10"/>
      <c r="C7784" s="10"/>
      <c r="D7784" s="10"/>
      <c r="E7784" s="10"/>
      <c r="F7784" s="10"/>
    </row>
    <row r="7785" customFormat="false" ht="24" hidden="false" customHeight="true" outlineLevel="0" collapsed="false">
      <c r="B7785" s="48" t="str">
        <f aca="false">Cab_Mentions</f>
        <v>ALTHO EXPERTISE · SAS au capital de 10 000 € · RCS Pontoise 919 706 325 · TVA FR62919706325 · Société d'expertise comptable inscrite au Tableau de l'Ordre des experts-comptables de Paris Île-de-France</v>
      </c>
      <c r="C7785" s="48"/>
      <c r="D7785" s="48"/>
      <c r="E7785" s="48"/>
      <c r="F7785" s="48"/>
    </row>
    <row r="7786" customFormat="false" ht="15" hidden="false" customHeight="false" outlineLevel="0" collapsed="false">
      <c r="B7786" s="10"/>
      <c r="C7786" s="10"/>
      <c r="D7786" s="10"/>
      <c r="E7786" s="10"/>
      <c r="F7786" s="10"/>
      <c r="J7786" s="25" t="s">
        <v>142</v>
      </c>
      <c r="K7786" s="25" t="n">
        <f aca="false">IFERROR(MATCH(174,Clients!$Z$2:$Z$501,0),0)</f>
        <v>0</v>
      </c>
      <c r="L7786" s="25"/>
      <c r="M7786" s="25"/>
      <c r="N7786" s="25"/>
      <c r="O7786" s="25"/>
    </row>
    <row r="7787" customFormat="false" ht="21.75" hidden="false" customHeight="true" outlineLevel="0" collapsed="false">
      <c r="B7787" s="26" t="str">
        <f aca="false">Cab_Nom</f>
        <v>ALTHO EXPERTISE</v>
      </c>
      <c r="C7787" s="26"/>
      <c r="D7787" s="10"/>
      <c r="E7787" s="27" t="str">
        <f aca="false">IF($K$7786=0,"","Réf. client : "&amp;INDEX(Clients!$A$2:$A$501,$K$7786))</f>
        <v/>
      </c>
      <c r="F7787" s="27"/>
      <c r="J7787" s="25" t="s">
        <v>144</v>
      </c>
      <c r="K7787" s="25" t="str">
        <f aca="false">IF(IF($K$7786=0,"",INDEX(Clients!$B$2:$B$501,$K$7786)&amp;"")="Mme","Madame",IF(IF($K$7786=0,"",INDEX(Clients!$B$2:$B$501,$K$7786)&amp;"")="M.","Monsieur","Madame, Monsieur"))</f>
        <v>Madame, Monsieur</v>
      </c>
      <c r="L7787" s="25"/>
      <c r="M7787" s="25"/>
      <c r="N7787" s="25"/>
      <c r="O7787" s="25"/>
    </row>
    <row r="7788" customFormat="false" ht="15" hidden="false" customHeight="false" outlineLevel="0" collapsed="false">
      <c r="B7788" s="29" t="str">
        <f aca="false">Cab_Adr1</f>
        <v>141 rue Charles de Gaulle</v>
      </c>
      <c r="C7788" s="29"/>
      <c r="D7788" s="10"/>
      <c r="E7788" s="10"/>
      <c r="F7788" s="10"/>
      <c r="J7788" s="25" t="s">
        <v>145</v>
      </c>
      <c r="K7788" s="25" t="str">
        <f aca="false">DAY(Date_Effet)&amp;IF(DAY(Date_Effet)=1,"er","")&amp;" "&amp;INDEX(Liste_Mois,MONTH(Date_Effet))&amp;" "&amp;YEAR(Date_Effet)</f>
        <v>1er janvier 2027</v>
      </c>
      <c r="L7788" s="25"/>
      <c r="M7788" s="25"/>
      <c r="N7788" s="25"/>
      <c r="O7788" s="25"/>
    </row>
    <row r="7789" customFormat="false" ht="15" hidden="false" customHeight="false" outlineLevel="0" collapsed="false">
      <c r="B7789" s="29" t="str">
        <f aca="false">Cab_CPVille</f>
        <v>95130 LE PLESSIS-BOUCHARD</v>
      </c>
      <c r="C7789" s="29"/>
      <c r="D7789" s="10"/>
      <c r="E7789" s="10"/>
      <c r="F7789" s="10"/>
      <c r="J7789" s="25" t="s">
        <v>146</v>
      </c>
      <c r="K7789" s="25" t="str">
        <f aca="false">IF(SUM($K$7813:$K$7816)=0,"",FIXED((SUM($L$7813:$L$7816)/SUM($K$7813:$K$7816)-1)*100,1)&amp;" %")</f>
        <v/>
      </c>
      <c r="L7789" s="25"/>
      <c r="M7789" s="25"/>
      <c r="N7789" s="25"/>
      <c r="O7789" s="25"/>
    </row>
    <row r="7790" customFormat="false" ht="15" hidden="false" customHeight="false" outlineLevel="0" collapsed="false">
      <c r="B7790" s="29" t="str">
        <f aca="false">Cab_Contact</f>
        <v>Tél. 01 34 14 53 45  ·  altho@altho-experts.com  ·  altho-experts.com</v>
      </c>
      <c r="C7790" s="29"/>
      <c r="D7790" s="10"/>
      <c r="E7790" s="10"/>
      <c r="F7790" s="10"/>
      <c r="J7790" s="25"/>
      <c r="K7790" s="25"/>
      <c r="L7790" s="25"/>
      <c r="M7790" s="25"/>
      <c r="N7790" s="25"/>
      <c r="O7790" s="25"/>
    </row>
    <row r="7791" customFormat="false" ht="6" hidden="false" customHeight="true" outlineLevel="0" collapsed="false">
      <c r="B7791" s="32"/>
      <c r="C7791" s="32"/>
      <c r="D7791" s="32"/>
      <c r="E7791" s="32"/>
      <c r="F7791" s="32"/>
      <c r="J7791" s="25"/>
      <c r="K7791" s="25"/>
      <c r="L7791" s="25"/>
      <c r="M7791" s="25"/>
      <c r="N7791" s="25"/>
      <c r="O7791" s="25"/>
    </row>
    <row r="7792" customFormat="false" ht="13.5" hidden="false" customHeight="true" outlineLevel="0" collapsed="false">
      <c r="B7792" s="10"/>
      <c r="C7792" s="10"/>
      <c r="D7792" s="10"/>
      <c r="E7792" s="10"/>
      <c r="F7792" s="10"/>
      <c r="J7792" s="25"/>
      <c r="K7792" s="25"/>
      <c r="L7792" s="25"/>
      <c r="M7792" s="25"/>
      <c r="N7792" s="25"/>
      <c r="O7792" s="25"/>
    </row>
    <row r="7793" customFormat="false" ht="13.5" hidden="false" customHeight="true" outlineLevel="0" collapsed="false">
      <c r="B7793" s="10"/>
      <c r="C7793" s="10"/>
      <c r="D7793" s="10"/>
      <c r="E7793" s="10"/>
      <c r="F7793" s="10"/>
      <c r="J7793" s="25"/>
      <c r="K7793" s="25"/>
      <c r="L7793" s="25"/>
      <c r="M7793" s="25"/>
      <c r="N7793" s="25"/>
      <c r="O7793" s="25"/>
    </row>
    <row r="7794" customFormat="false" ht="13.5" hidden="false" customHeight="true" outlineLevel="0" collapsed="false">
      <c r="B7794" s="10"/>
      <c r="C7794" s="10"/>
      <c r="D7794" s="10"/>
      <c r="E7794" s="10"/>
      <c r="F7794" s="10"/>
      <c r="J7794" s="25"/>
      <c r="K7794" s="25"/>
      <c r="L7794" s="25"/>
      <c r="M7794" s="25"/>
      <c r="N7794" s="25"/>
      <c r="O7794" s="25"/>
    </row>
    <row r="7795" customFormat="false" ht="15" hidden="false" customHeight="true" outlineLevel="0" collapsed="false">
      <c r="B7795" s="10"/>
      <c r="C7795" s="10"/>
      <c r="D7795" s="34" t="str">
        <f aca="false">IF($K$7786=0,"",INDEX(Clients!$E$2:$E$501,$K$7786)&amp;"")</f>
        <v/>
      </c>
      <c r="E7795" s="34"/>
      <c r="F7795" s="34"/>
      <c r="J7795" s="25"/>
      <c r="K7795" s="25"/>
      <c r="L7795" s="25"/>
      <c r="M7795" s="25"/>
      <c r="N7795" s="25"/>
      <c r="O7795" s="25"/>
    </row>
    <row r="7796" customFormat="false" ht="15" hidden="false" customHeight="true" outlineLevel="0" collapsed="false">
      <c r="B7796" s="10"/>
      <c r="C7796" s="10"/>
      <c r="D7796" s="35" t="str">
        <f aca="false">IF(IF($K$7786=0,"",INDEX(Clients!$D$2:$D$501,$K$7786)&amp;"")="","","À l'attention de "&amp;TRIM(IF($K$7786=0,"",INDEX(Clients!$B$2:$B$501,$K$7786)&amp;"")&amp;" "&amp;IF($K$7786=0,"",INDEX(Clients!$C$2:$C$501,$K$7786)&amp;"")&amp;" "&amp;IF($K$7786=0,"",INDEX(Clients!$D$2:$D$501,$K$7786)&amp;"")))</f>
        <v/>
      </c>
      <c r="E7796" s="35"/>
      <c r="F7796" s="35"/>
      <c r="J7796" s="25"/>
      <c r="K7796" s="25"/>
      <c r="L7796" s="25"/>
      <c r="M7796" s="25"/>
      <c r="N7796" s="25"/>
      <c r="O7796" s="25"/>
    </row>
    <row r="7797" customFormat="false" ht="15" hidden="false" customHeight="true" outlineLevel="0" collapsed="false">
      <c r="B7797" s="10"/>
      <c r="C7797" s="10"/>
      <c r="D7797" s="35" t="str">
        <f aca="false">IF($K$7786=0,"",INDEX(Clients!$F$2:$F$501,$K$7786)&amp;"")</f>
        <v/>
      </c>
      <c r="E7797" s="35"/>
      <c r="F7797" s="35"/>
      <c r="J7797" s="25"/>
      <c r="K7797" s="25"/>
      <c r="L7797" s="25"/>
      <c r="M7797" s="25"/>
      <c r="N7797" s="25"/>
      <c r="O7797" s="25"/>
    </row>
    <row r="7798" customFormat="false" ht="15" hidden="false" customHeight="true" outlineLevel="0" collapsed="false">
      <c r="B7798" s="10"/>
      <c r="C7798" s="10"/>
      <c r="D7798" s="35" t="str">
        <f aca="false">IF(IF($K$7786=0,"",INDEX(Clients!$G$2:$G$501,$K$7786)&amp;"")="",TRIM(IF($K$7786=0,"",INDEX(Clients!$H$2:$H$501,$K$7786)&amp;"")&amp;" "&amp;UPPER(IF($K$7786=0,"",INDEX(Clients!$I$2:$I$501,$K$7786)&amp;""))),IF($K$7786=0,"",INDEX(Clients!$G$2:$G$501,$K$7786)&amp;""))</f>
        <v/>
      </c>
      <c r="E7798" s="35"/>
      <c r="F7798" s="35"/>
      <c r="J7798" s="25"/>
      <c r="K7798" s="25"/>
      <c r="L7798" s="25"/>
      <c r="M7798" s="25"/>
      <c r="N7798" s="25"/>
      <c r="O7798" s="25"/>
    </row>
    <row r="7799" customFormat="false" ht="15" hidden="false" customHeight="true" outlineLevel="0" collapsed="false">
      <c r="B7799" s="10"/>
      <c r="C7799" s="10"/>
      <c r="D7799" s="35" t="str">
        <f aca="false">IF(IF($K$7786=0,"",INDEX(Clients!$G$2:$G$501,$K$7786)&amp;"")="","",TRIM(IF($K$7786=0,"",INDEX(Clients!$H$2:$H$501,$K$7786)&amp;"")&amp;" "&amp;UPPER(IF($K$7786=0,"",INDEX(Clients!$I$2:$I$501,$K$7786)&amp;""))))</f>
        <v/>
      </c>
      <c r="E7799" s="35"/>
      <c r="F7799" s="35"/>
      <c r="J7799" s="25"/>
      <c r="K7799" s="25"/>
      <c r="L7799" s="25"/>
      <c r="M7799" s="25"/>
      <c r="N7799" s="25"/>
      <c r="O7799" s="25"/>
    </row>
    <row r="7800" customFormat="false" ht="25.5" hidden="false" customHeight="true" outlineLevel="0" collapsed="false">
      <c r="B7800" s="10"/>
      <c r="C7800" s="10"/>
      <c r="D7800" s="10"/>
      <c r="E7800" s="10"/>
      <c r="F7800" s="10"/>
      <c r="J7800" s="25"/>
      <c r="K7800" s="25"/>
      <c r="L7800" s="25"/>
      <c r="M7800" s="25"/>
      <c r="N7800" s="25"/>
      <c r="O7800" s="25"/>
    </row>
    <row r="7801" customFormat="false" ht="15" hidden="false" customHeight="false" outlineLevel="0" collapsed="false">
      <c r="B7801" s="10"/>
      <c r="C7801" s="10"/>
      <c r="D7801" s="36" t="str">
        <f aca="false">Cab_Ville&amp;", le "&amp;DAY(Date_Courrier)&amp;IF(DAY(Date_Courrier)=1,"er","")&amp;" "&amp;INDEX(Liste_Mois,MONTH(Date_Courrier))&amp;" "&amp;YEAR(Date_Courrier)</f>
        <v>Le Plessis-Bouchard, le 22 septembre 2026</v>
      </c>
      <c r="E7801" s="36"/>
      <c r="F7801" s="36"/>
      <c r="J7801" s="25"/>
      <c r="K7801" s="25"/>
      <c r="L7801" s="25"/>
      <c r="M7801" s="25"/>
      <c r="N7801" s="25"/>
      <c r="O7801" s="25"/>
    </row>
    <row r="7802" customFormat="false" ht="19.5" hidden="false" customHeight="true" outlineLevel="0" collapsed="false">
      <c r="B7802" s="10"/>
      <c r="C7802" s="10"/>
      <c r="D7802" s="10"/>
      <c r="E7802" s="10"/>
      <c r="F7802" s="10"/>
      <c r="J7802" s="25"/>
      <c r="K7802" s="25"/>
      <c r="L7802" s="25"/>
      <c r="M7802" s="25"/>
      <c r="N7802" s="25"/>
      <c r="O7802" s="25"/>
    </row>
    <row r="7803" customFormat="false" ht="15" hidden="false" customHeight="false" outlineLevel="0" collapsed="false">
      <c r="B7803" s="34" t="str">
        <f aca="false">SUBSTITUTE(SUBSTITUTE(SUBSTITUTE(SUBSTITUTE(SUBSTITUTE(Txt_Objet,"{cabinet}",Cab_Nom),"{societe}",IF($K$7786=0,"",INDEX(Clients!$E$2:$E$501,$K$7786)&amp;"")),"{date_effet}",$K$7788),"{hausse}",$K$7789),"{civilite}",$K$7787)</f>
        <v>Objet : révision de nos honoraires au 1er janvier 2027</v>
      </c>
      <c r="C7803" s="34"/>
      <c r="D7803" s="34"/>
      <c r="E7803" s="34"/>
      <c r="F7803" s="34"/>
      <c r="J7803" s="25"/>
      <c r="K7803" s="25"/>
      <c r="L7803" s="25"/>
      <c r="M7803" s="25"/>
      <c r="N7803" s="25"/>
      <c r="O7803" s="25"/>
    </row>
    <row r="7804" customFormat="false" ht="13.5" hidden="false" customHeight="true" outlineLevel="0" collapsed="false">
      <c r="B7804" s="10"/>
      <c r="C7804" s="10"/>
      <c r="D7804" s="10"/>
      <c r="E7804" s="10"/>
      <c r="F7804" s="10"/>
      <c r="J7804" s="25"/>
      <c r="K7804" s="25"/>
      <c r="L7804" s="25"/>
      <c r="M7804" s="25"/>
      <c r="N7804" s="25"/>
      <c r="O7804" s="25"/>
    </row>
    <row r="7805" customFormat="false" ht="15" hidden="false" customHeight="false" outlineLevel="0" collapsed="false">
      <c r="B7805" s="10" t="str">
        <f aca="false">$K$7787&amp;","</f>
        <v>Madame, Monsieur,</v>
      </c>
      <c r="C7805" s="10"/>
      <c r="D7805" s="10"/>
      <c r="E7805" s="10"/>
      <c r="F7805" s="10"/>
      <c r="J7805" s="25"/>
      <c r="K7805" s="25"/>
      <c r="L7805" s="25"/>
      <c r="M7805" s="25"/>
      <c r="N7805" s="25"/>
      <c r="O7805" s="25"/>
    </row>
    <row r="7806" customFormat="false" ht="6" hidden="false" customHeight="true" outlineLevel="0" collapsed="false">
      <c r="B7806" s="10"/>
      <c r="C7806" s="10"/>
      <c r="D7806" s="10"/>
      <c r="E7806" s="10"/>
      <c r="F7806" s="10"/>
      <c r="J7806" s="25"/>
      <c r="K7806" s="25"/>
      <c r="L7806" s="25"/>
      <c r="M7806" s="25"/>
      <c r="N7806" s="25"/>
      <c r="O7806" s="25"/>
    </row>
    <row r="7807" customFormat="false" ht="36.75" hidden="false" customHeight="true" outlineLevel="0" collapsed="false">
      <c r="B7807" s="37" t="str">
        <f aca="false">SUBSTITUTE(SUBSTITUTE(SUBSTITUTE(SUBSTITUTE(SUBSTITUTE(Txt_P1,"{cabinet}",Cab_Nom),"{societe}",IF($K$7786=0,"",INDEX(Clients!$E$2:$E$501,$K$7786)&amp;"")),"{date_effet}",$K$7788),"{hausse}",$K$7789),"{civilite}",$K$7787)</f>
        <v>Nous tenons tout d'abord à vous remercier pour la confiance que vous accordez à ALTHO EXPERTISE. Comme chaque année, et conformément aux dispositions de votre lettre de mission, nous procédons à la révision de nos honoraires.</v>
      </c>
      <c r="C7807" s="37"/>
      <c r="D7807" s="37"/>
      <c r="E7807" s="37"/>
      <c r="F7807" s="37"/>
      <c r="J7807" s="25"/>
      <c r="K7807" s="25"/>
      <c r="L7807" s="25"/>
      <c r="M7807" s="25"/>
      <c r="N7807" s="25"/>
      <c r="O7807" s="25"/>
    </row>
    <row r="7808" customFormat="false" ht="49.5" hidden="false" customHeight="true" outlineLevel="0" collapsed="false">
      <c r="B7808" s="37" t="str">
        <f aca="false">SUBSTITUTE(SUBSTITUTE(SUBSTITUTE(SUBSTITUTE(SUBSTITUTE(Txt_P2,"{cabinet}",Cab_Nom),"{societe}",IF($K$7786=0,"",INDEX(Clients!$E$2:$E$501,$K$7786)&amp;"")),"{date_effet}",$K$7788),"{hausse}",$K$7789),"{civilite}",$K$7787)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808" s="37"/>
      <c r="D7808" s="37"/>
      <c r="E7808" s="37"/>
      <c r="F7808" s="37"/>
      <c r="J7808" s="25"/>
      <c r="K7808" s="25"/>
      <c r="L7808" s="25"/>
      <c r="M7808" s="25"/>
      <c r="N7808" s="25"/>
      <c r="O7808" s="25"/>
    </row>
    <row r="7809" customFormat="false" ht="63" hidden="false" customHeight="true" outlineLevel="0" collapsed="false">
      <c r="B7809" s="37" t="str">
        <f aca="false">SUBSTITUTE(SUBSTITUTE(SUBSTITUTE(SUBSTITUTE(SUBSTITUTE(Txt_P3,"{cabinet}",Cab_Nom),"{societe}",IF($K$7786=0,"",INDEX(Clients!$E$2:$E$501,$K$7786)&amp;"")),"{date_effet}",$K$7788),"{hausse}",$K$7789),"{civilite}",$K$7787)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809" s="37"/>
      <c r="D7809" s="37"/>
      <c r="E7809" s="37"/>
      <c r="F7809" s="37"/>
      <c r="J7809" s="25"/>
      <c r="K7809" s="25"/>
      <c r="L7809" s="25"/>
      <c r="M7809" s="25"/>
      <c r="N7809" s="25"/>
      <c r="O7809" s="25"/>
    </row>
    <row r="7810" customFormat="false" ht="24" hidden="false" customHeight="true" outlineLevel="0" collapsed="false">
      <c r="B7810" s="37" t="str">
        <f aca="false">SUBSTITUTE(SUBSTITUTE(SUBSTITUTE(SUBSTITUTE(SUBSTITUTE(Txt_P4,"{cabinet}",Cab_Nom),"{societe}",IF($K$7786=0,"",INDEX(Clients!$E$2:$E$501,$K$7786)&amp;"")),"{date_effet}",$K$7788),"{hausse}",$K$7789),"{civilite}",$K$7787)</f>
        <v>À compter du 1er janvier 2027, vos honoraires annuels hors taxes évolueront ainsi (évolution globale : ) :</v>
      </c>
      <c r="C7810" s="37"/>
      <c r="D7810" s="37"/>
      <c r="E7810" s="37"/>
      <c r="F7810" s="37"/>
      <c r="J7810" s="25"/>
      <c r="K7810" s="25"/>
      <c r="L7810" s="25"/>
      <c r="M7810" s="25"/>
      <c r="N7810" s="25"/>
      <c r="O7810" s="25"/>
    </row>
    <row r="7811" customFormat="false" ht="3.75" hidden="false" customHeight="true" outlineLevel="0" collapsed="false">
      <c r="B7811" s="10"/>
      <c r="C7811" s="10"/>
      <c r="D7811" s="10"/>
      <c r="E7811" s="10"/>
      <c r="F7811" s="10"/>
      <c r="J7811" s="25"/>
      <c r="K7811" s="25"/>
      <c r="L7811" s="25"/>
      <c r="M7811" s="25"/>
      <c r="N7811" s="25"/>
      <c r="O7811" s="25"/>
    </row>
    <row r="7812" customFormat="false" ht="18" hidden="false" customHeight="true" outlineLevel="0" collapsed="false">
      <c r="B7812" s="38" t="s">
        <v>148</v>
      </c>
      <c r="C7812" s="39" t="s">
        <v>149</v>
      </c>
      <c r="D7812" s="39" t="s">
        <v>150</v>
      </c>
      <c r="E7812" s="39" t="s">
        <v>151</v>
      </c>
      <c r="F7812" s="39" t="s">
        <v>109</v>
      </c>
      <c r="J7812" s="25" t="s">
        <v>152</v>
      </c>
      <c r="K7812" s="25" t="s">
        <v>153</v>
      </c>
      <c r="L7812" s="25" t="s">
        <v>154</v>
      </c>
      <c r="M7812" s="25" t="s">
        <v>155</v>
      </c>
      <c r="N7812" s="25" t="s">
        <v>156</v>
      </c>
      <c r="O7812" s="25" t="s">
        <v>157</v>
      </c>
    </row>
    <row r="7813" customFormat="false" ht="16.5" hidden="false" customHeight="true" outlineLevel="0" collapsed="false">
      <c r="B7813" s="40" t="str">
        <f aca="false">IFERROR(INDEX($J$7813:$J$7816,MATCH($O7813,$N$7813:$N$7816,0)),"")</f>
        <v/>
      </c>
      <c r="C7813" s="41" t="str">
        <f aca="false">IFERROR(INDEX($K$7813:$K$7816,MATCH($O7813,$N$7813:$N$7816,0)),"")</f>
        <v/>
      </c>
      <c r="D7813" s="42" t="str">
        <f aca="false">IF(OR(E7813="",N(C7813)=0),"",E7813/C7813-1)</f>
        <v/>
      </c>
      <c r="E7813" s="41" t="str">
        <f aca="false">IFERROR(INDEX($L$7813:$L$7816,MATCH($O7813,$N$7813:$N$7816,0)),"")</f>
        <v/>
      </c>
      <c r="F7813" s="41" t="str">
        <f aca="false">IF(E7813="","",E7813-C7813)</f>
        <v/>
      </c>
      <c r="J7813" s="25" t="str">
        <f aca="false">Lib_Compta</f>
        <v>Mission comptable (tenue, révision, bilan, liasse fiscale)</v>
      </c>
      <c r="K7813" s="25" t="n">
        <f aca="false">IF($K$7786=0,0,N(INDEX(Clients!$K$2:$K$501,$K$7786)))</f>
        <v>0</v>
      </c>
      <c r="L7813" s="25" t="n">
        <f aca="false">IF($K$7786=0,0,N(INDEX(Clients!$P$2:$P$501,$K$7786)))</f>
        <v>0</v>
      </c>
      <c r="M7813" s="25" t="n">
        <f aca="false">IF(OR(K7813&lt;&gt;0,L7813&lt;&gt;0),1,0)</f>
        <v>0</v>
      </c>
      <c r="N7813" s="25" t="str">
        <f aca="false">IF(M7813=1,SUM($M$7813:M7813),"")</f>
        <v/>
      </c>
      <c r="O7813" s="25" t="n">
        <v>1</v>
      </c>
    </row>
    <row r="7814" customFormat="false" ht="16.5" hidden="false" customHeight="true" outlineLevel="0" collapsed="false">
      <c r="B7814" s="40" t="str">
        <f aca="false">IFERROR(INDEX($J$7813:$J$7816,MATCH($O7814,$N$7813:$N$7816,0)),"")</f>
        <v/>
      </c>
      <c r="C7814" s="41" t="str">
        <f aca="false">IFERROR(INDEX($K$7813:$K$7816,MATCH($O7814,$N$7813:$N$7816,0)),"")</f>
        <v/>
      </c>
      <c r="D7814" s="42" t="str">
        <f aca="false">IF(OR(E7814="",N(C7814)=0),"",E7814/C7814-1)</f>
        <v/>
      </c>
      <c r="E7814" s="41" t="str">
        <f aca="false">IFERROR(INDEX($L$7813:$L$7816,MATCH($O7814,$N$7813:$N$7816,0)),"")</f>
        <v/>
      </c>
      <c r="F7814" s="41" t="str">
        <f aca="false">IF(E7814="","",E7814-C7814)</f>
        <v/>
      </c>
      <c r="J7814" s="25" t="str">
        <f aca="false">Lib_Paye</f>
        <v>Mission sociale (bulletins de paie, DSN, déclarations sociales)</v>
      </c>
      <c r="K7814" s="25" t="n">
        <f aca="false">IF($K$7786=0,0,N(INDEX(Clients!$L$2:$L$501,$K$7786)))</f>
        <v>0</v>
      </c>
      <c r="L7814" s="25" t="n">
        <f aca="false">IF($K$7786=0,0,N(INDEX(Clients!$Q$2:$Q$501,$K$7786)))</f>
        <v>0</v>
      </c>
      <c r="M7814" s="25" t="n">
        <f aca="false">IF(OR(K7814&lt;&gt;0,L7814&lt;&gt;0),1,0)</f>
        <v>0</v>
      </c>
      <c r="N7814" s="25" t="str">
        <f aca="false">IF(M7814=1,SUM($M$7813:M7814),"")</f>
        <v/>
      </c>
      <c r="O7814" s="25" t="n">
        <v>2</v>
      </c>
    </row>
    <row r="7815" customFormat="false" ht="16.5" hidden="false" customHeight="true" outlineLevel="0" collapsed="false">
      <c r="B7815" s="40" t="str">
        <f aca="false">IFERROR(INDEX($J$7813:$J$7816,MATCH($O7815,$N$7813:$N$7816,0)),"")</f>
        <v/>
      </c>
      <c r="C7815" s="41" t="str">
        <f aca="false">IFERROR(INDEX($K$7813:$K$7816,MATCH($O7815,$N$7813:$N$7816,0)),"")</f>
        <v/>
      </c>
      <c r="D7815" s="42" t="str">
        <f aca="false">IF(OR(E7815="",N(C7815)=0),"",E7815/C7815-1)</f>
        <v/>
      </c>
      <c r="E7815" s="41" t="str">
        <f aca="false">IFERROR(INDEX($L$7813:$L$7816,MATCH($O7815,$N$7813:$N$7816,0)),"")</f>
        <v/>
      </c>
      <c r="F7815" s="41" t="str">
        <f aca="false">IF(E7815="","",E7815-C7815)</f>
        <v/>
      </c>
      <c r="J7815" s="25" t="str">
        <f aca="false">Lib_Jur</f>
        <v>Mission juridique (approbation des comptes, secrétariat juridique)</v>
      </c>
      <c r="K7815" s="25" t="n">
        <f aca="false">IF($K$7786=0,0,N(INDEX(Clients!$M$2:$M$501,$K$7786)))</f>
        <v>0</v>
      </c>
      <c r="L7815" s="25" t="n">
        <f aca="false">IF($K$7786=0,0,N(INDEX(Clients!$R$2:$R$501,$K$7786)))</f>
        <v>0</v>
      </c>
      <c r="M7815" s="25" t="n">
        <f aca="false">IF(OR(K7815&lt;&gt;0,L7815&lt;&gt;0),1,0)</f>
        <v>0</v>
      </c>
      <c r="N7815" s="25" t="str">
        <f aca="false">IF(M7815=1,SUM($M$7813:M7815),"")</f>
        <v/>
      </c>
      <c r="O7815" s="25" t="n">
        <v>3</v>
      </c>
    </row>
    <row r="7816" customFormat="false" ht="16.5" hidden="false" customHeight="true" outlineLevel="0" collapsed="false">
      <c r="B7816" s="40" t="str">
        <f aca="false">IFERROR(INDEX($J$7813:$J$7816,MATCH($O7816,$N$7813:$N$7816,0)),"")</f>
        <v/>
      </c>
      <c r="C7816" s="41" t="str">
        <f aca="false">IFERROR(INDEX($K$7813:$K$7816,MATCH($O7816,$N$7813:$N$7816,0)),"")</f>
        <v/>
      </c>
      <c r="D7816" s="42" t="str">
        <f aca="false">IF(OR(E7816="",N(C7816)=0),"",E7816/C7816-1)</f>
        <v/>
      </c>
      <c r="E7816" s="41" t="str">
        <f aca="false">IFERROR(INDEX($L$7813:$L$7816,MATCH($O7816,$N$7813:$N$7816,0)),"")</f>
        <v/>
      </c>
      <c r="F7816" s="41" t="str">
        <f aca="false">IF(E7816="","",E7816-C7816)</f>
        <v/>
      </c>
      <c r="J7816" s="25" t="str">
        <f aca="false">Lib_PA</f>
        <v>Plateforme agréée – facturation électronique</v>
      </c>
      <c r="K7816" s="25" t="n">
        <f aca="false">IF($K$7786=0,0,N(INDEX(Clients!$N$2:$N$501,$K$7786)))</f>
        <v>0</v>
      </c>
      <c r="L7816" s="25" t="n">
        <f aca="false">IF($K$7786=0,0,N(INDEX(Clients!$S$2:$S$501,$K$7786)))</f>
        <v>0</v>
      </c>
      <c r="M7816" s="25" t="n">
        <f aca="false">IF(OR(K7816&lt;&gt;0,L7816&lt;&gt;0),1,0)</f>
        <v>0</v>
      </c>
      <c r="N7816" s="25" t="str">
        <f aca="false">IF(M7816=1,SUM($M$7813:M7816),"")</f>
        <v/>
      </c>
      <c r="O7816" s="25" t="n">
        <v>4</v>
      </c>
    </row>
    <row r="7817" customFormat="false" ht="18" hidden="false" customHeight="true" outlineLevel="0" collapsed="false">
      <c r="B7817" s="43" t="s">
        <v>158</v>
      </c>
      <c r="C7817" s="44" t="n">
        <f aca="false">SUM(K7813:K7816)</f>
        <v>0</v>
      </c>
      <c r="D7817" s="45" t="str">
        <f aca="false">IF(N(C7817)=0,"",E7817/C7817-1)</f>
        <v/>
      </c>
      <c r="E7817" s="44" t="n">
        <f aca="false">SUM(L7813:L7816)</f>
        <v>0</v>
      </c>
      <c r="F7817" s="44" t="n">
        <f aca="false">E7817-C7817</f>
        <v>0</v>
      </c>
    </row>
    <row r="7818" customFormat="false" ht="15" hidden="false" customHeight="false" outlineLevel="0" collapsed="false">
      <c r="B7818" s="46" t="str">
        <f aca="false">IF(N(Nb_Mensualites)=0,"","Soit "&amp;FIXED(E7817/Nb_Mensualites,2)&amp;" € HT par échéance ("&amp;Nb_Mensualites&amp;" échéances), "&amp;FIXED(E7817/Nb_Mensualites*(1+Taux_TVA),2)&amp;" € TTC.")</f>
        <v>Soit 0.00 € HT par échéance (12 échéances), 0.00 € TTC.</v>
      </c>
      <c r="C7818" s="46"/>
      <c r="D7818" s="46"/>
      <c r="E7818" s="46"/>
      <c r="F7818" s="46"/>
    </row>
    <row r="7819" customFormat="false" ht="7.5" hidden="false" customHeight="true" outlineLevel="0" collapsed="false">
      <c r="B7819" s="10"/>
      <c r="C7819" s="10"/>
      <c r="D7819" s="10"/>
      <c r="E7819" s="10"/>
      <c r="F7819" s="10"/>
    </row>
    <row r="7820" customFormat="false" ht="36.75" hidden="false" customHeight="true" outlineLevel="0" collapsed="false">
      <c r="B7820" s="37" t="str">
        <f aca="false">SUBSTITUTE(SUBSTITUTE(SUBSTITUTE(SUBSTITUTE(SUBSTITUTE(Txt_P5,"{cabinet}",Cab_Nom),"{societe}",IF($K$7786=0,"",INDEX(Clients!$E$2:$E$501,$K$7786)&amp;"")),"{date_effet}",$K$7788),"{hausse}",$K$7789),"{civilite}",$K$7787)</f>
        <v>Les autres conditions de votre lettre de mission demeurent inchangées. Les nouveaux montants seront appliqués automatiquement sur vos prochaines factures et échéances de prélèvement.</v>
      </c>
      <c r="C7820" s="37"/>
      <c r="D7820" s="37"/>
      <c r="E7820" s="37"/>
      <c r="F7820" s="37"/>
    </row>
    <row r="7821" customFormat="false" ht="36.75" hidden="false" customHeight="true" outlineLevel="0" collapsed="false">
      <c r="B7821" s="37" t="str">
        <f aca="false">SUBSTITUTE(SUBSTITUTE(SUBSTITUTE(SUBSTITUTE(SUBSTITUTE(Txt_P6,"{cabinet}",Cab_Nom),"{societe}",IF($K$7786=0,"",INDEX(Clients!$E$2:$E$501,$K$7786)&amp;"")),"{date_effet}",$K$7788),"{hausse}",$K$7789),"{civilite}",$K$7787)</f>
        <v>Votre interlocuteur habituel reste à votre entière disposition pour répondre à vos questions et faire le point sur l'évolution de vos besoins.</v>
      </c>
      <c r="C7821" s="37"/>
      <c r="D7821" s="37"/>
      <c r="E7821" s="37"/>
      <c r="F7821" s="37"/>
    </row>
    <row r="7822" customFormat="false" ht="24" hidden="false" customHeight="true" outlineLevel="0" collapsed="false">
      <c r="B7822" s="37" t="str">
        <f aca="false">SUBSTITUTE(SUBSTITUTE(SUBSTITUTE(SUBSTITUTE(SUBSTITUTE(Txt_Politesse,"{cabinet}",Cab_Nom),"{societe}",IF($K$7786=0,"",INDEX(Clients!$E$2:$E$501,$K$7786)&amp;"")),"{date_effet}",$K$7788),"{hausse}",$K$7789),"{civilite}",$K$7787)</f>
        <v>Nous vous prions d'agréer, Madame, Monsieur, l'expression de nos salutations distinguées.</v>
      </c>
      <c r="C7822" s="37"/>
      <c r="D7822" s="37"/>
      <c r="E7822" s="37"/>
      <c r="F7822" s="37"/>
    </row>
    <row r="7823" customFormat="false" ht="15" hidden="false" customHeight="false" outlineLevel="0" collapsed="false">
      <c r="B7823" s="10"/>
      <c r="C7823" s="10"/>
      <c r="D7823" s="10"/>
      <c r="E7823" s="10"/>
      <c r="F7823" s="10"/>
    </row>
    <row r="7824" customFormat="false" ht="15" hidden="false" customHeight="false" outlineLevel="0" collapsed="false">
      <c r="B7824" s="10"/>
      <c r="C7824" s="10"/>
      <c r="D7824" s="34" t="str">
        <f aca="false">Signataire</f>
        <v>Prénom NOM</v>
      </c>
      <c r="E7824" s="34"/>
      <c r="F7824" s="34"/>
    </row>
    <row r="7825" customFormat="false" ht="15" hidden="false" customHeight="false" outlineLevel="0" collapsed="false">
      <c r="B7825" s="10"/>
      <c r="C7825" s="10"/>
      <c r="D7825" s="47" t="str">
        <f aca="false">Signataire_Titre</f>
        <v>Expert-comptable associé</v>
      </c>
      <c r="E7825" s="47"/>
      <c r="F7825" s="47"/>
    </row>
    <row r="7826" customFormat="false" ht="15.75" hidden="false" customHeight="true" outlineLevel="0" collapsed="false">
      <c r="B7826" s="10"/>
      <c r="C7826" s="10"/>
      <c r="D7826" s="10"/>
      <c r="E7826" s="10"/>
      <c r="F7826" s="10"/>
    </row>
    <row r="7827" customFormat="false" ht="15.75" hidden="false" customHeight="true" outlineLevel="0" collapsed="false">
      <c r="B7827" s="10"/>
      <c r="C7827" s="10"/>
      <c r="D7827" s="10"/>
      <c r="E7827" s="10"/>
      <c r="F7827" s="10"/>
    </row>
    <row r="7828" customFormat="false" ht="15.75" hidden="false" customHeight="true" outlineLevel="0" collapsed="false">
      <c r="B7828" s="10"/>
      <c r="C7828" s="10"/>
      <c r="D7828" s="10"/>
      <c r="E7828" s="10"/>
      <c r="F7828" s="10"/>
    </row>
    <row r="7829" customFormat="false" ht="15.75" hidden="false" customHeight="true" outlineLevel="0" collapsed="false">
      <c r="B7829" s="10"/>
      <c r="C7829" s="10"/>
      <c r="D7829" s="10"/>
      <c r="E7829" s="10"/>
      <c r="F7829" s="10"/>
    </row>
    <row r="7830" customFormat="false" ht="24" hidden="false" customHeight="true" outlineLevel="0" collapsed="false">
      <c r="B7830" s="48" t="str">
        <f aca="false">Cab_Mentions</f>
        <v>ALTHO EXPERTISE · SAS au capital de 10 000 € · RCS Pontoise 919 706 325 · TVA FR62919706325 · Société d'expertise comptable inscrite au Tableau de l'Ordre des experts-comptables de Paris Île-de-France</v>
      </c>
      <c r="C7830" s="48"/>
      <c r="D7830" s="48"/>
      <c r="E7830" s="48"/>
      <c r="F7830" s="48"/>
    </row>
    <row r="7831" customFormat="false" ht="15" hidden="false" customHeight="false" outlineLevel="0" collapsed="false">
      <c r="B7831" s="10"/>
      <c r="C7831" s="10"/>
      <c r="D7831" s="10"/>
      <c r="E7831" s="10"/>
      <c r="F7831" s="10"/>
      <c r="J7831" s="25" t="s">
        <v>142</v>
      </c>
      <c r="K7831" s="25" t="n">
        <f aca="false">IFERROR(MATCH(175,Clients!$Z$2:$Z$501,0),0)</f>
        <v>0</v>
      </c>
      <c r="L7831" s="25"/>
      <c r="M7831" s="25"/>
      <c r="N7831" s="25"/>
      <c r="O7831" s="25"/>
    </row>
    <row r="7832" customFormat="false" ht="21.75" hidden="false" customHeight="true" outlineLevel="0" collapsed="false">
      <c r="B7832" s="26" t="str">
        <f aca="false">Cab_Nom</f>
        <v>ALTHO EXPERTISE</v>
      </c>
      <c r="C7832" s="26"/>
      <c r="D7832" s="10"/>
      <c r="E7832" s="27" t="str">
        <f aca="false">IF($K$7831=0,"","Réf. client : "&amp;INDEX(Clients!$A$2:$A$501,$K$7831))</f>
        <v/>
      </c>
      <c r="F7832" s="27"/>
      <c r="J7832" s="25" t="s">
        <v>144</v>
      </c>
      <c r="K7832" s="25" t="str">
        <f aca="false">IF(IF($K$7831=0,"",INDEX(Clients!$B$2:$B$501,$K$7831)&amp;"")="Mme","Madame",IF(IF($K$7831=0,"",INDEX(Clients!$B$2:$B$501,$K$7831)&amp;"")="M.","Monsieur","Madame, Monsieur"))</f>
        <v>Madame, Monsieur</v>
      </c>
      <c r="L7832" s="25"/>
      <c r="M7832" s="25"/>
      <c r="N7832" s="25"/>
      <c r="O7832" s="25"/>
    </row>
    <row r="7833" customFormat="false" ht="15" hidden="false" customHeight="false" outlineLevel="0" collapsed="false">
      <c r="B7833" s="29" t="str">
        <f aca="false">Cab_Adr1</f>
        <v>141 rue Charles de Gaulle</v>
      </c>
      <c r="C7833" s="29"/>
      <c r="D7833" s="10"/>
      <c r="E7833" s="10"/>
      <c r="F7833" s="10"/>
      <c r="J7833" s="25" t="s">
        <v>145</v>
      </c>
      <c r="K7833" s="25" t="str">
        <f aca="false">DAY(Date_Effet)&amp;IF(DAY(Date_Effet)=1,"er","")&amp;" "&amp;INDEX(Liste_Mois,MONTH(Date_Effet))&amp;" "&amp;YEAR(Date_Effet)</f>
        <v>1er janvier 2027</v>
      </c>
      <c r="L7833" s="25"/>
      <c r="M7833" s="25"/>
      <c r="N7833" s="25"/>
      <c r="O7833" s="25"/>
    </row>
    <row r="7834" customFormat="false" ht="15" hidden="false" customHeight="false" outlineLevel="0" collapsed="false">
      <c r="B7834" s="29" t="str">
        <f aca="false">Cab_CPVille</f>
        <v>95130 LE PLESSIS-BOUCHARD</v>
      </c>
      <c r="C7834" s="29"/>
      <c r="D7834" s="10"/>
      <c r="E7834" s="10"/>
      <c r="F7834" s="10"/>
      <c r="J7834" s="25" t="s">
        <v>146</v>
      </c>
      <c r="K7834" s="25" t="str">
        <f aca="false">IF(SUM($K$7858:$K$7861)=0,"",FIXED((SUM($L$7858:$L$7861)/SUM($K$7858:$K$7861)-1)*100,1)&amp;" %")</f>
        <v/>
      </c>
      <c r="L7834" s="25"/>
      <c r="M7834" s="25"/>
      <c r="N7834" s="25"/>
      <c r="O7834" s="25"/>
    </row>
    <row r="7835" customFormat="false" ht="15" hidden="false" customHeight="false" outlineLevel="0" collapsed="false">
      <c r="B7835" s="29" t="str">
        <f aca="false">Cab_Contact</f>
        <v>Tél. 01 34 14 53 45  ·  altho@altho-experts.com  ·  altho-experts.com</v>
      </c>
      <c r="C7835" s="29"/>
      <c r="D7835" s="10"/>
      <c r="E7835" s="10"/>
      <c r="F7835" s="10"/>
      <c r="J7835" s="25"/>
      <c r="K7835" s="25"/>
      <c r="L7835" s="25"/>
      <c r="M7835" s="25"/>
      <c r="N7835" s="25"/>
      <c r="O7835" s="25"/>
    </row>
    <row r="7836" customFormat="false" ht="6" hidden="false" customHeight="true" outlineLevel="0" collapsed="false">
      <c r="B7836" s="32"/>
      <c r="C7836" s="32"/>
      <c r="D7836" s="32"/>
      <c r="E7836" s="32"/>
      <c r="F7836" s="32"/>
      <c r="J7836" s="25"/>
      <c r="K7836" s="25"/>
      <c r="L7836" s="25"/>
      <c r="M7836" s="25"/>
      <c r="N7836" s="25"/>
      <c r="O7836" s="25"/>
    </row>
    <row r="7837" customFormat="false" ht="13.5" hidden="false" customHeight="true" outlineLevel="0" collapsed="false">
      <c r="B7837" s="10"/>
      <c r="C7837" s="10"/>
      <c r="D7837" s="10"/>
      <c r="E7837" s="10"/>
      <c r="F7837" s="10"/>
      <c r="J7837" s="25"/>
      <c r="K7837" s="25"/>
      <c r="L7837" s="25"/>
      <c r="M7837" s="25"/>
      <c r="N7837" s="25"/>
      <c r="O7837" s="25"/>
    </row>
    <row r="7838" customFormat="false" ht="13.5" hidden="false" customHeight="true" outlineLevel="0" collapsed="false">
      <c r="B7838" s="10"/>
      <c r="C7838" s="10"/>
      <c r="D7838" s="10"/>
      <c r="E7838" s="10"/>
      <c r="F7838" s="10"/>
      <c r="J7838" s="25"/>
      <c r="K7838" s="25"/>
      <c r="L7838" s="25"/>
      <c r="M7838" s="25"/>
      <c r="N7838" s="25"/>
      <c r="O7838" s="25"/>
    </row>
    <row r="7839" customFormat="false" ht="13.5" hidden="false" customHeight="true" outlineLevel="0" collapsed="false">
      <c r="B7839" s="10"/>
      <c r="C7839" s="10"/>
      <c r="D7839" s="10"/>
      <c r="E7839" s="10"/>
      <c r="F7839" s="10"/>
      <c r="J7839" s="25"/>
      <c r="K7839" s="25"/>
      <c r="L7839" s="25"/>
      <c r="M7839" s="25"/>
      <c r="N7839" s="25"/>
      <c r="O7839" s="25"/>
    </row>
    <row r="7840" customFormat="false" ht="15" hidden="false" customHeight="true" outlineLevel="0" collapsed="false">
      <c r="B7840" s="10"/>
      <c r="C7840" s="10"/>
      <c r="D7840" s="34" t="str">
        <f aca="false">IF($K$7831=0,"",INDEX(Clients!$E$2:$E$501,$K$7831)&amp;"")</f>
        <v/>
      </c>
      <c r="E7840" s="34"/>
      <c r="F7840" s="34"/>
      <c r="J7840" s="25"/>
      <c r="K7840" s="25"/>
      <c r="L7840" s="25"/>
      <c r="M7840" s="25"/>
      <c r="N7840" s="25"/>
      <c r="O7840" s="25"/>
    </row>
    <row r="7841" customFormat="false" ht="15" hidden="false" customHeight="true" outlineLevel="0" collapsed="false">
      <c r="B7841" s="10"/>
      <c r="C7841" s="10"/>
      <c r="D7841" s="35" t="str">
        <f aca="false">IF(IF($K$7831=0,"",INDEX(Clients!$D$2:$D$501,$K$7831)&amp;"")="","","À l'attention de "&amp;TRIM(IF($K$7831=0,"",INDEX(Clients!$B$2:$B$501,$K$7831)&amp;"")&amp;" "&amp;IF($K$7831=0,"",INDEX(Clients!$C$2:$C$501,$K$7831)&amp;"")&amp;" "&amp;IF($K$7831=0,"",INDEX(Clients!$D$2:$D$501,$K$7831)&amp;"")))</f>
        <v/>
      </c>
      <c r="E7841" s="35"/>
      <c r="F7841" s="35"/>
      <c r="J7841" s="25"/>
      <c r="K7841" s="25"/>
      <c r="L7841" s="25"/>
      <c r="M7841" s="25"/>
      <c r="N7841" s="25"/>
      <c r="O7841" s="25"/>
    </row>
    <row r="7842" customFormat="false" ht="15" hidden="false" customHeight="true" outlineLevel="0" collapsed="false">
      <c r="B7842" s="10"/>
      <c r="C7842" s="10"/>
      <c r="D7842" s="35" t="str">
        <f aca="false">IF($K$7831=0,"",INDEX(Clients!$F$2:$F$501,$K$7831)&amp;"")</f>
        <v/>
      </c>
      <c r="E7842" s="35"/>
      <c r="F7842" s="35"/>
      <c r="J7842" s="25"/>
      <c r="K7842" s="25"/>
      <c r="L7842" s="25"/>
      <c r="M7842" s="25"/>
      <c r="N7842" s="25"/>
      <c r="O7842" s="25"/>
    </row>
    <row r="7843" customFormat="false" ht="15" hidden="false" customHeight="true" outlineLevel="0" collapsed="false">
      <c r="B7843" s="10"/>
      <c r="C7843" s="10"/>
      <c r="D7843" s="35" t="str">
        <f aca="false">IF(IF($K$7831=0,"",INDEX(Clients!$G$2:$G$501,$K$7831)&amp;"")="",TRIM(IF($K$7831=0,"",INDEX(Clients!$H$2:$H$501,$K$7831)&amp;"")&amp;" "&amp;UPPER(IF($K$7831=0,"",INDEX(Clients!$I$2:$I$501,$K$7831)&amp;""))),IF($K$7831=0,"",INDEX(Clients!$G$2:$G$501,$K$7831)&amp;""))</f>
        <v/>
      </c>
      <c r="E7843" s="35"/>
      <c r="F7843" s="35"/>
      <c r="J7843" s="25"/>
      <c r="K7843" s="25"/>
      <c r="L7843" s="25"/>
      <c r="M7843" s="25"/>
      <c r="N7843" s="25"/>
      <c r="O7843" s="25"/>
    </row>
    <row r="7844" customFormat="false" ht="15" hidden="false" customHeight="true" outlineLevel="0" collapsed="false">
      <c r="B7844" s="10"/>
      <c r="C7844" s="10"/>
      <c r="D7844" s="35" t="str">
        <f aca="false">IF(IF($K$7831=0,"",INDEX(Clients!$G$2:$G$501,$K$7831)&amp;"")="","",TRIM(IF($K$7831=0,"",INDEX(Clients!$H$2:$H$501,$K$7831)&amp;"")&amp;" "&amp;UPPER(IF($K$7831=0,"",INDEX(Clients!$I$2:$I$501,$K$7831)&amp;""))))</f>
        <v/>
      </c>
      <c r="E7844" s="35"/>
      <c r="F7844" s="35"/>
      <c r="J7844" s="25"/>
      <c r="K7844" s="25"/>
      <c r="L7844" s="25"/>
      <c r="M7844" s="25"/>
      <c r="N7844" s="25"/>
      <c r="O7844" s="25"/>
    </row>
    <row r="7845" customFormat="false" ht="25.5" hidden="false" customHeight="true" outlineLevel="0" collapsed="false">
      <c r="B7845" s="10"/>
      <c r="C7845" s="10"/>
      <c r="D7845" s="10"/>
      <c r="E7845" s="10"/>
      <c r="F7845" s="10"/>
      <c r="J7845" s="25"/>
      <c r="K7845" s="25"/>
      <c r="L7845" s="25"/>
      <c r="M7845" s="25"/>
      <c r="N7845" s="25"/>
      <c r="O7845" s="25"/>
    </row>
    <row r="7846" customFormat="false" ht="15" hidden="false" customHeight="false" outlineLevel="0" collapsed="false">
      <c r="B7846" s="10"/>
      <c r="C7846" s="10"/>
      <c r="D7846" s="36" t="str">
        <f aca="false">Cab_Ville&amp;", le "&amp;DAY(Date_Courrier)&amp;IF(DAY(Date_Courrier)=1,"er","")&amp;" "&amp;INDEX(Liste_Mois,MONTH(Date_Courrier))&amp;" "&amp;YEAR(Date_Courrier)</f>
        <v>Le Plessis-Bouchard, le 22 septembre 2026</v>
      </c>
      <c r="E7846" s="36"/>
      <c r="F7846" s="36"/>
      <c r="J7846" s="25"/>
      <c r="K7846" s="25"/>
      <c r="L7846" s="25"/>
      <c r="M7846" s="25"/>
      <c r="N7846" s="25"/>
      <c r="O7846" s="25"/>
    </row>
    <row r="7847" customFormat="false" ht="19.5" hidden="false" customHeight="true" outlineLevel="0" collapsed="false">
      <c r="B7847" s="10"/>
      <c r="C7847" s="10"/>
      <c r="D7847" s="10"/>
      <c r="E7847" s="10"/>
      <c r="F7847" s="10"/>
      <c r="J7847" s="25"/>
      <c r="K7847" s="25"/>
      <c r="L7847" s="25"/>
      <c r="M7847" s="25"/>
      <c r="N7847" s="25"/>
      <c r="O7847" s="25"/>
    </row>
    <row r="7848" customFormat="false" ht="15" hidden="false" customHeight="false" outlineLevel="0" collapsed="false">
      <c r="B7848" s="34" t="str">
        <f aca="false">SUBSTITUTE(SUBSTITUTE(SUBSTITUTE(SUBSTITUTE(SUBSTITUTE(Txt_Objet,"{cabinet}",Cab_Nom),"{societe}",IF($K$7831=0,"",INDEX(Clients!$E$2:$E$501,$K$7831)&amp;"")),"{date_effet}",$K$7833),"{hausse}",$K$7834),"{civilite}",$K$7832)</f>
        <v>Objet : révision de nos honoraires au 1er janvier 2027</v>
      </c>
      <c r="C7848" s="34"/>
      <c r="D7848" s="34"/>
      <c r="E7848" s="34"/>
      <c r="F7848" s="34"/>
      <c r="J7848" s="25"/>
      <c r="K7848" s="25"/>
      <c r="L7848" s="25"/>
      <c r="M7848" s="25"/>
      <c r="N7848" s="25"/>
      <c r="O7848" s="25"/>
    </row>
    <row r="7849" customFormat="false" ht="13.5" hidden="false" customHeight="true" outlineLevel="0" collapsed="false">
      <c r="B7849" s="10"/>
      <c r="C7849" s="10"/>
      <c r="D7849" s="10"/>
      <c r="E7849" s="10"/>
      <c r="F7849" s="10"/>
      <c r="J7849" s="25"/>
      <c r="K7849" s="25"/>
      <c r="L7849" s="25"/>
      <c r="M7849" s="25"/>
      <c r="N7849" s="25"/>
      <c r="O7849" s="25"/>
    </row>
    <row r="7850" customFormat="false" ht="15" hidden="false" customHeight="false" outlineLevel="0" collapsed="false">
      <c r="B7850" s="10" t="str">
        <f aca="false">$K$7832&amp;","</f>
        <v>Madame, Monsieur,</v>
      </c>
      <c r="C7850" s="10"/>
      <c r="D7850" s="10"/>
      <c r="E7850" s="10"/>
      <c r="F7850" s="10"/>
      <c r="J7850" s="25"/>
      <c r="K7850" s="25"/>
      <c r="L7850" s="25"/>
      <c r="M7850" s="25"/>
      <c r="N7850" s="25"/>
      <c r="O7850" s="25"/>
    </row>
    <row r="7851" customFormat="false" ht="6" hidden="false" customHeight="true" outlineLevel="0" collapsed="false">
      <c r="B7851" s="10"/>
      <c r="C7851" s="10"/>
      <c r="D7851" s="10"/>
      <c r="E7851" s="10"/>
      <c r="F7851" s="10"/>
      <c r="J7851" s="25"/>
      <c r="K7851" s="25"/>
      <c r="L7851" s="25"/>
      <c r="M7851" s="25"/>
      <c r="N7851" s="25"/>
      <c r="O7851" s="25"/>
    </row>
    <row r="7852" customFormat="false" ht="36.75" hidden="false" customHeight="true" outlineLevel="0" collapsed="false">
      <c r="B7852" s="37" t="str">
        <f aca="false">SUBSTITUTE(SUBSTITUTE(SUBSTITUTE(SUBSTITUTE(SUBSTITUTE(Txt_P1,"{cabinet}",Cab_Nom),"{societe}",IF($K$7831=0,"",INDEX(Clients!$E$2:$E$501,$K$7831)&amp;"")),"{date_effet}",$K$7833),"{hausse}",$K$7834),"{civilite}",$K$7832)</f>
        <v>Nous tenons tout d'abord à vous remercier pour la confiance que vous accordez à ALTHO EXPERTISE. Comme chaque année, et conformément aux dispositions de votre lettre de mission, nous procédons à la révision de nos honoraires.</v>
      </c>
      <c r="C7852" s="37"/>
      <c r="D7852" s="37"/>
      <c r="E7852" s="37"/>
      <c r="F7852" s="37"/>
      <c r="J7852" s="25"/>
      <c r="K7852" s="25"/>
      <c r="L7852" s="25"/>
      <c r="M7852" s="25"/>
      <c r="N7852" s="25"/>
      <c r="O7852" s="25"/>
    </row>
    <row r="7853" customFormat="false" ht="49.5" hidden="false" customHeight="true" outlineLevel="0" collapsed="false">
      <c r="B7853" s="37" t="str">
        <f aca="false">SUBSTITUTE(SUBSTITUTE(SUBSTITUTE(SUBSTITUTE(SUBSTITUTE(Txt_P2,"{cabinet}",Cab_Nom),"{societe}",IF($K$7831=0,"",INDEX(Clients!$E$2:$E$501,$K$7831)&amp;"")),"{date_effet}",$K$7833),"{hausse}",$K$7834),"{civilite}",$K$7832)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853" s="37"/>
      <c r="D7853" s="37"/>
      <c r="E7853" s="37"/>
      <c r="F7853" s="37"/>
      <c r="J7853" s="25"/>
      <c r="K7853" s="25"/>
      <c r="L7853" s="25"/>
      <c r="M7853" s="25"/>
      <c r="N7853" s="25"/>
      <c r="O7853" s="25"/>
    </row>
    <row r="7854" customFormat="false" ht="63" hidden="false" customHeight="true" outlineLevel="0" collapsed="false">
      <c r="B7854" s="37" t="str">
        <f aca="false">SUBSTITUTE(SUBSTITUTE(SUBSTITUTE(SUBSTITUTE(SUBSTITUTE(Txt_P3,"{cabinet}",Cab_Nom),"{societe}",IF($K$7831=0,"",INDEX(Clients!$E$2:$E$501,$K$7831)&amp;"")),"{date_effet}",$K$7833),"{hausse}",$K$7834),"{civilite}",$K$7832)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854" s="37"/>
      <c r="D7854" s="37"/>
      <c r="E7854" s="37"/>
      <c r="F7854" s="37"/>
      <c r="J7854" s="25"/>
      <c r="K7854" s="25"/>
      <c r="L7854" s="25"/>
      <c r="M7854" s="25"/>
      <c r="N7854" s="25"/>
      <c r="O7854" s="25"/>
    </row>
    <row r="7855" customFormat="false" ht="24" hidden="false" customHeight="true" outlineLevel="0" collapsed="false">
      <c r="B7855" s="37" t="str">
        <f aca="false">SUBSTITUTE(SUBSTITUTE(SUBSTITUTE(SUBSTITUTE(SUBSTITUTE(Txt_P4,"{cabinet}",Cab_Nom),"{societe}",IF($K$7831=0,"",INDEX(Clients!$E$2:$E$501,$K$7831)&amp;"")),"{date_effet}",$K$7833),"{hausse}",$K$7834),"{civilite}",$K$7832)</f>
        <v>À compter du 1er janvier 2027, vos honoraires annuels hors taxes évolueront ainsi (évolution globale : ) :</v>
      </c>
      <c r="C7855" s="37"/>
      <c r="D7855" s="37"/>
      <c r="E7855" s="37"/>
      <c r="F7855" s="37"/>
      <c r="J7855" s="25"/>
      <c r="K7855" s="25"/>
      <c r="L7855" s="25"/>
      <c r="M7855" s="25"/>
      <c r="N7855" s="25"/>
      <c r="O7855" s="25"/>
    </row>
    <row r="7856" customFormat="false" ht="3.75" hidden="false" customHeight="true" outlineLevel="0" collapsed="false">
      <c r="B7856" s="10"/>
      <c r="C7856" s="10"/>
      <c r="D7856" s="10"/>
      <c r="E7856" s="10"/>
      <c r="F7856" s="10"/>
      <c r="J7856" s="25"/>
      <c r="K7856" s="25"/>
      <c r="L7856" s="25"/>
      <c r="M7856" s="25"/>
      <c r="N7856" s="25"/>
      <c r="O7856" s="25"/>
    </row>
    <row r="7857" customFormat="false" ht="18" hidden="false" customHeight="true" outlineLevel="0" collapsed="false">
      <c r="B7857" s="38" t="s">
        <v>148</v>
      </c>
      <c r="C7857" s="39" t="s">
        <v>149</v>
      </c>
      <c r="D7857" s="39" t="s">
        <v>150</v>
      </c>
      <c r="E7857" s="39" t="s">
        <v>151</v>
      </c>
      <c r="F7857" s="39" t="s">
        <v>109</v>
      </c>
      <c r="J7857" s="25" t="s">
        <v>152</v>
      </c>
      <c r="K7857" s="25" t="s">
        <v>153</v>
      </c>
      <c r="L7857" s="25" t="s">
        <v>154</v>
      </c>
      <c r="M7857" s="25" t="s">
        <v>155</v>
      </c>
      <c r="N7857" s="25" t="s">
        <v>156</v>
      </c>
      <c r="O7857" s="25" t="s">
        <v>157</v>
      </c>
    </row>
    <row r="7858" customFormat="false" ht="16.5" hidden="false" customHeight="true" outlineLevel="0" collapsed="false">
      <c r="B7858" s="40" t="str">
        <f aca="false">IFERROR(INDEX($J$7858:$J$7861,MATCH($O7858,$N$7858:$N$7861,0)),"")</f>
        <v/>
      </c>
      <c r="C7858" s="41" t="str">
        <f aca="false">IFERROR(INDEX($K$7858:$K$7861,MATCH($O7858,$N$7858:$N$7861,0)),"")</f>
        <v/>
      </c>
      <c r="D7858" s="42" t="str">
        <f aca="false">IF(OR(E7858="",N(C7858)=0),"",E7858/C7858-1)</f>
        <v/>
      </c>
      <c r="E7858" s="41" t="str">
        <f aca="false">IFERROR(INDEX($L$7858:$L$7861,MATCH($O7858,$N$7858:$N$7861,0)),"")</f>
        <v/>
      </c>
      <c r="F7858" s="41" t="str">
        <f aca="false">IF(E7858="","",E7858-C7858)</f>
        <v/>
      </c>
      <c r="J7858" s="25" t="str">
        <f aca="false">Lib_Compta</f>
        <v>Mission comptable (tenue, révision, bilan, liasse fiscale)</v>
      </c>
      <c r="K7858" s="25" t="n">
        <f aca="false">IF($K$7831=0,0,N(INDEX(Clients!$K$2:$K$501,$K$7831)))</f>
        <v>0</v>
      </c>
      <c r="L7858" s="25" t="n">
        <f aca="false">IF($K$7831=0,0,N(INDEX(Clients!$P$2:$P$501,$K$7831)))</f>
        <v>0</v>
      </c>
      <c r="M7858" s="25" t="n">
        <f aca="false">IF(OR(K7858&lt;&gt;0,L7858&lt;&gt;0),1,0)</f>
        <v>0</v>
      </c>
      <c r="N7858" s="25" t="str">
        <f aca="false">IF(M7858=1,SUM($M$7858:M7858),"")</f>
        <v/>
      </c>
      <c r="O7858" s="25" t="n">
        <v>1</v>
      </c>
    </row>
    <row r="7859" customFormat="false" ht="16.5" hidden="false" customHeight="true" outlineLevel="0" collapsed="false">
      <c r="B7859" s="40" t="str">
        <f aca="false">IFERROR(INDEX($J$7858:$J$7861,MATCH($O7859,$N$7858:$N$7861,0)),"")</f>
        <v/>
      </c>
      <c r="C7859" s="41" t="str">
        <f aca="false">IFERROR(INDEX($K$7858:$K$7861,MATCH($O7859,$N$7858:$N$7861,0)),"")</f>
        <v/>
      </c>
      <c r="D7859" s="42" t="str">
        <f aca="false">IF(OR(E7859="",N(C7859)=0),"",E7859/C7859-1)</f>
        <v/>
      </c>
      <c r="E7859" s="41" t="str">
        <f aca="false">IFERROR(INDEX($L$7858:$L$7861,MATCH($O7859,$N$7858:$N$7861,0)),"")</f>
        <v/>
      </c>
      <c r="F7859" s="41" t="str">
        <f aca="false">IF(E7859="","",E7859-C7859)</f>
        <v/>
      </c>
      <c r="J7859" s="25" t="str">
        <f aca="false">Lib_Paye</f>
        <v>Mission sociale (bulletins de paie, DSN, déclarations sociales)</v>
      </c>
      <c r="K7859" s="25" t="n">
        <f aca="false">IF($K$7831=0,0,N(INDEX(Clients!$L$2:$L$501,$K$7831)))</f>
        <v>0</v>
      </c>
      <c r="L7859" s="25" t="n">
        <f aca="false">IF($K$7831=0,0,N(INDEX(Clients!$Q$2:$Q$501,$K$7831)))</f>
        <v>0</v>
      </c>
      <c r="M7859" s="25" t="n">
        <f aca="false">IF(OR(K7859&lt;&gt;0,L7859&lt;&gt;0),1,0)</f>
        <v>0</v>
      </c>
      <c r="N7859" s="25" t="str">
        <f aca="false">IF(M7859=1,SUM($M$7858:M7859),"")</f>
        <v/>
      </c>
      <c r="O7859" s="25" t="n">
        <v>2</v>
      </c>
    </row>
    <row r="7860" customFormat="false" ht="16.5" hidden="false" customHeight="true" outlineLevel="0" collapsed="false">
      <c r="B7860" s="40" t="str">
        <f aca="false">IFERROR(INDEX($J$7858:$J$7861,MATCH($O7860,$N$7858:$N$7861,0)),"")</f>
        <v/>
      </c>
      <c r="C7860" s="41" t="str">
        <f aca="false">IFERROR(INDEX($K$7858:$K$7861,MATCH($O7860,$N$7858:$N$7861,0)),"")</f>
        <v/>
      </c>
      <c r="D7860" s="42" t="str">
        <f aca="false">IF(OR(E7860="",N(C7860)=0),"",E7860/C7860-1)</f>
        <v/>
      </c>
      <c r="E7860" s="41" t="str">
        <f aca="false">IFERROR(INDEX($L$7858:$L$7861,MATCH($O7860,$N$7858:$N$7861,0)),"")</f>
        <v/>
      </c>
      <c r="F7860" s="41" t="str">
        <f aca="false">IF(E7860="","",E7860-C7860)</f>
        <v/>
      </c>
      <c r="J7860" s="25" t="str">
        <f aca="false">Lib_Jur</f>
        <v>Mission juridique (approbation des comptes, secrétariat juridique)</v>
      </c>
      <c r="K7860" s="25" t="n">
        <f aca="false">IF($K$7831=0,0,N(INDEX(Clients!$M$2:$M$501,$K$7831)))</f>
        <v>0</v>
      </c>
      <c r="L7860" s="25" t="n">
        <f aca="false">IF($K$7831=0,0,N(INDEX(Clients!$R$2:$R$501,$K$7831)))</f>
        <v>0</v>
      </c>
      <c r="M7860" s="25" t="n">
        <f aca="false">IF(OR(K7860&lt;&gt;0,L7860&lt;&gt;0),1,0)</f>
        <v>0</v>
      </c>
      <c r="N7860" s="25" t="str">
        <f aca="false">IF(M7860=1,SUM($M$7858:M7860),"")</f>
        <v/>
      </c>
      <c r="O7860" s="25" t="n">
        <v>3</v>
      </c>
    </row>
    <row r="7861" customFormat="false" ht="16.5" hidden="false" customHeight="true" outlineLevel="0" collapsed="false">
      <c r="B7861" s="40" t="str">
        <f aca="false">IFERROR(INDEX($J$7858:$J$7861,MATCH($O7861,$N$7858:$N$7861,0)),"")</f>
        <v/>
      </c>
      <c r="C7861" s="41" t="str">
        <f aca="false">IFERROR(INDEX($K$7858:$K$7861,MATCH($O7861,$N$7858:$N$7861,0)),"")</f>
        <v/>
      </c>
      <c r="D7861" s="42" t="str">
        <f aca="false">IF(OR(E7861="",N(C7861)=0),"",E7861/C7861-1)</f>
        <v/>
      </c>
      <c r="E7861" s="41" t="str">
        <f aca="false">IFERROR(INDEX($L$7858:$L$7861,MATCH($O7861,$N$7858:$N$7861,0)),"")</f>
        <v/>
      </c>
      <c r="F7861" s="41" t="str">
        <f aca="false">IF(E7861="","",E7861-C7861)</f>
        <v/>
      </c>
      <c r="J7861" s="25" t="str">
        <f aca="false">Lib_PA</f>
        <v>Plateforme agréée – facturation électronique</v>
      </c>
      <c r="K7861" s="25" t="n">
        <f aca="false">IF($K$7831=0,0,N(INDEX(Clients!$N$2:$N$501,$K$7831)))</f>
        <v>0</v>
      </c>
      <c r="L7861" s="25" t="n">
        <f aca="false">IF($K$7831=0,0,N(INDEX(Clients!$S$2:$S$501,$K$7831)))</f>
        <v>0</v>
      </c>
      <c r="M7861" s="25" t="n">
        <f aca="false">IF(OR(K7861&lt;&gt;0,L7861&lt;&gt;0),1,0)</f>
        <v>0</v>
      </c>
      <c r="N7861" s="25" t="str">
        <f aca="false">IF(M7861=1,SUM($M$7858:M7861),"")</f>
        <v/>
      </c>
      <c r="O7861" s="25" t="n">
        <v>4</v>
      </c>
    </row>
    <row r="7862" customFormat="false" ht="18" hidden="false" customHeight="true" outlineLevel="0" collapsed="false">
      <c r="B7862" s="43" t="s">
        <v>158</v>
      </c>
      <c r="C7862" s="44" t="n">
        <f aca="false">SUM(K7858:K7861)</f>
        <v>0</v>
      </c>
      <c r="D7862" s="45" t="str">
        <f aca="false">IF(N(C7862)=0,"",E7862/C7862-1)</f>
        <v/>
      </c>
      <c r="E7862" s="44" t="n">
        <f aca="false">SUM(L7858:L7861)</f>
        <v>0</v>
      </c>
      <c r="F7862" s="44" t="n">
        <f aca="false">E7862-C7862</f>
        <v>0</v>
      </c>
    </row>
    <row r="7863" customFormat="false" ht="15" hidden="false" customHeight="false" outlineLevel="0" collapsed="false">
      <c r="B7863" s="46" t="str">
        <f aca="false">IF(N(Nb_Mensualites)=0,"","Soit "&amp;FIXED(E7862/Nb_Mensualites,2)&amp;" € HT par échéance ("&amp;Nb_Mensualites&amp;" échéances), "&amp;FIXED(E7862/Nb_Mensualites*(1+Taux_TVA),2)&amp;" € TTC.")</f>
        <v>Soit 0.00 € HT par échéance (12 échéances), 0.00 € TTC.</v>
      </c>
      <c r="C7863" s="46"/>
      <c r="D7863" s="46"/>
      <c r="E7863" s="46"/>
      <c r="F7863" s="46"/>
    </row>
    <row r="7864" customFormat="false" ht="7.5" hidden="false" customHeight="true" outlineLevel="0" collapsed="false">
      <c r="B7864" s="10"/>
      <c r="C7864" s="10"/>
      <c r="D7864" s="10"/>
      <c r="E7864" s="10"/>
      <c r="F7864" s="10"/>
    </row>
    <row r="7865" customFormat="false" ht="36.75" hidden="false" customHeight="true" outlineLevel="0" collapsed="false">
      <c r="B7865" s="37" t="str">
        <f aca="false">SUBSTITUTE(SUBSTITUTE(SUBSTITUTE(SUBSTITUTE(SUBSTITUTE(Txt_P5,"{cabinet}",Cab_Nom),"{societe}",IF($K$7831=0,"",INDEX(Clients!$E$2:$E$501,$K$7831)&amp;"")),"{date_effet}",$K$7833),"{hausse}",$K$7834),"{civilite}",$K$7832)</f>
        <v>Les autres conditions de votre lettre de mission demeurent inchangées. Les nouveaux montants seront appliqués automatiquement sur vos prochaines factures et échéances de prélèvement.</v>
      </c>
      <c r="C7865" s="37"/>
      <c r="D7865" s="37"/>
      <c r="E7865" s="37"/>
      <c r="F7865" s="37"/>
    </row>
    <row r="7866" customFormat="false" ht="36.75" hidden="false" customHeight="true" outlineLevel="0" collapsed="false">
      <c r="B7866" s="37" t="str">
        <f aca="false">SUBSTITUTE(SUBSTITUTE(SUBSTITUTE(SUBSTITUTE(SUBSTITUTE(Txt_P6,"{cabinet}",Cab_Nom),"{societe}",IF($K$7831=0,"",INDEX(Clients!$E$2:$E$501,$K$7831)&amp;"")),"{date_effet}",$K$7833),"{hausse}",$K$7834),"{civilite}",$K$7832)</f>
        <v>Votre interlocuteur habituel reste à votre entière disposition pour répondre à vos questions et faire le point sur l'évolution de vos besoins.</v>
      </c>
      <c r="C7866" s="37"/>
      <c r="D7866" s="37"/>
      <c r="E7866" s="37"/>
      <c r="F7866" s="37"/>
    </row>
    <row r="7867" customFormat="false" ht="24" hidden="false" customHeight="true" outlineLevel="0" collapsed="false">
      <c r="B7867" s="37" t="str">
        <f aca="false">SUBSTITUTE(SUBSTITUTE(SUBSTITUTE(SUBSTITUTE(SUBSTITUTE(Txt_Politesse,"{cabinet}",Cab_Nom),"{societe}",IF($K$7831=0,"",INDEX(Clients!$E$2:$E$501,$K$7831)&amp;"")),"{date_effet}",$K$7833),"{hausse}",$K$7834),"{civilite}",$K$7832)</f>
        <v>Nous vous prions d'agréer, Madame, Monsieur, l'expression de nos salutations distinguées.</v>
      </c>
      <c r="C7867" s="37"/>
      <c r="D7867" s="37"/>
      <c r="E7867" s="37"/>
      <c r="F7867" s="37"/>
    </row>
    <row r="7868" customFormat="false" ht="15" hidden="false" customHeight="false" outlineLevel="0" collapsed="false">
      <c r="B7868" s="10"/>
      <c r="C7868" s="10"/>
      <c r="D7868" s="10"/>
      <c r="E7868" s="10"/>
      <c r="F7868" s="10"/>
    </row>
    <row r="7869" customFormat="false" ht="15" hidden="false" customHeight="false" outlineLevel="0" collapsed="false">
      <c r="B7869" s="10"/>
      <c r="C7869" s="10"/>
      <c r="D7869" s="34" t="str">
        <f aca="false">Signataire</f>
        <v>Prénom NOM</v>
      </c>
      <c r="E7869" s="34"/>
      <c r="F7869" s="34"/>
    </row>
    <row r="7870" customFormat="false" ht="15" hidden="false" customHeight="false" outlineLevel="0" collapsed="false">
      <c r="B7870" s="10"/>
      <c r="C7870" s="10"/>
      <c r="D7870" s="47" t="str">
        <f aca="false">Signataire_Titre</f>
        <v>Expert-comptable associé</v>
      </c>
      <c r="E7870" s="47"/>
      <c r="F7870" s="47"/>
    </row>
    <row r="7871" customFormat="false" ht="15.75" hidden="false" customHeight="true" outlineLevel="0" collapsed="false">
      <c r="B7871" s="10"/>
      <c r="C7871" s="10"/>
      <c r="D7871" s="10"/>
      <c r="E7871" s="10"/>
      <c r="F7871" s="10"/>
    </row>
    <row r="7872" customFormat="false" ht="15.75" hidden="false" customHeight="true" outlineLevel="0" collapsed="false">
      <c r="B7872" s="10"/>
      <c r="C7872" s="10"/>
      <c r="D7872" s="10"/>
      <c r="E7872" s="10"/>
      <c r="F7872" s="10"/>
    </row>
    <row r="7873" customFormat="false" ht="15.75" hidden="false" customHeight="true" outlineLevel="0" collapsed="false">
      <c r="B7873" s="10"/>
      <c r="C7873" s="10"/>
      <c r="D7873" s="10"/>
      <c r="E7873" s="10"/>
      <c r="F7873" s="10"/>
    </row>
    <row r="7874" customFormat="false" ht="15.75" hidden="false" customHeight="true" outlineLevel="0" collapsed="false">
      <c r="B7874" s="10"/>
      <c r="C7874" s="10"/>
      <c r="D7874" s="10"/>
      <c r="E7874" s="10"/>
      <c r="F7874" s="10"/>
    </row>
    <row r="7875" customFormat="false" ht="24" hidden="false" customHeight="true" outlineLevel="0" collapsed="false">
      <c r="B7875" s="48" t="str">
        <f aca="false">Cab_Mentions</f>
        <v>ALTHO EXPERTISE · SAS au capital de 10 000 € · RCS Pontoise 919 706 325 · TVA FR62919706325 · Société d'expertise comptable inscrite au Tableau de l'Ordre des experts-comptables de Paris Île-de-France</v>
      </c>
      <c r="C7875" s="48"/>
      <c r="D7875" s="48"/>
      <c r="E7875" s="48"/>
      <c r="F7875" s="48"/>
    </row>
    <row r="7876" customFormat="false" ht="15" hidden="false" customHeight="false" outlineLevel="0" collapsed="false">
      <c r="B7876" s="10"/>
      <c r="C7876" s="10"/>
      <c r="D7876" s="10"/>
      <c r="E7876" s="10"/>
      <c r="F7876" s="10"/>
      <c r="J7876" s="25" t="s">
        <v>142</v>
      </c>
      <c r="K7876" s="25" t="n">
        <f aca="false">IFERROR(MATCH(176,Clients!$Z$2:$Z$501,0),0)</f>
        <v>0</v>
      </c>
      <c r="L7876" s="25"/>
      <c r="M7876" s="25"/>
      <c r="N7876" s="25"/>
      <c r="O7876" s="25"/>
    </row>
    <row r="7877" customFormat="false" ht="21.75" hidden="false" customHeight="true" outlineLevel="0" collapsed="false">
      <c r="B7877" s="26" t="str">
        <f aca="false">Cab_Nom</f>
        <v>ALTHO EXPERTISE</v>
      </c>
      <c r="C7877" s="26"/>
      <c r="D7877" s="10"/>
      <c r="E7877" s="27" t="str">
        <f aca="false">IF($K$7876=0,"","Réf. client : "&amp;INDEX(Clients!$A$2:$A$501,$K$7876))</f>
        <v/>
      </c>
      <c r="F7877" s="27"/>
      <c r="J7877" s="25" t="s">
        <v>144</v>
      </c>
      <c r="K7877" s="25" t="str">
        <f aca="false">IF(IF($K$7876=0,"",INDEX(Clients!$B$2:$B$501,$K$7876)&amp;"")="Mme","Madame",IF(IF($K$7876=0,"",INDEX(Clients!$B$2:$B$501,$K$7876)&amp;"")="M.","Monsieur","Madame, Monsieur"))</f>
        <v>Madame, Monsieur</v>
      </c>
      <c r="L7877" s="25"/>
      <c r="M7877" s="25"/>
      <c r="N7877" s="25"/>
      <c r="O7877" s="25"/>
    </row>
    <row r="7878" customFormat="false" ht="15" hidden="false" customHeight="false" outlineLevel="0" collapsed="false">
      <c r="B7878" s="29" t="str">
        <f aca="false">Cab_Adr1</f>
        <v>141 rue Charles de Gaulle</v>
      </c>
      <c r="C7878" s="29"/>
      <c r="D7878" s="10"/>
      <c r="E7878" s="10"/>
      <c r="F7878" s="10"/>
      <c r="J7878" s="25" t="s">
        <v>145</v>
      </c>
      <c r="K7878" s="25" t="str">
        <f aca="false">DAY(Date_Effet)&amp;IF(DAY(Date_Effet)=1,"er","")&amp;" "&amp;INDEX(Liste_Mois,MONTH(Date_Effet))&amp;" "&amp;YEAR(Date_Effet)</f>
        <v>1er janvier 2027</v>
      </c>
      <c r="L7878" s="25"/>
      <c r="M7878" s="25"/>
      <c r="N7878" s="25"/>
      <c r="O7878" s="25"/>
    </row>
    <row r="7879" customFormat="false" ht="15" hidden="false" customHeight="false" outlineLevel="0" collapsed="false">
      <c r="B7879" s="29" t="str">
        <f aca="false">Cab_CPVille</f>
        <v>95130 LE PLESSIS-BOUCHARD</v>
      </c>
      <c r="C7879" s="29"/>
      <c r="D7879" s="10"/>
      <c r="E7879" s="10"/>
      <c r="F7879" s="10"/>
      <c r="J7879" s="25" t="s">
        <v>146</v>
      </c>
      <c r="K7879" s="25" t="str">
        <f aca="false">IF(SUM($K$7903:$K$7906)=0,"",FIXED((SUM($L$7903:$L$7906)/SUM($K$7903:$K$7906)-1)*100,1)&amp;" %")</f>
        <v/>
      </c>
      <c r="L7879" s="25"/>
      <c r="M7879" s="25"/>
      <c r="N7879" s="25"/>
      <c r="O7879" s="25"/>
    </row>
    <row r="7880" customFormat="false" ht="15" hidden="false" customHeight="false" outlineLevel="0" collapsed="false">
      <c r="B7880" s="29" t="str">
        <f aca="false">Cab_Contact</f>
        <v>Tél. 01 34 14 53 45  ·  altho@altho-experts.com  ·  altho-experts.com</v>
      </c>
      <c r="C7880" s="29"/>
      <c r="D7880" s="10"/>
      <c r="E7880" s="10"/>
      <c r="F7880" s="10"/>
      <c r="J7880" s="25"/>
      <c r="K7880" s="25"/>
      <c r="L7880" s="25"/>
      <c r="M7880" s="25"/>
      <c r="N7880" s="25"/>
      <c r="O7880" s="25"/>
    </row>
    <row r="7881" customFormat="false" ht="6" hidden="false" customHeight="true" outlineLevel="0" collapsed="false">
      <c r="B7881" s="32"/>
      <c r="C7881" s="32"/>
      <c r="D7881" s="32"/>
      <c r="E7881" s="32"/>
      <c r="F7881" s="32"/>
      <c r="J7881" s="25"/>
      <c r="K7881" s="25"/>
      <c r="L7881" s="25"/>
      <c r="M7881" s="25"/>
      <c r="N7881" s="25"/>
      <c r="O7881" s="25"/>
    </row>
    <row r="7882" customFormat="false" ht="13.5" hidden="false" customHeight="true" outlineLevel="0" collapsed="false">
      <c r="B7882" s="10"/>
      <c r="C7882" s="10"/>
      <c r="D7882" s="10"/>
      <c r="E7882" s="10"/>
      <c r="F7882" s="10"/>
      <c r="J7882" s="25"/>
      <c r="K7882" s="25"/>
      <c r="L7882" s="25"/>
      <c r="M7882" s="25"/>
      <c r="N7882" s="25"/>
      <c r="O7882" s="25"/>
    </row>
    <row r="7883" customFormat="false" ht="13.5" hidden="false" customHeight="true" outlineLevel="0" collapsed="false">
      <c r="B7883" s="10"/>
      <c r="C7883" s="10"/>
      <c r="D7883" s="10"/>
      <c r="E7883" s="10"/>
      <c r="F7883" s="10"/>
      <c r="J7883" s="25"/>
      <c r="K7883" s="25"/>
      <c r="L7883" s="25"/>
      <c r="M7883" s="25"/>
      <c r="N7883" s="25"/>
      <c r="O7883" s="25"/>
    </row>
    <row r="7884" customFormat="false" ht="13.5" hidden="false" customHeight="true" outlineLevel="0" collapsed="false">
      <c r="B7884" s="10"/>
      <c r="C7884" s="10"/>
      <c r="D7884" s="10"/>
      <c r="E7884" s="10"/>
      <c r="F7884" s="10"/>
      <c r="J7884" s="25"/>
      <c r="K7884" s="25"/>
      <c r="L7884" s="25"/>
      <c r="M7884" s="25"/>
      <c r="N7884" s="25"/>
      <c r="O7884" s="25"/>
    </row>
    <row r="7885" customFormat="false" ht="15" hidden="false" customHeight="true" outlineLevel="0" collapsed="false">
      <c r="B7885" s="10"/>
      <c r="C7885" s="10"/>
      <c r="D7885" s="34" t="str">
        <f aca="false">IF($K$7876=0,"",INDEX(Clients!$E$2:$E$501,$K$7876)&amp;"")</f>
        <v/>
      </c>
      <c r="E7885" s="34"/>
      <c r="F7885" s="34"/>
      <c r="J7885" s="25"/>
      <c r="K7885" s="25"/>
      <c r="L7885" s="25"/>
      <c r="M7885" s="25"/>
      <c r="N7885" s="25"/>
      <c r="O7885" s="25"/>
    </row>
    <row r="7886" customFormat="false" ht="15" hidden="false" customHeight="true" outlineLevel="0" collapsed="false">
      <c r="B7886" s="10"/>
      <c r="C7886" s="10"/>
      <c r="D7886" s="35" t="str">
        <f aca="false">IF(IF($K$7876=0,"",INDEX(Clients!$D$2:$D$501,$K$7876)&amp;"")="","","À l'attention de "&amp;TRIM(IF($K$7876=0,"",INDEX(Clients!$B$2:$B$501,$K$7876)&amp;"")&amp;" "&amp;IF($K$7876=0,"",INDEX(Clients!$C$2:$C$501,$K$7876)&amp;"")&amp;" "&amp;IF($K$7876=0,"",INDEX(Clients!$D$2:$D$501,$K$7876)&amp;"")))</f>
        <v/>
      </c>
      <c r="E7886" s="35"/>
      <c r="F7886" s="35"/>
      <c r="J7886" s="25"/>
      <c r="K7886" s="25"/>
      <c r="L7886" s="25"/>
      <c r="M7886" s="25"/>
      <c r="N7886" s="25"/>
      <c r="O7886" s="25"/>
    </row>
    <row r="7887" customFormat="false" ht="15" hidden="false" customHeight="true" outlineLevel="0" collapsed="false">
      <c r="B7887" s="10"/>
      <c r="C7887" s="10"/>
      <c r="D7887" s="35" t="str">
        <f aca="false">IF($K$7876=0,"",INDEX(Clients!$F$2:$F$501,$K$7876)&amp;"")</f>
        <v/>
      </c>
      <c r="E7887" s="35"/>
      <c r="F7887" s="35"/>
      <c r="J7887" s="25"/>
      <c r="K7887" s="25"/>
      <c r="L7887" s="25"/>
      <c r="M7887" s="25"/>
      <c r="N7887" s="25"/>
      <c r="O7887" s="25"/>
    </row>
    <row r="7888" customFormat="false" ht="15" hidden="false" customHeight="true" outlineLevel="0" collapsed="false">
      <c r="B7888" s="10"/>
      <c r="C7888" s="10"/>
      <c r="D7888" s="35" t="str">
        <f aca="false">IF(IF($K$7876=0,"",INDEX(Clients!$G$2:$G$501,$K$7876)&amp;"")="",TRIM(IF($K$7876=0,"",INDEX(Clients!$H$2:$H$501,$K$7876)&amp;"")&amp;" "&amp;UPPER(IF($K$7876=0,"",INDEX(Clients!$I$2:$I$501,$K$7876)&amp;""))),IF($K$7876=0,"",INDEX(Clients!$G$2:$G$501,$K$7876)&amp;""))</f>
        <v/>
      </c>
      <c r="E7888" s="35"/>
      <c r="F7888" s="35"/>
      <c r="J7888" s="25"/>
      <c r="K7888" s="25"/>
      <c r="L7888" s="25"/>
      <c r="M7888" s="25"/>
      <c r="N7888" s="25"/>
      <c r="O7888" s="25"/>
    </row>
    <row r="7889" customFormat="false" ht="15" hidden="false" customHeight="true" outlineLevel="0" collapsed="false">
      <c r="B7889" s="10"/>
      <c r="C7889" s="10"/>
      <c r="D7889" s="35" t="str">
        <f aca="false">IF(IF($K$7876=0,"",INDEX(Clients!$G$2:$G$501,$K$7876)&amp;"")="","",TRIM(IF($K$7876=0,"",INDEX(Clients!$H$2:$H$501,$K$7876)&amp;"")&amp;" "&amp;UPPER(IF($K$7876=0,"",INDEX(Clients!$I$2:$I$501,$K$7876)&amp;""))))</f>
        <v/>
      </c>
      <c r="E7889" s="35"/>
      <c r="F7889" s="35"/>
      <c r="J7889" s="25"/>
      <c r="K7889" s="25"/>
      <c r="L7889" s="25"/>
      <c r="M7889" s="25"/>
      <c r="N7889" s="25"/>
      <c r="O7889" s="25"/>
    </row>
    <row r="7890" customFormat="false" ht="25.5" hidden="false" customHeight="true" outlineLevel="0" collapsed="false">
      <c r="B7890" s="10"/>
      <c r="C7890" s="10"/>
      <c r="D7890" s="10"/>
      <c r="E7890" s="10"/>
      <c r="F7890" s="10"/>
      <c r="J7890" s="25"/>
      <c r="K7890" s="25"/>
      <c r="L7890" s="25"/>
      <c r="M7890" s="25"/>
      <c r="N7890" s="25"/>
      <c r="O7890" s="25"/>
    </row>
    <row r="7891" customFormat="false" ht="15" hidden="false" customHeight="false" outlineLevel="0" collapsed="false">
      <c r="B7891" s="10"/>
      <c r="C7891" s="10"/>
      <c r="D7891" s="36" t="str">
        <f aca="false">Cab_Ville&amp;", le "&amp;DAY(Date_Courrier)&amp;IF(DAY(Date_Courrier)=1,"er","")&amp;" "&amp;INDEX(Liste_Mois,MONTH(Date_Courrier))&amp;" "&amp;YEAR(Date_Courrier)</f>
        <v>Le Plessis-Bouchard, le 22 septembre 2026</v>
      </c>
      <c r="E7891" s="36"/>
      <c r="F7891" s="36"/>
      <c r="J7891" s="25"/>
      <c r="K7891" s="25"/>
      <c r="L7891" s="25"/>
      <c r="M7891" s="25"/>
      <c r="N7891" s="25"/>
      <c r="O7891" s="25"/>
    </row>
    <row r="7892" customFormat="false" ht="19.5" hidden="false" customHeight="true" outlineLevel="0" collapsed="false">
      <c r="B7892" s="10"/>
      <c r="C7892" s="10"/>
      <c r="D7892" s="10"/>
      <c r="E7892" s="10"/>
      <c r="F7892" s="10"/>
      <c r="J7892" s="25"/>
      <c r="K7892" s="25"/>
      <c r="L7892" s="25"/>
      <c r="M7892" s="25"/>
      <c r="N7892" s="25"/>
      <c r="O7892" s="25"/>
    </row>
    <row r="7893" customFormat="false" ht="15" hidden="false" customHeight="false" outlineLevel="0" collapsed="false">
      <c r="B7893" s="34" t="str">
        <f aca="false">SUBSTITUTE(SUBSTITUTE(SUBSTITUTE(SUBSTITUTE(SUBSTITUTE(Txt_Objet,"{cabinet}",Cab_Nom),"{societe}",IF($K$7876=0,"",INDEX(Clients!$E$2:$E$501,$K$7876)&amp;"")),"{date_effet}",$K$7878),"{hausse}",$K$7879),"{civilite}",$K$7877)</f>
        <v>Objet : révision de nos honoraires au 1er janvier 2027</v>
      </c>
      <c r="C7893" s="34"/>
      <c r="D7893" s="34"/>
      <c r="E7893" s="34"/>
      <c r="F7893" s="34"/>
      <c r="J7893" s="25"/>
      <c r="K7893" s="25"/>
      <c r="L7893" s="25"/>
      <c r="M7893" s="25"/>
      <c r="N7893" s="25"/>
      <c r="O7893" s="25"/>
    </row>
    <row r="7894" customFormat="false" ht="13.5" hidden="false" customHeight="true" outlineLevel="0" collapsed="false">
      <c r="B7894" s="10"/>
      <c r="C7894" s="10"/>
      <c r="D7894" s="10"/>
      <c r="E7894" s="10"/>
      <c r="F7894" s="10"/>
      <c r="J7894" s="25"/>
      <c r="K7894" s="25"/>
      <c r="L7894" s="25"/>
      <c r="M7894" s="25"/>
      <c r="N7894" s="25"/>
      <c r="O7894" s="25"/>
    </row>
    <row r="7895" customFormat="false" ht="15" hidden="false" customHeight="false" outlineLevel="0" collapsed="false">
      <c r="B7895" s="10" t="str">
        <f aca="false">$K$7877&amp;","</f>
        <v>Madame, Monsieur,</v>
      </c>
      <c r="C7895" s="10"/>
      <c r="D7895" s="10"/>
      <c r="E7895" s="10"/>
      <c r="F7895" s="10"/>
      <c r="J7895" s="25"/>
      <c r="K7895" s="25"/>
      <c r="L7895" s="25"/>
      <c r="M7895" s="25"/>
      <c r="N7895" s="25"/>
      <c r="O7895" s="25"/>
    </row>
    <row r="7896" customFormat="false" ht="6" hidden="false" customHeight="true" outlineLevel="0" collapsed="false">
      <c r="B7896" s="10"/>
      <c r="C7896" s="10"/>
      <c r="D7896" s="10"/>
      <c r="E7896" s="10"/>
      <c r="F7896" s="10"/>
      <c r="J7896" s="25"/>
      <c r="K7896" s="25"/>
      <c r="L7896" s="25"/>
      <c r="M7896" s="25"/>
      <c r="N7896" s="25"/>
      <c r="O7896" s="25"/>
    </row>
    <row r="7897" customFormat="false" ht="36.75" hidden="false" customHeight="true" outlineLevel="0" collapsed="false">
      <c r="B7897" s="37" t="str">
        <f aca="false">SUBSTITUTE(SUBSTITUTE(SUBSTITUTE(SUBSTITUTE(SUBSTITUTE(Txt_P1,"{cabinet}",Cab_Nom),"{societe}",IF($K$7876=0,"",INDEX(Clients!$E$2:$E$501,$K$7876)&amp;"")),"{date_effet}",$K$7878),"{hausse}",$K$7879),"{civilite}",$K$7877)</f>
        <v>Nous tenons tout d'abord à vous remercier pour la confiance que vous accordez à ALTHO EXPERTISE. Comme chaque année, et conformément aux dispositions de votre lettre de mission, nous procédons à la révision de nos honoraires.</v>
      </c>
      <c r="C7897" s="37"/>
      <c r="D7897" s="37"/>
      <c r="E7897" s="37"/>
      <c r="F7897" s="37"/>
      <c r="J7897" s="25"/>
      <c r="K7897" s="25"/>
      <c r="L7897" s="25"/>
      <c r="M7897" s="25"/>
      <c r="N7897" s="25"/>
      <c r="O7897" s="25"/>
    </row>
    <row r="7898" customFormat="false" ht="49.5" hidden="false" customHeight="true" outlineLevel="0" collapsed="false">
      <c r="B7898" s="37" t="str">
        <f aca="false">SUBSTITUTE(SUBSTITUTE(SUBSTITUTE(SUBSTITUTE(SUBSTITUTE(Txt_P2,"{cabinet}",Cab_Nom),"{societe}",IF($K$7876=0,"",INDEX(Clients!$E$2:$E$501,$K$7876)&amp;"")),"{date_effet}",$K$7878),"{hausse}",$K$7879),"{civilite}",$K$7877)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898" s="37"/>
      <c r="D7898" s="37"/>
      <c r="E7898" s="37"/>
      <c r="F7898" s="37"/>
      <c r="J7898" s="25"/>
      <c r="K7898" s="25"/>
      <c r="L7898" s="25"/>
      <c r="M7898" s="25"/>
      <c r="N7898" s="25"/>
      <c r="O7898" s="25"/>
    </row>
    <row r="7899" customFormat="false" ht="63" hidden="false" customHeight="true" outlineLevel="0" collapsed="false">
      <c r="B7899" s="37" t="str">
        <f aca="false">SUBSTITUTE(SUBSTITUTE(SUBSTITUTE(SUBSTITUTE(SUBSTITUTE(Txt_P3,"{cabinet}",Cab_Nom),"{societe}",IF($K$7876=0,"",INDEX(Clients!$E$2:$E$501,$K$7876)&amp;"")),"{date_effet}",$K$7878),"{hausse}",$K$7879),"{civilite}",$K$7877)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899" s="37"/>
      <c r="D7899" s="37"/>
      <c r="E7899" s="37"/>
      <c r="F7899" s="37"/>
      <c r="J7899" s="25"/>
      <c r="K7899" s="25"/>
      <c r="L7899" s="25"/>
      <c r="M7899" s="25"/>
      <c r="N7899" s="25"/>
      <c r="O7899" s="25"/>
    </row>
    <row r="7900" customFormat="false" ht="24" hidden="false" customHeight="true" outlineLevel="0" collapsed="false">
      <c r="B7900" s="37" t="str">
        <f aca="false">SUBSTITUTE(SUBSTITUTE(SUBSTITUTE(SUBSTITUTE(SUBSTITUTE(Txt_P4,"{cabinet}",Cab_Nom),"{societe}",IF($K$7876=0,"",INDEX(Clients!$E$2:$E$501,$K$7876)&amp;"")),"{date_effet}",$K$7878),"{hausse}",$K$7879),"{civilite}",$K$7877)</f>
        <v>À compter du 1er janvier 2027, vos honoraires annuels hors taxes évolueront ainsi (évolution globale : ) :</v>
      </c>
      <c r="C7900" s="37"/>
      <c r="D7900" s="37"/>
      <c r="E7900" s="37"/>
      <c r="F7900" s="37"/>
      <c r="J7900" s="25"/>
      <c r="K7900" s="25"/>
      <c r="L7900" s="25"/>
      <c r="M7900" s="25"/>
      <c r="N7900" s="25"/>
      <c r="O7900" s="25"/>
    </row>
    <row r="7901" customFormat="false" ht="3.75" hidden="false" customHeight="true" outlineLevel="0" collapsed="false">
      <c r="B7901" s="10"/>
      <c r="C7901" s="10"/>
      <c r="D7901" s="10"/>
      <c r="E7901" s="10"/>
      <c r="F7901" s="10"/>
      <c r="J7901" s="25"/>
      <c r="K7901" s="25"/>
      <c r="L7901" s="25"/>
      <c r="M7901" s="25"/>
      <c r="N7901" s="25"/>
      <c r="O7901" s="25"/>
    </row>
    <row r="7902" customFormat="false" ht="18" hidden="false" customHeight="true" outlineLevel="0" collapsed="false">
      <c r="B7902" s="38" t="s">
        <v>148</v>
      </c>
      <c r="C7902" s="39" t="s">
        <v>149</v>
      </c>
      <c r="D7902" s="39" t="s">
        <v>150</v>
      </c>
      <c r="E7902" s="39" t="s">
        <v>151</v>
      </c>
      <c r="F7902" s="39" t="s">
        <v>109</v>
      </c>
      <c r="J7902" s="25" t="s">
        <v>152</v>
      </c>
      <c r="K7902" s="25" t="s">
        <v>153</v>
      </c>
      <c r="L7902" s="25" t="s">
        <v>154</v>
      </c>
      <c r="M7902" s="25" t="s">
        <v>155</v>
      </c>
      <c r="N7902" s="25" t="s">
        <v>156</v>
      </c>
      <c r="O7902" s="25" t="s">
        <v>157</v>
      </c>
    </row>
    <row r="7903" customFormat="false" ht="16.5" hidden="false" customHeight="true" outlineLevel="0" collapsed="false">
      <c r="B7903" s="40" t="str">
        <f aca="false">IFERROR(INDEX($J$7903:$J$7906,MATCH($O7903,$N$7903:$N$7906,0)),"")</f>
        <v/>
      </c>
      <c r="C7903" s="41" t="str">
        <f aca="false">IFERROR(INDEX($K$7903:$K$7906,MATCH($O7903,$N$7903:$N$7906,0)),"")</f>
        <v/>
      </c>
      <c r="D7903" s="42" t="str">
        <f aca="false">IF(OR(E7903="",N(C7903)=0),"",E7903/C7903-1)</f>
        <v/>
      </c>
      <c r="E7903" s="41" t="str">
        <f aca="false">IFERROR(INDEX($L$7903:$L$7906,MATCH($O7903,$N$7903:$N$7906,0)),"")</f>
        <v/>
      </c>
      <c r="F7903" s="41" t="str">
        <f aca="false">IF(E7903="","",E7903-C7903)</f>
        <v/>
      </c>
      <c r="J7903" s="25" t="str">
        <f aca="false">Lib_Compta</f>
        <v>Mission comptable (tenue, révision, bilan, liasse fiscale)</v>
      </c>
      <c r="K7903" s="25" t="n">
        <f aca="false">IF($K$7876=0,0,N(INDEX(Clients!$K$2:$K$501,$K$7876)))</f>
        <v>0</v>
      </c>
      <c r="L7903" s="25" t="n">
        <f aca="false">IF($K$7876=0,0,N(INDEX(Clients!$P$2:$P$501,$K$7876)))</f>
        <v>0</v>
      </c>
      <c r="M7903" s="25" t="n">
        <f aca="false">IF(OR(K7903&lt;&gt;0,L7903&lt;&gt;0),1,0)</f>
        <v>0</v>
      </c>
      <c r="N7903" s="25" t="str">
        <f aca="false">IF(M7903=1,SUM($M$7903:M7903),"")</f>
        <v/>
      </c>
      <c r="O7903" s="25" t="n">
        <v>1</v>
      </c>
    </row>
    <row r="7904" customFormat="false" ht="16.5" hidden="false" customHeight="true" outlineLevel="0" collapsed="false">
      <c r="B7904" s="40" t="str">
        <f aca="false">IFERROR(INDEX($J$7903:$J$7906,MATCH($O7904,$N$7903:$N$7906,0)),"")</f>
        <v/>
      </c>
      <c r="C7904" s="41" t="str">
        <f aca="false">IFERROR(INDEX($K$7903:$K$7906,MATCH($O7904,$N$7903:$N$7906,0)),"")</f>
        <v/>
      </c>
      <c r="D7904" s="42" t="str">
        <f aca="false">IF(OR(E7904="",N(C7904)=0),"",E7904/C7904-1)</f>
        <v/>
      </c>
      <c r="E7904" s="41" t="str">
        <f aca="false">IFERROR(INDEX($L$7903:$L$7906,MATCH($O7904,$N$7903:$N$7906,0)),"")</f>
        <v/>
      </c>
      <c r="F7904" s="41" t="str">
        <f aca="false">IF(E7904="","",E7904-C7904)</f>
        <v/>
      </c>
      <c r="J7904" s="25" t="str">
        <f aca="false">Lib_Paye</f>
        <v>Mission sociale (bulletins de paie, DSN, déclarations sociales)</v>
      </c>
      <c r="K7904" s="25" t="n">
        <f aca="false">IF($K$7876=0,0,N(INDEX(Clients!$L$2:$L$501,$K$7876)))</f>
        <v>0</v>
      </c>
      <c r="L7904" s="25" t="n">
        <f aca="false">IF($K$7876=0,0,N(INDEX(Clients!$Q$2:$Q$501,$K$7876)))</f>
        <v>0</v>
      </c>
      <c r="M7904" s="25" t="n">
        <f aca="false">IF(OR(K7904&lt;&gt;0,L7904&lt;&gt;0),1,0)</f>
        <v>0</v>
      </c>
      <c r="N7904" s="25" t="str">
        <f aca="false">IF(M7904=1,SUM($M$7903:M7904),"")</f>
        <v/>
      </c>
      <c r="O7904" s="25" t="n">
        <v>2</v>
      </c>
    </row>
    <row r="7905" customFormat="false" ht="16.5" hidden="false" customHeight="true" outlineLevel="0" collapsed="false">
      <c r="B7905" s="40" t="str">
        <f aca="false">IFERROR(INDEX($J$7903:$J$7906,MATCH($O7905,$N$7903:$N$7906,0)),"")</f>
        <v/>
      </c>
      <c r="C7905" s="41" t="str">
        <f aca="false">IFERROR(INDEX($K$7903:$K$7906,MATCH($O7905,$N$7903:$N$7906,0)),"")</f>
        <v/>
      </c>
      <c r="D7905" s="42" t="str">
        <f aca="false">IF(OR(E7905="",N(C7905)=0),"",E7905/C7905-1)</f>
        <v/>
      </c>
      <c r="E7905" s="41" t="str">
        <f aca="false">IFERROR(INDEX($L$7903:$L$7906,MATCH($O7905,$N$7903:$N$7906,0)),"")</f>
        <v/>
      </c>
      <c r="F7905" s="41" t="str">
        <f aca="false">IF(E7905="","",E7905-C7905)</f>
        <v/>
      </c>
      <c r="J7905" s="25" t="str">
        <f aca="false">Lib_Jur</f>
        <v>Mission juridique (approbation des comptes, secrétariat juridique)</v>
      </c>
      <c r="K7905" s="25" t="n">
        <f aca="false">IF($K$7876=0,0,N(INDEX(Clients!$M$2:$M$501,$K$7876)))</f>
        <v>0</v>
      </c>
      <c r="L7905" s="25" t="n">
        <f aca="false">IF($K$7876=0,0,N(INDEX(Clients!$R$2:$R$501,$K$7876)))</f>
        <v>0</v>
      </c>
      <c r="M7905" s="25" t="n">
        <f aca="false">IF(OR(K7905&lt;&gt;0,L7905&lt;&gt;0),1,0)</f>
        <v>0</v>
      </c>
      <c r="N7905" s="25" t="str">
        <f aca="false">IF(M7905=1,SUM($M$7903:M7905),"")</f>
        <v/>
      </c>
      <c r="O7905" s="25" t="n">
        <v>3</v>
      </c>
    </row>
    <row r="7906" customFormat="false" ht="16.5" hidden="false" customHeight="true" outlineLevel="0" collapsed="false">
      <c r="B7906" s="40" t="str">
        <f aca="false">IFERROR(INDEX($J$7903:$J$7906,MATCH($O7906,$N$7903:$N$7906,0)),"")</f>
        <v/>
      </c>
      <c r="C7906" s="41" t="str">
        <f aca="false">IFERROR(INDEX($K$7903:$K$7906,MATCH($O7906,$N$7903:$N$7906,0)),"")</f>
        <v/>
      </c>
      <c r="D7906" s="42" t="str">
        <f aca="false">IF(OR(E7906="",N(C7906)=0),"",E7906/C7906-1)</f>
        <v/>
      </c>
      <c r="E7906" s="41" t="str">
        <f aca="false">IFERROR(INDEX($L$7903:$L$7906,MATCH($O7906,$N$7903:$N$7906,0)),"")</f>
        <v/>
      </c>
      <c r="F7906" s="41" t="str">
        <f aca="false">IF(E7906="","",E7906-C7906)</f>
        <v/>
      </c>
      <c r="J7906" s="25" t="str">
        <f aca="false">Lib_PA</f>
        <v>Plateforme agréée – facturation électronique</v>
      </c>
      <c r="K7906" s="25" t="n">
        <f aca="false">IF($K$7876=0,0,N(INDEX(Clients!$N$2:$N$501,$K$7876)))</f>
        <v>0</v>
      </c>
      <c r="L7906" s="25" t="n">
        <f aca="false">IF($K$7876=0,0,N(INDEX(Clients!$S$2:$S$501,$K$7876)))</f>
        <v>0</v>
      </c>
      <c r="M7906" s="25" t="n">
        <f aca="false">IF(OR(K7906&lt;&gt;0,L7906&lt;&gt;0),1,0)</f>
        <v>0</v>
      </c>
      <c r="N7906" s="25" t="str">
        <f aca="false">IF(M7906=1,SUM($M$7903:M7906),"")</f>
        <v/>
      </c>
      <c r="O7906" s="25" t="n">
        <v>4</v>
      </c>
    </row>
    <row r="7907" customFormat="false" ht="18" hidden="false" customHeight="true" outlineLevel="0" collapsed="false">
      <c r="B7907" s="43" t="s">
        <v>158</v>
      </c>
      <c r="C7907" s="44" t="n">
        <f aca="false">SUM(K7903:K7906)</f>
        <v>0</v>
      </c>
      <c r="D7907" s="45" t="str">
        <f aca="false">IF(N(C7907)=0,"",E7907/C7907-1)</f>
        <v/>
      </c>
      <c r="E7907" s="44" t="n">
        <f aca="false">SUM(L7903:L7906)</f>
        <v>0</v>
      </c>
      <c r="F7907" s="44" t="n">
        <f aca="false">E7907-C7907</f>
        <v>0</v>
      </c>
    </row>
    <row r="7908" customFormat="false" ht="15" hidden="false" customHeight="false" outlineLevel="0" collapsed="false">
      <c r="B7908" s="46" t="str">
        <f aca="false">IF(N(Nb_Mensualites)=0,"","Soit "&amp;FIXED(E7907/Nb_Mensualites,2)&amp;" € HT par échéance ("&amp;Nb_Mensualites&amp;" échéances), "&amp;FIXED(E7907/Nb_Mensualites*(1+Taux_TVA),2)&amp;" € TTC.")</f>
        <v>Soit 0.00 € HT par échéance (12 échéances), 0.00 € TTC.</v>
      </c>
      <c r="C7908" s="46"/>
      <c r="D7908" s="46"/>
      <c r="E7908" s="46"/>
      <c r="F7908" s="46"/>
    </row>
    <row r="7909" customFormat="false" ht="7.5" hidden="false" customHeight="true" outlineLevel="0" collapsed="false">
      <c r="B7909" s="10"/>
      <c r="C7909" s="10"/>
      <c r="D7909" s="10"/>
      <c r="E7909" s="10"/>
      <c r="F7909" s="10"/>
    </row>
    <row r="7910" customFormat="false" ht="36.75" hidden="false" customHeight="true" outlineLevel="0" collapsed="false">
      <c r="B7910" s="37" t="str">
        <f aca="false">SUBSTITUTE(SUBSTITUTE(SUBSTITUTE(SUBSTITUTE(SUBSTITUTE(Txt_P5,"{cabinet}",Cab_Nom),"{societe}",IF($K$7876=0,"",INDEX(Clients!$E$2:$E$501,$K$7876)&amp;"")),"{date_effet}",$K$7878),"{hausse}",$K$7879),"{civilite}",$K$7877)</f>
        <v>Les autres conditions de votre lettre de mission demeurent inchangées. Les nouveaux montants seront appliqués automatiquement sur vos prochaines factures et échéances de prélèvement.</v>
      </c>
      <c r="C7910" s="37"/>
      <c r="D7910" s="37"/>
      <c r="E7910" s="37"/>
      <c r="F7910" s="37"/>
    </row>
    <row r="7911" customFormat="false" ht="36.75" hidden="false" customHeight="true" outlineLevel="0" collapsed="false">
      <c r="B7911" s="37" t="str">
        <f aca="false">SUBSTITUTE(SUBSTITUTE(SUBSTITUTE(SUBSTITUTE(SUBSTITUTE(Txt_P6,"{cabinet}",Cab_Nom),"{societe}",IF($K$7876=0,"",INDEX(Clients!$E$2:$E$501,$K$7876)&amp;"")),"{date_effet}",$K$7878),"{hausse}",$K$7879),"{civilite}",$K$7877)</f>
        <v>Votre interlocuteur habituel reste à votre entière disposition pour répondre à vos questions et faire le point sur l'évolution de vos besoins.</v>
      </c>
      <c r="C7911" s="37"/>
      <c r="D7911" s="37"/>
      <c r="E7911" s="37"/>
      <c r="F7911" s="37"/>
    </row>
    <row r="7912" customFormat="false" ht="24" hidden="false" customHeight="true" outlineLevel="0" collapsed="false">
      <c r="B7912" s="37" t="str">
        <f aca="false">SUBSTITUTE(SUBSTITUTE(SUBSTITUTE(SUBSTITUTE(SUBSTITUTE(Txt_Politesse,"{cabinet}",Cab_Nom),"{societe}",IF($K$7876=0,"",INDEX(Clients!$E$2:$E$501,$K$7876)&amp;"")),"{date_effet}",$K$7878),"{hausse}",$K$7879),"{civilite}",$K$7877)</f>
        <v>Nous vous prions d'agréer, Madame, Monsieur, l'expression de nos salutations distinguées.</v>
      </c>
      <c r="C7912" s="37"/>
      <c r="D7912" s="37"/>
      <c r="E7912" s="37"/>
      <c r="F7912" s="37"/>
    </row>
    <row r="7913" customFormat="false" ht="15" hidden="false" customHeight="false" outlineLevel="0" collapsed="false">
      <c r="B7913" s="10"/>
      <c r="C7913" s="10"/>
      <c r="D7913" s="10"/>
      <c r="E7913" s="10"/>
      <c r="F7913" s="10"/>
    </row>
    <row r="7914" customFormat="false" ht="15" hidden="false" customHeight="false" outlineLevel="0" collapsed="false">
      <c r="B7914" s="10"/>
      <c r="C7914" s="10"/>
      <c r="D7914" s="34" t="str">
        <f aca="false">Signataire</f>
        <v>Prénom NOM</v>
      </c>
      <c r="E7914" s="34"/>
      <c r="F7914" s="34"/>
    </row>
    <row r="7915" customFormat="false" ht="15" hidden="false" customHeight="false" outlineLevel="0" collapsed="false">
      <c r="B7915" s="10"/>
      <c r="C7915" s="10"/>
      <c r="D7915" s="47" t="str">
        <f aca="false">Signataire_Titre</f>
        <v>Expert-comptable associé</v>
      </c>
      <c r="E7915" s="47"/>
      <c r="F7915" s="47"/>
    </row>
    <row r="7916" customFormat="false" ht="15.75" hidden="false" customHeight="true" outlineLevel="0" collapsed="false">
      <c r="B7916" s="10"/>
      <c r="C7916" s="10"/>
      <c r="D7916" s="10"/>
      <c r="E7916" s="10"/>
      <c r="F7916" s="10"/>
    </row>
    <row r="7917" customFormat="false" ht="15.75" hidden="false" customHeight="true" outlineLevel="0" collapsed="false">
      <c r="B7917" s="10"/>
      <c r="C7917" s="10"/>
      <c r="D7917" s="10"/>
      <c r="E7917" s="10"/>
      <c r="F7917" s="10"/>
    </row>
    <row r="7918" customFormat="false" ht="15.75" hidden="false" customHeight="true" outlineLevel="0" collapsed="false">
      <c r="B7918" s="10"/>
      <c r="C7918" s="10"/>
      <c r="D7918" s="10"/>
      <c r="E7918" s="10"/>
      <c r="F7918" s="10"/>
    </row>
    <row r="7919" customFormat="false" ht="15.75" hidden="false" customHeight="true" outlineLevel="0" collapsed="false">
      <c r="B7919" s="10"/>
      <c r="C7919" s="10"/>
      <c r="D7919" s="10"/>
      <c r="E7919" s="10"/>
      <c r="F7919" s="10"/>
    </row>
    <row r="7920" customFormat="false" ht="24" hidden="false" customHeight="true" outlineLevel="0" collapsed="false">
      <c r="B7920" s="48" t="str">
        <f aca="false">Cab_Mentions</f>
        <v>ALTHO EXPERTISE · SAS au capital de 10 000 € · RCS Pontoise 919 706 325 · TVA FR62919706325 · Société d'expertise comptable inscrite au Tableau de l'Ordre des experts-comptables de Paris Île-de-France</v>
      </c>
      <c r="C7920" s="48"/>
      <c r="D7920" s="48"/>
      <c r="E7920" s="48"/>
      <c r="F7920" s="48"/>
    </row>
    <row r="7921" customFormat="false" ht="15" hidden="false" customHeight="false" outlineLevel="0" collapsed="false">
      <c r="B7921" s="10"/>
      <c r="C7921" s="10"/>
      <c r="D7921" s="10"/>
      <c r="E7921" s="10"/>
      <c r="F7921" s="10"/>
      <c r="J7921" s="25" t="s">
        <v>142</v>
      </c>
      <c r="K7921" s="25" t="n">
        <f aca="false">IFERROR(MATCH(177,Clients!$Z$2:$Z$501,0),0)</f>
        <v>0</v>
      </c>
      <c r="L7921" s="25"/>
      <c r="M7921" s="25"/>
      <c r="N7921" s="25"/>
      <c r="O7921" s="25"/>
    </row>
    <row r="7922" customFormat="false" ht="21.75" hidden="false" customHeight="true" outlineLevel="0" collapsed="false">
      <c r="B7922" s="26" t="str">
        <f aca="false">Cab_Nom</f>
        <v>ALTHO EXPERTISE</v>
      </c>
      <c r="C7922" s="26"/>
      <c r="D7922" s="10"/>
      <c r="E7922" s="27" t="str">
        <f aca="false">IF($K$7921=0,"","Réf. client : "&amp;INDEX(Clients!$A$2:$A$501,$K$7921))</f>
        <v/>
      </c>
      <c r="F7922" s="27"/>
      <c r="J7922" s="25" t="s">
        <v>144</v>
      </c>
      <c r="K7922" s="25" t="str">
        <f aca="false">IF(IF($K$7921=0,"",INDEX(Clients!$B$2:$B$501,$K$7921)&amp;"")="Mme","Madame",IF(IF($K$7921=0,"",INDEX(Clients!$B$2:$B$501,$K$7921)&amp;"")="M.","Monsieur","Madame, Monsieur"))</f>
        <v>Madame, Monsieur</v>
      </c>
      <c r="L7922" s="25"/>
      <c r="M7922" s="25"/>
      <c r="N7922" s="25"/>
      <c r="O7922" s="25"/>
    </row>
    <row r="7923" customFormat="false" ht="15" hidden="false" customHeight="false" outlineLevel="0" collapsed="false">
      <c r="B7923" s="29" t="str">
        <f aca="false">Cab_Adr1</f>
        <v>141 rue Charles de Gaulle</v>
      </c>
      <c r="C7923" s="29"/>
      <c r="D7923" s="10"/>
      <c r="E7923" s="10"/>
      <c r="F7923" s="10"/>
      <c r="J7923" s="25" t="s">
        <v>145</v>
      </c>
      <c r="K7923" s="25" t="str">
        <f aca="false">DAY(Date_Effet)&amp;IF(DAY(Date_Effet)=1,"er","")&amp;" "&amp;INDEX(Liste_Mois,MONTH(Date_Effet))&amp;" "&amp;YEAR(Date_Effet)</f>
        <v>1er janvier 2027</v>
      </c>
      <c r="L7923" s="25"/>
      <c r="M7923" s="25"/>
      <c r="N7923" s="25"/>
      <c r="O7923" s="25"/>
    </row>
    <row r="7924" customFormat="false" ht="15" hidden="false" customHeight="false" outlineLevel="0" collapsed="false">
      <c r="B7924" s="29" t="str">
        <f aca="false">Cab_CPVille</f>
        <v>95130 LE PLESSIS-BOUCHARD</v>
      </c>
      <c r="C7924" s="29"/>
      <c r="D7924" s="10"/>
      <c r="E7924" s="10"/>
      <c r="F7924" s="10"/>
      <c r="J7924" s="25" t="s">
        <v>146</v>
      </c>
      <c r="K7924" s="25" t="str">
        <f aca="false">IF(SUM($K$7948:$K$7951)=0,"",FIXED((SUM($L$7948:$L$7951)/SUM($K$7948:$K$7951)-1)*100,1)&amp;" %")</f>
        <v/>
      </c>
      <c r="L7924" s="25"/>
      <c r="M7924" s="25"/>
      <c r="N7924" s="25"/>
      <c r="O7924" s="25"/>
    </row>
    <row r="7925" customFormat="false" ht="15" hidden="false" customHeight="false" outlineLevel="0" collapsed="false">
      <c r="B7925" s="29" t="str">
        <f aca="false">Cab_Contact</f>
        <v>Tél. 01 34 14 53 45  ·  altho@altho-experts.com  ·  altho-experts.com</v>
      </c>
      <c r="C7925" s="29"/>
      <c r="D7925" s="10"/>
      <c r="E7925" s="10"/>
      <c r="F7925" s="10"/>
      <c r="J7925" s="25"/>
      <c r="K7925" s="25"/>
      <c r="L7925" s="25"/>
      <c r="M7925" s="25"/>
      <c r="N7925" s="25"/>
      <c r="O7925" s="25"/>
    </row>
    <row r="7926" customFormat="false" ht="6" hidden="false" customHeight="true" outlineLevel="0" collapsed="false">
      <c r="B7926" s="32"/>
      <c r="C7926" s="32"/>
      <c r="D7926" s="32"/>
      <c r="E7926" s="32"/>
      <c r="F7926" s="32"/>
      <c r="J7926" s="25"/>
      <c r="K7926" s="25"/>
      <c r="L7926" s="25"/>
      <c r="M7926" s="25"/>
      <c r="N7926" s="25"/>
      <c r="O7926" s="25"/>
    </row>
    <row r="7927" customFormat="false" ht="13.5" hidden="false" customHeight="true" outlineLevel="0" collapsed="false">
      <c r="B7927" s="10"/>
      <c r="C7927" s="10"/>
      <c r="D7927" s="10"/>
      <c r="E7927" s="10"/>
      <c r="F7927" s="10"/>
      <c r="J7927" s="25"/>
      <c r="K7927" s="25"/>
      <c r="L7927" s="25"/>
      <c r="M7927" s="25"/>
      <c r="N7927" s="25"/>
      <c r="O7927" s="25"/>
    </row>
    <row r="7928" customFormat="false" ht="13.5" hidden="false" customHeight="true" outlineLevel="0" collapsed="false">
      <c r="B7928" s="10"/>
      <c r="C7928" s="10"/>
      <c r="D7928" s="10"/>
      <c r="E7928" s="10"/>
      <c r="F7928" s="10"/>
      <c r="J7928" s="25"/>
      <c r="K7928" s="25"/>
      <c r="L7928" s="25"/>
      <c r="M7928" s="25"/>
      <c r="N7928" s="25"/>
      <c r="O7928" s="25"/>
    </row>
    <row r="7929" customFormat="false" ht="13.5" hidden="false" customHeight="true" outlineLevel="0" collapsed="false">
      <c r="B7929" s="10"/>
      <c r="C7929" s="10"/>
      <c r="D7929" s="10"/>
      <c r="E7929" s="10"/>
      <c r="F7929" s="10"/>
      <c r="J7929" s="25"/>
      <c r="K7929" s="25"/>
      <c r="L7929" s="25"/>
      <c r="M7929" s="25"/>
      <c r="N7929" s="25"/>
      <c r="O7929" s="25"/>
    </row>
    <row r="7930" customFormat="false" ht="15" hidden="false" customHeight="true" outlineLevel="0" collapsed="false">
      <c r="B7930" s="10"/>
      <c r="C7930" s="10"/>
      <c r="D7930" s="34" t="str">
        <f aca="false">IF($K$7921=0,"",INDEX(Clients!$E$2:$E$501,$K$7921)&amp;"")</f>
        <v/>
      </c>
      <c r="E7930" s="34"/>
      <c r="F7930" s="34"/>
      <c r="J7930" s="25"/>
      <c r="K7930" s="25"/>
      <c r="L7930" s="25"/>
      <c r="M7930" s="25"/>
      <c r="N7930" s="25"/>
      <c r="O7930" s="25"/>
    </row>
    <row r="7931" customFormat="false" ht="15" hidden="false" customHeight="true" outlineLevel="0" collapsed="false">
      <c r="B7931" s="10"/>
      <c r="C7931" s="10"/>
      <c r="D7931" s="35" t="str">
        <f aca="false">IF(IF($K$7921=0,"",INDEX(Clients!$D$2:$D$501,$K$7921)&amp;"")="","","À l'attention de "&amp;TRIM(IF($K$7921=0,"",INDEX(Clients!$B$2:$B$501,$K$7921)&amp;"")&amp;" "&amp;IF($K$7921=0,"",INDEX(Clients!$C$2:$C$501,$K$7921)&amp;"")&amp;" "&amp;IF($K$7921=0,"",INDEX(Clients!$D$2:$D$501,$K$7921)&amp;"")))</f>
        <v/>
      </c>
      <c r="E7931" s="35"/>
      <c r="F7931" s="35"/>
      <c r="J7931" s="25"/>
      <c r="K7931" s="25"/>
      <c r="L7931" s="25"/>
      <c r="M7931" s="25"/>
      <c r="N7931" s="25"/>
      <c r="O7931" s="25"/>
    </row>
    <row r="7932" customFormat="false" ht="15" hidden="false" customHeight="true" outlineLevel="0" collapsed="false">
      <c r="B7932" s="10"/>
      <c r="C7932" s="10"/>
      <c r="D7932" s="35" t="str">
        <f aca="false">IF($K$7921=0,"",INDEX(Clients!$F$2:$F$501,$K$7921)&amp;"")</f>
        <v/>
      </c>
      <c r="E7932" s="35"/>
      <c r="F7932" s="35"/>
      <c r="J7932" s="25"/>
      <c r="K7932" s="25"/>
      <c r="L7932" s="25"/>
      <c r="M7932" s="25"/>
      <c r="N7932" s="25"/>
      <c r="O7932" s="25"/>
    </row>
    <row r="7933" customFormat="false" ht="15" hidden="false" customHeight="true" outlineLevel="0" collapsed="false">
      <c r="B7933" s="10"/>
      <c r="C7933" s="10"/>
      <c r="D7933" s="35" t="str">
        <f aca="false">IF(IF($K$7921=0,"",INDEX(Clients!$G$2:$G$501,$K$7921)&amp;"")="",TRIM(IF($K$7921=0,"",INDEX(Clients!$H$2:$H$501,$K$7921)&amp;"")&amp;" "&amp;UPPER(IF($K$7921=0,"",INDEX(Clients!$I$2:$I$501,$K$7921)&amp;""))),IF($K$7921=0,"",INDEX(Clients!$G$2:$G$501,$K$7921)&amp;""))</f>
        <v/>
      </c>
      <c r="E7933" s="35"/>
      <c r="F7933" s="35"/>
      <c r="J7933" s="25"/>
      <c r="K7933" s="25"/>
      <c r="L7933" s="25"/>
      <c r="M7933" s="25"/>
      <c r="N7933" s="25"/>
      <c r="O7933" s="25"/>
    </row>
    <row r="7934" customFormat="false" ht="15" hidden="false" customHeight="true" outlineLevel="0" collapsed="false">
      <c r="B7934" s="10"/>
      <c r="C7934" s="10"/>
      <c r="D7934" s="35" t="str">
        <f aca="false">IF(IF($K$7921=0,"",INDEX(Clients!$G$2:$G$501,$K$7921)&amp;"")="","",TRIM(IF($K$7921=0,"",INDEX(Clients!$H$2:$H$501,$K$7921)&amp;"")&amp;" "&amp;UPPER(IF($K$7921=0,"",INDEX(Clients!$I$2:$I$501,$K$7921)&amp;""))))</f>
        <v/>
      </c>
      <c r="E7934" s="35"/>
      <c r="F7934" s="35"/>
      <c r="J7934" s="25"/>
      <c r="K7934" s="25"/>
      <c r="L7934" s="25"/>
      <c r="M7934" s="25"/>
      <c r="N7934" s="25"/>
      <c r="O7934" s="25"/>
    </row>
    <row r="7935" customFormat="false" ht="25.5" hidden="false" customHeight="true" outlineLevel="0" collapsed="false">
      <c r="B7935" s="10"/>
      <c r="C7935" s="10"/>
      <c r="D7935" s="10"/>
      <c r="E7935" s="10"/>
      <c r="F7935" s="10"/>
      <c r="J7935" s="25"/>
      <c r="K7935" s="25"/>
      <c r="L7935" s="25"/>
      <c r="M7935" s="25"/>
      <c r="N7935" s="25"/>
      <c r="O7935" s="25"/>
    </row>
    <row r="7936" customFormat="false" ht="15" hidden="false" customHeight="false" outlineLevel="0" collapsed="false">
      <c r="B7936" s="10"/>
      <c r="C7936" s="10"/>
      <c r="D7936" s="36" t="str">
        <f aca="false">Cab_Ville&amp;", le "&amp;DAY(Date_Courrier)&amp;IF(DAY(Date_Courrier)=1,"er","")&amp;" "&amp;INDEX(Liste_Mois,MONTH(Date_Courrier))&amp;" "&amp;YEAR(Date_Courrier)</f>
        <v>Le Plessis-Bouchard, le 22 septembre 2026</v>
      </c>
      <c r="E7936" s="36"/>
      <c r="F7936" s="36"/>
      <c r="J7936" s="25"/>
      <c r="K7936" s="25"/>
      <c r="L7936" s="25"/>
      <c r="M7936" s="25"/>
      <c r="N7936" s="25"/>
      <c r="O7936" s="25"/>
    </row>
    <row r="7937" customFormat="false" ht="19.5" hidden="false" customHeight="true" outlineLevel="0" collapsed="false">
      <c r="B7937" s="10"/>
      <c r="C7937" s="10"/>
      <c r="D7937" s="10"/>
      <c r="E7937" s="10"/>
      <c r="F7937" s="10"/>
      <c r="J7937" s="25"/>
      <c r="K7937" s="25"/>
      <c r="L7937" s="25"/>
      <c r="M7937" s="25"/>
      <c r="N7937" s="25"/>
      <c r="O7937" s="25"/>
    </row>
    <row r="7938" customFormat="false" ht="15" hidden="false" customHeight="false" outlineLevel="0" collapsed="false">
      <c r="B7938" s="34" t="str">
        <f aca="false">SUBSTITUTE(SUBSTITUTE(SUBSTITUTE(SUBSTITUTE(SUBSTITUTE(Txt_Objet,"{cabinet}",Cab_Nom),"{societe}",IF($K$7921=0,"",INDEX(Clients!$E$2:$E$501,$K$7921)&amp;"")),"{date_effet}",$K$7923),"{hausse}",$K$7924),"{civilite}",$K$7922)</f>
        <v>Objet : révision de nos honoraires au 1er janvier 2027</v>
      </c>
      <c r="C7938" s="34"/>
      <c r="D7938" s="34"/>
      <c r="E7938" s="34"/>
      <c r="F7938" s="34"/>
      <c r="J7938" s="25"/>
      <c r="K7938" s="25"/>
      <c r="L7938" s="25"/>
      <c r="M7938" s="25"/>
      <c r="N7938" s="25"/>
      <c r="O7938" s="25"/>
    </row>
    <row r="7939" customFormat="false" ht="13.5" hidden="false" customHeight="true" outlineLevel="0" collapsed="false">
      <c r="B7939" s="10"/>
      <c r="C7939" s="10"/>
      <c r="D7939" s="10"/>
      <c r="E7939" s="10"/>
      <c r="F7939" s="10"/>
      <c r="J7939" s="25"/>
      <c r="K7939" s="25"/>
      <c r="L7939" s="25"/>
      <c r="M7939" s="25"/>
      <c r="N7939" s="25"/>
      <c r="O7939" s="25"/>
    </row>
    <row r="7940" customFormat="false" ht="15" hidden="false" customHeight="false" outlineLevel="0" collapsed="false">
      <c r="B7940" s="10" t="str">
        <f aca="false">$K$7922&amp;","</f>
        <v>Madame, Monsieur,</v>
      </c>
      <c r="C7940" s="10"/>
      <c r="D7940" s="10"/>
      <c r="E7940" s="10"/>
      <c r="F7940" s="10"/>
      <c r="J7940" s="25"/>
      <c r="K7940" s="25"/>
      <c r="L7940" s="25"/>
      <c r="M7940" s="25"/>
      <c r="N7940" s="25"/>
      <c r="O7940" s="25"/>
    </row>
    <row r="7941" customFormat="false" ht="6" hidden="false" customHeight="true" outlineLevel="0" collapsed="false">
      <c r="B7941" s="10"/>
      <c r="C7941" s="10"/>
      <c r="D7941" s="10"/>
      <c r="E7941" s="10"/>
      <c r="F7941" s="10"/>
      <c r="J7941" s="25"/>
      <c r="K7941" s="25"/>
      <c r="L7941" s="25"/>
      <c r="M7941" s="25"/>
      <c r="N7941" s="25"/>
      <c r="O7941" s="25"/>
    </row>
    <row r="7942" customFormat="false" ht="36.75" hidden="false" customHeight="true" outlineLevel="0" collapsed="false">
      <c r="B7942" s="37" t="str">
        <f aca="false">SUBSTITUTE(SUBSTITUTE(SUBSTITUTE(SUBSTITUTE(SUBSTITUTE(Txt_P1,"{cabinet}",Cab_Nom),"{societe}",IF($K$7921=0,"",INDEX(Clients!$E$2:$E$501,$K$7921)&amp;"")),"{date_effet}",$K$7923),"{hausse}",$K$7924),"{civilite}",$K$7922)</f>
        <v>Nous tenons tout d'abord à vous remercier pour la confiance que vous accordez à ALTHO EXPERTISE. Comme chaque année, et conformément aux dispositions de votre lettre de mission, nous procédons à la révision de nos honoraires.</v>
      </c>
      <c r="C7942" s="37"/>
      <c r="D7942" s="37"/>
      <c r="E7942" s="37"/>
      <c r="F7942" s="37"/>
      <c r="J7942" s="25"/>
      <c r="K7942" s="25"/>
      <c r="L7942" s="25"/>
      <c r="M7942" s="25"/>
      <c r="N7942" s="25"/>
      <c r="O7942" s="25"/>
    </row>
    <row r="7943" customFormat="false" ht="49.5" hidden="false" customHeight="true" outlineLevel="0" collapsed="false">
      <c r="B7943" s="37" t="str">
        <f aca="false">SUBSTITUTE(SUBSTITUTE(SUBSTITUTE(SUBSTITUTE(SUBSTITUTE(Txt_P2,"{cabinet}",Cab_Nom),"{societe}",IF($K$7921=0,"",INDEX(Clients!$E$2:$E$501,$K$7921)&amp;"")),"{date_effet}",$K$7923),"{hausse}",$K$7924),"{civilite}",$K$7922)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943" s="37"/>
      <c r="D7943" s="37"/>
      <c r="E7943" s="37"/>
      <c r="F7943" s="37"/>
      <c r="J7943" s="25"/>
      <c r="K7943" s="25"/>
      <c r="L7943" s="25"/>
      <c r="M7943" s="25"/>
      <c r="N7943" s="25"/>
      <c r="O7943" s="25"/>
    </row>
    <row r="7944" customFormat="false" ht="63" hidden="false" customHeight="true" outlineLevel="0" collapsed="false">
      <c r="B7944" s="37" t="str">
        <f aca="false">SUBSTITUTE(SUBSTITUTE(SUBSTITUTE(SUBSTITUTE(SUBSTITUTE(Txt_P3,"{cabinet}",Cab_Nom),"{societe}",IF($K$7921=0,"",INDEX(Clients!$E$2:$E$501,$K$7921)&amp;"")),"{date_effet}",$K$7923),"{hausse}",$K$7924),"{civilite}",$K$7922)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944" s="37"/>
      <c r="D7944" s="37"/>
      <c r="E7944" s="37"/>
      <c r="F7944" s="37"/>
      <c r="J7944" s="25"/>
      <c r="K7944" s="25"/>
      <c r="L7944" s="25"/>
      <c r="M7944" s="25"/>
      <c r="N7944" s="25"/>
      <c r="O7944" s="25"/>
    </row>
    <row r="7945" customFormat="false" ht="24" hidden="false" customHeight="true" outlineLevel="0" collapsed="false">
      <c r="B7945" s="37" t="str">
        <f aca="false">SUBSTITUTE(SUBSTITUTE(SUBSTITUTE(SUBSTITUTE(SUBSTITUTE(Txt_P4,"{cabinet}",Cab_Nom),"{societe}",IF($K$7921=0,"",INDEX(Clients!$E$2:$E$501,$K$7921)&amp;"")),"{date_effet}",$K$7923),"{hausse}",$K$7924),"{civilite}",$K$7922)</f>
        <v>À compter du 1er janvier 2027, vos honoraires annuels hors taxes évolueront ainsi (évolution globale : ) :</v>
      </c>
      <c r="C7945" s="37"/>
      <c r="D7945" s="37"/>
      <c r="E7945" s="37"/>
      <c r="F7945" s="37"/>
      <c r="J7945" s="25"/>
      <c r="K7945" s="25"/>
      <c r="L7945" s="25"/>
      <c r="M7945" s="25"/>
      <c r="N7945" s="25"/>
      <c r="O7945" s="25"/>
    </row>
    <row r="7946" customFormat="false" ht="3.75" hidden="false" customHeight="true" outlineLevel="0" collapsed="false">
      <c r="B7946" s="10"/>
      <c r="C7946" s="10"/>
      <c r="D7946" s="10"/>
      <c r="E7946" s="10"/>
      <c r="F7946" s="10"/>
      <c r="J7946" s="25"/>
      <c r="K7946" s="25"/>
      <c r="L7946" s="25"/>
      <c r="M7946" s="25"/>
      <c r="N7946" s="25"/>
      <c r="O7946" s="25"/>
    </row>
    <row r="7947" customFormat="false" ht="18" hidden="false" customHeight="true" outlineLevel="0" collapsed="false">
      <c r="B7947" s="38" t="s">
        <v>148</v>
      </c>
      <c r="C7947" s="39" t="s">
        <v>149</v>
      </c>
      <c r="D7947" s="39" t="s">
        <v>150</v>
      </c>
      <c r="E7947" s="39" t="s">
        <v>151</v>
      </c>
      <c r="F7947" s="39" t="s">
        <v>109</v>
      </c>
      <c r="J7947" s="25" t="s">
        <v>152</v>
      </c>
      <c r="K7947" s="25" t="s">
        <v>153</v>
      </c>
      <c r="L7947" s="25" t="s">
        <v>154</v>
      </c>
      <c r="M7947" s="25" t="s">
        <v>155</v>
      </c>
      <c r="N7947" s="25" t="s">
        <v>156</v>
      </c>
      <c r="O7947" s="25" t="s">
        <v>157</v>
      </c>
    </row>
    <row r="7948" customFormat="false" ht="16.5" hidden="false" customHeight="true" outlineLevel="0" collapsed="false">
      <c r="B7948" s="40" t="str">
        <f aca="false">IFERROR(INDEX($J$7948:$J$7951,MATCH($O7948,$N$7948:$N$7951,0)),"")</f>
        <v/>
      </c>
      <c r="C7948" s="41" t="str">
        <f aca="false">IFERROR(INDEX($K$7948:$K$7951,MATCH($O7948,$N$7948:$N$7951,0)),"")</f>
        <v/>
      </c>
      <c r="D7948" s="42" t="str">
        <f aca="false">IF(OR(E7948="",N(C7948)=0),"",E7948/C7948-1)</f>
        <v/>
      </c>
      <c r="E7948" s="41" t="str">
        <f aca="false">IFERROR(INDEX($L$7948:$L$7951,MATCH($O7948,$N$7948:$N$7951,0)),"")</f>
        <v/>
      </c>
      <c r="F7948" s="41" t="str">
        <f aca="false">IF(E7948="","",E7948-C7948)</f>
        <v/>
      </c>
      <c r="J7948" s="25" t="str">
        <f aca="false">Lib_Compta</f>
        <v>Mission comptable (tenue, révision, bilan, liasse fiscale)</v>
      </c>
      <c r="K7948" s="25" t="n">
        <f aca="false">IF($K$7921=0,0,N(INDEX(Clients!$K$2:$K$501,$K$7921)))</f>
        <v>0</v>
      </c>
      <c r="L7948" s="25" t="n">
        <f aca="false">IF($K$7921=0,0,N(INDEX(Clients!$P$2:$P$501,$K$7921)))</f>
        <v>0</v>
      </c>
      <c r="M7948" s="25" t="n">
        <f aca="false">IF(OR(K7948&lt;&gt;0,L7948&lt;&gt;0),1,0)</f>
        <v>0</v>
      </c>
      <c r="N7948" s="25" t="str">
        <f aca="false">IF(M7948=1,SUM($M$7948:M7948),"")</f>
        <v/>
      </c>
      <c r="O7948" s="25" t="n">
        <v>1</v>
      </c>
    </row>
    <row r="7949" customFormat="false" ht="16.5" hidden="false" customHeight="true" outlineLevel="0" collapsed="false">
      <c r="B7949" s="40" t="str">
        <f aca="false">IFERROR(INDEX($J$7948:$J$7951,MATCH($O7949,$N$7948:$N$7951,0)),"")</f>
        <v/>
      </c>
      <c r="C7949" s="41" t="str">
        <f aca="false">IFERROR(INDEX($K$7948:$K$7951,MATCH($O7949,$N$7948:$N$7951,0)),"")</f>
        <v/>
      </c>
      <c r="D7949" s="42" t="str">
        <f aca="false">IF(OR(E7949="",N(C7949)=0),"",E7949/C7949-1)</f>
        <v/>
      </c>
      <c r="E7949" s="41" t="str">
        <f aca="false">IFERROR(INDEX($L$7948:$L$7951,MATCH($O7949,$N$7948:$N$7951,0)),"")</f>
        <v/>
      </c>
      <c r="F7949" s="41" t="str">
        <f aca="false">IF(E7949="","",E7949-C7949)</f>
        <v/>
      </c>
      <c r="J7949" s="25" t="str">
        <f aca="false">Lib_Paye</f>
        <v>Mission sociale (bulletins de paie, DSN, déclarations sociales)</v>
      </c>
      <c r="K7949" s="25" t="n">
        <f aca="false">IF($K$7921=0,0,N(INDEX(Clients!$L$2:$L$501,$K$7921)))</f>
        <v>0</v>
      </c>
      <c r="L7949" s="25" t="n">
        <f aca="false">IF($K$7921=0,0,N(INDEX(Clients!$Q$2:$Q$501,$K$7921)))</f>
        <v>0</v>
      </c>
      <c r="M7949" s="25" t="n">
        <f aca="false">IF(OR(K7949&lt;&gt;0,L7949&lt;&gt;0),1,0)</f>
        <v>0</v>
      </c>
      <c r="N7949" s="25" t="str">
        <f aca="false">IF(M7949=1,SUM($M$7948:M7949),"")</f>
        <v/>
      </c>
      <c r="O7949" s="25" t="n">
        <v>2</v>
      </c>
    </row>
    <row r="7950" customFormat="false" ht="16.5" hidden="false" customHeight="true" outlineLevel="0" collapsed="false">
      <c r="B7950" s="40" t="str">
        <f aca="false">IFERROR(INDEX($J$7948:$J$7951,MATCH($O7950,$N$7948:$N$7951,0)),"")</f>
        <v/>
      </c>
      <c r="C7950" s="41" t="str">
        <f aca="false">IFERROR(INDEX($K$7948:$K$7951,MATCH($O7950,$N$7948:$N$7951,0)),"")</f>
        <v/>
      </c>
      <c r="D7950" s="42" t="str">
        <f aca="false">IF(OR(E7950="",N(C7950)=0),"",E7950/C7950-1)</f>
        <v/>
      </c>
      <c r="E7950" s="41" t="str">
        <f aca="false">IFERROR(INDEX($L$7948:$L$7951,MATCH($O7950,$N$7948:$N$7951,0)),"")</f>
        <v/>
      </c>
      <c r="F7950" s="41" t="str">
        <f aca="false">IF(E7950="","",E7950-C7950)</f>
        <v/>
      </c>
      <c r="J7950" s="25" t="str">
        <f aca="false">Lib_Jur</f>
        <v>Mission juridique (approbation des comptes, secrétariat juridique)</v>
      </c>
      <c r="K7950" s="25" t="n">
        <f aca="false">IF($K$7921=0,0,N(INDEX(Clients!$M$2:$M$501,$K$7921)))</f>
        <v>0</v>
      </c>
      <c r="L7950" s="25" t="n">
        <f aca="false">IF($K$7921=0,0,N(INDEX(Clients!$R$2:$R$501,$K$7921)))</f>
        <v>0</v>
      </c>
      <c r="M7950" s="25" t="n">
        <f aca="false">IF(OR(K7950&lt;&gt;0,L7950&lt;&gt;0),1,0)</f>
        <v>0</v>
      </c>
      <c r="N7950" s="25" t="str">
        <f aca="false">IF(M7950=1,SUM($M$7948:M7950),"")</f>
        <v/>
      </c>
      <c r="O7950" s="25" t="n">
        <v>3</v>
      </c>
    </row>
    <row r="7951" customFormat="false" ht="16.5" hidden="false" customHeight="true" outlineLevel="0" collapsed="false">
      <c r="B7951" s="40" t="str">
        <f aca="false">IFERROR(INDEX($J$7948:$J$7951,MATCH($O7951,$N$7948:$N$7951,0)),"")</f>
        <v/>
      </c>
      <c r="C7951" s="41" t="str">
        <f aca="false">IFERROR(INDEX($K$7948:$K$7951,MATCH($O7951,$N$7948:$N$7951,0)),"")</f>
        <v/>
      </c>
      <c r="D7951" s="42" t="str">
        <f aca="false">IF(OR(E7951="",N(C7951)=0),"",E7951/C7951-1)</f>
        <v/>
      </c>
      <c r="E7951" s="41" t="str">
        <f aca="false">IFERROR(INDEX($L$7948:$L$7951,MATCH($O7951,$N$7948:$N$7951,0)),"")</f>
        <v/>
      </c>
      <c r="F7951" s="41" t="str">
        <f aca="false">IF(E7951="","",E7951-C7951)</f>
        <v/>
      </c>
      <c r="J7951" s="25" t="str">
        <f aca="false">Lib_PA</f>
        <v>Plateforme agréée – facturation électronique</v>
      </c>
      <c r="K7951" s="25" t="n">
        <f aca="false">IF($K$7921=0,0,N(INDEX(Clients!$N$2:$N$501,$K$7921)))</f>
        <v>0</v>
      </c>
      <c r="L7951" s="25" t="n">
        <f aca="false">IF($K$7921=0,0,N(INDEX(Clients!$S$2:$S$501,$K$7921)))</f>
        <v>0</v>
      </c>
      <c r="M7951" s="25" t="n">
        <f aca="false">IF(OR(K7951&lt;&gt;0,L7951&lt;&gt;0),1,0)</f>
        <v>0</v>
      </c>
      <c r="N7951" s="25" t="str">
        <f aca="false">IF(M7951=1,SUM($M$7948:M7951),"")</f>
        <v/>
      </c>
      <c r="O7951" s="25" t="n">
        <v>4</v>
      </c>
    </row>
    <row r="7952" customFormat="false" ht="18" hidden="false" customHeight="true" outlineLevel="0" collapsed="false">
      <c r="B7952" s="43" t="s">
        <v>158</v>
      </c>
      <c r="C7952" s="44" t="n">
        <f aca="false">SUM(K7948:K7951)</f>
        <v>0</v>
      </c>
      <c r="D7952" s="45" t="str">
        <f aca="false">IF(N(C7952)=0,"",E7952/C7952-1)</f>
        <v/>
      </c>
      <c r="E7952" s="44" t="n">
        <f aca="false">SUM(L7948:L7951)</f>
        <v>0</v>
      </c>
      <c r="F7952" s="44" t="n">
        <f aca="false">E7952-C7952</f>
        <v>0</v>
      </c>
    </row>
    <row r="7953" customFormat="false" ht="15" hidden="false" customHeight="false" outlineLevel="0" collapsed="false">
      <c r="B7953" s="46" t="str">
        <f aca="false">IF(N(Nb_Mensualites)=0,"","Soit "&amp;FIXED(E7952/Nb_Mensualites,2)&amp;" € HT par échéance ("&amp;Nb_Mensualites&amp;" échéances), "&amp;FIXED(E7952/Nb_Mensualites*(1+Taux_TVA),2)&amp;" € TTC.")</f>
        <v>Soit 0.00 € HT par échéance (12 échéances), 0.00 € TTC.</v>
      </c>
      <c r="C7953" s="46"/>
      <c r="D7953" s="46"/>
      <c r="E7953" s="46"/>
      <c r="F7953" s="46"/>
    </row>
    <row r="7954" customFormat="false" ht="7.5" hidden="false" customHeight="true" outlineLevel="0" collapsed="false">
      <c r="B7954" s="10"/>
      <c r="C7954" s="10"/>
      <c r="D7954" s="10"/>
      <c r="E7954" s="10"/>
      <c r="F7954" s="10"/>
    </row>
    <row r="7955" customFormat="false" ht="36.75" hidden="false" customHeight="true" outlineLevel="0" collapsed="false">
      <c r="B7955" s="37" t="str">
        <f aca="false">SUBSTITUTE(SUBSTITUTE(SUBSTITUTE(SUBSTITUTE(SUBSTITUTE(Txt_P5,"{cabinet}",Cab_Nom),"{societe}",IF($K$7921=0,"",INDEX(Clients!$E$2:$E$501,$K$7921)&amp;"")),"{date_effet}",$K$7923),"{hausse}",$K$7924),"{civilite}",$K$7922)</f>
        <v>Les autres conditions de votre lettre de mission demeurent inchangées. Les nouveaux montants seront appliqués automatiquement sur vos prochaines factures et échéances de prélèvement.</v>
      </c>
      <c r="C7955" s="37"/>
      <c r="D7955" s="37"/>
      <c r="E7955" s="37"/>
      <c r="F7955" s="37"/>
    </row>
    <row r="7956" customFormat="false" ht="36.75" hidden="false" customHeight="true" outlineLevel="0" collapsed="false">
      <c r="B7956" s="37" t="str">
        <f aca="false">SUBSTITUTE(SUBSTITUTE(SUBSTITUTE(SUBSTITUTE(SUBSTITUTE(Txt_P6,"{cabinet}",Cab_Nom),"{societe}",IF($K$7921=0,"",INDEX(Clients!$E$2:$E$501,$K$7921)&amp;"")),"{date_effet}",$K$7923),"{hausse}",$K$7924),"{civilite}",$K$7922)</f>
        <v>Votre interlocuteur habituel reste à votre entière disposition pour répondre à vos questions et faire le point sur l'évolution de vos besoins.</v>
      </c>
      <c r="C7956" s="37"/>
      <c r="D7956" s="37"/>
      <c r="E7956" s="37"/>
      <c r="F7956" s="37"/>
    </row>
    <row r="7957" customFormat="false" ht="24" hidden="false" customHeight="true" outlineLevel="0" collapsed="false">
      <c r="B7957" s="37" t="str">
        <f aca="false">SUBSTITUTE(SUBSTITUTE(SUBSTITUTE(SUBSTITUTE(SUBSTITUTE(Txt_Politesse,"{cabinet}",Cab_Nom),"{societe}",IF($K$7921=0,"",INDEX(Clients!$E$2:$E$501,$K$7921)&amp;"")),"{date_effet}",$K$7923),"{hausse}",$K$7924),"{civilite}",$K$7922)</f>
        <v>Nous vous prions d'agréer, Madame, Monsieur, l'expression de nos salutations distinguées.</v>
      </c>
      <c r="C7957" s="37"/>
      <c r="D7957" s="37"/>
      <c r="E7957" s="37"/>
      <c r="F7957" s="37"/>
    </row>
    <row r="7958" customFormat="false" ht="15" hidden="false" customHeight="false" outlineLevel="0" collapsed="false">
      <c r="B7958" s="10"/>
      <c r="C7958" s="10"/>
      <c r="D7958" s="10"/>
      <c r="E7958" s="10"/>
      <c r="F7958" s="10"/>
    </row>
    <row r="7959" customFormat="false" ht="15" hidden="false" customHeight="false" outlineLevel="0" collapsed="false">
      <c r="B7959" s="10"/>
      <c r="C7959" s="10"/>
      <c r="D7959" s="34" t="str">
        <f aca="false">Signataire</f>
        <v>Prénom NOM</v>
      </c>
      <c r="E7959" s="34"/>
      <c r="F7959" s="34"/>
    </row>
    <row r="7960" customFormat="false" ht="15" hidden="false" customHeight="false" outlineLevel="0" collapsed="false">
      <c r="B7960" s="10"/>
      <c r="C7960" s="10"/>
      <c r="D7960" s="47" t="str">
        <f aca="false">Signataire_Titre</f>
        <v>Expert-comptable associé</v>
      </c>
      <c r="E7960" s="47"/>
      <c r="F7960" s="47"/>
    </row>
    <row r="7961" customFormat="false" ht="15.75" hidden="false" customHeight="true" outlineLevel="0" collapsed="false">
      <c r="B7961" s="10"/>
      <c r="C7961" s="10"/>
      <c r="D7961" s="10"/>
      <c r="E7961" s="10"/>
      <c r="F7961" s="10"/>
    </row>
    <row r="7962" customFormat="false" ht="15.75" hidden="false" customHeight="true" outlineLevel="0" collapsed="false">
      <c r="B7962" s="10"/>
      <c r="C7962" s="10"/>
      <c r="D7962" s="10"/>
      <c r="E7962" s="10"/>
      <c r="F7962" s="10"/>
    </row>
    <row r="7963" customFormat="false" ht="15.75" hidden="false" customHeight="true" outlineLevel="0" collapsed="false">
      <c r="B7963" s="10"/>
      <c r="C7963" s="10"/>
      <c r="D7963" s="10"/>
      <c r="E7963" s="10"/>
      <c r="F7963" s="10"/>
    </row>
    <row r="7964" customFormat="false" ht="15.75" hidden="false" customHeight="true" outlineLevel="0" collapsed="false">
      <c r="B7964" s="10"/>
      <c r="C7964" s="10"/>
      <c r="D7964" s="10"/>
      <c r="E7964" s="10"/>
      <c r="F7964" s="10"/>
    </row>
    <row r="7965" customFormat="false" ht="24" hidden="false" customHeight="true" outlineLevel="0" collapsed="false">
      <c r="B7965" s="48" t="str">
        <f aca="false">Cab_Mentions</f>
        <v>ALTHO EXPERTISE · SAS au capital de 10 000 € · RCS Pontoise 919 706 325 · TVA FR62919706325 · Société d'expertise comptable inscrite au Tableau de l'Ordre des experts-comptables de Paris Île-de-France</v>
      </c>
      <c r="C7965" s="48"/>
      <c r="D7965" s="48"/>
      <c r="E7965" s="48"/>
      <c r="F7965" s="48"/>
    </row>
    <row r="7966" customFormat="false" ht="15" hidden="false" customHeight="false" outlineLevel="0" collapsed="false">
      <c r="B7966" s="10"/>
      <c r="C7966" s="10"/>
      <c r="D7966" s="10"/>
      <c r="E7966" s="10"/>
      <c r="F7966" s="10"/>
      <c r="J7966" s="25" t="s">
        <v>142</v>
      </c>
      <c r="K7966" s="25" t="n">
        <f aca="false">IFERROR(MATCH(178,Clients!$Z$2:$Z$501,0),0)</f>
        <v>0</v>
      </c>
      <c r="L7966" s="25"/>
      <c r="M7966" s="25"/>
      <c r="N7966" s="25"/>
      <c r="O7966" s="25"/>
    </row>
    <row r="7967" customFormat="false" ht="21.75" hidden="false" customHeight="true" outlineLevel="0" collapsed="false">
      <c r="B7967" s="26" t="str">
        <f aca="false">Cab_Nom</f>
        <v>ALTHO EXPERTISE</v>
      </c>
      <c r="C7967" s="26"/>
      <c r="D7967" s="10"/>
      <c r="E7967" s="27" t="str">
        <f aca="false">IF($K$7966=0,"","Réf. client : "&amp;INDEX(Clients!$A$2:$A$501,$K$7966))</f>
        <v/>
      </c>
      <c r="F7967" s="27"/>
      <c r="J7967" s="25" t="s">
        <v>144</v>
      </c>
      <c r="K7967" s="25" t="str">
        <f aca="false">IF(IF($K$7966=0,"",INDEX(Clients!$B$2:$B$501,$K$7966)&amp;"")="Mme","Madame",IF(IF($K$7966=0,"",INDEX(Clients!$B$2:$B$501,$K$7966)&amp;"")="M.","Monsieur","Madame, Monsieur"))</f>
        <v>Madame, Monsieur</v>
      </c>
      <c r="L7967" s="25"/>
      <c r="M7967" s="25"/>
      <c r="N7967" s="25"/>
      <c r="O7967" s="25"/>
    </row>
    <row r="7968" customFormat="false" ht="15" hidden="false" customHeight="false" outlineLevel="0" collapsed="false">
      <c r="B7968" s="29" t="str">
        <f aca="false">Cab_Adr1</f>
        <v>141 rue Charles de Gaulle</v>
      </c>
      <c r="C7968" s="29"/>
      <c r="D7968" s="10"/>
      <c r="E7968" s="10"/>
      <c r="F7968" s="10"/>
      <c r="J7968" s="25" t="s">
        <v>145</v>
      </c>
      <c r="K7968" s="25" t="str">
        <f aca="false">DAY(Date_Effet)&amp;IF(DAY(Date_Effet)=1,"er","")&amp;" "&amp;INDEX(Liste_Mois,MONTH(Date_Effet))&amp;" "&amp;YEAR(Date_Effet)</f>
        <v>1er janvier 2027</v>
      </c>
      <c r="L7968" s="25"/>
      <c r="M7968" s="25"/>
      <c r="N7968" s="25"/>
      <c r="O7968" s="25"/>
    </row>
    <row r="7969" customFormat="false" ht="15" hidden="false" customHeight="false" outlineLevel="0" collapsed="false">
      <c r="B7969" s="29" t="str">
        <f aca="false">Cab_CPVille</f>
        <v>95130 LE PLESSIS-BOUCHARD</v>
      </c>
      <c r="C7969" s="29"/>
      <c r="D7969" s="10"/>
      <c r="E7969" s="10"/>
      <c r="F7969" s="10"/>
      <c r="J7969" s="25" t="s">
        <v>146</v>
      </c>
      <c r="K7969" s="25" t="str">
        <f aca="false">IF(SUM($K$7993:$K$7996)=0,"",FIXED((SUM($L$7993:$L$7996)/SUM($K$7993:$K$7996)-1)*100,1)&amp;" %")</f>
        <v/>
      </c>
      <c r="L7969" s="25"/>
      <c r="M7969" s="25"/>
      <c r="N7969" s="25"/>
      <c r="O7969" s="25"/>
    </row>
    <row r="7970" customFormat="false" ht="15" hidden="false" customHeight="false" outlineLevel="0" collapsed="false">
      <c r="B7970" s="29" t="str">
        <f aca="false">Cab_Contact</f>
        <v>Tél. 01 34 14 53 45  ·  altho@altho-experts.com  ·  altho-experts.com</v>
      </c>
      <c r="C7970" s="29"/>
      <c r="D7970" s="10"/>
      <c r="E7970" s="10"/>
      <c r="F7970" s="10"/>
      <c r="J7970" s="25"/>
      <c r="K7970" s="25"/>
      <c r="L7970" s="25"/>
      <c r="M7970" s="25"/>
      <c r="N7970" s="25"/>
      <c r="O7970" s="25"/>
    </row>
    <row r="7971" customFormat="false" ht="6" hidden="false" customHeight="true" outlineLevel="0" collapsed="false">
      <c r="B7971" s="32"/>
      <c r="C7971" s="32"/>
      <c r="D7971" s="32"/>
      <c r="E7971" s="32"/>
      <c r="F7971" s="32"/>
      <c r="J7971" s="25"/>
      <c r="K7971" s="25"/>
      <c r="L7971" s="25"/>
      <c r="M7971" s="25"/>
      <c r="N7971" s="25"/>
      <c r="O7971" s="25"/>
    </row>
    <row r="7972" customFormat="false" ht="13.5" hidden="false" customHeight="true" outlineLevel="0" collapsed="false">
      <c r="B7972" s="10"/>
      <c r="C7972" s="10"/>
      <c r="D7972" s="10"/>
      <c r="E7972" s="10"/>
      <c r="F7972" s="10"/>
      <c r="J7972" s="25"/>
      <c r="K7972" s="25"/>
      <c r="L7972" s="25"/>
      <c r="M7972" s="25"/>
      <c r="N7972" s="25"/>
      <c r="O7972" s="25"/>
    </row>
    <row r="7973" customFormat="false" ht="13.5" hidden="false" customHeight="true" outlineLevel="0" collapsed="false">
      <c r="B7973" s="10"/>
      <c r="C7973" s="10"/>
      <c r="D7973" s="10"/>
      <c r="E7973" s="10"/>
      <c r="F7973" s="10"/>
      <c r="J7973" s="25"/>
      <c r="K7973" s="25"/>
      <c r="L7973" s="25"/>
      <c r="M7973" s="25"/>
      <c r="N7973" s="25"/>
      <c r="O7973" s="25"/>
    </row>
    <row r="7974" customFormat="false" ht="13.5" hidden="false" customHeight="true" outlineLevel="0" collapsed="false">
      <c r="B7974" s="10"/>
      <c r="C7974" s="10"/>
      <c r="D7974" s="10"/>
      <c r="E7974" s="10"/>
      <c r="F7974" s="10"/>
      <c r="J7974" s="25"/>
      <c r="K7974" s="25"/>
      <c r="L7974" s="25"/>
      <c r="M7974" s="25"/>
      <c r="N7974" s="25"/>
      <c r="O7974" s="25"/>
    </row>
    <row r="7975" customFormat="false" ht="15" hidden="false" customHeight="true" outlineLevel="0" collapsed="false">
      <c r="B7975" s="10"/>
      <c r="C7975" s="10"/>
      <c r="D7975" s="34" t="str">
        <f aca="false">IF($K$7966=0,"",INDEX(Clients!$E$2:$E$501,$K$7966)&amp;"")</f>
        <v/>
      </c>
      <c r="E7975" s="34"/>
      <c r="F7975" s="34"/>
      <c r="J7975" s="25"/>
      <c r="K7975" s="25"/>
      <c r="L7975" s="25"/>
      <c r="M7975" s="25"/>
      <c r="N7975" s="25"/>
      <c r="O7975" s="25"/>
    </row>
    <row r="7976" customFormat="false" ht="15" hidden="false" customHeight="true" outlineLevel="0" collapsed="false">
      <c r="B7976" s="10"/>
      <c r="C7976" s="10"/>
      <c r="D7976" s="35" t="str">
        <f aca="false">IF(IF($K$7966=0,"",INDEX(Clients!$D$2:$D$501,$K$7966)&amp;"")="","","À l'attention de "&amp;TRIM(IF($K$7966=0,"",INDEX(Clients!$B$2:$B$501,$K$7966)&amp;"")&amp;" "&amp;IF($K$7966=0,"",INDEX(Clients!$C$2:$C$501,$K$7966)&amp;"")&amp;" "&amp;IF($K$7966=0,"",INDEX(Clients!$D$2:$D$501,$K$7966)&amp;"")))</f>
        <v/>
      </c>
      <c r="E7976" s="35"/>
      <c r="F7976" s="35"/>
      <c r="J7976" s="25"/>
      <c r="K7976" s="25"/>
      <c r="L7976" s="25"/>
      <c r="M7976" s="25"/>
      <c r="N7976" s="25"/>
      <c r="O7976" s="25"/>
    </row>
    <row r="7977" customFormat="false" ht="15" hidden="false" customHeight="true" outlineLevel="0" collapsed="false">
      <c r="B7977" s="10"/>
      <c r="C7977" s="10"/>
      <c r="D7977" s="35" t="str">
        <f aca="false">IF($K$7966=0,"",INDEX(Clients!$F$2:$F$501,$K$7966)&amp;"")</f>
        <v/>
      </c>
      <c r="E7977" s="35"/>
      <c r="F7977" s="35"/>
      <c r="J7977" s="25"/>
      <c r="K7977" s="25"/>
      <c r="L7977" s="25"/>
      <c r="M7977" s="25"/>
      <c r="N7977" s="25"/>
      <c r="O7977" s="25"/>
    </row>
    <row r="7978" customFormat="false" ht="15" hidden="false" customHeight="true" outlineLevel="0" collapsed="false">
      <c r="B7978" s="10"/>
      <c r="C7978" s="10"/>
      <c r="D7978" s="35" t="str">
        <f aca="false">IF(IF($K$7966=0,"",INDEX(Clients!$G$2:$G$501,$K$7966)&amp;"")="",TRIM(IF($K$7966=0,"",INDEX(Clients!$H$2:$H$501,$K$7966)&amp;"")&amp;" "&amp;UPPER(IF($K$7966=0,"",INDEX(Clients!$I$2:$I$501,$K$7966)&amp;""))),IF($K$7966=0,"",INDEX(Clients!$G$2:$G$501,$K$7966)&amp;""))</f>
        <v/>
      </c>
      <c r="E7978" s="35"/>
      <c r="F7978" s="35"/>
      <c r="J7978" s="25"/>
      <c r="K7978" s="25"/>
      <c r="L7978" s="25"/>
      <c r="M7978" s="25"/>
      <c r="N7978" s="25"/>
      <c r="O7978" s="25"/>
    </row>
    <row r="7979" customFormat="false" ht="15" hidden="false" customHeight="true" outlineLevel="0" collapsed="false">
      <c r="B7979" s="10"/>
      <c r="C7979" s="10"/>
      <c r="D7979" s="35" t="str">
        <f aca="false">IF(IF($K$7966=0,"",INDEX(Clients!$G$2:$G$501,$K$7966)&amp;"")="","",TRIM(IF($K$7966=0,"",INDEX(Clients!$H$2:$H$501,$K$7966)&amp;"")&amp;" "&amp;UPPER(IF($K$7966=0,"",INDEX(Clients!$I$2:$I$501,$K$7966)&amp;""))))</f>
        <v/>
      </c>
      <c r="E7979" s="35"/>
      <c r="F7979" s="35"/>
      <c r="J7979" s="25"/>
      <c r="K7979" s="25"/>
      <c r="L7979" s="25"/>
      <c r="M7979" s="25"/>
      <c r="N7979" s="25"/>
      <c r="O7979" s="25"/>
    </row>
    <row r="7980" customFormat="false" ht="25.5" hidden="false" customHeight="true" outlineLevel="0" collapsed="false">
      <c r="B7980" s="10"/>
      <c r="C7980" s="10"/>
      <c r="D7980" s="10"/>
      <c r="E7980" s="10"/>
      <c r="F7980" s="10"/>
      <c r="J7980" s="25"/>
      <c r="K7980" s="25"/>
      <c r="L7980" s="25"/>
      <c r="M7980" s="25"/>
      <c r="N7980" s="25"/>
      <c r="O7980" s="25"/>
    </row>
    <row r="7981" customFormat="false" ht="15" hidden="false" customHeight="false" outlineLevel="0" collapsed="false">
      <c r="B7981" s="10"/>
      <c r="C7981" s="10"/>
      <c r="D7981" s="36" t="str">
        <f aca="false">Cab_Ville&amp;", le "&amp;DAY(Date_Courrier)&amp;IF(DAY(Date_Courrier)=1,"er","")&amp;" "&amp;INDEX(Liste_Mois,MONTH(Date_Courrier))&amp;" "&amp;YEAR(Date_Courrier)</f>
        <v>Le Plessis-Bouchard, le 22 septembre 2026</v>
      </c>
      <c r="E7981" s="36"/>
      <c r="F7981" s="36"/>
      <c r="J7981" s="25"/>
      <c r="K7981" s="25"/>
      <c r="L7981" s="25"/>
      <c r="M7981" s="25"/>
      <c r="N7981" s="25"/>
      <c r="O7981" s="25"/>
    </row>
    <row r="7982" customFormat="false" ht="19.5" hidden="false" customHeight="true" outlineLevel="0" collapsed="false">
      <c r="B7982" s="10"/>
      <c r="C7982" s="10"/>
      <c r="D7982" s="10"/>
      <c r="E7982" s="10"/>
      <c r="F7982" s="10"/>
      <c r="J7982" s="25"/>
      <c r="K7982" s="25"/>
      <c r="L7982" s="25"/>
      <c r="M7982" s="25"/>
      <c r="N7982" s="25"/>
      <c r="O7982" s="25"/>
    </row>
    <row r="7983" customFormat="false" ht="15" hidden="false" customHeight="false" outlineLevel="0" collapsed="false">
      <c r="B7983" s="34" t="str">
        <f aca="false">SUBSTITUTE(SUBSTITUTE(SUBSTITUTE(SUBSTITUTE(SUBSTITUTE(Txt_Objet,"{cabinet}",Cab_Nom),"{societe}",IF($K$7966=0,"",INDEX(Clients!$E$2:$E$501,$K$7966)&amp;"")),"{date_effet}",$K$7968),"{hausse}",$K$7969),"{civilite}",$K$7967)</f>
        <v>Objet : révision de nos honoraires au 1er janvier 2027</v>
      </c>
      <c r="C7983" s="34"/>
      <c r="D7983" s="34"/>
      <c r="E7983" s="34"/>
      <c r="F7983" s="34"/>
      <c r="J7983" s="25"/>
      <c r="K7983" s="25"/>
      <c r="L7983" s="25"/>
      <c r="M7983" s="25"/>
      <c r="N7983" s="25"/>
      <c r="O7983" s="25"/>
    </row>
    <row r="7984" customFormat="false" ht="13.5" hidden="false" customHeight="true" outlineLevel="0" collapsed="false">
      <c r="B7984" s="10"/>
      <c r="C7984" s="10"/>
      <c r="D7984" s="10"/>
      <c r="E7984" s="10"/>
      <c r="F7984" s="10"/>
      <c r="J7984" s="25"/>
      <c r="K7984" s="25"/>
      <c r="L7984" s="25"/>
      <c r="M7984" s="25"/>
      <c r="N7984" s="25"/>
      <c r="O7984" s="25"/>
    </row>
    <row r="7985" customFormat="false" ht="15" hidden="false" customHeight="false" outlineLevel="0" collapsed="false">
      <c r="B7985" s="10" t="str">
        <f aca="false">$K$7967&amp;","</f>
        <v>Madame, Monsieur,</v>
      </c>
      <c r="C7985" s="10"/>
      <c r="D7985" s="10"/>
      <c r="E7985" s="10"/>
      <c r="F7985" s="10"/>
      <c r="J7985" s="25"/>
      <c r="K7985" s="25"/>
      <c r="L7985" s="25"/>
      <c r="M7985" s="25"/>
      <c r="N7985" s="25"/>
      <c r="O7985" s="25"/>
    </row>
    <row r="7986" customFormat="false" ht="6" hidden="false" customHeight="true" outlineLevel="0" collapsed="false">
      <c r="B7986" s="10"/>
      <c r="C7986" s="10"/>
      <c r="D7986" s="10"/>
      <c r="E7986" s="10"/>
      <c r="F7986" s="10"/>
      <c r="J7986" s="25"/>
      <c r="K7986" s="25"/>
      <c r="L7986" s="25"/>
      <c r="M7986" s="25"/>
      <c r="N7986" s="25"/>
      <c r="O7986" s="25"/>
    </row>
    <row r="7987" customFormat="false" ht="36.75" hidden="false" customHeight="true" outlineLevel="0" collapsed="false">
      <c r="B7987" s="37" t="str">
        <f aca="false">SUBSTITUTE(SUBSTITUTE(SUBSTITUTE(SUBSTITUTE(SUBSTITUTE(Txt_P1,"{cabinet}",Cab_Nom),"{societe}",IF($K$7966=0,"",INDEX(Clients!$E$2:$E$501,$K$7966)&amp;"")),"{date_effet}",$K$7968),"{hausse}",$K$7969),"{civilite}",$K$7967)</f>
        <v>Nous tenons tout d'abord à vous remercier pour la confiance que vous accordez à ALTHO EXPERTISE. Comme chaque année, et conformément aux dispositions de votre lettre de mission, nous procédons à la révision de nos honoraires.</v>
      </c>
      <c r="C7987" s="37"/>
      <c r="D7987" s="37"/>
      <c r="E7987" s="37"/>
      <c r="F7987" s="37"/>
      <c r="J7987" s="25"/>
      <c r="K7987" s="25"/>
      <c r="L7987" s="25"/>
      <c r="M7987" s="25"/>
      <c r="N7987" s="25"/>
      <c r="O7987" s="25"/>
    </row>
    <row r="7988" customFormat="false" ht="49.5" hidden="false" customHeight="true" outlineLevel="0" collapsed="false">
      <c r="B7988" s="37" t="str">
        <f aca="false">SUBSTITUTE(SUBSTITUTE(SUBSTITUTE(SUBSTITUTE(SUBSTITUTE(Txt_P2,"{cabinet}",Cab_Nom),"{societe}",IF($K$7966=0,"",INDEX(Clients!$E$2:$E$501,$K$7966)&amp;"")),"{date_effet}",$K$7968),"{hausse}",$K$7969),"{civilite}",$K$7967)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7988" s="37"/>
      <c r="D7988" s="37"/>
      <c r="E7988" s="37"/>
      <c r="F7988" s="37"/>
      <c r="J7988" s="25"/>
      <c r="K7988" s="25"/>
      <c r="L7988" s="25"/>
      <c r="M7988" s="25"/>
      <c r="N7988" s="25"/>
      <c r="O7988" s="25"/>
    </row>
    <row r="7989" customFormat="false" ht="63" hidden="false" customHeight="true" outlineLevel="0" collapsed="false">
      <c r="B7989" s="37" t="str">
        <f aca="false">SUBSTITUTE(SUBSTITUTE(SUBSTITUTE(SUBSTITUTE(SUBSTITUTE(Txt_P3,"{cabinet}",Cab_Nom),"{societe}",IF($K$7966=0,"",INDEX(Clients!$E$2:$E$501,$K$7966)&amp;"")),"{date_effet}",$K$7968),"{hausse}",$K$7969),"{civilite}",$K$7967)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7989" s="37"/>
      <c r="D7989" s="37"/>
      <c r="E7989" s="37"/>
      <c r="F7989" s="37"/>
      <c r="J7989" s="25"/>
      <c r="K7989" s="25"/>
      <c r="L7989" s="25"/>
      <c r="M7989" s="25"/>
      <c r="N7989" s="25"/>
      <c r="O7989" s="25"/>
    </row>
    <row r="7990" customFormat="false" ht="24" hidden="false" customHeight="true" outlineLevel="0" collapsed="false">
      <c r="B7990" s="37" t="str">
        <f aca="false">SUBSTITUTE(SUBSTITUTE(SUBSTITUTE(SUBSTITUTE(SUBSTITUTE(Txt_P4,"{cabinet}",Cab_Nom),"{societe}",IF($K$7966=0,"",INDEX(Clients!$E$2:$E$501,$K$7966)&amp;"")),"{date_effet}",$K$7968),"{hausse}",$K$7969),"{civilite}",$K$7967)</f>
        <v>À compter du 1er janvier 2027, vos honoraires annuels hors taxes évolueront ainsi (évolution globale : ) :</v>
      </c>
      <c r="C7990" s="37"/>
      <c r="D7990" s="37"/>
      <c r="E7990" s="37"/>
      <c r="F7990" s="37"/>
      <c r="J7990" s="25"/>
      <c r="K7990" s="25"/>
      <c r="L7990" s="25"/>
      <c r="M7990" s="25"/>
      <c r="N7990" s="25"/>
      <c r="O7990" s="25"/>
    </row>
    <row r="7991" customFormat="false" ht="3.75" hidden="false" customHeight="true" outlineLevel="0" collapsed="false">
      <c r="B7991" s="10"/>
      <c r="C7991" s="10"/>
      <c r="D7991" s="10"/>
      <c r="E7991" s="10"/>
      <c r="F7991" s="10"/>
      <c r="J7991" s="25"/>
      <c r="K7991" s="25"/>
      <c r="L7991" s="25"/>
      <c r="M7991" s="25"/>
      <c r="N7991" s="25"/>
      <c r="O7991" s="25"/>
    </row>
    <row r="7992" customFormat="false" ht="18" hidden="false" customHeight="true" outlineLevel="0" collapsed="false">
      <c r="B7992" s="38" t="s">
        <v>148</v>
      </c>
      <c r="C7992" s="39" t="s">
        <v>149</v>
      </c>
      <c r="D7992" s="39" t="s">
        <v>150</v>
      </c>
      <c r="E7992" s="39" t="s">
        <v>151</v>
      </c>
      <c r="F7992" s="39" t="s">
        <v>109</v>
      </c>
      <c r="J7992" s="25" t="s">
        <v>152</v>
      </c>
      <c r="K7992" s="25" t="s">
        <v>153</v>
      </c>
      <c r="L7992" s="25" t="s">
        <v>154</v>
      </c>
      <c r="M7992" s="25" t="s">
        <v>155</v>
      </c>
      <c r="N7992" s="25" t="s">
        <v>156</v>
      </c>
      <c r="O7992" s="25" t="s">
        <v>157</v>
      </c>
    </row>
    <row r="7993" customFormat="false" ht="16.5" hidden="false" customHeight="true" outlineLevel="0" collapsed="false">
      <c r="B7993" s="40" t="str">
        <f aca="false">IFERROR(INDEX($J$7993:$J$7996,MATCH($O7993,$N$7993:$N$7996,0)),"")</f>
        <v/>
      </c>
      <c r="C7993" s="41" t="str">
        <f aca="false">IFERROR(INDEX($K$7993:$K$7996,MATCH($O7993,$N$7993:$N$7996,0)),"")</f>
        <v/>
      </c>
      <c r="D7993" s="42" t="str">
        <f aca="false">IF(OR(E7993="",N(C7993)=0),"",E7993/C7993-1)</f>
        <v/>
      </c>
      <c r="E7993" s="41" t="str">
        <f aca="false">IFERROR(INDEX($L$7993:$L$7996,MATCH($O7993,$N$7993:$N$7996,0)),"")</f>
        <v/>
      </c>
      <c r="F7993" s="41" t="str">
        <f aca="false">IF(E7993="","",E7993-C7993)</f>
        <v/>
      </c>
      <c r="J7993" s="25" t="str">
        <f aca="false">Lib_Compta</f>
        <v>Mission comptable (tenue, révision, bilan, liasse fiscale)</v>
      </c>
      <c r="K7993" s="25" t="n">
        <f aca="false">IF($K$7966=0,0,N(INDEX(Clients!$K$2:$K$501,$K$7966)))</f>
        <v>0</v>
      </c>
      <c r="L7993" s="25" t="n">
        <f aca="false">IF($K$7966=0,0,N(INDEX(Clients!$P$2:$P$501,$K$7966)))</f>
        <v>0</v>
      </c>
      <c r="M7993" s="25" t="n">
        <f aca="false">IF(OR(K7993&lt;&gt;0,L7993&lt;&gt;0),1,0)</f>
        <v>0</v>
      </c>
      <c r="N7993" s="25" t="str">
        <f aca="false">IF(M7993=1,SUM($M$7993:M7993),"")</f>
        <v/>
      </c>
      <c r="O7993" s="25" t="n">
        <v>1</v>
      </c>
    </row>
    <row r="7994" customFormat="false" ht="16.5" hidden="false" customHeight="true" outlineLevel="0" collapsed="false">
      <c r="B7994" s="40" t="str">
        <f aca="false">IFERROR(INDEX($J$7993:$J$7996,MATCH($O7994,$N$7993:$N$7996,0)),"")</f>
        <v/>
      </c>
      <c r="C7994" s="41" t="str">
        <f aca="false">IFERROR(INDEX($K$7993:$K$7996,MATCH($O7994,$N$7993:$N$7996,0)),"")</f>
        <v/>
      </c>
      <c r="D7994" s="42" t="str">
        <f aca="false">IF(OR(E7994="",N(C7994)=0),"",E7994/C7994-1)</f>
        <v/>
      </c>
      <c r="E7994" s="41" t="str">
        <f aca="false">IFERROR(INDEX($L$7993:$L$7996,MATCH($O7994,$N$7993:$N$7996,0)),"")</f>
        <v/>
      </c>
      <c r="F7994" s="41" t="str">
        <f aca="false">IF(E7994="","",E7994-C7994)</f>
        <v/>
      </c>
      <c r="J7994" s="25" t="str">
        <f aca="false">Lib_Paye</f>
        <v>Mission sociale (bulletins de paie, DSN, déclarations sociales)</v>
      </c>
      <c r="K7994" s="25" t="n">
        <f aca="false">IF($K$7966=0,0,N(INDEX(Clients!$L$2:$L$501,$K$7966)))</f>
        <v>0</v>
      </c>
      <c r="L7994" s="25" t="n">
        <f aca="false">IF($K$7966=0,0,N(INDEX(Clients!$Q$2:$Q$501,$K$7966)))</f>
        <v>0</v>
      </c>
      <c r="M7994" s="25" t="n">
        <f aca="false">IF(OR(K7994&lt;&gt;0,L7994&lt;&gt;0),1,0)</f>
        <v>0</v>
      </c>
      <c r="N7994" s="25" t="str">
        <f aca="false">IF(M7994=1,SUM($M$7993:M7994),"")</f>
        <v/>
      </c>
      <c r="O7994" s="25" t="n">
        <v>2</v>
      </c>
    </row>
    <row r="7995" customFormat="false" ht="16.5" hidden="false" customHeight="true" outlineLevel="0" collapsed="false">
      <c r="B7995" s="40" t="str">
        <f aca="false">IFERROR(INDEX($J$7993:$J$7996,MATCH($O7995,$N$7993:$N$7996,0)),"")</f>
        <v/>
      </c>
      <c r="C7995" s="41" t="str">
        <f aca="false">IFERROR(INDEX($K$7993:$K$7996,MATCH($O7995,$N$7993:$N$7996,0)),"")</f>
        <v/>
      </c>
      <c r="D7995" s="42" t="str">
        <f aca="false">IF(OR(E7995="",N(C7995)=0),"",E7995/C7995-1)</f>
        <v/>
      </c>
      <c r="E7995" s="41" t="str">
        <f aca="false">IFERROR(INDEX($L$7993:$L$7996,MATCH($O7995,$N$7993:$N$7996,0)),"")</f>
        <v/>
      </c>
      <c r="F7995" s="41" t="str">
        <f aca="false">IF(E7995="","",E7995-C7995)</f>
        <v/>
      </c>
      <c r="J7995" s="25" t="str">
        <f aca="false">Lib_Jur</f>
        <v>Mission juridique (approbation des comptes, secrétariat juridique)</v>
      </c>
      <c r="K7995" s="25" t="n">
        <f aca="false">IF($K$7966=0,0,N(INDEX(Clients!$M$2:$M$501,$K$7966)))</f>
        <v>0</v>
      </c>
      <c r="L7995" s="25" t="n">
        <f aca="false">IF($K$7966=0,0,N(INDEX(Clients!$R$2:$R$501,$K$7966)))</f>
        <v>0</v>
      </c>
      <c r="M7995" s="25" t="n">
        <f aca="false">IF(OR(K7995&lt;&gt;0,L7995&lt;&gt;0),1,0)</f>
        <v>0</v>
      </c>
      <c r="N7995" s="25" t="str">
        <f aca="false">IF(M7995=1,SUM($M$7993:M7995),"")</f>
        <v/>
      </c>
      <c r="O7995" s="25" t="n">
        <v>3</v>
      </c>
    </row>
    <row r="7996" customFormat="false" ht="16.5" hidden="false" customHeight="true" outlineLevel="0" collapsed="false">
      <c r="B7996" s="40" t="str">
        <f aca="false">IFERROR(INDEX($J$7993:$J$7996,MATCH($O7996,$N$7993:$N$7996,0)),"")</f>
        <v/>
      </c>
      <c r="C7996" s="41" t="str">
        <f aca="false">IFERROR(INDEX($K$7993:$K$7996,MATCH($O7996,$N$7993:$N$7996,0)),"")</f>
        <v/>
      </c>
      <c r="D7996" s="42" t="str">
        <f aca="false">IF(OR(E7996="",N(C7996)=0),"",E7996/C7996-1)</f>
        <v/>
      </c>
      <c r="E7996" s="41" t="str">
        <f aca="false">IFERROR(INDEX($L$7993:$L$7996,MATCH($O7996,$N$7993:$N$7996,0)),"")</f>
        <v/>
      </c>
      <c r="F7996" s="41" t="str">
        <f aca="false">IF(E7996="","",E7996-C7996)</f>
        <v/>
      </c>
      <c r="J7996" s="25" t="str">
        <f aca="false">Lib_PA</f>
        <v>Plateforme agréée – facturation électronique</v>
      </c>
      <c r="K7996" s="25" t="n">
        <f aca="false">IF($K$7966=0,0,N(INDEX(Clients!$N$2:$N$501,$K$7966)))</f>
        <v>0</v>
      </c>
      <c r="L7996" s="25" t="n">
        <f aca="false">IF($K$7966=0,0,N(INDEX(Clients!$S$2:$S$501,$K$7966)))</f>
        <v>0</v>
      </c>
      <c r="M7996" s="25" t="n">
        <f aca="false">IF(OR(K7996&lt;&gt;0,L7996&lt;&gt;0),1,0)</f>
        <v>0</v>
      </c>
      <c r="N7996" s="25" t="str">
        <f aca="false">IF(M7996=1,SUM($M$7993:M7996),"")</f>
        <v/>
      </c>
      <c r="O7996" s="25" t="n">
        <v>4</v>
      </c>
    </row>
    <row r="7997" customFormat="false" ht="18" hidden="false" customHeight="true" outlineLevel="0" collapsed="false">
      <c r="B7997" s="43" t="s">
        <v>158</v>
      </c>
      <c r="C7997" s="44" t="n">
        <f aca="false">SUM(K7993:K7996)</f>
        <v>0</v>
      </c>
      <c r="D7997" s="45" t="str">
        <f aca="false">IF(N(C7997)=0,"",E7997/C7997-1)</f>
        <v/>
      </c>
      <c r="E7997" s="44" t="n">
        <f aca="false">SUM(L7993:L7996)</f>
        <v>0</v>
      </c>
      <c r="F7997" s="44" t="n">
        <f aca="false">E7997-C7997</f>
        <v>0</v>
      </c>
    </row>
    <row r="7998" customFormat="false" ht="15" hidden="false" customHeight="false" outlineLevel="0" collapsed="false">
      <c r="B7998" s="46" t="str">
        <f aca="false">IF(N(Nb_Mensualites)=0,"","Soit "&amp;FIXED(E7997/Nb_Mensualites,2)&amp;" € HT par échéance ("&amp;Nb_Mensualites&amp;" échéances), "&amp;FIXED(E7997/Nb_Mensualites*(1+Taux_TVA),2)&amp;" € TTC.")</f>
        <v>Soit 0.00 € HT par échéance (12 échéances), 0.00 € TTC.</v>
      </c>
      <c r="C7998" s="46"/>
      <c r="D7998" s="46"/>
      <c r="E7998" s="46"/>
      <c r="F7998" s="46"/>
    </row>
    <row r="7999" customFormat="false" ht="7.5" hidden="false" customHeight="true" outlineLevel="0" collapsed="false">
      <c r="B7999" s="10"/>
      <c r="C7999" s="10"/>
      <c r="D7999" s="10"/>
      <c r="E7999" s="10"/>
      <c r="F7999" s="10"/>
    </row>
    <row r="8000" customFormat="false" ht="36.75" hidden="false" customHeight="true" outlineLevel="0" collapsed="false">
      <c r="B8000" s="37" t="str">
        <f aca="false">SUBSTITUTE(SUBSTITUTE(SUBSTITUTE(SUBSTITUTE(SUBSTITUTE(Txt_P5,"{cabinet}",Cab_Nom),"{societe}",IF($K$7966=0,"",INDEX(Clients!$E$2:$E$501,$K$7966)&amp;"")),"{date_effet}",$K$7968),"{hausse}",$K$7969),"{civilite}",$K$7967)</f>
        <v>Les autres conditions de votre lettre de mission demeurent inchangées. Les nouveaux montants seront appliqués automatiquement sur vos prochaines factures et échéances de prélèvement.</v>
      </c>
      <c r="C8000" s="37"/>
      <c r="D8000" s="37"/>
      <c r="E8000" s="37"/>
      <c r="F8000" s="37"/>
    </row>
    <row r="8001" customFormat="false" ht="36.75" hidden="false" customHeight="true" outlineLevel="0" collapsed="false">
      <c r="B8001" s="37" t="str">
        <f aca="false">SUBSTITUTE(SUBSTITUTE(SUBSTITUTE(SUBSTITUTE(SUBSTITUTE(Txt_P6,"{cabinet}",Cab_Nom),"{societe}",IF($K$7966=0,"",INDEX(Clients!$E$2:$E$501,$K$7966)&amp;"")),"{date_effet}",$K$7968),"{hausse}",$K$7969),"{civilite}",$K$7967)</f>
        <v>Votre interlocuteur habituel reste à votre entière disposition pour répondre à vos questions et faire le point sur l'évolution de vos besoins.</v>
      </c>
      <c r="C8001" s="37"/>
      <c r="D8001" s="37"/>
      <c r="E8001" s="37"/>
      <c r="F8001" s="37"/>
    </row>
    <row r="8002" customFormat="false" ht="24" hidden="false" customHeight="true" outlineLevel="0" collapsed="false">
      <c r="B8002" s="37" t="str">
        <f aca="false">SUBSTITUTE(SUBSTITUTE(SUBSTITUTE(SUBSTITUTE(SUBSTITUTE(Txt_Politesse,"{cabinet}",Cab_Nom),"{societe}",IF($K$7966=0,"",INDEX(Clients!$E$2:$E$501,$K$7966)&amp;"")),"{date_effet}",$K$7968),"{hausse}",$K$7969),"{civilite}",$K$7967)</f>
        <v>Nous vous prions d'agréer, Madame, Monsieur, l'expression de nos salutations distinguées.</v>
      </c>
      <c r="C8002" s="37"/>
      <c r="D8002" s="37"/>
      <c r="E8002" s="37"/>
      <c r="F8002" s="37"/>
    </row>
    <row r="8003" customFormat="false" ht="15" hidden="false" customHeight="false" outlineLevel="0" collapsed="false">
      <c r="B8003" s="10"/>
      <c r="C8003" s="10"/>
      <c r="D8003" s="10"/>
      <c r="E8003" s="10"/>
      <c r="F8003" s="10"/>
    </row>
    <row r="8004" customFormat="false" ht="15" hidden="false" customHeight="false" outlineLevel="0" collapsed="false">
      <c r="B8004" s="10"/>
      <c r="C8004" s="10"/>
      <c r="D8004" s="34" t="str">
        <f aca="false">Signataire</f>
        <v>Prénom NOM</v>
      </c>
      <c r="E8004" s="34"/>
      <c r="F8004" s="34"/>
    </row>
    <row r="8005" customFormat="false" ht="15" hidden="false" customHeight="false" outlineLevel="0" collapsed="false">
      <c r="B8005" s="10"/>
      <c r="C8005" s="10"/>
      <c r="D8005" s="47" t="str">
        <f aca="false">Signataire_Titre</f>
        <v>Expert-comptable associé</v>
      </c>
      <c r="E8005" s="47"/>
      <c r="F8005" s="47"/>
    </row>
    <row r="8006" customFormat="false" ht="15.75" hidden="false" customHeight="true" outlineLevel="0" collapsed="false">
      <c r="B8006" s="10"/>
      <c r="C8006" s="10"/>
      <c r="D8006" s="10"/>
      <c r="E8006" s="10"/>
      <c r="F8006" s="10"/>
    </row>
    <row r="8007" customFormat="false" ht="15.75" hidden="false" customHeight="true" outlineLevel="0" collapsed="false">
      <c r="B8007" s="10"/>
      <c r="C8007" s="10"/>
      <c r="D8007" s="10"/>
      <c r="E8007" s="10"/>
      <c r="F8007" s="10"/>
    </row>
    <row r="8008" customFormat="false" ht="15.75" hidden="false" customHeight="true" outlineLevel="0" collapsed="false">
      <c r="B8008" s="10"/>
      <c r="C8008" s="10"/>
      <c r="D8008" s="10"/>
      <c r="E8008" s="10"/>
      <c r="F8008" s="10"/>
    </row>
    <row r="8009" customFormat="false" ht="15.75" hidden="false" customHeight="true" outlineLevel="0" collapsed="false">
      <c r="B8009" s="10"/>
      <c r="C8009" s="10"/>
      <c r="D8009" s="10"/>
      <c r="E8009" s="10"/>
      <c r="F8009" s="10"/>
    </row>
    <row r="8010" customFormat="false" ht="24" hidden="false" customHeight="true" outlineLevel="0" collapsed="false">
      <c r="B8010" s="48" t="str">
        <f aca="false">Cab_Mentions</f>
        <v>ALTHO EXPERTISE · SAS au capital de 10 000 € · RCS Pontoise 919 706 325 · TVA FR62919706325 · Société d'expertise comptable inscrite au Tableau de l'Ordre des experts-comptables de Paris Île-de-France</v>
      </c>
      <c r="C8010" s="48"/>
      <c r="D8010" s="48"/>
      <c r="E8010" s="48"/>
      <c r="F8010" s="48"/>
    </row>
    <row r="8011" customFormat="false" ht="15" hidden="false" customHeight="false" outlineLevel="0" collapsed="false">
      <c r="B8011" s="10"/>
      <c r="C8011" s="10"/>
      <c r="D8011" s="10"/>
      <c r="E8011" s="10"/>
      <c r="F8011" s="10"/>
      <c r="J8011" s="25" t="s">
        <v>142</v>
      </c>
      <c r="K8011" s="25" t="n">
        <f aca="false">IFERROR(MATCH(179,Clients!$Z$2:$Z$501,0),0)</f>
        <v>0</v>
      </c>
      <c r="L8011" s="25"/>
      <c r="M8011" s="25"/>
      <c r="N8011" s="25"/>
      <c r="O8011" s="25"/>
    </row>
    <row r="8012" customFormat="false" ht="21.75" hidden="false" customHeight="true" outlineLevel="0" collapsed="false">
      <c r="B8012" s="26" t="str">
        <f aca="false">Cab_Nom</f>
        <v>ALTHO EXPERTISE</v>
      </c>
      <c r="C8012" s="26"/>
      <c r="D8012" s="10"/>
      <c r="E8012" s="27" t="str">
        <f aca="false">IF($K$8011=0,"","Réf. client : "&amp;INDEX(Clients!$A$2:$A$501,$K$8011))</f>
        <v/>
      </c>
      <c r="F8012" s="27"/>
      <c r="J8012" s="25" t="s">
        <v>144</v>
      </c>
      <c r="K8012" s="25" t="str">
        <f aca="false">IF(IF($K$8011=0,"",INDEX(Clients!$B$2:$B$501,$K$8011)&amp;"")="Mme","Madame",IF(IF($K$8011=0,"",INDEX(Clients!$B$2:$B$501,$K$8011)&amp;"")="M.","Monsieur","Madame, Monsieur"))</f>
        <v>Madame, Monsieur</v>
      </c>
      <c r="L8012" s="25"/>
      <c r="M8012" s="25"/>
      <c r="N8012" s="25"/>
      <c r="O8012" s="25"/>
    </row>
    <row r="8013" customFormat="false" ht="15" hidden="false" customHeight="false" outlineLevel="0" collapsed="false">
      <c r="B8013" s="29" t="str">
        <f aca="false">Cab_Adr1</f>
        <v>141 rue Charles de Gaulle</v>
      </c>
      <c r="C8013" s="29"/>
      <c r="D8013" s="10"/>
      <c r="E8013" s="10"/>
      <c r="F8013" s="10"/>
      <c r="J8013" s="25" t="s">
        <v>145</v>
      </c>
      <c r="K8013" s="25" t="str">
        <f aca="false">DAY(Date_Effet)&amp;IF(DAY(Date_Effet)=1,"er","")&amp;" "&amp;INDEX(Liste_Mois,MONTH(Date_Effet))&amp;" "&amp;YEAR(Date_Effet)</f>
        <v>1er janvier 2027</v>
      </c>
      <c r="L8013" s="25"/>
      <c r="M8013" s="25"/>
      <c r="N8013" s="25"/>
      <c r="O8013" s="25"/>
    </row>
    <row r="8014" customFormat="false" ht="15" hidden="false" customHeight="false" outlineLevel="0" collapsed="false">
      <c r="B8014" s="29" t="str">
        <f aca="false">Cab_CPVille</f>
        <v>95130 LE PLESSIS-BOUCHARD</v>
      </c>
      <c r="C8014" s="29"/>
      <c r="D8014" s="10"/>
      <c r="E8014" s="10"/>
      <c r="F8014" s="10"/>
      <c r="J8014" s="25" t="s">
        <v>146</v>
      </c>
      <c r="K8014" s="25" t="str">
        <f aca="false">IF(SUM($K$8038:$K$8041)=0,"",FIXED((SUM($L$8038:$L$8041)/SUM($K$8038:$K$8041)-1)*100,1)&amp;" %")</f>
        <v/>
      </c>
      <c r="L8014" s="25"/>
      <c r="M8014" s="25"/>
      <c r="N8014" s="25"/>
      <c r="O8014" s="25"/>
    </row>
    <row r="8015" customFormat="false" ht="15" hidden="false" customHeight="false" outlineLevel="0" collapsed="false">
      <c r="B8015" s="29" t="str">
        <f aca="false">Cab_Contact</f>
        <v>Tél. 01 34 14 53 45  ·  altho@altho-experts.com  ·  altho-experts.com</v>
      </c>
      <c r="C8015" s="29"/>
      <c r="D8015" s="10"/>
      <c r="E8015" s="10"/>
      <c r="F8015" s="10"/>
      <c r="J8015" s="25"/>
      <c r="K8015" s="25"/>
      <c r="L8015" s="25"/>
      <c r="M8015" s="25"/>
      <c r="N8015" s="25"/>
      <c r="O8015" s="25"/>
    </row>
    <row r="8016" customFormat="false" ht="6" hidden="false" customHeight="true" outlineLevel="0" collapsed="false">
      <c r="B8016" s="32"/>
      <c r="C8016" s="32"/>
      <c r="D8016" s="32"/>
      <c r="E8016" s="32"/>
      <c r="F8016" s="32"/>
      <c r="J8016" s="25"/>
      <c r="K8016" s="25"/>
      <c r="L8016" s="25"/>
      <c r="M8016" s="25"/>
      <c r="N8016" s="25"/>
      <c r="O8016" s="25"/>
    </row>
    <row r="8017" customFormat="false" ht="13.5" hidden="false" customHeight="true" outlineLevel="0" collapsed="false">
      <c r="B8017" s="10"/>
      <c r="C8017" s="10"/>
      <c r="D8017" s="10"/>
      <c r="E8017" s="10"/>
      <c r="F8017" s="10"/>
      <c r="J8017" s="25"/>
      <c r="K8017" s="25"/>
      <c r="L8017" s="25"/>
      <c r="M8017" s="25"/>
      <c r="N8017" s="25"/>
      <c r="O8017" s="25"/>
    </row>
    <row r="8018" customFormat="false" ht="13.5" hidden="false" customHeight="true" outlineLevel="0" collapsed="false">
      <c r="B8018" s="10"/>
      <c r="C8018" s="10"/>
      <c r="D8018" s="10"/>
      <c r="E8018" s="10"/>
      <c r="F8018" s="10"/>
      <c r="J8018" s="25"/>
      <c r="K8018" s="25"/>
      <c r="L8018" s="25"/>
      <c r="M8018" s="25"/>
      <c r="N8018" s="25"/>
      <c r="O8018" s="25"/>
    </row>
    <row r="8019" customFormat="false" ht="13.5" hidden="false" customHeight="true" outlineLevel="0" collapsed="false">
      <c r="B8019" s="10"/>
      <c r="C8019" s="10"/>
      <c r="D8019" s="10"/>
      <c r="E8019" s="10"/>
      <c r="F8019" s="10"/>
      <c r="J8019" s="25"/>
      <c r="K8019" s="25"/>
      <c r="L8019" s="25"/>
      <c r="M8019" s="25"/>
      <c r="N8019" s="25"/>
      <c r="O8019" s="25"/>
    </row>
    <row r="8020" customFormat="false" ht="15" hidden="false" customHeight="true" outlineLevel="0" collapsed="false">
      <c r="B8020" s="10"/>
      <c r="C8020" s="10"/>
      <c r="D8020" s="34" t="str">
        <f aca="false">IF($K$8011=0,"",INDEX(Clients!$E$2:$E$501,$K$8011)&amp;"")</f>
        <v/>
      </c>
      <c r="E8020" s="34"/>
      <c r="F8020" s="34"/>
      <c r="J8020" s="25"/>
      <c r="K8020" s="25"/>
      <c r="L8020" s="25"/>
      <c r="M8020" s="25"/>
      <c r="N8020" s="25"/>
      <c r="O8020" s="25"/>
    </row>
    <row r="8021" customFormat="false" ht="15" hidden="false" customHeight="true" outlineLevel="0" collapsed="false">
      <c r="B8021" s="10"/>
      <c r="C8021" s="10"/>
      <c r="D8021" s="35" t="str">
        <f aca="false">IF(IF($K$8011=0,"",INDEX(Clients!$D$2:$D$501,$K$8011)&amp;"")="","","À l'attention de "&amp;TRIM(IF($K$8011=0,"",INDEX(Clients!$B$2:$B$501,$K$8011)&amp;"")&amp;" "&amp;IF($K$8011=0,"",INDEX(Clients!$C$2:$C$501,$K$8011)&amp;"")&amp;" "&amp;IF($K$8011=0,"",INDEX(Clients!$D$2:$D$501,$K$8011)&amp;"")))</f>
        <v/>
      </c>
      <c r="E8021" s="35"/>
      <c r="F8021" s="35"/>
      <c r="J8021" s="25"/>
      <c r="K8021" s="25"/>
      <c r="L8021" s="25"/>
      <c r="M8021" s="25"/>
      <c r="N8021" s="25"/>
      <c r="O8021" s="25"/>
    </row>
    <row r="8022" customFormat="false" ht="15" hidden="false" customHeight="true" outlineLevel="0" collapsed="false">
      <c r="B8022" s="10"/>
      <c r="C8022" s="10"/>
      <c r="D8022" s="35" t="str">
        <f aca="false">IF($K$8011=0,"",INDEX(Clients!$F$2:$F$501,$K$8011)&amp;"")</f>
        <v/>
      </c>
      <c r="E8022" s="35"/>
      <c r="F8022" s="35"/>
      <c r="J8022" s="25"/>
      <c r="K8022" s="25"/>
      <c r="L8022" s="25"/>
      <c r="M8022" s="25"/>
      <c r="N8022" s="25"/>
      <c r="O8022" s="25"/>
    </row>
    <row r="8023" customFormat="false" ht="15" hidden="false" customHeight="true" outlineLevel="0" collapsed="false">
      <c r="B8023" s="10"/>
      <c r="C8023" s="10"/>
      <c r="D8023" s="35" t="str">
        <f aca="false">IF(IF($K$8011=0,"",INDEX(Clients!$G$2:$G$501,$K$8011)&amp;"")="",TRIM(IF($K$8011=0,"",INDEX(Clients!$H$2:$H$501,$K$8011)&amp;"")&amp;" "&amp;UPPER(IF($K$8011=0,"",INDEX(Clients!$I$2:$I$501,$K$8011)&amp;""))),IF($K$8011=0,"",INDEX(Clients!$G$2:$G$501,$K$8011)&amp;""))</f>
        <v/>
      </c>
      <c r="E8023" s="35"/>
      <c r="F8023" s="35"/>
      <c r="J8023" s="25"/>
      <c r="K8023" s="25"/>
      <c r="L8023" s="25"/>
      <c r="M8023" s="25"/>
      <c r="N8023" s="25"/>
      <c r="O8023" s="25"/>
    </row>
    <row r="8024" customFormat="false" ht="15" hidden="false" customHeight="true" outlineLevel="0" collapsed="false">
      <c r="B8024" s="10"/>
      <c r="C8024" s="10"/>
      <c r="D8024" s="35" t="str">
        <f aca="false">IF(IF($K$8011=0,"",INDEX(Clients!$G$2:$G$501,$K$8011)&amp;"")="","",TRIM(IF($K$8011=0,"",INDEX(Clients!$H$2:$H$501,$K$8011)&amp;"")&amp;" "&amp;UPPER(IF($K$8011=0,"",INDEX(Clients!$I$2:$I$501,$K$8011)&amp;""))))</f>
        <v/>
      </c>
      <c r="E8024" s="35"/>
      <c r="F8024" s="35"/>
      <c r="J8024" s="25"/>
      <c r="K8024" s="25"/>
      <c r="L8024" s="25"/>
      <c r="M8024" s="25"/>
      <c r="N8024" s="25"/>
      <c r="O8024" s="25"/>
    </row>
    <row r="8025" customFormat="false" ht="25.5" hidden="false" customHeight="true" outlineLevel="0" collapsed="false">
      <c r="B8025" s="10"/>
      <c r="C8025" s="10"/>
      <c r="D8025" s="10"/>
      <c r="E8025" s="10"/>
      <c r="F8025" s="10"/>
      <c r="J8025" s="25"/>
      <c r="K8025" s="25"/>
      <c r="L8025" s="25"/>
      <c r="M8025" s="25"/>
      <c r="N8025" s="25"/>
      <c r="O8025" s="25"/>
    </row>
    <row r="8026" customFormat="false" ht="15" hidden="false" customHeight="false" outlineLevel="0" collapsed="false">
      <c r="B8026" s="10"/>
      <c r="C8026" s="10"/>
      <c r="D8026" s="36" t="str">
        <f aca="false">Cab_Ville&amp;", le "&amp;DAY(Date_Courrier)&amp;IF(DAY(Date_Courrier)=1,"er","")&amp;" "&amp;INDEX(Liste_Mois,MONTH(Date_Courrier))&amp;" "&amp;YEAR(Date_Courrier)</f>
        <v>Le Plessis-Bouchard, le 22 septembre 2026</v>
      </c>
      <c r="E8026" s="36"/>
      <c r="F8026" s="36"/>
      <c r="J8026" s="25"/>
      <c r="K8026" s="25"/>
      <c r="L8026" s="25"/>
      <c r="M8026" s="25"/>
      <c r="N8026" s="25"/>
      <c r="O8026" s="25"/>
    </row>
    <row r="8027" customFormat="false" ht="19.5" hidden="false" customHeight="true" outlineLevel="0" collapsed="false">
      <c r="B8027" s="10"/>
      <c r="C8027" s="10"/>
      <c r="D8027" s="10"/>
      <c r="E8027" s="10"/>
      <c r="F8027" s="10"/>
      <c r="J8027" s="25"/>
      <c r="K8027" s="25"/>
      <c r="L8027" s="25"/>
      <c r="M8027" s="25"/>
      <c r="N8027" s="25"/>
      <c r="O8027" s="25"/>
    </row>
    <row r="8028" customFormat="false" ht="15" hidden="false" customHeight="false" outlineLevel="0" collapsed="false">
      <c r="B8028" s="34" t="str">
        <f aca="false">SUBSTITUTE(SUBSTITUTE(SUBSTITUTE(SUBSTITUTE(SUBSTITUTE(Txt_Objet,"{cabinet}",Cab_Nom),"{societe}",IF($K$8011=0,"",INDEX(Clients!$E$2:$E$501,$K$8011)&amp;"")),"{date_effet}",$K$8013),"{hausse}",$K$8014),"{civilite}",$K$8012)</f>
        <v>Objet : révision de nos honoraires au 1er janvier 2027</v>
      </c>
      <c r="C8028" s="34"/>
      <c r="D8028" s="34"/>
      <c r="E8028" s="34"/>
      <c r="F8028" s="34"/>
      <c r="J8028" s="25"/>
      <c r="K8028" s="25"/>
      <c r="L8028" s="25"/>
      <c r="M8028" s="25"/>
      <c r="N8028" s="25"/>
      <c r="O8028" s="25"/>
    </row>
    <row r="8029" customFormat="false" ht="13.5" hidden="false" customHeight="true" outlineLevel="0" collapsed="false">
      <c r="B8029" s="10"/>
      <c r="C8029" s="10"/>
      <c r="D8029" s="10"/>
      <c r="E8029" s="10"/>
      <c r="F8029" s="10"/>
      <c r="J8029" s="25"/>
      <c r="K8029" s="25"/>
      <c r="L8029" s="25"/>
      <c r="M8029" s="25"/>
      <c r="N8029" s="25"/>
      <c r="O8029" s="25"/>
    </row>
    <row r="8030" customFormat="false" ht="15" hidden="false" customHeight="false" outlineLevel="0" collapsed="false">
      <c r="B8030" s="10" t="str">
        <f aca="false">$K$8012&amp;","</f>
        <v>Madame, Monsieur,</v>
      </c>
      <c r="C8030" s="10"/>
      <c r="D8030" s="10"/>
      <c r="E8030" s="10"/>
      <c r="F8030" s="10"/>
      <c r="J8030" s="25"/>
      <c r="K8030" s="25"/>
      <c r="L8030" s="25"/>
      <c r="M8030" s="25"/>
      <c r="N8030" s="25"/>
      <c r="O8030" s="25"/>
    </row>
    <row r="8031" customFormat="false" ht="6" hidden="false" customHeight="true" outlineLevel="0" collapsed="false">
      <c r="B8031" s="10"/>
      <c r="C8031" s="10"/>
      <c r="D8031" s="10"/>
      <c r="E8031" s="10"/>
      <c r="F8031" s="10"/>
      <c r="J8031" s="25"/>
      <c r="K8031" s="25"/>
      <c r="L8031" s="25"/>
      <c r="M8031" s="25"/>
      <c r="N8031" s="25"/>
      <c r="O8031" s="25"/>
    </row>
    <row r="8032" customFormat="false" ht="36.75" hidden="false" customHeight="true" outlineLevel="0" collapsed="false">
      <c r="B8032" s="37" t="str">
        <f aca="false">SUBSTITUTE(SUBSTITUTE(SUBSTITUTE(SUBSTITUTE(SUBSTITUTE(Txt_P1,"{cabinet}",Cab_Nom),"{societe}",IF($K$8011=0,"",INDEX(Clients!$E$2:$E$501,$K$8011)&amp;"")),"{date_effet}",$K$8013),"{hausse}",$K$8014),"{civilite}",$K$8012)</f>
        <v>Nous tenons tout d'abord à vous remercier pour la confiance que vous accordez à ALTHO EXPERTISE. Comme chaque année, et conformément aux dispositions de votre lettre de mission, nous procédons à la révision de nos honoraires.</v>
      </c>
      <c r="C8032" s="37"/>
      <c r="D8032" s="37"/>
      <c r="E8032" s="37"/>
      <c r="F8032" s="37"/>
      <c r="J8032" s="25"/>
      <c r="K8032" s="25"/>
      <c r="L8032" s="25"/>
      <c r="M8032" s="25"/>
      <c r="N8032" s="25"/>
      <c r="O8032" s="25"/>
    </row>
    <row r="8033" customFormat="false" ht="49.5" hidden="false" customHeight="true" outlineLevel="0" collapsed="false">
      <c r="B8033" s="37" t="str">
        <f aca="false">SUBSTITUTE(SUBSTITUTE(SUBSTITUTE(SUBSTITUTE(SUBSTITUTE(Txt_P2,"{cabinet}",Cab_Nom),"{societe}",IF($K$8011=0,"",INDEX(Clients!$E$2:$E$501,$K$8011)&amp;"")),"{date_effet}",$K$8013),"{hausse}",$K$8014),"{civilite}",$K$8012)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033" s="37"/>
      <c r="D8033" s="37"/>
      <c r="E8033" s="37"/>
      <c r="F8033" s="37"/>
      <c r="J8033" s="25"/>
      <c r="K8033" s="25"/>
      <c r="L8033" s="25"/>
      <c r="M8033" s="25"/>
      <c r="N8033" s="25"/>
      <c r="O8033" s="25"/>
    </row>
    <row r="8034" customFormat="false" ht="63" hidden="false" customHeight="true" outlineLevel="0" collapsed="false">
      <c r="B8034" s="37" t="str">
        <f aca="false">SUBSTITUTE(SUBSTITUTE(SUBSTITUTE(SUBSTITUTE(SUBSTITUTE(Txt_P3,"{cabinet}",Cab_Nom),"{societe}",IF($K$8011=0,"",INDEX(Clients!$E$2:$E$501,$K$8011)&amp;"")),"{date_effet}",$K$8013),"{hausse}",$K$8014),"{civilite}",$K$8012)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034" s="37"/>
      <c r="D8034" s="37"/>
      <c r="E8034" s="37"/>
      <c r="F8034" s="37"/>
      <c r="J8034" s="25"/>
      <c r="K8034" s="25"/>
      <c r="L8034" s="25"/>
      <c r="M8034" s="25"/>
      <c r="N8034" s="25"/>
      <c r="O8034" s="25"/>
    </row>
    <row r="8035" customFormat="false" ht="24" hidden="false" customHeight="true" outlineLevel="0" collapsed="false">
      <c r="B8035" s="37" t="str">
        <f aca="false">SUBSTITUTE(SUBSTITUTE(SUBSTITUTE(SUBSTITUTE(SUBSTITUTE(Txt_P4,"{cabinet}",Cab_Nom),"{societe}",IF($K$8011=0,"",INDEX(Clients!$E$2:$E$501,$K$8011)&amp;"")),"{date_effet}",$K$8013),"{hausse}",$K$8014),"{civilite}",$K$8012)</f>
        <v>À compter du 1er janvier 2027, vos honoraires annuels hors taxes évolueront ainsi (évolution globale : ) :</v>
      </c>
      <c r="C8035" s="37"/>
      <c r="D8035" s="37"/>
      <c r="E8035" s="37"/>
      <c r="F8035" s="37"/>
      <c r="J8035" s="25"/>
      <c r="K8035" s="25"/>
      <c r="L8035" s="25"/>
      <c r="M8035" s="25"/>
      <c r="N8035" s="25"/>
      <c r="O8035" s="25"/>
    </row>
    <row r="8036" customFormat="false" ht="3.75" hidden="false" customHeight="true" outlineLevel="0" collapsed="false">
      <c r="B8036" s="10"/>
      <c r="C8036" s="10"/>
      <c r="D8036" s="10"/>
      <c r="E8036" s="10"/>
      <c r="F8036" s="10"/>
      <c r="J8036" s="25"/>
      <c r="K8036" s="25"/>
      <c r="L8036" s="25"/>
      <c r="M8036" s="25"/>
      <c r="N8036" s="25"/>
      <c r="O8036" s="25"/>
    </row>
    <row r="8037" customFormat="false" ht="18" hidden="false" customHeight="true" outlineLevel="0" collapsed="false">
      <c r="B8037" s="38" t="s">
        <v>148</v>
      </c>
      <c r="C8037" s="39" t="s">
        <v>149</v>
      </c>
      <c r="D8037" s="39" t="s">
        <v>150</v>
      </c>
      <c r="E8037" s="39" t="s">
        <v>151</v>
      </c>
      <c r="F8037" s="39" t="s">
        <v>109</v>
      </c>
      <c r="J8037" s="25" t="s">
        <v>152</v>
      </c>
      <c r="K8037" s="25" t="s">
        <v>153</v>
      </c>
      <c r="L8037" s="25" t="s">
        <v>154</v>
      </c>
      <c r="M8037" s="25" t="s">
        <v>155</v>
      </c>
      <c r="N8037" s="25" t="s">
        <v>156</v>
      </c>
      <c r="O8037" s="25" t="s">
        <v>157</v>
      </c>
    </row>
    <row r="8038" customFormat="false" ht="16.5" hidden="false" customHeight="true" outlineLevel="0" collapsed="false">
      <c r="B8038" s="40" t="str">
        <f aca="false">IFERROR(INDEX($J$8038:$J$8041,MATCH($O8038,$N$8038:$N$8041,0)),"")</f>
        <v/>
      </c>
      <c r="C8038" s="41" t="str">
        <f aca="false">IFERROR(INDEX($K$8038:$K$8041,MATCH($O8038,$N$8038:$N$8041,0)),"")</f>
        <v/>
      </c>
      <c r="D8038" s="42" t="str">
        <f aca="false">IF(OR(E8038="",N(C8038)=0),"",E8038/C8038-1)</f>
        <v/>
      </c>
      <c r="E8038" s="41" t="str">
        <f aca="false">IFERROR(INDEX($L$8038:$L$8041,MATCH($O8038,$N$8038:$N$8041,0)),"")</f>
        <v/>
      </c>
      <c r="F8038" s="41" t="str">
        <f aca="false">IF(E8038="","",E8038-C8038)</f>
        <v/>
      </c>
      <c r="J8038" s="25" t="str">
        <f aca="false">Lib_Compta</f>
        <v>Mission comptable (tenue, révision, bilan, liasse fiscale)</v>
      </c>
      <c r="K8038" s="25" t="n">
        <f aca="false">IF($K$8011=0,0,N(INDEX(Clients!$K$2:$K$501,$K$8011)))</f>
        <v>0</v>
      </c>
      <c r="L8038" s="25" t="n">
        <f aca="false">IF($K$8011=0,0,N(INDEX(Clients!$P$2:$P$501,$K$8011)))</f>
        <v>0</v>
      </c>
      <c r="M8038" s="25" t="n">
        <f aca="false">IF(OR(K8038&lt;&gt;0,L8038&lt;&gt;0),1,0)</f>
        <v>0</v>
      </c>
      <c r="N8038" s="25" t="str">
        <f aca="false">IF(M8038=1,SUM($M$8038:M8038),"")</f>
        <v/>
      </c>
      <c r="O8038" s="25" t="n">
        <v>1</v>
      </c>
    </row>
    <row r="8039" customFormat="false" ht="16.5" hidden="false" customHeight="true" outlineLevel="0" collapsed="false">
      <c r="B8039" s="40" t="str">
        <f aca="false">IFERROR(INDEX($J$8038:$J$8041,MATCH($O8039,$N$8038:$N$8041,0)),"")</f>
        <v/>
      </c>
      <c r="C8039" s="41" t="str">
        <f aca="false">IFERROR(INDEX($K$8038:$K$8041,MATCH($O8039,$N$8038:$N$8041,0)),"")</f>
        <v/>
      </c>
      <c r="D8039" s="42" t="str">
        <f aca="false">IF(OR(E8039="",N(C8039)=0),"",E8039/C8039-1)</f>
        <v/>
      </c>
      <c r="E8039" s="41" t="str">
        <f aca="false">IFERROR(INDEX($L$8038:$L$8041,MATCH($O8039,$N$8038:$N$8041,0)),"")</f>
        <v/>
      </c>
      <c r="F8039" s="41" t="str">
        <f aca="false">IF(E8039="","",E8039-C8039)</f>
        <v/>
      </c>
      <c r="J8039" s="25" t="str">
        <f aca="false">Lib_Paye</f>
        <v>Mission sociale (bulletins de paie, DSN, déclarations sociales)</v>
      </c>
      <c r="K8039" s="25" t="n">
        <f aca="false">IF($K$8011=0,0,N(INDEX(Clients!$L$2:$L$501,$K$8011)))</f>
        <v>0</v>
      </c>
      <c r="L8039" s="25" t="n">
        <f aca="false">IF($K$8011=0,0,N(INDEX(Clients!$Q$2:$Q$501,$K$8011)))</f>
        <v>0</v>
      </c>
      <c r="M8039" s="25" t="n">
        <f aca="false">IF(OR(K8039&lt;&gt;0,L8039&lt;&gt;0),1,0)</f>
        <v>0</v>
      </c>
      <c r="N8039" s="25" t="str">
        <f aca="false">IF(M8039=1,SUM($M$8038:M8039),"")</f>
        <v/>
      </c>
      <c r="O8039" s="25" t="n">
        <v>2</v>
      </c>
    </row>
    <row r="8040" customFormat="false" ht="16.5" hidden="false" customHeight="true" outlineLevel="0" collapsed="false">
      <c r="B8040" s="40" t="str">
        <f aca="false">IFERROR(INDEX($J$8038:$J$8041,MATCH($O8040,$N$8038:$N$8041,0)),"")</f>
        <v/>
      </c>
      <c r="C8040" s="41" t="str">
        <f aca="false">IFERROR(INDEX($K$8038:$K$8041,MATCH($O8040,$N$8038:$N$8041,0)),"")</f>
        <v/>
      </c>
      <c r="D8040" s="42" t="str">
        <f aca="false">IF(OR(E8040="",N(C8040)=0),"",E8040/C8040-1)</f>
        <v/>
      </c>
      <c r="E8040" s="41" t="str">
        <f aca="false">IFERROR(INDEX($L$8038:$L$8041,MATCH($O8040,$N$8038:$N$8041,0)),"")</f>
        <v/>
      </c>
      <c r="F8040" s="41" t="str">
        <f aca="false">IF(E8040="","",E8040-C8040)</f>
        <v/>
      </c>
      <c r="J8040" s="25" t="str">
        <f aca="false">Lib_Jur</f>
        <v>Mission juridique (approbation des comptes, secrétariat juridique)</v>
      </c>
      <c r="K8040" s="25" t="n">
        <f aca="false">IF($K$8011=0,0,N(INDEX(Clients!$M$2:$M$501,$K$8011)))</f>
        <v>0</v>
      </c>
      <c r="L8040" s="25" t="n">
        <f aca="false">IF($K$8011=0,0,N(INDEX(Clients!$R$2:$R$501,$K$8011)))</f>
        <v>0</v>
      </c>
      <c r="M8040" s="25" t="n">
        <f aca="false">IF(OR(K8040&lt;&gt;0,L8040&lt;&gt;0),1,0)</f>
        <v>0</v>
      </c>
      <c r="N8040" s="25" t="str">
        <f aca="false">IF(M8040=1,SUM($M$8038:M8040),"")</f>
        <v/>
      </c>
      <c r="O8040" s="25" t="n">
        <v>3</v>
      </c>
    </row>
    <row r="8041" customFormat="false" ht="16.5" hidden="false" customHeight="true" outlineLevel="0" collapsed="false">
      <c r="B8041" s="40" t="str">
        <f aca="false">IFERROR(INDEX($J$8038:$J$8041,MATCH($O8041,$N$8038:$N$8041,0)),"")</f>
        <v/>
      </c>
      <c r="C8041" s="41" t="str">
        <f aca="false">IFERROR(INDEX($K$8038:$K$8041,MATCH($O8041,$N$8038:$N$8041,0)),"")</f>
        <v/>
      </c>
      <c r="D8041" s="42" t="str">
        <f aca="false">IF(OR(E8041="",N(C8041)=0),"",E8041/C8041-1)</f>
        <v/>
      </c>
      <c r="E8041" s="41" t="str">
        <f aca="false">IFERROR(INDEX($L$8038:$L$8041,MATCH($O8041,$N$8038:$N$8041,0)),"")</f>
        <v/>
      </c>
      <c r="F8041" s="41" t="str">
        <f aca="false">IF(E8041="","",E8041-C8041)</f>
        <v/>
      </c>
      <c r="J8041" s="25" t="str">
        <f aca="false">Lib_PA</f>
        <v>Plateforme agréée – facturation électronique</v>
      </c>
      <c r="K8041" s="25" t="n">
        <f aca="false">IF($K$8011=0,0,N(INDEX(Clients!$N$2:$N$501,$K$8011)))</f>
        <v>0</v>
      </c>
      <c r="L8041" s="25" t="n">
        <f aca="false">IF($K$8011=0,0,N(INDEX(Clients!$S$2:$S$501,$K$8011)))</f>
        <v>0</v>
      </c>
      <c r="M8041" s="25" t="n">
        <f aca="false">IF(OR(K8041&lt;&gt;0,L8041&lt;&gt;0),1,0)</f>
        <v>0</v>
      </c>
      <c r="N8041" s="25" t="str">
        <f aca="false">IF(M8041=1,SUM($M$8038:M8041),"")</f>
        <v/>
      </c>
      <c r="O8041" s="25" t="n">
        <v>4</v>
      </c>
    </row>
    <row r="8042" customFormat="false" ht="18" hidden="false" customHeight="true" outlineLevel="0" collapsed="false">
      <c r="B8042" s="43" t="s">
        <v>158</v>
      </c>
      <c r="C8042" s="44" t="n">
        <f aca="false">SUM(K8038:K8041)</f>
        <v>0</v>
      </c>
      <c r="D8042" s="45" t="str">
        <f aca="false">IF(N(C8042)=0,"",E8042/C8042-1)</f>
        <v/>
      </c>
      <c r="E8042" s="44" t="n">
        <f aca="false">SUM(L8038:L8041)</f>
        <v>0</v>
      </c>
      <c r="F8042" s="44" t="n">
        <f aca="false">E8042-C8042</f>
        <v>0</v>
      </c>
    </row>
    <row r="8043" customFormat="false" ht="15" hidden="false" customHeight="false" outlineLevel="0" collapsed="false">
      <c r="B8043" s="46" t="str">
        <f aca="false">IF(N(Nb_Mensualites)=0,"","Soit "&amp;FIXED(E8042/Nb_Mensualites,2)&amp;" € HT par échéance ("&amp;Nb_Mensualites&amp;" échéances), "&amp;FIXED(E8042/Nb_Mensualites*(1+Taux_TVA),2)&amp;" € TTC.")</f>
        <v>Soit 0.00 € HT par échéance (12 échéances), 0.00 € TTC.</v>
      </c>
      <c r="C8043" s="46"/>
      <c r="D8043" s="46"/>
      <c r="E8043" s="46"/>
      <c r="F8043" s="46"/>
    </row>
    <row r="8044" customFormat="false" ht="7.5" hidden="false" customHeight="true" outlineLevel="0" collapsed="false">
      <c r="B8044" s="10"/>
      <c r="C8044" s="10"/>
      <c r="D8044" s="10"/>
      <c r="E8044" s="10"/>
      <c r="F8044" s="10"/>
    </row>
    <row r="8045" customFormat="false" ht="36.75" hidden="false" customHeight="true" outlineLevel="0" collapsed="false">
      <c r="B8045" s="37" t="str">
        <f aca="false">SUBSTITUTE(SUBSTITUTE(SUBSTITUTE(SUBSTITUTE(SUBSTITUTE(Txt_P5,"{cabinet}",Cab_Nom),"{societe}",IF($K$8011=0,"",INDEX(Clients!$E$2:$E$501,$K$8011)&amp;"")),"{date_effet}",$K$8013),"{hausse}",$K$8014),"{civilite}",$K$8012)</f>
        <v>Les autres conditions de votre lettre de mission demeurent inchangées. Les nouveaux montants seront appliqués automatiquement sur vos prochaines factures et échéances de prélèvement.</v>
      </c>
      <c r="C8045" s="37"/>
      <c r="D8045" s="37"/>
      <c r="E8045" s="37"/>
      <c r="F8045" s="37"/>
    </row>
    <row r="8046" customFormat="false" ht="36.75" hidden="false" customHeight="true" outlineLevel="0" collapsed="false">
      <c r="B8046" s="37" t="str">
        <f aca="false">SUBSTITUTE(SUBSTITUTE(SUBSTITUTE(SUBSTITUTE(SUBSTITUTE(Txt_P6,"{cabinet}",Cab_Nom),"{societe}",IF($K$8011=0,"",INDEX(Clients!$E$2:$E$501,$K$8011)&amp;"")),"{date_effet}",$K$8013),"{hausse}",$K$8014),"{civilite}",$K$8012)</f>
        <v>Votre interlocuteur habituel reste à votre entière disposition pour répondre à vos questions et faire le point sur l'évolution de vos besoins.</v>
      </c>
      <c r="C8046" s="37"/>
      <c r="D8046" s="37"/>
      <c r="E8046" s="37"/>
      <c r="F8046" s="37"/>
    </row>
    <row r="8047" customFormat="false" ht="24" hidden="false" customHeight="true" outlineLevel="0" collapsed="false">
      <c r="B8047" s="37" t="str">
        <f aca="false">SUBSTITUTE(SUBSTITUTE(SUBSTITUTE(SUBSTITUTE(SUBSTITUTE(Txt_Politesse,"{cabinet}",Cab_Nom),"{societe}",IF($K$8011=0,"",INDEX(Clients!$E$2:$E$501,$K$8011)&amp;"")),"{date_effet}",$K$8013),"{hausse}",$K$8014),"{civilite}",$K$8012)</f>
        <v>Nous vous prions d'agréer, Madame, Monsieur, l'expression de nos salutations distinguées.</v>
      </c>
      <c r="C8047" s="37"/>
      <c r="D8047" s="37"/>
      <c r="E8047" s="37"/>
      <c r="F8047" s="37"/>
    </row>
    <row r="8048" customFormat="false" ht="15" hidden="false" customHeight="false" outlineLevel="0" collapsed="false">
      <c r="B8048" s="10"/>
      <c r="C8048" s="10"/>
      <c r="D8048" s="10"/>
      <c r="E8048" s="10"/>
      <c r="F8048" s="10"/>
    </row>
    <row r="8049" customFormat="false" ht="15" hidden="false" customHeight="false" outlineLevel="0" collapsed="false">
      <c r="B8049" s="10"/>
      <c r="C8049" s="10"/>
      <c r="D8049" s="34" t="str">
        <f aca="false">Signataire</f>
        <v>Prénom NOM</v>
      </c>
      <c r="E8049" s="34"/>
      <c r="F8049" s="34"/>
    </row>
    <row r="8050" customFormat="false" ht="15" hidden="false" customHeight="false" outlineLevel="0" collapsed="false">
      <c r="B8050" s="10"/>
      <c r="C8050" s="10"/>
      <c r="D8050" s="47" t="str">
        <f aca="false">Signataire_Titre</f>
        <v>Expert-comptable associé</v>
      </c>
      <c r="E8050" s="47"/>
      <c r="F8050" s="47"/>
    </row>
    <row r="8051" customFormat="false" ht="15.75" hidden="false" customHeight="true" outlineLevel="0" collapsed="false">
      <c r="B8051" s="10"/>
      <c r="C8051" s="10"/>
      <c r="D8051" s="10"/>
      <c r="E8051" s="10"/>
      <c r="F8051" s="10"/>
    </row>
    <row r="8052" customFormat="false" ht="15.75" hidden="false" customHeight="true" outlineLevel="0" collapsed="false">
      <c r="B8052" s="10"/>
      <c r="C8052" s="10"/>
      <c r="D8052" s="10"/>
      <c r="E8052" s="10"/>
      <c r="F8052" s="10"/>
    </row>
    <row r="8053" customFormat="false" ht="15.75" hidden="false" customHeight="true" outlineLevel="0" collapsed="false">
      <c r="B8053" s="10"/>
      <c r="C8053" s="10"/>
      <c r="D8053" s="10"/>
      <c r="E8053" s="10"/>
      <c r="F8053" s="10"/>
    </row>
    <row r="8054" customFormat="false" ht="15.75" hidden="false" customHeight="true" outlineLevel="0" collapsed="false">
      <c r="B8054" s="10"/>
      <c r="C8054" s="10"/>
      <c r="D8054" s="10"/>
      <c r="E8054" s="10"/>
      <c r="F8054" s="10"/>
    </row>
    <row r="8055" customFormat="false" ht="24" hidden="false" customHeight="true" outlineLevel="0" collapsed="false">
      <c r="B8055" s="48" t="str">
        <f aca="false">Cab_Mentions</f>
        <v>ALTHO EXPERTISE · SAS au capital de 10 000 € · RCS Pontoise 919 706 325 · TVA FR62919706325 · Société d'expertise comptable inscrite au Tableau de l'Ordre des experts-comptables de Paris Île-de-France</v>
      </c>
      <c r="C8055" s="48"/>
      <c r="D8055" s="48"/>
      <c r="E8055" s="48"/>
      <c r="F8055" s="48"/>
    </row>
    <row r="8056" customFormat="false" ht="15" hidden="false" customHeight="false" outlineLevel="0" collapsed="false">
      <c r="B8056" s="10"/>
      <c r="C8056" s="10"/>
      <c r="D8056" s="10"/>
      <c r="E8056" s="10"/>
      <c r="F8056" s="10"/>
      <c r="J8056" s="25" t="s">
        <v>142</v>
      </c>
      <c r="K8056" s="25" t="n">
        <f aca="false">IFERROR(MATCH(180,Clients!$Z$2:$Z$501,0),0)</f>
        <v>0</v>
      </c>
      <c r="L8056" s="25"/>
      <c r="M8056" s="25"/>
      <c r="N8056" s="25"/>
      <c r="O8056" s="25"/>
    </row>
    <row r="8057" customFormat="false" ht="21.75" hidden="false" customHeight="true" outlineLevel="0" collapsed="false">
      <c r="B8057" s="26" t="str">
        <f aca="false">Cab_Nom</f>
        <v>ALTHO EXPERTISE</v>
      </c>
      <c r="C8057" s="26"/>
      <c r="D8057" s="10"/>
      <c r="E8057" s="27" t="str">
        <f aca="false">IF($K$8056=0,"","Réf. client : "&amp;INDEX(Clients!$A$2:$A$501,$K$8056))</f>
        <v/>
      </c>
      <c r="F8057" s="27"/>
      <c r="J8057" s="25" t="s">
        <v>144</v>
      </c>
      <c r="K8057" s="25" t="str">
        <f aca="false">IF(IF($K$8056=0,"",INDEX(Clients!$B$2:$B$501,$K$8056)&amp;"")="Mme","Madame",IF(IF($K$8056=0,"",INDEX(Clients!$B$2:$B$501,$K$8056)&amp;"")="M.","Monsieur","Madame, Monsieur"))</f>
        <v>Madame, Monsieur</v>
      </c>
      <c r="L8057" s="25"/>
      <c r="M8057" s="25"/>
      <c r="N8057" s="25"/>
      <c r="O8057" s="25"/>
    </row>
    <row r="8058" customFormat="false" ht="15" hidden="false" customHeight="false" outlineLevel="0" collapsed="false">
      <c r="B8058" s="29" t="str">
        <f aca="false">Cab_Adr1</f>
        <v>141 rue Charles de Gaulle</v>
      </c>
      <c r="C8058" s="29"/>
      <c r="D8058" s="10"/>
      <c r="E8058" s="10"/>
      <c r="F8058" s="10"/>
      <c r="J8058" s="25" t="s">
        <v>145</v>
      </c>
      <c r="K8058" s="25" t="str">
        <f aca="false">DAY(Date_Effet)&amp;IF(DAY(Date_Effet)=1,"er","")&amp;" "&amp;INDEX(Liste_Mois,MONTH(Date_Effet))&amp;" "&amp;YEAR(Date_Effet)</f>
        <v>1er janvier 2027</v>
      </c>
      <c r="L8058" s="25"/>
      <c r="M8058" s="25"/>
      <c r="N8058" s="25"/>
      <c r="O8058" s="25"/>
    </row>
    <row r="8059" customFormat="false" ht="15" hidden="false" customHeight="false" outlineLevel="0" collapsed="false">
      <c r="B8059" s="29" t="str">
        <f aca="false">Cab_CPVille</f>
        <v>95130 LE PLESSIS-BOUCHARD</v>
      </c>
      <c r="C8059" s="29"/>
      <c r="D8059" s="10"/>
      <c r="E8059" s="10"/>
      <c r="F8059" s="10"/>
      <c r="J8059" s="25" t="s">
        <v>146</v>
      </c>
      <c r="K8059" s="25" t="str">
        <f aca="false">IF(SUM($K$8083:$K$8086)=0,"",FIXED((SUM($L$8083:$L$8086)/SUM($K$8083:$K$8086)-1)*100,1)&amp;" %")</f>
        <v/>
      </c>
      <c r="L8059" s="25"/>
      <c r="M8059" s="25"/>
      <c r="N8059" s="25"/>
      <c r="O8059" s="25"/>
    </row>
    <row r="8060" customFormat="false" ht="15" hidden="false" customHeight="false" outlineLevel="0" collapsed="false">
      <c r="B8060" s="29" t="str">
        <f aca="false">Cab_Contact</f>
        <v>Tél. 01 34 14 53 45  ·  altho@altho-experts.com  ·  altho-experts.com</v>
      </c>
      <c r="C8060" s="29"/>
      <c r="D8060" s="10"/>
      <c r="E8060" s="10"/>
      <c r="F8060" s="10"/>
      <c r="J8060" s="25"/>
      <c r="K8060" s="25"/>
      <c r="L8060" s="25"/>
      <c r="M8060" s="25"/>
      <c r="N8060" s="25"/>
      <c r="O8060" s="25"/>
    </row>
    <row r="8061" customFormat="false" ht="6" hidden="false" customHeight="true" outlineLevel="0" collapsed="false">
      <c r="B8061" s="32"/>
      <c r="C8061" s="32"/>
      <c r="D8061" s="32"/>
      <c r="E8061" s="32"/>
      <c r="F8061" s="32"/>
      <c r="J8061" s="25"/>
      <c r="K8061" s="25"/>
      <c r="L8061" s="25"/>
      <c r="M8061" s="25"/>
      <c r="N8061" s="25"/>
      <c r="O8061" s="25"/>
    </row>
    <row r="8062" customFormat="false" ht="13.5" hidden="false" customHeight="true" outlineLevel="0" collapsed="false">
      <c r="B8062" s="10"/>
      <c r="C8062" s="10"/>
      <c r="D8062" s="10"/>
      <c r="E8062" s="10"/>
      <c r="F8062" s="10"/>
      <c r="J8062" s="25"/>
      <c r="K8062" s="25"/>
      <c r="L8062" s="25"/>
      <c r="M8062" s="25"/>
      <c r="N8062" s="25"/>
      <c r="O8062" s="25"/>
    </row>
    <row r="8063" customFormat="false" ht="13.5" hidden="false" customHeight="true" outlineLevel="0" collapsed="false">
      <c r="B8063" s="10"/>
      <c r="C8063" s="10"/>
      <c r="D8063" s="10"/>
      <c r="E8063" s="10"/>
      <c r="F8063" s="10"/>
      <c r="J8063" s="25"/>
      <c r="K8063" s="25"/>
      <c r="L8063" s="25"/>
      <c r="M8063" s="25"/>
      <c r="N8063" s="25"/>
      <c r="O8063" s="25"/>
    </row>
    <row r="8064" customFormat="false" ht="13.5" hidden="false" customHeight="true" outlineLevel="0" collapsed="false">
      <c r="B8064" s="10"/>
      <c r="C8064" s="10"/>
      <c r="D8064" s="10"/>
      <c r="E8064" s="10"/>
      <c r="F8064" s="10"/>
      <c r="J8064" s="25"/>
      <c r="K8064" s="25"/>
      <c r="L8064" s="25"/>
      <c r="M8064" s="25"/>
      <c r="N8064" s="25"/>
      <c r="O8064" s="25"/>
    </row>
    <row r="8065" customFormat="false" ht="15" hidden="false" customHeight="true" outlineLevel="0" collapsed="false">
      <c r="B8065" s="10"/>
      <c r="C8065" s="10"/>
      <c r="D8065" s="34" t="str">
        <f aca="false">IF($K$8056=0,"",INDEX(Clients!$E$2:$E$501,$K$8056)&amp;"")</f>
        <v/>
      </c>
      <c r="E8065" s="34"/>
      <c r="F8065" s="34"/>
      <c r="J8065" s="25"/>
      <c r="K8065" s="25"/>
      <c r="L8065" s="25"/>
      <c r="M8065" s="25"/>
      <c r="N8065" s="25"/>
      <c r="O8065" s="25"/>
    </row>
    <row r="8066" customFormat="false" ht="15" hidden="false" customHeight="true" outlineLevel="0" collapsed="false">
      <c r="B8066" s="10"/>
      <c r="C8066" s="10"/>
      <c r="D8066" s="35" t="str">
        <f aca="false">IF(IF($K$8056=0,"",INDEX(Clients!$D$2:$D$501,$K$8056)&amp;"")="","","À l'attention de "&amp;TRIM(IF($K$8056=0,"",INDEX(Clients!$B$2:$B$501,$K$8056)&amp;"")&amp;" "&amp;IF($K$8056=0,"",INDEX(Clients!$C$2:$C$501,$K$8056)&amp;"")&amp;" "&amp;IF($K$8056=0,"",INDEX(Clients!$D$2:$D$501,$K$8056)&amp;"")))</f>
        <v/>
      </c>
      <c r="E8066" s="35"/>
      <c r="F8066" s="35"/>
      <c r="J8066" s="25"/>
      <c r="K8066" s="25"/>
      <c r="L8066" s="25"/>
      <c r="M8066" s="25"/>
      <c r="N8066" s="25"/>
      <c r="O8066" s="25"/>
    </row>
    <row r="8067" customFormat="false" ht="15" hidden="false" customHeight="true" outlineLevel="0" collapsed="false">
      <c r="B8067" s="10"/>
      <c r="C8067" s="10"/>
      <c r="D8067" s="35" t="str">
        <f aca="false">IF($K$8056=0,"",INDEX(Clients!$F$2:$F$501,$K$8056)&amp;"")</f>
        <v/>
      </c>
      <c r="E8067" s="35"/>
      <c r="F8067" s="35"/>
      <c r="J8067" s="25"/>
      <c r="K8067" s="25"/>
      <c r="L8067" s="25"/>
      <c r="M8067" s="25"/>
      <c r="N8067" s="25"/>
      <c r="O8067" s="25"/>
    </row>
    <row r="8068" customFormat="false" ht="15" hidden="false" customHeight="true" outlineLevel="0" collapsed="false">
      <c r="B8068" s="10"/>
      <c r="C8068" s="10"/>
      <c r="D8068" s="35" t="str">
        <f aca="false">IF(IF($K$8056=0,"",INDEX(Clients!$G$2:$G$501,$K$8056)&amp;"")="",TRIM(IF($K$8056=0,"",INDEX(Clients!$H$2:$H$501,$K$8056)&amp;"")&amp;" "&amp;UPPER(IF($K$8056=0,"",INDEX(Clients!$I$2:$I$501,$K$8056)&amp;""))),IF($K$8056=0,"",INDEX(Clients!$G$2:$G$501,$K$8056)&amp;""))</f>
        <v/>
      </c>
      <c r="E8068" s="35"/>
      <c r="F8068" s="35"/>
      <c r="J8068" s="25"/>
      <c r="K8068" s="25"/>
      <c r="L8068" s="25"/>
      <c r="M8068" s="25"/>
      <c r="N8068" s="25"/>
      <c r="O8068" s="25"/>
    </row>
    <row r="8069" customFormat="false" ht="15" hidden="false" customHeight="true" outlineLevel="0" collapsed="false">
      <c r="B8069" s="10"/>
      <c r="C8069" s="10"/>
      <c r="D8069" s="35" t="str">
        <f aca="false">IF(IF($K$8056=0,"",INDEX(Clients!$G$2:$G$501,$K$8056)&amp;"")="","",TRIM(IF($K$8056=0,"",INDEX(Clients!$H$2:$H$501,$K$8056)&amp;"")&amp;" "&amp;UPPER(IF($K$8056=0,"",INDEX(Clients!$I$2:$I$501,$K$8056)&amp;""))))</f>
        <v/>
      </c>
      <c r="E8069" s="35"/>
      <c r="F8069" s="35"/>
      <c r="J8069" s="25"/>
      <c r="K8069" s="25"/>
      <c r="L8069" s="25"/>
      <c r="M8069" s="25"/>
      <c r="N8069" s="25"/>
      <c r="O8069" s="25"/>
    </row>
    <row r="8070" customFormat="false" ht="25.5" hidden="false" customHeight="true" outlineLevel="0" collapsed="false">
      <c r="B8070" s="10"/>
      <c r="C8070" s="10"/>
      <c r="D8070" s="10"/>
      <c r="E8070" s="10"/>
      <c r="F8070" s="10"/>
      <c r="J8070" s="25"/>
      <c r="K8070" s="25"/>
      <c r="L8070" s="25"/>
      <c r="M8070" s="25"/>
      <c r="N8070" s="25"/>
      <c r="O8070" s="25"/>
    </row>
    <row r="8071" customFormat="false" ht="15" hidden="false" customHeight="false" outlineLevel="0" collapsed="false">
      <c r="B8071" s="10"/>
      <c r="C8071" s="10"/>
      <c r="D8071" s="36" t="str">
        <f aca="false">Cab_Ville&amp;", le "&amp;DAY(Date_Courrier)&amp;IF(DAY(Date_Courrier)=1,"er","")&amp;" "&amp;INDEX(Liste_Mois,MONTH(Date_Courrier))&amp;" "&amp;YEAR(Date_Courrier)</f>
        <v>Le Plessis-Bouchard, le 22 septembre 2026</v>
      </c>
      <c r="E8071" s="36"/>
      <c r="F8071" s="36"/>
      <c r="J8071" s="25"/>
      <c r="K8071" s="25"/>
      <c r="L8071" s="25"/>
      <c r="M8071" s="25"/>
      <c r="N8071" s="25"/>
      <c r="O8071" s="25"/>
    </row>
    <row r="8072" customFormat="false" ht="19.5" hidden="false" customHeight="true" outlineLevel="0" collapsed="false">
      <c r="B8072" s="10"/>
      <c r="C8072" s="10"/>
      <c r="D8072" s="10"/>
      <c r="E8072" s="10"/>
      <c r="F8072" s="10"/>
      <c r="J8072" s="25"/>
      <c r="K8072" s="25"/>
      <c r="L8072" s="25"/>
      <c r="M8072" s="25"/>
      <c r="N8072" s="25"/>
      <c r="O8072" s="25"/>
    </row>
    <row r="8073" customFormat="false" ht="15" hidden="false" customHeight="false" outlineLevel="0" collapsed="false">
      <c r="B8073" s="34" t="str">
        <f aca="false">SUBSTITUTE(SUBSTITUTE(SUBSTITUTE(SUBSTITUTE(SUBSTITUTE(Txt_Objet,"{cabinet}",Cab_Nom),"{societe}",IF($K$8056=0,"",INDEX(Clients!$E$2:$E$501,$K$8056)&amp;"")),"{date_effet}",$K$8058),"{hausse}",$K$8059),"{civilite}",$K$8057)</f>
        <v>Objet : révision de nos honoraires au 1er janvier 2027</v>
      </c>
      <c r="C8073" s="34"/>
      <c r="D8073" s="34"/>
      <c r="E8073" s="34"/>
      <c r="F8073" s="34"/>
      <c r="J8073" s="25"/>
      <c r="K8073" s="25"/>
      <c r="L8073" s="25"/>
      <c r="M8073" s="25"/>
      <c r="N8073" s="25"/>
      <c r="O8073" s="25"/>
    </row>
    <row r="8074" customFormat="false" ht="13.5" hidden="false" customHeight="true" outlineLevel="0" collapsed="false">
      <c r="B8074" s="10"/>
      <c r="C8074" s="10"/>
      <c r="D8074" s="10"/>
      <c r="E8074" s="10"/>
      <c r="F8074" s="10"/>
      <c r="J8074" s="25"/>
      <c r="K8074" s="25"/>
      <c r="L8074" s="25"/>
      <c r="M8074" s="25"/>
      <c r="N8074" s="25"/>
      <c r="O8074" s="25"/>
    </row>
    <row r="8075" customFormat="false" ht="15" hidden="false" customHeight="false" outlineLevel="0" collapsed="false">
      <c r="B8075" s="10" t="str">
        <f aca="false">$K$8057&amp;","</f>
        <v>Madame, Monsieur,</v>
      </c>
      <c r="C8075" s="10"/>
      <c r="D8075" s="10"/>
      <c r="E8075" s="10"/>
      <c r="F8075" s="10"/>
      <c r="J8075" s="25"/>
      <c r="K8075" s="25"/>
      <c r="L8075" s="25"/>
      <c r="M8075" s="25"/>
      <c r="N8075" s="25"/>
      <c r="O8075" s="25"/>
    </row>
    <row r="8076" customFormat="false" ht="6" hidden="false" customHeight="true" outlineLevel="0" collapsed="false">
      <c r="B8076" s="10"/>
      <c r="C8076" s="10"/>
      <c r="D8076" s="10"/>
      <c r="E8076" s="10"/>
      <c r="F8076" s="10"/>
      <c r="J8076" s="25"/>
      <c r="K8076" s="25"/>
      <c r="L8076" s="25"/>
      <c r="M8076" s="25"/>
      <c r="N8076" s="25"/>
      <c r="O8076" s="25"/>
    </row>
    <row r="8077" customFormat="false" ht="36.75" hidden="false" customHeight="true" outlineLevel="0" collapsed="false">
      <c r="B8077" s="37" t="str">
        <f aca="false">SUBSTITUTE(SUBSTITUTE(SUBSTITUTE(SUBSTITUTE(SUBSTITUTE(Txt_P1,"{cabinet}",Cab_Nom),"{societe}",IF($K$8056=0,"",INDEX(Clients!$E$2:$E$501,$K$8056)&amp;"")),"{date_effet}",$K$8058),"{hausse}",$K$8059),"{civilite}",$K$8057)</f>
        <v>Nous tenons tout d'abord à vous remercier pour la confiance que vous accordez à ALTHO EXPERTISE. Comme chaque année, et conformément aux dispositions de votre lettre de mission, nous procédons à la révision de nos honoraires.</v>
      </c>
      <c r="C8077" s="37"/>
      <c r="D8077" s="37"/>
      <c r="E8077" s="37"/>
      <c r="F8077" s="37"/>
      <c r="J8077" s="25"/>
      <c r="K8077" s="25"/>
      <c r="L8077" s="25"/>
      <c r="M8077" s="25"/>
      <c r="N8077" s="25"/>
      <c r="O8077" s="25"/>
    </row>
    <row r="8078" customFormat="false" ht="49.5" hidden="false" customHeight="true" outlineLevel="0" collapsed="false">
      <c r="B8078" s="37" t="str">
        <f aca="false">SUBSTITUTE(SUBSTITUTE(SUBSTITUTE(SUBSTITUTE(SUBSTITUTE(Txt_P2,"{cabinet}",Cab_Nom),"{societe}",IF($K$8056=0,"",INDEX(Clients!$E$2:$E$501,$K$8056)&amp;"")),"{date_effet}",$K$8058),"{hausse}",$K$8059),"{civilite}",$K$8057)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078" s="37"/>
      <c r="D8078" s="37"/>
      <c r="E8078" s="37"/>
      <c r="F8078" s="37"/>
      <c r="J8078" s="25"/>
      <c r="K8078" s="25"/>
      <c r="L8078" s="25"/>
      <c r="M8078" s="25"/>
      <c r="N8078" s="25"/>
      <c r="O8078" s="25"/>
    </row>
    <row r="8079" customFormat="false" ht="63" hidden="false" customHeight="true" outlineLevel="0" collapsed="false">
      <c r="B8079" s="37" t="str">
        <f aca="false">SUBSTITUTE(SUBSTITUTE(SUBSTITUTE(SUBSTITUTE(SUBSTITUTE(Txt_P3,"{cabinet}",Cab_Nom),"{societe}",IF($K$8056=0,"",INDEX(Clients!$E$2:$E$501,$K$8056)&amp;"")),"{date_effet}",$K$8058),"{hausse}",$K$8059),"{civilite}",$K$8057)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079" s="37"/>
      <c r="D8079" s="37"/>
      <c r="E8079" s="37"/>
      <c r="F8079" s="37"/>
      <c r="J8079" s="25"/>
      <c r="K8079" s="25"/>
      <c r="L8079" s="25"/>
      <c r="M8079" s="25"/>
      <c r="N8079" s="25"/>
      <c r="O8079" s="25"/>
    </row>
    <row r="8080" customFormat="false" ht="24" hidden="false" customHeight="true" outlineLevel="0" collapsed="false">
      <c r="B8080" s="37" t="str">
        <f aca="false">SUBSTITUTE(SUBSTITUTE(SUBSTITUTE(SUBSTITUTE(SUBSTITUTE(Txt_P4,"{cabinet}",Cab_Nom),"{societe}",IF($K$8056=0,"",INDEX(Clients!$E$2:$E$501,$K$8056)&amp;"")),"{date_effet}",$K$8058),"{hausse}",$K$8059),"{civilite}",$K$8057)</f>
        <v>À compter du 1er janvier 2027, vos honoraires annuels hors taxes évolueront ainsi (évolution globale : ) :</v>
      </c>
      <c r="C8080" s="37"/>
      <c r="D8080" s="37"/>
      <c r="E8080" s="37"/>
      <c r="F8080" s="37"/>
      <c r="J8080" s="25"/>
      <c r="K8080" s="25"/>
      <c r="L8080" s="25"/>
      <c r="M8080" s="25"/>
      <c r="N8080" s="25"/>
      <c r="O8080" s="25"/>
    </row>
    <row r="8081" customFormat="false" ht="3.75" hidden="false" customHeight="true" outlineLevel="0" collapsed="false">
      <c r="B8081" s="10"/>
      <c r="C8081" s="10"/>
      <c r="D8081" s="10"/>
      <c r="E8081" s="10"/>
      <c r="F8081" s="10"/>
      <c r="J8081" s="25"/>
      <c r="K8081" s="25"/>
      <c r="L8081" s="25"/>
      <c r="M8081" s="25"/>
      <c r="N8081" s="25"/>
      <c r="O8081" s="25"/>
    </row>
    <row r="8082" customFormat="false" ht="18" hidden="false" customHeight="true" outlineLevel="0" collapsed="false">
      <c r="B8082" s="38" t="s">
        <v>148</v>
      </c>
      <c r="C8082" s="39" t="s">
        <v>149</v>
      </c>
      <c r="D8082" s="39" t="s">
        <v>150</v>
      </c>
      <c r="E8082" s="39" t="s">
        <v>151</v>
      </c>
      <c r="F8082" s="39" t="s">
        <v>109</v>
      </c>
      <c r="J8082" s="25" t="s">
        <v>152</v>
      </c>
      <c r="K8082" s="25" t="s">
        <v>153</v>
      </c>
      <c r="L8082" s="25" t="s">
        <v>154</v>
      </c>
      <c r="M8082" s="25" t="s">
        <v>155</v>
      </c>
      <c r="N8082" s="25" t="s">
        <v>156</v>
      </c>
      <c r="O8082" s="25" t="s">
        <v>157</v>
      </c>
    </row>
    <row r="8083" customFormat="false" ht="16.5" hidden="false" customHeight="true" outlineLevel="0" collapsed="false">
      <c r="B8083" s="40" t="str">
        <f aca="false">IFERROR(INDEX($J$8083:$J$8086,MATCH($O8083,$N$8083:$N$8086,0)),"")</f>
        <v/>
      </c>
      <c r="C8083" s="41" t="str">
        <f aca="false">IFERROR(INDEX($K$8083:$K$8086,MATCH($O8083,$N$8083:$N$8086,0)),"")</f>
        <v/>
      </c>
      <c r="D8083" s="42" t="str">
        <f aca="false">IF(OR(E8083="",N(C8083)=0),"",E8083/C8083-1)</f>
        <v/>
      </c>
      <c r="E8083" s="41" t="str">
        <f aca="false">IFERROR(INDEX($L$8083:$L$8086,MATCH($O8083,$N$8083:$N$8086,0)),"")</f>
        <v/>
      </c>
      <c r="F8083" s="41" t="str">
        <f aca="false">IF(E8083="","",E8083-C8083)</f>
        <v/>
      </c>
      <c r="J8083" s="25" t="str">
        <f aca="false">Lib_Compta</f>
        <v>Mission comptable (tenue, révision, bilan, liasse fiscale)</v>
      </c>
      <c r="K8083" s="25" t="n">
        <f aca="false">IF($K$8056=0,0,N(INDEX(Clients!$K$2:$K$501,$K$8056)))</f>
        <v>0</v>
      </c>
      <c r="L8083" s="25" t="n">
        <f aca="false">IF($K$8056=0,0,N(INDEX(Clients!$P$2:$P$501,$K$8056)))</f>
        <v>0</v>
      </c>
      <c r="M8083" s="25" t="n">
        <f aca="false">IF(OR(K8083&lt;&gt;0,L8083&lt;&gt;0),1,0)</f>
        <v>0</v>
      </c>
      <c r="N8083" s="25" t="str">
        <f aca="false">IF(M8083=1,SUM($M$8083:M8083),"")</f>
        <v/>
      </c>
      <c r="O8083" s="25" t="n">
        <v>1</v>
      </c>
    </row>
    <row r="8084" customFormat="false" ht="16.5" hidden="false" customHeight="true" outlineLevel="0" collapsed="false">
      <c r="B8084" s="40" t="str">
        <f aca="false">IFERROR(INDEX($J$8083:$J$8086,MATCH($O8084,$N$8083:$N$8086,0)),"")</f>
        <v/>
      </c>
      <c r="C8084" s="41" t="str">
        <f aca="false">IFERROR(INDEX($K$8083:$K$8086,MATCH($O8084,$N$8083:$N$8086,0)),"")</f>
        <v/>
      </c>
      <c r="D8084" s="42" t="str">
        <f aca="false">IF(OR(E8084="",N(C8084)=0),"",E8084/C8084-1)</f>
        <v/>
      </c>
      <c r="E8084" s="41" t="str">
        <f aca="false">IFERROR(INDEX($L$8083:$L$8086,MATCH($O8084,$N$8083:$N$8086,0)),"")</f>
        <v/>
      </c>
      <c r="F8084" s="41" t="str">
        <f aca="false">IF(E8084="","",E8084-C8084)</f>
        <v/>
      </c>
      <c r="J8084" s="25" t="str">
        <f aca="false">Lib_Paye</f>
        <v>Mission sociale (bulletins de paie, DSN, déclarations sociales)</v>
      </c>
      <c r="K8084" s="25" t="n">
        <f aca="false">IF($K$8056=0,0,N(INDEX(Clients!$L$2:$L$501,$K$8056)))</f>
        <v>0</v>
      </c>
      <c r="L8084" s="25" t="n">
        <f aca="false">IF($K$8056=0,0,N(INDEX(Clients!$Q$2:$Q$501,$K$8056)))</f>
        <v>0</v>
      </c>
      <c r="M8084" s="25" t="n">
        <f aca="false">IF(OR(K8084&lt;&gt;0,L8084&lt;&gt;0),1,0)</f>
        <v>0</v>
      </c>
      <c r="N8084" s="25" t="str">
        <f aca="false">IF(M8084=1,SUM($M$8083:M8084),"")</f>
        <v/>
      </c>
      <c r="O8084" s="25" t="n">
        <v>2</v>
      </c>
    </row>
    <row r="8085" customFormat="false" ht="16.5" hidden="false" customHeight="true" outlineLevel="0" collapsed="false">
      <c r="B8085" s="40" t="str">
        <f aca="false">IFERROR(INDEX($J$8083:$J$8086,MATCH($O8085,$N$8083:$N$8086,0)),"")</f>
        <v/>
      </c>
      <c r="C8085" s="41" t="str">
        <f aca="false">IFERROR(INDEX($K$8083:$K$8086,MATCH($O8085,$N$8083:$N$8086,0)),"")</f>
        <v/>
      </c>
      <c r="D8085" s="42" t="str">
        <f aca="false">IF(OR(E8085="",N(C8085)=0),"",E8085/C8085-1)</f>
        <v/>
      </c>
      <c r="E8085" s="41" t="str">
        <f aca="false">IFERROR(INDEX($L$8083:$L$8086,MATCH($O8085,$N$8083:$N$8086,0)),"")</f>
        <v/>
      </c>
      <c r="F8085" s="41" t="str">
        <f aca="false">IF(E8085="","",E8085-C8085)</f>
        <v/>
      </c>
      <c r="J8085" s="25" t="str">
        <f aca="false">Lib_Jur</f>
        <v>Mission juridique (approbation des comptes, secrétariat juridique)</v>
      </c>
      <c r="K8085" s="25" t="n">
        <f aca="false">IF($K$8056=0,0,N(INDEX(Clients!$M$2:$M$501,$K$8056)))</f>
        <v>0</v>
      </c>
      <c r="L8085" s="25" t="n">
        <f aca="false">IF($K$8056=0,0,N(INDEX(Clients!$R$2:$R$501,$K$8056)))</f>
        <v>0</v>
      </c>
      <c r="M8085" s="25" t="n">
        <f aca="false">IF(OR(K8085&lt;&gt;0,L8085&lt;&gt;0),1,0)</f>
        <v>0</v>
      </c>
      <c r="N8085" s="25" t="str">
        <f aca="false">IF(M8085=1,SUM($M$8083:M8085),"")</f>
        <v/>
      </c>
      <c r="O8085" s="25" t="n">
        <v>3</v>
      </c>
    </row>
    <row r="8086" customFormat="false" ht="16.5" hidden="false" customHeight="true" outlineLevel="0" collapsed="false">
      <c r="B8086" s="40" t="str">
        <f aca="false">IFERROR(INDEX($J$8083:$J$8086,MATCH($O8086,$N$8083:$N$8086,0)),"")</f>
        <v/>
      </c>
      <c r="C8086" s="41" t="str">
        <f aca="false">IFERROR(INDEX($K$8083:$K$8086,MATCH($O8086,$N$8083:$N$8086,0)),"")</f>
        <v/>
      </c>
      <c r="D8086" s="42" t="str">
        <f aca="false">IF(OR(E8086="",N(C8086)=0),"",E8086/C8086-1)</f>
        <v/>
      </c>
      <c r="E8086" s="41" t="str">
        <f aca="false">IFERROR(INDEX($L$8083:$L$8086,MATCH($O8086,$N$8083:$N$8086,0)),"")</f>
        <v/>
      </c>
      <c r="F8086" s="41" t="str">
        <f aca="false">IF(E8086="","",E8086-C8086)</f>
        <v/>
      </c>
      <c r="J8086" s="25" t="str">
        <f aca="false">Lib_PA</f>
        <v>Plateforme agréée – facturation électronique</v>
      </c>
      <c r="K8086" s="25" t="n">
        <f aca="false">IF($K$8056=0,0,N(INDEX(Clients!$N$2:$N$501,$K$8056)))</f>
        <v>0</v>
      </c>
      <c r="L8086" s="25" t="n">
        <f aca="false">IF($K$8056=0,0,N(INDEX(Clients!$S$2:$S$501,$K$8056)))</f>
        <v>0</v>
      </c>
      <c r="M8086" s="25" t="n">
        <f aca="false">IF(OR(K8086&lt;&gt;0,L8086&lt;&gt;0),1,0)</f>
        <v>0</v>
      </c>
      <c r="N8086" s="25" t="str">
        <f aca="false">IF(M8086=1,SUM($M$8083:M8086),"")</f>
        <v/>
      </c>
      <c r="O8086" s="25" t="n">
        <v>4</v>
      </c>
    </row>
    <row r="8087" customFormat="false" ht="18" hidden="false" customHeight="true" outlineLevel="0" collapsed="false">
      <c r="B8087" s="43" t="s">
        <v>158</v>
      </c>
      <c r="C8087" s="44" t="n">
        <f aca="false">SUM(K8083:K8086)</f>
        <v>0</v>
      </c>
      <c r="D8087" s="45" t="str">
        <f aca="false">IF(N(C8087)=0,"",E8087/C8087-1)</f>
        <v/>
      </c>
      <c r="E8087" s="44" t="n">
        <f aca="false">SUM(L8083:L8086)</f>
        <v>0</v>
      </c>
      <c r="F8087" s="44" t="n">
        <f aca="false">E8087-C8087</f>
        <v>0</v>
      </c>
    </row>
    <row r="8088" customFormat="false" ht="15" hidden="false" customHeight="false" outlineLevel="0" collapsed="false">
      <c r="B8088" s="46" t="str">
        <f aca="false">IF(N(Nb_Mensualites)=0,"","Soit "&amp;FIXED(E8087/Nb_Mensualites,2)&amp;" € HT par échéance ("&amp;Nb_Mensualites&amp;" échéances), "&amp;FIXED(E8087/Nb_Mensualites*(1+Taux_TVA),2)&amp;" € TTC.")</f>
        <v>Soit 0.00 € HT par échéance (12 échéances), 0.00 € TTC.</v>
      </c>
      <c r="C8088" s="46"/>
      <c r="D8088" s="46"/>
      <c r="E8088" s="46"/>
      <c r="F8088" s="46"/>
    </row>
    <row r="8089" customFormat="false" ht="7.5" hidden="false" customHeight="true" outlineLevel="0" collapsed="false">
      <c r="B8089" s="10"/>
      <c r="C8089" s="10"/>
      <c r="D8089" s="10"/>
      <c r="E8089" s="10"/>
      <c r="F8089" s="10"/>
    </row>
    <row r="8090" customFormat="false" ht="36.75" hidden="false" customHeight="true" outlineLevel="0" collapsed="false">
      <c r="B8090" s="37" t="str">
        <f aca="false">SUBSTITUTE(SUBSTITUTE(SUBSTITUTE(SUBSTITUTE(SUBSTITUTE(Txt_P5,"{cabinet}",Cab_Nom),"{societe}",IF($K$8056=0,"",INDEX(Clients!$E$2:$E$501,$K$8056)&amp;"")),"{date_effet}",$K$8058),"{hausse}",$K$8059),"{civilite}",$K$8057)</f>
        <v>Les autres conditions de votre lettre de mission demeurent inchangées. Les nouveaux montants seront appliqués automatiquement sur vos prochaines factures et échéances de prélèvement.</v>
      </c>
      <c r="C8090" s="37"/>
      <c r="D8090" s="37"/>
      <c r="E8090" s="37"/>
      <c r="F8090" s="37"/>
    </row>
    <row r="8091" customFormat="false" ht="36.75" hidden="false" customHeight="true" outlineLevel="0" collapsed="false">
      <c r="B8091" s="37" t="str">
        <f aca="false">SUBSTITUTE(SUBSTITUTE(SUBSTITUTE(SUBSTITUTE(SUBSTITUTE(Txt_P6,"{cabinet}",Cab_Nom),"{societe}",IF($K$8056=0,"",INDEX(Clients!$E$2:$E$501,$K$8056)&amp;"")),"{date_effet}",$K$8058),"{hausse}",$K$8059),"{civilite}",$K$8057)</f>
        <v>Votre interlocuteur habituel reste à votre entière disposition pour répondre à vos questions et faire le point sur l'évolution de vos besoins.</v>
      </c>
      <c r="C8091" s="37"/>
      <c r="D8091" s="37"/>
      <c r="E8091" s="37"/>
      <c r="F8091" s="37"/>
    </row>
    <row r="8092" customFormat="false" ht="24" hidden="false" customHeight="true" outlineLevel="0" collapsed="false">
      <c r="B8092" s="37" t="str">
        <f aca="false">SUBSTITUTE(SUBSTITUTE(SUBSTITUTE(SUBSTITUTE(SUBSTITUTE(Txt_Politesse,"{cabinet}",Cab_Nom),"{societe}",IF($K$8056=0,"",INDEX(Clients!$E$2:$E$501,$K$8056)&amp;"")),"{date_effet}",$K$8058),"{hausse}",$K$8059),"{civilite}",$K$8057)</f>
        <v>Nous vous prions d'agréer, Madame, Monsieur, l'expression de nos salutations distinguées.</v>
      </c>
      <c r="C8092" s="37"/>
      <c r="D8092" s="37"/>
      <c r="E8092" s="37"/>
      <c r="F8092" s="37"/>
    </row>
    <row r="8093" customFormat="false" ht="15" hidden="false" customHeight="false" outlineLevel="0" collapsed="false">
      <c r="B8093" s="10"/>
      <c r="C8093" s="10"/>
      <c r="D8093" s="10"/>
      <c r="E8093" s="10"/>
      <c r="F8093" s="10"/>
    </row>
    <row r="8094" customFormat="false" ht="15" hidden="false" customHeight="false" outlineLevel="0" collapsed="false">
      <c r="B8094" s="10"/>
      <c r="C8094" s="10"/>
      <c r="D8094" s="34" t="str">
        <f aca="false">Signataire</f>
        <v>Prénom NOM</v>
      </c>
      <c r="E8094" s="34"/>
      <c r="F8094" s="34"/>
    </row>
    <row r="8095" customFormat="false" ht="15" hidden="false" customHeight="false" outlineLevel="0" collapsed="false">
      <c r="B8095" s="10"/>
      <c r="C8095" s="10"/>
      <c r="D8095" s="47" t="str">
        <f aca="false">Signataire_Titre</f>
        <v>Expert-comptable associé</v>
      </c>
      <c r="E8095" s="47"/>
      <c r="F8095" s="47"/>
    </row>
    <row r="8096" customFormat="false" ht="15.75" hidden="false" customHeight="true" outlineLevel="0" collapsed="false">
      <c r="B8096" s="10"/>
      <c r="C8096" s="10"/>
      <c r="D8096" s="10"/>
      <c r="E8096" s="10"/>
      <c r="F8096" s="10"/>
    </row>
    <row r="8097" customFormat="false" ht="15.75" hidden="false" customHeight="true" outlineLevel="0" collapsed="false">
      <c r="B8097" s="10"/>
      <c r="C8097" s="10"/>
      <c r="D8097" s="10"/>
      <c r="E8097" s="10"/>
      <c r="F8097" s="10"/>
    </row>
    <row r="8098" customFormat="false" ht="15.75" hidden="false" customHeight="true" outlineLevel="0" collapsed="false">
      <c r="B8098" s="10"/>
      <c r="C8098" s="10"/>
      <c r="D8098" s="10"/>
      <c r="E8098" s="10"/>
      <c r="F8098" s="10"/>
    </row>
    <row r="8099" customFormat="false" ht="15.75" hidden="false" customHeight="true" outlineLevel="0" collapsed="false">
      <c r="B8099" s="10"/>
      <c r="C8099" s="10"/>
      <c r="D8099" s="10"/>
      <c r="E8099" s="10"/>
      <c r="F8099" s="10"/>
    </row>
    <row r="8100" customFormat="false" ht="24" hidden="false" customHeight="true" outlineLevel="0" collapsed="false">
      <c r="B8100" s="48" t="str">
        <f aca="false">Cab_Mentions</f>
        <v>ALTHO EXPERTISE · SAS au capital de 10 000 € · RCS Pontoise 919 706 325 · TVA FR62919706325 · Société d'expertise comptable inscrite au Tableau de l'Ordre des experts-comptables de Paris Île-de-France</v>
      </c>
      <c r="C8100" s="48"/>
      <c r="D8100" s="48"/>
      <c r="E8100" s="48"/>
      <c r="F8100" s="48"/>
    </row>
    <row r="8101" customFormat="false" ht="15" hidden="false" customHeight="false" outlineLevel="0" collapsed="false">
      <c r="B8101" s="10"/>
      <c r="C8101" s="10"/>
      <c r="D8101" s="10"/>
      <c r="E8101" s="10"/>
      <c r="F8101" s="10"/>
      <c r="J8101" s="25" t="s">
        <v>142</v>
      </c>
      <c r="K8101" s="25" t="n">
        <f aca="false">IFERROR(MATCH(181,Clients!$Z$2:$Z$501,0),0)</f>
        <v>0</v>
      </c>
      <c r="L8101" s="25"/>
      <c r="M8101" s="25"/>
      <c r="N8101" s="25"/>
      <c r="O8101" s="25"/>
    </row>
    <row r="8102" customFormat="false" ht="21.75" hidden="false" customHeight="true" outlineLevel="0" collapsed="false">
      <c r="B8102" s="26" t="str">
        <f aca="false">Cab_Nom</f>
        <v>ALTHO EXPERTISE</v>
      </c>
      <c r="C8102" s="26"/>
      <c r="D8102" s="10"/>
      <c r="E8102" s="27" t="str">
        <f aca="false">IF($K$8101=0,"","Réf. client : "&amp;INDEX(Clients!$A$2:$A$501,$K$8101))</f>
        <v/>
      </c>
      <c r="F8102" s="27"/>
      <c r="J8102" s="25" t="s">
        <v>144</v>
      </c>
      <c r="K8102" s="25" t="str">
        <f aca="false">IF(IF($K$8101=0,"",INDEX(Clients!$B$2:$B$501,$K$8101)&amp;"")="Mme","Madame",IF(IF($K$8101=0,"",INDEX(Clients!$B$2:$B$501,$K$8101)&amp;"")="M.","Monsieur","Madame, Monsieur"))</f>
        <v>Madame, Monsieur</v>
      </c>
      <c r="L8102" s="25"/>
      <c r="M8102" s="25"/>
      <c r="N8102" s="25"/>
      <c r="O8102" s="25"/>
    </row>
    <row r="8103" customFormat="false" ht="15" hidden="false" customHeight="false" outlineLevel="0" collapsed="false">
      <c r="B8103" s="29" t="str">
        <f aca="false">Cab_Adr1</f>
        <v>141 rue Charles de Gaulle</v>
      </c>
      <c r="C8103" s="29"/>
      <c r="D8103" s="10"/>
      <c r="E8103" s="10"/>
      <c r="F8103" s="10"/>
      <c r="J8103" s="25" t="s">
        <v>145</v>
      </c>
      <c r="K8103" s="25" t="str">
        <f aca="false">DAY(Date_Effet)&amp;IF(DAY(Date_Effet)=1,"er","")&amp;" "&amp;INDEX(Liste_Mois,MONTH(Date_Effet))&amp;" "&amp;YEAR(Date_Effet)</f>
        <v>1er janvier 2027</v>
      </c>
      <c r="L8103" s="25"/>
      <c r="M8103" s="25"/>
      <c r="N8103" s="25"/>
      <c r="O8103" s="25"/>
    </row>
    <row r="8104" customFormat="false" ht="15" hidden="false" customHeight="false" outlineLevel="0" collapsed="false">
      <c r="B8104" s="29" t="str">
        <f aca="false">Cab_CPVille</f>
        <v>95130 LE PLESSIS-BOUCHARD</v>
      </c>
      <c r="C8104" s="29"/>
      <c r="D8104" s="10"/>
      <c r="E8104" s="10"/>
      <c r="F8104" s="10"/>
      <c r="J8104" s="25" t="s">
        <v>146</v>
      </c>
      <c r="K8104" s="25" t="str">
        <f aca="false">IF(SUM($K$8128:$K$8131)=0,"",FIXED((SUM($L$8128:$L$8131)/SUM($K$8128:$K$8131)-1)*100,1)&amp;" %")</f>
        <v/>
      </c>
      <c r="L8104" s="25"/>
      <c r="M8104" s="25"/>
      <c r="N8104" s="25"/>
      <c r="O8104" s="25"/>
    </row>
    <row r="8105" customFormat="false" ht="15" hidden="false" customHeight="false" outlineLevel="0" collapsed="false">
      <c r="B8105" s="29" t="str">
        <f aca="false">Cab_Contact</f>
        <v>Tél. 01 34 14 53 45  ·  altho@altho-experts.com  ·  altho-experts.com</v>
      </c>
      <c r="C8105" s="29"/>
      <c r="D8105" s="10"/>
      <c r="E8105" s="10"/>
      <c r="F8105" s="10"/>
      <c r="J8105" s="25"/>
      <c r="K8105" s="25"/>
      <c r="L8105" s="25"/>
      <c r="M8105" s="25"/>
      <c r="N8105" s="25"/>
      <c r="O8105" s="25"/>
    </row>
    <row r="8106" customFormat="false" ht="6" hidden="false" customHeight="true" outlineLevel="0" collapsed="false">
      <c r="B8106" s="32"/>
      <c r="C8106" s="32"/>
      <c r="D8106" s="32"/>
      <c r="E8106" s="32"/>
      <c r="F8106" s="32"/>
      <c r="J8106" s="25"/>
      <c r="K8106" s="25"/>
      <c r="L8106" s="25"/>
      <c r="M8106" s="25"/>
      <c r="N8106" s="25"/>
      <c r="O8106" s="25"/>
    </row>
    <row r="8107" customFormat="false" ht="13.5" hidden="false" customHeight="true" outlineLevel="0" collapsed="false">
      <c r="B8107" s="10"/>
      <c r="C8107" s="10"/>
      <c r="D8107" s="10"/>
      <c r="E8107" s="10"/>
      <c r="F8107" s="10"/>
      <c r="J8107" s="25"/>
      <c r="K8107" s="25"/>
      <c r="L8107" s="25"/>
      <c r="M8107" s="25"/>
      <c r="N8107" s="25"/>
      <c r="O8107" s="25"/>
    </row>
    <row r="8108" customFormat="false" ht="13.5" hidden="false" customHeight="true" outlineLevel="0" collapsed="false">
      <c r="B8108" s="10"/>
      <c r="C8108" s="10"/>
      <c r="D8108" s="10"/>
      <c r="E8108" s="10"/>
      <c r="F8108" s="10"/>
      <c r="J8108" s="25"/>
      <c r="K8108" s="25"/>
      <c r="L8108" s="25"/>
      <c r="M8108" s="25"/>
      <c r="N8108" s="25"/>
      <c r="O8108" s="25"/>
    </row>
    <row r="8109" customFormat="false" ht="13.5" hidden="false" customHeight="true" outlineLevel="0" collapsed="false">
      <c r="B8109" s="10"/>
      <c r="C8109" s="10"/>
      <c r="D8109" s="10"/>
      <c r="E8109" s="10"/>
      <c r="F8109" s="10"/>
      <c r="J8109" s="25"/>
      <c r="K8109" s="25"/>
      <c r="L8109" s="25"/>
      <c r="M8109" s="25"/>
      <c r="N8109" s="25"/>
      <c r="O8109" s="25"/>
    </row>
    <row r="8110" customFormat="false" ht="15" hidden="false" customHeight="true" outlineLevel="0" collapsed="false">
      <c r="B8110" s="10"/>
      <c r="C8110" s="10"/>
      <c r="D8110" s="34" t="str">
        <f aca="false">IF($K$8101=0,"",INDEX(Clients!$E$2:$E$501,$K$8101)&amp;"")</f>
        <v/>
      </c>
      <c r="E8110" s="34"/>
      <c r="F8110" s="34"/>
      <c r="J8110" s="25"/>
      <c r="K8110" s="25"/>
      <c r="L8110" s="25"/>
      <c r="M8110" s="25"/>
      <c r="N8110" s="25"/>
      <c r="O8110" s="25"/>
    </row>
    <row r="8111" customFormat="false" ht="15" hidden="false" customHeight="true" outlineLevel="0" collapsed="false">
      <c r="B8111" s="10"/>
      <c r="C8111" s="10"/>
      <c r="D8111" s="35" t="str">
        <f aca="false">IF(IF($K$8101=0,"",INDEX(Clients!$D$2:$D$501,$K$8101)&amp;"")="","","À l'attention de "&amp;TRIM(IF($K$8101=0,"",INDEX(Clients!$B$2:$B$501,$K$8101)&amp;"")&amp;" "&amp;IF($K$8101=0,"",INDEX(Clients!$C$2:$C$501,$K$8101)&amp;"")&amp;" "&amp;IF($K$8101=0,"",INDEX(Clients!$D$2:$D$501,$K$8101)&amp;"")))</f>
        <v/>
      </c>
      <c r="E8111" s="35"/>
      <c r="F8111" s="35"/>
      <c r="J8111" s="25"/>
      <c r="K8111" s="25"/>
      <c r="L8111" s="25"/>
      <c r="M8111" s="25"/>
      <c r="N8111" s="25"/>
      <c r="O8111" s="25"/>
    </row>
    <row r="8112" customFormat="false" ht="15" hidden="false" customHeight="true" outlineLevel="0" collapsed="false">
      <c r="B8112" s="10"/>
      <c r="C8112" s="10"/>
      <c r="D8112" s="35" t="str">
        <f aca="false">IF($K$8101=0,"",INDEX(Clients!$F$2:$F$501,$K$8101)&amp;"")</f>
        <v/>
      </c>
      <c r="E8112" s="35"/>
      <c r="F8112" s="35"/>
      <c r="J8112" s="25"/>
      <c r="K8112" s="25"/>
      <c r="L8112" s="25"/>
      <c r="M8112" s="25"/>
      <c r="N8112" s="25"/>
      <c r="O8112" s="25"/>
    </row>
    <row r="8113" customFormat="false" ht="15" hidden="false" customHeight="true" outlineLevel="0" collapsed="false">
      <c r="B8113" s="10"/>
      <c r="C8113" s="10"/>
      <c r="D8113" s="35" t="str">
        <f aca="false">IF(IF($K$8101=0,"",INDEX(Clients!$G$2:$G$501,$K$8101)&amp;"")="",TRIM(IF($K$8101=0,"",INDEX(Clients!$H$2:$H$501,$K$8101)&amp;"")&amp;" "&amp;UPPER(IF($K$8101=0,"",INDEX(Clients!$I$2:$I$501,$K$8101)&amp;""))),IF($K$8101=0,"",INDEX(Clients!$G$2:$G$501,$K$8101)&amp;""))</f>
        <v/>
      </c>
      <c r="E8113" s="35"/>
      <c r="F8113" s="35"/>
      <c r="J8113" s="25"/>
      <c r="K8113" s="25"/>
      <c r="L8113" s="25"/>
      <c r="M8113" s="25"/>
      <c r="N8113" s="25"/>
      <c r="O8113" s="25"/>
    </row>
    <row r="8114" customFormat="false" ht="15" hidden="false" customHeight="true" outlineLevel="0" collapsed="false">
      <c r="B8114" s="10"/>
      <c r="C8114" s="10"/>
      <c r="D8114" s="35" t="str">
        <f aca="false">IF(IF($K$8101=0,"",INDEX(Clients!$G$2:$G$501,$K$8101)&amp;"")="","",TRIM(IF($K$8101=0,"",INDEX(Clients!$H$2:$H$501,$K$8101)&amp;"")&amp;" "&amp;UPPER(IF($K$8101=0,"",INDEX(Clients!$I$2:$I$501,$K$8101)&amp;""))))</f>
        <v/>
      </c>
      <c r="E8114" s="35"/>
      <c r="F8114" s="35"/>
      <c r="J8114" s="25"/>
      <c r="K8114" s="25"/>
      <c r="L8114" s="25"/>
      <c r="M8114" s="25"/>
      <c r="N8114" s="25"/>
      <c r="O8114" s="25"/>
    </row>
    <row r="8115" customFormat="false" ht="25.5" hidden="false" customHeight="true" outlineLevel="0" collapsed="false">
      <c r="B8115" s="10"/>
      <c r="C8115" s="10"/>
      <c r="D8115" s="10"/>
      <c r="E8115" s="10"/>
      <c r="F8115" s="10"/>
      <c r="J8115" s="25"/>
      <c r="K8115" s="25"/>
      <c r="L8115" s="25"/>
      <c r="M8115" s="25"/>
      <c r="N8115" s="25"/>
      <c r="O8115" s="25"/>
    </row>
    <row r="8116" customFormat="false" ht="15" hidden="false" customHeight="false" outlineLevel="0" collapsed="false">
      <c r="B8116" s="10"/>
      <c r="C8116" s="10"/>
      <c r="D8116" s="36" t="str">
        <f aca="false">Cab_Ville&amp;", le "&amp;DAY(Date_Courrier)&amp;IF(DAY(Date_Courrier)=1,"er","")&amp;" "&amp;INDEX(Liste_Mois,MONTH(Date_Courrier))&amp;" "&amp;YEAR(Date_Courrier)</f>
        <v>Le Plessis-Bouchard, le 22 septembre 2026</v>
      </c>
      <c r="E8116" s="36"/>
      <c r="F8116" s="36"/>
      <c r="J8116" s="25"/>
      <c r="K8116" s="25"/>
      <c r="L8116" s="25"/>
      <c r="M8116" s="25"/>
      <c r="N8116" s="25"/>
      <c r="O8116" s="25"/>
    </row>
    <row r="8117" customFormat="false" ht="19.5" hidden="false" customHeight="true" outlineLevel="0" collapsed="false">
      <c r="B8117" s="10"/>
      <c r="C8117" s="10"/>
      <c r="D8117" s="10"/>
      <c r="E8117" s="10"/>
      <c r="F8117" s="10"/>
      <c r="J8117" s="25"/>
      <c r="K8117" s="25"/>
      <c r="L8117" s="25"/>
      <c r="M8117" s="25"/>
      <c r="N8117" s="25"/>
      <c r="O8117" s="25"/>
    </row>
    <row r="8118" customFormat="false" ht="15" hidden="false" customHeight="false" outlineLevel="0" collapsed="false">
      <c r="B8118" s="34" t="str">
        <f aca="false">SUBSTITUTE(SUBSTITUTE(SUBSTITUTE(SUBSTITUTE(SUBSTITUTE(Txt_Objet,"{cabinet}",Cab_Nom),"{societe}",IF($K$8101=0,"",INDEX(Clients!$E$2:$E$501,$K$8101)&amp;"")),"{date_effet}",$K$8103),"{hausse}",$K$8104),"{civilite}",$K$8102)</f>
        <v>Objet : révision de nos honoraires au 1er janvier 2027</v>
      </c>
      <c r="C8118" s="34"/>
      <c r="D8118" s="34"/>
      <c r="E8118" s="34"/>
      <c r="F8118" s="34"/>
      <c r="J8118" s="25"/>
      <c r="K8118" s="25"/>
      <c r="L8118" s="25"/>
      <c r="M8118" s="25"/>
      <c r="N8118" s="25"/>
      <c r="O8118" s="25"/>
    </row>
    <row r="8119" customFormat="false" ht="13.5" hidden="false" customHeight="true" outlineLevel="0" collapsed="false">
      <c r="B8119" s="10"/>
      <c r="C8119" s="10"/>
      <c r="D8119" s="10"/>
      <c r="E8119" s="10"/>
      <c r="F8119" s="10"/>
      <c r="J8119" s="25"/>
      <c r="K8119" s="25"/>
      <c r="L8119" s="25"/>
      <c r="M8119" s="25"/>
      <c r="N8119" s="25"/>
      <c r="O8119" s="25"/>
    </row>
    <row r="8120" customFormat="false" ht="15" hidden="false" customHeight="false" outlineLevel="0" collapsed="false">
      <c r="B8120" s="10" t="str">
        <f aca="false">$K$8102&amp;","</f>
        <v>Madame, Monsieur,</v>
      </c>
      <c r="C8120" s="10"/>
      <c r="D8120" s="10"/>
      <c r="E8120" s="10"/>
      <c r="F8120" s="10"/>
      <c r="J8120" s="25"/>
      <c r="K8120" s="25"/>
      <c r="L8120" s="25"/>
      <c r="M8120" s="25"/>
      <c r="N8120" s="25"/>
      <c r="O8120" s="25"/>
    </row>
    <row r="8121" customFormat="false" ht="6" hidden="false" customHeight="true" outlineLevel="0" collapsed="false">
      <c r="B8121" s="10"/>
      <c r="C8121" s="10"/>
      <c r="D8121" s="10"/>
      <c r="E8121" s="10"/>
      <c r="F8121" s="10"/>
      <c r="J8121" s="25"/>
      <c r="K8121" s="25"/>
      <c r="L8121" s="25"/>
      <c r="M8121" s="25"/>
      <c r="N8121" s="25"/>
      <c r="O8121" s="25"/>
    </row>
    <row r="8122" customFormat="false" ht="36.75" hidden="false" customHeight="true" outlineLevel="0" collapsed="false">
      <c r="B8122" s="37" t="str">
        <f aca="false">SUBSTITUTE(SUBSTITUTE(SUBSTITUTE(SUBSTITUTE(SUBSTITUTE(Txt_P1,"{cabinet}",Cab_Nom),"{societe}",IF($K$8101=0,"",INDEX(Clients!$E$2:$E$501,$K$8101)&amp;"")),"{date_effet}",$K$8103),"{hausse}",$K$8104),"{civilite}",$K$8102)</f>
        <v>Nous tenons tout d'abord à vous remercier pour la confiance que vous accordez à ALTHO EXPERTISE. Comme chaque année, et conformément aux dispositions de votre lettre de mission, nous procédons à la révision de nos honoraires.</v>
      </c>
      <c r="C8122" s="37"/>
      <c r="D8122" s="37"/>
      <c r="E8122" s="37"/>
      <c r="F8122" s="37"/>
      <c r="J8122" s="25"/>
      <c r="K8122" s="25"/>
      <c r="L8122" s="25"/>
      <c r="M8122" s="25"/>
      <c r="N8122" s="25"/>
      <c r="O8122" s="25"/>
    </row>
    <row r="8123" customFormat="false" ht="49.5" hidden="false" customHeight="true" outlineLevel="0" collapsed="false">
      <c r="B8123" s="37" t="str">
        <f aca="false">SUBSTITUTE(SUBSTITUTE(SUBSTITUTE(SUBSTITUTE(SUBSTITUTE(Txt_P2,"{cabinet}",Cab_Nom),"{societe}",IF($K$8101=0,"",INDEX(Clients!$E$2:$E$501,$K$8101)&amp;"")),"{date_effet}",$K$8103),"{hausse}",$K$8104),"{civilite}",$K$8102)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123" s="37"/>
      <c r="D8123" s="37"/>
      <c r="E8123" s="37"/>
      <c r="F8123" s="37"/>
      <c r="J8123" s="25"/>
      <c r="K8123" s="25"/>
      <c r="L8123" s="25"/>
      <c r="M8123" s="25"/>
      <c r="N8123" s="25"/>
      <c r="O8123" s="25"/>
    </row>
    <row r="8124" customFormat="false" ht="63" hidden="false" customHeight="true" outlineLevel="0" collapsed="false">
      <c r="B8124" s="37" t="str">
        <f aca="false">SUBSTITUTE(SUBSTITUTE(SUBSTITUTE(SUBSTITUTE(SUBSTITUTE(Txt_P3,"{cabinet}",Cab_Nom),"{societe}",IF($K$8101=0,"",INDEX(Clients!$E$2:$E$501,$K$8101)&amp;"")),"{date_effet}",$K$8103),"{hausse}",$K$8104),"{civilite}",$K$8102)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124" s="37"/>
      <c r="D8124" s="37"/>
      <c r="E8124" s="37"/>
      <c r="F8124" s="37"/>
      <c r="J8124" s="25"/>
      <c r="K8124" s="25"/>
      <c r="L8124" s="25"/>
      <c r="M8124" s="25"/>
      <c r="N8124" s="25"/>
      <c r="O8124" s="25"/>
    </row>
    <row r="8125" customFormat="false" ht="24" hidden="false" customHeight="true" outlineLevel="0" collapsed="false">
      <c r="B8125" s="37" t="str">
        <f aca="false">SUBSTITUTE(SUBSTITUTE(SUBSTITUTE(SUBSTITUTE(SUBSTITUTE(Txt_P4,"{cabinet}",Cab_Nom),"{societe}",IF($K$8101=0,"",INDEX(Clients!$E$2:$E$501,$K$8101)&amp;"")),"{date_effet}",$K$8103),"{hausse}",$K$8104),"{civilite}",$K$8102)</f>
        <v>À compter du 1er janvier 2027, vos honoraires annuels hors taxes évolueront ainsi (évolution globale : ) :</v>
      </c>
      <c r="C8125" s="37"/>
      <c r="D8125" s="37"/>
      <c r="E8125" s="37"/>
      <c r="F8125" s="37"/>
      <c r="J8125" s="25"/>
      <c r="K8125" s="25"/>
      <c r="L8125" s="25"/>
      <c r="M8125" s="25"/>
      <c r="N8125" s="25"/>
      <c r="O8125" s="25"/>
    </row>
    <row r="8126" customFormat="false" ht="3.75" hidden="false" customHeight="true" outlineLevel="0" collapsed="false">
      <c r="B8126" s="10"/>
      <c r="C8126" s="10"/>
      <c r="D8126" s="10"/>
      <c r="E8126" s="10"/>
      <c r="F8126" s="10"/>
      <c r="J8126" s="25"/>
      <c r="K8126" s="25"/>
      <c r="L8126" s="25"/>
      <c r="M8126" s="25"/>
      <c r="N8126" s="25"/>
      <c r="O8126" s="25"/>
    </row>
    <row r="8127" customFormat="false" ht="18" hidden="false" customHeight="true" outlineLevel="0" collapsed="false">
      <c r="B8127" s="38" t="s">
        <v>148</v>
      </c>
      <c r="C8127" s="39" t="s">
        <v>149</v>
      </c>
      <c r="D8127" s="39" t="s">
        <v>150</v>
      </c>
      <c r="E8127" s="39" t="s">
        <v>151</v>
      </c>
      <c r="F8127" s="39" t="s">
        <v>109</v>
      </c>
      <c r="J8127" s="25" t="s">
        <v>152</v>
      </c>
      <c r="K8127" s="25" t="s">
        <v>153</v>
      </c>
      <c r="L8127" s="25" t="s">
        <v>154</v>
      </c>
      <c r="M8127" s="25" t="s">
        <v>155</v>
      </c>
      <c r="N8127" s="25" t="s">
        <v>156</v>
      </c>
      <c r="O8127" s="25" t="s">
        <v>157</v>
      </c>
    </row>
    <row r="8128" customFormat="false" ht="16.5" hidden="false" customHeight="true" outlineLevel="0" collapsed="false">
      <c r="B8128" s="40" t="str">
        <f aca="false">IFERROR(INDEX($J$8128:$J$8131,MATCH($O8128,$N$8128:$N$8131,0)),"")</f>
        <v/>
      </c>
      <c r="C8128" s="41" t="str">
        <f aca="false">IFERROR(INDEX($K$8128:$K$8131,MATCH($O8128,$N$8128:$N$8131,0)),"")</f>
        <v/>
      </c>
      <c r="D8128" s="42" t="str">
        <f aca="false">IF(OR(E8128="",N(C8128)=0),"",E8128/C8128-1)</f>
        <v/>
      </c>
      <c r="E8128" s="41" t="str">
        <f aca="false">IFERROR(INDEX($L$8128:$L$8131,MATCH($O8128,$N$8128:$N$8131,0)),"")</f>
        <v/>
      </c>
      <c r="F8128" s="41" t="str">
        <f aca="false">IF(E8128="","",E8128-C8128)</f>
        <v/>
      </c>
      <c r="J8128" s="25" t="str">
        <f aca="false">Lib_Compta</f>
        <v>Mission comptable (tenue, révision, bilan, liasse fiscale)</v>
      </c>
      <c r="K8128" s="25" t="n">
        <f aca="false">IF($K$8101=0,0,N(INDEX(Clients!$K$2:$K$501,$K$8101)))</f>
        <v>0</v>
      </c>
      <c r="L8128" s="25" t="n">
        <f aca="false">IF($K$8101=0,0,N(INDEX(Clients!$P$2:$P$501,$K$8101)))</f>
        <v>0</v>
      </c>
      <c r="M8128" s="25" t="n">
        <f aca="false">IF(OR(K8128&lt;&gt;0,L8128&lt;&gt;0),1,0)</f>
        <v>0</v>
      </c>
      <c r="N8128" s="25" t="str">
        <f aca="false">IF(M8128=1,SUM($M$8128:M8128),"")</f>
        <v/>
      </c>
      <c r="O8128" s="25" t="n">
        <v>1</v>
      </c>
    </row>
    <row r="8129" customFormat="false" ht="16.5" hidden="false" customHeight="true" outlineLevel="0" collapsed="false">
      <c r="B8129" s="40" t="str">
        <f aca="false">IFERROR(INDEX($J$8128:$J$8131,MATCH($O8129,$N$8128:$N$8131,0)),"")</f>
        <v/>
      </c>
      <c r="C8129" s="41" t="str">
        <f aca="false">IFERROR(INDEX($K$8128:$K$8131,MATCH($O8129,$N$8128:$N$8131,0)),"")</f>
        <v/>
      </c>
      <c r="D8129" s="42" t="str">
        <f aca="false">IF(OR(E8129="",N(C8129)=0),"",E8129/C8129-1)</f>
        <v/>
      </c>
      <c r="E8129" s="41" t="str">
        <f aca="false">IFERROR(INDEX($L$8128:$L$8131,MATCH($O8129,$N$8128:$N$8131,0)),"")</f>
        <v/>
      </c>
      <c r="F8129" s="41" t="str">
        <f aca="false">IF(E8129="","",E8129-C8129)</f>
        <v/>
      </c>
      <c r="J8129" s="25" t="str">
        <f aca="false">Lib_Paye</f>
        <v>Mission sociale (bulletins de paie, DSN, déclarations sociales)</v>
      </c>
      <c r="K8129" s="25" t="n">
        <f aca="false">IF($K$8101=0,0,N(INDEX(Clients!$L$2:$L$501,$K$8101)))</f>
        <v>0</v>
      </c>
      <c r="L8129" s="25" t="n">
        <f aca="false">IF($K$8101=0,0,N(INDEX(Clients!$Q$2:$Q$501,$K$8101)))</f>
        <v>0</v>
      </c>
      <c r="M8129" s="25" t="n">
        <f aca="false">IF(OR(K8129&lt;&gt;0,L8129&lt;&gt;0),1,0)</f>
        <v>0</v>
      </c>
      <c r="N8129" s="25" t="str">
        <f aca="false">IF(M8129=1,SUM($M$8128:M8129),"")</f>
        <v/>
      </c>
      <c r="O8129" s="25" t="n">
        <v>2</v>
      </c>
    </row>
    <row r="8130" customFormat="false" ht="16.5" hidden="false" customHeight="true" outlineLevel="0" collapsed="false">
      <c r="B8130" s="40" t="str">
        <f aca="false">IFERROR(INDEX($J$8128:$J$8131,MATCH($O8130,$N$8128:$N$8131,0)),"")</f>
        <v/>
      </c>
      <c r="C8130" s="41" t="str">
        <f aca="false">IFERROR(INDEX($K$8128:$K$8131,MATCH($O8130,$N$8128:$N$8131,0)),"")</f>
        <v/>
      </c>
      <c r="D8130" s="42" t="str">
        <f aca="false">IF(OR(E8130="",N(C8130)=0),"",E8130/C8130-1)</f>
        <v/>
      </c>
      <c r="E8130" s="41" t="str">
        <f aca="false">IFERROR(INDEX($L$8128:$L$8131,MATCH($O8130,$N$8128:$N$8131,0)),"")</f>
        <v/>
      </c>
      <c r="F8130" s="41" t="str">
        <f aca="false">IF(E8130="","",E8130-C8130)</f>
        <v/>
      </c>
      <c r="J8130" s="25" t="str">
        <f aca="false">Lib_Jur</f>
        <v>Mission juridique (approbation des comptes, secrétariat juridique)</v>
      </c>
      <c r="K8130" s="25" t="n">
        <f aca="false">IF($K$8101=0,0,N(INDEX(Clients!$M$2:$M$501,$K$8101)))</f>
        <v>0</v>
      </c>
      <c r="L8130" s="25" t="n">
        <f aca="false">IF($K$8101=0,0,N(INDEX(Clients!$R$2:$R$501,$K$8101)))</f>
        <v>0</v>
      </c>
      <c r="M8130" s="25" t="n">
        <f aca="false">IF(OR(K8130&lt;&gt;0,L8130&lt;&gt;0),1,0)</f>
        <v>0</v>
      </c>
      <c r="N8130" s="25" t="str">
        <f aca="false">IF(M8130=1,SUM($M$8128:M8130),"")</f>
        <v/>
      </c>
      <c r="O8130" s="25" t="n">
        <v>3</v>
      </c>
    </row>
    <row r="8131" customFormat="false" ht="16.5" hidden="false" customHeight="true" outlineLevel="0" collapsed="false">
      <c r="B8131" s="40" t="str">
        <f aca="false">IFERROR(INDEX($J$8128:$J$8131,MATCH($O8131,$N$8128:$N$8131,0)),"")</f>
        <v/>
      </c>
      <c r="C8131" s="41" t="str">
        <f aca="false">IFERROR(INDEX($K$8128:$K$8131,MATCH($O8131,$N$8128:$N$8131,0)),"")</f>
        <v/>
      </c>
      <c r="D8131" s="42" t="str">
        <f aca="false">IF(OR(E8131="",N(C8131)=0),"",E8131/C8131-1)</f>
        <v/>
      </c>
      <c r="E8131" s="41" t="str">
        <f aca="false">IFERROR(INDEX($L$8128:$L$8131,MATCH($O8131,$N$8128:$N$8131,0)),"")</f>
        <v/>
      </c>
      <c r="F8131" s="41" t="str">
        <f aca="false">IF(E8131="","",E8131-C8131)</f>
        <v/>
      </c>
      <c r="J8131" s="25" t="str">
        <f aca="false">Lib_PA</f>
        <v>Plateforme agréée – facturation électronique</v>
      </c>
      <c r="K8131" s="25" t="n">
        <f aca="false">IF($K$8101=0,0,N(INDEX(Clients!$N$2:$N$501,$K$8101)))</f>
        <v>0</v>
      </c>
      <c r="L8131" s="25" t="n">
        <f aca="false">IF($K$8101=0,0,N(INDEX(Clients!$S$2:$S$501,$K$8101)))</f>
        <v>0</v>
      </c>
      <c r="M8131" s="25" t="n">
        <f aca="false">IF(OR(K8131&lt;&gt;0,L8131&lt;&gt;0),1,0)</f>
        <v>0</v>
      </c>
      <c r="N8131" s="25" t="str">
        <f aca="false">IF(M8131=1,SUM($M$8128:M8131),"")</f>
        <v/>
      </c>
      <c r="O8131" s="25" t="n">
        <v>4</v>
      </c>
    </row>
    <row r="8132" customFormat="false" ht="18" hidden="false" customHeight="true" outlineLevel="0" collapsed="false">
      <c r="B8132" s="43" t="s">
        <v>158</v>
      </c>
      <c r="C8132" s="44" t="n">
        <f aca="false">SUM(K8128:K8131)</f>
        <v>0</v>
      </c>
      <c r="D8132" s="45" t="str">
        <f aca="false">IF(N(C8132)=0,"",E8132/C8132-1)</f>
        <v/>
      </c>
      <c r="E8132" s="44" t="n">
        <f aca="false">SUM(L8128:L8131)</f>
        <v>0</v>
      </c>
      <c r="F8132" s="44" t="n">
        <f aca="false">E8132-C8132</f>
        <v>0</v>
      </c>
    </row>
    <row r="8133" customFormat="false" ht="15" hidden="false" customHeight="false" outlineLevel="0" collapsed="false">
      <c r="B8133" s="46" t="str">
        <f aca="false">IF(N(Nb_Mensualites)=0,"","Soit "&amp;FIXED(E8132/Nb_Mensualites,2)&amp;" € HT par échéance ("&amp;Nb_Mensualites&amp;" échéances), "&amp;FIXED(E8132/Nb_Mensualites*(1+Taux_TVA),2)&amp;" € TTC.")</f>
        <v>Soit 0.00 € HT par échéance (12 échéances), 0.00 € TTC.</v>
      </c>
      <c r="C8133" s="46"/>
      <c r="D8133" s="46"/>
      <c r="E8133" s="46"/>
      <c r="F8133" s="46"/>
    </row>
    <row r="8134" customFormat="false" ht="7.5" hidden="false" customHeight="true" outlineLevel="0" collapsed="false">
      <c r="B8134" s="10"/>
      <c r="C8134" s="10"/>
      <c r="D8134" s="10"/>
      <c r="E8134" s="10"/>
      <c r="F8134" s="10"/>
    </row>
    <row r="8135" customFormat="false" ht="36.75" hidden="false" customHeight="true" outlineLevel="0" collapsed="false">
      <c r="B8135" s="37" t="str">
        <f aca="false">SUBSTITUTE(SUBSTITUTE(SUBSTITUTE(SUBSTITUTE(SUBSTITUTE(Txt_P5,"{cabinet}",Cab_Nom),"{societe}",IF($K$8101=0,"",INDEX(Clients!$E$2:$E$501,$K$8101)&amp;"")),"{date_effet}",$K$8103),"{hausse}",$K$8104),"{civilite}",$K$8102)</f>
        <v>Les autres conditions de votre lettre de mission demeurent inchangées. Les nouveaux montants seront appliqués automatiquement sur vos prochaines factures et échéances de prélèvement.</v>
      </c>
      <c r="C8135" s="37"/>
      <c r="D8135" s="37"/>
      <c r="E8135" s="37"/>
      <c r="F8135" s="37"/>
    </row>
    <row r="8136" customFormat="false" ht="36.75" hidden="false" customHeight="true" outlineLevel="0" collapsed="false">
      <c r="B8136" s="37" t="str">
        <f aca="false">SUBSTITUTE(SUBSTITUTE(SUBSTITUTE(SUBSTITUTE(SUBSTITUTE(Txt_P6,"{cabinet}",Cab_Nom),"{societe}",IF($K$8101=0,"",INDEX(Clients!$E$2:$E$501,$K$8101)&amp;"")),"{date_effet}",$K$8103),"{hausse}",$K$8104),"{civilite}",$K$8102)</f>
        <v>Votre interlocuteur habituel reste à votre entière disposition pour répondre à vos questions et faire le point sur l'évolution de vos besoins.</v>
      </c>
      <c r="C8136" s="37"/>
      <c r="D8136" s="37"/>
      <c r="E8136" s="37"/>
      <c r="F8136" s="37"/>
    </row>
    <row r="8137" customFormat="false" ht="24" hidden="false" customHeight="true" outlineLevel="0" collapsed="false">
      <c r="B8137" s="37" t="str">
        <f aca="false">SUBSTITUTE(SUBSTITUTE(SUBSTITUTE(SUBSTITUTE(SUBSTITUTE(Txt_Politesse,"{cabinet}",Cab_Nom),"{societe}",IF($K$8101=0,"",INDEX(Clients!$E$2:$E$501,$K$8101)&amp;"")),"{date_effet}",$K$8103),"{hausse}",$K$8104),"{civilite}",$K$8102)</f>
        <v>Nous vous prions d'agréer, Madame, Monsieur, l'expression de nos salutations distinguées.</v>
      </c>
      <c r="C8137" s="37"/>
      <c r="D8137" s="37"/>
      <c r="E8137" s="37"/>
      <c r="F8137" s="37"/>
    </row>
    <row r="8138" customFormat="false" ht="15" hidden="false" customHeight="false" outlineLevel="0" collapsed="false">
      <c r="B8138" s="10"/>
      <c r="C8138" s="10"/>
      <c r="D8138" s="10"/>
      <c r="E8138" s="10"/>
      <c r="F8138" s="10"/>
    </row>
    <row r="8139" customFormat="false" ht="15" hidden="false" customHeight="false" outlineLevel="0" collapsed="false">
      <c r="B8139" s="10"/>
      <c r="C8139" s="10"/>
      <c r="D8139" s="34" t="str">
        <f aca="false">Signataire</f>
        <v>Prénom NOM</v>
      </c>
      <c r="E8139" s="34"/>
      <c r="F8139" s="34"/>
    </row>
    <row r="8140" customFormat="false" ht="15" hidden="false" customHeight="false" outlineLevel="0" collapsed="false">
      <c r="B8140" s="10"/>
      <c r="C8140" s="10"/>
      <c r="D8140" s="47" t="str">
        <f aca="false">Signataire_Titre</f>
        <v>Expert-comptable associé</v>
      </c>
      <c r="E8140" s="47"/>
      <c r="F8140" s="47"/>
    </row>
    <row r="8141" customFormat="false" ht="15.75" hidden="false" customHeight="true" outlineLevel="0" collapsed="false">
      <c r="B8141" s="10"/>
      <c r="C8141" s="10"/>
      <c r="D8141" s="10"/>
      <c r="E8141" s="10"/>
      <c r="F8141" s="10"/>
    </row>
    <row r="8142" customFormat="false" ht="15.75" hidden="false" customHeight="true" outlineLevel="0" collapsed="false">
      <c r="B8142" s="10"/>
      <c r="C8142" s="10"/>
      <c r="D8142" s="10"/>
      <c r="E8142" s="10"/>
      <c r="F8142" s="10"/>
    </row>
    <row r="8143" customFormat="false" ht="15.75" hidden="false" customHeight="true" outlineLevel="0" collapsed="false">
      <c r="B8143" s="10"/>
      <c r="C8143" s="10"/>
      <c r="D8143" s="10"/>
      <c r="E8143" s="10"/>
      <c r="F8143" s="10"/>
    </row>
    <row r="8144" customFormat="false" ht="15.75" hidden="false" customHeight="true" outlineLevel="0" collapsed="false">
      <c r="B8144" s="10"/>
      <c r="C8144" s="10"/>
      <c r="D8144" s="10"/>
      <c r="E8144" s="10"/>
      <c r="F8144" s="10"/>
    </row>
    <row r="8145" customFormat="false" ht="24" hidden="false" customHeight="true" outlineLevel="0" collapsed="false">
      <c r="B8145" s="48" t="str">
        <f aca="false">Cab_Mentions</f>
        <v>ALTHO EXPERTISE · SAS au capital de 10 000 € · RCS Pontoise 919 706 325 · TVA FR62919706325 · Société d'expertise comptable inscrite au Tableau de l'Ordre des experts-comptables de Paris Île-de-France</v>
      </c>
      <c r="C8145" s="48"/>
      <c r="D8145" s="48"/>
      <c r="E8145" s="48"/>
      <c r="F8145" s="48"/>
    </row>
    <row r="8146" customFormat="false" ht="15" hidden="false" customHeight="false" outlineLevel="0" collapsed="false">
      <c r="B8146" s="10"/>
      <c r="C8146" s="10"/>
      <c r="D8146" s="10"/>
      <c r="E8146" s="10"/>
      <c r="F8146" s="10"/>
      <c r="J8146" s="25" t="s">
        <v>142</v>
      </c>
      <c r="K8146" s="25" t="n">
        <f aca="false">IFERROR(MATCH(182,Clients!$Z$2:$Z$501,0),0)</f>
        <v>0</v>
      </c>
      <c r="L8146" s="25"/>
      <c r="M8146" s="25"/>
      <c r="N8146" s="25"/>
      <c r="O8146" s="25"/>
    </row>
    <row r="8147" customFormat="false" ht="21.75" hidden="false" customHeight="true" outlineLevel="0" collapsed="false">
      <c r="B8147" s="26" t="str">
        <f aca="false">Cab_Nom</f>
        <v>ALTHO EXPERTISE</v>
      </c>
      <c r="C8147" s="26"/>
      <c r="D8147" s="10"/>
      <c r="E8147" s="27" t="str">
        <f aca="false">IF($K$8146=0,"","Réf. client : "&amp;INDEX(Clients!$A$2:$A$501,$K$8146))</f>
        <v/>
      </c>
      <c r="F8147" s="27"/>
      <c r="J8147" s="25" t="s">
        <v>144</v>
      </c>
      <c r="K8147" s="25" t="str">
        <f aca="false">IF(IF($K$8146=0,"",INDEX(Clients!$B$2:$B$501,$K$8146)&amp;"")="Mme","Madame",IF(IF($K$8146=0,"",INDEX(Clients!$B$2:$B$501,$K$8146)&amp;"")="M.","Monsieur","Madame, Monsieur"))</f>
        <v>Madame, Monsieur</v>
      </c>
      <c r="L8147" s="25"/>
      <c r="M8147" s="25"/>
      <c r="N8147" s="25"/>
      <c r="O8147" s="25"/>
    </row>
    <row r="8148" customFormat="false" ht="15" hidden="false" customHeight="false" outlineLevel="0" collapsed="false">
      <c r="B8148" s="29" t="str">
        <f aca="false">Cab_Adr1</f>
        <v>141 rue Charles de Gaulle</v>
      </c>
      <c r="C8148" s="29"/>
      <c r="D8148" s="10"/>
      <c r="E8148" s="10"/>
      <c r="F8148" s="10"/>
      <c r="J8148" s="25" t="s">
        <v>145</v>
      </c>
      <c r="K8148" s="25" t="str">
        <f aca="false">DAY(Date_Effet)&amp;IF(DAY(Date_Effet)=1,"er","")&amp;" "&amp;INDEX(Liste_Mois,MONTH(Date_Effet))&amp;" "&amp;YEAR(Date_Effet)</f>
        <v>1er janvier 2027</v>
      </c>
      <c r="L8148" s="25"/>
      <c r="M8148" s="25"/>
      <c r="N8148" s="25"/>
      <c r="O8148" s="25"/>
    </row>
    <row r="8149" customFormat="false" ht="15" hidden="false" customHeight="false" outlineLevel="0" collapsed="false">
      <c r="B8149" s="29" t="str">
        <f aca="false">Cab_CPVille</f>
        <v>95130 LE PLESSIS-BOUCHARD</v>
      </c>
      <c r="C8149" s="29"/>
      <c r="D8149" s="10"/>
      <c r="E8149" s="10"/>
      <c r="F8149" s="10"/>
      <c r="J8149" s="25" t="s">
        <v>146</v>
      </c>
      <c r="K8149" s="25" t="str">
        <f aca="false">IF(SUM($K$8173:$K$8176)=0,"",FIXED((SUM($L$8173:$L$8176)/SUM($K$8173:$K$8176)-1)*100,1)&amp;" %")</f>
        <v/>
      </c>
      <c r="L8149" s="25"/>
      <c r="M8149" s="25"/>
      <c r="N8149" s="25"/>
      <c r="O8149" s="25"/>
    </row>
    <row r="8150" customFormat="false" ht="15" hidden="false" customHeight="false" outlineLevel="0" collapsed="false">
      <c r="B8150" s="29" t="str">
        <f aca="false">Cab_Contact</f>
        <v>Tél. 01 34 14 53 45  ·  altho@altho-experts.com  ·  altho-experts.com</v>
      </c>
      <c r="C8150" s="29"/>
      <c r="D8150" s="10"/>
      <c r="E8150" s="10"/>
      <c r="F8150" s="10"/>
      <c r="J8150" s="25"/>
      <c r="K8150" s="25"/>
      <c r="L8150" s="25"/>
      <c r="M8150" s="25"/>
      <c r="N8150" s="25"/>
      <c r="O8150" s="25"/>
    </row>
    <row r="8151" customFormat="false" ht="6" hidden="false" customHeight="true" outlineLevel="0" collapsed="false">
      <c r="B8151" s="32"/>
      <c r="C8151" s="32"/>
      <c r="D8151" s="32"/>
      <c r="E8151" s="32"/>
      <c r="F8151" s="32"/>
      <c r="J8151" s="25"/>
      <c r="K8151" s="25"/>
      <c r="L8151" s="25"/>
      <c r="M8151" s="25"/>
      <c r="N8151" s="25"/>
      <c r="O8151" s="25"/>
    </row>
    <row r="8152" customFormat="false" ht="13.5" hidden="false" customHeight="true" outlineLevel="0" collapsed="false">
      <c r="B8152" s="10"/>
      <c r="C8152" s="10"/>
      <c r="D8152" s="10"/>
      <c r="E8152" s="10"/>
      <c r="F8152" s="10"/>
      <c r="J8152" s="25"/>
      <c r="K8152" s="25"/>
      <c r="L8152" s="25"/>
      <c r="M8152" s="25"/>
      <c r="N8152" s="25"/>
      <c r="O8152" s="25"/>
    </row>
    <row r="8153" customFormat="false" ht="13.5" hidden="false" customHeight="true" outlineLevel="0" collapsed="false">
      <c r="B8153" s="10"/>
      <c r="C8153" s="10"/>
      <c r="D8153" s="10"/>
      <c r="E8153" s="10"/>
      <c r="F8153" s="10"/>
      <c r="J8153" s="25"/>
      <c r="K8153" s="25"/>
      <c r="L8153" s="25"/>
      <c r="M8153" s="25"/>
      <c r="N8153" s="25"/>
      <c r="O8153" s="25"/>
    </row>
    <row r="8154" customFormat="false" ht="13.5" hidden="false" customHeight="true" outlineLevel="0" collapsed="false">
      <c r="B8154" s="10"/>
      <c r="C8154" s="10"/>
      <c r="D8154" s="10"/>
      <c r="E8154" s="10"/>
      <c r="F8154" s="10"/>
      <c r="J8154" s="25"/>
      <c r="K8154" s="25"/>
      <c r="L8154" s="25"/>
      <c r="M8154" s="25"/>
      <c r="N8154" s="25"/>
      <c r="O8154" s="25"/>
    </row>
    <row r="8155" customFormat="false" ht="15" hidden="false" customHeight="true" outlineLevel="0" collapsed="false">
      <c r="B8155" s="10"/>
      <c r="C8155" s="10"/>
      <c r="D8155" s="34" t="str">
        <f aca="false">IF($K$8146=0,"",INDEX(Clients!$E$2:$E$501,$K$8146)&amp;"")</f>
        <v/>
      </c>
      <c r="E8155" s="34"/>
      <c r="F8155" s="34"/>
      <c r="J8155" s="25"/>
      <c r="K8155" s="25"/>
      <c r="L8155" s="25"/>
      <c r="M8155" s="25"/>
      <c r="N8155" s="25"/>
      <c r="O8155" s="25"/>
    </row>
    <row r="8156" customFormat="false" ht="15" hidden="false" customHeight="true" outlineLevel="0" collapsed="false">
      <c r="B8156" s="10"/>
      <c r="C8156" s="10"/>
      <c r="D8156" s="35" t="str">
        <f aca="false">IF(IF($K$8146=0,"",INDEX(Clients!$D$2:$D$501,$K$8146)&amp;"")="","","À l'attention de "&amp;TRIM(IF($K$8146=0,"",INDEX(Clients!$B$2:$B$501,$K$8146)&amp;"")&amp;" "&amp;IF($K$8146=0,"",INDEX(Clients!$C$2:$C$501,$K$8146)&amp;"")&amp;" "&amp;IF($K$8146=0,"",INDEX(Clients!$D$2:$D$501,$K$8146)&amp;"")))</f>
        <v/>
      </c>
      <c r="E8156" s="35"/>
      <c r="F8156" s="35"/>
      <c r="J8156" s="25"/>
      <c r="K8156" s="25"/>
      <c r="L8156" s="25"/>
      <c r="M8156" s="25"/>
      <c r="N8156" s="25"/>
      <c r="O8156" s="25"/>
    </row>
    <row r="8157" customFormat="false" ht="15" hidden="false" customHeight="true" outlineLevel="0" collapsed="false">
      <c r="B8157" s="10"/>
      <c r="C8157" s="10"/>
      <c r="D8157" s="35" t="str">
        <f aca="false">IF($K$8146=0,"",INDEX(Clients!$F$2:$F$501,$K$8146)&amp;"")</f>
        <v/>
      </c>
      <c r="E8157" s="35"/>
      <c r="F8157" s="35"/>
      <c r="J8157" s="25"/>
      <c r="K8157" s="25"/>
      <c r="L8157" s="25"/>
      <c r="M8157" s="25"/>
      <c r="N8157" s="25"/>
      <c r="O8157" s="25"/>
    </row>
    <row r="8158" customFormat="false" ht="15" hidden="false" customHeight="true" outlineLevel="0" collapsed="false">
      <c r="B8158" s="10"/>
      <c r="C8158" s="10"/>
      <c r="D8158" s="35" t="str">
        <f aca="false">IF(IF($K$8146=0,"",INDEX(Clients!$G$2:$G$501,$K$8146)&amp;"")="",TRIM(IF($K$8146=0,"",INDEX(Clients!$H$2:$H$501,$K$8146)&amp;"")&amp;" "&amp;UPPER(IF($K$8146=0,"",INDEX(Clients!$I$2:$I$501,$K$8146)&amp;""))),IF($K$8146=0,"",INDEX(Clients!$G$2:$G$501,$K$8146)&amp;""))</f>
        <v/>
      </c>
      <c r="E8158" s="35"/>
      <c r="F8158" s="35"/>
      <c r="J8158" s="25"/>
      <c r="K8158" s="25"/>
      <c r="L8158" s="25"/>
      <c r="M8158" s="25"/>
      <c r="N8158" s="25"/>
      <c r="O8158" s="25"/>
    </row>
    <row r="8159" customFormat="false" ht="15" hidden="false" customHeight="true" outlineLevel="0" collapsed="false">
      <c r="B8159" s="10"/>
      <c r="C8159" s="10"/>
      <c r="D8159" s="35" t="str">
        <f aca="false">IF(IF($K$8146=0,"",INDEX(Clients!$G$2:$G$501,$K$8146)&amp;"")="","",TRIM(IF($K$8146=0,"",INDEX(Clients!$H$2:$H$501,$K$8146)&amp;"")&amp;" "&amp;UPPER(IF($K$8146=0,"",INDEX(Clients!$I$2:$I$501,$K$8146)&amp;""))))</f>
        <v/>
      </c>
      <c r="E8159" s="35"/>
      <c r="F8159" s="35"/>
      <c r="J8159" s="25"/>
      <c r="K8159" s="25"/>
      <c r="L8159" s="25"/>
      <c r="M8159" s="25"/>
      <c r="N8159" s="25"/>
      <c r="O8159" s="25"/>
    </row>
    <row r="8160" customFormat="false" ht="25.5" hidden="false" customHeight="true" outlineLevel="0" collapsed="false">
      <c r="B8160" s="10"/>
      <c r="C8160" s="10"/>
      <c r="D8160" s="10"/>
      <c r="E8160" s="10"/>
      <c r="F8160" s="10"/>
      <c r="J8160" s="25"/>
      <c r="K8160" s="25"/>
      <c r="L8160" s="25"/>
      <c r="M8160" s="25"/>
      <c r="N8160" s="25"/>
      <c r="O8160" s="25"/>
    </row>
    <row r="8161" customFormat="false" ht="15" hidden="false" customHeight="false" outlineLevel="0" collapsed="false">
      <c r="B8161" s="10"/>
      <c r="C8161" s="10"/>
      <c r="D8161" s="36" t="str">
        <f aca="false">Cab_Ville&amp;", le "&amp;DAY(Date_Courrier)&amp;IF(DAY(Date_Courrier)=1,"er","")&amp;" "&amp;INDEX(Liste_Mois,MONTH(Date_Courrier))&amp;" "&amp;YEAR(Date_Courrier)</f>
        <v>Le Plessis-Bouchard, le 22 septembre 2026</v>
      </c>
      <c r="E8161" s="36"/>
      <c r="F8161" s="36"/>
      <c r="J8161" s="25"/>
      <c r="K8161" s="25"/>
      <c r="L8161" s="25"/>
      <c r="M8161" s="25"/>
      <c r="N8161" s="25"/>
      <c r="O8161" s="25"/>
    </row>
    <row r="8162" customFormat="false" ht="19.5" hidden="false" customHeight="true" outlineLevel="0" collapsed="false">
      <c r="B8162" s="10"/>
      <c r="C8162" s="10"/>
      <c r="D8162" s="10"/>
      <c r="E8162" s="10"/>
      <c r="F8162" s="10"/>
      <c r="J8162" s="25"/>
      <c r="K8162" s="25"/>
      <c r="L8162" s="25"/>
      <c r="M8162" s="25"/>
      <c r="N8162" s="25"/>
      <c r="O8162" s="25"/>
    </row>
    <row r="8163" customFormat="false" ht="15" hidden="false" customHeight="false" outlineLevel="0" collapsed="false">
      <c r="B8163" s="34" t="str">
        <f aca="false">SUBSTITUTE(SUBSTITUTE(SUBSTITUTE(SUBSTITUTE(SUBSTITUTE(Txt_Objet,"{cabinet}",Cab_Nom),"{societe}",IF($K$8146=0,"",INDEX(Clients!$E$2:$E$501,$K$8146)&amp;"")),"{date_effet}",$K$8148),"{hausse}",$K$8149),"{civilite}",$K$8147)</f>
        <v>Objet : révision de nos honoraires au 1er janvier 2027</v>
      </c>
      <c r="C8163" s="34"/>
      <c r="D8163" s="34"/>
      <c r="E8163" s="34"/>
      <c r="F8163" s="34"/>
      <c r="J8163" s="25"/>
      <c r="K8163" s="25"/>
      <c r="L8163" s="25"/>
      <c r="M8163" s="25"/>
      <c r="N8163" s="25"/>
      <c r="O8163" s="25"/>
    </row>
    <row r="8164" customFormat="false" ht="13.5" hidden="false" customHeight="true" outlineLevel="0" collapsed="false">
      <c r="B8164" s="10"/>
      <c r="C8164" s="10"/>
      <c r="D8164" s="10"/>
      <c r="E8164" s="10"/>
      <c r="F8164" s="10"/>
      <c r="J8164" s="25"/>
      <c r="K8164" s="25"/>
      <c r="L8164" s="25"/>
      <c r="M8164" s="25"/>
      <c r="N8164" s="25"/>
      <c r="O8164" s="25"/>
    </row>
    <row r="8165" customFormat="false" ht="15" hidden="false" customHeight="false" outlineLevel="0" collapsed="false">
      <c r="B8165" s="10" t="str">
        <f aca="false">$K$8147&amp;","</f>
        <v>Madame, Monsieur,</v>
      </c>
      <c r="C8165" s="10"/>
      <c r="D8165" s="10"/>
      <c r="E8165" s="10"/>
      <c r="F8165" s="10"/>
      <c r="J8165" s="25"/>
      <c r="K8165" s="25"/>
      <c r="L8165" s="25"/>
      <c r="M8165" s="25"/>
      <c r="N8165" s="25"/>
      <c r="O8165" s="25"/>
    </row>
    <row r="8166" customFormat="false" ht="6" hidden="false" customHeight="true" outlineLevel="0" collapsed="false">
      <c r="B8166" s="10"/>
      <c r="C8166" s="10"/>
      <c r="D8166" s="10"/>
      <c r="E8166" s="10"/>
      <c r="F8166" s="10"/>
      <c r="J8166" s="25"/>
      <c r="K8166" s="25"/>
      <c r="L8166" s="25"/>
      <c r="M8166" s="25"/>
      <c r="N8166" s="25"/>
      <c r="O8166" s="25"/>
    </row>
    <row r="8167" customFormat="false" ht="36.75" hidden="false" customHeight="true" outlineLevel="0" collapsed="false">
      <c r="B8167" s="37" t="str">
        <f aca="false">SUBSTITUTE(SUBSTITUTE(SUBSTITUTE(SUBSTITUTE(SUBSTITUTE(Txt_P1,"{cabinet}",Cab_Nom),"{societe}",IF($K$8146=0,"",INDEX(Clients!$E$2:$E$501,$K$8146)&amp;"")),"{date_effet}",$K$8148),"{hausse}",$K$8149),"{civilite}",$K$8147)</f>
        <v>Nous tenons tout d'abord à vous remercier pour la confiance que vous accordez à ALTHO EXPERTISE. Comme chaque année, et conformément aux dispositions de votre lettre de mission, nous procédons à la révision de nos honoraires.</v>
      </c>
      <c r="C8167" s="37"/>
      <c r="D8167" s="37"/>
      <c r="E8167" s="37"/>
      <c r="F8167" s="37"/>
      <c r="J8167" s="25"/>
      <c r="K8167" s="25"/>
      <c r="L8167" s="25"/>
      <c r="M8167" s="25"/>
      <c r="N8167" s="25"/>
      <c r="O8167" s="25"/>
    </row>
    <row r="8168" customFormat="false" ht="49.5" hidden="false" customHeight="true" outlineLevel="0" collapsed="false">
      <c r="B8168" s="37" t="str">
        <f aca="false">SUBSTITUTE(SUBSTITUTE(SUBSTITUTE(SUBSTITUTE(SUBSTITUTE(Txt_P2,"{cabinet}",Cab_Nom),"{societe}",IF($K$8146=0,"",INDEX(Clients!$E$2:$E$501,$K$8146)&amp;"")),"{date_effet}",$K$8148),"{hausse}",$K$8149),"{civilite}",$K$8147)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168" s="37"/>
      <c r="D8168" s="37"/>
      <c r="E8168" s="37"/>
      <c r="F8168" s="37"/>
      <c r="J8168" s="25"/>
      <c r="K8168" s="25"/>
      <c r="L8168" s="25"/>
      <c r="M8168" s="25"/>
      <c r="N8168" s="25"/>
      <c r="O8168" s="25"/>
    </row>
    <row r="8169" customFormat="false" ht="63" hidden="false" customHeight="true" outlineLevel="0" collapsed="false">
      <c r="B8169" s="37" t="str">
        <f aca="false">SUBSTITUTE(SUBSTITUTE(SUBSTITUTE(SUBSTITUTE(SUBSTITUTE(Txt_P3,"{cabinet}",Cab_Nom),"{societe}",IF($K$8146=0,"",INDEX(Clients!$E$2:$E$501,$K$8146)&amp;"")),"{date_effet}",$K$8148),"{hausse}",$K$8149),"{civilite}",$K$8147)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169" s="37"/>
      <c r="D8169" s="37"/>
      <c r="E8169" s="37"/>
      <c r="F8169" s="37"/>
      <c r="J8169" s="25"/>
      <c r="K8169" s="25"/>
      <c r="L8169" s="25"/>
      <c r="M8169" s="25"/>
      <c r="N8169" s="25"/>
      <c r="O8169" s="25"/>
    </row>
    <row r="8170" customFormat="false" ht="24" hidden="false" customHeight="true" outlineLevel="0" collapsed="false">
      <c r="B8170" s="37" t="str">
        <f aca="false">SUBSTITUTE(SUBSTITUTE(SUBSTITUTE(SUBSTITUTE(SUBSTITUTE(Txt_P4,"{cabinet}",Cab_Nom),"{societe}",IF($K$8146=0,"",INDEX(Clients!$E$2:$E$501,$K$8146)&amp;"")),"{date_effet}",$K$8148),"{hausse}",$K$8149),"{civilite}",$K$8147)</f>
        <v>À compter du 1er janvier 2027, vos honoraires annuels hors taxes évolueront ainsi (évolution globale : ) :</v>
      </c>
      <c r="C8170" s="37"/>
      <c r="D8170" s="37"/>
      <c r="E8170" s="37"/>
      <c r="F8170" s="37"/>
      <c r="J8170" s="25"/>
      <c r="K8170" s="25"/>
      <c r="L8170" s="25"/>
      <c r="M8170" s="25"/>
      <c r="N8170" s="25"/>
      <c r="O8170" s="25"/>
    </row>
    <row r="8171" customFormat="false" ht="3.75" hidden="false" customHeight="true" outlineLevel="0" collapsed="false">
      <c r="B8171" s="10"/>
      <c r="C8171" s="10"/>
      <c r="D8171" s="10"/>
      <c r="E8171" s="10"/>
      <c r="F8171" s="10"/>
      <c r="J8171" s="25"/>
      <c r="K8171" s="25"/>
      <c r="L8171" s="25"/>
      <c r="M8171" s="25"/>
      <c r="N8171" s="25"/>
      <c r="O8171" s="25"/>
    </row>
    <row r="8172" customFormat="false" ht="18" hidden="false" customHeight="true" outlineLevel="0" collapsed="false">
      <c r="B8172" s="38" t="s">
        <v>148</v>
      </c>
      <c r="C8172" s="39" t="s">
        <v>149</v>
      </c>
      <c r="D8172" s="39" t="s">
        <v>150</v>
      </c>
      <c r="E8172" s="39" t="s">
        <v>151</v>
      </c>
      <c r="F8172" s="39" t="s">
        <v>109</v>
      </c>
      <c r="J8172" s="25" t="s">
        <v>152</v>
      </c>
      <c r="K8172" s="25" t="s">
        <v>153</v>
      </c>
      <c r="L8172" s="25" t="s">
        <v>154</v>
      </c>
      <c r="M8172" s="25" t="s">
        <v>155</v>
      </c>
      <c r="N8172" s="25" t="s">
        <v>156</v>
      </c>
      <c r="O8172" s="25" t="s">
        <v>157</v>
      </c>
    </row>
    <row r="8173" customFormat="false" ht="16.5" hidden="false" customHeight="true" outlineLevel="0" collapsed="false">
      <c r="B8173" s="40" t="str">
        <f aca="false">IFERROR(INDEX($J$8173:$J$8176,MATCH($O8173,$N$8173:$N$8176,0)),"")</f>
        <v/>
      </c>
      <c r="C8173" s="41" t="str">
        <f aca="false">IFERROR(INDEX($K$8173:$K$8176,MATCH($O8173,$N$8173:$N$8176,0)),"")</f>
        <v/>
      </c>
      <c r="D8173" s="42" t="str">
        <f aca="false">IF(OR(E8173="",N(C8173)=0),"",E8173/C8173-1)</f>
        <v/>
      </c>
      <c r="E8173" s="41" t="str">
        <f aca="false">IFERROR(INDEX($L$8173:$L$8176,MATCH($O8173,$N$8173:$N$8176,0)),"")</f>
        <v/>
      </c>
      <c r="F8173" s="41" t="str">
        <f aca="false">IF(E8173="","",E8173-C8173)</f>
        <v/>
      </c>
      <c r="J8173" s="25" t="str">
        <f aca="false">Lib_Compta</f>
        <v>Mission comptable (tenue, révision, bilan, liasse fiscale)</v>
      </c>
      <c r="K8173" s="25" t="n">
        <f aca="false">IF($K$8146=0,0,N(INDEX(Clients!$K$2:$K$501,$K$8146)))</f>
        <v>0</v>
      </c>
      <c r="L8173" s="25" t="n">
        <f aca="false">IF($K$8146=0,0,N(INDEX(Clients!$P$2:$P$501,$K$8146)))</f>
        <v>0</v>
      </c>
      <c r="M8173" s="25" t="n">
        <f aca="false">IF(OR(K8173&lt;&gt;0,L8173&lt;&gt;0),1,0)</f>
        <v>0</v>
      </c>
      <c r="N8173" s="25" t="str">
        <f aca="false">IF(M8173=1,SUM($M$8173:M8173),"")</f>
        <v/>
      </c>
      <c r="O8173" s="25" t="n">
        <v>1</v>
      </c>
    </row>
    <row r="8174" customFormat="false" ht="16.5" hidden="false" customHeight="true" outlineLevel="0" collapsed="false">
      <c r="B8174" s="40" t="str">
        <f aca="false">IFERROR(INDEX($J$8173:$J$8176,MATCH($O8174,$N$8173:$N$8176,0)),"")</f>
        <v/>
      </c>
      <c r="C8174" s="41" t="str">
        <f aca="false">IFERROR(INDEX($K$8173:$K$8176,MATCH($O8174,$N$8173:$N$8176,0)),"")</f>
        <v/>
      </c>
      <c r="D8174" s="42" t="str">
        <f aca="false">IF(OR(E8174="",N(C8174)=0),"",E8174/C8174-1)</f>
        <v/>
      </c>
      <c r="E8174" s="41" t="str">
        <f aca="false">IFERROR(INDEX($L$8173:$L$8176,MATCH($O8174,$N$8173:$N$8176,0)),"")</f>
        <v/>
      </c>
      <c r="F8174" s="41" t="str">
        <f aca="false">IF(E8174="","",E8174-C8174)</f>
        <v/>
      </c>
      <c r="J8174" s="25" t="str">
        <f aca="false">Lib_Paye</f>
        <v>Mission sociale (bulletins de paie, DSN, déclarations sociales)</v>
      </c>
      <c r="K8174" s="25" t="n">
        <f aca="false">IF($K$8146=0,0,N(INDEX(Clients!$L$2:$L$501,$K$8146)))</f>
        <v>0</v>
      </c>
      <c r="L8174" s="25" t="n">
        <f aca="false">IF($K$8146=0,0,N(INDEX(Clients!$Q$2:$Q$501,$K$8146)))</f>
        <v>0</v>
      </c>
      <c r="M8174" s="25" t="n">
        <f aca="false">IF(OR(K8174&lt;&gt;0,L8174&lt;&gt;0),1,0)</f>
        <v>0</v>
      </c>
      <c r="N8174" s="25" t="str">
        <f aca="false">IF(M8174=1,SUM($M$8173:M8174),"")</f>
        <v/>
      </c>
      <c r="O8174" s="25" t="n">
        <v>2</v>
      </c>
    </row>
    <row r="8175" customFormat="false" ht="16.5" hidden="false" customHeight="true" outlineLevel="0" collapsed="false">
      <c r="B8175" s="40" t="str">
        <f aca="false">IFERROR(INDEX($J$8173:$J$8176,MATCH($O8175,$N$8173:$N$8176,0)),"")</f>
        <v/>
      </c>
      <c r="C8175" s="41" t="str">
        <f aca="false">IFERROR(INDEX($K$8173:$K$8176,MATCH($O8175,$N$8173:$N$8176,0)),"")</f>
        <v/>
      </c>
      <c r="D8175" s="42" t="str">
        <f aca="false">IF(OR(E8175="",N(C8175)=0),"",E8175/C8175-1)</f>
        <v/>
      </c>
      <c r="E8175" s="41" t="str">
        <f aca="false">IFERROR(INDEX($L$8173:$L$8176,MATCH($O8175,$N$8173:$N$8176,0)),"")</f>
        <v/>
      </c>
      <c r="F8175" s="41" t="str">
        <f aca="false">IF(E8175="","",E8175-C8175)</f>
        <v/>
      </c>
      <c r="J8175" s="25" t="str">
        <f aca="false">Lib_Jur</f>
        <v>Mission juridique (approbation des comptes, secrétariat juridique)</v>
      </c>
      <c r="K8175" s="25" t="n">
        <f aca="false">IF($K$8146=0,0,N(INDEX(Clients!$M$2:$M$501,$K$8146)))</f>
        <v>0</v>
      </c>
      <c r="L8175" s="25" t="n">
        <f aca="false">IF($K$8146=0,0,N(INDEX(Clients!$R$2:$R$501,$K$8146)))</f>
        <v>0</v>
      </c>
      <c r="M8175" s="25" t="n">
        <f aca="false">IF(OR(K8175&lt;&gt;0,L8175&lt;&gt;0),1,0)</f>
        <v>0</v>
      </c>
      <c r="N8175" s="25" t="str">
        <f aca="false">IF(M8175=1,SUM($M$8173:M8175),"")</f>
        <v/>
      </c>
      <c r="O8175" s="25" t="n">
        <v>3</v>
      </c>
    </row>
    <row r="8176" customFormat="false" ht="16.5" hidden="false" customHeight="true" outlineLevel="0" collapsed="false">
      <c r="B8176" s="40" t="str">
        <f aca="false">IFERROR(INDEX($J$8173:$J$8176,MATCH($O8176,$N$8173:$N$8176,0)),"")</f>
        <v/>
      </c>
      <c r="C8176" s="41" t="str">
        <f aca="false">IFERROR(INDEX($K$8173:$K$8176,MATCH($O8176,$N$8173:$N$8176,0)),"")</f>
        <v/>
      </c>
      <c r="D8176" s="42" t="str">
        <f aca="false">IF(OR(E8176="",N(C8176)=0),"",E8176/C8176-1)</f>
        <v/>
      </c>
      <c r="E8176" s="41" t="str">
        <f aca="false">IFERROR(INDEX($L$8173:$L$8176,MATCH($O8176,$N$8173:$N$8176,0)),"")</f>
        <v/>
      </c>
      <c r="F8176" s="41" t="str">
        <f aca="false">IF(E8176="","",E8176-C8176)</f>
        <v/>
      </c>
      <c r="J8176" s="25" t="str">
        <f aca="false">Lib_PA</f>
        <v>Plateforme agréée – facturation électronique</v>
      </c>
      <c r="K8176" s="25" t="n">
        <f aca="false">IF($K$8146=0,0,N(INDEX(Clients!$N$2:$N$501,$K$8146)))</f>
        <v>0</v>
      </c>
      <c r="L8176" s="25" t="n">
        <f aca="false">IF($K$8146=0,0,N(INDEX(Clients!$S$2:$S$501,$K$8146)))</f>
        <v>0</v>
      </c>
      <c r="M8176" s="25" t="n">
        <f aca="false">IF(OR(K8176&lt;&gt;0,L8176&lt;&gt;0),1,0)</f>
        <v>0</v>
      </c>
      <c r="N8176" s="25" t="str">
        <f aca="false">IF(M8176=1,SUM($M$8173:M8176),"")</f>
        <v/>
      </c>
      <c r="O8176" s="25" t="n">
        <v>4</v>
      </c>
    </row>
    <row r="8177" customFormat="false" ht="18" hidden="false" customHeight="true" outlineLevel="0" collapsed="false">
      <c r="B8177" s="43" t="s">
        <v>158</v>
      </c>
      <c r="C8177" s="44" t="n">
        <f aca="false">SUM(K8173:K8176)</f>
        <v>0</v>
      </c>
      <c r="D8177" s="45" t="str">
        <f aca="false">IF(N(C8177)=0,"",E8177/C8177-1)</f>
        <v/>
      </c>
      <c r="E8177" s="44" t="n">
        <f aca="false">SUM(L8173:L8176)</f>
        <v>0</v>
      </c>
      <c r="F8177" s="44" t="n">
        <f aca="false">E8177-C8177</f>
        <v>0</v>
      </c>
    </row>
    <row r="8178" customFormat="false" ht="15" hidden="false" customHeight="false" outlineLevel="0" collapsed="false">
      <c r="B8178" s="46" t="str">
        <f aca="false">IF(N(Nb_Mensualites)=0,"","Soit "&amp;FIXED(E8177/Nb_Mensualites,2)&amp;" € HT par échéance ("&amp;Nb_Mensualites&amp;" échéances), "&amp;FIXED(E8177/Nb_Mensualites*(1+Taux_TVA),2)&amp;" € TTC.")</f>
        <v>Soit 0.00 € HT par échéance (12 échéances), 0.00 € TTC.</v>
      </c>
      <c r="C8178" s="46"/>
      <c r="D8178" s="46"/>
      <c r="E8178" s="46"/>
      <c r="F8178" s="46"/>
    </row>
    <row r="8179" customFormat="false" ht="7.5" hidden="false" customHeight="true" outlineLevel="0" collapsed="false">
      <c r="B8179" s="10"/>
      <c r="C8179" s="10"/>
      <c r="D8179" s="10"/>
      <c r="E8179" s="10"/>
      <c r="F8179" s="10"/>
    </row>
    <row r="8180" customFormat="false" ht="36.75" hidden="false" customHeight="true" outlineLevel="0" collapsed="false">
      <c r="B8180" s="37" t="str">
        <f aca="false">SUBSTITUTE(SUBSTITUTE(SUBSTITUTE(SUBSTITUTE(SUBSTITUTE(Txt_P5,"{cabinet}",Cab_Nom),"{societe}",IF($K$8146=0,"",INDEX(Clients!$E$2:$E$501,$K$8146)&amp;"")),"{date_effet}",$K$8148),"{hausse}",$K$8149),"{civilite}",$K$8147)</f>
        <v>Les autres conditions de votre lettre de mission demeurent inchangées. Les nouveaux montants seront appliqués automatiquement sur vos prochaines factures et échéances de prélèvement.</v>
      </c>
      <c r="C8180" s="37"/>
      <c r="D8180" s="37"/>
      <c r="E8180" s="37"/>
      <c r="F8180" s="37"/>
    </row>
    <row r="8181" customFormat="false" ht="36.75" hidden="false" customHeight="true" outlineLevel="0" collapsed="false">
      <c r="B8181" s="37" t="str">
        <f aca="false">SUBSTITUTE(SUBSTITUTE(SUBSTITUTE(SUBSTITUTE(SUBSTITUTE(Txt_P6,"{cabinet}",Cab_Nom),"{societe}",IF($K$8146=0,"",INDEX(Clients!$E$2:$E$501,$K$8146)&amp;"")),"{date_effet}",$K$8148),"{hausse}",$K$8149),"{civilite}",$K$8147)</f>
        <v>Votre interlocuteur habituel reste à votre entière disposition pour répondre à vos questions et faire le point sur l'évolution de vos besoins.</v>
      </c>
      <c r="C8181" s="37"/>
      <c r="D8181" s="37"/>
      <c r="E8181" s="37"/>
      <c r="F8181" s="37"/>
    </row>
    <row r="8182" customFormat="false" ht="24" hidden="false" customHeight="true" outlineLevel="0" collapsed="false">
      <c r="B8182" s="37" t="str">
        <f aca="false">SUBSTITUTE(SUBSTITUTE(SUBSTITUTE(SUBSTITUTE(SUBSTITUTE(Txt_Politesse,"{cabinet}",Cab_Nom),"{societe}",IF($K$8146=0,"",INDEX(Clients!$E$2:$E$501,$K$8146)&amp;"")),"{date_effet}",$K$8148),"{hausse}",$K$8149),"{civilite}",$K$8147)</f>
        <v>Nous vous prions d'agréer, Madame, Monsieur, l'expression de nos salutations distinguées.</v>
      </c>
      <c r="C8182" s="37"/>
      <c r="D8182" s="37"/>
      <c r="E8182" s="37"/>
      <c r="F8182" s="37"/>
    </row>
    <row r="8183" customFormat="false" ht="15" hidden="false" customHeight="false" outlineLevel="0" collapsed="false">
      <c r="B8183" s="10"/>
      <c r="C8183" s="10"/>
      <c r="D8183" s="10"/>
      <c r="E8183" s="10"/>
      <c r="F8183" s="10"/>
    </row>
    <row r="8184" customFormat="false" ht="15" hidden="false" customHeight="false" outlineLevel="0" collapsed="false">
      <c r="B8184" s="10"/>
      <c r="C8184" s="10"/>
      <c r="D8184" s="34" t="str">
        <f aca="false">Signataire</f>
        <v>Prénom NOM</v>
      </c>
      <c r="E8184" s="34"/>
      <c r="F8184" s="34"/>
    </row>
    <row r="8185" customFormat="false" ht="15" hidden="false" customHeight="false" outlineLevel="0" collapsed="false">
      <c r="B8185" s="10"/>
      <c r="C8185" s="10"/>
      <c r="D8185" s="47" t="str">
        <f aca="false">Signataire_Titre</f>
        <v>Expert-comptable associé</v>
      </c>
      <c r="E8185" s="47"/>
      <c r="F8185" s="47"/>
    </row>
    <row r="8186" customFormat="false" ht="15.75" hidden="false" customHeight="true" outlineLevel="0" collapsed="false">
      <c r="B8186" s="10"/>
      <c r="C8186" s="10"/>
      <c r="D8186" s="10"/>
      <c r="E8186" s="10"/>
      <c r="F8186" s="10"/>
    </row>
    <row r="8187" customFormat="false" ht="15.75" hidden="false" customHeight="true" outlineLevel="0" collapsed="false">
      <c r="B8187" s="10"/>
      <c r="C8187" s="10"/>
      <c r="D8187" s="10"/>
      <c r="E8187" s="10"/>
      <c r="F8187" s="10"/>
    </row>
    <row r="8188" customFormat="false" ht="15.75" hidden="false" customHeight="true" outlineLevel="0" collapsed="false">
      <c r="B8188" s="10"/>
      <c r="C8188" s="10"/>
      <c r="D8188" s="10"/>
      <c r="E8188" s="10"/>
      <c r="F8188" s="10"/>
    </row>
    <row r="8189" customFormat="false" ht="15.75" hidden="false" customHeight="true" outlineLevel="0" collapsed="false">
      <c r="B8189" s="10"/>
      <c r="C8189" s="10"/>
      <c r="D8189" s="10"/>
      <c r="E8189" s="10"/>
      <c r="F8189" s="10"/>
    </row>
    <row r="8190" customFormat="false" ht="24" hidden="false" customHeight="true" outlineLevel="0" collapsed="false">
      <c r="B8190" s="48" t="str">
        <f aca="false">Cab_Mentions</f>
        <v>ALTHO EXPERTISE · SAS au capital de 10 000 € · RCS Pontoise 919 706 325 · TVA FR62919706325 · Société d'expertise comptable inscrite au Tableau de l'Ordre des experts-comptables de Paris Île-de-France</v>
      </c>
      <c r="C8190" s="48"/>
      <c r="D8190" s="48"/>
      <c r="E8190" s="48"/>
      <c r="F8190" s="48"/>
    </row>
    <row r="8191" customFormat="false" ht="15" hidden="false" customHeight="false" outlineLevel="0" collapsed="false">
      <c r="B8191" s="10"/>
      <c r="C8191" s="10"/>
      <c r="D8191" s="10"/>
      <c r="E8191" s="10"/>
      <c r="F8191" s="10"/>
      <c r="J8191" s="25" t="s">
        <v>142</v>
      </c>
      <c r="K8191" s="25" t="n">
        <f aca="false">IFERROR(MATCH(183,Clients!$Z$2:$Z$501,0),0)</f>
        <v>0</v>
      </c>
      <c r="L8191" s="25"/>
      <c r="M8191" s="25"/>
      <c r="N8191" s="25"/>
      <c r="O8191" s="25"/>
    </row>
    <row r="8192" customFormat="false" ht="21.75" hidden="false" customHeight="true" outlineLevel="0" collapsed="false">
      <c r="B8192" s="26" t="str">
        <f aca="false">Cab_Nom</f>
        <v>ALTHO EXPERTISE</v>
      </c>
      <c r="C8192" s="26"/>
      <c r="D8192" s="10"/>
      <c r="E8192" s="27" t="str">
        <f aca="false">IF($K$8191=0,"","Réf. client : "&amp;INDEX(Clients!$A$2:$A$501,$K$8191))</f>
        <v/>
      </c>
      <c r="F8192" s="27"/>
      <c r="J8192" s="25" t="s">
        <v>144</v>
      </c>
      <c r="K8192" s="25" t="str">
        <f aca="false">IF(IF($K$8191=0,"",INDEX(Clients!$B$2:$B$501,$K$8191)&amp;"")="Mme","Madame",IF(IF($K$8191=0,"",INDEX(Clients!$B$2:$B$501,$K$8191)&amp;"")="M.","Monsieur","Madame, Monsieur"))</f>
        <v>Madame, Monsieur</v>
      </c>
      <c r="L8192" s="25"/>
      <c r="M8192" s="25"/>
      <c r="N8192" s="25"/>
      <c r="O8192" s="25"/>
    </row>
    <row r="8193" customFormat="false" ht="15" hidden="false" customHeight="false" outlineLevel="0" collapsed="false">
      <c r="B8193" s="29" t="str">
        <f aca="false">Cab_Adr1</f>
        <v>141 rue Charles de Gaulle</v>
      </c>
      <c r="C8193" s="29"/>
      <c r="D8193" s="10"/>
      <c r="E8193" s="10"/>
      <c r="F8193" s="10"/>
      <c r="J8193" s="25" t="s">
        <v>145</v>
      </c>
      <c r="K8193" s="25" t="str">
        <f aca="false">DAY(Date_Effet)&amp;IF(DAY(Date_Effet)=1,"er","")&amp;" "&amp;INDEX(Liste_Mois,MONTH(Date_Effet))&amp;" "&amp;YEAR(Date_Effet)</f>
        <v>1er janvier 2027</v>
      </c>
      <c r="L8193" s="25"/>
      <c r="M8193" s="25"/>
      <c r="N8193" s="25"/>
      <c r="O8193" s="25"/>
    </row>
    <row r="8194" customFormat="false" ht="15" hidden="false" customHeight="false" outlineLevel="0" collapsed="false">
      <c r="B8194" s="29" t="str">
        <f aca="false">Cab_CPVille</f>
        <v>95130 LE PLESSIS-BOUCHARD</v>
      </c>
      <c r="C8194" s="29"/>
      <c r="D8194" s="10"/>
      <c r="E8194" s="10"/>
      <c r="F8194" s="10"/>
      <c r="J8194" s="25" t="s">
        <v>146</v>
      </c>
      <c r="K8194" s="25" t="str">
        <f aca="false">IF(SUM($K$8218:$K$8221)=0,"",FIXED((SUM($L$8218:$L$8221)/SUM($K$8218:$K$8221)-1)*100,1)&amp;" %")</f>
        <v/>
      </c>
      <c r="L8194" s="25"/>
      <c r="M8194" s="25"/>
      <c r="N8194" s="25"/>
      <c r="O8194" s="25"/>
    </row>
    <row r="8195" customFormat="false" ht="15" hidden="false" customHeight="false" outlineLevel="0" collapsed="false">
      <c r="B8195" s="29" t="str">
        <f aca="false">Cab_Contact</f>
        <v>Tél. 01 34 14 53 45  ·  altho@altho-experts.com  ·  altho-experts.com</v>
      </c>
      <c r="C8195" s="29"/>
      <c r="D8195" s="10"/>
      <c r="E8195" s="10"/>
      <c r="F8195" s="10"/>
      <c r="J8195" s="25"/>
      <c r="K8195" s="25"/>
      <c r="L8195" s="25"/>
      <c r="M8195" s="25"/>
      <c r="N8195" s="25"/>
      <c r="O8195" s="25"/>
    </row>
    <row r="8196" customFormat="false" ht="6" hidden="false" customHeight="true" outlineLevel="0" collapsed="false">
      <c r="B8196" s="32"/>
      <c r="C8196" s="32"/>
      <c r="D8196" s="32"/>
      <c r="E8196" s="32"/>
      <c r="F8196" s="32"/>
      <c r="J8196" s="25"/>
      <c r="K8196" s="25"/>
      <c r="L8196" s="25"/>
      <c r="M8196" s="25"/>
      <c r="N8196" s="25"/>
      <c r="O8196" s="25"/>
    </row>
    <row r="8197" customFormat="false" ht="13.5" hidden="false" customHeight="true" outlineLevel="0" collapsed="false">
      <c r="B8197" s="10"/>
      <c r="C8197" s="10"/>
      <c r="D8197" s="10"/>
      <c r="E8197" s="10"/>
      <c r="F8197" s="10"/>
      <c r="J8197" s="25"/>
      <c r="K8197" s="25"/>
      <c r="L8197" s="25"/>
      <c r="M8197" s="25"/>
      <c r="N8197" s="25"/>
      <c r="O8197" s="25"/>
    </row>
    <row r="8198" customFormat="false" ht="13.5" hidden="false" customHeight="true" outlineLevel="0" collapsed="false">
      <c r="B8198" s="10"/>
      <c r="C8198" s="10"/>
      <c r="D8198" s="10"/>
      <c r="E8198" s="10"/>
      <c r="F8198" s="10"/>
      <c r="J8198" s="25"/>
      <c r="K8198" s="25"/>
      <c r="L8198" s="25"/>
      <c r="M8198" s="25"/>
      <c r="N8198" s="25"/>
      <c r="O8198" s="25"/>
    </row>
    <row r="8199" customFormat="false" ht="13.5" hidden="false" customHeight="true" outlineLevel="0" collapsed="false">
      <c r="B8199" s="10"/>
      <c r="C8199" s="10"/>
      <c r="D8199" s="10"/>
      <c r="E8199" s="10"/>
      <c r="F8199" s="10"/>
      <c r="J8199" s="25"/>
      <c r="K8199" s="25"/>
      <c r="L8199" s="25"/>
      <c r="M8199" s="25"/>
      <c r="N8199" s="25"/>
      <c r="O8199" s="25"/>
    </row>
    <row r="8200" customFormat="false" ht="15" hidden="false" customHeight="true" outlineLevel="0" collapsed="false">
      <c r="B8200" s="10"/>
      <c r="C8200" s="10"/>
      <c r="D8200" s="34" t="str">
        <f aca="false">IF($K$8191=0,"",INDEX(Clients!$E$2:$E$501,$K$8191)&amp;"")</f>
        <v/>
      </c>
      <c r="E8200" s="34"/>
      <c r="F8200" s="34"/>
      <c r="J8200" s="25"/>
      <c r="K8200" s="25"/>
      <c r="L8200" s="25"/>
      <c r="M8200" s="25"/>
      <c r="N8200" s="25"/>
      <c r="O8200" s="25"/>
    </row>
    <row r="8201" customFormat="false" ht="15" hidden="false" customHeight="true" outlineLevel="0" collapsed="false">
      <c r="B8201" s="10"/>
      <c r="C8201" s="10"/>
      <c r="D8201" s="35" t="str">
        <f aca="false">IF(IF($K$8191=0,"",INDEX(Clients!$D$2:$D$501,$K$8191)&amp;"")="","","À l'attention de "&amp;TRIM(IF($K$8191=0,"",INDEX(Clients!$B$2:$B$501,$K$8191)&amp;"")&amp;" "&amp;IF($K$8191=0,"",INDEX(Clients!$C$2:$C$501,$K$8191)&amp;"")&amp;" "&amp;IF($K$8191=0,"",INDEX(Clients!$D$2:$D$501,$K$8191)&amp;"")))</f>
        <v/>
      </c>
      <c r="E8201" s="35"/>
      <c r="F8201" s="35"/>
      <c r="J8201" s="25"/>
      <c r="K8201" s="25"/>
      <c r="L8201" s="25"/>
      <c r="M8201" s="25"/>
      <c r="N8201" s="25"/>
      <c r="O8201" s="25"/>
    </row>
    <row r="8202" customFormat="false" ht="15" hidden="false" customHeight="true" outlineLevel="0" collapsed="false">
      <c r="B8202" s="10"/>
      <c r="C8202" s="10"/>
      <c r="D8202" s="35" t="str">
        <f aca="false">IF($K$8191=0,"",INDEX(Clients!$F$2:$F$501,$K$8191)&amp;"")</f>
        <v/>
      </c>
      <c r="E8202" s="35"/>
      <c r="F8202" s="35"/>
      <c r="J8202" s="25"/>
      <c r="K8202" s="25"/>
      <c r="L8202" s="25"/>
      <c r="M8202" s="25"/>
      <c r="N8202" s="25"/>
      <c r="O8202" s="25"/>
    </row>
    <row r="8203" customFormat="false" ht="15" hidden="false" customHeight="true" outlineLevel="0" collapsed="false">
      <c r="B8203" s="10"/>
      <c r="C8203" s="10"/>
      <c r="D8203" s="35" t="str">
        <f aca="false">IF(IF($K$8191=0,"",INDEX(Clients!$G$2:$G$501,$K$8191)&amp;"")="",TRIM(IF($K$8191=0,"",INDEX(Clients!$H$2:$H$501,$K$8191)&amp;"")&amp;" "&amp;UPPER(IF($K$8191=0,"",INDEX(Clients!$I$2:$I$501,$K$8191)&amp;""))),IF($K$8191=0,"",INDEX(Clients!$G$2:$G$501,$K$8191)&amp;""))</f>
        <v/>
      </c>
      <c r="E8203" s="35"/>
      <c r="F8203" s="35"/>
      <c r="J8203" s="25"/>
      <c r="K8203" s="25"/>
      <c r="L8203" s="25"/>
      <c r="M8203" s="25"/>
      <c r="N8203" s="25"/>
      <c r="O8203" s="25"/>
    </row>
    <row r="8204" customFormat="false" ht="15" hidden="false" customHeight="true" outlineLevel="0" collapsed="false">
      <c r="B8204" s="10"/>
      <c r="C8204" s="10"/>
      <c r="D8204" s="35" t="str">
        <f aca="false">IF(IF($K$8191=0,"",INDEX(Clients!$G$2:$G$501,$K$8191)&amp;"")="","",TRIM(IF($K$8191=0,"",INDEX(Clients!$H$2:$H$501,$K$8191)&amp;"")&amp;" "&amp;UPPER(IF($K$8191=0,"",INDEX(Clients!$I$2:$I$501,$K$8191)&amp;""))))</f>
        <v/>
      </c>
      <c r="E8204" s="35"/>
      <c r="F8204" s="35"/>
      <c r="J8204" s="25"/>
      <c r="K8204" s="25"/>
      <c r="L8204" s="25"/>
      <c r="M8204" s="25"/>
      <c r="N8204" s="25"/>
      <c r="O8204" s="25"/>
    </row>
    <row r="8205" customFormat="false" ht="25.5" hidden="false" customHeight="true" outlineLevel="0" collapsed="false">
      <c r="B8205" s="10"/>
      <c r="C8205" s="10"/>
      <c r="D8205" s="10"/>
      <c r="E8205" s="10"/>
      <c r="F8205" s="10"/>
      <c r="J8205" s="25"/>
      <c r="K8205" s="25"/>
      <c r="L8205" s="25"/>
      <c r="M8205" s="25"/>
      <c r="N8205" s="25"/>
      <c r="O8205" s="25"/>
    </row>
    <row r="8206" customFormat="false" ht="15" hidden="false" customHeight="false" outlineLevel="0" collapsed="false">
      <c r="B8206" s="10"/>
      <c r="C8206" s="10"/>
      <c r="D8206" s="36" t="str">
        <f aca="false">Cab_Ville&amp;", le "&amp;DAY(Date_Courrier)&amp;IF(DAY(Date_Courrier)=1,"er","")&amp;" "&amp;INDEX(Liste_Mois,MONTH(Date_Courrier))&amp;" "&amp;YEAR(Date_Courrier)</f>
        <v>Le Plessis-Bouchard, le 22 septembre 2026</v>
      </c>
      <c r="E8206" s="36"/>
      <c r="F8206" s="36"/>
      <c r="J8206" s="25"/>
      <c r="K8206" s="25"/>
      <c r="L8206" s="25"/>
      <c r="M8206" s="25"/>
      <c r="N8206" s="25"/>
      <c r="O8206" s="25"/>
    </row>
    <row r="8207" customFormat="false" ht="19.5" hidden="false" customHeight="true" outlineLevel="0" collapsed="false">
      <c r="B8207" s="10"/>
      <c r="C8207" s="10"/>
      <c r="D8207" s="10"/>
      <c r="E8207" s="10"/>
      <c r="F8207" s="10"/>
      <c r="J8207" s="25"/>
      <c r="K8207" s="25"/>
      <c r="L8207" s="25"/>
      <c r="M8207" s="25"/>
      <c r="N8207" s="25"/>
      <c r="O8207" s="25"/>
    </row>
    <row r="8208" customFormat="false" ht="15" hidden="false" customHeight="false" outlineLevel="0" collapsed="false">
      <c r="B8208" s="34" t="str">
        <f aca="false">SUBSTITUTE(SUBSTITUTE(SUBSTITUTE(SUBSTITUTE(SUBSTITUTE(Txt_Objet,"{cabinet}",Cab_Nom),"{societe}",IF($K$8191=0,"",INDEX(Clients!$E$2:$E$501,$K$8191)&amp;"")),"{date_effet}",$K$8193),"{hausse}",$K$8194),"{civilite}",$K$8192)</f>
        <v>Objet : révision de nos honoraires au 1er janvier 2027</v>
      </c>
      <c r="C8208" s="34"/>
      <c r="D8208" s="34"/>
      <c r="E8208" s="34"/>
      <c r="F8208" s="34"/>
      <c r="J8208" s="25"/>
      <c r="K8208" s="25"/>
      <c r="L8208" s="25"/>
      <c r="M8208" s="25"/>
      <c r="N8208" s="25"/>
      <c r="O8208" s="25"/>
    </row>
    <row r="8209" customFormat="false" ht="13.5" hidden="false" customHeight="true" outlineLevel="0" collapsed="false">
      <c r="B8209" s="10"/>
      <c r="C8209" s="10"/>
      <c r="D8209" s="10"/>
      <c r="E8209" s="10"/>
      <c r="F8209" s="10"/>
      <c r="J8209" s="25"/>
      <c r="K8209" s="25"/>
      <c r="L8209" s="25"/>
      <c r="M8209" s="25"/>
      <c r="N8209" s="25"/>
      <c r="O8209" s="25"/>
    </row>
    <row r="8210" customFormat="false" ht="15" hidden="false" customHeight="false" outlineLevel="0" collapsed="false">
      <c r="B8210" s="10" t="str">
        <f aca="false">$K$8192&amp;","</f>
        <v>Madame, Monsieur,</v>
      </c>
      <c r="C8210" s="10"/>
      <c r="D8210" s="10"/>
      <c r="E8210" s="10"/>
      <c r="F8210" s="10"/>
      <c r="J8210" s="25"/>
      <c r="K8210" s="25"/>
      <c r="L8210" s="25"/>
      <c r="M8210" s="25"/>
      <c r="N8210" s="25"/>
      <c r="O8210" s="25"/>
    </row>
    <row r="8211" customFormat="false" ht="6" hidden="false" customHeight="true" outlineLevel="0" collapsed="false">
      <c r="B8211" s="10"/>
      <c r="C8211" s="10"/>
      <c r="D8211" s="10"/>
      <c r="E8211" s="10"/>
      <c r="F8211" s="10"/>
      <c r="J8211" s="25"/>
      <c r="K8211" s="25"/>
      <c r="L8211" s="25"/>
      <c r="M8211" s="25"/>
      <c r="N8211" s="25"/>
      <c r="O8211" s="25"/>
    </row>
    <row r="8212" customFormat="false" ht="36.75" hidden="false" customHeight="true" outlineLevel="0" collapsed="false">
      <c r="B8212" s="37" t="str">
        <f aca="false">SUBSTITUTE(SUBSTITUTE(SUBSTITUTE(SUBSTITUTE(SUBSTITUTE(Txt_P1,"{cabinet}",Cab_Nom),"{societe}",IF($K$8191=0,"",INDEX(Clients!$E$2:$E$501,$K$8191)&amp;"")),"{date_effet}",$K$8193),"{hausse}",$K$8194),"{civilite}",$K$8192)</f>
        <v>Nous tenons tout d'abord à vous remercier pour la confiance que vous accordez à ALTHO EXPERTISE. Comme chaque année, et conformément aux dispositions de votre lettre de mission, nous procédons à la révision de nos honoraires.</v>
      </c>
      <c r="C8212" s="37"/>
      <c r="D8212" s="37"/>
      <c r="E8212" s="37"/>
      <c r="F8212" s="37"/>
      <c r="J8212" s="25"/>
      <c r="K8212" s="25"/>
      <c r="L8212" s="25"/>
      <c r="M8212" s="25"/>
      <c r="N8212" s="25"/>
      <c r="O8212" s="25"/>
    </row>
    <row r="8213" customFormat="false" ht="49.5" hidden="false" customHeight="true" outlineLevel="0" collapsed="false">
      <c r="B8213" s="37" t="str">
        <f aca="false">SUBSTITUTE(SUBSTITUTE(SUBSTITUTE(SUBSTITUTE(SUBSTITUTE(Txt_P2,"{cabinet}",Cab_Nom),"{societe}",IF($K$8191=0,"",INDEX(Clients!$E$2:$E$501,$K$8191)&amp;"")),"{date_effet}",$K$8193),"{hausse}",$K$8194),"{civilite}",$K$8192)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213" s="37"/>
      <c r="D8213" s="37"/>
      <c r="E8213" s="37"/>
      <c r="F8213" s="37"/>
      <c r="J8213" s="25"/>
      <c r="K8213" s="25"/>
      <c r="L8213" s="25"/>
      <c r="M8213" s="25"/>
      <c r="N8213" s="25"/>
      <c r="O8213" s="25"/>
    </row>
    <row r="8214" customFormat="false" ht="63" hidden="false" customHeight="true" outlineLevel="0" collapsed="false">
      <c r="B8214" s="37" t="str">
        <f aca="false">SUBSTITUTE(SUBSTITUTE(SUBSTITUTE(SUBSTITUTE(SUBSTITUTE(Txt_P3,"{cabinet}",Cab_Nom),"{societe}",IF($K$8191=0,"",INDEX(Clients!$E$2:$E$501,$K$8191)&amp;"")),"{date_effet}",$K$8193),"{hausse}",$K$8194),"{civilite}",$K$8192)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214" s="37"/>
      <c r="D8214" s="37"/>
      <c r="E8214" s="37"/>
      <c r="F8214" s="37"/>
      <c r="J8214" s="25"/>
      <c r="K8214" s="25"/>
      <c r="L8214" s="25"/>
      <c r="M8214" s="25"/>
      <c r="N8214" s="25"/>
      <c r="O8214" s="25"/>
    </row>
    <row r="8215" customFormat="false" ht="24" hidden="false" customHeight="true" outlineLevel="0" collapsed="false">
      <c r="B8215" s="37" t="str">
        <f aca="false">SUBSTITUTE(SUBSTITUTE(SUBSTITUTE(SUBSTITUTE(SUBSTITUTE(Txt_P4,"{cabinet}",Cab_Nom),"{societe}",IF($K$8191=0,"",INDEX(Clients!$E$2:$E$501,$K$8191)&amp;"")),"{date_effet}",$K$8193),"{hausse}",$K$8194),"{civilite}",$K$8192)</f>
        <v>À compter du 1er janvier 2027, vos honoraires annuels hors taxes évolueront ainsi (évolution globale : ) :</v>
      </c>
      <c r="C8215" s="37"/>
      <c r="D8215" s="37"/>
      <c r="E8215" s="37"/>
      <c r="F8215" s="37"/>
      <c r="J8215" s="25"/>
      <c r="K8215" s="25"/>
      <c r="L8215" s="25"/>
      <c r="M8215" s="25"/>
      <c r="N8215" s="25"/>
      <c r="O8215" s="25"/>
    </row>
    <row r="8216" customFormat="false" ht="3.75" hidden="false" customHeight="true" outlineLevel="0" collapsed="false">
      <c r="B8216" s="10"/>
      <c r="C8216" s="10"/>
      <c r="D8216" s="10"/>
      <c r="E8216" s="10"/>
      <c r="F8216" s="10"/>
      <c r="J8216" s="25"/>
      <c r="K8216" s="25"/>
      <c r="L8216" s="25"/>
      <c r="M8216" s="25"/>
      <c r="N8216" s="25"/>
      <c r="O8216" s="25"/>
    </row>
    <row r="8217" customFormat="false" ht="18" hidden="false" customHeight="true" outlineLevel="0" collapsed="false">
      <c r="B8217" s="38" t="s">
        <v>148</v>
      </c>
      <c r="C8217" s="39" t="s">
        <v>149</v>
      </c>
      <c r="D8217" s="39" t="s">
        <v>150</v>
      </c>
      <c r="E8217" s="39" t="s">
        <v>151</v>
      </c>
      <c r="F8217" s="39" t="s">
        <v>109</v>
      </c>
      <c r="J8217" s="25" t="s">
        <v>152</v>
      </c>
      <c r="K8217" s="25" t="s">
        <v>153</v>
      </c>
      <c r="L8217" s="25" t="s">
        <v>154</v>
      </c>
      <c r="M8217" s="25" t="s">
        <v>155</v>
      </c>
      <c r="N8217" s="25" t="s">
        <v>156</v>
      </c>
      <c r="O8217" s="25" t="s">
        <v>157</v>
      </c>
    </row>
    <row r="8218" customFormat="false" ht="16.5" hidden="false" customHeight="true" outlineLevel="0" collapsed="false">
      <c r="B8218" s="40" t="str">
        <f aca="false">IFERROR(INDEX($J$8218:$J$8221,MATCH($O8218,$N$8218:$N$8221,0)),"")</f>
        <v/>
      </c>
      <c r="C8218" s="41" t="str">
        <f aca="false">IFERROR(INDEX($K$8218:$K$8221,MATCH($O8218,$N$8218:$N$8221,0)),"")</f>
        <v/>
      </c>
      <c r="D8218" s="42" t="str">
        <f aca="false">IF(OR(E8218="",N(C8218)=0),"",E8218/C8218-1)</f>
        <v/>
      </c>
      <c r="E8218" s="41" t="str">
        <f aca="false">IFERROR(INDEX($L$8218:$L$8221,MATCH($O8218,$N$8218:$N$8221,0)),"")</f>
        <v/>
      </c>
      <c r="F8218" s="41" t="str">
        <f aca="false">IF(E8218="","",E8218-C8218)</f>
        <v/>
      </c>
      <c r="J8218" s="25" t="str">
        <f aca="false">Lib_Compta</f>
        <v>Mission comptable (tenue, révision, bilan, liasse fiscale)</v>
      </c>
      <c r="K8218" s="25" t="n">
        <f aca="false">IF($K$8191=0,0,N(INDEX(Clients!$K$2:$K$501,$K$8191)))</f>
        <v>0</v>
      </c>
      <c r="L8218" s="25" t="n">
        <f aca="false">IF($K$8191=0,0,N(INDEX(Clients!$P$2:$P$501,$K$8191)))</f>
        <v>0</v>
      </c>
      <c r="M8218" s="25" t="n">
        <f aca="false">IF(OR(K8218&lt;&gt;0,L8218&lt;&gt;0),1,0)</f>
        <v>0</v>
      </c>
      <c r="N8218" s="25" t="str">
        <f aca="false">IF(M8218=1,SUM($M$8218:M8218),"")</f>
        <v/>
      </c>
      <c r="O8218" s="25" t="n">
        <v>1</v>
      </c>
    </row>
    <row r="8219" customFormat="false" ht="16.5" hidden="false" customHeight="true" outlineLevel="0" collapsed="false">
      <c r="B8219" s="40" t="str">
        <f aca="false">IFERROR(INDEX($J$8218:$J$8221,MATCH($O8219,$N$8218:$N$8221,0)),"")</f>
        <v/>
      </c>
      <c r="C8219" s="41" t="str">
        <f aca="false">IFERROR(INDEX($K$8218:$K$8221,MATCH($O8219,$N$8218:$N$8221,0)),"")</f>
        <v/>
      </c>
      <c r="D8219" s="42" t="str">
        <f aca="false">IF(OR(E8219="",N(C8219)=0),"",E8219/C8219-1)</f>
        <v/>
      </c>
      <c r="E8219" s="41" t="str">
        <f aca="false">IFERROR(INDEX($L$8218:$L$8221,MATCH($O8219,$N$8218:$N$8221,0)),"")</f>
        <v/>
      </c>
      <c r="F8219" s="41" t="str">
        <f aca="false">IF(E8219="","",E8219-C8219)</f>
        <v/>
      </c>
      <c r="J8219" s="25" t="str">
        <f aca="false">Lib_Paye</f>
        <v>Mission sociale (bulletins de paie, DSN, déclarations sociales)</v>
      </c>
      <c r="K8219" s="25" t="n">
        <f aca="false">IF($K$8191=0,0,N(INDEX(Clients!$L$2:$L$501,$K$8191)))</f>
        <v>0</v>
      </c>
      <c r="L8219" s="25" t="n">
        <f aca="false">IF($K$8191=0,0,N(INDEX(Clients!$Q$2:$Q$501,$K$8191)))</f>
        <v>0</v>
      </c>
      <c r="M8219" s="25" t="n">
        <f aca="false">IF(OR(K8219&lt;&gt;0,L8219&lt;&gt;0),1,0)</f>
        <v>0</v>
      </c>
      <c r="N8219" s="25" t="str">
        <f aca="false">IF(M8219=1,SUM($M$8218:M8219),"")</f>
        <v/>
      </c>
      <c r="O8219" s="25" t="n">
        <v>2</v>
      </c>
    </row>
    <row r="8220" customFormat="false" ht="16.5" hidden="false" customHeight="true" outlineLevel="0" collapsed="false">
      <c r="B8220" s="40" t="str">
        <f aca="false">IFERROR(INDEX($J$8218:$J$8221,MATCH($O8220,$N$8218:$N$8221,0)),"")</f>
        <v/>
      </c>
      <c r="C8220" s="41" t="str">
        <f aca="false">IFERROR(INDEX($K$8218:$K$8221,MATCH($O8220,$N$8218:$N$8221,0)),"")</f>
        <v/>
      </c>
      <c r="D8220" s="42" t="str">
        <f aca="false">IF(OR(E8220="",N(C8220)=0),"",E8220/C8220-1)</f>
        <v/>
      </c>
      <c r="E8220" s="41" t="str">
        <f aca="false">IFERROR(INDEX($L$8218:$L$8221,MATCH($O8220,$N$8218:$N$8221,0)),"")</f>
        <v/>
      </c>
      <c r="F8220" s="41" t="str">
        <f aca="false">IF(E8220="","",E8220-C8220)</f>
        <v/>
      </c>
      <c r="J8220" s="25" t="str">
        <f aca="false">Lib_Jur</f>
        <v>Mission juridique (approbation des comptes, secrétariat juridique)</v>
      </c>
      <c r="K8220" s="25" t="n">
        <f aca="false">IF($K$8191=0,0,N(INDEX(Clients!$M$2:$M$501,$K$8191)))</f>
        <v>0</v>
      </c>
      <c r="L8220" s="25" t="n">
        <f aca="false">IF($K$8191=0,0,N(INDEX(Clients!$R$2:$R$501,$K$8191)))</f>
        <v>0</v>
      </c>
      <c r="M8220" s="25" t="n">
        <f aca="false">IF(OR(K8220&lt;&gt;0,L8220&lt;&gt;0),1,0)</f>
        <v>0</v>
      </c>
      <c r="N8220" s="25" t="str">
        <f aca="false">IF(M8220=1,SUM($M$8218:M8220),"")</f>
        <v/>
      </c>
      <c r="O8220" s="25" t="n">
        <v>3</v>
      </c>
    </row>
    <row r="8221" customFormat="false" ht="16.5" hidden="false" customHeight="true" outlineLevel="0" collapsed="false">
      <c r="B8221" s="40" t="str">
        <f aca="false">IFERROR(INDEX($J$8218:$J$8221,MATCH($O8221,$N$8218:$N$8221,0)),"")</f>
        <v/>
      </c>
      <c r="C8221" s="41" t="str">
        <f aca="false">IFERROR(INDEX($K$8218:$K$8221,MATCH($O8221,$N$8218:$N$8221,0)),"")</f>
        <v/>
      </c>
      <c r="D8221" s="42" t="str">
        <f aca="false">IF(OR(E8221="",N(C8221)=0),"",E8221/C8221-1)</f>
        <v/>
      </c>
      <c r="E8221" s="41" t="str">
        <f aca="false">IFERROR(INDEX($L$8218:$L$8221,MATCH($O8221,$N$8218:$N$8221,0)),"")</f>
        <v/>
      </c>
      <c r="F8221" s="41" t="str">
        <f aca="false">IF(E8221="","",E8221-C8221)</f>
        <v/>
      </c>
      <c r="J8221" s="25" t="str">
        <f aca="false">Lib_PA</f>
        <v>Plateforme agréée – facturation électronique</v>
      </c>
      <c r="K8221" s="25" t="n">
        <f aca="false">IF($K$8191=0,0,N(INDEX(Clients!$N$2:$N$501,$K$8191)))</f>
        <v>0</v>
      </c>
      <c r="L8221" s="25" t="n">
        <f aca="false">IF($K$8191=0,0,N(INDEX(Clients!$S$2:$S$501,$K$8191)))</f>
        <v>0</v>
      </c>
      <c r="M8221" s="25" t="n">
        <f aca="false">IF(OR(K8221&lt;&gt;0,L8221&lt;&gt;0),1,0)</f>
        <v>0</v>
      </c>
      <c r="N8221" s="25" t="str">
        <f aca="false">IF(M8221=1,SUM($M$8218:M8221),"")</f>
        <v/>
      </c>
      <c r="O8221" s="25" t="n">
        <v>4</v>
      </c>
    </row>
    <row r="8222" customFormat="false" ht="18" hidden="false" customHeight="true" outlineLevel="0" collapsed="false">
      <c r="B8222" s="43" t="s">
        <v>158</v>
      </c>
      <c r="C8222" s="44" t="n">
        <f aca="false">SUM(K8218:K8221)</f>
        <v>0</v>
      </c>
      <c r="D8222" s="45" t="str">
        <f aca="false">IF(N(C8222)=0,"",E8222/C8222-1)</f>
        <v/>
      </c>
      <c r="E8222" s="44" t="n">
        <f aca="false">SUM(L8218:L8221)</f>
        <v>0</v>
      </c>
      <c r="F8222" s="44" t="n">
        <f aca="false">E8222-C8222</f>
        <v>0</v>
      </c>
    </row>
    <row r="8223" customFormat="false" ht="15" hidden="false" customHeight="false" outlineLevel="0" collapsed="false">
      <c r="B8223" s="46" t="str">
        <f aca="false">IF(N(Nb_Mensualites)=0,"","Soit "&amp;FIXED(E8222/Nb_Mensualites,2)&amp;" € HT par échéance ("&amp;Nb_Mensualites&amp;" échéances), "&amp;FIXED(E8222/Nb_Mensualites*(1+Taux_TVA),2)&amp;" € TTC.")</f>
        <v>Soit 0.00 € HT par échéance (12 échéances), 0.00 € TTC.</v>
      </c>
      <c r="C8223" s="46"/>
      <c r="D8223" s="46"/>
      <c r="E8223" s="46"/>
      <c r="F8223" s="46"/>
    </row>
    <row r="8224" customFormat="false" ht="7.5" hidden="false" customHeight="true" outlineLevel="0" collapsed="false">
      <c r="B8224" s="10"/>
      <c r="C8224" s="10"/>
      <c r="D8224" s="10"/>
      <c r="E8224" s="10"/>
      <c r="F8224" s="10"/>
    </row>
    <row r="8225" customFormat="false" ht="36.75" hidden="false" customHeight="true" outlineLevel="0" collapsed="false">
      <c r="B8225" s="37" t="str">
        <f aca="false">SUBSTITUTE(SUBSTITUTE(SUBSTITUTE(SUBSTITUTE(SUBSTITUTE(Txt_P5,"{cabinet}",Cab_Nom),"{societe}",IF($K$8191=0,"",INDEX(Clients!$E$2:$E$501,$K$8191)&amp;"")),"{date_effet}",$K$8193),"{hausse}",$K$8194),"{civilite}",$K$8192)</f>
        <v>Les autres conditions de votre lettre de mission demeurent inchangées. Les nouveaux montants seront appliqués automatiquement sur vos prochaines factures et échéances de prélèvement.</v>
      </c>
      <c r="C8225" s="37"/>
      <c r="D8225" s="37"/>
      <c r="E8225" s="37"/>
      <c r="F8225" s="37"/>
    </row>
    <row r="8226" customFormat="false" ht="36.75" hidden="false" customHeight="true" outlineLevel="0" collapsed="false">
      <c r="B8226" s="37" t="str">
        <f aca="false">SUBSTITUTE(SUBSTITUTE(SUBSTITUTE(SUBSTITUTE(SUBSTITUTE(Txt_P6,"{cabinet}",Cab_Nom),"{societe}",IF($K$8191=0,"",INDEX(Clients!$E$2:$E$501,$K$8191)&amp;"")),"{date_effet}",$K$8193),"{hausse}",$K$8194),"{civilite}",$K$8192)</f>
        <v>Votre interlocuteur habituel reste à votre entière disposition pour répondre à vos questions et faire le point sur l'évolution de vos besoins.</v>
      </c>
      <c r="C8226" s="37"/>
      <c r="D8226" s="37"/>
      <c r="E8226" s="37"/>
      <c r="F8226" s="37"/>
    </row>
    <row r="8227" customFormat="false" ht="24" hidden="false" customHeight="true" outlineLevel="0" collapsed="false">
      <c r="B8227" s="37" t="str">
        <f aca="false">SUBSTITUTE(SUBSTITUTE(SUBSTITUTE(SUBSTITUTE(SUBSTITUTE(Txt_Politesse,"{cabinet}",Cab_Nom),"{societe}",IF($K$8191=0,"",INDEX(Clients!$E$2:$E$501,$K$8191)&amp;"")),"{date_effet}",$K$8193),"{hausse}",$K$8194),"{civilite}",$K$8192)</f>
        <v>Nous vous prions d'agréer, Madame, Monsieur, l'expression de nos salutations distinguées.</v>
      </c>
      <c r="C8227" s="37"/>
      <c r="D8227" s="37"/>
      <c r="E8227" s="37"/>
      <c r="F8227" s="37"/>
    </row>
    <row r="8228" customFormat="false" ht="15" hidden="false" customHeight="false" outlineLevel="0" collapsed="false">
      <c r="B8228" s="10"/>
      <c r="C8228" s="10"/>
      <c r="D8228" s="10"/>
      <c r="E8228" s="10"/>
      <c r="F8228" s="10"/>
    </row>
    <row r="8229" customFormat="false" ht="15" hidden="false" customHeight="false" outlineLevel="0" collapsed="false">
      <c r="B8229" s="10"/>
      <c r="C8229" s="10"/>
      <c r="D8229" s="34" t="str">
        <f aca="false">Signataire</f>
        <v>Prénom NOM</v>
      </c>
      <c r="E8229" s="34"/>
      <c r="F8229" s="34"/>
    </row>
    <row r="8230" customFormat="false" ht="15" hidden="false" customHeight="false" outlineLevel="0" collapsed="false">
      <c r="B8230" s="10"/>
      <c r="C8230" s="10"/>
      <c r="D8230" s="47" t="str">
        <f aca="false">Signataire_Titre</f>
        <v>Expert-comptable associé</v>
      </c>
      <c r="E8230" s="47"/>
      <c r="F8230" s="47"/>
    </row>
    <row r="8231" customFormat="false" ht="15.75" hidden="false" customHeight="true" outlineLevel="0" collapsed="false">
      <c r="B8231" s="10"/>
      <c r="C8231" s="10"/>
      <c r="D8231" s="10"/>
      <c r="E8231" s="10"/>
      <c r="F8231" s="10"/>
    </row>
    <row r="8232" customFormat="false" ht="15.75" hidden="false" customHeight="true" outlineLevel="0" collapsed="false">
      <c r="B8232" s="10"/>
      <c r="C8232" s="10"/>
      <c r="D8232" s="10"/>
      <c r="E8232" s="10"/>
      <c r="F8232" s="10"/>
    </row>
    <row r="8233" customFormat="false" ht="15.75" hidden="false" customHeight="true" outlineLevel="0" collapsed="false">
      <c r="B8233" s="10"/>
      <c r="C8233" s="10"/>
      <c r="D8233" s="10"/>
      <c r="E8233" s="10"/>
      <c r="F8233" s="10"/>
    </row>
    <row r="8234" customFormat="false" ht="15.75" hidden="false" customHeight="true" outlineLevel="0" collapsed="false">
      <c r="B8234" s="10"/>
      <c r="C8234" s="10"/>
      <c r="D8234" s="10"/>
      <c r="E8234" s="10"/>
      <c r="F8234" s="10"/>
    </row>
    <row r="8235" customFormat="false" ht="24" hidden="false" customHeight="true" outlineLevel="0" collapsed="false">
      <c r="B8235" s="48" t="str">
        <f aca="false">Cab_Mentions</f>
        <v>ALTHO EXPERTISE · SAS au capital de 10 000 € · RCS Pontoise 919 706 325 · TVA FR62919706325 · Société d'expertise comptable inscrite au Tableau de l'Ordre des experts-comptables de Paris Île-de-France</v>
      </c>
      <c r="C8235" s="48"/>
      <c r="D8235" s="48"/>
      <c r="E8235" s="48"/>
      <c r="F8235" s="48"/>
    </row>
    <row r="8236" customFormat="false" ht="15" hidden="false" customHeight="false" outlineLevel="0" collapsed="false">
      <c r="B8236" s="10"/>
      <c r="C8236" s="10"/>
      <c r="D8236" s="10"/>
      <c r="E8236" s="10"/>
      <c r="F8236" s="10"/>
      <c r="J8236" s="25" t="s">
        <v>142</v>
      </c>
      <c r="K8236" s="25" t="n">
        <f aca="false">IFERROR(MATCH(184,Clients!$Z$2:$Z$501,0),0)</f>
        <v>0</v>
      </c>
      <c r="L8236" s="25"/>
      <c r="M8236" s="25"/>
      <c r="N8236" s="25"/>
      <c r="O8236" s="25"/>
    </row>
    <row r="8237" customFormat="false" ht="21.75" hidden="false" customHeight="true" outlineLevel="0" collapsed="false">
      <c r="B8237" s="26" t="str">
        <f aca="false">Cab_Nom</f>
        <v>ALTHO EXPERTISE</v>
      </c>
      <c r="C8237" s="26"/>
      <c r="D8237" s="10"/>
      <c r="E8237" s="27" t="str">
        <f aca="false">IF($K$8236=0,"","Réf. client : "&amp;INDEX(Clients!$A$2:$A$501,$K$8236))</f>
        <v/>
      </c>
      <c r="F8237" s="27"/>
      <c r="J8237" s="25" t="s">
        <v>144</v>
      </c>
      <c r="K8237" s="25" t="str">
        <f aca="false">IF(IF($K$8236=0,"",INDEX(Clients!$B$2:$B$501,$K$8236)&amp;"")="Mme","Madame",IF(IF($K$8236=0,"",INDEX(Clients!$B$2:$B$501,$K$8236)&amp;"")="M.","Monsieur","Madame, Monsieur"))</f>
        <v>Madame, Monsieur</v>
      </c>
      <c r="L8237" s="25"/>
      <c r="M8237" s="25"/>
      <c r="N8237" s="25"/>
      <c r="O8237" s="25"/>
    </row>
    <row r="8238" customFormat="false" ht="15" hidden="false" customHeight="false" outlineLevel="0" collapsed="false">
      <c r="B8238" s="29" t="str">
        <f aca="false">Cab_Adr1</f>
        <v>141 rue Charles de Gaulle</v>
      </c>
      <c r="C8238" s="29"/>
      <c r="D8238" s="10"/>
      <c r="E8238" s="10"/>
      <c r="F8238" s="10"/>
      <c r="J8238" s="25" t="s">
        <v>145</v>
      </c>
      <c r="K8238" s="25" t="str">
        <f aca="false">DAY(Date_Effet)&amp;IF(DAY(Date_Effet)=1,"er","")&amp;" "&amp;INDEX(Liste_Mois,MONTH(Date_Effet))&amp;" "&amp;YEAR(Date_Effet)</f>
        <v>1er janvier 2027</v>
      </c>
      <c r="L8238" s="25"/>
      <c r="M8238" s="25"/>
      <c r="N8238" s="25"/>
      <c r="O8238" s="25"/>
    </row>
    <row r="8239" customFormat="false" ht="15" hidden="false" customHeight="false" outlineLevel="0" collapsed="false">
      <c r="B8239" s="29" t="str">
        <f aca="false">Cab_CPVille</f>
        <v>95130 LE PLESSIS-BOUCHARD</v>
      </c>
      <c r="C8239" s="29"/>
      <c r="D8239" s="10"/>
      <c r="E8239" s="10"/>
      <c r="F8239" s="10"/>
      <c r="J8239" s="25" t="s">
        <v>146</v>
      </c>
      <c r="K8239" s="25" t="str">
        <f aca="false">IF(SUM($K$8263:$K$8266)=0,"",FIXED((SUM($L$8263:$L$8266)/SUM($K$8263:$K$8266)-1)*100,1)&amp;" %")</f>
        <v/>
      </c>
      <c r="L8239" s="25"/>
      <c r="M8239" s="25"/>
      <c r="N8239" s="25"/>
      <c r="O8239" s="25"/>
    </row>
    <row r="8240" customFormat="false" ht="15" hidden="false" customHeight="false" outlineLevel="0" collapsed="false">
      <c r="B8240" s="29" t="str">
        <f aca="false">Cab_Contact</f>
        <v>Tél. 01 34 14 53 45  ·  altho@altho-experts.com  ·  altho-experts.com</v>
      </c>
      <c r="C8240" s="29"/>
      <c r="D8240" s="10"/>
      <c r="E8240" s="10"/>
      <c r="F8240" s="10"/>
      <c r="J8240" s="25"/>
      <c r="K8240" s="25"/>
      <c r="L8240" s="25"/>
      <c r="M8240" s="25"/>
      <c r="N8240" s="25"/>
      <c r="O8240" s="25"/>
    </row>
    <row r="8241" customFormat="false" ht="6" hidden="false" customHeight="true" outlineLevel="0" collapsed="false">
      <c r="B8241" s="32"/>
      <c r="C8241" s="32"/>
      <c r="D8241" s="32"/>
      <c r="E8241" s="32"/>
      <c r="F8241" s="32"/>
      <c r="J8241" s="25"/>
      <c r="K8241" s="25"/>
      <c r="L8241" s="25"/>
      <c r="M8241" s="25"/>
      <c r="N8241" s="25"/>
      <c r="O8241" s="25"/>
    </row>
    <row r="8242" customFormat="false" ht="13.5" hidden="false" customHeight="true" outlineLevel="0" collapsed="false">
      <c r="B8242" s="10"/>
      <c r="C8242" s="10"/>
      <c r="D8242" s="10"/>
      <c r="E8242" s="10"/>
      <c r="F8242" s="10"/>
      <c r="J8242" s="25"/>
      <c r="K8242" s="25"/>
      <c r="L8242" s="25"/>
      <c r="M8242" s="25"/>
      <c r="N8242" s="25"/>
      <c r="O8242" s="25"/>
    </row>
    <row r="8243" customFormat="false" ht="13.5" hidden="false" customHeight="true" outlineLevel="0" collapsed="false">
      <c r="B8243" s="10"/>
      <c r="C8243" s="10"/>
      <c r="D8243" s="10"/>
      <c r="E8243" s="10"/>
      <c r="F8243" s="10"/>
      <c r="J8243" s="25"/>
      <c r="K8243" s="25"/>
      <c r="L8243" s="25"/>
      <c r="M8243" s="25"/>
      <c r="N8243" s="25"/>
      <c r="O8243" s="25"/>
    </row>
    <row r="8244" customFormat="false" ht="13.5" hidden="false" customHeight="true" outlineLevel="0" collapsed="false">
      <c r="B8244" s="10"/>
      <c r="C8244" s="10"/>
      <c r="D8244" s="10"/>
      <c r="E8244" s="10"/>
      <c r="F8244" s="10"/>
      <c r="J8244" s="25"/>
      <c r="K8244" s="25"/>
      <c r="L8244" s="25"/>
      <c r="M8244" s="25"/>
      <c r="N8244" s="25"/>
      <c r="O8244" s="25"/>
    </row>
    <row r="8245" customFormat="false" ht="15" hidden="false" customHeight="true" outlineLevel="0" collapsed="false">
      <c r="B8245" s="10"/>
      <c r="C8245" s="10"/>
      <c r="D8245" s="34" t="str">
        <f aca="false">IF($K$8236=0,"",INDEX(Clients!$E$2:$E$501,$K$8236)&amp;"")</f>
        <v/>
      </c>
      <c r="E8245" s="34"/>
      <c r="F8245" s="34"/>
      <c r="J8245" s="25"/>
      <c r="K8245" s="25"/>
      <c r="L8245" s="25"/>
      <c r="M8245" s="25"/>
      <c r="N8245" s="25"/>
      <c r="O8245" s="25"/>
    </row>
    <row r="8246" customFormat="false" ht="15" hidden="false" customHeight="true" outlineLevel="0" collapsed="false">
      <c r="B8246" s="10"/>
      <c r="C8246" s="10"/>
      <c r="D8246" s="35" t="str">
        <f aca="false">IF(IF($K$8236=0,"",INDEX(Clients!$D$2:$D$501,$K$8236)&amp;"")="","","À l'attention de "&amp;TRIM(IF($K$8236=0,"",INDEX(Clients!$B$2:$B$501,$K$8236)&amp;"")&amp;" "&amp;IF($K$8236=0,"",INDEX(Clients!$C$2:$C$501,$K$8236)&amp;"")&amp;" "&amp;IF($K$8236=0,"",INDEX(Clients!$D$2:$D$501,$K$8236)&amp;"")))</f>
        <v/>
      </c>
      <c r="E8246" s="35"/>
      <c r="F8246" s="35"/>
      <c r="J8246" s="25"/>
      <c r="K8246" s="25"/>
      <c r="L8246" s="25"/>
      <c r="M8246" s="25"/>
      <c r="N8246" s="25"/>
      <c r="O8246" s="25"/>
    </row>
    <row r="8247" customFormat="false" ht="15" hidden="false" customHeight="true" outlineLevel="0" collapsed="false">
      <c r="B8247" s="10"/>
      <c r="C8247" s="10"/>
      <c r="D8247" s="35" t="str">
        <f aca="false">IF($K$8236=0,"",INDEX(Clients!$F$2:$F$501,$K$8236)&amp;"")</f>
        <v/>
      </c>
      <c r="E8247" s="35"/>
      <c r="F8247" s="35"/>
      <c r="J8247" s="25"/>
      <c r="K8247" s="25"/>
      <c r="L8247" s="25"/>
      <c r="M8247" s="25"/>
      <c r="N8247" s="25"/>
      <c r="O8247" s="25"/>
    </row>
    <row r="8248" customFormat="false" ht="15" hidden="false" customHeight="true" outlineLevel="0" collapsed="false">
      <c r="B8248" s="10"/>
      <c r="C8248" s="10"/>
      <c r="D8248" s="35" t="str">
        <f aca="false">IF(IF($K$8236=0,"",INDEX(Clients!$G$2:$G$501,$K$8236)&amp;"")="",TRIM(IF($K$8236=0,"",INDEX(Clients!$H$2:$H$501,$K$8236)&amp;"")&amp;" "&amp;UPPER(IF($K$8236=0,"",INDEX(Clients!$I$2:$I$501,$K$8236)&amp;""))),IF($K$8236=0,"",INDEX(Clients!$G$2:$G$501,$K$8236)&amp;""))</f>
        <v/>
      </c>
      <c r="E8248" s="35"/>
      <c r="F8248" s="35"/>
      <c r="J8248" s="25"/>
      <c r="K8248" s="25"/>
      <c r="L8248" s="25"/>
      <c r="M8248" s="25"/>
      <c r="N8248" s="25"/>
      <c r="O8248" s="25"/>
    </row>
    <row r="8249" customFormat="false" ht="15" hidden="false" customHeight="true" outlineLevel="0" collapsed="false">
      <c r="B8249" s="10"/>
      <c r="C8249" s="10"/>
      <c r="D8249" s="35" t="str">
        <f aca="false">IF(IF($K$8236=0,"",INDEX(Clients!$G$2:$G$501,$K$8236)&amp;"")="","",TRIM(IF($K$8236=0,"",INDEX(Clients!$H$2:$H$501,$K$8236)&amp;"")&amp;" "&amp;UPPER(IF($K$8236=0,"",INDEX(Clients!$I$2:$I$501,$K$8236)&amp;""))))</f>
        <v/>
      </c>
      <c r="E8249" s="35"/>
      <c r="F8249" s="35"/>
      <c r="J8249" s="25"/>
      <c r="K8249" s="25"/>
      <c r="L8249" s="25"/>
      <c r="M8249" s="25"/>
      <c r="N8249" s="25"/>
      <c r="O8249" s="25"/>
    </row>
    <row r="8250" customFormat="false" ht="25.5" hidden="false" customHeight="true" outlineLevel="0" collapsed="false">
      <c r="B8250" s="10"/>
      <c r="C8250" s="10"/>
      <c r="D8250" s="10"/>
      <c r="E8250" s="10"/>
      <c r="F8250" s="10"/>
      <c r="J8250" s="25"/>
      <c r="K8250" s="25"/>
      <c r="L8250" s="25"/>
      <c r="M8250" s="25"/>
      <c r="N8250" s="25"/>
      <c r="O8250" s="25"/>
    </row>
    <row r="8251" customFormat="false" ht="15" hidden="false" customHeight="false" outlineLevel="0" collapsed="false">
      <c r="B8251" s="10"/>
      <c r="C8251" s="10"/>
      <c r="D8251" s="36" t="str">
        <f aca="false">Cab_Ville&amp;", le "&amp;DAY(Date_Courrier)&amp;IF(DAY(Date_Courrier)=1,"er","")&amp;" "&amp;INDEX(Liste_Mois,MONTH(Date_Courrier))&amp;" "&amp;YEAR(Date_Courrier)</f>
        <v>Le Plessis-Bouchard, le 22 septembre 2026</v>
      </c>
      <c r="E8251" s="36"/>
      <c r="F8251" s="36"/>
      <c r="J8251" s="25"/>
      <c r="K8251" s="25"/>
      <c r="L8251" s="25"/>
      <c r="M8251" s="25"/>
      <c r="N8251" s="25"/>
      <c r="O8251" s="25"/>
    </row>
    <row r="8252" customFormat="false" ht="19.5" hidden="false" customHeight="true" outlineLevel="0" collapsed="false">
      <c r="B8252" s="10"/>
      <c r="C8252" s="10"/>
      <c r="D8252" s="10"/>
      <c r="E8252" s="10"/>
      <c r="F8252" s="10"/>
      <c r="J8252" s="25"/>
      <c r="K8252" s="25"/>
      <c r="L8252" s="25"/>
      <c r="M8252" s="25"/>
      <c r="N8252" s="25"/>
      <c r="O8252" s="25"/>
    </row>
    <row r="8253" customFormat="false" ht="15" hidden="false" customHeight="false" outlineLevel="0" collapsed="false">
      <c r="B8253" s="34" t="str">
        <f aca="false">SUBSTITUTE(SUBSTITUTE(SUBSTITUTE(SUBSTITUTE(SUBSTITUTE(Txt_Objet,"{cabinet}",Cab_Nom),"{societe}",IF($K$8236=0,"",INDEX(Clients!$E$2:$E$501,$K$8236)&amp;"")),"{date_effet}",$K$8238),"{hausse}",$K$8239),"{civilite}",$K$8237)</f>
        <v>Objet : révision de nos honoraires au 1er janvier 2027</v>
      </c>
      <c r="C8253" s="34"/>
      <c r="D8253" s="34"/>
      <c r="E8253" s="34"/>
      <c r="F8253" s="34"/>
      <c r="J8253" s="25"/>
      <c r="K8253" s="25"/>
      <c r="L8253" s="25"/>
      <c r="M8253" s="25"/>
      <c r="N8253" s="25"/>
      <c r="O8253" s="25"/>
    </row>
    <row r="8254" customFormat="false" ht="13.5" hidden="false" customHeight="true" outlineLevel="0" collapsed="false">
      <c r="B8254" s="10"/>
      <c r="C8254" s="10"/>
      <c r="D8254" s="10"/>
      <c r="E8254" s="10"/>
      <c r="F8254" s="10"/>
      <c r="J8254" s="25"/>
      <c r="K8254" s="25"/>
      <c r="L8254" s="25"/>
      <c r="M8254" s="25"/>
      <c r="N8254" s="25"/>
      <c r="O8254" s="25"/>
    </row>
    <row r="8255" customFormat="false" ht="15" hidden="false" customHeight="false" outlineLevel="0" collapsed="false">
      <c r="B8255" s="10" t="str">
        <f aca="false">$K$8237&amp;","</f>
        <v>Madame, Monsieur,</v>
      </c>
      <c r="C8255" s="10"/>
      <c r="D8255" s="10"/>
      <c r="E8255" s="10"/>
      <c r="F8255" s="10"/>
      <c r="J8255" s="25"/>
      <c r="K8255" s="25"/>
      <c r="L8255" s="25"/>
      <c r="M8255" s="25"/>
      <c r="N8255" s="25"/>
      <c r="O8255" s="25"/>
    </row>
    <row r="8256" customFormat="false" ht="6" hidden="false" customHeight="true" outlineLevel="0" collapsed="false">
      <c r="B8256" s="10"/>
      <c r="C8256" s="10"/>
      <c r="D8256" s="10"/>
      <c r="E8256" s="10"/>
      <c r="F8256" s="10"/>
      <c r="J8256" s="25"/>
      <c r="K8256" s="25"/>
      <c r="L8256" s="25"/>
      <c r="M8256" s="25"/>
      <c r="N8256" s="25"/>
      <c r="O8256" s="25"/>
    </row>
    <row r="8257" customFormat="false" ht="36.75" hidden="false" customHeight="true" outlineLevel="0" collapsed="false">
      <c r="B8257" s="37" t="str">
        <f aca="false">SUBSTITUTE(SUBSTITUTE(SUBSTITUTE(SUBSTITUTE(SUBSTITUTE(Txt_P1,"{cabinet}",Cab_Nom),"{societe}",IF($K$8236=0,"",INDEX(Clients!$E$2:$E$501,$K$8236)&amp;"")),"{date_effet}",$K$8238),"{hausse}",$K$8239),"{civilite}",$K$8237)</f>
        <v>Nous tenons tout d'abord à vous remercier pour la confiance que vous accordez à ALTHO EXPERTISE. Comme chaque année, et conformément aux dispositions de votre lettre de mission, nous procédons à la révision de nos honoraires.</v>
      </c>
      <c r="C8257" s="37"/>
      <c r="D8257" s="37"/>
      <c r="E8257" s="37"/>
      <c r="F8257" s="37"/>
      <c r="J8257" s="25"/>
      <c r="K8257" s="25"/>
      <c r="L8257" s="25"/>
      <c r="M8257" s="25"/>
      <c r="N8257" s="25"/>
      <c r="O8257" s="25"/>
    </row>
    <row r="8258" customFormat="false" ht="49.5" hidden="false" customHeight="true" outlineLevel="0" collapsed="false">
      <c r="B8258" s="37" t="str">
        <f aca="false">SUBSTITUTE(SUBSTITUTE(SUBSTITUTE(SUBSTITUTE(SUBSTITUTE(Txt_P2,"{cabinet}",Cab_Nom),"{societe}",IF($K$8236=0,"",INDEX(Clients!$E$2:$E$501,$K$8236)&amp;"")),"{date_effet}",$K$8238),"{hausse}",$K$8239),"{civilite}",$K$8237)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258" s="37"/>
      <c r="D8258" s="37"/>
      <c r="E8258" s="37"/>
      <c r="F8258" s="37"/>
      <c r="J8258" s="25"/>
      <c r="K8258" s="25"/>
      <c r="L8258" s="25"/>
      <c r="M8258" s="25"/>
      <c r="N8258" s="25"/>
      <c r="O8258" s="25"/>
    </row>
    <row r="8259" customFormat="false" ht="63" hidden="false" customHeight="true" outlineLevel="0" collapsed="false">
      <c r="B8259" s="37" t="str">
        <f aca="false">SUBSTITUTE(SUBSTITUTE(SUBSTITUTE(SUBSTITUTE(SUBSTITUTE(Txt_P3,"{cabinet}",Cab_Nom),"{societe}",IF($K$8236=0,"",INDEX(Clients!$E$2:$E$501,$K$8236)&amp;"")),"{date_effet}",$K$8238),"{hausse}",$K$8239),"{civilite}",$K$8237)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259" s="37"/>
      <c r="D8259" s="37"/>
      <c r="E8259" s="37"/>
      <c r="F8259" s="37"/>
      <c r="J8259" s="25"/>
      <c r="K8259" s="25"/>
      <c r="L8259" s="25"/>
      <c r="M8259" s="25"/>
      <c r="N8259" s="25"/>
      <c r="O8259" s="25"/>
    </row>
    <row r="8260" customFormat="false" ht="24" hidden="false" customHeight="true" outlineLevel="0" collapsed="false">
      <c r="B8260" s="37" t="str">
        <f aca="false">SUBSTITUTE(SUBSTITUTE(SUBSTITUTE(SUBSTITUTE(SUBSTITUTE(Txt_P4,"{cabinet}",Cab_Nom),"{societe}",IF($K$8236=0,"",INDEX(Clients!$E$2:$E$501,$K$8236)&amp;"")),"{date_effet}",$K$8238),"{hausse}",$K$8239),"{civilite}",$K$8237)</f>
        <v>À compter du 1er janvier 2027, vos honoraires annuels hors taxes évolueront ainsi (évolution globale : ) :</v>
      </c>
      <c r="C8260" s="37"/>
      <c r="D8260" s="37"/>
      <c r="E8260" s="37"/>
      <c r="F8260" s="37"/>
      <c r="J8260" s="25"/>
      <c r="K8260" s="25"/>
      <c r="L8260" s="25"/>
      <c r="M8260" s="25"/>
      <c r="N8260" s="25"/>
      <c r="O8260" s="25"/>
    </row>
    <row r="8261" customFormat="false" ht="3.75" hidden="false" customHeight="true" outlineLevel="0" collapsed="false">
      <c r="B8261" s="10"/>
      <c r="C8261" s="10"/>
      <c r="D8261" s="10"/>
      <c r="E8261" s="10"/>
      <c r="F8261" s="10"/>
      <c r="J8261" s="25"/>
      <c r="K8261" s="25"/>
      <c r="L8261" s="25"/>
      <c r="M8261" s="25"/>
      <c r="N8261" s="25"/>
      <c r="O8261" s="25"/>
    </row>
    <row r="8262" customFormat="false" ht="18" hidden="false" customHeight="true" outlineLevel="0" collapsed="false">
      <c r="B8262" s="38" t="s">
        <v>148</v>
      </c>
      <c r="C8262" s="39" t="s">
        <v>149</v>
      </c>
      <c r="D8262" s="39" t="s">
        <v>150</v>
      </c>
      <c r="E8262" s="39" t="s">
        <v>151</v>
      </c>
      <c r="F8262" s="39" t="s">
        <v>109</v>
      </c>
      <c r="J8262" s="25" t="s">
        <v>152</v>
      </c>
      <c r="K8262" s="25" t="s">
        <v>153</v>
      </c>
      <c r="L8262" s="25" t="s">
        <v>154</v>
      </c>
      <c r="M8262" s="25" t="s">
        <v>155</v>
      </c>
      <c r="N8262" s="25" t="s">
        <v>156</v>
      </c>
      <c r="O8262" s="25" t="s">
        <v>157</v>
      </c>
    </row>
    <row r="8263" customFormat="false" ht="16.5" hidden="false" customHeight="true" outlineLevel="0" collapsed="false">
      <c r="B8263" s="40" t="str">
        <f aca="false">IFERROR(INDEX($J$8263:$J$8266,MATCH($O8263,$N$8263:$N$8266,0)),"")</f>
        <v/>
      </c>
      <c r="C8263" s="41" t="str">
        <f aca="false">IFERROR(INDEX($K$8263:$K$8266,MATCH($O8263,$N$8263:$N$8266,0)),"")</f>
        <v/>
      </c>
      <c r="D8263" s="42" t="str">
        <f aca="false">IF(OR(E8263="",N(C8263)=0),"",E8263/C8263-1)</f>
        <v/>
      </c>
      <c r="E8263" s="41" t="str">
        <f aca="false">IFERROR(INDEX($L$8263:$L$8266,MATCH($O8263,$N$8263:$N$8266,0)),"")</f>
        <v/>
      </c>
      <c r="F8263" s="41" t="str">
        <f aca="false">IF(E8263="","",E8263-C8263)</f>
        <v/>
      </c>
      <c r="J8263" s="25" t="str">
        <f aca="false">Lib_Compta</f>
        <v>Mission comptable (tenue, révision, bilan, liasse fiscale)</v>
      </c>
      <c r="K8263" s="25" t="n">
        <f aca="false">IF($K$8236=0,0,N(INDEX(Clients!$K$2:$K$501,$K$8236)))</f>
        <v>0</v>
      </c>
      <c r="L8263" s="25" t="n">
        <f aca="false">IF($K$8236=0,0,N(INDEX(Clients!$P$2:$P$501,$K$8236)))</f>
        <v>0</v>
      </c>
      <c r="M8263" s="25" t="n">
        <f aca="false">IF(OR(K8263&lt;&gt;0,L8263&lt;&gt;0),1,0)</f>
        <v>0</v>
      </c>
      <c r="N8263" s="25" t="str">
        <f aca="false">IF(M8263=1,SUM($M$8263:M8263),"")</f>
        <v/>
      </c>
      <c r="O8263" s="25" t="n">
        <v>1</v>
      </c>
    </row>
    <row r="8264" customFormat="false" ht="16.5" hidden="false" customHeight="true" outlineLevel="0" collapsed="false">
      <c r="B8264" s="40" t="str">
        <f aca="false">IFERROR(INDEX($J$8263:$J$8266,MATCH($O8264,$N$8263:$N$8266,0)),"")</f>
        <v/>
      </c>
      <c r="C8264" s="41" t="str">
        <f aca="false">IFERROR(INDEX($K$8263:$K$8266,MATCH($O8264,$N$8263:$N$8266,0)),"")</f>
        <v/>
      </c>
      <c r="D8264" s="42" t="str">
        <f aca="false">IF(OR(E8264="",N(C8264)=0),"",E8264/C8264-1)</f>
        <v/>
      </c>
      <c r="E8264" s="41" t="str">
        <f aca="false">IFERROR(INDEX($L$8263:$L$8266,MATCH($O8264,$N$8263:$N$8266,0)),"")</f>
        <v/>
      </c>
      <c r="F8264" s="41" t="str">
        <f aca="false">IF(E8264="","",E8264-C8264)</f>
        <v/>
      </c>
      <c r="J8264" s="25" t="str">
        <f aca="false">Lib_Paye</f>
        <v>Mission sociale (bulletins de paie, DSN, déclarations sociales)</v>
      </c>
      <c r="K8264" s="25" t="n">
        <f aca="false">IF($K$8236=0,0,N(INDEX(Clients!$L$2:$L$501,$K$8236)))</f>
        <v>0</v>
      </c>
      <c r="L8264" s="25" t="n">
        <f aca="false">IF($K$8236=0,0,N(INDEX(Clients!$Q$2:$Q$501,$K$8236)))</f>
        <v>0</v>
      </c>
      <c r="M8264" s="25" t="n">
        <f aca="false">IF(OR(K8264&lt;&gt;0,L8264&lt;&gt;0),1,0)</f>
        <v>0</v>
      </c>
      <c r="N8264" s="25" t="str">
        <f aca="false">IF(M8264=1,SUM($M$8263:M8264),"")</f>
        <v/>
      </c>
      <c r="O8264" s="25" t="n">
        <v>2</v>
      </c>
    </row>
    <row r="8265" customFormat="false" ht="16.5" hidden="false" customHeight="true" outlineLevel="0" collapsed="false">
      <c r="B8265" s="40" t="str">
        <f aca="false">IFERROR(INDEX($J$8263:$J$8266,MATCH($O8265,$N$8263:$N$8266,0)),"")</f>
        <v/>
      </c>
      <c r="C8265" s="41" t="str">
        <f aca="false">IFERROR(INDEX($K$8263:$K$8266,MATCH($O8265,$N$8263:$N$8266,0)),"")</f>
        <v/>
      </c>
      <c r="D8265" s="42" t="str">
        <f aca="false">IF(OR(E8265="",N(C8265)=0),"",E8265/C8265-1)</f>
        <v/>
      </c>
      <c r="E8265" s="41" t="str">
        <f aca="false">IFERROR(INDEX($L$8263:$L$8266,MATCH($O8265,$N$8263:$N$8266,0)),"")</f>
        <v/>
      </c>
      <c r="F8265" s="41" t="str">
        <f aca="false">IF(E8265="","",E8265-C8265)</f>
        <v/>
      </c>
      <c r="J8265" s="25" t="str">
        <f aca="false">Lib_Jur</f>
        <v>Mission juridique (approbation des comptes, secrétariat juridique)</v>
      </c>
      <c r="K8265" s="25" t="n">
        <f aca="false">IF($K$8236=0,0,N(INDEX(Clients!$M$2:$M$501,$K$8236)))</f>
        <v>0</v>
      </c>
      <c r="L8265" s="25" t="n">
        <f aca="false">IF($K$8236=0,0,N(INDEX(Clients!$R$2:$R$501,$K$8236)))</f>
        <v>0</v>
      </c>
      <c r="M8265" s="25" t="n">
        <f aca="false">IF(OR(K8265&lt;&gt;0,L8265&lt;&gt;0),1,0)</f>
        <v>0</v>
      </c>
      <c r="N8265" s="25" t="str">
        <f aca="false">IF(M8265=1,SUM($M$8263:M8265),"")</f>
        <v/>
      </c>
      <c r="O8265" s="25" t="n">
        <v>3</v>
      </c>
    </row>
    <row r="8266" customFormat="false" ht="16.5" hidden="false" customHeight="true" outlineLevel="0" collapsed="false">
      <c r="B8266" s="40" t="str">
        <f aca="false">IFERROR(INDEX($J$8263:$J$8266,MATCH($O8266,$N$8263:$N$8266,0)),"")</f>
        <v/>
      </c>
      <c r="C8266" s="41" t="str">
        <f aca="false">IFERROR(INDEX($K$8263:$K$8266,MATCH($O8266,$N$8263:$N$8266,0)),"")</f>
        <v/>
      </c>
      <c r="D8266" s="42" t="str">
        <f aca="false">IF(OR(E8266="",N(C8266)=0),"",E8266/C8266-1)</f>
        <v/>
      </c>
      <c r="E8266" s="41" t="str">
        <f aca="false">IFERROR(INDEX($L$8263:$L$8266,MATCH($O8266,$N$8263:$N$8266,0)),"")</f>
        <v/>
      </c>
      <c r="F8266" s="41" t="str">
        <f aca="false">IF(E8266="","",E8266-C8266)</f>
        <v/>
      </c>
      <c r="J8266" s="25" t="str">
        <f aca="false">Lib_PA</f>
        <v>Plateforme agréée – facturation électronique</v>
      </c>
      <c r="K8266" s="25" t="n">
        <f aca="false">IF($K$8236=0,0,N(INDEX(Clients!$N$2:$N$501,$K$8236)))</f>
        <v>0</v>
      </c>
      <c r="L8266" s="25" t="n">
        <f aca="false">IF($K$8236=0,0,N(INDEX(Clients!$S$2:$S$501,$K$8236)))</f>
        <v>0</v>
      </c>
      <c r="M8266" s="25" t="n">
        <f aca="false">IF(OR(K8266&lt;&gt;0,L8266&lt;&gt;0),1,0)</f>
        <v>0</v>
      </c>
      <c r="N8266" s="25" t="str">
        <f aca="false">IF(M8266=1,SUM($M$8263:M8266),"")</f>
        <v/>
      </c>
      <c r="O8266" s="25" t="n">
        <v>4</v>
      </c>
    </row>
    <row r="8267" customFormat="false" ht="18" hidden="false" customHeight="true" outlineLevel="0" collapsed="false">
      <c r="B8267" s="43" t="s">
        <v>158</v>
      </c>
      <c r="C8267" s="44" t="n">
        <f aca="false">SUM(K8263:K8266)</f>
        <v>0</v>
      </c>
      <c r="D8267" s="45" t="str">
        <f aca="false">IF(N(C8267)=0,"",E8267/C8267-1)</f>
        <v/>
      </c>
      <c r="E8267" s="44" t="n">
        <f aca="false">SUM(L8263:L8266)</f>
        <v>0</v>
      </c>
      <c r="F8267" s="44" t="n">
        <f aca="false">E8267-C8267</f>
        <v>0</v>
      </c>
    </row>
    <row r="8268" customFormat="false" ht="15" hidden="false" customHeight="false" outlineLevel="0" collapsed="false">
      <c r="B8268" s="46" t="str">
        <f aca="false">IF(N(Nb_Mensualites)=0,"","Soit "&amp;FIXED(E8267/Nb_Mensualites,2)&amp;" € HT par échéance ("&amp;Nb_Mensualites&amp;" échéances), "&amp;FIXED(E8267/Nb_Mensualites*(1+Taux_TVA),2)&amp;" € TTC.")</f>
        <v>Soit 0.00 € HT par échéance (12 échéances), 0.00 € TTC.</v>
      </c>
      <c r="C8268" s="46"/>
      <c r="D8268" s="46"/>
      <c r="E8268" s="46"/>
      <c r="F8268" s="46"/>
    </row>
    <row r="8269" customFormat="false" ht="7.5" hidden="false" customHeight="true" outlineLevel="0" collapsed="false">
      <c r="B8269" s="10"/>
      <c r="C8269" s="10"/>
      <c r="D8269" s="10"/>
      <c r="E8269" s="10"/>
      <c r="F8269" s="10"/>
    </row>
    <row r="8270" customFormat="false" ht="36.75" hidden="false" customHeight="true" outlineLevel="0" collapsed="false">
      <c r="B8270" s="37" t="str">
        <f aca="false">SUBSTITUTE(SUBSTITUTE(SUBSTITUTE(SUBSTITUTE(SUBSTITUTE(Txt_P5,"{cabinet}",Cab_Nom),"{societe}",IF($K$8236=0,"",INDEX(Clients!$E$2:$E$501,$K$8236)&amp;"")),"{date_effet}",$K$8238),"{hausse}",$K$8239),"{civilite}",$K$8237)</f>
        <v>Les autres conditions de votre lettre de mission demeurent inchangées. Les nouveaux montants seront appliqués automatiquement sur vos prochaines factures et échéances de prélèvement.</v>
      </c>
      <c r="C8270" s="37"/>
      <c r="D8270" s="37"/>
      <c r="E8270" s="37"/>
      <c r="F8270" s="37"/>
    </row>
    <row r="8271" customFormat="false" ht="36.75" hidden="false" customHeight="true" outlineLevel="0" collapsed="false">
      <c r="B8271" s="37" t="str">
        <f aca="false">SUBSTITUTE(SUBSTITUTE(SUBSTITUTE(SUBSTITUTE(SUBSTITUTE(Txt_P6,"{cabinet}",Cab_Nom),"{societe}",IF($K$8236=0,"",INDEX(Clients!$E$2:$E$501,$K$8236)&amp;"")),"{date_effet}",$K$8238),"{hausse}",$K$8239),"{civilite}",$K$8237)</f>
        <v>Votre interlocuteur habituel reste à votre entière disposition pour répondre à vos questions et faire le point sur l'évolution de vos besoins.</v>
      </c>
      <c r="C8271" s="37"/>
      <c r="D8271" s="37"/>
      <c r="E8271" s="37"/>
      <c r="F8271" s="37"/>
    </row>
    <row r="8272" customFormat="false" ht="24" hidden="false" customHeight="true" outlineLevel="0" collapsed="false">
      <c r="B8272" s="37" t="str">
        <f aca="false">SUBSTITUTE(SUBSTITUTE(SUBSTITUTE(SUBSTITUTE(SUBSTITUTE(Txt_Politesse,"{cabinet}",Cab_Nom),"{societe}",IF($K$8236=0,"",INDEX(Clients!$E$2:$E$501,$K$8236)&amp;"")),"{date_effet}",$K$8238),"{hausse}",$K$8239),"{civilite}",$K$8237)</f>
        <v>Nous vous prions d'agréer, Madame, Monsieur, l'expression de nos salutations distinguées.</v>
      </c>
      <c r="C8272" s="37"/>
      <c r="D8272" s="37"/>
      <c r="E8272" s="37"/>
      <c r="F8272" s="37"/>
    </row>
    <row r="8273" customFormat="false" ht="15" hidden="false" customHeight="false" outlineLevel="0" collapsed="false">
      <c r="B8273" s="10"/>
      <c r="C8273" s="10"/>
      <c r="D8273" s="10"/>
      <c r="E8273" s="10"/>
      <c r="F8273" s="10"/>
    </row>
    <row r="8274" customFormat="false" ht="15" hidden="false" customHeight="false" outlineLevel="0" collapsed="false">
      <c r="B8274" s="10"/>
      <c r="C8274" s="10"/>
      <c r="D8274" s="34" t="str">
        <f aca="false">Signataire</f>
        <v>Prénom NOM</v>
      </c>
      <c r="E8274" s="34"/>
      <c r="F8274" s="34"/>
    </row>
    <row r="8275" customFormat="false" ht="15" hidden="false" customHeight="false" outlineLevel="0" collapsed="false">
      <c r="B8275" s="10"/>
      <c r="C8275" s="10"/>
      <c r="D8275" s="47" t="str">
        <f aca="false">Signataire_Titre</f>
        <v>Expert-comptable associé</v>
      </c>
      <c r="E8275" s="47"/>
      <c r="F8275" s="47"/>
    </row>
    <row r="8276" customFormat="false" ht="15.75" hidden="false" customHeight="true" outlineLevel="0" collapsed="false">
      <c r="B8276" s="10"/>
      <c r="C8276" s="10"/>
      <c r="D8276" s="10"/>
      <c r="E8276" s="10"/>
      <c r="F8276" s="10"/>
    </row>
    <row r="8277" customFormat="false" ht="15.75" hidden="false" customHeight="true" outlineLevel="0" collapsed="false">
      <c r="B8277" s="10"/>
      <c r="C8277" s="10"/>
      <c r="D8277" s="10"/>
      <c r="E8277" s="10"/>
      <c r="F8277" s="10"/>
    </row>
    <row r="8278" customFormat="false" ht="15.75" hidden="false" customHeight="true" outlineLevel="0" collapsed="false">
      <c r="B8278" s="10"/>
      <c r="C8278" s="10"/>
      <c r="D8278" s="10"/>
      <c r="E8278" s="10"/>
      <c r="F8278" s="10"/>
    </row>
    <row r="8279" customFormat="false" ht="15.75" hidden="false" customHeight="true" outlineLevel="0" collapsed="false">
      <c r="B8279" s="10"/>
      <c r="C8279" s="10"/>
      <c r="D8279" s="10"/>
      <c r="E8279" s="10"/>
      <c r="F8279" s="10"/>
    </row>
    <row r="8280" customFormat="false" ht="24" hidden="false" customHeight="true" outlineLevel="0" collapsed="false">
      <c r="B8280" s="48" t="str">
        <f aca="false">Cab_Mentions</f>
        <v>ALTHO EXPERTISE · SAS au capital de 10 000 € · RCS Pontoise 919 706 325 · TVA FR62919706325 · Société d'expertise comptable inscrite au Tableau de l'Ordre des experts-comptables de Paris Île-de-France</v>
      </c>
      <c r="C8280" s="48"/>
      <c r="D8280" s="48"/>
      <c r="E8280" s="48"/>
      <c r="F8280" s="48"/>
    </row>
    <row r="8281" customFormat="false" ht="15" hidden="false" customHeight="false" outlineLevel="0" collapsed="false">
      <c r="B8281" s="10"/>
      <c r="C8281" s="10"/>
      <c r="D8281" s="10"/>
      <c r="E8281" s="10"/>
      <c r="F8281" s="10"/>
      <c r="J8281" s="25" t="s">
        <v>142</v>
      </c>
      <c r="K8281" s="25" t="n">
        <f aca="false">IFERROR(MATCH(185,Clients!$Z$2:$Z$501,0),0)</f>
        <v>0</v>
      </c>
      <c r="L8281" s="25"/>
      <c r="M8281" s="25"/>
      <c r="N8281" s="25"/>
      <c r="O8281" s="25"/>
    </row>
    <row r="8282" customFormat="false" ht="21.75" hidden="false" customHeight="true" outlineLevel="0" collapsed="false">
      <c r="B8282" s="26" t="str">
        <f aca="false">Cab_Nom</f>
        <v>ALTHO EXPERTISE</v>
      </c>
      <c r="C8282" s="26"/>
      <c r="D8282" s="10"/>
      <c r="E8282" s="27" t="str">
        <f aca="false">IF($K$8281=0,"","Réf. client : "&amp;INDEX(Clients!$A$2:$A$501,$K$8281))</f>
        <v/>
      </c>
      <c r="F8282" s="27"/>
      <c r="J8282" s="25" t="s">
        <v>144</v>
      </c>
      <c r="K8282" s="25" t="str">
        <f aca="false">IF(IF($K$8281=0,"",INDEX(Clients!$B$2:$B$501,$K$8281)&amp;"")="Mme","Madame",IF(IF($K$8281=0,"",INDEX(Clients!$B$2:$B$501,$K$8281)&amp;"")="M.","Monsieur","Madame, Monsieur"))</f>
        <v>Madame, Monsieur</v>
      </c>
      <c r="L8282" s="25"/>
      <c r="M8282" s="25"/>
      <c r="N8282" s="25"/>
      <c r="O8282" s="25"/>
    </row>
    <row r="8283" customFormat="false" ht="15" hidden="false" customHeight="false" outlineLevel="0" collapsed="false">
      <c r="B8283" s="29" t="str">
        <f aca="false">Cab_Adr1</f>
        <v>141 rue Charles de Gaulle</v>
      </c>
      <c r="C8283" s="29"/>
      <c r="D8283" s="10"/>
      <c r="E8283" s="10"/>
      <c r="F8283" s="10"/>
      <c r="J8283" s="25" t="s">
        <v>145</v>
      </c>
      <c r="K8283" s="25" t="str">
        <f aca="false">DAY(Date_Effet)&amp;IF(DAY(Date_Effet)=1,"er","")&amp;" "&amp;INDEX(Liste_Mois,MONTH(Date_Effet))&amp;" "&amp;YEAR(Date_Effet)</f>
        <v>1er janvier 2027</v>
      </c>
      <c r="L8283" s="25"/>
      <c r="M8283" s="25"/>
      <c r="N8283" s="25"/>
      <c r="O8283" s="25"/>
    </row>
    <row r="8284" customFormat="false" ht="15" hidden="false" customHeight="false" outlineLevel="0" collapsed="false">
      <c r="B8284" s="29" t="str">
        <f aca="false">Cab_CPVille</f>
        <v>95130 LE PLESSIS-BOUCHARD</v>
      </c>
      <c r="C8284" s="29"/>
      <c r="D8284" s="10"/>
      <c r="E8284" s="10"/>
      <c r="F8284" s="10"/>
      <c r="J8284" s="25" t="s">
        <v>146</v>
      </c>
      <c r="K8284" s="25" t="str">
        <f aca="false">IF(SUM($K$8308:$K$8311)=0,"",FIXED((SUM($L$8308:$L$8311)/SUM($K$8308:$K$8311)-1)*100,1)&amp;" %")</f>
        <v/>
      </c>
      <c r="L8284" s="25"/>
      <c r="M8284" s="25"/>
      <c r="N8284" s="25"/>
      <c r="O8284" s="25"/>
    </row>
    <row r="8285" customFormat="false" ht="15" hidden="false" customHeight="false" outlineLevel="0" collapsed="false">
      <c r="B8285" s="29" t="str">
        <f aca="false">Cab_Contact</f>
        <v>Tél. 01 34 14 53 45  ·  altho@altho-experts.com  ·  altho-experts.com</v>
      </c>
      <c r="C8285" s="29"/>
      <c r="D8285" s="10"/>
      <c r="E8285" s="10"/>
      <c r="F8285" s="10"/>
      <c r="J8285" s="25"/>
      <c r="K8285" s="25"/>
      <c r="L8285" s="25"/>
      <c r="M8285" s="25"/>
      <c r="N8285" s="25"/>
      <c r="O8285" s="25"/>
    </row>
    <row r="8286" customFormat="false" ht="6" hidden="false" customHeight="true" outlineLevel="0" collapsed="false">
      <c r="B8286" s="32"/>
      <c r="C8286" s="32"/>
      <c r="D8286" s="32"/>
      <c r="E8286" s="32"/>
      <c r="F8286" s="32"/>
      <c r="J8286" s="25"/>
      <c r="K8286" s="25"/>
      <c r="L8286" s="25"/>
      <c r="M8286" s="25"/>
      <c r="N8286" s="25"/>
      <c r="O8286" s="25"/>
    </row>
    <row r="8287" customFormat="false" ht="13.5" hidden="false" customHeight="true" outlineLevel="0" collapsed="false">
      <c r="B8287" s="10"/>
      <c r="C8287" s="10"/>
      <c r="D8287" s="10"/>
      <c r="E8287" s="10"/>
      <c r="F8287" s="10"/>
      <c r="J8287" s="25"/>
      <c r="K8287" s="25"/>
      <c r="L8287" s="25"/>
      <c r="M8287" s="25"/>
      <c r="N8287" s="25"/>
      <c r="O8287" s="25"/>
    </row>
    <row r="8288" customFormat="false" ht="13.5" hidden="false" customHeight="true" outlineLevel="0" collapsed="false">
      <c r="B8288" s="10"/>
      <c r="C8288" s="10"/>
      <c r="D8288" s="10"/>
      <c r="E8288" s="10"/>
      <c r="F8288" s="10"/>
      <c r="J8288" s="25"/>
      <c r="K8288" s="25"/>
      <c r="L8288" s="25"/>
      <c r="M8288" s="25"/>
      <c r="N8288" s="25"/>
      <c r="O8288" s="25"/>
    </row>
    <row r="8289" customFormat="false" ht="13.5" hidden="false" customHeight="true" outlineLevel="0" collapsed="false">
      <c r="B8289" s="10"/>
      <c r="C8289" s="10"/>
      <c r="D8289" s="10"/>
      <c r="E8289" s="10"/>
      <c r="F8289" s="10"/>
      <c r="J8289" s="25"/>
      <c r="K8289" s="25"/>
      <c r="L8289" s="25"/>
      <c r="M8289" s="25"/>
      <c r="N8289" s="25"/>
      <c r="O8289" s="25"/>
    </row>
    <row r="8290" customFormat="false" ht="15" hidden="false" customHeight="true" outlineLevel="0" collapsed="false">
      <c r="B8290" s="10"/>
      <c r="C8290" s="10"/>
      <c r="D8290" s="34" t="str">
        <f aca="false">IF($K$8281=0,"",INDEX(Clients!$E$2:$E$501,$K$8281)&amp;"")</f>
        <v/>
      </c>
      <c r="E8290" s="34"/>
      <c r="F8290" s="34"/>
      <c r="J8290" s="25"/>
      <c r="K8290" s="25"/>
      <c r="L8290" s="25"/>
      <c r="M8290" s="25"/>
      <c r="N8290" s="25"/>
      <c r="O8290" s="25"/>
    </row>
    <row r="8291" customFormat="false" ht="15" hidden="false" customHeight="true" outlineLevel="0" collapsed="false">
      <c r="B8291" s="10"/>
      <c r="C8291" s="10"/>
      <c r="D8291" s="35" t="str">
        <f aca="false">IF(IF($K$8281=0,"",INDEX(Clients!$D$2:$D$501,$K$8281)&amp;"")="","","À l'attention de "&amp;TRIM(IF($K$8281=0,"",INDEX(Clients!$B$2:$B$501,$K$8281)&amp;"")&amp;" "&amp;IF($K$8281=0,"",INDEX(Clients!$C$2:$C$501,$K$8281)&amp;"")&amp;" "&amp;IF($K$8281=0,"",INDEX(Clients!$D$2:$D$501,$K$8281)&amp;"")))</f>
        <v/>
      </c>
      <c r="E8291" s="35"/>
      <c r="F8291" s="35"/>
      <c r="J8291" s="25"/>
      <c r="K8291" s="25"/>
      <c r="L8291" s="25"/>
      <c r="M8291" s="25"/>
      <c r="N8291" s="25"/>
      <c r="O8291" s="25"/>
    </row>
    <row r="8292" customFormat="false" ht="15" hidden="false" customHeight="true" outlineLevel="0" collapsed="false">
      <c r="B8292" s="10"/>
      <c r="C8292" s="10"/>
      <c r="D8292" s="35" t="str">
        <f aca="false">IF($K$8281=0,"",INDEX(Clients!$F$2:$F$501,$K$8281)&amp;"")</f>
        <v/>
      </c>
      <c r="E8292" s="35"/>
      <c r="F8292" s="35"/>
      <c r="J8292" s="25"/>
      <c r="K8292" s="25"/>
      <c r="L8292" s="25"/>
      <c r="M8292" s="25"/>
      <c r="N8292" s="25"/>
      <c r="O8292" s="25"/>
    </row>
    <row r="8293" customFormat="false" ht="15" hidden="false" customHeight="true" outlineLevel="0" collapsed="false">
      <c r="B8293" s="10"/>
      <c r="C8293" s="10"/>
      <c r="D8293" s="35" t="str">
        <f aca="false">IF(IF($K$8281=0,"",INDEX(Clients!$G$2:$G$501,$K$8281)&amp;"")="",TRIM(IF($K$8281=0,"",INDEX(Clients!$H$2:$H$501,$K$8281)&amp;"")&amp;" "&amp;UPPER(IF($K$8281=0,"",INDEX(Clients!$I$2:$I$501,$K$8281)&amp;""))),IF($K$8281=0,"",INDEX(Clients!$G$2:$G$501,$K$8281)&amp;""))</f>
        <v/>
      </c>
      <c r="E8293" s="35"/>
      <c r="F8293" s="35"/>
      <c r="J8293" s="25"/>
      <c r="K8293" s="25"/>
      <c r="L8293" s="25"/>
      <c r="M8293" s="25"/>
      <c r="N8293" s="25"/>
      <c r="O8293" s="25"/>
    </row>
    <row r="8294" customFormat="false" ht="15" hidden="false" customHeight="true" outlineLevel="0" collapsed="false">
      <c r="B8294" s="10"/>
      <c r="C8294" s="10"/>
      <c r="D8294" s="35" t="str">
        <f aca="false">IF(IF($K$8281=0,"",INDEX(Clients!$G$2:$G$501,$K$8281)&amp;"")="","",TRIM(IF($K$8281=0,"",INDEX(Clients!$H$2:$H$501,$K$8281)&amp;"")&amp;" "&amp;UPPER(IF($K$8281=0,"",INDEX(Clients!$I$2:$I$501,$K$8281)&amp;""))))</f>
        <v/>
      </c>
      <c r="E8294" s="35"/>
      <c r="F8294" s="35"/>
      <c r="J8294" s="25"/>
      <c r="K8294" s="25"/>
      <c r="L8294" s="25"/>
      <c r="M8294" s="25"/>
      <c r="N8294" s="25"/>
      <c r="O8294" s="25"/>
    </row>
    <row r="8295" customFormat="false" ht="25.5" hidden="false" customHeight="true" outlineLevel="0" collapsed="false">
      <c r="B8295" s="10"/>
      <c r="C8295" s="10"/>
      <c r="D8295" s="10"/>
      <c r="E8295" s="10"/>
      <c r="F8295" s="10"/>
      <c r="J8295" s="25"/>
      <c r="K8295" s="25"/>
      <c r="L8295" s="25"/>
      <c r="M8295" s="25"/>
      <c r="N8295" s="25"/>
      <c r="O8295" s="25"/>
    </row>
    <row r="8296" customFormat="false" ht="15" hidden="false" customHeight="false" outlineLevel="0" collapsed="false">
      <c r="B8296" s="10"/>
      <c r="C8296" s="10"/>
      <c r="D8296" s="36" t="str">
        <f aca="false">Cab_Ville&amp;", le "&amp;DAY(Date_Courrier)&amp;IF(DAY(Date_Courrier)=1,"er","")&amp;" "&amp;INDEX(Liste_Mois,MONTH(Date_Courrier))&amp;" "&amp;YEAR(Date_Courrier)</f>
        <v>Le Plessis-Bouchard, le 22 septembre 2026</v>
      </c>
      <c r="E8296" s="36"/>
      <c r="F8296" s="36"/>
      <c r="J8296" s="25"/>
      <c r="K8296" s="25"/>
      <c r="L8296" s="25"/>
      <c r="M8296" s="25"/>
      <c r="N8296" s="25"/>
      <c r="O8296" s="25"/>
    </row>
    <row r="8297" customFormat="false" ht="19.5" hidden="false" customHeight="true" outlineLevel="0" collapsed="false">
      <c r="B8297" s="10"/>
      <c r="C8297" s="10"/>
      <c r="D8297" s="10"/>
      <c r="E8297" s="10"/>
      <c r="F8297" s="10"/>
      <c r="J8297" s="25"/>
      <c r="K8297" s="25"/>
      <c r="L8297" s="25"/>
      <c r="M8297" s="25"/>
      <c r="N8297" s="25"/>
      <c r="O8297" s="25"/>
    </row>
    <row r="8298" customFormat="false" ht="15" hidden="false" customHeight="false" outlineLevel="0" collapsed="false">
      <c r="B8298" s="34" t="str">
        <f aca="false">SUBSTITUTE(SUBSTITUTE(SUBSTITUTE(SUBSTITUTE(SUBSTITUTE(Txt_Objet,"{cabinet}",Cab_Nom),"{societe}",IF($K$8281=0,"",INDEX(Clients!$E$2:$E$501,$K$8281)&amp;"")),"{date_effet}",$K$8283),"{hausse}",$K$8284),"{civilite}",$K$8282)</f>
        <v>Objet : révision de nos honoraires au 1er janvier 2027</v>
      </c>
      <c r="C8298" s="34"/>
      <c r="D8298" s="34"/>
      <c r="E8298" s="34"/>
      <c r="F8298" s="34"/>
      <c r="J8298" s="25"/>
      <c r="K8298" s="25"/>
      <c r="L8298" s="25"/>
      <c r="M8298" s="25"/>
      <c r="N8298" s="25"/>
      <c r="O8298" s="25"/>
    </row>
    <row r="8299" customFormat="false" ht="13.5" hidden="false" customHeight="true" outlineLevel="0" collapsed="false">
      <c r="B8299" s="10"/>
      <c r="C8299" s="10"/>
      <c r="D8299" s="10"/>
      <c r="E8299" s="10"/>
      <c r="F8299" s="10"/>
      <c r="J8299" s="25"/>
      <c r="K8299" s="25"/>
      <c r="L8299" s="25"/>
      <c r="M8299" s="25"/>
      <c r="N8299" s="25"/>
      <c r="O8299" s="25"/>
    </row>
    <row r="8300" customFormat="false" ht="15" hidden="false" customHeight="false" outlineLevel="0" collapsed="false">
      <c r="B8300" s="10" t="str">
        <f aca="false">$K$8282&amp;","</f>
        <v>Madame, Monsieur,</v>
      </c>
      <c r="C8300" s="10"/>
      <c r="D8300" s="10"/>
      <c r="E8300" s="10"/>
      <c r="F8300" s="10"/>
      <c r="J8300" s="25"/>
      <c r="K8300" s="25"/>
      <c r="L8300" s="25"/>
      <c r="M8300" s="25"/>
      <c r="N8300" s="25"/>
      <c r="O8300" s="25"/>
    </row>
    <row r="8301" customFormat="false" ht="6" hidden="false" customHeight="true" outlineLevel="0" collapsed="false">
      <c r="B8301" s="10"/>
      <c r="C8301" s="10"/>
      <c r="D8301" s="10"/>
      <c r="E8301" s="10"/>
      <c r="F8301" s="10"/>
      <c r="J8301" s="25"/>
      <c r="K8301" s="25"/>
      <c r="L8301" s="25"/>
      <c r="M8301" s="25"/>
      <c r="N8301" s="25"/>
      <c r="O8301" s="25"/>
    </row>
    <row r="8302" customFormat="false" ht="36.75" hidden="false" customHeight="true" outlineLevel="0" collapsed="false">
      <c r="B8302" s="37" t="str">
        <f aca="false">SUBSTITUTE(SUBSTITUTE(SUBSTITUTE(SUBSTITUTE(SUBSTITUTE(Txt_P1,"{cabinet}",Cab_Nom),"{societe}",IF($K$8281=0,"",INDEX(Clients!$E$2:$E$501,$K$8281)&amp;"")),"{date_effet}",$K$8283),"{hausse}",$K$8284),"{civilite}",$K$8282)</f>
        <v>Nous tenons tout d'abord à vous remercier pour la confiance que vous accordez à ALTHO EXPERTISE. Comme chaque année, et conformément aux dispositions de votre lettre de mission, nous procédons à la révision de nos honoraires.</v>
      </c>
      <c r="C8302" s="37"/>
      <c r="D8302" s="37"/>
      <c r="E8302" s="37"/>
      <c r="F8302" s="37"/>
      <c r="J8302" s="25"/>
      <c r="K8302" s="25"/>
      <c r="L8302" s="25"/>
      <c r="M8302" s="25"/>
      <c r="N8302" s="25"/>
      <c r="O8302" s="25"/>
    </row>
    <row r="8303" customFormat="false" ht="49.5" hidden="false" customHeight="true" outlineLevel="0" collapsed="false">
      <c r="B8303" s="37" t="str">
        <f aca="false">SUBSTITUTE(SUBSTITUTE(SUBSTITUTE(SUBSTITUTE(SUBSTITUTE(Txt_P2,"{cabinet}",Cab_Nom),"{societe}",IF($K$8281=0,"",INDEX(Clients!$E$2:$E$501,$K$8281)&amp;"")),"{date_effet}",$K$8283),"{hausse}",$K$8284),"{civilite}",$K$8282)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303" s="37"/>
      <c r="D8303" s="37"/>
      <c r="E8303" s="37"/>
      <c r="F8303" s="37"/>
      <c r="J8303" s="25"/>
      <c r="K8303" s="25"/>
      <c r="L8303" s="25"/>
      <c r="M8303" s="25"/>
      <c r="N8303" s="25"/>
      <c r="O8303" s="25"/>
    </row>
    <row r="8304" customFormat="false" ht="63" hidden="false" customHeight="true" outlineLevel="0" collapsed="false">
      <c r="B8304" s="37" t="str">
        <f aca="false">SUBSTITUTE(SUBSTITUTE(SUBSTITUTE(SUBSTITUTE(SUBSTITUTE(Txt_P3,"{cabinet}",Cab_Nom),"{societe}",IF($K$8281=0,"",INDEX(Clients!$E$2:$E$501,$K$8281)&amp;"")),"{date_effet}",$K$8283),"{hausse}",$K$8284),"{civilite}",$K$8282)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304" s="37"/>
      <c r="D8304" s="37"/>
      <c r="E8304" s="37"/>
      <c r="F8304" s="37"/>
      <c r="J8304" s="25"/>
      <c r="K8304" s="25"/>
      <c r="L8304" s="25"/>
      <c r="M8304" s="25"/>
      <c r="N8304" s="25"/>
      <c r="O8304" s="25"/>
    </row>
    <row r="8305" customFormat="false" ht="24" hidden="false" customHeight="true" outlineLevel="0" collapsed="false">
      <c r="B8305" s="37" t="str">
        <f aca="false">SUBSTITUTE(SUBSTITUTE(SUBSTITUTE(SUBSTITUTE(SUBSTITUTE(Txt_P4,"{cabinet}",Cab_Nom),"{societe}",IF($K$8281=0,"",INDEX(Clients!$E$2:$E$501,$K$8281)&amp;"")),"{date_effet}",$K$8283),"{hausse}",$K$8284),"{civilite}",$K$8282)</f>
        <v>À compter du 1er janvier 2027, vos honoraires annuels hors taxes évolueront ainsi (évolution globale : ) :</v>
      </c>
      <c r="C8305" s="37"/>
      <c r="D8305" s="37"/>
      <c r="E8305" s="37"/>
      <c r="F8305" s="37"/>
      <c r="J8305" s="25"/>
      <c r="K8305" s="25"/>
      <c r="L8305" s="25"/>
      <c r="M8305" s="25"/>
      <c r="N8305" s="25"/>
      <c r="O8305" s="25"/>
    </row>
    <row r="8306" customFormat="false" ht="3.75" hidden="false" customHeight="true" outlineLevel="0" collapsed="false">
      <c r="B8306" s="10"/>
      <c r="C8306" s="10"/>
      <c r="D8306" s="10"/>
      <c r="E8306" s="10"/>
      <c r="F8306" s="10"/>
      <c r="J8306" s="25"/>
      <c r="K8306" s="25"/>
      <c r="L8306" s="25"/>
      <c r="M8306" s="25"/>
      <c r="N8306" s="25"/>
      <c r="O8306" s="25"/>
    </row>
    <row r="8307" customFormat="false" ht="18" hidden="false" customHeight="true" outlineLevel="0" collapsed="false">
      <c r="B8307" s="38" t="s">
        <v>148</v>
      </c>
      <c r="C8307" s="39" t="s">
        <v>149</v>
      </c>
      <c r="D8307" s="39" t="s">
        <v>150</v>
      </c>
      <c r="E8307" s="39" t="s">
        <v>151</v>
      </c>
      <c r="F8307" s="39" t="s">
        <v>109</v>
      </c>
      <c r="J8307" s="25" t="s">
        <v>152</v>
      </c>
      <c r="K8307" s="25" t="s">
        <v>153</v>
      </c>
      <c r="L8307" s="25" t="s">
        <v>154</v>
      </c>
      <c r="M8307" s="25" t="s">
        <v>155</v>
      </c>
      <c r="N8307" s="25" t="s">
        <v>156</v>
      </c>
      <c r="O8307" s="25" t="s">
        <v>157</v>
      </c>
    </row>
    <row r="8308" customFormat="false" ht="16.5" hidden="false" customHeight="true" outlineLevel="0" collapsed="false">
      <c r="B8308" s="40" t="str">
        <f aca="false">IFERROR(INDEX($J$8308:$J$8311,MATCH($O8308,$N$8308:$N$8311,0)),"")</f>
        <v/>
      </c>
      <c r="C8308" s="41" t="str">
        <f aca="false">IFERROR(INDEX($K$8308:$K$8311,MATCH($O8308,$N$8308:$N$8311,0)),"")</f>
        <v/>
      </c>
      <c r="D8308" s="42" t="str">
        <f aca="false">IF(OR(E8308="",N(C8308)=0),"",E8308/C8308-1)</f>
        <v/>
      </c>
      <c r="E8308" s="41" t="str">
        <f aca="false">IFERROR(INDEX($L$8308:$L$8311,MATCH($O8308,$N$8308:$N$8311,0)),"")</f>
        <v/>
      </c>
      <c r="F8308" s="41" t="str">
        <f aca="false">IF(E8308="","",E8308-C8308)</f>
        <v/>
      </c>
      <c r="J8308" s="25" t="str">
        <f aca="false">Lib_Compta</f>
        <v>Mission comptable (tenue, révision, bilan, liasse fiscale)</v>
      </c>
      <c r="K8308" s="25" t="n">
        <f aca="false">IF($K$8281=0,0,N(INDEX(Clients!$K$2:$K$501,$K$8281)))</f>
        <v>0</v>
      </c>
      <c r="L8308" s="25" t="n">
        <f aca="false">IF($K$8281=0,0,N(INDEX(Clients!$P$2:$P$501,$K$8281)))</f>
        <v>0</v>
      </c>
      <c r="M8308" s="25" t="n">
        <f aca="false">IF(OR(K8308&lt;&gt;0,L8308&lt;&gt;0),1,0)</f>
        <v>0</v>
      </c>
      <c r="N8308" s="25" t="str">
        <f aca="false">IF(M8308=1,SUM($M$8308:M8308),"")</f>
        <v/>
      </c>
      <c r="O8308" s="25" t="n">
        <v>1</v>
      </c>
    </row>
    <row r="8309" customFormat="false" ht="16.5" hidden="false" customHeight="true" outlineLevel="0" collapsed="false">
      <c r="B8309" s="40" t="str">
        <f aca="false">IFERROR(INDEX($J$8308:$J$8311,MATCH($O8309,$N$8308:$N$8311,0)),"")</f>
        <v/>
      </c>
      <c r="C8309" s="41" t="str">
        <f aca="false">IFERROR(INDEX($K$8308:$K$8311,MATCH($O8309,$N$8308:$N$8311,0)),"")</f>
        <v/>
      </c>
      <c r="D8309" s="42" t="str">
        <f aca="false">IF(OR(E8309="",N(C8309)=0),"",E8309/C8309-1)</f>
        <v/>
      </c>
      <c r="E8309" s="41" t="str">
        <f aca="false">IFERROR(INDEX($L$8308:$L$8311,MATCH($O8309,$N$8308:$N$8311,0)),"")</f>
        <v/>
      </c>
      <c r="F8309" s="41" t="str">
        <f aca="false">IF(E8309="","",E8309-C8309)</f>
        <v/>
      </c>
      <c r="J8309" s="25" t="str">
        <f aca="false">Lib_Paye</f>
        <v>Mission sociale (bulletins de paie, DSN, déclarations sociales)</v>
      </c>
      <c r="K8309" s="25" t="n">
        <f aca="false">IF($K$8281=0,0,N(INDEX(Clients!$L$2:$L$501,$K$8281)))</f>
        <v>0</v>
      </c>
      <c r="L8309" s="25" t="n">
        <f aca="false">IF($K$8281=0,0,N(INDEX(Clients!$Q$2:$Q$501,$K$8281)))</f>
        <v>0</v>
      </c>
      <c r="M8309" s="25" t="n">
        <f aca="false">IF(OR(K8309&lt;&gt;0,L8309&lt;&gt;0),1,0)</f>
        <v>0</v>
      </c>
      <c r="N8309" s="25" t="str">
        <f aca="false">IF(M8309=1,SUM($M$8308:M8309),"")</f>
        <v/>
      </c>
      <c r="O8309" s="25" t="n">
        <v>2</v>
      </c>
    </row>
    <row r="8310" customFormat="false" ht="16.5" hidden="false" customHeight="true" outlineLevel="0" collapsed="false">
      <c r="B8310" s="40" t="str">
        <f aca="false">IFERROR(INDEX($J$8308:$J$8311,MATCH($O8310,$N$8308:$N$8311,0)),"")</f>
        <v/>
      </c>
      <c r="C8310" s="41" t="str">
        <f aca="false">IFERROR(INDEX($K$8308:$K$8311,MATCH($O8310,$N$8308:$N$8311,0)),"")</f>
        <v/>
      </c>
      <c r="D8310" s="42" t="str">
        <f aca="false">IF(OR(E8310="",N(C8310)=0),"",E8310/C8310-1)</f>
        <v/>
      </c>
      <c r="E8310" s="41" t="str">
        <f aca="false">IFERROR(INDEX($L$8308:$L$8311,MATCH($O8310,$N$8308:$N$8311,0)),"")</f>
        <v/>
      </c>
      <c r="F8310" s="41" t="str">
        <f aca="false">IF(E8310="","",E8310-C8310)</f>
        <v/>
      </c>
      <c r="J8310" s="25" t="str">
        <f aca="false">Lib_Jur</f>
        <v>Mission juridique (approbation des comptes, secrétariat juridique)</v>
      </c>
      <c r="K8310" s="25" t="n">
        <f aca="false">IF($K$8281=0,0,N(INDEX(Clients!$M$2:$M$501,$K$8281)))</f>
        <v>0</v>
      </c>
      <c r="L8310" s="25" t="n">
        <f aca="false">IF($K$8281=0,0,N(INDEX(Clients!$R$2:$R$501,$K$8281)))</f>
        <v>0</v>
      </c>
      <c r="M8310" s="25" t="n">
        <f aca="false">IF(OR(K8310&lt;&gt;0,L8310&lt;&gt;0),1,0)</f>
        <v>0</v>
      </c>
      <c r="N8310" s="25" t="str">
        <f aca="false">IF(M8310=1,SUM($M$8308:M8310),"")</f>
        <v/>
      </c>
      <c r="O8310" s="25" t="n">
        <v>3</v>
      </c>
    </row>
    <row r="8311" customFormat="false" ht="16.5" hidden="false" customHeight="true" outlineLevel="0" collapsed="false">
      <c r="B8311" s="40" t="str">
        <f aca="false">IFERROR(INDEX($J$8308:$J$8311,MATCH($O8311,$N$8308:$N$8311,0)),"")</f>
        <v/>
      </c>
      <c r="C8311" s="41" t="str">
        <f aca="false">IFERROR(INDEX($K$8308:$K$8311,MATCH($O8311,$N$8308:$N$8311,0)),"")</f>
        <v/>
      </c>
      <c r="D8311" s="42" t="str">
        <f aca="false">IF(OR(E8311="",N(C8311)=0),"",E8311/C8311-1)</f>
        <v/>
      </c>
      <c r="E8311" s="41" t="str">
        <f aca="false">IFERROR(INDEX($L$8308:$L$8311,MATCH($O8311,$N$8308:$N$8311,0)),"")</f>
        <v/>
      </c>
      <c r="F8311" s="41" t="str">
        <f aca="false">IF(E8311="","",E8311-C8311)</f>
        <v/>
      </c>
      <c r="J8311" s="25" t="str">
        <f aca="false">Lib_PA</f>
        <v>Plateforme agréée – facturation électronique</v>
      </c>
      <c r="K8311" s="25" t="n">
        <f aca="false">IF($K$8281=0,0,N(INDEX(Clients!$N$2:$N$501,$K$8281)))</f>
        <v>0</v>
      </c>
      <c r="L8311" s="25" t="n">
        <f aca="false">IF($K$8281=0,0,N(INDEX(Clients!$S$2:$S$501,$K$8281)))</f>
        <v>0</v>
      </c>
      <c r="M8311" s="25" t="n">
        <f aca="false">IF(OR(K8311&lt;&gt;0,L8311&lt;&gt;0),1,0)</f>
        <v>0</v>
      </c>
      <c r="N8311" s="25" t="str">
        <f aca="false">IF(M8311=1,SUM($M$8308:M8311),"")</f>
        <v/>
      </c>
      <c r="O8311" s="25" t="n">
        <v>4</v>
      </c>
    </row>
    <row r="8312" customFormat="false" ht="18" hidden="false" customHeight="true" outlineLevel="0" collapsed="false">
      <c r="B8312" s="43" t="s">
        <v>158</v>
      </c>
      <c r="C8312" s="44" t="n">
        <f aca="false">SUM(K8308:K8311)</f>
        <v>0</v>
      </c>
      <c r="D8312" s="45" t="str">
        <f aca="false">IF(N(C8312)=0,"",E8312/C8312-1)</f>
        <v/>
      </c>
      <c r="E8312" s="44" t="n">
        <f aca="false">SUM(L8308:L8311)</f>
        <v>0</v>
      </c>
      <c r="F8312" s="44" t="n">
        <f aca="false">E8312-C8312</f>
        <v>0</v>
      </c>
    </row>
    <row r="8313" customFormat="false" ht="15" hidden="false" customHeight="false" outlineLevel="0" collapsed="false">
      <c r="B8313" s="46" t="str">
        <f aca="false">IF(N(Nb_Mensualites)=0,"","Soit "&amp;FIXED(E8312/Nb_Mensualites,2)&amp;" € HT par échéance ("&amp;Nb_Mensualites&amp;" échéances), "&amp;FIXED(E8312/Nb_Mensualites*(1+Taux_TVA),2)&amp;" € TTC.")</f>
        <v>Soit 0.00 € HT par échéance (12 échéances), 0.00 € TTC.</v>
      </c>
      <c r="C8313" s="46"/>
      <c r="D8313" s="46"/>
      <c r="E8313" s="46"/>
      <c r="F8313" s="46"/>
    </row>
    <row r="8314" customFormat="false" ht="7.5" hidden="false" customHeight="true" outlineLevel="0" collapsed="false">
      <c r="B8314" s="10"/>
      <c r="C8314" s="10"/>
      <c r="D8314" s="10"/>
      <c r="E8314" s="10"/>
      <c r="F8314" s="10"/>
    </row>
    <row r="8315" customFormat="false" ht="36.75" hidden="false" customHeight="true" outlineLevel="0" collapsed="false">
      <c r="B8315" s="37" t="str">
        <f aca="false">SUBSTITUTE(SUBSTITUTE(SUBSTITUTE(SUBSTITUTE(SUBSTITUTE(Txt_P5,"{cabinet}",Cab_Nom),"{societe}",IF($K$8281=0,"",INDEX(Clients!$E$2:$E$501,$K$8281)&amp;"")),"{date_effet}",$K$8283),"{hausse}",$K$8284),"{civilite}",$K$8282)</f>
        <v>Les autres conditions de votre lettre de mission demeurent inchangées. Les nouveaux montants seront appliqués automatiquement sur vos prochaines factures et échéances de prélèvement.</v>
      </c>
      <c r="C8315" s="37"/>
      <c r="D8315" s="37"/>
      <c r="E8315" s="37"/>
      <c r="F8315" s="37"/>
    </row>
    <row r="8316" customFormat="false" ht="36.75" hidden="false" customHeight="true" outlineLevel="0" collapsed="false">
      <c r="B8316" s="37" t="str">
        <f aca="false">SUBSTITUTE(SUBSTITUTE(SUBSTITUTE(SUBSTITUTE(SUBSTITUTE(Txt_P6,"{cabinet}",Cab_Nom),"{societe}",IF($K$8281=0,"",INDEX(Clients!$E$2:$E$501,$K$8281)&amp;"")),"{date_effet}",$K$8283),"{hausse}",$K$8284),"{civilite}",$K$8282)</f>
        <v>Votre interlocuteur habituel reste à votre entière disposition pour répondre à vos questions et faire le point sur l'évolution de vos besoins.</v>
      </c>
      <c r="C8316" s="37"/>
      <c r="D8316" s="37"/>
      <c r="E8316" s="37"/>
      <c r="F8316" s="37"/>
    </row>
    <row r="8317" customFormat="false" ht="24" hidden="false" customHeight="true" outlineLevel="0" collapsed="false">
      <c r="B8317" s="37" t="str">
        <f aca="false">SUBSTITUTE(SUBSTITUTE(SUBSTITUTE(SUBSTITUTE(SUBSTITUTE(Txt_Politesse,"{cabinet}",Cab_Nom),"{societe}",IF($K$8281=0,"",INDEX(Clients!$E$2:$E$501,$K$8281)&amp;"")),"{date_effet}",$K$8283),"{hausse}",$K$8284),"{civilite}",$K$8282)</f>
        <v>Nous vous prions d'agréer, Madame, Monsieur, l'expression de nos salutations distinguées.</v>
      </c>
      <c r="C8317" s="37"/>
      <c r="D8317" s="37"/>
      <c r="E8317" s="37"/>
      <c r="F8317" s="37"/>
    </row>
    <row r="8318" customFormat="false" ht="15" hidden="false" customHeight="false" outlineLevel="0" collapsed="false">
      <c r="B8318" s="10"/>
      <c r="C8318" s="10"/>
      <c r="D8318" s="10"/>
      <c r="E8318" s="10"/>
      <c r="F8318" s="10"/>
    </row>
    <row r="8319" customFormat="false" ht="15" hidden="false" customHeight="false" outlineLevel="0" collapsed="false">
      <c r="B8319" s="10"/>
      <c r="C8319" s="10"/>
      <c r="D8319" s="34" t="str">
        <f aca="false">Signataire</f>
        <v>Prénom NOM</v>
      </c>
      <c r="E8319" s="34"/>
      <c r="F8319" s="34"/>
    </row>
    <row r="8320" customFormat="false" ht="15" hidden="false" customHeight="false" outlineLevel="0" collapsed="false">
      <c r="B8320" s="10"/>
      <c r="C8320" s="10"/>
      <c r="D8320" s="47" t="str">
        <f aca="false">Signataire_Titre</f>
        <v>Expert-comptable associé</v>
      </c>
      <c r="E8320" s="47"/>
      <c r="F8320" s="47"/>
    </row>
    <row r="8321" customFormat="false" ht="15.75" hidden="false" customHeight="true" outlineLevel="0" collapsed="false">
      <c r="B8321" s="10"/>
      <c r="C8321" s="10"/>
      <c r="D8321" s="10"/>
      <c r="E8321" s="10"/>
      <c r="F8321" s="10"/>
    </row>
    <row r="8322" customFormat="false" ht="15.75" hidden="false" customHeight="true" outlineLevel="0" collapsed="false">
      <c r="B8322" s="10"/>
      <c r="C8322" s="10"/>
      <c r="D8322" s="10"/>
      <c r="E8322" s="10"/>
      <c r="F8322" s="10"/>
    </row>
    <row r="8323" customFormat="false" ht="15.75" hidden="false" customHeight="true" outlineLevel="0" collapsed="false">
      <c r="B8323" s="10"/>
      <c r="C8323" s="10"/>
      <c r="D8323" s="10"/>
      <c r="E8323" s="10"/>
      <c r="F8323" s="10"/>
    </row>
    <row r="8324" customFormat="false" ht="15.75" hidden="false" customHeight="true" outlineLevel="0" collapsed="false">
      <c r="B8324" s="10"/>
      <c r="C8324" s="10"/>
      <c r="D8324" s="10"/>
      <c r="E8324" s="10"/>
      <c r="F8324" s="10"/>
    </row>
    <row r="8325" customFormat="false" ht="24" hidden="false" customHeight="true" outlineLevel="0" collapsed="false">
      <c r="B8325" s="48" t="str">
        <f aca="false">Cab_Mentions</f>
        <v>ALTHO EXPERTISE · SAS au capital de 10 000 € · RCS Pontoise 919 706 325 · TVA FR62919706325 · Société d'expertise comptable inscrite au Tableau de l'Ordre des experts-comptables de Paris Île-de-France</v>
      </c>
      <c r="C8325" s="48"/>
      <c r="D8325" s="48"/>
      <c r="E8325" s="48"/>
      <c r="F8325" s="48"/>
    </row>
    <row r="8326" customFormat="false" ht="15" hidden="false" customHeight="false" outlineLevel="0" collapsed="false">
      <c r="B8326" s="10"/>
      <c r="C8326" s="10"/>
      <c r="D8326" s="10"/>
      <c r="E8326" s="10"/>
      <c r="F8326" s="10"/>
      <c r="J8326" s="25" t="s">
        <v>142</v>
      </c>
      <c r="K8326" s="25" t="n">
        <f aca="false">IFERROR(MATCH(186,Clients!$Z$2:$Z$501,0),0)</f>
        <v>0</v>
      </c>
      <c r="L8326" s="25"/>
      <c r="M8326" s="25"/>
      <c r="N8326" s="25"/>
      <c r="O8326" s="25"/>
    </row>
    <row r="8327" customFormat="false" ht="21.75" hidden="false" customHeight="true" outlineLevel="0" collapsed="false">
      <c r="B8327" s="26" t="str">
        <f aca="false">Cab_Nom</f>
        <v>ALTHO EXPERTISE</v>
      </c>
      <c r="C8327" s="26"/>
      <c r="D8327" s="10"/>
      <c r="E8327" s="27" t="str">
        <f aca="false">IF($K$8326=0,"","Réf. client : "&amp;INDEX(Clients!$A$2:$A$501,$K$8326))</f>
        <v/>
      </c>
      <c r="F8327" s="27"/>
      <c r="J8327" s="25" t="s">
        <v>144</v>
      </c>
      <c r="K8327" s="25" t="str">
        <f aca="false">IF(IF($K$8326=0,"",INDEX(Clients!$B$2:$B$501,$K$8326)&amp;"")="Mme","Madame",IF(IF($K$8326=0,"",INDEX(Clients!$B$2:$B$501,$K$8326)&amp;"")="M.","Monsieur","Madame, Monsieur"))</f>
        <v>Madame, Monsieur</v>
      </c>
      <c r="L8327" s="25"/>
      <c r="M8327" s="25"/>
      <c r="N8327" s="25"/>
      <c r="O8327" s="25"/>
    </row>
    <row r="8328" customFormat="false" ht="15" hidden="false" customHeight="false" outlineLevel="0" collapsed="false">
      <c r="B8328" s="29" t="str">
        <f aca="false">Cab_Adr1</f>
        <v>141 rue Charles de Gaulle</v>
      </c>
      <c r="C8328" s="29"/>
      <c r="D8328" s="10"/>
      <c r="E8328" s="10"/>
      <c r="F8328" s="10"/>
      <c r="J8328" s="25" t="s">
        <v>145</v>
      </c>
      <c r="K8328" s="25" t="str">
        <f aca="false">DAY(Date_Effet)&amp;IF(DAY(Date_Effet)=1,"er","")&amp;" "&amp;INDEX(Liste_Mois,MONTH(Date_Effet))&amp;" "&amp;YEAR(Date_Effet)</f>
        <v>1er janvier 2027</v>
      </c>
      <c r="L8328" s="25"/>
      <c r="M8328" s="25"/>
      <c r="N8328" s="25"/>
      <c r="O8328" s="25"/>
    </row>
    <row r="8329" customFormat="false" ht="15" hidden="false" customHeight="false" outlineLevel="0" collapsed="false">
      <c r="B8329" s="29" t="str">
        <f aca="false">Cab_CPVille</f>
        <v>95130 LE PLESSIS-BOUCHARD</v>
      </c>
      <c r="C8329" s="29"/>
      <c r="D8329" s="10"/>
      <c r="E8329" s="10"/>
      <c r="F8329" s="10"/>
      <c r="J8329" s="25" t="s">
        <v>146</v>
      </c>
      <c r="K8329" s="25" t="str">
        <f aca="false">IF(SUM($K$8353:$K$8356)=0,"",FIXED((SUM($L$8353:$L$8356)/SUM($K$8353:$K$8356)-1)*100,1)&amp;" %")</f>
        <v/>
      </c>
      <c r="L8329" s="25"/>
      <c r="M8329" s="25"/>
      <c r="N8329" s="25"/>
      <c r="O8329" s="25"/>
    </row>
    <row r="8330" customFormat="false" ht="15" hidden="false" customHeight="false" outlineLevel="0" collapsed="false">
      <c r="B8330" s="29" t="str">
        <f aca="false">Cab_Contact</f>
        <v>Tél. 01 34 14 53 45  ·  altho@altho-experts.com  ·  altho-experts.com</v>
      </c>
      <c r="C8330" s="29"/>
      <c r="D8330" s="10"/>
      <c r="E8330" s="10"/>
      <c r="F8330" s="10"/>
      <c r="J8330" s="25"/>
      <c r="K8330" s="25"/>
      <c r="L8330" s="25"/>
      <c r="M8330" s="25"/>
      <c r="N8330" s="25"/>
      <c r="O8330" s="25"/>
    </row>
    <row r="8331" customFormat="false" ht="6" hidden="false" customHeight="true" outlineLevel="0" collapsed="false">
      <c r="B8331" s="32"/>
      <c r="C8331" s="32"/>
      <c r="D8331" s="32"/>
      <c r="E8331" s="32"/>
      <c r="F8331" s="32"/>
      <c r="J8331" s="25"/>
      <c r="K8331" s="25"/>
      <c r="L8331" s="25"/>
      <c r="M8331" s="25"/>
      <c r="N8331" s="25"/>
      <c r="O8331" s="25"/>
    </row>
    <row r="8332" customFormat="false" ht="13.5" hidden="false" customHeight="true" outlineLevel="0" collapsed="false">
      <c r="B8332" s="10"/>
      <c r="C8332" s="10"/>
      <c r="D8332" s="10"/>
      <c r="E8332" s="10"/>
      <c r="F8332" s="10"/>
      <c r="J8332" s="25"/>
      <c r="K8332" s="25"/>
      <c r="L8332" s="25"/>
      <c r="M8332" s="25"/>
      <c r="N8332" s="25"/>
      <c r="O8332" s="25"/>
    </row>
    <row r="8333" customFormat="false" ht="13.5" hidden="false" customHeight="true" outlineLevel="0" collapsed="false">
      <c r="B8333" s="10"/>
      <c r="C8333" s="10"/>
      <c r="D8333" s="10"/>
      <c r="E8333" s="10"/>
      <c r="F8333" s="10"/>
      <c r="J8333" s="25"/>
      <c r="K8333" s="25"/>
      <c r="L8333" s="25"/>
      <c r="M8333" s="25"/>
      <c r="N8333" s="25"/>
      <c r="O8333" s="25"/>
    </row>
    <row r="8334" customFormat="false" ht="13.5" hidden="false" customHeight="true" outlineLevel="0" collapsed="false">
      <c r="B8334" s="10"/>
      <c r="C8334" s="10"/>
      <c r="D8334" s="10"/>
      <c r="E8334" s="10"/>
      <c r="F8334" s="10"/>
      <c r="J8334" s="25"/>
      <c r="K8334" s="25"/>
      <c r="L8334" s="25"/>
      <c r="M8334" s="25"/>
      <c r="N8334" s="25"/>
      <c r="O8334" s="25"/>
    </row>
    <row r="8335" customFormat="false" ht="15" hidden="false" customHeight="true" outlineLevel="0" collapsed="false">
      <c r="B8335" s="10"/>
      <c r="C8335" s="10"/>
      <c r="D8335" s="34" t="str">
        <f aca="false">IF($K$8326=0,"",INDEX(Clients!$E$2:$E$501,$K$8326)&amp;"")</f>
        <v/>
      </c>
      <c r="E8335" s="34"/>
      <c r="F8335" s="34"/>
      <c r="J8335" s="25"/>
      <c r="K8335" s="25"/>
      <c r="L8335" s="25"/>
      <c r="M8335" s="25"/>
      <c r="N8335" s="25"/>
      <c r="O8335" s="25"/>
    </row>
    <row r="8336" customFormat="false" ht="15" hidden="false" customHeight="true" outlineLevel="0" collapsed="false">
      <c r="B8336" s="10"/>
      <c r="C8336" s="10"/>
      <c r="D8336" s="35" t="str">
        <f aca="false">IF(IF($K$8326=0,"",INDEX(Clients!$D$2:$D$501,$K$8326)&amp;"")="","","À l'attention de "&amp;TRIM(IF($K$8326=0,"",INDEX(Clients!$B$2:$B$501,$K$8326)&amp;"")&amp;" "&amp;IF($K$8326=0,"",INDEX(Clients!$C$2:$C$501,$K$8326)&amp;"")&amp;" "&amp;IF($K$8326=0,"",INDEX(Clients!$D$2:$D$501,$K$8326)&amp;"")))</f>
        <v/>
      </c>
      <c r="E8336" s="35"/>
      <c r="F8336" s="35"/>
      <c r="J8336" s="25"/>
      <c r="K8336" s="25"/>
      <c r="L8336" s="25"/>
      <c r="M8336" s="25"/>
      <c r="N8336" s="25"/>
      <c r="O8336" s="25"/>
    </row>
    <row r="8337" customFormat="false" ht="15" hidden="false" customHeight="true" outlineLevel="0" collapsed="false">
      <c r="B8337" s="10"/>
      <c r="C8337" s="10"/>
      <c r="D8337" s="35" t="str">
        <f aca="false">IF($K$8326=0,"",INDEX(Clients!$F$2:$F$501,$K$8326)&amp;"")</f>
        <v/>
      </c>
      <c r="E8337" s="35"/>
      <c r="F8337" s="35"/>
      <c r="J8337" s="25"/>
      <c r="K8337" s="25"/>
      <c r="L8337" s="25"/>
      <c r="M8337" s="25"/>
      <c r="N8337" s="25"/>
      <c r="O8337" s="25"/>
    </row>
    <row r="8338" customFormat="false" ht="15" hidden="false" customHeight="true" outlineLevel="0" collapsed="false">
      <c r="B8338" s="10"/>
      <c r="C8338" s="10"/>
      <c r="D8338" s="35" t="str">
        <f aca="false">IF(IF($K$8326=0,"",INDEX(Clients!$G$2:$G$501,$K$8326)&amp;"")="",TRIM(IF($K$8326=0,"",INDEX(Clients!$H$2:$H$501,$K$8326)&amp;"")&amp;" "&amp;UPPER(IF($K$8326=0,"",INDEX(Clients!$I$2:$I$501,$K$8326)&amp;""))),IF($K$8326=0,"",INDEX(Clients!$G$2:$G$501,$K$8326)&amp;""))</f>
        <v/>
      </c>
      <c r="E8338" s="35"/>
      <c r="F8338" s="35"/>
      <c r="J8338" s="25"/>
      <c r="K8338" s="25"/>
      <c r="L8338" s="25"/>
      <c r="M8338" s="25"/>
      <c r="N8338" s="25"/>
      <c r="O8338" s="25"/>
    </row>
    <row r="8339" customFormat="false" ht="15" hidden="false" customHeight="true" outlineLevel="0" collapsed="false">
      <c r="B8339" s="10"/>
      <c r="C8339" s="10"/>
      <c r="D8339" s="35" t="str">
        <f aca="false">IF(IF($K$8326=0,"",INDEX(Clients!$G$2:$G$501,$K$8326)&amp;"")="","",TRIM(IF($K$8326=0,"",INDEX(Clients!$H$2:$H$501,$K$8326)&amp;"")&amp;" "&amp;UPPER(IF($K$8326=0,"",INDEX(Clients!$I$2:$I$501,$K$8326)&amp;""))))</f>
        <v/>
      </c>
      <c r="E8339" s="35"/>
      <c r="F8339" s="35"/>
      <c r="J8339" s="25"/>
      <c r="K8339" s="25"/>
      <c r="L8339" s="25"/>
      <c r="M8339" s="25"/>
      <c r="N8339" s="25"/>
      <c r="O8339" s="25"/>
    </row>
    <row r="8340" customFormat="false" ht="25.5" hidden="false" customHeight="true" outlineLevel="0" collapsed="false">
      <c r="B8340" s="10"/>
      <c r="C8340" s="10"/>
      <c r="D8340" s="10"/>
      <c r="E8340" s="10"/>
      <c r="F8340" s="10"/>
      <c r="J8340" s="25"/>
      <c r="K8340" s="25"/>
      <c r="L8340" s="25"/>
      <c r="M8340" s="25"/>
      <c r="N8340" s="25"/>
      <c r="O8340" s="25"/>
    </row>
    <row r="8341" customFormat="false" ht="15" hidden="false" customHeight="false" outlineLevel="0" collapsed="false">
      <c r="B8341" s="10"/>
      <c r="C8341" s="10"/>
      <c r="D8341" s="36" t="str">
        <f aca="false">Cab_Ville&amp;", le "&amp;DAY(Date_Courrier)&amp;IF(DAY(Date_Courrier)=1,"er","")&amp;" "&amp;INDEX(Liste_Mois,MONTH(Date_Courrier))&amp;" "&amp;YEAR(Date_Courrier)</f>
        <v>Le Plessis-Bouchard, le 22 septembre 2026</v>
      </c>
      <c r="E8341" s="36"/>
      <c r="F8341" s="36"/>
      <c r="J8341" s="25"/>
      <c r="K8341" s="25"/>
      <c r="L8341" s="25"/>
      <c r="M8341" s="25"/>
      <c r="N8341" s="25"/>
      <c r="O8341" s="25"/>
    </row>
    <row r="8342" customFormat="false" ht="19.5" hidden="false" customHeight="true" outlineLevel="0" collapsed="false">
      <c r="B8342" s="10"/>
      <c r="C8342" s="10"/>
      <c r="D8342" s="10"/>
      <c r="E8342" s="10"/>
      <c r="F8342" s="10"/>
      <c r="J8342" s="25"/>
      <c r="K8342" s="25"/>
      <c r="L8342" s="25"/>
      <c r="M8342" s="25"/>
      <c r="N8342" s="25"/>
      <c r="O8342" s="25"/>
    </row>
    <row r="8343" customFormat="false" ht="15" hidden="false" customHeight="false" outlineLevel="0" collapsed="false">
      <c r="B8343" s="34" t="str">
        <f aca="false">SUBSTITUTE(SUBSTITUTE(SUBSTITUTE(SUBSTITUTE(SUBSTITUTE(Txt_Objet,"{cabinet}",Cab_Nom),"{societe}",IF($K$8326=0,"",INDEX(Clients!$E$2:$E$501,$K$8326)&amp;"")),"{date_effet}",$K$8328),"{hausse}",$K$8329),"{civilite}",$K$8327)</f>
        <v>Objet : révision de nos honoraires au 1er janvier 2027</v>
      </c>
      <c r="C8343" s="34"/>
      <c r="D8343" s="34"/>
      <c r="E8343" s="34"/>
      <c r="F8343" s="34"/>
      <c r="J8343" s="25"/>
      <c r="K8343" s="25"/>
      <c r="L8343" s="25"/>
      <c r="M8343" s="25"/>
      <c r="N8343" s="25"/>
      <c r="O8343" s="25"/>
    </row>
    <row r="8344" customFormat="false" ht="13.5" hidden="false" customHeight="true" outlineLevel="0" collapsed="false">
      <c r="B8344" s="10"/>
      <c r="C8344" s="10"/>
      <c r="D8344" s="10"/>
      <c r="E8344" s="10"/>
      <c r="F8344" s="10"/>
      <c r="J8344" s="25"/>
      <c r="K8344" s="25"/>
      <c r="L8344" s="25"/>
      <c r="M8344" s="25"/>
      <c r="N8344" s="25"/>
      <c r="O8344" s="25"/>
    </row>
    <row r="8345" customFormat="false" ht="15" hidden="false" customHeight="false" outlineLevel="0" collapsed="false">
      <c r="B8345" s="10" t="str">
        <f aca="false">$K$8327&amp;","</f>
        <v>Madame, Monsieur,</v>
      </c>
      <c r="C8345" s="10"/>
      <c r="D8345" s="10"/>
      <c r="E8345" s="10"/>
      <c r="F8345" s="10"/>
      <c r="J8345" s="25"/>
      <c r="K8345" s="25"/>
      <c r="L8345" s="25"/>
      <c r="M8345" s="25"/>
      <c r="N8345" s="25"/>
      <c r="O8345" s="25"/>
    </row>
    <row r="8346" customFormat="false" ht="6" hidden="false" customHeight="true" outlineLevel="0" collapsed="false">
      <c r="B8346" s="10"/>
      <c r="C8346" s="10"/>
      <c r="D8346" s="10"/>
      <c r="E8346" s="10"/>
      <c r="F8346" s="10"/>
      <c r="J8346" s="25"/>
      <c r="K8346" s="25"/>
      <c r="L8346" s="25"/>
      <c r="M8346" s="25"/>
      <c r="N8346" s="25"/>
      <c r="O8346" s="25"/>
    </row>
    <row r="8347" customFormat="false" ht="36.75" hidden="false" customHeight="true" outlineLevel="0" collapsed="false">
      <c r="B8347" s="37" t="str">
        <f aca="false">SUBSTITUTE(SUBSTITUTE(SUBSTITUTE(SUBSTITUTE(SUBSTITUTE(Txt_P1,"{cabinet}",Cab_Nom),"{societe}",IF($K$8326=0,"",INDEX(Clients!$E$2:$E$501,$K$8326)&amp;"")),"{date_effet}",$K$8328),"{hausse}",$K$8329),"{civilite}",$K$8327)</f>
        <v>Nous tenons tout d'abord à vous remercier pour la confiance que vous accordez à ALTHO EXPERTISE. Comme chaque année, et conformément aux dispositions de votre lettre de mission, nous procédons à la révision de nos honoraires.</v>
      </c>
      <c r="C8347" s="37"/>
      <c r="D8347" s="37"/>
      <c r="E8347" s="37"/>
      <c r="F8347" s="37"/>
      <c r="J8347" s="25"/>
      <c r="K8347" s="25"/>
      <c r="L8347" s="25"/>
      <c r="M8347" s="25"/>
      <c r="N8347" s="25"/>
      <c r="O8347" s="25"/>
    </row>
    <row r="8348" customFormat="false" ht="49.5" hidden="false" customHeight="true" outlineLevel="0" collapsed="false">
      <c r="B8348" s="37" t="str">
        <f aca="false">SUBSTITUTE(SUBSTITUTE(SUBSTITUTE(SUBSTITUTE(SUBSTITUTE(Txt_P2,"{cabinet}",Cab_Nom),"{societe}",IF($K$8326=0,"",INDEX(Clients!$E$2:$E$501,$K$8326)&amp;"")),"{date_effet}",$K$8328),"{hausse}",$K$8329),"{civilite}",$K$8327)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348" s="37"/>
      <c r="D8348" s="37"/>
      <c r="E8348" s="37"/>
      <c r="F8348" s="37"/>
      <c r="J8348" s="25"/>
      <c r="K8348" s="25"/>
      <c r="L8348" s="25"/>
      <c r="M8348" s="25"/>
      <c r="N8348" s="25"/>
      <c r="O8348" s="25"/>
    </row>
    <row r="8349" customFormat="false" ht="63" hidden="false" customHeight="true" outlineLevel="0" collapsed="false">
      <c r="B8349" s="37" t="str">
        <f aca="false">SUBSTITUTE(SUBSTITUTE(SUBSTITUTE(SUBSTITUTE(SUBSTITUTE(Txt_P3,"{cabinet}",Cab_Nom),"{societe}",IF($K$8326=0,"",INDEX(Clients!$E$2:$E$501,$K$8326)&amp;"")),"{date_effet}",$K$8328),"{hausse}",$K$8329),"{civilite}",$K$8327)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349" s="37"/>
      <c r="D8349" s="37"/>
      <c r="E8349" s="37"/>
      <c r="F8349" s="37"/>
      <c r="J8349" s="25"/>
      <c r="K8349" s="25"/>
      <c r="L8349" s="25"/>
      <c r="M8349" s="25"/>
      <c r="N8349" s="25"/>
      <c r="O8349" s="25"/>
    </row>
    <row r="8350" customFormat="false" ht="24" hidden="false" customHeight="true" outlineLevel="0" collapsed="false">
      <c r="B8350" s="37" t="str">
        <f aca="false">SUBSTITUTE(SUBSTITUTE(SUBSTITUTE(SUBSTITUTE(SUBSTITUTE(Txt_P4,"{cabinet}",Cab_Nom),"{societe}",IF($K$8326=0,"",INDEX(Clients!$E$2:$E$501,$K$8326)&amp;"")),"{date_effet}",$K$8328),"{hausse}",$K$8329),"{civilite}",$K$8327)</f>
        <v>À compter du 1er janvier 2027, vos honoraires annuels hors taxes évolueront ainsi (évolution globale : ) :</v>
      </c>
      <c r="C8350" s="37"/>
      <c r="D8350" s="37"/>
      <c r="E8350" s="37"/>
      <c r="F8350" s="37"/>
      <c r="J8350" s="25"/>
      <c r="K8350" s="25"/>
      <c r="L8350" s="25"/>
      <c r="M8350" s="25"/>
      <c r="N8350" s="25"/>
      <c r="O8350" s="25"/>
    </row>
    <row r="8351" customFormat="false" ht="3.75" hidden="false" customHeight="true" outlineLevel="0" collapsed="false">
      <c r="B8351" s="10"/>
      <c r="C8351" s="10"/>
      <c r="D8351" s="10"/>
      <c r="E8351" s="10"/>
      <c r="F8351" s="10"/>
      <c r="J8351" s="25"/>
      <c r="K8351" s="25"/>
      <c r="L8351" s="25"/>
      <c r="M8351" s="25"/>
      <c r="N8351" s="25"/>
      <c r="O8351" s="25"/>
    </row>
    <row r="8352" customFormat="false" ht="18" hidden="false" customHeight="true" outlineLevel="0" collapsed="false">
      <c r="B8352" s="38" t="s">
        <v>148</v>
      </c>
      <c r="C8352" s="39" t="s">
        <v>149</v>
      </c>
      <c r="D8352" s="39" t="s">
        <v>150</v>
      </c>
      <c r="E8352" s="39" t="s">
        <v>151</v>
      </c>
      <c r="F8352" s="39" t="s">
        <v>109</v>
      </c>
      <c r="J8352" s="25" t="s">
        <v>152</v>
      </c>
      <c r="K8352" s="25" t="s">
        <v>153</v>
      </c>
      <c r="L8352" s="25" t="s">
        <v>154</v>
      </c>
      <c r="M8352" s="25" t="s">
        <v>155</v>
      </c>
      <c r="N8352" s="25" t="s">
        <v>156</v>
      </c>
      <c r="O8352" s="25" t="s">
        <v>157</v>
      </c>
    </row>
    <row r="8353" customFormat="false" ht="16.5" hidden="false" customHeight="true" outlineLevel="0" collapsed="false">
      <c r="B8353" s="40" t="str">
        <f aca="false">IFERROR(INDEX($J$8353:$J$8356,MATCH($O8353,$N$8353:$N$8356,0)),"")</f>
        <v/>
      </c>
      <c r="C8353" s="41" t="str">
        <f aca="false">IFERROR(INDEX($K$8353:$K$8356,MATCH($O8353,$N$8353:$N$8356,0)),"")</f>
        <v/>
      </c>
      <c r="D8353" s="42" t="str">
        <f aca="false">IF(OR(E8353="",N(C8353)=0),"",E8353/C8353-1)</f>
        <v/>
      </c>
      <c r="E8353" s="41" t="str">
        <f aca="false">IFERROR(INDEX($L$8353:$L$8356,MATCH($O8353,$N$8353:$N$8356,0)),"")</f>
        <v/>
      </c>
      <c r="F8353" s="41" t="str">
        <f aca="false">IF(E8353="","",E8353-C8353)</f>
        <v/>
      </c>
      <c r="J8353" s="25" t="str">
        <f aca="false">Lib_Compta</f>
        <v>Mission comptable (tenue, révision, bilan, liasse fiscale)</v>
      </c>
      <c r="K8353" s="25" t="n">
        <f aca="false">IF($K$8326=0,0,N(INDEX(Clients!$K$2:$K$501,$K$8326)))</f>
        <v>0</v>
      </c>
      <c r="L8353" s="25" t="n">
        <f aca="false">IF($K$8326=0,0,N(INDEX(Clients!$P$2:$P$501,$K$8326)))</f>
        <v>0</v>
      </c>
      <c r="M8353" s="25" t="n">
        <f aca="false">IF(OR(K8353&lt;&gt;0,L8353&lt;&gt;0),1,0)</f>
        <v>0</v>
      </c>
      <c r="N8353" s="25" t="str">
        <f aca="false">IF(M8353=1,SUM($M$8353:M8353),"")</f>
        <v/>
      </c>
      <c r="O8353" s="25" t="n">
        <v>1</v>
      </c>
    </row>
    <row r="8354" customFormat="false" ht="16.5" hidden="false" customHeight="true" outlineLevel="0" collapsed="false">
      <c r="B8354" s="40" t="str">
        <f aca="false">IFERROR(INDEX($J$8353:$J$8356,MATCH($O8354,$N$8353:$N$8356,0)),"")</f>
        <v/>
      </c>
      <c r="C8354" s="41" t="str">
        <f aca="false">IFERROR(INDEX($K$8353:$K$8356,MATCH($O8354,$N$8353:$N$8356,0)),"")</f>
        <v/>
      </c>
      <c r="D8354" s="42" t="str">
        <f aca="false">IF(OR(E8354="",N(C8354)=0),"",E8354/C8354-1)</f>
        <v/>
      </c>
      <c r="E8354" s="41" t="str">
        <f aca="false">IFERROR(INDEX($L$8353:$L$8356,MATCH($O8354,$N$8353:$N$8356,0)),"")</f>
        <v/>
      </c>
      <c r="F8354" s="41" t="str">
        <f aca="false">IF(E8354="","",E8354-C8354)</f>
        <v/>
      </c>
      <c r="J8354" s="25" t="str">
        <f aca="false">Lib_Paye</f>
        <v>Mission sociale (bulletins de paie, DSN, déclarations sociales)</v>
      </c>
      <c r="K8354" s="25" t="n">
        <f aca="false">IF($K$8326=0,0,N(INDEX(Clients!$L$2:$L$501,$K$8326)))</f>
        <v>0</v>
      </c>
      <c r="L8354" s="25" t="n">
        <f aca="false">IF($K$8326=0,0,N(INDEX(Clients!$Q$2:$Q$501,$K$8326)))</f>
        <v>0</v>
      </c>
      <c r="M8354" s="25" t="n">
        <f aca="false">IF(OR(K8354&lt;&gt;0,L8354&lt;&gt;0),1,0)</f>
        <v>0</v>
      </c>
      <c r="N8354" s="25" t="str">
        <f aca="false">IF(M8354=1,SUM($M$8353:M8354),"")</f>
        <v/>
      </c>
      <c r="O8354" s="25" t="n">
        <v>2</v>
      </c>
    </row>
    <row r="8355" customFormat="false" ht="16.5" hidden="false" customHeight="true" outlineLevel="0" collapsed="false">
      <c r="B8355" s="40" t="str">
        <f aca="false">IFERROR(INDEX($J$8353:$J$8356,MATCH($O8355,$N$8353:$N$8356,0)),"")</f>
        <v/>
      </c>
      <c r="C8355" s="41" t="str">
        <f aca="false">IFERROR(INDEX($K$8353:$K$8356,MATCH($O8355,$N$8353:$N$8356,0)),"")</f>
        <v/>
      </c>
      <c r="D8355" s="42" t="str">
        <f aca="false">IF(OR(E8355="",N(C8355)=0),"",E8355/C8355-1)</f>
        <v/>
      </c>
      <c r="E8355" s="41" t="str">
        <f aca="false">IFERROR(INDEX($L$8353:$L$8356,MATCH($O8355,$N$8353:$N$8356,0)),"")</f>
        <v/>
      </c>
      <c r="F8355" s="41" t="str">
        <f aca="false">IF(E8355="","",E8355-C8355)</f>
        <v/>
      </c>
      <c r="J8355" s="25" t="str">
        <f aca="false">Lib_Jur</f>
        <v>Mission juridique (approbation des comptes, secrétariat juridique)</v>
      </c>
      <c r="K8355" s="25" t="n">
        <f aca="false">IF($K$8326=0,0,N(INDEX(Clients!$M$2:$M$501,$K$8326)))</f>
        <v>0</v>
      </c>
      <c r="L8355" s="25" t="n">
        <f aca="false">IF($K$8326=0,0,N(INDEX(Clients!$R$2:$R$501,$K$8326)))</f>
        <v>0</v>
      </c>
      <c r="M8355" s="25" t="n">
        <f aca="false">IF(OR(K8355&lt;&gt;0,L8355&lt;&gt;0),1,0)</f>
        <v>0</v>
      </c>
      <c r="N8355" s="25" t="str">
        <f aca="false">IF(M8355=1,SUM($M$8353:M8355),"")</f>
        <v/>
      </c>
      <c r="O8355" s="25" t="n">
        <v>3</v>
      </c>
    </row>
    <row r="8356" customFormat="false" ht="16.5" hidden="false" customHeight="true" outlineLevel="0" collapsed="false">
      <c r="B8356" s="40" t="str">
        <f aca="false">IFERROR(INDEX($J$8353:$J$8356,MATCH($O8356,$N$8353:$N$8356,0)),"")</f>
        <v/>
      </c>
      <c r="C8356" s="41" t="str">
        <f aca="false">IFERROR(INDEX($K$8353:$K$8356,MATCH($O8356,$N$8353:$N$8356,0)),"")</f>
        <v/>
      </c>
      <c r="D8356" s="42" t="str">
        <f aca="false">IF(OR(E8356="",N(C8356)=0),"",E8356/C8356-1)</f>
        <v/>
      </c>
      <c r="E8356" s="41" t="str">
        <f aca="false">IFERROR(INDEX($L$8353:$L$8356,MATCH($O8356,$N$8353:$N$8356,0)),"")</f>
        <v/>
      </c>
      <c r="F8356" s="41" t="str">
        <f aca="false">IF(E8356="","",E8356-C8356)</f>
        <v/>
      </c>
      <c r="J8356" s="25" t="str">
        <f aca="false">Lib_PA</f>
        <v>Plateforme agréée – facturation électronique</v>
      </c>
      <c r="K8356" s="25" t="n">
        <f aca="false">IF($K$8326=0,0,N(INDEX(Clients!$N$2:$N$501,$K$8326)))</f>
        <v>0</v>
      </c>
      <c r="L8356" s="25" t="n">
        <f aca="false">IF($K$8326=0,0,N(INDEX(Clients!$S$2:$S$501,$K$8326)))</f>
        <v>0</v>
      </c>
      <c r="M8356" s="25" t="n">
        <f aca="false">IF(OR(K8356&lt;&gt;0,L8356&lt;&gt;0),1,0)</f>
        <v>0</v>
      </c>
      <c r="N8356" s="25" t="str">
        <f aca="false">IF(M8356=1,SUM($M$8353:M8356),"")</f>
        <v/>
      </c>
      <c r="O8356" s="25" t="n">
        <v>4</v>
      </c>
    </row>
    <row r="8357" customFormat="false" ht="18" hidden="false" customHeight="true" outlineLevel="0" collapsed="false">
      <c r="B8357" s="43" t="s">
        <v>158</v>
      </c>
      <c r="C8357" s="44" t="n">
        <f aca="false">SUM(K8353:K8356)</f>
        <v>0</v>
      </c>
      <c r="D8357" s="45" t="str">
        <f aca="false">IF(N(C8357)=0,"",E8357/C8357-1)</f>
        <v/>
      </c>
      <c r="E8357" s="44" t="n">
        <f aca="false">SUM(L8353:L8356)</f>
        <v>0</v>
      </c>
      <c r="F8357" s="44" t="n">
        <f aca="false">E8357-C8357</f>
        <v>0</v>
      </c>
    </row>
    <row r="8358" customFormat="false" ht="15" hidden="false" customHeight="false" outlineLevel="0" collapsed="false">
      <c r="B8358" s="46" t="str">
        <f aca="false">IF(N(Nb_Mensualites)=0,"","Soit "&amp;FIXED(E8357/Nb_Mensualites,2)&amp;" € HT par échéance ("&amp;Nb_Mensualites&amp;" échéances), "&amp;FIXED(E8357/Nb_Mensualites*(1+Taux_TVA),2)&amp;" € TTC.")</f>
        <v>Soit 0.00 € HT par échéance (12 échéances), 0.00 € TTC.</v>
      </c>
      <c r="C8358" s="46"/>
      <c r="D8358" s="46"/>
      <c r="E8358" s="46"/>
      <c r="F8358" s="46"/>
    </row>
    <row r="8359" customFormat="false" ht="7.5" hidden="false" customHeight="true" outlineLevel="0" collapsed="false">
      <c r="B8359" s="10"/>
      <c r="C8359" s="10"/>
      <c r="D8359" s="10"/>
      <c r="E8359" s="10"/>
      <c r="F8359" s="10"/>
    </row>
    <row r="8360" customFormat="false" ht="36.75" hidden="false" customHeight="true" outlineLevel="0" collapsed="false">
      <c r="B8360" s="37" t="str">
        <f aca="false">SUBSTITUTE(SUBSTITUTE(SUBSTITUTE(SUBSTITUTE(SUBSTITUTE(Txt_P5,"{cabinet}",Cab_Nom),"{societe}",IF($K$8326=0,"",INDEX(Clients!$E$2:$E$501,$K$8326)&amp;"")),"{date_effet}",$K$8328),"{hausse}",$K$8329),"{civilite}",$K$8327)</f>
        <v>Les autres conditions de votre lettre de mission demeurent inchangées. Les nouveaux montants seront appliqués automatiquement sur vos prochaines factures et échéances de prélèvement.</v>
      </c>
      <c r="C8360" s="37"/>
      <c r="D8360" s="37"/>
      <c r="E8360" s="37"/>
      <c r="F8360" s="37"/>
    </row>
    <row r="8361" customFormat="false" ht="36.75" hidden="false" customHeight="true" outlineLevel="0" collapsed="false">
      <c r="B8361" s="37" t="str">
        <f aca="false">SUBSTITUTE(SUBSTITUTE(SUBSTITUTE(SUBSTITUTE(SUBSTITUTE(Txt_P6,"{cabinet}",Cab_Nom),"{societe}",IF($K$8326=0,"",INDEX(Clients!$E$2:$E$501,$K$8326)&amp;"")),"{date_effet}",$K$8328),"{hausse}",$K$8329),"{civilite}",$K$8327)</f>
        <v>Votre interlocuteur habituel reste à votre entière disposition pour répondre à vos questions et faire le point sur l'évolution de vos besoins.</v>
      </c>
      <c r="C8361" s="37"/>
      <c r="D8361" s="37"/>
      <c r="E8361" s="37"/>
      <c r="F8361" s="37"/>
    </row>
    <row r="8362" customFormat="false" ht="24" hidden="false" customHeight="true" outlineLevel="0" collapsed="false">
      <c r="B8362" s="37" t="str">
        <f aca="false">SUBSTITUTE(SUBSTITUTE(SUBSTITUTE(SUBSTITUTE(SUBSTITUTE(Txt_Politesse,"{cabinet}",Cab_Nom),"{societe}",IF($K$8326=0,"",INDEX(Clients!$E$2:$E$501,$K$8326)&amp;"")),"{date_effet}",$K$8328),"{hausse}",$K$8329),"{civilite}",$K$8327)</f>
        <v>Nous vous prions d'agréer, Madame, Monsieur, l'expression de nos salutations distinguées.</v>
      </c>
      <c r="C8362" s="37"/>
      <c r="D8362" s="37"/>
      <c r="E8362" s="37"/>
      <c r="F8362" s="37"/>
    </row>
    <row r="8363" customFormat="false" ht="15" hidden="false" customHeight="false" outlineLevel="0" collapsed="false">
      <c r="B8363" s="10"/>
      <c r="C8363" s="10"/>
      <c r="D8363" s="10"/>
      <c r="E8363" s="10"/>
      <c r="F8363" s="10"/>
    </row>
    <row r="8364" customFormat="false" ht="15" hidden="false" customHeight="false" outlineLevel="0" collapsed="false">
      <c r="B8364" s="10"/>
      <c r="C8364" s="10"/>
      <c r="D8364" s="34" t="str">
        <f aca="false">Signataire</f>
        <v>Prénom NOM</v>
      </c>
      <c r="E8364" s="34"/>
      <c r="F8364" s="34"/>
    </row>
    <row r="8365" customFormat="false" ht="15" hidden="false" customHeight="false" outlineLevel="0" collapsed="false">
      <c r="B8365" s="10"/>
      <c r="C8365" s="10"/>
      <c r="D8365" s="47" t="str">
        <f aca="false">Signataire_Titre</f>
        <v>Expert-comptable associé</v>
      </c>
      <c r="E8365" s="47"/>
      <c r="F8365" s="47"/>
    </row>
    <row r="8366" customFormat="false" ht="15.75" hidden="false" customHeight="true" outlineLevel="0" collapsed="false">
      <c r="B8366" s="10"/>
      <c r="C8366" s="10"/>
      <c r="D8366" s="10"/>
      <c r="E8366" s="10"/>
      <c r="F8366" s="10"/>
    </row>
    <row r="8367" customFormat="false" ht="15.75" hidden="false" customHeight="true" outlineLevel="0" collapsed="false">
      <c r="B8367" s="10"/>
      <c r="C8367" s="10"/>
      <c r="D8367" s="10"/>
      <c r="E8367" s="10"/>
      <c r="F8367" s="10"/>
    </row>
    <row r="8368" customFormat="false" ht="15.75" hidden="false" customHeight="true" outlineLevel="0" collapsed="false">
      <c r="B8368" s="10"/>
      <c r="C8368" s="10"/>
      <c r="D8368" s="10"/>
      <c r="E8368" s="10"/>
      <c r="F8368" s="10"/>
    </row>
    <row r="8369" customFormat="false" ht="15.75" hidden="false" customHeight="true" outlineLevel="0" collapsed="false">
      <c r="B8369" s="10"/>
      <c r="C8369" s="10"/>
      <c r="D8369" s="10"/>
      <c r="E8369" s="10"/>
      <c r="F8369" s="10"/>
    </row>
    <row r="8370" customFormat="false" ht="24" hidden="false" customHeight="true" outlineLevel="0" collapsed="false">
      <c r="B8370" s="48" t="str">
        <f aca="false">Cab_Mentions</f>
        <v>ALTHO EXPERTISE · SAS au capital de 10 000 € · RCS Pontoise 919 706 325 · TVA FR62919706325 · Société d'expertise comptable inscrite au Tableau de l'Ordre des experts-comptables de Paris Île-de-France</v>
      </c>
      <c r="C8370" s="48"/>
      <c r="D8370" s="48"/>
      <c r="E8370" s="48"/>
      <c r="F8370" s="48"/>
    </row>
    <row r="8371" customFormat="false" ht="15" hidden="false" customHeight="false" outlineLevel="0" collapsed="false">
      <c r="B8371" s="10"/>
      <c r="C8371" s="10"/>
      <c r="D8371" s="10"/>
      <c r="E8371" s="10"/>
      <c r="F8371" s="10"/>
      <c r="J8371" s="25" t="s">
        <v>142</v>
      </c>
      <c r="K8371" s="25" t="n">
        <f aca="false">IFERROR(MATCH(187,Clients!$Z$2:$Z$501,0),0)</f>
        <v>0</v>
      </c>
      <c r="L8371" s="25"/>
      <c r="M8371" s="25"/>
      <c r="N8371" s="25"/>
      <c r="O8371" s="25"/>
    </row>
    <row r="8372" customFormat="false" ht="21.75" hidden="false" customHeight="true" outlineLevel="0" collapsed="false">
      <c r="B8372" s="26" t="str">
        <f aca="false">Cab_Nom</f>
        <v>ALTHO EXPERTISE</v>
      </c>
      <c r="C8372" s="26"/>
      <c r="D8372" s="10"/>
      <c r="E8372" s="27" t="str">
        <f aca="false">IF($K$8371=0,"","Réf. client : "&amp;INDEX(Clients!$A$2:$A$501,$K$8371))</f>
        <v/>
      </c>
      <c r="F8372" s="27"/>
      <c r="J8372" s="25" t="s">
        <v>144</v>
      </c>
      <c r="K8372" s="25" t="str">
        <f aca="false">IF(IF($K$8371=0,"",INDEX(Clients!$B$2:$B$501,$K$8371)&amp;"")="Mme","Madame",IF(IF($K$8371=0,"",INDEX(Clients!$B$2:$B$501,$K$8371)&amp;"")="M.","Monsieur","Madame, Monsieur"))</f>
        <v>Madame, Monsieur</v>
      </c>
      <c r="L8372" s="25"/>
      <c r="M8372" s="25"/>
      <c r="N8372" s="25"/>
      <c r="O8372" s="25"/>
    </row>
    <row r="8373" customFormat="false" ht="15" hidden="false" customHeight="false" outlineLevel="0" collapsed="false">
      <c r="B8373" s="29" t="str">
        <f aca="false">Cab_Adr1</f>
        <v>141 rue Charles de Gaulle</v>
      </c>
      <c r="C8373" s="29"/>
      <c r="D8373" s="10"/>
      <c r="E8373" s="10"/>
      <c r="F8373" s="10"/>
      <c r="J8373" s="25" t="s">
        <v>145</v>
      </c>
      <c r="K8373" s="25" t="str">
        <f aca="false">DAY(Date_Effet)&amp;IF(DAY(Date_Effet)=1,"er","")&amp;" "&amp;INDEX(Liste_Mois,MONTH(Date_Effet))&amp;" "&amp;YEAR(Date_Effet)</f>
        <v>1er janvier 2027</v>
      </c>
      <c r="L8373" s="25"/>
      <c r="M8373" s="25"/>
      <c r="N8373" s="25"/>
      <c r="O8373" s="25"/>
    </row>
    <row r="8374" customFormat="false" ht="15" hidden="false" customHeight="false" outlineLevel="0" collapsed="false">
      <c r="B8374" s="29" t="str">
        <f aca="false">Cab_CPVille</f>
        <v>95130 LE PLESSIS-BOUCHARD</v>
      </c>
      <c r="C8374" s="29"/>
      <c r="D8374" s="10"/>
      <c r="E8374" s="10"/>
      <c r="F8374" s="10"/>
      <c r="J8374" s="25" t="s">
        <v>146</v>
      </c>
      <c r="K8374" s="25" t="str">
        <f aca="false">IF(SUM($K$8398:$K$8401)=0,"",FIXED((SUM($L$8398:$L$8401)/SUM($K$8398:$K$8401)-1)*100,1)&amp;" %")</f>
        <v/>
      </c>
      <c r="L8374" s="25"/>
      <c r="M8374" s="25"/>
      <c r="N8374" s="25"/>
      <c r="O8374" s="25"/>
    </row>
    <row r="8375" customFormat="false" ht="15" hidden="false" customHeight="false" outlineLevel="0" collapsed="false">
      <c r="B8375" s="29" t="str">
        <f aca="false">Cab_Contact</f>
        <v>Tél. 01 34 14 53 45  ·  altho@altho-experts.com  ·  altho-experts.com</v>
      </c>
      <c r="C8375" s="29"/>
      <c r="D8375" s="10"/>
      <c r="E8375" s="10"/>
      <c r="F8375" s="10"/>
      <c r="J8375" s="25"/>
      <c r="K8375" s="25"/>
      <c r="L8375" s="25"/>
      <c r="M8375" s="25"/>
      <c r="N8375" s="25"/>
      <c r="O8375" s="25"/>
    </row>
    <row r="8376" customFormat="false" ht="6" hidden="false" customHeight="true" outlineLevel="0" collapsed="false">
      <c r="B8376" s="32"/>
      <c r="C8376" s="32"/>
      <c r="D8376" s="32"/>
      <c r="E8376" s="32"/>
      <c r="F8376" s="32"/>
      <c r="J8376" s="25"/>
      <c r="K8376" s="25"/>
      <c r="L8376" s="25"/>
      <c r="M8376" s="25"/>
      <c r="N8376" s="25"/>
      <c r="O8376" s="25"/>
    </row>
    <row r="8377" customFormat="false" ht="13.5" hidden="false" customHeight="true" outlineLevel="0" collapsed="false">
      <c r="B8377" s="10"/>
      <c r="C8377" s="10"/>
      <c r="D8377" s="10"/>
      <c r="E8377" s="10"/>
      <c r="F8377" s="10"/>
      <c r="J8377" s="25"/>
      <c r="K8377" s="25"/>
      <c r="L8377" s="25"/>
      <c r="M8377" s="25"/>
      <c r="N8377" s="25"/>
      <c r="O8377" s="25"/>
    </row>
    <row r="8378" customFormat="false" ht="13.5" hidden="false" customHeight="true" outlineLevel="0" collapsed="false">
      <c r="B8378" s="10"/>
      <c r="C8378" s="10"/>
      <c r="D8378" s="10"/>
      <c r="E8378" s="10"/>
      <c r="F8378" s="10"/>
      <c r="J8378" s="25"/>
      <c r="K8378" s="25"/>
      <c r="L8378" s="25"/>
      <c r="M8378" s="25"/>
      <c r="N8378" s="25"/>
      <c r="O8378" s="25"/>
    </row>
    <row r="8379" customFormat="false" ht="13.5" hidden="false" customHeight="true" outlineLevel="0" collapsed="false">
      <c r="B8379" s="10"/>
      <c r="C8379" s="10"/>
      <c r="D8379" s="10"/>
      <c r="E8379" s="10"/>
      <c r="F8379" s="10"/>
      <c r="J8379" s="25"/>
      <c r="K8379" s="25"/>
      <c r="L8379" s="25"/>
      <c r="M8379" s="25"/>
      <c r="N8379" s="25"/>
      <c r="O8379" s="25"/>
    </row>
    <row r="8380" customFormat="false" ht="15" hidden="false" customHeight="true" outlineLevel="0" collapsed="false">
      <c r="B8380" s="10"/>
      <c r="C8380" s="10"/>
      <c r="D8380" s="34" t="str">
        <f aca="false">IF($K$8371=0,"",INDEX(Clients!$E$2:$E$501,$K$8371)&amp;"")</f>
        <v/>
      </c>
      <c r="E8380" s="34"/>
      <c r="F8380" s="34"/>
      <c r="J8380" s="25"/>
      <c r="K8380" s="25"/>
      <c r="L8380" s="25"/>
      <c r="M8380" s="25"/>
      <c r="N8380" s="25"/>
      <c r="O8380" s="25"/>
    </row>
    <row r="8381" customFormat="false" ht="15" hidden="false" customHeight="true" outlineLevel="0" collapsed="false">
      <c r="B8381" s="10"/>
      <c r="C8381" s="10"/>
      <c r="D8381" s="35" t="str">
        <f aca="false">IF(IF($K$8371=0,"",INDEX(Clients!$D$2:$D$501,$K$8371)&amp;"")="","","À l'attention de "&amp;TRIM(IF($K$8371=0,"",INDEX(Clients!$B$2:$B$501,$K$8371)&amp;"")&amp;" "&amp;IF($K$8371=0,"",INDEX(Clients!$C$2:$C$501,$K$8371)&amp;"")&amp;" "&amp;IF($K$8371=0,"",INDEX(Clients!$D$2:$D$501,$K$8371)&amp;"")))</f>
        <v/>
      </c>
      <c r="E8381" s="35"/>
      <c r="F8381" s="35"/>
      <c r="J8381" s="25"/>
      <c r="K8381" s="25"/>
      <c r="L8381" s="25"/>
      <c r="M8381" s="25"/>
      <c r="N8381" s="25"/>
      <c r="O8381" s="25"/>
    </row>
    <row r="8382" customFormat="false" ht="15" hidden="false" customHeight="true" outlineLevel="0" collapsed="false">
      <c r="B8382" s="10"/>
      <c r="C8382" s="10"/>
      <c r="D8382" s="35" t="str">
        <f aca="false">IF($K$8371=0,"",INDEX(Clients!$F$2:$F$501,$K$8371)&amp;"")</f>
        <v/>
      </c>
      <c r="E8382" s="35"/>
      <c r="F8382" s="35"/>
      <c r="J8382" s="25"/>
      <c r="K8382" s="25"/>
      <c r="L8382" s="25"/>
      <c r="M8382" s="25"/>
      <c r="N8382" s="25"/>
      <c r="O8382" s="25"/>
    </row>
    <row r="8383" customFormat="false" ht="15" hidden="false" customHeight="true" outlineLevel="0" collapsed="false">
      <c r="B8383" s="10"/>
      <c r="C8383" s="10"/>
      <c r="D8383" s="35" t="str">
        <f aca="false">IF(IF($K$8371=0,"",INDEX(Clients!$G$2:$G$501,$K$8371)&amp;"")="",TRIM(IF($K$8371=0,"",INDEX(Clients!$H$2:$H$501,$K$8371)&amp;"")&amp;" "&amp;UPPER(IF($K$8371=0,"",INDEX(Clients!$I$2:$I$501,$K$8371)&amp;""))),IF($K$8371=0,"",INDEX(Clients!$G$2:$G$501,$K$8371)&amp;""))</f>
        <v/>
      </c>
      <c r="E8383" s="35"/>
      <c r="F8383" s="35"/>
      <c r="J8383" s="25"/>
      <c r="K8383" s="25"/>
      <c r="L8383" s="25"/>
      <c r="M8383" s="25"/>
      <c r="N8383" s="25"/>
      <c r="O8383" s="25"/>
    </row>
    <row r="8384" customFormat="false" ht="15" hidden="false" customHeight="true" outlineLevel="0" collapsed="false">
      <c r="B8384" s="10"/>
      <c r="C8384" s="10"/>
      <c r="D8384" s="35" t="str">
        <f aca="false">IF(IF($K$8371=0,"",INDEX(Clients!$G$2:$G$501,$K$8371)&amp;"")="","",TRIM(IF($K$8371=0,"",INDEX(Clients!$H$2:$H$501,$K$8371)&amp;"")&amp;" "&amp;UPPER(IF($K$8371=0,"",INDEX(Clients!$I$2:$I$501,$K$8371)&amp;""))))</f>
        <v/>
      </c>
      <c r="E8384" s="35"/>
      <c r="F8384" s="35"/>
      <c r="J8384" s="25"/>
      <c r="K8384" s="25"/>
      <c r="L8384" s="25"/>
      <c r="M8384" s="25"/>
      <c r="N8384" s="25"/>
      <c r="O8384" s="25"/>
    </row>
    <row r="8385" customFormat="false" ht="25.5" hidden="false" customHeight="true" outlineLevel="0" collapsed="false">
      <c r="B8385" s="10"/>
      <c r="C8385" s="10"/>
      <c r="D8385" s="10"/>
      <c r="E8385" s="10"/>
      <c r="F8385" s="10"/>
      <c r="J8385" s="25"/>
      <c r="K8385" s="25"/>
      <c r="L8385" s="25"/>
      <c r="M8385" s="25"/>
      <c r="N8385" s="25"/>
      <c r="O8385" s="25"/>
    </row>
    <row r="8386" customFormat="false" ht="15" hidden="false" customHeight="false" outlineLevel="0" collapsed="false">
      <c r="B8386" s="10"/>
      <c r="C8386" s="10"/>
      <c r="D8386" s="36" t="str">
        <f aca="false">Cab_Ville&amp;", le "&amp;DAY(Date_Courrier)&amp;IF(DAY(Date_Courrier)=1,"er","")&amp;" "&amp;INDEX(Liste_Mois,MONTH(Date_Courrier))&amp;" "&amp;YEAR(Date_Courrier)</f>
        <v>Le Plessis-Bouchard, le 22 septembre 2026</v>
      </c>
      <c r="E8386" s="36"/>
      <c r="F8386" s="36"/>
      <c r="J8386" s="25"/>
      <c r="K8386" s="25"/>
      <c r="L8386" s="25"/>
      <c r="M8386" s="25"/>
      <c r="N8386" s="25"/>
      <c r="O8386" s="25"/>
    </row>
    <row r="8387" customFormat="false" ht="19.5" hidden="false" customHeight="true" outlineLevel="0" collapsed="false">
      <c r="B8387" s="10"/>
      <c r="C8387" s="10"/>
      <c r="D8387" s="10"/>
      <c r="E8387" s="10"/>
      <c r="F8387" s="10"/>
      <c r="J8387" s="25"/>
      <c r="K8387" s="25"/>
      <c r="L8387" s="25"/>
      <c r="M8387" s="25"/>
      <c r="N8387" s="25"/>
      <c r="O8387" s="25"/>
    </row>
    <row r="8388" customFormat="false" ht="15" hidden="false" customHeight="false" outlineLevel="0" collapsed="false">
      <c r="B8388" s="34" t="str">
        <f aca="false">SUBSTITUTE(SUBSTITUTE(SUBSTITUTE(SUBSTITUTE(SUBSTITUTE(Txt_Objet,"{cabinet}",Cab_Nom),"{societe}",IF($K$8371=0,"",INDEX(Clients!$E$2:$E$501,$K$8371)&amp;"")),"{date_effet}",$K$8373),"{hausse}",$K$8374),"{civilite}",$K$8372)</f>
        <v>Objet : révision de nos honoraires au 1er janvier 2027</v>
      </c>
      <c r="C8388" s="34"/>
      <c r="D8388" s="34"/>
      <c r="E8388" s="34"/>
      <c r="F8388" s="34"/>
      <c r="J8388" s="25"/>
      <c r="K8388" s="25"/>
      <c r="L8388" s="25"/>
      <c r="M8388" s="25"/>
      <c r="N8388" s="25"/>
      <c r="O8388" s="25"/>
    </row>
    <row r="8389" customFormat="false" ht="13.5" hidden="false" customHeight="true" outlineLevel="0" collapsed="false">
      <c r="B8389" s="10"/>
      <c r="C8389" s="10"/>
      <c r="D8389" s="10"/>
      <c r="E8389" s="10"/>
      <c r="F8389" s="10"/>
      <c r="J8389" s="25"/>
      <c r="K8389" s="25"/>
      <c r="L8389" s="25"/>
      <c r="M8389" s="25"/>
      <c r="N8389" s="25"/>
      <c r="O8389" s="25"/>
    </row>
    <row r="8390" customFormat="false" ht="15" hidden="false" customHeight="false" outlineLevel="0" collapsed="false">
      <c r="B8390" s="10" t="str">
        <f aca="false">$K$8372&amp;","</f>
        <v>Madame, Monsieur,</v>
      </c>
      <c r="C8390" s="10"/>
      <c r="D8390" s="10"/>
      <c r="E8390" s="10"/>
      <c r="F8390" s="10"/>
      <c r="J8390" s="25"/>
      <c r="K8390" s="25"/>
      <c r="L8390" s="25"/>
      <c r="M8390" s="25"/>
      <c r="N8390" s="25"/>
      <c r="O8390" s="25"/>
    </row>
    <row r="8391" customFormat="false" ht="6" hidden="false" customHeight="true" outlineLevel="0" collapsed="false">
      <c r="B8391" s="10"/>
      <c r="C8391" s="10"/>
      <c r="D8391" s="10"/>
      <c r="E8391" s="10"/>
      <c r="F8391" s="10"/>
      <c r="J8391" s="25"/>
      <c r="K8391" s="25"/>
      <c r="L8391" s="25"/>
      <c r="M8391" s="25"/>
      <c r="N8391" s="25"/>
      <c r="O8391" s="25"/>
    </row>
    <row r="8392" customFormat="false" ht="36.75" hidden="false" customHeight="true" outlineLevel="0" collapsed="false">
      <c r="B8392" s="37" t="str">
        <f aca="false">SUBSTITUTE(SUBSTITUTE(SUBSTITUTE(SUBSTITUTE(SUBSTITUTE(Txt_P1,"{cabinet}",Cab_Nom),"{societe}",IF($K$8371=0,"",INDEX(Clients!$E$2:$E$501,$K$8371)&amp;"")),"{date_effet}",$K$8373),"{hausse}",$K$8374),"{civilite}",$K$8372)</f>
        <v>Nous tenons tout d'abord à vous remercier pour la confiance que vous accordez à ALTHO EXPERTISE. Comme chaque année, et conformément aux dispositions de votre lettre de mission, nous procédons à la révision de nos honoraires.</v>
      </c>
      <c r="C8392" s="37"/>
      <c r="D8392" s="37"/>
      <c r="E8392" s="37"/>
      <c r="F8392" s="37"/>
      <c r="J8392" s="25"/>
      <c r="K8392" s="25"/>
      <c r="L8392" s="25"/>
      <c r="M8392" s="25"/>
      <c r="N8392" s="25"/>
      <c r="O8392" s="25"/>
    </row>
    <row r="8393" customFormat="false" ht="49.5" hidden="false" customHeight="true" outlineLevel="0" collapsed="false">
      <c r="B8393" s="37" t="str">
        <f aca="false">SUBSTITUTE(SUBSTITUTE(SUBSTITUTE(SUBSTITUTE(SUBSTITUTE(Txt_P2,"{cabinet}",Cab_Nom),"{societe}",IF($K$8371=0,"",INDEX(Clients!$E$2:$E$501,$K$8371)&amp;"")),"{date_effet}",$K$8373),"{hausse}",$K$8374),"{civilite}",$K$8372)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393" s="37"/>
      <c r="D8393" s="37"/>
      <c r="E8393" s="37"/>
      <c r="F8393" s="37"/>
      <c r="J8393" s="25"/>
      <c r="K8393" s="25"/>
      <c r="L8393" s="25"/>
      <c r="M8393" s="25"/>
      <c r="N8393" s="25"/>
      <c r="O8393" s="25"/>
    </row>
    <row r="8394" customFormat="false" ht="63" hidden="false" customHeight="true" outlineLevel="0" collapsed="false">
      <c r="B8394" s="37" t="str">
        <f aca="false">SUBSTITUTE(SUBSTITUTE(SUBSTITUTE(SUBSTITUTE(SUBSTITUTE(Txt_P3,"{cabinet}",Cab_Nom),"{societe}",IF($K$8371=0,"",INDEX(Clients!$E$2:$E$501,$K$8371)&amp;"")),"{date_effet}",$K$8373),"{hausse}",$K$8374),"{civilite}",$K$8372)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394" s="37"/>
      <c r="D8394" s="37"/>
      <c r="E8394" s="37"/>
      <c r="F8394" s="37"/>
      <c r="J8394" s="25"/>
      <c r="K8394" s="25"/>
      <c r="L8394" s="25"/>
      <c r="M8394" s="25"/>
      <c r="N8394" s="25"/>
      <c r="O8394" s="25"/>
    </row>
    <row r="8395" customFormat="false" ht="24" hidden="false" customHeight="true" outlineLevel="0" collapsed="false">
      <c r="B8395" s="37" t="str">
        <f aca="false">SUBSTITUTE(SUBSTITUTE(SUBSTITUTE(SUBSTITUTE(SUBSTITUTE(Txt_P4,"{cabinet}",Cab_Nom),"{societe}",IF($K$8371=0,"",INDEX(Clients!$E$2:$E$501,$K$8371)&amp;"")),"{date_effet}",$K$8373),"{hausse}",$K$8374),"{civilite}",$K$8372)</f>
        <v>À compter du 1er janvier 2027, vos honoraires annuels hors taxes évolueront ainsi (évolution globale : ) :</v>
      </c>
      <c r="C8395" s="37"/>
      <c r="D8395" s="37"/>
      <c r="E8395" s="37"/>
      <c r="F8395" s="37"/>
      <c r="J8395" s="25"/>
      <c r="K8395" s="25"/>
      <c r="L8395" s="25"/>
      <c r="M8395" s="25"/>
      <c r="N8395" s="25"/>
      <c r="O8395" s="25"/>
    </row>
    <row r="8396" customFormat="false" ht="3.75" hidden="false" customHeight="true" outlineLevel="0" collapsed="false">
      <c r="B8396" s="10"/>
      <c r="C8396" s="10"/>
      <c r="D8396" s="10"/>
      <c r="E8396" s="10"/>
      <c r="F8396" s="10"/>
      <c r="J8396" s="25"/>
      <c r="K8396" s="25"/>
      <c r="L8396" s="25"/>
      <c r="M8396" s="25"/>
      <c r="N8396" s="25"/>
      <c r="O8396" s="25"/>
    </row>
    <row r="8397" customFormat="false" ht="18" hidden="false" customHeight="true" outlineLevel="0" collapsed="false">
      <c r="B8397" s="38" t="s">
        <v>148</v>
      </c>
      <c r="C8397" s="39" t="s">
        <v>149</v>
      </c>
      <c r="D8397" s="39" t="s">
        <v>150</v>
      </c>
      <c r="E8397" s="39" t="s">
        <v>151</v>
      </c>
      <c r="F8397" s="39" t="s">
        <v>109</v>
      </c>
      <c r="J8397" s="25" t="s">
        <v>152</v>
      </c>
      <c r="K8397" s="25" t="s">
        <v>153</v>
      </c>
      <c r="L8397" s="25" t="s">
        <v>154</v>
      </c>
      <c r="M8397" s="25" t="s">
        <v>155</v>
      </c>
      <c r="N8397" s="25" t="s">
        <v>156</v>
      </c>
      <c r="O8397" s="25" t="s">
        <v>157</v>
      </c>
    </row>
    <row r="8398" customFormat="false" ht="16.5" hidden="false" customHeight="true" outlineLevel="0" collapsed="false">
      <c r="B8398" s="40" t="str">
        <f aca="false">IFERROR(INDEX($J$8398:$J$8401,MATCH($O8398,$N$8398:$N$8401,0)),"")</f>
        <v/>
      </c>
      <c r="C8398" s="41" t="str">
        <f aca="false">IFERROR(INDEX($K$8398:$K$8401,MATCH($O8398,$N$8398:$N$8401,0)),"")</f>
        <v/>
      </c>
      <c r="D8398" s="42" t="str">
        <f aca="false">IF(OR(E8398="",N(C8398)=0),"",E8398/C8398-1)</f>
        <v/>
      </c>
      <c r="E8398" s="41" t="str">
        <f aca="false">IFERROR(INDEX($L$8398:$L$8401,MATCH($O8398,$N$8398:$N$8401,0)),"")</f>
        <v/>
      </c>
      <c r="F8398" s="41" t="str">
        <f aca="false">IF(E8398="","",E8398-C8398)</f>
        <v/>
      </c>
      <c r="J8398" s="25" t="str">
        <f aca="false">Lib_Compta</f>
        <v>Mission comptable (tenue, révision, bilan, liasse fiscale)</v>
      </c>
      <c r="K8398" s="25" t="n">
        <f aca="false">IF($K$8371=0,0,N(INDEX(Clients!$K$2:$K$501,$K$8371)))</f>
        <v>0</v>
      </c>
      <c r="L8398" s="25" t="n">
        <f aca="false">IF($K$8371=0,0,N(INDEX(Clients!$P$2:$P$501,$K$8371)))</f>
        <v>0</v>
      </c>
      <c r="M8398" s="25" t="n">
        <f aca="false">IF(OR(K8398&lt;&gt;0,L8398&lt;&gt;0),1,0)</f>
        <v>0</v>
      </c>
      <c r="N8398" s="25" t="str">
        <f aca="false">IF(M8398=1,SUM($M$8398:M8398),"")</f>
        <v/>
      </c>
      <c r="O8398" s="25" t="n">
        <v>1</v>
      </c>
    </row>
    <row r="8399" customFormat="false" ht="16.5" hidden="false" customHeight="true" outlineLevel="0" collapsed="false">
      <c r="B8399" s="40" t="str">
        <f aca="false">IFERROR(INDEX($J$8398:$J$8401,MATCH($O8399,$N$8398:$N$8401,0)),"")</f>
        <v/>
      </c>
      <c r="C8399" s="41" t="str">
        <f aca="false">IFERROR(INDEX($K$8398:$K$8401,MATCH($O8399,$N$8398:$N$8401,0)),"")</f>
        <v/>
      </c>
      <c r="D8399" s="42" t="str">
        <f aca="false">IF(OR(E8399="",N(C8399)=0),"",E8399/C8399-1)</f>
        <v/>
      </c>
      <c r="E8399" s="41" t="str">
        <f aca="false">IFERROR(INDEX($L$8398:$L$8401,MATCH($O8399,$N$8398:$N$8401,0)),"")</f>
        <v/>
      </c>
      <c r="F8399" s="41" t="str">
        <f aca="false">IF(E8399="","",E8399-C8399)</f>
        <v/>
      </c>
      <c r="J8399" s="25" t="str">
        <f aca="false">Lib_Paye</f>
        <v>Mission sociale (bulletins de paie, DSN, déclarations sociales)</v>
      </c>
      <c r="K8399" s="25" t="n">
        <f aca="false">IF($K$8371=0,0,N(INDEX(Clients!$L$2:$L$501,$K$8371)))</f>
        <v>0</v>
      </c>
      <c r="L8399" s="25" t="n">
        <f aca="false">IF($K$8371=0,0,N(INDEX(Clients!$Q$2:$Q$501,$K$8371)))</f>
        <v>0</v>
      </c>
      <c r="M8399" s="25" t="n">
        <f aca="false">IF(OR(K8399&lt;&gt;0,L8399&lt;&gt;0),1,0)</f>
        <v>0</v>
      </c>
      <c r="N8399" s="25" t="str">
        <f aca="false">IF(M8399=1,SUM($M$8398:M8399),"")</f>
        <v/>
      </c>
      <c r="O8399" s="25" t="n">
        <v>2</v>
      </c>
    </row>
    <row r="8400" customFormat="false" ht="16.5" hidden="false" customHeight="true" outlineLevel="0" collapsed="false">
      <c r="B8400" s="40" t="str">
        <f aca="false">IFERROR(INDEX($J$8398:$J$8401,MATCH($O8400,$N$8398:$N$8401,0)),"")</f>
        <v/>
      </c>
      <c r="C8400" s="41" t="str">
        <f aca="false">IFERROR(INDEX($K$8398:$K$8401,MATCH($O8400,$N$8398:$N$8401,0)),"")</f>
        <v/>
      </c>
      <c r="D8400" s="42" t="str">
        <f aca="false">IF(OR(E8400="",N(C8400)=0),"",E8400/C8400-1)</f>
        <v/>
      </c>
      <c r="E8400" s="41" t="str">
        <f aca="false">IFERROR(INDEX($L$8398:$L$8401,MATCH($O8400,$N$8398:$N$8401,0)),"")</f>
        <v/>
      </c>
      <c r="F8400" s="41" t="str">
        <f aca="false">IF(E8400="","",E8400-C8400)</f>
        <v/>
      </c>
      <c r="J8400" s="25" t="str">
        <f aca="false">Lib_Jur</f>
        <v>Mission juridique (approbation des comptes, secrétariat juridique)</v>
      </c>
      <c r="K8400" s="25" t="n">
        <f aca="false">IF($K$8371=0,0,N(INDEX(Clients!$M$2:$M$501,$K$8371)))</f>
        <v>0</v>
      </c>
      <c r="L8400" s="25" t="n">
        <f aca="false">IF($K$8371=0,0,N(INDEX(Clients!$R$2:$R$501,$K$8371)))</f>
        <v>0</v>
      </c>
      <c r="M8400" s="25" t="n">
        <f aca="false">IF(OR(K8400&lt;&gt;0,L8400&lt;&gt;0),1,0)</f>
        <v>0</v>
      </c>
      <c r="N8400" s="25" t="str">
        <f aca="false">IF(M8400=1,SUM($M$8398:M8400),"")</f>
        <v/>
      </c>
      <c r="O8400" s="25" t="n">
        <v>3</v>
      </c>
    </row>
    <row r="8401" customFormat="false" ht="16.5" hidden="false" customHeight="true" outlineLevel="0" collapsed="false">
      <c r="B8401" s="40" t="str">
        <f aca="false">IFERROR(INDEX($J$8398:$J$8401,MATCH($O8401,$N$8398:$N$8401,0)),"")</f>
        <v/>
      </c>
      <c r="C8401" s="41" t="str">
        <f aca="false">IFERROR(INDEX($K$8398:$K$8401,MATCH($O8401,$N$8398:$N$8401,0)),"")</f>
        <v/>
      </c>
      <c r="D8401" s="42" t="str">
        <f aca="false">IF(OR(E8401="",N(C8401)=0),"",E8401/C8401-1)</f>
        <v/>
      </c>
      <c r="E8401" s="41" t="str">
        <f aca="false">IFERROR(INDEX($L$8398:$L$8401,MATCH($O8401,$N$8398:$N$8401,0)),"")</f>
        <v/>
      </c>
      <c r="F8401" s="41" t="str">
        <f aca="false">IF(E8401="","",E8401-C8401)</f>
        <v/>
      </c>
      <c r="J8401" s="25" t="str">
        <f aca="false">Lib_PA</f>
        <v>Plateforme agréée – facturation électronique</v>
      </c>
      <c r="K8401" s="25" t="n">
        <f aca="false">IF($K$8371=0,0,N(INDEX(Clients!$N$2:$N$501,$K$8371)))</f>
        <v>0</v>
      </c>
      <c r="L8401" s="25" t="n">
        <f aca="false">IF($K$8371=0,0,N(INDEX(Clients!$S$2:$S$501,$K$8371)))</f>
        <v>0</v>
      </c>
      <c r="M8401" s="25" t="n">
        <f aca="false">IF(OR(K8401&lt;&gt;0,L8401&lt;&gt;0),1,0)</f>
        <v>0</v>
      </c>
      <c r="N8401" s="25" t="str">
        <f aca="false">IF(M8401=1,SUM($M$8398:M8401),"")</f>
        <v/>
      </c>
      <c r="O8401" s="25" t="n">
        <v>4</v>
      </c>
    </row>
    <row r="8402" customFormat="false" ht="18" hidden="false" customHeight="true" outlineLevel="0" collapsed="false">
      <c r="B8402" s="43" t="s">
        <v>158</v>
      </c>
      <c r="C8402" s="44" t="n">
        <f aca="false">SUM(K8398:K8401)</f>
        <v>0</v>
      </c>
      <c r="D8402" s="45" t="str">
        <f aca="false">IF(N(C8402)=0,"",E8402/C8402-1)</f>
        <v/>
      </c>
      <c r="E8402" s="44" t="n">
        <f aca="false">SUM(L8398:L8401)</f>
        <v>0</v>
      </c>
      <c r="F8402" s="44" t="n">
        <f aca="false">E8402-C8402</f>
        <v>0</v>
      </c>
    </row>
    <row r="8403" customFormat="false" ht="15" hidden="false" customHeight="false" outlineLevel="0" collapsed="false">
      <c r="B8403" s="46" t="str">
        <f aca="false">IF(N(Nb_Mensualites)=0,"","Soit "&amp;FIXED(E8402/Nb_Mensualites,2)&amp;" € HT par échéance ("&amp;Nb_Mensualites&amp;" échéances), "&amp;FIXED(E8402/Nb_Mensualites*(1+Taux_TVA),2)&amp;" € TTC.")</f>
        <v>Soit 0.00 € HT par échéance (12 échéances), 0.00 € TTC.</v>
      </c>
      <c r="C8403" s="46"/>
      <c r="D8403" s="46"/>
      <c r="E8403" s="46"/>
      <c r="F8403" s="46"/>
    </row>
    <row r="8404" customFormat="false" ht="7.5" hidden="false" customHeight="true" outlineLevel="0" collapsed="false">
      <c r="B8404" s="10"/>
      <c r="C8404" s="10"/>
      <c r="D8404" s="10"/>
      <c r="E8404" s="10"/>
      <c r="F8404" s="10"/>
    </row>
    <row r="8405" customFormat="false" ht="36.75" hidden="false" customHeight="true" outlineLevel="0" collapsed="false">
      <c r="B8405" s="37" t="str">
        <f aca="false">SUBSTITUTE(SUBSTITUTE(SUBSTITUTE(SUBSTITUTE(SUBSTITUTE(Txt_P5,"{cabinet}",Cab_Nom),"{societe}",IF($K$8371=0,"",INDEX(Clients!$E$2:$E$501,$K$8371)&amp;"")),"{date_effet}",$K$8373),"{hausse}",$K$8374),"{civilite}",$K$8372)</f>
        <v>Les autres conditions de votre lettre de mission demeurent inchangées. Les nouveaux montants seront appliqués automatiquement sur vos prochaines factures et échéances de prélèvement.</v>
      </c>
      <c r="C8405" s="37"/>
      <c r="D8405" s="37"/>
      <c r="E8405" s="37"/>
      <c r="F8405" s="37"/>
    </row>
    <row r="8406" customFormat="false" ht="36.75" hidden="false" customHeight="true" outlineLevel="0" collapsed="false">
      <c r="B8406" s="37" t="str">
        <f aca="false">SUBSTITUTE(SUBSTITUTE(SUBSTITUTE(SUBSTITUTE(SUBSTITUTE(Txt_P6,"{cabinet}",Cab_Nom),"{societe}",IF($K$8371=0,"",INDEX(Clients!$E$2:$E$501,$K$8371)&amp;"")),"{date_effet}",$K$8373),"{hausse}",$K$8374),"{civilite}",$K$8372)</f>
        <v>Votre interlocuteur habituel reste à votre entière disposition pour répondre à vos questions et faire le point sur l'évolution de vos besoins.</v>
      </c>
      <c r="C8406" s="37"/>
      <c r="D8406" s="37"/>
      <c r="E8406" s="37"/>
      <c r="F8406" s="37"/>
    </row>
    <row r="8407" customFormat="false" ht="24" hidden="false" customHeight="true" outlineLevel="0" collapsed="false">
      <c r="B8407" s="37" t="str">
        <f aca="false">SUBSTITUTE(SUBSTITUTE(SUBSTITUTE(SUBSTITUTE(SUBSTITUTE(Txt_Politesse,"{cabinet}",Cab_Nom),"{societe}",IF($K$8371=0,"",INDEX(Clients!$E$2:$E$501,$K$8371)&amp;"")),"{date_effet}",$K$8373),"{hausse}",$K$8374),"{civilite}",$K$8372)</f>
        <v>Nous vous prions d'agréer, Madame, Monsieur, l'expression de nos salutations distinguées.</v>
      </c>
      <c r="C8407" s="37"/>
      <c r="D8407" s="37"/>
      <c r="E8407" s="37"/>
      <c r="F8407" s="37"/>
    </row>
    <row r="8408" customFormat="false" ht="15" hidden="false" customHeight="false" outlineLevel="0" collapsed="false">
      <c r="B8408" s="10"/>
      <c r="C8408" s="10"/>
      <c r="D8408" s="10"/>
      <c r="E8408" s="10"/>
      <c r="F8408" s="10"/>
    </row>
    <row r="8409" customFormat="false" ht="15" hidden="false" customHeight="false" outlineLevel="0" collapsed="false">
      <c r="B8409" s="10"/>
      <c r="C8409" s="10"/>
      <c r="D8409" s="34" t="str">
        <f aca="false">Signataire</f>
        <v>Prénom NOM</v>
      </c>
      <c r="E8409" s="34"/>
      <c r="F8409" s="34"/>
    </row>
    <row r="8410" customFormat="false" ht="15" hidden="false" customHeight="false" outlineLevel="0" collapsed="false">
      <c r="B8410" s="10"/>
      <c r="C8410" s="10"/>
      <c r="D8410" s="47" t="str">
        <f aca="false">Signataire_Titre</f>
        <v>Expert-comptable associé</v>
      </c>
      <c r="E8410" s="47"/>
      <c r="F8410" s="47"/>
    </row>
    <row r="8411" customFormat="false" ht="15.75" hidden="false" customHeight="true" outlineLevel="0" collapsed="false">
      <c r="B8411" s="10"/>
      <c r="C8411" s="10"/>
      <c r="D8411" s="10"/>
      <c r="E8411" s="10"/>
      <c r="F8411" s="10"/>
    </row>
    <row r="8412" customFormat="false" ht="15.75" hidden="false" customHeight="true" outlineLevel="0" collapsed="false">
      <c r="B8412" s="10"/>
      <c r="C8412" s="10"/>
      <c r="D8412" s="10"/>
      <c r="E8412" s="10"/>
      <c r="F8412" s="10"/>
    </row>
    <row r="8413" customFormat="false" ht="15.75" hidden="false" customHeight="true" outlineLevel="0" collapsed="false">
      <c r="B8413" s="10"/>
      <c r="C8413" s="10"/>
      <c r="D8413" s="10"/>
      <c r="E8413" s="10"/>
      <c r="F8413" s="10"/>
    </row>
    <row r="8414" customFormat="false" ht="15.75" hidden="false" customHeight="true" outlineLevel="0" collapsed="false">
      <c r="B8414" s="10"/>
      <c r="C8414" s="10"/>
      <c r="D8414" s="10"/>
      <c r="E8414" s="10"/>
      <c r="F8414" s="10"/>
    </row>
    <row r="8415" customFormat="false" ht="24" hidden="false" customHeight="true" outlineLevel="0" collapsed="false">
      <c r="B8415" s="48" t="str">
        <f aca="false">Cab_Mentions</f>
        <v>ALTHO EXPERTISE · SAS au capital de 10 000 € · RCS Pontoise 919 706 325 · TVA FR62919706325 · Société d'expertise comptable inscrite au Tableau de l'Ordre des experts-comptables de Paris Île-de-France</v>
      </c>
      <c r="C8415" s="48"/>
      <c r="D8415" s="48"/>
      <c r="E8415" s="48"/>
      <c r="F8415" s="48"/>
    </row>
    <row r="8416" customFormat="false" ht="15" hidden="false" customHeight="false" outlineLevel="0" collapsed="false">
      <c r="B8416" s="10"/>
      <c r="C8416" s="10"/>
      <c r="D8416" s="10"/>
      <c r="E8416" s="10"/>
      <c r="F8416" s="10"/>
      <c r="J8416" s="25" t="s">
        <v>142</v>
      </c>
      <c r="K8416" s="25" t="n">
        <f aca="false">IFERROR(MATCH(188,Clients!$Z$2:$Z$501,0),0)</f>
        <v>0</v>
      </c>
      <c r="L8416" s="25"/>
      <c r="M8416" s="25"/>
      <c r="N8416" s="25"/>
      <c r="O8416" s="25"/>
    </row>
    <row r="8417" customFormat="false" ht="21.75" hidden="false" customHeight="true" outlineLevel="0" collapsed="false">
      <c r="B8417" s="26" t="str">
        <f aca="false">Cab_Nom</f>
        <v>ALTHO EXPERTISE</v>
      </c>
      <c r="C8417" s="26"/>
      <c r="D8417" s="10"/>
      <c r="E8417" s="27" t="str">
        <f aca="false">IF($K$8416=0,"","Réf. client : "&amp;INDEX(Clients!$A$2:$A$501,$K$8416))</f>
        <v/>
      </c>
      <c r="F8417" s="27"/>
      <c r="J8417" s="25" t="s">
        <v>144</v>
      </c>
      <c r="K8417" s="25" t="str">
        <f aca="false">IF(IF($K$8416=0,"",INDEX(Clients!$B$2:$B$501,$K$8416)&amp;"")="Mme","Madame",IF(IF($K$8416=0,"",INDEX(Clients!$B$2:$B$501,$K$8416)&amp;"")="M.","Monsieur","Madame, Monsieur"))</f>
        <v>Madame, Monsieur</v>
      </c>
      <c r="L8417" s="25"/>
      <c r="M8417" s="25"/>
      <c r="N8417" s="25"/>
      <c r="O8417" s="25"/>
    </row>
    <row r="8418" customFormat="false" ht="15" hidden="false" customHeight="false" outlineLevel="0" collapsed="false">
      <c r="B8418" s="29" t="str">
        <f aca="false">Cab_Adr1</f>
        <v>141 rue Charles de Gaulle</v>
      </c>
      <c r="C8418" s="29"/>
      <c r="D8418" s="10"/>
      <c r="E8418" s="10"/>
      <c r="F8418" s="10"/>
      <c r="J8418" s="25" t="s">
        <v>145</v>
      </c>
      <c r="K8418" s="25" t="str">
        <f aca="false">DAY(Date_Effet)&amp;IF(DAY(Date_Effet)=1,"er","")&amp;" "&amp;INDEX(Liste_Mois,MONTH(Date_Effet))&amp;" "&amp;YEAR(Date_Effet)</f>
        <v>1er janvier 2027</v>
      </c>
      <c r="L8418" s="25"/>
      <c r="M8418" s="25"/>
      <c r="N8418" s="25"/>
      <c r="O8418" s="25"/>
    </row>
    <row r="8419" customFormat="false" ht="15" hidden="false" customHeight="false" outlineLevel="0" collapsed="false">
      <c r="B8419" s="29" t="str">
        <f aca="false">Cab_CPVille</f>
        <v>95130 LE PLESSIS-BOUCHARD</v>
      </c>
      <c r="C8419" s="29"/>
      <c r="D8419" s="10"/>
      <c r="E8419" s="10"/>
      <c r="F8419" s="10"/>
      <c r="J8419" s="25" t="s">
        <v>146</v>
      </c>
      <c r="K8419" s="25" t="str">
        <f aca="false">IF(SUM($K$8443:$K$8446)=0,"",FIXED((SUM($L$8443:$L$8446)/SUM($K$8443:$K$8446)-1)*100,1)&amp;" %")</f>
        <v/>
      </c>
      <c r="L8419" s="25"/>
      <c r="M8419" s="25"/>
      <c r="N8419" s="25"/>
      <c r="O8419" s="25"/>
    </row>
    <row r="8420" customFormat="false" ht="15" hidden="false" customHeight="false" outlineLevel="0" collapsed="false">
      <c r="B8420" s="29" t="str">
        <f aca="false">Cab_Contact</f>
        <v>Tél. 01 34 14 53 45  ·  altho@altho-experts.com  ·  altho-experts.com</v>
      </c>
      <c r="C8420" s="29"/>
      <c r="D8420" s="10"/>
      <c r="E8420" s="10"/>
      <c r="F8420" s="10"/>
      <c r="J8420" s="25"/>
      <c r="K8420" s="25"/>
      <c r="L8420" s="25"/>
      <c r="M8420" s="25"/>
      <c r="N8420" s="25"/>
      <c r="O8420" s="25"/>
    </row>
    <row r="8421" customFormat="false" ht="6" hidden="false" customHeight="true" outlineLevel="0" collapsed="false">
      <c r="B8421" s="32"/>
      <c r="C8421" s="32"/>
      <c r="D8421" s="32"/>
      <c r="E8421" s="32"/>
      <c r="F8421" s="32"/>
      <c r="J8421" s="25"/>
      <c r="K8421" s="25"/>
      <c r="L8421" s="25"/>
      <c r="M8421" s="25"/>
      <c r="N8421" s="25"/>
      <c r="O8421" s="25"/>
    </row>
    <row r="8422" customFormat="false" ht="13.5" hidden="false" customHeight="true" outlineLevel="0" collapsed="false">
      <c r="B8422" s="10"/>
      <c r="C8422" s="10"/>
      <c r="D8422" s="10"/>
      <c r="E8422" s="10"/>
      <c r="F8422" s="10"/>
      <c r="J8422" s="25"/>
      <c r="K8422" s="25"/>
      <c r="L8422" s="25"/>
      <c r="M8422" s="25"/>
      <c r="N8422" s="25"/>
      <c r="O8422" s="25"/>
    </row>
    <row r="8423" customFormat="false" ht="13.5" hidden="false" customHeight="true" outlineLevel="0" collapsed="false">
      <c r="B8423" s="10"/>
      <c r="C8423" s="10"/>
      <c r="D8423" s="10"/>
      <c r="E8423" s="10"/>
      <c r="F8423" s="10"/>
      <c r="J8423" s="25"/>
      <c r="K8423" s="25"/>
      <c r="L8423" s="25"/>
      <c r="M8423" s="25"/>
      <c r="N8423" s="25"/>
      <c r="O8423" s="25"/>
    </row>
    <row r="8424" customFormat="false" ht="13.5" hidden="false" customHeight="true" outlineLevel="0" collapsed="false">
      <c r="B8424" s="10"/>
      <c r="C8424" s="10"/>
      <c r="D8424" s="10"/>
      <c r="E8424" s="10"/>
      <c r="F8424" s="10"/>
      <c r="J8424" s="25"/>
      <c r="K8424" s="25"/>
      <c r="L8424" s="25"/>
      <c r="M8424" s="25"/>
      <c r="N8424" s="25"/>
      <c r="O8424" s="25"/>
    </row>
    <row r="8425" customFormat="false" ht="15" hidden="false" customHeight="true" outlineLevel="0" collapsed="false">
      <c r="B8425" s="10"/>
      <c r="C8425" s="10"/>
      <c r="D8425" s="34" t="str">
        <f aca="false">IF($K$8416=0,"",INDEX(Clients!$E$2:$E$501,$K$8416)&amp;"")</f>
        <v/>
      </c>
      <c r="E8425" s="34"/>
      <c r="F8425" s="34"/>
      <c r="J8425" s="25"/>
      <c r="K8425" s="25"/>
      <c r="L8425" s="25"/>
      <c r="M8425" s="25"/>
      <c r="N8425" s="25"/>
      <c r="O8425" s="25"/>
    </row>
    <row r="8426" customFormat="false" ht="15" hidden="false" customHeight="true" outlineLevel="0" collapsed="false">
      <c r="B8426" s="10"/>
      <c r="C8426" s="10"/>
      <c r="D8426" s="35" t="str">
        <f aca="false">IF(IF($K$8416=0,"",INDEX(Clients!$D$2:$D$501,$K$8416)&amp;"")="","","À l'attention de "&amp;TRIM(IF($K$8416=0,"",INDEX(Clients!$B$2:$B$501,$K$8416)&amp;"")&amp;" "&amp;IF($K$8416=0,"",INDEX(Clients!$C$2:$C$501,$K$8416)&amp;"")&amp;" "&amp;IF($K$8416=0,"",INDEX(Clients!$D$2:$D$501,$K$8416)&amp;"")))</f>
        <v/>
      </c>
      <c r="E8426" s="35"/>
      <c r="F8426" s="35"/>
      <c r="J8426" s="25"/>
      <c r="K8426" s="25"/>
      <c r="L8426" s="25"/>
      <c r="M8426" s="25"/>
      <c r="N8426" s="25"/>
      <c r="O8426" s="25"/>
    </row>
    <row r="8427" customFormat="false" ht="15" hidden="false" customHeight="true" outlineLevel="0" collapsed="false">
      <c r="B8427" s="10"/>
      <c r="C8427" s="10"/>
      <c r="D8427" s="35" t="str">
        <f aca="false">IF($K$8416=0,"",INDEX(Clients!$F$2:$F$501,$K$8416)&amp;"")</f>
        <v/>
      </c>
      <c r="E8427" s="35"/>
      <c r="F8427" s="35"/>
      <c r="J8427" s="25"/>
      <c r="K8427" s="25"/>
      <c r="L8427" s="25"/>
      <c r="M8427" s="25"/>
      <c r="N8427" s="25"/>
      <c r="O8427" s="25"/>
    </row>
    <row r="8428" customFormat="false" ht="15" hidden="false" customHeight="true" outlineLevel="0" collapsed="false">
      <c r="B8428" s="10"/>
      <c r="C8428" s="10"/>
      <c r="D8428" s="35" t="str">
        <f aca="false">IF(IF($K$8416=0,"",INDEX(Clients!$G$2:$G$501,$K$8416)&amp;"")="",TRIM(IF($K$8416=0,"",INDEX(Clients!$H$2:$H$501,$K$8416)&amp;"")&amp;" "&amp;UPPER(IF($K$8416=0,"",INDEX(Clients!$I$2:$I$501,$K$8416)&amp;""))),IF($K$8416=0,"",INDEX(Clients!$G$2:$G$501,$K$8416)&amp;""))</f>
        <v/>
      </c>
      <c r="E8428" s="35"/>
      <c r="F8428" s="35"/>
      <c r="J8428" s="25"/>
      <c r="K8428" s="25"/>
      <c r="L8428" s="25"/>
      <c r="M8428" s="25"/>
      <c r="N8428" s="25"/>
      <c r="O8428" s="25"/>
    </row>
    <row r="8429" customFormat="false" ht="15" hidden="false" customHeight="true" outlineLevel="0" collapsed="false">
      <c r="B8429" s="10"/>
      <c r="C8429" s="10"/>
      <c r="D8429" s="35" t="str">
        <f aca="false">IF(IF($K$8416=0,"",INDEX(Clients!$G$2:$G$501,$K$8416)&amp;"")="","",TRIM(IF($K$8416=0,"",INDEX(Clients!$H$2:$H$501,$K$8416)&amp;"")&amp;" "&amp;UPPER(IF($K$8416=0,"",INDEX(Clients!$I$2:$I$501,$K$8416)&amp;""))))</f>
        <v/>
      </c>
      <c r="E8429" s="35"/>
      <c r="F8429" s="35"/>
      <c r="J8429" s="25"/>
      <c r="K8429" s="25"/>
      <c r="L8429" s="25"/>
      <c r="M8429" s="25"/>
      <c r="N8429" s="25"/>
      <c r="O8429" s="25"/>
    </row>
    <row r="8430" customFormat="false" ht="25.5" hidden="false" customHeight="true" outlineLevel="0" collapsed="false">
      <c r="B8430" s="10"/>
      <c r="C8430" s="10"/>
      <c r="D8430" s="10"/>
      <c r="E8430" s="10"/>
      <c r="F8430" s="10"/>
      <c r="J8430" s="25"/>
      <c r="K8430" s="25"/>
      <c r="L8430" s="25"/>
      <c r="M8430" s="25"/>
      <c r="N8430" s="25"/>
      <c r="O8430" s="25"/>
    </row>
    <row r="8431" customFormat="false" ht="15" hidden="false" customHeight="false" outlineLevel="0" collapsed="false">
      <c r="B8431" s="10"/>
      <c r="C8431" s="10"/>
      <c r="D8431" s="36" t="str">
        <f aca="false">Cab_Ville&amp;", le "&amp;DAY(Date_Courrier)&amp;IF(DAY(Date_Courrier)=1,"er","")&amp;" "&amp;INDEX(Liste_Mois,MONTH(Date_Courrier))&amp;" "&amp;YEAR(Date_Courrier)</f>
        <v>Le Plessis-Bouchard, le 22 septembre 2026</v>
      </c>
      <c r="E8431" s="36"/>
      <c r="F8431" s="36"/>
      <c r="J8431" s="25"/>
      <c r="K8431" s="25"/>
      <c r="L8431" s="25"/>
      <c r="M8431" s="25"/>
      <c r="N8431" s="25"/>
      <c r="O8431" s="25"/>
    </row>
    <row r="8432" customFormat="false" ht="19.5" hidden="false" customHeight="true" outlineLevel="0" collapsed="false">
      <c r="B8432" s="10"/>
      <c r="C8432" s="10"/>
      <c r="D8432" s="10"/>
      <c r="E8432" s="10"/>
      <c r="F8432" s="10"/>
      <c r="J8432" s="25"/>
      <c r="K8432" s="25"/>
      <c r="L8432" s="25"/>
      <c r="M8432" s="25"/>
      <c r="N8432" s="25"/>
      <c r="O8432" s="25"/>
    </row>
    <row r="8433" customFormat="false" ht="15" hidden="false" customHeight="false" outlineLevel="0" collapsed="false">
      <c r="B8433" s="34" t="str">
        <f aca="false">SUBSTITUTE(SUBSTITUTE(SUBSTITUTE(SUBSTITUTE(SUBSTITUTE(Txt_Objet,"{cabinet}",Cab_Nom),"{societe}",IF($K$8416=0,"",INDEX(Clients!$E$2:$E$501,$K$8416)&amp;"")),"{date_effet}",$K$8418),"{hausse}",$K$8419),"{civilite}",$K$8417)</f>
        <v>Objet : révision de nos honoraires au 1er janvier 2027</v>
      </c>
      <c r="C8433" s="34"/>
      <c r="D8433" s="34"/>
      <c r="E8433" s="34"/>
      <c r="F8433" s="34"/>
      <c r="J8433" s="25"/>
      <c r="K8433" s="25"/>
      <c r="L8433" s="25"/>
      <c r="M8433" s="25"/>
      <c r="N8433" s="25"/>
      <c r="O8433" s="25"/>
    </row>
    <row r="8434" customFormat="false" ht="13.5" hidden="false" customHeight="true" outlineLevel="0" collapsed="false">
      <c r="B8434" s="10"/>
      <c r="C8434" s="10"/>
      <c r="D8434" s="10"/>
      <c r="E8434" s="10"/>
      <c r="F8434" s="10"/>
      <c r="J8434" s="25"/>
      <c r="K8434" s="25"/>
      <c r="L8434" s="25"/>
      <c r="M8434" s="25"/>
      <c r="N8434" s="25"/>
      <c r="O8434" s="25"/>
    </row>
    <row r="8435" customFormat="false" ht="15" hidden="false" customHeight="false" outlineLevel="0" collapsed="false">
      <c r="B8435" s="10" t="str">
        <f aca="false">$K$8417&amp;","</f>
        <v>Madame, Monsieur,</v>
      </c>
      <c r="C8435" s="10"/>
      <c r="D8435" s="10"/>
      <c r="E8435" s="10"/>
      <c r="F8435" s="10"/>
      <c r="J8435" s="25"/>
      <c r="K8435" s="25"/>
      <c r="L8435" s="25"/>
      <c r="M8435" s="25"/>
      <c r="N8435" s="25"/>
      <c r="O8435" s="25"/>
    </row>
    <row r="8436" customFormat="false" ht="6" hidden="false" customHeight="true" outlineLevel="0" collapsed="false">
      <c r="B8436" s="10"/>
      <c r="C8436" s="10"/>
      <c r="D8436" s="10"/>
      <c r="E8436" s="10"/>
      <c r="F8436" s="10"/>
      <c r="J8436" s="25"/>
      <c r="K8436" s="25"/>
      <c r="L8436" s="25"/>
      <c r="M8436" s="25"/>
      <c r="N8436" s="25"/>
      <c r="O8436" s="25"/>
    </row>
    <row r="8437" customFormat="false" ht="36.75" hidden="false" customHeight="true" outlineLevel="0" collapsed="false">
      <c r="B8437" s="37" t="str">
        <f aca="false">SUBSTITUTE(SUBSTITUTE(SUBSTITUTE(SUBSTITUTE(SUBSTITUTE(Txt_P1,"{cabinet}",Cab_Nom),"{societe}",IF($K$8416=0,"",INDEX(Clients!$E$2:$E$501,$K$8416)&amp;"")),"{date_effet}",$K$8418),"{hausse}",$K$8419),"{civilite}",$K$8417)</f>
        <v>Nous tenons tout d'abord à vous remercier pour la confiance que vous accordez à ALTHO EXPERTISE. Comme chaque année, et conformément aux dispositions de votre lettre de mission, nous procédons à la révision de nos honoraires.</v>
      </c>
      <c r="C8437" s="37"/>
      <c r="D8437" s="37"/>
      <c r="E8437" s="37"/>
      <c r="F8437" s="37"/>
      <c r="J8437" s="25"/>
      <c r="K8437" s="25"/>
      <c r="L8437" s="25"/>
      <c r="M8437" s="25"/>
      <c r="N8437" s="25"/>
      <c r="O8437" s="25"/>
    </row>
    <row r="8438" customFormat="false" ht="49.5" hidden="false" customHeight="true" outlineLevel="0" collapsed="false">
      <c r="B8438" s="37" t="str">
        <f aca="false">SUBSTITUTE(SUBSTITUTE(SUBSTITUTE(SUBSTITUTE(SUBSTITUTE(Txt_P2,"{cabinet}",Cab_Nom),"{societe}",IF($K$8416=0,"",INDEX(Clients!$E$2:$E$501,$K$8416)&amp;"")),"{date_effet}",$K$8418),"{hausse}",$K$8419),"{civilite}",$K$8417)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438" s="37"/>
      <c r="D8438" s="37"/>
      <c r="E8438" s="37"/>
      <c r="F8438" s="37"/>
      <c r="J8438" s="25"/>
      <c r="K8438" s="25"/>
      <c r="L8438" s="25"/>
      <c r="M8438" s="25"/>
      <c r="N8438" s="25"/>
      <c r="O8438" s="25"/>
    </row>
    <row r="8439" customFormat="false" ht="63" hidden="false" customHeight="true" outlineLevel="0" collapsed="false">
      <c r="B8439" s="37" t="str">
        <f aca="false">SUBSTITUTE(SUBSTITUTE(SUBSTITUTE(SUBSTITUTE(SUBSTITUTE(Txt_P3,"{cabinet}",Cab_Nom),"{societe}",IF($K$8416=0,"",INDEX(Clients!$E$2:$E$501,$K$8416)&amp;"")),"{date_effet}",$K$8418),"{hausse}",$K$8419),"{civilite}",$K$8417)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439" s="37"/>
      <c r="D8439" s="37"/>
      <c r="E8439" s="37"/>
      <c r="F8439" s="37"/>
      <c r="J8439" s="25"/>
      <c r="K8439" s="25"/>
      <c r="L8439" s="25"/>
      <c r="M8439" s="25"/>
      <c r="N8439" s="25"/>
      <c r="O8439" s="25"/>
    </row>
    <row r="8440" customFormat="false" ht="24" hidden="false" customHeight="true" outlineLevel="0" collapsed="false">
      <c r="B8440" s="37" t="str">
        <f aca="false">SUBSTITUTE(SUBSTITUTE(SUBSTITUTE(SUBSTITUTE(SUBSTITUTE(Txt_P4,"{cabinet}",Cab_Nom),"{societe}",IF($K$8416=0,"",INDEX(Clients!$E$2:$E$501,$K$8416)&amp;"")),"{date_effet}",$K$8418),"{hausse}",$K$8419),"{civilite}",$K$8417)</f>
        <v>À compter du 1er janvier 2027, vos honoraires annuels hors taxes évolueront ainsi (évolution globale : ) :</v>
      </c>
      <c r="C8440" s="37"/>
      <c r="D8440" s="37"/>
      <c r="E8440" s="37"/>
      <c r="F8440" s="37"/>
      <c r="J8440" s="25"/>
      <c r="K8440" s="25"/>
      <c r="L8440" s="25"/>
      <c r="M8440" s="25"/>
      <c r="N8440" s="25"/>
      <c r="O8440" s="25"/>
    </row>
    <row r="8441" customFormat="false" ht="3.75" hidden="false" customHeight="true" outlineLevel="0" collapsed="false">
      <c r="B8441" s="10"/>
      <c r="C8441" s="10"/>
      <c r="D8441" s="10"/>
      <c r="E8441" s="10"/>
      <c r="F8441" s="10"/>
      <c r="J8441" s="25"/>
      <c r="K8441" s="25"/>
      <c r="L8441" s="25"/>
      <c r="M8441" s="25"/>
      <c r="N8441" s="25"/>
      <c r="O8441" s="25"/>
    </row>
    <row r="8442" customFormat="false" ht="18" hidden="false" customHeight="true" outlineLevel="0" collapsed="false">
      <c r="B8442" s="38" t="s">
        <v>148</v>
      </c>
      <c r="C8442" s="39" t="s">
        <v>149</v>
      </c>
      <c r="D8442" s="39" t="s">
        <v>150</v>
      </c>
      <c r="E8442" s="39" t="s">
        <v>151</v>
      </c>
      <c r="F8442" s="39" t="s">
        <v>109</v>
      </c>
      <c r="J8442" s="25" t="s">
        <v>152</v>
      </c>
      <c r="K8442" s="25" t="s">
        <v>153</v>
      </c>
      <c r="L8442" s="25" t="s">
        <v>154</v>
      </c>
      <c r="M8442" s="25" t="s">
        <v>155</v>
      </c>
      <c r="N8442" s="25" t="s">
        <v>156</v>
      </c>
      <c r="O8442" s="25" t="s">
        <v>157</v>
      </c>
    </row>
    <row r="8443" customFormat="false" ht="16.5" hidden="false" customHeight="true" outlineLevel="0" collapsed="false">
      <c r="B8443" s="40" t="str">
        <f aca="false">IFERROR(INDEX($J$8443:$J$8446,MATCH($O8443,$N$8443:$N$8446,0)),"")</f>
        <v/>
      </c>
      <c r="C8443" s="41" t="str">
        <f aca="false">IFERROR(INDEX($K$8443:$K$8446,MATCH($O8443,$N$8443:$N$8446,0)),"")</f>
        <v/>
      </c>
      <c r="D8443" s="42" t="str">
        <f aca="false">IF(OR(E8443="",N(C8443)=0),"",E8443/C8443-1)</f>
        <v/>
      </c>
      <c r="E8443" s="41" t="str">
        <f aca="false">IFERROR(INDEX($L$8443:$L$8446,MATCH($O8443,$N$8443:$N$8446,0)),"")</f>
        <v/>
      </c>
      <c r="F8443" s="41" t="str">
        <f aca="false">IF(E8443="","",E8443-C8443)</f>
        <v/>
      </c>
      <c r="J8443" s="25" t="str">
        <f aca="false">Lib_Compta</f>
        <v>Mission comptable (tenue, révision, bilan, liasse fiscale)</v>
      </c>
      <c r="K8443" s="25" t="n">
        <f aca="false">IF($K$8416=0,0,N(INDEX(Clients!$K$2:$K$501,$K$8416)))</f>
        <v>0</v>
      </c>
      <c r="L8443" s="25" t="n">
        <f aca="false">IF($K$8416=0,0,N(INDEX(Clients!$P$2:$P$501,$K$8416)))</f>
        <v>0</v>
      </c>
      <c r="M8443" s="25" t="n">
        <f aca="false">IF(OR(K8443&lt;&gt;0,L8443&lt;&gt;0),1,0)</f>
        <v>0</v>
      </c>
      <c r="N8443" s="25" t="str">
        <f aca="false">IF(M8443=1,SUM($M$8443:M8443),"")</f>
        <v/>
      </c>
      <c r="O8443" s="25" t="n">
        <v>1</v>
      </c>
    </row>
    <row r="8444" customFormat="false" ht="16.5" hidden="false" customHeight="true" outlineLevel="0" collapsed="false">
      <c r="B8444" s="40" t="str">
        <f aca="false">IFERROR(INDEX($J$8443:$J$8446,MATCH($O8444,$N$8443:$N$8446,0)),"")</f>
        <v/>
      </c>
      <c r="C8444" s="41" t="str">
        <f aca="false">IFERROR(INDEX($K$8443:$K$8446,MATCH($O8444,$N$8443:$N$8446,0)),"")</f>
        <v/>
      </c>
      <c r="D8444" s="42" t="str">
        <f aca="false">IF(OR(E8444="",N(C8444)=0),"",E8444/C8444-1)</f>
        <v/>
      </c>
      <c r="E8444" s="41" t="str">
        <f aca="false">IFERROR(INDEX($L$8443:$L$8446,MATCH($O8444,$N$8443:$N$8446,0)),"")</f>
        <v/>
      </c>
      <c r="F8444" s="41" t="str">
        <f aca="false">IF(E8444="","",E8444-C8444)</f>
        <v/>
      </c>
      <c r="J8444" s="25" t="str">
        <f aca="false">Lib_Paye</f>
        <v>Mission sociale (bulletins de paie, DSN, déclarations sociales)</v>
      </c>
      <c r="K8444" s="25" t="n">
        <f aca="false">IF($K$8416=0,0,N(INDEX(Clients!$L$2:$L$501,$K$8416)))</f>
        <v>0</v>
      </c>
      <c r="L8444" s="25" t="n">
        <f aca="false">IF($K$8416=0,0,N(INDEX(Clients!$Q$2:$Q$501,$K$8416)))</f>
        <v>0</v>
      </c>
      <c r="M8444" s="25" t="n">
        <f aca="false">IF(OR(K8444&lt;&gt;0,L8444&lt;&gt;0),1,0)</f>
        <v>0</v>
      </c>
      <c r="N8444" s="25" t="str">
        <f aca="false">IF(M8444=1,SUM($M$8443:M8444),"")</f>
        <v/>
      </c>
      <c r="O8444" s="25" t="n">
        <v>2</v>
      </c>
    </row>
    <row r="8445" customFormat="false" ht="16.5" hidden="false" customHeight="true" outlineLevel="0" collapsed="false">
      <c r="B8445" s="40" t="str">
        <f aca="false">IFERROR(INDEX($J$8443:$J$8446,MATCH($O8445,$N$8443:$N$8446,0)),"")</f>
        <v/>
      </c>
      <c r="C8445" s="41" t="str">
        <f aca="false">IFERROR(INDEX($K$8443:$K$8446,MATCH($O8445,$N$8443:$N$8446,0)),"")</f>
        <v/>
      </c>
      <c r="D8445" s="42" t="str">
        <f aca="false">IF(OR(E8445="",N(C8445)=0),"",E8445/C8445-1)</f>
        <v/>
      </c>
      <c r="E8445" s="41" t="str">
        <f aca="false">IFERROR(INDEX($L$8443:$L$8446,MATCH($O8445,$N$8443:$N$8446,0)),"")</f>
        <v/>
      </c>
      <c r="F8445" s="41" t="str">
        <f aca="false">IF(E8445="","",E8445-C8445)</f>
        <v/>
      </c>
      <c r="J8445" s="25" t="str">
        <f aca="false">Lib_Jur</f>
        <v>Mission juridique (approbation des comptes, secrétariat juridique)</v>
      </c>
      <c r="K8445" s="25" t="n">
        <f aca="false">IF($K$8416=0,0,N(INDEX(Clients!$M$2:$M$501,$K$8416)))</f>
        <v>0</v>
      </c>
      <c r="L8445" s="25" t="n">
        <f aca="false">IF($K$8416=0,0,N(INDEX(Clients!$R$2:$R$501,$K$8416)))</f>
        <v>0</v>
      </c>
      <c r="M8445" s="25" t="n">
        <f aca="false">IF(OR(K8445&lt;&gt;0,L8445&lt;&gt;0),1,0)</f>
        <v>0</v>
      </c>
      <c r="N8445" s="25" t="str">
        <f aca="false">IF(M8445=1,SUM($M$8443:M8445),"")</f>
        <v/>
      </c>
      <c r="O8445" s="25" t="n">
        <v>3</v>
      </c>
    </row>
    <row r="8446" customFormat="false" ht="16.5" hidden="false" customHeight="true" outlineLevel="0" collapsed="false">
      <c r="B8446" s="40" t="str">
        <f aca="false">IFERROR(INDEX($J$8443:$J$8446,MATCH($O8446,$N$8443:$N$8446,0)),"")</f>
        <v/>
      </c>
      <c r="C8446" s="41" t="str">
        <f aca="false">IFERROR(INDEX($K$8443:$K$8446,MATCH($O8446,$N$8443:$N$8446,0)),"")</f>
        <v/>
      </c>
      <c r="D8446" s="42" t="str">
        <f aca="false">IF(OR(E8446="",N(C8446)=0),"",E8446/C8446-1)</f>
        <v/>
      </c>
      <c r="E8446" s="41" t="str">
        <f aca="false">IFERROR(INDEX($L$8443:$L$8446,MATCH($O8446,$N$8443:$N$8446,0)),"")</f>
        <v/>
      </c>
      <c r="F8446" s="41" t="str">
        <f aca="false">IF(E8446="","",E8446-C8446)</f>
        <v/>
      </c>
      <c r="J8446" s="25" t="str">
        <f aca="false">Lib_PA</f>
        <v>Plateforme agréée – facturation électronique</v>
      </c>
      <c r="K8446" s="25" t="n">
        <f aca="false">IF($K$8416=0,0,N(INDEX(Clients!$N$2:$N$501,$K$8416)))</f>
        <v>0</v>
      </c>
      <c r="L8446" s="25" t="n">
        <f aca="false">IF($K$8416=0,0,N(INDEX(Clients!$S$2:$S$501,$K$8416)))</f>
        <v>0</v>
      </c>
      <c r="M8446" s="25" t="n">
        <f aca="false">IF(OR(K8446&lt;&gt;0,L8446&lt;&gt;0),1,0)</f>
        <v>0</v>
      </c>
      <c r="N8446" s="25" t="str">
        <f aca="false">IF(M8446=1,SUM($M$8443:M8446),"")</f>
        <v/>
      </c>
      <c r="O8446" s="25" t="n">
        <v>4</v>
      </c>
    </row>
    <row r="8447" customFormat="false" ht="18" hidden="false" customHeight="true" outlineLevel="0" collapsed="false">
      <c r="B8447" s="43" t="s">
        <v>158</v>
      </c>
      <c r="C8447" s="44" t="n">
        <f aca="false">SUM(K8443:K8446)</f>
        <v>0</v>
      </c>
      <c r="D8447" s="45" t="str">
        <f aca="false">IF(N(C8447)=0,"",E8447/C8447-1)</f>
        <v/>
      </c>
      <c r="E8447" s="44" t="n">
        <f aca="false">SUM(L8443:L8446)</f>
        <v>0</v>
      </c>
      <c r="F8447" s="44" t="n">
        <f aca="false">E8447-C8447</f>
        <v>0</v>
      </c>
    </row>
    <row r="8448" customFormat="false" ht="15" hidden="false" customHeight="false" outlineLevel="0" collapsed="false">
      <c r="B8448" s="46" t="str">
        <f aca="false">IF(N(Nb_Mensualites)=0,"","Soit "&amp;FIXED(E8447/Nb_Mensualites,2)&amp;" € HT par échéance ("&amp;Nb_Mensualites&amp;" échéances), "&amp;FIXED(E8447/Nb_Mensualites*(1+Taux_TVA),2)&amp;" € TTC.")</f>
        <v>Soit 0.00 € HT par échéance (12 échéances), 0.00 € TTC.</v>
      </c>
      <c r="C8448" s="46"/>
      <c r="D8448" s="46"/>
      <c r="E8448" s="46"/>
      <c r="F8448" s="46"/>
    </row>
    <row r="8449" customFormat="false" ht="7.5" hidden="false" customHeight="true" outlineLevel="0" collapsed="false">
      <c r="B8449" s="10"/>
      <c r="C8449" s="10"/>
      <c r="D8449" s="10"/>
      <c r="E8449" s="10"/>
      <c r="F8449" s="10"/>
    </row>
    <row r="8450" customFormat="false" ht="36.75" hidden="false" customHeight="true" outlineLevel="0" collapsed="false">
      <c r="B8450" s="37" t="str">
        <f aca="false">SUBSTITUTE(SUBSTITUTE(SUBSTITUTE(SUBSTITUTE(SUBSTITUTE(Txt_P5,"{cabinet}",Cab_Nom),"{societe}",IF($K$8416=0,"",INDEX(Clients!$E$2:$E$501,$K$8416)&amp;"")),"{date_effet}",$K$8418),"{hausse}",$K$8419),"{civilite}",$K$8417)</f>
        <v>Les autres conditions de votre lettre de mission demeurent inchangées. Les nouveaux montants seront appliqués automatiquement sur vos prochaines factures et échéances de prélèvement.</v>
      </c>
      <c r="C8450" s="37"/>
      <c r="D8450" s="37"/>
      <c r="E8450" s="37"/>
      <c r="F8450" s="37"/>
    </row>
    <row r="8451" customFormat="false" ht="36.75" hidden="false" customHeight="true" outlineLevel="0" collapsed="false">
      <c r="B8451" s="37" t="str">
        <f aca="false">SUBSTITUTE(SUBSTITUTE(SUBSTITUTE(SUBSTITUTE(SUBSTITUTE(Txt_P6,"{cabinet}",Cab_Nom),"{societe}",IF($K$8416=0,"",INDEX(Clients!$E$2:$E$501,$K$8416)&amp;"")),"{date_effet}",$K$8418),"{hausse}",$K$8419),"{civilite}",$K$8417)</f>
        <v>Votre interlocuteur habituel reste à votre entière disposition pour répondre à vos questions et faire le point sur l'évolution de vos besoins.</v>
      </c>
      <c r="C8451" s="37"/>
      <c r="D8451" s="37"/>
      <c r="E8451" s="37"/>
      <c r="F8451" s="37"/>
    </row>
    <row r="8452" customFormat="false" ht="24" hidden="false" customHeight="true" outlineLevel="0" collapsed="false">
      <c r="B8452" s="37" t="str">
        <f aca="false">SUBSTITUTE(SUBSTITUTE(SUBSTITUTE(SUBSTITUTE(SUBSTITUTE(Txt_Politesse,"{cabinet}",Cab_Nom),"{societe}",IF($K$8416=0,"",INDEX(Clients!$E$2:$E$501,$K$8416)&amp;"")),"{date_effet}",$K$8418),"{hausse}",$K$8419),"{civilite}",$K$8417)</f>
        <v>Nous vous prions d'agréer, Madame, Monsieur, l'expression de nos salutations distinguées.</v>
      </c>
      <c r="C8452" s="37"/>
      <c r="D8452" s="37"/>
      <c r="E8452" s="37"/>
      <c r="F8452" s="37"/>
    </row>
    <row r="8453" customFormat="false" ht="15" hidden="false" customHeight="false" outlineLevel="0" collapsed="false">
      <c r="B8453" s="10"/>
      <c r="C8453" s="10"/>
      <c r="D8453" s="10"/>
      <c r="E8453" s="10"/>
      <c r="F8453" s="10"/>
    </row>
    <row r="8454" customFormat="false" ht="15" hidden="false" customHeight="false" outlineLevel="0" collapsed="false">
      <c r="B8454" s="10"/>
      <c r="C8454" s="10"/>
      <c r="D8454" s="34" t="str">
        <f aca="false">Signataire</f>
        <v>Prénom NOM</v>
      </c>
      <c r="E8454" s="34"/>
      <c r="F8454" s="34"/>
    </row>
    <row r="8455" customFormat="false" ht="15" hidden="false" customHeight="false" outlineLevel="0" collapsed="false">
      <c r="B8455" s="10"/>
      <c r="C8455" s="10"/>
      <c r="D8455" s="47" t="str">
        <f aca="false">Signataire_Titre</f>
        <v>Expert-comptable associé</v>
      </c>
      <c r="E8455" s="47"/>
      <c r="F8455" s="47"/>
    </row>
    <row r="8456" customFormat="false" ht="15.75" hidden="false" customHeight="true" outlineLevel="0" collapsed="false">
      <c r="B8456" s="10"/>
      <c r="C8456" s="10"/>
      <c r="D8456" s="10"/>
      <c r="E8456" s="10"/>
      <c r="F8456" s="10"/>
    </row>
    <row r="8457" customFormat="false" ht="15.75" hidden="false" customHeight="true" outlineLevel="0" collapsed="false">
      <c r="B8457" s="10"/>
      <c r="C8457" s="10"/>
      <c r="D8457" s="10"/>
      <c r="E8457" s="10"/>
      <c r="F8457" s="10"/>
    </row>
    <row r="8458" customFormat="false" ht="15.75" hidden="false" customHeight="true" outlineLevel="0" collapsed="false">
      <c r="B8458" s="10"/>
      <c r="C8458" s="10"/>
      <c r="D8458" s="10"/>
      <c r="E8458" s="10"/>
      <c r="F8458" s="10"/>
    </row>
    <row r="8459" customFormat="false" ht="15.75" hidden="false" customHeight="true" outlineLevel="0" collapsed="false">
      <c r="B8459" s="10"/>
      <c r="C8459" s="10"/>
      <c r="D8459" s="10"/>
      <c r="E8459" s="10"/>
      <c r="F8459" s="10"/>
    </row>
    <row r="8460" customFormat="false" ht="24" hidden="false" customHeight="true" outlineLevel="0" collapsed="false">
      <c r="B8460" s="48" t="str">
        <f aca="false">Cab_Mentions</f>
        <v>ALTHO EXPERTISE · SAS au capital de 10 000 € · RCS Pontoise 919 706 325 · TVA FR62919706325 · Société d'expertise comptable inscrite au Tableau de l'Ordre des experts-comptables de Paris Île-de-France</v>
      </c>
      <c r="C8460" s="48"/>
      <c r="D8460" s="48"/>
      <c r="E8460" s="48"/>
      <c r="F8460" s="48"/>
    </row>
    <row r="8461" customFormat="false" ht="15" hidden="false" customHeight="false" outlineLevel="0" collapsed="false">
      <c r="B8461" s="10"/>
      <c r="C8461" s="10"/>
      <c r="D8461" s="10"/>
      <c r="E8461" s="10"/>
      <c r="F8461" s="10"/>
      <c r="J8461" s="25" t="s">
        <v>142</v>
      </c>
      <c r="K8461" s="25" t="n">
        <f aca="false">IFERROR(MATCH(189,Clients!$Z$2:$Z$501,0),0)</f>
        <v>0</v>
      </c>
      <c r="L8461" s="25"/>
      <c r="M8461" s="25"/>
      <c r="N8461" s="25"/>
      <c r="O8461" s="25"/>
    </row>
    <row r="8462" customFormat="false" ht="21.75" hidden="false" customHeight="true" outlineLevel="0" collapsed="false">
      <c r="B8462" s="26" t="str">
        <f aca="false">Cab_Nom</f>
        <v>ALTHO EXPERTISE</v>
      </c>
      <c r="C8462" s="26"/>
      <c r="D8462" s="10"/>
      <c r="E8462" s="27" t="str">
        <f aca="false">IF($K$8461=0,"","Réf. client : "&amp;INDEX(Clients!$A$2:$A$501,$K$8461))</f>
        <v/>
      </c>
      <c r="F8462" s="27"/>
      <c r="J8462" s="25" t="s">
        <v>144</v>
      </c>
      <c r="K8462" s="25" t="str">
        <f aca="false">IF(IF($K$8461=0,"",INDEX(Clients!$B$2:$B$501,$K$8461)&amp;"")="Mme","Madame",IF(IF($K$8461=0,"",INDEX(Clients!$B$2:$B$501,$K$8461)&amp;"")="M.","Monsieur","Madame, Monsieur"))</f>
        <v>Madame, Monsieur</v>
      </c>
      <c r="L8462" s="25"/>
      <c r="M8462" s="25"/>
      <c r="N8462" s="25"/>
      <c r="O8462" s="25"/>
    </row>
    <row r="8463" customFormat="false" ht="15" hidden="false" customHeight="false" outlineLevel="0" collapsed="false">
      <c r="B8463" s="29" t="str">
        <f aca="false">Cab_Adr1</f>
        <v>141 rue Charles de Gaulle</v>
      </c>
      <c r="C8463" s="29"/>
      <c r="D8463" s="10"/>
      <c r="E8463" s="10"/>
      <c r="F8463" s="10"/>
      <c r="J8463" s="25" t="s">
        <v>145</v>
      </c>
      <c r="K8463" s="25" t="str">
        <f aca="false">DAY(Date_Effet)&amp;IF(DAY(Date_Effet)=1,"er","")&amp;" "&amp;INDEX(Liste_Mois,MONTH(Date_Effet))&amp;" "&amp;YEAR(Date_Effet)</f>
        <v>1er janvier 2027</v>
      </c>
      <c r="L8463" s="25"/>
      <c r="M8463" s="25"/>
      <c r="N8463" s="25"/>
      <c r="O8463" s="25"/>
    </row>
    <row r="8464" customFormat="false" ht="15" hidden="false" customHeight="false" outlineLevel="0" collapsed="false">
      <c r="B8464" s="29" t="str">
        <f aca="false">Cab_CPVille</f>
        <v>95130 LE PLESSIS-BOUCHARD</v>
      </c>
      <c r="C8464" s="29"/>
      <c r="D8464" s="10"/>
      <c r="E8464" s="10"/>
      <c r="F8464" s="10"/>
      <c r="J8464" s="25" t="s">
        <v>146</v>
      </c>
      <c r="K8464" s="25" t="str">
        <f aca="false">IF(SUM($K$8488:$K$8491)=0,"",FIXED((SUM($L$8488:$L$8491)/SUM($K$8488:$K$8491)-1)*100,1)&amp;" %")</f>
        <v/>
      </c>
      <c r="L8464" s="25"/>
      <c r="M8464" s="25"/>
      <c r="N8464" s="25"/>
      <c r="O8464" s="25"/>
    </row>
    <row r="8465" customFormat="false" ht="15" hidden="false" customHeight="false" outlineLevel="0" collapsed="false">
      <c r="B8465" s="29" t="str">
        <f aca="false">Cab_Contact</f>
        <v>Tél. 01 34 14 53 45  ·  altho@altho-experts.com  ·  altho-experts.com</v>
      </c>
      <c r="C8465" s="29"/>
      <c r="D8465" s="10"/>
      <c r="E8465" s="10"/>
      <c r="F8465" s="10"/>
      <c r="J8465" s="25"/>
      <c r="K8465" s="25"/>
      <c r="L8465" s="25"/>
      <c r="M8465" s="25"/>
      <c r="N8465" s="25"/>
      <c r="O8465" s="25"/>
    </row>
    <row r="8466" customFormat="false" ht="6" hidden="false" customHeight="true" outlineLevel="0" collapsed="false">
      <c r="B8466" s="32"/>
      <c r="C8466" s="32"/>
      <c r="D8466" s="32"/>
      <c r="E8466" s="32"/>
      <c r="F8466" s="32"/>
      <c r="J8466" s="25"/>
      <c r="K8466" s="25"/>
      <c r="L8466" s="25"/>
      <c r="M8466" s="25"/>
      <c r="N8466" s="25"/>
      <c r="O8466" s="25"/>
    </row>
    <row r="8467" customFormat="false" ht="13.5" hidden="false" customHeight="true" outlineLevel="0" collapsed="false">
      <c r="B8467" s="10"/>
      <c r="C8467" s="10"/>
      <c r="D8467" s="10"/>
      <c r="E8467" s="10"/>
      <c r="F8467" s="10"/>
      <c r="J8467" s="25"/>
      <c r="K8467" s="25"/>
      <c r="L8467" s="25"/>
      <c r="M8467" s="25"/>
      <c r="N8467" s="25"/>
      <c r="O8467" s="25"/>
    </row>
    <row r="8468" customFormat="false" ht="13.5" hidden="false" customHeight="true" outlineLevel="0" collapsed="false">
      <c r="B8468" s="10"/>
      <c r="C8468" s="10"/>
      <c r="D8468" s="10"/>
      <c r="E8468" s="10"/>
      <c r="F8468" s="10"/>
      <c r="J8468" s="25"/>
      <c r="K8468" s="25"/>
      <c r="L8468" s="25"/>
      <c r="M8468" s="25"/>
      <c r="N8468" s="25"/>
      <c r="O8468" s="25"/>
    </row>
    <row r="8469" customFormat="false" ht="13.5" hidden="false" customHeight="true" outlineLevel="0" collapsed="false">
      <c r="B8469" s="10"/>
      <c r="C8469" s="10"/>
      <c r="D8469" s="10"/>
      <c r="E8469" s="10"/>
      <c r="F8469" s="10"/>
      <c r="J8469" s="25"/>
      <c r="K8469" s="25"/>
      <c r="L8469" s="25"/>
      <c r="M8469" s="25"/>
      <c r="N8469" s="25"/>
      <c r="O8469" s="25"/>
    </row>
    <row r="8470" customFormat="false" ht="15" hidden="false" customHeight="true" outlineLevel="0" collapsed="false">
      <c r="B8470" s="10"/>
      <c r="C8470" s="10"/>
      <c r="D8470" s="34" t="str">
        <f aca="false">IF($K$8461=0,"",INDEX(Clients!$E$2:$E$501,$K$8461)&amp;"")</f>
        <v/>
      </c>
      <c r="E8470" s="34"/>
      <c r="F8470" s="34"/>
      <c r="J8470" s="25"/>
      <c r="K8470" s="25"/>
      <c r="L8470" s="25"/>
      <c r="M8470" s="25"/>
      <c r="N8470" s="25"/>
      <c r="O8470" s="25"/>
    </row>
    <row r="8471" customFormat="false" ht="15" hidden="false" customHeight="true" outlineLevel="0" collapsed="false">
      <c r="B8471" s="10"/>
      <c r="C8471" s="10"/>
      <c r="D8471" s="35" t="str">
        <f aca="false">IF(IF($K$8461=0,"",INDEX(Clients!$D$2:$D$501,$K$8461)&amp;"")="","","À l'attention de "&amp;TRIM(IF($K$8461=0,"",INDEX(Clients!$B$2:$B$501,$K$8461)&amp;"")&amp;" "&amp;IF($K$8461=0,"",INDEX(Clients!$C$2:$C$501,$K$8461)&amp;"")&amp;" "&amp;IF($K$8461=0,"",INDEX(Clients!$D$2:$D$501,$K$8461)&amp;"")))</f>
        <v/>
      </c>
      <c r="E8471" s="35"/>
      <c r="F8471" s="35"/>
      <c r="J8471" s="25"/>
      <c r="K8471" s="25"/>
      <c r="L8471" s="25"/>
      <c r="M8471" s="25"/>
      <c r="N8471" s="25"/>
      <c r="O8471" s="25"/>
    </row>
    <row r="8472" customFormat="false" ht="15" hidden="false" customHeight="true" outlineLevel="0" collapsed="false">
      <c r="B8472" s="10"/>
      <c r="C8472" s="10"/>
      <c r="D8472" s="35" t="str">
        <f aca="false">IF($K$8461=0,"",INDEX(Clients!$F$2:$F$501,$K$8461)&amp;"")</f>
        <v/>
      </c>
      <c r="E8472" s="35"/>
      <c r="F8472" s="35"/>
      <c r="J8472" s="25"/>
      <c r="K8472" s="25"/>
      <c r="L8472" s="25"/>
      <c r="M8472" s="25"/>
      <c r="N8472" s="25"/>
      <c r="O8472" s="25"/>
    </row>
    <row r="8473" customFormat="false" ht="15" hidden="false" customHeight="true" outlineLevel="0" collapsed="false">
      <c r="B8473" s="10"/>
      <c r="C8473" s="10"/>
      <c r="D8473" s="35" t="str">
        <f aca="false">IF(IF($K$8461=0,"",INDEX(Clients!$G$2:$G$501,$K$8461)&amp;"")="",TRIM(IF($K$8461=0,"",INDEX(Clients!$H$2:$H$501,$K$8461)&amp;"")&amp;" "&amp;UPPER(IF($K$8461=0,"",INDEX(Clients!$I$2:$I$501,$K$8461)&amp;""))),IF($K$8461=0,"",INDEX(Clients!$G$2:$G$501,$K$8461)&amp;""))</f>
        <v/>
      </c>
      <c r="E8473" s="35"/>
      <c r="F8473" s="35"/>
      <c r="J8473" s="25"/>
      <c r="K8473" s="25"/>
      <c r="L8473" s="25"/>
      <c r="M8473" s="25"/>
      <c r="N8473" s="25"/>
      <c r="O8473" s="25"/>
    </row>
    <row r="8474" customFormat="false" ht="15" hidden="false" customHeight="true" outlineLevel="0" collapsed="false">
      <c r="B8474" s="10"/>
      <c r="C8474" s="10"/>
      <c r="D8474" s="35" t="str">
        <f aca="false">IF(IF($K$8461=0,"",INDEX(Clients!$G$2:$G$501,$K$8461)&amp;"")="","",TRIM(IF($K$8461=0,"",INDEX(Clients!$H$2:$H$501,$K$8461)&amp;"")&amp;" "&amp;UPPER(IF($K$8461=0,"",INDEX(Clients!$I$2:$I$501,$K$8461)&amp;""))))</f>
        <v/>
      </c>
      <c r="E8474" s="35"/>
      <c r="F8474" s="35"/>
      <c r="J8474" s="25"/>
      <c r="K8474" s="25"/>
      <c r="L8474" s="25"/>
      <c r="M8474" s="25"/>
      <c r="N8474" s="25"/>
      <c r="O8474" s="25"/>
    </row>
    <row r="8475" customFormat="false" ht="25.5" hidden="false" customHeight="true" outlineLevel="0" collapsed="false">
      <c r="B8475" s="10"/>
      <c r="C8475" s="10"/>
      <c r="D8475" s="10"/>
      <c r="E8475" s="10"/>
      <c r="F8475" s="10"/>
      <c r="J8475" s="25"/>
      <c r="K8475" s="25"/>
      <c r="L8475" s="25"/>
      <c r="M8475" s="25"/>
      <c r="N8475" s="25"/>
      <c r="O8475" s="25"/>
    </row>
    <row r="8476" customFormat="false" ht="15" hidden="false" customHeight="false" outlineLevel="0" collapsed="false">
      <c r="B8476" s="10"/>
      <c r="C8476" s="10"/>
      <c r="D8476" s="36" t="str">
        <f aca="false">Cab_Ville&amp;", le "&amp;DAY(Date_Courrier)&amp;IF(DAY(Date_Courrier)=1,"er","")&amp;" "&amp;INDEX(Liste_Mois,MONTH(Date_Courrier))&amp;" "&amp;YEAR(Date_Courrier)</f>
        <v>Le Plessis-Bouchard, le 22 septembre 2026</v>
      </c>
      <c r="E8476" s="36"/>
      <c r="F8476" s="36"/>
      <c r="J8476" s="25"/>
      <c r="K8476" s="25"/>
      <c r="L8476" s="25"/>
      <c r="M8476" s="25"/>
      <c r="N8476" s="25"/>
      <c r="O8476" s="25"/>
    </row>
    <row r="8477" customFormat="false" ht="19.5" hidden="false" customHeight="true" outlineLevel="0" collapsed="false">
      <c r="B8477" s="10"/>
      <c r="C8477" s="10"/>
      <c r="D8477" s="10"/>
      <c r="E8477" s="10"/>
      <c r="F8477" s="10"/>
      <c r="J8477" s="25"/>
      <c r="K8477" s="25"/>
      <c r="L8477" s="25"/>
      <c r="M8477" s="25"/>
      <c r="N8477" s="25"/>
      <c r="O8477" s="25"/>
    </row>
    <row r="8478" customFormat="false" ht="15" hidden="false" customHeight="false" outlineLevel="0" collapsed="false">
      <c r="B8478" s="34" t="str">
        <f aca="false">SUBSTITUTE(SUBSTITUTE(SUBSTITUTE(SUBSTITUTE(SUBSTITUTE(Txt_Objet,"{cabinet}",Cab_Nom),"{societe}",IF($K$8461=0,"",INDEX(Clients!$E$2:$E$501,$K$8461)&amp;"")),"{date_effet}",$K$8463),"{hausse}",$K$8464),"{civilite}",$K$8462)</f>
        <v>Objet : révision de nos honoraires au 1er janvier 2027</v>
      </c>
      <c r="C8478" s="34"/>
      <c r="D8478" s="34"/>
      <c r="E8478" s="34"/>
      <c r="F8478" s="34"/>
      <c r="J8478" s="25"/>
      <c r="K8478" s="25"/>
      <c r="L8478" s="25"/>
      <c r="M8478" s="25"/>
      <c r="N8478" s="25"/>
      <c r="O8478" s="25"/>
    </row>
    <row r="8479" customFormat="false" ht="13.5" hidden="false" customHeight="true" outlineLevel="0" collapsed="false">
      <c r="B8479" s="10"/>
      <c r="C8479" s="10"/>
      <c r="D8479" s="10"/>
      <c r="E8479" s="10"/>
      <c r="F8479" s="10"/>
      <c r="J8479" s="25"/>
      <c r="K8479" s="25"/>
      <c r="L8479" s="25"/>
      <c r="M8479" s="25"/>
      <c r="N8479" s="25"/>
      <c r="O8479" s="25"/>
    </row>
    <row r="8480" customFormat="false" ht="15" hidden="false" customHeight="false" outlineLevel="0" collapsed="false">
      <c r="B8480" s="10" t="str">
        <f aca="false">$K$8462&amp;","</f>
        <v>Madame, Monsieur,</v>
      </c>
      <c r="C8480" s="10"/>
      <c r="D8480" s="10"/>
      <c r="E8480" s="10"/>
      <c r="F8480" s="10"/>
      <c r="J8480" s="25"/>
      <c r="K8480" s="25"/>
      <c r="L8480" s="25"/>
      <c r="M8480" s="25"/>
      <c r="N8480" s="25"/>
      <c r="O8480" s="25"/>
    </row>
    <row r="8481" customFormat="false" ht="6" hidden="false" customHeight="true" outlineLevel="0" collapsed="false">
      <c r="B8481" s="10"/>
      <c r="C8481" s="10"/>
      <c r="D8481" s="10"/>
      <c r="E8481" s="10"/>
      <c r="F8481" s="10"/>
      <c r="J8481" s="25"/>
      <c r="K8481" s="25"/>
      <c r="L8481" s="25"/>
      <c r="M8481" s="25"/>
      <c r="N8481" s="25"/>
      <c r="O8481" s="25"/>
    </row>
    <row r="8482" customFormat="false" ht="36.75" hidden="false" customHeight="true" outlineLevel="0" collapsed="false">
      <c r="B8482" s="37" t="str">
        <f aca="false">SUBSTITUTE(SUBSTITUTE(SUBSTITUTE(SUBSTITUTE(SUBSTITUTE(Txt_P1,"{cabinet}",Cab_Nom),"{societe}",IF($K$8461=0,"",INDEX(Clients!$E$2:$E$501,$K$8461)&amp;"")),"{date_effet}",$K$8463),"{hausse}",$K$8464),"{civilite}",$K$8462)</f>
        <v>Nous tenons tout d'abord à vous remercier pour la confiance que vous accordez à ALTHO EXPERTISE. Comme chaque année, et conformément aux dispositions de votre lettre de mission, nous procédons à la révision de nos honoraires.</v>
      </c>
      <c r="C8482" s="37"/>
      <c r="D8482" s="37"/>
      <c r="E8482" s="37"/>
      <c r="F8482" s="37"/>
      <c r="J8482" s="25"/>
      <c r="K8482" s="25"/>
      <c r="L8482" s="25"/>
      <c r="M8482" s="25"/>
      <c r="N8482" s="25"/>
      <c r="O8482" s="25"/>
    </row>
    <row r="8483" customFormat="false" ht="49.5" hidden="false" customHeight="true" outlineLevel="0" collapsed="false">
      <c r="B8483" s="37" t="str">
        <f aca="false">SUBSTITUTE(SUBSTITUTE(SUBSTITUTE(SUBSTITUTE(SUBSTITUTE(Txt_P2,"{cabinet}",Cab_Nom),"{societe}",IF($K$8461=0,"",INDEX(Clients!$E$2:$E$501,$K$8461)&amp;"")),"{date_effet}",$K$8463),"{hausse}",$K$8464),"{civilite}",$K$8462)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483" s="37"/>
      <c r="D8483" s="37"/>
      <c r="E8483" s="37"/>
      <c r="F8483" s="37"/>
      <c r="J8483" s="25"/>
      <c r="K8483" s="25"/>
      <c r="L8483" s="25"/>
      <c r="M8483" s="25"/>
      <c r="N8483" s="25"/>
      <c r="O8483" s="25"/>
    </row>
    <row r="8484" customFormat="false" ht="63" hidden="false" customHeight="true" outlineLevel="0" collapsed="false">
      <c r="B8484" s="37" t="str">
        <f aca="false">SUBSTITUTE(SUBSTITUTE(SUBSTITUTE(SUBSTITUTE(SUBSTITUTE(Txt_P3,"{cabinet}",Cab_Nom),"{societe}",IF($K$8461=0,"",INDEX(Clients!$E$2:$E$501,$K$8461)&amp;"")),"{date_effet}",$K$8463),"{hausse}",$K$8464),"{civilite}",$K$8462)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484" s="37"/>
      <c r="D8484" s="37"/>
      <c r="E8484" s="37"/>
      <c r="F8484" s="37"/>
      <c r="J8484" s="25"/>
      <c r="K8484" s="25"/>
      <c r="L8484" s="25"/>
      <c r="M8484" s="25"/>
      <c r="N8484" s="25"/>
      <c r="O8484" s="25"/>
    </row>
    <row r="8485" customFormat="false" ht="24" hidden="false" customHeight="true" outlineLevel="0" collapsed="false">
      <c r="B8485" s="37" t="str">
        <f aca="false">SUBSTITUTE(SUBSTITUTE(SUBSTITUTE(SUBSTITUTE(SUBSTITUTE(Txt_P4,"{cabinet}",Cab_Nom),"{societe}",IF($K$8461=0,"",INDEX(Clients!$E$2:$E$501,$K$8461)&amp;"")),"{date_effet}",$K$8463),"{hausse}",$K$8464),"{civilite}",$K$8462)</f>
        <v>À compter du 1er janvier 2027, vos honoraires annuels hors taxes évolueront ainsi (évolution globale : ) :</v>
      </c>
      <c r="C8485" s="37"/>
      <c r="D8485" s="37"/>
      <c r="E8485" s="37"/>
      <c r="F8485" s="37"/>
      <c r="J8485" s="25"/>
      <c r="K8485" s="25"/>
      <c r="L8485" s="25"/>
      <c r="M8485" s="25"/>
      <c r="N8485" s="25"/>
      <c r="O8485" s="25"/>
    </row>
    <row r="8486" customFormat="false" ht="3.75" hidden="false" customHeight="true" outlineLevel="0" collapsed="false">
      <c r="B8486" s="10"/>
      <c r="C8486" s="10"/>
      <c r="D8486" s="10"/>
      <c r="E8486" s="10"/>
      <c r="F8486" s="10"/>
      <c r="J8486" s="25"/>
      <c r="K8486" s="25"/>
      <c r="L8486" s="25"/>
      <c r="M8486" s="25"/>
      <c r="N8486" s="25"/>
      <c r="O8486" s="25"/>
    </row>
    <row r="8487" customFormat="false" ht="18" hidden="false" customHeight="true" outlineLevel="0" collapsed="false">
      <c r="B8487" s="38" t="s">
        <v>148</v>
      </c>
      <c r="C8487" s="39" t="s">
        <v>149</v>
      </c>
      <c r="D8487" s="39" t="s">
        <v>150</v>
      </c>
      <c r="E8487" s="39" t="s">
        <v>151</v>
      </c>
      <c r="F8487" s="39" t="s">
        <v>109</v>
      </c>
      <c r="J8487" s="25" t="s">
        <v>152</v>
      </c>
      <c r="K8487" s="25" t="s">
        <v>153</v>
      </c>
      <c r="L8487" s="25" t="s">
        <v>154</v>
      </c>
      <c r="M8487" s="25" t="s">
        <v>155</v>
      </c>
      <c r="N8487" s="25" t="s">
        <v>156</v>
      </c>
      <c r="O8487" s="25" t="s">
        <v>157</v>
      </c>
    </row>
    <row r="8488" customFormat="false" ht="16.5" hidden="false" customHeight="true" outlineLevel="0" collapsed="false">
      <c r="B8488" s="40" t="str">
        <f aca="false">IFERROR(INDEX($J$8488:$J$8491,MATCH($O8488,$N$8488:$N$8491,0)),"")</f>
        <v/>
      </c>
      <c r="C8488" s="41" t="str">
        <f aca="false">IFERROR(INDEX($K$8488:$K$8491,MATCH($O8488,$N$8488:$N$8491,0)),"")</f>
        <v/>
      </c>
      <c r="D8488" s="42" t="str">
        <f aca="false">IF(OR(E8488="",N(C8488)=0),"",E8488/C8488-1)</f>
        <v/>
      </c>
      <c r="E8488" s="41" t="str">
        <f aca="false">IFERROR(INDEX($L$8488:$L$8491,MATCH($O8488,$N$8488:$N$8491,0)),"")</f>
        <v/>
      </c>
      <c r="F8488" s="41" t="str">
        <f aca="false">IF(E8488="","",E8488-C8488)</f>
        <v/>
      </c>
      <c r="J8488" s="25" t="str">
        <f aca="false">Lib_Compta</f>
        <v>Mission comptable (tenue, révision, bilan, liasse fiscale)</v>
      </c>
      <c r="K8488" s="25" t="n">
        <f aca="false">IF($K$8461=0,0,N(INDEX(Clients!$K$2:$K$501,$K$8461)))</f>
        <v>0</v>
      </c>
      <c r="L8488" s="25" t="n">
        <f aca="false">IF($K$8461=0,0,N(INDEX(Clients!$P$2:$P$501,$K$8461)))</f>
        <v>0</v>
      </c>
      <c r="M8488" s="25" t="n">
        <f aca="false">IF(OR(K8488&lt;&gt;0,L8488&lt;&gt;0),1,0)</f>
        <v>0</v>
      </c>
      <c r="N8488" s="25" t="str">
        <f aca="false">IF(M8488=1,SUM($M$8488:M8488),"")</f>
        <v/>
      </c>
      <c r="O8488" s="25" t="n">
        <v>1</v>
      </c>
    </row>
    <row r="8489" customFormat="false" ht="16.5" hidden="false" customHeight="true" outlineLevel="0" collapsed="false">
      <c r="B8489" s="40" t="str">
        <f aca="false">IFERROR(INDEX($J$8488:$J$8491,MATCH($O8489,$N$8488:$N$8491,0)),"")</f>
        <v/>
      </c>
      <c r="C8489" s="41" t="str">
        <f aca="false">IFERROR(INDEX($K$8488:$K$8491,MATCH($O8489,$N$8488:$N$8491,0)),"")</f>
        <v/>
      </c>
      <c r="D8489" s="42" t="str">
        <f aca="false">IF(OR(E8489="",N(C8489)=0),"",E8489/C8489-1)</f>
        <v/>
      </c>
      <c r="E8489" s="41" t="str">
        <f aca="false">IFERROR(INDEX($L$8488:$L$8491,MATCH($O8489,$N$8488:$N$8491,0)),"")</f>
        <v/>
      </c>
      <c r="F8489" s="41" t="str">
        <f aca="false">IF(E8489="","",E8489-C8489)</f>
        <v/>
      </c>
      <c r="J8489" s="25" t="str">
        <f aca="false">Lib_Paye</f>
        <v>Mission sociale (bulletins de paie, DSN, déclarations sociales)</v>
      </c>
      <c r="K8489" s="25" t="n">
        <f aca="false">IF($K$8461=0,0,N(INDEX(Clients!$L$2:$L$501,$K$8461)))</f>
        <v>0</v>
      </c>
      <c r="L8489" s="25" t="n">
        <f aca="false">IF($K$8461=0,0,N(INDEX(Clients!$Q$2:$Q$501,$K$8461)))</f>
        <v>0</v>
      </c>
      <c r="M8489" s="25" t="n">
        <f aca="false">IF(OR(K8489&lt;&gt;0,L8489&lt;&gt;0),1,0)</f>
        <v>0</v>
      </c>
      <c r="N8489" s="25" t="str">
        <f aca="false">IF(M8489=1,SUM($M$8488:M8489),"")</f>
        <v/>
      </c>
      <c r="O8489" s="25" t="n">
        <v>2</v>
      </c>
    </row>
    <row r="8490" customFormat="false" ht="16.5" hidden="false" customHeight="true" outlineLevel="0" collapsed="false">
      <c r="B8490" s="40" t="str">
        <f aca="false">IFERROR(INDEX($J$8488:$J$8491,MATCH($O8490,$N$8488:$N$8491,0)),"")</f>
        <v/>
      </c>
      <c r="C8490" s="41" t="str">
        <f aca="false">IFERROR(INDEX($K$8488:$K$8491,MATCH($O8490,$N$8488:$N$8491,0)),"")</f>
        <v/>
      </c>
      <c r="D8490" s="42" t="str">
        <f aca="false">IF(OR(E8490="",N(C8490)=0),"",E8490/C8490-1)</f>
        <v/>
      </c>
      <c r="E8490" s="41" t="str">
        <f aca="false">IFERROR(INDEX($L$8488:$L$8491,MATCH($O8490,$N$8488:$N$8491,0)),"")</f>
        <v/>
      </c>
      <c r="F8490" s="41" t="str">
        <f aca="false">IF(E8490="","",E8490-C8490)</f>
        <v/>
      </c>
      <c r="J8490" s="25" t="str">
        <f aca="false">Lib_Jur</f>
        <v>Mission juridique (approbation des comptes, secrétariat juridique)</v>
      </c>
      <c r="K8490" s="25" t="n">
        <f aca="false">IF($K$8461=0,0,N(INDEX(Clients!$M$2:$M$501,$K$8461)))</f>
        <v>0</v>
      </c>
      <c r="L8490" s="25" t="n">
        <f aca="false">IF($K$8461=0,0,N(INDEX(Clients!$R$2:$R$501,$K$8461)))</f>
        <v>0</v>
      </c>
      <c r="M8490" s="25" t="n">
        <f aca="false">IF(OR(K8490&lt;&gt;0,L8490&lt;&gt;0),1,0)</f>
        <v>0</v>
      </c>
      <c r="N8490" s="25" t="str">
        <f aca="false">IF(M8490=1,SUM($M$8488:M8490),"")</f>
        <v/>
      </c>
      <c r="O8490" s="25" t="n">
        <v>3</v>
      </c>
    </row>
    <row r="8491" customFormat="false" ht="16.5" hidden="false" customHeight="true" outlineLevel="0" collapsed="false">
      <c r="B8491" s="40" t="str">
        <f aca="false">IFERROR(INDEX($J$8488:$J$8491,MATCH($O8491,$N$8488:$N$8491,0)),"")</f>
        <v/>
      </c>
      <c r="C8491" s="41" t="str">
        <f aca="false">IFERROR(INDEX($K$8488:$K$8491,MATCH($O8491,$N$8488:$N$8491,0)),"")</f>
        <v/>
      </c>
      <c r="D8491" s="42" t="str">
        <f aca="false">IF(OR(E8491="",N(C8491)=0),"",E8491/C8491-1)</f>
        <v/>
      </c>
      <c r="E8491" s="41" t="str">
        <f aca="false">IFERROR(INDEX($L$8488:$L$8491,MATCH($O8491,$N$8488:$N$8491,0)),"")</f>
        <v/>
      </c>
      <c r="F8491" s="41" t="str">
        <f aca="false">IF(E8491="","",E8491-C8491)</f>
        <v/>
      </c>
      <c r="J8491" s="25" t="str">
        <f aca="false">Lib_PA</f>
        <v>Plateforme agréée – facturation électronique</v>
      </c>
      <c r="K8491" s="25" t="n">
        <f aca="false">IF($K$8461=0,0,N(INDEX(Clients!$N$2:$N$501,$K$8461)))</f>
        <v>0</v>
      </c>
      <c r="L8491" s="25" t="n">
        <f aca="false">IF($K$8461=0,0,N(INDEX(Clients!$S$2:$S$501,$K$8461)))</f>
        <v>0</v>
      </c>
      <c r="M8491" s="25" t="n">
        <f aca="false">IF(OR(K8491&lt;&gt;0,L8491&lt;&gt;0),1,0)</f>
        <v>0</v>
      </c>
      <c r="N8491" s="25" t="str">
        <f aca="false">IF(M8491=1,SUM($M$8488:M8491),"")</f>
        <v/>
      </c>
      <c r="O8491" s="25" t="n">
        <v>4</v>
      </c>
    </row>
    <row r="8492" customFormat="false" ht="18" hidden="false" customHeight="true" outlineLevel="0" collapsed="false">
      <c r="B8492" s="43" t="s">
        <v>158</v>
      </c>
      <c r="C8492" s="44" t="n">
        <f aca="false">SUM(K8488:K8491)</f>
        <v>0</v>
      </c>
      <c r="D8492" s="45" t="str">
        <f aca="false">IF(N(C8492)=0,"",E8492/C8492-1)</f>
        <v/>
      </c>
      <c r="E8492" s="44" t="n">
        <f aca="false">SUM(L8488:L8491)</f>
        <v>0</v>
      </c>
      <c r="F8492" s="44" t="n">
        <f aca="false">E8492-C8492</f>
        <v>0</v>
      </c>
    </row>
    <row r="8493" customFormat="false" ht="15" hidden="false" customHeight="false" outlineLevel="0" collapsed="false">
      <c r="B8493" s="46" t="str">
        <f aca="false">IF(N(Nb_Mensualites)=0,"","Soit "&amp;FIXED(E8492/Nb_Mensualites,2)&amp;" € HT par échéance ("&amp;Nb_Mensualites&amp;" échéances), "&amp;FIXED(E8492/Nb_Mensualites*(1+Taux_TVA),2)&amp;" € TTC.")</f>
        <v>Soit 0.00 € HT par échéance (12 échéances), 0.00 € TTC.</v>
      </c>
      <c r="C8493" s="46"/>
      <c r="D8493" s="46"/>
      <c r="E8493" s="46"/>
      <c r="F8493" s="46"/>
    </row>
    <row r="8494" customFormat="false" ht="7.5" hidden="false" customHeight="true" outlineLevel="0" collapsed="false">
      <c r="B8494" s="10"/>
      <c r="C8494" s="10"/>
      <c r="D8494" s="10"/>
      <c r="E8494" s="10"/>
      <c r="F8494" s="10"/>
    </row>
    <row r="8495" customFormat="false" ht="36.75" hidden="false" customHeight="true" outlineLevel="0" collapsed="false">
      <c r="B8495" s="37" t="str">
        <f aca="false">SUBSTITUTE(SUBSTITUTE(SUBSTITUTE(SUBSTITUTE(SUBSTITUTE(Txt_P5,"{cabinet}",Cab_Nom),"{societe}",IF($K$8461=0,"",INDEX(Clients!$E$2:$E$501,$K$8461)&amp;"")),"{date_effet}",$K$8463),"{hausse}",$K$8464),"{civilite}",$K$8462)</f>
        <v>Les autres conditions de votre lettre de mission demeurent inchangées. Les nouveaux montants seront appliqués automatiquement sur vos prochaines factures et échéances de prélèvement.</v>
      </c>
      <c r="C8495" s="37"/>
      <c r="D8495" s="37"/>
      <c r="E8495" s="37"/>
      <c r="F8495" s="37"/>
    </row>
    <row r="8496" customFormat="false" ht="36.75" hidden="false" customHeight="true" outlineLevel="0" collapsed="false">
      <c r="B8496" s="37" t="str">
        <f aca="false">SUBSTITUTE(SUBSTITUTE(SUBSTITUTE(SUBSTITUTE(SUBSTITUTE(Txt_P6,"{cabinet}",Cab_Nom),"{societe}",IF($K$8461=0,"",INDEX(Clients!$E$2:$E$501,$K$8461)&amp;"")),"{date_effet}",$K$8463),"{hausse}",$K$8464),"{civilite}",$K$8462)</f>
        <v>Votre interlocuteur habituel reste à votre entière disposition pour répondre à vos questions et faire le point sur l'évolution de vos besoins.</v>
      </c>
      <c r="C8496" s="37"/>
      <c r="D8496" s="37"/>
      <c r="E8496" s="37"/>
      <c r="F8496" s="37"/>
    </row>
    <row r="8497" customFormat="false" ht="24" hidden="false" customHeight="true" outlineLevel="0" collapsed="false">
      <c r="B8497" s="37" t="str">
        <f aca="false">SUBSTITUTE(SUBSTITUTE(SUBSTITUTE(SUBSTITUTE(SUBSTITUTE(Txt_Politesse,"{cabinet}",Cab_Nom),"{societe}",IF($K$8461=0,"",INDEX(Clients!$E$2:$E$501,$K$8461)&amp;"")),"{date_effet}",$K$8463),"{hausse}",$K$8464),"{civilite}",$K$8462)</f>
        <v>Nous vous prions d'agréer, Madame, Monsieur, l'expression de nos salutations distinguées.</v>
      </c>
      <c r="C8497" s="37"/>
      <c r="D8497" s="37"/>
      <c r="E8497" s="37"/>
      <c r="F8497" s="37"/>
    </row>
    <row r="8498" customFormat="false" ht="15" hidden="false" customHeight="false" outlineLevel="0" collapsed="false">
      <c r="B8498" s="10"/>
      <c r="C8498" s="10"/>
      <c r="D8498" s="10"/>
      <c r="E8498" s="10"/>
      <c r="F8498" s="10"/>
    </row>
    <row r="8499" customFormat="false" ht="15" hidden="false" customHeight="false" outlineLevel="0" collapsed="false">
      <c r="B8499" s="10"/>
      <c r="C8499" s="10"/>
      <c r="D8499" s="34" t="str">
        <f aca="false">Signataire</f>
        <v>Prénom NOM</v>
      </c>
      <c r="E8499" s="34"/>
      <c r="F8499" s="34"/>
    </row>
    <row r="8500" customFormat="false" ht="15" hidden="false" customHeight="false" outlineLevel="0" collapsed="false">
      <c r="B8500" s="10"/>
      <c r="C8500" s="10"/>
      <c r="D8500" s="47" t="str">
        <f aca="false">Signataire_Titre</f>
        <v>Expert-comptable associé</v>
      </c>
      <c r="E8500" s="47"/>
      <c r="F8500" s="47"/>
    </row>
    <row r="8501" customFormat="false" ht="15.75" hidden="false" customHeight="true" outlineLevel="0" collapsed="false">
      <c r="B8501" s="10"/>
      <c r="C8501" s="10"/>
      <c r="D8501" s="10"/>
      <c r="E8501" s="10"/>
      <c r="F8501" s="10"/>
    </row>
    <row r="8502" customFormat="false" ht="15.75" hidden="false" customHeight="true" outlineLevel="0" collapsed="false">
      <c r="B8502" s="10"/>
      <c r="C8502" s="10"/>
      <c r="D8502" s="10"/>
      <c r="E8502" s="10"/>
      <c r="F8502" s="10"/>
    </row>
    <row r="8503" customFormat="false" ht="15.75" hidden="false" customHeight="true" outlineLevel="0" collapsed="false">
      <c r="B8503" s="10"/>
      <c r="C8503" s="10"/>
      <c r="D8503" s="10"/>
      <c r="E8503" s="10"/>
      <c r="F8503" s="10"/>
    </row>
    <row r="8504" customFormat="false" ht="15.75" hidden="false" customHeight="true" outlineLevel="0" collapsed="false">
      <c r="B8504" s="10"/>
      <c r="C8504" s="10"/>
      <c r="D8504" s="10"/>
      <c r="E8504" s="10"/>
      <c r="F8504" s="10"/>
    </row>
    <row r="8505" customFormat="false" ht="24" hidden="false" customHeight="true" outlineLevel="0" collapsed="false">
      <c r="B8505" s="48" t="str">
        <f aca="false">Cab_Mentions</f>
        <v>ALTHO EXPERTISE · SAS au capital de 10 000 € · RCS Pontoise 919 706 325 · TVA FR62919706325 · Société d'expertise comptable inscrite au Tableau de l'Ordre des experts-comptables de Paris Île-de-France</v>
      </c>
      <c r="C8505" s="48"/>
      <c r="D8505" s="48"/>
      <c r="E8505" s="48"/>
      <c r="F8505" s="48"/>
    </row>
    <row r="8506" customFormat="false" ht="15" hidden="false" customHeight="false" outlineLevel="0" collapsed="false">
      <c r="B8506" s="10"/>
      <c r="C8506" s="10"/>
      <c r="D8506" s="10"/>
      <c r="E8506" s="10"/>
      <c r="F8506" s="10"/>
      <c r="J8506" s="25" t="s">
        <v>142</v>
      </c>
      <c r="K8506" s="25" t="n">
        <f aca="false">IFERROR(MATCH(190,Clients!$Z$2:$Z$501,0),0)</f>
        <v>0</v>
      </c>
      <c r="L8506" s="25"/>
      <c r="M8506" s="25"/>
      <c r="N8506" s="25"/>
      <c r="O8506" s="25"/>
    </row>
    <row r="8507" customFormat="false" ht="21.75" hidden="false" customHeight="true" outlineLevel="0" collapsed="false">
      <c r="B8507" s="26" t="str">
        <f aca="false">Cab_Nom</f>
        <v>ALTHO EXPERTISE</v>
      </c>
      <c r="C8507" s="26"/>
      <c r="D8507" s="10"/>
      <c r="E8507" s="27" t="str">
        <f aca="false">IF($K$8506=0,"","Réf. client : "&amp;INDEX(Clients!$A$2:$A$501,$K$8506))</f>
        <v/>
      </c>
      <c r="F8507" s="27"/>
      <c r="J8507" s="25" t="s">
        <v>144</v>
      </c>
      <c r="K8507" s="25" t="str">
        <f aca="false">IF(IF($K$8506=0,"",INDEX(Clients!$B$2:$B$501,$K$8506)&amp;"")="Mme","Madame",IF(IF($K$8506=0,"",INDEX(Clients!$B$2:$B$501,$K$8506)&amp;"")="M.","Monsieur","Madame, Monsieur"))</f>
        <v>Madame, Monsieur</v>
      </c>
      <c r="L8507" s="25"/>
      <c r="M8507" s="25"/>
      <c r="N8507" s="25"/>
      <c r="O8507" s="25"/>
    </row>
    <row r="8508" customFormat="false" ht="15" hidden="false" customHeight="false" outlineLevel="0" collapsed="false">
      <c r="B8508" s="29" t="str">
        <f aca="false">Cab_Adr1</f>
        <v>141 rue Charles de Gaulle</v>
      </c>
      <c r="C8508" s="29"/>
      <c r="D8508" s="10"/>
      <c r="E8508" s="10"/>
      <c r="F8508" s="10"/>
      <c r="J8508" s="25" t="s">
        <v>145</v>
      </c>
      <c r="K8508" s="25" t="str">
        <f aca="false">DAY(Date_Effet)&amp;IF(DAY(Date_Effet)=1,"er","")&amp;" "&amp;INDEX(Liste_Mois,MONTH(Date_Effet))&amp;" "&amp;YEAR(Date_Effet)</f>
        <v>1er janvier 2027</v>
      </c>
      <c r="L8508" s="25"/>
      <c r="M8508" s="25"/>
      <c r="N8508" s="25"/>
      <c r="O8508" s="25"/>
    </row>
    <row r="8509" customFormat="false" ht="15" hidden="false" customHeight="false" outlineLevel="0" collapsed="false">
      <c r="B8509" s="29" t="str">
        <f aca="false">Cab_CPVille</f>
        <v>95130 LE PLESSIS-BOUCHARD</v>
      </c>
      <c r="C8509" s="29"/>
      <c r="D8509" s="10"/>
      <c r="E8509" s="10"/>
      <c r="F8509" s="10"/>
      <c r="J8509" s="25" t="s">
        <v>146</v>
      </c>
      <c r="K8509" s="25" t="str">
        <f aca="false">IF(SUM($K$8533:$K$8536)=0,"",FIXED((SUM($L$8533:$L$8536)/SUM($K$8533:$K$8536)-1)*100,1)&amp;" %")</f>
        <v/>
      </c>
      <c r="L8509" s="25"/>
      <c r="M8509" s="25"/>
      <c r="N8509" s="25"/>
      <c r="O8509" s="25"/>
    </row>
    <row r="8510" customFormat="false" ht="15" hidden="false" customHeight="false" outlineLevel="0" collapsed="false">
      <c r="B8510" s="29" t="str">
        <f aca="false">Cab_Contact</f>
        <v>Tél. 01 34 14 53 45  ·  altho@altho-experts.com  ·  altho-experts.com</v>
      </c>
      <c r="C8510" s="29"/>
      <c r="D8510" s="10"/>
      <c r="E8510" s="10"/>
      <c r="F8510" s="10"/>
      <c r="J8510" s="25"/>
      <c r="K8510" s="25"/>
      <c r="L8510" s="25"/>
      <c r="M8510" s="25"/>
      <c r="N8510" s="25"/>
      <c r="O8510" s="25"/>
    </row>
    <row r="8511" customFormat="false" ht="6" hidden="false" customHeight="true" outlineLevel="0" collapsed="false">
      <c r="B8511" s="32"/>
      <c r="C8511" s="32"/>
      <c r="D8511" s="32"/>
      <c r="E8511" s="32"/>
      <c r="F8511" s="32"/>
      <c r="J8511" s="25"/>
      <c r="K8511" s="25"/>
      <c r="L8511" s="25"/>
      <c r="M8511" s="25"/>
      <c r="N8511" s="25"/>
      <c r="O8511" s="25"/>
    </row>
    <row r="8512" customFormat="false" ht="13.5" hidden="false" customHeight="true" outlineLevel="0" collapsed="false">
      <c r="B8512" s="10"/>
      <c r="C8512" s="10"/>
      <c r="D8512" s="10"/>
      <c r="E8512" s="10"/>
      <c r="F8512" s="10"/>
      <c r="J8512" s="25"/>
      <c r="K8512" s="25"/>
      <c r="L8512" s="25"/>
      <c r="M8512" s="25"/>
      <c r="N8512" s="25"/>
      <c r="O8512" s="25"/>
    </row>
    <row r="8513" customFormat="false" ht="13.5" hidden="false" customHeight="true" outlineLevel="0" collapsed="false">
      <c r="B8513" s="10"/>
      <c r="C8513" s="10"/>
      <c r="D8513" s="10"/>
      <c r="E8513" s="10"/>
      <c r="F8513" s="10"/>
      <c r="J8513" s="25"/>
      <c r="K8513" s="25"/>
      <c r="L8513" s="25"/>
      <c r="M8513" s="25"/>
      <c r="N8513" s="25"/>
      <c r="O8513" s="25"/>
    </row>
    <row r="8514" customFormat="false" ht="13.5" hidden="false" customHeight="true" outlineLevel="0" collapsed="false">
      <c r="B8514" s="10"/>
      <c r="C8514" s="10"/>
      <c r="D8514" s="10"/>
      <c r="E8514" s="10"/>
      <c r="F8514" s="10"/>
      <c r="J8514" s="25"/>
      <c r="K8514" s="25"/>
      <c r="L8514" s="25"/>
      <c r="M8514" s="25"/>
      <c r="N8514" s="25"/>
      <c r="O8514" s="25"/>
    </row>
    <row r="8515" customFormat="false" ht="15" hidden="false" customHeight="true" outlineLevel="0" collapsed="false">
      <c r="B8515" s="10"/>
      <c r="C8515" s="10"/>
      <c r="D8515" s="34" t="str">
        <f aca="false">IF($K$8506=0,"",INDEX(Clients!$E$2:$E$501,$K$8506)&amp;"")</f>
        <v/>
      </c>
      <c r="E8515" s="34"/>
      <c r="F8515" s="34"/>
      <c r="J8515" s="25"/>
      <c r="K8515" s="25"/>
      <c r="L8515" s="25"/>
      <c r="M8515" s="25"/>
      <c r="N8515" s="25"/>
      <c r="O8515" s="25"/>
    </row>
    <row r="8516" customFormat="false" ht="15" hidden="false" customHeight="true" outlineLevel="0" collapsed="false">
      <c r="B8516" s="10"/>
      <c r="C8516" s="10"/>
      <c r="D8516" s="35" t="str">
        <f aca="false">IF(IF($K$8506=0,"",INDEX(Clients!$D$2:$D$501,$K$8506)&amp;"")="","","À l'attention de "&amp;TRIM(IF($K$8506=0,"",INDEX(Clients!$B$2:$B$501,$K$8506)&amp;"")&amp;" "&amp;IF($K$8506=0,"",INDEX(Clients!$C$2:$C$501,$K$8506)&amp;"")&amp;" "&amp;IF($K$8506=0,"",INDEX(Clients!$D$2:$D$501,$K$8506)&amp;"")))</f>
        <v/>
      </c>
      <c r="E8516" s="35"/>
      <c r="F8516" s="35"/>
      <c r="J8516" s="25"/>
      <c r="K8516" s="25"/>
      <c r="L8516" s="25"/>
      <c r="M8516" s="25"/>
      <c r="N8516" s="25"/>
      <c r="O8516" s="25"/>
    </row>
    <row r="8517" customFormat="false" ht="15" hidden="false" customHeight="true" outlineLevel="0" collapsed="false">
      <c r="B8517" s="10"/>
      <c r="C8517" s="10"/>
      <c r="D8517" s="35" t="str">
        <f aca="false">IF($K$8506=0,"",INDEX(Clients!$F$2:$F$501,$K$8506)&amp;"")</f>
        <v/>
      </c>
      <c r="E8517" s="35"/>
      <c r="F8517" s="35"/>
      <c r="J8517" s="25"/>
      <c r="K8517" s="25"/>
      <c r="L8517" s="25"/>
      <c r="M8517" s="25"/>
      <c r="N8517" s="25"/>
      <c r="O8517" s="25"/>
    </row>
    <row r="8518" customFormat="false" ht="15" hidden="false" customHeight="true" outlineLevel="0" collapsed="false">
      <c r="B8518" s="10"/>
      <c r="C8518" s="10"/>
      <c r="D8518" s="35" t="str">
        <f aca="false">IF(IF($K$8506=0,"",INDEX(Clients!$G$2:$G$501,$K$8506)&amp;"")="",TRIM(IF($K$8506=0,"",INDEX(Clients!$H$2:$H$501,$K$8506)&amp;"")&amp;" "&amp;UPPER(IF($K$8506=0,"",INDEX(Clients!$I$2:$I$501,$K$8506)&amp;""))),IF($K$8506=0,"",INDEX(Clients!$G$2:$G$501,$K$8506)&amp;""))</f>
        <v/>
      </c>
      <c r="E8518" s="35"/>
      <c r="F8518" s="35"/>
      <c r="J8518" s="25"/>
      <c r="K8518" s="25"/>
      <c r="L8518" s="25"/>
      <c r="M8518" s="25"/>
      <c r="N8518" s="25"/>
      <c r="O8518" s="25"/>
    </row>
    <row r="8519" customFormat="false" ht="15" hidden="false" customHeight="true" outlineLevel="0" collapsed="false">
      <c r="B8519" s="10"/>
      <c r="C8519" s="10"/>
      <c r="D8519" s="35" t="str">
        <f aca="false">IF(IF($K$8506=0,"",INDEX(Clients!$G$2:$G$501,$K$8506)&amp;"")="","",TRIM(IF($K$8506=0,"",INDEX(Clients!$H$2:$H$501,$K$8506)&amp;"")&amp;" "&amp;UPPER(IF($K$8506=0,"",INDEX(Clients!$I$2:$I$501,$K$8506)&amp;""))))</f>
        <v/>
      </c>
      <c r="E8519" s="35"/>
      <c r="F8519" s="35"/>
      <c r="J8519" s="25"/>
      <c r="K8519" s="25"/>
      <c r="L8519" s="25"/>
      <c r="M8519" s="25"/>
      <c r="N8519" s="25"/>
      <c r="O8519" s="25"/>
    </row>
    <row r="8520" customFormat="false" ht="25.5" hidden="false" customHeight="true" outlineLevel="0" collapsed="false">
      <c r="B8520" s="10"/>
      <c r="C8520" s="10"/>
      <c r="D8520" s="10"/>
      <c r="E8520" s="10"/>
      <c r="F8520" s="10"/>
      <c r="J8520" s="25"/>
      <c r="K8520" s="25"/>
      <c r="L8520" s="25"/>
      <c r="M8520" s="25"/>
      <c r="N8520" s="25"/>
      <c r="O8520" s="25"/>
    </row>
    <row r="8521" customFormat="false" ht="15" hidden="false" customHeight="false" outlineLevel="0" collapsed="false">
      <c r="B8521" s="10"/>
      <c r="C8521" s="10"/>
      <c r="D8521" s="36" t="str">
        <f aca="false">Cab_Ville&amp;", le "&amp;DAY(Date_Courrier)&amp;IF(DAY(Date_Courrier)=1,"er","")&amp;" "&amp;INDEX(Liste_Mois,MONTH(Date_Courrier))&amp;" "&amp;YEAR(Date_Courrier)</f>
        <v>Le Plessis-Bouchard, le 22 septembre 2026</v>
      </c>
      <c r="E8521" s="36"/>
      <c r="F8521" s="36"/>
      <c r="J8521" s="25"/>
      <c r="K8521" s="25"/>
      <c r="L8521" s="25"/>
      <c r="M8521" s="25"/>
      <c r="N8521" s="25"/>
      <c r="O8521" s="25"/>
    </row>
    <row r="8522" customFormat="false" ht="19.5" hidden="false" customHeight="true" outlineLevel="0" collapsed="false">
      <c r="B8522" s="10"/>
      <c r="C8522" s="10"/>
      <c r="D8522" s="10"/>
      <c r="E8522" s="10"/>
      <c r="F8522" s="10"/>
      <c r="J8522" s="25"/>
      <c r="K8522" s="25"/>
      <c r="L8522" s="25"/>
      <c r="M8522" s="25"/>
      <c r="N8522" s="25"/>
      <c r="O8522" s="25"/>
    </row>
    <row r="8523" customFormat="false" ht="15" hidden="false" customHeight="false" outlineLevel="0" collapsed="false">
      <c r="B8523" s="34" t="str">
        <f aca="false">SUBSTITUTE(SUBSTITUTE(SUBSTITUTE(SUBSTITUTE(SUBSTITUTE(Txt_Objet,"{cabinet}",Cab_Nom),"{societe}",IF($K$8506=0,"",INDEX(Clients!$E$2:$E$501,$K$8506)&amp;"")),"{date_effet}",$K$8508),"{hausse}",$K$8509),"{civilite}",$K$8507)</f>
        <v>Objet : révision de nos honoraires au 1er janvier 2027</v>
      </c>
      <c r="C8523" s="34"/>
      <c r="D8523" s="34"/>
      <c r="E8523" s="34"/>
      <c r="F8523" s="34"/>
      <c r="J8523" s="25"/>
      <c r="K8523" s="25"/>
      <c r="L8523" s="25"/>
      <c r="M8523" s="25"/>
      <c r="N8523" s="25"/>
      <c r="O8523" s="25"/>
    </row>
    <row r="8524" customFormat="false" ht="13.5" hidden="false" customHeight="true" outlineLevel="0" collapsed="false">
      <c r="B8524" s="10"/>
      <c r="C8524" s="10"/>
      <c r="D8524" s="10"/>
      <c r="E8524" s="10"/>
      <c r="F8524" s="10"/>
      <c r="J8524" s="25"/>
      <c r="K8524" s="25"/>
      <c r="L8524" s="25"/>
      <c r="M8524" s="25"/>
      <c r="N8524" s="25"/>
      <c r="O8524" s="25"/>
    </row>
    <row r="8525" customFormat="false" ht="15" hidden="false" customHeight="false" outlineLevel="0" collapsed="false">
      <c r="B8525" s="10" t="str">
        <f aca="false">$K$8507&amp;","</f>
        <v>Madame, Monsieur,</v>
      </c>
      <c r="C8525" s="10"/>
      <c r="D8525" s="10"/>
      <c r="E8525" s="10"/>
      <c r="F8525" s="10"/>
      <c r="J8525" s="25"/>
      <c r="K8525" s="25"/>
      <c r="L8525" s="25"/>
      <c r="M8525" s="25"/>
      <c r="N8525" s="25"/>
      <c r="O8525" s="25"/>
    </row>
    <row r="8526" customFormat="false" ht="6" hidden="false" customHeight="true" outlineLevel="0" collapsed="false">
      <c r="B8526" s="10"/>
      <c r="C8526" s="10"/>
      <c r="D8526" s="10"/>
      <c r="E8526" s="10"/>
      <c r="F8526" s="10"/>
      <c r="J8526" s="25"/>
      <c r="K8526" s="25"/>
      <c r="L8526" s="25"/>
      <c r="M8526" s="25"/>
      <c r="N8526" s="25"/>
      <c r="O8526" s="25"/>
    </row>
    <row r="8527" customFormat="false" ht="36.75" hidden="false" customHeight="true" outlineLevel="0" collapsed="false">
      <c r="B8527" s="37" t="str">
        <f aca="false">SUBSTITUTE(SUBSTITUTE(SUBSTITUTE(SUBSTITUTE(SUBSTITUTE(Txt_P1,"{cabinet}",Cab_Nom),"{societe}",IF($K$8506=0,"",INDEX(Clients!$E$2:$E$501,$K$8506)&amp;"")),"{date_effet}",$K$8508),"{hausse}",$K$8509),"{civilite}",$K$8507)</f>
        <v>Nous tenons tout d'abord à vous remercier pour la confiance que vous accordez à ALTHO EXPERTISE. Comme chaque année, et conformément aux dispositions de votre lettre de mission, nous procédons à la révision de nos honoraires.</v>
      </c>
      <c r="C8527" s="37"/>
      <c r="D8527" s="37"/>
      <c r="E8527" s="37"/>
      <c r="F8527" s="37"/>
      <c r="J8527" s="25"/>
      <c r="K8527" s="25"/>
      <c r="L8527" s="25"/>
      <c r="M8527" s="25"/>
      <c r="N8527" s="25"/>
      <c r="O8527" s="25"/>
    </row>
    <row r="8528" customFormat="false" ht="49.5" hidden="false" customHeight="true" outlineLevel="0" collapsed="false">
      <c r="B8528" s="37" t="str">
        <f aca="false">SUBSTITUTE(SUBSTITUTE(SUBSTITUTE(SUBSTITUTE(SUBSTITUTE(Txt_P2,"{cabinet}",Cab_Nom),"{societe}",IF($K$8506=0,"",INDEX(Clients!$E$2:$E$501,$K$8506)&amp;"")),"{date_effet}",$K$8508),"{hausse}",$K$8509),"{civilite}",$K$8507)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528" s="37"/>
      <c r="D8528" s="37"/>
      <c r="E8528" s="37"/>
      <c r="F8528" s="37"/>
      <c r="J8528" s="25"/>
      <c r="K8528" s="25"/>
      <c r="L8528" s="25"/>
      <c r="M8528" s="25"/>
      <c r="N8528" s="25"/>
      <c r="O8528" s="25"/>
    </row>
    <row r="8529" customFormat="false" ht="63" hidden="false" customHeight="true" outlineLevel="0" collapsed="false">
      <c r="B8529" s="37" t="str">
        <f aca="false">SUBSTITUTE(SUBSTITUTE(SUBSTITUTE(SUBSTITUTE(SUBSTITUTE(Txt_P3,"{cabinet}",Cab_Nom),"{societe}",IF($K$8506=0,"",INDEX(Clients!$E$2:$E$501,$K$8506)&amp;"")),"{date_effet}",$K$8508),"{hausse}",$K$8509),"{civilite}",$K$8507)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529" s="37"/>
      <c r="D8529" s="37"/>
      <c r="E8529" s="37"/>
      <c r="F8529" s="37"/>
      <c r="J8529" s="25"/>
      <c r="K8529" s="25"/>
      <c r="L8529" s="25"/>
      <c r="M8529" s="25"/>
      <c r="N8529" s="25"/>
      <c r="O8529" s="25"/>
    </row>
    <row r="8530" customFormat="false" ht="24" hidden="false" customHeight="true" outlineLevel="0" collapsed="false">
      <c r="B8530" s="37" t="str">
        <f aca="false">SUBSTITUTE(SUBSTITUTE(SUBSTITUTE(SUBSTITUTE(SUBSTITUTE(Txt_P4,"{cabinet}",Cab_Nom),"{societe}",IF($K$8506=0,"",INDEX(Clients!$E$2:$E$501,$K$8506)&amp;"")),"{date_effet}",$K$8508),"{hausse}",$K$8509),"{civilite}",$K$8507)</f>
        <v>À compter du 1er janvier 2027, vos honoraires annuels hors taxes évolueront ainsi (évolution globale : ) :</v>
      </c>
      <c r="C8530" s="37"/>
      <c r="D8530" s="37"/>
      <c r="E8530" s="37"/>
      <c r="F8530" s="37"/>
      <c r="J8530" s="25"/>
      <c r="K8530" s="25"/>
      <c r="L8530" s="25"/>
      <c r="M8530" s="25"/>
      <c r="N8530" s="25"/>
      <c r="O8530" s="25"/>
    </row>
    <row r="8531" customFormat="false" ht="3.75" hidden="false" customHeight="true" outlineLevel="0" collapsed="false">
      <c r="B8531" s="10"/>
      <c r="C8531" s="10"/>
      <c r="D8531" s="10"/>
      <c r="E8531" s="10"/>
      <c r="F8531" s="10"/>
      <c r="J8531" s="25"/>
      <c r="K8531" s="25"/>
      <c r="L8531" s="25"/>
      <c r="M8531" s="25"/>
      <c r="N8531" s="25"/>
      <c r="O8531" s="25"/>
    </row>
    <row r="8532" customFormat="false" ht="18" hidden="false" customHeight="true" outlineLevel="0" collapsed="false">
      <c r="B8532" s="38" t="s">
        <v>148</v>
      </c>
      <c r="C8532" s="39" t="s">
        <v>149</v>
      </c>
      <c r="D8532" s="39" t="s">
        <v>150</v>
      </c>
      <c r="E8532" s="39" t="s">
        <v>151</v>
      </c>
      <c r="F8532" s="39" t="s">
        <v>109</v>
      </c>
      <c r="J8532" s="25" t="s">
        <v>152</v>
      </c>
      <c r="K8532" s="25" t="s">
        <v>153</v>
      </c>
      <c r="L8532" s="25" t="s">
        <v>154</v>
      </c>
      <c r="M8532" s="25" t="s">
        <v>155</v>
      </c>
      <c r="N8532" s="25" t="s">
        <v>156</v>
      </c>
      <c r="O8532" s="25" t="s">
        <v>157</v>
      </c>
    </row>
    <row r="8533" customFormat="false" ht="16.5" hidden="false" customHeight="true" outlineLevel="0" collapsed="false">
      <c r="B8533" s="40" t="str">
        <f aca="false">IFERROR(INDEX($J$8533:$J$8536,MATCH($O8533,$N$8533:$N$8536,0)),"")</f>
        <v/>
      </c>
      <c r="C8533" s="41" t="str">
        <f aca="false">IFERROR(INDEX($K$8533:$K$8536,MATCH($O8533,$N$8533:$N$8536,0)),"")</f>
        <v/>
      </c>
      <c r="D8533" s="42" t="str">
        <f aca="false">IF(OR(E8533="",N(C8533)=0),"",E8533/C8533-1)</f>
        <v/>
      </c>
      <c r="E8533" s="41" t="str">
        <f aca="false">IFERROR(INDEX($L$8533:$L$8536,MATCH($O8533,$N$8533:$N$8536,0)),"")</f>
        <v/>
      </c>
      <c r="F8533" s="41" t="str">
        <f aca="false">IF(E8533="","",E8533-C8533)</f>
        <v/>
      </c>
      <c r="J8533" s="25" t="str">
        <f aca="false">Lib_Compta</f>
        <v>Mission comptable (tenue, révision, bilan, liasse fiscale)</v>
      </c>
      <c r="K8533" s="25" t="n">
        <f aca="false">IF($K$8506=0,0,N(INDEX(Clients!$K$2:$K$501,$K$8506)))</f>
        <v>0</v>
      </c>
      <c r="L8533" s="25" t="n">
        <f aca="false">IF($K$8506=0,0,N(INDEX(Clients!$P$2:$P$501,$K$8506)))</f>
        <v>0</v>
      </c>
      <c r="M8533" s="25" t="n">
        <f aca="false">IF(OR(K8533&lt;&gt;0,L8533&lt;&gt;0),1,0)</f>
        <v>0</v>
      </c>
      <c r="N8533" s="25" t="str">
        <f aca="false">IF(M8533=1,SUM($M$8533:M8533),"")</f>
        <v/>
      </c>
      <c r="O8533" s="25" t="n">
        <v>1</v>
      </c>
    </row>
    <row r="8534" customFormat="false" ht="16.5" hidden="false" customHeight="true" outlineLevel="0" collapsed="false">
      <c r="B8534" s="40" t="str">
        <f aca="false">IFERROR(INDEX($J$8533:$J$8536,MATCH($O8534,$N$8533:$N$8536,0)),"")</f>
        <v/>
      </c>
      <c r="C8534" s="41" t="str">
        <f aca="false">IFERROR(INDEX($K$8533:$K$8536,MATCH($O8534,$N$8533:$N$8536,0)),"")</f>
        <v/>
      </c>
      <c r="D8534" s="42" t="str">
        <f aca="false">IF(OR(E8534="",N(C8534)=0),"",E8534/C8534-1)</f>
        <v/>
      </c>
      <c r="E8534" s="41" t="str">
        <f aca="false">IFERROR(INDEX($L$8533:$L$8536,MATCH($O8534,$N$8533:$N$8536,0)),"")</f>
        <v/>
      </c>
      <c r="F8534" s="41" t="str">
        <f aca="false">IF(E8534="","",E8534-C8534)</f>
        <v/>
      </c>
      <c r="J8534" s="25" t="str">
        <f aca="false">Lib_Paye</f>
        <v>Mission sociale (bulletins de paie, DSN, déclarations sociales)</v>
      </c>
      <c r="K8534" s="25" t="n">
        <f aca="false">IF($K$8506=0,0,N(INDEX(Clients!$L$2:$L$501,$K$8506)))</f>
        <v>0</v>
      </c>
      <c r="L8534" s="25" t="n">
        <f aca="false">IF($K$8506=0,0,N(INDEX(Clients!$Q$2:$Q$501,$K$8506)))</f>
        <v>0</v>
      </c>
      <c r="M8534" s="25" t="n">
        <f aca="false">IF(OR(K8534&lt;&gt;0,L8534&lt;&gt;0),1,0)</f>
        <v>0</v>
      </c>
      <c r="N8534" s="25" t="str">
        <f aca="false">IF(M8534=1,SUM($M$8533:M8534),"")</f>
        <v/>
      </c>
      <c r="O8534" s="25" t="n">
        <v>2</v>
      </c>
    </row>
    <row r="8535" customFormat="false" ht="16.5" hidden="false" customHeight="true" outlineLevel="0" collapsed="false">
      <c r="B8535" s="40" t="str">
        <f aca="false">IFERROR(INDEX($J$8533:$J$8536,MATCH($O8535,$N$8533:$N$8536,0)),"")</f>
        <v/>
      </c>
      <c r="C8535" s="41" t="str">
        <f aca="false">IFERROR(INDEX($K$8533:$K$8536,MATCH($O8535,$N$8533:$N$8536,0)),"")</f>
        <v/>
      </c>
      <c r="D8535" s="42" t="str">
        <f aca="false">IF(OR(E8535="",N(C8535)=0),"",E8535/C8535-1)</f>
        <v/>
      </c>
      <c r="E8535" s="41" t="str">
        <f aca="false">IFERROR(INDEX($L$8533:$L$8536,MATCH($O8535,$N$8533:$N$8536,0)),"")</f>
        <v/>
      </c>
      <c r="F8535" s="41" t="str">
        <f aca="false">IF(E8535="","",E8535-C8535)</f>
        <v/>
      </c>
      <c r="J8535" s="25" t="str">
        <f aca="false">Lib_Jur</f>
        <v>Mission juridique (approbation des comptes, secrétariat juridique)</v>
      </c>
      <c r="K8535" s="25" t="n">
        <f aca="false">IF($K$8506=0,0,N(INDEX(Clients!$M$2:$M$501,$K$8506)))</f>
        <v>0</v>
      </c>
      <c r="L8535" s="25" t="n">
        <f aca="false">IF($K$8506=0,0,N(INDEX(Clients!$R$2:$R$501,$K$8506)))</f>
        <v>0</v>
      </c>
      <c r="M8535" s="25" t="n">
        <f aca="false">IF(OR(K8535&lt;&gt;0,L8535&lt;&gt;0),1,0)</f>
        <v>0</v>
      </c>
      <c r="N8535" s="25" t="str">
        <f aca="false">IF(M8535=1,SUM($M$8533:M8535),"")</f>
        <v/>
      </c>
      <c r="O8535" s="25" t="n">
        <v>3</v>
      </c>
    </row>
    <row r="8536" customFormat="false" ht="16.5" hidden="false" customHeight="true" outlineLevel="0" collapsed="false">
      <c r="B8536" s="40" t="str">
        <f aca="false">IFERROR(INDEX($J$8533:$J$8536,MATCH($O8536,$N$8533:$N$8536,0)),"")</f>
        <v/>
      </c>
      <c r="C8536" s="41" t="str">
        <f aca="false">IFERROR(INDEX($K$8533:$K$8536,MATCH($O8536,$N$8533:$N$8536,0)),"")</f>
        <v/>
      </c>
      <c r="D8536" s="42" t="str">
        <f aca="false">IF(OR(E8536="",N(C8536)=0),"",E8536/C8536-1)</f>
        <v/>
      </c>
      <c r="E8536" s="41" t="str">
        <f aca="false">IFERROR(INDEX($L$8533:$L$8536,MATCH($O8536,$N$8533:$N$8536,0)),"")</f>
        <v/>
      </c>
      <c r="F8536" s="41" t="str">
        <f aca="false">IF(E8536="","",E8536-C8536)</f>
        <v/>
      </c>
      <c r="J8536" s="25" t="str">
        <f aca="false">Lib_PA</f>
        <v>Plateforme agréée – facturation électronique</v>
      </c>
      <c r="K8536" s="25" t="n">
        <f aca="false">IF($K$8506=0,0,N(INDEX(Clients!$N$2:$N$501,$K$8506)))</f>
        <v>0</v>
      </c>
      <c r="L8536" s="25" t="n">
        <f aca="false">IF($K$8506=0,0,N(INDEX(Clients!$S$2:$S$501,$K$8506)))</f>
        <v>0</v>
      </c>
      <c r="M8536" s="25" t="n">
        <f aca="false">IF(OR(K8536&lt;&gt;0,L8536&lt;&gt;0),1,0)</f>
        <v>0</v>
      </c>
      <c r="N8536" s="25" t="str">
        <f aca="false">IF(M8536=1,SUM($M$8533:M8536),"")</f>
        <v/>
      </c>
      <c r="O8536" s="25" t="n">
        <v>4</v>
      </c>
    </row>
    <row r="8537" customFormat="false" ht="18" hidden="false" customHeight="true" outlineLevel="0" collapsed="false">
      <c r="B8537" s="43" t="s">
        <v>158</v>
      </c>
      <c r="C8537" s="44" t="n">
        <f aca="false">SUM(K8533:K8536)</f>
        <v>0</v>
      </c>
      <c r="D8537" s="45" t="str">
        <f aca="false">IF(N(C8537)=0,"",E8537/C8537-1)</f>
        <v/>
      </c>
      <c r="E8537" s="44" t="n">
        <f aca="false">SUM(L8533:L8536)</f>
        <v>0</v>
      </c>
      <c r="F8537" s="44" t="n">
        <f aca="false">E8537-C8537</f>
        <v>0</v>
      </c>
    </row>
    <row r="8538" customFormat="false" ht="15" hidden="false" customHeight="false" outlineLevel="0" collapsed="false">
      <c r="B8538" s="46" t="str">
        <f aca="false">IF(N(Nb_Mensualites)=0,"","Soit "&amp;FIXED(E8537/Nb_Mensualites,2)&amp;" € HT par échéance ("&amp;Nb_Mensualites&amp;" échéances), "&amp;FIXED(E8537/Nb_Mensualites*(1+Taux_TVA),2)&amp;" € TTC.")</f>
        <v>Soit 0.00 € HT par échéance (12 échéances), 0.00 € TTC.</v>
      </c>
      <c r="C8538" s="46"/>
      <c r="D8538" s="46"/>
      <c r="E8538" s="46"/>
      <c r="F8538" s="46"/>
    </row>
    <row r="8539" customFormat="false" ht="7.5" hidden="false" customHeight="true" outlineLevel="0" collapsed="false">
      <c r="B8539" s="10"/>
      <c r="C8539" s="10"/>
      <c r="D8539" s="10"/>
      <c r="E8539" s="10"/>
      <c r="F8539" s="10"/>
    </row>
    <row r="8540" customFormat="false" ht="36.75" hidden="false" customHeight="true" outlineLevel="0" collapsed="false">
      <c r="B8540" s="37" t="str">
        <f aca="false">SUBSTITUTE(SUBSTITUTE(SUBSTITUTE(SUBSTITUTE(SUBSTITUTE(Txt_P5,"{cabinet}",Cab_Nom),"{societe}",IF($K$8506=0,"",INDEX(Clients!$E$2:$E$501,$K$8506)&amp;"")),"{date_effet}",$K$8508),"{hausse}",$K$8509),"{civilite}",$K$8507)</f>
        <v>Les autres conditions de votre lettre de mission demeurent inchangées. Les nouveaux montants seront appliqués automatiquement sur vos prochaines factures et échéances de prélèvement.</v>
      </c>
      <c r="C8540" s="37"/>
      <c r="D8540" s="37"/>
      <c r="E8540" s="37"/>
      <c r="F8540" s="37"/>
    </row>
    <row r="8541" customFormat="false" ht="36.75" hidden="false" customHeight="true" outlineLevel="0" collapsed="false">
      <c r="B8541" s="37" t="str">
        <f aca="false">SUBSTITUTE(SUBSTITUTE(SUBSTITUTE(SUBSTITUTE(SUBSTITUTE(Txt_P6,"{cabinet}",Cab_Nom),"{societe}",IF($K$8506=0,"",INDEX(Clients!$E$2:$E$501,$K$8506)&amp;"")),"{date_effet}",$K$8508),"{hausse}",$K$8509),"{civilite}",$K$8507)</f>
        <v>Votre interlocuteur habituel reste à votre entière disposition pour répondre à vos questions et faire le point sur l'évolution de vos besoins.</v>
      </c>
      <c r="C8541" s="37"/>
      <c r="D8541" s="37"/>
      <c r="E8541" s="37"/>
      <c r="F8541" s="37"/>
    </row>
    <row r="8542" customFormat="false" ht="24" hidden="false" customHeight="true" outlineLevel="0" collapsed="false">
      <c r="B8542" s="37" t="str">
        <f aca="false">SUBSTITUTE(SUBSTITUTE(SUBSTITUTE(SUBSTITUTE(SUBSTITUTE(Txt_Politesse,"{cabinet}",Cab_Nom),"{societe}",IF($K$8506=0,"",INDEX(Clients!$E$2:$E$501,$K$8506)&amp;"")),"{date_effet}",$K$8508),"{hausse}",$K$8509),"{civilite}",$K$8507)</f>
        <v>Nous vous prions d'agréer, Madame, Monsieur, l'expression de nos salutations distinguées.</v>
      </c>
      <c r="C8542" s="37"/>
      <c r="D8542" s="37"/>
      <c r="E8542" s="37"/>
      <c r="F8542" s="37"/>
    </row>
    <row r="8543" customFormat="false" ht="15" hidden="false" customHeight="false" outlineLevel="0" collapsed="false">
      <c r="B8543" s="10"/>
      <c r="C8543" s="10"/>
      <c r="D8543" s="10"/>
      <c r="E8543" s="10"/>
      <c r="F8543" s="10"/>
    </row>
    <row r="8544" customFormat="false" ht="15" hidden="false" customHeight="false" outlineLevel="0" collapsed="false">
      <c r="B8544" s="10"/>
      <c r="C8544" s="10"/>
      <c r="D8544" s="34" t="str">
        <f aca="false">Signataire</f>
        <v>Prénom NOM</v>
      </c>
      <c r="E8544" s="34"/>
      <c r="F8544" s="34"/>
    </row>
    <row r="8545" customFormat="false" ht="15" hidden="false" customHeight="false" outlineLevel="0" collapsed="false">
      <c r="B8545" s="10"/>
      <c r="C8545" s="10"/>
      <c r="D8545" s="47" t="str">
        <f aca="false">Signataire_Titre</f>
        <v>Expert-comptable associé</v>
      </c>
      <c r="E8545" s="47"/>
      <c r="F8545" s="47"/>
    </row>
    <row r="8546" customFormat="false" ht="15.75" hidden="false" customHeight="true" outlineLevel="0" collapsed="false">
      <c r="B8546" s="10"/>
      <c r="C8546" s="10"/>
      <c r="D8546" s="10"/>
      <c r="E8546" s="10"/>
      <c r="F8546" s="10"/>
    </row>
    <row r="8547" customFormat="false" ht="15.75" hidden="false" customHeight="true" outlineLevel="0" collapsed="false">
      <c r="B8547" s="10"/>
      <c r="C8547" s="10"/>
      <c r="D8547" s="10"/>
      <c r="E8547" s="10"/>
      <c r="F8547" s="10"/>
    </row>
    <row r="8548" customFormat="false" ht="15.75" hidden="false" customHeight="true" outlineLevel="0" collapsed="false">
      <c r="B8548" s="10"/>
      <c r="C8548" s="10"/>
      <c r="D8548" s="10"/>
      <c r="E8548" s="10"/>
      <c r="F8548" s="10"/>
    </row>
    <row r="8549" customFormat="false" ht="15.75" hidden="false" customHeight="true" outlineLevel="0" collapsed="false">
      <c r="B8549" s="10"/>
      <c r="C8549" s="10"/>
      <c r="D8549" s="10"/>
      <c r="E8549" s="10"/>
      <c r="F8549" s="10"/>
    </row>
    <row r="8550" customFormat="false" ht="24" hidden="false" customHeight="true" outlineLevel="0" collapsed="false">
      <c r="B8550" s="48" t="str">
        <f aca="false">Cab_Mentions</f>
        <v>ALTHO EXPERTISE · SAS au capital de 10 000 € · RCS Pontoise 919 706 325 · TVA FR62919706325 · Société d'expertise comptable inscrite au Tableau de l'Ordre des experts-comptables de Paris Île-de-France</v>
      </c>
      <c r="C8550" s="48"/>
      <c r="D8550" s="48"/>
      <c r="E8550" s="48"/>
      <c r="F8550" s="48"/>
    </row>
    <row r="8551" customFormat="false" ht="15" hidden="false" customHeight="false" outlineLevel="0" collapsed="false">
      <c r="B8551" s="10"/>
      <c r="C8551" s="10"/>
      <c r="D8551" s="10"/>
      <c r="E8551" s="10"/>
      <c r="F8551" s="10"/>
      <c r="J8551" s="25" t="s">
        <v>142</v>
      </c>
      <c r="K8551" s="25" t="n">
        <f aca="false">IFERROR(MATCH(191,Clients!$Z$2:$Z$501,0),0)</f>
        <v>0</v>
      </c>
      <c r="L8551" s="25"/>
      <c r="M8551" s="25"/>
      <c r="N8551" s="25"/>
      <c r="O8551" s="25"/>
    </row>
    <row r="8552" customFormat="false" ht="21.75" hidden="false" customHeight="true" outlineLevel="0" collapsed="false">
      <c r="B8552" s="26" t="str">
        <f aca="false">Cab_Nom</f>
        <v>ALTHO EXPERTISE</v>
      </c>
      <c r="C8552" s="26"/>
      <c r="D8552" s="10"/>
      <c r="E8552" s="27" t="str">
        <f aca="false">IF($K$8551=0,"","Réf. client : "&amp;INDEX(Clients!$A$2:$A$501,$K$8551))</f>
        <v/>
      </c>
      <c r="F8552" s="27"/>
      <c r="J8552" s="25" t="s">
        <v>144</v>
      </c>
      <c r="K8552" s="25" t="str">
        <f aca="false">IF(IF($K$8551=0,"",INDEX(Clients!$B$2:$B$501,$K$8551)&amp;"")="Mme","Madame",IF(IF($K$8551=0,"",INDEX(Clients!$B$2:$B$501,$K$8551)&amp;"")="M.","Monsieur","Madame, Monsieur"))</f>
        <v>Madame, Monsieur</v>
      </c>
      <c r="L8552" s="25"/>
      <c r="M8552" s="25"/>
      <c r="N8552" s="25"/>
      <c r="O8552" s="25"/>
    </row>
    <row r="8553" customFormat="false" ht="15" hidden="false" customHeight="false" outlineLevel="0" collapsed="false">
      <c r="B8553" s="29" t="str">
        <f aca="false">Cab_Adr1</f>
        <v>141 rue Charles de Gaulle</v>
      </c>
      <c r="C8553" s="29"/>
      <c r="D8553" s="10"/>
      <c r="E8553" s="10"/>
      <c r="F8553" s="10"/>
      <c r="J8553" s="25" t="s">
        <v>145</v>
      </c>
      <c r="K8553" s="25" t="str">
        <f aca="false">DAY(Date_Effet)&amp;IF(DAY(Date_Effet)=1,"er","")&amp;" "&amp;INDEX(Liste_Mois,MONTH(Date_Effet))&amp;" "&amp;YEAR(Date_Effet)</f>
        <v>1er janvier 2027</v>
      </c>
      <c r="L8553" s="25"/>
      <c r="M8553" s="25"/>
      <c r="N8553" s="25"/>
      <c r="O8553" s="25"/>
    </row>
    <row r="8554" customFormat="false" ht="15" hidden="false" customHeight="false" outlineLevel="0" collapsed="false">
      <c r="B8554" s="29" t="str">
        <f aca="false">Cab_CPVille</f>
        <v>95130 LE PLESSIS-BOUCHARD</v>
      </c>
      <c r="C8554" s="29"/>
      <c r="D8554" s="10"/>
      <c r="E8554" s="10"/>
      <c r="F8554" s="10"/>
      <c r="J8554" s="25" t="s">
        <v>146</v>
      </c>
      <c r="K8554" s="25" t="str">
        <f aca="false">IF(SUM($K$8578:$K$8581)=0,"",FIXED((SUM($L$8578:$L$8581)/SUM($K$8578:$K$8581)-1)*100,1)&amp;" %")</f>
        <v/>
      </c>
      <c r="L8554" s="25"/>
      <c r="M8554" s="25"/>
      <c r="N8554" s="25"/>
      <c r="O8554" s="25"/>
    </row>
    <row r="8555" customFormat="false" ht="15" hidden="false" customHeight="false" outlineLevel="0" collapsed="false">
      <c r="B8555" s="29" t="str">
        <f aca="false">Cab_Contact</f>
        <v>Tél. 01 34 14 53 45  ·  altho@altho-experts.com  ·  altho-experts.com</v>
      </c>
      <c r="C8555" s="29"/>
      <c r="D8555" s="10"/>
      <c r="E8555" s="10"/>
      <c r="F8555" s="10"/>
      <c r="J8555" s="25"/>
      <c r="K8555" s="25"/>
      <c r="L8555" s="25"/>
      <c r="M8555" s="25"/>
      <c r="N8555" s="25"/>
      <c r="O8555" s="25"/>
    </row>
    <row r="8556" customFormat="false" ht="6" hidden="false" customHeight="true" outlineLevel="0" collapsed="false">
      <c r="B8556" s="32"/>
      <c r="C8556" s="32"/>
      <c r="D8556" s="32"/>
      <c r="E8556" s="32"/>
      <c r="F8556" s="32"/>
      <c r="J8556" s="25"/>
      <c r="K8556" s="25"/>
      <c r="L8556" s="25"/>
      <c r="M8556" s="25"/>
      <c r="N8556" s="25"/>
      <c r="O8556" s="25"/>
    </row>
    <row r="8557" customFormat="false" ht="13.5" hidden="false" customHeight="true" outlineLevel="0" collapsed="false">
      <c r="B8557" s="10"/>
      <c r="C8557" s="10"/>
      <c r="D8557" s="10"/>
      <c r="E8557" s="10"/>
      <c r="F8557" s="10"/>
      <c r="J8557" s="25"/>
      <c r="K8557" s="25"/>
      <c r="L8557" s="25"/>
      <c r="M8557" s="25"/>
      <c r="N8557" s="25"/>
      <c r="O8557" s="25"/>
    </row>
    <row r="8558" customFormat="false" ht="13.5" hidden="false" customHeight="true" outlineLevel="0" collapsed="false">
      <c r="B8558" s="10"/>
      <c r="C8558" s="10"/>
      <c r="D8558" s="10"/>
      <c r="E8558" s="10"/>
      <c r="F8558" s="10"/>
      <c r="J8558" s="25"/>
      <c r="K8558" s="25"/>
      <c r="L8558" s="25"/>
      <c r="M8558" s="25"/>
      <c r="N8558" s="25"/>
      <c r="O8558" s="25"/>
    </row>
    <row r="8559" customFormat="false" ht="13.5" hidden="false" customHeight="true" outlineLevel="0" collapsed="false">
      <c r="B8559" s="10"/>
      <c r="C8559" s="10"/>
      <c r="D8559" s="10"/>
      <c r="E8559" s="10"/>
      <c r="F8559" s="10"/>
      <c r="J8559" s="25"/>
      <c r="K8559" s="25"/>
      <c r="L8559" s="25"/>
      <c r="M8559" s="25"/>
      <c r="N8559" s="25"/>
      <c r="O8559" s="25"/>
    </row>
    <row r="8560" customFormat="false" ht="15" hidden="false" customHeight="true" outlineLevel="0" collapsed="false">
      <c r="B8560" s="10"/>
      <c r="C8560" s="10"/>
      <c r="D8560" s="34" t="str">
        <f aca="false">IF($K$8551=0,"",INDEX(Clients!$E$2:$E$501,$K$8551)&amp;"")</f>
        <v/>
      </c>
      <c r="E8560" s="34"/>
      <c r="F8560" s="34"/>
      <c r="J8560" s="25"/>
      <c r="K8560" s="25"/>
      <c r="L8560" s="25"/>
      <c r="M8560" s="25"/>
      <c r="N8560" s="25"/>
      <c r="O8560" s="25"/>
    </row>
    <row r="8561" customFormat="false" ht="15" hidden="false" customHeight="true" outlineLevel="0" collapsed="false">
      <c r="B8561" s="10"/>
      <c r="C8561" s="10"/>
      <c r="D8561" s="35" t="str">
        <f aca="false">IF(IF($K$8551=0,"",INDEX(Clients!$D$2:$D$501,$K$8551)&amp;"")="","","À l'attention de "&amp;TRIM(IF($K$8551=0,"",INDEX(Clients!$B$2:$B$501,$K$8551)&amp;"")&amp;" "&amp;IF($K$8551=0,"",INDEX(Clients!$C$2:$C$501,$K$8551)&amp;"")&amp;" "&amp;IF($K$8551=0,"",INDEX(Clients!$D$2:$D$501,$K$8551)&amp;"")))</f>
        <v/>
      </c>
      <c r="E8561" s="35"/>
      <c r="F8561" s="35"/>
      <c r="J8561" s="25"/>
      <c r="K8561" s="25"/>
      <c r="L8561" s="25"/>
      <c r="M8561" s="25"/>
      <c r="N8561" s="25"/>
      <c r="O8561" s="25"/>
    </row>
    <row r="8562" customFormat="false" ht="15" hidden="false" customHeight="true" outlineLevel="0" collapsed="false">
      <c r="B8562" s="10"/>
      <c r="C8562" s="10"/>
      <c r="D8562" s="35" t="str">
        <f aca="false">IF($K$8551=0,"",INDEX(Clients!$F$2:$F$501,$K$8551)&amp;"")</f>
        <v/>
      </c>
      <c r="E8562" s="35"/>
      <c r="F8562" s="35"/>
      <c r="J8562" s="25"/>
      <c r="K8562" s="25"/>
      <c r="L8562" s="25"/>
      <c r="M8562" s="25"/>
      <c r="N8562" s="25"/>
      <c r="O8562" s="25"/>
    </row>
    <row r="8563" customFormat="false" ht="15" hidden="false" customHeight="true" outlineLevel="0" collapsed="false">
      <c r="B8563" s="10"/>
      <c r="C8563" s="10"/>
      <c r="D8563" s="35" t="str">
        <f aca="false">IF(IF($K$8551=0,"",INDEX(Clients!$G$2:$G$501,$K$8551)&amp;"")="",TRIM(IF($K$8551=0,"",INDEX(Clients!$H$2:$H$501,$K$8551)&amp;"")&amp;" "&amp;UPPER(IF($K$8551=0,"",INDEX(Clients!$I$2:$I$501,$K$8551)&amp;""))),IF($K$8551=0,"",INDEX(Clients!$G$2:$G$501,$K$8551)&amp;""))</f>
        <v/>
      </c>
      <c r="E8563" s="35"/>
      <c r="F8563" s="35"/>
      <c r="J8563" s="25"/>
      <c r="K8563" s="25"/>
      <c r="L8563" s="25"/>
      <c r="M8563" s="25"/>
      <c r="N8563" s="25"/>
      <c r="O8563" s="25"/>
    </row>
    <row r="8564" customFormat="false" ht="15" hidden="false" customHeight="true" outlineLevel="0" collapsed="false">
      <c r="B8564" s="10"/>
      <c r="C8564" s="10"/>
      <c r="D8564" s="35" t="str">
        <f aca="false">IF(IF($K$8551=0,"",INDEX(Clients!$G$2:$G$501,$K$8551)&amp;"")="","",TRIM(IF($K$8551=0,"",INDEX(Clients!$H$2:$H$501,$K$8551)&amp;"")&amp;" "&amp;UPPER(IF($K$8551=0,"",INDEX(Clients!$I$2:$I$501,$K$8551)&amp;""))))</f>
        <v/>
      </c>
      <c r="E8564" s="35"/>
      <c r="F8564" s="35"/>
      <c r="J8564" s="25"/>
      <c r="K8564" s="25"/>
      <c r="L8564" s="25"/>
      <c r="M8564" s="25"/>
      <c r="N8564" s="25"/>
      <c r="O8564" s="25"/>
    </row>
    <row r="8565" customFormat="false" ht="25.5" hidden="false" customHeight="true" outlineLevel="0" collapsed="false">
      <c r="B8565" s="10"/>
      <c r="C8565" s="10"/>
      <c r="D8565" s="10"/>
      <c r="E8565" s="10"/>
      <c r="F8565" s="10"/>
      <c r="J8565" s="25"/>
      <c r="K8565" s="25"/>
      <c r="L8565" s="25"/>
      <c r="M8565" s="25"/>
      <c r="N8565" s="25"/>
      <c r="O8565" s="25"/>
    </row>
    <row r="8566" customFormat="false" ht="15" hidden="false" customHeight="false" outlineLevel="0" collapsed="false">
      <c r="B8566" s="10"/>
      <c r="C8566" s="10"/>
      <c r="D8566" s="36" t="str">
        <f aca="false">Cab_Ville&amp;", le "&amp;DAY(Date_Courrier)&amp;IF(DAY(Date_Courrier)=1,"er","")&amp;" "&amp;INDEX(Liste_Mois,MONTH(Date_Courrier))&amp;" "&amp;YEAR(Date_Courrier)</f>
        <v>Le Plessis-Bouchard, le 22 septembre 2026</v>
      </c>
      <c r="E8566" s="36"/>
      <c r="F8566" s="36"/>
      <c r="J8566" s="25"/>
      <c r="K8566" s="25"/>
      <c r="L8566" s="25"/>
      <c r="M8566" s="25"/>
      <c r="N8566" s="25"/>
      <c r="O8566" s="25"/>
    </row>
    <row r="8567" customFormat="false" ht="19.5" hidden="false" customHeight="true" outlineLevel="0" collapsed="false">
      <c r="B8567" s="10"/>
      <c r="C8567" s="10"/>
      <c r="D8567" s="10"/>
      <c r="E8567" s="10"/>
      <c r="F8567" s="10"/>
      <c r="J8567" s="25"/>
      <c r="K8567" s="25"/>
      <c r="L8567" s="25"/>
      <c r="M8567" s="25"/>
      <c r="N8567" s="25"/>
      <c r="O8567" s="25"/>
    </row>
    <row r="8568" customFormat="false" ht="15" hidden="false" customHeight="false" outlineLevel="0" collapsed="false">
      <c r="B8568" s="34" t="str">
        <f aca="false">SUBSTITUTE(SUBSTITUTE(SUBSTITUTE(SUBSTITUTE(SUBSTITUTE(Txt_Objet,"{cabinet}",Cab_Nom),"{societe}",IF($K$8551=0,"",INDEX(Clients!$E$2:$E$501,$K$8551)&amp;"")),"{date_effet}",$K$8553),"{hausse}",$K$8554),"{civilite}",$K$8552)</f>
        <v>Objet : révision de nos honoraires au 1er janvier 2027</v>
      </c>
      <c r="C8568" s="34"/>
      <c r="D8568" s="34"/>
      <c r="E8568" s="34"/>
      <c r="F8568" s="34"/>
      <c r="J8568" s="25"/>
      <c r="K8568" s="25"/>
      <c r="L8568" s="25"/>
      <c r="M8568" s="25"/>
      <c r="N8568" s="25"/>
      <c r="O8568" s="25"/>
    </row>
    <row r="8569" customFormat="false" ht="13.5" hidden="false" customHeight="true" outlineLevel="0" collapsed="false">
      <c r="B8569" s="10"/>
      <c r="C8569" s="10"/>
      <c r="D8569" s="10"/>
      <c r="E8569" s="10"/>
      <c r="F8569" s="10"/>
      <c r="J8569" s="25"/>
      <c r="K8569" s="25"/>
      <c r="L8569" s="25"/>
      <c r="M8569" s="25"/>
      <c r="N8569" s="25"/>
      <c r="O8569" s="25"/>
    </row>
    <row r="8570" customFormat="false" ht="15" hidden="false" customHeight="false" outlineLevel="0" collapsed="false">
      <c r="B8570" s="10" t="str">
        <f aca="false">$K$8552&amp;","</f>
        <v>Madame, Monsieur,</v>
      </c>
      <c r="C8570" s="10"/>
      <c r="D8570" s="10"/>
      <c r="E8570" s="10"/>
      <c r="F8570" s="10"/>
      <c r="J8570" s="25"/>
      <c r="K8570" s="25"/>
      <c r="L8570" s="25"/>
      <c r="M8570" s="25"/>
      <c r="N8570" s="25"/>
      <c r="O8570" s="25"/>
    </row>
    <row r="8571" customFormat="false" ht="6" hidden="false" customHeight="true" outlineLevel="0" collapsed="false">
      <c r="B8571" s="10"/>
      <c r="C8571" s="10"/>
      <c r="D8571" s="10"/>
      <c r="E8571" s="10"/>
      <c r="F8571" s="10"/>
      <c r="J8571" s="25"/>
      <c r="K8571" s="25"/>
      <c r="L8571" s="25"/>
      <c r="M8571" s="25"/>
      <c r="N8571" s="25"/>
      <c r="O8571" s="25"/>
    </row>
    <row r="8572" customFormat="false" ht="36.75" hidden="false" customHeight="true" outlineLevel="0" collapsed="false">
      <c r="B8572" s="37" t="str">
        <f aca="false">SUBSTITUTE(SUBSTITUTE(SUBSTITUTE(SUBSTITUTE(SUBSTITUTE(Txt_P1,"{cabinet}",Cab_Nom),"{societe}",IF($K$8551=0,"",INDEX(Clients!$E$2:$E$501,$K$8551)&amp;"")),"{date_effet}",$K$8553),"{hausse}",$K$8554),"{civilite}",$K$8552)</f>
        <v>Nous tenons tout d'abord à vous remercier pour la confiance que vous accordez à ALTHO EXPERTISE. Comme chaque année, et conformément aux dispositions de votre lettre de mission, nous procédons à la révision de nos honoraires.</v>
      </c>
      <c r="C8572" s="37"/>
      <c r="D8572" s="37"/>
      <c r="E8572" s="37"/>
      <c r="F8572" s="37"/>
      <c r="J8572" s="25"/>
      <c r="K8572" s="25"/>
      <c r="L8572" s="25"/>
      <c r="M8572" s="25"/>
      <c r="N8572" s="25"/>
      <c r="O8572" s="25"/>
    </row>
    <row r="8573" customFormat="false" ht="49.5" hidden="false" customHeight="true" outlineLevel="0" collapsed="false">
      <c r="B8573" s="37" t="str">
        <f aca="false">SUBSTITUTE(SUBSTITUTE(SUBSTITUTE(SUBSTITUTE(SUBSTITUTE(Txt_P2,"{cabinet}",Cab_Nom),"{societe}",IF($K$8551=0,"",INDEX(Clients!$E$2:$E$501,$K$8551)&amp;"")),"{date_effet}",$K$8553),"{hausse}",$K$8554),"{civilite}",$K$8552)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573" s="37"/>
      <c r="D8573" s="37"/>
      <c r="E8573" s="37"/>
      <c r="F8573" s="37"/>
      <c r="J8573" s="25"/>
      <c r="K8573" s="25"/>
      <c r="L8573" s="25"/>
      <c r="M8573" s="25"/>
      <c r="N8573" s="25"/>
      <c r="O8573" s="25"/>
    </row>
    <row r="8574" customFormat="false" ht="63" hidden="false" customHeight="true" outlineLevel="0" collapsed="false">
      <c r="B8574" s="37" t="str">
        <f aca="false">SUBSTITUTE(SUBSTITUTE(SUBSTITUTE(SUBSTITUTE(SUBSTITUTE(Txt_P3,"{cabinet}",Cab_Nom),"{societe}",IF($K$8551=0,"",INDEX(Clients!$E$2:$E$501,$K$8551)&amp;"")),"{date_effet}",$K$8553),"{hausse}",$K$8554),"{civilite}",$K$8552)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574" s="37"/>
      <c r="D8574" s="37"/>
      <c r="E8574" s="37"/>
      <c r="F8574" s="37"/>
      <c r="J8574" s="25"/>
      <c r="K8574" s="25"/>
      <c r="L8574" s="25"/>
      <c r="M8574" s="25"/>
      <c r="N8574" s="25"/>
      <c r="O8574" s="25"/>
    </row>
    <row r="8575" customFormat="false" ht="24" hidden="false" customHeight="true" outlineLevel="0" collapsed="false">
      <c r="B8575" s="37" t="str">
        <f aca="false">SUBSTITUTE(SUBSTITUTE(SUBSTITUTE(SUBSTITUTE(SUBSTITUTE(Txt_P4,"{cabinet}",Cab_Nom),"{societe}",IF($K$8551=0,"",INDEX(Clients!$E$2:$E$501,$K$8551)&amp;"")),"{date_effet}",$K$8553),"{hausse}",$K$8554),"{civilite}",$K$8552)</f>
        <v>À compter du 1er janvier 2027, vos honoraires annuels hors taxes évolueront ainsi (évolution globale : ) :</v>
      </c>
      <c r="C8575" s="37"/>
      <c r="D8575" s="37"/>
      <c r="E8575" s="37"/>
      <c r="F8575" s="37"/>
      <c r="J8575" s="25"/>
      <c r="K8575" s="25"/>
      <c r="L8575" s="25"/>
      <c r="M8575" s="25"/>
      <c r="N8575" s="25"/>
      <c r="O8575" s="25"/>
    </row>
    <row r="8576" customFormat="false" ht="3.75" hidden="false" customHeight="true" outlineLevel="0" collapsed="false">
      <c r="B8576" s="10"/>
      <c r="C8576" s="10"/>
      <c r="D8576" s="10"/>
      <c r="E8576" s="10"/>
      <c r="F8576" s="10"/>
      <c r="J8576" s="25"/>
      <c r="K8576" s="25"/>
      <c r="L8576" s="25"/>
      <c r="M8576" s="25"/>
      <c r="N8576" s="25"/>
      <c r="O8576" s="25"/>
    </row>
    <row r="8577" customFormat="false" ht="18" hidden="false" customHeight="true" outlineLevel="0" collapsed="false">
      <c r="B8577" s="38" t="s">
        <v>148</v>
      </c>
      <c r="C8577" s="39" t="s">
        <v>149</v>
      </c>
      <c r="D8577" s="39" t="s">
        <v>150</v>
      </c>
      <c r="E8577" s="39" t="s">
        <v>151</v>
      </c>
      <c r="F8577" s="39" t="s">
        <v>109</v>
      </c>
      <c r="J8577" s="25" t="s">
        <v>152</v>
      </c>
      <c r="K8577" s="25" t="s">
        <v>153</v>
      </c>
      <c r="L8577" s="25" t="s">
        <v>154</v>
      </c>
      <c r="M8577" s="25" t="s">
        <v>155</v>
      </c>
      <c r="N8577" s="25" t="s">
        <v>156</v>
      </c>
      <c r="O8577" s="25" t="s">
        <v>157</v>
      </c>
    </row>
    <row r="8578" customFormat="false" ht="16.5" hidden="false" customHeight="true" outlineLevel="0" collapsed="false">
      <c r="B8578" s="40" t="str">
        <f aca="false">IFERROR(INDEX($J$8578:$J$8581,MATCH($O8578,$N$8578:$N$8581,0)),"")</f>
        <v/>
      </c>
      <c r="C8578" s="41" t="str">
        <f aca="false">IFERROR(INDEX($K$8578:$K$8581,MATCH($O8578,$N$8578:$N$8581,0)),"")</f>
        <v/>
      </c>
      <c r="D8578" s="42" t="str">
        <f aca="false">IF(OR(E8578="",N(C8578)=0),"",E8578/C8578-1)</f>
        <v/>
      </c>
      <c r="E8578" s="41" t="str">
        <f aca="false">IFERROR(INDEX($L$8578:$L$8581,MATCH($O8578,$N$8578:$N$8581,0)),"")</f>
        <v/>
      </c>
      <c r="F8578" s="41" t="str">
        <f aca="false">IF(E8578="","",E8578-C8578)</f>
        <v/>
      </c>
      <c r="J8578" s="25" t="str">
        <f aca="false">Lib_Compta</f>
        <v>Mission comptable (tenue, révision, bilan, liasse fiscale)</v>
      </c>
      <c r="K8578" s="25" t="n">
        <f aca="false">IF($K$8551=0,0,N(INDEX(Clients!$K$2:$K$501,$K$8551)))</f>
        <v>0</v>
      </c>
      <c r="L8578" s="25" t="n">
        <f aca="false">IF($K$8551=0,0,N(INDEX(Clients!$P$2:$P$501,$K$8551)))</f>
        <v>0</v>
      </c>
      <c r="M8578" s="25" t="n">
        <f aca="false">IF(OR(K8578&lt;&gt;0,L8578&lt;&gt;0),1,0)</f>
        <v>0</v>
      </c>
      <c r="N8578" s="25" t="str">
        <f aca="false">IF(M8578=1,SUM($M$8578:M8578),"")</f>
        <v/>
      </c>
      <c r="O8578" s="25" t="n">
        <v>1</v>
      </c>
    </row>
    <row r="8579" customFormat="false" ht="16.5" hidden="false" customHeight="true" outlineLevel="0" collapsed="false">
      <c r="B8579" s="40" t="str">
        <f aca="false">IFERROR(INDEX($J$8578:$J$8581,MATCH($O8579,$N$8578:$N$8581,0)),"")</f>
        <v/>
      </c>
      <c r="C8579" s="41" t="str">
        <f aca="false">IFERROR(INDEX($K$8578:$K$8581,MATCH($O8579,$N$8578:$N$8581,0)),"")</f>
        <v/>
      </c>
      <c r="D8579" s="42" t="str">
        <f aca="false">IF(OR(E8579="",N(C8579)=0),"",E8579/C8579-1)</f>
        <v/>
      </c>
      <c r="E8579" s="41" t="str">
        <f aca="false">IFERROR(INDEX($L$8578:$L$8581,MATCH($O8579,$N$8578:$N$8581,0)),"")</f>
        <v/>
      </c>
      <c r="F8579" s="41" t="str">
        <f aca="false">IF(E8579="","",E8579-C8579)</f>
        <v/>
      </c>
      <c r="J8579" s="25" t="str">
        <f aca="false">Lib_Paye</f>
        <v>Mission sociale (bulletins de paie, DSN, déclarations sociales)</v>
      </c>
      <c r="K8579" s="25" t="n">
        <f aca="false">IF($K$8551=0,0,N(INDEX(Clients!$L$2:$L$501,$K$8551)))</f>
        <v>0</v>
      </c>
      <c r="L8579" s="25" t="n">
        <f aca="false">IF($K$8551=0,0,N(INDEX(Clients!$Q$2:$Q$501,$K$8551)))</f>
        <v>0</v>
      </c>
      <c r="M8579" s="25" t="n">
        <f aca="false">IF(OR(K8579&lt;&gt;0,L8579&lt;&gt;0),1,0)</f>
        <v>0</v>
      </c>
      <c r="N8579" s="25" t="str">
        <f aca="false">IF(M8579=1,SUM($M$8578:M8579),"")</f>
        <v/>
      </c>
      <c r="O8579" s="25" t="n">
        <v>2</v>
      </c>
    </row>
    <row r="8580" customFormat="false" ht="16.5" hidden="false" customHeight="true" outlineLevel="0" collapsed="false">
      <c r="B8580" s="40" t="str">
        <f aca="false">IFERROR(INDEX($J$8578:$J$8581,MATCH($O8580,$N$8578:$N$8581,0)),"")</f>
        <v/>
      </c>
      <c r="C8580" s="41" t="str">
        <f aca="false">IFERROR(INDEX($K$8578:$K$8581,MATCH($O8580,$N$8578:$N$8581,0)),"")</f>
        <v/>
      </c>
      <c r="D8580" s="42" t="str">
        <f aca="false">IF(OR(E8580="",N(C8580)=0),"",E8580/C8580-1)</f>
        <v/>
      </c>
      <c r="E8580" s="41" t="str">
        <f aca="false">IFERROR(INDEX($L$8578:$L$8581,MATCH($O8580,$N$8578:$N$8581,0)),"")</f>
        <v/>
      </c>
      <c r="F8580" s="41" t="str">
        <f aca="false">IF(E8580="","",E8580-C8580)</f>
        <v/>
      </c>
      <c r="J8580" s="25" t="str">
        <f aca="false">Lib_Jur</f>
        <v>Mission juridique (approbation des comptes, secrétariat juridique)</v>
      </c>
      <c r="K8580" s="25" t="n">
        <f aca="false">IF($K$8551=0,0,N(INDEX(Clients!$M$2:$M$501,$K$8551)))</f>
        <v>0</v>
      </c>
      <c r="L8580" s="25" t="n">
        <f aca="false">IF($K$8551=0,0,N(INDEX(Clients!$R$2:$R$501,$K$8551)))</f>
        <v>0</v>
      </c>
      <c r="M8580" s="25" t="n">
        <f aca="false">IF(OR(K8580&lt;&gt;0,L8580&lt;&gt;0),1,0)</f>
        <v>0</v>
      </c>
      <c r="N8580" s="25" t="str">
        <f aca="false">IF(M8580=1,SUM($M$8578:M8580),"")</f>
        <v/>
      </c>
      <c r="O8580" s="25" t="n">
        <v>3</v>
      </c>
    </row>
    <row r="8581" customFormat="false" ht="16.5" hidden="false" customHeight="true" outlineLevel="0" collapsed="false">
      <c r="B8581" s="40" t="str">
        <f aca="false">IFERROR(INDEX($J$8578:$J$8581,MATCH($O8581,$N$8578:$N$8581,0)),"")</f>
        <v/>
      </c>
      <c r="C8581" s="41" t="str">
        <f aca="false">IFERROR(INDEX($K$8578:$K$8581,MATCH($O8581,$N$8578:$N$8581,0)),"")</f>
        <v/>
      </c>
      <c r="D8581" s="42" t="str">
        <f aca="false">IF(OR(E8581="",N(C8581)=0),"",E8581/C8581-1)</f>
        <v/>
      </c>
      <c r="E8581" s="41" t="str">
        <f aca="false">IFERROR(INDEX($L$8578:$L$8581,MATCH($O8581,$N$8578:$N$8581,0)),"")</f>
        <v/>
      </c>
      <c r="F8581" s="41" t="str">
        <f aca="false">IF(E8581="","",E8581-C8581)</f>
        <v/>
      </c>
      <c r="J8581" s="25" t="str">
        <f aca="false">Lib_PA</f>
        <v>Plateforme agréée – facturation électronique</v>
      </c>
      <c r="K8581" s="25" t="n">
        <f aca="false">IF($K$8551=0,0,N(INDEX(Clients!$N$2:$N$501,$K$8551)))</f>
        <v>0</v>
      </c>
      <c r="L8581" s="25" t="n">
        <f aca="false">IF($K$8551=0,0,N(INDEX(Clients!$S$2:$S$501,$K$8551)))</f>
        <v>0</v>
      </c>
      <c r="M8581" s="25" t="n">
        <f aca="false">IF(OR(K8581&lt;&gt;0,L8581&lt;&gt;0),1,0)</f>
        <v>0</v>
      </c>
      <c r="N8581" s="25" t="str">
        <f aca="false">IF(M8581=1,SUM($M$8578:M8581),"")</f>
        <v/>
      </c>
      <c r="O8581" s="25" t="n">
        <v>4</v>
      </c>
    </row>
    <row r="8582" customFormat="false" ht="18" hidden="false" customHeight="true" outlineLevel="0" collapsed="false">
      <c r="B8582" s="43" t="s">
        <v>158</v>
      </c>
      <c r="C8582" s="44" t="n">
        <f aca="false">SUM(K8578:K8581)</f>
        <v>0</v>
      </c>
      <c r="D8582" s="45" t="str">
        <f aca="false">IF(N(C8582)=0,"",E8582/C8582-1)</f>
        <v/>
      </c>
      <c r="E8582" s="44" t="n">
        <f aca="false">SUM(L8578:L8581)</f>
        <v>0</v>
      </c>
      <c r="F8582" s="44" t="n">
        <f aca="false">E8582-C8582</f>
        <v>0</v>
      </c>
    </row>
    <row r="8583" customFormat="false" ht="15" hidden="false" customHeight="false" outlineLevel="0" collapsed="false">
      <c r="B8583" s="46" t="str">
        <f aca="false">IF(N(Nb_Mensualites)=0,"","Soit "&amp;FIXED(E8582/Nb_Mensualites,2)&amp;" € HT par échéance ("&amp;Nb_Mensualites&amp;" échéances), "&amp;FIXED(E8582/Nb_Mensualites*(1+Taux_TVA),2)&amp;" € TTC.")</f>
        <v>Soit 0.00 € HT par échéance (12 échéances), 0.00 € TTC.</v>
      </c>
      <c r="C8583" s="46"/>
      <c r="D8583" s="46"/>
      <c r="E8583" s="46"/>
      <c r="F8583" s="46"/>
    </row>
    <row r="8584" customFormat="false" ht="7.5" hidden="false" customHeight="true" outlineLevel="0" collapsed="false">
      <c r="B8584" s="10"/>
      <c r="C8584" s="10"/>
      <c r="D8584" s="10"/>
      <c r="E8584" s="10"/>
      <c r="F8584" s="10"/>
    </row>
    <row r="8585" customFormat="false" ht="36.75" hidden="false" customHeight="true" outlineLevel="0" collapsed="false">
      <c r="B8585" s="37" t="str">
        <f aca="false">SUBSTITUTE(SUBSTITUTE(SUBSTITUTE(SUBSTITUTE(SUBSTITUTE(Txt_P5,"{cabinet}",Cab_Nom),"{societe}",IF($K$8551=0,"",INDEX(Clients!$E$2:$E$501,$K$8551)&amp;"")),"{date_effet}",$K$8553),"{hausse}",$K$8554),"{civilite}",$K$8552)</f>
        <v>Les autres conditions de votre lettre de mission demeurent inchangées. Les nouveaux montants seront appliqués automatiquement sur vos prochaines factures et échéances de prélèvement.</v>
      </c>
      <c r="C8585" s="37"/>
      <c r="D8585" s="37"/>
      <c r="E8585" s="37"/>
      <c r="F8585" s="37"/>
    </row>
    <row r="8586" customFormat="false" ht="36.75" hidden="false" customHeight="true" outlineLevel="0" collapsed="false">
      <c r="B8586" s="37" t="str">
        <f aca="false">SUBSTITUTE(SUBSTITUTE(SUBSTITUTE(SUBSTITUTE(SUBSTITUTE(Txt_P6,"{cabinet}",Cab_Nom),"{societe}",IF($K$8551=0,"",INDEX(Clients!$E$2:$E$501,$K$8551)&amp;"")),"{date_effet}",$K$8553),"{hausse}",$K$8554),"{civilite}",$K$8552)</f>
        <v>Votre interlocuteur habituel reste à votre entière disposition pour répondre à vos questions et faire le point sur l'évolution de vos besoins.</v>
      </c>
      <c r="C8586" s="37"/>
      <c r="D8586" s="37"/>
      <c r="E8586" s="37"/>
      <c r="F8586" s="37"/>
    </row>
    <row r="8587" customFormat="false" ht="24" hidden="false" customHeight="true" outlineLevel="0" collapsed="false">
      <c r="B8587" s="37" t="str">
        <f aca="false">SUBSTITUTE(SUBSTITUTE(SUBSTITUTE(SUBSTITUTE(SUBSTITUTE(Txt_Politesse,"{cabinet}",Cab_Nom),"{societe}",IF($K$8551=0,"",INDEX(Clients!$E$2:$E$501,$K$8551)&amp;"")),"{date_effet}",$K$8553),"{hausse}",$K$8554),"{civilite}",$K$8552)</f>
        <v>Nous vous prions d'agréer, Madame, Monsieur, l'expression de nos salutations distinguées.</v>
      </c>
      <c r="C8587" s="37"/>
      <c r="D8587" s="37"/>
      <c r="E8587" s="37"/>
      <c r="F8587" s="37"/>
    </row>
    <row r="8588" customFormat="false" ht="15" hidden="false" customHeight="false" outlineLevel="0" collapsed="false">
      <c r="B8588" s="10"/>
      <c r="C8588" s="10"/>
      <c r="D8588" s="10"/>
      <c r="E8588" s="10"/>
      <c r="F8588" s="10"/>
    </row>
    <row r="8589" customFormat="false" ht="15" hidden="false" customHeight="false" outlineLevel="0" collapsed="false">
      <c r="B8589" s="10"/>
      <c r="C8589" s="10"/>
      <c r="D8589" s="34" t="str">
        <f aca="false">Signataire</f>
        <v>Prénom NOM</v>
      </c>
      <c r="E8589" s="34"/>
      <c r="F8589" s="34"/>
    </row>
    <row r="8590" customFormat="false" ht="15" hidden="false" customHeight="false" outlineLevel="0" collapsed="false">
      <c r="B8590" s="10"/>
      <c r="C8590" s="10"/>
      <c r="D8590" s="47" t="str">
        <f aca="false">Signataire_Titre</f>
        <v>Expert-comptable associé</v>
      </c>
      <c r="E8590" s="47"/>
      <c r="F8590" s="47"/>
    </row>
    <row r="8591" customFormat="false" ht="15.75" hidden="false" customHeight="true" outlineLevel="0" collapsed="false">
      <c r="B8591" s="10"/>
      <c r="C8591" s="10"/>
      <c r="D8591" s="10"/>
      <c r="E8591" s="10"/>
      <c r="F8591" s="10"/>
    </row>
    <row r="8592" customFormat="false" ht="15.75" hidden="false" customHeight="true" outlineLevel="0" collapsed="false">
      <c r="B8592" s="10"/>
      <c r="C8592" s="10"/>
      <c r="D8592" s="10"/>
      <c r="E8592" s="10"/>
      <c r="F8592" s="10"/>
    </row>
    <row r="8593" customFormat="false" ht="15.75" hidden="false" customHeight="true" outlineLevel="0" collapsed="false">
      <c r="B8593" s="10"/>
      <c r="C8593" s="10"/>
      <c r="D8593" s="10"/>
      <c r="E8593" s="10"/>
      <c r="F8593" s="10"/>
    </row>
    <row r="8594" customFormat="false" ht="15.75" hidden="false" customHeight="true" outlineLevel="0" collapsed="false">
      <c r="B8594" s="10"/>
      <c r="C8594" s="10"/>
      <c r="D8594" s="10"/>
      <c r="E8594" s="10"/>
      <c r="F8594" s="10"/>
    </row>
    <row r="8595" customFormat="false" ht="24" hidden="false" customHeight="true" outlineLevel="0" collapsed="false">
      <c r="B8595" s="48" t="str">
        <f aca="false">Cab_Mentions</f>
        <v>ALTHO EXPERTISE · SAS au capital de 10 000 € · RCS Pontoise 919 706 325 · TVA FR62919706325 · Société d'expertise comptable inscrite au Tableau de l'Ordre des experts-comptables de Paris Île-de-France</v>
      </c>
      <c r="C8595" s="48"/>
      <c r="D8595" s="48"/>
      <c r="E8595" s="48"/>
      <c r="F8595" s="48"/>
    </row>
    <row r="8596" customFormat="false" ht="15" hidden="false" customHeight="false" outlineLevel="0" collapsed="false">
      <c r="B8596" s="10"/>
      <c r="C8596" s="10"/>
      <c r="D8596" s="10"/>
      <c r="E8596" s="10"/>
      <c r="F8596" s="10"/>
      <c r="J8596" s="25" t="s">
        <v>142</v>
      </c>
      <c r="K8596" s="25" t="n">
        <f aca="false">IFERROR(MATCH(192,Clients!$Z$2:$Z$501,0),0)</f>
        <v>0</v>
      </c>
      <c r="L8596" s="25"/>
      <c r="M8596" s="25"/>
      <c r="N8596" s="25"/>
      <c r="O8596" s="25"/>
    </row>
    <row r="8597" customFormat="false" ht="21.75" hidden="false" customHeight="true" outlineLevel="0" collapsed="false">
      <c r="B8597" s="26" t="str">
        <f aca="false">Cab_Nom</f>
        <v>ALTHO EXPERTISE</v>
      </c>
      <c r="C8597" s="26"/>
      <c r="D8597" s="10"/>
      <c r="E8597" s="27" t="str">
        <f aca="false">IF($K$8596=0,"","Réf. client : "&amp;INDEX(Clients!$A$2:$A$501,$K$8596))</f>
        <v/>
      </c>
      <c r="F8597" s="27"/>
      <c r="J8597" s="25" t="s">
        <v>144</v>
      </c>
      <c r="K8597" s="25" t="str">
        <f aca="false">IF(IF($K$8596=0,"",INDEX(Clients!$B$2:$B$501,$K$8596)&amp;"")="Mme","Madame",IF(IF($K$8596=0,"",INDEX(Clients!$B$2:$B$501,$K$8596)&amp;"")="M.","Monsieur","Madame, Monsieur"))</f>
        <v>Madame, Monsieur</v>
      </c>
      <c r="L8597" s="25"/>
      <c r="M8597" s="25"/>
      <c r="N8597" s="25"/>
      <c r="O8597" s="25"/>
    </row>
    <row r="8598" customFormat="false" ht="15" hidden="false" customHeight="false" outlineLevel="0" collapsed="false">
      <c r="B8598" s="29" t="str">
        <f aca="false">Cab_Adr1</f>
        <v>141 rue Charles de Gaulle</v>
      </c>
      <c r="C8598" s="29"/>
      <c r="D8598" s="10"/>
      <c r="E8598" s="10"/>
      <c r="F8598" s="10"/>
      <c r="J8598" s="25" t="s">
        <v>145</v>
      </c>
      <c r="K8598" s="25" t="str">
        <f aca="false">DAY(Date_Effet)&amp;IF(DAY(Date_Effet)=1,"er","")&amp;" "&amp;INDEX(Liste_Mois,MONTH(Date_Effet))&amp;" "&amp;YEAR(Date_Effet)</f>
        <v>1er janvier 2027</v>
      </c>
      <c r="L8598" s="25"/>
      <c r="M8598" s="25"/>
      <c r="N8598" s="25"/>
      <c r="O8598" s="25"/>
    </row>
    <row r="8599" customFormat="false" ht="15" hidden="false" customHeight="false" outlineLevel="0" collapsed="false">
      <c r="B8599" s="29" t="str">
        <f aca="false">Cab_CPVille</f>
        <v>95130 LE PLESSIS-BOUCHARD</v>
      </c>
      <c r="C8599" s="29"/>
      <c r="D8599" s="10"/>
      <c r="E8599" s="10"/>
      <c r="F8599" s="10"/>
      <c r="J8599" s="25" t="s">
        <v>146</v>
      </c>
      <c r="K8599" s="25" t="str">
        <f aca="false">IF(SUM($K$8623:$K$8626)=0,"",FIXED((SUM($L$8623:$L$8626)/SUM($K$8623:$K$8626)-1)*100,1)&amp;" %")</f>
        <v/>
      </c>
      <c r="L8599" s="25"/>
      <c r="M8599" s="25"/>
      <c r="N8599" s="25"/>
      <c r="O8599" s="25"/>
    </row>
    <row r="8600" customFormat="false" ht="15" hidden="false" customHeight="false" outlineLevel="0" collapsed="false">
      <c r="B8600" s="29" t="str">
        <f aca="false">Cab_Contact</f>
        <v>Tél. 01 34 14 53 45  ·  altho@altho-experts.com  ·  altho-experts.com</v>
      </c>
      <c r="C8600" s="29"/>
      <c r="D8600" s="10"/>
      <c r="E8600" s="10"/>
      <c r="F8600" s="10"/>
      <c r="J8600" s="25"/>
      <c r="K8600" s="25"/>
      <c r="L8600" s="25"/>
      <c r="M8600" s="25"/>
      <c r="N8600" s="25"/>
      <c r="O8600" s="25"/>
    </row>
    <row r="8601" customFormat="false" ht="6" hidden="false" customHeight="true" outlineLevel="0" collapsed="false">
      <c r="B8601" s="32"/>
      <c r="C8601" s="32"/>
      <c r="D8601" s="32"/>
      <c r="E8601" s="32"/>
      <c r="F8601" s="32"/>
      <c r="J8601" s="25"/>
      <c r="K8601" s="25"/>
      <c r="L8601" s="25"/>
      <c r="M8601" s="25"/>
      <c r="N8601" s="25"/>
      <c r="O8601" s="25"/>
    </row>
    <row r="8602" customFormat="false" ht="13.5" hidden="false" customHeight="true" outlineLevel="0" collapsed="false">
      <c r="B8602" s="10"/>
      <c r="C8602" s="10"/>
      <c r="D8602" s="10"/>
      <c r="E8602" s="10"/>
      <c r="F8602" s="10"/>
      <c r="J8602" s="25"/>
      <c r="K8602" s="25"/>
      <c r="L8602" s="25"/>
      <c r="M8602" s="25"/>
      <c r="N8602" s="25"/>
      <c r="O8602" s="25"/>
    </row>
    <row r="8603" customFormat="false" ht="13.5" hidden="false" customHeight="true" outlineLevel="0" collapsed="false">
      <c r="B8603" s="10"/>
      <c r="C8603" s="10"/>
      <c r="D8603" s="10"/>
      <c r="E8603" s="10"/>
      <c r="F8603" s="10"/>
      <c r="J8603" s="25"/>
      <c r="K8603" s="25"/>
      <c r="L8603" s="25"/>
      <c r="M8603" s="25"/>
      <c r="N8603" s="25"/>
      <c r="O8603" s="25"/>
    </row>
    <row r="8604" customFormat="false" ht="13.5" hidden="false" customHeight="true" outlineLevel="0" collapsed="false">
      <c r="B8604" s="10"/>
      <c r="C8604" s="10"/>
      <c r="D8604" s="10"/>
      <c r="E8604" s="10"/>
      <c r="F8604" s="10"/>
      <c r="J8604" s="25"/>
      <c r="K8604" s="25"/>
      <c r="L8604" s="25"/>
      <c r="M8604" s="25"/>
      <c r="N8604" s="25"/>
      <c r="O8604" s="25"/>
    </row>
    <row r="8605" customFormat="false" ht="15" hidden="false" customHeight="true" outlineLevel="0" collapsed="false">
      <c r="B8605" s="10"/>
      <c r="C8605" s="10"/>
      <c r="D8605" s="34" t="str">
        <f aca="false">IF($K$8596=0,"",INDEX(Clients!$E$2:$E$501,$K$8596)&amp;"")</f>
        <v/>
      </c>
      <c r="E8605" s="34"/>
      <c r="F8605" s="34"/>
      <c r="J8605" s="25"/>
      <c r="K8605" s="25"/>
      <c r="L8605" s="25"/>
      <c r="M8605" s="25"/>
      <c r="N8605" s="25"/>
      <c r="O8605" s="25"/>
    </row>
    <row r="8606" customFormat="false" ht="15" hidden="false" customHeight="true" outlineLevel="0" collapsed="false">
      <c r="B8606" s="10"/>
      <c r="C8606" s="10"/>
      <c r="D8606" s="35" t="str">
        <f aca="false">IF(IF($K$8596=0,"",INDEX(Clients!$D$2:$D$501,$K$8596)&amp;"")="","","À l'attention de "&amp;TRIM(IF($K$8596=0,"",INDEX(Clients!$B$2:$B$501,$K$8596)&amp;"")&amp;" "&amp;IF($K$8596=0,"",INDEX(Clients!$C$2:$C$501,$K$8596)&amp;"")&amp;" "&amp;IF($K$8596=0,"",INDEX(Clients!$D$2:$D$501,$K$8596)&amp;"")))</f>
        <v/>
      </c>
      <c r="E8606" s="35"/>
      <c r="F8606" s="35"/>
      <c r="J8606" s="25"/>
      <c r="K8606" s="25"/>
      <c r="L8606" s="25"/>
      <c r="M8606" s="25"/>
      <c r="N8606" s="25"/>
      <c r="O8606" s="25"/>
    </row>
    <row r="8607" customFormat="false" ht="15" hidden="false" customHeight="true" outlineLevel="0" collapsed="false">
      <c r="B8607" s="10"/>
      <c r="C8607" s="10"/>
      <c r="D8607" s="35" t="str">
        <f aca="false">IF($K$8596=0,"",INDEX(Clients!$F$2:$F$501,$K$8596)&amp;"")</f>
        <v/>
      </c>
      <c r="E8607" s="35"/>
      <c r="F8607" s="35"/>
      <c r="J8607" s="25"/>
      <c r="K8607" s="25"/>
      <c r="L8607" s="25"/>
      <c r="M8607" s="25"/>
      <c r="N8607" s="25"/>
      <c r="O8607" s="25"/>
    </row>
    <row r="8608" customFormat="false" ht="15" hidden="false" customHeight="true" outlineLevel="0" collapsed="false">
      <c r="B8608" s="10"/>
      <c r="C8608" s="10"/>
      <c r="D8608" s="35" t="str">
        <f aca="false">IF(IF($K$8596=0,"",INDEX(Clients!$G$2:$G$501,$K$8596)&amp;"")="",TRIM(IF($K$8596=0,"",INDEX(Clients!$H$2:$H$501,$K$8596)&amp;"")&amp;" "&amp;UPPER(IF($K$8596=0,"",INDEX(Clients!$I$2:$I$501,$K$8596)&amp;""))),IF($K$8596=0,"",INDEX(Clients!$G$2:$G$501,$K$8596)&amp;""))</f>
        <v/>
      </c>
      <c r="E8608" s="35"/>
      <c r="F8608" s="35"/>
      <c r="J8608" s="25"/>
      <c r="K8608" s="25"/>
      <c r="L8608" s="25"/>
      <c r="M8608" s="25"/>
      <c r="N8608" s="25"/>
      <c r="O8608" s="25"/>
    </row>
    <row r="8609" customFormat="false" ht="15" hidden="false" customHeight="true" outlineLevel="0" collapsed="false">
      <c r="B8609" s="10"/>
      <c r="C8609" s="10"/>
      <c r="D8609" s="35" t="str">
        <f aca="false">IF(IF($K$8596=0,"",INDEX(Clients!$G$2:$G$501,$K$8596)&amp;"")="","",TRIM(IF($K$8596=0,"",INDEX(Clients!$H$2:$H$501,$K$8596)&amp;"")&amp;" "&amp;UPPER(IF($K$8596=0,"",INDEX(Clients!$I$2:$I$501,$K$8596)&amp;""))))</f>
        <v/>
      </c>
      <c r="E8609" s="35"/>
      <c r="F8609" s="35"/>
      <c r="J8609" s="25"/>
      <c r="K8609" s="25"/>
      <c r="L8609" s="25"/>
      <c r="M8609" s="25"/>
      <c r="N8609" s="25"/>
      <c r="O8609" s="25"/>
    </row>
    <row r="8610" customFormat="false" ht="25.5" hidden="false" customHeight="true" outlineLevel="0" collapsed="false">
      <c r="B8610" s="10"/>
      <c r="C8610" s="10"/>
      <c r="D8610" s="10"/>
      <c r="E8610" s="10"/>
      <c r="F8610" s="10"/>
      <c r="J8610" s="25"/>
      <c r="K8610" s="25"/>
      <c r="L8610" s="25"/>
      <c r="M8610" s="25"/>
      <c r="N8610" s="25"/>
      <c r="O8610" s="25"/>
    </row>
    <row r="8611" customFormat="false" ht="15" hidden="false" customHeight="false" outlineLevel="0" collapsed="false">
      <c r="B8611" s="10"/>
      <c r="C8611" s="10"/>
      <c r="D8611" s="36" t="str">
        <f aca="false">Cab_Ville&amp;", le "&amp;DAY(Date_Courrier)&amp;IF(DAY(Date_Courrier)=1,"er","")&amp;" "&amp;INDEX(Liste_Mois,MONTH(Date_Courrier))&amp;" "&amp;YEAR(Date_Courrier)</f>
        <v>Le Plessis-Bouchard, le 22 septembre 2026</v>
      </c>
      <c r="E8611" s="36"/>
      <c r="F8611" s="36"/>
      <c r="J8611" s="25"/>
      <c r="K8611" s="25"/>
      <c r="L8611" s="25"/>
      <c r="M8611" s="25"/>
      <c r="N8611" s="25"/>
      <c r="O8611" s="25"/>
    </row>
    <row r="8612" customFormat="false" ht="19.5" hidden="false" customHeight="true" outlineLevel="0" collapsed="false">
      <c r="B8612" s="10"/>
      <c r="C8612" s="10"/>
      <c r="D8612" s="10"/>
      <c r="E8612" s="10"/>
      <c r="F8612" s="10"/>
      <c r="J8612" s="25"/>
      <c r="K8612" s="25"/>
      <c r="L8612" s="25"/>
      <c r="M8612" s="25"/>
      <c r="N8612" s="25"/>
      <c r="O8612" s="25"/>
    </row>
    <row r="8613" customFormat="false" ht="15" hidden="false" customHeight="false" outlineLevel="0" collapsed="false">
      <c r="B8613" s="34" t="str">
        <f aca="false">SUBSTITUTE(SUBSTITUTE(SUBSTITUTE(SUBSTITUTE(SUBSTITUTE(Txt_Objet,"{cabinet}",Cab_Nom),"{societe}",IF($K$8596=0,"",INDEX(Clients!$E$2:$E$501,$K$8596)&amp;"")),"{date_effet}",$K$8598),"{hausse}",$K$8599),"{civilite}",$K$8597)</f>
        <v>Objet : révision de nos honoraires au 1er janvier 2027</v>
      </c>
      <c r="C8613" s="34"/>
      <c r="D8613" s="34"/>
      <c r="E8613" s="34"/>
      <c r="F8613" s="34"/>
      <c r="J8613" s="25"/>
      <c r="K8613" s="25"/>
      <c r="L8613" s="25"/>
      <c r="M8613" s="25"/>
      <c r="N8613" s="25"/>
      <c r="O8613" s="25"/>
    </row>
    <row r="8614" customFormat="false" ht="13.5" hidden="false" customHeight="true" outlineLevel="0" collapsed="false">
      <c r="B8614" s="10"/>
      <c r="C8614" s="10"/>
      <c r="D8614" s="10"/>
      <c r="E8614" s="10"/>
      <c r="F8614" s="10"/>
      <c r="J8614" s="25"/>
      <c r="K8614" s="25"/>
      <c r="L8614" s="25"/>
      <c r="M8614" s="25"/>
      <c r="N8614" s="25"/>
      <c r="O8614" s="25"/>
    </row>
    <row r="8615" customFormat="false" ht="15" hidden="false" customHeight="false" outlineLevel="0" collapsed="false">
      <c r="B8615" s="10" t="str">
        <f aca="false">$K$8597&amp;","</f>
        <v>Madame, Monsieur,</v>
      </c>
      <c r="C8615" s="10"/>
      <c r="D8615" s="10"/>
      <c r="E8615" s="10"/>
      <c r="F8615" s="10"/>
      <c r="J8615" s="25"/>
      <c r="K8615" s="25"/>
      <c r="L8615" s="25"/>
      <c r="M8615" s="25"/>
      <c r="N8615" s="25"/>
      <c r="O8615" s="25"/>
    </row>
    <row r="8616" customFormat="false" ht="6" hidden="false" customHeight="true" outlineLevel="0" collapsed="false">
      <c r="B8616" s="10"/>
      <c r="C8616" s="10"/>
      <c r="D8616" s="10"/>
      <c r="E8616" s="10"/>
      <c r="F8616" s="10"/>
      <c r="J8616" s="25"/>
      <c r="K8616" s="25"/>
      <c r="L8616" s="25"/>
      <c r="M8616" s="25"/>
      <c r="N8616" s="25"/>
      <c r="O8616" s="25"/>
    </row>
    <row r="8617" customFormat="false" ht="36.75" hidden="false" customHeight="true" outlineLevel="0" collapsed="false">
      <c r="B8617" s="37" t="str">
        <f aca="false">SUBSTITUTE(SUBSTITUTE(SUBSTITUTE(SUBSTITUTE(SUBSTITUTE(Txt_P1,"{cabinet}",Cab_Nom),"{societe}",IF($K$8596=0,"",INDEX(Clients!$E$2:$E$501,$K$8596)&amp;"")),"{date_effet}",$K$8598),"{hausse}",$K$8599),"{civilite}",$K$8597)</f>
        <v>Nous tenons tout d'abord à vous remercier pour la confiance que vous accordez à ALTHO EXPERTISE. Comme chaque année, et conformément aux dispositions de votre lettre de mission, nous procédons à la révision de nos honoraires.</v>
      </c>
      <c r="C8617" s="37"/>
      <c r="D8617" s="37"/>
      <c r="E8617" s="37"/>
      <c r="F8617" s="37"/>
      <c r="J8617" s="25"/>
      <c r="K8617" s="25"/>
      <c r="L8617" s="25"/>
      <c r="M8617" s="25"/>
      <c r="N8617" s="25"/>
      <c r="O8617" s="25"/>
    </row>
    <row r="8618" customFormat="false" ht="49.5" hidden="false" customHeight="true" outlineLevel="0" collapsed="false">
      <c r="B8618" s="37" t="str">
        <f aca="false">SUBSTITUTE(SUBSTITUTE(SUBSTITUTE(SUBSTITUTE(SUBSTITUTE(Txt_P2,"{cabinet}",Cab_Nom),"{societe}",IF($K$8596=0,"",INDEX(Clients!$E$2:$E$501,$K$8596)&amp;"")),"{date_effet}",$K$8598),"{hausse}",$K$8599),"{civilite}",$K$8597)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618" s="37"/>
      <c r="D8618" s="37"/>
      <c r="E8618" s="37"/>
      <c r="F8618" s="37"/>
      <c r="J8618" s="25"/>
      <c r="K8618" s="25"/>
      <c r="L8618" s="25"/>
      <c r="M8618" s="25"/>
      <c r="N8618" s="25"/>
      <c r="O8618" s="25"/>
    </row>
    <row r="8619" customFormat="false" ht="63" hidden="false" customHeight="true" outlineLevel="0" collapsed="false">
      <c r="B8619" s="37" t="str">
        <f aca="false">SUBSTITUTE(SUBSTITUTE(SUBSTITUTE(SUBSTITUTE(SUBSTITUTE(Txt_P3,"{cabinet}",Cab_Nom),"{societe}",IF($K$8596=0,"",INDEX(Clients!$E$2:$E$501,$K$8596)&amp;"")),"{date_effet}",$K$8598),"{hausse}",$K$8599),"{civilite}",$K$8597)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619" s="37"/>
      <c r="D8619" s="37"/>
      <c r="E8619" s="37"/>
      <c r="F8619" s="37"/>
      <c r="J8619" s="25"/>
      <c r="K8619" s="25"/>
      <c r="L8619" s="25"/>
      <c r="M8619" s="25"/>
      <c r="N8619" s="25"/>
      <c r="O8619" s="25"/>
    </row>
    <row r="8620" customFormat="false" ht="24" hidden="false" customHeight="true" outlineLevel="0" collapsed="false">
      <c r="B8620" s="37" t="str">
        <f aca="false">SUBSTITUTE(SUBSTITUTE(SUBSTITUTE(SUBSTITUTE(SUBSTITUTE(Txt_P4,"{cabinet}",Cab_Nom),"{societe}",IF($K$8596=0,"",INDEX(Clients!$E$2:$E$501,$K$8596)&amp;"")),"{date_effet}",$K$8598),"{hausse}",$K$8599),"{civilite}",$K$8597)</f>
        <v>À compter du 1er janvier 2027, vos honoraires annuels hors taxes évolueront ainsi (évolution globale : ) :</v>
      </c>
      <c r="C8620" s="37"/>
      <c r="D8620" s="37"/>
      <c r="E8620" s="37"/>
      <c r="F8620" s="37"/>
      <c r="J8620" s="25"/>
      <c r="K8620" s="25"/>
      <c r="L8620" s="25"/>
      <c r="M8620" s="25"/>
      <c r="N8620" s="25"/>
      <c r="O8620" s="25"/>
    </row>
    <row r="8621" customFormat="false" ht="3.75" hidden="false" customHeight="true" outlineLevel="0" collapsed="false">
      <c r="B8621" s="10"/>
      <c r="C8621" s="10"/>
      <c r="D8621" s="10"/>
      <c r="E8621" s="10"/>
      <c r="F8621" s="10"/>
      <c r="J8621" s="25"/>
      <c r="K8621" s="25"/>
      <c r="L8621" s="25"/>
      <c r="M8621" s="25"/>
      <c r="N8621" s="25"/>
      <c r="O8621" s="25"/>
    </row>
    <row r="8622" customFormat="false" ht="18" hidden="false" customHeight="true" outlineLevel="0" collapsed="false">
      <c r="B8622" s="38" t="s">
        <v>148</v>
      </c>
      <c r="C8622" s="39" t="s">
        <v>149</v>
      </c>
      <c r="D8622" s="39" t="s">
        <v>150</v>
      </c>
      <c r="E8622" s="39" t="s">
        <v>151</v>
      </c>
      <c r="F8622" s="39" t="s">
        <v>109</v>
      </c>
      <c r="J8622" s="25" t="s">
        <v>152</v>
      </c>
      <c r="K8622" s="25" t="s">
        <v>153</v>
      </c>
      <c r="L8622" s="25" t="s">
        <v>154</v>
      </c>
      <c r="M8622" s="25" t="s">
        <v>155</v>
      </c>
      <c r="N8622" s="25" t="s">
        <v>156</v>
      </c>
      <c r="O8622" s="25" t="s">
        <v>157</v>
      </c>
    </row>
    <row r="8623" customFormat="false" ht="16.5" hidden="false" customHeight="true" outlineLevel="0" collapsed="false">
      <c r="B8623" s="40" t="str">
        <f aca="false">IFERROR(INDEX($J$8623:$J$8626,MATCH($O8623,$N$8623:$N$8626,0)),"")</f>
        <v/>
      </c>
      <c r="C8623" s="41" t="str">
        <f aca="false">IFERROR(INDEX($K$8623:$K$8626,MATCH($O8623,$N$8623:$N$8626,0)),"")</f>
        <v/>
      </c>
      <c r="D8623" s="42" t="str">
        <f aca="false">IF(OR(E8623="",N(C8623)=0),"",E8623/C8623-1)</f>
        <v/>
      </c>
      <c r="E8623" s="41" t="str">
        <f aca="false">IFERROR(INDEX($L$8623:$L$8626,MATCH($O8623,$N$8623:$N$8626,0)),"")</f>
        <v/>
      </c>
      <c r="F8623" s="41" t="str">
        <f aca="false">IF(E8623="","",E8623-C8623)</f>
        <v/>
      </c>
      <c r="J8623" s="25" t="str">
        <f aca="false">Lib_Compta</f>
        <v>Mission comptable (tenue, révision, bilan, liasse fiscale)</v>
      </c>
      <c r="K8623" s="25" t="n">
        <f aca="false">IF($K$8596=0,0,N(INDEX(Clients!$K$2:$K$501,$K$8596)))</f>
        <v>0</v>
      </c>
      <c r="L8623" s="25" t="n">
        <f aca="false">IF($K$8596=0,0,N(INDEX(Clients!$P$2:$P$501,$K$8596)))</f>
        <v>0</v>
      </c>
      <c r="M8623" s="25" t="n">
        <f aca="false">IF(OR(K8623&lt;&gt;0,L8623&lt;&gt;0),1,0)</f>
        <v>0</v>
      </c>
      <c r="N8623" s="25" t="str">
        <f aca="false">IF(M8623=1,SUM($M$8623:M8623),"")</f>
        <v/>
      </c>
      <c r="O8623" s="25" t="n">
        <v>1</v>
      </c>
    </row>
    <row r="8624" customFormat="false" ht="16.5" hidden="false" customHeight="true" outlineLevel="0" collapsed="false">
      <c r="B8624" s="40" t="str">
        <f aca="false">IFERROR(INDEX($J$8623:$J$8626,MATCH($O8624,$N$8623:$N$8626,0)),"")</f>
        <v/>
      </c>
      <c r="C8624" s="41" t="str">
        <f aca="false">IFERROR(INDEX($K$8623:$K$8626,MATCH($O8624,$N$8623:$N$8626,0)),"")</f>
        <v/>
      </c>
      <c r="D8624" s="42" t="str">
        <f aca="false">IF(OR(E8624="",N(C8624)=0),"",E8624/C8624-1)</f>
        <v/>
      </c>
      <c r="E8624" s="41" t="str">
        <f aca="false">IFERROR(INDEX($L$8623:$L$8626,MATCH($O8624,$N$8623:$N$8626,0)),"")</f>
        <v/>
      </c>
      <c r="F8624" s="41" t="str">
        <f aca="false">IF(E8624="","",E8624-C8624)</f>
        <v/>
      </c>
      <c r="J8624" s="25" t="str">
        <f aca="false">Lib_Paye</f>
        <v>Mission sociale (bulletins de paie, DSN, déclarations sociales)</v>
      </c>
      <c r="K8624" s="25" t="n">
        <f aca="false">IF($K$8596=0,0,N(INDEX(Clients!$L$2:$L$501,$K$8596)))</f>
        <v>0</v>
      </c>
      <c r="L8624" s="25" t="n">
        <f aca="false">IF($K$8596=0,0,N(INDEX(Clients!$Q$2:$Q$501,$K$8596)))</f>
        <v>0</v>
      </c>
      <c r="M8624" s="25" t="n">
        <f aca="false">IF(OR(K8624&lt;&gt;0,L8624&lt;&gt;0),1,0)</f>
        <v>0</v>
      </c>
      <c r="N8624" s="25" t="str">
        <f aca="false">IF(M8624=1,SUM($M$8623:M8624),"")</f>
        <v/>
      </c>
      <c r="O8624" s="25" t="n">
        <v>2</v>
      </c>
    </row>
    <row r="8625" customFormat="false" ht="16.5" hidden="false" customHeight="true" outlineLevel="0" collapsed="false">
      <c r="B8625" s="40" t="str">
        <f aca="false">IFERROR(INDEX($J$8623:$J$8626,MATCH($O8625,$N$8623:$N$8626,0)),"")</f>
        <v/>
      </c>
      <c r="C8625" s="41" t="str">
        <f aca="false">IFERROR(INDEX($K$8623:$K$8626,MATCH($O8625,$N$8623:$N$8626,0)),"")</f>
        <v/>
      </c>
      <c r="D8625" s="42" t="str">
        <f aca="false">IF(OR(E8625="",N(C8625)=0),"",E8625/C8625-1)</f>
        <v/>
      </c>
      <c r="E8625" s="41" t="str">
        <f aca="false">IFERROR(INDEX($L$8623:$L$8626,MATCH($O8625,$N$8623:$N$8626,0)),"")</f>
        <v/>
      </c>
      <c r="F8625" s="41" t="str">
        <f aca="false">IF(E8625="","",E8625-C8625)</f>
        <v/>
      </c>
      <c r="J8625" s="25" t="str">
        <f aca="false">Lib_Jur</f>
        <v>Mission juridique (approbation des comptes, secrétariat juridique)</v>
      </c>
      <c r="K8625" s="25" t="n">
        <f aca="false">IF($K$8596=0,0,N(INDEX(Clients!$M$2:$M$501,$K$8596)))</f>
        <v>0</v>
      </c>
      <c r="L8625" s="25" t="n">
        <f aca="false">IF($K$8596=0,0,N(INDEX(Clients!$R$2:$R$501,$K$8596)))</f>
        <v>0</v>
      </c>
      <c r="M8625" s="25" t="n">
        <f aca="false">IF(OR(K8625&lt;&gt;0,L8625&lt;&gt;0),1,0)</f>
        <v>0</v>
      </c>
      <c r="N8625" s="25" t="str">
        <f aca="false">IF(M8625=1,SUM($M$8623:M8625),"")</f>
        <v/>
      </c>
      <c r="O8625" s="25" t="n">
        <v>3</v>
      </c>
    </row>
    <row r="8626" customFormat="false" ht="16.5" hidden="false" customHeight="true" outlineLevel="0" collapsed="false">
      <c r="B8626" s="40" t="str">
        <f aca="false">IFERROR(INDEX($J$8623:$J$8626,MATCH($O8626,$N$8623:$N$8626,0)),"")</f>
        <v/>
      </c>
      <c r="C8626" s="41" t="str">
        <f aca="false">IFERROR(INDEX($K$8623:$K$8626,MATCH($O8626,$N$8623:$N$8626,0)),"")</f>
        <v/>
      </c>
      <c r="D8626" s="42" t="str">
        <f aca="false">IF(OR(E8626="",N(C8626)=0),"",E8626/C8626-1)</f>
        <v/>
      </c>
      <c r="E8626" s="41" t="str">
        <f aca="false">IFERROR(INDEX($L$8623:$L$8626,MATCH($O8626,$N$8623:$N$8626,0)),"")</f>
        <v/>
      </c>
      <c r="F8626" s="41" t="str">
        <f aca="false">IF(E8626="","",E8626-C8626)</f>
        <v/>
      </c>
      <c r="J8626" s="25" t="str">
        <f aca="false">Lib_PA</f>
        <v>Plateforme agréée – facturation électronique</v>
      </c>
      <c r="K8626" s="25" t="n">
        <f aca="false">IF($K$8596=0,0,N(INDEX(Clients!$N$2:$N$501,$K$8596)))</f>
        <v>0</v>
      </c>
      <c r="L8626" s="25" t="n">
        <f aca="false">IF($K$8596=0,0,N(INDEX(Clients!$S$2:$S$501,$K$8596)))</f>
        <v>0</v>
      </c>
      <c r="M8626" s="25" t="n">
        <f aca="false">IF(OR(K8626&lt;&gt;0,L8626&lt;&gt;0),1,0)</f>
        <v>0</v>
      </c>
      <c r="N8626" s="25" t="str">
        <f aca="false">IF(M8626=1,SUM($M$8623:M8626),"")</f>
        <v/>
      </c>
      <c r="O8626" s="25" t="n">
        <v>4</v>
      </c>
    </row>
    <row r="8627" customFormat="false" ht="18" hidden="false" customHeight="true" outlineLevel="0" collapsed="false">
      <c r="B8627" s="43" t="s">
        <v>158</v>
      </c>
      <c r="C8627" s="44" t="n">
        <f aca="false">SUM(K8623:K8626)</f>
        <v>0</v>
      </c>
      <c r="D8627" s="45" t="str">
        <f aca="false">IF(N(C8627)=0,"",E8627/C8627-1)</f>
        <v/>
      </c>
      <c r="E8627" s="44" t="n">
        <f aca="false">SUM(L8623:L8626)</f>
        <v>0</v>
      </c>
      <c r="F8627" s="44" t="n">
        <f aca="false">E8627-C8627</f>
        <v>0</v>
      </c>
    </row>
    <row r="8628" customFormat="false" ht="15" hidden="false" customHeight="false" outlineLevel="0" collapsed="false">
      <c r="B8628" s="46" t="str">
        <f aca="false">IF(N(Nb_Mensualites)=0,"","Soit "&amp;FIXED(E8627/Nb_Mensualites,2)&amp;" € HT par échéance ("&amp;Nb_Mensualites&amp;" échéances), "&amp;FIXED(E8627/Nb_Mensualites*(1+Taux_TVA),2)&amp;" € TTC.")</f>
        <v>Soit 0.00 € HT par échéance (12 échéances), 0.00 € TTC.</v>
      </c>
      <c r="C8628" s="46"/>
      <c r="D8628" s="46"/>
      <c r="E8628" s="46"/>
      <c r="F8628" s="46"/>
    </row>
    <row r="8629" customFormat="false" ht="7.5" hidden="false" customHeight="true" outlineLevel="0" collapsed="false">
      <c r="B8629" s="10"/>
      <c r="C8629" s="10"/>
      <c r="D8629" s="10"/>
      <c r="E8629" s="10"/>
      <c r="F8629" s="10"/>
    </row>
    <row r="8630" customFormat="false" ht="36.75" hidden="false" customHeight="true" outlineLevel="0" collapsed="false">
      <c r="B8630" s="37" t="str">
        <f aca="false">SUBSTITUTE(SUBSTITUTE(SUBSTITUTE(SUBSTITUTE(SUBSTITUTE(Txt_P5,"{cabinet}",Cab_Nom),"{societe}",IF($K$8596=0,"",INDEX(Clients!$E$2:$E$501,$K$8596)&amp;"")),"{date_effet}",$K$8598),"{hausse}",$K$8599),"{civilite}",$K$8597)</f>
        <v>Les autres conditions de votre lettre de mission demeurent inchangées. Les nouveaux montants seront appliqués automatiquement sur vos prochaines factures et échéances de prélèvement.</v>
      </c>
      <c r="C8630" s="37"/>
      <c r="D8630" s="37"/>
      <c r="E8630" s="37"/>
      <c r="F8630" s="37"/>
    </row>
    <row r="8631" customFormat="false" ht="36.75" hidden="false" customHeight="true" outlineLevel="0" collapsed="false">
      <c r="B8631" s="37" t="str">
        <f aca="false">SUBSTITUTE(SUBSTITUTE(SUBSTITUTE(SUBSTITUTE(SUBSTITUTE(Txt_P6,"{cabinet}",Cab_Nom),"{societe}",IF($K$8596=0,"",INDEX(Clients!$E$2:$E$501,$K$8596)&amp;"")),"{date_effet}",$K$8598),"{hausse}",$K$8599),"{civilite}",$K$8597)</f>
        <v>Votre interlocuteur habituel reste à votre entière disposition pour répondre à vos questions et faire le point sur l'évolution de vos besoins.</v>
      </c>
      <c r="C8631" s="37"/>
      <c r="D8631" s="37"/>
      <c r="E8631" s="37"/>
      <c r="F8631" s="37"/>
    </row>
    <row r="8632" customFormat="false" ht="24" hidden="false" customHeight="true" outlineLevel="0" collapsed="false">
      <c r="B8632" s="37" t="str">
        <f aca="false">SUBSTITUTE(SUBSTITUTE(SUBSTITUTE(SUBSTITUTE(SUBSTITUTE(Txt_Politesse,"{cabinet}",Cab_Nom),"{societe}",IF($K$8596=0,"",INDEX(Clients!$E$2:$E$501,$K$8596)&amp;"")),"{date_effet}",$K$8598),"{hausse}",$K$8599),"{civilite}",$K$8597)</f>
        <v>Nous vous prions d'agréer, Madame, Monsieur, l'expression de nos salutations distinguées.</v>
      </c>
      <c r="C8632" s="37"/>
      <c r="D8632" s="37"/>
      <c r="E8632" s="37"/>
      <c r="F8632" s="37"/>
    </row>
    <row r="8633" customFormat="false" ht="15" hidden="false" customHeight="false" outlineLevel="0" collapsed="false">
      <c r="B8633" s="10"/>
      <c r="C8633" s="10"/>
      <c r="D8633" s="10"/>
      <c r="E8633" s="10"/>
      <c r="F8633" s="10"/>
    </row>
    <row r="8634" customFormat="false" ht="15" hidden="false" customHeight="false" outlineLevel="0" collapsed="false">
      <c r="B8634" s="10"/>
      <c r="C8634" s="10"/>
      <c r="D8634" s="34" t="str">
        <f aca="false">Signataire</f>
        <v>Prénom NOM</v>
      </c>
      <c r="E8634" s="34"/>
      <c r="F8634" s="34"/>
    </row>
    <row r="8635" customFormat="false" ht="15" hidden="false" customHeight="false" outlineLevel="0" collapsed="false">
      <c r="B8635" s="10"/>
      <c r="C8635" s="10"/>
      <c r="D8635" s="47" t="str">
        <f aca="false">Signataire_Titre</f>
        <v>Expert-comptable associé</v>
      </c>
      <c r="E8635" s="47"/>
      <c r="F8635" s="47"/>
    </row>
    <row r="8636" customFormat="false" ht="15.75" hidden="false" customHeight="true" outlineLevel="0" collapsed="false">
      <c r="B8636" s="10"/>
      <c r="C8636" s="10"/>
      <c r="D8636" s="10"/>
      <c r="E8636" s="10"/>
      <c r="F8636" s="10"/>
    </row>
    <row r="8637" customFormat="false" ht="15.75" hidden="false" customHeight="true" outlineLevel="0" collapsed="false">
      <c r="B8637" s="10"/>
      <c r="C8637" s="10"/>
      <c r="D8637" s="10"/>
      <c r="E8637" s="10"/>
      <c r="F8637" s="10"/>
    </row>
    <row r="8638" customFormat="false" ht="15.75" hidden="false" customHeight="true" outlineLevel="0" collapsed="false">
      <c r="B8638" s="10"/>
      <c r="C8638" s="10"/>
      <c r="D8638" s="10"/>
      <c r="E8638" s="10"/>
      <c r="F8638" s="10"/>
    </row>
    <row r="8639" customFormat="false" ht="15.75" hidden="false" customHeight="true" outlineLevel="0" collapsed="false">
      <c r="B8639" s="10"/>
      <c r="C8639" s="10"/>
      <c r="D8639" s="10"/>
      <c r="E8639" s="10"/>
      <c r="F8639" s="10"/>
    </row>
    <row r="8640" customFormat="false" ht="24" hidden="false" customHeight="true" outlineLevel="0" collapsed="false">
      <c r="B8640" s="48" t="str">
        <f aca="false">Cab_Mentions</f>
        <v>ALTHO EXPERTISE · SAS au capital de 10 000 € · RCS Pontoise 919 706 325 · TVA FR62919706325 · Société d'expertise comptable inscrite au Tableau de l'Ordre des experts-comptables de Paris Île-de-France</v>
      </c>
      <c r="C8640" s="48"/>
      <c r="D8640" s="48"/>
      <c r="E8640" s="48"/>
      <c r="F8640" s="48"/>
    </row>
    <row r="8641" customFormat="false" ht="15" hidden="false" customHeight="false" outlineLevel="0" collapsed="false">
      <c r="B8641" s="10"/>
      <c r="C8641" s="10"/>
      <c r="D8641" s="10"/>
      <c r="E8641" s="10"/>
      <c r="F8641" s="10"/>
      <c r="J8641" s="25" t="s">
        <v>142</v>
      </c>
      <c r="K8641" s="25" t="n">
        <f aca="false">IFERROR(MATCH(193,Clients!$Z$2:$Z$501,0),0)</f>
        <v>0</v>
      </c>
      <c r="L8641" s="25"/>
      <c r="M8641" s="25"/>
      <c r="N8641" s="25"/>
      <c r="O8641" s="25"/>
    </row>
    <row r="8642" customFormat="false" ht="21.75" hidden="false" customHeight="true" outlineLevel="0" collapsed="false">
      <c r="B8642" s="26" t="str">
        <f aca="false">Cab_Nom</f>
        <v>ALTHO EXPERTISE</v>
      </c>
      <c r="C8642" s="26"/>
      <c r="D8642" s="10"/>
      <c r="E8642" s="27" t="str">
        <f aca="false">IF($K$8641=0,"","Réf. client : "&amp;INDEX(Clients!$A$2:$A$501,$K$8641))</f>
        <v/>
      </c>
      <c r="F8642" s="27"/>
      <c r="J8642" s="25" t="s">
        <v>144</v>
      </c>
      <c r="K8642" s="25" t="str">
        <f aca="false">IF(IF($K$8641=0,"",INDEX(Clients!$B$2:$B$501,$K$8641)&amp;"")="Mme","Madame",IF(IF($K$8641=0,"",INDEX(Clients!$B$2:$B$501,$K$8641)&amp;"")="M.","Monsieur","Madame, Monsieur"))</f>
        <v>Madame, Monsieur</v>
      </c>
      <c r="L8642" s="25"/>
      <c r="M8642" s="25"/>
      <c r="N8642" s="25"/>
      <c r="O8642" s="25"/>
    </row>
    <row r="8643" customFormat="false" ht="15" hidden="false" customHeight="false" outlineLevel="0" collapsed="false">
      <c r="B8643" s="29" t="str">
        <f aca="false">Cab_Adr1</f>
        <v>141 rue Charles de Gaulle</v>
      </c>
      <c r="C8643" s="29"/>
      <c r="D8643" s="10"/>
      <c r="E8643" s="10"/>
      <c r="F8643" s="10"/>
      <c r="J8643" s="25" t="s">
        <v>145</v>
      </c>
      <c r="K8643" s="25" t="str">
        <f aca="false">DAY(Date_Effet)&amp;IF(DAY(Date_Effet)=1,"er","")&amp;" "&amp;INDEX(Liste_Mois,MONTH(Date_Effet))&amp;" "&amp;YEAR(Date_Effet)</f>
        <v>1er janvier 2027</v>
      </c>
      <c r="L8643" s="25"/>
      <c r="M8643" s="25"/>
      <c r="N8643" s="25"/>
      <c r="O8643" s="25"/>
    </row>
    <row r="8644" customFormat="false" ht="15" hidden="false" customHeight="false" outlineLevel="0" collapsed="false">
      <c r="B8644" s="29" t="str">
        <f aca="false">Cab_CPVille</f>
        <v>95130 LE PLESSIS-BOUCHARD</v>
      </c>
      <c r="C8644" s="29"/>
      <c r="D8644" s="10"/>
      <c r="E8644" s="10"/>
      <c r="F8644" s="10"/>
      <c r="J8644" s="25" t="s">
        <v>146</v>
      </c>
      <c r="K8644" s="25" t="str">
        <f aca="false">IF(SUM($K$8668:$K$8671)=0,"",FIXED((SUM($L$8668:$L$8671)/SUM($K$8668:$K$8671)-1)*100,1)&amp;" %")</f>
        <v/>
      </c>
      <c r="L8644" s="25"/>
      <c r="M8644" s="25"/>
      <c r="N8644" s="25"/>
      <c r="O8644" s="25"/>
    </row>
    <row r="8645" customFormat="false" ht="15" hidden="false" customHeight="false" outlineLevel="0" collapsed="false">
      <c r="B8645" s="29" t="str">
        <f aca="false">Cab_Contact</f>
        <v>Tél. 01 34 14 53 45  ·  altho@altho-experts.com  ·  altho-experts.com</v>
      </c>
      <c r="C8645" s="29"/>
      <c r="D8645" s="10"/>
      <c r="E8645" s="10"/>
      <c r="F8645" s="10"/>
      <c r="J8645" s="25"/>
      <c r="K8645" s="25"/>
      <c r="L8645" s="25"/>
      <c r="M8645" s="25"/>
      <c r="N8645" s="25"/>
      <c r="O8645" s="25"/>
    </row>
    <row r="8646" customFormat="false" ht="6" hidden="false" customHeight="true" outlineLevel="0" collapsed="false">
      <c r="B8646" s="32"/>
      <c r="C8646" s="32"/>
      <c r="D8646" s="32"/>
      <c r="E8646" s="32"/>
      <c r="F8646" s="32"/>
      <c r="J8646" s="25"/>
      <c r="K8646" s="25"/>
      <c r="L8646" s="25"/>
      <c r="M8646" s="25"/>
      <c r="N8646" s="25"/>
      <c r="O8646" s="25"/>
    </row>
    <row r="8647" customFormat="false" ht="13.5" hidden="false" customHeight="true" outlineLevel="0" collapsed="false">
      <c r="B8647" s="10"/>
      <c r="C8647" s="10"/>
      <c r="D8647" s="10"/>
      <c r="E8647" s="10"/>
      <c r="F8647" s="10"/>
      <c r="J8647" s="25"/>
      <c r="K8647" s="25"/>
      <c r="L8647" s="25"/>
      <c r="M8647" s="25"/>
      <c r="N8647" s="25"/>
      <c r="O8647" s="25"/>
    </row>
    <row r="8648" customFormat="false" ht="13.5" hidden="false" customHeight="true" outlineLevel="0" collapsed="false">
      <c r="B8648" s="10"/>
      <c r="C8648" s="10"/>
      <c r="D8648" s="10"/>
      <c r="E8648" s="10"/>
      <c r="F8648" s="10"/>
      <c r="J8648" s="25"/>
      <c r="K8648" s="25"/>
      <c r="L8648" s="25"/>
      <c r="M8648" s="25"/>
      <c r="N8648" s="25"/>
      <c r="O8648" s="25"/>
    </row>
    <row r="8649" customFormat="false" ht="13.5" hidden="false" customHeight="true" outlineLevel="0" collapsed="false">
      <c r="B8649" s="10"/>
      <c r="C8649" s="10"/>
      <c r="D8649" s="10"/>
      <c r="E8649" s="10"/>
      <c r="F8649" s="10"/>
      <c r="J8649" s="25"/>
      <c r="K8649" s="25"/>
      <c r="L8649" s="25"/>
      <c r="M8649" s="25"/>
      <c r="N8649" s="25"/>
      <c r="O8649" s="25"/>
    </row>
    <row r="8650" customFormat="false" ht="15" hidden="false" customHeight="true" outlineLevel="0" collapsed="false">
      <c r="B8650" s="10"/>
      <c r="C8650" s="10"/>
      <c r="D8650" s="34" t="str">
        <f aca="false">IF($K$8641=0,"",INDEX(Clients!$E$2:$E$501,$K$8641)&amp;"")</f>
        <v/>
      </c>
      <c r="E8650" s="34"/>
      <c r="F8650" s="34"/>
      <c r="J8650" s="25"/>
      <c r="K8650" s="25"/>
      <c r="L8650" s="25"/>
      <c r="M8650" s="25"/>
      <c r="N8650" s="25"/>
      <c r="O8650" s="25"/>
    </row>
    <row r="8651" customFormat="false" ht="15" hidden="false" customHeight="true" outlineLevel="0" collapsed="false">
      <c r="B8651" s="10"/>
      <c r="C8651" s="10"/>
      <c r="D8651" s="35" t="str">
        <f aca="false">IF(IF($K$8641=0,"",INDEX(Clients!$D$2:$D$501,$K$8641)&amp;"")="","","À l'attention de "&amp;TRIM(IF($K$8641=0,"",INDEX(Clients!$B$2:$B$501,$K$8641)&amp;"")&amp;" "&amp;IF($K$8641=0,"",INDEX(Clients!$C$2:$C$501,$K$8641)&amp;"")&amp;" "&amp;IF($K$8641=0,"",INDEX(Clients!$D$2:$D$501,$K$8641)&amp;"")))</f>
        <v/>
      </c>
      <c r="E8651" s="35"/>
      <c r="F8651" s="35"/>
      <c r="J8651" s="25"/>
      <c r="K8651" s="25"/>
      <c r="L8651" s="25"/>
      <c r="M8651" s="25"/>
      <c r="N8651" s="25"/>
      <c r="O8651" s="25"/>
    </row>
    <row r="8652" customFormat="false" ht="15" hidden="false" customHeight="true" outlineLevel="0" collapsed="false">
      <c r="B8652" s="10"/>
      <c r="C8652" s="10"/>
      <c r="D8652" s="35" t="str">
        <f aca="false">IF($K$8641=0,"",INDEX(Clients!$F$2:$F$501,$K$8641)&amp;"")</f>
        <v/>
      </c>
      <c r="E8652" s="35"/>
      <c r="F8652" s="35"/>
      <c r="J8652" s="25"/>
      <c r="K8652" s="25"/>
      <c r="L8652" s="25"/>
      <c r="M8652" s="25"/>
      <c r="N8652" s="25"/>
      <c r="O8652" s="25"/>
    </row>
    <row r="8653" customFormat="false" ht="15" hidden="false" customHeight="true" outlineLevel="0" collapsed="false">
      <c r="B8653" s="10"/>
      <c r="C8653" s="10"/>
      <c r="D8653" s="35" t="str">
        <f aca="false">IF(IF($K$8641=0,"",INDEX(Clients!$G$2:$G$501,$K$8641)&amp;"")="",TRIM(IF($K$8641=0,"",INDEX(Clients!$H$2:$H$501,$K$8641)&amp;"")&amp;" "&amp;UPPER(IF($K$8641=0,"",INDEX(Clients!$I$2:$I$501,$K$8641)&amp;""))),IF($K$8641=0,"",INDEX(Clients!$G$2:$G$501,$K$8641)&amp;""))</f>
        <v/>
      </c>
      <c r="E8653" s="35"/>
      <c r="F8653" s="35"/>
      <c r="J8653" s="25"/>
      <c r="K8653" s="25"/>
      <c r="L8653" s="25"/>
      <c r="M8653" s="25"/>
      <c r="N8653" s="25"/>
      <c r="O8653" s="25"/>
    </row>
    <row r="8654" customFormat="false" ht="15" hidden="false" customHeight="true" outlineLevel="0" collapsed="false">
      <c r="B8654" s="10"/>
      <c r="C8654" s="10"/>
      <c r="D8654" s="35" t="str">
        <f aca="false">IF(IF($K$8641=0,"",INDEX(Clients!$G$2:$G$501,$K$8641)&amp;"")="","",TRIM(IF($K$8641=0,"",INDEX(Clients!$H$2:$H$501,$K$8641)&amp;"")&amp;" "&amp;UPPER(IF($K$8641=0,"",INDEX(Clients!$I$2:$I$501,$K$8641)&amp;""))))</f>
        <v/>
      </c>
      <c r="E8654" s="35"/>
      <c r="F8654" s="35"/>
      <c r="J8654" s="25"/>
      <c r="K8654" s="25"/>
      <c r="L8654" s="25"/>
      <c r="M8654" s="25"/>
      <c r="N8654" s="25"/>
      <c r="O8654" s="25"/>
    </row>
    <row r="8655" customFormat="false" ht="25.5" hidden="false" customHeight="true" outlineLevel="0" collapsed="false">
      <c r="B8655" s="10"/>
      <c r="C8655" s="10"/>
      <c r="D8655" s="10"/>
      <c r="E8655" s="10"/>
      <c r="F8655" s="10"/>
      <c r="J8655" s="25"/>
      <c r="K8655" s="25"/>
      <c r="L8655" s="25"/>
      <c r="M8655" s="25"/>
      <c r="N8655" s="25"/>
      <c r="O8655" s="25"/>
    </row>
    <row r="8656" customFormat="false" ht="15" hidden="false" customHeight="false" outlineLevel="0" collapsed="false">
      <c r="B8656" s="10"/>
      <c r="C8656" s="10"/>
      <c r="D8656" s="36" t="str">
        <f aca="false">Cab_Ville&amp;", le "&amp;DAY(Date_Courrier)&amp;IF(DAY(Date_Courrier)=1,"er","")&amp;" "&amp;INDEX(Liste_Mois,MONTH(Date_Courrier))&amp;" "&amp;YEAR(Date_Courrier)</f>
        <v>Le Plessis-Bouchard, le 22 septembre 2026</v>
      </c>
      <c r="E8656" s="36"/>
      <c r="F8656" s="36"/>
      <c r="J8656" s="25"/>
      <c r="K8656" s="25"/>
      <c r="L8656" s="25"/>
      <c r="M8656" s="25"/>
      <c r="N8656" s="25"/>
      <c r="O8656" s="25"/>
    </row>
    <row r="8657" customFormat="false" ht="19.5" hidden="false" customHeight="true" outlineLevel="0" collapsed="false">
      <c r="B8657" s="10"/>
      <c r="C8657" s="10"/>
      <c r="D8657" s="10"/>
      <c r="E8657" s="10"/>
      <c r="F8657" s="10"/>
      <c r="J8657" s="25"/>
      <c r="K8657" s="25"/>
      <c r="L8657" s="25"/>
      <c r="M8657" s="25"/>
      <c r="N8657" s="25"/>
      <c r="O8657" s="25"/>
    </row>
    <row r="8658" customFormat="false" ht="15" hidden="false" customHeight="false" outlineLevel="0" collapsed="false">
      <c r="B8658" s="34" t="str">
        <f aca="false">SUBSTITUTE(SUBSTITUTE(SUBSTITUTE(SUBSTITUTE(SUBSTITUTE(Txt_Objet,"{cabinet}",Cab_Nom),"{societe}",IF($K$8641=0,"",INDEX(Clients!$E$2:$E$501,$K$8641)&amp;"")),"{date_effet}",$K$8643),"{hausse}",$K$8644),"{civilite}",$K$8642)</f>
        <v>Objet : révision de nos honoraires au 1er janvier 2027</v>
      </c>
      <c r="C8658" s="34"/>
      <c r="D8658" s="34"/>
      <c r="E8658" s="34"/>
      <c r="F8658" s="34"/>
      <c r="J8658" s="25"/>
      <c r="K8658" s="25"/>
      <c r="L8658" s="25"/>
      <c r="M8658" s="25"/>
      <c r="N8658" s="25"/>
      <c r="O8658" s="25"/>
    </row>
    <row r="8659" customFormat="false" ht="13.5" hidden="false" customHeight="true" outlineLevel="0" collapsed="false">
      <c r="B8659" s="10"/>
      <c r="C8659" s="10"/>
      <c r="D8659" s="10"/>
      <c r="E8659" s="10"/>
      <c r="F8659" s="10"/>
      <c r="J8659" s="25"/>
      <c r="K8659" s="25"/>
      <c r="L8659" s="25"/>
      <c r="M8659" s="25"/>
      <c r="N8659" s="25"/>
      <c r="O8659" s="25"/>
    </row>
    <row r="8660" customFormat="false" ht="15" hidden="false" customHeight="false" outlineLevel="0" collapsed="false">
      <c r="B8660" s="10" t="str">
        <f aca="false">$K$8642&amp;","</f>
        <v>Madame, Monsieur,</v>
      </c>
      <c r="C8660" s="10"/>
      <c r="D8660" s="10"/>
      <c r="E8660" s="10"/>
      <c r="F8660" s="10"/>
      <c r="J8660" s="25"/>
      <c r="K8660" s="25"/>
      <c r="L8660" s="25"/>
      <c r="M8660" s="25"/>
      <c r="N8660" s="25"/>
      <c r="O8660" s="25"/>
    </row>
    <row r="8661" customFormat="false" ht="6" hidden="false" customHeight="true" outlineLevel="0" collapsed="false">
      <c r="B8661" s="10"/>
      <c r="C8661" s="10"/>
      <c r="D8661" s="10"/>
      <c r="E8661" s="10"/>
      <c r="F8661" s="10"/>
      <c r="J8661" s="25"/>
      <c r="K8661" s="25"/>
      <c r="L8661" s="25"/>
      <c r="M8661" s="25"/>
      <c r="N8661" s="25"/>
      <c r="O8661" s="25"/>
    </row>
    <row r="8662" customFormat="false" ht="36.75" hidden="false" customHeight="true" outlineLevel="0" collapsed="false">
      <c r="B8662" s="37" t="str">
        <f aca="false">SUBSTITUTE(SUBSTITUTE(SUBSTITUTE(SUBSTITUTE(SUBSTITUTE(Txt_P1,"{cabinet}",Cab_Nom),"{societe}",IF($K$8641=0,"",INDEX(Clients!$E$2:$E$501,$K$8641)&amp;"")),"{date_effet}",$K$8643),"{hausse}",$K$8644),"{civilite}",$K$8642)</f>
        <v>Nous tenons tout d'abord à vous remercier pour la confiance que vous accordez à ALTHO EXPERTISE. Comme chaque année, et conformément aux dispositions de votre lettre de mission, nous procédons à la révision de nos honoraires.</v>
      </c>
      <c r="C8662" s="37"/>
      <c r="D8662" s="37"/>
      <c r="E8662" s="37"/>
      <c r="F8662" s="37"/>
      <c r="J8662" s="25"/>
      <c r="K8662" s="25"/>
      <c r="L8662" s="25"/>
      <c r="M8662" s="25"/>
      <c r="N8662" s="25"/>
      <c r="O8662" s="25"/>
    </row>
    <row r="8663" customFormat="false" ht="49.5" hidden="false" customHeight="true" outlineLevel="0" collapsed="false">
      <c r="B8663" s="37" t="str">
        <f aca="false">SUBSTITUTE(SUBSTITUTE(SUBSTITUTE(SUBSTITUTE(SUBSTITUTE(Txt_P2,"{cabinet}",Cab_Nom),"{societe}",IF($K$8641=0,"",INDEX(Clients!$E$2:$E$501,$K$8641)&amp;"")),"{date_effet}",$K$8643),"{hausse}",$K$8644),"{civilite}",$K$8642)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663" s="37"/>
      <c r="D8663" s="37"/>
      <c r="E8663" s="37"/>
      <c r="F8663" s="37"/>
      <c r="J8663" s="25"/>
      <c r="K8663" s="25"/>
      <c r="L8663" s="25"/>
      <c r="M8663" s="25"/>
      <c r="N8663" s="25"/>
      <c r="O8663" s="25"/>
    </row>
    <row r="8664" customFormat="false" ht="63" hidden="false" customHeight="true" outlineLevel="0" collapsed="false">
      <c r="B8664" s="37" t="str">
        <f aca="false">SUBSTITUTE(SUBSTITUTE(SUBSTITUTE(SUBSTITUTE(SUBSTITUTE(Txt_P3,"{cabinet}",Cab_Nom),"{societe}",IF($K$8641=0,"",INDEX(Clients!$E$2:$E$501,$K$8641)&amp;"")),"{date_effet}",$K$8643),"{hausse}",$K$8644),"{civilite}",$K$8642)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664" s="37"/>
      <c r="D8664" s="37"/>
      <c r="E8664" s="37"/>
      <c r="F8664" s="37"/>
      <c r="J8664" s="25"/>
      <c r="K8664" s="25"/>
      <c r="L8664" s="25"/>
      <c r="M8664" s="25"/>
      <c r="N8664" s="25"/>
      <c r="O8664" s="25"/>
    </row>
    <row r="8665" customFormat="false" ht="24" hidden="false" customHeight="true" outlineLevel="0" collapsed="false">
      <c r="B8665" s="37" t="str">
        <f aca="false">SUBSTITUTE(SUBSTITUTE(SUBSTITUTE(SUBSTITUTE(SUBSTITUTE(Txt_P4,"{cabinet}",Cab_Nom),"{societe}",IF($K$8641=0,"",INDEX(Clients!$E$2:$E$501,$K$8641)&amp;"")),"{date_effet}",$K$8643),"{hausse}",$K$8644),"{civilite}",$K$8642)</f>
        <v>À compter du 1er janvier 2027, vos honoraires annuels hors taxes évolueront ainsi (évolution globale : ) :</v>
      </c>
      <c r="C8665" s="37"/>
      <c r="D8665" s="37"/>
      <c r="E8665" s="37"/>
      <c r="F8665" s="37"/>
      <c r="J8665" s="25"/>
      <c r="K8665" s="25"/>
      <c r="L8665" s="25"/>
      <c r="M8665" s="25"/>
      <c r="N8665" s="25"/>
      <c r="O8665" s="25"/>
    </row>
    <row r="8666" customFormat="false" ht="3.75" hidden="false" customHeight="true" outlineLevel="0" collapsed="false">
      <c r="B8666" s="10"/>
      <c r="C8666" s="10"/>
      <c r="D8666" s="10"/>
      <c r="E8666" s="10"/>
      <c r="F8666" s="10"/>
      <c r="J8666" s="25"/>
      <c r="K8666" s="25"/>
      <c r="L8666" s="25"/>
      <c r="M8666" s="25"/>
      <c r="N8666" s="25"/>
      <c r="O8666" s="25"/>
    </row>
    <row r="8667" customFormat="false" ht="18" hidden="false" customHeight="true" outlineLevel="0" collapsed="false">
      <c r="B8667" s="38" t="s">
        <v>148</v>
      </c>
      <c r="C8667" s="39" t="s">
        <v>149</v>
      </c>
      <c r="D8667" s="39" t="s">
        <v>150</v>
      </c>
      <c r="E8667" s="39" t="s">
        <v>151</v>
      </c>
      <c r="F8667" s="39" t="s">
        <v>109</v>
      </c>
      <c r="J8667" s="25" t="s">
        <v>152</v>
      </c>
      <c r="K8667" s="25" t="s">
        <v>153</v>
      </c>
      <c r="L8667" s="25" t="s">
        <v>154</v>
      </c>
      <c r="M8667" s="25" t="s">
        <v>155</v>
      </c>
      <c r="N8667" s="25" t="s">
        <v>156</v>
      </c>
      <c r="O8667" s="25" t="s">
        <v>157</v>
      </c>
    </row>
    <row r="8668" customFormat="false" ht="16.5" hidden="false" customHeight="true" outlineLevel="0" collapsed="false">
      <c r="B8668" s="40" t="str">
        <f aca="false">IFERROR(INDEX($J$8668:$J$8671,MATCH($O8668,$N$8668:$N$8671,0)),"")</f>
        <v/>
      </c>
      <c r="C8668" s="41" t="str">
        <f aca="false">IFERROR(INDEX($K$8668:$K$8671,MATCH($O8668,$N$8668:$N$8671,0)),"")</f>
        <v/>
      </c>
      <c r="D8668" s="42" t="str">
        <f aca="false">IF(OR(E8668="",N(C8668)=0),"",E8668/C8668-1)</f>
        <v/>
      </c>
      <c r="E8668" s="41" t="str">
        <f aca="false">IFERROR(INDEX($L$8668:$L$8671,MATCH($O8668,$N$8668:$N$8671,0)),"")</f>
        <v/>
      </c>
      <c r="F8668" s="41" t="str">
        <f aca="false">IF(E8668="","",E8668-C8668)</f>
        <v/>
      </c>
      <c r="J8668" s="25" t="str">
        <f aca="false">Lib_Compta</f>
        <v>Mission comptable (tenue, révision, bilan, liasse fiscale)</v>
      </c>
      <c r="K8668" s="25" t="n">
        <f aca="false">IF($K$8641=0,0,N(INDEX(Clients!$K$2:$K$501,$K$8641)))</f>
        <v>0</v>
      </c>
      <c r="L8668" s="25" t="n">
        <f aca="false">IF($K$8641=0,0,N(INDEX(Clients!$P$2:$P$501,$K$8641)))</f>
        <v>0</v>
      </c>
      <c r="M8668" s="25" t="n">
        <f aca="false">IF(OR(K8668&lt;&gt;0,L8668&lt;&gt;0),1,0)</f>
        <v>0</v>
      </c>
      <c r="N8668" s="25" t="str">
        <f aca="false">IF(M8668=1,SUM($M$8668:M8668),"")</f>
        <v/>
      </c>
      <c r="O8668" s="25" t="n">
        <v>1</v>
      </c>
    </row>
    <row r="8669" customFormat="false" ht="16.5" hidden="false" customHeight="true" outlineLevel="0" collapsed="false">
      <c r="B8669" s="40" t="str">
        <f aca="false">IFERROR(INDEX($J$8668:$J$8671,MATCH($O8669,$N$8668:$N$8671,0)),"")</f>
        <v/>
      </c>
      <c r="C8669" s="41" t="str">
        <f aca="false">IFERROR(INDEX($K$8668:$K$8671,MATCH($O8669,$N$8668:$N$8671,0)),"")</f>
        <v/>
      </c>
      <c r="D8669" s="42" t="str">
        <f aca="false">IF(OR(E8669="",N(C8669)=0),"",E8669/C8669-1)</f>
        <v/>
      </c>
      <c r="E8669" s="41" t="str">
        <f aca="false">IFERROR(INDEX($L$8668:$L$8671,MATCH($O8669,$N$8668:$N$8671,0)),"")</f>
        <v/>
      </c>
      <c r="F8669" s="41" t="str">
        <f aca="false">IF(E8669="","",E8669-C8669)</f>
        <v/>
      </c>
      <c r="J8669" s="25" t="str">
        <f aca="false">Lib_Paye</f>
        <v>Mission sociale (bulletins de paie, DSN, déclarations sociales)</v>
      </c>
      <c r="K8669" s="25" t="n">
        <f aca="false">IF($K$8641=0,0,N(INDEX(Clients!$L$2:$L$501,$K$8641)))</f>
        <v>0</v>
      </c>
      <c r="L8669" s="25" t="n">
        <f aca="false">IF($K$8641=0,0,N(INDEX(Clients!$Q$2:$Q$501,$K$8641)))</f>
        <v>0</v>
      </c>
      <c r="M8669" s="25" t="n">
        <f aca="false">IF(OR(K8669&lt;&gt;0,L8669&lt;&gt;0),1,0)</f>
        <v>0</v>
      </c>
      <c r="N8669" s="25" t="str">
        <f aca="false">IF(M8669=1,SUM($M$8668:M8669),"")</f>
        <v/>
      </c>
      <c r="O8669" s="25" t="n">
        <v>2</v>
      </c>
    </row>
    <row r="8670" customFormat="false" ht="16.5" hidden="false" customHeight="true" outlineLevel="0" collapsed="false">
      <c r="B8670" s="40" t="str">
        <f aca="false">IFERROR(INDEX($J$8668:$J$8671,MATCH($O8670,$N$8668:$N$8671,0)),"")</f>
        <v/>
      </c>
      <c r="C8670" s="41" t="str">
        <f aca="false">IFERROR(INDEX($K$8668:$K$8671,MATCH($O8670,$N$8668:$N$8671,0)),"")</f>
        <v/>
      </c>
      <c r="D8670" s="42" t="str">
        <f aca="false">IF(OR(E8670="",N(C8670)=0),"",E8670/C8670-1)</f>
        <v/>
      </c>
      <c r="E8670" s="41" t="str">
        <f aca="false">IFERROR(INDEX($L$8668:$L$8671,MATCH($O8670,$N$8668:$N$8671,0)),"")</f>
        <v/>
      </c>
      <c r="F8670" s="41" t="str">
        <f aca="false">IF(E8670="","",E8670-C8670)</f>
        <v/>
      </c>
      <c r="J8670" s="25" t="str">
        <f aca="false">Lib_Jur</f>
        <v>Mission juridique (approbation des comptes, secrétariat juridique)</v>
      </c>
      <c r="K8670" s="25" t="n">
        <f aca="false">IF($K$8641=0,0,N(INDEX(Clients!$M$2:$M$501,$K$8641)))</f>
        <v>0</v>
      </c>
      <c r="L8670" s="25" t="n">
        <f aca="false">IF($K$8641=0,0,N(INDEX(Clients!$R$2:$R$501,$K$8641)))</f>
        <v>0</v>
      </c>
      <c r="M8670" s="25" t="n">
        <f aca="false">IF(OR(K8670&lt;&gt;0,L8670&lt;&gt;0),1,0)</f>
        <v>0</v>
      </c>
      <c r="N8670" s="25" t="str">
        <f aca="false">IF(M8670=1,SUM($M$8668:M8670),"")</f>
        <v/>
      </c>
      <c r="O8670" s="25" t="n">
        <v>3</v>
      </c>
    </row>
    <row r="8671" customFormat="false" ht="16.5" hidden="false" customHeight="true" outlineLevel="0" collapsed="false">
      <c r="B8671" s="40" t="str">
        <f aca="false">IFERROR(INDEX($J$8668:$J$8671,MATCH($O8671,$N$8668:$N$8671,0)),"")</f>
        <v/>
      </c>
      <c r="C8671" s="41" t="str">
        <f aca="false">IFERROR(INDEX($K$8668:$K$8671,MATCH($O8671,$N$8668:$N$8671,0)),"")</f>
        <v/>
      </c>
      <c r="D8671" s="42" t="str">
        <f aca="false">IF(OR(E8671="",N(C8671)=0),"",E8671/C8671-1)</f>
        <v/>
      </c>
      <c r="E8671" s="41" t="str">
        <f aca="false">IFERROR(INDEX($L$8668:$L$8671,MATCH($O8671,$N$8668:$N$8671,0)),"")</f>
        <v/>
      </c>
      <c r="F8671" s="41" t="str">
        <f aca="false">IF(E8671="","",E8671-C8671)</f>
        <v/>
      </c>
      <c r="J8671" s="25" t="str">
        <f aca="false">Lib_PA</f>
        <v>Plateforme agréée – facturation électronique</v>
      </c>
      <c r="K8671" s="25" t="n">
        <f aca="false">IF($K$8641=0,0,N(INDEX(Clients!$N$2:$N$501,$K$8641)))</f>
        <v>0</v>
      </c>
      <c r="L8671" s="25" t="n">
        <f aca="false">IF($K$8641=0,0,N(INDEX(Clients!$S$2:$S$501,$K$8641)))</f>
        <v>0</v>
      </c>
      <c r="M8671" s="25" t="n">
        <f aca="false">IF(OR(K8671&lt;&gt;0,L8671&lt;&gt;0),1,0)</f>
        <v>0</v>
      </c>
      <c r="N8671" s="25" t="str">
        <f aca="false">IF(M8671=1,SUM($M$8668:M8671),"")</f>
        <v/>
      </c>
      <c r="O8671" s="25" t="n">
        <v>4</v>
      </c>
    </row>
    <row r="8672" customFormat="false" ht="18" hidden="false" customHeight="true" outlineLevel="0" collapsed="false">
      <c r="B8672" s="43" t="s">
        <v>158</v>
      </c>
      <c r="C8672" s="44" t="n">
        <f aca="false">SUM(K8668:K8671)</f>
        <v>0</v>
      </c>
      <c r="D8672" s="45" t="str">
        <f aca="false">IF(N(C8672)=0,"",E8672/C8672-1)</f>
        <v/>
      </c>
      <c r="E8672" s="44" t="n">
        <f aca="false">SUM(L8668:L8671)</f>
        <v>0</v>
      </c>
      <c r="F8672" s="44" t="n">
        <f aca="false">E8672-C8672</f>
        <v>0</v>
      </c>
    </row>
    <row r="8673" customFormat="false" ht="15" hidden="false" customHeight="false" outlineLevel="0" collapsed="false">
      <c r="B8673" s="46" t="str">
        <f aca="false">IF(N(Nb_Mensualites)=0,"","Soit "&amp;FIXED(E8672/Nb_Mensualites,2)&amp;" € HT par échéance ("&amp;Nb_Mensualites&amp;" échéances), "&amp;FIXED(E8672/Nb_Mensualites*(1+Taux_TVA),2)&amp;" € TTC.")</f>
        <v>Soit 0.00 € HT par échéance (12 échéances), 0.00 € TTC.</v>
      </c>
      <c r="C8673" s="46"/>
      <c r="D8673" s="46"/>
      <c r="E8673" s="46"/>
      <c r="F8673" s="46"/>
    </row>
    <row r="8674" customFormat="false" ht="7.5" hidden="false" customHeight="true" outlineLevel="0" collapsed="false">
      <c r="B8674" s="10"/>
      <c r="C8674" s="10"/>
      <c r="D8674" s="10"/>
      <c r="E8674" s="10"/>
      <c r="F8674" s="10"/>
    </row>
    <row r="8675" customFormat="false" ht="36.75" hidden="false" customHeight="true" outlineLevel="0" collapsed="false">
      <c r="B8675" s="37" t="str">
        <f aca="false">SUBSTITUTE(SUBSTITUTE(SUBSTITUTE(SUBSTITUTE(SUBSTITUTE(Txt_P5,"{cabinet}",Cab_Nom),"{societe}",IF($K$8641=0,"",INDEX(Clients!$E$2:$E$501,$K$8641)&amp;"")),"{date_effet}",$K$8643),"{hausse}",$K$8644),"{civilite}",$K$8642)</f>
        <v>Les autres conditions de votre lettre de mission demeurent inchangées. Les nouveaux montants seront appliqués automatiquement sur vos prochaines factures et échéances de prélèvement.</v>
      </c>
      <c r="C8675" s="37"/>
      <c r="D8675" s="37"/>
      <c r="E8675" s="37"/>
      <c r="F8675" s="37"/>
    </row>
    <row r="8676" customFormat="false" ht="36.75" hidden="false" customHeight="true" outlineLevel="0" collapsed="false">
      <c r="B8676" s="37" t="str">
        <f aca="false">SUBSTITUTE(SUBSTITUTE(SUBSTITUTE(SUBSTITUTE(SUBSTITUTE(Txt_P6,"{cabinet}",Cab_Nom),"{societe}",IF($K$8641=0,"",INDEX(Clients!$E$2:$E$501,$K$8641)&amp;"")),"{date_effet}",$K$8643),"{hausse}",$K$8644),"{civilite}",$K$8642)</f>
        <v>Votre interlocuteur habituel reste à votre entière disposition pour répondre à vos questions et faire le point sur l'évolution de vos besoins.</v>
      </c>
      <c r="C8676" s="37"/>
      <c r="D8676" s="37"/>
      <c r="E8676" s="37"/>
      <c r="F8676" s="37"/>
    </row>
    <row r="8677" customFormat="false" ht="24" hidden="false" customHeight="true" outlineLevel="0" collapsed="false">
      <c r="B8677" s="37" t="str">
        <f aca="false">SUBSTITUTE(SUBSTITUTE(SUBSTITUTE(SUBSTITUTE(SUBSTITUTE(Txt_Politesse,"{cabinet}",Cab_Nom),"{societe}",IF($K$8641=0,"",INDEX(Clients!$E$2:$E$501,$K$8641)&amp;"")),"{date_effet}",$K$8643),"{hausse}",$K$8644),"{civilite}",$K$8642)</f>
        <v>Nous vous prions d'agréer, Madame, Monsieur, l'expression de nos salutations distinguées.</v>
      </c>
      <c r="C8677" s="37"/>
      <c r="D8677" s="37"/>
      <c r="E8677" s="37"/>
      <c r="F8677" s="37"/>
    </row>
    <row r="8678" customFormat="false" ht="15" hidden="false" customHeight="false" outlineLevel="0" collapsed="false">
      <c r="B8678" s="10"/>
      <c r="C8678" s="10"/>
      <c r="D8678" s="10"/>
      <c r="E8678" s="10"/>
      <c r="F8678" s="10"/>
    </row>
    <row r="8679" customFormat="false" ht="15" hidden="false" customHeight="false" outlineLevel="0" collapsed="false">
      <c r="B8679" s="10"/>
      <c r="C8679" s="10"/>
      <c r="D8679" s="34" t="str">
        <f aca="false">Signataire</f>
        <v>Prénom NOM</v>
      </c>
      <c r="E8679" s="34"/>
      <c r="F8679" s="34"/>
    </row>
    <row r="8680" customFormat="false" ht="15" hidden="false" customHeight="false" outlineLevel="0" collapsed="false">
      <c r="B8680" s="10"/>
      <c r="C8680" s="10"/>
      <c r="D8680" s="47" t="str">
        <f aca="false">Signataire_Titre</f>
        <v>Expert-comptable associé</v>
      </c>
      <c r="E8680" s="47"/>
      <c r="F8680" s="47"/>
    </row>
    <row r="8681" customFormat="false" ht="15.75" hidden="false" customHeight="true" outlineLevel="0" collapsed="false">
      <c r="B8681" s="10"/>
      <c r="C8681" s="10"/>
      <c r="D8681" s="10"/>
      <c r="E8681" s="10"/>
      <c r="F8681" s="10"/>
    </row>
    <row r="8682" customFormat="false" ht="15.75" hidden="false" customHeight="true" outlineLevel="0" collapsed="false">
      <c r="B8682" s="10"/>
      <c r="C8682" s="10"/>
      <c r="D8682" s="10"/>
      <c r="E8682" s="10"/>
      <c r="F8682" s="10"/>
    </row>
    <row r="8683" customFormat="false" ht="15.75" hidden="false" customHeight="true" outlineLevel="0" collapsed="false">
      <c r="B8683" s="10"/>
      <c r="C8683" s="10"/>
      <c r="D8683" s="10"/>
      <c r="E8683" s="10"/>
      <c r="F8683" s="10"/>
    </row>
    <row r="8684" customFormat="false" ht="15.75" hidden="false" customHeight="true" outlineLevel="0" collapsed="false">
      <c r="B8684" s="10"/>
      <c r="C8684" s="10"/>
      <c r="D8684" s="10"/>
      <c r="E8684" s="10"/>
      <c r="F8684" s="10"/>
    </row>
    <row r="8685" customFormat="false" ht="24" hidden="false" customHeight="true" outlineLevel="0" collapsed="false">
      <c r="B8685" s="48" t="str">
        <f aca="false">Cab_Mentions</f>
        <v>ALTHO EXPERTISE · SAS au capital de 10 000 € · RCS Pontoise 919 706 325 · TVA FR62919706325 · Société d'expertise comptable inscrite au Tableau de l'Ordre des experts-comptables de Paris Île-de-France</v>
      </c>
      <c r="C8685" s="48"/>
      <c r="D8685" s="48"/>
      <c r="E8685" s="48"/>
      <c r="F8685" s="48"/>
    </row>
    <row r="8686" customFormat="false" ht="15" hidden="false" customHeight="false" outlineLevel="0" collapsed="false">
      <c r="B8686" s="10"/>
      <c r="C8686" s="10"/>
      <c r="D8686" s="10"/>
      <c r="E8686" s="10"/>
      <c r="F8686" s="10"/>
      <c r="J8686" s="25" t="s">
        <v>142</v>
      </c>
      <c r="K8686" s="25" t="n">
        <f aca="false">IFERROR(MATCH(194,Clients!$Z$2:$Z$501,0),0)</f>
        <v>0</v>
      </c>
      <c r="L8686" s="25"/>
      <c r="M8686" s="25"/>
      <c r="N8686" s="25"/>
      <c r="O8686" s="25"/>
    </row>
    <row r="8687" customFormat="false" ht="21.75" hidden="false" customHeight="true" outlineLevel="0" collapsed="false">
      <c r="B8687" s="26" t="str">
        <f aca="false">Cab_Nom</f>
        <v>ALTHO EXPERTISE</v>
      </c>
      <c r="C8687" s="26"/>
      <c r="D8687" s="10"/>
      <c r="E8687" s="27" t="str">
        <f aca="false">IF($K$8686=0,"","Réf. client : "&amp;INDEX(Clients!$A$2:$A$501,$K$8686))</f>
        <v/>
      </c>
      <c r="F8687" s="27"/>
      <c r="J8687" s="25" t="s">
        <v>144</v>
      </c>
      <c r="K8687" s="25" t="str">
        <f aca="false">IF(IF($K$8686=0,"",INDEX(Clients!$B$2:$B$501,$K$8686)&amp;"")="Mme","Madame",IF(IF($K$8686=0,"",INDEX(Clients!$B$2:$B$501,$K$8686)&amp;"")="M.","Monsieur","Madame, Monsieur"))</f>
        <v>Madame, Monsieur</v>
      </c>
      <c r="L8687" s="25"/>
      <c r="M8687" s="25"/>
      <c r="N8687" s="25"/>
      <c r="O8687" s="25"/>
    </row>
    <row r="8688" customFormat="false" ht="15" hidden="false" customHeight="false" outlineLevel="0" collapsed="false">
      <c r="B8688" s="29" t="str">
        <f aca="false">Cab_Adr1</f>
        <v>141 rue Charles de Gaulle</v>
      </c>
      <c r="C8688" s="29"/>
      <c r="D8688" s="10"/>
      <c r="E8688" s="10"/>
      <c r="F8688" s="10"/>
      <c r="J8688" s="25" t="s">
        <v>145</v>
      </c>
      <c r="K8688" s="25" t="str">
        <f aca="false">DAY(Date_Effet)&amp;IF(DAY(Date_Effet)=1,"er","")&amp;" "&amp;INDEX(Liste_Mois,MONTH(Date_Effet))&amp;" "&amp;YEAR(Date_Effet)</f>
        <v>1er janvier 2027</v>
      </c>
      <c r="L8688" s="25"/>
      <c r="M8688" s="25"/>
      <c r="N8688" s="25"/>
      <c r="O8688" s="25"/>
    </row>
    <row r="8689" customFormat="false" ht="15" hidden="false" customHeight="false" outlineLevel="0" collapsed="false">
      <c r="B8689" s="29" t="str">
        <f aca="false">Cab_CPVille</f>
        <v>95130 LE PLESSIS-BOUCHARD</v>
      </c>
      <c r="C8689" s="29"/>
      <c r="D8689" s="10"/>
      <c r="E8689" s="10"/>
      <c r="F8689" s="10"/>
      <c r="J8689" s="25" t="s">
        <v>146</v>
      </c>
      <c r="K8689" s="25" t="str">
        <f aca="false">IF(SUM($K$8713:$K$8716)=0,"",FIXED((SUM($L$8713:$L$8716)/SUM($K$8713:$K$8716)-1)*100,1)&amp;" %")</f>
        <v/>
      </c>
      <c r="L8689" s="25"/>
      <c r="M8689" s="25"/>
      <c r="N8689" s="25"/>
      <c r="O8689" s="25"/>
    </row>
    <row r="8690" customFormat="false" ht="15" hidden="false" customHeight="false" outlineLevel="0" collapsed="false">
      <c r="B8690" s="29" t="str">
        <f aca="false">Cab_Contact</f>
        <v>Tél. 01 34 14 53 45  ·  altho@altho-experts.com  ·  altho-experts.com</v>
      </c>
      <c r="C8690" s="29"/>
      <c r="D8690" s="10"/>
      <c r="E8690" s="10"/>
      <c r="F8690" s="10"/>
      <c r="J8690" s="25"/>
      <c r="K8690" s="25"/>
      <c r="L8690" s="25"/>
      <c r="M8690" s="25"/>
      <c r="N8690" s="25"/>
      <c r="O8690" s="25"/>
    </row>
    <row r="8691" customFormat="false" ht="6" hidden="false" customHeight="true" outlineLevel="0" collapsed="false">
      <c r="B8691" s="32"/>
      <c r="C8691" s="32"/>
      <c r="D8691" s="32"/>
      <c r="E8691" s="32"/>
      <c r="F8691" s="32"/>
      <c r="J8691" s="25"/>
      <c r="K8691" s="25"/>
      <c r="L8691" s="25"/>
      <c r="M8691" s="25"/>
      <c r="N8691" s="25"/>
      <c r="O8691" s="25"/>
    </row>
    <row r="8692" customFormat="false" ht="13.5" hidden="false" customHeight="true" outlineLevel="0" collapsed="false">
      <c r="B8692" s="10"/>
      <c r="C8692" s="10"/>
      <c r="D8692" s="10"/>
      <c r="E8692" s="10"/>
      <c r="F8692" s="10"/>
      <c r="J8692" s="25"/>
      <c r="K8692" s="25"/>
      <c r="L8692" s="25"/>
      <c r="M8692" s="25"/>
      <c r="N8692" s="25"/>
      <c r="O8692" s="25"/>
    </row>
    <row r="8693" customFormat="false" ht="13.5" hidden="false" customHeight="true" outlineLevel="0" collapsed="false">
      <c r="B8693" s="10"/>
      <c r="C8693" s="10"/>
      <c r="D8693" s="10"/>
      <c r="E8693" s="10"/>
      <c r="F8693" s="10"/>
      <c r="J8693" s="25"/>
      <c r="K8693" s="25"/>
      <c r="L8693" s="25"/>
      <c r="M8693" s="25"/>
      <c r="N8693" s="25"/>
      <c r="O8693" s="25"/>
    </row>
    <row r="8694" customFormat="false" ht="13.5" hidden="false" customHeight="true" outlineLevel="0" collapsed="false">
      <c r="B8694" s="10"/>
      <c r="C8694" s="10"/>
      <c r="D8694" s="10"/>
      <c r="E8694" s="10"/>
      <c r="F8694" s="10"/>
      <c r="J8694" s="25"/>
      <c r="K8694" s="25"/>
      <c r="L8694" s="25"/>
      <c r="M8694" s="25"/>
      <c r="N8694" s="25"/>
      <c r="O8694" s="25"/>
    </row>
    <row r="8695" customFormat="false" ht="15" hidden="false" customHeight="true" outlineLevel="0" collapsed="false">
      <c r="B8695" s="10"/>
      <c r="C8695" s="10"/>
      <c r="D8695" s="34" t="str">
        <f aca="false">IF($K$8686=0,"",INDEX(Clients!$E$2:$E$501,$K$8686)&amp;"")</f>
        <v/>
      </c>
      <c r="E8695" s="34"/>
      <c r="F8695" s="34"/>
      <c r="J8695" s="25"/>
      <c r="K8695" s="25"/>
      <c r="L8695" s="25"/>
      <c r="M8695" s="25"/>
      <c r="N8695" s="25"/>
      <c r="O8695" s="25"/>
    </row>
    <row r="8696" customFormat="false" ht="15" hidden="false" customHeight="true" outlineLevel="0" collapsed="false">
      <c r="B8696" s="10"/>
      <c r="C8696" s="10"/>
      <c r="D8696" s="35" t="str">
        <f aca="false">IF(IF($K$8686=0,"",INDEX(Clients!$D$2:$D$501,$K$8686)&amp;"")="","","À l'attention de "&amp;TRIM(IF($K$8686=0,"",INDEX(Clients!$B$2:$B$501,$K$8686)&amp;"")&amp;" "&amp;IF($K$8686=0,"",INDEX(Clients!$C$2:$C$501,$K$8686)&amp;"")&amp;" "&amp;IF($K$8686=0,"",INDEX(Clients!$D$2:$D$501,$K$8686)&amp;"")))</f>
        <v/>
      </c>
      <c r="E8696" s="35"/>
      <c r="F8696" s="35"/>
      <c r="J8696" s="25"/>
      <c r="K8696" s="25"/>
      <c r="L8696" s="25"/>
      <c r="M8696" s="25"/>
      <c r="N8696" s="25"/>
      <c r="O8696" s="25"/>
    </row>
    <row r="8697" customFormat="false" ht="15" hidden="false" customHeight="true" outlineLevel="0" collapsed="false">
      <c r="B8697" s="10"/>
      <c r="C8697" s="10"/>
      <c r="D8697" s="35" t="str">
        <f aca="false">IF($K$8686=0,"",INDEX(Clients!$F$2:$F$501,$K$8686)&amp;"")</f>
        <v/>
      </c>
      <c r="E8697" s="35"/>
      <c r="F8697" s="35"/>
      <c r="J8697" s="25"/>
      <c r="K8697" s="25"/>
      <c r="L8697" s="25"/>
      <c r="M8697" s="25"/>
      <c r="N8697" s="25"/>
      <c r="O8697" s="25"/>
    </row>
    <row r="8698" customFormat="false" ht="15" hidden="false" customHeight="true" outlineLevel="0" collapsed="false">
      <c r="B8698" s="10"/>
      <c r="C8698" s="10"/>
      <c r="D8698" s="35" t="str">
        <f aca="false">IF(IF($K$8686=0,"",INDEX(Clients!$G$2:$G$501,$K$8686)&amp;"")="",TRIM(IF($K$8686=0,"",INDEX(Clients!$H$2:$H$501,$K$8686)&amp;"")&amp;" "&amp;UPPER(IF($K$8686=0,"",INDEX(Clients!$I$2:$I$501,$K$8686)&amp;""))),IF($K$8686=0,"",INDEX(Clients!$G$2:$G$501,$K$8686)&amp;""))</f>
        <v/>
      </c>
      <c r="E8698" s="35"/>
      <c r="F8698" s="35"/>
      <c r="J8698" s="25"/>
      <c r="K8698" s="25"/>
      <c r="L8698" s="25"/>
      <c r="M8698" s="25"/>
      <c r="N8698" s="25"/>
      <c r="O8698" s="25"/>
    </row>
    <row r="8699" customFormat="false" ht="15" hidden="false" customHeight="true" outlineLevel="0" collapsed="false">
      <c r="B8699" s="10"/>
      <c r="C8699" s="10"/>
      <c r="D8699" s="35" t="str">
        <f aca="false">IF(IF($K$8686=0,"",INDEX(Clients!$G$2:$G$501,$K$8686)&amp;"")="","",TRIM(IF($K$8686=0,"",INDEX(Clients!$H$2:$H$501,$K$8686)&amp;"")&amp;" "&amp;UPPER(IF($K$8686=0,"",INDEX(Clients!$I$2:$I$501,$K$8686)&amp;""))))</f>
        <v/>
      </c>
      <c r="E8699" s="35"/>
      <c r="F8699" s="35"/>
      <c r="J8699" s="25"/>
      <c r="K8699" s="25"/>
      <c r="L8699" s="25"/>
      <c r="M8699" s="25"/>
      <c r="N8699" s="25"/>
      <c r="O8699" s="25"/>
    </row>
    <row r="8700" customFormat="false" ht="25.5" hidden="false" customHeight="true" outlineLevel="0" collapsed="false">
      <c r="B8700" s="10"/>
      <c r="C8700" s="10"/>
      <c r="D8700" s="10"/>
      <c r="E8700" s="10"/>
      <c r="F8700" s="10"/>
      <c r="J8700" s="25"/>
      <c r="K8700" s="25"/>
      <c r="L8700" s="25"/>
      <c r="M8700" s="25"/>
      <c r="N8700" s="25"/>
      <c r="O8700" s="25"/>
    </row>
    <row r="8701" customFormat="false" ht="15" hidden="false" customHeight="false" outlineLevel="0" collapsed="false">
      <c r="B8701" s="10"/>
      <c r="C8701" s="10"/>
      <c r="D8701" s="36" t="str">
        <f aca="false">Cab_Ville&amp;", le "&amp;DAY(Date_Courrier)&amp;IF(DAY(Date_Courrier)=1,"er","")&amp;" "&amp;INDEX(Liste_Mois,MONTH(Date_Courrier))&amp;" "&amp;YEAR(Date_Courrier)</f>
        <v>Le Plessis-Bouchard, le 22 septembre 2026</v>
      </c>
      <c r="E8701" s="36"/>
      <c r="F8701" s="36"/>
      <c r="J8701" s="25"/>
      <c r="K8701" s="25"/>
      <c r="L8701" s="25"/>
      <c r="M8701" s="25"/>
      <c r="N8701" s="25"/>
      <c r="O8701" s="25"/>
    </row>
    <row r="8702" customFormat="false" ht="19.5" hidden="false" customHeight="true" outlineLevel="0" collapsed="false">
      <c r="B8702" s="10"/>
      <c r="C8702" s="10"/>
      <c r="D8702" s="10"/>
      <c r="E8702" s="10"/>
      <c r="F8702" s="10"/>
      <c r="J8702" s="25"/>
      <c r="K8702" s="25"/>
      <c r="L8702" s="25"/>
      <c r="M8702" s="25"/>
      <c r="N8702" s="25"/>
      <c r="O8702" s="25"/>
    </row>
    <row r="8703" customFormat="false" ht="15" hidden="false" customHeight="false" outlineLevel="0" collapsed="false">
      <c r="B8703" s="34" t="str">
        <f aca="false">SUBSTITUTE(SUBSTITUTE(SUBSTITUTE(SUBSTITUTE(SUBSTITUTE(Txt_Objet,"{cabinet}",Cab_Nom),"{societe}",IF($K$8686=0,"",INDEX(Clients!$E$2:$E$501,$K$8686)&amp;"")),"{date_effet}",$K$8688),"{hausse}",$K$8689),"{civilite}",$K$8687)</f>
        <v>Objet : révision de nos honoraires au 1er janvier 2027</v>
      </c>
      <c r="C8703" s="34"/>
      <c r="D8703" s="34"/>
      <c r="E8703" s="34"/>
      <c r="F8703" s="34"/>
      <c r="J8703" s="25"/>
      <c r="K8703" s="25"/>
      <c r="L8703" s="25"/>
      <c r="M8703" s="25"/>
      <c r="N8703" s="25"/>
      <c r="O8703" s="25"/>
    </row>
    <row r="8704" customFormat="false" ht="13.5" hidden="false" customHeight="true" outlineLevel="0" collapsed="false">
      <c r="B8704" s="10"/>
      <c r="C8704" s="10"/>
      <c r="D8704" s="10"/>
      <c r="E8704" s="10"/>
      <c r="F8704" s="10"/>
      <c r="J8704" s="25"/>
      <c r="K8704" s="25"/>
      <c r="L8704" s="25"/>
      <c r="M8704" s="25"/>
      <c r="N8704" s="25"/>
      <c r="O8704" s="25"/>
    </row>
    <row r="8705" customFormat="false" ht="15" hidden="false" customHeight="false" outlineLevel="0" collapsed="false">
      <c r="B8705" s="10" t="str">
        <f aca="false">$K$8687&amp;","</f>
        <v>Madame, Monsieur,</v>
      </c>
      <c r="C8705" s="10"/>
      <c r="D8705" s="10"/>
      <c r="E8705" s="10"/>
      <c r="F8705" s="10"/>
      <c r="J8705" s="25"/>
      <c r="K8705" s="25"/>
      <c r="L8705" s="25"/>
      <c r="M8705" s="25"/>
      <c r="N8705" s="25"/>
      <c r="O8705" s="25"/>
    </row>
    <row r="8706" customFormat="false" ht="6" hidden="false" customHeight="true" outlineLevel="0" collapsed="false">
      <c r="B8706" s="10"/>
      <c r="C8706" s="10"/>
      <c r="D8706" s="10"/>
      <c r="E8706" s="10"/>
      <c r="F8706" s="10"/>
      <c r="J8706" s="25"/>
      <c r="K8706" s="25"/>
      <c r="L8706" s="25"/>
      <c r="M8706" s="25"/>
      <c r="N8706" s="25"/>
      <c r="O8706" s="25"/>
    </row>
    <row r="8707" customFormat="false" ht="36.75" hidden="false" customHeight="true" outlineLevel="0" collapsed="false">
      <c r="B8707" s="37" t="str">
        <f aca="false">SUBSTITUTE(SUBSTITUTE(SUBSTITUTE(SUBSTITUTE(SUBSTITUTE(Txt_P1,"{cabinet}",Cab_Nom),"{societe}",IF($K$8686=0,"",INDEX(Clients!$E$2:$E$501,$K$8686)&amp;"")),"{date_effet}",$K$8688),"{hausse}",$K$8689),"{civilite}",$K$8687)</f>
        <v>Nous tenons tout d'abord à vous remercier pour la confiance que vous accordez à ALTHO EXPERTISE. Comme chaque année, et conformément aux dispositions de votre lettre de mission, nous procédons à la révision de nos honoraires.</v>
      </c>
      <c r="C8707" s="37"/>
      <c r="D8707" s="37"/>
      <c r="E8707" s="37"/>
      <c r="F8707" s="37"/>
      <c r="J8707" s="25"/>
      <c r="K8707" s="25"/>
      <c r="L8707" s="25"/>
      <c r="M8707" s="25"/>
      <c r="N8707" s="25"/>
      <c r="O8707" s="25"/>
    </row>
    <row r="8708" customFormat="false" ht="49.5" hidden="false" customHeight="true" outlineLevel="0" collapsed="false">
      <c r="B8708" s="37" t="str">
        <f aca="false">SUBSTITUTE(SUBSTITUTE(SUBSTITUTE(SUBSTITUTE(SUBSTITUTE(Txt_P2,"{cabinet}",Cab_Nom),"{societe}",IF($K$8686=0,"",INDEX(Clients!$E$2:$E$501,$K$8686)&amp;"")),"{date_effet}",$K$8688),"{hausse}",$K$8689),"{civilite}",$K$8687)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708" s="37"/>
      <c r="D8708" s="37"/>
      <c r="E8708" s="37"/>
      <c r="F8708" s="37"/>
      <c r="J8708" s="25"/>
      <c r="K8708" s="25"/>
      <c r="L8708" s="25"/>
      <c r="M8708" s="25"/>
      <c r="N8708" s="25"/>
      <c r="O8708" s="25"/>
    </row>
    <row r="8709" customFormat="false" ht="63" hidden="false" customHeight="true" outlineLevel="0" collapsed="false">
      <c r="B8709" s="37" t="str">
        <f aca="false">SUBSTITUTE(SUBSTITUTE(SUBSTITUTE(SUBSTITUTE(SUBSTITUTE(Txt_P3,"{cabinet}",Cab_Nom),"{societe}",IF($K$8686=0,"",INDEX(Clients!$E$2:$E$501,$K$8686)&amp;"")),"{date_effet}",$K$8688),"{hausse}",$K$8689),"{civilite}",$K$8687)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709" s="37"/>
      <c r="D8709" s="37"/>
      <c r="E8709" s="37"/>
      <c r="F8709" s="37"/>
      <c r="J8709" s="25"/>
      <c r="K8709" s="25"/>
      <c r="L8709" s="25"/>
      <c r="M8709" s="25"/>
      <c r="N8709" s="25"/>
      <c r="O8709" s="25"/>
    </row>
    <row r="8710" customFormat="false" ht="24" hidden="false" customHeight="true" outlineLevel="0" collapsed="false">
      <c r="B8710" s="37" t="str">
        <f aca="false">SUBSTITUTE(SUBSTITUTE(SUBSTITUTE(SUBSTITUTE(SUBSTITUTE(Txt_P4,"{cabinet}",Cab_Nom),"{societe}",IF($K$8686=0,"",INDEX(Clients!$E$2:$E$501,$K$8686)&amp;"")),"{date_effet}",$K$8688),"{hausse}",$K$8689),"{civilite}",$K$8687)</f>
        <v>À compter du 1er janvier 2027, vos honoraires annuels hors taxes évolueront ainsi (évolution globale : ) :</v>
      </c>
      <c r="C8710" s="37"/>
      <c r="D8710" s="37"/>
      <c r="E8710" s="37"/>
      <c r="F8710" s="37"/>
      <c r="J8710" s="25"/>
      <c r="K8710" s="25"/>
      <c r="L8710" s="25"/>
      <c r="M8710" s="25"/>
      <c r="N8710" s="25"/>
      <c r="O8710" s="25"/>
    </row>
    <row r="8711" customFormat="false" ht="3.75" hidden="false" customHeight="true" outlineLevel="0" collapsed="false">
      <c r="B8711" s="10"/>
      <c r="C8711" s="10"/>
      <c r="D8711" s="10"/>
      <c r="E8711" s="10"/>
      <c r="F8711" s="10"/>
      <c r="J8711" s="25"/>
      <c r="K8711" s="25"/>
      <c r="L8711" s="25"/>
      <c r="M8711" s="25"/>
      <c r="N8711" s="25"/>
      <c r="O8711" s="25"/>
    </row>
    <row r="8712" customFormat="false" ht="18" hidden="false" customHeight="true" outlineLevel="0" collapsed="false">
      <c r="B8712" s="38" t="s">
        <v>148</v>
      </c>
      <c r="C8712" s="39" t="s">
        <v>149</v>
      </c>
      <c r="D8712" s="39" t="s">
        <v>150</v>
      </c>
      <c r="E8712" s="39" t="s">
        <v>151</v>
      </c>
      <c r="F8712" s="39" t="s">
        <v>109</v>
      </c>
      <c r="J8712" s="25" t="s">
        <v>152</v>
      </c>
      <c r="K8712" s="25" t="s">
        <v>153</v>
      </c>
      <c r="L8712" s="25" t="s">
        <v>154</v>
      </c>
      <c r="M8712" s="25" t="s">
        <v>155</v>
      </c>
      <c r="N8712" s="25" t="s">
        <v>156</v>
      </c>
      <c r="O8712" s="25" t="s">
        <v>157</v>
      </c>
    </row>
    <row r="8713" customFormat="false" ht="16.5" hidden="false" customHeight="true" outlineLevel="0" collapsed="false">
      <c r="B8713" s="40" t="str">
        <f aca="false">IFERROR(INDEX($J$8713:$J$8716,MATCH($O8713,$N$8713:$N$8716,0)),"")</f>
        <v/>
      </c>
      <c r="C8713" s="41" t="str">
        <f aca="false">IFERROR(INDEX($K$8713:$K$8716,MATCH($O8713,$N$8713:$N$8716,0)),"")</f>
        <v/>
      </c>
      <c r="D8713" s="42" t="str">
        <f aca="false">IF(OR(E8713="",N(C8713)=0),"",E8713/C8713-1)</f>
        <v/>
      </c>
      <c r="E8713" s="41" t="str">
        <f aca="false">IFERROR(INDEX($L$8713:$L$8716,MATCH($O8713,$N$8713:$N$8716,0)),"")</f>
        <v/>
      </c>
      <c r="F8713" s="41" t="str">
        <f aca="false">IF(E8713="","",E8713-C8713)</f>
        <v/>
      </c>
      <c r="J8713" s="25" t="str">
        <f aca="false">Lib_Compta</f>
        <v>Mission comptable (tenue, révision, bilan, liasse fiscale)</v>
      </c>
      <c r="K8713" s="25" t="n">
        <f aca="false">IF($K$8686=0,0,N(INDEX(Clients!$K$2:$K$501,$K$8686)))</f>
        <v>0</v>
      </c>
      <c r="L8713" s="25" t="n">
        <f aca="false">IF($K$8686=0,0,N(INDEX(Clients!$P$2:$P$501,$K$8686)))</f>
        <v>0</v>
      </c>
      <c r="M8713" s="25" t="n">
        <f aca="false">IF(OR(K8713&lt;&gt;0,L8713&lt;&gt;0),1,0)</f>
        <v>0</v>
      </c>
      <c r="N8713" s="25" t="str">
        <f aca="false">IF(M8713=1,SUM($M$8713:M8713),"")</f>
        <v/>
      </c>
      <c r="O8713" s="25" t="n">
        <v>1</v>
      </c>
    </row>
    <row r="8714" customFormat="false" ht="16.5" hidden="false" customHeight="true" outlineLevel="0" collapsed="false">
      <c r="B8714" s="40" t="str">
        <f aca="false">IFERROR(INDEX($J$8713:$J$8716,MATCH($O8714,$N$8713:$N$8716,0)),"")</f>
        <v/>
      </c>
      <c r="C8714" s="41" t="str">
        <f aca="false">IFERROR(INDEX($K$8713:$K$8716,MATCH($O8714,$N$8713:$N$8716,0)),"")</f>
        <v/>
      </c>
      <c r="D8714" s="42" t="str">
        <f aca="false">IF(OR(E8714="",N(C8714)=0),"",E8714/C8714-1)</f>
        <v/>
      </c>
      <c r="E8714" s="41" t="str">
        <f aca="false">IFERROR(INDEX($L$8713:$L$8716,MATCH($O8714,$N$8713:$N$8716,0)),"")</f>
        <v/>
      </c>
      <c r="F8714" s="41" t="str">
        <f aca="false">IF(E8714="","",E8714-C8714)</f>
        <v/>
      </c>
      <c r="J8714" s="25" t="str">
        <f aca="false">Lib_Paye</f>
        <v>Mission sociale (bulletins de paie, DSN, déclarations sociales)</v>
      </c>
      <c r="K8714" s="25" t="n">
        <f aca="false">IF($K$8686=0,0,N(INDEX(Clients!$L$2:$L$501,$K$8686)))</f>
        <v>0</v>
      </c>
      <c r="L8714" s="25" t="n">
        <f aca="false">IF($K$8686=0,0,N(INDEX(Clients!$Q$2:$Q$501,$K$8686)))</f>
        <v>0</v>
      </c>
      <c r="M8714" s="25" t="n">
        <f aca="false">IF(OR(K8714&lt;&gt;0,L8714&lt;&gt;0),1,0)</f>
        <v>0</v>
      </c>
      <c r="N8714" s="25" t="str">
        <f aca="false">IF(M8714=1,SUM($M$8713:M8714),"")</f>
        <v/>
      </c>
      <c r="O8714" s="25" t="n">
        <v>2</v>
      </c>
    </row>
    <row r="8715" customFormat="false" ht="16.5" hidden="false" customHeight="true" outlineLevel="0" collapsed="false">
      <c r="B8715" s="40" t="str">
        <f aca="false">IFERROR(INDEX($J$8713:$J$8716,MATCH($O8715,$N$8713:$N$8716,0)),"")</f>
        <v/>
      </c>
      <c r="C8715" s="41" t="str">
        <f aca="false">IFERROR(INDEX($K$8713:$K$8716,MATCH($O8715,$N$8713:$N$8716,0)),"")</f>
        <v/>
      </c>
      <c r="D8715" s="42" t="str">
        <f aca="false">IF(OR(E8715="",N(C8715)=0),"",E8715/C8715-1)</f>
        <v/>
      </c>
      <c r="E8715" s="41" t="str">
        <f aca="false">IFERROR(INDEX($L$8713:$L$8716,MATCH($O8715,$N$8713:$N$8716,0)),"")</f>
        <v/>
      </c>
      <c r="F8715" s="41" t="str">
        <f aca="false">IF(E8715="","",E8715-C8715)</f>
        <v/>
      </c>
      <c r="J8715" s="25" t="str">
        <f aca="false">Lib_Jur</f>
        <v>Mission juridique (approbation des comptes, secrétariat juridique)</v>
      </c>
      <c r="K8715" s="25" t="n">
        <f aca="false">IF($K$8686=0,0,N(INDEX(Clients!$M$2:$M$501,$K$8686)))</f>
        <v>0</v>
      </c>
      <c r="L8715" s="25" t="n">
        <f aca="false">IF($K$8686=0,0,N(INDEX(Clients!$R$2:$R$501,$K$8686)))</f>
        <v>0</v>
      </c>
      <c r="M8715" s="25" t="n">
        <f aca="false">IF(OR(K8715&lt;&gt;0,L8715&lt;&gt;0),1,0)</f>
        <v>0</v>
      </c>
      <c r="N8715" s="25" t="str">
        <f aca="false">IF(M8715=1,SUM($M$8713:M8715),"")</f>
        <v/>
      </c>
      <c r="O8715" s="25" t="n">
        <v>3</v>
      </c>
    </row>
    <row r="8716" customFormat="false" ht="16.5" hidden="false" customHeight="true" outlineLevel="0" collapsed="false">
      <c r="B8716" s="40" t="str">
        <f aca="false">IFERROR(INDEX($J$8713:$J$8716,MATCH($O8716,$N$8713:$N$8716,0)),"")</f>
        <v/>
      </c>
      <c r="C8716" s="41" t="str">
        <f aca="false">IFERROR(INDEX($K$8713:$K$8716,MATCH($O8716,$N$8713:$N$8716,0)),"")</f>
        <v/>
      </c>
      <c r="D8716" s="42" t="str">
        <f aca="false">IF(OR(E8716="",N(C8716)=0),"",E8716/C8716-1)</f>
        <v/>
      </c>
      <c r="E8716" s="41" t="str">
        <f aca="false">IFERROR(INDEX($L$8713:$L$8716,MATCH($O8716,$N$8713:$N$8716,0)),"")</f>
        <v/>
      </c>
      <c r="F8716" s="41" t="str">
        <f aca="false">IF(E8716="","",E8716-C8716)</f>
        <v/>
      </c>
      <c r="J8716" s="25" t="str">
        <f aca="false">Lib_PA</f>
        <v>Plateforme agréée – facturation électronique</v>
      </c>
      <c r="K8716" s="25" t="n">
        <f aca="false">IF($K$8686=0,0,N(INDEX(Clients!$N$2:$N$501,$K$8686)))</f>
        <v>0</v>
      </c>
      <c r="L8716" s="25" t="n">
        <f aca="false">IF($K$8686=0,0,N(INDEX(Clients!$S$2:$S$501,$K$8686)))</f>
        <v>0</v>
      </c>
      <c r="M8716" s="25" t="n">
        <f aca="false">IF(OR(K8716&lt;&gt;0,L8716&lt;&gt;0),1,0)</f>
        <v>0</v>
      </c>
      <c r="N8716" s="25" t="str">
        <f aca="false">IF(M8716=1,SUM($M$8713:M8716),"")</f>
        <v/>
      </c>
      <c r="O8716" s="25" t="n">
        <v>4</v>
      </c>
    </row>
    <row r="8717" customFormat="false" ht="18" hidden="false" customHeight="true" outlineLevel="0" collapsed="false">
      <c r="B8717" s="43" t="s">
        <v>158</v>
      </c>
      <c r="C8717" s="44" t="n">
        <f aca="false">SUM(K8713:K8716)</f>
        <v>0</v>
      </c>
      <c r="D8717" s="45" t="str">
        <f aca="false">IF(N(C8717)=0,"",E8717/C8717-1)</f>
        <v/>
      </c>
      <c r="E8717" s="44" t="n">
        <f aca="false">SUM(L8713:L8716)</f>
        <v>0</v>
      </c>
      <c r="F8717" s="44" t="n">
        <f aca="false">E8717-C8717</f>
        <v>0</v>
      </c>
    </row>
    <row r="8718" customFormat="false" ht="15" hidden="false" customHeight="false" outlineLevel="0" collapsed="false">
      <c r="B8718" s="46" t="str">
        <f aca="false">IF(N(Nb_Mensualites)=0,"","Soit "&amp;FIXED(E8717/Nb_Mensualites,2)&amp;" € HT par échéance ("&amp;Nb_Mensualites&amp;" échéances), "&amp;FIXED(E8717/Nb_Mensualites*(1+Taux_TVA),2)&amp;" € TTC.")</f>
        <v>Soit 0.00 € HT par échéance (12 échéances), 0.00 € TTC.</v>
      </c>
      <c r="C8718" s="46"/>
      <c r="D8718" s="46"/>
      <c r="E8718" s="46"/>
      <c r="F8718" s="46"/>
    </row>
    <row r="8719" customFormat="false" ht="7.5" hidden="false" customHeight="true" outlineLevel="0" collapsed="false">
      <c r="B8719" s="10"/>
      <c r="C8719" s="10"/>
      <c r="D8719" s="10"/>
      <c r="E8719" s="10"/>
      <c r="F8719" s="10"/>
    </row>
    <row r="8720" customFormat="false" ht="36.75" hidden="false" customHeight="true" outlineLevel="0" collapsed="false">
      <c r="B8720" s="37" t="str">
        <f aca="false">SUBSTITUTE(SUBSTITUTE(SUBSTITUTE(SUBSTITUTE(SUBSTITUTE(Txt_P5,"{cabinet}",Cab_Nom),"{societe}",IF($K$8686=0,"",INDEX(Clients!$E$2:$E$501,$K$8686)&amp;"")),"{date_effet}",$K$8688),"{hausse}",$K$8689),"{civilite}",$K$8687)</f>
        <v>Les autres conditions de votre lettre de mission demeurent inchangées. Les nouveaux montants seront appliqués automatiquement sur vos prochaines factures et échéances de prélèvement.</v>
      </c>
      <c r="C8720" s="37"/>
      <c r="D8720" s="37"/>
      <c r="E8720" s="37"/>
      <c r="F8720" s="37"/>
    </row>
    <row r="8721" customFormat="false" ht="36.75" hidden="false" customHeight="true" outlineLevel="0" collapsed="false">
      <c r="B8721" s="37" t="str">
        <f aca="false">SUBSTITUTE(SUBSTITUTE(SUBSTITUTE(SUBSTITUTE(SUBSTITUTE(Txt_P6,"{cabinet}",Cab_Nom),"{societe}",IF($K$8686=0,"",INDEX(Clients!$E$2:$E$501,$K$8686)&amp;"")),"{date_effet}",$K$8688),"{hausse}",$K$8689),"{civilite}",$K$8687)</f>
        <v>Votre interlocuteur habituel reste à votre entière disposition pour répondre à vos questions et faire le point sur l'évolution de vos besoins.</v>
      </c>
      <c r="C8721" s="37"/>
      <c r="D8721" s="37"/>
      <c r="E8721" s="37"/>
      <c r="F8721" s="37"/>
    </row>
    <row r="8722" customFormat="false" ht="24" hidden="false" customHeight="true" outlineLevel="0" collapsed="false">
      <c r="B8722" s="37" t="str">
        <f aca="false">SUBSTITUTE(SUBSTITUTE(SUBSTITUTE(SUBSTITUTE(SUBSTITUTE(Txt_Politesse,"{cabinet}",Cab_Nom),"{societe}",IF($K$8686=0,"",INDEX(Clients!$E$2:$E$501,$K$8686)&amp;"")),"{date_effet}",$K$8688),"{hausse}",$K$8689),"{civilite}",$K$8687)</f>
        <v>Nous vous prions d'agréer, Madame, Monsieur, l'expression de nos salutations distinguées.</v>
      </c>
      <c r="C8722" s="37"/>
      <c r="D8722" s="37"/>
      <c r="E8722" s="37"/>
      <c r="F8722" s="37"/>
    </row>
    <row r="8723" customFormat="false" ht="15" hidden="false" customHeight="false" outlineLevel="0" collapsed="false">
      <c r="B8723" s="10"/>
      <c r="C8723" s="10"/>
      <c r="D8723" s="10"/>
      <c r="E8723" s="10"/>
      <c r="F8723" s="10"/>
    </row>
    <row r="8724" customFormat="false" ht="15" hidden="false" customHeight="false" outlineLevel="0" collapsed="false">
      <c r="B8724" s="10"/>
      <c r="C8724" s="10"/>
      <c r="D8724" s="34" t="str">
        <f aca="false">Signataire</f>
        <v>Prénom NOM</v>
      </c>
      <c r="E8724" s="34"/>
      <c r="F8724" s="34"/>
    </row>
    <row r="8725" customFormat="false" ht="15" hidden="false" customHeight="false" outlineLevel="0" collapsed="false">
      <c r="B8725" s="10"/>
      <c r="C8725" s="10"/>
      <c r="D8725" s="47" t="str">
        <f aca="false">Signataire_Titre</f>
        <v>Expert-comptable associé</v>
      </c>
      <c r="E8725" s="47"/>
      <c r="F8725" s="47"/>
    </row>
    <row r="8726" customFormat="false" ht="15.75" hidden="false" customHeight="true" outlineLevel="0" collapsed="false">
      <c r="B8726" s="10"/>
      <c r="C8726" s="10"/>
      <c r="D8726" s="10"/>
      <c r="E8726" s="10"/>
      <c r="F8726" s="10"/>
    </row>
    <row r="8727" customFormat="false" ht="15.75" hidden="false" customHeight="true" outlineLevel="0" collapsed="false">
      <c r="B8727" s="10"/>
      <c r="C8727" s="10"/>
      <c r="D8727" s="10"/>
      <c r="E8727" s="10"/>
      <c r="F8727" s="10"/>
    </row>
    <row r="8728" customFormat="false" ht="15.75" hidden="false" customHeight="true" outlineLevel="0" collapsed="false">
      <c r="B8728" s="10"/>
      <c r="C8728" s="10"/>
      <c r="D8728" s="10"/>
      <c r="E8728" s="10"/>
      <c r="F8728" s="10"/>
    </row>
    <row r="8729" customFormat="false" ht="15.75" hidden="false" customHeight="true" outlineLevel="0" collapsed="false">
      <c r="B8729" s="10"/>
      <c r="C8729" s="10"/>
      <c r="D8729" s="10"/>
      <c r="E8729" s="10"/>
      <c r="F8729" s="10"/>
    </row>
    <row r="8730" customFormat="false" ht="24" hidden="false" customHeight="true" outlineLevel="0" collapsed="false">
      <c r="B8730" s="48" t="str">
        <f aca="false">Cab_Mentions</f>
        <v>ALTHO EXPERTISE · SAS au capital de 10 000 € · RCS Pontoise 919 706 325 · TVA FR62919706325 · Société d'expertise comptable inscrite au Tableau de l'Ordre des experts-comptables de Paris Île-de-France</v>
      </c>
      <c r="C8730" s="48"/>
      <c r="D8730" s="48"/>
      <c r="E8730" s="48"/>
      <c r="F8730" s="48"/>
    </row>
    <row r="8731" customFormat="false" ht="15" hidden="false" customHeight="false" outlineLevel="0" collapsed="false">
      <c r="B8731" s="10"/>
      <c r="C8731" s="10"/>
      <c r="D8731" s="10"/>
      <c r="E8731" s="10"/>
      <c r="F8731" s="10"/>
      <c r="J8731" s="25" t="s">
        <v>142</v>
      </c>
      <c r="K8731" s="25" t="n">
        <f aca="false">IFERROR(MATCH(195,Clients!$Z$2:$Z$501,0),0)</f>
        <v>0</v>
      </c>
      <c r="L8731" s="25"/>
      <c r="M8731" s="25"/>
      <c r="N8731" s="25"/>
      <c r="O8731" s="25"/>
    </row>
    <row r="8732" customFormat="false" ht="21.75" hidden="false" customHeight="true" outlineLevel="0" collapsed="false">
      <c r="B8732" s="26" t="str">
        <f aca="false">Cab_Nom</f>
        <v>ALTHO EXPERTISE</v>
      </c>
      <c r="C8732" s="26"/>
      <c r="D8732" s="10"/>
      <c r="E8732" s="27" t="str">
        <f aca="false">IF($K$8731=0,"","Réf. client : "&amp;INDEX(Clients!$A$2:$A$501,$K$8731))</f>
        <v/>
      </c>
      <c r="F8732" s="27"/>
      <c r="J8732" s="25" t="s">
        <v>144</v>
      </c>
      <c r="K8732" s="25" t="str">
        <f aca="false">IF(IF($K$8731=0,"",INDEX(Clients!$B$2:$B$501,$K$8731)&amp;"")="Mme","Madame",IF(IF($K$8731=0,"",INDEX(Clients!$B$2:$B$501,$K$8731)&amp;"")="M.","Monsieur","Madame, Monsieur"))</f>
        <v>Madame, Monsieur</v>
      </c>
      <c r="L8732" s="25"/>
      <c r="M8732" s="25"/>
      <c r="N8732" s="25"/>
      <c r="O8732" s="25"/>
    </row>
    <row r="8733" customFormat="false" ht="15" hidden="false" customHeight="false" outlineLevel="0" collapsed="false">
      <c r="B8733" s="29" t="str">
        <f aca="false">Cab_Adr1</f>
        <v>141 rue Charles de Gaulle</v>
      </c>
      <c r="C8733" s="29"/>
      <c r="D8733" s="10"/>
      <c r="E8733" s="10"/>
      <c r="F8733" s="10"/>
      <c r="J8733" s="25" t="s">
        <v>145</v>
      </c>
      <c r="K8733" s="25" t="str">
        <f aca="false">DAY(Date_Effet)&amp;IF(DAY(Date_Effet)=1,"er","")&amp;" "&amp;INDEX(Liste_Mois,MONTH(Date_Effet))&amp;" "&amp;YEAR(Date_Effet)</f>
        <v>1er janvier 2027</v>
      </c>
      <c r="L8733" s="25"/>
      <c r="M8733" s="25"/>
      <c r="N8733" s="25"/>
      <c r="O8733" s="25"/>
    </row>
    <row r="8734" customFormat="false" ht="15" hidden="false" customHeight="false" outlineLevel="0" collapsed="false">
      <c r="B8734" s="29" t="str">
        <f aca="false">Cab_CPVille</f>
        <v>95130 LE PLESSIS-BOUCHARD</v>
      </c>
      <c r="C8734" s="29"/>
      <c r="D8734" s="10"/>
      <c r="E8734" s="10"/>
      <c r="F8734" s="10"/>
      <c r="J8734" s="25" t="s">
        <v>146</v>
      </c>
      <c r="K8734" s="25" t="str">
        <f aca="false">IF(SUM($K$8758:$K$8761)=0,"",FIXED((SUM($L$8758:$L$8761)/SUM($K$8758:$K$8761)-1)*100,1)&amp;" %")</f>
        <v/>
      </c>
      <c r="L8734" s="25"/>
      <c r="M8734" s="25"/>
      <c r="N8734" s="25"/>
      <c r="O8734" s="25"/>
    </row>
    <row r="8735" customFormat="false" ht="15" hidden="false" customHeight="false" outlineLevel="0" collapsed="false">
      <c r="B8735" s="29" t="str">
        <f aca="false">Cab_Contact</f>
        <v>Tél. 01 34 14 53 45  ·  altho@altho-experts.com  ·  altho-experts.com</v>
      </c>
      <c r="C8735" s="29"/>
      <c r="D8735" s="10"/>
      <c r="E8735" s="10"/>
      <c r="F8735" s="10"/>
      <c r="J8735" s="25"/>
      <c r="K8735" s="25"/>
      <c r="L8735" s="25"/>
      <c r="M8735" s="25"/>
      <c r="N8735" s="25"/>
      <c r="O8735" s="25"/>
    </row>
    <row r="8736" customFormat="false" ht="6" hidden="false" customHeight="true" outlineLevel="0" collapsed="false">
      <c r="B8736" s="32"/>
      <c r="C8736" s="32"/>
      <c r="D8736" s="32"/>
      <c r="E8736" s="32"/>
      <c r="F8736" s="32"/>
      <c r="J8736" s="25"/>
      <c r="K8736" s="25"/>
      <c r="L8736" s="25"/>
      <c r="M8736" s="25"/>
      <c r="N8736" s="25"/>
      <c r="O8736" s="25"/>
    </row>
    <row r="8737" customFormat="false" ht="13.5" hidden="false" customHeight="true" outlineLevel="0" collapsed="false">
      <c r="B8737" s="10"/>
      <c r="C8737" s="10"/>
      <c r="D8737" s="10"/>
      <c r="E8737" s="10"/>
      <c r="F8737" s="10"/>
      <c r="J8737" s="25"/>
      <c r="K8737" s="25"/>
      <c r="L8737" s="25"/>
      <c r="M8737" s="25"/>
      <c r="N8737" s="25"/>
      <c r="O8737" s="25"/>
    </row>
    <row r="8738" customFormat="false" ht="13.5" hidden="false" customHeight="true" outlineLevel="0" collapsed="false">
      <c r="B8738" s="10"/>
      <c r="C8738" s="10"/>
      <c r="D8738" s="10"/>
      <c r="E8738" s="10"/>
      <c r="F8738" s="10"/>
      <c r="J8738" s="25"/>
      <c r="K8738" s="25"/>
      <c r="L8738" s="25"/>
      <c r="M8738" s="25"/>
      <c r="N8738" s="25"/>
      <c r="O8738" s="25"/>
    </row>
    <row r="8739" customFormat="false" ht="13.5" hidden="false" customHeight="true" outlineLevel="0" collapsed="false">
      <c r="B8739" s="10"/>
      <c r="C8739" s="10"/>
      <c r="D8739" s="10"/>
      <c r="E8739" s="10"/>
      <c r="F8739" s="10"/>
      <c r="J8739" s="25"/>
      <c r="K8739" s="25"/>
      <c r="L8739" s="25"/>
      <c r="M8739" s="25"/>
      <c r="N8739" s="25"/>
      <c r="O8739" s="25"/>
    </row>
    <row r="8740" customFormat="false" ht="15" hidden="false" customHeight="true" outlineLevel="0" collapsed="false">
      <c r="B8740" s="10"/>
      <c r="C8740" s="10"/>
      <c r="D8740" s="34" t="str">
        <f aca="false">IF($K$8731=0,"",INDEX(Clients!$E$2:$E$501,$K$8731)&amp;"")</f>
        <v/>
      </c>
      <c r="E8740" s="34"/>
      <c r="F8740" s="34"/>
      <c r="J8740" s="25"/>
      <c r="K8740" s="25"/>
      <c r="L8740" s="25"/>
      <c r="M8740" s="25"/>
      <c r="N8740" s="25"/>
      <c r="O8740" s="25"/>
    </row>
    <row r="8741" customFormat="false" ht="15" hidden="false" customHeight="true" outlineLevel="0" collapsed="false">
      <c r="B8741" s="10"/>
      <c r="C8741" s="10"/>
      <c r="D8741" s="35" t="str">
        <f aca="false">IF(IF($K$8731=0,"",INDEX(Clients!$D$2:$D$501,$K$8731)&amp;"")="","","À l'attention de "&amp;TRIM(IF($K$8731=0,"",INDEX(Clients!$B$2:$B$501,$K$8731)&amp;"")&amp;" "&amp;IF($K$8731=0,"",INDEX(Clients!$C$2:$C$501,$K$8731)&amp;"")&amp;" "&amp;IF($K$8731=0,"",INDEX(Clients!$D$2:$D$501,$K$8731)&amp;"")))</f>
        <v/>
      </c>
      <c r="E8741" s="35"/>
      <c r="F8741" s="35"/>
      <c r="J8741" s="25"/>
      <c r="K8741" s="25"/>
      <c r="L8741" s="25"/>
      <c r="M8741" s="25"/>
      <c r="N8741" s="25"/>
      <c r="O8741" s="25"/>
    </row>
    <row r="8742" customFormat="false" ht="15" hidden="false" customHeight="true" outlineLevel="0" collapsed="false">
      <c r="B8742" s="10"/>
      <c r="C8742" s="10"/>
      <c r="D8742" s="35" t="str">
        <f aca="false">IF($K$8731=0,"",INDEX(Clients!$F$2:$F$501,$K$8731)&amp;"")</f>
        <v/>
      </c>
      <c r="E8742" s="35"/>
      <c r="F8742" s="35"/>
      <c r="J8742" s="25"/>
      <c r="K8742" s="25"/>
      <c r="L8742" s="25"/>
      <c r="M8742" s="25"/>
      <c r="N8742" s="25"/>
      <c r="O8742" s="25"/>
    </row>
    <row r="8743" customFormat="false" ht="15" hidden="false" customHeight="true" outlineLevel="0" collapsed="false">
      <c r="B8743" s="10"/>
      <c r="C8743" s="10"/>
      <c r="D8743" s="35" t="str">
        <f aca="false">IF(IF($K$8731=0,"",INDEX(Clients!$G$2:$G$501,$K$8731)&amp;"")="",TRIM(IF($K$8731=0,"",INDEX(Clients!$H$2:$H$501,$K$8731)&amp;"")&amp;" "&amp;UPPER(IF($K$8731=0,"",INDEX(Clients!$I$2:$I$501,$K$8731)&amp;""))),IF($K$8731=0,"",INDEX(Clients!$G$2:$G$501,$K$8731)&amp;""))</f>
        <v/>
      </c>
      <c r="E8743" s="35"/>
      <c r="F8743" s="35"/>
      <c r="J8743" s="25"/>
      <c r="K8743" s="25"/>
      <c r="L8743" s="25"/>
      <c r="M8743" s="25"/>
      <c r="N8743" s="25"/>
      <c r="O8743" s="25"/>
    </row>
    <row r="8744" customFormat="false" ht="15" hidden="false" customHeight="true" outlineLevel="0" collapsed="false">
      <c r="B8744" s="10"/>
      <c r="C8744" s="10"/>
      <c r="D8744" s="35" t="str">
        <f aca="false">IF(IF($K$8731=0,"",INDEX(Clients!$G$2:$G$501,$K$8731)&amp;"")="","",TRIM(IF($K$8731=0,"",INDEX(Clients!$H$2:$H$501,$K$8731)&amp;"")&amp;" "&amp;UPPER(IF($K$8731=0,"",INDEX(Clients!$I$2:$I$501,$K$8731)&amp;""))))</f>
        <v/>
      </c>
      <c r="E8744" s="35"/>
      <c r="F8744" s="35"/>
      <c r="J8744" s="25"/>
      <c r="K8744" s="25"/>
      <c r="L8744" s="25"/>
      <c r="M8744" s="25"/>
      <c r="N8744" s="25"/>
      <c r="O8744" s="25"/>
    </row>
    <row r="8745" customFormat="false" ht="25.5" hidden="false" customHeight="true" outlineLevel="0" collapsed="false">
      <c r="B8745" s="10"/>
      <c r="C8745" s="10"/>
      <c r="D8745" s="10"/>
      <c r="E8745" s="10"/>
      <c r="F8745" s="10"/>
      <c r="J8745" s="25"/>
      <c r="K8745" s="25"/>
      <c r="L8745" s="25"/>
      <c r="M8745" s="25"/>
      <c r="N8745" s="25"/>
      <c r="O8745" s="25"/>
    </row>
    <row r="8746" customFormat="false" ht="15" hidden="false" customHeight="false" outlineLevel="0" collapsed="false">
      <c r="B8746" s="10"/>
      <c r="C8746" s="10"/>
      <c r="D8746" s="36" t="str">
        <f aca="false">Cab_Ville&amp;", le "&amp;DAY(Date_Courrier)&amp;IF(DAY(Date_Courrier)=1,"er","")&amp;" "&amp;INDEX(Liste_Mois,MONTH(Date_Courrier))&amp;" "&amp;YEAR(Date_Courrier)</f>
        <v>Le Plessis-Bouchard, le 22 septembre 2026</v>
      </c>
      <c r="E8746" s="36"/>
      <c r="F8746" s="36"/>
      <c r="J8746" s="25"/>
      <c r="K8746" s="25"/>
      <c r="L8746" s="25"/>
      <c r="M8746" s="25"/>
      <c r="N8746" s="25"/>
      <c r="O8746" s="25"/>
    </row>
    <row r="8747" customFormat="false" ht="19.5" hidden="false" customHeight="true" outlineLevel="0" collapsed="false">
      <c r="B8747" s="10"/>
      <c r="C8747" s="10"/>
      <c r="D8747" s="10"/>
      <c r="E8747" s="10"/>
      <c r="F8747" s="10"/>
      <c r="J8747" s="25"/>
      <c r="K8747" s="25"/>
      <c r="L8747" s="25"/>
      <c r="M8747" s="25"/>
      <c r="N8747" s="25"/>
      <c r="O8747" s="25"/>
    </row>
    <row r="8748" customFormat="false" ht="15" hidden="false" customHeight="false" outlineLevel="0" collapsed="false">
      <c r="B8748" s="34" t="str">
        <f aca="false">SUBSTITUTE(SUBSTITUTE(SUBSTITUTE(SUBSTITUTE(SUBSTITUTE(Txt_Objet,"{cabinet}",Cab_Nom),"{societe}",IF($K$8731=0,"",INDEX(Clients!$E$2:$E$501,$K$8731)&amp;"")),"{date_effet}",$K$8733),"{hausse}",$K$8734),"{civilite}",$K$8732)</f>
        <v>Objet : révision de nos honoraires au 1er janvier 2027</v>
      </c>
      <c r="C8748" s="34"/>
      <c r="D8748" s="34"/>
      <c r="E8748" s="34"/>
      <c r="F8748" s="34"/>
      <c r="J8748" s="25"/>
      <c r="K8748" s="25"/>
      <c r="L8748" s="25"/>
      <c r="M8748" s="25"/>
      <c r="N8748" s="25"/>
      <c r="O8748" s="25"/>
    </row>
    <row r="8749" customFormat="false" ht="13.5" hidden="false" customHeight="true" outlineLevel="0" collapsed="false">
      <c r="B8749" s="10"/>
      <c r="C8749" s="10"/>
      <c r="D8749" s="10"/>
      <c r="E8749" s="10"/>
      <c r="F8749" s="10"/>
      <c r="J8749" s="25"/>
      <c r="K8749" s="25"/>
      <c r="L8749" s="25"/>
      <c r="M8749" s="25"/>
      <c r="N8749" s="25"/>
      <c r="O8749" s="25"/>
    </row>
    <row r="8750" customFormat="false" ht="15" hidden="false" customHeight="false" outlineLevel="0" collapsed="false">
      <c r="B8750" s="10" t="str">
        <f aca="false">$K$8732&amp;","</f>
        <v>Madame, Monsieur,</v>
      </c>
      <c r="C8750" s="10"/>
      <c r="D8750" s="10"/>
      <c r="E8750" s="10"/>
      <c r="F8750" s="10"/>
      <c r="J8750" s="25"/>
      <c r="K8750" s="25"/>
      <c r="L8750" s="25"/>
      <c r="M8750" s="25"/>
      <c r="N8750" s="25"/>
      <c r="O8750" s="25"/>
    </row>
    <row r="8751" customFormat="false" ht="6" hidden="false" customHeight="true" outlineLevel="0" collapsed="false">
      <c r="B8751" s="10"/>
      <c r="C8751" s="10"/>
      <c r="D8751" s="10"/>
      <c r="E8751" s="10"/>
      <c r="F8751" s="10"/>
      <c r="J8751" s="25"/>
      <c r="K8751" s="25"/>
      <c r="L8751" s="25"/>
      <c r="M8751" s="25"/>
      <c r="N8751" s="25"/>
      <c r="O8751" s="25"/>
    </row>
    <row r="8752" customFormat="false" ht="36.75" hidden="false" customHeight="true" outlineLevel="0" collapsed="false">
      <c r="B8752" s="37" t="str">
        <f aca="false">SUBSTITUTE(SUBSTITUTE(SUBSTITUTE(SUBSTITUTE(SUBSTITUTE(Txt_P1,"{cabinet}",Cab_Nom),"{societe}",IF($K$8731=0,"",INDEX(Clients!$E$2:$E$501,$K$8731)&amp;"")),"{date_effet}",$K$8733),"{hausse}",$K$8734),"{civilite}",$K$8732)</f>
        <v>Nous tenons tout d'abord à vous remercier pour la confiance que vous accordez à ALTHO EXPERTISE. Comme chaque année, et conformément aux dispositions de votre lettre de mission, nous procédons à la révision de nos honoraires.</v>
      </c>
      <c r="C8752" s="37"/>
      <c r="D8752" s="37"/>
      <c r="E8752" s="37"/>
      <c r="F8752" s="37"/>
      <c r="J8752" s="25"/>
      <c r="K8752" s="25"/>
      <c r="L8752" s="25"/>
      <c r="M8752" s="25"/>
      <c r="N8752" s="25"/>
      <c r="O8752" s="25"/>
    </row>
    <row r="8753" customFormat="false" ht="49.5" hidden="false" customHeight="true" outlineLevel="0" collapsed="false">
      <c r="B8753" s="37" t="str">
        <f aca="false">SUBSTITUTE(SUBSTITUTE(SUBSTITUTE(SUBSTITUTE(SUBSTITUTE(Txt_P2,"{cabinet}",Cab_Nom),"{societe}",IF($K$8731=0,"",INDEX(Clients!$E$2:$E$501,$K$8731)&amp;"")),"{date_effet}",$K$8733),"{hausse}",$K$8734),"{civilite}",$K$8732)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753" s="37"/>
      <c r="D8753" s="37"/>
      <c r="E8753" s="37"/>
      <c r="F8753" s="37"/>
      <c r="J8753" s="25"/>
      <c r="K8753" s="25"/>
      <c r="L8753" s="25"/>
      <c r="M8753" s="25"/>
      <c r="N8753" s="25"/>
      <c r="O8753" s="25"/>
    </row>
    <row r="8754" customFormat="false" ht="63" hidden="false" customHeight="true" outlineLevel="0" collapsed="false">
      <c r="B8754" s="37" t="str">
        <f aca="false">SUBSTITUTE(SUBSTITUTE(SUBSTITUTE(SUBSTITUTE(SUBSTITUTE(Txt_P3,"{cabinet}",Cab_Nom),"{societe}",IF($K$8731=0,"",INDEX(Clients!$E$2:$E$501,$K$8731)&amp;"")),"{date_effet}",$K$8733),"{hausse}",$K$8734),"{civilite}",$K$8732)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754" s="37"/>
      <c r="D8754" s="37"/>
      <c r="E8754" s="37"/>
      <c r="F8754" s="37"/>
      <c r="J8754" s="25"/>
      <c r="K8754" s="25"/>
      <c r="L8754" s="25"/>
      <c r="M8754" s="25"/>
      <c r="N8754" s="25"/>
      <c r="O8754" s="25"/>
    </row>
    <row r="8755" customFormat="false" ht="24" hidden="false" customHeight="true" outlineLevel="0" collapsed="false">
      <c r="B8755" s="37" t="str">
        <f aca="false">SUBSTITUTE(SUBSTITUTE(SUBSTITUTE(SUBSTITUTE(SUBSTITUTE(Txt_P4,"{cabinet}",Cab_Nom),"{societe}",IF($K$8731=0,"",INDEX(Clients!$E$2:$E$501,$K$8731)&amp;"")),"{date_effet}",$K$8733),"{hausse}",$K$8734),"{civilite}",$K$8732)</f>
        <v>À compter du 1er janvier 2027, vos honoraires annuels hors taxes évolueront ainsi (évolution globale : ) :</v>
      </c>
      <c r="C8755" s="37"/>
      <c r="D8755" s="37"/>
      <c r="E8755" s="37"/>
      <c r="F8755" s="37"/>
      <c r="J8755" s="25"/>
      <c r="K8755" s="25"/>
      <c r="L8755" s="25"/>
      <c r="M8755" s="25"/>
      <c r="N8755" s="25"/>
      <c r="O8755" s="25"/>
    </row>
    <row r="8756" customFormat="false" ht="3.75" hidden="false" customHeight="true" outlineLevel="0" collapsed="false">
      <c r="B8756" s="10"/>
      <c r="C8756" s="10"/>
      <c r="D8756" s="10"/>
      <c r="E8756" s="10"/>
      <c r="F8756" s="10"/>
      <c r="J8756" s="25"/>
      <c r="K8756" s="25"/>
      <c r="L8756" s="25"/>
      <c r="M8756" s="25"/>
      <c r="N8756" s="25"/>
      <c r="O8756" s="25"/>
    </row>
    <row r="8757" customFormat="false" ht="18" hidden="false" customHeight="true" outlineLevel="0" collapsed="false">
      <c r="B8757" s="38" t="s">
        <v>148</v>
      </c>
      <c r="C8757" s="39" t="s">
        <v>149</v>
      </c>
      <c r="D8757" s="39" t="s">
        <v>150</v>
      </c>
      <c r="E8757" s="39" t="s">
        <v>151</v>
      </c>
      <c r="F8757" s="39" t="s">
        <v>109</v>
      </c>
      <c r="J8757" s="25" t="s">
        <v>152</v>
      </c>
      <c r="K8757" s="25" t="s">
        <v>153</v>
      </c>
      <c r="L8757" s="25" t="s">
        <v>154</v>
      </c>
      <c r="M8757" s="25" t="s">
        <v>155</v>
      </c>
      <c r="N8757" s="25" t="s">
        <v>156</v>
      </c>
      <c r="O8757" s="25" t="s">
        <v>157</v>
      </c>
    </row>
    <row r="8758" customFormat="false" ht="16.5" hidden="false" customHeight="true" outlineLevel="0" collapsed="false">
      <c r="B8758" s="40" t="str">
        <f aca="false">IFERROR(INDEX($J$8758:$J$8761,MATCH($O8758,$N$8758:$N$8761,0)),"")</f>
        <v/>
      </c>
      <c r="C8758" s="41" t="str">
        <f aca="false">IFERROR(INDEX($K$8758:$K$8761,MATCH($O8758,$N$8758:$N$8761,0)),"")</f>
        <v/>
      </c>
      <c r="D8758" s="42" t="str">
        <f aca="false">IF(OR(E8758="",N(C8758)=0),"",E8758/C8758-1)</f>
        <v/>
      </c>
      <c r="E8758" s="41" t="str">
        <f aca="false">IFERROR(INDEX($L$8758:$L$8761,MATCH($O8758,$N$8758:$N$8761,0)),"")</f>
        <v/>
      </c>
      <c r="F8758" s="41" t="str">
        <f aca="false">IF(E8758="","",E8758-C8758)</f>
        <v/>
      </c>
      <c r="J8758" s="25" t="str">
        <f aca="false">Lib_Compta</f>
        <v>Mission comptable (tenue, révision, bilan, liasse fiscale)</v>
      </c>
      <c r="K8758" s="25" t="n">
        <f aca="false">IF($K$8731=0,0,N(INDEX(Clients!$K$2:$K$501,$K$8731)))</f>
        <v>0</v>
      </c>
      <c r="L8758" s="25" t="n">
        <f aca="false">IF($K$8731=0,0,N(INDEX(Clients!$P$2:$P$501,$K$8731)))</f>
        <v>0</v>
      </c>
      <c r="M8758" s="25" t="n">
        <f aca="false">IF(OR(K8758&lt;&gt;0,L8758&lt;&gt;0),1,0)</f>
        <v>0</v>
      </c>
      <c r="N8758" s="25" t="str">
        <f aca="false">IF(M8758=1,SUM($M$8758:M8758),"")</f>
        <v/>
      </c>
      <c r="O8758" s="25" t="n">
        <v>1</v>
      </c>
    </row>
    <row r="8759" customFormat="false" ht="16.5" hidden="false" customHeight="true" outlineLevel="0" collapsed="false">
      <c r="B8759" s="40" t="str">
        <f aca="false">IFERROR(INDEX($J$8758:$J$8761,MATCH($O8759,$N$8758:$N$8761,0)),"")</f>
        <v/>
      </c>
      <c r="C8759" s="41" t="str">
        <f aca="false">IFERROR(INDEX($K$8758:$K$8761,MATCH($O8759,$N$8758:$N$8761,0)),"")</f>
        <v/>
      </c>
      <c r="D8759" s="42" t="str">
        <f aca="false">IF(OR(E8759="",N(C8759)=0),"",E8759/C8759-1)</f>
        <v/>
      </c>
      <c r="E8759" s="41" t="str">
        <f aca="false">IFERROR(INDEX($L$8758:$L$8761,MATCH($O8759,$N$8758:$N$8761,0)),"")</f>
        <v/>
      </c>
      <c r="F8759" s="41" t="str">
        <f aca="false">IF(E8759="","",E8759-C8759)</f>
        <v/>
      </c>
      <c r="J8759" s="25" t="str">
        <f aca="false">Lib_Paye</f>
        <v>Mission sociale (bulletins de paie, DSN, déclarations sociales)</v>
      </c>
      <c r="K8759" s="25" t="n">
        <f aca="false">IF($K$8731=0,0,N(INDEX(Clients!$L$2:$L$501,$K$8731)))</f>
        <v>0</v>
      </c>
      <c r="L8759" s="25" t="n">
        <f aca="false">IF($K$8731=0,0,N(INDEX(Clients!$Q$2:$Q$501,$K$8731)))</f>
        <v>0</v>
      </c>
      <c r="M8759" s="25" t="n">
        <f aca="false">IF(OR(K8759&lt;&gt;0,L8759&lt;&gt;0),1,0)</f>
        <v>0</v>
      </c>
      <c r="N8759" s="25" t="str">
        <f aca="false">IF(M8759=1,SUM($M$8758:M8759),"")</f>
        <v/>
      </c>
      <c r="O8759" s="25" t="n">
        <v>2</v>
      </c>
    </row>
    <row r="8760" customFormat="false" ht="16.5" hidden="false" customHeight="true" outlineLevel="0" collapsed="false">
      <c r="B8760" s="40" t="str">
        <f aca="false">IFERROR(INDEX($J$8758:$J$8761,MATCH($O8760,$N$8758:$N$8761,0)),"")</f>
        <v/>
      </c>
      <c r="C8760" s="41" t="str">
        <f aca="false">IFERROR(INDEX($K$8758:$K$8761,MATCH($O8760,$N$8758:$N$8761,0)),"")</f>
        <v/>
      </c>
      <c r="D8760" s="42" t="str">
        <f aca="false">IF(OR(E8760="",N(C8760)=0),"",E8760/C8760-1)</f>
        <v/>
      </c>
      <c r="E8760" s="41" t="str">
        <f aca="false">IFERROR(INDEX($L$8758:$L$8761,MATCH($O8760,$N$8758:$N$8761,0)),"")</f>
        <v/>
      </c>
      <c r="F8760" s="41" t="str">
        <f aca="false">IF(E8760="","",E8760-C8760)</f>
        <v/>
      </c>
      <c r="J8760" s="25" t="str">
        <f aca="false">Lib_Jur</f>
        <v>Mission juridique (approbation des comptes, secrétariat juridique)</v>
      </c>
      <c r="K8760" s="25" t="n">
        <f aca="false">IF($K$8731=0,0,N(INDEX(Clients!$M$2:$M$501,$K$8731)))</f>
        <v>0</v>
      </c>
      <c r="L8760" s="25" t="n">
        <f aca="false">IF($K$8731=0,0,N(INDEX(Clients!$R$2:$R$501,$K$8731)))</f>
        <v>0</v>
      </c>
      <c r="M8760" s="25" t="n">
        <f aca="false">IF(OR(K8760&lt;&gt;0,L8760&lt;&gt;0),1,0)</f>
        <v>0</v>
      </c>
      <c r="N8760" s="25" t="str">
        <f aca="false">IF(M8760=1,SUM($M$8758:M8760),"")</f>
        <v/>
      </c>
      <c r="O8760" s="25" t="n">
        <v>3</v>
      </c>
    </row>
    <row r="8761" customFormat="false" ht="16.5" hidden="false" customHeight="true" outlineLevel="0" collapsed="false">
      <c r="B8761" s="40" t="str">
        <f aca="false">IFERROR(INDEX($J$8758:$J$8761,MATCH($O8761,$N$8758:$N$8761,0)),"")</f>
        <v/>
      </c>
      <c r="C8761" s="41" t="str">
        <f aca="false">IFERROR(INDEX($K$8758:$K$8761,MATCH($O8761,$N$8758:$N$8761,0)),"")</f>
        <v/>
      </c>
      <c r="D8761" s="42" t="str">
        <f aca="false">IF(OR(E8761="",N(C8761)=0),"",E8761/C8761-1)</f>
        <v/>
      </c>
      <c r="E8761" s="41" t="str">
        <f aca="false">IFERROR(INDEX($L$8758:$L$8761,MATCH($O8761,$N$8758:$N$8761,0)),"")</f>
        <v/>
      </c>
      <c r="F8761" s="41" t="str">
        <f aca="false">IF(E8761="","",E8761-C8761)</f>
        <v/>
      </c>
      <c r="J8761" s="25" t="str">
        <f aca="false">Lib_PA</f>
        <v>Plateforme agréée – facturation électronique</v>
      </c>
      <c r="K8761" s="25" t="n">
        <f aca="false">IF($K$8731=0,0,N(INDEX(Clients!$N$2:$N$501,$K$8731)))</f>
        <v>0</v>
      </c>
      <c r="L8761" s="25" t="n">
        <f aca="false">IF($K$8731=0,0,N(INDEX(Clients!$S$2:$S$501,$K$8731)))</f>
        <v>0</v>
      </c>
      <c r="M8761" s="25" t="n">
        <f aca="false">IF(OR(K8761&lt;&gt;0,L8761&lt;&gt;0),1,0)</f>
        <v>0</v>
      </c>
      <c r="N8761" s="25" t="str">
        <f aca="false">IF(M8761=1,SUM($M$8758:M8761),"")</f>
        <v/>
      </c>
      <c r="O8761" s="25" t="n">
        <v>4</v>
      </c>
    </row>
    <row r="8762" customFormat="false" ht="18" hidden="false" customHeight="true" outlineLevel="0" collapsed="false">
      <c r="B8762" s="43" t="s">
        <v>158</v>
      </c>
      <c r="C8762" s="44" t="n">
        <f aca="false">SUM(K8758:K8761)</f>
        <v>0</v>
      </c>
      <c r="D8762" s="45" t="str">
        <f aca="false">IF(N(C8762)=0,"",E8762/C8762-1)</f>
        <v/>
      </c>
      <c r="E8762" s="44" t="n">
        <f aca="false">SUM(L8758:L8761)</f>
        <v>0</v>
      </c>
      <c r="F8762" s="44" t="n">
        <f aca="false">E8762-C8762</f>
        <v>0</v>
      </c>
    </row>
    <row r="8763" customFormat="false" ht="15" hidden="false" customHeight="false" outlineLevel="0" collapsed="false">
      <c r="B8763" s="46" t="str">
        <f aca="false">IF(N(Nb_Mensualites)=0,"","Soit "&amp;FIXED(E8762/Nb_Mensualites,2)&amp;" € HT par échéance ("&amp;Nb_Mensualites&amp;" échéances), "&amp;FIXED(E8762/Nb_Mensualites*(1+Taux_TVA),2)&amp;" € TTC.")</f>
        <v>Soit 0.00 € HT par échéance (12 échéances), 0.00 € TTC.</v>
      </c>
      <c r="C8763" s="46"/>
      <c r="D8763" s="46"/>
      <c r="E8763" s="46"/>
      <c r="F8763" s="46"/>
    </row>
    <row r="8764" customFormat="false" ht="7.5" hidden="false" customHeight="true" outlineLevel="0" collapsed="false">
      <c r="B8764" s="10"/>
      <c r="C8764" s="10"/>
      <c r="D8764" s="10"/>
      <c r="E8764" s="10"/>
      <c r="F8764" s="10"/>
    </row>
    <row r="8765" customFormat="false" ht="36.75" hidden="false" customHeight="true" outlineLevel="0" collapsed="false">
      <c r="B8765" s="37" t="str">
        <f aca="false">SUBSTITUTE(SUBSTITUTE(SUBSTITUTE(SUBSTITUTE(SUBSTITUTE(Txt_P5,"{cabinet}",Cab_Nom),"{societe}",IF($K$8731=0,"",INDEX(Clients!$E$2:$E$501,$K$8731)&amp;"")),"{date_effet}",$K$8733),"{hausse}",$K$8734),"{civilite}",$K$8732)</f>
        <v>Les autres conditions de votre lettre de mission demeurent inchangées. Les nouveaux montants seront appliqués automatiquement sur vos prochaines factures et échéances de prélèvement.</v>
      </c>
      <c r="C8765" s="37"/>
      <c r="D8765" s="37"/>
      <c r="E8765" s="37"/>
      <c r="F8765" s="37"/>
    </row>
    <row r="8766" customFormat="false" ht="36.75" hidden="false" customHeight="true" outlineLevel="0" collapsed="false">
      <c r="B8766" s="37" t="str">
        <f aca="false">SUBSTITUTE(SUBSTITUTE(SUBSTITUTE(SUBSTITUTE(SUBSTITUTE(Txt_P6,"{cabinet}",Cab_Nom),"{societe}",IF($K$8731=0,"",INDEX(Clients!$E$2:$E$501,$K$8731)&amp;"")),"{date_effet}",$K$8733),"{hausse}",$K$8734),"{civilite}",$K$8732)</f>
        <v>Votre interlocuteur habituel reste à votre entière disposition pour répondre à vos questions et faire le point sur l'évolution de vos besoins.</v>
      </c>
      <c r="C8766" s="37"/>
      <c r="D8766" s="37"/>
      <c r="E8766" s="37"/>
      <c r="F8766" s="37"/>
    </row>
    <row r="8767" customFormat="false" ht="24" hidden="false" customHeight="true" outlineLevel="0" collapsed="false">
      <c r="B8767" s="37" t="str">
        <f aca="false">SUBSTITUTE(SUBSTITUTE(SUBSTITUTE(SUBSTITUTE(SUBSTITUTE(Txt_Politesse,"{cabinet}",Cab_Nom),"{societe}",IF($K$8731=0,"",INDEX(Clients!$E$2:$E$501,$K$8731)&amp;"")),"{date_effet}",$K$8733),"{hausse}",$K$8734),"{civilite}",$K$8732)</f>
        <v>Nous vous prions d'agréer, Madame, Monsieur, l'expression de nos salutations distinguées.</v>
      </c>
      <c r="C8767" s="37"/>
      <c r="D8767" s="37"/>
      <c r="E8767" s="37"/>
      <c r="F8767" s="37"/>
    </row>
    <row r="8768" customFormat="false" ht="15" hidden="false" customHeight="false" outlineLevel="0" collapsed="false">
      <c r="B8768" s="10"/>
      <c r="C8768" s="10"/>
      <c r="D8768" s="10"/>
      <c r="E8768" s="10"/>
      <c r="F8768" s="10"/>
    </row>
    <row r="8769" customFormat="false" ht="15" hidden="false" customHeight="false" outlineLevel="0" collapsed="false">
      <c r="B8769" s="10"/>
      <c r="C8769" s="10"/>
      <c r="D8769" s="34" t="str">
        <f aca="false">Signataire</f>
        <v>Prénom NOM</v>
      </c>
      <c r="E8769" s="34"/>
      <c r="F8769" s="34"/>
    </row>
    <row r="8770" customFormat="false" ht="15" hidden="false" customHeight="false" outlineLevel="0" collapsed="false">
      <c r="B8770" s="10"/>
      <c r="C8770" s="10"/>
      <c r="D8770" s="47" t="str">
        <f aca="false">Signataire_Titre</f>
        <v>Expert-comptable associé</v>
      </c>
      <c r="E8770" s="47"/>
      <c r="F8770" s="47"/>
    </row>
    <row r="8771" customFormat="false" ht="15.75" hidden="false" customHeight="true" outlineLevel="0" collapsed="false">
      <c r="B8771" s="10"/>
      <c r="C8771" s="10"/>
      <c r="D8771" s="10"/>
      <c r="E8771" s="10"/>
      <c r="F8771" s="10"/>
    </row>
    <row r="8772" customFormat="false" ht="15.75" hidden="false" customHeight="true" outlineLevel="0" collapsed="false">
      <c r="B8772" s="10"/>
      <c r="C8772" s="10"/>
      <c r="D8772" s="10"/>
      <c r="E8772" s="10"/>
      <c r="F8772" s="10"/>
    </row>
    <row r="8773" customFormat="false" ht="15.75" hidden="false" customHeight="true" outlineLevel="0" collapsed="false">
      <c r="B8773" s="10"/>
      <c r="C8773" s="10"/>
      <c r="D8773" s="10"/>
      <c r="E8773" s="10"/>
      <c r="F8773" s="10"/>
    </row>
    <row r="8774" customFormat="false" ht="15.75" hidden="false" customHeight="true" outlineLevel="0" collapsed="false">
      <c r="B8774" s="10"/>
      <c r="C8774" s="10"/>
      <c r="D8774" s="10"/>
      <c r="E8774" s="10"/>
      <c r="F8774" s="10"/>
    </row>
    <row r="8775" customFormat="false" ht="24" hidden="false" customHeight="true" outlineLevel="0" collapsed="false">
      <c r="B8775" s="48" t="str">
        <f aca="false">Cab_Mentions</f>
        <v>ALTHO EXPERTISE · SAS au capital de 10 000 € · RCS Pontoise 919 706 325 · TVA FR62919706325 · Société d'expertise comptable inscrite au Tableau de l'Ordre des experts-comptables de Paris Île-de-France</v>
      </c>
      <c r="C8775" s="48"/>
      <c r="D8775" s="48"/>
      <c r="E8775" s="48"/>
      <c r="F8775" s="48"/>
    </row>
    <row r="8776" customFormat="false" ht="15" hidden="false" customHeight="false" outlineLevel="0" collapsed="false">
      <c r="B8776" s="10"/>
      <c r="C8776" s="10"/>
      <c r="D8776" s="10"/>
      <c r="E8776" s="10"/>
      <c r="F8776" s="10"/>
      <c r="J8776" s="25" t="s">
        <v>142</v>
      </c>
      <c r="K8776" s="25" t="n">
        <f aca="false">IFERROR(MATCH(196,Clients!$Z$2:$Z$501,0),0)</f>
        <v>0</v>
      </c>
      <c r="L8776" s="25"/>
      <c r="M8776" s="25"/>
      <c r="N8776" s="25"/>
      <c r="O8776" s="25"/>
    </row>
    <row r="8777" customFormat="false" ht="21.75" hidden="false" customHeight="true" outlineLevel="0" collapsed="false">
      <c r="B8777" s="26" t="str">
        <f aca="false">Cab_Nom</f>
        <v>ALTHO EXPERTISE</v>
      </c>
      <c r="C8777" s="26"/>
      <c r="D8777" s="10"/>
      <c r="E8777" s="27" t="str">
        <f aca="false">IF($K$8776=0,"","Réf. client : "&amp;INDEX(Clients!$A$2:$A$501,$K$8776))</f>
        <v/>
      </c>
      <c r="F8777" s="27"/>
      <c r="J8777" s="25" t="s">
        <v>144</v>
      </c>
      <c r="K8777" s="25" t="str">
        <f aca="false">IF(IF($K$8776=0,"",INDEX(Clients!$B$2:$B$501,$K$8776)&amp;"")="Mme","Madame",IF(IF($K$8776=0,"",INDEX(Clients!$B$2:$B$501,$K$8776)&amp;"")="M.","Monsieur","Madame, Monsieur"))</f>
        <v>Madame, Monsieur</v>
      </c>
      <c r="L8777" s="25"/>
      <c r="M8777" s="25"/>
      <c r="N8777" s="25"/>
      <c r="O8777" s="25"/>
    </row>
    <row r="8778" customFormat="false" ht="15" hidden="false" customHeight="false" outlineLevel="0" collapsed="false">
      <c r="B8778" s="29" t="str">
        <f aca="false">Cab_Adr1</f>
        <v>141 rue Charles de Gaulle</v>
      </c>
      <c r="C8778" s="29"/>
      <c r="D8778" s="10"/>
      <c r="E8778" s="10"/>
      <c r="F8778" s="10"/>
      <c r="J8778" s="25" t="s">
        <v>145</v>
      </c>
      <c r="K8778" s="25" t="str">
        <f aca="false">DAY(Date_Effet)&amp;IF(DAY(Date_Effet)=1,"er","")&amp;" "&amp;INDEX(Liste_Mois,MONTH(Date_Effet))&amp;" "&amp;YEAR(Date_Effet)</f>
        <v>1er janvier 2027</v>
      </c>
      <c r="L8778" s="25"/>
      <c r="M8778" s="25"/>
      <c r="N8778" s="25"/>
      <c r="O8778" s="25"/>
    </row>
    <row r="8779" customFormat="false" ht="15" hidden="false" customHeight="false" outlineLevel="0" collapsed="false">
      <c r="B8779" s="29" t="str">
        <f aca="false">Cab_CPVille</f>
        <v>95130 LE PLESSIS-BOUCHARD</v>
      </c>
      <c r="C8779" s="29"/>
      <c r="D8779" s="10"/>
      <c r="E8779" s="10"/>
      <c r="F8779" s="10"/>
      <c r="J8779" s="25" t="s">
        <v>146</v>
      </c>
      <c r="K8779" s="25" t="str">
        <f aca="false">IF(SUM($K$8803:$K$8806)=0,"",FIXED((SUM($L$8803:$L$8806)/SUM($K$8803:$K$8806)-1)*100,1)&amp;" %")</f>
        <v/>
      </c>
      <c r="L8779" s="25"/>
      <c r="M8779" s="25"/>
      <c r="N8779" s="25"/>
      <c r="O8779" s="25"/>
    </row>
    <row r="8780" customFormat="false" ht="15" hidden="false" customHeight="false" outlineLevel="0" collapsed="false">
      <c r="B8780" s="29" t="str">
        <f aca="false">Cab_Contact</f>
        <v>Tél. 01 34 14 53 45  ·  altho@altho-experts.com  ·  altho-experts.com</v>
      </c>
      <c r="C8780" s="29"/>
      <c r="D8780" s="10"/>
      <c r="E8780" s="10"/>
      <c r="F8780" s="10"/>
      <c r="J8780" s="25"/>
      <c r="K8780" s="25"/>
      <c r="L8780" s="25"/>
      <c r="M8780" s="25"/>
      <c r="N8780" s="25"/>
      <c r="O8780" s="25"/>
    </row>
    <row r="8781" customFormat="false" ht="6" hidden="false" customHeight="true" outlineLevel="0" collapsed="false">
      <c r="B8781" s="32"/>
      <c r="C8781" s="32"/>
      <c r="D8781" s="32"/>
      <c r="E8781" s="32"/>
      <c r="F8781" s="32"/>
      <c r="J8781" s="25"/>
      <c r="K8781" s="25"/>
      <c r="L8781" s="25"/>
      <c r="M8781" s="25"/>
      <c r="N8781" s="25"/>
      <c r="O8781" s="25"/>
    </row>
    <row r="8782" customFormat="false" ht="13.5" hidden="false" customHeight="true" outlineLevel="0" collapsed="false">
      <c r="B8782" s="10"/>
      <c r="C8782" s="10"/>
      <c r="D8782" s="10"/>
      <c r="E8782" s="10"/>
      <c r="F8782" s="10"/>
      <c r="J8782" s="25"/>
      <c r="K8782" s="25"/>
      <c r="L8782" s="25"/>
      <c r="M8782" s="25"/>
      <c r="N8782" s="25"/>
      <c r="O8782" s="25"/>
    </row>
    <row r="8783" customFormat="false" ht="13.5" hidden="false" customHeight="true" outlineLevel="0" collapsed="false">
      <c r="B8783" s="10"/>
      <c r="C8783" s="10"/>
      <c r="D8783" s="10"/>
      <c r="E8783" s="10"/>
      <c r="F8783" s="10"/>
      <c r="J8783" s="25"/>
      <c r="K8783" s="25"/>
      <c r="L8783" s="25"/>
      <c r="M8783" s="25"/>
      <c r="N8783" s="25"/>
      <c r="O8783" s="25"/>
    </row>
    <row r="8784" customFormat="false" ht="13.5" hidden="false" customHeight="true" outlineLevel="0" collapsed="false">
      <c r="B8784" s="10"/>
      <c r="C8784" s="10"/>
      <c r="D8784" s="10"/>
      <c r="E8784" s="10"/>
      <c r="F8784" s="10"/>
      <c r="J8784" s="25"/>
      <c r="K8784" s="25"/>
      <c r="L8784" s="25"/>
      <c r="M8784" s="25"/>
      <c r="N8784" s="25"/>
      <c r="O8784" s="25"/>
    </row>
    <row r="8785" customFormat="false" ht="15" hidden="false" customHeight="true" outlineLevel="0" collapsed="false">
      <c r="B8785" s="10"/>
      <c r="C8785" s="10"/>
      <c r="D8785" s="34" t="str">
        <f aca="false">IF($K$8776=0,"",INDEX(Clients!$E$2:$E$501,$K$8776)&amp;"")</f>
        <v/>
      </c>
      <c r="E8785" s="34"/>
      <c r="F8785" s="34"/>
      <c r="J8785" s="25"/>
      <c r="K8785" s="25"/>
      <c r="L8785" s="25"/>
      <c r="M8785" s="25"/>
      <c r="N8785" s="25"/>
      <c r="O8785" s="25"/>
    </row>
    <row r="8786" customFormat="false" ht="15" hidden="false" customHeight="true" outlineLevel="0" collapsed="false">
      <c r="B8786" s="10"/>
      <c r="C8786" s="10"/>
      <c r="D8786" s="35" t="str">
        <f aca="false">IF(IF($K$8776=0,"",INDEX(Clients!$D$2:$D$501,$K$8776)&amp;"")="","","À l'attention de "&amp;TRIM(IF($K$8776=0,"",INDEX(Clients!$B$2:$B$501,$K$8776)&amp;"")&amp;" "&amp;IF($K$8776=0,"",INDEX(Clients!$C$2:$C$501,$K$8776)&amp;"")&amp;" "&amp;IF($K$8776=0,"",INDEX(Clients!$D$2:$D$501,$K$8776)&amp;"")))</f>
        <v/>
      </c>
      <c r="E8786" s="35"/>
      <c r="F8786" s="35"/>
      <c r="J8786" s="25"/>
      <c r="K8786" s="25"/>
      <c r="L8786" s="25"/>
      <c r="M8786" s="25"/>
      <c r="N8786" s="25"/>
      <c r="O8786" s="25"/>
    </row>
    <row r="8787" customFormat="false" ht="15" hidden="false" customHeight="true" outlineLevel="0" collapsed="false">
      <c r="B8787" s="10"/>
      <c r="C8787" s="10"/>
      <c r="D8787" s="35" t="str">
        <f aca="false">IF($K$8776=0,"",INDEX(Clients!$F$2:$F$501,$K$8776)&amp;"")</f>
        <v/>
      </c>
      <c r="E8787" s="35"/>
      <c r="F8787" s="35"/>
      <c r="J8787" s="25"/>
      <c r="K8787" s="25"/>
      <c r="L8787" s="25"/>
      <c r="M8787" s="25"/>
      <c r="N8787" s="25"/>
      <c r="O8787" s="25"/>
    </row>
    <row r="8788" customFormat="false" ht="15" hidden="false" customHeight="true" outlineLevel="0" collapsed="false">
      <c r="B8788" s="10"/>
      <c r="C8788" s="10"/>
      <c r="D8788" s="35" t="str">
        <f aca="false">IF(IF($K$8776=0,"",INDEX(Clients!$G$2:$G$501,$K$8776)&amp;"")="",TRIM(IF($K$8776=0,"",INDEX(Clients!$H$2:$H$501,$K$8776)&amp;"")&amp;" "&amp;UPPER(IF($K$8776=0,"",INDEX(Clients!$I$2:$I$501,$K$8776)&amp;""))),IF($K$8776=0,"",INDEX(Clients!$G$2:$G$501,$K$8776)&amp;""))</f>
        <v/>
      </c>
      <c r="E8788" s="35"/>
      <c r="F8788" s="35"/>
      <c r="J8788" s="25"/>
      <c r="K8788" s="25"/>
      <c r="L8788" s="25"/>
      <c r="M8788" s="25"/>
      <c r="N8788" s="25"/>
      <c r="O8788" s="25"/>
    </row>
    <row r="8789" customFormat="false" ht="15" hidden="false" customHeight="true" outlineLevel="0" collapsed="false">
      <c r="B8789" s="10"/>
      <c r="C8789" s="10"/>
      <c r="D8789" s="35" t="str">
        <f aca="false">IF(IF($K$8776=0,"",INDEX(Clients!$G$2:$G$501,$K$8776)&amp;"")="","",TRIM(IF($K$8776=0,"",INDEX(Clients!$H$2:$H$501,$K$8776)&amp;"")&amp;" "&amp;UPPER(IF($K$8776=0,"",INDEX(Clients!$I$2:$I$501,$K$8776)&amp;""))))</f>
        <v/>
      </c>
      <c r="E8789" s="35"/>
      <c r="F8789" s="35"/>
      <c r="J8789" s="25"/>
      <c r="K8789" s="25"/>
      <c r="L8789" s="25"/>
      <c r="M8789" s="25"/>
      <c r="N8789" s="25"/>
      <c r="O8789" s="25"/>
    </row>
    <row r="8790" customFormat="false" ht="25.5" hidden="false" customHeight="true" outlineLevel="0" collapsed="false">
      <c r="B8790" s="10"/>
      <c r="C8790" s="10"/>
      <c r="D8790" s="10"/>
      <c r="E8790" s="10"/>
      <c r="F8790" s="10"/>
      <c r="J8790" s="25"/>
      <c r="K8790" s="25"/>
      <c r="L8790" s="25"/>
      <c r="M8790" s="25"/>
      <c r="N8790" s="25"/>
      <c r="O8790" s="25"/>
    </row>
    <row r="8791" customFormat="false" ht="15" hidden="false" customHeight="false" outlineLevel="0" collapsed="false">
      <c r="B8791" s="10"/>
      <c r="C8791" s="10"/>
      <c r="D8791" s="36" t="str">
        <f aca="false">Cab_Ville&amp;", le "&amp;DAY(Date_Courrier)&amp;IF(DAY(Date_Courrier)=1,"er","")&amp;" "&amp;INDEX(Liste_Mois,MONTH(Date_Courrier))&amp;" "&amp;YEAR(Date_Courrier)</f>
        <v>Le Plessis-Bouchard, le 22 septembre 2026</v>
      </c>
      <c r="E8791" s="36"/>
      <c r="F8791" s="36"/>
      <c r="J8791" s="25"/>
      <c r="K8791" s="25"/>
      <c r="L8791" s="25"/>
      <c r="M8791" s="25"/>
      <c r="N8791" s="25"/>
      <c r="O8791" s="25"/>
    </row>
    <row r="8792" customFormat="false" ht="19.5" hidden="false" customHeight="true" outlineLevel="0" collapsed="false">
      <c r="B8792" s="10"/>
      <c r="C8792" s="10"/>
      <c r="D8792" s="10"/>
      <c r="E8792" s="10"/>
      <c r="F8792" s="10"/>
      <c r="J8792" s="25"/>
      <c r="K8792" s="25"/>
      <c r="L8792" s="25"/>
      <c r="M8792" s="25"/>
      <c r="N8792" s="25"/>
      <c r="O8792" s="25"/>
    </row>
    <row r="8793" customFormat="false" ht="15" hidden="false" customHeight="false" outlineLevel="0" collapsed="false">
      <c r="B8793" s="34" t="str">
        <f aca="false">SUBSTITUTE(SUBSTITUTE(SUBSTITUTE(SUBSTITUTE(SUBSTITUTE(Txt_Objet,"{cabinet}",Cab_Nom),"{societe}",IF($K$8776=0,"",INDEX(Clients!$E$2:$E$501,$K$8776)&amp;"")),"{date_effet}",$K$8778),"{hausse}",$K$8779),"{civilite}",$K$8777)</f>
        <v>Objet : révision de nos honoraires au 1er janvier 2027</v>
      </c>
      <c r="C8793" s="34"/>
      <c r="D8793" s="34"/>
      <c r="E8793" s="34"/>
      <c r="F8793" s="34"/>
      <c r="J8793" s="25"/>
      <c r="K8793" s="25"/>
      <c r="L8793" s="25"/>
      <c r="M8793" s="25"/>
      <c r="N8793" s="25"/>
      <c r="O8793" s="25"/>
    </row>
    <row r="8794" customFormat="false" ht="13.5" hidden="false" customHeight="true" outlineLevel="0" collapsed="false">
      <c r="B8794" s="10"/>
      <c r="C8794" s="10"/>
      <c r="D8794" s="10"/>
      <c r="E8794" s="10"/>
      <c r="F8794" s="10"/>
      <c r="J8794" s="25"/>
      <c r="K8794" s="25"/>
      <c r="L8794" s="25"/>
      <c r="M8794" s="25"/>
      <c r="N8794" s="25"/>
      <c r="O8794" s="25"/>
    </row>
    <row r="8795" customFormat="false" ht="15" hidden="false" customHeight="false" outlineLevel="0" collapsed="false">
      <c r="B8795" s="10" t="str">
        <f aca="false">$K$8777&amp;","</f>
        <v>Madame, Monsieur,</v>
      </c>
      <c r="C8795" s="10"/>
      <c r="D8795" s="10"/>
      <c r="E8795" s="10"/>
      <c r="F8795" s="10"/>
      <c r="J8795" s="25"/>
      <c r="K8795" s="25"/>
      <c r="L8795" s="25"/>
      <c r="M8795" s="25"/>
      <c r="N8795" s="25"/>
      <c r="O8795" s="25"/>
    </row>
    <row r="8796" customFormat="false" ht="6" hidden="false" customHeight="true" outlineLevel="0" collapsed="false">
      <c r="B8796" s="10"/>
      <c r="C8796" s="10"/>
      <c r="D8796" s="10"/>
      <c r="E8796" s="10"/>
      <c r="F8796" s="10"/>
      <c r="J8796" s="25"/>
      <c r="K8796" s="25"/>
      <c r="L8796" s="25"/>
      <c r="M8796" s="25"/>
      <c r="N8796" s="25"/>
      <c r="O8796" s="25"/>
    </row>
    <row r="8797" customFormat="false" ht="36.75" hidden="false" customHeight="true" outlineLevel="0" collapsed="false">
      <c r="B8797" s="37" t="str">
        <f aca="false">SUBSTITUTE(SUBSTITUTE(SUBSTITUTE(SUBSTITUTE(SUBSTITUTE(Txt_P1,"{cabinet}",Cab_Nom),"{societe}",IF($K$8776=0,"",INDEX(Clients!$E$2:$E$501,$K$8776)&amp;"")),"{date_effet}",$K$8778),"{hausse}",$K$8779),"{civilite}",$K$8777)</f>
        <v>Nous tenons tout d'abord à vous remercier pour la confiance que vous accordez à ALTHO EXPERTISE. Comme chaque année, et conformément aux dispositions de votre lettre de mission, nous procédons à la révision de nos honoraires.</v>
      </c>
      <c r="C8797" s="37"/>
      <c r="D8797" s="37"/>
      <c r="E8797" s="37"/>
      <c r="F8797" s="37"/>
      <c r="J8797" s="25"/>
      <c r="K8797" s="25"/>
      <c r="L8797" s="25"/>
      <c r="M8797" s="25"/>
      <c r="N8797" s="25"/>
      <c r="O8797" s="25"/>
    </row>
    <row r="8798" customFormat="false" ht="49.5" hidden="false" customHeight="true" outlineLevel="0" collapsed="false">
      <c r="B8798" s="37" t="str">
        <f aca="false">SUBSTITUTE(SUBSTITUTE(SUBSTITUTE(SUBSTITUTE(SUBSTITUTE(Txt_P2,"{cabinet}",Cab_Nom),"{societe}",IF($K$8776=0,"",INDEX(Clients!$E$2:$E$501,$K$8776)&amp;"")),"{date_effet}",$K$8778),"{hausse}",$K$8779),"{civilite}",$K$8777)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798" s="37"/>
      <c r="D8798" s="37"/>
      <c r="E8798" s="37"/>
      <c r="F8798" s="37"/>
      <c r="J8798" s="25"/>
      <c r="K8798" s="25"/>
      <c r="L8798" s="25"/>
      <c r="M8798" s="25"/>
      <c r="N8798" s="25"/>
      <c r="O8798" s="25"/>
    </row>
    <row r="8799" customFormat="false" ht="63" hidden="false" customHeight="true" outlineLevel="0" collapsed="false">
      <c r="B8799" s="37" t="str">
        <f aca="false">SUBSTITUTE(SUBSTITUTE(SUBSTITUTE(SUBSTITUTE(SUBSTITUTE(Txt_P3,"{cabinet}",Cab_Nom),"{societe}",IF($K$8776=0,"",INDEX(Clients!$E$2:$E$501,$K$8776)&amp;"")),"{date_effet}",$K$8778),"{hausse}",$K$8779),"{civilite}",$K$8777)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799" s="37"/>
      <c r="D8799" s="37"/>
      <c r="E8799" s="37"/>
      <c r="F8799" s="37"/>
      <c r="J8799" s="25"/>
      <c r="K8799" s="25"/>
      <c r="L8799" s="25"/>
      <c r="M8799" s="25"/>
      <c r="N8799" s="25"/>
      <c r="O8799" s="25"/>
    </row>
    <row r="8800" customFormat="false" ht="24" hidden="false" customHeight="true" outlineLevel="0" collapsed="false">
      <c r="B8800" s="37" t="str">
        <f aca="false">SUBSTITUTE(SUBSTITUTE(SUBSTITUTE(SUBSTITUTE(SUBSTITUTE(Txt_P4,"{cabinet}",Cab_Nom),"{societe}",IF($K$8776=0,"",INDEX(Clients!$E$2:$E$501,$K$8776)&amp;"")),"{date_effet}",$K$8778),"{hausse}",$K$8779),"{civilite}",$K$8777)</f>
        <v>À compter du 1er janvier 2027, vos honoraires annuels hors taxes évolueront ainsi (évolution globale : ) :</v>
      </c>
      <c r="C8800" s="37"/>
      <c r="D8800" s="37"/>
      <c r="E8800" s="37"/>
      <c r="F8800" s="37"/>
      <c r="J8800" s="25"/>
      <c r="K8800" s="25"/>
      <c r="L8800" s="25"/>
      <c r="M8800" s="25"/>
      <c r="N8800" s="25"/>
      <c r="O8800" s="25"/>
    </row>
    <row r="8801" customFormat="false" ht="3.75" hidden="false" customHeight="true" outlineLevel="0" collapsed="false">
      <c r="B8801" s="10"/>
      <c r="C8801" s="10"/>
      <c r="D8801" s="10"/>
      <c r="E8801" s="10"/>
      <c r="F8801" s="10"/>
      <c r="J8801" s="25"/>
      <c r="K8801" s="25"/>
      <c r="L8801" s="25"/>
      <c r="M8801" s="25"/>
      <c r="N8801" s="25"/>
      <c r="O8801" s="25"/>
    </row>
    <row r="8802" customFormat="false" ht="18" hidden="false" customHeight="true" outlineLevel="0" collapsed="false">
      <c r="B8802" s="38" t="s">
        <v>148</v>
      </c>
      <c r="C8802" s="39" t="s">
        <v>149</v>
      </c>
      <c r="D8802" s="39" t="s">
        <v>150</v>
      </c>
      <c r="E8802" s="39" t="s">
        <v>151</v>
      </c>
      <c r="F8802" s="39" t="s">
        <v>109</v>
      </c>
      <c r="J8802" s="25" t="s">
        <v>152</v>
      </c>
      <c r="K8802" s="25" t="s">
        <v>153</v>
      </c>
      <c r="L8802" s="25" t="s">
        <v>154</v>
      </c>
      <c r="M8802" s="25" t="s">
        <v>155</v>
      </c>
      <c r="N8802" s="25" t="s">
        <v>156</v>
      </c>
      <c r="O8802" s="25" t="s">
        <v>157</v>
      </c>
    </row>
    <row r="8803" customFormat="false" ht="16.5" hidden="false" customHeight="true" outlineLevel="0" collapsed="false">
      <c r="B8803" s="40" t="str">
        <f aca="false">IFERROR(INDEX($J$8803:$J$8806,MATCH($O8803,$N$8803:$N$8806,0)),"")</f>
        <v/>
      </c>
      <c r="C8803" s="41" t="str">
        <f aca="false">IFERROR(INDEX($K$8803:$K$8806,MATCH($O8803,$N$8803:$N$8806,0)),"")</f>
        <v/>
      </c>
      <c r="D8803" s="42" t="str">
        <f aca="false">IF(OR(E8803="",N(C8803)=0),"",E8803/C8803-1)</f>
        <v/>
      </c>
      <c r="E8803" s="41" t="str">
        <f aca="false">IFERROR(INDEX($L$8803:$L$8806,MATCH($O8803,$N$8803:$N$8806,0)),"")</f>
        <v/>
      </c>
      <c r="F8803" s="41" t="str">
        <f aca="false">IF(E8803="","",E8803-C8803)</f>
        <v/>
      </c>
      <c r="J8803" s="25" t="str">
        <f aca="false">Lib_Compta</f>
        <v>Mission comptable (tenue, révision, bilan, liasse fiscale)</v>
      </c>
      <c r="K8803" s="25" t="n">
        <f aca="false">IF($K$8776=0,0,N(INDEX(Clients!$K$2:$K$501,$K$8776)))</f>
        <v>0</v>
      </c>
      <c r="L8803" s="25" t="n">
        <f aca="false">IF($K$8776=0,0,N(INDEX(Clients!$P$2:$P$501,$K$8776)))</f>
        <v>0</v>
      </c>
      <c r="M8803" s="25" t="n">
        <f aca="false">IF(OR(K8803&lt;&gt;0,L8803&lt;&gt;0),1,0)</f>
        <v>0</v>
      </c>
      <c r="N8803" s="25" t="str">
        <f aca="false">IF(M8803=1,SUM($M$8803:M8803),"")</f>
        <v/>
      </c>
      <c r="O8803" s="25" t="n">
        <v>1</v>
      </c>
    </row>
    <row r="8804" customFormat="false" ht="16.5" hidden="false" customHeight="true" outlineLevel="0" collapsed="false">
      <c r="B8804" s="40" t="str">
        <f aca="false">IFERROR(INDEX($J$8803:$J$8806,MATCH($O8804,$N$8803:$N$8806,0)),"")</f>
        <v/>
      </c>
      <c r="C8804" s="41" t="str">
        <f aca="false">IFERROR(INDEX($K$8803:$K$8806,MATCH($O8804,$N$8803:$N$8806,0)),"")</f>
        <v/>
      </c>
      <c r="D8804" s="42" t="str">
        <f aca="false">IF(OR(E8804="",N(C8804)=0),"",E8804/C8804-1)</f>
        <v/>
      </c>
      <c r="E8804" s="41" t="str">
        <f aca="false">IFERROR(INDEX($L$8803:$L$8806,MATCH($O8804,$N$8803:$N$8806,0)),"")</f>
        <v/>
      </c>
      <c r="F8804" s="41" t="str">
        <f aca="false">IF(E8804="","",E8804-C8804)</f>
        <v/>
      </c>
      <c r="J8804" s="25" t="str">
        <f aca="false">Lib_Paye</f>
        <v>Mission sociale (bulletins de paie, DSN, déclarations sociales)</v>
      </c>
      <c r="K8804" s="25" t="n">
        <f aca="false">IF($K$8776=0,0,N(INDEX(Clients!$L$2:$L$501,$K$8776)))</f>
        <v>0</v>
      </c>
      <c r="L8804" s="25" t="n">
        <f aca="false">IF($K$8776=0,0,N(INDEX(Clients!$Q$2:$Q$501,$K$8776)))</f>
        <v>0</v>
      </c>
      <c r="M8804" s="25" t="n">
        <f aca="false">IF(OR(K8804&lt;&gt;0,L8804&lt;&gt;0),1,0)</f>
        <v>0</v>
      </c>
      <c r="N8804" s="25" t="str">
        <f aca="false">IF(M8804=1,SUM($M$8803:M8804),"")</f>
        <v/>
      </c>
      <c r="O8804" s="25" t="n">
        <v>2</v>
      </c>
    </row>
    <row r="8805" customFormat="false" ht="16.5" hidden="false" customHeight="true" outlineLevel="0" collapsed="false">
      <c r="B8805" s="40" t="str">
        <f aca="false">IFERROR(INDEX($J$8803:$J$8806,MATCH($O8805,$N$8803:$N$8806,0)),"")</f>
        <v/>
      </c>
      <c r="C8805" s="41" t="str">
        <f aca="false">IFERROR(INDEX($K$8803:$K$8806,MATCH($O8805,$N$8803:$N$8806,0)),"")</f>
        <v/>
      </c>
      <c r="D8805" s="42" t="str">
        <f aca="false">IF(OR(E8805="",N(C8805)=0),"",E8805/C8805-1)</f>
        <v/>
      </c>
      <c r="E8805" s="41" t="str">
        <f aca="false">IFERROR(INDEX($L$8803:$L$8806,MATCH($O8805,$N$8803:$N$8806,0)),"")</f>
        <v/>
      </c>
      <c r="F8805" s="41" t="str">
        <f aca="false">IF(E8805="","",E8805-C8805)</f>
        <v/>
      </c>
      <c r="J8805" s="25" t="str">
        <f aca="false">Lib_Jur</f>
        <v>Mission juridique (approbation des comptes, secrétariat juridique)</v>
      </c>
      <c r="K8805" s="25" t="n">
        <f aca="false">IF($K$8776=0,0,N(INDEX(Clients!$M$2:$M$501,$K$8776)))</f>
        <v>0</v>
      </c>
      <c r="L8805" s="25" t="n">
        <f aca="false">IF($K$8776=0,0,N(INDEX(Clients!$R$2:$R$501,$K$8776)))</f>
        <v>0</v>
      </c>
      <c r="M8805" s="25" t="n">
        <f aca="false">IF(OR(K8805&lt;&gt;0,L8805&lt;&gt;0),1,0)</f>
        <v>0</v>
      </c>
      <c r="N8805" s="25" t="str">
        <f aca="false">IF(M8805=1,SUM($M$8803:M8805),"")</f>
        <v/>
      </c>
      <c r="O8805" s="25" t="n">
        <v>3</v>
      </c>
    </row>
    <row r="8806" customFormat="false" ht="16.5" hidden="false" customHeight="true" outlineLevel="0" collapsed="false">
      <c r="B8806" s="40" t="str">
        <f aca="false">IFERROR(INDEX($J$8803:$J$8806,MATCH($O8806,$N$8803:$N$8806,0)),"")</f>
        <v/>
      </c>
      <c r="C8806" s="41" t="str">
        <f aca="false">IFERROR(INDEX($K$8803:$K$8806,MATCH($O8806,$N$8803:$N$8806,0)),"")</f>
        <v/>
      </c>
      <c r="D8806" s="42" t="str">
        <f aca="false">IF(OR(E8806="",N(C8806)=0),"",E8806/C8806-1)</f>
        <v/>
      </c>
      <c r="E8806" s="41" t="str">
        <f aca="false">IFERROR(INDEX($L$8803:$L$8806,MATCH($O8806,$N$8803:$N$8806,0)),"")</f>
        <v/>
      </c>
      <c r="F8806" s="41" t="str">
        <f aca="false">IF(E8806="","",E8806-C8806)</f>
        <v/>
      </c>
      <c r="J8806" s="25" t="str">
        <f aca="false">Lib_PA</f>
        <v>Plateforme agréée – facturation électronique</v>
      </c>
      <c r="K8806" s="25" t="n">
        <f aca="false">IF($K$8776=0,0,N(INDEX(Clients!$N$2:$N$501,$K$8776)))</f>
        <v>0</v>
      </c>
      <c r="L8806" s="25" t="n">
        <f aca="false">IF($K$8776=0,0,N(INDEX(Clients!$S$2:$S$501,$K$8776)))</f>
        <v>0</v>
      </c>
      <c r="M8806" s="25" t="n">
        <f aca="false">IF(OR(K8806&lt;&gt;0,L8806&lt;&gt;0),1,0)</f>
        <v>0</v>
      </c>
      <c r="N8806" s="25" t="str">
        <f aca="false">IF(M8806=1,SUM($M$8803:M8806),"")</f>
        <v/>
      </c>
      <c r="O8806" s="25" t="n">
        <v>4</v>
      </c>
    </row>
    <row r="8807" customFormat="false" ht="18" hidden="false" customHeight="true" outlineLevel="0" collapsed="false">
      <c r="B8807" s="43" t="s">
        <v>158</v>
      </c>
      <c r="C8807" s="44" t="n">
        <f aca="false">SUM(K8803:K8806)</f>
        <v>0</v>
      </c>
      <c r="D8807" s="45" t="str">
        <f aca="false">IF(N(C8807)=0,"",E8807/C8807-1)</f>
        <v/>
      </c>
      <c r="E8807" s="44" t="n">
        <f aca="false">SUM(L8803:L8806)</f>
        <v>0</v>
      </c>
      <c r="F8807" s="44" t="n">
        <f aca="false">E8807-C8807</f>
        <v>0</v>
      </c>
    </row>
    <row r="8808" customFormat="false" ht="15" hidden="false" customHeight="false" outlineLevel="0" collapsed="false">
      <c r="B8808" s="46" t="str">
        <f aca="false">IF(N(Nb_Mensualites)=0,"","Soit "&amp;FIXED(E8807/Nb_Mensualites,2)&amp;" € HT par échéance ("&amp;Nb_Mensualites&amp;" échéances), "&amp;FIXED(E8807/Nb_Mensualites*(1+Taux_TVA),2)&amp;" € TTC.")</f>
        <v>Soit 0.00 € HT par échéance (12 échéances), 0.00 € TTC.</v>
      </c>
      <c r="C8808" s="46"/>
      <c r="D8808" s="46"/>
      <c r="E8808" s="46"/>
      <c r="F8808" s="46"/>
    </row>
    <row r="8809" customFormat="false" ht="7.5" hidden="false" customHeight="true" outlineLevel="0" collapsed="false">
      <c r="B8809" s="10"/>
      <c r="C8809" s="10"/>
      <c r="D8809" s="10"/>
      <c r="E8809" s="10"/>
      <c r="F8809" s="10"/>
    </row>
    <row r="8810" customFormat="false" ht="36.75" hidden="false" customHeight="true" outlineLevel="0" collapsed="false">
      <c r="B8810" s="37" t="str">
        <f aca="false">SUBSTITUTE(SUBSTITUTE(SUBSTITUTE(SUBSTITUTE(SUBSTITUTE(Txt_P5,"{cabinet}",Cab_Nom),"{societe}",IF($K$8776=0,"",INDEX(Clients!$E$2:$E$501,$K$8776)&amp;"")),"{date_effet}",$K$8778),"{hausse}",$K$8779),"{civilite}",$K$8777)</f>
        <v>Les autres conditions de votre lettre de mission demeurent inchangées. Les nouveaux montants seront appliqués automatiquement sur vos prochaines factures et échéances de prélèvement.</v>
      </c>
      <c r="C8810" s="37"/>
      <c r="D8810" s="37"/>
      <c r="E8810" s="37"/>
      <c r="F8810" s="37"/>
    </row>
    <row r="8811" customFormat="false" ht="36.75" hidden="false" customHeight="true" outlineLevel="0" collapsed="false">
      <c r="B8811" s="37" t="str">
        <f aca="false">SUBSTITUTE(SUBSTITUTE(SUBSTITUTE(SUBSTITUTE(SUBSTITUTE(Txt_P6,"{cabinet}",Cab_Nom),"{societe}",IF($K$8776=0,"",INDEX(Clients!$E$2:$E$501,$K$8776)&amp;"")),"{date_effet}",$K$8778),"{hausse}",$K$8779),"{civilite}",$K$8777)</f>
        <v>Votre interlocuteur habituel reste à votre entière disposition pour répondre à vos questions et faire le point sur l'évolution de vos besoins.</v>
      </c>
      <c r="C8811" s="37"/>
      <c r="D8811" s="37"/>
      <c r="E8811" s="37"/>
      <c r="F8811" s="37"/>
    </row>
    <row r="8812" customFormat="false" ht="24" hidden="false" customHeight="true" outlineLevel="0" collapsed="false">
      <c r="B8812" s="37" t="str">
        <f aca="false">SUBSTITUTE(SUBSTITUTE(SUBSTITUTE(SUBSTITUTE(SUBSTITUTE(Txt_Politesse,"{cabinet}",Cab_Nom),"{societe}",IF($K$8776=0,"",INDEX(Clients!$E$2:$E$501,$K$8776)&amp;"")),"{date_effet}",$K$8778),"{hausse}",$K$8779),"{civilite}",$K$8777)</f>
        <v>Nous vous prions d'agréer, Madame, Monsieur, l'expression de nos salutations distinguées.</v>
      </c>
      <c r="C8812" s="37"/>
      <c r="D8812" s="37"/>
      <c r="E8812" s="37"/>
      <c r="F8812" s="37"/>
    </row>
    <row r="8813" customFormat="false" ht="15" hidden="false" customHeight="false" outlineLevel="0" collapsed="false">
      <c r="B8813" s="10"/>
      <c r="C8813" s="10"/>
      <c r="D8813" s="10"/>
      <c r="E8813" s="10"/>
      <c r="F8813" s="10"/>
    </row>
    <row r="8814" customFormat="false" ht="15" hidden="false" customHeight="false" outlineLevel="0" collapsed="false">
      <c r="B8814" s="10"/>
      <c r="C8814" s="10"/>
      <c r="D8814" s="34" t="str">
        <f aca="false">Signataire</f>
        <v>Prénom NOM</v>
      </c>
      <c r="E8814" s="34"/>
      <c r="F8814" s="34"/>
    </row>
    <row r="8815" customFormat="false" ht="15" hidden="false" customHeight="false" outlineLevel="0" collapsed="false">
      <c r="B8815" s="10"/>
      <c r="C8815" s="10"/>
      <c r="D8815" s="47" t="str">
        <f aca="false">Signataire_Titre</f>
        <v>Expert-comptable associé</v>
      </c>
      <c r="E8815" s="47"/>
      <c r="F8815" s="47"/>
    </row>
    <row r="8816" customFormat="false" ht="15.75" hidden="false" customHeight="true" outlineLevel="0" collapsed="false">
      <c r="B8816" s="10"/>
      <c r="C8816" s="10"/>
      <c r="D8816" s="10"/>
      <c r="E8816" s="10"/>
      <c r="F8816" s="10"/>
    </row>
    <row r="8817" customFormat="false" ht="15.75" hidden="false" customHeight="true" outlineLevel="0" collapsed="false">
      <c r="B8817" s="10"/>
      <c r="C8817" s="10"/>
      <c r="D8817" s="10"/>
      <c r="E8817" s="10"/>
      <c r="F8817" s="10"/>
    </row>
    <row r="8818" customFormat="false" ht="15.75" hidden="false" customHeight="true" outlineLevel="0" collapsed="false">
      <c r="B8818" s="10"/>
      <c r="C8818" s="10"/>
      <c r="D8818" s="10"/>
      <c r="E8818" s="10"/>
      <c r="F8818" s="10"/>
    </row>
    <row r="8819" customFormat="false" ht="15.75" hidden="false" customHeight="true" outlineLevel="0" collapsed="false">
      <c r="B8819" s="10"/>
      <c r="C8819" s="10"/>
      <c r="D8819" s="10"/>
      <c r="E8819" s="10"/>
      <c r="F8819" s="10"/>
    </row>
    <row r="8820" customFormat="false" ht="24" hidden="false" customHeight="true" outlineLevel="0" collapsed="false">
      <c r="B8820" s="48" t="str">
        <f aca="false">Cab_Mentions</f>
        <v>ALTHO EXPERTISE · SAS au capital de 10 000 € · RCS Pontoise 919 706 325 · TVA FR62919706325 · Société d'expertise comptable inscrite au Tableau de l'Ordre des experts-comptables de Paris Île-de-France</v>
      </c>
      <c r="C8820" s="48"/>
      <c r="D8820" s="48"/>
      <c r="E8820" s="48"/>
      <c r="F8820" s="48"/>
    </row>
    <row r="8821" customFormat="false" ht="15" hidden="false" customHeight="false" outlineLevel="0" collapsed="false">
      <c r="B8821" s="10"/>
      <c r="C8821" s="10"/>
      <c r="D8821" s="10"/>
      <c r="E8821" s="10"/>
      <c r="F8821" s="10"/>
      <c r="J8821" s="25" t="s">
        <v>142</v>
      </c>
      <c r="K8821" s="25" t="n">
        <f aca="false">IFERROR(MATCH(197,Clients!$Z$2:$Z$501,0),0)</f>
        <v>0</v>
      </c>
      <c r="L8821" s="25"/>
      <c r="M8821" s="25"/>
      <c r="N8821" s="25"/>
      <c r="O8821" s="25"/>
    </row>
    <row r="8822" customFormat="false" ht="21.75" hidden="false" customHeight="true" outlineLevel="0" collapsed="false">
      <c r="B8822" s="26" t="str">
        <f aca="false">Cab_Nom</f>
        <v>ALTHO EXPERTISE</v>
      </c>
      <c r="C8822" s="26"/>
      <c r="D8822" s="10"/>
      <c r="E8822" s="27" t="str">
        <f aca="false">IF($K$8821=0,"","Réf. client : "&amp;INDEX(Clients!$A$2:$A$501,$K$8821))</f>
        <v/>
      </c>
      <c r="F8822" s="27"/>
      <c r="J8822" s="25" t="s">
        <v>144</v>
      </c>
      <c r="K8822" s="25" t="str">
        <f aca="false">IF(IF($K$8821=0,"",INDEX(Clients!$B$2:$B$501,$K$8821)&amp;"")="Mme","Madame",IF(IF($K$8821=0,"",INDEX(Clients!$B$2:$B$501,$K$8821)&amp;"")="M.","Monsieur","Madame, Monsieur"))</f>
        <v>Madame, Monsieur</v>
      </c>
      <c r="L8822" s="25"/>
      <c r="M8822" s="25"/>
      <c r="N8822" s="25"/>
      <c r="O8822" s="25"/>
    </row>
    <row r="8823" customFormat="false" ht="15" hidden="false" customHeight="false" outlineLevel="0" collapsed="false">
      <c r="B8823" s="29" t="str">
        <f aca="false">Cab_Adr1</f>
        <v>141 rue Charles de Gaulle</v>
      </c>
      <c r="C8823" s="29"/>
      <c r="D8823" s="10"/>
      <c r="E8823" s="10"/>
      <c r="F8823" s="10"/>
      <c r="J8823" s="25" t="s">
        <v>145</v>
      </c>
      <c r="K8823" s="25" t="str">
        <f aca="false">DAY(Date_Effet)&amp;IF(DAY(Date_Effet)=1,"er","")&amp;" "&amp;INDEX(Liste_Mois,MONTH(Date_Effet))&amp;" "&amp;YEAR(Date_Effet)</f>
        <v>1er janvier 2027</v>
      </c>
      <c r="L8823" s="25"/>
      <c r="M8823" s="25"/>
      <c r="N8823" s="25"/>
      <c r="O8823" s="25"/>
    </row>
    <row r="8824" customFormat="false" ht="15" hidden="false" customHeight="false" outlineLevel="0" collapsed="false">
      <c r="B8824" s="29" t="str">
        <f aca="false">Cab_CPVille</f>
        <v>95130 LE PLESSIS-BOUCHARD</v>
      </c>
      <c r="C8824" s="29"/>
      <c r="D8824" s="10"/>
      <c r="E8824" s="10"/>
      <c r="F8824" s="10"/>
      <c r="J8824" s="25" t="s">
        <v>146</v>
      </c>
      <c r="K8824" s="25" t="str">
        <f aca="false">IF(SUM($K$8848:$K$8851)=0,"",FIXED((SUM($L$8848:$L$8851)/SUM($K$8848:$K$8851)-1)*100,1)&amp;" %")</f>
        <v/>
      </c>
      <c r="L8824" s="25"/>
      <c r="M8824" s="25"/>
      <c r="N8824" s="25"/>
      <c r="O8824" s="25"/>
    </row>
    <row r="8825" customFormat="false" ht="15" hidden="false" customHeight="false" outlineLevel="0" collapsed="false">
      <c r="B8825" s="29" t="str">
        <f aca="false">Cab_Contact</f>
        <v>Tél. 01 34 14 53 45  ·  altho@altho-experts.com  ·  altho-experts.com</v>
      </c>
      <c r="C8825" s="29"/>
      <c r="D8825" s="10"/>
      <c r="E8825" s="10"/>
      <c r="F8825" s="10"/>
      <c r="J8825" s="25"/>
      <c r="K8825" s="25"/>
      <c r="L8825" s="25"/>
      <c r="M8825" s="25"/>
      <c r="N8825" s="25"/>
      <c r="O8825" s="25"/>
    </row>
    <row r="8826" customFormat="false" ht="6" hidden="false" customHeight="true" outlineLevel="0" collapsed="false">
      <c r="B8826" s="32"/>
      <c r="C8826" s="32"/>
      <c r="D8826" s="32"/>
      <c r="E8826" s="32"/>
      <c r="F8826" s="32"/>
      <c r="J8826" s="25"/>
      <c r="K8826" s="25"/>
      <c r="L8826" s="25"/>
      <c r="M8826" s="25"/>
      <c r="N8826" s="25"/>
      <c r="O8826" s="25"/>
    </row>
    <row r="8827" customFormat="false" ht="13.5" hidden="false" customHeight="true" outlineLevel="0" collapsed="false">
      <c r="B8827" s="10"/>
      <c r="C8827" s="10"/>
      <c r="D8827" s="10"/>
      <c r="E8827" s="10"/>
      <c r="F8827" s="10"/>
      <c r="J8827" s="25"/>
      <c r="K8827" s="25"/>
      <c r="L8827" s="25"/>
      <c r="M8827" s="25"/>
      <c r="N8827" s="25"/>
      <c r="O8827" s="25"/>
    </row>
    <row r="8828" customFormat="false" ht="13.5" hidden="false" customHeight="true" outlineLevel="0" collapsed="false">
      <c r="B8828" s="10"/>
      <c r="C8828" s="10"/>
      <c r="D8828" s="10"/>
      <c r="E8828" s="10"/>
      <c r="F8828" s="10"/>
      <c r="J8828" s="25"/>
      <c r="K8828" s="25"/>
      <c r="L8828" s="25"/>
      <c r="M8828" s="25"/>
      <c r="N8828" s="25"/>
      <c r="O8828" s="25"/>
    </row>
    <row r="8829" customFormat="false" ht="13.5" hidden="false" customHeight="true" outlineLevel="0" collapsed="false">
      <c r="B8829" s="10"/>
      <c r="C8829" s="10"/>
      <c r="D8829" s="10"/>
      <c r="E8829" s="10"/>
      <c r="F8829" s="10"/>
      <c r="J8829" s="25"/>
      <c r="K8829" s="25"/>
      <c r="L8829" s="25"/>
      <c r="M8829" s="25"/>
      <c r="N8829" s="25"/>
      <c r="O8829" s="25"/>
    </row>
    <row r="8830" customFormat="false" ht="15" hidden="false" customHeight="true" outlineLevel="0" collapsed="false">
      <c r="B8830" s="10"/>
      <c r="C8830" s="10"/>
      <c r="D8830" s="34" t="str">
        <f aca="false">IF($K$8821=0,"",INDEX(Clients!$E$2:$E$501,$K$8821)&amp;"")</f>
        <v/>
      </c>
      <c r="E8830" s="34"/>
      <c r="F8830" s="34"/>
      <c r="J8830" s="25"/>
      <c r="K8830" s="25"/>
      <c r="L8830" s="25"/>
      <c r="M8830" s="25"/>
      <c r="N8830" s="25"/>
      <c r="O8830" s="25"/>
    </row>
    <row r="8831" customFormat="false" ht="15" hidden="false" customHeight="true" outlineLevel="0" collapsed="false">
      <c r="B8831" s="10"/>
      <c r="C8831" s="10"/>
      <c r="D8831" s="35" t="str">
        <f aca="false">IF(IF($K$8821=0,"",INDEX(Clients!$D$2:$D$501,$K$8821)&amp;"")="","","À l'attention de "&amp;TRIM(IF($K$8821=0,"",INDEX(Clients!$B$2:$B$501,$K$8821)&amp;"")&amp;" "&amp;IF($K$8821=0,"",INDEX(Clients!$C$2:$C$501,$K$8821)&amp;"")&amp;" "&amp;IF($K$8821=0,"",INDEX(Clients!$D$2:$D$501,$K$8821)&amp;"")))</f>
        <v/>
      </c>
      <c r="E8831" s="35"/>
      <c r="F8831" s="35"/>
      <c r="J8831" s="25"/>
      <c r="K8831" s="25"/>
      <c r="L8831" s="25"/>
      <c r="M8831" s="25"/>
      <c r="N8831" s="25"/>
      <c r="O8831" s="25"/>
    </row>
    <row r="8832" customFormat="false" ht="15" hidden="false" customHeight="true" outlineLevel="0" collapsed="false">
      <c r="B8832" s="10"/>
      <c r="C8832" s="10"/>
      <c r="D8832" s="35" t="str">
        <f aca="false">IF($K$8821=0,"",INDEX(Clients!$F$2:$F$501,$K$8821)&amp;"")</f>
        <v/>
      </c>
      <c r="E8832" s="35"/>
      <c r="F8832" s="35"/>
      <c r="J8832" s="25"/>
      <c r="K8832" s="25"/>
      <c r="L8832" s="25"/>
      <c r="M8832" s="25"/>
      <c r="N8832" s="25"/>
      <c r="O8832" s="25"/>
    </row>
    <row r="8833" customFormat="false" ht="15" hidden="false" customHeight="true" outlineLevel="0" collapsed="false">
      <c r="B8833" s="10"/>
      <c r="C8833" s="10"/>
      <c r="D8833" s="35" t="str">
        <f aca="false">IF(IF($K$8821=0,"",INDEX(Clients!$G$2:$G$501,$K$8821)&amp;"")="",TRIM(IF($K$8821=0,"",INDEX(Clients!$H$2:$H$501,$K$8821)&amp;"")&amp;" "&amp;UPPER(IF($K$8821=0,"",INDEX(Clients!$I$2:$I$501,$K$8821)&amp;""))),IF($K$8821=0,"",INDEX(Clients!$G$2:$G$501,$K$8821)&amp;""))</f>
        <v/>
      </c>
      <c r="E8833" s="35"/>
      <c r="F8833" s="35"/>
      <c r="J8833" s="25"/>
      <c r="K8833" s="25"/>
      <c r="L8833" s="25"/>
      <c r="M8833" s="25"/>
      <c r="N8833" s="25"/>
      <c r="O8833" s="25"/>
    </row>
    <row r="8834" customFormat="false" ht="15" hidden="false" customHeight="true" outlineLevel="0" collapsed="false">
      <c r="B8834" s="10"/>
      <c r="C8834" s="10"/>
      <c r="D8834" s="35" t="str">
        <f aca="false">IF(IF($K$8821=0,"",INDEX(Clients!$G$2:$G$501,$K$8821)&amp;"")="","",TRIM(IF($K$8821=0,"",INDEX(Clients!$H$2:$H$501,$K$8821)&amp;"")&amp;" "&amp;UPPER(IF($K$8821=0,"",INDEX(Clients!$I$2:$I$501,$K$8821)&amp;""))))</f>
        <v/>
      </c>
      <c r="E8834" s="35"/>
      <c r="F8834" s="35"/>
      <c r="J8834" s="25"/>
      <c r="K8834" s="25"/>
      <c r="L8834" s="25"/>
      <c r="M8834" s="25"/>
      <c r="N8834" s="25"/>
      <c r="O8834" s="25"/>
    </row>
    <row r="8835" customFormat="false" ht="25.5" hidden="false" customHeight="true" outlineLevel="0" collapsed="false">
      <c r="B8835" s="10"/>
      <c r="C8835" s="10"/>
      <c r="D8835" s="10"/>
      <c r="E8835" s="10"/>
      <c r="F8835" s="10"/>
      <c r="J8835" s="25"/>
      <c r="K8835" s="25"/>
      <c r="L8835" s="25"/>
      <c r="M8835" s="25"/>
      <c r="N8835" s="25"/>
      <c r="O8835" s="25"/>
    </row>
    <row r="8836" customFormat="false" ht="15" hidden="false" customHeight="false" outlineLevel="0" collapsed="false">
      <c r="B8836" s="10"/>
      <c r="C8836" s="10"/>
      <c r="D8836" s="36" t="str">
        <f aca="false">Cab_Ville&amp;", le "&amp;DAY(Date_Courrier)&amp;IF(DAY(Date_Courrier)=1,"er","")&amp;" "&amp;INDEX(Liste_Mois,MONTH(Date_Courrier))&amp;" "&amp;YEAR(Date_Courrier)</f>
        <v>Le Plessis-Bouchard, le 22 septembre 2026</v>
      </c>
      <c r="E8836" s="36"/>
      <c r="F8836" s="36"/>
      <c r="J8836" s="25"/>
      <c r="K8836" s="25"/>
      <c r="L8836" s="25"/>
      <c r="M8836" s="25"/>
      <c r="N8836" s="25"/>
      <c r="O8836" s="25"/>
    </row>
    <row r="8837" customFormat="false" ht="19.5" hidden="false" customHeight="true" outlineLevel="0" collapsed="false">
      <c r="B8837" s="10"/>
      <c r="C8837" s="10"/>
      <c r="D8837" s="10"/>
      <c r="E8837" s="10"/>
      <c r="F8837" s="10"/>
      <c r="J8837" s="25"/>
      <c r="K8837" s="25"/>
      <c r="L8837" s="25"/>
      <c r="M8837" s="25"/>
      <c r="N8837" s="25"/>
      <c r="O8837" s="25"/>
    </row>
    <row r="8838" customFormat="false" ht="15" hidden="false" customHeight="false" outlineLevel="0" collapsed="false">
      <c r="B8838" s="34" t="str">
        <f aca="false">SUBSTITUTE(SUBSTITUTE(SUBSTITUTE(SUBSTITUTE(SUBSTITUTE(Txt_Objet,"{cabinet}",Cab_Nom),"{societe}",IF($K$8821=0,"",INDEX(Clients!$E$2:$E$501,$K$8821)&amp;"")),"{date_effet}",$K$8823),"{hausse}",$K$8824),"{civilite}",$K$8822)</f>
        <v>Objet : révision de nos honoraires au 1er janvier 2027</v>
      </c>
      <c r="C8838" s="34"/>
      <c r="D8838" s="34"/>
      <c r="E8838" s="34"/>
      <c r="F8838" s="34"/>
      <c r="J8838" s="25"/>
      <c r="K8838" s="25"/>
      <c r="L8838" s="25"/>
      <c r="M8838" s="25"/>
      <c r="N8838" s="25"/>
      <c r="O8838" s="25"/>
    </row>
    <row r="8839" customFormat="false" ht="13.5" hidden="false" customHeight="true" outlineLevel="0" collapsed="false">
      <c r="B8839" s="10"/>
      <c r="C8839" s="10"/>
      <c r="D8839" s="10"/>
      <c r="E8839" s="10"/>
      <c r="F8839" s="10"/>
      <c r="J8839" s="25"/>
      <c r="K8839" s="25"/>
      <c r="L8839" s="25"/>
      <c r="M8839" s="25"/>
      <c r="N8839" s="25"/>
      <c r="O8839" s="25"/>
    </row>
    <row r="8840" customFormat="false" ht="15" hidden="false" customHeight="false" outlineLevel="0" collapsed="false">
      <c r="B8840" s="10" t="str">
        <f aca="false">$K$8822&amp;","</f>
        <v>Madame, Monsieur,</v>
      </c>
      <c r="C8840" s="10"/>
      <c r="D8840" s="10"/>
      <c r="E8840" s="10"/>
      <c r="F8840" s="10"/>
      <c r="J8840" s="25"/>
      <c r="K8840" s="25"/>
      <c r="L8840" s="25"/>
      <c r="M8840" s="25"/>
      <c r="N8840" s="25"/>
      <c r="O8840" s="25"/>
    </row>
    <row r="8841" customFormat="false" ht="6" hidden="false" customHeight="true" outlineLevel="0" collapsed="false">
      <c r="B8841" s="10"/>
      <c r="C8841" s="10"/>
      <c r="D8841" s="10"/>
      <c r="E8841" s="10"/>
      <c r="F8841" s="10"/>
      <c r="J8841" s="25"/>
      <c r="K8841" s="25"/>
      <c r="L8841" s="25"/>
      <c r="M8841" s="25"/>
      <c r="N8841" s="25"/>
      <c r="O8841" s="25"/>
    </row>
    <row r="8842" customFormat="false" ht="36.75" hidden="false" customHeight="true" outlineLevel="0" collapsed="false">
      <c r="B8842" s="37" t="str">
        <f aca="false">SUBSTITUTE(SUBSTITUTE(SUBSTITUTE(SUBSTITUTE(SUBSTITUTE(Txt_P1,"{cabinet}",Cab_Nom),"{societe}",IF($K$8821=0,"",INDEX(Clients!$E$2:$E$501,$K$8821)&amp;"")),"{date_effet}",$K$8823),"{hausse}",$K$8824),"{civilite}",$K$8822)</f>
        <v>Nous tenons tout d'abord à vous remercier pour la confiance que vous accordez à ALTHO EXPERTISE. Comme chaque année, et conformément aux dispositions de votre lettre de mission, nous procédons à la révision de nos honoraires.</v>
      </c>
      <c r="C8842" s="37"/>
      <c r="D8842" s="37"/>
      <c r="E8842" s="37"/>
      <c r="F8842" s="37"/>
      <c r="J8842" s="25"/>
      <c r="K8842" s="25"/>
      <c r="L8842" s="25"/>
      <c r="M8842" s="25"/>
      <c r="N8842" s="25"/>
      <c r="O8842" s="25"/>
    </row>
    <row r="8843" customFormat="false" ht="49.5" hidden="false" customHeight="true" outlineLevel="0" collapsed="false">
      <c r="B8843" s="37" t="str">
        <f aca="false">SUBSTITUTE(SUBSTITUTE(SUBSTITUTE(SUBSTITUTE(SUBSTITUTE(Txt_P2,"{cabinet}",Cab_Nom),"{societe}",IF($K$8821=0,"",INDEX(Clients!$E$2:$E$501,$K$8821)&amp;"")),"{date_effet}",$K$8823),"{hausse}",$K$8824),"{civilite}",$K$8822)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843" s="37"/>
      <c r="D8843" s="37"/>
      <c r="E8843" s="37"/>
      <c r="F8843" s="37"/>
      <c r="J8843" s="25"/>
      <c r="K8843" s="25"/>
      <c r="L8843" s="25"/>
      <c r="M8843" s="25"/>
      <c r="N8843" s="25"/>
      <c r="O8843" s="25"/>
    </row>
    <row r="8844" customFormat="false" ht="63" hidden="false" customHeight="true" outlineLevel="0" collapsed="false">
      <c r="B8844" s="37" t="str">
        <f aca="false">SUBSTITUTE(SUBSTITUTE(SUBSTITUTE(SUBSTITUTE(SUBSTITUTE(Txt_P3,"{cabinet}",Cab_Nom),"{societe}",IF($K$8821=0,"",INDEX(Clients!$E$2:$E$501,$K$8821)&amp;"")),"{date_effet}",$K$8823),"{hausse}",$K$8824),"{civilite}",$K$8822)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844" s="37"/>
      <c r="D8844" s="37"/>
      <c r="E8844" s="37"/>
      <c r="F8844" s="37"/>
      <c r="J8844" s="25"/>
      <c r="K8844" s="25"/>
      <c r="L8844" s="25"/>
      <c r="M8844" s="25"/>
      <c r="N8844" s="25"/>
      <c r="O8844" s="25"/>
    </row>
    <row r="8845" customFormat="false" ht="24" hidden="false" customHeight="true" outlineLevel="0" collapsed="false">
      <c r="B8845" s="37" t="str">
        <f aca="false">SUBSTITUTE(SUBSTITUTE(SUBSTITUTE(SUBSTITUTE(SUBSTITUTE(Txt_P4,"{cabinet}",Cab_Nom),"{societe}",IF($K$8821=0,"",INDEX(Clients!$E$2:$E$501,$K$8821)&amp;"")),"{date_effet}",$K$8823),"{hausse}",$K$8824),"{civilite}",$K$8822)</f>
        <v>À compter du 1er janvier 2027, vos honoraires annuels hors taxes évolueront ainsi (évolution globale : ) :</v>
      </c>
      <c r="C8845" s="37"/>
      <c r="D8845" s="37"/>
      <c r="E8845" s="37"/>
      <c r="F8845" s="37"/>
      <c r="J8845" s="25"/>
      <c r="K8845" s="25"/>
      <c r="L8845" s="25"/>
      <c r="M8845" s="25"/>
      <c r="N8845" s="25"/>
      <c r="O8845" s="25"/>
    </row>
    <row r="8846" customFormat="false" ht="3.75" hidden="false" customHeight="true" outlineLevel="0" collapsed="false">
      <c r="B8846" s="10"/>
      <c r="C8846" s="10"/>
      <c r="D8846" s="10"/>
      <c r="E8846" s="10"/>
      <c r="F8846" s="10"/>
      <c r="J8846" s="25"/>
      <c r="K8846" s="25"/>
      <c r="L8846" s="25"/>
      <c r="M8846" s="25"/>
      <c r="N8846" s="25"/>
      <c r="O8846" s="25"/>
    </row>
    <row r="8847" customFormat="false" ht="18" hidden="false" customHeight="true" outlineLevel="0" collapsed="false">
      <c r="B8847" s="38" t="s">
        <v>148</v>
      </c>
      <c r="C8847" s="39" t="s">
        <v>149</v>
      </c>
      <c r="D8847" s="39" t="s">
        <v>150</v>
      </c>
      <c r="E8847" s="39" t="s">
        <v>151</v>
      </c>
      <c r="F8847" s="39" t="s">
        <v>109</v>
      </c>
      <c r="J8847" s="25" t="s">
        <v>152</v>
      </c>
      <c r="K8847" s="25" t="s">
        <v>153</v>
      </c>
      <c r="L8847" s="25" t="s">
        <v>154</v>
      </c>
      <c r="M8847" s="25" t="s">
        <v>155</v>
      </c>
      <c r="N8847" s="25" t="s">
        <v>156</v>
      </c>
      <c r="O8847" s="25" t="s">
        <v>157</v>
      </c>
    </row>
    <row r="8848" customFormat="false" ht="16.5" hidden="false" customHeight="true" outlineLevel="0" collapsed="false">
      <c r="B8848" s="40" t="str">
        <f aca="false">IFERROR(INDEX($J$8848:$J$8851,MATCH($O8848,$N$8848:$N$8851,0)),"")</f>
        <v/>
      </c>
      <c r="C8848" s="41" t="str">
        <f aca="false">IFERROR(INDEX($K$8848:$K$8851,MATCH($O8848,$N$8848:$N$8851,0)),"")</f>
        <v/>
      </c>
      <c r="D8848" s="42" t="str">
        <f aca="false">IF(OR(E8848="",N(C8848)=0),"",E8848/C8848-1)</f>
        <v/>
      </c>
      <c r="E8848" s="41" t="str">
        <f aca="false">IFERROR(INDEX($L$8848:$L$8851,MATCH($O8848,$N$8848:$N$8851,0)),"")</f>
        <v/>
      </c>
      <c r="F8848" s="41" t="str">
        <f aca="false">IF(E8848="","",E8848-C8848)</f>
        <v/>
      </c>
      <c r="J8848" s="25" t="str">
        <f aca="false">Lib_Compta</f>
        <v>Mission comptable (tenue, révision, bilan, liasse fiscale)</v>
      </c>
      <c r="K8848" s="25" t="n">
        <f aca="false">IF($K$8821=0,0,N(INDEX(Clients!$K$2:$K$501,$K$8821)))</f>
        <v>0</v>
      </c>
      <c r="L8848" s="25" t="n">
        <f aca="false">IF($K$8821=0,0,N(INDEX(Clients!$P$2:$P$501,$K$8821)))</f>
        <v>0</v>
      </c>
      <c r="M8848" s="25" t="n">
        <f aca="false">IF(OR(K8848&lt;&gt;0,L8848&lt;&gt;0),1,0)</f>
        <v>0</v>
      </c>
      <c r="N8848" s="25" t="str">
        <f aca="false">IF(M8848=1,SUM($M$8848:M8848),"")</f>
        <v/>
      </c>
      <c r="O8848" s="25" t="n">
        <v>1</v>
      </c>
    </row>
    <row r="8849" customFormat="false" ht="16.5" hidden="false" customHeight="true" outlineLevel="0" collapsed="false">
      <c r="B8849" s="40" t="str">
        <f aca="false">IFERROR(INDEX($J$8848:$J$8851,MATCH($O8849,$N$8848:$N$8851,0)),"")</f>
        <v/>
      </c>
      <c r="C8849" s="41" t="str">
        <f aca="false">IFERROR(INDEX($K$8848:$K$8851,MATCH($O8849,$N$8848:$N$8851,0)),"")</f>
        <v/>
      </c>
      <c r="D8849" s="42" t="str">
        <f aca="false">IF(OR(E8849="",N(C8849)=0),"",E8849/C8849-1)</f>
        <v/>
      </c>
      <c r="E8849" s="41" t="str">
        <f aca="false">IFERROR(INDEX($L$8848:$L$8851,MATCH($O8849,$N$8848:$N$8851,0)),"")</f>
        <v/>
      </c>
      <c r="F8849" s="41" t="str">
        <f aca="false">IF(E8849="","",E8849-C8849)</f>
        <v/>
      </c>
      <c r="J8849" s="25" t="str">
        <f aca="false">Lib_Paye</f>
        <v>Mission sociale (bulletins de paie, DSN, déclarations sociales)</v>
      </c>
      <c r="K8849" s="25" t="n">
        <f aca="false">IF($K$8821=0,0,N(INDEX(Clients!$L$2:$L$501,$K$8821)))</f>
        <v>0</v>
      </c>
      <c r="L8849" s="25" t="n">
        <f aca="false">IF($K$8821=0,0,N(INDEX(Clients!$Q$2:$Q$501,$K$8821)))</f>
        <v>0</v>
      </c>
      <c r="M8849" s="25" t="n">
        <f aca="false">IF(OR(K8849&lt;&gt;0,L8849&lt;&gt;0),1,0)</f>
        <v>0</v>
      </c>
      <c r="N8849" s="25" t="str">
        <f aca="false">IF(M8849=1,SUM($M$8848:M8849),"")</f>
        <v/>
      </c>
      <c r="O8849" s="25" t="n">
        <v>2</v>
      </c>
    </row>
    <row r="8850" customFormat="false" ht="16.5" hidden="false" customHeight="true" outlineLevel="0" collapsed="false">
      <c r="B8850" s="40" t="str">
        <f aca="false">IFERROR(INDEX($J$8848:$J$8851,MATCH($O8850,$N$8848:$N$8851,0)),"")</f>
        <v/>
      </c>
      <c r="C8850" s="41" t="str">
        <f aca="false">IFERROR(INDEX($K$8848:$K$8851,MATCH($O8850,$N$8848:$N$8851,0)),"")</f>
        <v/>
      </c>
      <c r="D8850" s="42" t="str">
        <f aca="false">IF(OR(E8850="",N(C8850)=0),"",E8850/C8850-1)</f>
        <v/>
      </c>
      <c r="E8850" s="41" t="str">
        <f aca="false">IFERROR(INDEX($L$8848:$L$8851,MATCH($O8850,$N$8848:$N$8851,0)),"")</f>
        <v/>
      </c>
      <c r="F8850" s="41" t="str">
        <f aca="false">IF(E8850="","",E8850-C8850)</f>
        <v/>
      </c>
      <c r="J8850" s="25" t="str">
        <f aca="false">Lib_Jur</f>
        <v>Mission juridique (approbation des comptes, secrétariat juridique)</v>
      </c>
      <c r="K8850" s="25" t="n">
        <f aca="false">IF($K$8821=0,0,N(INDEX(Clients!$M$2:$M$501,$K$8821)))</f>
        <v>0</v>
      </c>
      <c r="L8850" s="25" t="n">
        <f aca="false">IF($K$8821=0,0,N(INDEX(Clients!$R$2:$R$501,$K$8821)))</f>
        <v>0</v>
      </c>
      <c r="M8850" s="25" t="n">
        <f aca="false">IF(OR(K8850&lt;&gt;0,L8850&lt;&gt;0),1,0)</f>
        <v>0</v>
      </c>
      <c r="N8850" s="25" t="str">
        <f aca="false">IF(M8850=1,SUM($M$8848:M8850),"")</f>
        <v/>
      </c>
      <c r="O8850" s="25" t="n">
        <v>3</v>
      </c>
    </row>
    <row r="8851" customFormat="false" ht="16.5" hidden="false" customHeight="true" outlineLevel="0" collapsed="false">
      <c r="B8851" s="40" t="str">
        <f aca="false">IFERROR(INDEX($J$8848:$J$8851,MATCH($O8851,$N$8848:$N$8851,0)),"")</f>
        <v/>
      </c>
      <c r="C8851" s="41" t="str">
        <f aca="false">IFERROR(INDEX($K$8848:$K$8851,MATCH($O8851,$N$8848:$N$8851,0)),"")</f>
        <v/>
      </c>
      <c r="D8851" s="42" t="str">
        <f aca="false">IF(OR(E8851="",N(C8851)=0),"",E8851/C8851-1)</f>
        <v/>
      </c>
      <c r="E8851" s="41" t="str">
        <f aca="false">IFERROR(INDEX($L$8848:$L$8851,MATCH($O8851,$N$8848:$N$8851,0)),"")</f>
        <v/>
      </c>
      <c r="F8851" s="41" t="str">
        <f aca="false">IF(E8851="","",E8851-C8851)</f>
        <v/>
      </c>
      <c r="J8851" s="25" t="str">
        <f aca="false">Lib_PA</f>
        <v>Plateforme agréée – facturation électronique</v>
      </c>
      <c r="K8851" s="25" t="n">
        <f aca="false">IF($K$8821=0,0,N(INDEX(Clients!$N$2:$N$501,$K$8821)))</f>
        <v>0</v>
      </c>
      <c r="L8851" s="25" t="n">
        <f aca="false">IF($K$8821=0,0,N(INDEX(Clients!$S$2:$S$501,$K$8821)))</f>
        <v>0</v>
      </c>
      <c r="M8851" s="25" t="n">
        <f aca="false">IF(OR(K8851&lt;&gt;0,L8851&lt;&gt;0),1,0)</f>
        <v>0</v>
      </c>
      <c r="N8851" s="25" t="str">
        <f aca="false">IF(M8851=1,SUM($M$8848:M8851),"")</f>
        <v/>
      </c>
      <c r="O8851" s="25" t="n">
        <v>4</v>
      </c>
    </row>
    <row r="8852" customFormat="false" ht="18" hidden="false" customHeight="true" outlineLevel="0" collapsed="false">
      <c r="B8852" s="43" t="s">
        <v>158</v>
      </c>
      <c r="C8852" s="44" t="n">
        <f aca="false">SUM(K8848:K8851)</f>
        <v>0</v>
      </c>
      <c r="D8852" s="45" t="str">
        <f aca="false">IF(N(C8852)=0,"",E8852/C8852-1)</f>
        <v/>
      </c>
      <c r="E8852" s="44" t="n">
        <f aca="false">SUM(L8848:L8851)</f>
        <v>0</v>
      </c>
      <c r="F8852" s="44" t="n">
        <f aca="false">E8852-C8852</f>
        <v>0</v>
      </c>
    </row>
    <row r="8853" customFormat="false" ht="15" hidden="false" customHeight="false" outlineLevel="0" collapsed="false">
      <c r="B8853" s="46" t="str">
        <f aca="false">IF(N(Nb_Mensualites)=0,"","Soit "&amp;FIXED(E8852/Nb_Mensualites,2)&amp;" € HT par échéance ("&amp;Nb_Mensualites&amp;" échéances), "&amp;FIXED(E8852/Nb_Mensualites*(1+Taux_TVA),2)&amp;" € TTC.")</f>
        <v>Soit 0.00 € HT par échéance (12 échéances), 0.00 € TTC.</v>
      </c>
      <c r="C8853" s="46"/>
      <c r="D8853" s="46"/>
      <c r="E8853" s="46"/>
      <c r="F8853" s="46"/>
    </row>
    <row r="8854" customFormat="false" ht="7.5" hidden="false" customHeight="true" outlineLevel="0" collapsed="false">
      <c r="B8854" s="10"/>
      <c r="C8854" s="10"/>
      <c r="D8854" s="10"/>
      <c r="E8854" s="10"/>
      <c r="F8854" s="10"/>
    </row>
    <row r="8855" customFormat="false" ht="36.75" hidden="false" customHeight="true" outlineLevel="0" collapsed="false">
      <c r="B8855" s="37" t="str">
        <f aca="false">SUBSTITUTE(SUBSTITUTE(SUBSTITUTE(SUBSTITUTE(SUBSTITUTE(Txt_P5,"{cabinet}",Cab_Nom),"{societe}",IF($K$8821=0,"",INDEX(Clients!$E$2:$E$501,$K$8821)&amp;"")),"{date_effet}",$K$8823),"{hausse}",$K$8824),"{civilite}",$K$8822)</f>
        <v>Les autres conditions de votre lettre de mission demeurent inchangées. Les nouveaux montants seront appliqués automatiquement sur vos prochaines factures et échéances de prélèvement.</v>
      </c>
      <c r="C8855" s="37"/>
      <c r="D8855" s="37"/>
      <c r="E8855" s="37"/>
      <c r="F8855" s="37"/>
    </row>
    <row r="8856" customFormat="false" ht="36.75" hidden="false" customHeight="true" outlineLevel="0" collapsed="false">
      <c r="B8856" s="37" t="str">
        <f aca="false">SUBSTITUTE(SUBSTITUTE(SUBSTITUTE(SUBSTITUTE(SUBSTITUTE(Txt_P6,"{cabinet}",Cab_Nom),"{societe}",IF($K$8821=0,"",INDEX(Clients!$E$2:$E$501,$K$8821)&amp;"")),"{date_effet}",$K$8823),"{hausse}",$K$8824),"{civilite}",$K$8822)</f>
        <v>Votre interlocuteur habituel reste à votre entière disposition pour répondre à vos questions et faire le point sur l'évolution de vos besoins.</v>
      </c>
      <c r="C8856" s="37"/>
      <c r="D8856" s="37"/>
      <c r="E8856" s="37"/>
      <c r="F8856" s="37"/>
    </row>
    <row r="8857" customFormat="false" ht="24" hidden="false" customHeight="true" outlineLevel="0" collapsed="false">
      <c r="B8857" s="37" t="str">
        <f aca="false">SUBSTITUTE(SUBSTITUTE(SUBSTITUTE(SUBSTITUTE(SUBSTITUTE(Txt_Politesse,"{cabinet}",Cab_Nom),"{societe}",IF($K$8821=0,"",INDEX(Clients!$E$2:$E$501,$K$8821)&amp;"")),"{date_effet}",$K$8823),"{hausse}",$K$8824),"{civilite}",$K$8822)</f>
        <v>Nous vous prions d'agréer, Madame, Monsieur, l'expression de nos salutations distinguées.</v>
      </c>
      <c r="C8857" s="37"/>
      <c r="D8857" s="37"/>
      <c r="E8857" s="37"/>
      <c r="F8857" s="37"/>
    </row>
    <row r="8858" customFormat="false" ht="15" hidden="false" customHeight="false" outlineLevel="0" collapsed="false">
      <c r="B8858" s="10"/>
      <c r="C8858" s="10"/>
      <c r="D8858" s="10"/>
      <c r="E8858" s="10"/>
      <c r="F8858" s="10"/>
    </row>
    <row r="8859" customFormat="false" ht="15" hidden="false" customHeight="false" outlineLevel="0" collapsed="false">
      <c r="B8859" s="10"/>
      <c r="C8859" s="10"/>
      <c r="D8859" s="34" t="str">
        <f aca="false">Signataire</f>
        <v>Prénom NOM</v>
      </c>
      <c r="E8859" s="34"/>
      <c r="F8859" s="34"/>
    </row>
    <row r="8860" customFormat="false" ht="15" hidden="false" customHeight="false" outlineLevel="0" collapsed="false">
      <c r="B8860" s="10"/>
      <c r="C8860" s="10"/>
      <c r="D8860" s="47" t="str">
        <f aca="false">Signataire_Titre</f>
        <v>Expert-comptable associé</v>
      </c>
      <c r="E8860" s="47"/>
      <c r="F8860" s="47"/>
    </row>
    <row r="8861" customFormat="false" ht="15.75" hidden="false" customHeight="true" outlineLevel="0" collapsed="false">
      <c r="B8861" s="10"/>
      <c r="C8861" s="10"/>
      <c r="D8861" s="10"/>
      <c r="E8861" s="10"/>
      <c r="F8861" s="10"/>
    </row>
    <row r="8862" customFormat="false" ht="15.75" hidden="false" customHeight="true" outlineLevel="0" collapsed="false">
      <c r="B8862" s="10"/>
      <c r="C8862" s="10"/>
      <c r="D8862" s="10"/>
      <c r="E8862" s="10"/>
      <c r="F8862" s="10"/>
    </row>
    <row r="8863" customFormat="false" ht="15.75" hidden="false" customHeight="true" outlineLevel="0" collapsed="false">
      <c r="B8863" s="10"/>
      <c r="C8863" s="10"/>
      <c r="D8863" s="10"/>
      <c r="E8863" s="10"/>
      <c r="F8863" s="10"/>
    </row>
    <row r="8864" customFormat="false" ht="15.75" hidden="false" customHeight="true" outlineLevel="0" collapsed="false">
      <c r="B8864" s="10"/>
      <c r="C8864" s="10"/>
      <c r="D8864" s="10"/>
      <c r="E8864" s="10"/>
      <c r="F8864" s="10"/>
    </row>
    <row r="8865" customFormat="false" ht="24" hidden="false" customHeight="true" outlineLevel="0" collapsed="false">
      <c r="B8865" s="48" t="str">
        <f aca="false">Cab_Mentions</f>
        <v>ALTHO EXPERTISE · SAS au capital de 10 000 € · RCS Pontoise 919 706 325 · TVA FR62919706325 · Société d'expertise comptable inscrite au Tableau de l'Ordre des experts-comptables de Paris Île-de-France</v>
      </c>
      <c r="C8865" s="48"/>
      <c r="D8865" s="48"/>
      <c r="E8865" s="48"/>
      <c r="F8865" s="48"/>
    </row>
    <row r="8866" customFormat="false" ht="15" hidden="false" customHeight="false" outlineLevel="0" collapsed="false">
      <c r="B8866" s="10"/>
      <c r="C8866" s="10"/>
      <c r="D8866" s="10"/>
      <c r="E8866" s="10"/>
      <c r="F8866" s="10"/>
      <c r="J8866" s="25" t="s">
        <v>142</v>
      </c>
      <c r="K8866" s="25" t="n">
        <f aca="false">IFERROR(MATCH(198,Clients!$Z$2:$Z$501,0),0)</f>
        <v>0</v>
      </c>
      <c r="L8866" s="25"/>
      <c r="M8866" s="25"/>
      <c r="N8866" s="25"/>
      <c r="O8866" s="25"/>
    </row>
    <row r="8867" customFormat="false" ht="21.75" hidden="false" customHeight="true" outlineLevel="0" collapsed="false">
      <c r="B8867" s="26" t="str">
        <f aca="false">Cab_Nom</f>
        <v>ALTHO EXPERTISE</v>
      </c>
      <c r="C8867" s="26"/>
      <c r="D8867" s="10"/>
      <c r="E8867" s="27" t="str">
        <f aca="false">IF($K$8866=0,"","Réf. client : "&amp;INDEX(Clients!$A$2:$A$501,$K$8866))</f>
        <v/>
      </c>
      <c r="F8867" s="27"/>
      <c r="J8867" s="25" t="s">
        <v>144</v>
      </c>
      <c r="K8867" s="25" t="str">
        <f aca="false">IF(IF($K$8866=0,"",INDEX(Clients!$B$2:$B$501,$K$8866)&amp;"")="Mme","Madame",IF(IF($K$8866=0,"",INDEX(Clients!$B$2:$B$501,$K$8866)&amp;"")="M.","Monsieur","Madame, Monsieur"))</f>
        <v>Madame, Monsieur</v>
      </c>
      <c r="L8867" s="25"/>
      <c r="M8867" s="25"/>
      <c r="N8867" s="25"/>
      <c r="O8867" s="25"/>
    </row>
    <row r="8868" customFormat="false" ht="15" hidden="false" customHeight="false" outlineLevel="0" collapsed="false">
      <c r="B8868" s="29" t="str">
        <f aca="false">Cab_Adr1</f>
        <v>141 rue Charles de Gaulle</v>
      </c>
      <c r="C8868" s="29"/>
      <c r="D8868" s="10"/>
      <c r="E8868" s="10"/>
      <c r="F8868" s="10"/>
      <c r="J8868" s="25" t="s">
        <v>145</v>
      </c>
      <c r="K8868" s="25" t="str">
        <f aca="false">DAY(Date_Effet)&amp;IF(DAY(Date_Effet)=1,"er","")&amp;" "&amp;INDEX(Liste_Mois,MONTH(Date_Effet))&amp;" "&amp;YEAR(Date_Effet)</f>
        <v>1er janvier 2027</v>
      </c>
      <c r="L8868" s="25"/>
      <c r="M8868" s="25"/>
      <c r="N8868" s="25"/>
      <c r="O8868" s="25"/>
    </row>
    <row r="8869" customFormat="false" ht="15" hidden="false" customHeight="false" outlineLevel="0" collapsed="false">
      <c r="B8869" s="29" t="str">
        <f aca="false">Cab_CPVille</f>
        <v>95130 LE PLESSIS-BOUCHARD</v>
      </c>
      <c r="C8869" s="29"/>
      <c r="D8869" s="10"/>
      <c r="E8869" s="10"/>
      <c r="F8869" s="10"/>
      <c r="J8869" s="25" t="s">
        <v>146</v>
      </c>
      <c r="K8869" s="25" t="str">
        <f aca="false">IF(SUM($K$8893:$K$8896)=0,"",FIXED((SUM($L$8893:$L$8896)/SUM($K$8893:$K$8896)-1)*100,1)&amp;" %")</f>
        <v/>
      </c>
      <c r="L8869" s="25"/>
      <c r="M8869" s="25"/>
      <c r="N8869" s="25"/>
      <c r="O8869" s="25"/>
    </row>
    <row r="8870" customFormat="false" ht="15" hidden="false" customHeight="false" outlineLevel="0" collapsed="false">
      <c r="B8870" s="29" t="str">
        <f aca="false">Cab_Contact</f>
        <v>Tél. 01 34 14 53 45  ·  altho@altho-experts.com  ·  altho-experts.com</v>
      </c>
      <c r="C8870" s="29"/>
      <c r="D8870" s="10"/>
      <c r="E8870" s="10"/>
      <c r="F8870" s="10"/>
      <c r="J8870" s="25"/>
      <c r="K8870" s="25"/>
      <c r="L8870" s="25"/>
      <c r="M8870" s="25"/>
      <c r="N8870" s="25"/>
      <c r="O8870" s="25"/>
    </row>
    <row r="8871" customFormat="false" ht="6" hidden="false" customHeight="true" outlineLevel="0" collapsed="false">
      <c r="B8871" s="32"/>
      <c r="C8871" s="32"/>
      <c r="D8871" s="32"/>
      <c r="E8871" s="32"/>
      <c r="F8871" s="32"/>
      <c r="J8871" s="25"/>
      <c r="K8871" s="25"/>
      <c r="L8871" s="25"/>
      <c r="M8871" s="25"/>
      <c r="N8871" s="25"/>
      <c r="O8871" s="25"/>
    </row>
    <row r="8872" customFormat="false" ht="13.5" hidden="false" customHeight="true" outlineLevel="0" collapsed="false">
      <c r="B8872" s="10"/>
      <c r="C8872" s="10"/>
      <c r="D8872" s="10"/>
      <c r="E8872" s="10"/>
      <c r="F8872" s="10"/>
      <c r="J8872" s="25"/>
      <c r="K8872" s="25"/>
      <c r="L8872" s="25"/>
      <c r="M8872" s="25"/>
      <c r="N8872" s="25"/>
      <c r="O8872" s="25"/>
    </row>
    <row r="8873" customFormat="false" ht="13.5" hidden="false" customHeight="true" outlineLevel="0" collapsed="false">
      <c r="B8873" s="10"/>
      <c r="C8873" s="10"/>
      <c r="D8873" s="10"/>
      <c r="E8873" s="10"/>
      <c r="F8873" s="10"/>
      <c r="J8873" s="25"/>
      <c r="K8873" s="25"/>
      <c r="L8873" s="25"/>
      <c r="M8873" s="25"/>
      <c r="N8873" s="25"/>
      <c r="O8873" s="25"/>
    </row>
    <row r="8874" customFormat="false" ht="13.5" hidden="false" customHeight="true" outlineLevel="0" collapsed="false">
      <c r="B8874" s="10"/>
      <c r="C8874" s="10"/>
      <c r="D8874" s="10"/>
      <c r="E8874" s="10"/>
      <c r="F8874" s="10"/>
      <c r="J8874" s="25"/>
      <c r="K8874" s="25"/>
      <c r="L8874" s="25"/>
      <c r="M8874" s="25"/>
      <c r="N8874" s="25"/>
      <c r="O8874" s="25"/>
    </row>
    <row r="8875" customFormat="false" ht="15" hidden="false" customHeight="true" outlineLevel="0" collapsed="false">
      <c r="B8875" s="10"/>
      <c r="C8875" s="10"/>
      <c r="D8875" s="34" t="str">
        <f aca="false">IF($K$8866=0,"",INDEX(Clients!$E$2:$E$501,$K$8866)&amp;"")</f>
        <v/>
      </c>
      <c r="E8875" s="34"/>
      <c r="F8875" s="34"/>
      <c r="J8875" s="25"/>
      <c r="K8875" s="25"/>
      <c r="L8875" s="25"/>
      <c r="M8875" s="25"/>
      <c r="N8875" s="25"/>
      <c r="O8875" s="25"/>
    </row>
    <row r="8876" customFormat="false" ht="15" hidden="false" customHeight="true" outlineLevel="0" collapsed="false">
      <c r="B8876" s="10"/>
      <c r="C8876" s="10"/>
      <c r="D8876" s="35" t="str">
        <f aca="false">IF(IF($K$8866=0,"",INDEX(Clients!$D$2:$D$501,$K$8866)&amp;"")="","","À l'attention de "&amp;TRIM(IF($K$8866=0,"",INDEX(Clients!$B$2:$B$501,$K$8866)&amp;"")&amp;" "&amp;IF($K$8866=0,"",INDEX(Clients!$C$2:$C$501,$K$8866)&amp;"")&amp;" "&amp;IF($K$8866=0,"",INDEX(Clients!$D$2:$D$501,$K$8866)&amp;"")))</f>
        <v/>
      </c>
      <c r="E8876" s="35"/>
      <c r="F8876" s="35"/>
      <c r="J8876" s="25"/>
      <c r="K8876" s="25"/>
      <c r="L8876" s="25"/>
      <c r="M8876" s="25"/>
      <c r="N8876" s="25"/>
      <c r="O8876" s="25"/>
    </row>
    <row r="8877" customFormat="false" ht="15" hidden="false" customHeight="true" outlineLevel="0" collapsed="false">
      <c r="B8877" s="10"/>
      <c r="C8877" s="10"/>
      <c r="D8877" s="35" t="str">
        <f aca="false">IF($K$8866=0,"",INDEX(Clients!$F$2:$F$501,$K$8866)&amp;"")</f>
        <v/>
      </c>
      <c r="E8877" s="35"/>
      <c r="F8877" s="35"/>
      <c r="J8877" s="25"/>
      <c r="K8877" s="25"/>
      <c r="L8877" s="25"/>
      <c r="M8877" s="25"/>
      <c r="N8877" s="25"/>
      <c r="O8877" s="25"/>
    </row>
    <row r="8878" customFormat="false" ht="15" hidden="false" customHeight="true" outlineLevel="0" collapsed="false">
      <c r="B8878" s="10"/>
      <c r="C8878" s="10"/>
      <c r="D8878" s="35" t="str">
        <f aca="false">IF(IF($K$8866=0,"",INDEX(Clients!$G$2:$G$501,$K$8866)&amp;"")="",TRIM(IF($K$8866=0,"",INDEX(Clients!$H$2:$H$501,$K$8866)&amp;"")&amp;" "&amp;UPPER(IF($K$8866=0,"",INDEX(Clients!$I$2:$I$501,$K$8866)&amp;""))),IF($K$8866=0,"",INDEX(Clients!$G$2:$G$501,$K$8866)&amp;""))</f>
        <v/>
      </c>
      <c r="E8878" s="35"/>
      <c r="F8878" s="35"/>
      <c r="J8878" s="25"/>
      <c r="K8878" s="25"/>
      <c r="L8878" s="25"/>
      <c r="M8878" s="25"/>
      <c r="N8878" s="25"/>
      <c r="O8878" s="25"/>
    </row>
    <row r="8879" customFormat="false" ht="15" hidden="false" customHeight="true" outlineLevel="0" collapsed="false">
      <c r="B8879" s="10"/>
      <c r="C8879" s="10"/>
      <c r="D8879" s="35" t="str">
        <f aca="false">IF(IF($K$8866=0,"",INDEX(Clients!$G$2:$G$501,$K$8866)&amp;"")="","",TRIM(IF($K$8866=0,"",INDEX(Clients!$H$2:$H$501,$K$8866)&amp;"")&amp;" "&amp;UPPER(IF($K$8866=0,"",INDEX(Clients!$I$2:$I$501,$K$8866)&amp;""))))</f>
        <v/>
      </c>
      <c r="E8879" s="35"/>
      <c r="F8879" s="35"/>
      <c r="J8879" s="25"/>
      <c r="K8879" s="25"/>
      <c r="L8879" s="25"/>
      <c r="M8879" s="25"/>
      <c r="N8879" s="25"/>
      <c r="O8879" s="25"/>
    </row>
    <row r="8880" customFormat="false" ht="25.5" hidden="false" customHeight="true" outlineLevel="0" collapsed="false">
      <c r="B8880" s="10"/>
      <c r="C8880" s="10"/>
      <c r="D8880" s="10"/>
      <c r="E8880" s="10"/>
      <c r="F8880" s="10"/>
      <c r="J8880" s="25"/>
      <c r="K8880" s="25"/>
      <c r="L8880" s="25"/>
      <c r="M8880" s="25"/>
      <c r="N8880" s="25"/>
      <c r="O8880" s="25"/>
    </row>
    <row r="8881" customFormat="false" ht="15" hidden="false" customHeight="false" outlineLevel="0" collapsed="false">
      <c r="B8881" s="10"/>
      <c r="C8881" s="10"/>
      <c r="D8881" s="36" t="str">
        <f aca="false">Cab_Ville&amp;", le "&amp;DAY(Date_Courrier)&amp;IF(DAY(Date_Courrier)=1,"er","")&amp;" "&amp;INDEX(Liste_Mois,MONTH(Date_Courrier))&amp;" "&amp;YEAR(Date_Courrier)</f>
        <v>Le Plessis-Bouchard, le 22 septembre 2026</v>
      </c>
      <c r="E8881" s="36"/>
      <c r="F8881" s="36"/>
      <c r="J8881" s="25"/>
      <c r="K8881" s="25"/>
      <c r="L8881" s="25"/>
      <c r="M8881" s="25"/>
      <c r="N8881" s="25"/>
      <c r="O8881" s="25"/>
    </row>
    <row r="8882" customFormat="false" ht="19.5" hidden="false" customHeight="true" outlineLevel="0" collapsed="false">
      <c r="B8882" s="10"/>
      <c r="C8882" s="10"/>
      <c r="D8882" s="10"/>
      <c r="E8882" s="10"/>
      <c r="F8882" s="10"/>
      <c r="J8882" s="25"/>
      <c r="K8882" s="25"/>
      <c r="L8882" s="25"/>
      <c r="M8882" s="25"/>
      <c r="N8882" s="25"/>
      <c r="O8882" s="25"/>
    </row>
    <row r="8883" customFormat="false" ht="15" hidden="false" customHeight="false" outlineLevel="0" collapsed="false">
      <c r="B8883" s="34" t="str">
        <f aca="false">SUBSTITUTE(SUBSTITUTE(SUBSTITUTE(SUBSTITUTE(SUBSTITUTE(Txt_Objet,"{cabinet}",Cab_Nom),"{societe}",IF($K$8866=0,"",INDEX(Clients!$E$2:$E$501,$K$8866)&amp;"")),"{date_effet}",$K$8868),"{hausse}",$K$8869),"{civilite}",$K$8867)</f>
        <v>Objet : révision de nos honoraires au 1er janvier 2027</v>
      </c>
      <c r="C8883" s="34"/>
      <c r="D8883" s="34"/>
      <c r="E8883" s="34"/>
      <c r="F8883" s="34"/>
      <c r="J8883" s="25"/>
      <c r="K8883" s="25"/>
      <c r="L8883" s="25"/>
      <c r="M8883" s="25"/>
      <c r="N8883" s="25"/>
      <c r="O8883" s="25"/>
    </row>
    <row r="8884" customFormat="false" ht="13.5" hidden="false" customHeight="true" outlineLevel="0" collapsed="false">
      <c r="B8884" s="10"/>
      <c r="C8884" s="10"/>
      <c r="D8884" s="10"/>
      <c r="E8884" s="10"/>
      <c r="F8884" s="10"/>
      <c r="J8884" s="25"/>
      <c r="K8884" s="25"/>
      <c r="L8884" s="25"/>
      <c r="M8884" s="25"/>
      <c r="N8884" s="25"/>
      <c r="O8884" s="25"/>
    </row>
    <row r="8885" customFormat="false" ht="15" hidden="false" customHeight="false" outlineLevel="0" collapsed="false">
      <c r="B8885" s="10" t="str">
        <f aca="false">$K$8867&amp;","</f>
        <v>Madame, Monsieur,</v>
      </c>
      <c r="C8885" s="10"/>
      <c r="D8885" s="10"/>
      <c r="E8885" s="10"/>
      <c r="F8885" s="10"/>
      <c r="J8885" s="25"/>
      <c r="K8885" s="25"/>
      <c r="L8885" s="25"/>
      <c r="M8885" s="25"/>
      <c r="N8885" s="25"/>
      <c r="O8885" s="25"/>
    </row>
    <row r="8886" customFormat="false" ht="6" hidden="false" customHeight="true" outlineLevel="0" collapsed="false">
      <c r="B8886" s="10"/>
      <c r="C8886" s="10"/>
      <c r="D8886" s="10"/>
      <c r="E8886" s="10"/>
      <c r="F8886" s="10"/>
      <c r="J8886" s="25"/>
      <c r="K8886" s="25"/>
      <c r="L8886" s="25"/>
      <c r="M8886" s="25"/>
      <c r="N8886" s="25"/>
      <c r="O8886" s="25"/>
    </row>
    <row r="8887" customFormat="false" ht="36.75" hidden="false" customHeight="true" outlineLevel="0" collapsed="false">
      <c r="B8887" s="37" t="str">
        <f aca="false">SUBSTITUTE(SUBSTITUTE(SUBSTITUTE(SUBSTITUTE(SUBSTITUTE(Txt_P1,"{cabinet}",Cab_Nom),"{societe}",IF($K$8866=0,"",INDEX(Clients!$E$2:$E$501,$K$8866)&amp;"")),"{date_effet}",$K$8868),"{hausse}",$K$8869),"{civilite}",$K$8867)</f>
        <v>Nous tenons tout d'abord à vous remercier pour la confiance que vous accordez à ALTHO EXPERTISE. Comme chaque année, et conformément aux dispositions de votre lettre de mission, nous procédons à la révision de nos honoraires.</v>
      </c>
      <c r="C8887" s="37"/>
      <c r="D8887" s="37"/>
      <c r="E8887" s="37"/>
      <c r="F8887" s="37"/>
      <c r="J8887" s="25"/>
      <c r="K8887" s="25"/>
      <c r="L8887" s="25"/>
      <c r="M8887" s="25"/>
      <c r="N8887" s="25"/>
      <c r="O8887" s="25"/>
    </row>
    <row r="8888" customFormat="false" ht="49.5" hidden="false" customHeight="true" outlineLevel="0" collapsed="false">
      <c r="B8888" s="37" t="str">
        <f aca="false">SUBSTITUTE(SUBSTITUTE(SUBSTITUTE(SUBSTITUTE(SUBSTITUTE(Txt_P2,"{cabinet}",Cab_Nom),"{societe}",IF($K$8866=0,"",INDEX(Clients!$E$2:$E$501,$K$8866)&amp;"")),"{date_effet}",$K$8868),"{hausse}",$K$8869),"{civilite}",$K$8867)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888" s="37"/>
      <c r="D8888" s="37"/>
      <c r="E8888" s="37"/>
      <c r="F8888" s="37"/>
      <c r="J8888" s="25"/>
      <c r="K8888" s="25"/>
      <c r="L8888" s="25"/>
      <c r="M8888" s="25"/>
      <c r="N8888" s="25"/>
      <c r="O8888" s="25"/>
    </row>
    <row r="8889" customFormat="false" ht="63" hidden="false" customHeight="true" outlineLevel="0" collapsed="false">
      <c r="B8889" s="37" t="str">
        <f aca="false">SUBSTITUTE(SUBSTITUTE(SUBSTITUTE(SUBSTITUTE(SUBSTITUTE(Txt_P3,"{cabinet}",Cab_Nom),"{societe}",IF($K$8866=0,"",INDEX(Clients!$E$2:$E$501,$K$8866)&amp;"")),"{date_effet}",$K$8868),"{hausse}",$K$8869),"{civilite}",$K$8867)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889" s="37"/>
      <c r="D8889" s="37"/>
      <c r="E8889" s="37"/>
      <c r="F8889" s="37"/>
      <c r="J8889" s="25"/>
      <c r="K8889" s="25"/>
      <c r="L8889" s="25"/>
      <c r="M8889" s="25"/>
      <c r="N8889" s="25"/>
      <c r="O8889" s="25"/>
    </row>
    <row r="8890" customFormat="false" ht="24" hidden="false" customHeight="true" outlineLevel="0" collapsed="false">
      <c r="B8890" s="37" t="str">
        <f aca="false">SUBSTITUTE(SUBSTITUTE(SUBSTITUTE(SUBSTITUTE(SUBSTITUTE(Txt_P4,"{cabinet}",Cab_Nom),"{societe}",IF($K$8866=0,"",INDEX(Clients!$E$2:$E$501,$K$8866)&amp;"")),"{date_effet}",$K$8868),"{hausse}",$K$8869),"{civilite}",$K$8867)</f>
        <v>À compter du 1er janvier 2027, vos honoraires annuels hors taxes évolueront ainsi (évolution globale : ) :</v>
      </c>
      <c r="C8890" s="37"/>
      <c r="D8890" s="37"/>
      <c r="E8890" s="37"/>
      <c r="F8890" s="37"/>
      <c r="J8890" s="25"/>
      <c r="K8890" s="25"/>
      <c r="L8890" s="25"/>
      <c r="M8890" s="25"/>
      <c r="N8890" s="25"/>
      <c r="O8890" s="25"/>
    </row>
    <row r="8891" customFormat="false" ht="3.75" hidden="false" customHeight="true" outlineLevel="0" collapsed="false">
      <c r="B8891" s="10"/>
      <c r="C8891" s="10"/>
      <c r="D8891" s="10"/>
      <c r="E8891" s="10"/>
      <c r="F8891" s="10"/>
      <c r="J8891" s="25"/>
      <c r="K8891" s="25"/>
      <c r="L8891" s="25"/>
      <c r="M8891" s="25"/>
      <c r="N8891" s="25"/>
      <c r="O8891" s="25"/>
    </row>
    <row r="8892" customFormat="false" ht="18" hidden="false" customHeight="true" outlineLevel="0" collapsed="false">
      <c r="B8892" s="38" t="s">
        <v>148</v>
      </c>
      <c r="C8892" s="39" t="s">
        <v>149</v>
      </c>
      <c r="D8892" s="39" t="s">
        <v>150</v>
      </c>
      <c r="E8892" s="39" t="s">
        <v>151</v>
      </c>
      <c r="F8892" s="39" t="s">
        <v>109</v>
      </c>
      <c r="J8892" s="25" t="s">
        <v>152</v>
      </c>
      <c r="K8892" s="25" t="s">
        <v>153</v>
      </c>
      <c r="L8892" s="25" t="s">
        <v>154</v>
      </c>
      <c r="M8892" s="25" t="s">
        <v>155</v>
      </c>
      <c r="N8892" s="25" t="s">
        <v>156</v>
      </c>
      <c r="O8892" s="25" t="s">
        <v>157</v>
      </c>
    </row>
    <row r="8893" customFormat="false" ht="16.5" hidden="false" customHeight="true" outlineLevel="0" collapsed="false">
      <c r="B8893" s="40" t="str">
        <f aca="false">IFERROR(INDEX($J$8893:$J$8896,MATCH($O8893,$N$8893:$N$8896,0)),"")</f>
        <v/>
      </c>
      <c r="C8893" s="41" t="str">
        <f aca="false">IFERROR(INDEX($K$8893:$K$8896,MATCH($O8893,$N$8893:$N$8896,0)),"")</f>
        <v/>
      </c>
      <c r="D8893" s="42" t="str">
        <f aca="false">IF(OR(E8893="",N(C8893)=0),"",E8893/C8893-1)</f>
        <v/>
      </c>
      <c r="E8893" s="41" t="str">
        <f aca="false">IFERROR(INDEX($L$8893:$L$8896,MATCH($O8893,$N$8893:$N$8896,0)),"")</f>
        <v/>
      </c>
      <c r="F8893" s="41" t="str">
        <f aca="false">IF(E8893="","",E8893-C8893)</f>
        <v/>
      </c>
      <c r="J8893" s="25" t="str">
        <f aca="false">Lib_Compta</f>
        <v>Mission comptable (tenue, révision, bilan, liasse fiscale)</v>
      </c>
      <c r="K8893" s="25" t="n">
        <f aca="false">IF($K$8866=0,0,N(INDEX(Clients!$K$2:$K$501,$K$8866)))</f>
        <v>0</v>
      </c>
      <c r="L8893" s="25" t="n">
        <f aca="false">IF($K$8866=0,0,N(INDEX(Clients!$P$2:$P$501,$K$8866)))</f>
        <v>0</v>
      </c>
      <c r="M8893" s="25" t="n">
        <f aca="false">IF(OR(K8893&lt;&gt;0,L8893&lt;&gt;0),1,0)</f>
        <v>0</v>
      </c>
      <c r="N8893" s="25" t="str">
        <f aca="false">IF(M8893=1,SUM($M$8893:M8893),"")</f>
        <v/>
      </c>
      <c r="O8893" s="25" t="n">
        <v>1</v>
      </c>
    </row>
    <row r="8894" customFormat="false" ht="16.5" hidden="false" customHeight="true" outlineLevel="0" collapsed="false">
      <c r="B8894" s="40" t="str">
        <f aca="false">IFERROR(INDEX($J$8893:$J$8896,MATCH($O8894,$N$8893:$N$8896,0)),"")</f>
        <v/>
      </c>
      <c r="C8894" s="41" t="str">
        <f aca="false">IFERROR(INDEX($K$8893:$K$8896,MATCH($O8894,$N$8893:$N$8896,0)),"")</f>
        <v/>
      </c>
      <c r="D8894" s="42" t="str">
        <f aca="false">IF(OR(E8894="",N(C8894)=0),"",E8894/C8894-1)</f>
        <v/>
      </c>
      <c r="E8894" s="41" t="str">
        <f aca="false">IFERROR(INDEX($L$8893:$L$8896,MATCH($O8894,$N$8893:$N$8896,0)),"")</f>
        <v/>
      </c>
      <c r="F8894" s="41" t="str">
        <f aca="false">IF(E8894="","",E8894-C8894)</f>
        <v/>
      </c>
      <c r="J8894" s="25" t="str">
        <f aca="false">Lib_Paye</f>
        <v>Mission sociale (bulletins de paie, DSN, déclarations sociales)</v>
      </c>
      <c r="K8894" s="25" t="n">
        <f aca="false">IF($K$8866=0,0,N(INDEX(Clients!$L$2:$L$501,$K$8866)))</f>
        <v>0</v>
      </c>
      <c r="L8894" s="25" t="n">
        <f aca="false">IF($K$8866=0,0,N(INDEX(Clients!$Q$2:$Q$501,$K$8866)))</f>
        <v>0</v>
      </c>
      <c r="M8894" s="25" t="n">
        <f aca="false">IF(OR(K8894&lt;&gt;0,L8894&lt;&gt;0),1,0)</f>
        <v>0</v>
      </c>
      <c r="N8894" s="25" t="str">
        <f aca="false">IF(M8894=1,SUM($M$8893:M8894),"")</f>
        <v/>
      </c>
      <c r="O8894" s="25" t="n">
        <v>2</v>
      </c>
    </row>
    <row r="8895" customFormat="false" ht="16.5" hidden="false" customHeight="true" outlineLevel="0" collapsed="false">
      <c r="B8895" s="40" t="str">
        <f aca="false">IFERROR(INDEX($J$8893:$J$8896,MATCH($O8895,$N$8893:$N$8896,0)),"")</f>
        <v/>
      </c>
      <c r="C8895" s="41" t="str">
        <f aca="false">IFERROR(INDEX($K$8893:$K$8896,MATCH($O8895,$N$8893:$N$8896,0)),"")</f>
        <v/>
      </c>
      <c r="D8895" s="42" t="str">
        <f aca="false">IF(OR(E8895="",N(C8895)=0),"",E8895/C8895-1)</f>
        <v/>
      </c>
      <c r="E8895" s="41" t="str">
        <f aca="false">IFERROR(INDEX($L$8893:$L$8896,MATCH($O8895,$N$8893:$N$8896,0)),"")</f>
        <v/>
      </c>
      <c r="F8895" s="41" t="str">
        <f aca="false">IF(E8895="","",E8895-C8895)</f>
        <v/>
      </c>
      <c r="J8895" s="25" t="str">
        <f aca="false">Lib_Jur</f>
        <v>Mission juridique (approbation des comptes, secrétariat juridique)</v>
      </c>
      <c r="K8895" s="25" t="n">
        <f aca="false">IF($K$8866=0,0,N(INDEX(Clients!$M$2:$M$501,$K$8866)))</f>
        <v>0</v>
      </c>
      <c r="L8895" s="25" t="n">
        <f aca="false">IF($K$8866=0,0,N(INDEX(Clients!$R$2:$R$501,$K$8866)))</f>
        <v>0</v>
      </c>
      <c r="M8895" s="25" t="n">
        <f aca="false">IF(OR(K8895&lt;&gt;0,L8895&lt;&gt;0),1,0)</f>
        <v>0</v>
      </c>
      <c r="N8895" s="25" t="str">
        <f aca="false">IF(M8895=1,SUM($M$8893:M8895),"")</f>
        <v/>
      </c>
      <c r="O8895" s="25" t="n">
        <v>3</v>
      </c>
    </row>
    <row r="8896" customFormat="false" ht="16.5" hidden="false" customHeight="true" outlineLevel="0" collapsed="false">
      <c r="B8896" s="40" t="str">
        <f aca="false">IFERROR(INDEX($J$8893:$J$8896,MATCH($O8896,$N$8893:$N$8896,0)),"")</f>
        <v/>
      </c>
      <c r="C8896" s="41" t="str">
        <f aca="false">IFERROR(INDEX($K$8893:$K$8896,MATCH($O8896,$N$8893:$N$8896,0)),"")</f>
        <v/>
      </c>
      <c r="D8896" s="42" t="str">
        <f aca="false">IF(OR(E8896="",N(C8896)=0),"",E8896/C8896-1)</f>
        <v/>
      </c>
      <c r="E8896" s="41" t="str">
        <f aca="false">IFERROR(INDEX($L$8893:$L$8896,MATCH($O8896,$N$8893:$N$8896,0)),"")</f>
        <v/>
      </c>
      <c r="F8896" s="41" t="str">
        <f aca="false">IF(E8896="","",E8896-C8896)</f>
        <v/>
      </c>
      <c r="J8896" s="25" t="str">
        <f aca="false">Lib_PA</f>
        <v>Plateforme agréée – facturation électronique</v>
      </c>
      <c r="K8896" s="25" t="n">
        <f aca="false">IF($K$8866=0,0,N(INDEX(Clients!$N$2:$N$501,$K$8866)))</f>
        <v>0</v>
      </c>
      <c r="L8896" s="25" t="n">
        <f aca="false">IF($K$8866=0,0,N(INDEX(Clients!$S$2:$S$501,$K$8866)))</f>
        <v>0</v>
      </c>
      <c r="M8896" s="25" t="n">
        <f aca="false">IF(OR(K8896&lt;&gt;0,L8896&lt;&gt;0),1,0)</f>
        <v>0</v>
      </c>
      <c r="N8896" s="25" t="str">
        <f aca="false">IF(M8896=1,SUM($M$8893:M8896),"")</f>
        <v/>
      </c>
      <c r="O8896" s="25" t="n">
        <v>4</v>
      </c>
    </row>
    <row r="8897" customFormat="false" ht="18" hidden="false" customHeight="true" outlineLevel="0" collapsed="false">
      <c r="B8897" s="43" t="s">
        <v>158</v>
      </c>
      <c r="C8897" s="44" t="n">
        <f aca="false">SUM(K8893:K8896)</f>
        <v>0</v>
      </c>
      <c r="D8897" s="45" t="str">
        <f aca="false">IF(N(C8897)=0,"",E8897/C8897-1)</f>
        <v/>
      </c>
      <c r="E8897" s="44" t="n">
        <f aca="false">SUM(L8893:L8896)</f>
        <v>0</v>
      </c>
      <c r="F8897" s="44" t="n">
        <f aca="false">E8897-C8897</f>
        <v>0</v>
      </c>
    </row>
    <row r="8898" customFormat="false" ht="15" hidden="false" customHeight="false" outlineLevel="0" collapsed="false">
      <c r="B8898" s="46" t="str">
        <f aca="false">IF(N(Nb_Mensualites)=0,"","Soit "&amp;FIXED(E8897/Nb_Mensualites,2)&amp;" € HT par échéance ("&amp;Nb_Mensualites&amp;" échéances), "&amp;FIXED(E8897/Nb_Mensualites*(1+Taux_TVA),2)&amp;" € TTC.")</f>
        <v>Soit 0.00 € HT par échéance (12 échéances), 0.00 € TTC.</v>
      </c>
      <c r="C8898" s="46"/>
      <c r="D8898" s="46"/>
      <c r="E8898" s="46"/>
      <c r="F8898" s="46"/>
    </row>
    <row r="8899" customFormat="false" ht="7.5" hidden="false" customHeight="true" outlineLevel="0" collapsed="false">
      <c r="B8899" s="10"/>
      <c r="C8899" s="10"/>
      <c r="D8899" s="10"/>
      <c r="E8899" s="10"/>
      <c r="F8899" s="10"/>
    </row>
    <row r="8900" customFormat="false" ht="36.75" hidden="false" customHeight="true" outlineLevel="0" collapsed="false">
      <c r="B8900" s="37" t="str">
        <f aca="false">SUBSTITUTE(SUBSTITUTE(SUBSTITUTE(SUBSTITUTE(SUBSTITUTE(Txt_P5,"{cabinet}",Cab_Nom),"{societe}",IF($K$8866=0,"",INDEX(Clients!$E$2:$E$501,$K$8866)&amp;"")),"{date_effet}",$K$8868),"{hausse}",$K$8869),"{civilite}",$K$8867)</f>
        <v>Les autres conditions de votre lettre de mission demeurent inchangées. Les nouveaux montants seront appliqués automatiquement sur vos prochaines factures et échéances de prélèvement.</v>
      </c>
      <c r="C8900" s="37"/>
      <c r="D8900" s="37"/>
      <c r="E8900" s="37"/>
      <c r="F8900" s="37"/>
    </row>
    <row r="8901" customFormat="false" ht="36.75" hidden="false" customHeight="true" outlineLevel="0" collapsed="false">
      <c r="B8901" s="37" t="str">
        <f aca="false">SUBSTITUTE(SUBSTITUTE(SUBSTITUTE(SUBSTITUTE(SUBSTITUTE(Txt_P6,"{cabinet}",Cab_Nom),"{societe}",IF($K$8866=0,"",INDEX(Clients!$E$2:$E$501,$K$8866)&amp;"")),"{date_effet}",$K$8868),"{hausse}",$K$8869),"{civilite}",$K$8867)</f>
        <v>Votre interlocuteur habituel reste à votre entière disposition pour répondre à vos questions et faire le point sur l'évolution de vos besoins.</v>
      </c>
      <c r="C8901" s="37"/>
      <c r="D8901" s="37"/>
      <c r="E8901" s="37"/>
      <c r="F8901" s="37"/>
    </row>
    <row r="8902" customFormat="false" ht="24" hidden="false" customHeight="true" outlineLevel="0" collapsed="false">
      <c r="B8902" s="37" t="str">
        <f aca="false">SUBSTITUTE(SUBSTITUTE(SUBSTITUTE(SUBSTITUTE(SUBSTITUTE(Txt_Politesse,"{cabinet}",Cab_Nom),"{societe}",IF($K$8866=0,"",INDEX(Clients!$E$2:$E$501,$K$8866)&amp;"")),"{date_effet}",$K$8868),"{hausse}",$K$8869),"{civilite}",$K$8867)</f>
        <v>Nous vous prions d'agréer, Madame, Monsieur, l'expression de nos salutations distinguées.</v>
      </c>
      <c r="C8902" s="37"/>
      <c r="D8902" s="37"/>
      <c r="E8902" s="37"/>
      <c r="F8902" s="37"/>
    </row>
    <row r="8903" customFormat="false" ht="15" hidden="false" customHeight="false" outlineLevel="0" collapsed="false">
      <c r="B8903" s="10"/>
      <c r="C8903" s="10"/>
      <c r="D8903" s="10"/>
      <c r="E8903" s="10"/>
      <c r="F8903" s="10"/>
    </row>
    <row r="8904" customFormat="false" ht="15" hidden="false" customHeight="false" outlineLevel="0" collapsed="false">
      <c r="B8904" s="10"/>
      <c r="C8904" s="10"/>
      <c r="D8904" s="34" t="str">
        <f aca="false">Signataire</f>
        <v>Prénom NOM</v>
      </c>
      <c r="E8904" s="34"/>
      <c r="F8904" s="34"/>
    </row>
    <row r="8905" customFormat="false" ht="15" hidden="false" customHeight="false" outlineLevel="0" collapsed="false">
      <c r="B8905" s="10"/>
      <c r="C8905" s="10"/>
      <c r="D8905" s="47" t="str">
        <f aca="false">Signataire_Titre</f>
        <v>Expert-comptable associé</v>
      </c>
      <c r="E8905" s="47"/>
      <c r="F8905" s="47"/>
    </row>
    <row r="8906" customFormat="false" ht="15.75" hidden="false" customHeight="true" outlineLevel="0" collapsed="false">
      <c r="B8906" s="10"/>
      <c r="C8906" s="10"/>
      <c r="D8906" s="10"/>
      <c r="E8906" s="10"/>
      <c r="F8906" s="10"/>
    </row>
    <row r="8907" customFormat="false" ht="15.75" hidden="false" customHeight="true" outlineLevel="0" collapsed="false">
      <c r="B8907" s="10"/>
      <c r="C8907" s="10"/>
      <c r="D8907" s="10"/>
      <c r="E8907" s="10"/>
      <c r="F8907" s="10"/>
    </row>
    <row r="8908" customFormat="false" ht="15.75" hidden="false" customHeight="true" outlineLevel="0" collapsed="false">
      <c r="B8908" s="10"/>
      <c r="C8908" s="10"/>
      <c r="D8908" s="10"/>
      <c r="E8908" s="10"/>
      <c r="F8908" s="10"/>
    </row>
    <row r="8909" customFormat="false" ht="15.75" hidden="false" customHeight="true" outlineLevel="0" collapsed="false">
      <c r="B8909" s="10"/>
      <c r="C8909" s="10"/>
      <c r="D8909" s="10"/>
      <c r="E8909" s="10"/>
      <c r="F8909" s="10"/>
    </row>
    <row r="8910" customFormat="false" ht="24" hidden="false" customHeight="true" outlineLevel="0" collapsed="false">
      <c r="B8910" s="48" t="str">
        <f aca="false">Cab_Mentions</f>
        <v>ALTHO EXPERTISE · SAS au capital de 10 000 € · RCS Pontoise 919 706 325 · TVA FR62919706325 · Société d'expertise comptable inscrite au Tableau de l'Ordre des experts-comptables de Paris Île-de-France</v>
      </c>
      <c r="C8910" s="48"/>
      <c r="D8910" s="48"/>
      <c r="E8910" s="48"/>
      <c r="F8910" s="48"/>
    </row>
    <row r="8911" customFormat="false" ht="15" hidden="false" customHeight="false" outlineLevel="0" collapsed="false">
      <c r="B8911" s="10"/>
      <c r="C8911" s="10"/>
      <c r="D8911" s="10"/>
      <c r="E8911" s="10"/>
      <c r="F8911" s="10"/>
      <c r="J8911" s="25" t="s">
        <v>142</v>
      </c>
      <c r="K8911" s="25" t="n">
        <f aca="false">IFERROR(MATCH(199,Clients!$Z$2:$Z$501,0),0)</f>
        <v>0</v>
      </c>
      <c r="L8911" s="25"/>
      <c r="M8911" s="25"/>
      <c r="N8911" s="25"/>
      <c r="O8911" s="25"/>
    </row>
    <row r="8912" customFormat="false" ht="21.75" hidden="false" customHeight="true" outlineLevel="0" collapsed="false">
      <c r="B8912" s="26" t="str">
        <f aca="false">Cab_Nom</f>
        <v>ALTHO EXPERTISE</v>
      </c>
      <c r="C8912" s="26"/>
      <c r="D8912" s="10"/>
      <c r="E8912" s="27" t="str">
        <f aca="false">IF($K$8911=0,"","Réf. client : "&amp;INDEX(Clients!$A$2:$A$501,$K$8911))</f>
        <v/>
      </c>
      <c r="F8912" s="27"/>
      <c r="J8912" s="25" t="s">
        <v>144</v>
      </c>
      <c r="K8912" s="25" t="str">
        <f aca="false">IF(IF($K$8911=0,"",INDEX(Clients!$B$2:$B$501,$K$8911)&amp;"")="Mme","Madame",IF(IF($K$8911=0,"",INDEX(Clients!$B$2:$B$501,$K$8911)&amp;"")="M.","Monsieur","Madame, Monsieur"))</f>
        <v>Madame, Monsieur</v>
      </c>
      <c r="L8912" s="25"/>
      <c r="M8912" s="25"/>
      <c r="N8912" s="25"/>
      <c r="O8912" s="25"/>
    </row>
    <row r="8913" customFormat="false" ht="15" hidden="false" customHeight="false" outlineLevel="0" collapsed="false">
      <c r="B8913" s="29" t="str">
        <f aca="false">Cab_Adr1</f>
        <v>141 rue Charles de Gaulle</v>
      </c>
      <c r="C8913" s="29"/>
      <c r="D8913" s="10"/>
      <c r="E8913" s="10"/>
      <c r="F8913" s="10"/>
      <c r="J8913" s="25" t="s">
        <v>145</v>
      </c>
      <c r="K8913" s="25" t="str">
        <f aca="false">DAY(Date_Effet)&amp;IF(DAY(Date_Effet)=1,"er","")&amp;" "&amp;INDEX(Liste_Mois,MONTH(Date_Effet))&amp;" "&amp;YEAR(Date_Effet)</f>
        <v>1er janvier 2027</v>
      </c>
      <c r="L8913" s="25"/>
      <c r="M8913" s="25"/>
      <c r="N8913" s="25"/>
      <c r="O8913" s="25"/>
    </row>
    <row r="8914" customFormat="false" ht="15" hidden="false" customHeight="false" outlineLevel="0" collapsed="false">
      <c r="B8914" s="29" t="str">
        <f aca="false">Cab_CPVille</f>
        <v>95130 LE PLESSIS-BOUCHARD</v>
      </c>
      <c r="C8914" s="29"/>
      <c r="D8914" s="10"/>
      <c r="E8914" s="10"/>
      <c r="F8914" s="10"/>
      <c r="J8914" s="25" t="s">
        <v>146</v>
      </c>
      <c r="K8914" s="25" t="str">
        <f aca="false">IF(SUM($K$8938:$K$8941)=0,"",FIXED((SUM($L$8938:$L$8941)/SUM($K$8938:$K$8941)-1)*100,1)&amp;" %")</f>
        <v/>
      </c>
      <c r="L8914" s="25"/>
      <c r="M8914" s="25"/>
      <c r="N8914" s="25"/>
      <c r="O8914" s="25"/>
    </row>
    <row r="8915" customFormat="false" ht="15" hidden="false" customHeight="false" outlineLevel="0" collapsed="false">
      <c r="B8915" s="29" t="str">
        <f aca="false">Cab_Contact</f>
        <v>Tél. 01 34 14 53 45  ·  altho@altho-experts.com  ·  altho-experts.com</v>
      </c>
      <c r="C8915" s="29"/>
      <c r="D8915" s="10"/>
      <c r="E8915" s="10"/>
      <c r="F8915" s="10"/>
      <c r="J8915" s="25"/>
      <c r="K8915" s="25"/>
      <c r="L8915" s="25"/>
      <c r="M8915" s="25"/>
      <c r="N8915" s="25"/>
      <c r="O8915" s="25"/>
    </row>
    <row r="8916" customFormat="false" ht="6" hidden="false" customHeight="true" outlineLevel="0" collapsed="false">
      <c r="B8916" s="32"/>
      <c r="C8916" s="32"/>
      <c r="D8916" s="32"/>
      <c r="E8916" s="32"/>
      <c r="F8916" s="32"/>
      <c r="J8916" s="25"/>
      <c r="K8916" s="25"/>
      <c r="L8916" s="25"/>
      <c r="M8916" s="25"/>
      <c r="N8916" s="25"/>
      <c r="O8916" s="25"/>
    </row>
    <row r="8917" customFormat="false" ht="13.5" hidden="false" customHeight="true" outlineLevel="0" collapsed="false">
      <c r="B8917" s="10"/>
      <c r="C8917" s="10"/>
      <c r="D8917" s="10"/>
      <c r="E8917" s="10"/>
      <c r="F8917" s="10"/>
      <c r="J8917" s="25"/>
      <c r="K8917" s="25"/>
      <c r="L8917" s="25"/>
      <c r="M8917" s="25"/>
      <c r="N8917" s="25"/>
      <c r="O8917" s="25"/>
    </row>
    <row r="8918" customFormat="false" ht="13.5" hidden="false" customHeight="true" outlineLevel="0" collapsed="false">
      <c r="B8918" s="10"/>
      <c r="C8918" s="10"/>
      <c r="D8918" s="10"/>
      <c r="E8918" s="10"/>
      <c r="F8918" s="10"/>
      <c r="J8918" s="25"/>
      <c r="K8918" s="25"/>
      <c r="L8918" s="25"/>
      <c r="M8918" s="25"/>
      <c r="N8918" s="25"/>
      <c r="O8918" s="25"/>
    </row>
    <row r="8919" customFormat="false" ht="13.5" hidden="false" customHeight="true" outlineLevel="0" collapsed="false">
      <c r="B8919" s="10"/>
      <c r="C8919" s="10"/>
      <c r="D8919" s="10"/>
      <c r="E8919" s="10"/>
      <c r="F8919" s="10"/>
      <c r="J8919" s="25"/>
      <c r="K8919" s="25"/>
      <c r="L8919" s="25"/>
      <c r="M8919" s="25"/>
      <c r="N8919" s="25"/>
      <c r="O8919" s="25"/>
    </row>
    <row r="8920" customFormat="false" ht="15" hidden="false" customHeight="true" outlineLevel="0" collapsed="false">
      <c r="B8920" s="10"/>
      <c r="C8920" s="10"/>
      <c r="D8920" s="34" t="str">
        <f aca="false">IF($K$8911=0,"",INDEX(Clients!$E$2:$E$501,$K$8911)&amp;"")</f>
        <v/>
      </c>
      <c r="E8920" s="34"/>
      <c r="F8920" s="34"/>
      <c r="J8920" s="25"/>
      <c r="K8920" s="25"/>
      <c r="L8920" s="25"/>
      <c r="M8920" s="25"/>
      <c r="N8920" s="25"/>
      <c r="O8920" s="25"/>
    </row>
    <row r="8921" customFormat="false" ht="15" hidden="false" customHeight="true" outlineLevel="0" collapsed="false">
      <c r="B8921" s="10"/>
      <c r="C8921" s="10"/>
      <c r="D8921" s="35" t="str">
        <f aca="false">IF(IF($K$8911=0,"",INDEX(Clients!$D$2:$D$501,$K$8911)&amp;"")="","","À l'attention de "&amp;TRIM(IF($K$8911=0,"",INDEX(Clients!$B$2:$B$501,$K$8911)&amp;"")&amp;" "&amp;IF($K$8911=0,"",INDEX(Clients!$C$2:$C$501,$K$8911)&amp;"")&amp;" "&amp;IF($K$8911=0,"",INDEX(Clients!$D$2:$D$501,$K$8911)&amp;"")))</f>
        <v/>
      </c>
      <c r="E8921" s="35"/>
      <c r="F8921" s="35"/>
      <c r="J8921" s="25"/>
      <c r="K8921" s="25"/>
      <c r="L8921" s="25"/>
      <c r="M8921" s="25"/>
      <c r="N8921" s="25"/>
      <c r="O8921" s="25"/>
    </row>
    <row r="8922" customFormat="false" ht="15" hidden="false" customHeight="true" outlineLevel="0" collapsed="false">
      <c r="B8922" s="10"/>
      <c r="C8922" s="10"/>
      <c r="D8922" s="35" t="str">
        <f aca="false">IF($K$8911=0,"",INDEX(Clients!$F$2:$F$501,$K$8911)&amp;"")</f>
        <v/>
      </c>
      <c r="E8922" s="35"/>
      <c r="F8922" s="35"/>
      <c r="J8922" s="25"/>
      <c r="K8922" s="25"/>
      <c r="L8922" s="25"/>
      <c r="M8922" s="25"/>
      <c r="N8922" s="25"/>
      <c r="O8922" s="25"/>
    </row>
    <row r="8923" customFormat="false" ht="15" hidden="false" customHeight="true" outlineLevel="0" collapsed="false">
      <c r="B8923" s="10"/>
      <c r="C8923" s="10"/>
      <c r="D8923" s="35" t="str">
        <f aca="false">IF(IF($K$8911=0,"",INDEX(Clients!$G$2:$G$501,$K$8911)&amp;"")="",TRIM(IF($K$8911=0,"",INDEX(Clients!$H$2:$H$501,$K$8911)&amp;"")&amp;" "&amp;UPPER(IF($K$8911=0,"",INDEX(Clients!$I$2:$I$501,$K$8911)&amp;""))),IF($K$8911=0,"",INDEX(Clients!$G$2:$G$501,$K$8911)&amp;""))</f>
        <v/>
      </c>
      <c r="E8923" s="35"/>
      <c r="F8923" s="35"/>
      <c r="J8923" s="25"/>
      <c r="K8923" s="25"/>
      <c r="L8923" s="25"/>
      <c r="M8923" s="25"/>
      <c r="N8923" s="25"/>
      <c r="O8923" s="25"/>
    </row>
    <row r="8924" customFormat="false" ht="15" hidden="false" customHeight="true" outlineLevel="0" collapsed="false">
      <c r="B8924" s="10"/>
      <c r="C8924" s="10"/>
      <c r="D8924" s="35" t="str">
        <f aca="false">IF(IF($K$8911=0,"",INDEX(Clients!$G$2:$G$501,$K$8911)&amp;"")="","",TRIM(IF($K$8911=0,"",INDEX(Clients!$H$2:$H$501,$K$8911)&amp;"")&amp;" "&amp;UPPER(IF($K$8911=0,"",INDEX(Clients!$I$2:$I$501,$K$8911)&amp;""))))</f>
        <v/>
      </c>
      <c r="E8924" s="35"/>
      <c r="F8924" s="35"/>
      <c r="J8924" s="25"/>
      <c r="K8924" s="25"/>
      <c r="L8924" s="25"/>
      <c r="M8924" s="25"/>
      <c r="N8924" s="25"/>
      <c r="O8924" s="25"/>
    </row>
    <row r="8925" customFormat="false" ht="25.5" hidden="false" customHeight="true" outlineLevel="0" collapsed="false">
      <c r="B8925" s="10"/>
      <c r="C8925" s="10"/>
      <c r="D8925" s="10"/>
      <c r="E8925" s="10"/>
      <c r="F8925" s="10"/>
      <c r="J8925" s="25"/>
      <c r="K8925" s="25"/>
      <c r="L8925" s="25"/>
      <c r="M8925" s="25"/>
      <c r="N8925" s="25"/>
      <c r="O8925" s="25"/>
    </row>
    <row r="8926" customFormat="false" ht="15" hidden="false" customHeight="false" outlineLevel="0" collapsed="false">
      <c r="B8926" s="10"/>
      <c r="C8926" s="10"/>
      <c r="D8926" s="36" t="str">
        <f aca="false">Cab_Ville&amp;", le "&amp;DAY(Date_Courrier)&amp;IF(DAY(Date_Courrier)=1,"er","")&amp;" "&amp;INDEX(Liste_Mois,MONTH(Date_Courrier))&amp;" "&amp;YEAR(Date_Courrier)</f>
        <v>Le Plessis-Bouchard, le 22 septembre 2026</v>
      </c>
      <c r="E8926" s="36"/>
      <c r="F8926" s="36"/>
      <c r="J8926" s="25"/>
      <c r="K8926" s="25"/>
      <c r="L8926" s="25"/>
      <c r="M8926" s="25"/>
      <c r="N8926" s="25"/>
      <c r="O8926" s="25"/>
    </row>
    <row r="8927" customFormat="false" ht="19.5" hidden="false" customHeight="true" outlineLevel="0" collapsed="false">
      <c r="B8927" s="10"/>
      <c r="C8927" s="10"/>
      <c r="D8927" s="10"/>
      <c r="E8927" s="10"/>
      <c r="F8927" s="10"/>
      <c r="J8927" s="25"/>
      <c r="K8927" s="25"/>
      <c r="L8927" s="25"/>
      <c r="M8927" s="25"/>
      <c r="N8927" s="25"/>
      <c r="O8927" s="25"/>
    </row>
    <row r="8928" customFormat="false" ht="15" hidden="false" customHeight="false" outlineLevel="0" collapsed="false">
      <c r="B8928" s="34" t="str">
        <f aca="false">SUBSTITUTE(SUBSTITUTE(SUBSTITUTE(SUBSTITUTE(SUBSTITUTE(Txt_Objet,"{cabinet}",Cab_Nom),"{societe}",IF($K$8911=0,"",INDEX(Clients!$E$2:$E$501,$K$8911)&amp;"")),"{date_effet}",$K$8913),"{hausse}",$K$8914),"{civilite}",$K$8912)</f>
        <v>Objet : révision de nos honoraires au 1er janvier 2027</v>
      </c>
      <c r="C8928" s="34"/>
      <c r="D8928" s="34"/>
      <c r="E8928" s="34"/>
      <c r="F8928" s="34"/>
      <c r="J8928" s="25"/>
      <c r="K8928" s="25"/>
      <c r="L8928" s="25"/>
      <c r="M8928" s="25"/>
      <c r="N8928" s="25"/>
      <c r="O8928" s="25"/>
    </row>
    <row r="8929" customFormat="false" ht="13.5" hidden="false" customHeight="true" outlineLevel="0" collapsed="false">
      <c r="B8929" s="10"/>
      <c r="C8929" s="10"/>
      <c r="D8929" s="10"/>
      <c r="E8929" s="10"/>
      <c r="F8929" s="10"/>
      <c r="J8929" s="25"/>
      <c r="K8929" s="25"/>
      <c r="L8929" s="25"/>
      <c r="M8929" s="25"/>
      <c r="N8929" s="25"/>
      <c r="O8929" s="25"/>
    </row>
    <row r="8930" customFormat="false" ht="15" hidden="false" customHeight="false" outlineLevel="0" collapsed="false">
      <c r="B8930" s="10" t="str">
        <f aca="false">$K$8912&amp;","</f>
        <v>Madame, Monsieur,</v>
      </c>
      <c r="C8930" s="10"/>
      <c r="D8930" s="10"/>
      <c r="E8930" s="10"/>
      <c r="F8930" s="10"/>
      <c r="J8930" s="25"/>
      <c r="K8930" s="25"/>
      <c r="L8930" s="25"/>
      <c r="M8930" s="25"/>
      <c r="N8930" s="25"/>
      <c r="O8930" s="25"/>
    </row>
    <row r="8931" customFormat="false" ht="6" hidden="false" customHeight="true" outlineLevel="0" collapsed="false">
      <c r="B8931" s="10"/>
      <c r="C8931" s="10"/>
      <c r="D8931" s="10"/>
      <c r="E8931" s="10"/>
      <c r="F8931" s="10"/>
      <c r="J8931" s="25"/>
      <c r="K8931" s="25"/>
      <c r="L8931" s="25"/>
      <c r="M8931" s="25"/>
      <c r="N8931" s="25"/>
      <c r="O8931" s="25"/>
    </row>
    <row r="8932" customFormat="false" ht="36.75" hidden="false" customHeight="true" outlineLevel="0" collapsed="false">
      <c r="B8932" s="37" t="str">
        <f aca="false">SUBSTITUTE(SUBSTITUTE(SUBSTITUTE(SUBSTITUTE(SUBSTITUTE(Txt_P1,"{cabinet}",Cab_Nom),"{societe}",IF($K$8911=0,"",INDEX(Clients!$E$2:$E$501,$K$8911)&amp;"")),"{date_effet}",$K$8913),"{hausse}",$K$8914),"{civilite}",$K$8912)</f>
        <v>Nous tenons tout d'abord à vous remercier pour la confiance que vous accordez à ALTHO EXPERTISE. Comme chaque année, et conformément aux dispositions de votre lettre de mission, nous procédons à la révision de nos honoraires.</v>
      </c>
      <c r="C8932" s="37"/>
      <c r="D8932" s="37"/>
      <c r="E8932" s="37"/>
      <c r="F8932" s="37"/>
      <c r="J8932" s="25"/>
      <c r="K8932" s="25"/>
      <c r="L8932" s="25"/>
      <c r="M8932" s="25"/>
      <c r="N8932" s="25"/>
      <c r="O8932" s="25"/>
    </row>
    <row r="8933" customFormat="false" ht="49.5" hidden="false" customHeight="true" outlineLevel="0" collapsed="false">
      <c r="B8933" s="37" t="str">
        <f aca="false">SUBSTITUTE(SUBSTITUTE(SUBSTITUTE(SUBSTITUTE(SUBSTITUTE(Txt_P2,"{cabinet}",Cab_Nom),"{societe}",IF($K$8911=0,"",INDEX(Clients!$E$2:$E$501,$K$8911)&amp;"")),"{date_effet}",$K$8913),"{hausse}",$K$8914),"{civilite}",$K$8912)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933" s="37"/>
      <c r="D8933" s="37"/>
      <c r="E8933" s="37"/>
      <c r="F8933" s="37"/>
      <c r="J8933" s="25"/>
      <c r="K8933" s="25"/>
      <c r="L8933" s="25"/>
      <c r="M8933" s="25"/>
      <c r="N8933" s="25"/>
      <c r="O8933" s="25"/>
    </row>
    <row r="8934" customFormat="false" ht="63" hidden="false" customHeight="true" outlineLevel="0" collapsed="false">
      <c r="B8934" s="37" t="str">
        <f aca="false">SUBSTITUTE(SUBSTITUTE(SUBSTITUTE(SUBSTITUTE(SUBSTITUTE(Txt_P3,"{cabinet}",Cab_Nom),"{societe}",IF($K$8911=0,"",INDEX(Clients!$E$2:$E$501,$K$8911)&amp;"")),"{date_effet}",$K$8913),"{hausse}",$K$8914),"{civilite}",$K$8912)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934" s="37"/>
      <c r="D8934" s="37"/>
      <c r="E8934" s="37"/>
      <c r="F8934" s="37"/>
      <c r="J8934" s="25"/>
      <c r="K8934" s="25"/>
      <c r="L8934" s="25"/>
      <c r="M8934" s="25"/>
      <c r="N8934" s="25"/>
      <c r="O8934" s="25"/>
    </row>
    <row r="8935" customFormat="false" ht="24" hidden="false" customHeight="true" outlineLevel="0" collapsed="false">
      <c r="B8935" s="37" t="str">
        <f aca="false">SUBSTITUTE(SUBSTITUTE(SUBSTITUTE(SUBSTITUTE(SUBSTITUTE(Txt_P4,"{cabinet}",Cab_Nom),"{societe}",IF($K$8911=0,"",INDEX(Clients!$E$2:$E$501,$K$8911)&amp;"")),"{date_effet}",$K$8913),"{hausse}",$K$8914),"{civilite}",$K$8912)</f>
        <v>À compter du 1er janvier 2027, vos honoraires annuels hors taxes évolueront ainsi (évolution globale : ) :</v>
      </c>
      <c r="C8935" s="37"/>
      <c r="D8935" s="37"/>
      <c r="E8935" s="37"/>
      <c r="F8935" s="37"/>
      <c r="J8935" s="25"/>
      <c r="K8935" s="25"/>
      <c r="L8935" s="25"/>
      <c r="M8935" s="25"/>
      <c r="N8935" s="25"/>
      <c r="O8935" s="25"/>
    </row>
    <row r="8936" customFormat="false" ht="3.75" hidden="false" customHeight="true" outlineLevel="0" collapsed="false">
      <c r="B8936" s="10"/>
      <c r="C8936" s="10"/>
      <c r="D8936" s="10"/>
      <c r="E8936" s="10"/>
      <c r="F8936" s="10"/>
      <c r="J8936" s="25"/>
      <c r="K8936" s="25"/>
      <c r="L8936" s="25"/>
      <c r="M8936" s="25"/>
      <c r="N8936" s="25"/>
      <c r="O8936" s="25"/>
    </row>
    <row r="8937" customFormat="false" ht="18" hidden="false" customHeight="true" outlineLevel="0" collapsed="false">
      <c r="B8937" s="38" t="s">
        <v>148</v>
      </c>
      <c r="C8937" s="39" t="s">
        <v>149</v>
      </c>
      <c r="D8937" s="39" t="s">
        <v>150</v>
      </c>
      <c r="E8937" s="39" t="s">
        <v>151</v>
      </c>
      <c r="F8937" s="39" t="s">
        <v>109</v>
      </c>
      <c r="J8937" s="25" t="s">
        <v>152</v>
      </c>
      <c r="K8937" s="25" t="s">
        <v>153</v>
      </c>
      <c r="L8937" s="25" t="s">
        <v>154</v>
      </c>
      <c r="M8937" s="25" t="s">
        <v>155</v>
      </c>
      <c r="N8937" s="25" t="s">
        <v>156</v>
      </c>
      <c r="O8937" s="25" t="s">
        <v>157</v>
      </c>
    </row>
    <row r="8938" customFormat="false" ht="16.5" hidden="false" customHeight="true" outlineLevel="0" collapsed="false">
      <c r="B8938" s="40" t="str">
        <f aca="false">IFERROR(INDEX($J$8938:$J$8941,MATCH($O8938,$N$8938:$N$8941,0)),"")</f>
        <v/>
      </c>
      <c r="C8938" s="41" t="str">
        <f aca="false">IFERROR(INDEX($K$8938:$K$8941,MATCH($O8938,$N$8938:$N$8941,0)),"")</f>
        <v/>
      </c>
      <c r="D8938" s="42" t="str">
        <f aca="false">IF(OR(E8938="",N(C8938)=0),"",E8938/C8938-1)</f>
        <v/>
      </c>
      <c r="E8938" s="41" t="str">
        <f aca="false">IFERROR(INDEX($L$8938:$L$8941,MATCH($O8938,$N$8938:$N$8941,0)),"")</f>
        <v/>
      </c>
      <c r="F8938" s="41" t="str">
        <f aca="false">IF(E8938="","",E8938-C8938)</f>
        <v/>
      </c>
      <c r="J8938" s="25" t="str">
        <f aca="false">Lib_Compta</f>
        <v>Mission comptable (tenue, révision, bilan, liasse fiscale)</v>
      </c>
      <c r="K8938" s="25" t="n">
        <f aca="false">IF($K$8911=0,0,N(INDEX(Clients!$K$2:$K$501,$K$8911)))</f>
        <v>0</v>
      </c>
      <c r="L8938" s="25" t="n">
        <f aca="false">IF($K$8911=0,0,N(INDEX(Clients!$P$2:$P$501,$K$8911)))</f>
        <v>0</v>
      </c>
      <c r="M8938" s="25" t="n">
        <f aca="false">IF(OR(K8938&lt;&gt;0,L8938&lt;&gt;0),1,0)</f>
        <v>0</v>
      </c>
      <c r="N8938" s="25" t="str">
        <f aca="false">IF(M8938=1,SUM($M$8938:M8938),"")</f>
        <v/>
      </c>
      <c r="O8938" s="25" t="n">
        <v>1</v>
      </c>
    </row>
    <row r="8939" customFormat="false" ht="16.5" hidden="false" customHeight="true" outlineLevel="0" collapsed="false">
      <c r="B8939" s="40" t="str">
        <f aca="false">IFERROR(INDEX($J$8938:$J$8941,MATCH($O8939,$N$8938:$N$8941,0)),"")</f>
        <v/>
      </c>
      <c r="C8939" s="41" t="str">
        <f aca="false">IFERROR(INDEX($K$8938:$K$8941,MATCH($O8939,$N$8938:$N$8941,0)),"")</f>
        <v/>
      </c>
      <c r="D8939" s="42" t="str">
        <f aca="false">IF(OR(E8939="",N(C8939)=0),"",E8939/C8939-1)</f>
        <v/>
      </c>
      <c r="E8939" s="41" t="str">
        <f aca="false">IFERROR(INDEX($L$8938:$L$8941,MATCH($O8939,$N$8938:$N$8941,0)),"")</f>
        <v/>
      </c>
      <c r="F8939" s="41" t="str">
        <f aca="false">IF(E8939="","",E8939-C8939)</f>
        <v/>
      </c>
      <c r="J8939" s="25" t="str">
        <f aca="false">Lib_Paye</f>
        <v>Mission sociale (bulletins de paie, DSN, déclarations sociales)</v>
      </c>
      <c r="K8939" s="25" t="n">
        <f aca="false">IF($K$8911=0,0,N(INDEX(Clients!$L$2:$L$501,$K$8911)))</f>
        <v>0</v>
      </c>
      <c r="L8939" s="25" t="n">
        <f aca="false">IF($K$8911=0,0,N(INDEX(Clients!$Q$2:$Q$501,$K$8911)))</f>
        <v>0</v>
      </c>
      <c r="M8939" s="25" t="n">
        <f aca="false">IF(OR(K8939&lt;&gt;0,L8939&lt;&gt;0),1,0)</f>
        <v>0</v>
      </c>
      <c r="N8939" s="25" t="str">
        <f aca="false">IF(M8939=1,SUM($M$8938:M8939),"")</f>
        <v/>
      </c>
      <c r="O8939" s="25" t="n">
        <v>2</v>
      </c>
    </row>
    <row r="8940" customFormat="false" ht="16.5" hidden="false" customHeight="true" outlineLevel="0" collapsed="false">
      <c r="B8940" s="40" t="str">
        <f aca="false">IFERROR(INDEX($J$8938:$J$8941,MATCH($O8940,$N$8938:$N$8941,0)),"")</f>
        <v/>
      </c>
      <c r="C8940" s="41" t="str">
        <f aca="false">IFERROR(INDEX($K$8938:$K$8941,MATCH($O8940,$N$8938:$N$8941,0)),"")</f>
        <v/>
      </c>
      <c r="D8940" s="42" t="str">
        <f aca="false">IF(OR(E8940="",N(C8940)=0),"",E8940/C8940-1)</f>
        <v/>
      </c>
      <c r="E8940" s="41" t="str">
        <f aca="false">IFERROR(INDEX($L$8938:$L$8941,MATCH($O8940,$N$8938:$N$8941,0)),"")</f>
        <v/>
      </c>
      <c r="F8940" s="41" t="str">
        <f aca="false">IF(E8940="","",E8940-C8940)</f>
        <v/>
      </c>
      <c r="J8940" s="25" t="str">
        <f aca="false">Lib_Jur</f>
        <v>Mission juridique (approbation des comptes, secrétariat juridique)</v>
      </c>
      <c r="K8940" s="25" t="n">
        <f aca="false">IF($K$8911=0,0,N(INDEX(Clients!$M$2:$M$501,$K$8911)))</f>
        <v>0</v>
      </c>
      <c r="L8940" s="25" t="n">
        <f aca="false">IF($K$8911=0,0,N(INDEX(Clients!$R$2:$R$501,$K$8911)))</f>
        <v>0</v>
      </c>
      <c r="M8940" s="25" t="n">
        <f aca="false">IF(OR(K8940&lt;&gt;0,L8940&lt;&gt;0),1,0)</f>
        <v>0</v>
      </c>
      <c r="N8940" s="25" t="str">
        <f aca="false">IF(M8940=1,SUM($M$8938:M8940),"")</f>
        <v/>
      </c>
      <c r="O8940" s="25" t="n">
        <v>3</v>
      </c>
    </row>
    <row r="8941" customFormat="false" ht="16.5" hidden="false" customHeight="true" outlineLevel="0" collapsed="false">
      <c r="B8941" s="40" t="str">
        <f aca="false">IFERROR(INDEX($J$8938:$J$8941,MATCH($O8941,$N$8938:$N$8941,0)),"")</f>
        <v/>
      </c>
      <c r="C8941" s="41" t="str">
        <f aca="false">IFERROR(INDEX($K$8938:$K$8941,MATCH($O8941,$N$8938:$N$8941,0)),"")</f>
        <v/>
      </c>
      <c r="D8941" s="42" t="str">
        <f aca="false">IF(OR(E8941="",N(C8941)=0),"",E8941/C8941-1)</f>
        <v/>
      </c>
      <c r="E8941" s="41" t="str">
        <f aca="false">IFERROR(INDEX($L$8938:$L$8941,MATCH($O8941,$N$8938:$N$8941,0)),"")</f>
        <v/>
      </c>
      <c r="F8941" s="41" t="str">
        <f aca="false">IF(E8941="","",E8941-C8941)</f>
        <v/>
      </c>
      <c r="J8941" s="25" t="str">
        <f aca="false">Lib_PA</f>
        <v>Plateforme agréée – facturation électronique</v>
      </c>
      <c r="K8941" s="25" t="n">
        <f aca="false">IF($K$8911=0,0,N(INDEX(Clients!$N$2:$N$501,$K$8911)))</f>
        <v>0</v>
      </c>
      <c r="L8941" s="25" t="n">
        <f aca="false">IF($K$8911=0,0,N(INDEX(Clients!$S$2:$S$501,$K$8911)))</f>
        <v>0</v>
      </c>
      <c r="M8941" s="25" t="n">
        <f aca="false">IF(OR(K8941&lt;&gt;0,L8941&lt;&gt;0),1,0)</f>
        <v>0</v>
      </c>
      <c r="N8941" s="25" t="str">
        <f aca="false">IF(M8941=1,SUM($M$8938:M8941),"")</f>
        <v/>
      </c>
      <c r="O8941" s="25" t="n">
        <v>4</v>
      </c>
    </row>
    <row r="8942" customFormat="false" ht="18" hidden="false" customHeight="true" outlineLevel="0" collapsed="false">
      <c r="B8942" s="43" t="s">
        <v>158</v>
      </c>
      <c r="C8942" s="44" t="n">
        <f aca="false">SUM(K8938:K8941)</f>
        <v>0</v>
      </c>
      <c r="D8942" s="45" t="str">
        <f aca="false">IF(N(C8942)=0,"",E8942/C8942-1)</f>
        <v/>
      </c>
      <c r="E8942" s="44" t="n">
        <f aca="false">SUM(L8938:L8941)</f>
        <v>0</v>
      </c>
      <c r="F8942" s="44" t="n">
        <f aca="false">E8942-C8942</f>
        <v>0</v>
      </c>
    </row>
    <row r="8943" customFormat="false" ht="15" hidden="false" customHeight="false" outlineLevel="0" collapsed="false">
      <c r="B8943" s="46" t="str">
        <f aca="false">IF(N(Nb_Mensualites)=0,"","Soit "&amp;FIXED(E8942/Nb_Mensualites,2)&amp;" € HT par échéance ("&amp;Nb_Mensualites&amp;" échéances), "&amp;FIXED(E8942/Nb_Mensualites*(1+Taux_TVA),2)&amp;" € TTC.")</f>
        <v>Soit 0.00 € HT par échéance (12 échéances), 0.00 € TTC.</v>
      </c>
      <c r="C8943" s="46"/>
      <c r="D8943" s="46"/>
      <c r="E8943" s="46"/>
      <c r="F8943" s="46"/>
    </row>
    <row r="8944" customFormat="false" ht="7.5" hidden="false" customHeight="true" outlineLevel="0" collapsed="false">
      <c r="B8944" s="10"/>
      <c r="C8944" s="10"/>
      <c r="D8944" s="10"/>
      <c r="E8944" s="10"/>
      <c r="F8944" s="10"/>
    </row>
    <row r="8945" customFormat="false" ht="36.75" hidden="false" customHeight="true" outlineLevel="0" collapsed="false">
      <c r="B8945" s="37" t="str">
        <f aca="false">SUBSTITUTE(SUBSTITUTE(SUBSTITUTE(SUBSTITUTE(SUBSTITUTE(Txt_P5,"{cabinet}",Cab_Nom),"{societe}",IF($K$8911=0,"",INDEX(Clients!$E$2:$E$501,$K$8911)&amp;"")),"{date_effet}",$K$8913),"{hausse}",$K$8914),"{civilite}",$K$8912)</f>
        <v>Les autres conditions de votre lettre de mission demeurent inchangées. Les nouveaux montants seront appliqués automatiquement sur vos prochaines factures et échéances de prélèvement.</v>
      </c>
      <c r="C8945" s="37"/>
      <c r="D8945" s="37"/>
      <c r="E8945" s="37"/>
      <c r="F8945" s="37"/>
    </row>
    <row r="8946" customFormat="false" ht="36.75" hidden="false" customHeight="true" outlineLevel="0" collapsed="false">
      <c r="B8946" s="37" t="str">
        <f aca="false">SUBSTITUTE(SUBSTITUTE(SUBSTITUTE(SUBSTITUTE(SUBSTITUTE(Txt_P6,"{cabinet}",Cab_Nom),"{societe}",IF($K$8911=0,"",INDEX(Clients!$E$2:$E$501,$K$8911)&amp;"")),"{date_effet}",$K$8913),"{hausse}",$K$8914),"{civilite}",$K$8912)</f>
        <v>Votre interlocuteur habituel reste à votre entière disposition pour répondre à vos questions et faire le point sur l'évolution de vos besoins.</v>
      </c>
      <c r="C8946" s="37"/>
      <c r="D8946" s="37"/>
      <c r="E8946" s="37"/>
      <c r="F8946" s="37"/>
    </row>
    <row r="8947" customFormat="false" ht="24" hidden="false" customHeight="true" outlineLevel="0" collapsed="false">
      <c r="B8947" s="37" t="str">
        <f aca="false">SUBSTITUTE(SUBSTITUTE(SUBSTITUTE(SUBSTITUTE(SUBSTITUTE(Txt_Politesse,"{cabinet}",Cab_Nom),"{societe}",IF($K$8911=0,"",INDEX(Clients!$E$2:$E$501,$K$8911)&amp;"")),"{date_effet}",$K$8913),"{hausse}",$K$8914),"{civilite}",$K$8912)</f>
        <v>Nous vous prions d'agréer, Madame, Monsieur, l'expression de nos salutations distinguées.</v>
      </c>
      <c r="C8947" s="37"/>
      <c r="D8947" s="37"/>
      <c r="E8947" s="37"/>
      <c r="F8947" s="37"/>
    </row>
    <row r="8948" customFormat="false" ht="15" hidden="false" customHeight="false" outlineLevel="0" collapsed="false">
      <c r="B8948" s="10"/>
      <c r="C8948" s="10"/>
      <c r="D8948" s="10"/>
      <c r="E8948" s="10"/>
      <c r="F8948" s="10"/>
    </row>
    <row r="8949" customFormat="false" ht="15" hidden="false" customHeight="false" outlineLevel="0" collapsed="false">
      <c r="B8949" s="10"/>
      <c r="C8949" s="10"/>
      <c r="D8949" s="34" t="str">
        <f aca="false">Signataire</f>
        <v>Prénom NOM</v>
      </c>
      <c r="E8949" s="34"/>
      <c r="F8949" s="34"/>
    </row>
    <row r="8950" customFormat="false" ht="15" hidden="false" customHeight="false" outlineLevel="0" collapsed="false">
      <c r="B8950" s="10"/>
      <c r="C8950" s="10"/>
      <c r="D8950" s="47" t="str">
        <f aca="false">Signataire_Titre</f>
        <v>Expert-comptable associé</v>
      </c>
      <c r="E8950" s="47"/>
      <c r="F8950" s="47"/>
    </row>
    <row r="8951" customFormat="false" ht="15.75" hidden="false" customHeight="true" outlineLevel="0" collapsed="false">
      <c r="B8951" s="10"/>
      <c r="C8951" s="10"/>
      <c r="D8951" s="10"/>
      <c r="E8951" s="10"/>
      <c r="F8951" s="10"/>
    </row>
    <row r="8952" customFormat="false" ht="15.75" hidden="false" customHeight="true" outlineLevel="0" collapsed="false">
      <c r="B8952" s="10"/>
      <c r="C8952" s="10"/>
      <c r="D8952" s="10"/>
      <c r="E8952" s="10"/>
      <c r="F8952" s="10"/>
    </row>
    <row r="8953" customFormat="false" ht="15.75" hidden="false" customHeight="true" outlineLevel="0" collapsed="false">
      <c r="B8953" s="10"/>
      <c r="C8953" s="10"/>
      <c r="D8953" s="10"/>
      <c r="E8953" s="10"/>
      <c r="F8953" s="10"/>
    </row>
    <row r="8954" customFormat="false" ht="15.75" hidden="false" customHeight="true" outlineLevel="0" collapsed="false">
      <c r="B8954" s="10"/>
      <c r="C8954" s="10"/>
      <c r="D8954" s="10"/>
      <c r="E8954" s="10"/>
      <c r="F8954" s="10"/>
    </row>
    <row r="8955" customFormat="false" ht="24" hidden="false" customHeight="true" outlineLevel="0" collapsed="false">
      <c r="B8955" s="48" t="str">
        <f aca="false">Cab_Mentions</f>
        <v>ALTHO EXPERTISE · SAS au capital de 10 000 € · RCS Pontoise 919 706 325 · TVA FR62919706325 · Société d'expertise comptable inscrite au Tableau de l'Ordre des experts-comptables de Paris Île-de-France</v>
      </c>
      <c r="C8955" s="48"/>
      <c r="D8955" s="48"/>
      <c r="E8955" s="48"/>
      <c r="F8955" s="48"/>
    </row>
    <row r="8956" customFormat="false" ht="15" hidden="false" customHeight="false" outlineLevel="0" collapsed="false">
      <c r="B8956" s="10"/>
      <c r="C8956" s="10"/>
      <c r="D8956" s="10"/>
      <c r="E8956" s="10"/>
      <c r="F8956" s="10"/>
      <c r="J8956" s="25" t="s">
        <v>142</v>
      </c>
      <c r="K8956" s="25" t="n">
        <f aca="false">IFERROR(MATCH(200,Clients!$Z$2:$Z$501,0),0)</f>
        <v>0</v>
      </c>
      <c r="L8956" s="25"/>
      <c r="M8956" s="25"/>
      <c r="N8956" s="25"/>
      <c r="O8956" s="25"/>
    </row>
    <row r="8957" customFormat="false" ht="21.75" hidden="false" customHeight="true" outlineLevel="0" collapsed="false">
      <c r="B8957" s="26" t="str">
        <f aca="false">Cab_Nom</f>
        <v>ALTHO EXPERTISE</v>
      </c>
      <c r="C8957" s="26"/>
      <c r="D8957" s="10"/>
      <c r="E8957" s="27" t="str">
        <f aca="false">IF($K$8956=0,"","Réf. client : "&amp;INDEX(Clients!$A$2:$A$501,$K$8956))</f>
        <v/>
      </c>
      <c r="F8957" s="27"/>
      <c r="J8957" s="25" t="s">
        <v>144</v>
      </c>
      <c r="K8957" s="25" t="str">
        <f aca="false">IF(IF($K$8956=0,"",INDEX(Clients!$B$2:$B$501,$K$8956)&amp;"")="Mme","Madame",IF(IF($K$8956=0,"",INDEX(Clients!$B$2:$B$501,$K$8956)&amp;"")="M.","Monsieur","Madame, Monsieur"))</f>
        <v>Madame, Monsieur</v>
      </c>
      <c r="L8957" s="25"/>
      <c r="M8957" s="25"/>
      <c r="N8957" s="25"/>
      <c r="O8957" s="25"/>
    </row>
    <row r="8958" customFormat="false" ht="15" hidden="false" customHeight="false" outlineLevel="0" collapsed="false">
      <c r="B8958" s="29" t="str">
        <f aca="false">Cab_Adr1</f>
        <v>141 rue Charles de Gaulle</v>
      </c>
      <c r="C8958" s="29"/>
      <c r="D8958" s="10"/>
      <c r="E8958" s="10"/>
      <c r="F8958" s="10"/>
      <c r="J8958" s="25" t="s">
        <v>145</v>
      </c>
      <c r="K8958" s="25" t="str">
        <f aca="false">DAY(Date_Effet)&amp;IF(DAY(Date_Effet)=1,"er","")&amp;" "&amp;INDEX(Liste_Mois,MONTH(Date_Effet))&amp;" "&amp;YEAR(Date_Effet)</f>
        <v>1er janvier 2027</v>
      </c>
      <c r="L8958" s="25"/>
      <c r="M8958" s="25"/>
      <c r="N8958" s="25"/>
      <c r="O8958" s="25"/>
    </row>
    <row r="8959" customFormat="false" ht="15" hidden="false" customHeight="false" outlineLevel="0" collapsed="false">
      <c r="B8959" s="29" t="str">
        <f aca="false">Cab_CPVille</f>
        <v>95130 LE PLESSIS-BOUCHARD</v>
      </c>
      <c r="C8959" s="29"/>
      <c r="D8959" s="10"/>
      <c r="E8959" s="10"/>
      <c r="F8959" s="10"/>
      <c r="J8959" s="25" t="s">
        <v>146</v>
      </c>
      <c r="K8959" s="25" t="str">
        <f aca="false">IF(SUM($K$8983:$K$8986)=0,"",FIXED((SUM($L$8983:$L$8986)/SUM($K$8983:$K$8986)-1)*100,1)&amp;" %")</f>
        <v/>
      </c>
      <c r="L8959" s="25"/>
      <c r="M8959" s="25"/>
      <c r="N8959" s="25"/>
      <c r="O8959" s="25"/>
    </row>
    <row r="8960" customFormat="false" ht="15" hidden="false" customHeight="false" outlineLevel="0" collapsed="false">
      <c r="B8960" s="29" t="str">
        <f aca="false">Cab_Contact</f>
        <v>Tél. 01 34 14 53 45  ·  altho@altho-experts.com  ·  altho-experts.com</v>
      </c>
      <c r="C8960" s="29"/>
      <c r="D8960" s="10"/>
      <c r="E8960" s="10"/>
      <c r="F8960" s="10"/>
      <c r="J8960" s="25"/>
      <c r="K8960" s="25"/>
      <c r="L8960" s="25"/>
      <c r="M8960" s="25"/>
      <c r="N8960" s="25"/>
      <c r="O8960" s="25"/>
    </row>
    <row r="8961" customFormat="false" ht="6" hidden="false" customHeight="true" outlineLevel="0" collapsed="false">
      <c r="B8961" s="32"/>
      <c r="C8961" s="32"/>
      <c r="D8961" s="32"/>
      <c r="E8961" s="32"/>
      <c r="F8961" s="32"/>
      <c r="J8961" s="25"/>
      <c r="K8961" s="25"/>
      <c r="L8961" s="25"/>
      <c r="M8961" s="25"/>
      <c r="N8961" s="25"/>
      <c r="O8961" s="25"/>
    </row>
    <row r="8962" customFormat="false" ht="13.5" hidden="false" customHeight="true" outlineLevel="0" collapsed="false">
      <c r="B8962" s="10"/>
      <c r="C8962" s="10"/>
      <c r="D8962" s="10"/>
      <c r="E8962" s="10"/>
      <c r="F8962" s="10"/>
      <c r="J8962" s="25"/>
      <c r="K8962" s="25"/>
      <c r="L8962" s="25"/>
      <c r="M8962" s="25"/>
      <c r="N8962" s="25"/>
      <c r="O8962" s="25"/>
    </row>
    <row r="8963" customFormat="false" ht="13.5" hidden="false" customHeight="true" outlineLevel="0" collapsed="false">
      <c r="B8963" s="10"/>
      <c r="C8963" s="10"/>
      <c r="D8963" s="10"/>
      <c r="E8963" s="10"/>
      <c r="F8963" s="10"/>
      <c r="J8963" s="25"/>
      <c r="K8963" s="25"/>
      <c r="L8963" s="25"/>
      <c r="M8963" s="25"/>
      <c r="N8963" s="25"/>
      <c r="O8963" s="25"/>
    </row>
    <row r="8964" customFormat="false" ht="13.5" hidden="false" customHeight="true" outlineLevel="0" collapsed="false">
      <c r="B8964" s="10"/>
      <c r="C8964" s="10"/>
      <c r="D8964" s="10"/>
      <c r="E8964" s="10"/>
      <c r="F8964" s="10"/>
      <c r="J8964" s="25"/>
      <c r="K8964" s="25"/>
      <c r="L8964" s="25"/>
      <c r="M8964" s="25"/>
      <c r="N8964" s="25"/>
      <c r="O8964" s="25"/>
    </row>
    <row r="8965" customFormat="false" ht="15" hidden="false" customHeight="true" outlineLevel="0" collapsed="false">
      <c r="B8965" s="10"/>
      <c r="C8965" s="10"/>
      <c r="D8965" s="34" t="str">
        <f aca="false">IF($K$8956=0,"",INDEX(Clients!$E$2:$E$501,$K$8956)&amp;"")</f>
        <v/>
      </c>
      <c r="E8965" s="34"/>
      <c r="F8965" s="34"/>
      <c r="J8965" s="25"/>
      <c r="K8965" s="25"/>
      <c r="L8965" s="25"/>
      <c r="M8965" s="25"/>
      <c r="N8965" s="25"/>
      <c r="O8965" s="25"/>
    </row>
    <row r="8966" customFormat="false" ht="15" hidden="false" customHeight="true" outlineLevel="0" collapsed="false">
      <c r="B8966" s="10"/>
      <c r="C8966" s="10"/>
      <c r="D8966" s="35" t="str">
        <f aca="false">IF(IF($K$8956=0,"",INDEX(Clients!$D$2:$D$501,$K$8956)&amp;"")="","","À l'attention de "&amp;TRIM(IF($K$8956=0,"",INDEX(Clients!$B$2:$B$501,$K$8956)&amp;"")&amp;" "&amp;IF($K$8956=0,"",INDEX(Clients!$C$2:$C$501,$K$8956)&amp;"")&amp;" "&amp;IF($K$8956=0,"",INDEX(Clients!$D$2:$D$501,$K$8956)&amp;"")))</f>
        <v/>
      </c>
      <c r="E8966" s="35"/>
      <c r="F8966" s="35"/>
      <c r="J8966" s="25"/>
      <c r="K8966" s="25"/>
      <c r="L8966" s="25"/>
      <c r="M8966" s="25"/>
      <c r="N8966" s="25"/>
      <c r="O8966" s="25"/>
    </row>
    <row r="8967" customFormat="false" ht="15" hidden="false" customHeight="true" outlineLevel="0" collapsed="false">
      <c r="B8967" s="10"/>
      <c r="C8967" s="10"/>
      <c r="D8967" s="35" t="str">
        <f aca="false">IF($K$8956=0,"",INDEX(Clients!$F$2:$F$501,$K$8956)&amp;"")</f>
        <v/>
      </c>
      <c r="E8967" s="35"/>
      <c r="F8967" s="35"/>
      <c r="J8967" s="25"/>
      <c r="K8967" s="25"/>
      <c r="L8967" s="25"/>
      <c r="M8967" s="25"/>
      <c r="N8967" s="25"/>
      <c r="O8967" s="25"/>
    </row>
    <row r="8968" customFormat="false" ht="15" hidden="false" customHeight="true" outlineLevel="0" collapsed="false">
      <c r="B8968" s="10"/>
      <c r="C8968" s="10"/>
      <c r="D8968" s="35" t="str">
        <f aca="false">IF(IF($K$8956=0,"",INDEX(Clients!$G$2:$G$501,$K$8956)&amp;"")="",TRIM(IF($K$8956=0,"",INDEX(Clients!$H$2:$H$501,$K$8956)&amp;"")&amp;" "&amp;UPPER(IF($K$8956=0,"",INDEX(Clients!$I$2:$I$501,$K$8956)&amp;""))),IF($K$8956=0,"",INDEX(Clients!$G$2:$G$501,$K$8956)&amp;""))</f>
        <v/>
      </c>
      <c r="E8968" s="35"/>
      <c r="F8968" s="35"/>
      <c r="J8968" s="25"/>
      <c r="K8968" s="25"/>
      <c r="L8968" s="25"/>
      <c r="M8968" s="25"/>
      <c r="N8968" s="25"/>
      <c r="O8968" s="25"/>
    </row>
    <row r="8969" customFormat="false" ht="15" hidden="false" customHeight="true" outlineLevel="0" collapsed="false">
      <c r="B8969" s="10"/>
      <c r="C8969" s="10"/>
      <c r="D8969" s="35" t="str">
        <f aca="false">IF(IF($K$8956=0,"",INDEX(Clients!$G$2:$G$501,$K$8956)&amp;"")="","",TRIM(IF($K$8956=0,"",INDEX(Clients!$H$2:$H$501,$K$8956)&amp;"")&amp;" "&amp;UPPER(IF($K$8956=0,"",INDEX(Clients!$I$2:$I$501,$K$8956)&amp;""))))</f>
        <v/>
      </c>
      <c r="E8969" s="35"/>
      <c r="F8969" s="35"/>
      <c r="J8969" s="25"/>
      <c r="K8969" s="25"/>
      <c r="L8969" s="25"/>
      <c r="M8969" s="25"/>
      <c r="N8969" s="25"/>
      <c r="O8969" s="25"/>
    </row>
    <row r="8970" customFormat="false" ht="25.5" hidden="false" customHeight="true" outlineLevel="0" collapsed="false">
      <c r="B8970" s="10"/>
      <c r="C8970" s="10"/>
      <c r="D8970" s="10"/>
      <c r="E8970" s="10"/>
      <c r="F8970" s="10"/>
      <c r="J8970" s="25"/>
      <c r="K8970" s="25"/>
      <c r="L8970" s="25"/>
      <c r="M8970" s="25"/>
      <c r="N8970" s="25"/>
      <c r="O8970" s="25"/>
    </row>
    <row r="8971" customFormat="false" ht="15" hidden="false" customHeight="false" outlineLevel="0" collapsed="false">
      <c r="B8971" s="10"/>
      <c r="C8971" s="10"/>
      <c r="D8971" s="36" t="str">
        <f aca="false">Cab_Ville&amp;", le "&amp;DAY(Date_Courrier)&amp;IF(DAY(Date_Courrier)=1,"er","")&amp;" "&amp;INDEX(Liste_Mois,MONTH(Date_Courrier))&amp;" "&amp;YEAR(Date_Courrier)</f>
        <v>Le Plessis-Bouchard, le 22 septembre 2026</v>
      </c>
      <c r="E8971" s="36"/>
      <c r="F8971" s="36"/>
      <c r="J8971" s="25"/>
      <c r="K8971" s="25"/>
      <c r="L8971" s="25"/>
      <c r="M8971" s="25"/>
      <c r="N8971" s="25"/>
      <c r="O8971" s="25"/>
    </row>
    <row r="8972" customFormat="false" ht="19.5" hidden="false" customHeight="true" outlineLevel="0" collapsed="false">
      <c r="B8972" s="10"/>
      <c r="C8972" s="10"/>
      <c r="D8972" s="10"/>
      <c r="E8972" s="10"/>
      <c r="F8972" s="10"/>
      <c r="J8972" s="25"/>
      <c r="K8972" s="25"/>
      <c r="L8972" s="25"/>
      <c r="M8972" s="25"/>
      <c r="N8972" s="25"/>
      <c r="O8972" s="25"/>
    </row>
    <row r="8973" customFormat="false" ht="15" hidden="false" customHeight="false" outlineLevel="0" collapsed="false">
      <c r="B8973" s="34" t="str">
        <f aca="false">SUBSTITUTE(SUBSTITUTE(SUBSTITUTE(SUBSTITUTE(SUBSTITUTE(Txt_Objet,"{cabinet}",Cab_Nom),"{societe}",IF($K$8956=0,"",INDEX(Clients!$E$2:$E$501,$K$8956)&amp;"")),"{date_effet}",$K$8958),"{hausse}",$K$8959),"{civilite}",$K$8957)</f>
        <v>Objet : révision de nos honoraires au 1er janvier 2027</v>
      </c>
      <c r="C8973" s="34"/>
      <c r="D8973" s="34"/>
      <c r="E8973" s="34"/>
      <c r="F8973" s="34"/>
      <c r="J8973" s="25"/>
      <c r="K8973" s="25"/>
      <c r="L8973" s="25"/>
      <c r="M8973" s="25"/>
      <c r="N8973" s="25"/>
      <c r="O8973" s="25"/>
    </row>
    <row r="8974" customFormat="false" ht="13.5" hidden="false" customHeight="true" outlineLevel="0" collapsed="false">
      <c r="B8974" s="10"/>
      <c r="C8974" s="10"/>
      <c r="D8974" s="10"/>
      <c r="E8974" s="10"/>
      <c r="F8974" s="10"/>
      <c r="J8974" s="25"/>
      <c r="K8974" s="25"/>
      <c r="L8974" s="25"/>
      <c r="M8974" s="25"/>
      <c r="N8974" s="25"/>
      <c r="O8974" s="25"/>
    </row>
    <row r="8975" customFormat="false" ht="15" hidden="false" customHeight="false" outlineLevel="0" collapsed="false">
      <c r="B8975" s="10" t="str">
        <f aca="false">$K$8957&amp;","</f>
        <v>Madame, Monsieur,</v>
      </c>
      <c r="C8975" s="10"/>
      <c r="D8975" s="10"/>
      <c r="E8975" s="10"/>
      <c r="F8975" s="10"/>
      <c r="J8975" s="25"/>
      <c r="K8975" s="25"/>
      <c r="L8975" s="25"/>
      <c r="M8975" s="25"/>
      <c r="N8975" s="25"/>
      <c r="O8975" s="25"/>
    </row>
    <row r="8976" customFormat="false" ht="6" hidden="false" customHeight="true" outlineLevel="0" collapsed="false">
      <c r="B8976" s="10"/>
      <c r="C8976" s="10"/>
      <c r="D8976" s="10"/>
      <c r="E8976" s="10"/>
      <c r="F8976" s="10"/>
      <c r="J8976" s="25"/>
      <c r="K8976" s="25"/>
      <c r="L8976" s="25"/>
      <c r="M8976" s="25"/>
      <c r="N8976" s="25"/>
      <c r="O8976" s="25"/>
    </row>
    <row r="8977" customFormat="false" ht="36.75" hidden="false" customHeight="true" outlineLevel="0" collapsed="false">
      <c r="B8977" s="37" t="str">
        <f aca="false">SUBSTITUTE(SUBSTITUTE(SUBSTITUTE(SUBSTITUTE(SUBSTITUTE(Txt_P1,"{cabinet}",Cab_Nom),"{societe}",IF($K$8956=0,"",INDEX(Clients!$E$2:$E$501,$K$8956)&amp;"")),"{date_effet}",$K$8958),"{hausse}",$K$8959),"{civilite}",$K$8957)</f>
        <v>Nous tenons tout d'abord à vous remercier pour la confiance que vous accordez à ALTHO EXPERTISE. Comme chaque année, et conformément aux dispositions de votre lettre de mission, nous procédons à la révision de nos honoraires.</v>
      </c>
      <c r="C8977" s="37"/>
      <c r="D8977" s="37"/>
      <c r="E8977" s="37"/>
      <c r="F8977" s="37"/>
      <c r="J8977" s="25"/>
      <c r="K8977" s="25"/>
      <c r="L8977" s="25"/>
      <c r="M8977" s="25"/>
      <c r="N8977" s="25"/>
      <c r="O8977" s="25"/>
    </row>
    <row r="8978" customFormat="false" ht="49.5" hidden="false" customHeight="true" outlineLevel="0" collapsed="false">
      <c r="B8978" s="37" t="str">
        <f aca="false">SUBSTITUTE(SUBSTITUTE(SUBSTITUTE(SUBSTITUTE(SUBSTITUTE(Txt_P2,"{cabinet}",Cab_Nom),"{societe}",IF($K$8956=0,"",INDEX(Clients!$E$2:$E$501,$K$8956)&amp;"")),"{date_effet}",$K$8958),"{hausse}",$K$8959),"{civilite}",$K$8957)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8978" s="37"/>
      <c r="D8978" s="37"/>
      <c r="E8978" s="37"/>
      <c r="F8978" s="37"/>
      <c r="J8978" s="25"/>
      <c r="K8978" s="25"/>
      <c r="L8978" s="25"/>
      <c r="M8978" s="25"/>
      <c r="N8978" s="25"/>
      <c r="O8978" s="25"/>
    </row>
    <row r="8979" customFormat="false" ht="63" hidden="false" customHeight="true" outlineLevel="0" collapsed="false">
      <c r="B8979" s="37" t="str">
        <f aca="false">SUBSTITUTE(SUBSTITUTE(SUBSTITUTE(SUBSTITUTE(SUBSTITUTE(Txt_P3,"{cabinet}",Cab_Nom),"{societe}",IF($K$8956=0,"",INDEX(Clients!$E$2:$E$501,$K$8956)&amp;"")),"{date_effet}",$K$8958),"{hausse}",$K$8959),"{civilite}",$K$8957)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8979" s="37"/>
      <c r="D8979" s="37"/>
      <c r="E8979" s="37"/>
      <c r="F8979" s="37"/>
      <c r="J8979" s="25"/>
      <c r="K8979" s="25"/>
      <c r="L8979" s="25"/>
      <c r="M8979" s="25"/>
      <c r="N8979" s="25"/>
      <c r="O8979" s="25"/>
    </row>
    <row r="8980" customFormat="false" ht="24" hidden="false" customHeight="true" outlineLevel="0" collapsed="false">
      <c r="B8980" s="37" t="str">
        <f aca="false">SUBSTITUTE(SUBSTITUTE(SUBSTITUTE(SUBSTITUTE(SUBSTITUTE(Txt_P4,"{cabinet}",Cab_Nom),"{societe}",IF($K$8956=0,"",INDEX(Clients!$E$2:$E$501,$K$8956)&amp;"")),"{date_effet}",$K$8958),"{hausse}",$K$8959),"{civilite}",$K$8957)</f>
        <v>À compter du 1er janvier 2027, vos honoraires annuels hors taxes évolueront ainsi (évolution globale : ) :</v>
      </c>
      <c r="C8980" s="37"/>
      <c r="D8980" s="37"/>
      <c r="E8980" s="37"/>
      <c r="F8980" s="37"/>
      <c r="J8980" s="25"/>
      <c r="K8980" s="25"/>
      <c r="L8980" s="25"/>
      <c r="M8980" s="25"/>
      <c r="N8980" s="25"/>
      <c r="O8980" s="25"/>
    </row>
    <row r="8981" customFormat="false" ht="3.75" hidden="false" customHeight="true" outlineLevel="0" collapsed="false">
      <c r="B8981" s="10"/>
      <c r="C8981" s="10"/>
      <c r="D8981" s="10"/>
      <c r="E8981" s="10"/>
      <c r="F8981" s="10"/>
      <c r="J8981" s="25"/>
      <c r="K8981" s="25"/>
      <c r="L8981" s="25"/>
      <c r="M8981" s="25"/>
      <c r="N8981" s="25"/>
      <c r="O8981" s="25"/>
    </row>
    <row r="8982" customFormat="false" ht="18" hidden="false" customHeight="true" outlineLevel="0" collapsed="false">
      <c r="B8982" s="38" t="s">
        <v>148</v>
      </c>
      <c r="C8982" s="39" t="s">
        <v>149</v>
      </c>
      <c r="D8982" s="39" t="s">
        <v>150</v>
      </c>
      <c r="E8982" s="39" t="s">
        <v>151</v>
      </c>
      <c r="F8982" s="39" t="s">
        <v>109</v>
      </c>
      <c r="J8982" s="25" t="s">
        <v>152</v>
      </c>
      <c r="K8982" s="25" t="s">
        <v>153</v>
      </c>
      <c r="L8982" s="25" t="s">
        <v>154</v>
      </c>
      <c r="M8982" s="25" t="s">
        <v>155</v>
      </c>
      <c r="N8982" s="25" t="s">
        <v>156</v>
      </c>
      <c r="O8982" s="25" t="s">
        <v>157</v>
      </c>
    </row>
    <row r="8983" customFormat="false" ht="16.5" hidden="false" customHeight="true" outlineLevel="0" collapsed="false">
      <c r="B8983" s="40" t="str">
        <f aca="false">IFERROR(INDEX($J$8983:$J$8986,MATCH($O8983,$N$8983:$N$8986,0)),"")</f>
        <v/>
      </c>
      <c r="C8983" s="41" t="str">
        <f aca="false">IFERROR(INDEX($K$8983:$K$8986,MATCH($O8983,$N$8983:$N$8986,0)),"")</f>
        <v/>
      </c>
      <c r="D8983" s="42" t="str">
        <f aca="false">IF(OR(E8983="",N(C8983)=0),"",E8983/C8983-1)</f>
        <v/>
      </c>
      <c r="E8983" s="41" t="str">
        <f aca="false">IFERROR(INDEX($L$8983:$L$8986,MATCH($O8983,$N$8983:$N$8986,0)),"")</f>
        <v/>
      </c>
      <c r="F8983" s="41" t="str">
        <f aca="false">IF(E8983="","",E8983-C8983)</f>
        <v/>
      </c>
      <c r="J8983" s="25" t="str">
        <f aca="false">Lib_Compta</f>
        <v>Mission comptable (tenue, révision, bilan, liasse fiscale)</v>
      </c>
      <c r="K8983" s="25" t="n">
        <f aca="false">IF($K$8956=0,0,N(INDEX(Clients!$K$2:$K$501,$K$8956)))</f>
        <v>0</v>
      </c>
      <c r="L8983" s="25" t="n">
        <f aca="false">IF($K$8956=0,0,N(INDEX(Clients!$P$2:$P$501,$K$8956)))</f>
        <v>0</v>
      </c>
      <c r="M8983" s="25" t="n">
        <f aca="false">IF(OR(K8983&lt;&gt;0,L8983&lt;&gt;0),1,0)</f>
        <v>0</v>
      </c>
      <c r="N8983" s="25" t="str">
        <f aca="false">IF(M8983=1,SUM($M$8983:M8983),"")</f>
        <v/>
      </c>
      <c r="O8983" s="25" t="n">
        <v>1</v>
      </c>
    </row>
    <row r="8984" customFormat="false" ht="16.5" hidden="false" customHeight="true" outlineLevel="0" collapsed="false">
      <c r="B8984" s="40" t="str">
        <f aca="false">IFERROR(INDEX($J$8983:$J$8986,MATCH($O8984,$N$8983:$N$8986,0)),"")</f>
        <v/>
      </c>
      <c r="C8984" s="41" t="str">
        <f aca="false">IFERROR(INDEX($K$8983:$K$8986,MATCH($O8984,$N$8983:$N$8986,0)),"")</f>
        <v/>
      </c>
      <c r="D8984" s="42" t="str">
        <f aca="false">IF(OR(E8984="",N(C8984)=0),"",E8984/C8984-1)</f>
        <v/>
      </c>
      <c r="E8984" s="41" t="str">
        <f aca="false">IFERROR(INDEX($L$8983:$L$8986,MATCH($O8984,$N$8983:$N$8986,0)),"")</f>
        <v/>
      </c>
      <c r="F8984" s="41" t="str">
        <f aca="false">IF(E8984="","",E8984-C8984)</f>
        <v/>
      </c>
      <c r="J8984" s="25" t="str">
        <f aca="false">Lib_Paye</f>
        <v>Mission sociale (bulletins de paie, DSN, déclarations sociales)</v>
      </c>
      <c r="K8984" s="25" t="n">
        <f aca="false">IF($K$8956=0,0,N(INDEX(Clients!$L$2:$L$501,$K$8956)))</f>
        <v>0</v>
      </c>
      <c r="L8984" s="25" t="n">
        <f aca="false">IF($K$8956=0,0,N(INDEX(Clients!$Q$2:$Q$501,$K$8956)))</f>
        <v>0</v>
      </c>
      <c r="M8984" s="25" t="n">
        <f aca="false">IF(OR(K8984&lt;&gt;0,L8984&lt;&gt;0),1,0)</f>
        <v>0</v>
      </c>
      <c r="N8984" s="25" t="str">
        <f aca="false">IF(M8984=1,SUM($M$8983:M8984),"")</f>
        <v/>
      </c>
      <c r="O8984" s="25" t="n">
        <v>2</v>
      </c>
    </row>
    <row r="8985" customFormat="false" ht="16.5" hidden="false" customHeight="true" outlineLevel="0" collapsed="false">
      <c r="B8985" s="40" t="str">
        <f aca="false">IFERROR(INDEX($J$8983:$J$8986,MATCH($O8985,$N$8983:$N$8986,0)),"")</f>
        <v/>
      </c>
      <c r="C8985" s="41" t="str">
        <f aca="false">IFERROR(INDEX($K$8983:$K$8986,MATCH($O8985,$N$8983:$N$8986,0)),"")</f>
        <v/>
      </c>
      <c r="D8985" s="42" t="str">
        <f aca="false">IF(OR(E8985="",N(C8985)=0),"",E8985/C8985-1)</f>
        <v/>
      </c>
      <c r="E8985" s="41" t="str">
        <f aca="false">IFERROR(INDEX($L$8983:$L$8986,MATCH($O8985,$N$8983:$N$8986,0)),"")</f>
        <v/>
      </c>
      <c r="F8985" s="41" t="str">
        <f aca="false">IF(E8985="","",E8985-C8985)</f>
        <v/>
      </c>
      <c r="J8985" s="25" t="str">
        <f aca="false">Lib_Jur</f>
        <v>Mission juridique (approbation des comptes, secrétariat juridique)</v>
      </c>
      <c r="K8985" s="25" t="n">
        <f aca="false">IF($K$8956=0,0,N(INDEX(Clients!$M$2:$M$501,$K$8956)))</f>
        <v>0</v>
      </c>
      <c r="L8985" s="25" t="n">
        <f aca="false">IF($K$8956=0,0,N(INDEX(Clients!$R$2:$R$501,$K$8956)))</f>
        <v>0</v>
      </c>
      <c r="M8985" s="25" t="n">
        <f aca="false">IF(OR(K8985&lt;&gt;0,L8985&lt;&gt;0),1,0)</f>
        <v>0</v>
      </c>
      <c r="N8985" s="25" t="str">
        <f aca="false">IF(M8985=1,SUM($M$8983:M8985),"")</f>
        <v/>
      </c>
      <c r="O8985" s="25" t="n">
        <v>3</v>
      </c>
    </row>
    <row r="8986" customFormat="false" ht="16.5" hidden="false" customHeight="true" outlineLevel="0" collapsed="false">
      <c r="B8986" s="40" t="str">
        <f aca="false">IFERROR(INDEX($J$8983:$J$8986,MATCH($O8986,$N$8983:$N$8986,0)),"")</f>
        <v/>
      </c>
      <c r="C8986" s="41" t="str">
        <f aca="false">IFERROR(INDEX($K$8983:$K$8986,MATCH($O8986,$N$8983:$N$8986,0)),"")</f>
        <v/>
      </c>
      <c r="D8986" s="42" t="str">
        <f aca="false">IF(OR(E8986="",N(C8986)=0),"",E8986/C8986-1)</f>
        <v/>
      </c>
      <c r="E8986" s="41" t="str">
        <f aca="false">IFERROR(INDEX($L$8983:$L$8986,MATCH($O8986,$N$8983:$N$8986,0)),"")</f>
        <v/>
      </c>
      <c r="F8986" s="41" t="str">
        <f aca="false">IF(E8986="","",E8986-C8986)</f>
        <v/>
      </c>
      <c r="J8986" s="25" t="str">
        <f aca="false">Lib_PA</f>
        <v>Plateforme agréée – facturation électronique</v>
      </c>
      <c r="K8986" s="25" t="n">
        <f aca="false">IF($K$8956=0,0,N(INDEX(Clients!$N$2:$N$501,$K$8956)))</f>
        <v>0</v>
      </c>
      <c r="L8986" s="25" t="n">
        <f aca="false">IF($K$8956=0,0,N(INDEX(Clients!$S$2:$S$501,$K$8956)))</f>
        <v>0</v>
      </c>
      <c r="M8986" s="25" t="n">
        <f aca="false">IF(OR(K8986&lt;&gt;0,L8986&lt;&gt;0),1,0)</f>
        <v>0</v>
      </c>
      <c r="N8986" s="25" t="str">
        <f aca="false">IF(M8986=1,SUM($M$8983:M8986),"")</f>
        <v/>
      </c>
      <c r="O8986" s="25" t="n">
        <v>4</v>
      </c>
    </row>
    <row r="8987" customFormat="false" ht="18" hidden="false" customHeight="true" outlineLevel="0" collapsed="false">
      <c r="B8987" s="43" t="s">
        <v>158</v>
      </c>
      <c r="C8987" s="44" t="n">
        <f aca="false">SUM(K8983:K8986)</f>
        <v>0</v>
      </c>
      <c r="D8987" s="45" t="str">
        <f aca="false">IF(N(C8987)=0,"",E8987/C8987-1)</f>
        <v/>
      </c>
      <c r="E8987" s="44" t="n">
        <f aca="false">SUM(L8983:L8986)</f>
        <v>0</v>
      </c>
      <c r="F8987" s="44" t="n">
        <f aca="false">E8987-C8987</f>
        <v>0</v>
      </c>
    </row>
    <row r="8988" customFormat="false" ht="15" hidden="false" customHeight="false" outlineLevel="0" collapsed="false">
      <c r="B8988" s="46" t="str">
        <f aca="false">IF(N(Nb_Mensualites)=0,"","Soit "&amp;FIXED(E8987/Nb_Mensualites,2)&amp;" € HT par échéance ("&amp;Nb_Mensualites&amp;" échéances), "&amp;FIXED(E8987/Nb_Mensualites*(1+Taux_TVA),2)&amp;" € TTC.")</f>
        <v>Soit 0.00 € HT par échéance (12 échéances), 0.00 € TTC.</v>
      </c>
      <c r="C8988" s="46"/>
      <c r="D8988" s="46"/>
      <c r="E8988" s="46"/>
      <c r="F8988" s="46"/>
    </row>
    <row r="8989" customFormat="false" ht="7.5" hidden="false" customHeight="true" outlineLevel="0" collapsed="false">
      <c r="B8989" s="10"/>
      <c r="C8989" s="10"/>
      <c r="D8989" s="10"/>
      <c r="E8989" s="10"/>
      <c r="F8989" s="10"/>
    </row>
    <row r="8990" customFormat="false" ht="36.75" hidden="false" customHeight="true" outlineLevel="0" collapsed="false">
      <c r="B8990" s="37" t="str">
        <f aca="false">SUBSTITUTE(SUBSTITUTE(SUBSTITUTE(SUBSTITUTE(SUBSTITUTE(Txt_P5,"{cabinet}",Cab_Nom),"{societe}",IF($K$8956=0,"",INDEX(Clients!$E$2:$E$501,$K$8956)&amp;"")),"{date_effet}",$K$8958),"{hausse}",$K$8959),"{civilite}",$K$8957)</f>
        <v>Les autres conditions de votre lettre de mission demeurent inchangées. Les nouveaux montants seront appliqués automatiquement sur vos prochaines factures et échéances de prélèvement.</v>
      </c>
      <c r="C8990" s="37"/>
      <c r="D8990" s="37"/>
      <c r="E8990" s="37"/>
      <c r="F8990" s="37"/>
    </row>
    <row r="8991" customFormat="false" ht="36.75" hidden="false" customHeight="true" outlineLevel="0" collapsed="false">
      <c r="B8991" s="37" t="str">
        <f aca="false">SUBSTITUTE(SUBSTITUTE(SUBSTITUTE(SUBSTITUTE(SUBSTITUTE(Txt_P6,"{cabinet}",Cab_Nom),"{societe}",IF($K$8956=0,"",INDEX(Clients!$E$2:$E$501,$K$8956)&amp;"")),"{date_effet}",$K$8958),"{hausse}",$K$8959),"{civilite}",$K$8957)</f>
        <v>Votre interlocuteur habituel reste à votre entière disposition pour répondre à vos questions et faire le point sur l'évolution de vos besoins.</v>
      </c>
      <c r="C8991" s="37"/>
      <c r="D8991" s="37"/>
      <c r="E8991" s="37"/>
      <c r="F8991" s="37"/>
    </row>
    <row r="8992" customFormat="false" ht="24" hidden="false" customHeight="true" outlineLevel="0" collapsed="false">
      <c r="B8992" s="37" t="str">
        <f aca="false">SUBSTITUTE(SUBSTITUTE(SUBSTITUTE(SUBSTITUTE(SUBSTITUTE(Txt_Politesse,"{cabinet}",Cab_Nom),"{societe}",IF($K$8956=0,"",INDEX(Clients!$E$2:$E$501,$K$8956)&amp;"")),"{date_effet}",$K$8958),"{hausse}",$K$8959),"{civilite}",$K$8957)</f>
        <v>Nous vous prions d'agréer, Madame, Monsieur, l'expression de nos salutations distinguées.</v>
      </c>
      <c r="C8992" s="37"/>
      <c r="D8992" s="37"/>
      <c r="E8992" s="37"/>
      <c r="F8992" s="37"/>
    </row>
    <row r="8993" customFormat="false" ht="15" hidden="false" customHeight="false" outlineLevel="0" collapsed="false">
      <c r="B8993" s="10"/>
      <c r="C8993" s="10"/>
      <c r="D8993" s="10"/>
      <c r="E8993" s="10"/>
      <c r="F8993" s="10"/>
    </row>
    <row r="8994" customFormat="false" ht="15" hidden="false" customHeight="false" outlineLevel="0" collapsed="false">
      <c r="B8994" s="10"/>
      <c r="C8994" s="10"/>
      <c r="D8994" s="34" t="str">
        <f aca="false">Signataire</f>
        <v>Prénom NOM</v>
      </c>
      <c r="E8994" s="34"/>
      <c r="F8994" s="34"/>
    </row>
    <row r="8995" customFormat="false" ht="15" hidden="false" customHeight="false" outlineLevel="0" collapsed="false">
      <c r="B8995" s="10"/>
      <c r="C8995" s="10"/>
      <c r="D8995" s="47" t="str">
        <f aca="false">Signataire_Titre</f>
        <v>Expert-comptable associé</v>
      </c>
      <c r="E8995" s="47"/>
      <c r="F8995" s="47"/>
    </row>
    <row r="8996" customFormat="false" ht="15.75" hidden="false" customHeight="true" outlineLevel="0" collapsed="false">
      <c r="B8996" s="10"/>
      <c r="C8996" s="10"/>
      <c r="D8996" s="10"/>
      <c r="E8996" s="10"/>
      <c r="F8996" s="10"/>
    </row>
    <row r="8997" customFormat="false" ht="15.75" hidden="false" customHeight="true" outlineLevel="0" collapsed="false">
      <c r="B8997" s="10"/>
      <c r="C8997" s="10"/>
      <c r="D8997" s="10"/>
      <c r="E8997" s="10"/>
      <c r="F8997" s="10"/>
    </row>
    <row r="8998" customFormat="false" ht="15.75" hidden="false" customHeight="true" outlineLevel="0" collapsed="false">
      <c r="B8998" s="10"/>
      <c r="C8998" s="10"/>
      <c r="D8998" s="10"/>
      <c r="E8998" s="10"/>
      <c r="F8998" s="10"/>
    </row>
    <row r="8999" customFormat="false" ht="15.75" hidden="false" customHeight="true" outlineLevel="0" collapsed="false">
      <c r="B8999" s="10"/>
      <c r="C8999" s="10"/>
      <c r="D8999" s="10"/>
      <c r="E8999" s="10"/>
      <c r="F8999" s="10"/>
    </row>
    <row r="9000" customFormat="false" ht="24" hidden="false" customHeight="true" outlineLevel="0" collapsed="false">
      <c r="B9000" s="48" t="str">
        <f aca="false">Cab_Mentions</f>
        <v>ALTHO EXPERTISE · SAS au capital de 10 000 € · RCS Pontoise 919 706 325 · TVA FR62919706325 · Société d'expertise comptable inscrite au Tableau de l'Ordre des experts-comptables de Paris Île-de-France</v>
      </c>
      <c r="C9000" s="48"/>
      <c r="D9000" s="48"/>
      <c r="E9000" s="48"/>
      <c r="F9000" s="48"/>
    </row>
    <row r="9001" customFormat="false" ht="15" hidden="false" customHeight="false" outlineLevel="0" collapsed="false">
      <c r="B9001" s="10"/>
      <c r="C9001" s="10"/>
      <c r="D9001" s="10"/>
      <c r="E9001" s="10"/>
      <c r="F9001" s="10"/>
      <c r="J9001" s="25" t="s">
        <v>142</v>
      </c>
      <c r="K9001" s="25" t="n">
        <f aca="false">IFERROR(MATCH(201,Clients!$Z$2:$Z$501,0),0)</f>
        <v>0</v>
      </c>
      <c r="L9001" s="25"/>
      <c r="M9001" s="25"/>
      <c r="N9001" s="25"/>
      <c r="O9001" s="25"/>
    </row>
    <row r="9002" customFormat="false" ht="21.75" hidden="false" customHeight="true" outlineLevel="0" collapsed="false">
      <c r="B9002" s="26" t="str">
        <f aca="false">Cab_Nom</f>
        <v>ALTHO EXPERTISE</v>
      </c>
      <c r="C9002" s="26"/>
      <c r="D9002" s="10"/>
      <c r="E9002" s="27" t="str">
        <f aca="false">IF($K$9001=0,"","Réf. client : "&amp;INDEX(Clients!$A$2:$A$501,$K$9001))</f>
        <v/>
      </c>
      <c r="F9002" s="27"/>
      <c r="J9002" s="25" t="s">
        <v>144</v>
      </c>
      <c r="K9002" s="25" t="str">
        <f aca="false">IF(IF($K$9001=0,"",INDEX(Clients!$B$2:$B$501,$K$9001)&amp;"")="Mme","Madame",IF(IF($K$9001=0,"",INDEX(Clients!$B$2:$B$501,$K$9001)&amp;"")="M.","Monsieur","Madame, Monsieur"))</f>
        <v>Madame, Monsieur</v>
      </c>
      <c r="L9002" s="25"/>
      <c r="M9002" s="25"/>
      <c r="N9002" s="25"/>
      <c r="O9002" s="25"/>
    </row>
    <row r="9003" customFormat="false" ht="15" hidden="false" customHeight="false" outlineLevel="0" collapsed="false">
      <c r="B9003" s="29" t="str">
        <f aca="false">Cab_Adr1</f>
        <v>141 rue Charles de Gaulle</v>
      </c>
      <c r="C9003" s="29"/>
      <c r="D9003" s="10"/>
      <c r="E9003" s="10"/>
      <c r="F9003" s="10"/>
      <c r="J9003" s="25" t="s">
        <v>145</v>
      </c>
      <c r="K9003" s="25" t="str">
        <f aca="false">DAY(Date_Effet)&amp;IF(DAY(Date_Effet)=1,"er","")&amp;" "&amp;INDEX(Liste_Mois,MONTH(Date_Effet))&amp;" "&amp;YEAR(Date_Effet)</f>
        <v>1er janvier 2027</v>
      </c>
      <c r="L9003" s="25"/>
      <c r="M9003" s="25"/>
      <c r="N9003" s="25"/>
      <c r="O9003" s="25"/>
    </row>
    <row r="9004" customFormat="false" ht="15" hidden="false" customHeight="false" outlineLevel="0" collapsed="false">
      <c r="B9004" s="29" t="str">
        <f aca="false">Cab_CPVille</f>
        <v>95130 LE PLESSIS-BOUCHARD</v>
      </c>
      <c r="C9004" s="29"/>
      <c r="D9004" s="10"/>
      <c r="E9004" s="10"/>
      <c r="F9004" s="10"/>
      <c r="J9004" s="25" t="s">
        <v>146</v>
      </c>
      <c r="K9004" s="25" t="str">
        <f aca="false">IF(SUM($K$9028:$K$9031)=0,"",FIXED((SUM($L$9028:$L$9031)/SUM($K$9028:$K$9031)-1)*100,1)&amp;" %")</f>
        <v/>
      </c>
      <c r="L9004" s="25"/>
      <c r="M9004" s="25"/>
      <c r="N9004" s="25"/>
      <c r="O9004" s="25"/>
    </row>
    <row r="9005" customFormat="false" ht="15" hidden="false" customHeight="false" outlineLevel="0" collapsed="false">
      <c r="B9005" s="29" t="str">
        <f aca="false">Cab_Contact</f>
        <v>Tél. 01 34 14 53 45  ·  altho@altho-experts.com  ·  altho-experts.com</v>
      </c>
      <c r="C9005" s="29"/>
      <c r="D9005" s="10"/>
      <c r="E9005" s="10"/>
      <c r="F9005" s="10"/>
      <c r="J9005" s="25"/>
      <c r="K9005" s="25"/>
      <c r="L9005" s="25"/>
      <c r="M9005" s="25"/>
      <c r="N9005" s="25"/>
      <c r="O9005" s="25"/>
    </row>
    <row r="9006" customFormat="false" ht="6" hidden="false" customHeight="true" outlineLevel="0" collapsed="false">
      <c r="B9006" s="32"/>
      <c r="C9006" s="32"/>
      <c r="D9006" s="32"/>
      <c r="E9006" s="32"/>
      <c r="F9006" s="32"/>
      <c r="J9006" s="25"/>
      <c r="K9006" s="25"/>
      <c r="L9006" s="25"/>
      <c r="M9006" s="25"/>
      <c r="N9006" s="25"/>
      <c r="O9006" s="25"/>
    </row>
    <row r="9007" customFormat="false" ht="13.5" hidden="false" customHeight="true" outlineLevel="0" collapsed="false">
      <c r="B9007" s="10"/>
      <c r="C9007" s="10"/>
      <c r="D9007" s="10"/>
      <c r="E9007" s="10"/>
      <c r="F9007" s="10"/>
      <c r="J9007" s="25"/>
      <c r="K9007" s="25"/>
      <c r="L9007" s="25"/>
      <c r="M9007" s="25"/>
      <c r="N9007" s="25"/>
      <c r="O9007" s="25"/>
    </row>
    <row r="9008" customFormat="false" ht="13.5" hidden="false" customHeight="true" outlineLevel="0" collapsed="false">
      <c r="B9008" s="10"/>
      <c r="C9008" s="10"/>
      <c r="D9008" s="10"/>
      <c r="E9008" s="10"/>
      <c r="F9008" s="10"/>
      <c r="J9008" s="25"/>
      <c r="K9008" s="25"/>
      <c r="L9008" s="25"/>
      <c r="M9008" s="25"/>
      <c r="N9008" s="25"/>
      <c r="O9008" s="25"/>
    </row>
    <row r="9009" customFormat="false" ht="13.5" hidden="false" customHeight="true" outlineLevel="0" collapsed="false">
      <c r="B9009" s="10"/>
      <c r="C9009" s="10"/>
      <c r="D9009" s="10"/>
      <c r="E9009" s="10"/>
      <c r="F9009" s="10"/>
      <c r="J9009" s="25"/>
      <c r="K9009" s="25"/>
      <c r="L9009" s="25"/>
      <c r="M9009" s="25"/>
      <c r="N9009" s="25"/>
      <c r="O9009" s="25"/>
    </row>
    <row r="9010" customFormat="false" ht="15" hidden="false" customHeight="true" outlineLevel="0" collapsed="false">
      <c r="B9010" s="10"/>
      <c r="C9010" s="10"/>
      <c r="D9010" s="34" t="str">
        <f aca="false">IF($K$9001=0,"",INDEX(Clients!$E$2:$E$501,$K$9001)&amp;"")</f>
        <v/>
      </c>
      <c r="E9010" s="34"/>
      <c r="F9010" s="34"/>
      <c r="J9010" s="25"/>
      <c r="K9010" s="25"/>
      <c r="L9010" s="25"/>
      <c r="M9010" s="25"/>
      <c r="N9010" s="25"/>
      <c r="O9010" s="25"/>
    </row>
    <row r="9011" customFormat="false" ht="15" hidden="false" customHeight="true" outlineLevel="0" collapsed="false">
      <c r="B9011" s="10"/>
      <c r="C9011" s="10"/>
      <c r="D9011" s="35" t="str">
        <f aca="false">IF(IF($K$9001=0,"",INDEX(Clients!$D$2:$D$501,$K$9001)&amp;"")="","","À l'attention de "&amp;TRIM(IF($K$9001=0,"",INDEX(Clients!$B$2:$B$501,$K$9001)&amp;"")&amp;" "&amp;IF($K$9001=0,"",INDEX(Clients!$C$2:$C$501,$K$9001)&amp;"")&amp;" "&amp;IF($K$9001=0,"",INDEX(Clients!$D$2:$D$501,$K$9001)&amp;"")))</f>
        <v/>
      </c>
      <c r="E9011" s="35"/>
      <c r="F9011" s="35"/>
      <c r="J9011" s="25"/>
      <c r="K9011" s="25"/>
      <c r="L9011" s="25"/>
      <c r="M9011" s="25"/>
      <c r="N9011" s="25"/>
      <c r="O9011" s="25"/>
    </row>
    <row r="9012" customFormat="false" ht="15" hidden="false" customHeight="true" outlineLevel="0" collapsed="false">
      <c r="B9012" s="10"/>
      <c r="C9012" s="10"/>
      <c r="D9012" s="35" t="str">
        <f aca="false">IF($K$9001=0,"",INDEX(Clients!$F$2:$F$501,$K$9001)&amp;"")</f>
        <v/>
      </c>
      <c r="E9012" s="35"/>
      <c r="F9012" s="35"/>
      <c r="J9012" s="25"/>
      <c r="K9012" s="25"/>
      <c r="L9012" s="25"/>
      <c r="M9012" s="25"/>
      <c r="N9012" s="25"/>
      <c r="O9012" s="25"/>
    </row>
    <row r="9013" customFormat="false" ht="15" hidden="false" customHeight="true" outlineLevel="0" collapsed="false">
      <c r="B9013" s="10"/>
      <c r="C9013" s="10"/>
      <c r="D9013" s="35" t="str">
        <f aca="false">IF(IF($K$9001=0,"",INDEX(Clients!$G$2:$G$501,$K$9001)&amp;"")="",TRIM(IF($K$9001=0,"",INDEX(Clients!$H$2:$H$501,$K$9001)&amp;"")&amp;" "&amp;UPPER(IF($K$9001=0,"",INDEX(Clients!$I$2:$I$501,$K$9001)&amp;""))),IF($K$9001=0,"",INDEX(Clients!$G$2:$G$501,$K$9001)&amp;""))</f>
        <v/>
      </c>
      <c r="E9013" s="35"/>
      <c r="F9013" s="35"/>
      <c r="J9013" s="25"/>
      <c r="K9013" s="25"/>
      <c r="L9013" s="25"/>
      <c r="M9013" s="25"/>
      <c r="N9013" s="25"/>
      <c r="O9013" s="25"/>
    </row>
    <row r="9014" customFormat="false" ht="15" hidden="false" customHeight="true" outlineLevel="0" collapsed="false">
      <c r="B9014" s="10"/>
      <c r="C9014" s="10"/>
      <c r="D9014" s="35" t="str">
        <f aca="false">IF(IF($K$9001=0,"",INDEX(Clients!$G$2:$G$501,$K$9001)&amp;"")="","",TRIM(IF($K$9001=0,"",INDEX(Clients!$H$2:$H$501,$K$9001)&amp;"")&amp;" "&amp;UPPER(IF($K$9001=0,"",INDEX(Clients!$I$2:$I$501,$K$9001)&amp;""))))</f>
        <v/>
      </c>
      <c r="E9014" s="35"/>
      <c r="F9014" s="35"/>
      <c r="J9014" s="25"/>
      <c r="K9014" s="25"/>
      <c r="L9014" s="25"/>
      <c r="M9014" s="25"/>
      <c r="N9014" s="25"/>
      <c r="O9014" s="25"/>
    </row>
    <row r="9015" customFormat="false" ht="25.5" hidden="false" customHeight="true" outlineLevel="0" collapsed="false">
      <c r="B9015" s="10"/>
      <c r="C9015" s="10"/>
      <c r="D9015" s="10"/>
      <c r="E9015" s="10"/>
      <c r="F9015" s="10"/>
      <c r="J9015" s="25"/>
      <c r="K9015" s="25"/>
      <c r="L9015" s="25"/>
      <c r="M9015" s="25"/>
      <c r="N9015" s="25"/>
      <c r="O9015" s="25"/>
    </row>
    <row r="9016" customFormat="false" ht="15" hidden="false" customHeight="false" outlineLevel="0" collapsed="false">
      <c r="B9016" s="10"/>
      <c r="C9016" s="10"/>
      <c r="D9016" s="36" t="str">
        <f aca="false">Cab_Ville&amp;", le "&amp;DAY(Date_Courrier)&amp;IF(DAY(Date_Courrier)=1,"er","")&amp;" "&amp;INDEX(Liste_Mois,MONTH(Date_Courrier))&amp;" "&amp;YEAR(Date_Courrier)</f>
        <v>Le Plessis-Bouchard, le 22 septembre 2026</v>
      </c>
      <c r="E9016" s="36"/>
      <c r="F9016" s="36"/>
      <c r="J9016" s="25"/>
      <c r="K9016" s="25"/>
      <c r="L9016" s="25"/>
      <c r="M9016" s="25"/>
      <c r="N9016" s="25"/>
      <c r="O9016" s="25"/>
    </row>
    <row r="9017" customFormat="false" ht="19.5" hidden="false" customHeight="true" outlineLevel="0" collapsed="false">
      <c r="B9017" s="10"/>
      <c r="C9017" s="10"/>
      <c r="D9017" s="10"/>
      <c r="E9017" s="10"/>
      <c r="F9017" s="10"/>
      <c r="J9017" s="25"/>
      <c r="K9017" s="25"/>
      <c r="L9017" s="25"/>
      <c r="M9017" s="25"/>
      <c r="N9017" s="25"/>
      <c r="O9017" s="25"/>
    </row>
    <row r="9018" customFormat="false" ht="15" hidden="false" customHeight="false" outlineLevel="0" collapsed="false">
      <c r="B9018" s="34" t="str">
        <f aca="false">SUBSTITUTE(SUBSTITUTE(SUBSTITUTE(SUBSTITUTE(SUBSTITUTE(Txt_Objet,"{cabinet}",Cab_Nom),"{societe}",IF($K$9001=0,"",INDEX(Clients!$E$2:$E$501,$K$9001)&amp;"")),"{date_effet}",$K$9003),"{hausse}",$K$9004),"{civilite}",$K$9002)</f>
        <v>Objet : révision de nos honoraires au 1er janvier 2027</v>
      </c>
      <c r="C9018" s="34"/>
      <c r="D9018" s="34"/>
      <c r="E9018" s="34"/>
      <c r="F9018" s="34"/>
      <c r="J9018" s="25"/>
      <c r="K9018" s="25"/>
      <c r="L9018" s="25"/>
      <c r="M9018" s="25"/>
      <c r="N9018" s="25"/>
      <c r="O9018" s="25"/>
    </row>
    <row r="9019" customFormat="false" ht="13.5" hidden="false" customHeight="true" outlineLevel="0" collapsed="false">
      <c r="B9019" s="10"/>
      <c r="C9019" s="10"/>
      <c r="D9019" s="10"/>
      <c r="E9019" s="10"/>
      <c r="F9019" s="10"/>
      <c r="J9019" s="25"/>
      <c r="K9019" s="25"/>
      <c r="L9019" s="25"/>
      <c r="M9019" s="25"/>
      <c r="N9019" s="25"/>
      <c r="O9019" s="25"/>
    </row>
    <row r="9020" customFormat="false" ht="15" hidden="false" customHeight="false" outlineLevel="0" collapsed="false">
      <c r="B9020" s="10" t="str">
        <f aca="false">$K$9002&amp;","</f>
        <v>Madame, Monsieur,</v>
      </c>
      <c r="C9020" s="10"/>
      <c r="D9020" s="10"/>
      <c r="E9020" s="10"/>
      <c r="F9020" s="10"/>
      <c r="J9020" s="25"/>
      <c r="K9020" s="25"/>
      <c r="L9020" s="25"/>
      <c r="M9020" s="25"/>
      <c r="N9020" s="25"/>
      <c r="O9020" s="25"/>
    </row>
    <row r="9021" customFormat="false" ht="6" hidden="false" customHeight="true" outlineLevel="0" collapsed="false">
      <c r="B9021" s="10"/>
      <c r="C9021" s="10"/>
      <c r="D9021" s="10"/>
      <c r="E9021" s="10"/>
      <c r="F9021" s="10"/>
      <c r="J9021" s="25"/>
      <c r="K9021" s="25"/>
      <c r="L9021" s="25"/>
      <c r="M9021" s="25"/>
      <c r="N9021" s="25"/>
      <c r="O9021" s="25"/>
    </row>
    <row r="9022" customFormat="false" ht="36.75" hidden="false" customHeight="true" outlineLevel="0" collapsed="false">
      <c r="B9022" s="37" t="str">
        <f aca="false">SUBSTITUTE(SUBSTITUTE(SUBSTITUTE(SUBSTITUTE(SUBSTITUTE(Txt_P1,"{cabinet}",Cab_Nom),"{societe}",IF($K$9001=0,"",INDEX(Clients!$E$2:$E$501,$K$9001)&amp;"")),"{date_effet}",$K$9003),"{hausse}",$K$9004),"{civilite}",$K$9002)</f>
        <v>Nous tenons tout d'abord à vous remercier pour la confiance que vous accordez à ALTHO EXPERTISE. Comme chaque année, et conformément aux dispositions de votre lettre de mission, nous procédons à la révision de nos honoraires.</v>
      </c>
      <c r="C9022" s="37"/>
      <c r="D9022" s="37"/>
      <c r="E9022" s="37"/>
      <c r="F9022" s="37"/>
      <c r="J9022" s="25"/>
      <c r="K9022" s="25"/>
      <c r="L9022" s="25"/>
      <c r="M9022" s="25"/>
      <c r="N9022" s="25"/>
      <c r="O9022" s="25"/>
    </row>
    <row r="9023" customFormat="false" ht="49.5" hidden="false" customHeight="true" outlineLevel="0" collapsed="false">
      <c r="B9023" s="37" t="str">
        <f aca="false">SUBSTITUTE(SUBSTITUTE(SUBSTITUTE(SUBSTITUTE(SUBSTITUTE(Txt_P2,"{cabinet}",Cab_Nom),"{societe}",IF($K$9001=0,"",INDEX(Clients!$E$2:$E$501,$K$9001)&amp;"")),"{date_effet}",$K$9003),"{hausse}",$K$9004),"{civilite}",$K$9002)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023" s="37"/>
      <c r="D9023" s="37"/>
      <c r="E9023" s="37"/>
      <c r="F9023" s="37"/>
      <c r="J9023" s="25"/>
      <c r="K9023" s="25"/>
      <c r="L9023" s="25"/>
      <c r="M9023" s="25"/>
      <c r="N9023" s="25"/>
      <c r="O9023" s="25"/>
    </row>
    <row r="9024" customFormat="false" ht="63" hidden="false" customHeight="true" outlineLevel="0" collapsed="false">
      <c r="B9024" s="37" t="str">
        <f aca="false">SUBSTITUTE(SUBSTITUTE(SUBSTITUTE(SUBSTITUTE(SUBSTITUTE(Txt_P3,"{cabinet}",Cab_Nom),"{societe}",IF($K$9001=0,"",INDEX(Clients!$E$2:$E$501,$K$9001)&amp;"")),"{date_effet}",$K$9003),"{hausse}",$K$9004),"{civilite}",$K$9002)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024" s="37"/>
      <c r="D9024" s="37"/>
      <c r="E9024" s="37"/>
      <c r="F9024" s="37"/>
      <c r="J9024" s="25"/>
      <c r="K9024" s="25"/>
      <c r="L9024" s="25"/>
      <c r="M9024" s="25"/>
      <c r="N9024" s="25"/>
      <c r="O9024" s="25"/>
    </row>
    <row r="9025" customFormat="false" ht="24" hidden="false" customHeight="true" outlineLevel="0" collapsed="false">
      <c r="B9025" s="37" t="str">
        <f aca="false">SUBSTITUTE(SUBSTITUTE(SUBSTITUTE(SUBSTITUTE(SUBSTITUTE(Txt_P4,"{cabinet}",Cab_Nom),"{societe}",IF($K$9001=0,"",INDEX(Clients!$E$2:$E$501,$K$9001)&amp;"")),"{date_effet}",$K$9003),"{hausse}",$K$9004),"{civilite}",$K$9002)</f>
        <v>À compter du 1er janvier 2027, vos honoraires annuels hors taxes évolueront ainsi (évolution globale : ) :</v>
      </c>
      <c r="C9025" s="37"/>
      <c r="D9025" s="37"/>
      <c r="E9025" s="37"/>
      <c r="F9025" s="37"/>
      <c r="J9025" s="25"/>
      <c r="K9025" s="25"/>
      <c r="L9025" s="25"/>
      <c r="M9025" s="25"/>
      <c r="N9025" s="25"/>
      <c r="O9025" s="25"/>
    </row>
    <row r="9026" customFormat="false" ht="3.75" hidden="false" customHeight="true" outlineLevel="0" collapsed="false">
      <c r="B9026" s="10"/>
      <c r="C9026" s="10"/>
      <c r="D9026" s="10"/>
      <c r="E9026" s="10"/>
      <c r="F9026" s="10"/>
      <c r="J9026" s="25"/>
      <c r="K9026" s="25"/>
      <c r="L9026" s="25"/>
      <c r="M9026" s="25"/>
      <c r="N9026" s="25"/>
      <c r="O9026" s="25"/>
    </row>
    <row r="9027" customFormat="false" ht="18" hidden="false" customHeight="true" outlineLevel="0" collapsed="false">
      <c r="B9027" s="38" t="s">
        <v>148</v>
      </c>
      <c r="C9027" s="39" t="s">
        <v>149</v>
      </c>
      <c r="D9027" s="39" t="s">
        <v>150</v>
      </c>
      <c r="E9027" s="39" t="s">
        <v>151</v>
      </c>
      <c r="F9027" s="39" t="s">
        <v>109</v>
      </c>
      <c r="J9027" s="25" t="s">
        <v>152</v>
      </c>
      <c r="K9027" s="25" t="s">
        <v>153</v>
      </c>
      <c r="L9027" s="25" t="s">
        <v>154</v>
      </c>
      <c r="M9027" s="25" t="s">
        <v>155</v>
      </c>
      <c r="N9027" s="25" t="s">
        <v>156</v>
      </c>
      <c r="O9027" s="25" t="s">
        <v>157</v>
      </c>
    </row>
    <row r="9028" customFormat="false" ht="16.5" hidden="false" customHeight="true" outlineLevel="0" collapsed="false">
      <c r="B9028" s="40" t="str">
        <f aca="false">IFERROR(INDEX($J$9028:$J$9031,MATCH($O9028,$N$9028:$N$9031,0)),"")</f>
        <v/>
      </c>
      <c r="C9028" s="41" t="str">
        <f aca="false">IFERROR(INDEX($K$9028:$K$9031,MATCH($O9028,$N$9028:$N$9031,0)),"")</f>
        <v/>
      </c>
      <c r="D9028" s="42" t="str">
        <f aca="false">IF(OR(E9028="",N(C9028)=0),"",E9028/C9028-1)</f>
        <v/>
      </c>
      <c r="E9028" s="41" t="str">
        <f aca="false">IFERROR(INDEX($L$9028:$L$9031,MATCH($O9028,$N$9028:$N$9031,0)),"")</f>
        <v/>
      </c>
      <c r="F9028" s="41" t="str">
        <f aca="false">IF(E9028="","",E9028-C9028)</f>
        <v/>
      </c>
      <c r="J9028" s="25" t="str">
        <f aca="false">Lib_Compta</f>
        <v>Mission comptable (tenue, révision, bilan, liasse fiscale)</v>
      </c>
      <c r="K9028" s="25" t="n">
        <f aca="false">IF($K$9001=0,0,N(INDEX(Clients!$K$2:$K$501,$K$9001)))</f>
        <v>0</v>
      </c>
      <c r="L9028" s="25" t="n">
        <f aca="false">IF($K$9001=0,0,N(INDEX(Clients!$P$2:$P$501,$K$9001)))</f>
        <v>0</v>
      </c>
      <c r="M9028" s="25" t="n">
        <f aca="false">IF(OR(K9028&lt;&gt;0,L9028&lt;&gt;0),1,0)</f>
        <v>0</v>
      </c>
      <c r="N9028" s="25" t="str">
        <f aca="false">IF(M9028=1,SUM($M$9028:M9028),"")</f>
        <v/>
      </c>
      <c r="O9028" s="25" t="n">
        <v>1</v>
      </c>
    </row>
    <row r="9029" customFormat="false" ht="16.5" hidden="false" customHeight="true" outlineLevel="0" collapsed="false">
      <c r="B9029" s="40" t="str">
        <f aca="false">IFERROR(INDEX($J$9028:$J$9031,MATCH($O9029,$N$9028:$N$9031,0)),"")</f>
        <v/>
      </c>
      <c r="C9029" s="41" t="str">
        <f aca="false">IFERROR(INDEX($K$9028:$K$9031,MATCH($O9029,$N$9028:$N$9031,0)),"")</f>
        <v/>
      </c>
      <c r="D9029" s="42" t="str">
        <f aca="false">IF(OR(E9029="",N(C9029)=0),"",E9029/C9029-1)</f>
        <v/>
      </c>
      <c r="E9029" s="41" t="str">
        <f aca="false">IFERROR(INDEX($L$9028:$L$9031,MATCH($O9029,$N$9028:$N$9031,0)),"")</f>
        <v/>
      </c>
      <c r="F9029" s="41" t="str">
        <f aca="false">IF(E9029="","",E9029-C9029)</f>
        <v/>
      </c>
      <c r="J9029" s="25" t="str">
        <f aca="false">Lib_Paye</f>
        <v>Mission sociale (bulletins de paie, DSN, déclarations sociales)</v>
      </c>
      <c r="K9029" s="25" t="n">
        <f aca="false">IF($K$9001=0,0,N(INDEX(Clients!$L$2:$L$501,$K$9001)))</f>
        <v>0</v>
      </c>
      <c r="L9029" s="25" t="n">
        <f aca="false">IF($K$9001=0,0,N(INDEX(Clients!$Q$2:$Q$501,$K$9001)))</f>
        <v>0</v>
      </c>
      <c r="M9029" s="25" t="n">
        <f aca="false">IF(OR(K9029&lt;&gt;0,L9029&lt;&gt;0),1,0)</f>
        <v>0</v>
      </c>
      <c r="N9029" s="25" t="str">
        <f aca="false">IF(M9029=1,SUM($M$9028:M9029),"")</f>
        <v/>
      </c>
      <c r="O9029" s="25" t="n">
        <v>2</v>
      </c>
    </row>
    <row r="9030" customFormat="false" ht="16.5" hidden="false" customHeight="true" outlineLevel="0" collapsed="false">
      <c r="B9030" s="40" t="str">
        <f aca="false">IFERROR(INDEX($J$9028:$J$9031,MATCH($O9030,$N$9028:$N$9031,0)),"")</f>
        <v/>
      </c>
      <c r="C9030" s="41" t="str">
        <f aca="false">IFERROR(INDEX($K$9028:$K$9031,MATCH($O9030,$N$9028:$N$9031,0)),"")</f>
        <v/>
      </c>
      <c r="D9030" s="42" t="str">
        <f aca="false">IF(OR(E9030="",N(C9030)=0),"",E9030/C9030-1)</f>
        <v/>
      </c>
      <c r="E9030" s="41" t="str">
        <f aca="false">IFERROR(INDEX($L$9028:$L$9031,MATCH($O9030,$N$9028:$N$9031,0)),"")</f>
        <v/>
      </c>
      <c r="F9030" s="41" t="str">
        <f aca="false">IF(E9030="","",E9030-C9030)</f>
        <v/>
      </c>
      <c r="J9030" s="25" t="str">
        <f aca="false">Lib_Jur</f>
        <v>Mission juridique (approbation des comptes, secrétariat juridique)</v>
      </c>
      <c r="K9030" s="25" t="n">
        <f aca="false">IF($K$9001=0,0,N(INDEX(Clients!$M$2:$M$501,$K$9001)))</f>
        <v>0</v>
      </c>
      <c r="L9030" s="25" t="n">
        <f aca="false">IF($K$9001=0,0,N(INDEX(Clients!$R$2:$R$501,$K$9001)))</f>
        <v>0</v>
      </c>
      <c r="M9030" s="25" t="n">
        <f aca="false">IF(OR(K9030&lt;&gt;0,L9030&lt;&gt;0),1,0)</f>
        <v>0</v>
      </c>
      <c r="N9030" s="25" t="str">
        <f aca="false">IF(M9030=1,SUM($M$9028:M9030),"")</f>
        <v/>
      </c>
      <c r="O9030" s="25" t="n">
        <v>3</v>
      </c>
    </row>
    <row r="9031" customFormat="false" ht="16.5" hidden="false" customHeight="true" outlineLevel="0" collapsed="false">
      <c r="B9031" s="40" t="str">
        <f aca="false">IFERROR(INDEX($J$9028:$J$9031,MATCH($O9031,$N$9028:$N$9031,0)),"")</f>
        <v/>
      </c>
      <c r="C9031" s="41" t="str">
        <f aca="false">IFERROR(INDEX($K$9028:$K$9031,MATCH($O9031,$N$9028:$N$9031,0)),"")</f>
        <v/>
      </c>
      <c r="D9031" s="42" t="str">
        <f aca="false">IF(OR(E9031="",N(C9031)=0),"",E9031/C9031-1)</f>
        <v/>
      </c>
      <c r="E9031" s="41" t="str">
        <f aca="false">IFERROR(INDEX($L$9028:$L$9031,MATCH($O9031,$N$9028:$N$9031,0)),"")</f>
        <v/>
      </c>
      <c r="F9031" s="41" t="str">
        <f aca="false">IF(E9031="","",E9031-C9031)</f>
        <v/>
      </c>
      <c r="J9031" s="25" t="str">
        <f aca="false">Lib_PA</f>
        <v>Plateforme agréée – facturation électronique</v>
      </c>
      <c r="K9031" s="25" t="n">
        <f aca="false">IF($K$9001=0,0,N(INDEX(Clients!$N$2:$N$501,$K$9001)))</f>
        <v>0</v>
      </c>
      <c r="L9031" s="25" t="n">
        <f aca="false">IF($K$9001=0,0,N(INDEX(Clients!$S$2:$S$501,$K$9001)))</f>
        <v>0</v>
      </c>
      <c r="M9031" s="25" t="n">
        <f aca="false">IF(OR(K9031&lt;&gt;0,L9031&lt;&gt;0),1,0)</f>
        <v>0</v>
      </c>
      <c r="N9031" s="25" t="str">
        <f aca="false">IF(M9031=1,SUM($M$9028:M9031),"")</f>
        <v/>
      </c>
      <c r="O9031" s="25" t="n">
        <v>4</v>
      </c>
    </row>
    <row r="9032" customFormat="false" ht="18" hidden="false" customHeight="true" outlineLevel="0" collapsed="false">
      <c r="B9032" s="43" t="s">
        <v>158</v>
      </c>
      <c r="C9032" s="44" t="n">
        <f aca="false">SUM(K9028:K9031)</f>
        <v>0</v>
      </c>
      <c r="D9032" s="45" t="str">
        <f aca="false">IF(N(C9032)=0,"",E9032/C9032-1)</f>
        <v/>
      </c>
      <c r="E9032" s="44" t="n">
        <f aca="false">SUM(L9028:L9031)</f>
        <v>0</v>
      </c>
      <c r="F9032" s="44" t="n">
        <f aca="false">E9032-C9032</f>
        <v>0</v>
      </c>
    </row>
    <row r="9033" customFormat="false" ht="15" hidden="false" customHeight="false" outlineLevel="0" collapsed="false">
      <c r="B9033" s="46" t="str">
        <f aca="false">IF(N(Nb_Mensualites)=0,"","Soit "&amp;FIXED(E9032/Nb_Mensualites,2)&amp;" € HT par échéance ("&amp;Nb_Mensualites&amp;" échéances), "&amp;FIXED(E9032/Nb_Mensualites*(1+Taux_TVA),2)&amp;" € TTC.")</f>
        <v>Soit 0.00 € HT par échéance (12 échéances), 0.00 € TTC.</v>
      </c>
      <c r="C9033" s="46"/>
      <c r="D9033" s="46"/>
      <c r="E9033" s="46"/>
      <c r="F9033" s="46"/>
    </row>
    <row r="9034" customFormat="false" ht="7.5" hidden="false" customHeight="true" outlineLevel="0" collapsed="false">
      <c r="B9034" s="10"/>
      <c r="C9034" s="10"/>
      <c r="D9034" s="10"/>
      <c r="E9034" s="10"/>
      <c r="F9034" s="10"/>
    </row>
    <row r="9035" customFormat="false" ht="36.75" hidden="false" customHeight="true" outlineLevel="0" collapsed="false">
      <c r="B9035" s="37" t="str">
        <f aca="false">SUBSTITUTE(SUBSTITUTE(SUBSTITUTE(SUBSTITUTE(SUBSTITUTE(Txt_P5,"{cabinet}",Cab_Nom),"{societe}",IF($K$9001=0,"",INDEX(Clients!$E$2:$E$501,$K$9001)&amp;"")),"{date_effet}",$K$9003),"{hausse}",$K$9004),"{civilite}",$K$9002)</f>
        <v>Les autres conditions de votre lettre de mission demeurent inchangées. Les nouveaux montants seront appliqués automatiquement sur vos prochaines factures et échéances de prélèvement.</v>
      </c>
      <c r="C9035" s="37"/>
      <c r="D9035" s="37"/>
      <c r="E9035" s="37"/>
      <c r="F9035" s="37"/>
    </row>
    <row r="9036" customFormat="false" ht="36.75" hidden="false" customHeight="true" outlineLevel="0" collapsed="false">
      <c r="B9036" s="37" t="str">
        <f aca="false">SUBSTITUTE(SUBSTITUTE(SUBSTITUTE(SUBSTITUTE(SUBSTITUTE(Txt_P6,"{cabinet}",Cab_Nom),"{societe}",IF($K$9001=0,"",INDEX(Clients!$E$2:$E$501,$K$9001)&amp;"")),"{date_effet}",$K$9003),"{hausse}",$K$9004),"{civilite}",$K$9002)</f>
        <v>Votre interlocuteur habituel reste à votre entière disposition pour répondre à vos questions et faire le point sur l'évolution de vos besoins.</v>
      </c>
      <c r="C9036" s="37"/>
      <c r="D9036" s="37"/>
      <c r="E9036" s="37"/>
      <c r="F9036" s="37"/>
    </row>
    <row r="9037" customFormat="false" ht="24" hidden="false" customHeight="true" outlineLevel="0" collapsed="false">
      <c r="B9037" s="37" t="str">
        <f aca="false">SUBSTITUTE(SUBSTITUTE(SUBSTITUTE(SUBSTITUTE(SUBSTITUTE(Txt_Politesse,"{cabinet}",Cab_Nom),"{societe}",IF($K$9001=0,"",INDEX(Clients!$E$2:$E$501,$K$9001)&amp;"")),"{date_effet}",$K$9003),"{hausse}",$K$9004),"{civilite}",$K$9002)</f>
        <v>Nous vous prions d'agréer, Madame, Monsieur, l'expression de nos salutations distinguées.</v>
      </c>
      <c r="C9037" s="37"/>
      <c r="D9037" s="37"/>
      <c r="E9037" s="37"/>
      <c r="F9037" s="37"/>
    </row>
    <row r="9038" customFormat="false" ht="15" hidden="false" customHeight="false" outlineLevel="0" collapsed="false">
      <c r="B9038" s="10"/>
      <c r="C9038" s="10"/>
      <c r="D9038" s="10"/>
      <c r="E9038" s="10"/>
      <c r="F9038" s="10"/>
    </row>
    <row r="9039" customFormat="false" ht="15" hidden="false" customHeight="false" outlineLevel="0" collapsed="false">
      <c r="B9039" s="10"/>
      <c r="C9039" s="10"/>
      <c r="D9039" s="34" t="str">
        <f aca="false">Signataire</f>
        <v>Prénom NOM</v>
      </c>
      <c r="E9039" s="34"/>
      <c r="F9039" s="34"/>
    </row>
    <row r="9040" customFormat="false" ht="15" hidden="false" customHeight="false" outlineLevel="0" collapsed="false">
      <c r="B9040" s="10"/>
      <c r="C9040" s="10"/>
      <c r="D9040" s="47" t="str">
        <f aca="false">Signataire_Titre</f>
        <v>Expert-comptable associé</v>
      </c>
      <c r="E9040" s="47"/>
      <c r="F9040" s="47"/>
    </row>
    <row r="9041" customFormat="false" ht="15.75" hidden="false" customHeight="true" outlineLevel="0" collapsed="false">
      <c r="B9041" s="10"/>
      <c r="C9041" s="10"/>
      <c r="D9041" s="10"/>
      <c r="E9041" s="10"/>
      <c r="F9041" s="10"/>
    </row>
    <row r="9042" customFormat="false" ht="15.75" hidden="false" customHeight="true" outlineLevel="0" collapsed="false">
      <c r="B9042" s="10"/>
      <c r="C9042" s="10"/>
      <c r="D9042" s="10"/>
      <c r="E9042" s="10"/>
      <c r="F9042" s="10"/>
    </row>
    <row r="9043" customFormat="false" ht="15.75" hidden="false" customHeight="true" outlineLevel="0" collapsed="false">
      <c r="B9043" s="10"/>
      <c r="C9043" s="10"/>
      <c r="D9043" s="10"/>
      <c r="E9043" s="10"/>
      <c r="F9043" s="10"/>
    </row>
    <row r="9044" customFormat="false" ht="15.75" hidden="false" customHeight="true" outlineLevel="0" collapsed="false">
      <c r="B9044" s="10"/>
      <c r="C9044" s="10"/>
      <c r="D9044" s="10"/>
      <c r="E9044" s="10"/>
      <c r="F9044" s="10"/>
    </row>
    <row r="9045" customFormat="false" ht="24" hidden="false" customHeight="true" outlineLevel="0" collapsed="false">
      <c r="B9045" s="48" t="str">
        <f aca="false">Cab_Mentions</f>
        <v>ALTHO EXPERTISE · SAS au capital de 10 000 € · RCS Pontoise 919 706 325 · TVA FR62919706325 · Société d'expertise comptable inscrite au Tableau de l'Ordre des experts-comptables de Paris Île-de-France</v>
      </c>
      <c r="C9045" s="48"/>
      <c r="D9045" s="48"/>
      <c r="E9045" s="48"/>
      <c r="F9045" s="48"/>
    </row>
    <row r="9046" customFormat="false" ht="15" hidden="false" customHeight="false" outlineLevel="0" collapsed="false">
      <c r="B9046" s="10"/>
      <c r="C9046" s="10"/>
      <c r="D9046" s="10"/>
      <c r="E9046" s="10"/>
      <c r="F9046" s="10"/>
      <c r="J9046" s="25" t="s">
        <v>142</v>
      </c>
      <c r="K9046" s="25" t="n">
        <f aca="false">IFERROR(MATCH(202,Clients!$Z$2:$Z$501,0),0)</f>
        <v>0</v>
      </c>
      <c r="L9046" s="25"/>
      <c r="M9046" s="25"/>
      <c r="N9046" s="25"/>
      <c r="O9046" s="25"/>
    </row>
    <row r="9047" customFormat="false" ht="21.75" hidden="false" customHeight="true" outlineLevel="0" collapsed="false">
      <c r="B9047" s="26" t="str">
        <f aca="false">Cab_Nom</f>
        <v>ALTHO EXPERTISE</v>
      </c>
      <c r="C9047" s="26"/>
      <c r="D9047" s="10"/>
      <c r="E9047" s="27" t="str">
        <f aca="false">IF($K$9046=0,"","Réf. client : "&amp;INDEX(Clients!$A$2:$A$501,$K$9046))</f>
        <v/>
      </c>
      <c r="F9047" s="27"/>
      <c r="J9047" s="25" t="s">
        <v>144</v>
      </c>
      <c r="K9047" s="25" t="str">
        <f aca="false">IF(IF($K$9046=0,"",INDEX(Clients!$B$2:$B$501,$K$9046)&amp;"")="Mme","Madame",IF(IF($K$9046=0,"",INDEX(Clients!$B$2:$B$501,$K$9046)&amp;"")="M.","Monsieur","Madame, Monsieur"))</f>
        <v>Madame, Monsieur</v>
      </c>
      <c r="L9047" s="25"/>
      <c r="M9047" s="25"/>
      <c r="N9047" s="25"/>
      <c r="O9047" s="25"/>
    </row>
    <row r="9048" customFormat="false" ht="15" hidden="false" customHeight="false" outlineLevel="0" collapsed="false">
      <c r="B9048" s="29" t="str">
        <f aca="false">Cab_Adr1</f>
        <v>141 rue Charles de Gaulle</v>
      </c>
      <c r="C9048" s="29"/>
      <c r="D9048" s="10"/>
      <c r="E9048" s="10"/>
      <c r="F9048" s="10"/>
      <c r="J9048" s="25" t="s">
        <v>145</v>
      </c>
      <c r="K9048" s="25" t="str">
        <f aca="false">DAY(Date_Effet)&amp;IF(DAY(Date_Effet)=1,"er","")&amp;" "&amp;INDEX(Liste_Mois,MONTH(Date_Effet))&amp;" "&amp;YEAR(Date_Effet)</f>
        <v>1er janvier 2027</v>
      </c>
      <c r="L9048" s="25"/>
      <c r="M9048" s="25"/>
      <c r="N9048" s="25"/>
      <c r="O9048" s="25"/>
    </row>
    <row r="9049" customFormat="false" ht="15" hidden="false" customHeight="false" outlineLevel="0" collapsed="false">
      <c r="B9049" s="29" t="str">
        <f aca="false">Cab_CPVille</f>
        <v>95130 LE PLESSIS-BOUCHARD</v>
      </c>
      <c r="C9049" s="29"/>
      <c r="D9049" s="10"/>
      <c r="E9049" s="10"/>
      <c r="F9049" s="10"/>
      <c r="J9049" s="25" t="s">
        <v>146</v>
      </c>
      <c r="K9049" s="25" t="str">
        <f aca="false">IF(SUM($K$9073:$K$9076)=0,"",FIXED((SUM($L$9073:$L$9076)/SUM($K$9073:$K$9076)-1)*100,1)&amp;" %")</f>
        <v/>
      </c>
      <c r="L9049" s="25"/>
      <c r="M9049" s="25"/>
      <c r="N9049" s="25"/>
      <c r="O9049" s="25"/>
    </row>
    <row r="9050" customFormat="false" ht="15" hidden="false" customHeight="false" outlineLevel="0" collapsed="false">
      <c r="B9050" s="29" t="str">
        <f aca="false">Cab_Contact</f>
        <v>Tél. 01 34 14 53 45  ·  altho@altho-experts.com  ·  altho-experts.com</v>
      </c>
      <c r="C9050" s="29"/>
      <c r="D9050" s="10"/>
      <c r="E9050" s="10"/>
      <c r="F9050" s="10"/>
      <c r="J9050" s="25"/>
      <c r="K9050" s="25"/>
      <c r="L9050" s="25"/>
      <c r="M9050" s="25"/>
      <c r="N9050" s="25"/>
      <c r="O9050" s="25"/>
    </row>
    <row r="9051" customFormat="false" ht="6" hidden="false" customHeight="true" outlineLevel="0" collapsed="false">
      <c r="B9051" s="32"/>
      <c r="C9051" s="32"/>
      <c r="D9051" s="32"/>
      <c r="E9051" s="32"/>
      <c r="F9051" s="32"/>
      <c r="J9051" s="25"/>
      <c r="K9051" s="25"/>
      <c r="L9051" s="25"/>
      <c r="M9051" s="25"/>
      <c r="N9051" s="25"/>
      <c r="O9051" s="25"/>
    </row>
    <row r="9052" customFormat="false" ht="13.5" hidden="false" customHeight="true" outlineLevel="0" collapsed="false">
      <c r="B9052" s="10"/>
      <c r="C9052" s="10"/>
      <c r="D9052" s="10"/>
      <c r="E9052" s="10"/>
      <c r="F9052" s="10"/>
      <c r="J9052" s="25"/>
      <c r="K9052" s="25"/>
      <c r="L9052" s="25"/>
      <c r="M9052" s="25"/>
      <c r="N9052" s="25"/>
      <c r="O9052" s="25"/>
    </row>
    <row r="9053" customFormat="false" ht="13.5" hidden="false" customHeight="true" outlineLevel="0" collapsed="false">
      <c r="B9053" s="10"/>
      <c r="C9053" s="10"/>
      <c r="D9053" s="10"/>
      <c r="E9053" s="10"/>
      <c r="F9053" s="10"/>
      <c r="J9053" s="25"/>
      <c r="K9053" s="25"/>
      <c r="L9053" s="25"/>
      <c r="M9053" s="25"/>
      <c r="N9053" s="25"/>
      <c r="O9053" s="25"/>
    </row>
    <row r="9054" customFormat="false" ht="13.5" hidden="false" customHeight="true" outlineLevel="0" collapsed="false">
      <c r="B9054" s="10"/>
      <c r="C9054" s="10"/>
      <c r="D9054" s="10"/>
      <c r="E9054" s="10"/>
      <c r="F9054" s="10"/>
      <c r="J9054" s="25"/>
      <c r="K9054" s="25"/>
      <c r="L9054" s="25"/>
      <c r="M9054" s="25"/>
      <c r="N9054" s="25"/>
      <c r="O9054" s="25"/>
    </row>
    <row r="9055" customFormat="false" ht="15" hidden="false" customHeight="true" outlineLevel="0" collapsed="false">
      <c r="B9055" s="10"/>
      <c r="C9055" s="10"/>
      <c r="D9055" s="34" t="str">
        <f aca="false">IF($K$9046=0,"",INDEX(Clients!$E$2:$E$501,$K$9046)&amp;"")</f>
        <v/>
      </c>
      <c r="E9055" s="34"/>
      <c r="F9055" s="34"/>
      <c r="J9055" s="25"/>
      <c r="K9055" s="25"/>
      <c r="L9055" s="25"/>
      <c r="M9055" s="25"/>
      <c r="N9055" s="25"/>
      <c r="O9055" s="25"/>
    </row>
    <row r="9056" customFormat="false" ht="15" hidden="false" customHeight="true" outlineLevel="0" collapsed="false">
      <c r="B9056" s="10"/>
      <c r="C9056" s="10"/>
      <c r="D9056" s="35" t="str">
        <f aca="false">IF(IF($K$9046=0,"",INDEX(Clients!$D$2:$D$501,$K$9046)&amp;"")="","","À l'attention de "&amp;TRIM(IF($K$9046=0,"",INDEX(Clients!$B$2:$B$501,$K$9046)&amp;"")&amp;" "&amp;IF($K$9046=0,"",INDEX(Clients!$C$2:$C$501,$K$9046)&amp;"")&amp;" "&amp;IF($K$9046=0,"",INDEX(Clients!$D$2:$D$501,$K$9046)&amp;"")))</f>
        <v/>
      </c>
      <c r="E9056" s="35"/>
      <c r="F9056" s="35"/>
      <c r="J9056" s="25"/>
      <c r="K9056" s="25"/>
      <c r="L9056" s="25"/>
      <c r="M9056" s="25"/>
      <c r="N9056" s="25"/>
      <c r="O9056" s="25"/>
    </row>
    <row r="9057" customFormat="false" ht="15" hidden="false" customHeight="true" outlineLevel="0" collapsed="false">
      <c r="B9057" s="10"/>
      <c r="C9057" s="10"/>
      <c r="D9057" s="35" t="str">
        <f aca="false">IF($K$9046=0,"",INDEX(Clients!$F$2:$F$501,$K$9046)&amp;"")</f>
        <v/>
      </c>
      <c r="E9057" s="35"/>
      <c r="F9057" s="35"/>
      <c r="J9057" s="25"/>
      <c r="K9057" s="25"/>
      <c r="L9057" s="25"/>
      <c r="M9057" s="25"/>
      <c r="N9057" s="25"/>
      <c r="O9057" s="25"/>
    </row>
    <row r="9058" customFormat="false" ht="15" hidden="false" customHeight="true" outlineLevel="0" collapsed="false">
      <c r="B9058" s="10"/>
      <c r="C9058" s="10"/>
      <c r="D9058" s="35" t="str">
        <f aca="false">IF(IF($K$9046=0,"",INDEX(Clients!$G$2:$G$501,$K$9046)&amp;"")="",TRIM(IF($K$9046=0,"",INDEX(Clients!$H$2:$H$501,$K$9046)&amp;"")&amp;" "&amp;UPPER(IF($K$9046=0,"",INDEX(Clients!$I$2:$I$501,$K$9046)&amp;""))),IF($K$9046=0,"",INDEX(Clients!$G$2:$G$501,$K$9046)&amp;""))</f>
        <v/>
      </c>
      <c r="E9058" s="35"/>
      <c r="F9058" s="35"/>
      <c r="J9058" s="25"/>
      <c r="K9058" s="25"/>
      <c r="L9058" s="25"/>
      <c r="M9058" s="25"/>
      <c r="N9058" s="25"/>
      <c r="O9058" s="25"/>
    </row>
    <row r="9059" customFormat="false" ht="15" hidden="false" customHeight="true" outlineLevel="0" collapsed="false">
      <c r="B9059" s="10"/>
      <c r="C9059" s="10"/>
      <c r="D9059" s="35" t="str">
        <f aca="false">IF(IF($K$9046=0,"",INDEX(Clients!$G$2:$G$501,$K$9046)&amp;"")="","",TRIM(IF($K$9046=0,"",INDEX(Clients!$H$2:$H$501,$K$9046)&amp;"")&amp;" "&amp;UPPER(IF($K$9046=0,"",INDEX(Clients!$I$2:$I$501,$K$9046)&amp;""))))</f>
        <v/>
      </c>
      <c r="E9059" s="35"/>
      <c r="F9059" s="35"/>
      <c r="J9059" s="25"/>
      <c r="K9059" s="25"/>
      <c r="L9059" s="25"/>
      <c r="M9059" s="25"/>
      <c r="N9059" s="25"/>
      <c r="O9059" s="25"/>
    </row>
    <row r="9060" customFormat="false" ht="25.5" hidden="false" customHeight="true" outlineLevel="0" collapsed="false">
      <c r="B9060" s="10"/>
      <c r="C9060" s="10"/>
      <c r="D9060" s="10"/>
      <c r="E9060" s="10"/>
      <c r="F9060" s="10"/>
      <c r="J9060" s="25"/>
      <c r="K9060" s="25"/>
      <c r="L9060" s="25"/>
      <c r="M9060" s="25"/>
      <c r="N9060" s="25"/>
      <c r="O9060" s="25"/>
    </row>
    <row r="9061" customFormat="false" ht="15" hidden="false" customHeight="false" outlineLevel="0" collapsed="false">
      <c r="B9061" s="10"/>
      <c r="C9061" s="10"/>
      <c r="D9061" s="36" t="str">
        <f aca="false">Cab_Ville&amp;", le "&amp;DAY(Date_Courrier)&amp;IF(DAY(Date_Courrier)=1,"er","")&amp;" "&amp;INDEX(Liste_Mois,MONTH(Date_Courrier))&amp;" "&amp;YEAR(Date_Courrier)</f>
        <v>Le Plessis-Bouchard, le 22 septembre 2026</v>
      </c>
      <c r="E9061" s="36"/>
      <c r="F9061" s="36"/>
      <c r="J9061" s="25"/>
      <c r="K9061" s="25"/>
      <c r="L9061" s="25"/>
      <c r="M9061" s="25"/>
      <c r="N9061" s="25"/>
      <c r="O9061" s="25"/>
    </row>
    <row r="9062" customFormat="false" ht="19.5" hidden="false" customHeight="true" outlineLevel="0" collapsed="false">
      <c r="B9062" s="10"/>
      <c r="C9062" s="10"/>
      <c r="D9062" s="10"/>
      <c r="E9062" s="10"/>
      <c r="F9062" s="10"/>
      <c r="J9062" s="25"/>
      <c r="K9062" s="25"/>
      <c r="L9062" s="25"/>
      <c r="M9062" s="25"/>
      <c r="N9062" s="25"/>
      <c r="O9062" s="25"/>
    </row>
    <row r="9063" customFormat="false" ht="15" hidden="false" customHeight="false" outlineLevel="0" collapsed="false">
      <c r="B9063" s="34" t="str">
        <f aca="false">SUBSTITUTE(SUBSTITUTE(SUBSTITUTE(SUBSTITUTE(SUBSTITUTE(Txt_Objet,"{cabinet}",Cab_Nom),"{societe}",IF($K$9046=0,"",INDEX(Clients!$E$2:$E$501,$K$9046)&amp;"")),"{date_effet}",$K$9048),"{hausse}",$K$9049),"{civilite}",$K$9047)</f>
        <v>Objet : révision de nos honoraires au 1er janvier 2027</v>
      </c>
      <c r="C9063" s="34"/>
      <c r="D9063" s="34"/>
      <c r="E9063" s="34"/>
      <c r="F9063" s="34"/>
      <c r="J9063" s="25"/>
      <c r="K9063" s="25"/>
      <c r="L9063" s="25"/>
      <c r="M9063" s="25"/>
      <c r="N9063" s="25"/>
      <c r="O9063" s="25"/>
    </row>
    <row r="9064" customFormat="false" ht="13.5" hidden="false" customHeight="true" outlineLevel="0" collapsed="false">
      <c r="B9064" s="10"/>
      <c r="C9064" s="10"/>
      <c r="D9064" s="10"/>
      <c r="E9064" s="10"/>
      <c r="F9064" s="10"/>
      <c r="J9064" s="25"/>
      <c r="K9064" s="25"/>
      <c r="L9064" s="25"/>
      <c r="M9064" s="25"/>
      <c r="N9064" s="25"/>
      <c r="O9064" s="25"/>
    </row>
    <row r="9065" customFormat="false" ht="15" hidden="false" customHeight="false" outlineLevel="0" collapsed="false">
      <c r="B9065" s="10" t="str">
        <f aca="false">$K$9047&amp;","</f>
        <v>Madame, Monsieur,</v>
      </c>
      <c r="C9065" s="10"/>
      <c r="D9065" s="10"/>
      <c r="E9065" s="10"/>
      <c r="F9065" s="10"/>
      <c r="J9065" s="25"/>
      <c r="K9065" s="25"/>
      <c r="L9065" s="25"/>
      <c r="M9065" s="25"/>
      <c r="N9065" s="25"/>
      <c r="O9065" s="25"/>
    </row>
    <row r="9066" customFormat="false" ht="6" hidden="false" customHeight="true" outlineLevel="0" collapsed="false">
      <c r="B9066" s="10"/>
      <c r="C9066" s="10"/>
      <c r="D9066" s="10"/>
      <c r="E9066" s="10"/>
      <c r="F9066" s="10"/>
      <c r="J9066" s="25"/>
      <c r="K9066" s="25"/>
      <c r="L9066" s="25"/>
      <c r="M9066" s="25"/>
      <c r="N9066" s="25"/>
      <c r="O9066" s="25"/>
    </row>
    <row r="9067" customFormat="false" ht="36.75" hidden="false" customHeight="true" outlineLevel="0" collapsed="false">
      <c r="B9067" s="37" t="str">
        <f aca="false">SUBSTITUTE(SUBSTITUTE(SUBSTITUTE(SUBSTITUTE(SUBSTITUTE(Txt_P1,"{cabinet}",Cab_Nom),"{societe}",IF($K$9046=0,"",INDEX(Clients!$E$2:$E$501,$K$9046)&amp;"")),"{date_effet}",$K$9048),"{hausse}",$K$9049),"{civilite}",$K$9047)</f>
        <v>Nous tenons tout d'abord à vous remercier pour la confiance que vous accordez à ALTHO EXPERTISE. Comme chaque année, et conformément aux dispositions de votre lettre de mission, nous procédons à la révision de nos honoraires.</v>
      </c>
      <c r="C9067" s="37"/>
      <c r="D9067" s="37"/>
      <c r="E9067" s="37"/>
      <c r="F9067" s="37"/>
      <c r="J9067" s="25"/>
      <c r="K9067" s="25"/>
      <c r="L9067" s="25"/>
      <c r="M9067" s="25"/>
      <c r="N9067" s="25"/>
      <c r="O9067" s="25"/>
    </row>
    <row r="9068" customFormat="false" ht="49.5" hidden="false" customHeight="true" outlineLevel="0" collapsed="false">
      <c r="B9068" s="37" t="str">
        <f aca="false">SUBSTITUTE(SUBSTITUTE(SUBSTITUTE(SUBSTITUTE(SUBSTITUTE(Txt_P2,"{cabinet}",Cab_Nom),"{societe}",IF($K$9046=0,"",INDEX(Clients!$E$2:$E$501,$K$9046)&amp;"")),"{date_effet}",$K$9048),"{hausse}",$K$9049),"{civilite}",$K$9047)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068" s="37"/>
      <c r="D9068" s="37"/>
      <c r="E9068" s="37"/>
      <c r="F9068" s="37"/>
      <c r="J9068" s="25"/>
      <c r="K9068" s="25"/>
      <c r="L9068" s="25"/>
      <c r="M9068" s="25"/>
      <c r="N9068" s="25"/>
      <c r="O9068" s="25"/>
    </row>
    <row r="9069" customFormat="false" ht="63" hidden="false" customHeight="true" outlineLevel="0" collapsed="false">
      <c r="B9069" s="37" t="str">
        <f aca="false">SUBSTITUTE(SUBSTITUTE(SUBSTITUTE(SUBSTITUTE(SUBSTITUTE(Txt_P3,"{cabinet}",Cab_Nom),"{societe}",IF($K$9046=0,"",INDEX(Clients!$E$2:$E$501,$K$9046)&amp;"")),"{date_effet}",$K$9048),"{hausse}",$K$9049),"{civilite}",$K$9047)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069" s="37"/>
      <c r="D9069" s="37"/>
      <c r="E9069" s="37"/>
      <c r="F9069" s="37"/>
      <c r="J9069" s="25"/>
      <c r="K9069" s="25"/>
      <c r="L9069" s="25"/>
      <c r="M9069" s="25"/>
      <c r="N9069" s="25"/>
      <c r="O9069" s="25"/>
    </row>
    <row r="9070" customFormat="false" ht="24" hidden="false" customHeight="true" outlineLevel="0" collapsed="false">
      <c r="B9070" s="37" t="str">
        <f aca="false">SUBSTITUTE(SUBSTITUTE(SUBSTITUTE(SUBSTITUTE(SUBSTITUTE(Txt_P4,"{cabinet}",Cab_Nom),"{societe}",IF($K$9046=0,"",INDEX(Clients!$E$2:$E$501,$K$9046)&amp;"")),"{date_effet}",$K$9048),"{hausse}",$K$9049),"{civilite}",$K$9047)</f>
        <v>À compter du 1er janvier 2027, vos honoraires annuels hors taxes évolueront ainsi (évolution globale : ) :</v>
      </c>
      <c r="C9070" s="37"/>
      <c r="D9070" s="37"/>
      <c r="E9070" s="37"/>
      <c r="F9070" s="37"/>
      <c r="J9070" s="25"/>
      <c r="K9070" s="25"/>
      <c r="L9070" s="25"/>
      <c r="M9070" s="25"/>
      <c r="N9070" s="25"/>
      <c r="O9070" s="25"/>
    </row>
    <row r="9071" customFormat="false" ht="3.75" hidden="false" customHeight="true" outlineLevel="0" collapsed="false">
      <c r="B9071" s="10"/>
      <c r="C9071" s="10"/>
      <c r="D9071" s="10"/>
      <c r="E9071" s="10"/>
      <c r="F9071" s="10"/>
      <c r="J9071" s="25"/>
      <c r="K9071" s="25"/>
      <c r="L9071" s="25"/>
      <c r="M9071" s="25"/>
      <c r="N9071" s="25"/>
      <c r="O9071" s="25"/>
    </row>
    <row r="9072" customFormat="false" ht="18" hidden="false" customHeight="true" outlineLevel="0" collapsed="false">
      <c r="B9072" s="38" t="s">
        <v>148</v>
      </c>
      <c r="C9072" s="39" t="s">
        <v>149</v>
      </c>
      <c r="D9072" s="39" t="s">
        <v>150</v>
      </c>
      <c r="E9072" s="39" t="s">
        <v>151</v>
      </c>
      <c r="F9072" s="39" t="s">
        <v>109</v>
      </c>
      <c r="J9072" s="25" t="s">
        <v>152</v>
      </c>
      <c r="K9072" s="25" t="s">
        <v>153</v>
      </c>
      <c r="L9072" s="25" t="s">
        <v>154</v>
      </c>
      <c r="M9072" s="25" t="s">
        <v>155</v>
      </c>
      <c r="N9072" s="25" t="s">
        <v>156</v>
      </c>
      <c r="O9072" s="25" t="s">
        <v>157</v>
      </c>
    </row>
    <row r="9073" customFormat="false" ht="16.5" hidden="false" customHeight="true" outlineLevel="0" collapsed="false">
      <c r="B9073" s="40" t="str">
        <f aca="false">IFERROR(INDEX($J$9073:$J$9076,MATCH($O9073,$N$9073:$N$9076,0)),"")</f>
        <v/>
      </c>
      <c r="C9073" s="41" t="str">
        <f aca="false">IFERROR(INDEX($K$9073:$K$9076,MATCH($O9073,$N$9073:$N$9076,0)),"")</f>
        <v/>
      </c>
      <c r="D9073" s="42" t="str">
        <f aca="false">IF(OR(E9073="",N(C9073)=0),"",E9073/C9073-1)</f>
        <v/>
      </c>
      <c r="E9073" s="41" t="str">
        <f aca="false">IFERROR(INDEX($L$9073:$L$9076,MATCH($O9073,$N$9073:$N$9076,0)),"")</f>
        <v/>
      </c>
      <c r="F9073" s="41" t="str">
        <f aca="false">IF(E9073="","",E9073-C9073)</f>
        <v/>
      </c>
      <c r="J9073" s="25" t="str">
        <f aca="false">Lib_Compta</f>
        <v>Mission comptable (tenue, révision, bilan, liasse fiscale)</v>
      </c>
      <c r="K9073" s="25" t="n">
        <f aca="false">IF($K$9046=0,0,N(INDEX(Clients!$K$2:$K$501,$K$9046)))</f>
        <v>0</v>
      </c>
      <c r="L9073" s="25" t="n">
        <f aca="false">IF($K$9046=0,0,N(INDEX(Clients!$P$2:$P$501,$K$9046)))</f>
        <v>0</v>
      </c>
      <c r="M9073" s="25" t="n">
        <f aca="false">IF(OR(K9073&lt;&gt;0,L9073&lt;&gt;0),1,0)</f>
        <v>0</v>
      </c>
      <c r="N9073" s="25" t="str">
        <f aca="false">IF(M9073=1,SUM($M$9073:M9073),"")</f>
        <v/>
      </c>
      <c r="O9073" s="25" t="n">
        <v>1</v>
      </c>
    </row>
    <row r="9074" customFormat="false" ht="16.5" hidden="false" customHeight="true" outlineLevel="0" collapsed="false">
      <c r="B9074" s="40" t="str">
        <f aca="false">IFERROR(INDEX($J$9073:$J$9076,MATCH($O9074,$N$9073:$N$9076,0)),"")</f>
        <v/>
      </c>
      <c r="C9074" s="41" t="str">
        <f aca="false">IFERROR(INDEX($K$9073:$K$9076,MATCH($O9074,$N$9073:$N$9076,0)),"")</f>
        <v/>
      </c>
      <c r="D9074" s="42" t="str">
        <f aca="false">IF(OR(E9074="",N(C9074)=0),"",E9074/C9074-1)</f>
        <v/>
      </c>
      <c r="E9074" s="41" t="str">
        <f aca="false">IFERROR(INDEX($L$9073:$L$9076,MATCH($O9074,$N$9073:$N$9076,0)),"")</f>
        <v/>
      </c>
      <c r="F9074" s="41" t="str">
        <f aca="false">IF(E9074="","",E9074-C9074)</f>
        <v/>
      </c>
      <c r="J9074" s="25" t="str">
        <f aca="false">Lib_Paye</f>
        <v>Mission sociale (bulletins de paie, DSN, déclarations sociales)</v>
      </c>
      <c r="K9074" s="25" t="n">
        <f aca="false">IF($K$9046=0,0,N(INDEX(Clients!$L$2:$L$501,$K$9046)))</f>
        <v>0</v>
      </c>
      <c r="L9074" s="25" t="n">
        <f aca="false">IF($K$9046=0,0,N(INDEX(Clients!$Q$2:$Q$501,$K$9046)))</f>
        <v>0</v>
      </c>
      <c r="M9074" s="25" t="n">
        <f aca="false">IF(OR(K9074&lt;&gt;0,L9074&lt;&gt;0),1,0)</f>
        <v>0</v>
      </c>
      <c r="N9074" s="25" t="str">
        <f aca="false">IF(M9074=1,SUM($M$9073:M9074),"")</f>
        <v/>
      </c>
      <c r="O9074" s="25" t="n">
        <v>2</v>
      </c>
    </row>
    <row r="9075" customFormat="false" ht="16.5" hidden="false" customHeight="true" outlineLevel="0" collapsed="false">
      <c r="B9075" s="40" t="str">
        <f aca="false">IFERROR(INDEX($J$9073:$J$9076,MATCH($O9075,$N$9073:$N$9076,0)),"")</f>
        <v/>
      </c>
      <c r="C9075" s="41" t="str">
        <f aca="false">IFERROR(INDEX($K$9073:$K$9076,MATCH($O9075,$N$9073:$N$9076,0)),"")</f>
        <v/>
      </c>
      <c r="D9075" s="42" t="str">
        <f aca="false">IF(OR(E9075="",N(C9075)=0),"",E9075/C9075-1)</f>
        <v/>
      </c>
      <c r="E9075" s="41" t="str">
        <f aca="false">IFERROR(INDEX($L$9073:$L$9076,MATCH($O9075,$N$9073:$N$9076,0)),"")</f>
        <v/>
      </c>
      <c r="F9075" s="41" t="str">
        <f aca="false">IF(E9075="","",E9075-C9075)</f>
        <v/>
      </c>
      <c r="J9075" s="25" t="str">
        <f aca="false">Lib_Jur</f>
        <v>Mission juridique (approbation des comptes, secrétariat juridique)</v>
      </c>
      <c r="K9075" s="25" t="n">
        <f aca="false">IF($K$9046=0,0,N(INDEX(Clients!$M$2:$M$501,$K$9046)))</f>
        <v>0</v>
      </c>
      <c r="L9075" s="25" t="n">
        <f aca="false">IF($K$9046=0,0,N(INDEX(Clients!$R$2:$R$501,$K$9046)))</f>
        <v>0</v>
      </c>
      <c r="M9075" s="25" t="n">
        <f aca="false">IF(OR(K9075&lt;&gt;0,L9075&lt;&gt;0),1,0)</f>
        <v>0</v>
      </c>
      <c r="N9075" s="25" t="str">
        <f aca="false">IF(M9075=1,SUM($M$9073:M9075),"")</f>
        <v/>
      </c>
      <c r="O9075" s="25" t="n">
        <v>3</v>
      </c>
    </row>
    <row r="9076" customFormat="false" ht="16.5" hidden="false" customHeight="true" outlineLevel="0" collapsed="false">
      <c r="B9076" s="40" t="str">
        <f aca="false">IFERROR(INDEX($J$9073:$J$9076,MATCH($O9076,$N$9073:$N$9076,0)),"")</f>
        <v/>
      </c>
      <c r="C9076" s="41" t="str">
        <f aca="false">IFERROR(INDEX($K$9073:$K$9076,MATCH($O9076,$N$9073:$N$9076,0)),"")</f>
        <v/>
      </c>
      <c r="D9076" s="42" t="str">
        <f aca="false">IF(OR(E9076="",N(C9076)=0),"",E9076/C9076-1)</f>
        <v/>
      </c>
      <c r="E9076" s="41" t="str">
        <f aca="false">IFERROR(INDEX($L$9073:$L$9076,MATCH($O9076,$N$9073:$N$9076,0)),"")</f>
        <v/>
      </c>
      <c r="F9076" s="41" t="str">
        <f aca="false">IF(E9076="","",E9076-C9076)</f>
        <v/>
      </c>
      <c r="J9076" s="25" t="str">
        <f aca="false">Lib_PA</f>
        <v>Plateforme agréée – facturation électronique</v>
      </c>
      <c r="K9076" s="25" t="n">
        <f aca="false">IF($K$9046=0,0,N(INDEX(Clients!$N$2:$N$501,$K$9046)))</f>
        <v>0</v>
      </c>
      <c r="L9076" s="25" t="n">
        <f aca="false">IF($K$9046=0,0,N(INDEX(Clients!$S$2:$S$501,$K$9046)))</f>
        <v>0</v>
      </c>
      <c r="M9076" s="25" t="n">
        <f aca="false">IF(OR(K9076&lt;&gt;0,L9076&lt;&gt;0),1,0)</f>
        <v>0</v>
      </c>
      <c r="N9076" s="25" t="str">
        <f aca="false">IF(M9076=1,SUM($M$9073:M9076),"")</f>
        <v/>
      </c>
      <c r="O9076" s="25" t="n">
        <v>4</v>
      </c>
    </row>
    <row r="9077" customFormat="false" ht="18" hidden="false" customHeight="true" outlineLevel="0" collapsed="false">
      <c r="B9077" s="43" t="s">
        <v>158</v>
      </c>
      <c r="C9077" s="44" t="n">
        <f aca="false">SUM(K9073:K9076)</f>
        <v>0</v>
      </c>
      <c r="D9077" s="45" t="str">
        <f aca="false">IF(N(C9077)=0,"",E9077/C9077-1)</f>
        <v/>
      </c>
      <c r="E9077" s="44" t="n">
        <f aca="false">SUM(L9073:L9076)</f>
        <v>0</v>
      </c>
      <c r="F9077" s="44" t="n">
        <f aca="false">E9077-C9077</f>
        <v>0</v>
      </c>
    </row>
    <row r="9078" customFormat="false" ht="15" hidden="false" customHeight="false" outlineLevel="0" collapsed="false">
      <c r="B9078" s="46" t="str">
        <f aca="false">IF(N(Nb_Mensualites)=0,"","Soit "&amp;FIXED(E9077/Nb_Mensualites,2)&amp;" € HT par échéance ("&amp;Nb_Mensualites&amp;" échéances), "&amp;FIXED(E9077/Nb_Mensualites*(1+Taux_TVA),2)&amp;" € TTC.")</f>
        <v>Soit 0.00 € HT par échéance (12 échéances), 0.00 € TTC.</v>
      </c>
      <c r="C9078" s="46"/>
      <c r="D9078" s="46"/>
      <c r="E9078" s="46"/>
      <c r="F9078" s="46"/>
    </row>
    <row r="9079" customFormat="false" ht="7.5" hidden="false" customHeight="true" outlineLevel="0" collapsed="false">
      <c r="B9079" s="10"/>
      <c r="C9079" s="10"/>
      <c r="D9079" s="10"/>
      <c r="E9079" s="10"/>
      <c r="F9079" s="10"/>
    </row>
    <row r="9080" customFormat="false" ht="36.75" hidden="false" customHeight="true" outlineLevel="0" collapsed="false">
      <c r="B9080" s="37" t="str">
        <f aca="false">SUBSTITUTE(SUBSTITUTE(SUBSTITUTE(SUBSTITUTE(SUBSTITUTE(Txt_P5,"{cabinet}",Cab_Nom),"{societe}",IF($K$9046=0,"",INDEX(Clients!$E$2:$E$501,$K$9046)&amp;"")),"{date_effet}",$K$9048),"{hausse}",$K$9049),"{civilite}",$K$9047)</f>
        <v>Les autres conditions de votre lettre de mission demeurent inchangées. Les nouveaux montants seront appliqués automatiquement sur vos prochaines factures et échéances de prélèvement.</v>
      </c>
      <c r="C9080" s="37"/>
      <c r="D9080" s="37"/>
      <c r="E9080" s="37"/>
      <c r="F9080" s="37"/>
    </row>
    <row r="9081" customFormat="false" ht="36.75" hidden="false" customHeight="true" outlineLevel="0" collapsed="false">
      <c r="B9081" s="37" t="str">
        <f aca="false">SUBSTITUTE(SUBSTITUTE(SUBSTITUTE(SUBSTITUTE(SUBSTITUTE(Txt_P6,"{cabinet}",Cab_Nom),"{societe}",IF($K$9046=0,"",INDEX(Clients!$E$2:$E$501,$K$9046)&amp;"")),"{date_effet}",$K$9048),"{hausse}",$K$9049),"{civilite}",$K$9047)</f>
        <v>Votre interlocuteur habituel reste à votre entière disposition pour répondre à vos questions et faire le point sur l'évolution de vos besoins.</v>
      </c>
      <c r="C9081" s="37"/>
      <c r="D9081" s="37"/>
      <c r="E9081" s="37"/>
      <c r="F9081" s="37"/>
    </row>
    <row r="9082" customFormat="false" ht="24" hidden="false" customHeight="true" outlineLevel="0" collapsed="false">
      <c r="B9082" s="37" t="str">
        <f aca="false">SUBSTITUTE(SUBSTITUTE(SUBSTITUTE(SUBSTITUTE(SUBSTITUTE(Txt_Politesse,"{cabinet}",Cab_Nom),"{societe}",IF($K$9046=0,"",INDEX(Clients!$E$2:$E$501,$K$9046)&amp;"")),"{date_effet}",$K$9048),"{hausse}",$K$9049),"{civilite}",$K$9047)</f>
        <v>Nous vous prions d'agréer, Madame, Monsieur, l'expression de nos salutations distinguées.</v>
      </c>
      <c r="C9082" s="37"/>
      <c r="D9082" s="37"/>
      <c r="E9082" s="37"/>
      <c r="F9082" s="37"/>
    </row>
    <row r="9083" customFormat="false" ht="15" hidden="false" customHeight="false" outlineLevel="0" collapsed="false">
      <c r="B9083" s="10"/>
      <c r="C9083" s="10"/>
      <c r="D9083" s="10"/>
      <c r="E9083" s="10"/>
      <c r="F9083" s="10"/>
    </row>
    <row r="9084" customFormat="false" ht="15" hidden="false" customHeight="false" outlineLevel="0" collapsed="false">
      <c r="B9084" s="10"/>
      <c r="C9084" s="10"/>
      <c r="D9084" s="34" t="str">
        <f aca="false">Signataire</f>
        <v>Prénom NOM</v>
      </c>
      <c r="E9084" s="34"/>
      <c r="F9084" s="34"/>
    </row>
    <row r="9085" customFormat="false" ht="15" hidden="false" customHeight="false" outlineLevel="0" collapsed="false">
      <c r="B9085" s="10"/>
      <c r="C9085" s="10"/>
      <c r="D9085" s="47" t="str">
        <f aca="false">Signataire_Titre</f>
        <v>Expert-comptable associé</v>
      </c>
      <c r="E9085" s="47"/>
      <c r="F9085" s="47"/>
    </row>
    <row r="9086" customFormat="false" ht="15.75" hidden="false" customHeight="true" outlineLevel="0" collapsed="false">
      <c r="B9086" s="10"/>
      <c r="C9086" s="10"/>
      <c r="D9086" s="10"/>
      <c r="E9086" s="10"/>
      <c r="F9086" s="10"/>
    </row>
    <row r="9087" customFormat="false" ht="15.75" hidden="false" customHeight="true" outlineLevel="0" collapsed="false">
      <c r="B9087" s="10"/>
      <c r="C9087" s="10"/>
      <c r="D9087" s="10"/>
      <c r="E9087" s="10"/>
      <c r="F9087" s="10"/>
    </row>
    <row r="9088" customFormat="false" ht="15.75" hidden="false" customHeight="true" outlineLevel="0" collapsed="false">
      <c r="B9088" s="10"/>
      <c r="C9088" s="10"/>
      <c r="D9088" s="10"/>
      <c r="E9088" s="10"/>
      <c r="F9088" s="10"/>
    </row>
    <row r="9089" customFormat="false" ht="15.75" hidden="false" customHeight="true" outlineLevel="0" collapsed="false">
      <c r="B9089" s="10"/>
      <c r="C9089" s="10"/>
      <c r="D9089" s="10"/>
      <c r="E9089" s="10"/>
      <c r="F9089" s="10"/>
    </row>
    <row r="9090" customFormat="false" ht="24" hidden="false" customHeight="true" outlineLevel="0" collapsed="false">
      <c r="B9090" s="48" t="str">
        <f aca="false">Cab_Mentions</f>
        <v>ALTHO EXPERTISE · SAS au capital de 10 000 € · RCS Pontoise 919 706 325 · TVA FR62919706325 · Société d'expertise comptable inscrite au Tableau de l'Ordre des experts-comptables de Paris Île-de-France</v>
      </c>
      <c r="C9090" s="48"/>
      <c r="D9090" s="48"/>
      <c r="E9090" s="48"/>
      <c r="F9090" s="48"/>
    </row>
    <row r="9091" customFormat="false" ht="15" hidden="false" customHeight="false" outlineLevel="0" collapsed="false">
      <c r="B9091" s="10"/>
      <c r="C9091" s="10"/>
      <c r="D9091" s="10"/>
      <c r="E9091" s="10"/>
      <c r="F9091" s="10"/>
      <c r="J9091" s="25" t="s">
        <v>142</v>
      </c>
      <c r="K9091" s="25" t="n">
        <f aca="false">IFERROR(MATCH(203,Clients!$Z$2:$Z$501,0),0)</f>
        <v>0</v>
      </c>
      <c r="L9091" s="25"/>
      <c r="M9091" s="25"/>
      <c r="N9091" s="25"/>
      <c r="O9091" s="25"/>
    </row>
    <row r="9092" customFormat="false" ht="21.75" hidden="false" customHeight="true" outlineLevel="0" collapsed="false">
      <c r="B9092" s="26" t="str">
        <f aca="false">Cab_Nom</f>
        <v>ALTHO EXPERTISE</v>
      </c>
      <c r="C9092" s="26"/>
      <c r="D9092" s="10"/>
      <c r="E9092" s="27" t="str">
        <f aca="false">IF($K$9091=0,"","Réf. client : "&amp;INDEX(Clients!$A$2:$A$501,$K$9091))</f>
        <v/>
      </c>
      <c r="F9092" s="27"/>
      <c r="J9092" s="25" t="s">
        <v>144</v>
      </c>
      <c r="K9092" s="25" t="str">
        <f aca="false">IF(IF($K$9091=0,"",INDEX(Clients!$B$2:$B$501,$K$9091)&amp;"")="Mme","Madame",IF(IF($K$9091=0,"",INDEX(Clients!$B$2:$B$501,$K$9091)&amp;"")="M.","Monsieur","Madame, Monsieur"))</f>
        <v>Madame, Monsieur</v>
      </c>
      <c r="L9092" s="25"/>
      <c r="M9092" s="25"/>
      <c r="N9092" s="25"/>
      <c r="O9092" s="25"/>
    </row>
    <row r="9093" customFormat="false" ht="15" hidden="false" customHeight="false" outlineLevel="0" collapsed="false">
      <c r="B9093" s="29" t="str">
        <f aca="false">Cab_Adr1</f>
        <v>141 rue Charles de Gaulle</v>
      </c>
      <c r="C9093" s="29"/>
      <c r="D9093" s="10"/>
      <c r="E9093" s="10"/>
      <c r="F9093" s="10"/>
      <c r="J9093" s="25" t="s">
        <v>145</v>
      </c>
      <c r="K9093" s="25" t="str">
        <f aca="false">DAY(Date_Effet)&amp;IF(DAY(Date_Effet)=1,"er","")&amp;" "&amp;INDEX(Liste_Mois,MONTH(Date_Effet))&amp;" "&amp;YEAR(Date_Effet)</f>
        <v>1er janvier 2027</v>
      </c>
      <c r="L9093" s="25"/>
      <c r="M9093" s="25"/>
      <c r="N9093" s="25"/>
      <c r="O9093" s="25"/>
    </row>
    <row r="9094" customFormat="false" ht="15" hidden="false" customHeight="false" outlineLevel="0" collapsed="false">
      <c r="B9094" s="29" t="str">
        <f aca="false">Cab_CPVille</f>
        <v>95130 LE PLESSIS-BOUCHARD</v>
      </c>
      <c r="C9094" s="29"/>
      <c r="D9094" s="10"/>
      <c r="E9094" s="10"/>
      <c r="F9094" s="10"/>
      <c r="J9094" s="25" t="s">
        <v>146</v>
      </c>
      <c r="K9094" s="25" t="str">
        <f aca="false">IF(SUM($K$9118:$K$9121)=0,"",FIXED((SUM($L$9118:$L$9121)/SUM($K$9118:$K$9121)-1)*100,1)&amp;" %")</f>
        <v/>
      </c>
      <c r="L9094" s="25"/>
      <c r="M9094" s="25"/>
      <c r="N9094" s="25"/>
      <c r="O9094" s="25"/>
    </row>
    <row r="9095" customFormat="false" ht="15" hidden="false" customHeight="false" outlineLevel="0" collapsed="false">
      <c r="B9095" s="29" t="str">
        <f aca="false">Cab_Contact</f>
        <v>Tél. 01 34 14 53 45  ·  altho@altho-experts.com  ·  altho-experts.com</v>
      </c>
      <c r="C9095" s="29"/>
      <c r="D9095" s="10"/>
      <c r="E9095" s="10"/>
      <c r="F9095" s="10"/>
      <c r="J9095" s="25"/>
      <c r="K9095" s="25"/>
      <c r="L9095" s="25"/>
      <c r="M9095" s="25"/>
      <c r="N9095" s="25"/>
      <c r="O9095" s="25"/>
    </row>
    <row r="9096" customFormat="false" ht="6" hidden="false" customHeight="true" outlineLevel="0" collapsed="false">
      <c r="B9096" s="32"/>
      <c r="C9096" s="32"/>
      <c r="D9096" s="32"/>
      <c r="E9096" s="32"/>
      <c r="F9096" s="32"/>
      <c r="J9096" s="25"/>
      <c r="K9096" s="25"/>
      <c r="L9096" s="25"/>
      <c r="M9096" s="25"/>
      <c r="N9096" s="25"/>
      <c r="O9096" s="25"/>
    </row>
    <row r="9097" customFormat="false" ht="13.5" hidden="false" customHeight="true" outlineLevel="0" collapsed="false">
      <c r="B9097" s="10"/>
      <c r="C9097" s="10"/>
      <c r="D9097" s="10"/>
      <c r="E9097" s="10"/>
      <c r="F9097" s="10"/>
      <c r="J9097" s="25"/>
      <c r="K9097" s="25"/>
      <c r="L9097" s="25"/>
      <c r="M9097" s="25"/>
      <c r="N9097" s="25"/>
      <c r="O9097" s="25"/>
    </row>
    <row r="9098" customFormat="false" ht="13.5" hidden="false" customHeight="true" outlineLevel="0" collapsed="false">
      <c r="B9098" s="10"/>
      <c r="C9098" s="10"/>
      <c r="D9098" s="10"/>
      <c r="E9098" s="10"/>
      <c r="F9098" s="10"/>
      <c r="J9098" s="25"/>
      <c r="K9098" s="25"/>
      <c r="L9098" s="25"/>
      <c r="M9098" s="25"/>
      <c r="N9098" s="25"/>
      <c r="O9098" s="25"/>
    </row>
    <row r="9099" customFormat="false" ht="13.5" hidden="false" customHeight="true" outlineLevel="0" collapsed="false">
      <c r="B9099" s="10"/>
      <c r="C9099" s="10"/>
      <c r="D9099" s="10"/>
      <c r="E9099" s="10"/>
      <c r="F9099" s="10"/>
      <c r="J9099" s="25"/>
      <c r="K9099" s="25"/>
      <c r="L9099" s="25"/>
      <c r="M9099" s="25"/>
      <c r="N9099" s="25"/>
      <c r="O9099" s="25"/>
    </row>
    <row r="9100" customFormat="false" ht="15" hidden="false" customHeight="true" outlineLevel="0" collapsed="false">
      <c r="B9100" s="10"/>
      <c r="C9100" s="10"/>
      <c r="D9100" s="34" t="str">
        <f aca="false">IF($K$9091=0,"",INDEX(Clients!$E$2:$E$501,$K$9091)&amp;"")</f>
        <v/>
      </c>
      <c r="E9100" s="34"/>
      <c r="F9100" s="34"/>
      <c r="J9100" s="25"/>
      <c r="K9100" s="25"/>
      <c r="L9100" s="25"/>
      <c r="M9100" s="25"/>
      <c r="N9100" s="25"/>
      <c r="O9100" s="25"/>
    </row>
    <row r="9101" customFormat="false" ht="15" hidden="false" customHeight="true" outlineLevel="0" collapsed="false">
      <c r="B9101" s="10"/>
      <c r="C9101" s="10"/>
      <c r="D9101" s="35" t="str">
        <f aca="false">IF(IF($K$9091=0,"",INDEX(Clients!$D$2:$D$501,$K$9091)&amp;"")="","","À l'attention de "&amp;TRIM(IF($K$9091=0,"",INDEX(Clients!$B$2:$B$501,$K$9091)&amp;"")&amp;" "&amp;IF($K$9091=0,"",INDEX(Clients!$C$2:$C$501,$K$9091)&amp;"")&amp;" "&amp;IF($K$9091=0,"",INDEX(Clients!$D$2:$D$501,$K$9091)&amp;"")))</f>
        <v/>
      </c>
      <c r="E9101" s="35"/>
      <c r="F9101" s="35"/>
      <c r="J9101" s="25"/>
      <c r="K9101" s="25"/>
      <c r="L9101" s="25"/>
      <c r="M9101" s="25"/>
      <c r="N9101" s="25"/>
      <c r="O9101" s="25"/>
    </row>
    <row r="9102" customFormat="false" ht="15" hidden="false" customHeight="true" outlineLevel="0" collapsed="false">
      <c r="B9102" s="10"/>
      <c r="C9102" s="10"/>
      <c r="D9102" s="35" t="str">
        <f aca="false">IF($K$9091=0,"",INDEX(Clients!$F$2:$F$501,$K$9091)&amp;"")</f>
        <v/>
      </c>
      <c r="E9102" s="35"/>
      <c r="F9102" s="35"/>
      <c r="J9102" s="25"/>
      <c r="K9102" s="25"/>
      <c r="L9102" s="25"/>
      <c r="M9102" s="25"/>
      <c r="N9102" s="25"/>
      <c r="O9102" s="25"/>
    </row>
    <row r="9103" customFormat="false" ht="15" hidden="false" customHeight="true" outlineLevel="0" collapsed="false">
      <c r="B9103" s="10"/>
      <c r="C9103" s="10"/>
      <c r="D9103" s="35" t="str">
        <f aca="false">IF(IF($K$9091=0,"",INDEX(Clients!$G$2:$G$501,$K$9091)&amp;"")="",TRIM(IF($K$9091=0,"",INDEX(Clients!$H$2:$H$501,$K$9091)&amp;"")&amp;" "&amp;UPPER(IF($K$9091=0,"",INDEX(Clients!$I$2:$I$501,$K$9091)&amp;""))),IF($K$9091=0,"",INDEX(Clients!$G$2:$G$501,$K$9091)&amp;""))</f>
        <v/>
      </c>
      <c r="E9103" s="35"/>
      <c r="F9103" s="35"/>
      <c r="J9103" s="25"/>
      <c r="K9103" s="25"/>
      <c r="L9103" s="25"/>
      <c r="M9103" s="25"/>
      <c r="N9103" s="25"/>
      <c r="O9103" s="25"/>
    </row>
    <row r="9104" customFormat="false" ht="15" hidden="false" customHeight="true" outlineLevel="0" collapsed="false">
      <c r="B9104" s="10"/>
      <c r="C9104" s="10"/>
      <c r="D9104" s="35" t="str">
        <f aca="false">IF(IF($K$9091=0,"",INDEX(Clients!$G$2:$G$501,$K$9091)&amp;"")="","",TRIM(IF($K$9091=0,"",INDEX(Clients!$H$2:$H$501,$K$9091)&amp;"")&amp;" "&amp;UPPER(IF($K$9091=0,"",INDEX(Clients!$I$2:$I$501,$K$9091)&amp;""))))</f>
        <v/>
      </c>
      <c r="E9104" s="35"/>
      <c r="F9104" s="35"/>
      <c r="J9104" s="25"/>
      <c r="K9104" s="25"/>
      <c r="L9104" s="25"/>
      <c r="M9104" s="25"/>
      <c r="N9104" s="25"/>
      <c r="O9104" s="25"/>
    </row>
    <row r="9105" customFormat="false" ht="25.5" hidden="false" customHeight="true" outlineLevel="0" collapsed="false">
      <c r="B9105" s="10"/>
      <c r="C9105" s="10"/>
      <c r="D9105" s="10"/>
      <c r="E9105" s="10"/>
      <c r="F9105" s="10"/>
      <c r="J9105" s="25"/>
      <c r="K9105" s="25"/>
      <c r="L9105" s="25"/>
      <c r="M9105" s="25"/>
      <c r="N9105" s="25"/>
      <c r="O9105" s="25"/>
    </row>
    <row r="9106" customFormat="false" ht="15" hidden="false" customHeight="false" outlineLevel="0" collapsed="false">
      <c r="B9106" s="10"/>
      <c r="C9106" s="10"/>
      <c r="D9106" s="36" t="str">
        <f aca="false">Cab_Ville&amp;", le "&amp;DAY(Date_Courrier)&amp;IF(DAY(Date_Courrier)=1,"er","")&amp;" "&amp;INDEX(Liste_Mois,MONTH(Date_Courrier))&amp;" "&amp;YEAR(Date_Courrier)</f>
        <v>Le Plessis-Bouchard, le 22 septembre 2026</v>
      </c>
      <c r="E9106" s="36"/>
      <c r="F9106" s="36"/>
      <c r="J9106" s="25"/>
      <c r="K9106" s="25"/>
      <c r="L9106" s="25"/>
      <c r="M9106" s="25"/>
      <c r="N9106" s="25"/>
      <c r="O9106" s="25"/>
    </row>
    <row r="9107" customFormat="false" ht="19.5" hidden="false" customHeight="true" outlineLevel="0" collapsed="false">
      <c r="B9107" s="10"/>
      <c r="C9107" s="10"/>
      <c r="D9107" s="10"/>
      <c r="E9107" s="10"/>
      <c r="F9107" s="10"/>
      <c r="J9107" s="25"/>
      <c r="K9107" s="25"/>
      <c r="L9107" s="25"/>
      <c r="M9107" s="25"/>
      <c r="N9107" s="25"/>
      <c r="O9107" s="25"/>
    </row>
    <row r="9108" customFormat="false" ht="15" hidden="false" customHeight="false" outlineLevel="0" collapsed="false">
      <c r="B9108" s="34" t="str">
        <f aca="false">SUBSTITUTE(SUBSTITUTE(SUBSTITUTE(SUBSTITUTE(SUBSTITUTE(Txt_Objet,"{cabinet}",Cab_Nom),"{societe}",IF($K$9091=0,"",INDEX(Clients!$E$2:$E$501,$K$9091)&amp;"")),"{date_effet}",$K$9093),"{hausse}",$K$9094),"{civilite}",$K$9092)</f>
        <v>Objet : révision de nos honoraires au 1er janvier 2027</v>
      </c>
      <c r="C9108" s="34"/>
      <c r="D9108" s="34"/>
      <c r="E9108" s="34"/>
      <c r="F9108" s="34"/>
      <c r="J9108" s="25"/>
      <c r="K9108" s="25"/>
      <c r="L9108" s="25"/>
      <c r="M9108" s="25"/>
      <c r="N9108" s="25"/>
      <c r="O9108" s="25"/>
    </row>
    <row r="9109" customFormat="false" ht="13.5" hidden="false" customHeight="true" outlineLevel="0" collapsed="false">
      <c r="B9109" s="10"/>
      <c r="C9109" s="10"/>
      <c r="D9109" s="10"/>
      <c r="E9109" s="10"/>
      <c r="F9109" s="10"/>
      <c r="J9109" s="25"/>
      <c r="K9109" s="25"/>
      <c r="L9109" s="25"/>
      <c r="M9109" s="25"/>
      <c r="N9109" s="25"/>
      <c r="O9109" s="25"/>
    </row>
    <row r="9110" customFormat="false" ht="15" hidden="false" customHeight="false" outlineLevel="0" collapsed="false">
      <c r="B9110" s="10" t="str">
        <f aca="false">$K$9092&amp;","</f>
        <v>Madame, Monsieur,</v>
      </c>
      <c r="C9110" s="10"/>
      <c r="D9110" s="10"/>
      <c r="E9110" s="10"/>
      <c r="F9110" s="10"/>
      <c r="J9110" s="25"/>
      <c r="K9110" s="25"/>
      <c r="L9110" s="25"/>
      <c r="M9110" s="25"/>
      <c r="N9110" s="25"/>
      <c r="O9110" s="25"/>
    </row>
    <row r="9111" customFormat="false" ht="6" hidden="false" customHeight="true" outlineLevel="0" collapsed="false">
      <c r="B9111" s="10"/>
      <c r="C9111" s="10"/>
      <c r="D9111" s="10"/>
      <c r="E9111" s="10"/>
      <c r="F9111" s="10"/>
      <c r="J9111" s="25"/>
      <c r="K9111" s="25"/>
      <c r="L9111" s="25"/>
      <c r="M9111" s="25"/>
      <c r="N9111" s="25"/>
      <c r="O9111" s="25"/>
    </row>
    <row r="9112" customFormat="false" ht="36.75" hidden="false" customHeight="true" outlineLevel="0" collapsed="false">
      <c r="B9112" s="37" t="str">
        <f aca="false">SUBSTITUTE(SUBSTITUTE(SUBSTITUTE(SUBSTITUTE(SUBSTITUTE(Txt_P1,"{cabinet}",Cab_Nom),"{societe}",IF($K$9091=0,"",INDEX(Clients!$E$2:$E$501,$K$9091)&amp;"")),"{date_effet}",$K$9093),"{hausse}",$K$9094),"{civilite}",$K$9092)</f>
        <v>Nous tenons tout d'abord à vous remercier pour la confiance que vous accordez à ALTHO EXPERTISE. Comme chaque année, et conformément aux dispositions de votre lettre de mission, nous procédons à la révision de nos honoraires.</v>
      </c>
      <c r="C9112" s="37"/>
      <c r="D9112" s="37"/>
      <c r="E9112" s="37"/>
      <c r="F9112" s="37"/>
      <c r="J9112" s="25"/>
      <c r="K9112" s="25"/>
      <c r="L9112" s="25"/>
      <c r="M9112" s="25"/>
      <c r="N9112" s="25"/>
      <c r="O9112" s="25"/>
    </row>
    <row r="9113" customFormat="false" ht="49.5" hidden="false" customHeight="true" outlineLevel="0" collapsed="false">
      <c r="B9113" s="37" t="str">
        <f aca="false">SUBSTITUTE(SUBSTITUTE(SUBSTITUTE(SUBSTITUTE(SUBSTITUTE(Txt_P2,"{cabinet}",Cab_Nom),"{societe}",IF($K$9091=0,"",INDEX(Clients!$E$2:$E$501,$K$9091)&amp;"")),"{date_effet}",$K$9093),"{hausse}",$K$9094),"{civilite}",$K$9092)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113" s="37"/>
      <c r="D9113" s="37"/>
      <c r="E9113" s="37"/>
      <c r="F9113" s="37"/>
      <c r="J9113" s="25"/>
      <c r="K9113" s="25"/>
      <c r="L9113" s="25"/>
      <c r="M9113" s="25"/>
      <c r="N9113" s="25"/>
      <c r="O9113" s="25"/>
    </row>
    <row r="9114" customFormat="false" ht="63" hidden="false" customHeight="true" outlineLevel="0" collapsed="false">
      <c r="B9114" s="37" t="str">
        <f aca="false">SUBSTITUTE(SUBSTITUTE(SUBSTITUTE(SUBSTITUTE(SUBSTITUTE(Txt_P3,"{cabinet}",Cab_Nom),"{societe}",IF($K$9091=0,"",INDEX(Clients!$E$2:$E$501,$K$9091)&amp;"")),"{date_effet}",$K$9093),"{hausse}",$K$9094),"{civilite}",$K$9092)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114" s="37"/>
      <c r="D9114" s="37"/>
      <c r="E9114" s="37"/>
      <c r="F9114" s="37"/>
      <c r="J9114" s="25"/>
      <c r="K9114" s="25"/>
      <c r="L9114" s="25"/>
      <c r="M9114" s="25"/>
      <c r="N9114" s="25"/>
      <c r="O9114" s="25"/>
    </row>
    <row r="9115" customFormat="false" ht="24" hidden="false" customHeight="true" outlineLevel="0" collapsed="false">
      <c r="B9115" s="37" t="str">
        <f aca="false">SUBSTITUTE(SUBSTITUTE(SUBSTITUTE(SUBSTITUTE(SUBSTITUTE(Txt_P4,"{cabinet}",Cab_Nom),"{societe}",IF($K$9091=0,"",INDEX(Clients!$E$2:$E$501,$K$9091)&amp;"")),"{date_effet}",$K$9093),"{hausse}",$K$9094),"{civilite}",$K$9092)</f>
        <v>À compter du 1er janvier 2027, vos honoraires annuels hors taxes évolueront ainsi (évolution globale : ) :</v>
      </c>
      <c r="C9115" s="37"/>
      <c r="D9115" s="37"/>
      <c r="E9115" s="37"/>
      <c r="F9115" s="37"/>
      <c r="J9115" s="25"/>
      <c r="K9115" s="25"/>
      <c r="L9115" s="25"/>
      <c r="M9115" s="25"/>
      <c r="N9115" s="25"/>
      <c r="O9115" s="25"/>
    </row>
    <row r="9116" customFormat="false" ht="3.75" hidden="false" customHeight="true" outlineLevel="0" collapsed="false">
      <c r="B9116" s="10"/>
      <c r="C9116" s="10"/>
      <c r="D9116" s="10"/>
      <c r="E9116" s="10"/>
      <c r="F9116" s="10"/>
      <c r="J9116" s="25"/>
      <c r="K9116" s="25"/>
      <c r="L9116" s="25"/>
      <c r="M9116" s="25"/>
      <c r="N9116" s="25"/>
      <c r="O9116" s="25"/>
    </row>
    <row r="9117" customFormat="false" ht="18" hidden="false" customHeight="true" outlineLevel="0" collapsed="false">
      <c r="B9117" s="38" t="s">
        <v>148</v>
      </c>
      <c r="C9117" s="39" t="s">
        <v>149</v>
      </c>
      <c r="D9117" s="39" t="s">
        <v>150</v>
      </c>
      <c r="E9117" s="39" t="s">
        <v>151</v>
      </c>
      <c r="F9117" s="39" t="s">
        <v>109</v>
      </c>
      <c r="J9117" s="25" t="s">
        <v>152</v>
      </c>
      <c r="K9117" s="25" t="s">
        <v>153</v>
      </c>
      <c r="L9117" s="25" t="s">
        <v>154</v>
      </c>
      <c r="M9117" s="25" t="s">
        <v>155</v>
      </c>
      <c r="N9117" s="25" t="s">
        <v>156</v>
      </c>
      <c r="O9117" s="25" t="s">
        <v>157</v>
      </c>
    </row>
    <row r="9118" customFormat="false" ht="16.5" hidden="false" customHeight="true" outlineLevel="0" collapsed="false">
      <c r="B9118" s="40" t="str">
        <f aca="false">IFERROR(INDEX($J$9118:$J$9121,MATCH($O9118,$N$9118:$N$9121,0)),"")</f>
        <v/>
      </c>
      <c r="C9118" s="41" t="str">
        <f aca="false">IFERROR(INDEX($K$9118:$K$9121,MATCH($O9118,$N$9118:$N$9121,0)),"")</f>
        <v/>
      </c>
      <c r="D9118" s="42" t="str">
        <f aca="false">IF(OR(E9118="",N(C9118)=0),"",E9118/C9118-1)</f>
        <v/>
      </c>
      <c r="E9118" s="41" t="str">
        <f aca="false">IFERROR(INDEX($L$9118:$L$9121,MATCH($O9118,$N$9118:$N$9121,0)),"")</f>
        <v/>
      </c>
      <c r="F9118" s="41" t="str">
        <f aca="false">IF(E9118="","",E9118-C9118)</f>
        <v/>
      </c>
      <c r="J9118" s="25" t="str">
        <f aca="false">Lib_Compta</f>
        <v>Mission comptable (tenue, révision, bilan, liasse fiscale)</v>
      </c>
      <c r="K9118" s="25" t="n">
        <f aca="false">IF($K$9091=0,0,N(INDEX(Clients!$K$2:$K$501,$K$9091)))</f>
        <v>0</v>
      </c>
      <c r="L9118" s="25" t="n">
        <f aca="false">IF($K$9091=0,0,N(INDEX(Clients!$P$2:$P$501,$K$9091)))</f>
        <v>0</v>
      </c>
      <c r="M9118" s="25" t="n">
        <f aca="false">IF(OR(K9118&lt;&gt;0,L9118&lt;&gt;0),1,0)</f>
        <v>0</v>
      </c>
      <c r="N9118" s="25" t="str">
        <f aca="false">IF(M9118=1,SUM($M$9118:M9118),"")</f>
        <v/>
      </c>
      <c r="O9118" s="25" t="n">
        <v>1</v>
      </c>
    </row>
    <row r="9119" customFormat="false" ht="16.5" hidden="false" customHeight="true" outlineLevel="0" collapsed="false">
      <c r="B9119" s="40" t="str">
        <f aca="false">IFERROR(INDEX($J$9118:$J$9121,MATCH($O9119,$N$9118:$N$9121,0)),"")</f>
        <v/>
      </c>
      <c r="C9119" s="41" t="str">
        <f aca="false">IFERROR(INDEX($K$9118:$K$9121,MATCH($O9119,$N$9118:$N$9121,0)),"")</f>
        <v/>
      </c>
      <c r="D9119" s="42" t="str">
        <f aca="false">IF(OR(E9119="",N(C9119)=0),"",E9119/C9119-1)</f>
        <v/>
      </c>
      <c r="E9119" s="41" t="str">
        <f aca="false">IFERROR(INDEX($L$9118:$L$9121,MATCH($O9119,$N$9118:$N$9121,0)),"")</f>
        <v/>
      </c>
      <c r="F9119" s="41" t="str">
        <f aca="false">IF(E9119="","",E9119-C9119)</f>
        <v/>
      </c>
      <c r="J9119" s="25" t="str">
        <f aca="false">Lib_Paye</f>
        <v>Mission sociale (bulletins de paie, DSN, déclarations sociales)</v>
      </c>
      <c r="K9119" s="25" t="n">
        <f aca="false">IF($K$9091=0,0,N(INDEX(Clients!$L$2:$L$501,$K$9091)))</f>
        <v>0</v>
      </c>
      <c r="L9119" s="25" t="n">
        <f aca="false">IF($K$9091=0,0,N(INDEX(Clients!$Q$2:$Q$501,$K$9091)))</f>
        <v>0</v>
      </c>
      <c r="M9119" s="25" t="n">
        <f aca="false">IF(OR(K9119&lt;&gt;0,L9119&lt;&gt;0),1,0)</f>
        <v>0</v>
      </c>
      <c r="N9119" s="25" t="str">
        <f aca="false">IF(M9119=1,SUM($M$9118:M9119),"")</f>
        <v/>
      </c>
      <c r="O9119" s="25" t="n">
        <v>2</v>
      </c>
    </row>
    <row r="9120" customFormat="false" ht="16.5" hidden="false" customHeight="true" outlineLevel="0" collapsed="false">
      <c r="B9120" s="40" t="str">
        <f aca="false">IFERROR(INDEX($J$9118:$J$9121,MATCH($O9120,$N$9118:$N$9121,0)),"")</f>
        <v/>
      </c>
      <c r="C9120" s="41" t="str">
        <f aca="false">IFERROR(INDEX($K$9118:$K$9121,MATCH($O9120,$N$9118:$N$9121,0)),"")</f>
        <v/>
      </c>
      <c r="D9120" s="42" t="str">
        <f aca="false">IF(OR(E9120="",N(C9120)=0),"",E9120/C9120-1)</f>
        <v/>
      </c>
      <c r="E9120" s="41" t="str">
        <f aca="false">IFERROR(INDEX($L$9118:$L$9121,MATCH($O9120,$N$9118:$N$9121,0)),"")</f>
        <v/>
      </c>
      <c r="F9120" s="41" t="str">
        <f aca="false">IF(E9120="","",E9120-C9120)</f>
        <v/>
      </c>
      <c r="J9120" s="25" t="str">
        <f aca="false">Lib_Jur</f>
        <v>Mission juridique (approbation des comptes, secrétariat juridique)</v>
      </c>
      <c r="K9120" s="25" t="n">
        <f aca="false">IF($K$9091=0,0,N(INDEX(Clients!$M$2:$M$501,$K$9091)))</f>
        <v>0</v>
      </c>
      <c r="L9120" s="25" t="n">
        <f aca="false">IF($K$9091=0,0,N(INDEX(Clients!$R$2:$R$501,$K$9091)))</f>
        <v>0</v>
      </c>
      <c r="M9120" s="25" t="n">
        <f aca="false">IF(OR(K9120&lt;&gt;0,L9120&lt;&gt;0),1,0)</f>
        <v>0</v>
      </c>
      <c r="N9120" s="25" t="str">
        <f aca="false">IF(M9120=1,SUM($M$9118:M9120),"")</f>
        <v/>
      </c>
      <c r="O9120" s="25" t="n">
        <v>3</v>
      </c>
    </row>
    <row r="9121" customFormat="false" ht="16.5" hidden="false" customHeight="true" outlineLevel="0" collapsed="false">
      <c r="B9121" s="40" t="str">
        <f aca="false">IFERROR(INDEX($J$9118:$J$9121,MATCH($O9121,$N$9118:$N$9121,0)),"")</f>
        <v/>
      </c>
      <c r="C9121" s="41" t="str">
        <f aca="false">IFERROR(INDEX($K$9118:$K$9121,MATCH($O9121,$N$9118:$N$9121,0)),"")</f>
        <v/>
      </c>
      <c r="D9121" s="42" t="str">
        <f aca="false">IF(OR(E9121="",N(C9121)=0),"",E9121/C9121-1)</f>
        <v/>
      </c>
      <c r="E9121" s="41" t="str">
        <f aca="false">IFERROR(INDEX($L$9118:$L$9121,MATCH($O9121,$N$9118:$N$9121,0)),"")</f>
        <v/>
      </c>
      <c r="F9121" s="41" t="str">
        <f aca="false">IF(E9121="","",E9121-C9121)</f>
        <v/>
      </c>
      <c r="J9121" s="25" t="str">
        <f aca="false">Lib_PA</f>
        <v>Plateforme agréée – facturation électronique</v>
      </c>
      <c r="K9121" s="25" t="n">
        <f aca="false">IF($K$9091=0,0,N(INDEX(Clients!$N$2:$N$501,$K$9091)))</f>
        <v>0</v>
      </c>
      <c r="L9121" s="25" t="n">
        <f aca="false">IF($K$9091=0,0,N(INDEX(Clients!$S$2:$S$501,$K$9091)))</f>
        <v>0</v>
      </c>
      <c r="M9121" s="25" t="n">
        <f aca="false">IF(OR(K9121&lt;&gt;0,L9121&lt;&gt;0),1,0)</f>
        <v>0</v>
      </c>
      <c r="N9121" s="25" t="str">
        <f aca="false">IF(M9121=1,SUM($M$9118:M9121),"")</f>
        <v/>
      </c>
      <c r="O9121" s="25" t="n">
        <v>4</v>
      </c>
    </row>
    <row r="9122" customFormat="false" ht="18" hidden="false" customHeight="true" outlineLevel="0" collapsed="false">
      <c r="B9122" s="43" t="s">
        <v>158</v>
      </c>
      <c r="C9122" s="44" t="n">
        <f aca="false">SUM(K9118:K9121)</f>
        <v>0</v>
      </c>
      <c r="D9122" s="45" t="str">
        <f aca="false">IF(N(C9122)=0,"",E9122/C9122-1)</f>
        <v/>
      </c>
      <c r="E9122" s="44" t="n">
        <f aca="false">SUM(L9118:L9121)</f>
        <v>0</v>
      </c>
      <c r="F9122" s="44" t="n">
        <f aca="false">E9122-C9122</f>
        <v>0</v>
      </c>
    </row>
    <row r="9123" customFormat="false" ht="15" hidden="false" customHeight="false" outlineLevel="0" collapsed="false">
      <c r="B9123" s="46" t="str">
        <f aca="false">IF(N(Nb_Mensualites)=0,"","Soit "&amp;FIXED(E9122/Nb_Mensualites,2)&amp;" € HT par échéance ("&amp;Nb_Mensualites&amp;" échéances), "&amp;FIXED(E9122/Nb_Mensualites*(1+Taux_TVA),2)&amp;" € TTC.")</f>
        <v>Soit 0.00 € HT par échéance (12 échéances), 0.00 € TTC.</v>
      </c>
      <c r="C9123" s="46"/>
      <c r="D9123" s="46"/>
      <c r="E9123" s="46"/>
      <c r="F9123" s="46"/>
    </row>
    <row r="9124" customFormat="false" ht="7.5" hidden="false" customHeight="true" outlineLevel="0" collapsed="false">
      <c r="B9124" s="10"/>
      <c r="C9124" s="10"/>
      <c r="D9124" s="10"/>
      <c r="E9124" s="10"/>
      <c r="F9124" s="10"/>
    </row>
    <row r="9125" customFormat="false" ht="36.75" hidden="false" customHeight="true" outlineLevel="0" collapsed="false">
      <c r="B9125" s="37" t="str">
        <f aca="false">SUBSTITUTE(SUBSTITUTE(SUBSTITUTE(SUBSTITUTE(SUBSTITUTE(Txt_P5,"{cabinet}",Cab_Nom),"{societe}",IF($K$9091=0,"",INDEX(Clients!$E$2:$E$501,$K$9091)&amp;"")),"{date_effet}",$K$9093),"{hausse}",$K$9094),"{civilite}",$K$9092)</f>
        <v>Les autres conditions de votre lettre de mission demeurent inchangées. Les nouveaux montants seront appliqués automatiquement sur vos prochaines factures et échéances de prélèvement.</v>
      </c>
      <c r="C9125" s="37"/>
      <c r="D9125" s="37"/>
      <c r="E9125" s="37"/>
      <c r="F9125" s="37"/>
    </row>
    <row r="9126" customFormat="false" ht="36.75" hidden="false" customHeight="true" outlineLevel="0" collapsed="false">
      <c r="B9126" s="37" t="str">
        <f aca="false">SUBSTITUTE(SUBSTITUTE(SUBSTITUTE(SUBSTITUTE(SUBSTITUTE(Txt_P6,"{cabinet}",Cab_Nom),"{societe}",IF($K$9091=0,"",INDEX(Clients!$E$2:$E$501,$K$9091)&amp;"")),"{date_effet}",$K$9093),"{hausse}",$K$9094),"{civilite}",$K$9092)</f>
        <v>Votre interlocuteur habituel reste à votre entière disposition pour répondre à vos questions et faire le point sur l'évolution de vos besoins.</v>
      </c>
      <c r="C9126" s="37"/>
      <c r="D9126" s="37"/>
      <c r="E9126" s="37"/>
      <c r="F9126" s="37"/>
    </row>
    <row r="9127" customFormat="false" ht="24" hidden="false" customHeight="true" outlineLevel="0" collapsed="false">
      <c r="B9127" s="37" t="str">
        <f aca="false">SUBSTITUTE(SUBSTITUTE(SUBSTITUTE(SUBSTITUTE(SUBSTITUTE(Txt_Politesse,"{cabinet}",Cab_Nom),"{societe}",IF($K$9091=0,"",INDEX(Clients!$E$2:$E$501,$K$9091)&amp;"")),"{date_effet}",$K$9093),"{hausse}",$K$9094),"{civilite}",$K$9092)</f>
        <v>Nous vous prions d'agréer, Madame, Monsieur, l'expression de nos salutations distinguées.</v>
      </c>
      <c r="C9127" s="37"/>
      <c r="D9127" s="37"/>
      <c r="E9127" s="37"/>
      <c r="F9127" s="37"/>
    </row>
    <row r="9128" customFormat="false" ht="15" hidden="false" customHeight="false" outlineLevel="0" collapsed="false">
      <c r="B9128" s="10"/>
      <c r="C9128" s="10"/>
      <c r="D9128" s="10"/>
      <c r="E9128" s="10"/>
      <c r="F9128" s="10"/>
    </row>
    <row r="9129" customFormat="false" ht="15" hidden="false" customHeight="false" outlineLevel="0" collapsed="false">
      <c r="B9129" s="10"/>
      <c r="C9129" s="10"/>
      <c r="D9129" s="34" t="str">
        <f aca="false">Signataire</f>
        <v>Prénom NOM</v>
      </c>
      <c r="E9129" s="34"/>
      <c r="F9129" s="34"/>
    </row>
    <row r="9130" customFormat="false" ht="15" hidden="false" customHeight="false" outlineLevel="0" collapsed="false">
      <c r="B9130" s="10"/>
      <c r="C9130" s="10"/>
      <c r="D9130" s="47" t="str">
        <f aca="false">Signataire_Titre</f>
        <v>Expert-comptable associé</v>
      </c>
      <c r="E9130" s="47"/>
      <c r="F9130" s="47"/>
    </row>
    <row r="9131" customFormat="false" ht="15.75" hidden="false" customHeight="true" outlineLevel="0" collapsed="false">
      <c r="B9131" s="10"/>
      <c r="C9131" s="10"/>
      <c r="D9131" s="10"/>
      <c r="E9131" s="10"/>
      <c r="F9131" s="10"/>
    </row>
    <row r="9132" customFormat="false" ht="15.75" hidden="false" customHeight="true" outlineLevel="0" collapsed="false">
      <c r="B9132" s="10"/>
      <c r="C9132" s="10"/>
      <c r="D9132" s="10"/>
      <c r="E9132" s="10"/>
      <c r="F9132" s="10"/>
    </row>
    <row r="9133" customFormat="false" ht="15.75" hidden="false" customHeight="true" outlineLevel="0" collapsed="false">
      <c r="B9133" s="10"/>
      <c r="C9133" s="10"/>
      <c r="D9133" s="10"/>
      <c r="E9133" s="10"/>
      <c r="F9133" s="10"/>
    </row>
    <row r="9134" customFormat="false" ht="15.75" hidden="false" customHeight="true" outlineLevel="0" collapsed="false">
      <c r="B9134" s="10"/>
      <c r="C9134" s="10"/>
      <c r="D9134" s="10"/>
      <c r="E9134" s="10"/>
      <c r="F9134" s="10"/>
    </row>
    <row r="9135" customFormat="false" ht="24" hidden="false" customHeight="true" outlineLevel="0" collapsed="false">
      <c r="B9135" s="48" t="str">
        <f aca="false">Cab_Mentions</f>
        <v>ALTHO EXPERTISE · SAS au capital de 10 000 € · RCS Pontoise 919 706 325 · TVA FR62919706325 · Société d'expertise comptable inscrite au Tableau de l'Ordre des experts-comptables de Paris Île-de-France</v>
      </c>
      <c r="C9135" s="48"/>
      <c r="D9135" s="48"/>
      <c r="E9135" s="48"/>
      <c r="F9135" s="48"/>
    </row>
    <row r="9136" customFormat="false" ht="15" hidden="false" customHeight="false" outlineLevel="0" collapsed="false">
      <c r="B9136" s="10"/>
      <c r="C9136" s="10"/>
      <c r="D9136" s="10"/>
      <c r="E9136" s="10"/>
      <c r="F9136" s="10"/>
      <c r="J9136" s="25" t="s">
        <v>142</v>
      </c>
      <c r="K9136" s="25" t="n">
        <f aca="false">IFERROR(MATCH(204,Clients!$Z$2:$Z$501,0),0)</f>
        <v>0</v>
      </c>
      <c r="L9136" s="25"/>
      <c r="M9136" s="25"/>
      <c r="N9136" s="25"/>
      <c r="O9136" s="25"/>
    </row>
    <row r="9137" customFormat="false" ht="21.75" hidden="false" customHeight="true" outlineLevel="0" collapsed="false">
      <c r="B9137" s="26" t="str">
        <f aca="false">Cab_Nom</f>
        <v>ALTHO EXPERTISE</v>
      </c>
      <c r="C9137" s="26"/>
      <c r="D9137" s="10"/>
      <c r="E9137" s="27" t="str">
        <f aca="false">IF($K$9136=0,"","Réf. client : "&amp;INDEX(Clients!$A$2:$A$501,$K$9136))</f>
        <v/>
      </c>
      <c r="F9137" s="27"/>
      <c r="J9137" s="25" t="s">
        <v>144</v>
      </c>
      <c r="K9137" s="25" t="str">
        <f aca="false">IF(IF($K$9136=0,"",INDEX(Clients!$B$2:$B$501,$K$9136)&amp;"")="Mme","Madame",IF(IF($K$9136=0,"",INDEX(Clients!$B$2:$B$501,$K$9136)&amp;"")="M.","Monsieur","Madame, Monsieur"))</f>
        <v>Madame, Monsieur</v>
      </c>
      <c r="L9137" s="25"/>
      <c r="M9137" s="25"/>
      <c r="N9137" s="25"/>
      <c r="O9137" s="25"/>
    </row>
    <row r="9138" customFormat="false" ht="15" hidden="false" customHeight="false" outlineLevel="0" collapsed="false">
      <c r="B9138" s="29" t="str">
        <f aca="false">Cab_Adr1</f>
        <v>141 rue Charles de Gaulle</v>
      </c>
      <c r="C9138" s="29"/>
      <c r="D9138" s="10"/>
      <c r="E9138" s="10"/>
      <c r="F9138" s="10"/>
      <c r="J9138" s="25" t="s">
        <v>145</v>
      </c>
      <c r="K9138" s="25" t="str">
        <f aca="false">DAY(Date_Effet)&amp;IF(DAY(Date_Effet)=1,"er","")&amp;" "&amp;INDEX(Liste_Mois,MONTH(Date_Effet))&amp;" "&amp;YEAR(Date_Effet)</f>
        <v>1er janvier 2027</v>
      </c>
      <c r="L9138" s="25"/>
      <c r="M9138" s="25"/>
      <c r="N9138" s="25"/>
      <c r="O9138" s="25"/>
    </row>
    <row r="9139" customFormat="false" ht="15" hidden="false" customHeight="false" outlineLevel="0" collapsed="false">
      <c r="B9139" s="29" t="str">
        <f aca="false">Cab_CPVille</f>
        <v>95130 LE PLESSIS-BOUCHARD</v>
      </c>
      <c r="C9139" s="29"/>
      <c r="D9139" s="10"/>
      <c r="E9139" s="10"/>
      <c r="F9139" s="10"/>
      <c r="J9139" s="25" t="s">
        <v>146</v>
      </c>
      <c r="K9139" s="25" t="str">
        <f aca="false">IF(SUM($K$9163:$K$9166)=0,"",FIXED((SUM($L$9163:$L$9166)/SUM($K$9163:$K$9166)-1)*100,1)&amp;" %")</f>
        <v/>
      </c>
      <c r="L9139" s="25"/>
      <c r="M9139" s="25"/>
      <c r="N9139" s="25"/>
      <c r="O9139" s="25"/>
    </row>
    <row r="9140" customFormat="false" ht="15" hidden="false" customHeight="false" outlineLevel="0" collapsed="false">
      <c r="B9140" s="29" t="str">
        <f aca="false">Cab_Contact</f>
        <v>Tél. 01 34 14 53 45  ·  altho@altho-experts.com  ·  altho-experts.com</v>
      </c>
      <c r="C9140" s="29"/>
      <c r="D9140" s="10"/>
      <c r="E9140" s="10"/>
      <c r="F9140" s="10"/>
      <c r="J9140" s="25"/>
      <c r="K9140" s="25"/>
      <c r="L9140" s="25"/>
      <c r="M9140" s="25"/>
      <c r="N9140" s="25"/>
      <c r="O9140" s="25"/>
    </row>
    <row r="9141" customFormat="false" ht="6" hidden="false" customHeight="true" outlineLevel="0" collapsed="false">
      <c r="B9141" s="32"/>
      <c r="C9141" s="32"/>
      <c r="D9141" s="32"/>
      <c r="E9141" s="32"/>
      <c r="F9141" s="32"/>
      <c r="J9141" s="25"/>
      <c r="K9141" s="25"/>
      <c r="L9141" s="25"/>
      <c r="M9141" s="25"/>
      <c r="N9141" s="25"/>
      <c r="O9141" s="25"/>
    </row>
    <row r="9142" customFormat="false" ht="13.5" hidden="false" customHeight="true" outlineLevel="0" collapsed="false">
      <c r="B9142" s="10"/>
      <c r="C9142" s="10"/>
      <c r="D9142" s="10"/>
      <c r="E9142" s="10"/>
      <c r="F9142" s="10"/>
      <c r="J9142" s="25"/>
      <c r="K9142" s="25"/>
      <c r="L9142" s="25"/>
      <c r="M9142" s="25"/>
      <c r="N9142" s="25"/>
      <c r="O9142" s="25"/>
    </row>
    <row r="9143" customFormat="false" ht="13.5" hidden="false" customHeight="true" outlineLevel="0" collapsed="false">
      <c r="B9143" s="10"/>
      <c r="C9143" s="10"/>
      <c r="D9143" s="10"/>
      <c r="E9143" s="10"/>
      <c r="F9143" s="10"/>
      <c r="J9143" s="25"/>
      <c r="K9143" s="25"/>
      <c r="L9143" s="25"/>
      <c r="M9143" s="25"/>
      <c r="N9143" s="25"/>
      <c r="O9143" s="25"/>
    </row>
    <row r="9144" customFormat="false" ht="13.5" hidden="false" customHeight="true" outlineLevel="0" collapsed="false">
      <c r="B9144" s="10"/>
      <c r="C9144" s="10"/>
      <c r="D9144" s="10"/>
      <c r="E9144" s="10"/>
      <c r="F9144" s="10"/>
      <c r="J9144" s="25"/>
      <c r="K9144" s="25"/>
      <c r="L9144" s="25"/>
      <c r="M9144" s="25"/>
      <c r="N9144" s="25"/>
      <c r="O9144" s="25"/>
    </row>
    <row r="9145" customFormat="false" ht="15" hidden="false" customHeight="true" outlineLevel="0" collapsed="false">
      <c r="B9145" s="10"/>
      <c r="C9145" s="10"/>
      <c r="D9145" s="34" t="str">
        <f aca="false">IF($K$9136=0,"",INDEX(Clients!$E$2:$E$501,$K$9136)&amp;"")</f>
        <v/>
      </c>
      <c r="E9145" s="34"/>
      <c r="F9145" s="34"/>
      <c r="J9145" s="25"/>
      <c r="K9145" s="25"/>
      <c r="L9145" s="25"/>
      <c r="M9145" s="25"/>
      <c r="N9145" s="25"/>
      <c r="O9145" s="25"/>
    </row>
    <row r="9146" customFormat="false" ht="15" hidden="false" customHeight="true" outlineLevel="0" collapsed="false">
      <c r="B9146" s="10"/>
      <c r="C9146" s="10"/>
      <c r="D9146" s="35" t="str">
        <f aca="false">IF(IF($K$9136=0,"",INDEX(Clients!$D$2:$D$501,$K$9136)&amp;"")="","","À l'attention de "&amp;TRIM(IF($K$9136=0,"",INDEX(Clients!$B$2:$B$501,$K$9136)&amp;"")&amp;" "&amp;IF($K$9136=0,"",INDEX(Clients!$C$2:$C$501,$K$9136)&amp;"")&amp;" "&amp;IF($K$9136=0,"",INDEX(Clients!$D$2:$D$501,$K$9136)&amp;"")))</f>
        <v/>
      </c>
      <c r="E9146" s="35"/>
      <c r="F9146" s="35"/>
      <c r="J9146" s="25"/>
      <c r="K9146" s="25"/>
      <c r="L9146" s="25"/>
      <c r="M9146" s="25"/>
      <c r="N9146" s="25"/>
      <c r="O9146" s="25"/>
    </row>
    <row r="9147" customFormat="false" ht="15" hidden="false" customHeight="true" outlineLevel="0" collapsed="false">
      <c r="B9147" s="10"/>
      <c r="C9147" s="10"/>
      <c r="D9147" s="35" t="str">
        <f aca="false">IF($K$9136=0,"",INDEX(Clients!$F$2:$F$501,$K$9136)&amp;"")</f>
        <v/>
      </c>
      <c r="E9147" s="35"/>
      <c r="F9147" s="35"/>
      <c r="J9147" s="25"/>
      <c r="K9147" s="25"/>
      <c r="L9147" s="25"/>
      <c r="M9147" s="25"/>
      <c r="N9147" s="25"/>
      <c r="O9147" s="25"/>
    </row>
    <row r="9148" customFormat="false" ht="15" hidden="false" customHeight="true" outlineLevel="0" collapsed="false">
      <c r="B9148" s="10"/>
      <c r="C9148" s="10"/>
      <c r="D9148" s="35" t="str">
        <f aca="false">IF(IF($K$9136=0,"",INDEX(Clients!$G$2:$G$501,$K$9136)&amp;"")="",TRIM(IF($K$9136=0,"",INDEX(Clients!$H$2:$H$501,$K$9136)&amp;"")&amp;" "&amp;UPPER(IF($K$9136=0,"",INDEX(Clients!$I$2:$I$501,$K$9136)&amp;""))),IF($K$9136=0,"",INDEX(Clients!$G$2:$G$501,$K$9136)&amp;""))</f>
        <v/>
      </c>
      <c r="E9148" s="35"/>
      <c r="F9148" s="35"/>
      <c r="J9148" s="25"/>
      <c r="K9148" s="25"/>
      <c r="L9148" s="25"/>
      <c r="M9148" s="25"/>
      <c r="N9148" s="25"/>
      <c r="O9148" s="25"/>
    </row>
    <row r="9149" customFormat="false" ht="15" hidden="false" customHeight="true" outlineLevel="0" collapsed="false">
      <c r="B9149" s="10"/>
      <c r="C9149" s="10"/>
      <c r="D9149" s="35" t="str">
        <f aca="false">IF(IF($K$9136=0,"",INDEX(Clients!$G$2:$G$501,$K$9136)&amp;"")="","",TRIM(IF($K$9136=0,"",INDEX(Clients!$H$2:$H$501,$K$9136)&amp;"")&amp;" "&amp;UPPER(IF($K$9136=0,"",INDEX(Clients!$I$2:$I$501,$K$9136)&amp;""))))</f>
        <v/>
      </c>
      <c r="E9149" s="35"/>
      <c r="F9149" s="35"/>
      <c r="J9149" s="25"/>
      <c r="K9149" s="25"/>
      <c r="L9149" s="25"/>
      <c r="M9149" s="25"/>
      <c r="N9149" s="25"/>
      <c r="O9149" s="25"/>
    </row>
    <row r="9150" customFormat="false" ht="25.5" hidden="false" customHeight="true" outlineLevel="0" collapsed="false">
      <c r="B9150" s="10"/>
      <c r="C9150" s="10"/>
      <c r="D9150" s="10"/>
      <c r="E9150" s="10"/>
      <c r="F9150" s="10"/>
      <c r="J9150" s="25"/>
      <c r="K9150" s="25"/>
      <c r="L9150" s="25"/>
      <c r="M9150" s="25"/>
      <c r="N9150" s="25"/>
      <c r="O9150" s="25"/>
    </row>
    <row r="9151" customFormat="false" ht="15" hidden="false" customHeight="false" outlineLevel="0" collapsed="false">
      <c r="B9151" s="10"/>
      <c r="C9151" s="10"/>
      <c r="D9151" s="36" t="str">
        <f aca="false">Cab_Ville&amp;", le "&amp;DAY(Date_Courrier)&amp;IF(DAY(Date_Courrier)=1,"er","")&amp;" "&amp;INDEX(Liste_Mois,MONTH(Date_Courrier))&amp;" "&amp;YEAR(Date_Courrier)</f>
        <v>Le Plessis-Bouchard, le 22 septembre 2026</v>
      </c>
      <c r="E9151" s="36"/>
      <c r="F9151" s="36"/>
      <c r="J9151" s="25"/>
      <c r="K9151" s="25"/>
      <c r="L9151" s="25"/>
      <c r="M9151" s="25"/>
      <c r="N9151" s="25"/>
      <c r="O9151" s="25"/>
    </row>
    <row r="9152" customFormat="false" ht="19.5" hidden="false" customHeight="true" outlineLevel="0" collapsed="false">
      <c r="B9152" s="10"/>
      <c r="C9152" s="10"/>
      <c r="D9152" s="10"/>
      <c r="E9152" s="10"/>
      <c r="F9152" s="10"/>
      <c r="J9152" s="25"/>
      <c r="K9152" s="25"/>
      <c r="L9152" s="25"/>
      <c r="M9152" s="25"/>
      <c r="N9152" s="25"/>
      <c r="O9152" s="25"/>
    </row>
    <row r="9153" customFormat="false" ht="15" hidden="false" customHeight="false" outlineLevel="0" collapsed="false">
      <c r="B9153" s="34" t="str">
        <f aca="false">SUBSTITUTE(SUBSTITUTE(SUBSTITUTE(SUBSTITUTE(SUBSTITUTE(Txt_Objet,"{cabinet}",Cab_Nom),"{societe}",IF($K$9136=0,"",INDEX(Clients!$E$2:$E$501,$K$9136)&amp;"")),"{date_effet}",$K$9138),"{hausse}",$K$9139),"{civilite}",$K$9137)</f>
        <v>Objet : révision de nos honoraires au 1er janvier 2027</v>
      </c>
      <c r="C9153" s="34"/>
      <c r="D9153" s="34"/>
      <c r="E9153" s="34"/>
      <c r="F9153" s="34"/>
      <c r="J9153" s="25"/>
      <c r="K9153" s="25"/>
      <c r="L9153" s="25"/>
      <c r="M9153" s="25"/>
      <c r="N9153" s="25"/>
      <c r="O9153" s="25"/>
    </row>
    <row r="9154" customFormat="false" ht="13.5" hidden="false" customHeight="true" outlineLevel="0" collapsed="false">
      <c r="B9154" s="10"/>
      <c r="C9154" s="10"/>
      <c r="D9154" s="10"/>
      <c r="E9154" s="10"/>
      <c r="F9154" s="10"/>
      <c r="J9154" s="25"/>
      <c r="K9154" s="25"/>
      <c r="L9154" s="25"/>
      <c r="M9154" s="25"/>
      <c r="N9154" s="25"/>
      <c r="O9154" s="25"/>
    </row>
    <row r="9155" customFormat="false" ht="15" hidden="false" customHeight="false" outlineLevel="0" collapsed="false">
      <c r="B9155" s="10" t="str">
        <f aca="false">$K$9137&amp;","</f>
        <v>Madame, Monsieur,</v>
      </c>
      <c r="C9155" s="10"/>
      <c r="D9155" s="10"/>
      <c r="E9155" s="10"/>
      <c r="F9155" s="10"/>
      <c r="J9155" s="25"/>
      <c r="K9155" s="25"/>
      <c r="L9155" s="25"/>
      <c r="M9155" s="25"/>
      <c r="N9155" s="25"/>
      <c r="O9155" s="25"/>
    </row>
    <row r="9156" customFormat="false" ht="6" hidden="false" customHeight="true" outlineLevel="0" collapsed="false">
      <c r="B9156" s="10"/>
      <c r="C9156" s="10"/>
      <c r="D9156" s="10"/>
      <c r="E9156" s="10"/>
      <c r="F9156" s="10"/>
      <c r="J9156" s="25"/>
      <c r="K9156" s="25"/>
      <c r="L9156" s="25"/>
      <c r="M9156" s="25"/>
      <c r="N9156" s="25"/>
      <c r="O9156" s="25"/>
    </row>
    <row r="9157" customFormat="false" ht="36.75" hidden="false" customHeight="true" outlineLevel="0" collapsed="false">
      <c r="B9157" s="37" t="str">
        <f aca="false">SUBSTITUTE(SUBSTITUTE(SUBSTITUTE(SUBSTITUTE(SUBSTITUTE(Txt_P1,"{cabinet}",Cab_Nom),"{societe}",IF($K$9136=0,"",INDEX(Clients!$E$2:$E$501,$K$9136)&amp;"")),"{date_effet}",$K$9138),"{hausse}",$K$9139),"{civilite}",$K$9137)</f>
        <v>Nous tenons tout d'abord à vous remercier pour la confiance que vous accordez à ALTHO EXPERTISE. Comme chaque année, et conformément aux dispositions de votre lettre de mission, nous procédons à la révision de nos honoraires.</v>
      </c>
      <c r="C9157" s="37"/>
      <c r="D9157" s="37"/>
      <c r="E9157" s="37"/>
      <c r="F9157" s="37"/>
      <c r="J9157" s="25"/>
      <c r="K9157" s="25"/>
      <c r="L9157" s="25"/>
      <c r="M9157" s="25"/>
      <c r="N9157" s="25"/>
      <c r="O9157" s="25"/>
    </row>
    <row r="9158" customFormat="false" ht="49.5" hidden="false" customHeight="true" outlineLevel="0" collapsed="false">
      <c r="B9158" s="37" t="str">
        <f aca="false">SUBSTITUTE(SUBSTITUTE(SUBSTITUTE(SUBSTITUTE(SUBSTITUTE(Txt_P2,"{cabinet}",Cab_Nom),"{societe}",IF($K$9136=0,"",INDEX(Clients!$E$2:$E$501,$K$9136)&amp;"")),"{date_effet}",$K$9138),"{hausse}",$K$9139),"{civilite}",$K$9137)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158" s="37"/>
      <c r="D9158" s="37"/>
      <c r="E9158" s="37"/>
      <c r="F9158" s="37"/>
      <c r="J9158" s="25"/>
      <c r="K9158" s="25"/>
      <c r="L9158" s="25"/>
      <c r="M9158" s="25"/>
      <c r="N9158" s="25"/>
      <c r="O9158" s="25"/>
    </row>
    <row r="9159" customFormat="false" ht="63" hidden="false" customHeight="true" outlineLevel="0" collapsed="false">
      <c r="B9159" s="37" t="str">
        <f aca="false">SUBSTITUTE(SUBSTITUTE(SUBSTITUTE(SUBSTITUTE(SUBSTITUTE(Txt_P3,"{cabinet}",Cab_Nom),"{societe}",IF($K$9136=0,"",INDEX(Clients!$E$2:$E$501,$K$9136)&amp;"")),"{date_effet}",$K$9138),"{hausse}",$K$9139),"{civilite}",$K$9137)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159" s="37"/>
      <c r="D9159" s="37"/>
      <c r="E9159" s="37"/>
      <c r="F9159" s="37"/>
      <c r="J9159" s="25"/>
      <c r="K9159" s="25"/>
      <c r="L9159" s="25"/>
      <c r="M9159" s="25"/>
      <c r="N9159" s="25"/>
      <c r="O9159" s="25"/>
    </row>
    <row r="9160" customFormat="false" ht="24" hidden="false" customHeight="true" outlineLevel="0" collapsed="false">
      <c r="B9160" s="37" t="str">
        <f aca="false">SUBSTITUTE(SUBSTITUTE(SUBSTITUTE(SUBSTITUTE(SUBSTITUTE(Txt_P4,"{cabinet}",Cab_Nom),"{societe}",IF($K$9136=0,"",INDEX(Clients!$E$2:$E$501,$K$9136)&amp;"")),"{date_effet}",$K$9138),"{hausse}",$K$9139),"{civilite}",$K$9137)</f>
        <v>À compter du 1er janvier 2027, vos honoraires annuels hors taxes évolueront ainsi (évolution globale : ) :</v>
      </c>
      <c r="C9160" s="37"/>
      <c r="D9160" s="37"/>
      <c r="E9160" s="37"/>
      <c r="F9160" s="37"/>
      <c r="J9160" s="25"/>
      <c r="K9160" s="25"/>
      <c r="L9160" s="25"/>
      <c r="M9160" s="25"/>
      <c r="N9160" s="25"/>
      <c r="O9160" s="25"/>
    </row>
    <row r="9161" customFormat="false" ht="3.75" hidden="false" customHeight="true" outlineLevel="0" collapsed="false">
      <c r="B9161" s="10"/>
      <c r="C9161" s="10"/>
      <c r="D9161" s="10"/>
      <c r="E9161" s="10"/>
      <c r="F9161" s="10"/>
      <c r="J9161" s="25"/>
      <c r="K9161" s="25"/>
      <c r="L9161" s="25"/>
      <c r="M9161" s="25"/>
      <c r="N9161" s="25"/>
      <c r="O9161" s="25"/>
    </row>
    <row r="9162" customFormat="false" ht="18" hidden="false" customHeight="true" outlineLevel="0" collapsed="false">
      <c r="B9162" s="38" t="s">
        <v>148</v>
      </c>
      <c r="C9162" s="39" t="s">
        <v>149</v>
      </c>
      <c r="D9162" s="39" t="s">
        <v>150</v>
      </c>
      <c r="E9162" s="39" t="s">
        <v>151</v>
      </c>
      <c r="F9162" s="39" t="s">
        <v>109</v>
      </c>
      <c r="J9162" s="25" t="s">
        <v>152</v>
      </c>
      <c r="K9162" s="25" t="s">
        <v>153</v>
      </c>
      <c r="L9162" s="25" t="s">
        <v>154</v>
      </c>
      <c r="M9162" s="25" t="s">
        <v>155</v>
      </c>
      <c r="N9162" s="25" t="s">
        <v>156</v>
      </c>
      <c r="O9162" s="25" t="s">
        <v>157</v>
      </c>
    </row>
    <row r="9163" customFormat="false" ht="16.5" hidden="false" customHeight="true" outlineLevel="0" collapsed="false">
      <c r="B9163" s="40" t="str">
        <f aca="false">IFERROR(INDEX($J$9163:$J$9166,MATCH($O9163,$N$9163:$N$9166,0)),"")</f>
        <v/>
      </c>
      <c r="C9163" s="41" t="str">
        <f aca="false">IFERROR(INDEX($K$9163:$K$9166,MATCH($O9163,$N$9163:$N$9166,0)),"")</f>
        <v/>
      </c>
      <c r="D9163" s="42" t="str">
        <f aca="false">IF(OR(E9163="",N(C9163)=0),"",E9163/C9163-1)</f>
        <v/>
      </c>
      <c r="E9163" s="41" t="str">
        <f aca="false">IFERROR(INDEX($L$9163:$L$9166,MATCH($O9163,$N$9163:$N$9166,0)),"")</f>
        <v/>
      </c>
      <c r="F9163" s="41" t="str">
        <f aca="false">IF(E9163="","",E9163-C9163)</f>
        <v/>
      </c>
      <c r="J9163" s="25" t="str">
        <f aca="false">Lib_Compta</f>
        <v>Mission comptable (tenue, révision, bilan, liasse fiscale)</v>
      </c>
      <c r="K9163" s="25" t="n">
        <f aca="false">IF($K$9136=0,0,N(INDEX(Clients!$K$2:$K$501,$K$9136)))</f>
        <v>0</v>
      </c>
      <c r="L9163" s="25" t="n">
        <f aca="false">IF($K$9136=0,0,N(INDEX(Clients!$P$2:$P$501,$K$9136)))</f>
        <v>0</v>
      </c>
      <c r="M9163" s="25" t="n">
        <f aca="false">IF(OR(K9163&lt;&gt;0,L9163&lt;&gt;0),1,0)</f>
        <v>0</v>
      </c>
      <c r="N9163" s="25" t="str">
        <f aca="false">IF(M9163=1,SUM($M$9163:M9163),"")</f>
        <v/>
      </c>
      <c r="O9163" s="25" t="n">
        <v>1</v>
      </c>
    </row>
    <row r="9164" customFormat="false" ht="16.5" hidden="false" customHeight="true" outlineLevel="0" collapsed="false">
      <c r="B9164" s="40" t="str">
        <f aca="false">IFERROR(INDEX($J$9163:$J$9166,MATCH($O9164,$N$9163:$N$9166,0)),"")</f>
        <v/>
      </c>
      <c r="C9164" s="41" t="str">
        <f aca="false">IFERROR(INDEX($K$9163:$K$9166,MATCH($O9164,$N$9163:$N$9166,0)),"")</f>
        <v/>
      </c>
      <c r="D9164" s="42" t="str">
        <f aca="false">IF(OR(E9164="",N(C9164)=0),"",E9164/C9164-1)</f>
        <v/>
      </c>
      <c r="E9164" s="41" t="str">
        <f aca="false">IFERROR(INDEX($L$9163:$L$9166,MATCH($O9164,$N$9163:$N$9166,0)),"")</f>
        <v/>
      </c>
      <c r="F9164" s="41" t="str">
        <f aca="false">IF(E9164="","",E9164-C9164)</f>
        <v/>
      </c>
      <c r="J9164" s="25" t="str">
        <f aca="false">Lib_Paye</f>
        <v>Mission sociale (bulletins de paie, DSN, déclarations sociales)</v>
      </c>
      <c r="K9164" s="25" t="n">
        <f aca="false">IF($K$9136=0,0,N(INDEX(Clients!$L$2:$L$501,$K$9136)))</f>
        <v>0</v>
      </c>
      <c r="L9164" s="25" t="n">
        <f aca="false">IF($K$9136=0,0,N(INDEX(Clients!$Q$2:$Q$501,$K$9136)))</f>
        <v>0</v>
      </c>
      <c r="M9164" s="25" t="n">
        <f aca="false">IF(OR(K9164&lt;&gt;0,L9164&lt;&gt;0),1,0)</f>
        <v>0</v>
      </c>
      <c r="N9164" s="25" t="str">
        <f aca="false">IF(M9164=1,SUM($M$9163:M9164),"")</f>
        <v/>
      </c>
      <c r="O9164" s="25" t="n">
        <v>2</v>
      </c>
    </row>
    <row r="9165" customFormat="false" ht="16.5" hidden="false" customHeight="true" outlineLevel="0" collapsed="false">
      <c r="B9165" s="40" t="str">
        <f aca="false">IFERROR(INDEX($J$9163:$J$9166,MATCH($O9165,$N$9163:$N$9166,0)),"")</f>
        <v/>
      </c>
      <c r="C9165" s="41" t="str">
        <f aca="false">IFERROR(INDEX($K$9163:$K$9166,MATCH($O9165,$N$9163:$N$9166,0)),"")</f>
        <v/>
      </c>
      <c r="D9165" s="42" t="str">
        <f aca="false">IF(OR(E9165="",N(C9165)=0),"",E9165/C9165-1)</f>
        <v/>
      </c>
      <c r="E9165" s="41" t="str">
        <f aca="false">IFERROR(INDEX($L$9163:$L$9166,MATCH($O9165,$N$9163:$N$9166,0)),"")</f>
        <v/>
      </c>
      <c r="F9165" s="41" t="str">
        <f aca="false">IF(E9165="","",E9165-C9165)</f>
        <v/>
      </c>
      <c r="J9165" s="25" t="str">
        <f aca="false">Lib_Jur</f>
        <v>Mission juridique (approbation des comptes, secrétariat juridique)</v>
      </c>
      <c r="K9165" s="25" t="n">
        <f aca="false">IF($K$9136=0,0,N(INDEX(Clients!$M$2:$M$501,$K$9136)))</f>
        <v>0</v>
      </c>
      <c r="L9165" s="25" t="n">
        <f aca="false">IF($K$9136=0,0,N(INDEX(Clients!$R$2:$R$501,$K$9136)))</f>
        <v>0</v>
      </c>
      <c r="M9165" s="25" t="n">
        <f aca="false">IF(OR(K9165&lt;&gt;0,L9165&lt;&gt;0),1,0)</f>
        <v>0</v>
      </c>
      <c r="N9165" s="25" t="str">
        <f aca="false">IF(M9165=1,SUM($M$9163:M9165),"")</f>
        <v/>
      </c>
      <c r="O9165" s="25" t="n">
        <v>3</v>
      </c>
    </row>
    <row r="9166" customFormat="false" ht="16.5" hidden="false" customHeight="true" outlineLevel="0" collapsed="false">
      <c r="B9166" s="40" t="str">
        <f aca="false">IFERROR(INDEX($J$9163:$J$9166,MATCH($O9166,$N$9163:$N$9166,0)),"")</f>
        <v/>
      </c>
      <c r="C9166" s="41" t="str">
        <f aca="false">IFERROR(INDEX($K$9163:$K$9166,MATCH($O9166,$N$9163:$N$9166,0)),"")</f>
        <v/>
      </c>
      <c r="D9166" s="42" t="str">
        <f aca="false">IF(OR(E9166="",N(C9166)=0),"",E9166/C9166-1)</f>
        <v/>
      </c>
      <c r="E9166" s="41" t="str">
        <f aca="false">IFERROR(INDEX($L$9163:$L$9166,MATCH($O9166,$N$9163:$N$9166,0)),"")</f>
        <v/>
      </c>
      <c r="F9166" s="41" t="str">
        <f aca="false">IF(E9166="","",E9166-C9166)</f>
        <v/>
      </c>
      <c r="J9166" s="25" t="str">
        <f aca="false">Lib_PA</f>
        <v>Plateforme agréée – facturation électronique</v>
      </c>
      <c r="K9166" s="25" t="n">
        <f aca="false">IF($K$9136=0,0,N(INDEX(Clients!$N$2:$N$501,$K$9136)))</f>
        <v>0</v>
      </c>
      <c r="L9166" s="25" t="n">
        <f aca="false">IF($K$9136=0,0,N(INDEX(Clients!$S$2:$S$501,$K$9136)))</f>
        <v>0</v>
      </c>
      <c r="M9166" s="25" t="n">
        <f aca="false">IF(OR(K9166&lt;&gt;0,L9166&lt;&gt;0),1,0)</f>
        <v>0</v>
      </c>
      <c r="N9166" s="25" t="str">
        <f aca="false">IF(M9166=1,SUM($M$9163:M9166),"")</f>
        <v/>
      </c>
      <c r="O9166" s="25" t="n">
        <v>4</v>
      </c>
    </row>
    <row r="9167" customFormat="false" ht="18" hidden="false" customHeight="true" outlineLevel="0" collapsed="false">
      <c r="B9167" s="43" t="s">
        <v>158</v>
      </c>
      <c r="C9167" s="44" t="n">
        <f aca="false">SUM(K9163:K9166)</f>
        <v>0</v>
      </c>
      <c r="D9167" s="45" t="str">
        <f aca="false">IF(N(C9167)=0,"",E9167/C9167-1)</f>
        <v/>
      </c>
      <c r="E9167" s="44" t="n">
        <f aca="false">SUM(L9163:L9166)</f>
        <v>0</v>
      </c>
      <c r="F9167" s="44" t="n">
        <f aca="false">E9167-C9167</f>
        <v>0</v>
      </c>
    </row>
    <row r="9168" customFormat="false" ht="15" hidden="false" customHeight="false" outlineLevel="0" collapsed="false">
      <c r="B9168" s="46" t="str">
        <f aca="false">IF(N(Nb_Mensualites)=0,"","Soit "&amp;FIXED(E9167/Nb_Mensualites,2)&amp;" € HT par échéance ("&amp;Nb_Mensualites&amp;" échéances), "&amp;FIXED(E9167/Nb_Mensualites*(1+Taux_TVA),2)&amp;" € TTC.")</f>
        <v>Soit 0.00 € HT par échéance (12 échéances), 0.00 € TTC.</v>
      </c>
      <c r="C9168" s="46"/>
      <c r="D9168" s="46"/>
      <c r="E9168" s="46"/>
      <c r="F9168" s="46"/>
    </row>
    <row r="9169" customFormat="false" ht="7.5" hidden="false" customHeight="true" outlineLevel="0" collapsed="false">
      <c r="B9169" s="10"/>
      <c r="C9169" s="10"/>
      <c r="D9169" s="10"/>
      <c r="E9169" s="10"/>
      <c r="F9169" s="10"/>
    </row>
    <row r="9170" customFormat="false" ht="36.75" hidden="false" customHeight="true" outlineLevel="0" collapsed="false">
      <c r="B9170" s="37" t="str">
        <f aca="false">SUBSTITUTE(SUBSTITUTE(SUBSTITUTE(SUBSTITUTE(SUBSTITUTE(Txt_P5,"{cabinet}",Cab_Nom),"{societe}",IF($K$9136=0,"",INDEX(Clients!$E$2:$E$501,$K$9136)&amp;"")),"{date_effet}",$K$9138),"{hausse}",$K$9139),"{civilite}",$K$9137)</f>
        <v>Les autres conditions de votre lettre de mission demeurent inchangées. Les nouveaux montants seront appliqués automatiquement sur vos prochaines factures et échéances de prélèvement.</v>
      </c>
      <c r="C9170" s="37"/>
      <c r="D9170" s="37"/>
      <c r="E9170" s="37"/>
      <c r="F9170" s="37"/>
    </row>
    <row r="9171" customFormat="false" ht="36.75" hidden="false" customHeight="true" outlineLevel="0" collapsed="false">
      <c r="B9171" s="37" t="str">
        <f aca="false">SUBSTITUTE(SUBSTITUTE(SUBSTITUTE(SUBSTITUTE(SUBSTITUTE(Txt_P6,"{cabinet}",Cab_Nom),"{societe}",IF($K$9136=0,"",INDEX(Clients!$E$2:$E$501,$K$9136)&amp;"")),"{date_effet}",$K$9138),"{hausse}",$K$9139),"{civilite}",$K$9137)</f>
        <v>Votre interlocuteur habituel reste à votre entière disposition pour répondre à vos questions et faire le point sur l'évolution de vos besoins.</v>
      </c>
      <c r="C9171" s="37"/>
      <c r="D9171" s="37"/>
      <c r="E9171" s="37"/>
      <c r="F9171" s="37"/>
    </row>
    <row r="9172" customFormat="false" ht="24" hidden="false" customHeight="true" outlineLevel="0" collapsed="false">
      <c r="B9172" s="37" t="str">
        <f aca="false">SUBSTITUTE(SUBSTITUTE(SUBSTITUTE(SUBSTITUTE(SUBSTITUTE(Txt_Politesse,"{cabinet}",Cab_Nom),"{societe}",IF($K$9136=0,"",INDEX(Clients!$E$2:$E$501,$K$9136)&amp;"")),"{date_effet}",$K$9138),"{hausse}",$K$9139),"{civilite}",$K$9137)</f>
        <v>Nous vous prions d'agréer, Madame, Monsieur, l'expression de nos salutations distinguées.</v>
      </c>
      <c r="C9172" s="37"/>
      <c r="D9172" s="37"/>
      <c r="E9172" s="37"/>
      <c r="F9172" s="37"/>
    </row>
    <row r="9173" customFormat="false" ht="15" hidden="false" customHeight="false" outlineLevel="0" collapsed="false">
      <c r="B9173" s="10"/>
      <c r="C9173" s="10"/>
      <c r="D9173" s="10"/>
      <c r="E9173" s="10"/>
      <c r="F9173" s="10"/>
    </row>
    <row r="9174" customFormat="false" ht="15" hidden="false" customHeight="false" outlineLevel="0" collapsed="false">
      <c r="B9174" s="10"/>
      <c r="C9174" s="10"/>
      <c r="D9174" s="34" t="str">
        <f aca="false">Signataire</f>
        <v>Prénom NOM</v>
      </c>
      <c r="E9174" s="34"/>
      <c r="F9174" s="34"/>
    </row>
    <row r="9175" customFormat="false" ht="15" hidden="false" customHeight="false" outlineLevel="0" collapsed="false">
      <c r="B9175" s="10"/>
      <c r="C9175" s="10"/>
      <c r="D9175" s="47" t="str">
        <f aca="false">Signataire_Titre</f>
        <v>Expert-comptable associé</v>
      </c>
      <c r="E9175" s="47"/>
      <c r="F9175" s="47"/>
    </row>
    <row r="9176" customFormat="false" ht="15.75" hidden="false" customHeight="true" outlineLevel="0" collapsed="false">
      <c r="B9176" s="10"/>
      <c r="C9176" s="10"/>
      <c r="D9176" s="10"/>
      <c r="E9176" s="10"/>
      <c r="F9176" s="10"/>
    </row>
    <row r="9177" customFormat="false" ht="15.75" hidden="false" customHeight="true" outlineLevel="0" collapsed="false">
      <c r="B9177" s="10"/>
      <c r="C9177" s="10"/>
      <c r="D9177" s="10"/>
      <c r="E9177" s="10"/>
      <c r="F9177" s="10"/>
    </row>
    <row r="9178" customFormat="false" ht="15.75" hidden="false" customHeight="true" outlineLevel="0" collapsed="false">
      <c r="B9178" s="10"/>
      <c r="C9178" s="10"/>
      <c r="D9178" s="10"/>
      <c r="E9178" s="10"/>
      <c r="F9178" s="10"/>
    </row>
    <row r="9179" customFormat="false" ht="15.75" hidden="false" customHeight="true" outlineLevel="0" collapsed="false">
      <c r="B9179" s="10"/>
      <c r="C9179" s="10"/>
      <c r="D9179" s="10"/>
      <c r="E9179" s="10"/>
      <c r="F9179" s="10"/>
    </row>
    <row r="9180" customFormat="false" ht="24" hidden="false" customHeight="true" outlineLevel="0" collapsed="false">
      <c r="B9180" s="48" t="str">
        <f aca="false">Cab_Mentions</f>
        <v>ALTHO EXPERTISE · SAS au capital de 10 000 € · RCS Pontoise 919 706 325 · TVA FR62919706325 · Société d'expertise comptable inscrite au Tableau de l'Ordre des experts-comptables de Paris Île-de-France</v>
      </c>
      <c r="C9180" s="48"/>
      <c r="D9180" s="48"/>
      <c r="E9180" s="48"/>
      <c r="F9180" s="48"/>
    </row>
    <row r="9181" customFormat="false" ht="15" hidden="false" customHeight="false" outlineLevel="0" collapsed="false">
      <c r="B9181" s="10"/>
      <c r="C9181" s="10"/>
      <c r="D9181" s="10"/>
      <c r="E9181" s="10"/>
      <c r="F9181" s="10"/>
      <c r="J9181" s="25" t="s">
        <v>142</v>
      </c>
      <c r="K9181" s="25" t="n">
        <f aca="false">IFERROR(MATCH(205,Clients!$Z$2:$Z$501,0),0)</f>
        <v>0</v>
      </c>
      <c r="L9181" s="25"/>
      <c r="M9181" s="25"/>
      <c r="N9181" s="25"/>
      <c r="O9181" s="25"/>
    </row>
    <row r="9182" customFormat="false" ht="21.75" hidden="false" customHeight="true" outlineLevel="0" collapsed="false">
      <c r="B9182" s="26" t="str">
        <f aca="false">Cab_Nom</f>
        <v>ALTHO EXPERTISE</v>
      </c>
      <c r="C9182" s="26"/>
      <c r="D9182" s="10"/>
      <c r="E9182" s="27" t="str">
        <f aca="false">IF($K$9181=0,"","Réf. client : "&amp;INDEX(Clients!$A$2:$A$501,$K$9181))</f>
        <v/>
      </c>
      <c r="F9182" s="27"/>
      <c r="J9182" s="25" t="s">
        <v>144</v>
      </c>
      <c r="K9182" s="25" t="str">
        <f aca="false">IF(IF($K$9181=0,"",INDEX(Clients!$B$2:$B$501,$K$9181)&amp;"")="Mme","Madame",IF(IF($K$9181=0,"",INDEX(Clients!$B$2:$B$501,$K$9181)&amp;"")="M.","Monsieur","Madame, Monsieur"))</f>
        <v>Madame, Monsieur</v>
      </c>
      <c r="L9182" s="25"/>
      <c r="M9182" s="25"/>
      <c r="N9182" s="25"/>
      <c r="O9182" s="25"/>
    </row>
    <row r="9183" customFormat="false" ht="15" hidden="false" customHeight="false" outlineLevel="0" collapsed="false">
      <c r="B9183" s="29" t="str">
        <f aca="false">Cab_Adr1</f>
        <v>141 rue Charles de Gaulle</v>
      </c>
      <c r="C9183" s="29"/>
      <c r="D9183" s="10"/>
      <c r="E9183" s="10"/>
      <c r="F9183" s="10"/>
      <c r="J9183" s="25" t="s">
        <v>145</v>
      </c>
      <c r="K9183" s="25" t="str">
        <f aca="false">DAY(Date_Effet)&amp;IF(DAY(Date_Effet)=1,"er","")&amp;" "&amp;INDEX(Liste_Mois,MONTH(Date_Effet))&amp;" "&amp;YEAR(Date_Effet)</f>
        <v>1er janvier 2027</v>
      </c>
      <c r="L9183" s="25"/>
      <c r="M9183" s="25"/>
      <c r="N9183" s="25"/>
      <c r="O9183" s="25"/>
    </row>
    <row r="9184" customFormat="false" ht="15" hidden="false" customHeight="false" outlineLevel="0" collapsed="false">
      <c r="B9184" s="29" t="str">
        <f aca="false">Cab_CPVille</f>
        <v>95130 LE PLESSIS-BOUCHARD</v>
      </c>
      <c r="C9184" s="29"/>
      <c r="D9184" s="10"/>
      <c r="E9184" s="10"/>
      <c r="F9184" s="10"/>
      <c r="J9184" s="25" t="s">
        <v>146</v>
      </c>
      <c r="K9184" s="25" t="str">
        <f aca="false">IF(SUM($K$9208:$K$9211)=0,"",FIXED((SUM($L$9208:$L$9211)/SUM($K$9208:$K$9211)-1)*100,1)&amp;" %")</f>
        <v/>
      </c>
      <c r="L9184" s="25"/>
      <c r="M9184" s="25"/>
      <c r="N9184" s="25"/>
      <c r="O9184" s="25"/>
    </row>
    <row r="9185" customFormat="false" ht="15" hidden="false" customHeight="false" outlineLevel="0" collapsed="false">
      <c r="B9185" s="29" t="str">
        <f aca="false">Cab_Contact</f>
        <v>Tél. 01 34 14 53 45  ·  altho@altho-experts.com  ·  altho-experts.com</v>
      </c>
      <c r="C9185" s="29"/>
      <c r="D9185" s="10"/>
      <c r="E9185" s="10"/>
      <c r="F9185" s="10"/>
      <c r="J9185" s="25"/>
      <c r="K9185" s="25"/>
      <c r="L9185" s="25"/>
      <c r="M9185" s="25"/>
      <c r="N9185" s="25"/>
      <c r="O9185" s="25"/>
    </row>
    <row r="9186" customFormat="false" ht="6" hidden="false" customHeight="true" outlineLevel="0" collapsed="false">
      <c r="B9186" s="32"/>
      <c r="C9186" s="32"/>
      <c r="D9186" s="32"/>
      <c r="E9186" s="32"/>
      <c r="F9186" s="32"/>
      <c r="J9186" s="25"/>
      <c r="K9186" s="25"/>
      <c r="L9186" s="25"/>
      <c r="M9186" s="25"/>
      <c r="N9186" s="25"/>
      <c r="O9186" s="25"/>
    </row>
    <row r="9187" customFormat="false" ht="13.5" hidden="false" customHeight="true" outlineLevel="0" collapsed="false">
      <c r="B9187" s="10"/>
      <c r="C9187" s="10"/>
      <c r="D9187" s="10"/>
      <c r="E9187" s="10"/>
      <c r="F9187" s="10"/>
      <c r="J9187" s="25"/>
      <c r="K9187" s="25"/>
      <c r="L9187" s="25"/>
      <c r="M9187" s="25"/>
      <c r="N9187" s="25"/>
      <c r="O9187" s="25"/>
    </row>
    <row r="9188" customFormat="false" ht="13.5" hidden="false" customHeight="true" outlineLevel="0" collapsed="false">
      <c r="B9188" s="10"/>
      <c r="C9188" s="10"/>
      <c r="D9188" s="10"/>
      <c r="E9188" s="10"/>
      <c r="F9188" s="10"/>
      <c r="J9188" s="25"/>
      <c r="K9188" s="25"/>
      <c r="L9188" s="25"/>
      <c r="M9188" s="25"/>
      <c r="N9188" s="25"/>
      <c r="O9188" s="25"/>
    </row>
    <row r="9189" customFormat="false" ht="13.5" hidden="false" customHeight="true" outlineLevel="0" collapsed="false">
      <c r="B9189" s="10"/>
      <c r="C9189" s="10"/>
      <c r="D9189" s="10"/>
      <c r="E9189" s="10"/>
      <c r="F9189" s="10"/>
      <c r="J9189" s="25"/>
      <c r="K9189" s="25"/>
      <c r="L9189" s="25"/>
      <c r="M9189" s="25"/>
      <c r="N9189" s="25"/>
      <c r="O9189" s="25"/>
    </row>
    <row r="9190" customFormat="false" ht="15" hidden="false" customHeight="true" outlineLevel="0" collapsed="false">
      <c r="B9190" s="10"/>
      <c r="C9190" s="10"/>
      <c r="D9190" s="34" t="str">
        <f aca="false">IF($K$9181=0,"",INDEX(Clients!$E$2:$E$501,$K$9181)&amp;"")</f>
        <v/>
      </c>
      <c r="E9190" s="34"/>
      <c r="F9190" s="34"/>
      <c r="J9190" s="25"/>
      <c r="K9190" s="25"/>
      <c r="L9190" s="25"/>
      <c r="M9190" s="25"/>
      <c r="N9190" s="25"/>
      <c r="O9190" s="25"/>
    </row>
    <row r="9191" customFormat="false" ht="15" hidden="false" customHeight="true" outlineLevel="0" collapsed="false">
      <c r="B9191" s="10"/>
      <c r="C9191" s="10"/>
      <c r="D9191" s="35" t="str">
        <f aca="false">IF(IF($K$9181=0,"",INDEX(Clients!$D$2:$D$501,$K$9181)&amp;"")="","","À l'attention de "&amp;TRIM(IF($K$9181=0,"",INDEX(Clients!$B$2:$B$501,$K$9181)&amp;"")&amp;" "&amp;IF($K$9181=0,"",INDEX(Clients!$C$2:$C$501,$K$9181)&amp;"")&amp;" "&amp;IF($K$9181=0,"",INDEX(Clients!$D$2:$D$501,$K$9181)&amp;"")))</f>
        <v/>
      </c>
      <c r="E9191" s="35"/>
      <c r="F9191" s="35"/>
      <c r="J9191" s="25"/>
      <c r="K9191" s="25"/>
      <c r="L9191" s="25"/>
      <c r="M9191" s="25"/>
      <c r="N9191" s="25"/>
      <c r="O9191" s="25"/>
    </row>
    <row r="9192" customFormat="false" ht="15" hidden="false" customHeight="true" outlineLevel="0" collapsed="false">
      <c r="B9192" s="10"/>
      <c r="C9192" s="10"/>
      <c r="D9192" s="35" t="str">
        <f aca="false">IF($K$9181=0,"",INDEX(Clients!$F$2:$F$501,$K$9181)&amp;"")</f>
        <v/>
      </c>
      <c r="E9192" s="35"/>
      <c r="F9192" s="35"/>
      <c r="J9192" s="25"/>
      <c r="K9192" s="25"/>
      <c r="L9192" s="25"/>
      <c r="M9192" s="25"/>
      <c r="N9192" s="25"/>
      <c r="O9192" s="25"/>
    </row>
    <row r="9193" customFormat="false" ht="15" hidden="false" customHeight="true" outlineLevel="0" collapsed="false">
      <c r="B9193" s="10"/>
      <c r="C9193" s="10"/>
      <c r="D9193" s="35" t="str">
        <f aca="false">IF(IF($K$9181=0,"",INDEX(Clients!$G$2:$G$501,$K$9181)&amp;"")="",TRIM(IF($K$9181=0,"",INDEX(Clients!$H$2:$H$501,$K$9181)&amp;"")&amp;" "&amp;UPPER(IF($K$9181=0,"",INDEX(Clients!$I$2:$I$501,$K$9181)&amp;""))),IF($K$9181=0,"",INDEX(Clients!$G$2:$G$501,$K$9181)&amp;""))</f>
        <v/>
      </c>
      <c r="E9193" s="35"/>
      <c r="F9193" s="35"/>
      <c r="J9193" s="25"/>
      <c r="K9193" s="25"/>
      <c r="L9193" s="25"/>
      <c r="M9193" s="25"/>
      <c r="N9193" s="25"/>
      <c r="O9193" s="25"/>
    </row>
    <row r="9194" customFormat="false" ht="15" hidden="false" customHeight="true" outlineLevel="0" collapsed="false">
      <c r="B9194" s="10"/>
      <c r="C9194" s="10"/>
      <c r="D9194" s="35" t="str">
        <f aca="false">IF(IF($K$9181=0,"",INDEX(Clients!$G$2:$G$501,$K$9181)&amp;"")="","",TRIM(IF($K$9181=0,"",INDEX(Clients!$H$2:$H$501,$K$9181)&amp;"")&amp;" "&amp;UPPER(IF($K$9181=0,"",INDEX(Clients!$I$2:$I$501,$K$9181)&amp;""))))</f>
        <v/>
      </c>
      <c r="E9194" s="35"/>
      <c r="F9194" s="35"/>
      <c r="J9194" s="25"/>
      <c r="K9194" s="25"/>
      <c r="L9194" s="25"/>
      <c r="M9194" s="25"/>
      <c r="N9194" s="25"/>
      <c r="O9194" s="25"/>
    </row>
    <row r="9195" customFormat="false" ht="25.5" hidden="false" customHeight="true" outlineLevel="0" collapsed="false">
      <c r="B9195" s="10"/>
      <c r="C9195" s="10"/>
      <c r="D9195" s="10"/>
      <c r="E9195" s="10"/>
      <c r="F9195" s="10"/>
      <c r="J9195" s="25"/>
      <c r="K9195" s="25"/>
      <c r="L9195" s="25"/>
      <c r="M9195" s="25"/>
      <c r="N9195" s="25"/>
      <c r="O9195" s="25"/>
    </row>
    <row r="9196" customFormat="false" ht="15" hidden="false" customHeight="false" outlineLevel="0" collapsed="false">
      <c r="B9196" s="10"/>
      <c r="C9196" s="10"/>
      <c r="D9196" s="36" t="str">
        <f aca="false">Cab_Ville&amp;", le "&amp;DAY(Date_Courrier)&amp;IF(DAY(Date_Courrier)=1,"er","")&amp;" "&amp;INDEX(Liste_Mois,MONTH(Date_Courrier))&amp;" "&amp;YEAR(Date_Courrier)</f>
        <v>Le Plessis-Bouchard, le 22 septembre 2026</v>
      </c>
      <c r="E9196" s="36"/>
      <c r="F9196" s="36"/>
      <c r="J9196" s="25"/>
      <c r="K9196" s="25"/>
      <c r="L9196" s="25"/>
      <c r="M9196" s="25"/>
      <c r="N9196" s="25"/>
      <c r="O9196" s="25"/>
    </row>
    <row r="9197" customFormat="false" ht="19.5" hidden="false" customHeight="true" outlineLevel="0" collapsed="false">
      <c r="B9197" s="10"/>
      <c r="C9197" s="10"/>
      <c r="D9197" s="10"/>
      <c r="E9197" s="10"/>
      <c r="F9197" s="10"/>
      <c r="J9197" s="25"/>
      <c r="K9197" s="25"/>
      <c r="L9197" s="25"/>
      <c r="M9197" s="25"/>
      <c r="N9197" s="25"/>
      <c r="O9197" s="25"/>
    </row>
    <row r="9198" customFormat="false" ht="15" hidden="false" customHeight="false" outlineLevel="0" collapsed="false">
      <c r="B9198" s="34" t="str">
        <f aca="false">SUBSTITUTE(SUBSTITUTE(SUBSTITUTE(SUBSTITUTE(SUBSTITUTE(Txt_Objet,"{cabinet}",Cab_Nom),"{societe}",IF($K$9181=0,"",INDEX(Clients!$E$2:$E$501,$K$9181)&amp;"")),"{date_effet}",$K$9183),"{hausse}",$K$9184),"{civilite}",$K$9182)</f>
        <v>Objet : révision de nos honoraires au 1er janvier 2027</v>
      </c>
      <c r="C9198" s="34"/>
      <c r="D9198" s="34"/>
      <c r="E9198" s="34"/>
      <c r="F9198" s="34"/>
      <c r="J9198" s="25"/>
      <c r="K9198" s="25"/>
      <c r="L9198" s="25"/>
      <c r="M9198" s="25"/>
      <c r="N9198" s="25"/>
      <c r="O9198" s="25"/>
    </row>
    <row r="9199" customFormat="false" ht="13.5" hidden="false" customHeight="true" outlineLevel="0" collapsed="false">
      <c r="B9199" s="10"/>
      <c r="C9199" s="10"/>
      <c r="D9199" s="10"/>
      <c r="E9199" s="10"/>
      <c r="F9199" s="10"/>
      <c r="J9199" s="25"/>
      <c r="K9199" s="25"/>
      <c r="L9199" s="25"/>
      <c r="M9199" s="25"/>
      <c r="N9199" s="25"/>
      <c r="O9199" s="25"/>
    </row>
    <row r="9200" customFormat="false" ht="15" hidden="false" customHeight="false" outlineLevel="0" collapsed="false">
      <c r="B9200" s="10" t="str">
        <f aca="false">$K$9182&amp;","</f>
        <v>Madame, Monsieur,</v>
      </c>
      <c r="C9200" s="10"/>
      <c r="D9200" s="10"/>
      <c r="E9200" s="10"/>
      <c r="F9200" s="10"/>
      <c r="J9200" s="25"/>
      <c r="K9200" s="25"/>
      <c r="L9200" s="25"/>
      <c r="M9200" s="25"/>
      <c r="N9200" s="25"/>
      <c r="O9200" s="25"/>
    </row>
    <row r="9201" customFormat="false" ht="6" hidden="false" customHeight="true" outlineLevel="0" collapsed="false">
      <c r="B9201" s="10"/>
      <c r="C9201" s="10"/>
      <c r="D9201" s="10"/>
      <c r="E9201" s="10"/>
      <c r="F9201" s="10"/>
      <c r="J9201" s="25"/>
      <c r="K9201" s="25"/>
      <c r="L9201" s="25"/>
      <c r="M9201" s="25"/>
      <c r="N9201" s="25"/>
      <c r="O9201" s="25"/>
    </row>
    <row r="9202" customFormat="false" ht="36.75" hidden="false" customHeight="true" outlineLevel="0" collapsed="false">
      <c r="B9202" s="37" t="str">
        <f aca="false">SUBSTITUTE(SUBSTITUTE(SUBSTITUTE(SUBSTITUTE(SUBSTITUTE(Txt_P1,"{cabinet}",Cab_Nom),"{societe}",IF($K$9181=0,"",INDEX(Clients!$E$2:$E$501,$K$9181)&amp;"")),"{date_effet}",$K$9183),"{hausse}",$K$9184),"{civilite}",$K$9182)</f>
        <v>Nous tenons tout d'abord à vous remercier pour la confiance que vous accordez à ALTHO EXPERTISE. Comme chaque année, et conformément aux dispositions de votre lettre de mission, nous procédons à la révision de nos honoraires.</v>
      </c>
      <c r="C9202" s="37"/>
      <c r="D9202" s="37"/>
      <c r="E9202" s="37"/>
      <c r="F9202" s="37"/>
      <c r="J9202" s="25"/>
      <c r="K9202" s="25"/>
      <c r="L9202" s="25"/>
      <c r="M9202" s="25"/>
      <c r="N9202" s="25"/>
      <c r="O9202" s="25"/>
    </row>
    <row r="9203" customFormat="false" ht="49.5" hidden="false" customHeight="true" outlineLevel="0" collapsed="false">
      <c r="B9203" s="37" t="str">
        <f aca="false">SUBSTITUTE(SUBSTITUTE(SUBSTITUTE(SUBSTITUTE(SUBSTITUTE(Txt_P2,"{cabinet}",Cab_Nom),"{societe}",IF($K$9181=0,"",INDEX(Clients!$E$2:$E$501,$K$9181)&amp;"")),"{date_effet}",$K$9183),"{hausse}",$K$9184),"{civilite}",$K$9182)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203" s="37"/>
      <c r="D9203" s="37"/>
      <c r="E9203" s="37"/>
      <c r="F9203" s="37"/>
      <c r="J9203" s="25"/>
      <c r="K9203" s="25"/>
      <c r="L9203" s="25"/>
      <c r="M9203" s="25"/>
      <c r="N9203" s="25"/>
      <c r="O9203" s="25"/>
    </row>
    <row r="9204" customFormat="false" ht="63" hidden="false" customHeight="true" outlineLevel="0" collapsed="false">
      <c r="B9204" s="37" t="str">
        <f aca="false">SUBSTITUTE(SUBSTITUTE(SUBSTITUTE(SUBSTITUTE(SUBSTITUTE(Txt_P3,"{cabinet}",Cab_Nom),"{societe}",IF($K$9181=0,"",INDEX(Clients!$E$2:$E$501,$K$9181)&amp;"")),"{date_effet}",$K$9183),"{hausse}",$K$9184),"{civilite}",$K$9182)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204" s="37"/>
      <c r="D9204" s="37"/>
      <c r="E9204" s="37"/>
      <c r="F9204" s="37"/>
      <c r="J9204" s="25"/>
      <c r="K9204" s="25"/>
      <c r="L9204" s="25"/>
      <c r="M9204" s="25"/>
      <c r="N9204" s="25"/>
      <c r="O9204" s="25"/>
    </row>
    <row r="9205" customFormat="false" ht="24" hidden="false" customHeight="true" outlineLevel="0" collapsed="false">
      <c r="B9205" s="37" t="str">
        <f aca="false">SUBSTITUTE(SUBSTITUTE(SUBSTITUTE(SUBSTITUTE(SUBSTITUTE(Txt_P4,"{cabinet}",Cab_Nom),"{societe}",IF($K$9181=0,"",INDEX(Clients!$E$2:$E$501,$K$9181)&amp;"")),"{date_effet}",$K$9183),"{hausse}",$K$9184),"{civilite}",$K$9182)</f>
        <v>À compter du 1er janvier 2027, vos honoraires annuels hors taxes évolueront ainsi (évolution globale : ) :</v>
      </c>
      <c r="C9205" s="37"/>
      <c r="D9205" s="37"/>
      <c r="E9205" s="37"/>
      <c r="F9205" s="37"/>
      <c r="J9205" s="25"/>
      <c r="K9205" s="25"/>
      <c r="L9205" s="25"/>
      <c r="M9205" s="25"/>
      <c r="N9205" s="25"/>
      <c r="O9205" s="25"/>
    </row>
    <row r="9206" customFormat="false" ht="3.75" hidden="false" customHeight="true" outlineLevel="0" collapsed="false">
      <c r="B9206" s="10"/>
      <c r="C9206" s="10"/>
      <c r="D9206" s="10"/>
      <c r="E9206" s="10"/>
      <c r="F9206" s="10"/>
      <c r="J9206" s="25"/>
      <c r="K9206" s="25"/>
      <c r="L9206" s="25"/>
      <c r="M9206" s="25"/>
      <c r="N9206" s="25"/>
      <c r="O9206" s="25"/>
    </row>
    <row r="9207" customFormat="false" ht="18" hidden="false" customHeight="true" outlineLevel="0" collapsed="false">
      <c r="B9207" s="38" t="s">
        <v>148</v>
      </c>
      <c r="C9207" s="39" t="s">
        <v>149</v>
      </c>
      <c r="D9207" s="39" t="s">
        <v>150</v>
      </c>
      <c r="E9207" s="39" t="s">
        <v>151</v>
      </c>
      <c r="F9207" s="39" t="s">
        <v>109</v>
      </c>
      <c r="J9207" s="25" t="s">
        <v>152</v>
      </c>
      <c r="K9207" s="25" t="s">
        <v>153</v>
      </c>
      <c r="L9207" s="25" t="s">
        <v>154</v>
      </c>
      <c r="M9207" s="25" t="s">
        <v>155</v>
      </c>
      <c r="N9207" s="25" t="s">
        <v>156</v>
      </c>
      <c r="O9207" s="25" t="s">
        <v>157</v>
      </c>
    </row>
    <row r="9208" customFormat="false" ht="16.5" hidden="false" customHeight="true" outlineLevel="0" collapsed="false">
      <c r="B9208" s="40" t="str">
        <f aca="false">IFERROR(INDEX($J$9208:$J$9211,MATCH($O9208,$N$9208:$N$9211,0)),"")</f>
        <v/>
      </c>
      <c r="C9208" s="41" t="str">
        <f aca="false">IFERROR(INDEX($K$9208:$K$9211,MATCH($O9208,$N$9208:$N$9211,0)),"")</f>
        <v/>
      </c>
      <c r="D9208" s="42" t="str">
        <f aca="false">IF(OR(E9208="",N(C9208)=0),"",E9208/C9208-1)</f>
        <v/>
      </c>
      <c r="E9208" s="41" t="str">
        <f aca="false">IFERROR(INDEX($L$9208:$L$9211,MATCH($O9208,$N$9208:$N$9211,0)),"")</f>
        <v/>
      </c>
      <c r="F9208" s="41" t="str">
        <f aca="false">IF(E9208="","",E9208-C9208)</f>
        <v/>
      </c>
      <c r="J9208" s="25" t="str">
        <f aca="false">Lib_Compta</f>
        <v>Mission comptable (tenue, révision, bilan, liasse fiscale)</v>
      </c>
      <c r="K9208" s="25" t="n">
        <f aca="false">IF($K$9181=0,0,N(INDEX(Clients!$K$2:$K$501,$K$9181)))</f>
        <v>0</v>
      </c>
      <c r="L9208" s="25" t="n">
        <f aca="false">IF($K$9181=0,0,N(INDEX(Clients!$P$2:$P$501,$K$9181)))</f>
        <v>0</v>
      </c>
      <c r="M9208" s="25" t="n">
        <f aca="false">IF(OR(K9208&lt;&gt;0,L9208&lt;&gt;0),1,0)</f>
        <v>0</v>
      </c>
      <c r="N9208" s="25" t="str">
        <f aca="false">IF(M9208=1,SUM($M$9208:M9208),"")</f>
        <v/>
      </c>
      <c r="O9208" s="25" t="n">
        <v>1</v>
      </c>
    </row>
    <row r="9209" customFormat="false" ht="16.5" hidden="false" customHeight="true" outlineLevel="0" collapsed="false">
      <c r="B9209" s="40" t="str">
        <f aca="false">IFERROR(INDEX($J$9208:$J$9211,MATCH($O9209,$N$9208:$N$9211,0)),"")</f>
        <v/>
      </c>
      <c r="C9209" s="41" t="str">
        <f aca="false">IFERROR(INDEX($K$9208:$K$9211,MATCH($O9209,$N$9208:$N$9211,0)),"")</f>
        <v/>
      </c>
      <c r="D9209" s="42" t="str">
        <f aca="false">IF(OR(E9209="",N(C9209)=0),"",E9209/C9209-1)</f>
        <v/>
      </c>
      <c r="E9209" s="41" t="str">
        <f aca="false">IFERROR(INDEX($L$9208:$L$9211,MATCH($O9209,$N$9208:$N$9211,0)),"")</f>
        <v/>
      </c>
      <c r="F9209" s="41" t="str">
        <f aca="false">IF(E9209="","",E9209-C9209)</f>
        <v/>
      </c>
      <c r="J9209" s="25" t="str">
        <f aca="false">Lib_Paye</f>
        <v>Mission sociale (bulletins de paie, DSN, déclarations sociales)</v>
      </c>
      <c r="K9209" s="25" t="n">
        <f aca="false">IF($K$9181=0,0,N(INDEX(Clients!$L$2:$L$501,$K$9181)))</f>
        <v>0</v>
      </c>
      <c r="L9209" s="25" t="n">
        <f aca="false">IF($K$9181=0,0,N(INDEX(Clients!$Q$2:$Q$501,$K$9181)))</f>
        <v>0</v>
      </c>
      <c r="M9209" s="25" t="n">
        <f aca="false">IF(OR(K9209&lt;&gt;0,L9209&lt;&gt;0),1,0)</f>
        <v>0</v>
      </c>
      <c r="N9209" s="25" t="str">
        <f aca="false">IF(M9209=1,SUM($M$9208:M9209),"")</f>
        <v/>
      </c>
      <c r="O9209" s="25" t="n">
        <v>2</v>
      </c>
    </row>
    <row r="9210" customFormat="false" ht="16.5" hidden="false" customHeight="true" outlineLevel="0" collapsed="false">
      <c r="B9210" s="40" t="str">
        <f aca="false">IFERROR(INDEX($J$9208:$J$9211,MATCH($O9210,$N$9208:$N$9211,0)),"")</f>
        <v/>
      </c>
      <c r="C9210" s="41" t="str">
        <f aca="false">IFERROR(INDEX($K$9208:$K$9211,MATCH($O9210,$N$9208:$N$9211,0)),"")</f>
        <v/>
      </c>
      <c r="D9210" s="42" t="str">
        <f aca="false">IF(OR(E9210="",N(C9210)=0),"",E9210/C9210-1)</f>
        <v/>
      </c>
      <c r="E9210" s="41" t="str">
        <f aca="false">IFERROR(INDEX($L$9208:$L$9211,MATCH($O9210,$N$9208:$N$9211,0)),"")</f>
        <v/>
      </c>
      <c r="F9210" s="41" t="str">
        <f aca="false">IF(E9210="","",E9210-C9210)</f>
        <v/>
      </c>
      <c r="J9210" s="25" t="str">
        <f aca="false">Lib_Jur</f>
        <v>Mission juridique (approbation des comptes, secrétariat juridique)</v>
      </c>
      <c r="K9210" s="25" t="n">
        <f aca="false">IF($K$9181=0,0,N(INDEX(Clients!$M$2:$M$501,$K$9181)))</f>
        <v>0</v>
      </c>
      <c r="L9210" s="25" t="n">
        <f aca="false">IF($K$9181=0,0,N(INDEX(Clients!$R$2:$R$501,$K$9181)))</f>
        <v>0</v>
      </c>
      <c r="M9210" s="25" t="n">
        <f aca="false">IF(OR(K9210&lt;&gt;0,L9210&lt;&gt;0),1,0)</f>
        <v>0</v>
      </c>
      <c r="N9210" s="25" t="str">
        <f aca="false">IF(M9210=1,SUM($M$9208:M9210),"")</f>
        <v/>
      </c>
      <c r="O9210" s="25" t="n">
        <v>3</v>
      </c>
    </row>
    <row r="9211" customFormat="false" ht="16.5" hidden="false" customHeight="true" outlineLevel="0" collapsed="false">
      <c r="B9211" s="40" t="str">
        <f aca="false">IFERROR(INDEX($J$9208:$J$9211,MATCH($O9211,$N$9208:$N$9211,0)),"")</f>
        <v/>
      </c>
      <c r="C9211" s="41" t="str">
        <f aca="false">IFERROR(INDEX($K$9208:$K$9211,MATCH($O9211,$N$9208:$N$9211,0)),"")</f>
        <v/>
      </c>
      <c r="D9211" s="42" t="str">
        <f aca="false">IF(OR(E9211="",N(C9211)=0),"",E9211/C9211-1)</f>
        <v/>
      </c>
      <c r="E9211" s="41" t="str">
        <f aca="false">IFERROR(INDEX($L$9208:$L$9211,MATCH($O9211,$N$9208:$N$9211,0)),"")</f>
        <v/>
      </c>
      <c r="F9211" s="41" t="str">
        <f aca="false">IF(E9211="","",E9211-C9211)</f>
        <v/>
      </c>
      <c r="J9211" s="25" t="str">
        <f aca="false">Lib_PA</f>
        <v>Plateforme agréée – facturation électronique</v>
      </c>
      <c r="K9211" s="25" t="n">
        <f aca="false">IF($K$9181=0,0,N(INDEX(Clients!$N$2:$N$501,$K$9181)))</f>
        <v>0</v>
      </c>
      <c r="L9211" s="25" t="n">
        <f aca="false">IF($K$9181=0,0,N(INDEX(Clients!$S$2:$S$501,$K$9181)))</f>
        <v>0</v>
      </c>
      <c r="M9211" s="25" t="n">
        <f aca="false">IF(OR(K9211&lt;&gt;0,L9211&lt;&gt;0),1,0)</f>
        <v>0</v>
      </c>
      <c r="N9211" s="25" t="str">
        <f aca="false">IF(M9211=1,SUM($M$9208:M9211),"")</f>
        <v/>
      </c>
      <c r="O9211" s="25" t="n">
        <v>4</v>
      </c>
    </row>
    <row r="9212" customFormat="false" ht="18" hidden="false" customHeight="true" outlineLevel="0" collapsed="false">
      <c r="B9212" s="43" t="s">
        <v>158</v>
      </c>
      <c r="C9212" s="44" t="n">
        <f aca="false">SUM(K9208:K9211)</f>
        <v>0</v>
      </c>
      <c r="D9212" s="45" t="str">
        <f aca="false">IF(N(C9212)=0,"",E9212/C9212-1)</f>
        <v/>
      </c>
      <c r="E9212" s="44" t="n">
        <f aca="false">SUM(L9208:L9211)</f>
        <v>0</v>
      </c>
      <c r="F9212" s="44" t="n">
        <f aca="false">E9212-C9212</f>
        <v>0</v>
      </c>
    </row>
    <row r="9213" customFormat="false" ht="15" hidden="false" customHeight="false" outlineLevel="0" collapsed="false">
      <c r="B9213" s="46" t="str">
        <f aca="false">IF(N(Nb_Mensualites)=0,"","Soit "&amp;FIXED(E9212/Nb_Mensualites,2)&amp;" € HT par échéance ("&amp;Nb_Mensualites&amp;" échéances), "&amp;FIXED(E9212/Nb_Mensualites*(1+Taux_TVA),2)&amp;" € TTC.")</f>
        <v>Soit 0.00 € HT par échéance (12 échéances), 0.00 € TTC.</v>
      </c>
      <c r="C9213" s="46"/>
      <c r="D9213" s="46"/>
      <c r="E9213" s="46"/>
      <c r="F9213" s="46"/>
    </row>
    <row r="9214" customFormat="false" ht="7.5" hidden="false" customHeight="true" outlineLevel="0" collapsed="false">
      <c r="B9214" s="10"/>
      <c r="C9214" s="10"/>
      <c r="D9214" s="10"/>
      <c r="E9214" s="10"/>
      <c r="F9214" s="10"/>
    </row>
    <row r="9215" customFormat="false" ht="36.75" hidden="false" customHeight="true" outlineLevel="0" collapsed="false">
      <c r="B9215" s="37" t="str">
        <f aca="false">SUBSTITUTE(SUBSTITUTE(SUBSTITUTE(SUBSTITUTE(SUBSTITUTE(Txt_P5,"{cabinet}",Cab_Nom),"{societe}",IF($K$9181=0,"",INDEX(Clients!$E$2:$E$501,$K$9181)&amp;"")),"{date_effet}",$K$9183),"{hausse}",$K$9184),"{civilite}",$K$9182)</f>
        <v>Les autres conditions de votre lettre de mission demeurent inchangées. Les nouveaux montants seront appliqués automatiquement sur vos prochaines factures et échéances de prélèvement.</v>
      </c>
      <c r="C9215" s="37"/>
      <c r="D9215" s="37"/>
      <c r="E9215" s="37"/>
      <c r="F9215" s="37"/>
    </row>
    <row r="9216" customFormat="false" ht="36.75" hidden="false" customHeight="true" outlineLevel="0" collapsed="false">
      <c r="B9216" s="37" t="str">
        <f aca="false">SUBSTITUTE(SUBSTITUTE(SUBSTITUTE(SUBSTITUTE(SUBSTITUTE(Txt_P6,"{cabinet}",Cab_Nom),"{societe}",IF($K$9181=0,"",INDEX(Clients!$E$2:$E$501,$K$9181)&amp;"")),"{date_effet}",$K$9183),"{hausse}",$K$9184),"{civilite}",$K$9182)</f>
        <v>Votre interlocuteur habituel reste à votre entière disposition pour répondre à vos questions et faire le point sur l'évolution de vos besoins.</v>
      </c>
      <c r="C9216" s="37"/>
      <c r="D9216" s="37"/>
      <c r="E9216" s="37"/>
      <c r="F9216" s="37"/>
    </row>
    <row r="9217" customFormat="false" ht="24" hidden="false" customHeight="true" outlineLevel="0" collapsed="false">
      <c r="B9217" s="37" t="str">
        <f aca="false">SUBSTITUTE(SUBSTITUTE(SUBSTITUTE(SUBSTITUTE(SUBSTITUTE(Txt_Politesse,"{cabinet}",Cab_Nom),"{societe}",IF($K$9181=0,"",INDEX(Clients!$E$2:$E$501,$K$9181)&amp;"")),"{date_effet}",$K$9183),"{hausse}",$K$9184),"{civilite}",$K$9182)</f>
        <v>Nous vous prions d'agréer, Madame, Monsieur, l'expression de nos salutations distinguées.</v>
      </c>
      <c r="C9217" s="37"/>
      <c r="D9217" s="37"/>
      <c r="E9217" s="37"/>
      <c r="F9217" s="37"/>
    </row>
    <row r="9218" customFormat="false" ht="15" hidden="false" customHeight="false" outlineLevel="0" collapsed="false">
      <c r="B9218" s="10"/>
      <c r="C9218" s="10"/>
      <c r="D9218" s="10"/>
      <c r="E9218" s="10"/>
      <c r="F9218" s="10"/>
    </row>
    <row r="9219" customFormat="false" ht="15" hidden="false" customHeight="false" outlineLevel="0" collapsed="false">
      <c r="B9219" s="10"/>
      <c r="C9219" s="10"/>
      <c r="D9219" s="34" t="str">
        <f aca="false">Signataire</f>
        <v>Prénom NOM</v>
      </c>
      <c r="E9219" s="34"/>
      <c r="F9219" s="34"/>
    </row>
    <row r="9220" customFormat="false" ht="15" hidden="false" customHeight="false" outlineLevel="0" collapsed="false">
      <c r="B9220" s="10"/>
      <c r="C9220" s="10"/>
      <c r="D9220" s="47" t="str">
        <f aca="false">Signataire_Titre</f>
        <v>Expert-comptable associé</v>
      </c>
      <c r="E9220" s="47"/>
      <c r="F9220" s="47"/>
    </row>
    <row r="9221" customFormat="false" ht="15.75" hidden="false" customHeight="true" outlineLevel="0" collapsed="false">
      <c r="B9221" s="10"/>
      <c r="C9221" s="10"/>
      <c r="D9221" s="10"/>
      <c r="E9221" s="10"/>
      <c r="F9221" s="10"/>
    </row>
    <row r="9222" customFormat="false" ht="15.75" hidden="false" customHeight="true" outlineLevel="0" collapsed="false">
      <c r="B9222" s="10"/>
      <c r="C9222" s="10"/>
      <c r="D9222" s="10"/>
      <c r="E9222" s="10"/>
      <c r="F9222" s="10"/>
    </row>
    <row r="9223" customFormat="false" ht="15.75" hidden="false" customHeight="true" outlineLevel="0" collapsed="false">
      <c r="B9223" s="10"/>
      <c r="C9223" s="10"/>
      <c r="D9223" s="10"/>
      <c r="E9223" s="10"/>
      <c r="F9223" s="10"/>
    </row>
    <row r="9224" customFormat="false" ht="15.75" hidden="false" customHeight="true" outlineLevel="0" collapsed="false">
      <c r="B9224" s="10"/>
      <c r="C9224" s="10"/>
      <c r="D9224" s="10"/>
      <c r="E9224" s="10"/>
      <c r="F9224" s="10"/>
    </row>
    <row r="9225" customFormat="false" ht="24" hidden="false" customHeight="true" outlineLevel="0" collapsed="false">
      <c r="B9225" s="48" t="str">
        <f aca="false">Cab_Mentions</f>
        <v>ALTHO EXPERTISE · SAS au capital de 10 000 € · RCS Pontoise 919 706 325 · TVA FR62919706325 · Société d'expertise comptable inscrite au Tableau de l'Ordre des experts-comptables de Paris Île-de-France</v>
      </c>
      <c r="C9225" s="48"/>
      <c r="D9225" s="48"/>
      <c r="E9225" s="48"/>
      <c r="F9225" s="48"/>
    </row>
    <row r="9226" customFormat="false" ht="15" hidden="false" customHeight="false" outlineLevel="0" collapsed="false">
      <c r="B9226" s="10"/>
      <c r="C9226" s="10"/>
      <c r="D9226" s="10"/>
      <c r="E9226" s="10"/>
      <c r="F9226" s="10"/>
      <c r="J9226" s="25" t="s">
        <v>142</v>
      </c>
      <c r="K9226" s="25" t="n">
        <f aca="false">IFERROR(MATCH(206,Clients!$Z$2:$Z$501,0),0)</f>
        <v>0</v>
      </c>
      <c r="L9226" s="25"/>
      <c r="M9226" s="25"/>
      <c r="N9226" s="25"/>
      <c r="O9226" s="25"/>
    </row>
    <row r="9227" customFormat="false" ht="21.75" hidden="false" customHeight="true" outlineLevel="0" collapsed="false">
      <c r="B9227" s="26" t="str">
        <f aca="false">Cab_Nom</f>
        <v>ALTHO EXPERTISE</v>
      </c>
      <c r="C9227" s="26"/>
      <c r="D9227" s="10"/>
      <c r="E9227" s="27" t="str">
        <f aca="false">IF($K$9226=0,"","Réf. client : "&amp;INDEX(Clients!$A$2:$A$501,$K$9226))</f>
        <v/>
      </c>
      <c r="F9227" s="27"/>
      <c r="J9227" s="25" t="s">
        <v>144</v>
      </c>
      <c r="K9227" s="25" t="str">
        <f aca="false">IF(IF($K$9226=0,"",INDEX(Clients!$B$2:$B$501,$K$9226)&amp;"")="Mme","Madame",IF(IF($K$9226=0,"",INDEX(Clients!$B$2:$B$501,$K$9226)&amp;"")="M.","Monsieur","Madame, Monsieur"))</f>
        <v>Madame, Monsieur</v>
      </c>
      <c r="L9227" s="25"/>
      <c r="M9227" s="25"/>
      <c r="N9227" s="25"/>
      <c r="O9227" s="25"/>
    </row>
    <row r="9228" customFormat="false" ht="15" hidden="false" customHeight="false" outlineLevel="0" collapsed="false">
      <c r="B9228" s="29" t="str">
        <f aca="false">Cab_Adr1</f>
        <v>141 rue Charles de Gaulle</v>
      </c>
      <c r="C9228" s="29"/>
      <c r="D9228" s="10"/>
      <c r="E9228" s="10"/>
      <c r="F9228" s="10"/>
      <c r="J9228" s="25" t="s">
        <v>145</v>
      </c>
      <c r="K9228" s="25" t="str">
        <f aca="false">DAY(Date_Effet)&amp;IF(DAY(Date_Effet)=1,"er","")&amp;" "&amp;INDEX(Liste_Mois,MONTH(Date_Effet))&amp;" "&amp;YEAR(Date_Effet)</f>
        <v>1er janvier 2027</v>
      </c>
      <c r="L9228" s="25"/>
      <c r="M9228" s="25"/>
      <c r="N9228" s="25"/>
      <c r="O9228" s="25"/>
    </row>
    <row r="9229" customFormat="false" ht="15" hidden="false" customHeight="false" outlineLevel="0" collapsed="false">
      <c r="B9229" s="29" t="str">
        <f aca="false">Cab_CPVille</f>
        <v>95130 LE PLESSIS-BOUCHARD</v>
      </c>
      <c r="C9229" s="29"/>
      <c r="D9229" s="10"/>
      <c r="E9229" s="10"/>
      <c r="F9229" s="10"/>
      <c r="J9229" s="25" t="s">
        <v>146</v>
      </c>
      <c r="K9229" s="25" t="str">
        <f aca="false">IF(SUM($K$9253:$K$9256)=0,"",FIXED((SUM($L$9253:$L$9256)/SUM($K$9253:$K$9256)-1)*100,1)&amp;" %")</f>
        <v/>
      </c>
      <c r="L9229" s="25"/>
      <c r="M9229" s="25"/>
      <c r="N9229" s="25"/>
      <c r="O9229" s="25"/>
    </row>
    <row r="9230" customFormat="false" ht="15" hidden="false" customHeight="false" outlineLevel="0" collapsed="false">
      <c r="B9230" s="29" t="str">
        <f aca="false">Cab_Contact</f>
        <v>Tél. 01 34 14 53 45  ·  altho@altho-experts.com  ·  altho-experts.com</v>
      </c>
      <c r="C9230" s="29"/>
      <c r="D9230" s="10"/>
      <c r="E9230" s="10"/>
      <c r="F9230" s="10"/>
      <c r="J9230" s="25"/>
      <c r="K9230" s="25"/>
      <c r="L9230" s="25"/>
      <c r="M9230" s="25"/>
      <c r="N9230" s="25"/>
      <c r="O9230" s="25"/>
    </row>
    <row r="9231" customFormat="false" ht="6" hidden="false" customHeight="true" outlineLevel="0" collapsed="false">
      <c r="B9231" s="32"/>
      <c r="C9231" s="32"/>
      <c r="D9231" s="32"/>
      <c r="E9231" s="32"/>
      <c r="F9231" s="32"/>
      <c r="J9231" s="25"/>
      <c r="K9231" s="25"/>
      <c r="L9231" s="25"/>
      <c r="M9231" s="25"/>
      <c r="N9231" s="25"/>
      <c r="O9231" s="25"/>
    </row>
    <row r="9232" customFormat="false" ht="13.5" hidden="false" customHeight="true" outlineLevel="0" collapsed="false">
      <c r="B9232" s="10"/>
      <c r="C9232" s="10"/>
      <c r="D9232" s="10"/>
      <c r="E9232" s="10"/>
      <c r="F9232" s="10"/>
      <c r="J9232" s="25"/>
      <c r="K9232" s="25"/>
      <c r="L9232" s="25"/>
      <c r="M9232" s="25"/>
      <c r="N9232" s="25"/>
      <c r="O9232" s="25"/>
    </row>
    <row r="9233" customFormat="false" ht="13.5" hidden="false" customHeight="true" outlineLevel="0" collapsed="false">
      <c r="B9233" s="10"/>
      <c r="C9233" s="10"/>
      <c r="D9233" s="10"/>
      <c r="E9233" s="10"/>
      <c r="F9233" s="10"/>
      <c r="J9233" s="25"/>
      <c r="K9233" s="25"/>
      <c r="L9233" s="25"/>
      <c r="M9233" s="25"/>
      <c r="N9233" s="25"/>
      <c r="O9233" s="25"/>
    </row>
    <row r="9234" customFormat="false" ht="13.5" hidden="false" customHeight="true" outlineLevel="0" collapsed="false">
      <c r="B9234" s="10"/>
      <c r="C9234" s="10"/>
      <c r="D9234" s="10"/>
      <c r="E9234" s="10"/>
      <c r="F9234" s="10"/>
      <c r="J9234" s="25"/>
      <c r="K9234" s="25"/>
      <c r="L9234" s="25"/>
      <c r="M9234" s="25"/>
      <c r="N9234" s="25"/>
      <c r="O9234" s="25"/>
    </row>
    <row r="9235" customFormat="false" ht="15" hidden="false" customHeight="true" outlineLevel="0" collapsed="false">
      <c r="B9235" s="10"/>
      <c r="C9235" s="10"/>
      <c r="D9235" s="34" t="str">
        <f aca="false">IF($K$9226=0,"",INDEX(Clients!$E$2:$E$501,$K$9226)&amp;"")</f>
        <v/>
      </c>
      <c r="E9235" s="34"/>
      <c r="F9235" s="34"/>
      <c r="J9235" s="25"/>
      <c r="K9235" s="25"/>
      <c r="L9235" s="25"/>
      <c r="M9235" s="25"/>
      <c r="N9235" s="25"/>
      <c r="O9235" s="25"/>
    </row>
    <row r="9236" customFormat="false" ht="15" hidden="false" customHeight="true" outlineLevel="0" collapsed="false">
      <c r="B9236" s="10"/>
      <c r="C9236" s="10"/>
      <c r="D9236" s="35" t="str">
        <f aca="false">IF(IF($K$9226=0,"",INDEX(Clients!$D$2:$D$501,$K$9226)&amp;"")="","","À l'attention de "&amp;TRIM(IF($K$9226=0,"",INDEX(Clients!$B$2:$B$501,$K$9226)&amp;"")&amp;" "&amp;IF($K$9226=0,"",INDEX(Clients!$C$2:$C$501,$K$9226)&amp;"")&amp;" "&amp;IF($K$9226=0,"",INDEX(Clients!$D$2:$D$501,$K$9226)&amp;"")))</f>
        <v/>
      </c>
      <c r="E9236" s="35"/>
      <c r="F9236" s="35"/>
      <c r="J9236" s="25"/>
      <c r="K9236" s="25"/>
      <c r="L9236" s="25"/>
      <c r="M9236" s="25"/>
      <c r="N9236" s="25"/>
      <c r="O9236" s="25"/>
    </row>
    <row r="9237" customFormat="false" ht="15" hidden="false" customHeight="true" outlineLevel="0" collapsed="false">
      <c r="B9237" s="10"/>
      <c r="C9237" s="10"/>
      <c r="D9237" s="35" t="str">
        <f aca="false">IF($K$9226=0,"",INDEX(Clients!$F$2:$F$501,$K$9226)&amp;"")</f>
        <v/>
      </c>
      <c r="E9237" s="35"/>
      <c r="F9237" s="35"/>
      <c r="J9237" s="25"/>
      <c r="K9237" s="25"/>
      <c r="L9237" s="25"/>
      <c r="M9237" s="25"/>
      <c r="N9237" s="25"/>
      <c r="O9237" s="25"/>
    </row>
    <row r="9238" customFormat="false" ht="15" hidden="false" customHeight="true" outlineLevel="0" collapsed="false">
      <c r="B9238" s="10"/>
      <c r="C9238" s="10"/>
      <c r="D9238" s="35" t="str">
        <f aca="false">IF(IF($K$9226=0,"",INDEX(Clients!$G$2:$G$501,$K$9226)&amp;"")="",TRIM(IF($K$9226=0,"",INDEX(Clients!$H$2:$H$501,$K$9226)&amp;"")&amp;" "&amp;UPPER(IF($K$9226=0,"",INDEX(Clients!$I$2:$I$501,$K$9226)&amp;""))),IF($K$9226=0,"",INDEX(Clients!$G$2:$G$501,$K$9226)&amp;""))</f>
        <v/>
      </c>
      <c r="E9238" s="35"/>
      <c r="F9238" s="35"/>
      <c r="J9238" s="25"/>
      <c r="K9238" s="25"/>
      <c r="L9238" s="25"/>
      <c r="M9238" s="25"/>
      <c r="N9238" s="25"/>
      <c r="O9238" s="25"/>
    </row>
    <row r="9239" customFormat="false" ht="15" hidden="false" customHeight="true" outlineLevel="0" collapsed="false">
      <c r="B9239" s="10"/>
      <c r="C9239" s="10"/>
      <c r="D9239" s="35" t="str">
        <f aca="false">IF(IF($K$9226=0,"",INDEX(Clients!$G$2:$G$501,$K$9226)&amp;"")="","",TRIM(IF($K$9226=0,"",INDEX(Clients!$H$2:$H$501,$K$9226)&amp;"")&amp;" "&amp;UPPER(IF($K$9226=0,"",INDEX(Clients!$I$2:$I$501,$K$9226)&amp;""))))</f>
        <v/>
      </c>
      <c r="E9239" s="35"/>
      <c r="F9239" s="35"/>
      <c r="J9239" s="25"/>
      <c r="K9239" s="25"/>
      <c r="L9239" s="25"/>
      <c r="M9239" s="25"/>
      <c r="N9239" s="25"/>
      <c r="O9239" s="25"/>
    </row>
    <row r="9240" customFormat="false" ht="25.5" hidden="false" customHeight="true" outlineLevel="0" collapsed="false">
      <c r="B9240" s="10"/>
      <c r="C9240" s="10"/>
      <c r="D9240" s="10"/>
      <c r="E9240" s="10"/>
      <c r="F9240" s="10"/>
      <c r="J9240" s="25"/>
      <c r="K9240" s="25"/>
      <c r="L9240" s="25"/>
      <c r="M9240" s="25"/>
      <c r="N9240" s="25"/>
      <c r="O9240" s="25"/>
    </row>
    <row r="9241" customFormat="false" ht="15" hidden="false" customHeight="false" outlineLevel="0" collapsed="false">
      <c r="B9241" s="10"/>
      <c r="C9241" s="10"/>
      <c r="D9241" s="36" t="str">
        <f aca="false">Cab_Ville&amp;", le "&amp;DAY(Date_Courrier)&amp;IF(DAY(Date_Courrier)=1,"er","")&amp;" "&amp;INDEX(Liste_Mois,MONTH(Date_Courrier))&amp;" "&amp;YEAR(Date_Courrier)</f>
        <v>Le Plessis-Bouchard, le 22 septembre 2026</v>
      </c>
      <c r="E9241" s="36"/>
      <c r="F9241" s="36"/>
      <c r="J9241" s="25"/>
      <c r="K9241" s="25"/>
      <c r="L9241" s="25"/>
      <c r="M9241" s="25"/>
      <c r="N9241" s="25"/>
      <c r="O9241" s="25"/>
    </row>
    <row r="9242" customFormat="false" ht="19.5" hidden="false" customHeight="true" outlineLevel="0" collapsed="false">
      <c r="B9242" s="10"/>
      <c r="C9242" s="10"/>
      <c r="D9242" s="10"/>
      <c r="E9242" s="10"/>
      <c r="F9242" s="10"/>
      <c r="J9242" s="25"/>
      <c r="K9242" s="25"/>
      <c r="L9242" s="25"/>
      <c r="M9242" s="25"/>
      <c r="N9242" s="25"/>
      <c r="O9242" s="25"/>
    </row>
    <row r="9243" customFormat="false" ht="15" hidden="false" customHeight="false" outlineLevel="0" collapsed="false">
      <c r="B9243" s="34" t="str">
        <f aca="false">SUBSTITUTE(SUBSTITUTE(SUBSTITUTE(SUBSTITUTE(SUBSTITUTE(Txt_Objet,"{cabinet}",Cab_Nom),"{societe}",IF($K$9226=0,"",INDEX(Clients!$E$2:$E$501,$K$9226)&amp;"")),"{date_effet}",$K$9228),"{hausse}",$K$9229),"{civilite}",$K$9227)</f>
        <v>Objet : révision de nos honoraires au 1er janvier 2027</v>
      </c>
      <c r="C9243" s="34"/>
      <c r="D9243" s="34"/>
      <c r="E9243" s="34"/>
      <c r="F9243" s="34"/>
      <c r="J9243" s="25"/>
      <c r="K9243" s="25"/>
      <c r="L9243" s="25"/>
      <c r="M9243" s="25"/>
      <c r="N9243" s="25"/>
      <c r="O9243" s="25"/>
    </row>
    <row r="9244" customFormat="false" ht="13.5" hidden="false" customHeight="true" outlineLevel="0" collapsed="false">
      <c r="B9244" s="10"/>
      <c r="C9244" s="10"/>
      <c r="D9244" s="10"/>
      <c r="E9244" s="10"/>
      <c r="F9244" s="10"/>
      <c r="J9244" s="25"/>
      <c r="K9244" s="25"/>
      <c r="L9244" s="25"/>
      <c r="M9244" s="25"/>
      <c r="N9244" s="25"/>
      <c r="O9244" s="25"/>
    </row>
    <row r="9245" customFormat="false" ht="15" hidden="false" customHeight="false" outlineLevel="0" collapsed="false">
      <c r="B9245" s="10" t="str">
        <f aca="false">$K$9227&amp;","</f>
        <v>Madame, Monsieur,</v>
      </c>
      <c r="C9245" s="10"/>
      <c r="D9245" s="10"/>
      <c r="E9245" s="10"/>
      <c r="F9245" s="10"/>
      <c r="J9245" s="25"/>
      <c r="K9245" s="25"/>
      <c r="L9245" s="25"/>
      <c r="M9245" s="25"/>
      <c r="N9245" s="25"/>
      <c r="O9245" s="25"/>
    </row>
    <row r="9246" customFormat="false" ht="6" hidden="false" customHeight="true" outlineLevel="0" collapsed="false">
      <c r="B9246" s="10"/>
      <c r="C9246" s="10"/>
      <c r="D9246" s="10"/>
      <c r="E9246" s="10"/>
      <c r="F9246" s="10"/>
      <c r="J9246" s="25"/>
      <c r="K9246" s="25"/>
      <c r="L9246" s="25"/>
      <c r="M9246" s="25"/>
      <c r="N9246" s="25"/>
      <c r="O9246" s="25"/>
    </row>
    <row r="9247" customFormat="false" ht="36.75" hidden="false" customHeight="true" outlineLevel="0" collapsed="false">
      <c r="B9247" s="37" t="str">
        <f aca="false">SUBSTITUTE(SUBSTITUTE(SUBSTITUTE(SUBSTITUTE(SUBSTITUTE(Txt_P1,"{cabinet}",Cab_Nom),"{societe}",IF($K$9226=0,"",INDEX(Clients!$E$2:$E$501,$K$9226)&amp;"")),"{date_effet}",$K$9228),"{hausse}",$K$9229),"{civilite}",$K$9227)</f>
        <v>Nous tenons tout d'abord à vous remercier pour la confiance que vous accordez à ALTHO EXPERTISE. Comme chaque année, et conformément aux dispositions de votre lettre de mission, nous procédons à la révision de nos honoraires.</v>
      </c>
      <c r="C9247" s="37"/>
      <c r="D9247" s="37"/>
      <c r="E9247" s="37"/>
      <c r="F9247" s="37"/>
      <c r="J9247" s="25"/>
      <c r="K9247" s="25"/>
      <c r="L9247" s="25"/>
      <c r="M9247" s="25"/>
      <c r="N9247" s="25"/>
      <c r="O9247" s="25"/>
    </row>
    <row r="9248" customFormat="false" ht="49.5" hidden="false" customHeight="true" outlineLevel="0" collapsed="false">
      <c r="B9248" s="37" t="str">
        <f aca="false">SUBSTITUTE(SUBSTITUTE(SUBSTITUTE(SUBSTITUTE(SUBSTITUTE(Txt_P2,"{cabinet}",Cab_Nom),"{societe}",IF($K$9226=0,"",INDEX(Clients!$E$2:$E$501,$K$9226)&amp;"")),"{date_effet}",$K$9228),"{hausse}",$K$9229),"{civilite}",$K$9227)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248" s="37"/>
      <c r="D9248" s="37"/>
      <c r="E9248" s="37"/>
      <c r="F9248" s="37"/>
      <c r="J9248" s="25"/>
      <c r="K9248" s="25"/>
      <c r="L9248" s="25"/>
      <c r="M9248" s="25"/>
      <c r="N9248" s="25"/>
      <c r="O9248" s="25"/>
    </row>
    <row r="9249" customFormat="false" ht="63" hidden="false" customHeight="true" outlineLevel="0" collapsed="false">
      <c r="B9249" s="37" t="str">
        <f aca="false">SUBSTITUTE(SUBSTITUTE(SUBSTITUTE(SUBSTITUTE(SUBSTITUTE(Txt_P3,"{cabinet}",Cab_Nom),"{societe}",IF($K$9226=0,"",INDEX(Clients!$E$2:$E$501,$K$9226)&amp;"")),"{date_effet}",$K$9228),"{hausse}",$K$9229),"{civilite}",$K$9227)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249" s="37"/>
      <c r="D9249" s="37"/>
      <c r="E9249" s="37"/>
      <c r="F9249" s="37"/>
      <c r="J9249" s="25"/>
      <c r="K9249" s="25"/>
      <c r="L9249" s="25"/>
      <c r="M9249" s="25"/>
      <c r="N9249" s="25"/>
      <c r="O9249" s="25"/>
    </row>
    <row r="9250" customFormat="false" ht="24" hidden="false" customHeight="true" outlineLevel="0" collapsed="false">
      <c r="B9250" s="37" t="str">
        <f aca="false">SUBSTITUTE(SUBSTITUTE(SUBSTITUTE(SUBSTITUTE(SUBSTITUTE(Txt_P4,"{cabinet}",Cab_Nom),"{societe}",IF($K$9226=0,"",INDEX(Clients!$E$2:$E$501,$K$9226)&amp;"")),"{date_effet}",$K$9228),"{hausse}",$K$9229),"{civilite}",$K$9227)</f>
        <v>À compter du 1er janvier 2027, vos honoraires annuels hors taxes évolueront ainsi (évolution globale : ) :</v>
      </c>
      <c r="C9250" s="37"/>
      <c r="D9250" s="37"/>
      <c r="E9250" s="37"/>
      <c r="F9250" s="37"/>
      <c r="J9250" s="25"/>
      <c r="K9250" s="25"/>
      <c r="L9250" s="25"/>
      <c r="M9250" s="25"/>
      <c r="N9250" s="25"/>
      <c r="O9250" s="25"/>
    </row>
    <row r="9251" customFormat="false" ht="3.75" hidden="false" customHeight="true" outlineLevel="0" collapsed="false">
      <c r="B9251" s="10"/>
      <c r="C9251" s="10"/>
      <c r="D9251" s="10"/>
      <c r="E9251" s="10"/>
      <c r="F9251" s="10"/>
      <c r="J9251" s="25"/>
      <c r="K9251" s="25"/>
      <c r="L9251" s="25"/>
      <c r="M9251" s="25"/>
      <c r="N9251" s="25"/>
      <c r="O9251" s="25"/>
    </row>
    <row r="9252" customFormat="false" ht="18" hidden="false" customHeight="true" outlineLevel="0" collapsed="false">
      <c r="B9252" s="38" t="s">
        <v>148</v>
      </c>
      <c r="C9252" s="39" t="s">
        <v>149</v>
      </c>
      <c r="D9252" s="39" t="s">
        <v>150</v>
      </c>
      <c r="E9252" s="39" t="s">
        <v>151</v>
      </c>
      <c r="F9252" s="39" t="s">
        <v>109</v>
      </c>
      <c r="J9252" s="25" t="s">
        <v>152</v>
      </c>
      <c r="K9252" s="25" t="s">
        <v>153</v>
      </c>
      <c r="L9252" s="25" t="s">
        <v>154</v>
      </c>
      <c r="M9252" s="25" t="s">
        <v>155</v>
      </c>
      <c r="N9252" s="25" t="s">
        <v>156</v>
      </c>
      <c r="O9252" s="25" t="s">
        <v>157</v>
      </c>
    </row>
    <row r="9253" customFormat="false" ht="16.5" hidden="false" customHeight="true" outlineLevel="0" collapsed="false">
      <c r="B9253" s="40" t="str">
        <f aca="false">IFERROR(INDEX($J$9253:$J$9256,MATCH($O9253,$N$9253:$N$9256,0)),"")</f>
        <v/>
      </c>
      <c r="C9253" s="41" t="str">
        <f aca="false">IFERROR(INDEX($K$9253:$K$9256,MATCH($O9253,$N$9253:$N$9256,0)),"")</f>
        <v/>
      </c>
      <c r="D9253" s="42" t="str">
        <f aca="false">IF(OR(E9253="",N(C9253)=0),"",E9253/C9253-1)</f>
        <v/>
      </c>
      <c r="E9253" s="41" t="str">
        <f aca="false">IFERROR(INDEX($L$9253:$L$9256,MATCH($O9253,$N$9253:$N$9256,0)),"")</f>
        <v/>
      </c>
      <c r="F9253" s="41" t="str">
        <f aca="false">IF(E9253="","",E9253-C9253)</f>
        <v/>
      </c>
      <c r="J9253" s="25" t="str">
        <f aca="false">Lib_Compta</f>
        <v>Mission comptable (tenue, révision, bilan, liasse fiscale)</v>
      </c>
      <c r="K9253" s="25" t="n">
        <f aca="false">IF($K$9226=0,0,N(INDEX(Clients!$K$2:$K$501,$K$9226)))</f>
        <v>0</v>
      </c>
      <c r="L9253" s="25" t="n">
        <f aca="false">IF($K$9226=0,0,N(INDEX(Clients!$P$2:$P$501,$K$9226)))</f>
        <v>0</v>
      </c>
      <c r="M9253" s="25" t="n">
        <f aca="false">IF(OR(K9253&lt;&gt;0,L9253&lt;&gt;0),1,0)</f>
        <v>0</v>
      </c>
      <c r="N9253" s="25" t="str">
        <f aca="false">IF(M9253=1,SUM($M$9253:M9253),"")</f>
        <v/>
      </c>
      <c r="O9253" s="25" t="n">
        <v>1</v>
      </c>
    </row>
    <row r="9254" customFormat="false" ht="16.5" hidden="false" customHeight="true" outlineLevel="0" collapsed="false">
      <c r="B9254" s="40" t="str">
        <f aca="false">IFERROR(INDEX($J$9253:$J$9256,MATCH($O9254,$N$9253:$N$9256,0)),"")</f>
        <v/>
      </c>
      <c r="C9254" s="41" t="str">
        <f aca="false">IFERROR(INDEX($K$9253:$K$9256,MATCH($O9254,$N$9253:$N$9256,0)),"")</f>
        <v/>
      </c>
      <c r="D9254" s="42" t="str">
        <f aca="false">IF(OR(E9254="",N(C9254)=0),"",E9254/C9254-1)</f>
        <v/>
      </c>
      <c r="E9254" s="41" t="str">
        <f aca="false">IFERROR(INDEX($L$9253:$L$9256,MATCH($O9254,$N$9253:$N$9256,0)),"")</f>
        <v/>
      </c>
      <c r="F9254" s="41" t="str">
        <f aca="false">IF(E9254="","",E9254-C9254)</f>
        <v/>
      </c>
      <c r="J9254" s="25" t="str">
        <f aca="false">Lib_Paye</f>
        <v>Mission sociale (bulletins de paie, DSN, déclarations sociales)</v>
      </c>
      <c r="K9254" s="25" t="n">
        <f aca="false">IF($K$9226=0,0,N(INDEX(Clients!$L$2:$L$501,$K$9226)))</f>
        <v>0</v>
      </c>
      <c r="L9254" s="25" t="n">
        <f aca="false">IF($K$9226=0,0,N(INDEX(Clients!$Q$2:$Q$501,$K$9226)))</f>
        <v>0</v>
      </c>
      <c r="M9254" s="25" t="n">
        <f aca="false">IF(OR(K9254&lt;&gt;0,L9254&lt;&gt;0),1,0)</f>
        <v>0</v>
      </c>
      <c r="N9254" s="25" t="str">
        <f aca="false">IF(M9254=1,SUM($M$9253:M9254),"")</f>
        <v/>
      </c>
      <c r="O9254" s="25" t="n">
        <v>2</v>
      </c>
    </row>
    <row r="9255" customFormat="false" ht="16.5" hidden="false" customHeight="true" outlineLevel="0" collapsed="false">
      <c r="B9255" s="40" t="str">
        <f aca="false">IFERROR(INDEX($J$9253:$J$9256,MATCH($O9255,$N$9253:$N$9256,0)),"")</f>
        <v/>
      </c>
      <c r="C9255" s="41" t="str">
        <f aca="false">IFERROR(INDEX($K$9253:$K$9256,MATCH($O9255,$N$9253:$N$9256,0)),"")</f>
        <v/>
      </c>
      <c r="D9255" s="42" t="str">
        <f aca="false">IF(OR(E9255="",N(C9255)=0),"",E9255/C9255-1)</f>
        <v/>
      </c>
      <c r="E9255" s="41" t="str">
        <f aca="false">IFERROR(INDEX($L$9253:$L$9256,MATCH($O9255,$N$9253:$N$9256,0)),"")</f>
        <v/>
      </c>
      <c r="F9255" s="41" t="str">
        <f aca="false">IF(E9255="","",E9255-C9255)</f>
        <v/>
      </c>
      <c r="J9255" s="25" t="str">
        <f aca="false">Lib_Jur</f>
        <v>Mission juridique (approbation des comptes, secrétariat juridique)</v>
      </c>
      <c r="K9255" s="25" t="n">
        <f aca="false">IF($K$9226=0,0,N(INDEX(Clients!$M$2:$M$501,$K$9226)))</f>
        <v>0</v>
      </c>
      <c r="L9255" s="25" t="n">
        <f aca="false">IF($K$9226=0,0,N(INDEX(Clients!$R$2:$R$501,$K$9226)))</f>
        <v>0</v>
      </c>
      <c r="M9255" s="25" t="n">
        <f aca="false">IF(OR(K9255&lt;&gt;0,L9255&lt;&gt;0),1,0)</f>
        <v>0</v>
      </c>
      <c r="N9255" s="25" t="str">
        <f aca="false">IF(M9255=1,SUM($M$9253:M9255),"")</f>
        <v/>
      </c>
      <c r="O9255" s="25" t="n">
        <v>3</v>
      </c>
    </row>
    <row r="9256" customFormat="false" ht="16.5" hidden="false" customHeight="true" outlineLevel="0" collapsed="false">
      <c r="B9256" s="40" t="str">
        <f aca="false">IFERROR(INDEX($J$9253:$J$9256,MATCH($O9256,$N$9253:$N$9256,0)),"")</f>
        <v/>
      </c>
      <c r="C9256" s="41" t="str">
        <f aca="false">IFERROR(INDEX($K$9253:$K$9256,MATCH($O9256,$N$9253:$N$9256,0)),"")</f>
        <v/>
      </c>
      <c r="D9256" s="42" t="str">
        <f aca="false">IF(OR(E9256="",N(C9256)=0),"",E9256/C9256-1)</f>
        <v/>
      </c>
      <c r="E9256" s="41" t="str">
        <f aca="false">IFERROR(INDEX($L$9253:$L$9256,MATCH($O9256,$N$9253:$N$9256,0)),"")</f>
        <v/>
      </c>
      <c r="F9256" s="41" t="str">
        <f aca="false">IF(E9256="","",E9256-C9256)</f>
        <v/>
      </c>
      <c r="J9256" s="25" t="str">
        <f aca="false">Lib_PA</f>
        <v>Plateforme agréée – facturation électronique</v>
      </c>
      <c r="K9256" s="25" t="n">
        <f aca="false">IF($K$9226=0,0,N(INDEX(Clients!$N$2:$N$501,$K$9226)))</f>
        <v>0</v>
      </c>
      <c r="L9256" s="25" t="n">
        <f aca="false">IF($K$9226=0,0,N(INDEX(Clients!$S$2:$S$501,$K$9226)))</f>
        <v>0</v>
      </c>
      <c r="M9256" s="25" t="n">
        <f aca="false">IF(OR(K9256&lt;&gt;0,L9256&lt;&gt;0),1,0)</f>
        <v>0</v>
      </c>
      <c r="N9256" s="25" t="str">
        <f aca="false">IF(M9256=1,SUM($M$9253:M9256),"")</f>
        <v/>
      </c>
      <c r="O9256" s="25" t="n">
        <v>4</v>
      </c>
    </row>
    <row r="9257" customFormat="false" ht="18" hidden="false" customHeight="true" outlineLevel="0" collapsed="false">
      <c r="B9257" s="43" t="s">
        <v>158</v>
      </c>
      <c r="C9257" s="44" t="n">
        <f aca="false">SUM(K9253:K9256)</f>
        <v>0</v>
      </c>
      <c r="D9257" s="45" t="str">
        <f aca="false">IF(N(C9257)=0,"",E9257/C9257-1)</f>
        <v/>
      </c>
      <c r="E9257" s="44" t="n">
        <f aca="false">SUM(L9253:L9256)</f>
        <v>0</v>
      </c>
      <c r="F9257" s="44" t="n">
        <f aca="false">E9257-C9257</f>
        <v>0</v>
      </c>
    </row>
    <row r="9258" customFormat="false" ht="15" hidden="false" customHeight="false" outlineLevel="0" collapsed="false">
      <c r="B9258" s="46" t="str">
        <f aca="false">IF(N(Nb_Mensualites)=0,"","Soit "&amp;FIXED(E9257/Nb_Mensualites,2)&amp;" € HT par échéance ("&amp;Nb_Mensualites&amp;" échéances), "&amp;FIXED(E9257/Nb_Mensualites*(1+Taux_TVA),2)&amp;" € TTC.")</f>
        <v>Soit 0.00 € HT par échéance (12 échéances), 0.00 € TTC.</v>
      </c>
      <c r="C9258" s="46"/>
      <c r="D9258" s="46"/>
      <c r="E9258" s="46"/>
      <c r="F9258" s="46"/>
    </row>
    <row r="9259" customFormat="false" ht="7.5" hidden="false" customHeight="true" outlineLevel="0" collapsed="false">
      <c r="B9259" s="10"/>
      <c r="C9259" s="10"/>
      <c r="D9259" s="10"/>
      <c r="E9259" s="10"/>
      <c r="F9259" s="10"/>
    </row>
    <row r="9260" customFormat="false" ht="36.75" hidden="false" customHeight="true" outlineLevel="0" collapsed="false">
      <c r="B9260" s="37" t="str">
        <f aca="false">SUBSTITUTE(SUBSTITUTE(SUBSTITUTE(SUBSTITUTE(SUBSTITUTE(Txt_P5,"{cabinet}",Cab_Nom),"{societe}",IF($K$9226=0,"",INDEX(Clients!$E$2:$E$501,$K$9226)&amp;"")),"{date_effet}",$K$9228),"{hausse}",$K$9229),"{civilite}",$K$9227)</f>
        <v>Les autres conditions de votre lettre de mission demeurent inchangées. Les nouveaux montants seront appliqués automatiquement sur vos prochaines factures et échéances de prélèvement.</v>
      </c>
      <c r="C9260" s="37"/>
      <c r="D9260" s="37"/>
      <c r="E9260" s="37"/>
      <c r="F9260" s="37"/>
    </row>
    <row r="9261" customFormat="false" ht="36.75" hidden="false" customHeight="true" outlineLevel="0" collapsed="false">
      <c r="B9261" s="37" t="str">
        <f aca="false">SUBSTITUTE(SUBSTITUTE(SUBSTITUTE(SUBSTITUTE(SUBSTITUTE(Txt_P6,"{cabinet}",Cab_Nom),"{societe}",IF($K$9226=0,"",INDEX(Clients!$E$2:$E$501,$K$9226)&amp;"")),"{date_effet}",$K$9228),"{hausse}",$K$9229),"{civilite}",$K$9227)</f>
        <v>Votre interlocuteur habituel reste à votre entière disposition pour répondre à vos questions et faire le point sur l'évolution de vos besoins.</v>
      </c>
      <c r="C9261" s="37"/>
      <c r="D9261" s="37"/>
      <c r="E9261" s="37"/>
      <c r="F9261" s="37"/>
    </row>
    <row r="9262" customFormat="false" ht="24" hidden="false" customHeight="true" outlineLevel="0" collapsed="false">
      <c r="B9262" s="37" t="str">
        <f aca="false">SUBSTITUTE(SUBSTITUTE(SUBSTITUTE(SUBSTITUTE(SUBSTITUTE(Txt_Politesse,"{cabinet}",Cab_Nom),"{societe}",IF($K$9226=0,"",INDEX(Clients!$E$2:$E$501,$K$9226)&amp;"")),"{date_effet}",$K$9228),"{hausse}",$K$9229),"{civilite}",$K$9227)</f>
        <v>Nous vous prions d'agréer, Madame, Monsieur, l'expression de nos salutations distinguées.</v>
      </c>
      <c r="C9262" s="37"/>
      <c r="D9262" s="37"/>
      <c r="E9262" s="37"/>
      <c r="F9262" s="37"/>
    </row>
    <row r="9263" customFormat="false" ht="15" hidden="false" customHeight="false" outlineLevel="0" collapsed="false">
      <c r="B9263" s="10"/>
      <c r="C9263" s="10"/>
      <c r="D9263" s="10"/>
      <c r="E9263" s="10"/>
      <c r="F9263" s="10"/>
    </row>
    <row r="9264" customFormat="false" ht="15" hidden="false" customHeight="false" outlineLevel="0" collapsed="false">
      <c r="B9264" s="10"/>
      <c r="C9264" s="10"/>
      <c r="D9264" s="34" t="str">
        <f aca="false">Signataire</f>
        <v>Prénom NOM</v>
      </c>
      <c r="E9264" s="34"/>
      <c r="F9264" s="34"/>
    </row>
    <row r="9265" customFormat="false" ht="15" hidden="false" customHeight="false" outlineLevel="0" collapsed="false">
      <c r="B9265" s="10"/>
      <c r="C9265" s="10"/>
      <c r="D9265" s="47" t="str">
        <f aca="false">Signataire_Titre</f>
        <v>Expert-comptable associé</v>
      </c>
      <c r="E9265" s="47"/>
      <c r="F9265" s="47"/>
    </row>
    <row r="9266" customFormat="false" ht="15.75" hidden="false" customHeight="true" outlineLevel="0" collapsed="false">
      <c r="B9266" s="10"/>
      <c r="C9266" s="10"/>
      <c r="D9266" s="10"/>
      <c r="E9266" s="10"/>
      <c r="F9266" s="10"/>
    </row>
    <row r="9267" customFormat="false" ht="15.75" hidden="false" customHeight="true" outlineLevel="0" collapsed="false">
      <c r="B9267" s="10"/>
      <c r="C9267" s="10"/>
      <c r="D9267" s="10"/>
      <c r="E9267" s="10"/>
      <c r="F9267" s="10"/>
    </row>
    <row r="9268" customFormat="false" ht="15.75" hidden="false" customHeight="true" outlineLevel="0" collapsed="false">
      <c r="B9268" s="10"/>
      <c r="C9268" s="10"/>
      <c r="D9268" s="10"/>
      <c r="E9268" s="10"/>
      <c r="F9268" s="10"/>
    </row>
    <row r="9269" customFormat="false" ht="15.75" hidden="false" customHeight="true" outlineLevel="0" collapsed="false">
      <c r="B9269" s="10"/>
      <c r="C9269" s="10"/>
      <c r="D9269" s="10"/>
      <c r="E9269" s="10"/>
      <c r="F9269" s="10"/>
    </row>
    <row r="9270" customFormat="false" ht="24" hidden="false" customHeight="true" outlineLevel="0" collapsed="false">
      <c r="B9270" s="48" t="str">
        <f aca="false">Cab_Mentions</f>
        <v>ALTHO EXPERTISE · SAS au capital de 10 000 € · RCS Pontoise 919 706 325 · TVA FR62919706325 · Société d'expertise comptable inscrite au Tableau de l'Ordre des experts-comptables de Paris Île-de-France</v>
      </c>
      <c r="C9270" s="48"/>
      <c r="D9270" s="48"/>
      <c r="E9270" s="48"/>
      <c r="F9270" s="48"/>
    </row>
    <row r="9271" customFormat="false" ht="15" hidden="false" customHeight="false" outlineLevel="0" collapsed="false">
      <c r="B9271" s="10"/>
      <c r="C9271" s="10"/>
      <c r="D9271" s="10"/>
      <c r="E9271" s="10"/>
      <c r="F9271" s="10"/>
      <c r="J9271" s="25" t="s">
        <v>142</v>
      </c>
      <c r="K9271" s="25" t="n">
        <f aca="false">IFERROR(MATCH(207,Clients!$Z$2:$Z$501,0),0)</f>
        <v>0</v>
      </c>
      <c r="L9271" s="25"/>
      <c r="M9271" s="25"/>
      <c r="N9271" s="25"/>
      <c r="O9271" s="25"/>
    </row>
    <row r="9272" customFormat="false" ht="21.75" hidden="false" customHeight="true" outlineLevel="0" collapsed="false">
      <c r="B9272" s="26" t="str">
        <f aca="false">Cab_Nom</f>
        <v>ALTHO EXPERTISE</v>
      </c>
      <c r="C9272" s="26"/>
      <c r="D9272" s="10"/>
      <c r="E9272" s="27" t="str">
        <f aca="false">IF($K$9271=0,"","Réf. client : "&amp;INDEX(Clients!$A$2:$A$501,$K$9271))</f>
        <v/>
      </c>
      <c r="F9272" s="27"/>
      <c r="J9272" s="25" t="s">
        <v>144</v>
      </c>
      <c r="K9272" s="25" t="str">
        <f aca="false">IF(IF($K$9271=0,"",INDEX(Clients!$B$2:$B$501,$K$9271)&amp;"")="Mme","Madame",IF(IF($K$9271=0,"",INDEX(Clients!$B$2:$B$501,$K$9271)&amp;"")="M.","Monsieur","Madame, Monsieur"))</f>
        <v>Madame, Monsieur</v>
      </c>
      <c r="L9272" s="25"/>
      <c r="M9272" s="25"/>
      <c r="N9272" s="25"/>
      <c r="O9272" s="25"/>
    </row>
    <row r="9273" customFormat="false" ht="15" hidden="false" customHeight="false" outlineLevel="0" collapsed="false">
      <c r="B9273" s="29" t="str">
        <f aca="false">Cab_Adr1</f>
        <v>141 rue Charles de Gaulle</v>
      </c>
      <c r="C9273" s="29"/>
      <c r="D9273" s="10"/>
      <c r="E9273" s="10"/>
      <c r="F9273" s="10"/>
      <c r="J9273" s="25" t="s">
        <v>145</v>
      </c>
      <c r="K9273" s="25" t="str">
        <f aca="false">DAY(Date_Effet)&amp;IF(DAY(Date_Effet)=1,"er","")&amp;" "&amp;INDEX(Liste_Mois,MONTH(Date_Effet))&amp;" "&amp;YEAR(Date_Effet)</f>
        <v>1er janvier 2027</v>
      </c>
      <c r="L9273" s="25"/>
      <c r="M9273" s="25"/>
      <c r="N9273" s="25"/>
      <c r="O9273" s="25"/>
    </row>
    <row r="9274" customFormat="false" ht="15" hidden="false" customHeight="false" outlineLevel="0" collapsed="false">
      <c r="B9274" s="29" t="str">
        <f aca="false">Cab_CPVille</f>
        <v>95130 LE PLESSIS-BOUCHARD</v>
      </c>
      <c r="C9274" s="29"/>
      <c r="D9274" s="10"/>
      <c r="E9274" s="10"/>
      <c r="F9274" s="10"/>
      <c r="J9274" s="25" t="s">
        <v>146</v>
      </c>
      <c r="K9274" s="25" t="str">
        <f aca="false">IF(SUM($K$9298:$K$9301)=0,"",FIXED((SUM($L$9298:$L$9301)/SUM($K$9298:$K$9301)-1)*100,1)&amp;" %")</f>
        <v/>
      </c>
      <c r="L9274" s="25"/>
      <c r="M9274" s="25"/>
      <c r="N9274" s="25"/>
      <c r="O9274" s="25"/>
    </row>
    <row r="9275" customFormat="false" ht="15" hidden="false" customHeight="false" outlineLevel="0" collapsed="false">
      <c r="B9275" s="29" t="str">
        <f aca="false">Cab_Contact</f>
        <v>Tél. 01 34 14 53 45  ·  altho@altho-experts.com  ·  altho-experts.com</v>
      </c>
      <c r="C9275" s="29"/>
      <c r="D9275" s="10"/>
      <c r="E9275" s="10"/>
      <c r="F9275" s="10"/>
      <c r="J9275" s="25"/>
      <c r="K9275" s="25"/>
      <c r="L9275" s="25"/>
      <c r="M9275" s="25"/>
      <c r="N9275" s="25"/>
      <c r="O9275" s="25"/>
    </row>
    <row r="9276" customFormat="false" ht="6" hidden="false" customHeight="true" outlineLevel="0" collapsed="false">
      <c r="B9276" s="32"/>
      <c r="C9276" s="32"/>
      <c r="D9276" s="32"/>
      <c r="E9276" s="32"/>
      <c r="F9276" s="32"/>
      <c r="J9276" s="25"/>
      <c r="K9276" s="25"/>
      <c r="L9276" s="25"/>
      <c r="M9276" s="25"/>
      <c r="N9276" s="25"/>
      <c r="O9276" s="25"/>
    </row>
    <row r="9277" customFormat="false" ht="13.5" hidden="false" customHeight="true" outlineLevel="0" collapsed="false">
      <c r="B9277" s="10"/>
      <c r="C9277" s="10"/>
      <c r="D9277" s="10"/>
      <c r="E9277" s="10"/>
      <c r="F9277" s="10"/>
      <c r="J9277" s="25"/>
      <c r="K9277" s="25"/>
      <c r="L9277" s="25"/>
      <c r="M9277" s="25"/>
      <c r="N9277" s="25"/>
      <c r="O9277" s="25"/>
    </row>
    <row r="9278" customFormat="false" ht="13.5" hidden="false" customHeight="true" outlineLevel="0" collapsed="false">
      <c r="B9278" s="10"/>
      <c r="C9278" s="10"/>
      <c r="D9278" s="10"/>
      <c r="E9278" s="10"/>
      <c r="F9278" s="10"/>
      <c r="J9278" s="25"/>
      <c r="K9278" s="25"/>
      <c r="L9278" s="25"/>
      <c r="M9278" s="25"/>
      <c r="N9278" s="25"/>
      <c r="O9278" s="25"/>
    </row>
    <row r="9279" customFormat="false" ht="13.5" hidden="false" customHeight="true" outlineLevel="0" collapsed="false">
      <c r="B9279" s="10"/>
      <c r="C9279" s="10"/>
      <c r="D9279" s="10"/>
      <c r="E9279" s="10"/>
      <c r="F9279" s="10"/>
      <c r="J9279" s="25"/>
      <c r="K9279" s="25"/>
      <c r="L9279" s="25"/>
      <c r="M9279" s="25"/>
      <c r="N9279" s="25"/>
      <c r="O9279" s="25"/>
    </row>
    <row r="9280" customFormat="false" ht="15" hidden="false" customHeight="true" outlineLevel="0" collapsed="false">
      <c r="B9280" s="10"/>
      <c r="C9280" s="10"/>
      <c r="D9280" s="34" t="str">
        <f aca="false">IF($K$9271=0,"",INDEX(Clients!$E$2:$E$501,$K$9271)&amp;"")</f>
        <v/>
      </c>
      <c r="E9280" s="34"/>
      <c r="F9280" s="34"/>
      <c r="J9280" s="25"/>
      <c r="K9280" s="25"/>
      <c r="L9280" s="25"/>
      <c r="M9280" s="25"/>
      <c r="N9280" s="25"/>
      <c r="O9280" s="25"/>
    </row>
    <row r="9281" customFormat="false" ht="15" hidden="false" customHeight="true" outlineLevel="0" collapsed="false">
      <c r="B9281" s="10"/>
      <c r="C9281" s="10"/>
      <c r="D9281" s="35" t="str">
        <f aca="false">IF(IF($K$9271=0,"",INDEX(Clients!$D$2:$D$501,$K$9271)&amp;"")="","","À l'attention de "&amp;TRIM(IF($K$9271=0,"",INDEX(Clients!$B$2:$B$501,$K$9271)&amp;"")&amp;" "&amp;IF($K$9271=0,"",INDEX(Clients!$C$2:$C$501,$K$9271)&amp;"")&amp;" "&amp;IF($K$9271=0,"",INDEX(Clients!$D$2:$D$501,$K$9271)&amp;"")))</f>
        <v/>
      </c>
      <c r="E9281" s="35"/>
      <c r="F9281" s="35"/>
      <c r="J9281" s="25"/>
      <c r="K9281" s="25"/>
      <c r="L9281" s="25"/>
      <c r="M9281" s="25"/>
      <c r="N9281" s="25"/>
      <c r="O9281" s="25"/>
    </row>
    <row r="9282" customFormat="false" ht="15" hidden="false" customHeight="true" outlineLevel="0" collapsed="false">
      <c r="B9282" s="10"/>
      <c r="C9282" s="10"/>
      <c r="D9282" s="35" t="str">
        <f aca="false">IF($K$9271=0,"",INDEX(Clients!$F$2:$F$501,$K$9271)&amp;"")</f>
        <v/>
      </c>
      <c r="E9282" s="35"/>
      <c r="F9282" s="35"/>
      <c r="J9282" s="25"/>
      <c r="K9282" s="25"/>
      <c r="L9282" s="25"/>
      <c r="M9282" s="25"/>
      <c r="N9282" s="25"/>
      <c r="O9282" s="25"/>
    </row>
    <row r="9283" customFormat="false" ht="15" hidden="false" customHeight="true" outlineLevel="0" collapsed="false">
      <c r="B9283" s="10"/>
      <c r="C9283" s="10"/>
      <c r="D9283" s="35" t="str">
        <f aca="false">IF(IF($K$9271=0,"",INDEX(Clients!$G$2:$G$501,$K$9271)&amp;"")="",TRIM(IF($K$9271=0,"",INDEX(Clients!$H$2:$H$501,$K$9271)&amp;"")&amp;" "&amp;UPPER(IF($K$9271=0,"",INDEX(Clients!$I$2:$I$501,$K$9271)&amp;""))),IF($K$9271=0,"",INDEX(Clients!$G$2:$G$501,$K$9271)&amp;""))</f>
        <v/>
      </c>
      <c r="E9283" s="35"/>
      <c r="F9283" s="35"/>
      <c r="J9283" s="25"/>
      <c r="K9283" s="25"/>
      <c r="L9283" s="25"/>
      <c r="M9283" s="25"/>
      <c r="N9283" s="25"/>
      <c r="O9283" s="25"/>
    </row>
    <row r="9284" customFormat="false" ht="15" hidden="false" customHeight="true" outlineLevel="0" collapsed="false">
      <c r="B9284" s="10"/>
      <c r="C9284" s="10"/>
      <c r="D9284" s="35" t="str">
        <f aca="false">IF(IF($K$9271=0,"",INDEX(Clients!$G$2:$G$501,$K$9271)&amp;"")="","",TRIM(IF($K$9271=0,"",INDEX(Clients!$H$2:$H$501,$K$9271)&amp;"")&amp;" "&amp;UPPER(IF($K$9271=0,"",INDEX(Clients!$I$2:$I$501,$K$9271)&amp;""))))</f>
        <v/>
      </c>
      <c r="E9284" s="35"/>
      <c r="F9284" s="35"/>
      <c r="J9284" s="25"/>
      <c r="K9284" s="25"/>
      <c r="L9284" s="25"/>
      <c r="M9284" s="25"/>
      <c r="N9284" s="25"/>
      <c r="O9284" s="25"/>
    </row>
    <row r="9285" customFormat="false" ht="25.5" hidden="false" customHeight="true" outlineLevel="0" collapsed="false">
      <c r="B9285" s="10"/>
      <c r="C9285" s="10"/>
      <c r="D9285" s="10"/>
      <c r="E9285" s="10"/>
      <c r="F9285" s="10"/>
      <c r="J9285" s="25"/>
      <c r="K9285" s="25"/>
      <c r="L9285" s="25"/>
      <c r="M9285" s="25"/>
      <c r="N9285" s="25"/>
      <c r="O9285" s="25"/>
    </row>
    <row r="9286" customFormat="false" ht="15" hidden="false" customHeight="false" outlineLevel="0" collapsed="false">
      <c r="B9286" s="10"/>
      <c r="C9286" s="10"/>
      <c r="D9286" s="36" t="str">
        <f aca="false">Cab_Ville&amp;", le "&amp;DAY(Date_Courrier)&amp;IF(DAY(Date_Courrier)=1,"er","")&amp;" "&amp;INDEX(Liste_Mois,MONTH(Date_Courrier))&amp;" "&amp;YEAR(Date_Courrier)</f>
        <v>Le Plessis-Bouchard, le 22 septembre 2026</v>
      </c>
      <c r="E9286" s="36"/>
      <c r="F9286" s="36"/>
      <c r="J9286" s="25"/>
      <c r="K9286" s="25"/>
      <c r="L9286" s="25"/>
      <c r="M9286" s="25"/>
      <c r="N9286" s="25"/>
      <c r="O9286" s="25"/>
    </row>
    <row r="9287" customFormat="false" ht="19.5" hidden="false" customHeight="true" outlineLevel="0" collapsed="false">
      <c r="B9287" s="10"/>
      <c r="C9287" s="10"/>
      <c r="D9287" s="10"/>
      <c r="E9287" s="10"/>
      <c r="F9287" s="10"/>
      <c r="J9287" s="25"/>
      <c r="K9287" s="25"/>
      <c r="L9287" s="25"/>
      <c r="M9287" s="25"/>
      <c r="N9287" s="25"/>
      <c r="O9287" s="25"/>
    </row>
    <row r="9288" customFormat="false" ht="15" hidden="false" customHeight="false" outlineLevel="0" collapsed="false">
      <c r="B9288" s="34" t="str">
        <f aca="false">SUBSTITUTE(SUBSTITUTE(SUBSTITUTE(SUBSTITUTE(SUBSTITUTE(Txt_Objet,"{cabinet}",Cab_Nom),"{societe}",IF($K$9271=0,"",INDEX(Clients!$E$2:$E$501,$K$9271)&amp;"")),"{date_effet}",$K$9273),"{hausse}",$K$9274),"{civilite}",$K$9272)</f>
        <v>Objet : révision de nos honoraires au 1er janvier 2027</v>
      </c>
      <c r="C9288" s="34"/>
      <c r="D9288" s="34"/>
      <c r="E9288" s="34"/>
      <c r="F9288" s="34"/>
      <c r="J9288" s="25"/>
      <c r="K9288" s="25"/>
      <c r="L9288" s="25"/>
      <c r="M9288" s="25"/>
      <c r="N9288" s="25"/>
      <c r="O9288" s="25"/>
    </row>
    <row r="9289" customFormat="false" ht="13.5" hidden="false" customHeight="true" outlineLevel="0" collapsed="false">
      <c r="B9289" s="10"/>
      <c r="C9289" s="10"/>
      <c r="D9289" s="10"/>
      <c r="E9289" s="10"/>
      <c r="F9289" s="10"/>
      <c r="J9289" s="25"/>
      <c r="K9289" s="25"/>
      <c r="L9289" s="25"/>
      <c r="M9289" s="25"/>
      <c r="N9289" s="25"/>
      <c r="O9289" s="25"/>
    </row>
    <row r="9290" customFormat="false" ht="15" hidden="false" customHeight="false" outlineLevel="0" collapsed="false">
      <c r="B9290" s="10" t="str">
        <f aca="false">$K$9272&amp;","</f>
        <v>Madame, Monsieur,</v>
      </c>
      <c r="C9290" s="10"/>
      <c r="D9290" s="10"/>
      <c r="E9290" s="10"/>
      <c r="F9290" s="10"/>
      <c r="J9290" s="25"/>
      <c r="K9290" s="25"/>
      <c r="L9290" s="25"/>
      <c r="M9290" s="25"/>
      <c r="N9290" s="25"/>
      <c r="O9290" s="25"/>
    </row>
    <row r="9291" customFormat="false" ht="6" hidden="false" customHeight="true" outlineLevel="0" collapsed="false">
      <c r="B9291" s="10"/>
      <c r="C9291" s="10"/>
      <c r="D9291" s="10"/>
      <c r="E9291" s="10"/>
      <c r="F9291" s="10"/>
      <c r="J9291" s="25"/>
      <c r="K9291" s="25"/>
      <c r="L9291" s="25"/>
      <c r="M9291" s="25"/>
      <c r="N9291" s="25"/>
      <c r="O9291" s="25"/>
    </row>
    <row r="9292" customFormat="false" ht="36.75" hidden="false" customHeight="true" outlineLevel="0" collapsed="false">
      <c r="B9292" s="37" t="str">
        <f aca="false">SUBSTITUTE(SUBSTITUTE(SUBSTITUTE(SUBSTITUTE(SUBSTITUTE(Txt_P1,"{cabinet}",Cab_Nom),"{societe}",IF($K$9271=0,"",INDEX(Clients!$E$2:$E$501,$K$9271)&amp;"")),"{date_effet}",$K$9273),"{hausse}",$K$9274),"{civilite}",$K$9272)</f>
        <v>Nous tenons tout d'abord à vous remercier pour la confiance que vous accordez à ALTHO EXPERTISE. Comme chaque année, et conformément aux dispositions de votre lettre de mission, nous procédons à la révision de nos honoraires.</v>
      </c>
      <c r="C9292" s="37"/>
      <c r="D9292" s="37"/>
      <c r="E9292" s="37"/>
      <c r="F9292" s="37"/>
      <c r="J9292" s="25"/>
      <c r="K9292" s="25"/>
      <c r="L9292" s="25"/>
      <c r="M9292" s="25"/>
      <c r="N9292" s="25"/>
      <c r="O9292" s="25"/>
    </row>
    <row r="9293" customFormat="false" ht="49.5" hidden="false" customHeight="true" outlineLevel="0" collapsed="false">
      <c r="B9293" s="37" t="str">
        <f aca="false">SUBSTITUTE(SUBSTITUTE(SUBSTITUTE(SUBSTITUTE(SUBSTITUTE(Txt_P2,"{cabinet}",Cab_Nom),"{societe}",IF($K$9271=0,"",INDEX(Clients!$E$2:$E$501,$K$9271)&amp;"")),"{date_effet}",$K$9273),"{hausse}",$K$9274),"{civilite}",$K$9272)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293" s="37"/>
      <c r="D9293" s="37"/>
      <c r="E9293" s="37"/>
      <c r="F9293" s="37"/>
      <c r="J9293" s="25"/>
      <c r="K9293" s="25"/>
      <c r="L9293" s="25"/>
      <c r="M9293" s="25"/>
      <c r="N9293" s="25"/>
      <c r="O9293" s="25"/>
    </row>
    <row r="9294" customFormat="false" ht="63" hidden="false" customHeight="true" outlineLevel="0" collapsed="false">
      <c r="B9294" s="37" t="str">
        <f aca="false">SUBSTITUTE(SUBSTITUTE(SUBSTITUTE(SUBSTITUTE(SUBSTITUTE(Txt_P3,"{cabinet}",Cab_Nom),"{societe}",IF($K$9271=0,"",INDEX(Clients!$E$2:$E$501,$K$9271)&amp;"")),"{date_effet}",$K$9273),"{hausse}",$K$9274),"{civilite}",$K$9272)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294" s="37"/>
      <c r="D9294" s="37"/>
      <c r="E9294" s="37"/>
      <c r="F9294" s="37"/>
      <c r="J9294" s="25"/>
      <c r="K9294" s="25"/>
      <c r="L9294" s="25"/>
      <c r="M9294" s="25"/>
      <c r="N9294" s="25"/>
      <c r="O9294" s="25"/>
    </row>
    <row r="9295" customFormat="false" ht="24" hidden="false" customHeight="true" outlineLevel="0" collapsed="false">
      <c r="B9295" s="37" t="str">
        <f aca="false">SUBSTITUTE(SUBSTITUTE(SUBSTITUTE(SUBSTITUTE(SUBSTITUTE(Txt_P4,"{cabinet}",Cab_Nom),"{societe}",IF($K$9271=0,"",INDEX(Clients!$E$2:$E$501,$K$9271)&amp;"")),"{date_effet}",$K$9273),"{hausse}",$K$9274),"{civilite}",$K$9272)</f>
        <v>À compter du 1er janvier 2027, vos honoraires annuels hors taxes évolueront ainsi (évolution globale : ) :</v>
      </c>
      <c r="C9295" s="37"/>
      <c r="D9295" s="37"/>
      <c r="E9295" s="37"/>
      <c r="F9295" s="37"/>
      <c r="J9295" s="25"/>
      <c r="K9295" s="25"/>
      <c r="L9295" s="25"/>
      <c r="M9295" s="25"/>
      <c r="N9295" s="25"/>
      <c r="O9295" s="25"/>
    </row>
    <row r="9296" customFormat="false" ht="3.75" hidden="false" customHeight="true" outlineLevel="0" collapsed="false">
      <c r="B9296" s="10"/>
      <c r="C9296" s="10"/>
      <c r="D9296" s="10"/>
      <c r="E9296" s="10"/>
      <c r="F9296" s="10"/>
      <c r="J9296" s="25"/>
      <c r="K9296" s="25"/>
      <c r="L9296" s="25"/>
      <c r="M9296" s="25"/>
      <c r="N9296" s="25"/>
      <c r="O9296" s="25"/>
    </row>
    <row r="9297" customFormat="false" ht="18" hidden="false" customHeight="true" outlineLevel="0" collapsed="false">
      <c r="B9297" s="38" t="s">
        <v>148</v>
      </c>
      <c r="C9297" s="39" t="s">
        <v>149</v>
      </c>
      <c r="D9297" s="39" t="s">
        <v>150</v>
      </c>
      <c r="E9297" s="39" t="s">
        <v>151</v>
      </c>
      <c r="F9297" s="39" t="s">
        <v>109</v>
      </c>
      <c r="J9297" s="25" t="s">
        <v>152</v>
      </c>
      <c r="K9297" s="25" t="s">
        <v>153</v>
      </c>
      <c r="L9297" s="25" t="s">
        <v>154</v>
      </c>
      <c r="M9297" s="25" t="s">
        <v>155</v>
      </c>
      <c r="N9297" s="25" t="s">
        <v>156</v>
      </c>
      <c r="O9297" s="25" t="s">
        <v>157</v>
      </c>
    </row>
    <row r="9298" customFormat="false" ht="16.5" hidden="false" customHeight="true" outlineLevel="0" collapsed="false">
      <c r="B9298" s="40" t="str">
        <f aca="false">IFERROR(INDEX($J$9298:$J$9301,MATCH($O9298,$N$9298:$N$9301,0)),"")</f>
        <v/>
      </c>
      <c r="C9298" s="41" t="str">
        <f aca="false">IFERROR(INDEX($K$9298:$K$9301,MATCH($O9298,$N$9298:$N$9301,0)),"")</f>
        <v/>
      </c>
      <c r="D9298" s="42" t="str">
        <f aca="false">IF(OR(E9298="",N(C9298)=0),"",E9298/C9298-1)</f>
        <v/>
      </c>
      <c r="E9298" s="41" t="str">
        <f aca="false">IFERROR(INDEX($L$9298:$L$9301,MATCH($O9298,$N$9298:$N$9301,0)),"")</f>
        <v/>
      </c>
      <c r="F9298" s="41" t="str">
        <f aca="false">IF(E9298="","",E9298-C9298)</f>
        <v/>
      </c>
      <c r="J9298" s="25" t="str">
        <f aca="false">Lib_Compta</f>
        <v>Mission comptable (tenue, révision, bilan, liasse fiscale)</v>
      </c>
      <c r="K9298" s="25" t="n">
        <f aca="false">IF($K$9271=0,0,N(INDEX(Clients!$K$2:$K$501,$K$9271)))</f>
        <v>0</v>
      </c>
      <c r="L9298" s="25" t="n">
        <f aca="false">IF($K$9271=0,0,N(INDEX(Clients!$P$2:$P$501,$K$9271)))</f>
        <v>0</v>
      </c>
      <c r="M9298" s="25" t="n">
        <f aca="false">IF(OR(K9298&lt;&gt;0,L9298&lt;&gt;0),1,0)</f>
        <v>0</v>
      </c>
      <c r="N9298" s="25" t="str">
        <f aca="false">IF(M9298=1,SUM($M$9298:M9298),"")</f>
        <v/>
      </c>
      <c r="O9298" s="25" t="n">
        <v>1</v>
      </c>
    </row>
    <row r="9299" customFormat="false" ht="16.5" hidden="false" customHeight="true" outlineLevel="0" collapsed="false">
      <c r="B9299" s="40" t="str">
        <f aca="false">IFERROR(INDEX($J$9298:$J$9301,MATCH($O9299,$N$9298:$N$9301,0)),"")</f>
        <v/>
      </c>
      <c r="C9299" s="41" t="str">
        <f aca="false">IFERROR(INDEX($K$9298:$K$9301,MATCH($O9299,$N$9298:$N$9301,0)),"")</f>
        <v/>
      </c>
      <c r="D9299" s="42" t="str">
        <f aca="false">IF(OR(E9299="",N(C9299)=0),"",E9299/C9299-1)</f>
        <v/>
      </c>
      <c r="E9299" s="41" t="str">
        <f aca="false">IFERROR(INDEX($L$9298:$L$9301,MATCH($O9299,$N$9298:$N$9301,0)),"")</f>
        <v/>
      </c>
      <c r="F9299" s="41" t="str">
        <f aca="false">IF(E9299="","",E9299-C9299)</f>
        <v/>
      </c>
      <c r="J9299" s="25" t="str">
        <f aca="false">Lib_Paye</f>
        <v>Mission sociale (bulletins de paie, DSN, déclarations sociales)</v>
      </c>
      <c r="K9299" s="25" t="n">
        <f aca="false">IF($K$9271=0,0,N(INDEX(Clients!$L$2:$L$501,$K$9271)))</f>
        <v>0</v>
      </c>
      <c r="L9299" s="25" t="n">
        <f aca="false">IF($K$9271=0,0,N(INDEX(Clients!$Q$2:$Q$501,$K$9271)))</f>
        <v>0</v>
      </c>
      <c r="M9299" s="25" t="n">
        <f aca="false">IF(OR(K9299&lt;&gt;0,L9299&lt;&gt;0),1,0)</f>
        <v>0</v>
      </c>
      <c r="N9299" s="25" t="str">
        <f aca="false">IF(M9299=1,SUM($M$9298:M9299),"")</f>
        <v/>
      </c>
      <c r="O9299" s="25" t="n">
        <v>2</v>
      </c>
    </row>
    <row r="9300" customFormat="false" ht="16.5" hidden="false" customHeight="true" outlineLevel="0" collapsed="false">
      <c r="B9300" s="40" t="str">
        <f aca="false">IFERROR(INDEX($J$9298:$J$9301,MATCH($O9300,$N$9298:$N$9301,0)),"")</f>
        <v/>
      </c>
      <c r="C9300" s="41" t="str">
        <f aca="false">IFERROR(INDEX($K$9298:$K$9301,MATCH($O9300,$N$9298:$N$9301,0)),"")</f>
        <v/>
      </c>
      <c r="D9300" s="42" t="str">
        <f aca="false">IF(OR(E9300="",N(C9300)=0),"",E9300/C9300-1)</f>
        <v/>
      </c>
      <c r="E9300" s="41" t="str">
        <f aca="false">IFERROR(INDEX($L$9298:$L$9301,MATCH($O9300,$N$9298:$N$9301,0)),"")</f>
        <v/>
      </c>
      <c r="F9300" s="41" t="str">
        <f aca="false">IF(E9300="","",E9300-C9300)</f>
        <v/>
      </c>
      <c r="J9300" s="25" t="str">
        <f aca="false">Lib_Jur</f>
        <v>Mission juridique (approbation des comptes, secrétariat juridique)</v>
      </c>
      <c r="K9300" s="25" t="n">
        <f aca="false">IF($K$9271=0,0,N(INDEX(Clients!$M$2:$M$501,$K$9271)))</f>
        <v>0</v>
      </c>
      <c r="L9300" s="25" t="n">
        <f aca="false">IF($K$9271=0,0,N(INDEX(Clients!$R$2:$R$501,$K$9271)))</f>
        <v>0</v>
      </c>
      <c r="M9300" s="25" t="n">
        <f aca="false">IF(OR(K9300&lt;&gt;0,L9300&lt;&gt;0),1,0)</f>
        <v>0</v>
      </c>
      <c r="N9300" s="25" t="str">
        <f aca="false">IF(M9300=1,SUM($M$9298:M9300),"")</f>
        <v/>
      </c>
      <c r="O9300" s="25" t="n">
        <v>3</v>
      </c>
    </row>
    <row r="9301" customFormat="false" ht="16.5" hidden="false" customHeight="true" outlineLevel="0" collapsed="false">
      <c r="B9301" s="40" t="str">
        <f aca="false">IFERROR(INDEX($J$9298:$J$9301,MATCH($O9301,$N$9298:$N$9301,0)),"")</f>
        <v/>
      </c>
      <c r="C9301" s="41" t="str">
        <f aca="false">IFERROR(INDEX($K$9298:$K$9301,MATCH($O9301,$N$9298:$N$9301,0)),"")</f>
        <v/>
      </c>
      <c r="D9301" s="42" t="str">
        <f aca="false">IF(OR(E9301="",N(C9301)=0),"",E9301/C9301-1)</f>
        <v/>
      </c>
      <c r="E9301" s="41" t="str">
        <f aca="false">IFERROR(INDEX($L$9298:$L$9301,MATCH($O9301,$N$9298:$N$9301,0)),"")</f>
        <v/>
      </c>
      <c r="F9301" s="41" t="str">
        <f aca="false">IF(E9301="","",E9301-C9301)</f>
        <v/>
      </c>
      <c r="J9301" s="25" t="str">
        <f aca="false">Lib_PA</f>
        <v>Plateforme agréée – facturation électronique</v>
      </c>
      <c r="K9301" s="25" t="n">
        <f aca="false">IF($K$9271=0,0,N(INDEX(Clients!$N$2:$N$501,$K$9271)))</f>
        <v>0</v>
      </c>
      <c r="L9301" s="25" t="n">
        <f aca="false">IF($K$9271=0,0,N(INDEX(Clients!$S$2:$S$501,$K$9271)))</f>
        <v>0</v>
      </c>
      <c r="M9301" s="25" t="n">
        <f aca="false">IF(OR(K9301&lt;&gt;0,L9301&lt;&gt;0),1,0)</f>
        <v>0</v>
      </c>
      <c r="N9301" s="25" t="str">
        <f aca="false">IF(M9301=1,SUM($M$9298:M9301),"")</f>
        <v/>
      </c>
      <c r="O9301" s="25" t="n">
        <v>4</v>
      </c>
    </row>
    <row r="9302" customFormat="false" ht="18" hidden="false" customHeight="true" outlineLevel="0" collapsed="false">
      <c r="B9302" s="43" t="s">
        <v>158</v>
      </c>
      <c r="C9302" s="44" t="n">
        <f aca="false">SUM(K9298:K9301)</f>
        <v>0</v>
      </c>
      <c r="D9302" s="45" t="str">
        <f aca="false">IF(N(C9302)=0,"",E9302/C9302-1)</f>
        <v/>
      </c>
      <c r="E9302" s="44" t="n">
        <f aca="false">SUM(L9298:L9301)</f>
        <v>0</v>
      </c>
      <c r="F9302" s="44" t="n">
        <f aca="false">E9302-C9302</f>
        <v>0</v>
      </c>
    </row>
    <row r="9303" customFormat="false" ht="15" hidden="false" customHeight="false" outlineLevel="0" collapsed="false">
      <c r="B9303" s="46" t="str">
        <f aca="false">IF(N(Nb_Mensualites)=0,"","Soit "&amp;FIXED(E9302/Nb_Mensualites,2)&amp;" € HT par échéance ("&amp;Nb_Mensualites&amp;" échéances), "&amp;FIXED(E9302/Nb_Mensualites*(1+Taux_TVA),2)&amp;" € TTC.")</f>
        <v>Soit 0.00 € HT par échéance (12 échéances), 0.00 € TTC.</v>
      </c>
      <c r="C9303" s="46"/>
      <c r="D9303" s="46"/>
      <c r="E9303" s="46"/>
      <c r="F9303" s="46"/>
    </row>
    <row r="9304" customFormat="false" ht="7.5" hidden="false" customHeight="true" outlineLevel="0" collapsed="false">
      <c r="B9304" s="10"/>
      <c r="C9304" s="10"/>
      <c r="D9304" s="10"/>
      <c r="E9304" s="10"/>
      <c r="F9304" s="10"/>
    </row>
    <row r="9305" customFormat="false" ht="36.75" hidden="false" customHeight="true" outlineLevel="0" collapsed="false">
      <c r="B9305" s="37" t="str">
        <f aca="false">SUBSTITUTE(SUBSTITUTE(SUBSTITUTE(SUBSTITUTE(SUBSTITUTE(Txt_P5,"{cabinet}",Cab_Nom),"{societe}",IF($K$9271=0,"",INDEX(Clients!$E$2:$E$501,$K$9271)&amp;"")),"{date_effet}",$K$9273),"{hausse}",$K$9274),"{civilite}",$K$9272)</f>
        <v>Les autres conditions de votre lettre de mission demeurent inchangées. Les nouveaux montants seront appliqués automatiquement sur vos prochaines factures et échéances de prélèvement.</v>
      </c>
      <c r="C9305" s="37"/>
      <c r="D9305" s="37"/>
      <c r="E9305" s="37"/>
      <c r="F9305" s="37"/>
    </row>
    <row r="9306" customFormat="false" ht="36.75" hidden="false" customHeight="true" outlineLevel="0" collapsed="false">
      <c r="B9306" s="37" t="str">
        <f aca="false">SUBSTITUTE(SUBSTITUTE(SUBSTITUTE(SUBSTITUTE(SUBSTITUTE(Txt_P6,"{cabinet}",Cab_Nom),"{societe}",IF($K$9271=0,"",INDEX(Clients!$E$2:$E$501,$K$9271)&amp;"")),"{date_effet}",$K$9273),"{hausse}",$K$9274),"{civilite}",$K$9272)</f>
        <v>Votre interlocuteur habituel reste à votre entière disposition pour répondre à vos questions et faire le point sur l'évolution de vos besoins.</v>
      </c>
      <c r="C9306" s="37"/>
      <c r="D9306" s="37"/>
      <c r="E9306" s="37"/>
      <c r="F9306" s="37"/>
    </row>
    <row r="9307" customFormat="false" ht="24" hidden="false" customHeight="true" outlineLevel="0" collapsed="false">
      <c r="B9307" s="37" t="str">
        <f aca="false">SUBSTITUTE(SUBSTITUTE(SUBSTITUTE(SUBSTITUTE(SUBSTITUTE(Txt_Politesse,"{cabinet}",Cab_Nom),"{societe}",IF($K$9271=0,"",INDEX(Clients!$E$2:$E$501,$K$9271)&amp;"")),"{date_effet}",$K$9273),"{hausse}",$K$9274),"{civilite}",$K$9272)</f>
        <v>Nous vous prions d'agréer, Madame, Monsieur, l'expression de nos salutations distinguées.</v>
      </c>
      <c r="C9307" s="37"/>
      <c r="D9307" s="37"/>
      <c r="E9307" s="37"/>
      <c r="F9307" s="37"/>
    </row>
    <row r="9308" customFormat="false" ht="15" hidden="false" customHeight="false" outlineLevel="0" collapsed="false">
      <c r="B9308" s="10"/>
      <c r="C9308" s="10"/>
      <c r="D9308" s="10"/>
      <c r="E9308" s="10"/>
      <c r="F9308" s="10"/>
    </row>
    <row r="9309" customFormat="false" ht="15" hidden="false" customHeight="false" outlineLevel="0" collapsed="false">
      <c r="B9309" s="10"/>
      <c r="C9309" s="10"/>
      <c r="D9309" s="34" t="str">
        <f aca="false">Signataire</f>
        <v>Prénom NOM</v>
      </c>
      <c r="E9309" s="34"/>
      <c r="F9309" s="34"/>
    </row>
    <row r="9310" customFormat="false" ht="15" hidden="false" customHeight="false" outlineLevel="0" collapsed="false">
      <c r="B9310" s="10"/>
      <c r="C9310" s="10"/>
      <c r="D9310" s="47" t="str">
        <f aca="false">Signataire_Titre</f>
        <v>Expert-comptable associé</v>
      </c>
      <c r="E9310" s="47"/>
      <c r="F9310" s="47"/>
    </row>
    <row r="9311" customFormat="false" ht="15.75" hidden="false" customHeight="true" outlineLevel="0" collapsed="false">
      <c r="B9311" s="10"/>
      <c r="C9311" s="10"/>
      <c r="D9311" s="10"/>
      <c r="E9311" s="10"/>
      <c r="F9311" s="10"/>
    </row>
    <row r="9312" customFormat="false" ht="15.75" hidden="false" customHeight="true" outlineLevel="0" collapsed="false">
      <c r="B9312" s="10"/>
      <c r="C9312" s="10"/>
      <c r="D9312" s="10"/>
      <c r="E9312" s="10"/>
      <c r="F9312" s="10"/>
    </row>
    <row r="9313" customFormat="false" ht="15.75" hidden="false" customHeight="true" outlineLevel="0" collapsed="false">
      <c r="B9313" s="10"/>
      <c r="C9313" s="10"/>
      <c r="D9313" s="10"/>
      <c r="E9313" s="10"/>
      <c r="F9313" s="10"/>
    </row>
    <row r="9314" customFormat="false" ht="15.75" hidden="false" customHeight="true" outlineLevel="0" collapsed="false">
      <c r="B9314" s="10"/>
      <c r="C9314" s="10"/>
      <c r="D9314" s="10"/>
      <c r="E9314" s="10"/>
      <c r="F9314" s="10"/>
    </row>
    <row r="9315" customFormat="false" ht="24" hidden="false" customHeight="true" outlineLevel="0" collapsed="false">
      <c r="B9315" s="48" t="str">
        <f aca="false">Cab_Mentions</f>
        <v>ALTHO EXPERTISE · SAS au capital de 10 000 € · RCS Pontoise 919 706 325 · TVA FR62919706325 · Société d'expertise comptable inscrite au Tableau de l'Ordre des experts-comptables de Paris Île-de-France</v>
      </c>
      <c r="C9315" s="48"/>
      <c r="D9315" s="48"/>
      <c r="E9315" s="48"/>
      <c r="F9315" s="48"/>
    </row>
    <row r="9316" customFormat="false" ht="15" hidden="false" customHeight="false" outlineLevel="0" collapsed="false">
      <c r="B9316" s="10"/>
      <c r="C9316" s="10"/>
      <c r="D9316" s="10"/>
      <c r="E9316" s="10"/>
      <c r="F9316" s="10"/>
      <c r="J9316" s="25" t="s">
        <v>142</v>
      </c>
      <c r="K9316" s="25" t="n">
        <f aca="false">IFERROR(MATCH(208,Clients!$Z$2:$Z$501,0),0)</f>
        <v>0</v>
      </c>
      <c r="L9316" s="25"/>
      <c r="M9316" s="25"/>
      <c r="N9316" s="25"/>
      <c r="O9316" s="25"/>
    </row>
    <row r="9317" customFormat="false" ht="21.75" hidden="false" customHeight="true" outlineLevel="0" collapsed="false">
      <c r="B9317" s="26" t="str">
        <f aca="false">Cab_Nom</f>
        <v>ALTHO EXPERTISE</v>
      </c>
      <c r="C9317" s="26"/>
      <c r="D9317" s="10"/>
      <c r="E9317" s="27" t="str">
        <f aca="false">IF($K$9316=0,"","Réf. client : "&amp;INDEX(Clients!$A$2:$A$501,$K$9316))</f>
        <v/>
      </c>
      <c r="F9317" s="27"/>
      <c r="J9317" s="25" t="s">
        <v>144</v>
      </c>
      <c r="K9317" s="25" t="str">
        <f aca="false">IF(IF($K$9316=0,"",INDEX(Clients!$B$2:$B$501,$K$9316)&amp;"")="Mme","Madame",IF(IF($K$9316=0,"",INDEX(Clients!$B$2:$B$501,$K$9316)&amp;"")="M.","Monsieur","Madame, Monsieur"))</f>
        <v>Madame, Monsieur</v>
      </c>
      <c r="L9317" s="25"/>
      <c r="M9317" s="25"/>
      <c r="N9317" s="25"/>
      <c r="O9317" s="25"/>
    </row>
    <row r="9318" customFormat="false" ht="15" hidden="false" customHeight="false" outlineLevel="0" collapsed="false">
      <c r="B9318" s="29" t="str">
        <f aca="false">Cab_Adr1</f>
        <v>141 rue Charles de Gaulle</v>
      </c>
      <c r="C9318" s="29"/>
      <c r="D9318" s="10"/>
      <c r="E9318" s="10"/>
      <c r="F9318" s="10"/>
      <c r="J9318" s="25" t="s">
        <v>145</v>
      </c>
      <c r="K9318" s="25" t="str">
        <f aca="false">DAY(Date_Effet)&amp;IF(DAY(Date_Effet)=1,"er","")&amp;" "&amp;INDEX(Liste_Mois,MONTH(Date_Effet))&amp;" "&amp;YEAR(Date_Effet)</f>
        <v>1er janvier 2027</v>
      </c>
      <c r="L9318" s="25"/>
      <c r="M9318" s="25"/>
      <c r="N9318" s="25"/>
      <c r="O9318" s="25"/>
    </row>
    <row r="9319" customFormat="false" ht="15" hidden="false" customHeight="false" outlineLevel="0" collapsed="false">
      <c r="B9319" s="29" t="str">
        <f aca="false">Cab_CPVille</f>
        <v>95130 LE PLESSIS-BOUCHARD</v>
      </c>
      <c r="C9319" s="29"/>
      <c r="D9319" s="10"/>
      <c r="E9319" s="10"/>
      <c r="F9319" s="10"/>
      <c r="J9319" s="25" t="s">
        <v>146</v>
      </c>
      <c r="K9319" s="25" t="str">
        <f aca="false">IF(SUM($K$9343:$K$9346)=0,"",FIXED((SUM($L$9343:$L$9346)/SUM($K$9343:$K$9346)-1)*100,1)&amp;" %")</f>
        <v/>
      </c>
      <c r="L9319" s="25"/>
      <c r="M9319" s="25"/>
      <c r="N9319" s="25"/>
      <c r="O9319" s="25"/>
    </row>
    <row r="9320" customFormat="false" ht="15" hidden="false" customHeight="false" outlineLevel="0" collapsed="false">
      <c r="B9320" s="29" t="str">
        <f aca="false">Cab_Contact</f>
        <v>Tél. 01 34 14 53 45  ·  altho@altho-experts.com  ·  altho-experts.com</v>
      </c>
      <c r="C9320" s="29"/>
      <c r="D9320" s="10"/>
      <c r="E9320" s="10"/>
      <c r="F9320" s="10"/>
      <c r="J9320" s="25"/>
      <c r="K9320" s="25"/>
      <c r="L9320" s="25"/>
      <c r="M9320" s="25"/>
      <c r="N9320" s="25"/>
      <c r="O9320" s="25"/>
    </row>
    <row r="9321" customFormat="false" ht="6" hidden="false" customHeight="true" outlineLevel="0" collapsed="false">
      <c r="B9321" s="32"/>
      <c r="C9321" s="32"/>
      <c r="D9321" s="32"/>
      <c r="E9321" s="32"/>
      <c r="F9321" s="32"/>
      <c r="J9321" s="25"/>
      <c r="K9321" s="25"/>
      <c r="L9321" s="25"/>
      <c r="M9321" s="25"/>
      <c r="N9321" s="25"/>
      <c r="O9321" s="25"/>
    </row>
    <row r="9322" customFormat="false" ht="13.5" hidden="false" customHeight="true" outlineLevel="0" collapsed="false">
      <c r="B9322" s="10"/>
      <c r="C9322" s="10"/>
      <c r="D9322" s="10"/>
      <c r="E9322" s="10"/>
      <c r="F9322" s="10"/>
      <c r="J9322" s="25"/>
      <c r="K9322" s="25"/>
      <c r="L9322" s="25"/>
      <c r="M9322" s="25"/>
      <c r="N9322" s="25"/>
      <c r="O9322" s="25"/>
    </row>
    <row r="9323" customFormat="false" ht="13.5" hidden="false" customHeight="true" outlineLevel="0" collapsed="false">
      <c r="B9323" s="10"/>
      <c r="C9323" s="10"/>
      <c r="D9323" s="10"/>
      <c r="E9323" s="10"/>
      <c r="F9323" s="10"/>
      <c r="J9323" s="25"/>
      <c r="K9323" s="25"/>
      <c r="L9323" s="25"/>
      <c r="M9323" s="25"/>
      <c r="N9323" s="25"/>
      <c r="O9323" s="25"/>
    </row>
    <row r="9324" customFormat="false" ht="13.5" hidden="false" customHeight="true" outlineLevel="0" collapsed="false">
      <c r="B9324" s="10"/>
      <c r="C9324" s="10"/>
      <c r="D9324" s="10"/>
      <c r="E9324" s="10"/>
      <c r="F9324" s="10"/>
      <c r="J9324" s="25"/>
      <c r="K9324" s="25"/>
      <c r="L9324" s="25"/>
      <c r="M9324" s="25"/>
      <c r="N9324" s="25"/>
      <c r="O9324" s="25"/>
    </row>
    <row r="9325" customFormat="false" ht="15" hidden="false" customHeight="true" outlineLevel="0" collapsed="false">
      <c r="B9325" s="10"/>
      <c r="C9325" s="10"/>
      <c r="D9325" s="34" t="str">
        <f aca="false">IF($K$9316=0,"",INDEX(Clients!$E$2:$E$501,$K$9316)&amp;"")</f>
        <v/>
      </c>
      <c r="E9325" s="34"/>
      <c r="F9325" s="34"/>
      <c r="J9325" s="25"/>
      <c r="K9325" s="25"/>
      <c r="L9325" s="25"/>
      <c r="M9325" s="25"/>
      <c r="N9325" s="25"/>
      <c r="O9325" s="25"/>
    </row>
    <row r="9326" customFormat="false" ht="15" hidden="false" customHeight="true" outlineLevel="0" collapsed="false">
      <c r="B9326" s="10"/>
      <c r="C9326" s="10"/>
      <c r="D9326" s="35" t="str">
        <f aca="false">IF(IF($K$9316=0,"",INDEX(Clients!$D$2:$D$501,$K$9316)&amp;"")="","","À l'attention de "&amp;TRIM(IF($K$9316=0,"",INDEX(Clients!$B$2:$B$501,$K$9316)&amp;"")&amp;" "&amp;IF($K$9316=0,"",INDEX(Clients!$C$2:$C$501,$K$9316)&amp;"")&amp;" "&amp;IF($K$9316=0,"",INDEX(Clients!$D$2:$D$501,$K$9316)&amp;"")))</f>
        <v/>
      </c>
      <c r="E9326" s="35"/>
      <c r="F9326" s="35"/>
      <c r="J9326" s="25"/>
      <c r="K9326" s="25"/>
      <c r="L9326" s="25"/>
      <c r="M9326" s="25"/>
      <c r="N9326" s="25"/>
      <c r="O9326" s="25"/>
    </row>
    <row r="9327" customFormat="false" ht="15" hidden="false" customHeight="true" outlineLevel="0" collapsed="false">
      <c r="B9327" s="10"/>
      <c r="C9327" s="10"/>
      <c r="D9327" s="35" t="str">
        <f aca="false">IF($K$9316=0,"",INDEX(Clients!$F$2:$F$501,$K$9316)&amp;"")</f>
        <v/>
      </c>
      <c r="E9327" s="35"/>
      <c r="F9327" s="35"/>
      <c r="J9327" s="25"/>
      <c r="K9327" s="25"/>
      <c r="L9327" s="25"/>
      <c r="M9327" s="25"/>
      <c r="N9327" s="25"/>
      <c r="O9327" s="25"/>
    </row>
    <row r="9328" customFormat="false" ht="15" hidden="false" customHeight="true" outlineLevel="0" collapsed="false">
      <c r="B9328" s="10"/>
      <c r="C9328" s="10"/>
      <c r="D9328" s="35" t="str">
        <f aca="false">IF(IF($K$9316=0,"",INDEX(Clients!$G$2:$G$501,$K$9316)&amp;"")="",TRIM(IF($K$9316=0,"",INDEX(Clients!$H$2:$H$501,$K$9316)&amp;"")&amp;" "&amp;UPPER(IF($K$9316=0,"",INDEX(Clients!$I$2:$I$501,$K$9316)&amp;""))),IF($K$9316=0,"",INDEX(Clients!$G$2:$G$501,$K$9316)&amp;""))</f>
        <v/>
      </c>
      <c r="E9328" s="35"/>
      <c r="F9328" s="35"/>
      <c r="J9328" s="25"/>
      <c r="K9328" s="25"/>
      <c r="L9328" s="25"/>
      <c r="M9328" s="25"/>
      <c r="N9328" s="25"/>
      <c r="O9328" s="25"/>
    </row>
    <row r="9329" customFormat="false" ht="15" hidden="false" customHeight="true" outlineLevel="0" collapsed="false">
      <c r="B9329" s="10"/>
      <c r="C9329" s="10"/>
      <c r="D9329" s="35" t="str">
        <f aca="false">IF(IF($K$9316=0,"",INDEX(Clients!$G$2:$G$501,$K$9316)&amp;"")="","",TRIM(IF($K$9316=0,"",INDEX(Clients!$H$2:$H$501,$K$9316)&amp;"")&amp;" "&amp;UPPER(IF($K$9316=0,"",INDEX(Clients!$I$2:$I$501,$K$9316)&amp;""))))</f>
        <v/>
      </c>
      <c r="E9329" s="35"/>
      <c r="F9329" s="35"/>
      <c r="J9329" s="25"/>
      <c r="K9329" s="25"/>
      <c r="L9329" s="25"/>
      <c r="M9329" s="25"/>
      <c r="N9329" s="25"/>
      <c r="O9329" s="25"/>
    </row>
    <row r="9330" customFormat="false" ht="25.5" hidden="false" customHeight="true" outlineLevel="0" collapsed="false">
      <c r="B9330" s="10"/>
      <c r="C9330" s="10"/>
      <c r="D9330" s="10"/>
      <c r="E9330" s="10"/>
      <c r="F9330" s="10"/>
      <c r="J9330" s="25"/>
      <c r="K9330" s="25"/>
      <c r="L9330" s="25"/>
      <c r="M9330" s="25"/>
      <c r="N9330" s="25"/>
      <c r="O9330" s="25"/>
    </row>
    <row r="9331" customFormat="false" ht="15" hidden="false" customHeight="false" outlineLevel="0" collapsed="false">
      <c r="B9331" s="10"/>
      <c r="C9331" s="10"/>
      <c r="D9331" s="36" t="str">
        <f aca="false">Cab_Ville&amp;", le "&amp;DAY(Date_Courrier)&amp;IF(DAY(Date_Courrier)=1,"er","")&amp;" "&amp;INDEX(Liste_Mois,MONTH(Date_Courrier))&amp;" "&amp;YEAR(Date_Courrier)</f>
        <v>Le Plessis-Bouchard, le 22 septembre 2026</v>
      </c>
      <c r="E9331" s="36"/>
      <c r="F9331" s="36"/>
      <c r="J9331" s="25"/>
      <c r="K9331" s="25"/>
      <c r="L9331" s="25"/>
      <c r="M9331" s="25"/>
      <c r="N9331" s="25"/>
      <c r="O9331" s="25"/>
    </row>
    <row r="9332" customFormat="false" ht="19.5" hidden="false" customHeight="true" outlineLevel="0" collapsed="false">
      <c r="B9332" s="10"/>
      <c r="C9332" s="10"/>
      <c r="D9332" s="10"/>
      <c r="E9332" s="10"/>
      <c r="F9332" s="10"/>
      <c r="J9332" s="25"/>
      <c r="K9332" s="25"/>
      <c r="L9332" s="25"/>
      <c r="M9332" s="25"/>
      <c r="N9332" s="25"/>
      <c r="O9332" s="25"/>
    </row>
    <row r="9333" customFormat="false" ht="15" hidden="false" customHeight="false" outlineLevel="0" collapsed="false">
      <c r="B9333" s="34" t="str">
        <f aca="false">SUBSTITUTE(SUBSTITUTE(SUBSTITUTE(SUBSTITUTE(SUBSTITUTE(Txt_Objet,"{cabinet}",Cab_Nom),"{societe}",IF($K$9316=0,"",INDEX(Clients!$E$2:$E$501,$K$9316)&amp;"")),"{date_effet}",$K$9318),"{hausse}",$K$9319),"{civilite}",$K$9317)</f>
        <v>Objet : révision de nos honoraires au 1er janvier 2027</v>
      </c>
      <c r="C9333" s="34"/>
      <c r="D9333" s="34"/>
      <c r="E9333" s="34"/>
      <c r="F9333" s="34"/>
      <c r="J9333" s="25"/>
      <c r="K9333" s="25"/>
      <c r="L9333" s="25"/>
      <c r="M9333" s="25"/>
      <c r="N9333" s="25"/>
      <c r="O9333" s="25"/>
    </row>
    <row r="9334" customFormat="false" ht="13.5" hidden="false" customHeight="true" outlineLevel="0" collapsed="false">
      <c r="B9334" s="10"/>
      <c r="C9334" s="10"/>
      <c r="D9334" s="10"/>
      <c r="E9334" s="10"/>
      <c r="F9334" s="10"/>
      <c r="J9334" s="25"/>
      <c r="K9334" s="25"/>
      <c r="L9334" s="25"/>
      <c r="M9334" s="25"/>
      <c r="N9334" s="25"/>
      <c r="O9334" s="25"/>
    </row>
    <row r="9335" customFormat="false" ht="15" hidden="false" customHeight="false" outlineLevel="0" collapsed="false">
      <c r="B9335" s="10" t="str">
        <f aca="false">$K$9317&amp;","</f>
        <v>Madame, Monsieur,</v>
      </c>
      <c r="C9335" s="10"/>
      <c r="D9335" s="10"/>
      <c r="E9335" s="10"/>
      <c r="F9335" s="10"/>
      <c r="J9335" s="25"/>
      <c r="K9335" s="25"/>
      <c r="L9335" s="25"/>
      <c r="M9335" s="25"/>
      <c r="N9335" s="25"/>
      <c r="O9335" s="25"/>
    </row>
    <row r="9336" customFormat="false" ht="6" hidden="false" customHeight="true" outlineLevel="0" collapsed="false">
      <c r="B9336" s="10"/>
      <c r="C9336" s="10"/>
      <c r="D9336" s="10"/>
      <c r="E9336" s="10"/>
      <c r="F9336" s="10"/>
      <c r="J9336" s="25"/>
      <c r="K9336" s="25"/>
      <c r="L9336" s="25"/>
      <c r="M9336" s="25"/>
      <c r="N9336" s="25"/>
      <c r="O9336" s="25"/>
    </row>
    <row r="9337" customFormat="false" ht="36.75" hidden="false" customHeight="true" outlineLevel="0" collapsed="false">
      <c r="B9337" s="37" t="str">
        <f aca="false">SUBSTITUTE(SUBSTITUTE(SUBSTITUTE(SUBSTITUTE(SUBSTITUTE(Txt_P1,"{cabinet}",Cab_Nom),"{societe}",IF($K$9316=0,"",INDEX(Clients!$E$2:$E$501,$K$9316)&amp;"")),"{date_effet}",$K$9318),"{hausse}",$K$9319),"{civilite}",$K$9317)</f>
        <v>Nous tenons tout d'abord à vous remercier pour la confiance que vous accordez à ALTHO EXPERTISE. Comme chaque année, et conformément aux dispositions de votre lettre de mission, nous procédons à la révision de nos honoraires.</v>
      </c>
      <c r="C9337" s="37"/>
      <c r="D9337" s="37"/>
      <c r="E9337" s="37"/>
      <c r="F9337" s="37"/>
      <c r="J9337" s="25"/>
      <c r="K9337" s="25"/>
      <c r="L9337" s="25"/>
      <c r="M9337" s="25"/>
      <c r="N9337" s="25"/>
      <c r="O9337" s="25"/>
    </row>
    <row r="9338" customFormat="false" ht="49.5" hidden="false" customHeight="true" outlineLevel="0" collapsed="false">
      <c r="B9338" s="37" t="str">
        <f aca="false">SUBSTITUTE(SUBSTITUTE(SUBSTITUTE(SUBSTITUTE(SUBSTITUTE(Txt_P2,"{cabinet}",Cab_Nom),"{societe}",IF($K$9316=0,"",INDEX(Clients!$E$2:$E$501,$K$9316)&amp;"")),"{date_effet}",$K$9318),"{hausse}",$K$9319),"{civilite}",$K$9317)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338" s="37"/>
      <c r="D9338" s="37"/>
      <c r="E9338" s="37"/>
      <c r="F9338" s="37"/>
      <c r="J9338" s="25"/>
      <c r="K9338" s="25"/>
      <c r="L9338" s="25"/>
      <c r="M9338" s="25"/>
      <c r="N9338" s="25"/>
      <c r="O9338" s="25"/>
    </row>
    <row r="9339" customFormat="false" ht="63" hidden="false" customHeight="true" outlineLevel="0" collapsed="false">
      <c r="B9339" s="37" t="str">
        <f aca="false">SUBSTITUTE(SUBSTITUTE(SUBSTITUTE(SUBSTITUTE(SUBSTITUTE(Txt_P3,"{cabinet}",Cab_Nom),"{societe}",IF($K$9316=0,"",INDEX(Clients!$E$2:$E$501,$K$9316)&amp;"")),"{date_effet}",$K$9318),"{hausse}",$K$9319),"{civilite}",$K$9317)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339" s="37"/>
      <c r="D9339" s="37"/>
      <c r="E9339" s="37"/>
      <c r="F9339" s="37"/>
      <c r="J9339" s="25"/>
      <c r="K9339" s="25"/>
      <c r="L9339" s="25"/>
      <c r="M9339" s="25"/>
      <c r="N9339" s="25"/>
      <c r="O9339" s="25"/>
    </row>
    <row r="9340" customFormat="false" ht="24" hidden="false" customHeight="true" outlineLevel="0" collapsed="false">
      <c r="B9340" s="37" t="str">
        <f aca="false">SUBSTITUTE(SUBSTITUTE(SUBSTITUTE(SUBSTITUTE(SUBSTITUTE(Txt_P4,"{cabinet}",Cab_Nom),"{societe}",IF($K$9316=0,"",INDEX(Clients!$E$2:$E$501,$K$9316)&amp;"")),"{date_effet}",$K$9318),"{hausse}",$K$9319),"{civilite}",$K$9317)</f>
        <v>À compter du 1er janvier 2027, vos honoraires annuels hors taxes évolueront ainsi (évolution globale : ) :</v>
      </c>
      <c r="C9340" s="37"/>
      <c r="D9340" s="37"/>
      <c r="E9340" s="37"/>
      <c r="F9340" s="37"/>
      <c r="J9340" s="25"/>
      <c r="K9340" s="25"/>
      <c r="L9340" s="25"/>
      <c r="M9340" s="25"/>
      <c r="N9340" s="25"/>
      <c r="O9340" s="25"/>
    </row>
    <row r="9341" customFormat="false" ht="3.75" hidden="false" customHeight="true" outlineLevel="0" collapsed="false">
      <c r="B9341" s="10"/>
      <c r="C9341" s="10"/>
      <c r="D9341" s="10"/>
      <c r="E9341" s="10"/>
      <c r="F9341" s="10"/>
      <c r="J9341" s="25"/>
      <c r="K9341" s="25"/>
      <c r="L9341" s="25"/>
      <c r="M9341" s="25"/>
      <c r="N9341" s="25"/>
      <c r="O9341" s="25"/>
    </row>
    <row r="9342" customFormat="false" ht="18" hidden="false" customHeight="true" outlineLevel="0" collapsed="false">
      <c r="B9342" s="38" t="s">
        <v>148</v>
      </c>
      <c r="C9342" s="39" t="s">
        <v>149</v>
      </c>
      <c r="D9342" s="39" t="s">
        <v>150</v>
      </c>
      <c r="E9342" s="39" t="s">
        <v>151</v>
      </c>
      <c r="F9342" s="39" t="s">
        <v>109</v>
      </c>
      <c r="J9342" s="25" t="s">
        <v>152</v>
      </c>
      <c r="K9342" s="25" t="s">
        <v>153</v>
      </c>
      <c r="L9342" s="25" t="s">
        <v>154</v>
      </c>
      <c r="M9342" s="25" t="s">
        <v>155</v>
      </c>
      <c r="N9342" s="25" t="s">
        <v>156</v>
      </c>
      <c r="O9342" s="25" t="s">
        <v>157</v>
      </c>
    </row>
    <row r="9343" customFormat="false" ht="16.5" hidden="false" customHeight="true" outlineLevel="0" collapsed="false">
      <c r="B9343" s="40" t="str">
        <f aca="false">IFERROR(INDEX($J$9343:$J$9346,MATCH($O9343,$N$9343:$N$9346,0)),"")</f>
        <v/>
      </c>
      <c r="C9343" s="41" t="str">
        <f aca="false">IFERROR(INDEX($K$9343:$K$9346,MATCH($O9343,$N$9343:$N$9346,0)),"")</f>
        <v/>
      </c>
      <c r="D9343" s="42" t="str">
        <f aca="false">IF(OR(E9343="",N(C9343)=0),"",E9343/C9343-1)</f>
        <v/>
      </c>
      <c r="E9343" s="41" t="str">
        <f aca="false">IFERROR(INDEX($L$9343:$L$9346,MATCH($O9343,$N$9343:$N$9346,0)),"")</f>
        <v/>
      </c>
      <c r="F9343" s="41" t="str">
        <f aca="false">IF(E9343="","",E9343-C9343)</f>
        <v/>
      </c>
      <c r="J9343" s="25" t="str">
        <f aca="false">Lib_Compta</f>
        <v>Mission comptable (tenue, révision, bilan, liasse fiscale)</v>
      </c>
      <c r="K9343" s="25" t="n">
        <f aca="false">IF($K$9316=0,0,N(INDEX(Clients!$K$2:$K$501,$K$9316)))</f>
        <v>0</v>
      </c>
      <c r="L9343" s="25" t="n">
        <f aca="false">IF($K$9316=0,0,N(INDEX(Clients!$P$2:$P$501,$K$9316)))</f>
        <v>0</v>
      </c>
      <c r="M9343" s="25" t="n">
        <f aca="false">IF(OR(K9343&lt;&gt;0,L9343&lt;&gt;0),1,0)</f>
        <v>0</v>
      </c>
      <c r="N9343" s="25" t="str">
        <f aca="false">IF(M9343=1,SUM($M$9343:M9343),"")</f>
        <v/>
      </c>
      <c r="O9343" s="25" t="n">
        <v>1</v>
      </c>
    </row>
    <row r="9344" customFormat="false" ht="16.5" hidden="false" customHeight="true" outlineLevel="0" collapsed="false">
      <c r="B9344" s="40" t="str">
        <f aca="false">IFERROR(INDEX($J$9343:$J$9346,MATCH($O9344,$N$9343:$N$9346,0)),"")</f>
        <v/>
      </c>
      <c r="C9344" s="41" t="str">
        <f aca="false">IFERROR(INDEX($K$9343:$K$9346,MATCH($O9344,$N$9343:$N$9346,0)),"")</f>
        <v/>
      </c>
      <c r="D9344" s="42" t="str">
        <f aca="false">IF(OR(E9344="",N(C9344)=0),"",E9344/C9344-1)</f>
        <v/>
      </c>
      <c r="E9344" s="41" t="str">
        <f aca="false">IFERROR(INDEX($L$9343:$L$9346,MATCH($O9344,$N$9343:$N$9346,0)),"")</f>
        <v/>
      </c>
      <c r="F9344" s="41" t="str">
        <f aca="false">IF(E9344="","",E9344-C9344)</f>
        <v/>
      </c>
      <c r="J9344" s="25" t="str">
        <f aca="false">Lib_Paye</f>
        <v>Mission sociale (bulletins de paie, DSN, déclarations sociales)</v>
      </c>
      <c r="K9344" s="25" t="n">
        <f aca="false">IF($K$9316=0,0,N(INDEX(Clients!$L$2:$L$501,$K$9316)))</f>
        <v>0</v>
      </c>
      <c r="L9344" s="25" t="n">
        <f aca="false">IF($K$9316=0,0,N(INDEX(Clients!$Q$2:$Q$501,$K$9316)))</f>
        <v>0</v>
      </c>
      <c r="M9344" s="25" t="n">
        <f aca="false">IF(OR(K9344&lt;&gt;0,L9344&lt;&gt;0),1,0)</f>
        <v>0</v>
      </c>
      <c r="N9344" s="25" t="str">
        <f aca="false">IF(M9344=1,SUM($M$9343:M9344),"")</f>
        <v/>
      </c>
      <c r="O9344" s="25" t="n">
        <v>2</v>
      </c>
    </row>
    <row r="9345" customFormat="false" ht="16.5" hidden="false" customHeight="true" outlineLevel="0" collapsed="false">
      <c r="B9345" s="40" t="str">
        <f aca="false">IFERROR(INDEX($J$9343:$J$9346,MATCH($O9345,$N$9343:$N$9346,0)),"")</f>
        <v/>
      </c>
      <c r="C9345" s="41" t="str">
        <f aca="false">IFERROR(INDEX($K$9343:$K$9346,MATCH($O9345,$N$9343:$N$9346,0)),"")</f>
        <v/>
      </c>
      <c r="D9345" s="42" t="str">
        <f aca="false">IF(OR(E9345="",N(C9345)=0),"",E9345/C9345-1)</f>
        <v/>
      </c>
      <c r="E9345" s="41" t="str">
        <f aca="false">IFERROR(INDEX($L$9343:$L$9346,MATCH($O9345,$N$9343:$N$9346,0)),"")</f>
        <v/>
      </c>
      <c r="F9345" s="41" t="str">
        <f aca="false">IF(E9345="","",E9345-C9345)</f>
        <v/>
      </c>
      <c r="J9345" s="25" t="str">
        <f aca="false">Lib_Jur</f>
        <v>Mission juridique (approbation des comptes, secrétariat juridique)</v>
      </c>
      <c r="K9345" s="25" t="n">
        <f aca="false">IF($K$9316=0,0,N(INDEX(Clients!$M$2:$M$501,$K$9316)))</f>
        <v>0</v>
      </c>
      <c r="L9345" s="25" t="n">
        <f aca="false">IF($K$9316=0,0,N(INDEX(Clients!$R$2:$R$501,$K$9316)))</f>
        <v>0</v>
      </c>
      <c r="M9345" s="25" t="n">
        <f aca="false">IF(OR(K9345&lt;&gt;0,L9345&lt;&gt;0),1,0)</f>
        <v>0</v>
      </c>
      <c r="N9345" s="25" t="str">
        <f aca="false">IF(M9345=1,SUM($M$9343:M9345),"")</f>
        <v/>
      </c>
      <c r="O9345" s="25" t="n">
        <v>3</v>
      </c>
    </row>
    <row r="9346" customFormat="false" ht="16.5" hidden="false" customHeight="true" outlineLevel="0" collapsed="false">
      <c r="B9346" s="40" t="str">
        <f aca="false">IFERROR(INDEX($J$9343:$J$9346,MATCH($O9346,$N$9343:$N$9346,0)),"")</f>
        <v/>
      </c>
      <c r="C9346" s="41" t="str">
        <f aca="false">IFERROR(INDEX($K$9343:$K$9346,MATCH($O9346,$N$9343:$N$9346,0)),"")</f>
        <v/>
      </c>
      <c r="D9346" s="42" t="str">
        <f aca="false">IF(OR(E9346="",N(C9346)=0),"",E9346/C9346-1)</f>
        <v/>
      </c>
      <c r="E9346" s="41" t="str">
        <f aca="false">IFERROR(INDEX($L$9343:$L$9346,MATCH($O9346,$N$9343:$N$9346,0)),"")</f>
        <v/>
      </c>
      <c r="F9346" s="41" t="str">
        <f aca="false">IF(E9346="","",E9346-C9346)</f>
        <v/>
      </c>
      <c r="J9346" s="25" t="str">
        <f aca="false">Lib_PA</f>
        <v>Plateforme agréée – facturation électronique</v>
      </c>
      <c r="K9346" s="25" t="n">
        <f aca="false">IF($K$9316=0,0,N(INDEX(Clients!$N$2:$N$501,$K$9316)))</f>
        <v>0</v>
      </c>
      <c r="L9346" s="25" t="n">
        <f aca="false">IF($K$9316=0,0,N(INDEX(Clients!$S$2:$S$501,$K$9316)))</f>
        <v>0</v>
      </c>
      <c r="M9346" s="25" t="n">
        <f aca="false">IF(OR(K9346&lt;&gt;0,L9346&lt;&gt;0),1,0)</f>
        <v>0</v>
      </c>
      <c r="N9346" s="25" t="str">
        <f aca="false">IF(M9346=1,SUM($M$9343:M9346),"")</f>
        <v/>
      </c>
      <c r="O9346" s="25" t="n">
        <v>4</v>
      </c>
    </row>
    <row r="9347" customFormat="false" ht="18" hidden="false" customHeight="true" outlineLevel="0" collapsed="false">
      <c r="B9347" s="43" t="s">
        <v>158</v>
      </c>
      <c r="C9347" s="44" t="n">
        <f aca="false">SUM(K9343:K9346)</f>
        <v>0</v>
      </c>
      <c r="D9347" s="45" t="str">
        <f aca="false">IF(N(C9347)=0,"",E9347/C9347-1)</f>
        <v/>
      </c>
      <c r="E9347" s="44" t="n">
        <f aca="false">SUM(L9343:L9346)</f>
        <v>0</v>
      </c>
      <c r="F9347" s="44" t="n">
        <f aca="false">E9347-C9347</f>
        <v>0</v>
      </c>
    </row>
    <row r="9348" customFormat="false" ht="15" hidden="false" customHeight="false" outlineLevel="0" collapsed="false">
      <c r="B9348" s="46" t="str">
        <f aca="false">IF(N(Nb_Mensualites)=0,"","Soit "&amp;FIXED(E9347/Nb_Mensualites,2)&amp;" € HT par échéance ("&amp;Nb_Mensualites&amp;" échéances), "&amp;FIXED(E9347/Nb_Mensualites*(1+Taux_TVA),2)&amp;" € TTC.")</f>
        <v>Soit 0.00 € HT par échéance (12 échéances), 0.00 € TTC.</v>
      </c>
      <c r="C9348" s="46"/>
      <c r="D9348" s="46"/>
      <c r="E9348" s="46"/>
      <c r="F9348" s="46"/>
    </row>
    <row r="9349" customFormat="false" ht="7.5" hidden="false" customHeight="true" outlineLevel="0" collapsed="false">
      <c r="B9349" s="10"/>
      <c r="C9349" s="10"/>
      <c r="D9349" s="10"/>
      <c r="E9349" s="10"/>
      <c r="F9349" s="10"/>
    </row>
    <row r="9350" customFormat="false" ht="36.75" hidden="false" customHeight="true" outlineLevel="0" collapsed="false">
      <c r="B9350" s="37" t="str">
        <f aca="false">SUBSTITUTE(SUBSTITUTE(SUBSTITUTE(SUBSTITUTE(SUBSTITUTE(Txt_P5,"{cabinet}",Cab_Nom),"{societe}",IF($K$9316=0,"",INDEX(Clients!$E$2:$E$501,$K$9316)&amp;"")),"{date_effet}",$K$9318),"{hausse}",$K$9319),"{civilite}",$K$9317)</f>
        <v>Les autres conditions de votre lettre de mission demeurent inchangées. Les nouveaux montants seront appliqués automatiquement sur vos prochaines factures et échéances de prélèvement.</v>
      </c>
      <c r="C9350" s="37"/>
      <c r="D9350" s="37"/>
      <c r="E9350" s="37"/>
      <c r="F9350" s="37"/>
    </row>
    <row r="9351" customFormat="false" ht="36.75" hidden="false" customHeight="true" outlineLevel="0" collapsed="false">
      <c r="B9351" s="37" t="str">
        <f aca="false">SUBSTITUTE(SUBSTITUTE(SUBSTITUTE(SUBSTITUTE(SUBSTITUTE(Txt_P6,"{cabinet}",Cab_Nom),"{societe}",IF($K$9316=0,"",INDEX(Clients!$E$2:$E$501,$K$9316)&amp;"")),"{date_effet}",$K$9318),"{hausse}",$K$9319),"{civilite}",$K$9317)</f>
        <v>Votre interlocuteur habituel reste à votre entière disposition pour répondre à vos questions et faire le point sur l'évolution de vos besoins.</v>
      </c>
      <c r="C9351" s="37"/>
      <c r="D9351" s="37"/>
      <c r="E9351" s="37"/>
      <c r="F9351" s="37"/>
    </row>
    <row r="9352" customFormat="false" ht="24" hidden="false" customHeight="true" outlineLevel="0" collapsed="false">
      <c r="B9352" s="37" t="str">
        <f aca="false">SUBSTITUTE(SUBSTITUTE(SUBSTITUTE(SUBSTITUTE(SUBSTITUTE(Txt_Politesse,"{cabinet}",Cab_Nom),"{societe}",IF($K$9316=0,"",INDEX(Clients!$E$2:$E$501,$K$9316)&amp;"")),"{date_effet}",$K$9318),"{hausse}",$K$9319),"{civilite}",$K$9317)</f>
        <v>Nous vous prions d'agréer, Madame, Monsieur, l'expression de nos salutations distinguées.</v>
      </c>
      <c r="C9352" s="37"/>
      <c r="D9352" s="37"/>
      <c r="E9352" s="37"/>
      <c r="F9352" s="37"/>
    </row>
    <row r="9353" customFormat="false" ht="15" hidden="false" customHeight="false" outlineLevel="0" collapsed="false">
      <c r="B9353" s="10"/>
      <c r="C9353" s="10"/>
      <c r="D9353" s="10"/>
      <c r="E9353" s="10"/>
      <c r="F9353" s="10"/>
    </row>
    <row r="9354" customFormat="false" ht="15" hidden="false" customHeight="false" outlineLevel="0" collapsed="false">
      <c r="B9354" s="10"/>
      <c r="C9354" s="10"/>
      <c r="D9354" s="34" t="str">
        <f aca="false">Signataire</f>
        <v>Prénom NOM</v>
      </c>
      <c r="E9354" s="34"/>
      <c r="F9354" s="34"/>
    </row>
    <row r="9355" customFormat="false" ht="15" hidden="false" customHeight="false" outlineLevel="0" collapsed="false">
      <c r="B9355" s="10"/>
      <c r="C9355" s="10"/>
      <c r="D9355" s="47" t="str">
        <f aca="false">Signataire_Titre</f>
        <v>Expert-comptable associé</v>
      </c>
      <c r="E9355" s="47"/>
      <c r="F9355" s="47"/>
    </row>
    <row r="9356" customFormat="false" ht="15.75" hidden="false" customHeight="true" outlineLevel="0" collapsed="false">
      <c r="B9356" s="10"/>
      <c r="C9356" s="10"/>
      <c r="D9356" s="10"/>
      <c r="E9356" s="10"/>
      <c r="F9356" s="10"/>
    </row>
    <row r="9357" customFormat="false" ht="15.75" hidden="false" customHeight="true" outlineLevel="0" collapsed="false">
      <c r="B9357" s="10"/>
      <c r="C9357" s="10"/>
      <c r="D9357" s="10"/>
      <c r="E9357" s="10"/>
      <c r="F9357" s="10"/>
    </row>
    <row r="9358" customFormat="false" ht="15.75" hidden="false" customHeight="true" outlineLevel="0" collapsed="false">
      <c r="B9358" s="10"/>
      <c r="C9358" s="10"/>
      <c r="D9358" s="10"/>
      <c r="E9358" s="10"/>
      <c r="F9358" s="10"/>
    </row>
    <row r="9359" customFormat="false" ht="15.75" hidden="false" customHeight="true" outlineLevel="0" collapsed="false">
      <c r="B9359" s="10"/>
      <c r="C9359" s="10"/>
      <c r="D9359" s="10"/>
      <c r="E9359" s="10"/>
      <c r="F9359" s="10"/>
    </row>
    <row r="9360" customFormat="false" ht="24" hidden="false" customHeight="true" outlineLevel="0" collapsed="false">
      <c r="B9360" s="48" t="str">
        <f aca="false">Cab_Mentions</f>
        <v>ALTHO EXPERTISE · SAS au capital de 10 000 € · RCS Pontoise 919 706 325 · TVA FR62919706325 · Société d'expertise comptable inscrite au Tableau de l'Ordre des experts-comptables de Paris Île-de-France</v>
      </c>
      <c r="C9360" s="48"/>
      <c r="D9360" s="48"/>
      <c r="E9360" s="48"/>
      <c r="F9360" s="48"/>
    </row>
    <row r="9361" customFormat="false" ht="15" hidden="false" customHeight="false" outlineLevel="0" collapsed="false">
      <c r="B9361" s="10"/>
      <c r="C9361" s="10"/>
      <c r="D9361" s="10"/>
      <c r="E9361" s="10"/>
      <c r="F9361" s="10"/>
      <c r="J9361" s="25" t="s">
        <v>142</v>
      </c>
      <c r="K9361" s="25" t="n">
        <f aca="false">IFERROR(MATCH(209,Clients!$Z$2:$Z$501,0),0)</f>
        <v>0</v>
      </c>
      <c r="L9361" s="25"/>
      <c r="M9361" s="25"/>
      <c r="N9361" s="25"/>
      <c r="O9361" s="25"/>
    </row>
    <row r="9362" customFormat="false" ht="21.75" hidden="false" customHeight="true" outlineLevel="0" collapsed="false">
      <c r="B9362" s="26" t="str">
        <f aca="false">Cab_Nom</f>
        <v>ALTHO EXPERTISE</v>
      </c>
      <c r="C9362" s="26"/>
      <c r="D9362" s="10"/>
      <c r="E9362" s="27" t="str">
        <f aca="false">IF($K$9361=0,"","Réf. client : "&amp;INDEX(Clients!$A$2:$A$501,$K$9361))</f>
        <v/>
      </c>
      <c r="F9362" s="27"/>
      <c r="J9362" s="25" t="s">
        <v>144</v>
      </c>
      <c r="K9362" s="25" t="str">
        <f aca="false">IF(IF($K$9361=0,"",INDEX(Clients!$B$2:$B$501,$K$9361)&amp;"")="Mme","Madame",IF(IF($K$9361=0,"",INDEX(Clients!$B$2:$B$501,$K$9361)&amp;"")="M.","Monsieur","Madame, Monsieur"))</f>
        <v>Madame, Monsieur</v>
      </c>
      <c r="L9362" s="25"/>
      <c r="M9362" s="25"/>
      <c r="N9362" s="25"/>
      <c r="O9362" s="25"/>
    </row>
    <row r="9363" customFormat="false" ht="15" hidden="false" customHeight="false" outlineLevel="0" collapsed="false">
      <c r="B9363" s="29" t="str">
        <f aca="false">Cab_Adr1</f>
        <v>141 rue Charles de Gaulle</v>
      </c>
      <c r="C9363" s="29"/>
      <c r="D9363" s="10"/>
      <c r="E9363" s="10"/>
      <c r="F9363" s="10"/>
      <c r="J9363" s="25" t="s">
        <v>145</v>
      </c>
      <c r="K9363" s="25" t="str">
        <f aca="false">DAY(Date_Effet)&amp;IF(DAY(Date_Effet)=1,"er","")&amp;" "&amp;INDEX(Liste_Mois,MONTH(Date_Effet))&amp;" "&amp;YEAR(Date_Effet)</f>
        <v>1er janvier 2027</v>
      </c>
      <c r="L9363" s="25"/>
      <c r="M9363" s="25"/>
      <c r="N9363" s="25"/>
      <c r="O9363" s="25"/>
    </row>
    <row r="9364" customFormat="false" ht="15" hidden="false" customHeight="false" outlineLevel="0" collapsed="false">
      <c r="B9364" s="29" t="str">
        <f aca="false">Cab_CPVille</f>
        <v>95130 LE PLESSIS-BOUCHARD</v>
      </c>
      <c r="C9364" s="29"/>
      <c r="D9364" s="10"/>
      <c r="E9364" s="10"/>
      <c r="F9364" s="10"/>
      <c r="J9364" s="25" t="s">
        <v>146</v>
      </c>
      <c r="K9364" s="25" t="str">
        <f aca="false">IF(SUM($K$9388:$K$9391)=0,"",FIXED((SUM($L$9388:$L$9391)/SUM($K$9388:$K$9391)-1)*100,1)&amp;" %")</f>
        <v/>
      </c>
      <c r="L9364" s="25"/>
      <c r="M9364" s="25"/>
      <c r="N9364" s="25"/>
      <c r="O9364" s="25"/>
    </row>
    <row r="9365" customFormat="false" ht="15" hidden="false" customHeight="false" outlineLevel="0" collapsed="false">
      <c r="B9365" s="29" t="str">
        <f aca="false">Cab_Contact</f>
        <v>Tél. 01 34 14 53 45  ·  altho@altho-experts.com  ·  altho-experts.com</v>
      </c>
      <c r="C9365" s="29"/>
      <c r="D9365" s="10"/>
      <c r="E9365" s="10"/>
      <c r="F9365" s="10"/>
      <c r="J9365" s="25"/>
      <c r="K9365" s="25"/>
      <c r="L9365" s="25"/>
      <c r="M9365" s="25"/>
      <c r="N9365" s="25"/>
      <c r="O9365" s="25"/>
    </row>
    <row r="9366" customFormat="false" ht="6" hidden="false" customHeight="true" outlineLevel="0" collapsed="false">
      <c r="B9366" s="32"/>
      <c r="C9366" s="32"/>
      <c r="D9366" s="32"/>
      <c r="E9366" s="32"/>
      <c r="F9366" s="32"/>
      <c r="J9366" s="25"/>
      <c r="K9366" s="25"/>
      <c r="L9366" s="25"/>
      <c r="M9366" s="25"/>
      <c r="N9366" s="25"/>
      <c r="O9366" s="25"/>
    </row>
    <row r="9367" customFormat="false" ht="13.5" hidden="false" customHeight="true" outlineLevel="0" collapsed="false">
      <c r="B9367" s="10"/>
      <c r="C9367" s="10"/>
      <c r="D9367" s="10"/>
      <c r="E9367" s="10"/>
      <c r="F9367" s="10"/>
      <c r="J9367" s="25"/>
      <c r="K9367" s="25"/>
      <c r="L9367" s="25"/>
      <c r="M9367" s="25"/>
      <c r="N9367" s="25"/>
      <c r="O9367" s="25"/>
    </row>
    <row r="9368" customFormat="false" ht="13.5" hidden="false" customHeight="true" outlineLevel="0" collapsed="false">
      <c r="B9368" s="10"/>
      <c r="C9368" s="10"/>
      <c r="D9368" s="10"/>
      <c r="E9368" s="10"/>
      <c r="F9368" s="10"/>
      <c r="J9368" s="25"/>
      <c r="K9368" s="25"/>
      <c r="L9368" s="25"/>
      <c r="M9368" s="25"/>
      <c r="N9368" s="25"/>
      <c r="O9368" s="25"/>
    </row>
    <row r="9369" customFormat="false" ht="13.5" hidden="false" customHeight="true" outlineLevel="0" collapsed="false">
      <c r="B9369" s="10"/>
      <c r="C9369" s="10"/>
      <c r="D9369" s="10"/>
      <c r="E9369" s="10"/>
      <c r="F9369" s="10"/>
      <c r="J9369" s="25"/>
      <c r="K9369" s="25"/>
      <c r="L9369" s="25"/>
      <c r="M9369" s="25"/>
      <c r="N9369" s="25"/>
      <c r="O9369" s="25"/>
    </row>
    <row r="9370" customFormat="false" ht="15" hidden="false" customHeight="true" outlineLevel="0" collapsed="false">
      <c r="B9370" s="10"/>
      <c r="C9370" s="10"/>
      <c r="D9370" s="34" t="str">
        <f aca="false">IF($K$9361=0,"",INDEX(Clients!$E$2:$E$501,$K$9361)&amp;"")</f>
        <v/>
      </c>
      <c r="E9370" s="34"/>
      <c r="F9370" s="34"/>
      <c r="J9370" s="25"/>
      <c r="K9370" s="25"/>
      <c r="L9370" s="25"/>
      <c r="M9370" s="25"/>
      <c r="N9370" s="25"/>
      <c r="O9370" s="25"/>
    </row>
    <row r="9371" customFormat="false" ht="15" hidden="false" customHeight="true" outlineLevel="0" collapsed="false">
      <c r="B9371" s="10"/>
      <c r="C9371" s="10"/>
      <c r="D9371" s="35" t="str">
        <f aca="false">IF(IF($K$9361=0,"",INDEX(Clients!$D$2:$D$501,$K$9361)&amp;"")="","","À l'attention de "&amp;TRIM(IF($K$9361=0,"",INDEX(Clients!$B$2:$B$501,$K$9361)&amp;"")&amp;" "&amp;IF($K$9361=0,"",INDEX(Clients!$C$2:$C$501,$K$9361)&amp;"")&amp;" "&amp;IF($K$9361=0,"",INDEX(Clients!$D$2:$D$501,$K$9361)&amp;"")))</f>
        <v/>
      </c>
      <c r="E9371" s="35"/>
      <c r="F9371" s="35"/>
      <c r="J9371" s="25"/>
      <c r="K9371" s="25"/>
      <c r="L9371" s="25"/>
      <c r="M9371" s="25"/>
      <c r="N9371" s="25"/>
      <c r="O9371" s="25"/>
    </row>
    <row r="9372" customFormat="false" ht="15" hidden="false" customHeight="true" outlineLevel="0" collapsed="false">
      <c r="B9372" s="10"/>
      <c r="C9372" s="10"/>
      <c r="D9372" s="35" t="str">
        <f aca="false">IF($K$9361=0,"",INDEX(Clients!$F$2:$F$501,$K$9361)&amp;"")</f>
        <v/>
      </c>
      <c r="E9372" s="35"/>
      <c r="F9372" s="35"/>
      <c r="J9372" s="25"/>
      <c r="K9372" s="25"/>
      <c r="L9372" s="25"/>
      <c r="M9372" s="25"/>
      <c r="N9372" s="25"/>
      <c r="O9372" s="25"/>
    </row>
    <row r="9373" customFormat="false" ht="15" hidden="false" customHeight="true" outlineLevel="0" collapsed="false">
      <c r="B9373" s="10"/>
      <c r="C9373" s="10"/>
      <c r="D9373" s="35" t="str">
        <f aca="false">IF(IF($K$9361=0,"",INDEX(Clients!$G$2:$G$501,$K$9361)&amp;"")="",TRIM(IF($K$9361=0,"",INDEX(Clients!$H$2:$H$501,$K$9361)&amp;"")&amp;" "&amp;UPPER(IF($K$9361=0,"",INDEX(Clients!$I$2:$I$501,$K$9361)&amp;""))),IF($K$9361=0,"",INDEX(Clients!$G$2:$G$501,$K$9361)&amp;""))</f>
        <v/>
      </c>
      <c r="E9373" s="35"/>
      <c r="F9373" s="35"/>
      <c r="J9373" s="25"/>
      <c r="K9373" s="25"/>
      <c r="L9373" s="25"/>
      <c r="M9373" s="25"/>
      <c r="N9373" s="25"/>
      <c r="O9373" s="25"/>
    </row>
    <row r="9374" customFormat="false" ht="15" hidden="false" customHeight="true" outlineLevel="0" collapsed="false">
      <c r="B9374" s="10"/>
      <c r="C9374" s="10"/>
      <c r="D9374" s="35" t="str">
        <f aca="false">IF(IF($K$9361=0,"",INDEX(Clients!$G$2:$G$501,$K$9361)&amp;"")="","",TRIM(IF($K$9361=0,"",INDEX(Clients!$H$2:$H$501,$K$9361)&amp;"")&amp;" "&amp;UPPER(IF($K$9361=0,"",INDEX(Clients!$I$2:$I$501,$K$9361)&amp;""))))</f>
        <v/>
      </c>
      <c r="E9374" s="35"/>
      <c r="F9374" s="35"/>
      <c r="J9374" s="25"/>
      <c r="K9374" s="25"/>
      <c r="L9374" s="25"/>
      <c r="M9374" s="25"/>
      <c r="N9374" s="25"/>
      <c r="O9374" s="25"/>
    </row>
    <row r="9375" customFormat="false" ht="25.5" hidden="false" customHeight="true" outlineLevel="0" collapsed="false">
      <c r="B9375" s="10"/>
      <c r="C9375" s="10"/>
      <c r="D9375" s="10"/>
      <c r="E9375" s="10"/>
      <c r="F9375" s="10"/>
      <c r="J9375" s="25"/>
      <c r="K9375" s="25"/>
      <c r="L9375" s="25"/>
      <c r="M9375" s="25"/>
      <c r="N9375" s="25"/>
      <c r="O9375" s="25"/>
    </row>
    <row r="9376" customFormat="false" ht="15" hidden="false" customHeight="false" outlineLevel="0" collapsed="false">
      <c r="B9376" s="10"/>
      <c r="C9376" s="10"/>
      <c r="D9376" s="36" t="str">
        <f aca="false">Cab_Ville&amp;", le "&amp;DAY(Date_Courrier)&amp;IF(DAY(Date_Courrier)=1,"er","")&amp;" "&amp;INDEX(Liste_Mois,MONTH(Date_Courrier))&amp;" "&amp;YEAR(Date_Courrier)</f>
        <v>Le Plessis-Bouchard, le 22 septembre 2026</v>
      </c>
      <c r="E9376" s="36"/>
      <c r="F9376" s="36"/>
      <c r="J9376" s="25"/>
      <c r="K9376" s="25"/>
      <c r="L9376" s="25"/>
      <c r="M9376" s="25"/>
      <c r="N9376" s="25"/>
      <c r="O9376" s="25"/>
    </row>
    <row r="9377" customFormat="false" ht="19.5" hidden="false" customHeight="true" outlineLevel="0" collapsed="false">
      <c r="B9377" s="10"/>
      <c r="C9377" s="10"/>
      <c r="D9377" s="10"/>
      <c r="E9377" s="10"/>
      <c r="F9377" s="10"/>
      <c r="J9377" s="25"/>
      <c r="K9377" s="25"/>
      <c r="L9377" s="25"/>
      <c r="M9377" s="25"/>
      <c r="N9377" s="25"/>
      <c r="O9377" s="25"/>
    </row>
    <row r="9378" customFormat="false" ht="15" hidden="false" customHeight="false" outlineLevel="0" collapsed="false">
      <c r="B9378" s="34" t="str">
        <f aca="false">SUBSTITUTE(SUBSTITUTE(SUBSTITUTE(SUBSTITUTE(SUBSTITUTE(Txt_Objet,"{cabinet}",Cab_Nom),"{societe}",IF($K$9361=0,"",INDEX(Clients!$E$2:$E$501,$K$9361)&amp;"")),"{date_effet}",$K$9363),"{hausse}",$K$9364),"{civilite}",$K$9362)</f>
        <v>Objet : révision de nos honoraires au 1er janvier 2027</v>
      </c>
      <c r="C9378" s="34"/>
      <c r="D9378" s="34"/>
      <c r="E9378" s="34"/>
      <c r="F9378" s="34"/>
      <c r="J9378" s="25"/>
      <c r="K9378" s="25"/>
      <c r="L9378" s="25"/>
      <c r="M9378" s="25"/>
      <c r="N9378" s="25"/>
      <c r="O9378" s="25"/>
    </row>
    <row r="9379" customFormat="false" ht="13.5" hidden="false" customHeight="true" outlineLevel="0" collapsed="false">
      <c r="B9379" s="10"/>
      <c r="C9379" s="10"/>
      <c r="D9379" s="10"/>
      <c r="E9379" s="10"/>
      <c r="F9379" s="10"/>
      <c r="J9379" s="25"/>
      <c r="K9379" s="25"/>
      <c r="L9379" s="25"/>
      <c r="M9379" s="25"/>
      <c r="N9379" s="25"/>
      <c r="O9379" s="25"/>
    </row>
    <row r="9380" customFormat="false" ht="15" hidden="false" customHeight="false" outlineLevel="0" collapsed="false">
      <c r="B9380" s="10" t="str">
        <f aca="false">$K$9362&amp;","</f>
        <v>Madame, Monsieur,</v>
      </c>
      <c r="C9380" s="10"/>
      <c r="D9380" s="10"/>
      <c r="E9380" s="10"/>
      <c r="F9380" s="10"/>
      <c r="J9380" s="25"/>
      <c r="K9380" s="25"/>
      <c r="L9380" s="25"/>
      <c r="M9380" s="25"/>
      <c r="N9380" s="25"/>
      <c r="O9380" s="25"/>
    </row>
    <row r="9381" customFormat="false" ht="6" hidden="false" customHeight="true" outlineLevel="0" collapsed="false">
      <c r="B9381" s="10"/>
      <c r="C9381" s="10"/>
      <c r="D9381" s="10"/>
      <c r="E9381" s="10"/>
      <c r="F9381" s="10"/>
      <c r="J9381" s="25"/>
      <c r="K9381" s="25"/>
      <c r="L9381" s="25"/>
      <c r="M9381" s="25"/>
      <c r="N9381" s="25"/>
      <c r="O9381" s="25"/>
    </row>
    <row r="9382" customFormat="false" ht="36.75" hidden="false" customHeight="true" outlineLevel="0" collapsed="false">
      <c r="B9382" s="37" t="str">
        <f aca="false">SUBSTITUTE(SUBSTITUTE(SUBSTITUTE(SUBSTITUTE(SUBSTITUTE(Txt_P1,"{cabinet}",Cab_Nom),"{societe}",IF($K$9361=0,"",INDEX(Clients!$E$2:$E$501,$K$9361)&amp;"")),"{date_effet}",$K$9363),"{hausse}",$K$9364),"{civilite}",$K$9362)</f>
        <v>Nous tenons tout d'abord à vous remercier pour la confiance que vous accordez à ALTHO EXPERTISE. Comme chaque année, et conformément aux dispositions de votre lettre de mission, nous procédons à la révision de nos honoraires.</v>
      </c>
      <c r="C9382" s="37"/>
      <c r="D9382" s="37"/>
      <c r="E9382" s="37"/>
      <c r="F9382" s="37"/>
      <c r="J9382" s="25"/>
      <c r="K9382" s="25"/>
      <c r="L9382" s="25"/>
      <c r="M9382" s="25"/>
      <c r="N9382" s="25"/>
      <c r="O9382" s="25"/>
    </row>
    <row r="9383" customFormat="false" ht="49.5" hidden="false" customHeight="true" outlineLevel="0" collapsed="false">
      <c r="B9383" s="37" t="str">
        <f aca="false">SUBSTITUTE(SUBSTITUTE(SUBSTITUTE(SUBSTITUTE(SUBSTITUTE(Txt_P2,"{cabinet}",Cab_Nom),"{societe}",IF($K$9361=0,"",INDEX(Clients!$E$2:$E$501,$K$9361)&amp;"")),"{date_effet}",$K$9363),"{hausse}",$K$9364),"{civilite}",$K$9362)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383" s="37"/>
      <c r="D9383" s="37"/>
      <c r="E9383" s="37"/>
      <c r="F9383" s="37"/>
      <c r="J9383" s="25"/>
      <c r="K9383" s="25"/>
      <c r="L9383" s="25"/>
      <c r="M9383" s="25"/>
      <c r="N9383" s="25"/>
      <c r="O9383" s="25"/>
    </row>
    <row r="9384" customFormat="false" ht="63" hidden="false" customHeight="true" outlineLevel="0" collapsed="false">
      <c r="B9384" s="37" t="str">
        <f aca="false">SUBSTITUTE(SUBSTITUTE(SUBSTITUTE(SUBSTITUTE(SUBSTITUTE(Txt_P3,"{cabinet}",Cab_Nom),"{societe}",IF($K$9361=0,"",INDEX(Clients!$E$2:$E$501,$K$9361)&amp;"")),"{date_effet}",$K$9363),"{hausse}",$K$9364),"{civilite}",$K$9362)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384" s="37"/>
      <c r="D9384" s="37"/>
      <c r="E9384" s="37"/>
      <c r="F9384" s="37"/>
      <c r="J9384" s="25"/>
      <c r="K9384" s="25"/>
      <c r="L9384" s="25"/>
      <c r="M9384" s="25"/>
      <c r="N9384" s="25"/>
      <c r="O9384" s="25"/>
    </row>
    <row r="9385" customFormat="false" ht="24" hidden="false" customHeight="true" outlineLevel="0" collapsed="false">
      <c r="B9385" s="37" t="str">
        <f aca="false">SUBSTITUTE(SUBSTITUTE(SUBSTITUTE(SUBSTITUTE(SUBSTITUTE(Txt_P4,"{cabinet}",Cab_Nom),"{societe}",IF($K$9361=0,"",INDEX(Clients!$E$2:$E$501,$K$9361)&amp;"")),"{date_effet}",$K$9363),"{hausse}",$K$9364),"{civilite}",$K$9362)</f>
        <v>À compter du 1er janvier 2027, vos honoraires annuels hors taxes évolueront ainsi (évolution globale : ) :</v>
      </c>
      <c r="C9385" s="37"/>
      <c r="D9385" s="37"/>
      <c r="E9385" s="37"/>
      <c r="F9385" s="37"/>
      <c r="J9385" s="25"/>
      <c r="K9385" s="25"/>
      <c r="L9385" s="25"/>
      <c r="M9385" s="25"/>
      <c r="N9385" s="25"/>
      <c r="O9385" s="25"/>
    </row>
    <row r="9386" customFormat="false" ht="3.75" hidden="false" customHeight="true" outlineLevel="0" collapsed="false">
      <c r="B9386" s="10"/>
      <c r="C9386" s="10"/>
      <c r="D9386" s="10"/>
      <c r="E9386" s="10"/>
      <c r="F9386" s="10"/>
      <c r="J9386" s="25"/>
      <c r="K9386" s="25"/>
      <c r="L9386" s="25"/>
      <c r="M9386" s="25"/>
      <c r="N9386" s="25"/>
      <c r="O9386" s="25"/>
    </row>
    <row r="9387" customFormat="false" ht="18" hidden="false" customHeight="true" outlineLevel="0" collapsed="false">
      <c r="B9387" s="38" t="s">
        <v>148</v>
      </c>
      <c r="C9387" s="39" t="s">
        <v>149</v>
      </c>
      <c r="D9387" s="39" t="s">
        <v>150</v>
      </c>
      <c r="E9387" s="39" t="s">
        <v>151</v>
      </c>
      <c r="F9387" s="39" t="s">
        <v>109</v>
      </c>
      <c r="J9387" s="25" t="s">
        <v>152</v>
      </c>
      <c r="K9387" s="25" t="s">
        <v>153</v>
      </c>
      <c r="L9387" s="25" t="s">
        <v>154</v>
      </c>
      <c r="M9387" s="25" t="s">
        <v>155</v>
      </c>
      <c r="N9387" s="25" t="s">
        <v>156</v>
      </c>
      <c r="O9387" s="25" t="s">
        <v>157</v>
      </c>
    </row>
    <row r="9388" customFormat="false" ht="16.5" hidden="false" customHeight="true" outlineLevel="0" collapsed="false">
      <c r="B9388" s="40" t="str">
        <f aca="false">IFERROR(INDEX($J$9388:$J$9391,MATCH($O9388,$N$9388:$N$9391,0)),"")</f>
        <v/>
      </c>
      <c r="C9388" s="41" t="str">
        <f aca="false">IFERROR(INDEX($K$9388:$K$9391,MATCH($O9388,$N$9388:$N$9391,0)),"")</f>
        <v/>
      </c>
      <c r="D9388" s="42" t="str">
        <f aca="false">IF(OR(E9388="",N(C9388)=0),"",E9388/C9388-1)</f>
        <v/>
      </c>
      <c r="E9388" s="41" t="str">
        <f aca="false">IFERROR(INDEX($L$9388:$L$9391,MATCH($O9388,$N$9388:$N$9391,0)),"")</f>
        <v/>
      </c>
      <c r="F9388" s="41" t="str">
        <f aca="false">IF(E9388="","",E9388-C9388)</f>
        <v/>
      </c>
      <c r="J9388" s="25" t="str">
        <f aca="false">Lib_Compta</f>
        <v>Mission comptable (tenue, révision, bilan, liasse fiscale)</v>
      </c>
      <c r="K9388" s="25" t="n">
        <f aca="false">IF($K$9361=0,0,N(INDEX(Clients!$K$2:$K$501,$K$9361)))</f>
        <v>0</v>
      </c>
      <c r="L9388" s="25" t="n">
        <f aca="false">IF($K$9361=0,0,N(INDEX(Clients!$P$2:$P$501,$K$9361)))</f>
        <v>0</v>
      </c>
      <c r="M9388" s="25" t="n">
        <f aca="false">IF(OR(K9388&lt;&gt;0,L9388&lt;&gt;0),1,0)</f>
        <v>0</v>
      </c>
      <c r="N9388" s="25" t="str">
        <f aca="false">IF(M9388=1,SUM($M$9388:M9388),"")</f>
        <v/>
      </c>
      <c r="O9388" s="25" t="n">
        <v>1</v>
      </c>
    </row>
    <row r="9389" customFormat="false" ht="16.5" hidden="false" customHeight="true" outlineLevel="0" collapsed="false">
      <c r="B9389" s="40" t="str">
        <f aca="false">IFERROR(INDEX($J$9388:$J$9391,MATCH($O9389,$N$9388:$N$9391,0)),"")</f>
        <v/>
      </c>
      <c r="C9389" s="41" t="str">
        <f aca="false">IFERROR(INDEX($K$9388:$K$9391,MATCH($O9389,$N$9388:$N$9391,0)),"")</f>
        <v/>
      </c>
      <c r="D9389" s="42" t="str">
        <f aca="false">IF(OR(E9389="",N(C9389)=0),"",E9389/C9389-1)</f>
        <v/>
      </c>
      <c r="E9389" s="41" t="str">
        <f aca="false">IFERROR(INDEX($L$9388:$L$9391,MATCH($O9389,$N$9388:$N$9391,0)),"")</f>
        <v/>
      </c>
      <c r="F9389" s="41" t="str">
        <f aca="false">IF(E9389="","",E9389-C9389)</f>
        <v/>
      </c>
      <c r="J9389" s="25" t="str">
        <f aca="false">Lib_Paye</f>
        <v>Mission sociale (bulletins de paie, DSN, déclarations sociales)</v>
      </c>
      <c r="K9389" s="25" t="n">
        <f aca="false">IF($K$9361=0,0,N(INDEX(Clients!$L$2:$L$501,$K$9361)))</f>
        <v>0</v>
      </c>
      <c r="L9389" s="25" t="n">
        <f aca="false">IF($K$9361=0,0,N(INDEX(Clients!$Q$2:$Q$501,$K$9361)))</f>
        <v>0</v>
      </c>
      <c r="M9389" s="25" t="n">
        <f aca="false">IF(OR(K9389&lt;&gt;0,L9389&lt;&gt;0),1,0)</f>
        <v>0</v>
      </c>
      <c r="N9389" s="25" t="str">
        <f aca="false">IF(M9389=1,SUM($M$9388:M9389),"")</f>
        <v/>
      </c>
      <c r="O9389" s="25" t="n">
        <v>2</v>
      </c>
    </row>
    <row r="9390" customFormat="false" ht="16.5" hidden="false" customHeight="true" outlineLevel="0" collapsed="false">
      <c r="B9390" s="40" t="str">
        <f aca="false">IFERROR(INDEX($J$9388:$J$9391,MATCH($O9390,$N$9388:$N$9391,0)),"")</f>
        <v/>
      </c>
      <c r="C9390" s="41" t="str">
        <f aca="false">IFERROR(INDEX($K$9388:$K$9391,MATCH($O9390,$N$9388:$N$9391,0)),"")</f>
        <v/>
      </c>
      <c r="D9390" s="42" t="str">
        <f aca="false">IF(OR(E9390="",N(C9390)=0),"",E9390/C9390-1)</f>
        <v/>
      </c>
      <c r="E9390" s="41" t="str">
        <f aca="false">IFERROR(INDEX($L$9388:$L$9391,MATCH($O9390,$N$9388:$N$9391,0)),"")</f>
        <v/>
      </c>
      <c r="F9390" s="41" t="str">
        <f aca="false">IF(E9390="","",E9390-C9390)</f>
        <v/>
      </c>
      <c r="J9390" s="25" t="str">
        <f aca="false">Lib_Jur</f>
        <v>Mission juridique (approbation des comptes, secrétariat juridique)</v>
      </c>
      <c r="K9390" s="25" t="n">
        <f aca="false">IF($K$9361=0,0,N(INDEX(Clients!$M$2:$M$501,$K$9361)))</f>
        <v>0</v>
      </c>
      <c r="L9390" s="25" t="n">
        <f aca="false">IF($K$9361=0,0,N(INDEX(Clients!$R$2:$R$501,$K$9361)))</f>
        <v>0</v>
      </c>
      <c r="M9390" s="25" t="n">
        <f aca="false">IF(OR(K9390&lt;&gt;0,L9390&lt;&gt;0),1,0)</f>
        <v>0</v>
      </c>
      <c r="N9390" s="25" t="str">
        <f aca="false">IF(M9390=1,SUM($M$9388:M9390),"")</f>
        <v/>
      </c>
      <c r="O9390" s="25" t="n">
        <v>3</v>
      </c>
    </row>
    <row r="9391" customFormat="false" ht="16.5" hidden="false" customHeight="true" outlineLevel="0" collapsed="false">
      <c r="B9391" s="40" t="str">
        <f aca="false">IFERROR(INDEX($J$9388:$J$9391,MATCH($O9391,$N$9388:$N$9391,0)),"")</f>
        <v/>
      </c>
      <c r="C9391" s="41" t="str">
        <f aca="false">IFERROR(INDEX($K$9388:$K$9391,MATCH($O9391,$N$9388:$N$9391,0)),"")</f>
        <v/>
      </c>
      <c r="D9391" s="42" t="str">
        <f aca="false">IF(OR(E9391="",N(C9391)=0),"",E9391/C9391-1)</f>
        <v/>
      </c>
      <c r="E9391" s="41" t="str">
        <f aca="false">IFERROR(INDEX($L$9388:$L$9391,MATCH($O9391,$N$9388:$N$9391,0)),"")</f>
        <v/>
      </c>
      <c r="F9391" s="41" t="str">
        <f aca="false">IF(E9391="","",E9391-C9391)</f>
        <v/>
      </c>
      <c r="J9391" s="25" t="str">
        <f aca="false">Lib_PA</f>
        <v>Plateforme agréée – facturation électronique</v>
      </c>
      <c r="K9391" s="25" t="n">
        <f aca="false">IF($K$9361=0,0,N(INDEX(Clients!$N$2:$N$501,$K$9361)))</f>
        <v>0</v>
      </c>
      <c r="L9391" s="25" t="n">
        <f aca="false">IF($K$9361=0,0,N(INDEX(Clients!$S$2:$S$501,$K$9361)))</f>
        <v>0</v>
      </c>
      <c r="M9391" s="25" t="n">
        <f aca="false">IF(OR(K9391&lt;&gt;0,L9391&lt;&gt;0),1,0)</f>
        <v>0</v>
      </c>
      <c r="N9391" s="25" t="str">
        <f aca="false">IF(M9391=1,SUM($M$9388:M9391),"")</f>
        <v/>
      </c>
      <c r="O9391" s="25" t="n">
        <v>4</v>
      </c>
    </row>
    <row r="9392" customFormat="false" ht="18" hidden="false" customHeight="true" outlineLevel="0" collapsed="false">
      <c r="B9392" s="43" t="s">
        <v>158</v>
      </c>
      <c r="C9392" s="44" t="n">
        <f aca="false">SUM(K9388:K9391)</f>
        <v>0</v>
      </c>
      <c r="D9392" s="45" t="str">
        <f aca="false">IF(N(C9392)=0,"",E9392/C9392-1)</f>
        <v/>
      </c>
      <c r="E9392" s="44" t="n">
        <f aca="false">SUM(L9388:L9391)</f>
        <v>0</v>
      </c>
      <c r="F9392" s="44" t="n">
        <f aca="false">E9392-C9392</f>
        <v>0</v>
      </c>
    </row>
    <row r="9393" customFormat="false" ht="15" hidden="false" customHeight="false" outlineLevel="0" collapsed="false">
      <c r="B9393" s="46" t="str">
        <f aca="false">IF(N(Nb_Mensualites)=0,"","Soit "&amp;FIXED(E9392/Nb_Mensualites,2)&amp;" € HT par échéance ("&amp;Nb_Mensualites&amp;" échéances), "&amp;FIXED(E9392/Nb_Mensualites*(1+Taux_TVA),2)&amp;" € TTC.")</f>
        <v>Soit 0.00 € HT par échéance (12 échéances), 0.00 € TTC.</v>
      </c>
      <c r="C9393" s="46"/>
      <c r="D9393" s="46"/>
      <c r="E9393" s="46"/>
      <c r="F9393" s="46"/>
    </row>
    <row r="9394" customFormat="false" ht="7.5" hidden="false" customHeight="true" outlineLevel="0" collapsed="false">
      <c r="B9394" s="10"/>
      <c r="C9394" s="10"/>
      <c r="D9394" s="10"/>
      <c r="E9394" s="10"/>
      <c r="F9394" s="10"/>
    </row>
    <row r="9395" customFormat="false" ht="36.75" hidden="false" customHeight="true" outlineLevel="0" collapsed="false">
      <c r="B9395" s="37" t="str">
        <f aca="false">SUBSTITUTE(SUBSTITUTE(SUBSTITUTE(SUBSTITUTE(SUBSTITUTE(Txt_P5,"{cabinet}",Cab_Nom),"{societe}",IF($K$9361=0,"",INDEX(Clients!$E$2:$E$501,$K$9361)&amp;"")),"{date_effet}",$K$9363),"{hausse}",$K$9364),"{civilite}",$K$9362)</f>
        <v>Les autres conditions de votre lettre de mission demeurent inchangées. Les nouveaux montants seront appliqués automatiquement sur vos prochaines factures et échéances de prélèvement.</v>
      </c>
      <c r="C9395" s="37"/>
      <c r="D9395" s="37"/>
      <c r="E9395" s="37"/>
      <c r="F9395" s="37"/>
    </row>
    <row r="9396" customFormat="false" ht="36.75" hidden="false" customHeight="true" outlineLevel="0" collapsed="false">
      <c r="B9396" s="37" t="str">
        <f aca="false">SUBSTITUTE(SUBSTITUTE(SUBSTITUTE(SUBSTITUTE(SUBSTITUTE(Txt_P6,"{cabinet}",Cab_Nom),"{societe}",IF($K$9361=0,"",INDEX(Clients!$E$2:$E$501,$K$9361)&amp;"")),"{date_effet}",$K$9363),"{hausse}",$K$9364),"{civilite}",$K$9362)</f>
        <v>Votre interlocuteur habituel reste à votre entière disposition pour répondre à vos questions et faire le point sur l'évolution de vos besoins.</v>
      </c>
      <c r="C9396" s="37"/>
      <c r="D9396" s="37"/>
      <c r="E9396" s="37"/>
      <c r="F9396" s="37"/>
    </row>
    <row r="9397" customFormat="false" ht="24" hidden="false" customHeight="true" outlineLevel="0" collapsed="false">
      <c r="B9397" s="37" t="str">
        <f aca="false">SUBSTITUTE(SUBSTITUTE(SUBSTITUTE(SUBSTITUTE(SUBSTITUTE(Txt_Politesse,"{cabinet}",Cab_Nom),"{societe}",IF($K$9361=0,"",INDEX(Clients!$E$2:$E$501,$K$9361)&amp;"")),"{date_effet}",$K$9363),"{hausse}",$K$9364),"{civilite}",$K$9362)</f>
        <v>Nous vous prions d'agréer, Madame, Monsieur, l'expression de nos salutations distinguées.</v>
      </c>
      <c r="C9397" s="37"/>
      <c r="D9397" s="37"/>
      <c r="E9397" s="37"/>
      <c r="F9397" s="37"/>
    </row>
    <row r="9398" customFormat="false" ht="15" hidden="false" customHeight="false" outlineLevel="0" collapsed="false">
      <c r="B9398" s="10"/>
      <c r="C9398" s="10"/>
      <c r="D9398" s="10"/>
      <c r="E9398" s="10"/>
      <c r="F9398" s="10"/>
    </row>
    <row r="9399" customFormat="false" ht="15" hidden="false" customHeight="false" outlineLevel="0" collapsed="false">
      <c r="B9399" s="10"/>
      <c r="C9399" s="10"/>
      <c r="D9399" s="34" t="str">
        <f aca="false">Signataire</f>
        <v>Prénom NOM</v>
      </c>
      <c r="E9399" s="34"/>
      <c r="F9399" s="34"/>
    </row>
    <row r="9400" customFormat="false" ht="15" hidden="false" customHeight="false" outlineLevel="0" collapsed="false">
      <c r="B9400" s="10"/>
      <c r="C9400" s="10"/>
      <c r="D9400" s="47" t="str">
        <f aca="false">Signataire_Titre</f>
        <v>Expert-comptable associé</v>
      </c>
      <c r="E9400" s="47"/>
      <c r="F9400" s="47"/>
    </row>
    <row r="9401" customFormat="false" ht="15.75" hidden="false" customHeight="true" outlineLevel="0" collapsed="false">
      <c r="B9401" s="10"/>
      <c r="C9401" s="10"/>
      <c r="D9401" s="10"/>
      <c r="E9401" s="10"/>
      <c r="F9401" s="10"/>
    </row>
    <row r="9402" customFormat="false" ht="15.75" hidden="false" customHeight="true" outlineLevel="0" collapsed="false">
      <c r="B9402" s="10"/>
      <c r="C9402" s="10"/>
      <c r="D9402" s="10"/>
      <c r="E9402" s="10"/>
      <c r="F9402" s="10"/>
    </row>
    <row r="9403" customFormat="false" ht="15.75" hidden="false" customHeight="true" outlineLevel="0" collapsed="false">
      <c r="B9403" s="10"/>
      <c r="C9403" s="10"/>
      <c r="D9403" s="10"/>
      <c r="E9403" s="10"/>
      <c r="F9403" s="10"/>
    </row>
    <row r="9404" customFormat="false" ht="15.75" hidden="false" customHeight="true" outlineLevel="0" collapsed="false">
      <c r="B9404" s="10"/>
      <c r="C9404" s="10"/>
      <c r="D9404" s="10"/>
      <c r="E9404" s="10"/>
      <c r="F9404" s="10"/>
    </row>
    <row r="9405" customFormat="false" ht="24" hidden="false" customHeight="true" outlineLevel="0" collapsed="false">
      <c r="B9405" s="48" t="str">
        <f aca="false">Cab_Mentions</f>
        <v>ALTHO EXPERTISE · SAS au capital de 10 000 € · RCS Pontoise 919 706 325 · TVA FR62919706325 · Société d'expertise comptable inscrite au Tableau de l'Ordre des experts-comptables de Paris Île-de-France</v>
      </c>
      <c r="C9405" s="48"/>
      <c r="D9405" s="48"/>
      <c r="E9405" s="48"/>
      <c r="F9405" s="48"/>
    </row>
    <row r="9406" customFormat="false" ht="15" hidden="false" customHeight="false" outlineLevel="0" collapsed="false">
      <c r="B9406" s="10"/>
      <c r="C9406" s="10"/>
      <c r="D9406" s="10"/>
      <c r="E9406" s="10"/>
      <c r="F9406" s="10"/>
      <c r="J9406" s="25" t="s">
        <v>142</v>
      </c>
      <c r="K9406" s="25" t="n">
        <f aca="false">IFERROR(MATCH(210,Clients!$Z$2:$Z$501,0),0)</f>
        <v>0</v>
      </c>
      <c r="L9406" s="25"/>
      <c r="M9406" s="25"/>
      <c r="N9406" s="25"/>
      <c r="O9406" s="25"/>
    </row>
    <row r="9407" customFormat="false" ht="21.75" hidden="false" customHeight="true" outlineLevel="0" collapsed="false">
      <c r="B9407" s="26" t="str">
        <f aca="false">Cab_Nom</f>
        <v>ALTHO EXPERTISE</v>
      </c>
      <c r="C9407" s="26"/>
      <c r="D9407" s="10"/>
      <c r="E9407" s="27" t="str">
        <f aca="false">IF($K$9406=0,"","Réf. client : "&amp;INDEX(Clients!$A$2:$A$501,$K$9406))</f>
        <v/>
      </c>
      <c r="F9407" s="27"/>
      <c r="J9407" s="25" t="s">
        <v>144</v>
      </c>
      <c r="K9407" s="25" t="str">
        <f aca="false">IF(IF($K$9406=0,"",INDEX(Clients!$B$2:$B$501,$K$9406)&amp;"")="Mme","Madame",IF(IF($K$9406=0,"",INDEX(Clients!$B$2:$B$501,$K$9406)&amp;"")="M.","Monsieur","Madame, Monsieur"))</f>
        <v>Madame, Monsieur</v>
      </c>
      <c r="L9407" s="25"/>
      <c r="M9407" s="25"/>
      <c r="N9407" s="25"/>
      <c r="O9407" s="25"/>
    </row>
    <row r="9408" customFormat="false" ht="15" hidden="false" customHeight="false" outlineLevel="0" collapsed="false">
      <c r="B9408" s="29" t="str">
        <f aca="false">Cab_Adr1</f>
        <v>141 rue Charles de Gaulle</v>
      </c>
      <c r="C9408" s="29"/>
      <c r="D9408" s="10"/>
      <c r="E9408" s="10"/>
      <c r="F9408" s="10"/>
      <c r="J9408" s="25" t="s">
        <v>145</v>
      </c>
      <c r="K9408" s="25" t="str">
        <f aca="false">DAY(Date_Effet)&amp;IF(DAY(Date_Effet)=1,"er","")&amp;" "&amp;INDEX(Liste_Mois,MONTH(Date_Effet))&amp;" "&amp;YEAR(Date_Effet)</f>
        <v>1er janvier 2027</v>
      </c>
      <c r="L9408" s="25"/>
      <c r="M9408" s="25"/>
      <c r="N9408" s="25"/>
      <c r="O9408" s="25"/>
    </row>
    <row r="9409" customFormat="false" ht="15" hidden="false" customHeight="false" outlineLevel="0" collapsed="false">
      <c r="B9409" s="29" t="str">
        <f aca="false">Cab_CPVille</f>
        <v>95130 LE PLESSIS-BOUCHARD</v>
      </c>
      <c r="C9409" s="29"/>
      <c r="D9409" s="10"/>
      <c r="E9409" s="10"/>
      <c r="F9409" s="10"/>
      <c r="J9409" s="25" t="s">
        <v>146</v>
      </c>
      <c r="K9409" s="25" t="str">
        <f aca="false">IF(SUM($K$9433:$K$9436)=0,"",FIXED((SUM($L$9433:$L$9436)/SUM($K$9433:$K$9436)-1)*100,1)&amp;" %")</f>
        <v/>
      </c>
      <c r="L9409" s="25"/>
      <c r="M9409" s="25"/>
      <c r="N9409" s="25"/>
      <c r="O9409" s="25"/>
    </row>
    <row r="9410" customFormat="false" ht="15" hidden="false" customHeight="false" outlineLevel="0" collapsed="false">
      <c r="B9410" s="29" t="str">
        <f aca="false">Cab_Contact</f>
        <v>Tél. 01 34 14 53 45  ·  altho@altho-experts.com  ·  altho-experts.com</v>
      </c>
      <c r="C9410" s="29"/>
      <c r="D9410" s="10"/>
      <c r="E9410" s="10"/>
      <c r="F9410" s="10"/>
      <c r="J9410" s="25"/>
      <c r="K9410" s="25"/>
      <c r="L9410" s="25"/>
      <c r="M9410" s="25"/>
      <c r="N9410" s="25"/>
      <c r="O9410" s="25"/>
    </row>
    <row r="9411" customFormat="false" ht="6" hidden="false" customHeight="true" outlineLevel="0" collapsed="false">
      <c r="B9411" s="32"/>
      <c r="C9411" s="32"/>
      <c r="D9411" s="32"/>
      <c r="E9411" s="32"/>
      <c r="F9411" s="32"/>
      <c r="J9411" s="25"/>
      <c r="K9411" s="25"/>
      <c r="L9411" s="25"/>
      <c r="M9411" s="25"/>
      <c r="N9411" s="25"/>
      <c r="O9411" s="25"/>
    </row>
    <row r="9412" customFormat="false" ht="13.5" hidden="false" customHeight="true" outlineLevel="0" collapsed="false">
      <c r="B9412" s="10"/>
      <c r="C9412" s="10"/>
      <c r="D9412" s="10"/>
      <c r="E9412" s="10"/>
      <c r="F9412" s="10"/>
      <c r="J9412" s="25"/>
      <c r="K9412" s="25"/>
      <c r="L9412" s="25"/>
      <c r="M9412" s="25"/>
      <c r="N9412" s="25"/>
      <c r="O9412" s="25"/>
    </row>
    <row r="9413" customFormat="false" ht="13.5" hidden="false" customHeight="true" outlineLevel="0" collapsed="false">
      <c r="B9413" s="10"/>
      <c r="C9413" s="10"/>
      <c r="D9413" s="10"/>
      <c r="E9413" s="10"/>
      <c r="F9413" s="10"/>
      <c r="J9413" s="25"/>
      <c r="K9413" s="25"/>
      <c r="L9413" s="25"/>
      <c r="M9413" s="25"/>
      <c r="N9413" s="25"/>
      <c r="O9413" s="25"/>
    </row>
    <row r="9414" customFormat="false" ht="13.5" hidden="false" customHeight="true" outlineLevel="0" collapsed="false">
      <c r="B9414" s="10"/>
      <c r="C9414" s="10"/>
      <c r="D9414" s="10"/>
      <c r="E9414" s="10"/>
      <c r="F9414" s="10"/>
      <c r="J9414" s="25"/>
      <c r="K9414" s="25"/>
      <c r="L9414" s="25"/>
      <c r="M9414" s="25"/>
      <c r="N9414" s="25"/>
      <c r="O9414" s="25"/>
    </row>
    <row r="9415" customFormat="false" ht="15" hidden="false" customHeight="true" outlineLevel="0" collapsed="false">
      <c r="B9415" s="10"/>
      <c r="C9415" s="10"/>
      <c r="D9415" s="34" t="str">
        <f aca="false">IF($K$9406=0,"",INDEX(Clients!$E$2:$E$501,$K$9406)&amp;"")</f>
        <v/>
      </c>
      <c r="E9415" s="34"/>
      <c r="F9415" s="34"/>
      <c r="J9415" s="25"/>
      <c r="K9415" s="25"/>
      <c r="L9415" s="25"/>
      <c r="M9415" s="25"/>
      <c r="N9415" s="25"/>
      <c r="O9415" s="25"/>
    </row>
    <row r="9416" customFormat="false" ht="15" hidden="false" customHeight="true" outlineLevel="0" collapsed="false">
      <c r="B9416" s="10"/>
      <c r="C9416" s="10"/>
      <c r="D9416" s="35" t="str">
        <f aca="false">IF(IF($K$9406=0,"",INDEX(Clients!$D$2:$D$501,$K$9406)&amp;"")="","","À l'attention de "&amp;TRIM(IF($K$9406=0,"",INDEX(Clients!$B$2:$B$501,$K$9406)&amp;"")&amp;" "&amp;IF($K$9406=0,"",INDEX(Clients!$C$2:$C$501,$K$9406)&amp;"")&amp;" "&amp;IF($K$9406=0,"",INDEX(Clients!$D$2:$D$501,$K$9406)&amp;"")))</f>
        <v/>
      </c>
      <c r="E9416" s="35"/>
      <c r="F9416" s="35"/>
      <c r="J9416" s="25"/>
      <c r="K9416" s="25"/>
      <c r="L9416" s="25"/>
      <c r="M9416" s="25"/>
      <c r="N9416" s="25"/>
      <c r="O9416" s="25"/>
    </row>
    <row r="9417" customFormat="false" ht="15" hidden="false" customHeight="true" outlineLevel="0" collapsed="false">
      <c r="B9417" s="10"/>
      <c r="C9417" s="10"/>
      <c r="D9417" s="35" t="str">
        <f aca="false">IF($K$9406=0,"",INDEX(Clients!$F$2:$F$501,$K$9406)&amp;"")</f>
        <v/>
      </c>
      <c r="E9417" s="35"/>
      <c r="F9417" s="35"/>
      <c r="J9417" s="25"/>
      <c r="K9417" s="25"/>
      <c r="L9417" s="25"/>
      <c r="M9417" s="25"/>
      <c r="N9417" s="25"/>
      <c r="O9417" s="25"/>
    </row>
    <row r="9418" customFormat="false" ht="15" hidden="false" customHeight="true" outlineLevel="0" collapsed="false">
      <c r="B9418" s="10"/>
      <c r="C9418" s="10"/>
      <c r="D9418" s="35" t="str">
        <f aca="false">IF(IF($K$9406=0,"",INDEX(Clients!$G$2:$G$501,$K$9406)&amp;"")="",TRIM(IF($K$9406=0,"",INDEX(Clients!$H$2:$H$501,$K$9406)&amp;"")&amp;" "&amp;UPPER(IF($K$9406=0,"",INDEX(Clients!$I$2:$I$501,$K$9406)&amp;""))),IF($K$9406=0,"",INDEX(Clients!$G$2:$G$501,$K$9406)&amp;""))</f>
        <v/>
      </c>
      <c r="E9418" s="35"/>
      <c r="F9418" s="35"/>
      <c r="J9418" s="25"/>
      <c r="K9418" s="25"/>
      <c r="L9418" s="25"/>
      <c r="M9418" s="25"/>
      <c r="N9418" s="25"/>
      <c r="O9418" s="25"/>
    </row>
    <row r="9419" customFormat="false" ht="15" hidden="false" customHeight="true" outlineLevel="0" collapsed="false">
      <c r="B9419" s="10"/>
      <c r="C9419" s="10"/>
      <c r="D9419" s="35" t="str">
        <f aca="false">IF(IF($K$9406=0,"",INDEX(Clients!$G$2:$G$501,$K$9406)&amp;"")="","",TRIM(IF($K$9406=0,"",INDEX(Clients!$H$2:$H$501,$K$9406)&amp;"")&amp;" "&amp;UPPER(IF($K$9406=0,"",INDEX(Clients!$I$2:$I$501,$K$9406)&amp;""))))</f>
        <v/>
      </c>
      <c r="E9419" s="35"/>
      <c r="F9419" s="35"/>
      <c r="J9419" s="25"/>
      <c r="K9419" s="25"/>
      <c r="L9419" s="25"/>
      <c r="M9419" s="25"/>
      <c r="N9419" s="25"/>
      <c r="O9419" s="25"/>
    </row>
    <row r="9420" customFormat="false" ht="25.5" hidden="false" customHeight="true" outlineLevel="0" collapsed="false">
      <c r="B9420" s="10"/>
      <c r="C9420" s="10"/>
      <c r="D9420" s="10"/>
      <c r="E9420" s="10"/>
      <c r="F9420" s="10"/>
      <c r="J9420" s="25"/>
      <c r="K9420" s="25"/>
      <c r="L9420" s="25"/>
      <c r="M9420" s="25"/>
      <c r="N9420" s="25"/>
      <c r="O9420" s="25"/>
    </row>
    <row r="9421" customFormat="false" ht="15" hidden="false" customHeight="false" outlineLevel="0" collapsed="false">
      <c r="B9421" s="10"/>
      <c r="C9421" s="10"/>
      <c r="D9421" s="36" t="str">
        <f aca="false">Cab_Ville&amp;", le "&amp;DAY(Date_Courrier)&amp;IF(DAY(Date_Courrier)=1,"er","")&amp;" "&amp;INDEX(Liste_Mois,MONTH(Date_Courrier))&amp;" "&amp;YEAR(Date_Courrier)</f>
        <v>Le Plessis-Bouchard, le 22 septembre 2026</v>
      </c>
      <c r="E9421" s="36"/>
      <c r="F9421" s="36"/>
      <c r="J9421" s="25"/>
      <c r="K9421" s="25"/>
      <c r="L9421" s="25"/>
      <c r="M9421" s="25"/>
      <c r="N9421" s="25"/>
      <c r="O9421" s="25"/>
    </row>
    <row r="9422" customFormat="false" ht="19.5" hidden="false" customHeight="true" outlineLevel="0" collapsed="false">
      <c r="B9422" s="10"/>
      <c r="C9422" s="10"/>
      <c r="D9422" s="10"/>
      <c r="E9422" s="10"/>
      <c r="F9422" s="10"/>
      <c r="J9422" s="25"/>
      <c r="K9422" s="25"/>
      <c r="L9422" s="25"/>
      <c r="M9422" s="25"/>
      <c r="N9422" s="25"/>
      <c r="O9422" s="25"/>
    </row>
    <row r="9423" customFormat="false" ht="15" hidden="false" customHeight="false" outlineLevel="0" collapsed="false">
      <c r="B9423" s="34" t="str">
        <f aca="false">SUBSTITUTE(SUBSTITUTE(SUBSTITUTE(SUBSTITUTE(SUBSTITUTE(Txt_Objet,"{cabinet}",Cab_Nom),"{societe}",IF($K$9406=0,"",INDEX(Clients!$E$2:$E$501,$K$9406)&amp;"")),"{date_effet}",$K$9408),"{hausse}",$K$9409),"{civilite}",$K$9407)</f>
        <v>Objet : révision de nos honoraires au 1er janvier 2027</v>
      </c>
      <c r="C9423" s="34"/>
      <c r="D9423" s="34"/>
      <c r="E9423" s="34"/>
      <c r="F9423" s="34"/>
      <c r="J9423" s="25"/>
      <c r="K9423" s="25"/>
      <c r="L9423" s="25"/>
      <c r="M9423" s="25"/>
      <c r="N9423" s="25"/>
      <c r="O9423" s="25"/>
    </row>
    <row r="9424" customFormat="false" ht="13.5" hidden="false" customHeight="true" outlineLevel="0" collapsed="false">
      <c r="B9424" s="10"/>
      <c r="C9424" s="10"/>
      <c r="D9424" s="10"/>
      <c r="E9424" s="10"/>
      <c r="F9424" s="10"/>
      <c r="J9424" s="25"/>
      <c r="K9424" s="25"/>
      <c r="L9424" s="25"/>
      <c r="M9424" s="25"/>
      <c r="N9424" s="25"/>
      <c r="O9424" s="25"/>
    </row>
    <row r="9425" customFormat="false" ht="15" hidden="false" customHeight="false" outlineLevel="0" collapsed="false">
      <c r="B9425" s="10" t="str">
        <f aca="false">$K$9407&amp;","</f>
        <v>Madame, Monsieur,</v>
      </c>
      <c r="C9425" s="10"/>
      <c r="D9425" s="10"/>
      <c r="E9425" s="10"/>
      <c r="F9425" s="10"/>
      <c r="J9425" s="25"/>
      <c r="K9425" s="25"/>
      <c r="L9425" s="25"/>
      <c r="M9425" s="25"/>
      <c r="N9425" s="25"/>
      <c r="O9425" s="25"/>
    </row>
    <row r="9426" customFormat="false" ht="6" hidden="false" customHeight="true" outlineLevel="0" collapsed="false">
      <c r="B9426" s="10"/>
      <c r="C9426" s="10"/>
      <c r="D9426" s="10"/>
      <c r="E9426" s="10"/>
      <c r="F9426" s="10"/>
      <c r="J9426" s="25"/>
      <c r="K9426" s="25"/>
      <c r="L9426" s="25"/>
      <c r="M9426" s="25"/>
      <c r="N9426" s="25"/>
      <c r="O9426" s="25"/>
    </row>
    <row r="9427" customFormat="false" ht="36.75" hidden="false" customHeight="true" outlineLevel="0" collapsed="false">
      <c r="B9427" s="37" t="str">
        <f aca="false">SUBSTITUTE(SUBSTITUTE(SUBSTITUTE(SUBSTITUTE(SUBSTITUTE(Txt_P1,"{cabinet}",Cab_Nom),"{societe}",IF($K$9406=0,"",INDEX(Clients!$E$2:$E$501,$K$9406)&amp;"")),"{date_effet}",$K$9408),"{hausse}",$K$9409),"{civilite}",$K$9407)</f>
        <v>Nous tenons tout d'abord à vous remercier pour la confiance que vous accordez à ALTHO EXPERTISE. Comme chaque année, et conformément aux dispositions de votre lettre de mission, nous procédons à la révision de nos honoraires.</v>
      </c>
      <c r="C9427" s="37"/>
      <c r="D9427" s="37"/>
      <c r="E9427" s="37"/>
      <c r="F9427" s="37"/>
      <c r="J9427" s="25"/>
      <c r="K9427" s="25"/>
      <c r="L9427" s="25"/>
      <c r="M9427" s="25"/>
      <c r="N9427" s="25"/>
      <c r="O9427" s="25"/>
    </row>
    <row r="9428" customFormat="false" ht="49.5" hidden="false" customHeight="true" outlineLevel="0" collapsed="false">
      <c r="B9428" s="37" t="str">
        <f aca="false">SUBSTITUTE(SUBSTITUTE(SUBSTITUTE(SUBSTITUTE(SUBSTITUTE(Txt_P2,"{cabinet}",Cab_Nom),"{societe}",IF($K$9406=0,"",INDEX(Clients!$E$2:$E$501,$K$9406)&amp;"")),"{date_effet}",$K$9408),"{hausse}",$K$9409),"{civilite}",$K$9407)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428" s="37"/>
      <c r="D9428" s="37"/>
      <c r="E9428" s="37"/>
      <c r="F9428" s="37"/>
      <c r="J9428" s="25"/>
      <c r="K9428" s="25"/>
      <c r="L9428" s="25"/>
      <c r="M9428" s="25"/>
      <c r="N9428" s="25"/>
      <c r="O9428" s="25"/>
    </row>
    <row r="9429" customFormat="false" ht="63" hidden="false" customHeight="true" outlineLevel="0" collapsed="false">
      <c r="B9429" s="37" t="str">
        <f aca="false">SUBSTITUTE(SUBSTITUTE(SUBSTITUTE(SUBSTITUTE(SUBSTITUTE(Txt_P3,"{cabinet}",Cab_Nom),"{societe}",IF($K$9406=0,"",INDEX(Clients!$E$2:$E$501,$K$9406)&amp;"")),"{date_effet}",$K$9408),"{hausse}",$K$9409),"{civilite}",$K$9407)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429" s="37"/>
      <c r="D9429" s="37"/>
      <c r="E9429" s="37"/>
      <c r="F9429" s="37"/>
      <c r="J9429" s="25"/>
      <c r="K9429" s="25"/>
      <c r="L9429" s="25"/>
      <c r="M9429" s="25"/>
      <c r="N9429" s="25"/>
      <c r="O9429" s="25"/>
    </row>
    <row r="9430" customFormat="false" ht="24" hidden="false" customHeight="true" outlineLevel="0" collapsed="false">
      <c r="B9430" s="37" t="str">
        <f aca="false">SUBSTITUTE(SUBSTITUTE(SUBSTITUTE(SUBSTITUTE(SUBSTITUTE(Txt_P4,"{cabinet}",Cab_Nom),"{societe}",IF($K$9406=0,"",INDEX(Clients!$E$2:$E$501,$K$9406)&amp;"")),"{date_effet}",$K$9408),"{hausse}",$K$9409),"{civilite}",$K$9407)</f>
        <v>À compter du 1er janvier 2027, vos honoraires annuels hors taxes évolueront ainsi (évolution globale : ) :</v>
      </c>
      <c r="C9430" s="37"/>
      <c r="D9430" s="37"/>
      <c r="E9430" s="37"/>
      <c r="F9430" s="37"/>
      <c r="J9430" s="25"/>
      <c r="K9430" s="25"/>
      <c r="L9430" s="25"/>
      <c r="M9430" s="25"/>
      <c r="N9430" s="25"/>
      <c r="O9430" s="25"/>
    </row>
    <row r="9431" customFormat="false" ht="3.75" hidden="false" customHeight="true" outlineLevel="0" collapsed="false">
      <c r="B9431" s="10"/>
      <c r="C9431" s="10"/>
      <c r="D9431" s="10"/>
      <c r="E9431" s="10"/>
      <c r="F9431" s="10"/>
      <c r="J9431" s="25"/>
      <c r="K9431" s="25"/>
      <c r="L9431" s="25"/>
      <c r="M9431" s="25"/>
      <c r="N9431" s="25"/>
      <c r="O9431" s="25"/>
    </row>
    <row r="9432" customFormat="false" ht="18" hidden="false" customHeight="true" outlineLevel="0" collapsed="false">
      <c r="B9432" s="38" t="s">
        <v>148</v>
      </c>
      <c r="C9432" s="39" t="s">
        <v>149</v>
      </c>
      <c r="D9432" s="39" t="s">
        <v>150</v>
      </c>
      <c r="E9432" s="39" t="s">
        <v>151</v>
      </c>
      <c r="F9432" s="39" t="s">
        <v>109</v>
      </c>
      <c r="J9432" s="25" t="s">
        <v>152</v>
      </c>
      <c r="K9432" s="25" t="s">
        <v>153</v>
      </c>
      <c r="L9432" s="25" t="s">
        <v>154</v>
      </c>
      <c r="M9432" s="25" t="s">
        <v>155</v>
      </c>
      <c r="N9432" s="25" t="s">
        <v>156</v>
      </c>
      <c r="O9432" s="25" t="s">
        <v>157</v>
      </c>
    </row>
    <row r="9433" customFormat="false" ht="16.5" hidden="false" customHeight="true" outlineLevel="0" collapsed="false">
      <c r="B9433" s="40" t="str">
        <f aca="false">IFERROR(INDEX($J$9433:$J$9436,MATCH($O9433,$N$9433:$N$9436,0)),"")</f>
        <v/>
      </c>
      <c r="C9433" s="41" t="str">
        <f aca="false">IFERROR(INDEX($K$9433:$K$9436,MATCH($O9433,$N$9433:$N$9436,0)),"")</f>
        <v/>
      </c>
      <c r="D9433" s="42" t="str">
        <f aca="false">IF(OR(E9433="",N(C9433)=0),"",E9433/C9433-1)</f>
        <v/>
      </c>
      <c r="E9433" s="41" t="str">
        <f aca="false">IFERROR(INDEX($L$9433:$L$9436,MATCH($O9433,$N$9433:$N$9436,0)),"")</f>
        <v/>
      </c>
      <c r="F9433" s="41" t="str">
        <f aca="false">IF(E9433="","",E9433-C9433)</f>
        <v/>
      </c>
      <c r="J9433" s="25" t="str">
        <f aca="false">Lib_Compta</f>
        <v>Mission comptable (tenue, révision, bilan, liasse fiscale)</v>
      </c>
      <c r="K9433" s="25" t="n">
        <f aca="false">IF($K$9406=0,0,N(INDEX(Clients!$K$2:$K$501,$K$9406)))</f>
        <v>0</v>
      </c>
      <c r="L9433" s="25" t="n">
        <f aca="false">IF($K$9406=0,0,N(INDEX(Clients!$P$2:$P$501,$K$9406)))</f>
        <v>0</v>
      </c>
      <c r="M9433" s="25" t="n">
        <f aca="false">IF(OR(K9433&lt;&gt;0,L9433&lt;&gt;0),1,0)</f>
        <v>0</v>
      </c>
      <c r="N9433" s="25" t="str">
        <f aca="false">IF(M9433=1,SUM($M$9433:M9433),"")</f>
        <v/>
      </c>
      <c r="O9433" s="25" t="n">
        <v>1</v>
      </c>
    </row>
    <row r="9434" customFormat="false" ht="16.5" hidden="false" customHeight="true" outlineLevel="0" collapsed="false">
      <c r="B9434" s="40" t="str">
        <f aca="false">IFERROR(INDEX($J$9433:$J$9436,MATCH($O9434,$N$9433:$N$9436,0)),"")</f>
        <v/>
      </c>
      <c r="C9434" s="41" t="str">
        <f aca="false">IFERROR(INDEX($K$9433:$K$9436,MATCH($O9434,$N$9433:$N$9436,0)),"")</f>
        <v/>
      </c>
      <c r="D9434" s="42" t="str">
        <f aca="false">IF(OR(E9434="",N(C9434)=0),"",E9434/C9434-1)</f>
        <v/>
      </c>
      <c r="E9434" s="41" t="str">
        <f aca="false">IFERROR(INDEX($L$9433:$L$9436,MATCH($O9434,$N$9433:$N$9436,0)),"")</f>
        <v/>
      </c>
      <c r="F9434" s="41" t="str">
        <f aca="false">IF(E9434="","",E9434-C9434)</f>
        <v/>
      </c>
      <c r="J9434" s="25" t="str">
        <f aca="false">Lib_Paye</f>
        <v>Mission sociale (bulletins de paie, DSN, déclarations sociales)</v>
      </c>
      <c r="K9434" s="25" t="n">
        <f aca="false">IF($K$9406=0,0,N(INDEX(Clients!$L$2:$L$501,$K$9406)))</f>
        <v>0</v>
      </c>
      <c r="L9434" s="25" t="n">
        <f aca="false">IF($K$9406=0,0,N(INDEX(Clients!$Q$2:$Q$501,$K$9406)))</f>
        <v>0</v>
      </c>
      <c r="M9434" s="25" t="n">
        <f aca="false">IF(OR(K9434&lt;&gt;0,L9434&lt;&gt;0),1,0)</f>
        <v>0</v>
      </c>
      <c r="N9434" s="25" t="str">
        <f aca="false">IF(M9434=1,SUM($M$9433:M9434),"")</f>
        <v/>
      </c>
      <c r="O9434" s="25" t="n">
        <v>2</v>
      </c>
    </row>
    <row r="9435" customFormat="false" ht="16.5" hidden="false" customHeight="true" outlineLevel="0" collapsed="false">
      <c r="B9435" s="40" t="str">
        <f aca="false">IFERROR(INDEX($J$9433:$J$9436,MATCH($O9435,$N$9433:$N$9436,0)),"")</f>
        <v/>
      </c>
      <c r="C9435" s="41" t="str">
        <f aca="false">IFERROR(INDEX($K$9433:$K$9436,MATCH($O9435,$N$9433:$N$9436,0)),"")</f>
        <v/>
      </c>
      <c r="D9435" s="42" t="str">
        <f aca="false">IF(OR(E9435="",N(C9435)=0),"",E9435/C9435-1)</f>
        <v/>
      </c>
      <c r="E9435" s="41" t="str">
        <f aca="false">IFERROR(INDEX($L$9433:$L$9436,MATCH($O9435,$N$9433:$N$9436,0)),"")</f>
        <v/>
      </c>
      <c r="F9435" s="41" t="str">
        <f aca="false">IF(E9435="","",E9435-C9435)</f>
        <v/>
      </c>
      <c r="J9435" s="25" t="str">
        <f aca="false">Lib_Jur</f>
        <v>Mission juridique (approbation des comptes, secrétariat juridique)</v>
      </c>
      <c r="K9435" s="25" t="n">
        <f aca="false">IF($K$9406=0,0,N(INDEX(Clients!$M$2:$M$501,$K$9406)))</f>
        <v>0</v>
      </c>
      <c r="L9435" s="25" t="n">
        <f aca="false">IF($K$9406=0,0,N(INDEX(Clients!$R$2:$R$501,$K$9406)))</f>
        <v>0</v>
      </c>
      <c r="M9435" s="25" t="n">
        <f aca="false">IF(OR(K9435&lt;&gt;0,L9435&lt;&gt;0),1,0)</f>
        <v>0</v>
      </c>
      <c r="N9435" s="25" t="str">
        <f aca="false">IF(M9435=1,SUM($M$9433:M9435),"")</f>
        <v/>
      </c>
      <c r="O9435" s="25" t="n">
        <v>3</v>
      </c>
    </row>
    <row r="9436" customFormat="false" ht="16.5" hidden="false" customHeight="true" outlineLevel="0" collapsed="false">
      <c r="B9436" s="40" t="str">
        <f aca="false">IFERROR(INDEX($J$9433:$J$9436,MATCH($O9436,$N$9433:$N$9436,0)),"")</f>
        <v/>
      </c>
      <c r="C9436" s="41" t="str">
        <f aca="false">IFERROR(INDEX($K$9433:$K$9436,MATCH($O9436,$N$9433:$N$9436,0)),"")</f>
        <v/>
      </c>
      <c r="D9436" s="42" t="str">
        <f aca="false">IF(OR(E9436="",N(C9436)=0),"",E9436/C9436-1)</f>
        <v/>
      </c>
      <c r="E9436" s="41" t="str">
        <f aca="false">IFERROR(INDEX($L$9433:$L$9436,MATCH($O9436,$N$9433:$N$9436,0)),"")</f>
        <v/>
      </c>
      <c r="F9436" s="41" t="str">
        <f aca="false">IF(E9436="","",E9436-C9436)</f>
        <v/>
      </c>
      <c r="J9436" s="25" t="str">
        <f aca="false">Lib_PA</f>
        <v>Plateforme agréée – facturation électronique</v>
      </c>
      <c r="K9436" s="25" t="n">
        <f aca="false">IF($K$9406=0,0,N(INDEX(Clients!$N$2:$N$501,$K$9406)))</f>
        <v>0</v>
      </c>
      <c r="L9436" s="25" t="n">
        <f aca="false">IF($K$9406=0,0,N(INDEX(Clients!$S$2:$S$501,$K$9406)))</f>
        <v>0</v>
      </c>
      <c r="M9436" s="25" t="n">
        <f aca="false">IF(OR(K9436&lt;&gt;0,L9436&lt;&gt;0),1,0)</f>
        <v>0</v>
      </c>
      <c r="N9436" s="25" t="str">
        <f aca="false">IF(M9436=1,SUM($M$9433:M9436),"")</f>
        <v/>
      </c>
      <c r="O9436" s="25" t="n">
        <v>4</v>
      </c>
    </row>
    <row r="9437" customFormat="false" ht="18" hidden="false" customHeight="true" outlineLevel="0" collapsed="false">
      <c r="B9437" s="43" t="s">
        <v>158</v>
      </c>
      <c r="C9437" s="44" t="n">
        <f aca="false">SUM(K9433:K9436)</f>
        <v>0</v>
      </c>
      <c r="D9437" s="45" t="str">
        <f aca="false">IF(N(C9437)=0,"",E9437/C9437-1)</f>
        <v/>
      </c>
      <c r="E9437" s="44" t="n">
        <f aca="false">SUM(L9433:L9436)</f>
        <v>0</v>
      </c>
      <c r="F9437" s="44" t="n">
        <f aca="false">E9437-C9437</f>
        <v>0</v>
      </c>
    </row>
    <row r="9438" customFormat="false" ht="15" hidden="false" customHeight="false" outlineLevel="0" collapsed="false">
      <c r="B9438" s="46" t="str">
        <f aca="false">IF(N(Nb_Mensualites)=0,"","Soit "&amp;FIXED(E9437/Nb_Mensualites,2)&amp;" € HT par échéance ("&amp;Nb_Mensualites&amp;" échéances), "&amp;FIXED(E9437/Nb_Mensualites*(1+Taux_TVA),2)&amp;" € TTC.")</f>
        <v>Soit 0.00 € HT par échéance (12 échéances), 0.00 € TTC.</v>
      </c>
      <c r="C9438" s="46"/>
      <c r="D9438" s="46"/>
      <c r="E9438" s="46"/>
      <c r="F9438" s="46"/>
    </row>
    <row r="9439" customFormat="false" ht="7.5" hidden="false" customHeight="true" outlineLevel="0" collapsed="false">
      <c r="B9439" s="10"/>
      <c r="C9439" s="10"/>
      <c r="D9439" s="10"/>
      <c r="E9439" s="10"/>
      <c r="F9439" s="10"/>
    </row>
    <row r="9440" customFormat="false" ht="36.75" hidden="false" customHeight="true" outlineLevel="0" collapsed="false">
      <c r="B9440" s="37" t="str">
        <f aca="false">SUBSTITUTE(SUBSTITUTE(SUBSTITUTE(SUBSTITUTE(SUBSTITUTE(Txt_P5,"{cabinet}",Cab_Nom),"{societe}",IF($K$9406=0,"",INDEX(Clients!$E$2:$E$501,$K$9406)&amp;"")),"{date_effet}",$K$9408),"{hausse}",$K$9409),"{civilite}",$K$9407)</f>
        <v>Les autres conditions de votre lettre de mission demeurent inchangées. Les nouveaux montants seront appliqués automatiquement sur vos prochaines factures et échéances de prélèvement.</v>
      </c>
      <c r="C9440" s="37"/>
      <c r="D9440" s="37"/>
      <c r="E9440" s="37"/>
      <c r="F9440" s="37"/>
    </row>
    <row r="9441" customFormat="false" ht="36.75" hidden="false" customHeight="true" outlineLevel="0" collapsed="false">
      <c r="B9441" s="37" t="str">
        <f aca="false">SUBSTITUTE(SUBSTITUTE(SUBSTITUTE(SUBSTITUTE(SUBSTITUTE(Txt_P6,"{cabinet}",Cab_Nom),"{societe}",IF($K$9406=0,"",INDEX(Clients!$E$2:$E$501,$K$9406)&amp;"")),"{date_effet}",$K$9408),"{hausse}",$K$9409),"{civilite}",$K$9407)</f>
        <v>Votre interlocuteur habituel reste à votre entière disposition pour répondre à vos questions et faire le point sur l'évolution de vos besoins.</v>
      </c>
      <c r="C9441" s="37"/>
      <c r="D9441" s="37"/>
      <c r="E9441" s="37"/>
      <c r="F9441" s="37"/>
    </row>
    <row r="9442" customFormat="false" ht="24" hidden="false" customHeight="true" outlineLevel="0" collapsed="false">
      <c r="B9442" s="37" t="str">
        <f aca="false">SUBSTITUTE(SUBSTITUTE(SUBSTITUTE(SUBSTITUTE(SUBSTITUTE(Txt_Politesse,"{cabinet}",Cab_Nom),"{societe}",IF($K$9406=0,"",INDEX(Clients!$E$2:$E$501,$K$9406)&amp;"")),"{date_effet}",$K$9408),"{hausse}",$K$9409),"{civilite}",$K$9407)</f>
        <v>Nous vous prions d'agréer, Madame, Monsieur, l'expression de nos salutations distinguées.</v>
      </c>
      <c r="C9442" s="37"/>
      <c r="D9442" s="37"/>
      <c r="E9442" s="37"/>
      <c r="F9442" s="37"/>
    </row>
    <row r="9443" customFormat="false" ht="15" hidden="false" customHeight="false" outlineLevel="0" collapsed="false">
      <c r="B9443" s="10"/>
      <c r="C9443" s="10"/>
      <c r="D9443" s="10"/>
      <c r="E9443" s="10"/>
      <c r="F9443" s="10"/>
    </row>
    <row r="9444" customFormat="false" ht="15" hidden="false" customHeight="false" outlineLevel="0" collapsed="false">
      <c r="B9444" s="10"/>
      <c r="C9444" s="10"/>
      <c r="D9444" s="34" t="str">
        <f aca="false">Signataire</f>
        <v>Prénom NOM</v>
      </c>
      <c r="E9444" s="34"/>
      <c r="F9444" s="34"/>
    </row>
    <row r="9445" customFormat="false" ht="15" hidden="false" customHeight="false" outlineLevel="0" collapsed="false">
      <c r="B9445" s="10"/>
      <c r="C9445" s="10"/>
      <c r="D9445" s="47" t="str">
        <f aca="false">Signataire_Titre</f>
        <v>Expert-comptable associé</v>
      </c>
      <c r="E9445" s="47"/>
      <c r="F9445" s="47"/>
    </row>
    <row r="9446" customFormat="false" ht="15.75" hidden="false" customHeight="true" outlineLevel="0" collapsed="false">
      <c r="B9446" s="10"/>
      <c r="C9446" s="10"/>
      <c r="D9446" s="10"/>
      <c r="E9446" s="10"/>
      <c r="F9446" s="10"/>
    </row>
    <row r="9447" customFormat="false" ht="15.75" hidden="false" customHeight="true" outlineLevel="0" collapsed="false">
      <c r="B9447" s="10"/>
      <c r="C9447" s="10"/>
      <c r="D9447" s="10"/>
      <c r="E9447" s="10"/>
      <c r="F9447" s="10"/>
    </row>
    <row r="9448" customFormat="false" ht="15.75" hidden="false" customHeight="true" outlineLevel="0" collapsed="false">
      <c r="B9448" s="10"/>
      <c r="C9448" s="10"/>
      <c r="D9448" s="10"/>
      <c r="E9448" s="10"/>
      <c r="F9448" s="10"/>
    </row>
    <row r="9449" customFormat="false" ht="15.75" hidden="false" customHeight="true" outlineLevel="0" collapsed="false">
      <c r="B9449" s="10"/>
      <c r="C9449" s="10"/>
      <c r="D9449" s="10"/>
      <c r="E9449" s="10"/>
      <c r="F9449" s="10"/>
    </row>
    <row r="9450" customFormat="false" ht="24" hidden="false" customHeight="true" outlineLevel="0" collapsed="false">
      <c r="B9450" s="48" t="str">
        <f aca="false">Cab_Mentions</f>
        <v>ALTHO EXPERTISE · SAS au capital de 10 000 € · RCS Pontoise 919 706 325 · TVA FR62919706325 · Société d'expertise comptable inscrite au Tableau de l'Ordre des experts-comptables de Paris Île-de-France</v>
      </c>
      <c r="C9450" s="48"/>
      <c r="D9450" s="48"/>
      <c r="E9450" s="48"/>
      <c r="F9450" s="48"/>
    </row>
    <row r="9451" customFormat="false" ht="15" hidden="false" customHeight="false" outlineLevel="0" collapsed="false">
      <c r="B9451" s="10"/>
      <c r="C9451" s="10"/>
      <c r="D9451" s="10"/>
      <c r="E9451" s="10"/>
      <c r="F9451" s="10"/>
      <c r="J9451" s="25" t="s">
        <v>142</v>
      </c>
      <c r="K9451" s="25" t="n">
        <f aca="false">IFERROR(MATCH(211,Clients!$Z$2:$Z$501,0),0)</f>
        <v>0</v>
      </c>
      <c r="L9451" s="25"/>
      <c r="M9451" s="25"/>
      <c r="N9451" s="25"/>
      <c r="O9451" s="25"/>
    </row>
    <row r="9452" customFormat="false" ht="21.75" hidden="false" customHeight="true" outlineLevel="0" collapsed="false">
      <c r="B9452" s="26" t="str">
        <f aca="false">Cab_Nom</f>
        <v>ALTHO EXPERTISE</v>
      </c>
      <c r="C9452" s="26"/>
      <c r="D9452" s="10"/>
      <c r="E9452" s="27" t="str">
        <f aca="false">IF($K$9451=0,"","Réf. client : "&amp;INDEX(Clients!$A$2:$A$501,$K$9451))</f>
        <v/>
      </c>
      <c r="F9452" s="27"/>
      <c r="J9452" s="25" t="s">
        <v>144</v>
      </c>
      <c r="K9452" s="25" t="str">
        <f aca="false">IF(IF($K$9451=0,"",INDEX(Clients!$B$2:$B$501,$K$9451)&amp;"")="Mme","Madame",IF(IF($K$9451=0,"",INDEX(Clients!$B$2:$B$501,$K$9451)&amp;"")="M.","Monsieur","Madame, Monsieur"))</f>
        <v>Madame, Monsieur</v>
      </c>
      <c r="L9452" s="25"/>
      <c r="M9452" s="25"/>
      <c r="N9452" s="25"/>
      <c r="O9452" s="25"/>
    </row>
    <row r="9453" customFormat="false" ht="15" hidden="false" customHeight="false" outlineLevel="0" collapsed="false">
      <c r="B9453" s="29" t="str">
        <f aca="false">Cab_Adr1</f>
        <v>141 rue Charles de Gaulle</v>
      </c>
      <c r="C9453" s="29"/>
      <c r="D9453" s="10"/>
      <c r="E9453" s="10"/>
      <c r="F9453" s="10"/>
      <c r="J9453" s="25" t="s">
        <v>145</v>
      </c>
      <c r="K9453" s="25" t="str">
        <f aca="false">DAY(Date_Effet)&amp;IF(DAY(Date_Effet)=1,"er","")&amp;" "&amp;INDEX(Liste_Mois,MONTH(Date_Effet))&amp;" "&amp;YEAR(Date_Effet)</f>
        <v>1er janvier 2027</v>
      </c>
      <c r="L9453" s="25"/>
      <c r="M9453" s="25"/>
      <c r="N9453" s="25"/>
      <c r="O9453" s="25"/>
    </row>
    <row r="9454" customFormat="false" ht="15" hidden="false" customHeight="false" outlineLevel="0" collapsed="false">
      <c r="B9454" s="29" t="str">
        <f aca="false">Cab_CPVille</f>
        <v>95130 LE PLESSIS-BOUCHARD</v>
      </c>
      <c r="C9454" s="29"/>
      <c r="D9454" s="10"/>
      <c r="E9454" s="10"/>
      <c r="F9454" s="10"/>
      <c r="J9454" s="25" t="s">
        <v>146</v>
      </c>
      <c r="K9454" s="25" t="str">
        <f aca="false">IF(SUM($K$9478:$K$9481)=0,"",FIXED((SUM($L$9478:$L$9481)/SUM($K$9478:$K$9481)-1)*100,1)&amp;" %")</f>
        <v/>
      </c>
      <c r="L9454" s="25"/>
      <c r="M9454" s="25"/>
      <c r="N9454" s="25"/>
      <c r="O9454" s="25"/>
    </row>
    <row r="9455" customFormat="false" ht="15" hidden="false" customHeight="false" outlineLevel="0" collapsed="false">
      <c r="B9455" s="29" t="str">
        <f aca="false">Cab_Contact</f>
        <v>Tél. 01 34 14 53 45  ·  altho@altho-experts.com  ·  altho-experts.com</v>
      </c>
      <c r="C9455" s="29"/>
      <c r="D9455" s="10"/>
      <c r="E9455" s="10"/>
      <c r="F9455" s="10"/>
      <c r="J9455" s="25"/>
      <c r="K9455" s="25"/>
      <c r="L9455" s="25"/>
      <c r="M9455" s="25"/>
      <c r="N9455" s="25"/>
      <c r="O9455" s="25"/>
    </row>
    <row r="9456" customFormat="false" ht="6" hidden="false" customHeight="true" outlineLevel="0" collapsed="false">
      <c r="B9456" s="32"/>
      <c r="C9456" s="32"/>
      <c r="D9456" s="32"/>
      <c r="E9456" s="32"/>
      <c r="F9456" s="32"/>
      <c r="J9456" s="25"/>
      <c r="K9456" s="25"/>
      <c r="L9456" s="25"/>
      <c r="M9456" s="25"/>
      <c r="N9456" s="25"/>
      <c r="O9456" s="25"/>
    </row>
    <row r="9457" customFormat="false" ht="13.5" hidden="false" customHeight="true" outlineLevel="0" collapsed="false">
      <c r="B9457" s="10"/>
      <c r="C9457" s="10"/>
      <c r="D9457" s="10"/>
      <c r="E9457" s="10"/>
      <c r="F9457" s="10"/>
      <c r="J9457" s="25"/>
      <c r="K9457" s="25"/>
      <c r="L9457" s="25"/>
      <c r="M9457" s="25"/>
      <c r="N9457" s="25"/>
      <c r="O9457" s="25"/>
    </row>
    <row r="9458" customFormat="false" ht="13.5" hidden="false" customHeight="true" outlineLevel="0" collapsed="false">
      <c r="B9458" s="10"/>
      <c r="C9458" s="10"/>
      <c r="D9458" s="10"/>
      <c r="E9458" s="10"/>
      <c r="F9458" s="10"/>
      <c r="J9458" s="25"/>
      <c r="K9458" s="25"/>
      <c r="L9458" s="25"/>
      <c r="M9458" s="25"/>
      <c r="N9458" s="25"/>
      <c r="O9458" s="25"/>
    </row>
    <row r="9459" customFormat="false" ht="13.5" hidden="false" customHeight="true" outlineLevel="0" collapsed="false">
      <c r="B9459" s="10"/>
      <c r="C9459" s="10"/>
      <c r="D9459" s="10"/>
      <c r="E9459" s="10"/>
      <c r="F9459" s="10"/>
      <c r="J9459" s="25"/>
      <c r="K9459" s="25"/>
      <c r="L9459" s="25"/>
      <c r="M9459" s="25"/>
      <c r="N9459" s="25"/>
      <c r="O9459" s="25"/>
    </row>
    <row r="9460" customFormat="false" ht="15" hidden="false" customHeight="true" outlineLevel="0" collapsed="false">
      <c r="B9460" s="10"/>
      <c r="C9460" s="10"/>
      <c r="D9460" s="34" t="str">
        <f aca="false">IF($K$9451=0,"",INDEX(Clients!$E$2:$E$501,$K$9451)&amp;"")</f>
        <v/>
      </c>
      <c r="E9460" s="34"/>
      <c r="F9460" s="34"/>
      <c r="J9460" s="25"/>
      <c r="K9460" s="25"/>
      <c r="L9460" s="25"/>
      <c r="M9460" s="25"/>
      <c r="N9460" s="25"/>
      <c r="O9460" s="25"/>
    </row>
    <row r="9461" customFormat="false" ht="15" hidden="false" customHeight="true" outlineLevel="0" collapsed="false">
      <c r="B9461" s="10"/>
      <c r="C9461" s="10"/>
      <c r="D9461" s="35" t="str">
        <f aca="false">IF(IF($K$9451=0,"",INDEX(Clients!$D$2:$D$501,$K$9451)&amp;"")="","","À l'attention de "&amp;TRIM(IF($K$9451=0,"",INDEX(Clients!$B$2:$B$501,$K$9451)&amp;"")&amp;" "&amp;IF($K$9451=0,"",INDEX(Clients!$C$2:$C$501,$K$9451)&amp;"")&amp;" "&amp;IF($K$9451=0,"",INDEX(Clients!$D$2:$D$501,$K$9451)&amp;"")))</f>
        <v/>
      </c>
      <c r="E9461" s="35"/>
      <c r="F9461" s="35"/>
      <c r="J9461" s="25"/>
      <c r="K9461" s="25"/>
      <c r="L9461" s="25"/>
      <c r="M9461" s="25"/>
      <c r="N9461" s="25"/>
      <c r="O9461" s="25"/>
    </row>
    <row r="9462" customFormat="false" ht="15" hidden="false" customHeight="true" outlineLevel="0" collapsed="false">
      <c r="B9462" s="10"/>
      <c r="C9462" s="10"/>
      <c r="D9462" s="35" t="str">
        <f aca="false">IF($K$9451=0,"",INDEX(Clients!$F$2:$F$501,$K$9451)&amp;"")</f>
        <v/>
      </c>
      <c r="E9462" s="35"/>
      <c r="F9462" s="35"/>
      <c r="J9462" s="25"/>
      <c r="K9462" s="25"/>
      <c r="L9462" s="25"/>
      <c r="M9462" s="25"/>
      <c r="N9462" s="25"/>
      <c r="O9462" s="25"/>
    </row>
    <row r="9463" customFormat="false" ht="15" hidden="false" customHeight="true" outlineLevel="0" collapsed="false">
      <c r="B9463" s="10"/>
      <c r="C9463" s="10"/>
      <c r="D9463" s="35" t="str">
        <f aca="false">IF(IF($K$9451=0,"",INDEX(Clients!$G$2:$G$501,$K$9451)&amp;"")="",TRIM(IF($K$9451=0,"",INDEX(Clients!$H$2:$H$501,$K$9451)&amp;"")&amp;" "&amp;UPPER(IF($K$9451=0,"",INDEX(Clients!$I$2:$I$501,$K$9451)&amp;""))),IF($K$9451=0,"",INDEX(Clients!$G$2:$G$501,$K$9451)&amp;""))</f>
        <v/>
      </c>
      <c r="E9463" s="35"/>
      <c r="F9463" s="35"/>
      <c r="J9463" s="25"/>
      <c r="K9463" s="25"/>
      <c r="L9463" s="25"/>
      <c r="M9463" s="25"/>
      <c r="N9463" s="25"/>
      <c r="O9463" s="25"/>
    </row>
    <row r="9464" customFormat="false" ht="15" hidden="false" customHeight="true" outlineLevel="0" collapsed="false">
      <c r="B9464" s="10"/>
      <c r="C9464" s="10"/>
      <c r="D9464" s="35" t="str">
        <f aca="false">IF(IF($K$9451=0,"",INDEX(Clients!$G$2:$G$501,$K$9451)&amp;"")="","",TRIM(IF($K$9451=0,"",INDEX(Clients!$H$2:$H$501,$K$9451)&amp;"")&amp;" "&amp;UPPER(IF($K$9451=0,"",INDEX(Clients!$I$2:$I$501,$K$9451)&amp;""))))</f>
        <v/>
      </c>
      <c r="E9464" s="35"/>
      <c r="F9464" s="35"/>
      <c r="J9464" s="25"/>
      <c r="K9464" s="25"/>
      <c r="L9464" s="25"/>
      <c r="M9464" s="25"/>
      <c r="N9464" s="25"/>
      <c r="O9464" s="25"/>
    </row>
    <row r="9465" customFormat="false" ht="25.5" hidden="false" customHeight="true" outlineLevel="0" collapsed="false">
      <c r="B9465" s="10"/>
      <c r="C9465" s="10"/>
      <c r="D9465" s="10"/>
      <c r="E9465" s="10"/>
      <c r="F9465" s="10"/>
      <c r="J9465" s="25"/>
      <c r="K9465" s="25"/>
      <c r="L9465" s="25"/>
      <c r="M9465" s="25"/>
      <c r="N9465" s="25"/>
      <c r="O9465" s="25"/>
    </row>
    <row r="9466" customFormat="false" ht="15" hidden="false" customHeight="false" outlineLevel="0" collapsed="false">
      <c r="B9466" s="10"/>
      <c r="C9466" s="10"/>
      <c r="D9466" s="36" t="str">
        <f aca="false">Cab_Ville&amp;", le "&amp;DAY(Date_Courrier)&amp;IF(DAY(Date_Courrier)=1,"er","")&amp;" "&amp;INDEX(Liste_Mois,MONTH(Date_Courrier))&amp;" "&amp;YEAR(Date_Courrier)</f>
        <v>Le Plessis-Bouchard, le 22 septembre 2026</v>
      </c>
      <c r="E9466" s="36"/>
      <c r="F9466" s="36"/>
      <c r="J9466" s="25"/>
      <c r="K9466" s="25"/>
      <c r="L9466" s="25"/>
      <c r="M9466" s="25"/>
      <c r="N9466" s="25"/>
      <c r="O9466" s="25"/>
    </row>
    <row r="9467" customFormat="false" ht="19.5" hidden="false" customHeight="true" outlineLevel="0" collapsed="false">
      <c r="B9467" s="10"/>
      <c r="C9467" s="10"/>
      <c r="D9467" s="10"/>
      <c r="E9467" s="10"/>
      <c r="F9467" s="10"/>
      <c r="J9467" s="25"/>
      <c r="K9467" s="25"/>
      <c r="L9467" s="25"/>
      <c r="M9467" s="25"/>
      <c r="N9467" s="25"/>
      <c r="O9467" s="25"/>
    </row>
    <row r="9468" customFormat="false" ht="15" hidden="false" customHeight="false" outlineLevel="0" collapsed="false">
      <c r="B9468" s="34" t="str">
        <f aca="false">SUBSTITUTE(SUBSTITUTE(SUBSTITUTE(SUBSTITUTE(SUBSTITUTE(Txt_Objet,"{cabinet}",Cab_Nom),"{societe}",IF($K$9451=0,"",INDEX(Clients!$E$2:$E$501,$K$9451)&amp;"")),"{date_effet}",$K$9453),"{hausse}",$K$9454),"{civilite}",$K$9452)</f>
        <v>Objet : révision de nos honoraires au 1er janvier 2027</v>
      </c>
      <c r="C9468" s="34"/>
      <c r="D9468" s="34"/>
      <c r="E9468" s="34"/>
      <c r="F9468" s="34"/>
      <c r="J9468" s="25"/>
      <c r="K9468" s="25"/>
      <c r="L9468" s="25"/>
      <c r="M9468" s="25"/>
      <c r="N9468" s="25"/>
      <c r="O9468" s="25"/>
    </row>
    <row r="9469" customFormat="false" ht="13.5" hidden="false" customHeight="true" outlineLevel="0" collapsed="false">
      <c r="B9469" s="10"/>
      <c r="C9469" s="10"/>
      <c r="D9469" s="10"/>
      <c r="E9469" s="10"/>
      <c r="F9469" s="10"/>
      <c r="J9469" s="25"/>
      <c r="K9469" s="25"/>
      <c r="L9469" s="25"/>
      <c r="M9469" s="25"/>
      <c r="N9469" s="25"/>
      <c r="O9469" s="25"/>
    </row>
    <row r="9470" customFormat="false" ht="15" hidden="false" customHeight="false" outlineLevel="0" collapsed="false">
      <c r="B9470" s="10" t="str">
        <f aca="false">$K$9452&amp;","</f>
        <v>Madame, Monsieur,</v>
      </c>
      <c r="C9470" s="10"/>
      <c r="D9470" s="10"/>
      <c r="E9470" s="10"/>
      <c r="F9470" s="10"/>
      <c r="J9470" s="25"/>
      <c r="K9470" s="25"/>
      <c r="L9470" s="25"/>
      <c r="M9470" s="25"/>
      <c r="N9470" s="25"/>
      <c r="O9470" s="25"/>
    </row>
    <row r="9471" customFormat="false" ht="6" hidden="false" customHeight="true" outlineLevel="0" collapsed="false">
      <c r="B9471" s="10"/>
      <c r="C9471" s="10"/>
      <c r="D9471" s="10"/>
      <c r="E9471" s="10"/>
      <c r="F9471" s="10"/>
      <c r="J9471" s="25"/>
      <c r="K9471" s="25"/>
      <c r="L9471" s="25"/>
      <c r="M9471" s="25"/>
      <c r="N9471" s="25"/>
      <c r="O9471" s="25"/>
    </row>
    <row r="9472" customFormat="false" ht="36.75" hidden="false" customHeight="true" outlineLevel="0" collapsed="false">
      <c r="B9472" s="37" t="str">
        <f aca="false">SUBSTITUTE(SUBSTITUTE(SUBSTITUTE(SUBSTITUTE(SUBSTITUTE(Txt_P1,"{cabinet}",Cab_Nom),"{societe}",IF($K$9451=0,"",INDEX(Clients!$E$2:$E$501,$K$9451)&amp;"")),"{date_effet}",$K$9453),"{hausse}",$K$9454),"{civilite}",$K$9452)</f>
        <v>Nous tenons tout d'abord à vous remercier pour la confiance que vous accordez à ALTHO EXPERTISE. Comme chaque année, et conformément aux dispositions de votre lettre de mission, nous procédons à la révision de nos honoraires.</v>
      </c>
      <c r="C9472" s="37"/>
      <c r="D9472" s="37"/>
      <c r="E9472" s="37"/>
      <c r="F9472" s="37"/>
      <c r="J9472" s="25"/>
      <c r="K9472" s="25"/>
      <c r="L9472" s="25"/>
      <c r="M9472" s="25"/>
      <c r="N9472" s="25"/>
      <c r="O9472" s="25"/>
    </row>
    <row r="9473" customFormat="false" ht="49.5" hidden="false" customHeight="true" outlineLevel="0" collapsed="false">
      <c r="B9473" s="37" t="str">
        <f aca="false">SUBSTITUTE(SUBSTITUTE(SUBSTITUTE(SUBSTITUTE(SUBSTITUTE(Txt_P2,"{cabinet}",Cab_Nom),"{societe}",IF($K$9451=0,"",INDEX(Clients!$E$2:$E$501,$K$9451)&amp;"")),"{date_effet}",$K$9453),"{hausse}",$K$9454),"{civilite}",$K$9452)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473" s="37"/>
      <c r="D9473" s="37"/>
      <c r="E9473" s="37"/>
      <c r="F9473" s="37"/>
      <c r="J9473" s="25"/>
      <c r="K9473" s="25"/>
      <c r="L9473" s="25"/>
      <c r="M9473" s="25"/>
      <c r="N9473" s="25"/>
      <c r="O9473" s="25"/>
    </row>
    <row r="9474" customFormat="false" ht="63" hidden="false" customHeight="true" outlineLevel="0" collapsed="false">
      <c r="B9474" s="37" t="str">
        <f aca="false">SUBSTITUTE(SUBSTITUTE(SUBSTITUTE(SUBSTITUTE(SUBSTITUTE(Txt_P3,"{cabinet}",Cab_Nom),"{societe}",IF($K$9451=0,"",INDEX(Clients!$E$2:$E$501,$K$9451)&amp;"")),"{date_effet}",$K$9453),"{hausse}",$K$9454),"{civilite}",$K$9452)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474" s="37"/>
      <c r="D9474" s="37"/>
      <c r="E9474" s="37"/>
      <c r="F9474" s="37"/>
      <c r="J9474" s="25"/>
      <c r="K9474" s="25"/>
      <c r="L9474" s="25"/>
      <c r="M9474" s="25"/>
      <c r="N9474" s="25"/>
      <c r="O9474" s="25"/>
    </row>
    <row r="9475" customFormat="false" ht="24" hidden="false" customHeight="true" outlineLevel="0" collapsed="false">
      <c r="B9475" s="37" t="str">
        <f aca="false">SUBSTITUTE(SUBSTITUTE(SUBSTITUTE(SUBSTITUTE(SUBSTITUTE(Txt_P4,"{cabinet}",Cab_Nom),"{societe}",IF($K$9451=0,"",INDEX(Clients!$E$2:$E$501,$K$9451)&amp;"")),"{date_effet}",$K$9453),"{hausse}",$K$9454),"{civilite}",$K$9452)</f>
        <v>À compter du 1er janvier 2027, vos honoraires annuels hors taxes évolueront ainsi (évolution globale : ) :</v>
      </c>
      <c r="C9475" s="37"/>
      <c r="D9475" s="37"/>
      <c r="E9475" s="37"/>
      <c r="F9475" s="37"/>
      <c r="J9475" s="25"/>
      <c r="K9475" s="25"/>
      <c r="L9475" s="25"/>
      <c r="M9475" s="25"/>
      <c r="N9475" s="25"/>
      <c r="O9475" s="25"/>
    </row>
    <row r="9476" customFormat="false" ht="3.75" hidden="false" customHeight="true" outlineLevel="0" collapsed="false">
      <c r="B9476" s="10"/>
      <c r="C9476" s="10"/>
      <c r="D9476" s="10"/>
      <c r="E9476" s="10"/>
      <c r="F9476" s="10"/>
      <c r="J9476" s="25"/>
      <c r="K9476" s="25"/>
      <c r="L9476" s="25"/>
      <c r="M9476" s="25"/>
      <c r="N9476" s="25"/>
      <c r="O9476" s="25"/>
    </row>
    <row r="9477" customFormat="false" ht="18" hidden="false" customHeight="true" outlineLevel="0" collapsed="false">
      <c r="B9477" s="38" t="s">
        <v>148</v>
      </c>
      <c r="C9477" s="39" t="s">
        <v>149</v>
      </c>
      <c r="D9477" s="39" t="s">
        <v>150</v>
      </c>
      <c r="E9477" s="39" t="s">
        <v>151</v>
      </c>
      <c r="F9477" s="39" t="s">
        <v>109</v>
      </c>
      <c r="J9477" s="25" t="s">
        <v>152</v>
      </c>
      <c r="K9477" s="25" t="s">
        <v>153</v>
      </c>
      <c r="L9477" s="25" t="s">
        <v>154</v>
      </c>
      <c r="M9477" s="25" t="s">
        <v>155</v>
      </c>
      <c r="N9477" s="25" t="s">
        <v>156</v>
      </c>
      <c r="O9477" s="25" t="s">
        <v>157</v>
      </c>
    </row>
    <row r="9478" customFormat="false" ht="16.5" hidden="false" customHeight="true" outlineLevel="0" collapsed="false">
      <c r="B9478" s="40" t="str">
        <f aca="false">IFERROR(INDEX($J$9478:$J$9481,MATCH($O9478,$N$9478:$N$9481,0)),"")</f>
        <v/>
      </c>
      <c r="C9478" s="41" t="str">
        <f aca="false">IFERROR(INDEX($K$9478:$K$9481,MATCH($O9478,$N$9478:$N$9481,0)),"")</f>
        <v/>
      </c>
      <c r="D9478" s="42" t="str">
        <f aca="false">IF(OR(E9478="",N(C9478)=0),"",E9478/C9478-1)</f>
        <v/>
      </c>
      <c r="E9478" s="41" t="str">
        <f aca="false">IFERROR(INDEX($L$9478:$L$9481,MATCH($O9478,$N$9478:$N$9481,0)),"")</f>
        <v/>
      </c>
      <c r="F9478" s="41" t="str">
        <f aca="false">IF(E9478="","",E9478-C9478)</f>
        <v/>
      </c>
      <c r="J9478" s="25" t="str">
        <f aca="false">Lib_Compta</f>
        <v>Mission comptable (tenue, révision, bilan, liasse fiscale)</v>
      </c>
      <c r="K9478" s="25" t="n">
        <f aca="false">IF($K$9451=0,0,N(INDEX(Clients!$K$2:$K$501,$K$9451)))</f>
        <v>0</v>
      </c>
      <c r="L9478" s="25" t="n">
        <f aca="false">IF($K$9451=0,0,N(INDEX(Clients!$P$2:$P$501,$K$9451)))</f>
        <v>0</v>
      </c>
      <c r="M9478" s="25" t="n">
        <f aca="false">IF(OR(K9478&lt;&gt;0,L9478&lt;&gt;0),1,0)</f>
        <v>0</v>
      </c>
      <c r="N9478" s="25" t="str">
        <f aca="false">IF(M9478=1,SUM($M$9478:M9478),"")</f>
        <v/>
      </c>
      <c r="O9478" s="25" t="n">
        <v>1</v>
      </c>
    </row>
    <row r="9479" customFormat="false" ht="16.5" hidden="false" customHeight="true" outlineLevel="0" collapsed="false">
      <c r="B9479" s="40" t="str">
        <f aca="false">IFERROR(INDEX($J$9478:$J$9481,MATCH($O9479,$N$9478:$N$9481,0)),"")</f>
        <v/>
      </c>
      <c r="C9479" s="41" t="str">
        <f aca="false">IFERROR(INDEX($K$9478:$K$9481,MATCH($O9479,$N$9478:$N$9481,0)),"")</f>
        <v/>
      </c>
      <c r="D9479" s="42" t="str">
        <f aca="false">IF(OR(E9479="",N(C9479)=0),"",E9479/C9479-1)</f>
        <v/>
      </c>
      <c r="E9479" s="41" t="str">
        <f aca="false">IFERROR(INDEX($L$9478:$L$9481,MATCH($O9479,$N$9478:$N$9481,0)),"")</f>
        <v/>
      </c>
      <c r="F9479" s="41" t="str">
        <f aca="false">IF(E9479="","",E9479-C9479)</f>
        <v/>
      </c>
      <c r="J9479" s="25" t="str">
        <f aca="false">Lib_Paye</f>
        <v>Mission sociale (bulletins de paie, DSN, déclarations sociales)</v>
      </c>
      <c r="K9479" s="25" t="n">
        <f aca="false">IF($K$9451=0,0,N(INDEX(Clients!$L$2:$L$501,$K$9451)))</f>
        <v>0</v>
      </c>
      <c r="L9479" s="25" t="n">
        <f aca="false">IF($K$9451=0,0,N(INDEX(Clients!$Q$2:$Q$501,$K$9451)))</f>
        <v>0</v>
      </c>
      <c r="M9479" s="25" t="n">
        <f aca="false">IF(OR(K9479&lt;&gt;0,L9479&lt;&gt;0),1,0)</f>
        <v>0</v>
      </c>
      <c r="N9479" s="25" t="str">
        <f aca="false">IF(M9479=1,SUM($M$9478:M9479),"")</f>
        <v/>
      </c>
      <c r="O9479" s="25" t="n">
        <v>2</v>
      </c>
    </row>
    <row r="9480" customFormat="false" ht="16.5" hidden="false" customHeight="true" outlineLevel="0" collapsed="false">
      <c r="B9480" s="40" t="str">
        <f aca="false">IFERROR(INDEX($J$9478:$J$9481,MATCH($O9480,$N$9478:$N$9481,0)),"")</f>
        <v/>
      </c>
      <c r="C9480" s="41" t="str">
        <f aca="false">IFERROR(INDEX($K$9478:$K$9481,MATCH($O9480,$N$9478:$N$9481,0)),"")</f>
        <v/>
      </c>
      <c r="D9480" s="42" t="str">
        <f aca="false">IF(OR(E9480="",N(C9480)=0),"",E9480/C9480-1)</f>
        <v/>
      </c>
      <c r="E9480" s="41" t="str">
        <f aca="false">IFERROR(INDEX($L$9478:$L$9481,MATCH($O9480,$N$9478:$N$9481,0)),"")</f>
        <v/>
      </c>
      <c r="F9480" s="41" t="str">
        <f aca="false">IF(E9480="","",E9480-C9480)</f>
        <v/>
      </c>
      <c r="J9480" s="25" t="str">
        <f aca="false">Lib_Jur</f>
        <v>Mission juridique (approbation des comptes, secrétariat juridique)</v>
      </c>
      <c r="K9480" s="25" t="n">
        <f aca="false">IF($K$9451=0,0,N(INDEX(Clients!$M$2:$M$501,$K$9451)))</f>
        <v>0</v>
      </c>
      <c r="L9480" s="25" t="n">
        <f aca="false">IF($K$9451=0,0,N(INDEX(Clients!$R$2:$R$501,$K$9451)))</f>
        <v>0</v>
      </c>
      <c r="M9480" s="25" t="n">
        <f aca="false">IF(OR(K9480&lt;&gt;0,L9480&lt;&gt;0),1,0)</f>
        <v>0</v>
      </c>
      <c r="N9480" s="25" t="str">
        <f aca="false">IF(M9480=1,SUM($M$9478:M9480),"")</f>
        <v/>
      </c>
      <c r="O9480" s="25" t="n">
        <v>3</v>
      </c>
    </row>
    <row r="9481" customFormat="false" ht="16.5" hidden="false" customHeight="true" outlineLevel="0" collapsed="false">
      <c r="B9481" s="40" t="str">
        <f aca="false">IFERROR(INDEX($J$9478:$J$9481,MATCH($O9481,$N$9478:$N$9481,0)),"")</f>
        <v/>
      </c>
      <c r="C9481" s="41" t="str">
        <f aca="false">IFERROR(INDEX($K$9478:$K$9481,MATCH($O9481,$N$9478:$N$9481,0)),"")</f>
        <v/>
      </c>
      <c r="D9481" s="42" t="str">
        <f aca="false">IF(OR(E9481="",N(C9481)=0),"",E9481/C9481-1)</f>
        <v/>
      </c>
      <c r="E9481" s="41" t="str">
        <f aca="false">IFERROR(INDEX($L$9478:$L$9481,MATCH($O9481,$N$9478:$N$9481,0)),"")</f>
        <v/>
      </c>
      <c r="F9481" s="41" t="str">
        <f aca="false">IF(E9481="","",E9481-C9481)</f>
        <v/>
      </c>
      <c r="J9481" s="25" t="str">
        <f aca="false">Lib_PA</f>
        <v>Plateforme agréée – facturation électronique</v>
      </c>
      <c r="K9481" s="25" t="n">
        <f aca="false">IF($K$9451=0,0,N(INDEX(Clients!$N$2:$N$501,$K$9451)))</f>
        <v>0</v>
      </c>
      <c r="L9481" s="25" t="n">
        <f aca="false">IF($K$9451=0,0,N(INDEX(Clients!$S$2:$S$501,$K$9451)))</f>
        <v>0</v>
      </c>
      <c r="M9481" s="25" t="n">
        <f aca="false">IF(OR(K9481&lt;&gt;0,L9481&lt;&gt;0),1,0)</f>
        <v>0</v>
      </c>
      <c r="N9481" s="25" t="str">
        <f aca="false">IF(M9481=1,SUM($M$9478:M9481),"")</f>
        <v/>
      </c>
      <c r="O9481" s="25" t="n">
        <v>4</v>
      </c>
    </row>
    <row r="9482" customFormat="false" ht="18" hidden="false" customHeight="true" outlineLevel="0" collapsed="false">
      <c r="B9482" s="43" t="s">
        <v>158</v>
      </c>
      <c r="C9482" s="44" t="n">
        <f aca="false">SUM(K9478:K9481)</f>
        <v>0</v>
      </c>
      <c r="D9482" s="45" t="str">
        <f aca="false">IF(N(C9482)=0,"",E9482/C9482-1)</f>
        <v/>
      </c>
      <c r="E9482" s="44" t="n">
        <f aca="false">SUM(L9478:L9481)</f>
        <v>0</v>
      </c>
      <c r="F9482" s="44" t="n">
        <f aca="false">E9482-C9482</f>
        <v>0</v>
      </c>
    </row>
    <row r="9483" customFormat="false" ht="15" hidden="false" customHeight="false" outlineLevel="0" collapsed="false">
      <c r="B9483" s="46" t="str">
        <f aca="false">IF(N(Nb_Mensualites)=0,"","Soit "&amp;FIXED(E9482/Nb_Mensualites,2)&amp;" € HT par échéance ("&amp;Nb_Mensualites&amp;" échéances), "&amp;FIXED(E9482/Nb_Mensualites*(1+Taux_TVA),2)&amp;" € TTC.")</f>
        <v>Soit 0.00 € HT par échéance (12 échéances), 0.00 € TTC.</v>
      </c>
      <c r="C9483" s="46"/>
      <c r="D9483" s="46"/>
      <c r="E9483" s="46"/>
      <c r="F9483" s="46"/>
    </row>
    <row r="9484" customFormat="false" ht="7.5" hidden="false" customHeight="true" outlineLevel="0" collapsed="false">
      <c r="B9484" s="10"/>
      <c r="C9484" s="10"/>
      <c r="D9484" s="10"/>
      <c r="E9484" s="10"/>
      <c r="F9484" s="10"/>
    </row>
    <row r="9485" customFormat="false" ht="36.75" hidden="false" customHeight="true" outlineLevel="0" collapsed="false">
      <c r="B9485" s="37" t="str">
        <f aca="false">SUBSTITUTE(SUBSTITUTE(SUBSTITUTE(SUBSTITUTE(SUBSTITUTE(Txt_P5,"{cabinet}",Cab_Nom),"{societe}",IF($K$9451=0,"",INDEX(Clients!$E$2:$E$501,$K$9451)&amp;"")),"{date_effet}",$K$9453),"{hausse}",$K$9454),"{civilite}",$K$9452)</f>
        <v>Les autres conditions de votre lettre de mission demeurent inchangées. Les nouveaux montants seront appliqués automatiquement sur vos prochaines factures et échéances de prélèvement.</v>
      </c>
      <c r="C9485" s="37"/>
      <c r="D9485" s="37"/>
      <c r="E9485" s="37"/>
      <c r="F9485" s="37"/>
    </row>
    <row r="9486" customFormat="false" ht="36.75" hidden="false" customHeight="true" outlineLevel="0" collapsed="false">
      <c r="B9486" s="37" t="str">
        <f aca="false">SUBSTITUTE(SUBSTITUTE(SUBSTITUTE(SUBSTITUTE(SUBSTITUTE(Txt_P6,"{cabinet}",Cab_Nom),"{societe}",IF($K$9451=0,"",INDEX(Clients!$E$2:$E$501,$K$9451)&amp;"")),"{date_effet}",$K$9453),"{hausse}",$K$9454),"{civilite}",$K$9452)</f>
        <v>Votre interlocuteur habituel reste à votre entière disposition pour répondre à vos questions et faire le point sur l'évolution de vos besoins.</v>
      </c>
      <c r="C9486" s="37"/>
      <c r="D9486" s="37"/>
      <c r="E9486" s="37"/>
      <c r="F9486" s="37"/>
    </row>
    <row r="9487" customFormat="false" ht="24" hidden="false" customHeight="true" outlineLevel="0" collapsed="false">
      <c r="B9487" s="37" t="str">
        <f aca="false">SUBSTITUTE(SUBSTITUTE(SUBSTITUTE(SUBSTITUTE(SUBSTITUTE(Txt_Politesse,"{cabinet}",Cab_Nom),"{societe}",IF($K$9451=0,"",INDEX(Clients!$E$2:$E$501,$K$9451)&amp;"")),"{date_effet}",$K$9453),"{hausse}",$K$9454),"{civilite}",$K$9452)</f>
        <v>Nous vous prions d'agréer, Madame, Monsieur, l'expression de nos salutations distinguées.</v>
      </c>
      <c r="C9487" s="37"/>
      <c r="D9487" s="37"/>
      <c r="E9487" s="37"/>
      <c r="F9487" s="37"/>
    </row>
    <row r="9488" customFormat="false" ht="15" hidden="false" customHeight="false" outlineLevel="0" collapsed="false">
      <c r="B9488" s="10"/>
      <c r="C9488" s="10"/>
      <c r="D9488" s="10"/>
      <c r="E9488" s="10"/>
      <c r="F9488" s="10"/>
    </row>
    <row r="9489" customFormat="false" ht="15" hidden="false" customHeight="false" outlineLevel="0" collapsed="false">
      <c r="B9489" s="10"/>
      <c r="C9489" s="10"/>
      <c r="D9489" s="34" t="str">
        <f aca="false">Signataire</f>
        <v>Prénom NOM</v>
      </c>
      <c r="E9489" s="34"/>
      <c r="F9489" s="34"/>
    </row>
    <row r="9490" customFormat="false" ht="15" hidden="false" customHeight="false" outlineLevel="0" collapsed="false">
      <c r="B9490" s="10"/>
      <c r="C9490" s="10"/>
      <c r="D9490" s="47" t="str">
        <f aca="false">Signataire_Titre</f>
        <v>Expert-comptable associé</v>
      </c>
      <c r="E9490" s="47"/>
      <c r="F9490" s="47"/>
    </row>
    <row r="9491" customFormat="false" ht="15.75" hidden="false" customHeight="true" outlineLevel="0" collapsed="false">
      <c r="B9491" s="10"/>
      <c r="C9491" s="10"/>
      <c r="D9491" s="10"/>
      <c r="E9491" s="10"/>
      <c r="F9491" s="10"/>
    </row>
    <row r="9492" customFormat="false" ht="15.75" hidden="false" customHeight="true" outlineLevel="0" collapsed="false">
      <c r="B9492" s="10"/>
      <c r="C9492" s="10"/>
      <c r="D9492" s="10"/>
      <c r="E9492" s="10"/>
      <c r="F9492" s="10"/>
    </row>
    <row r="9493" customFormat="false" ht="15.75" hidden="false" customHeight="true" outlineLevel="0" collapsed="false">
      <c r="B9493" s="10"/>
      <c r="C9493" s="10"/>
      <c r="D9493" s="10"/>
      <c r="E9493" s="10"/>
      <c r="F9493" s="10"/>
    </row>
    <row r="9494" customFormat="false" ht="15.75" hidden="false" customHeight="true" outlineLevel="0" collapsed="false">
      <c r="B9494" s="10"/>
      <c r="C9494" s="10"/>
      <c r="D9494" s="10"/>
      <c r="E9494" s="10"/>
      <c r="F9494" s="10"/>
    </row>
    <row r="9495" customFormat="false" ht="24" hidden="false" customHeight="true" outlineLevel="0" collapsed="false">
      <c r="B9495" s="48" t="str">
        <f aca="false">Cab_Mentions</f>
        <v>ALTHO EXPERTISE · SAS au capital de 10 000 € · RCS Pontoise 919 706 325 · TVA FR62919706325 · Société d'expertise comptable inscrite au Tableau de l'Ordre des experts-comptables de Paris Île-de-France</v>
      </c>
      <c r="C9495" s="48"/>
      <c r="D9495" s="48"/>
      <c r="E9495" s="48"/>
      <c r="F9495" s="48"/>
    </row>
    <row r="9496" customFormat="false" ht="15" hidden="false" customHeight="false" outlineLevel="0" collapsed="false">
      <c r="B9496" s="10"/>
      <c r="C9496" s="10"/>
      <c r="D9496" s="10"/>
      <c r="E9496" s="10"/>
      <c r="F9496" s="10"/>
      <c r="J9496" s="25" t="s">
        <v>142</v>
      </c>
      <c r="K9496" s="25" t="n">
        <f aca="false">IFERROR(MATCH(212,Clients!$Z$2:$Z$501,0),0)</f>
        <v>0</v>
      </c>
      <c r="L9496" s="25"/>
      <c r="M9496" s="25"/>
      <c r="N9496" s="25"/>
      <c r="O9496" s="25"/>
    </row>
    <row r="9497" customFormat="false" ht="21.75" hidden="false" customHeight="true" outlineLevel="0" collapsed="false">
      <c r="B9497" s="26" t="str">
        <f aca="false">Cab_Nom</f>
        <v>ALTHO EXPERTISE</v>
      </c>
      <c r="C9497" s="26"/>
      <c r="D9497" s="10"/>
      <c r="E9497" s="27" t="str">
        <f aca="false">IF($K$9496=0,"","Réf. client : "&amp;INDEX(Clients!$A$2:$A$501,$K$9496))</f>
        <v/>
      </c>
      <c r="F9497" s="27"/>
      <c r="J9497" s="25" t="s">
        <v>144</v>
      </c>
      <c r="K9497" s="25" t="str">
        <f aca="false">IF(IF($K$9496=0,"",INDEX(Clients!$B$2:$B$501,$K$9496)&amp;"")="Mme","Madame",IF(IF($K$9496=0,"",INDEX(Clients!$B$2:$B$501,$K$9496)&amp;"")="M.","Monsieur","Madame, Monsieur"))</f>
        <v>Madame, Monsieur</v>
      </c>
      <c r="L9497" s="25"/>
      <c r="M9497" s="25"/>
      <c r="N9497" s="25"/>
      <c r="O9497" s="25"/>
    </row>
    <row r="9498" customFormat="false" ht="15" hidden="false" customHeight="false" outlineLevel="0" collapsed="false">
      <c r="B9498" s="29" t="str">
        <f aca="false">Cab_Adr1</f>
        <v>141 rue Charles de Gaulle</v>
      </c>
      <c r="C9498" s="29"/>
      <c r="D9498" s="10"/>
      <c r="E9498" s="10"/>
      <c r="F9498" s="10"/>
      <c r="J9498" s="25" t="s">
        <v>145</v>
      </c>
      <c r="K9498" s="25" t="str">
        <f aca="false">DAY(Date_Effet)&amp;IF(DAY(Date_Effet)=1,"er","")&amp;" "&amp;INDEX(Liste_Mois,MONTH(Date_Effet))&amp;" "&amp;YEAR(Date_Effet)</f>
        <v>1er janvier 2027</v>
      </c>
      <c r="L9498" s="25"/>
      <c r="M9498" s="25"/>
      <c r="N9498" s="25"/>
      <c r="O9498" s="25"/>
    </row>
    <row r="9499" customFormat="false" ht="15" hidden="false" customHeight="false" outlineLevel="0" collapsed="false">
      <c r="B9499" s="29" t="str">
        <f aca="false">Cab_CPVille</f>
        <v>95130 LE PLESSIS-BOUCHARD</v>
      </c>
      <c r="C9499" s="29"/>
      <c r="D9499" s="10"/>
      <c r="E9499" s="10"/>
      <c r="F9499" s="10"/>
      <c r="J9499" s="25" t="s">
        <v>146</v>
      </c>
      <c r="K9499" s="25" t="str">
        <f aca="false">IF(SUM($K$9523:$K$9526)=0,"",FIXED((SUM($L$9523:$L$9526)/SUM($K$9523:$K$9526)-1)*100,1)&amp;" %")</f>
        <v/>
      </c>
      <c r="L9499" s="25"/>
      <c r="M9499" s="25"/>
      <c r="N9499" s="25"/>
      <c r="O9499" s="25"/>
    </row>
    <row r="9500" customFormat="false" ht="15" hidden="false" customHeight="false" outlineLevel="0" collapsed="false">
      <c r="B9500" s="29" t="str">
        <f aca="false">Cab_Contact</f>
        <v>Tél. 01 34 14 53 45  ·  altho@altho-experts.com  ·  altho-experts.com</v>
      </c>
      <c r="C9500" s="29"/>
      <c r="D9500" s="10"/>
      <c r="E9500" s="10"/>
      <c r="F9500" s="10"/>
      <c r="J9500" s="25"/>
      <c r="K9500" s="25"/>
      <c r="L9500" s="25"/>
      <c r="M9500" s="25"/>
      <c r="N9500" s="25"/>
      <c r="O9500" s="25"/>
    </row>
    <row r="9501" customFormat="false" ht="6" hidden="false" customHeight="true" outlineLevel="0" collapsed="false">
      <c r="B9501" s="32"/>
      <c r="C9501" s="32"/>
      <c r="D9501" s="32"/>
      <c r="E9501" s="32"/>
      <c r="F9501" s="32"/>
      <c r="J9501" s="25"/>
      <c r="K9501" s="25"/>
      <c r="L9501" s="25"/>
      <c r="M9501" s="25"/>
      <c r="N9501" s="25"/>
      <c r="O9501" s="25"/>
    </row>
    <row r="9502" customFormat="false" ht="13.5" hidden="false" customHeight="true" outlineLevel="0" collapsed="false">
      <c r="B9502" s="10"/>
      <c r="C9502" s="10"/>
      <c r="D9502" s="10"/>
      <c r="E9502" s="10"/>
      <c r="F9502" s="10"/>
      <c r="J9502" s="25"/>
      <c r="K9502" s="25"/>
      <c r="L9502" s="25"/>
      <c r="M9502" s="25"/>
      <c r="N9502" s="25"/>
      <c r="O9502" s="25"/>
    </row>
    <row r="9503" customFormat="false" ht="13.5" hidden="false" customHeight="true" outlineLevel="0" collapsed="false">
      <c r="B9503" s="10"/>
      <c r="C9503" s="10"/>
      <c r="D9503" s="10"/>
      <c r="E9503" s="10"/>
      <c r="F9503" s="10"/>
      <c r="J9503" s="25"/>
      <c r="K9503" s="25"/>
      <c r="L9503" s="25"/>
      <c r="M9503" s="25"/>
      <c r="N9503" s="25"/>
      <c r="O9503" s="25"/>
    </row>
    <row r="9504" customFormat="false" ht="13.5" hidden="false" customHeight="true" outlineLevel="0" collapsed="false">
      <c r="B9504" s="10"/>
      <c r="C9504" s="10"/>
      <c r="D9504" s="10"/>
      <c r="E9504" s="10"/>
      <c r="F9504" s="10"/>
      <c r="J9504" s="25"/>
      <c r="K9504" s="25"/>
      <c r="L9504" s="25"/>
      <c r="M9504" s="25"/>
      <c r="N9504" s="25"/>
      <c r="O9504" s="25"/>
    </row>
    <row r="9505" customFormat="false" ht="15" hidden="false" customHeight="true" outlineLevel="0" collapsed="false">
      <c r="B9505" s="10"/>
      <c r="C9505" s="10"/>
      <c r="D9505" s="34" t="str">
        <f aca="false">IF($K$9496=0,"",INDEX(Clients!$E$2:$E$501,$K$9496)&amp;"")</f>
        <v/>
      </c>
      <c r="E9505" s="34"/>
      <c r="F9505" s="34"/>
      <c r="J9505" s="25"/>
      <c r="K9505" s="25"/>
      <c r="L9505" s="25"/>
      <c r="M9505" s="25"/>
      <c r="N9505" s="25"/>
      <c r="O9505" s="25"/>
    </row>
    <row r="9506" customFormat="false" ht="15" hidden="false" customHeight="true" outlineLevel="0" collapsed="false">
      <c r="B9506" s="10"/>
      <c r="C9506" s="10"/>
      <c r="D9506" s="35" t="str">
        <f aca="false">IF(IF($K$9496=0,"",INDEX(Clients!$D$2:$D$501,$K$9496)&amp;"")="","","À l'attention de "&amp;TRIM(IF($K$9496=0,"",INDEX(Clients!$B$2:$B$501,$K$9496)&amp;"")&amp;" "&amp;IF($K$9496=0,"",INDEX(Clients!$C$2:$C$501,$K$9496)&amp;"")&amp;" "&amp;IF($K$9496=0,"",INDEX(Clients!$D$2:$D$501,$K$9496)&amp;"")))</f>
        <v/>
      </c>
      <c r="E9506" s="35"/>
      <c r="F9506" s="35"/>
      <c r="J9506" s="25"/>
      <c r="K9506" s="25"/>
      <c r="L9506" s="25"/>
      <c r="M9506" s="25"/>
      <c r="N9506" s="25"/>
      <c r="O9506" s="25"/>
    </row>
    <row r="9507" customFormat="false" ht="15" hidden="false" customHeight="true" outlineLevel="0" collapsed="false">
      <c r="B9507" s="10"/>
      <c r="C9507" s="10"/>
      <c r="D9507" s="35" t="str">
        <f aca="false">IF($K$9496=0,"",INDEX(Clients!$F$2:$F$501,$K$9496)&amp;"")</f>
        <v/>
      </c>
      <c r="E9507" s="35"/>
      <c r="F9507" s="35"/>
      <c r="J9507" s="25"/>
      <c r="K9507" s="25"/>
      <c r="L9507" s="25"/>
      <c r="M9507" s="25"/>
      <c r="N9507" s="25"/>
      <c r="O9507" s="25"/>
    </row>
    <row r="9508" customFormat="false" ht="15" hidden="false" customHeight="true" outlineLevel="0" collapsed="false">
      <c r="B9508" s="10"/>
      <c r="C9508" s="10"/>
      <c r="D9508" s="35" t="str">
        <f aca="false">IF(IF($K$9496=0,"",INDEX(Clients!$G$2:$G$501,$K$9496)&amp;"")="",TRIM(IF($K$9496=0,"",INDEX(Clients!$H$2:$H$501,$K$9496)&amp;"")&amp;" "&amp;UPPER(IF($K$9496=0,"",INDEX(Clients!$I$2:$I$501,$K$9496)&amp;""))),IF($K$9496=0,"",INDEX(Clients!$G$2:$G$501,$K$9496)&amp;""))</f>
        <v/>
      </c>
      <c r="E9508" s="35"/>
      <c r="F9508" s="35"/>
      <c r="J9508" s="25"/>
      <c r="K9508" s="25"/>
      <c r="L9508" s="25"/>
      <c r="M9508" s="25"/>
      <c r="N9508" s="25"/>
      <c r="O9508" s="25"/>
    </row>
    <row r="9509" customFormat="false" ht="15" hidden="false" customHeight="true" outlineLevel="0" collapsed="false">
      <c r="B9509" s="10"/>
      <c r="C9509" s="10"/>
      <c r="D9509" s="35" t="str">
        <f aca="false">IF(IF($K$9496=0,"",INDEX(Clients!$G$2:$G$501,$K$9496)&amp;"")="","",TRIM(IF($K$9496=0,"",INDEX(Clients!$H$2:$H$501,$K$9496)&amp;"")&amp;" "&amp;UPPER(IF($K$9496=0,"",INDEX(Clients!$I$2:$I$501,$K$9496)&amp;""))))</f>
        <v/>
      </c>
      <c r="E9509" s="35"/>
      <c r="F9509" s="35"/>
      <c r="J9509" s="25"/>
      <c r="K9509" s="25"/>
      <c r="L9509" s="25"/>
      <c r="M9509" s="25"/>
      <c r="N9509" s="25"/>
      <c r="O9509" s="25"/>
    </row>
    <row r="9510" customFormat="false" ht="25.5" hidden="false" customHeight="true" outlineLevel="0" collapsed="false">
      <c r="B9510" s="10"/>
      <c r="C9510" s="10"/>
      <c r="D9510" s="10"/>
      <c r="E9510" s="10"/>
      <c r="F9510" s="10"/>
      <c r="J9510" s="25"/>
      <c r="K9510" s="25"/>
      <c r="L9510" s="25"/>
      <c r="M9510" s="25"/>
      <c r="N9510" s="25"/>
      <c r="O9510" s="25"/>
    </row>
    <row r="9511" customFormat="false" ht="15" hidden="false" customHeight="false" outlineLevel="0" collapsed="false">
      <c r="B9511" s="10"/>
      <c r="C9511" s="10"/>
      <c r="D9511" s="36" t="str">
        <f aca="false">Cab_Ville&amp;", le "&amp;DAY(Date_Courrier)&amp;IF(DAY(Date_Courrier)=1,"er","")&amp;" "&amp;INDEX(Liste_Mois,MONTH(Date_Courrier))&amp;" "&amp;YEAR(Date_Courrier)</f>
        <v>Le Plessis-Bouchard, le 22 septembre 2026</v>
      </c>
      <c r="E9511" s="36"/>
      <c r="F9511" s="36"/>
      <c r="J9511" s="25"/>
      <c r="K9511" s="25"/>
      <c r="L9511" s="25"/>
      <c r="M9511" s="25"/>
      <c r="N9511" s="25"/>
      <c r="O9511" s="25"/>
    </row>
    <row r="9512" customFormat="false" ht="19.5" hidden="false" customHeight="true" outlineLevel="0" collapsed="false">
      <c r="B9512" s="10"/>
      <c r="C9512" s="10"/>
      <c r="D9512" s="10"/>
      <c r="E9512" s="10"/>
      <c r="F9512" s="10"/>
      <c r="J9512" s="25"/>
      <c r="K9512" s="25"/>
      <c r="L9512" s="25"/>
      <c r="M9512" s="25"/>
      <c r="N9512" s="25"/>
      <c r="O9512" s="25"/>
    </row>
    <row r="9513" customFormat="false" ht="15" hidden="false" customHeight="false" outlineLevel="0" collapsed="false">
      <c r="B9513" s="34" t="str">
        <f aca="false">SUBSTITUTE(SUBSTITUTE(SUBSTITUTE(SUBSTITUTE(SUBSTITUTE(Txt_Objet,"{cabinet}",Cab_Nom),"{societe}",IF($K$9496=0,"",INDEX(Clients!$E$2:$E$501,$K$9496)&amp;"")),"{date_effet}",$K$9498),"{hausse}",$K$9499),"{civilite}",$K$9497)</f>
        <v>Objet : révision de nos honoraires au 1er janvier 2027</v>
      </c>
      <c r="C9513" s="34"/>
      <c r="D9513" s="34"/>
      <c r="E9513" s="34"/>
      <c r="F9513" s="34"/>
      <c r="J9513" s="25"/>
      <c r="K9513" s="25"/>
      <c r="L9513" s="25"/>
      <c r="M9513" s="25"/>
      <c r="N9513" s="25"/>
      <c r="O9513" s="25"/>
    </row>
    <row r="9514" customFormat="false" ht="13.5" hidden="false" customHeight="true" outlineLevel="0" collapsed="false">
      <c r="B9514" s="10"/>
      <c r="C9514" s="10"/>
      <c r="D9514" s="10"/>
      <c r="E9514" s="10"/>
      <c r="F9514" s="10"/>
      <c r="J9514" s="25"/>
      <c r="K9514" s="25"/>
      <c r="L9514" s="25"/>
      <c r="M9514" s="25"/>
      <c r="N9514" s="25"/>
      <c r="O9514" s="25"/>
    </row>
    <row r="9515" customFormat="false" ht="15" hidden="false" customHeight="false" outlineLevel="0" collapsed="false">
      <c r="B9515" s="10" t="str">
        <f aca="false">$K$9497&amp;","</f>
        <v>Madame, Monsieur,</v>
      </c>
      <c r="C9515" s="10"/>
      <c r="D9515" s="10"/>
      <c r="E9515" s="10"/>
      <c r="F9515" s="10"/>
      <c r="J9515" s="25"/>
      <c r="K9515" s="25"/>
      <c r="L9515" s="25"/>
      <c r="M9515" s="25"/>
      <c r="N9515" s="25"/>
      <c r="O9515" s="25"/>
    </row>
    <row r="9516" customFormat="false" ht="6" hidden="false" customHeight="true" outlineLevel="0" collapsed="false">
      <c r="B9516" s="10"/>
      <c r="C9516" s="10"/>
      <c r="D9516" s="10"/>
      <c r="E9516" s="10"/>
      <c r="F9516" s="10"/>
      <c r="J9516" s="25"/>
      <c r="K9516" s="25"/>
      <c r="L9516" s="25"/>
      <c r="M9516" s="25"/>
      <c r="N9516" s="25"/>
      <c r="O9516" s="25"/>
    </row>
    <row r="9517" customFormat="false" ht="36.75" hidden="false" customHeight="true" outlineLevel="0" collapsed="false">
      <c r="B9517" s="37" t="str">
        <f aca="false">SUBSTITUTE(SUBSTITUTE(SUBSTITUTE(SUBSTITUTE(SUBSTITUTE(Txt_P1,"{cabinet}",Cab_Nom),"{societe}",IF($K$9496=0,"",INDEX(Clients!$E$2:$E$501,$K$9496)&amp;"")),"{date_effet}",$K$9498),"{hausse}",$K$9499),"{civilite}",$K$9497)</f>
        <v>Nous tenons tout d'abord à vous remercier pour la confiance que vous accordez à ALTHO EXPERTISE. Comme chaque année, et conformément aux dispositions de votre lettre de mission, nous procédons à la révision de nos honoraires.</v>
      </c>
      <c r="C9517" s="37"/>
      <c r="D9517" s="37"/>
      <c r="E9517" s="37"/>
      <c r="F9517" s="37"/>
      <c r="J9517" s="25"/>
      <c r="K9517" s="25"/>
      <c r="L9517" s="25"/>
      <c r="M9517" s="25"/>
      <c r="N9517" s="25"/>
      <c r="O9517" s="25"/>
    </row>
    <row r="9518" customFormat="false" ht="49.5" hidden="false" customHeight="true" outlineLevel="0" collapsed="false">
      <c r="B9518" s="37" t="str">
        <f aca="false">SUBSTITUTE(SUBSTITUTE(SUBSTITUTE(SUBSTITUTE(SUBSTITUTE(Txt_P2,"{cabinet}",Cab_Nom),"{societe}",IF($K$9496=0,"",INDEX(Clients!$E$2:$E$501,$K$9496)&amp;"")),"{date_effet}",$K$9498),"{hausse}",$K$9499),"{civilite}",$K$9497)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518" s="37"/>
      <c r="D9518" s="37"/>
      <c r="E9518" s="37"/>
      <c r="F9518" s="37"/>
      <c r="J9518" s="25"/>
      <c r="K9518" s="25"/>
      <c r="L9518" s="25"/>
      <c r="M9518" s="25"/>
      <c r="N9518" s="25"/>
      <c r="O9518" s="25"/>
    </row>
    <row r="9519" customFormat="false" ht="63" hidden="false" customHeight="true" outlineLevel="0" collapsed="false">
      <c r="B9519" s="37" t="str">
        <f aca="false">SUBSTITUTE(SUBSTITUTE(SUBSTITUTE(SUBSTITUTE(SUBSTITUTE(Txt_P3,"{cabinet}",Cab_Nom),"{societe}",IF($K$9496=0,"",INDEX(Clients!$E$2:$E$501,$K$9496)&amp;"")),"{date_effet}",$K$9498),"{hausse}",$K$9499),"{civilite}",$K$9497)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519" s="37"/>
      <c r="D9519" s="37"/>
      <c r="E9519" s="37"/>
      <c r="F9519" s="37"/>
      <c r="J9519" s="25"/>
      <c r="K9519" s="25"/>
      <c r="L9519" s="25"/>
      <c r="M9519" s="25"/>
      <c r="N9519" s="25"/>
      <c r="O9519" s="25"/>
    </row>
    <row r="9520" customFormat="false" ht="24" hidden="false" customHeight="true" outlineLevel="0" collapsed="false">
      <c r="B9520" s="37" t="str">
        <f aca="false">SUBSTITUTE(SUBSTITUTE(SUBSTITUTE(SUBSTITUTE(SUBSTITUTE(Txt_P4,"{cabinet}",Cab_Nom),"{societe}",IF($K$9496=0,"",INDEX(Clients!$E$2:$E$501,$K$9496)&amp;"")),"{date_effet}",$K$9498),"{hausse}",$K$9499),"{civilite}",$K$9497)</f>
        <v>À compter du 1er janvier 2027, vos honoraires annuels hors taxes évolueront ainsi (évolution globale : ) :</v>
      </c>
      <c r="C9520" s="37"/>
      <c r="D9520" s="37"/>
      <c r="E9520" s="37"/>
      <c r="F9520" s="37"/>
      <c r="J9520" s="25"/>
      <c r="K9520" s="25"/>
      <c r="L9520" s="25"/>
      <c r="M9520" s="25"/>
      <c r="N9520" s="25"/>
      <c r="O9520" s="25"/>
    </row>
    <row r="9521" customFormat="false" ht="3.75" hidden="false" customHeight="true" outlineLevel="0" collapsed="false">
      <c r="B9521" s="10"/>
      <c r="C9521" s="10"/>
      <c r="D9521" s="10"/>
      <c r="E9521" s="10"/>
      <c r="F9521" s="10"/>
      <c r="J9521" s="25"/>
      <c r="K9521" s="25"/>
      <c r="L9521" s="25"/>
      <c r="M9521" s="25"/>
      <c r="N9521" s="25"/>
      <c r="O9521" s="25"/>
    </row>
    <row r="9522" customFormat="false" ht="18" hidden="false" customHeight="true" outlineLevel="0" collapsed="false">
      <c r="B9522" s="38" t="s">
        <v>148</v>
      </c>
      <c r="C9522" s="39" t="s">
        <v>149</v>
      </c>
      <c r="D9522" s="39" t="s">
        <v>150</v>
      </c>
      <c r="E9522" s="39" t="s">
        <v>151</v>
      </c>
      <c r="F9522" s="39" t="s">
        <v>109</v>
      </c>
      <c r="J9522" s="25" t="s">
        <v>152</v>
      </c>
      <c r="K9522" s="25" t="s">
        <v>153</v>
      </c>
      <c r="L9522" s="25" t="s">
        <v>154</v>
      </c>
      <c r="M9522" s="25" t="s">
        <v>155</v>
      </c>
      <c r="N9522" s="25" t="s">
        <v>156</v>
      </c>
      <c r="O9522" s="25" t="s">
        <v>157</v>
      </c>
    </row>
    <row r="9523" customFormat="false" ht="16.5" hidden="false" customHeight="true" outlineLevel="0" collapsed="false">
      <c r="B9523" s="40" t="str">
        <f aca="false">IFERROR(INDEX($J$9523:$J$9526,MATCH($O9523,$N$9523:$N$9526,0)),"")</f>
        <v/>
      </c>
      <c r="C9523" s="41" t="str">
        <f aca="false">IFERROR(INDEX($K$9523:$K$9526,MATCH($O9523,$N$9523:$N$9526,0)),"")</f>
        <v/>
      </c>
      <c r="D9523" s="42" t="str">
        <f aca="false">IF(OR(E9523="",N(C9523)=0),"",E9523/C9523-1)</f>
        <v/>
      </c>
      <c r="E9523" s="41" t="str">
        <f aca="false">IFERROR(INDEX($L$9523:$L$9526,MATCH($O9523,$N$9523:$N$9526,0)),"")</f>
        <v/>
      </c>
      <c r="F9523" s="41" t="str">
        <f aca="false">IF(E9523="","",E9523-C9523)</f>
        <v/>
      </c>
      <c r="J9523" s="25" t="str">
        <f aca="false">Lib_Compta</f>
        <v>Mission comptable (tenue, révision, bilan, liasse fiscale)</v>
      </c>
      <c r="K9523" s="25" t="n">
        <f aca="false">IF($K$9496=0,0,N(INDEX(Clients!$K$2:$K$501,$K$9496)))</f>
        <v>0</v>
      </c>
      <c r="L9523" s="25" t="n">
        <f aca="false">IF($K$9496=0,0,N(INDEX(Clients!$P$2:$P$501,$K$9496)))</f>
        <v>0</v>
      </c>
      <c r="M9523" s="25" t="n">
        <f aca="false">IF(OR(K9523&lt;&gt;0,L9523&lt;&gt;0),1,0)</f>
        <v>0</v>
      </c>
      <c r="N9523" s="25" t="str">
        <f aca="false">IF(M9523=1,SUM($M$9523:M9523),"")</f>
        <v/>
      </c>
      <c r="O9523" s="25" t="n">
        <v>1</v>
      </c>
    </row>
    <row r="9524" customFormat="false" ht="16.5" hidden="false" customHeight="true" outlineLevel="0" collapsed="false">
      <c r="B9524" s="40" t="str">
        <f aca="false">IFERROR(INDEX($J$9523:$J$9526,MATCH($O9524,$N$9523:$N$9526,0)),"")</f>
        <v/>
      </c>
      <c r="C9524" s="41" t="str">
        <f aca="false">IFERROR(INDEX($K$9523:$K$9526,MATCH($O9524,$N$9523:$N$9526,0)),"")</f>
        <v/>
      </c>
      <c r="D9524" s="42" t="str">
        <f aca="false">IF(OR(E9524="",N(C9524)=0),"",E9524/C9524-1)</f>
        <v/>
      </c>
      <c r="E9524" s="41" t="str">
        <f aca="false">IFERROR(INDEX($L$9523:$L$9526,MATCH($O9524,$N$9523:$N$9526,0)),"")</f>
        <v/>
      </c>
      <c r="F9524" s="41" t="str">
        <f aca="false">IF(E9524="","",E9524-C9524)</f>
        <v/>
      </c>
      <c r="J9524" s="25" t="str">
        <f aca="false">Lib_Paye</f>
        <v>Mission sociale (bulletins de paie, DSN, déclarations sociales)</v>
      </c>
      <c r="K9524" s="25" t="n">
        <f aca="false">IF($K$9496=0,0,N(INDEX(Clients!$L$2:$L$501,$K$9496)))</f>
        <v>0</v>
      </c>
      <c r="L9524" s="25" t="n">
        <f aca="false">IF($K$9496=0,0,N(INDEX(Clients!$Q$2:$Q$501,$K$9496)))</f>
        <v>0</v>
      </c>
      <c r="M9524" s="25" t="n">
        <f aca="false">IF(OR(K9524&lt;&gt;0,L9524&lt;&gt;0),1,0)</f>
        <v>0</v>
      </c>
      <c r="N9524" s="25" t="str">
        <f aca="false">IF(M9524=1,SUM($M$9523:M9524),"")</f>
        <v/>
      </c>
      <c r="O9524" s="25" t="n">
        <v>2</v>
      </c>
    </row>
    <row r="9525" customFormat="false" ht="16.5" hidden="false" customHeight="true" outlineLevel="0" collapsed="false">
      <c r="B9525" s="40" t="str">
        <f aca="false">IFERROR(INDEX($J$9523:$J$9526,MATCH($O9525,$N$9523:$N$9526,0)),"")</f>
        <v/>
      </c>
      <c r="C9525" s="41" t="str">
        <f aca="false">IFERROR(INDEX($K$9523:$K$9526,MATCH($O9525,$N$9523:$N$9526,0)),"")</f>
        <v/>
      </c>
      <c r="D9525" s="42" t="str">
        <f aca="false">IF(OR(E9525="",N(C9525)=0),"",E9525/C9525-1)</f>
        <v/>
      </c>
      <c r="E9525" s="41" t="str">
        <f aca="false">IFERROR(INDEX($L$9523:$L$9526,MATCH($O9525,$N$9523:$N$9526,0)),"")</f>
        <v/>
      </c>
      <c r="F9525" s="41" t="str">
        <f aca="false">IF(E9525="","",E9525-C9525)</f>
        <v/>
      </c>
      <c r="J9525" s="25" t="str">
        <f aca="false">Lib_Jur</f>
        <v>Mission juridique (approbation des comptes, secrétariat juridique)</v>
      </c>
      <c r="K9525" s="25" t="n">
        <f aca="false">IF($K$9496=0,0,N(INDEX(Clients!$M$2:$M$501,$K$9496)))</f>
        <v>0</v>
      </c>
      <c r="L9525" s="25" t="n">
        <f aca="false">IF($K$9496=0,0,N(INDEX(Clients!$R$2:$R$501,$K$9496)))</f>
        <v>0</v>
      </c>
      <c r="M9525" s="25" t="n">
        <f aca="false">IF(OR(K9525&lt;&gt;0,L9525&lt;&gt;0),1,0)</f>
        <v>0</v>
      </c>
      <c r="N9525" s="25" t="str">
        <f aca="false">IF(M9525=1,SUM($M$9523:M9525),"")</f>
        <v/>
      </c>
      <c r="O9525" s="25" t="n">
        <v>3</v>
      </c>
    </row>
    <row r="9526" customFormat="false" ht="16.5" hidden="false" customHeight="true" outlineLevel="0" collapsed="false">
      <c r="B9526" s="40" t="str">
        <f aca="false">IFERROR(INDEX($J$9523:$J$9526,MATCH($O9526,$N$9523:$N$9526,0)),"")</f>
        <v/>
      </c>
      <c r="C9526" s="41" t="str">
        <f aca="false">IFERROR(INDEX($K$9523:$K$9526,MATCH($O9526,$N$9523:$N$9526,0)),"")</f>
        <v/>
      </c>
      <c r="D9526" s="42" t="str">
        <f aca="false">IF(OR(E9526="",N(C9526)=0),"",E9526/C9526-1)</f>
        <v/>
      </c>
      <c r="E9526" s="41" t="str">
        <f aca="false">IFERROR(INDEX($L$9523:$L$9526,MATCH($O9526,$N$9523:$N$9526,0)),"")</f>
        <v/>
      </c>
      <c r="F9526" s="41" t="str">
        <f aca="false">IF(E9526="","",E9526-C9526)</f>
        <v/>
      </c>
      <c r="J9526" s="25" t="str">
        <f aca="false">Lib_PA</f>
        <v>Plateforme agréée – facturation électronique</v>
      </c>
      <c r="K9526" s="25" t="n">
        <f aca="false">IF($K$9496=0,0,N(INDEX(Clients!$N$2:$N$501,$K$9496)))</f>
        <v>0</v>
      </c>
      <c r="L9526" s="25" t="n">
        <f aca="false">IF($K$9496=0,0,N(INDEX(Clients!$S$2:$S$501,$K$9496)))</f>
        <v>0</v>
      </c>
      <c r="M9526" s="25" t="n">
        <f aca="false">IF(OR(K9526&lt;&gt;0,L9526&lt;&gt;0),1,0)</f>
        <v>0</v>
      </c>
      <c r="N9526" s="25" t="str">
        <f aca="false">IF(M9526=1,SUM($M$9523:M9526),"")</f>
        <v/>
      </c>
      <c r="O9526" s="25" t="n">
        <v>4</v>
      </c>
    </row>
    <row r="9527" customFormat="false" ht="18" hidden="false" customHeight="true" outlineLevel="0" collapsed="false">
      <c r="B9527" s="43" t="s">
        <v>158</v>
      </c>
      <c r="C9527" s="44" t="n">
        <f aca="false">SUM(K9523:K9526)</f>
        <v>0</v>
      </c>
      <c r="D9527" s="45" t="str">
        <f aca="false">IF(N(C9527)=0,"",E9527/C9527-1)</f>
        <v/>
      </c>
      <c r="E9527" s="44" t="n">
        <f aca="false">SUM(L9523:L9526)</f>
        <v>0</v>
      </c>
      <c r="F9527" s="44" t="n">
        <f aca="false">E9527-C9527</f>
        <v>0</v>
      </c>
    </row>
    <row r="9528" customFormat="false" ht="15" hidden="false" customHeight="false" outlineLevel="0" collapsed="false">
      <c r="B9528" s="46" t="str">
        <f aca="false">IF(N(Nb_Mensualites)=0,"","Soit "&amp;FIXED(E9527/Nb_Mensualites,2)&amp;" € HT par échéance ("&amp;Nb_Mensualites&amp;" échéances), "&amp;FIXED(E9527/Nb_Mensualites*(1+Taux_TVA),2)&amp;" € TTC.")</f>
        <v>Soit 0.00 € HT par échéance (12 échéances), 0.00 € TTC.</v>
      </c>
      <c r="C9528" s="46"/>
      <c r="D9528" s="46"/>
      <c r="E9528" s="46"/>
      <c r="F9528" s="46"/>
    </row>
    <row r="9529" customFormat="false" ht="7.5" hidden="false" customHeight="true" outlineLevel="0" collapsed="false">
      <c r="B9529" s="10"/>
      <c r="C9529" s="10"/>
      <c r="D9529" s="10"/>
      <c r="E9529" s="10"/>
      <c r="F9529" s="10"/>
    </row>
    <row r="9530" customFormat="false" ht="36.75" hidden="false" customHeight="true" outlineLevel="0" collapsed="false">
      <c r="B9530" s="37" t="str">
        <f aca="false">SUBSTITUTE(SUBSTITUTE(SUBSTITUTE(SUBSTITUTE(SUBSTITUTE(Txt_P5,"{cabinet}",Cab_Nom),"{societe}",IF($K$9496=0,"",INDEX(Clients!$E$2:$E$501,$K$9496)&amp;"")),"{date_effet}",$K$9498),"{hausse}",$K$9499),"{civilite}",$K$9497)</f>
        <v>Les autres conditions de votre lettre de mission demeurent inchangées. Les nouveaux montants seront appliqués automatiquement sur vos prochaines factures et échéances de prélèvement.</v>
      </c>
      <c r="C9530" s="37"/>
      <c r="D9530" s="37"/>
      <c r="E9530" s="37"/>
      <c r="F9530" s="37"/>
    </row>
    <row r="9531" customFormat="false" ht="36.75" hidden="false" customHeight="true" outlineLevel="0" collapsed="false">
      <c r="B9531" s="37" t="str">
        <f aca="false">SUBSTITUTE(SUBSTITUTE(SUBSTITUTE(SUBSTITUTE(SUBSTITUTE(Txt_P6,"{cabinet}",Cab_Nom),"{societe}",IF($K$9496=0,"",INDEX(Clients!$E$2:$E$501,$K$9496)&amp;"")),"{date_effet}",$K$9498),"{hausse}",$K$9499),"{civilite}",$K$9497)</f>
        <v>Votre interlocuteur habituel reste à votre entière disposition pour répondre à vos questions et faire le point sur l'évolution de vos besoins.</v>
      </c>
      <c r="C9531" s="37"/>
      <c r="D9531" s="37"/>
      <c r="E9531" s="37"/>
      <c r="F9531" s="37"/>
    </row>
    <row r="9532" customFormat="false" ht="24" hidden="false" customHeight="true" outlineLevel="0" collapsed="false">
      <c r="B9532" s="37" t="str">
        <f aca="false">SUBSTITUTE(SUBSTITUTE(SUBSTITUTE(SUBSTITUTE(SUBSTITUTE(Txt_Politesse,"{cabinet}",Cab_Nom),"{societe}",IF($K$9496=0,"",INDEX(Clients!$E$2:$E$501,$K$9496)&amp;"")),"{date_effet}",$K$9498),"{hausse}",$K$9499),"{civilite}",$K$9497)</f>
        <v>Nous vous prions d'agréer, Madame, Monsieur, l'expression de nos salutations distinguées.</v>
      </c>
      <c r="C9532" s="37"/>
      <c r="D9532" s="37"/>
      <c r="E9532" s="37"/>
      <c r="F9532" s="37"/>
    </row>
    <row r="9533" customFormat="false" ht="15" hidden="false" customHeight="false" outlineLevel="0" collapsed="false">
      <c r="B9533" s="10"/>
      <c r="C9533" s="10"/>
      <c r="D9533" s="10"/>
      <c r="E9533" s="10"/>
      <c r="F9533" s="10"/>
    </row>
    <row r="9534" customFormat="false" ht="15" hidden="false" customHeight="false" outlineLevel="0" collapsed="false">
      <c r="B9534" s="10"/>
      <c r="C9534" s="10"/>
      <c r="D9534" s="34" t="str">
        <f aca="false">Signataire</f>
        <v>Prénom NOM</v>
      </c>
      <c r="E9534" s="34"/>
      <c r="F9534" s="34"/>
    </row>
    <row r="9535" customFormat="false" ht="15" hidden="false" customHeight="false" outlineLevel="0" collapsed="false">
      <c r="B9535" s="10"/>
      <c r="C9535" s="10"/>
      <c r="D9535" s="47" t="str">
        <f aca="false">Signataire_Titre</f>
        <v>Expert-comptable associé</v>
      </c>
      <c r="E9535" s="47"/>
      <c r="F9535" s="47"/>
    </row>
    <row r="9536" customFormat="false" ht="15.75" hidden="false" customHeight="true" outlineLevel="0" collapsed="false">
      <c r="B9536" s="10"/>
      <c r="C9536" s="10"/>
      <c r="D9536" s="10"/>
      <c r="E9536" s="10"/>
      <c r="F9536" s="10"/>
    </row>
    <row r="9537" customFormat="false" ht="15.75" hidden="false" customHeight="true" outlineLevel="0" collapsed="false">
      <c r="B9537" s="10"/>
      <c r="C9537" s="10"/>
      <c r="D9537" s="10"/>
      <c r="E9537" s="10"/>
      <c r="F9537" s="10"/>
    </row>
    <row r="9538" customFormat="false" ht="15.75" hidden="false" customHeight="true" outlineLevel="0" collapsed="false">
      <c r="B9538" s="10"/>
      <c r="C9538" s="10"/>
      <c r="D9538" s="10"/>
      <c r="E9538" s="10"/>
      <c r="F9538" s="10"/>
    </row>
    <row r="9539" customFormat="false" ht="15.75" hidden="false" customHeight="true" outlineLevel="0" collapsed="false">
      <c r="B9539" s="10"/>
      <c r="C9539" s="10"/>
      <c r="D9539" s="10"/>
      <c r="E9539" s="10"/>
      <c r="F9539" s="10"/>
    </row>
    <row r="9540" customFormat="false" ht="24" hidden="false" customHeight="true" outlineLevel="0" collapsed="false">
      <c r="B9540" s="48" t="str">
        <f aca="false">Cab_Mentions</f>
        <v>ALTHO EXPERTISE · SAS au capital de 10 000 € · RCS Pontoise 919 706 325 · TVA FR62919706325 · Société d'expertise comptable inscrite au Tableau de l'Ordre des experts-comptables de Paris Île-de-France</v>
      </c>
      <c r="C9540" s="48"/>
      <c r="D9540" s="48"/>
      <c r="E9540" s="48"/>
      <c r="F9540" s="48"/>
    </row>
    <row r="9541" customFormat="false" ht="15" hidden="false" customHeight="false" outlineLevel="0" collapsed="false">
      <c r="B9541" s="10"/>
      <c r="C9541" s="10"/>
      <c r="D9541" s="10"/>
      <c r="E9541" s="10"/>
      <c r="F9541" s="10"/>
      <c r="J9541" s="25" t="s">
        <v>142</v>
      </c>
      <c r="K9541" s="25" t="n">
        <f aca="false">IFERROR(MATCH(213,Clients!$Z$2:$Z$501,0),0)</f>
        <v>0</v>
      </c>
      <c r="L9541" s="25"/>
      <c r="M9541" s="25"/>
      <c r="N9541" s="25"/>
      <c r="O9541" s="25"/>
    </row>
    <row r="9542" customFormat="false" ht="21.75" hidden="false" customHeight="true" outlineLevel="0" collapsed="false">
      <c r="B9542" s="26" t="str">
        <f aca="false">Cab_Nom</f>
        <v>ALTHO EXPERTISE</v>
      </c>
      <c r="C9542" s="26"/>
      <c r="D9542" s="10"/>
      <c r="E9542" s="27" t="str">
        <f aca="false">IF($K$9541=0,"","Réf. client : "&amp;INDEX(Clients!$A$2:$A$501,$K$9541))</f>
        <v/>
      </c>
      <c r="F9542" s="27"/>
      <c r="J9542" s="25" t="s">
        <v>144</v>
      </c>
      <c r="K9542" s="25" t="str">
        <f aca="false">IF(IF($K$9541=0,"",INDEX(Clients!$B$2:$B$501,$K$9541)&amp;"")="Mme","Madame",IF(IF($K$9541=0,"",INDEX(Clients!$B$2:$B$501,$K$9541)&amp;"")="M.","Monsieur","Madame, Monsieur"))</f>
        <v>Madame, Monsieur</v>
      </c>
      <c r="L9542" s="25"/>
      <c r="M9542" s="25"/>
      <c r="N9542" s="25"/>
      <c r="O9542" s="25"/>
    </row>
    <row r="9543" customFormat="false" ht="15" hidden="false" customHeight="false" outlineLevel="0" collapsed="false">
      <c r="B9543" s="29" t="str">
        <f aca="false">Cab_Adr1</f>
        <v>141 rue Charles de Gaulle</v>
      </c>
      <c r="C9543" s="29"/>
      <c r="D9543" s="10"/>
      <c r="E9543" s="10"/>
      <c r="F9543" s="10"/>
      <c r="J9543" s="25" t="s">
        <v>145</v>
      </c>
      <c r="K9543" s="25" t="str">
        <f aca="false">DAY(Date_Effet)&amp;IF(DAY(Date_Effet)=1,"er","")&amp;" "&amp;INDEX(Liste_Mois,MONTH(Date_Effet))&amp;" "&amp;YEAR(Date_Effet)</f>
        <v>1er janvier 2027</v>
      </c>
      <c r="L9543" s="25"/>
      <c r="M9543" s="25"/>
      <c r="N9543" s="25"/>
      <c r="O9543" s="25"/>
    </row>
    <row r="9544" customFormat="false" ht="15" hidden="false" customHeight="false" outlineLevel="0" collapsed="false">
      <c r="B9544" s="29" t="str">
        <f aca="false">Cab_CPVille</f>
        <v>95130 LE PLESSIS-BOUCHARD</v>
      </c>
      <c r="C9544" s="29"/>
      <c r="D9544" s="10"/>
      <c r="E9544" s="10"/>
      <c r="F9544" s="10"/>
      <c r="J9544" s="25" t="s">
        <v>146</v>
      </c>
      <c r="K9544" s="25" t="str">
        <f aca="false">IF(SUM($K$9568:$K$9571)=0,"",FIXED((SUM($L$9568:$L$9571)/SUM($K$9568:$K$9571)-1)*100,1)&amp;" %")</f>
        <v/>
      </c>
      <c r="L9544" s="25"/>
      <c r="M9544" s="25"/>
      <c r="N9544" s="25"/>
      <c r="O9544" s="25"/>
    </row>
    <row r="9545" customFormat="false" ht="15" hidden="false" customHeight="false" outlineLevel="0" collapsed="false">
      <c r="B9545" s="29" t="str">
        <f aca="false">Cab_Contact</f>
        <v>Tél. 01 34 14 53 45  ·  altho@altho-experts.com  ·  altho-experts.com</v>
      </c>
      <c r="C9545" s="29"/>
      <c r="D9545" s="10"/>
      <c r="E9545" s="10"/>
      <c r="F9545" s="10"/>
      <c r="J9545" s="25"/>
      <c r="K9545" s="25"/>
      <c r="L9545" s="25"/>
      <c r="M9545" s="25"/>
      <c r="N9545" s="25"/>
      <c r="O9545" s="25"/>
    </row>
    <row r="9546" customFormat="false" ht="6" hidden="false" customHeight="true" outlineLevel="0" collapsed="false">
      <c r="B9546" s="32"/>
      <c r="C9546" s="32"/>
      <c r="D9546" s="32"/>
      <c r="E9546" s="32"/>
      <c r="F9546" s="32"/>
      <c r="J9546" s="25"/>
      <c r="K9546" s="25"/>
      <c r="L9546" s="25"/>
      <c r="M9546" s="25"/>
      <c r="N9546" s="25"/>
      <c r="O9546" s="25"/>
    </row>
    <row r="9547" customFormat="false" ht="13.5" hidden="false" customHeight="true" outlineLevel="0" collapsed="false">
      <c r="B9547" s="10"/>
      <c r="C9547" s="10"/>
      <c r="D9547" s="10"/>
      <c r="E9547" s="10"/>
      <c r="F9547" s="10"/>
      <c r="J9547" s="25"/>
      <c r="K9547" s="25"/>
      <c r="L9547" s="25"/>
      <c r="M9547" s="25"/>
      <c r="N9547" s="25"/>
      <c r="O9547" s="25"/>
    </row>
    <row r="9548" customFormat="false" ht="13.5" hidden="false" customHeight="true" outlineLevel="0" collapsed="false">
      <c r="B9548" s="10"/>
      <c r="C9548" s="10"/>
      <c r="D9548" s="10"/>
      <c r="E9548" s="10"/>
      <c r="F9548" s="10"/>
      <c r="J9548" s="25"/>
      <c r="K9548" s="25"/>
      <c r="L9548" s="25"/>
      <c r="M9548" s="25"/>
      <c r="N9548" s="25"/>
      <c r="O9548" s="25"/>
    </row>
    <row r="9549" customFormat="false" ht="13.5" hidden="false" customHeight="true" outlineLevel="0" collapsed="false">
      <c r="B9549" s="10"/>
      <c r="C9549" s="10"/>
      <c r="D9549" s="10"/>
      <c r="E9549" s="10"/>
      <c r="F9549" s="10"/>
      <c r="J9549" s="25"/>
      <c r="K9549" s="25"/>
      <c r="L9549" s="25"/>
      <c r="M9549" s="25"/>
      <c r="N9549" s="25"/>
      <c r="O9549" s="25"/>
    </row>
    <row r="9550" customFormat="false" ht="15" hidden="false" customHeight="true" outlineLevel="0" collapsed="false">
      <c r="B9550" s="10"/>
      <c r="C9550" s="10"/>
      <c r="D9550" s="34" t="str">
        <f aca="false">IF($K$9541=0,"",INDEX(Clients!$E$2:$E$501,$K$9541)&amp;"")</f>
        <v/>
      </c>
      <c r="E9550" s="34"/>
      <c r="F9550" s="34"/>
      <c r="J9550" s="25"/>
      <c r="K9550" s="25"/>
      <c r="L9550" s="25"/>
      <c r="M9550" s="25"/>
      <c r="N9550" s="25"/>
      <c r="O9550" s="25"/>
    </row>
    <row r="9551" customFormat="false" ht="15" hidden="false" customHeight="true" outlineLevel="0" collapsed="false">
      <c r="B9551" s="10"/>
      <c r="C9551" s="10"/>
      <c r="D9551" s="35" t="str">
        <f aca="false">IF(IF($K$9541=0,"",INDEX(Clients!$D$2:$D$501,$K$9541)&amp;"")="","","À l'attention de "&amp;TRIM(IF($K$9541=0,"",INDEX(Clients!$B$2:$B$501,$K$9541)&amp;"")&amp;" "&amp;IF($K$9541=0,"",INDEX(Clients!$C$2:$C$501,$K$9541)&amp;"")&amp;" "&amp;IF($K$9541=0,"",INDEX(Clients!$D$2:$D$501,$K$9541)&amp;"")))</f>
        <v/>
      </c>
      <c r="E9551" s="35"/>
      <c r="F9551" s="35"/>
      <c r="J9551" s="25"/>
      <c r="K9551" s="25"/>
      <c r="L9551" s="25"/>
      <c r="M9551" s="25"/>
      <c r="N9551" s="25"/>
      <c r="O9551" s="25"/>
    </row>
    <row r="9552" customFormat="false" ht="15" hidden="false" customHeight="true" outlineLevel="0" collapsed="false">
      <c r="B9552" s="10"/>
      <c r="C9552" s="10"/>
      <c r="D9552" s="35" t="str">
        <f aca="false">IF($K$9541=0,"",INDEX(Clients!$F$2:$F$501,$K$9541)&amp;"")</f>
        <v/>
      </c>
      <c r="E9552" s="35"/>
      <c r="F9552" s="35"/>
      <c r="J9552" s="25"/>
      <c r="K9552" s="25"/>
      <c r="L9552" s="25"/>
      <c r="M9552" s="25"/>
      <c r="N9552" s="25"/>
      <c r="O9552" s="25"/>
    </row>
    <row r="9553" customFormat="false" ht="15" hidden="false" customHeight="true" outlineLevel="0" collapsed="false">
      <c r="B9553" s="10"/>
      <c r="C9553" s="10"/>
      <c r="D9553" s="35" t="str">
        <f aca="false">IF(IF($K$9541=0,"",INDEX(Clients!$G$2:$G$501,$K$9541)&amp;"")="",TRIM(IF($K$9541=0,"",INDEX(Clients!$H$2:$H$501,$K$9541)&amp;"")&amp;" "&amp;UPPER(IF($K$9541=0,"",INDEX(Clients!$I$2:$I$501,$K$9541)&amp;""))),IF($K$9541=0,"",INDEX(Clients!$G$2:$G$501,$K$9541)&amp;""))</f>
        <v/>
      </c>
      <c r="E9553" s="35"/>
      <c r="F9553" s="35"/>
      <c r="J9553" s="25"/>
      <c r="K9553" s="25"/>
      <c r="L9553" s="25"/>
      <c r="M9553" s="25"/>
      <c r="N9553" s="25"/>
      <c r="O9553" s="25"/>
    </row>
    <row r="9554" customFormat="false" ht="15" hidden="false" customHeight="true" outlineLevel="0" collapsed="false">
      <c r="B9554" s="10"/>
      <c r="C9554" s="10"/>
      <c r="D9554" s="35" t="str">
        <f aca="false">IF(IF($K$9541=0,"",INDEX(Clients!$G$2:$G$501,$K$9541)&amp;"")="","",TRIM(IF($K$9541=0,"",INDEX(Clients!$H$2:$H$501,$K$9541)&amp;"")&amp;" "&amp;UPPER(IF($K$9541=0,"",INDEX(Clients!$I$2:$I$501,$K$9541)&amp;""))))</f>
        <v/>
      </c>
      <c r="E9554" s="35"/>
      <c r="F9554" s="35"/>
      <c r="J9554" s="25"/>
      <c r="K9554" s="25"/>
      <c r="L9554" s="25"/>
      <c r="M9554" s="25"/>
      <c r="N9554" s="25"/>
      <c r="O9554" s="25"/>
    </row>
    <row r="9555" customFormat="false" ht="25.5" hidden="false" customHeight="true" outlineLevel="0" collapsed="false">
      <c r="B9555" s="10"/>
      <c r="C9555" s="10"/>
      <c r="D9555" s="10"/>
      <c r="E9555" s="10"/>
      <c r="F9555" s="10"/>
      <c r="J9555" s="25"/>
      <c r="K9555" s="25"/>
      <c r="L9555" s="25"/>
      <c r="M9555" s="25"/>
      <c r="N9555" s="25"/>
      <c r="O9555" s="25"/>
    </row>
    <row r="9556" customFormat="false" ht="15" hidden="false" customHeight="false" outlineLevel="0" collapsed="false">
      <c r="B9556" s="10"/>
      <c r="C9556" s="10"/>
      <c r="D9556" s="36" t="str">
        <f aca="false">Cab_Ville&amp;", le "&amp;DAY(Date_Courrier)&amp;IF(DAY(Date_Courrier)=1,"er","")&amp;" "&amp;INDEX(Liste_Mois,MONTH(Date_Courrier))&amp;" "&amp;YEAR(Date_Courrier)</f>
        <v>Le Plessis-Bouchard, le 22 septembre 2026</v>
      </c>
      <c r="E9556" s="36"/>
      <c r="F9556" s="36"/>
      <c r="J9556" s="25"/>
      <c r="K9556" s="25"/>
      <c r="L9556" s="25"/>
      <c r="M9556" s="25"/>
      <c r="N9556" s="25"/>
      <c r="O9556" s="25"/>
    </row>
    <row r="9557" customFormat="false" ht="19.5" hidden="false" customHeight="true" outlineLevel="0" collapsed="false">
      <c r="B9557" s="10"/>
      <c r="C9557" s="10"/>
      <c r="D9557" s="10"/>
      <c r="E9557" s="10"/>
      <c r="F9557" s="10"/>
      <c r="J9557" s="25"/>
      <c r="K9557" s="25"/>
      <c r="L9557" s="25"/>
      <c r="M9557" s="25"/>
      <c r="N9557" s="25"/>
      <c r="O9557" s="25"/>
    </row>
    <row r="9558" customFormat="false" ht="15" hidden="false" customHeight="false" outlineLevel="0" collapsed="false">
      <c r="B9558" s="34" t="str">
        <f aca="false">SUBSTITUTE(SUBSTITUTE(SUBSTITUTE(SUBSTITUTE(SUBSTITUTE(Txt_Objet,"{cabinet}",Cab_Nom),"{societe}",IF($K$9541=0,"",INDEX(Clients!$E$2:$E$501,$K$9541)&amp;"")),"{date_effet}",$K$9543),"{hausse}",$K$9544),"{civilite}",$K$9542)</f>
        <v>Objet : révision de nos honoraires au 1er janvier 2027</v>
      </c>
      <c r="C9558" s="34"/>
      <c r="D9558" s="34"/>
      <c r="E9558" s="34"/>
      <c r="F9558" s="34"/>
      <c r="J9558" s="25"/>
      <c r="K9558" s="25"/>
      <c r="L9558" s="25"/>
      <c r="M9558" s="25"/>
      <c r="N9558" s="25"/>
      <c r="O9558" s="25"/>
    </row>
    <row r="9559" customFormat="false" ht="13.5" hidden="false" customHeight="true" outlineLevel="0" collapsed="false">
      <c r="B9559" s="10"/>
      <c r="C9559" s="10"/>
      <c r="D9559" s="10"/>
      <c r="E9559" s="10"/>
      <c r="F9559" s="10"/>
      <c r="J9559" s="25"/>
      <c r="K9559" s="25"/>
      <c r="L9559" s="25"/>
      <c r="M9559" s="25"/>
      <c r="N9559" s="25"/>
      <c r="O9559" s="25"/>
    </row>
    <row r="9560" customFormat="false" ht="15" hidden="false" customHeight="false" outlineLevel="0" collapsed="false">
      <c r="B9560" s="10" t="str">
        <f aca="false">$K$9542&amp;","</f>
        <v>Madame, Monsieur,</v>
      </c>
      <c r="C9560" s="10"/>
      <c r="D9560" s="10"/>
      <c r="E9560" s="10"/>
      <c r="F9560" s="10"/>
      <c r="J9560" s="25"/>
      <c r="K9560" s="25"/>
      <c r="L9560" s="25"/>
      <c r="M9560" s="25"/>
      <c r="N9560" s="25"/>
      <c r="O9560" s="25"/>
    </row>
    <row r="9561" customFormat="false" ht="6" hidden="false" customHeight="true" outlineLevel="0" collapsed="false">
      <c r="B9561" s="10"/>
      <c r="C9561" s="10"/>
      <c r="D9561" s="10"/>
      <c r="E9561" s="10"/>
      <c r="F9561" s="10"/>
      <c r="J9561" s="25"/>
      <c r="K9561" s="25"/>
      <c r="L9561" s="25"/>
      <c r="M9561" s="25"/>
      <c r="N9561" s="25"/>
      <c r="O9561" s="25"/>
    </row>
    <row r="9562" customFormat="false" ht="36.75" hidden="false" customHeight="true" outlineLevel="0" collapsed="false">
      <c r="B9562" s="37" t="str">
        <f aca="false">SUBSTITUTE(SUBSTITUTE(SUBSTITUTE(SUBSTITUTE(SUBSTITUTE(Txt_P1,"{cabinet}",Cab_Nom),"{societe}",IF($K$9541=0,"",INDEX(Clients!$E$2:$E$501,$K$9541)&amp;"")),"{date_effet}",$K$9543),"{hausse}",$K$9544),"{civilite}",$K$9542)</f>
        <v>Nous tenons tout d'abord à vous remercier pour la confiance que vous accordez à ALTHO EXPERTISE. Comme chaque année, et conformément aux dispositions de votre lettre de mission, nous procédons à la révision de nos honoraires.</v>
      </c>
      <c r="C9562" s="37"/>
      <c r="D9562" s="37"/>
      <c r="E9562" s="37"/>
      <c r="F9562" s="37"/>
      <c r="J9562" s="25"/>
      <c r="K9562" s="25"/>
      <c r="L9562" s="25"/>
      <c r="M9562" s="25"/>
      <c r="N9562" s="25"/>
      <c r="O9562" s="25"/>
    </row>
    <row r="9563" customFormat="false" ht="49.5" hidden="false" customHeight="true" outlineLevel="0" collapsed="false">
      <c r="B9563" s="37" t="str">
        <f aca="false">SUBSTITUTE(SUBSTITUTE(SUBSTITUTE(SUBSTITUTE(SUBSTITUTE(Txt_P2,"{cabinet}",Cab_Nom),"{societe}",IF($K$9541=0,"",INDEX(Clients!$E$2:$E$501,$K$9541)&amp;"")),"{date_effet}",$K$9543),"{hausse}",$K$9544),"{civilite}",$K$9542)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563" s="37"/>
      <c r="D9563" s="37"/>
      <c r="E9563" s="37"/>
      <c r="F9563" s="37"/>
      <c r="J9563" s="25"/>
      <c r="K9563" s="25"/>
      <c r="L9563" s="25"/>
      <c r="M9563" s="25"/>
      <c r="N9563" s="25"/>
      <c r="O9563" s="25"/>
    </row>
    <row r="9564" customFormat="false" ht="63" hidden="false" customHeight="true" outlineLevel="0" collapsed="false">
      <c r="B9564" s="37" t="str">
        <f aca="false">SUBSTITUTE(SUBSTITUTE(SUBSTITUTE(SUBSTITUTE(SUBSTITUTE(Txt_P3,"{cabinet}",Cab_Nom),"{societe}",IF($K$9541=0,"",INDEX(Clients!$E$2:$E$501,$K$9541)&amp;"")),"{date_effet}",$K$9543),"{hausse}",$K$9544),"{civilite}",$K$9542)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564" s="37"/>
      <c r="D9564" s="37"/>
      <c r="E9564" s="37"/>
      <c r="F9564" s="37"/>
      <c r="J9564" s="25"/>
      <c r="K9564" s="25"/>
      <c r="L9564" s="25"/>
      <c r="M9564" s="25"/>
      <c r="N9564" s="25"/>
      <c r="O9564" s="25"/>
    </row>
    <row r="9565" customFormat="false" ht="24" hidden="false" customHeight="true" outlineLevel="0" collapsed="false">
      <c r="B9565" s="37" t="str">
        <f aca="false">SUBSTITUTE(SUBSTITUTE(SUBSTITUTE(SUBSTITUTE(SUBSTITUTE(Txt_P4,"{cabinet}",Cab_Nom),"{societe}",IF($K$9541=0,"",INDEX(Clients!$E$2:$E$501,$K$9541)&amp;"")),"{date_effet}",$K$9543),"{hausse}",$K$9544),"{civilite}",$K$9542)</f>
        <v>À compter du 1er janvier 2027, vos honoraires annuels hors taxes évolueront ainsi (évolution globale : ) :</v>
      </c>
      <c r="C9565" s="37"/>
      <c r="D9565" s="37"/>
      <c r="E9565" s="37"/>
      <c r="F9565" s="37"/>
      <c r="J9565" s="25"/>
      <c r="K9565" s="25"/>
      <c r="L9565" s="25"/>
      <c r="M9565" s="25"/>
      <c r="N9565" s="25"/>
      <c r="O9565" s="25"/>
    </row>
    <row r="9566" customFormat="false" ht="3.75" hidden="false" customHeight="true" outlineLevel="0" collapsed="false">
      <c r="B9566" s="10"/>
      <c r="C9566" s="10"/>
      <c r="D9566" s="10"/>
      <c r="E9566" s="10"/>
      <c r="F9566" s="10"/>
      <c r="J9566" s="25"/>
      <c r="K9566" s="25"/>
      <c r="L9566" s="25"/>
      <c r="M9566" s="25"/>
      <c r="N9566" s="25"/>
      <c r="O9566" s="25"/>
    </row>
    <row r="9567" customFormat="false" ht="18" hidden="false" customHeight="true" outlineLevel="0" collapsed="false">
      <c r="B9567" s="38" t="s">
        <v>148</v>
      </c>
      <c r="C9567" s="39" t="s">
        <v>149</v>
      </c>
      <c r="D9567" s="39" t="s">
        <v>150</v>
      </c>
      <c r="E9567" s="39" t="s">
        <v>151</v>
      </c>
      <c r="F9567" s="39" t="s">
        <v>109</v>
      </c>
      <c r="J9567" s="25" t="s">
        <v>152</v>
      </c>
      <c r="K9567" s="25" t="s">
        <v>153</v>
      </c>
      <c r="L9567" s="25" t="s">
        <v>154</v>
      </c>
      <c r="M9567" s="25" t="s">
        <v>155</v>
      </c>
      <c r="N9567" s="25" t="s">
        <v>156</v>
      </c>
      <c r="O9567" s="25" t="s">
        <v>157</v>
      </c>
    </row>
    <row r="9568" customFormat="false" ht="16.5" hidden="false" customHeight="true" outlineLevel="0" collapsed="false">
      <c r="B9568" s="40" t="str">
        <f aca="false">IFERROR(INDEX($J$9568:$J$9571,MATCH($O9568,$N$9568:$N$9571,0)),"")</f>
        <v/>
      </c>
      <c r="C9568" s="41" t="str">
        <f aca="false">IFERROR(INDEX($K$9568:$K$9571,MATCH($O9568,$N$9568:$N$9571,0)),"")</f>
        <v/>
      </c>
      <c r="D9568" s="42" t="str">
        <f aca="false">IF(OR(E9568="",N(C9568)=0),"",E9568/C9568-1)</f>
        <v/>
      </c>
      <c r="E9568" s="41" t="str">
        <f aca="false">IFERROR(INDEX($L$9568:$L$9571,MATCH($O9568,$N$9568:$N$9571,0)),"")</f>
        <v/>
      </c>
      <c r="F9568" s="41" t="str">
        <f aca="false">IF(E9568="","",E9568-C9568)</f>
        <v/>
      </c>
      <c r="J9568" s="25" t="str">
        <f aca="false">Lib_Compta</f>
        <v>Mission comptable (tenue, révision, bilan, liasse fiscale)</v>
      </c>
      <c r="K9568" s="25" t="n">
        <f aca="false">IF($K$9541=0,0,N(INDEX(Clients!$K$2:$K$501,$K$9541)))</f>
        <v>0</v>
      </c>
      <c r="L9568" s="25" t="n">
        <f aca="false">IF($K$9541=0,0,N(INDEX(Clients!$P$2:$P$501,$K$9541)))</f>
        <v>0</v>
      </c>
      <c r="M9568" s="25" t="n">
        <f aca="false">IF(OR(K9568&lt;&gt;0,L9568&lt;&gt;0),1,0)</f>
        <v>0</v>
      </c>
      <c r="N9568" s="25" t="str">
        <f aca="false">IF(M9568=1,SUM($M$9568:M9568),"")</f>
        <v/>
      </c>
      <c r="O9568" s="25" t="n">
        <v>1</v>
      </c>
    </row>
    <row r="9569" customFormat="false" ht="16.5" hidden="false" customHeight="true" outlineLevel="0" collapsed="false">
      <c r="B9569" s="40" t="str">
        <f aca="false">IFERROR(INDEX($J$9568:$J$9571,MATCH($O9569,$N$9568:$N$9571,0)),"")</f>
        <v/>
      </c>
      <c r="C9569" s="41" t="str">
        <f aca="false">IFERROR(INDEX($K$9568:$K$9571,MATCH($O9569,$N$9568:$N$9571,0)),"")</f>
        <v/>
      </c>
      <c r="D9569" s="42" t="str">
        <f aca="false">IF(OR(E9569="",N(C9569)=0),"",E9569/C9569-1)</f>
        <v/>
      </c>
      <c r="E9569" s="41" t="str">
        <f aca="false">IFERROR(INDEX($L$9568:$L$9571,MATCH($O9569,$N$9568:$N$9571,0)),"")</f>
        <v/>
      </c>
      <c r="F9569" s="41" t="str">
        <f aca="false">IF(E9569="","",E9569-C9569)</f>
        <v/>
      </c>
      <c r="J9569" s="25" t="str">
        <f aca="false">Lib_Paye</f>
        <v>Mission sociale (bulletins de paie, DSN, déclarations sociales)</v>
      </c>
      <c r="K9569" s="25" t="n">
        <f aca="false">IF($K$9541=0,0,N(INDEX(Clients!$L$2:$L$501,$K$9541)))</f>
        <v>0</v>
      </c>
      <c r="L9569" s="25" t="n">
        <f aca="false">IF($K$9541=0,0,N(INDEX(Clients!$Q$2:$Q$501,$K$9541)))</f>
        <v>0</v>
      </c>
      <c r="M9569" s="25" t="n">
        <f aca="false">IF(OR(K9569&lt;&gt;0,L9569&lt;&gt;0),1,0)</f>
        <v>0</v>
      </c>
      <c r="N9569" s="25" t="str">
        <f aca="false">IF(M9569=1,SUM($M$9568:M9569),"")</f>
        <v/>
      </c>
      <c r="O9569" s="25" t="n">
        <v>2</v>
      </c>
    </row>
    <row r="9570" customFormat="false" ht="16.5" hidden="false" customHeight="true" outlineLevel="0" collapsed="false">
      <c r="B9570" s="40" t="str">
        <f aca="false">IFERROR(INDEX($J$9568:$J$9571,MATCH($O9570,$N$9568:$N$9571,0)),"")</f>
        <v/>
      </c>
      <c r="C9570" s="41" t="str">
        <f aca="false">IFERROR(INDEX($K$9568:$K$9571,MATCH($O9570,$N$9568:$N$9571,0)),"")</f>
        <v/>
      </c>
      <c r="D9570" s="42" t="str">
        <f aca="false">IF(OR(E9570="",N(C9570)=0),"",E9570/C9570-1)</f>
        <v/>
      </c>
      <c r="E9570" s="41" t="str">
        <f aca="false">IFERROR(INDEX($L$9568:$L$9571,MATCH($O9570,$N$9568:$N$9571,0)),"")</f>
        <v/>
      </c>
      <c r="F9570" s="41" t="str">
        <f aca="false">IF(E9570="","",E9570-C9570)</f>
        <v/>
      </c>
      <c r="J9570" s="25" t="str">
        <f aca="false">Lib_Jur</f>
        <v>Mission juridique (approbation des comptes, secrétariat juridique)</v>
      </c>
      <c r="K9570" s="25" t="n">
        <f aca="false">IF($K$9541=0,0,N(INDEX(Clients!$M$2:$M$501,$K$9541)))</f>
        <v>0</v>
      </c>
      <c r="L9570" s="25" t="n">
        <f aca="false">IF($K$9541=0,0,N(INDEX(Clients!$R$2:$R$501,$K$9541)))</f>
        <v>0</v>
      </c>
      <c r="M9570" s="25" t="n">
        <f aca="false">IF(OR(K9570&lt;&gt;0,L9570&lt;&gt;0),1,0)</f>
        <v>0</v>
      </c>
      <c r="N9570" s="25" t="str">
        <f aca="false">IF(M9570=1,SUM($M$9568:M9570),"")</f>
        <v/>
      </c>
      <c r="O9570" s="25" t="n">
        <v>3</v>
      </c>
    </row>
    <row r="9571" customFormat="false" ht="16.5" hidden="false" customHeight="true" outlineLevel="0" collapsed="false">
      <c r="B9571" s="40" t="str">
        <f aca="false">IFERROR(INDEX($J$9568:$J$9571,MATCH($O9571,$N$9568:$N$9571,0)),"")</f>
        <v/>
      </c>
      <c r="C9571" s="41" t="str">
        <f aca="false">IFERROR(INDEX($K$9568:$K$9571,MATCH($O9571,$N$9568:$N$9571,0)),"")</f>
        <v/>
      </c>
      <c r="D9571" s="42" t="str">
        <f aca="false">IF(OR(E9571="",N(C9571)=0),"",E9571/C9571-1)</f>
        <v/>
      </c>
      <c r="E9571" s="41" t="str">
        <f aca="false">IFERROR(INDEX($L$9568:$L$9571,MATCH($O9571,$N$9568:$N$9571,0)),"")</f>
        <v/>
      </c>
      <c r="F9571" s="41" t="str">
        <f aca="false">IF(E9571="","",E9571-C9571)</f>
        <v/>
      </c>
      <c r="J9571" s="25" t="str">
        <f aca="false">Lib_PA</f>
        <v>Plateforme agréée – facturation électronique</v>
      </c>
      <c r="K9571" s="25" t="n">
        <f aca="false">IF($K$9541=0,0,N(INDEX(Clients!$N$2:$N$501,$K$9541)))</f>
        <v>0</v>
      </c>
      <c r="L9571" s="25" t="n">
        <f aca="false">IF($K$9541=0,0,N(INDEX(Clients!$S$2:$S$501,$K$9541)))</f>
        <v>0</v>
      </c>
      <c r="M9571" s="25" t="n">
        <f aca="false">IF(OR(K9571&lt;&gt;0,L9571&lt;&gt;0),1,0)</f>
        <v>0</v>
      </c>
      <c r="N9571" s="25" t="str">
        <f aca="false">IF(M9571=1,SUM($M$9568:M9571),"")</f>
        <v/>
      </c>
      <c r="O9571" s="25" t="n">
        <v>4</v>
      </c>
    </row>
    <row r="9572" customFormat="false" ht="18" hidden="false" customHeight="true" outlineLevel="0" collapsed="false">
      <c r="B9572" s="43" t="s">
        <v>158</v>
      </c>
      <c r="C9572" s="44" t="n">
        <f aca="false">SUM(K9568:K9571)</f>
        <v>0</v>
      </c>
      <c r="D9572" s="45" t="str">
        <f aca="false">IF(N(C9572)=0,"",E9572/C9572-1)</f>
        <v/>
      </c>
      <c r="E9572" s="44" t="n">
        <f aca="false">SUM(L9568:L9571)</f>
        <v>0</v>
      </c>
      <c r="F9572" s="44" t="n">
        <f aca="false">E9572-C9572</f>
        <v>0</v>
      </c>
    </row>
    <row r="9573" customFormat="false" ht="15" hidden="false" customHeight="false" outlineLevel="0" collapsed="false">
      <c r="B9573" s="46" t="str">
        <f aca="false">IF(N(Nb_Mensualites)=0,"","Soit "&amp;FIXED(E9572/Nb_Mensualites,2)&amp;" € HT par échéance ("&amp;Nb_Mensualites&amp;" échéances), "&amp;FIXED(E9572/Nb_Mensualites*(1+Taux_TVA),2)&amp;" € TTC.")</f>
        <v>Soit 0.00 € HT par échéance (12 échéances), 0.00 € TTC.</v>
      </c>
      <c r="C9573" s="46"/>
      <c r="D9573" s="46"/>
      <c r="E9573" s="46"/>
      <c r="F9573" s="46"/>
    </row>
    <row r="9574" customFormat="false" ht="7.5" hidden="false" customHeight="true" outlineLevel="0" collapsed="false">
      <c r="B9574" s="10"/>
      <c r="C9574" s="10"/>
      <c r="D9574" s="10"/>
      <c r="E9574" s="10"/>
      <c r="F9574" s="10"/>
    </row>
    <row r="9575" customFormat="false" ht="36.75" hidden="false" customHeight="true" outlineLevel="0" collapsed="false">
      <c r="B9575" s="37" t="str">
        <f aca="false">SUBSTITUTE(SUBSTITUTE(SUBSTITUTE(SUBSTITUTE(SUBSTITUTE(Txt_P5,"{cabinet}",Cab_Nom),"{societe}",IF($K$9541=0,"",INDEX(Clients!$E$2:$E$501,$K$9541)&amp;"")),"{date_effet}",$K$9543),"{hausse}",$K$9544),"{civilite}",$K$9542)</f>
        <v>Les autres conditions de votre lettre de mission demeurent inchangées. Les nouveaux montants seront appliqués automatiquement sur vos prochaines factures et échéances de prélèvement.</v>
      </c>
      <c r="C9575" s="37"/>
      <c r="D9575" s="37"/>
      <c r="E9575" s="37"/>
      <c r="F9575" s="37"/>
    </row>
    <row r="9576" customFormat="false" ht="36.75" hidden="false" customHeight="true" outlineLevel="0" collapsed="false">
      <c r="B9576" s="37" t="str">
        <f aca="false">SUBSTITUTE(SUBSTITUTE(SUBSTITUTE(SUBSTITUTE(SUBSTITUTE(Txt_P6,"{cabinet}",Cab_Nom),"{societe}",IF($K$9541=0,"",INDEX(Clients!$E$2:$E$501,$K$9541)&amp;"")),"{date_effet}",$K$9543),"{hausse}",$K$9544),"{civilite}",$K$9542)</f>
        <v>Votre interlocuteur habituel reste à votre entière disposition pour répondre à vos questions et faire le point sur l'évolution de vos besoins.</v>
      </c>
      <c r="C9576" s="37"/>
      <c r="D9576" s="37"/>
      <c r="E9576" s="37"/>
      <c r="F9576" s="37"/>
    </row>
    <row r="9577" customFormat="false" ht="24" hidden="false" customHeight="true" outlineLevel="0" collapsed="false">
      <c r="B9577" s="37" t="str">
        <f aca="false">SUBSTITUTE(SUBSTITUTE(SUBSTITUTE(SUBSTITUTE(SUBSTITUTE(Txt_Politesse,"{cabinet}",Cab_Nom),"{societe}",IF($K$9541=0,"",INDEX(Clients!$E$2:$E$501,$K$9541)&amp;"")),"{date_effet}",$K$9543),"{hausse}",$K$9544),"{civilite}",$K$9542)</f>
        <v>Nous vous prions d'agréer, Madame, Monsieur, l'expression de nos salutations distinguées.</v>
      </c>
      <c r="C9577" s="37"/>
      <c r="D9577" s="37"/>
      <c r="E9577" s="37"/>
      <c r="F9577" s="37"/>
    </row>
    <row r="9578" customFormat="false" ht="15" hidden="false" customHeight="false" outlineLevel="0" collapsed="false">
      <c r="B9578" s="10"/>
      <c r="C9578" s="10"/>
      <c r="D9578" s="10"/>
      <c r="E9578" s="10"/>
      <c r="F9578" s="10"/>
    </row>
    <row r="9579" customFormat="false" ht="15" hidden="false" customHeight="false" outlineLevel="0" collapsed="false">
      <c r="B9579" s="10"/>
      <c r="C9579" s="10"/>
      <c r="D9579" s="34" t="str">
        <f aca="false">Signataire</f>
        <v>Prénom NOM</v>
      </c>
      <c r="E9579" s="34"/>
      <c r="F9579" s="34"/>
    </row>
    <row r="9580" customFormat="false" ht="15" hidden="false" customHeight="false" outlineLevel="0" collapsed="false">
      <c r="B9580" s="10"/>
      <c r="C9580" s="10"/>
      <c r="D9580" s="47" t="str">
        <f aca="false">Signataire_Titre</f>
        <v>Expert-comptable associé</v>
      </c>
      <c r="E9580" s="47"/>
      <c r="F9580" s="47"/>
    </row>
    <row r="9581" customFormat="false" ht="15.75" hidden="false" customHeight="true" outlineLevel="0" collapsed="false">
      <c r="B9581" s="10"/>
      <c r="C9581" s="10"/>
      <c r="D9581" s="10"/>
      <c r="E9581" s="10"/>
      <c r="F9581" s="10"/>
    </row>
    <row r="9582" customFormat="false" ht="15.75" hidden="false" customHeight="true" outlineLevel="0" collapsed="false">
      <c r="B9582" s="10"/>
      <c r="C9582" s="10"/>
      <c r="D9582" s="10"/>
      <c r="E9582" s="10"/>
      <c r="F9582" s="10"/>
    </row>
    <row r="9583" customFormat="false" ht="15.75" hidden="false" customHeight="true" outlineLevel="0" collapsed="false">
      <c r="B9583" s="10"/>
      <c r="C9583" s="10"/>
      <c r="D9583" s="10"/>
      <c r="E9583" s="10"/>
      <c r="F9583" s="10"/>
    </row>
    <row r="9584" customFormat="false" ht="15.75" hidden="false" customHeight="true" outlineLevel="0" collapsed="false">
      <c r="B9584" s="10"/>
      <c r="C9584" s="10"/>
      <c r="D9584" s="10"/>
      <c r="E9584" s="10"/>
      <c r="F9584" s="10"/>
    </row>
    <row r="9585" customFormat="false" ht="24" hidden="false" customHeight="true" outlineLevel="0" collapsed="false">
      <c r="B9585" s="48" t="str">
        <f aca="false">Cab_Mentions</f>
        <v>ALTHO EXPERTISE · SAS au capital de 10 000 € · RCS Pontoise 919 706 325 · TVA FR62919706325 · Société d'expertise comptable inscrite au Tableau de l'Ordre des experts-comptables de Paris Île-de-France</v>
      </c>
      <c r="C9585" s="48"/>
      <c r="D9585" s="48"/>
      <c r="E9585" s="48"/>
      <c r="F9585" s="48"/>
    </row>
    <row r="9586" customFormat="false" ht="15" hidden="false" customHeight="false" outlineLevel="0" collapsed="false">
      <c r="B9586" s="10"/>
      <c r="C9586" s="10"/>
      <c r="D9586" s="10"/>
      <c r="E9586" s="10"/>
      <c r="F9586" s="10"/>
      <c r="J9586" s="25" t="s">
        <v>142</v>
      </c>
      <c r="K9586" s="25" t="n">
        <f aca="false">IFERROR(MATCH(214,Clients!$Z$2:$Z$501,0),0)</f>
        <v>0</v>
      </c>
      <c r="L9586" s="25"/>
      <c r="M9586" s="25"/>
      <c r="N9586" s="25"/>
      <c r="O9586" s="25"/>
    </row>
    <row r="9587" customFormat="false" ht="21.75" hidden="false" customHeight="true" outlineLevel="0" collapsed="false">
      <c r="B9587" s="26" t="str">
        <f aca="false">Cab_Nom</f>
        <v>ALTHO EXPERTISE</v>
      </c>
      <c r="C9587" s="26"/>
      <c r="D9587" s="10"/>
      <c r="E9587" s="27" t="str">
        <f aca="false">IF($K$9586=0,"","Réf. client : "&amp;INDEX(Clients!$A$2:$A$501,$K$9586))</f>
        <v/>
      </c>
      <c r="F9587" s="27"/>
      <c r="J9587" s="25" t="s">
        <v>144</v>
      </c>
      <c r="K9587" s="25" t="str">
        <f aca="false">IF(IF($K$9586=0,"",INDEX(Clients!$B$2:$B$501,$K$9586)&amp;"")="Mme","Madame",IF(IF($K$9586=0,"",INDEX(Clients!$B$2:$B$501,$K$9586)&amp;"")="M.","Monsieur","Madame, Monsieur"))</f>
        <v>Madame, Monsieur</v>
      </c>
      <c r="L9587" s="25"/>
      <c r="M9587" s="25"/>
      <c r="N9587" s="25"/>
      <c r="O9587" s="25"/>
    </row>
    <row r="9588" customFormat="false" ht="15" hidden="false" customHeight="false" outlineLevel="0" collapsed="false">
      <c r="B9588" s="29" t="str">
        <f aca="false">Cab_Adr1</f>
        <v>141 rue Charles de Gaulle</v>
      </c>
      <c r="C9588" s="29"/>
      <c r="D9588" s="10"/>
      <c r="E9588" s="10"/>
      <c r="F9588" s="10"/>
      <c r="J9588" s="25" t="s">
        <v>145</v>
      </c>
      <c r="K9588" s="25" t="str">
        <f aca="false">DAY(Date_Effet)&amp;IF(DAY(Date_Effet)=1,"er","")&amp;" "&amp;INDEX(Liste_Mois,MONTH(Date_Effet))&amp;" "&amp;YEAR(Date_Effet)</f>
        <v>1er janvier 2027</v>
      </c>
      <c r="L9588" s="25"/>
      <c r="M9588" s="25"/>
      <c r="N9588" s="25"/>
      <c r="O9588" s="25"/>
    </row>
    <row r="9589" customFormat="false" ht="15" hidden="false" customHeight="false" outlineLevel="0" collapsed="false">
      <c r="B9589" s="29" t="str">
        <f aca="false">Cab_CPVille</f>
        <v>95130 LE PLESSIS-BOUCHARD</v>
      </c>
      <c r="C9589" s="29"/>
      <c r="D9589" s="10"/>
      <c r="E9589" s="10"/>
      <c r="F9589" s="10"/>
      <c r="J9589" s="25" t="s">
        <v>146</v>
      </c>
      <c r="K9589" s="25" t="str">
        <f aca="false">IF(SUM($K$9613:$K$9616)=0,"",FIXED((SUM($L$9613:$L$9616)/SUM($K$9613:$K$9616)-1)*100,1)&amp;" %")</f>
        <v/>
      </c>
      <c r="L9589" s="25"/>
      <c r="M9589" s="25"/>
      <c r="N9589" s="25"/>
      <c r="O9589" s="25"/>
    </row>
    <row r="9590" customFormat="false" ht="15" hidden="false" customHeight="false" outlineLevel="0" collapsed="false">
      <c r="B9590" s="29" t="str">
        <f aca="false">Cab_Contact</f>
        <v>Tél. 01 34 14 53 45  ·  altho@altho-experts.com  ·  altho-experts.com</v>
      </c>
      <c r="C9590" s="29"/>
      <c r="D9590" s="10"/>
      <c r="E9590" s="10"/>
      <c r="F9590" s="10"/>
      <c r="J9590" s="25"/>
      <c r="K9590" s="25"/>
      <c r="L9590" s="25"/>
      <c r="M9590" s="25"/>
      <c r="N9590" s="25"/>
      <c r="O9590" s="25"/>
    </row>
    <row r="9591" customFormat="false" ht="6" hidden="false" customHeight="true" outlineLevel="0" collapsed="false">
      <c r="B9591" s="32"/>
      <c r="C9591" s="32"/>
      <c r="D9591" s="32"/>
      <c r="E9591" s="32"/>
      <c r="F9591" s="32"/>
      <c r="J9591" s="25"/>
      <c r="K9591" s="25"/>
      <c r="L9591" s="25"/>
      <c r="M9591" s="25"/>
      <c r="N9591" s="25"/>
      <c r="O9591" s="25"/>
    </row>
    <row r="9592" customFormat="false" ht="13.5" hidden="false" customHeight="true" outlineLevel="0" collapsed="false">
      <c r="B9592" s="10"/>
      <c r="C9592" s="10"/>
      <c r="D9592" s="10"/>
      <c r="E9592" s="10"/>
      <c r="F9592" s="10"/>
      <c r="J9592" s="25"/>
      <c r="K9592" s="25"/>
      <c r="L9592" s="25"/>
      <c r="M9592" s="25"/>
      <c r="N9592" s="25"/>
      <c r="O9592" s="25"/>
    </row>
    <row r="9593" customFormat="false" ht="13.5" hidden="false" customHeight="true" outlineLevel="0" collapsed="false">
      <c r="B9593" s="10"/>
      <c r="C9593" s="10"/>
      <c r="D9593" s="10"/>
      <c r="E9593" s="10"/>
      <c r="F9593" s="10"/>
      <c r="J9593" s="25"/>
      <c r="K9593" s="25"/>
      <c r="L9593" s="25"/>
      <c r="M9593" s="25"/>
      <c r="N9593" s="25"/>
      <c r="O9593" s="25"/>
    </row>
    <row r="9594" customFormat="false" ht="13.5" hidden="false" customHeight="true" outlineLevel="0" collapsed="false">
      <c r="B9594" s="10"/>
      <c r="C9594" s="10"/>
      <c r="D9594" s="10"/>
      <c r="E9594" s="10"/>
      <c r="F9594" s="10"/>
      <c r="J9594" s="25"/>
      <c r="K9594" s="25"/>
      <c r="L9594" s="25"/>
      <c r="M9594" s="25"/>
      <c r="N9594" s="25"/>
      <c r="O9594" s="25"/>
    </row>
    <row r="9595" customFormat="false" ht="15" hidden="false" customHeight="true" outlineLevel="0" collapsed="false">
      <c r="B9595" s="10"/>
      <c r="C9595" s="10"/>
      <c r="D9595" s="34" t="str">
        <f aca="false">IF($K$9586=0,"",INDEX(Clients!$E$2:$E$501,$K$9586)&amp;"")</f>
        <v/>
      </c>
      <c r="E9595" s="34"/>
      <c r="F9595" s="34"/>
      <c r="J9595" s="25"/>
      <c r="K9595" s="25"/>
      <c r="L9595" s="25"/>
      <c r="M9595" s="25"/>
      <c r="N9595" s="25"/>
      <c r="O9595" s="25"/>
    </row>
    <row r="9596" customFormat="false" ht="15" hidden="false" customHeight="true" outlineLevel="0" collapsed="false">
      <c r="B9596" s="10"/>
      <c r="C9596" s="10"/>
      <c r="D9596" s="35" t="str">
        <f aca="false">IF(IF($K$9586=0,"",INDEX(Clients!$D$2:$D$501,$K$9586)&amp;"")="","","À l'attention de "&amp;TRIM(IF($K$9586=0,"",INDEX(Clients!$B$2:$B$501,$K$9586)&amp;"")&amp;" "&amp;IF($K$9586=0,"",INDEX(Clients!$C$2:$C$501,$K$9586)&amp;"")&amp;" "&amp;IF($K$9586=0,"",INDEX(Clients!$D$2:$D$501,$K$9586)&amp;"")))</f>
        <v/>
      </c>
      <c r="E9596" s="35"/>
      <c r="F9596" s="35"/>
      <c r="J9596" s="25"/>
      <c r="K9596" s="25"/>
      <c r="L9596" s="25"/>
      <c r="M9596" s="25"/>
      <c r="N9596" s="25"/>
      <c r="O9596" s="25"/>
    </row>
    <row r="9597" customFormat="false" ht="15" hidden="false" customHeight="true" outlineLevel="0" collapsed="false">
      <c r="B9597" s="10"/>
      <c r="C9597" s="10"/>
      <c r="D9597" s="35" t="str">
        <f aca="false">IF($K$9586=0,"",INDEX(Clients!$F$2:$F$501,$K$9586)&amp;"")</f>
        <v/>
      </c>
      <c r="E9597" s="35"/>
      <c r="F9597" s="35"/>
      <c r="J9597" s="25"/>
      <c r="K9597" s="25"/>
      <c r="L9597" s="25"/>
      <c r="M9597" s="25"/>
      <c r="N9597" s="25"/>
      <c r="O9597" s="25"/>
    </row>
    <row r="9598" customFormat="false" ht="15" hidden="false" customHeight="true" outlineLevel="0" collapsed="false">
      <c r="B9598" s="10"/>
      <c r="C9598" s="10"/>
      <c r="D9598" s="35" t="str">
        <f aca="false">IF(IF($K$9586=0,"",INDEX(Clients!$G$2:$G$501,$K$9586)&amp;"")="",TRIM(IF($K$9586=0,"",INDEX(Clients!$H$2:$H$501,$K$9586)&amp;"")&amp;" "&amp;UPPER(IF($K$9586=0,"",INDEX(Clients!$I$2:$I$501,$K$9586)&amp;""))),IF($K$9586=0,"",INDEX(Clients!$G$2:$G$501,$K$9586)&amp;""))</f>
        <v/>
      </c>
      <c r="E9598" s="35"/>
      <c r="F9598" s="35"/>
      <c r="J9598" s="25"/>
      <c r="K9598" s="25"/>
      <c r="L9598" s="25"/>
      <c r="M9598" s="25"/>
      <c r="N9598" s="25"/>
      <c r="O9598" s="25"/>
    </row>
    <row r="9599" customFormat="false" ht="15" hidden="false" customHeight="true" outlineLevel="0" collapsed="false">
      <c r="B9599" s="10"/>
      <c r="C9599" s="10"/>
      <c r="D9599" s="35" t="str">
        <f aca="false">IF(IF($K$9586=0,"",INDEX(Clients!$G$2:$G$501,$K$9586)&amp;"")="","",TRIM(IF($K$9586=0,"",INDEX(Clients!$H$2:$H$501,$K$9586)&amp;"")&amp;" "&amp;UPPER(IF($K$9586=0,"",INDEX(Clients!$I$2:$I$501,$K$9586)&amp;""))))</f>
        <v/>
      </c>
      <c r="E9599" s="35"/>
      <c r="F9599" s="35"/>
      <c r="J9599" s="25"/>
      <c r="K9599" s="25"/>
      <c r="L9599" s="25"/>
      <c r="M9599" s="25"/>
      <c r="N9599" s="25"/>
      <c r="O9599" s="25"/>
    </row>
    <row r="9600" customFormat="false" ht="25.5" hidden="false" customHeight="true" outlineLevel="0" collapsed="false">
      <c r="B9600" s="10"/>
      <c r="C9600" s="10"/>
      <c r="D9600" s="10"/>
      <c r="E9600" s="10"/>
      <c r="F9600" s="10"/>
      <c r="J9600" s="25"/>
      <c r="K9600" s="25"/>
      <c r="L9600" s="25"/>
      <c r="M9600" s="25"/>
      <c r="N9600" s="25"/>
      <c r="O9600" s="25"/>
    </row>
    <row r="9601" customFormat="false" ht="15" hidden="false" customHeight="false" outlineLevel="0" collapsed="false">
      <c r="B9601" s="10"/>
      <c r="C9601" s="10"/>
      <c r="D9601" s="36" t="str">
        <f aca="false">Cab_Ville&amp;", le "&amp;DAY(Date_Courrier)&amp;IF(DAY(Date_Courrier)=1,"er","")&amp;" "&amp;INDEX(Liste_Mois,MONTH(Date_Courrier))&amp;" "&amp;YEAR(Date_Courrier)</f>
        <v>Le Plessis-Bouchard, le 22 septembre 2026</v>
      </c>
      <c r="E9601" s="36"/>
      <c r="F9601" s="36"/>
      <c r="J9601" s="25"/>
      <c r="K9601" s="25"/>
      <c r="L9601" s="25"/>
      <c r="M9601" s="25"/>
      <c r="N9601" s="25"/>
      <c r="O9601" s="25"/>
    </row>
    <row r="9602" customFormat="false" ht="19.5" hidden="false" customHeight="true" outlineLevel="0" collapsed="false">
      <c r="B9602" s="10"/>
      <c r="C9602" s="10"/>
      <c r="D9602" s="10"/>
      <c r="E9602" s="10"/>
      <c r="F9602" s="10"/>
      <c r="J9602" s="25"/>
      <c r="K9602" s="25"/>
      <c r="L9602" s="25"/>
      <c r="M9602" s="25"/>
      <c r="N9602" s="25"/>
      <c r="O9602" s="25"/>
    </row>
    <row r="9603" customFormat="false" ht="15" hidden="false" customHeight="false" outlineLevel="0" collapsed="false">
      <c r="B9603" s="34" t="str">
        <f aca="false">SUBSTITUTE(SUBSTITUTE(SUBSTITUTE(SUBSTITUTE(SUBSTITUTE(Txt_Objet,"{cabinet}",Cab_Nom),"{societe}",IF($K$9586=0,"",INDEX(Clients!$E$2:$E$501,$K$9586)&amp;"")),"{date_effet}",$K$9588),"{hausse}",$K$9589),"{civilite}",$K$9587)</f>
        <v>Objet : révision de nos honoraires au 1er janvier 2027</v>
      </c>
      <c r="C9603" s="34"/>
      <c r="D9603" s="34"/>
      <c r="E9603" s="34"/>
      <c r="F9603" s="34"/>
      <c r="J9603" s="25"/>
      <c r="K9603" s="25"/>
      <c r="L9603" s="25"/>
      <c r="M9603" s="25"/>
      <c r="N9603" s="25"/>
      <c r="O9603" s="25"/>
    </row>
    <row r="9604" customFormat="false" ht="13.5" hidden="false" customHeight="true" outlineLevel="0" collapsed="false">
      <c r="B9604" s="10"/>
      <c r="C9604" s="10"/>
      <c r="D9604" s="10"/>
      <c r="E9604" s="10"/>
      <c r="F9604" s="10"/>
      <c r="J9604" s="25"/>
      <c r="K9604" s="25"/>
      <c r="L9604" s="25"/>
      <c r="M9604" s="25"/>
      <c r="N9604" s="25"/>
      <c r="O9604" s="25"/>
    </row>
    <row r="9605" customFormat="false" ht="15" hidden="false" customHeight="false" outlineLevel="0" collapsed="false">
      <c r="B9605" s="10" t="str">
        <f aca="false">$K$9587&amp;","</f>
        <v>Madame, Monsieur,</v>
      </c>
      <c r="C9605" s="10"/>
      <c r="D9605" s="10"/>
      <c r="E9605" s="10"/>
      <c r="F9605" s="10"/>
      <c r="J9605" s="25"/>
      <c r="K9605" s="25"/>
      <c r="L9605" s="25"/>
      <c r="M9605" s="25"/>
      <c r="N9605" s="25"/>
      <c r="O9605" s="25"/>
    </row>
    <row r="9606" customFormat="false" ht="6" hidden="false" customHeight="true" outlineLevel="0" collapsed="false">
      <c r="B9606" s="10"/>
      <c r="C9606" s="10"/>
      <c r="D9606" s="10"/>
      <c r="E9606" s="10"/>
      <c r="F9606" s="10"/>
      <c r="J9606" s="25"/>
      <c r="K9606" s="25"/>
      <c r="L9606" s="25"/>
      <c r="M9606" s="25"/>
      <c r="N9606" s="25"/>
      <c r="O9606" s="25"/>
    </row>
    <row r="9607" customFormat="false" ht="36.75" hidden="false" customHeight="true" outlineLevel="0" collapsed="false">
      <c r="B9607" s="37" t="str">
        <f aca="false">SUBSTITUTE(SUBSTITUTE(SUBSTITUTE(SUBSTITUTE(SUBSTITUTE(Txt_P1,"{cabinet}",Cab_Nom),"{societe}",IF($K$9586=0,"",INDEX(Clients!$E$2:$E$501,$K$9586)&amp;"")),"{date_effet}",$K$9588),"{hausse}",$K$9589),"{civilite}",$K$9587)</f>
        <v>Nous tenons tout d'abord à vous remercier pour la confiance que vous accordez à ALTHO EXPERTISE. Comme chaque année, et conformément aux dispositions de votre lettre de mission, nous procédons à la révision de nos honoraires.</v>
      </c>
      <c r="C9607" s="37"/>
      <c r="D9607" s="37"/>
      <c r="E9607" s="37"/>
      <c r="F9607" s="37"/>
      <c r="J9607" s="25"/>
      <c r="K9607" s="25"/>
      <c r="L9607" s="25"/>
      <c r="M9607" s="25"/>
      <c r="N9607" s="25"/>
      <c r="O9607" s="25"/>
    </row>
    <row r="9608" customFormat="false" ht="49.5" hidden="false" customHeight="true" outlineLevel="0" collapsed="false">
      <c r="B9608" s="37" t="str">
        <f aca="false">SUBSTITUTE(SUBSTITUTE(SUBSTITUTE(SUBSTITUTE(SUBSTITUTE(Txt_P2,"{cabinet}",Cab_Nom),"{societe}",IF($K$9586=0,"",INDEX(Clients!$E$2:$E$501,$K$9586)&amp;"")),"{date_effet}",$K$9588),"{hausse}",$K$9589),"{civilite}",$K$9587)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608" s="37"/>
      <c r="D9608" s="37"/>
      <c r="E9608" s="37"/>
      <c r="F9608" s="37"/>
      <c r="J9608" s="25"/>
      <c r="K9608" s="25"/>
      <c r="L9608" s="25"/>
      <c r="M9608" s="25"/>
      <c r="N9608" s="25"/>
      <c r="O9608" s="25"/>
    </row>
    <row r="9609" customFormat="false" ht="63" hidden="false" customHeight="true" outlineLevel="0" collapsed="false">
      <c r="B9609" s="37" t="str">
        <f aca="false">SUBSTITUTE(SUBSTITUTE(SUBSTITUTE(SUBSTITUTE(SUBSTITUTE(Txt_P3,"{cabinet}",Cab_Nom),"{societe}",IF($K$9586=0,"",INDEX(Clients!$E$2:$E$501,$K$9586)&amp;"")),"{date_effet}",$K$9588),"{hausse}",$K$9589),"{civilite}",$K$9587)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609" s="37"/>
      <c r="D9609" s="37"/>
      <c r="E9609" s="37"/>
      <c r="F9609" s="37"/>
      <c r="J9609" s="25"/>
      <c r="K9609" s="25"/>
      <c r="L9609" s="25"/>
      <c r="M9609" s="25"/>
      <c r="N9609" s="25"/>
      <c r="O9609" s="25"/>
    </row>
    <row r="9610" customFormat="false" ht="24" hidden="false" customHeight="true" outlineLevel="0" collapsed="false">
      <c r="B9610" s="37" t="str">
        <f aca="false">SUBSTITUTE(SUBSTITUTE(SUBSTITUTE(SUBSTITUTE(SUBSTITUTE(Txt_P4,"{cabinet}",Cab_Nom),"{societe}",IF($K$9586=0,"",INDEX(Clients!$E$2:$E$501,$K$9586)&amp;"")),"{date_effet}",$K$9588),"{hausse}",$K$9589),"{civilite}",$K$9587)</f>
        <v>À compter du 1er janvier 2027, vos honoraires annuels hors taxes évolueront ainsi (évolution globale : ) :</v>
      </c>
      <c r="C9610" s="37"/>
      <c r="D9610" s="37"/>
      <c r="E9610" s="37"/>
      <c r="F9610" s="37"/>
      <c r="J9610" s="25"/>
      <c r="K9610" s="25"/>
      <c r="L9610" s="25"/>
      <c r="M9610" s="25"/>
      <c r="N9610" s="25"/>
      <c r="O9610" s="25"/>
    </row>
    <row r="9611" customFormat="false" ht="3.75" hidden="false" customHeight="true" outlineLevel="0" collapsed="false">
      <c r="B9611" s="10"/>
      <c r="C9611" s="10"/>
      <c r="D9611" s="10"/>
      <c r="E9611" s="10"/>
      <c r="F9611" s="10"/>
      <c r="J9611" s="25"/>
      <c r="K9611" s="25"/>
      <c r="L9611" s="25"/>
      <c r="M9611" s="25"/>
      <c r="N9611" s="25"/>
      <c r="O9611" s="25"/>
    </row>
    <row r="9612" customFormat="false" ht="18" hidden="false" customHeight="true" outlineLevel="0" collapsed="false">
      <c r="B9612" s="38" t="s">
        <v>148</v>
      </c>
      <c r="C9612" s="39" t="s">
        <v>149</v>
      </c>
      <c r="D9612" s="39" t="s">
        <v>150</v>
      </c>
      <c r="E9612" s="39" t="s">
        <v>151</v>
      </c>
      <c r="F9612" s="39" t="s">
        <v>109</v>
      </c>
      <c r="J9612" s="25" t="s">
        <v>152</v>
      </c>
      <c r="K9612" s="25" t="s">
        <v>153</v>
      </c>
      <c r="L9612" s="25" t="s">
        <v>154</v>
      </c>
      <c r="M9612" s="25" t="s">
        <v>155</v>
      </c>
      <c r="N9612" s="25" t="s">
        <v>156</v>
      </c>
      <c r="O9612" s="25" t="s">
        <v>157</v>
      </c>
    </row>
    <row r="9613" customFormat="false" ht="16.5" hidden="false" customHeight="true" outlineLevel="0" collapsed="false">
      <c r="B9613" s="40" t="str">
        <f aca="false">IFERROR(INDEX($J$9613:$J$9616,MATCH($O9613,$N$9613:$N$9616,0)),"")</f>
        <v/>
      </c>
      <c r="C9613" s="41" t="str">
        <f aca="false">IFERROR(INDEX($K$9613:$K$9616,MATCH($O9613,$N$9613:$N$9616,0)),"")</f>
        <v/>
      </c>
      <c r="D9613" s="42" t="str">
        <f aca="false">IF(OR(E9613="",N(C9613)=0),"",E9613/C9613-1)</f>
        <v/>
      </c>
      <c r="E9613" s="41" t="str">
        <f aca="false">IFERROR(INDEX($L$9613:$L$9616,MATCH($O9613,$N$9613:$N$9616,0)),"")</f>
        <v/>
      </c>
      <c r="F9613" s="41" t="str">
        <f aca="false">IF(E9613="","",E9613-C9613)</f>
        <v/>
      </c>
      <c r="J9613" s="25" t="str">
        <f aca="false">Lib_Compta</f>
        <v>Mission comptable (tenue, révision, bilan, liasse fiscale)</v>
      </c>
      <c r="K9613" s="25" t="n">
        <f aca="false">IF($K$9586=0,0,N(INDEX(Clients!$K$2:$K$501,$K$9586)))</f>
        <v>0</v>
      </c>
      <c r="L9613" s="25" t="n">
        <f aca="false">IF($K$9586=0,0,N(INDEX(Clients!$P$2:$P$501,$K$9586)))</f>
        <v>0</v>
      </c>
      <c r="M9613" s="25" t="n">
        <f aca="false">IF(OR(K9613&lt;&gt;0,L9613&lt;&gt;0),1,0)</f>
        <v>0</v>
      </c>
      <c r="N9613" s="25" t="str">
        <f aca="false">IF(M9613=1,SUM($M$9613:M9613),"")</f>
        <v/>
      </c>
      <c r="O9613" s="25" t="n">
        <v>1</v>
      </c>
    </row>
    <row r="9614" customFormat="false" ht="16.5" hidden="false" customHeight="true" outlineLevel="0" collapsed="false">
      <c r="B9614" s="40" t="str">
        <f aca="false">IFERROR(INDEX($J$9613:$J$9616,MATCH($O9614,$N$9613:$N$9616,0)),"")</f>
        <v/>
      </c>
      <c r="C9614" s="41" t="str">
        <f aca="false">IFERROR(INDEX($K$9613:$K$9616,MATCH($O9614,$N$9613:$N$9616,0)),"")</f>
        <v/>
      </c>
      <c r="D9614" s="42" t="str">
        <f aca="false">IF(OR(E9614="",N(C9614)=0),"",E9614/C9614-1)</f>
        <v/>
      </c>
      <c r="E9614" s="41" t="str">
        <f aca="false">IFERROR(INDEX($L$9613:$L$9616,MATCH($O9614,$N$9613:$N$9616,0)),"")</f>
        <v/>
      </c>
      <c r="F9614" s="41" t="str">
        <f aca="false">IF(E9614="","",E9614-C9614)</f>
        <v/>
      </c>
      <c r="J9614" s="25" t="str">
        <f aca="false">Lib_Paye</f>
        <v>Mission sociale (bulletins de paie, DSN, déclarations sociales)</v>
      </c>
      <c r="K9614" s="25" t="n">
        <f aca="false">IF($K$9586=0,0,N(INDEX(Clients!$L$2:$L$501,$K$9586)))</f>
        <v>0</v>
      </c>
      <c r="L9614" s="25" t="n">
        <f aca="false">IF($K$9586=0,0,N(INDEX(Clients!$Q$2:$Q$501,$K$9586)))</f>
        <v>0</v>
      </c>
      <c r="M9614" s="25" t="n">
        <f aca="false">IF(OR(K9614&lt;&gt;0,L9614&lt;&gt;0),1,0)</f>
        <v>0</v>
      </c>
      <c r="N9614" s="25" t="str">
        <f aca="false">IF(M9614=1,SUM($M$9613:M9614),"")</f>
        <v/>
      </c>
      <c r="O9614" s="25" t="n">
        <v>2</v>
      </c>
    </row>
    <row r="9615" customFormat="false" ht="16.5" hidden="false" customHeight="true" outlineLevel="0" collapsed="false">
      <c r="B9615" s="40" t="str">
        <f aca="false">IFERROR(INDEX($J$9613:$J$9616,MATCH($O9615,$N$9613:$N$9616,0)),"")</f>
        <v/>
      </c>
      <c r="C9615" s="41" t="str">
        <f aca="false">IFERROR(INDEX($K$9613:$K$9616,MATCH($O9615,$N$9613:$N$9616,0)),"")</f>
        <v/>
      </c>
      <c r="D9615" s="42" t="str">
        <f aca="false">IF(OR(E9615="",N(C9615)=0),"",E9615/C9615-1)</f>
        <v/>
      </c>
      <c r="E9615" s="41" t="str">
        <f aca="false">IFERROR(INDEX($L$9613:$L$9616,MATCH($O9615,$N$9613:$N$9616,0)),"")</f>
        <v/>
      </c>
      <c r="F9615" s="41" t="str">
        <f aca="false">IF(E9615="","",E9615-C9615)</f>
        <v/>
      </c>
      <c r="J9615" s="25" t="str">
        <f aca="false">Lib_Jur</f>
        <v>Mission juridique (approbation des comptes, secrétariat juridique)</v>
      </c>
      <c r="K9615" s="25" t="n">
        <f aca="false">IF($K$9586=0,0,N(INDEX(Clients!$M$2:$M$501,$K$9586)))</f>
        <v>0</v>
      </c>
      <c r="L9615" s="25" t="n">
        <f aca="false">IF($K$9586=0,0,N(INDEX(Clients!$R$2:$R$501,$K$9586)))</f>
        <v>0</v>
      </c>
      <c r="M9615" s="25" t="n">
        <f aca="false">IF(OR(K9615&lt;&gt;0,L9615&lt;&gt;0),1,0)</f>
        <v>0</v>
      </c>
      <c r="N9615" s="25" t="str">
        <f aca="false">IF(M9615=1,SUM($M$9613:M9615),"")</f>
        <v/>
      </c>
      <c r="O9615" s="25" t="n">
        <v>3</v>
      </c>
    </row>
    <row r="9616" customFormat="false" ht="16.5" hidden="false" customHeight="true" outlineLevel="0" collapsed="false">
      <c r="B9616" s="40" t="str">
        <f aca="false">IFERROR(INDEX($J$9613:$J$9616,MATCH($O9616,$N$9613:$N$9616,0)),"")</f>
        <v/>
      </c>
      <c r="C9616" s="41" t="str">
        <f aca="false">IFERROR(INDEX($K$9613:$K$9616,MATCH($O9616,$N$9613:$N$9616,0)),"")</f>
        <v/>
      </c>
      <c r="D9616" s="42" t="str">
        <f aca="false">IF(OR(E9616="",N(C9616)=0),"",E9616/C9616-1)</f>
        <v/>
      </c>
      <c r="E9616" s="41" t="str">
        <f aca="false">IFERROR(INDEX($L$9613:$L$9616,MATCH($O9616,$N$9613:$N$9616,0)),"")</f>
        <v/>
      </c>
      <c r="F9616" s="41" t="str">
        <f aca="false">IF(E9616="","",E9616-C9616)</f>
        <v/>
      </c>
      <c r="J9616" s="25" t="str">
        <f aca="false">Lib_PA</f>
        <v>Plateforme agréée – facturation électronique</v>
      </c>
      <c r="K9616" s="25" t="n">
        <f aca="false">IF($K$9586=0,0,N(INDEX(Clients!$N$2:$N$501,$K$9586)))</f>
        <v>0</v>
      </c>
      <c r="L9616" s="25" t="n">
        <f aca="false">IF($K$9586=0,0,N(INDEX(Clients!$S$2:$S$501,$K$9586)))</f>
        <v>0</v>
      </c>
      <c r="M9616" s="25" t="n">
        <f aca="false">IF(OR(K9616&lt;&gt;0,L9616&lt;&gt;0),1,0)</f>
        <v>0</v>
      </c>
      <c r="N9616" s="25" t="str">
        <f aca="false">IF(M9616=1,SUM($M$9613:M9616),"")</f>
        <v/>
      </c>
      <c r="O9616" s="25" t="n">
        <v>4</v>
      </c>
    </row>
    <row r="9617" customFormat="false" ht="18" hidden="false" customHeight="true" outlineLevel="0" collapsed="false">
      <c r="B9617" s="43" t="s">
        <v>158</v>
      </c>
      <c r="C9617" s="44" t="n">
        <f aca="false">SUM(K9613:K9616)</f>
        <v>0</v>
      </c>
      <c r="D9617" s="45" t="str">
        <f aca="false">IF(N(C9617)=0,"",E9617/C9617-1)</f>
        <v/>
      </c>
      <c r="E9617" s="44" t="n">
        <f aca="false">SUM(L9613:L9616)</f>
        <v>0</v>
      </c>
      <c r="F9617" s="44" t="n">
        <f aca="false">E9617-C9617</f>
        <v>0</v>
      </c>
    </row>
    <row r="9618" customFormat="false" ht="15" hidden="false" customHeight="false" outlineLevel="0" collapsed="false">
      <c r="B9618" s="46" t="str">
        <f aca="false">IF(N(Nb_Mensualites)=0,"","Soit "&amp;FIXED(E9617/Nb_Mensualites,2)&amp;" € HT par échéance ("&amp;Nb_Mensualites&amp;" échéances), "&amp;FIXED(E9617/Nb_Mensualites*(1+Taux_TVA),2)&amp;" € TTC.")</f>
        <v>Soit 0.00 € HT par échéance (12 échéances), 0.00 € TTC.</v>
      </c>
      <c r="C9618" s="46"/>
      <c r="D9618" s="46"/>
      <c r="E9618" s="46"/>
      <c r="F9618" s="46"/>
    </row>
    <row r="9619" customFormat="false" ht="7.5" hidden="false" customHeight="true" outlineLevel="0" collapsed="false">
      <c r="B9619" s="10"/>
      <c r="C9619" s="10"/>
      <c r="D9619" s="10"/>
      <c r="E9619" s="10"/>
      <c r="F9619" s="10"/>
    </row>
    <row r="9620" customFormat="false" ht="36.75" hidden="false" customHeight="true" outlineLevel="0" collapsed="false">
      <c r="B9620" s="37" t="str">
        <f aca="false">SUBSTITUTE(SUBSTITUTE(SUBSTITUTE(SUBSTITUTE(SUBSTITUTE(Txt_P5,"{cabinet}",Cab_Nom),"{societe}",IF($K$9586=0,"",INDEX(Clients!$E$2:$E$501,$K$9586)&amp;"")),"{date_effet}",$K$9588),"{hausse}",$K$9589),"{civilite}",$K$9587)</f>
        <v>Les autres conditions de votre lettre de mission demeurent inchangées. Les nouveaux montants seront appliqués automatiquement sur vos prochaines factures et échéances de prélèvement.</v>
      </c>
      <c r="C9620" s="37"/>
      <c r="D9620" s="37"/>
      <c r="E9620" s="37"/>
      <c r="F9620" s="37"/>
    </row>
    <row r="9621" customFormat="false" ht="36.75" hidden="false" customHeight="true" outlineLevel="0" collapsed="false">
      <c r="B9621" s="37" t="str">
        <f aca="false">SUBSTITUTE(SUBSTITUTE(SUBSTITUTE(SUBSTITUTE(SUBSTITUTE(Txt_P6,"{cabinet}",Cab_Nom),"{societe}",IF($K$9586=0,"",INDEX(Clients!$E$2:$E$501,$K$9586)&amp;"")),"{date_effet}",$K$9588),"{hausse}",$K$9589),"{civilite}",$K$9587)</f>
        <v>Votre interlocuteur habituel reste à votre entière disposition pour répondre à vos questions et faire le point sur l'évolution de vos besoins.</v>
      </c>
      <c r="C9621" s="37"/>
      <c r="D9621" s="37"/>
      <c r="E9621" s="37"/>
      <c r="F9621" s="37"/>
    </row>
    <row r="9622" customFormat="false" ht="24" hidden="false" customHeight="true" outlineLevel="0" collapsed="false">
      <c r="B9622" s="37" t="str">
        <f aca="false">SUBSTITUTE(SUBSTITUTE(SUBSTITUTE(SUBSTITUTE(SUBSTITUTE(Txt_Politesse,"{cabinet}",Cab_Nom),"{societe}",IF($K$9586=0,"",INDEX(Clients!$E$2:$E$501,$K$9586)&amp;"")),"{date_effet}",$K$9588),"{hausse}",$K$9589),"{civilite}",$K$9587)</f>
        <v>Nous vous prions d'agréer, Madame, Monsieur, l'expression de nos salutations distinguées.</v>
      </c>
      <c r="C9622" s="37"/>
      <c r="D9622" s="37"/>
      <c r="E9622" s="37"/>
      <c r="F9622" s="37"/>
    </row>
    <row r="9623" customFormat="false" ht="15" hidden="false" customHeight="false" outlineLevel="0" collapsed="false">
      <c r="B9623" s="10"/>
      <c r="C9623" s="10"/>
      <c r="D9623" s="10"/>
      <c r="E9623" s="10"/>
      <c r="F9623" s="10"/>
    </row>
    <row r="9624" customFormat="false" ht="15" hidden="false" customHeight="false" outlineLevel="0" collapsed="false">
      <c r="B9624" s="10"/>
      <c r="C9624" s="10"/>
      <c r="D9624" s="34" t="str">
        <f aca="false">Signataire</f>
        <v>Prénom NOM</v>
      </c>
      <c r="E9624" s="34"/>
      <c r="F9624" s="34"/>
    </row>
    <row r="9625" customFormat="false" ht="15" hidden="false" customHeight="false" outlineLevel="0" collapsed="false">
      <c r="B9625" s="10"/>
      <c r="C9625" s="10"/>
      <c r="D9625" s="47" t="str">
        <f aca="false">Signataire_Titre</f>
        <v>Expert-comptable associé</v>
      </c>
      <c r="E9625" s="47"/>
      <c r="F9625" s="47"/>
    </row>
    <row r="9626" customFormat="false" ht="15.75" hidden="false" customHeight="true" outlineLevel="0" collapsed="false">
      <c r="B9626" s="10"/>
      <c r="C9626" s="10"/>
      <c r="D9626" s="10"/>
      <c r="E9626" s="10"/>
      <c r="F9626" s="10"/>
    </row>
    <row r="9627" customFormat="false" ht="15.75" hidden="false" customHeight="true" outlineLevel="0" collapsed="false">
      <c r="B9627" s="10"/>
      <c r="C9627" s="10"/>
      <c r="D9627" s="10"/>
      <c r="E9627" s="10"/>
      <c r="F9627" s="10"/>
    </row>
    <row r="9628" customFormat="false" ht="15.75" hidden="false" customHeight="true" outlineLevel="0" collapsed="false">
      <c r="B9628" s="10"/>
      <c r="C9628" s="10"/>
      <c r="D9628" s="10"/>
      <c r="E9628" s="10"/>
      <c r="F9628" s="10"/>
    </row>
    <row r="9629" customFormat="false" ht="15.75" hidden="false" customHeight="true" outlineLevel="0" collapsed="false">
      <c r="B9629" s="10"/>
      <c r="C9629" s="10"/>
      <c r="D9629" s="10"/>
      <c r="E9629" s="10"/>
      <c r="F9629" s="10"/>
    </row>
    <row r="9630" customFormat="false" ht="24" hidden="false" customHeight="true" outlineLevel="0" collapsed="false">
      <c r="B9630" s="48" t="str">
        <f aca="false">Cab_Mentions</f>
        <v>ALTHO EXPERTISE · SAS au capital de 10 000 € · RCS Pontoise 919 706 325 · TVA FR62919706325 · Société d'expertise comptable inscrite au Tableau de l'Ordre des experts-comptables de Paris Île-de-France</v>
      </c>
      <c r="C9630" s="48"/>
      <c r="D9630" s="48"/>
      <c r="E9630" s="48"/>
      <c r="F9630" s="48"/>
    </row>
    <row r="9631" customFormat="false" ht="15" hidden="false" customHeight="false" outlineLevel="0" collapsed="false">
      <c r="B9631" s="10"/>
      <c r="C9631" s="10"/>
      <c r="D9631" s="10"/>
      <c r="E9631" s="10"/>
      <c r="F9631" s="10"/>
      <c r="J9631" s="25" t="s">
        <v>142</v>
      </c>
      <c r="K9631" s="25" t="n">
        <f aca="false">IFERROR(MATCH(215,Clients!$Z$2:$Z$501,0),0)</f>
        <v>0</v>
      </c>
      <c r="L9631" s="25"/>
      <c r="M9631" s="25"/>
      <c r="N9631" s="25"/>
      <c r="O9631" s="25"/>
    </row>
    <row r="9632" customFormat="false" ht="21.75" hidden="false" customHeight="true" outlineLevel="0" collapsed="false">
      <c r="B9632" s="26" t="str">
        <f aca="false">Cab_Nom</f>
        <v>ALTHO EXPERTISE</v>
      </c>
      <c r="C9632" s="26"/>
      <c r="D9632" s="10"/>
      <c r="E9632" s="27" t="str">
        <f aca="false">IF($K$9631=0,"","Réf. client : "&amp;INDEX(Clients!$A$2:$A$501,$K$9631))</f>
        <v/>
      </c>
      <c r="F9632" s="27"/>
      <c r="J9632" s="25" t="s">
        <v>144</v>
      </c>
      <c r="K9632" s="25" t="str">
        <f aca="false">IF(IF($K$9631=0,"",INDEX(Clients!$B$2:$B$501,$K$9631)&amp;"")="Mme","Madame",IF(IF($K$9631=0,"",INDEX(Clients!$B$2:$B$501,$K$9631)&amp;"")="M.","Monsieur","Madame, Monsieur"))</f>
        <v>Madame, Monsieur</v>
      </c>
      <c r="L9632" s="25"/>
      <c r="M9632" s="25"/>
      <c r="N9632" s="25"/>
      <c r="O9632" s="25"/>
    </row>
    <row r="9633" customFormat="false" ht="15" hidden="false" customHeight="false" outlineLevel="0" collapsed="false">
      <c r="B9633" s="29" t="str">
        <f aca="false">Cab_Adr1</f>
        <v>141 rue Charles de Gaulle</v>
      </c>
      <c r="C9633" s="29"/>
      <c r="D9633" s="10"/>
      <c r="E9633" s="10"/>
      <c r="F9633" s="10"/>
      <c r="J9633" s="25" t="s">
        <v>145</v>
      </c>
      <c r="K9633" s="25" t="str">
        <f aca="false">DAY(Date_Effet)&amp;IF(DAY(Date_Effet)=1,"er","")&amp;" "&amp;INDEX(Liste_Mois,MONTH(Date_Effet))&amp;" "&amp;YEAR(Date_Effet)</f>
        <v>1er janvier 2027</v>
      </c>
      <c r="L9633" s="25"/>
      <c r="M9633" s="25"/>
      <c r="N9633" s="25"/>
      <c r="O9633" s="25"/>
    </row>
    <row r="9634" customFormat="false" ht="15" hidden="false" customHeight="false" outlineLevel="0" collapsed="false">
      <c r="B9634" s="29" t="str">
        <f aca="false">Cab_CPVille</f>
        <v>95130 LE PLESSIS-BOUCHARD</v>
      </c>
      <c r="C9634" s="29"/>
      <c r="D9634" s="10"/>
      <c r="E9634" s="10"/>
      <c r="F9634" s="10"/>
      <c r="J9634" s="25" t="s">
        <v>146</v>
      </c>
      <c r="K9634" s="25" t="str">
        <f aca="false">IF(SUM($K$9658:$K$9661)=0,"",FIXED((SUM($L$9658:$L$9661)/SUM($K$9658:$K$9661)-1)*100,1)&amp;" %")</f>
        <v/>
      </c>
      <c r="L9634" s="25"/>
      <c r="M9634" s="25"/>
      <c r="N9634" s="25"/>
      <c r="O9634" s="25"/>
    </row>
    <row r="9635" customFormat="false" ht="15" hidden="false" customHeight="false" outlineLevel="0" collapsed="false">
      <c r="B9635" s="29" t="str">
        <f aca="false">Cab_Contact</f>
        <v>Tél. 01 34 14 53 45  ·  altho@altho-experts.com  ·  altho-experts.com</v>
      </c>
      <c r="C9635" s="29"/>
      <c r="D9635" s="10"/>
      <c r="E9635" s="10"/>
      <c r="F9635" s="10"/>
      <c r="J9635" s="25"/>
      <c r="K9635" s="25"/>
      <c r="L9635" s="25"/>
      <c r="M9635" s="25"/>
      <c r="N9635" s="25"/>
      <c r="O9635" s="25"/>
    </row>
    <row r="9636" customFormat="false" ht="6" hidden="false" customHeight="true" outlineLevel="0" collapsed="false">
      <c r="B9636" s="32"/>
      <c r="C9636" s="32"/>
      <c r="D9636" s="32"/>
      <c r="E9636" s="32"/>
      <c r="F9636" s="32"/>
      <c r="J9636" s="25"/>
      <c r="K9636" s="25"/>
      <c r="L9636" s="25"/>
      <c r="M9636" s="25"/>
      <c r="N9636" s="25"/>
      <c r="O9636" s="25"/>
    </row>
    <row r="9637" customFormat="false" ht="13.5" hidden="false" customHeight="true" outlineLevel="0" collapsed="false">
      <c r="B9637" s="10"/>
      <c r="C9637" s="10"/>
      <c r="D9637" s="10"/>
      <c r="E9637" s="10"/>
      <c r="F9637" s="10"/>
      <c r="J9637" s="25"/>
      <c r="K9637" s="25"/>
      <c r="L9637" s="25"/>
      <c r="M9637" s="25"/>
      <c r="N9637" s="25"/>
      <c r="O9637" s="25"/>
    </row>
    <row r="9638" customFormat="false" ht="13.5" hidden="false" customHeight="true" outlineLevel="0" collapsed="false">
      <c r="B9638" s="10"/>
      <c r="C9638" s="10"/>
      <c r="D9638" s="10"/>
      <c r="E9638" s="10"/>
      <c r="F9638" s="10"/>
      <c r="J9638" s="25"/>
      <c r="K9638" s="25"/>
      <c r="L9638" s="25"/>
      <c r="M9638" s="25"/>
      <c r="N9638" s="25"/>
      <c r="O9638" s="25"/>
    </row>
    <row r="9639" customFormat="false" ht="13.5" hidden="false" customHeight="true" outlineLevel="0" collapsed="false">
      <c r="B9639" s="10"/>
      <c r="C9639" s="10"/>
      <c r="D9639" s="10"/>
      <c r="E9639" s="10"/>
      <c r="F9639" s="10"/>
      <c r="J9639" s="25"/>
      <c r="K9639" s="25"/>
      <c r="L9639" s="25"/>
      <c r="M9639" s="25"/>
      <c r="N9639" s="25"/>
      <c r="O9639" s="25"/>
    </row>
    <row r="9640" customFormat="false" ht="15" hidden="false" customHeight="true" outlineLevel="0" collapsed="false">
      <c r="B9640" s="10"/>
      <c r="C9640" s="10"/>
      <c r="D9640" s="34" t="str">
        <f aca="false">IF($K$9631=0,"",INDEX(Clients!$E$2:$E$501,$K$9631)&amp;"")</f>
        <v/>
      </c>
      <c r="E9640" s="34"/>
      <c r="F9640" s="34"/>
      <c r="J9640" s="25"/>
      <c r="K9640" s="25"/>
      <c r="L9640" s="25"/>
      <c r="M9640" s="25"/>
      <c r="N9640" s="25"/>
      <c r="O9640" s="25"/>
    </row>
    <row r="9641" customFormat="false" ht="15" hidden="false" customHeight="true" outlineLevel="0" collapsed="false">
      <c r="B9641" s="10"/>
      <c r="C9641" s="10"/>
      <c r="D9641" s="35" t="str">
        <f aca="false">IF(IF($K$9631=0,"",INDEX(Clients!$D$2:$D$501,$K$9631)&amp;"")="","","À l'attention de "&amp;TRIM(IF($K$9631=0,"",INDEX(Clients!$B$2:$B$501,$K$9631)&amp;"")&amp;" "&amp;IF($K$9631=0,"",INDEX(Clients!$C$2:$C$501,$K$9631)&amp;"")&amp;" "&amp;IF($K$9631=0,"",INDEX(Clients!$D$2:$D$501,$K$9631)&amp;"")))</f>
        <v/>
      </c>
      <c r="E9641" s="35"/>
      <c r="F9641" s="35"/>
      <c r="J9641" s="25"/>
      <c r="K9641" s="25"/>
      <c r="L9641" s="25"/>
      <c r="M9641" s="25"/>
      <c r="N9641" s="25"/>
      <c r="O9641" s="25"/>
    </row>
    <row r="9642" customFormat="false" ht="15" hidden="false" customHeight="true" outlineLevel="0" collapsed="false">
      <c r="B9642" s="10"/>
      <c r="C9642" s="10"/>
      <c r="D9642" s="35" t="str">
        <f aca="false">IF($K$9631=0,"",INDEX(Clients!$F$2:$F$501,$K$9631)&amp;"")</f>
        <v/>
      </c>
      <c r="E9642" s="35"/>
      <c r="F9642" s="35"/>
      <c r="J9642" s="25"/>
      <c r="K9642" s="25"/>
      <c r="L9642" s="25"/>
      <c r="M9642" s="25"/>
      <c r="N9642" s="25"/>
      <c r="O9642" s="25"/>
    </row>
    <row r="9643" customFormat="false" ht="15" hidden="false" customHeight="true" outlineLevel="0" collapsed="false">
      <c r="B9643" s="10"/>
      <c r="C9643" s="10"/>
      <c r="D9643" s="35" t="str">
        <f aca="false">IF(IF($K$9631=0,"",INDEX(Clients!$G$2:$G$501,$K$9631)&amp;"")="",TRIM(IF($K$9631=0,"",INDEX(Clients!$H$2:$H$501,$K$9631)&amp;"")&amp;" "&amp;UPPER(IF($K$9631=0,"",INDEX(Clients!$I$2:$I$501,$K$9631)&amp;""))),IF($K$9631=0,"",INDEX(Clients!$G$2:$G$501,$K$9631)&amp;""))</f>
        <v/>
      </c>
      <c r="E9643" s="35"/>
      <c r="F9643" s="35"/>
      <c r="J9643" s="25"/>
      <c r="K9643" s="25"/>
      <c r="L9643" s="25"/>
      <c r="M9643" s="25"/>
      <c r="N9643" s="25"/>
      <c r="O9643" s="25"/>
    </row>
    <row r="9644" customFormat="false" ht="15" hidden="false" customHeight="true" outlineLevel="0" collapsed="false">
      <c r="B9644" s="10"/>
      <c r="C9644" s="10"/>
      <c r="D9644" s="35" t="str">
        <f aca="false">IF(IF($K$9631=0,"",INDEX(Clients!$G$2:$G$501,$K$9631)&amp;"")="","",TRIM(IF($K$9631=0,"",INDEX(Clients!$H$2:$H$501,$K$9631)&amp;"")&amp;" "&amp;UPPER(IF($K$9631=0,"",INDEX(Clients!$I$2:$I$501,$K$9631)&amp;""))))</f>
        <v/>
      </c>
      <c r="E9644" s="35"/>
      <c r="F9644" s="35"/>
      <c r="J9644" s="25"/>
      <c r="K9644" s="25"/>
      <c r="L9644" s="25"/>
      <c r="M9644" s="25"/>
      <c r="N9644" s="25"/>
      <c r="O9644" s="25"/>
    </row>
    <row r="9645" customFormat="false" ht="25.5" hidden="false" customHeight="true" outlineLevel="0" collapsed="false">
      <c r="B9645" s="10"/>
      <c r="C9645" s="10"/>
      <c r="D9645" s="10"/>
      <c r="E9645" s="10"/>
      <c r="F9645" s="10"/>
      <c r="J9645" s="25"/>
      <c r="K9645" s="25"/>
      <c r="L9645" s="25"/>
      <c r="M9645" s="25"/>
      <c r="N9645" s="25"/>
      <c r="O9645" s="25"/>
    </row>
    <row r="9646" customFormat="false" ht="15" hidden="false" customHeight="false" outlineLevel="0" collapsed="false">
      <c r="B9646" s="10"/>
      <c r="C9646" s="10"/>
      <c r="D9646" s="36" t="str">
        <f aca="false">Cab_Ville&amp;", le "&amp;DAY(Date_Courrier)&amp;IF(DAY(Date_Courrier)=1,"er","")&amp;" "&amp;INDEX(Liste_Mois,MONTH(Date_Courrier))&amp;" "&amp;YEAR(Date_Courrier)</f>
        <v>Le Plessis-Bouchard, le 22 septembre 2026</v>
      </c>
      <c r="E9646" s="36"/>
      <c r="F9646" s="36"/>
      <c r="J9646" s="25"/>
      <c r="K9646" s="25"/>
      <c r="L9646" s="25"/>
      <c r="M9646" s="25"/>
      <c r="N9646" s="25"/>
      <c r="O9646" s="25"/>
    </row>
    <row r="9647" customFormat="false" ht="19.5" hidden="false" customHeight="true" outlineLevel="0" collapsed="false">
      <c r="B9647" s="10"/>
      <c r="C9647" s="10"/>
      <c r="D9647" s="10"/>
      <c r="E9647" s="10"/>
      <c r="F9647" s="10"/>
      <c r="J9647" s="25"/>
      <c r="K9647" s="25"/>
      <c r="L9647" s="25"/>
      <c r="M9647" s="25"/>
      <c r="N9647" s="25"/>
      <c r="O9647" s="25"/>
    </row>
    <row r="9648" customFormat="false" ht="15" hidden="false" customHeight="false" outlineLevel="0" collapsed="false">
      <c r="B9648" s="34" t="str">
        <f aca="false">SUBSTITUTE(SUBSTITUTE(SUBSTITUTE(SUBSTITUTE(SUBSTITUTE(Txt_Objet,"{cabinet}",Cab_Nom),"{societe}",IF($K$9631=0,"",INDEX(Clients!$E$2:$E$501,$K$9631)&amp;"")),"{date_effet}",$K$9633),"{hausse}",$K$9634),"{civilite}",$K$9632)</f>
        <v>Objet : révision de nos honoraires au 1er janvier 2027</v>
      </c>
      <c r="C9648" s="34"/>
      <c r="D9648" s="34"/>
      <c r="E9648" s="34"/>
      <c r="F9648" s="34"/>
      <c r="J9648" s="25"/>
      <c r="K9648" s="25"/>
      <c r="L9648" s="25"/>
      <c r="M9648" s="25"/>
      <c r="N9648" s="25"/>
      <c r="O9648" s="25"/>
    </row>
    <row r="9649" customFormat="false" ht="13.5" hidden="false" customHeight="true" outlineLevel="0" collapsed="false">
      <c r="B9649" s="10"/>
      <c r="C9649" s="10"/>
      <c r="D9649" s="10"/>
      <c r="E9649" s="10"/>
      <c r="F9649" s="10"/>
      <c r="J9649" s="25"/>
      <c r="K9649" s="25"/>
      <c r="L9649" s="25"/>
      <c r="M9649" s="25"/>
      <c r="N9649" s="25"/>
      <c r="O9649" s="25"/>
    </row>
    <row r="9650" customFormat="false" ht="15" hidden="false" customHeight="false" outlineLevel="0" collapsed="false">
      <c r="B9650" s="10" t="str">
        <f aca="false">$K$9632&amp;","</f>
        <v>Madame, Monsieur,</v>
      </c>
      <c r="C9650" s="10"/>
      <c r="D9650" s="10"/>
      <c r="E9650" s="10"/>
      <c r="F9650" s="10"/>
      <c r="J9650" s="25"/>
      <c r="K9650" s="25"/>
      <c r="L9650" s="25"/>
      <c r="M9650" s="25"/>
      <c r="N9650" s="25"/>
      <c r="O9650" s="25"/>
    </row>
    <row r="9651" customFormat="false" ht="6" hidden="false" customHeight="true" outlineLevel="0" collapsed="false">
      <c r="B9651" s="10"/>
      <c r="C9651" s="10"/>
      <c r="D9651" s="10"/>
      <c r="E9651" s="10"/>
      <c r="F9651" s="10"/>
      <c r="J9651" s="25"/>
      <c r="K9651" s="25"/>
      <c r="L9651" s="25"/>
      <c r="M9651" s="25"/>
      <c r="N9651" s="25"/>
      <c r="O9651" s="25"/>
    </row>
    <row r="9652" customFormat="false" ht="36.75" hidden="false" customHeight="true" outlineLevel="0" collapsed="false">
      <c r="B9652" s="37" t="str">
        <f aca="false">SUBSTITUTE(SUBSTITUTE(SUBSTITUTE(SUBSTITUTE(SUBSTITUTE(Txt_P1,"{cabinet}",Cab_Nom),"{societe}",IF($K$9631=0,"",INDEX(Clients!$E$2:$E$501,$K$9631)&amp;"")),"{date_effet}",$K$9633),"{hausse}",$K$9634),"{civilite}",$K$9632)</f>
        <v>Nous tenons tout d'abord à vous remercier pour la confiance que vous accordez à ALTHO EXPERTISE. Comme chaque année, et conformément aux dispositions de votre lettre de mission, nous procédons à la révision de nos honoraires.</v>
      </c>
      <c r="C9652" s="37"/>
      <c r="D9652" s="37"/>
      <c r="E9652" s="37"/>
      <c r="F9652" s="37"/>
      <c r="J9652" s="25"/>
      <c r="K9652" s="25"/>
      <c r="L9652" s="25"/>
      <c r="M9652" s="25"/>
      <c r="N9652" s="25"/>
      <c r="O9652" s="25"/>
    </row>
    <row r="9653" customFormat="false" ht="49.5" hidden="false" customHeight="true" outlineLevel="0" collapsed="false">
      <c r="B9653" s="37" t="str">
        <f aca="false">SUBSTITUTE(SUBSTITUTE(SUBSTITUTE(SUBSTITUTE(SUBSTITUTE(Txt_P2,"{cabinet}",Cab_Nom),"{societe}",IF($K$9631=0,"",INDEX(Clients!$E$2:$E$501,$K$9631)&amp;"")),"{date_effet}",$K$9633),"{hausse}",$K$9634),"{civilite}",$K$9632)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653" s="37"/>
      <c r="D9653" s="37"/>
      <c r="E9653" s="37"/>
      <c r="F9653" s="37"/>
      <c r="J9653" s="25"/>
      <c r="K9653" s="25"/>
      <c r="L9653" s="25"/>
      <c r="M9653" s="25"/>
      <c r="N9653" s="25"/>
      <c r="O9653" s="25"/>
    </row>
    <row r="9654" customFormat="false" ht="63" hidden="false" customHeight="true" outlineLevel="0" collapsed="false">
      <c r="B9654" s="37" t="str">
        <f aca="false">SUBSTITUTE(SUBSTITUTE(SUBSTITUTE(SUBSTITUTE(SUBSTITUTE(Txt_P3,"{cabinet}",Cab_Nom),"{societe}",IF($K$9631=0,"",INDEX(Clients!$E$2:$E$501,$K$9631)&amp;"")),"{date_effet}",$K$9633),"{hausse}",$K$9634),"{civilite}",$K$9632)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654" s="37"/>
      <c r="D9654" s="37"/>
      <c r="E9654" s="37"/>
      <c r="F9654" s="37"/>
      <c r="J9654" s="25"/>
      <c r="K9654" s="25"/>
      <c r="L9654" s="25"/>
      <c r="M9654" s="25"/>
      <c r="N9654" s="25"/>
      <c r="O9654" s="25"/>
    </row>
    <row r="9655" customFormat="false" ht="24" hidden="false" customHeight="true" outlineLevel="0" collapsed="false">
      <c r="B9655" s="37" t="str">
        <f aca="false">SUBSTITUTE(SUBSTITUTE(SUBSTITUTE(SUBSTITUTE(SUBSTITUTE(Txt_P4,"{cabinet}",Cab_Nom),"{societe}",IF($K$9631=0,"",INDEX(Clients!$E$2:$E$501,$K$9631)&amp;"")),"{date_effet}",$K$9633),"{hausse}",$K$9634),"{civilite}",$K$9632)</f>
        <v>À compter du 1er janvier 2027, vos honoraires annuels hors taxes évolueront ainsi (évolution globale : ) :</v>
      </c>
      <c r="C9655" s="37"/>
      <c r="D9655" s="37"/>
      <c r="E9655" s="37"/>
      <c r="F9655" s="37"/>
      <c r="J9655" s="25"/>
      <c r="K9655" s="25"/>
      <c r="L9655" s="25"/>
      <c r="M9655" s="25"/>
      <c r="N9655" s="25"/>
      <c r="O9655" s="25"/>
    </row>
    <row r="9656" customFormat="false" ht="3.75" hidden="false" customHeight="true" outlineLevel="0" collapsed="false">
      <c r="B9656" s="10"/>
      <c r="C9656" s="10"/>
      <c r="D9656" s="10"/>
      <c r="E9656" s="10"/>
      <c r="F9656" s="10"/>
      <c r="J9656" s="25"/>
      <c r="K9656" s="25"/>
      <c r="L9656" s="25"/>
      <c r="M9656" s="25"/>
      <c r="N9656" s="25"/>
      <c r="O9656" s="25"/>
    </row>
    <row r="9657" customFormat="false" ht="18" hidden="false" customHeight="true" outlineLevel="0" collapsed="false">
      <c r="B9657" s="38" t="s">
        <v>148</v>
      </c>
      <c r="C9657" s="39" t="s">
        <v>149</v>
      </c>
      <c r="D9657" s="39" t="s">
        <v>150</v>
      </c>
      <c r="E9657" s="39" t="s">
        <v>151</v>
      </c>
      <c r="F9657" s="39" t="s">
        <v>109</v>
      </c>
      <c r="J9657" s="25" t="s">
        <v>152</v>
      </c>
      <c r="K9657" s="25" t="s">
        <v>153</v>
      </c>
      <c r="L9657" s="25" t="s">
        <v>154</v>
      </c>
      <c r="M9657" s="25" t="s">
        <v>155</v>
      </c>
      <c r="N9657" s="25" t="s">
        <v>156</v>
      </c>
      <c r="O9657" s="25" t="s">
        <v>157</v>
      </c>
    </row>
    <row r="9658" customFormat="false" ht="16.5" hidden="false" customHeight="true" outlineLevel="0" collapsed="false">
      <c r="B9658" s="40" t="str">
        <f aca="false">IFERROR(INDEX($J$9658:$J$9661,MATCH($O9658,$N$9658:$N$9661,0)),"")</f>
        <v/>
      </c>
      <c r="C9658" s="41" t="str">
        <f aca="false">IFERROR(INDEX($K$9658:$K$9661,MATCH($O9658,$N$9658:$N$9661,0)),"")</f>
        <v/>
      </c>
      <c r="D9658" s="42" t="str">
        <f aca="false">IF(OR(E9658="",N(C9658)=0),"",E9658/C9658-1)</f>
        <v/>
      </c>
      <c r="E9658" s="41" t="str">
        <f aca="false">IFERROR(INDEX($L$9658:$L$9661,MATCH($O9658,$N$9658:$N$9661,0)),"")</f>
        <v/>
      </c>
      <c r="F9658" s="41" t="str">
        <f aca="false">IF(E9658="","",E9658-C9658)</f>
        <v/>
      </c>
      <c r="J9658" s="25" t="str">
        <f aca="false">Lib_Compta</f>
        <v>Mission comptable (tenue, révision, bilan, liasse fiscale)</v>
      </c>
      <c r="K9658" s="25" t="n">
        <f aca="false">IF($K$9631=0,0,N(INDEX(Clients!$K$2:$K$501,$K$9631)))</f>
        <v>0</v>
      </c>
      <c r="L9658" s="25" t="n">
        <f aca="false">IF($K$9631=0,0,N(INDEX(Clients!$P$2:$P$501,$K$9631)))</f>
        <v>0</v>
      </c>
      <c r="M9658" s="25" t="n">
        <f aca="false">IF(OR(K9658&lt;&gt;0,L9658&lt;&gt;0),1,0)</f>
        <v>0</v>
      </c>
      <c r="N9658" s="25" t="str">
        <f aca="false">IF(M9658=1,SUM($M$9658:M9658),"")</f>
        <v/>
      </c>
      <c r="O9658" s="25" t="n">
        <v>1</v>
      </c>
    </row>
    <row r="9659" customFormat="false" ht="16.5" hidden="false" customHeight="true" outlineLevel="0" collapsed="false">
      <c r="B9659" s="40" t="str">
        <f aca="false">IFERROR(INDEX($J$9658:$J$9661,MATCH($O9659,$N$9658:$N$9661,0)),"")</f>
        <v/>
      </c>
      <c r="C9659" s="41" t="str">
        <f aca="false">IFERROR(INDEX($K$9658:$K$9661,MATCH($O9659,$N$9658:$N$9661,0)),"")</f>
        <v/>
      </c>
      <c r="D9659" s="42" t="str">
        <f aca="false">IF(OR(E9659="",N(C9659)=0),"",E9659/C9659-1)</f>
        <v/>
      </c>
      <c r="E9659" s="41" t="str">
        <f aca="false">IFERROR(INDEX($L$9658:$L$9661,MATCH($O9659,$N$9658:$N$9661,0)),"")</f>
        <v/>
      </c>
      <c r="F9659" s="41" t="str">
        <f aca="false">IF(E9659="","",E9659-C9659)</f>
        <v/>
      </c>
      <c r="J9659" s="25" t="str">
        <f aca="false">Lib_Paye</f>
        <v>Mission sociale (bulletins de paie, DSN, déclarations sociales)</v>
      </c>
      <c r="K9659" s="25" t="n">
        <f aca="false">IF($K$9631=0,0,N(INDEX(Clients!$L$2:$L$501,$K$9631)))</f>
        <v>0</v>
      </c>
      <c r="L9659" s="25" t="n">
        <f aca="false">IF($K$9631=0,0,N(INDEX(Clients!$Q$2:$Q$501,$K$9631)))</f>
        <v>0</v>
      </c>
      <c r="M9659" s="25" t="n">
        <f aca="false">IF(OR(K9659&lt;&gt;0,L9659&lt;&gt;0),1,0)</f>
        <v>0</v>
      </c>
      <c r="N9659" s="25" t="str">
        <f aca="false">IF(M9659=1,SUM($M$9658:M9659),"")</f>
        <v/>
      </c>
      <c r="O9659" s="25" t="n">
        <v>2</v>
      </c>
    </row>
    <row r="9660" customFormat="false" ht="16.5" hidden="false" customHeight="true" outlineLevel="0" collapsed="false">
      <c r="B9660" s="40" t="str">
        <f aca="false">IFERROR(INDEX($J$9658:$J$9661,MATCH($O9660,$N$9658:$N$9661,0)),"")</f>
        <v/>
      </c>
      <c r="C9660" s="41" t="str">
        <f aca="false">IFERROR(INDEX($K$9658:$K$9661,MATCH($O9660,$N$9658:$N$9661,0)),"")</f>
        <v/>
      </c>
      <c r="D9660" s="42" t="str">
        <f aca="false">IF(OR(E9660="",N(C9660)=0),"",E9660/C9660-1)</f>
        <v/>
      </c>
      <c r="E9660" s="41" t="str">
        <f aca="false">IFERROR(INDEX($L$9658:$L$9661,MATCH($O9660,$N$9658:$N$9661,0)),"")</f>
        <v/>
      </c>
      <c r="F9660" s="41" t="str">
        <f aca="false">IF(E9660="","",E9660-C9660)</f>
        <v/>
      </c>
      <c r="J9660" s="25" t="str">
        <f aca="false">Lib_Jur</f>
        <v>Mission juridique (approbation des comptes, secrétariat juridique)</v>
      </c>
      <c r="K9660" s="25" t="n">
        <f aca="false">IF($K$9631=0,0,N(INDEX(Clients!$M$2:$M$501,$K$9631)))</f>
        <v>0</v>
      </c>
      <c r="L9660" s="25" t="n">
        <f aca="false">IF($K$9631=0,0,N(INDEX(Clients!$R$2:$R$501,$K$9631)))</f>
        <v>0</v>
      </c>
      <c r="M9660" s="25" t="n">
        <f aca="false">IF(OR(K9660&lt;&gt;0,L9660&lt;&gt;0),1,0)</f>
        <v>0</v>
      </c>
      <c r="N9660" s="25" t="str">
        <f aca="false">IF(M9660=1,SUM($M$9658:M9660),"")</f>
        <v/>
      </c>
      <c r="O9660" s="25" t="n">
        <v>3</v>
      </c>
    </row>
    <row r="9661" customFormat="false" ht="16.5" hidden="false" customHeight="true" outlineLevel="0" collapsed="false">
      <c r="B9661" s="40" t="str">
        <f aca="false">IFERROR(INDEX($J$9658:$J$9661,MATCH($O9661,$N$9658:$N$9661,0)),"")</f>
        <v/>
      </c>
      <c r="C9661" s="41" t="str">
        <f aca="false">IFERROR(INDEX($K$9658:$K$9661,MATCH($O9661,$N$9658:$N$9661,0)),"")</f>
        <v/>
      </c>
      <c r="D9661" s="42" t="str">
        <f aca="false">IF(OR(E9661="",N(C9661)=0),"",E9661/C9661-1)</f>
        <v/>
      </c>
      <c r="E9661" s="41" t="str">
        <f aca="false">IFERROR(INDEX($L$9658:$L$9661,MATCH($O9661,$N$9658:$N$9661,0)),"")</f>
        <v/>
      </c>
      <c r="F9661" s="41" t="str">
        <f aca="false">IF(E9661="","",E9661-C9661)</f>
        <v/>
      </c>
      <c r="J9661" s="25" t="str">
        <f aca="false">Lib_PA</f>
        <v>Plateforme agréée – facturation électronique</v>
      </c>
      <c r="K9661" s="25" t="n">
        <f aca="false">IF($K$9631=0,0,N(INDEX(Clients!$N$2:$N$501,$K$9631)))</f>
        <v>0</v>
      </c>
      <c r="L9661" s="25" t="n">
        <f aca="false">IF($K$9631=0,0,N(INDEX(Clients!$S$2:$S$501,$K$9631)))</f>
        <v>0</v>
      </c>
      <c r="M9661" s="25" t="n">
        <f aca="false">IF(OR(K9661&lt;&gt;0,L9661&lt;&gt;0),1,0)</f>
        <v>0</v>
      </c>
      <c r="N9661" s="25" t="str">
        <f aca="false">IF(M9661=1,SUM($M$9658:M9661),"")</f>
        <v/>
      </c>
      <c r="O9661" s="25" t="n">
        <v>4</v>
      </c>
    </row>
    <row r="9662" customFormat="false" ht="18" hidden="false" customHeight="true" outlineLevel="0" collapsed="false">
      <c r="B9662" s="43" t="s">
        <v>158</v>
      </c>
      <c r="C9662" s="44" t="n">
        <f aca="false">SUM(K9658:K9661)</f>
        <v>0</v>
      </c>
      <c r="D9662" s="45" t="str">
        <f aca="false">IF(N(C9662)=0,"",E9662/C9662-1)</f>
        <v/>
      </c>
      <c r="E9662" s="44" t="n">
        <f aca="false">SUM(L9658:L9661)</f>
        <v>0</v>
      </c>
      <c r="F9662" s="44" t="n">
        <f aca="false">E9662-C9662</f>
        <v>0</v>
      </c>
    </row>
    <row r="9663" customFormat="false" ht="15" hidden="false" customHeight="false" outlineLevel="0" collapsed="false">
      <c r="B9663" s="46" t="str">
        <f aca="false">IF(N(Nb_Mensualites)=0,"","Soit "&amp;FIXED(E9662/Nb_Mensualites,2)&amp;" € HT par échéance ("&amp;Nb_Mensualites&amp;" échéances), "&amp;FIXED(E9662/Nb_Mensualites*(1+Taux_TVA),2)&amp;" € TTC.")</f>
        <v>Soit 0.00 € HT par échéance (12 échéances), 0.00 € TTC.</v>
      </c>
      <c r="C9663" s="46"/>
      <c r="D9663" s="46"/>
      <c r="E9663" s="46"/>
      <c r="F9663" s="46"/>
    </row>
    <row r="9664" customFormat="false" ht="7.5" hidden="false" customHeight="true" outlineLevel="0" collapsed="false">
      <c r="B9664" s="10"/>
      <c r="C9664" s="10"/>
      <c r="D9664" s="10"/>
      <c r="E9664" s="10"/>
      <c r="F9664" s="10"/>
    </row>
    <row r="9665" customFormat="false" ht="36.75" hidden="false" customHeight="true" outlineLevel="0" collapsed="false">
      <c r="B9665" s="37" t="str">
        <f aca="false">SUBSTITUTE(SUBSTITUTE(SUBSTITUTE(SUBSTITUTE(SUBSTITUTE(Txt_P5,"{cabinet}",Cab_Nom),"{societe}",IF($K$9631=0,"",INDEX(Clients!$E$2:$E$501,$K$9631)&amp;"")),"{date_effet}",$K$9633),"{hausse}",$K$9634),"{civilite}",$K$9632)</f>
        <v>Les autres conditions de votre lettre de mission demeurent inchangées. Les nouveaux montants seront appliqués automatiquement sur vos prochaines factures et échéances de prélèvement.</v>
      </c>
      <c r="C9665" s="37"/>
      <c r="D9665" s="37"/>
      <c r="E9665" s="37"/>
      <c r="F9665" s="37"/>
    </row>
    <row r="9666" customFormat="false" ht="36.75" hidden="false" customHeight="true" outlineLevel="0" collapsed="false">
      <c r="B9666" s="37" t="str">
        <f aca="false">SUBSTITUTE(SUBSTITUTE(SUBSTITUTE(SUBSTITUTE(SUBSTITUTE(Txt_P6,"{cabinet}",Cab_Nom),"{societe}",IF($K$9631=0,"",INDEX(Clients!$E$2:$E$501,$K$9631)&amp;"")),"{date_effet}",$K$9633),"{hausse}",$K$9634),"{civilite}",$K$9632)</f>
        <v>Votre interlocuteur habituel reste à votre entière disposition pour répondre à vos questions et faire le point sur l'évolution de vos besoins.</v>
      </c>
      <c r="C9666" s="37"/>
      <c r="D9666" s="37"/>
      <c r="E9666" s="37"/>
      <c r="F9666" s="37"/>
    </row>
    <row r="9667" customFormat="false" ht="24" hidden="false" customHeight="true" outlineLevel="0" collapsed="false">
      <c r="B9667" s="37" t="str">
        <f aca="false">SUBSTITUTE(SUBSTITUTE(SUBSTITUTE(SUBSTITUTE(SUBSTITUTE(Txt_Politesse,"{cabinet}",Cab_Nom),"{societe}",IF($K$9631=0,"",INDEX(Clients!$E$2:$E$501,$K$9631)&amp;"")),"{date_effet}",$K$9633),"{hausse}",$K$9634),"{civilite}",$K$9632)</f>
        <v>Nous vous prions d'agréer, Madame, Monsieur, l'expression de nos salutations distinguées.</v>
      </c>
      <c r="C9667" s="37"/>
      <c r="D9667" s="37"/>
      <c r="E9667" s="37"/>
      <c r="F9667" s="37"/>
    </row>
    <row r="9668" customFormat="false" ht="15" hidden="false" customHeight="false" outlineLevel="0" collapsed="false">
      <c r="B9668" s="10"/>
      <c r="C9668" s="10"/>
      <c r="D9668" s="10"/>
      <c r="E9668" s="10"/>
      <c r="F9668" s="10"/>
    </row>
    <row r="9669" customFormat="false" ht="15" hidden="false" customHeight="false" outlineLevel="0" collapsed="false">
      <c r="B9669" s="10"/>
      <c r="C9669" s="10"/>
      <c r="D9669" s="34" t="str">
        <f aca="false">Signataire</f>
        <v>Prénom NOM</v>
      </c>
      <c r="E9669" s="34"/>
      <c r="F9669" s="34"/>
    </row>
    <row r="9670" customFormat="false" ht="15" hidden="false" customHeight="false" outlineLevel="0" collapsed="false">
      <c r="B9670" s="10"/>
      <c r="C9670" s="10"/>
      <c r="D9670" s="47" t="str">
        <f aca="false">Signataire_Titre</f>
        <v>Expert-comptable associé</v>
      </c>
      <c r="E9670" s="47"/>
      <c r="F9670" s="47"/>
    </row>
    <row r="9671" customFormat="false" ht="15.75" hidden="false" customHeight="true" outlineLevel="0" collapsed="false">
      <c r="B9671" s="10"/>
      <c r="C9671" s="10"/>
      <c r="D9671" s="10"/>
      <c r="E9671" s="10"/>
      <c r="F9671" s="10"/>
    </row>
    <row r="9672" customFormat="false" ht="15.75" hidden="false" customHeight="true" outlineLevel="0" collapsed="false">
      <c r="B9672" s="10"/>
      <c r="C9672" s="10"/>
      <c r="D9672" s="10"/>
      <c r="E9672" s="10"/>
      <c r="F9672" s="10"/>
    </row>
    <row r="9673" customFormat="false" ht="15.75" hidden="false" customHeight="true" outlineLevel="0" collapsed="false">
      <c r="B9673" s="10"/>
      <c r="C9673" s="10"/>
      <c r="D9673" s="10"/>
      <c r="E9673" s="10"/>
      <c r="F9673" s="10"/>
    </row>
    <row r="9674" customFormat="false" ht="15.75" hidden="false" customHeight="true" outlineLevel="0" collapsed="false">
      <c r="B9674" s="10"/>
      <c r="C9674" s="10"/>
      <c r="D9674" s="10"/>
      <c r="E9674" s="10"/>
      <c r="F9674" s="10"/>
    </row>
    <row r="9675" customFormat="false" ht="24" hidden="false" customHeight="true" outlineLevel="0" collapsed="false">
      <c r="B9675" s="48" t="str">
        <f aca="false">Cab_Mentions</f>
        <v>ALTHO EXPERTISE · SAS au capital de 10 000 € · RCS Pontoise 919 706 325 · TVA FR62919706325 · Société d'expertise comptable inscrite au Tableau de l'Ordre des experts-comptables de Paris Île-de-France</v>
      </c>
      <c r="C9675" s="48"/>
      <c r="D9675" s="48"/>
      <c r="E9675" s="48"/>
      <c r="F9675" s="48"/>
    </row>
    <row r="9676" customFormat="false" ht="15" hidden="false" customHeight="false" outlineLevel="0" collapsed="false">
      <c r="B9676" s="10"/>
      <c r="C9676" s="10"/>
      <c r="D9676" s="10"/>
      <c r="E9676" s="10"/>
      <c r="F9676" s="10"/>
      <c r="J9676" s="25" t="s">
        <v>142</v>
      </c>
      <c r="K9676" s="25" t="n">
        <f aca="false">IFERROR(MATCH(216,Clients!$Z$2:$Z$501,0),0)</f>
        <v>0</v>
      </c>
      <c r="L9676" s="25"/>
      <c r="M9676" s="25"/>
      <c r="N9676" s="25"/>
      <c r="O9676" s="25"/>
    </row>
    <row r="9677" customFormat="false" ht="21.75" hidden="false" customHeight="true" outlineLevel="0" collapsed="false">
      <c r="B9677" s="26" t="str">
        <f aca="false">Cab_Nom</f>
        <v>ALTHO EXPERTISE</v>
      </c>
      <c r="C9677" s="26"/>
      <c r="D9677" s="10"/>
      <c r="E9677" s="27" t="str">
        <f aca="false">IF($K$9676=0,"","Réf. client : "&amp;INDEX(Clients!$A$2:$A$501,$K$9676))</f>
        <v/>
      </c>
      <c r="F9677" s="27"/>
      <c r="J9677" s="25" t="s">
        <v>144</v>
      </c>
      <c r="K9677" s="25" t="str">
        <f aca="false">IF(IF($K$9676=0,"",INDEX(Clients!$B$2:$B$501,$K$9676)&amp;"")="Mme","Madame",IF(IF($K$9676=0,"",INDEX(Clients!$B$2:$B$501,$K$9676)&amp;"")="M.","Monsieur","Madame, Monsieur"))</f>
        <v>Madame, Monsieur</v>
      </c>
      <c r="L9677" s="25"/>
      <c r="M9677" s="25"/>
      <c r="N9677" s="25"/>
      <c r="O9677" s="25"/>
    </row>
    <row r="9678" customFormat="false" ht="15" hidden="false" customHeight="false" outlineLevel="0" collapsed="false">
      <c r="B9678" s="29" t="str">
        <f aca="false">Cab_Adr1</f>
        <v>141 rue Charles de Gaulle</v>
      </c>
      <c r="C9678" s="29"/>
      <c r="D9678" s="10"/>
      <c r="E9678" s="10"/>
      <c r="F9678" s="10"/>
      <c r="J9678" s="25" t="s">
        <v>145</v>
      </c>
      <c r="K9678" s="25" t="str">
        <f aca="false">DAY(Date_Effet)&amp;IF(DAY(Date_Effet)=1,"er","")&amp;" "&amp;INDEX(Liste_Mois,MONTH(Date_Effet))&amp;" "&amp;YEAR(Date_Effet)</f>
        <v>1er janvier 2027</v>
      </c>
      <c r="L9678" s="25"/>
      <c r="M9678" s="25"/>
      <c r="N9678" s="25"/>
      <c r="O9678" s="25"/>
    </row>
    <row r="9679" customFormat="false" ht="15" hidden="false" customHeight="false" outlineLevel="0" collapsed="false">
      <c r="B9679" s="29" t="str">
        <f aca="false">Cab_CPVille</f>
        <v>95130 LE PLESSIS-BOUCHARD</v>
      </c>
      <c r="C9679" s="29"/>
      <c r="D9679" s="10"/>
      <c r="E9679" s="10"/>
      <c r="F9679" s="10"/>
      <c r="J9679" s="25" t="s">
        <v>146</v>
      </c>
      <c r="K9679" s="25" t="str">
        <f aca="false">IF(SUM($K$9703:$K$9706)=0,"",FIXED((SUM($L$9703:$L$9706)/SUM($K$9703:$K$9706)-1)*100,1)&amp;" %")</f>
        <v/>
      </c>
      <c r="L9679" s="25"/>
      <c r="M9679" s="25"/>
      <c r="N9679" s="25"/>
      <c r="O9679" s="25"/>
    </row>
    <row r="9680" customFormat="false" ht="15" hidden="false" customHeight="false" outlineLevel="0" collapsed="false">
      <c r="B9680" s="29" t="str">
        <f aca="false">Cab_Contact</f>
        <v>Tél. 01 34 14 53 45  ·  altho@altho-experts.com  ·  altho-experts.com</v>
      </c>
      <c r="C9680" s="29"/>
      <c r="D9680" s="10"/>
      <c r="E9680" s="10"/>
      <c r="F9680" s="10"/>
      <c r="J9680" s="25"/>
      <c r="K9680" s="25"/>
      <c r="L9680" s="25"/>
      <c r="M9680" s="25"/>
      <c r="N9680" s="25"/>
      <c r="O9680" s="25"/>
    </row>
    <row r="9681" customFormat="false" ht="6" hidden="false" customHeight="true" outlineLevel="0" collapsed="false">
      <c r="B9681" s="32"/>
      <c r="C9681" s="32"/>
      <c r="D9681" s="32"/>
      <c r="E9681" s="32"/>
      <c r="F9681" s="32"/>
      <c r="J9681" s="25"/>
      <c r="K9681" s="25"/>
      <c r="L9681" s="25"/>
      <c r="M9681" s="25"/>
      <c r="N9681" s="25"/>
      <c r="O9681" s="25"/>
    </row>
    <row r="9682" customFormat="false" ht="13.5" hidden="false" customHeight="true" outlineLevel="0" collapsed="false">
      <c r="B9682" s="10"/>
      <c r="C9682" s="10"/>
      <c r="D9682" s="10"/>
      <c r="E9682" s="10"/>
      <c r="F9682" s="10"/>
      <c r="J9682" s="25"/>
      <c r="K9682" s="25"/>
      <c r="L9682" s="25"/>
      <c r="M9682" s="25"/>
      <c r="N9682" s="25"/>
      <c r="O9682" s="25"/>
    </row>
    <row r="9683" customFormat="false" ht="13.5" hidden="false" customHeight="true" outlineLevel="0" collapsed="false">
      <c r="B9683" s="10"/>
      <c r="C9683" s="10"/>
      <c r="D9683" s="10"/>
      <c r="E9683" s="10"/>
      <c r="F9683" s="10"/>
      <c r="J9683" s="25"/>
      <c r="K9683" s="25"/>
      <c r="L9683" s="25"/>
      <c r="M9683" s="25"/>
      <c r="N9683" s="25"/>
      <c r="O9683" s="25"/>
    </row>
    <row r="9684" customFormat="false" ht="13.5" hidden="false" customHeight="true" outlineLevel="0" collapsed="false">
      <c r="B9684" s="10"/>
      <c r="C9684" s="10"/>
      <c r="D9684" s="10"/>
      <c r="E9684" s="10"/>
      <c r="F9684" s="10"/>
      <c r="J9684" s="25"/>
      <c r="K9684" s="25"/>
      <c r="L9684" s="25"/>
      <c r="M9684" s="25"/>
      <c r="N9684" s="25"/>
      <c r="O9684" s="25"/>
    </row>
    <row r="9685" customFormat="false" ht="15" hidden="false" customHeight="true" outlineLevel="0" collapsed="false">
      <c r="B9685" s="10"/>
      <c r="C9685" s="10"/>
      <c r="D9685" s="34" t="str">
        <f aca="false">IF($K$9676=0,"",INDEX(Clients!$E$2:$E$501,$K$9676)&amp;"")</f>
        <v/>
      </c>
      <c r="E9685" s="34"/>
      <c r="F9685" s="34"/>
      <c r="J9685" s="25"/>
      <c r="K9685" s="25"/>
      <c r="L9685" s="25"/>
      <c r="M9685" s="25"/>
      <c r="N9685" s="25"/>
      <c r="O9685" s="25"/>
    </row>
    <row r="9686" customFormat="false" ht="15" hidden="false" customHeight="true" outlineLevel="0" collapsed="false">
      <c r="B9686" s="10"/>
      <c r="C9686" s="10"/>
      <c r="D9686" s="35" t="str">
        <f aca="false">IF(IF($K$9676=0,"",INDEX(Clients!$D$2:$D$501,$K$9676)&amp;"")="","","À l'attention de "&amp;TRIM(IF($K$9676=0,"",INDEX(Clients!$B$2:$B$501,$K$9676)&amp;"")&amp;" "&amp;IF($K$9676=0,"",INDEX(Clients!$C$2:$C$501,$K$9676)&amp;"")&amp;" "&amp;IF($K$9676=0,"",INDEX(Clients!$D$2:$D$501,$K$9676)&amp;"")))</f>
        <v/>
      </c>
      <c r="E9686" s="35"/>
      <c r="F9686" s="35"/>
      <c r="J9686" s="25"/>
      <c r="K9686" s="25"/>
      <c r="L9686" s="25"/>
      <c r="M9686" s="25"/>
      <c r="N9686" s="25"/>
      <c r="O9686" s="25"/>
    </row>
    <row r="9687" customFormat="false" ht="15" hidden="false" customHeight="true" outlineLevel="0" collapsed="false">
      <c r="B9687" s="10"/>
      <c r="C9687" s="10"/>
      <c r="D9687" s="35" t="str">
        <f aca="false">IF($K$9676=0,"",INDEX(Clients!$F$2:$F$501,$K$9676)&amp;"")</f>
        <v/>
      </c>
      <c r="E9687" s="35"/>
      <c r="F9687" s="35"/>
      <c r="J9687" s="25"/>
      <c r="K9687" s="25"/>
      <c r="L9687" s="25"/>
      <c r="M9687" s="25"/>
      <c r="N9687" s="25"/>
      <c r="O9687" s="25"/>
    </row>
    <row r="9688" customFormat="false" ht="15" hidden="false" customHeight="true" outlineLevel="0" collapsed="false">
      <c r="B9688" s="10"/>
      <c r="C9688" s="10"/>
      <c r="D9688" s="35" t="str">
        <f aca="false">IF(IF($K$9676=0,"",INDEX(Clients!$G$2:$G$501,$K$9676)&amp;"")="",TRIM(IF($K$9676=0,"",INDEX(Clients!$H$2:$H$501,$K$9676)&amp;"")&amp;" "&amp;UPPER(IF($K$9676=0,"",INDEX(Clients!$I$2:$I$501,$K$9676)&amp;""))),IF($K$9676=0,"",INDEX(Clients!$G$2:$G$501,$K$9676)&amp;""))</f>
        <v/>
      </c>
      <c r="E9688" s="35"/>
      <c r="F9688" s="35"/>
      <c r="J9688" s="25"/>
      <c r="K9688" s="25"/>
      <c r="L9688" s="25"/>
      <c r="M9688" s="25"/>
      <c r="N9688" s="25"/>
      <c r="O9688" s="25"/>
    </row>
    <row r="9689" customFormat="false" ht="15" hidden="false" customHeight="true" outlineLevel="0" collapsed="false">
      <c r="B9689" s="10"/>
      <c r="C9689" s="10"/>
      <c r="D9689" s="35" t="str">
        <f aca="false">IF(IF($K$9676=0,"",INDEX(Clients!$G$2:$G$501,$K$9676)&amp;"")="","",TRIM(IF($K$9676=0,"",INDEX(Clients!$H$2:$H$501,$K$9676)&amp;"")&amp;" "&amp;UPPER(IF($K$9676=0,"",INDEX(Clients!$I$2:$I$501,$K$9676)&amp;""))))</f>
        <v/>
      </c>
      <c r="E9689" s="35"/>
      <c r="F9689" s="35"/>
      <c r="J9689" s="25"/>
      <c r="K9689" s="25"/>
      <c r="L9689" s="25"/>
      <c r="M9689" s="25"/>
      <c r="N9689" s="25"/>
      <c r="O9689" s="25"/>
    </row>
    <row r="9690" customFormat="false" ht="25.5" hidden="false" customHeight="true" outlineLevel="0" collapsed="false">
      <c r="B9690" s="10"/>
      <c r="C9690" s="10"/>
      <c r="D9690" s="10"/>
      <c r="E9690" s="10"/>
      <c r="F9690" s="10"/>
      <c r="J9690" s="25"/>
      <c r="K9690" s="25"/>
      <c r="L9690" s="25"/>
      <c r="M9690" s="25"/>
      <c r="N9690" s="25"/>
      <c r="O9690" s="25"/>
    </row>
    <row r="9691" customFormat="false" ht="15" hidden="false" customHeight="false" outlineLevel="0" collapsed="false">
      <c r="B9691" s="10"/>
      <c r="C9691" s="10"/>
      <c r="D9691" s="36" t="str">
        <f aca="false">Cab_Ville&amp;", le "&amp;DAY(Date_Courrier)&amp;IF(DAY(Date_Courrier)=1,"er","")&amp;" "&amp;INDEX(Liste_Mois,MONTH(Date_Courrier))&amp;" "&amp;YEAR(Date_Courrier)</f>
        <v>Le Plessis-Bouchard, le 22 septembre 2026</v>
      </c>
      <c r="E9691" s="36"/>
      <c r="F9691" s="36"/>
      <c r="J9691" s="25"/>
      <c r="K9691" s="25"/>
      <c r="L9691" s="25"/>
      <c r="M9691" s="25"/>
      <c r="N9691" s="25"/>
      <c r="O9691" s="25"/>
    </row>
    <row r="9692" customFormat="false" ht="19.5" hidden="false" customHeight="true" outlineLevel="0" collapsed="false">
      <c r="B9692" s="10"/>
      <c r="C9692" s="10"/>
      <c r="D9692" s="10"/>
      <c r="E9692" s="10"/>
      <c r="F9692" s="10"/>
      <c r="J9692" s="25"/>
      <c r="K9692" s="25"/>
      <c r="L9692" s="25"/>
      <c r="M9692" s="25"/>
      <c r="N9692" s="25"/>
      <c r="O9692" s="25"/>
    </row>
    <row r="9693" customFormat="false" ht="15" hidden="false" customHeight="false" outlineLevel="0" collapsed="false">
      <c r="B9693" s="34" t="str">
        <f aca="false">SUBSTITUTE(SUBSTITUTE(SUBSTITUTE(SUBSTITUTE(SUBSTITUTE(Txt_Objet,"{cabinet}",Cab_Nom),"{societe}",IF($K$9676=0,"",INDEX(Clients!$E$2:$E$501,$K$9676)&amp;"")),"{date_effet}",$K$9678),"{hausse}",$K$9679),"{civilite}",$K$9677)</f>
        <v>Objet : révision de nos honoraires au 1er janvier 2027</v>
      </c>
      <c r="C9693" s="34"/>
      <c r="D9693" s="34"/>
      <c r="E9693" s="34"/>
      <c r="F9693" s="34"/>
      <c r="J9693" s="25"/>
      <c r="K9693" s="25"/>
      <c r="L9693" s="25"/>
      <c r="M9693" s="25"/>
      <c r="N9693" s="25"/>
      <c r="O9693" s="25"/>
    </row>
    <row r="9694" customFormat="false" ht="13.5" hidden="false" customHeight="true" outlineLevel="0" collapsed="false">
      <c r="B9694" s="10"/>
      <c r="C9694" s="10"/>
      <c r="D9694" s="10"/>
      <c r="E9694" s="10"/>
      <c r="F9694" s="10"/>
      <c r="J9694" s="25"/>
      <c r="K9694" s="25"/>
      <c r="L9694" s="25"/>
      <c r="M9694" s="25"/>
      <c r="N9694" s="25"/>
      <c r="O9694" s="25"/>
    </row>
    <row r="9695" customFormat="false" ht="15" hidden="false" customHeight="false" outlineLevel="0" collapsed="false">
      <c r="B9695" s="10" t="str">
        <f aca="false">$K$9677&amp;","</f>
        <v>Madame, Monsieur,</v>
      </c>
      <c r="C9695" s="10"/>
      <c r="D9695" s="10"/>
      <c r="E9695" s="10"/>
      <c r="F9695" s="10"/>
      <c r="J9695" s="25"/>
      <c r="K9695" s="25"/>
      <c r="L9695" s="25"/>
      <c r="M9695" s="25"/>
      <c r="N9695" s="25"/>
      <c r="O9695" s="25"/>
    </row>
    <row r="9696" customFormat="false" ht="6" hidden="false" customHeight="true" outlineLevel="0" collapsed="false">
      <c r="B9696" s="10"/>
      <c r="C9696" s="10"/>
      <c r="D9696" s="10"/>
      <c r="E9696" s="10"/>
      <c r="F9696" s="10"/>
      <c r="J9696" s="25"/>
      <c r="K9696" s="25"/>
      <c r="L9696" s="25"/>
      <c r="M9696" s="25"/>
      <c r="N9696" s="25"/>
      <c r="O9696" s="25"/>
    </row>
    <row r="9697" customFormat="false" ht="36.75" hidden="false" customHeight="true" outlineLevel="0" collapsed="false">
      <c r="B9697" s="37" t="str">
        <f aca="false">SUBSTITUTE(SUBSTITUTE(SUBSTITUTE(SUBSTITUTE(SUBSTITUTE(Txt_P1,"{cabinet}",Cab_Nom),"{societe}",IF($K$9676=0,"",INDEX(Clients!$E$2:$E$501,$K$9676)&amp;"")),"{date_effet}",$K$9678),"{hausse}",$K$9679),"{civilite}",$K$9677)</f>
        <v>Nous tenons tout d'abord à vous remercier pour la confiance que vous accordez à ALTHO EXPERTISE. Comme chaque année, et conformément aux dispositions de votre lettre de mission, nous procédons à la révision de nos honoraires.</v>
      </c>
      <c r="C9697" s="37"/>
      <c r="D9697" s="37"/>
      <c r="E9697" s="37"/>
      <c r="F9697" s="37"/>
      <c r="J9697" s="25"/>
      <c r="K9697" s="25"/>
      <c r="L9697" s="25"/>
      <c r="M9697" s="25"/>
      <c r="N9697" s="25"/>
      <c r="O9697" s="25"/>
    </row>
    <row r="9698" customFormat="false" ht="49.5" hidden="false" customHeight="true" outlineLevel="0" collapsed="false">
      <c r="B9698" s="37" t="str">
        <f aca="false">SUBSTITUTE(SUBSTITUTE(SUBSTITUTE(SUBSTITUTE(SUBSTITUTE(Txt_P2,"{cabinet}",Cab_Nom),"{societe}",IF($K$9676=0,"",INDEX(Clients!$E$2:$E$501,$K$9676)&amp;"")),"{date_effet}",$K$9678),"{hausse}",$K$9679),"{civilite}",$K$9677)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698" s="37"/>
      <c r="D9698" s="37"/>
      <c r="E9698" s="37"/>
      <c r="F9698" s="37"/>
      <c r="J9698" s="25"/>
      <c r="K9698" s="25"/>
      <c r="L9698" s="25"/>
      <c r="M9698" s="25"/>
      <c r="N9698" s="25"/>
      <c r="O9698" s="25"/>
    </row>
    <row r="9699" customFormat="false" ht="63" hidden="false" customHeight="true" outlineLevel="0" collapsed="false">
      <c r="B9699" s="37" t="str">
        <f aca="false">SUBSTITUTE(SUBSTITUTE(SUBSTITUTE(SUBSTITUTE(SUBSTITUTE(Txt_P3,"{cabinet}",Cab_Nom),"{societe}",IF($K$9676=0,"",INDEX(Clients!$E$2:$E$501,$K$9676)&amp;"")),"{date_effet}",$K$9678),"{hausse}",$K$9679),"{civilite}",$K$9677)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699" s="37"/>
      <c r="D9699" s="37"/>
      <c r="E9699" s="37"/>
      <c r="F9699" s="37"/>
      <c r="J9699" s="25"/>
      <c r="K9699" s="25"/>
      <c r="L9699" s="25"/>
      <c r="M9699" s="25"/>
      <c r="N9699" s="25"/>
      <c r="O9699" s="25"/>
    </row>
    <row r="9700" customFormat="false" ht="24" hidden="false" customHeight="true" outlineLevel="0" collapsed="false">
      <c r="B9700" s="37" t="str">
        <f aca="false">SUBSTITUTE(SUBSTITUTE(SUBSTITUTE(SUBSTITUTE(SUBSTITUTE(Txt_P4,"{cabinet}",Cab_Nom),"{societe}",IF($K$9676=0,"",INDEX(Clients!$E$2:$E$501,$K$9676)&amp;"")),"{date_effet}",$K$9678),"{hausse}",$K$9679),"{civilite}",$K$9677)</f>
        <v>À compter du 1er janvier 2027, vos honoraires annuels hors taxes évolueront ainsi (évolution globale : ) :</v>
      </c>
      <c r="C9700" s="37"/>
      <c r="D9700" s="37"/>
      <c r="E9700" s="37"/>
      <c r="F9700" s="37"/>
      <c r="J9700" s="25"/>
      <c r="K9700" s="25"/>
      <c r="L9700" s="25"/>
      <c r="M9700" s="25"/>
      <c r="N9700" s="25"/>
      <c r="O9700" s="25"/>
    </row>
    <row r="9701" customFormat="false" ht="3.75" hidden="false" customHeight="true" outlineLevel="0" collapsed="false">
      <c r="B9701" s="10"/>
      <c r="C9701" s="10"/>
      <c r="D9701" s="10"/>
      <c r="E9701" s="10"/>
      <c r="F9701" s="10"/>
      <c r="J9701" s="25"/>
      <c r="K9701" s="25"/>
      <c r="L9701" s="25"/>
      <c r="M9701" s="25"/>
      <c r="N9701" s="25"/>
      <c r="O9701" s="25"/>
    </row>
    <row r="9702" customFormat="false" ht="18" hidden="false" customHeight="true" outlineLevel="0" collapsed="false">
      <c r="B9702" s="38" t="s">
        <v>148</v>
      </c>
      <c r="C9702" s="39" t="s">
        <v>149</v>
      </c>
      <c r="D9702" s="39" t="s">
        <v>150</v>
      </c>
      <c r="E9702" s="39" t="s">
        <v>151</v>
      </c>
      <c r="F9702" s="39" t="s">
        <v>109</v>
      </c>
      <c r="J9702" s="25" t="s">
        <v>152</v>
      </c>
      <c r="K9702" s="25" t="s">
        <v>153</v>
      </c>
      <c r="L9702" s="25" t="s">
        <v>154</v>
      </c>
      <c r="M9702" s="25" t="s">
        <v>155</v>
      </c>
      <c r="N9702" s="25" t="s">
        <v>156</v>
      </c>
      <c r="O9702" s="25" t="s">
        <v>157</v>
      </c>
    </row>
    <row r="9703" customFormat="false" ht="16.5" hidden="false" customHeight="true" outlineLevel="0" collapsed="false">
      <c r="B9703" s="40" t="str">
        <f aca="false">IFERROR(INDEX($J$9703:$J$9706,MATCH($O9703,$N$9703:$N$9706,0)),"")</f>
        <v/>
      </c>
      <c r="C9703" s="41" t="str">
        <f aca="false">IFERROR(INDEX($K$9703:$K$9706,MATCH($O9703,$N$9703:$N$9706,0)),"")</f>
        <v/>
      </c>
      <c r="D9703" s="42" t="str">
        <f aca="false">IF(OR(E9703="",N(C9703)=0),"",E9703/C9703-1)</f>
        <v/>
      </c>
      <c r="E9703" s="41" t="str">
        <f aca="false">IFERROR(INDEX($L$9703:$L$9706,MATCH($O9703,$N$9703:$N$9706,0)),"")</f>
        <v/>
      </c>
      <c r="F9703" s="41" t="str">
        <f aca="false">IF(E9703="","",E9703-C9703)</f>
        <v/>
      </c>
      <c r="J9703" s="25" t="str">
        <f aca="false">Lib_Compta</f>
        <v>Mission comptable (tenue, révision, bilan, liasse fiscale)</v>
      </c>
      <c r="K9703" s="25" t="n">
        <f aca="false">IF($K$9676=0,0,N(INDEX(Clients!$K$2:$K$501,$K$9676)))</f>
        <v>0</v>
      </c>
      <c r="L9703" s="25" t="n">
        <f aca="false">IF($K$9676=0,0,N(INDEX(Clients!$P$2:$P$501,$K$9676)))</f>
        <v>0</v>
      </c>
      <c r="M9703" s="25" t="n">
        <f aca="false">IF(OR(K9703&lt;&gt;0,L9703&lt;&gt;0),1,0)</f>
        <v>0</v>
      </c>
      <c r="N9703" s="25" t="str">
        <f aca="false">IF(M9703=1,SUM($M$9703:M9703),"")</f>
        <v/>
      </c>
      <c r="O9703" s="25" t="n">
        <v>1</v>
      </c>
    </row>
    <row r="9704" customFormat="false" ht="16.5" hidden="false" customHeight="true" outlineLevel="0" collapsed="false">
      <c r="B9704" s="40" t="str">
        <f aca="false">IFERROR(INDEX($J$9703:$J$9706,MATCH($O9704,$N$9703:$N$9706,0)),"")</f>
        <v/>
      </c>
      <c r="C9704" s="41" t="str">
        <f aca="false">IFERROR(INDEX($K$9703:$K$9706,MATCH($O9704,$N$9703:$N$9706,0)),"")</f>
        <v/>
      </c>
      <c r="D9704" s="42" t="str">
        <f aca="false">IF(OR(E9704="",N(C9704)=0),"",E9704/C9704-1)</f>
        <v/>
      </c>
      <c r="E9704" s="41" t="str">
        <f aca="false">IFERROR(INDEX($L$9703:$L$9706,MATCH($O9704,$N$9703:$N$9706,0)),"")</f>
        <v/>
      </c>
      <c r="F9704" s="41" t="str">
        <f aca="false">IF(E9704="","",E9704-C9704)</f>
        <v/>
      </c>
      <c r="J9704" s="25" t="str">
        <f aca="false">Lib_Paye</f>
        <v>Mission sociale (bulletins de paie, DSN, déclarations sociales)</v>
      </c>
      <c r="K9704" s="25" t="n">
        <f aca="false">IF($K$9676=0,0,N(INDEX(Clients!$L$2:$L$501,$K$9676)))</f>
        <v>0</v>
      </c>
      <c r="L9704" s="25" t="n">
        <f aca="false">IF($K$9676=0,0,N(INDEX(Clients!$Q$2:$Q$501,$K$9676)))</f>
        <v>0</v>
      </c>
      <c r="M9704" s="25" t="n">
        <f aca="false">IF(OR(K9704&lt;&gt;0,L9704&lt;&gt;0),1,0)</f>
        <v>0</v>
      </c>
      <c r="N9704" s="25" t="str">
        <f aca="false">IF(M9704=1,SUM($M$9703:M9704),"")</f>
        <v/>
      </c>
      <c r="O9704" s="25" t="n">
        <v>2</v>
      </c>
    </row>
    <row r="9705" customFormat="false" ht="16.5" hidden="false" customHeight="true" outlineLevel="0" collapsed="false">
      <c r="B9705" s="40" t="str">
        <f aca="false">IFERROR(INDEX($J$9703:$J$9706,MATCH($O9705,$N$9703:$N$9706,0)),"")</f>
        <v/>
      </c>
      <c r="C9705" s="41" t="str">
        <f aca="false">IFERROR(INDEX($K$9703:$K$9706,MATCH($O9705,$N$9703:$N$9706,0)),"")</f>
        <v/>
      </c>
      <c r="D9705" s="42" t="str">
        <f aca="false">IF(OR(E9705="",N(C9705)=0),"",E9705/C9705-1)</f>
        <v/>
      </c>
      <c r="E9705" s="41" t="str">
        <f aca="false">IFERROR(INDEX($L$9703:$L$9706,MATCH($O9705,$N$9703:$N$9706,0)),"")</f>
        <v/>
      </c>
      <c r="F9705" s="41" t="str">
        <f aca="false">IF(E9705="","",E9705-C9705)</f>
        <v/>
      </c>
      <c r="J9705" s="25" t="str">
        <f aca="false">Lib_Jur</f>
        <v>Mission juridique (approbation des comptes, secrétariat juridique)</v>
      </c>
      <c r="K9705" s="25" t="n">
        <f aca="false">IF($K$9676=0,0,N(INDEX(Clients!$M$2:$M$501,$K$9676)))</f>
        <v>0</v>
      </c>
      <c r="L9705" s="25" t="n">
        <f aca="false">IF($K$9676=0,0,N(INDEX(Clients!$R$2:$R$501,$K$9676)))</f>
        <v>0</v>
      </c>
      <c r="M9705" s="25" t="n">
        <f aca="false">IF(OR(K9705&lt;&gt;0,L9705&lt;&gt;0),1,0)</f>
        <v>0</v>
      </c>
      <c r="N9705" s="25" t="str">
        <f aca="false">IF(M9705=1,SUM($M$9703:M9705),"")</f>
        <v/>
      </c>
      <c r="O9705" s="25" t="n">
        <v>3</v>
      </c>
    </row>
    <row r="9706" customFormat="false" ht="16.5" hidden="false" customHeight="true" outlineLevel="0" collapsed="false">
      <c r="B9706" s="40" t="str">
        <f aca="false">IFERROR(INDEX($J$9703:$J$9706,MATCH($O9706,$N$9703:$N$9706,0)),"")</f>
        <v/>
      </c>
      <c r="C9706" s="41" t="str">
        <f aca="false">IFERROR(INDEX($K$9703:$K$9706,MATCH($O9706,$N$9703:$N$9706,0)),"")</f>
        <v/>
      </c>
      <c r="D9706" s="42" t="str">
        <f aca="false">IF(OR(E9706="",N(C9706)=0),"",E9706/C9706-1)</f>
        <v/>
      </c>
      <c r="E9706" s="41" t="str">
        <f aca="false">IFERROR(INDEX($L$9703:$L$9706,MATCH($O9706,$N$9703:$N$9706,0)),"")</f>
        <v/>
      </c>
      <c r="F9706" s="41" t="str">
        <f aca="false">IF(E9706="","",E9706-C9706)</f>
        <v/>
      </c>
      <c r="J9706" s="25" t="str">
        <f aca="false">Lib_PA</f>
        <v>Plateforme agréée – facturation électronique</v>
      </c>
      <c r="K9706" s="25" t="n">
        <f aca="false">IF($K$9676=0,0,N(INDEX(Clients!$N$2:$N$501,$K$9676)))</f>
        <v>0</v>
      </c>
      <c r="L9706" s="25" t="n">
        <f aca="false">IF($K$9676=0,0,N(INDEX(Clients!$S$2:$S$501,$K$9676)))</f>
        <v>0</v>
      </c>
      <c r="M9706" s="25" t="n">
        <f aca="false">IF(OR(K9706&lt;&gt;0,L9706&lt;&gt;0),1,0)</f>
        <v>0</v>
      </c>
      <c r="N9706" s="25" t="str">
        <f aca="false">IF(M9706=1,SUM($M$9703:M9706),"")</f>
        <v/>
      </c>
      <c r="O9706" s="25" t="n">
        <v>4</v>
      </c>
    </row>
    <row r="9707" customFormat="false" ht="18" hidden="false" customHeight="true" outlineLevel="0" collapsed="false">
      <c r="B9707" s="43" t="s">
        <v>158</v>
      </c>
      <c r="C9707" s="44" t="n">
        <f aca="false">SUM(K9703:K9706)</f>
        <v>0</v>
      </c>
      <c r="D9707" s="45" t="str">
        <f aca="false">IF(N(C9707)=0,"",E9707/C9707-1)</f>
        <v/>
      </c>
      <c r="E9707" s="44" t="n">
        <f aca="false">SUM(L9703:L9706)</f>
        <v>0</v>
      </c>
      <c r="F9707" s="44" t="n">
        <f aca="false">E9707-C9707</f>
        <v>0</v>
      </c>
    </row>
    <row r="9708" customFormat="false" ht="15" hidden="false" customHeight="false" outlineLevel="0" collapsed="false">
      <c r="B9708" s="46" t="str">
        <f aca="false">IF(N(Nb_Mensualites)=0,"","Soit "&amp;FIXED(E9707/Nb_Mensualites,2)&amp;" € HT par échéance ("&amp;Nb_Mensualites&amp;" échéances), "&amp;FIXED(E9707/Nb_Mensualites*(1+Taux_TVA),2)&amp;" € TTC.")</f>
        <v>Soit 0.00 € HT par échéance (12 échéances), 0.00 € TTC.</v>
      </c>
      <c r="C9708" s="46"/>
      <c r="D9708" s="46"/>
      <c r="E9708" s="46"/>
      <c r="F9708" s="46"/>
    </row>
    <row r="9709" customFormat="false" ht="7.5" hidden="false" customHeight="true" outlineLevel="0" collapsed="false">
      <c r="B9709" s="10"/>
      <c r="C9709" s="10"/>
      <c r="D9709" s="10"/>
      <c r="E9709" s="10"/>
      <c r="F9709" s="10"/>
    </row>
    <row r="9710" customFormat="false" ht="36.75" hidden="false" customHeight="true" outlineLevel="0" collapsed="false">
      <c r="B9710" s="37" t="str">
        <f aca="false">SUBSTITUTE(SUBSTITUTE(SUBSTITUTE(SUBSTITUTE(SUBSTITUTE(Txt_P5,"{cabinet}",Cab_Nom),"{societe}",IF($K$9676=0,"",INDEX(Clients!$E$2:$E$501,$K$9676)&amp;"")),"{date_effet}",$K$9678),"{hausse}",$K$9679),"{civilite}",$K$9677)</f>
        <v>Les autres conditions de votre lettre de mission demeurent inchangées. Les nouveaux montants seront appliqués automatiquement sur vos prochaines factures et échéances de prélèvement.</v>
      </c>
      <c r="C9710" s="37"/>
      <c r="D9710" s="37"/>
      <c r="E9710" s="37"/>
      <c r="F9710" s="37"/>
    </row>
    <row r="9711" customFormat="false" ht="36.75" hidden="false" customHeight="true" outlineLevel="0" collapsed="false">
      <c r="B9711" s="37" t="str">
        <f aca="false">SUBSTITUTE(SUBSTITUTE(SUBSTITUTE(SUBSTITUTE(SUBSTITUTE(Txt_P6,"{cabinet}",Cab_Nom),"{societe}",IF($K$9676=0,"",INDEX(Clients!$E$2:$E$501,$K$9676)&amp;"")),"{date_effet}",$K$9678),"{hausse}",$K$9679),"{civilite}",$K$9677)</f>
        <v>Votre interlocuteur habituel reste à votre entière disposition pour répondre à vos questions et faire le point sur l'évolution de vos besoins.</v>
      </c>
      <c r="C9711" s="37"/>
      <c r="D9711" s="37"/>
      <c r="E9711" s="37"/>
      <c r="F9711" s="37"/>
    </row>
    <row r="9712" customFormat="false" ht="24" hidden="false" customHeight="true" outlineLevel="0" collapsed="false">
      <c r="B9712" s="37" t="str">
        <f aca="false">SUBSTITUTE(SUBSTITUTE(SUBSTITUTE(SUBSTITUTE(SUBSTITUTE(Txt_Politesse,"{cabinet}",Cab_Nom),"{societe}",IF($K$9676=0,"",INDEX(Clients!$E$2:$E$501,$K$9676)&amp;"")),"{date_effet}",$K$9678),"{hausse}",$K$9679),"{civilite}",$K$9677)</f>
        <v>Nous vous prions d'agréer, Madame, Monsieur, l'expression de nos salutations distinguées.</v>
      </c>
      <c r="C9712" s="37"/>
      <c r="D9712" s="37"/>
      <c r="E9712" s="37"/>
      <c r="F9712" s="37"/>
    </row>
    <row r="9713" customFormat="false" ht="15" hidden="false" customHeight="false" outlineLevel="0" collapsed="false">
      <c r="B9713" s="10"/>
      <c r="C9713" s="10"/>
      <c r="D9713" s="10"/>
      <c r="E9713" s="10"/>
      <c r="F9713" s="10"/>
    </row>
    <row r="9714" customFormat="false" ht="15" hidden="false" customHeight="false" outlineLevel="0" collapsed="false">
      <c r="B9714" s="10"/>
      <c r="C9714" s="10"/>
      <c r="D9714" s="34" t="str">
        <f aca="false">Signataire</f>
        <v>Prénom NOM</v>
      </c>
      <c r="E9714" s="34"/>
      <c r="F9714" s="34"/>
    </row>
    <row r="9715" customFormat="false" ht="15" hidden="false" customHeight="false" outlineLevel="0" collapsed="false">
      <c r="B9715" s="10"/>
      <c r="C9715" s="10"/>
      <c r="D9715" s="47" t="str">
        <f aca="false">Signataire_Titre</f>
        <v>Expert-comptable associé</v>
      </c>
      <c r="E9715" s="47"/>
      <c r="F9715" s="47"/>
    </row>
    <row r="9716" customFormat="false" ht="15.75" hidden="false" customHeight="true" outlineLevel="0" collapsed="false">
      <c r="B9716" s="10"/>
      <c r="C9716" s="10"/>
      <c r="D9716" s="10"/>
      <c r="E9716" s="10"/>
      <c r="F9716" s="10"/>
    </row>
    <row r="9717" customFormat="false" ht="15.75" hidden="false" customHeight="true" outlineLevel="0" collapsed="false">
      <c r="B9717" s="10"/>
      <c r="C9717" s="10"/>
      <c r="D9717" s="10"/>
      <c r="E9717" s="10"/>
      <c r="F9717" s="10"/>
    </row>
    <row r="9718" customFormat="false" ht="15.75" hidden="false" customHeight="true" outlineLevel="0" collapsed="false">
      <c r="B9718" s="10"/>
      <c r="C9718" s="10"/>
      <c r="D9718" s="10"/>
      <c r="E9718" s="10"/>
      <c r="F9718" s="10"/>
    </row>
    <row r="9719" customFormat="false" ht="15.75" hidden="false" customHeight="true" outlineLevel="0" collapsed="false">
      <c r="B9719" s="10"/>
      <c r="C9719" s="10"/>
      <c r="D9719" s="10"/>
      <c r="E9719" s="10"/>
      <c r="F9719" s="10"/>
    </row>
    <row r="9720" customFormat="false" ht="24" hidden="false" customHeight="true" outlineLevel="0" collapsed="false">
      <c r="B9720" s="48" t="str">
        <f aca="false">Cab_Mentions</f>
        <v>ALTHO EXPERTISE · SAS au capital de 10 000 € · RCS Pontoise 919 706 325 · TVA FR62919706325 · Société d'expertise comptable inscrite au Tableau de l'Ordre des experts-comptables de Paris Île-de-France</v>
      </c>
      <c r="C9720" s="48"/>
      <c r="D9720" s="48"/>
      <c r="E9720" s="48"/>
      <c r="F9720" s="48"/>
    </row>
    <row r="9721" customFormat="false" ht="15" hidden="false" customHeight="false" outlineLevel="0" collapsed="false">
      <c r="B9721" s="10"/>
      <c r="C9721" s="10"/>
      <c r="D9721" s="10"/>
      <c r="E9721" s="10"/>
      <c r="F9721" s="10"/>
      <c r="J9721" s="25" t="s">
        <v>142</v>
      </c>
      <c r="K9721" s="25" t="n">
        <f aca="false">IFERROR(MATCH(217,Clients!$Z$2:$Z$501,0),0)</f>
        <v>0</v>
      </c>
      <c r="L9721" s="25"/>
      <c r="M9721" s="25"/>
      <c r="N9721" s="25"/>
      <c r="O9721" s="25"/>
    </row>
    <row r="9722" customFormat="false" ht="21.75" hidden="false" customHeight="true" outlineLevel="0" collapsed="false">
      <c r="B9722" s="26" t="str">
        <f aca="false">Cab_Nom</f>
        <v>ALTHO EXPERTISE</v>
      </c>
      <c r="C9722" s="26"/>
      <c r="D9722" s="10"/>
      <c r="E9722" s="27" t="str">
        <f aca="false">IF($K$9721=0,"","Réf. client : "&amp;INDEX(Clients!$A$2:$A$501,$K$9721))</f>
        <v/>
      </c>
      <c r="F9722" s="27"/>
      <c r="J9722" s="25" t="s">
        <v>144</v>
      </c>
      <c r="K9722" s="25" t="str">
        <f aca="false">IF(IF($K$9721=0,"",INDEX(Clients!$B$2:$B$501,$K$9721)&amp;"")="Mme","Madame",IF(IF($K$9721=0,"",INDEX(Clients!$B$2:$B$501,$K$9721)&amp;"")="M.","Monsieur","Madame, Monsieur"))</f>
        <v>Madame, Monsieur</v>
      </c>
      <c r="L9722" s="25"/>
      <c r="M9722" s="25"/>
      <c r="N9722" s="25"/>
      <c r="O9722" s="25"/>
    </row>
    <row r="9723" customFormat="false" ht="15" hidden="false" customHeight="false" outlineLevel="0" collapsed="false">
      <c r="B9723" s="29" t="str">
        <f aca="false">Cab_Adr1</f>
        <v>141 rue Charles de Gaulle</v>
      </c>
      <c r="C9723" s="29"/>
      <c r="D9723" s="10"/>
      <c r="E9723" s="10"/>
      <c r="F9723" s="10"/>
      <c r="J9723" s="25" t="s">
        <v>145</v>
      </c>
      <c r="K9723" s="25" t="str">
        <f aca="false">DAY(Date_Effet)&amp;IF(DAY(Date_Effet)=1,"er","")&amp;" "&amp;INDEX(Liste_Mois,MONTH(Date_Effet))&amp;" "&amp;YEAR(Date_Effet)</f>
        <v>1er janvier 2027</v>
      </c>
      <c r="L9723" s="25"/>
      <c r="M9723" s="25"/>
      <c r="N9723" s="25"/>
      <c r="O9723" s="25"/>
    </row>
    <row r="9724" customFormat="false" ht="15" hidden="false" customHeight="false" outlineLevel="0" collapsed="false">
      <c r="B9724" s="29" t="str">
        <f aca="false">Cab_CPVille</f>
        <v>95130 LE PLESSIS-BOUCHARD</v>
      </c>
      <c r="C9724" s="29"/>
      <c r="D9724" s="10"/>
      <c r="E9724" s="10"/>
      <c r="F9724" s="10"/>
      <c r="J9724" s="25" t="s">
        <v>146</v>
      </c>
      <c r="K9724" s="25" t="str">
        <f aca="false">IF(SUM($K$9748:$K$9751)=0,"",FIXED((SUM($L$9748:$L$9751)/SUM($K$9748:$K$9751)-1)*100,1)&amp;" %")</f>
        <v/>
      </c>
      <c r="L9724" s="25"/>
      <c r="M9724" s="25"/>
      <c r="N9724" s="25"/>
      <c r="O9724" s="25"/>
    </row>
    <row r="9725" customFormat="false" ht="15" hidden="false" customHeight="false" outlineLevel="0" collapsed="false">
      <c r="B9725" s="29" t="str">
        <f aca="false">Cab_Contact</f>
        <v>Tél. 01 34 14 53 45  ·  altho@altho-experts.com  ·  altho-experts.com</v>
      </c>
      <c r="C9725" s="29"/>
      <c r="D9725" s="10"/>
      <c r="E9725" s="10"/>
      <c r="F9725" s="10"/>
      <c r="J9725" s="25"/>
      <c r="K9725" s="25"/>
      <c r="L9725" s="25"/>
      <c r="M9725" s="25"/>
      <c r="N9725" s="25"/>
      <c r="O9725" s="25"/>
    </row>
    <row r="9726" customFormat="false" ht="6" hidden="false" customHeight="true" outlineLevel="0" collapsed="false">
      <c r="B9726" s="32"/>
      <c r="C9726" s="32"/>
      <c r="D9726" s="32"/>
      <c r="E9726" s="32"/>
      <c r="F9726" s="32"/>
      <c r="J9726" s="25"/>
      <c r="K9726" s="25"/>
      <c r="L9726" s="25"/>
      <c r="M9726" s="25"/>
      <c r="N9726" s="25"/>
      <c r="O9726" s="25"/>
    </row>
    <row r="9727" customFormat="false" ht="13.5" hidden="false" customHeight="true" outlineLevel="0" collapsed="false">
      <c r="B9727" s="10"/>
      <c r="C9727" s="10"/>
      <c r="D9727" s="10"/>
      <c r="E9727" s="10"/>
      <c r="F9727" s="10"/>
      <c r="J9727" s="25"/>
      <c r="K9727" s="25"/>
      <c r="L9727" s="25"/>
      <c r="M9727" s="25"/>
      <c r="N9727" s="25"/>
      <c r="O9727" s="25"/>
    </row>
    <row r="9728" customFormat="false" ht="13.5" hidden="false" customHeight="true" outlineLevel="0" collapsed="false">
      <c r="B9728" s="10"/>
      <c r="C9728" s="10"/>
      <c r="D9728" s="10"/>
      <c r="E9728" s="10"/>
      <c r="F9728" s="10"/>
      <c r="J9728" s="25"/>
      <c r="K9728" s="25"/>
      <c r="L9728" s="25"/>
      <c r="M9728" s="25"/>
      <c r="N9728" s="25"/>
      <c r="O9728" s="25"/>
    </row>
    <row r="9729" customFormat="false" ht="13.5" hidden="false" customHeight="true" outlineLevel="0" collapsed="false">
      <c r="B9729" s="10"/>
      <c r="C9729" s="10"/>
      <c r="D9729" s="10"/>
      <c r="E9729" s="10"/>
      <c r="F9729" s="10"/>
      <c r="J9729" s="25"/>
      <c r="K9729" s="25"/>
      <c r="L9729" s="25"/>
      <c r="M9729" s="25"/>
      <c r="N9729" s="25"/>
      <c r="O9729" s="25"/>
    </row>
    <row r="9730" customFormat="false" ht="15" hidden="false" customHeight="true" outlineLevel="0" collapsed="false">
      <c r="B9730" s="10"/>
      <c r="C9730" s="10"/>
      <c r="D9730" s="34" t="str">
        <f aca="false">IF($K$9721=0,"",INDEX(Clients!$E$2:$E$501,$K$9721)&amp;"")</f>
        <v/>
      </c>
      <c r="E9730" s="34"/>
      <c r="F9730" s="34"/>
      <c r="J9730" s="25"/>
      <c r="K9730" s="25"/>
      <c r="L9730" s="25"/>
      <c r="M9730" s="25"/>
      <c r="N9730" s="25"/>
      <c r="O9730" s="25"/>
    </row>
    <row r="9731" customFormat="false" ht="15" hidden="false" customHeight="true" outlineLevel="0" collapsed="false">
      <c r="B9731" s="10"/>
      <c r="C9731" s="10"/>
      <c r="D9731" s="35" t="str">
        <f aca="false">IF(IF($K$9721=0,"",INDEX(Clients!$D$2:$D$501,$K$9721)&amp;"")="","","À l'attention de "&amp;TRIM(IF($K$9721=0,"",INDEX(Clients!$B$2:$B$501,$K$9721)&amp;"")&amp;" "&amp;IF($K$9721=0,"",INDEX(Clients!$C$2:$C$501,$K$9721)&amp;"")&amp;" "&amp;IF($K$9721=0,"",INDEX(Clients!$D$2:$D$501,$K$9721)&amp;"")))</f>
        <v/>
      </c>
      <c r="E9731" s="35"/>
      <c r="F9731" s="35"/>
      <c r="J9731" s="25"/>
      <c r="K9731" s="25"/>
      <c r="L9731" s="25"/>
      <c r="M9731" s="25"/>
      <c r="N9731" s="25"/>
      <c r="O9731" s="25"/>
    </row>
    <row r="9732" customFormat="false" ht="15" hidden="false" customHeight="true" outlineLevel="0" collapsed="false">
      <c r="B9732" s="10"/>
      <c r="C9732" s="10"/>
      <c r="D9732" s="35" t="str">
        <f aca="false">IF($K$9721=0,"",INDEX(Clients!$F$2:$F$501,$K$9721)&amp;"")</f>
        <v/>
      </c>
      <c r="E9732" s="35"/>
      <c r="F9732" s="35"/>
      <c r="J9732" s="25"/>
      <c r="K9732" s="25"/>
      <c r="L9732" s="25"/>
      <c r="M9732" s="25"/>
      <c r="N9732" s="25"/>
      <c r="O9732" s="25"/>
    </row>
    <row r="9733" customFormat="false" ht="15" hidden="false" customHeight="true" outlineLevel="0" collapsed="false">
      <c r="B9733" s="10"/>
      <c r="C9733" s="10"/>
      <c r="D9733" s="35" t="str">
        <f aca="false">IF(IF($K$9721=0,"",INDEX(Clients!$G$2:$G$501,$K$9721)&amp;"")="",TRIM(IF($K$9721=0,"",INDEX(Clients!$H$2:$H$501,$K$9721)&amp;"")&amp;" "&amp;UPPER(IF($K$9721=0,"",INDEX(Clients!$I$2:$I$501,$K$9721)&amp;""))),IF($K$9721=0,"",INDEX(Clients!$G$2:$G$501,$K$9721)&amp;""))</f>
        <v/>
      </c>
      <c r="E9733" s="35"/>
      <c r="F9733" s="35"/>
      <c r="J9733" s="25"/>
      <c r="K9733" s="25"/>
      <c r="L9733" s="25"/>
      <c r="M9733" s="25"/>
      <c r="N9733" s="25"/>
      <c r="O9733" s="25"/>
    </row>
    <row r="9734" customFormat="false" ht="15" hidden="false" customHeight="true" outlineLevel="0" collapsed="false">
      <c r="B9734" s="10"/>
      <c r="C9734" s="10"/>
      <c r="D9734" s="35" t="str">
        <f aca="false">IF(IF($K$9721=0,"",INDEX(Clients!$G$2:$G$501,$K$9721)&amp;"")="","",TRIM(IF($K$9721=0,"",INDEX(Clients!$H$2:$H$501,$K$9721)&amp;"")&amp;" "&amp;UPPER(IF($K$9721=0,"",INDEX(Clients!$I$2:$I$501,$K$9721)&amp;""))))</f>
        <v/>
      </c>
      <c r="E9734" s="35"/>
      <c r="F9734" s="35"/>
      <c r="J9734" s="25"/>
      <c r="K9734" s="25"/>
      <c r="L9734" s="25"/>
      <c r="M9734" s="25"/>
      <c r="N9734" s="25"/>
      <c r="O9734" s="25"/>
    </row>
    <row r="9735" customFormat="false" ht="25.5" hidden="false" customHeight="true" outlineLevel="0" collapsed="false">
      <c r="B9735" s="10"/>
      <c r="C9735" s="10"/>
      <c r="D9735" s="10"/>
      <c r="E9735" s="10"/>
      <c r="F9735" s="10"/>
      <c r="J9735" s="25"/>
      <c r="K9735" s="25"/>
      <c r="L9735" s="25"/>
      <c r="M9735" s="25"/>
      <c r="N9735" s="25"/>
      <c r="O9735" s="25"/>
    </row>
    <row r="9736" customFormat="false" ht="15" hidden="false" customHeight="false" outlineLevel="0" collapsed="false">
      <c r="B9736" s="10"/>
      <c r="C9736" s="10"/>
      <c r="D9736" s="36" t="str">
        <f aca="false">Cab_Ville&amp;", le "&amp;DAY(Date_Courrier)&amp;IF(DAY(Date_Courrier)=1,"er","")&amp;" "&amp;INDEX(Liste_Mois,MONTH(Date_Courrier))&amp;" "&amp;YEAR(Date_Courrier)</f>
        <v>Le Plessis-Bouchard, le 22 septembre 2026</v>
      </c>
      <c r="E9736" s="36"/>
      <c r="F9736" s="36"/>
      <c r="J9736" s="25"/>
      <c r="K9736" s="25"/>
      <c r="L9736" s="25"/>
      <c r="M9736" s="25"/>
      <c r="N9736" s="25"/>
      <c r="O9736" s="25"/>
    </row>
    <row r="9737" customFormat="false" ht="19.5" hidden="false" customHeight="true" outlineLevel="0" collapsed="false">
      <c r="B9737" s="10"/>
      <c r="C9737" s="10"/>
      <c r="D9737" s="10"/>
      <c r="E9737" s="10"/>
      <c r="F9737" s="10"/>
      <c r="J9737" s="25"/>
      <c r="K9737" s="25"/>
      <c r="L9737" s="25"/>
      <c r="M9737" s="25"/>
      <c r="N9737" s="25"/>
      <c r="O9737" s="25"/>
    </row>
    <row r="9738" customFormat="false" ht="15" hidden="false" customHeight="false" outlineLevel="0" collapsed="false">
      <c r="B9738" s="34" t="str">
        <f aca="false">SUBSTITUTE(SUBSTITUTE(SUBSTITUTE(SUBSTITUTE(SUBSTITUTE(Txt_Objet,"{cabinet}",Cab_Nom),"{societe}",IF($K$9721=0,"",INDEX(Clients!$E$2:$E$501,$K$9721)&amp;"")),"{date_effet}",$K$9723),"{hausse}",$K$9724),"{civilite}",$K$9722)</f>
        <v>Objet : révision de nos honoraires au 1er janvier 2027</v>
      </c>
      <c r="C9738" s="34"/>
      <c r="D9738" s="34"/>
      <c r="E9738" s="34"/>
      <c r="F9738" s="34"/>
      <c r="J9738" s="25"/>
      <c r="K9738" s="25"/>
      <c r="L9738" s="25"/>
      <c r="M9738" s="25"/>
      <c r="N9738" s="25"/>
      <c r="O9738" s="25"/>
    </row>
    <row r="9739" customFormat="false" ht="13.5" hidden="false" customHeight="true" outlineLevel="0" collapsed="false">
      <c r="B9739" s="10"/>
      <c r="C9739" s="10"/>
      <c r="D9739" s="10"/>
      <c r="E9739" s="10"/>
      <c r="F9739" s="10"/>
      <c r="J9739" s="25"/>
      <c r="K9739" s="25"/>
      <c r="L9739" s="25"/>
      <c r="M9739" s="25"/>
      <c r="N9739" s="25"/>
      <c r="O9739" s="25"/>
    </row>
    <row r="9740" customFormat="false" ht="15" hidden="false" customHeight="false" outlineLevel="0" collapsed="false">
      <c r="B9740" s="10" t="str">
        <f aca="false">$K$9722&amp;","</f>
        <v>Madame, Monsieur,</v>
      </c>
      <c r="C9740" s="10"/>
      <c r="D9740" s="10"/>
      <c r="E9740" s="10"/>
      <c r="F9740" s="10"/>
      <c r="J9740" s="25"/>
      <c r="K9740" s="25"/>
      <c r="L9740" s="25"/>
      <c r="M9740" s="25"/>
      <c r="N9740" s="25"/>
      <c r="O9740" s="25"/>
    </row>
    <row r="9741" customFormat="false" ht="6" hidden="false" customHeight="true" outlineLevel="0" collapsed="false">
      <c r="B9741" s="10"/>
      <c r="C9741" s="10"/>
      <c r="D9741" s="10"/>
      <c r="E9741" s="10"/>
      <c r="F9741" s="10"/>
      <c r="J9741" s="25"/>
      <c r="K9741" s="25"/>
      <c r="L9741" s="25"/>
      <c r="M9741" s="25"/>
      <c r="N9741" s="25"/>
      <c r="O9741" s="25"/>
    </row>
    <row r="9742" customFormat="false" ht="36.75" hidden="false" customHeight="true" outlineLevel="0" collapsed="false">
      <c r="B9742" s="37" t="str">
        <f aca="false">SUBSTITUTE(SUBSTITUTE(SUBSTITUTE(SUBSTITUTE(SUBSTITUTE(Txt_P1,"{cabinet}",Cab_Nom),"{societe}",IF($K$9721=0,"",INDEX(Clients!$E$2:$E$501,$K$9721)&amp;"")),"{date_effet}",$K$9723),"{hausse}",$K$9724),"{civilite}",$K$9722)</f>
        <v>Nous tenons tout d'abord à vous remercier pour la confiance que vous accordez à ALTHO EXPERTISE. Comme chaque année, et conformément aux dispositions de votre lettre de mission, nous procédons à la révision de nos honoraires.</v>
      </c>
      <c r="C9742" s="37"/>
      <c r="D9742" s="37"/>
      <c r="E9742" s="37"/>
      <c r="F9742" s="37"/>
      <c r="J9742" s="25"/>
      <c r="K9742" s="25"/>
      <c r="L9742" s="25"/>
      <c r="M9742" s="25"/>
      <c r="N9742" s="25"/>
      <c r="O9742" s="25"/>
    </row>
    <row r="9743" customFormat="false" ht="49.5" hidden="false" customHeight="true" outlineLevel="0" collapsed="false">
      <c r="B9743" s="37" t="str">
        <f aca="false">SUBSTITUTE(SUBSTITUTE(SUBSTITUTE(SUBSTITUTE(SUBSTITUTE(Txt_P2,"{cabinet}",Cab_Nom),"{societe}",IF($K$9721=0,"",INDEX(Clients!$E$2:$E$501,$K$9721)&amp;"")),"{date_effet}",$K$9723),"{hausse}",$K$9724),"{civilite}",$K$9722)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743" s="37"/>
      <c r="D9743" s="37"/>
      <c r="E9743" s="37"/>
      <c r="F9743" s="37"/>
      <c r="J9743" s="25"/>
      <c r="K9743" s="25"/>
      <c r="L9743" s="25"/>
      <c r="M9743" s="25"/>
      <c r="N9743" s="25"/>
      <c r="O9743" s="25"/>
    </row>
    <row r="9744" customFormat="false" ht="63" hidden="false" customHeight="true" outlineLevel="0" collapsed="false">
      <c r="B9744" s="37" t="str">
        <f aca="false">SUBSTITUTE(SUBSTITUTE(SUBSTITUTE(SUBSTITUTE(SUBSTITUTE(Txt_P3,"{cabinet}",Cab_Nom),"{societe}",IF($K$9721=0,"",INDEX(Clients!$E$2:$E$501,$K$9721)&amp;"")),"{date_effet}",$K$9723),"{hausse}",$K$9724),"{civilite}",$K$9722)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744" s="37"/>
      <c r="D9744" s="37"/>
      <c r="E9744" s="37"/>
      <c r="F9744" s="37"/>
      <c r="J9744" s="25"/>
      <c r="K9744" s="25"/>
      <c r="L9744" s="25"/>
      <c r="M9744" s="25"/>
      <c r="N9744" s="25"/>
      <c r="O9744" s="25"/>
    </row>
    <row r="9745" customFormat="false" ht="24" hidden="false" customHeight="true" outlineLevel="0" collapsed="false">
      <c r="B9745" s="37" t="str">
        <f aca="false">SUBSTITUTE(SUBSTITUTE(SUBSTITUTE(SUBSTITUTE(SUBSTITUTE(Txt_P4,"{cabinet}",Cab_Nom),"{societe}",IF($K$9721=0,"",INDEX(Clients!$E$2:$E$501,$K$9721)&amp;"")),"{date_effet}",$K$9723),"{hausse}",$K$9724),"{civilite}",$K$9722)</f>
        <v>À compter du 1er janvier 2027, vos honoraires annuels hors taxes évolueront ainsi (évolution globale : ) :</v>
      </c>
      <c r="C9745" s="37"/>
      <c r="D9745" s="37"/>
      <c r="E9745" s="37"/>
      <c r="F9745" s="37"/>
      <c r="J9745" s="25"/>
      <c r="K9745" s="25"/>
      <c r="L9745" s="25"/>
      <c r="M9745" s="25"/>
      <c r="N9745" s="25"/>
      <c r="O9745" s="25"/>
    </row>
    <row r="9746" customFormat="false" ht="3.75" hidden="false" customHeight="true" outlineLevel="0" collapsed="false">
      <c r="B9746" s="10"/>
      <c r="C9746" s="10"/>
      <c r="D9746" s="10"/>
      <c r="E9746" s="10"/>
      <c r="F9746" s="10"/>
      <c r="J9746" s="25"/>
      <c r="K9746" s="25"/>
      <c r="L9746" s="25"/>
      <c r="M9746" s="25"/>
      <c r="N9746" s="25"/>
      <c r="O9746" s="25"/>
    </row>
    <row r="9747" customFormat="false" ht="18" hidden="false" customHeight="true" outlineLevel="0" collapsed="false">
      <c r="B9747" s="38" t="s">
        <v>148</v>
      </c>
      <c r="C9747" s="39" t="s">
        <v>149</v>
      </c>
      <c r="D9747" s="39" t="s">
        <v>150</v>
      </c>
      <c r="E9747" s="39" t="s">
        <v>151</v>
      </c>
      <c r="F9747" s="39" t="s">
        <v>109</v>
      </c>
      <c r="J9747" s="25" t="s">
        <v>152</v>
      </c>
      <c r="K9747" s="25" t="s">
        <v>153</v>
      </c>
      <c r="L9747" s="25" t="s">
        <v>154</v>
      </c>
      <c r="M9747" s="25" t="s">
        <v>155</v>
      </c>
      <c r="N9747" s="25" t="s">
        <v>156</v>
      </c>
      <c r="O9747" s="25" t="s">
        <v>157</v>
      </c>
    </row>
    <row r="9748" customFormat="false" ht="16.5" hidden="false" customHeight="true" outlineLevel="0" collapsed="false">
      <c r="B9748" s="40" t="str">
        <f aca="false">IFERROR(INDEX($J$9748:$J$9751,MATCH($O9748,$N$9748:$N$9751,0)),"")</f>
        <v/>
      </c>
      <c r="C9748" s="41" t="str">
        <f aca="false">IFERROR(INDEX($K$9748:$K$9751,MATCH($O9748,$N$9748:$N$9751,0)),"")</f>
        <v/>
      </c>
      <c r="D9748" s="42" t="str">
        <f aca="false">IF(OR(E9748="",N(C9748)=0),"",E9748/C9748-1)</f>
        <v/>
      </c>
      <c r="E9748" s="41" t="str">
        <f aca="false">IFERROR(INDEX($L$9748:$L$9751,MATCH($O9748,$N$9748:$N$9751,0)),"")</f>
        <v/>
      </c>
      <c r="F9748" s="41" t="str">
        <f aca="false">IF(E9748="","",E9748-C9748)</f>
        <v/>
      </c>
      <c r="J9748" s="25" t="str">
        <f aca="false">Lib_Compta</f>
        <v>Mission comptable (tenue, révision, bilan, liasse fiscale)</v>
      </c>
      <c r="K9748" s="25" t="n">
        <f aca="false">IF($K$9721=0,0,N(INDEX(Clients!$K$2:$K$501,$K$9721)))</f>
        <v>0</v>
      </c>
      <c r="L9748" s="25" t="n">
        <f aca="false">IF($K$9721=0,0,N(INDEX(Clients!$P$2:$P$501,$K$9721)))</f>
        <v>0</v>
      </c>
      <c r="M9748" s="25" t="n">
        <f aca="false">IF(OR(K9748&lt;&gt;0,L9748&lt;&gt;0),1,0)</f>
        <v>0</v>
      </c>
      <c r="N9748" s="25" t="str">
        <f aca="false">IF(M9748=1,SUM($M$9748:M9748),"")</f>
        <v/>
      </c>
      <c r="O9748" s="25" t="n">
        <v>1</v>
      </c>
    </row>
    <row r="9749" customFormat="false" ht="16.5" hidden="false" customHeight="true" outlineLevel="0" collapsed="false">
      <c r="B9749" s="40" t="str">
        <f aca="false">IFERROR(INDEX($J$9748:$J$9751,MATCH($O9749,$N$9748:$N$9751,0)),"")</f>
        <v/>
      </c>
      <c r="C9749" s="41" t="str">
        <f aca="false">IFERROR(INDEX($K$9748:$K$9751,MATCH($O9749,$N$9748:$N$9751,0)),"")</f>
        <v/>
      </c>
      <c r="D9749" s="42" t="str">
        <f aca="false">IF(OR(E9749="",N(C9749)=0),"",E9749/C9749-1)</f>
        <v/>
      </c>
      <c r="E9749" s="41" t="str">
        <f aca="false">IFERROR(INDEX($L$9748:$L$9751,MATCH($O9749,$N$9748:$N$9751,0)),"")</f>
        <v/>
      </c>
      <c r="F9749" s="41" t="str">
        <f aca="false">IF(E9749="","",E9749-C9749)</f>
        <v/>
      </c>
      <c r="J9749" s="25" t="str">
        <f aca="false">Lib_Paye</f>
        <v>Mission sociale (bulletins de paie, DSN, déclarations sociales)</v>
      </c>
      <c r="K9749" s="25" t="n">
        <f aca="false">IF($K$9721=0,0,N(INDEX(Clients!$L$2:$L$501,$K$9721)))</f>
        <v>0</v>
      </c>
      <c r="L9749" s="25" t="n">
        <f aca="false">IF($K$9721=0,0,N(INDEX(Clients!$Q$2:$Q$501,$K$9721)))</f>
        <v>0</v>
      </c>
      <c r="M9749" s="25" t="n">
        <f aca="false">IF(OR(K9749&lt;&gt;0,L9749&lt;&gt;0),1,0)</f>
        <v>0</v>
      </c>
      <c r="N9749" s="25" t="str">
        <f aca="false">IF(M9749=1,SUM($M$9748:M9749),"")</f>
        <v/>
      </c>
      <c r="O9749" s="25" t="n">
        <v>2</v>
      </c>
    </row>
    <row r="9750" customFormat="false" ht="16.5" hidden="false" customHeight="true" outlineLevel="0" collapsed="false">
      <c r="B9750" s="40" t="str">
        <f aca="false">IFERROR(INDEX($J$9748:$J$9751,MATCH($O9750,$N$9748:$N$9751,0)),"")</f>
        <v/>
      </c>
      <c r="C9750" s="41" t="str">
        <f aca="false">IFERROR(INDEX($K$9748:$K$9751,MATCH($O9750,$N$9748:$N$9751,0)),"")</f>
        <v/>
      </c>
      <c r="D9750" s="42" t="str">
        <f aca="false">IF(OR(E9750="",N(C9750)=0),"",E9750/C9750-1)</f>
        <v/>
      </c>
      <c r="E9750" s="41" t="str">
        <f aca="false">IFERROR(INDEX($L$9748:$L$9751,MATCH($O9750,$N$9748:$N$9751,0)),"")</f>
        <v/>
      </c>
      <c r="F9750" s="41" t="str">
        <f aca="false">IF(E9750="","",E9750-C9750)</f>
        <v/>
      </c>
      <c r="J9750" s="25" t="str">
        <f aca="false">Lib_Jur</f>
        <v>Mission juridique (approbation des comptes, secrétariat juridique)</v>
      </c>
      <c r="K9750" s="25" t="n">
        <f aca="false">IF($K$9721=0,0,N(INDEX(Clients!$M$2:$M$501,$K$9721)))</f>
        <v>0</v>
      </c>
      <c r="L9750" s="25" t="n">
        <f aca="false">IF($K$9721=0,0,N(INDEX(Clients!$R$2:$R$501,$K$9721)))</f>
        <v>0</v>
      </c>
      <c r="M9750" s="25" t="n">
        <f aca="false">IF(OR(K9750&lt;&gt;0,L9750&lt;&gt;0),1,0)</f>
        <v>0</v>
      </c>
      <c r="N9750" s="25" t="str">
        <f aca="false">IF(M9750=1,SUM($M$9748:M9750),"")</f>
        <v/>
      </c>
      <c r="O9750" s="25" t="n">
        <v>3</v>
      </c>
    </row>
    <row r="9751" customFormat="false" ht="16.5" hidden="false" customHeight="true" outlineLevel="0" collapsed="false">
      <c r="B9751" s="40" t="str">
        <f aca="false">IFERROR(INDEX($J$9748:$J$9751,MATCH($O9751,$N$9748:$N$9751,0)),"")</f>
        <v/>
      </c>
      <c r="C9751" s="41" t="str">
        <f aca="false">IFERROR(INDEX($K$9748:$K$9751,MATCH($O9751,$N$9748:$N$9751,0)),"")</f>
        <v/>
      </c>
      <c r="D9751" s="42" t="str">
        <f aca="false">IF(OR(E9751="",N(C9751)=0),"",E9751/C9751-1)</f>
        <v/>
      </c>
      <c r="E9751" s="41" t="str">
        <f aca="false">IFERROR(INDEX($L$9748:$L$9751,MATCH($O9751,$N$9748:$N$9751,0)),"")</f>
        <v/>
      </c>
      <c r="F9751" s="41" t="str">
        <f aca="false">IF(E9751="","",E9751-C9751)</f>
        <v/>
      </c>
      <c r="J9751" s="25" t="str">
        <f aca="false">Lib_PA</f>
        <v>Plateforme agréée – facturation électronique</v>
      </c>
      <c r="K9751" s="25" t="n">
        <f aca="false">IF($K$9721=0,0,N(INDEX(Clients!$N$2:$N$501,$K$9721)))</f>
        <v>0</v>
      </c>
      <c r="L9751" s="25" t="n">
        <f aca="false">IF($K$9721=0,0,N(INDEX(Clients!$S$2:$S$501,$K$9721)))</f>
        <v>0</v>
      </c>
      <c r="M9751" s="25" t="n">
        <f aca="false">IF(OR(K9751&lt;&gt;0,L9751&lt;&gt;0),1,0)</f>
        <v>0</v>
      </c>
      <c r="N9751" s="25" t="str">
        <f aca="false">IF(M9751=1,SUM($M$9748:M9751),"")</f>
        <v/>
      </c>
      <c r="O9751" s="25" t="n">
        <v>4</v>
      </c>
    </row>
    <row r="9752" customFormat="false" ht="18" hidden="false" customHeight="true" outlineLevel="0" collapsed="false">
      <c r="B9752" s="43" t="s">
        <v>158</v>
      </c>
      <c r="C9752" s="44" t="n">
        <f aca="false">SUM(K9748:K9751)</f>
        <v>0</v>
      </c>
      <c r="D9752" s="45" t="str">
        <f aca="false">IF(N(C9752)=0,"",E9752/C9752-1)</f>
        <v/>
      </c>
      <c r="E9752" s="44" t="n">
        <f aca="false">SUM(L9748:L9751)</f>
        <v>0</v>
      </c>
      <c r="F9752" s="44" t="n">
        <f aca="false">E9752-C9752</f>
        <v>0</v>
      </c>
    </row>
    <row r="9753" customFormat="false" ht="15" hidden="false" customHeight="false" outlineLevel="0" collapsed="false">
      <c r="B9753" s="46" t="str">
        <f aca="false">IF(N(Nb_Mensualites)=0,"","Soit "&amp;FIXED(E9752/Nb_Mensualites,2)&amp;" € HT par échéance ("&amp;Nb_Mensualites&amp;" échéances), "&amp;FIXED(E9752/Nb_Mensualites*(1+Taux_TVA),2)&amp;" € TTC.")</f>
        <v>Soit 0.00 € HT par échéance (12 échéances), 0.00 € TTC.</v>
      </c>
      <c r="C9753" s="46"/>
      <c r="D9753" s="46"/>
      <c r="E9753" s="46"/>
      <c r="F9753" s="46"/>
    </row>
    <row r="9754" customFormat="false" ht="7.5" hidden="false" customHeight="true" outlineLevel="0" collapsed="false">
      <c r="B9754" s="10"/>
      <c r="C9754" s="10"/>
      <c r="D9754" s="10"/>
      <c r="E9754" s="10"/>
      <c r="F9754" s="10"/>
    </row>
    <row r="9755" customFormat="false" ht="36.75" hidden="false" customHeight="true" outlineLevel="0" collapsed="false">
      <c r="B9755" s="37" t="str">
        <f aca="false">SUBSTITUTE(SUBSTITUTE(SUBSTITUTE(SUBSTITUTE(SUBSTITUTE(Txt_P5,"{cabinet}",Cab_Nom),"{societe}",IF($K$9721=0,"",INDEX(Clients!$E$2:$E$501,$K$9721)&amp;"")),"{date_effet}",$K$9723),"{hausse}",$K$9724),"{civilite}",$K$9722)</f>
        <v>Les autres conditions de votre lettre de mission demeurent inchangées. Les nouveaux montants seront appliqués automatiquement sur vos prochaines factures et échéances de prélèvement.</v>
      </c>
      <c r="C9755" s="37"/>
      <c r="D9755" s="37"/>
      <c r="E9755" s="37"/>
      <c r="F9755" s="37"/>
    </row>
    <row r="9756" customFormat="false" ht="36.75" hidden="false" customHeight="true" outlineLevel="0" collapsed="false">
      <c r="B9756" s="37" t="str">
        <f aca="false">SUBSTITUTE(SUBSTITUTE(SUBSTITUTE(SUBSTITUTE(SUBSTITUTE(Txt_P6,"{cabinet}",Cab_Nom),"{societe}",IF($K$9721=0,"",INDEX(Clients!$E$2:$E$501,$K$9721)&amp;"")),"{date_effet}",$K$9723),"{hausse}",$K$9724),"{civilite}",$K$9722)</f>
        <v>Votre interlocuteur habituel reste à votre entière disposition pour répondre à vos questions et faire le point sur l'évolution de vos besoins.</v>
      </c>
      <c r="C9756" s="37"/>
      <c r="D9756" s="37"/>
      <c r="E9756" s="37"/>
      <c r="F9756" s="37"/>
    </row>
    <row r="9757" customFormat="false" ht="24" hidden="false" customHeight="true" outlineLevel="0" collapsed="false">
      <c r="B9757" s="37" t="str">
        <f aca="false">SUBSTITUTE(SUBSTITUTE(SUBSTITUTE(SUBSTITUTE(SUBSTITUTE(Txt_Politesse,"{cabinet}",Cab_Nom),"{societe}",IF($K$9721=0,"",INDEX(Clients!$E$2:$E$501,$K$9721)&amp;"")),"{date_effet}",$K$9723),"{hausse}",$K$9724),"{civilite}",$K$9722)</f>
        <v>Nous vous prions d'agréer, Madame, Monsieur, l'expression de nos salutations distinguées.</v>
      </c>
      <c r="C9757" s="37"/>
      <c r="D9757" s="37"/>
      <c r="E9757" s="37"/>
      <c r="F9757" s="37"/>
    </row>
    <row r="9758" customFormat="false" ht="15" hidden="false" customHeight="false" outlineLevel="0" collapsed="false">
      <c r="B9758" s="10"/>
      <c r="C9758" s="10"/>
      <c r="D9758" s="10"/>
      <c r="E9758" s="10"/>
      <c r="F9758" s="10"/>
    </row>
    <row r="9759" customFormat="false" ht="15" hidden="false" customHeight="false" outlineLevel="0" collapsed="false">
      <c r="B9759" s="10"/>
      <c r="C9759" s="10"/>
      <c r="D9759" s="34" t="str">
        <f aca="false">Signataire</f>
        <v>Prénom NOM</v>
      </c>
      <c r="E9759" s="34"/>
      <c r="F9759" s="34"/>
    </row>
    <row r="9760" customFormat="false" ht="15" hidden="false" customHeight="false" outlineLevel="0" collapsed="false">
      <c r="B9760" s="10"/>
      <c r="C9760" s="10"/>
      <c r="D9760" s="47" t="str">
        <f aca="false">Signataire_Titre</f>
        <v>Expert-comptable associé</v>
      </c>
      <c r="E9760" s="47"/>
      <c r="F9760" s="47"/>
    </row>
    <row r="9761" customFormat="false" ht="15.75" hidden="false" customHeight="true" outlineLevel="0" collapsed="false">
      <c r="B9761" s="10"/>
      <c r="C9761" s="10"/>
      <c r="D9761" s="10"/>
      <c r="E9761" s="10"/>
      <c r="F9761" s="10"/>
    </row>
    <row r="9762" customFormat="false" ht="15.75" hidden="false" customHeight="true" outlineLevel="0" collapsed="false">
      <c r="B9762" s="10"/>
      <c r="C9762" s="10"/>
      <c r="D9762" s="10"/>
      <c r="E9762" s="10"/>
      <c r="F9762" s="10"/>
    </row>
    <row r="9763" customFormat="false" ht="15.75" hidden="false" customHeight="true" outlineLevel="0" collapsed="false">
      <c r="B9763" s="10"/>
      <c r="C9763" s="10"/>
      <c r="D9763" s="10"/>
      <c r="E9763" s="10"/>
      <c r="F9763" s="10"/>
    </row>
    <row r="9764" customFormat="false" ht="15.75" hidden="false" customHeight="true" outlineLevel="0" collapsed="false">
      <c r="B9764" s="10"/>
      <c r="C9764" s="10"/>
      <c r="D9764" s="10"/>
      <c r="E9764" s="10"/>
      <c r="F9764" s="10"/>
    </row>
    <row r="9765" customFormat="false" ht="24" hidden="false" customHeight="true" outlineLevel="0" collapsed="false">
      <c r="B9765" s="48" t="str">
        <f aca="false">Cab_Mentions</f>
        <v>ALTHO EXPERTISE · SAS au capital de 10 000 € · RCS Pontoise 919 706 325 · TVA FR62919706325 · Société d'expertise comptable inscrite au Tableau de l'Ordre des experts-comptables de Paris Île-de-France</v>
      </c>
      <c r="C9765" s="48"/>
      <c r="D9765" s="48"/>
      <c r="E9765" s="48"/>
      <c r="F9765" s="48"/>
    </row>
    <row r="9766" customFormat="false" ht="15" hidden="false" customHeight="false" outlineLevel="0" collapsed="false">
      <c r="B9766" s="10"/>
      <c r="C9766" s="10"/>
      <c r="D9766" s="10"/>
      <c r="E9766" s="10"/>
      <c r="F9766" s="10"/>
      <c r="J9766" s="25" t="s">
        <v>142</v>
      </c>
      <c r="K9766" s="25" t="n">
        <f aca="false">IFERROR(MATCH(218,Clients!$Z$2:$Z$501,0),0)</f>
        <v>0</v>
      </c>
      <c r="L9766" s="25"/>
      <c r="M9766" s="25"/>
      <c r="N9766" s="25"/>
      <c r="O9766" s="25"/>
    </row>
    <row r="9767" customFormat="false" ht="21.75" hidden="false" customHeight="true" outlineLevel="0" collapsed="false">
      <c r="B9767" s="26" t="str">
        <f aca="false">Cab_Nom</f>
        <v>ALTHO EXPERTISE</v>
      </c>
      <c r="C9767" s="26"/>
      <c r="D9767" s="10"/>
      <c r="E9767" s="27" t="str">
        <f aca="false">IF($K$9766=0,"","Réf. client : "&amp;INDEX(Clients!$A$2:$A$501,$K$9766))</f>
        <v/>
      </c>
      <c r="F9767" s="27"/>
      <c r="J9767" s="25" t="s">
        <v>144</v>
      </c>
      <c r="K9767" s="25" t="str">
        <f aca="false">IF(IF($K$9766=0,"",INDEX(Clients!$B$2:$B$501,$K$9766)&amp;"")="Mme","Madame",IF(IF($K$9766=0,"",INDEX(Clients!$B$2:$B$501,$K$9766)&amp;"")="M.","Monsieur","Madame, Monsieur"))</f>
        <v>Madame, Monsieur</v>
      </c>
      <c r="L9767" s="25"/>
      <c r="M9767" s="25"/>
      <c r="N9767" s="25"/>
      <c r="O9767" s="25"/>
    </row>
    <row r="9768" customFormat="false" ht="15" hidden="false" customHeight="false" outlineLevel="0" collapsed="false">
      <c r="B9768" s="29" t="str">
        <f aca="false">Cab_Adr1</f>
        <v>141 rue Charles de Gaulle</v>
      </c>
      <c r="C9768" s="29"/>
      <c r="D9768" s="10"/>
      <c r="E9768" s="10"/>
      <c r="F9768" s="10"/>
      <c r="J9768" s="25" t="s">
        <v>145</v>
      </c>
      <c r="K9768" s="25" t="str">
        <f aca="false">DAY(Date_Effet)&amp;IF(DAY(Date_Effet)=1,"er","")&amp;" "&amp;INDEX(Liste_Mois,MONTH(Date_Effet))&amp;" "&amp;YEAR(Date_Effet)</f>
        <v>1er janvier 2027</v>
      </c>
      <c r="L9768" s="25"/>
      <c r="M9768" s="25"/>
      <c r="N9768" s="25"/>
      <c r="O9768" s="25"/>
    </row>
    <row r="9769" customFormat="false" ht="15" hidden="false" customHeight="false" outlineLevel="0" collapsed="false">
      <c r="B9769" s="29" t="str">
        <f aca="false">Cab_CPVille</f>
        <v>95130 LE PLESSIS-BOUCHARD</v>
      </c>
      <c r="C9769" s="29"/>
      <c r="D9769" s="10"/>
      <c r="E9769" s="10"/>
      <c r="F9769" s="10"/>
      <c r="J9769" s="25" t="s">
        <v>146</v>
      </c>
      <c r="K9769" s="25" t="str">
        <f aca="false">IF(SUM($K$9793:$K$9796)=0,"",FIXED((SUM($L$9793:$L$9796)/SUM($K$9793:$K$9796)-1)*100,1)&amp;" %")</f>
        <v/>
      </c>
      <c r="L9769" s="25"/>
      <c r="M9769" s="25"/>
      <c r="N9769" s="25"/>
      <c r="O9769" s="25"/>
    </row>
    <row r="9770" customFormat="false" ht="15" hidden="false" customHeight="false" outlineLevel="0" collapsed="false">
      <c r="B9770" s="29" t="str">
        <f aca="false">Cab_Contact</f>
        <v>Tél. 01 34 14 53 45  ·  altho@altho-experts.com  ·  altho-experts.com</v>
      </c>
      <c r="C9770" s="29"/>
      <c r="D9770" s="10"/>
      <c r="E9770" s="10"/>
      <c r="F9770" s="10"/>
      <c r="J9770" s="25"/>
      <c r="K9770" s="25"/>
      <c r="L9770" s="25"/>
      <c r="M9770" s="25"/>
      <c r="N9770" s="25"/>
      <c r="O9770" s="25"/>
    </row>
    <row r="9771" customFormat="false" ht="6" hidden="false" customHeight="true" outlineLevel="0" collapsed="false">
      <c r="B9771" s="32"/>
      <c r="C9771" s="32"/>
      <c r="D9771" s="32"/>
      <c r="E9771" s="32"/>
      <c r="F9771" s="32"/>
      <c r="J9771" s="25"/>
      <c r="K9771" s="25"/>
      <c r="L9771" s="25"/>
      <c r="M9771" s="25"/>
      <c r="N9771" s="25"/>
      <c r="O9771" s="25"/>
    </row>
    <row r="9772" customFormat="false" ht="13.5" hidden="false" customHeight="true" outlineLevel="0" collapsed="false">
      <c r="B9772" s="10"/>
      <c r="C9772" s="10"/>
      <c r="D9772" s="10"/>
      <c r="E9772" s="10"/>
      <c r="F9772" s="10"/>
      <c r="J9772" s="25"/>
      <c r="K9772" s="25"/>
      <c r="L9772" s="25"/>
      <c r="M9772" s="25"/>
      <c r="N9772" s="25"/>
      <c r="O9772" s="25"/>
    </row>
    <row r="9773" customFormat="false" ht="13.5" hidden="false" customHeight="true" outlineLevel="0" collapsed="false">
      <c r="B9773" s="10"/>
      <c r="C9773" s="10"/>
      <c r="D9773" s="10"/>
      <c r="E9773" s="10"/>
      <c r="F9773" s="10"/>
      <c r="J9773" s="25"/>
      <c r="K9773" s="25"/>
      <c r="L9773" s="25"/>
      <c r="M9773" s="25"/>
      <c r="N9773" s="25"/>
      <c r="O9773" s="25"/>
    </row>
    <row r="9774" customFormat="false" ht="13.5" hidden="false" customHeight="true" outlineLevel="0" collapsed="false">
      <c r="B9774" s="10"/>
      <c r="C9774" s="10"/>
      <c r="D9774" s="10"/>
      <c r="E9774" s="10"/>
      <c r="F9774" s="10"/>
      <c r="J9774" s="25"/>
      <c r="K9774" s="25"/>
      <c r="L9774" s="25"/>
      <c r="M9774" s="25"/>
      <c r="N9774" s="25"/>
      <c r="O9774" s="25"/>
    </row>
    <row r="9775" customFormat="false" ht="15" hidden="false" customHeight="true" outlineLevel="0" collapsed="false">
      <c r="B9775" s="10"/>
      <c r="C9775" s="10"/>
      <c r="D9775" s="34" t="str">
        <f aca="false">IF($K$9766=0,"",INDEX(Clients!$E$2:$E$501,$K$9766)&amp;"")</f>
        <v/>
      </c>
      <c r="E9775" s="34"/>
      <c r="F9775" s="34"/>
      <c r="J9775" s="25"/>
      <c r="K9775" s="25"/>
      <c r="L9775" s="25"/>
      <c r="M9775" s="25"/>
      <c r="N9775" s="25"/>
      <c r="O9775" s="25"/>
    </row>
    <row r="9776" customFormat="false" ht="15" hidden="false" customHeight="true" outlineLevel="0" collapsed="false">
      <c r="B9776" s="10"/>
      <c r="C9776" s="10"/>
      <c r="D9776" s="35" t="str">
        <f aca="false">IF(IF($K$9766=0,"",INDEX(Clients!$D$2:$D$501,$K$9766)&amp;"")="","","À l'attention de "&amp;TRIM(IF($K$9766=0,"",INDEX(Clients!$B$2:$B$501,$K$9766)&amp;"")&amp;" "&amp;IF($K$9766=0,"",INDEX(Clients!$C$2:$C$501,$K$9766)&amp;"")&amp;" "&amp;IF($K$9766=0,"",INDEX(Clients!$D$2:$D$501,$K$9766)&amp;"")))</f>
        <v/>
      </c>
      <c r="E9776" s="35"/>
      <c r="F9776" s="35"/>
      <c r="J9776" s="25"/>
      <c r="K9776" s="25"/>
      <c r="L9776" s="25"/>
      <c r="M9776" s="25"/>
      <c r="N9776" s="25"/>
      <c r="O9776" s="25"/>
    </row>
    <row r="9777" customFormat="false" ht="15" hidden="false" customHeight="true" outlineLevel="0" collapsed="false">
      <c r="B9777" s="10"/>
      <c r="C9777" s="10"/>
      <c r="D9777" s="35" t="str">
        <f aca="false">IF($K$9766=0,"",INDEX(Clients!$F$2:$F$501,$K$9766)&amp;"")</f>
        <v/>
      </c>
      <c r="E9777" s="35"/>
      <c r="F9777" s="35"/>
      <c r="J9777" s="25"/>
      <c r="K9777" s="25"/>
      <c r="L9777" s="25"/>
      <c r="M9777" s="25"/>
      <c r="N9777" s="25"/>
      <c r="O9777" s="25"/>
    </row>
    <row r="9778" customFormat="false" ht="15" hidden="false" customHeight="true" outlineLevel="0" collapsed="false">
      <c r="B9778" s="10"/>
      <c r="C9778" s="10"/>
      <c r="D9778" s="35" t="str">
        <f aca="false">IF(IF($K$9766=0,"",INDEX(Clients!$G$2:$G$501,$K$9766)&amp;"")="",TRIM(IF($K$9766=0,"",INDEX(Clients!$H$2:$H$501,$K$9766)&amp;"")&amp;" "&amp;UPPER(IF($K$9766=0,"",INDEX(Clients!$I$2:$I$501,$K$9766)&amp;""))),IF($K$9766=0,"",INDEX(Clients!$G$2:$G$501,$K$9766)&amp;""))</f>
        <v/>
      </c>
      <c r="E9778" s="35"/>
      <c r="F9778" s="35"/>
      <c r="J9778" s="25"/>
      <c r="K9778" s="25"/>
      <c r="L9778" s="25"/>
      <c r="M9778" s="25"/>
      <c r="N9778" s="25"/>
      <c r="O9778" s="25"/>
    </row>
    <row r="9779" customFormat="false" ht="15" hidden="false" customHeight="true" outlineLevel="0" collapsed="false">
      <c r="B9779" s="10"/>
      <c r="C9779" s="10"/>
      <c r="D9779" s="35" t="str">
        <f aca="false">IF(IF($K$9766=0,"",INDEX(Clients!$G$2:$G$501,$K$9766)&amp;"")="","",TRIM(IF($K$9766=0,"",INDEX(Clients!$H$2:$H$501,$K$9766)&amp;"")&amp;" "&amp;UPPER(IF($K$9766=0,"",INDEX(Clients!$I$2:$I$501,$K$9766)&amp;""))))</f>
        <v/>
      </c>
      <c r="E9779" s="35"/>
      <c r="F9779" s="35"/>
      <c r="J9779" s="25"/>
      <c r="K9779" s="25"/>
      <c r="L9779" s="25"/>
      <c r="M9779" s="25"/>
      <c r="N9779" s="25"/>
      <c r="O9779" s="25"/>
    </row>
    <row r="9780" customFormat="false" ht="25.5" hidden="false" customHeight="true" outlineLevel="0" collapsed="false">
      <c r="B9780" s="10"/>
      <c r="C9780" s="10"/>
      <c r="D9780" s="10"/>
      <c r="E9780" s="10"/>
      <c r="F9780" s="10"/>
      <c r="J9780" s="25"/>
      <c r="K9780" s="25"/>
      <c r="L9780" s="25"/>
      <c r="M9780" s="25"/>
      <c r="N9780" s="25"/>
      <c r="O9780" s="25"/>
    </row>
    <row r="9781" customFormat="false" ht="15" hidden="false" customHeight="false" outlineLevel="0" collapsed="false">
      <c r="B9781" s="10"/>
      <c r="C9781" s="10"/>
      <c r="D9781" s="36" t="str">
        <f aca="false">Cab_Ville&amp;", le "&amp;DAY(Date_Courrier)&amp;IF(DAY(Date_Courrier)=1,"er","")&amp;" "&amp;INDEX(Liste_Mois,MONTH(Date_Courrier))&amp;" "&amp;YEAR(Date_Courrier)</f>
        <v>Le Plessis-Bouchard, le 22 septembre 2026</v>
      </c>
      <c r="E9781" s="36"/>
      <c r="F9781" s="36"/>
      <c r="J9781" s="25"/>
      <c r="K9781" s="25"/>
      <c r="L9781" s="25"/>
      <c r="M9781" s="25"/>
      <c r="N9781" s="25"/>
      <c r="O9781" s="25"/>
    </row>
    <row r="9782" customFormat="false" ht="19.5" hidden="false" customHeight="true" outlineLevel="0" collapsed="false">
      <c r="B9782" s="10"/>
      <c r="C9782" s="10"/>
      <c r="D9782" s="10"/>
      <c r="E9782" s="10"/>
      <c r="F9782" s="10"/>
      <c r="J9782" s="25"/>
      <c r="K9782" s="25"/>
      <c r="L9782" s="25"/>
      <c r="M9782" s="25"/>
      <c r="N9782" s="25"/>
      <c r="O9782" s="25"/>
    </row>
    <row r="9783" customFormat="false" ht="15" hidden="false" customHeight="false" outlineLevel="0" collapsed="false">
      <c r="B9783" s="34" t="str">
        <f aca="false">SUBSTITUTE(SUBSTITUTE(SUBSTITUTE(SUBSTITUTE(SUBSTITUTE(Txt_Objet,"{cabinet}",Cab_Nom),"{societe}",IF($K$9766=0,"",INDEX(Clients!$E$2:$E$501,$K$9766)&amp;"")),"{date_effet}",$K$9768),"{hausse}",$K$9769),"{civilite}",$K$9767)</f>
        <v>Objet : révision de nos honoraires au 1er janvier 2027</v>
      </c>
      <c r="C9783" s="34"/>
      <c r="D9783" s="34"/>
      <c r="E9783" s="34"/>
      <c r="F9783" s="34"/>
      <c r="J9783" s="25"/>
      <c r="K9783" s="25"/>
      <c r="L9783" s="25"/>
      <c r="M9783" s="25"/>
      <c r="N9783" s="25"/>
      <c r="O9783" s="25"/>
    </row>
    <row r="9784" customFormat="false" ht="13.5" hidden="false" customHeight="true" outlineLevel="0" collapsed="false">
      <c r="B9784" s="10"/>
      <c r="C9784" s="10"/>
      <c r="D9784" s="10"/>
      <c r="E9784" s="10"/>
      <c r="F9784" s="10"/>
      <c r="J9784" s="25"/>
      <c r="K9784" s="25"/>
      <c r="L9784" s="25"/>
      <c r="M9784" s="25"/>
      <c r="N9784" s="25"/>
      <c r="O9784" s="25"/>
    </row>
    <row r="9785" customFormat="false" ht="15" hidden="false" customHeight="false" outlineLevel="0" collapsed="false">
      <c r="B9785" s="10" t="str">
        <f aca="false">$K$9767&amp;","</f>
        <v>Madame, Monsieur,</v>
      </c>
      <c r="C9785" s="10"/>
      <c r="D9785" s="10"/>
      <c r="E9785" s="10"/>
      <c r="F9785" s="10"/>
      <c r="J9785" s="25"/>
      <c r="K9785" s="25"/>
      <c r="L9785" s="25"/>
      <c r="M9785" s="25"/>
      <c r="N9785" s="25"/>
      <c r="O9785" s="25"/>
    </row>
    <row r="9786" customFormat="false" ht="6" hidden="false" customHeight="true" outlineLevel="0" collapsed="false">
      <c r="B9786" s="10"/>
      <c r="C9786" s="10"/>
      <c r="D9786" s="10"/>
      <c r="E9786" s="10"/>
      <c r="F9786" s="10"/>
      <c r="J9786" s="25"/>
      <c r="K9786" s="25"/>
      <c r="L9786" s="25"/>
      <c r="M9786" s="25"/>
      <c r="N9786" s="25"/>
      <c r="O9786" s="25"/>
    </row>
    <row r="9787" customFormat="false" ht="36.75" hidden="false" customHeight="true" outlineLevel="0" collapsed="false">
      <c r="B9787" s="37" t="str">
        <f aca="false">SUBSTITUTE(SUBSTITUTE(SUBSTITUTE(SUBSTITUTE(SUBSTITUTE(Txt_P1,"{cabinet}",Cab_Nom),"{societe}",IF($K$9766=0,"",INDEX(Clients!$E$2:$E$501,$K$9766)&amp;"")),"{date_effet}",$K$9768),"{hausse}",$K$9769),"{civilite}",$K$9767)</f>
        <v>Nous tenons tout d'abord à vous remercier pour la confiance que vous accordez à ALTHO EXPERTISE. Comme chaque année, et conformément aux dispositions de votre lettre de mission, nous procédons à la révision de nos honoraires.</v>
      </c>
      <c r="C9787" s="37"/>
      <c r="D9787" s="37"/>
      <c r="E9787" s="37"/>
      <c r="F9787" s="37"/>
      <c r="J9787" s="25"/>
      <c r="K9787" s="25"/>
      <c r="L9787" s="25"/>
      <c r="M9787" s="25"/>
      <c r="N9787" s="25"/>
      <c r="O9787" s="25"/>
    </row>
    <row r="9788" customFormat="false" ht="49.5" hidden="false" customHeight="true" outlineLevel="0" collapsed="false">
      <c r="B9788" s="37" t="str">
        <f aca="false">SUBSTITUTE(SUBSTITUTE(SUBSTITUTE(SUBSTITUTE(SUBSTITUTE(Txt_P2,"{cabinet}",Cab_Nom),"{societe}",IF($K$9766=0,"",INDEX(Clients!$E$2:$E$501,$K$9766)&amp;"")),"{date_effet}",$K$9768),"{hausse}",$K$9769),"{civilite}",$K$9767)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788" s="37"/>
      <c r="D9788" s="37"/>
      <c r="E9788" s="37"/>
      <c r="F9788" s="37"/>
      <c r="J9788" s="25"/>
      <c r="K9788" s="25"/>
      <c r="L9788" s="25"/>
      <c r="M9788" s="25"/>
      <c r="N9788" s="25"/>
      <c r="O9788" s="25"/>
    </row>
    <row r="9789" customFormat="false" ht="63" hidden="false" customHeight="true" outlineLevel="0" collapsed="false">
      <c r="B9789" s="37" t="str">
        <f aca="false">SUBSTITUTE(SUBSTITUTE(SUBSTITUTE(SUBSTITUTE(SUBSTITUTE(Txt_P3,"{cabinet}",Cab_Nom),"{societe}",IF($K$9766=0,"",INDEX(Clients!$E$2:$E$501,$K$9766)&amp;"")),"{date_effet}",$K$9768),"{hausse}",$K$9769),"{civilite}",$K$9767)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789" s="37"/>
      <c r="D9789" s="37"/>
      <c r="E9789" s="37"/>
      <c r="F9789" s="37"/>
      <c r="J9789" s="25"/>
      <c r="K9789" s="25"/>
      <c r="L9789" s="25"/>
      <c r="M9789" s="25"/>
      <c r="N9789" s="25"/>
      <c r="O9789" s="25"/>
    </row>
    <row r="9790" customFormat="false" ht="24" hidden="false" customHeight="true" outlineLevel="0" collapsed="false">
      <c r="B9790" s="37" t="str">
        <f aca="false">SUBSTITUTE(SUBSTITUTE(SUBSTITUTE(SUBSTITUTE(SUBSTITUTE(Txt_P4,"{cabinet}",Cab_Nom),"{societe}",IF($K$9766=0,"",INDEX(Clients!$E$2:$E$501,$K$9766)&amp;"")),"{date_effet}",$K$9768),"{hausse}",$K$9769),"{civilite}",$K$9767)</f>
        <v>À compter du 1er janvier 2027, vos honoraires annuels hors taxes évolueront ainsi (évolution globale : ) :</v>
      </c>
      <c r="C9790" s="37"/>
      <c r="D9790" s="37"/>
      <c r="E9790" s="37"/>
      <c r="F9790" s="37"/>
      <c r="J9790" s="25"/>
      <c r="K9790" s="25"/>
      <c r="L9790" s="25"/>
      <c r="M9790" s="25"/>
      <c r="N9790" s="25"/>
      <c r="O9790" s="25"/>
    </row>
    <row r="9791" customFormat="false" ht="3.75" hidden="false" customHeight="true" outlineLevel="0" collapsed="false">
      <c r="B9791" s="10"/>
      <c r="C9791" s="10"/>
      <c r="D9791" s="10"/>
      <c r="E9791" s="10"/>
      <c r="F9791" s="10"/>
      <c r="J9791" s="25"/>
      <c r="K9791" s="25"/>
      <c r="L9791" s="25"/>
      <c r="M9791" s="25"/>
      <c r="N9791" s="25"/>
      <c r="O9791" s="25"/>
    </row>
    <row r="9792" customFormat="false" ht="18" hidden="false" customHeight="true" outlineLevel="0" collapsed="false">
      <c r="B9792" s="38" t="s">
        <v>148</v>
      </c>
      <c r="C9792" s="39" t="s">
        <v>149</v>
      </c>
      <c r="D9792" s="39" t="s">
        <v>150</v>
      </c>
      <c r="E9792" s="39" t="s">
        <v>151</v>
      </c>
      <c r="F9792" s="39" t="s">
        <v>109</v>
      </c>
      <c r="J9792" s="25" t="s">
        <v>152</v>
      </c>
      <c r="K9792" s="25" t="s">
        <v>153</v>
      </c>
      <c r="L9792" s="25" t="s">
        <v>154</v>
      </c>
      <c r="M9792" s="25" t="s">
        <v>155</v>
      </c>
      <c r="N9792" s="25" t="s">
        <v>156</v>
      </c>
      <c r="O9792" s="25" t="s">
        <v>157</v>
      </c>
    </row>
    <row r="9793" customFormat="false" ht="16.5" hidden="false" customHeight="true" outlineLevel="0" collapsed="false">
      <c r="B9793" s="40" t="str">
        <f aca="false">IFERROR(INDEX($J$9793:$J$9796,MATCH($O9793,$N$9793:$N$9796,0)),"")</f>
        <v/>
      </c>
      <c r="C9793" s="41" t="str">
        <f aca="false">IFERROR(INDEX($K$9793:$K$9796,MATCH($O9793,$N$9793:$N$9796,0)),"")</f>
        <v/>
      </c>
      <c r="D9793" s="42" t="str">
        <f aca="false">IF(OR(E9793="",N(C9793)=0),"",E9793/C9793-1)</f>
        <v/>
      </c>
      <c r="E9793" s="41" t="str">
        <f aca="false">IFERROR(INDEX($L$9793:$L$9796,MATCH($O9793,$N$9793:$N$9796,0)),"")</f>
        <v/>
      </c>
      <c r="F9793" s="41" t="str">
        <f aca="false">IF(E9793="","",E9793-C9793)</f>
        <v/>
      </c>
      <c r="J9793" s="25" t="str">
        <f aca="false">Lib_Compta</f>
        <v>Mission comptable (tenue, révision, bilan, liasse fiscale)</v>
      </c>
      <c r="K9793" s="25" t="n">
        <f aca="false">IF($K$9766=0,0,N(INDEX(Clients!$K$2:$K$501,$K$9766)))</f>
        <v>0</v>
      </c>
      <c r="L9793" s="25" t="n">
        <f aca="false">IF($K$9766=0,0,N(INDEX(Clients!$P$2:$P$501,$K$9766)))</f>
        <v>0</v>
      </c>
      <c r="M9793" s="25" t="n">
        <f aca="false">IF(OR(K9793&lt;&gt;0,L9793&lt;&gt;0),1,0)</f>
        <v>0</v>
      </c>
      <c r="N9793" s="25" t="str">
        <f aca="false">IF(M9793=1,SUM($M$9793:M9793),"")</f>
        <v/>
      </c>
      <c r="O9793" s="25" t="n">
        <v>1</v>
      </c>
    </row>
    <row r="9794" customFormat="false" ht="16.5" hidden="false" customHeight="true" outlineLevel="0" collapsed="false">
      <c r="B9794" s="40" t="str">
        <f aca="false">IFERROR(INDEX($J$9793:$J$9796,MATCH($O9794,$N$9793:$N$9796,0)),"")</f>
        <v/>
      </c>
      <c r="C9794" s="41" t="str">
        <f aca="false">IFERROR(INDEX($K$9793:$K$9796,MATCH($O9794,$N$9793:$N$9796,0)),"")</f>
        <v/>
      </c>
      <c r="D9794" s="42" t="str">
        <f aca="false">IF(OR(E9794="",N(C9794)=0),"",E9794/C9794-1)</f>
        <v/>
      </c>
      <c r="E9794" s="41" t="str">
        <f aca="false">IFERROR(INDEX($L$9793:$L$9796,MATCH($O9794,$N$9793:$N$9796,0)),"")</f>
        <v/>
      </c>
      <c r="F9794" s="41" t="str">
        <f aca="false">IF(E9794="","",E9794-C9794)</f>
        <v/>
      </c>
      <c r="J9794" s="25" t="str">
        <f aca="false">Lib_Paye</f>
        <v>Mission sociale (bulletins de paie, DSN, déclarations sociales)</v>
      </c>
      <c r="K9794" s="25" t="n">
        <f aca="false">IF($K$9766=0,0,N(INDEX(Clients!$L$2:$L$501,$K$9766)))</f>
        <v>0</v>
      </c>
      <c r="L9794" s="25" t="n">
        <f aca="false">IF($K$9766=0,0,N(INDEX(Clients!$Q$2:$Q$501,$K$9766)))</f>
        <v>0</v>
      </c>
      <c r="M9794" s="25" t="n">
        <f aca="false">IF(OR(K9794&lt;&gt;0,L9794&lt;&gt;0),1,0)</f>
        <v>0</v>
      </c>
      <c r="N9794" s="25" t="str">
        <f aca="false">IF(M9794=1,SUM($M$9793:M9794),"")</f>
        <v/>
      </c>
      <c r="O9794" s="25" t="n">
        <v>2</v>
      </c>
    </row>
    <row r="9795" customFormat="false" ht="16.5" hidden="false" customHeight="true" outlineLevel="0" collapsed="false">
      <c r="B9795" s="40" t="str">
        <f aca="false">IFERROR(INDEX($J$9793:$J$9796,MATCH($O9795,$N$9793:$N$9796,0)),"")</f>
        <v/>
      </c>
      <c r="C9795" s="41" t="str">
        <f aca="false">IFERROR(INDEX($K$9793:$K$9796,MATCH($O9795,$N$9793:$N$9796,0)),"")</f>
        <v/>
      </c>
      <c r="D9795" s="42" t="str">
        <f aca="false">IF(OR(E9795="",N(C9795)=0),"",E9795/C9795-1)</f>
        <v/>
      </c>
      <c r="E9795" s="41" t="str">
        <f aca="false">IFERROR(INDEX($L$9793:$L$9796,MATCH($O9795,$N$9793:$N$9796,0)),"")</f>
        <v/>
      </c>
      <c r="F9795" s="41" t="str">
        <f aca="false">IF(E9795="","",E9795-C9795)</f>
        <v/>
      </c>
      <c r="J9795" s="25" t="str">
        <f aca="false">Lib_Jur</f>
        <v>Mission juridique (approbation des comptes, secrétariat juridique)</v>
      </c>
      <c r="K9795" s="25" t="n">
        <f aca="false">IF($K$9766=0,0,N(INDEX(Clients!$M$2:$M$501,$K$9766)))</f>
        <v>0</v>
      </c>
      <c r="L9795" s="25" t="n">
        <f aca="false">IF($K$9766=0,0,N(INDEX(Clients!$R$2:$R$501,$K$9766)))</f>
        <v>0</v>
      </c>
      <c r="M9795" s="25" t="n">
        <f aca="false">IF(OR(K9795&lt;&gt;0,L9795&lt;&gt;0),1,0)</f>
        <v>0</v>
      </c>
      <c r="N9795" s="25" t="str">
        <f aca="false">IF(M9795=1,SUM($M$9793:M9795),"")</f>
        <v/>
      </c>
      <c r="O9795" s="25" t="n">
        <v>3</v>
      </c>
    </row>
    <row r="9796" customFormat="false" ht="16.5" hidden="false" customHeight="true" outlineLevel="0" collapsed="false">
      <c r="B9796" s="40" t="str">
        <f aca="false">IFERROR(INDEX($J$9793:$J$9796,MATCH($O9796,$N$9793:$N$9796,0)),"")</f>
        <v/>
      </c>
      <c r="C9796" s="41" t="str">
        <f aca="false">IFERROR(INDEX($K$9793:$K$9796,MATCH($O9796,$N$9793:$N$9796,0)),"")</f>
        <v/>
      </c>
      <c r="D9796" s="42" t="str">
        <f aca="false">IF(OR(E9796="",N(C9796)=0),"",E9796/C9796-1)</f>
        <v/>
      </c>
      <c r="E9796" s="41" t="str">
        <f aca="false">IFERROR(INDEX($L$9793:$L$9796,MATCH($O9796,$N$9793:$N$9796,0)),"")</f>
        <v/>
      </c>
      <c r="F9796" s="41" t="str">
        <f aca="false">IF(E9796="","",E9796-C9796)</f>
        <v/>
      </c>
      <c r="J9796" s="25" t="str">
        <f aca="false">Lib_PA</f>
        <v>Plateforme agréée – facturation électronique</v>
      </c>
      <c r="K9796" s="25" t="n">
        <f aca="false">IF($K$9766=0,0,N(INDEX(Clients!$N$2:$N$501,$K$9766)))</f>
        <v>0</v>
      </c>
      <c r="L9796" s="25" t="n">
        <f aca="false">IF($K$9766=0,0,N(INDEX(Clients!$S$2:$S$501,$K$9766)))</f>
        <v>0</v>
      </c>
      <c r="M9796" s="25" t="n">
        <f aca="false">IF(OR(K9796&lt;&gt;0,L9796&lt;&gt;0),1,0)</f>
        <v>0</v>
      </c>
      <c r="N9796" s="25" t="str">
        <f aca="false">IF(M9796=1,SUM($M$9793:M9796),"")</f>
        <v/>
      </c>
      <c r="O9796" s="25" t="n">
        <v>4</v>
      </c>
    </row>
    <row r="9797" customFormat="false" ht="18" hidden="false" customHeight="true" outlineLevel="0" collapsed="false">
      <c r="B9797" s="43" t="s">
        <v>158</v>
      </c>
      <c r="C9797" s="44" t="n">
        <f aca="false">SUM(K9793:K9796)</f>
        <v>0</v>
      </c>
      <c r="D9797" s="45" t="str">
        <f aca="false">IF(N(C9797)=0,"",E9797/C9797-1)</f>
        <v/>
      </c>
      <c r="E9797" s="44" t="n">
        <f aca="false">SUM(L9793:L9796)</f>
        <v>0</v>
      </c>
      <c r="F9797" s="44" t="n">
        <f aca="false">E9797-C9797</f>
        <v>0</v>
      </c>
    </row>
    <row r="9798" customFormat="false" ht="15" hidden="false" customHeight="false" outlineLevel="0" collapsed="false">
      <c r="B9798" s="46" t="str">
        <f aca="false">IF(N(Nb_Mensualites)=0,"","Soit "&amp;FIXED(E9797/Nb_Mensualites,2)&amp;" € HT par échéance ("&amp;Nb_Mensualites&amp;" échéances), "&amp;FIXED(E9797/Nb_Mensualites*(1+Taux_TVA),2)&amp;" € TTC.")</f>
        <v>Soit 0.00 € HT par échéance (12 échéances), 0.00 € TTC.</v>
      </c>
      <c r="C9798" s="46"/>
      <c r="D9798" s="46"/>
      <c r="E9798" s="46"/>
      <c r="F9798" s="46"/>
    </row>
    <row r="9799" customFormat="false" ht="7.5" hidden="false" customHeight="true" outlineLevel="0" collapsed="false">
      <c r="B9799" s="10"/>
      <c r="C9799" s="10"/>
      <c r="D9799" s="10"/>
      <c r="E9799" s="10"/>
      <c r="F9799" s="10"/>
    </row>
    <row r="9800" customFormat="false" ht="36.75" hidden="false" customHeight="true" outlineLevel="0" collapsed="false">
      <c r="B9800" s="37" t="str">
        <f aca="false">SUBSTITUTE(SUBSTITUTE(SUBSTITUTE(SUBSTITUTE(SUBSTITUTE(Txt_P5,"{cabinet}",Cab_Nom),"{societe}",IF($K$9766=0,"",INDEX(Clients!$E$2:$E$501,$K$9766)&amp;"")),"{date_effet}",$K$9768),"{hausse}",$K$9769),"{civilite}",$K$9767)</f>
        <v>Les autres conditions de votre lettre de mission demeurent inchangées. Les nouveaux montants seront appliqués automatiquement sur vos prochaines factures et échéances de prélèvement.</v>
      </c>
      <c r="C9800" s="37"/>
      <c r="D9800" s="37"/>
      <c r="E9800" s="37"/>
      <c r="F9800" s="37"/>
    </row>
    <row r="9801" customFormat="false" ht="36.75" hidden="false" customHeight="true" outlineLevel="0" collapsed="false">
      <c r="B9801" s="37" t="str">
        <f aca="false">SUBSTITUTE(SUBSTITUTE(SUBSTITUTE(SUBSTITUTE(SUBSTITUTE(Txt_P6,"{cabinet}",Cab_Nom),"{societe}",IF($K$9766=0,"",INDEX(Clients!$E$2:$E$501,$K$9766)&amp;"")),"{date_effet}",$K$9768),"{hausse}",$K$9769),"{civilite}",$K$9767)</f>
        <v>Votre interlocuteur habituel reste à votre entière disposition pour répondre à vos questions et faire le point sur l'évolution de vos besoins.</v>
      </c>
      <c r="C9801" s="37"/>
      <c r="D9801" s="37"/>
      <c r="E9801" s="37"/>
      <c r="F9801" s="37"/>
    </row>
    <row r="9802" customFormat="false" ht="24" hidden="false" customHeight="true" outlineLevel="0" collapsed="false">
      <c r="B9802" s="37" t="str">
        <f aca="false">SUBSTITUTE(SUBSTITUTE(SUBSTITUTE(SUBSTITUTE(SUBSTITUTE(Txt_Politesse,"{cabinet}",Cab_Nom),"{societe}",IF($K$9766=0,"",INDEX(Clients!$E$2:$E$501,$K$9766)&amp;"")),"{date_effet}",$K$9768),"{hausse}",$K$9769),"{civilite}",$K$9767)</f>
        <v>Nous vous prions d'agréer, Madame, Monsieur, l'expression de nos salutations distinguées.</v>
      </c>
      <c r="C9802" s="37"/>
      <c r="D9802" s="37"/>
      <c r="E9802" s="37"/>
      <c r="F9802" s="37"/>
    </row>
    <row r="9803" customFormat="false" ht="15" hidden="false" customHeight="false" outlineLevel="0" collapsed="false">
      <c r="B9803" s="10"/>
      <c r="C9803" s="10"/>
      <c r="D9803" s="10"/>
      <c r="E9803" s="10"/>
      <c r="F9803" s="10"/>
    </row>
    <row r="9804" customFormat="false" ht="15" hidden="false" customHeight="false" outlineLevel="0" collapsed="false">
      <c r="B9804" s="10"/>
      <c r="C9804" s="10"/>
      <c r="D9804" s="34" t="str">
        <f aca="false">Signataire</f>
        <v>Prénom NOM</v>
      </c>
      <c r="E9804" s="34"/>
      <c r="F9804" s="34"/>
    </row>
    <row r="9805" customFormat="false" ht="15" hidden="false" customHeight="false" outlineLevel="0" collapsed="false">
      <c r="B9805" s="10"/>
      <c r="C9805" s="10"/>
      <c r="D9805" s="47" t="str">
        <f aca="false">Signataire_Titre</f>
        <v>Expert-comptable associé</v>
      </c>
      <c r="E9805" s="47"/>
      <c r="F9805" s="47"/>
    </row>
    <row r="9806" customFormat="false" ht="15.75" hidden="false" customHeight="true" outlineLevel="0" collapsed="false">
      <c r="B9806" s="10"/>
      <c r="C9806" s="10"/>
      <c r="D9806" s="10"/>
      <c r="E9806" s="10"/>
      <c r="F9806" s="10"/>
    </row>
    <row r="9807" customFormat="false" ht="15.75" hidden="false" customHeight="true" outlineLevel="0" collapsed="false">
      <c r="B9807" s="10"/>
      <c r="C9807" s="10"/>
      <c r="D9807" s="10"/>
      <c r="E9807" s="10"/>
      <c r="F9807" s="10"/>
    </row>
    <row r="9808" customFormat="false" ht="15.75" hidden="false" customHeight="true" outlineLevel="0" collapsed="false">
      <c r="B9808" s="10"/>
      <c r="C9808" s="10"/>
      <c r="D9808" s="10"/>
      <c r="E9808" s="10"/>
      <c r="F9808" s="10"/>
    </row>
    <row r="9809" customFormat="false" ht="15.75" hidden="false" customHeight="true" outlineLevel="0" collapsed="false">
      <c r="B9809" s="10"/>
      <c r="C9809" s="10"/>
      <c r="D9809" s="10"/>
      <c r="E9809" s="10"/>
      <c r="F9809" s="10"/>
    </row>
    <row r="9810" customFormat="false" ht="24" hidden="false" customHeight="true" outlineLevel="0" collapsed="false">
      <c r="B9810" s="48" t="str">
        <f aca="false">Cab_Mentions</f>
        <v>ALTHO EXPERTISE · SAS au capital de 10 000 € · RCS Pontoise 919 706 325 · TVA FR62919706325 · Société d'expertise comptable inscrite au Tableau de l'Ordre des experts-comptables de Paris Île-de-France</v>
      </c>
      <c r="C9810" s="48"/>
      <c r="D9810" s="48"/>
      <c r="E9810" s="48"/>
      <c r="F9810" s="48"/>
    </row>
    <row r="9811" customFormat="false" ht="15" hidden="false" customHeight="false" outlineLevel="0" collapsed="false">
      <c r="B9811" s="10"/>
      <c r="C9811" s="10"/>
      <c r="D9811" s="10"/>
      <c r="E9811" s="10"/>
      <c r="F9811" s="10"/>
      <c r="J9811" s="25" t="s">
        <v>142</v>
      </c>
      <c r="K9811" s="25" t="n">
        <f aca="false">IFERROR(MATCH(219,Clients!$Z$2:$Z$501,0),0)</f>
        <v>0</v>
      </c>
      <c r="L9811" s="25"/>
      <c r="M9811" s="25"/>
      <c r="N9811" s="25"/>
      <c r="O9811" s="25"/>
    </row>
    <row r="9812" customFormat="false" ht="21.75" hidden="false" customHeight="true" outlineLevel="0" collapsed="false">
      <c r="B9812" s="26" t="str">
        <f aca="false">Cab_Nom</f>
        <v>ALTHO EXPERTISE</v>
      </c>
      <c r="C9812" s="26"/>
      <c r="D9812" s="10"/>
      <c r="E9812" s="27" t="str">
        <f aca="false">IF($K$9811=0,"","Réf. client : "&amp;INDEX(Clients!$A$2:$A$501,$K$9811))</f>
        <v/>
      </c>
      <c r="F9812" s="27"/>
      <c r="J9812" s="25" t="s">
        <v>144</v>
      </c>
      <c r="K9812" s="25" t="str">
        <f aca="false">IF(IF($K$9811=0,"",INDEX(Clients!$B$2:$B$501,$K$9811)&amp;"")="Mme","Madame",IF(IF($K$9811=0,"",INDEX(Clients!$B$2:$B$501,$K$9811)&amp;"")="M.","Monsieur","Madame, Monsieur"))</f>
        <v>Madame, Monsieur</v>
      </c>
      <c r="L9812" s="25"/>
      <c r="M9812" s="25"/>
      <c r="N9812" s="25"/>
      <c r="O9812" s="25"/>
    </row>
    <row r="9813" customFormat="false" ht="15" hidden="false" customHeight="false" outlineLevel="0" collapsed="false">
      <c r="B9813" s="29" t="str">
        <f aca="false">Cab_Adr1</f>
        <v>141 rue Charles de Gaulle</v>
      </c>
      <c r="C9813" s="29"/>
      <c r="D9813" s="10"/>
      <c r="E9813" s="10"/>
      <c r="F9813" s="10"/>
      <c r="J9813" s="25" t="s">
        <v>145</v>
      </c>
      <c r="K9813" s="25" t="str">
        <f aca="false">DAY(Date_Effet)&amp;IF(DAY(Date_Effet)=1,"er","")&amp;" "&amp;INDEX(Liste_Mois,MONTH(Date_Effet))&amp;" "&amp;YEAR(Date_Effet)</f>
        <v>1er janvier 2027</v>
      </c>
      <c r="L9813" s="25"/>
      <c r="M9813" s="25"/>
      <c r="N9813" s="25"/>
      <c r="O9813" s="25"/>
    </row>
    <row r="9814" customFormat="false" ht="15" hidden="false" customHeight="false" outlineLevel="0" collapsed="false">
      <c r="B9814" s="29" t="str">
        <f aca="false">Cab_CPVille</f>
        <v>95130 LE PLESSIS-BOUCHARD</v>
      </c>
      <c r="C9814" s="29"/>
      <c r="D9814" s="10"/>
      <c r="E9814" s="10"/>
      <c r="F9814" s="10"/>
      <c r="J9814" s="25" t="s">
        <v>146</v>
      </c>
      <c r="K9814" s="25" t="str">
        <f aca="false">IF(SUM($K$9838:$K$9841)=0,"",FIXED((SUM($L$9838:$L$9841)/SUM($K$9838:$K$9841)-1)*100,1)&amp;" %")</f>
        <v/>
      </c>
      <c r="L9814" s="25"/>
      <c r="M9814" s="25"/>
      <c r="N9814" s="25"/>
      <c r="O9814" s="25"/>
    </row>
    <row r="9815" customFormat="false" ht="15" hidden="false" customHeight="false" outlineLevel="0" collapsed="false">
      <c r="B9815" s="29" t="str">
        <f aca="false">Cab_Contact</f>
        <v>Tél. 01 34 14 53 45  ·  altho@altho-experts.com  ·  altho-experts.com</v>
      </c>
      <c r="C9815" s="29"/>
      <c r="D9815" s="10"/>
      <c r="E9815" s="10"/>
      <c r="F9815" s="10"/>
      <c r="J9815" s="25"/>
      <c r="K9815" s="25"/>
      <c r="L9815" s="25"/>
      <c r="M9815" s="25"/>
      <c r="N9815" s="25"/>
      <c r="O9815" s="25"/>
    </row>
    <row r="9816" customFormat="false" ht="6" hidden="false" customHeight="true" outlineLevel="0" collapsed="false">
      <c r="B9816" s="32"/>
      <c r="C9816" s="32"/>
      <c r="D9816" s="32"/>
      <c r="E9816" s="32"/>
      <c r="F9816" s="32"/>
      <c r="J9816" s="25"/>
      <c r="K9816" s="25"/>
      <c r="L9816" s="25"/>
      <c r="M9816" s="25"/>
      <c r="N9816" s="25"/>
      <c r="O9816" s="25"/>
    </row>
    <row r="9817" customFormat="false" ht="13.5" hidden="false" customHeight="true" outlineLevel="0" collapsed="false">
      <c r="B9817" s="10"/>
      <c r="C9817" s="10"/>
      <c r="D9817" s="10"/>
      <c r="E9817" s="10"/>
      <c r="F9817" s="10"/>
      <c r="J9817" s="25"/>
      <c r="K9817" s="25"/>
      <c r="L9817" s="25"/>
      <c r="M9817" s="25"/>
      <c r="N9817" s="25"/>
      <c r="O9817" s="25"/>
    </row>
    <row r="9818" customFormat="false" ht="13.5" hidden="false" customHeight="true" outlineLevel="0" collapsed="false">
      <c r="B9818" s="10"/>
      <c r="C9818" s="10"/>
      <c r="D9818" s="10"/>
      <c r="E9818" s="10"/>
      <c r="F9818" s="10"/>
      <c r="J9818" s="25"/>
      <c r="K9818" s="25"/>
      <c r="L9818" s="25"/>
      <c r="M9818" s="25"/>
      <c r="N9818" s="25"/>
      <c r="O9818" s="25"/>
    </row>
    <row r="9819" customFormat="false" ht="13.5" hidden="false" customHeight="true" outlineLevel="0" collapsed="false">
      <c r="B9819" s="10"/>
      <c r="C9819" s="10"/>
      <c r="D9819" s="10"/>
      <c r="E9819" s="10"/>
      <c r="F9819" s="10"/>
      <c r="J9819" s="25"/>
      <c r="K9819" s="25"/>
      <c r="L9819" s="25"/>
      <c r="M9819" s="25"/>
      <c r="N9819" s="25"/>
      <c r="O9819" s="25"/>
    </row>
    <row r="9820" customFormat="false" ht="15" hidden="false" customHeight="true" outlineLevel="0" collapsed="false">
      <c r="B9820" s="10"/>
      <c r="C9820" s="10"/>
      <c r="D9820" s="34" t="str">
        <f aca="false">IF($K$9811=0,"",INDEX(Clients!$E$2:$E$501,$K$9811)&amp;"")</f>
        <v/>
      </c>
      <c r="E9820" s="34"/>
      <c r="F9820" s="34"/>
      <c r="J9820" s="25"/>
      <c r="K9820" s="25"/>
      <c r="L9820" s="25"/>
      <c r="M9820" s="25"/>
      <c r="N9820" s="25"/>
      <c r="O9820" s="25"/>
    </row>
    <row r="9821" customFormat="false" ht="15" hidden="false" customHeight="true" outlineLevel="0" collapsed="false">
      <c r="B9821" s="10"/>
      <c r="C9821" s="10"/>
      <c r="D9821" s="35" t="str">
        <f aca="false">IF(IF($K$9811=0,"",INDEX(Clients!$D$2:$D$501,$K$9811)&amp;"")="","","À l'attention de "&amp;TRIM(IF($K$9811=0,"",INDEX(Clients!$B$2:$B$501,$K$9811)&amp;"")&amp;" "&amp;IF($K$9811=0,"",INDEX(Clients!$C$2:$C$501,$K$9811)&amp;"")&amp;" "&amp;IF($K$9811=0,"",INDEX(Clients!$D$2:$D$501,$K$9811)&amp;"")))</f>
        <v/>
      </c>
      <c r="E9821" s="35"/>
      <c r="F9821" s="35"/>
      <c r="J9821" s="25"/>
      <c r="K9821" s="25"/>
      <c r="L9821" s="25"/>
      <c r="M9821" s="25"/>
      <c r="N9821" s="25"/>
      <c r="O9821" s="25"/>
    </row>
    <row r="9822" customFormat="false" ht="15" hidden="false" customHeight="true" outlineLevel="0" collapsed="false">
      <c r="B9822" s="10"/>
      <c r="C9822" s="10"/>
      <c r="D9822" s="35" t="str">
        <f aca="false">IF($K$9811=0,"",INDEX(Clients!$F$2:$F$501,$K$9811)&amp;"")</f>
        <v/>
      </c>
      <c r="E9822" s="35"/>
      <c r="F9822" s="35"/>
      <c r="J9822" s="25"/>
      <c r="K9822" s="25"/>
      <c r="L9822" s="25"/>
      <c r="M9822" s="25"/>
      <c r="N9822" s="25"/>
      <c r="O9822" s="25"/>
    </row>
    <row r="9823" customFormat="false" ht="15" hidden="false" customHeight="true" outlineLevel="0" collapsed="false">
      <c r="B9823" s="10"/>
      <c r="C9823" s="10"/>
      <c r="D9823" s="35" t="str">
        <f aca="false">IF(IF($K$9811=0,"",INDEX(Clients!$G$2:$G$501,$K$9811)&amp;"")="",TRIM(IF($K$9811=0,"",INDEX(Clients!$H$2:$H$501,$K$9811)&amp;"")&amp;" "&amp;UPPER(IF($K$9811=0,"",INDEX(Clients!$I$2:$I$501,$K$9811)&amp;""))),IF($K$9811=0,"",INDEX(Clients!$G$2:$G$501,$K$9811)&amp;""))</f>
        <v/>
      </c>
      <c r="E9823" s="35"/>
      <c r="F9823" s="35"/>
      <c r="J9823" s="25"/>
      <c r="K9823" s="25"/>
      <c r="L9823" s="25"/>
      <c r="M9823" s="25"/>
      <c r="N9823" s="25"/>
      <c r="O9823" s="25"/>
    </row>
    <row r="9824" customFormat="false" ht="15" hidden="false" customHeight="true" outlineLevel="0" collapsed="false">
      <c r="B9824" s="10"/>
      <c r="C9824" s="10"/>
      <c r="D9824" s="35" t="str">
        <f aca="false">IF(IF($K$9811=0,"",INDEX(Clients!$G$2:$G$501,$K$9811)&amp;"")="","",TRIM(IF($K$9811=0,"",INDEX(Clients!$H$2:$H$501,$K$9811)&amp;"")&amp;" "&amp;UPPER(IF($K$9811=0,"",INDEX(Clients!$I$2:$I$501,$K$9811)&amp;""))))</f>
        <v/>
      </c>
      <c r="E9824" s="35"/>
      <c r="F9824" s="35"/>
      <c r="J9824" s="25"/>
      <c r="K9824" s="25"/>
      <c r="L9824" s="25"/>
      <c r="M9824" s="25"/>
      <c r="N9824" s="25"/>
      <c r="O9824" s="25"/>
    </row>
    <row r="9825" customFormat="false" ht="25.5" hidden="false" customHeight="true" outlineLevel="0" collapsed="false">
      <c r="B9825" s="10"/>
      <c r="C9825" s="10"/>
      <c r="D9825" s="10"/>
      <c r="E9825" s="10"/>
      <c r="F9825" s="10"/>
      <c r="J9825" s="25"/>
      <c r="K9825" s="25"/>
      <c r="L9825" s="25"/>
      <c r="M9825" s="25"/>
      <c r="N9825" s="25"/>
      <c r="O9825" s="25"/>
    </row>
    <row r="9826" customFormat="false" ht="15" hidden="false" customHeight="false" outlineLevel="0" collapsed="false">
      <c r="B9826" s="10"/>
      <c r="C9826" s="10"/>
      <c r="D9826" s="36" t="str">
        <f aca="false">Cab_Ville&amp;", le "&amp;DAY(Date_Courrier)&amp;IF(DAY(Date_Courrier)=1,"er","")&amp;" "&amp;INDEX(Liste_Mois,MONTH(Date_Courrier))&amp;" "&amp;YEAR(Date_Courrier)</f>
        <v>Le Plessis-Bouchard, le 22 septembre 2026</v>
      </c>
      <c r="E9826" s="36"/>
      <c r="F9826" s="36"/>
      <c r="J9826" s="25"/>
      <c r="K9826" s="25"/>
      <c r="L9826" s="25"/>
      <c r="M9826" s="25"/>
      <c r="N9826" s="25"/>
      <c r="O9826" s="25"/>
    </row>
    <row r="9827" customFormat="false" ht="19.5" hidden="false" customHeight="true" outlineLevel="0" collapsed="false">
      <c r="B9827" s="10"/>
      <c r="C9827" s="10"/>
      <c r="D9827" s="10"/>
      <c r="E9827" s="10"/>
      <c r="F9827" s="10"/>
      <c r="J9827" s="25"/>
      <c r="K9827" s="25"/>
      <c r="L9827" s="25"/>
      <c r="M9827" s="25"/>
      <c r="N9827" s="25"/>
      <c r="O9827" s="25"/>
    </row>
    <row r="9828" customFormat="false" ht="15" hidden="false" customHeight="false" outlineLevel="0" collapsed="false">
      <c r="B9828" s="34" t="str">
        <f aca="false">SUBSTITUTE(SUBSTITUTE(SUBSTITUTE(SUBSTITUTE(SUBSTITUTE(Txt_Objet,"{cabinet}",Cab_Nom),"{societe}",IF($K$9811=0,"",INDEX(Clients!$E$2:$E$501,$K$9811)&amp;"")),"{date_effet}",$K$9813),"{hausse}",$K$9814),"{civilite}",$K$9812)</f>
        <v>Objet : révision de nos honoraires au 1er janvier 2027</v>
      </c>
      <c r="C9828" s="34"/>
      <c r="D9828" s="34"/>
      <c r="E9828" s="34"/>
      <c r="F9828" s="34"/>
      <c r="J9828" s="25"/>
      <c r="K9828" s="25"/>
      <c r="L9828" s="25"/>
      <c r="M9828" s="25"/>
      <c r="N9828" s="25"/>
      <c r="O9828" s="25"/>
    </row>
    <row r="9829" customFormat="false" ht="13.5" hidden="false" customHeight="true" outlineLevel="0" collapsed="false">
      <c r="B9829" s="10"/>
      <c r="C9829" s="10"/>
      <c r="D9829" s="10"/>
      <c r="E9829" s="10"/>
      <c r="F9829" s="10"/>
      <c r="J9829" s="25"/>
      <c r="K9829" s="25"/>
      <c r="L9829" s="25"/>
      <c r="M9829" s="25"/>
      <c r="N9829" s="25"/>
      <c r="O9829" s="25"/>
    </row>
    <row r="9830" customFormat="false" ht="15" hidden="false" customHeight="false" outlineLevel="0" collapsed="false">
      <c r="B9830" s="10" t="str">
        <f aca="false">$K$9812&amp;","</f>
        <v>Madame, Monsieur,</v>
      </c>
      <c r="C9830" s="10"/>
      <c r="D9830" s="10"/>
      <c r="E9830" s="10"/>
      <c r="F9830" s="10"/>
      <c r="J9830" s="25"/>
      <c r="K9830" s="25"/>
      <c r="L9830" s="25"/>
      <c r="M9830" s="25"/>
      <c r="N9830" s="25"/>
      <c r="O9830" s="25"/>
    </row>
    <row r="9831" customFormat="false" ht="6" hidden="false" customHeight="true" outlineLevel="0" collapsed="false">
      <c r="B9831" s="10"/>
      <c r="C9831" s="10"/>
      <c r="D9831" s="10"/>
      <c r="E9831" s="10"/>
      <c r="F9831" s="10"/>
      <c r="J9831" s="25"/>
      <c r="K9831" s="25"/>
      <c r="L9831" s="25"/>
      <c r="M9831" s="25"/>
      <c r="N9831" s="25"/>
      <c r="O9831" s="25"/>
    </row>
    <row r="9832" customFormat="false" ht="36.75" hidden="false" customHeight="true" outlineLevel="0" collapsed="false">
      <c r="B9832" s="37" t="str">
        <f aca="false">SUBSTITUTE(SUBSTITUTE(SUBSTITUTE(SUBSTITUTE(SUBSTITUTE(Txt_P1,"{cabinet}",Cab_Nom),"{societe}",IF($K$9811=0,"",INDEX(Clients!$E$2:$E$501,$K$9811)&amp;"")),"{date_effet}",$K$9813),"{hausse}",$K$9814),"{civilite}",$K$9812)</f>
        <v>Nous tenons tout d'abord à vous remercier pour la confiance que vous accordez à ALTHO EXPERTISE. Comme chaque année, et conformément aux dispositions de votre lettre de mission, nous procédons à la révision de nos honoraires.</v>
      </c>
      <c r="C9832" s="37"/>
      <c r="D9832" s="37"/>
      <c r="E9832" s="37"/>
      <c r="F9832" s="37"/>
      <c r="J9832" s="25"/>
      <c r="K9832" s="25"/>
      <c r="L9832" s="25"/>
      <c r="M9832" s="25"/>
      <c r="N9832" s="25"/>
      <c r="O9832" s="25"/>
    </row>
    <row r="9833" customFormat="false" ht="49.5" hidden="false" customHeight="true" outlineLevel="0" collapsed="false">
      <c r="B9833" s="37" t="str">
        <f aca="false">SUBSTITUTE(SUBSTITUTE(SUBSTITUTE(SUBSTITUTE(SUBSTITUTE(Txt_P2,"{cabinet}",Cab_Nom),"{societe}",IF($K$9811=0,"",INDEX(Clients!$E$2:$E$501,$K$9811)&amp;"")),"{date_effet}",$K$9813),"{hausse}",$K$9814),"{civilite}",$K$9812)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833" s="37"/>
      <c r="D9833" s="37"/>
      <c r="E9833" s="37"/>
      <c r="F9833" s="37"/>
      <c r="J9833" s="25"/>
      <c r="K9833" s="25"/>
      <c r="L9833" s="25"/>
      <c r="M9833" s="25"/>
      <c r="N9833" s="25"/>
      <c r="O9833" s="25"/>
    </row>
    <row r="9834" customFormat="false" ht="63" hidden="false" customHeight="true" outlineLevel="0" collapsed="false">
      <c r="B9834" s="37" t="str">
        <f aca="false">SUBSTITUTE(SUBSTITUTE(SUBSTITUTE(SUBSTITUTE(SUBSTITUTE(Txt_P3,"{cabinet}",Cab_Nom),"{societe}",IF($K$9811=0,"",INDEX(Clients!$E$2:$E$501,$K$9811)&amp;"")),"{date_effet}",$K$9813),"{hausse}",$K$9814),"{civilite}",$K$9812)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834" s="37"/>
      <c r="D9834" s="37"/>
      <c r="E9834" s="37"/>
      <c r="F9834" s="37"/>
      <c r="J9834" s="25"/>
      <c r="K9834" s="25"/>
      <c r="L9834" s="25"/>
      <c r="M9834" s="25"/>
      <c r="N9834" s="25"/>
      <c r="O9834" s="25"/>
    </row>
    <row r="9835" customFormat="false" ht="24" hidden="false" customHeight="true" outlineLevel="0" collapsed="false">
      <c r="B9835" s="37" t="str">
        <f aca="false">SUBSTITUTE(SUBSTITUTE(SUBSTITUTE(SUBSTITUTE(SUBSTITUTE(Txt_P4,"{cabinet}",Cab_Nom),"{societe}",IF($K$9811=0,"",INDEX(Clients!$E$2:$E$501,$K$9811)&amp;"")),"{date_effet}",$K$9813),"{hausse}",$K$9814),"{civilite}",$K$9812)</f>
        <v>À compter du 1er janvier 2027, vos honoraires annuels hors taxes évolueront ainsi (évolution globale : ) :</v>
      </c>
      <c r="C9835" s="37"/>
      <c r="D9835" s="37"/>
      <c r="E9835" s="37"/>
      <c r="F9835" s="37"/>
      <c r="J9835" s="25"/>
      <c r="K9835" s="25"/>
      <c r="L9835" s="25"/>
      <c r="M9835" s="25"/>
      <c r="N9835" s="25"/>
      <c r="O9835" s="25"/>
    </row>
    <row r="9836" customFormat="false" ht="3.75" hidden="false" customHeight="true" outlineLevel="0" collapsed="false">
      <c r="B9836" s="10"/>
      <c r="C9836" s="10"/>
      <c r="D9836" s="10"/>
      <c r="E9836" s="10"/>
      <c r="F9836" s="10"/>
      <c r="J9836" s="25"/>
      <c r="K9836" s="25"/>
      <c r="L9836" s="25"/>
      <c r="M9836" s="25"/>
      <c r="N9836" s="25"/>
      <c r="O9836" s="25"/>
    </row>
    <row r="9837" customFormat="false" ht="18" hidden="false" customHeight="true" outlineLevel="0" collapsed="false">
      <c r="B9837" s="38" t="s">
        <v>148</v>
      </c>
      <c r="C9837" s="39" t="s">
        <v>149</v>
      </c>
      <c r="D9837" s="39" t="s">
        <v>150</v>
      </c>
      <c r="E9837" s="39" t="s">
        <v>151</v>
      </c>
      <c r="F9837" s="39" t="s">
        <v>109</v>
      </c>
      <c r="J9837" s="25" t="s">
        <v>152</v>
      </c>
      <c r="K9837" s="25" t="s">
        <v>153</v>
      </c>
      <c r="L9837" s="25" t="s">
        <v>154</v>
      </c>
      <c r="M9837" s="25" t="s">
        <v>155</v>
      </c>
      <c r="N9837" s="25" t="s">
        <v>156</v>
      </c>
      <c r="O9837" s="25" t="s">
        <v>157</v>
      </c>
    </row>
    <row r="9838" customFormat="false" ht="16.5" hidden="false" customHeight="true" outlineLevel="0" collapsed="false">
      <c r="B9838" s="40" t="str">
        <f aca="false">IFERROR(INDEX($J$9838:$J$9841,MATCH($O9838,$N$9838:$N$9841,0)),"")</f>
        <v/>
      </c>
      <c r="C9838" s="41" t="str">
        <f aca="false">IFERROR(INDEX($K$9838:$K$9841,MATCH($O9838,$N$9838:$N$9841,0)),"")</f>
        <v/>
      </c>
      <c r="D9838" s="42" t="str">
        <f aca="false">IF(OR(E9838="",N(C9838)=0),"",E9838/C9838-1)</f>
        <v/>
      </c>
      <c r="E9838" s="41" t="str">
        <f aca="false">IFERROR(INDEX($L$9838:$L$9841,MATCH($O9838,$N$9838:$N$9841,0)),"")</f>
        <v/>
      </c>
      <c r="F9838" s="41" t="str">
        <f aca="false">IF(E9838="","",E9838-C9838)</f>
        <v/>
      </c>
      <c r="J9838" s="25" t="str">
        <f aca="false">Lib_Compta</f>
        <v>Mission comptable (tenue, révision, bilan, liasse fiscale)</v>
      </c>
      <c r="K9838" s="25" t="n">
        <f aca="false">IF($K$9811=0,0,N(INDEX(Clients!$K$2:$K$501,$K$9811)))</f>
        <v>0</v>
      </c>
      <c r="L9838" s="25" t="n">
        <f aca="false">IF($K$9811=0,0,N(INDEX(Clients!$P$2:$P$501,$K$9811)))</f>
        <v>0</v>
      </c>
      <c r="M9838" s="25" t="n">
        <f aca="false">IF(OR(K9838&lt;&gt;0,L9838&lt;&gt;0),1,0)</f>
        <v>0</v>
      </c>
      <c r="N9838" s="25" t="str">
        <f aca="false">IF(M9838=1,SUM($M$9838:M9838),"")</f>
        <v/>
      </c>
      <c r="O9838" s="25" t="n">
        <v>1</v>
      </c>
    </row>
    <row r="9839" customFormat="false" ht="16.5" hidden="false" customHeight="true" outlineLevel="0" collapsed="false">
      <c r="B9839" s="40" t="str">
        <f aca="false">IFERROR(INDEX($J$9838:$J$9841,MATCH($O9839,$N$9838:$N$9841,0)),"")</f>
        <v/>
      </c>
      <c r="C9839" s="41" t="str">
        <f aca="false">IFERROR(INDEX($K$9838:$K$9841,MATCH($O9839,$N$9838:$N$9841,0)),"")</f>
        <v/>
      </c>
      <c r="D9839" s="42" t="str">
        <f aca="false">IF(OR(E9839="",N(C9839)=0),"",E9839/C9839-1)</f>
        <v/>
      </c>
      <c r="E9839" s="41" t="str">
        <f aca="false">IFERROR(INDEX($L$9838:$L$9841,MATCH($O9839,$N$9838:$N$9841,0)),"")</f>
        <v/>
      </c>
      <c r="F9839" s="41" t="str">
        <f aca="false">IF(E9839="","",E9839-C9839)</f>
        <v/>
      </c>
      <c r="J9839" s="25" t="str">
        <f aca="false">Lib_Paye</f>
        <v>Mission sociale (bulletins de paie, DSN, déclarations sociales)</v>
      </c>
      <c r="K9839" s="25" t="n">
        <f aca="false">IF($K$9811=0,0,N(INDEX(Clients!$L$2:$L$501,$K$9811)))</f>
        <v>0</v>
      </c>
      <c r="L9839" s="25" t="n">
        <f aca="false">IF($K$9811=0,0,N(INDEX(Clients!$Q$2:$Q$501,$K$9811)))</f>
        <v>0</v>
      </c>
      <c r="M9839" s="25" t="n">
        <f aca="false">IF(OR(K9839&lt;&gt;0,L9839&lt;&gt;0),1,0)</f>
        <v>0</v>
      </c>
      <c r="N9839" s="25" t="str">
        <f aca="false">IF(M9839=1,SUM($M$9838:M9839),"")</f>
        <v/>
      </c>
      <c r="O9839" s="25" t="n">
        <v>2</v>
      </c>
    </row>
    <row r="9840" customFormat="false" ht="16.5" hidden="false" customHeight="true" outlineLevel="0" collapsed="false">
      <c r="B9840" s="40" t="str">
        <f aca="false">IFERROR(INDEX($J$9838:$J$9841,MATCH($O9840,$N$9838:$N$9841,0)),"")</f>
        <v/>
      </c>
      <c r="C9840" s="41" t="str">
        <f aca="false">IFERROR(INDEX($K$9838:$K$9841,MATCH($O9840,$N$9838:$N$9841,0)),"")</f>
        <v/>
      </c>
      <c r="D9840" s="42" t="str">
        <f aca="false">IF(OR(E9840="",N(C9840)=0),"",E9840/C9840-1)</f>
        <v/>
      </c>
      <c r="E9840" s="41" t="str">
        <f aca="false">IFERROR(INDEX($L$9838:$L$9841,MATCH($O9840,$N$9838:$N$9841,0)),"")</f>
        <v/>
      </c>
      <c r="F9840" s="41" t="str">
        <f aca="false">IF(E9840="","",E9840-C9840)</f>
        <v/>
      </c>
      <c r="J9840" s="25" t="str">
        <f aca="false">Lib_Jur</f>
        <v>Mission juridique (approbation des comptes, secrétariat juridique)</v>
      </c>
      <c r="K9840" s="25" t="n">
        <f aca="false">IF($K$9811=0,0,N(INDEX(Clients!$M$2:$M$501,$K$9811)))</f>
        <v>0</v>
      </c>
      <c r="L9840" s="25" t="n">
        <f aca="false">IF($K$9811=0,0,N(INDEX(Clients!$R$2:$R$501,$K$9811)))</f>
        <v>0</v>
      </c>
      <c r="M9840" s="25" t="n">
        <f aca="false">IF(OR(K9840&lt;&gt;0,L9840&lt;&gt;0),1,0)</f>
        <v>0</v>
      </c>
      <c r="N9840" s="25" t="str">
        <f aca="false">IF(M9840=1,SUM($M$9838:M9840),"")</f>
        <v/>
      </c>
      <c r="O9840" s="25" t="n">
        <v>3</v>
      </c>
    </row>
    <row r="9841" customFormat="false" ht="16.5" hidden="false" customHeight="true" outlineLevel="0" collapsed="false">
      <c r="B9841" s="40" t="str">
        <f aca="false">IFERROR(INDEX($J$9838:$J$9841,MATCH($O9841,$N$9838:$N$9841,0)),"")</f>
        <v/>
      </c>
      <c r="C9841" s="41" t="str">
        <f aca="false">IFERROR(INDEX($K$9838:$K$9841,MATCH($O9841,$N$9838:$N$9841,0)),"")</f>
        <v/>
      </c>
      <c r="D9841" s="42" t="str">
        <f aca="false">IF(OR(E9841="",N(C9841)=0),"",E9841/C9841-1)</f>
        <v/>
      </c>
      <c r="E9841" s="41" t="str">
        <f aca="false">IFERROR(INDEX($L$9838:$L$9841,MATCH($O9841,$N$9838:$N$9841,0)),"")</f>
        <v/>
      </c>
      <c r="F9841" s="41" t="str">
        <f aca="false">IF(E9841="","",E9841-C9841)</f>
        <v/>
      </c>
      <c r="J9841" s="25" t="str">
        <f aca="false">Lib_PA</f>
        <v>Plateforme agréée – facturation électronique</v>
      </c>
      <c r="K9841" s="25" t="n">
        <f aca="false">IF($K$9811=0,0,N(INDEX(Clients!$N$2:$N$501,$K$9811)))</f>
        <v>0</v>
      </c>
      <c r="L9841" s="25" t="n">
        <f aca="false">IF($K$9811=0,0,N(INDEX(Clients!$S$2:$S$501,$K$9811)))</f>
        <v>0</v>
      </c>
      <c r="M9841" s="25" t="n">
        <f aca="false">IF(OR(K9841&lt;&gt;0,L9841&lt;&gt;0),1,0)</f>
        <v>0</v>
      </c>
      <c r="N9841" s="25" t="str">
        <f aca="false">IF(M9841=1,SUM($M$9838:M9841),"")</f>
        <v/>
      </c>
      <c r="O9841" s="25" t="n">
        <v>4</v>
      </c>
    </row>
    <row r="9842" customFormat="false" ht="18" hidden="false" customHeight="true" outlineLevel="0" collapsed="false">
      <c r="B9842" s="43" t="s">
        <v>158</v>
      </c>
      <c r="C9842" s="44" t="n">
        <f aca="false">SUM(K9838:K9841)</f>
        <v>0</v>
      </c>
      <c r="D9842" s="45" t="str">
        <f aca="false">IF(N(C9842)=0,"",E9842/C9842-1)</f>
        <v/>
      </c>
      <c r="E9842" s="44" t="n">
        <f aca="false">SUM(L9838:L9841)</f>
        <v>0</v>
      </c>
      <c r="F9842" s="44" t="n">
        <f aca="false">E9842-C9842</f>
        <v>0</v>
      </c>
    </row>
    <row r="9843" customFormat="false" ht="15" hidden="false" customHeight="false" outlineLevel="0" collapsed="false">
      <c r="B9843" s="46" t="str">
        <f aca="false">IF(N(Nb_Mensualites)=0,"","Soit "&amp;FIXED(E9842/Nb_Mensualites,2)&amp;" € HT par échéance ("&amp;Nb_Mensualites&amp;" échéances), "&amp;FIXED(E9842/Nb_Mensualites*(1+Taux_TVA),2)&amp;" € TTC.")</f>
        <v>Soit 0.00 € HT par échéance (12 échéances), 0.00 € TTC.</v>
      </c>
      <c r="C9843" s="46"/>
      <c r="D9843" s="46"/>
      <c r="E9843" s="46"/>
      <c r="F9843" s="46"/>
    </row>
    <row r="9844" customFormat="false" ht="7.5" hidden="false" customHeight="true" outlineLevel="0" collapsed="false">
      <c r="B9844" s="10"/>
      <c r="C9844" s="10"/>
      <c r="D9844" s="10"/>
      <c r="E9844" s="10"/>
      <c r="F9844" s="10"/>
    </row>
    <row r="9845" customFormat="false" ht="36.75" hidden="false" customHeight="true" outlineLevel="0" collapsed="false">
      <c r="B9845" s="37" t="str">
        <f aca="false">SUBSTITUTE(SUBSTITUTE(SUBSTITUTE(SUBSTITUTE(SUBSTITUTE(Txt_P5,"{cabinet}",Cab_Nom),"{societe}",IF($K$9811=0,"",INDEX(Clients!$E$2:$E$501,$K$9811)&amp;"")),"{date_effet}",$K$9813),"{hausse}",$K$9814),"{civilite}",$K$9812)</f>
        <v>Les autres conditions de votre lettre de mission demeurent inchangées. Les nouveaux montants seront appliqués automatiquement sur vos prochaines factures et échéances de prélèvement.</v>
      </c>
      <c r="C9845" s="37"/>
      <c r="D9845" s="37"/>
      <c r="E9845" s="37"/>
      <c r="F9845" s="37"/>
    </row>
    <row r="9846" customFormat="false" ht="36.75" hidden="false" customHeight="true" outlineLevel="0" collapsed="false">
      <c r="B9846" s="37" t="str">
        <f aca="false">SUBSTITUTE(SUBSTITUTE(SUBSTITUTE(SUBSTITUTE(SUBSTITUTE(Txt_P6,"{cabinet}",Cab_Nom),"{societe}",IF($K$9811=0,"",INDEX(Clients!$E$2:$E$501,$K$9811)&amp;"")),"{date_effet}",$K$9813),"{hausse}",$K$9814),"{civilite}",$K$9812)</f>
        <v>Votre interlocuteur habituel reste à votre entière disposition pour répondre à vos questions et faire le point sur l'évolution de vos besoins.</v>
      </c>
      <c r="C9846" s="37"/>
      <c r="D9846" s="37"/>
      <c r="E9846" s="37"/>
      <c r="F9846" s="37"/>
    </row>
    <row r="9847" customFormat="false" ht="24" hidden="false" customHeight="true" outlineLevel="0" collapsed="false">
      <c r="B9847" s="37" t="str">
        <f aca="false">SUBSTITUTE(SUBSTITUTE(SUBSTITUTE(SUBSTITUTE(SUBSTITUTE(Txt_Politesse,"{cabinet}",Cab_Nom),"{societe}",IF($K$9811=0,"",INDEX(Clients!$E$2:$E$501,$K$9811)&amp;"")),"{date_effet}",$K$9813),"{hausse}",$K$9814),"{civilite}",$K$9812)</f>
        <v>Nous vous prions d'agréer, Madame, Monsieur, l'expression de nos salutations distinguées.</v>
      </c>
      <c r="C9847" s="37"/>
      <c r="D9847" s="37"/>
      <c r="E9847" s="37"/>
      <c r="F9847" s="37"/>
    </row>
    <row r="9848" customFormat="false" ht="15" hidden="false" customHeight="false" outlineLevel="0" collapsed="false">
      <c r="B9848" s="10"/>
      <c r="C9848" s="10"/>
      <c r="D9848" s="10"/>
      <c r="E9848" s="10"/>
      <c r="F9848" s="10"/>
    </row>
    <row r="9849" customFormat="false" ht="15" hidden="false" customHeight="false" outlineLevel="0" collapsed="false">
      <c r="B9849" s="10"/>
      <c r="C9849" s="10"/>
      <c r="D9849" s="34" t="str">
        <f aca="false">Signataire</f>
        <v>Prénom NOM</v>
      </c>
      <c r="E9849" s="34"/>
      <c r="F9849" s="34"/>
    </row>
    <row r="9850" customFormat="false" ht="15" hidden="false" customHeight="false" outlineLevel="0" collapsed="false">
      <c r="B9850" s="10"/>
      <c r="C9850" s="10"/>
      <c r="D9850" s="47" t="str">
        <f aca="false">Signataire_Titre</f>
        <v>Expert-comptable associé</v>
      </c>
      <c r="E9850" s="47"/>
      <c r="F9850" s="47"/>
    </row>
    <row r="9851" customFormat="false" ht="15.75" hidden="false" customHeight="true" outlineLevel="0" collapsed="false">
      <c r="B9851" s="10"/>
      <c r="C9851" s="10"/>
      <c r="D9851" s="10"/>
      <c r="E9851" s="10"/>
      <c r="F9851" s="10"/>
    </row>
    <row r="9852" customFormat="false" ht="15.75" hidden="false" customHeight="true" outlineLevel="0" collapsed="false">
      <c r="B9852" s="10"/>
      <c r="C9852" s="10"/>
      <c r="D9852" s="10"/>
      <c r="E9852" s="10"/>
      <c r="F9852" s="10"/>
    </row>
    <row r="9853" customFormat="false" ht="15.75" hidden="false" customHeight="true" outlineLevel="0" collapsed="false">
      <c r="B9853" s="10"/>
      <c r="C9853" s="10"/>
      <c r="D9853" s="10"/>
      <c r="E9853" s="10"/>
      <c r="F9853" s="10"/>
    </row>
    <row r="9854" customFormat="false" ht="15.75" hidden="false" customHeight="true" outlineLevel="0" collapsed="false">
      <c r="B9854" s="10"/>
      <c r="C9854" s="10"/>
      <c r="D9854" s="10"/>
      <c r="E9854" s="10"/>
      <c r="F9854" s="10"/>
    </row>
    <row r="9855" customFormat="false" ht="24" hidden="false" customHeight="true" outlineLevel="0" collapsed="false">
      <c r="B9855" s="48" t="str">
        <f aca="false">Cab_Mentions</f>
        <v>ALTHO EXPERTISE · SAS au capital de 10 000 € · RCS Pontoise 919 706 325 · TVA FR62919706325 · Société d'expertise comptable inscrite au Tableau de l'Ordre des experts-comptables de Paris Île-de-France</v>
      </c>
      <c r="C9855" s="48"/>
      <c r="D9855" s="48"/>
      <c r="E9855" s="48"/>
      <c r="F9855" s="48"/>
    </row>
    <row r="9856" customFormat="false" ht="15" hidden="false" customHeight="false" outlineLevel="0" collapsed="false">
      <c r="B9856" s="10"/>
      <c r="C9856" s="10"/>
      <c r="D9856" s="10"/>
      <c r="E9856" s="10"/>
      <c r="F9856" s="10"/>
      <c r="J9856" s="25" t="s">
        <v>142</v>
      </c>
      <c r="K9856" s="25" t="n">
        <f aca="false">IFERROR(MATCH(220,Clients!$Z$2:$Z$501,0),0)</f>
        <v>0</v>
      </c>
      <c r="L9856" s="25"/>
      <c r="M9856" s="25"/>
      <c r="N9856" s="25"/>
      <c r="O9856" s="25"/>
    </row>
    <row r="9857" customFormat="false" ht="21.75" hidden="false" customHeight="true" outlineLevel="0" collapsed="false">
      <c r="B9857" s="26" t="str">
        <f aca="false">Cab_Nom</f>
        <v>ALTHO EXPERTISE</v>
      </c>
      <c r="C9857" s="26"/>
      <c r="D9857" s="10"/>
      <c r="E9857" s="27" t="str">
        <f aca="false">IF($K$9856=0,"","Réf. client : "&amp;INDEX(Clients!$A$2:$A$501,$K$9856))</f>
        <v/>
      </c>
      <c r="F9857" s="27"/>
      <c r="J9857" s="25" t="s">
        <v>144</v>
      </c>
      <c r="K9857" s="25" t="str">
        <f aca="false">IF(IF($K$9856=0,"",INDEX(Clients!$B$2:$B$501,$K$9856)&amp;"")="Mme","Madame",IF(IF($K$9856=0,"",INDEX(Clients!$B$2:$B$501,$K$9856)&amp;"")="M.","Monsieur","Madame, Monsieur"))</f>
        <v>Madame, Monsieur</v>
      </c>
      <c r="L9857" s="25"/>
      <c r="M9857" s="25"/>
      <c r="N9857" s="25"/>
      <c r="O9857" s="25"/>
    </row>
    <row r="9858" customFormat="false" ht="15" hidden="false" customHeight="false" outlineLevel="0" collapsed="false">
      <c r="B9858" s="29" t="str">
        <f aca="false">Cab_Adr1</f>
        <v>141 rue Charles de Gaulle</v>
      </c>
      <c r="C9858" s="29"/>
      <c r="D9858" s="10"/>
      <c r="E9858" s="10"/>
      <c r="F9858" s="10"/>
      <c r="J9858" s="25" t="s">
        <v>145</v>
      </c>
      <c r="K9858" s="25" t="str">
        <f aca="false">DAY(Date_Effet)&amp;IF(DAY(Date_Effet)=1,"er","")&amp;" "&amp;INDEX(Liste_Mois,MONTH(Date_Effet))&amp;" "&amp;YEAR(Date_Effet)</f>
        <v>1er janvier 2027</v>
      </c>
      <c r="L9858" s="25"/>
      <c r="M9858" s="25"/>
      <c r="N9858" s="25"/>
      <c r="O9858" s="25"/>
    </row>
    <row r="9859" customFormat="false" ht="15" hidden="false" customHeight="false" outlineLevel="0" collapsed="false">
      <c r="B9859" s="29" t="str">
        <f aca="false">Cab_CPVille</f>
        <v>95130 LE PLESSIS-BOUCHARD</v>
      </c>
      <c r="C9859" s="29"/>
      <c r="D9859" s="10"/>
      <c r="E9859" s="10"/>
      <c r="F9859" s="10"/>
      <c r="J9859" s="25" t="s">
        <v>146</v>
      </c>
      <c r="K9859" s="25" t="str">
        <f aca="false">IF(SUM($K$9883:$K$9886)=0,"",FIXED((SUM($L$9883:$L$9886)/SUM($K$9883:$K$9886)-1)*100,1)&amp;" %")</f>
        <v/>
      </c>
      <c r="L9859" s="25"/>
      <c r="M9859" s="25"/>
      <c r="N9859" s="25"/>
      <c r="O9859" s="25"/>
    </row>
    <row r="9860" customFormat="false" ht="15" hidden="false" customHeight="false" outlineLevel="0" collapsed="false">
      <c r="B9860" s="29" t="str">
        <f aca="false">Cab_Contact</f>
        <v>Tél. 01 34 14 53 45  ·  altho@altho-experts.com  ·  altho-experts.com</v>
      </c>
      <c r="C9860" s="29"/>
      <c r="D9860" s="10"/>
      <c r="E9860" s="10"/>
      <c r="F9860" s="10"/>
      <c r="J9860" s="25"/>
      <c r="K9860" s="25"/>
      <c r="L9860" s="25"/>
      <c r="M9860" s="25"/>
      <c r="N9860" s="25"/>
      <c r="O9860" s="25"/>
    </row>
    <row r="9861" customFormat="false" ht="6" hidden="false" customHeight="true" outlineLevel="0" collapsed="false">
      <c r="B9861" s="32"/>
      <c r="C9861" s="32"/>
      <c r="D9861" s="32"/>
      <c r="E9861" s="32"/>
      <c r="F9861" s="32"/>
      <c r="J9861" s="25"/>
      <c r="K9861" s="25"/>
      <c r="L9861" s="25"/>
      <c r="M9861" s="25"/>
      <c r="N9861" s="25"/>
      <c r="O9861" s="25"/>
    </row>
    <row r="9862" customFormat="false" ht="13.5" hidden="false" customHeight="true" outlineLevel="0" collapsed="false">
      <c r="B9862" s="10"/>
      <c r="C9862" s="10"/>
      <c r="D9862" s="10"/>
      <c r="E9862" s="10"/>
      <c r="F9862" s="10"/>
      <c r="J9862" s="25"/>
      <c r="K9862" s="25"/>
      <c r="L9862" s="25"/>
      <c r="M9862" s="25"/>
      <c r="N9862" s="25"/>
      <c r="O9862" s="25"/>
    </row>
    <row r="9863" customFormat="false" ht="13.5" hidden="false" customHeight="true" outlineLevel="0" collapsed="false">
      <c r="B9863" s="10"/>
      <c r="C9863" s="10"/>
      <c r="D9863" s="10"/>
      <c r="E9863" s="10"/>
      <c r="F9863" s="10"/>
      <c r="J9863" s="25"/>
      <c r="K9863" s="25"/>
      <c r="L9863" s="25"/>
      <c r="M9863" s="25"/>
      <c r="N9863" s="25"/>
      <c r="O9863" s="25"/>
    </row>
    <row r="9864" customFormat="false" ht="13.5" hidden="false" customHeight="true" outlineLevel="0" collapsed="false">
      <c r="B9864" s="10"/>
      <c r="C9864" s="10"/>
      <c r="D9864" s="10"/>
      <c r="E9864" s="10"/>
      <c r="F9864" s="10"/>
      <c r="J9864" s="25"/>
      <c r="K9864" s="25"/>
      <c r="L9864" s="25"/>
      <c r="M9864" s="25"/>
      <c r="N9864" s="25"/>
      <c r="O9864" s="25"/>
    </row>
    <row r="9865" customFormat="false" ht="15" hidden="false" customHeight="true" outlineLevel="0" collapsed="false">
      <c r="B9865" s="10"/>
      <c r="C9865" s="10"/>
      <c r="D9865" s="34" t="str">
        <f aca="false">IF($K$9856=0,"",INDEX(Clients!$E$2:$E$501,$K$9856)&amp;"")</f>
        <v/>
      </c>
      <c r="E9865" s="34"/>
      <c r="F9865" s="34"/>
      <c r="J9865" s="25"/>
      <c r="K9865" s="25"/>
      <c r="L9865" s="25"/>
      <c r="M9865" s="25"/>
      <c r="N9865" s="25"/>
      <c r="O9865" s="25"/>
    </row>
    <row r="9866" customFormat="false" ht="15" hidden="false" customHeight="true" outlineLevel="0" collapsed="false">
      <c r="B9866" s="10"/>
      <c r="C9866" s="10"/>
      <c r="D9866" s="35" t="str">
        <f aca="false">IF(IF($K$9856=0,"",INDEX(Clients!$D$2:$D$501,$K$9856)&amp;"")="","","À l'attention de "&amp;TRIM(IF($K$9856=0,"",INDEX(Clients!$B$2:$B$501,$K$9856)&amp;"")&amp;" "&amp;IF($K$9856=0,"",INDEX(Clients!$C$2:$C$501,$K$9856)&amp;"")&amp;" "&amp;IF($K$9856=0,"",INDEX(Clients!$D$2:$D$501,$K$9856)&amp;"")))</f>
        <v/>
      </c>
      <c r="E9866" s="35"/>
      <c r="F9866" s="35"/>
      <c r="J9866" s="25"/>
      <c r="K9866" s="25"/>
      <c r="L9866" s="25"/>
      <c r="M9866" s="25"/>
      <c r="N9866" s="25"/>
      <c r="O9866" s="25"/>
    </row>
    <row r="9867" customFormat="false" ht="15" hidden="false" customHeight="true" outlineLevel="0" collapsed="false">
      <c r="B9867" s="10"/>
      <c r="C9867" s="10"/>
      <c r="D9867" s="35" t="str">
        <f aca="false">IF($K$9856=0,"",INDEX(Clients!$F$2:$F$501,$K$9856)&amp;"")</f>
        <v/>
      </c>
      <c r="E9867" s="35"/>
      <c r="F9867" s="35"/>
      <c r="J9867" s="25"/>
      <c r="K9867" s="25"/>
      <c r="L9867" s="25"/>
      <c r="M9867" s="25"/>
      <c r="N9867" s="25"/>
      <c r="O9867" s="25"/>
    </row>
    <row r="9868" customFormat="false" ht="15" hidden="false" customHeight="true" outlineLevel="0" collapsed="false">
      <c r="B9868" s="10"/>
      <c r="C9868" s="10"/>
      <c r="D9868" s="35" t="str">
        <f aca="false">IF(IF($K$9856=0,"",INDEX(Clients!$G$2:$G$501,$K$9856)&amp;"")="",TRIM(IF($K$9856=0,"",INDEX(Clients!$H$2:$H$501,$K$9856)&amp;"")&amp;" "&amp;UPPER(IF($K$9856=0,"",INDEX(Clients!$I$2:$I$501,$K$9856)&amp;""))),IF($K$9856=0,"",INDEX(Clients!$G$2:$G$501,$K$9856)&amp;""))</f>
        <v/>
      </c>
      <c r="E9868" s="35"/>
      <c r="F9868" s="35"/>
      <c r="J9868" s="25"/>
      <c r="K9868" s="25"/>
      <c r="L9868" s="25"/>
      <c r="M9868" s="25"/>
      <c r="N9868" s="25"/>
      <c r="O9868" s="25"/>
    </row>
    <row r="9869" customFormat="false" ht="15" hidden="false" customHeight="true" outlineLevel="0" collapsed="false">
      <c r="B9869" s="10"/>
      <c r="C9869" s="10"/>
      <c r="D9869" s="35" t="str">
        <f aca="false">IF(IF($K$9856=0,"",INDEX(Clients!$G$2:$G$501,$K$9856)&amp;"")="","",TRIM(IF($K$9856=0,"",INDEX(Clients!$H$2:$H$501,$K$9856)&amp;"")&amp;" "&amp;UPPER(IF($K$9856=0,"",INDEX(Clients!$I$2:$I$501,$K$9856)&amp;""))))</f>
        <v/>
      </c>
      <c r="E9869" s="35"/>
      <c r="F9869" s="35"/>
      <c r="J9869" s="25"/>
      <c r="K9869" s="25"/>
      <c r="L9869" s="25"/>
      <c r="M9869" s="25"/>
      <c r="N9869" s="25"/>
      <c r="O9869" s="25"/>
    </row>
    <row r="9870" customFormat="false" ht="25.5" hidden="false" customHeight="true" outlineLevel="0" collapsed="false">
      <c r="B9870" s="10"/>
      <c r="C9870" s="10"/>
      <c r="D9870" s="10"/>
      <c r="E9870" s="10"/>
      <c r="F9870" s="10"/>
      <c r="J9870" s="25"/>
      <c r="K9870" s="25"/>
      <c r="L9870" s="25"/>
      <c r="M9870" s="25"/>
      <c r="N9870" s="25"/>
      <c r="O9870" s="25"/>
    </row>
    <row r="9871" customFormat="false" ht="15" hidden="false" customHeight="false" outlineLevel="0" collapsed="false">
      <c r="B9871" s="10"/>
      <c r="C9871" s="10"/>
      <c r="D9871" s="36" t="str">
        <f aca="false">Cab_Ville&amp;", le "&amp;DAY(Date_Courrier)&amp;IF(DAY(Date_Courrier)=1,"er","")&amp;" "&amp;INDEX(Liste_Mois,MONTH(Date_Courrier))&amp;" "&amp;YEAR(Date_Courrier)</f>
        <v>Le Plessis-Bouchard, le 22 septembre 2026</v>
      </c>
      <c r="E9871" s="36"/>
      <c r="F9871" s="36"/>
      <c r="J9871" s="25"/>
      <c r="K9871" s="25"/>
      <c r="L9871" s="25"/>
      <c r="M9871" s="25"/>
      <c r="N9871" s="25"/>
      <c r="O9871" s="25"/>
    </row>
    <row r="9872" customFormat="false" ht="19.5" hidden="false" customHeight="true" outlineLevel="0" collapsed="false">
      <c r="B9872" s="10"/>
      <c r="C9872" s="10"/>
      <c r="D9872" s="10"/>
      <c r="E9872" s="10"/>
      <c r="F9872" s="10"/>
      <c r="J9872" s="25"/>
      <c r="K9872" s="25"/>
      <c r="L9872" s="25"/>
      <c r="M9872" s="25"/>
      <c r="N9872" s="25"/>
      <c r="O9872" s="25"/>
    </row>
    <row r="9873" customFormat="false" ht="15" hidden="false" customHeight="false" outlineLevel="0" collapsed="false">
      <c r="B9873" s="34" t="str">
        <f aca="false">SUBSTITUTE(SUBSTITUTE(SUBSTITUTE(SUBSTITUTE(SUBSTITUTE(Txt_Objet,"{cabinet}",Cab_Nom),"{societe}",IF($K$9856=0,"",INDEX(Clients!$E$2:$E$501,$K$9856)&amp;"")),"{date_effet}",$K$9858),"{hausse}",$K$9859),"{civilite}",$K$9857)</f>
        <v>Objet : révision de nos honoraires au 1er janvier 2027</v>
      </c>
      <c r="C9873" s="34"/>
      <c r="D9873" s="34"/>
      <c r="E9873" s="34"/>
      <c r="F9873" s="34"/>
      <c r="J9873" s="25"/>
      <c r="K9873" s="25"/>
      <c r="L9873" s="25"/>
      <c r="M9873" s="25"/>
      <c r="N9873" s="25"/>
      <c r="O9873" s="25"/>
    </row>
    <row r="9874" customFormat="false" ht="13.5" hidden="false" customHeight="true" outlineLevel="0" collapsed="false">
      <c r="B9874" s="10"/>
      <c r="C9874" s="10"/>
      <c r="D9874" s="10"/>
      <c r="E9874" s="10"/>
      <c r="F9874" s="10"/>
      <c r="J9874" s="25"/>
      <c r="K9874" s="25"/>
      <c r="L9874" s="25"/>
      <c r="M9874" s="25"/>
      <c r="N9874" s="25"/>
      <c r="O9874" s="25"/>
    </row>
    <row r="9875" customFormat="false" ht="15" hidden="false" customHeight="false" outlineLevel="0" collapsed="false">
      <c r="B9875" s="10" t="str">
        <f aca="false">$K$9857&amp;","</f>
        <v>Madame, Monsieur,</v>
      </c>
      <c r="C9875" s="10"/>
      <c r="D9875" s="10"/>
      <c r="E9875" s="10"/>
      <c r="F9875" s="10"/>
      <c r="J9875" s="25"/>
      <c r="K9875" s="25"/>
      <c r="L9875" s="25"/>
      <c r="M9875" s="25"/>
      <c r="N9875" s="25"/>
      <c r="O9875" s="25"/>
    </row>
    <row r="9876" customFormat="false" ht="6" hidden="false" customHeight="true" outlineLevel="0" collapsed="false">
      <c r="B9876" s="10"/>
      <c r="C9876" s="10"/>
      <c r="D9876" s="10"/>
      <c r="E9876" s="10"/>
      <c r="F9876" s="10"/>
      <c r="J9876" s="25"/>
      <c r="K9876" s="25"/>
      <c r="L9876" s="25"/>
      <c r="M9876" s="25"/>
      <c r="N9876" s="25"/>
      <c r="O9876" s="25"/>
    </row>
    <row r="9877" customFormat="false" ht="36.75" hidden="false" customHeight="true" outlineLevel="0" collapsed="false">
      <c r="B9877" s="37" t="str">
        <f aca="false">SUBSTITUTE(SUBSTITUTE(SUBSTITUTE(SUBSTITUTE(SUBSTITUTE(Txt_P1,"{cabinet}",Cab_Nom),"{societe}",IF($K$9856=0,"",INDEX(Clients!$E$2:$E$501,$K$9856)&amp;"")),"{date_effet}",$K$9858),"{hausse}",$K$9859),"{civilite}",$K$9857)</f>
        <v>Nous tenons tout d'abord à vous remercier pour la confiance que vous accordez à ALTHO EXPERTISE. Comme chaque année, et conformément aux dispositions de votre lettre de mission, nous procédons à la révision de nos honoraires.</v>
      </c>
      <c r="C9877" s="37"/>
      <c r="D9877" s="37"/>
      <c r="E9877" s="37"/>
      <c r="F9877" s="37"/>
      <c r="J9877" s="25"/>
      <c r="K9877" s="25"/>
      <c r="L9877" s="25"/>
      <c r="M9877" s="25"/>
      <c r="N9877" s="25"/>
      <c r="O9877" s="25"/>
    </row>
    <row r="9878" customFormat="false" ht="49.5" hidden="false" customHeight="true" outlineLevel="0" collapsed="false">
      <c r="B9878" s="37" t="str">
        <f aca="false">SUBSTITUTE(SUBSTITUTE(SUBSTITUTE(SUBSTITUTE(SUBSTITUTE(Txt_P2,"{cabinet}",Cab_Nom),"{societe}",IF($K$9856=0,"",INDEX(Clients!$E$2:$E$501,$K$9856)&amp;"")),"{date_effet}",$K$9858),"{hausse}",$K$9859),"{civilite}",$K$9857)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878" s="37"/>
      <c r="D9878" s="37"/>
      <c r="E9878" s="37"/>
      <c r="F9878" s="37"/>
      <c r="J9878" s="25"/>
      <c r="K9878" s="25"/>
      <c r="L9878" s="25"/>
      <c r="M9878" s="25"/>
      <c r="N9878" s="25"/>
      <c r="O9878" s="25"/>
    </row>
    <row r="9879" customFormat="false" ht="63" hidden="false" customHeight="true" outlineLevel="0" collapsed="false">
      <c r="B9879" s="37" t="str">
        <f aca="false">SUBSTITUTE(SUBSTITUTE(SUBSTITUTE(SUBSTITUTE(SUBSTITUTE(Txt_P3,"{cabinet}",Cab_Nom),"{societe}",IF($K$9856=0,"",INDEX(Clients!$E$2:$E$501,$K$9856)&amp;"")),"{date_effet}",$K$9858),"{hausse}",$K$9859),"{civilite}",$K$9857)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879" s="37"/>
      <c r="D9879" s="37"/>
      <c r="E9879" s="37"/>
      <c r="F9879" s="37"/>
      <c r="J9879" s="25"/>
      <c r="K9879" s="25"/>
      <c r="L9879" s="25"/>
      <c r="M9879" s="25"/>
      <c r="N9879" s="25"/>
      <c r="O9879" s="25"/>
    </row>
    <row r="9880" customFormat="false" ht="24" hidden="false" customHeight="true" outlineLevel="0" collapsed="false">
      <c r="B9880" s="37" t="str">
        <f aca="false">SUBSTITUTE(SUBSTITUTE(SUBSTITUTE(SUBSTITUTE(SUBSTITUTE(Txt_P4,"{cabinet}",Cab_Nom),"{societe}",IF($K$9856=0,"",INDEX(Clients!$E$2:$E$501,$K$9856)&amp;"")),"{date_effet}",$K$9858),"{hausse}",$K$9859),"{civilite}",$K$9857)</f>
        <v>À compter du 1er janvier 2027, vos honoraires annuels hors taxes évolueront ainsi (évolution globale : ) :</v>
      </c>
      <c r="C9880" s="37"/>
      <c r="D9880" s="37"/>
      <c r="E9880" s="37"/>
      <c r="F9880" s="37"/>
      <c r="J9880" s="25"/>
      <c r="K9880" s="25"/>
      <c r="L9880" s="25"/>
      <c r="M9880" s="25"/>
      <c r="N9880" s="25"/>
      <c r="O9880" s="25"/>
    </row>
    <row r="9881" customFormat="false" ht="3.75" hidden="false" customHeight="true" outlineLevel="0" collapsed="false">
      <c r="B9881" s="10"/>
      <c r="C9881" s="10"/>
      <c r="D9881" s="10"/>
      <c r="E9881" s="10"/>
      <c r="F9881" s="10"/>
      <c r="J9881" s="25"/>
      <c r="K9881" s="25"/>
      <c r="L9881" s="25"/>
      <c r="M9881" s="25"/>
      <c r="N9881" s="25"/>
      <c r="O9881" s="25"/>
    </row>
    <row r="9882" customFormat="false" ht="18" hidden="false" customHeight="true" outlineLevel="0" collapsed="false">
      <c r="B9882" s="38" t="s">
        <v>148</v>
      </c>
      <c r="C9882" s="39" t="s">
        <v>149</v>
      </c>
      <c r="D9882" s="39" t="s">
        <v>150</v>
      </c>
      <c r="E9882" s="39" t="s">
        <v>151</v>
      </c>
      <c r="F9882" s="39" t="s">
        <v>109</v>
      </c>
      <c r="J9882" s="25" t="s">
        <v>152</v>
      </c>
      <c r="K9882" s="25" t="s">
        <v>153</v>
      </c>
      <c r="L9882" s="25" t="s">
        <v>154</v>
      </c>
      <c r="M9882" s="25" t="s">
        <v>155</v>
      </c>
      <c r="N9882" s="25" t="s">
        <v>156</v>
      </c>
      <c r="O9882" s="25" t="s">
        <v>157</v>
      </c>
    </row>
    <row r="9883" customFormat="false" ht="16.5" hidden="false" customHeight="true" outlineLevel="0" collapsed="false">
      <c r="B9883" s="40" t="str">
        <f aca="false">IFERROR(INDEX($J$9883:$J$9886,MATCH($O9883,$N$9883:$N$9886,0)),"")</f>
        <v/>
      </c>
      <c r="C9883" s="41" t="str">
        <f aca="false">IFERROR(INDEX($K$9883:$K$9886,MATCH($O9883,$N$9883:$N$9886,0)),"")</f>
        <v/>
      </c>
      <c r="D9883" s="42" t="str">
        <f aca="false">IF(OR(E9883="",N(C9883)=0),"",E9883/C9883-1)</f>
        <v/>
      </c>
      <c r="E9883" s="41" t="str">
        <f aca="false">IFERROR(INDEX($L$9883:$L$9886,MATCH($O9883,$N$9883:$N$9886,0)),"")</f>
        <v/>
      </c>
      <c r="F9883" s="41" t="str">
        <f aca="false">IF(E9883="","",E9883-C9883)</f>
        <v/>
      </c>
      <c r="J9883" s="25" t="str">
        <f aca="false">Lib_Compta</f>
        <v>Mission comptable (tenue, révision, bilan, liasse fiscale)</v>
      </c>
      <c r="K9883" s="25" t="n">
        <f aca="false">IF($K$9856=0,0,N(INDEX(Clients!$K$2:$K$501,$K$9856)))</f>
        <v>0</v>
      </c>
      <c r="L9883" s="25" t="n">
        <f aca="false">IF($K$9856=0,0,N(INDEX(Clients!$P$2:$P$501,$K$9856)))</f>
        <v>0</v>
      </c>
      <c r="M9883" s="25" t="n">
        <f aca="false">IF(OR(K9883&lt;&gt;0,L9883&lt;&gt;0),1,0)</f>
        <v>0</v>
      </c>
      <c r="N9883" s="25" t="str">
        <f aca="false">IF(M9883=1,SUM($M$9883:M9883),"")</f>
        <v/>
      </c>
      <c r="O9883" s="25" t="n">
        <v>1</v>
      </c>
    </row>
    <row r="9884" customFormat="false" ht="16.5" hidden="false" customHeight="true" outlineLevel="0" collapsed="false">
      <c r="B9884" s="40" t="str">
        <f aca="false">IFERROR(INDEX($J$9883:$J$9886,MATCH($O9884,$N$9883:$N$9886,0)),"")</f>
        <v/>
      </c>
      <c r="C9884" s="41" t="str">
        <f aca="false">IFERROR(INDEX($K$9883:$K$9886,MATCH($O9884,$N$9883:$N$9886,0)),"")</f>
        <v/>
      </c>
      <c r="D9884" s="42" t="str">
        <f aca="false">IF(OR(E9884="",N(C9884)=0),"",E9884/C9884-1)</f>
        <v/>
      </c>
      <c r="E9884" s="41" t="str">
        <f aca="false">IFERROR(INDEX($L$9883:$L$9886,MATCH($O9884,$N$9883:$N$9886,0)),"")</f>
        <v/>
      </c>
      <c r="F9884" s="41" t="str">
        <f aca="false">IF(E9884="","",E9884-C9884)</f>
        <v/>
      </c>
      <c r="J9884" s="25" t="str">
        <f aca="false">Lib_Paye</f>
        <v>Mission sociale (bulletins de paie, DSN, déclarations sociales)</v>
      </c>
      <c r="K9884" s="25" t="n">
        <f aca="false">IF($K$9856=0,0,N(INDEX(Clients!$L$2:$L$501,$K$9856)))</f>
        <v>0</v>
      </c>
      <c r="L9884" s="25" t="n">
        <f aca="false">IF($K$9856=0,0,N(INDEX(Clients!$Q$2:$Q$501,$K$9856)))</f>
        <v>0</v>
      </c>
      <c r="M9884" s="25" t="n">
        <f aca="false">IF(OR(K9884&lt;&gt;0,L9884&lt;&gt;0),1,0)</f>
        <v>0</v>
      </c>
      <c r="N9884" s="25" t="str">
        <f aca="false">IF(M9884=1,SUM($M$9883:M9884),"")</f>
        <v/>
      </c>
      <c r="O9884" s="25" t="n">
        <v>2</v>
      </c>
    </row>
    <row r="9885" customFormat="false" ht="16.5" hidden="false" customHeight="true" outlineLevel="0" collapsed="false">
      <c r="B9885" s="40" t="str">
        <f aca="false">IFERROR(INDEX($J$9883:$J$9886,MATCH($O9885,$N$9883:$N$9886,0)),"")</f>
        <v/>
      </c>
      <c r="C9885" s="41" t="str">
        <f aca="false">IFERROR(INDEX($K$9883:$K$9886,MATCH($O9885,$N$9883:$N$9886,0)),"")</f>
        <v/>
      </c>
      <c r="D9885" s="42" t="str">
        <f aca="false">IF(OR(E9885="",N(C9885)=0),"",E9885/C9885-1)</f>
        <v/>
      </c>
      <c r="E9885" s="41" t="str">
        <f aca="false">IFERROR(INDEX($L$9883:$L$9886,MATCH($O9885,$N$9883:$N$9886,0)),"")</f>
        <v/>
      </c>
      <c r="F9885" s="41" t="str">
        <f aca="false">IF(E9885="","",E9885-C9885)</f>
        <v/>
      </c>
      <c r="J9885" s="25" t="str">
        <f aca="false">Lib_Jur</f>
        <v>Mission juridique (approbation des comptes, secrétariat juridique)</v>
      </c>
      <c r="K9885" s="25" t="n">
        <f aca="false">IF($K$9856=0,0,N(INDEX(Clients!$M$2:$M$501,$K$9856)))</f>
        <v>0</v>
      </c>
      <c r="L9885" s="25" t="n">
        <f aca="false">IF($K$9856=0,0,N(INDEX(Clients!$R$2:$R$501,$K$9856)))</f>
        <v>0</v>
      </c>
      <c r="M9885" s="25" t="n">
        <f aca="false">IF(OR(K9885&lt;&gt;0,L9885&lt;&gt;0),1,0)</f>
        <v>0</v>
      </c>
      <c r="N9885" s="25" t="str">
        <f aca="false">IF(M9885=1,SUM($M$9883:M9885),"")</f>
        <v/>
      </c>
      <c r="O9885" s="25" t="n">
        <v>3</v>
      </c>
    </row>
    <row r="9886" customFormat="false" ht="16.5" hidden="false" customHeight="true" outlineLevel="0" collapsed="false">
      <c r="B9886" s="40" t="str">
        <f aca="false">IFERROR(INDEX($J$9883:$J$9886,MATCH($O9886,$N$9883:$N$9886,0)),"")</f>
        <v/>
      </c>
      <c r="C9886" s="41" t="str">
        <f aca="false">IFERROR(INDEX($K$9883:$K$9886,MATCH($O9886,$N$9883:$N$9886,0)),"")</f>
        <v/>
      </c>
      <c r="D9886" s="42" t="str">
        <f aca="false">IF(OR(E9886="",N(C9886)=0),"",E9886/C9886-1)</f>
        <v/>
      </c>
      <c r="E9886" s="41" t="str">
        <f aca="false">IFERROR(INDEX($L$9883:$L$9886,MATCH($O9886,$N$9883:$N$9886,0)),"")</f>
        <v/>
      </c>
      <c r="F9886" s="41" t="str">
        <f aca="false">IF(E9886="","",E9886-C9886)</f>
        <v/>
      </c>
      <c r="J9886" s="25" t="str">
        <f aca="false">Lib_PA</f>
        <v>Plateforme agréée – facturation électronique</v>
      </c>
      <c r="K9886" s="25" t="n">
        <f aca="false">IF($K$9856=0,0,N(INDEX(Clients!$N$2:$N$501,$K$9856)))</f>
        <v>0</v>
      </c>
      <c r="L9886" s="25" t="n">
        <f aca="false">IF($K$9856=0,0,N(INDEX(Clients!$S$2:$S$501,$K$9856)))</f>
        <v>0</v>
      </c>
      <c r="M9886" s="25" t="n">
        <f aca="false">IF(OR(K9886&lt;&gt;0,L9886&lt;&gt;0),1,0)</f>
        <v>0</v>
      </c>
      <c r="N9886" s="25" t="str">
        <f aca="false">IF(M9886=1,SUM($M$9883:M9886),"")</f>
        <v/>
      </c>
      <c r="O9886" s="25" t="n">
        <v>4</v>
      </c>
    </row>
    <row r="9887" customFormat="false" ht="18" hidden="false" customHeight="true" outlineLevel="0" collapsed="false">
      <c r="B9887" s="43" t="s">
        <v>158</v>
      </c>
      <c r="C9887" s="44" t="n">
        <f aca="false">SUM(K9883:K9886)</f>
        <v>0</v>
      </c>
      <c r="D9887" s="45" t="str">
        <f aca="false">IF(N(C9887)=0,"",E9887/C9887-1)</f>
        <v/>
      </c>
      <c r="E9887" s="44" t="n">
        <f aca="false">SUM(L9883:L9886)</f>
        <v>0</v>
      </c>
      <c r="F9887" s="44" t="n">
        <f aca="false">E9887-C9887</f>
        <v>0</v>
      </c>
    </row>
    <row r="9888" customFormat="false" ht="15" hidden="false" customHeight="false" outlineLevel="0" collapsed="false">
      <c r="B9888" s="46" t="str">
        <f aca="false">IF(N(Nb_Mensualites)=0,"","Soit "&amp;FIXED(E9887/Nb_Mensualites,2)&amp;" € HT par échéance ("&amp;Nb_Mensualites&amp;" échéances), "&amp;FIXED(E9887/Nb_Mensualites*(1+Taux_TVA),2)&amp;" € TTC.")</f>
        <v>Soit 0.00 € HT par échéance (12 échéances), 0.00 € TTC.</v>
      </c>
      <c r="C9888" s="46"/>
      <c r="D9888" s="46"/>
      <c r="E9888" s="46"/>
      <c r="F9888" s="46"/>
    </row>
    <row r="9889" customFormat="false" ht="7.5" hidden="false" customHeight="true" outlineLevel="0" collapsed="false">
      <c r="B9889" s="10"/>
      <c r="C9889" s="10"/>
      <c r="D9889" s="10"/>
      <c r="E9889" s="10"/>
      <c r="F9889" s="10"/>
    </row>
    <row r="9890" customFormat="false" ht="36.75" hidden="false" customHeight="true" outlineLevel="0" collapsed="false">
      <c r="B9890" s="37" t="str">
        <f aca="false">SUBSTITUTE(SUBSTITUTE(SUBSTITUTE(SUBSTITUTE(SUBSTITUTE(Txt_P5,"{cabinet}",Cab_Nom),"{societe}",IF($K$9856=0,"",INDEX(Clients!$E$2:$E$501,$K$9856)&amp;"")),"{date_effet}",$K$9858),"{hausse}",$K$9859),"{civilite}",$K$9857)</f>
        <v>Les autres conditions de votre lettre de mission demeurent inchangées. Les nouveaux montants seront appliqués automatiquement sur vos prochaines factures et échéances de prélèvement.</v>
      </c>
      <c r="C9890" s="37"/>
      <c r="D9890" s="37"/>
      <c r="E9890" s="37"/>
      <c r="F9890" s="37"/>
    </row>
    <row r="9891" customFormat="false" ht="36.75" hidden="false" customHeight="true" outlineLevel="0" collapsed="false">
      <c r="B9891" s="37" t="str">
        <f aca="false">SUBSTITUTE(SUBSTITUTE(SUBSTITUTE(SUBSTITUTE(SUBSTITUTE(Txt_P6,"{cabinet}",Cab_Nom),"{societe}",IF($K$9856=0,"",INDEX(Clients!$E$2:$E$501,$K$9856)&amp;"")),"{date_effet}",$K$9858),"{hausse}",$K$9859),"{civilite}",$K$9857)</f>
        <v>Votre interlocuteur habituel reste à votre entière disposition pour répondre à vos questions et faire le point sur l'évolution de vos besoins.</v>
      </c>
      <c r="C9891" s="37"/>
      <c r="D9891" s="37"/>
      <c r="E9891" s="37"/>
      <c r="F9891" s="37"/>
    </row>
    <row r="9892" customFormat="false" ht="24" hidden="false" customHeight="true" outlineLevel="0" collapsed="false">
      <c r="B9892" s="37" t="str">
        <f aca="false">SUBSTITUTE(SUBSTITUTE(SUBSTITUTE(SUBSTITUTE(SUBSTITUTE(Txt_Politesse,"{cabinet}",Cab_Nom),"{societe}",IF($K$9856=0,"",INDEX(Clients!$E$2:$E$501,$K$9856)&amp;"")),"{date_effet}",$K$9858),"{hausse}",$K$9859),"{civilite}",$K$9857)</f>
        <v>Nous vous prions d'agréer, Madame, Monsieur, l'expression de nos salutations distinguées.</v>
      </c>
      <c r="C9892" s="37"/>
      <c r="D9892" s="37"/>
      <c r="E9892" s="37"/>
      <c r="F9892" s="37"/>
    </row>
    <row r="9893" customFormat="false" ht="15" hidden="false" customHeight="false" outlineLevel="0" collapsed="false">
      <c r="B9893" s="10"/>
      <c r="C9893" s="10"/>
      <c r="D9893" s="10"/>
      <c r="E9893" s="10"/>
      <c r="F9893" s="10"/>
    </row>
    <row r="9894" customFormat="false" ht="15" hidden="false" customHeight="false" outlineLevel="0" collapsed="false">
      <c r="B9894" s="10"/>
      <c r="C9894" s="10"/>
      <c r="D9894" s="34" t="str">
        <f aca="false">Signataire</f>
        <v>Prénom NOM</v>
      </c>
      <c r="E9894" s="34"/>
      <c r="F9894" s="34"/>
    </row>
    <row r="9895" customFormat="false" ht="15" hidden="false" customHeight="false" outlineLevel="0" collapsed="false">
      <c r="B9895" s="10"/>
      <c r="C9895" s="10"/>
      <c r="D9895" s="47" t="str">
        <f aca="false">Signataire_Titre</f>
        <v>Expert-comptable associé</v>
      </c>
      <c r="E9895" s="47"/>
      <c r="F9895" s="47"/>
    </row>
    <row r="9896" customFormat="false" ht="15.75" hidden="false" customHeight="true" outlineLevel="0" collapsed="false">
      <c r="B9896" s="10"/>
      <c r="C9896" s="10"/>
      <c r="D9896" s="10"/>
      <c r="E9896" s="10"/>
      <c r="F9896" s="10"/>
    </row>
    <row r="9897" customFormat="false" ht="15.75" hidden="false" customHeight="true" outlineLevel="0" collapsed="false">
      <c r="B9897" s="10"/>
      <c r="C9897" s="10"/>
      <c r="D9897" s="10"/>
      <c r="E9897" s="10"/>
      <c r="F9897" s="10"/>
    </row>
    <row r="9898" customFormat="false" ht="15.75" hidden="false" customHeight="true" outlineLevel="0" collapsed="false">
      <c r="B9898" s="10"/>
      <c r="C9898" s="10"/>
      <c r="D9898" s="10"/>
      <c r="E9898" s="10"/>
      <c r="F9898" s="10"/>
    </row>
    <row r="9899" customFormat="false" ht="15.75" hidden="false" customHeight="true" outlineLevel="0" collapsed="false">
      <c r="B9899" s="10"/>
      <c r="C9899" s="10"/>
      <c r="D9899" s="10"/>
      <c r="E9899" s="10"/>
      <c r="F9899" s="10"/>
    </row>
    <row r="9900" customFormat="false" ht="24" hidden="false" customHeight="true" outlineLevel="0" collapsed="false">
      <c r="B9900" s="48" t="str">
        <f aca="false">Cab_Mentions</f>
        <v>ALTHO EXPERTISE · SAS au capital de 10 000 € · RCS Pontoise 919 706 325 · TVA FR62919706325 · Société d'expertise comptable inscrite au Tableau de l'Ordre des experts-comptables de Paris Île-de-France</v>
      </c>
      <c r="C9900" s="48"/>
      <c r="D9900" s="48"/>
      <c r="E9900" s="48"/>
      <c r="F9900" s="48"/>
    </row>
    <row r="9901" customFormat="false" ht="15" hidden="false" customHeight="false" outlineLevel="0" collapsed="false">
      <c r="B9901" s="10"/>
      <c r="C9901" s="10"/>
      <c r="D9901" s="10"/>
      <c r="E9901" s="10"/>
      <c r="F9901" s="10"/>
      <c r="J9901" s="25" t="s">
        <v>142</v>
      </c>
      <c r="K9901" s="25" t="n">
        <f aca="false">IFERROR(MATCH(221,Clients!$Z$2:$Z$501,0),0)</f>
        <v>0</v>
      </c>
      <c r="L9901" s="25"/>
      <c r="M9901" s="25"/>
      <c r="N9901" s="25"/>
      <c r="O9901" s="25"/>
    </row>
    <row r="9902" customFormat="false" ht="21.75" hidden="false" customHeight="true" outlineLevel="0" collapsed="false">
      <c r="B9902" s="26" t="str">
        <f aca="false">Cab_Nom</f>
        <v>ALTHO EXPERTISE</v>
      </c>
      <c r="C9902" s="26"/>
      <c r="D9902" s="10"/>
      <c r="E9902" s="27" t="str">
        <f aca="false">IF($K$9901=0,"","Réf. client : "&amp;INDEX(Clients!$A$2:$A$501,$K$9901))</f>
        <v/>
      </c>
      <c r="F9902" s="27"/>
      <c r="J9902" s="25" t="s">
        <v>144</v>
      </c>
      <c r="K9902" s="25" t="str">
        <f aca="false">IF(IF($K$9901=0,"",INDEX(Clients!$B$2:$B$501,$K$9901)&amp;"")="Mme","Madame",IF(IF($K$9901=0,"",INDEX(Clients!$B$2:$B$501,$K$9901)&amp;"")="M.","Monsieur","Madame, Monsieur"))</f>
        <v>Madame, Monsieur</v>
      </c>
      <c r="L9902" s="25"/>
      <c r="M9902" s="25"/>
      <c r="N9902" s="25"/>
      <c r="O9902" s="25"/>
    </row>
    <row r="9903" customFormat="false" ht="15" hidden="false" customHeight="false" outlineLevel="0" collapsed="false">
      <c r="B9903" s="29" t="str">
        <f aca="false">Cab_Adr1</f>
        <v>141 rue Charles de Gaulle</v>
      </c>
      <c r="C9903" s="29"/>
      <c r="D9903" s="10"/>
      <c r="E9903" s="10"/>
      <c r="F9903" s="10"/>
      <c r="J9903" s="25" t="s">
        <v>145</v>
      </c>
      <c r="K9903" s="25" t="str">
        <f aca="false">DAY(Date_Effet)&amp;IF(DAY(Date_Effet)=1,"er","")&amp;" "&amp;INDEX(Liste_Mois,MONTH(Date_Effet))&amp;" "&amp;YEAR(Date_Effet)</f>
        <v>1er janvier 2027</v>
      </c>
      <c r="L9903" s="25"/>
      <c r="M9903" s="25"/>
      <c r="N9903" s="25"/>
      <c r="O9903" s="25"/>
    </row>
    <row r="9904" customFormat="false" ht="15" hidden="false" customHeight="false" outlineLevel="0" collapsed="false">
      <c r="B9904" s="29" t="str">
        <f aca="false">Cab_CPVille</f>
        <v>95130 LE PLESSIS-BOUCHARD</v>
      </c>
      <c r="C9904" s="29"/>
      <c r="D9904" s="10"/>
      <c r="E9904" s="10"/>
      <c r="F9904" s="10"/>
      <c r="J9904" s="25" t="s">
        <v>146</v>
      </c>
      <c r="K9904" s="25" t="str">
        <f aca="false">IF(SUM($K$9928:$K$9931)=0,"",FIXED((SUM($L$9928:$L$9931)/SUM($K$9928:$K$9931)-1)*100,1)&amp;" %")</f>
        <v/>
      </c>
      <c r="L9904" s="25"/>
      <c r="M9904" s="25"/>
      <c r="N9904" s="25"/>
      <c r="O9904" s="25"/>
    </row>
    <row r="9905" customFormat="false" ht="15" hidden="false" customHeight="false" outlineLevel="0" collapsed="false">
      <c r="B9905" s="29" t="str">
        <f aca="false">Cab_Contact</f>
        <v>Tél. 01 34 14 53 45  ·  altho@altho-experts.com  ·  altho-experts.com</v>
      </c>
      <c r="C9905" s="29"/>
      <c r="D9905" s="10"/>
      <c r="E9905" s="10"/>
      <c r="F9905" s="10"/>
      <c r="J9905" s="25"/>
      <c r="K9905" s="25"/>
      <c r="L9905" s="25"/>
      <c r="M9905" s="25"/>
      <c r="N9905" s="25"/>
      <c r="O9905" s="25"/>
    </row>
    <row r="9906" customFormat="false" ht="6" hidden="false" customHeight="true" outlineLevel="0" collapsed="false">
      <c r="B9906" s="32"/>
      <c r="C9906" s="32"/>
      <c r="D9906" s="32"/>
      <c r="E9906" s="32"/>
      <c r="F9906" s="32"/>
      <c r="J9906" s="25"/>
      <c r="K9906" s="25"/>
      <c r="L9906" s="25"/>
      <c r="M9906" s="25"/>
      <c r="N9906" s="25"/>
      <c r="O9906" s="25"/>
    </row>
    <row r="9907" customFormat="false" ht="13.5" hidden="false" customHeight="true" outlineLevel="0" collapsed="false">
      <c r="B9907" s="10"/>
      <c r="C9907" s="10"/>
      <c r="D9907" s="10"/>
      <c r="E9907" s="10"/>
      <c r="F9907" s="10"/>
      <c r="J9907" s="25"/>
      <c r="K9907" s="25"/>
      <c r="L9907" s="25"/>
      <c r="M9907" s="25"/>
      <c r="N9907" s="25"/>
      <c r="O9907" s="25"/>
    </row>
    <row r="9908" customFormat="false" ht="13.5" hidden="false" customHeight="true" outlineLevel="0" collapsed="false">
      <c r="B9908" s="10"/>
      <c r="C9908" s="10"/>
      <c r="D9908" s="10"/>
      <c r="E9908" s="10"/>
      <c r="F9908" s="10"/>
      <c r="J9908" s="25"/>
      <c r="K9908" s="25"/>
      <c r="L9908" s="25"/>
      <c r="M9908" s="25"/>
      <c r="N9908" s="25"/>
      <c r="O9908" s="25"/>
    </row>
    <row r="9909" customFormat="false" ht="13.5" hidden="false" customHeight="true" outlineLevel="0" collapsed="false">
      <c r="B9909" s="10"/>
      <c r="C9909" s="10"/>
      <c r="D9909" s="10"/>
      <c r="E9909" s="10"/>
      <c r="F9909" s="10"/>
      <c r="J9909" s="25"/>
      <c r="K9909" s="25"/>
      <c r="L9909" s="25"/>
      <c r="M9909" s="25"/>
      <c r="N9909" s="25"/>
      <c r="O9909" s="25"/>
    </row>
    <row r="9910" customFormat="false" ht="15" hidden="false" customHeight="true" outlineLevel="0" collapsed="false">
      <c r="B9910" s="10"/>
      <c r="C9910" s="10"/>
      <c r="D9910" s="34" t="str">
        <f aca="false">IF($K$9901=0,"",INDEX(Clients!$E$2:$E$501,$K$9901)&amp;"")</f>
        <v/>
      </c>
      <c r="E9910" s="34"/>
      <c r="F9910" s="34"/>
      <c r="J9910" s="25"/>
      <c r="K9910" s="25"/>
      <c r="L9910" s="25"/>
      <c r="M9910" s="25"/>
      <c r="N9910" s="25"/>
      <c r="O9910" s="25"/>
    </row>
    <row r="9911" customFormat="false" ht="15" hidden="false" customHeight="true" outlineLevel="0" collapsed="false">
      <c r="B9911" s="10"/>
      <c r="C9911" s="10"/>
      <c r="D9911" s="35" t="str">
        <f aca="false">IF(IF($K$9901=0,"",INDEX(Clients!$D$2:$D$501,$K$9901)&amp;"")="","","À l'attention de "&amp;TRIM(IF($K$9901=0,"",INDEX(Clients!$B$2:$B$501,$K$9901)&amp;"")&amp;" "&amp;IF($K$9901=0,"",INDEX(Clients!$C$2:$C$501,$K$9901)&amp;"")&amp;" "&amp;IF($K$9901=0,"",INDEX(Clients!$D$2:$D$501,$K$9901)&amp;"")))</f>
        <v/>
      </c>
      <c r="E9911" s="35"/>
      <c r="F9911" s="35"/>
      <c r="J9911" s="25"/>
      <c r="K9911" s="25"/>
      <c r="L9911" s="25"/>
      <c r="M9911" s="25"/>
      <c r="N9911" s="25"/>
      <c r="O9911" s="25"/>
    </row>
    <row r="9912" customFormat="false" ht="15" hidden="false" customHeight="true" outlineLevel="0" collapsed="false">
      <c r="B9912" s="10"/>
      <c r="C9912" s="10"/>
      <c r="D9912" s="35" t="str">
        <f aca="false">IF($K$9901=0,"",INDEX(Clients!$F$2:$F$501,$K$9901)&amp;"")</f>
        <v/>
      </c>
      <c r="E9912" s="35"/>
      <c r="F9912" s="35"/>
      <c r="J9912" s="25"/>
      <c r="K9912" s="25"/>
      <c r="L9912" s="25"/>
      <c r="M9912" s="25"/>
      <c r="N9912" s="25"/>
      <c r="O9912" s="25"/>
    </row>
    <row r="9913" customFormat="false" ht="15" hidden="false" customHeight="true" outlineLevel="0" collapsed="false">
      <c r="B9913" s="10"/>
      <c r="C9913" s="10"/>
      <c r="D9913" s="35" t="str">
        <f aca="false">IF(IF($K$9901=0,"",INDEX(Clients!$G$2:$G$501,$K$9901)&amp;"")="",TRIM(IF($K$9901=0,"",INDEX(Clients!$H$2:$H$501,$K$9901)&amp;"")&amp;" "&amp;UPPER(IF($K$9901=0,"",INDEX(Clients!$I$2:$I$501,$K$9901)&amp;""))),IF($K$9901=0,"",INDEX(Clients!$G$2:$G$501,$K$9901)&amp;""))</f>
        <v/>
      </c>
      <c r="E9913" s="35"/>
      <c r="F9913" s="35"/>
      <c r="J9913" s="25"/>
      <c r="K9913" s="25"/>
      <c r="L9913" s="25"/>
      <c r="M9913" s="25"/>
      <c r="N9913" s="25"/>
      <c r="O9913" s="25"/>
    </row>
    <row r="9914" customFormat="false" ht="15" hidden="false" customHeight="true" outlineLevel="0" collapsed="false">
      <c r="B9914" s="10"/>
      <c r="C9914" s="10"/>
      <c r="D9914" s="35" t="str">
        <f aca="false">IF(IF($K$9901=0,"",INDEX(Clients!$G$2:$G$501,$K$9901)&amp;"")="","",TRIM(IF($K$9901=0,"",INDEX(Clients!$H$2:$H$501,$K$9901)&amp;"")&amp;" "&amp;UPPER(IF($K$9901=0,"",INDEX(Clients!$I$2:$I$501,$K$9901)&amp;""))))</f>
        <v/>
      </c>
      <c r="E9914" s="35"/>
      <c r="F9914" s="35"/>
      <c r="J9914" s="25"/>
      <c r="K9914" s="25"/>
      <c r="L9914" s="25"/>
      <c r="M9914" s="25"/>
      <c r="N9914" s="25"/>
      <c r="O9914" s="25"/>
    </row>
    <row r="9915" customFormat="false" ht="25.5" hidden="false" customHeight="true" outlineLevel="0" collapsed="false">
      <c r="B9915" s="10"/>
      <c r="C9915" s="10"/>
      <c r="D9915" s="10"/>
      <c r="E9915" s="10"/>
      <c r="F9915" s="10"/>
      <c r="J9915" s="25"/>
      <c r="K9915" s="25"/>
      <c r="L9915" s="25"/>
      <c r="M9915" s="25"/>
      <c r="N9915" s="25"/>
      <c r="O9915" s="25"/>
    </row>
    <row r="9916" customFormat="false" ht="15" hidden="false" customHeight="false" outlineLevel="0" collapsed="false">
      <c r="B9916" s="10"/>
      <c r="C9916" s="10"/>
      <c r="D9916" s="36" t="str">
        <f aca="false">Cab_Ville&amp;", le "&amp;DAY(Date_Courrier)&amp;IF(DAY(Date_Courrier)=1,"er","")&amp;" "&amp;INDEX(Liste_Mois,MONTH(Date_Courrier))&amp;" "&amp;YEAR(Date_Courrier)</f>
        <v>Le Plessis-Bouchard, le 22 septembre 2026</v>
      </c>
      <c r="E9916" s="36"/>
      <c r="F9916" s="36"/>
      <c r="J9916" s="25"/>
      <c r="K9916" s="25"/>
      <c r="L9916" s="25"/>
      <c r="M9916" s="25"/>
      <c r="N9916" s="25"/>
      <c r="O9916" s="25"/>
    </row>
    <row r="9917" customFormat="false" ht="19.5" hidden="false" customHeight="true" outlineLevel="0" collapsed="false">
      <c r="B9917" s="10"/>
      <c r="C9917" s="10"/>
      <c r="D9917" s="10"/>
      <c r="E9917" s="10"/>
      <c r="F9917" s="10"/>
      <c r="J9917" s="25"/>
      <c r="K9917" s="25"/>
      <c r="L9917" s="25"/>
      <c r="M9917" s="25"/>
      <c r="N9917" s="25"/>
      <c r="O9917" s="25"/>
    </row>
    <row r="9918" customFormat="false" ht="15" hidden="false" customHeight="false" outlineLevel="0" collapsed="false">
      <c r="B9918" s="34" t="str">
        <f aca="false">SUBSTITUTE(SUBSTITUTE(SUBSTITUTE(SUBSTITUTE(SUBSTITUTE(Txt_Objet,"{cabinet}",Cab_Nom),"{societe}",IF($K$9901=0,"",INDEX(Clients!$E$2:$E$501,$K$9901)&amp;"")),"{date_effet}",$K$9903),"{hausse}",$K$9904),"{civilite}",$K$9902)</f>
        <v>Objet : révision de nos honoraires au 1er janvier 2027</v>
      </c>
      <c r="C9918" s="34"/>
      <c r="D9918" s="34"/>
      <c r="E9918" s="34"/>
      <c r="F9918" s="34"/>
      <c r="J9918" s="25"/>
      <c r="K9918" s="25"/>
      <c r="L9918" s="25"/>
      <c r="M9918" s="25"/>
      <c r="N9918" s="25"/>
      <c r="O9918" s="25"/>
    </row>
    <row r="9919" customFormat="false" ht="13.5" hidden="false" customHeight="true" outlineLevel="0" collapsed="false">
      <c r="B9919" s="10"/>
      <c r="C9919" s="10"/>
      <c r="D9919" s="10"/>
      <c r="E9919" s="10"/>
      <c r="F9919" s="10"/>
      <c r="J9919" s="25"/>
      <c r="K9919" s="25"/>
      <c r="L9919" s="25"/>
      <c r="M9919" s="25"/>
      <c r="N9919" s="25"/>
      <c r="O9919" s="25"/>
    </row>
    <row r="9920" customFormat="false" ht="15" hidden="false" customHeight="false" outlineLevel="0" collapsed="false">
      <c r="B9920" s="10" t="str">
        <f aca="false">$K$9902&amp;","</f>
        <v>Madame, Monsieur,</v>
      </c>
      <c r="C9920" s="10"/>
      <c r="D9920" s="10"/>
      <c r="E9920" s="10"/>
      <c r="F9920" s="10"/>
      <c r="J9920" s="25"/>
      <c r="K9920" s="25"/>
      <c r="L9920" s="25"/>
      <c r="M9920" s="25"/>
      <c r="N9920" s="25"/>
      <c r="O9920" s="25"/>
    </row>
    <row r="9921" customFormat="false" ht="6" hidden="false" customHeight="true" outlineLevel="0" collapsed="false">
      <c r="B9921" s="10"/>
      <c r="C9921" s="10"/>
      <c r="D9921" s="10"/>
      <c r="E9921" s="10"/>
      <c r="F9921" s="10"/>
      <c r="J9921" s="25"/>
      <c r="K9921" s="25"/>
      <c r="L9921" s="25"/>
      <c r="M9921" s="25"/>
      <c r="N9921" s="25"/>
      <c r="O9921" s="25"/>
    </row>
    <row r="9922" customFormat="false" ht="36.75" hidden="false" customHeight="true" outlineLevel="0" collapsed="false">
      <c r="B9922" s="37" t="str">
        <f aca="false">SUBSTITUTE(SUBSTITUTE(SUBSTITUTE(SUBSTITUTE(SUBSTITUTE(Txt_P1,"{cabinet}",Cab_Nom),"{societe}",IF($K$9901=0,"",INDEX(Clients!$E$2:$E$501,$K$9901)&amp;"")),"{date_effet}",$K$9903),"{hausse}",$K$9904),"{civilite}",$K$9902)</f>
        <v>Nous tenons tout d'abord à vous remercier pour la confiance que vous accordez à ALTHO EXPERTISE. Comme chaque année, et conformément aux dispositions de votre lettre de mission, nous procédons à la révision de nos honoraires.</v>
      </c>
      <c r="C9922" s="37"/>
      <c r="D9922" s="37"/>
      <c r="E9922" s="37"/>
      <c r="F9922" s="37"/>
      <c r="J9922" s="25"/>
      <c r="K9922" s="25"/>
      <c r="L9922" s="25"/>
      <c r="M9922" s="25"/>
      <c r="N9922" s="25"/>
      <c r="O9922" s="25"/>
    </row>
    <row r="9923" customFormat="false" ht="49.5" hidden="false" customHeight="true" outlineLevel="0" collapsed="false">
      <c r="B9923" s="37" t="str">
        <f aca="false">SUBSTITUTE(SUBSTITUTE(SUBSTITUTE(SUBSTITUTE(SUBSTITUTE(Txt_P2,"{cabinet}",Cab_Nom),"{societe}",IF($K$9901=0,"",INDEX(Clients!$E$2:$E$501,$K$9901)&amp;"")),"{date_effet}",$K$9903),"{hausse}",$K$9904),"{civilite}",$K$9902)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923" s="37"/>
      <c r="D9923" s="37"/>
      <c r="E9923" s="37"/>
      <c r="F9923" s="37"/>
      <c r="J9923" s="25"/>
      <c r="K9923" s="25"/>
      <c r="L9923" s="25"/>
      <c r="M9923" s="25"/>
      <c r="N9923" s="25"/>
      <c r="O9923" s="25"/>
    </row>
    <row r="9924" customFormat="false" ht="63" hidden="false" customHeight="true" outlineLevel="0" collapsed="false">
      <c r="B9924" s="37" t="str">
        <f aca="false">SUBSTITUTE(SUBSTITUTE(SUBSTITUTE(SUBSTITUTE(SUBSTITUTE(Txt_P3,"{cabinet}",Cab_Nom),"{societe}",IF($K$9901=0,"",INDEX(Clients!$E$2:$E$501,$K$9901)&amp;"")),"{date_effet}",$K$9903),"{hausse}",$K$9904),"{civilite}",$K$9902)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924" s="37"/>
      <c r="D9924" s="37"/>
      <c r="E9924" s="37"/>
      <c r="F9924" s="37"/>
      <c r="J9924" s="25"/>
      <c r="K9924" s="25"/>
      <c r="L9924" s="25"/>
      <c r="M9924" s="25"/>
      <c r="N9924" s="25"/>
      <c r="O9924" s="25"/>
    </row>
    <row r="9925" customFormat="false" ht="24" hidden="false" customHeight="true" outlineLevel="0" collapsed="false">
      <c r="B9925" s="37" t="str">
        <f aca="false">SUBSTITUTE(SUBSTITUTE(SUBSTITUTE(SUBSTITUTE(SUBSTITUTE(Txt_P4,"{cabinet}",Cab_Nom),"{societe}",IF($K$9901=0,"",INDEX(Clients!$E$2:$E$501,$K$9901)&amp;"")),"{date_effet}",$K$9903),"{hausse}",$K$9904),"{civilite}",$K$9902)</f>
        <v>À compter du 1er janvier 2027, vos honoraires annuels hors taxes évolueront ainsi (évolution globale : ) :</v>
      </c>
      <c r="C9925" s="37"/>
      <c r="D9925" s="37"/>
      <c r="E9925" s="37"/>
      <c r="F9925" s="37"/>
      <c r="J9925" s="25"/>
      <c r="K9925" s="25"/>
      <c r="L9925" s="25"/>
      <c r="M9925" s="25"/>
      <c r="N9925" s="25"/>
      <c r="O9925" s="25"/>
    </row>
    <row r="9926" customFormat="false" ht="3.75" hidden="false" customHeight="true" outlineLevel="0" collapsed="false">
      <c r="B9926" s="10"/>
      <c r="C9926" s="10"/>
      <c r="D9926" s="10"/>
      <c r="E9926" s="10"/>
      <c r="F9926" s="10"/>
      <c r="J9926" s="25"/>
      <c r="K9926" s="25"/>
      <c r="L9926" s="25"/>
      <c r="M9926" s="25"/>
      <c r="N9926" s="25"/>
      <c r="O9926" s="25"/>
    </row>
    <row r="9927" customFormat="false" ht="18" hidden="false" customHeight="true" outlineLevel="0" collapsed="false">
      <c r="B9927" s="38" t="s">
        <v>148</v>
      </c>
      <c r="C9927" s="39" t="s">
        <v>149</v>
      </c>
      <c r="D9927" s="39" t="s">
        <v>150</v>
      </c>
      <c r="E9927" s="39" t="s">
        <v>151</v>
      </c>
      <c r="F9927" s="39" t="s">
        <v>109</v>
      </c>
      <c r="J9927" s="25" t="s">
        <v>152</v>
      </c>
      <c r="K9927" s="25" t="s">
        <v>153</v>
      </c>
      <c r="L9927" s="25" t="s">
        <v>154</v>
      </c>
      <c r="M9927" s="25" t="s">
        <v>155</v>
      </c>
      <c r="N9927" s="25" t="s">
        <v>156</v>
      </c>
      <c r="O9927" s="25" t="s">
        <v>157</v>
      </c>
    </row>
    <row r="9928" customFormat="false" ht="16.5" hidden="false" customHeight="true" outlineLevel="0" collapsed="false">
      <c r="B9928" s="40" t="str">
        <f aca="false">IFERROR(INDEX($J$9928:$J$9931,MATCH($O9928,$N$9928:$N$9931,0)),"")</f>
        <v/>
      </c>
      <c r="C9928" s="41" t="str">
        <f aca="false">IFERROR(INDEX($K$9928:$K$9931,MATCH($O9928,$N$9928:$N$9931,0)),"")</f>
        <v/>
      </c>
      <c r="D9928" s="42" t="str">
        <f aca="false">IF(OR(E9928="",N(C9928)=0),"",E9928/C9928-1)</f>
        <v/>
      </c>
      <c r="E9928" s="41" t="str">
        <f aca="false">IFERROR(INDEX($L$9928:$L$9931,MATCH($O9928,$N$9928:$N$9931,0)),"")</f>
        <v/>
      </c>
      <c r="F9928" s="41" t="str">
        <f aca="false">IF(E9928="","",E9928-C9928)</f>
        <v/>
      </c>
      <c r="J9928" s="25" t="str">
        <f aca="false">Lib_Compta</f>
        <v>Mission comptable (tenue, révision, bilan, liasse fiscale)</v>
      </c>
      <c r="K9928" s="25" t="n">
        <f aca="false">IF($K$9901=0,0,N(INDEX(Clients!$K$2:$K$501,$K$9901)))</f>
        <v>0</v>
      </c>
      <c r="L9928" s="25" t="n">
        <f aca="false">IF($K$9901=0,0,N(INDEX(Clients!$P$2:$P$501,$K$9901)))</f>
        <v>0</v>
      </c>
      <c r="M9928" s="25" t="n">
        <f aca="false">IF(OR(K9928&lt;&gt;0,L9928&lt;&gt;0),1,0)</f>
        <v>0</v>
      </c>
      <c r="N9928" s="25" t="str">
        <f aca="false">IF(M9928=1,SUM($M$9928:M9928),"")</f>
        <v/>
      </c>
      <c r="O9928" s="25" t="n">
        <v>1</v>
      </c>
    </row>
    <row r="9929" customFormat="false" ht="16.5" hidden="false" customHeight="true" outlineLevel="0" collapsed="false">
      <c r="B9929" s="40" t="str">
        <f aca="false">IFERROR(INDEX($J$9928:$J$9931,MATCH($O9929,$N$9928:$N$9931,0)),"")</f>
        <v/>
      </c>
      <c r="C9929" s="41" t="str">
        <f aca="false">IFERROR(INDEX($K$9928:$K$9931,MATCH($O9929,$N$9928:$N$9931,0)),"")</f>
        <v/>
      </c>
      <c r="D9929" s="42" t="str">
        <f aca="false">IF(OR(E9929="",N(C9929)=0),"",E9929/C9929-1)</f>
        <v/>
      </c>
      <c r="E9929" s="41" t="str">
        <f aca="false">IFERROR(INDEX($L$9928:$L$9931,MATCH($O9929,$N$9928:$N$9931,0)),"")</f>
        <v/>
      </c>
      <c r="F9929" s="41" t="str">
        <f aca="false">IF(E9929="","",E9929-C9929)</f>
        <v/>
      </c>
      <c r="J9929" s="25" t="str">
        <f aca="false">Lib_Paye</f>
        <v>Mission sociale (bulletins de paie, DSN, déclarations sociales)</v>
      </c>
      <c r="K9929" s="25" t="n">
        <f aca="false">IF($K$9901=0,0,N(INDEX(Clients!$L$2:$L$501,$K$9901)))</f>
        <v>0</v>
      </c>
      <c r="L9929" s="25" t="n">
        <f aca="false">IF($K$9901=0,0,N(INDEX(Clients!$Q$2:$Q$501,$K$9901)))</f>
        <v>0</v>
      </c>
      <c r="M9929" s="25" t="n">
        <f aca="false">IF(OR(K9929&lt;&gt;0,L9929&lt;&gt;0),1,0)</f>
        <v>0</v>
      </c>
      <c r="N9929" s="25" t="str">
        <f aca="false">IF(M9929=1,SUM($M$9928:M9929),"")</f>
        <v/>
      </c>
      <c r="O9929" s="25" t="n">
        <v>2</v>
      </c>
    </row>
    <row r="9930" customFormat="false" ht="16.5" hidden="false" customHeight="true" outlineLevel="0" collapsed="false">
      <c r="B9930" s="40" t="str">
        <f aca="false">IFERROR(INDEX($J$9928:$J$9931,MATCH($O9930,$N$9928:$N$9931,0)),"")</f>
        <v/>
      </c>
      <c r="C9930" s="41" t="str">
        <f aca="false">IFERROR(INDEX($K$9928:$K$9931,MATCH($O9930,$N$9928:$N$9931,0)),"")</f>
        <v/>
      </c>
      <c r="D9930" s="42" t="str">
        <f aca="false">IF(OR(E9930="",N(C9930)=0),"",E9930/C9930-1)</f>
        <v/>
      </c>
      <c r="E9930" s="41" t="str">
        <f aca="false">IFERROR(INDEX($L$9928:$L$9931,MATCH($O9930,$N$9928:$N$9931,0)),"")</f>
        <v/>
      </c>
      <c r="F9930" s="41" t="str">
        <f aca="false">IF(E9930="","",E9930-C9930)</f>
        <v/>
      </c>
      <c r="J9930" s="25" t="str">
        <f aca="false">Lib_Jur</f>
        <v>Mission juridique (approbation des comptes, secrétariat juridique)</v>
      </c>
      <c r="K9930" s="25" t="n">
        <f aca="false">IF($K$9901=0,0,N(INDEX(Clients!$M$2:$M$501,$K$9901)))</f>
        <v>0</v>
      </c>
      <c r="L9930" s="25" t="n">
        <f aca="false">IF($K$9901=0,0,N(INDEX(Clients!$R$2:$R$501,$K$9901)))</f>
        <v>0</v>
      </c>
      <c r="M9930" s="25" t="n">
        <f aca="false">IF(OR(K9930&lt;&gt;0,L9930&lt;&gt;0),1,0)</f>
        <v>0</v>
      </c>
      <c r="N9930" s="25" t="str">
        <f aca="false">IF(M9930=1,SUM($M$9928:M9930),"")</f>
        <v/>
      </c>
      <c r="O9930" s="25" t="n">
        <v>3</v>
      </c>
    </row>
    <row r="9931" customFormat="false" ht="16.5" hidden="false" customHeight="true" outlineLevel="0" collapsed="false">
      <c r="B9931" s="40" t="str">
        <f aca="false">IFERROR(INDEX($J$9928:$J$9931,MATCH($O9931,$N$9928:$N$9931,0)),"")</f>
        <v/>
      </c>
      <c r="C9931" s="41" t="str">
        <f aca="false">IFERROR(INDEX($K$9928:$K$9931,MATCH($O9931,$N$9928:$N$9931,0)),"")</f>
        <v/>
      </c>
      <c r="D9931" s="42" t="str">
        <f aca="false">IF(OR(E9931="",N(C9931)=0),"",E9931/C9931-1)</f>
        <v/>
      </c>
      <c r="E9931" s="41" t="str">
        <f aca="false">IFERROR(INDEX($L$9928:$L$9931,MATCH($O9931,$N$9928:$N$9931,0)),"")</f>
        <v/>
      </c>
      <c r="F9931" s="41" t="str">
        <f aca="false">IF(E9931="","",E9931-C9931)</f>
        <v/>
      </c>
      <c r="J9931" s="25" t="str">
        <f aca="false">Lib_PA</f>
        <v>Plateforme agréée – facturation électronique</v>
      </c>
      <c r="K9931" s="25" t="n">
        <f aca="false">IF($K$9901=0,0,N(INDEX(Clients!$N$2:$N$501,$K$9901)))</f>
        <v>0</v>
      </c>
      <c r="L9931" s="25" t="n">
        <f aca="false">IF($K$9901=0,0,N(INDEX(Clients!$S$2:$S$501,$K$9901)))</f>
        <v>0</v>
      </c>
      <c r="M9931" s="25" t="n">
        <f aca="false">IF(OR(K9931&lt;&gt;0,L9931&lt;&gt;0),1,0)</f>
        <v>0</v>
      </c>
      <c r="N9931" s="25" t="str">
        <f aca="false">IF(M9931=1,SUM($M$9928:M9931),"")</f>
        <v/>
      </c>
      <c r="O9931" s="25" t="n">
        <v>4</v>
      </c>
    </row>
    <row r="9932" customFormat="false" ht="18" hidden="false" customHeight="true" outlineLevel="0" collapsed="false">
      <c r="B9932" s="43" t="s">
        <v>158</v>
      </c>
      <c r="C9932" s="44" t="n">
        <f aca="false">SUM(K9928:K9931)</f>
        <v>0</v>
      </c>
      <c r="D9932" s="45" t="str">
        <f aca="false">IF(N(C9932)=0,"",E9932/C9932-1)</f>
        <v/>
      </c>
      <c r="E9932" s="44" t="n">
        <f aca="false">SUM(L9928:L9931)</f>
        <v>0</v>
      </c>
      <c r="F9932" s="44" t="n">
        <f aca="false">E9932-C9932</f>
        <v>0</v>
      </c>
    </row>
    <row r="9933" customFormat="false" ht="15" hidden="false" customHeight="false" outlineLevel="0" collapsed="false">
      <c r="B9933" s="46" t="str">
        <f aca="false">IF(N(Nb_Mensualites)=0,"","Soit "&amp;FIXED(E9932/Nb_Mensualites,2)&amp;" € HT par échéance ("&amp;Nb_Mensualites&amp;" échéances), "&amp;FIXED(E9932/Nb_Mensualites*(1+Taux_TVA),2)&amp;" € TTC.")</f>
        <v>Soit 0.00 € HT par échéance (12 échéances), 0.00 € TTC.</v>
      </c>
      <c r="C9933" s="46"/>
      <c r="D9933" s="46"/>
      <c r="E9933" s="46"/>
      <c r="F9933" s="46"/>
    </row>
    <row r="9934" customFormat="false" ht="7.5" hidden="false" customHeight="true" outlineLevel="0" collapsed="false">
      <c r="B9934" s="10"/>
      <c r="C9934" s="10"/>
      <c r="D9934" s="10"/>
      <c r="E9934" s="10"/>
      <c r="F9934" s="10"/>
    </row>
    <row r="9935" customFormat="false" ht="36.75" hidden="false" customHeight="true" outlineLevel="0" collapsed="false">
      <c r="B9935" s="37" t="str">
        <f aca="false">SUBSTITUTE(SUBSTITUTE(SUBSTITUTE(SUBSTITUTE(SUBSTITUTE(Txt_P5,"{cabinet}",Cab_Nom),"{societe}",IF($K$9901=0,"",INDEX(Clients!$E$2:$E$501,$K$9901)&amp;"")),"{date_effet}",$K$9903),"{hausse}",$K$9904),"{civilite}",$K$9902)</f>
        <v>Les autres conditions de votre lettre de mission demeurent inchangées. Les nouveaux montants seront appliqués automatiquement sur vos prochaines factures et échéances de prélèvement.</v>
      </c>
      <c r="C9935" s="37"/>
      <c r="D9935" s="37"/>
      <c r="E9935" s="37"/>
      <c r="F9935" s="37"/>
    </row>
    <row r="9936" customFormat="false" ht="36.75" hidden="false" customHeight="true" outlineLevel="0" collapsed="false">
      <c r="B9936" s="37" t="str">
        <f aca="false">SUBSTITUTE(SUBSTITUTE(SUBSTITUTE(SUBSTITUTE(SUBSTITUTE(Txt_P6,"{cabinet}",Cab_Nom),"{societe}",IF($K$9901=0,"",INDEX(Clients!$E$2:$E$501,$K$9901)&amp;"")),"{date_effet}",$K$9903),"{hausse}",$K$9904),"{civilite}",$K$9902)</f>
        <v>Votre interlocuteur habituel reste à votre entière disposition pour répondre à vos questions et faire le point sur l'évolution de vos besoins.</v>
      </c>
      <c r="C9936" s="37"/>
      <c r="D9936" s="37"/>
      <c r="E9936" s="37"/>
      <c r="F9936" s="37"/>
    </row>
    <row r="9937" customFormat="false" ht="24" hidden="false" customHeight="true" outlineLevel="0" collapsed="false">
      <c r="B9937" s="37" t="str">
        <f aca="false">SUBSTITUTE(SUBSTITUTE(SUBSTITUTE(SUBSTITUTE(SUBSTITUTE(Txt_Politesse,"{cabinet}",Cab_Nom),"{societe}",IF($K$9901=0,"",INDEX(Clients!$E$2:$E$501,$K$9901)&amp;"")),"{date_effet}",$K$9903),"{hausse}",$K$9904),"{civilite}",$K$9902)</f>
        <v>Nous vous prions d'agréer, Madame, Monsieur, l'expression de nos salutations distinguées.</v>
      </c>
      <c r="C9937" s="37"/>
      <c r="D9937" s="37"/>
      <c r="E9937" s="37"/>
      <c r="F9937" s="37"/>
    </row>
    <row r="9938" customFormat="false" ht="15" hidden="false" customHeight="false" outlineLevel="0" collapsed="false">
      <c r="B9938" s="10"/>
      <c r="C9938" s="10"/>
      <c r="D9938" s="10"/>
      <c r="E9938" s="10"/>
      <c r="F9938" s="10"/>
    </row>
    <row r="9939" customFormat="false" ht="15" hidden="false" customHeight="false" outlineLevel="0" collapsed="false">
      <c r="B9939" s="10"/>
      <c r="C9939" s="10"/>
      <c r="D9939" s="34" t="str">
        <f aca="false">Signataire</f>
        <v>Prénom NOM</v>
      </c>
      <c r="E9939" s="34"/>
      <c r="F9939" s="34"/>
    </row>
    <row r="9940" customFormat="false" ht="15" hidden="false" customHeight="false" outlineLevel="0" collapsed="false">
      <c r="B9940" s="10"/>
      <c r="C9940" s="10"/>
      <c r="D9940" s="47" t="str">
        <f aca="false">Signataire_Titre</f>
        <v>Expert-comptable associé</v>
      </c>
      <c r="E9940" s="47"/>
      <c r="F9940" s="47"/>
    </row>
    <row r="9941" customFormat="false" ht="15.75" hidden="false" customHeight="true" outlineLevel="0" collapsed="false">
      <c r="B9941" s="10"/>
      <c r="C9941" s="10"/>
      <c r="D9941" s="10"/>
      <c r="E9941" s="10"/>
      <c r="F9941" s="10"/>
    </row>
    <row r="9942" customFormat="false" ht="15.75" hidden="false" customHeight="true" outlineLevel="0" collapsed="false">
      <c r="B9942" s="10"/>
      <c r="C9942" s="10"/>
      <c r="D9942" s="10"/>
      <c r="E9942" s="10"/>
      <c r="F9942" s="10"/>
    </row>
    <row r="9943" customFormat="false" ht="15.75" hidden="false" customHeight="true" outlineLevel="0" collapsed="false">
      <c r="B9943" s="10"/>
      <c r="C9943" s="10"/>
      <c r="D9943" s="10"/>
      <c r="E9943" s="10"/>
      <c r="F9943" s="10"/>
    </row>
    <row r="9944" customFormat="false" ht="15.75" hidden="false" customHeight="true" outlineLevel="0" collapsed="false">
      <c r="B9944" s="10"/>
      <c r="C9944" s="10"/>
      <c r="D9944" s="10"/>
      <c r="E9944" s="10"/>
      <c r="F9944" s="10"/>
    </row>
    <row r="9945" customFormat="false" ht="24" hidden="false" customHeight="true" outlineLevel="0" collapsed="false">
      <c r="B9945" s="48" t="str">
        <f aca="false">Cab_Mentions</f>
        <v>ALTHO EXPERTISE · SAS au capital de 10 000 € · RCS Pontoise 919 706 325 · TVA FR62919706325 · Société d'expertise comptable inscrite au Tableau de l'Ordre des experts-comptables de Paris Île-de-France</v>
      </c>
      <c r="C9945" s="48"/>
      <c r="D9945" s="48"/>
      <c r="E9945" s="48"/>
      <c r="F9945" s="48"/>
    </row>
    <row r="9946" customFormat="false" ht="15" hidden="false" customHeight="false" outlineLevel="0" collapsed="false">
      <c r="B9946" s="10"/>
      <c r="C9946" s="10"/>
      <c r="D9946" s="10"/>
      <c r="E9946" s="10"/>
      <c r="F9946" s="10"/>
      <c r="J9946" s="25" t="s">
        <v>142</v>
      </c>
      <c r="K9946" s="25" t="n">
        <f aca="false">IFERROR(MATCH(222,Clients!$Z$2:$Z$501,0),0)</f>
        <v>0</v>
      </c>
      <c r="L9946" s="25"/>
      <c r="M9946" s="25"/>
      <c r="N9946" s="25"/>
      <c r="O9946" s="25"/>
    </row>
    <row r="9947" customFormat="false" ht="21.75" hidden="false" customHeight="true" outlineLevel="0" collapsed="false">
      <c r="B9947" s="26" t="str">
        <f aca="false">Cab_Nom</f>
        <v>ALTHO EXPERTISE</v>
      </c>
      <c r="C9947" s="26"/>
      <c r="D9947" s="10"/>
      <c r="E9947" s="27" t="str">
        <f aca="false">IF($K$9946=0,"","Réf. client : "&amp;INDEX(Clients!$A$2:$A$501,$K$9946))</f>
        <v/>
      </c>
      <c r="F9947" s="27"/>
      <c r="J9947" s="25" t="s">
        <v>144</v>
      </c>
      <c r="K9947" s="25" t="str">
        <f aca="false">IF(IF($K$9946=0,"",INDEX(Clients!$B$2:$B$501,$K$9946)&amp;"")="Mme","Madame",IF(IF($K$9946=0,"",INDEX(Clients!$B$2:$B$501,$K$9946)&amp;"")="M.","Monsieur","Madame, Monsieur"))</f>
        <v>Madame, Monsieur</v>
      </c>
      <c r="L9947" s="25"/>
      <c r="M9947" s="25"/>
      <c r="N9947" s="25"/>
      <c r="O9947" s="25"/>
    </row>
    <row r="9948" customFormat="false" ht="15" hidden="false" customHeight="false" outlineLevel="0" collapsed="false">
      <c r="B9948" s="29" t="str">
        <f aca="false">Cab_Adr1</f>
        <v>141 rue Charles de Gaulle</v>
      </c>
      <c r="C9948" s="29"/>
      <c r="D9948" s="10"/>
      <c r="E9948" s="10"/>
      <c r="F9948" s="10"/>
      <c r="J9948" s="25" t="s">
        <v>145</v>
      </c>
      <c r="K9948" s="25" t="str">
        <f aca="false">DAY(Date_Effet)&amp;IF(DAY(Date_Effet)=1,"er","")&amp;" "&amp;INDEX(Liste_Mois,MONTH(Date_Effet))&amp;" "&amp;YEAR(Date_Effet)</f>
        <v>1er janvier 2027</v>
      </c>
      <c r="L9948" s="25"/>
      <c r="M9948" s="25"/>
      <c r="N9948" s="25"/>
      <c r="O9948" s="25"/>
    </row>
    <row r="9949" customFormat="false" ht="15" hidden="false" customHeight="false" outlineLevel="0" collapsed="false">
      <c r="B9949" s="29" t="str">
        <f aca="false">Cab_CPVille</f>
        <v>95130 LE PLESSIS-BOUCHARD</v>
      </c>
      <c r="C9949" s="29"/>
      <c r="D9949" s="10"/>
      <c r="E9949" s="10"/>
      <c r="F9949" s="10"/>
      <c r="J9949" s="25" t="s">
        <v>146</v>
      </c>
      <c r="K9949" s="25" t="str">
        <f aca="false">IF(SUM($K$9973:$K$9976)=0,"",FIXED((SUM($L$9973:$L$9976)/SUM($K$9973:$K$9976)-1)*100,1)&amp;" %")</f>
        <v/>
      </c>
      <c r="L9949" s="25"/>
      <c r="M9949" s="25"/>
      <c r="N9949" s="25"/>
      <c r="O9949" s="25"/>
    </row>
    <row r="9950" customFormat="false" ht="15" hidden="false" customHeight="false" outlineLevel="0" collapsed="false">
      <c r="B9950" s="29" t="str">
        <f aca="false">Cab_Contact</f>
        <v>Tél. 01 34 14 53 45  ·  altho@altho-experts.com  ·  altho-experts.com</v>
      </c>
      <c r="C9950" s="29"/>
      <c r="D9950" s="10"/>
      <c r="E9950" s="10"/>
      <c r="F9950" s="10"/>
      <c r="J9950" s="25"/>
      <c r="K9950" s="25"/>
      <c r="L9950" s="25"/>
      <c r="M9950" s="25"/>
      <c r="N9950" s="25"/>
      <c r="O9950" s="25"/>
    </row>
    <row r="9951" customFormat="false" ht="6" hidden="false" customHeight="true" outlineLevel="0" collapsed="false">
      <c r="B9951" s="32"/>
      <c r="C9951" s="32"/>
      <c r="D9951" s="32"/>
      <c r="E9951" s="32"/>
      <c r="F9951" s="32"/>
      <c r="J9951" s="25"/>
      <c r="K9951" s="25"/>
      <c r="L9951" s="25"/>
      <c r="M9951" s="25"/>
      <c r="N9951" s="25"/>
      <c r="O9951" s="25"/>
    </row>
    <row r="9952" customFormat="false" ht="13.5" hidden="false" customHeight="true" outlineLevel="0" collapsed="false">
      <c r="B9952" s="10"/>
      <c r="C9952" s="10"/>
      <c r="D9952" s="10"/>
      <c r="E9952" s="10"/>
      <c r="F9952" s="10"/>
      <c r="J9952" s="25"/>
      <c r="K9952" s="25"/>
      <c r="L9952" s="25"/>
      <c r="M9952" s="25"/>
      <c r="N9952" s="25"/>
      <c r="O9952" s="25"/>
    </row>
    <row r="9953" customFormat="false" ht="13.5" hidden="false" customHeight="true" outlineLevel="0" collapsed="false">
      <c r="B9953" s="10"/>
      <c r="C9953" s="10"/>
      <c r="D9953" s="10"/>
      <c r="E9953" s="10"/>
      <c r="F9953" s="10"/>
      <c r="J9953" s="25"/>
      <c r="K9953" s="25"/>
      <c r="L9953" s="25"/>
      <c r="M9953" s="25"/>
      <c r="N9953" s="25"/>
      <c r="O9953" s="25"/>
    </row>
    <row r="9954" customFormat="false" ht="13.5" hidden="false" customHeight="true" outlineLevel="0" collapsed="false">
      <c r="B9954" s="10"/>
      <c r="C9954" s="10"/>
      <c r="D9954" s="10"/>
      <c r="E9954" s="10"/>
      <c r="F9954" s="10"/>
      <c r="J9954" s="25"/>
      <c r="K9954" s="25"/>
      <c r="L9954" s="25"/>
      <c r="M9954" s="25"/>
      <c r="N9954" s="25"/>
      <c r="O9954" s="25"/>
    </row>
    <row r="9955" customFormat="false" ht="15" hidden="false" customHeight="true" outlineLevel="0" collapsed="false">
      <c r="B9955" s="10"/>
      <c r="C9955" s="10"/>
      <c r="D9955" s="34" t="str">
        <f aca="false">IF($K$9946=0,"",INDEX(Clients!$E$2:$E$501,$K$9946)&amp;"")</f>
        <v/>
      </c>
      <c r="E9955" s="34"/>
      <c r="F9955" s="34"/>
      <c r="J9955" s="25"/>
      <c r="K9955" s="25"/>
      <c r="L9955" s="25"/>
      <c r="M9955" s="25"/>
      <c r="N9955" s="25"/>
      <c r="O9955" s="25"/>
    </row>
    <row r="9956" customFormat="false" ht="15" hidden="false" customHeight="true" outlineLevel="0" collapsed="false">
      <c r="B9956" s="10"/>
      <c r="C9956" s="10"/>
      <c r="D9956" s="35" t="str">
        <f aca="false">IF(IF($K$9946=0,"",INDEX(Clients!$D$2:$D$501,$K$9946)&amp;"")="","","À l'attention de "&amp;TRIM(IF($K$9946=0,"",INDEX(Clients!$B$2:$B$501,$K$9946)&amp;"")&amp;" "&amp;IF($K$9946=0,"",INDEX(Clients!$C$2:$C$501,$K$9946)&amp;"")&amp;" "&amp;IF($K$9946=0,"",INDEX(Clients!$D$2:$D$501,$K$9946)&amp;"")))</f>
        <v/>
      </c>
      <c r="E9956" s="35"/>
      <c r="F9956" s="35"/>
      <c r="J9956" s="25"/>
      <c r="K9956" s="25"/>
      <c r="L9956" s="25"/>
      <c r="M9956" s="25"/>
      <c r="N9956" s="25"/>
      <c r="O9956" s="25"/>
    </row>
    <row r="9957" customFormat="false" ht="15" hidden="false" customHeight="true" outlineLevel="0" collapsed="false">
      <c r="B9957" s="10"/>
      <c r="C9957" s="10"/>
      <c r="D9957" s="35" t="str">
        <f aca="false">IF($K$9946=0,"",INDEX(Clients!$F$2:$F$501,$K$9946)&amp;"")</f>
        <v/>
      </c>
      <c r="E9957" s="35"/>
      <c r="F9957" s="35"/>
      <c r="J9957" s="25"/>
      <c r="K9957" s="25"/>
      <c r="L9957" s="25"/>
      <c r="M9957" s="25"/>
      <c r="N9957" s="25"/>
      <c r="O9957" s="25"/>
    </row>
    <row r="9958" customFormat="false" ht="15" hidden="false" customHeight="true" outlineLevel="0" collapsed="false">
      <c r="B9958" s="10"/>
      <c r="C9958" s="10"/>
      <c r="D9958" s="35" t="str">
        <f aca="false">IF(IF($K$9946=0,"",INDEX(Clients!$G$2:$G$501,$K$9946)&amp;"")="",TRIM(IF($K$9946=0,"",INDEX(Clients!$H$2:$H$501,$K$9946)&amp;"")&amp;" "&amp;UPPER(IF($K$9946=0,"",INDEX(Clients!$I$2:$I$501,$K$9946)&amp;""))),IF($K$9946=0,"",INDEX(Clients!$G$2:$G$501,$K$9946)&amp;""))</f>
        <v/>
      </c>
      <c r="E9958" s="35"/>
      <c r="F9958" s="35"/>
      <c r="J9958" s="25"/>
      <c r="K9958" s="25"/>
      <c r="L9958" s="25"/>
      <c r="M9958" s="25"/>
      <c r="N9958" s="25"/>
      <c r="O9958" s="25"/>
    </row>
    <row r="9959" customFormat="false" ht="15" hidden="false" customHeight="true" outlineLevel="0" collapsed="false">
      <c r="B9959" s="10"/>
      <c r="C9959" s="10"/>
      <c r="D9959" s="35" t="str">
        <f aca="false">IF(IF($K$9946=0,"",INDEX(Clients!$G$2:$G$501,$K$9946)&amp;"")="","",TRIM(IF($K$9946=0,"",INDEX(Clients!$H$2:$H$501,$K$9946)&amp;"")&amp;" "&amp;UPPER(IF($K$9946=0,"",INDEX(Clients!$I$2:$I$501,$K$9946)&amp;""))))</f>
        <v/>
      </c>
      <c r="E9959" s="35"/>
      <c r="F9959" s="35"/>
      <c r="J9959" s="25"/>
      <c r="K9959" s="25"/>
      <c r="L9959" s="25"/>
      <c r="M9959" s="25"/>
      <c r="N9959" s="25"/>
      <c r="O9959" s="25"/>
    </row>
    <row r="9960" customFormat="false" ht="25.5" hidden="false" customHeight="true" outlineLevel="0" collapsed="false">
      <c r="B9960" s="10"/>
      <c r="C9960" s="10"/>
      <c r="D9960" s="10"/>
      <c r="E9960" s="10"/>
      <c r="F9960" s="10"/>
      <c r="J9960" s="25"/>
      <c r="K9960" s="25"/>
      <c r="L9960" s="25"/>
      <c r="M9960" s="25"/>
      <c r="N9960" s="25"/>
      <c r="O9960" s="25"/>
    </row>
    <row r="9961" customFormat="false" ht="15" hidden="false" customHeight="false" outlineLevel="0" collapsed="false">
      <c r="B9961" s="10"/>
      <c r="C9961" s="10"/>
      <c r="D9961" s="36" t="str">
        <f aca="false">Cab_Ville&amp;", le "&amp;DAY(Date_Courrier)&amp;IF(DAY(Date_Courrier)=1,"er","")&amp;" "&amp;INDEX(Liste_Mois,MONTH(Date_Courrier))&amp;" "&amp;YEAR(Date_Courrier)</f>
        <v>Le Plessis-Bouchard, le 22 septembre 2026</v>
      </c>
      <c r="E9961" s="36"/>
      <c r="F9961" s="36"/>
      <c r="J9961" s="25"/>
      <c r="K9961" s="25"/>
      <c r="L9961" s="25"/>
      <c r="M9961" s="25"/>
      <c r="N9961" s="25"/>
      <c r="O9961" s="25"/>
    </row>
    <row r="9962" customFormat="false" ht="19.5" hidden="false" customHeight="true" outlineLevel="0" collapsed="false">
      <c r="B9962" s="10"/>
      <c r="C9962" s="10"/>
      <c r="D9962" s="10"/>
      <c r="E9962" s="10"/>
      <c r="F9962" s="10"/>
      <c r="J9962" s="25"/>
      <c r="K9962" s="25"/>
      <c r="L9962" s="25"/>
      <c r="M9962" s="25"/>
      <c r="N9962" s="25"/>
      <c r="O9962" s="25"/>
    </row>
    <row r="9963" customFormat="false" ht="15" hidden="false" customHeight="false" outlineLevel="0" collapsed="false">
      <c r="B9963" s="34" t="str">
        <f aca="false">SUBSTITUTE(SUBSTITUTE(SUBSTITUTE(SUBSTITUTE(SUBSTITUTE(Txt_Objet,"{cabinet}",Cab_Nom),"{societe}",IF($K$9946=0,"",INDEX(Clients!$E$2:$E$501,$K$9946)&amp;"")),"{date_effet}",$K$9948),"{hausse}",$K$9949),"{civilite}",$K$9947)</f>
        <v>Objet : révision de nos honoraires au 1er janvier 2027</v>
      </c>
      <c r="C9963" s="34"/>
      <c r="D9963" s="34"/>
      <c r="E9963" s="34"/>
      <c r="F9963" s="34"/>
      <c r="J9963" s="25"/>
      <c r="K9963" s="25"/>
      <c r="L9963" s="25"/>
      <c r="M9963" s="25"/>
      <c r="N9963" s="25"/>
      <c r="O9963" s="25"/>
    </row>
    <row r="9964" customFormat="false" ht="13.5" hidden="false" customHeight="true" outlineLevel="0" collapsed="false">
      <c r="B9964" s="10"/>
      <c r="C9964" s="10"/>
      <c r="D9964" s="10"/>
      <c r="E9964" s="10"/>
      <c r="F9964" s="10"/>
      <c r="J9964" s="25"/>
      <c r="K9964" s="25"/>
      <c r="L9964" s="25"/>
      <c r="M9964" s="25"/>
      <c r="N9964" s="25"/>
      <c r="O9964" s="25"/>
    </row>
    <row r="9965" customFormat="false" ht="15" hidden="false" customHeight="false" outlineLevel="0" collapsed="false">
      <c r="B9965" s="10" t="str">
        <f aca="false">$K$9947&amp;","</f>
        <v>Madame, Monsieur,</v>
      </c>
      <c r="C9965" s="10"/>
      <c r="D9965" s="10"/>
      <c r="E9965" s="10"/>
      <c r="F9965" s="10"/>
      <c r="J9965" s="25"/>
      <c r="K9965" s="25"/>
      <c r="L9965" s="25"/>
      <c r="M9965" s="25"/>
      <c r="N9965" s="25"/>
      <c r="O9965" s="25"/>
    </row>
    <row r="9966" customFormat="false" ht="6" hidden="false" customHeight="true" outlineLevel="0" collapsed="false">
      <c r="B9966" s="10"/>
      <c r="C9966" s="10"/>
      <c r="D9966" s="10"/>
      <c r="E9966" s="10"/>
      <c r="F9966" s="10"/>
      <c r="J9966" s="25"/>
      <c r="K9966" s="25"/>
      <c r="L9966" s="25"/>
      <c r="M9966" s="25"/>
      <c r="N9966" s="25"/>
      <c r="O9966" s="25"/>
    </row>
    <row r="9967" customFormat="false" ht="36.75" hidden="false" customHeight="true" outlineLevel="0" collapsed="false">
      <c r="B9967" s="37" t="str">
        <f aca="false">SUBSTITUTE(SUBSTITUTE(SUBSTITUTE(SUBSTITUTE(SUBSTITUTE(Txt_P1,"{cabinet}",Cab_Nom),"{societe}",IF($K$9946=0,"",INDEX(Clients!$E$2:$E$501,$K$9946)&amp;"")),"{date_effet}",$K$9948),"{hausse}",$K$9949),"{civilite}",$K$9947)</f>
        <v>Nous tenons tout d'abord à vous remercier pour la confiance que vous accordez à ALTHO EXPERTISE. Comme chaque année, et conformément aux dispositions de votre lettre de mission, nous procédons à la révision de nos honoraires.</v>
      </c>
      <c r="C9967" s="37"/>
      <c r="D9967" s="37"/>
      <c r="E9967" s="37"/>
      <c r="F9967" s="37"/>
      <c r="J9967" s="25"/>
      <c r="K9967" s="25"/>
      <c r="L9967" s="25"/>
      <c r="M9967" s="25"/>
      <c r="N9967" s="25"/>
      <c r="O9967" s="25"/>
    </row>
    <row r="9968" customFormat="false" ht="49.5" hidden="false" customHeight="true" outlineLevel="0" collapsed="false">
      <c r="B9968" s="37" t="str">
        <f aca="false">SUBSTITUTE(SUBSTITUTE(SUBSTITUTE(SUBSTITUTE(SUBSTITUTE(Txt_P2,"{cabinet}",Cab_Nom),"{societe}",IF($K$9946=0,"",INDEX(Clients!$E$2:$E$501,$K$9946)&amp;"")),"{date_effet}",$K$9948),"{hausse}",$K$9949),"{civilite}",$K$9947)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9968" s="37"/>
      <c r="D9968" s="37"/>
      <c r="E9968" s="37"/>
      <c r="F9968" s="37"/>
      <c r="J9968" s="25"/>
      <c r="K9968" s="25"/>
      <c r="L9968" s="25"/>
      <c r="M9968" s="25"/>
      <c r="N9968" s="25"/>
      <c r="O9968" s="25"/>
    </row>
    <row r="9969" customFormat="false" ht="63" hidden="false" customHeight="true" outlineLevel="0" collapsed="false">
      <c r="B9969" s="37" t="str">
        <f aca="false">SUBSTITUTE(SUBSTITUTE(SUBSTITUTE(SUBSTITUTE(SUBSTITUTE(Txt_P3,"{cabinet}",Cab_Nom),"{societe}",IF($K$9946=0,"",INDEX(Clients!$E$2:$E$501,$K$9946)&amp;"")),"{date_effet}",$K$9948),"{hausse}",$K$9949),"{civilite}",$K$9947)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9969" s="37"/>
      <c r="D9969" s="37"/>
      <c r="E9969" s="37"/>
      <c r="F9969" s="37"/>
      <c r="J9969" s="25"/>
      <c r="K9969" s="25"/>
      <c r="L9969" s="25"/>
      <c r="M9969" s="25"/>
      <c r="N9969" s="25"/>
      <c r="O9969" s="25"/>
    </row>
    <row r="9970" customFormat="false" ht="24" hidden="false" customHeight="true" outlineLevel="0" collapsed="false">
      <c r="B9970" s="37" t="str">
        <f aca="false">SUBSTITUTE(SUBSTITUTE(SUBSTITUTE(SUBSTITUTE(SUBSTITUTE(Txt_P4,"{cabinet}",Cab_Nom),"{societe}",IF($K$9946=0,"",INDEX(Clients!$E$2:$E$501,$K$9946)&amp;"")),"{date_effet}",$K$9948),"{hausse}",$K$9949),"{civilite}",$K$9947)</f>
        <v>À compter du 1er janvier 2027, vos honoraires annuels hors taxes évolueront ainsi (évolution globale : ) :</v>
      </c>
      <c r="C9970" s="37"/>
      <c r="D9970" s="37"/>
      <c r="E9970" s="37"/>
      <c r="F9970" s="37"/>
      <c r="J9970" s="25"/>
      <c r="K9970" s="25"/>
      <c r="L9970" s="25"/>
      <c r="M9970" s="25"/>
      <c r="N9970" s="25"/>
      <c r="O9970" s="25"/>
    </row>
    <row r="9971" customFormat="false" ht="3.75" hidden="false" customHeight="true" outlineLevel="0" collapsed="false">
      <c r="B9971" s="10"/>
      <c r="C9971" s="10"/>
      <c r="D9971" s="10"/>
      <c r="E9971" s="10"/>
      <c r="F9971" s="10"/>
      <c r="J9971" s="25"/>
      <c r="K9971" s="25"/>
      <c r="L9971" s="25"/>
      <c r="M9971" s="25"/>
      <c r="N9971" s="25"/>
      <c r="O9971" s="25"/>
    </row>
    <row r="9972" customFormat="false" ht="18" hidden="false" customHeight="true" outlineLevel="0" collapsed="false">
      <c r="B9972" s="38" t="s">
        <v>148</v>
      </c>
      <c r="C9972" s="39" t="s">
        <v>149</v>
      </c>
      <c r="D9972" s="39" t="s">
        <v>150</v>
      </c>
      <c r="E9972" s="39" t="s">
        <v>151</v>
      </c>
      <c r="F9972" s="39" t="s">
        <v>109</v>
      </c>
      <c r="J9972" s="25" t="s">
        <v>152</v>
      </c>
      <c r="K9972" s="25" t="s">
        <v>153</v>
      </c>
      <c r="L9972" s="25" t="s">
        <v>154</v>
      </c>
      <c r="M9972" s="25" t="s">
        <v>155</v>
      </c>
      <c r="N9972" s="25" t="s">
        <v>156</v>
      </c>
      <c r="O9972" s="25" t="s">
        <v>157</v>
      </c>
    </row>
    <row r="9973" customFormat="false" ht="16.5" hidden="false" customHeight="true" outlineLevel="0" collapsed="false">
      <c r="B9973" s="40" t="str">
        <f aca="false">IFERROR(INDEX($J$9973:$J$9976,MATCH($O9973,$N$9973:$N$9976,0)),"")</f>
        <v/>
      </c>
      <c r="C9973" s="41" t="str">
        <f aca="false">IFERROR(INDEX($K$9973:$K$9976,MATCH($O9973,$N$9973:$N$9976,0)),"")</f>
        <v/>
      </c>
      <c r="D9973" s="42" t="str">
        <f aca="false">IF(OR(E9973="",N(C9973)=0),"",E9973/C9973-1)</f>
        <v/>
      </c>
      <c r="E9973" s="41" t="str">
        <f aca="false">IFERROR(INDEX($L$9973:$L$9976,MATCH($O9973,$N$9973:$N$9976,0)),"")</f>
        <v/>
      </c>
      <c r="F9973" s="41" t="str">
        <f aca="false">IF(E9973="","",E9973-C9973)</f>
        <v/>
      </c>
      <c r="J9973" s="25" t="str">
        <f aca="false">Lib_Compta</f>
        <v>Mission comptable (tenue, révision, bilan, liasse fiscale)</v>
      </c>
      <c r="K9973" s="25" t="n">
        <f aca="false">IF($K$9946=0,0,N(INDEX(Clients!$K$2:$K$501,$K$9946)))</f>
        <v>0</v>
      </c>
      <c r="L9973" s="25" t="n">
        <f aca="false">IF($K$9946=0,0,N(INDEX(Clients!$P$2:$P$501,$K$9946)))</f>
        <v>0</v>
      </c>
      <c r="M9973" s="25" t="n">
        <f aca="false">IF(OR(K9973&lt;&gt;0,L9973&lt;&gt;0),1,0)</f>
        <v>0</v>
      </c>
      <c r="N9973" s="25" t="str">
        <f aca="false">IF(M9973=1,SUM($M$9973:M9973),"")</f>
        <v/>
      </c>
      <c r="O9973" s="25" t="n">
        <v>1</v>
      </c>
    </row>
    <row r="9974" customFormat="false" ht="16.5" hidden="false" customHeight="true" outlineLevel="0" collapsed="false">
      <c r="B9974" s="40" t="str">
        <f aca="false">IFERROR(INDEX($J$9973:$J$9976,MATCH($O9974,$N$9973:$N$9976,0)),"")</f>
        <v/>
      </c>
      <c r="C9974" s="41" t="str">
        <f aca="false">IFERROR(INDEX($K$9973:$K$9976,MATCH($O9974,$N$9973:$N$9976,0)),"")</f>
        <v/>
      </c>
      <c r="D9974" s="42" t="str">
        <f aca="false">IF(OR(E9974="",N(C9974)=0),"",E9974/C9974-1)</f>
        <v/>
      </c>
      <c r="E9974" s="41" t="str">
        <f aca="false">IFERROR(INDEX($L$9973:$L$9976,MATCH($O9974,$N$9973:$N$9976,0)),"")</f>
        <v/>
      </c>
      <c r="F9974" s="41" t="str">
        <f aca="false">IF(E9974="","",E9974-C9974)</f>
        <v/>
      </c>
      <c r="J9974" s="25" t="str">
        <f aca="false">Lib_Paye</f>
        <v>Mission sociale (bulletins de paie, DSN, déclarations sociales)</v>
      </c>
      <c r="K9974" s="25" t="n">
        <f aca="false">IF($K$9946=0,0,N(INDEX(Clients!$L$2:$L$501,$K$9946)))</f>
        <v>0</v>
      </c>
      <c r="L9974" s="25" t="n">
        <f aca="false">IF($K$9946=0,0,N(INDEX(Clients!$Q$2:$Q$501,$K$9946)))</f>
        <v>0</v>
      </c>
      <c r="M9974" s="25" t="n">
        <f aca="false">IF(OR(K9974&lt;&gt;0,L9974&lt;&gt;0),1,0)</f>
        <v>0</v>
      </c>
      <c r="N9974" s="25" t="str">
        <f aca="false">IF(M9974=1,SUM($M$9973:M9974),"")</f>
        <v/>
      </c>
      <c r="O9974" s="25" t="n">
        <v>2</v>
      </c>
    </row>
    <row r="9975" customFormat="false" ht="16.5" hidden="false" customHeight="true" outlineLevel="0" collapsed="false">
      <c r="B9975" s="40" t="str">
        <f aca="false">IFERROR(INDEX($J$9973:$J$9976,MATCH($O9975,$N$9973:$N$9976,0)),"")</f>
        <v/>
      </c>
      <c r="C9975" s="41" t="str">
        <f aca="false">IFERROR(INDEX($K$9973:$K$9976,MATCH($O9975,$N$9973:$N$9976,0)),"")</f>
        <v/>
      </c>
      <c r="D9975" s="42" t="str">
        <f aca="false">IF(OR(E9975="",N(C9975)=0),"",E9975/C9975-1)</f>
        <v/>
      </c>
      <c r="E9975" s="41" t="str">
        <f aca="false">IFERROR(INDEX($L$9973:$L$9976,MATCH($O9975,$N$9973:$N$9976,0)),"")</f>
        <v/>
      </c>
      <c r="F9975" s="41" t="str">
        <f aca="false">IF(E9975="","",E9975-C9975)</f>
        <v/>
      </c>
      <c r="J9975" s="25" t="str">
        <f aca="false">Lib_Jur</f>
        <v>Mission juridique (approbation des comptes, secrétariat juridique)</v>
      </c>
      <c r="K9975" s="25" t="n">
        <f aca="false">IF($K$9946=0,0,N(INDEX(Clients!$M$2:$M$501,$K$9946)))</f>
        <v>0</v>
      </c>
      <c r="L9975" s="25" t="n">
        <f aca="false">IF($K$9946=0,0,N(INDEX(Clients!$R$2:$R$501,$K$9946)))</f>
        <v>0</v>
      </c>
      <c r="M9975" s="25" t="n">
        <f aca="false">IF(OR(K9975&lt;&gt;0,L9975&lt;&gt;0),1,0)</f>
        <v>0</v>
      </c>
      <c r="N9975" s="25" t="str">
        <f aca="false">IF(M9975=1,SUM($M$9973:M9975),"")</f>
        <v/>
      </c>
      <c r="O9975" s="25" t="n">
        <v>3</v>
      </c>
    </row>
    <row r="9976" customFormat="false" ht="16.5" hidden="false" customHeight="true" outlineLevel="0" collapsed="false">
      <c r="B9976" s="40" t="str">
        <f aca="false">IFERROR(INDEX($J$9973:$J$9976,MATCH($O9976,$N$9973:$N$9976,0)),"")</f>
        <v/>
      </c>
      <c r="C9976" s="41" t="str">
        <f aca="false">IFERROR(INDEX($K$9973:$K$9976,MATCH($O9976,$N$9973:$N$9976,0)),"")</f>
        <v/>
      </c>
      <c r="D9976" s="42" t="str">
        <f aca="false">IF(OR(E9976="",N(C9976)=0),"",E9976/C9976-1)</f>
        <v/>
      </c>
      <c r="E9976" s="41" t="str">
        <f aca="false">IFERROR(INDEX($L$9973:$L$9976,MATCH($O9976,$N$9973:$N$9976,0)),"")</f>
        <v/>
      </c>
      <c r="F9976" s="41" t="str">
        <f aca="false">IF(E9976="","",E9976-C9976)</f>
        <v/>
      </c>
      <c r="J9976" s="25" t="str">
        <f aca="false">Lib_PA</f>
        <v>Plateforme agréée – facturation électronique</v>
      </c>
      <c r="K9976" s="25" t="n">
        <f aca="false">IF($K$9946=0,0,N(INDEX(Clients!$N$2:$N$501,$K$9946)))</f>
        <v>0</v>
      </c>
      <c r="L9976" s="25" t="n">
        <f aca="false">IF($K$9946=0,0,N(INDEX(Clients!$S$2:$S$501,$K$9946)))</f>
        <v>0</v>
      </c>
      <c r="M9976" s="25" t="n">
        <f aca="false">IF(OR(K9976&lt;&gt;0,L9976&lt;&gt;0),1,0)</f>
        <v>0</v>
      </c>
      <c r="N9976" s="25" t="str">
        <f aca="false">IF(M9976=1,SUM($M$9973:M9976),"")</f>
        <v/>
      </c>
      <c r="O9976" s="25" t="n">
        <v>4</v>
      </c>
    </row>
    <row r="9977" customFormat="false" ht="18" hidden="false" customHeight="true" outlineLevel="0" collapsed="false">
      <c r="B9977" s="43" t="s">
        <v>158</v>
      </c>
      <c r="C9977" s="44" t="n">
        <f aca="false">SUM(K9973:K9976)</f>
        <v>0</v>
      </c>
      <c r="D9977" s="45" t="str">
        <f aca="false">IF(N(C9977)=0,"",E9977/C9977-1)</f>
        <v/>
      </c>
      <c r="E9977" s="44" t="n">
        <f aca="false">SUM(L9973:L9976)</f>
        <v>0</v>
      </c>
      <c r="F9977" s="44" t="n">
        <f aca="false">E9977-C9977</f>
        <v>0</v>
      </c>
    </row>
    <row r="9978" customFormat="false" ht="15" hidden="false" customHeight="false" outlineLevel="0" collapsed="false">
      <c r="B9978" s="46" t="str">
        <f aca="false">IF(N(Nb_Mensualites)=0,"","Soit "&amp;FIXED(E9977/Nb_Mensualites,2)&amp;" € HT par échéance ("&amp;Nb_Mensualites&amp;" échéances), "&amp;FIXED(E9977/Nb_Mensualites*(1+Taux_TVA),2)&amp;" € TTC.")</f>
        <v>Soit 0.00 € HT par échéance (12 échéances), 0.00 € TTC.</v>
      </c>
      <c r="C9978" s="46"/>
      <c r="D9978" s="46"/>
      <c r="E9978" s="46"/>
      <c r="F9978" s="46"/>
    </row>
    <row r="9979" customFormat="false" ht="7.5" hidden="false" customHeight="true" outlineLevel="0" collapsed="false">
      <c r="B9979" s="10"/>
      <c r="C9979" s="10"/>
      <c r="D9979" s="10"/>
      <c r="E9979" s="10"/>
      <c r="F9979" s="10"/>
    </row>
    <row r="9980" customFormat="false" ht="36.75" hidden="false" customHeight="true" outlineLevel="0" collapsed="false">
      <c r="B9980" s="37" t="str">
        <f aca="false">SUBSTITUTE(SUBSTITUTE(SUBSTITUTE(SUBSTITUTE(SUBSTITUTE(Txt_P5,"{cabinet}",Cab_Nom),"{societe}",IF($K$9946=0,"",INDEX(Clients!$E$2:$E$501,$K$9946)&amp;"")),"{date_effet}",$K$9948),"{hausse}",$K$9949),"{civilite}",$K$9947)</f>
        <v>Les autres conditions de votre lettre de mission demeurent inchangées. Les nouveaux montants seront appliqués automatiquement sur vos prochaines factures et échéances de prélèvement.</v>
      </c>
      <c r="C9980" s="37"/>
      <c r="D9980" s="37"/>
      <c r="E9980" s="37"/>
      <c r="F9980" s="37"/>
    </row>
    <row r="9981" customFormat="false" ht="36.75" hidden="false" customHeight="true" outlineLevel="0" collapsed="false">
      <c r="B9981" s="37" t="str">
        <f aca="false">SUBSTITUTE(SUBSTITUTE(SUBSTITUTE(SUBSTITUTE(SUBSTITUTE(Txt_P6,"{cabinet}",Cab_Nom),"{societe}",IF($K$9946=0,"",INDEX(Clients!$E$2:$E$501,$K$9946)&amp;"")),"{date_effet}",$K$9948),"{hausse}",$K$9949),"{civilite}",$K$9947)</f>
        <v>Votre interlocuteur habituel reste à votre entière disposition pour répondre à vos questions et faire le point sur l'évolution de vos besoins.</v>
      </c>
      <c r="C9981" s="37"/>
      <c r="D9981" s="37"/>
      <c r="E9981" s="37"/>
      <c r="F9981" s="37"/>
    </row>
    <row r="9982" customFormat="false" ht="24" hidden="false" customHeight="true" outlineLevel="0" collapsed="false">
      <c r="B9982" s="37" t="str">
        <f aca="false">SUBSTITUTE(SUBSTITUTE(SUBSTITUTE(SUBSTITUTE(SUBSTITUTE(Txt_Politesse,"{cabinet}",Cab_Nom),"{societe}",IF($K$9946=0,"",INDEX(Clients!$E$2:$E$501,$K$9946)&amp;"")),"{date_effet}",$K$9948),"{hausse}",$K$9949),"{civilite}",$K$9947)</f>
        <v>Nous vous prions d'agréer, Madame, Monsieur, l'expression de nos salutations distinguées.</v>
      </c>
      <c r="C9982" s="37"/>
      <c r="D9982" s="37"/>
      <c r="E9982" s="37"/>
      <c r="F9982" s="37"/>
    </row>
    <row r="9983" customFormat="false" ht="15" hidden="false" customHeight="false" outlineLevel="0" collapsed="false">
      <c r="B9983" s="10"/>
      <c r="C9983" s="10"/>
      <c r="D9983" s="10"/>
      <c r="E9983" s="10"/>
      <c r="F9983" s="10"/>
    </row>
    <row r="9984" customFormat="false" ht="15" hidden="false" customHeight="false" outlineLevel="0" collapsed="false">
      <c r="B9984" s="10"/>
      <c r="C9984" s="10"/>
      <c r="D9984" s="34" t="str">
        <f aca="false">Signataire</f>
        <v>Prénom NOM</v>
      </c>
      <c r="E9984" s="34"/>
      <c r="F9984" s="34"/>
    </row>
    <row r="9985" customFormat="false" ht="15" hidden="false" customHeight="false" outlineLevel="0" collapsed="false">
      <c r="B9985" s="10"/>
      <c r="C9985" s="10"/>
      <c r="D9985" s="47" t="str">
        <f aca="false">Signataire_Titre</f>
        <v>Expert-comptable associé</v>
      </c>
      <c r="E9985" s="47"/>
      <c r="F9985" s="47"/>
    </row>
    <row r="9986" customFormat="false" ht="15.75" hidden="false" customHeight="true" outlineLevel="0" collapsed="false">
      <c r="B9986" s="10"/>
      <c r="C9986" s="10"/>
      <c r="D9986" s="10"/>
      <c r="E9986" s="10"/>
      <c r="F9986" s="10"/>
    </row>
    <row r="9987" customFormat="false" ht="15.75" hidden="false" customHeight="true" outlineLevel="0" collapsed="false">
      <c r="B9987" s="10"/>
      <c r="C9987" s="10"/>
      <c r="D9987" s="10"/>
      <c r="E9987" s="10"/>
      <c r="F9987" s="10"/>
    </row>
    <row r="9988" customFormat="false" ht="15.75" hidden="false" customHeight="true" outlineLevel="0" collapsed="false">
      <c r="B9988" s="10"/>
      <c r="C9988" s="10"/>
      <c r="D9988" s="10"/>
      <c r="E9988" s="10"/>
      <c r="F9988" s="10"/>
    </row>
    <row r="9989" customFormat="false" ht="15.75" hidden="false" customHeight="true" outlineLevel="0" collapsed="false">
      <c r="B9989" s="10"/>
      <c r="C9989" s="10"/>
      <c r="D9989" s="10"/>
      <c r="E9989" s="10"/>
      <c r="F9989" s="10"/>
    </row>
    <row r="9990" customFormat="false" ht="24" hidden="false" customHeight="true" outlineLevel="0" collapsed="false">
      <c r="B9990" s="48" t="str">
        <f aca="false">Cab_Mentions</f>
        <v>ALTHO EXPERTISE · SAS au capital de 10 000 € · RCS Pontoise 919 706 325 · TVA FR62919706325 · Société d'expertise comptable inscrite au Tableau de l'Ordre des experts-comptables de Paris Île-de-France</v>
      </c>
      <c r="C9990" s="48"/>
      <c r="D9990" s="48"/>
      <c r="E9990" s="48"/>
      <c r="F9990" s="48"/>
    </row>
    <row r="9991" customFormat="false" ht="15" hidden="false" customHeight="false" outlineLevel="0" collapsed="false">
      <c r="B9991" s="10"/>
      <c r="C9991" s="10"/>
      <c r="D9991" s="10"/>
      <c r="E9991" s="10"/>
      <c r="F9991" s="10"/>
      <c r="J9991" s="25" t="s">
        <v>142</v>
      </c>
      <c r="K9991" s="25" t="n">
        <f aca="false">IFERROR(MATCH(223,Clients!$Z$2:$Z$501,0),0)</f>
        <v>0</v>
      </c>
      <c r="L9991" s="25"/>
      <c r="M9991" s="25"/>
      <c r="N9991" s="25"/>
      <c r="O9991" s="25"/>
    </row>
    <row r="9992" customFormat="false" ht="21.75" hidden="false" customHeight="true" outlineLevel="0" collapsed="false">
      <c r="B9992" s="26" t="str">
        <f aca="false">Cab_Nom</f>
        <v>ALTHO EXPERTISE</v>
      </c>
      <c r="C9992" s="26"/>
      <c r="D9992" s="10"/>
      <c r="E9992" s="27" t="str">
        <f aca="false">IF($K$9991=0,"","Réf. client : "&amp;INDEX(Clients!$A$2:$A$501,$K$9991))</f>
        <v/>
      </c>
      <c r="F9992" s="27"/>
      <c r="J9992" s="25" t="s">
        <v>144</v>
      </c>
      <c r="K9992" s="25" t="str">
        <f aca="false">IF(IF($K$9991=0,"",INDEX(Clients!$B$2:$B$501,$K$9991)&amp;"")="Mme","Madame",IF(IF($K$9991=0,"",INDEX(Clients!$B$2:$B$501,$K$9991)&amp;"")="M.","Monsieur","Madame, Monsieur"))</f>
        <v>Madame, Monsieur</v>
      </c>
      <c r="L9992" s="25"/>
      <c r="M9992" s="25"/>
      <c r="N9992" s="25"/>
      <c r="O9992" s="25"/>
    </row>
    <row r="9993" customFormat="false" ht="15" hidden="false" customHeight="false" outlineLevel="0" collapsed="false">
      <c r="B9993" s="29" t="str">
        <f aca="false">Cab_Adr1</f>
        <v>141 rue Charles de Gaulle</v>
      </c>
      <c r="C9993" s="29"/>
      <c r="D9993" s="10"/>
      <c r="E9993" s="10"/>
      <c r="F9993" s="10"/>
      <c r="J9993" s="25" t="s">
        <v>145</v>
      </c>
      <c r="K9993" s="25" t="str">
        <f aca="false">DAY(Date_Effet)&amp;IF(DAY(Date_Effet)=1,"er","")&amp;" "&amp;INDEX(Liste_Mois,MONTH(Date_Effet))&amp;" "&amp;YEAR(Date_Effet)</f>
        <v>1er janvier 2027</v>
      </c>
      <c r="L9993" s="25"/>
      <c r="M9993" s="25"/>
      <c r="N9993" s="25"/>
      <c r="O9993" s="25"/>
    </row>
    <row r="9994" customFormat="false" ht="15" hidden="false" customHeight="false" outlineLevel="0" collapsed="false">
      <c r="B9994" s="29" t="str">
        <f aca="false">Cab_CPVille</f>
        <v>95130 LE PLESSIS-BOUCHARD</v>
      </c>
      <c r="C9994" s="29"/>
      <c r="D9994" s="10"/>
      <c r="E9994" s="10"/>
      <c r="F9994" s="10"/>
      <c r="J9994" s="25" t="s">
        <v>146</v>
      </c>
      <c r="K9994" s="25" t="str">
        <f aca="false">IF(SUM($K$10018:$K$10021)=0,"",FIXED((SUM($L$10018:$L$10021)/SUM($K$10018:$K$10021)-1)*100,1)&amp;" %")</f>
        <v/>
      </c>
      <c r="L9994" s="25"/>
      <c r="M9994" s="25"/>
      <c r="N9994" s="25"/>
      <c r="O9994" s="25"/>
    </row>
    <row r="9995" customFormat="false" ht="15" hidden="false" customHeight="false" outlineLevel="0" collapsed="false">
      <c r="B9995" s="29" t="str">
        <f aca="false">Cab_Contact</f>
        <v>Tél. 01 34 14 53 45  ·  altho@altho-experts.com  ·  altho-experts.com</v>
      </c>
      <c r="C9995" s="29"/>
      <c r="D9995" s="10"/>
      <c r="E9995" s="10"/>
      <c r="F9995" s="10"/>
      <c r="J9995" s="25"/>
      <c r="K9995" s="25"/>
      <c r="L9995" s="25"/>
      <c r="M9995" s="25"/>
      <c r="N9995" s="25"/>
      <c r="O9995" s="25"/>
    </row>
    <row r="9996" customFormat="false" ht="6" hidden="false" customHeight="true" outlineLevel="0" collapsed="false">
      <c r="B9996" s="32"/>
      <c r="C9996" s="32"/>
      <c r="D9996" s="32"/>
      <c r="E9996" s="32"/>
      <c r="F9996" s="32"/>
      <c r="J9996" s="25"/>
      <c r="K9996" s="25"/>
      <c r="L9996" s="25"/>
      <c r="M9996" s="25"/>
      <c r="N9996" s="25"/>
      <c r="O9996" s="25"/>
    </row>
    <row r="9997" customFormat="false" ht="13.5" hidden="false" customHeight="true" outlineLevel="0" collapsed="false">
      <c r="B9997" s="10"/>
      <c r="C9997" s="10"/>
      <c r="D9997" s="10"/>
      <c r="E9997" s="10"/>
      <c r="F9997" s="10"/>
      <c r="J9997" s="25"/>
      <c r="K9997" s="25"/>
      <c r="L9997" s="25"/>
      <c r="M9997" s="25"/>
      <c r="N9997" s="25"/>
      <c r="O9997" s="25"/>
    </row>
    <row r="9998" customFormat="false" ht="13.5" hidden="false" customHeight="true" outlineLevel="0" collapsed="false">
      <c r="B9998" s="10"/>
      <c r="C9998" s="10"/>
      <c r="D9998" s="10"/>
      <c r="E9998" s="10"/>
      <c r="F9998" s="10"/>
      <c r="J9998" s="25"/>
      <c r="K9998" s="25"/>
      <c r="L9998" s="25"/>
      <c r="M9998" s="25"/>
      <c r="N9998" s="25"/>
      <c r="O9998" s="25"/>
    </row>
    <row r="9999" customFormat="false" ht="13.5" hidden="false" customHeight="true" outlineLevel="0" collapsed="false">
      <c r="B9999" s="10"/>
      <c r="C9999" s="10"/>
      <c r="D9999" s="10"/>
      <c r="E9999" s="10"/>
      <c r="F9999" s="10"/>
      <c r="J9999" s="25"/>
      <c r="K9999" s="25"/>
      <c r="L9999" s="25"/>
      <c r="M9999" s="25"/>
      <c r="N9999" s="25"/>
      <c r="O9999" s="25"/>
    </row>
    <row r="10000" customFormat="false" ht="15" hidden="false" customHeight="true" outlineLevel="0" collapsed="false">
      <c r="B10000" s="10"/>
      <c r="C10000" s="10"/>
      <c r="D10000" s="34" t="str">
        <f aca="false">IF($K$9991=0,"",INDEX(Clients!$E$2:$E$501,$K$9991)&amp;"")</f>
        <v/>
      </c>
      <c r="E10000" s="34"/>
      <c r="F10000" s="34"/>
      <c r="J10000" s="25"/>
      <c r="K10000" s="25"/>
      <c r="L10000" s="25"/>
      <c r="M10000" s="25"/>
      <c r="N10000" s="25"/>
      <c r="O10000" s="25"/>
    </row>
    <row r="10001" customFormat="false" ht="15" hidden="false" customHeight="true" outlineLevel="0" collapsed="false">
      <c r="B10001" s="10"/>
      <c r="C10001" s="10"/>
      <c r="D10001" s="35" t="str">
        <f aca="false">IF(IF($K$9991=0,"",INDEX(Clients!$D$2:$D$501,$K$9991)&amp;"")="","","À l'attention de "&amp;TRIM(IF($K$9991=0,"",INDEX(Clients!$B$2:$B$501,$K$9991)&amp;"")&amp;" "&amp;IF($K$9991=0,"",INDEX(Clients!$C$2:$C$501,$K$9991)&amp;"")&amp;" "&amp;IF($K$9991=0,"",INDEX(Clients!$D$2:$D$501,$K$9991)&amp;"")))</f>
        <v/>
      </c>
      <c r="E10001" s="35"/>
      <c r="F10001" s="35"/>
      <c r="J10001" s="25"/>
      <c r="K10001" s="25"/>
      <c r="L10001" s="25"/>
      <c r="M10001" s="25"/>
      <c r="N10001" s="25"/>
      <c r="O10001" s="25"/>
    </row>
    <row r="10002" customFormat="false" ht="15" hidden="false" customHeight="true" outlineLevel="0" collapsed="false">
      <c r="B10002" s="10"/>
      <c r="C10002" s="10"/>
      <c r="D10002" s="35" t="str">
        <f aca="false">IF($K$9991=0,"",INDEX(Clients!$F$2:$F$501,$K$9991)&amp;"")</f>
        <v/>
      </c>
      <c r="E10002" s="35"/>
      <c r="F10002" s="35"/>
      <c r="J10002" s="25"/>
      <c r="K10002" s="25"/>
      <c r="L10002" s="25"/>
      <c r="M10002" s="25"/>
      <c r="N10002" s="25"/>
      <c r="O10002" s="25"/>
    </row>
    <row r="10003" customFormat="false" ht="15" hidden="false" customHeight="true" outlineLevel="0" collapsed="false">
      <c r="B10003" s="10"/>
      <c r="C10003" s="10"/>
      <c r="D10003" s="35" t="str">
        <f aca="false">IF(IF($K$9991=0,"",INDEX(Clients!$G$2:$G$501,$K$9991)&amp;"")="",TRIM(IF($K$9991=0,"",INDEX(Clients!$H$2:$H$501,$K$9991)&amp;"")&amp;" "&amp;UPPER(IF($K$9991=0,"",INDEX(Clients!$I$2:$I$501,$K$9991)&amp;""))),IF($K$9991=0,"",INDEX(Clients!$G$2:$G$501,$K$9991)&amp;""))</f>
        <v/>
      </c>
      <c r="E10003" s="35"/>
      <c r="F10003" s="35"/>
      <c r="J10003" s="25"/>
      <c r="K10003" s="25"/>
      <c r="L10003" s="25"/>
      <c r="M10003" s="25"/>
      <c r="N10003" s="25"/>
      <c r="O10003" s="25"/>
    </row>
    <row r="10004" customFormat="false" ht="15" hidden="false" customHeight="true" outlineLevel="0" collapsed="false">
      <c r="B10004" s="10"/>
      <c r="C10004" s="10"/>
      <c r="D10004" s="35" t="str">
        <f aca="false">IF(IF($K$9991=0,"",INDEX(Clients!$G$2:$G$501,$K$9991)&amp;"")="","",TRIM(IF($K$9991=0,"",INDEX(Clients!$H$2:$H$501,$K$9991)&amp;"")&amp;" "&amp;UPPER(IF($K$9991=0,"",INDEX(Clients!$I$2:$I$501,$K$9991)&amp;""))))</f>
        <v/>
      </c>
      <c r="E10004" s="35"/>
      <c r="F10004" s="35"/>
      <c r="J10004" s="25"/>
      <c r="K10004" s="25"/>
      <c r="L10004" s="25"/>
      <c r="M10004" s="25"/>
      <c r="N10004" s="25"/>
      <c r="O10004" s="25"/>
    </row>
    <row r="10005" customFormat="false" ht="25.5" hidden="false" customHeight="true" outlineLevel="0" collapsed="false">
      <c r="B10005" s="10"/>
      <c r="C10005" s="10"/>
      <c r="D10005" s="10"/>
      <c r="E10005" s="10"/>
      <c r="F10005" s="10"/>
      <c r="J10005" s="25"/>
      <c r="K10005" s="25"/>
      <c r="L10005" s="25"/>
      <c r="M10005" s="25"/>
      <c r="N10005" s="25"/>
      <c r="O10005" s="25"/>
    </row>
    <row r="10006" customFormat="false" ht="15" hidden="false" customHeight="false" outlineLevel="0" collapsed="false">
      <c r="B10006" s="10"/>
      <c r="C10006" s="10"/>
      <c r="D10006" s="36" t="str">
        <f aca="false">Cab_Ville&amp;", le "&amp;DAY(Date_Courrier)&amp;IF(DAY(Date_Courrier)=1,"er","")&amp;" "&amp;INDEX(Liste_Mois,MONTH(Date_Courrier))&amp;" "&amp;YEAR(Date_Courrier)</f>
        <v>Le Plessis-Bouchard, le 22 septembre 2026</v>
      </c>
      <c r="E10006" s="36"/>
      <c r="F10006" s="36"/>
      <c r="J10006" s="25"/>
      <c r="K10006" s="25"/>
      <c r="L10006" s="25"/>
      <c r="M10006" s="25"/>
      <c r="N10006" s="25"/>
      <c r="O10006" s="25"/>
    </row>
    <row r="10007" customFormat="false" ht="19.5" hidden="false" customHeight="true" outlineLevel="0" collapsed="false">
      <c r="B10007" s="10"/>
      <c r="C10007" s="10"/>
      <c r="D10007" s="10"/>
      <c r="E10007" s="10"/>
      <c r="F10007" s="10"/>
      <c r="J10007" s="25"/>
      <c r="K10007" s="25"/>
      <c r="L10007" s="25"/>
      <c r="M10007" s="25"/>
      <c r="N10007" s="25"/>
      <c r="O10007" s="25"/>
    </row>
    <row r="10008" customFormat="false" ht="15" hidden="false" customHeight="false" outlineLevel="0" collapsed="false">
      <c r="B10008" s="34" t="str">
        <f aca="false">SUBSTITUTE(SUBSTITUTE(SUBSTITUTE(SUBSTITUTE(SUBSTITUTE(Txt_Objet,"{cabinet}",Cab_Nom),"{societe}",IF($K$9991=0,"",INDEX(Clients!$E$2:$E$501,$K$9991)&amp;"")),"{date_effet}",$K$9993),"{hausse}",$K$9994),"{civilite}",$K$9992)</f>
        <v>Objet : révision de nos honoraires au 1er janvier 2027</v>
      </c>
      <c r="C10008" s="34"/>
      <c r="D10008" s="34"/>
      <c r="E10008" s="34"/>
      <c r="F10008" s="34"/>
      <c r="J10008" s="25"/>
      <c r="K10008" s="25"/>
      <c r="L10008" s="25"/>
      <c r="M10008" s="25"/>
      <c r="N10008" s="25"/>
      <c r="O10008" s="25"/>
    </row>
    <row r="10009" customFormat="false" ht="13.5" hidden="false" customHeight="true" outlineLevel="0" collapsed="false">
      <c r="B10009" s="10"/>
      <c r="C10009" s="10"/>
      <c r="D10009" s="10"/>
      <c r="E10009" s="10"/>
      <c r="F10009" s="10"/>
      <c r="J10009" s="25"/>
      <c r="K10009" s="25"/>
      <c r="L10009" s="25"/>
      <c r="M10009" s="25"/>
      <c r="N10009" s="25"/>
      <c r="O10009" s="25"/>
    </row>
    <row r="10010" customFormat="false" ht="15" hidden="false" customHeight="false" outlineLevel="0" collapsed="false">
      <c r="B10010" s="10" t="str">
        <f aca="false">$K$9992&amp;","</f>
        <v>Madame, Monsieur,</v>
      </c>
      <c r="C10010" s="10"/>
      <c r="D10010" s="10"/>
      <c r="E10010" s="10"/>
      <c r="F10010" s="10"/>
      <c r="J10010" s="25"/>
      <c r="K10010" s="25"/>
      <c r="L10010" s="25"/>
      <c r="M10010" s="25"/>
      <c r="N10010" s="25"/>
      <c r="O10010" s="25"/>
    </row>
    <row r="10011" customFormat="false" ht="6" hidden="false" customHeight="true" outlineLevel="0" collapsed="false">
      <c r="B10011" s="10"/>
      <c r="C10011" s="10"/>
      <c r="D10011" s="10"/>
      <c r="E10011" s="10"/>
      <c r="F10011" s="10"/>
      <c r="J10011" s="25"/>
      <c r="K10011" s="25"/>
      <c r="L10011" s="25"/>
      <c r="M10011" s="25"/>
      <c r="N10011" s="25"/>
      <c r="O10011" s="25"/>
    </row>
    <row r="10012" customFormat="false" ht="36.75" hidden="false" customHeight="true" outlineLevel="0" collapsed="false">
      <c r="B10012" s="37" t="str">
        <f aca="false">SUBSTITUTE(SUBSTITUTE(SUBSTITUTE(SUBSTITUTE(SUBSTITUTE(Txt_P1,"{cabinet}",Cab_Nom),"{societe}",IF($K$9991=0,"",INDEX(Clients!$E$2:$E$501,$K$9991)&amp;"")),"{date_effet}",$K$9993),"{hausse}",$K$9994),"{civilite}",$K$9992)</f>
        <v>Nous tenons tout d'abord à vous remercier pour la confiance que vous accordez à ALTHO EXPERTISE. Comme chaque année, et conformément aux dispositions de votre lettre de mission, nous procédons à la révision de nos honoraires.</v>
      </c>
      <c r="C10012" s="37"/>
      <c r="D10012" s="37"/>
      <c r="E10012" s="37"/>
      <c r="F10012" s="37"/>
      <c r="J10012" s="25"/>
      <c r="K10012" s="25"/>
      <c r="L10012" s="25"/>
      <c r="M10012" s="25"/>
      <c r="N10012" s="25"/>
      <c r="O10012" s="25"/>
    </row>
    <row r="10013" customFormat="false" ht="49.5" hidden="false" customHeight="true" outlineLevel="0" collapsed="false">
      <c r="B10013" s="37" t="str">
        <f aca="false">SUBSTITUTE(SUBSTITUTE(SUBSTITUTE(SUBSTITUTE(SUBSTITUTE(Txt_P2,"{cabinet}",Cab_Nom),"{societe}",IF($K$9991=0,"",INDEX(Clients!$E$2:$E$501,$K$9991)&amp;"")),"{date_effet}",$K$9993),"{hausse}",$K$9994),"{civilite}",$K$9992)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013" s="37"/>
      <c r="D10013" s="37"/>
      <c r="E10013" s="37"/>
      <c r="F10013" s="37"/>
      <c r="J10013" s="25"/>
      <c r="K10013" s="25"/>
      <c r="L10013" s="25"/>
      <c r="M10013" s="25"/>
      <c r="N10013" s="25"/>
      <c r="O10013" s="25"/>
    </row>
    <row r="10014" customFormat="false" ht="63" hidden="false" customHeight="true" outlineLevel="0" collapsed="false">
      <c r="B10014" s="37" t="str">
        <f aca="false">SUBSTITUTE(SUBSTITUTE(SUBSTITUTE(SUBSTITUTE(SUBSTITUTE(Txt_P3,"{cabinet}",Cab_Nom),"{societe}",IF($K$9991=0,"",INDEX(Clients!$E$2:$E$501,$K$9991)&amp;"")),"{date_effet}",$K$9993),"{hausse}",$K$9994),"{civilite}",$K$9992)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014" s="37"/>
      <c r="D10014" s="37"/>
      <c r="E10014" s="37"/>
      <c r="F10014" s="37"/>
      <c r="J10014" s="25"/>
      <c r="K10014" s="25"/>
      <c r="L10014" s="25"/>
      <c r="M10014" s="25"/>
      <c r="N10014" s="25"/>
      <c r="O10014" s="25"/>
    </row>
    <row r="10015" customFormat="false" ht="24" hidden="false" customHeight="true" outlineLevel="0" collapsed="false">
      <c r="B10015" s="37" t="str">
        <f aca="false">SUBSTITUTE(SUBSTITUTE(SUBSTITUTE(SUBSTITUTE(SUBSTITUTE(Txt_P4,"{cabinet}",Cab_Nom),"{societe}",IF($K$9991=0,"",INDEX(Clients!$E$2:$E$501,$K$9991)&amp;"")),"{date_effet}",$K$9993),"{hausse}",$K$9994),"{civilite}",$K$9992)</f>
        <v>À compter du 1er janvier 2027, vos honoraires annuels hors taxes évolueront ainsi (évolution globale : ) :</v>
      </c>
      <c r="C10015" s="37"/>
      <c r="D10015" s="37"/>
      <c r="E10015" s="37"/>
      <c r="F10015" s="37"/>
      <c r="J10015" s="25"/>
      <c r="K10015" s="25"/>
      <c r="L10015" s="25"/>
      <c r="M10015" s="25"/>
      <c r="N10015" s="25"/>
      <c r="O10015" s="25"/>
    </row>
    <row r="10016" customFormat="false" ht="3.75" hidden="false" customHeight="true" outlineLevel="0" collapsed="false">
      <c r="B10016" s="10"/>
      <c r="C10016" s="10"/>
      <c r="D10016" s="10"/>
      <c r="E10016" s="10"/>
      <c r="F10016" s="10"/>
      <c r="J10016" s="25"/>
      <c r="K10016" s="25"/>
      <c r="L10016" s="25"/>
      <c r="M10016" s="25"/>
      <c r="N10016" s="25"/>
      <c r="O10016" s="25"/>
    </row>
    <row r="10017" customFormat="false" ht="18" hidden="false" customHeight="true" outlineLevel="0" collapsed="false">
      <c r="B10017" s="38" t="s">
        <v>148</v>
      </c>
      <c r="C10017" s="39" t="s">
        <v>149</v>
      </c>
      <c r="D10017" s="39" t="s">
        <v>150</v>
      </c>
      <c r="E10017" s="39" t="s">
        <v>151</v>
      </c>
      <c r="F10017" s="39" t="s">
        <v>109</v>
      </c>
      <c r="J10017" s="25" t="s">
        <v>152</v>
      </c>
      <c r="K10017" s="25" t="s">
        <v>153</v>
      </c>
      <c r="L10017" s="25" t="s">
        <v>154</v>
      </c>
      <c r="M10017" s="25" t="s">
        <v>155</v>
      </c>
      <c r="N10017" s="25" t="s">
        <v>156</v>
      </c>
      <c r="O10017" s="25" t="s">
        <v>157</v>
      </c>
    </row>
    <row r="10018" customFormat="false" ht="16.5" hidden="false" customHeight="true" outlineLevel="0" collapsed="false">
      <c r="B10018" s="40" t="str">
        <f aca="false">IFERROR(INDEX($J$10018:$J$10021,MATCH($O10018,$N$10018:$N$10021,0)),"")</f>
        <v/>
      </c>
      <c r="C10018" s="41" t="str">
        <f aca="false">IFERROR(INDEX($K$10018:$K$10021,MATCH($O10018,$N$10018:$N$10021,0)),"")</f>
        <v/>
      </c>
      <c r="D10018" s="42" t="str">
        <f aca="false">IF(OR(E10018="",N(C10018)=0),"",E10018/C10018-1)</f>
        <v/>
      </c>
      <c r="E10018" s="41" t="str">
        <f aca="false">IFERROR(INDEX($L$10018:$L$10021,MATCH($O10018,$N$10018:$N$10021,0)),"")</f>
        <v/>
      </c>
      <c r="F10018" s="41" t="str">
        <f aca="false">IF(E10018="","",E10018-C10018)</f>
        <v/>
      </c>
      <c r="J10018" s="25" t="str">
        <f aca="false">Lib_Compta</f>
        <v>Mission comptable (tenue, révision, bilan, liasse fiscale)</v>
      </c>
      <c r="K10018" s="25" t="n">
        <f aca="false">IF($K$9991=0,0,N(INDEX(Clients!$K$2:$K$501,$K$9991)))</f>
        <v>0</v>
      </c>
      <c r="L10018" s="25" t="n">
        <f aca="false">IF($K$9991=0,0,N(INDEX(Clients!$P$2:$P$501,$K$9991)))</f>
        <v>0</v>
      </c>
      <c r="M10018" s="25" t="n">
        <f aca="false">IF(OR(K10018&lt;&gt;0,L10018&lt;&gt;0),1,0)</f>
        <v>0</v>
      </c>
      <c r="N10018" s="25" t="str">
        <f aca="false">IF(M10018=1,SUM($M$10018:M10018),"")</f>
        <v/>
      </c>
      <c r="O10018" s="25" t="n">
        <v>1</v>
      </c>
    </row>
    <row r="10019" customFormat="false" ht="16.5" hidden="false" customHeight="true" outlineLevel="0" collapsed="false">
      <c r="B10019" s="40" t="str">
        <f aca="false">IFERROR(INDEX($J$10018:$J$10021,MATCH($O10019,$N$10018:$N$10021,0)),"")</f>
        <v/>
      </c>
      <c r="C10019" s="41" t="str">
        <f aca="false">IFERROR(INDEX($K$10018:$K$10021,MATCH($O10019,$N$10018:$N$10021,0)),"")</f>
        <v/>
      </c>
      <c r="D10019" s="42" t="str">
        <f aca="false">IF(OR(E10019="",N(C10019)=0),"",E10019/C10019-1)</f>
        <v/>
      </c>
      <c r="E10019" s="41" t="str">
        <f aca="false">IFERROR(INDEX($L$10018:$L$10021,MATCH($O10019,$N$10018:$N$10021,0)),"")</f>
        <v/>
      </c>
      <c r="F10019" s="41" t="str">
        <f aca="false">IF(E10019="","",E10019-C10019)</f>
        <v/>
      </c>
      <c r="J10019" s="25" t="str">
        <f aca="false">Lib_Paye</f>
        <v>Mission sociale (bulletins de paie, DSN, déclarations sociales)</v>
      </c>
      <c r="K10019" s="25" t="n">
        <f aca="false">IF($K$9991=0,0,N(INDEX(Clients!$L$2:$L$501,$K$9991)))</f>
        <v>0</v>
      </c>
      <c r="L10019" s="25" t="n">
        <f aca="false">IF($K$9991=0,0,N(INDEX(Clients!$Q$2:$Q$501,$K$9991)))</f>
        <v>0</v>
      </c>
      <c r="M10019" s="25" t="n">
        <f aca="false">IF(OR(K10019&lt;&gt;0,L10019&lt;&gt;0),1,0)</f>
        <v>0</v>
      </c>
      <c r="N10019" s="25" t="str">
        <f aca="false">IF(M10019=1,SUM($M$10018:M10019),"")</f>
        <v/>
      </c>
      <c r="O10019" s="25" t="n">
        <v>2</v>
      </c>
    </row>
    <row r="10020" customFormat="false" ht="16.5" hidden="false" customHeight="true" outlineLevel="0" collapsed="false">
      <c r="B10020" s="40" t="str">
        <f aca="false">IFERROR(INDEX($J$10018:$J$10021,MATCH($O10020,$N$10018:$N$10021,0)),"")</f>
        <v/>
      </c>
      <c r="C10020" s="41" t="str">
        <f aca="false">IFERROR(INDEX($K$10018:$K$10021,MATCH($O10020,$N$10018:$N$10021,0)),"")</f>
        <v/>
      </c>
      <c r="D10020" s="42" t="str">
        <f aca="false">IF(OR(E10020="",N(C10020)=0),"",E10020/C10020-1)</f>
        <v/>
      </c>
      <c r="E10020" s="41" t="str">
        <f aca="false">IFERROR(INDEX($L$10018:$L$10021,MATCH($O10020,$N$10018:$N$10021,0)),"")</f>
        <v/>
      </c>
      <c r="F10020" s="41" t="str">
        <f aca="false">IF(E10020="","",E10020-C10020)</f>
        <v/>
      </c>
      <c r="J10020" s="25" t="str">
        <f aca="false">Lib_Jur</f>
        <v>Mission juridique (approbation des comptes, secrétariat juridique)</v>
      </c>
      <c r="K10020" s="25" t="n">
        <f aca="false">IF($K$9991=0,0,N(INDEX(Clients!$M$2:$M$501,$K$9991)))</f>
        <v>0</v>
      </c>
      <c r="L10020" s="25" t="n">
        <f aca="false">IF($K$9991=0,0,N(INDEX(Clients!$R$2:$R$501,$K$9991)))</f>
        <v>0</v>
      </c>
      <c r="M10020" s="25" t="n">
        <f aca="false">IF(OR(K10020&lt;&gt;0,L10020&lt;&gt;0),1,0)</f>
        <v>0</v>
      </c>
      <c r="N10020" s="25" t="str">
        <f aca="false">IF(M10020=1,SUM($M$10018:M10020),"")</f>
        <v/>
      </c>
      <c r="O10020" s="25" t="n">
        <v>3</v>
      </c>
    </row>
    <row r="10021" customFormat="false" ht="16.5" hidden="false" customHeight="true" outlineLevel="0" collapsed="false">
      <c r="B10021" s="40" t="str">
        <f aca="false">IFERROR(INDEX($J$10018:$J$10021,MATCH($O10021,$N$10018:$N$10021,0)),"")</f>
        <v/>
      </c>
      <c r="C10021" s="41" t="str">
        <f aca="false">IFERROR(INDEX($K$10018:$K$10021,MATCH($O10021,$N$10018:$N$10021,0)),"")</f>
        <v/>
      </c>
      <c r="D10021" s="42" t="str">
        <f aca="false">IF(OR(E10021="",N(C10021)=0),"",E10021/C10021-1)</f>
        <v/>
      </c>
      <c r="E10021" s="41" t="str">
        <f aca="false">IFERROR(INDEX($L$10018:$L$10021,MATCH($O10021,$N$10018:$N$10021,0)),"")</f>
        <v/>
      </c>
      <c r="F10021" s="41" t="str">
        <f aca="false">IF(E10021="","",E10021-C10021)</f>
        <v/>
      </c>
      <c r="J10021" s="25" t="str">
        <f aca="false">Lib_PA</f>
        <v>Plateforme agréée – facturation électronique</v>
      </c>
      <c r="K10021" s="25" t="n">
        <f aca="false">IF($K$9991=0,0,N(INDEX(Clients!$N$2:$N$501,$K$9991)))</f>
        <v>0</v>
      </c>
      <c r="L10021" s="25" t="n">
        <f aca="false">IF($K$9991=0,0,N(INDEX(Clients!$S$2:$S$501,$K$9991)))</f>
        <v>0</v>
      </c>
      <c r="M10021" s="25" t="n">
        <f aca="false">IF(OR(K10021&lt;&gt;0,L10021&lt;&gt;0),1,0)</f>
        <v>0</v>
      </c>
      <c r="N10021" s="25" t="str">
        <f aca="false">IF(M10021=1,SUM($M$10018:M10021),"")</f>
        <v/>
      </c>
      <c r="O10021" s="25" t="n">
        <v>4</v>
      </c>
    </row>
    <row r="10022" customFormat="false" ht="18" hidden="false" customHeight="true" outlineLevel="0" collapsed="false">
      <c r="B10022" s="43" t="s">
        <v>158</v>
      </c>
      <c r="C10022" s="44" t="n">
        <f aca="false">SUM(K10018:K10021)</f>
        <v>0</v>
      </c>
      <c r="D10022" s="45" t="str">
        <f aca="false">IF(N(C10022)=0,"",E10022/C10022-1)</f>
        <v/>
      </c>
      <c r="E10022" s="44" t="n">
        <f aca="false">SUM(L10018:L10021)</f>
        <v>0</v>
      </c>
      <c r="F10022" s="44" t="n">
        <f aca="false">E10022-C10022</f>
        <v>0</v>
      </c>
    </row>
    <row r="10023" customFormat="false" ht="15" hidden="false" customHeight="false" outlineLevel="0" collapsed="false">
      <c r="B10023" s="46" t="str">
        <f aca="false">IF(N(Nb_Mensualites)=0,"","Soit "&amp;FIXED(E10022/Nb_Mensualites,2)&amp;" € HT par échéance ("&amp;Nb_Mensualites&amp;" échéances), "&amp;FIXED(E10022/Nb_Mensualites*(1+Taux_TVA),2)&amp;" € TTC.")</f>
        <v>Soit 0.00 € HT par échéance (12 échéances), 0.00 € TTC.</v>
      </c>
      <c r="C10023" s="46"/>
      <c r="D10023" s="46"/>
      <c r="E10023" s="46"/>
      <c r="F10023" s="46"/>
    </row>
    <row r="10024" customFormat="false" ht="7.5" hidden="false" customHeight="true" outlineLevel="0" collapsed="false">
      <c r="B10024" s="10"/>
      <c r="C10024" s="10"/>
      <c r="D10024" s="10"/>
      <c r="E10024" s="10"/>
      <c r="F10024" s="10"/>
    </row>
    <row r="10025" customFormat="false" ht="36.75" hidden="false" customHeight="true" outlineLevel="0" collapsed="false">
      <c r="B10025" s="37" t="str">
        <f aca="false">SUBSTITUTE(SUBSTITUTE(SUBSTITUTE(SUBSTITUTE(SUBSTITUTE(Txt_P5,"{cabinet}",Cab_Nom),"{societe}",IF($K$9991=0,"",INDEX(Clients!$E$2:$E$501,$K$9991)&amp;"")),"{date_effet}",$K$9993),"{hausse}",$K$9994),"{civilite}",$K$9992)</f>
        <v>Les autres conditions de votre lettre de mission demeurent inchangées. Les nouveaux montants seront appliqués automatiquement sur vos prochaines factures et échéances de prélèvement.</v>
      </c>
      <c r="C10025" s="37"/>
      <c r="D10025" s="37"/>
      <c r="E10025" s="37"/>
      <c r="F10025" s="37"/>
    </row>
    <row r="10026" customFormat="false" ht="36.75" hidden="false" customHeight="true" outlineLevel="0" collapsed="false">
      <c r="B10026" s="37" t="str">
        <f aca="false">SUBSTITUTE(SUBSTITUTE(SUBSTITUTE(SUBSTITUTE(SUBSTITUTE(Txt_P6,"{cabinet}",Cab_Nom),"{societe}",IF($K$9991=0,"",INDEX(Clients!$E$2:$E$501,$K$9991)&amp;"")),"{date_effet}",$K$9993),"{hausse}",$K$9994),"{civilite}",$K$9992)</f>
        <v>Votre interlocuteur habituel reste à votre entière disposition pour répondre à vos questions et faire le point sur l'évolution de vos besoins.</v>
      </c>
      <c r="C10026" s="37"/>
      <c r="D10026" s="37"/>
      <c r="E10026" s="37"/>
      <c r="F10026" s="37"/>
    </row>
    <row r="10027" customFormat="false" ht="24" hidden="false" customHeight="true" outlineLevel="0" collapsed="false">
      <c r="B10027" s="37" t="str">
        <f aca="false">SUBSTITUTE(SUBSTITUTE(SUBSTITUTE(SUBSTITUTE(SUBSTITUTE(Txt_Politesse,"{cabinet}",Cab_Nom),"{societe}",IF($K$9991=0,"",INDEX(Clients!$E$2:$E$501,$K$9991)&amp;"")),"{date_effet}",$K$9993),"{hausse}",$K$9994),"{civilite}",$K$9992)</f>
        <v>Nous vous prions d'agréer, Madame, Monsieur, l'expression de nos salutations distinguées.</v>
      </c>
      <c r="C10027" s="37"/>
      <c r="D10027" s="37"/>
      <c r="E10027" s="37"/>
      <c r="F10027" s="37"/>
    </row>
    <row r="10028" customFormat="false" ht="15" hidden="false" customHeight="false" outlineLevel="0" collapsed="false">
      <c r="B10028" s="10"/>
      <c r="C10028" s="10"/>
      <c r="D10028" s="10"/>
      <c r="E10028" s="10"/>
      <c r="F10028" s="10"/>
    </row>
    <row r="10029" customFormat="false" ht="15" hidden="false" customHeight="false" outlineLevel="0" collapsed="false">
      <c r="B10029" s="10"/>
      <c r="C10029" s="10"/>
      <c r="D10029" s="34" t="str">
        <f aca="false">Signataire</f>
        <v>Prénom NOM</v>
      </c>
      <c r="E10029" s="34"/>
      <c r="F10029" s="34"/>
    </row>
    <row r="10030" customFormat="false" ht="15" hidden="false" customHeight="false" outlineLevel="0" collapsed="false">
      <c r="B10030" s="10"/>
      <c r="C10030" s="10"/>
      <c r="D10030" s="47" t="str">
        <f aca="false">Signataire_Titre</f>
        <v>Expert-comptable associé</v>
      </c>
      <c r="E10030" s="47"/>
      <c r="F10030" s="47"/>
    </row>
    <row r="10031" customFormat="false" ht="15.75" hidden="false" customHeight="true" outlineLevel="0" collapsed="false">
      <c r="B10031" s="10"/>
      <c r="C10031" s="10"/>
      <c r="D10031" s="10"/>
      <c r="E10031" s="10"/>
      <c r="F10031" s="10"/>
    </row>
    <row r="10032" customFormat="false" ht="15.75" hidden="false" customHeight="true" outlineLevel="0" collapsed="false">
      <c r="B10032" s="10"/>
      <c r="C10032" s="10"/>
      <c r="D10032" s="10"/>
      <c r="E10032" s="10"/>
      <c r="F10032" s="10"/>
    </row>
    <row r="10033" customFormat="false" ht="15.75" hidden="false" customHeight="true" outlineLevel="0" collapsed="false">
      <c r="B10033" s="10"/>
      <c r="C10033" s="10"/>
      <c r="D10033" s="10"/>
      <c r="E10033" s="10"/>
      <c r="F10033" s="10"/>
    </row>
    <row r="10034" customFormat="false" ht="15.75" hidden="false" customHeight="true" outlineLevel="0" collapsed="false">
      <c r="B10034" s="10"/>
      <c r="C10034" s="10"/>
      <c r="D10034" s="10"/>
      <c r="E10034" s="10"/>
      <c r="F10034" s="10"/>
    </row>
    <row r="10035" customFormat="false" ht="24" hidden="false" customHeight="true" outlineLevel="0" collapsed="false">
      <c r="B10035" s="48" t="str">
        <f aca="false">Cab_Mentions</f>
        <v>ALTHO EXPERTISE · SAS au capital de 10 000 € · RCS Pontoise 919 706 325 · TVA FR62919706325 · Société d'expertise comptable inscrite au Tableau de l'Ordre des experts-comptables de Paris Île-de-France</v>
      </c>
      <c r="C10035" s="48"/>
      <c r="D10035" s="48"/>
      <c r="E10035" s="48"/>
      <c r="F10035" s="48"/>
    </row>
    <row r="10036" customFormat="false" ht="15" hidden="false" customHeight="false" outlineLevel="0" collapsed="false">
      <c r="B10036" s="10"/>
      <c r="C10036" s="10"/>
      <c r="D10036" s="10"/>
      <c r="E10036" s="10"/>
      <c r="F10036" s="10"/>
      <c r="J10036" s="25" t="s">
        <v>142</v>
      </c>
      <c r="K10036" s="25" t="n">
        <f aca="false">IFERROR(MATCH(224,Clients!$Z$2:$Z$501,0),0)</f>
        <v>0</v>
      </c>
      <c r="L10036" s="25"/>
      <c r="M10036" s="25"/>
      <c r="N10036" s="25"/>
      <c r="O10036" s="25"/>
    </row>
    <row r="10037" customFormat="false" ht="21.75" hidden="false" customHeight="true" outlineLevel="0" collapsed="false">
      <c r="B10037" s="26" t="str">
        <f aca="false">Cab_Nom</f>
        <v>ALTHO EXPERTISE</v>
      </c>
      <c r="C10037" s="26"/>
      <c r="D10037" s="10"/>
      <c r="E10037" s="27" t="str">
        <f aca="false">IF($K$10036=0,"","Réf. client : "&amp;INDEX(Clients!$A$2:$A$501,$K$10036))</f>
        <v/>
      </c>
      <c r="F10037" s="27"/>
      <c r="J10037" s="25" t="s">
        <v>144</v>
      </c>
      <c r="K10037" s="25" t="str">
        <f aca="false">IF(IF($K$10036=0,"",INDEX(Clients!$B$2:$B$501,$K$10036)&amp;"")="Mme","Madame",IF(IF($K$10036=0,"",INDEX(Clients!$B$2:$B$501,$K$10036)&amp;"")="M.","Monsieur","Madame, Monsieur"))</f>
        <v>Madame, Monsieur</v>
      </c>
      <c r="L10037" s="25"/>
      <c r="M10037" s="25"/>
      <c r="N10037" s="25"/>
      <c r="O10037" s="25"/>
    </row>
    <row r="10038" customFormat="false" ht="15" hidden="false" customHeight="false" outlineLevel="0" collapsed="false">
      <c r="B10038" s="29" t="str">
        <f aca="false">Cab_Adr1</f>
        <v>141 rue Charles de Gaulle</v>
      </c>
      <c r="C10038" s="29"/>
      <c r="D10038" s="10"/>
      <c r="E10038" s="10"/>
      <c r="F10038" s="10"/>
      <c r="J10038" s="25" t="s">
        <v>145</v>
      </c>
      <c r="K10038" s="25" t="str">
        <f aca="false">DAY(Date_Effet)&amp;IF(DAY(Date_Effet)=1,"er","")&amp;" "&amp;INDEX(Liste_Mois,MONTH(Date_Effet))&amp;" "&amp;YEAR(Date_Effet)</f>
        <v>1er janvier 2027</v>
      </c>
      <c r="L10038" s="25"/>
      <c r="M10038" s="25"/>
      <c r="N10038" s="25"/>
      <c r="O10038" s="25"/>
    </row>
    <row r="10039" customFormat="false" ht="15" hidden="false" customHeight="false" outlineLevel="0" collapsed="false">
      <c r="B10039" s="29" t="str">
        <f aca="false">Cab_CPVille</f>
        <v>95130 LE PLESSIS-BOUCHARD</v>
      </c>
      <c r="C10039" s="29"/>
      <c r="D10039" s="10"/>
      <c r="E10039" s="10"/>
      <c r="F10039" s="10"/>
      <c r="J10039" s="25" t="s">
        <v>146</v>
      </c>
      <c r="K10039" s="25" t="str">
        <f aca="false">IF(SUM($K$10063:$K$10066)=0,"",FIXED((SUM($L$10063:$L$10066)/SUM($K$10063:$K$10066)-1)*100,1)&amp;" %")</f>
        <v/>
      </c>
      <c r="L10039" s="25"/>
      <c r="M10039" s="25"/>
      <c r="N10039" s="25"/>
      <c r="O10039" s="25"/>
    </row>
    <row r="10040" customFormat="false" ht="15" hidden="false" customHeight="false" outlineLevel="0" collapsed="false">
      <c r="B10040" s="29" t="str">
        <f aca="false">Cab_Contact</f>
        <v>Tél. 01 34 14 53 45  ·  altho@altho-experts.com  ·  altho-experts.com</v>
      </c>
      <c r="C10040" s="29"/>
      <c r="D10040" s="10"/>
      <c r="E10040" s="10"/>
      <c r="F10040" s="10"/>
      <c r="J10040" s="25"/>
      <c r="K10040" s="25"/>
      <c r="L10040" s="25"/>
      <c r="M10040" s="25"/>
      <c r="N10040" s="25"/>
      <c r="O10040" s="25"/>
    </row>
    <row r="10041" customFormat="false" ht="6" hidden="false" customHeight="true" outlineLevel="0" collapsed="false">
      <c r="B10041" s="32"/>
      <c r="C10041" s="32"/>
      <c r="D10041" s="32"/>
      <c r="E10041" s="32"/>
      <c r="F10041" s="32"/>
      <c r="J10041" s="25"/>
      <c r="K10041" s="25"/>
      <c r="L10041" s="25"/>
      <c r="M10041" s="25"/>
      <c r="N10041" s="25"/>
      <c r="O10041" s="25"/>
    </row>
    <row r="10042" customFormat="false" ht="13.5" hidden="false" customHeight="true" outlineLevel="0" collapsed="false">
      <c r="B10042" s="10"/>
      <c r="C10042" s="10"/>
      <c r="D10042" s="10"/>
      <c r="E10042" s="10"/>
      <c r="F10042" s="10"/>
      <c r="J10042" s="25"/>
      <c r="K10042" s="25"/>
      <c r="L10042" s="25"/>
      <c r="M10042" s="25"/>
      <c r="N10042" s="25"/>
      <c r="O10042" s="25"/>
    </row>
    <row r="10043" customFormat="false" ht="13.5" hidden="false" customHeight="true" outlineLevel="0" collapsed="false">
      <c r="B10043" s="10"/>
      <c r="C10043" s="10"/>
      <c r="D10043" s="10"/>
      <c r="E10043" s="10"/>
      <c r="F10043" s="10"/>
      <c r="J10043" s="25"/>
      <c r="K10043" s="25"/>
      <c r="L10043" s="25"/>
      <c r="M10043" s="25"/>
      <c r="N10043" s="25"/>
      <c r="O10043" s="25"/>
    </row>
    <row r="10044" customFormat="false" ht="13.5" hidden="false" customHeight="true" outlineLevel="0" collapsed="false">
      <c r="B10044" s="10"/>
      <c r="C10044" s="10"/>
      <c r="D10044" s="10"/>
      <c r="E10044" s="10"/>
      <c r="F10044" s="10"/>
      <c r="J10044" s="25"/>
      <c r="K10044" s="25"/>
      <c r="L10044" s="25"/>
      <c r="M10044" s="25"/>
      <c r="N10044" s="25"/>
      <c r="O10044" s="25"/>
    </row>
    <row r="10045" customFormat="false" ht="15" hidden="false" customHeight="true" outlineLevel="0" collapsed="false">
      <c r="B10045" s="10"/>
      <c r="C10045" s="10"/>
      <c r="D10045" s="34" t="str">
        <f aca="false">IF($K$10036=0,"",INDEX(Clients!$E$2:$E$501,$K$10036)&amp;"")</f>
        <v/>
      </c>
      <c r="E10045" s="34"/>
      <c r="F10045" s="34"/>
      <c r="J10045" s="25"/>
      <c r="K10045" s="25"/>
      <c r="L10045" s="25"/>
      <c r="M10045" s="25"/>
      <c r="N10045" s="25"/>
      <c r="O10045" s="25"/>
    </row>
    <row r="10046" customFormat="false" ht="15" hidden="false" customHeight="true" outlineLevel="0" collapsed="false">
      <c r="B10046" s="10"/>
      <c r="C10046" s="10"/>
      <c r="D10046" s="35" t="str">
        <f aca="false">IF(IF($K$10036=0,"",INDEX(Clients!$D$2:$D$501,$K$10036)&amp;"")="","","À l'attention de "&amp;TRIM(IF($K$10036=0,"",INDEX(Clients!$B$2:$B$501,$K$10036)&amp;"")&amp;" "&amp;IF($K$10036=0,"",INDEX(Clients!$C$2:$C$501,$K$10036)&amp;"")&amp;" "&amp;IF($K$10036=0,"",INDEX(Clients!$D$2:$D$501,$K$10036)&amp;"")))</f>
        <v/>
      </c>
      <c r="E10046" s="35"/>
      <c r="F10046" s="35"/>
      <c r="J10046" s="25"/>
      <c r="K10046" s="25"/>
      <c r="L10046" s="25"/>
      <c r="M10046" s="25"/>
      <c r="N10046" s="25"/>
      <c r="O10046" s="25"/>
    </row>
    <row r="10047" customFormat="false" ht="15" hidden="false" customHeight="true" outlineLevel="0" collapsed="false">
      <c r="B10047" s="10"/>
      <c r="C10047" s="10"/>
      <c r="D10047" s="35" t="str">
        <f aca="false">IF($K$10036=0,"",INDEX(Clients!$F$2:$F$501,$K$10036)&amp;"")</f>
        <v/>
      </c>
      <c r="E10047" s="35"/>
      <c r="F10047" s="35"/>
      <c r="J10047" s="25"/>
      <c r="K10047" s="25"/>
      <c r="L10047" s="25"/>
      <c r="M10047" s="25"/>
      <c r="N10047" s="25"/>
      <c r="O10047" s="25"/>
    </row>
    <row r="10048" customFormat="false" ht="15" hidden="false" customHeight="true" outlineLevel="0" collapsed="false">
      <c r="B10048" s="10"/>
      <c r="C10048" s="10"/>
      <c r="D10048" s="35" t="str">
        <f aca="false">IF(IF($K$10036=0,"",INDEX(Clients!$G$2:$G$501,$K$10036)&amp;"")="",TRIM(IF($K$10036=0,"",INDEX(Clients!$H$2:$H$501,$K$10036)&amp;"")&amp;" "&amp;UPPER(IF($K$10036=0,"",INDEX(Clients!$I$2:$I$501,$K$10036)&amp;""))),IF($K$10036=0,"",INDEX(Clients!$G$2:$G$501,$K$10036)&amp;""))</f>
        <v/>
      </c>
      <c r="E10048" s="35"/>
      <c r="F10048" s="35"/>
      <c r="J10048" s="25"/>
      <c r="K10048" s="25"/>
      <c r="L10048" s="25"/>
      <c r="M10048" s="25"/>
      <c r="N10048" s="25"/>
      <c r="O10048" s="25"/>
    </row>
    <row r="10049" customFormat="false" ht="15" hidden="false" customHeight="true" outlineLevel="0" collapsed="false">
      <c r="B10049" s="10"/>
      <c r="C10049" s="10"/>
      <c r="D10049" s="35" t="str">
        <f aca="false">IF(IF($K$10036=0,"",INDEX(Clients!$G$2:$G$501,$K$10036)&amp;"")="","",TRIM(IF($K$10036=0,"",INDEX(Clients!$H$2:$H$501,$K$10036)&amp;"")&amp;" "&amp;UPPER(IF($K$10036=0,"",INDEX(Clients!$I$2:$I$501,$K$10036)&amp;""))))</f>
        <v/>
      </c>
      <c r="E10049" s="35"/>
      <c r="F10049" s="35"/>
      <c r="J10049" s="25"/>
      <c r="K10049" s="25"/>
      <c r="L10049" s="25"/>
      <c r="M10049" s="25"/>
      <c r="N10049" s="25"/>
      <c r="O10049" s="25"/>
    </row>
    <row r="10050" customFormat="false" ht="25.5" hidden="false" customHeight="true" outlineLevel="0" collapsed="false">
      <c r="B10050" s="10"/>
      <c r="C10050" s="10"/>
      <c r="D10050" s="10"/>
      <c r="E10050" s="10"/>
      <c r="F10050" s="10"/>
      <c r="J10050" s="25"/>
      <c r="K10050" s="25"/>
      <c r="L10050" s="25"/>
      <c r="M10050" s="25"/>
      <c r="N10050" s="25"/>
      <c r="O10050" s="25"/>
    </row>
    <row r="10051" customFormat="false" ht="15" hidden="false" customHeight="false" outlineLevel="0" collapsed="false">
      <c r="B10051" s="10"/>
      <c r="C10051" s="10"/>
      <c r="D10051" s="36" t="str">
        <f aca="false">Cab_Ville&amp;", le "&amp;DAY(Date_Courrier)&amp;IF(DAY(Date_Courrier)=1,"er","")&amp;" "&amp;INDEX(Liste_Mois,MONTH(Date_Courrier))&amp;" "&amp;YEAR(Date_Courrier)</f>
        <v>Le Plessis-Bouchard, le 22 septembre 2026</v>
      </c>
      <c r="E10051" s="36"/>
      <c r="F10051" s="36"/>
      <c r="J10051" s="25"/>
      <c r="K10051" s="25"/>
      <c r="L10051" s="25"/>
      <c r="M10051" s="25"/>
      <c r="N10051" s="25"/>
      <c r="O10051" s="25"/>
    </row>
    <row r="10052" customFormat="false" ht="19.5" hidden="false" customHeight="true" outlineLevel="0" collapsed="false">
      <c r="B10052" s="10"/>
      <c r="C10052" s="10"/>
      <c r="D10052" s="10"/>
      <c r="E10052" s="10"/>
      <c r="F10052" s="10"/>
      <c r="J10052" s="25"/>
      <c r="K10052" s="25"/>
      <c r="L10052" s="25"/>
      <c r="M10052" s="25"/>
      <c r="N10052" s="25"/>
      <c r="O10052" s="25"/>
    </row>
    <row r="10053" customFormat="false" ht="15" hidden="false" customHeight="false" outlineLevel="0" collapsed="false">
      <c r="B10053" s="34" t="str">
        <f aca="false">SUBSTITUTE(SUBSTITUTE(SUBSTITUTE(SUBSTITUTE(SUBSTITUTE(Txt_Objet,"{cabinet}",Cab_Nom),"{societe}",IF($K$10036=0,"",INDEX(Clients!$E$2:$E$501,$K$10036)&amp;"")),"{date_effet}",$K$10038),"{hausse}",$K$10039),"{civilite}",$K$10037)</f>
        <v>Objet : révision de nos honoraires au 1er janvier 2027</v>
      </c>
      <c r="C10053" s="34"/>
      <c r="D10053" s="34"/>
      <c r="E10053" s="34"/>
      <c r="F10053" s="34"/>
      <c r="J10053" s="25"/>
      <c r="K10053" s="25"/>
      <c r="L10053" s="25"/>
      <c r="M10053" s="25"/>
      <c r="N10053" s="25"/>
      <c r="O10053" s="25"/>
    </row>
    <row r="10054" customFormat="false" ht="13.5" hidden="false" customHeight="true" outlineLevel="0" collapsed="false">
      <c r="B10054" s="10"/>
      <c r="C10054" s="10"/>
      <c r="D10054" s="10"/>
      <c r="E10054" s="10"/>
      <c r="F10054" s="10"/>
      <c r="J10054" s="25"/>
      <c r="K10054" s="25"/>
      <c r="L10054" s="25"/>
      <c r="M10054" s="25"/>
      <c r="N10054" s="25"/>
      <c r="O10054" s="25"/>
    </row>
    <row r="10055" customFormat="false" ht="15" hidden="false" customHeight="false" outlineLevel="0" collapsed="false">
      <c r="B10055" s="10" t="str">
        <f aca="false">$K$10037&amp;","</f>
        <v>Madame, Monsieur,</v>
      </c>
      <c r="C10055" s="10"/>
      <c r="D10055" s="10"/>
      <c r="E10055" s="10"/>
      <c r="F10055" s="10"/>
      <c r="J10055" s="25"/>
      <c r="K10055" s="25"/>
      <c r="L10055" s="25"/>
      <c r="M10055" s="25"/>
      <c r="N10055" s="25"/>
      <c r="O10055" s="25"/>
    </row>
    <row r="10056" customFormat="false" ht="6" hidden="false" customHeight="true" outlineLevel="0" collapsed="false">
      <c r="B10056" s="10"/>
      <c r="C10056" s="10"/>
      <c r="D10056" s="10"/>
      <c r="E10056" s="10"/>
      <c r="F10056" s="10"/>
      <c r="J10056" s="25"/>
      <c r="K10056" s="25"/>
      <c r="L10056" s="25"/>
      <c r="M10056" s="25"/>
      <c r="N10056" s="25"/>
      <c r="O10056" s="25"/>
    </row>
    <row r="10057" customFormat="false" ht="36.75" hidden="false" customHeight="true" outlineLevel="0" collapsed="false">
      <c r="B10057" s="37" t="str">
        <f aca="false">SUBSTITUTE(SUBSTITUTE(SUBSTITUTE(SUBSTITUTE(SUBSTITUTE(Txt_P1,"{cabinet}",Cab_Nom),"{societe}",IF($K$10036=0,"",INDEX(Clients!$E$2:$E$501,$K$10036)&amp;"")),"{date_effet}",$K$10038),"{hausse}",$K$10039),"{civilite}",$K$10037)</f>
        <v>Nous tenons tout d'abord à vous remercier pour la confiance que vous accordez à ALTHO EXPERTISE. Comme chaque année, et conformément aux dispositions de votre lettre de mission, nous procédons à la révision de nos honoraires.</v>
      </c>
      <c r="C10057" s="37"/>
      <c r="D10057" s="37"/>
      <c r="E10057" s="37"/>
      <c r="F10057" s="37"/>
      <c r="J10057" s="25"/>
      <c r="K10057" s="25"/>
      <c r="L10057" s="25"/>
      <c r="M10057" s="25"/>
      <c r="N10057" s="25"/>
      <c r="O10057" s="25"/>
    </row>
    <row r="10058" customFormat="false" ht="49.5" hidden="false" customHeight="true" outlineLevel="0" collapsed="false">
      <c r="B10058" s="37" t="str">
        <f aca="false">SUBSTITUTE(SUBSTITUTE(SUBSTITUTE(SUBSTITUTE(SUBSTITUTE(Txt_P2,"{cabinet}",Cab_Nom),"{societe}",IF($K$10036=0,"",INDEX(Clients!$E$2:$E$501,$K$10036)&amp;"")),"{date_effet}",$K$10038),"{hausse}",$K$10039),"{civilite}",$K$10037)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058" s="37"/>
      <c r="D10058" s="37"/>
      <c r="E10058" s="37"/>
      <c r="F10058" s="37"/>
      <c r="J10058" s="25"/>
      <c r="K10058" s="25"/>
      <c r="L10058" s="25"/>
      <c r="M10058" s="25"/>
      <c r="N10058" s="25"/>
      <c r="O10058" s="25"/>
    </row>
    <row r="10059" customFormat="false" ht="63" hidden="false" customHeight="true" outlineLevel="0" collapsed="false">
      <c r="B10059" s="37" t="str">
        <f aca="false">SUBSTITUTE(SUBSTITUTE(SUBSTITUTE(SUBSTITUTE(SUBSTITUTE(Txt_P3,"{cabinet}",Cab_Nom),"{societe}",IF($K$10036=0,"",INDEX(Clients!$E$2:$E$501,$K$10036)&amp;"")),"{date_effet}",$K$10038),"{hausse}",$K$10039),"{civilite}",$K$10037)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059" s="37"/>
      <c r="D10059" s="37"/>
      <c r="E10059" s="37"/>
      <c r="F10059" s="37"/>
      <c r="J10059" s="25"/>
      <c r="K10059" s="25"/>
      <c r="L10059" s="25"/>
      <c r="M10059" s="25"/>
      <c r="N10059" s="25"/>
      <c r="O10059" s="25"/>
    </row>
    <row r="10060" customFormat="false" ht="24" hidden="false" customHeight="true" outlineLevel="0" collapsed="false">
      <c r="B10060" s="37" t="str">
        <f aca="false">SUBSTITUTE(SUBSTITUTE(SUBSTITUTE(SUBSTITUTE(SUBSTITUTE(Txt_P4,"{cabinet}",Cab_Nom),"{societe}",IF($K$10036=0,"",INDEX(Clients!$E$2:$E$501,$K$10036)&amp;"")),"{date_effet}",$K$10038),"{hausse}",$K$10039),"{civilite}",$K$10037)</f>
        <v>À compter du 1er janvier 2027, vos honoraires annuels hors taxes évolueront ainsi (évolution globale : ) :</v>
      </c>
      <c r="C10060" s="37"/>
      <c r="D10060" s="37"/>
      <c r="E10060" s="37"/>
      <c r="F10060" s="37"/>
      <c r="J10060" s="25"/>
      <c r="K10060" s="25"/>
      <c r="L10060" s="25"/>
      <c r="M10060" s="25"/>
      <c r="N10060" s="25"/>
      <c r="O10060" s="25"/>
    </row>
    <row r="10061" customFormat="false" ht="3.75" hidden="false" customHeight="true" outlineLevel="0" collapsed="false">
      <c r="B10061" s="10"/>
      <c r="C10061" s="10"/>
      <c r="D10061" s="10"/>
      <c r="E10061" s="10"/>
      <c r="F10061" s="10"/>
      <c r="J10061" s="25"/>
      <c r="K10061" s="25"/>
      <c r="L10061" s="25"/>
      <c r="M10061" s="25"/>
      <c r="N10061" s="25"/>
      <c r="O10061" s="25"/>
    </row>
    <row r="10062" customFormat="false" ht="18" hidden="false" customHeight="true" outlineLevel="0" collapsed="false">
      <c r="B10062" s="38" t="s">
        <v>148</v>
      </c>
      <c r="C10062" s="39" t="s">
        <v>149</v>
      </c>
      <c r="D10062" s="39" t="s">
        <v>150</v>
      </c>
      <c r="E10062" s="39" t="s">
        <v>151</v>
      </c>
      <c r="F10062" s="39" t="s">
        <v>109</v>
      </c>
      <c r="J10062" s="25" t="s">
        <v>152</v>
      </c>
      <c r="K10062" s="25" t="s">
        <v>153</v>
      </c>
      <c r="L10062" s="25" t="s">
        <v>154</v>
      </c>
      <c r="M10062" s="25" t="s">
        <v>155</v>
      </c>
      <c r="N10062" s="25" t="s">
        <v>156</v>
      </c>
      <c r="O10062" s="25" t="s">
        <v>157</v>
      </c>
    </row>
    <row r="10063" customFormat="false" ht="16.5" hidden="false" customHeight="true" outlineLevel="0" collapsed="false">
      <c r="B10063" s="40" t="str">
        <f aca="false">IFERROR(INDEX($J$10063:$J$10066,MATCH($O10063,$N$10063:$N$10066,0)),"")</f>
        <v/>
      </c>
      <c r="C10063" s="41" t="str">
        <f aca="false">IFERROR(INDEX($K$10063:$K$10066,MATCH($O10063,$N$10063:$N$10066,0)),"")</f>
        <v/>
      </c>
      <c r="D10063" s="42" t="str">
        <f aca="false">IF(OR(E10063="",N(C10063)=0),"",E10063/C10063-1)</f>
        <v/>
      </c>
      <c r="E10063" s="41" t="str">
        <f aca="false">IFERROR(INDEX($L$10063:$L$10066,MATCH($O10063,$N$10063:$N$10066,0)),"")</f>
        <v/>
      </c>
      <c r="F10063" s="41" t="str">
        <f aca="false">IF(E10063="","",E10063-C10063)</f>
        <v/>
      </c>
      <c r="J10063" s="25" t="str">
        <f aca="false">Lib_Compta</f>
        <v>Mission comptable (tenue, révision, bilan, liasse fiscale)</v>
      </c>
      <c r="K10063" s="25" t="n">
        <f aca="false">IF($K$10036=0,0,N(INDEX(Clients!$K$2:$K$501,$K$10036)))</f>
        <v>0</v>
      </c>
      <c r="L10063" s="25" t="n">
        <f aca="false">IF($K$10036=0,0,N(INDEX(Clients!$P$2:$P$501,$K$10036)))</f>
        <v>0</v>
      </c>
      <c r="M10063" s="25" t="n">
        <f aca="false">IF(OR(K10063&lt;&gt;0,L10063&lt;&gt;0),1,0)</f>
        <v>0</v>
      </c>
      <c r="N10063" s="25" t="str">
        <f aca="false">IF(M10063=1,SUM($M$10063:M10063),"")</f>
        <v/>
      </c>
      <c r="O10063" s="25" t="n">
        <v>1</v>
      </c>
    </row>
    <row r="10064" customFormat="false" ht="16.5" hidden="false" customHeight="true" outlineLevel="0" collapsed="false">
      <c r="B10064" s="40" t="str">
        <f aca="false">IFERROR(INDEX($J$10063:$J$10066,MATCH($O10064,$N$10063:$N$10066,0)),"")</f>
        <v/>
      </c>
      <c r="C10064" s="41" t="str">
        <f aca="false">IFERROR(INDEX($K$10063:$K$10066,MATCH($O10064,$N$10063:$N$10066,0)),"")</f>
        <v/>
      </c>
      <c r="D10064" s="42" t="str">
        <f aca="false">IF(OR(E10064="",N(C10064)=0),"",E10064/C10064-1)</f>
        <v/>
      </c>
      <c r="E10064" s="41" t="str">
        <f aca="false">IFERROR(INDEX($L$10063:$L$10066,MATCH($O10064,$N$10063:$N$10066,0)),"")</f>
        <v/>
      </c>
      <c r="F10064" s="41" t="str">
        <f aca="false">IF(E10064="","",E10064-C10064)</f>
        <v/>
      </c>
      <c r="J10064" s="25" t="str">
        <f aca="false">Lib_Paye</f>
        <v>Mission sociale (bulletins de paie, DSN, déclarations sociales)</v>
      </c>
      <c r="K10064" s="25" t="n">
        <f aca="false">IF($K$10036=0,0,N(INDEX(Clients!$L$2:$L$501,$K$10036)))</f>
        <v>0</v>
      </c>
      <c r="L10064" s="25" t="n">
        <f aca="false">IF($K$10036=0,0,N(INDEX(Clients!$Q$2:$Q$501,$K$10036)))</f>
        <v>0</v>
      </c>
      <c r="M10064" s="25" t="n">
        <f aca="false">IF(OR(K10064&lt;&gt;0,L10064&lt;&gt;0),1,0)</f>
        <v>0</v>
      </c>
      <c r="N10064" s="25" t="str">
        <f aca="false">IF(M10064=1,SUM($M$10063:M10064),"")</f>
        <v/>
      </c>
      <c r="O10064" s="25" t="n">
        <v>2</v>
      </c>
    </row>
    <row r="10065" customFormat="false" ht="16.5" hidden="false" customHeight="true" outlineLevel="0" collapsed="false">
      <c r="B10065" s="40" t="str">
        <f aca="false">IFERROR(INDEX($J$10063:$J$10066,MATCH($O10065,$N$10063:$N$10066,0)),"")</f>
        <v/>
      </c>
      <c r="C10065" s="41" t="str">
        <f aca="false">IFERROR(INDEX($K$10063:$K$10066,MATCH($O10065,$N$10063:$N$10066,0)),"")</f>
        <v/>
      </c>
      <c r="D10065" s="42" t="str">
        <f aca="false">IF(OR(E10065="",N(C10065)=0),"",E10065/C10065-1)</f>
        <v/>
      </c>
      <c r="E10065" s="41" t="str">
        <f aca="false">IFERROR(INDEX($L$10063:$L$10066,MATCH($O10065,$N$10063:$N$10066,0)),"")</f>
        <v/>
      </c>
      <c r="F10065" s="41" t="str">
        <f aca="false">IF(E10065="","",E10065-C10065)</f>
        <v/>
      </c>
      <c r="J10065" s="25" t="str">
        <f aca="false">Lib_Jur</f>
        <v>Mission juridique (approbation des comptes, secrétariat juridique)</v>
      </c>
      <c r="K10065" s="25" t="n">
        <f aca="false">IF($K$10036=0,0,N(INDEX(Clients!$M$2:$M$501,$K$10036)))</f>
        <v>0</v>
      </c>
      <c r="L10065" s="25" t="n">
        <f aca="false">IF($K$10036=0,0,N(INDEX(Clients!$R$2:$R$501,$K$10036)))</f>
        <v>0</v>
      </c>
      <c r="M10065" s="25" t="n">
        <f aca="false">IF(OR(K10065&lt;&gt;0,L10065&lt;&gt;0),1,0)</f>
        <v>0</v>
      </c>
      <c r="N10065" s="25" t="str">
        <f aca="false">IF(M10065=1,SUM($M$10063:M10065),"")</f>
        <v/>
      </c>
      <c r="O10065" s="25" t="n">
        <v>3</v>
      </c>
    </row>
    <row r="10066" customFormat="false" ht="16.5" hidden="false" customHeight="true" outlineLevel="0" collapsed="false">
      <c r="B10066" s="40" t="str">
        <f aca="false">IFERROR(INDEX($J$10063:$J$10066,MATCH($O10066,$N$10063:$N$10066,0)),"")</f>
        <v/>
      </c>
      <c r="C10066" s="41" t="str">
        <f aca="false">IFERROR(INDEX($K$10063:$K$10066,MATCH($O10066,$N$10063:$N$10066,0)),"")</f>
        <v/>
      </c>
      <c r="D10066" s="42" t="str">
        <f aca="false">IF(OR(E10066="",N(C10066)=0),"",E10066/C10066-1)</f>
        <v/>
      </c>
      <c r="E10066" s="41" t="str">
        <f aca="false">IFERROR(INDEX($L$10063:$L$10066,MATCH($O10066,$N$10063:$N$10066,0)),"")</f>
        <v/>
      </c>
      <c r="F10066" s="41" t="str">
        <f aca="false">IF(E10066="","",E10066-C10066)</f>
        <v/>
      </c>
      <c r="J10066" s="25" t="str">
        <f aca="false">Lib_PA</f>
        <v>Plateforme agréée – facturation électronique</v>
      </c>
      <c r="K10066" s="25" t="n">
        <f aca="false">IF($K$10036=0,0,N(INDEX(Clients!$N$2:$N$501,$K$10036)))</f>
        <v>0</v>
      </c>
      <c r="L10066" s="25" t="n">
        <f aca="false">IF($K$10036=0,0,N(INDEX(Clients!$S$2:$S$501,$K$10036)))</f>
        <v>0</v>
      </c>
      <c r="M10066" s="25" t="n">
        <f aca="false">IF(OR(K10066&lt;&gt;0,L10066&lt;&gt;0),1,0)</f>
        <v>0</v>
      </c>
      <c r="N10066" s="25" t="str">
        <f aca="false">IF(M10066=1,SUM($M$10063:M10066),"")</f>
        <v/>
      </c>
      <c r="O10066" s="25" t="n">
        <v>4</v>
      </c>
    </row>
    <row r="10067" customFormat="false" ht="18" hidden="false" customHeight="true" outlineLevel="0" collapsed="false">
      <c r="B10067" s="43" t="s">
        <v>158</v>
      </c>
      <c r="C10067" s="44" t="n">
        <f aca="false">SUM(K10063:K10066)</f>
        <v>0</v>
      </c>
      <c r="D10067" s="45" t="str">
        <f aca="false">IF(N(C10067)=0,"",E10067/C10067-1)</f>
        <v/>
      </c>
      <c r="E10067" s="44" t="n">
        <f aca="false">SUM(L10063:L10066)</f>
        <v>0</v>
      </c>
      <c r="F10067" s="44" t="n">
        <f aca="false">E10067-C10067</f>
        <v>0</v>
      </c>
    </row>
    <row r="10068" customFormat="false" ht="15" hidden="false" customHeight="false" outlineLevel="0" collapsed="false">
      <c r="B10068" s="46" t="str">
        <f aca="false">IF(N(Nb_Mensualites)=0,"","Soit "&amp;FIXED(E10067/Nb_Mensualites,2)&amp;" € HT par échéance ("&amp;Nb_Mensualites&amp;" échéances), "&amp;FIXED(E10067/Nb_Mensualites*(1+Taux_TVA),2)&amp;" € TTC.")</f>
        <v>Soit 0.00 € HT par échéance (12 échéances), 0.00 € TTC.</v>
      </c>
      <c r="C10068" s="46"/>
      <c r="D10068" s="46"/>
      <c r="E10068" s="46"/>
      <c r="F10068" s="46"/>
    </row>
    <row r="10069" customFormat="false" ht="7.5" hidden="false" customHeight="true" outlineLevel="0" collapsed="false">
      <c r="B10069" s="10"/>
      <c r="C10069" s="10"/>
      <c r="D10069" s="10"/>
      <c r="E10069" s="10"/>
      <c r="F10069" s="10"/>
    </row>
    <row r="10070" customFormat="false" ht="36.75" hidden="false" customHeight="true" outlineLevel="0" collapsed="false">
      <c r="B10070" s="37" t="str">
        <f aca="false">SUBSTITUTE(SUBSTITUTE(SUBSTITUTE(SUBSTITUTE(SUBSTITUTE(Txt_P5,"{cabinet}",Cab_Nom),"{societe}",IF($K$10036=0,"",INDEX(Clients!$E$2:$E$501,$K$10036)&amp;"")),"{date_effet}",$K$10038),"{hausse}",$K$10039),"{civilite}",$K$10037)</f>
        <v>Les autres conditions de votre lettre de mission demeurent inchangées. Les nouveaux montants seront appliqués automatiquement sur vos prochaines factures et échéances de prélèvement.</v>
      </c>
      <c r="C10070" s="37"/>
      <c r="D10070" s="37"/>
      <c r="E10070" s="37"/>
      <c r="F10070" s="37"/>
    </row>
    <row r="10071" customFormat="false" ht="36.75" hidden="false" customHeight="true" outlineLevel="0" collapsed="false">
      <c r="B10071" s="37" t="str">
        <f aca="false">SUBSTITUTE(SUBSTITUTE(SUBSTITUTE(SUBSTITUTE(SUBSTITUTE(Txt_P6,"{cabinet}",Cab_Nom),"{societe}",IF($K$10036=0,"",INDEX(Clients!$E$2:$E$501,$K$10036)&amp;"")),"{date_effet}",$K$10038),"{hausse}",$K$10039),"{civilite}",$K$10037)</f>
        <v>Votre interlocuteur habituel reste à votre entière disposition pour répondre à vos questions et faire le point sur l'évolution de vos besoins.</v>
      </c>
      <c r="C10071" s="37"/>
      <c r="D10071" s="37"/>
      <c r="E10071" s="37"/>
      <c r="F10071" s="37"/>
    </row>
    <row r="10072" customFormat="false" ht="24" hidden="false" customHeight="true" outlineLevel="0" collapsed="false">
      <c r="B10072" s="37" t="str">
        <f aca="false">SUBSTITUTE(SUBSTITUTE(SUBSTITUTE(SUBSTITUTE(SUBSTITUTE(Txt_Politesse,"{cabinet}",Cab_Nom),"{societe}",IF($K$10036=0,"",INDEX(Clients!$E$2:$E$501,$K$10036)&amp;"")),"{date_effet}",$K$10038),"{hausse}",$K$10039),"{civilite}",$K$10037)</f>
        <v>Nous vous prions d'agréer, Madame, Monsieur, l'expression de nos salutations distinguées.</v>
      </c>
      <c r="C10072" s="37"/>
      <c r="D10072" s="37"/>
      <c r="E10072" s="37"/>
      <c r="F10072" s="37"/>
    </row>
    <row r="10073" customFormat="false" ht="15" hidden="false" customHeight="false" outlineLevel="0" collapsed="false">
      <c r="B10073" s="10"/>
      <c r="C10073" s="10"/>
      <c r="D10073" s="10"/>
      <c r="E10073" s="10"/>
      <c r="F10073" s="10"/>
    </row>
    <row r="10074" customFormat="false" ht="15" hidden="false" customHeight="false" outlineLevel="0" collapsed="false">
      <c r="B10074" s="10"/>
      <c r="C10074" s="10"/>
      <c r="D10074" s="34" t="str">
        <f aca="false">Signataire</f>
        <v>Prénom NOM</v>
      </c>
      <c r="E10074" s="34"/>
      <c r="F10074" s="34"/>
    </row>
    <row r="10075" customFormat="false" ht="15" hidden="false" customHeight="false" outlineLevel="0" collapsed="false">
      <c r="B10075" s="10"/>
      <c r="C10075" s="10"/>
      <c r="D10075" s="47" t="str">
        <f aca="false">Signataire_Titre</f>
        <v>Expert-comptable associé</v>
      </c>
      <c r="E10075" s="47"/>
      <c r="F10075" s="47"/>
    </row>
    <row r="10076" customFormat="false" ht="15.75" hidden="false" customHeight="true" outlineLevel="0" collapsed="false">
      <c r="B10076" s="10"/>
      <c r="C10076" s="10"/>
      <c r="D10076" s="10"/>
      <c r="E10076" s="10"/>
      <c r="F10076" s="10"/>
    </row>
    <row r="10077" customFormat="false" ht="15.75" hidden="false" customHeight="true" outlineLevel="0" collapsed="false">
      <c r="B10077" s="10"/>
      <c r="C10077" s="10"/>
      <c r="D10077" s="10"/>
      <c r="E10077" s="10"/>
      <c r="F10077" s="10"/>
    </row>
    <row r="10078" customFormat="false" ht="15.75" hidden="false" customHeight="true" outlineLevel="0" collapsed="false">
      <c r="B10078" s="10"/>
      <c r="C10078" s="10"/>
      <c r="D10078" s="10"/>
      <c r="E10078" s="10"/>
      <c r="F10078" s="10"/>
    </row>
    <row r="10079" customFormat="false" ht="15.75" hidden="false" customHeight="true" outlineLevel="0" collapsed="false">
      <c r="B10079" s="10"/>
      <c r="C10079" s="10"/>
      <c r="D10079" s="10"/>
      <c r="E10079" s="10"/>
      <c r="F10079" s="10"/>
    </row>
    <row r="10080" customFormat="false" ht="24" hidden="false" customHeight="true" outlineLevel="0" collapsed="false">
      <c r="B10080" s="48" t="str">
        <f aca="false">Cab_Mentions</f>
        <v>ALTHO EXPERTISE · SAS au capital de 10 000 € · RCS Pontoise 919 706 325 · TVA FR62919706325 · Société d'expertise comptable inscrite au Tableau de l'Ordre des experts-comptables de Paris Île-de-France</v>
      </c>
      <c r="C10080" s="48"/>
      <c r="D10080" s="48"/>
      <c r="E10080" s="48"/>
      <c r="F10080" s="48"/>
    </row>
    <row r="10081" customFormat="false" ht="15" hidden="false" customHeight="false" outlineLevel="0" collapsed="false">
      <c r="B10081" s="10"/>
      <c r="C10081" s="10"/>
      <c r="D10081" s="10"/>
      <c r="E10081" s="10"/>
      <c r="F10081" s="10"/>
      <c r="J10081" s="25" t="s">
        <v>142</v>
      </c>
      <c r="K10081" s="25" t="n">
        <f aca="false">IFERROR(MATCH(225,Clients!$Z$2:$Z$501,0),0)</f>
        <v>0</v>
      </c>
      <c r="L10081" s="25"/>
      <c r="M10081" s="25"/>
      <c r="N10081" s="25"/>
      <c r="O10081" s="25"/>
    </row>
    <row r="10082" customFormat="false" ht="21.75" hidden="false" customHeight="true" outlineLevel="0" collapsed="false">
      <c r="B10082" s="26" t="str">
        <f aca="false">Cab_Nom</f>
        <v>ALTHO EXPERTISE</v>
      </c>
      <c r="C10082" s="26"/>
      <c r="D10082" s="10"/>
      <c r="E10082" s="27" t="str">
        <f aca="false">IF($K$10081=0,"","Réf. client : "&amp;INDEX(Clients!$A$2:$A$501,$K$10081))</f>
        <v/>
      </c>
      <c r="F10082" s="27"/>
      <c r="J10082" s="25" t="s">
        <v>144</v>
      </c>
      <c r="K10082" s="25" t="str">
        <f aca="false">IF(IF($K$10081=0,"",INDEX(Clients!$B$2:$B$501,$K$10081)&amp;"")="Mme","Madame",IF(IF($K$10081=0,"",INDEX(Clients!$B$2:$B$501,$K$10081)&amp;"")="M.","Monsieur","Madame, Monsieur"))</f>
        <v>Madame, Monsieur</v>
      </c>
      <c r="L10082" s="25"/>
      <c r="M10082" s="25"/>
      <c r="N10082" s="25"/>
      <c r="O10082" s="25"/>
    </row>
    <row r="10083" customFormat="false" ht="15" hidden="false" customHeight="false" outlineLevel="0" collapsed="false">
      <c r="B10083" s="29" t="str">
        <f aca="false">Cab_Adr1</f>
        <v>141 rue Charles de Gaulle</v>
      </c>
      <c r="C10083" s="29"/>
      <c r="D10083" s="10"/>
      <c r="E10083" s="10"/>
      <c r="F10083" s="10"/>
      <c r="J10083" s="25" t="s">
        <v>145</v>
      </c>
      <c r="K10083" s="25" t="str">
        <f aca="false">DAY(Date_Effet)&amp;IF(DAY(Date_Effet)=1,"er","")&amp;" "&amp;INDEX(Liste_Mois,MONTH(Date_Effet))&amp;" "&amp;YEAR(Date_Effet)</f>
        <v>1er janvier 2027</v>
      </c>
      <c r="L10083" s="25"/>
      <c r="M10083" s="25"/>
      <c r="N10083" s="25"/>
      <c r="O10083" s="25"/>
    </row>
    <row r="10084" customFormat="false" ht="15" hidden="false" customHeight="false" outlineLevel="0" collapsed="false">
      <c r="B10084" s="29" t="str">
        <f aca="false">Cab_CPVille</f>
        <v>95130 LE PLESSIS-BOUCHARD</v>
      </c>
      <c r="C10084" s="29"/>
      <c r="D10084" s="10"/>
      <c r="E10084" s="10"/>
      <c r="F10084" s="10"/>
      <c r="J10084" s="25" t="s">
        <v>146</v>
      </c>
      <c r="K10084" s="25" t="str">
        <f aca="false">IF(SUM($K$10108:$K$10111)=0,"",FIXED((SUM($L$10108:$L$10111)/SUM($K$10108:$K$10111)-1)*100,1)&amp;" %")</f>
        <v/>
      </c>
      <c r="L10084" s="25"/>
      <c r="M10084" s="25"/>
      <c r="N10084" s="25"/>
      <c r="O10084" s="25"/>
    </row>
    <row r="10085" customFormat="false" ht="15" hidden="false" customHeight="false" outlineLevel="0" collapsed="false">
      <c r="B10085" s="29" t="str">
        <f aca="false">Cab_Contact</f>
        <v>Tél. 01 34 14 53 45  ·  altho@altho-experts.com  ·  altho-experts.com</v>
      </c>
      <c r="C10085" s="29"/>
      <c r="D10085" s="10"/>
      <c r="E10085" s="10"/>
      <c r="F10085" s="10"/>
      <c r="J10085" s="25"/>
      <c r="K10085" s="25"/>
      <c r="L10085" s="25"/>
      <c r="M10085" s="25"/>
      <c r="N10085" s="25"/>
      <c r="O10085" s="25"/>
    </row>
    <row r="10086" customFormat="false" ht="6" hidden="false" customHeight="true" outlineLevel="0" collapsed="false">
      <c r="B10086" s="32"/>
      <c r="C10086" s="32"/>
      <c r="D10086" s="32"/>
      <c r="E10086" s="32"/>
      <c r="F10086" s="32"/>
      <c r="J10086" s="25"/>
      <c r="K10086" s="25"/>
      <c r="L10086" s="25"/>
      <c r="M10086" s="25"/>
      <c r="N10086" s="25"/>
      <c r="O10086" s="25"/>
    </row>
    <row r="10087" customFormat="false" ht="13.5" hidden="false" customHeight="true" outlineLevel="0" collapsed="false">
      <c r="B10087" s="10"/>
      <c r="C10087" s="10"/>
      <c r="D10087" s="10"/>
      <c r="E10087" s="10"/>
      <c r="F10087" s="10"/>
      <c r="J10087" s="25"/>
      <c r="K10087" s="25"/>
      <c r="L10087" s="25"/>
      <c r="M10087" s="25"/>
      <c r="N10087" s="25"/>
      <c r="O10087" s="25"/>
    </row>
    <row r="10088" customFormat="false" ht="13.5" hidden="false" customHeight="true" outlineLevel="0" collapsed="false">
      <c r="B10088" s="10"/>
      <c r="C10088" s="10"/>
      <c r="D10088" s="10"/>
      <c r="E10088" s="10"/>
      <c r="F10088" s="10"/>
      <c r="J10088" s="25"/>
      <c r="K10088" s="25"/>
      <c r="L10088" s="25"/>
      <c r="M10088" s="25"/>
      <c r="N10088" s="25"/>
      <c r="O10088" s="25"/>
    </row>
    <row r="10089" customFormat="false" ht="13.5" hidden="false" customHeight="true" outlineLevel="0" collapsed="false">
      <c r="B10089" s="10"/>
      <c r="C10089" s="10"/>
      <c r="D10089" s="10"/>
      <c r="E10089" s="10"/>
      <c r="F10089" s="10"/>
      <c r="J10089" s="25"/>
      <c r="K10089" s="25"/>
      <c r="L10089" s="25"/>
      <c r="M10089" s="25"/>
      <c r="N10089" s="25"/>
      <c r="O10089" s="25"/>
    </row>
    <row r="10090" customFormat="false" ht="15" hidden="false" customHeight="true" outlineLevel="0" collapsed="false">
      <c r="B10090" s="10"/>
      <c r="C10090" s="10"/>
      <c r="D10090" s="34" t="str">
        <f aca="false">IF($K$10081=0,"",INDEX(Clients!$E$2:$E$501,$K$10081)&amp;"")</f>
        <v/>
      </c>
      <c r="E10090" s="34"/>
      <c r="F10090" s="34"/>
      <c r="J10090" s="25"/>
      <c r="K10090" s="25"/>
      <c r="L10090" s="25"/>
      <c r="M10090" s="25"/>
      <c r="N10090" s="25"/>
      <c r="O10090" s="25"/>
    </row>
    <row r="10091" customFormat="false" ht="15" hidden="false" customHeight="true" outlineLevel="0" collapsed="false">
      <c r="B10091" s="10"/>
      <c r="C10091" s="10"/>
      <c r="D10091" s="35" t="str">
        <f aca="false">IF(IF($K$10081=0,"",INDEX(Clients!$D$2:$D$501,$K$10081)&amp;"")="","","À l'attention de "&amp;TRIM(IF($K$10081=0,"",INDEX(Clients!$B$2:$B$501,$K$10081)&amp;"")&amp;" "&amp;IF($K$10081=0,"",INDEX(Clients!$C$2:$C$501,$K$10081)&amp;"")&amp;" "&amp;IF($K$10081=0,"",INDEX(Clients!$D$2:$D$501,$K$10081)&amp;"")))</f>
        <v/>
      </c>
      <c r="E10091" s="35"/>
      <c r="F10091" s="35"/>
      <c r="J10091" s="25"/>
      <c r="K10091" s="25"/>
      <c r="L10091" s="25"/>
      <c r="M10091" s="25"/>
      <c r="N10091" s="25"/>
      <c r="O10091" s="25"/>
    </row>
    <row r="10092" customFormat="false" ht="15" hidden="false" customHeight="true" outlineLevel="0" collapsed="false">
      <c r="B10092" s="10"/>
      <c r="C10092" s="10"/>
      <c r="D10092" s="35" t="str">
        <f aca="false">IF($K$10081=0,"",INDEX(Clients!$F$2:$F$501,$K$10081)&amp;"")</f>
        <v/>
      </c>
      <c r="E10092" s="35"/>
      <c r="F10092" s="35"/>
      <c r="J10092" s="25"/>
      <c r="K10092" s="25"/>
      <c r="L10092" s="25"/>
      <c r="M10092" s="25"/>
      <c r="N10092" s="25"/>
      <c r="O10092" s="25"/>
    </row>
    <row r="10093" customFormat="false" ht="15" hidden="false" customHeight="true" outlineLevel="0" collapsed="false">
      <c r="B10093" s="10"/>
      <c r="C10093" s="10"/>
      <c r="D10093" s="35" t="str">
        <f aca="false">IF(IF($K$10081=0,"",INDEX(Clients!$G$2:$G$501,$K$10081)&amp;"")="",TRIM(IF($K$10081=0,"",INDEX(Clients!$H$2:$H$501,$K$10081)&amp;"")&amp;" "&amp;UPPER(IF($K$10081=0,"",INDEX(Clients!$I$2:$I$501,$K$10081)&amp;""))),IF($K$10081=0,"",INDEX(Clients!$G$2:$G$501,$K$10081)&amp;""))</f>
        <v/>
      </c>
      <c r="E10093" s="35"/>
      <c r="F10093" s="35"/>
      <c r="J10093" s="25"/>
      <c r="K10093" s="25"/>
      <c r="L10093" s="25"/>
      <c r="M10093" s="25"/>
      <c r="N10093" s="25"/>
      <c r="O10093" s="25"/>
    </row>
    <row r="10094" customFormat="false" ht="15" hidden="false" customHeight="true" outlineLevel="0" collapsed="false">
      <c r="B10094" s="10"/>
      <c r="C10094" s="10"/>
      <c r="D10094" s="35" t="str">
        <f aca="false">IF(IF($K$10081=0,"",INDEX(Clients!$G$2:$G$501,$K$10081)&amp;"")="","",TRIM(IF($K$10081=0,"",INDEX(Clients!$H$2:$H$501,$K$10081)&amp;"")&amp;" "&amp;UPPER(IF($K$10081=0,"",INDEX(Clients!$I$2:$I$501,$K$10081)&amp;""))))</f>
        <v/>
      </c>
      <c r="E10094" s="35"/>
      <c r="F10094" s="35"/>
      <c r="J10094" s="25"/>
      <c r="K10094" s="25"/>
      <c r="L10094" s="25"/>
      <c r="M10094" s="25"/>
      <c r="N10094" s="25"/>
      <c r="O10094" s="25"/>
    </row>
    <row r="10095" customFormat="false" ht="25.5" hidden="false" customHeight="true" outlineLevel="0" collapsed="false">
      <c r="B10095" s="10"/>
      <c r="C10095" s="10"/>
      <c r="D10095" s="10"/>
      <c r="E10095" s="10"/>
      <c r="F10095" s="10"/>
      <c r="J10095" s="25"/>
      <c r="K10095" s="25"/>
      <c r="L10095" s="25"/>
      <c r="M10095" s="25"/>
      <c r="N10095" s="25"/>
      <c r="O10095" s="25"/>
    </row>
    <row r="10096" customFormat="false" ht="15" hidden="false" customHeight="false" outlineLevel="0" collapsed="false">
      <c r="B10096" s="10"/>
      <c r="C10096" s="10"/>
      <c r="D10096" s="36" t="str">
        <f aca="false">Cab_Ville&amp;", le "&amp;DAY(Date_Courrier)&amp;IF(DAY(Date_Courrier)=1,"er","")&amp;" "&amp;INDEX(Liste_Mois,MONTH(Date_Courrier))&amp;" "&amp;YEAR(Date_Courrier)</f>
        <v>Le Plessis-Bouchard, le 22 septembre 2026</v>
      </c>
      <c r="E10096" s="36"/>
      <c r="F10096" s="36"/>
      <c r="J10096" s="25"/>
      <c r="K10096" s="25"/>
      <c r="L10096" s="25"/>
      <c r="M10096" s="25"/>
      <c r="N10096" s="25"/>
      <c r="O10096" s="25"/>
    </row>
    <row r="10097" customFormat="false" ht="19.5" hidden="false" customHeight="true" outlineLevel="0" collapsed="false">
      <c r="B10097" s="10"/>
      <c r="C10097" s="10"/>
      <c r="D10097" s="10"/>
      <c r="E10097" s="10"/>
      <c r="F10097" s="10"/>
      <c r="J10097" s="25"/>
      <c r="K10097" s="25"/>
      <c r="L10097" s="25"/>
      <c r="M10097" s="25"/>
      <c r="N10097" s="25"/>
      <c r="O10097" s="25"/>
    </row>
    <row r="10098" customFormat="false" ht="15" hidden="false" customHeight="false" outlineLevel="0" collapsed="false">
      <c r="B10098" s="34" t="str">
        <f aca="false">SUBSTITUTE(SUBSTITUTE(SUBSTITUTE(SUBSTITUTE(SUBSTITUTE(Txt_Objet,"{cabinet}",Cab_Nom),"{societe}",IF($K$10081=0,"",INDEX(Clients!$E$2:$E$501,$K$10081)&amp;"")),"{date_effet}",$K$10083),"{hausse}",$K$10084),"{civilite}",$K$10082)</f>
        <v>Objet : révision de nos honoraires au 1er janvier 2027</v>
      </c>
      <c r="C10098" s="34"/>
      <c r="D10098" s="34"/>
      <c r="E10098" s="34"/>
      <c r="F10098" s="34"/>
      <c r="J10098" s="25"/>
      <c r="K10098" s="25"/>
      <c r="L10098" s="25"/>
      <c r="M10098" s="25"/>
      <c r="N10098" s="25"/>
      <c r="O10098" s="25"/>
    </row>
    <row r="10099" customFormat="false" ht="13.5" hidden="false" customHeight="true" outlineLevel="0" collapsed="false">
      <c r="B10099" s="10"/>
      <c r="C10099" s="10"/>
      <c r="D10099" s="10"/>
      <c r="E10099" s="10"/>
      <c r="F10099" s="10"/>
      <c r="J10099" s="25"/>
      <c r="K10099" s="25"/>
      <c r="L10099" s="25"/>
      <c r="M10099" s="25"/>
      <c r="N10099" s="25"/>
      <c r="O10099" s="25"/>
    </row>
    <row r="10100" customFormat="false" ht="15" hidden="false" customHeight="false" outlineLevel="0" collapsed="false">
      <c r="B10100" s="10" t="str">
        <f aca="false">$K$10082&amp;","</f>
        <v>Madame, Monsieur,</v>
      </c>
      <c r="C10100" s="10"/>
      <c r="D10100" s="10"/>
      <c r="E10100" s="10"/>
      <c r="F10100" s="10"/>
      <c r="J10100" s="25"/>
      <c r="K10100" s="25"/>
      <c r="L10100" s="25"/>
      <c r="M10100" s="25"/>
      <c r="N10100" s="25"/>
      <c r="O10100" s="25"/>
    </row>
    <row r="10101" customFormat="false" ht="6" hidden="false" customHeight="true" outlineLevel="0" collapsed="false">
      <c r="B10101" s="10"/>
      <c r="C10101" s="10"/>
      <c r="D10101" s="10"/>
      <c r="E10101" s="10"/>
      <c r="F10101" s="10"/>
      <c r="J10101" s="25"/>
      <c r="K10101" s="25"/>
      <c r="L10101" s="25"/>
      <c r="M10101" s="25"/>
      <c r="N10101" s="25"/>
      <c r="O10101" s="25"/>
    </row>
    <row r="10102" customFormat="false" ht="36.75" hidden="false" customHeight="true" outlineLevel="0" collapsed="false">
      <c r="B10102" s="37" t="str">
        <f aca="false">SUBSTITUTE(SUBSTITUTE(SUBSTITUTE(SUBSTITUTE(SUBSTITUTE(Txt_P1,"{cabinet}",Cab_Nom),"{societe}",IF($K$10081=0,"",INDEX(Clients!$E$2:$E$501,$K$10081)&amp;"")),"{date_effet}",$K$10083),"{hausse}",$K$10084),"{civilite}",$K$10082)</f>
        <v>Nous tenons tout d'abord à vous remercier pour la confiance que vous accordez à ALTHO EXPERTISE. Comme chaque année, et conformément aux dispositions de votre lettre de mission, nous procédons à la révision de nos honoraires.</v>
      </c>
      <c r="C10102" s="37"/>
      <c r="D10102" s="37"/>
      <c r="E10102" s="37"/>
      <c r="F10102" s="37"/>
      <c r="J10102" s="25"/>
      <c r="K10102" s="25"/>
      <c r="L10102" s="25"/>
      <c r="M10102" s="25"/>
      <c r="N10102" s="25"/>
      <c r="O10102" s="25"/>
    </row>
    <row r="10103" customFormat="false" ht="49.5" hidden="false" customHeight="true" outlineLevel="0" collapsed="false">
      <c r="B10103" s="37" t="str">
        <f aca="false">SUBSTITUTE(SUBSTITUTE(SUBSTITUTE(SUBSTITUTE(SUBSTITUTE(Txt_P2,"{cabinet}",Cab_Nom),"{societe}",IF($K$10081=0,"",INDEX(Clients!$E$2:$E$501,$K$10081)&amp;"")),"{date_effet}",$K$10083),"{hausse}",$K$10084),"{civilite}",$K$10082)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103" s="37"/>
      <c r="D10103" s="37"/>
      <c r="E10103" s="37"/>
      <c r="F10103" s="37"/>
      <c r="J10103" s="25"/>
      <c r="K10103" s="25"/>
      <c r="L10103" s="25"/>
      <c r="M10103" s="25"/>
      <c r="N10103" s="25"/>
      <c r="O10103" s="25"/>
    </row>
    <row r="10104" customFormat="false" ht="63" hidden="false" customHeight="true" outlineLevel="0" collapsed="false">
      <c r="B10104" s="37" t="str">
        <f aca="false">SUBSTITUTE(SUBSTITUTE(SUBSTITUTE(SUBSTITUTE(SUBSTITUTE(Txt_P3,"{cabinet}",Cab_Nom),"{societe}",IF($K$10081=0,"",INDEX(Clients!$E$2:$E$501,$K$10081)&amp;"")),"{date_effet}",$K$10083),"{hausse}",$K$10084),"{civilite}",$K$10082)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104" s="37"/>
      <c r="D10104" s="37"/>
      <c r="E10104" s="37"/>
      <c r="F10104" s="37"/>
      <c r="J10104" s="25"/>
      <c r="K10104" s="25"/>
      <c r="L10104" s="25"/>
      <c r="M10104" s="25"/>
      <c r="N10104" s="25"/>
      <c r="O10104" s="25"/>
    </row>
    <row r="10105" customFormat="false" ht="24" hidden="false" customHeight="true" outlineLevel="0" collapsed="false">
      <c r="B10105" s="37" t="str">
        <f aca="false">SUBSTITUTE(SUBSTITUTE(SUBSTITUTE(SUBSTITUTE(SUBSTITUTE(Txt_P4,"{cabinet}",Cab_Nom),"{societe}",IF($K$10081=0,"",INDEX(Clients!$E$2:$E$501,$K$10081)&amp;"")),"{date_effet}",$K$10083),"{hausse}",$K$10084),"{civilite}",$K$10082)</f>
        <v>À compter du 1er janvier 2027, vos honoraires annuels hors taxes évolueront ainsi (évolution globale : ) :</v>
      </c>
      <c r="C10105" s="37"/>
      <c r="D10105" s="37"/>
      <c r="E10105" s="37"/>
      <c r="F10105" s="37"/>
      <c r="J10105" s="25"/>
      <c r="K10105" s="25"/>
      <c r="L10105" s="25"/>
      <c r="M10105" s="25"/>
      <c r="N10105" s="25"/>
      <c r="O10105" s="25"/>
    </row>
    <row r="10106" customFormat="false" ht="3.75" hidden="false" customHeight="true" outlineLevel="0" collapsed="false">
      <c r="B10106" s="10"/>
      <c r="C10106" s="10"/>
      <c r="D10106" s="10"/>
      <c r="E10106" s="10"/>
      <c r="F10106" s="10"/>
      <c r="J10106" s="25"/>
      <c r="K10106" s="25"/>
      <c r="L10106" s="25"/>
      <c r="M10106" s="25"/>
      <c r="N10106" s="25"/>
      <c r="O10106" s="25"/>
    </row>
    <row r="10107" customFormat="false" ht="18" hidden="false" customHeight="true" outlineLevel="0" collapsed="false">
      <c r="B10107" s="38" t="s">
        <v>148</v>
      </c>
      <c r="C10107" s="39" t="s">
        <v>149</v>
      </c>
      <c r="D10107" s="39" t="s">
        <v>150</v>
      </c>
      <c r="E10107" s="39" t="s">
        <v>151</v>
      </c>
      <c r="F10107" s="39" t="s">
        <v>109</v>
      </c>
      <c r="J10107" s="25" t="s">
        <v>152</v>
      </c>
      <c r="K10107" s="25" t="s">
        <v>153</v>
      </c>
      <c r="L10107" s="25" t="s">
        <v>154</v>
      </c>
      <c r="M10107" s="25" t="s">
        <v>155</v>
      </c>
      <c r="N10107" s="25" t="s">
        <v>156</v>
      </c>
      <c r="O10107" s="25" t="s">
        <v>157</v>
      </c>
    </row>
    <row r="10108" customFormat="false" ht="16.5" hidden="false" customHeight="true" outlineLevel="0" collapsed="false">
      <c r="B10108" s="40" t="str">
        <f aca="false">IFERROR(INDEX($J$10108:$J$10111,MATCH($O10108,$N$10108:$N$10111,0)),"")</f>
        <v/>
      </c>
      <c r="C10108" s="41" t="str">
        <f aca="false">IFERROR(INDEX($K$10108:$K$10111,MATCH($O10108,$N$10108:$N$10111,0)),"")</f>
        <v/>
      </c>
      <c r="D10108" s="42" t="str">
        <f aca="false">IF(OR(E10108="",N(C10108)=0),"",E10108/C10108-1)</f>
        <v/>
      </c>
      <c r="E10108" s="41" t="str">
        <f aca="false">IFERROR(INDEX($L$10108:$L$10111,MATCH($O10108,$N$10108:$N$10111,0)),"")</f>
        <v/>
      </c>
      <c r="F10108" s="41" t="str">
        <f aca="false">IF(E10108="","",E10108-C10108)</f>
        <v/>
      </c>
      <c r="J10108" s="25" t="str">
        <f aca="false">Lib_Compta</f>
        <v>Mission comptable (tenue, révision, bilan, liasse fiscale)</v>
      </c>
      <c r="K10108" s="25" t="n">
        <f aca="false">IF($K$10081=0,0,N(INDEX(Clients!$K$2:$K$501,$K$10081)))</f>
        <v>0</v>
      </c>
      <c r="L10108" s="25" t="n">
        <f aca="false">IF($K$10081=0,0,N(INDEX(Clients!$P$2:$P$501,$K$10081)))</f>
        <v>0</v>
      </c>
      <c r="M10108" s="25" t="n">
        <f aca="false">IF(OR(K10108&lt;&gt;0,L10108&lt;&gt;0),1,0)</f>
        <v>0</v>
      </c>
      <c r="N10108" s="25" t="str">
        <f aca="false">IF(M10108=1,SUM($M$10108:M10108),"")</f>
        <v/>
      </c>
      <c r="O10108" s="25" t="n">
        <v>1</v>
      </c>
    </row>
    <row r="10109" customFormat="false" ht="16.5" hidden="false" customHeight="true" outlineLevel="0" collapsed="false">
      <c r="B10109" s="40" t="str">
        <f aca="false">IFERROR(INDEX($J$10108:$J$10111,MATCH($O10109,$N$10108:$N$10111,0)),"")</f>
        <v/>
      </c>
      <c r="C10109" s="41" t="str">
        <f aca="false">IFERROR(INDEX($K$10108:$K$10111,MATCH($O10109,$N$10108:$N$10111,0)),"")</f>
        <v/>
      </c>
      <c r="D10109" s="42" t="str">
        <f aca="false">IF(OR(E10109="",N(C10109)=0),"",E10109/C10109-1)</f>
        <v/>
      </c>
      <c r="E10109" s="41" t="str">
        <f aca="false">IFERROR(INDEX($L$10108:$L$10111,MATCH($O10109,$N$10108:$N$10111,0)),"")</f>
        <v/>
      </c>
      <c r="F10109" s="41" t="str">
        <f aca="false">IF(E10109="","",E10109-C10109)</f>
        <v/>
      </c>
      <c r="J10109" s="25" t="str">
        <f aca="false">Lib_Paye</f>
        <v>Mission sociale (bulletins de paie, DSN, déclarations sociales)</v>
      </c>
      <c r="K10109" s="25" t="n">
        <f aca="false">IF($K$10081=0,0,N(INDEX(Clients!$L$2:$L$501,$K$10081)))</f>
        <v>0</v>
      </c>
      <c r="L10109" s="25" t="n">
        <f aca="false">IF($K$10081=0,0,N(INDEX(Clients!$Q$2:$Q$501,$K$10081)))</f>
        <v>0</v>
      </c>
      <c r="M10109" s="25" t="n">
        <f aca="false">IF(OR(K10109&lt;&gt;0,L10109&lt;&gt;0),1,0)</f>
        <v>0</v>
      </c>
      <c r="N10109" s="25" t="str">
        <f aca="false">IF(M10109=1,SUM($M$10108:M10109),"")</f>
        <v/>
      </c>
      <c r="O10109" s="25" t="n">
        <v>2</v>
      </c>
    </row>
    <row r="10110" customFormat="false" ht="16.5" hidden="false" customHeight="true" outlineLevel="0" collapsed="false">
      <c r="B10110" s="40" t="str">
        <f aca="false">IFERROR(INDEX($J$10108:$J$10111,MATCH($O10110,$N$10108:$N$10111,0)),"")</f>
        <v/>
      </c>
      <c r="C10110" s="41" t="str">
        <f aca="false">IFERROR(INDEX($K$10108:$K$10111,MATCH($O10110,$N$10108:$N$10111,0)),"")</f>
        <v/>
      </c>
      <c r="D10110" s="42" t="str">
        <f aca="false">IF(OR(E10110="",N(C10110)=0),"",E10110/C10110-1)</f>
        <v/>
      </c>
      <c r="E10110" s="41" t="str">
        <f aca="false">IFERROR(INDEX($L$10108:$L$10111,MATCH($O10110,$N$10108:$N$10111,0)),"")</f>
        <v/>
      </c>
      <c r="F10110" s="41" t="str">
        <f aca="false">IF(E10110="","",E10110-C10110)</f>
        <v/>
      </c>
      <c r="J10110" s="25" t="str">
        <f aca="false">Lib_Jur</f>
        <v>Mission juridique (approbation des comptes, secrétariat juridique)</v>
      </c>
      <c r="K10110" s="25" t="n">
        <f aca="false">IF($K$10081=0,0,N(INDEX(Clients!$M$2:$M$501,$K$10081)))</f>
        <v>0</v>
      </c>
      <c r="L10110" s="25" t="n">
        <f aca="false">IF($K$10081=0,0,N(INDEX(Clients!$R$2:$R$501,$K$10081)))</f>
        <v>0</v>
      </c>
      <c r="M10110" s="25" t="n">
        <f aca="false">IF(OR(K10110&lt;&gt;0,L10110&lt;&gt;0),1,0)</f>
        <v>0</v>
      </c>
      <c r="N10110" s="25" t="str">
        <f aca="false">IF(M10110=1,SUM($M$10108:M10110),"")</f>
        <v/>
      </c>
      <c r="O10110" s="25" t="n">
        <v>3</v>
      </c>
    </row>
    <row r="10111" customFormat="false" ht="16.5" hidden="false" customHeight="true" outlineLevel="0" collapsed="false">
      <c r="B10111" s="40" t="str">
        <f aca="false">IFERROR(INDEX($J$10108:$J$10111,MATCH($O10111,$N$10108:$N$10111,0)),"")</f>
        <v/>
      </c>
      <c r="C10111" s="41" t="str">
        <f aca="false">IFERROR(INDEX($K$10108:$K$10111,MATCH($O10111,$N$10108:$N$10111,0)),"")</f>
        <v/>
      </c>
      <c r="D10111" s="42" t="str">
        <f aca="false">IF(OR(E10111="",N(C10111)=0),"",E10111/C10111-1)</f>
        <v/>
      </c>
      <c r="E10111" s="41" t="str">
        <f aca="false">IFERROR(INDEX($L$10108:$L$10111,MATCH($O10111,$N$10108:$N$10111,0)),"")</f>
        <v/>
      </c>
      <c r="F10111" s="41" t="str">
        <f aca="false">IF(E10111="","",E10111-C10111)</f>
        <v/>
      </c>
      <c r="J10111" s="25" t="str">
        <f aca="false">Lib_PA</f>
        <v>Plateforme agréée – facturation électronique</v>
      </c>
      <c r="K10111" s="25" t="n">
        <f aca="false">IF($K$10081=0,0,N(INDEX(Clients!$N$2:$N$501,$K$10081)))</f>
        <v>0</v>
      </c>
      <c r="L10111" s="25" t="n">
        <f aca="false">IF($K$10081=0,0,N(INDEX(Clients!$S$2:$S$501,$K$10081)))</f>
        <v>0</v>
      </c>
      <c r="M10111" s="25" t="n">
        <f aca="false">IF(OR(K10111&lt;&gt;0,L10111&lt;&gt;0),1,0)</f>
        <v>0</v>
      </c>
      <c r="N10111" s="25" t="str">
        <f aca="false">IF(M10111=1,SUM($M$10108:M10111),"")</f>
        <v/>
      </c>
      <c r="O10111" s="25" t="n">
        <v>4</v>
      </c>
    </row>
    <row r="10112" customFormat="false" ht="18" hidden="false" customHeight="true" outlineLevel="0" collapsed="false">
      <c r="B10112" s="43" t="s">
        <v>158</v>
      </c>
      <c r="C10112" s="44" t="n">
        <f aca="false">SUM(K10108:K10111)</f>
        <v>0</v>
      </c>
      <c r="D10112" s="45" t="str">
        <f aca="false">IF(N(C10112)=0,"",E10112/C10112-1)</f>
        <v/>
      </c>
      <c r="E10112" s="44" t="n">
        <f aca="false">SUM(L10108:L10111)</f>
        <v>0</v>
      </c>
      <c r="F10112" s="44" t="n">
        <f aca="false">E10112-C10112</f>
        <v>0</v>
      </c>
    </row>
    <row r="10113" customFormat="false" ht="15" hidden="false" customHeight="false" outlineLevel="0" collapsed="false">
      <c r="B10113" s="46" t="str">
        <f aca="false">IF(N(Nb_Mensualites)=0,"","Soit "&amp;FIXED(E10112/Nb_Mensualites,2)&amp;" € HT par échéance ("&amp;Nb_Mensualites&amp;" échéances), "&amp;FIXED(E10112/Nb_Mensualites*(1+Taux_TVA),2)&amp;" € TTC.")</f>
        <v>Soit 0.00 € HT par échéance (12 échéances), 0.00 € TTC.</v>
      </c>
      <c r="C10113" s="46"/>
      <c r="D10113" s="46"/>
      <c r="E10113" s="46"/>
      <c r="F10113" s="46"/>
    </row>
    <row r="10114" customFormat="false" ht="7.5" hidden="false" customHeight="true" outlineLevel="0" collapsed="false">
      <c r="B10114" s="10"/>
      <c r="C10114" s="10"/>
      <c r="D10114" s="10"/>
      <c r="E10114" s="10"/>
      <c r="F10114" s="10"/>
    </row>
    <row r="10115" customFormat="false" ht="36.75" hidden="false" customHeight="true" outlineLevel="0" collapsed="false">
      <c r="B10115" s="37" t="str">
        <f aca="false">SUBSTITUTE(SUBSTITUTE(SUBSTITUTE(SUBSTITUTE(SUBSTITUTE(Txt_P5,"{cabinet}",Cab_Nom),"{societe}",IF($K$10081=0,"",INDEX(Clients!$E$2:$E$501,$K$10081)&amp;"")),"{date_effet}",$K$10083),"{hausse}",$K$10084),"{civilite}",$K$10082)</f>
        <v>Les autres conditions de votre lettre de mission demeurent inchangées. Les nouveaux montants seront appliqués automatiquement sur vos prochaines factures et échéances de prélèvement.</v>
      </c>
      <c r="C10115" s="37"/>
      <c r="D10115" s="37"/>
      <c r="E10115" s="37"/>
      <c r="F10115" s="37"/>
    </row>
    <row r="10116" customFormat="false" ht="36.75" hidden="false" customHeight="true" outlineLevel="0" collapsed="false">
      <c r="B10116" s="37" t="str">
        <f aca="false">SUBSTITUTE(SUBSTITUTE(SUBSTITUTE(SUBSTITUTE(SUBSTITUTE(Txt_P6,"{cabinet}",Cab_Nom),"{societe}",IF($K$10081=0,"",INDEX(Clients!$E$2:$E$501,$K$10081)&amp;"")),"{date_effet}",$K$10083),"{hausse}",$K$10084),"{civilite}",$K$10082)</f>
        <v>Votre interlocuteur habituel reste à votre entière disposition pour répondre à vos questions et faire le point sur l'évolution de vos besoins.</v>
      </c>
      <c r="C10116" s="37"/>
      <c r="D10116" s="37"/>
      <c r="E10116" s="37"/>
      <c r="F10116" s="37"/>
    </row>
    <row r="10117" customFormat="false" ht="24" hidden="false" customHeight="true" outlineLevel="0" collapsed="false">
      <c r="B10117" s="37" t="str">
        <f aca="false">SUBSTITUTE(SUBSTITUTE(SUBSTITUTE(SUBSTITUTE(SUBSTITUTE(Txt_Politesse,"{cabinet}",Cab_Nom),"{societe}",IF($K$10081=0,"",INDEX(Clients!$E$2:$E$501,$K$10081)&amp;"")),"{date_effet}",$K$10083),"{hausse}",$K$10084),"{civilite}",$K$10082)</f>
        <v>Nous vous prions d'agréer, Madame, Monsieur, l'expression de nos salutations distinguées.</v>
      </c>
      <c r="C10117" s="37"/>
      <c r="D10117" s="37"/>
      <c r="E10117" s="37"/>
      <c r="F10117" s="37"/>
    </row>
    <row r="10118" customFormat="false" ht="15" hidden="false" customHeight="false" outlineLevel="0" collapsed="false">
      <c r="B10118" s="10"/>
      <c r="C10118" s="10"/>
      <c r="D10118" s="10"/>
      <c r="E10118" s="10"/>
      <c r="F10118" s="10"/>
    </row>
    <row r="10119" customFormat="false" ht="15" hidden="false" customHeight="false" outlineLevel="0" collapsed="false">
      <c r="B10119" s="10"/>
      <c r="C10119" s="10"/>
      <c r="D10119" s="34" t="str">
        <f aca="false">Signataire</f>
        <v>Prénom NOM</v>
      </c>
      <c r="E10119" s="34"/>
      <c r="F10119" s="34"/>
    </row>
    <row r="10120" customFormat="false" ht="15" hidden="false" customHeight="false" outlineLevel="0" collapsed="false">
      <c r="B10120" s="10"/>
      <c r="C10120" s="10"/>
      <c r="D10120" s="47" t="str">
        <f aca="false">Signataire_Titre</f>
        <v>Expert-comptable associé</v>
      </c>
      <c r="E10120" s="47"/>
      <c r="F10120" s="47"/>
    </row>
    <row r="10121" customFormat="false" ht="15.75" hidden="false" customHeight="true" outlineLevel="0" collapsed="false">
      <c r="B10121" s="10"/>
      <c r="C10121" s="10"/>
      <c r="D10121" s="10"/>
      <c r="E10121" s="10"/>
      <c r="F10121" s="10"/>
    </row>
    <row r="10122" customFormat="false" ht="15.75" hidden="false" customHeight="true" outlineLevel="0" collapsed="false">
      <c r="B10122" s="10"/>
      <c r="C10122" s="10"/>
      <c r="D10122" s="10"/>
      <c r="E10122" s="10"/>
      <c r="F10122" s="10"/>
    </row>
    <row r="10123" customFormat="false" ht="15.75" hidden="false" customHeight="true" outlineLevel="0" collapsed="false">
      <c r="B10123" s="10"/>
      <c r="C10123" s="10"/>
      <c r="D10123" s="10"/>
      <c r="E10123" s="10"/>
      <c r="F10123" s="10"/>
    </row>
    <row r="10124" customFormat="false" ht="15.75" hidden="false" customHeight="true" outlineLevel="0" collapsed="false">
      <c r="B10124" s="10"/>
      <c r="C10124" s="10"/>
      <c r="D10124" s="10"/>
      <c r="E10124" s="10"/>
      <c r="F10124" s="10"/>
    </row>
    <row r="10125" customFormat="false" ht="24" hidden="false" customHeight="true" outlineLevel="0" collapsed="false">
      <c r="B10125" s="48" t="str">
        <f aca="false">Cab_Mentions</f>
        <v>ALTHO EXPERTISE · SAS au capital de 10 000 € · RCS Pontoise 919 706 325 · TVA FR62919706325 · Société d'expertise comptable inscrite au Tableau de l'Ordre des experts-comptables de Paris Île-de-France</v>
      </c>
      <c r="C10125" s="48"/>
      <c r="D10125" s="48"/>
      <c r="E10125" s="48"/>
      <c r="F10125" s="48"/>
    </row>
    <row r="10126" customFormat="false" ht="15" hidden="false" customHeight="false" outlineLevel="0" collapsed="false">
      <c r="B10126" s="10"/>
      <c r="C10126" s="10"/>
      <c r="D10126" s="10"/>
      <c r="E10126" s="10"/>
      <c r="F10126" s="10"/>
      <c r="J10126" s="25" t="s">
        <v>142</v>
      </c>
      <c r="K10126" s="25" t="n">
        <f aca="false">IFERROR(MATCH(226,Clients!$Z$2:$Z$501,0),0)</f>
        <v>0</v>
      </c>
      <c r="L10126" s="25"/>
      <c r="M10126" s="25"/>
      <c r="N10126" s="25"/>
      <c r="O10126" s="25"/>
    </row>
    <row r="10127" customFormat="false" ht="21.75" hidden="false" customHeight="true" outlineLevel="0" collapsed="false">
      <c r="B10127" s="26" t="str">
        <f aca="false">Cab_Nom</f>
        <v>ALTHO EXPERTISE</v>
      </c>
      <c r="C10127" s="26"/>
      <c r="D10127" s="10"/>
      <c r="E10127" s="27" t="str">
        <f aca="false">IF($K$10126=0,"","Réf. client : "&amp;INDEX(Clients!$A$2:$A$501,$K$10126))</f>
        <v/>
      </c>
      <c r="F10127" s="27"/>
      <c r="J10127" s="25" t="s">
        <v>144</v>
      </c>
      <c r="K10127" s="25" t="str">
        <f aca="false">IF(IF($K$10126=0,"",INDEX(Clients!$B$2:$B$501,$K$10126)&amp;"")="Mme","Madame",IF(IF($K$10126=0,"",INDEX(Clients!$B$2:$B$501,$K$10126)&amp;"")="M.","Monsieur","Madame, Monsieur"))</f>
        <v>Madame, Monsieur</v>
      </c>
      <c r="L10127" s="25"/>
      <c r="M10127" s="25"/>
      <c r="N10127" s="25"/>
      <c r="O10127" s="25"/>
    </row>
    <row r="10128" customFormat="false" ht="15" hidden="false" customHeight="false" outlineLevel="0" collapsed="false">
      <c r="B10128" s="29" t="str">
        <f aca="false">Cab_Adr1</f>
        <v>141 rue Charles de Gaulle</v>
      </c>
      <c r="C10128" s="29"/>
      <c r="D10128" s="10"/>
      <c r="E10128" s="10"/>
      <c r="F10128" s="10"/>
      <c r="J10128" s="25" t="s">
        <v>145</v>
      </c>
      <c r="K10128" s="25" t="str">
        <f aca="false">DAY(Date_Effet)&amp;IF(DAY(Date_Effet)=1,"er","")&amp;" "&amp;INDEX(Liste_Mois,MONTH(Date_Effet))&amp;" "&amp;YEAR(Date_Effet)</f>
        <v>1er janvier 2027</v>
      </c>
      <c r="L10128" s="25"/>
      <c r="M10128" s="25"/>
      <c r="N10128" s="25"/>
      <c r="O10128" s="25"/>
    </row>
    <row r="10129" customFormat="false" ht="15" hidden="false" customHeight="false" outlineLevel="0" collapsed="false">
      <c r="B10129" s="29" t="str">
        <f aca="false">Cab_CPVille</f>
        <v>95130 LE PLESSIS-BOUCHARD</v>
      </c>
      <c r="C10129" s="29"/>
      <c r="D10129" s="10"/>
      <c r="E10129" s="10"/>
      <c r="F10129" s="10"/>
      <c r="J10129" s="25" t="s">
        <v>146</v>
      </c>
      <c r="K10129" s="25" t="str">
        <f aca="false">IF(SUM($K$10153:$K$10156)=0,"",FIXED((SUM($L$10153:$L$10156)/SUM($K$10153:$K$10156)-1)*100,1)&amp;" %")</f>
        <v/>
      </c>
      <c r="L10129" s="25"/>
      <c r="M10129" s="25"/>
      <c r="N10129" s="25"/>
      <c r="O10129" s="25"/>
    </row>
    <row r="10130" customFormat="false" ht="15" hidden="false" customHeight="false" outlineLevel="0" collapsed="false">
      <c r="B10130" s="29" t="str">
        <f aca="false">Cab_Contact</f>
        <v>Tél. 01 34 14 53 45  ·  altho@altho-experts.com  ·  altho-experts.com</v>
      </c>
      <c r="C10130" s="29"/>
      <c r="D10130" s="10"/>
      <c r="E10130" s="10"/>
      <c r="F10130" s="10"/>
      <c r="J10130" s="25"/>
      <c r="K10130" s="25"/>
      <c r="L10130" s="25"/>
      <c r="M10130" s="25"/>
      <c r="N10130" s="25"/>
      <c r="O10130" s="25"/>
    </row>
    <row r="10131" customFormat="false" ht="6" hidden="false" customHeight="true" outlineLevel="0" collapsed="false">
      <c r="B10131" s="32"/>
      <c r="C10131" s="32"/>
      <c r="D10131" s="32"/>
      <c r="E10131" s="32"/>
      <c r="F10131" s="32"/>
      <c r="J10131" s="25"/>
      <c r="K10131" s="25"/>
      <c r="L10131" s="25"/>
      <c r="M10131" s="25"/>
      <c r="N10131" s="25"/>
      <c r="O10131" s="25"/>
    </row>
    <row r="10132" customFormat="false" ht="13.5" hidden="false" customHeight="true" outlineLevel="0" collapsed="false">
      <c r="B10132" s="10"/>
      <c r="C10132" s="10"/>
      <c r="D10132" s="10"/>
      <c r="E10132" s="10"/>
      <c r="F10132" s="10"/>
      <c r="J10132" s="25"/>
      <c r="K10132" s="25"/>
      <c r="L10132" s="25"/>
      <c r="M10132" s="25"/>
      <c r="N10132" s="25"/>
      <c r="O10132" s="25"/>
    </row>
    <row r="10133" customFormat="false" ht="13.5" hidden="false" customHeight="true" outlineLevel="0" collapsed="false">
      <c r="B10133" s="10"/>
      <c r="C10133" s="10"/>
      <c r="D10133" s="10"/>
      <c r="E10133" s="10"/>
      <c r="F10133" s="10"/>
      <c r="J10133" s="25"/>
      <c r="K10133" s="25"/>
      <c r="L10133" s="25"/>
      <c r="M10133" s="25"/>
      <c r="N10133" s="25"/>
      <c r="O10133" s="25"/>
    </row>
    <row r="10134" customFormat="false" ht="13.5" hidden="false" customHeight="true" outlineLevel="0" collapsed="false">
      <c r="B10134" s="10"/>
      <c r="C10134" s="10"/>
      <c r="D10134" s="10"/>
      <c r="E10134" s="10"/>
      <c r="F10134" s="10"/>
      <c r="J10134" s="25"/>
      <c r="K10134" s="25"/>
      <c r="L10134" s="25"/>
      <c r="M10134" s="25"/>
      <c r="N10134" s="25"/>
      <c r="O10134" s="25"/>
    </row>
    <row r="10135" customFormat="false" ht="15" hidden="false" customHeight="true" outlineLevel="0" collapsed="false">
      <c r="B10135" s="10"/>
      <c r="C10135" s="10"/>
      <c r="D10135" s="34" t="str">
        <f aca="false">IF($K$10126=0,"",INDEX(Clients!$E$2:$E$501,$K$10126)&amp;"")</f>
        <v/>
      </c>
      <c r="E10135" s="34"/>
      <c r="F10135" s="34"/>
      <c r="J10135" s="25"/>
      <c r="K10135" s="25"/>
      <c r="L10135" s="25"/>
      <c r="M10135" s="25"/>
      <c r="N10135" s="25"/>
      <c r="O10135" s="25"/>
    </row>
    <row r="10136" customFormat="false" ht="15" hidden="false" customHeight="true" outlineLevel="0" collapsed="false">
      <c r="B10136" s="10"/>
      <c r="C10136" s="10"/>
      <c r="D10136" s="35" t="str">
        <f aca="false">IF(IF($K$10126=0,"",INDEX(Clients!$D$2:$D$501,$K$10126)&amp;"")="","","À l'attention de "&amp;TRIM(IF($K$10126=0,"",INDEX(Clients!$B$2:$B$501,$K$10126)&amp;"")&amp;" "&amp;IF($K$10126=0,"",INDEX(Clients!$C$2:$C$501,$K$10126)&amp;"")&amp;" "&amp;IF($K$10126=0,"",INDEX(Clients!$D$2:$D$501,$K$10126)&amp;"")))</f>
        <v/>
      </c>
      <c r="E10136" s="35"/>
      <c r="F10136" s="35"/>
      <c r="J10136" s="25"/>
      <c r="K10136" s="25"/>
      <c r="L10136" s="25"/>
      <c r="M10136" s="25"/>
      <c r="N10136" s="25"/>
      <c r="O10136" s="25"/>
    </row>
    <row r="10137" customFormat="false" ht="15" hidden="false" customHeight="true" outlineLevel="0" collapsed="false">
      <c r="B10137" s="10"/>
      <c r="C10137" s="10"/>
      <c r="D10137" s="35" t="str">
        <f aca="false">IF($K$10126=0,"",INDEX(Clients!$F$2:$F$501,$K$10126)&amp;"")</f>
        <v/>
      </c>
      <c r="E10137" s="35"/>
      <c r="F10137" s="35"/>
      <c r="J10137" s="25"/>
      <c r="K10137" s="25"/>
      <c r="L10137" s="25"/>
      <c r="M10137" s="25"/>
      <c r="N10137" s="25"/>
      <c r="O10137" s="25"/>
    </row>
    <row r="10138" customFormat="false" ht="15" hidden="false" customHeight="true" outlineLevel="0" collapsed="false">
      <c r="B10138" s="10"/>
      <c r="C10138" s="10"/>
      <c r="D10138" s="35" t="str">
        <f aca="false">IF(IF($K$10126=0,"",INDEX(Clients!$G$2:$G$501,$K$10126)&amp;"")="",TRIM(IF($K$10126=0,"",INDEX(Clients!$H$2:$H$501,$K$10126)&amp;"")&amp;" "&amp;UPPER(IF($K$10126=0,"",INDEX(Clients!$I$2:$I$501,$K$10126)&amp;""))),IF($K$10126=0,"",INDEX(Clients!$G$2:$G$501,$K$10126)&amp;""))</f>
        <v/>
      </c>
      <c r="E10138" s="35"/>
      <c r="F10138" s="35"/>
      <c r="J10138" s="25"/>
      <c r="K10138" s="25"/>
      <c r="L10138" s="25"/>
      <c r="M10138" s="25"/>
      <c r="N10138" s="25"/>
      <c r="O10138" s="25"/>
    </row>
    <row r="10139" customFormat="false" ht="15" hidden="false" customHeight="true" outlineLevel="0" collapsed="false">
      <c r="B10139" s="10"/>
      <c r="C10139" s="10"/>
      <c r="D10139" s="35" t="str">
        <f aca="false">IF(IF($K$10126=0,"",INDEX(Clients!$G$2:$G$501,$K$10126)&amp;"")="","",TRIM(IF($K$10126=0,"",INDEX(Clients!$H$2:$H$501,$K$10126)&amp;"")&amp;" "&amp;UPPER(IF($K$10126=0,"",INDEX(Clients!$I$2:$I$501,$K$10126)&amp;""))))</f>
        <v/>
      </c>
      <c r="E10139" s="35"/>
      <c r="F10139" s="35"/>
      <c r="J10139" s="25"/>
      <c r="K10139" s="25"/>
      <c r="L10139" s="25"/>
      <c r="M10139" s="25"/>
      <c r="N10139" s="25"/>
      <c r="O10139" s="25"/>
    </row>
    <row r="10140" customFormat="false" ht="25.5" hidden="false" customHeight="true" outlineLevel="0" collapsed="false">
      <c r="B10140" s="10"/>
      <c r="C10140" s="10"/>
      <c r="D10140" s="10"/>
      <c r="E10140" s="10"/>
      <c r="F10140" s="10"/>
      <c r="J10140" s="25"/>
      <c r="K10140" s="25"/>
      <c r="L10140" s="25"/>
      <c r="M10140" s="25"/>
      <c r="N10140" s="25"/>
      <c r="O10140" s="25"/>
    </row>
    <row r="10141" customFormat="false" ht="15" hidden="false" customHeight="false" outlineLevel="0" collapsed="false">
      <c r="B10141" s="10"/>
      <c r="C10141" s="10"/>
      <c r="D10141" s="36" t="str">
        <f aca="false">Cab_Ville&amp;", le "&amp;DAY(Date_Courrier)&amp;IF(DAY(Date_Courrier)=1,"er","")&amp;" "&amp;INDEX(Liste_Mois,MONTH(Date_Courrier))&amp;" "&amp;YEAR(Date_Courrier)</f>
        <v>Le Plessis-Bouchard, le 22 septembre 2026</v>
      </c>
      <c r="E10141" s="36"/>
      <c r="F10141" s="36"/>
      <c r="J10141" s="25"/>
      <c r="K10141" s="25"/>
      <c r="L10141" s="25"/>
      <c r="M10141" s="25"/>
      <c r="N10141" s="25"/>
      <c r="O10141" s="25"/>
    </row>
    <row r="10142" customFormat="false" ht="19.5" hidden="false" customHeight="true" outlineLevel="0" collapsed="false">
      <c r="B10142" s="10"/>
      <c r="C10142" s="10"/>
      <c r="D10142" s="10"/>
      <c r="E10142" s="10"/>
      <c r="F10142" s="10"/>
      <c r="J10142" s="25"/>
      <c r="K10142" s="25"/>
      <c r="L10142" s="25"/>
      <c r="M10142" s="25"/>
      <c r="N10142" s="25"/>
      <c r="O10142" s="25"/>
    </row>
    <row r="10143" customFormat="false" ht="15" hidden="false" customHeight="false" outlineLevel="0" collapsed="false">
      <c r="B10143" s="34" t="str">
        <f aca="false">SUBSTITUTE(SUBSTITUTE(SUBSTITUTE(SUBSTITUTE(SUBSTITUTE(Txt_Objet,"{cabinet}",Cab_Nom),"{societe}",IF($K$10126=0,"",INDEX(Clients!$E$2:$E$501,$K$10126)&amp;"")),"{date_effet}",$K$10128),"{hausse}",$K$10129),"{civilite}",$K$10127)</f>
        <v>Objet : révision de nos honoraires au 1er janvier 2027</v>
      </c>
      <c r="C10143" s="34"/>
      <c r="D10143" s="34"/>
      <c r="E10143" s="34"/>
      <c r="F10143" s="34"/>
      <c r="J10143" s="25"/>
      <c r="K10143" s="25"/>
      <c r="L10143" s="25"/>
      <c r="M10143" s="25"/>
      <c r="N10143" s="25"/>
      <c r="O10143" s="25"/>
    </row>
    <row r="10144" customFormat="false" ht="13.5" hidden="false" customHeight="true" outlineLevel="0" collapsed="false">
      <c r="B10144" s="10"/>
      <c r="C10144" s="10"/>
      <c r="D10144" s="10"/>
      <c r="E10144" s="10"/>
      <c r="F10144" s="10"/>
      <c r="J10144" s="25"/>
      <c r="K10144" s="25"/>
      <c r="L10144" s="25"/>
      <c r="M10144" s="25"/>
      <c r="N10144" s="25"/>
      <c r="O10144" s="25"/>
    </row>
    <row r="10145" customFormat="false" ht="15" hidden="false" customHeight="false" outlineLevel="0" collapsed="false">
      <c r="B10145" s="10" t="str">
        <f aca="false">$K$10127&amp;","</f>
        <v>Madame, Monsieur,</v>
      </c>
      <c r="C10145" s="10"/>
      <c r="D10145" s="10"/>
      <c r="E10145" s="10"/>
      <c r="F10145" s="10"/>
      <c r="J10145" s="25"/>
      <c r="K10145" s="25"/>
      <c r="L10145" s="25"/>
      <c r="M10145" s="25"/>
      <c r="N10145" s="25"/>
      <c r="O10145" s="25"/>
    </row>
    <row r="10146" customFormat="false" ht="6" hidden="false" customHeight="true" outlineLevel="0" collapsed="false">
      <c r="B10146" s="10"/>
      <c r="C10146" s="10"/>
      <c r="D10146" s="10"/>
      <c r="E10146" s="10"/>
      <c r="F10146" s="10"/>
      <c r="J10146" s="25"/>
      <c r="K10146" s="25"/>
      <c r="L10146" s="25"/>
      <c r="M10146" s="25"/>
      <c r="N10146" s="25"/>
      <c r="O10146" s="25"/>
    </row>
    <row r="10147" customFormat="false" ht="36.75" hidden="false" customHeight="true" outlineLevel="0" collapsed="false">
      <c r="B10147" s="37" t="str">
        <f aca="false">SUBSTITUTE(SUBSTITUTE(SUBSTITUTE(SUBSTITUTE(SUBSTITUTE(Txt_P1,"{cabinet}",Cab_Nom),"{societe}",IF($K$10126=0,"",INDEX(Clients!$E$2:$E$501,$K$10126)&amp;"")),"{date_effet}",$K$10128),"{hausse}",$K$10129),"{civilite}",$K$10127)</f>
        <v>Nous tenons tout d'abord à vous remercier pour la confiance que vous accordez à ALTHO EXPERTISE. Comme chaque année, et conformément aux dispositions de votre lettre de mission, nous procédons à la révision de nos honoraires.</v>
      </c>
      <c r="C10147" s="37"/>
      <c r="D10147" s="37"/>
      <c r="E10147" s="37"/>
      <c r="F10147" s="37"/>
      <c r="J10147" s="25"/>
      <c r="K10147" s="25"/>
      <c r="L10147" s="25"/>
      <c r="M10147" s="25"/>
      <c r="N10147" s="25"/>
      <c r="O10147" s="25"/>
    </row>
    <row r="10148" customFormat="false" ht="49.5" hidden="false" customHeight="true" outlineLevel="0" collapsed="false">
      <c r="B10148" s="37" t="str">
        <f aca="false">SUBSTITUTE(SUBSTITUTE(SUBSTITUTE(SUBSTITUTE(SUBSTITUTE(Txt_P2,"{cabinet}",Cab_Nom),"{societe}",IF($K$10126=0,"",INDEX(Clients!$E$2:$E$501,$K$10126)&amp;"")),"{date_effet}",$K$10128),"{hausse}",$K$10129),"{civilite}",$K$10127)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148" s="37"/>
      <c r="D10148" s="37"/>
      <c r="E10148" s="37"/>
      <c r="F10148" s="37"/>
      <c r="J10148" s="25"/>
      <c r="K10148" s="25"/>
      <c r="L10148" s="25"/>
      <c r="M10148" s="25"/>
      <c r="N10148" s="25"/>
      <c r="O10148" s="25"/>
    </row>
    <row r="10149" customFormat="false" ht="63" hidden="false" customHeight="true" outlineLevel="0" collapsed="false">
      <c r="B10149" s="37" t="str">
        <f aca="false">SUBSTITUTE(SUBSTITUTE(SUBSTITUTE(SUBSTITUTE(SUBSTITUTE(Txt_P3,"{cabinet}",Cab_Nom),"{societe}",IF($K$10126=0,"",INDEX(Clients!$E$2:$E$501,$K$10126)&amp;"")),"{date_effet}",$K$10128),"{hausse}",$K$10129),"{civilite}",$K$10127)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149" s="37"/>
      <c r="D10149" s="37"/>
      <c r="E10149" s="37"/>
      <c r="F10149" s="37"/>
      <c r="J10149" s="25"/>
      <c r="K10149" s="25"/>
      <c r="L10149" s="25"/>
      <c r="M10149" s="25"/>
      <c r="N10149" s="25"/>
      <c r="O10149" s="25"/>
    </row>
    <row r="10150" customFormat="false" ht="24" hidden="false" customHeight="true" outlineLevel="0" collapsed="false">
      <c r="B10150" s="37" t="str">
        <f aca="false">SUBSTITUTE(SUBSTITUTE(SUBSTITUTE(SUBSTITUTE(SUBSTITUTE(Txt_P4,"{cabinet}",Cab_Nom),"{societe}",IF($K$10126=0,"",INDEX(Clients!$E$2:$E$501,$K$10126)&amp;"")),"{date_effet}",$K$10128),"{hausse}",$K$10129),"{civilite}",$K$10127)</f>
        <v>À compter du 1er janvier 2027, vos honoraires annuels hors taxes évolueront ainsi (évolution globale : ) :</v>
      </c>
      <c r="C10150" s="37"/>
      <c r="D10150" s="37"/>
      <c r="E10150" s="37"/>
      <c r="F10150" s="37"/>
      <c r="J10150" s="25"/>
      <c r="K10150" s="25"/>
      <c r="L10150" s="25"/>
      <c r="M10150" s="25"/>
      <c r="N10150" s="25"/>
      <c r="O10150" s="25"/>
    </row>
    <row r="10151" customFormat="false" ht="3.75" hidden="false" customHeight="true" outlineLevel="0" collapsed="false">
      <c r="B10151" s="10"/>
      <c r="C10151" s="10"/>
      <c r="D10151" s="10"/>
      <c r="E10151" s="10"/>
      <c r="F10151" s="10"/>
      <c r="J10151" s="25"/>
      <c r="K10151" s="25"/>
      <c r="L10151" s="25"/>
      <c r="M10151" s="25"/>
      <c r="N10151" s="25"/>
      <c r="O10151" s="25"/>
    </row>
    <row r="10152" customFormat="false" ht="18" hidden="false" customHeight="true" outlineLevel="0" collapsed="false">
      <c r="B10152" s="38" t="s">
        <v>148</v>
      </c>
      <c r="C10152" s="39" t="s">
        <v>149</v>
      </c>
      <c r="D10152" s="39" t="s">
        <v>150</v>
      </c>
      <c r="E10152" s="39" t="s">
        <v>151</v>
      </c>
      <c r="F10152" s="39" t="s">
        <v>109</v>
      </c>
      <c r="J10152" s="25" t="s">
        <v>152</v>
      </c>
      <c r="K10152" s="25" t="s">
        <v>153</v>
      </c>
      <c r="L10152" s="25" t="s">
        <v>154</v>
      </c>
      <c r="M10152" s="25" t="s">
        <v>155</v>
      </c>
      <c r="N10152" s="25" t="s">
        <v>156</v>
      </c>
      <c r="O10152" s="25" t="s">
        <v>157</v>
      </c>
    </row>
    <row r="10153" customFormat="false" ht="16.5" hidden="false" customHeight="true" outlineLevel="0" collapsed="false">
      <c r="B10153" s="40" t="str">
        <f aca="false">IFERROR(INDEX($J$10153:$J$10156,MATCH($O10153,$N$10153:$N$10156,0)),"")</f>
        <v/>
      </c>
      <c r="C10153" s="41" t="str">
        <f aca="false">IFERROR(INDEX($K$10153:$K$10156,MATCH($O10153,$N$10153:$N$10156,0)),"")</f>
        <v/>
      </c>
      <c r="D10153" s="42" t="str">
        <f aca="false">IF(OR(E10153="",N(C10153)=0),"",E10153/C10153-1)</f>
        <v/>
      </c>
      <c r="E10153" s="41" t="str">
        <f aca="false">IFERROR(INDEX($L$10153:$L$10156,MATCH($O10153,$N$10153:$N$10156,0)),"")</f>
        <v/>
      </c>
      <c r="F10153" s="41" t="str">
        <f aca="false">IF(E10153="","",E10153-C10153)</f>
        <v/>
      </c>
      <c r="J10153" s="25" t="str">
        <f aca="false">Lib_Compta</f>
        <v>Mission comptable (tenue, révision, bilan, liasse fiscale)</v>
      </c>
      <c r="K10153" s="25" t="n">
        <f aca="false">IF($K$10126=0,0,N(INDEX(Clients!$K$2:$K$501,$K$10126)))</f>
        <v>0</v>
      </c>
      <c r="L10153" s="25" t="n">
        <f aca="false">IF($K$10126=0,0,N(INDEX(Clients!$P$2:$P$501,$K$10126)))</f>
        <v>0</v>
      </c>
      <c r="M10153" s="25" t="n">
        <f aca="false">IF(OR(K10153&lt;&gt;0,L10153&lt;&gt;0),1,0)</f>
        <v>0</v>
      </c>
      <c r="N10153" s="25" t="str">
        <f aca="false">IF(M10153=1,SUM($M$10153:M10153),"")</f>
        <v/>
      </c>
      <c r="O10153" s="25" t="n">
        <v>1</v>
      </c>
    </row>
    <row r="10154" customFormat="false" ht="16.5" hidden="false" customHeight="true" outlineLevel="0" collapsed="false">
      <c r="B10154" s="40" t="str">
        <f aca="false">IFERROR(INDEX($J$10153:$J$10156,MATCH($O10154,$N$10153:$N$10156,0)),"")</f>
        <v/>
      </c>
      <c r="C10154" s="41" t="str">
        <f aca="false">IFERROR(INDEX($K$10153:$K$10156,MATCH($O10154,$N$10153:$N$10156,0)),"")</f>
        <v/>
      </c>
      <c r="D10154" s="42" t="str">
        <f aca="false">IF(OR(E10154="",N(C10154)=0),"",E10154/C10154-1)</f>
        <v/>
      </c>
      <c r="E10154" s="41" t="str">
        <f aca="false">IFERROR(INDEX($L$10153:$L$10156,MATCH($O10154,$N$10153:$N$10156,0)),"")</f>
        <v/>
      </c>
      <c r="F10154" s="41" t="str">
        <f aca="false">IF(E10154="","",E10154-C10154)</f>
        <v/>
      </c>
      <c r="J10154" s="25" t="str">
        <f aca="false">Lib_Paye</f>
        <v>Mission sociale (bulletins de paie, DSN, déclarations sociales)</v>
      </c>
      <c r="K10154" s="25" t="n">
        <f aca="false">IF($K$10126=0,0,N(INDEX(Clients!$L$2:$L$501,$K$10126)))</f>
        <v>0</v>
      </c>
      <c r="L10154" s="25" t="n">
        <f aca="false">IF($K$10126=0,0,N(INDEX(Clients!$Q$2:$Q$501,$K$10126)))</f>
        <v>0</v>
      </c>
      <c r="M10154" s="25" t="n">
        <f aca="false">IF(OR(K10154&lt;&gt;0,L10154&lt;&gt;0),1,0)</f>
        <v>0</v>
      </c>
      <c r="N10154" s="25" t="str">
        <f aca="false">IF(M10154=1,SUM($M$10153:M10154),"")</f>
        <v/>
      </c>
      <c r="O10154" s="25" t="n">
        <v>2</v>
      </c>
    </row>
    <row r="10155" customFormat="false" ht="16.5" hidden="false" customHeight="true" outlineLevel="0" collapsed="false">
      <c r="B10155" s="40" t="str">
        <f aca="false">IFERROR(INDEX($J$10153:$J$10156,MATCH($O10155,$N$10153:$N$10156,0)),"")</f>
        <v/>
      </c>
      <c r="C10155" s="41" t="str">
        <f aca="false">IFERROR(INDEX($K$10153:$K$10156,MATCH($O10155,$N$10153:$N$10156,0)),"")</f>
        <v/>
      </c>
      <c r="D10155" s="42" t="str">
        <f aca="false">IF(OR(E10155="",N(C10155)=0),"",E10155/C10155-1)</f>
        <v/>
      </c>
      <c r="E10155" s="41" t="str">
        <f aca="false">IFERROR(INDEX($L$10153:$L$10156,MATCH($O10155,$N$10153:$N$10156,0)),"")</f>
        <v/>
      </c>
      <c r="F10155" s="41" t="str">
        <f aca="false">IF(E10155="","",E10155-C10155)</f>
        <v/>
      </c>
      <c r="J10155" s="25" t="str">
        <f aca="false">Lib_Jur</f>
        <v>Mission juridique (approbation des comptes, secrétariat juridique)</v>
      </c>
      <c r="K10155" s="25" t="n">
        <f aca="false">IF($K$10126=0,0,N(INDEX(Clients!$M$2:$M$501,$K$10126)))</f>
        <v>0</v>
      </c>
      <c r="L10155" s="25" t="n">
        <f aca="false">IF($K$10126=0,0,N(INDEX(Clients!$R$2:$R$501,$K$10126)))</f>
        <v>0</v>
      </c>
      <c r="M10155" s="25" t="n">
        <f aca="false">IF(OR(K10155&lt;&gt;0,L10155&lt;&gt;0),1,0)</f>
        <v>0</v>
      </c>
      <c r="N10155" s="25" t="str">
        <f aca="false">IF(M10155=1,SUM($M$10153:M10155),"")</f>
        <v/>
      </c>
      <c r="O10155" s="25" t="n">
        <v>3</v>
      </c>
    </row>
    <row r="10156" customFormat="false" ht="16.5" hidden="false" customHeight="true" outlineLevel="0" collapsed="false">
      <c r="B10156" s="40" t="str">
        <f aca="false">IFERROR(INDEX($J$10153:$J$10156,MATCH($O10156,$N$10153:$N$10156,0)),"")</f>
        <v/>
      </c>
      <c r="C10156" s="41" t="str">
        <f aca="false">IFERROR(INDEX($K$10153:$K$10156,MATCH($O10156,$N$10153:$N$10156,0)),"")</f>
        <v/>
      </c>
      <c r="D10156" s="42" t="str">
        <f aca="false">IF(OR(E10156="",N(C10156)=0),"",E10156/C10156-1)</f>
        <v/>
      </c>
      <c r="E10156" s="41" t="str">
        <f aca="false">IFERROR(INDEX($L$10153:$L$10156,MATCH($O10156,$N$10153:$N$10156,0)),"")</f>
        <v/>
      </c>
      <c r="F10156" s="41" t="str">
        <f aca="false">IF(E10156="","",E10156-C10156)</f>
        <v/>
      </c>
      <c r="J10156" s="25" t="str">
        <f aca="false">Lib_PA</f>
        <v>Plateforme agréée – facturation électronique</v>
      </c>
      <c r="K10156" s="25" t="n">
        <f aca="false">IF($K$10126=0,0,N(INDEX(Clients!$N$2:$N$501,$K$10126)))</f>
        <v>0</v>
      </c>
      <c r="L10156" s="25" t="n">
        <f aca="false">IF($K$10126=0,0,N(INDEX(Clients!$S$2:$S$501,$K$10126)))</f>
        <v>0</v>
      </c>
      <c r="M10156" s="25" t="n">
        <f aca="false">IF(OR(K10156&lt;&gt;0,L10156&lt;&gt;0),1,0)</f>
        <v>0</v>
      </c>
      <c r="N10156" s="25" t="str">
        <f aca="false">IF(M10156=1,SUM($M$10153:M10156),"")</f>
        <v/>
      </c>
      <c r="O10156" s="25" t="n">
        <v>4</v>
      </c>
    </row>
    <row r="10157" customFormat="false" ht="18" hidden="false" customHeight="true" outlineLevel="0" collapsed="false">
      <c r="B10157" s="43" t="s">
        <v>158</v>
      </c>
      <c r="C10157" s="44" t="n">
        <f aca="false">SUM(K10153:K10156)</f>
        <v>0</v>
      </c>
      <c r="D10157" s="45" t="str">
        <f aca="false">IF(N(C10157)=0,"",E10157/C10157-1)</f>
        <v/>
      </c>
      <c r="E10157" s="44" t="n">
        <f aca="false">SUM(L10153:L10156)</f>
        <v>0</v>
      </c>
      <c r="F10157" s="44" t="n">
        <f aca="false">E10157-C10157</f>
        <v>0</v>
      </c>
    </row>
    <row r="10158" customFormat="false" ht="15" hidden="false" customHeight="false" outlineLevel="0" collapsed="false">
      <c r="B10158" s="46" t="str">
        <f aca="false">IF(N(Nb_Mensualites)=0,"","Soit "&amp;FIXED(E10157/Nb_Mensualites,2)&amp;" € HT par échéance ("&amp;Nb_Mensualites&amp;" échéances), "&amp;FIXED(E10157/Nb_Mensualites*(1+Taux_TVA),2)&amp;" € TTC.")</f>
        <v>Soit 0.00 € HT par échéance (12 échéances), 0.00 € TTC.</v>
      </c>
      <c r="C10158" s="46"/>
      <c r="D10158" s="46"/>
      <c r="E10158" s="46"/>
      <c r="F10158" s="46"/>
    </row>
    <row r="10159" customFormat="false" ht="7.5" hidden="false" customHeight="true" outlineLevel="0" collapsed="false">
      <c r="B10159" s="10"/>
      <c r="C10159" s="10"/>
      <c r="D10159" s="10"/>
      <c r="E10159" s="10"/>
      <c r="F10159" s="10"/>
    </row>
    <row r="10160" customFormat="false" ht="36.75" hidden="false" customHeight="true" outlineLevel="0" collapsed="false">
      <c r="B10160" s="37" t="str">
        <f aca="false">SUBSTITUTE(SUBSTITUTE(SUBSTITUTE(SUBSTITUTE(SUBSTITUTE(Txt_P5,"{cabinet}",Cab_Nom),"{societe}",IF($K$10126=0,"",INDEX(Clients!$E$2:$E$501,$K$10126)&amp;"")),"{date_effet}",$K$10128),"{hausse}",$K$10129),"{civilite}",$K$10127)</f>
        <v>Les autres conditions de votre lettre de mission demeurent inchangées. Les nouveaux montants seront appliqués automatiquement sur vos prochaines factures et échéances de prélèvement.</v>
      </c>
      <c r="C10160" s="37"/>
      <c r="D10160" s="37"/>
      <c r="E10160" s="37"/>
      <c r="F10160" s="37"/>
    </row>
    <row r="10161" customFormat="false" ht="36.75" hidden="false" customHeight="true" outlineLevel="0" collapsed="false">
      <c r="B10161" s="37" t="str">
        <f aca="false">SUBSTITUTE(SUBSTITUTE(SUBSTITUTE(SUBSTITUTE(SUBSTITUTE(Txt_P6,"{cabinet}",Cab_Nom),"{societe}",IF($K$10126=0,"",INDEX(Clients!$E$2:$E$501,$K$10126)&amp;"")),"{date_effet}",$K$10128),"{hausse}",$K$10129),"{civilite}",$K$10127)</f>
        <v>Votre interlocuteur habituel reste à votre entière disposition pour répondre à vos questions et faire le point sur l'évolution de vos besoins.</v>
      </c>
      <c r="C10161" s="37"/>
      <c r="D10161" s="37"/>
      <c r="E10161" s="37"/>
      <c r="F10161" s="37"/>
    </row>
    <row r="10162" customFormat="false" ht="24" hidden="false" customHeight="true" outlineLevel="0" collapsed="false">
      <c r="B10162" s="37" t="str">
        <f aca="false">SUBSTITUTE(SUBSTITUTE(SUBSTITUTE(SUBSTITUTE(SUBSTITUTE(Txt_Politesse,"{cabinet}",Cab_Nom),"{societe}",IF($K$10126=0,"",INDEX(Clients!$E$2:$E$501,$K$10126)&amp;"")),"{date_effet}",$K$10128),"{hausse}",$K$10129),"{civilite}",$K$10127)</f>
        <v>Nous vous prions d'agréer, Madame, Monsieur, l'expression de nos salutations distinguées.</v>
      </c>
      <c r="C10162" s="37"/>
      <c r="D10162" s="37"/>
      <c r="E10162" s="37"/>
      <c r="F10162" s="37"/>
    </row>
    <row r="10163" customFormat="false" ht="15" hidden="false" customHeight="false" outlineLevel="0" collapsed="false">
      <c r="B10163" s="10"/>
      <c r="C10163" s="10"/>
      <c r="D10163" s="10"/>
      <c r="E10163" s="10"/>
      <c r="F10163" s="10"/>
    </row>
    <row r="10164" customFormat="false" ht="15" hidden="false" customHeight="false" outlineLevel="0" collapsed="false">
      <c r="B10164" s="10"/>
      <c r="C10164" s="10"/>
      <c r="D10164" s="34" t="str">
        <f aca="false">Signataire</f>
        <v>Prénom NOM</v>
      </c>
      <c r="E10164" s="34"/>
      <c r="F10164" s="34"/>
    </row>
    <row r="10165" customFormat="false" ht="15" hidden="false" customHeight="false" outlineLevel="0" collapsed="false">
      <c r="B10165" s="10"/>
      <c r="C10165" s="10"/>
      <c r="D10165" s="47" t="str">
        <f aca="false">Signataire_Titre</f>
        <v>Expert-comptable associé</v>
      </c>
      <c r="E10165" s="47"/>
      <c r="F10165" s="47"/>
    </row>
    <row r="10166" customFormat="false" ht="15.75" hidden="false" customHeight="true" outlineLevel="0" collapsed="false">
      <c r="B10166" s="10"/>
      <c r="C10166" s="10"/>
      <c r="D10166" s="10"/>
      <c r="E10166" s="10"/>
      <c r="F10166" s="10"/>
    </row>
    <row r="10167" customFormat="false" ht="15.75" hidden="false" customHeight="true" outlineLevel="0" collapsed="false">
      <c r="B10167" s="10"/>
      <c r="C10167" s="10"/>
      <c r="D10167" s="10"/>
      <c r="E10167" s="10"/>
      <c r="F10167" s="10"/>
    </row>
    <row r="10168" customFormat="false" ht="15.75" hidden="false" customHeight="true" outlineLevel="0" collapsed="false">
      <c r="B10168" s="10"/>
      <c r="C10168" s="10"/>
      <c r="D10168" s="10"/>
      <c r="E10168" s="10"/>
      <c r="F10168" s="10"/>
    </row>
    <row r="10169" customFormat="false" ht="15.75" hidden="false" customHeight="true" outlineLevel="0" collapsed="false">
      <c r="B10169" s="10"/>
      <c r="C10169" s="10"/>
      <c r="D10169" s="10"/>
      <c r="E10169" s="10"/>
      <c r="F10169" s="10"/>
    </row>
    <row r="10170" customFormat="false" ht="24" hidden="false" customHeight="true" outlineLevel="0" collapsed="false">
      <c r="B10170" s="48" t="str">
        <f aca="false">Cab_Mentions</f>
        <v>ALTHO EXPERTISE · SAS au capital de 10 000 € · RCS Pontoise 919 706 325 · TVA FR62919706325 · Société d'expertise comptable inscrite au Tableau de l'Ordre des experts-comptables de Paris Île-de-France</v>
      </c>
      <c r="C10170" s="48"/>
      <c r="D10170" s="48"/>
      <c r="E10170" s="48"/>
      <c r="F10170" s="48"/>
    </row>
    <row r="10171" customFormat="false" ht="15" hidden="false" customHeight="false" outlineLevel="0" collapsed="false">
      <c r="B10171" s="10"/>
      <c r="C10171" s="10"/>
      <c r="D10171" s="10"/>
      <c r="E10171" s="10"/>
      <c r="F10171" s="10"/>
      <c r="J10171" s="25" t="s">
        <v>142</v>
      </c>
      <c r="K10171" s="25" t="n">
        <f aca="false">IFERROR(MATCH(227,Clients!$Z$2:$Z$501,0),0)</f>
        <v>0</v>
      </c>
      <c r="L10171" s="25"/>
      <c r="M10171" s="25"/>
      <c r="N10171" s="25"/>
      <c r="O10171" s="25"/>
    </row>
    <row r="10172" customFormat="false" ht="21.75" hidden="false" customHeight="true" outlineLevel="0" collapsed="false">
      <c r="B10172" s="26" t="str">
        <f aca="false">Cab_Nom</f>
        <v>ALTHO EXPERTISE</v>
      </c>
      <c r="C10172" s="26"/>
      <c r="D10172" s="10"/>
      <c r="E10172" s="27" t="str">
        <f aca="false">IF($K$10171=0,"","Réf. client : "&amp;INDEX(Clients!$A$2:$A$501,$K$10171))</f>
        <v/>
      </c>
      <c r="F10172" s="27"/>
      <c r="J10172" s="25" t="s">
        <v>144</v>
      </c>
      <c r="K10172" s="25" t="str">
        <f aca="false">IF(IF($K$10171=0,"",INDEX(Clients!$B$2:$B$501,$K$10171)&amp;"")="Mme","Madame",IF(IF($K$10171=0,"",INDEX(Clients!$B$2:$B$501,$K$10171)&amp;"")="M.","Monsieur","Madame, Monsieur"))</f>
        <v>Madame, Monsieur</v>
      </c>
      <c r="L10172" s="25"/>
      <c r="M10172" s="25"/>
      <c r="N10172" s="25"/>
      <c r="O10172" s="25"/>
    </row>
    <row r="10173" customFormat="false" ht="15" hidden="false" customHeight="false" outlineLevel="0" collapsed="false">
      <c r="B10173" s="29" t="str">
        <f aca="false">Cab_Adr1</f>
        <v>141 rue Charles de Gaulle</v>
      </c>
      <c r="C10173" s="29"/>
      <c r="D10173" s="10"/>
      <c r="E10173" s="10"/>
      <c r="F10173" s="10"/>
      <c r="J10173" s="25" t="s">
        <v>145</v>
      </c>
      <c r="K10173" s="25" t="str">
        <f aca="false">DAY(Date_Effet)&amp;IF(DAY(Date_Effet)=1,"er","")&amp;" "&amp;INDEX(Liste_Mois,MONTH(Date_Effet))&amp;" "&amp;YEAR(Date_Effet)</f>
        <v>1er janvier 2027</v>
      </c>
      <c r="L10173" s="25"/>
      <c r="M10173" s="25"/>
      <c r="N10173" s="25"/>
      <c r="O10173" s="25"/>
    </row>
    <row r="10174" customFormat="false" ht="15" hidden="false" customHeight="false" outlineLevel="0" collapsed="false">
      <c r="B10174" s="29" t="str">
        <f aca="false">Cab_CPVille</f>
        <v>95130 LE PLESSIS-BOUCHARD</v>
      </c>
      <c r="C10174" s="29"/>
      <c r="D10174" s="10"/>
      <c r="E10174" s="10"/>
      <c r="F10174" s="10"/>
      <c r="J10174" s="25" t="s">
        <v>146</v>
      </c>
      <c r="K10174" s="25" t="str">
        <f aca="false">IF(SUM($K$10198:$K$10201)=0,"",FIXED((SUM($L$10198:$L$10201)/SUM($K$10198:$K$10201)-1)*100,1)&amp;" %")</f>
        <v/>
      </c>
      <c r="L10174" s="25"/>
      <c r="M10174" s="25"/>
      <c r="N10174" s="25"/>
      <c r="O10174" s="25"/>
    </row>
    <row r="10175" customFormat="false" ht="15" hidden="false" customHeight="false" outlineLevel="0" collapsed="false">
      <c r="B10175" s="29" t="str">
        <f aca="false">Cab_Contact</f>
        <v>Tél. 01 34 14 53 45  ·  altho@altho-experts.com  ·  altho-experts.com</v>
      </c>
      <c r="C10175" s="29"/>
      <c r="D10175" s="10"/>
      <c r="E10175" s="10"/>
      <c r="F10175" s="10"/>
      <c r="J10175" s="25"/>
      <c r="K10175" s="25"/>
      <c r="L10175" s="25"/>
      <c r="M10175" s="25"/>
      <c r="N10175" s="25"/>
      <c r="O10175" s="25"/>
    </row>
    <row r="10176" customFormat="false" ht="6" hidden="false" customHeight="true" outlineLevel="0" collapsed="false">
      <c r="B10176" s="32"/>
      <c r="C10176" s="32"/>
      <c r="D10176" s="32"/>
      <c r="E10176" s="32"/>
      <c r="F10176" s="32"/>
      <c r="J10176" s="25"/>
      <c r="K10176" s="25"/>
      <c r="L10176" s="25"/>
      <c r="M10176" s="25"/>
      <c r="N10176" s="25"/>
      <c r="O10176" s="25"/>
    </row>
    <row r="10177" customFormat="false" ht="13.5" hidden="false" customHeight="true" outlineLevel="0" collapsed="false">
      <c r="B10177" s="10"/>
      <c r="C10177" s="10"/>
      <c r="D10177" s="10"/>
      <c r="E10177" s="10"/>
      <c r="F10177" s="10"/>
      <c r="J10177" s="25"/>
      <c r="K10177" s="25"/>
      <c r="L10177" s="25"/>
      <c r="M10177" s="25"/>
      <c r="N10177" s="25"/>
      <c r="O10177" s="25"/>
    </row>
    <row r="10178" customFormat="false" ht="13.5" hidden="false" customHeight="true" outlineLevel="0" collapsed="false">
      <c r="B10178" s="10"/>
      <c r="C10178" s="10"/>
      <c r="D10178" s="10"/>
      <c r="E10178" s="10"/>
      <c r="F10178" s="10"/>
      <c r="J10178" s="25"/>
      <c r="K10178" s="25"/>
      <c r="L10178" s="25"/>
      <c r="M10178" s="25"/>
      <c r="N10178" s="25"/>
      <c r="O10178" s="25"/>
    </row>
    <row r="10179" customFormat="false" ht="13.5" hidden="false" customHeight="true" outlineLevel="0" collapsed="false">
      <c r="B10179" s="10"/>
      <c r="C10179" s="10"/>
      <c r="D10179" s="10"/>
      <c r="E10179" s="10"/>
      <c r="F10179" s="10"/>
      <c r="J10179" s="25"/>
      <c r="K10179" s="25"/>
      <c r="L10179" s="25"/>
      <c r="M10179" s="25"/>
      <c r="N10179" s="25"/>
      <c r="O10179" s="25"/>
    </row>
    <row r="10180" customFormat="false" ht="15" hidden="false" customHeight="true" outlineLevel="0" collapsed="false">
      <c r="B10180" s="10"/>
      <c r="C10180" s="10"/>
      <c r="D10180" s="34" t="str">
        <f aca="false">IF($K$10171=0,"",INDEX(Clients!$E$2:$E$501,$K$10171)&amp;"")</f>
        <v/>
      </c>
      <c r="E10180" s="34"/>
      <c r="F10180" s="34"/>
      <c r="J10180" s="25"/>
      <c r="K10180" s="25"/>
      <c r="L10180" s="25"/>
      <c r="M10180" s="25"/>
      <c r="N10180" s="25"/>
      <c r="O10180" s="25"/>
    </row>
    <row r="10181" customFormat="false" ht="15" hidden="false" customHeight="true" outlineLevel="0" collapsed="false">
      <c r="B10181" s="10"/>
      <c r="C10181" s="10"/>
      <c r="D10181" s="35" t="str">
        <f aca="false">IF(IF($K$10171=0,"",INDEX(Clients!$D$2:$D$501,$K$10171)&amp;"")="","","À l'attention de "&amp;TRIM(IF($K$10171=0,"",INDEX(Clients!$B$2:$B$501,$K$10171)&amp;"")&amp;" "&amp;IF($K$10171=0,"",INDEX(Clients!$C$2:$C$501,$K$10171)&amp;"")&amp;" "&amp;IF($K$10171=0,"",INDEX(Clients!$D$2:$D$501,$K$10171)&amp;"")))</f>
        <v/>
      </c>
      <c r="E10181" s="35"/>
      <c r="F10181" s="35"/>
      <c r="J10181" s="25"/>
      <c r="K10181" s="25"/>
      <c r="L10181" s="25"/>
      <c r="M10181" s="25"/>
      <c r="N10181" s="25"/>
      <c r="O10181" s="25"/>
    </row>
    <row r="10182" customFormat="false" ht="15" hidden="false" customHeight="true" outlineLevel="0" collapsed="false">
      <c r="B10182" s="10"/>
      <c r="C10182" s="10"/>
      <c r="D10182" s="35" t="str">
        <f aca="false">IF($K$10171=0,"",INDEX(Clients!$F$2:$F$501,$K$10171)&amp;"")</f>
        <v/>
      </c>
      <c r="E10182" s="35"/>
      <c r="F10182" s="35"/>
      <c r="J10182" s="25"/>
      <c r="K10182" s="25"/>
      <c r="L10182" s="25"/>
      <c r="M10182" s="25"/>
      <c r="N10182" s="25"/>
      <c r="O10182" s="25"/>
    </row>
    <row r="10183" customFormat="false" ht="15" hidden="false" customHeight="true" outlineLevel="0" collapsed="false">
      <c r="B10183" s="10"/>
      <c r="C10183" s="10"/>
      <c r="D10183" s="35" t="str">
        <f aca="false">IF(IF($K$10171=0,"",INDEX(Clients!$G$2:$G$501,$K$10171)&amp;"")="",TRIM(IF($K$10171=0,"",INDEX(Clients!$H$2:$H$501,$K$10171)&amp;"")&amp;" "&amp;UPPER(IF($K$10171=0,"",INDEX(Clients!$I$2:$I$501,$K$10171)&amp;""))),IF($K$10171=0,"",INDEX(Clients!$G$2:$G$501,$K$10171)&amp;""))</f>
        <v/>
      </c>
      <c r="E10183" s="35"/>
      <c r="F10183" s="35"/>
      <c r="J10183" s="25"/>
      <c r="K10183" s="25"/>
      <c r="L10183" s="25"/>
      <c r="M10183" s="25"/>
      <c r="N10183" s="25"/>
      <c r="O10183" s="25"/>
    </row>
    <row r="10184" customFormat="false" ht="15" hidden="false" customHeight="true" outlineLevel="0" collapsed="false">
      <c r="B10184" s="10"/>
      <c r="C10184" s="10"/>
      <c r="D10184" s="35" t="str">
        <f aca="false">IF(IF($K$10171=0,"",INDEX(Clients!$G$2:$G$501,$K$10171)&amp;"")="","",TRIM(IF($K$10171=0,"",INDEX(Clients!$H$2:$H$501,$K$10171)&amp;"")&amp;" "&amp;UPPER(IF($K$10171=0,"",INDEX(Clients!$I$2:$I$501,$K$10171)&amp;""))))</f>
        <v/>
      </c>
      <c r="E10184" s="35"/>
      <c r="F10184" s="35"/>
      <c r="J10184" s="25"/>
      <c r="K10184" s="25"/>
      <c r="L10184" s="25"/>
      <c r="M10184" s="25"/>
      <c r="N10184" s="25"/>
      <c r="O10184" s="25"/>
    </row>
    <row r="10185" customFormat="false" ht="25.5" hidden="false" customHeight="true" outlineLevel="0" collapsed="false">
      <c r="B10185" s="10"/>
      <c r="C10185" s="10"/>
      <c r="D10185" s="10"/>
      <c r="E10185" s="10"/>
      <c r="F10185" s="10"/>
      <c r="J10185" s="25"/>
      <c r="K10185" s="25"/>
      <c r="L10185" s="25"/>
      <c r="M10185" s="25"/>
      <c r="N10185" s="25"/>
      <c r="O10185" s="25"/>
    </row>
    <row r="10186" customFormat="false" ht="15" hidden="false" customHeight="false" outlineLevel="0" collapsed="false">
      <c r="B10186" s="10"/>
      <c r="C10186" s="10"/>
      <c r="D10186" s="36" t="str">
        <f aca="false">Cab_Ville&amp;", le "&amp;DAY(Date_Courrier)&amp;IF(DAY(Date_Courrier)=1,"er","")&amp;" "&amp;INDEX(Liste_Mois,MONTH(Date_Courrier))&amp;" "&amp;YEAR(Date_Courrier)</f>
        <v>Le Plessis-Bouchard, le 22 septembre 2026</v>
      </c>
      <c r="E10186" s="36"/>
      <c r="F10186" s="36"/>
      <c r="J10186" s="25"/>
      <c r="K10186" s="25"/>
      <c r="L10186" s="25"/>
      <c r="M10186" s="25"/>
      <c r="N10186" s="25"/>
      <c r="O10186" s="25"/>
    </row>
    <row r="10187" customFormat="false" ht="19.5" hidden="false" customHeight="true" outlineLevel="0" collapsed="false">
      <c r="B10187" s="10"/>
      <c r="C10187" s="10"/>
      <c r="D10187" s="10"/>
      <c r="E10187" s="10"/>
      <c r="F10187" s="10"/>
      <c r="J10187" s="25"/>
      <c r="K10187" s="25"/>
      <c r="L10187" s="25"/>
      <c r="M10187" s="25"/>
      <c r="N10187" s="25"/>
      <c r="O10187" s="25"/>
    </row>
    <row r="10188" customFormat="false" ht="15" hidden="false" customHeight="false" outlineLevel="0" collapsed="false">
      <c r="B10188" s="34" t="str">
        <f aca="false">SUBSTITUTE(SUBSTITUTE(SUBSTITUTE(SUBSTITUTE(SUBSTITUTE(Txt_Objet,"{cabinet}",Cab_Nom),"{societe}",IF($K$10171=0,"",INDEX(Clients!$E$2:$E$501,$K$10171)&amp;"")),"{date_effet}",$K$10173),"{hausse}",$K$10174),"{civilite}",$K$10172)</f>
        <v>Objet : révision de nos honoraires au 1er janvier 2027</v>
      </c>
      <c r="C10188" s="34"/>
      <c r="D10188" s="34"/>
      <c r="E10188" s="34"/>
      <c r="F10188" s="34"/>
      <c r="J10188" s="25"/>
      <c r="K10188" s="25"/>
      <c r="L10188" s="25"/>
      <c r="M10188" s="25"/>
      <c r="N10188" s="25"/>
      <c r="O10188" s="25"/>
    </row>
    <row r="10189" customFormat="false" ht="13.5" hidden="false" customHeight="true" outlineLevel="0" collapsed="false">
      <c r="B10189" s="10"/>
      <c r="C10189" s="10"/>
      <c r="D10189" s="10"/>
      <c r="E10189" s="10"/>
      <c r="F10189" s="10"/>
      <c r="J10189" s="25"/>
      <c r="K10189" s="25"/>
      <c r="L10189" s="25"/>
      <c r="M10189" s="25"/>
      <c r="N10189" s="25"/>
      <c r="O10189" s="25"/>
    </row>
    <row r="10190" customFormat="false" ht="15" hidden="false" customHeight="false" outlineLevel="0" collapsed="false">
      <c r="B10190" s="10" t="str">
        <f aca="false">$K$10172&amp;","</f>
        <v>Madame, Monsieur,</v>
      </c>
      <c r="C10190" s="10"/>
      <c r="D10190" s="10"/>
      <c r="E10190" s="10"/>
      <c r="F10190" s="10"/>
      <c r="J10190" s="25"/>
      <c r="K10190" s="25"/>
      <c r="L10190" s="25"/>
      <c r="M10190" s="25"/>
      <c r="N10190" s="25"/>
      <c r="O10190" s="25"/>
    </row>
    <row r="10191" customFormat="false" ht="6" hidden="false" customHeight="true" outlineLevel="0" collapsed="false">
      <c r="B10191" s="10"/>
      <c r="C10191" s="10"/>
      <c r="D10191" s="10"/>
      <c r="E10191" s="10"/>
      <c r="F10191" s="10"/>
      <c r="J10191" s="25"/>
      <c r="K10191" s="25"/>
      <c r="L10191" s="25"/>
      <c r="M10191" s="25"/>
      <c r="N10191" s="25"/>
      <c r="O10191" s="25"/>
    </row>
    <row r="10192" customFormat="false" ht="36.75" hidden="false" customHeight="true" outlineLevel="0" collapsed="false">
      <c r="B10192" s="37" t="str">
        <f aca="false">SUBSTITUTE(SUBSTITUTE(SUBSTITUTE(SUBSTITUTE(SUBSTITUTE(Txt_P1,"{cabinet}",Cab_Nom),"{societe}",IF($K$10171=0,"",INDEX(Clients!$E$2:$E$501,$K$10171)&amp;"")),"{date_effet}",$K$10173),"{hausse}",$K$10174),"{civilite}",$K$10172)</f>
        <v>Nous tenons tout d'abord à vous remercier pour la confiance que vous accordez à ALTHO EXPERTISE. Comme chaque année, et conformément aux dispositions de votre lettre de mission, nous procédons à la révision de nos honoraires.</v>
      </c>
      <c r="C10192" s="37"/>
      <c r="D10192" s="37"/>
      <c r="E10192" s="37"/>
      <c r="F10192" s="37"/>
      <c r="J10192" s="25"/>
      <c r="K10192" s="25"/>
      <c r="L10192" s="25"/>
      <c r="M10192" s="25"/>
      <c r="N10192" s="25"/>
      <c r="O10192" s="25"/>
    </row>
    <row r="10193" customFormat="false" ht="49.5" hidden="false" customHeight="true" outlineLevel="0" collapsed="false">
      <c r="B10193" s="37" t="str">
        <f aca="false">SUBSTITUTE(SUBSTITUTE(SUBSTITUTE(SUBSTITUTE(SUBSTITUTE(Txt_P2,"{cabinet}",Cab_Nom),"{societe}",IF($K$10171=0,"",INDEX(Clients!$E$2:$E$501,$K$10171)&amp;"")),"{date_effet}",$K$10173),"{hausse}",$K$10174),"{civilite}",$K$10172)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193" s="37"/>
      <c r="D10193" s="37"/>
      <c r="E10193" s="37"/>
      <c r="F10193" s="37"/>
      <c r="J10193" s="25"/>
      <c r="K10193" s="25"/>
      <c r="L10193" s="25"/>
      <c r="M10193" s="25"/>
      <c r="N10193" s="25"/>
      <c r="O10193" s="25"/>
    </row>
    <row r="10194" customFormat="false" ht="63" hidden="false" customHeight="true" outlineLevel="0" collapsed="false">
      <c r="B10194" s="37" t="str">
        <f aca="false">SUBSTITUTE(SUBSTITUTE(SUBSTITUTE(SUBSTITUTE(SUBSTITUTE(Txt_P3,"{cabinet}",Cab_Nom),"{societe}",IF($K$10171=0,"",INDEX(Clients!$E$2:$E$501,$K$10171)&amp;"")),"{date_effet}",$K$10173),"{hausse}",$K$10174),"{civilite}",$K$10172)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194" s="37"/>
      <c r="D10194" s="37"/>
      <c r="E10194" s="37"/>
      <c r="F10194" s="37"/>
      <c r="J10194" s="25"/>
      <c r="K10194" s="25"/>
      <c r="L10194" s="25"/>
      <c r="M10194" s="25"/>
      <c r="N10194" s="25"/>
      <c r="O10194" s="25"/>
    </row>
    <row r="10195" customFormat="false" ht="24" hidden="false" customHeight="true" outlineLevel="0" collapsed="false">
      <c r="B10195" s="37" t="str">
        <f aca="false">SUBSTITUTE(SUBSTITUTE(SUBSTITUTE(SUBSTITUTE(SUBSTITUTE(Txt_P4,"{cabinet}",Cab_Nom),"{societe}",IF($K$10171=0,"",INDEX(Clients!$E$2:$E$501,$K$10171)&amp;"")),"{date_effet}",$K$10173),"{hausse}",$K$10174),"{civilite}",$K$10172)</f>
        <v>À compter du 1er janvier 2027, vos honoraires annuels hors taxes évolueront ainsi (évolution globale : ) :</v>
      </c>
      <c r="C10195" s="37"/>
      <c r="D10195" s="37"/>
      <c r="E10195" s="37"/>
      <c r="F10195" s="37"/>
      <c r="J10195" s="25"/>
      <c r="K10195" s="25"/>
      <c r="L10195" s="25"/>
      <c r="M10195" s="25"/>
      <c r="N10195" s="25"/>
      <c r="O10195" s="25"/>
    </row>
    <row r="10196" customFormat="false" ht="3.75" hidden="false" customHeight="true" outlineLevel="0" collapsed="false">
      <c r="B10196" s="10"/>
      <c r="C10196" s="10"/>
      <c r="D10196" s="10"/>
      <c r="E10196" s="10"/>
      <c r="F10196" s="10"/>
      <c r="J10196" s="25"/>
      <c r="K10196" s="25"/>
      <c r="L10196" s="25"/>
      <c r="M10196" s="25"/>
      <c r="N10196" s="25"/>
      <c r="O10196" s="25"/>
    </row>
    <row r="10197" customFormat="false" ht="18" hidden="false" customHeight="true" outlineLevel="0" collapsed="false">
      <c r="B10197" s="38" t="s">
        <v>148</v>
      </c>
      <c r="C10197" s="39" t="s">
        <v>149</v>
      </c>
      <c r="D10197" s="39" t="s">
        <v>150</v>
      </c>
      <c r="E10197" s="39" t="s">
        <v>151</v>
      </c>
      <c r="F10197" s="39" t="s">
        <v>109</v>
      </c>
      <c r="J10197" s="25" t="s">
        <v>152</v>
      </c>
      <c r="K10197" s="25" t="s">
        <v>153</v>
      </c>
      <c r="L10197" s="25" t="s">
        <v>154</v>
      </c>
      <c r="M10197" s="25" t="s">
        <v>155</v>
      </c>
      <c r="N10197" s="25" t="s">
        <v>156</v>
      </c>
      <c r="O10197" s="25" t="s">
        <v>157</v>
      </c>
    </row>
    <row r="10198" customFormat="false" ht="16.5" hidden="false" customHeight="true" outlineLevel="0" collapsed="false">
      <c r="B10198" s="40" t="str">
        <f aca="false">IFERROR(INDEX($J$10198:$J$10201,MATCH($O10198,$N$10198:$N$10201,0)),"")</f>
        <v/>
      </c>
      <c r="C10198" s="41" t="str">
        <f aca="false">IFERROR(INDEX($K$10198:$K$10201,MATCH($O10198,$N$10198:$N$10201,0)),"")</f>
        <v/>
      </c>
      <c r="D10198" s="42" t="str">
        <f aca="false">IF(OR(E10198="",N(C10198)=0),"",E10198/C10198-1)</f>
        <v/>
      </c>
      <c r="E10198" s="41" t="str">
        <f aca="false">IFERROR(INDEX($L$10198:$L$10201,MATCH($O10198,$N$10198:$N$10201,0)),"")</f>
        <v/>
      </c>
      <c r="F10198" s="41" t="str">
        <f aca="false">IF(E10198="","",E10198-C10198)</f>
        <v/>
      </c>
      <c r="J10198" s="25" t="str">
        <f aca="false">Lib_Compta</f>
        <v>Mission comptable (tenue, révision, bilan, liasse fiscale)</v>
      </c>
      <c r="K10198" s="25" t="n">
        <f aca="false">IF($K$10171=0,0,N(INDEX(Clients!$K$2:$K$501,$K$10171)))</f>
        <v>0</v>
      </c>
      <c r="L10198" s="25" t="n">
        <f aca="false">IF($K$10171=0,0,N(INDEX(Clients!$P$2:$P$501,$K$10171)))</f>
        <v>0</v>
      </c>
      <c r="M10198" s="25" t="n">
        <f aca="false">IF(OR(K10198&lt;&gt;0,L10198&lt;&gt;0),1,0)</f>
        <v>0</v>
      </c>
      <c r="N10198" s="25" t="str">
        <f aca="false">IF(M10198=1,SUM($M$10198:M10198),"")</f>
        <v/>
      </c>
      <c r="O10198" s="25" t="n">
        <v>1</v>
      </c>
    </row>
    <row r="10199" customFormat="false" ht="16.5" hidden="false" customHeight="true" outlineLevel="0" collapsed="false">
      <c r="B10199" s="40" t="str">
        <f aca="false">IFERROR(INDEX($J$10198:$J$10201,MATCH($O10199,$N$10198:$N$10201,0)),"")</f>
        <v/>
      </c>
      <c r="C10199" s="41" t="str">
        <f aca="false">IFERROR(INDEX($K$10198:$K$10201,MATCH($O10199,$N$10198:$N$10201,0)),"")</f>
        <v/>
      </c>
      <c r="D10199" s="42" t="str">
        <f aca="false">IF(OR(E10199="",N(C10199)=0),"",E10199/C10199-1)</f>
        <v/>
      </c>
      <c r="E10199" s="41" t="str">
        <f aca="false">IFERROR(INDEX($L$10198:$L$10201,MATCH($O10199,$N$10198:$N$10201,0)),"")</f>
        <v/>
      </c>
      <c r="F10199" s="41" t="str">
        <f aca="false">IF(E10199="","",E10199-C10199)</f>
        <v/>
      </c>
      <c r="J10199" s="25" t="str">
        <f aca="false">Lib_Paye</f>
        <v>Mission sociale (bulletins de paie, DSN, déclarations sociales)</v>
      </c>
      <c r="K10199" s="25" t="n">
        <f aca="false">IF($K$10171=0,0,N(INDEX(Clients!$L$2:$L$501,$K$10171)))</f>
        <v>0</v>
      </c>
      <c r="L10199" s="25" t="n">
        <f aca="false">IF($K$10171=0,0,N(INDEX(Clients!$Q$2:$Q$501,$K$10171)))</f>
        <v>0</v>
      </c>
      <c r="M10199" s="25" t="n">
        <f aca="false">IF(OR(K10199&lt;&gt;0,L10199&lt;&gt;0),1,0)</f>
        <v>0</v>
      </c>
      <c r="N10199" s="25" t="str">
        <f aca="false">IF(M10199=1,SUM($M$10198:M10199),"")</f>
        <v/>
      </c>
      <c r="O10199" s="25" t="n">
        <v>2</v>
      </c>
    </row>
    <row r="10200" customFormat="false" ht="16.5" hidden="false" customHeight="true" outlineLevel="0" collapsed="false">
      <c r="B10200" s="40" t="str">
        <f aca="false">IFERROR(INDEX($J$10198:$J$10201,MATCH($O10200,$N$10198:$N$10201,0)),"")</f>
        <v/>
      </c>
      <c r="C10200" s="41" t="str">
        <f aca="false">IFERROR(INDEX($K$10198:$K$10201,MATCH($O10200,$N$10198:$N$10201,0)),"")</f>
        <v/>
      </c>
      <c r="D10200" s="42" t="str">
        <f aca="false">IF(OR(E10200="",N(C10200)=0),"",E10200/C10200-1)</f>
        <v/>
      </c>
      <c r="E10200" s="41" t="str">
        <f aca="false">IFERROR(INDEX($L$10198:$L$10201,MATCH($O10200,$N$10198:$N$10201,0)),"")</f>
        <v/>
      </c>
      <c r="F10200" s="41" t="str">
        <f aca="false">IF(E10200="","",E10200-C10200)</f>
        <v/>
      </c>
      <c r="J10200" s="25" t="str">
        <f aca="false">Lib_Jur</f>
        <v>Mission juridique (approbation des comptes, secrétariat juridique)</v>
      </c>
      <c r="K10200" s="25" t="n">
        <f aca="false">IF($K$10171=0,0,N(INDEX(Clients!$M$2:$M$501,$K$10171)))</f>
        <v>0</v>
      </c>
      <c r="L10200" s="25" t="n">
        <f aca="false">IF($K$10171=0,0,N(INDEX(Clients!$R$2:$R$501,$K$10171)))</f>
        <v>0</v>
      </c>
      <c r="M10200" s="25" t="n">
        <f aca="false">IF(OR(K10200&lt;&gt;0,L10200&lt;&gt;0),1,0)</f>
        <v>0</v>
      </c>
      <c r="N10200" s="25" t="str">
        <f aca="false">IF(M10200=1,SUM($M$10198:M10200),"")</f>
        <v/>
      </c>
      <c r="O10200" s="25" t="n">
        <v>3</v>
      </c>
    </row>
    <row r="10201" customFormat="false" ht="16.5" hidden="false" customHeight="true" outlineLevel="0" collapsed="false">
      <c r="B10201" s="40" t="str">
        <f aca="false">IFERROR(INDEX($J$10198:$J$10201,MATCH($O10201,$N$10198:$N$10201,0)),"")</f>
        <v/>
      </c>
      <c r="C10201" s="41" t="str">
        <f aca="false">IFERROR(INDEX($K$10198:$K$10201,MATCH($O10201,$N$10198:$N$10201,0)),"")</f>
        <v/>
      </c>
      <c r="D10201" s="42" t="str">
        <f aca="false">IF(OR(E10201="",N(C10201)=0),"",E10201/C10201-1)</f>
        <v/>
      </c>
      <c r="E10201" s="41" t="str">
        <f aca="false">IFERROR(INDEX($L$10198:$L$10201,MATCH($O10201,$N$10198:$N$10201,0)),"")</f>
        <v/>
      </c>
      <c r="F10201" s="41" t="str">
        <f aca="false">IF(E10201="","",E10201-C10201)</f>
        <v/>
      </c>
      <c r="J10201" s="25" t="str">
        <f aca="false">Lib_PA</f>
        <v>Plateforme agréée – facturation électronique</v>
      </c>
      <c r="K10201" s="25" t="n">
        <f aca="false">IF($K$10171=0,0,N(INDEX(Clients!$N$2:$N$501,$K$10171)))</f>
        <v>0</v>
      </c>
      <c r="L10201" s="25" t="n">
        <f aca="false">IF($K$10171=0,0,N(INDEX(Clients!$S$2:$S$501,$K$10171)))</f>
        <v>0</v>
      </c>
      <c r="M10201" s="25" t="n">
        <f aca="false">IF(OR(K10201&lt;&gt;0,L10201&lt;&gt;0),1,0)</f>
        <v>0</v>
      </c>
      <c r="N10201" s="25" t="str">
        <f aca="false">IF(M10201=1,SUM($M$10198:M10201),"")</f>
        <v/>
      </c>
      <c r="O10201" s="25" t="n">
        <v>4</v>
      </c>
    </row>
    <row r="10202" customFormat="false" ht="18" hidden="false" customHeight="true" outlineLevel="0" collapsed="false">
      <c r="B10202" s="43" t="s">
        <v>158</v>
      </c>
      <c r="C10202" s="44" t="n">
        <f aca="false">SUM(K10198:K10201)</f>
        <v>0</v>
      </c>
      <c r="D10202" s="45" t="str">
        <f aca="false">IF(N(C10202)=0,"",E10202/C10202-1)</f>
        <v/>
      </c>
      <c r="E10202" s="44" t="n">
        <f aca="false">SUM(L10198:L10201)</f>
        <v>0</v>
      </c>
      <c r="F10202" s="44" t="n">
        <f aca="false">E10202-C10202</f>
        <v>0</v>
      </c>
    </row>
    <row r="10203" customFormat="false" ht="15" hidden="false" customHeight="false" outlineLevel="0" collapsed="false">
      <c r="B10203" s="46" t="str">
        <f aca="false">IF(N(Nb_Mensualites)=0,"","Soit "&amp;FIXED(E10202/Nb_Mensualites,2)&amp;" € HT par échéance ("&amp;Nb_Mensualites&amp;" échéances), "&amp;FIXED(E10202/Nb_Mensualites*(1+Taux_TVA),2)&amp;" € TTC.")</f>
        <v>Soit 0.00 € HT par échéance (12 échéances), 0.00 € TTC.</v>
      </c>
      <c r="C10203" s="46"/>
      <c r="D10203" s="46"/>
      <c r="E10203" s="46"/>
      <c r="F10203" s="46"/>
    </row>
    <row r="10204" customFormat="false" ht="7.5" hidden="false" customHeight="true" outlineLevel="0" collapsed="false">
      <c r="B10204" s="10"/>
      <c r="C10204" s="10"/>
      <c r="D10204" s="10"/>
      <c r="E10204" s="10"/>
      <c r="F10204" s="10"/>
    </row>
    <row r="10205" customFormat="false" ht="36.75" hidden="false" customHeight="true" outlineLevel="0" collapsed="false">
      <c r="B10205" s="37" t="str">
        <f aca="false">SUBSTITUTE(SUBSTITUTE(SUBSTITUTE(SUBSTITUTE(SUBSTITUTE(Txt_P5,"{cabinet}",Cab_Nom),"{societe}",IF($K$10171=0,"",INDEX(Clients!$E$2:$E$501,$K$10171)&amp;"")),"{date_effet}",$K$10173),"{hausse}",$K$10174),"{civilite}",$K$10172)</f>
        <v>Les autres conditions de votre lettre de mission demeurent inchangées. Les nouveaux montants seront appliqués automatiquement sur vos prochaines factures et échéances de prélèvement.</v>
      </c>
      <c r="C10205" s="37"/>
      <c r="D10205" s="37"/>
      <c r="E10205" s="37"/>
      <c r="F10205" s="37"/>
    </row>
    <row r="10206" customFormat="false" ht="36.75" hidden="false" customHeight="true" outlineLevel="0" collapsed="false">
      <c r="B10206" s="37" t="str">
        <f aca="false">SUBSTITUTE(SUBSTITUTE(SUBSTITUTE(SUBSTITUTE(SUBSTITUTE(Txt_P6,"{cabinet}",Cab_Nom),"{societe}",IF($K$10171=0,"",INDEX(Clients!$E$2:$E$501,$K$10171)&amp;"")),"{date_effet}",$K$10173),"{hausse}",$K$10174),"{civilite}",$K$10172)</f>
        <v>Votre interlocuteur habituel reste à votre entière disposition pour répondre à vos questions et faire le point sur l'évolution de vos besoins.</v>
      </c>
      <c r="C10206" s="37"/>
      <c r="D10206" s="37"/>
      <c r="E10206" s="37"/>
      <c r="F10206" s="37"/>
    </row>
    <row r="10207" customFormat="false" ht="24" hidden="false" customHeight="true" outlineLevel="0" collapsed="false">
      <c r="B10207" s="37" t="str">
        <f aca="false">SUBSTITUTE(SUBSTITUTE(SUBSTITUTE(SUBSTITUTE(SUBSTITUTE(Txt_Politesse,"{cabinet}",Cab_Nom),"{societe}",IF($K$10171=0,"",INDEX(Clients!$E$2:$E$501,$K$10171)&amp;"")),"{date_effet}",$K$10173),"{hausse}",$K$10174),"{civilite}",$K$10172)</f>
        <v>Nous vous prions d'agréer, Madame, Monsieur, l'expression de nos salutations distinguées.</v>
      </c>
      <c r="C10207" s="37"/>
      <c r="D10207" s="37"/>
      <c r="E10207" s="37"/>
      <c r="F10207" s="37"/>
    </row>
    <row r="10208" customFormat="false" ht="15" hidden="false" customHeight="false" outlineLevel="0" collapsed="false">
      <c r="B10208" s="10"/>
      <c r="C10208" s="10"/>
      <c r="D10208" s="10"/>
      <c r="E10208" s="10"/>
      <c r="F10208" s="10"/>
    </row>
    <row r="10209" customFormat="false" ht="15" hidden="false" customHeight="false" outlineLevel="0" collapsed="false">
      <c r="B10209" s="10"/>
      <c r="C10209" s="10"/>
      <c r="D10209" s="34" t="str">
        <f aca="false">Signataire</f>
        <v>Prénom NOM</v>
      </c>
      <c r="E10209" s="34"/>
      <c r="F10209" s="34"/>
    </row>
    <row r="10210" customFormat="false" ht="15" hidden="false" customHeight="false" outlineLevel="0" collapsed="false">
      <c r="B10210" s="10"/>
      <c r="C10210" s="10"/>
      <c r="D10210" s="47" t="str">
        <f aca="false">Signataire_Titre</f>
        <v>Expert-comptable associé</v>
      </c>
      <c r="E10210" s="47"/>
      <c r="F10210" s="47"/>
    </row>
    <row r="10211" customFormat="false" ht="15.75" hidden="false" customHeight="true" outlineLevel="0" collapsed="false">
      <c r="B10211" s="10"/>
      <c r="C10211" s="10"/>
      <c r="D10211" s="10"/>
      <c r="E10211" s="10"/>
      <c r="F10211" s="10"/>
    </row>
    <row r="10212" customFormat="false" ht="15.75" hidden="false" customHeight="true" outlineLevel="0" collapsed="false">
      <c r="B10212" s="10"/>
      <c r="C10212" s="10"/>
      <c r="D10212" s="10"/>
      <c r="E10212" s="10"/>
      <c r="F10212" s="10"/>
    </row>
    <row r="10213" customFormat="false" ht="15.75" hidden="false" customHeight="true" outlineLevel="0" collapsed="false">
      <c r="B10213" s="10"/>
      <c r="C10213" s="10"/>
      <c r="D10213" s="10"/>
      <c r="E10213" s="10"/>
      <c r="F10213" s="10"/>
    </row>
    <row r="10214" customFormat="false" ht="15.75" hidden="false" customHeight="true" outlineLevel="0" collapsed="false">
      <c r="B10214" s="10"/>
      <c r="C10214" s="10"/>
      <c r="D10214" s="10"/>
      <c r="E10214" s="10"/>
      <c r="F10214" s="10"/>
    </row>
    <row r="10215" customFormat="false" ht="24" hidden="false" customHeight="true" outlineLevel="0" collapsed="false">
      <c r="B10215" s="48" t="str">
        <f aca="false">Cab_Mentions</f>
        <v>ALTHO EXPERTISE · SAS au capital de 10 000 € · RCS Pontoise 919 706 325 · TVA FR62919706325 · Société d'expertise comptable inscrite au Tableau de l'Ordre des experts-comptables de Paris Île-de-France</v>
      </c>
      <c r="C10215" s="48"/>
      <c r="D10215" s="48"/>
      <c r="E10215" s="48"/>
      <c r="F10215" s="48"/>
    </row>
    <row r="10216" customFormat="false" ht="15" hidden="false" customHeight="false" outlineLevel="0" collapsed="false">
      <c r="B10216" s="10"/>
      <c r="C10216" s="10"/>
      <c r="D10216" s="10"/>
      <c r="E10216" s="10"/>
      <c r="F10216" s="10"/>
      <c r="J10216" s="25" t="s">
        <v>142</v>
      </c>
      <c r="K10216" s="25" t="n">
        <f aca="false">IFERROR(MATCH(228,Clients!$Z$2:$Z$501,0),0)</f>
        <v>0</v>
      </c>
      <c r="L10216" s="25"/>
      <c r="M10216" s="25"/>
      <c r="N10216" s="25"/>
      <c r="O10216" s="25"/>
    </row>
    <row r="10217" customFormat="false" ht="21.75" hidden="false" customHeight="true" outlineLevel="0" collapsed="false">
      <c r="B10217" s="26" t="str">
        <f aca="false">Cab_Nom</f>
        <v>ALTHO EXPERTISE</v>
      </c>
      <c r="C10217" s="26"/>
      <c r="D10217" s="10"/>
      <c r="E10217" s="27" t="str">
        <f aca="false">IF($K$10216=0,"","Réf. client : "&amp;INDEX(Clients!$A$2:$A$501,$K$10216))</f>
        <v/>
      </c>
      <c r="F10217" s="27"/>
      <c r="J10217" s="25" t="s">
        <v>144</v>
      </c>
      <c r="K10217" s="25" t="str">
        <f aca="false">IF(IF($K$10216=0,"",INDEX(Clients!$B$2:$B$501,$K$10216)&amp;"")="Mme","Madame",IF(IF($K$10216=0,"",INDEX(Clients!$B$2:$B$501,$K$10216)&amp;"")="M.","Monsieur","Madame, Monsieur"))</f>
        <v>Madame, Monsieur</v>
      </c>
      <c r="L10217" s="25"/>
      <c r="M10217" s="25"/>
      <c r="N10217" s="25"/>
      <c r="O10217" s="25"/>
    </row>
    <row r="10218" customFormat="false" ht="15" hidden="false" customHeight="false" outlineLevel="0" collapsed="false">
      <c r="B10218" s="29" t="str">
        <f aca="false">Cab_Adr1</f>
        <v>141 rue Charles de Gaulle</v>
      </c>
      <c r="C10218" s="29"/>
      <c r="D10218" s="10"/>
      <c r="E10218" s="10"/>
      <c r="F10218" s="10"/>
      <c r="J10218" s="25" t="s">
        <v>145</v>
      </c>
      <c r="K10218" s="25" t="str">
        <f aca="false">DAY(Date_Effet)&amp;IF(DAY(Date_Effet)=1,"er","")&amp;" "&amp;INDEX(Liste_Mois,MONTH(Date_Effet))&amp;" "&amp;YEAR(Date_Effet)</f>
        <v>1er janvier 2027</v>
      </c>
      <c r="L10218" s="25"/>
      <c r="M10218" s="25"/>
      <c r="N10218" s="25"/>
      <c r="O10218" s="25"/>
    </row>
    <row r="10219" customFormat="false" ht="15" hidden="false" customHeight="false" outlineLevel="0" collapsed="false">
      <c r="B10219" s="29" t="str">
        <f aca="false">Cab_CPVille</f>
        <v>95130 LE PLESSIS-BOUCHARD</v>
      </c>
      <c r="C10219" s="29"/>
      <c r="D10219" s="10"/>
      <c r="E10219" s="10"/>
      <c r="F10219" s="10"/>
      <c r="J10219" s="25" t="s">
        <v>146</v>
      </c>
      <c r="K10219" s="25" t="str">
        <f aca="false">IF(SUM($K$10243:$K$10246)=0,"",FIXED((SUM($L$10243:$L$10246)/SUM($K$10243:$K$10246)-1)*100,1)&amp;" %")</f>
        <v/>
      </c>
      <c r="L10219" s="25"/>
      <c r="M10219" s="25"/>
      <c r="N10219" s="25"/>
      <c r="O10219" s="25"/>
    </row>
    <row r="10220" customFormat="false" ht="15" hidden="false" customHeight="false" outlineLevel="0" collapsed="false">
      <c r="B10220" s="29" t="str">
        <f aca="false">Cab_Contact</f>
        <v>Tél. 01 34 14 53 45  ·  altho@altho-experts.com  ·  altho-experts.com</v>
      </c>
      <c r="C10220" s="29"/>
      <c r="D10220" s="10"/>
      <c r="E10220" s="10"/>
      <c r="F10220" s="10"/>
      <c r="J10220" s="25"/>
      <c r="K10220" s="25"/>
      <c r="L10220" s="25"/>
      <c r="M10220" s="25"/>
      <c r="N10220" s="25"/>
      <c r="O10220" s="25"/>
    </row>
    <row r="10221" customFormat="false" ht="6" hidden="false" customHeight="true" outlineLevel="0" collapsed="false">
      <c r="B10221" s="32"/>
      <c r="C10221" s="32"/>
      <c r="D10221" s="32"/>
      <c r="E10221" s="32"/>
      <c r="F10221" s="32"/>
      <c r="J10221" s="25"/>
      <c r="K10221" s="25"/>
      <c r="L10221" s="25"/>
      <c r="M10221" s="25"/>
      <c r="N10221" s="25"/>
      <c r="O10221" s="25"/>
    </row>
    <row r="10222" customFormat="false" ht="13.5" hidden="false" customHeight="true" outlineLevel="0" collapsed="false">
      <c r="B10222" s="10"/>
      <c r="C10222" s="10"/>
      <c r="D10222" s="10"/>
      <c r="E10222" s="10"/>
      <c r="F10222" s="10"/>
      <c r="J10222" s="25"/>
      <c r="K10222" s="25"/>
      <c r="L10222" s="25"/>
      <c r="M10222" s="25"/>
      <c r="N10222" s="25"/>
      <c r="O10222" s="25"/>
    </row>
    <row r="10223" customFormat="false" ht="13.5" hidden="false" customHeight="true" outlineLevel="0" collapsed="false">
      <c r="B10223" s="10"/>
      <c r="C10223" s="10"/>
      <c r="D10223" s="10"/>
      <c r="E10223" s="10"/>
      <c r="F10223" s="10"/>
      <c r="J10223" s="25"/>
      <c r="K10223" s="25"/>
      <c r="L10223" s="25"/>
      <c r="M10223" s="25"/>
      <c r="N10223" s="25"/>
      <c r="O10223" s="25"/>
    </row>
    <row r="10224" customFormat="false" ht="13.5" hidden="false" customHeight="true" outlineLevel="0" collapsed="false">
      <c r="B10224" s="10"/>
      <c r="C10224" s="10"/>
      <c r="D10224" s="10"/>
      <c r="E10224" s="10"/>
      <c r="F10224" s="10"/>
      <c r="J10224" s="25"/>
      <c r="K10224" s="25"/>
      <c r="L10224" s="25"/>
      <c r="M10224" s="25"/>
      <c r="N10224" s="25"/>
      <c r="O10224" s="25"/>
    </row>
    <row r="10225" customFormat="false" ht="15" hidden="false" customHeight="true" outlineLevel="0" collapsed="false">
      <c r="B10225" s="10"/>
      <c r="C10225" s="10"/>
      <c r="D10225" s="34" t="str">
        <f aca="false">IF($K$10216=0,"",INDEX(Clients!$E$2:$E$501,$K$10216)&amp;"")</f>
        <v/>
      </c>
      <c r="E10225" s="34"/>
      <c r="F10225" s="34"/>
      <c r="J10225" s="25"/>
      <c r="K10225" s="25"/>
      <c r="L10225" s="25"/>
      <c r="M10225" s="25"/>
      <c r="N10225" s="25"/>
      <c r="O10225" s="25"/>
    </row>
    <row r="10226" customFormat="false" ht="15" hidden="false" customHeight="true" outlineLevel="0" collapsed="false">
      <c r="B10226" s="10"/>
      <c r="C10226" s="10"/>
      <c r="D10226" s="35" t="str">
        <f aca="false">IF(IF($K$10216=0,"",INDEX(Clients!$D$2:$D$501,$K$10216)&amp;"")="","","À l'attention de "&amp;TRIM(IF($K$10216=0,"",INDEX(Clients!$B$2:$B$501,$K$10216)&amp;"")&amp;" "&amp;IF($K$10216=0,"",INDEX(Clients!$C$2:$C$501,$K$10216)&amp;"")&amp;" "&amp;IF($K$10216=0,"",INDEX(Clients!$D$2:$D$501,$K$10216)&amp;"")))</f>
        <v/>
      </c>
      <c r="E10226" s="35"/>
      <c r="F10226" s="35"/>
      <c r="J10226" s="25"/>
      <c r="K10226" s="25"/>
      <c r="L10226" s="25"/>
      <c r="M10226" s="25"/>
      <c r="N10226" s="25"/>
      <c r="O10226" s="25"/>
    </row>
    <row r="10227" customFormat="false" ht="15" hidden="false" customHeight="true" outlineLevel="0" collapsed="false">
      <c r="B10227" s="10"/>
      <c r="C10227" s="10"/>
      <c r="D10227" s="35" t="str">
        <f aca="false">IF($K$10216=0,"",INDEX(Clients!$F$2:$F$501,$K$10216)&amp;"")</f>
        <v/>
      </c>
      <c r="E10227" s="35"/>
      <c r="F10227" s="35"/>
      <c r="J10227" s="25"/>
      <c r="K10227" s="25"/>
      <c r="L10227" s="25"/>
      <c r="M10227" s="25"/>
      <c r="N10227" s="25"/>
      <c r="O10227" s="25"/>
    </row>
    <row r="10228" customFormat="false" ht="15" hidden="false" customHeight="true" outlineLevel="0" collapsed="false">
      <c r="B10228" s="10"/>
      <c r="C10228" s="10"/>
      <c r="D10228" s="35" t="str">
        <f aca="false">IF(IF($K$10216=0,"",INDEX(Clients!$G$2:$G$501,$K$10216)&amp;"")="",TRIM(IF($K$10216=0,"",INDEX(Clients!$H$2:$H$501,$K$10216)&amp;"")&amp;" "&amp;UPPER(IF($K$10216=0,"",INDEX(Clients!$I$2:$I$501,$K$10216)&amp;""))),IF($K$10216=0,"",INDEX(Clients!$G$2:$G$501,$K$10216)&amp;""))</f>
        <v/>
      </c>
      <c r="E10228" s="35"/>
      <c r="F10228" s="35"/>
      <c r="J10228" s="25"/>
      <c r="K10228" s="25"/>
      <c r="L10228" s="25"/>
      <c r="M10228" s="25"/>
      <c r="N10228" s="25"/>
      <c r="O10228" s="25"/>
    </row>
    <row r="10229" customFormat="false" ht="15" hidden="false" customHeight="true" outlineLevel="0" collapsed="false">
      <c r="B10229" s="10"/>
      <c r="C10229" s="10"/>
      <c r="D10229" s="35" t="str">
        <f aca="false">IF(IF($K$10216=0,"",INDEX(Clients!$G$2:$G$501,$K$10216)&amp;"")="","",TRIM(IF($K$10216=0,"",INDEX(Clients!$H$2:$H$501,$K$10216)&amp;"")&amp;" "&amp;UPPER(IF($K$10216=0,"",INDEX(Clients!$I$2:$I$501,$K$10216)&amp;""))))</f>
        <v/>
      </c>
      <c r="E10229" s="35"/>
      <c r="F10229" s="35"/>
      <c r="J10229" s="25"/>
      <c r="K10229" s="25"/>
      <c r="L10229" s="25"/>
      <c r="M10229" s="25"/>
      <c r="N10229" s="25"/>
      <c r="O10229" s="25"/>
    </row>
    <row r="10230" customFormat="false" ht="25.5" hidden="false" customHeight="true" outlineLevel="0" collapsed="false">
      <c r="B10230" s="10"/>
      <c r="C10230" s="10"/>
      <c r="D10230" s="10"/>
      <c r="E10230" s="10"/>
      <c r="F10230" s="10"/>
      <c r="J10230" s="25"/>
      <c r="K10230" s="25"/>
      <c r="L10230" s="25"/>
      <c r="M10230" s="25"/>
      <c r="N10230" s="25"/>
      <c r="O10230" s="25"/>
    </row>
    <row r="10231" customFormat="false" ht="15" hidden="false" customHeight="false" outlineLevel="0" collapsed="false">
      <c r="B10231" s="10"/>
      <c r="C10231" s="10"/>
      <c r="D10231" s="36" t="str">
        <f aca="false">Cab_Ville&amp;", le "&amp;DAY(Date_Courrier)&amp;IF(DAY(Date_Courrier)=1,"er","")&amp;" "&amp;INDEX(Liste_Mois,MONTH(Date_Courrier))&amp;" "&amp;YEAR(Date_Courrier)</f>
        <v>Le Plessis-Bouchard, le 22 septembre 2026</v>
      </c>
      <c r="E10231" s="36"/>
      <c r="F10231" s="36"/>
      <c r="J10231" s="25"/>
      <c r="K10231" s="25"/>
      <c r="L10231" s="25"/>
      <c r="M10231" s="25"/>
      <c r="N10231" s="25"/>
      <c r="O10231" s="25"/>
    </row>
    <row r="10232" customFormat="false" ht="19.5" hidden="false" customHeight="true" outlineLevel="0" collapsed="false">
      <c r="B10232" s="10"/>
      <c r="C10232" s="10"/>
      <c r="D10232" s="10"/>
      <c r="E10232" s="10"/>
      <c r="F10232" s="10"/>
      <c r="J10232" s="25"/>
      <c r="K10232" s="25"/>
      <c r="L10232" s="25"/>
      <c r="M10232" s="25"/>
      <c r="N10232" s="25"/>
      <c r="O10232" s="25"/>
    </row>
    <row r="10233" customFormat="false" ht="15" hidden="false" customHeight="false" outlineLevel="0" collapsed="false">
      <c r="B10233" s="34" t="str">
        <f aca="false">SUBSTITUTE(SUBSTITUTE(SUBSTITUTE(SUBSTITUTE(SUBSTITUTE(Txt_Objet,"{cabinet}",Cab_Nom),"{societe}",IF($K$10216=0,"",INDEX(Clients!$E$2:$E$501,$K$10216)&amp;"")),"{date_effet}",$K$10218),"{hausse}",$K$10219),"{civilite}",$K$10217)</f>
        <v>Objet : révision de nos honoraires au 1er janvier 2027</v>
      </c>
      <c r="C10233" s="34"/>
      <c r="D10233" s="34"/>
      <c r="E10233" s="34"/>
      <c r="F10233" s="34"/>
      <c r="J10233" s="25"/>
      <c r="K10233" s="25"/>
      <c r="L10233" s="25"/>
      <c r="M10233" s="25"/>
      <c r="N10233" s="25"/>
      <c r="O10233" s="25"/>
    </row>
    <row r="10234" customFormat="false" ht="13.5" hidden="false" customHeight="true" outlineLevel="0" collapsed="false">
      <c r="B10234" s="10"/>
      <c r="C10234" s="10"/>
      <c r="D10234" s="10"/>
      <c r="E10234" s="10"/>
      <c r="F10234" s="10"/>
      <c r="J10234" s="25"/>
      <c r="K10234" s="25"/>
      <c r="L10234" s="25"/>
      <c r="M10234" s="25"/>
      <c r="N10234" s="25"/>
      <c r="O10234" s="25"/>
    </row>
    <row r="10235" customFormat="false" ht="15" hidden="false" customHeight="false" outlineLevel="0" collapsed="false">
      <c r="B10235" s="10" t="str">
        <f aca="false">$K$10217&amp;","</f>
        <v>Madame, Monsieur,</v>
      </c>
      <c r="C10235" s="10"/>
      <c r="D10235" s="10"/>
      <c r="E10235" s="10"/>
      <c r="F10235" s="10"/>
      <c r="J10235" s="25"/>
      <c r="K10235" s="25"/>
      <c r="L10235" s="25"/>
      <c r="M10235" s="25"/>
      <c r="N10235" s="25"/>
      <c r="O10235" s="25"/>
    </row>
    <row r="10236" customFormat="false" ht="6" hidden="false" customHeight="true" outlineLevel="0" collapsed="false">
      <c r="B10236" s="10"/>
      <c r="C10236" s="10"/>
      <c r="D10236" s="10"/>
      <c r="E10236" s="10"/>
      <c r="F10236" s="10"/>
      <c r="J10236" s="25"/>
      <c r="K10236" s="25"/>
      <c r="L10236" s="25"/>
      <c r="M10236" s="25"/>
      <c r="N10236" s="25"/>
      <c r="O10236" s="25"/>
    </row>
    <row r="10237" customFormat="false" ht="36.75" hidden="false" customHeight="true" outlineLevel="0" collapsed="false">
      <c r="B10237" s="37" t="str">
        <f aca="false">SUBSTITUTE(SUBSTITUTE(SUBSTITUTE(SUBSTITUTE(SUBSTITUTE(Txt_P1,"{cabinet}",Cab_Nom),"{societe}",IF($K$10216=0,"",INDEX(Clients!$E$2:$E$501,$K$10216)&amp;"")),"{date_effet}",$K$10218),"{hausse}",$K$10219),"{civilite}",$K$10217)</f>
        <v>Nous tenons tout d'abord à vous remercier pour la confiance que vous accordez à ALTHO EXPERTISE. Comme chaque année, et conformément aux dispositions de votre lettre de mission, nous procédons à la révision de nos honoraires.</v>
      </c>
      <c r="C10237" s="37"/>
      <c r="D10237" s="37"/>
      <c r="E10237" s="37"/>
      <c r="F10237" s="37"/>
      <c r="J10237" s="25"/>
      <c r="K10237" s="25"/>
      <c r="L10237" s="25"/>
      <c r="M10237" s="25"/>
      <c r="N10237" s="25"/>
      <c r="O10237" s="25"/>
    </row>
    <row r="10238" customFormat="false" ht="49.5" hidden="false" customHeight="true" outlineLevel="0" collapsed="false">
      <c r="B10238" s="37" t="str">
        <f aca="false">SUBSTITUTE(SUBSTITUTE(SUBSTITUTE(SUBSTITUTE(SUBSTITUTE(Txt_P2,"{cabinet}",Cab_Nom),"{societe}",IF($K$10216=0,"",INDEX(Clients!$E$2:$E$501,$K$10216)&amp;"")),"{date_effet}",$K$10218),"{hausse}",$K$10219),"{civilite}",$K$10217)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238" s="37"/>
      <c r="D10238" s="37"/>
      <c r="E10238" s="37"/>
      <c r="F10238" s="37"/>
      <c r="J10238" s="25"/>
      <c r="K10238" s="25"/>
      <c r="L10238" s="25"/>
      <c r="M10238" s="25"/>
      <c r="N10238" s="25"/>
      <c r="O10238" s="25"/>
    </row>
    <row r="10239" customFormat="false" ht="63" hidden="false" customHeight="true" outlineLevel="0" collapsed="false">
      <c r="B10239" s="37" t="str">
        <f aca="false">SUBSTITUTE(SUBSTITUTE(SUBSTITUTE(SUBSTITUTE(SUBSTITUTE(Txt_P3,"{cabinet}",Cab_Nom),"{societe}",IF($K$10216=0,"",INDEX(Clients!$E$2:$E$501,$K$10216)&amp;"")),"{date_effet}",$K$10218),"{hausse}",$K$10219),"{civilite}",$K$10217)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239" s="37"/>
      <c r="D10239" s="37"/>
      <c r="E10239" s="37"/>
      <c r="F10239" s="37"/>
      <c r="J10239" s="25"/>
      <c r="K10239" s="25"/>
      <c r="L10239" s="25"/>
      <c r="M10239" s="25"/>
      <c r="N10239" s="25"/>
      <c r="O10239" s="25"/>
    </row>
    <row r="10240" customFormat="false" ht="24" hidden="false" customHeight="true" outlineLevel="0" collapsed="false">
      <c r="B10240" s="37" t="str">
        <f aca="false">SUBSTITUTE(SUBSTITUTE(SUBSTITUTE(SUBSTITUTE(SUBSTITUTE(Txt_P4,"{cabinet}",Cab_Nom),"{societe}",IF($K$10216=0,"",INDEX(Clients!$E$2:$E$501,$K$10216)&amp;"")),"{date_effet}",$K$10218),"{hausse}",$K$10219),"{civilite}",$K$10217)</f>
        <v>À compter du 1er janvier 2027, vos honoraires annuels hors taxes évolueront ainsi (évolution globale : ) :</v>
      </c>
      <c r="C10240" s="37"/>
      <c r="D10240" s="37"/>
      <c r="E10240" s="37"/>
      <c r="F10240" s="37"/>
      <c r="J10240" s="25"/>
      <c r="K10240" s="25"/>
      <c r="L10240" s="25"/>
      <c r="M10240" s="25"/>
      <c r="N10240" s="25"/>
      <c r="O10240" s="25"/>
    </row>
    <row r="10241" customFormat="false" ht="3.75" hidden="false" customHeight="true" outlineLevel="0" collapsed="false">
      <c r="B10241" s="10"/>
      <c r="C10241" s="10"/>
      <c r="D10241" s="10"/>
      <c r="E10241" s="10"/>
      <c r="F10241" s="10"/>
      <c r="J10241" s="25"/>
      <c r="K10241" s="25"/>
      <c r="L10241" s="25"/>
      <c r="M10241" s="25"/>
      <c r="N10241" s="25"/>
      <c r="O10241" s="25"/>
    </row>
    <row r="10242" customFormat="false" ht="18" hidden="false" customHeight="true" outlineLevel="0" collapsed="false">
      <c r="B10242" s="38" t="s">
        <v>148</v>
      </c>
      <c r="C10242" s="39" t="s">
        <v>149</v>
      </c>
      <c r="D10242" s="39" t="s">
        <v>150</v>
      </c>
      <c r="E10242" s="39" t="s">
        <v>151</v>
      </c>
      <c r="F10242" s="39" t="s">
        <v>109</v>
      </c>
      <c r="J10242" s="25" t="s">
        <v>152</v>
      </c>
      <c r="K10242" s="25" t="s">
        <v>153</v>
      </c>
      <c r="L10242" s="25" t="s">
        <v>154</v>
      </c>
      <c r="M10242" s="25" t="s">
        <v>155</v>
      </c>
      <c r="N10242" s="25" t="s">
        <v>156</v>
      </c>
      <c r="O10242" s="25" t="s">
        <v>157</v>
      </c>
    </row>
    <row r="10243" customFormat="false" ht="16.5" hidden="false" customHeight="true" outlineLevel="0" collapsed="false">
      <c r="B10243" s="40" t="str">
        <f aca="false">IFERROR(INDEX($J$10243:$J$10246,MATCH($O10243,$N$10243:$N$10246,0)),"")</f>
        <v/>
      </c>
      <c r="C10243" s="41" t="str">
        <f aca="false">IFERROR(INDEX($K$10243:$K$10246,MATCH($O10243,$N$10243:$N$10246,0)),"")</f>
        <v/>
      </c>
      <c r="D10243" s="42" t="str">
        <f aca="false">IF(OR(E10243="",N(C10243)=0),"",E10243/C10243-1)</f>
        <v/>
      </c>
      <c r="E10243" s="41" t="str">
        <f aca="false">IFERROR(INDEX($L$10243:$L$10246,MATCH($O10243,$N$10243:$N$10246,0)),"")</f>
        <v/>
      </c>
      <c r="F10243" s="41" t="str">
        <f aca="false">IF(E10243="","",E10243-C10243)</f>
        <v/>
      </c>
      <c r="J10243" s="25" t="str">
        <f aca="false">Lib_Compta</f>
        <v>Mission comptable (tenue, révision, bilan, liasse fiscale)</v>
      </c>
      <c r="K10243" s="25" t="n">
        <f aca="false">IF($K$10216=0,0,N(INDEX(Clients!$K$2:$K$501,$K$10216)))</f>
        <v>0</v>
      </c>
      <c r="L10243" s="25" t="n">
        <f aca="false">IF($K$10216=0,0,N(INDEX(Clients!$P$2:$P$501,$K$10216)))</f>
        <v>0</v>
      </c>
      <c r="M10243" s="25" t="n">
        <f aca="false">IF(OR(K10243&lt;&gt;0,L10243&lt;&gt;0),1,0)</f>
        <v>0</v>
      </c>
      <c r="N10243" s="25" t="str">
        <f aca="false">IF(M10243=1,SUM($M$10243:M10243),"")</f>
        <v/>
      </c>
      <c r="O10243" s="25" t="n">
        <v>1</v>
      </c>
    </row>
    <row r="10244" customFormat="false" ht="16.5" hidden="false" customHeight="true" outlineLevel="0" collapsed="false">
      <c r="B10244" s="40" t="str">
        <f aca="false">IFERROR(INDEX($J$10243:$J$10246,MATCH($O10244,$N$10243:$N$10246,0)),"")</f>
        <v/>
      </c>
      <c r="C10244" s="41" t="str">
        <f aca="false">IFERROR(INDEX($K$10243:$K$10246,MATCH($O10244,$N$10243:$N$10246,0)),"")</f>
        <v/>
      </c>
      <c r="D10244" s="42" t="str">
        <f aca="false">IF(OR(E10244="",N(C10244)=0),"",E10244/C10244-1)</f>
        <v/>
      </c>
      <c r="E10244" s="41" t="str">
        <f aca="false">IFERROR(INDEX($L$10243:$L$10246,MATCH($O10244,$N$10243:$N$10246,0)),"")</f>
        <v/>
      </c>
      <c r="F10244" s="41" t="str">
        <f aca="false">IF(E10244="","",E10244-C10244)</f>
        <v/>
      </c>
      <c r="J10244" s="25" t="str">
        <f aca="false">Lib_Paye</f>
        <v>Mission sociale (bulletins de paie, DSN, déclarations sociales)</v>
      </c>
      <c r="K10244" s="25" t="n">
        <f aca="false">IF($K$10216=0,0,N(INDEX(Clients!$L$2:$L$501,$K$10216)))</f>
        <v>0</v>
      </c>
      <c r="L10244" s="25" t="n">
        <f aca="false">IF($K$10216=0,0,N(INDEX(Clients!$Q$2:$Q$501,$K$10216)))</f>
        <v>0</v>
      </c>
      <c r="M10244" s="25" t="n">
        <f aca="false">IF(OR(K10244&lt;&gt;0,L10244&lt;&gt;0),1,0)</f>
        <v>0</v>
      </c>
      <c r="N10244" s="25" t="str">
        <f aca="false">IF(M10244=1,SUM($M$10243:M10244),"")</f>
        <v/>
      </c>
      <c r="O10244" s="25" t="n">
        <v>2</v>
      </c>
    </row>
    <row r="10245" customFormat="false" ht="16.5" hidden="false" customHeight="true" outlineLevel="0" collapsed="false">
      <c r="B10245" s="40" t="str">
        <f aca="false">IFERROR(INDEX($J$10243:$J$10246,MATCH($O10245,$N$10243:$N$10246,0)),"")</f>
        <v/>
      </c>
      <c r="C10245" s="41" t="str">
        <f aca="false">IFERROR(INDEX($K$10243:$K$10246,MATCH($O10245,$N$10243:$N$10246,0)),"")</f>
        <v/>
      </c>
      <c r="D10245" s="42" t="str">
        <f aca="false">IF(OR(E10245="",N(C10245)=0),"",E10245/C10245-1)</f>
        <v/>
      </c>
      <c r="E10245" s="41" t="str">
        <f aca="false">IFERROR(INDEX($L$10243:$L$10246,MATCH($O10245,$N$10243:$N$10246,0)),"")</f>
        <v/>
      </c>
      <c r="F10245" s="41" t="str">
        <f aca="false">IF(E10245="","",E10245-C10245)</f>
        <v/>
      </c>
      <c r="J10245" s="25" t="str">
        <f aca="false">Lib_Jur</f>
        <v>Mission juridique (approbation des comptes, secrétariat juridique)</v>
      </c>
      <c r="K10245" s="25" t="n">
        <f aca="false">IF($K$10216=0,0,N(INDEX(Clients!$M$2:$M$501,$K$10216)))</f>
        <v>0</v>
      </c>
      <c r="L10245" s="25" t="n">
        <f aca="false">IF($K$10216=0,0,N(INDEX(Clients!$R$2:$R$501,$K$10216)))</f>
        <v>0</v>
      </c>
      <c r="M10245" s="25" t="n">
        <f aca="false">IF(OR(K10245&lt;&gt;0,L10245&lt;&gt;0),1,0)</f>
        <v>0</v>
      </c>
      <c r="N10245" s="25" t="str">
        <f aca="false">IF(M10245=1,SUM($M$10243:M10245),"")</f>
        <v/>
      </c>
      <c r="O10245" s="25" t="n">
        <v>3</v>
      </c>
    </row>
    <row r="10246" customFormat="false" ht="16.5" hidden="false" customHeight="true" outlineLevel="0" collapsed="false">
      <c r="B10246" s="40" t="str">
        <f aca="false">IFERROR(INDEX($J$10243:$J$10246,MATCH($O10246,$N$10243:$N$10246,0)),"")</f>
        <v/>
      </c>
      <c r="C10246" s="41" t="str">
        <f aca="false">IFERROR(INDEX($K$10243:$K$10246,MATCH($O10246,$N$10243:$N$10246,0)),"")</f>
        <v/>
      </c>
      <c r="D10246" s="42" t="str">
        <f aca="false">IF(OR(E10246="",N(C10246)=0),"",E10246/C10246-1)</f>
        <v/>
      </c>
      <c r="E10246" s="41" t="str">
        <f aca="false">IFERROR(INDEX($L$10243:$L$10246,MATCH($O10246,$N$10243:$N$10246,0)),"")</f>
        <v/>
      </c>
      <c r="F10246" s="41" t="str">
        <f aca="false">IF(E10246="","",E10246-C10246)</f>
        <v/>
      </c>
      <c r="J10246" s="25" t="str">
        <f aca="false">Lib_PA</f>
        <v>Plateforme agréée – facturation électronique</v>
      </c>
      <c r="K10246" s="25" t="n">
        <f aca="false">IF($K$10216=0,0,N(INDEX(Clients!$N$2:$N$501,$K$10216)))</f>
        <v>0</v>
      </c>
      <c r="L10246" s="25" t="n">
        <f aca="false">IF($K$10216=0,0,N(INDEX(Clients!$S$2:$S$501,$K$10216)))</f>
        <v>0</v>
      </c>
      <c r="M10246" s="25" t="n">
        <f aca="false">IF(OR(K10246&lt;&gt;0,L10246&lt;&gt;0),1,0)</f>
        <v>0</v>
      </c>
      <c r="N10246" s="25" t="str">
        <f aca="false">IF(M10246=1,SUM($M$10243:M10246),"")</f>
        <v/>
      </c>
      <c r="O10246" s="25" t="n">
        <v>4</v>
      </c>
    </row>
    <row r="10247" customFormat="false" ht="18" hidden="false" customHeight="true" outlineLevel="0" collapsed="false">
      <c r="B10247" s="43" t="s">
        <v>158</v>
      </c>
      <c r="C10247" s="44" t="n">
        <f aca="false">SUM(K10243:K10246)</f>
        <v>0</v>
      </c>
      <c r="D10247" s="45" t="str">
        <f aca="false">IF(N(C10247)=0,"",E10247/C10247-1)</f>
        <v/>
      </c>
      <c r="E10247" s="44" t="n">
        <f aca="false">SUM(L10243:L10246)</f>
        <v>0</v>
      </c>
      <c r="F10247" s="44" t="n">
        <f aca="false">E10247-C10247</f>
        <v>0</v>
      </c>
    </row>
    <row r="10248" customFormat="false" ht="15" hidden="false" customHeight="false" outlineLevel="0" collapsed="false">
      <c r="B10248" s="46" t="str">
        <f aca="false">IF(N(Nb_Mensualites)=0,"","Soit "&amp;FIXED(E10247/Nb_Mensualites,2)&amp;" € HT par échéance ("&amp;Nb_Mensualites&amp;" échéances), "&amp;FIXED(E10247/Nb_Mensualites*(1+Taux_TVA),2)&amp;" € TTC.")</f>
        <v>Soit 0.00 € HT par échéance (12 échéances), 0.00 € TTC.</v>
      </c>
      <c r="C10248" s="46"/>
      <c r="D10248" s="46"/>
      <c r="E10248" s="46"/>
      <c r="F10248" s="46"/>
    </row>
    <row r="10249" customFormat="false" ht="7.5" hidden="false" customHeight="true" outlineLevel="0" collapsed="false">
      <c r="B10249" s="10"/>
      <c r="C10249" s="10"/>
      <c r="D10249" s="10"/>
      <c r="E10249" s="10"/>
      <c r="F10249" s="10"/>
    </row>
    <row r="10250" customFormat="false" ht="36.75" hidden="false" customHeight="true" outlineLevel="0" collapsed="false">
      <c r="B10250" s="37" t="str">
        <f aca="false">SUBSTITUTE(SUBSTITUTE(SUBSTITUTE(SUBSTITUTE(SUBSTITUTE(Txt_P5,"{cabinet}",Cab_Nom),"{societe}",IF($K$10216=0,"",INDEX(Clients!$E$2:$E$501,$K$10216)&amp;"")),"{date_effet}",$K$10218),"{hausse}",$K$10219),"{civilite}",$K$10217)</f>
        <v>Les autres conditions de votre lettre de mission demeurent inchangées. Les nouveaux montants seront appliqués automatiquement sur vos prochaines factures et échéances de prélèvement.</v>
      </c>
      <c r="C10250" s="37"/>
      <c r="D10250" s="37"/>
      <c r="E10250" s="37"/>
      <c r="F10250" s="37"/>
    </row>
    <row r="10251" customFormat="false" ht="36.75" hidden="false" customHeight="true" outlineLevel="0" collapsed="false">
      <c r="B10251" s="37" t="str">
        <f aca="false">SUBSTITUTE(SUBSTITUTE(SUBSTITUTE(SUBSTITUTE(SUBSTITUTE(Txt_P6,"{cabinet}",Cab_Nom),"{societe}",IF($K$10216=0,"",INDEX(Clients!$E$2:$E$501,$K$10216)&amp;"")),"{date_effet}",$K$10218),"{hausse}",$K$10219),"{civilite}",$K$10217)</f>
        <v>Votre interlocuteur habituel reste à votre entière disposition pour répondre à vos questions et faire le point sur l'évolution de vos besoins.</v>
      </c>
      <c r="C10251" s="37"/>
      <c r="D10251" s="37"/>
      <c r="E10251" s="37"/>
      <c r="F10251" s="37"/>
    </row>
    <row r="10252" customFormat="false" ht="24" hidden="false" customHeight="true" outlineLevel="0" collapsed="false">
      <c r="B10252" s="37" t="str">
        <f aca="false">SUBSTITUTE(SUBSTITUTE(SUBSTITUTE(SUBSTITUTE(SUBSTITUTE(Txt_Politesse,"{cabinet}",Cab_Nom),"{societe}",IF($K$10216=0,"",INDEX(Clients!$E$2:$E$501,$K$10216)&amp;"")),"{date_effet}",$K$10218),"{hausse}",$K$10219),"{civilite}",$K$10217)</f>
        <v>Nous vous prions d'agréer, Madame, Monsieur, l'expression de nos salutations distinguées.</v>
      </c>
      <c r="C10252" s="37"/>
      <c r="D10252" s="37"/>
      <c r="E10252" s="37"/>
      <c r="F10252" s="37"/>
    </row>
    <row r="10253" customFormat="false" ht="15" hidden="false" customHeight="false" outlineLevel="0" collapsed="false">
      <c r="B10253" s="10"/>
      <c r="C10253" s="10"/>
      <c r="D10253" s="10"/>
      <c r="E10253" s="10"/>
      <c r="F10253" s="10"/>
    </row>
    <row r="10254" customFormat="false" ht="15" hidden="false" customHeight="false" outlineLevel="0" collapsed="false">
      <c r="B10254" s="10"/>
      <c r="C10254" s="10"/>
      <c r="D10254" s="34" t="str">
        <f aca="false">Signataire</f>
        <v>Prénom NOM</v>
      </c>
      <c r="E10254" s="34"/>
      <c r="F10254" s="34"/>
    </row>
    <row r="10255" customFormat="false" ht="15" hidden="false" customHeight="false" outlineLevel="0" collapsed="false">
      <c r="B10255" s="10"/>
      <c r="C10255" s="10"/>
      <c r="D10255" s="47" t="str">
        <f aca="false">Signataire_Titre</f>
        <v>Expert-comptable associé</v>
      </c>
      <c r="E10255" s="47"/>
      <c r="F10255" s="47"/>
    </row>
    <row r="10256" customFormat="false" ht="15.75" hidden="false" customHeight="true" outlineLevel="0" collapsed="false">
      <c r="B10256" s="10"/>
      <c r="C10256" s="10"/>
      <c r="D10256" s="10"/>
      <c r="E10256" s="10"/>
      <c r="F10256" s="10"/>
    </row>
    <row r="10257" customFormat="false" ht="15.75" hidden="false" customHeight="true" outlineLevel="0" collapsed="false">
      <c r="B10257" s="10"/>
      <c r="C10257" s="10"/>
      <c r="D10257" s="10"/>
      <c r="E10257" s="10"/>
      <c r="F10257" s="10"/>
    </row>
    <row r="10258" customFormat="false" ht="15.75" hidden="false" customHeight="true" outlineLevel="0" collapsed="false">
      <c r="B10258" s="10"/>
      <c r="C10258" s="10"/>
      <c r="D10258" s="10"/>
      <c r="E10258" s="10"/>
      <c r="F10258" s="10"/>
    </row>
    <row r="10259" customFormat="false" ht="15.75" hidden="false" customHeight="true" outlineLevel="0" collapsed="false">
      <c r="B10259" s="10"/>
      <c r="C10259" s="10"/>
      <c r="D10259" s="10"/>
      <c r="E10259" s="10"/>
      <c r="F10259" s="10"/>
    </row>
    <row r="10260" customFormat="false" ht="24" hidden="false" customHeight="true" outlineLevel="0" collapsed="false">
      <c r="B10260" s="48" t="str">
        <f aca="false">Cab_Mentions</f>
        <v>ALTHO EXPERTISE · SAS au capital de 10 000 € · RCS Pontoise 919 706 325 · TVA FR62919706325 · Société d'expertise comptable inscrite au Tableau de l'Ordre des experts-comptables de Paris Île-de-France</v>
      </c>
      <c r="C10260" s="48"/>
      <c r="D10260" s="48"/>
      <c r="E10260" s="48"/>
      <c r="F10260" s="48"/>
    </row>
    <row r="10261" customFormat="false" ht="15" hidden="false" customHeight="false" outlineLevel="0" collapsed="false">
      <c r="B10261" s="10"/>
      <c r="C10261" s="10"/>
      <c r="D10261" s="10"/>
      <c r="E10261" s="10"/>
      <c r="F10261" s="10"/>
      <c r="J10261" s="25" t="s">
        <v>142</v>
      </c>
      <c r="K10261" s="25" t="n">
        <f aca="false">IFERROR(MATCH(229,Clients!$Z$2:$Z$501,0),0)</f>
        <v>0</v>
      </c>
      <c r="L10261" s="25"/>
      <c r="M10261" s="25"/>
      <c r="N10261" s="25"/>
      <c r="O10261" s="25"/>
    </row>
    <row r="10262" customFormat="false" ht="21.75" hidden="false" customHeight="true" outlineLevel="0" collapsed="false">
      <c r="B10262" s="26" t="str">
        <f aca="false">Cab_Nom</f>
        <v>ALTHO EXPERTISE</v>
      </c>
      <c r="C10262" s="26"/>
      <c r="D10262" s="10"/>
      <c r="E10262" s="27" t="str">
        <f aca="false">IF($K$10261=0,"","Réf. client : "&amp;INDEX(Clients!$A$2:$A$501,$K$10261))</f>
        <v/>
      </c>
      <c r="F10262" s="27"/>
      <c r="J10262" s="25" t="s">
        <v>144</v>
      </c>
      <c r="K10262" s="25" t="str">
        <f aca="false">IF(IF($K$10261=0,"",INDEX(Clients!$B$2:$B$501,$K$10261)&amp;"")="Mme","Madame",IF(IF($K$10261=0,"",INDEX(Clients!$B$2:$B$501,$K$10261)&amp;"")="M.","Monsieur","Madame, Monsieur"))</f>
        <v>Madame, Monsieur</v>
      </c>
      <c r="L10262" s="25"/>
      <c r="M10262" s="25"/>
      <c r="N10262" s="25"/>
      <c r="O10262" s="25"/>
    </row>
    <row r="10263" customFormat="false" ht="15" hidden="false" customHeight="false" outlineLevel="0" collapsed="false">
      <c r="B10263" s="29" t="str">
        <f aca="false">Cab_Adr1</f>
        <v>141 rue Charles de Gaulle</v>
      </c>
      <c r="C10263" s="29"/>
      <c r="D10263" s="10"/>
      <c r="E10263" s="10"/>
      <c r="F10263" s="10"/>
      <c r="J10263" s="25" t="s">
        <v>145</v>
      </c>
      <c r="K10263" s="25" t="str">
        <f aca="false">DAY(Date_Effet)&amp;IF(DAY(Date_Effet)=1,"er","")&amp;" "&amp;INDEX(Liste_Mois,MONTH(Date_Effet))&amp;" "&amp;YEAR(Date_Effet)</f>
        <v>1er janvier 2027</v>
      </c>
      <c r="L10263" s="25"/>
      <c r="M10263" s="25"/>
      <c r="N10263" s="25"/>
      <c r="O10263" s="25"/>
    </row>
    <row r="10264" customFormat="false" ht="15" hidden="false" customHeight="false" outlineLevel="0" collapsed="false">
      <c r="B10264" s="29" t="str">
        <f aca="false">Cab_CPVille</f>
        <v>95130 LE PLESSIS-BOUCHARD</v>
      </c>
      <c r="C10264" s="29"/>
      <c r="D10264" s="10"/>
      <c r="E10264" s="10"/>
      <c r="F10264" s="10"/>
      <c r="J10264" s="25" t="s">
        <v>146</v>
      </c>
      <c r="K10264" s="25" t="str">
        <f aca="false">IF(SUM($K$10288:$K$10291)=0,"",FIXED((SUM($L$10288:$L$10291)/SUM($K$10288:$K$10291)-1)*100,1)&amp;" %")</f>
        <v/>
      </c>
      <c r="L10264" s="25"/>
      <c r="M10264" s="25"/>
      <c r="N10264" s="25"/>
      <c r="O10264" s="25"/>
    </row>
    <row r="10265" customFormat="false" ht="15" hidden="false" customHeight="false" outlineLevel="0" collapsed="false">
      <c r="B10265" s="29" t="str">
        <f aca="false">Cab_Contact</f>
        <v>Tél. 01 34 14 53 45  ·  altho@altho-experts.com  ·  altho-experts.com</v>
      </c>
      <c r="C10265" s="29"/>
      <c r="D10265" s="10"/>
      <c r="E10265" s="10"/>
      <c r="F10265" s="10"/>
      <c r="J10265" s="25"/>
      <c r="K10265" s="25"/>
      <c r="L10265" s="25"/>
      <c r="M10265" s="25"/>
      <c r="N10265" s="25"/>
      <c r="O10265" s="25"/>
    </row>
    <row r="10266" customFormat="false" ht="6" hidden="false" customHeight="true" outlineLevel="0" collapsed="false">
      <c r="B10266" s="32"/>
      <c r="C10266" s="32"/>
      <c r="D10266" s="32"/>
      <c r="E10266" s="32"/>
      <c r="F10266" s="32"/>
      <c r="J10266" s="25"/>
      <c r="K10266" s="25"/>
      <c r="L10266" s="25"/>
      <c r="M10266" s="25"/>
      <c r="N10266" s="25"/>
      <c r="O10266" s="25"/>
    </row>
    <row r="10267" customFormat="false" ht="13.5" hidden="false" customHeight="true" outlineLevel="0" collapsed="false">
      <c r="B10267" s="10"/>
      <c r="C10267" s="10"/>
      <c r="D10267" s="10"/>
      <c r="E10267" s="10"/>
      <c r="F10267" s="10"/>
      <c r="J10267" s="25"/>
      <c r="K10267" s="25"/>
      <c r="L10267" s="25"/>
      <c r="M10267" s="25"/>
      <c r="N10267" s="25"/>
      <c r="O10267" s="25"/>
    </row>
    <row r="10268" customFormat="false" ht="13.5" hidden="false" customHeight="true" outlineLevel="0" collapsed="false">
      <c r="B10268" s="10"/>
      <c r="C10268" s="10"/>
      <c r="D10268" s="10"/>
      <c r="E10268" s="10"/>
      <c r="F10268" s="10"/>
      <c r="J10268" s="25"/>
      <c r="K10268" s="25"/>
      <c r="L10268" s="25"/>
      <c r="M10268" s="25"/>
      <c r="N10268" s="25"/>
      <c r="O10268" s="25"/>
    </row>
    <row r="10269" customFormat="false" ht="13.5" hidden="false" customHeight="true" outlineLevel="0" collapsed="false">
      <c r="B10269" s="10"/>
      <c r="C10269" s="10"/>
      <c r="D10269" s="10"/>
      <c r="E10269" s="10"/>
      <c r="F10269" s="10"/>
      <c r="J10269" s="25"/>
      <c r="K10269" s="25"/>
      <c r="L10269" s="25"/>
      <c r="M10269" s="25"/>
      <c r="N10269" s="25"/>
      <c r="O10269" s="25"/>
    </row>
    <row r="10270" customFormat="false" ht="15" hidden="false" customHeight="true" outlineLevel="0" collapsed="false">
      <c r="B10270" s="10"/>
      <c r="C10270" s="10"/>
      <c r="D10270" s="34" t="str">
        <f aca="false">IF($K$10261=0,"",INDEX(Clients!$E$2:$E$501,$K$10261)&amp;"")</f>
        <v/>
      </c>
      <c r="E10270" s="34"/>
      <c r="F10270" s="34"/>
      <c r="J10270" s="25"/>
      <c r="K10270" s="25"/>
      <c r="L10270" s="25"/>
      <c r="M10270" s="25"/>
      <c r="N10270" s="25"/>
      <c r="O10270" s="25"/>
    </row>
    <row r="10271" customFormat="false" ht="15" hidden="false" customHeight="true" outlineLevel="0" collapsed="false">
      <c r="B10271" s="10"/>
      <c r="C10271" s="10"/>
      <c r="D10271" s="35" t="str">
        <f aca="false">IF(IF($K$10261=0,"",INDEX(Clients!$D$2:$D$501,$K$10261)&amp;"")="","","À l'attention de "&amp;TRIM(IF($K$10261=0,"",INDEX(Clients!$B$2:$B$501,$K$10261)&amp;"")&amp;" "&amp;IF($K$10261=0,"",INDEX(Clients!$C$2:$C$501,$K$10261)&amp;"")&amp;" "&amp;IF($K$10261=0,"",INDEX(Clients!$D$2:$D$501,$K$10261)&amp;"")))</f>
        <v/>
      </c>
      <c r="E10271" s="35"/>
      <c r="F10271" s="35"/>
      <c r="J10271" s="25"/>
      <c r="K10271" s="25"/>
      <c r="L10271" s="25"/>
      <c r="M10271" s="25"/>
      <c r="N10271" s="25"/>
      <c r="O10271" s="25"/>
    </row>
    <row r="10272" customFormat="false" ht="15" hidden="false" customHeight="true" outlineLevel="0" collapsed="false">
      <c r="B10272" s="10"/>
      <c r="C10272" s="10"/>
      <c r="D10272" s="35" t="str">
        <f aca="false">IF($K$10261=0,"",INDEX(Clients!$F$2:$F$501,$K$10261)&amp;"")</f>
        <v/>
      </c>
      <c r="E10272" s="35"/>
      <c r="F10272" s="35"/>
      <c r="J10272" s="25"/>
      <c r="K10272" s="25"/>
      <c r="L10272" s="25"/>
      <c r="M10272" s="25"/>
      <c r="N10272" s="25"/>
      <c r="O10272" s="25"/>
    </row>
    <row r="10273" customFormat="false" ht="15" hidden="false" customHeight="true" outlineLevel="0" collapsed="false">
      <c r="B10273" s="10"/>
      <c r="C10273" s="10"/>
      <c r="D10273" s="35" t="str">
        <f aca="false">IF(IF($K$10261=0,"",INDEX(Clients!$G$2:$G$501,$K$10261)&amp;"")="",TRIM(IF($K$10261=0,"",INDEX(Clients!$H$2:$H$501,$K$10261)&amp;"")&amp;" "&amp;UPPER(IF($K$10261=0,"",INDEX(Clients!$I$2:$I$501,$K$10261)&amp;""))),IF($K$10261=0,"",INDEX(Clients!$G$2:$G$501,$K$10261)&amp;""))</f>
        <v/>
      </c>
      <c r="E10273" s="35"/>
      <c r="F10273" s="35"/>
      <c r="J10273" s="25"/>
      <c r="K10273" s="25"/>
      <c r="L10273" s="25"/>
      <c r="M10273" s="25"/>
      <c r="N10273" s="25"/>
      <c r="O10273" s="25"/>
    </row>
    <row r="10274" customFormat="false" ht="15" hidden="false" customHeight="true" outlineLevel="0" collapsed="false">
      <c r="B10274" s="10"/>
      <c r="C10274" s="10"/>
      <c r="D10274" s="35" t="str">
        <f aca="false">IF(IF($K$10261=0,"",INDEX(Clients!$G$2:$G$501,$K$10261)&amp;"")="","",TRIM(IF($K$10261=0,"",INDEX(Clients!$H$2:$H$501,$K$10261)&amp;"")&amp;" "&amp;UPPER(IF($K$10261=0,"",INDEX(Clients!$I$2:$I$501,$K$10261)&amp;""))))</f>
        <v/>
      </c>
      <c r="E10274" s="35"/>
      <c r="F10274" s="35"/>
      <c r="J10274" s="25"/>
      <c r="K10274" s="25"/>
      <c r="L10274" s="25"/>
      <c r="M10274" s="25"/>
      <c r="N10274" s="25"/>
      <c r="O10274" s="25"/>
    </row>
    <row r="10275" customFormat="false" ht="25.5" hidden="false" customHeight="true" outlineLevel="0" collapsed="false">
      <c r="B10275" s="10"/>
      <c r="C10275" s="10"/>
      <c r="D10275" s="10"/>
      <c r="E10275" s="10"/>
      <c r="F10275" s="10"/>
      <c r="J10275" s="25"/>
      <c r="K10275" s="25"/>
      <c r="L10275" s="25"/>
      <c r="M10275" s="25"/>
      <c r="N10275" s="25"/>
      <c r="O10275" s="25"/>
    </row>
    <row r="10276" customFormat="false" ht="15" hidden="false" customHeight="false" outlineLevel="0" collapsed="false">
      <c r="B10276" s="10"/>
      <c r="C10276" s="10"/>
      <c r="D10276" s="36" t="str">
        <f aca="false">Cab_Ville&amp;", le "&amp;DAY(Date_Courrier)&amp;IF(DAY(Date_Courrier)=1,"er","")&amp;" "&amp;INDEX(Liste_Mois,MONTH(Date_Courrier))&amp;" "&amp;YEAR(Date_Courrier)</f>
        <v>Le Plessis-Bouchard, le 22 septembre 2026</v>
      </c>
      <c r="E10276" s="36"/>
      <c r="F10276" s="36"/>
      <c r="J10276" s="25"/>
      <c r="K10276" s="25"/>
      <c r="L10276" s="25"/>
      <c r="M10276" s="25"/>
      <c r="N10276" s="25"/>
      <c r="O10276" s="25"/>
    </row>
    <row r="10277" customFormat="false" ht="19.5" hidden="false" customHeight="true" outlineLevel="0" collapsed="false">
      <c r="B10277" s="10"/>
      <c r="C10277" s="10"/>
      <c r="D10277" s="10"/>
      <c r="E10277" s="10"/>
      <c r="F10277" s="10"/>
      <c r="J10277" s="25"/>
      <c r="K10277" s="25"/>
      <c r="L10277" s="25"/>
      <c r="M10277" s="25"/>
      <c r="N10277" s="25"/>
      <c r="O10277" s="25"/>
    </row>
    <row r="10278" customFormat="false" ht="15" hidden="false" customHeight="false" outlineLevel="0" collapsed="false">
      <c r="B10278" s="34" t="str">
        <f aca="false">SUBSTITUTE(SUBSTITUTE(SUBSTITUTE(SUBSTITUTE(SUBSTITUTE(Txt_Objet,"{cabinet}",Cab_Nom),"{societe}",IF($K$10261=0,"",INDEX(Clients!$E$2:$E$501,$K$10261)&amp;"")),"{date_effet}",$K$10263),"{hausse}",$K$10264),"{civilite}",$K$10262)</f>
        <v>Objet : révision de nos honoraires au 1er janvier 2027</v>
      </c>
      <c r="C10278" s="34"/>
      <c r="D10278" s="34"/>
      <c r="E10278" s="34"/>
      <c r="F10278" s="34"/>
      <c r="J10278" s="25"/>
      <c r="K10278" s="25"/>
      <c r="L10278" s="25"/>
      <c r="M10278" s="25"/>
      <c r="N10278" s="25"/>
      <c r="O10278" s="25"/>
    </row>
    <row r="10279" customFormat="false" ht="13.5" hidden="false" customHeight="true" outlineLevel="0" collapsed="false">
      <c r="B10279" s="10"/>
      <c r="C10279" s="10"/>
      <c r="D10279" s="10"/>
      <c r="E10279" s="10"/>
      <c r="F10279" s="10"/>
      <c r="J10279" s="25"/>
      <c r="K10279" s="25"/>
      <c r="L10279" s="25"/>
      <c r="M10279" s="25"/>
      <c r="N10279" s="25"/>
      <c r="O10279" s="25"/>
    </row>
    <row r="10280" customFormat="false" ht="15" hidden="false" customHeight="false" outlineLevel="0" collapsed="false">
      <c r="B10280" s="10" t="str">
        <f aca="false">$K$10262&amp;","</f>
        <v>Madame, Monsieur,</v>
      </c>
      <c r="C10280" s="10"/>
      <c r="D10280" s="10"/>
      <c r="E10280" s="10"/>
      <c r="F10280" s="10"/>
      <c r="J10280" s="25"/>
      <c r="K10280" s="25"/>
      <c r="L10280" s="25"/>
      <c r="M10280" s="25"/>
      <c r="N10280" s="25"/>
      <c r="O10280" s="25"/>
    </row>
    <row r="10281" customFormat="false" ht="6" hidden="false" customHeight="true" outlineLevel="0" collapsed="false">
      <c r="B10281" s="10"/>
      <c r="C10281" s="10"/>
      <c r="D10281" s="10"/>
      <c r="E10281" s="10"/>
      <c r="F10281" s="10"/>
      <c r="J10281" s="25"/>
      <c r="K10281" s="25"/>
      <c r="L10281" s="25"/>
      <c r="M10281" s="25"/>
      <c r="N10281" s="25"/>
      <c r="O10281" s="25"/>
    </row>
    <row r="10282" customFormat="false" ht="36.75" hidden="false" customHeight="true" outlineLevel="0" collapsed="false">
      <c r="B10282" s="37" t="str">
        <f aca="false">SUBSTITUTE(SUBSTITUTE(SUBSTITUTE(SUBSTITUTE(SUBSTITUTE(Txt_P1,"{cabinet}",Cab_Nom),"{societe}",IF($K$10261=0,"",INDEX(Clients!$E$2:$E$501,$K$10261)&amp;"")),"{date_effet}",$K$10263),"{hausse}",$K$10264),"{civilite}",$K$10262)</f>
        <v>Nous tenons tout d'abord à vous remercier pour la confiance que vous accordez à ALTHO EXPERTISE. Comme chaque année, et conformément aux dispositions de votre lettre de mission, nous procédons à la révision de nos honoraires.</v>
      </c>
      <c r="C10282" s="37"/>
      <c r="D10282" s="37"/>
      <c r="E10282" s="37"/>
      <c r="F10282" s="37"/>
      <c r="J10282" s="25"/>
      <c r="K10282" s="25"/>
      <c r="L10282" s="25"/>
      <c r="M10282" s="25"/>
      <c r="N10282" s="25"/>
      <c r="O10282" s="25"/>
    </row>
    <row r="10283" customFormat="false" ht="49.5" hidden="false" customHeight="true" outlineLevel="0" collapsed="false">
      <c r="B10283" s="37" t="str">
        <f aca="false">SUBSTITUTE(SUBSTITUTE(SUBSTITUTE(SUBSTITUTE(SUBSTITUTE(Txt_P2,"{cabinet}",Cab_Nom),"{societe}",IF($K$10261=0,"",INDEX(Clients!$E$2:$E$501,$K$10261)&amp;"")),"{date_effet}",$K$10263),"{hausse}",$K$10264),"{civilite}",$K$10262)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283" s="37"/>
      <c r="D10283" s="37"/>
      <c r="E10283" s="37"/>
      <c r="F10283" s="37"/>
      <c r="J10283" s="25"/>
      <c r="K10283" s="25"/>
      <c r="L10283" s="25"/>
      <c r="M10283" s="25"/>
      <c r="N10283" s="25"/>
      <c r="O10283" s="25"/>
    </row>
    <row r="10284" customFormat="false" ht="63" hidden="false" customHeight="true" outlineLevel="0" collapsed="false">
      <c r="B10284" s="37" t="str">
        <f aca="false">SUBSTITUTE(SUBSTITUTE(SUBSTITUTE(SUBSTITUTE(SUBSTITUTE(Txt_P3,"{cabinet}",Cab_Nom),"{societe}",IF($K$10261=0,"",INDEX(Clients!$E$2:$E$501,$K$10261)&amp;"")),"{date_effet}",$K$10263),"{hausse}",$K$10264),"{civilite}",$K$10262)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284" s="37"/>
      <c r="D10284" s="37"/>
      <c r="E10284" s="37"/>
      <c r="F10284" s="37"/>
      <c r="J10284" s="25"/>
      <c r="K10284" s="25"/>
      <c r="L10284" s="25"/>
      <c r="M10284" s="25"/>
      <c r="N10284" s="25"/>
      <c r="O10284" s="25"/>
    </row>
    <row r="10285" customFormat="false" ht="24" hidden="false" customHeight="true" outlineLevel="0" collapsed="false">
      <c r="B10285" s="37" t="str">
        <f aca="false">SUBSTITUTE(SUBSTITUTE(SUBSTITUTE(SUBSTITUTE(SUBSTITUTE(Txt_P4,"{cabinet}",Cab_Nom),"{societe}",IF($K$10261=0,"",INDEX(Clients!$E$2:$E$501,$K$10261)&amp;"")),"{date_effet}",$K$10263),"{hausse}",$K$10264),"{civilite}",$K$10262)</f>
        <v>À compter du 1er janvier 2027, vos honoraires annuels hors taxes évolueront ainsi (évolution globale : ) :</v>
      </c>
      <c r="C10285" s="37"/>
      <c r="D10285" s="37"/>
      <c r="E10285" s="37"/>
      <c r="F10285" s="37"/>
      <c r="J10285" s="25"/>
      <c r="K10285" s="25"/>
      <c r="L10285" s="25"/>
      <c r="M10285" s="25"/>
      <c r="N10285" s="25"/>
      <c r="O10285" s="25"/>
    </row>
    <row r="10286" customFormat="false" ht="3.75" hidden="false" customHeight="true" outlineLevel="0" collapsed="false">
      <c r="B10286" s="10"/>
      <c r="C10286" s="10"/>
      <c r="D10286" s="10"/>
      <c r="E10286" s="10"/>
      <c r="F10286" s="10"/>
      <c r="J10286" s="25"/>
      <c r="K10286" s="25"/>
      <c r="L10286" s="25"/>
      <c r="M10286" s="25"/>
      <c r="N10286" s="25"/>
      <c r="O10286" s="25"/>
    </row>
    <row r="10287" customFormat="false" ht="18" hidden="false" customHeight="true" outlineLevel="0" collapsed="false">
      <c r="B10287" s="38" t="s">
        <v>148</v>
      </c>
      <c r="C10287" s="39" t="s">
        <v>149</v>
      </c>
      <c r="D10287" s="39" t="s">
        <v>150</v>
      </c>
      <c r="E10287" s="39" t="s">
        <v>151</v>
      </c>
      <c r="F10287" s="39" t="s">
        <v>109</v>
      </c>
      <c r="J10287" s="25" t="s">
        <v>152</v>
      </c>
      <c r="K10287" s="25" t="s">
        <v>153</v>
      </c>
      <c r="L10287" s="25" t="s">
        <v>154</v>
      </c>
      <c r="M10287" s="25" t="s">
        <v>155</v>
      </c>
      <c r="N10287" s="25" t="s">
        <v>156</v>
      </c>
      <c r="O10287" s="25" t="s">
        <v>157</v>
      </c>
    </row>
    <row r="10288" customFormat="false" ht="16.5" hidden="false" customHeight="true" outlineLevel="0" collapsed="false">
      <c r="B10288" s="40" t="str">
        <f aca="false">IFERROR(INDEX($J$10288:$J$10291,MATCH($O10288,$N$10288:$N$10291,0)),"")</f>
        <v/>
      </c>
      <c r="C10288" s="41" t="str">
        <f aca="false">IFERROR(INDEX($K$10288:$K$10291,MATCH($O10288,$N$10288:$N$10291,0)),"")</f>
        <v/>
      </c>
      <c r="D10288" s="42" t="str">
        <f aca="false">IF(OR(E10288="",N(C10288)=0),"",E10288/C10288-1)</f>
        <v/>
      </c>
      <c r="E10288" s="41" t="str">
        <f aca="false">IFERROR(INDEX($L$10288:$L$10291,MATCH($O10288,$N$10288:$N$10291,0)),"")</f>
        <v/>
      </c>
      <c r="F10288" s="41" t="str">
        <f aca="false">IF(E10288="","",E10288-C10288)</f>
        <v/>
      </c>
      <c r="J10288" s="25" t="str">
        <f aca="false">Lib_Compta</f>
        <v>Mission comptable (tenue, révision, bilan, liasse fiscale)</v>
      </c>
      <c r="K10288" s="25" t="n">
        <f aca="false">IF($K$10261=0,0,N(INDEX(Clients!$K$2:$K$501,$K$10261)))</f>
        <v>0</v>
      </c>
      <c r="L10288" s="25" t="n">
        <f aca="false">IF($K$10261=0,0,N(INDEX(Clients!$P$2:$P$501,$K$10261)))</f>
        <v>0</v>
      </c>
      <c r="M10288" s="25" t="n">
        <f aca="false">IF(OR(K10288&lt;&gt;0,L10288&lt;&gt;0),1,0)</f>
        <v>0</v>
      </c>
      <c r="N10288" s="25" t="str">
        <f aca="false">IF(M10288=1,SUM($M$10288:M10288),"")</f>
        <v/>
      </c>
      <c r="O10288" s="25" t="n">
        <v>1</v>
      </c>
    </row>
    <row r="10289" customFormat="false" ht="16.5" hidden="false" customHeight="true" outlineLevel="0" collapsed="false">
      <c r="B10289" s="40" t="str">
        <f aca="false">IFERROR(INDEX($J$10288:$J$10291,MATCH($O10289,$N$10288:$N$10291,0)),"")</f>
        <v/>
      </c>
      <c r="C10289" s="41" t="str">
        <f aca="false">IFERROR(INDEX($K$10288:$K$10291,MATCH($O10289,$N$10288:$N$10291,0)),"")</f>
        <v/>
      </c>
      <c r="D10289" s="42" t="str">
        <f aca="false">IF(OR(E10289="",N(C10289)=0),"",E10289/C10289-1)</f>
        <v/>
      </c>
      <c r="E10289" s="41" t="str">
        <f aca="false">IFERROR(INDEX($L$10288:$L$10291,MATCH($O10289,$N$10288:$N$10291,0)),"")</f>
        <v/>
      </c>
      <c r="F10289" s="41" t="str">
        <f aca="false">IF(E10289="","",E10289-C10289)</f>
        <v/>
      </c>
      <c r="J10289" s="25" t="str">
        <f aca="false">Lib_Paye</f>
        <v>Mission sociale (bulletins de paie, DSN, déclarations sociales)</v>
      </c>
      <c r="K10289" s="25" t="n">
        <f aca="false">IF($K$10261=0,0,N(INDEX(Clients!$L$2:$L$501,$K$10261)))</f>
        <v>0</v>
      </c>
      <c r="L10289" s="25" t="n">
        <f aca="false">IF($K$10261=0,0,N(INDEX(Clients!$Q$2:$Q$501,$K$10261)))</f>
        <v>0</v>
      </c>
      <c r="M10289" s="25" t="n">
        <f aca="false">IF(OR(K10289&lt;&gt;0,L10289&lt;&gt;0),1,0)</f>
        <v>0</v>
      </c>
      <c r="N10289" s="25" t="str">
        <f aca="false">IF(M10289=1,SUM($M$10288:M10289),"")</f>
        <v/>
      </c>
      <c r="O10289" s="25" t="n">
        <v>2</v>
      </c>
    </row>
    <row r="10290" customFormat="false" ht="16.5" hidden="false" customHeight="true" outlineLevel="0" collapsed="false">
      <c r="B10290" s="40" t="str">
        <f aca="false">IFERROR(INDEX($J$10288:$J$10291,MATCH($O10290,$N$10288:$N$10291,0)),"")</f>
        <v/>
      </c>
      <c r="C10290" s="41" t="str">
        <f aca="false">IFERROR(INDEX($K$10288:$K$10291,MATCH($O10290,$N$10288:$N$10291,0)),"")</f>
        <v/>
      </c>
      <c r="D10290" s="42" t="str">
        <f aca="false">IF(OR(E10290="",N(C10290)=0),"",E10290/C10290-1)</f>
        <v/>
      </c>
      <c r="E10290" s="41" t="str">
        <f aca="false">IFERROR(INDEX($L$10288:$L$10291,MATCH($O10290,$N$10288:$N$10291,0)),"")</f>
        <v/>
      </c>
      <c r="F10290" s="41" t="str">
        <f aca="false">IF(E10290="","",E10290-C10290)</f>
        <v/>
      </c>
      <c r="J10290" s="25" t="str">
        <f aca="false">Lib_Jur</f>
        <v>Mission juridique (approbation des comptes, secrétariat juridique)</v>
      </c>
      <c r="K10290" s="25" t="n">
        <f aca="false">IF($K$10261=0,0,N(INDEX(Clients!$M$2:$M$501,$K$10261)))</f>
        <v>0</v>
      </c>
      <c r="L10290" s="25" t="n">
        <f aca="false">IF($K$10261=0,0,N(INDEX(Clients!$R$2:$R$501,$K$10261)))</f>
        <v>0</v>
      </c>
      <c r="M10290" s="25" t="n">
        <f aca="false">IF(OR(K10290&lt;&gt;0,L10290&lt;&gt;0),1,0)</f>
        <v>0</v>
      </c>
      <c r="N10290" s="25" t="str">
        <f aca="false">IF(M10290=1,SUM($M$10288:M10290),"")</f>
        <v/>
      </c>
      <c r="O10290" s="25" t="n">
        <v>3</v>
      </c>
    </row>
    <row r="10291" customFormat="false" ht="16.5" hidden="false" customHeight="true" outlineLevel="0" collapsed="false">
      <c r="B10291" s="40" t="str">
        <f aca="false">IFERROR(INDEX($J$10288:$J$10291,MATCH($O10291,$N$10288:$N$10291,0)),"")</f>
        <v/>
      </c>
      <c r="C10291" s="41" t="str">
        <f aca="false">IFERROR(INDEX($K$10288:$K$10291,MATCH($O10291,$N$10288:$N$10291,0)),"")</f>
        <v/>
      </c>
      <c r="D10291" s="42" t="str">
        <f aca="false">IF(OR(E10291="",N(C10291)=0),"",E10291/C10291-1)</f>
        <v/>
      </c>
      <c r="E10291" s="41" t="str">
        <f aca="false">IFERROR(INDEX($L$10288:$L$10291,MATCH($O10291,$N$10288:$N$10291,0)),"")</f>
        <v/>
      </c>
      <c r="F10291" s="41" t="str">
        <f aca="false">IF(E10291="","",E10291-C10291)</f>
        <v/>
      </c>
      <c r="J10291" s="25" t="str">
        <f aca="false">Lib_PA</f>
        <v>Plateforme agréée – facturation électronique</v>
      </c>
      <c r="K10291" s="25" t="n">
        <f aca="false">IF($K$10261=0,0,N(INDEX(Clients!$N$2:$N$501,$K$10261)))</f>
        <v>0</v>
      </c>
      <c r="L10291" s="25" t="n">
        <f aca="false">IF($K$10261=0,0,N(INDEX(Clients!$S$2:$S$501,$K$10261)))</f>
        <v>0</v>
      </c>
      <c r="M10291" s="25" t="n">
        <f aca="false">IF(OR(K10291&lt;&gt;0,L10291&lt;&gt;0),1,0)</f>
        <v>0</v>
      </c>
      <c r="N10291" s="25" t="str">
        <f aca="false">IF(M10291=1,SUM($M$10288:M10291),"")</f>
        <v/>
      </c>
      <c r="O10291" s="25" t="n">
        <v>4</v>
      </c>
    </row>
    <row r="10292" customFormat="false" ht="18" hidden="false" customHeight="true" outlineLevel="0" collapsed="false">
      <c r="B10292" s="43" t="s">
        <v>158</v>
      </c>
      <c r="C10292" s="44" t="n">
        <f aca="false">SUM(K10288:K10291)</f>
        <v>0</v>
      </c>
      <c r="D10292" s="45" t="str">
        <f aca="false">IF(N(C10292)=0,"",E10292/C10292-1)</f>
        <v/>
      </c>
      <c r="E10292" s="44" t="n">
        <f aca="false">SUM(L10288:L10291)</f>
        <v>0</v>
      </c>
      <c r="F10292" s="44" t="n">
        <f aca="false">E10292-C10292</f>
        <v>0</v>
      </c>
    </row>
    <row r="10293" customFormat="false" ht="15" hidden="false" customHeight="false" outlineLevel="0" collapsed="false">
      <c r="B10293" s="46" t="str">
        <f aca="false">IF(N(Nb_Mensualites)=0,"","Soit "&amp;FIXED(E10292/Nb_Mensualites,2)&amp;" € HT par échéance ("&amp;Nb_Mensualites&amp;" échéances), "&amp;FIXED(E10292/Nb_Mensualites*(1+Taux_TVA),2)&amp;" € TTC.")</f>
        <v>Soit 0.00 € HT par échéance (12 échéances), 0.00 € TTC.</v>
      </c>
      <c r="C10293" s="46"/>
      <c r="D10293" s="46"/>
      <c r="E10293" s="46"/>
      <c r="F10293" s="46"/>
    </row>
    <row r="10294" customFormat="false" ht="7.5" hidden="false" customHeight="true" outlineLevel="0" collapsed="false">
      <c r="B10294" s="10"/>
      <c r="C10294" s="10"/>
      <c r="D10294" s="10"/>
      <c r="E10294" s="10"/>
      <c r="F10294" s="10"/>
    </row>
    <row r="10295" customFormat="false" ht="36.75" hidden="false" customHeight="true" outlineLevel="0" collapsed="false">
      <c r="B10295" s="37" t="str">
        <f aca="false">SUBSTITUTE(SUBSTITUTE(SUBSTITUTE(SUBSTITUTE(SUBSTITUTE(Txt_P5,"{cabinet}",Cab_Nom),"{societe}",IF($K$10261=0,"",INDEX(Clients!$E$2:$E$501,$K$10261)&amp;"")),"{date_effet}",$K$10263),"{hausse}",$K$10264),"{civilite}",$K$10262)</f>
        <v>Les autres conditions de votre lettre de mission demeurent inchangées. Les nouveaux montants seront appliqués automatiquement sur vos prochaines factures et échéances de prélèvement.</v>
      </c>
      <c r="C10295" s="37"/>
      <c r="D10295" s="37"/>
      <c r="E10295" s="37"/>
      <c r="F10295" s="37"/>
    </row>
    <row r="10296" customFormat="false" ht="36.75" hidden="false" customHeight="true" outlineLevel="0" collapsed="false">
      <c r="B10296" s="37" t="str">
        <f aca="false">SUBSTITUTE(SUBSTITUTE(SUBSTITUTE(SUBSTITUTE(SUBSTITUTE(Txt_P6,"{cabinet}",Cab_Nom),"{societe}",IF($K$10261=0,"",INDEX(Clients!$E$2:$E$501,$K$10261)&amp;"")),"{date_effet}",$K$10263),"{hausse}",$K$10264),"{civilite}",$K$10262)</f>
        <v>Votre interlocuteur habituel reste à votre entière disposition pour répondre à vos questions et faire le point sur l'évolution de vos besoins.</v>
      </c>
      <c r="C10296" s="37"/>
      <c r="D10296" s="37"/>
      <c r="E10296" s="37"/>
      <c r="F10296" s="37"/>
    </row>
    <row r="10297" customFormat="false" ht="24" hidden="false" customHeight="true" outlineLevel="0" collapsed="false">
      <c r="B10297" s="37" t="str">
        <f aca="false">SUBSTITUTE(SUBSTITUTE(SUBSTITUTE(SUBSTITUTE(SUBSTITUTE(Txt_Politesse,"{cabinet}",Cab_Nom),"{societe}",IF($K$10261=0,"",INDEX(Clients!$E$2:$E$501,$K$10261)&amp;"")),"{date_effet}",$K$10263),"{hausse}",$K$10264),"{civilite}",$K$10262)</f>
        <v>Nous vous prions d'agréer, Madame, Monsieur, l'expression de nos salutations distinguées.</v>
      </c>
      <c r="C10297" s="37"/>
      <c r="D10297" s="37"/>
      <c r="E10297" s="37"/>
      <c r="F10297" s="37"/>
    </row>
    <row r="10298" customFormat="false" ht="15" hidden="false" customHeight="false" outlineLevel="0" collapsed="false">
      <c r="B10298" s="10"/>
      <c r="C10298" s="10"/>
      <c r="D10298" s="10"/>
      <c r="E10298" s="10"/>
      <c r="F10298" s="10"/>
    </row>
    <row r="10299" customFormat="false" ht="15" hidden="false" customHeight="false" outlineLevel="0" collapsed="false">
      <c r="B10299" s="10"/>
      <c r="C10299" s="10"/>
      <c r="D10299" s="34" t="str">
        <f aca="false">Signataire</f>
        <v>Prénom NOM</v>
      </c>
      <c r="E10299" s="34"/>
      <c r="F10299" s="34"/>
    </row>
    <row r="10300" customFormat="false" ht="15" hidden="false" customHeight="false" outlineLevel="0" collapsed="false">
      <c r="B10300" s="10"/>
      <c r="C10300" s="10"/>
      <c r="D10300" s="47" t="str">
        <f aca="false">Signataire_Titre</f>
        <v>Expert-comptable associé</v>
      </c>
      <c r="E10300" s="47"/>
      <c r="F10300" s="47"/>
    </row>
    <row r="10301" customFormat="false" ht="15.75" hidden="false" customHeight="true" outlineLevel="0" collapsed="false">
      <c r="B10301" s="10"/>
      <c r="C10301" s="10"/>
      <c r="D10301" s="10"/>
      <c r="E10301" s="10"/>
      <c r="F10301" s="10"/>
    </row>
    <row r="10302" customFormat="false" ht="15.75" hidden="false" customHeight="true" outlineLevel="0" collapsed="false">
      <c r="B10302" s="10"/>
      <c r="C10302" s="10"/>
      <c r="D10302" s="10"/>
      <c r="E10302" s="10"/>
      <c r="F10302" s="10"/>
    </row>
    <row r="10303" customFormat="false" ht="15.75" hidden="false" customHeight="true" outlineLevel="0" collapsed="false">
      <c r="B10303" s="10"/>
      <c r="C10303" s="10"/>
      <c r="D10303" s="10"/>
      <c r="E10303" s="10"/>
      <c r="F10303" s="10"/>
    </row>
    <row r="10304" customFormat="false" ht="15.75" hidden="false" customHeight="true" outlineLevel="0" collapsed="false">
      <c r="B10304" s="10"/>
      <c r="C10304" s="10"/>
      <c r="D10304" s="10"/>
      <c r="E10304" s="10"/>
      <c r="F10304" s="10"/>
    </row>
    <row r="10305" customFormat="false" ht="24" hidden="false" customHeight="true" outlineLevel="0" collapsed="false">
      <c r="B10305" s="48" t="str">
        <f aca="false">Cab_Mentions</f>
        <v>ALTHO EXPERTISE · SAS au capital de 10 000 € · RCS Pontoise 919 706 325 · TVA FR62919706325 · Société d'expertise comptable inscrite au Tableau de l'Ordre des experts-comptables de Paris Île-de-France</v>
      </c>
      <c r="C10305" s="48"/>
      <c r="D10305" s="48"/>
      <c r="E10305" s="48"/>
      <c r="F10305" s="48"/>
    </row>
    <row r="10306" customFormat="false" ht="15" hidden="false" customHeight="false" outlineLevel="0" collapsed="false">
      <c r="B10306" s="10"/>
      <c r="C10306" s="10"/>
      <c r="D10306" s="10"/>
      <c r="E10306" s="10"/>
      <c r="F10306" s="10"/>
      <c r="J10306" s="25" t="s">
        <v>142</v>
      </c>
      <c r="K10306" s="25" t="n">
        <f aca="false">IFERROR(MATCH(230,Clients!$Z$2:$Z$501,0),0)</f>
        <v>0</v>
      </c>
      <c r="L10306" s="25"/>
      <c r="M10306" s="25"/>
      <c r="N10306" s="25"/>
      <c r="O10306" s="25"/>
    </row>
    <row r="10307" customFormat="false" ht="21.75" hidden="false" customHeight="true" outlineLevel="0" collapsed="false">
      <c r="B10307" s="26" t="str">
        <f aca="false">Cab_Nom</f>
        <v>ALTHO EXPERTISE</v>
      </c>
      <c r="C10307" s="26"/>
      <c r="D10307" s="10"/>
      <c r="E10307" s="27" t="str">
        <f aca="false">IF($K$10306=0,"","Réf. client : "&amp;INDEX(Clients!$A$2:$A$501,$K$10306))</f>
        <v/>
      </c>
      <c r="F10307" s="27"/>
      <c r="J10307" s="25" t="s">
        <v>144</v>
      </c>
      <c r="K10307" s="25" t="str">
        <f aca="false">IF(IF($K$10306=0,"",INDEX(Clients!$B$2:$B$501,$K$10306)&amp;"")="Mme","Madame",IF(IF($K$10306=0,"",INDEX(Clients!$B$2:$B$501,$K$10306)&amp;"")="M.","Monsieur","Madame, Monsieur"))</f>
        <v>Madame, Monsieur</v>
      </c>
      <c r="L10307" s="25"/>
      <c r="M10307" s="25"/>
      <c r="N10307" s="25"/>
      <c r="O10307" s="25"/>
    </row>
    <row r="10308" customFormat="false" ht="15" hidden="false" customHeight="false" outlineLevel="0" collapsed="false">
      <c r="B10308" s="29" t="str">
        <f aca="false">Cab_Adr1</f>
        <v>141 rue Charles de Gaulle</v>
      </c>
      <c r="C10308" s="29"/>
      <c r="D10308" s="10"/>
      <c r="E10308" s="10"/>
      <c r="F10308" s="10"/>
      <c r="J10308" s="25" t="s">
        <v>145</v>
      </c>
      <c r="K10308" s="25" t="str">
        <f aca="false">DAY(Date_Effet)&amp;IF(DAY(Date_Effet)=1,"er","")&amp;" "&amp;INDEX(Liste_Mois,MONTH(Date_Effet))&amp;" "&amp;YEAR(Date_Effet)</f>
        <v>1er janvier 2027</v>
      </c>
      <c r="L10308" s="25"/>
      <c r="M10308" s="25"/>
      <c r="N10308" s="25"/>
      <c r="O10308" s="25"/>
    </row>
    <row r="10309" customFormat="false" ht="15" hidden="false" customHeight="false" outlineLevel="0" collapsed="false">
      <c r="B10309" s="29" t="str">
        <f aca="false">Cab_CPVille</f>
        <v>95130 LE PLESSIS-BOUCHARD</v>
      </c>
      <c r="C10309" s="29"/>
      <c r="D10309" s="10"/>
      <c r="E10309" s="10"/>
      <c r="F10309" s="10"/>
      <c r="J10309" s="25" t="s">
        <v>146</v>
      </c>
      <c r="K10309" s="25" t="str">
        <f aca="false">IF(SUM($K$10333:$K$10336)=0,"",FIXED((SUM($L$10333:$L$10336)/SUM($K$10333:$K$10336)-1)*100,1)&amp;" %")</f>
        <v/>
      </c>
      <c r="L10309" s="25"/>
      <c r="M10309" s="25"/>
      <c r="N10309" s="25"/>
      <c r="O10309" s="25"/>
    </row>
    <row r="10310" customFormat="false" ht="15" hidden="false" customHeight="false" outlineLevel="0" collapsed="false">
      <c r="B10310" s="29" t="str">
        <f aca="false">Cab_Contact</f>
        <v>Tél. 01 34 14 53 45  ·  altho@altho-experts.com  ·  altho-experts.com</v>
      </c>
      <c r="C10310" s="29"/>
      <c r="D10310" s="10"/>
      <c r="E10310" s="10"/>
      <c r="F10310" s="10"/>
      <c r="J10310" s="25"/>
      <c r="K10310" s="25"/>
      <c r="L10310" s="25"/>
      <c r="M10310" s="25"/>
      <c r="N10310" s="25"/>
      <c r="O10310" s="25"/>
    </row>
    <row r="10311" customFormat="false" ht="6" hidden="false" customHeight="true" outlineLevel="0" collapsed="false">
      <c r="B10311" s="32"/>
      <c r="C10311" s="32"/>
      <c r="D10311" s="32"/>
      <c r="E10311" s="32"/>
      <c r="F10311" s="32"/>
      <c r="J10311" s="25"/>
      <c r="K10311" s="25"/>
      <c r="L10311" s="25"/>
      <c r="M10311" s="25"/>
      <c r="N10311" s="25"/>
      <c r="O10311" s="25"/>
    </row>
    <row r="10312" customFormat="false" ht="13.5" hidden="false" customHeight="true" outlineLevel="0" collapsed="false">
      <c r="B10312" s="10"/>
      <c r="C10312" s="10"/>
      <c r="D10312" s="10"/>
      <c r="E10312" s="10"/>
      <c r="F10312" s="10"/>
      <c r="J10312" s="25"/>
      <c r="K10312" s="25"/>
      <c r="L10312" s="25"/>
      <c r="M10312" s="25"/>
      <c r="N10312" s="25"/>
      <c r="O10312" s="25"/>
    </row>
    <row r="10313" customFormat="false" ht="13.5" hidden="false" customHeight="true" outlineLevel="0" collapsed="false">
      <c r="B10313" s="10"/>
      <c r="C10313" s="10"/>
      <c r="D10313" s="10"/>
      <c r="E10313" s="10"/>
      <c r="F10313" s="10"/>
      <c r="J10313" s="25"/>
      <c r="K10313" s="25"/>
      <c r="L10313" s="25"/>
      <c r="M10313" s="25"/>
      <c r="N10313" s="25"/>
      <c r="O10313" s="25"/>
    </row>
    <row r="10314" customFormat="false" ht="13.5" hidden="false" customHeight="true" outlineLevel="0" collapsed="false">
      <c r="B10314" s="10"/>
      <c r="C10314" s="10"/>
      <c r="D10314" s="10"/>
      <c r="E10314" s="10"/>
      <c r="F10314" s="10"/>
      <c r="J10314" s="25"/>
      <c r="K10314" s="25"/>
      <c r="L10314" s="25"/>
      <c r="M10314" s="25"/>
      <c r="N10314" s="25"/>
      <c r="O10314" s="25"/>
    </row>
    <row r="10315" customFormat="false" ht="15" hidden="false" customHeight="true" outlineLevel="0" collapsed="false">
      <c r="B10315" s="10"/>
      <c r="C10315" s="10"/>
      <c r="D10315" s="34" t="str">
        <f aca="false">IF($K$10306=0,"",INDEX(Clients!$E$2:$E$501,$K$10306)&amp;"")</f>
        <v/>
      </c>
      <c r="E10315" s="34"/>
      <c r="F10315" s="34"/>
      <c r="J10315" s="25"/>
      <c r="K10315" s="25"/>
      <c r="L10315" s="25"/>
      <c r="M10315" s="25"/>
      <c r="N10315" s="25"/>
      <c r="O10315" s="25"/>
    </row>
    <row r="10316" customFormat="false" ht="15" hidden="false" customHeight="true" outlineLevel="0" collapsed="false">
      <c r="B10316" s="10"/>
      <c r="C10316" s="10"/>
      <c r="D10316" s="35" t="str">
        <f aca="false">IF(IF($K$10306=0,"",INDEX(Clients!$D$2:$D$501,$K$10306)&amp;"")="","","À l'attention de "&amp;TRIM(IF($K$10306=0,"",INDEX(Clients!$B$2:$B$501,$K$10306)&amp;"")&amp;" "&amp;IF($K$10306=0,"",INDEX(Clients!$C$2:$C$501,$K$10306)&amp;"")&amp;" "&amp;IF($K$10306=0,"",INDEX(Clients!$D$2:$D$501,$K$10306)&amp;"")))</f>
        <v/>
      </c>
      <c r="E10316" s="35"/>
      <c r="F10316" s="35"/>
      <c r="J10316" s="25"/>
      <c r="K10316" s="25"/>
      <c r="L10316" s="25"/>
      <c r="M10316" s="25"/>
      <c r="N10316" s="25"/>
      <c r="O10316" s="25"/>
    </row>
    <row r="10317" customFormat="false" ht="15" hidden="false" customHeight="true" outlineLevel="0" collapsed="false">
      <c r="B10317" s="10"/>
      <c r="C10317" s="10"/>
      <c r="D10317" s="35" t="str">
        <f aca="false">IF($K$10306=0,"",INDEX(Clients!$F$2:$F$501,$K$10306)&amp;"")</f>
        <v/>
      </c>
      <c r="E10317" s="35"/>
      <c r="F10317" s="35"/>
      <c r="J10317" s="25"/>
      <c r="K10317" s="25"/>
      <c r="L10317" s="25"/>
      <c r="M10317" s="25"/>
      <c r="N10317" s="25"/>
      <c r="O10317" s="25"/>
    </row>
    <row r="10318" customFormat="false" ht="15" hidden="false" customHeight="true" outlineLevel="0" collapsed="false">
      <c r="B10318" s="10"/>
      <c r="C10318" s="10"/>
      <c r="D10318" s="35" t="str">
        <f aca="false">IF(IF($K$10306=0,"",INDEX(Clients!$G$2:$G$501,$K$10306)&amp;"")="",TRIM(IF($K$10306=0,"",INDEX(Clients!$H$2:$H$501,$K$10306)&amp;"")&amp;" "&amp;UPPER(IF($K$10306=0,"",INDEX(Clients!$I$2:$I$501,$K$10306)&amp;""))),IF($K$10306=0,"",INDEX(Clients!$G$2:$G$501,$K$10306)&amp;""))</f>
        <v/>
      </c>
      <c r="E10318" s="35"/>
      <c r="F10318" s="35"/>
      <c r="J10318" s="25"/>
      <c r="K10318" s="25"/>
      <c r="L10318" s="25"/>
      <c r="M10318" s="25"/>
      <c r="N10318" s="25"/>
      <c r="O10318" s="25"/>
    </row>
    <row r="10319" customFormat="false" ht="15" hidden="false" customHeight="true" outlineLevel="0" collapsed="false">
      <c r="B10319" s="10"/>
      <c r="C10319" s="10"/>
      <c r="D10319" s="35" t="str">
        <f aca="false">IF(IF($K$10306=0,"",INDEX(Clients!$G$2:$G$501,$K$10306)&amp;"")="","",TRIM(IF($K$10306=0,"",INDEX(Clients!$H$2:$H$501,$K$10306)&amp;"")&amp;" "&amp;UPPER(IF($K$10306=0,"",INDEX(Clients!$I$2:$I$501,$K$10306)&amp;""))))</f>
        <v/>
      </c>
      <c r="E10319" s="35"/>
      <c r="F10319" s="35"/>
      <c r="J10319" s="25"/>
      <c r="K10319" s="25"/>
      <c r="L10319" s="25"/>
      <c r="M10319" s="25"/>
      <c r="N10319" s="25"/>
      <c r="O10319" s="25"/>
    </row>
    <row r="10320" customFormat="false" ht="25.5" hidden="false" customHeight="true" outlineLevel="0" collapsed="false">
      <c r="B10320" s="10"/>
      <c r="C10320" s="10"/>
      <c r="D10320" s="10"/>
      <c r="E10320" s="10"/>
      <c r="F10320" s="10"/>
      <c r="J10320" s="25"/>
      <c r="K10320" s="25"/>
      <c r="L10320" s="25"/>
      <c r="M10320" s="25"/>
      <c r="N10320" s="25"/>
      <c r="O10320" s="25"/>
    </row>
    <row r="10321" customFormat="false" ht="15" hidden="false" customHeight="false" outlineLevel="0" collapsed="false">
      <c r="B10321" s="10"/>
      <c r="C10321" s="10"/>
      <c r="D10321" s="36" t="str">
        <f aca="false">Cab_Ville&amp;", le "&amp;DAY(Date_Courrier)&amp;IF(DAY(Date_Courrier)=1,"er","")&amp;" "&amp;INDEX(Liste_Mois,MONTH(Date_Courrier))&amp;" "&amp;YEAR(Date_Courrier)</f>
        <v>Le Plessis-Bouchard, le 22 septembre 2026</v>
      </c>
      <c r="E10321" s="36"/>
      <c r="F10321" s="36"/>
      <c r="J10321" s="25"/>
      <c r="K10321" s="25"/>
      <c r="L10321" s="25"/>
      <c r="M10321" s="25"/>
      <c r="N10321" s="25"/>
      <c r="O10321" s="25"/>
    </row>
    <row r="10322" customFormat="false" ht="19.5" hidden="false" customHeight="true" outlineLevel="0" collapsed="false">
      <c r="B10322" s="10"/>
      <c r="C10322" s="10"/>
      <c r="D10322" s="10"/>
      <c r="E10322" s="10"/>
      <c r="F10322" s="10"/>
      <c r="J10322" s="25"/>
      <c r="K10322" s="25"/>
      <c r="L10322" s="25"/>
      <c r="M10322" s="25"/>
      <c r="N10322" s="25"/>
      <c r="O10322" s="25"/>
    </row>
    <row r="10323" customFormat="false" ht="15" hidden="false" customHeight="false" outlineLevel="0" collapsed="false">
      <c r="B10323" s="34" t="str">
        <f aca="false">SUBSTITUTE(SUBSTITUTE(SUBSTITUTE(SUBSTITUTE(SUBSTITUTE(Txt_Objet,"{cabinet}",Cab_Nom),"{societe}",IF($K$10306=0,"",INDEX(Clients!$E$2:$E$501,$K$10306)&amp;"")),"{date_effet}",$K$10308),"{hausse}",$K$10309),"{civilite}",$K$10307)</f>
        <v>Objet : révision de nos honoraires au 1er janvier 2027</v>
      </c>
      <c r="C10323" s="34"/>
      <c r="D10323" s="34"/>
      <c r="E10323" s="34"/>
      <c r="F10323" s="34"/>
      <c r="J10323" s="25"/>
      <c r="K10323" s="25"/>
      <c r="L10323" s="25"/>
      <c r="M10323" s="25"/>
      <c r="N10323" s="25"/>
      <c r="O10323" s="25"/>
    </row>
    <row r="10324" customFormat="false" ht="13.5" hidden="false" customHeight="true" outlineLevel="0" collapsed="false">
      <c r="B10324" s="10"/>
      <c r="C10324" s="10"/>
      <c r="D10324" s="10"/>
      <c r="E10324" s="10"/>
      <c r="F10324" s="10"/>
      <c r="J10324" s="25"/>
      <c r="K10324" s="25"/>
      <c r="L10324" s="25"/>
      <c r="M10324" s="25"/>
      <c r="N10324" s="25"/>
      <c r="O10324" s="25"/>
    </row>
    <row r="10325" customFormat="false" ht="15" hidden="false" customHeight="false" outlineLevel="0" collapsed="false">
      <c r="B10325" s="10" t="str">
        <f aca="false">$K$10307&amp;","</f>
        <v>Madame, Monsieur,</v>
      </c>
      <c r="C10325" s="10"/>
      <c r="D10325" s="10"/>
      <c r="E10325" s="10"/>
      <c r="F10325" s="10"/>
      <c r="J10325" s="25"/>
      <c r="K10325" s="25"/>
      <c r="L10325" s="25"/>
      <c r="M10325" s="25"/>
      <c r="N10325" s="25"/>
      <c r="O10325" s="25"/>
    </row>
    <row r="10326" customFormat="false" ht="6" hidden="false" customHeight="true" outlineLevel="0" collapsed="false">
      <c r="B10326" s="10"/>
      <c r="C10326" s="10"/>
      <c r="D10326" s="10"/>
      <c r="E10326" s="10"/>
      <c r="F10326" s="10"/>
      <c r="J10326" s="25"/>
      <c r="K10326" s="25"/>
      <c r="L10326" s="25"/>
      <c r="M10326" s="25"/>
      <c r="N10326" s="25"/>
      <c r="O10326" s="25"/>
    </row>
    <row r="10327" customFormat="false" ht="36.75" hidden="false" customHeight="true" outlineLevel="0" collapsed="false">
      <c r="B10327" s="37" t="str">
        <f aca="false">SUBSTITUTE(SUBSTITUTE(SUBSTITUTE(SUBSTITUTE(SUBSTITUTE(Txt_P1,"{cabinet}",Cab_Nom),"{societe}",IF($K$10306=0,"",INDEX(Clients!$E$2:$E$501,$K$10306)&amp;"")),"{date_effet}",$K$10308),"{hausse}",$K$10309),"{civilite}",$K$10307)</f>
        <v>Nous tenons tout d'abord à vous remercier pour la confiance que vous accordez à ALTHO EXPERTISE. Comme chaque année, et conformément aux dispositions de votre lettre de mission, nous procédons à la révision de nos honoraires.</v>
      </c>
      <c r="C10327" s="37"/>
      <c r="D10327" s="37"/>
      <c r="E10327" s="37"/>
      <c r="F10327" s="37"/>
      <c r="J10327" s="25"/>
      <c r="K10327" s="25"/>
      <c r="L10327" s="25"/>
      <c r="M10327" s="25"/>
      <c r="N10327" s="25"/>
      <c r="O10327" s="25"/>
    </row>
    <row r="10328" customFormat="false" ht="49.5" hidden="false" customHeight="true" outlineLevel="0" collapsed="false">
      <c r="B10328" s="37" t="str">
        <f aca="false">SUBSTITUTE(SUBSTITUTE(SUBSTITUTE(SUBSTITUTE(SUBSTITUTE(Txt_P2,"{cabinet}",Cab_Nom),"{societe}",IF($K$10306=0,"",INDEX(Clients!$E$2:$E$501,$K$10306)&amp;"")),"{date_effet}",$K$10308),"{hausse}",$K$10309),"{civilite}",$K$10307)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328" s="37"/>
      <c r="D10328" s="37"/>
      <c r="E10328" s="37"/>
      <c r="F10328" s="37"/>
      <c r="J10328" s="25"/>
      <c r="K10328" s="25"/>
      <c r="L10328" s="25"/>
      <c r="M10328" s="25"/>
      <c r="N10328" s="25"/>
      <c r="O10328" s="25"/>
    </row>
    <row r="10329" customFormat="false" ht="63" hidden="false" customHeight="true" outlineLevel="0" collapsed="false">
      <c r="B10329" s="37" t="str">
        <f aca="false">SUBSTITUTE(SUBSTITUTE(SUBSTITUTE(SUBSTITUTE(SUBSTITUTE(Txt_P3,"{cabinet}",Cab_Nom),"{societe}",IF($K$10306=0,"",INDEX(Clients!$E$2:$E$501,$K$10306)&amp;"")),"{date_effet}",$K$10308),"{hausse}",$K$10309),"{civilite}",$K$10307)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329" s="37"/>
      <c r="D10329" s="37"/>
      <c r="E10329" s="37"/>
      <c r="F10329" s="37"/>
      <c r="J10329" s="25"/>
      <c r="K10329" s="25"/>
      <c r="L10329" s="25"/>
      <c r="M10329" s="25"/>
      <c r="N10329" s="25"/>
      <c r="O10329" s="25"/>
    </row>
    <row r="10330" customFormat="false" ht="24" hidden="false" customHeight="true" outlineLevel="0" collapsed="false">
      <c r="B10330" s="37" t="str">
        <f aca="false">SUBSTITUTE(SUBSTITUTE(SUBSTITUTE(SUBSTITUTE(SUBSTITUTE(Txt_P4,"{cabinet}",Cab_Nom),"{societe}",IF($K$10306=0,"",INDEX(Clients!$E$2:$E$501,$K$10306)&amp;"")),"{date_effet}",$K$10308),"{hausse}",$K$10309),"{civilite}",$K$10307)</f>
        <v>À compter du 1er janvier 2027, vos honoraires annuels hors taxes évolueront ainsi (évolution globale : ) :</v>
      </c>
      <c r="C10330" s="37"/>
      <c r="D10330" s="37"/>
      <c r="E10330" s="37"/>
      <c r="F10330" s="37"/>
      <c r="J10330" s="25"/>
      <c r="K10330" s="25"/>
      <c r="L10330" s="25"/>
      <c r="M10330" s="25"/>
      <c r="N10330" s="25"/>
      <c r="O10330" s="25"/>
    </row>
    <row r="10331" customFormat="false" ht="3.75" hidden="false" customHeight="true" outlineLevel="0" collapsed="false">
      <c r="B10331" s="10"/>
      <c r="C10331" s="10"/>
      <c r="D10331" s="10"/>
      <c r="E10331" s="10"/>
      <c r="F10331" s="10"/>
      <c r="J10331" s="25"/>
      <c r="K10331" s="25"/>
      <c r="L10331" s="25"/>
      <c r="M10331" s="25"/>
      <c r="N10331" s="25"/>
      <c r="O10331" s="25"/>
    </row>
    <row r="10332" customFormat="false" ht="18" hidden="false" customHeight="true" outlineLevel="0" collapsed="false">
      <c r="B10332" s="38" t="s">
        <v>148</v>
      </c>
      <c r="C10332" s="39" t="s">
        <v>149</v>
      </c>
      <c r="D10332" s="39" t="s">
        <v>150</v>
      </c>
      <c r="E10332" s="39" t="s">
        <v>151</v>
      </c>
      <c r="F10332" s="39" t="s">
        <v>109</v>
      </c>
      <c r="J10332" s="25" t="s">
        <v>152</v>
      </c>
      <c r="K10332" s="25" t="s">
        <v>153</v>
      </c>
      <c r="L10332" s="25" t="s">
        <v>154</v>
      </c>
      <c r="M10332" s="25" t="s">
        <v>155</v>
      </c>
      <c r="N10332" s="25" t="s">
        <v>156</v>
      </c>
      <c r="O10332" s="25" t="s">
        <v>157</v>
      </c>
    </row>
    <row r="10333" customFormat="false" ht="16.5" hidden="false" customHeight="true" outlineLevel="0" collapsed="false">
      <c r="B10333" s="40" t="str">
        <f aca="false">IFERROR(INDEX($J$10333:$J$10336,MATCH($O10333,$N$10333:$N$10336,0)),"")</f>
        <v/>
      </c>
      <c r="C10333" s="41" t="str">
        <f aca="false">IFERROR(INDEX($K$10333:$K$10336,MATCH($O10333,$N$10333:$N$10336,0)),"")</f>
        <v/>
      </c>
      <c r="D10333" s="42" t="str">
        <f aca="false">IF(OR(E10333="",N(C10333)=0),"",E10333/C10333-1)</f>
        <v/>
      </c>
      <c r="E10333" s="41" t="str">
        <f aca="false">IFERROR(INDEX($L$10333:$L$10336,MATCH($O10333,$N$10333:$N$10336,0)),"")</f>
        <v/>
      </c>
      <c r="F10333" s="41" t="str">
        <f aca="false">IF(E10333="","",E10333-C10333)</f>
        <v/>
      </c>
      <c r="J10333" s="25" t="str">
        <f aca="false">Lib_Compta</f>
        <v>Mission comptable (tenue, révision, bilan, liasse fiscale)</v>
      </c>
      <c r="K10333" s="25" t="n">
        <f aca="false">IF($K$10306=0,0,N(INDEX(Clients!$K$2:$K$501,$K$10306)))</f>
        <v>0</v>
      </c>
      <c r="L10333" s="25" t="n">
        <f aca="false">IF($K$10306=0,0,N(INDEX(Clients!$P$2:$P$501,$K$10306)))</f>
        <v>0</v>
      </c>
      <c r="M10333" s="25" t="n">
        <f aca="false">IF(OR(K10333&lt;&gt;0,L10333&lt;&gt;0),1,0)</f>
        <v>0</v>
      </c>
      <c r="N10333" s="25" t="str">
        <f aca="false">IF(M10333=1,SUM($M$10333:M10333),"")</f>
        <v/>
      </c>
      <c r="O10333" s="25" t="n">
        <v>1</v>
      </c>
    </row>
    <row r="10334" customFormat="false" ht="16.5" hidden="false" customHeight="true" outlineLevel="0" collapsed="false">
      <c r="B10334" s="40" t="str">
        <f aca="false">IFERROR(INDEX($J$10333:$J$10336,MATCH($O10334,$N$10333:$N$10336,0)),"")</f>
        <v/>
      </c>
      <c r="C10334" s="41" t="str">
        <f aca="false">IFERROR(INDEX($K$10333:$K$10336,MATCH($O10334,$N$10333:$N$10336,0)),"")</f>
        <v/>
      </c>
      <c r="D10334" s="42" t="str">
        <f aca="false">IF(OR(E10334="",N(C10334)=0),"",E10334/C10334-1)</f>
        <v/>
      </c>
      <c r="E10334" s="41" t="str">
        <f aca="false">IFERROR(INDEX($L$10333:$L$10336,MATCH($O10334,$N$10333:$N$10336,0)),"")</f>
        <v/>
      </c>
      <c r="F10334" s="41" t="str">
        <f aca="false">IF(E10334="","",E10334-C10334)</f>
        <v/>
      </c>
      <c r="J10334" s="25" t="str">
        <f aca="false">Lib_Paye</f>
        <v>Mission sociale (bulletins de paie, DSN, déclarations sociales)</v>
      </c>
      <c r="K10334" s="25" t="n">
        <f aca="false">IF($K$10306=0,0,N(INDEX(Clients!$L$2:$L$501,$K$10306)))</f>
        <v>0</v>
      </c>
      <c r="L10334" s="25" t="n">
        <f aca="false">IF($K$10306=0,0,N(INDEX(Clients!$Q$2:$Q$501,$K$10306)))</f>
        <v>0</v>
      </c>
      <c r="M10334" s="25" t="n">
        <f aca="false">IF(OR(K10334&lt;&gt;0,L10334&lt;&gt;0),1,0)</f>
        <v>0</v>
      </c>
      <c r="N10334" s="25" t="str">
        <f aca="false">IF(M10334=1,SUM($M$10333:M10334),"")</f>
        <v/>
      </c>
      <c r="O10334" s="25" t="n">
        <v>2</v>
      </c>
    </row>
    <row r="10335" customFormat="false" ht="16.5" hidden="false" customHeight="true" outlineLevel="0" collapsed="false">
      <c r="B10335" s="40" t="str">
        <f aca="false">IFERROR(INDEX($J$10333:$J$10336,MATCH($O10335,$N$10333:$N$10336,0)),"")</f>
        <v/>
      </c>
      <c r="C10335" s="41" t="str">
        <f aca="false">IFERROR(INDEX($K$10333:$K$10336,MATCH($O10335,$N$10333:$N$10336,0)),"")</f>
        <v/>
      </c>
      <c r="D10335" s="42" t="str">
        <f aca="false">IF(OR(E10335="",N(C10335)=0),"",E10335/C10335-1)</f>
        <v/>
      </c>
      <c r="E10335" s="41" t="str">
        <f aca="false">IFERROR(INDEX($L$10333:$L$10336,MATCH($O10335,$N$10333:$N$10336,0)),"")</f>
        <v/>
      </c>
      <c r="F10335" s="41" t="str">
        <f aca="false">IF(E10335="","",E10335-C10335)</f>
        <v/>
      </c>
      <c r="J10335" s="25" t="str">
        <f aca="false">Lib_Jur</f>
        <v>Mission juridique (approbation des comptes, secrétariat juridique)</v>
      </c>
      <c r="K10335" s="25" t="n">
        <f aca="false">IF($K$10306=0,0,N(INDEX(Clients!$M$2:$M$501,$K$10306)))</f>
        <v>0</v>
      </c>
      <c r="L10335" s="25" t="n">
        <f aca="false">IF($K$10306=0,0,N(INDEX(Clients!$R$2:$R$501,$K$10306)))</f>
        <v>0</v>
      </c>
      <c r="M10335" s="25" t="n">
        <f aca="false">IF(OR(K10335&lt;&gt;0,L10335&lt;&gt;0),1,0)</f>
        <v>0</v>
      </c>
      <c r="N10335" s="25" t="str">
        <f aca="false">IF(M10335=1,SUM($M$10333:M10335),"")</f>
        <v/>
      </c>
      <c r="O10335" s="25" t="n">
        <v>3</v>
      </c>
    </row>
    <row r="10336" customFormat="false" ht="16.5" hidden="false" customHeight="true" outlineLevel="0" collapsed="false">
      <c r="B10336" s="40" t="str">
        <f aca="false">IFERROR(INDEX($J$10333:$J$10336,MATCH($O10336,$N$10333:$N$10336,0)),"")</f>
        <v/>
      </c>
      <c r="C10336" s="41" t="str">
        <f aca="false">IFERROR(INDEX($K$10333:$K$10336,MATCH($O10336,$N$10333:$N$10336,0)),"")</f>
        <v/>
      </c>
      <c r="D10336" s="42" t="str">
        <f aca="false">IF(OR(E10336="",N(C10336)=0),"",E10336/C10336-1)</f>
        <v/>
      </c>
      <c r="E10336" s="41" t="str">
        <f aca="false">IFERROR(INDEX($L$10333:$L$10336,MATCH($O10336,$N$10333:$N$10336,0)),"")</f>
        <v/>
      </c>
      <c r="F10336" s="41" t="str">
        <f aca="false">IF(E10336="","",E10336-C10336)</f>
        <v/>
      </c>
      <c r="J10336" s="25" t="str">
        <f aca="false">Lib_PA</f>
        <v>Plateforme agréée – facturation électronique</v>
      </c>
      <c r="K10336" s="25" t="n">
        <f aca="false">IF($K$10306=0,0,N(INDEX(Clients!$N$2:$N$501,$K$10306)))</f>
        <v>0</v>
      </c>
      <c r="L10336" s="25" t="n">
        <f aca="false">IF($K$10306=0,0,N(INDEX(Clients!$S$2:$S$501,$K$10306)))</f>
        <v>0</v>
      </c>
      <c r="M10336" s="25" t="n">
        <f aca="false">IF(OR(K10336&lt;&gt;0,L10336&lt;&gt;0),1,0)</f>
        <v>0</v>
      </c>
      <c r="N10336" s="25" t="str">
        <f aca="false">IF(M10336=1,SUM($M$10333:M10336),"")</f>
        <v/>
      </c>
      <c r="O10336" s="25" t="n">
        <v>4</v>
      </c>
    </row>
    <row r="10337" customFormat="false" ht="18" hidden="false" customHeight="true" outlineLevel="0" collapsed="false">
      <c r="B10337" s="43" t="s">
        <v>158</v>
      </c>
      <c r="C10337" s="44" t="n">
        <f aca="false">SUM(K10333:K10336)</f>
        <v>0</v>
      </c>
      <c r="D10337" s="45" t="str">
        <f aca="false">IF(N(C10337)=0,"",E10337/C10337-1)</f>
        <v/>
      </c>
      <c r="E10337" s="44" t="n">
        <f aca="false">SUM(L10333:L10336)</f>
        <v>0</v>
      </c>
      <c r="F10337" s="44" t="n">
        <f aca="false">E10337-C10337</f>
        <v>0</v>
      </c>
    </row>
    <row r="10338" customFormat="false" ht="15" hidden="false" customHeight="false" outlineLevel="0" collapsed="false">
      <c r="B10338" s="46" t="str">
        <f aca="false">IF(N(Nb_Mensualites)=0,"","Soit "&amp;FIXED(E10337/Nb_Mensualites,2)&amp;" € HT par échéance ("&amp;Nb_Mensualites&amp;" échéances), "&amp;FIXED(E10337/Nb_Mensualites*(1+Taux_TVA),2)&amp;" € TTC.")</f>
        <v>Soit 0.00 € HT par échéance (12 échéances), 0.00 € TTC.</v>
      </c>
      <c r="C10338" s="46"/>
      <c r="D10338" s="46"/>
      <c r="E10338" s="46"/>
      <c r="F10338" s="46"/>
    </row>
    <row r="10339" customFormat="false" ht="7.5" hidden="false" customHeight="true" outlineLevel="0" collapsed="false">
      <c r="B10339" s="10"/>
      <c r="C10339" s="10"/>
      <c r="D10339" s="10"/>
      <c r="E10339" s="10"/>
      <c r="F10339" s="10"/>
    </row>
    <row r="10340" customFormat="false" ht="36.75" hidden="false" customHeight="true" outlineLevel="0" collapsed="false">
      <c r="B10340" s="37" t="str">
        <f aca="false">SUBSTITUTE(SUBSTITUTE(SUBSTITUTE(SUBSTITUTE(SUBSTITUTE(Txt_P5,"{cabinet}",Cab_Nom),"{societe}",IF($K$10306=0,"",INDEX(Clients!$E$2:$E$501,$K$10306)&amp;"")),"{date_effet}",$K$10308),"{hausse}",$K$10309),"{civilite}",$K$10307)</f>
        <v>Les autres conditions de votre lettre de mission demeurent inchangées. Les nouveaux montants seront appliqués automatiquement sur vos prochaines factures et échéances de prélèvement.</v>
      </c>
      <c r="C10340" s="37"/>
      <c r="D10340" s="37"/>
      <c r="E10340" s="37"/>
      <c r="F10340" s="37"/>
    </row>
    <row r="10341" customFormat="false" ht="36.75" hidden="false" customHeight="true" outlineLevel="0" collapsed="false">
      <c r="B10341" s="37" t="str">
        <f aca="false">SUBSTITUTE(SUBSTITUTE(SUBSTITUTE(SUBSTITUTE(SUBSTITUTE(Txt_P6,"{cabinet}",Cab_Nom),"{societe}",IF($K$10306=0,"",INDEX(Clients!$E$2:$E$501,$K$10306)&amp;"")),"{date_effet}",$K$10308),"{hausse}",$K$10309),"{civilite}",$K$10307)</f>
        <v>Votre interlocuteur habituel reste à votre entière disposition pour répondre à vos questions et faire le point sur l'évolution de vos besoins.</v>
      </c>
      <c r="C10341" s="37"/>
      <c r="D10341" s="37"/>
      <c r="E10341" s="37"/>
      <c r="F10341" s="37"/>
    </row>
    <row r="10342" customFormat="false" ht="24" hidden="false" customHeight="true" outlineLevel="0" collapsed="false">
      <c r="B10342" s="37" t="str">
        <f aca="false">SUBSTITUTE(SUBSTITUTE(SUBSTITUTE(SUBSTITUTE(SUBSTITUTE(Txt_Politesse,"{cabinet}",Cab_Nom),"{societe}",IF($K$10306=0,"",INDEX(Clients!$E$2:$E$501,$K$10306)&amp;"")),"{date_effet}",$K$10308),"{hausse}",$K$10309),"{civilite}",$K$10307)</f>
        <v>Nous vous prions d'agréer, Madame, Monsieur, l'expression de nos salutations distinguées.</v>
      </c>
      <c r="C10342" s="37"/>
      <c r="D10342" s="37"/>
      <c r="E10342" s="37"/>
      <c r="F10342" s="37"/>
    </row>
    <row r="10343" customFormat="false" ht="15" hidden="false" customHeight="false" outlineLevel="0" collapsed="false">
      <c r="B10343" s="10"/>
      <c r="C10343" s="10"/>
      <c r="D10343" s="10"/>
      <c r="E10343" s="10"/>
      <c r="F10343" s="10"/>
    </row>
    <row r="10344" customFormat="false" ht="15" hidden="false" customHeight="false" outlineLevel="0" collapsed="false">
      <c r="B10344" s="10"/>
      <c r="C10344" s="10"/>
      <c r="D10344" s="34" t="str">
        <f aca="false">Signataire</f>
        <v>Prénom NOM</v>
      </c>
      <c r="E10344" s="34"/>
      <c r="F10344" s="34"/>
    </row>
    <row r="10345" customFormat="false" ht="15" hidden="false" customHeight="false" outlineLevel="0" collapsed="false">
      <c r="B10345" s="10"/>
      <c r="C10345" s="10"/>
      <c r="D10345" s="47" t="str">
        <f aca="false">Signataire_Titre</f>
        <v>Expert-comptable associé</v>
      </c>
      <c r="E10345" s="47"/>
      <c r="F10345" s="47"/>
    </row>
    <row r="10346" customFormat="false" ht="15.75" hidden="false" customHeight="true" outlineLevel="0" collapsed="false">
      <c r="B10346" s="10"/>
      <c r="C10346" s="10"/>
      <c r="D10346" s="10"/>
      <c r="E10346" s="10"/>
      <c r="F10346" s="10"/>
    </row>
    <row r="10347" customFormat="false" ht="15.75" hidden="false" customHeight="true" outlineLevel="0" collapsed="false">
      <c r="B10347" s="10"/>
      <c r="C10347" s="10"/>
      <c r="D10347" s="10"/>
      <c r="E10347" s="10"/>
      <c r="F10347" s="10"/>
    </row>
    <row r="10348" customFormat="false" ht="15.75" hidden="false" customHeight="true" outlineLevel="0" collapsed="false">
      <c r="B10348" s="10"/>
      <c r="C10348" s="10"/>
      <c r="D10348" s="10"/>
      <c r="E10348" s="10"/>
      <c r="F10348" s="10"/>
    </row>
    <row r="10349" customFormat="false" ht="15.75" hidden="false" customHeight="true" outlineLevel="0" collapsed="false">
      <c r="B10349" s="10"/>
      <c r="C10349" s="10"/>
      <c r="D10349" s="10"/>
      <c r="E10349" s="10"/>
      <c r="F10349" s="10"/>
    </row>
    <row r="10350" customFormat="false" ht="24" hidden="false" customHeight="true" outlineLevel="0" collapsed="false">
      <c r="B10350" s="48" t="str">
        <f aca="false">Cab_Mentions</f>
        <v>ALTHO EXPERTISE · SAS au capital de 10 000 € · RCS Pontoise 919 706 325 · TVA FR62919706325 · Société d'expertise comptable inscrite au Tableau de l'Ordre des experts-comptables de Paris Île-de-France</v>
      </c>
      <c r="C10350" s="48"/>
      <c r="D10350" s="48"/>
      <c r="E10350" s="48"/>
      <c r="F10350" s="48"/>
    </row>
    <row r="10351" customFormat="false" ht="15" hidden="false" customHeight="false" outlineLevel="0" collapsed="false">
      <c r="B10351" s="10"/>
      <c r="C10351" s="10"/>
      <c r="D10351" s="10"/>
      <c r="E10351" s="10"/>
      <c r="F10351" s="10"/>
      <c r="J10351" s="25" t="s">
        <v>142</v>
      </c>
      <c r="K10351" s="25" t="n">
        <f aca="false">IFERROR(MATCH(231,Clients!$Z$2:$Z$501,0),0)</f>
        <v>0</v>
      </c>
      <c r="L10351" s="25"/>
      <c r="M10351" s="25"/>
      <c r="N10351" s="25"/>
      <c r="O10351" s="25"/>
    </row>
    <row r="10352" customFormat="false" ht="21.75" hidden="false" customHeight="true" outlineLevel="0" collapsed="false">
      <c r="B10352" s="26" t="str">
        <f aca="false">Cab_Nom</f>
        <v>ALTHO EXPERTISE</v>
      </c>
      <c r="C10352" s="26"/>
      <c r="D10352" s="10"/>
      <c r="E10352" s="27" t="str">
        <f aca="false">IF($K$10351=0,"","Réf. client : "&amp;INDEX(Clients!$A$2:$A$501,$K$10351))</f>
        <v/>
      </c>
      <c r="F10352" s="27"/>
      <c r="J10352" s="25" t="s">
        <v>144</v>
      </c>
      <c r="K10352" s="25" t="str">
        <f aca="false">IF(IF($K$10351=0,"",INDEX(Clients!$B$2:$B$501,$K$10351)&amp;"")="Mme","Madame",IF(IF($K$10351=0,"",INDEX(Clients!$B$2:$B$501,$K$10351)&amp;"")="M.","Monsieur","Madame, Monsieur"))</f>
        <v>Madame, Monsieur</v>
      </c>
      <c r="L10352" s="25"/>
      <c r="M10352" s="25"/>
      <c r="N10352" s="25"/>
      <c r="O10352" s="25"/>
    </row>
    <row r="10353" customFormat="false" ht="15" hidden="false" customHeight="false" outlineLevel="0" collapsed="false">
      <c r="B10353" s="29" t="str">
        <f aca="false">Cab_Adr1</f>
        <v>141 rue Charles de Gaulle</v>
      </c>
      <c r="C10353" s="29"/>
      <c r="D10353" s="10"/>
      <c r="E10353" s="10"/>
      <c r="F10353" s="10"/>
      <c r="J10353" s="25" t="s">
        <v>145</v>
      </c>
      <c r="K10353" s="25" t="str">
        <f aca="false">DAY(Date_Effet)&amp;IF(DAY(Date_Effet)=1,"er","")&amp;" "&amp;INDEX(Liste_Mois,MONTH(Date_Effet))&amp;" "&amp;YEAR(Date_Effet)</f>
        <v>1er janvier 2027</v>
      </c>
      <c r="L10353" s="25"/>
      <c r="M10353" s="25"/>
      <c r="N10353" s="25"/>
      <c r="O10353" s="25"/>
    </row>
    <row r="10354" customFormat="false" ht="15" hidden="false" customHeight="false" outlineLevel="0" collapsed="false">
      <c r="B10354" s="29" t="str">
        <f aca="false">Cab_CPVille</f>
        <v>95130 LE PLESSIS-BOUCHARD</v>
      </c>
      <c r="C10354" s="29"/>
      <c r="D10354" s="10"/>
      <c r="E10354" s="10"/>
      <c r="F10354" s="10"/>
      <c r="J10354" s="25" t="s">
        <v>146</v>
      </c>
      <c r="K10354" s="25" t="str">
        <f aca="false">IF(SUM($K$10378:$K$10381)=0,"",FIXED((SUM($L$10378:$L$10381)/SUM($K$10378:$K$10381)-1)*100,1)&amp;" %")</f>
        <v/>
      </c>
      <c r="L10354" s="25"/>
      <c r="M10354" s="25"/>
      <c r="N10354" s="25"/>
      <c r="O10354" s="25"/>
    </row>
    <row r="10355" customFormat="false" ht="15" hidden="false" customHeight="false" outlineLevel="0" collapsed="false">
      <c r="B10355" s="29" t="str">
        <f aca="false">Cab_Contact</f>
        <v>Tél. 01 34 14 53 45  ·  altho@altho-experts.com  ·  altho-experts.com</v>
      </c>
      <c r="C10355" s="29"/>
      <c r="D10355" s="10"/>
      <c r="E10355" s="10"/>
      <c r="F10355" s="10"/>
      <c r="J10355" s="25"/>
      <c r="K10355" s="25"/>
      <c r="L10355" s="25"/>
      <c r="M10355" s="25"/>
      <c r="N10355" s="25"/>
      <c r="O10355" s="25"/>
    </row>
    <row r="10356" customFormat="false" ht="6" hidden="false" customHeight="true" outlineLevel="0" collapsed="false">
      <c r="B10356" s="32"/>
      <c r="C10356" s="32"/>
      <c r="D10356" s="32"/>
      <c r="E10356" s="32"/>
      <c r="F10356" s="32"/>
      <c r="J10356" s="25"/>
      <c r="K10356" s="25"/>
      <c r="L10356" s="25"/>
      <c r="M10356" s="25"/>
      <c r="N10356" s="25"/>
      <c r="O10356" s="25"/>
    </row>
    <row r="10357" customFormat="false" ht="13.5" hidden="false" customHeight="true" outlineLevel="0" collapsed="false">
      <c r="B10357" s="10"/>
      <c r="C10357" s="10"/>
      <c r="D10357" s="10"/>
      <c r="E10357" s="10"/>
      <c r="F10357" s="10"/>
      <c r="J10357" s="25"/>
      <c r="K10357" s="25"/>
      <c r="L10357" s="25"/>
      <c r="M10357" s="25"/>
      <c r="N10357" s="25"/>
      <c r="O10357" s="25"/>
    </row>
    <row r="10358" customFormat="false" ht="13.5" hidden="false" customHeight="true" outlineLevel="0" collapsed="false">
      <c r="B10358" s="10"/>
      <c r="C10358" s="10"/>
      <c r="D10358" s="10"/>
      <c r="E10358" s="10"/>
      <c r="F10358" s="10"/>
      <c r="J10358" s="25"/>
      <c r="K10358" s="25"/>
      <c r="L10358" s="25"/>
      <c r="M10358" s="25"/>
      <c r="N10358" s="25"/>
      <c r="O10358" s="25"/>
    </row>
    <row r="10359" customFormat="false" ht="13.5" hidden="false" customHeight="true" outlineLevel="0" collapsed="false">
      <c r="B10359" s="10"/>
      <c r="C10359" s="10"/>
      <c r="D10359" s="10"/>
      <c r="E10359" s="10"/>
      <c r="F10359" s="10"/>
      <c r="J10359" s="25"/>
      <c r="K10359" s="25"/>
      <c r="L10359" s="25"/>
      <c r="M10359" s="25"/>
      <c r="N10359" s="25"/>
      <c r="O10359" s="25"/>
    </row>
    <row r="10360" customFormat="false" ht="15" hidden="false" customHeight="true" outlineLevel="0" collapsed="false">
      <c r="B10360" s="10"/>
      <c r="C10360" s="10"/>
      <c r="D10360" s="34" t="str">
        <f aca="false">IF($K$10351=0,"",INDEX(Clients!$E$2:$E$501,$K$10351)&amp;"")</f>
        <v/>
      </c>
      <c r="E10360" s="34"/>
      <c r="F10360" s="34"/>
      <c r="J10360" s="25"/>
      <c r="K10360" s="25"/>
      <c r="L10360" s="25"/>
      <c r="M10360" s="25"/>
      <c r="N10360" s="25"/>
      <c r="O10360" s="25"/>
    </row>
    <row r="10361" customFormat="false" ht="15" hidden="false" customHeight="true" outlineLevel="0" collapsed="false">
      <c r="B10361" s="10"/>
      <c r="C10361" s="10"/>
      <c r="D10361" s="35" t="str">
        <f aca="false">IF(IF($K$10351=0,"",INDEX(Clients!$D$2:$D$501,$K$10351)&amp;"")="","","À l'attention de "&amp;TRIM(IF($K$10351=0,"",INDEX(Clients!$B$2:$B$501,$K$10351)&amp;"")&amp;" "&amp;IF($K$10351=0,"",INDEX(Clients!$C$2:$C$501,$K$10351)&amp;"")&amp;" "&amp;IF($K$10351=0,"",INDEX(Clients!$D$2:$D$501,$K$10351)&amp;"")))</f>
        <v/>
      </c>
      <c r="E10361" s="35"/>
      <c r="F10361" s="35"/>
      <c r="J10361" s="25"/>
      <c r="K10361" s="25"/>
      <c r="L10361" s="25"/>
      <c r="M10361" s="25"/>
      <c r="N10361" s="25"/>
      <c r="O10361" s="25"/>
    </row>
    <row r="10362" customFormat="false" ht="15" hidden="false" customHeight="true" outlineLevel="0" collapsed="false">
      <c r="B10362" s="10"/>
      <c r="C10362" s="10"/>
      <c r="D10362" s="35" t="str">
        <f aca="false">IF($K$10351=0,"",INDEX(Clients!$F$2:$F$501,$K$10351)&amp;"")</f>
        <v/>
      </c>
      <c r="E10362" s="35"/>
      <c r="F10362" s="35"/>
      <c r="J10362" s="25"/>
      <c r="K10362" s="25"/>
      <c r="L10362" s="25"/>
      <c r="M10362" s="25"/>
      <c r="N10362" s="25"/>
      <c r="O10362" s="25"/>
    </row>
    <row r="10363" customFormat="false" ht="15" hidden="false" customHeight="true" outlineLevel="0" collapsed="false">
      <c r="B10363" s="10"/>
      <c r="C10363" s="10"/>
      <c r="D10363" s="35" t="str">
        <f aca="false">IF(IF($K$10351=0,"",INDEX(Clients!$G$2:$G$501,$K$10351)&amp;"")="",TRIM(IF($K$10351=0,"",INDEX(Clients!$H$2:$H$501,$K$10351)&amp;"")&amp;" "&amp;UPPER(IF($K$10351=0,"",INDEX(Clients!$I$2:$I$501,$K$10351)&amp;""))),IF($K$10351=0,"",INDEX(Clients!$G$2:$G$501,$K$10351)&amp;""))</f>
        <v/>
      </c>
      <c r="E10363" s="35"/>
      <c r="F10363" s="35"/>
      <c r="J10363" s="25"/>
      <c r="K10363" s="25"/>
      <c r="L10363" s="25"/>
      <c r="M10363" s="25"/>
      <c r="N10363" s="25"/>
      <c r="O10363" s="25"/>
    </row>
    <row r="10364" customFormat="false" ht="15" hidden="false" customHeight="true" outlineLevel="0" collapsed="false">
      <c r="B10364" s="10"/>
      <c r="C10364" s="10"/>
      <c r="D10364" s="35" t="str">
        <f aca="false">IF(IF($K$10351=0,"",INDEX(Clients!$G$2:$G$501,$K$10351)&amp;"")="","",TRIM(IF($K$10351=0,"",INDEX(Clients!$H$2:$H$501,$K$10351)&amp;"")&amp;" "&amp;UPPER(IF($K$10351=0,"",INDEX(Clients!$I$2:$I$501,$K$10351)&amp;""))))</f>
        <v/>
      </c>
      <c r="E10364" s="35"/>
      <c r="F10364" s="35"/>
      <c r="J10364" s="25"/>
      <c r="K10364" s="25"/>
      <c r="L10364" s="25"/>
      <c r="M10364" s="25"/>
      <c r="N10364" s="25"/>
      <c r="O10364" s="25"/>
    </row>
    <row r="10365" customFormat="false" ht="25.5" hidden="false" customHeight="true" outlineLevel="0" collapsed="false">
      <c r="B10365" s="10"/>
      <c r="C10365" s="10"/>
      <c r="D10365" s="10"/>
      <c r="E10365" s="10"/>
      <c r="F10365" s="10"/>
      <c r="J10365" s="25"/>
      <c r="K10365" s="25"/>
      <c r="L10365" s="25"/>
      <c r="M10365" s="25"/>
      <c r="N10365" s="25"/>
      <c r="O10365" s="25"/>
    </row>
    <row r="10366" customFormat="false" ht="15" hidden="false" customHeight="false" outlineLevel="0" collapsed="false">
      <c r="B10366" s="10"/>
      <c r="C10366" s="10"/>
      <c r="D10366" s="36" t="str">
        <f aca="false">Cab_Ville&amp;", le "&amp;DAY(Date_Courrier)&amp;IF(DAY(Date_Courrier)=1,"er","")&amp;" "&amp;INDEX(Liste_Mois,MONTH(Date_Courrier))&amp;" "&amp;YEAR(Date_Courrier)</f>
        <v>Le Plessis-Bouchard, le 22 septembre 2026</v>
      </c>
      <c r="E10366" s="36"/>
      <c r="F10366" s="36"/>
      <c r="J10366" s="25"/>
      <c r="K10366" s="25"/>
      <c r="L10366" s="25"/>
      <c r="M10366" s="25"/>
      <c r="N10366" s="25"/>
      <c r="O10366" s="25"/>
    </row>
    <row r="10367" customFormat="false" ht="19.5" hidden="false" customHeight="true" outlineLevel="0" collapsed="false">
      <c r="B10367" s="10"/>
      <c r="C10367" s="10"/>
      <c r="D10367" s="10"/>
      <c r="E10367" s="10"/>
      <c r="F10367" s="10"/>
      <c r="J10367" s="25"/>
      <c r="K10367" s="25"/>
      <c r="L10367" s="25"/>
      <c r="M10367" s="25"/>
      <c r="N10367" s="25"/>
      <c r="O10367" s="25"/>
    </row>
    <row r="10368" customFormat="false" ht="15" hidden="false" customHeight="false" outlineLevel="0" collapsed="false">
      <c r="B10368" s="34" t="str">
        <f aca="false">SUBSTITUTE(SUBSTITUTE(SUBSTITUTE(SUBSTITUTE(SUBSTITUTE(Txt_Objet,"{cabinet}",Cab_Nom),"{societe}",IF($K$10351=0,"",INDEX(Clients!$E$2:$E$501,$K$10351)&amp;"")),"{date_effet}",$K$10353),"{hausse}",$K$10354),"{civilite}",$K$10352)</f>
        <v>Objet : révision de nos honoraires au 1er janvier 2027</v>
      </c>
      <c r="C10368" s="34"/>
      <c r="D10368" s="34"/>
      <c r="E10368" s="34"/>
      <c r="F10368" s="34"/>
      <c r="J10368" s="25"/>
      <c r="K10368" s="25"/>
      <c r="L10368" s="25"/>
      <c r="M10368" s="25"/>
      <c r="N10368" s="25"/>
      <c r="O10368" s="25"/>
    </row>
    <row r="10369" customFormat="false" ht="13.5" hidden="false" customHeight="true" outlineLevel="0" collapsed="false">
      <c r="B10369" s="10"/>
      <c r="C10369" s="10"/>
      <c r="D10369" s="10"/>
      <c r="E10369" s="10"/>
      <c r="F10369" s="10"/>
      <c r="J10369" s="25"/>
      <c r="K10369" s="25"/>
      <c r="L10369" s="25"/>
      <c r="M10369" s="25"/>
      <c r="N10369" s="25"/>
      <c r="O10369" s="25"/>
    </row>
    <row r="10370" customFormat="false" ht="15" hidden="false" customHeight="false" outlineLevel="0" collapsed="false">
      <c r="B10370" s="10" t="str">
        <f aca="false">$K$10352&amp;","</f>
        <v>Madame, Monsieur,</v>
      </c>
      <c r="C10370" s="10"/>
      <c r="D10370" s="10"/>
      <c r="E10370" s="10"/>
      <c r="F10370" s="10"/>
      <c r="J10370" s="25"/>
      <c r="K10370" s="25"/>
      <c r="L10370" s="25"/>
      <c r="M10370" s="25"/>
      <c r="N10370" s="25"/>
      <c r="O10370" s="25"/>
    </row>
    <row r="10371" customFormat="false" ht="6" hidden="false" customHeight="true" outlineLevel="0" collapsed="false">
      <c r="B10371" s="10"/>
      <c r="C10371" s="10"/>
      <c r="D10371" s="10"/>
      <c r="E10371" s="10"/>
      <c r="F10371" s="10"/>
      <c r="J10371" s="25"/>
      <c r="K10371" s="25"/>
      <c r="L10371" s="25"/>
      <c r="M10371" s="25"/>
      <c r="N10371" s="25"/>
      <c r="O10371" s="25"/>
    </row>
    <row r="10372" customFormat="false" ht="36.75" hidden="false" customHeight="true" outlineLevel="0" collapsed="false">
      <c r="B10372" s="37" t="str">
        <f aca="false">SUBSTITUTE(SUBSTITUTE(SUBSTITUTE(SUBSTITUTE(SUBSTITUTE(Txt_P1,"{cabinet}",Cab_Nom),"{societe}",IF($K$10351=0,"",INDEX(Clients!$E$2:$E$501,$K$10351)&amp;"")),"{date_effet}",$K$10353),"{hausse}",$K$10354),"{civilite}",$K$10352)</f>
        <v>Nous tenons tout d'abord à vous remercier pour la confiance que vous accordez à ALTHO EXPERTISE. Comme chaque année, et conformément aux dispositions de votre lettre de mission, nous procédons à la révision de nos honoraires.</v>
      </c>
      <c r="C10372" s="37"/>
      <c r="D10372" s="37"/>
      <c r="E10372" s="37"/>
      <c r="F10372" s="37"/>
      <c r="J10372" s="25"/>
      <c r="K10372" s="25"/>
      <c r="L10372" s="25"/>
      <c r="M10372" s="25"/>
      <c r="N10372" s="25"/>
      <c r="O10372" s="25"/>
    </row>
    <row r="10373" customFormat="false" ht="49.5" hidden="false" customHeight="true" outlineLevel="0" collapsed="false">
      <c r="B10373" s="37" t="str">
        <f aca="false">SUBSTITUTE(SUBSTITUTE(SUBSTITUTE(SUBSTITUTE(SUBSTITUTE(Txt_P2,"{cabinet}",Cab_Nom),"{societe}",IF($K$10351=0,"",INDEX(Clients!$E$2:$E$501,$K$10351)&amp;"")),"{date_effet}",$K$10353),"{hausse}",$K$10354),"{civilite}",$K$10352)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373" s="37"/>
      <c r="D10373" s="37"/>
      <c r="E10373" s="37"/>
      <c r="F10373" s="37"/>
      <c r="J10373" s="25"/>
      <c r="K10373" s="25"/>
      <c r="L10373" s="25"/>
      <c r="M10373" s="25"/>
      <c r="N10373" s="25"/>
      <c r="O10373" s="25"/>
    </row>
    <row r="10374" customFormat="false" ht="63" hidden="false" customHeight="true" outlineLevel="0" collapsed="false">
      <c r="B10374" s="37" t="str">
        <f aca="false">SUBSTITUTE(SUBSTITUTE(SUBSTITUTE(SUBSTITUTE(SUBSTITUTE(Txt_P3,"{cabinet}",Cab_Nom),"{societe}",IF($K$10351=0,"",INDEX(Clients!$E$2:$E$501,$K$10351)&amp;"")),"{date_effet}",$K$10353),"{hausse}",$K$10354),"{civilite}",$K$10352)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374" s="37"/>
      <c r="D10374" s="37"/>
      <c r="E10374" s="37"/>
      <c r="F10374" s="37"/>
      <c r="J10374" s="25"/>
      <c r="K10374" s="25"/>
      <c r="L10374" s="25"/>
      <c r="M10374" s="25"/>
      <c r="N10374" s="25"/>
      <c r="O10374" s="25"/>
    </row>
    <row r="10375" customFormat="false" ht="24" hidden="false" customHeight="true" outlineLevel="0" collapsed="false">
      <c r="B10375" s="37" t="str">
        <f aca="false">SUBSTITUTE(SUBSTITUTE(SUBSTITUTE(SUBSTITUTE(SUBSTITUTE(Txt_P4,"{cabinet}",Cab_Nom),"{societe}",IF($K$10351=0,"",INDEX(Clients!$E$2:$E$501,$K$10351)&amp;"")),"{date_effet}",$K$10353),"{hausse}",$K$10354),"{civilite}",$K$10352)</f>
        <v>À compter du 1er janvier 2027, vos honoraires annuels hors taxes évolueront ainsi (évolution globale : ) :</v>
      </c>
      <c r="C10375" s="37"/>
      <c r="D10375" s="37"/>
      <c r="E10375" s="37"/>
      <c r="F10375" s="37"/>
      <c r="J10375" s="25"/>
      <c r="K10375" s="25"/>
      <c r="L10375" s="25"/>
      <c r="M10375" s="25"/>
      <c r="N10375" s="25"/>
      <c r="O10375" s="25"/>
    </row>
    <row r="10376" customFormat="false" ht="3.75" hidden="false" customHeight="true" outlineLevel="0" collapsed="false">
      <c r="B10376" s="10"/>
      <c r="C10376" s="10"/>
      <c r="D10376" s="10"/>
      <c r="E10376" s="10"/>
      <c r="F10376" s="10"/>
      <c r="J10376" s="25"/>
      <c r="K10376" s="25"/>
      <c r="L10376" s="25"/>
      <c r="M10376" s="25"/>
      <c r="N10376" s="25"/>
      <c r="O10376" s="25"/>
    </row>
    <row r="10377" customFormat="false" ht="18" hidden="false" customHeight="true" outlineLevel="0" collapsed="false">
      <c r="B10377" s="38" t="s">
        <v>148</v>
      </c>
      <c r="C10377" s="39" t="s">
        <v>149</v>
      </c>
      <c r="D10377" s="39" t="s">
        <v>150</v>
      </c>
      <c r="E10377" s="39" t="s">
        <v>151</v>
      </c>
      <c r="F10377" s="39" t="s">
        <v>109</v>
      </c>
      <c r="J10377" s="25" t="s">
        <v>152</v>
      </c>
      <c r="K10377" s="25" t="s">
        <v>153</v>
      </c>
      <c r="L10377" s="25" t="s">
        <v>154</v>
      </c>
      <c r="M10377" s="25" t="s">
        <v>155</v>
      </c>
      <c r="N10377" s="25" t="s">
        <v>156</v>
      </c>
      <c r="O10377" s="25" t="s">
        <v>157</v>
      </c>
    </row>
    <row r="10378" customFormat="false" ht="16.5" hidden="false" customHeight="true" outlineLevel="0" collapsed="false">
      <c r="B10378" s="40" t="str">
        <f aca="false">IFERROR(INDEX($J$10378:$J$10381,MATCH($O10378,$N$10378:$N$10381,0)),"")</f>
        <v/>
      </c>
      <c r="C10378" s="41" t="str">
        <f aca="false">IFERROR(INDEX($K$10378:$K$10381,MATCH($O10378,$N$10378:$N$10381,0)),"")</f>
        <v/>
      </c>
      <c r="D10378" s="42" t="str">
        <f aca="false">IF(OR(E10378="",N(C10378)=0),"",E10378/C10378-1)</f>
        <v/>
      </c>
      <c r="E10378" s="41" t="str">
        <f aca="false">IFERROR(INDEX($L$10378:$L$10381,MATCH($O10378,$N$10378:$N$10381,0)),"")</f>
        <v/>
      </c>
      <c r="F10378" s="41" t="str">
        <f aca="false">IF(E10378="","",E10378-C10378)</f>
        <v/>
      </c>
      <c r="J10378" s="25" t="str">
        <f aca="false">Lib_Compta</f>
        <v>Mission comptable (tenue, révision, bilan, liasse fiscale)</v>
      </c>
      <c r="K10378" s="25" t="n">
        <f aca="false">IF($K$10351=0,0,N(INDEX(Clients!$K$2:$K$501,$K$10351)))</f>
        <v>0</v>
      </c>
      <c r="L10378" s="25" t="n">
        <f aca="false">IF($K$10351=0,0,N(INDEX(Clients!$P$2:$P$501,$K$10351)))</f>
        <v>0</v>
      </c>
      <c r="M10378" s="25" t="n">
        <f aca="false">IF(OR(K10378&lt;&gt;0,L10378&lt;&gt;0),1,0)</f>
        <v>0</v>
      </c>
      <c r="N10378" s="25" t="str">
        <f aca="false">IF(M10378=1,SUM($M$10378:M10378),"")</f>
        <v/>
      </c>
      <c r="O10378" s="25" t="n">
        <v>1</v>
      </c>
    </row>
    <row r="10379" customFormat="false" ht="16.5" hidden="false" customHeight="true" outlineLevel="0" collapsed="false">
      <c r="B10379" s="40" t="str">
        <f aca="false">IFERROR(INDEX($J$10378:$J$10381,MATCH($O10379,$N$10378:$N$10381,0)),"")</f>
        <v/>
      </c>
      <c r="C10379" s="41" t="str">
        <f aca="false">IFERROR(INDEX($K$10378:$K$10381,MATCH($O10379,$N$10378:$N$10381,0)),"")</f>
        <v/>
      </c>
      <c r="D10379" s="42" t="str">
        <f aca="false">IF(OR(E10379="",N(C10379)=0),"",E10379/C10379-1)</f>
        <v/>
      </c>
      <c r="E10379" s="41" t="str">
        <f aca="false">IFERROR(INDEX($L$10378:$L$10381,MATCH($O10379,$N$10378:$N$10381,0)),"")</f>
        <v/>
      </c>
      <c r="F10379" s="41" t="str">
        <f aca="false">IF(E10379="","",E10379-C10379)</f>
        <v/>
      </c>
      <c r="J10379" s="25" t="str">
        <f aca="false">Lib_Paye</f>
        <v>Mission sociale (bulletins de paie, DSN, déclarations sociales)</v>
      </c>
      <c r="K10379" s="25" t="n">
        <f aca="false">IF($K$10351=0,0,N(INDEX(Clients!$L$2:$L$501,$K$10351)))</f>
        <v>0</v>
      </c>
      <c r="L10379" s="25" t="n">
        <f aca="false">IF($K$10351=0,0,N(INDEX(Clients!$Q$2:$Q$501,$K$10351)))</f>
        <v>0</v>
      </c>
      <c r="M10379" s="25" t="n">
        <f aca="false">IF(OR(K10379&lt;&gt;0,L10379&lt;&gt;0),1,0)</f>
        <v>0</v>
      </c>
      <c r="N10379" s="25" t="str">
        <f aca="false">IF(M10379=1,SUM($M$10378:M10379),"")</f>
        <v/>
      </c>
      <c r="O10379" s="25" t="n">
        <v>2</v>
      </c>
    </row>
    <row r="10380" customFormat="false" ht="16.5" hidden="false" customHeight="true" outlineLevel="0" collapsed="false">
      <c r="B10380" s="40" t="str">
        <f aca="false">IFERROR(INDEX($J$10378:$J$10381,MATCH($O10380,$N$10378:$N$10381,0)),"")</f>
        <v/>
      </c>
      <c r="C10380" s="41" t="str">
        <f aca="false">IFERROR(INDEX($K$10378:$K$10381,MATCH($O10380,$N$10378:$N$10381,0)),"")</f>
        <v/>
      </c>
      <c r="D10380" s="42" t="str">
        <f aca="false">IF(OR(E10380="",N(C10380)=0),"",E10380/C10380-1)</f>
        <v/>
      </c>
      <c r="E10380" s="41" t="str">
        <f aca="false">IFERROR(INDEX($L$10378:$L$10381,MATCH($O10380,$N$10378:$N$10381,0)),"")</f>
        <v/>
      </c>
      <c r="F10380" s="41" t="str">
        <f aca="false">IF(E10380="","",E10380-C10380)</f>
        <v/>
      </c>
      <c r="J10380" s="25" t="str">
        <f aca="false">Lib_Jur</f>
        <v>Mission juridique (approbation des comptes, secrétariat juridique)</v>
      </c>
      <c r="K10380" s="25" t="n">
        <f aca="false">IF($K$10351=0,0,N(INDEX(Clients!$M$2:$M$501,$K$10351)))</f>
        <v>0</v>
      </c>
      <c r="L10380" s="25" t="n">
        <f aca="false">IF($K$10351=0,0,N(INDEX(Clients!$R$2:$R$501,$K$10351)))</f>
        <v>0</v>
      </c>
      <c r="M10380" s="25" t="n">
        <f aca="false">IF(OR(K10380&lt;&gt;0,L10380&lt;&gt;0),1,0)</f>
        <v>0</v>
      </c>
      <c r="N10380" s="25" t="str">
        <f aca="false">IF(M10380=1,SUM($M$10378:M10380),"")</f>
        <v/>
      </c>
      <c r="O10380" s="25" t="n">
        <v>3</v>
      </c>
    </row>
    <row r="10381" customFormat="false" ht="16.5" hidden="false" customHeight="true" outlineLevel="0" collapsed="false">
      <c r="B10381" s="40" t="str">
        <f aca="false">IFERROR(INDEX($J$10378:$J$10381,MATCH($O10381,$N$10378:$N$10381,0)),"")</f>
        <v/>
      </c>
      <c r="C10381" s="41" t="str">
        <f aca="false">IFERROR(INDEX($K$10378:$K$10381,MATCH($O10381,$N$10378:$N$10381,0)),"")</f>
        <v/>
      </c>
      <c r="D10381" s="42" t="str">
        <f aca="false">IF(OR(E10381="",N(C10381)=0),"",E10381/C10381-1)</f>
        <v/>
      </c>
      <c r="E10381" s="41" t="str">
        <f aca="false">IFERROR(INDEX($L$10378:$L$10381,MATCH($O10381,$N$10378:$N$10381,0)),"")</f>
        <v/>
      </c>
      <c r="F10381" s="41" t="str">
        <f aca="false">IF(E10381="","",E10381-C10381)</f>
        <v/>
      </c>
      <c r="J10381" s="25" t="str">
        <f aca="false">Lib_PA</f>
        <v>Plateforme agréée – facturation électronique</v>
      </c>
      <c r="K10381" s="25" t="n">
        <f aca="false">IF($K$10351=0,0,N(INDEX(Clients!$N$2:$N$501,$K$10351)))</f>
        <v>0</v>
      </c>
      <c r="L10381" s="25" t="n">
        <f aca="false">IF($K$10351=0,0,N(INDEX(Clients!$S$2:$S$501,$K$10351)))</f>
        <v>0</v>
      </c>
      <c r="M10381" s="25" t="n">
        <f aca="false">IF(OR(K10381&lt;&gt;0,L10381&lt;&gt;0),1,0)</f>
        <v>0</v>
      </c>
      <c r="N10381" s="25" t="str">
        <f aca="false">IF(M10381=1,SUM($M$10378:M10381),"")</f>
        <v/>
      </c>
      <c r="O10381" s="25" t="n">
        <v>4</v>
      </c>
    </row>
    <row r="10382" customFormat="false" ht="18" hidden="false" customHeight="true" outlineLevel="0" collapsed="false">
      <c r="B10382" s="43" t="s">
        <v>158</v>
      </c>
      <c r="C10382" s="44" t="n">
        <f aca="false">SUM(K10378:K10381)</f>
        <v>0</v>
      </c>
      <c r="D10382" s="45" t="str">
        <f aca="false">IF(N(C10382)=0,"",E10382/C10382-1)</f>
        <v/>
      </c>
      <c r="E10382" s="44" t="n">
        <f aca="false">SUM(L10378:L10381)</f>
        <v>0</v>
      </c>
      <c r="F10382" s="44" t="n">
        <f aca="false">E10382-C10382</f>
        <v>0</v>
      </c>
    </row>
    <row r="10383" customFormat="false" ht="15" hidden="false" customHeight="false" outlineLevel="0" collapsed="false">
      <c r="B10383" s="46" t="str">
        <f aca="false">IF(N(Nb_Mensualites)=0,"","Soit "&amp;FIXED(E10382/Nb_Mensualites,2)&amp;" € HT par échéance ("&amp;Nb_Mensualites&amp;" échéances), "&amp;FIXED(E10382/Nb_Mensualites*(1+Taux_TVA),2)&amp;" € TTC.")</f>
        <v>Soit 0.00 € HT par échéance (12 échéances), 0.00 € TTC.</v>
      </c>
      <c r="C10383" s="46"/>
      <c r="D10383" s="46"/>
      <c r="E10383" s="46"/>
      <c r="F10383" s="46"/>
    </row>
    <row r="10384" customFormat="false" ht="7.5" hidden="false" customHeight="true" outlineLevel="0" collapsed="false">
      <c r="B10384" s="10"/>
      <c r="C10384" s="10"/>
      <c r="D10384" s="10"/>
      <c r="E10384" s="10"/>
      <c r="F10384" s="10"/>
    </row>
    <row r="10385" customFormat="false" ht="36.75" hidden="false" customHeight="true" outlineLevel="0" collapsed="false">
      <c r="B10385" s="37" t="str">
        <f aca="false">SUBSTITUTE(SUBSTITUTE(SUBSTITUTE(SUBSTITUTE(SUBSTITUTE(Txt_P5,"{cabinet}",Cab_Nom),"{societe}",IF($K$10351=0,"",INDEX(Clients!$E$2:$E$501,$K$10351)&amp;"")),"{date_effet}",$K$10353),"{hausse}",$K$10354),"{civilite}",$K$10352)</f>
        <v>Les autres conditions de votre lettre de mission demeurent inchangées. Les nouveaux montants seront appliqués automatiquement sur vos prochaines factures et échéances de prélèvement.</v>
      </c>
      <c r="C10385" s="37"/>
      <c r="D10385" s="37"/>
      <c r="E10385" s="37"/>
      <c r="F10385" s="37"/>
    </row>
    <row r="10386" customFormat="false" ht="36.75" hidden="false" customHeight="true" outlineLevel="0" collapsed="false">
      <c r="B10386" s="37" t="str">
        <f aca="false">SUBSTITUTE(SUBSTITUTE(SUBSTITUTE(SUBSTITUTE(SUBSTITUTE(Txt_P6,"{cabinet}",Cab_Nom),"{societe}",IF($K$10351=0,"",INDEX(Clients!$E$2:$E$501,$K$10351)&amp;"")),"{date_effet}",$K$10353),"{hausse}",$K$10354),"{civilite}",$K$10352)</f>
        <v>Votre interlocuteur habituel reste à votre entière disposition pour répondre à vos questions et faire le point sur l'évolution de vos besoins.</v>
      </c>
      <c r="C10386" s="37"/>
      <c r="D10386" s="37"/>
      <c r="E10386" s="37"/>
      <c r="F10386" s="37"/>
    </row>
    <row r="10387" customFormat="false" ht="24" hidden="false" customHeight="true" outlineLevel="0" collapsed="false">
      <c r="B10387" s="37" t="str">
        <f aca="false">SUBSTITUTE(SUBSTITUTE(SUBSTITUTE(SUBSTITUTE(SUBSTITUTE(Txt_Politesse,"{cabinet}",Cab_Nom),"{societe}",IF($K$10351=0,"",INDEX(Clients!$E$2:$E$501,$K$10351)&amp;"")),"{date_effet}",$K$10353),"{hausse}",$K$10354),"{civilite}",$K$10352)</f>
        <v>Nous vous prions d'agréer, Madame, Monsieur, l'expression de nos salutations distinguées.</v>
      </c>
      <c r="C10387" s="37"/>
      <c r="D10387" s="37"/>
      <c r="E10387" s="37"/>
      <c r="F10387" s="37"/>
    </row>
    <row r="10388" customFormat="false" ht="15" hidden="false" customHeight="false" outlineLevel="0" collapsed="false">
      <c r="B10388" s="10"/>
      <c r="C10388" s="10"/>
      <c r="D10388" s="10"/>
      <c r="E10388" s="10"/>
      <c r="F10388" s="10"/>
    </row>
    <row r="10389" customFormat="false" ht="15" hidden="false" customHeight="false" outlineLevel="0" collapsed="false">
      <c r="B10389" s="10"/>
      <c r="C10389" s="10"/>
      <c r="D10389" s="34" t="str">
        <f aca="false">Signataire</f>
        <v>Prénom NOM</v>
      </c>
      <c r="E10389" s="34"/>
      <c r="F10389" s="34"/>
    </row>
    <row r="10390" customFormat="false" ht="15" hidden="false" customHeight="false" outlineLevel="0" collapsed="false">
      <c r="B10390" s="10"/>
      <c r="C10390" s="10"/>
      <c r="D10390" s="47" t="str">
        <f aca="false">Signataire_Titre</f>
        <v>Expert-comptable associé</v>
      </c>
      <c r="E10390" s="47"/>
      <c r="F10390" s="47"/>
    </row>
    <row r="10391" customFormat="false" ht="15.75" hidden="false" customHeight="true" outlineLevel="0" collapsed="false">
      <c r="B10391" s="10"/>
      <c r="C10391" s="10"/>
      <c r="D10391" s="10"/>
      <c r="E10391" s="10"/>
      <c r="F10391" s="10"/>
    </row>
    <row r="10392" customFormat="false" ht="15.75" hidden="false" customHeight="true" outlineLevel="0" collapsed="false">
      <c r="B10392" s="10"/>
      <c r="C10392" s="10"/>
      <c r="D10392" s="10"/>
      <c r="E10392" s="10"/>
      <c r="F10392" s="10"/>
    </row>
    <row r="10393" customFormat="false" ht="15.75" hidden="false" customHeight="true" outlineLevel="0" collapsed="false">
      <c r="B10393" s="10"/>
      <c r="C10393" s="10"/>
      <c r="D10393" s="10"/>
      <c r="E10393" s="10"/>
      <c r="F10393" s="10"/>
    </row>
    <row r="10394" customFormat="false" ht="15.75" hidden="false" customHeight="true" outlineLevel="0" collapsed="false">
      <c r="B10394" s="10"/>
      <c r="C10394" s="10"/>
      <c r="D10394" s="10"/>
      <c r="E10394" s="10"/>
      <c r="F10394" s="10"/>
    </row>
    <row r="10395" customFormat="false" ht="24" hidden="false" customHeight="true" outlineLevel="0" collapsed="false">
      <c r="B10395" s="48" t="str">
        <f aca="false">Cab_Mentions</f>
        <v>ALTHO EXPERTISE · SAS au capital de 10 000 € · RCS Pontoise 919 706 325 · TVA FR62919706325 · Société d'expertise comptable inscrite au Tableau de l'Ordre des experts-comptables de Paris Île-de-France</v>
      </c>
      <c r="C10395" s="48"/>
      <c r="D10395" s="48"/>
      <c r="E10395" s="48"/>
      <c r="F10395" s="48"/>
    </row>
    <row r="10396" customFormat="false" ht="15" hidden="false" customHeight="false" outlineLevel="0" collapsed="false">
      <c r="B10396" s="10"/>
      <c r="C10396" s="10"/>
      <c r="D10396" s="10"/>
      <c r="E10396" s="10"/>
      <c r="F10396" s="10"/>
      <c r="J10396" s="25" t="s">
        <v>142</v>
      </c>
      <c r="K10396" s="25" t="n">
        <f aca="false">IFERROR(MATCH(232,Clients!$Z$2:$Z$501,0),0)</f>
        <v>0</v>
      </c>
      <c r="L10396" s="25"/>
      <c r="M10396" s="25"/>
      <c r="N10396" s="25"/>
      <c r="O10396" s="25"/>
    </row>
    <row r="10397" customFormat="false" ht="21.75" hidden="false" customHeight="true" outlineLevel="0" collapsed="false">
      <c r="B10397" s="26" t="str">
        <f aca="false">Cab_Nom</f>
        <v>ALTHO EXPERTISE</v>
      </c>
      <c r="C10397" s="26"/>
      <c r="D10397" s="10"/>
      <c r="E10397" s="27" t="str">
        <f aca="false">IF($K$10396=0,"","Réf. client : "&amp;INDEX(Clients!$A$2:$A$501,$K$10396))</f>
        <v/>
      </c>
      <c r="F10397" s="27"/>
      <c r="J10397" s="25" t="s">
        <v>144</v>
      </c>
      <c r="K10397" s="25" t="str">
        <f aca="false">IF(IF($K$10396=0,"",INDEX(Clients!$B$2:$B$501,$K$10396)&amp;"")="Mme","Madame",IF(IF($K$10396=0,"",INDEX(Clients!$B$2:$B$501,$K$10396)&amp;"")="M.","Monsieur","Madame, Monsieur"))</f>
        <v>Madame, Monsieur</v>
      </c>
      <c r="L10397" s="25"/>
      <c r="M10397" s="25"/>
      <c r="N10397" s="25"/>
      <c r="O10397" s="25"/>
    </row>
    <row r="10398" customFormat="false" ht="15" hidden="false" customHeight="false" outlineLevel="0" collapsed="false">
      <c r="B10398" s="29" t="str">
        <f aca="false">Cab_Adr1</f>
        <v>141 rue Charles de Gaulle</v>
      </c>
      <c r="C10398" s="29"/>
      <c r="D10398" s="10"/>
      <c r="E10398" s="10"/>
      <c r="F10398" s="10"/>
      <c r="J10398" s="25" t="s">
        <v>145</v>
      </c>
      <c r="K10398" s="25" t="str">
        <f aca="false">DAY(Date_Effet)&amp;IF(DAY(Date_Effet)=1,"er","")&amp;" "&amp;INDEX(Liste_Mois,MONTH(Date_Effet))&amp;" "&amp;YEAR(Date_Effet)</f>
        <v>1er janvier 2027</v>
      </c>
      <c r="L10398" s="25"/>
      <c r="M10398" s="25"/>
      <c r="N10398" s="25"/>
      <c r="O10398" s="25"/>
    </row>
    <row r="10399" customFormat="false" ht="15" hidden="false" customHeight="false" outlineLevel="0" collapsed="false">
      <c r="B10399" s="29" t="str">
        <f aca="false">Cab_CPVille</f>
        <v>95130 LE PLESSIS-BOUCHARD</v>
      </c>
      <c r="C10399" s="29"/>
      <c r="D10399" s="10"/>
      <c r="E10399" s="10"/>
      <c r="F10399" s="10"/>
      <c r="J10399" s="25" t="s">
        <v>146</v>
      </c>
      <c r="K10399" s="25" t="str">
        <f aca="false">IF(SUM($K$10423:$K$10426)=0,"",FIXED((SUM($L$10423:$L$10426)/SUM($K$10423:$K$10426)-1)*100,1)&amp;" %")</f>
        <v/>
      </c>
      <c r="L10399" s="25"/>
      <c r="M10399" s="25"/>
      <c r="N10399" s="25"/>
      <c r="O10399" s="25"/>
    </row>
    <row r="10400" customFormat="false" ht="15" hidden="false" customHeight="false" outlineLevel="0" collapsed="false">
      <c r="B10400" s="29" t="str">
        <f aca="false">Cab_Contact</f>
        <v>Tél. 01 34 14 53 45  ·  altho@altho-experts.com  ·  altho-experts.com</v>
      </c>
      <c r="C10400" s="29"/>
      <c r="D10400" s="10"/>
      <c r="E10400" s="10"/>
      <c r="F10400" s="10"/>
      <c r="J10400" s="25"/>
      <c r="K10400" s="25"/>
      <c r="L10400" s="25"/>
      <c r="M10400" s="25"/>
      <c r="N10400" s="25"/>
      <c r="O10400" s="25"/>
    </row>
    <row r="10401" customFormat="false" ht="6" hidden="false" customHeight="true" outlineLevel="0" collapsed="false">
      <c r="B10401" s="32"/>
      <c r="C10401" s="32"/>
      <c r="D10401" s="32"/>
      <c r="E10401" s="32"/>
      <c r="F10401" s="32"/>
      <c r="J10401" s="25"/>
      <c r="K10401" s="25"/>
      <c r="L10401" s="25"/>
      <c r="M10401" s="25"/>
      <c r="N10401" s="25"/>
      <c r="O10401" s="25"/>
    </row>
    <row r="10402" customFormat="false" ht="13.5" hidden="false" customHeight="true" outlineLevel="0" collapsed="false">
      <c r="B10402" s="10"/>
      <c r="C10402" s="10"/>
      <c r="D10402" s="10"/>
      <c r="E10402" s="10"/>
      <c r="F10402" s="10"/>
      <c r="J10402" s="25"/>
      <c r="K10402" s="25"/>
      <c r="L10402" s="25"/>
      <c r="M10402" s="25"/>
      <c r="N10402" s="25"/>
      <c r="O10402" s="25"/>
    </row>
    <row r="10403" customFormat="false" ht="13.5" hidden="false" customHeight="true" outlineLevel="0" collapsed="false">
      <c r="B10403" s="10"/>
      <c r="C10403" s="10"/>
      <c r="D10403" s="10"/>
      <c r="E10403" s="10"/>
      <c r="F10403" s="10"/>
      <c r="J10403" s="25"/>
      <c r="K10403" s="25"/>
      <c r="L10403" s="25"/>
      <c r="M10403" s="25"/>
      <c r="N10403" s="25"/>
      <c r="O10403" s="25"/>
    </row>
    <row r="10404" customFormat="false" ht="13.5" hidden="false" customHeight="true" outlineLevel="0" collapsed="false">
      <c r="B10404" s="10"/>
      <c r="C10404" s="10"/>
      <c r="D10404" s="10"/>
      <c r="E10404" s="10"/>
      <c r="F10404" s="10"/>
      <c r="J10404" s="25"/>
      <c r="K10404" s="25"/>
      <c r="L10404" s="25"/>
      <c r="M10404" s="25"/>
      <c r="N10404" s="25"/>
      <c r="O10404" s="25"/>
    </row>
    <row r="10405" customFormat="false" ht="15" hidden="false" customHeight="true" outlineLevel="0" collapsed="false">
      <c r="B10405" s="10"/>
      <c r="C10405" s="10"/>
      <c r="D10405" s="34" t="str">
        <f aca="false">IF($K$10396=0,"",INDEX(Clients!$E$2:$E$501,$K$10396)&amp;"")</f>
        <v/>
      </c>
      <c r="E10405" s="34"/>
      <c r="F10405" s="34"/>
      <c r="J10405" s="25"/>
      <c r="K10405" s="25"/>
      <c r="L10405" s="25"/>
      <c r="M10405" s="25"/>
      <c r="N10405" s="25"/>
      <c r="O10405" s="25"/>
    </row>
    <row r="10406" customFormat="false" ht="15" hidden="false" customHeight="true" outlineLevel="0" collapsed="false">
      <c r="B10406" s="10"/>
      <c r="C10406" s="10"/>
      <c r="D10406" s="35" t="str">
        <f aca="false">IF(IF($K$10396=0,"",INDEX(Clients!$D$2:$D$501,$K$10396)&amp;"")="","","À l'attention de "&amp;TRIM(IF($K$10396=0,"",INDEX(Clients!$B$2:$B$501,$K$10396)&amp;"")&amp;" "&amp;IF($K$10396=0,"",INDEX(Clients!$C$2:$C$501,$K$10396)&amp;"")&amp;" "&amp;IF($K$10396=0,"",INDEX(Clients!$D$2:$D$501,$K$10396)&amp;"")))</f>
        <v/>
      </c>
      <c r="E10406" s="35"/>
      <c r="F10406" s="35"/>
      <c r="J10406" s="25"/>
      <c r="K10406" s="25"/>
      <c r="L10406" s="25"/>
      <c r="M10406" s="25"/>
      <c r="N10406" s="25"/>
      <c r="O10406" s="25"/>
    </row>
    <row r="10407" customFormat="false" ht="15" hidden="false" customHeight="true" outlineLevel="0" collapsed="false">
      <c r="B10407" s="10"/>
      <c r="C10407" s="10"/>
      <c r="D10407" s="35" t="str">
        <f aca="false">IF($K$10396=0,"",INDEX(Clients!$F$2:$F$501,$K$10396)&amp;"")</f>
        <v/>
      </c>
      <c r="E10407" s="35"/>
      <c r="F10407" s="35"/>
      <c r="J10407" s="25"/>
      <c r="K10407" s="25"/>
      <c r="L10407" s="25"/>
      <c r="M10407" s="25"/>
      <c r="N10407" s="25"/>
      <c r="O10407" s="25"/>
    </row>
    <row r="10408" customFormat="false" ht="15" hidden="false" customHeight="true" outlineLevel="0" collapsed="false">
      <c r="B10408" s="10"/>
      <c r="C10408" s="10"/>
      <c r="D10408" s="35" t="str">
        <f aca="false">IF(IF($K$10396=0,"",INDEX(Clients!$G$2:$G$501,$K$10396)&amp;"")="",TRIM(IF($K$10396=0,"",INDEX(Clients!$H$2:$H$501,$K$10396)&amp;"")&amp;" "&amp;UPPER(IF($K$10396=0,"",INDEX(Clients!$I$2:$I$501,$K$10396)&amp;""))),IF($K$10396=0,"",INDEX(Clients!$G$2:$G$501,$K$10396)&amp;""))</f>
        <v/>
      </c>
      <c r="E10408" s="35"/>
      <c r="F10408" s="35"/>
      <c r="J10408" s="25"/>
      <c r="K10408" s="25"/>
      <c r="L10408" s="25"/>
      <c r="M10408" s="25"/>
      <c r="N10408" s="25"/>
      <c r="O10408" s="25"/>
    </row>
    <row r="10409" customFormat="false" ht="15" hidden="false" customHeight="true" outlineLevel="0" collapsed="false">
      <c r="B10409" s="10"/>
      <c r="C10409" s="10"/>
      <c r="D10409" s="35" t="str">
        <f aca="false">IF(IF($K$10396=0,"",INDEX(Clients!$G$2:$G$501,$K$10396)&amp;"")="","",TRIM(IF($K$10396=0,"",INDEX(Clients!$H$2:$H$501,$K$10396)&amp;"")&amp;" "&amp;UPPER(IF($K$10396=0,"",INDEX(Clients!$I$2:$I$501,$K$10396)&amp;""))))</f>
        <v/>
      </c>
      <c r="E10409" s="35"/>
      <c r="F10409" s="35"/>
      <c r="J10409" s="25"/>
      <c r="K10409" s="25"/>
      <c r="L10409" s="25"/>
      <c r="M10409" s="25"/>
      <c r="N10409" s="25"/>
      <c r="O10409" s="25"/>
    </row>
    <row r="10410" customFormat="false" ht="25.5" hidden="false" customHeight="true" outlineLevel="0" collapsed="false">
      <c r="B10410" s="10"/>
      <c r="C10410" s="10"/>
      <c r="D10410" s="10"/>
      <c r="E10410" s="10"/>
      <c r="F10410" s="10"/>
      <c r="J10410" s="25"/>
      <c r="K10410" s="25"/>
      <c r="L10410" s="25"/>
      <c r="M10410" s="25"/>
      <c r="N10410" s="25"/>
      <c r="O10410" s="25"/>
    </row>
    <row r="10411" customFormat="false" ht="15" hidden="false" customHeight="false" outlineLevel="0" collapsed="false">
      <c r="B10411" s="10"/>
      <c r="C10411" s="10"/>
      <c r="D10411" s="36" t="str">
        <f aca="false">Cab_Ville&amp;", le "&amp;DAY(Date_Courrier)&amp;IF(DAY(Date_Courrier)=1,"er","")&amp;" "&amp;INDEX(Liste_Mois,MONTH(Date_Courrier))&amp;" "&amp;YEAR(Date_Courrier)</f>
        <v>Le Plessis-Bouchard, le 22 septembre 2026</v>
      </c>
      <c r="E10411" s="36"/>
      <c r="F10411" s="36"/>
      <c r="J10411" s="25"/>
      <c r="K10411" s="25"/>
      <c r="L10411" s="25"/>
      <c r="M10411" s="25"/>
      <c r="N10411" s="25"/>
      <c r="O10411" s="25"/>
    </row>
    <row r="10412" customFormat="false" ht="19.5" hidden="false" customHeight="true" outlineLevel="0" collapsed="false">
      <c r="B10412" s="10"/>
      <c r="C10412" s="10"/>
      <c r="D10412" s="10"/>
      <c r="E10412" s="10"/>
      <c r="F10412" s="10"/>
      <c r="J10412" s="25"/>
      <c r="K10412" s="25"/>
      <c r="L10412" s="25"/>
      <c r="M10412" s="25"/>
      <c r="N10412" s="25"/>
      <c r="O10412" s="25"/>
    </row>
    <row r="10413" customFormat="false" ht="15" hidden="false" customHeight="false" outlineLevel="0" collapsed="false">
      <c r="B10413" s="34" t="str">
        <f aca="false">SUBSTITUTE(SUBSTITUTE(SUBSTITUTE(SUBSTITUTE(SUBSTITUTE(Txt_Objet,"{cabinet}",Cab_Nom),"{societe}",IF($K$10396=0,"",INDEX(Clients!$E$2:$E$501,$K$10396)&amp;"")),"{date_effet}",$K$10398),"{hausse}",$K$10399),"{civilite}",$K$10397)</f>
        <v>Objet : révision de nos honoraires au 1er janvier 2027</v>
      </c>
      <c r="C10413" s="34"/>
      <c r="D10413" s="34"/>
      <c r="E10413" s="34"/>
      <c r="F10413" s="34"/>
      <c r="J10413" s="25"/>
      <c r="K10413" s="25"/>
      <c r="L10413" s="25"/>
      <c r="M10413" s="25"/>
      <c r="N10413" s="25"/>
      <c r="O10413" s="25"/>
    </row>
    <row r="10414" customFormat="false" ht="13.5" hidden="false" customHeight="true" outlineLevel="0" collapsed="false">
      <c r="B10414" s="10"/>
      <c r="C10414" s="10"/>
      <c r="D10414" s="10"/>
      <c r="E10414" s="10"/>
      <c r="F10414" s="10"/>
      <c r="J10414" s="25"/>
      <c r="K10414" s="25"/>
      <c r="L10414" s="25"/>
      <c r="M10414" s="25"/>
      <c r="N10414" s="25"/>
      <c r="O10414" s="25"/>
    </row>
    <row r="10415" customFormat="false" ht="15" hidden="false" customHeight="false" outlineLevel="0" collapsed="false">
      <c r="B10415" s="10" t="str">
        <f aca="false">$K$10397&amp;","</f>
        <v>Madame, Monsieur,</v>
      </c>
      <c r="C10415" s="10"/>
      <c r="D10415" s="10"/>
      <c r="E10415" s="10"/>
      <c r="F10415" s="10"/>
      <c r="J10415" s="25"/>
      <c r="K10415" s="25"/>
      <c r="L10415" s="25"/>
      <c r="M10415" s="25"/>
      <c r="N10415" s="25"/>
      <c r="O10415" s="25"/>
    </row>
    <row r="10416" customFormat="false" ht="6" hidden="false" customHeight="true" outlineLevel="0" collapsed="false">
      <c r="B10416" s="10"/>
      <c r="C10416" s="10"/>
      <c r="D10416" s="10"/>
      <c r="E10416" s="10"/>
      <c r="F10416" s="10"/>
      <c r="J10416" s="25"/>
      <c r="K10416" s="25"/>
      <c r="L10416" s="25"/>
      <c r="M10416" s="25"/>
      <c r="N10416" s="25"/>
      <c r="O10416" s="25"/>
    </row>
    <row r="10417" customFormat="false" ht="36.75" hidden="false" customHeight="true" outlineLevel="0" collapsed="false">
      <c r="B10417" s="37" t="str">
        <f aca="false">SUBSTITUTE(SUBSTITUTE(SUBSTITUTE(SUBSTITUTE(SUBSTITUTE(Txt_P1,"{cabinet}",Cab_Nom),"{societe}",IF($K$10396=0,"",INDEX(Clients!$E$2:$E$501,$K$10396)&amp;"")),"{date_effet}",$K$10398),"{hausse}",$K$10399),"{civilite}",$K$10397)</f>
        <v>Nous tenons tout d'abord à vous remercier pour la confiance que vous accordez à ALTHO EXPERTISE. Comme chaque année, et conformément aux dispositions de votre lettre de mission, nous procédons à la révision de nos honoraires.</v>
      </c>
      <c r="C10417" s="37"/>
      <c r="D10417" s="37"/>
      <c r="E10417" s="37"/>
      <c r="F10417" s="37"/>
      <c r="J10417" s="25"/>
      <c r="K10417" s="25"/>
      <c r="L10417" s="25"/>
      <c r="M10417" s="25"/>
      <c r="N10417" s="25"/>
      <c r="O10417" s="25"/>
    </row>
    <row r="10418" customFormat="false" ht="49.5" hidden="false" customHeight="true" outlineLevel="0" collapsed="false">
      <c r="B10418" s="37" t="str">
        <f aca="false">SUBSTITUTE(SUBSTITUTE(SUBSTITUTE(SUBSTITUTE(SUBSTITUTE(Txt_P2,"{cabinet}",Cab_Nom),"{societe}",IF($K$10396=0,"",INDEX(Clients!$E$2:$E$501,$K$10396)&amp;"")),"{date_effet}",$K$10398),"{hausse}",$K$10399),"{civilite}",$K$10397)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418" s="37"/>
      <c r="D10418" s="37"/>
      <c r="E10418" s="37"/>
      <c r="F10418" s="37"/>
      <c r="J10418" s="25"/>
      <c r="K10418" s="25"/>
      <c r="L10418" s="25"/>
      <c r="M10418" s="25"/>
      <c r="N10418" s="25"/>
      <c r="O10418" s="25"/>
    </row>
    <row r="10419" customFormat="false" ht="63" hidden="false" customHeight="true" outlineLevel="0" collapsed="false">
      <c r="B10419" s="37" t="str">
        <f aca="false">SUBSTITUTE(SUBSTITUTE(SUBSTITUTE(SUBSTITUTE(SUBSTITUTE(Txt_P3,"{cabinet}",Cab_Nom),"{societe}",IF($K$10396=0,"",INDEX(Clients!$E$2:$E$501,$K$10396)&amp;"")),"{date_effet}",$K$10398),"{hausse}",$K$10399),"{civilite}",$K$10397)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419" s="37"/>
      <c r="D10419" s="37"/>
      <c r="E10419" s="37"/>
      <c r="F10419" s="37"/>
      <c r="J10419" s="25"/>
      <c r="K10419" s="25"/>
      <c r="L10419" s="25"/>
      <c r="M10419" s="25"/>
      <c r="N10419" s="25"/>
      <c r="O10419" s="25"/>
    </row>
    <row r="10420" customFormat="false" ht="24" hidden="false" customHeight="true" outlineLevel="0" collapsed="false">
      <c r="B10420" s="37" t="str">
        <f aca="false">SUBSTITUTE(SUBSTITUTE(SUBSTITUTE(SUBSTITUTE(SUBSTITUTE(Txt_P4,"{cabinet}",Cab_Nom),"{societe}",IF($K$10396=0,"",INDEX(Clients!$E$2:$E$501,$K$10396)&amp;"")),"{date_effet}",$K$10398),"{hausse}",$K$10399),"{civilite}",$K$10397)</f>
        <v>À compter du 1er janvier 2027, vos honoraires annuels hors taxes évolueront ainsi (évolution globale : ) :</v>
      </c>
      <c r="C10420" s="37"/>
      <c r="D10420" s="37"/>
      <c r="E10420" s="37"/>
      <c r="F10420" s="37"/>
      <c r="J10420" s="25"/>
      <c r="K10420" s="25"/>
      <c r="L10420" s="25"/>
      <c r="M10420" s="25"/>
      <c r="N10420" s="25"/>
      <c r="O10420" s="25"/>
    </row>
    <row r="10421" customFormat="false" ht="3.75" hidden="false" customHeight="true" outlineLevel="0" collapsed="false">
      <c r="B10421" s="10"/>
      <c r="C10421" s="10"/>
      <c r="D10421" s="10"/>
      <c r="E10421" s="10"/>
      <c r="F10421" s="10"/>
      <c r="J10421" s="25"/>
      <c r="K10421" s="25"/>
      <c r="L10421" s="25"/>
      <c r="M10421" s="25"/>
      <c r="N10421" s="25"/>
      <c r="O10421" s="25"/>
    </row>
    <row r="10422" customFormat="false" ht="18" hidden="false" customHeight="true" outlineLevel="0" collapsed="false">
      <c r="B10422" s="38" t="s">
        <v>148</v>
      </c>
      <c r="C10422" s="39" t="s">
        <v>149</v>
      </c>
      <c r="D10422" s="39" t="s">
        <v>150</v>
      </c>
      <c r="E10422" s="39" t="s">
        <v>151</v>
      </c>
      <c r="F10422" s="39" t="s">
        <v>109</v>
      </c>
      <c r="J10422" s="25" t="s">
        <v>152</v>
      </c>
      <c r="K10422" s="25" t="s">
        <v>153</v>
      </c>
      <c r="L10422" s="25" t="s">
        <v>154</v>
      </c>
      <c r="M10422" s="25" t="s">
        <v>155</v>
      </c>
      <c r="N10422" s="25" t="s">
        <v>156</v>
      </c>
      <c r="O10422" s="25" t="s">
        <v>157</v>
      </c>
    </row>
    <row r="10423" customFormat="false" ht="16.5" hidden="false" customHeight="true" outlineLevel="0" collapsed="false">
      <c r="B10423" s="40" t="str">
        <f aca="false">IFERROR(INDEX($J$10423:$J$10426,MATCH($O10423,$N$10423:$N$10426,0)),"")</f>
        <v/>
      </c>
      <c r="C10423" s="41" t="str">
        <f aca="false">IFERROR(INDEX($K$10423:$K$10426,MATCH($O10423,$N$10423:$N$10426,0)),"")</f>
        <v/>
      </c>
      <c r="D10423" s="42" t="str">
        <f aca="false">IF(OR(E10423="",N(C10423)=0),"",E10423/C10423-1)</f>
        <v/>
      </c>
      <c r="E10423" s="41" t="str">
        <f aca="false">IFERROR(INDEX($L$10423:$L$10426,MATCH($O10423,$N$10423:$N$10426,0)),"")</f>
        <v/>
      </c>
      <c r="F10423" s="41" t="str">
        <f aca="false">IF(E10423="","",E10423-C10423)</f>
        <v/>
      </c>
      <c r="J10423" s="25" t="str">
        <f aca="false">Lib_Compta</f>
        <v>Mission comptable (tenue, révision, bilan, liasse fiscale)</v>
      </c>
      <c r="K10423" s="25" t="n">
        <f aca="false">IF($K$10396=0,0,N(INDEX(Clients!$K$2:$K$501,$K$10396)))</f>
        <v>0</v>
      </c>
      <c r="L10423" s="25" t="n">
        <f aca="false">IF($K$10396=0,0,N(INDEX(Clients!$P$2:$P$501,$K$10396)))</f>
        <v>0</v>
      </c>
      <c r="M10423" s="25" t="n">
        <f aca="false">IF(OR(K10423&lt;&gt;0,L10423&lt;&gt;0),1,0)</f>
        <v>0</v>
      </c>
      <c r="N10423" s="25" t="str">
        <f aca="false">IF(M10423=1,SUM($M$10423:M10423),"")</f>
        <v/>
      </c>
      <c r="O10423" s="25" t="n">
        <v>1</v>
      </c>
    </row>
    <row r="10424" customFormat="false" ht="16.5" hidden="false" customHeight="true" outlineLevel="0" collapsed="false">
      <c r="B10424" s="40" t="str">
        <f aca="false">IFERROR(INDEX($J$10423:$J$10426,MATCH($O10424,$N$10423:$N$10426,0)),"")</f>
        <v/>
      </c>
      <c r="C10424" s="41" t="str">
        <f aca="false">IFERROR(INDEX($K$10423:$K$10426,MATCH($O10424,$N$10423:$N$10426,0)),"")</f>
        <v/>
      </c>
      <c r="D10424" s="42" t="str">
        <f aca="false">IF(OR(E10424="",N(C10424)=0),"",E10424/C10424-1)</f>
        <v/>
      </c>
      <c r="E10424" s="41" t="str">
        <f aca="false">IFERROR(INDEX($L$10423:$L$10426,MATCH($O10424,$N$10423:$N$10426,0)),"")</f>
        <v/>
      </c>
      <c r="F10424" s="41" t="str">
        <f aca="false">IF(E10424="","",E10424-C10424)</f>
        <v/>
      </c>
      <c r="J10424" s="25" t="str">
        <f aca="false">Lib_Paye</f>
        <v>Mission sociale (bulletins de paie, DSN, déclarations sociales)</v>
      </c>
      <c r="K10424" s="25" t="n">
        <f aca="false">IF($K$10396=0,0,N(INDEX(Clients!$L$2:$L$501,$K$10396)))</f>
        <v>0</v>
      </c>
      <c r="L10424" s="25" t="n">
        <f aca="false">IF($K$10396=0,0,N(INDEX(Clients!$Q$2:$Q$501,$K$10396)))</f>
        <v>0</v>
      </c>
      <c r="M10424" s="25" t="n">
        <f aca="false">IF(OR(K10424&lt;&gt;0,L10424&lt;&gt;0),1,0)</f>
        <v>0</v>
      </c>
      <c r="N10424" s="25" t="str">
        <f aca="false">IF(M10424=1,SUM($M$10423:M10424),"")</f>
        <v/>
      </c>
      <c r="O10424" s="25" t="n">
        <v>2</v>
      </c>
    </row>
    <row r="10425" customFormat="false" ht="16.5" hidden="false" customHeight="true" outlineLevel="0" collapsed="false">
      <c r="B10425" s="40" t="str">
        <f aca="false">IFERROR(INDEX($J$10423:$J$10426,MATCH($O10425,$N$10423:$N$10426,0)),"")</f>
        <v/>
      </c>
      <c r="C10425" s="41" t="str">
        <f aca="false">IFERROR(INDEX($K$10423:$K$10426,MATCH($O10425,$N$10423:$N$10426,0)),"")</f>
        <v/>
      </c>
      <c r="D10425" s="42" t="str">
        <f aca="false">IF(OR(E10425="",N(C10425)=0),"",E10425/C10425-1)</f>
        <v/>
      </c>
      <c r="E10425" s="41" t="str">
        <f aca="false">IFERROR(INDEX($L$10423:$L$10426,MATCH($O10425,$N$10423:$N$10426,0)),"")</f>
        <v/>
      </c>
      <c r="F10425" s="41" t="str">
        <f aca="false">IF(E10425="","",E10425-C10425)</f>
        <v/>
      </c>
      <c r="J10425" s="25" t="str">
        <f aca="false">Lib_Jur</f>
        <v>Mission juridique (approbation des comptes, secrétariat juridique)</v>
      </c>
      <c r="K10425" s="25" t="n">
        <f aca="false">IF($K$10396=0,0,N(INDEX(Clients!$M$2:$M$501,$K$10396)))</f>
        <v>0</v>
      </c>
      <c r="L10425" s="25" t="n">
        <f aca="false">IF($K$10396=0,0,N(INDEX(Clients!$R$2:$R$501,$K$10396)))</f>
        <v>0</v>
      </c>
      <c r="M10425" s="25" t="n">
        <f aca="false">IF(OR(K10425&lt;&gt;0,L10425&lt;&gt;0),1,0)</f>
        <v>0</v>
      </c>
      <c r="N10425" s="25" t="str">
        <f aca="false">IF(M10425=1,SUM($M$10423:M10425),"")</f>
        <v/>
      </c>
      <c r="O10425" s="25" t="n">
        <v>3</v>
      </c>
    </row>
    <row r="10426" customFormat="false" ht="16.5" hidden="false" customHeight="true" outlineLevel="0" collapsed="false">
      <c r="B10426" s="40" t="str">
        <f aca="false">IFERROR(INDEX($J$10423:$J$10426,MATCH($O10426,$N$10423:$N$10426,0)),"")</f>
        <v/>
      </c>
      <c r="C10426" s="41" t="str">
        <f aca="false">IFERROR(INDEX($K$10423:$K$10426,MATCH($O10426,$N$10423:$N$10426,0)),"")</f>
        <v/>
      </c>
      <c r="D10426" s="42" t="str">
        <f aca="false">IF(OR(E10426="",N(C10426)=0),"",E10426/C10426-1)</f>
        <v/>
      </c>
      <c r="E10426" s="41" t="str">
        <f aca="false">IFERROR(INDEX($L$10423:$L$10426,MATCH($O10426,$N$10423:$N$10426,0)),"")</f>
        <v/>
      </c>
      <c r="F10426" s="41" t="str">
        <f aca="false">IF(E10426="","",E10426-C10426)</f>
        <v/>
      </c>
      <c r="J10426" s="25" t="str">
        <f aca="false">Lib_PA</f>
        <v>Plateforme agréée – facturation électronique</v>
      </c>
      <c r="K10426" s="25" t="n">
        <f aca="false">IF($K$10396=0,0,N(INDEX(Clients!$N$2:$N$501,$K$10396)))</f>
        <v>0</v>
      </c>
      <c r="L10426" s="25" t="n">
        <f aca="false">IF($K$10396=0,0,N(INDEX(Clients!$S$2:$S$501,$K$10396)))</f>
        <v>0</v>
      </c>
      <c r="M10426" s="25" t="n">
        <f aca="false">IF(OR(K10426&lt;&gt;0,L10426&lt;&gt;0),1,0)</f>
        <v>0</v>
      </c>
      <c r="N10426" s="25" t="str">
        <f aca="false">IF(M10426=1,SUM($M$10423:M10426),"")</f>
        <v/>
      </c>
      <c r="O10426" s="25" t="n">
        <v>4</v>
      </c>
    </row>
    <row r="10427" customFormat="false" ht="18" hidden="false" customHeight="true" outlineLevel="0" collapsed="false">
      <c r="B10427" s="43" t="s">
        <v>158</v>
      </c>
      <c r="C10427" s="44" t="n">
        <f aca="false">SUM(K10423:K10426)</f>
        <v>0</v>
      </c>
      <c r="D10427" s="45" t="str">
        <f aca="false">IF(N(C10427)=0,"",E10427/C10427-1)</f>
        <v/>
      </c>
      <c r="E10427" s="44" t="n">
        <f aca="false">SUM(L10423:L10426)</f>
        <v>0</v>
      </c>
      <c r="F10427" s="44" t="n">
        <f aca="false">E10427-C10427</f>
        <v>0</v>
      </c>
    </row>
    <row r="10428" customFormat="false" ht="15" hidden="false" customHeight="false" outlineLevel="0" collapsed="false">
      <c r="B10428" s="46" t="str">
        <f aca="false">IF(N(Nb_Mensualites)=0,"","Soit "&amp;FIXED(E10427/Nb_Mensualites,2)&amp;" € HT par échéance ("&amp;Nb_Mensualites&amp;" échéances), "&amp;FIXED(E10427/Nb_Mensualites*(1+Taux_TVA),2)&amp;" € TTC.")</f>
        <v>Soit 0.00 € HT par échéance (12 échéances), 0.00 € TTC.</v>
      </c>
      <c r="C10428" s="46"/>
      <c r="D10428" s="46"/>
      <c r="E10428" s="46"/>
      <c r="F10428" s="46"/>
    </row>
    <row r="10429" customFormat="false" ht="7.5" hidden="false" customHeight="true" outlineLevel="0" collapsed="false">
      <c r="B10429" s="10"/>
      <c r="C10429" s="10"/>
      <c r="D10429" s="10"/>
      <c r="E10429" s="10"/>
      <c r="F10429" s="10"/>
    </row>
    <row r="10430" customFormat="false" ht="36.75" hidden="false" customHeight="true" outlineLevel="0" collapsed="false">
      <c r="B10430" s="37" t="str">
        <f aca="false">SUBSTITUTE(SUBSTITUTE(SUBSTITUTE(SUBSTITUTE(SUBSTITUTE(Txt_P5,"{cabinet}",Cab_Nom),"{societe}",IF($K$10396=0,"",INDEX(Clients!$E$2:$E$501,$K$10396)&amp;"")),"{date_effet}",$K$10398),"{hausse}",$K$10399),"{civilite}",$K$10397)</f>
        <v>Les autres conditions de votre lettre de mission demeurent inchangées. Les nouveaux montants seront appliqués automatiquement sur vos prochaines factures et échéances de prélèvement.</v>
      </c>
      <c r="C10430" s="37"/>
      <c r="D10430" s="37"/>
      <c r="E10430" s="37"/>
      <c r="F10430" s="37"/>
    </row>
    <row r="10431" customFormat="false" ht="36.75" hidden="false" customHeight="true" outlineLevel="0" collapsed="false">
      <c r="B10431" s="37" t="str">
        <f aca="false">SUBSTITUTE(SUBSTITUTE(SUBSTITUTE(SUBSTITUTE(SUBSTITUTE(Txt_P6,"{cabinet}",Cab_Nom),"{societe}",IF($K$10396=0,"",INDEX(Clients!$E$2:$E$501,$K$10396)&amp;"")),"{date_effet}",$K$10398),"{hausse}",$K$10399),"{civilite}",$K$10397)</f>
        <v>Votre interlocuteur habituel reste à votre entière disposition pour répondre à vos questions et faire le point sur l'évolution de vos besoins.</v>
      </c>
      <c r="C10431" s="37"/>
      <c r="D10431" s="37"/>
      <c r="E10431" s="37"/>
      <c r="F10431" s="37"/>
    </row>
    <row r="10432" customFormat="false" ht="24" hidden="false" customHeight="true" outlineLevel="0" collapsed="false">
      <c r="B10432" s="37" t="str">
        <f aca="false">SUBSTITUTE(SUBSTITUTE(SUBSTITUTE(SUBSTITUTE(SUBSTITUTE(Txt_Politesse,"{cabinet}",Cab_Nom),"{societe}",IF($K$10396=0,"",INDEX(Clients!$E$2:$E$501,$K$10396)&amp;"")),"{date_effet}",$K$10398),"{hausse}",$K$10399),"{civilite}",$K$10397)</f>
        <v>Nous vous prions d'agréer, Madame, Monsieur, l'expression de nos salutations distinguées.</v>
      </c>
      <c r="C10432" s="37"/>
      <c r="D10432" s="37"/>
      <c r="E10432" s="37"/>
      <c r="F10432" s="37"/>
    </row>
    <row r="10433" customFormat="false" ht="15" hidden="false" customHeight="false" outlineLevel="0" collapsed="false">
      <c r="B10433" s="10"/>
      <c r="C10433" s="10"/>
      <c r="D10433" s="10"/>
      <c r="E10433" s="10"/>
      <c r="F10433" s="10"/>
    </row>
    <row r="10434" customFormat="false" ht="15" hidden="false" customHeight="false" outlineLevel="0" collapsed="false">
      <c r="B10434" s="10"/>
      <c r="C10434" s="10"/>
      <c r="D10434" s="34" t="str">
        <f aca="false">Signataire</f>
        <v>Prénom NOM</v>
      </c>
      <c r="E10434" s="34"/>
      <c r="F10434" s="34"/>
    </row>
    <row r="10435" customFormat="false" ht="15" hidden="false" customHeight="false" outlineLevel="0" collapsed="false">
      <c r="B10435" s="10"/>
      <c r="C10435" s="10"/>
      <c r="D10435" s="47" t="str">
        <f aca="false">Signataire_Titre</f>
        <v>Expert-comptable associé</v>
      </c>
      <c r="E10435" s="47"/>
      <c r="F10435" s="47"/>
    </row>
    <row r="10436" customFormat="false" ht="15.75" hidden="false" customHeight="true" outlineLevel="0" collapsed="false">
      <c r="B10436" s="10"/>
      <c r="C10436" s="10"/>
      <c r="D10436" s="10"/>
      <c r="E10436" s="10"/>
      <c r="F10436" s="10"/>
    </row>
    <row r="10437" customFormat="false" ht="15.75" hidden="false" customHeight="true" outlineLevel="0" collapsed="false">
      <c r="B10437" s="10"/>
      <c r="C10437" s="10"/>
      <c r="D10437" s="10"/>
      <c r="E10437" s="10"/>
      <c r="F10437" s="10"/>
    </row>
    <row r="10438" customFormat="false" ht="15.75" hidden="false" customHeight="true" outlineLevel="0" collapsed="false">
      <c r="B10438" s="10"/>
      <c r="C10438" s="10"/>
      <c r="D10438" s="10"/>
      <c r="E10438" s="10"/>
      <c r="F10438" s="10"/>
    </row>
    <row r="10439" customFormat="false" ht="15.75" hidden="false" customHeight="true" outlineLevel="0" collapsed="false">
      <c r="B10439" s="10"/>
      <c r="C10439" s="10"/>
      <c r="D10439" s="10"/>
      <c r="E10439" s="10"/>
      <c r="F10439" s="10"/>
    </row>
    <row r="10440" customFormat="false" ht="24" hidden="false" customHeight="true" outlineLevel="0" collapsed="false">
      <c r="B10440" s="48" t="str">
        <f aca="false">Cab_Mentions</f>
        <v>ALTHO EXPERTISE · SAS au capital de 10 000 € · RCS Pontoise 919 706 325 · TVA FR62919706325 · Société d'expertise comptable inscrite au Tableau de l'Ordre des experts-comptables de Paris Île-de-France</v>
      </c>
      <c r="C10440" s="48"/>
      <c r="D10440" s="48"/>
      <c r="E10440" s="48"/>
      <c r="F10440" s="48"/>
    </row>
    <row r="10441" customFormat="false" ht="15" hidden="false" customHeight="false" outlineLevel="0" collapsed="false">
      <c r="B10441" s="10"/>
      <c r="C10441" s="10"/>
      <c r="D10441" s="10"/>
      <c r="E10441" s="10"/>
      <c r="F10441" s="10"/>
      <c r="J10441" s="25" t="s">
        <v>142</v>
      </c>
      <c r="K10441" s="25" t="n">
        <f aca="false">IFERROR(MATCH(233,Clients!$Z$2:$Z$501,0),0)</f>
        <v>0</v>
      </c>
      <c r="L10441" s="25"/>
      <c r="M10441" s="25"/>
      <c r="N10441" s="25"/>
      <c r="O10441" s="25"/>
    </row>
    <row r="10442" customFormat="false" ht="21.75" hidden="false" customHeight="true" outlineLevel="0" collapsed="false">
      <c r="B10442" s="26" t="str">
        <f aca="false">Cab_Nom</f>
        <v>ALTHO EXPERTISE</v>
      </c>
      <c r="C10442" s="26"/>
      <c r="D10442" s="10"/>
      <c r="E10442" s="27" t="str">
        <f aca="false">IF($K$10441=0,"","Réf. client : "&amp;INDEX(Clients!$A$2:$A$501,$K$10441))</f>
        <v/>
      </c>
      <c r="F10442" s="27"/>
      <c r="J10442" s="25" t="s">
        <v>144</v>
      </c>
      <c r="K10442" s="25" t="str">
        <f aca="false">IF(IF($K$10441=0,"",INDEX(Clients!$B$2:$B$501,$K$10441)&amp;"")="Mme","Madame",IF(IF($K$10441=0,"",INDEX(Clients!$B$2:$B$501,$K$10441)&amp;"")="M.","Monsieur","Madame, Monsieur"))</f>
        <v>Madame, Monsieur</v>
      </c>
      <c r="L10442" s="25"/>
      <c r="M10442" s="25"/>
      <c r="N10442" s="25"/>
      <c r="O10442" s="25"/>
    </row>
    <row r="10443" customFormat="false" ht="15" hidden="false" customHeight="false" outlineLevel="0" collapsed="false">
      <c r="B10443" s="29" t="str">
        <f aca="false">Cab_Adr1</f>
        <v>141 rue Charles de Gaulle</v>
      </c>
      <c r="C10443" s="29"/>
      <c r="D10443" s="10"/>
      <c r="E10443" s="10"/>
      <c r="F10443" s="10"/>
      <c r="J10443" s="25" t="s">
        <v>145</v>
      </c>
      <c r="K10443" s="25" t="str">
        <f aca="false">DAY(Date_Effet)&amp;IF(DAY(Date_Effet)=1,"er","")&amp;" "&amp;INDEX(Liste_Mois,MONTH(Date_Effet))&amp;" "&amp;YEAR(Date_Effet)</f>
        <v>1er janvier 2027</v>
      </c>
      <c r="L10443" s="25"/>
      <c r="M10443" s="25"/>
      <c r="N10443" s="25"/>
      <c r="O10443" s="25"/>
    </row>
    <row r="10444" customFormat="false" ht="15" hidden="false" customHeight="false" outlineLevel="0" collapsed="false">
      <c r="B10444" s="29" t="str">
        <f aca="false">Cab_CPVille</f>
        <v>95130 LE PLESSIS-BOUCHARD</v>
      </c>
      <c r="C10444" s="29"/>
      <c r="D10444" s="10"/>
      <c r="E10444" s="10"/>
      <c r="F10444" s="10"/>
      <c r="J10444" s="25" t="s">
        <v>146</v>
      </c>
      <c r="K10444" s="25" t="str">
        <f aca="false">IF(SUM($K$10468:$K$10471)=0,"",FIXED((SUM($L$10468:$L$10471)/SUM($K$10468:$K$10471)-1)*100,1)&amp;" %")</f>
        <v/>
      </c>
      <c r="L10444" s="25"/>
      <c r="M10444" s="25"/>
      <c r="N10444" s="25"/>
      <c r="O10444" s="25"/>
    </row>
    <row r="10445" customFormat="false" ht="15" hidden="false" customHeight="false" outlineLevel="0" collapsed="false">
      <c r="B10445" s="29" t="str">
        <f aca="false">Cab_Contact</f>
        <v>Tél. 01 34 14 53 45  ·  altho@altho-experts.com  ·  altho-experts.com</v>
      </c>
      <c r="C10445" s="29"/>
      <c r="D10445" s="10"/>
      <c r="E10445" s="10"/>
      <c r="F10445" s="10"/>
      <c r="J10445" s="25"/>
      <c r="K10445" s="25"/>
      <c r="L10445" s="25"/>
      <c r="M10445" s="25"/>
      <c r="N10445" s="25"/>
      <c r="O10445" s="25"/>
    </row>
    <row r="10446" customFormat="false" ht="6" hidden="false" customHeight="true" outlineLevel="0" collapsed="false">
      <c r="B10446" s="32"/>
      <c r="C10446" s="32"/>
      <c r="D10446" s="32"/>
      <c r="E10446" s="32"/>
      <c r="F10446" s="32"/>
      <c r="J10446" s="25"/>
      <c r="K10446" s="25"/>
      <c r="L10446" s="25"/>
      <c r="M10446" s="25"/>
      <c r="N10446" s="25"/>
      <c r="O10446" s="25"/>
    </row>
    <row r="10447" customFormat="false" ht="13.5" hidden="false" customHeight="true" outlineLevel="0" collapsed="false">
      <c r="B10447" s="10"/>
      <c r="C10447" s="10"/>
      <c r="D10447" s="10"/>
      <c r="E10447" s="10"/>
      <c r="F10447" s="10"/>
      <c r="J10447" s="25"/>
      <c r="K10447" s="25"/>
      <c r="L10447" s="25"/>
      <c r="M10447" s="25"/>
      <c r="N10447" s="25"/>
      <c r="O10447" s="25"/>
    </row>
    <row r="10448" customFormat="false" ht="13.5" hidden="false" customHeight="true" outlineLevel="0" collapsed="false">
      <c r="B10448" s="10"/>
      <c r="C10448" s="10"/>
      <c r="D10448" s="10"/>
      <c r="E10448" s="10"/>
      <c r="F10448" s="10"/>
      <c r="J10448" s="25"/>
      <c r="K10448" s="25"/>
      <c r="L10448" s="25"/>
      <c r="M10448" s="25"/>
      <c r="N10448" s="25"/>
      <c r="O10448" s="25"/>
    </row>
    <row r="10449" customFormat="false" ht="13.5" hidden="false" customHeight="true" outlineLevel="0" collapsed="false">
      <c r="B10449" s="10"/>
      <c r="C10449" s="10"/>
      <c r="D10449" s="10"/>
      <c r="E10449" s="10"/>
      <c r="F10449" s="10"/>
      <c r="J10449" s="25"/>
      <c r="K10449" s="25"/>
      <c r="L10449" s="25"/>
      <c r="M10449" s="25"/>
      <c r="N10449" s="25"/>
      <c r="O10449" s="25"/>
    </row>
    <row r="10450" customFormat="false" ht="15" hidden="false" customHeight="true" outlineLevel="0" collapsed="false">
      <c r="B10450" s="10"/>
      <c r="C10450" s="10"/>
      <c r="D10450" s="34" t="str">
        <f aca="false">IF($K$10441=0,"",INDEX(Clients!$E$2:$E$501,$K$10441)&amp;"")</f>
        <v/>
      </c>
      <c r="E10450" s="34"/>
      <c r="F10450" s="34"/>
      <c r="J10450" s="25"/>
      <c r="K10450" s="25"/>
      <c r="L10450" s="25"/>
      <c r="M10450" s="25"/>
      <c r="N10450" s="25"/>
      <c r="O10450" s="25"/>
    </row>
    <row r="10451" customFormat="false" ht="15" hidden="false" customHeight="true" outlineLevel="0" collapsed="false">
      <c r="B10451" s="10"/>
      <c r="C10451" s="10"/>
      <c r="D10451" s="35" t="str">
        <f aca="false">IF(IF($K$10441=0,"",INDEX(Clients!$D$2:$D$501,$K$10441)&amp;"")="","","À l'attention de "&amp;TRIM(IF($K$10441=0,"",INDEX(Clients!$B$2:$B$501,$K$10441)&amp;"")&amp;" "&amp;IF($K$10441=0,"",INDEX(Clients!$C$2:$C$501,$K$10441)&amp;"")&amp;" "&amp;IF($K$10441=0,"",INDEX(Clients!$D$2:$D$501,$K$10441)&amp;"")))</f>
        <v/>
      </c>
      <c r="E10451" s="35"/>
      <c r="F10451" s="35"/>
      <c r="J10451" s="25"/>
      <c r="K10451" s="25"/>
      <c r="L10451" s="25"/>
      <c r="M10451" s="25"/>
      <c r="N10451" s="25"/>
      <c r="O10451" s="25"/>
    </row>
    <row r="10452" customFormat="false" ht="15" hidden="false" customHeight="true" outlineLevel="0" collapsed="false">
      <c r="B10452" s="10"/>
      <c r="C10452" s="10"/>
      <c r="D10452" s="35" t="str">
        <f aca="false">IF($K$10441=0,"",INDEX(Clients!$F$2:$F$501,$K$10441)&amp;"")</f>
        <v/>
      </c>
      <c r="E10452" s="35"/>
      <c r="F10452" s="35"/>
      <c r="J10452" s="25"/>
      <c r="K10452" s="25"/>
      <c r="L10452" s="25"/>
      <c r="M10452" s="25"/>
      <c r="N10452" s="25"/>
      <c r="O10452" s="25"/>
    </row>
    <row r="10453" customFormat="false" ht="15" hidden="false" customHeight="true" outlineLevel="0" collapsed="false">
      <c r="B10453" s="10"/>
      <c r="C10453" s="10"/>
      <c r="D10453" s="35" t="str">
        <f aca="false">IF(IF($K$10441=0,"",INDEX(Clients!$G$2:$G$501,$K$10441)&amp;"")="",TRIM(IF($K$10441=0,"",INDEX(Clients!$H$2:$H$501,$K$10441)&amp;"")&amp;" "&amp;UPPER(IF($K$10441=0,"",INDEX(Clients!$I$2:$I$501,$K$10441)&amp;""))),IF($K$10441=0,"",INDEX(Clients!$G$2:$G$501,$K$10441)&amp;""))</f>
        <v/>
      </c>
      <c r="E10453" s="35"/>
      <c r="F10453" s="35"/>
      <c r="J10453" s="25"/>
      <c r="K10453" s="25"/>
      <c r="L10453" s="25"/>
      <c r="M10453" s="25"/>
      <c r="N10453" s="25"/>
      <c r="O10453" s="25"/>
    </row>
    <row r="10454" customFormat="false" ht="15" hidden="false" customHeight="true" outlineLevel="0" collapsed="false">
      <c r="B10454" s="10"/>
      <c r="C10454" s="10"/>
      <c r="D10454" s="35" t="str">
        <f aca="false">IF(IF($K$10441=0,"",INDEX(Clients!$G$2:$G$501,$K$10441)&amp;"")="","",TRIM(IF($K$10441=0,"",INDEX(Clients!$H$2:$H$501,$K$10441)&amp;"")&amp;" "&amp;UPPER(IF($K$10441=0,"",INDEX(Clients!$I$2:$I$501,$K$10441)&amp;""))))</f>
        <v/>
      </c>
      <c r="E10454" s="35"/>
      <c r="F10454" s="35"/>
      <c r="J10454" s="25"/>
      <c r="K10454" s="25"/>
      <c r="L10454" s="25"/>
      <c r="M10454" s="25"/>
      <c r="N10454" s="25"/>
      <c r="O10454" s="25"/>
    </row>
    <row r="10455" customFormat="false" ht="25.5" hidden="false" customHeight="true" outlineLevel="0" collapsed="false">
      <c r="B10455" s="10"/>
      <c r="C10455" s="10"/>
      <c r="D10455" s="10"/>
      <c r="E10455" s="10"/>
      <c r="F10455" s="10"/>
      <c r="J10455" s="25"/>
      <c r="K10455" s="25"/>
      <c r="L10455" s="25"/>
      <c r="M10455" s="25"/>
      <c r="N10455" s="25"/>
      <c r="O10455" s="25"/>
    </row>
    <row r="10456" customFormat="false" ht="15" hidden="false" customHeight="false" outlineLevel="0" collapsed="false">
      <c r="B10456" s="10"/>
      <c r="C10456" s="10"/>
      <c r="D10456" s="36" t="str">
        <f aca="false">Cab_Ville&amp;", le "&amp;DAY(Date_Courrier)&amp;IF(DAY(Date_Courrier)=1,"er","")&amp;" "&amp;INDEX(Liste_Mois,MONTH(Date_Courrier))&amp;" "&amp;YEAR(Date_Courrier)</f>
        <v>Le Plessis-Bouchard, le 22 septembre 2026</v>
      </c>
      <c r="E10456" s="36"/>
      <c r="F10456" s="36"/>
      <c r="J10456" s="25"/>
      <c r="K10456" s="25"/>
      <c r="L10456" s="25"/>
      <c r="M10456" s="25"/>
      <c r="N10456" s="25"/>
      <c r="O10456" s="25"/>
    </row>
    <row r="10457" customFormat="false" ht="19.5" hidden="false" customHeight="true" outlineLevel="0" collapsed="false">
      <c r="B10457" s="10"/>
      <c r="C10457" s="10"/>
      <c r="D10457" s="10"/>
      <c r="E10457" s="10"/>
      <c r="F10457" s="10"/>
      <c r="J10457" s="25"/>
      <c r="K10457" s="25"/>
      <c r="L10457" s="25"/>
      <c r="M10457" s="25"/>
      <c r="N10457" s="25"/>
      <c r="O10457" s="25"/>
    </row>
    <row r="10458" customFormat="false" ht="15" hidden="false" customHeight="false" outlineLevel="0" collapsed="false">
      <c r="B10458" s="34" t="str">
        <f aca="false">SUBSTITUTE(SUBSTITUTE(SUBSTITUTE(SUBSTITUTE(SUBSTITUTE(Txt_Objet,"{cabinet}",Cab_Nom),"{societe}",IF($K$10441=0,"",INDEX(Clients!$E$2:$E$501,$K$10441)&amp;"")),"{date_effet}",$K$10443),"{hausse}",$K$10444),"{civilite}",$K$10442)</f>
        <v>Objet : révision de nos honoraires au 1er janvier 2027</v>
      </c>
      <c r="C10458" s="34"/>
      <c r="D10458" s="34"/>
      <c r="E10458" s="34"/>
      <c r="F10458" s="34"/>
      <c r="J10458" s="25"/>
      <c r="K10458" s="25"/>
      <c r="L10458" s="25"/>
      <c r="M10458" s="25"/>
      <c r="N10458" s="25"/>
      <c r="O10458" s="25"/>
    </row>
    <row r="10459" customFormat="false" ht="13.5" hidden="false" customHeight="true" outlineLevel="0" collapsed="false">
      <c r="B10459" s="10"/>
      <c r="C10459" s="10"/>
      <c r="D10459" s="10"/>
      <c r="E10459" s="10"/>
      <c r="F10459" s="10"/>
      <c r="J10459" s="25"/>
      <c r="K10459" s="25"/>
      <c r="L10459" s="25"/>
      <c r="M10459" s="25"/>
      <c r="N10459" s="25"/>
      <c r="O10459" s="25"/>
    </row>
    <row r="10460" customFormat="false" ht="15" hidden="false" customHeight="false" outlineLevel="0" collapsed="false">
      <c r="B10460" s="10" t="str">
        <f aca="false">$K$10442&amp;","</f>
        <v>Madame, Monsieur,</v>
      </c>
      <c r="C10460" s="10"/>
      <c r="D10460" s="10"/>
      <c r="E10460" s="10"/>
      <c r="F10460" s="10"/>
      <c r="J10460" s="25"/>
      <c r="K10460" s="25"/>
      <c r="L10460" s="25"/>
      <c r="M10460" s="25"/>
      <c r="N10460" s="25"/>
      <c r="O10460" s="25"/>
    </row>
    <row r="10461" customFormat="false" ht="6" hidden="false" customHeight="true" outlineLevel="0" collapsed="false">
      <c r="B10461" s="10"/>
      <c r="C10461" s="10"/>
      <c r="D10461" s="10"/>
      <c r="E10461" s="10"/>
      <c r="F10461" s="10"/>
      <c r="J10461" s="25"/>
      <c r="K10461" s="25"/>
      <c r="L10461" s="25"/>
      <c r="M10461" s="25"/>
      <c r="N10461" s="25"/>
      <c r="O10461" s="25"/>
    </row>
    <row r="10462" customFormat="false" ht="36.75" hidden="false" customHeight="true" outlineLevel="0" collapsed="false">
      <c r="B10462" s="37" t="str">
        <f aca="false">SUBSTITUTE(SUBSTITUTE(SUBSTITUTE(SUBSTITUTE(SUBSTITUTE(Txt_P1,"{cabinet}",Cab_Nom),"{societe}",IF($K$10441=0,"",INDEX(Clients!$E$2:$E$501,$K$10441)&amp;"")),"{date_effet}",$K$10443),"{hausse}",$K$10444),"{civilite}",$K$10442)</f>
        <v>Nous tenons tout d'abord à vous remercier pour la confiance que vous accordez à ALTHO EXPERTISE. Comme chaque année, et conformément aux dispositions de votre lettre de mission, nous procédons à la révision de nos honoraires.</v>
      </c>
      <c r="C10462" s="37"/>
      <c r="D10462" s="37"/>
      <c r="E10462" s="37"/>
      <c r="F10462" s="37"/>
      <c r="J10462" s="25"/>
      <c r="K10462" s="25"/>
      <c r="L10462" s="25"/>
      <c r="M10462" s="25"/>
      <c r="N10462" s="25"/>
      <c r="O10462" s="25"/>
    </row>
    <row r="10463" customFormat="false" ht="49.5" hidden="false" customHeight="true" outlineLevel="0" collapsed="false">
      <c r="B10463" s="37" t="str">
        <f aca="false">SUBSTITUTE(SUBSTITUTE(SUBSTITUTE(SUBSTITUTE(SUBSTITUTE(Txt_P2,"{cabinet}",Cab_Nom),"{societe}",IF($K$10441=0,"",INDEX(Clients!$E$2:$E$501,$K$10441)&amp;"")),"{date_effet}",$K$10443),"{hausse}",$K$10444),"{civilite}",$K$10442)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463" s="37"/>
      <c r="D10463" s="37"/>
      <c r="E10463" s="37"/>
      <c r="F10463" s="37"/>
      <c r="J10463" s="25"/>
      <c r="K10463" s="25"/>
      <c r="L10463" s="25"/>
      <c r="M10463" s="25"/>
      <c r="N10463" s="25"/>
      <c r="O10463" s="25"/>
    </row>
    <row r="10464" customFormat="false" ht="63" hidden="false" customHeight="true" outlineLevel="0" collapsed="false">
      <c r="B10464" s="37" t="str">
        <f aca="false">SUBSTITUTE(SUBSTITUTE(SUBSTITUTE(SUBSTITUTE(SUBSTITUTE(Txt_P3,"{cabinet}",Cab_Nom),"{societe}",IF($K$10441=0,"",INDEX(Clients!$E$2:$E$501,$K$10441)&amp;"")),"{date_effet}",$K$10443),"{hausse}",$K$10444),"{civilite}",$K$10442)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464" s="37"/>
      <c r="D10464" s="37"/>
      <c r="E10464" s="37"/>
      <c r="F10464" s="37"/>
      <c r="J10464" s="25"/>
      <c r="K10464" s="25"/>
      <c r="L10464" s="25"/>
      <c r="M10464" s="25"/>
      <c r="N10464" s="25"/>
      <c r="O10464" s="25"/>
    </row>
    <row r="10465" customFormat="false" ht="24" hidden="false" customHeight="true" outlineLevel="0" collapsed="false">
      <c r="B10465" s="37" t="str">
        <f aca="false">SUBSTITUTE(SUBSTITUTE(SUBSTITUTE(SUBSTITUTE(SUBSTITUTE(Txt_P4,"{cabinet}",Cab_Nom),"{societe}",IF($K$10441=0,"",INDEX(Clients!$E$2:$E$501,$K$10441)&amp;"")),"{date_effet}",$K$10443),"{hausse}",$K$10444),"{civilite}",$K$10442)</f>
        <v>À compter du 1er janvier 2027, vos honoraires annuels hors taxes évolueront ainsi (évolution globale : ) :</v>
      </c>
      <c r="C10465" s="37"/>
      <c r="D10465" s="37"/>
      <c r="E10465" s="37"/>
      <c r="F10465" s="37"/>
      <c r="J10465" s="25"/>
      <c r="K10465" s="25"/>
      <c r="L10465" s="25"/>
      <c r="M10465" s="25"/>
      <c r="N10465" s="25"/>
      <c r="O10465" s="25"/>
    </row>
    <row r="10466" customFormat="false" ht="3.75" hidden="false" customHeight="true" outlineLevel="0" collapsed="false">
      <c r="B10466" s="10"/>
      <c r="C10466" s="10"/>
      <c r="D10466" s="10"/>
      <c r="E10466" s="10"/>
      <c r="F10466" s="10"/>
      <c r="J10466" s="25"/>
      <c r="K10466" s="25"/>
      <c r="L10466" s="25"/>
      <c r="M10466" s="25"/>
      <c r="N10466" s="25"/>
      <c r="O10466" s="25"/>
    </row>
    <row r="10467" customFormat="false" ht="18" hidden="false" customHeight="true" outlineLevel="0" collapsed="false">
      <c r="B10467" s="38" t="s">
        <v>148</v>
      </c>
      <c r="C10467" s="39" t="s">
        <v>149</v>
      </c>
      <c r="D10467" s="39" t="s">
        <v>150</v>
      </c>
      <c r="E10467" s="39" t="s">
        <v>151</v>
      </c>
      <c r="F10467" s="39" t="s">
        <v>109</v>
      </c>
      <c r="J10467" s="25" t="s">
        <v>152</v>
      </c>
      <c r="K10467" s="25" t="s">
        <v>153</v>
      </c>
      <c r="L10467" s="25" t="s">
        <v>154</v>
      </c>
      <c r="M10467" s="25" t="s">
        <v>155</v>
      </c>
      <c r="N10467" s="25" t="s">
        <v>156</v>
      </c>
      <c r="O10467" s="25" t="s">
        <v>157</v>
      </c>
    </row>
    <row r="10468" customFormat="false" ht="16.5" hidden="false" customHeight="true" outlineLevel="0" collapsed="false">
      <c r="B10468" s="40" t="str">
        <f aca="false">IFERROR(INDEX($J$10468:$J$10471,MATCH($O10468,$N$10468:$N$10471,0)),"")</f>
        <v/>
      </c>
      <c r="C10468" s="41" t="str">
        <f aca="false">IFERROR(INDEX($K$10468:$K$10471,MATCH($O10468,$N$10468:$N$10471,0)),"")</f>
        <v/>
      </c>
      <c r="D10468" s="42" t="str">
        <f aca="false">IF(OR(E10468="",N(C10468)=0),"",E10468/C10468-1)</f>
        <v/>
      </c>
      <c r="E10468" s="41" t="str">
        <f aca="false">IFERROR(INDEX($L$10468:$L$10471,MATCH($O10468,$N$10468:$N$10471,0)),"")</f>
        <v/>
      </c>
      <c r="F10468" s="41" t="str">
        <f aca="false">IF(E10468="","",E10468-C10468)</f>
        <v/>
      </c>
      <c r="J10468" s="25" t="str">
        <f aca="false">Lib_Compta</f>
        <v>Mission comptable (tenue, révision, bilan, liasse fiscale)</v>
      </c>
      <c r="K10468" s="25" t="n">
        <f aca="false">IF($K$10441=0,0,N(INDEX(Clients!$K$2:$K$501,$K$10441)))</f>
        <v>0</v>
      </c>
      <c r="L10468" s="25" t="n">
        <f aca="false">IF($K$10441=0,0,N(INDEX(Clients!$P$2:$P$501,$K$10441)))</f>
        <v>0</v>
      </c>
      <c r="M10468" s="25" t="n">
        <f aca="false">IF(OR(K10468&lt;&gt;0,L10468&lt;&gt;0),1,0)</f>
        <v>0</v>
      </c>
      <c r="N10468" s="25" t="str">
        <f aca="false">IF(M10468=1,SUM($M$10468:M10468),"")</f>
        <v/>
      </c>
      <c r="O10468" s="25" t="n">
        <v>1</v>
      </c>
    </row>
    <row r="10469" customFormat="false" ht="16.5" hidden="false" customHeight="true" outlineLevel="0" collapsed="false">
      <c r="B10469" s="40" t="str">
        <f aca="false">IFERROR(INDEX($J$10468:$J$10471,MATCH($O10469,$N$10468:$N$10471,0)),"")</f>
        <v/>
      </c>
      <c r="C10469" s="41" t="str">
        <f aca="false">IFERROR(INDEX($K$10468:$K$10471,MATCH($O10469,$N$10468:$N$10471,0)),"")</f>
        <v/>
      </c>
      <c r="D10469" s="42" t="str">
        <f aca="false">IF(OR(E10469="",N(C10469)=0),"",E10469/C10469-1)</f>
        <v/>
      </c>
      <c r="E10469" s="41" t="str">
        <f aca="false">IFERROR(INDEX($L$10468:$L$10471,MATCH($O10469,$N$10468:$N$10471,0)),"")</f>
        <v/>
      </c>
      <c r="F10469" s="41" t="str">
        <f aca="false">IF(E10469="","",E10469-C10469)</f>
        <v/>
      </c>
      <c r="J10469" s="25" t="str">
        <f aca="false">Lib_Paye</f>
        <v>Mission sociale (bulletins de paie, DSN, déclarations sociales)</v>
      </c>
      <c r="K10469" s="25" t="n">
        <f aca="false">IF($K$10441=0,0,N(INDEX(Clients!$L$2:$L$501,$K$10441)))</f>
        <v>0</v>
      </c>
      <c r="L10469" s="25" t="n">
        <f aca="false">IF($K$10441=0,0,N(INDEX(Clients!$Q$2:$Q$501,$K$10441)))</f>
        <v>0</v>
      </c>
      <c r="M10469" s="25" t="n">
        <f aca="false">IF(OR(K10469&lt;&gt;0,L10469&lt;&gt;0),1,0)</f>
        <v>0</v>
      </c>
      <c r="N10469" s="25" t="str">
        <f aca="false">IF(M10469=1,SUM($M$10468:M10469),"")</f>
        <v/>
      </c>
      <c r="O10469" s="25" t="n">
        <v>2</v>
      </c>
    </row>
    <row r="10470" customFormat="false" ht="16.5" hidden="false" customHeight="true" outlineLevel="0" collapsed="false">
      <c r="B10470" s="40" t="str">
        <f aca="false">IFERROR(INDEX($J$10468:$J$10471,MATCH($O10470,$N$10468:$N$10471,0)),"")</f>
        <v/>
      </c>
      <c r="C10470" s="41" t="str">
        <f aca="false">IFERROR(INDEX($K$10468:$K$10471,MATCH($O10470,$N$10468:$N$10471,0)),"")</f>
        <v/>
      </c>
      <c r="D10470" s="42" t="str">
        <f aca="false">IF(OR(E10470="",N(C10470)=0),"",E10470/C10470-1)</f>
        <v/>
      </c>
      <c r="E10470" s="41" t="str">
        <f aca="false">IFERROR(INDEX($L$10468:$L$10471,MATCH($O10470,$N$10468:$N$10471,0)),"")</f>
        <v/>
      </c>
      <c r="F10470" s="41" t="str">
        <f aca="false">IF(E10470="","",E10470-C10470)</f>
        <v/>
      </c>
      <c r="J10470" s="25" t="str">
        <f aca="false">Lib_Jur</f>
        <v>Mission juridique (approbation des comptes, secrétariat juridique)</v>
      </c>
      <c r="K10470" s="25" t="n">
        <f aca="false">IF($K$10441=0,0,N(INDEX(Clients!$M$2:$M$501,$K$10441)))</f>
        <v>0</v>
      </c>
      <c r="L10470" s="25" t="n">
        <f aca="false">IF($K$10441=0,0,N(INDEX(Clients!$R$2:$R$501,$K$10441)))</f>
        <v>0</v>
      </c>
      <c r="M10470" s="25" t="n">
        <f aca="false">IF(OR(K10470&lt;&gt;0,L10470&lt;&gt;0),1,0)</f>
        <v>0</v>
      </c>
      <c r="N10470" s="25" t="str">
        <f aca="false">IF(M10470=1,SUM($M$10468:M10470),"")</f>
        <v/>
      </c>
      <c r="O10470" s="25" t="n">
        <v>3</v>
      </c>
    </row>
    <row r="10471" customFormat="false" ht="16.5" hidden="false" customHeight="true" outlineLevel="0" collapsed="false">
      <c r="B10471" s="40" t="str">
        <f aca="false">IFERROR(INDEX($J$10468:$J$10471,MATCH($O10471,$N$10468:$N$10471,0)),"")</f>
        <v/>
      </c>
      <c r="C10471" s="41" t="str">
        <f aca="false">IFERROR(INDEX($K$10468:$K$10471,MATCH($O10471,$N$10468:$N$10471,0)),"")</f>
        <v/>
      </c>
      <c r="D10471" s="42" t="str">
        <f aca="false">IF(OR(E10471="",N(C10471)=0),"",E10471/C10471-1)</f>
        <v/>
      </c>
      <c r="E10471" s="41" t="str">
        <f aca="false">IFERROR(INDEX($L$10468:$L$10471,MATCH($O10471,$N$10468:$N$10471,0)),"")</f>
        <v/>
      </c>
      <c r="F10471" s="41" t="str">
        <f aca="false">IF(E10471="","",E10471-C10471)</f>
        <v/>
      </c>
      <c r="J10471" s="25" t="str">
        <f aca="false">Lib_PA</f>
        <v>Plateforme agréée – facturation électronique</v>
      </c>
      <c r="K10471" s="25" t="n">
        <f aca="false">IF($K$10441=0,0,N(INDEX(Clients!$N$2:$N$501,$K$10441)))</f>
        <v>0</v>
      </c>
      <c r="L10471" s="25" t="n">
        <f aca="false">IF($K$10441=0,0,N(INDEX(Clients!$S$2:$S$501,$K$10441)))</f>
        <v>0</v>
      </c>
      <c r="M10471" s="25" t="n">
        <f aca="false">IF(OR(K10471&lt;&gt;0,L10471&lt;&gt;0),1,0)</f>
        <v>0</v>
      </c>
      <c r="N10471" s="25" t="str">
        <f aca="false">IF(M10471=1,SUM($M$10468:M10471),"")</f>
        <v/>
      </c>
      <c r="O10471" s="25" t="n">
        <v>4</v>
      </c>
    </row>
    <row r="10472" customFormat="false" ht="18" hidden="false" customHeight="true" outlineLevel="0" collapsed="false">
      <c r="B10472" s="43" t="s">
        <v>158</v>
      </c>
      <c r="C10472" s="44" t="n">
        <f aca="false">SUM(K10468:K10471)</f>
        <v>0</v>
      </c>
      <c r="D10472" s="45" t="str">
        <f aca="false">IF(N(C10472)=0,"",E10472/C10472-1)</f>
        <v/>
      </c>
      <c r="E10472" s="44" t="n">
        <f aca="false">SUM(L10468:L10471)</f>
        <v>0</v>
      </c>
      <c r="F10472" s="44" t="n">
        <f aca="false">E10472-C10472</f>
        <v>0</v>
      </c>
    </row>
    <row r="10473" customFormat="false" ht="15" hidden="false" customHeight="false" outlineLevel="0" collapsed="false">
      <c r="B10473" s="46" t="str">
        <f aca="false">IF(N(Nb_Mensualites)=0,"","Soit "&amp;FIXED(E10472/Nb_Mensualites,2)&amp;" € HT par échéance ("&amp;Nb_Mensualites&amp;" échéances), "&amp;FIXED(E10472/Nb_Mensualites*(1+Taux_TVA),2)&amp;" € TTC.")</f>
        <v>Soit 0.00 € HT par échéance (12 échéances), 0.00 € TTC.</v>
      </c>
      <c r="C10473" s="46"/>
      <c r="D10473" s="46"/>
      <c r="E10473" s="46"/>
      <c r="F10473" s="46"/>
    </row>
    <row r="10474" customFormat="false" ht="7.5" hidden="false" customHeight="true" outlineLevel="0" collapsed="false">
      <c r="B10474" s="10"/>
      <c r="C10474" s="10"/>
      <c r="D10474" s="10"/>
      <c r="E10474" s="10"/>
      <c r="F10474" s="10"/>
    </row>
    <row r="10475" customFormat="false" ht="36.75" hidden="false" customHeight="true" outlineLevel="0" collapsed="false">
      <c r="B10475" s="37" t="str">
        <f aca="false">SUBSTITUTE(SUBSTITUTE(SUBSTITUTE(SUBSTITUTE(SUBSTITUTE(Txt_P5,"{cabinet}",Cab_Nom),"{societe}",IF($K$10441=0,"",INDEX(Clients!$E$2:$E$501,$K$10441)&amp;"")),"{date_effet}",$K$10443),"{hausse}",$K$10444),"{civilite}",$K$10442)</f>
        <v>Les autres conditions de votre lettre de mission demeurent inchangées. Les nouveaux montants seront appliqués automatiquement sur vos prochaines factures et échéances de prélèvement.</v>
      </c>
      <c r="C10475" s="37"/>
      <c r="D10475" s="37"/>
      <c r="E10475" s="37"/>
      <c r="F10475" s="37"/>
    </row>
    <row r="10476" customFormat="false" ht="36.75" hidden="false" customHeight="true" outlineLevel="0" collapsed="false">
      <c r="B10476" s="37" t="str">
        <f aca="false">SUBSTITUTE(SUBSTITUTE(SUBSTITUTE(SUBSTITUTE(SUBSTITUTE(Txt_P6,"{cabinet}",Cab_Nom),"{societe}",IF($K$10441=0,"",INDEX(Clients!$E$2:$E$501,$K$10441)&amp;"")),"{date_effet}",$K$10443),"{hausse}",$K$10444),"{civilite}",$K$10442)</f>
        <v>Votre interlocuteur habituel reste à votre entière disposition pour répondre à vos questions et faire le point sur l'évolution de vos besoins.</v>
      </c>
      <c r="C10476" s="37"/>
      <c r="D10476" s="37"/>
      <c r="E10476" s="37"/>
      <c r="F10476" s="37"/>
    </row>
    <row r="10477" customFormat="false" ht="24" hidden="false" customHeight="true" outlineLevel="0" collapsed="false">
      <c r="B10477" s="37" t="str">
        <f aca="false">SUBSTITUTE(SUBSTITUTE(SUBSTITUTE(SUBSTITUTE(SUBSTITUTE(Txt_Politesse,"{cabinet}",Cab_Nom),"{societe}",IF($K$10441=0,"",INDEX(Clients!$E$2:$E$501,$K$10441)&amp;"")),"{date_effet}",$K$10443),"{hausse}",$K$10444),"{civilite}",$K$10442)</f>
        <v>Nous vous prions d'agréer, Madame, Monsieur, l'expression de nos salutations distinguées.</v>
      </c>
      <c r="C10477" s="37"/>
      <c r="D10477" s="37"/>
      <c r="E10477" s="37"/>
      <c r="F10477" s="37"/>
    </row>
    <row r="10478" customFormat="false" ht="15" hidden="false" customHeight="false" outlineLevel="0" collapsed="false">
      <c r="B10478" s="10"/>
      <c r="C10478" s="10"/>
      <c r="D10478" s="10"/>
      <c r="E10478" s="10"/>
      <c r="F10478" s="10"/>
    </row>
    <row r="10479" customFormat="false" ht="15" hidden="false" customHeight="false" outlineLevel="0" collapsed="false">
      <c r="B10479" s="10"/>
      <c r="C10479" s="10"/>
      <c r="D10479" s="34" t="str">
        <f aca="false">Signataire</f>
        <v>Prénom NOM</v>
      </c>
      <c r="E10479" s="34"/>
      <c r="F10479" s="34"/>
    </row>
    <row r="10480" customFormat="false" ht="15" hidden="false" customHeight="false" outlineLevel="0" collapsed="false">
      <c r="B10480" s="10"/>
      <c r="C10480" s="10"/>
      <c r="D10480" s="47" t="str">
        <f aca="false">Signataire_Titre</f>
        <v>Expert-comptable associé</v>
      </c>
      <c r="E10480" s="47"/>
      <c r="F10480" s="47"/>
    </row>
    <row r="10481" customFormat="false" ht="15.75" hidden="false" customHeight="true" outlineLevel="0" collapsed="false">
      <c r="B10481" s="10"/>
      <c r="C10481" s="10"/>
      <c r="D10481" s="10"/>
      <c r="E10481" s="10"/>
      <c r="F10481" s="10"/>
    </row>
    <row r="10482" customFormat="false" ht="15.75" hidden="false" customHeight="true" outlineLevel="0" collapsed="false">
      <c r="B10482" s="10"/>
      <c r="C10482" s="10"/>
      <c r="D10482" s="10"/>
      <c r="E10482" s="10"/>
      <c r="F10482" s="10"/>
    </row>
    <row r="10483" customFormat="false" ht="15.75" hidden="false" customHeight="true" outlineLevel="0" collapsed="false">
      <c r="B10483" s="10"/>
      <c r="C10483" s="10"/>
      <c r="D10483" s="10"/>
      <c r="E10483" s="10"/>
      <c r="F10483" s="10"/>
    </row>
    <row r="10484" customFormat="false" ht="15.75" hidden="false" customHeight="true" outlineLevel="0" collapsed="false">
      <c r="B10484" s="10"/>
      <c r="C10484" s="10"/>
      <c r="D10484" s="10"/>
      <c r="E10484" s="10"/>
      <c r="F10484" s="10"/>
    </row>
    <row r="10485" customFormat="false" ht="24" hidden="false" customHeight="true" outlineLevel="0" collapsed="false">
      <c r="B10485" s="48" t="str">
        <f aca="false">Cab_Mentions</f>
        <v>ALTHO EXPERTISE · SAS au capital de 10 000 € · RCS Pontoise 919 706 325 · TVA FR62919706325 · Société d'expertise comptable inscrite au Tableau de l'Ordre des experts-comptables de Paris Île-de-France</v>
      </c>
      <c r="C10485" s="48"/>
      <c r="D10485" s="48"/>
      <c r="E10485" s="48"/>
      <c r="F10485" s="48"/>
    </row>
    <row r="10486" customFormat="false" ht="15" hidden="false" customHeight="false" outlineLevel="0" collapsed="false">
      <c r="B10486" s="10"/>
      <c r="C10486" s="10"/>
      <c r="D10486" s="10"/>
      <c r="E10486" s="10"/>
      <c r="F10486" s="10"/>
      <c r="J10486" s="25" t="s">
        <v>142</v>
      </c>
      <c r="K10486" s="25" t="n">
        <f aca="false">IFERROR(MATCH(234,Clients!$Z$2:$Z$501,0),0)</f>
        <v>0</v>
      </c>
      <c r="L10486" s="25"/>
      <c r="M10486" s="25"/>
      <c r="N10486" s="25"/>
      <c r="O10486" s="25"/>
    </row>
    <row r="10487" customFormat="false" ht="21.75" hidden="false" customHeight="true" outlineLevel="0" collapsed="false">
      <c r="B10487" s="26" t="str">
        <f aca="false">Cab_Nom</f>
        <v>ALTHO EXPERTISE</v>
      </c>
      <c r="C10487" s="26"/>
      <c r="D10487" s="10"/>
      <c r="E10487" s="27" t="str">
        <f aca="false">IF($K$10486=0,"","Réf. client : "&amp;INDEX(Clients!$A$2:$A$501,$K$10486))</f>
        <v/>
      </c>
      <c r="F10487" s="27"/>
      <c r="J10487" s="25" t="s">
        <v>144</v>
      </c>
      <c r="K10487" s="25" t="str">
        <f aca="false">IF(IF($K$10486=0,"",INDEX(Clients!$B$2:$B$501,$K$10486)&amp;"")="Mme","Madame",IF(IF($K$10486=0,"",INDEX(Clients!$B$2:$B$501,$K$10486)&amp;"")="M.","Monsieur","Madame, Monsieur"))</f>
        <v>Madame, Monsieur</v>
      </c>
      <c r="L10487" s="25"/>
      <c r="M10487" s="25"/>
      <c r="N10487" s="25"/>
      <c r="O10487" s="25"/>
    </row>
    <row r="10488" customFormat="false" ht="15" hidden="false" customHeight="false" outlineLevel="0" collapsed="false">
      <c r="B10488" s="29" t="str">
        <f aca="false">Cab_Adr1</f>
        <v>141 rue Charles de Gaulle</v>
      </c>
      <c r="C10488" s="29"/>
      <c r="D10488" s="10"/>
      <c r="E10488" s="10"/>
      <c r="F10488" s="10"/>
      <c r="J10488" s="25" t="s">
        <v>145</v>
      </c>
      <c r="K10488" s="25" t="str">
        <f aca="false">DAY(Date_Effet)&amp;IF(DAY(Date_Effet)=1,"er","")&amp;" "&amp;INDEX(Liste_Mois,MONTH(Date_Effet))&amp;" "&amp;YEAR(Date_Effet)</f>
        <v>1er janvier 2027</v>
      </c>
      <c r="L10488" s="25"/>
      <c r="M10488" s="25"/>
      <c r="N10488" s="25"/>
      <c r="O10488" s="25"/>
    </row>
    <row r="10489" customFormat="false" ht="15" hidden="false" customHeight="false" outlineLevel="0" collapsed="false">
      <c r="B10489" s="29" t="str">
        <f aca="false">Cab_CPVille</f>
        <v>95130 LE PLESSIS-BOUCHARD</v>
      </c>
      <c r="C10489" s="29"/>
      <c r="D10489" s="10"/>
      <c r="E10489" s="10"/>
      <c r="F10489" s="10"/>
      <c r="J10489" s="25" t="s">
        <v>146</v>
      </c>
      <c r="K10489" s="25" t="str">
        <f aca="false">IF(SUM($K$10513:$K$10516)=0,"",FIXED((SUM($L$10513:$L$10516)/SUM($K$10513:$K$10516)-1)*100,1)&amp;" %")</f>
        <v/>
      </c>
      <c r="L10489" s="25"/>
      <c r="M10489" s="25"/>
      <c r="N10489" s="25"/>
      <c r="O10489" s="25"/>
    </row>
    <row r="10490" customFormat="false" ht="15" hidden="false" customHeight="false" outlineLevel="0" collapsed="false">
      <c r="B10490" s="29" t="str">
        <f aca="false">Cab_Contact</f>
        <v>Tél. 01 34 14 53 45  ·  altho@altho-experts.com  ·  altho-experts.com</v>
      </c>
      <c r="C10490" s="29"/>
      <c r="D10490" s="10"/>
      <c r="E10490" s="10"/>
      <c r="F10490" s="10"/>
      <c r="J10490" s="25"/>
      <c r="K10490" s="25"/>
      <c r="L10490" s="25"/>
      <c r="M10490" s="25"/>
      <c r="N10490" s="25"/>
      <c r="O10490" s="25"/>
    </row>
    <row r="10491" customFormat="false" ht="6" hidden="false" customHeight="true" outlineLevel="0" collapsed="false">
      <c r="B10491" s="32"/>
      <c r="C10491" s="32"/>
      <c r="D10491" s="32"/>
      <c r="E10491" s="32"/>
      <c r="F10491" s="32"/>
      <c r="J10491" s="25"/>
      <c r="K10491" s="25"/>
      <c r="L10491" s="25"/>
      <c r="M10491" s="25"/>
      <c r="N10491" s="25"/>
      <c r="O10491" s="25"/>
    </row>
    <row r="10492" customFormat="false" ht="13.5" hidden="false" customHeight="true" outlineLevel="0" collapsed="false">
      <c r="B10492" s="10"/>
      <c r="C10492" s="10"/>
      <c r="D10492" s="10"/>
      <c r="E10492" s="10"/>
      <c r="F10492" s="10"/>
      <c r="J10492" s="25"/>
      <c r="K10492" s="25"/>
      <c r="L10492" s="25"/>
      <c r="M10492" s="25"/>
      <c r="N10492" s="25"/>
      <c r="O10492" s="25"/>
    </row>
    <row r="10493" customFormat="false" ht="13.5" hidden="false" customHeight="true" outlineLevel="0" collapsed="false">
      <c r="B10493" s="10"/>
      <c r="C10493" s="10"/>
      <c r="D10493" s="10"/>
      <c r="E10493" s="10"/>
      <c r="F10493" s="10"/>
      <c r="J10493" s="25"/>
      <c r="K10493" s="25"/>
      <c r="L10493" s="25"/>
      <c r="M10493" s="25"/>
      <c r="N10493" s="25"/>
      <c r="O10493" s="25"/>
    </row>
    <row r="10494" customFormat="false" ht="13.5" hidden="false" customHeight="true" outlineLevel="0" collapsed="false">
      <c r="B10494" s="10"/>
      <c r="C10494" s="10"/>
      <c r="D10494" s="10"/>
      <c r="E10494" s="10"/>
      <c r="F10494" s="10"/>
      <c r="J10494" s="25"/>
      <c r="K10494" s="25"/>
      <c r="L10494" s="25"/>
      <c r="M10494" s="25"/>
      <c r="N10494" s="25"/>
      <c r="O10494" s="25"/>
    </row>
    <row r="10495" customFormat="false" ht="15" hidden="false" customHeight="true" outlineLevel="0" collapsed="false">
      <c r="B10495" s="10"/>
      <c r="C10495" s="10"/>
      <c r="D10495" s="34" t="str">
        <f aca="false">IF($K$10486=0,"",INDEX(Clients!$E$2:$E$501,$K$10486)&amp;"")</f>
        <v/>
      </c>
      <c r="E10495" s="34"/>
      <c r="F10495" s="34"/>
      <c r="J10495" s="25"/>
      <c r="K10495" s="25"/>
      <c r="L10495" s="25"/>
      <c r="M10495" s="25"/>
      <c r="N10495" s="25"/>
      <c r="O10495" s="25"/>
    </row>
    <row r="10496" customFormat="false" ht="15" hidden="false" customHeight="true" outlineLevel="0" collapsed="false">
      <c r="B10496" s="10"/>
      <c r="C10496" s="10"/>
      <c r="D10496" s="35" t="str">
        <f aca="false">IF(IF($K$10486=0,"",INDEX(Clients!$D$2:$D$501,$K$10486)&amp;"")="","","À l'attention de "&amp;TRIM(IF($K$10486=0,"",INDEX(Clients!$B$2:$B$501,$K$10486)&amp;"")&amp;" "&amp;IF($K$10486=0,"",INDEX(Clients!$C$2:$C$501,$K$10486)&amp;"")&amp;" "&amp;IF($K$10486=0,"",INDEX(Clients!$D$2:$D$501,$K$10486)&amp;"")))</f>
        <v/>
      </c>
      <c r="E10496" s="35"/>
      <c r="F10496" s="35"/>
      <c r="J10496" s="25"/>
      <c r="K10496" s="25"/>
      <c r="L10496" s="25"/>
      <c r="M10496" s="25"/>
      <c r="N10496" s="25"/>
      <c r="O10496" s="25"/>
    </row>
    <row r="10497" customFormat="false" ht="15" hidden="false" customHeight="true" outlineLevel="0" collapsed="false">
      <c r="B10497" s="10"/>
      <c r="C10497" s="10"/>
      <c r="D10497" s="35" t="str">
        <f aca="false">IF($K$10486=0,"",INDEX(Clients!$F$2:$F$501,$K$10486)&amp;"")</f>
        <v/>
      </c>
      <c r="E10497" s="35"/>
      <c r="F10497" s="35"/>
      <c r="J10497" s="25"/>
      <c r="K10497" s="25"/>
      <c r="L10497" s="25"/>
      <c r="M10497" s="25"/>
      <c r="N10497" s="25"/>
      <c r="O10497" s="25"/>
    </row>
    <row r="10498" customFormat="false" ht="15" hidden="false" customHeight="true" outlineLevel="0" collapsed="false">
      <c r="B10498" s="10"/>
      <c r="C10498" s="10"/>
      <c r="D10498" s="35" t="str">
        <f aca="false">IF(IF($K$10486=0,"",INDEX(Clients!$G$2:$G$501,$K$10486)&amp;"")="",TRIM(IF($K$10486=0,"",INDEX(Clients!$H$2:$H$501,$K$10486)&amp;"")&amp;" "&amp;UPPER(IF($K$10486=0,"",INDEX(Clients!$I$2:$I$501,$K$10486)&amp;""))),IF($K$10486=0,"",INDEX(Clients!$G$2:$G$501,$K$10486)&amp;""))</f>
        <v/>
      </c>
      <c r="E10498" s="35"/>
      <c r="F10498" s="35"/>
      <c r="J10498" s="25"/>
      <c r="K10498" s="25"/>
      <c r="L10498" s="25"/>
      <c r="M10498" s="25"/>
      <c r="N10498" s="25"/>
      <c r="O10498" s="25"/>
    </row>
    <row r="10499" customFormat="false" ht="15" hidden="false" customHeight="true" outlineLevel="0" collapsed="false">
      <c r="B10499" s="10"/>
      <c r="C10499" s="10"/>
      <c r="D10499" s="35" t="str">
        <f aca="false">IF(IF($K$10486=0,"",INDEX(Clients!$G$2:$G$501,$K$10486)&amp;"")="","",TRIM(IF($K$10486=0,"",INDEX(Clients!$H$2:$H$501,$K$10486)&amp;"")&amp;" "&amp;UPPER(IF($K$10486=0,"",INDEX(Clients!$I$2:$I$501,$K$10486)&amp;""))))</f>
        <v/>
      </c>
      <c r="E10499" s="35"/>
      <c r="F10499" s="35"/>
      <c r="J10499" s="25"/>
      <c r="K10499" s="25"/>
      <c r="L10499" s="25"/>
      <c r="M10499" s="25"/>
      <c r="N10499" s="25"/>
      <c r="O10499" s="25"/>
    </row>
    <row r="10500" customFormat="false" ht="25.5" hidden="false" customHeight="true" outlineLevel="0" collapsed="false">
      <c r="B10500" s="10"/>
      <c r="C10500" s="10"/>
      <c r="D10500" s="10"/>
      <c r="E10500" s="10"/>
      <c r="F10500" s="10"/>
      <c r="J10500" s="25"/>
      <c r="K10500" s="25"/>
      <c r="L10500" s="25"/>
      <c r="M10500" s="25"/>
      <c r="N10500" s="25"/>
      <c r="O10500" s="25"/>
    </row>
    <row r="10501" customFormat="false" ht="15" hidden="false" customHeight="false" outlineLevel="0" collapsed="false">
      <c r="B10501" s="10"/>
      <c r="C10501" s="10"/>
      <c r="D10501" s="36" t="str">
        <f aca="false">Cab_Ville&amp;", le "&amp;DAY(Date_Courrier)&amp;IF(DAY(Date_Courrier)=1,"er","")&amp;" "&amp;INDEX(Liste_Mois,MONTH(Date_Courrier))&amp;" "&amp;YEAR(Date_Courrier)</f>
        <v>Le Plessis-Bouchard, le 22 septembre 2026</v>
      </c>
      <c r="E10501" s="36"/>
      <c r="F10501" s="36"/>
      <c r="J10501" s="25"/>
      <c r="K10501" s="25"/>
      <c r="L10501" s="25"/>
      <c r="M10501" s="25"/>
      <c r="N10501" s="25"/>
      <c r="O10501" s="25"/>
    </row>
    <row r="10502" customFormat="false" ht="19.5" hidden="false" customHeight="true" outlineLevel="0" collapsed="false">
      <c r="B10502" s="10"/>
      <c r="C10502" s="10"/>
      <c r="D10502" s="10"/>
      <c r="E10502" s="10"/>
      <c r="F10502" s="10"/>
      <c r="J10502" s="25"/>
      <c r="K10502" s="25"/>
      <c r="L10502" s="25"/>
      <c r="M10502" s="25"/>
      <c r="N10502" s="25"/>
      <c r="O10502" s="25"/>
    </row>
    <row r="10503" customFormat="false" ht="15" hidden="false" customHeight="false" outlineLevel="0" collapsed="false">
      <c r="B10503" s="34" t="str">
        <f aca="false">SUBSTITUTE(SUBSTITUTE(SUBSTITUTE(SUBSTITUTE(SUBSTITUTE(Txt_Objet,"{cabinet}",Cab_Nom),"{societe}",IF($K$10486=0,"",INDEX(Clients!$E$2:$E$501,$K$10486)&amp;"")),"{date_effet}",$K$10488),"{hausse}",$K$10489),"{civilite}",$K$10487)</f>
        <v>Objet : révision de nos honoraires au 1er janvier 2027</v>
      </c>
      <c r="C10503" s="34"/>
      <c r="D10503" s="34"/>
      <c r="E10503" s="34"/>
      <c r="F10503" s="34"/>
      <c r="J10503" s="25"/>
      <c r="K10503" s="25"/>
      <c r="L10503" s="25"/>
      <c r="M10503" s="25"/>
      <c r="N10503" s="25"/>
      <c r="O10503" s="25"/>
    </row>
    <row r="10504" customFormat="false" ht="13.5" hidden="false" customHeight="true" outlineLevel="0" collapsed="false">
      <c r="B10504" s="10"/>
      <c r="C10504" s="10"/>
      <c r="D10504" s="10"/>
      <c r="E10504" s="10"/>
      <c r="F10504" s="10"/>
      <c r="J10504" s="25"/>
      <c r="K10504" s="25"/>
      <c r="L10504" s="25"/>
      <c r="M10504" s="25"/>
      <c r="N10504" s="25"/>
      <c r="O10504" s="25"/>
    </row>
    <row r="10505" customFormat="false" ht="15" hidden="false" customHeight="false" outlineLevel="0" collapsed="false">
      <c r="B10505" s="10" t="str">
        <f aca="false">$K$10487&amp;","</f>
        <v>Madame, Monsieur,</v>
      </c>
      <c r="C10505" s="10"/>
      <c r="D10505" s="10"/>
      <c r="E10505" s="10"/>
      <c r="F10505" s="10"/>
      <c r="J10505" s="25"/>
      <c r="K10505" s="25"/>
      <c r="L10505" s="25"/>
      <c r="M10505" s="25"/>
      <c r="N10505" s="25"/>
      <c r="O10505" s="25"/>
    </row>
    <row r="10506" customFormat="false" ht="6" hidden="false" customHeight="true" outlineLevel="0" collapsed="false">
      <c r="B10506" s="10"/>
      <c r="C10506" s="10"/>
      <c r="D10506" s="10"/>
      <c r="E10506" s="10"/>
      <c r="F10506" s="10"/>
      <c r="J10506" s="25"/>
      <c r="K10506" s="25"/>
      <c r="L10506" s="25"/>
      <c r="M10506" s="25"/>
      <c r="N10506" s="25"/>
      <c r="O10506" s="25"/>
    </row>
    <row r="10507" customFormat="false" ht="36.75" hidden="false" customHeight="true" outlineLevel="0" collapsed="false">
      <c r="B10507" s="37" t="str">
        <f aca="false">SUBSTITUTE(SUBSTITUTE(SUBSTITUTE(SUBSTITUTE(SUBSTITUTE(Txt_P1,"{cabinet}",Cab_Nom),"{societe}",IF($K$10486=0,"",INDEX(Clients!$E$2:$E$501,$K$10486)&amp;"")),"{date_effet}",$K$10488),"{hausse}",$K$10489),"{civilite}",$K$10487)</f>
        <v>Nous tenons tout d'abord à vous remercier pour la confiance que vous accordez à ALTHO EXPERTISE. Comme chaque année, et conformément aux dispositions de votre lettre de mission, nous procédons à la révision de nos honoraires.</v>
      </c>
      <c r="C10507" s="37"/>
      <c r="D10507" s="37"/>
      <c r="E10507" s="37"/>
      <c r="F10507" s="37"/>
      <c r="J10507" s="25"/>
      <c r="K10507" s="25"/>
      <c r="L10507" s="25"/>
      <c r="M10507" s="25"/>
      <c r="N10507" s="25"/>
      <c r="O10507" s="25"/>
    </row>
    <row r="10508" customFormat="false" ht="49.5" hidden="false" customHeight="true" outlineLevel="0" collapsed="false">
      <c r="B10508" s="37" t="str">
        <f aca="false">SUBSTITUTE(SUBSTITUTE(SUBSTITUTE(SUBSTITUTE(SUBSTITUTE(Txt_P2,"{cabinet}",Cab_Nom),"{societe}",IF($K$10486=0,"",INDEX(Clients!$E$2:$E$501,$K$10486)&amp;"")),"{date_effet}",$K$10488),"{hausse}",$K$10489),"{civilite}",$K$10487)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508" s="37"/>
      <c r="D10508" s="37"/>
      <c r="E10508" s="37"/>
      <c r="F10508" s="37"/>
      <c r="J10508" s="25"/>
      <c r="K10508" s="25"/>
      <c r="L10508" s="25"/>
      <c r="M10508" s="25"/>
      <c r="N10508" s="25"/>
      <c r="O10508" s="25"/>
    </row>
    <row r="10509" customFormat="false" ht="63" hidden="false" customHeight="true" outlineLevel="0" collapsed="false">
      <c r="B10509" s="37" t="str">
        <f aca="false">SUBSTITUTE(SUBSTITUTE(SUBSTITUTE(SUBSTITUTE(SUBSTITUTE(Txt_P3,"{cabinet}",Cab_Nom),"{societe}",IF($K$10486=0,"",INDEX(Clients!$E$2:$E$501,$K$10486)&amp;"")),"{date_effet}",$K$10488),"{hausse}",$K$10489),"{civilite}",$K$10487)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509" s="37"/>
      <c r="D10509" s="37"/>
      <c r="E10509" s="37"/>
      <c r="F10509" s="37"/>
      <c r="J10509" s="25"/>
      <c r="K10509" s="25"/>
      <c r="L10509" s="25"/>
      <c r="M10509" s="25"/>
      <c r="N10509" s="25"/>
      <c r="O10509" s="25"/>
    </row>
    <row r="10510" customFormat="false" ht="24" hidden="false" customHeight="true" outlineLevel="0" collapsed="false">
      <c r="B10510" s="37" t="str">
        <f aca="false">SUBSTITUTE(SUBSTITUTE(SUBSTITUTE(SUBSTITUTE(SUBSTITUTE(Txt_P4,"{cabinet}",Cab_Nom),"{societe}",IF($K$10486=0,"",INDEX(Clients!$E$2:$E$501,$K$10486)&amp;"")),"{date_effet}",$K$10488),"{hausse}",$K$10489),"{civilite}",$K$10487)</f>
        <v>À compter du 1er janvier 2027, vos honoraires annuels hors taxes évolueront ainsi (évolution globale : ) :</v>
      </c>
      <c r="C10510" s="37"/>
      <c r="D10510" s="37"/>
      <c r="E10510" s="37"/>
      <c r="F10510" s="37"/>
      <c r="J10510" s="25"/>
      <c r="K10510" s="25"/>
      <c r="L10510" s="25"/>
      <c r="M10510" s="25"/>
      <c r="N10510" s="25"/>
      <c r="O10510" s="25"/>
    </row>
    <row r="10511" customFormat="false" ht="3.75" hidden="false" customHeight="true" outlineLevel="0" collapsed="false">
      <c r="B10511" s="10"/>
      <c r="C10511" s="10"/>
      <c r="D10511" s="10"/>
      <c r="E10511" s="10"/>
      <c r="F10511" s="10"/>
      <c r="J10511" s="25"/>
      <c r="K10511" s="25"/>
      <c r="L10511" s="25"/>
      <c r="M10511" s="25"/>
      <c r="N10511" s="25"/>
      <c r="O10511" s="25"/>
    </row>
    <row r="10512" customFormat="false" ht="18" hidden="false" customHeight="true" outlineLevel="0" collapsed="false">
      <c r="B10512" s="38" t="s">
        <v>148</v>
      </c>
      <c r="C10512" s="39" t="s">
        <v>149</v>
      </c>
      <c r="D10512" s="39" t="s">
        <v>150</v>
      </c>
      <c r="E10512" s="39" t="s">
        <v>151</v>
      </c>
      <c r="F10512" s="39" t="s">
        <v>109</v>
      </c>
      <c r="J10512" s="25" t="s">
        <v>152</v>
      </c>
      <c r="K10512" s="25" t="s">
        <v>153</v>
      </c>
      <c r="L10512" s="25" t="s">
        <v>154</v>
      </c>
      <c r="M10512" s="25" t="s">
        <v>155</v>
      </c>
      <c r="N10512" s="25" t="s">
        <v>156</v>
      </c>
      <c r="O10512" s="25" t="s">
        <v>157</v>
      </c>
    </row>
    <row r="10513" customFormat="false" ht="16.5" hidden="false" customHeight="true" outlineLevel="0" collapsed="false">
      <c r="B10513" s="40" t="str">
        <f aca="false">IFERROR(INDEX($J$10513:$J$10516,MATCH($O10513,$N$10513:$N$10516,0)),"")</f>
        <v/>
      </c>
      <c r="C10513" s="41" t="str">
        <f aca="false">IFERROR(INDEX($K$10513:$K$10516,MATCH($O10513,$N$10513:$N$10516,0)),"")</f>
        <v/>
      </c>
      <c r="D10513" s="42" t="str">
        <f aca="false">IF(OR(E10513="",N(C10513)=0),"",E10513/C10513-1)</f>
        <v/>
      </c>
      <c r="E10513" s="41" t="str">
        <f aca="false">IFERROR(INDEX($L$10513:$L$10516,MATCH($O10513,$N$10513:$N$10516,0)),"")</f>
        <v/>
      </c>
      <c r="F10513" s="41" t="str">
        <f aca="false">IF(E10513="","",E10513-C10513)</f>
        <v/>
      </c>
      <c r="J10513" s="25" t="str">
        <f aca="false">Lib_Compta</f>
        <v>Mission comptable (tenue, révision, bilan, liasse fiscale)</v>
      </c>
      <c r="K10513" s="25" t="n">
        <f aca="false">IF($K$10486=0,0,N(INDEX(Clients!$K$2:$K$501,$K$10486)))</f>
        <v>0</v>
      </c>
      <c r="L10513" s="25" t="n">
        <f aca="false">IF($K$10486=0,0,N(INDEX(Clients!$P$2:$P$501,$K$10486)))</f>
        <v>0</v>
      </c>
      <c r="M10513" s="25" t="n">
        <f aca="false">IF(OR(K10513&lt;&gt;0,L10513&lt;&gt;0),1,0)</f>
        <v>0</v>
      </c>
      <c r="N10513" s="25" t="str">
        <f aca="false">IF(M10513=1,SUM($M$10513:M10513),"")</f>
        <v/>
      </c>
      <c r="O10513" s="25" t="n">
        <v>1</v>
      </c>
    </row>
    <row r="10514" customFormat="false" ht="16.5" hidden="false" customHeight="true" outlineLevel="0" collapsed="false">
      <c r="B10514" s="40" t="str">
        <f aca="false">IFERROR(INDEX($J$10513:$J$10516,MATCH($O10514,$N$10513:$N$10516,0)),"")</f>
        <v/>
      </c>
      <c r="C10514" s="41" t="str">
        <f aca="false">IFERROR(INDEX($K$10513:$K$10516,MATCH($O10514,$N$10513:$N$10516,0)),"")</f>
        <v/>
      </c>
      <c r="D10514" s="42" t="str">
        <f aca="false">IF(OR(E10514="",N(C10514)=0),"",E10514/C10514-1)</f>
        <v/>
      </c>
      <c r="E10514" s="41" t="str">
        <f aca="false">IFERROR(INDEX($L$10513:$L$10516,MATCH($O10514,$N$10513:$N$10516,0)),"")</f>
        <v/>
      </c>
      <c r="F10514" s="41" t="str">
        <f aca="false">IF(E10514="","",E10514-C10514)</f>
        <v/>
      </c>
      <c r="J10514" s="25" t="str">
        <f aca="false">Lib_Paye</f>
        <v>Mission sociale (bulletins de paie, DSN, déclarations sociales)</v>
      </c>
      <c r="K10514" s="25" t="n">
        <f aca="false">IF($K$10486=0,0,N(INDEX(Clients!$L$2:$L$501,$K$10486)))</f>
        <v>0</v>
      </c>
      <c r="L10514" s="25" t="n">
        <f aca="false">IF($K$10486=0,0,N(INDEX(Clients!$Q$2:$Q$501,$K$10486)))</f>
        <v>0</v>
      </c>
      <c r="M10514" s="25" t="n">
        <f aca="false">IF(OR(K10514&lt;&gt;0,L10514&lt;&gt;0),1,0)</f>
        <v>0</v>
      </c>
      <c r="N10514" s="25" t="str">
        <f aca="false">IF(M10514=1,SUM($M$10513:M10514),"")</f>
        <v/>
      </c>
      <c r="O10514" s="25" t="n">
        <v>2</v>
      </c>
    </row>
    <row r="10515" customFormat="false" ht="16.5" hidden="false" customHeight="true" outlineLevel="0" collapsed="false">
      <c r="B10515" s="40" t="str">
        <f aca="false">IFERROR(INDEX($J$10513:$J$10516,MATCH($O10515,$N$10513:$N$10516,0)),"")</f>
        <v/>
      </c>
      <c r="C10515" s="41" t="str">
        <f aca="false">IFERROR(INDEX($K$10513:$K$10516,MATCH($O10515,$N$10513:$N$10516,0)),"")</f>
        <v/>
      </c>
      <c r="D10515" s="42" t="str">
        <f aca="false">IF(OR(E10515="",N(C10515)=0),"",E10515/C10515-1)</f>
        <v/>
      </c>
      <c r="E10515" s="41" t="str">
        <f aca="false">IFERROR(INDEX($L$10513:$L$10516,MATCH($O10515,$N$10513:$N$10516,0)),"")</f>
        <v/>
      </c>
      <c r="F10515" s="41" t="str">
        <f aca="false">IF(E10515="","",E10515-C10515)</f>
        <v/>
      </c>
      <c r="J10515" s="25" t="str">
        <f aca="false">Lib_Jur</f>
        <v>Mission juridique (approbation des comptes, secrétariat juridique)</v>
      </c>
      <c r="K10515" s="25" t="n">
        <f aca="false">IF($K$10486=0,0,N(INDEX(Clients!$M$2:$M$501,$K$10486)))</f>
        <v>0</v>
      </c>
      <c r="L10515" s="25" t="n">
        <f aca="false">IF($K$10486=0,0,N(INDEX(Clients!$R$2:$R$501,$K$10486)))</f>
        <v>0</v>
      </c>
      <c r="M10515" s="25" t="n">
        <f aca="false">IF(OR(K10515&lt;&gt;0,L10515&lt;&gt;0),1,0)</f>
        <v>0</v>
      </c>
      <c r="N10515" s="25" t="str">
        <f aca="false">IF(M10515=1,SUM($M$10513:M10515),"")</f>
        <v/>
      </c>
      <c r="O10515" s="25" t="n">
        <v>3</v>
      </c>
    </row>
    <row r="10516" customFormat="false" ht="16.5" hidden="false" customHeight="true" outlineLevel="0" collapsed="false">
      <c r="B10516" s="40" t="str">
        <f aca="false">IFERROR(INDEX($J$10513:$J$10516,MATCH($O10516,$N$10513:$N$10516,0)),"")</f>
        <v/>
      </c>
      <c r="C10516" s="41" t="str">
        <f aca="false">IFERROR(INDEX($K$10513:$K$10516,MATCH($O10516,$N$10513:$N$10516,0)),"")</f>
        <v/>
      </c>
      <c r="D10516" s="42" t="str">
        <f aca="false">IF(OR(E10516="",N(C10516)=0),"",E10516/C10516-1)</f>
        <v/>
      </c>
      <c r="E10516" s="41" t="str">
        <f aca="false">IFERROR(INDEX($L$10513:$L$10516,MATCH($O10516,$N$10513:$N$10516,0)),"")</f>
        <v/>
      </c>
      <c r="F10516" s="41" t="str">
        <f aca="false">IF(E10516="","",E10516-C10516)</f>
        <v/>
      </c>
      <c r="J10516" s="25" t="str">
        <f aca="false">Lib_PA</f>
        <v>Plateforme agréée – facturation électronique</v>
      </c>
      <c r="K10516" s="25" t="n">
        <f aca="false">IF($K$10486=0,0,N(INDEX(Clients!$N$2:$N$501,$K$10486)))</f>
        <v>0</v>
      </c>
      <c r="L10516" s="25" t="n">
        <f aca="false">IF($K$10486=0,0,N(INDEX(Clients!$S$2:$S$501,$K$10486)))</f>
        <v>0</v>
      </c>
      <c r="M10516" s="25" t="n">
        <f aca="false">IF(OR(K10516&lt;&gt;0,L10516&lt;&gt;0),1,0)</f>
        <v>0</v>
      </c>
      <c r="N10516" s="25" t="str">
        <f aca="false">IF(M10516=1,SUM($M$10513:M10516),"")</f>
        <v/>
      </c>
      <c r="O10516" s="25" t="n">
        <v>4</v>
      </c>
    </row>
    <row r="10517" customFormat="false" ht="18" hidden="false" customHeight="true" outlineLevel="0" collapsed="false">
      <c r="B10517" s="43" t="s">
        <v>158</v>
      </c>
      <c r="C10517" s="44" t="n">
        <f aca="false">SUM(K10513:K10516)</f>
        <v>0</v>
      </c>
      <c r="D10517" s="45" t="str">
        <f aca="false">IF(N(C10517)=0,"",E10517/C10517-1)</f>
        <v/>
      </c>
      <c r="E10517" s="44" t="n">
        <f aca="false">SUM(L10513:L10516)</f>
        <v>0</v>
      </c>
      <c r="F10517" s="44" t="n">
        <f aca="false">E10517-C10517</f>
        <v>0</v>
      </c>
    </row>
    <row r="10518" customFormat="false" ht="15" hidden="false" customHeight="false" outlineLevel="0" collapsed="false">
      <c r="B10518" s="46" t="str">
        <f aca="false">IF(N(Nb_Mensualites)=0,"","Soit "&amp;FIXED(E10517/Nb_Mensualites,2)&amp;" € HT par échéance ("&amp;Nb_Mensualites&amp;" échéances), "&amp;FIXED(E10517/Nb_Mensualites*(1+Taux_TVA),2)&amp;" € TTC.")</f>
        <v>Soit 0.00 € HT par échéance (12 échéances), 0.00 € TTC.</v>
      </c>
      <c r="C10518" s="46"/>
      <c r="D10518" s="46"/>
      <c r="E10518" s="46"/>
      <c r="F10518" s="46"/>
    </row>
    <row r="10519" customFormat="false" ht="7.5" hidden="false" customHeight="true" outlineLevel="0" collapsed="false">
      <c r="B10519" s="10"/>
      <c r="C10519" s="10"/>
      <c r="D10519" s="10"/>
      <c r="E10519" s="10"/>
      <c r="F10519" s="10"/>
    </row>
    <row r="10520" customFormat="false" ht="36.75" hidden="false" customHeight="true" outlineLevel="0" collapsed="false">
      <c r="B10520" s="37" t="str">
        <f aca="false">SUBSTITUTE(SUBSTITUTE(SUBSTITUTE(SUBSTITUTE(SUBSTITUTE(Txt_P5,"{cabinet}",Cab_Nom),"{societe}",IF($K$10486=0,"",INDEX(Clients!$E$2:$E$501,$K$10486)&amp;"")),"{date_effet}",$K$10488),"{hausse}",$K$10489),"{civilite}",$K$10487)</f>
        <v>Les autres conditions de votre lettre de mission demeurent inchangées. Les nouveaux montants seront appliqués automatiquement sur vos prochaines factures et échéances de prélèvement.</v>
      </c>
      <c r="C10520" s="37"/>
      <c r="D10520" s="37"/>
      <c r="E10520" s="37"/>
      <c r="F10520" s="37"/>
    </row>
    <row r="10521" customFormat="false" ht="36.75" hidden="false" customHeight="true" outlineLevel="0" collapsed="false">
      <c r="B10521" s="37" t="str">
        <f aca="false">SUBSTITUTE(SUBSTITUTE(SUBSTITUTE(SUBSTITUTE(SUBSTITUTE(Txt_P6,"{cabinet}",Cab_Nom),"{societe}",IF($K$10486=0,"",INDEX(Clients!$E$2:$E$501,$K$10486)&amp;"")),"{date_effet}",$K$10488),"{hausse}",$K$10489),"{civilite}",$K$10487)</f>
        <v>Votre interlocuteur habituel reste à votre entière disposition pour répondre à vos questions et faire le point sur l'évolution de vos besoins.</v>
      </c>
      <c r="C10521" s="37"/>
      <c r="D10521" s="37"/>
      <c r="E10521" s="37"/>
      <c r="F10521" s="37"/>
    </row>
    <row r="10522" customFormat="false" ht="24" hidden="false" customHeight="true" outlineLevel="0" collapsed="false">
      <c r="B10522" s="37" t="str">
        <f aca="false">SUBSTITUTE(SUBSTITUTE(SUBSTITUTE(SUBSTITUTE(SUBSTITUTE(Txt_Politesse,"{cabinet}",Cab_Nom),"{societe}",IF($K$10486=0,"",INDEX(Clients!$E$2:$E$501,$K$10486)&amp;"")),"{date_effet}",$K$10488),"{hausse}",$K$10489),"{civilite}",$K$10487)</f>
        <v>Nous vous prions d'agréer, Madame, Monsieur, l'expression de nos salutations distinguées.</v>
      </c>
      <c r="C10522" s="37"/>
      <c r="D10522" s="37"/>
      <c r="E10522" s="37"/>
      <c r="F10522" s="37"/>
    </row>
    <row r="10523" customFormat="false" ht="15" hidden="false" customHeight="false" outlineLevel="0" collapsed="false">
      <c r="B10523" s="10"/>
      <c r="C10523" s="10"/>
      <c r="D10523" s="10"/>
      <c r="E10523" s="10"/>
      <c r="F10523" s="10"/>
    </row>
    <row r="10524" customFormat="false" ht="15" hidden="false" customHeight="false" outlineLevel="0" collapsed="false">
      <c r="B10524" s="10"/>
      <c r="C10524" s="10"/>
      <c r="D10524" s="34" t="str">
        <f aca="false">Signataire</f>
        <v>Prénom NOM</v>
      </c>
      <c r="E10524" s="34"/>
      <c r="F10524" s="34"/>
    </row>
    <row r="10525" customFormat="false" ht="15" hidden="false" customHeight="false" outlineLevel="0" collapsed="false">
      <c r="B10525" s="10"/>
      <c r="C10525" s="10"/>
      <c r="D10525" s="47" t="str">
        <f aca="false">Signataire_Titre</f>
        <v>Expert-comptable associé</v>
      </c>
      <c r="E10525" s="47"/>
      <c r="F10525" s="47"/>
    </row>
    <row r="10526" customFormat="false" ht="15.75" hidden="false" customHeight="true" outlineLevel="0" collapsed="false">
      <c r="B10526" s="10"/>
      <c r="C10526" s="10"/>
      <c r="D10526" s="10"/>
      <c r="E10526" s="10"/>
      <c r="F10526" s="10"/>
    </row>
    <row r="10527" customFormat="false" ht="15.75" hidden="false" customHeight="true" outlineLevel="0" collapsed="false">
      <c r="B10527" s="10"/>
      <c r="C10527" s="10"/>
      <c r="D10527" s="10"/>
      <c r="E10527" s="10"/>
      <c r="F10527" s="10"/>
    </row>
    <row r="10528" customFormat="false" ht="15.75" hidden="false" customHeight="true" outlineLevel="0" collapsed="false">
      <c r="B10528" s="10"/>
      <c r="C10528" s="10"/>
      <c r="D10528" s="10"/>
      <c r="E10528" s="10"/>
      <c r="F10528" s="10"/>
    </row>
    <row r="10529" customFormat="false" ht="15.75" hidden="false" customHeight="true" outlineLevel="0" collapsed="false">
      <c r="B10529" s="10"/>
      <c r="C10529" s="10"/>
      <c r="D10529" s="10"/>
      <c r="E10529" s="10"/>
      <c r="F10529" s="10"/>
    </row>
    <row r="10530" customFormat="false" ht="24" hidden="false" customHeight="true" outlineLevel="0" collapsed="false">
      <c r="B10530" s="48" t="str">
        <f aca="false">Cab_Mentions</f>
        <v>ALTHO EXPERTISE · SAS au capital de 10 000 € · RCS Pontoise 919 706 325 · TVA FR62919706325 · Société d'expertise comptable inscrite au Tableau de l'Ordre des experts-comptables de Paris Île-de-France</v>
      </c>
      <c r="C10530" s="48"/>
      <c r="D10530" s="48"/>
      <c r="E10530" s="48"/>
      <c r="F10530" s="48"/>
    </row>
    <row r="10531" customFormat="false" ht="15" hidden="false" customHeight="false" outlineLevel="0" collapsed="false">
      <c r="B10531" s="10"/>
      <c r="C10531" s="10"/>
      <c r="D10531" s="10"/>
      <c r="E10531" s="10"/>
      <c r="F10531" s="10"/>
      <c r="J10531" s="25" t="s">
        <v>142</v>
      </c>
      <c r="K10531" s="25" t="n">
        <f aca="false">IFERROR(MATCH(235,Clients!$Z$2:$Z$501,0),0)</f>
        <v>0</v>
      </c>
      <c r="L10531" s="25"/>
      <c r="M10531" s="25"/>
      <c r="N10531" s="25"/>
      <c r="O10531" s="25"/>
    </row>
    <row r="10532" customFormat="false" ht="21.75" hidden="false" customHeight="true" outlineLevel="0" collapsed="false">
      <c r="B10532" s="26" t="str">
        <f aca="false">Cab_Nom</f>
        <v>ALTHO EXPERTISE</v>
      </c>
      <c r="C10532" s="26"/>
      <c r="D10532" s="10"/>
      <c r="E10532" s="27" t="str">
        <f aca="false">IF($K$10531=0,"","Réf. client : "&amp;INDEX(Clients!$A$2:$A$501,$K$10531))</f>
        <v/>
      </c>
      <c r="F10532" s="27"/>
      <c r="J10532" s="25" t="s">
        <v>144</v>
      </c>
      <c r="K10532" s="25" t="str">
        <f aca="false">IF(IF($K$10531=0,"",INDEX(Clients!$B$2:$B$501,$K$10531)&amp;"")="Mme","Madame",IF(IF($K$10531=0,"",INDEX(Clients!$B$2:$B$501,$K$10531)&amp;"")="M.","Monsieur","Madame, Monsieur"))</f>
        <v>Madame, Monsieur</v>
      </c>
      <c r="L10532" s="25"/>
      <c r="M10532" s="25"/>
      <c r="N10532" s="25"/>
      <c r="O10532" s="25"/>
    </row>
    <row r="10533" customFormat="false" ht="15" hidden="false" customHeight="false" outlineLevel="0" collapsed="false">
      <c r="B10533" s="29" t="str">
        <f aca="false">Cab_Adr1</f>
        <v>141 rue Charles de Gaulle</v>
      </c>
      <c r="C10533" s="29"/>
      <c r="D10533" s="10"/>
      <c r="E10533" s="10"/>
      <c r="F10533" s="10"/>
      <c r="J10533" s="25" t="s">
        <v>145</v>
      </c>
      <c r="K10533" s="25" t="str">
        <f aca="false">DAY(Date_Effet)&amp;IF(DAY(Date_Effet)=1,"er","")&amp;" "&amp;INDEX(Liste_Mois,MONTH(Date_Effet))&amp;" "&amp;YEAR(Date_Effet)</f>
        <v>1er janvier 2027</v>
      </c>
      <c r="L10533" s="25"/>
      <c r="M10533" s="25"/>
      <c r="N10533" s="25"/>
      <c r="O10533" s="25"/>
    </row>
    <row r="10534" customFormat="false" ht="15" hidden="false" customHeight="false" outlineLevel="0" collapsed="false">
      <c r="B10534" s="29" t="str">
        <f aca="false">Cab_CPVille</f>
        <v>95130 LE PLESSIS-BOUCHARD</v>
      </c>
      <c r="C10534" s="29"/>
      <c r="D10534" s="10"/>
      <c r="E10534" s="10"/>
      <c r="F10534" s="10"/>
      <c r="J10534" s="25" t="s">
        <v>146</v>
      </c>
      <c r="K10534" s="25" t="str">
        <f aca="false">IF(SUM($K$10558:$K$10561)=0,"",FIXED((SUM($L$10558:$L$10561)/SUM($K$10558:$K$10561)-1)*100,1)&amp;" %")</f>
        <v/>
      </c>
      <c r="L10534" s="25"/>
      <c r="M10534" s="25"/>
      <c r="N10534" s="25"/>
      <c r="O10534" s="25"/>
    </row>
    <row r="10535" customFormat="false" ht="15" hidden="false" customHeight="false" outlineLevel="0" collapsed="false">
      <c r="B10535" s="29" t="str">
        <f aca="false">Cab_Contact</f>
        <v>Tél. 01 34 14 53 45  ·  altho@altho-experts.com  ·  altho-experts.com</v>
      </c>
      <c r="C10535" s="29"/>
      <c r="D10535" s="10"/>
      <c r="E10535" s="10"/>
      <c r="F10535" s="10"/>
      <c r="J10535" s="25"/>
      <c r="K10535" s="25"/>
      <c r="L10535" s="25"/>
      <c r="M10535" s="25"/>
      <c r="N10535" s="25"/>
      <c r="O10535" s="25"/>
    </row>
    <row r="10536" customFormat="false" ht="6" hidden="false" customHeight="true" outlineLevel="0" collapsed="false">
      <c r="B10536" s="32"/>
      <c r="C10536" s="32"/>
      <c r="D10536" s="32"/>
      <c r="E10536" s="32"/>
      <c r="F10536" s="32"/>
      <c r="J10536" s="25"/>
      <c r="K10536" s="25"/>
      <c r="L10536" s="25"/>
      <c r="M10536" s="25"/>
      <c r="N10536" s="25"/>
      <c r="O10536" s="25"/>
    </row>
    <row r="10537" customFormat="false" ht="13.5" hidden="false" customHeight="true" outlineLevel="0" collapsed="false">
      <c r="B10537" s="10"/>
      <c r="C10537" s="10"/>
      <c r="D10537" s="10"/>
      <c r="E10537" s="10"/>
      <c r="F10537" s="10"/>
      <c r="J10537" s="25"/>
      <c r="K10537" s="25"/>
      <c r="L10537" s="25"/>
      <c r="M10537" s="25"/>
      <c r="N10537" s="25"/>
      <c r="O10537" s="25"/>
    </row>
    <row r="10538" customFormat="false" ht="13.5" hidden="false" customHeight="true" outlineLevel="0" collapsed="false">
      <c r="B10538" s="10"/>
      <c r="C10538" s="10"/>
      <c r="D10538" s="10"/>
      <c r="E10538" s="10"/>
      <c r="F10538" s="10"/>
      <c r="J10538" s="25"/>
      <c r="K10538" s="25"/>
      <c r="L10538" s="25"/>
      <c r="M10538" s="25"/>
      <c r="N10538" s="25"/>
      <c r="O10538" s="25"/>
    </row>
    <row r="10539" customFormat="false" ht="13.5" hidden="false" customHeight="true" outlineLevel="0" collapsed="false">
      <c r="B10539" s="10"/>
      <c r="C10539" s="10"/>
      <c r="D10539" s="10"/>
      <c r="E10539" s="10"/>
      <c r="F10539" s="10"/>
      <c r="J10539" s="25"/>
      <c r="K10539" s="25"/>
      <c r="L10539" s="25"/>
      <c r="M10539" s="25"/>
      <c r="N10539" s="25"/>
      <c r="O10539" s="25"/>
    </row>
    <row r="10540" customFormat="false" ht="15" hidden="false" customHeight="true" outlineLevel="0" collapsed="false">
      <c r="B10540" s="10"/>
      <c r="C10540" s="10"/>
      <c r="D10540" s="34" t="str">
        <f aca="false">IF($K$10531=0,"",INDEX(Clients!$E$2:$E$501,$K$10531)&amp;"")</f>
        <v/>
      </c>
      <c r="E10540" s="34"/>
      <c r="F10540" s="34"/>
      <c r="J10540" s="25"/>
      <c r="K10540" s="25"/>
      <c r="L10540" s="25"/>
      <c r="M10540" s="25"/>
      <c r="N10540" s="25"/>
      <c r="O10540" s="25"/>
    </row>
    <row r="10541" customFormat="false" ht="15" hidden="false" customHeight="true" outlineLevel="0" collapsed="false">
      <c r="B10541" s="10"/>
      <c r="C10541" s="10"/>
      <c r="D10541" s="35" t="str">
        <f aca="false">IF(IF($K$10531=0,"",INDEX(Clients!$D$2:$D$501,$K$10531)&amp;"")="","","À l'attention de "&amp;TRIM(IF($K$10531=0,"",INDEX(Clients!$B$2:$B$501,$K$10531)&amp;"")&amp;" "&amp;IF($K$10531=0,"",INDEX(Clients!$C$2:$C$501,$K$10531)&amp;"")&amp;" "&amp;IF($K$10531=0,"",INDEX(Clients!$D$2:$D$501,$K$10531)&amp;"")))</f>
        <v/>
      </c>
      <c r="E10541" s="35"/>
      <c r="F10541" s="35"/>
      <c r="J10541" s="25"/>
      <c r="K10541" s="25"/>
      <c r="L10541" s="25"/>
      <c r="M10541" s="25"/>
      <c r="N10541" s="25"/>
      <c r="O10541" s="25"/>
    </row>
    <row r="10542" customFormat="false" ht="15" hidden="false" customHeight="true" outlineLevel="0" collapsed="false">
      <c r="B10542" s="10"/>
      <c r="C10542" s="10"/>
      <c r="D10542" s="35" t="str">
        <f aca="false">IF($K$10531=0,"",INDEX(Clients!$F$2:$F$501,$K$10531)&amp;"")</f>
        <v/>
      </c>
      <c r="E10542" s="35"/>
      <c r="F10542" s="35"/>
      <c r="J10542" s="25"/>
      <c r="K10542" s="25"/>
      <c r="L10542" s="25"/>
      <c r="M10542" s="25"/>
      <c r="N10542" s="25"/>
      <c r="O10542" s="25"/>
    </row>
    <row r="10543" customFormat="false" ht="15" hidden="false" customHeight="true" outlineLevel="0" collapsed="false">
      <c r="B10543" s="10"/>
      <c r="C10543" s="10"/>
      <c r="D10543" s="35" t="str">
        <f aca="false">IF(IF($K$10531=0,"",INDEX(Clients!$G$2:$G$501,$K$10531)&amp;"")="",TRIM(IF($K$10531=0,"",INDEX(Clients!$H$2:$H$501,$K$10531)&amp;"")&amp;" "&amp;UPPER(IF($K$10531=0,"",INDEX(Clients!$I$2:$I$501,$K$10531)&amp;""))),IF($K$10531=0,"",INDEX(Clients!$G$2:$G$501,$K$10531)&amp;""))</f>
        <v/>
      </c>
      <c r="E10543" s="35"/>
      <c r="F10543" s="35"/>
      <c r="J10543" s="25"/>
      <c r="K10543" s="25"/>
      <c r="L10543" s="25"/>
      <c r="M10543" s="25"/>
      <c r="N10543" s="25"/>
      <c r="O10543" s="25"/>
    </row>
    <row r="10544" customFormat="false" ht="15" hidden="false" customHeight="true" outlineLevel="0" collapsed="false">
      <c r="B10544" s="10"/>
      <c r="C10544" s="10"/>
      <c r="D10544" s="35" t="str">
        <f aca="false">IF(IF($K$10531=0,"",INDEX(Clients!$G$2:$G$501,$K$10531)&amp;"")="","",TRIM(IF($K$10531=0,"",INDEX(Clients!$H$2:$H$501,$K$10531)&amp;"")&amp;" "&amp;UPPER(IF($K$10531=0,"",INDEX(Clients!$I$2:$I$501,$K$10531)&amp;""))))</f>
        <v/>
      </c>
      <c r="E10544" s="35"/>
      <c r="F10544" s="35"/>
      <c r="J10544" s="25"/>
      <c r="K10544" s="25"/>
      <c r="L10544" s="25"/>
      <c r="M10544" s="25"/>
      <c r="N10544" s="25"/>
      <c r="O10544" s="25"/>
    </row>
    <row r="10545" customFormat="false" ht="25.5" hidden="false" customHeight="true" outlineLevel="0" collapsed="false">
      <c r="B10545" s="10"/>
      <c r="C10545" s="10"/>
      <c r="D10545" s="10"/>
      <c r="E10545" s="10"/>
      <c r="F10545" s="10"/>
      <c r="J10545" s="25"/>
      <c r="K10545" s="25"/>
      <c r="L10545" s="25"/>
      <c r="M10545" s="25"/>
      <c r="N10545" s="25"/>
      <c r="O10545" s="25"/>
    </row>
    <row r="10546" customFormat="false" ht="15" hidden="false" customHeight="false" outlineLevel="0" collapsed="false">
      <c r="B10546" s="10"/>
      <c r="C10546" s="10"/>
      <c r="D10546" s="36" t="str">
        <f aca="false">Cab_Ville&amp;", le "&amp;DAY(Date_Courrier)&amp;IF(DAY(Date_Courrier)=1,"er","")&amp;" "&amp;INDEX(Liste_Mois,MONTH(Date_Courrier))&amp;" "&amp;YEAR(Date_Courrier)</f>
        <v>Le Plessis-Bouchard, le 22 septembre 2026</v>
      </c>
      <c r="E10546" s="36"/>
      <c r="F10546" s="36"/>
      <c r="J10546" s="25"/>
      <c r="K10546" s="25"/>
      <c r="L10546" s="25"/>
      <c r="M10546" s="25"/>
      <c r="N10546" s="25"/>
      <c r="O10546" s="25"/>
    </row>
    <row r="10547" customFormat="false" ht="19.5" hidden="false" customHeight="true" outlineLevel="0" collapsed="false">
      <c r="B10547" s="10"/>
      <c r="C10547" s="10"/>
      <c r="D10547" s="10"/>
      <c r="E10547" s="10"/>
      <c r="F10547" s="10"/>
      <c r="J10547" s="25"/>
      <c r="K10547" s="25"/>
      <c r="L10547" s="25"/>
      <c r="M10547" s="25"/>
      <c r="N10547" s="25"/>
      <c r="O10547" s="25"/>
    </row>
    <row r="10548" customFormat="false" ht="15" hidden="false" customHeight="false" outlineLevel="0" collapsed="false">
      <c r="B10548" s="34" t="str">
        <f aca="false">SUBSTITUTE(SUBSTITUTE(SUBSTITUTE(SUBSTITUTE(SUBSTITUTE(Txt_Objet,"{cabinet}",Cab_Nom),"{societe}",IF($K$10531=0,"",INDEX(Clients!$E$2:$E$501,$K$10531)&amp;"")),"{date_effet}",$K$10533),"{hausse}",$K$10534),"{civilite}",$K$10532)</f>
        <v>Objet : révision de nos honoraires au 1er janvier 2027</v>
      </c>
      <c r="C10548" s="34"/>
      <c r="D10548" s="34"/>
      <c r="E10548" s="34"/>
      <c r="F10548" s="34"/>
      <c r="J10548" s="25"/>
      <c r="K10548" s="25"/>
      <c r="L10548" s="25"/>
      <c r="M10548" s="25"/>
      <c r="N10548" s="25"/>
      <c r="O10548" s="25"/>
    </row>
    <row r="10549" customFormat="false" ht="13.5" hidden="false" customHeight="true" outlineLevel="0" collapsed="false">
      <c r="B10549" s="10"/>
      <c r="C10549" s="10"/>
      <c r="D10549" s="10"/>
      <c r="E10549" s="10"/>
      <c r="F10549" s="10"/>
      <c r="J10549" s="25"/>
      <c r="K10549" s="25"/>
      <c r="L10549" s="25"/>
      <c r="M10549" s="25"/>
      <c r="N10549" s="25"/>
      <c r="O10549" s="25"/>
    </row>
    <row r="10550" customFormat="false" ht="15" hidden="false" customHeight="false" outlineLevel="0" collapsed="false">
      <c r="B10550" s="10" t="str">
        <f aca="false">$K$10532&amp;","</f>
        <v>Madame, Monsieur,</v>
      </c>
      <c r="C10550" s="10"/>
      <c r="D10550" s="10"/>
      <c r="E10550" s="10"/>
      <c r="F10550" s="10"/>
      <c r="J10550" s="25"/>
      <c r="K10550" s="25"/>
      <c r="L10550" s="25"/>
      <c r="M10550" s="25"/>
      <c r="N10550" s="25"/>
      <c r="O10550" s="25"/>
    </row>
    <row r="10551" customFormat="false" ht="6" hidden="false" customHeight="true" outlineLevel="0" collapsed="false">
      <c r="B10551" s="10"/>
      <c r="C10551" s="10"/>
      <c r="D10551" s="10"/>
      <c r="E10551" s="10"/>
      <c r="F10551" s="10"/>
      <c r="J10551" s="25"/>
      <c r="K10551" s="25"/>
      <c r="L10551" s="25"/>
      <c r="M10551" s="25"/>
      <c r="N10551" s="25"/>
      <c r="O10551" s="25"/>
    </row>
    <row r="10552" customFormat="false" ht="36.75" hidden="false" customHeight="true" outlineLevel="0" collapsed="false">
      <c r="B10552" s="37" t="str">
        <f aca="false">SUBSTITUTE(SUBSTITUTE(SUBSTITUTE(SUBSTITUTE(SUBSTITUTE(Txt_P1,"{cabinet}",Cab_Nom),"{societe}",IF($K$10531=0,"",INDEX(Clients!$E$2:$E$501,$K$10531)&amp;"")),"{date_effet}",$K$10533),"{hausse}",$K$10534),"{civilite}",$K$10532)</f>
        <v>Nous tenons tout d'abord à vous remercier pour la confiance que vous accordez à ALTHO EXPERTISE. Comme chaque année, et conformément aux dispositions de votre lettre de mission, nous procédons à la révision de nos honoraires.</v>
      </c>
      <c r="C10552" s="37"/>
      <c r="D10552" s="37"/>
      <c r="E10552" s="37"/>
      <c r="F10552" s="37"/>
      <c r="J10552" s="25"/>
      <c r="K10552" s="25"/>
      <c r="L10552" s="25"/>
      <c r="M10552" s="25"/>
      <c r="N10552" s="25"/>
      <c r="O10552" s="25"/>
    </row>
    <row r="10553" customFormat="false" ht="49.5" hidden="false" customHeight="true" outlineLevel="0" collapsed="false">
      <c r="B10553" s="37" t="str">
        <f aca="false">SUBSTITUTE(SUBSTITUTE(SUBSTITUTE(SUBSTITUTE(SUBSTITUTE(Txt_P2,"{cabinet}",Cab_Nom),"{societe}",IF($K$10531=0,"",INDEX(Clients!$E$2:$E$501,$K$10531)&amp;"")),"{date_effet}",$K$10533),"{hausse}",$K$10534),"{civilite}",$K$10532)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553" s="37"/>
      <c r="D10553" s="37"/>
      <c r="E10553" s="37"/>
      <c r="F10553" s="37"/>
      <c r="J10553" s="25"/>
      <c r="K10553" s="25"/>
      <c r="L10553" s="25"/>
      <c r="M10553" s="25"/>
      <c r="N10553" s="25"/>
      <c r="O10553" s="25"/>
    </row>
    <row r="10554" customFormat="false" ht="63" hidden="false" customHeight="true" outlineLevel="0" collapsed="false">
      <c r="B10554" s="37" t="str">
        <f aca="false">SUBSTITUTE(SUBSTITUTE(SUBSTITUTE(SUBSTITUTE(SUBSTITUTE(Txt_P3,"{cabinet}",Cab_Nom),"{societe}",IF($K$10531=0,"",INDEX(Clients!$E$2:$E$501,$K$10531)&amp;"")),"{date_effet}",$K$10533),"{hausse}",$K$10534),"{civilite}",$K$10532)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554" s="37"/>
      <c r="D10554" s="37"/>
      <c r="E10554" s="37"/>
      <c r="F10554" s="37"/>
      <c r="J10554" s="25"/>
      <c r="K10554" s="25"/>
      <c r="L10554" s="25"/>
      <c r="M10554" s="25"/>
      <c r="N10554" s="25"/>
      <c r="O10554" s="25"/>
    </row>
    <row r="10555" customFormat="false" ht="24" hidden="false" customHeight="true" outlineLevel="0" collapsed="false">
      <c r="B10555" s="37" t="str">
        <f aca="false">SUBSTITUTE(SUBSTITUTE(SUBSTITUTE(SUBSTITUTE(SUBSTITUTE(Txt_P4,"{cabinet}",Cab_Nom),"{societe}",IF($K$10531=0,"",INDEX(Clients!$E$2:$E$501,$K$10531)&amp;"")),"{date_effet}",$K$10533),"{hausse}",$K$10534),"{civilite}",$K$10532)</f>
        <v>À compter du 1er janvier 2027, vos honoraires annuels hors taxes évolueront ainsi (évolution globale : ) :</v>
      </c>
      <c r="C10555" s="37"/>
      <c r="D10555" s="37"/>
      <c r="E10555" s="37"/>
      <c r="F10555" s="37"/>
      <c r="J10555" s="25"/>
      <c r="K10555" s="25"/>
      <c r="L10555" s="25"/>
      <c r="M10555" s="25"/>
      <c r="N10555" s="25"/>
      <c r="O10555" s="25"/>
    </row>
    <row r="10556" customFormat="false" ht="3.75" hidden="false" customHeight="true" outlineLevel="0" collapsed="false">
      <c r="B10556" s="10"/>
      <c r="C10556" s="10"/>
      <c r="D10556" s="10"/>
      <c r="E10556" s="10"/>
      <c r="F10556" s="10"/>
      <c r="J10556" s="25"/>
      <c r="K10556" s="25"/>
      <c r="L10556" s="25"/>
      <c r="M10556" s="25"/>
      <c r="N10556" s="25"/>
      <c r="O10556" s="25"/>
    </row>
    <row r="10557" customFormat="false" ht="18" hidden="false" customHeight="true" outlineLevel="0" collapsed="false">
      <c r="B10557" s="38" t="s">
        <v>148</v>
      </c>
      <c r="C10557" s="39" t="s">
        <v>149</v>
      </c>
      <c r="D10557" s="39" t="s">
        <v>150</v>
      </c>
      <c r="E10557" s="39" t="s">
        <v>151</v>
      </c>
      <c r="F10557" s="39" t="s">
        <v>109</v>
      </c>
      <c r="J10557" s="25" t="s">
        <v>152</v>
      </c>
      <c r="K10557" s="25" t="s">
        <v>153</v>
      </c>
      <c r="L10557" s="25" t="s">
        <v>154</v>
      </c>
      <c r="M10557" s="25" t="s">
        <v>155</v>
      </c>
      <c r="N10557" s="25" t="s">
        <v>156</v>
      </c>
      <c r="O10557" s="25" t="s">
        <v>157</v>
      </c>
    </row>
    <row r="10558" customFormat="false" ht="16.5" hidden="false" customHeight="true" outlineLevel="0" collapsed="false">
      <c r="B10558" s="40" t="str">
        <f aca="false">IFERROR(INDEX($J$10558:$J$10561,MATCH($O10558,$N$10558:$N$10561,0)),"")</f>
        <v/>
      </c>
      <c r="C10558" s="41" t="str">
        <f aca="false">IFERROR(INDEX($K$10558:$K$10561,MATCH($O10558,$N$10558:$N$10561,0)),"")</f>
        <v/>
      </c>
      <c r="D10558" s="42" t="str">
        <f aca="false">IF(OR(E10558="",N(C10558)=0),"",E10558/C10558-1)</f>
        <v/>
      </c>
      <c r="E10558" s="41" t="str">
        <f aca="false">IFERROR(INDEX($L$10558:$L$10561,MATCH($O10558,$N$10558:$N$10561,0)),"")</f>
        <v/>
      </c>
      <c r="F10558" s="41" t="str">
        <f aca="false">IF(E10558="","",E10558-C10558)</f>
        <v/>
      </c>
      <c r="J10558" s="25" t="str">
        <f aca="false">Lib_Compta</f>
        <v>Mission comptable (tenue, révision, bilan, liasse fiscale)</v>
      </c>
      <c r="K10558" s="25" t="n">
        <f aca="false">IF($K$10531=0,0,N(INDEX(Clients!$K$2:$K$501,$K$10531)))</f>
        <v>0</v>
      </c>
      <c r="L10558" s="25" t="n">
        <f aca="false">IF($K$10531=0,0,N(INDEX(Clients!$P$2:$P$501,$K$10531)))</f>
        <v>0</v>
      </c>
      <c r="M10558" s="25" t="n">
        <f aca="false">IF(OR(K10558&lt;&gt;0,L10558&lt;&gt;0),1,0)</f>
        <v>0</v>
      </c>
      <c r="N10558" s="25" t="str">
        <f aca="false">IF(M10558=1,SUM($M$10558:M10558),"")</f>
        <v/>
      </c>
      <c r="O10558" s="25" t="n">
        <v>1</v>
      </c>
    </row>
    <row r="10559" customFormat="false" ht="16.5" hidden="false" customHeight="true" outlineLevel="0" collapsed="false">
      <c r="B10559" s="40" t="str">
        <f aca="false">IFERROR(INDEX($J$10558:$J$10561,MATCH($O10559,$N$10558:$N$10561,0)),"")</f>
        <v/>
      </c>
      <c r="C10559" s="41" t="str">
        <f aca="false">IFERROR(INDEX($K$10558:$K$10561,MATCH($O10559,$N$10558:$N$10561,0)),"")</f>
        <v/>
      </c>
      <c r="D10559" s="42" t="str">
        <f aca="false">IF(OR(E10559="",N(C10559)=0),"",E10559/C10559-1)</f>
        <v/>
      </c>
      <c r="E10559" s="41" t="str">
        <f aca="false">IFERROR(INDEX($L$10558:$L$10561,MATCH($O10559,$N$10558:$N$10561,0)),"")</f>
        <v/>
      </c>
      <c r="F10559" s="41" t="str">
        <f aca="false">IF(E10559="","",E10559-C10559)</f>
        <v/>
      </c>
      <c r="J10559" s="25" t="str">
        <f aca="false">Lib_Paye</f>
        <v>Mission sociale (bulletins de paie, DSN, déclarations sociales)</v>
      </c>
      <c r="K10559" s="25" t="n">
        <f aca="false">IF($K$10531=0,0,N(INDEX(Clients!$L$2:$L$501,$K$10531)))</f>
        <v>0</v>
      </c>
      <c r="L10559" s="25" t="n">
        <f aca="false">IF($K$10531=0,0,N(INDEX(Clients!$Q$2:$Q$501,$K$10531)))</f>
        <v>0</v>
      </c>
      <c r="M10559" s="25" t="n">
        <f aca="false">IF(OR(K10559&lt;&gt;0,L10559&lt;&gt;0),1,0)</f>
        <v>0</v>
      </c>
      <c r="N10559" s="25" t="str">
        <f aca="false">IF(M10559=1,SUM($M$10558:M10559),"")</f>
        <v/>
      </c>
      <c r="O10559" s="25" t="n">
        <v>2</v>
      </c>
    </row>
    <row r="10560" customFormat="false" ht="16.5" hidden="false" customHeight="true" outlineLevel="0" collapsed="false">
      <c r="B10560" s="40" t="str">
        <f aca="false">IFERROR(INDEX($J$10558:$J$10561,MATCH($O10560,$N$10558:$N$10561,0)),"")</f>
        <v/>
      </c>
      <c r="C10560" s="41" t="str">
        <f aca="false">IFERROR(INDEX($K$10558:$K$10561,MATCH($O10560,$N$10558:$N$10561,0)),"")</f>
        <v/>
      </c>
      <c r="D10560" s="42" t="str">
        <f aca="false">IF(OR(E10560="",N(C10560)=0),"",E10560/C10560-1)</f>
        <v/>
      </c>
      <c r="E10560" s="41" t="str">
        <f aca="false">IFERROR(INDEX($L$10558:$L$10561,MATCH($O10560,$N$10558:$N$10561,0)),"")</f>
        <v/>
      </c>
      <c r="F10560" s="41" t="str">
        <f aca="false">IF(E10560="","",E10560-C10560)</f>
        <v/>
      </c>
      <c r="J10560" s="25" t="str">
        <f aca="false">Lib_Jur</f>
        <v>Mission juridique (approbation des comptes, secrétariat juridique)</v>
      </c>
      <c r="K10560" s="25" t="n">
        <f aca="false">IF($K$10531=0,0,N(INDEX(Clients!$M$2:$M$501,$K$10531)))</f>
        <v>0</v>
      </c>
      <c r="L10560" s="25" t="n">
        <f aca="false">IF($K$10531=0,0,N(INDEX(Clients!$R$2:$R$501,$K$10531)))</f>
        <v>0</v>
      </c>
      <c r="M10560" s="25" t="n">
        <f aca="false">IF(OR(K10560&lt;&gt;0,L10560&lt;&gt;0),1,0)</f>
        <v>0</v>
      </c>
      <c r="N10560" s="25" t="str">
        <f aca="false">IF(M10560=1,SUM($M$10558:M10560),"")</f>
        <v/>
      </c>
      <c r="O10560" s="25" t="n">
        <v>3</v>
      </c>
    </row>
    <row r="10561" customFormat="false" ht="16.5" hidden="false" customHeight="true" outlineLevel="0" collapsed="false">
      <c r="B10561" s="40" t="str">
        <f aca="false">IFERROR(INDEX($J$10558:$J$10561,MATCH($O10561,$N$10558:$N$10561,0)),"")</f>
        <v/>
      </c>
      <c r="C10561" s="41" t="str">
        <f aca="false">IFERROR(INDEX($K$10558:$K$10561,MATCH($O10561,$N$10558:$N$10561,0)),"")</f>
        <v/>
      </c>
      <c r="D10561" s="42" t="str">
        <f aca="false">IF(OR(E10561="",N(C10561)=0),"",E10561/C10561-1)</f>
        <v/>
      </c>
      <c r="E10561" s="41" t="str">
        <f aca="false">IFERROR(INDEX($L$10558:$L$10561,MATCH($O10561,$N$10558:$N$10561,0)),"")</f>
        <v/>
      </c>
      <c r="F10561" s="41" t="str">
        <f aca="false">IF(E10561="","",E10561-C10561)</f>
        <v/>
      </c>
      <c r="J10561" s="25" t="str">
        <f aca="false">Lib_PA</f>
        <v>Plateforme agréée – facturation électronique</v>
      </c>
      <c r="K10561" s="25" t="n">
        <f aca="false">IF($K$10531=0,0,N(INDEX(Clients!$N$2:$N$501,$K$10531)))</f>
        <v>0</v>
      </c>
      <c r="L10561" s="25" t="n">
        <f aca="false">IF($K$10531=0,0,N(INDEX(Clients!$S$2:$S$501,$K$10531)))</f>
        <v>0</v>
      </c>
      <c r="M10561" s="25" t="n">
        <f aca="false">IF(OR(K10561&lt;&gt;0,L10561&lt;&gt;0),1,0)</f>
        <v>0</v>
      </c>
      <c r="N10561" s="25" t="str">
        <f aca="false">IF(M10561=1,SUM($M$10558:M10561),"")</f>
        <v/>
      </c>
      <c r="O10561" s="25" t="n">
        <v>4</v>
      </c>
    </row>
    <row r="10562" customFormat="false" ht="18" hidden="false" customHeight="true" outlineLevel="0" collapsed="false">
      <c r="B10562" s="43" t="s">
        <v>158</v>
      </c>
      <c r="C10562" s="44" t="n">
        <f aca="false">SUM(K10558:K10561)</f>
        <v>0</v>
      </c>
      <c r="D10562" s="45" t="str">
        <f aca="false">IF(N(C10562)=0,"",E10562/C10562-1)</f>
        <v/>
      </c>
      <c r="E10562" s="44" t="n">
        <f aca="false">SUM(L10558:L10561)</f>
        <v>0</v>
      </c>
      <c r="F10562" s="44" t="n">
        <f aca="false">E10562-C10562</f>
        <v>0</v>
      </c>
    </row>
    <row r="10563" customFormat="false" ht="15" hidden="false" customHeight="false" outlineLevel="0" collapsed="false">
      <c r="B10563" s="46" t="str">
        <f aca="false">IF(N(Nb_Mensualites)=0,"","Soit "&amp;FIXED(E10562/Nb_Mensualites,2)&amp;" € HT par échéance ("&amp;Nb_Mensualites&amp;" échéances), "&amp;FIXED(E10562/Nb_Mensualites*(1+Taux_TVA),2)&amp;" € TTC.")</f>
        <v>Soit 0.00 € HT par échéance (12 échéances), 0.00 € TTC.</v>
      </c>
      <c r="C10563" s="46"/>
      <c r="D10563" s="46"/>
      <c r="E10563" s="46"/>
      <c r="F10563" s="46"/>
    </row>
    <row r="10564" customFormat="false" ht="7.5" hidden="false" customHeight="true" outlineLevel="0" collapsed="false">
      <c r="B10564" s="10"/>
      <c r="C10564" s="10"/>
      <c r="D10564" s="10"/>
      <c r="E10564" s="10"/>
      <c r="F10564" s="10"/>
    </row>
    <row r="10565" customFormat="false" ht="36.75" hidden="false" customHeight="true" outlineLevel="0" collapsed="false">
      <c r="B10565" s="37" t="str">
        <f aca="false">SUBSTITUTE(SUBSTITUTE(SUBSTITUTE(SUBSTITUTE(SUBSTITUTE(Txt_P5,"{cabinet}",Cab_Nom),"{societe}",IF($K$10531=0,"",INDEX(Clients!$E$2:$E$501,$K$10531)&amp;"")),"{date_effet}",$K$10533),"{hausse}",$K$10534),"{civilite}",$K$10532)</f>
        <v>Les autres conditions de votre lettre de mission demeurent inchangées. Les nouveaux montants seront appliqués automatiquement sur vos prochaines factures et échéances de prélèvement.</v>
      </c>
      <c r="C10565" s="37"/>
      <c r="D10565" s="37"/>
      <c r="E10565" s="37"/>
      <c r="F10565" s="37"/>
    </row>
    <row r="10566" customFormat="false" ht="36.75" hidden="false" customHeight="true" outlineLevel="0" collapsed="false">
      <c r="B10566" s="37" t="str">
        <f aca="false">SUBSTITUTE(SUBSTITUTE(SUBSTITUTE(SUBSTITUTE(SUBSTITUTE(Txt_P6,"{cabinet}",Cab_Nom),"{societe}",IF($K$10531=0,"",INDEX(Clients!$E$2:$E$501,$K$10531)&amp;"")),"{date_effet}",$K$10533),"{hausse}",$K$10534),"{civilite}",$K$10532)</f>
        <v>Votre interlocuteur habituel reste à votre entière disposition pour répondre à vos questions et faire le point sur l'évolution de vos besoins.</v>
      </c>
      <c r="C10566" s="37"/>
      <c r="D10566" s="37"/>
      <c r="E10566" s="37"/>
      <c r="F10566" s="37"/>
    </row>
    <row r="10567" customFormat="false" ht="24" hidden="false" customHeight="true" outlineLevel="0" collapsed="false">
      <c r="B10567" s="37" t="str">
        <f aca="false">SUBSTITUTE(SUBSTITUTE(SUBSTITUTE(SUBSTITUTE(SUBSTITUTE(Txt_Politesse,"{cabinet}",Cab_Nom),"{societe}",IF($K$10531=0,"",INDEX(Clients!$E$2:$E$501,$K$10531)&amp;"")),"{date_effet}",$K$10533),"{hausse}",$K$10534),"{civilite}",$K$10532)</f>
        <v>Nous vous prions d'agréer, Madame, Monsieur, l'expression de nos salutations distinguées.</v>
      </c>
      <c r="C10567" s="37"/>
      <c r="D10567" s="37"/>
      <c r="E10567" s="37"/>
      <c r="F10567" s="37"/>
    </row>
    <row r="10568" customFormat="false" ht="15" hidden="false" customHeight="false" outlineLevel="0" collapsed="false">
      <c r="B10568" s="10"/>
      <c r="C10568" s="10"/>
      <c r="D10568" s="10"/>
      <c r="E10568" s="10"/>
      <c r="F10568" s="10"/>
    </row>
    <row r="10569" customFormat="false" ht="15" hidden="false" customHeight="false" outlineLevel="0" collapsed="false">
      <c r="B10569" s="10"/>
      <c r="C10569" s="10"/>
      <c r="D10569" s="34" t="str">
        <f aca="false">Signataire</f>
        <v>Prénom NOM</v>
      </c>
      <c r="E10569" s="34"/>
      <c r="F10569" s="34"/>
    </row>
    <row r="10570" customFormat="false" ht="15" hidden="false" customHeight="false" outlineLevel="0" collapsed="false">
      <c r="B10570" s="10"/>
      <c r="C10570" s="10"/>
      <c r="D10570" s="47" t="str">
        <f aca="false">Signataire_Titre</f>
        <v>Expert-comptable associé</v>
      </c>
      <c r="E10570" s="47"/>
      <c r="F10570" s="47"/>
    </row>
    <row r="10571" customFormat="false" ht="15.75" hidden="false" customHeight="true" outlineLevel="0" collapsed="false">
      <c r="B10571" s="10"/>
      <c r="C10571" s="10"/>
      <c r="D10571" s="10"/>
      <c r="E10571" s="10"/>
      <c r="F10571" s="10"/>
    </row>
    <row r="10572" customFormat="false" ht="15.75" hidden="false" customHeight="true" outlineLevel="0" collapsed="false">
      <c r="B10572" s="10"/>
      <c r="C10572" s="10"/>
      <c r="D10572" s="10"/>
      <c r="E10572" s="10"/>
      <c r="F10572" s="10"/>
    </row>
    <row r="10573" customFormat="false" ht="15.75" hidden="false" customHeight="true" outlineLevel="0" collapsed="false">
      <c r="B10573" s="10"/>
      <c r="C10573" s="10"/>
      <c r="D10573" s="10"/>
      <c r="E10573" s="10"/>
      <c r="F10573" s="10"/>
    </row>
    <row r="10574" customFormat="false" ht="15.75" hidden="false" customHeight="true" outlineLevel="0" collapsed="false">
      <c r="B10574" s="10"/>
      <c r="C10574" s="10"/>
      <c r="D10574" s="10"/>
      <c r="E10574" s="10"/>
      <c r="F10574" s="10"/>
    </row>
    <row r="10575" customFormat="false" ht="24" hidden="false" customHeight="true" outlineLevel="0" collapsed="false">
      <c r="B10575" s="48" t="str">
        <f aca="false">Cab_Mentions</f>
        <v>ALTHO EXPERTISE · SAS au capital de 10 000 € · RCS Pontoise 919 706 325 · TVA FR62919706325 · Société d'expertise comptable inscrite au Tableau de l'Ordre des experts-comptables de Paris Île-de-France</v>
      </c>
      <c r="C10575" s="48"/>
      <c r="D10575" s="48"/>
      <c r="E10575" s="48"/>
      <c r="F10575" s="48"/>
    </row>
    <row r="10576" customFormat="false" ht="15" hidden="false" customHeight="false" outlineLevel="0" collapsed="false">
      <c r="B10576" s="10"/>
      <c r="C10576" s="10"/>
      <c r="D10576" s="10"/>
      <c r="E10576" s="10"/>
      <c r="F10576" s="10"/>
      <c r="J10576" s="25" t="s">
        <v>142</v>
      </c>
      <c r="K10576" s="25" t="n">
        <f aca="false">IFERROR(MATCH(236,Clients!$Z$2:$Z$501,0),0)</f>
        <v>0</v>
      </c>
      <c r="L10576" s="25"/>
      <c r="M10576" s="25"/>
      <c r="N10576" s="25"/>
      <c r="O10576" s="25"/>
    </row>
    <row r="10577" customFormat="false" ht="21.75" hidden="false" customHeight="true" outlineLevel="0" collapsed="false">
      <c r="B10577" s="26" t="str">
        <f aca="false">Cab_Nom</f>
        <v>ALTHO EXPERTISE</v>
      </c>
      <c r="C10577" s="26"/>
      <c r="D10577" s="10"/>
      <c r="E10577" s="27" t="str">
        <f aca="false">IF($K$10576=0,"","Réf. client : "&amp;INDEX(Clients!$A$2:$A$501,$K$10576))</f>
        <v/>
      </c>
      <c r="F10577" s="27"/>
      <c r="J10577" s="25" t="s">
        <v>144</v>
      </c>
      <c r="K10577" s="25" t="str">
        <f aca="false">IF(IF($K$10576=0,"",INDEX(Clients!$B$2:$B$501,$K$10576)&amp;"")="Mme","Madame",IF(IF($K$10576=0,"",INDEX(Clients!$B$2:$B$501,$K$10576)&amp;"")="M.","Monsieur","Madame, Monsieur"))</f>
        <v>Madame, Monsieur</v>
      </c>
      <c r="L10577" s="25"/>
      <c r="M10577" s="25"/>
      <c r="N10577" s="25"/>
      <c r="O10577" s="25"/>
    </row>
    <row r="10578" customFormat="false" ht="15" hidden="false" customHeight="false" outlineLevel="0" collapsed="false">
      <c r="B10578" s="29" t="str">
        <f aca="false">Cab_Adr1</f>
        <v>141 rue Charles de Gaulle</v>
      </c>
      <c r="C10578" s="29"/>
      <c r="D10578" s="10"/>
      <c r="E10578" s="10"/>
      <c r="F10578" s="10"/>
      <c r="J10578" s="25" t="s">
        <v>145</v>
      </c>
      <c r="K10578" s="25" t="str">
        <f aca="false">DAY(Date_Effet)&amp;IF(DAY(Date_Effet)=1,"er","")&amp;" "&amp;INDEX(Liste_Mois,MONTH(Date_Effet))&amp;" "&amp;YEAR(Date_Effet)</f>
        <v>1er janvier 2027</v>
      </c>
      <c r="L10578" s="25"/>
      <c r="M10578" s="25"/>
      <c r="N10578" s="25"/>
      <c r="O10578" s="25"/>
    </row>
    <row r="10579" customFormat="false" ht="15" hidden="false" customHeight="false" outlineLevel="0" collapsed="false">
      <c r="B10579" s="29" t="str">
        <f aca="false">Cab_CPVille</f>
        <v>95130 LE PLESSIS-BOUCHARD</v>
      </c>
      <c r="C10579" s="29"/>
      <c r="D10579" s="10"/>
      <c r="E10579" s="10"/>
      <c r="F10579" s="10"/>
      <c r="J10579" s="25" t="s">
        <v>146</v>
      </c>
      <c r="K10579" s="25" t="str">
        <f aca="false">IF(SUM($K$10603:$K$10606)=0,"",FIXED((SUM($L$10603:$L$10606)/SUM($K$10603:$K$10606)-1)*100,1)&amp;" %")</f>
        <v/>
      </c>
      <c r="L10579" s="25"/>
      <c r="M10579" s="25"/>
      <c r="N10579" s="25"/>
      <c r="O10579" s="25"/>
    </row>
    <row r="10580" customFormat="false" ht="15" hidden="false" customHeight="false" outlineLevel="0" collapsed="false">
      <c r="B10580" s="29" t="str">
        <f aca="false">Cab_Contact</f>
        <v>Tél. 01 34 14 53 45  ·  altho@altho-experts.com  ·  altho-experts.com</v>
      </c>
      <c r="C10580" s="29"/>
      <c r="D10580" s="10"/>
      <c r="E10580" s="10"/>
      <c r="F10580" s="10"/>
      <c r="J10580" s="25"/>
      <c r="K10580" s="25"/>
      <c r="L10580" s="25"/>
      <c r="M10580" s="25"/>
      <c r="N10580" s="25"/>
      <c r="O10580" s="25"/>
    </row>
    <row r="10581" customFormat="false" ht="6" hidden="false" customHeight="true" outlineLevel="0" collapsed="false">
      <c r="B10581" s="32"/>
      <c r="C10581" s="32"/>
      <c r="D10581" s="32"/>
      <c r="E10581" s="32"/>
      <c r="F10581" s="32"/>
      <c r="J10581" s="25"/>
      <c r="K10581" s="25"/>
      <c r="L10581" s="25"/>
      <c r="M10581" s="25"/>
      <c r="N10581" s="25"/>
      <c r="O10581" s="25"/>
    </row>
    <row r="10582" customFormat="false" ht="13.5" hidden="false" customHeight="true" outlineLevel="0" collapsed="false">
      <c r="B10582" s="10"/>
      <c r="C10582" s="10"/>
      <c r="D10582" s="10"/>
      <c r="E10582" s="10"/>
      <c r="F10582" s="10"/>
      <c r="J10582" s="25"/>
      <c r="K10582" s="25"/>
      <c r="L10582" s="25"/>
      <c r="M10582" s="25"/>
      <c r="N10582" s="25"/>
      <c r="O10582" s="25"/>
    </row>
    <row r="10583" customFormat="false" ht="13.5" hidden="false" customHeight="true" outlineLevel="0" collapsed="false">
      <c r="B10583" s="10"/>
      <c r="C10583" s="10"/>
      <c r="D10583" s="10"/>
      <c r="E10583" s="10"/>
      <c r="F10583" s="10"/>
      <c r="J10583" s="25"/>
      <c r="K10583" s="25"/>
      <c r="L10583" s="25"/>
      <c r="M10583" s="25"/>
      <c r="N10583" s="25"/>
      <c r="O10583" s="25"/>
    </row>
    <row r="10584" customFormat="false" ht="13.5" hidden="false" customHeight="true" outlineLevel="0" collapsed="false">
      <c r="B10584" s="10"/>
      <c r="C10584" s="10"/>
      <c r="D10584" s="10"/>
      <c r="E10584" s="10"/>
      <c r="F10584" s="10"/>
      <c r="J10584" s="25"/>
      <c r="K10584" s="25"/>
      <c r="L10584" s="25"/>
      <c r="M10584" s="25"/>
      <c r="N10584" s="25"/>
      <c r="O10584" s="25"/>
    </row>
    <row r="10585" customFormat="false" ht="15" hidden="false" customHeight="true" outlineLevel="0" collapsed="false">
      <c r="B10585" s="10"/>
      <c r="C10585" s="10"/>
      <c r="D10585" s="34" t="str">
        <f aca="false">IF($K$10576=0,"",INDEX(Clients!$E$2:$E$501,$K$10576)&amp;"")</f>
        <v/>
      </c>
      <c r="E10585" s="34"/>
      <c r="F10585" s="34"/>
      <c r="J10585" s="25"/>
      <c r="K10585" s="25"/>
      <c r="L10585" s="25"/>
      <c r="M10585" s="25"/>
      <c r="N10585" s="25"/>
      <c r="O10585" s="25"/>
    </row>
    <row r="10586" customFormat="false" ht="15" hidden="false" customHeight="true" outlineLevel="0" collapsed="false">
      <c r="B10586" s="10"/>
      <c r="C10586" s="10"/>
      <c r="D10586" s="35" t="str">
        <f aca="false">IF(IF($K$10576=0,"",INDEX(Clients!$D$2:$D$501,$K$10576)&amp;"")="","","À l'attention de "&amp;TRIM(IF($K$10576=0,"",INDEX(Clients!$B$2:$B$501,$K$10576)&amp;"")&amp;" "&amp;IF($K$10576=0,"",INDEX(Clients!$C$2:$C$501,$K$10576)&amp;"")&amp;" "&amp;IF($K$10576=0,"",INDEX(Clients!$D$2:$D$501,$K$10576)&amp;"")))</f>
        <v/>
      </c>
      <c r="E10586" s="35"/>
      <c r="F10586" s="35"/>
      <c r="J10586" s="25"/>
      <c r="K10586" s="25"/>
      <c r="L10586" s="25"/>
      <c r="M10586" s="25"/>
      <c r="N10586" s="25"/>
      <c r="O10586" s="25"/>
    </row>
    <row r="10587" customFormat="false" ht="15" hidden="false" customHeight="true" outlineLevel="0" collapsed="false">
      <c r="B10587" s="10"/>
      <c r="C10587" s="10"/>
      <c r="D10587" s="35" t="str">
        <f aca="false">IF($K$10576=0,"",INDEX(Clients!$F$2:$F$501,$K$10576)&amp;"")</f>
        <v/>
      </c>
      <c r="E10587" s="35"/>
      <c r="F10587" s="35"/>
      <c r="J10587" s="25"/>
      <c r="K10587" s="25"/>
      <c r="L10587" s="25"/>
      <c r="M10587" s="25"/>
      <c r="N10587" s="25"/>
      <c r="O10587" s="25"/>
    </row>
    <row r="10588" customFormat="false" ht="15" hidden="false" customHeight="true" outlineLevel="0" collapsed="false">
      <c r="B10588" s="10"/>
      <c r="C10588" s="10"/>
      <c r="D10588" s="35" t="str">
        <f aca="false">IF(IF($K$10576=0,"",INDEX(Clients!$G$2:$G$501,$K$10576)&amp;"")="",TRIM(IF($K$10576=0,"",INDEX(Clients!$H$2:$H$501,$K$10576)&amp;"")&amp;" "&amp;UPPER(IF($K$10576=0,"",INDEX(Clients!$I$2:$I$501,$K$10576)&amp;""))),IF($K$10576=0,"",INDEX(Clients!$G$2:$G$501,$K$10576)&amp;""))</f>
        <v/>
      </c>
      <c r="E10588" s="35"/>
      <c r="F10588" s="35"/>
      <c r="J10588" s="25"/>
      <c r="K10588" s="25"/>
      <c r="L10588" s="25"/>
      <c r="M10588" s="25"/>
      <c r="N10588" s="25"/>
      <c r="O10588" s="25"/>
    </row>
    <row r="10589" customFormat="false" ht="15" hidden="false" customHeight="true" outlineLevel="0" collapsed="false">
      <c r="B10589" s="10"/>
      <c r="C10589" s="10"/>
      <c r="D10589" s="35" t="str">
        <f aca="false">IF(IF($K$10576=0,"",INDEX(Clients!$G$2:$G$501,$K$10576)&amp;"")="","",TRIM(IF($K$10576=0,"",INDEX(Clients!$H$2:$H$501,$K$10576)&amp;"")&amp;" "&amp;UPPER(IF($K$10576=0,"",INDEX(Clients!$I$2:$I$501,$K$10576)&amp;""))))</f>
        <v/>
      </c>
      <c r="E10589" s="35"/>
      <c r="F10589" s="35"/>
      <c r="J10589" s="25"/>
      <c r="K10589" s="25"/>
      <c r="L10589" s="25"/>
      <c r="M10589" s="25"/>
      <c r="N10589" s="25"/>
      <c r="O10589" s="25"/>
    </row>
    <row r="10590" customFormat="false" ht="25.5" hidden="false" customHeight="true" outlineLevel="0" collapsed="false">
      <c r="B10590" s="10"/>
      <c r="C10590" s="10"/>
      <c r="D10590" s="10"/>
      <c r="E10590" s="10"/>
      <c r="F10590" s="10"/>
      <c r="J10590" s="25"/>
      <c r="K10590" s="25"/>
      <c r="L10590" s="25"/>
      <c r="M10590" s="25"/>
      <c r="N10590" s="25"/>
      <c r="O10590" s="25"/>
    </row>
    <row r="10591" customFormat="false" ht="15" hidden="false" customHeight="false" outlineLevel="0" collapsed="false">
      <c r="B10591" s="10"/>
      <c r="C10591" s="10"/>
      <c r="D10591" s="36" t="str">
        <f aca="false">Cab_Ville&amp;", le "&amp;DAY(Date_Courrier)&amp;IF(DAY(Date_Courrier)=1,"er","")&amp;" "&amp;INDEX(Liste_Mois,MONTH(Date_Courrier))&amp;" "&amp;YEAR(Date_Courrier)</f>
        <v>Le Plessis-Bouchard, le 22 septembre 2026</v>
      </c>
      <c r="E10591" s="36"/>
      <c r="F10591" s="36"/>
      <c r="J10591" s="25"/>
      <c r="K10591" s="25"/>
      <c r="L10591" s="25"/>
      <c r="M10591" s="25"/>
      <c r="N10591" s="25"/>
      <c r="O10591" s="25"/>
    </row>
    <row r="10592" customFormat="false" ht="19.5" hidden="false" customHeight="true" outlineLevel="0" collapsed="false">
      <c r="B10592" s="10"/>
      <c r="C10592" s="10"/>
      <c r="D10592" s="10"/>
      <c r="E10592" s="10"/>
      <c r="F10592" s="10"/>
      <c r="J10592" s="25"/>
      <c r="K10592" s="25"/>
      <c r="L10592" s="25"/>
      <c r="M10592" s="25"/>
      <c r="N10592" s="25"/>
      <c r="O10592" s="25"/>
    </row>
    <row r="10593" customFormat="false" ht="15" hidden="false" customHeight="false" outlineLevel="0" collapsed="false">
      <c r="B10593" s="34" t="str">
        <f aca="false">SUBSTITUTE(SUBSTITUTE(SUBSTITUTE(SUBSTITUTE(SUBSTITUTE(Txt_Objet,"{cabinet}",Cab_Nom),"{societe}",IF($K$10576=0,"",INDEX(Clients!$E$2:$E$501,$K$10576)&amp;"")),"{date_effet}",$K$10578),"{hausse}",$K$10579),"{civilite}",$K$10577)</f>
        <v>Objet : révision de nos honoraires au 1er janvier 2027</v>
      </c>
      <c r="C10593" s="34"/>
      <c r="D10593" s="34"/>
      <c r="E10593" s="34"/>
      <c r="F10593" s="34"/>
      <c r="J10593" s="25"/>
      <c r="K10593" s="25"/>
      <c r="L10593" s="25"/>
      <c r="M10593" s="25"/>
      <c r="N10593" s="25"/>
      <c r="O10593" s="25"/>
    </row>
    <row r="10594" customFormat="false" ht="13.5" hidden="false" customHeight="true" outlineLevel="0" collapsed="false">
      <c r="B10594" s="10"/>
      <c r="C10594" s="10"/>
      <c r="D10594" s="10"/>
      <c r="E10594" s="10"/>
      <c r="F10594" s="10"/>
      <c r="J10594" s="25"/>
      <c r="K10594" s="25"/>
      <c r="L10594" s="25"/>
      <c r="M10594" s="25"/>
      <c r="N10594" s="25"/>
      <c r="O10594" s="25"/>
    </row>
    <row r="10595" customFormat="false" ht="15" hidden="false" customHeight="false" outlineLevel="0" collapsed="false">
      <c r="B10595" s="10" t="str">
        <f aca="false">$K$10577&amp;","</f>
        <v>Madame, Monsieur,</v>
      </c>
      <c r="C10595" s="10"/>
      <c r="D10595" s="10"/>
      <c r="E10595" s="10"/>
      <c r="F10595" s="10"/>
      <c r="J10595" s="25"/>
      <c r="K10595" s="25"/>
      <c r="L10595" s="25"/>
      <c r="M10595" s="25"/>
      <c r="N10595" s="25"/>
      <c r="O10595" s="25"/>
    </row>
    <row r="10596" customFormat="false" ht="6" hidden="false" customHeight="true" outlineLevel="0" collapsed="false">
      <c r="B10596" s="10"/>
      <c r="C10596" s="10"/>
      <c r="D10596" s="10"/>
      <c r="E10596" s="10"/>
      <c r="F10596" s="10"/>
      <c r="J10596" s="25"/>
      <c r="K10596" s="25"/>
      <c r="L10596" s="25"/>
      <c r="M10596" s="25"/>
      <c r="N10596" s="25"/>
      <c r="O10596" s="25"/>
    </row>
    <row r="10597" customFormat="false" ht="36.75" hidden="false" customHeight="true" outlineLevel="0" collapsed="false">
      <c r="B10597" s="37" t="str">
        <f aca="false">SUBSTITUTE(SUBSTITUTE(SUBSTITUTE(SUBSTITUTE(SUBSTITUTE(Txt_P1,"{cabinet}",Cab_Nom),"{societe}",IF($K$10576=0,"",INDEX(Clients!$E$2:$E$501,$K$10576)&amp;"")),"{date_effet}",$K$10578),"{hausse}",$K$10579),"{civilite}",$K$10577)</f>
        <v>Nous tenons tout d'abord à vous remercier pour la confiance que vous accordez à ALTHO EXPERTISE. Comme chaque année, et conformément aux dispositions de votre lettre de mission, nous procédons à la révision de nos honoraires.</v>
      </c>
      <c r="C10597" s="37"/>
      <c r="D10597" s="37"/>
      <c r="E10597" s="37"/>
      <c r="F10597" s="37"/>
      <c r="J10597" s="25"/>
      <c r="K10597" s="25"/>
      <c r="L10597" s="25"/>
      <c r="M10597" s="25"/>
      <c r="N10597" s="25"/>
      <c r="O10597" s="25"/>
    </row>
    <row r="10598" customFormat="false" ht="49.5" hidden="false" customHeight="true" outlineLevel="0" collapsed="false">
      <c r="B10598" s="37" t="str">
        <f aca="false">SUBSTITUTE(SUBSTITUTE(SUBSTITUTE(SUBSTITUTE(SUBSTITUTE(Txt_P2,"{cabinet}",Cab_Nom),"{societe}",IF($K$10576=0,"",INDEX(Clients!$E$2:$E$501,$K$10576)&amp;"")),"{date_effet}",$K$10578),"{hausse}",$K$10579),"{civilite}",$K$10577)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598" s="37"/>
      <c r="D10598" s="37"/>
      <c r="E10598" s="37"/>
      <c r="F10598" s="37"/>
      <c r="J10598" s="25"/>
      <c r="K10598" s="25"/>
      <c r="L10598" s="25"/>
      <c r="M10598" s="25"/>
      <c r="N10598" s="25"/>
      <c r="O10598" s="25"/>
    </row>
    <row r="10599" customFormat="false" ht="63" hidden="false" customHeight="true" outlineLevel="0" collapsed="false">
      <c r="B10599" s="37" t="str">
        <f aca="false">SUBSTITUTE(SUBSTITUTE(SUBSTITUTE(SUBSTITUTE(SUBSTITUTE(Txt_P3,"{cabinet}",Cab_Nom),"{societe}",IF($K$10576=0,"",INDEX(Clients!$E$2:$E$501,$K$10576)&amp;"")),"{date_effet}",$K$10578),"{hausse}",$K$10579),"{civilite}",$K$10577)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599" s="37"/>
      <c r="D10599" s="37"/>
      <c r="E10599" s="37"/>
      <c r="F10599" s="37"/>
      <c r="J10599" s="25"/>
      <c r="K10599" s="25"/>
      <c r="L10599" s="25"/>
      <c r="M10599" s="25"/>
      <c r="N10599" s="25"/>
      <c r="O10599" s="25"/>
    </row>
    <row r="10600" customFormat="false" ht="24" hidden="false" customHeight="true" outlineLevel="0" collapsed="false">
      <c r="B10600" s="37" t="str">
        <f aca="false">SUBSTITUTE(SUBSTITUTE(SUBSTITUTE(SUBSTITUTE(SUBSTITUTE(Txt_P4,"{cabinet}",Cab_Nom),"{societe}",IF($K$10576=0,"",INDEX(Clients!$E$2:$E$501,$K$10576)&amp;"")),"{date_effet}",$K$10578),"{hausse}",$K$10579),"{civilite}",$K$10577)</f>
        <v>À compter du 1er janvier 2027, vos honoraires annuels hors taxes évolueront ainsi (évolution globale : ) :</v>
      </c>
      <c r="C10600" s="37"/>
      <c r="D10600" s="37"/>
      <c r="E10600" s="37"/>
      <c r="F10600" s="37"/>
      <c r="J10600" s="25"/>
      <c r="K10600" s="25"/>
      <c r="L10600" s="25"/>
      <c r="M10600" s="25"/>
      <c r="N10600" s="25"/>
      <c r="O10600" s="25"/>
    </row>
    <row r="10601" customFormat="false" ht="3.75" hidden="false" customHeight="true" outlineLevel="0" collapsed="false">
      <c r="B10601" s="10"/>
      <c r="C10601" s="10"/>
      <c r="D10601" s="10"/>
      <c r="E10601" s="10"/>
      <c r="F10601" s="10"/>
      <c r="J10601" s="25"/>
      <c r="K10601" s="25"/>
      <c r="L10601" s="25"/>
      <c r="M10601" s="25"/>
      <c r="N10601" s="25"/>
      <c r="O10601" s="25"/>
    </row>
    <row r="10602" customFormat="false" ht="18" hidden="false" customHeight="true" outlineLevel="0" collapsed="false">
      <c r="B10602" s="38" t="s">
        <v>148</v>
      </c>
      <c r="C10602" s="39" t="s">
        <v>149</v>
      </c>
      <c r="D10602" s="39" t="s">
        <v>150</v>
      </c>
      <c r="E10602" s="39" t="s">
        <v>151</v>
      </c>
      <c r="F10602" s="39" t="s">
        <v>109</v>
      </c>
      <c r="J10602" s="25" t="s">
        <v>152</v>
      </c>
      <c r="K10602" s="25" t="s">
        <v>153</v>
      </c>
      <c r="L10602" s="25" t="s">
        <v>154</v>
      </c>
      <c r="M10602" s="25" t="s">
        <v>155</v>
      </c>
      <c r="N10602" s="25" t="s">
        <v>156</v>
      </c>
      <c r="O10602" s="25" t="s">
        <v>157</v>
      </c>
    </row>
    <row r="10603" customFormat="false" ht="16.5" hidden="false" customHeight="true" outlineLevel="0" collapsed="false">
      <c r="B10603" s="40" t="str">
        <f aca="false">IFERROR(INDEX($J$10603:$J$10606,MATCH($O10603,$N$10603:$N$10606,0)),"")</f>
        <v/>
      </c>
      <c r="C10603" s="41" t="str">
        <f aca="false">IFERROR(INDEX($K$10603:$K$10606,MATCH($O10603,$N$10603:$N$10606,0)),"")</f>
        <v/>
      </c>
      <c r="D10603" s="42" t="str">
        <f aca="false">IF(OR(E10603="",N(C10603)=0),"",E10603/C10603-1)</f>
        <v/>
      </c>
      <c r="E10603" s="41" t="str">
        <f aca="false">IFERROR(INDEX($L$10603:$L$10606,MATCH($O10603,$N$10603:$N$10606,0)),"")</f>
        <v/>
      </c>
      <c r="F10603" s="41" t="str">
        <f aca="false">IF(E10603="","",E10603-C10603)</f>
        <v/>
      </c>
      <c r="J10603" s="25" t="str">
        <f aca="false">Lib_Compta</f>
        <v>Mission comptable (tenue, révision, bilan, liasse fiscale)</v>
      </c>
      <c r="K10603" s="25" t="n">
        <f aca="false">IF($K$10576=0,0,N(INDEX(Clients!$K$2:$K$501,$K$10576)))</f>
        <v>0</v>
      </c>
      <c r="L10603" s="25" t="n">
        <f aca="false">IF($K$10576=0,0,N(INDEX(Clients!$P$2:$P$501,$K$10576)))</f>
        <v>0</v>
      </c>
      <c r="M10603" s="25" t="n">
        <f aca="false">IF(OR(K10603&lt;&gt;0,L10603&lt;&gt;0),1,0)</f>
        <v>0</v>
      </c>
      <c r="N10603" s="25" t="str">
        <f aca="false">IF(M10603=1,SUM($M$10603:M10603),"")</f>
        <v/>
      </c>
      <c r="O10603" s="25" t="n">
        <v>1</v>
      </c>
    </row>
    <row r="10604" customFormat="false" ht="16.5" hidden="false" customHeight="true" outlineLevel="0" collapsed="false">
      <c r="B10604" s="40" t="str">
        <f aca="false">IFERROR(INDEX($J$10603:$J$10606,MATCH($O10604,$N$10603:$N$10606,0)),"")</f>
        <v/>
      </c>
      <c r="C10604" s="41" t="str">
        <f aca="false">IFERROR(INDEX($K$10603:$K$10606,MATCH($O10604,$N$10603:$N$10606,0)),"")</f>
        <v/>
      </c>
      <c r="D10604" s="42" t="str">
        <f aca="false">IF(OR(E10604="",N(C10604)=0),"",E10604/C10604-1)</f>
        <v/>
      </c>
      <c r="E10604" s="41" t="str">
        <f aca="false">IFERROR(INDEX($L$10603:$L$10606,MATCH($O10604,$N$10603:$N$10606,0)),"")</f>
        <v/>
      </c>
      <c r="F10604" s="41" t="str">
        <f aca="false">IF(E10604="","",E10604-C10604)</f>
        <v/>
      </c>
      <c r="J10604" s="25" t="str">
        <f aca="false">Lib_Paye</f>
        <v>Mission sociale (bulletins de paie, DSN, déclarations sociales)</v>
      </c>
      <c r="K10604" s="25" t="n">
        <f aca="false">IF($K$10576=0,0,N(INDEX(Clients!$L$2:$L$501,$K$10576)))</f>
        <v>0</v>
      </c>
      <c r="L10604" s="25" t="n">
        <f aca="false">IF($K$10576=0,0,N(INDEX(Clients!$Q$2:$Q$501,$K$10576)))</f>
        <v>0</v>
      </c>
      <c r="M10604" s="25" t="n">
        <f aca="false">IF(OR(K10604&lt;&gt;0,L10604&lt;&gt;0),1,0)</f>
        <v>0</v>
      </c>
      <c r="N10604" s="25" t="str">
        <f aca="false">IF(M10604=1,SUM($M$10603:M10604),"")</f>
        <v/>
      </c>
      <c r="O10604" s="25" t="n">
        <v>2</v>
      </c>
    </row>
    <row r="10605" customFormat="false" ht="16.5" hidden="false" customHeight="true" outlineLevel="0" collapsed="false">
      <c r="B10605" s="40" t="str">
        <f aca="false">IFERROR(INDEX($J$10603:$J$10606,MATCH($O10605,$N$10603:$N$10606,0)),"")</f>
        <v/>
      </c>
      <c r="C10605" s="41" t="str">
        <f aca="false">IFERROR(INDEX($K$10603:$K$10606,MATCH($O10605,$N$10603:$N$10606,0)),"")</f>
        <v/>
      </c>
      <c r="D10605" s="42" t="str">
        <f aca="false">IF(OR(E10605="",N(C10605)=0),"",E10605/C10605-1)</f>
        <v/>
      </c>
      <c r="E10605" s="41" t="str">
        <f aca="false">IFERROR(INDEX($L$10603:$L$10606,MATCH($O10605,$N$10603:$N$10606,0)),"")</f>
        <v/>
      </c>
      <c r="F10605" s="41" t="str">
        <f aca="false">IF(E10605="","",E10605-C10605)</f>
        <v/>
      </c>
      <c r="J10605" s="25" t="str">
        <f aca="false">Lib_Jur</f>
        <v>Mission juridique (approbation des comptes, secrétariat juridique)</v>
      </c>
      <c r="K10605" s="25" t="n">
        <f aca="false">IF($K$10576=0,0,N(INDEX(Clients!$M$2:$M$501,$K$10576)))</f>
        <v>0</v>
      </c>
      <c r="L10605" s="25" t="n">
        <f aca="false">IF($K$10576=0,0,N(INDEX(Clients!$R$2:$R$501,$K$10576)))</f>
        <v>0</v>
      </c>
      <c r="M10605" s="25" t="n">
        <f aca="false">IF(OR(K10605&lt;&gt;0,L10605&lt;&gt;0),1,0)</f>
        <v>0</v>
      </c>
      <c r="N10605" s="25" t="str">
        <f aca="false">IF(M10605=1,SUM($M$10603:M10605),"")</f>
        <v/>
      </c>
      <c r="O10605" s="25" t="n">
        <v>3</v>
      </c>
    </row>
    <row r="10606" customFormat="false" ht="16.5" hidden="false" customHeight="true" outlineLevel="0" collapsed="false">
      <c r="B10606" s="40" t="str">
        <f aca="false">IFERROR(INDEX($J$10603:$J$10606,MATCH($O10606,$N$10603:$N$10606,0)),"")</f>
        <v/>
      </c>
      <c r="C10606" s="41" t="str">
        <f aca="false">IFERROR(INDEX($K$10603:$K$10606,MATCH($O10606,$N$10603:$N$10606,0)),"")</f>
        <v/>
      </c>
      <c r="D10606" s="42" t="str">
        <f aca="false">IF(OR(E10606="",N(C10606)=0),"",E10606/C10606-1)</f>
        <v/>
      </c>
      <c r="E10606" s="41" t="str">
        <f aca="false">IFERROR(INDEX($L$10603:$L$10606,MATCH($O10606,$N$10603:$N$10606,0)),"")</f>
        <v/>
      </c>
      <c r="F10606" s="41" t="str">
        <f aca="false">IF(E10606="","",E10606-C10606)</f>
        <v/>
      </c>
      <c r="J10606" s="25" t="str">
        <f aca="false">Lib_PA</f>
        <v>Plateforme agréée – facturation électronique</v>
      </c>
      <c r="K10606" s="25" t="n">
        <f aca="false">IF($K$10576=0,0,N(INDEX(Clients!$N$2:$N$501,$K$10576)))</f>
        <v>0</v>
      </c>
      <c r="L10606" s="25" t="n">
        <f aca="false">IF($K$10576=0,0,N(INDEX(Clients!$S$2:$S$501,$K$10576)))</f>
        <v>0</v>
      </c>
      <c r="M10606" s="25" t="n">
        <f aca="false">IF(OR(K10606&lt;&gt;0,L10606&lt;&gt;0),1,0)</f>
        <v>0</v>
      </c>
      <c r="N10606" s="25" t="str">
        <f aca="false">IF(M10606=1,SUM($M$10603:M10606),"")</f>
        <v/>
      </c>
      <c r="O10606" s="25" t="n">
        <v>4</v>
      </c>
    </row>
    <row r="10607" customFormat="false" ht="18" hidden="false" customHeight="true" outlineLevel="0" collapsed="false">
      <c r="B10607" s="43" t="s">
        <v>158</v>
      </c>
      <c r="C10607" s="44" t="n">
        <f aca="false">SUM(K10603:K10606)</f>
        <v>0</v>
      </c>
      <c r="D10607" s="45" t="str">
        <f aca="false">IF(N(C10607)=0,"",E10607/C10607-1)</f>
        <v/>
      </c>
      <c r="E10607" s="44" t="n">
        <f aca="false">SUM(L10603:L10606)</f>
        <v>0</v>
      </c>
      <c r="F10607" s="44" t="n">
        <f aca="false">E10607-C10607</f>
        <v>0</v>
      </c>
    </row>
    <row r="10608" customFormat="false" ht="15" hidden="false" customHeight="false" outlineLevel="0" collapsed="false">
      <c r="B10608" s="46" t="str">
        <f aca="false">IF(N(Nb_Mensualites)=0,"","Soit "&amp;FIXED(E10607/Nb_Mensualites,2)&amp;" € HT par échéance ("&amp;Nb_Mensualites&amp;" échéances), "&amp;FIXED(E10607/Nb_Mensualites*(1+Taux_TVA),2)&amp;" € TTC.")</f>
        <v>Soit 0.00 € HT par échéance (12 échéances), 0.00 € TTC.</v>
      </c>
      <c r="C10608" s="46"/>
      <c r="D10608" s="46"/>
      <c r="E10608" s="46"/>
      <c r="F10608" s="46"/>
    </row>
    <row r="10609" customFormat="false" ht="7.5" hidden="false" customHeight="true" outlineLevel="0" collapsed="false">
      <c r="B10609" s="10"/>
      <c r="C10609" s="10"/>
      <c r="D10609" s="10"/>
      <c r="E10609" s="10"/>
      <c r="F10609" s="10"/>
    </row>
    <row r="10610" customFormat="false" ht="36.75" hidden="false" customHeight="true" outlineLevel="0" collapsed="false">
      <c r="B10610" s="37" t="str">
        <f aca="false">SUBSTITUTE(SUBSTITUTE(SUBSTITUTE(SUBSTITUTE(SUBSTITUTE(Txt_P5,"{cabinet}",Cab_Nom),"{societe}",IF($K$10576=0,"",INDEX(Clients!$E$2:$E$501,$K$10576)&amp;"")),"{date_effet}",$K$10578),"{hausse}",$K$10579),"{civilite}",$K$10577)</f>
        <v>Les autres conditions de votre lettre de mission demeurent inchangées. Les nouveaux montants seront appliqués automatiquement sur vos prochaines factures et échéances de prélèvement.</v>
      </c>
      <c r="C10610" s="37"/>
      <c r="D10610" s="37"/>
      <c r="E10610" s="37"/>
      <c r="F10610" s="37"/>
    </row>
    <row r="10611" customFormat="false" ht="36.75" hidden="false" customHeight="true" outlineLevel="0" collapsed="false">
      <c r="B10611" s="37" t="str">
        <f aca="false">SUBSTITUTE(SUBSTITUTE(SUBSTITUTE(SUBSTITUTE(SUBSTITUTE(Txt_P6,"{cabinet}",Cab_Nom),"{societe}",IF($K$10576=0,"",INDEX(Clients!$E$2:$E$501,$K$10576)&amp;"")),"{date_effet}",$K$10578),"{hausse}",$K$10579),"{civilite}",$K$10577)</f>
        <v>Votre interlocuteur habituel reste à votre entière disposition pour répondre à vos questions et faire le point sur l'évolution de vos besoins.</v>
      </c>
      <c r="C10611" s="37"/>
      <c r="D10611" s="37"/>
      <c r="E10611" s="37"/>
      <c r="F10611" s="37"/>
    </row>
    <row r="10612" customFormat="false" ht="24" hidden="false" customHeight="true" outlineLevel="0" collapsed="false">
      <c r="B10612" s="37" t="str">
        <f aca="false">SUBSTITUTE(SUBSTITUTE(SUBSTITUTE(SUBSTITUTE(SUBSTITUTE(Txt_Politesse,"{cabinet}",Cab_Nom),"{societe}",IF($K$10576=0,"",INDEX(Clients!$E$2:$E$501,$K$10576)&amp;"")),"{date_effet}",$K$10578),"{hausse}",$K$10579),"{civilite}",$K$10577)</f>
        <v>Nous vous prions d'agréer, Madame, Monsieur, l'expression de nos salutations distinguées.</v>
      </c>
      <c r="C10612" s="37"/>
      <c r="D10612" s="37"/>
      <c r="E10612" s="37"/>
      <c r="F10612" s="37"/>
    </row>
    <row r="10613" customFormat="false" ht="15" hidden="false" customHeight="false" outlineLevel="0" collapsed="false">
      <c r="B10613" s="10"/>
      <c r="C10613" s="10"/>
      <c r="D10613" s="10"/>
      <c r="E10613" s="10"/>
      <c r="F10613" s="10"/>
    </row>
    <row r="10614" customFormat="false" ht="15" hidden="false" customHeight="false" outlineLevel="0" collapsed="false">
      <c r="B10614" s="10"/>
      <c r="C10614" s="10"/>
      <c r="D10614" s="34" t="str">
        <f aca="false">Signataire</f>
        <v>Prénom NOM</v>
      </c>
      <c r="E10614" s="34"/>
      <c r="F10614" s="34"/>
    </row>
    <row r="10615" customFormat="false" ht="15" hidden="false" customHeight="false" outlineLevel="0" collapsed="false">
      <c r="B10615" s="10"/>
      <c r="C10615" s="10"/>
      <c r="D10615" s="47" t="str">
        <f aca="false">Signataire_Titre</f>
        <v>Expert-comptable associé</v>
      </c>
      <c r="E10615" s="47"/>
      <c r="F10615" s="47"/>
    </row>
    <row r="10616" customFormat="false" ht="15.75" hidden="false" customHeight="true" outlineLevel="0" collapsed="false">
      <c r="B10616" s="10"/>
      <c r="C10616" s="10"/>
      <c r="D10616" s="10"/>
      <c r="E10616" s="10"/>
      <c r="F10616" s="10"/>
    </row>
    <row r="10617" customFormat="false" ht="15.75" hidden="false" customHeight="true" outlineLevel="0" collapsed="false">
      <c r="B10617" s="10"/>
      <c r="C10617" s="10"/>
      <c r="D10617" s="10"/>
      <c r="E10617" s="10"/>
      <c r="F10617" s="10"/>
    </row>
    <row r="10618" customFormat="false" ht="15.75" hidden="false" customHeight="true" outlineLevel="0" collapsed="false">
      <c r="B10618" s="10"/>
      <c r="C10618" s="10"/>
      <c r="D10618" s="10"/>
      <c r="E10618" s="10"/>
      <c r="F10618" s="10"/>
    </row>
    <row r="10619" customFormat="false" ht="15.75" hidden="false" customHeight="true" outlineLevel="0" collapsed="false">
      <c r="B10619" s="10"/>
      <c r="C10619" s="10"/>
      <c r="D10619" s="10"/>
      <c r="E10619" s="10"/>
      <c r="F10619" s="10"/>
    </row>
    <row r="10620" customFormat="false" ht="24" hidden="false" customHeight="true" outlineLevel="0" collapsed="false">
      <c r="B10620" s="48" t="str">
        <f aca="false">Cab_Mentions</f>
        <v>ALTHO EXPERTISE · SAS au capital de 10 000 € · RCS Pontoise 919 706 325 · TVA FR62919706325 · Société d'expertise comptable inscrite au Tableau de l'Ordre des experts-comptables de Paris Île-de-France</v>
      </c>
      <c r="C10620" s="48"/>
      <c r="D10620" s="48"/>
      <c r="E10620" s="48"/>
      <c r="F10620" s="48"/>
    </row>
    <row r="10621" customFormat="false" ht="15" hidden="false" customHeight="false" outlineLevel="0" collapsed="false">
      <c r="B10621" s="10"/>
      <c r="C10621" s="10"/>
      <c r="D10621" s="10"/>
      <c r="E10621" s="10"/>
      <c r="F10621" s="10"/>
      <c r="J10621" s="25" t="s">
        <v>142</v>
      </c>
      <c r="K10621" s="25" t="n">
        <f aca="false">IFERROR(MATCH(237,Clients!$Z$2:$Z$501,0),0)</f>
        <v>0</v>
      </c>
      <c r="L10621" s="25"/>
      <c r="M10621" s="25"/>
      <c r="N10621" s="25"/>
      <c r="O10621" s="25"/>
    </row>
    <row r="10622" customFormat="false" ht="21.75" hidden="false" customHeight="true" outlineLevel="0" collapsed="false">
      <c r="B10622" s="26" t="str">
        <f aca="false">Cab_Nom</f>
        <v>ALTHO EXPERTISE</v>
      </c>
      <c r="C10622" s="26"/>
      <c r="D10622" s="10"/>
      <c r="E10622" s="27" t="str">
        <f aca="false">IF($K$10621=0,"","Réf. client : "&amp;INDEX(Clients!$A$2:$A$501,$K$10621))</f>
        <v/>
      </c>
      <c r="F10622" s="27"/>
      <c r="J10622" s="25" t="s">
        <v>144</v>
      </c>
      <c r="K10622" s="25" t="str">
        <f aca="false">IF(IF($K$10621=0,"",INDEX(Clients!$B$2:$B$501,$K$10621)&amp;"")="Mme","Madame",IF(IF($K$10621=0,"",INDEX(Clients!$B$2:$B$501,$K$10621)&amp;"")="M.","Monsieur","Madame, Monsieur"))</f>
        <v>Madame, Monsieur</v>
      </c>
      <c r="L10622" s="25"/>
      <c r="M10622" s="25"/>
      <c r="N10622" s="25"/>
      <c r="O10622" s="25"/>
    </row>
    <row r="10623" customFormat="false" ht="15" hidden="false" customHeight="false" outlineLevel="0" collapsed="false">
      <c r="B10623" s="29" t="str">
        <f aca="false">Cab_Adr1</f>
        <v>141 rue Charles de Gaulle</v>
      </c>
      <c r="C10623" s="29"/>
      <c r="D10623" s="10"/>
      <c r="E10623" s="10"/>
      <c r="F10623" s="10"/>
      <c r="J10623" s="25" t="s">
        <v>145</v>
      </c>
      <c r="K10623" s="25" t="str">
        <f aca="false">DAY(Date_Effet)&amp;IF(DAY(Date_Effet)=1,"er","")&amp;" "&amp;INDEX(Liste_Mois,MONTH(Date_Effet))&amp;" "&amp;YEAR(Date_Effet)</f>
        <v>1er janvier 2027</v>
      </c>
      <c r="L10623" s="25"/>
      <c r="M10623" s="25"/>
      <c r="N10623" s="25"/>
      <c r="O10623" s="25"/>
    </row>
    <row r="10624" customFormat="false" ht="15" hidden="false" customHeight="false" outlineLevel="0" collapsed="false">
      <c r="B10624" s="29" t="str">
        <f aca="false">Cab_CPVille</f>
        <v>95130 LE PLESSIS-BOUCHARD</v>
      </c>
      <c r="C10624" s="29"/>
      <c r="D10624" s="10"/>
      <c r="E10624" s="10"/>
      <c r="F10624" s="10"/>
      <c r="J10624" s="25" t="s">
        <v>146</v>
      </c>
      <c r="K10624" s="25" t="str">
        <f aca="false">IF(SUM($K$10648:$K$10651)=0,"",FIXED((SUM($L$10648:$L$10651)/SUM($K$10648:$K$10651)-1)*100,1)&amp;" %")</f>
        <v/>
      </c>
      <c r="L10624" s="25"/>
      <c r="M10624" s="25"/>
      <c r="N10624" s="25"/>
      <c r="O10624" s="25"/>
    </row>
    <row r="10625" customFormat="false" ht="15" hidden="false" customHeight="false" outlineLevel="0" collapsed="false">
      <c r="B10625" s="29" t="str">
        <f aca="false">Cab_Contact</f>
        <v>Tél. 01 34 14 53 45  ·  altho@altho-experts.com  ·  altho-experts.com</v>
      </c>
      <c r="C10625" s="29"/>
      <c r="D10625" s="10"/>
      <c r="E10625" s="10"/>
      <c r="F10625" s="10"/>
      <c r="J10625" s="25"/>
      <c r="K10625" s="25"/>
      <c r="L10625" s="25"/>
      <c r="M10625" s="25"/>
      <c r="N10625" s="25"/>
      <c r="O10625" s="25"/>
    </row>
    <row r="10626" customFormat="false" ht="6" hidden="false" customHeight="true" outlineLevel="0" collapsed="false">
      <c r="B10626" s="32"/>
      <c r="C10626" s="32"/>
      <c r="D10626" s="32"/>
      <c r="E10626" s="32"/>
      <c r="F10626" s="32"/>
      <c r="J10626" s="25"/>
      <c r="K10626" s="25"/>
      <c r="L10626" s="25"/>
      <c r="M10626" s="25"/>
      <c r="N10626" s="25"/>
      <c r="O10626" s="25"/>
    </row>
    <row r="10627" customFormat="false" ht="13.5" hidden="false" customHeight="true" outlineLevel="0" collapsed="false">
      <c r="B10627" s="10"/>
      <c r="C10627" s="10"/>
      <c r="D10627" s="10"/>
      <c r="E10627" s="10"/>
      <c r="F10627" s="10"/>
      <c r="J10627" s="25"/>
      <c r="K10627" s="25"/>
      <c r="L10627" s="25"/>
      <c r="M10627" s="25"/>
      <c r="N10627" s="25"/>
      <c r="O10627" s="25"/>
    </row>
    <row r="10628" customFormat="false" ht="13.5" hidden="false" customHeight="true" outlineLevel="0" collapsed="false">
      <c r="B10628" s="10"/>
      <c r="C10628" s="10"/>
      <c r="D10628" s="10"/>
      <c r="E10628" s="10"/>
      <c r="F10628" s="10"/>
      <c r="J10628" s="25"/>
      <c r="K10628" s="25"/>
      <c r="L10628" s="25"/>
      <c r="M10628" s="25"/>
      <c r="N10628" s="25"/>
      <c r="O10628" s="25"/>
    </row>
    <row r="10629" customFormat="false" ht="13.5" hidden="false" customHeight="true" outlineLevel="0" collapsed="false">
      <c r="B10629" s="10"/>
      <c r="C10629" s="10"/>
      <c r="D10629" s="10"/>
      <c r="E10629" s="10"/>
      <c r="F10629" s="10"/>
      <c r="J10629" s="25"/>
      <c r="K10629" s="25"/>
      <c r="L10629" s="25"/>
      <c r="M10629" s="25"/>
      <c r="N10629" s="25"/>
      <c r="O10629" s="25"/>
    </row>
    <row r="10630" customFormat="false" ht="15" hidden="false" customHeight="true" outlineLevel="0" collapsed="false">
      <c r="B10630" s="10"/>
      <c r="C10630" s="10"/>
      <c r="D10630" s="34" t="str">
        <f aca="false">IF($K$10621=0,"",INDEX(Clients!$E$2:$E$501,$K$10621)&amp;"")</f>
        <v/>
      </c>
      <c r="E10630" s="34"/>
      <c r="F10630" s="34"/>
      <c r="J10630" s="25"/>
      <c r="K10630" s="25"/>
      <c r="L10630" s="25"/>
      <c r="M10630" s="25"/>
      <c r="N10630" s="25"/>
      <c r="O10630" s="25"/>
    </row>
    <row r="10631" customFormat="false" ht="15" hidden="false" customHeight="true" outlineLevel="0" collapsed="false">
      <c r="B10631" s="10"/>
      <c r="C10631" s="10"/>
      <c r="D10631" s="35" t="str">
        <f aca="false">IF(IF($K$10621=0,"",INDEX(Clients!$D$2:$D$501,$K$10621)&amp;"")="","","À l'attention de "&amp;TRIM(IF($K$10621=0,"",INDEX(Clients!$B$2:$B$501,$K$10621)&amp;"")&amp;" "&amp;IF($K$10621=0,"",INDEX(Clients!$C$2:$C$501,$K$10621)&amp;"")&amp;" "&amp;IF($K$10621=0,"",INDEX(Clients!$D$2:$D$501,$K$10621)&amp;"")))</f>
        <v/>
      </c>
      <c r="E10631" s="35"/>
      <c r="F10631" s="35"/>
      <c r="J10631" s="25"/>
      <c r="K10631" s="25"/>
      <c r="L10631" s="25"/>
      <c r="M10631" s="25"/>
      <c r="N10631" s="25"/>
      <c r="O10631" s="25"/>
    </row>
    <row r="10632" customFormat="false" ht="15" hidden="false" customHeight="true" outlineLevel="0" collapsed="false">
      <c r="B10632" s="10"/>
      <c r="C10632" s="10"/>
      <c r="D10632" s="35" t="str">
        <f aca="false">IF($K$10621=0,"",INDEX(Clients!$F$2:$F$501,$K$10621)&amp;"")</f>
        <v/>
      </c>
      <c r="E10632" s="35"/>
      <c r="F10632" s="35"/>
      <c r="J10632" s="25"/>
      <c r="K10632" s="25"/>
      <c r="L10632" s="25"/>
      <c r="M10632" s="25"/>
      <c r="N10632" s="25"/>
      <c r="O10632" s="25"/>
    </row>
    <row r="10633" customFormat="false" ht="15" hidden="false" customHeight="true" outlineLevel="0" collapsed="false">
      <c r="B10633" s="10"/>
      <c r="C10633" s="10"/>
      <c r="D10633" s="35" t="str">
        <f aca="false">IF(IF($K$10621=0,"",INDEX(Clients!$G$2:$G$501,$K$10621)&amp;"")="",TRIM(IF($K$10621=0,"",INDEX(Clients!$H$2:$H$501,$K$10621)&amp;"")&amp;" "&amp;UPPER(IF($K$10621=0,"",INDEX(Clients!$I$2:$I$501,$K$10621)&amp;""))),IF($K$10621=0,"",INDEX(Clients!$G$2:$G$501,$K$10621)&amp;""))</f>
        <v/>
      </c>
      <c r="E10633" s="35"/>
      <c r="F10633" s="35"/>
      <c r="J10633" s="25"/>
      <c r="K10633" s="25"/>
      <c r="L10633" s="25"/>
      <c r="M10633" s="25"/>
      <c r="N10633" s="25"/>
      <c r="O10633" s="25"/>
    </row>
    <row r="10634" customFormat="false" ht="15" hidden="false" customHeight="true" outlineLevel="0" collapsed="false">
      <c r="B10634" s="10"/>
      <c r="C10634" s="10"/>
      <c r="D10634" s="35" t="str">
        <f aca="false">IF(IF($K$10621=0,"",INDEX(Clients!$G$2:$G$501,$K$10621)&amp;"")="","",TRIM(IF($K$10621=0,"",INDEX(Clients!$H$2:$H$501,$K$10621)&amp;"")&amp;" "&amp;UPPER(IF($K$10621=0,"",INDEX(Clients!$I$2:$I$501,$K$10621)&amp;""))))</f>
        <v/>
      </c>
      <c r="E10634" s="35"/>
      <c r="F10634" s="35"/>
      <c r="J10634" s="25"/>
      <c r="K10634" s="25"/>
      <c r="L10634" s="25"/>
      <c r="M10634" s="25"/>
      <c r="N10634" s="25"/>
      <c r="O10634" s="25"/>
    </row>
    <row r="10635" customFormat="false" ht="25.5" hidden="false" customHeight="true" outlineLevel="0" collapsed="false">
      <c r="B10635" s="10"/>
      <c r="C10635" s="10"/>
      <c r="D10635" s="10"/>
      <c r="E10635" s="10"/>
      <c r="F10635" s="10"/>
      <c r="J10635" s="25"/>
      <c r="K10635" s="25"/>
      <c r="L10635" s="25"/>
      <c r="M10635" s="25"/>
      <c r="N10635" s="25"/>
      <c r="O10635" s="25"/>
    </row>
    <row r="10636" customFormat="false" ht="15" hidden="false" customHeight="false" outlineLevel="0" collapsed="false">
      <c r="B10636" s="10"/>
      <c r="C10636" s="10"/>
      <c r="D10636" s="36" t="str">
        <f aca="false">Cab_Ville&amp;", le "&amp;DAY(Date_Courrier)&amp;IF(DAY(Date_Courrier)=1,"er","")&amp;" "&amp;INDEX(Liste_Mois,MONTH(Date_Courrier))&amp;" "&amp;YEAR(Date_Courrier)</f>
        <v>Le Plessis-Bouchard, le 22 septembre 2026</v>
      </c>
      <c r="E10636" s="36"/>
      <c r="F10636" s="36"/>
      <c r="J10636" s="25"/>
      <c r="K10636" s="25"/>
      <c r="L10636" s="25"/>
      <c r="M10636" s="25"/>
      <c r="N10636" s="25"/>
      <c r="O10636" s="25"/>
    </row>
    <row r="10637" customFormat="false" ht="19.5" hidden="false" customHeight="true" outlineLevel="0" collapsed="false">
      <c r="B10637" s="10"/>
      <c r="C10637" s="10"/>
      <c r="D10637" s="10"/>
      <c r="E10637" s="10"/>
      <c r="F10637" s="10"/>
      <c r="J10637" s="25"/>
      <c r="K10637" s="25"/>
      <c r="L10637" s="25"/>
      <c r="M10637" s="25"/>
      <c r="N10637" s="25"/>
      <c r="O10637" s="25"/>
    </row>
    <row r="10638" customFormat="false" ht="15" hidden="false" customHeight="false" outlineLevel="0" collapsed="false">
      <c r="B10638" s="34" t="str">
        <f aca="false">SUBSTITUTE(SUBSTITUTE(SUBSTITUTE(SUBSTITUTE(SUBSTITUTE(Txt_Objet,"{cabinet}",Cab_Nom),"{societe}",IF($K$10621=0,"",INDEX(Clients!$E$2:$E$501,$K$10621)&amp;"")),"{date_effet}",$K$10623),"{hausse}",$K$10624),"{civilite}",$K$10622)</f>
        <v>Objet : révision de nos honoraires au 1er janvier 2027</v>
      </c>
      <c r="C10638" s="34"/>
      <c r="D10638" s="34"/>
      <c r="E10638" s="34"/>
      <c r="F10638" s="34"/>
      <c r="J10638" s="25"/>
      <c r="K10638" s="25"/>
      <c r="L10638" s="25"/>
      <c r="M10638" s="25"/>
      <c r="N10638" s="25"/>
      <c r="O10638" s="25"/>
    </row>
    <row r="10639" customFormat="false" ht="13.5" hidden="false" customHeight="true" outlineLevel="0" collapsed="false">
      <c r="B10639" s="10"/>
      <c r="C10639" s="10"/>
      <c r="D10639" s="10"/>
      <c r="E10639" s="10"/>
      <c r="F10639" s="10"/>
      <c r="J10639" s="25"/>
      <c r="K10639" s="25"/>
      <c r="L10639" s="25"/>
      <c r="M10639" s="25"/>
      <c r="N10639" s="25"/>
      <c r="O10639" s="25"/>
    </row>
    <row r="10640" customFormat="false" ht="15" hidden="false" customHeight="false" outlineLevel="0" collapsed="false">
      <c r="B10640" s="10" t="str">
        <f aca="false">$K$10622&amp;","</f>
        <v>Madame, Monsieur,</v>
      </c>
      <c r="C10640" s="10"/>
      <c r="D10640" s="10"/>
      <c r="E10640" s="10"/>
      <c r="F10640" s="10"/>
      <c r="J10640" s="25"/>
      <c r="K10640" s="25"/>
      <c r="L10640" s="25"/>
      <c r="M10640" s="25"/>
      <c r="N10640" s="25"/>
      <c r="O10640" s="25"/>
    </row>
    <row r="10641" customFormat="false" ht="6" hidden="false" customHeight="true" outlineLevel="0" collapsed="false">
      <c r="B10641" s="10"/>
      <c r="C10641" s="10"/>
      <c r="D10641" s="10"/>
      <c r="E10641" s="10"/>
      <c r="F10641" s="10"/>
      <c r="J10641" s="25"/>
      <c r="K10641" s="25"/>
      <c r="L10641" s="25"/>
      <c r="M10641" s="25"/>
      <c r="N10641" s="25"/>
      <c r="O10641" s="25"/>
    </row>
    <row r="10642" customFormat="false" ht="36.75" hidden="false" customHeight="true" outlineLevel="0" collapsed="false">
      <c r="B10642" s="37" t="str">
        <f aca="false">SUBSTITUTE(SUBSTITUTE(SUBSTITUTE(SUBSTITUTE(SUBSTITUTE(Txt_P1,"{cabinet}",Cab_Nom),"{societe}",IF($K$10621=0,"",INDEX(Clients!$E$2:$E$501,$K$10621)&amp;"")),"{date_effet}",$K$10623),"{hausse}",$K$10624),"{civilite}",$K$10622)</f>
        <v>Nous tenons tout d'abord à vous remercier pour la confiance que vous accordez à ALTHO EXPERTISE. Comme chaque année, et conformément aux dispositions de votre lettre de mission, nous procédons à la révision de nos honoraires.</v>
      </c>
      <c r="C10642" s="37"/>
      <c r="D10642" s="37"/>
      <c r="E10642" s="37"/>
      <c r="F10642" s="37"/>
      <c r="J10642" s="25"/>
      <c r="K10642" s="25"/>
      <c r="L10642" s="25"/>
      <c r="M10642" s="25"/>
      <c r="N10642" s="25"/>
      <c r="O10642" s="25"/>
    </row>
    <row r="10643" customFormat="false" ht="49.5" hidden="false" customHeight="true" outlineLevel="0" collapsed="false">
      <c r="B10643" s="37" t="str">
        <f aca="false">SUBSTITUTE(SUBSTITUTE(SUBSTITUTE(SUBSTITUTE(SUBSTITUTE(Txt_P2,"{cabinet}",Cab_Nom),"{societe}",IF($K$10621=0,"",INDEX(Clients!$E$2:$E$501,$K$10621)&amp;"")),"{date_effet}",$K$10623),"{hausse}",$K$10624),"{civilite}",$K$10622)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643" s="37"/>
      <c r="D10643" s="37"/>
      <c r="E10643" s="37"/>
      <c r="F10643" s="37"/>
      <c r="J10643" s="25"/>
      <c r="K10643" s="25"/>
      <c r="L10643" s="25"/>
      <c r="M10643" s="25"/>
      <c r="N10643" s="25"/>
      <c r="O10643" s="25"/>
    </row>
    <row r="10644" customFormat="false" ht="63" hidden="false" customHeight="true" outlineLevel="0" collapsed="false">
      <c r="B10644" s="37" t="str">
        <f aca="false">SUBSTITUTE(SUBSTITUTE(SUBSTITUTE(SUBSTITUTE(SUBSTITUTE(Txt_P3,"{cabinet}",Cab_Nom),"{societe}",IF($K$10621=0,"",INDEX(Clients!$E$2:$E$501,$K$10621)&amp;"")),"{date_effet}",$K$10623),"{hausse}",$K$10624),"{civilite}",$K$10622)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644" s="37"/>
      <c r="D10644" s="37"/>
      <c r="E10644" s="37"/>
      <c r="F10644" s="37"/>
      <c r="J10644" s="25"/>
      <c r="K10644" s="25"/>
      <c r="L10644" s="25"/>
      <c r="M10644" s="25"/>
      <c r="N10644" s="25"/>
      <c r="O10644" s="25"/>
    </row>
    <row r="10645" customFormat="false" ht="24" hidden="false" customHeight="true" outlineLevel="0" collapsed="false">
      <c r="B10645" s="37" t="str">
        <f aca="false">SUBSTITUTE(SUBSTITUTE(SUBSTITUTE(SUBSTITUTE(SUBSTITUTE(Txt_P4,"{cabinet}",Cab_Nom),"{societe}",IF($K$10621=0,"",INDEX(Clients!$E$2:$E$501,$K$10621)&amp;"")),"{date_effet}",$K$10623),"{hausse}",$K$10624),"{civilite}",$K$10622)</f>
        <v>À compter du 1er janvier 2027, vos honoraires annuels hors taxes évolueront ainsi (évolution globale : ) :</v>
      </c>
      <c r="C10645" s="37"/>
      <c r="D10645" s="37"/>
      <c r="E10645" s="37"/>
      <c r="F10645" s="37"/>
      <c r="J10645" s="25"/>
      <c r="K10645" s="25"/>
      <c r="L10645" s="25"/>
      <c r="M10645" s="25"/>
      <c r="N10645" s="25"/>
      <c r="O10645" s="25"/>
    </row>
    <row r="10646" customFormat="false" ht="3.75" hidden="false" customHeight="true" outlineLevel="0" collapsed="false">
      <c r="B10646" s="10"/>
      <c r="C10646" s="10"/>
      <c r="D10646" s="10"/>
      <c r="E10646" s="10"/>
      <c r="F10646" s="10"/>
      <c r="J10646" s="25"/>
      <c r="K10646" s="25"/>
      <c r="L10646" s="25"/>
      <c r="M10646" s="25"/>
      <c r="N10646" s="25"/>
      <c r="O10646" s="25"/>
    </row>
    <row r="10647" customFormat="false" ht="18" hidden="false" customHeight="true" outlineLevel="0" collapsed="false">
      <c r="B10647" s="38" t="s">
        <v>148</v>
      </c>
      <c r="C10647" s="39" t="s">
        <v>149</v>
      </c>
      <c r="D10647" s="39" t="s">
        <v>150</v>
      </c>
      <c r="E10647" s="39" t="s">
        <v>151</v>
      </c>
      <c r="F10647" s="39" t="s">
        <v>109</v>
      </c>
      <c r="J10647" s="25" t="s">
        <v>152</v>
      </c>
      <c r="K10647" s="25" t="s">
        <v>153</v>
      </c>
      <c r="L10647" s="25" t="s">
        <v>154</v>
      </c>
      <c r="M10647" s="25" t="s">
        <v>155</v>
      </c>
      <c r="N10647" s="25" t="s">
        <v>156</v>
      </c>
      <c r="O10647" s="25" t="s">
        <v>157</v>
      </c>
    </row>
    <row r="10648" customFormat="false" ht="16.5" hidden="false" customHeight="true" outlineLevel="0" collapsed="false">
      <c r="B10648" s="40" t="str">
        <f aca="false">IFERROR(INDEX($J$10648:$J$10651,MATCH($O10648,$N$10648:$N$10651,0)),"")</f>
        <v/>
      </c>
      <c r="C10648" s="41" t="str">
        <f aca="false">IFERROR(INDEX($K$10648:$K$10651,MATCH($O10648,$N$10648:$N$10651,0)),"")</f>
        <v/>
      </c>
      <c r="D10648" s="42" t="str">
        <f aca="false">IF(OR(E10648="",N(C10648)=0),"",E10648/C10648-1)</f>
        <v/>
      </c>
      <c r="E10648" s="41" t="str">
        <f aca="false">IFERROR(INDEX($L$10648:$L$10651,MATCH($O10648,$N$10648:$N$10651,0)),"")</f>
        <v/>
      </c>
      <c r="F10648" s="41" t="str">
        <f aca="false">IF(E10648="","",E10648-C10648)</f>
        <v/>
      </c>
      <c r="J10648" s="25" t="str">
        <f aca="false">Lib_Compta</f>
        <v>Mission comptable (tenue, révision, bilan, liasse fiscale)</v>
      </c>
      <c r="K10648" s="25" t="n">
        <f aca="false">IF($K$10621=0,0,N(INDEX(Clients!$K$2:$K$501,$K$10621)))</f>
        <v>0</v>
      </c>
      <c r="L10648" s="25" t="n">
        <f aca="false">IF($K$10621=0,0,N(INDEX(Clients!$P$2:$P$501,$K$10621)))</f>
        <v>0</v>
      </c>
      <c r="M10648" s="25" t="n">
        <f aca="false">IF(OR(K10648&lt;&gt;0,L10648&lt;&gt;0),1,0)</f>
        <v>0</v>
      </c>
      <c r="N10648" s="25" t="str">
        <f aca="false">IF(M10648=1,SUM($M$10648:M10648),"")</f>
        <v/>
      </c>
      <c r="O10648" s="25" t="n">
        <v>1</v>
      </c>
    </row>
    <row r="10649" customFormat="false" ht="16.5" hidden="false" customHeight="true" outlineLevel="0" collapsed="false">
      <c r="B10649" s="40" t="str">
        <f aca="false">IFERROR(INDEX($J$10648:$J$10651,MATCH($O10649,$N$10648:$N$10651,0)),"")</f>
        <v/>
      </c>
      <c r="C10649" s="41" t="str">
        <f aca="false">IFERROR(INDEX($K$10648:$K$10651,MATCH($O10649,$N$10648:$N$10651,0)),"")</f>
        <v/>
      </c>
      <c r="D10649" s="42" t="str">
        <f aca="false">IF(OR(E10649="",N(C10649)=0),"",E10649/C10649-1)</f>
        <v/>
      </c>
      <c r="E10649" s="41" t="str">
        <f aca="false">IFERROR(INDEX($L$10648:$L$10651,MATCH($O10649,$N$10648:$N$10651,0)),"")</f>
        <v/>
      </c>
      <c r="F10649" s="41" t="str">
        <f aca="false">IF(E10649="","",E10649-C10649)</f>
        <v/>
      </c>
      <c r="J10649" s="25" t="str">
        <f aca="false">Lib_Paye</f>
        <v>Mission sociale (bulletins de paie, DSN, déclarations sociales)</v>
      </c>
      <c r="K10649" s="25" t="n">
        <f aca="false">IF($K$10621=0,0,N(INDEX(Clients!$L$2:$L$501,$K$10621)))</f>
        <v>0</v>
      </c>
      <c r="L10649" s="25" t="n">
        <f aca="false">IF($K$10621=0,0,N(INDEX(Clients!$Q$2:$Q$501,$K$10621)))</f>
        <v>0</v>
      </c>
      <c r="M10649" s="25" t="n">
        <f aca="false">IF(OR(K10649&lt;&gt;0,L10649&lt;&gt;0),1,0)</f>
        <v>0</v>
      </c>
      <c r="N10649" s="25" t="str">
        <f aca="false">IF(M10649=1,SUM($M$10648:M10649),"")</f>
        <v/>
      </c>
      <c r="O10649" s="25" t="n">
        <v>2</v>
      </c>
    </row>
    <row r="10650" customFormat="false" ht="16.5" hidden="false" customHeight="true" outlineLevel="0" collapsed="false">
      <c r="B10650" s="40" t="str">
        <f aca="false">IFERROR(INDEX($J$10648:$J$10651,MATCH($O10650,$N$10648:$N$10651,0)),"")</f>
        <v/>
      </c>
      <c r="C10650" s="41" t="str">
        <f aca="false">IFERROR(INDEX($K$10648:$K$10651,MATCH($O10650,$N$10648:$N$10651,0)),"")</f>
        <v/>
      </c>
      <c r="D10650" s="42" t="str">
        <f aca="false">IF(OR(E10650="",N(C10650)=0),"",E10650/C10650-1)</f>
        <v/>
      </c>
      <c r="E10650" s="41" t="str">
        <f aca="false">IFERROR(INDEX($L$10648:$L$10651,MATCH($O10650,$N$10648:$N$10651,0)),"")</f>
        <v/>
      </c>
      <c r="F10650" s="41" t="str">
        <f aca="false">IF(E10650="","",E10650-C10650)</f>
        <v/>
      </c>
      <c r="J10650" s="25" t="str">
        <f aca="false">Lib_Jur</f>
        <v>Mission juridique (approbation des comptes, secrétariat juridique)</v>
      </c>
      <c r="K10650" s="25" t="n">
        <f aca="false">IF($K$10621=0,0,N(INDEX(Clients!$M$2:$M$501,$K$10621)))</f>
        <v>0</v>
      </c>
      <c r="L10650" s="25" t="n">
        <f aca="false">IF($K$10621=0,0,N(INDEX(Clients!$R$2:$R$501,$K$10621)))</f>
        <v>0</v>
      </c>
      <c r="M10650" s="25" t="n">
        <f aca="false">IF(OR(K10650&lt;&gt;0,L10650&lt;&gt;0),1,0)</f>
        <v>0</v>
      </c>
      <c r="N10650" s="25" t="str">
        <f aca="false">IF(M10650=1,SUM($M$10648:M10650),"")</f>
        <v/>
      </c>
      <c r="O10650" s="25" t="n">
        <v>3</v>
      </c>
    </row>
    <row r="10651" customFormat="false" ht="16.5" hidden="false" customHeight="true" outlineLevel="0" collapsed="false">
      <c r="B10651" s="40" t="str">
        <f aca="false">IFERROR(INDEX($J$10648:$J$10651,MATCH($O10651,$N$10648:$N$10651,0)),"")</f>
        <v/>
      </c>
      <c r="C10651" s="41" t="str">
        <f aca="false">IFERROR(INDEX($K$10648:$K$10651,MATCH($O10651,$N$10648:$N$10651,0)),"")</f>
        <v/>
      </c>
      <c r="D10651" s="42" t="str">
        <f aca="false">IF(OR(E10651="",N(C10651)=0),"",E10651/C10651-1)</f>
        <v/>
      </c>
      <c r="E10651" s="41" t="str">
        <f aca="false">IFERROR(INDEX($L$10648:$L$10651,MATCH($O10651,$N$10648:$N$10651,0)),"")</f>
        <v/>
      </c>
      <c r="F10651" s="41" t="str">
        <f aca="false">IF(E10651="","",E10651-C10651)</f>
        <v/>
      </c>
      <c r="J10651" s="25" t="str">
        <f aca="false">Lib_PA</f>
        <v>Plateforme agréée – facturation électronique</v>
      </c>
      <c r="K10651" s="25" t="n">
        <f aca="false">IF($K$10621=0,0,N(INDEX(Clients!$N$2:$N$501,$K$10621)))</f>
        <v>0</v>
      </c>
      <c r="L10651" s="25" t="n">
        <f aca="false">IF($K$10621=0,0,N(INDEX(Clients!$S$2:$S$501,$K$10621)))</f>
        <v>0</v>
      </c>
      <c r="M10651" s="25" t="n">
        <f aca="false">IF(OR(K10651&lt;&gt;0,L10651&lt;&gt;0),1,0)</f>
        <v>0</v>
      </c>
      <c r="N10651" s="25" t="str">
        <f aca="false">IF(M10651=1,SUM($M$10648:M10651),"")</f>
        <v/>
      </c>
      <c r="O10651" s="25" t="n">
        <v>4</v>
      </c>
    </row>
    <row r="10652" customFormat="false" ht="18" hidden="false" customHeight="true" outlineLevel="0" collapsed="false">
      <c r="B10652" s="43" t="s">
        <v>158</v>
      </c>
      <c r="C10652" s="44" t="n">
        <f aca="false">SUM(K10648:K10651)</f>
        <v>0</v>
      </c>
      <c r="D10652" s="45" t="str">
        <f aca="false">IF(N(C10652)=0,"",E10652/C10652-1)</f>
        <v/>
      </c>
      <c r="E10652" s="44" t="n">
        <f aca="false">SUM(L10648:L10651)</f>
        <v>0</v>
      </c>
      <c r="F10652" s="44" t="n">
        <f aca="false">E10652-C10652</f>
        <v>0</v>
      </c>
    </row>
    <row r="10653" customFormat="false" ht="15" hidden="false" customHeight="false" outlineLevel="0" collapsed="false">
      <c r="B10653" s="46" t="str">
        <f aca="false">IF(N(Nb_Mensualites)=0,"","Soit "&amp;FIXED(E10652/Nb_Mensualites,2)&amp;" € HT par échéance ("&amp;Nb_Mensualites&amp;" échéances), "&amp;FIXED(E10652/Nb_Mensualites*(1+Taux_TVA),2)&amp;" € TTC.")</f>
        <v>Soit 0.00 € HT par échéance (12 échéances), 0.00 € TTC.</v>
      </c>
      <c r="C10653" s="46"/>
      <c r="D10653" s="46"/>
      <c r="E10653" s="46"/>
      <c r="F10653" s="46"/>
    </row>
    <row r="10654" customFormat="false" ht="7.5" hidden="false" customHeight="true" outlineLevel="0" collapsed="false">
      <c r="B10654" s="10"/>
      <c r="C10654" s="10"/>
      <c r="D10654" s="10"/>
      <c r="E10654" s="10"/>
      <c r="F10654" s="10"/>
    </row>
    <row r="10655" customFormat="false" ht="36.75" hidden="false" customHeight="true" outlineLevel="0" collapsed="false">
      <c r="B10655" s="37" t="str">
        <f aca="false">SUBSTITUTE(SUBSTITUTE(SUBSTITUTE(SUBSTITUTE(SUBSTITUTE(Txt_P5,"{cabinet}",Cab_Nom),"{societe}",IF($K$10621=0,"",INDEX(Clients!$E$2:$E$501,$K$10621)&amp;"")),"{date_effet}",$K$10623),"{hausse}",$K$10624),"{civilite}",$K$10622)</f>
        <v>Les autres conditions de votre lettre de mission demeurent inchangées. Les nouveaux montants seront appliqués automatiquement sur vos prochaines factures et échéances de prélèvement.</v>
      </c>
      <c r="C10655" s="37"/>
      <c r="D10655" s="37"/>
      <c r="E10655" s="37"/>
      <c r="F10655" s="37"/>
    </row>
    <row r="10656" customFormat="false" ht="36.75" hidden="false" customHeight="true" outlineLevel="0" collapsed="false">
      <c r="B10656" s="37" t="str">
        <f aca="false">SUBSTITUTE(SUBSTITUTE(SUBSTITUTE(SUBSTITUTE(SUBSTITUTE(Txt_P6,"{cabinet}",Cab_Nom),"{societe}",IF($K$10621=0,"",INDEX(Clients!$E$2:$E$501,$K$10621)&amp;"")),"{date_effet}",$K$10623),"{hausse}",$K$10624),"{civilite}",$K$10622)</f>
        <v>Votre interlocuteur habituel reste à votre entière disposition pour répondre à vos questions et faire le point sur l'évolution de vos besoins.</v>
      </c>
      <c r="C10656" s="37"/>
      <c r="D10656" s="37"/>
      <c r="E10656" s="37"/>
      <c r="F10656" s="37"/>
    </row>
    <row r="10657" customFormat="false" ht="24" hidden="false" customHeight="true" outlineLevel="0" collapsed="false">
      <c r="B10657" s="37" t="str">
        <f aca="false">SUBSTITUTE(SUBSTITUTE(SUBSTITUTE(SUBSTITUTE(SUBSTITUTE(Txt_Politesse,"{cabinet}",Cab_Nom),"{societe}",IF($K$10621=0,"",INDEX(Clients!$E$2:$E$501,$K$10621)&amp;"")),"{date_effet}",$K$10623),"{hausse}",$K$10624),"{civilite}",$K$10622)</f>
        <v>Nous vous prions d'agréer, Madame, Monsieur, l'expression de nos salutations distinguées.</v>
      </c>
      <c r="C10657" s="37"/>
      <c r="D10657" s="37"/>
      <c r="E10657" s="37"/>
      <c r="F10657" s="37"/>
    </row>
    <row r="10658" customFormat="false" ht="15" hidden="false" customHeight="false" outlineLevel="0" collapsed="false">
      <c r="B10658" s="10"/>
      <c r="C10658" s="10"/>
      <c r="D10658" s="10"/>
      <c r="E10658" s="10"/>
      <c r="F10658" s="10"/>
    </row>
    <row r="10659" customFormat="false" ht="15" hidden="false" customHeight="false" outlineLevel="0" collapsed="false">
      <c r="B10659" s="10"/>
      <c r="C10659" s="10"/>
      <c r="D10659" s="34" t="str">
        <f aca="false">Signataire</f>
        <v>Prénom NOM</v>
      </c>
      <c r="E10659" s="34"/>
      <c r="F10659" s="34"/>
    </row>
    <row r="10660" customFormat="false" ht="15" hidden="false" customHeight="false" outlineLevel="0" collapsed="false">
      <c r="B10660" s="10"/>
      <c r="C10660" s="10"/>
      <c r="D10660" s="47" t="str">
        <f aca="false">Signataire_Titre</f>
        <v>Expert-comptable associé</v>
      </c>
      <c r="E10660" s="47"/>
      <c r="F10660" s="47"/>
    </row>
    <row r="10661" customFormat="false" ht="15.75" hidden="false" customHeight="true" outlineLevel="0" collapsed="false">
      <c r="B10661" s="10"/>
      <c r="C10661" s="10"/>
      <c r="D10661" s="10"/>
      <c r="E10661" s="10"/>
      <c r="F10661" s="10"/>
    </row>
    <row r="10662" customFormat="false" ht="15.75" hidden="false" customHeight="true" outlineLevel="0" collapsed="false">
      <c r="B10662" s="10"/>
      <c r="C10662" s="10"/>
      <c r="D10662" s="10"/>
      <c r="E10662" s="10"/>
      <c r="F10662" s="10"/>
    </row>
    <row r="10663" customFormat="false" ht="15.75" hidden="false" customHeight="true" outlineLevel="0" collapsed="false">
      <c r="B10663" s="10"/>
      <c r="C10663" s="10"/>
      <c r="D10663" s="10"/>
      <c r="E10663" s="10"/>
      <c r="F10663" s="10"/>
    </row>
    <row r="10664" customFormat="false" ht="15.75" hidden="false" customHeight="true" outlineLevel="0" collapsed="false">
      <c r="B10664" s="10"/>
      <c r="C10664" s="10"/>
      <c r="D10664" s="10"/>
      <c r="E10664" s="10"/>
      <c r="F10664" s="10"/>
    </row>
    <row r="10665" customFormat="false" ht="24" hidden="false" customHeight="true" outlineLevel="0" collapsed="false">
      <c r="B10665" s="48" t="str">
        <f aca="false">Cab_Mentions</f>
        <v>ALTHO EXPERTISE · SAS au capital de 10 000 € · RCS Pontoise 919 706 325 · TVA FR62919706325 · Société d'expertise comptable inscrite au Tableau de l'Ordre des experts-comptables de Paris Île-de-France</v>
      </c>
      <c r="C10665" s="48"/>
      <c r="D10665" s="48"/>
      <c r="E10665" s="48"/>
      <c r="F10665" s="48"/>
    </row>
    <row r="10666" customFormat="false" ht="15" hidden="false" customHeight="false" outlineLevel="0" collapsed="false">
      <c r="B10666" s="10"/>
      <c r="C10666" s="10"/>
      <c r="D10666" s="10"/>
      <c r="E10666" s="10"/>
      <c r="F10666" s="10"/>
      <c r="J10666" s="25" t="s">
        <v>142</v>
      </c>
      <c r="K10666" s="25" t="n">
        <f aca="false">IFERROR(MATCH(238,Clients!$Z$2:$Z$501,0),0)</f>
        <v>0</v>
      </c>
      <c r="L10666" s="25"/>
      <c r="M10666" s="25"/>
      <c r="N10666" s="25"/>
      <c r="O10666" s="25"/>
    </row>
    <row r="10667" customFormat="false" ht="21.75" hidden="false" customHeight="true" outlineLevel="0" collapsed="false">
      <c r="B10667" s="26" t="str">
        <f aca="false">Cab_Nom</f>
        <v>ALTHO EXPERTISE</v>
      </c>
      <c r="C10667" s="26"/>
      <c r="D10667" s="10"/>
      <c r="E10667" s="27" t="str">
        <f aca="false">IF($K$10666=0,"","Réf. client : "&amp;INDEX(Clients!$A$2:$A$501,$K$10666))</f>
        <v/>
      </c>
      <c r="F10667" s="27"/>
      <c r="J10667" s="25" t="s">
        <v>144</v>
      </c>
      <c r="K10667" s="25" t="str">
        <f aca="false">IF(IF($K$10666=0,"",INDEX(Clients!$B$2:$B$501,$K$10666)&amp;"")="Mme","Madame",IF(IF($K$10666=0,"",INDEX(Clients!$B$2:$B$501,$K$10666)&amp;"")="M.","Monsieur","Madame, Monsieur"))</f>
        <v>Madame, Monsieur</v>
      </c>
      <c r="L10667" s="25"/>
      <c r="M10667" s="25"/>
      <c r="N10667" s="25"/>
      <c r="O10667" s="25"/>
    </row>
    <row r="10668" customFormat="false" ht="15" hidden="false" customHeight="false" outlineLevel="0" collapsed="false">
      <c r="B10668" s="29" t="str">
        <f aca="false">Cab_Adr1</f>
        <v>141 rue Charles de Gaulle</v>
      </c>
      <c r="C10668" s="29"/>
      <c r="D10668" s="10"/>
      <c r="E10668" s="10"/>
      <c r="F10668" s="10"/>
      <c r="J10668" s="25" t="s">
        <v>145</v>
      </c>
      <c r="K10668" s="25" t="str">
        <f aca="false">DAY(Date_Effet)&amp;IF(DAY(Date_Effet)=1,"er","")&amp;" "&amp;INDEX(Liste_Mois,MONTH(Date_Effet))&amp;" "&amp;YEAR(Date_Effet)</f>
        <v>1er janvier 2027</v>
      </c>
      <c r="L10668" s="25"/>
      <c r="M10668" s="25"/>
      <c r="N10668" s="25"/>
      <c r="O10668" s="25"/>
    </row>
    <row r="10669" customFormat="false" ht="15" hidden="false" customHeight="false" outlineLevel="0" collapsed="false">
      <c r="B10669" s="29" t="str">
        <f aca="false">Cab_CPVille</f>
        <v>95130 LE PLESSIS-BOUCHARD</v>
      </c>
      <c r="C10669" s="29"/>
      <c r="D10669" s="10"/>
      <c r="E10669" s="10"/>
      <c r="F10669" s="10"/>
      <c r="J10669" s="25" t="s">
        <v>146</v>
      </c>
      <c r="K10669" s="25" t="str">
        <f aca="false">IF(SUM($K$10693:$K$10696)=0,"",FIXED((SUM($L$10693:$L$10696)/SUM($K$10693:$K$10696)-1)*100,1)&amp;" %")</f>
        <v/>
      </c>
      <c r="L10669" s="25"/>
      <c r="M10669" s="25"/>
      <c r="N10669" s="25"/>
      <c r="O10669" s="25"/>
    </row>
    <row r="10670" customFormat="false" ht="15" hidden="false" customHeight="false" outlineLevel="0" collapsed="false">
      <c r="B10670" s="29" t="str">
        <f aca="false">Cab_Contact</f>
        <v>Tél. 01 34 14 53 45  ·  altho@altho-experts.com  ·  altho-experts.com</v>
      </c>
      <c r="C10670" s="29"/>
      <c r="D10670" s="10"/>
      <c r="E10670" s="10"/>
      <c r="F10670" s="10"/>
      <c r="J10670" s="25"/>
      <c r="K10670" s="25"/>
      <c r="L10670" s="25"/>
      <c r="M10670" s="25"/>
      <c r="N10670" s="25"/>
      <c r="O10670" s="25"/>
    </row>
    <row r="10671" customFormat="false" ht="6" hidden="false" customHeight="true" outlineLevel="0" collapsed="false">
      <c r="B10671" s="32"/>
      <c r="C10671" s="32"/>
      <c r="D10671" s="32"/>
      <c r="E10671" s="32"/>
      <c r="F10671" s="32"/>
      <c r="J10671" s="25"/>
      <c r="K10671" s="25"/>
      <c r="L10671" s="25"/>
      <c r="M10671" s="25"/>
      <c r="N10671" s="25"/>
      <c r="O10671" s="25"/>
    </row>
    <row r="10672" customFormat="false" ht="13.5" hidden="false" customHeight="true" outlineLevel="0" collapsed="false">
      <c r="B10672" s="10"/>
      <c r="C10672" s="10"/>
      <c r="D10672" s="10"/>
      <c r="E10672" s="10"/>
      <c r="F10672" s="10"/>
      <c r="J10672" s="25"/>
      <c r="K10672" s="25"/>
      <c r="L10672" s="25"/>
      <c r="M10672" s="25"/>
      <c r="N10672" s="25"/>
      <c r="O10672" s="25"/>
    </row>
    <row r="10673" customFormat="false" ht="13.5" hidden="false" customHeight="true" outlineLevel="0" collapsed="false">
      <c r="B10673" s="10"/>
      <c r="C10673" s="10"/>
      <c r="D10673" s="10"/>
      <c r="E10673" s="10"/>
      <c r="F10673" s="10"/>
      <c r="J10673" s="25"/>
      <c r="K10673" s="25"/>
      <c r="L10673" s="25"/>
      <c r="M10673" s="25"/>
      <c r="N10673" s="25"/>
      <c r="O10673" s="25"/>
    </row>
    <row r="10674" customFormat="false" ht="13.5" hidden="false" customHeight="true" outlineLevel="0" collapsed="false">
      <c r="B10674" s="10"/>
      <c r="C10674" s="10"/>
      <c r="D10674" s="10"/>
      <c r="E10674" s="10"/>
      <c r="F10674" s="10"/>
      <c r="J10674" s="25"/>
      <c r="K10674" s="25"/>
      <c r="L10674" s="25"/>
      <c r="M10674" s="25"/>
      <c r="N10674" s="25"/>
      <c r="O10674" s="25"/>
    </row>
    <row r="10675" customFormat="false" ht="15" hidden="false" customHeight="true" outlineLevel="0" collapsed="false">
      <c r="B10675" s="10"/>
      <c r="C10675" s="10"/>
      <c r="D10675" s="34" t="str">
        <f aca="false">IF($K$10666=0,"",INDEX(Clients!$E$2:$E$501,$K$10666)&amp;"")</f>
        <v/>
      </c>
      <c r="E10675" s="34"/>
      <c r="F10675" s="34"/>
      <c r="J10675" s="25"/>
      <c r="K10675" s="25"/>
      <c r="L10675" s="25"/>
      <c r="M10675" s="25"/>
      <c r="N10675" s="25"/>
      <c r="O10675" s="25"/>
    </row>
    <row r="10676" customFormat="false" ht="15" hidden="false" customHeight="true" outlineLevel="0" collapsed="false">
      <c r="B10676" s="10"/>
      <c r="C10676" s="10"/>
      <c r="D10676" s="35" t="str">
        <f aca="false">IF(IF($K$10666=0,"",INDEX(Clients!$D$2:$D$501,$K$10666)&amp;"")="","","À l'attention de "&amp;TRIM(IF($K$10666=0,"",INDEX(Clients!$B$2:$B$501,$K$10666)&amp;"")&amp;" "&amp;IF($K$10666=0,"",INDEX(Clients!$C$2:$C$501,$K$10666)&amp;"")&amp;" "&amp;IF($K$10666=0,"",INDEX(Clients!$D$2:$D$501,$K$10666)&amp;"")))</f>
        <v/>
      </c>
      <c r="E10676" s="35"/>
      <c r="F10676" s="35"/>
      <c r="J10676" s="25"/>
      <c r="K10676" s="25"/>
      <c r="L10676" s="25"/>
      <c r="M10676" s="25"/>
      <c r="N10676" s="25"/>
      <c r="O10676" s="25"/>
    </row>
    <row r="10677" customFormat="false" ht="15" hidden="false" customHeight="true" outlineLevel="0" collapsed="false">
      <c r="B10677" s="10"/>
      <c r="C10677" s="10"/>
      <c r="D10677" s="35" t="str">
        <f aca="false">IF($K$10666=0,"",INDEX(Clients!$F$2:$F$501,$K$10666)&amp;"")</f>
        <v/>
      </c>
      <c r="E10677" s="35"/>
      <c r="F10677" s="35"/>
      <c r="J10677" s="25"/>
      <c r="K10677" s="25"/>
      <c r="L10677" s="25"/>
      <c r="M10677" s="25"/>
      <c r="N10677" s="25"/>
      <c r="O10677" s="25"/>
    </row>
    <row r="10678" customFormat="false" ht="15" hidden="false" customHeight="true" outlineLevel="0" collapsed="false">
      <c r="B10678" s="10"/>
      <c r="C10678" s="10"/>
      <c r="D10678" s="35" t="str">
        <f aca="false">IF(IF($K$10666=0,"",INDEX(Clients!$G$2:$G$501,$K$10666)&amp;"")="",TRIM(IF($K$10666=0,"",INDEX(Clients!$H$2:$H$501,$K$10666)&amp;"")&amp;" "&amp;UPPER(IF($K$10666=0,"",INDEX(Clients!$I$2:$I$501,$K$10666)&amp;""))),IF($K$10666=0,"",INDEX(Clients!$G$2:$G$501,$K$10666)&amp;""))</f>
        <v/>
      </c>
      <c r="E10678" s="35"/>
      <c r="F10678" s="35"/>
      <c r="J10678" s="25"/>
      <c r="K10678" s="25"/>
      <c r="L10678" s="25"/>
      <c r="M10678" s="25"/>
      <c r="N10678" s="25"/>
      <c r="O10678" s="25"/>
    </row>
    <row r="10679" customFormat="false" ht="15" hidden="false" customHeight="true" outlineLevel="0" collapsed="false">
      <c r="B10679" s="10"/>
      <c r="C10679" s="10"/>
      <c r="D10679" s="35" t="str">
        <f aca="false">IF(IF($K$10666=0,"",INDEX(Clients!$G$2:$G$501,$K$10666)&amp;"")="","",TRIM(IF($K$10666=0,"",INDEX(Clients!$H$2:$H$501,$K$10666)&amp;"")&amp;" "&amp;UPPER(IF($K$10666=0,"",INDEX(Clients!$I$2:$I$501,$K$10666)&amp;""))))</f>
        <v/>
      </c>
      <c r="E10679" s="35"/>
      <c r="F10679" s="35"/>
      <c r="J10679" s="25"/>
      <c r="K10679" s="25"/>
      <c r="L10679" s="25"/>
      <c r="M10679" s="25"/>
      <c r="N10679" s="25"/>
      <c r="O10679" s="25"/>
    </row>
    <row r="10680" customFormat="false" ht="25.5" hidden="false" customHeight="true" outlineLevel="0" collapsed="false">
      <c r="B10680" s="10"/>
      <c r="C10680" s="10"/>
      <c r="D10680" s="10"/>
      <c r="E10680" s="10"/>
      <c r="F10680" s="10"/>
      <c r="J10680" s="25"/>
      <c r="K10680" s="25"/>
      <c r="L10680" s="25"/>
      <c r="M10680" s="25"/>
      <c r="N10680" s="25"/>
      <c r="O10680" s="25"/>
    </row>
    <row r="10681" customFormat="false" ht="15" hidden="false" customHeight="false" outlineLevel="0" collapsed="false">
      <c r="B10681" s="10"/>
      <c r="C10681" s="10"/>
      <c r="D10681" s="36" t="str">
        <f aca="false">Cab_Ville&amp;", le "&amp;DAY(Date_Courrier)&amp;IF(DAY(Date_Courrier)=1,"er","")&amp;" "&amp;INDEX(Liste_Mois,MONTH(Date_Courrier))&amp;" "&amp;YEAR(Date_Courrier)</f>
        <v>Le Plessis-Bouchard, le 22 septembre 2026</v>
      </c>
      <c r="E10681" s="36"/>
      <c r="F10681" s="36"/>
      <c r="J10681" s="25"/>
      <c r="K10681" s="25"/>
      <c r="L10681" s="25"/>
      <c r="M10681" s="25"/>
      <c r="N10681" s="25"/>
      <c r="O10681" s="25"/>
    </row>
    <row r="10682" customFormat="false" ht="19.5" hidden="false" customHeight="true" outlineLevel="0" collapsed="false">
      <c r="B10682" s="10"/>
      <c r="C10682" s="10"/>
      <c r="D10682" s="10"/>
      <c r="E10682" s="10"/>
      <c r="F10682" s="10"/>
      <c r="J10682" s="25"/>
      <c r="K10682" s="25"/>
      <c r="L10682" s="25"/>
      <c r="M10682" s="25"/>
      <c r="N10682" s="25"/>
      <c r="O10682" s="25"/>
    </row>
    <row r="10683" customFormat="false" ht="15" hidden="false" customHeight="false" outlineLevel="0" collapsed="false">
      <c r="B10683" s="34" t="str">
        <f aca="false">SUBSTITUTE(SUBSTITUTE(SUBSTITUTE(SUBSTITUTE(SUBSTITUTE(Txt_Objet,"{cabinet}",Cab_Nom),"{societe}",IF($K$10666=0,"",INDEX(Clients!$E$2:$E$501,$K$10666)&amp;"")),"{date_effet}",$K$10668),"{hausse}",$K$10669),"{civilite}",$K$10667)</f>
        <v>Objet : révision de nos honoraires au 1er janvier 2027</v>
      </c>
      <c r="C10683" s="34"/>
      <c r="D10683" s="34"/>
      <c r="E10683" s="34"/>
      <c r="F10683" s="34"/>
      <c r="J10683" s="25"/>
      <c r="K10683" s="25"/>
      <c r="L10683" s="25"/>
      <c r="M10683" s="25"/>
      <c r="N10683" s="25"/>
      <c r="O10683" s="25"/>
    </row>
    <row r="10684" customFormat="false" ht="13.5" hidden="false" customHeight="true" outlineLevel="0" collapsed="false">
      <c r="B10684" s="10"/>
      <c r="C10684" s="10"/>
      <c r="D10684" s="10"/>
      <c r="E10684" s="10"/>
      <c r="F10684" s="10"/>
      <c r="J10684" s="25"/>
      <c r="K10684" s="25"/>
      <c r="L10684" s="25"/>
      <c r="M10684" s="25"/>
      <c r="N10684" s="25"/>
      <c r="O10684" s="25"/>
    </row>
    <row r="10685" customFormat="false" ht="15" hidden="false" customHeight="false" outlineLevel="0" collapsed="false">
      <c r="B10685" s="10" t="str">
        <f aca="false">$K$10667&amp;","</f>
        <v>Madame, Monsieur,</v>
      </c>
      <c r="C10685" s="10"/>
      <c r="D10685" s="10"/>
      <c r="E10685" s="10"/>
      <c r="F10685" s="10"/>
      <c r="J10685" s="25"/>
      <c r="K10685" s="25"/>
      <c r="L10685" s="25"/>
      <c r="M10685" s="25"/>
      <c r="N10685" s="25"/>
      <c r="O10685" s="25"/>
    </row>
    <row r="10686" customFormat="false" ht="6" hidden="false" customHeight="true" outlineLevel="0" collapsed="false">
      <c r="B10686" s="10"/>
      <c r="C10686" s="10"/>
      <c r="D10686" s="10"/>
      <c r="E10686" s="10"/>
      <c r="F10686" s="10"/>
      <c r="J10686" s="25"/>
      <c r="K10686" s="25"/>
      <c r="L10686" s="25"/>
      <c r="M10686" s="25"/>
      <c r="N10686" s="25"/>
      <c r="O10686" s="25"/>
    </row>
    <row r="10687" customFormat="false" ht="36.75" hidden="false" customHeight="true" outlineLevel="0" collapsed="false">
      <c r="B10687" s="37" t="str">
        <f aca="false">SUBSTITUTE(SUBSTITUTE(SUBSTITUTE(SUBSTITUTE(SUBSTITUTE(Txt_P1,"{cabinet}",Cab_Nom),"{societe}",IF($K$10666=0,"",INDEX(Clients!$E$2:$E$501,$K$10666)&amp;"")),"{date_effet}",$K$10668),"{hausse}",$K$10669),"{civilite}",$K$10667)</f>
        <v>Nous tenons tout d'abord à vous remercier pour la confiance que vous accordez à ALTHO EXPERTISE. Comme chaque année, et conformément aux dispositions de votre lettre de mission, nous procédons à la révision de nos honoraires.</v>
      </c>
      <c r="C10687" s="37"/>
      <c r="D10687" s="37"/>
      <c r="E10687" s="37"/>
      <c r="F10687" s="37"/>
      <c r="J10687" s="25"/>
      <c r="K10687" s="25"/>
      <c r="L10687" s="25"/>
      <c r="M10687" s="25"/>
      <c r="N10687" s="25"/>
      <c r="O10687" s="25"/>
    </row>
    <row r="10688" customFormat="false" ht="49.5" hidden="false" customHeight="true" outlineLevel="0" collapsed="false">
      <c r="B10688" s="37" t="str">
        <f aca="false">SUBSTITUTE(SUBSTITUTE(SUBSTITUTE(SUBSTITUTE(SUBSTITUTE(Txt_P2,"{cabinet}",Cab_Nom),"{societe}",IF($K$10666=0,"",INDEX(Clients!$E$2:$E$501,$K$10666)&amp;"")),"{date_effet}",$K$10668),"{hausse}",$K$10669),"{civilite}",$K$10667)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688" s="37"/>
      <c r="D10688" s="37"/>
      <c r="E10688" s="37"/>
      <c r="F10688" s="37"/>
      <c r="J10688" s="25"/>
      <c r="K10688" s="25"/>
      <c r="L10688" s="25"/>
      <c r="M10688" s="25"/>
      <c r="N10688" s="25"/>
      <c r="O10688" s="25"/>
    </row>
    <row r="10689" customFormat="false" ht="63" hidden="false" customHeight="true" outlineLevel="0" collapsed="false">
      <c r="B10689" s="37" t="str">
        <f aca="false">SUBSTITUTE(SUBSTITUTE(SUBSTITUTE(SUBSTITUTE(SUBSTITUTE(Txt_P3,"{cabinet}",Cab_Nom),"{societe}",IF($K$10666=0,"",INDEX(Clients!$E$2:$E$501,$K$10666)&amp;"")),"{date_effet}",$K$10668),"{hausse}",$K$10669),"{civilite}",$K$10667)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689" s="37"/>
      <c r="D10689" s="37"/>
      <c r="E10689" s="37"/>
      <c r="F10689" s="37"/>
      <c r="J10689" s="25"/>
      <c r="K10689" s="25"/>
      <c r="L10689" s="25"/>
      <c r="M10689" s="25"/>
      <c r="N10689" s="25"/>
      <c r="O10689" s="25"/>
    </row>
    <row r="10690" customFormat="false" ht="24" hidden="false" customHeight="true" outlineLevel="0" collapsed="false">
      <c r="B10690" s="37" t="str">
        <f aca="false">SUBSTITUTE(SUBSTITUTE(SUBSTITUTE(SUBSTITUTE(SUBSTITUTE(Txt_P4,"{cabinet}",Cab_Nom),"{societe}",IF($K$10666=0,"",INDEX(Clients!$E$2:$E$501,$K$10666)&amp;"")),"{date_effet}",$K$10668),"{hausse}",$K$10669),"{civilite}",$K$10667)</f>
        <v>À compter du 1er janvier 2027, vos honoraires annuels hors taxes évolueront ainsi (évolution globale : ) :</v>
      </c>
      <c r="C10690" s="37"/>
      <c r="D10690" s="37"/>
      <c r="E10690" s="37"/>
      <c r="F10690" s="37"/>
      <c r="J10690" s="25"/>
      <c r="K10690" s="25"/>
      <c r="L10690" s="25"/>
      <c r="M10690" s="25"/>
      <c r="N10690" s="25"/>
      <c r="O10690" s="25"/>
    </row>
    <row r="10691" customFormat="false" ht="3.75" hidden="false" customHeight="true" outlineLevel="0" collapsed="false">
      <c r="B10691" s="10"/>
      <c r="C10691" s="10"/>
      <c r="D10691" s="10"/>
      <c r="E10691" s="10"/>
      <c r="F10691" s="10"/>
      <c r="J10691" s="25"/>
      <c r="K10691" s="25"/>
      <c r="L10691" s="25"/>
      <c r="M10691" s="25"/>
      <c r="N10691" s="25"/>
      <c r="O10691" s="25"/>
    </row>
    <row r="10692" customFormat="false" ht="18" hidden="false" customHeight="true" outlineLevel="0" collapsed="false">
      <c r="B10692" s="38" t="s">
        <v>148</v>
      </c>
      <c r="C10692" s="39" t="s">
        <v>149</v>
      </c>
      <c r="D10692" s="39" t="s">
        <v>150</v>
      </c>
      <c r="E10692" s="39" t="s">
        <v>151</v>
      </c>
      <c r="F10692" s="39" t="s">
        <v>109</v>
      </c>
      <c r="J10692" s="25" t="s">
        <v>152</v>
      </c>
      <c r="K10692" s="25" t="s">
        <v>153</v>
      </c>
      <c r="L10692" s="25" t="s">
        <v>154</v>
      </c>
      <c r="M10692" s="25" t="s">
        <v>155</v>
      </c>
      <c r="N10692" s="25" t="s">
        <v>156</v>
      </c>
      <c r="O10692" s="25" t="s">
        <v>157</v>
      </c>
    </row>
    <row r="10693" customFormat="false" ht="16.5" hidden="false" customHeight="true" outlineLevel="0" collapsed="false">
      <c r="B10693" s="40" t="str">
        <f aca="false">IFERROR(INDEX($J$10693:$J$10696,MATCH($O10693,$N$10693:$N$10696,0)),"")</f>
        <v/>
      </c>
      <c r="C10693" s="41" t="str">
        <f aca="false">IFERROR(INDEX($K$10693:$K$10696,MATCH($O10693,$N$10693:$N$10696,0)),"")</f>
        <v/>
      </c>
      <c r="D10693" s="42" t="str">
        <f aca="false">IF(OR(E10693="",N(C10693)=0),"",E10693/C10693-1)</f>
        <v/>
      </c>
      <c r="E10693" s="41" t="str">
        <f aca="false">IFERROR(INDEX($L$10693:$L$10696,MATCH($O10693,$N$10693:$N$10696,0)),"")</f>
        <v/>
      </c>
      <c r="F10693" s="41" t="str">
        <f aca="false">IF(E10693="","",E10693-C10693)</f>
        <v/>
      </c>
      <c r="J10693" s="25" t="str">
        <f aca="false">Lib_Compta</f>
        <v>Mission comptable (tenue, révision, bilan, liasse fiscale)</v>
      </c>
      <c r="K10693" s="25" t="n">
        <f aca="false">IF($K$10666=0,0,N(INDEX(Clients!$K$2:$K$501,$K$10666)))</f>
        <v>0</v>
      </c>
      <c r="L10693" s="25" t="n">
        <f aca="false">IF($K$10666=0,0,N(INDEX(Clients!$P$2:$P$501,$K$10666)))</f>
        <v>0</v>
      </c>
      <c r="M10693" s="25" t="n">
        <f aca="false">IF(OR(K10693&lt;&gt;0,L10693&lt;&gt;0),1,0)</f>
        <v>0</v>
      </c>
      <c r="N10693" s="25" t="str">
        <f aca="false">IF(M10693=1,SUM($M$10693:M10693),"")</f>
        <v/>
      </c>
      <c r="O10693" s="25" t="n">
        <v>1</v>
      </c>
    </row>
    <row r="10694" customFormat="false" ht="16.5" hidden="false" customHeight="true" outlineLevel="0" collapsed="false">
      <c r="B10694" s="40" t="str">
        <f aca="false">IFERROR(INDEX($J$10693:$J$10696,MATCH($O10694,$N$10693:$N$10696,0)),"")</f>
        <v/>
      </c>
      <c r="C10694" s="41" t="str">
        <f aca="false">IFERROR(INDEX($K$10693:$K$10696,MATCH($O10694,$N$10693:$N$10696,0)),"")</f>
        <v/>
      </c>
      <c r="D10694" s="42" t="str">
        <f aca="false">IF(OR(E10694="",N(C10694)=0),"",E10694/C10694-1)</f>
        <v/>
      </c>
      <c r="E10694" s="41" t="str">
        <f aca="false">IFERROR(INDEX($L$10693:$L$10696,MATCH($O10694,$N$10693:$N$10696,0)),"")</f>
        <v/>
      </c>
      <c r="F10694" s="41" t="str">
        <f aca="false">IF(E10694="","",E10694-C10694)</f>
        <v/>
      </c>
      <c r="J10694" s="25" t="str">
        <f aca="false">Lib_Paye</f>
        <v>Mission sociale (bulletins de paie, DSN, déclarations sociales)</v>
      </c>
      <c r="K10694" s="25" t="n">
        <f aca="false">IF($K$10666=0,0,N(INDEX(Clients!$L$2:$L$501,$K$10666)))</f>
        <v>0</v>
      </c>
      <c r="L10694" s="25" t="n">
        <f aca="false">IF($K$10666=0,0,N(INDEX(Clients!$Q$2:$Q$501,$K$10666)))</f>
        <v>0</v>
      </c>
      <c r="M10694" s="25" t="n">
        <f aca="false">IF(OR(K10694&lt;&gt;0,L10694&lt;&gt;0),1,0)</f>
        <v>0</v>
      </c>
      <c r="N10694" s="25" t="str">
        <f aca="false">IF(M10694=1,SUM($M$10693:M10694),"")</f>
        <v/>
      </c>
      <c r="O10694" s="25" t="n">
        <v>2</v>
      </c>
    </row>
    <row r="10695" customFormat="false" ht="16.5" hidden="false" customHeight="true" outlineLevel="0" collapsed="false">
      <c r="B10695" s="40" t="str">
        <f aca="false">IFERROR(INDEX($J$10693:$J$10696,MATCH($O10695,$N$10693:$N$10696,0)),"")</f>
        <v/>
      </c>
      <c r="C10695" s="41" t="str">
        <f aca="false">IFERROR(INDEX($K$10693:$K$10696,MATCH($O10695,$N$10693:$N$10696,0)),"")</f>
        <v/>
      </c>
      <c r="D10695" s="42" t="str">
        <f aca="false">IF(OR(E10695="",N(C10695)=0),"",E10695/C10695-1)</f>
        <v/>
      </c>
      <c r="E10695" s="41" t="str">
        <f aca="false">IFERROR(INDEX($L$10693:$L$10696,MATCH($O10695,$N$10693:$N$10696,0)),"")</f>
        <v/>
      </c>
      <c r="F10695" s="41" t="str">
        <f aca="false">IF(E10695="","",E10695-C10695)</f>
        <v/>
      </c>
      <c r="J10695" s="25" t="str">
        <f aca="false">Lib_Jur</f>
        <v>Mission juridique (approbation des comptes, secrétariat juridique)</v>
      </c>
      <c r="K10695" s="25" t="n">
        <f aca="false">IF($K$10666=0,0,N(INDEX(Clients!$M$2:$M$501,$K$10666)))</f>
        <v>0</v>
      </c>
      <c r="L10695" s="25" t="n">
        <f aca="false">IF($K$10666=0,0,N(INDEX(Clients!$R$2:$R$501,$K$10666)))</f>
        <v>0</v>
      </c>
      <c r="M10695" s="25" t="n">
        <f aca="false">IF(OR(K10695&lt;&gt;0,L10695&lt;&gt;0),1,0)</f>
        <v>0</v>
      </c>
      <c r="N10695" s="25" t="str">
        <f aca="false">IF(M10695=1,SUM($M$10693:M10695),"")</f>
        <v/>
      </c>
      <c r="O10695" s="25" t="n">
        <v>3</v>
      </c>
    </row>
    <row r="10696" customFormat="false" ht="16.5" hidden="false" customHeight="true" outlineLevel="0" collapsed="false">
      <c r="B10696" s="40" t="str">
        <f aca="false">IFERROR(INDEX($J$10693:$J$10696,MATCH($O10696,$N$10693:$N$10696,0)),"")</f>
        <v/>
      </c>
      <c r="C10696" s="41" t="str">
        <f aca="false">IFERROR(INDEX($K$10693:$K$10696,MATCH($O10696,$N$10693:$N$10696,0)),"")</f>
        <v/>
      </c>
      <c r="D10696" s="42" t="str">
        <f aca="false">IF(OR(E10696="",N(C10696)=0),"",E10696/C10696-1)</f>
        <v/>
      </c>
      <c r="E10696" s="41" t="str">
        <f aca="false">IFERROR(INDEX($L$10693:$L$10696,MATCH($O10696,$N$10693:$N$10696,0)),"")</f>
        <v/>
      </c>
      <c r="F10696" s="41" t="str">
        <f aca="false">IF(E10696="","",E10696-C10696)</f>
        <v/>
      </c>
      <c r="J10696" s="25" t="str">
        <f aca="false">Lib_PA</f>
        <v>Plateforme agréée – facturation électronique</v>
      </c>
      <c r="K10696" s="25" t="n">
        <f aca="false">IF($K$10666=0,0,N(INDEX(Clients!$N$2:$N$501,$K$10666)))</f>
        <v>0</v>
      </c>
      <c r="L10696" s="25" t="n">
        <f aca="false">IF($K$10666=0,0,N(INDEX(Clients!$S$2:$S$501,$K$10666)))</f>
        <v>0</v>
      </c>
      <c r="M10696" s="25" t="n">
        <f aca="false">IF(OR(K10696&lt;&gt;0,L10696&lt;&gt;0),1,0)</f>
        <v>0</v>
      </c>
      <c r="N10696" s="25" t="str">
        <f aca="false">IF(M10696=1,SUM($M$10693:M10696),"")</f>
        <v/>
      </c>
      <c r="O10696" s="25" t="n">
        <v>4</v>
      </c>
    </row>
    <row r="10697" customFormat="false" ht="18" hidden="false" customHeight="true" outlineLevel="0" collapsed="false">
      <c r="B10697" s="43" t="s">
        <v>158</v>
      </c>
      <c r="C10697" s="44" t="n">
        <f aca="false">SUM(K10693:K10696)</f>
        <v>0</v>
      </c>
      <c r="D10697" s="45" t="str">
        <f aca="false">IF(N(C10697)=0,"",E10697/C10697-1)</f>
        <v/>
      </c>
      <c r="E10697" s="44" t="n">
        <f aca="false">SUM(L10693:L10696)</f>
        <v>0</v>
      </c>
      <c r="F10697" s="44" t="n">
        <f aca="false">E10697-C10697</f>
        <v>0</v>
      </c>
    </row>
    <row r="10698" customFormat="false" ht="15" hidden="false" customHeight="false" outlineLevel="0" collapsed="false">
      <c r="B10698" s="46" t="str">
        <f aca="false">IF(N(Nb_Mensualites)=0,"","Soit "&amp;FIXED(E10697/Nb_Mensualites,2)&amp;" € HT par échéance ("&amp;Nb_Mensualites&amp;" échéances), "&amp;FIXED(E10697/Nb_Mensualites*(1+Taux_TVA),2)&amp;" € TTC.")</f>
        <v>Soit 0.00 € HT par échéance (12 échéances), 0.00 € TTC.</v>
      </c>
      <c r="C10698" s="46"/>
      <c r="D10698" s="46"/>
      <c r="E10698" s="46"/>
      <c r="F10698" s="46"/>
    </row>
    <row r="10699" customFormat="false" ht="7.5" hidden="false" customHeight="true" outlineLevel="0" collapsed="false">
      <c r="B10699" s="10"/>
      <c r="C10699" s="10"/>
      <c r="D10699" s="10"/>
      <c r="E10699" s="10"/>
      <c r="F10699" s="10"/>
    </row>
    <row r="10700" customFormat="false" ht="36.75" hidden="false" customHeight="true" outlineLevel="0" collapsed="false">
      <c r="B10700" s="37" t="str">
        <f aca="false">SUBSTITUTE(SUBSTITUTE(SUBSTITUTE(SUBSTITUTE(SUBSTITUTE(Txt_P5,"{cabinet}",Cab_Nom),"{societe}",IF($K$10666=0,"",INDEX(Clients!$E$2:$E$501,$K$10666)&amp;"")),"{date_effet}",$K$10668),"{hausse}",$K$10669),"{civilite}",$K$10667)</f>
        <v>Les autres conditions de votre lettre de mission demeurent inchangées. Les nouveaux montants seront appliqués automatiquement sur vos prochaines factures et échéances de prélèvement.</v>
      </c>
      <c r="C10700" s="37"/>
      <c r="D10700" s="37"/>
      <c r="E10700" s="37"/>
      <c r="F10700" s="37"/>
    </row>
    <row r="10701" customFormat="false" ht="36.75" hidden="false" customHeight="true" outlineLevel="0" collapsed="false">
      <c r="B10701" s="37" t="str">
        <f aca="false">SUBSTITUTE(SUBSTITUTE(SUBSTITUTE(SUBSTITUTE(SUBSTITUTE(Txt_P6,"{cabinet}",Cab_Nom),"{societe}",IF($K$10666=0,"",INDEX(Clients!$E$2:$E$501,$K$10666)&amp;"")),"{date_effet}",$K$10668),"{hausse}",$K$10669),"{civilite}",$K$10667)</f>
        <v>Votre interlocuteur habituel reste à votre entière disposition pour répondre à vos questions et faire le point sur l'évolution de vos besoins.</v>
      </c>
      <c r="C10701" s="37"/>
      <c r="D10701" s="37"/>
      <c r="E10701" s="37"/>
      <c r="F10701" s="37"/>
    </row>
    <row r="10702" customFormat="false" ht="24" hidden="false" customHeight="true" outlineLevel="0" collapsed="false">
      <c r="B10702" s="37" t="str">
        <f aca="false">SUBSTITUTE(SUBSTITUTE(SUBSTITUTE(SUBSTITUTE(SUBSTITUTE(Txt_Politesse,"{cabinet}",Cab_Nom),"{societe}",IF($K$10666=0,"",INDEX(Clients!$E$2:$E$501,$K$10666)&amp;"")),"{date_effet}",$K$10668),"{hausse}",$K$10669),"{civilite}",$K$10667)</f>
        <v>Nous vous prions d'agréer, Madame, Monsieur, l'expression de nos salutations distinguées.</v>
      </c>
      <c r="C10702" s="37"/>
      <c r="D10702" s="37"/>
      <c r="E10702" s="37"/>
      <c r="F10702" s="37"/>
    </row>
    <row r="10703" customFormat="false" ht="15" hidden="false" customHeight="false" outlineLevel="0" collapsed="false">
      <c r="B10703" s="10"/>
      <c r="C10703" s="10"/>
      <c r="D10703" s="10"/>
      <c r="E10703" s="10"/>
      <c r="F10703" s="10"/>
    </row>
    <row r="10704" customFormat="false" ht="15" hidden="false" customHeight="false" outlineLevel="0" collapsed="false">
      <c r="B10704" s="10"/>
      <c r="C10704" s="10"/>
      <c r="D10704" s="34" t="str">
        <f aca="false">Signataire</f>
        <v>Prénom NOM</v>
      </c>
      <c r="E10704" s="34"/>
      <c r="F10704" s="34"/>
    </row>
    <row r="10705" customFormat="false" ht="15" hidden="false" customHeight="false" outlineLevel="0" collapsed="false">
      <c r="B10705" s="10"/>
      <c r="C10705" s="10"/>
      <c r="D10705" s="47" t="str">
        <f aca="false">Signataire_Titre</f>
        <v>Expert-comptable associé</v>
      </c>
      <c r="E10705" s="47"/>
      <c r="F10705" s="47"/>
    </row>
    <row r="10706" customFormat="false" ht="15.75" hidden="false" customHeight="true" outlineLevel="0" collapsed="false">
      <c r="B10706" s="10"/>
      <c r="C10706" s="10"/>
      <c r="D10706" s="10"/>
      <c r="E10706" s="10"/>
      <c r="F10706" s="10"/>
    </row>
    <row r="10707" customFormat="false" ht="15.75" hidden="false" customHeight="true" outlineLevel="0" collapsed="false">
      <c r="B10707" s="10"/>
      <c r="C10707" s="10"/>
      <c r="D10707" s="10"/>
      <c r="E10707" s="10"/>
      <c r="F10707" s="10"/>
    </row>
    <row r="10708" customFormat="false" ht="15.75" hidden="false" customHeight="true" outlineLevel="0" collapsed="false">
      <c r="B10708" s="10"/>
      <c r="C10708" s="10"/>
      <c r="D10708" s="10"/>
      <c r="E10708" s="10"/>
      <c r="F10708" s="10"/>
    </row>
    <row r="10709" customFormat="false" ht="15.75" hidden="false" customHeight="true" outlineLevel="0" collapsed="false">
      <c r="B10709" s="10"/>
      <c r="C10709" s="10"/>
      <c r="D10709" s="10"/>
      <c r="E10709" s="10"/>
      <c r="F10709" s="10"/>
    </row>
    <row r="10710" customFormat="false" ht="24" hidden="false" customHeight="true" outlineLevel="0" collapsed="false">
      <c r="B10710" s="48" t="str">
        <f aca="false">Cab_Mentions</f>
        <v>ALTHO EXPERTISE · SAS au capital de 10 000 € · RCS Pontoise 919 706 325 · TVA FR62919706325 · Société d'expertise comptable inscrite au Tableau de l'Ordre des experts-comptables de Paris Île-de-France</v>
      </c>
      <c r="C10710" s="48"/>
      <c r="D10710" s="48"/>
      <c r="E10710" s="48"/>
      <c r="F10710" s="48"/>
    </row>
    <row r="10711" customFormat="false" ht="15" hidden="false" customHeight="false" outlineLevel="0" collapsed="false">
      <c r="B10711" s="10"/>
      <c r="C10711" s="10"/>
      <c r="D10711" s="10"/>
      <c r="E10711" s="10"/>
      <c r="F10711" s="10"/>
      <c r="J10711" s="25" t="s">
        <v>142</v>
      </c>
      <c r="K10711" s="25" t="n">
        <f aca="false">IFERROR(MATCH(239,Clients!$Z$2:$Z$501,0),0)</f>
        <v>0</v>
      </c>
      <c r="L10711" s="25"/>
      <c r="M10711" s="25"/>
      <c r="N10711" s="25"/>
      <c r="O10711" s="25"/>
    </row>
    <row r="10712" customFormat="false" ht="21.75" hidden="false" customHeight="true" outlineLevel="0" collapsed="false">
      <c r="B10712" s="26" t="str">
        <f aca="false">Cab_Nom</f>
        <v>ALTHO EXPERTISE</v>
      </c>
      <c r="C10712" s="26"/>
      <c r="D10712" s="10"/>
      <c r="E10712" s="27" t="str">
        <f aca="false">IF($K$10711=0,"","Réf. client : "&amp;INDEX(Clients!$A$2:$A$501,$K$10711))</f>
        <v/>
      </c>
      <c r="F10712" s="27"/>
      <c r="J10712" s="25" t="s">
        <v>144</v>
      </c>
      <c r="K10712" s="25" t="str">
        <f aca="false">IF(IF($K$10711=0,"",INDEX(Clients!$B$2:$B$501,$K$10711)&amp;"")="Mme","Madame",IF(IF($K$10711=0,"",INDEX(Clients!$B$2:$B$501,$K$10711)&amp;"")="M.","Monsieur","Madame, Monsieur"))</f>
        <v>Madame, Monsieur</v>
      </c>
      <c r="L10712" s="25"/>
      <c r="M10712" s="25"/>
      <c r="N10712" s="25"/>
      <c r="O10712" s="25"/>
    </row>
    <row r="10713" customFormat="false" ht="15" hidden="false" customHeight="false" outlineLevel="0" collapsed="false">
      <c r="B10713" s="29" t="str">
        <f aca="false">Cab_Adr1</f>
        <v>141 rue Charles de Gaulle</v>
      </c>
      <c r="C10713" s="29"/>
      <c r="D10713" s="10"/>
      <c r="E10713" s="10"/>
      <c r="F10713" s="10"/>
      <c r="J10713" s="25" t="s">
        <v>145</v>
      </c>
      <c r="K10713" s="25" t="str">
        <f aca="false">DAY(Date_Effet)&amp;IF(DAY(Date_Effet)=1,"er","")&amp;" "&amp;INDEX(Liste_Mois,MONTH(Date_Effet))&amp;" "&amp;YEAR(Date_Effet)</f>
        <v>1er janvier 2027</v>
      </c>
      <c r="L10713" s="25"/>
      <c r="M10713" s="25"/>
      <c r="N10713" s="25"/>
      <c r="O10713" s="25"/>
    </row>
    <row r="10714" customFormat="false" ht="15" hidden="false" customHeight="false" outlineLevel="0" collapsed="false">
      <c r="B10714" s="29" t="str">
        <f aca="false">Cab_CPVille</f>
        <v>95130 LE PLESSIS-BOUCHARD</v>
      </c>
      <c r="C10714" s="29"/>
      <c r="D10714" s="10"/>
      <c r="E10714" s="10"/>
      <c r="F10714" s="10"/>
      <c r="J10714" s="25" t="s">
        <v>146</v>
      </c>
      <c r="K10714" s="25" t="str">
        <f aca="false">IF(SUM($K$10738:$K$10741)=0,"",FIXED((SUM($L$10738:$L$10741)/SUM($K$10738:$K$10741)-1)*100,1)&amp;" %")</f>
        <v/>
      </c>
      <c r="L10714" s="25"/>
      <c r="M10714" s="25"/>
      <c r="N10714" s="25"/>
      <c r="O10714" s="25"/>
    </row>
    <row r="10715" customFormat="false" ht="15" hidden="false" customHeight="false" outlineLevel="0" collapsed="false">
      <c r="B10715" s="29" t="str">
        <f aca="false">Cab_Contact</f>
        <v>Tél. 01 34 14 53 45  ·  altho@altho-experts.com  ·  altho-experts.com</v>
      </c>
      <c r="C10715" s="29"/>
      <c r="D10715" s="10"/>
      <c r="E10715" s="10"/>
      <c r="F10715" s="10"/>
      <c r="J10715" s="25"/>
      <c r="K10715" s="25"/>
      <c r="L10715" s="25"/>
      <c r="M10715" s="25"/>
      <c r="N10715" s="25"/>
      <c r="O10715" s="25"/>
    </row>
    <row r="10716" customFormat="false" ht="6" hidden="false" customHeight="true" outlineLevel="0" collapsed="false">
      <c r="B10716" s="32"/>
      <c r="C10716" s="32"/>
      <c r="D10716" s="32"/>
      <c r="E10716" s="32"/>
      <c r="F10716" s="32"/>
      <c r="J10716" s="25"/>
      <c r="K10716" s="25"/>
      <c r="L10716" s="25"/>
      <c r="M10716" s="25"/>
      <c r="N10716" s="25"/>
      <c r="O10716" s="25"/>
    </row>
    <row r="10717" customFormat="false" ht="13.5" hidden="false" customHeight="true" outlineLevel="0" collapsed="false">
      <c r="B10717" s="10"/>
      <c r="C10717" s="10"/>
      <c r="D10717" s="10"/>
      <c r="E10717" s="10"/>
      <c r="F10717" s="10"/>
      <c r="J10717" s="25"/>
      <c r="K10717" s="25"/>
      <c r="L10717" s="25"/>
      <c r="M10717" s="25"/>
      <c r="N10717" s="25"/>
      <c r="O10717" s="25"/>
    </row>
    <row r="10718" customFormat="false" ht="13.5" hidden="false" customHeight="true" outlineLevel="0" collapsed="false">
      <c r="B10718" s="10"/>
      <c r="C10718" s="10"/>
      <c r="D10718" s="10"/>
      <c r="E10718" s="10"/>
      <c r="F10718" s="10"/>
      <c r="J10718" s="25"/>
      <c r="K10718" s="25"/>
      <c r="L10718" s="25"/>
      <c r="M10718" s="25"/>
      <c r="N10718" s="25"/>
      <c r="O10718" s="25"/>
    </row>
    <row r="10719" customFormat="false" ht="13.5" hidden="false" customHeight="true" outlineLevel="0" collapsed="false">
      <c r="B10719" s="10"/>
      <c r="C10719" s="10"/>
      <c r="D10719" s="10"/>
      <c r="E10719" s="10"/>
      <c r="F10719" s="10"/>
      <c r="J10719" s="25"/>
      <c r="K10719" s="25"/>
      <c r="L10719" s="25"/>
      <c r="M10719" s="25"/>
      <c r="N10719" s="25"/>
      <c r="O10719" s="25"/>
    </row>
    <row r="10720" customFormat="false" ht="15" hidden="false" customHeight="true" outlineLevel="0" collapsed="false">
      <c r="B10720" s="10"/>
      <c r="C10720" s="10"/>
      <c r="D10720" s="34" t="str">
        <f aca="false">IF($K$10711=0,"",INDEX(Clients!$E$2:$E$501,$K$10711)&amp;"")</f>
        <v/>
      </c>
      <c r="E10720" s="34"/>
      <c r="F10720" s="34"/>
      <c r="J10720" s="25"/>
      <c r="K10720" s="25"/>
      <c r="L10720" s="25"/>
      <c r="M10720" s="25"/>
      <c r="N10720" s="25"/>
      <c r="O10720" s="25"/>
    </row>
    <row r="10721" customFormat="false" ht="15" hidden="false" customHeight="true" outlineLevel="0" collapsed="false">
      <c r="B10721" s="10"/>
      <c r="C10721" s="10"/>
      <c r="D10721" s="35" t="str">
        <f aca="false">IF(IF($K$10711=0,"",INDEX(Clients!$D$2:$D$501,$K$10711)&amp;"")="","","À l'attention de "&amp;TRIM(IF($K$10711=0,"",INDEX(Clients!$B$2:$B$501,$K$10711)&amp;"")&amp;" "&amp;IF($K$10711=0,"",INDEX(Clients!$C$2:$C$501,$K$10711)&amp;"")&amp;" "&amp;IF($K$10711=0,"",INDEX(Clients!$D$2:$D$501,$K$10711)&amp;"")))</f>
        <v/>
      </c>
      <c r="E10721" s="35"/>
      <c r="F10721" s="35"/>
      <c r="J10721" s="25"/>
      <c r="K10721" s="25"/>
      <c r="L10721" s="25"/>
      <c r="M10721" s="25"/>
      <c r="N10721" s="25"/>
      <c r="O10721" s="25"/>
    </row>
    <row r="10722" customFormat="false" ht="15" hidden="false" customHeight="true" outlineLevel="0" collapsed="false">
      <c r="B10722" s="10"/>
      <c r="C10722" s="10"/>
      <c r="D10722" s="35" t="str">
        <f aca="false">IF($K$10711=0,"",INDEX(Clients!$F$2:$F$501,$K$10711)&amp;"")</f>
        <v/>
      </c>
      <c r="E10722" s="35"/>
      <c r="F10722" s="35"/>
      <c r="J10722" s="25"/>
      <c r="K10722" s="25"/>
      <c r="L10722" s="25"/>
      <c r="M10722" s="25"/>
      <c r="N10722" s="25"/>
      <c r="O10722" s="25"/>
    </row>
    <row r="10723" customFormat="false" ht="15" hidden="false" customHeight="true" outlineLevel="0" collapsed="false">
      <c r="B10723" s="10"/>
      <c r="C10723" s="10"/>
      <c r="D10723" s="35" t="str">
        <f aca="false">IF(IF($K$10711=0,"",INDEX(Clients!$G$2:$G$501,$K$10711)&amp;"")="",TRIM(IF($K$10711=0,"",INDEX(Clients!$H$2:$H$501,$K$10711)&amp;"")&amp;" "&amp;UPPER(IF($K$10711=0,"",INDEX(Clients!$I$2:$I$501,$K$10711)&amp;""))),IF($K$10711=0,"",INDEX(Clients!$G$2:$G$501,$K$10711)&amp;""))</f>
        <v/>
      </c>
      <c r="E10723" s="35"/>
      <c r="F10723" s="35"/>
      <c r="J10723" s="25"/>
      <c r="K10723" s="25"/>
      <c r="L10723" s="25"/>
      <c r="M10723" s="25"/>
      <c r="N10723" s="25"/>
      <c r="O10723" s="25"/>
    </row>
    <row r="10724" customFormat="false" ht="15" hidden="false" customHeight="true" outlineLevel="0" collapsed="false">
      <c r="B10724" s="10"/>
      <c r="C10724" s="10"/>
      <c r="D10724" s="35" t="str">
        <f aca="false">IF(IF($K$10711=0,"",INDEX(Clients!$G$2:$G$501,$K$10711)&amp;"")="","",TRIM(IF($K$10711=0,"",INDEX(Clients!$H$2:$H$501,$K$10711)&amp;"")&amp;" "&amp;UPPER(IF($K$10711=0,"",INDEX(Clients!$I$2:$I$501,$K$10711)&amp;""))))</f>
        <v/>
      </c>
      <c r="E10724" s="35"/>
      <c r="F10724" s="35"/>
      <c r="J10724" s="25"/>
      <c r="K10724" s="25"/>
      <c r="L10724" s="25"/>
      <c r="M10724" s="25"/>
      <c r="N10724" s="25"/>
      <c r="O10724" s="25"/>
    </row>
    <row r="10725" customFormat="false" ht="25.5" hidden="false" customHeight="true" outlineLevel="0" collapsed="false">
      <c r="B10725" s="10"/>
      <c r="C10725" s="10"/>
      <c r="D10725" s="10"/>
      <c r="E10725" s="10"/>
      <c r="F10725" s="10"/>
      <c r="J10725" s="25"/>
      <c r="K10725" s="25"/>
      <c r="L10725" s="25"/>
      <c r="M10725" s="25"/>
      <c r="N10725" s="25"/>
      <c r="O10725" s="25"/>
    </row>
    <row r="10726" customFormat="false" ht="15" hidden="false" customHeight="false" outlineLevel="0" collapsed="false">
      <c r="B10726" s="10"/>
      <c r="C10726" s="10"/>
      <c r="D10726" s="36" t="str">
        <f aca="false">Cab_Ville&amp;", le "&amp;DAY(Date_Courrier)&amp;IF(DAY(Date_Courrier)=1,"er","")&amp;" "&amp;INDEX(Liste_Mois,MONTH(Date_Courrier))&amp;" "&amp;YEAR(Date_Courrier)</f>
        <v>Le Plessis-Bouchard, le 22 septembre 2026</v>
      </c>
      <c r="E10726" s="36"/>
      <c r="F10726" s="36"/>
      <c r="J10726" s="25"/>
      <c r="K10726" s="25"/>
      <c r="L10726" s="25"/>
      <c r="M10726" s="25"/>
      <c r="N10726" s="25"/>
      <c r="O10726" s="25"/>
    </row>
    <row r="10727" customFormat="false" ht="19.5" hidden="false" customHeight="true" outlineLevel="0" collapsed="false">
      <c r="B10727" s="10"/>
      <c r="C10727" s="10"/>
      <c r="D10727" s="10"/>
      <c r="E10727" s="10"/>
      <c r="F10727" s="10"/>
      <c r="J10727" s="25"/>
      <c r="K10727" s="25"/>
      <c r="L10727" s="25"/>
      <c r="M10727" s="25"/>
      <c r="N10727" s="25"/>
      <c r="O10727" s="25"/>
    </row>
    <row r="10728" customFormat="false" ht="15" hidden="false" customHeight="false" outlineLevel="0" collapsed="false">
      <c r="B10728" s="34" t="str">
        <f aca="false">SUBSTITUTE(SUBSTITUTE(SUBSTITUTE(SUBSTITUTE(SUBSTITUTE(Txt_Objet,"{cabinet}",Cab_Nom),"{societe}",IF($K$10711=0,"",INDEX(Clients!$E$2:$E$501,$K$10711)&amp;"")),"{date_effet}",$K$10713),"{hausse}",$K$10714),"{civilite}",$K$10712)</f>
        <v>Objet : révision de nos honoraires au 1er janvier 2027</v>
      </c>
      <c r="C10728" s="34"/>
      <c r="D10728" s="34"/>
      <c r="E10728" s="34"/>
      <c r="F10728" s="34"/>
      <c r="J10728" s="25"/>
      <c r="K10728" s="25"/>
      <c r="L10728" s="25"/>
      <c r="M10728" s="25"/>
      <c r="N10728" s="25"/>
      <c r="O10728" s="25"/>
    </row>
    <row r="10729" customFormat="false" ht="13.5" hidden="false" customHeight="true" outlineLevel="0" collapsed="false">
      <c r="B10729" s="10"/>
      <c r="C10729" s="10"/>
      <c r="D10729" s="10"/>
      <c r="E10729" s="10"/>
      <c r="F10729" s="10"/>
      <c r="J10729" s="25"/>
      <c r="K10729" s="25"/>
      <c r="L10729" s="25"/>
      <c r="M10729" s="25"/>
      <c r="N10729" s="25"/>
      <c r="O10729" s="25"/>
    </row>
    <row r="10730" customFormat="false" ht="15" hidden="false" customHeight="false" outlineLevel="0" collapsed="false">
      <c r="B10730" s="10" t="str">
        <f aca="false">$K$10712&amp;","</f>
        <v>Madame, Monsieur,</v>
      </c>
      <c r="C10730" s="10"/>
      <c r="D10730" s="10"/>
      <c r="E10730" s="10"/>
      <c r="F10730" s="10"/>
      <c r="J10730" s="25"/>
      <c r="K10730" s="25"/>
      <c r="L10730" s="25"/>
      <c r="M10730" s="25"/>
      <c r="N10730" s="25"/>
      <c r="O10730" s="25"/>
    </row>
    <row r="10731" customFormat="false" ht="6" hidden="false" customHeight="true" outlineLevel="0" collapsed="false">
      <c r="B10731" s="10"/>
      <c r="C10731" s="10"/>
      <c r="D10731" s="10"/>
      <c r="E10731" s="10"/>
      <c r="F10731" s="10"/>
      <c r="J10731" s="25"/>
      <c r="K10731" s="25"/>
      <c r="L10731" s="25"/>
      <c r="M10731" s="25"/>
      <c r="N10731" s="25"/>
      <c r="O10731" s="25"/>
    </row>
    <row r="10732" customFormat="false" ht="36.75" hidden="false" customHeight="true" outlineLevel="0" collapsed="false">
      <c r="B10732" s="37" t="str">
        <f aca="false">SUBSTITUTE(SUBSTITUTE(SUBSTITUTE(SUBSTITUTE(SUBSTITUTE(Txt_P1,"{cabinet}",Cab_Nom),"{societe}",IF($K$10711=0,"",INDEX(Clients!$E$2:$E$501,$K$10711)&amp;"")),"{date_effet}",$K$10713),"{hausse}",$K$10714),"{civilite}",$K$10712)</f>
        <v>Nous tenons tout d'abord à vous remercier pour la confiance que vous accordez à ALTHO EXPERTISE. Comme chaque année, et conformément aux dispositions de votre lettre de mission, nous procédons à la révision de nos honoraires.</v>
      </c>
      <c r="C10732" s="37"/>
      <c r="D10732" s="37"/>
      <c r="E10732" s="37"/>
      <c r="F10732" s="37"/>
      <c r="J10732" s="25"/>
      <c r="K10732" s="25"/>
      <c r="L10732" s="25"/>
      <c r="M10732" s="25"/>
      <c r="N10732" s="25"/>
      <c r="O10732" s="25"/>
    </row>
    <row r="10733" customFormat="false" ht="49.5" hidden="false" customHeight="true" outlineLevel="0" collapsed="false">
      <c r="B10733" s="37" t="str">
        <f aca="false">SUBSTITUTE(SUBSTITUTE(SUBSTITUTE(SUBSTITUTE(SUBSTITUTE(Txt_P2,"{cabinet}",Cab_Nom),"{societe}",IF($K$10711=0,"",INDEX(Clients!$E$2:$E$501,$K$10711)&amp;"")),"{date_effet}",$K$10713),"{hausse}",$K$10714),"{civilite}",$K$10712)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733" s="37"/>
      <c r="D10733" s="37"/>
      <c r="E10733" s="37"/>
      <c r="F10733" s="37"/>
      <c r="J10733" s="25"/>
      <c r="K10733" s="25"/>
      <c r="L10733" s="25"/>
      <c r="M10733" s="25"/>
      <c r="N10733" s="25"/>
      <c r="O10733" s="25"/>
    </row>
    <row r="10734" customFormat="false" ht="63" hidden="false" customHeight="true" outlineLevel="0" collapsed="false">
      <c r="B10734" s="37" t="str">
        <f aca="false">SUBSTITUTE(SUBSTITUTE(SUBSTITUTE(SUBSTITUTE(SUBSTITUTE(Txt_P3,"{cabinet}",Cab_Nom),"{societe}",IF($K$10711=0,"",INDEX(Clients!$E$2:$E$501,$K$10711)&amp;"")),"{date_effet}",$K$10713),"{hausse}",$K$10714),"{civilite}",$K$10712)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734" s="37"/>
      <c r="D10734" s="37"/>
      <c r="E10734" s="37"/>
      <c r="F10734" s="37"/>
      <c r="J10734" s="25"/>
      <c r="K10734" s="25"/>
      <c r="L10734" s="25"/>
      <c r="M10734" s="25"/>
      <c r="N10734" s="25"/>
      <c r="O10734" s="25"/>
    </row>
    <row r="10735" customFormat="false" ht="24" hidden="false" customHeight="true" outlineLevel="0" collapsed="false">
      <c r="B10735" s="37" t="str">
        <f aca="false">SUBSTITUTE(SUBSTITUTE(SUBSTITUTE(SUBSTITUTE(SUBSTITUTE(Txt_P4,"{cabinet}",Cab_Nom),"{societe}",IF($K$10711=0,"",INDEX(Clients!$E$2:$E$501,$K$10711)&amp;"")),"{date_effet}",$K$10713),"{hausse}",$K$10714),"{civilite}",$K$10712)</f>
        <v>À compter du 1er janvier 2027, vos honoraires annuels hors taxes évolueront ainsi (évolution globale : ) :</v>
      </c>
      <c r="C10735" s="37"/>
      <c r="D10735" s="37"/>
      <c r="E10735" s="37"/>
      <c r="F10735" s="37"/>
      <c r="J10735" s="25"/>
      <c r="K10735" s="25"/>
      <c r="L10735" s="25"/>
      <c r="M10735" s="25"/>
      <c r="N10735" s="25"/>
      <c r="O10735" s="25"/>
    </row>
    <row r="10736" customFormat="false" ht="3.75" hidden="false" customHeight="true" outlineLevel="0" collapsed="false">
      <c r="B10736" s="10"/>
      <c r="C10736" s="10"/>
      <c r="D10736" s="10"/>
      <c r="E10736" s="10"/>
      <c r="F10736" s="10"/>
      <c r="J10736" s="25"/>
      <c r="K10736" s="25"/>
      <c r="L10736" s="25"/>
      <c r="M10736" s="25"/>
      <c r="N10736" s="25"/>
      <c r="O10736" s="25"/>
    </row>
    <row r="10737" customFormat="false" ht="18" hidden="false" customHeight="true" outlineLevel="0" collapsed="false">
      <c r="B10737" s="38" t="s">
        <v>148</v>
      </c>
      <c r="C10737" s="39" t="s">
        <v>149</v>
      </c>
      <c r="D10737" s="39" t="s">
        <v>150</v>
      </c>
      <c r="E10737" s="39" t="s">
        <v>151</v>
      </c>
      <c r="F10737" s="39" t="s">
        <v>109</v>
      </c>
      <c r="J10737" s="25" t="s">
        <v>152</v>
      </c>
      <c r="K10737" s="25" t="s">
        <v>153</v>
      </c>
      <c r="L10737" s="25" t="s">
        <v>154</v>
      </c>
      <c r="M10737" s="25" t="s">
        <v>155</v>
      </c>
      <c r="N10737" s="25" t="s">
        <v>156</v>
      </c>
      <c r="O10737" s="25" t="s">
        <v>157</v>
      </c>
    </row>
    <row r="10738" customFormat="false" ht="16.5" hidden="false" customHeight="true" outlineLevel="0" collapsed="false">
      <c r="B10738" s="40" t="str">
        <f aca="false">IFERROR(INDEX($J$10738:$J$10741,MATCH($O10738,$N$10738:$N$10741,0)),"")</f>
        <v/>
      </c>
      <c r="C10738" s="41" t="str">
        <f aca="false">IFERROR(INDEX($K$10738:$K$10741,MATCH($O10738,$N$10738:$N$10741,0)),"")</f>
        <v/>
      </c>
      <c r="D10738" s="42" t="str">
        <f aca="false">IF(OR(E10738="",N(C10738)=0),"",E10738/C10738-1)</f>
        <v/>
      </c>
      <c r="E10738" s="41" t="str">
        <f aca="false">IFERROR(INDEX($L$10738:$L$10741,MATCH($O10738,$N$10738:$N$10741,0)),"")</f>
        <v/>
      </c>
      <c r="F10738" s="41" t="str">
        <f aca="false">IF(E10738="","",E10738-C10738)</f>
        <v/>
      </c>
      <c r="J10738" s="25" t="str">
        <f aca="false">Lib_Compta</f>
        <v>Mission comptable (tenue, révision, bilan, liasse fiscale)</v>
      </c>
      <c r="K10738" s="25" t="n">
        <f aca="false">IF($K$10711=0,0,N(INDEX(Clients!$K$2:$K$501,$K$10711)))</f>
        <v>0</v>
      </c>
      <c r="L10738" s="25" t="n">
        <f aca="false">IF($K$10711=0,0,N(INDEX(Clients!$P$2:$P$501,$K$10711)))</f>
        <v>0</v>
      </c>
      <c r="M10738" s="25" t="n">
        <f aca="false">IF(OR(K10738&lt;&gt;0,L10738&lt;&gt;0),1,0)</f>
        <v>0</v>
      </c>
      <c r="N10738" s="25" t="str">
        <f aca="false">IF(M10738=1,SUM($M$10738:M10738),"")</f>
        <v/>
      </c>
      <c r="O10738" s="25" t="n">
        <v>1</v>
      </c>
    </row>
    <row r="10739" customFormat="false" ht="16.5" hidden="false" customHeight="true" outlineLevel="0" collapsed="false">
      <c r="B10739" s="40" t="str">
        <f aca="false">IFERROR(INDEX($J$10738:$J$10741,MATCH($O10739,$N$10738:$N$10741,0)),"")</f>
        <v/>
      </c>
      <c r="C10739" s="41" t="str">
        <f aca="false">IFERROR(INDEX($K$10738:$K$10741,MATCH($O10739,$N$10738:$N$10741,0)),"")</f>
        <v/>
      </c>
      <c r="D10739" s="42" t="str">
        <f aca="false">IF(OR(E10739="",N(C10739)=0),"",E10739/C10739-1)</f>
        <v/>
      </c>
      <c r="E10739" s="41" t="str">
        <f aca="false">IFERROR(INDEX($L$10738:$L$10741,MATCH($O10739,$N$10738:$N$10741,0)),"")</f>
        <v/>
      </c>
      <c r="F10739" s="41" t="str">
        <f aca="false">IF(E10739="","",E10739-C10739)</f>
        <v/>
      </c>
      <c r="J10739" s="25" t="str">
        <f aca="false">Lib_Paye</f>
        <v>Mission sociale (bulletins de paie, DSN, déclarations sociales)</v>
      </c>
      <c r="K10739" s="25" t="n">
        <f aca="false">IF($K$10711=0,0,N(INDEX(Clients!$L$2:$L$501,$K$10711)))</f>
        <v>0</v>
      </c>
      <c r="L10739" s="25" t="n">
        <f aca="false">IF($K$10711=0,0,N(INDEX(Clients!$Q$2:$Q$501,$K$10711)))</f>
        <v>0</v>
      </c>
      <c r="M10739" s="25" t="n">
        <f aca="false">IF(OR(K10739&lt;&gt;0,L10739&lt;&gt;0),1,0)</f>
        <v>0</v>
      </c>
      <c r="N10739" s="25" t="str">
        <f aca="false">IF(M10739=1,SUM($M$10738:M10739),"")</f>
        <v/>
      </c>
      <c r="O10739" s="25" t="n">
        <v>2</v>
      </c>
    </row>
    <row r="10740" customFormat="false" ht="16.5" hidden="false" customHeight="true" outlineLevel="0" collapsed="false">
      <c r="B10740" s="40" t="str">
        <f aca="false">IFERROR(INDEX($J$10738:$J$10741,MATCH($O10740,$N$10738:$N$10741,0)),"")</f>
        <v/>
      </c>
      <c r="C10740" s="41" t="str">
        <f aca="false">IFERROR(INDEX($K$10738:$K$10741,MATCH($O10740,$N$10738:$N$10741,0)),"")</f>
        <v/>
      </c>
      <c r="D10740" s="42" t="str">
        <f aca="false">IF(OR(E10740="",N(C10740)=0),"",E10740/C10740-1)</f>
        <v/>
      </c>
      <c r="E10740" s="41" t="str">
        <f aca="false">IFERROR(INDEX($L$10738:$L$10741,MATCH($O10740,$N$10738:$N$10741,0)),"")</f>
        <v/>
      </c>
      <c r="F10740" s="41" t="str">
        <f aca="false">IF(E10740="","",E10740-C10740)</f>
        <v/>
      </c>
      <c r="J10740" s="25" t="str">
        <f aca="false">Lib_Jur</f>
        <v>Mission juridique (approbation des comptes, secrétariat juridique)</v>
      </c>
      <c r="K10740" s="25" t="n">
        <f aca="false">IF($K$10711=0,0,N(INDEX(Clients!$M$2:$M$501,$K$10711)))</f>
        <v>0</v>
      </c>
      <c r="L10740" s="25" t="n">
        <f aca="false">IF($K$10711=0,0,N(INDEX(Clients!$R$2:$R$501,$K$10711)))</f>
        <v>0</v>
      </c>
      <c r="M10740" s="25" t="n">
        <f aca="false">IF(OR(K10740&lt;&gt;0,L10740&lt;&gt;0),1,0)</f>
        <v>0</v>
      </c>
      <c r="N10740" s="25" t="str">
        <f aca="false">IF(M10740=1,SUM($M$10738:M10740),"")</f>
        <v/>
      </c>
      <c r="O10740" s="25" t="n">
        <v>3</v>
      </c>
    </row>
    <row r="10741" customFormat="false" ht="16.5" hidden="false" customHeight="true" outlineLevel="0" collapsed="false">
      <c r="B10741" s="40" t="str">
        <f aca="false">IFERROR(INDEX($J$10738:$J$10741,MATCH($O10741,$N$10738:$N$10741,0)),"")</f>
        <v/>
      </c>
      <c r="C10741" s="41" t="str">
        <f aca="false">IFERROR(INDEX($K$10738:$K$10741,MATCH($O10741,$N$10738:$N$10741,0)),"")</f>
        <v/>
      </c>
      <c r="D10741" s="42" t="str">
        <f aca="false">IF(OR(E10741="",N(C10741)=0),"",E10741/C10741-1)</f>
        <v/>
      </c>
      <c r="E10741" s="41" t="str">
        <f aca="false">IFERROR(INDEX($L$10738:$L$10741,MATCH($O10741,$N$10738:$N$10741,0)),"")</f>
        <v/>
      </c>
      <c r="F10741" s="41" t="str">
        <f aca="false">IF(E10741="","",E10741-C10741)</f>
        <v/>
      </c>
      <c r="J10741" s="25" t="str">
        <f aca="false">Lib_PA</f>
        <v>Plateforme agréée – facturation électronique</v>
      </c>
      <c r="K10741" s="25" t="n">
        <f aca="false">IF($K$10711=0,0,N(INDEX(Clients!$N$2:$N$501,$K$10711)))</f>
        <v>0</v>
      </c>
      <c r="L10741" s="25" t="n">
        <f aca="false">IF($K$10711=0,0,N(INDEX(Clients!$S$2:$S$501,$K$10711)))</f>
        <v>0</v>
      </c>
      <c r="M10741" s="25" t="n">
        <f aca="false">IF(OR(K10741&lt;&gt;0,L10741&lt;&gt;0),1,0)</f>
        <v>0</v>
      </c>
      <c r="N10741" s="25" t="str">
        <f aca="false">IF(M10741=1,SUM($M$10738:M10741),"")</f>
        <v/>
      </c>
      <c r="O10741" s="25" t="n">
        <v>4</v>
      </c>
    </row>
    <row r="10742" customFormat="false" ht="18" hidden="false" customHeight="true" outlineLevel="0" collapsed="false">
      <c r="B10742" s="43" t="s">
        <v>158</v>
      </c>
      <c r="C10742" s="44" t="n">
        <f aca="false">SUM(K10738:K10741)</f>
        <v>0</v>
      </c>
      <c r="D10742" s="45" t="str">
        <f aca="false">IF(N(C10742)=0,"",E10742/C10742-1)</f>
        <v/>
      </c>
      <c r="E10742" s="44" t="n">
        <f aca="false">SUM(L10738:L10741)</f>
        <v>0</v>
      </c>
      <c r="F10742" s="44" t="n">
        <f aca="false">E10742-C10742</f>
        <v>0</v>
      </c>
    </row>
    <row r="10743" customFormat="false" ht="15" hidden="false" customHeight="false" outlineLevel="0" collapsed="false">
      <c r="B10743" s="46" t="str">
        <f aca="false">IF(N(Nb_Mensualites)=0,"","Soit "&amp;FIXED(E10742/Nb_Mensualites,2)&amp;" € HT par échéance ("&amp;Nb_Mensualites&amp;" échéances), "&amp;FIXED(E10742/Nb_Mensualites*(1+Taux_TVA),2)&amp;" € TTC.")</f>
        <v>Soit 0.00 € HT par échéance (12 échéances), 0.00 € TTC.</v>
      </c>
      <c r="C10743" s="46"/>
      <c r="D10743" s="46"/>
      <c r="E10743" s="46"/>
      <c r="F10743" s="46"/>
    </row>
    <row r="10744" customFormat="false" ht="7.5" hidden="false" customHeight="true" outlineLevel="0" collapsed="false">
      <c r="B10744" s="10"/>
      <c r="C10744" s="10"/>
      <c r="D10744" s="10"/>
      <c r="E10744" s="10"/>
      <c r="F10744" s="10"/>
    </row>
    <row r="10745" customFormat="false" ht="36.75" hidden="false" customHeight="true" outlineLevel="0" collapsed="false">
      <c r="B10745" s="37" t="str">
        <f aca="false">SUBSTITUTE(SUBSTITUTE(SUBSTITUTE(SUBSTITUTE(SUBSTITUTE(Txt_P5,"{cabinet}",Cab_Nom),"{societe}",IF($K$10711=0,"",INDEX(Clients!$E$2:$E$501,$K$10711)&amp;"")),"{date_effet}",$K$10713),"{hausse}",$K$10714),"{civilite}",$K$10712)</f>
        <v>Les autres conditions de votre lettre de mission demeurent inchangées. Les nouveaux montants seront appliqués automatiquement sur vos prochaines factures et échéances de prélèvement.</v>
      </c>
      <c r="C10745" s="37"/>
      <c r="D10745" s="37"/>
      <c r="E10745" s="37"/>
      <c r="F10745" s="37"/>
    </row>
    <row r="10746" customFormat="false" ht="36.75" hidden="false" customHeight="true" outlineLevel="0" collapsed="false">
      <c r="B10746" s="37" t="str">
        <f aca="false">SUBSTITUTE(SUBSTITUTE(SUBSTITUTE(SUBSTITUTE(SUBSTITUTE(Txt_P6,"{cabinet}",Cab_Nom),"{societe}",IF($K$10711=0,"",INDEX(Clients!$E$2:$E$501,$K$10711)&amp;"")),"{date_effet}",$K$10713),"{hausse}",$K$10714),"{civilite}",$K$10712)</f>
        <v>Votre interlocuteur habituel reste à votre entière disposition pour répondre à vos questions et faire le point sur l'évolution de vos besoins.</v>
      </c>
      <c r="C10746" s="37"/>
      <c r="D10746" s="37"/>
      <c r="E10746" s="37"/>
      <c r="F10746" s="37"/>
    </row>
    <row r="10747" customFormat="false" ht="24" hidden="false" customHeight="true" outlineLevel="0" collapsed="false">
      <c r="B10747" s="37" t="str">
        <f aca="false">SUBSTITUTE(SUBSTITUTE(SUBSTITUTE(SUBSTITUTE(SUBSTITUTE(Txt_Politesse,"{cabinet}",Cab_Nom),"{societe}",IF($K$10711=0,"",INDEX(Clients!$E$2:$E$501,$K$10711)&amp;"")),"{date_effet}",$K$10713),"{hausse}",$K$10714),"{civilite}",$K$10712)</f>
        <v>Nous vous prions d'agréer, Madame, Monsieur, l'expression de nos salutations distinguées.</v>
      </c>
      <c r="C10747" s="37"/>
      <c r="D10747" s="37"/>
      <c r="E10747" s="37"/>
      <c r="F10747" s="37"/>
    </row>
    <row r="10748" customFormat="false" ht="15" hidden="false" customHeight="false" outlineLevel="0" collapsed="false">
      <c r="B10748" s="10"/>
      <c r="C10748" s="10"/>
      <c r="D10748" s="10"/>
      <c r="E10748" s="10"/>
      <c r="F10748" s="10"/>
    </row>
    <row r="10749" customFormat="false" ht="15" hidden="false" customHeight="false" outlineLevel="0" collapsed="false">
      <c r="B10749" s="10"/>
      <c r="C10749" s="10"/>
      <c r="D10749" s="34" t="str">
        <f aca="false">Signataire</f>
        <v>Prénom NOM</v>
      </c>
      <c r="E10749" s="34"/>
      <c r="F10749" s="34"/>
    </row>
    <row r="10750" customFormat="false" ht="15" hidden="false" customHeight="false" outlineLevel="0" collapsed="false">
      <c r="B10750" s="10"/>
      <c r="C10750" s="10"/>
      <c r="D10750" s="47" t="str">
        <f aca="false">Signataire_Titre</f>
        <v>Expert-comptable associé</v>
      </c>
      <c r="E10750" s="47"/>
      <c r="F10750" s="47"/>
    </row>
    <row r="10751" customFormat="false" ht="15.75" hidden="false" customHeight="true" outlineLevel="0" collapsed="false">
      <c r="B10751" s="10"/>
      <c r="C10751" s="10"/>
      <c r="D10751" s="10"/>
      <c r="E10751" s="10"/>
      <c r="F10751" s="10"/>
    </row>
    <row r="10752" customFormat="false" ht="15.75" hidden="false" customHeight="true" outlineLevel="0" collapsed="false">
      <c r="B10752" s="10"/>
      <c r="C10752" s="10"/>
      <c r="D10752" s="10"/>
      <c r="E10752" s="10"/>
      <c r="F10752" s="10"/>
    </row>
    <row r="10753" customFormat="false" ht="15.75" hidden="false" customHeight="true" outlineLevel="0" collapsed="false">
      <c r="B10753" s="10"/>
      <c r="C10753" s="10"/>
      <c r="D10753" s="10"/>
      <c r="E10753" s="10"/>
      <c r="F10753" s="10"/>
    </row>
    <row r="10754" customFormat="false" ht="15.75" hidden="false" customHeight="true" outlineLevel="0" collapsed="false">
      <c r="B10754" s="10"/>
      <c r="C10754" s="10"/>
      <c r="D10754" s="10"/>
      <c r="E10754" s="10"/>
      <c r="F10754" s="10"/>
    </row>
    <row r="10755" customFormat="false" ht="24" hidden="false" customHeight="true" outlineLevel="0" collapsed="false">
      <c r="B10755" s="48" t="str">
        <f aca="false">Cab_Mentions</f>
        <v>ALTHO EXPERTISE · SAS au capital de 10 000 € · RCS Pontoise 919 706 325 · TVA FR62919706325 · Société d'expertise comptable inscrite au Tableau de l'Ordre des experts-comptables de Paris Île-de-France</v>
      </c>
      <c r="C10755" s="48"/>
      <c r="D10755" s="48"/>
      <c r="E10755" s="48"/>
      <c r="F10755" s="48"/>
    </row>
    <row r="10756" customFormat="false" ht="15" hidden="false" customHeight="false" outlineLevel="0" collapsed="false">
      <c r="B10756" s="10"/>
      <c r="C10756" s="10"/>
      <c r="D10756" s="10"/>
      <c r="E10756" s="10"/>
      <c r="F10756" s="10"/>
      <c r="J10756" s="25" t="s">
        <v>142</v>
      </c>
      <c r="K10756" s="25" t="n">
        <f aca="false">IFERROR(MATCH(240,Clients!$Z$2:$Z$501,0),0)</f>
        <v>0</v>
      </c>
      <c r="L10756" s="25"/>
      <c r="M10756" s="25"/>
      <c r="N10756" s="25"/>
      <c r="O10756" s="25"/>
    </row>
    <row r="10757" customFormat="false" ht="21.75" hidden="false" customHeight="true" outlineLevel="0" collapsed="false">
      <c r="B10757" s="26" t="str">
        <f aca="false">Cab_Nom</f>
        <v>ALTHO EXPERTISE</v>
      </c>
      <c r="C10757" s="26"/>
      <c r="D10757" s="10"/>
      <c r="E10757" s="27" t="str">
        <f aca="false">IF($K$10756=0,"","Réf. client : "&amp;INDEX(Clients!$A$2:$A$501,$K$10756))</f>
        <v/>
      </c>
      <c r="F10757" s="27"/>
      <c r="J10757" s="25" t="s">
        <v>144</v>
      </c>
      <c r="K10757" s="25" t="str">
        <f aca="false">IF(IF($K$10756=0,"",INDEX(Clients!$B$2:$B$501,$K$10756)&amp;"")="Mme","Madame",IF(IF($K$10756=0,"",INDEX(Clients!$B$2:$B$501,$K$10756)&amp;"")="M.","Monsieur","Madame, Monsieur"))</f>
        <v>Madame, Monsieur</v>
      </c>
      <c r="L10757" s="25"/>
      <c r="M10757" s="25"/>
      <c r="N10757" s="25"/>
      <c r="O10757" s="25"/>
    </row>
    <row r="10758" customFormat="false" ht="15" hidden="false" customHeight="false" outlineLevel="0" collapsed="false">
      <c r="B10758" s="29" t="str">
        <f aca="false">Cab_Adr1</f>
        <v>141 rue Charles de Gaulle</v>
      </c>
      <c r="C10758" s="29"/>
      <c r="D10758" s="10"/>
      <c r="E10758" s="10"/>
      <c r="F10758" s="10"/>
      <c r="J10758" s="25" t="s">
        <v>145</v>
      </c>
      <c r="K10758" s="25" t="str">
        <f aca="false">DAY(Date_Effet)&amp;IF(DAY(Date_Effet)=1,"er","")&amp;" "&amp;INDEX(Liste_Mois,MONTH(Date_Effet))&amp;" "&amp;YEAR(Date_Effet)</f>
        <v>1er janvier 2027</v>
      </c>
      <c r="L10758" s="25"/>
      <c r="M10758" s="25"/>
      <c r="N10758" s="25"/>
      <c r="O10758" s="25"/>
    </row>
    <row r="10759" customFormat="false" ht="15" hidden="false" customHeight="false" outlineLevel="0" collapsed="false">
      <c r="B10759" s="29" t="str">
        <f aca="false">Cab_CPVille</f>
        <v>95130 LE PLESSIS-BOUCHARD</v>
      </c>
      <c r="C10759" s="29"/>
      <c r="D10759" s="10"/>
      <c r="E10759" s="10"/>
      <c r="F10759" s="10"/>
      <c r="J10759" s="25" t="s">
        <v>146</v>
      </c>
      <c r="K10759" s="25" t="str">
        <f aca="false">IF(SUM($K$10783:$K$10786)=0,"",FIXED((SUM($L$10783:$L$10786)/SUM($K$10783:$K$10786)-1)*100,1)&amp;" %")</f>
        <v/>
      </c>
      <c r="L10759" s="25"/>
      <c r="M10759" s="25"/>
      <c r="N10759" s="25"/>
      <c r="O10759" s="25"/>
    </row>
    <row r="10760" customFormat="false" ht="15" hidden="false" customHeight="false" outlineLevel="0" collapsed="false">
      <c r="B10760" s="29" t="str">
        <f aca="false">Cab_Contact</f>
        <v>Tél. 01 34 14 53 45  ·  altho@altho-experts.com  ·  altho-experts.com</v>
      </c>
      <c r="C10760" s="29"/>
      <c r="D10760" s="10"/>
      <c r="E10760" s="10"/>
      <c r="F10760" s="10"/>
      <c r="J10760" s="25"/>
      <c r="K10760" s="25"/>
      <c r="L10760" s="25"/>
      <c r="M10760" s="25"/>
      <c r="N10760" s="25"/>
      <c r="O10760" s="25"/>
    </row>
    <row r="10761" customFormat="false" ht="6" hidden="false" customHeight="true" outlineLevel="0" collapsed="false">
      <c r="B10761" s="32"/>
      <c r="C10761" s="32"/>
      <c r="D10761" s="32"/>
      <c r="E10761" s="32"/>
      <c r="F10761" s="32"/>
      <c r="J10761" s="25"/>
      <c r="K10761" s="25"/>
      <c r="L10761" s="25"/>
      <c r="M10761" s="25"/>
      <c r="N10761" s="25"/>
      <c r="O10761" s="25"/>
    </row>
    <row r="10762" customFormat="false" ht="13.5" hidden="false" customHeight="true" outlineLevel="0" collapsed="false">
      <c r="B10762" s="10"/>
      <c r="C10762" s="10"/>
      <c r="D10762" s="10"/>
      <c r="E10762" s="10"/>
      <c r="F10762" s="10"/>
      <c r="J10762" s="25"/>
      <c r="K10762" s="25"/>
      <c r="L10762" s="25"/>
      <c r="M10762" s="25"/>
      <c r="N10762" s="25"/>
      <c r="O10762" s="25"/>
    </row>
    <row r="10763" customFormat="false" ht="13.5" hidden="false" customHeight="true" outlineLevel="0" collapsed="false">
      <c r="B10763" s="10"/>
      <c r="C10763" s="10"/>
      <c r="D10763" s="10"/>
      <c r="E10763" s="10"/>
      <c r="F10763" s="10"/>
      <c r="J10763" s="25"/>
      <c r="K10763" s="25"/>
      <c r="L10763" s="25"/>
      <c r="M10763" s="25"/>
      <c r="N10763" s="25"/>
      <c r="O10763" s="25"/>
    </row>
    <row r="10764" customFormat="false" ht="13.5" hidden="false" customHeight="true" outlineLevel="0" collapsed="false">
      <c r="B10764" s="10"/>
      <c r="C10764" s="10"/>
      <c r="D10764" s="10"/>
      <c r="E10764" s="10"/>
      <c r="F10764" s="10"/>
      <c r="J10764" s="25"/>
      <c r="K10764" s="25"/>
      <c r="L10764" s="25"/>
      <c r="M10764" s="25"/>
      <c r="N10764" s="25"/>
      <c r="O10764" s="25"/>
    </row>
    <row r="10765" customFormat="false" ht="15" hidden="false" customHeight="true" outlineLevel="0" collapsed="false">
      <c r="B10765" s="10"/>
      <c r="C10765" s="10"/>
      <c r="D10765" s="34" t="str">
        <f aca="false">IF($K$10756=0,"",INDEX(Clients!$E$2:$E$501,$K$10756)&amp;"")</f>
        <v/>
      </c>
      <c r="E10765" s="34"/>
      <c r="F10765" s="34"/>
      <c r="J10765" s="25"/>
      <c r="K10765" s="25"/>
      <c r="L10765" s="25"/>
      <c r="M10765" s="25"/>
      <c r="N10765" s="25"/>
      <c r="O10765" s="25"/>
    </row>
    <row r="10766" customFormat="false" ht="15" hidden="false" customHeight="true" outlineLevel="0" collapsed="false">
      <c r="B10766" s="10"/>
      <c r="C10766" s="10"/>
      <c r="D10766" s="35" t="str">
        <f aca="false">IF(IF($K$10756=0,"",INDEX(Clients!$D$2:$D$501,$K$10756)&amp;"")="","","À l'attention de "&amp;TRIM(IF($K$10756=0,"",INDEX(Clients!$B$2:$B$501,$K$10756)&amp;"")&amp;" "&amp;IF($K$10756=0,"",INDEX(Clients!$C$2:$C$501,$K$10756)&amp;"")&amp;" "&amp;IF($K$10756=0,"",INDEX(Clients!$D$2:$D$501,$K$10756)&amp;"")))</f>
        <v/>
      </c>
      <c r="E10766" s="35"/>
      <c r="F10766" s="35"/>
      <c r="J10766" s="25"/>
      <c r="K10766" s="25"/>
      <c r="L10766" s="25"/>
      <c r="M10766" s="25"/>
      <c r="N10766" s="25"/>
      <c r="O10766" s="25"/>
    </row>
    <row r="10767" customFormat="false" ht="15" hidden="false" customHeight="true" outlineLevel="0" collapsed="false">
      <c r="B10767" s="10"/>
      <c r="C10767" s="10"/>
      <c r="D10767" s="35" t="str">
        <f aca="false">IF($K$10756=0,"",INDEX(Clients!$F$2:$F$501,$K$10756)&amp;"")</f>
        <v/>
      </c>
      <c r="E10767" s="35"/>
      <c r="F10767" s="35"/>
      <c r="J10767" s="25"/>
      <c r="K10767" s="25"/>
      <c r="L10767" s="25"/>
      <c r="M10767" s="25"/>
      <c r="N10767" s="25"/>
      <c r="O10767" s="25"/>
    </row>
    <row r="10768" customFormat="false" ht="15" hidden="false" customHeight="true" outlineLevel="0" collapsed="false">
      <c r="B10768" s="10"/>
      <c r="C10768" s="10"/>
      <c r="D10768" s="35" t="str">
        <f aca="false">IF(IF($K$10756=0,"",INDEX(Clients!$G$2:$G$501,$K$10756)&amp;"")="",TRIM(IF($K$10756=0,"",INDEX(Clients!$H$2:$H$501,$K$10756)&amp;"")&amp;" "&amp;UPPER(IF($K$10756=0,"",INDEX(Clients!$I$2:$I$501,$K$10756)&amp;""))),IF($K$10756=0,"",INDEX(Clients!$G$2:$G$501,$K$10756)&amp;""))</f>
        <v/>
      </c>
      <c r="E10768" s="35"/>
      <c r="F10768" s="35"/>
      <c r="J10768" s="25"/>
      <c r="K10768" s="25"/>
      <c r="L10768" s="25"/>
      <c r="M10768" s="25"/>
      <c r="N10768" s="25"/>
      <c r="O10768" s="25"/>
    </row>
    <row r="10769" customFormat="false" ht="15" hidden="false" customHeight="true" outlineLevel="0" collapsed="false">
      <c r="B10769" s="10"/>
      <c r="C10769" s="10"/>
      <c r="D10769" s="35" t="str">
        <f aca="false">IF(IF($K$10756=0,"",INDEX(Clients!$G$2:$G$501,$K$10756)&amp;"")="","",TRIM(IF($K$10756=0,"",INDEX(Clients!$H$2:$H$501,$K$10756)&amp;"")&amp;" "&amp;UPPER(IF($K$10756=0,"",INDEX(Clients!$I$2:$I$501,$K$10756)&amp;""))))</f>
        <v/>
      </c>
      <c r="E10769" s="35"/>
      <c r="F10769" s="35"/>
      <c r="J10769" s="25"/>
      <c r="K10769" s="25"/>
      <c r="L10769" s="25"/>
      <c r="M10769" s="25"/>
      <c r="N10769" s="25"/>
      <c r="O10769" s="25"/>
    </row>
    <row r="10770" customFormat="false" ht="25.5" hidden="false" customHeight="true" outlineLevel="0" collapsed="false">
      <c r="B10770" s="10"/>
      <c r="C10770" s="10"/>
      <c r="D10770" s="10"/>
      <c r="E10770" s="10"/>
      <c r="F10770" s="10"/>
      <c r="J10770" s="25"/>
      <c r="K10770" s="25"/>
      <c r="L10770" s="25"/>
      <c r="M10770" s="25"/>
      <c r="N10770" s="25"/>
      <c r="O10770" s="25"/>
    </row>
    <row r="10771" customFormat="false" ht="15" hidden="false" customHeight="false" outlineLevel="0" collapsed="false">
      <c r="B10771" s="10"/>
      <c r="C10771" s="10"/>
      <c r="D10771" s="36" t="str">
        <f aca="false">Cab_Ville&amp;", le "&amp;DAY(Date_Courrier)&amp;IF(DAY(Date_Courrier)=1,"er","")&amp;" "&amp;INDEX(Liste_Mois,MONTH(Date_Courrier))&amp;" "&amp;YEAR(Date_Courrier)</f>
        <v>Le Plessis-Bouchard, le 22 septembre 2026</v>
      </c>
      <c r="E10771" s="36"/>
      <c r="F10771" s="36"/>
      <c r="J10771" s="25"/>
      <c r="K10771" s="25"/>
      <c r="L10771" s="25"/>
      <c r="M10771" s="25"/>
      <c r="N10771" s="25"/>
      <c r="O10771" s="25"/>
    </row>
    <row r="10772" customFormat="false" ht="19.5" hidden="false" customHeight="true" outlineLevel="0" collapsed="false">
      <c r="B10772" s="10"/>
      <c r="C10772" s="10"/>
      <c r="D10772" s="10"/>
      <c r="E10772" s="10"/>
      <c r="F10772" s="10"/>
      <c r="J10772" s="25"/>
      <c r="K10772" s="25"/>
      <c r="L10772" s="25"/>
      <c r="M10772" s="25"/>
      <c r="N10772" s="25"/>
      <c r="O10772" s="25"/>
    </row>
    <row r="10773" customFormat="false" ht="15" hidden="false" customHeight="false" outlineLevel="0" collapsed="false">
      <c r="B10773" s="34" t="str">
        <f aca="false">SUBSTITUTE(SUBSTITUTE(SUBSTITUTE(SUBSTITUTE(SUBSTITUTE(Txt_Objet,"{cabinet}",Cab_Nom),"{societe}",IF($K$10756=0,"",INDEX(Clients!$E$2:$E$501,$K$10756)&amp;"")),"{date_effet}",$K$10758),"{hausse}",$K$10759),"{civilite}",$K$10757)</f>
        <v>Objet : révision de nos honoraires au 1er janvier 2027</v>
      </c>
      <c r="C10773" s="34"/>
      <c r="D10773" s="34"/>
      <c r="E10773" s="34"/>
      <c r="F10773" s="34"/>
      <c r="J10773" s="25"/>
      <c r="K10773" s="25"/>
      <c r="L10773" s="25"/>
      <c r="M10773" s="25"/>
      <c r="N10773" s="25"/>
      <c r="O10773" s="25"/>
    </row>
    <row r="10774" customFormat="false" ht="13.5" hidden="false" customHeight="true" outlineLevel="0" collapsed="false">
      <c r="B10774" s="10"/>
      <c r="C10774" s="10"/>
      <c r="D10774" s="10"/>
      <c r="E10774" s="10"/>
      <c r="F10774" s="10"/>
      <c r="J10774" s="25"/>
      <c r="K10774" s="25"/>
      <c r="L10774" s="25"/>
      <c r="M10774" s="25"/>
      <c r="N10774" s="25"/>
      <c r="O10774" s="25"/>
    </row>
    <row r="10775" customFormat="false" ht="15" hidden="false" customHeight="false" outlineLevel="0" collapsed="false">
      <c r="B10775" s="10" t="str">
        <f aca="false">$K$10757&amp;","</f>
        <v>Madame, Monsieur,</v>
      </c>
      <c r="C10775" s="10"/>
      <c r="D10775" s="10"/>
      <c r="E10775" s="10"/>
      <c r="F10775" s="10"/>
      <c r="J10775" s="25"/>
      <c r="K10775" s="25"/>
      <c r="L10775" s="25"/>
      <c r="M10775" s="25"/>
      <c r="N10775" s="25"/>
      <c r="O10775" s="25"/>
    </row>
    <row r="10776" customFormat="false" ht="6" hidden="false" customHeight="true" outlineLevel="0" collapsed="false">
      <c r="B10776" s="10"/>
      <c r="C10776" s="10"/>
      <c r="D10776" s="10"/>
      <c r="E10776" s="10"/>
      <c r="F10776" s="10"/>
      <c r="J10776" s="25"/>
      <c r="K10776" s="25"/>
      <c r="L10776" s="25"/>
      <c r="M10776" s="25"/>
      <c r="N10776" s="25"/>
      <c r="O10776" s="25"/>
    </row>
    <row r="10777" customFormat="false" ht="36.75" hidden="false" customHeight="true" outlineLevel="0" collapsed="false">
      <c r="B10777" s="37" t="str">
        <f aca="false">SUBSTITUTE(SUBSTITUTE(SUBSTITUTE(SUBSTITUTE(SUBSTITUTE(Txt_P1,"{cabinet}",Cab_Nom),"{societe}",IF($K$10756=0,"",INDEX(Clients!$E$2:$E$501,$K$10756)&amp;"")),"{date_effet}",$K$10758),"{hausse}",$K$10759),"{civilite}",$K$10757)</f>
        <v>Nous tenons tout d'abord à vous remercier pour la confiance que vous accordez à ALTHO EXPERTISE. Comme chaque année, et conformément aux dispositions de votre lettre de mission, nous procédons à la révision de nos honoraires.</v>
      </c>
      <c r="C10777" s="37"/>
      <c r="D10777" s="37"/>
      <c r="E10777" s="37"/>
      <c r="F10777" s="37"/>
      <c r="J10777" s="25"/>
      <c r="K10777" s="25"/>
      <c r="L10777" s="25"/>
      <c r="M10777" s="25"/>
      <c r="N10777" s="25"/>
      <c r="O10777" s="25"/>
    </row>
    <row r="10778" customFormat="false" ht="49.5" hidden="false" customHeight="true" outlineLevel="0" collapsed="false">
      <c r="B10778" s="37" t="str">
        <f aca="false">SUBSTITUTE(SUBSTITUTE(SUBSTITUTE(SUBSTITUTE(SUBSTITUTE(Txt_P2,"{cabinet}",Cab_Nom),"{societe}",IF($K$10756=0,"",INDEX(Clients!$E$2:$E$501,$K$10756)&amp;"")),"{date_effet}",$K$10758),"{hausse}",$K$10759),"{civilite}",$K$10757)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778" s="37"/>
      <c r="D10778" s="37"/>
      <c r="E10778" s="37"/>
      <c r="F10778" s="37"/>
      <c r="J10778" s="25"/>
      <c r="K10778" s="25"/>
      <c r="L10778" s="25"/>
      <c r="M10778" s="25"/>
      <c r="N10778" s="25"/>
      <c r="O10778" s="25"/>
    </row>
    <row r="10779" customFormat="false" ht="63" hidden="false" customHeight="true" outlineLevel="0" collapsed="false">
      <c r="B10779" s="37" t="str">
        <f aca="false">SUBSTITUTE(SUBSTITUTE(SUBSTITUTE(SUBSTITUTE(SUBSTITUTE(Txt_P3,"{cabinet}",Cab_Nom),"{societe}",IF($K$10756=0,"",INDEX(Clients!$E$2:$E$501,$K$10756)&amp;"")),"{date_effet}",$K$10758),"{hausse}",$K$10759),"{civilite}",$K$10757)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779" s="37"/>
      <c r="D10779" s="37"/>
      <c r="E10779" s="37"/>
      <c r="F10779" s="37"/>
      <c r="J10779" s="25"/>
      <c r="K10779" s="25"/>
      <c r="L10779" s="25"/>
      <c r="M10779" s="25"/>
      <c r="N10779" s="25"/>
      <c r="O10779" s="25"/>
    </row>
    <row r="10780" customFormat="false" ht="24" hidden="false" customHeight="true" outlineLevel="0" collapsed="false">
      <c r="B10780" s="37" t="str">
        <f aca="false">SUBSTITUTE(SUBSTITUTE(SUBSTITUTE(SUBSTITUTE(SUBSTITUTE(Txt_P4,"{cabinet}",Cab_Nom),"{societe}",IF($K$10756=0,"",INDEX(Clients!$E$2:$E$501,$K$10756)&amp;"")),"{date_effet}",$K$10758),"{hausse}",$K$10759),"{civilite}",$K$10757)</f>
        <v>À compter du 1er janvier 2027, vos honoraires annuels hors taxes évolueront ainsi (évolution globale : ) :</v>
      </c>
      <c r="C10780" s="37"/>
      <c r="D10780" s="37"/>
      <c r="E10780" s="37"/>
      <c r="F10780" s="37"/>
      <c r="J10780" s="25"/>
      <c r="K10780" s="25"/>
      <c r="L10780" s="25"/>
      <c r="M10780" s="25"/>
      <c r="N10780" s="25"/>
      <c r="O10780" s="25"/>
    </row>
    <row r="10781" customFormat="false" ht="3.75" hidden="false" customHeight="true" outlineLevel="0" collapsed="false">
      <c r="B10781" s="10"/>
      <c r="C10781" s="10"/>
      <c r="D10781" s="10"/>
      <c r="E10781" s="10"/>
      <c r="F10781" s="10"/>
      <c r="J10781" s="25"/>
      <c r="K10781" s="25"/>
      <c r="L10781" s="25"/>
      <c r="M10781" s="25"/>
      <c r="N10781" s="25"/>
      <c r="O10781" s="25"/>
    </row>
    <row r="10782" customFormat="false" ht="18" hidden="false" customHeight="true" outlineLevel="0" collapsed="false">
      <c r="B10782" s="38" t="s">
        <v>148</v>
      </c>
      <c r="C10782" s="39" t="s">
        <v>149</v>
      </c>
      <c r="D10782" s="39" t="s">
        <v>150</v>
      </c>
      <c r="E10782" s="39" t="s">
        <v>151</v>
      </c>
      <c r="F10782" s="39" t="s">
        <v>109</v>
      </c>
      <c r="J10782" s="25" t="s">
        <v>152</v>
      </c>
      <c r="K10782" s="25" t="s">
        <v>153</v>
      </c>
      <c r="L10782" s="25" t="s">
        <v>154</v>
      </c>
      <c r="M10782" s="25" t="s">
        <v>155</v>
      </c>
      <c r="N10782" s="25" t="s">
        <v>156</v>
      </c>
      <c r="O10782" s="25" t="s">
        <v>157</v>
      </c>
    </row>
    <row r="10783" customFormat="false" ht="16.5" hidden="false" customHeight="true" outlineLevel="0" collapsed="false">
      <c r="B10783" s="40" t="str">
        <f aca="false">IFERROR(INDEX($J$10783:$J$10786,MATCH($O10783,$N$10783:$N$10786,0)),"")</f>
        <v/>
      </c>
      <c r="C10783" s="41" t="str">
        <f aca="false">IFERROR(INDEX($K$10783:$K$10786,MATCH($O10783,$N$10783:$N$10786,0)),"")</f>
        <v/>
      </c>
      <c r="D10783" s="42" t="str">
        <f aca="false">IF(OR(E10783="",N(C10783)=0),"",E10783/C10783-1)</f>
        <v/>
      </c>
      <c r="E10783" s="41" t="str">
        <f aca="false">IFERROR(INDEX($L$10783:$L$10786,MATCH($O10783,$N$10783:$N$10786,0)),"")</f>
        <v/>
      </c>
      <c r="F10783" s="41" t="str">
        <f aca="false">IF(E10783="","",E10783-C10783)</f>
        <v/>
      </c>
      <c r="J10783" s="25" t="str">
        <f aca="false">Lib_Compta</f>
        <v>Mission comptable (tenue, révision, bilan, liasse fiscale)</v>
      </c>
      <c r="K10783" s="25" t="n">
        <f aca="false">IF($K$10756=0,0,N(INDEX(Clients!$K$2:$K$501,$K$10756)))</f>
        <v>0</v>
      </c>
      <c r="L10783" s="25" t="n">
        <f aca="false">IF($K$10756=0,0,N(INDEX(Clients!$P$2:$P$501,$K$10756)))</f>
        <v>0</v>
      </c>
      <c r="M10783" s="25" t="n">
        <f aca="false">IF(OR(K10783&lt;&gt;0,L10783&lt;&gt;0),1,0)</f>
        <v>0</v>
      </c>
      <c r="N10783" s="25" t="str">
        <f aca="false">IF(M10783=1,SUM($M$10783:M10783),"")</f>
        <v/>
      </c>
      <c r="O10783" s="25" t="n">
        <v>1</v>
      </c>
    </row>
    <row r="10784" customFormat="false" ht="16.5" hidden="false" customHeight="true" outlineLevel="0" collapsed="false">
      <c r="B10784" s="40" t="str">
        <f aca="false">IFERROR(INDEX($J$10783:$J$10786,MATCH($O10784,$N$10783:$N$10786,0)),"")</f>
        <v/>
      </c>
      <c r="C10784" s="41" t="str">
        <f aca="false">IFERROR(INDEX($K$10783:$K$10786,MATCH($O10784,$N$10783:$N$10786,0)),"")</f>
        <v/>
      </c>
      <c r="D10784" s="42" t="str">
        <f aca="false">IF(OR(E10784="",N(C10784)=0),"",E10784/C10784-1)</f>
        <v/>
      </c>
      <c r="E10784" s="41" t="str">
        <f aca="false">IFERROR(INDEX($L$10783:$L$10786,MATCH($O10784,$N$10783:$N$10786,0)),"")</f>
        <v/>
      </c>
      <c r="F10784" s="41" t="str">
        <f aca="false">IF(E10784="","",E10784-C10784)</f>
        <v/>
      </c>
      <c r="J10784" s="25" t="str">
        <f aca="false">Lib_Paye</f>
        <v>Mission sociale (bulletins de paie, DSN, déclarations sociales)</v>
      </c>
      <c r="K10784" s="25" t="n">
        <f aca="false">IF($K$10756=0,0,N(INDEX(Clients!$L$2:$L$501,$K$10756)))</f>
        <v>0</v>
      </c>
      <c r="L10784" s="25" t="n">
        <f aca="false">IF($K$10756=0,0,N(INDEX(Clients!$Q$2:$Q$501,$K$10756)))</f>
        <v>0</v>
      </c>
      <c r="M10784" s="25" t="n">
        <f aca="false">IF(OR(K10784&lt;&gt;0,L10784&lt;&gt;0),1,0)</f>
        <v>0</v>
      </c>
      <c r="N10784" s="25" t="str">
        <f aca="false">IF(M10784=1,SUM($M$10783:M10784),"")</f>
        <v/>
      </c>
      <c r="O10784" s="25" t="n">
        <v>2</v>
      </c>
    </row>
    <row r="10785" customFormat="false" ht="16.5" hidden="false" customHeight="true" outlineLevel="0" collapsed="false">
      <c r="B10785" s="40" t="str">
        <f aca="false">IFERROR(INDEX($J$10783:$J$10786,MATCH($O10785,$N$10783:$N$10786,0)),"")</f>
        <v/>
      </c>
      <c r="C10785" s="41" t="str">
        <f aca="false">IFERROR(INDEX($K$10783:$K$10786,MATCH($O10785,$N$10783:$N$10786,0)),"")</f>
        <v/>
      </c>
      <c r="D10785" s="42" t="str">
        <f aca="false">IF(OR(E10785="",N(C10785)=0),"",E10785/C10785-1)</f>
        <v/>
      </c>
      <c r="E10785" s="41" t="str">
        <f aca="false">IFERROR(INDEX($L$10783:$L$10786,MATCH($O10785,$N$10783:$N$10786,0)),"")</f>
        <v/>
      </c>
      <c r="F10785" s="41" t="str">
        <f aca="false">IF(E10785="","",E10785-C10785)</f>
        <v/>
      </c>
      <c r="J10785" s="25" t="str">
        <f aca="false">Lib_Jur</f>
        <v>Mission juridique (approbation des comptes, secrétariat juridique)</v>
      </c>
      <c r="K10785" s="25" t="n">
        <f aca="false">IF($K$10756=0,0,N(INDEX(Clients!$M$2:$M$501,$K$10756)))</f>
        <v>0</v>
      </c>
      <c r="L10785" s="25" t="n">
        <f aca="false">IF($K$10756=0,0,N(INDEX(Clients!$R$2:$R$501,$K$10756)))</f>
        <v>0</v>
      </c>
      <c r="M10785" s="25" t="n">
        <f aca="false">IF(OR(K10785&lt;&gt;0,L10785&lt;&gt;0),1,0)</f>
        <v>0</v>
      </c>
      <c r="N10785" s="25" t="str">
        <f aca="false">IF(M10785=1,SUM($M$10783:M10785),"")</f>
        <v/>
      </c>
      <c r="O10785" s="25" t="n">
        <v>3</v>
      </c>
    </row>
    <row r="10786" customFormat="false" ht="16.5" hidden="false" customHeight="true" outlineLevel="0" collapsed="false">
      <c r="B10786" s="40" t="str">
        <f aca="false">IFERROR(INDEX($J$10783:$J$10786,MATCH($O10786,$N$10783:$N$10786,0)),"")</f>
        <v/>
      </c>
      <c r="C10786" s="41" t="str">
        <f aca="false">IFERROR(INDEX($K$10783:$K$10786,MATCH($O10786,$N$10783:$N$10786,0)),"")</f>
        <v/>
      </c>
      <c r="D10786" s="42" t="str">
        <f aca="false">IF(OR(E10786="",N(C10786)=0),"",E10786/C10786-1)</f>
        <v/>
      </c>
      <c r="E10786" s="41" t="str">
        <f aca="false">IFERROR(INDEX($L$10783:$L$10786,MATCH($O10786,$N$10783:$N$10786,0)),"")</f>
        <v/>
      </c>
      <c r="F10786" s="41" t="str">
        <f aca="false">IF(E10786="","",E10786-C10786)</f>
        <v/>
      </c>
      <c r="J10786" s="25" t="str">
        <f aca="false">Lib_PA</f>
        <v>Plateforme agréée – facturation électronique</v>
      </c>
      <c r="K10786" s="25" t="n">
        <f aca="false">IF($K$10756=0,0,N(INDEX(Clients!$N$2:$N$501,$K$10756)))</f>
        <v>0</v>
      </c>
      <c r="L10786" s="25" t="n">
        <f aca="false">IF($K$10756=0,0,N(INDEX(Clients!$S$2:$S$501,$K$10756)))</f>
        <v>0</v>
      </c>
      <c r="M10786" s="25" t="n">
        <f aca="false">IF(OR(K10786&lt;&gt;0,L10786&lt;&gt;0),1,0)</f>
        <v>0</v>
      </c>
      <c r="N10786" s="25" t="str">
        <f aca="false">IF(M10786=1,SUM($M$10783:M10786),"")</f>
        <v/>
      </c>
      <c r="O10786" s="25" t="n">
        <v>4</v>
      </c>
    </row>
    <row r="10787" customFormat="false" ht="18" hidden="false" customHeight="true" outlineLevel="0" collapsed="false">
      <c r="B10787" s="43" t="s">
        <v>158</v>
      </c>
      <c r="C10787" s="44" t="n">
        <f aca="false">SUM(K10783:K10786)</f>
        <v>0</v>
      </c>
      <c r="D10787" s="45" t="str">
        <f aca="false">IF(N(C10787)=0,"",E10787/C10787-1)</f>
        <v/>
      </c>
      <c r="E10787" s="44" t="n">
        <f aca="false">SUM(L10783:L10786)</f>
        <v>0</v>
      </c>
      <c r="F10787" s="44" t="n">
        <f aca="false">E10787-C10787</f>
        <v>0</v>
      </c>
    </row>
    <row r="10788" customFormat="false" ht="15" hidden="false" customHeight="false" outlineLevel="0" collapsed="false">
      <c r="B10788" s="46" t="str">
        <f aca="false">IF(N(Nb_Mensualites)=0,"","Soit "&amp;FIXED(E10787/Nb_Mensualites,2)&amp;" € HT par échéance ("&amp;Nb_Mensualites&amp;" échéances), "&amp;FIXED(E10787/Nb_Mensualites*(1+Taux_TVA),2)&amp;" € TTC.")</f>
        <v>Soit 0.00 € HT par échéance (12 échéances), 0.00 € TTC.</v>
      </c>
      <c r="C10788" s="46"/>
      <c r="D10788" s="46"/>
      <c r="E10788" s="46"/>
      <c r="F10788" s="46"/>
    </row>
    <row r="10789" customFormat="false" ht="7.5" hidden="false" customHeight="true" outlineLevel="0" collapsed="false">
      <c r="B10789" s="10"/>
      <c r="C10789" s="10"/>
      <c r="D10789" s="10"/>
      <c r="E10789" s="10"/>
      <c r="F10789" s="10"/>
    </row>
    <row r="10790" customFormat="false" ht="36.75" hidden="false" customHeight="true" outlineLevel="0" collapsed="false">
      <c r="B10790" s="37" t="str">
        <f aca="false">SUBSTITUTE(SUBSTITUTE(SUBSTITUTE(SUBSTITUTE(SUBSTITUTE(Txt_P5,"{cabinet}",Cab_Nom),"{societe}",IF($K$10756=0,"",INDEX(Clients!$E$2:$E$501,$K$10756)&amp;"")),"{date_effet}",$K$10758),"{hausse}",$K$10759),"{civilite}",$K$10757)</f>
        <v>Les autres conditions de votre lettre de mission demeurent inchangées. Les nouveaux montants seront appliqués automatiquement sur vos prochaines factures et échéances de prélèvement.</v>
      </c>
      <c r="C10790" s="37"/>
      <c r="D10790" s="37"/>
      <c r="E10790" s="37"/>
      <c r="F10790" s="37"/>
    </row>
    <row r="10791" customFormat="false" ht="36.75" hidden="false" customHeight="true" outlineLevel="0" collapsed="false">
      <c r="B10791" s="37" t="str">
        <f aca="false">SUBSTITUTE(SUBSTITUTE(SUBSTITUTE(SUBSTITUTE(SUBSTITUTE(Txt_P6,"{cabinet}",Cab_Nom),"{societe}",IF($K$10756=0,"",INDEX(Clients!$E$2:$E$501,$K$10756)&amp;"")),"{date_effet}",$K$10758),"{hausse}",$K$10759),"{civilite}",$K$10757)</f>
        <v>Votre interlocuteur habituel reste à votre entière disposition pour répondre à vos questions et faire le point sur l'évolution de vos besoins.</v>
      </c>
      <c r="C10791" s="37"/>
      <c r="D10791" s="37"/>
      <c r="E10791" s="37"/>
      <c r="F10791" s="37"/>
    </row>
    <row r="10792" customFormat="false" ht="24" hidden="false" customHeight="true" outlineLevel="0" collapsed="false">
      <c r="B10792" s="37" t="str">
        <f aca="false">SUBSTITUTE(SUBSTITUTE(SUBSTITUTE(SUBSTITUTE(SUBSTITUTE(Txt_Politesse,"{cabinet}",Cab_Nom),"{societe}",IF($K$10756=0,"",INDEX(Clients!$E$2:$E$501,$K$10756)&amp;"")),"{date_effet}",$K$10758),"{hausse}",$K$10759),"{civilite}",$K$10757)</f>
        <v>Nous vous prions d'agréer, Madame, Monsieur, l'expression de nos salutations distinguées.</v>
      </c>
      <c r="C10792" s="37"/>
      <c r="D10792" s="37"/>
      <c r="E10792" s="37"/>
      <c r="F10792" s="37"/>
    </row>
    <row r="10793" customFormat="false" ht="15" hidden="false" customHeight="false" outlineLevel="0" collapsed="false">
      <c r="B10793" s="10"/>
      <c r="C10793" s="10"/>
      <c r="D10793" s="10"/>
      <c r="E10793" s="10"/>
      <c r="F10793" s="10"/>
    </row>
    <row r="10794" customFormat="false" ht="15" hidden="false" customHeight="false" outlineLevel="0" collapsed="false">
      <c r="B10794" s="10"/>
      <c r="C10794" s="10"/>
      <c r="D10794" s="34" t="str">
        <f aca="false">Signataire</f>
        <v>Prénom NOM</v>
      </c>
      <c r="E10794" s="34"/>
      <c r="F10794" s="34"/>
    </row>
    <row r="10795" customFormat="false" ht="15" hidden="false" customHeight="false" outlineLevel="0" collapsed="false">
      <c r="B10795" s="10"/>
      <c r="C10795" s="10"/>
      <c r="D10795" s="47" t="str">
        <f aca="false">Signataire_Titre</f>
        <v>Expert-comptable associé</v>
      </c>
      <c r="E10795" s="47"/>
      <c r="F10795" s="47"/>
    </row>
    <row r="10796" customFormat="false" ht="15.75" hidden="false" customHeight="true" outlineLevel="0" collapsed="false">
      <c r="B10796" s="10"/>
      <c r="C10796" s="10"/>
      <c r="D10796" s="10"/>
      <c r="E10796" s="10"/>
      <c r="F10796" s="10"/>
    </row>
    <row r="10797" customFormat="false" ht="15.75" hidden="false" customHeight="true" outlineLevel="0" collapsed="false">
      <c r="B10797" s="10"/>
      <c r="C10797" s="10"/>
      <c r="D10797" s="10"/>
      <c r="E10797" s="10"/>
      <c r="F10797" s="10"/>
    </row>
    <row r="10798" customFormat="false" ht="15.75" hidden="false" customHeight="true" outlineLevel="0" collapsed="false">
      <c r="B10798" s="10"/>
      <c r="C10798" s="10"/>
      <c r="D10798" s="10"/>
      <c r="E10798" s="10"/>
      <c r="F10798" s="10"/>
    </row>
    <row r="10799" customFormat="false" ht="15.75" hidden="false" customHeight="true" outlineLevel="0" collapsed="false">
      <c r="B10799" s="10"/>
      <c r="C10799" s="10"/>
      <c r="D10799" s="10"/>
      <c r="E10799" s="10"/>
      <c r="F10799" s="10"/>
    </row>
    <row r="10800" customFormat="false" ht="24" hidden="false" customHeight="true" outlineLevel="0" collapsed="false">
      <c r="B10800" s="48" t="str">
        <f aca="false">Cab_Mentions</f>
        <v>ALTHO EXPERTISE · SAS au capital de 10 000 € · RCS Pontoise 919 706 325 · TVA FR62919706325 · Société d'expertise comptable inscrite au Tableau de l'Ordre des experts-comptables de Paris Île-de-France</v>
      </c>
      <c r="C10800" s="48"/>
      <c r="D10800" s="48"/>
      <c r="E10800" s="48"/>
      <c r="F10800" s="48"/>
    </row>
    <row r="10801" customFormat="false" ht="15" hidden="false" customHeight="false" outlineLevel="0" collapsed="false">
      <c r="B10801" s="10"/>
      <c r="C10801" s="10"/>
      <c r="D10801" s="10"/>
      <c r="E10801" s="10"/>
      <c r="F10801" s="10"/>
      <c r="J10801" s="25" t="s">
        <v>142</v>
      </c>
      <c r="K10801" s="25" t="n">
        <f aca="false">IFERROR(MATCH(241,Clients!$Z$2:$Z$501,0),0)</f>
        <v>0</v>
      </c>
      <c r="L10801" s="25"/>
      <c r="M10801" s="25"/>
      <c r="N10801" s="25"/>
      <c r="O10801" s="25"/>
    </row>
    <row r="10802" customFormat="false" ht="21.75" hidden="false" customHeight="true" outlineLevel="0" collapsed="false">
      <c r="B10802" s="26" t="str">
        <f aca="false">Cab_Nom</f>
        <v>ALTHO EXPERTISE</v>
      </c>
      <c r="C10802" s="26"/>
      <c r="D10802" s="10"/>
      <c r="E10802" s="27" t="str">
        <f aca="false">IF($K$10801=0,"","Réf. client : "&amp;INDEX(Clients!$A$2:$A$501,$K$10801))</f>
        <v/>
      </c>
      <c r="F10802" s="27"/>
      <c r="J10802" s="25" t="s">
        <v>144</v>
      </c>
      <c r="K10802" s="25" t="str">
        <f aca="false">IF(IF($K$10801=0,"",INDEX(Clients!$B$2:$B$501,$K$10801)&amp;"")="Mme","Madame",IF(IF($K$10801=0,"",INDEX(Clients!$B$2:$B$501,$K$10801)&amp;"")="M.","Monsieur","Madame, Monsieur"))</f>
        <v>Madame, Monsieur</v>
      </c>
      <c r="L10802" s="25"/>
      <c r="M10802" s="25"/>
      <c r="N10802" s="25"/>
      <c r="O10802" s="25"/>
    </row>
    <row r="10803" customFormat="false" ht="15" hidden="false" customHeight="false" outlineLevel="0" collapsed="false">
      <c r="B10803" s="29" t="str">
        <f aca="false">Cab_Adr1</f>
        <v>141 rue Charles de Gaulle</v>
      </c>
      <c r="C10803" s="29"/>
      <c r="D10803" s="10"/>
      <c r="E10803" s="10"/>
      <c r="F10803" s="10"/>
      <c r="J10803" s="25" t="s">
        <v>145</v>
      </c>
      <c r="K10803" s="25" t="str">
        <f aca="false">DAY(Date_Effet)&amp;IF(DAY(Date_Effet)=1,"er","")&amp;" "&amp;INDEX(Liste_Mois,MONTH(Date_Effet))&amp;" "&amp;YEAR(Date_Effet)</f>
        <v>1er janvier 2027</v>
      </c>
      <c r="L10803" s="25"/>
      <c r="M10803" s="25"/>
      <c r="N10803" s="25"/>
      <c r="O10803" s="25"/>
    </row>
    <row r="10804" customFormat="false" ht="15" hidden="false" customHeight="false" outlineLevel="0" collapsed="false">
      <c r="B10804" s="29" t="str">
        <f aca="false">Cab_CPVille</f>
        <v>95130 LE PLESSIS-BOUCHARD</v>
      </c>
      <c r="C10804" s="29"/>
      <c r="D10804" s="10"/>
      <c r="E10804" s="10"/>
      <c r="F10804" s="10"/>
      <c r="J10804" s="25" t="s">
        <v>146</v>
      </c>
      <c r="K10804" s="25" t="str">
        <f aca="false">IF(SUM($K$10828:$K$10831)=0,"",FIXED((SUM($L$10828:$L$10831)/SUM($K$10828:$K$10831)-1)*100,1)&amp;" %")</f>
        <v/>
      </c>
      <c r="L10804" s="25"/>
      <c r="M10804" s="25"/>
      <c r="N10804" s="25"/>
      <c r="O10804" s="25"/>
    </row>
    <row r="10805" customFormat="false" ht="15" hidden="false" customHeight="false" outlineLevel="0" collapsed="false">
      <c r="B10805" s="29" t="str">
        <f aca="false">Cab_Contact</f>
        <v>Tél. 01 34 14 53 45  ·  altho@altho-experts.com  ·  altho-experts.com</v>
      </c>
      <c r="C10805" s="29"/>
      <c r="D10805" s="10"/>
      <c r="E10805" s="10"/>
      <c r="F10805" s="10"/>
      <c r="J10805" s="25"/>
      <c r="K10805" s="25"/>
      <c r="L10805" s="25"/>
      <c r="M10805" s="25"/>
      <c r="N10805" s="25"/>
      <c r="O10805" s="25"/>
    </row>
    <row r="10806" customFormat="false" ht="6" hidden="false" customHeight="true" outlineLevel="0" collapsed="false">
      <c r="B10806" s="32"/>
      <c r="C10806" s="32"/>
      <c r="D10806" s="32"/>
      <c r="E10806" s="32"/>
      <c r="F10806" s="32"/>
      <c r="J10806" s="25"/>
      <c r="K10806" s="25"/>
      <c r="L10806" s="25"/>
      <c r="M10806" s="25"/>
      <c r="N10806" s="25"/>
      <c r="O10806" s="25"/>
    </row>
    <row r="10807" customFormat="false" ht="13.5" hidden="false" customHeight="true" outlineLevel="0" collapsed="false">
      <c r="B10807" s="10"/>
      <c r="C10807" s="10"/>
      <c r="D10807" s="10"/>
      <c r="E10807" s="10"/>
      <c r="F10807" s="10"/>
      <c r="J10807" s="25"/>
      <c r="K10807" s="25"/>
      <c r="L10807" s="25"/>
      <c r="M10807" s="25"/>
      <c r="N10807" s="25"/>
      <c r="O10807" s="25"/>
    </row>
    <row r="10808" customFormat="false" ht="13.5" hidden="false" customHeight="true" outlineLevel="0" collapsed="false">
      <c r="B10808" s="10"/>
      <c r="C10808" s="10"/>
      <c r="D10808" s="10"/>
      <c r="E10808" s="10"/>
      <c r="F10808" s="10"/>
      <c r="J10808" s="25"/>
      <c r="K10808" s="25"/>
      <c r="L10808" s="25"/>
      <c r="M10808" s="25"/>
      <c r="N10808" s="25"/>
      <c r="O10808" s="25"/>
    </row>
    <row r="10809" customFormat="false" ht="13.5" hidden="false" customHeight="true" outlineLevel="0" collapsed="false">
      <c r="B10809" s="10"/>
      <c r="C10809" s="10"/>
      <c r="D10809" s="10"/>
      <c r="E10809" s="10"/>
      <c r="F10809" s="10"/>
      <c r="J10809" s="25"/>
      <c r="K10809" s="25"/>
      <c r="L10809" s="25"/>
      <c r="M10809" s="25"/>
      <c r="N10809" s="25"/>
      <c r="O10809" s="25"/>
    </row>
    <row r="10810" customFormat="false" ht="15" hidden="false" customHeight="true" outlineLevel="0" collapsed="false">
      <c r="B10810" s="10"/>
      <c r="C10810" s="10"/>
      <c r="D10810" s="34" t="str">
        <f aca="false">IF($K$10801=0,"",INDEX(Clients!$E$2:$E$501,$K$10801)&amp;"")</f>
        <v/>
      </c>
      <c r="E10810" s="34"/>
      <c r="F10810" s="34"/>
      <c r="J10810" s="25"/>
      <c r="K10810" s="25"/>
      <c r="L10810" s="25"/>
      <c r="M10810" s="25"/>
      <c r="N10810" s="25"/>
      <c r="O10810" s="25"/>
    </row>
    <row r="10811" customFormat="false" ht="15" hidden="false" customHeight="true" outlineLevel="0" collapsed="false">
      <c r="B10811" s="10"/>
      <c r="C10811" s="10"/>
      <c r="D10811" s="35" t="str">
        <f aca="false">IF(IF($K$10801=0,"",INDEX(Clients!$D$2:$D$501,$K$10801)&amp;"")="","","À l'attention de "&amp;TRIM(IF($K$10801=0,"",INDEX(Clients!$B$2:$B$501,$K$10801)&amp;"")&amp;" "&amp;IF($K$10801=0,"",INDEX(Clients!$C$2:$C$501,$K$10801)&amp;"")&amp;" "&amp;IF($K$10801=0,"",INDEX(Clients!$D$2:$D$501,$K$10801)&amp;"")))</f>
        <v/>
      </c>
      <c r="E10811" s="35"/>
      <c r="F10811" s="35"/>
      <c r="J10811" s="25"/>
      <c r="K10811" s="25"/>
      <c r="L10811" s="25"/>
      <c r="M10811" s="25"/>
      <c r="N10811" s="25"/>
      <c r="O10811" s="25"/>
    </row>
    <row r="10812" customFormat="false" ht="15" hidden="false" customHeight="true" outlineLevel="0" collapsed="false">
      <c r="B10812" s="10"/>
      <c r="C10812" s="10"/>
      <c r="D10812" s="35" t="str">
        <f aca="false">IF($K$10801=0,"",INDEX(Clients!$F$2:$F$501,$K$10801)&amp;"")</f>
        <v/>
      </c>
      <c r="E10812" s="35"/>
      <c r="F10812" s="35"/>
      <c r="J10812" s="25"/>
      <c r="K10812" s="25"/>
      <c r="L10812" s="25"/>
      <c r="M10812" s="25"/>
      <c r="N10812" s="25"/>
      <c r="O10812" s="25"/>
    </row>
    <row r="10813" customFormat="false" ht="15" hidden="false" customHeight="true" outlineLevel="0" collapsed="false">
      <c r="B10813" s="10"/>
      <c r="C10813" s="10"/>
      <c r="D10813" s="35" t="str">
        <f aca="false">IF(IF($K$10801=0,"",INDEX(Clients!$G$2:$G$501,$K$10801)&amp;"")="",TRIM(IF($K$10801=0,"",INDEX(Clients!$H$2:$H$501,$K$10801)&amp;"")&amp;" "&amp;UPPER(IF($K$10801=0,"",INDEX(Clients!$I$2:$I$501,$K$10801)&amp;""))),IF($K$10801=0,"",INDEX(Clients!$G$2:$G$501,$K$10801)&amp;""))</f>
        <v/>
      </c>
      <c r="E10813" s="35"/>
      <c r="F10813" s="35"/>
      <c r="J10813" s="25"/>
      <c r="K10813" s="25"/>
      <c r="L10813" s="25"/>
      <c r="M10813" s="25"/>
      <c r="N10813" s="25"/>
      <c r="O10813" s="25"/>
    </row>
    <row r="10814" customFormat="false" ht="15" hidden="false" customHeight="true" outlineLevel="0" collapsed="false">
      <c r="B10814" s="10"/>
      <c r="C10814" s="10"/>
      <c r="D10814" s="35" t="str">
        <f aca="false">IF(IF($K$10801=0,"",INDEX(Clients!$G$2:$G$501,$K$10801)&amp;"")="","",TRIM(IF($K$10801=0,"",INDEX(Clients!$H$2:$H$501,$K$10801)&amp;"")&amp;" "&amp;UPPER(IF($K$10801=0,"",INDEX(Clients!$I$2:$I$501,$K$10801)&amp;""))))</f>
        <v/>
      </c>
      <c r="E10814" s="35"/>
      <c r="F10814" s="35"/>
      <c r="J10814" s="25"/>
      <c r="K10814" s="25"/>
      <c r="L10814" s="25"/>
      <c r="M10814" s="25"/>
      <c r="N10814" s="25"/>
      <c r="O10814" s="25"/>
    </row>
    <row r="10815" customFormat="false" ht="25.5" hidden="false" customHeight="true" outlineLevel="0" collapsed="false">
      <c r="B10815" s="10"/>
      <c r="C10815" s="10"/>
      <c r="D10815" s="10"/>
      <c r="E10815" s="10"/>
      <c r="F10815" s="10"/>
      <c r="J10815" s="25"/>
      <c r="K10815" s="25"/>
      <c r="L10815" s="25"/>
      <c r="M10815" s="25"/>
      <c r="N10815" s="25"/>
      <c r="O10815" s="25"/>
    </row>
    <row r="10816" customFormat="false" ht="15" hidden="false" customHeight="false" outlineLevel="0" collapsed="false">
      <c r="B10816" s="10"/>
      <c r="C10816" s="10"/>
      <c r="D10816" s="36" t="str">
        <f aca="false">Cab_Ville&amp;", le "&amp;DAY(Date_Courrier)&amp;IF(DAY(Date_Courrier)=1,"er","")&amp;" "&amp;INDEX(Liste_Mois,MONTH(Date_Courrier))&amp;" "&amp;YEAR(Date_Courrier)</f>
        <v>Le Plessis-Bouchard, le 22 septembre 2026</v>
      </c>
      <c r="E10816" s="36"/>
      <c r="F10816" s="36"/>
      <c r="J10816" s="25"/>
      <c r="K10816" s="25"/>
      <c r="L10816" s="25"/>
      <c r="M10816" s="25"/>
      <c r="N10816" s="25"/>
      <c r="O10816" s="25"/>
    </row>
    <row r="10817" customFormat="false" ht="19.5" hidden="false" customHeight="true" outlineLevel="0" collapsed="false">
      <c r="B10817" s="10"/>
      <c r="C10817" s="10"/>
      <c r="D10817" s="10"/>
      <c r="E10817" s="10"/>
      <c r="F10817" s="10"/>
      <c r="J10817" s="25"/>
      <c r="K10817" s="25"/>
      <c r="L10817" s="25"/>
      <c r="M10817" s="25"/>
      <c r="N10817" s="25"/>
      <c r="O10817" s="25"/>
    </row>
    <row r="10818" customFormat="false" ht="15" hidden="false" customHeight="false" outlineLevel="0" collapsed="false">
      <c r="B10818" s="34" t="str">
        <f aca="false">SUBSTITUTE(SUBSTITUTE(SUBSTITUTE(SUBSTITUTE(SUBSTITUTE(Txt_Objet,"{cabinet}",Cab_Nom),"{societe}",IF($K$10801=0,"",INDEX(Clients!$E$2:$E$501,$K$10801)&amp;"")),"{date_effet}",$K$10803),"{hausse}",$K$10804),"{civilite}",$K$10802)</f>
        <v>Objet : révision de nos honoraires au 1er janvier 2027</v>
      </c>
      <c r="C10818" s="34"/>
      <c r="D10818" s="34"/>
      <c r="E10818" s="34"/>
      <c r="F10818" s="34"/>
      <c r="J10818" s="25"/>
      <c r="K10818" s="25"/>
      <c r="L10818" s="25"/>
      <c r="M10818" s="25"/>
      <c r="N10818" s="25"/>
      <c r="O10818" s="25"/>
    </row>
    <row r="10819" customFormat="false" ht="13.5" hidden="false" customHeight="true" outlineLevel="0" collapsed="false">
      <c r="B10819" s="10"/>
      <c r="C10819" s="10"/>
      <c r="D10819" s="10"/>
      <c r="E10819" s="10"/>
      <c r="F10819" s="10"/>
      <c r="J10819" s="25"/>
      <c r="K10819" s="25"/>
      <c r="L10819" s="25"/>
      <c r="M10819" s="25"/>
      <c r="N10819" s="25"/>
      <c r="O10819" s="25"/>
    </row>
    <row r="10820" customFormat="false" ht="15" hidden="false" customHeight="false" outlineLevel="0" collapsed="false">
      <c r="B10820" s="10" t="str">
        <f aca="false">$K$10802&amp;","</f>
        <v>Madame, Monsieur,</v>
      </c>
      <c r="C10820" s="10"/>
      <c r="D10820" s="10"/>
      <c r="E10820" s="10"/>
      <c r="F10820" s="10"/>
      <c r="J10820" s="25"/>
      <c r="K10820" s="25"/>
      <c r="L10820" s="25"/>
      <c r="M10820" s="25"/>
      <c r="N10820" s="25"/>
      <c r="O10820" s="25"/>
    </row>
    <row r="10821" customFormat="false" ht="6" hidden="false" customHeight="true" outlineLevel="0" collapsed="false">
      <c r="B10821" s="10"/>
      <c r="C10821" s="10"/>
      <c r="D10821" s="10"/>
      <c r="E10821" s="10"/>
      <c r="F10821" s="10"/>
      <c r="J10821" s="25"/>
      <c r="K10821" s="25"/>
      <c r="L10821" s="25"/>
      <c r="M10821" s="25"/>
      <c r="N10821" s="25"/>
      <c r="O10821" s="25"/>
    </row>
    <row r="10822" customFormat="false" ht="36.75" hidden="false" customHeight="true" outlineLevel="0" collapsed="false">
      <c r="B10822" s="37" t="str">
        <f aca="false">SUBSTITUTE(SUBSTITUTE(SUBSTITUTE(SUBSTITUTE(SUBSTITUTE(Txt_P1,"{cabinet}",Cab_Nom),"{societe}",IF($K$10801=0,"",INDEX(Clients!$E$2:$E$501,$K$10801)&amp;"")),"{date_effet}",$K$10803),"{hausse}",$K$10804),"{civilite}",$K$10802)</f>
        <v>Nous tenons tout d'abord à vous remercier pour la confiance que vous accordez à ALTHO EXPERTISE. Comme chaque année, et conformément aux dispositions de votre lettre de mission, nous procédons à la révision de nos honoraires.</v>
      </c>
      <c r="C10822" s="37"/>
      <c r="D10822" s="37"/>
      <c r="E10822" s="37"/>
      <c r="F10822" s="37"/>
      <c r="J10822" s="25"/>
      <c r="K10822" s="25"/>
      <c r="L10822" s="25"/>
      <c r="M10822" s="25"/>
      <c r="N10822" s="25"/>
      <c r="O10822" s="25"/>
    </row>
    <row r="10823" customFormat="false" ht="49.5" hidden="false" customHeight="true" outlineLevel="0" collapsed="false">
      <c r="B10823" s="37" t="str">
        <f aca="false">SUBSTITUTE(SUBSTITUTE(SUBSTITUTE(SUBSTITUTE(SUBSTITUTE(Txt_P2,"{cabinet}",Cab_Nom),"{societe}",IF($K$10801=0,"",INDEX(Clients!$E$2:$E$501,$K$10801)&amp;"")),"{date_effet}",$K$10803),"{hausse}",$K$10804),"{civilite}",$K$10802)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823" s="37"/>
      <c r="D10823" s="37"/>
      <c r="E10823" s="37"/>
      <c r="F10823" s="37"/>
      <c r="J10823" s="25"/>
      <c r="K10823" s="25"/>
      <c r="L10823" s="25"/>
      <c r="M10823" s="25"/>
      <c r="N10823" s="25"/>
      <c r="O10823" s="25"/>
    </row>
    <row r="10824" customFormat="false" ht="63" hidden="false" customHeight="true" outlineLevel="0" collapsed="false">
      <c r="B10824" s="37" t="str">
        <f aca="false">SUBSTITUTE(SUBSTITUTE(SUBSTITUTE(SUBSTITUTE(SUBSTITUTE(Txt_P3,"{cabinet}",Cab_Nom),"{societe}",IF($K$10801=0,"",INDEX(Clients!$E$2:$E$501,$K$10801)&amp;"")),"{date_effet}",$K$10803),"{hausse}",$K$10804),"{civilite}",$K$10802)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824" s="37"/>
      <c r="D10824" s="37"/>
      <c r="E10824" s="37"/>
      <c r="F10824" s="37"/>
      <c r="J10824" s="25"/>
      <c r="K10824" s="25"/>
      <c r="L10824" s="25"/>
      <c r="M10824" s="25"/>
      <c r="N10824" s="25"/>
      <c r="O10824" s="25"/>
    </row>
    <row r="10825" customFormat="false" ht="24" hidden="false" customHeight="true" outlineLevel="0" collapsed="false">
      <c r="B10825" s="37" t="str">
        <f aca="false">SUBSTITUTE(SUBSTITUTE(SUBSTITUTE(SUBSTITUTE(SUBSTITUTE(Txt_P4,"{cabinet}",Cab_Nom),"{societe}",IF($K$10801=0,"",INDEX(Clients!$E$2:$E$501,$K$10801)&amp;"")),"{date_effet}",$K$10803),"{hausse}",$K$10804),"{civilite}",$K$10802)</f>
        <v>À compter du 1er janvier 2027, vos honoraires annuels hors taxes évolueront ainsi (évolution globale : ) :</v>
      </c>
      <c r="C10825" s="37"/>
      <c r="D10825" s="37"/>
      <c r="E10825" s="37"/>
      <c r="F10825" s="37"/>
      <c r="J10825" s="25"/>
      <c r="K10825" s="25"/>
      <c r="L10825" s="25"/>
      <c r="M10825" s="25"/>
      <c r="N10825" s="25"/>
      <c r="O10825" s="25"/>
    </row>
    <row r="10826" customFormat="false" ht="3.75" hidden="false" customHeight="true" outlineLevel="0" collapsed="false">
      <c r="B10826" s="10"/>
      <c r="C10826" s="10"/>
      <c r="D10826" s="10"/>
      <c r="E10826" s="10"/>
      <c r="F10826" s="10"/>
      <c r="J10826" s="25"/>
      <c r="K10826" s="25"/>
      <c r="L10826" s="25"/>
      <c r="M10826" s="25"/>
      <c r="N10826" s="25"/>
      <c r="O10826" s="25"/>
    </row>
    <row r="10827" customFormat="false" ht="18" hidden="false" customHeight="true" outlineLevel="0" collapsed="false">
      <c r="B10827" s="38" t="s">
        <v>148</v>
      </c>
      <c r="C10827" s="39" t="s">
        <v>149</v>
      </c>
      <c r="D10827" s="39" t="s">
        <v>150</v>
      </c>
      <c r="E10827" s="39" t="s">
        <v>151</v>
      </c>
      <c r="F10827" s="39" t="s">
        <v>109</v>
      </c>
      <c r="J10827" s="25" t="s">
        <v>152</v>
      </c>
      <c r="K10827" s="25" t="s">
        <v>153</v>
      </c>
      <c r="L10827" s="25" t="s">
        <v>154</v>
      </c>
      <c r="M10827" s="25" t="s">
        <v>155</v>
      </c>
      <c r="N10827" s="25" t="s">
        <v>156</v>
      </c>
      <c r="O10827" s="25" t="s">
        <v>157</v>
      </c>
    </row>
    <row r="10828" customFormat="false" ht="16.5" hidden="false" customHeight="true" outlineLevel="0" collapsed="false">
      <c r="B10828" s="40" t="str">
        <f aca="false">IFERROR(INDEX($J$10828:$J$10831,MATCH($O10828,$N$10828:$N$10831,0)),"")</f>
        <v/>
      </c>
      <c r="C10828" s="41" t="str">
        <f aca="false">IFERROR(INDEX($K$10828:$K$10831,MATCH($O10828,$N$10828:$N$10831,0)),"")</f>
        <v/>
      </c>
      <c r="D10828" s="42" t="str">
        <f aca="false">IF(OR(E10828="",N(C10828)=0),"",E10828/C10828-1)</f>
        <v/>
      </c>
      <c r="E10828" s="41" t="str">
        <f aca="false">IFERROR(INDEX($L$10828:$L$10831,MATCH($O10828,$N$10828:$N$10831,0)),"")</f>
        <v/>
      </c>
      <c r="F10828" s="41" t="str">
        <f aca="false">IF(E10828="","",E10828-C10828)</f>
        <v/>
      </c>
      <c r="J10828" s="25" t="str">
        <f aca="false">Lib_Compta</f>
        <v>Mission comptable (tenue, révision, bilan, liasse fiscale)</v>
      </c>
      <c r="K10828" s="25" t="n">
        <f aca="false">IF($K$10801=0,0,N(INDEX(Clients!$K$2:$K$501,$K$10801)))</f>
        <v>0</v>
      </c>
      <c r="L10828" s="25" t="n">
        <f aca="false">IF($K$10801=0,0,N(INDEX(Clients!$P$2:$P$501,$K$10801)))</f>
        <v>0</v>
      </c>
      <c r="M10828" s="25" t="n">
        <f aca="false">IF(OR(K10828&lt;&gt;0,L10828&lt;&gt;0),1,0)</f>
        <v>0</v>
      </c>
      <c r="N10828" s="25" t="str">
        <f aca="false">IF(M10828=1,SUM($M$10828:M10828),"")</f>
        <v/>
      </c>
      <c r="O10828" s="25" t="n">
        <v>1</v>
      </c>
    </row>
    <row r="10829" customFormat="false" ht="16.5" hidden="false" customHeight="true" outlineLevel="0" collapsed="false">
      <c r="B10829" s="40" t="str">
        <f aca="false">IFERROR(INDEX($J$10828:$J$10831,MATCH($O10829,$N$10828:$N$10831,0)),"")</f>
        <v/>
      </c>
      <c r="C10829" s="41" t="str">
        <f aca="false">IFERROR(INDEX($K$10828:$K$10831,MATCH($O10829,$N$10828:$N$10831,0)),"")</f>
        <v/>
      </c>
      <c r="D10829" s="42" t="str">
        <f aca="false">IF(OR(E10829="",N(C10829)=0),"",E10829/C10829-1)</f>
        <v/>
      </c>
      <c r="E10829" s="41" t="str">
        <f aca="false">IFERROR(INDEX($L$10828:$L$10831,MATCH($O10829,$N$10828:$N$10831,0)),"")</f>
        <v/>
      </c>
      <c r="F10829" s="41" t="str">
        <f aca="false">IF(E10829="","",E10829-C10829)</f>
        <v/>
      </c>
      <c r="J10829" s="25" t="str">
        <f aca="false">Lib_Paye</f>
        <v>Mission sociale (bulletins de paie, DSN, déclarations sociales)</v>
      </c>
      <c r="K10829" s="25" t="n">
        <f aca="false">IF($K$10801=0,0,N(INDEX(Clients!$L$2:$L$501,$K$10801)))</f>
        <v>0</v>
      </c>
      <c r="L10829" s="25" t="n">
        <f aca="false">IF($K$10801=0,0,N(INDEX(Clients!$Q$2:$Q$501,$K$10801)))</f>
        <v>0</v>
      </c>
      <c r="M10829" s="25" t="n">
        <f aca="false">IF(OR(K10829&lt;&gt;0,L10829&lt;&gt;0),1,0)</f>
        <v>0</v>
      </c>
      <c r="N10829" s="25" t="str">
        <f aca="false">IF(M10829=1,SUM($M$10828:M10829),"")</f>
        <v/>
      </c>
      <c r="O10829" s="25" t="n">
        <v>2</v>
      </c>
    </row>
    <row r="10830" customFormat="false" ht="16.5" hidden="false" customHeight="true" outlineLevel="0" collapsed="false">
      <c r="B10830" s="40" t="str">
        <f aca="false">IFERROR(INDEX($J$10828:$J$10831,MATCH($O10830,$N$10828:$N$10831,0)),"")</f>
        <v/>
      </c>
      <c r="C10830" s="41" t="str">
        <f aca="false">IFERROR(INDEX($K$10828:$K$10831,MATCH($O10830,$N$10828:$N$10831,0)),"")</f>
        <v/>
      </c>
      <c r="D10830" s="42" t="str">
        <f aca="false">IF(OR(E10830="",N(C10830)=0),"",E10830/C10830-1)</f>
        <v/>
      </c>
      <c r="E10830" s="41" t="str">
        <f aca="false">IFERROR(INDEX($L$10828:$L$10831,MATCH($O10830,$N$10828:$N$10831,0)),"")</f>
        <v/>
      </c>
      <c r="F10830" s="41" t="str">
        <f aca="false">IF(E10830="","",E10830-C10830)</f>
        <v/>
      </c>
      <c r="J10830" s="25" t="str">
        <f aca="false">Lib_Jur</f>
        <v>Mission juridique (approbation des comptes, secrétariat juridique)</v>
      </c>
      <c r="K10830" s="25" t="n">
        <f aca="false">IF($K$10801=0,0,N(INDEX(Clients!$M$2:$M$501,$K$10801)))</f>
        <v>0</v>
      </c>
      <c r="L10830" s="25" t="n">
        <f aca="false">IF($K$10801=0,0,N(INDEX(Clients!$R$2:$R$501,$K$10801)))</f>
        <v>0</v>
      </c>
      <c r="M10830" s="25" t="n">
        <f aca="false">IF(OR(K10830&lt;&gt;0,L10830&lt;&gt;0),1,0)</f>
        <v>0</v>
      </c>
      <c r="N10830" s="25" t="str">
        <f aca="false">IF(M10830=1,SUM($M$10828:M10830),"")</f>
        <v/>
      </c>
      <c r="O10830" s="25" t="n">
        <v>3</v>
      </c>
    </row>
    <row r="10831" customFormat="false" ht="16.5" hidden="false" customHeight="true" outlineLevel="0" collapsed="false">
      <c r="B10831" s="40" t="str">
        <f aca="false">IFERROR(INDEX($J$10828:$J$10831,MATCH($O10831,$N$10828:$N$10831,0)),"")</f>
        <v/>
      </c>
      <c r="C10831" s="41" t="str">
        <f aca="false">IFERROR(INDEX($K$10828:$K$10831,MATCH($O10831,$N$10828:$N$10831,0)),"")</f>
        <v/>
      </c>
      <c r="D10831" s="42" t="str">
        <f aca="false">IF(OR(E10831="",N(C10831)=0),"",E10831/C10831-1)</f>
        <v/>
      </c>
      <c r="E10831" s="41" t="str">
        <f aca="false">IFERROR(INDEX($L$10828:$L$10831,MATCH($O10831,$N$10828:$N$10831,0)),"")</f>
        <v/>
      </c>
      <c r="F10831" s="41" t="str">
        <f aca="false">IF(E10831="","",E10831-C10831)</f>
        <v/>
      </c>
      <c r="J10831" s="25" t="str">
        <f aca="false">Lib_PA</f>
        <v>Plateforme agréée – facturation électronique</v>
      </c>
      <c r="K10831" s="25" t="n">
        <f aca="false">IF($K$10801=0,0,N(INDEX(Clients!$N$2:$N$501,$K$10801)))</f>
        <v>0</v>
      </c>
      <c r="L10831" s="25" t="n">
        <f aca="false">IF($K$10801=0,0,N(INDEX(Clients!$S$2:$S$501,$K$10801)))</f>
        <v>0</v>
      </c>
      <c r="M10831" s="25" t="n">
        <f aca="false">IF(OR(K10831&lt;&gt;0,L10831&lt;&gt;0),1,0)</f>
        <v>0</v>
      </c>
      <c r="N10831" s="25" t="str">
        <f aca="false">IF(M10831=1,SUM($M$10828:M10831),"")</f>
        <v/>
      </c>
      <c r="O10831" s="25" t="n">
        <v>4</v>
      </c>
    </row>
    <row r="10832" customFormat="false" ht="18" hidden="false" customHeight="true" outlineLevel="0" collapsed="false">
      <c r="B10832" s="43" t="s">
        <v>158</v>
      </c>
      <c r="C10832" s="44" t="n">
        <f aca="false">SUM(K10828:K10831)</f>
        <v>0</v>
      </c>
      <c r="D10832" s="45" t="str">
        <f aca="false">IF(N(C10832)=0,"",E10832/C10832-1)</f>
        <v/>
      </c>
      <c r="E10832" s="44" t="n">
        <f aca="false">SUM(L10828:L10831)</f>
        <v>0</v>
      </c>
      <c r="F10832" s="44" t="n">
        <f aca="false">E10832-C10832</f>
        <v>0</v>
      </c>
    </row>
    <row r="10833" customFormat="false" ht="15" hidden="false" customHeight="false" outlineLevel="0" collapsed="false">
      <c r="B10833" s="46" t="str">
        <f aca="false">IF(N(Nb_Mensualites)=0,"","Soit "&amp;FIXED(E10832/Nb_Mensualites,2)&amp;" € HT par échéance ("&amp;Nb_Mensualites&amp;" échéances), "&amp;FIXED(E10832/Nb_Mensualites*(1+Taux_TVA),2)&amp;" € TTC.")</f>
        <v>Soit 0.00 € HT par échéance (12 échéances), 0.00 € TTC.</v>
      </c>
      <c r="C10833" s="46"/>
      <c r="D10833" s="46"/>
      <c r="E10833" s="46"/>
      <c r="F10833" s="46"/>
    </row>
    <row r="10834" customFormat="false" ht="7.5" hidden="false" customHeight="true" outlineLevel="0" collapsed="false">
      <c r="B10834" s="10"/>
      <c r="C10834" s="10"/>
      <c r="D10834" s="10"/>
      <c r="E10834" s="10"/>
      <c r="F10834" s="10"/>
    </row>
    <row r="10835" customFormat="false" ht="36.75" hidden="false" customHeight="true" outlineLevel="0" collapsed="false">
      <c r="B10835" s="37" t="str">
        <f aca="false">SUBSTITUTE(SUBSTITUTE(SUBSTITUTE(SUBSTITUTE(SUBSTITUTE(Txt_P5,"{cabinet}",Cab_Nom),"{societe}",IF($K$10801=0,"",INDEX(Clients!$E$2:$E$501,$K$10801)&amp;"")),"{date_effet}",$K$10803),"{hausse}",$K$10804),"{civilite}",$K$10802)</f>
        <v>Les autres conditions de votre lettre de mission demeurent inchangées. Les nouveaux montants seront appliqués automatiquement sur vos prochaines factures et échéances de prélèvement.</v>
      </c>
      <c r="C10835" s="37"/>
      <c r="D10835" s="37"/>
      <c r="E10835" s="37"/>
      <c r="F10835" s="37"/>
    </row>
    <row r="10836" customFormat="false" ht="36.75" hidden="false" customHeight="true" outlineLevel="0" collapsed="false">
      <c r="B10836" s="37" t="str">
        <f aca="false">SUBSTITUTE(SUBSTITUTE(SUBSTITUTE(SUBSTITUTE(SUBSTITUTE(Txt_P6,"{cabinet}",Cab_Nom),"{societe}",IF($K$10801=0,"",INDEX(Clients!$E$2:$E$501,$K$10801)&amp;"")),"{date_effet}",$K$10803),"{hausse}",$K$10804),"{civilite}",$K$10802)</f>
        <v>Votre interlocuteur habituel reste à votre entière disposition pour répondre à vos questions et faire le point sur l'évolution de vos besoins.</v>
      </c>
      <c r="C10836" s="37"/>
      <c r="D10836" s="37"/>
      <c r="E10836" s="37"/>
      <c r="F10836" s="37"/>
    </row>
    <row r="10837" customFormat="false" ht="24" hidden="false" customHeight="true" outlineLevel="0" collapsed="false">
      <c r="B10837" s="37" t="str">
        <f aca="false">SUBSTITUTE(SUBSTITUTE(SUBSTITUTE(SUBSTITUTE(SUBSTITUTE(Txt_Politesse,"{cabinet}",Cab_Nom),"{societe}",IF($K$10801=0,"",INDEX(Clients!$E$2:$E$501,$K$10801)&amp;"")),"{date_effet}",$K$10803),"{hausse}",$K$10804),"{civilite}",$K$10802)</f>
        <v>Nous vous prions d'agréer, Madame, Monsieur, l'expression de nos salutations distinguées.</v>
      </c>
      <c r="C10837" s="37"/>
      <c r="D10837" s="37"/>
      <c r="E10837" s="37"/>
      <c r="F10837" s="37"/>
    </row>
    <row r="10838" customFormat="false" ht="15" hidden="false" customHeight="false" outlineLevel="0" collapsed="false">
      <c r="B10838" s="10"/>
      <c r="C10838" s="10"/>
      <c r="D10838" s="10"/>
      <c r="E10838" s="10"/>
      <c r="F10838" s="10"/>
    </row>
    <row r="10839" customFormat="false" ht="15" hidden="false" customHeight="false" outlineLevel="0" collapsed="false">
      <c r="B10839" s="10"/>
      <c r="C10839" s="10"/>
      <c r="D10839" s="34" t="str">
        <f aca="false">Signataire</f>
        <v>Prénom NOM</v>
      </c>
      <c r="E10839" s="34"/>
      <c r="F10839" s="34"/>
    </row>
    <row r="10840" customFormat="false" ht="15" hidden="false" customHeight="false" outlineLevel="0" collapsed="false">
      <c r="B10840" s="10"/>
      <c r="C10840" s="10"/>
      <c r="D10840" s="47" t="str">
        <f aca="false">Signataire_Titre</f>
        <v>Expert-comptable associé</v>
      </c>
      <c r="E10840" s="47"/>
      <c r="F10840" s="47"/>
    </row>
    <row r="10841" customFormat="false" ht="15.75" hidden="false" customHeight="true" outlineLevel="0" collapsed="false">
      <c r="B10841" s="10"/>
      <c r="C10841" s="10"/>
      <c r="D10841" s="10"/>
      <c r="E10841" s="10"/>
      <c r="F10841" s="10"/>
    </row>
    <row r="10842" customFormat="false" ht="15.75" hidden="false" customHeight="true" outlineLevel="0" collapsed="false">
      <c r="B10842" s="10"/>
      <c r="C10842" s="10"/>
      <c r="D10842" s="10"/>
      <c r="E10842" s="10"/>
      <c r="F10842" s="10"/>
    </row>
    <row r="10843" customFormat="false" ht="15.75" hidden="false" customHeight="true" outlineLevel="0" collapsed="false">
      <c r="B10843" s="10"/>
      <c r="C10843" s="10"/>
      <c r="D10843" s="10"/>
      <c r="E10843" s="10"/>
      <c r="F10843" s="10"/>
    </row>
    <row r="10844" customFormat="false" ht="15.75" hidden="false" customHeight="true" outlineLevel="0" collapsed="false">
      <c r="B10844" s="10"/>
      <c r="C10844" s="10"/>
      <c r="D10844" s="10"/>
      <c r="E10844" s="10"/>
      <c r="F10844" s="10"/>
    </row>
    <row r="10845" customFormat="false" ht="24" hidden="false" customHeight="true" outlineLevel="0" collapsed="false">
      <c r="B10845" s="48" t="str">
        <f aca="false">Cab_Mentions</f>
        <v>ALTHO EXPERTISE · SAS au capital de 10 000 € · RCS Pontoise 919 706 325 · TVA FR62919706325 · Société d'expertise comptable inscrite au Tableau de l'Ordre des experts-comptables de Paris Île-de-France</v>
      </c>
      <c r="C10845" s="48"/>
      <c r="D10845" s="48"/>
      <c r="E10845" s="48"/>
      <c r="F10845" s="48"/>
    </row>
    <row r="10846" customFormat="false" ht="15" hidden="false" customHeight="false" outlineLevel="0" collapsed="false">
      <c r="B10846" s="10"/>
      <c r="C10846" s="10"/>
      <c r="D10846" s="10"/>
      <c r="E10846" s="10"/>
      <c r="F10846" s="10"/>
      <c r="J10846" s="25" t="s">
        <v>142</v>
      </c>
      <c r="K10846" s="25" t="n">
        <f aca="false">IFERROR(MATCH(242,Clients!$Z$2:$Z$501,0),0)</f>
        <v>0</v>
      </c>
      <c r="L10846" s="25"/>
      <c r="M10846" s="25"/>
      <c r="N10846" s="25"/>
      <c r="O10846" s="25"/>
    </row>
    <row r="10847" customFormat="false" ht="21.75" hidden="false" customHeight="true" outlineLevel="0" collapsed="false">
      <c r="B10847" s="26" t="str">
        <f aca="false">Cab_Nom</f>
        <v>ALTHO EXPERTISE</v>
      </c>
      <c r="C10847" s="26"/>
      <c r="D10847" s="10"/>
      <c r="E10847" s="27" t="str">
        <f aca="false">IF($K$10846=0,"","Réf. client : "&amp;INDEX(Clients!$A$2:$A$501,$K$10846))</f>
        <v/>
      </c>
      <c r="F10847" s="27"/>
      <c r="J10847" s="25" t="s">
        <v>144</v>
      </c>
      <c r="K10847" s="25" t="str">
        <f aca="false">IF(IF($K$10846=0,"",INDEX(Clients!$B$2:$B$501,$K$10846)&amp;"")="Mme","Madame",IF(IF($K$10846=0,"",INDEX(Clients!$B$2:$B$501,$K$10846)&amp;"")="M.","Monsieur","Madame, Monsieur"))</f>
        <v>Madame, Monsieur</v>
      </c>
      <c r="L10847" s="25"/>
      <c r="M10847" s="25"/>
      <c r="N10847" s="25"/>
      <c r="O10847" s="25"/>
    </row>
    <row r="10848" customFormat="false" ht="15" hidden="false" customHeight="false" outlineLevel="0" collapsed="false">
      <c r="B10848" s="29" t="str">
        <f aca="false">Cab_Adr1</f>
        <v>141 rue Charles de Gaulle</v>
      </c>
      <c r="C10848" s="29"/>
      <c r="D10848" s="10"/>
      <c r="E10848" s="10"/>
      <c r="F10848" s="10"/>
      <c r="J10848" s="25" t="s">
        <v>145</v>
      </c>
      <c r="K10848" s="25" t="str">
        <f aca="false">DAY(Date_Effet)&amp;IF(DAY(Date_Effet)=1,"er","")&amp;" "&amp;INDEX(Liste_Mois,MONTH(Date_Effet))&amp;" "&amp;YEAR(Date_Effet)</f>
        <v>1er janvier 2027</v>
      </c>
      <c r="L10848" s="25"/>
      <c r="M10848" s="25"/>
      <c r="N10848" s="25"/>
      <c r="O10848" s="25"/>
    </row>
    <row r="10849" customFormat="false" ht="15" hidden="false" customHeight="false" outlineLevel="0" collapsed="false">
      <c r="B10849" s="29" t="str">
        <f aca="false">Cab_CPVille</f>
        <v>95130 LE PLESSIS-BOUCHARD</v>
      </c>
      <c r="C10849" s="29"/>
      <c r="D10849" s="10"/>
      <c r="E10849" s="10"/>
      <c r="F10849" s="10"/>
      <c r="J10849" s="25" t="s">
        <v>146</v>
      </c>
      <c r="K10849" s="25" t="str">
        <f aca="false">IF(SUM($K$10873:$K$10876)=0,"",FIXED((SUM($L$10873:$L$10876)/SUM($K$10873:$K$10876)-1)*100,1)&amp;" %")</f>
        <v/>
      </c>
      <c r="L10849" s="25"/>
      <c r="M10849" s="25"/>
      <c r="N10849" s="25"/>
      <c r="O10849" s="25"/>
    </row>
    <row r="10850" customFormat="false" ht="15" hidden="false" customHeight="false" outlineLevel="0" collapsed="false">
      <c r="B10850" s="29" t="str">
        <f aca="false">Cab_Contact</f>
        <v>Tél. 01 34 14 53 45  ·  altho@altho-experts.com  ·  altho-experts.com</v>
      </c>
      <c r="C10850" s="29"/>
      <c r="D10850" s="10"/>
      <c r="E10850" s="10"/>
      <c r="F10850" s="10"/>
      <c r="J10850" s="25"/>
      <c r="K10850" s="25"/>
      <c r="L10850" s="25"/>
      <c r="M10850" s="25"/>
      <c r="N10850" s="25"/>
      <c r="O10850" s="25"/>
    </row>
    <row r="10851" customFormat="false" ht="6" hidden="false" customHeight="true" outlineLevel="0" collapsed="false">
      <c r="B10851" s="32"/>
      <c r="C10851" s="32"/>
      <c r="D10851" s="32"/>
      <c r="E10851" s="32"/>
      <c r="F10851" s="32"/>
      <c r="J10851" s="25"/>
      <c r="K10851" s="25"/>
      <c r="L10851" s="25"/>
      <c r="M10851" s="25"/>
      <c r="N10851" s="25"/>
      <c r="O10851" s="25"/>
    </row>
    <row r="10852" customFormat="false" ht="13.5" hidden="false" customHeight="true" outlineLevel="0" collapsed="false">
      <c r="B10852" s="10"/>
      <c r="C10852" s="10"/>
      <c r="D10852" s="10"/>
      <c r="E10852" s="10"/>
      <c r="F10852" s="10"/>
      <c r="J10852" s="25"/>
      <c r="K10852" s="25"/>
      <c r="L10852" s="25"/>
      <c r="M10852" s="25"/>
      <c r="N10852" s="25"/>
      <c r="O10852" s="25"/>
    </row>
    <row r="10853" customFormat="false" ht="13.5" hidden="false" customHeight="true" outlineLevel="0" collapsed="false">
      <c r="B10853" s="10"/>
      <c r="C10853" s="10"/>
      <c r="D10853" s="10"/>
      <c r="E10853" s="10"/>
      <c r="F10853" s="10"/>
      <c r="J10853" s="25"/>
      <c r="K10853" s="25"/>
      <c r="L10853" s="25"/>
      <c r="M10853" s="25"/>
      <c r="N10853" s="25"/>
      <c r="O10853" s="25"/>
    </row>
    <row r="10854" customFormat="false" ht="13.5" hidden="false" customHeight="true" outlineLevel="0" collapsed="false">
      <c r="B10854" s="10"/>
      <c r="C10854" s="10"/>
      <c r="D10854" s="10"/>
      <c r="E10854" s="10"/>
      <c r="F10854" s="10"/>
      <c r="J10854" s="25"/>
      <c r="K10854" s="25"/>
      <c r="L10854" s="25"/>
      <c r="M10854" s="25"/>
      <c r="N10854" s="25"/>
      <c r="O10854" s="25"/>
    </row>
    <row r="10855" customFormat="false" ht="15" hidden="false" customHeight="true" outlineLevel="0" collapsed="false">
      <c r="B10855" s="10"/>
      <c r="C10855" s="10"/>
      <c r="D10855" s="34" t="str">
        <f aca="false">IF($K$10846=0,"",INDEX(Clients!$E$2:$E$501,$K$10846)&amp;"")</f>
        <v/>
      </c>
      <c r="E10855" s="34"/>
      <c r="F10855" s="34"/>
      <c r="J10855" s="25"/>
      <c r="K10855" s="25"/>
      <c r="L10855" s="25"/>
      <c r="M10855" s="25"/>
      <c r="N10855" s="25"/>
      <c r="O10855" s="25"/>
    </row>
    <row r="10856" customFormat="false" ht="15" hidden="false" customHeight="true" outlineLevel="0" collapsed="false">
      <c r="B10856" s="10"/>
      <c r="C10856" s="10"/>
      <c r="D10856" s="35" t="str">
        <f aca="false">IF(IF($K$10846=0,"",INDEX(Clients!$D$2:$D$501,$K$10846)&amp;"")="","","À l'attention de "&amp;TRIM(IF($K$10846=0,"",INDEX(Clients!$B$2:$B$501,$K$10846)&amp;"")&amp;" "&amp;IF($K$10846=0,"",INDEX(Clients!$C$2:$C$501,$K$10846)&amp;"")&amp;" "&amp;IF($K$10846=0,"",INDEX(Clients!$D$2:$D$501,$K$10846)&amp;"")))</f>
        <v/>
      </c>
      <c r="E10856" s="35"/>
      <c r="F10856" s="35"/>
      <c r="J10856" s="25"/>
      <c r="K10856" s="25"/>
      <c r="L10856" s="25"/>
      <c r="M10856" s="25"/>
      <c r="N10856" s="25"/>
      <c r="O10856" s="25"/>
    </row>
    <row r="10857" customFormat="false" ht="15" hidden="false" customHeight="true" outlineLevel="0" collapsed="false">
      <c r="B10857" s="10"/>
      <c r="C10857" s="10"/>
      <c r="D10857" s="35" t="str">
        <f aca="false">IF($K$10846=0,"",INDEX(Clients!$F$2:$F$501,$K$10846)&amp;"")</f>
        <v/>
      </c>
      <c r="E10857" s="35"/>
      <c r="F10857" s="35"/>
      <c r="J10857" s="25"/>
      <c r="K10857" s="25"/>
      <c r="L10857" s="25"/>
      <c r="M10857" s="25"/>
      <c r="N10857" s="25"/>
      <c r="O10857" s="25"/>
    </row>
    <row r="10858" customFormat="false" ht="15" hidden="false" customHeight="true" outlineLevel="0" collapsed="false">
      <c r="B10858" s="10"/>
      <c r="C10858" s="10"/>
      <c r="D10858" s="35" t="str">
        <f aca="false">IF(IF($K$10846=0,"",INDEX(Clients!$G$2:$G$501,$K$10846)&amp;"")="",TRIM(IF($K$10846=0,"",INDEX(Clients!$H$2:$H$501,$K$10846)&amp;"")&amp;" "&amp;UPPER(IF($K$10846=0,"",INDEX(Clients!$I$2:$I$501,$K$10846)&amp;""))),IF($K$10846=0,"",INDEX(Clients!$G$2:$G$501,$K$10846)&amp;""))</f>
        <v/>
      </c>
      <c r="E10858" s="35"/>
      <c r="F10858" s="35"/>
      <c r="J10858" s="25"/>
      <c r="K10858" s="25"/>
      <c r="L10858" s="25"/>
      <c r="M10858" s="25"/>
      <c r="N10858" s="25"/>
      <c r="O10858" s="25"/>
    </row>
    <row r="10859" customFormat="false" ht="15" hidden="false" customHeight="true" outlineLevel="0" collapsed="false">
      <c r="B10859" s="10"/>
      <c r="C10859" s="10"/>
      <c r="D10859" s="35" t="str">
        <f aca="false">IF(IF($K$10846=0,"",INDEX(Clients!$G$2:$G$501,$K$10846)&amp;"")="","",TRIM(IF($K$10846=0,"",INDEX(Clients!$H$2:$H$501,$K$10846)&amp;"")&amp;" "&amp;UPPER(IF($K$10846=0,"",INDEX(Clients!$I$2:$I$501,$K$10846)&amp;""))))</f>
        <v/>
      </c>
      <c r="E10859" s="35"/>
      <c r="F10859" s="35"/>
      <c r="J10859" s="25"/>
      <c r="K10859" s="25"/>
      <c r="L10859" s="25"/>
      <c r="M10859" s="25"/>
      <c r="N10859" s="25"/>
      <c r="O10859" s="25"/>
    </row>
    <row r="10860" customFormat="false" ht="25.5" hidden="false" customHeight="true" outlineLevel="0" collapsed="false">
      <c r="B10860" s="10"/>
      <c r="C10860" s="10"/>
      <c r="D10860" s="10"/>
      <c r="E10860" s="10"/>
      <c r="F10860" s="10"/>
      <c r="J10860" s="25"/>
      <c r="K10860" s="25"/>
      <c r="L10860" s="25"/>
      <c r="M10860" s="25"/>
      <c r="N10860" s="25"/>
      <c r="O10860" s="25"/>
    </row>
    <row r="10861" customFormat="false" ht="15" hidden="false" customHeight="false" outlineLevel="0" collapsed="false">
      <c r="B10861" s="10"/>
      <c r="C10861" s="10"/>
      <c r="D10861" s="36" t="str">
        <f aca="false">Cab_Ville&amp;", le "&amp;DAY(Date_Courrier)&amp;IF(DAY(Date_Courrier)=1,"er","")&amp;" "&amp;INDEX(Liste_Mois,MONTH(Date_Courrier))&amp;" "&amp;YEAR(Date_Courrier)</f>
        <v>Le Plessis-Bouchard, le 22 septembre 2026</v>
      </c>
      <c r="E10861" s="36"/>
      <c r="F10861" s="36"/>
      <c r="J10861" s="25"/>
      <c r="K10861" s="25"/>
      <c r="L10861" s="25"/>
      <c r="M10861" s="25"/>
      <c r="N10861" s="25"/>
      <c r="O10861" s="25"/>
    </row>
    <row r="10862" customFormat="false" ht="19.5" hidden="false" customHeight="true" outlineLevel="0" collapsed="false">
      <c r="B10862" s="10"/>
      <c r="C10862" s="10"/>
      <c r="D10862" s="10"/>
      <c r="E10862" s="10"/>
      <c r="F10862" s="10"/>
      <c r="J10862" s="25"/>
      <c r="K10862" s="25"/>
      <c r="L10862" s="25"/>
      <c r="M10862" s="25"/>
      <c r="N10862" s="25"/>
      <c r="O10862" s="25"/>
    </row>
    <row r="10863" customFormat="false" ht="15" hidden="false" customHeight="false" outlineLevel="0" collapsed="false">
      <c r="B10863" s="34" t="str">
        <f aca="false">SUBSTITUTE(SUBSTITUTE(SUBSTITUTE(SUBSTITUTE(SUBSTITUTE(Txt_Objet,"{cabinet}",Cab_Nom),"{societe}",IF($K$10846=0,"",INDEX(Clients!$E$2:$E$501,$K$10846)&amp;"")),"{date_effet}",$K$10848),"{hausse}",$K$10849),"{civilite}",$K$10847)</f>
        <v>Objet : révision de nos honoraires au 1er janvier 2027</v>
      </c>
      <c r="C10863" s="34"/>
      <c r="D10863" s="34"/>
      <c r="E10863" s="34"/>
      <c r="F10863" s="34"/>
      <c r="J10863" s="25"/>
      <c r="K10863" s="25"/>
      <c r="L10863" s="25"/>
      <c r="M10863" s="25"/>
      <c r="N10863" s="25"/>
      <c r="O10863" s="25"/>
    </row>
    <row r="10864" customFormat="false" ht="13.5" hidden="false" customHeight="true" outlineLevel="0" collapsed="false">
      <c r="B10864" s="10"/>
      <c r="C10864" s="10"/>
      <c r="D10864" s="10"/>
      <c r="E10864" s="10"/>
      <c r="F10864" s="10"/>
      <c r="J10864" s="25"/>
      <c r="K10864" s="25"/>
      <c r="L10864" s="25"/>
      <c r="M10864" s="25"/>
      <c r="N10864" s="25"/>
      <c r="O10864" s="25"/>
    </row>
    <row r="10865" customFormat="false" ht="15" hidden="false" customHeight="false" outlineLevel="0" collapsed="false">
      <c r="B10865" s="10" t="str">
        <f aca="false">$K$10847&amp;","</f>
        <v>Madame, Monsieur,</v>
      </c>
      <c r="C10865" s="10"/>
      <c r="D10865" s="10"/>
      <c r="E10865" s="10"/>
      <c r="F10865" s="10"/>
      <c r="J10865" s="25"/>
      <c r="K10865" s="25"/>
      <c r="L10865" s="25"/>
      <c r="M10865" s="25"/>
      <c r="N10865" s="25"/>
      <c r="O10865" s="25"/>
    </row>
    <row r="10866" customFormat="false" ht="6" hidden="false" customHeight="true" outlineLevel="0" collapsed="false">
      <c r="B10866" s="10"/>
      <c r="C10866" s="10"/>
      <c r="D10866" s="10"/>
      <c r="E10866" s="10"/>
      <c r="F10866" s="10"/>
      <c r="J10866" s="25"/>
      <c r="K10866" s="25"/>
      <c r="L10866" s="25"/>
      <c r="M10866" s="25"/>
      <c r="N10866" s="25"/>
      <c r="O10866" s="25"/>
    </row>
    <row r="10867" customFormat="false" ht="36.75" hidden="false" customHeight="true" outlineLevel="0" collapsed="false">
      <c r="B10867" s="37" t="str">
        <f aca="false">SUBSTITUTE(SUBSTITUTE(SUBSTITUTE(SUBSTITUTE(SUBSTITUTE(Txt_P1,"{cabinet}",Cab_Nom),"{societe}",IF($K$10846=0,"",INDEX(Clients!$E$2:$E$501,$K$10846)&amp;"")),"{date_effet}",$K$10848),"{hausse}",$K$10849),"{civilite}",$K$10847)</f>
        <v>Nous tenons tout d'abord à vous remercier pour la confiance que vous accordez à ALTHO EXPERTISE. Comme chaque année, et conformément aux dispositions de votre lettre de mission, nous procédons à la révision de nos honoraires.</v>
      </c>
      <c r="C10867" s="37"/>
      <c r="D10867" s="37"/>
      <c r="E10867" s="37"/>
      <c r="F10867" s="37"/>
      <c r="J10867" s="25"/>
      <c r="K10867" s="25"/>
      <c r="L10867" s="25"/>
      <c r="M10867" s="25"/>
      <c r="N10867" s="25"/>
      <c r="O10867" s="25"/>
    </row>
    <row r="10868" customFormat="false" ht="49.5" hidden="false" customHeight="true" outlineLevel="0" collapsed="false">
      <c r="B10868" s="37" t="str">
        <f aca="false">SUBSTITUTE(SUBSTITUTE(SUBSTITUTE(SUBSTITUTE(SUBSTITUTE(Txt_P2,"{cabinet}",Cab_Nom),"{societe}",IF($K$10846=0,"",INDEX(Clients!$E$2:$E$501,$K$10846)&amp;"")),"{date_effet}",$K$10848),"{hausse}",$K$10849),"{civilite}",$K$10847)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868" s="37"/>
      <c r="D10868" s="37"/>
      <c r="E10868" s="37"/>
      <c r="F10868" s="37"/>
      <c r="J10868" s="25"/>
      <c r="K10868" s="25"/>
      <c r="L10868" s="25"/>
      <c r="M10868" s="25"/>
      <c r="N10868" s="25"/>
      <c r="O10868" s="25"/>
    </row>
    <row r="10869" customFormat="false" ht="63" hidden="false" customHeight="true" outlineLevel="0" collapsed="false">
      <c r="B10869" s="37" t="str">
        <f aca="false">SUBSTITUTE(SUBSTITUTE(SUBSTITUTE(SUBSTITUTE(SUBSTITUTE(Txt_P3,"{cabinet}",Cab_Nom),"{societe}",IF($K$10846=0,"",INDEX(Clients!$E$2:$E$501,$K$10846)&amp;"")),"{date_effet}",$K$10848),"{hausse}",$K$10849),"{civilite}",$K$10847)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869" s="37"/>
      <c r="D10869" s="37"/>
      <c r="E10869" s="37"/>
      <c r="F10869" s="37"/>
      <c r="J10869" s="25"/>
      <c r="K10869" s="25"/>
      <c r="L10869" s="25"/>
      <c r="M10869" s="25"/>
      <c r="N10869" s="25"/>
      <c r="O10869" s="25"/>
    </row>
    <row r="10870" customFormat="false" ht="24" hidden="false" customHeight="true" outlineLevel="0" collapsed="false">
      <c r="B10870" s="37" t="str">
        <f aca="false">SUBSTITUTE(SUBSTITUTE(SUBSTITUTE(SUBSTITUTE(SUBSTITUTE(Txt_P4,"{cabinet}",Cab_Nom),"{societe}",IF($K$10846=0,"",INDEX(Clients!$E$2:$E$501,$K$10846)&amp;"")),"{date_effet}",$K$10848),"{hausse}",$K$10849),"{civilite}",$K$10847)</f>
        <v>À compter du 1er janvier 2027, vos honoraires annuels hors taxes évolueront ainsi (évolution globale : ) :</v>
      </c>
      <c r="C10870" s="37"/>
      <c r="D10870" s="37"/>
      <c r="E10870" s="37"/>
      <c r="F10870" s="37"/>
      <c r="J10870" s="25"/>
      <c r="K10870" s="25"/>
      <c r="L10870" s="25"/>
      <c r="M10870" s="25"/>
      <c r="N10870" s="25"/>
      <c r="O10870" s="25"/>
    </row>
    <row r="10871" customFormat="false" ht="3.75" hidden="false" customHeight="true" outlineLevel="0" collapsed="false">
      <c r="B10871" s="10"/>
      <c r="C10871" s="10"/>
      <c r="D10871" s="10"/>
      <c r="E10871" s="10"/>
      <c r="F10871" s="10"/>
      <c r="J10871" s="25"/>
      <c r="K10871" s="25"/>
      <c r="L10871" s="25"/>
      <c r="M10871" s="25"/>
      <c r="N10871" s="25"/>
      <c r="O10871" s="25"/>
    </row>
    <row r="10872" customFormat="false" ht="18" hidden="false" customHeight="true" outlineLevel="0" collapsed="false">
      <c r="B10872" s="38" t="s">
        <v>148</v>
      </c>
      <c r="C10872" s="39" t="s">
        <v>149</v>
      </c>
      <c r="D10872" s="39" t="s">
        <v>150</v>
      </c>
      <c r="E10872" s="39" t="s">
        <v>151</v>
      </c>
      <c r="F10872" s="39" t="s">
        <v>109</v>
      </c>
      <c r="J10872" s="25" t="s">
        <v>152</v>
      </c>
      <c r="K10872" s="25" t="s">
        <v>153</v>
      </c>
      <c r="L10872" s="25" t="s">
        <v>154</v>
      </c>
      <c r="M10872" s="25" t="s">
        <v>155</v>
      </c>
      <c r="N10872" s="25" t="s">
        <v>156</v>
      </c>
      <c r="O10872" s="25" t="s">
        <v>157</v>
      </c>
    </row>
    <row r="10873" customFormat="false" ht="16.5" hidden="false" customHeight="true" outlineLevel="0" collapsed="false">
      <c r="B10873" s="40" t="str">
        <f aca="false">IFERROR(INDEX($J$10873:$J$10876,MATCH($O10873,$N$10873:$N$10876,0)),"")</f>
        <v/>
      </c>
      <c r="C10873" s="41" t="str">
        <f aca="false">IFERROR(INDEX($K$10873:$K$10876,MATCH($O10873,$N$10873:$N$10876,0)),"")</f>
        <v/>
      </c>
      <c r="D10873" s="42" t="str">
        <f aca="false">IF(OR(E10873="",N(C10873)=0),"",E10873/C10873-1)</f>
        <v/>
      </c>
      <c r="E10873" s="41" t="str">
        <f aca="false">IFERROR(INDEX($L$10873:$L$10876,MATCH($O10873,$N$10873:$N$10876,0)),"")</f>
        <v/>
      </c>
      <c r="F10873" s="41" t="str">
        <f aca="false">IF(E10873="","",E10873-C10873)</f>
        <v/>
      </c>
      <c r="J10873" s="25" t="str">
        <f aca="false">Lib_Compta</f>
        <v>Mission comptable (tenue, révision, bilan, liasse fiscale)</v>
      </c>
      <c r="K10873" s="25" t="n">
        <f aca="false">IF($K$10846=0,0,N(INDEX(Clients!$K$2:$K$501,$K$10846)))</f>
        <v>0</v>
      </c>
      <c r="L10873" s="25" t="n">
        <f aca="false">IF($K$10846=0,0,N(INDEX(Clients!$P$2:$P$501,$K$10846)))</f>
        <v>0</v>
      </c>
      <c r="M10873" s="25" t="n">
        <f aca="false">IF(OR(K10873&lt;&gt;0,L10873&lt;&gt;0),1,0)</f>
        <v>0</v>
      </c>
      <c r="N10873" s="25" t="str">
        <f aca="false">IF(M10873=1,SUM($M$10873:M10873),"")</f>
        <v/>
      </c>
      <c r="O10873" s="25" t="n">
        <v>1</v>
      </c>
    </row>
    <row r="10874" customFormat="false" ht="16.5" hidden="false" customHeight="true" outlineLevel="0" collapsed="false">
      <c r="B10874" s="40" t="str">
        <f aca="false">IFERROR(INDEX($J$10873:$J$10876,MATCH($O10874,$N$10873:$N$10876,0)),"")</f>
        <v/>
      </c>
      <c r="C10874" s="41" t="str">
        <f aca="false">IFERROR(INDEX($K$10873:$K$10876,MATCH($O10874,$N$10873:$N$10876,0)),"")</f>
        <v/>
      </c>
      <c r="D10874" s="42" t="str">
        <f aca="false">IF(OR(E10874="",N(C10874)=0),"",E10874/C10874-1)</f>
        <v/>
      </c>
      <c r="E10874" s="41" t="str">
        <f aca="false">IFERROR(INDEX($L$10873:$L$10876,MATCH($O10874,$N$10873:$N$10876,0)),"")</f>
        <v/>
      </c>
      <c r="F10874" s="41" t="str">
        <f aca="false">IF(E10874="","",E10874-C10874)</f>
        <v/>
      </c>
      <c r="J10874" s="25" t="str">
        <f aca="false">Lib_Paye</f>
        <v>Mission sociale (bulletins de paie, DSN, déclarations sociales)</v>
      </c>
      <c r="K10874" s="25" t="n">
        <f aca="false">IF($K$10846=0,0,N(INDEX(Clients!$L$2:$L$501,$K$10846)))</f>
        <v>0</v>
      </c>
      <c r="L10874" s="25" t="n">
        <f aca="false">IF($K$10846=0,0,N(INDEX(Clients!$Q$2:$Q$501,$K$10846)))</f>
        <v>0</v>
      </c>
      <c r="M10874" s="25" t="n">
        <f aca="false">IF(OR(K10874&lt;&gt;0,L10874&lt;&gt;0),1,0)</f>
        <v>0</v>
      </c>
      <c r="N10874" s="25" t="str">
        <f aca="false">IF(M10874=1,SUM($M$10873:M10874),"")</f>
        <v/>
      </c>
      <c r="O10874" s="25" t="n">
        <v>2</v>
      </c>
    </row>
    <row r="10875" customFormat="false" ht="16.5" hidden="false" customHeight="true" outlineLevel="0" collapsed="false">
      <c r="B10875" s="40" t="str">
        <f aca="false">IFERROR(INDEX($J$10873:$J$10876,MATCH($O10875,$N$10873:$N$10876,0)),"")</f>
        <v/>
      </c>
      <c r="C10875" s="41" t="str">
        <f aca="false">IFERROR(INDEX($K$10873:$K$10876,MATCH($O10875,$N$10873:$N$10876,0)),"")</f>
        <v/>
      </c>
      <c r="D10875" s="42" t="str">
        <f aca="false">IF(OR(E10875="",N(C10875)=0),"",E10875/C10875-1)</f>
        <v/>
      </c>
      <c r="E10875" s="41" t="str">
        <f aca="false">IFERROR(INDEX($L$10873:$L$10876,MATCH($O10875,$N$10873:$N$10876,0)),"")</f>
        <v/>
      </c>
      <c r="F10875" s="41" t="str">
        <f aca="false">IF(E10875="","",E10875-C10875)</f>
        <v/>
      </c>
      <c r="J10875" s="25" t="str">
        <f aca="false">Lib_Jur</f>
        <v>Mission juridique (approbation des comptes, secrétariat juridique)</v>
      </c>
      <c r="K10875" s="25" t="n">
        <f aca="false">IF($K$10846=0,0,N(INDEX(Clients!$M$2:$M$501,$K$10846)))</f>
        <v>0</v>
      </c>
      <c r="L10875" s="25" t="n">
        <f aca="false">IF($K$10846=0,0,N(INDEX(Clients!$R$2:$R$501,$K$10846)))</f>
        <v>0</v>
      </c>
      <c r="M10875" s="25" t="n">
        <f aca="false">IF(OR(K10875&lt;&gt;0,L10875&lt;&gt;0),1,0)</f>
        <v>0</v>
      </c>
      <c r="N10875" s="25" t="str">
        <f aca="false">IF(M10875=1,SUM($M$10873:M10875),"")</f>
        <v/>
      </c>
      <c r="O10875" s="25" t="n">
        <v>3</v>
      </c>
    </row>
    <row r="10876" customFormat="false" ht="16.5" hidden="false" customHeight="true" outlineLevel="0" collapsed="false">
      <c r="B10876" s="40" t="str">
        <f aca="false">IFERROR(INDEX($J$10873:$J$10876,MATCH($O10876,$N$10873:$N$10876,0)),"")</f>
        <v/>
      </c>
      <c r="C10876" s="41" t="str">
        <f aca="false">IFERROR(INDEX($K$10873:$K$10876,MATCH($O10876,$N$10873:$N$10876,0)),"")</f>
        <v/>
      </c>
      <c r="D10876" s="42" t="str">
        <f aca="false">IF(OR(E10876="",N(C10876)=0),"",E10876/C10876-1)</f>
        <v/>
      </c>
      <c r="E10876" s="41" t="str">
        <f aca="false">IFERROR(INDEX($L$10873:$L$10876,MATCH($O10876,$N$10873:$N$10876,0)),"")</f>
        <v/>
      </c>
      <c r="F10876" s="41" t="str">
        <f aca="false">IF(E10876="","",E10876-C10876)</f>
        <v/>
      </c>
      <c r="J10876" s="25" t="str">
        <f aca="false">Lib_PA</f>
        <v>Plateforme agréée – facturation électronique</v>
      </c>
      <c r="K10876" s="25" t="n">
        <f aca="false">IF($K$10846=0,0,N(INDEX(Clients!$N$2:$N$501,$K$10846)))</f>
        <v>0</v>
      </c>
      <c r="L10876" s="25" t="n">
        <f aca="false">IF($K$10846=0,0,N(INDEX(Clients!$S$2:$S$501,$K$10846)))</f>
        <v>0</v>
      </c>
      <c r="M10876" s="25" t="n">
        <f aca="false">IF(OR(K10876&lt;&gt;0,L10876&lt;&gt;0),1,0)</f>
        <v>0</v>
      </c>
      <c r="N10876" s="25" t="str">
        <f aca="false">IF(M10876=1,SUM($M$10873:M10876),"")</f>
        <v/>
      </c>
      <c r="O10876" s="25" t="n">
        <v>4</v>
      </c>
    </row>
    <row r="10877" customFormat="false" ht="18" hidden="false" customHeight="true" outlineLevel="0" collapsed="false">
      <c r="B10877" s="43" t="s">
        <v>158</v>
      </c>
      <c r="C10877" s="44" t="n">
        <f aca="false">SUM(K10873:K10876)</f>
        <v>0</v>
      </c>
      <c r="D10877" s="45" t="str">
        <f aca="false">IF(N(C10877)=0,"",E10877/C10877-1)</f>
        <v/>
      </c>
      <c r="E10877" s="44" t="n">
        <f aca="false">SUM(L10873:L10876)</f>
        <v>0</v>
      </c>
      <c r="F10877" s="44" t="n">
        <f aca="false">E10877-C10877</f>
        <v>0</v>
      </c>
    </row>
    <row r="10878" customFormat="false" ht="15" hidden="false" customHeight="false" outlineLevel="0" collapsed="false">
      <c r="B10878" s="46" t="str">
        <f aca="false">IF(N(Nb_Mensualites)=0,"","Soit "&amp;FIXED(E10877/Nb_Mensualites,2)&amp;" € HT par échéance ("&amp;Nb_Mensualites&amp;" échéances), "&amp;FIXED(E10877/Nb_Mensualites*(1+Taux_TVA),2)&amp;" € TTC.")</f>
        <v>Soit 0.00 € HT par échéance (12 échéances), 0.00 € TTC.</v>
      </c>
      <c r="C10878" s="46"/>
      <c r="D10878" s="46"/>
      <c r="E10878" s="46"/>
      <c r="F10878" s="46"/>
    </row>
    <row r="10879" customFormat="false" ht="7.5" hidden="false" customHeight="true" outlineLevel="0" collapsed="false">
      <c r="B10879" s="10"/>
      <c r="C10879" s="10"/>
      <c r="D10879" s="10"/>
      <c r="E10879" s="10"/>
      <c r="F10879" s="10"/>
    </row>
    <row r="10880" customFormat="false" ht="36.75" hidden="false" customHeight="true" outlineLevel="0" collapsed="false">
      <c r="B10880" s="37" t="str">
        <f aca="false">SUBSTITUTE(SUBSTITUTE(SUBSTITUTE(SUBSTITUTE(SUBSTITUTE(Txt_P5,"{cabinet}",Cab_Nom),"{societe}",IF($K$10846=0,"",INDEX(Clients!$E$2:$E$501,$K$10846)&amp;"")),"{date_effet}",$K$10848),"{hausse}",$K$10849),"{civilite}",$K$10847)</f>
        <v>Les autres conditions de votre lettre de mission demeurent inchangées. Les nouveaux montants seront appliqués automatiquement sur vos prochaines factures et échéances de prélèvement.</v>
      </c>
      <c r="C10880" s="37"/>
      <c r="D10880" s="37"/>
      <c r="E10880" s="37"/>
      <c r="F10880" s="37"/>
    </row>
    <row r="10881" customFormat="false" ht="36.75" hidden="false" customHeight="true" outlineLevel="0" collapsed="false">
      <c r="B10881" s="37" t="str">
        <f aca="false">SUBSTITUTE(SUBSTITUTE(SUBSTITUTE(SUBSTITUTE(SUBSTITUTE(Txt_P6,"{cabinet}",Cab_Nom),"{societe}",IF($K$10846=0,"",INDEX(Clients!$E$2:$E$501,$K$10846)&amp;"")),"{date_effet}",$K$10848),"{hausse}",$K$10849),"{civilite}",$K$10847)</f>
        <v>Votre interlocuteur habituel reste à votre entière disposition pour répondre à vos questions et faire le point sur l'évolution de vos besoins.</v>
      </c>
      <c r="C10881" s="37"/>
      <c r="D10881" s="37"/>
      <c r="E10881" s="37"/>
      <c r="F10881" s="37"/>
    </row>
    <row r="10882" customFormat="false" ht="24" hidden="false" customHeight="true" outlineLevel="0" collapsed="false">
      <c r="B10882" s="37" t="str">
        <f aca="false">SUBSTITUTE(SUBSTITUTE(SUBSTITUTE(SUBSTITUTE(SUBSTITUTE(Txt_Politesse,"{cabinet}",Cab_Nom),"{societe}",IF($K$10846=0,"",INDEX(Clients!$E$2:$E$501,$K$10846)&amp;"")),"{date_effet}",$K$10848),"{hausse}",$K$10849),"{civilite}",$K$10847)</f>
        <v>Nous vous prions d'agréer, Madame, Monsieur, l'expression de nos salutations distinguées.</v>
      </c>
      <c r="C10882" s="37"/>
      <c r="D10882" s="37"/>
      <c r="E10882" s="37"/>
      <c r="F10882" s="37"/>
    </row>
    <row r="10883" customFormat="false" ht="15" hidden="false" customHeight="false" outlineLevel="0" collapsed="false">
      <c r="B10883" s="10"/>
      <c r="C10883" s="10"/>
      <c r="D10883" s="10"/>
      <c r="E10883" s="10"/>
      <c r="F10883" s="10"/>
    </row>
    <row r="10884" customFormat="false" ht="15" hidden="false" customHeight="false" outlineLevel="0" collapsed="false">
      <c r="B10884" s="10"/>
      <c r="C10884" s="10"/>
      <c r="D10884" s="34" t="str">
        <f aca="false">Signataire</f>
        <v>Prénom NOM</v>
      </c>
      <c r="E10884" s="34"/>
      <c r="F10884" s="34"/>
    </row>
    <row r="10885" customFormat="false" ht="15" hidden="false" customHeight="false" outlineLevel="0" collapsed="false">
      <c r="B10885" s="10"/>
      <c r="C10885" s="10"/>
      <c r="D10885" s="47" t="str">
        <f aca="false">Signataire_Titre</f>
        <v>Expert-comptable associé</v>
      </c>
      <c r="E10885" s="47"/>
      <c r="F10885" s="47"/>
    </row>
    <row r="10886" customFormat="false" ht="15.75" hidden="false" customHeight="true" outlineLevel="0" collapsed="false">
      <c r="B10886" s="10"/>
      <c r="C10886" s="10"/>
      <c r="D10886" s="10"/>
      <c r="E10886" s="10"/>
      <c r="F10886" s="10"/>
    </row>
    <row r="10887" customFormat="false" ht="15.75" hidden="false" customHeight="true" outlineLevel="0" collapsed="false">
      <c r="B10887" s="10"/>
      <c r="C10887" s="10"/>
      <c r="D10887" s="10"/>
      <c r="E10887" s="10"/>
      <c r="F10887" s="10"/>
    </row>
    <row r="10888" customFormat="false" ht="15.75" hidden="false" customHeight="true" outlineLevel="0" collapsed="false">
      <c r="B10888" s="10"/>
      <c r="C10888" s="10"/>
      <c r="D10888" s="10"/>
      <c r="E10888" s="10"/>
      <c r="F10888" s="10"/>
    </row>
    <row r="10889" customFormat="false" ht="15.75" hidden="false" customHeight="true" outlineLevel="0" collapsed="false">
      <c r="B10889" s="10"/>
      <c r="C10889" s="10"/>
      <c r="D10889" s="10"/>
      <c r="E10889" s="10"/>
      <c r="F10889" s="10"/>
    </row>
    <row r="10890" customFormat="false" ht="24" hidden="false" customHeight="true" outlineLevel="0" collapsed="false">
      <c r="B10890" s="48" t="str">
        <f aca="false">Cab_Mentions</f>
        <v>ALTHO EXPERTISE · SAS au capital de 10 000 € · RCS Pontoise 919 706 325 · TVA FR62919706325 · Société d'expertise comptable inscrite au Tableau de l'Ordre des experts-comptables de Paris Île-de-France</v>
      </c>
      <c r="C10890" s="48"/>
      <c r="D10890" s="48"/>
      <c r="E10890" s="48"/>
      <c r="F10890" s="48"/>
    </row>
    <row r="10891" customFormat="false" ht="15" hidden="false" customHeight="false" outlineLevel="0" collapsed="false">
      <c r="B10891" s="10"/>
      <c r="C10891" s="10"/>
      <c r="D10891" s="10"/>
      <c r="E10891" s="10"/>
      <c r="F10891" s="10"/>
      <c r="J10891" s="25" t="s">
        <v>142</v>
      </c>
      <c r="K10891" s="25" t="n">
        <f aca="false">IFERROR(MATCH(243,Clients!$Z$2:$Z$501,0),0)</f>
        <v>0</v>
      </c>
      <c r="L10891" s="25"/>
      <c r="M10891" s="25"/>
      <c r="N10891" s="25"/>
      <c r="O10891" s="25"/>
    </row>
    <row r="10892" customFormat="false" ht="21.75" hidden="false" customHeight="true" outlineLevel="0" collapsed="false">
      <c r="B10892" s="26" t="str">
        <f aca="false">Cab_Nom</f>
        <v>ALTHO EXPERTISE</v>
      </c>
      <c r="C10892" s="26"/>
      <c r="D10892" s="10"/>
      <c r="E10892" s="27" t="str">
        <f aca="false">IF($K$10891=0,"","Réf. client : "&amp;INDEX(Clients!$A$2:$A$501,$K$10891))</f>
        <v/>
      </c>
      <c r="F10892" s="27"/>
      <c r="J10892" s="25" t="s">
        <v>144</v>
      </c>
      <c r="K10892" s="25" t="str">
        <f aca="false">IF(IF($K$10891=0,"",INDEX(Clients!$B$2:$B$501,$K$10891)&amp;"")="Mme","Madame",IF(IF($K$10891=0,"",INDEX(Clients!$B$2:$B$501,$K$10891)&amp;"")="M.","Monsieur","Madame, Monsieur"))</f>
        <v>Madame, Monsieur</v>
      </c>
      <c r="L10892" s="25"/>
      <c r="M10892" s="25"/>
      <c r="N10892" s="25"/>
      <c r="O10892" s="25"/>
    </row>
    <row r="10893" customFormat="false" ht="15" hidden="false" customHeight="false" outlineLevel="0" collapsed="false">
      <c r="B10893" s="29" t="str">
        <f aca="false">Cab_Adr1</f>
        <v>141 rue Charles de Gaulle</v>
      </c>
      <c r="C10893" s="29"/>
      <c r="D10893" s="10"/>
      <c r="E10893" s="10"/>
      <c r="F10893" s="10"/>
      <c r="J10893" s="25" t="s">
        <v>145</v>
      </c>
      <c r="K10893" s="25" t="str">
        <f aca="false">DAY(Date_Effet)&amp;IF(DAY(Date_Effet)=1,"er","")&amp;" "&amp;INDEX(Liste_Mois,MONTH(Date_Effet))&amp;" "&amp;YEAR(Date_Effet)</f>
        <v>1er janvier 2027</v>
      </c>
      <c r="L10893" s="25"/>
      <c r="M10893" s="25"/>
      <c r="N10893" s="25"/>
      <c r="O10893" s="25"/>
    </row>
    <row r="10894" customFormat="false" ht="15" hidden="false" customHeight="false" outlineLevel="0" collapsed="false">
      <c r="B10894" s="29" t="str">
        <f aca="false">Cab_CPVille</f>
        <v>95130 LE PLESSIS-BOUCHARD</v>
      </c>
      <c r="C10894" s="29"/>
      <c r="D10894" s="10"/>
      <c r="E10894" s="10"/>
      <c r="F10894" s="10"/>
      <c r="J10894" s="25" t="s">
        <v>146</v>
      </c>
      <c r="K10894" s="25" t="str">
        <f aca="false">IF(SUM($K$10918:$K$10921)=0,"",FIXED((SUM($L$10918:$L$10921)/SUM($K$10918:$K$10921)-1)*100,1)&amp;" %")</f>
        <v/>
      </c>
      <c r="L10894" s="25"/>
      <c r="M10894" s="25"/>
      <c r="N10894" s="25"/>
      <c r="O10894" s="25"/>
    </row>
    <row r="10895" customFormat="false" ht="15" hidden="false" customHeight="false" outlineLevel="0" collapsed="false">
      <c r="B10895" s="29" t="str">
        <f aca="false">Cab_Contact</f>
        <v>Tél. 01 34 14 53 45  ·  altho@altho-experts.com  ·  altho-experts.com</v>
      </c>
      <c r="C10895" s="29"/>
      <c r="D10895" s="10"/>
      <c r="E10895" s="10"/>
      <c r="F10895" s="10"/>
      <c r="J10895" s="25"/>
      <c r="K10895" s="25"/>
      <c r="L10895" s="25"/>
      <c r="M10895" s="25"/>
      <c r="N10895" s="25"/>
      <c r="O10895" s="25"/>
    </row>
    <row r="10896" customFormat="false" ht="6" hidden="false" customHeight="true" outlineLevel="0" collapsed="false">
      <c r="B10896" s="32"/>
      <c r="C10896" s="32"/>
      <c r="D10896" s="32"/>
      <c r="E10896" s="32"/>
      <c r="F10896" s="32"/>
      <c r="J10896" s="25"/>
      <c r="K10896" s="25"/>
      <c r="L10896" s="25"/>
      <c r="M10896" s="25"/>
      <c r="N10896" s="25"/>
      <c r="O10896" s="25"/>
    </row>
    <row r="10897" customFormat="false" ht="13.5" hidden="false" customHeight="true" outlineLevel="0" collapsed="false">
      <c r="B10897" s="10"/>
      <c r="C10897" s="10"/>
      <c r="D10897" s="10"/>
      <c r="E10897" s="10"/>
      <c r="F10897" s="10"/>
      <c r="J10897" s="25"/>
      <c r="K10897" s="25"/>
      <c r="L10897" s="25"/>
      <c r="M10897" s="25"/>
      <c r="N10897" s="25"/>
      <c r="O10897" s="25"/>
    </row>
    <row r="10898" customFormat="false" ht="13.5" hidden="false" customHeight="true" outlineLevel="0" collapsed="false">
      <c r="B10898" s="10"/>
      <c r="C10898" s="10"/>
      <c r="D10898" s="10"/>
      <c r="E10898" s="10"/>
      <c r="F10898" s="10"/>
      <c r="J10898" s="25"/>
      <c r="K10898" s="25"/>
      <c r="L10898" s="25"/>
      <c r="M10898" s="25"/>
      <c r="N10898" s="25"/>
      <c r="O10898" s="25"/>
    </row>
    <row r="10899" customFormat="false" ht="13.5" hidden="false" customHeight="true" outlineLevel="0" collapsed="false">
      <c r="B10899" s="10"/>
      <c r="C10899" s="10"/>
      <c r="D10899" s="10"/>
      <c r="E10899" s="10"/>
      <c r="F10899" s="10"/>
      <c r="J10899" s="25"/>
      <c r="K10899" s="25"/>
      <c r="L10899" s="25"/>
      <c r="M10899" s="25"/>
      <c r="N10899" s="25"/>
      <c r="O10899" s="25"/>
    </row>
    <row r="10900" customFormat="false" ht="15" hidden="false" customHeight="true" outlineLevel="0" collapsed="false">
      <c r="B10900" s="10"/>
      <c r="C10900" s="10"/>
      <c r="D10900" s="34" t="str">
        <f aca="false">IF($K$10891=0,"",INDEX(Clients!$E$2:$E$501,$K$10891)&amp;"")</f>
        <v/>
      </c>
      <c r="E10900" s="34"/>
      <c r="F10900" s="34"/>
      <c r="J10900" s="25"/>
      <c r="K10900" s="25"/>
      <c r="L10900" s="25"/>
      <c r="M10900" s="25"/>
      <c r="N10900" s="25"/>
      <c r="O10900" s="25"/>
    </row>
    <row r="10901" customFormat="false" ht="15" hidden="false" customHeight="true" outlineLevel="0" collapsed="false">
      <c r="B10901" s="10"/>
      <c r="C10901" s="10"/>
      <c r="D10901" s="35" t="str">
        <f aca="false">IF(IF($K$10891=0,"",INDEX(Clients!$D$2:$D$501,$K$10891)&amp;"")="","","À l'attention de "&amp;TRIM(IF($K$10891=0,"",INDEX(Clients!$B$2:$B$501,$K$10891)&amp;"")&amp;" "&amp;IF($K$10891=0,"",INDEX(Clients!$C$2:$C$501,$K$10891)&amp;"")&amp;" "&amp;IF($K$10891=0,"",INDEX(Clients!$D$2:$D$501,$K$10891)&amp;"")))</f>
        <v/>
      </c>
      <c r="E10901" s="35"/>
      <c r="F10901" s="35"/>
      <c r="J10901" s="25"/>
      <c r="K10901" s="25"/>
      <c r="L10901" s="25"/>
      <c r="M10901" s="25"/>
      <c r="N10901" s="25"/>
      <c r="O10901" s="25"/>
    </row>
    <row r="10902" customFormat="false" ht="15" hidden="false" customHeight="true" outlineLevel="0" collapsed="false">
      <c r="B10902" s="10"/>
      <c r="C10902" s="10"/>
      <c r="D10902" s="35" t="str">
        <f aca="false">IF($K$10891=0,"",INDEX(Clients!$F$2:$F$501,$K$10891)&amp;"")</f>
        <v/>
      </c>
      <c r="E10902" s="35"/>
      <c r="F10902" s="35"/>
      <c r="J10902" s="25"/>
      <c r="K10902" s="25"/>
      <c r="L10902" s="25"/>
      <c r="M10902" s="25"/>
      <c r="N10902" s="25"/>
      <c r="O10902" s="25"/>
    </row>
    <row r="10903" customFormat="false" ht="15" hidden="false" customHeight="true" outlineLevel="0" collapsed="false">
      <c r="B10903" s="10"/>
      <c r="C10903" s="10"/>
      <c r="D10903" s="35" t="str">
        <f aca="false">IF(IF($K$10891=0,"",INDEX(Clients!$G$2:$G$501,$K$10891)&amp;"")="",TRIM(IF($K$10891=0,"",INDEX(Clients!$H$2:$H$501,$K$10891)&amp;"")&amp;" "&amp;UPPER(IF($K$10891=0,"",INDEX(Clients!$I$2:$I$501,$K$10891)&amp;""))),IF($K$10891=0,"",INDEX(Clients!$G$2:$G$501,$K$10891)&amp;""))</f>
        <v/>
      </c>
      <c r="E10903" s="35"/>
      <c r="F10903" s="35"/>
      <c r="J10903" s="25"/>
      <c r="K10903" s="25"/>
      <c r="L10903" s="25"/>
      <c r="M10903" s="25"/>
      <c r="N10903" s="25"/>
      <c r="O10903" s="25"/>
    </row>
    <row r="10904" customFormat="false" ht="15" hidden="false" customHeight="true" outlineLevel="0" collapsed="false">
      <c r="B10904" s="10"/>
      <c r="C10904" s="10"/>
      <c r="D10904" s="35" t="str">
        <f aca="false">IF(IF($K$10891=0,"",INDEX(Clients!$G$2:$G$501,$K$10891)&amp;"")="","",TRIM(IF($K$10891=0,"",INDEX(Clients!$H$2:$H$501,$K$10891)&amp;"")&amp;" "&amp;UPPER(IF($K$10891=0,"",INDEX(Clients!$I$2:$I$501,$K$10891)&amp;""))))</f>
        <v/>
      </c>
      <c r="E10904" s="35"/>
      <c r="F10904" s="35"/>
      <c r="J10904" s="25"/>
      <c r="K10904" s="25"/>
      <c r="L10904" s="25"/>
      <c r="M10904" s="25"/>
      <c r="N10904" s="25"/>
      <c r="O10904" s="25"/>
    </row>
    <row r="10905" customFormat="false" ht="25.5" hidden="false" customHeight="true" outlineLevel="0" collapsed="false">
      <c r="B10905" s="10"/>
      <c r="C10905" s="10"/>
      <c r="D10905" s="10"/>
      <c r="E10905" s="10"/>
      <c r="F10905" s="10"/>
      <c r="J10905" s="25"/>
      <c r="K10905" s="25"/>
      <c r="L10905" s="25"/>
      <c r="M10905" s="25"/>
      <c r="N10905" s="25"/>
      <c r="O10905" s="25"/>
    </row>
    <row r="10906" customFormat="false" ht="15" hidden="false" customHeight="false" outlineLevel="0" collapsed="false">
      <c r="B10906" s="10"/>
      <c r="C10906" s="10"/>
      <c r="D10906" s="36" t="str">
        <f aca="false">Cab_Ville&amp;", le "&amp;DAY(Date_Courrier)&amp;IF(DAY(Date_Courrier)=1,"er","")&amp;" "&amp;INDEX(Liste_Mois,MONTH(Date_Courrier))&amp;" "&amp;YEAR(Date_Courrier)</f>
        <v>Le Plessis-Bouchard, le 22 septembre 2026</v>
      </c>
      <c r="E10906" s="36"/>
      <c r="F10906" s="36"/>
      <c r="J10906" s="25"/>
      <c r="K10906" s="25"/>
      <c r="L10906" s="25"/>
      <c r="M10906" s="25"/>
      <c r="N10906" s="25"/>
      <c r="O10906" s="25"/>
    </row>
    <row r="10907" customFormat="false" ht="19.5" hidden="false" customHeight="true" outlineLevel="0" collapsed="false">
      <c r="B10907" s="10"/>
      <c r="C10907" s="10"/>
      <c r="D10907" s="10"/>
      <c r="E10907" s="10"/>
      <c r="F10907" s="10"/>
      <c r="J10907" s="25"/>
      <c r="K10907" s="25"/>
      <c r="L10907" s="25"/>
      <c r="M10907" s="25"/>
      <c r="N10907" s="25"/>
      <c r="O10907" s="25"/>
    </row>
    <row r="10908" customFormat="false" ht="15" hidden="false" customHeight="false" outlineLevel="0" collapsed="false">
      <c r="B10908" s="34" t="str">
        <f aca="false">SUBSTITUTE(SUBSTITUTE(SUBSTITUTE(SUBSTITUTE(SUBSTITUTE(Txt_Objet,"{cabinet}",Cab_Nom),"{societe}",IF($K$10891=0,"",INDEX(Clients!$E$2:$E$501,$K$10891)&amp;"")),"{date_effet}",$K$10893),"{hausse}",$K$10894),"{civilite}",$K$10892)</f>
        <v>Objet : révision de nos honoraires au 1er janvier 2027</v>
      </c>
      <c r="C10908" s="34"/>
      <c r="D10908" s="34"/>
      <c r="E10908" s="34"/>
      <c r="F10908" s="34"/>
      <c r="J10908" s="25"/>
      <c r="K10908" s="25"/>
      <c r="L10908" s="25"/>
      <c r="M10908" s="25"/>
      <c r="N10908" s="25"/>
      <c r="O10908" s="25"/>
    </row>
    <row r="10909" customFormat="false" ht="13.5" hidden="false" customHeight="true" outlineLevel="0" collapsed="false">
      <c r="B10909" s="10"/>
      <c r="C10909" s="10"/>
      <c r="D10909" s="10"/>
      <c r="E10909" s="10"/>
      <c r="F10909" s="10"/>
      <c r="J10909" s="25"/>
      <c r="K10909" s="25"/>
      <c r="L10909" s="25"/>
      <c r="M10909" s="25"/>
      <c r="N10909" s="25"/>
      <c r="O10909" s="25"/>
    </row>
    <row r="10910" customFormat="false" ht="15" hidden="false" customHeight="false" outlineLevel="0" collapsed="false">
      <c r="B10910" s="10" t="str">
        <f aca="false">$K$10892&amp;","</f>
        <v>Madame, Monsieur,</v>
      </c>
      <c r="C10910" s="10"/>
      <c r="D10910" s="10"/>
      <c r="E10910" s="10"/>
      <c r="F10910" s="10"/>
      <c r="J10910" s="25"/>
      <c r="K10910" s="25"/>
      <c r="L10910" s="25"/>
      <c r="M10910" s="25"/>
      <c r="N10910" s="25"/>
      <c r="O10910" s="25"/>
    </row>
    <row r="10911" customFormat="false" ht="6" hidden="false" customHeight="true" outlineLevel="0" collapsed="false">
      <c r="B10911" s="10"/>
      <c r="C10911" s="10"/>
      <c r="D10911" s="10"/>
      <c r="E10911" s="10"/>
      <c r="F10911" s="10"/>
      <c r="J10911" s="25"/>
      <c r="K10911" s="25"/>
      <c r="L10911" s="25"/>
      <c r="M10911" s="25"/>
      <c r="N10911" s="25"/>
      <c r="O10911" s="25"/>
    </row>
    <row r="10912" customFormat="false" ht="36.75" hidden="false" customHeight="true" outlineLevel="0" collapsed="false">
      <c r="B10912" s="37" t="str">
        <f aca="false">SUBSTITUTE(SUBSTITUTE(SUBSTITUTE(SUBSTITUTE(SUBSTITUTE(Txt_P1,"{cabinet}",Cab_Nom),"{societe}",IF($K$10891=0,"",INDEX(Clients!$E$2:$E$501,$K$10891)&amp;"")),"{date_effet}",$K$10893),"{hausse}",$K$10894),"{civilite}",$K$10892)</f>
        <v>Nous tenons tout d'abord à vous remercier pour la confiance que vous accordez à ALTHO EXPERTISE. Comme chaque année, et conformément aux dispositions de votre lettre de mission, nous procédons à la révision de nos honoraires.</v>
      </c>
      <c r="C10912" s="37"/>
      <c r="D10912" s="37"/>
      <c r="E10912" s="37"/>
      <c r="F10912" s="37"/>
      <c r="J10912" s="25"/>
      <c r="K10912" s="25"/>
      <c r="L10912" s="25"/>
      <c r="M10912" s="25"/>
      <c r="N10912" s="25"/>
      <c r="O10912" s="25"/>
    </row>
    <row r="10913" customFormat="false" ht="49.5" hidden="false" customHeight="true" outlineLevel="0" collapsed="false">
      <c r="B10913" s="37" t="str">
        <f aca="false">SUBSTITUTE(SUBSTITUTE(SUBSTITUTE(SUBSTITUTE(SUBSTITUTE(Txt_P2,"{cabinet}",Cab_Nom),"{societe}",IF($K$10891=0,"",INDEX(Clients!$E$2:$E$501,$K$10891)&amp;"")),"{date_effet}",$K$10893),"{hausse}",$K$10894),"{civilite}",$K$10892)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913" s="37"/>
      <c r="D10913" s="37"/>
      <c r="E10913" s="37"/>
      <c r="F10913" s="37"/>
      <c r="J10913" s="25"/>
      <c r="K10913" s="25"/>
      <c r="L10913" s="25"/>
      <c r="M10913" s="25"/>
      <c r="N10913" s="25"/>
      <c r="O10913" s="25"/>
    </row>
    <row r="10914" customFormat="false" ht="63" hidden="false" customHeight="true" outlineLevel="0" collapsed="false">
      <c r="B10914" s="37" t="str">
        <f aca="false">SUBSTITUTE(SUBSTITUTE(SUBSTITUTE(SUBSTITUTE(SUBSTITUTE(Txt_P3,"{cabinet}",Cab_Nom),"{societe}",IF($K$10891=0,"",INDEX(Clients!$E$2:$E$501,$K$10891)&amp;"")),"{date_effet}",$K$10893),"{hausse}",$K$10894),"{civilite}",$K$10892)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914" s="37"/>
      <c r="D10914" s="37"/>
      <c r="E10914" s="37"/>
      <c r="F10914" s="37"/>
      <c r="J10914" s="25"/>
      <c r="K10914" s="25"/>
      <c r="L10914" s="25"/>
      <c r="M10914" s="25"/>
      <c r="N10914" s="25"/>
      <c r="O10914" s="25"/>
    </row>
    <row r="10915" customFormat="false" ht="24" hidden="false" customHeight="true" outlineLevel="0" collapsed="false">
      <c r="B10915" s="37" t="str">
        <f aca="false">SUBSTITUTE(SUBSTITUTE(SUBSTITUTE(SUBSTITUTE(SUBSTITUTE(Txt_P4,"{cabinet}",Cab_Nom),"{societe}",IF($K$10891=0,"",INDEX(Clients!$E$2:$E$501,$K$10891)&amp;"")),"{date_effet}",$K$10893),"{hausse}",$K$10894),"{civilite}",$K$10892)</f>
        <v>À compter du 1er janvier 2027, vos honoraires annuels hors taxes évolueront ainsi (évolution globale : ) :</v>
      </c>
      <c r="C10915" s="37"/>
      <c r="D10915" s="37"/>
      <c r="E10915" s="37"/>
      <c r="F10915" s="37"/>
      <c r="J10915" s="25"/>
      <c r="K10915" s="25"/>
      <c r="L10915" s="25"/>
      <c r="M10915" s="25"/>
      <c r="N10915" s="25"/>
      <c r="O10915" s="25"/>
    </row>
    <row r="10916" customFormat="false" ht="3.75" hidden="false" customHeight="true" outlineLevel="0" collapsed="false">
      <c r="B10916" s="10"/>
      <c r="C10916" s="10"/>
      <c r="D10916" s="10"/>
      <c r="E10916" s="10"/>
      <c r="F10916" s="10"/>
      <c r="J10916" s="25"/>
      <c r="K10916" s="25"/>
      <c r="L10916" s="25"/>
      <c r="M10916" s="25"/>
      <c r="N10916" s="25"/>
      <c r="O10916" s="25"/>
    </row>
    <row r="10917" customFormat="false" ht="18" hidden="false" customHeight="true" outlineLevel="0" collapsed="false">
      <c r="B10917" s="38" t="s">
        <v>148</v>
      </c>
      <c r="C10917" s="39" t="s">
        <v>149</v>
      </c>
      <c r="D10917" s="39" t="s">
        <v>150</v>
      </c>
      <c r="E10917" s="39" t="s">
        <v>151</v>
      </c>
      <c r="F10917" s="39" t="s">
        <v>109</v>
      </c>
      <c r="J10917" s="25" t="s">
        <v>152</v>
      </c>
      <c r="K10917" s="25" t="s">
        <v>153</v>
      </c>
      <c r="L10917" s="25" t="s">
        <v>154</v>
      </c>
      <c r="M10917" s="25" t="s">
        <v>155</v>
      </c>
      <c r="N10917" s="25" t="s">
        <v>156</v>
      </c>
      <c r="O10917" s="25" t="s">
        <v>157</v>
      </c>
    </row>
    <row r="10918" customFormat="false" ht="16.5" hidden="false" customHeight="true" outlineLevel="0" collapsed="false">
      <c r="B10918" s="40" t="str">
        <f aca="false">IFERROR(INDEX($J$10918:$J$10921,MATCH($O10918,$N$10918:$N$10921,0)),"")</f>
        <v/>
      </c>
      <c r="C10918" s="41" t="str">
        <f aca="false">IFERROR(INDEX($K$10918:$K$10921,MATCH($O10918,$N$10918:$N$10921,0)),"")</f>
        <v/>
      </c>
      <c r="D10918" s="42" t="str">
        <f aca="false">IF(OR(E10918="",N(C10918)=0),"",E10918/C10918-1)</f>
        <v/>
      </c>
      <c r="E10918" s="41" t="str">
        <f aca="false">IFERROR(INDEX($L$10918:$L$10921,MATCH($O10918,$N$10918:$N$10921,0)),"")</f>
        <v/>
      </c>
      <c r="F10918" s="41" t="str">
        <f aca="false">IF(E10918="","",E10918-C10918)</f>
        <v/>
      </c>
      <c r="J10918" s="25" t="str">
        <f aca="false">Lib_Compta</f>
        <v>Mission comptable (tenue, révision, bilan, liasse fiscale)</v>
      </c>
      <c r="K10918" s="25" t="n">
        <f aca="false">IF($K$10891=0,0,N(INDEX(Clients!$K$2:$K$501,$K$10891)))</f>
        <v>0</v>
      </c>
      <c r="L10918" s="25" t="n">
        <f aca="false">IF($K$10891=0,0,N(INDEX(Clients!$P$2:$P$501,$K$10891)))</f>
        <v>0</v>
      </c>
      <c r="M10918" s="25" t="n">
        <f aca="false">IF(OR(K10918&lt;&gt;0,L10918&lt;&gt;0),1,0)</f>
        <v>0</v>
      </c>
      <c r="N10918" s="25" t="str">
        <f aca="false">IF(M10918=1,SUM($M$10918:M10918),"")</f>
        <v/>
      </c>
      <c r="O10918" s="25" t="n">
        <v>1</v>
      </c>
    </row>
    <row r="10919" customFormat="false" ht="16.5" hidden="false" customHeight="true" outlineLevel="0" collapsed="false">
      <c r="B10919" s="40" t="str">
        <f aca="false">IFERROR(INDEX($J$10918:$J$10921,MATCH($O10919,$N$10918:$N$10921,0)),"")</f>
        <v/>
      </c>
      <c r="C10919" s="41" t="str">
        <f aca="false">IFERROR(INDEX($K$10918:$K$10921,MATCH($O10919,$N$10918:$N$10921,0)),"")</f>
        <v/>
      </c>
      <c r="D10919" s="42" t="str">
        <f aca="false">IF(OR(E10919="",N(C10919)=0),"",E10919/C10919-1)</f>
        <v/>
      </c>
      <c r="E10919" s="41" t="str">
        <f aca="false">IFERROR(INDEX($L$10918:$L$10921,MATCH($O10919,$N$10918:$N$10921,0)),"")</f>
        <v/>
      </c>
      <c r="F10919" s="41" t="str">
        <f aca="false">IF(E10919="","",E10919-C10919)</f>
        <v/>
      </c>
      <c r="J10919" s="25" t="str">
        <f aca="false">Lib_Paye</f>
        <v>Mission sociale (bulletins de paie, DSN, déclarations sociales)</v>
      </c>
      <c r="K10919" s="25" t="n">
        <f aca="false">IF($K$10891=0,0,N(INDEX(Clients!$L$2:$L$501,$K$10891)))</f>
        <v>0</v>
      </c>
      <c r="L10919" s="25" t="n">
        <f aca="false">IF($K$10891=0,0,N(INDEX(Clients!$Q$2:$Q$501,$K$10891)))</f>
        <v>0</v>
      </c>
      <c r="M10919" s="25" t="n">
        <f aca="false">IF(OR(K10919&lt;&gt;0,L10919&lt;&gt;0),1,0)</f>
        <v>0</v>
      </c>
      <c r="N10919" s="25" t="str">
        <f aca="false">IF(M10919=1,SUM($M$10918:M10919),"")</f>
        <v/>
      </c>
      <c r="O10919" s="25" t="n">
        <v>2</v>
      </c>
    </row>
    <row r="10920" customFormat="false" ht="16.5" hidden="false" customHeight="true" outlineLevel="0" collapsed="false">
      <c r="B10920" s="40" t="str">
        <f aca="false">IFERROR(INDEX($J$10918:$J$10921,MATCH($O10920,$N$10918:$N$10921,0)),"")</f>
        <v/>
      </c>
      <c r="C10920" s="41" t="str">
        <f aca="false">IFERROR(INDEX($K$10918:$K$10921,MATCH($O10920,$N$10918:$N$10921,0)),"")</f>
        <v/>
      </c>
      <c r="D10920" s="42" t="str">
        <f aca="false">IF(OR(E10920="",N(C10920)=0),"",E10920/C10920-1)</f>
        <v/>
      </c>
      <c r="E10920" s="41" t="str">
        <f aca="false">IFERROR(INDEX($L$10918:$L$10921,MATCH($O10920,$N$10918:$N$10921,0)),"")</f>
        <v/>
      </c>
      <c r="F10920" s="41" t="str">
        <f aca="false">IF(E10920="","",E10920-C10920)</f>
        <v/>
      </c>
      <c r="J10920" s="25" t="str">
        <f aca="false">Lib_Jur</f>
        <v>Mission juridique (approbation des comptes, secrétariat juridique)</v>
      </c>
      <c r="K10920" s="25" t="n">
        <f aca="false">IF($K$10891=0,0,N(INDEX(Clients!$M$2:$M$501,$K$10891)))</f>
        <v>0</v>
      </c>
      <c r="L10920" s="25" t="n">
        <f aca="false">IF($K$10891=0,0,N(INDEX(Clients!$R$2:$R$501,$K$10891)))</f>
        <v>0</v>
      </c>
      <c r="M10920" s="25" t="n">
        <f aca="false">IF(OR(K10920&lt;&gt;0,L10920&lt;&gt;0),1,0)</f>
        <v>0</v>
      </c>
      <c r="N10920" s="25" t="str">
        <f aca="false">IF(M10920=1,SUM($M$10918:M10920),"")</f>
        <v/>
      </c>
      <c r="O10920" s="25" t="n">
        <v>3</v>
      </c>
    </row>
    <row r="10921" customFormat="false" ht="16.5" hidden="false" customHeight="true" outlineLevel="0" collapsed="false">
      <c r="B10921" s="40" t="str">
        <f aca="false">IFERROR(INDEX($J$10918:$J$10921,MATCH($O10921,$N$10918:$N$10921,0)),"")</f>
        <v/>
      </c>
      <c r="C10921" s="41" t="str">
        <f aca="false">IFERROR(INDEX($K$10918:$K$10921,MATCH($O10921,$N$10918:$N$10921,0)),"")</f>
        <v/>
      </c>
      <c r="D10921" s="42" t="str">
        <f aca="false">IF(OR(E10921="",N(C10921)=0),"",E10921/C10921-1)</f>
        <v/>
      </c>
      <c r="E10921" s="41" t="str">
        <f aca="false">IFERROR(INDEX($L$10918:$L$10921,MATCH($O10921,$N$10918:$N$10921,0)),"")</f>
        <v/>
      </c>
      <c r="F10921" s="41" t="str">
        <f aca="false">IF(E10921="","",E10921-C10921)</f>
        <v/>
      </c>
      <c r="J10921" s="25" t="str">
        <f aca="false">Lib_PA</f>
        <v>Plateforme agréée – facturation électronique</v>
      </c>
      <c r="K10921" s="25" t="n">
        <f aca="false">IF($K$10891=0,0,N(INDEX(Clients!$N$2:$N$501,$K$10891)))</f>
        <v>0</v>
      </c>
      <c r="L10921" s="25" t="n">
        <f aca="false">IF($K$10891=0,0,N(INDEX(Clients!$S$2:$S$501,$K$10891)))</f>
        <v>0</v>
      </c>
      <c r="M10921" s="25" t="n">
        <f aca="false">IF(OR(K10921&lt;&gt;0,L10921&lt;&gt;0),1,0)</f>
        <v>0</v>
      </c>
      <c r="N10921" s="25" t="str">
        <f aca="false">IF(M10921=1,SUM($M$10918:M10921),"")</f>
        <v/>
      </c>
      <c r="O10921" s="25" t="n">
        <v>4</v>
      </c>
    </row>
    <row r="10922" customFormat="false" ht="18" hidden="false" customHeight="true" outlineLevel="0" collapsed="false">
      <c r="B10922" s="43" t="s">
        <v>158</v>
      </c>
      <c r="C10922" s="44" t="n">
        <f aca="false">SUM(K10918:K10921)</f>
        <v>0</v>
      </c>
      <c r="D10922" s="45" t="str">
        <f aca="false">IF(N(C10922)=0,"",E10922/C10922-1)</f>
        <v/>
      </c>
      <c r="E10922" s="44" t="n">
        <f aca="false">SUM(L10918:L10921)</f>
        <v>0</v>
      </c>
      <c r="F10922" s="44" t="n">
        <f aca="false">E10922-C10922</f>
        <v>0</v>
      </c>
    </row>
    <row r="10923" customFormat="false" ht="15" hidden="false" customHeight="false" outlineLevel="0" collapsed="false">
      <c r="B10923" s="46" t="str">
        <f aca="false">IF(N(Nb_Mensualites)=0,"","Soit "&amp;FIXED(E10922/Nb_Mensualites,2)&amp;" € HT par échéance ("&amp;Nb_Mensualites&amp;" échéances), "&amp;FIXED(E10922/Nb_Mensualites*(1+Taux_TVA),2)&amp;" € TTC.")</f>
        <v>Soit 0.00 € HT par échéance (12 échéances), 0.00 € TTC.</v>
      </c>
      <c r="C10923" s="46"/>
      <c r="D10923" s="46"/>
      <c r="E10923" s="46"/>
      <c r="F10923" s="46"/>
    </row>
    <row r="10924" customFormat="false" ht="7.5" hidden="false" customHeight="true" outlineLevel="0" collapsed="false">
      <c r="B10924" s="10"/>
      <c r="C10924" s="10"/>
      <c r="D10924" s="10"/>
      <c r="E10924" s="10"/>
      <c r="F10924" s="10"/>
    </row>
    <row r="10925" customFormat="false" ht="36.75" hidden="false" customHeight="true" outlineLevel="0" collapsed="false">
      <c r="B10925" s="37" t="str">
        <f aca="false">SUBSTITUTE(SUBSTITUTE(SUBSTITUTE(SUBSTITUTE(SUBSTITUTE(Txt_P5,"{cabinet}",Cab_Nom),"{societe}",IF($K$10891=0,"",INDEX(Clients!$E$2:$E$501,$K$10891)&amp;"")),"{date_effet}",$K$10893),"{hausse}",$K$10894),"{civilite}",$K$10892)</f>
        <v>Les autres conditions de votre lettre de mission demeurent inchangées. Les nouveaux montants seront appliqués automatiquement sur vos prochaines factures et échéances de prélèvement.</v>
      </c>
      <c r="C10925" s="37"/>
      <c r="D10925" s="37"/>
      <c r="E10925" s="37"/>
      <c r="F10925" s="37"/>
    </row>
    <row r="10926" customFormat="false" ht="36.75" hidden="false" customHeight="true" outlineLevel="0" collapsed="false">
      <c r="B10926" s="37" t="str">
        <f aca="false">SUBSTITUTE(SUBSTITUTE(SUBSTITUTE(SUBSTITUTE(SUBSTITUTE(Txt_P6,"{cabinet}",Cab_Nom),"{societe}",IF($K$10891=0,"",INDEX(Clients!$E$2:$E$501,$K$10891)&amp;"")),"{date_effet}",$K$10893),"{hausse}",$K$10894),"{civilite}",$K$10892)</f>
        <v>Votre interlocuteur habituel reste à votre entière disposition pour répondre à vos questions et faire le point sur l'évolution de vos besoins.</v>
      </c>
      <c r="C10926" s="37"/>
      <c r="D10926" s="37"/>
      <c r="E10926" s="37"/>
      <c r="F10926" s="37"/>
    </row>
    <row r="10927" customFormat="false" ht="24" hidden="false" customHeight="true" outlineLevel="0" collapsed="false">
      <c r="B10927" s="37" t="str">
        <f aca="false">SUBSTITUTE(SUBSTITUTE(SUBSTITUTE(SUBSTITUTE(SUBSTITUTE(Txt_Politesse,"{cabinet}",Cab_Nom),"{societe}",IF($K$10891=0,"",INDEX(Clients!$E$2:$E$501,$K$10891)&amp;"")),"{date_effet}",$K$10893),"{hausse}",$K$10894),"{civilite}",$K$10892)</f>
        <v>Nous vous prions d'agréer, Madame, Monsieur, l'expression de nos salutations distinguées.</v>
      </c>
      <c r="C10927" s="37"/>
      <c r="D10927" s="37"/>
      <c r="E10927" s="37"/>
      <c r="F10927" s="37"/>
    </row>
    <row r="10928" customFormat="false" ht="15" hidden="false" customHeight="false" outlineLevel="0" collapsed="false">
      <c r="B10928" s="10"/>
      <c r="C10928" s="10"/>
      <c r="D10928" s="10"/>
      <c r="E10928" s="10"/>
      <c r="F10928" s="10"/>
    </row>
    <row r="10929" customFormat="false" ht="15" hidden="false" customHeight="false" outlineLevel="0" collapsed="false">
      <c r="B10929" s="10"/>
      <c r="C10929" s="10"/>
      <c r="D10929" s="34" t="str">
        <f aca="false">Signataire</f>
        <v>Prénom NOM</v>
      </c>
      <c r="E10929" s="34"/>
      <c r="F10929" s="34"/>
    </row>
    <row r="10930" customFormat="false" ht="15" hidden="false" customHeight="false" outlineLevel="0" collapsed="false">
      <c r="B10930" s="10"/>
      <c r="C10930" s="10"/>
      <c r="D10930" s="47" t="str">
        <f aca="false">Signataire_Titre</f>
        <v>Expert-comptable associé</v>
      </c>
      <c r="E10930" s="47"/>
      <c r="F10930" s="47"/>
    </row>
    <row r="10931" customFormat="false" ht="15.75" hidden="false" customHeight="true" outlineLevel="0" collapsed="false">
      <c r="B10931" s="10"/>
      <c r="C10931" s="10"/>
      <c r="D10931" s="10"/>
      <c r="E10931" s="10"/>
      <c r="F10931" s="10"/>
    </row>
    <row r="10932" customFormat="false" ht="15.75" hidden="false" customHeight="true" outlineLevel="0" collapsed="false">
      <c r="B10932" s="10"/>
      <c r="C10932" s="10"/>
      <c r="D10932" s="10"/>
      <c r="E10932" s="10"/>
      <c r="F10932" s="10"/>
    </row>
    <row r="10933" customFormat="false" ht="15.75" hidden="false" customHeight="true" outlineLevel="0" collapsed="false">
      <c r="B10933" s="10"/>
      <c r="C10933" s="10"/>
      <c r="D10933" s="10"/>
      <c r="E10933" s="10"/>
      <c r="F10933" s="10"/>
    </row>
    <row r="10934" customFormat="false" ht="15.75" hidden="false" customHeight="true" outlineLevel="0" collapsed="false">
      <c r="B10934" s="10"/>
      <c r="C10934" s="10"/>
      <c r="D10934" s="10"/>
      <c r="E10934" s="10"/>
      <c r="F10934" s="10"/>
    </row>
    <row r="10935" customFormat="false" ht="24" hidden="false" customHeight="true" outlineLevel="0" collapsed="false">
      <c r="B10935" s="48" t="str">
        <f aca="false">Cab_Mentions</f>
        <v>ALTHO EXPERTISE · SAS au capital de 10 000 € · RCS Pontoise 919 706 325 · TVA FR62919706325 · Société d'expertise comptable inscrite au Tableau de l'Ordre des experts-comptables de Paris Île-de-France</v>
      </c>
      <c r="C10935" s="48"/>
      <c r="D10935" s="48"/>
      <c r="E10935" s="48"/>
      <c r="F10935" s="48"/>
    </row>
    <row r="10936" customFormat="false" ht="15" hidden="false" customHeight="false" outlineLevel="0" collapsed="false">
      <c r="B10936" s="10"/>
      <c r="C10936" s="10"/>
      <c r="D10936" s="10"/>
      <c r="E10936" s="10"/>
      <c r="F10936" s="10"/>
      <c r="J10936" s="25" t="s">
        <v>142</v>
      </c>
      <c r="K10936" s="25" t="n">
        <f aca="false">IFERROR(MATCH(244,Clients!$Z$2:$Z$501,0),0)</f>
        <v>0</v>
      </c>
      <c r="L10936" s="25"/>
      <c r="M10936" s="25"/>
      <c r="N10936" s="25"/>
      <c r="O10936" s="25"/>
    </row>
    <row r="10937" customFormat="false" ht="21.75" hidden="false" customHeight="true" outlineLevel="0" collapsed="false">
      <c r="B10937" s="26" t="str">
        <f aca="false">Cab_Nom</f>
        <v>ALTHO EXPERTISE</v>
      </c>
      <c r="C10937" s="26"/>
      <c r="D10937" s="10"/>
      <c r="E10937" s="27" t="str">
        <f aca="false">IF($K$10936=0,"","Réf. client : "&amp;INDEX(Clients!$A$2:$A$501,$K$10936))</f>
        <v/>
      </c>
      <c r="F10937" s="27"/>
      <c r="J10937" s="25" t="s">
        <v>144</v>
      </c>
      <c r="K10937" s="25" t="str">
        <f aca="false">IF(IF($K$10936=0,"",INDEX(Clients!$B$2:$B$501,$K$10936)&amp;"")="Mme","Madame",IF(IF($K$10936=0,"",INDEX(Clients!$B$2:$B$501,$K$10936)&amp;"")="M.","Monsieur","Madame, Monsieur"))</f>
        <v>Madame, Monsieur</v>
      </c>
      <c r="L10937" s="25"/>
      <c r="M10937" s="25"/>
      <c r="N10937" s="25"/>
      <c r="O10937" s="25"/>
    </row>
    <row r="10938" customFormat="false" ht="15" hidden="false" customHeight="false" outlineLevel="0" collapsed="false">
      <c r="B10938" s="29" t="str">
        <f aca="false">Cab_Adr1</f>
        <v>141 rue Charles de Gaulle</v>
      </c>
      <c r="C10938" s="29"/>
      <c r="D10938" s="10"/>
      <c r="E10938" s="10"/>
      <c r="F10938" s="10"/>
      <c r="J10938" s="25" t="s">
        <v>145</v>
      </c>
      <c r="K10938" s="25" t="str">
        <f aca="false">DAY(Date_Effet)&amp;IF(DAY(Date_Effet)=1,"er","")&amp;" "&amp;INDEX(Liste_Mois,MONTH(Date_Effet))&amp;" "&amp;YEAR(Date_Effet)</f>
        <v>1er janvier 2027</v>
      </c>
      <c r="L10938" s="25"/>
      <c r="M10938" s="25"/>
      <c r="N10938" s="25"/>
      <c r="O10938" s="25"/>
    </row>
    <row r="10939" customFormat="false" ht="15" hidden="false" customHeight="false" outlineLevel="0" collapsed="false">
      <c r="B10939" s="29" t="str">
        <f aca="false">Cab_CPVille</f>
        <v>95130 LE PLESSIS-BOUCHARD</v>
      </c>
      <c r="C10939" s="29"/>
      <c r="D10939" s="10"/>
      <c r="E10939" s="10"/>
      <c r="F10939" s="10"/>
      <c r="J10939" s="25" t="s">
        <v>146</v>
      </c>
      <c r="K10939" s="25" t="str">
        <f aca="false">IF(SUM($K$10963:$K$10966)=0,"",FIXED((SUM($L$10963:$L$10966)/SUM($K$10963:$K$10966)-1)*100,1)&amp;" %")</f>
        <v/>
      </c>
      <c r="L10939" s="25"/>
      <c r="M10939" s="25"/>
      <c r="N10939" s="25"/>
      <c r="O10939" s="25"/>
    </row>
    <row r="10940" customFormat="false" ht="15" hidden="false" customHeight="false" outlineLevel="0" collapsed="false">
      <c r="B10940" s="29" t="str">
        <f aca="false">Cab_Contact</f>
        <v>Tél. 01 34 14 53 45  ·  altho@altho-experts.com  ·  altho-experts.com</v>
      </c>
      <c r="C10940" s="29"/>
      <c r="D10940" s="10"/>
      <c r="E10940" s="10"/>
      <c r="F10940" s="10"/>
      <c r="J10940" s="25"/>
      <c r="K10940" s="25"/>
      <c r="L10940" s="25"/>
      <c r="M10940" s="25"/>
      <c r="N10940" s="25"/>
      <c r="O10940" s="25"/>
    </row>
    <row r="10941" customFormat="false" ht="6" hidden="false" customHeight="true" outlineLevel="0" collapsed="false">
      <c r="B10941" s="32"/>
      <c r="C10941" s="32"/>
      <c r="D10941" s="32"/>
      <c r="E10941" s="32"/>
      <c r="F10941" s="32"/>
      <c r="J10941" s="25"/>
      <c r="K10941" s="25"/>
      <c r="L10941" s="25"/>
      <c r="M10941" s="25"/>
      <c r="N10941" s="25"/>
      <c r="O10941" s="25"/>
    </row>
    <row r="10942" customFormat="false" ht="13.5" hidden="false" customHeight="true" outlineLevel="0" collapsed="false">
      <c r="B10942" s="10"/>
      <c r="C10942" s="10"/>
      <c r="D10942" s="10"/>
      <c r="E10942" s="10"/>
      <c r="F10942" s="10"/>
      <c r="J10942" s="25"/>
      <c r="K10942" s="25"/>
      <c r="L10942" s="25"/>
      <c r="M10942" s="25"/>
      <c r="N10942" s="25"/>
      <c r="O10942" s="25"/>
    </row>
    <row r="10943" customFormat="false" ht="13.5" hidden="false" customHeight="true" outlineLevel="0" collapsed="false">
      <c r="B10943" s="10"/>
      <c r="C10943" s="10"/>
      <c r="D10943" s="10"/>
      <c r="E10943" s="10"/>
      <c r="F10943" s="10"/>
      <c r="J10943" s="25"/>
      <c r="K10943" s="25"/>
      <c r="L10943" s="25"/>
      <c r="M10943" s="25"/>
      <c r="N10943" s="25"/>
      <c r="O10943" s="25"/>
    </row>
    <row r="10944" customFormat="false" ht="13.5" hidden="false" customHeight="true" outlineLevel="0" collapsed="false">
      <c r="B10944" s="10"/>
      <c r="C10944" s="10"/>
      <c r="D10944" s="10"/>
      <c r="E10944" s="10"/>
      <c r="F10944" s="10"/>
      <c r="J10944" s="25"/>
      <c r="K10944" s="25"/>
      <c r="L10944" s="25"/>
      <c r="M10944" s="25"/>
      <c r="N10944" s="25"/>
      <c r="O10944" s="25"/>
    </row>
    <row r="10945" customFormat="false" ht="15" hidden="false" customHeight="true" outlineLevel="0" collapsed="false">
      <c r="B10945" s="10"/>
      <c r="C10945" s="10"/>
      <c r="D10945" s="34" t="str">
        <f aca="false">IF($K$10936=0,"",INDEX(Clients!$E$2:$E$501,$K$10936)&amp;"")</f>
        <v/>
      </c>
      <c r="E10945" s="34"/>
      <c r="F10945" s="34"/>
      <c r="J10945" s="25"/>
      <c r="K10945" s="25"/>
      <c r="L10945" s="25"/>
      <c r="M10945" s="25"/>
      <c r="N10945" s="25"/>
      <c r="O10945" s="25"/>
    </row>
    <row r="10946" customFormat="false" ht="15" hidden="false" customHeight="true" outlineLevel="0" collapsed="false">
      <c r="B10946" s="10"/>
      <c r="C10946" s="10"/>
      <c r="D10946" s="35" t="str">
        <f aca="false">IF(IF($K$10936=0,"",INDEX(Clients!$D$2:$D$501,$K$10936)&amp;"")="","","À l'attention de "&amp;TRIM(IF($K$10936=0,"",INDEX(Clients!$B$2:$B$501,$K$10936)&amp;"")&amp;" "&amp;IF($K$10936=0,"",INDEX(Clients!$C$2:$C$501,$K$10936)&amp;"")&amp;" "&amp;IF($K$10936=0,"",INDEX(Clients!$D$2:$D$501,$K$10936)&amp;"")))</f>
        <v/>
      </c>
      <c r="E10946" s="35"/>
      <c r="F10946" s="35"/>
      <c r="J10946" s="25"/>
      <c r="K10946" s="25"/>
      <c r="L10946" s="25"/>
      <c r="M10946" s="25"/>
      <c r="N10946" s="25"/>
      <c r="O10946" s="25"/>
    </row>
    <row r="10947" customFormat="false" ht="15" hidden="false" customHeight="true" outlineLevel="0" collapsed="false">
      <c r="B10947" s="10"/>
      <c r="C10947" s="10"/>
      <c r="D10947" s="35" t="str">
        <f aca="false">IF($K$10936=0,"",INDEX(Clients!$F$2:$F$501,$K$10936)&amp;"")</f>
        <v/>
      </c>
      <c r="E10947" s="35"/>
      <c r="F10947" s="35"/>
      <c r="J10947" s="25"/>
      <c r="K10947" s="25"/>
      <c r="L10947" s="25"/>
      <c r="M10947" s="25"/>
      <c r="N10947" s="25"/>
      <c r="O10947" s="25"/>
    </row>
    <row r="10948" customFormat="false" ht="15" hidden="false" customHeight="true" outlineLevel="0" collapsed="false">
      <c r="B10948" s="10"/>
      <c r="C10948" s="10"/>
      <c r="D10948" s="35" t="str">
        <f aca="false">IF(IF($K$10936=0,"",INDEX(Clients!$G$2:$G$501,$K$10936)&amp;"")="",TRIM(IF($K$10936=0,"",INDEX(Clients!$H$2:$H$501,$K$10936)&amp;"")&amp;" "&amp;UPPER(IF($K$10936=0,"",INDEX(Clients!$I$2:$I$501,$K$10936)&amp;""))),IF($K$10936=0,"",INDEX(Clients!$G$2:$G$501,$K$10936)&amp;""))</f>
        <v/>
      </c>
      <c r="E10948" s="35"/>
      <c r="F10948" s="35"/>
      <c r="J10948" s="25"/>
      <c r="K10948" s="25"/>
      <c r="L10948" s="25"/>
      <c r="M10948" s="25"/>
      <c r="N10948" s="25"/>
      <c r="O10948" s="25"/>
    </row>
    <row r="10949" customFormat="false" ht="15" hidden="false" customHeight="true" outlineLevel="0" collapsed="false">
      <c r="B10949" s="10"/>
      <c r="C10949" s="10"/>
      <c r="D10949" s="35" t="str">
        <f aca="false">IF(IF($K$10936=0,"",INDEX(Clients!$G$2:$G$501,$K$10936)&amp;"")="","",TRIM(IF($K$10936=0,"",INDEX(Clients!$H$2:$H$501,$K$10936)&amp;"")&amp;" "&amp;UPPER(IF($K$10936=0,"",INDEX(Clients!$I$2:$I$501,$K$10936)&amp;""))))</f>
        <v/>
      </c>
      <c r="E10949" s="35"/>
      <c r="F10949" s="35"/>
      <c r="J10949" s="25"/>
      <c r="K10949" s="25"/>
      <c r="L10949" s="25"/>
      <c r="M10949" s="25"/>
      <c r="N10949" s="25"/>
      <c r="O10949" s="25"/>
    </row>
    <row r="10950" customFormat="false" ht="25.5" hidden="false" customHeight="true" outlineLevel="0" collapsed="false">
      <c r="B10950" s="10"/>
      <c r="C10950" s="10"/>
      <c r="D10950" s="10"/>
      <c r="E10950" s="10"/>
      <c r="F10950" s="10"/>
      <c r="J10950" s="25"/>
      <c r="K10950" s="25"/>
      <c r="L10950" s="25"/>
      <c r="M10950" s="25"/>
      <c r="N10950" s="25"/>
      <c r="O10950" s="25"/>
    </row>
    <row r="10951" customFormat="false" ht="15" hidden="false" customHeight="false" outlineLevel="0" collapsed="false">
      <c r="B10951" s="10"/>
      <c r="C10951" s="10"/>
      <c r="D10951" s="36" t="str">
        <f aca="false">Cab_Ville&amp;", le "&amp;DAY(Date_Courrier)&amp;IF(DAY(Date_Courrier)=1,"er","")&amp;" "&amp;INDEX(Liste_Mois,MONTH(Date_Courrier))&amp;" "&amp;YEAR(Date_Courrier)</f>
        <v>Le Plessis-Bouchard, le 22 septembre 2026</v>
      </c>
      <c r="E10951" s="36"/>
      <c r="F10951" s="36"/>
      <c r="J10951" s="25"/>
      <c r="K10951" s="25"/>
      <c r="L10951" s="25"/>
      <c r="M10951" s="25"/>
      <c r="N10951" s="25"/>
      <c r="O10951" s="25"/>
    </row>
    <row r="10952" customFormat="false" ht="19.5" hidden="false" customHeight="true" outlineLevel="0" collapsed="false">
      <c r="B10952" s="10"/>
      <c r="C10952" s="10"/>
      <c r="D10952" s="10"/>
      <c r="E10952" s="10"/>
      <c r="F10952" s="10"/>
      <c r="J10952" s="25"/>
      <c r="K10952" s="25"/>
      <c r="L10952" s="25"/>
      <c r="M10952" s="25"/>
      <c r="N10952" s="25"/>
      <c r="O10952" s="25"/>
    </row>
    <row r="10953" customFormat="false" ht="15" hidden="false" customHeight="false" outlineLevel="0" collapsed="false">
      <c r="B10953" s="34" t="str">
        <f aca="false">SUBSTITUTE(SUBSTITUTE(SUBSTITUTE(SUBSTITUTE(SUBSTITUTE(Txt_Objet,"{cabinet}",Cab_Nom),"{societe}",IF($K$10936=0,"",INDEX(Clients!$E$2:$E$501,$K$10936)&amp;"")),"{date_effet}",$K$10938),"{hausse}",$K$10939),"{civilite}",$K$10937)</f>
        <v>Objet : révision de nos honoraires au 1er janvier 2027</v>
      </c>
      <c r="C10953" s="34"/>
      <c r="D10953" s="34"/>
      <c r="E10953" s="34"/>
      <c r="F10953" s="34"/>
      <c r="J10953" s="25"/>
      <c r="K10953" s="25"/>
      <c r="L10953" s="25"/>
      <c r="M10953" s="25"/>
      <c r="N10953" s="25"/>
      <c r="O10953" s="25"/>
    </row>
    <row r="10954" customFormat="false" ht="13.5" hidden="false" customHeight="true" outlineLevel="0" collapsed="false">
      <c r="B10954" s="10"/>
      <c r="C10954" s="10"/>
      <c r="D10954" s="10"/>
      <c r="E10954" s="10"/>
      <c r="F10954" s="10"/>
      <c r="J10954" s="25"/>
      <c r="K10954" s="25"/>
      <c r="L10954" s="25"/>
      <c r="M10954" s="25"/>
      <c r="N10954" s="25"/>
      <c r="O10954" s="25"/>
    </row>
    <row r="10955" customFormat="false" ht="15" hidden="false" customHeight="false" outlineLevel="0" collapsed="false">
      <c r="B10955" s="10" t="str">
        <f aca="false">$K$10937&amp;","</f>
        <v>Madame, Monsieur,</v>
      </c>
      <c r="C10955" s="10"/>
      <c r="D10955" s="10"/>
      <c r="E10955" s="10"/>
      <c r="F10955" s="10"/>
      <c r="J10955" s="25"/>
      <c r="K10955" s="25"/>
      <c r="L10955" s="25"/>
      <c r="M10955" s="25"/>
      <c r="N10955" s="25"/>
      <c r="O10955" s="25"/>
    </row>
    <row r="10956" customFormat="false" ht="6" hidden="false" customHeight="true" outlineLevel="0" collapsed="false">
      <c r="B10956" s="10"/>
      <c r="C10956" s="10"/>
      <c r="D10956" s="10"/>
      <c r="E10956" s="10"/>
      <c r="F10956" s="10"/>
      <c r="J10956" s="25"/>
      <c r="K10956" s="25"/>
      <c r="L10956" s="25"/>
      <c r="M10956" s="25"/>
      <c r="N10956" s="25"/>
      <c r="O10956" s="25"/>
    </row>
    <row r="10957" customFormat="false" ht="36.75" hidden="false" customHeight="true" outlineLevel="0" collapsed="false">
      <c r="B10957" s="37" t="str">
        <f aca="false">SUBSTITUTE(SUBSTITUTE(SUBSTITUTE(SUBSTITUTE(SUBSTITUTE(Txt_P1,"{cabinet}",Cab_Nom),"{societe}",IF($K$10936=0,"",INDEX(Clients!$E$2:$E$501,$K$10936)&amp;"")),"{date_effet}",$K$10938),"{hausse}",$K$10939),"{civilite}",$K$10937)</f>
        <v>Nous tenons tout d'abord à vous remercier pour la confiance que vous accordez à ALTHO EXPERTISE. Comme chaque année, et conformément aux dispositions de votre lettre de mission, nous procédons à la révision de nos honoraires.</v>
      </c>
      <c r="C10957" s="37"/>
      <c r="D10957" s="37"/>
      <c r="E10957" s="37"/>
      <c r="F10957" s="37"/>
      <c r="J10957" s="25"/>
      <c r="K10957" s="25"/>
      <c r="L10957" s="25"/>
      <c r="M10957" s="25"/>
      <c r="N10957" s="25"/>
      <c r="O10957" s="25"/>
    </row>
    <row r="10958" customFormat="false" ht="49.5" hidden="false" customHeight="true" outlineLevel="0" collapsed="false">
      <c r="B10958" s="37" t="str">
        <f aca="false">SUBSTITUTE(SUBSTITUTE(SUBSTITUTE(SUBSTITUTE(SUBSTITUTE(Txt_P2,"{cabinet}",Cab_Nom),"{societe}",IF($K$10936=0,"",INDEX(Clients!$E$2:$E$501,$K$10936)&amp;"")),"{date_effet}",$K$10938),"{hausse}",$K$10939),"{civilite}",$K$10937)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0958" s="37"/>
      <c r="D10958" s="37"/>
      <c r="E10958" s="37"/>
      <c r="F10958" s="37"/>
      <c r="J10958" s="25"/>
      <c r="K10958" s="25"/>
      <c r="L10958" s="25"/>
      <c r="M10958" s="25"/>
      <c r="N10958" s="25"/>
      <c r="O10958" s="25"/>
    </row>
    <row r="10959" customFormat="false" ht="63" hidden="false" customHeight="true" outlineLevel="0" collapsed="false">
      <c r="B10959" s="37" t="str">
        <f aca="false">SUBSTITUTE(SUBSTITUTE(SUBSTITUTE(SUBSTITUTE(SUBSTITUTE(Txt_P3,"{cabinet}",Cab_Nom),"{societe}",IF($K$10936=0,"",INDEX(Clients!$E$2:$E$501,$K$10936)&amp;"")),"{date_effet}",$K$10938),"{hausse}",$K$10939),"{civilite}",$K$10937)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0959" s="37"/>
      <c r="D10959" s="37"/>
      <c r="E10959" s="37"/>
      <c r="F10959" s="37"/>
      <c r="J10959" s="25"/>
      <c r="K10959" s="25"/>
      <c r="L10959" s="25"/>
      <c r="M10959" s="25"/>
      <c r="N10959" s="25"/>
      <c r="O10959" s="25"/>
    </row>
    <row r="10960" customFormat="false" ht="24" hidden="false" customHeight="true" outlineLevel="0" collapsed="false">
      <c r="B10960" s="37" t="str">
        <f aca="false">SUBSTITUTE(SUBSTITUTE(SUBSTITUTE(SUBSTITUTE(SUBSTITUTE(Txt_P4,"{cabinet}",Cab_Nom),"{societe}",IF($K$10936=0,"",INDEX(Clients!$E$2:$E$501,$K$10936)&amp;"")),"{date_effet}",$K$10938),"{hausse}",$K$10939),"{civilite}",$K$10937)</f>
        <v>À compter du 1er janvier 2027, vos honoraires annuels hors taxes évolueront ainsi (évolution globale : ) :</v>
      </c>
      <c r="C10960" s="37"/>
      <c r="D10960" s="37"/>
      <c r="E10960" s="37"/>
      <c r="F10960" s="37"/>
      <c r="J10960" s="25"/>
      <c r="K10960" s="25"/>
      <c r="L10960" s="25"/>
      <c r="M10960" s="25"/>
      <c r="N10960" s="25"/>
      <c r="O10960" s="25"/>
    </row>
    <row r="10961" customFormat="false" ht="3.75" hidden="false" customHeight="true" outlineLevel="0" collapsed="false">
      <c r="B10961" s="10"/>
      <c r="C10961" s="10"/>
      <c r="D10961" s="10"/>
      <c r="E10961" s="10"/>
      <c r="F10961" s="10"/>
      <c r="J10961" s="25"/>
      <c r="K10961" s="25"/>
      <c r="L10961" s="25"/>
      <c r="M10961" s="25"/>
      <c r="N10961" s="25"/>
      <c r="O10961" s="25"/>
    </row>
    <row r="10962" customFormat="false" ht="18" hidden="false" customHeight="true" outlineLevel="0" collapsed="false">
      <c r="B10962" s="38" t="s">
        <v>148</v>
      </c>
      <c r="C10962" s="39" t="s">
        <v>149</v>
      </c>
      <c r="D10962" s="39" t="s">
        <v>150</v>
      </c>
      <c r="E10962" s="39" t="s">
        <v>151</v>
      </c>
      <c r="F10962" s="39" t="s">
        <v>109</v>
      </c>
      <c r="J10962" s="25" t="s">
        <v>152</v>
      </c>
      <c r="K10962" s="25" t="s">
        <v>153</v>
      </c>
      <c r="L10962" s="25" t="s">
        <v>154</v>
      </c>
      <c r="M10962" s="25" t="s">
        <v>155</v>
      </c>
      <c r="N10962" s="25" t="s">
        <v>156</v>
      </c>
      <c r="O10962" s="25" t="s">
        <v>157</v>
      </c>
    </row>
    <row r="10963" customFormat="false" ht="16.5" hidden="false" customHeight="true" outlineLevel="0" collapsed="false">
      <c r="B10963" s="40" t="str">
        <f aca="false">IFERROR(INDEX($J$10963:$J$10966,MATCH($O10963,$N$10963:$N$10966,0)),"")</f>
        <v/>
      </c>
      <c r="C10963" s="41" t="str">
        <f aca="false">IFERROR(INDEX($K$10963:$K$10966,MATCH($O10963,$N$10963:$N$10966,0)),"")</f>
        <v/>
      </c>
      <c r="D10963" s="42" t="str">
        <f aca="false">IF(OR(E10963="",N(C10963)=0),"",E10963/C10963-1)</f>
        <v/>
      </c>
      <c r="E10963" s="41" t="str">
        <f aca="false">IFERROR(INDEX($L$10963:$L$10966,MATCH($O10963,$N$10963:$N$10966,0)),"")</f>
        <v/>
      </c>
      <c r="F10963" s="41" t="str">
        <f aca="false">IF(E10963="","",E10963-C10963)</f>
        <v/>
      </c>
      <c r="J10963" s="25" t="str">
        <f aca="false">Lib_Compta</f>
        <v>Mission comptable (tenue, révision, bilan, liasse fiscale)</v>
      </c>
      <c r="K10963" s="25" t="n">
        <f aca="false">IF($K$10936=0,0,N(INDEX(Clients!$K$2:$K$501,$K$10936)))</f>
        <v>0</v>
      </c>
      <c r="L10963" s="25" t="n">
        <f aca="false">IF($K$10936=0,0,N(INDEX(Clients!$P$2:$P$501,$K$10936)))</f>
        <v>0</v>
      </c>
      <c r="M10963" s="25" t="n">
        <f aca="false">IF(OR(K10963&lt;&gt;0,L10963&lt;&gt;0),1,0)</f>
        <v>0</v>
      </c>
      <c r="N10963" s="25" t="str">
        <f aca="false">IF(M10963=1,SUM($M$10963:M10963),"")</f>
        <v/>
      </c>
      <c r="O10963" s="25" t="n">
        <v>1</v>
      </c>
    </row>
    <row r="10964" customFormat="false" ht="16.5" hidden="false" customHeight="true" outlineLevel="0" collapsed="false">
      <c r="B10964" s="40" t="str">
        <f aca="false">IFERROR(INDEX($J$10963:$J$10966,MATCH($O10964,$N$10963:$N$10966,0)),"")</f>
        <v/>
      </c>
      <c r="C10964" s="41" t="str">
        <f aca="false">IFERROR(INDEX($K$10963:$K$10966,MATCH($O10964,$N$10963:$N$10966,0)),"")</f>
        <v/>
      </c>
      <c r="D10964" s="42" t="str">
        <f aca="false">IF(OR(E10964="",N(C10964)=0),"",E10964/C10964-1)</f>
        <v/>
      </c>
      <c r="E10964" s="41" t="str">
        <f aca="false">IFERROR(INDEX($L$10963:$L$10966,MATCH($O10964,$N$10963:$N$10966,0)),"")</f>
        <v/>
      </c>
      <c r="F10964" s="41" t="str">
        <f aca="false">IF(E10964="","",E10964-C10964)</f>
        <v/>
      </c>
      <c r="J10964" s="25" t="str">
        <f aca="false">Lib_Paye</f>
        <v>Mission sociale (bulletins de paie, DSN, déclarations sociales)</v>
      </c>
      <c r="K10964" s="25" t="n">
        <f aca="false">IF($K$10936=0,0,N(INDEX(Clients!$L$2:$L$501,$K$10936)))</f>
        <v>0</v>
      </c>
      <c r="L10964" s="25" t="n">
        <f aca="false">IF($K$10936=0,0,N(INDEX(Clients!$Q$2:$Q$501,$K$10936)))</f>
        <v>0</v>
      </c>
      <c r="M10964" s="25" t="n">
        <f aca="false">IF(OR(K10964&lt;&gt;0,L10964&lt;&gt;0),1,0)</f>
        <v>0</v>
      </c>
      <c r="N10964" s="25" t="str">
        <f aca="false">IF(M10964=1,SUM($M$10963:M10964),"")</f>
        <v/>
      </c>
      <c r="O10964" s="25" t="n">
        <v>2</v>
      </c>
    </row>
    <row r="10965" customFormat="false" ht="16.5" hidden="false" customHeight="true" outlineLevel="0" collapsed="false">
      <c r="B10965" s="40" t="str">
        <f aca="false">IFERROR(INDEX($J$10963:$J$10966,MATCH($O10965,$N$10963:$N$10966,0)),"")</f>
        <v/>
      </c>
      <c r="C10965" s="41" t="str">
        <f aca="false">IFERROR(INDEX($K$10963:$K$10966,MATCH($O10965,$N$10963:$N$10966,0)),"")</f>
        <v/>
      </c>
      <c r="D10965" s="42" t="str">
        <f aca="false">IF(OR(E10965="",N(C10965)=0),"",E10965/C10965-1)</f>
        <v/>
      </c>
      <c r="E10965" s="41" t="str">
        <f aca="false">IFERROR(INDEX($L$10963:$L$10966,MATCH($O10965,$N$10963:$N$10966,0)),"")</f>
        <v/>
      </c>
      <c r="F10965" s="41" t="str">
        <f aca="false">IF(E10965="","",E10965-C10965)</f>
        <v/>
      </c>
      <c r="J10965" s="25" t="str">
        <f aca="false">Lib_Jur</f>
        <v>Mission juridique (approbation des comptes, secrétariat juridique)</v>
      </c>
      <c r="K10965" s="25" t="n">
        <f aca="false">IF($K$10936=0,0,N(INDEX(Clients!$M$2:$M$501,$K$10936)))</f>
        <v>0</v>
      </c>
      <c r="L10965" s="25" t="n">
        <f aca="false">IF($K$10936=0,0,N(INDEX(Clients!$R$2:$R$501,$K$10936)))</f>
        <v>0</v>
      </c>
      <c r="M10965" s="25" t="n">
        <f aca="false">IF(OR(K10965&lt;&gt;0,L10965&lt;&gt;0),1,0)</f>
        <v>0</v>
      </c>
      <c r="N10965" s="25" t="str">
        <f aca="false">IF(M10965=1,SUM($M$10963:M10965),"")</f>
        <v/>
      </c>
      <c r="O10965" s="25" t="n">
        <v>3</v>
      </c>
    </row>
    <row r="10966" customFormat="false" ht="16.5" hidden="false" customHeight="true" outlineLevel="0" collapsed="false">
      <c r="B10966" s="40" t="str">
        <f aca="false">IFERROR(INDEX($J$10963:$J$10966,MATCH($O10966,$N$10963:$N$10966,0)),"")</f>
        <v/>
      </c>
      <c r="C10966" s="41" t="str">
        <f aca="false">IFERROR(INDEX($K$10963:$K$10966,MATCH($O10966,$N$10963:$N$10966,0)),"")</f>
        <v/>
      </c>
      <c r="D10966" s="42" t="str">
        <f aca="false">IF(OR(E10966="",N(C10966)=0),"",E10966/C10966-1)</f>
        <v/>
      </c>
      <c r="E10966" s="41" t="str">
        <f aca="false">IFERROR(INDEX($L$10963:$L$10966,MATCH($O10966,$N$10963:$N$10966,0)),"")</f>
        <v/>
      </c>
      <c r="F10966" s="41" t="str">
        <f aca="false">IF(E10966="","",E10966-C10966)</f>
        <v/>
      </c>
      <c r="J10966" s="25" t="str">
        <f aca="false">Lib_PA</f>
        <v>Plateforme agréée – facturation électronique</v>
      </c>
      <c r="K10966" s="25" t="n">
        <f aca="false">IF($K$10936=0,0,N(INDEX(Clients!$N$2:$N$501,$K$10936)))</f>
        <v>0</v>
      </c>
      <c r="L10966" s="25" t="n">
        <f aca="false">IF($K$10936=0,0,N(INDEX(Clients!$S$2:$S$501,$K$10936)))</f>
        <v>0</v>
      </c>
      <c r="M10966" s="25" t="n">
        <f aca="false">IF(OR(K10966&lt;&gt;0,L10966&lt;&gt;0),1,0)</f>
        <v>0</v>
      </c>
      <c r="N10966" s="25" t="str">
        <f aca="false">IF(M10966=1,SUM($M$10963:M10966),"")</f>
        <v/>
      </c>
      <c r="O10966" s="25" t="n">
        <v>4</v>
      </c>
    </row>
    <row r="10967" customFormat="false" ht="18" hidden="false" customHeight="true" outlineLevel="0" collapsed="false">
      <c r="B10967" s="43" t="s">
        <v>158</v>
      </c>
      <c r="C10967" s="44" t="n">
        <f aca="false">SUM(K10963:K10966)</f>
        <v>0</v>
      </c>
      <c r="D10967" s="45" t="str">
        <f aca="false">IF(N(C10967)=0,"",E10967/C10967-1)</f>
        <v/>
      </c>
      <c r="E10967" s="44" t="n">
        <f aca="false">SUM(L10963:L10966)</f>
        <v>0</v>
      </c>
      <c r="F10967" s="44" t="n">
        <f aca="false">E10967-C10967</f>
        <v>0</v>
      </c>
    </row>
    <row r="10968" customFormat="false" ht="15" hidden="false" customHeight="false" outlineLevel="0" collapsed="false">
      <c r="B10968" s="46" t="str">
        <f aca="false">IF(N(Nb_Mensualites)=0,"","Soit "&amp;FIXED(E10967/Nb_Mensualites,2)&amp;" € HT par échéance ("&amp;Nb_Mensualites&amp;" échéances), "&amp;FIXED(E10967/Nb_Mensualites*(1+Taux_TVA),2)&amp;" € TTC.")</f>
        <v>Soit 0.00 € HT par échéance (12 échéances), 0.00 € TTC.</v>
      </c>
      <c r="C10968" s="46"/>
      <c r="D10968" s="46"/>
      <c r="E10968" s="46"/>
      <c r="F10968" s="46"/>
    </row>
    <row r="10969" customFormat="false" ht="7.5" hidden="false" customHeight="true" outlineLevel="0" collapsed="false">
      <c r="B10969" s="10"/>
      <c r="C10969" s="10"/>
      <c r="D10969" s="10"/>
      <c r="E10969" s="10"/>
      <c r="F10969" s="10"/>
    </row>
    <row r="10970" customFormat="false" ht="36.75" hidden="false" customHeight="true" outlineLevel="0" collapsed="false">
      <c r="B10970" s="37" t="str">
        <f aca="false">SUBSTITUTE(SUBSTITUTE(SUBSTITUTE(SUBSTITUTE(SUBSTITUTE(Txt_P5,"{cabinet}",Cab_Nom),"{societe}",IF($K$10936=0,"",INDEX(Clients!$E$2:$E$501,$K$10936)&amp;"")),"{date_effet}",$K$10938),"{hausse}",$K$10939),"{civilite}",$K$10937)</f>
        <v>Les autres conditions de votre lettre de mission demeurent inchangées. Les nouveaux montants seront appliqués automatiquement sur vos prochaines factures et échéances de prélèvement.</v>
      </c>
      <c r="C10970" s="37"/>
      <c r="D10970" s="37"/>
      <c r="E10970" s="37"/>
      <c r="F10970" s="37"/>
    </row>
    <row r="10971" customFormat="false" ht="36.75" hidden="false" customHeight="true" outlineLevel="0" collapsed="false">
      <c r="B10971" s="37" t="str">
        <f aca="false">SUBSTITUTE(SUBSTITUTE(SUBSTITUTE(SUBSTITUTE(SUBSTITUTE(Txt_P6,"{cabinet}",Cab_Nom),"{societe}",IF($K$10936=0,"",INDEX(Clients!$E$2:$E$501,$K$10936)&amp;"")),"{date_effet}",$K$10938),"{hausse}",$K$10939),"{civilite}",$K$10937)</f>
        <v>Votre interlocuteur habituel reste à votre entière disposition pour répondre à vos questions et faire le point sur l'évolution de vos besoins.</v>
      </c>
      <c r="C10971" s="37"/>
      <c r="D10971" s="37"/>
      <c r="E10971" s="37"/>
      <c r="F10971" s="37"/>
    </row>
    <row r="10972" customFormat="false" ht="24" hidden="false" customHeight="true" outlineLevel="0" collapsed="false">
      <c r="B10972" s="37" t="str">
        <f aca="false">SUBSTITUTE(SUBSTITUTE(SUBSTITUTE(SUBSTITUTE(SUBSTITUTE(Txt_Politesse,"{cabinet}",Cab_Nom),"{societe}",IF($K$10936=0,"",INDEX(Clients!$E$2:$E$501,$K$10936)&amp;"")),"{date_effet}",$K$10938),"{hausse}",$K$10939),"{civilite}",$K$10937)</f>
        <v>Nous vous prions d'agréer, Madame, Monsieur, l'expression de nos salutations distinguées.</v>
      </c>
      <c r="C10972" s="37"/>
      <c r="D10972" s="37"/>
      <c r="E10972" s="37"/>
      <c r="F10972" s="37"/>
    </row>
    <row r="10973" customFormat="false" ht="15" hidden="false" customHeight="false" outlineLevel="0" collapsed="false">
      <c r="B10973" s="10"/>
      <c r="C10973" s="10"/>
      <c r="D10973" s="10"/>
      <c r="E10973" s="10"/>
      <c r="F10973" s="10"/>
    </row>
    <row r="10974" customFormat="false" ht="15" hidden="false" customHeight="false" outlineLevel="0" collapsed="false">
      <c r="B10974" s="10"/>
      <c r="C10974" s="10"/>
      <c r="D10974" s="34" t="str">
        <f aca="false">Signataire</f>
        <v>Prénom NOM</v>
      </c>
      <c r="E10974" s="34"/>
      <c r="F10974" s="34"/>
    </row>
    <row r="10975" customFormat="false" ht="15" hidden="false" customHeight="false" outlineLevel="0" collapsed="false">
      <c r="B10975" s="10"/>
      <c r="C10975" s="10"/>
      <c r="D10975" s="47" t="str">
        <f aca="false">Signataire_Titre</f>
        <v>Expert-comptable associé</v>
      </c>
      <c r="E10975" s="47"/>
      <c r="F10975" s="47"/>
    </row>
    <row r="10976" customFormat="false" ht="15.75" hidden="false" customHeight="true" outlineLevel="0" collapsed="false">
      <c r="B10976" s="10"/>
      <c r="C10976" s="10"/>
      <c r="D10976" s="10"/>
      <c r="E10976" s="10"/>
      <c r="F10976" s="10"/>
    </row>
    <row r="10977" customFormat="false" ht="15.75" hidden="false" customHeight="true" outlineLevel="0" collapsed="false">
      <c r="B10977" s="10"/>
      <c r="C10977" s="10"/>
      <c r="D10977" s="10"/>
      <c r="E10977" s="10"/>
      <c r="F10977" s="10"/>
    </row>
    <row r="10978" customFormat="false" ht="15.75" hidden="false" customHeight="true" outlineLevel="0" collapsed="false">
      <c r="B10978" s="10"/>
      <c r="C10978" s="10"/>
      <c r="D10978" s="10"/>
      <c r="E10978" s="10"/>
      <c r="F10978" s="10"/>
    </row>
    <row r="10979" customFormat="false" ht="15.75" hidden="false" customHeight="true" outlineLevel="0" collapsed="false">
      <c r="B10979" s="10"/>
      <c r="C10979" s="10"/>
      <c r="D10979" s="10"/>
      <c r="E10979" s="10"/>
      <c r="F10979" s="10"/>
    </row>
    <row r="10980" customFormat="false" ht="24" hidden="false" customHeight="true" outlineLevel="0" collapsed="false">
      <c r="B10980" s="48" t="str">
        <f aca="false">Cab_Mentions</f>
        <v>ALTHO EXPERTISE · SAS au capital de 10 000 € · RCS Pontoise 919 706 325 · TVA FR62919706325 · Société d'expertise comptable inscrite au Tableau de l'Ordre des experts-comptables de Paris Île-de-France</v>
      </c>
      <c r="C10980" s="48"/>
      <c r="D10980" s="48"/>
      <c r="E10980" s="48"/>
      <c r="F10980" s="48"/>
    </row>
    <row r="10981" customFormat="false" ht="15" hidden="false" customHeight="false" outlineLevel="0" collapsed="false">
      <c r="B10981" s="10"/>
      <c r="C10981" s="10"/>
      <c r="D10981" s="10"/>
      <c r="E10981" s="10"/>
      <c r="F10981" s="10"/>
      <c r="J10981" s="25" t="s">
        <v>142</v>
      </c>
      <c r="K10981" s="25" t="n">
        <f aca="false">IFERROR(MATCH(245,Clients!$Z$2:$Z$501,0),0)</f>
        <v>0</v>
      </c>
      <c r="L10981" s="25"/>
      <c r="M10981" s="25"/>
      <c r="N10981" s="25"/>
      <c r="O10981" s="25"/>
    </row>
    <row r="10982" customFormat="false" ht="21.75" hidden="false" customHeight="true" outlineLevel="0" collapsed="false">
      <c r="B10982" s="26" t="str">
        <f aca="false">Cab_Nom</f>
        <v>ALTHO EXPERTISE</v>
      </c>
      <c r="C10982" s="26"/>
      <c r="D10982" s="10"/>
      <c r="E10982" s="27" t="str">
        <f aca="false">IF($K$10981=0,"","Réf. client : "&amp;INDEX(Clients!$A$2:$A$501,$K$10981))</f>
        <v/>
      </c>
      <c r="F10982" s="27"/>
      <c r="J10982" s="25" t="s">
        <v>144</v>
      </c>
      <c r="K10982" s="25" t="str">
        <f aca="false">IF(IF($K$10981=0,"",INDEX(Clients!$B$2:$B$501,$K$10981)&amp;"")="Mme","Madame",IF(IF($K$10981=0,"",INDEX(Clients!$B$2:$B$501,$K$10981)&amp;"")="M.","Monsieur","Madame, Monsieur"))</f>
        <v>Madame, Monsieur</v>
      </c>
      <c r="L10982" s="25"/>
      <c r="M10982" s="25"/>
      <c r="N10982" s="25"/>
      <c r="O10982" s="25"/>
    </row>
    <row r="10983" customFormat="false" ht="15" hidden="false" customHeight="false" outlineLevel="0" collapsed="false">
      <c r="B10983" s="29" t="str">
        <f aca="false">Cab_Adr1</f>
        <v>141 rue Charles de Gaulle</v>
      </c>
      <c r="C10983" s="29"/>
      <c r="D10983" s="10"/>
      <c r="E10983" s="10"/>
      <c r="F10983" s="10"/>
      <c r="J10983" s="25" t="s">
        <v>145</v>
      </c>
      <c r="K10983" s="25" t="str">
        <f aca="false">DAY(Date_Effet)&amp;IF(DAY(Date_Effet)=1,"er","")&amp;" "&amp;INDEX(Liste_Mois,MONTH(Date_Effet))&amp;" "&amp;YEAR(Date_Effet)</f>
        <v>1er janvier 2027</v>
      </c>
      <c r="L10983" s="25"/>
      <c r="M10983" s="25"/>
      <c r="N10983" s="25"/>
      <c r="O10983" s="25"/>
    </row>
    <row r="10984" customFormat="false" ht="15" hidden="false" customHeight="false" outlineLevel="0" collapsed="false">
      <c r="B10984" s="29" t="str">
        <f aca="false">Cab_CPVille</f>
        <v>95130 LE PLESSIS-BOUCHARD</v>
      </c>
      <c r="C10984" s="29"/>
      <c r="D10984" s="10"/>
      <c r="E10984" s="10"/>
      <c r="F10984" s="10"/>
      <c r="J10984" s="25" t="s">
        <v>146</v>
      </c>
      <c r="K10984" s="25" t="str">
        <f aca="false">IF(SUM($K$11008:$K$11011)=0,"",FIXED((SUM($L$11008:$L$11011)/SUM($K$11008:$K$11011)-1)*100,1)&amp;" %")</f>
        <v/>
      </c>
      <c r="L10984" s="25"/>
      <c r="M10984" s="25"/>
      <c r="N10984" s="25"/>
      <c r="O10984" s="25"/>
    </row>
    <row r="10985" customFormat="false" ht="15" hidden="false" customHeight="false" outlineLevel="0" collapsed="false">
      <c r="B10985" s="29" t="str">
        <f aca="false">Cab_Contact</f>
        <v>Tél. 01 34 14 53 45  ·  altho@altho-experts.com  ·  altho-experts.com</v>
      </c>
      <c r="C10985" s="29"/>
      <c r="D10985" s="10"/>
      <c r="E10985" s="10"/>
      <c r="F10985" s="10"/>
      <c r="J10985" s="25"/>
      <c r="K10985" s="25"/>
      <c r="L10985" s="25"/>
      <c r="M10985" s="25"/>
      <c r="N10985" s="25"/>
      <c r="O10985" s="25"/>
    </row>
    <row r="10986" customFormat="false" ht="6" hidden="false" customHeight="true" outlineLevel="0" collapsed="false">
      <c r="B10986" s="32"/>
      <c r="C10986" s="32"/>
      <c r="D10986" s="32"/>
      <c r="E10986" s="32"/>
      <c r="F10986" s="32"/>
      <c r="J10986" s="25"/>
      <c r="K10986" s="25"/>
      <c r="L10986" s="25"/>
      <c r="M10986" s="25"/>
      <c r="N10986" s="25"/>
      <c r="O10986" s="25"/>
    </row>
    <row r="10987" customFormat="false" ht="13.5" hidden="false" customHeight="true" outlineLevel="0" collapsed="false">
      <c r="B10987" s="10"/>
      <c r="C10987" s="10"/>
      <c r="D10987" s="10"/>
      <c r="E10987" s="10"/>
      <c r="F10987" s="10"/>
      <c r="J10987" s="25"/>
      <c r="K10987" s="25"/>
      <c r="L10987" s="25"/>
      <c r="M10987" s="25"/>
      <c r="N10987" s="25"/>
      <c r="O10987" s="25"/>
    </row>
    <row r="10988" customFormat="false" ht="13.5" hidden="false" customHeight="true" outlineLevel="0" collapsed="false">
      <c r="B10988" s="10"/>
      <c r="C10988" s="10"/>
      <c r="D10988" s="10"/>
      <c r="E10988" s="10"/>
      <c r="F10988" s="10"/>
      <c r="J10988" s="25"/>
      <c r="K10988" s="25"/>
      <c r="L10988" s="25"/>
      <c r="M10988" s="25"/>
      <c r="N10988" s="25"/>
      <c r="O10988" s="25"/>
    </row>
    <row r="10989" customFormat="false" ht="13.5" hidden="false" customHeight="true" outlineLevel="0" collapsed="false">
      <c r="B10989" s="10"/>
      <c r="C10989" s="10"/>
      <c r="D10989" s="10"/>
      <c r="E10989" s="10"/>
      <c r="F10989" s="10"/>
      <c r="J10989" s="25"/>
      <c r="K10989" s="25"/>
      <c r="L10989" s="25"/>
      <c r="M10989" s="25"/>
      <c r="N10989" s="25"/>
      <c r="O10989" s="25"/>
    </row>
    <row r="10990" customFormat="false" ht="15" hidden="false" customHeight="true" outlineLevel="0" collapsed="false">
      <c r="B10990" s="10"/>
      <c r="C10990" s="10"/>
      <c r="D10990" s="34" t="str">
        <f aca="false">IF($K$10981=0,"",INDEX(Clients!$E$2:$E$501,$K$10981)&amp;"")</f>
        <v/>
      </c>
      <c r="E10990" s="34"/>
      <c r="F10990" s="34"/>
      <c r="J10990" s="25"/>
      <c r="K10990" s="25"/>
      <c r="L10990" s="25"/>
      <c r="M10990" s="25"/>
      <c r="N10990" s="25"/>
      <c r="O10990" s="25"/>
    </row>
    <row r="10991" customFormat="false" ht="15" hidden="false" customHeight="true" outlineLevel="0" collapsed="false">
      <c r="B10991" s="10"/>
      <c r="C10991" s="10"/>
      <c r="D10991" s="35" t="str">
        <f aca="false">IF(IF($K$10981=0,"",INDEX(Clients!$D$2:$D$501,$K$10981)&amp;"")="","","À l'attention de "&amp;TRIM(IF($K$10981=0,"",INDEX(Clients!$B$2:$B$501,$K$10981)&amp;"")&amp;" "&amp;IF($K$10981=0,"",INDEX(Clients!$C$2:$C$501,$K$10981)&amp;"")&amp;" "&amp;IF($K$10981=0,"",INDEX(Clients!$D$2:$D$501,$K$10981)&amp;"")))</f>
        <v/>
      </c>
      <c r="E10991" s="35"/>
      <c r="F10991" s="35"/>
      <c r="J10991" s="25"/>
      <c r="K10991" s="25"/>
      <c r="L10991" s="25"/>
      <c r="M10991" s="25"/>
      <c r="N10991" s="25"/>
      <c r="O10991" s="25"/>
    </row>
    <row r="10992" customFormat="false" ht="15" hidden="false" customHeight="true" outlineLevel="0" collapsed="false">
      <c r="B10992" s="10"/>
      <c r="C10992" s="10"/>
      <c r="D10992" s="35" t="str">
        <f aca="false">IF($K$10981=0,"",INDEX(Clients!$F$2:$F$501,$K$10981)&amp;"")</f>
        <v/>
      </c>
      <c r="E10992" s="35"/>
      <c r="F10992" s="35"/>
      <c r="J10992" s="25"/>
      <c r="K10992" s="25"/>
      <c r="L10992" s="25"/>
      <c r="M10992" s="25"/>
      <c r="N10992" s="25"/>
      <c r="O10992" s="25"/>
    </row>
    <row r="10993" customFormat="false" ht="15" hidden="false" customHeight="true" outlineLevel="0" collapsed="false">
      <c r="B10993" s="10"/>
      <c r="C10993" s="10"/>
      <c r="D10993" s="35" t="str">
        <f aca="false">IF(IF($K$10981=0,"",INDEX(Clients!$G$2:$G$501,$K$10981)&amp;"")="",TRIM(IF($K$10981=0,"",INDEX(Clients!$H$2:$H$501,$K$10981)&amp;"")&amp;" "&amp;UPPER(IF($K$10981=0,"",INDEX(Clients!$I$2:$I$501,$K$10981)&amp;""))),IF($K$10981=0,"",INDEX(Clients!$G$2:$G$501,$K$10981)&amp;""))</f>
        <v/>
      </c>
      <c r="E10993" s="35"/>
      <c r="F10993" s="35"/>
      <c r="J10993" s="25"/>
      <c r="K10993" s="25"/>
      <c r="L10993" s="25"/>
      <c r="M10993" s="25"/>
      <c r="N10993" s="25"/>
      <c r="O10993" s="25"/>
    </row>
    <row r="10994" customFormat="false" ht="15" hidden="false" customHeight="true" outlineLevel="0" collapsed="false">
      <c r="B10994" s="10"/>
      <c r="C10994" s="10"/>
      <c r="D10994" s="35" t="str">
        <f aca="false">IF(IF($K$10981=0,"",INDEX(Clients!$G$2:$G$501,$K$10981)&amp;"")="","",TRIM(IF($K$10981=0,"",INDEX(Clients!$H$2:$H$501,$K$10981)&amp;"")&amp;" "&amp;UPPER(IF($K$10981=0,"",INDEX(Clients!$I$2:$I$501,$K$10981)&amp;""))))</f>
        <v/>
      </c>
      <c r="E10994" s="35"/>
      <c r="F10994" s="35"/>
      <c r="J10994" s="25"/>
      <c r="K10994" s="25"/>
      <c r="L10994" s="25"/>
      <c r="M10994" s="25"/>
      <c r="N10994" s="25"/>
      <c r="O10994" s="25"/>
    </row>
    <row r="10995" customFormat="false" ht="25.5" hidden="false" customHeight="true" outlineLevel="0" collapsed="false">
      <c r="B10995" s="10"/>
      <c r="C10995" s="10"/>
      <c r="D10995" s="10"/>
      <c r="E10995" s="10"/>
      <c r="F10995" s="10"/>
      <c r="J10995" s="25"/>
      <c r="K10995" s="25"/>
      <c r="L10995" s="25"/>
      <c r="M10995" s="25"/>
      <c r="N10995" s="25"/>
      <c r="O10995" s="25"/>
    </row>
    <row r="10996" customFormat="false" ht="15" hidden="false" customHeight="false" outlineLevel="0" collapsed="false">
      <c r="B10996" s="10"/>
      <c r="C10996" s="10"/>
      <c r="D10996" s="36" t="str">
        <f aca="false">Cab_Ville&amp;", le "&amp;DAY(Date_Courrier)&amp;IF(DAY(Date_Courrier)=1,"er","")&amp;" "&amp;INDEX(Liste_Mois,MONTH(Date_Courrier))&amp;" "&amp;YEAR(Date_Courrier)</f>
        <v>Le Plessis-Bouchard, le 22 septembre 2026</v>
      </c>
      <c r="E10996" s="36"/>
      <c r="F10996" s="36"/>
      <c r="J10996" s="25"/>
      <c r="K10996" s="25"/>
      <c r="L10996" s="25"/>
      <c r="M10996" s="25"/>
      <c r="N10996" s="25"/>
      <c r="O10996" s="25"/>
    </row>
    <row r="10997" customFormat="false" ht="19.5" hidden="false" customHeight="true" outlineLevel="0" collapsed="false">
      <c r="B10997" s="10"/>
      <c r="C10997" s="10"/>
      <c r="D10997" s="10"/>
      <c r="E10997" s="10"/>
      <c r="F10997" s="10"/>
      <c r="J10997" s="25"/>
      <c r="K10997" s="25"/>
      <c r="L10997" s="25"/>
      <c r="M10997" s="25"/>
      <c r="N10997" s="25"/>
      <c r="O10997" s="25"/>
    </row>
    <row r="10998" customFormat="false" ht="15" hidden="false" customHeight="false" outlineLevel="0" collapsed="false">
      <c r="B10998" s="34" t="str">
        <f aca="false">SUBSTITUTE(SUBSTITUTE(SUBSTITUTE(SUBSTITUTE(SUBSTITUTE(Txt_Objet,"{cabinet}",Cab_Nom),"{societe}",IF($K$10981=0,"",INDEX(Clients!$E$2:$E$501,$K$10981)&amp;"")),"{date_effet}",$K$10983),"{hausse}",$K$10984),"{civilite}",$K$10982)</f>
        <v>Objet : révision de nos honoraires au 1er janvier 2027</v>
      </c>
      <c r="C10998" s="34"/>
      <c r="D10998" s="34"/>
      <c r="E10998" s="34"/>
      <c r="F10998" s="34"/>
      <c r="J10998" s="25"/>
      <c r="K10998" s="25"/>
      <c r="L10998" s="25"/>
      <c r="M10998" s="25"/>
      <c r="N10998" s="25"/>
      <c r="O10998" s="25"/>
    </row>
    <row r="10999" customFormat="false" ht="13.5" hidden="false" customHeight="true" outlineLevel="0" collapsed="false">
      <c r="B10999" s="10"/>
      <c r="C10999" s="10"/>
      <c r="D10999" s="10"/>
      <c r="E10999" s="10"/>
      <c r="F10999" s="10"/>
      <c r="J10999" s="25"/>
      <c r="K10999" s="25"/>
      <c r="L10999" s="25"/>
      <c r="M10999" s="25"/>
      <c r="N10999" s="25"/>
      <c r="O10999" s="25"/>
    </row>
    <row r="11000" customFormat="false" ht="15" hidden="false" customHeight="false" outlineLevel="0" collapsed="false">
      <c r="B11000" s="10" t="str">
        <f aca="false">$K$10982&amp;","</f>
        <v>Madame, Monsieur,</v>
      </c>
      <c r="C11000" s="10"/>
      <c r="D11000" s="10"/>
      <c r="E11000" s="10"/>
      <c r="F11000" s="10"/>
      <c r="J11000" s="25"/>
      <c r="K11000" s="25"/>
      <c r="L11000" s="25"/>
      <c r="M11000" s="25"/>
      <c r="N11000" s="25"/>
      <c r="O11000" s="25"/>
    </row>
    <row r="11001" customFormat="false" ht="6" hidden="false" customHeight="true" outlineLevel="0" collapsed="false">
      <c r="B11001" s="10"/>
      <c r="C11001" s="10"/>
      <c r="D11001" s="10"/>
      <c r="E11001" s="10"/>
      <c r="F11001" s="10"/>
      <c r="J11001" s="25"/>
      <c r="K11001" s="25"/>
      <c r="L11001" s="25"/>
      <c r="M11001" s="25"/>
      <c r="N11001" s="25"/>
      <c r="O11001" s="25"/>
    </row>
    <row r="11002" customFormat="false" ht="36.75" hidden="false" customHeight="true" outlineLevel="0" collapsed="false">
      <c r="B11002" s="37" t="str">
        <f aca="false">SUBSTITUTE(SUBSTITUTE(SUBSTITUTE(SUBSTITUTE(SUBSTITUTE(Txt_P1,"{cabinet}",Cab_Nom),"{societe}",IF($K$10981=0,"",INDEX(Clients!$E$2:$E$501,$K$10981)&amp;"")),"{date_effet}",$K$10983),"{hausse}",$K$10984),"{civilite}",$K$10982)</f>
        <v>Nous tenons tout d'abord à vous remercier pour la confiance que vous accordez à ALTHO EXPERTISE. Comme chaque année, et conformément aux dispositions de votre lettre de mission, nous procédons à la révision de nos honoraires.</v>
      </c>
      <c r="C11002" s="37"/>
      <c r="D11002" s="37"/>
      <c r="E11002" s="37"/>
      <c r="F11002" s="37"/>
      <c r="J11002" s="25"/>
      <c r="K11002" s="25"/>
      <c r="L11002" s="25"/>
      <c r="M11002" s="25"/>
      <c r="N11002" s="25"/>
      <c r="O11002" s="25"/>
    </row>
    <row r="11003" customFormat="false" ht="49.5" hidden="false" customHeight="true" outlineLevel="0" collapsed="false">
      <c r="B11003" s="37" t="str">
        <f aca="false">SUBSTITUTE(SUBSTITUTE(SUBSTITUTE(SUBSTITUTE(SUBSTITUTE(Txt_P2,"{cabinet}",Cab_Nom),"{societe}",IF($K$10981=0,"",INDEX(Clients!$E$2:$E$501,$K$10981)&amp;"")),"{date_effet}",$K$10983),"{hausse}",$K$10984),"{civilite}",$K$10982)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003" s="37"/>
      <c r="D11003" s="37"/>
      <c r="E11003" s="37"/>
      <c r="F11003" s="37"/>
      <c r="J11003" s="25"/>
      <c r="K11003" s="25"/>
      <c r="L11003" s="25"/>
      <c r="M11003" s="25"/>
      <c r="N11003" s="25"/>
      <c r="O11003" s="25"/>
    </row>
    <row r="11004" customFormat="false" ht="63" hidden="false" customHeight="true" outlineLevel="0" collapsed="false">
      <c r="B11004" s="37" t="str">
        <f aca="false">SUBSTITUTE(SUBSTITUTE(SUBSTITUTE(SUBSTITUTE(SUBSTITUTE(Txt_P3,"{cabinet}",Cab_Nom),"{societe}",IF($K$10981=0,"",INDEX(Clients!$E$2:$E$501,$K$10981)&amp;"")),"{date_effet}",$K$10983),"{hausse}",$K$10984),"{civilite}",$K$10982)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004" s="37"/>
      <c r="D11004" s="37"/>
      <c r="E11004" s="37"/>
      <c r="F11004" s="37"/>
      <c r="J11004" s="25"/>
      <c r="K11004" s="25"/>
      <c r="L11004" s="25"/>
      <c r="M11004" s="25"/>
      <c r="N11004" s="25"/>
      <c r="O11004" s="25"/>
    </row>
    <row r="11005" customFormat="false" ht="24" hidden="false" customHeight="true" outlineLevel="0" collapsed="false">
      <c r="B11005" s="37" t="str">
        <f aca="false">SUBSTITUTE(SUBSTITUTE(SUBSTITUTE(SUBSTITUTE(SUBSTITUTE(Txt_P4,"{cabinet}",Cab_Nom),"{societe}",IF($K$10981=0,"",INDEX(Clients!$E$2:$E$501,$K$10981)&amp;"")),"{date_effet}",$K$10983),"{hausse}",$K$10984),"{civilite}",$K$10982)</f>
        <v>À compter du 1er janvier 2027, vos honoraires annuels hors taxes évolueront ainsi (évolution globale : ) :</v>
      </c>
      <c r="C11005" s="37"/>
      <c r="D11005" s="37"/>
      <c r="E11005" s="37"/>
      <c r="F11005" s="37"/>
      <c r="J11005" s="25"/>
      <c r="K11005" s="25"/>
      <c r="L11005" s="25"/>
      <c r="M11005" s="25"/>
      <c r="N11005" s="25"/>
      <c r="O11005" s="25"/>
    </row>
    <row r="11006" customFormat="false" ht="3.75" hidden="false" customHeight="true" outlineLevel="0" collapsed="false">
      <c r="B11006" s="10"/>
      <c r="C11006" s="10"/>
      <c r="D11006" s="10"/>
      <c r="E11006" s="10"/>
      <c r="F11006" s="10"/>
      <c r="J11006" s="25"/>
      <c r="K11006" s="25"/>
      <c r="L11006" s="25"/>
      <c r="M11006" s="25"/>
      <c r="N11006" s="25"/>
      <c r="O11006" s="25"/>
    </row>
    <row r="11007" customFormat="false" ht="18" hidden="false" customHeight="true" outlineLevel="0" collapsed="false">
      <c r="B11007" s="38" t="s">
        <v>148</v>
      </c>
      <c r="C11007" s="39" t="s">
        <v>149</v>
      </c>
      <c r="D11007" s="39" t="s">
        <v>150</v>
      </c>
      <c r="E11007" s="39" t="s">
        <v>151</v>
      </c>
      <c r="F11007" s="39" t="s">
        <v>109</v>
      </c>
      <c r="J11007" s="25" t="s">
        <v>152</v>
      </c>
      <c r="K11007" s="25" t="s">
        <v>153</v>
      </c>
      <c r="L11007" s="25" t="s">
        <v>154</v>
      </c>
      <c r="M11007" s="25" t="s">
        <v>155</v>
      </c>
      <c r="N11007" s="25" t="s">
        <v>156</v>
      </c>
      <c r="O11007" s="25" t="s">
        <v>157</v>
      </c>
    </row>
    <row r="11008" customFormat="false" ht="16.5" hidden="false" customHeight="true" outlineLevel="0" collapsed="false">
      <c r="B11008" s="40" t="str">
        <f aca="false">IFERROR(INDEX($J$11008:$J$11011,MATCH($O11008,$N$11008:$N$11011,0)),"")</f>
        <v/>
      </c>
      <c r="C11008" s="41" t="str">
        <f aca="false">IFERROR(INDEX($K$11008:$K$11011,MATCH($O11008,$N$11008:$N$11011,0)),"")</f>
        <v/>
      </c>
      <c r="D11008" s="42" t="str">
        <f aca="false">IF(OR(E11008="",N(C11008)=0),"",E11008/C11008-1)</f>
        <v/>
      </c>
      <c r="E11008" s="41" t="str">
        <f aca="false">IFERROR(INDEX($L$11008:$L$11011,MATCH($O11008,$N$11008:$N$11011,0)),"")</f>
        <v/>
      </c>
      <c r="F11008" s="41" t="str">
        <f aca="false">IF(E11008="","",E11008-C11008)</f>
        <v/>
      </c>
      <c r="J11008" s="25" t="str">
        <f aca="false">Lib_Compta</f>
        <v>Mission comptable (tenue, révision, bilan, liasse fiscale)</v>
      </c>
      <c r="K11008" s="25" t="n">
        <f aca="false">IF($K$10981=0,0,N(INDEX(Clients!$K$2:$K$501,$K$10981)))</f>
        <v>0</v>
      </c>
      <c r="L11008" s="25" t="n">
        <f aca="false">IF($K$10981=0,0,N(INDEX(Clients!$P$2:$P$501,$K$10981)))</f>
        <v>0</v>
      </c>
      <c r="M11008" s="25" t="n">
        <f aca="false">IF(OR(K11008&lt;&gt;0,L11008&lt;&gt;0),1,0)</f>
        <v>0</v>
      </c>
      <c r="N11008" s="25" t="str">
        <f aca="false">IF(M11008=1,SUM($M$11008:M11008),"")</f>
        <v/>
      </c>
      <c r="O11008" s="25" t="n">
        <v>1</v>
      </c>
    </row>
    <row r="11009" customFormat="false" ht="16.5" hidden="false" customHeight="true" outlineLevel="0" collapsed="false">
      <c r="B11009" s="40" t="str">
        <f aca="false">IFERROR(INDEX($J$11008:$J$11011,MATCH($O11009,$N$11008:$N$11011,0)),"")</f>
        <v/>
      </c>
      <c r="C11009" s="41" t="str">
        <f aca="false">IFERROR(INDEX($K$11008:$K$11011,MATCH($O11009,$N$11008:$N$11011,0)),"")</f>
        <v/>
      </c>
      <c r="D11009" s="42" t="str">
        <f aca="false">IF(OR(E11009="",N(C11009)=0),"",E11009/C11009-1)</f>
        <v/>
      </c>
      <c r="E11009" s="41" t="str">
        <f aca="false">IFERROR(INDEX($L$11008:$L$11011,MATCH($O11009,$N$11008:$N$11011,0)),"")</f>
        <v/>
      </c>
      <c r="F11009" s="41" t="str">
        <f aca="false">IF(E11009="","",E11009-C11009)</f>
        <v/>
      </c>
      <c r="J11009" s="25" t="str">
        <f aca="false">Lib_Paye</f>
        <v>Mission sociale (bulletins de paie, DSN, déclarations sociales)</v>
      </c>
      <c r="K11009" s="25" t="n">
        <f aca="false">IF($K$10981=0,0,N(INDEX(Clients!$L$2:$L$501,$K$10981)))</f>
        <v>0</v>
      </c>
      <c r="L11009" s="25" t="n">
        <f aca="false">IF($K$10981=0,0,N(INDEX(Clients!$Q$2:$Q$501,$K$10981)))</f>
        <v>0</v>
      </c>
      <c r="M11009" s="25" t="n">
        <f aca="false">IF(OR(K11009&lt;&gt;0,L11009&lt;&gt;0),1,0)</f>
        <v>0</v>
      </c>
      <c r="N11009" s="25" t="str">
        <f aca="false">IF(M11009=1,SUM($M$11008:M11009),"")</f>
        <v/>
      </c>
      <c r="O11009" s="25" t="n">
        <v>2</v>
      </c>
    </row>
    <row r="11010" customFormat="false" ht="16.5" hidden="false" customHeight="true" outlineLevel="0" collapsed="false">
      <c r="B11010" s="40" t="str">
        <f aca="false">IFERROR(INDEX($J$11008:$J$11011,MATCH($O11010,$N$11008:$N$11011,0)),"")</f>
        <v/>
      </c>
      <c r="C11010" s="41" t="str">
        <f aca="false">IFERROR(INDEX($K$11008:$K$11011,MATCH($O11010,$N$11008:$N$11011,0)),"")</f>
        <v/>
      </c>
      <c r="D11010" s="42" t="str">
        <f aca="false">IF(OR(E11010="",N(C11010)=0),"",E11010/C11010-1)</f>
        <v/>
      </c>
      <c r="E11010" s="41" t="str">
        <f aca="false">IFERROR(INDEX($L$11008:$L$11011,MATCH($O11010,$N$11008:$N$11011,0)),"")</f>
        <v/>
      </c>
      <c r="F11010" s="41" t="str">
        <f aca="false">IF(E11010="","",E11010-C11010)</f>
        <v/>
      </c>
      <c r="J11010" s="25" t="str">
        <f aca="false">Lib_Jur</f>
        <v>Mission juridique (approbation des comptes, secrétariat juridique)</v>
      </c>
      <c r="K11010" s="25" t="n">
        <f aca="false">IF($K$10981=0,0,N(INDEX(Clients!$M$2:$M$501,$K$10981)))</f>
        <v>0</v>
      </c>
      <c r="L11010" s="25" t="n">
        <f aca="false">IF($K$10981=0,0,N(INDEX(Clients!$R$2:$R$501,$K$10981)))</f>
        <v>0</v>
      </c>
      <c r="M11010" s="25" t="n">
        <f aca="false">IF(OR(K11010&lt;&gt;0,L11010&lt;&gt;0),1,0)</f>
        <v>0</v>
      </c>
      <c r="N11010" s="25" t="str">
        <f aca="false">IF(M11010=1,SUM($M$11008:M11010),"")</f>
        <v/>
      </c>
      <c r="O11010" s="25" t="n">
        <v>3</v>
      </c>
    </row>
    <row r="11011" customFormat="false" ht="16.5" hidden="false" customHeight="true" outlineLevel="0" collapsed="false">
      <c r="B11011" s="40" t="str">
        <f aca="false">IFERROR(INDEX($J$11008:$J$11011,MATCH($O11011,$N$11008:$N$11011,0)),"")</f>
        <v/>
      </c>
      <c r="C11011" s="41" t="str">
        <f aca="false">IFERROR(INDEX($K$11008:$K$11011,MATCH($O11011,$N$11008:$N$11011,0)),"")</f>
        <v/>
      </c>
      <c r="D11011" s="42" t="str">
        <f aca="false">IF(OR(E11011="",N(C11011)=0),"",E11011/C11011-1)</f>
        <v/>
      </c>
      <c r="E11011" s="41" t="str">
        <f aca="false">IFERROR(INDEX($L$11008:$L$11011,MATCH($O11011,$N$11008:$N$11011,0)),"")</f>
        <v/>
      </c>
      <c r="F11011" s="41" t="str">
        <f aca="false">IF(E11011="","",E11011-C11011)</f>
        <v/>
      </c>
      <c r="J11011" s="25" t="str">
        <f aca="false">Lib_PA</f>
        <v>Plateforme agréée – facturation électronique</v>
      </c>
      <c r="K11011" s="25" t="n">
        <f aca="false">IF($K$10981=0,0,N(INDEX(Clients!$N$2:$N$501,$K$10981)))</f>
        <v>0</v>
      </c>
      <c r="L11011" s="25" t="n">
        <f aca="false">IF($K$10981=0,0,N(INDEX(Clients!$S$2:$S$501,$K$10981)))</f>
        <v>0</v>
      </c>
      <c r="M11011" s="25" t="n">
        <f aca="false">IF(OR(K11011&lt;&gt;0,L11011&lt;&gt;0),1,0)</f>
        <v>0</v>
      </c>
      <c r="N11011" s="25" t="str">
        <f aca="false">IF(M11011=1,SUM($M$11008:M11011),"")</f>
        <v/>
      </c>
      <c r="O11011" s="25" t="n">
        <v>4</v>
      </c>
    </row>
    <row r="11012" customFormat="false" ht="18" hidden="false" customHeight="true" outlineLevel="0" collapsed="false">
      <c r="B11012" s="43" t="s">
        <v>158</v>
      </c>
      <c r="C11012" s="44" t="n">
        <f aca="false">SUM(K11008:K11011)</f>
        <v>0</v>
      </c>
      <c r="D11012" s="45" t="str">
        <f aca="false">IF(N(C11012)=0,"",E11012/C11012-1)</f>
        <v/>
      </c>
      <c r="E11012" s="44" t="n">
        <f aca="false">SUM(L11008:L11011)</f>
        <v>0</v>
      </c>
      <c r="F11012" s="44" t="n">
        <f aca="false">E11012-C11012</f>
        <v>0</v>
      </c>
    </row>
    <row r="11013" customFormat="false" ht="15" hidden="false" customHeight="false" outlineLevel="0" collapsed="false">
      <c r="B11013" s="46" t="str">
        <f aca="false">IF(N(Nb_Mensualites)=0,"","Soit "&amp;FIXED(E11012/Nb_Mensualites,2)&amp;" € HT par échéance ("&amp;Nb_Mensualites&amp;" échéances), "&amp;FIXED(E11012/Nb_Mensualites*(1+Taux_TVA),2)&amp;" € TTC.")</f>
        <v>Soit 0.00 € HT par échéance (12 échéances), 0.00 € TTC.</v>
      </c>
      <c r="C11013" s="46"/>
      <c r="D11013" s="46"/>
      <c r="E11013" s="46"/>
      <c r="F11013" s="46"/>
    </row>
    <row r="11014" customFormat="false" ht="7.5" hidden="false" customHeight="true" outlineLevel="0" collapsed="false">
      <c r="B11014" s="10"/>
      <c r="C11014" s="10"/>
      <c r="D11014" s="10"/>
      <c r="E11014" s="10"/>
      <c r="F11014" s="10"/>
    </row>
    <row r="11015" customFormat="false" ht="36.75" hidden="false" customHeight="true" outlineLevel="0" collapsed="false">
      <c r="B11015" s="37" t="str">
        <f aca="false">SUBSTITUTE(SUBSTITUTE(SUBSTITUTE(SUBSTITUTE(SUBSTITUTE(Txt_P5,"{cabinet}",Cab_Nom),"{societe}",IF($K$10981=0,"",INDEX(Clients!$E$2:$E$501,$K$10981)&amp;"")),"{date_effet}",$K$10983),"{hausse}",$K$10984),"{civilite}",$K$10982)</f>
        <v>Les autres conditions de votre lettre de mission demeurent inchangées. Les nouveaux montants seront appliqués automatiquement sur vos prochaines factures et échéances de prélèvement.</v>
      </c>
      <c r="C11015" s="37"/>
      <c r="D11015" s="37"/>
      <c r="E11015" s="37"/>
      <c r="F11015" s="37"/>
    </row>
    <row r="11016" customFormat="false" ht="36.75" hidden="false" customHeight="true" outlineLevel="0" collapsed="false">
      <c r="B11016" s="37" t="str">
        <f aca="false">SUBSTITUTE(SUBSTITUTE(SUBSTITUTE(SUBSTITUTE(SUBSTITUTE(Txt_P6,"{cabinet}",Cab_Nom),"{societe}",IF($K$10981=0,"",INDEX(Clients!$E$2:$E$501,$K$10981)&amp;"")),"{date_effet}",$K$10983),"{hausse}",$K$10984),"{civilite}",$K$10982)</f>
        <v>Votre interlocuteur habituel reste à votre entière disposition pour répondre à vos questions et faire le point sur l'évolution de vos besoins.</v>
      </c>
      <c r="C11016" s="37"/>
      <c r="D11016" s="37"/>
      <c r="E11016" s="37"/>
      <c r="F11016" s="37"/>
    </row>
    <row r="11017" customFormat="false" ht="24" hidden="false" customHeight="true" outlineLevel="0" collapsed="false">
      <c r="B11017" s="37" t="str">
        <f aca="false">SUBSTITUTE(SUBSTITUTE(SUBSTITUTE(SUBSTITUTE(SUBSTITUTE(Txt_Politesse,"{cabinet}",Cab_Nom),"{societe}",IF($K$10981=0,"",INDEX(Clients!$E$2:$E$501,$K$10981)&amp;"")),"{date_effet}",$K$10983),"{hausse}",$K$10984),"{civilite}",$K$10982)</f>
        <v>Nous vous prions d'agréer, Madame, Monsieur, l'expression de nos salutations distinguées.</v>
      </c>
      <c r="C11017" s="37"/>
      <c r="D11017" s="37"/>
      <c r="E11017" s="37"/>
      <c r="F11017" s="37"/>
    </row>
    <row r="11018" customFormat="false" ht="15" hidden="false" customHeight="false" outlineLevel="0" collapsed="false">
      <c r="B11018" s="10"/>
      <c r="C11018" s="10"/>
      <c r="D11018" s="10"/>
      <c r="E11018" s="10"/>
      <c r="F11018" s="10"/>
    </row>
    <row r="11019" customFormat="false" ht="15" hidden="false" customHeight="false" outlineLevel="0" collapsed="false">
      <c r="B11019" s="10"/>
      <c r="C11019" s="10"/>
      <c r="D11019" s="34" t="str">
        <f aca="false">Signataire</f>
        <v>Prénom NOM</v>
      </c>
      <c r="E11019" s="34"/>
      <c r="F11019" s="34"/>
    </row>
    <row r="11020" customFormat="false" ht="15" hidden="false" customHeight="false" outlineLevel="0" collapsed="false">
      <c r="B11020" s="10"/>
      <c r="C11020" s="10"/>
      <c r="D11020" s="47" t="str">
        <f aca="false">Signataire_Titre</f>
        <v>Expert-comptable associé</v>
      </c>
      <c r="E11020" s="47"/>
      <c r="F11020" s="47"/>
    </row>
    <row r="11021" customFormat="false" ht="15.75" hidden="false" customHeight="true" outlineLevel="0" collapsed="false">
      <c r="B11021" s="10"/>
      <c r="C11021" s="10"/>
      <c r="D11021" s="10"/>
      <c r="E11021" s="10"/>
      <c r="F11021" s="10"/>
    </row>
    <row r="11022" customFormat="false" ht="15.75" hidden="false" customHeight="true" outlineLevel="0" collapsed="false">
      <c r="B11022" s="10"/>
      <c r="C11022" s="10"/>
      <c r="D11022" s="10"/>
      <c r="E11022" s="10"/>
      <c r="F11022" s="10"/>
    </row>
    <row r="11023" customFormat="false" ht="15.75" hidden="false" customHeight="true" outlineLevel="0" collapsed="false">
      <c r="B11023" s="10"/>
      <c r="C11023" s="10"/>
      <c r="D11023" s="10"/>
      <c r="E11023" s="10"/>
      <c r="F11023" s="10"/>
    </row>
    <row r="11024" customFormat="false" ht="15.75" hidden="false" customHeight="true" outlineLevel="0" collapsed="false">
      <c r="B11024" s="10"/>
      <c r="C11024" s="10"/>
      <c r="D11024" s="10"/>
      <c r="E11024" s="10"/>
      <c r="F11024" s="10"/>
    </row>
    <row r="11025" customFormat="false" ht="24" hidden="false" customHeight="true" outlineLevel="0" collapsed="false">
      <c r="B11025" s="48" t="str">
        <f aca="false">Cab_Mentions</f>
        <v>ALTHO EXPERTISE · SAS au capital de 10 000 € · RCS Pontoise 919 706 325 · TVA FR62919706325 · Société d'expertise comptable inscrite au Tableau de l'Ordre des experts-comptables de Paris Île-de-France</v>
      </c>
      <c r="C11025" s="48"/>
      <c r="D11025" s="48"/>
      <c r="E11025" s="48"/>
      <c r="F11025" s="48"/>
    </row>
    <row r="11026" customFormat="false" ht="15" hidden="false" customHeight="false" outlineLevel="0" collapsed="false">
      <c r="B11026" s="10"/>
      <c r="C11026" s="10"/>
      <c r="D11026" s="10"/>
      <c r="E11026" s="10"/>
      <c r="F11026" s="10"/>
      <c r="J11026" s="25" t="s">
        <v>142</v>
      </c>
      <c r="K11026" s="25" t="n">
        <f aca="false">IFERROR(MATCH(246,Clients!$Z$2:$Z$501,0),0)</f>
        <v>0</v>
      </c>
      <c r="L11026" s="25"/>
      <c r="M11026" s="25"/>
      <c r="N11026" s="25"/>
      <c r="O11026" s="25"/>
    </row>
    <row r="11027" customFormat="false" ht="21.75" hidden="false" customHeight="true" outlineLevel="0" collapsed="false">
      <c r="B11027" s="26" t="str">
        <f aca="false">Cab_Nom</f>
        <v>ALTHO EXPERTISE</v>
      </c>
      <c r="C11027" s="26"/>
      <c r="D11027" s="10"/>
      <c r="E11027" s="27" t="str">
        <f aca="false">IF($K$11026=0,"","Réf. client : "&amp;INDEX(Clients!$A$2:$A$501,$K$11026))</f>
        <v/>
      </c>
      <c r="F11027" s="27"/>
      <c r="J11027" s="25" t="s">
        <v>144</v>
      </c>
      <c r="K11027" s="25" t="str">
        <f aca="false">IF(IF($K$11026=0,"",INDEX(Clients!$B$2:$B$501,$K$11026)&amp;"")="Mme","Madame",IF(IF($K$11026=0,"",INDEX(Clients!$B$2:$B$501,$K$11026)&amp;"")="M.","Monsieur","Madame, Monsieur"))</f>
        <v>Madame, Monsieur</v>
      </c>
      <c r="L11027" s="25"/>
      <c r="M11027" s="25"/>
      <c r="N11027" s="25"/>
      <c r="O11027" s="25"/>
    </row>
    <row r="11028" customFormat="false" ht="15" hidden="false" customHeight="false" outlineLevel="0" collapsed="false">
      <c r="B11028" s="29" t="str">
        <f aca="false">Cab_Adr1</f>
        <v>141 rue Charles de Gaulle</v>
      </c>
      <c r="C11028" s="29"/>
      <c r="D11028" s="10"/>
      <c r="E11028" s="10"/>
      <c r="F11028" s="10"/>
      <c r="J11028" s="25" t="s">
        <v>145</v>
      </c>
      <c r="K11028" s="25" t="str">
        <f aca="false">DAY(Date_Effet)&amp;IF(DAY(Date_Effet)=1,"er","")&amp;" "&amp;INDEX(Liste_Mois,MONTH(Date_Effet))&amp;" "&amp;YEAR(Date_Effet)</f>
        <v>1er janvier 2027</v>
      </c>
      <c r="L11028" s="25"/>
      <c r="M11028" s="25"/>
      <c r="N11028" s="25"/>
      <c r="O11028" s="25"/>
    </row>
    <row r="11029" customFormat="false" ht="15" hidden="false" customHeight="false" outlineLevel="0" collapsed="false">
      <c r="B11029" s="29" t="str">
        <f aca="false">Cab_CPVille</f>
        <v>95130 LE PLESSIS-BOUCHARD</v>
      </c>
      <c r="C11029" s="29"/>
      <c r="D11029" s="10"/>
      <c r="E11029" s="10"/>
      <c r="F11029" s="10"/>
      <c r="J11029" s="25" t="s">
        <v>146</v>
      </c>
      <c r="K11029" s="25" t="str">
        <f aca="false">IF(SUM($K$11053:$K$11056)=0,"",FIXED((SUM($L$11053:$L$11056)/SUM($K$11053:$K$11056)-1)*100,1)&amp;" %")</f>
        <v/>
      </c>
      <c r="L11029" s="25"/>
      <c r="M11029" s="25"/>
      <c r="N11029" s="25"/>
      <c r="O11029" s="25"/>
    </row>
    <row r="11030" customFormat="false" ht="15" hidden="false" customHeight="false" outlineLevel="0" collapsed="false">
      <c r="B11030" s="29" t="str">
        <f aca="false">Cab_Contact</f>
        <v>Tél. 01 34 14 53 45  ·  altho@altho-experts.com  ·  altho-experts.com</v>
      </c>
      <c r="C11030" s="29"/>
      <c r="D11030" s="10"/>
      <c r="E11030" s="10"/>
      <c r="F11030" s="10"/>
      <c r="J11030" s="25"/>
      <c r="K11030" s="25"/>
      <c r="L11030" s="25"/>
      <c r="M11030" s="25"/>
      <c r="N11030" s="25"/>
      <c r="O11030" s="25"/>
    </row>
    <row r="11031" customFormat="false" ht="6" hidden="false" customHeight="true" outlineLevel="0" collapsed="false">
      <c r="B11031" s="32"/>
      <c r="C11031" s="32"/>
      <c r="D11031" s="32"/>
      <c r="E11031" s="32"/>
      <c r="F11031" s="32"/>
      <c r="J11031" s="25"/>
      <c r="K11031" s="25"/>
      <c r="L11031" s="25"/>
      <c r="M11031" s="25"/>
      <c r="N11031" s="25"/>
      <c r="O11031" s="25"/>
    </row>
    <row r="11032" customFormat="false" ht="13.5" hidden="false" customHeight="true" outlineLevel="0" collapsed="false">
      <c r="B11032" s="10"/>
      <c r="C11032" s="10"/>
      <c r="D11032" s="10"/>
      <c r="E11032" s="10"/>
      <c r="F11032" s="10"/>
      <c r="J11032" s="25"/>
      <c r="K11032" s="25"/>
      <c r="L11032" s="25"/>
      <c r="M11032" s="25"/>
      <c r="N11032" s="25"/>
      <c r="O11032" s="25"/>
    </row>
    <row r="11033" customFormat="false" ht="13.5" hidden="false" customHeight="true" outlineLevel="0" collapsed="false">
      <c r="B11033" s="10"/>
      <c r="C11033" s="10"/>
      <c r="D11033" s="10"/>
      <c r="E11033" s="10"/>
      <c r="F11033" s="10"/>
      <c r="J11033" s="25"/>
      <c r="K11033" s="25"/>
      <c r="L11033" s="25"/>
      <c r="M11033" s="25"/>
      <c r="N11033" s="25"/>
      <c r="O11033" s="25"/>
    </row>
    <row r="11034" customFormat="false" ht="13.5" hidden="false" customHeight="true" outlineLevel="0" collapsed="false">
      <c r="B11034" s="10"/>
      <c r="C11034" s="10"/>
      <c r="D11034" s="10"/>
      <c r="E11034" s="10"/>
      <c r="F11034" s="10"/>
      <c r="J11034" s="25"/>
      <c r="K11034" s="25"/>
      <c r="L11034" s="25"/>
      <c r="M11034" s="25"/>
      <c r="N11034" s="25"/>
      <c r="O11034" s="25"/>
    </row>
    <row r="11035" customFormat="false" ht="15" hidden="false" customHeight="true" outlineLevel="0" collapsed="false">
      <c r="B11035" s="10"/>
      <c r="C11035" s="10"/>
      <c r="D11035" s="34" t="str">
        <f aca="false">IF($K$11026=0,"",INDEX(Clients!$E$2:$E$501,$K$11026)&amp;"")</f>
        <v/>
      </c>
      <c r="E11035" s="34"/>
      <c r="F11035" s="34"/>
      <c r="J11035" s="25"/>
      <c r="K11035" s="25"/>
      <c r="L11035" s="25"/>
      <c r="M11035" s="25"/>
      <c r="N11035" s="25"/>
      <c r="O11035" s="25"/>
    </row>
    <row r="11036" customFormat="false" ht="15" hidden="false" customHeight="true" outlineLevel="0" collapsed="false">
      <c r="B11036" s="10"/>
      <c r="C11036" s="10"/>
      <c r="D11036" s="35" t="str">
        <f aca="false">IF(IF($K$11026=0,"",INDEX(Clients!$D$2:$D$501,$K$11026)&amp;"")="","","À l'attention de "&amp;TRIM(IF($K$11026=0,"",INDEX(Clients!$B$2:$B$501,$K$11026)&amp;"")&amp;" "&amp;IF($K$11026=0,"",INDEX(Clients!$C$2:$C$501,$K$11026)&amp;"")&amp;" "&amp;IF($K$11026=0,"",INDEX(Clients!$D$2:$D$501,$K$11026)&amp;"")))</f>
        <v/>
      </c>
      <c r="E11036" s="35"/>
      <c r="F11036" s="35"/>
      <c r="J11036" s="25"/>
      <c r="K11036" s="25"/>
      <c r="L11036" s="25"/>
      <c r="M11036" s="25"/>
      <c r="N11036" s="25"/>
      <c r="O11036" s="25"/>
    </row>
    <row r="11037" customFormat="false" ht="15" hidden="false" customHeight="true" outlineLevel="0" collapsed="false">
      <c r="B11037" s="10"/>
      <c r="C11037" s="10"/>
      <c r="D11037" s="35" t="str">
        <f aca="false">IF($K$11026=0,"",INDEX(Clients!$F$2:$F$501,$K$11026)&amp;"")</f>
        <v/>
      </c>
      <c r="E11037" s="35"/>
      <c r="F11037" s="35"/>
      <c r="J11037" s="25"/>
      <c r="K11037" s="25"/>
      <c r="L11037" s="25"/>
      <c r="M11037" s="25"/>
      <c r="N11037" s="25"/>
      <c r="O11037" s="25"/>
    </row>
    <row r="11038" customFormat="false" ht="15" hidden="false" customHeight="true" outlineLevel="0" collapsed="false">
      <c r="B11038" s="10"/>
      <c r="C11038" s="10"/>
      <c r="D11038" s="35" t="str">
        <f aca="false">IF(IF($K$11026=0,"",INDEX(Clients!$G$2:$G$501,$K$11026)&amp;"")="",TRIM(IF($K$11026=0,"",INDEX(Clients!$H$2:$H$501,$K$11026)&amp;"")&amp;" "&amp;UPPER(IF($K$11026=0,"",INDEX(Clients!$I$2:$I$501,$K$11026)&amp;""))),IF($K$11026=0,"",INDEX(Clients!$G$2:$G$501,$K$11026)&amp;""))</f>
        <v/>
      </c>
      <c r="E11038" s="35"/>
      <c r="F11038" s="35"/>
      <c r="J11038" s="25"/>
      <c r="K11038" s="25"/>
      <c r="L11038" s="25"/>
      <c r="M11038" s="25"/>
      <c r="N11038" s="25"/>
      <c r="O11038" s="25"/>
    </row>
    <row r="11039" customFormat="false" ht="15" hidden="false" customHeight="true" outlineLevel="0" collapsed="false">
      <c r="B11039" s="10"/>
      <c r="C11039" s="10"/>
      <c r="D11039" s="35" t="str">
        <f aca="false">IF(IF($K$11026=0,"",INDEX(Clients!$G$2:$G$501,$K$11026)&amp;"")="","",TRIM(IF($K$11026=0,"",INDEX(Clients!$H$2:$H$501,$K$11026)&amp;"")&amp;" "&amp;UPPER(IF($K$11026=0,"",INDEX(Clients!$I$2:$I$501,$K$11026)&amp;""))))</f>
        <v/>
      </c>
      <c r="E11039" s="35"/>
      <c r="F11039" s="35"/>
      <c r="J11039" s="25"/>
      <c r="K11039" s="25"/>
      <c r="L11039" s="25"/>
      <c r="M11039" s="25"/>
      <c r="N11039" s="25"/>
      <c r="O11039" s="25"/>
    </row>
    <row r="11040" customFormat="false" ht="25.5" hidden="false" customHeight="true" outlineLevel="0" collapsed="false">
      <c r="B11040" s="10"/>
      <c r="C11040" s="10"/>
      <c r="D11040" s="10"/>
      <c r="E11040" s="10"/>
      <c r="F11040" s="10"/>
      <c r="J11040" s="25"/>
      <c r="K11040" s="25"/>
      <c r="L11040" s="25"/>
      <c r="M11040" s="25"/>
      <c r="N11040" s="25"/>
      <c r="O11040" s="25"/>
    </row>
    <row r="11041" customFormat="false" ht="15" hidden="false" customHeight="false" outlineLevel="0" collapsed="false">
      <c r="B11041" s="10"/>
      <c r="C11041" s="10"/>
      <c r="D11041" s="36" t="str">
        <f aca="false">Cab_Ville&amp;", le "&amp;DAY(Date_Courrier)&amp;IF(DAY(Date_Courrier)=1,"er","")&amp;" "&amp;INDEX(Liste_Mois,MONTH(Date_Courrier))&amp;" "&amp;YEAR(Date_Courrier)</f>
        <v>Le Plessis-Bouchard, le 22 septembre 2026</v>
      </c>
      <c r="E11041" s="36"/>
      <c r="F11041" s="36"/>
      <c r="J11041" s="25"/>
      <c r="K11041" s="25"/>
      <c r="L11041" s="25"/>
      <c r="M11041" s="25"/>
      <c r="N11041" s="25"/>
      <c r="O11041" s="25"/>
    </row>
    <row r="11042" customFormat="false" ht="19.5" hidden="false" customHeight="true" outlineLevel="0" collapsed="false">
      <c r="B11042" s="10"/>
      <c r="C11042" s="10"/>
      <c r="D11042" s="10"/>
      <c r="E11042" s="10"/>
      <c r="F11042" s="10"/>
      <c r="J11042" s="25"/>
      <c r="K11042" s="25"/>
      <c r="L11042" s="25"/>
      <c r="M11042" s="25"/>
      <c r="N11042" s="25"/>
      <c r="O11042" s="25"/>
    </row>
    <row r="11043" customFormat="false" ht="15" hidden="false" customHeight="false" outlineLevel="0" collapsed="false">
      <c r="B11043" s="34" t="str">
        <f aca="false">SUBSTITUTE(SUBSTITUTE(SUBSTITUTE(SUBSTITUTE(SUBSTITUTE(Txt_Objet,"{cabinet}",Cab_Nom),"{societe}",IF($K$11026=0,"",INDEX(Clients!$E$2:$E$501,$K$11026)&amp;"")),"{date_effet}",$K$11028),"{hausse}",$K$11029),"{civilite}",$K$11027)</f>
        <v>Objet : révision de nos honoraires au 1er janvier 2027</v>
      </c>
      <c r="C11043" s="34"/>
      <c r="D11043" s="34"/>
      <c r="E11043" s="34"/>
      <c r="F11043" s="34"/>
      <c r="J11043" s="25"/>
      <c r="K11043" s="25"/>
      <c r="L11043" s="25"/>
      <c r="M11043" s="25"/>
      <c r="N11043" s="25"/>
      <c r="O11043" s="25"/>
    </row>
    <row r="11044" customFormat="false" ht="13.5" hidden="false" customHeight="true" outlineLevel="0" collapsed="false">
      <c r="B11044" s="10"/>
      <c r="C11044" s="10"/>
      <c r="D11044" s="10"/>
      <c r="E11044" s="10"/>
      <c r="F11044" s="10"/>
      <c r="J11044" s="25"/>
      <c r="K11044" s="25"/>
      <c r="L11044" s="25"/>
      <c r="M11044" s="25"/>
      <c r="N11044" s="25"/>
      <c r="O11044" s="25"/>
    </row>
    <row r="11045" customFormat="false" ht="15" hidden="false" customHeight="false" outlineLevel="0" collapsed="false">
      <c r="B11045" s="10" t="str">
        <f aca="false">$K$11027&amp;","</f>
        <v>Madame, Monsieur,</v>
      </c>
      <c r="C11045" s="10"/>
      <c r="D11045" s="10"/>
      <c r="E11045" s="10"/>
      <c r="F11045" s="10"/>
      <c r="J11045" s="25"/>
      <c r="K11045" s="25"/>
      <c r="L11045" s="25"/>
      <c r="M11045" s="25"/>
      <c r="N11045" s="25"/>
      <c r="O11045" s="25"/>
    </row>
    <row r="11046" customFormat="false" ht="6" hidden="false" customHeight="true" outlineLevel="0" collapsed="false">
      <c r="B11046" s="10"/>
      <c r="C11046" s="10"/>
      <c r="D11046" s="10"/>
      <c r="E11046" s="10"/>
      <c r="F11046" s="10"/>
      <c r="J11046" s="25"/>
      <c r="K11046" s="25"/>
      <c r="L11046" s="25"/>
      <c r="M11046" s="25"/>
      <c r="N11046" s="25"/>
      <c r="O11046" s="25"/>
    </row>
    <row r="11047" customFormat="false" ht="36.75" hidden="false" customHeight="true" outlineLevel="0" collapsed="false">
      <c r="B11047" s="37" t="str">
        <f aca="false">SUBSTITUTE(SUBSTITUTE(SUBSTITUTE(SUBSTITUTE(SUBSTITUTE(Txt_P1,"{cabinet}",Cab_Nom),"{societe}",IF($K$11026=0,"",INDEX(Clients!$E$2:$E$501,$K$11026)&amp;"")),"{date_effet}",$K$11028),"{hausse}",$K$11029),"{civilite}",$K$11027)</f>
        <v>Nous tenons tout d'abord à vous remercier pour la confiance que vous accordez à ALTHO EXPERTISE. Comme chaque année, et conformément aux dispositions de votre lettre de mission, nous procédons à la révision de nos honoraires.</v>
      </c>
      <c r="C11047" s="37"/>
      <c r="D11047" s="37"/>
      <c r="E11047" s="37"/>
      <c r="F11047" s="37"/>
      <c r="J11047" s="25"/>
      <c r="K11047" s="25"/>
      <c r="L11047" s="25"/>
      <c r="M11047" s="25"/>
      <c r="N11047" s="25"/>
      <c r="O11047" s="25"/>
    </row>
    <row r="11048" customFormat="false" ht="49.5" hidden="false" customHeight="true" outlineLevel="0" collapsed="false">
      <c r="B11048" s="37" t="str">
        <f aca="false">SUBSTITUTE(SUBSTITUTE(SUBSTITUTE(SUBSTITUTE(SUBSTITUTE(Txt_P2,"{cabinet}",Cab_Nom),"{societe}",IF($K$11026=0,"",INDEX(Clients!$E$2:$E$501,$K$11026)&amp;"")),"{date_effet}",$K$11028),"{hausse}",$K$11029),"{civilite}",$K$11027)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048" s="37"/>
      <c r="D11048" s="37"/>
      <c r="E11048" s="37"/>
      <c r="F11048" s="37"/>
      <c r="J11048" s="25"/>
      <c r="K11048" s="25"/>
      <c r="L11048" s="25"/>
      <c r="M11048" s="25"/>
      <c r="N11048" s="25"/>
      <c r="O11048" s="25"/>
    </row>
    <row r="11049" customFormat="false" ht="63" hidden="false" customHeight="true" outlineLevel="0" collapsed="false">
      <c r="B11049" s="37" t="str">
        <f aca="false">SUBSTITUTE(SUBSTITUTE(SUBSTITUTE(SUBSTITUTE(SUBSTITUTE(Txt_P3,"{cabinet}",Cab_Nom),"{societe}",IF($K$11026=0,"",INDEX(Clients!$E$2:$E$501,$K$11026)&amp;"")),"{date_effet}",$K$11028),"{hausse}",$K$11029),"{civilite}",$K$11027)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049" s="37"/>
      <c r="D11049" s="37"/>
      <c r="E11049" s="37"/>
      <c r="F11049" s="37"/>
      <c r="J11049" s="25"/>
      <c r="K11049" s="25"/>
      <c r="L11049" s="25"/>
      <c r="M11049" s="25"/>
      <c r="N11049" s="25"/>
      <c r="O11049" s="25"/>
    </row>
    <row r="11050" customFormat="false" ht="24" hidden="false" customHeight="true" outlineLevel="0" collapsed="false">
      <c r="B11050" s="37" t="str">
        <f aca="false">SUBSTITUTE(SUBSTITUTE(SUBSTITUTE(SUBSTITUTE(SUBSTITUTE(Txt_P4,"{cabinet}",Cab_Nom),"{societe}",IF($K$11026=0,"",INDEX(Clients!$E$2:$E$501,$K$11026)&amp;"")),"{date_effet}",$K$11028),"{hausse}",$K$11029),"{civilite}",$K$11027)</f>
        <v>À compter du 1er janvier 2027, vos honoraires annuels hors taxes évolueront ainsi (évolution globale : ) :</v>
      </c>
      <c r="C11050" s="37"/>
      <c r="D11050" s="37"/>
      <c r="E11050" s="37"/>
      <c r="F11050" s="37"/>
      <c r="J11050" s="25"/>
      <c r="K11050" s="25"/>
      <c r="L11050" s="25"/>
      <c r="M11050" s="25"/>
      <c r="N11050" s="25"/>
      <c r="O11050" s="25"/>
    </row>
    <row r="11051" customFormat="false" ht="3.75" hidden="false" customHeight="true" outlineLevel="0" collapsed="false">
      <c r="B11051" s="10"/>
      <c r="C11051" s="10"/>
      <c r="D11051" s="10"/>
      <c r="E11051" s="10"/>
      <c r="F11051" s="10"/>
      <c r="J11051" s="25"/>
      <c r="K11051" s="25"/>
      <c r="L11051" s="25"/>
      <c r="M11051" s="25"/>
      <c r="N11051" s="25"/>
      <c r="O11051" s="25"/>
    </row>
    <row r="11052" customFormat="false" ht="18" hidden="false" customHeight="true" outlineLevel="0" collapsed="false">
      <c r="B11052" s="38" t="s">
        <v>148</v>
      </c>
      <c r="C11052" s="39" t="s">
        <v>149</v>
      </c>
      <c r="D11052" s="39" t="s">
        <v>150</v>
      </c>
      <c r="E11052" s="39" t="s">
        <v>151</v>
      </c>
      <c r="F11052" s="39" t="s">
        <v>109</v>
      </c>
      <c r="J11052" s="25" t="s">
        <v>152</v>
      </c>
      <c r="K11052" s="25" t="s">
        <v>153</v>
      </c>
      <c r="L11052" s="25" t="s">
        <v>154</v>
      </c>
      <c r="M11052" s="25" t="s">
        <v>155</v>
      </c>
      <c r="N11052" s="25" t="s">
        <v>156</v>
      </c>
      <c r="O11052" s="25" t="s">
        <v>157</v>
      </c>
    </row>
    <row r="11053" customFormat="false" ht="16.5" hidden="false" customHeight="true" outlineLevel="0" collapsed="false">
      <c r="B11053" s="40" t="str">
        <f aca="false">IFERROR(INDEX($J$11053:$J$11056,MATCH($O11053,$N$11053:$N$11056,0)),"")</f>
        <v/>
      </c>
      <c r="C11053" s="41" t="str">
        <f aca="false">IFERROR(INDEX($K$11053:$K$11056,MATCH($O11053,$N$11053:$N$11056,0)),"")</f>
        <v/>
      </c>
      <c r="D11053" s="42" t="str">
        <f aca="false">IF(OR(E11053="",N(C11053)=0),"",E11053/C11053-1)</f>
        <v/>
      </c>
      <c r="E11053" s="41" t="str">
        <f aca="false">IFERROR(INDEX($L$11053:$L$11056,MATCH($O11053,$N$11053:$N$11056,0)),"")</f>
        <v/>
      </c>
      <c r="F11053" s="41" t="str">
        <f aca="false">IF(E11053="","",E11053-C11053)</f>
        <v/>
      </c>
      <c r="J11053" s="25" t="str">
        <f aca="false">Lib_Compta</f>
        <v>Mission comptable (tenue, révision, bilan, liasse fiscale)</v>
      </c>
      <c r="K11053" s="25" t="n">
        <f aca="false">IF($K$11026=0,0,N(INDEX(Clients!$K$2:$K$501,$K$11026)))</f>
        <v>0</v>
      </c>
      <c r="L11053" s="25" t="n">
        <f aca="false">IF($K$11026=0,0,N(INDEX(Clients!$P$2:$P$501,$K$11026)))</f>
        <v>0</v>
      </c>
      <c r="M11053" s="25" t="n">
        <f aca="false">IF(OR(K11053&lt;&gt;0,L11053&lt;&gt;0),1,0)</f>
        <v>0</v>
      </c>
      <c r="N11053" s="25" t="str">
        <f aca="false">IF(M11053=1,SUM($M$11053:M11053),"")</f>
        <v/>
      </c>
      <c r="O11053" s="25" t="n">
        <v>1</v>
      </c>
    </row>
    <row r="11054" customFormat="false" ht="16.5" hidden="false" customHeight="true" outlineLevel="0" collapsed="false">
      <c r="B11054" s="40" t="str">
        <f aca="false">IFERROR(INDEX($J$11053:$J$11056,MATCH($O11054,$N$11053:$N$11056,0)),"")</f>
        <v/>
      </c>
      <c r="C11054" s="41" t="str">
        <f aca="false">IFERROR(INDEX($K$11053:$K$11056,MATCH($O11054,$N$11053:$N$11056,0)),"")</f>
        <v/>
      </c>
      <c r="D11054" s="42" t="str">
        <f aca="false">IF(OR(E11054="",N(C11054)=0),"",E11054/C11054-1)</f>
        <v/>
      </c>
      <c r="E11054" s="41" t="str">
        <f aca="false">IFERROR(INDEX($L$11053:$L$11056,MATCH($O11054,$N$11053:$N$11056,0)),"")</f>
        <v/>
      </c>
      <c r="F11054" s="41" t="str">
        <f aca="false">IF(E11054="","",E11054-C11054)</f>
        <v/>
      </c>
      <c r="J11054" s="25" t="str">
        <f aca="false">Lib_Paye</f>
        <v>Mission sociale (bulletins de paie, DSN, déclarations sociales)</v>
      </c>
      <c r="K11054" s="25" t="n">
        <f aca="false">IF($K$11026=0,0,N(INDEX(Clients!$L$2:$L$501,$K$11026)))</f>
        <v>0</v>
      </c>
      <c r="L11054" s="25" t="n">
        <f aca="false">IF($K$11026=0,0,N(INDEX(Clients!$Q$2:$Q$501,$K$11026)))</f>
        <v>0</v>
      </c>
      <c r="M11054" s="25" t="n">
        <f aca="false">IF(OR(K11054&lt;&gt;0,L11054&lt;&gt;0),1,0)</f>
        <v>0</v>
      </c>
      <c r="N11054" s="25" t="str">
        <f aca="false">IF(M11054=1,SUM($M$11053:M11054),"")</f>
        <v/>
      </c>
      <c r="O11054" s="25" t="n">
        <v>2</v>
      </c>
    </row>
    <row r="11055" customFormat="false" ht="16.5" hidden="false" customHeight="true" outlineLevel="0" collapsed="false">
      <c r="B11055" s="40" t="str">
        <f aca="false">IFERROR(INDEX($J$11053:$J$11056,MATCH($O11055,$N$11053:$N$11056,0)),"")</f>
        <v/>
      </c>
      <c r="C11055" s="41" t="str">
        <f aca="false">IFERROR(INDEX($K$11053:$K$11056,MATCH($O11055,$N$11053:$N$11056,0)),"")</f>
        <v/>
      </c>
      <c r="D11055" s="42" t="str">
        <f aca="false">IF(OR(E11055="",N(C11055)=0),"",E11055/C11055-1)</f>
        <v/>
      </c>
      <c r="E11055" s="41" t="str">
        <f aca="false">IFERROR(INDEX($L$11053:$L$11056,MATCH($O11055,$N$11053:$N$11056,0)),"")</f>
        <v/>
      </c>
      <c r="F11055" s="41" t="str">
        <f aca="false">IF(E11055="","",E11055-C11055)</f>
        <v/>
      </c>
      <c r="J11055" s="25" t="str">
        <f aca="false">Lib_Jur</f>
        <v>Mission juridique (approbation des comptes, secrétariat juridique)</v>
      </c>
      <c r="K11055" s="25" t="n">
        <f aca="false">IF($K$11026=0,0,N(INDEX(Clients!$M$2:$M$501,$K$11026)))</f>
        <v>0</v>
      </c>
      <c r="L11055" s="25" t="n">
        <f aca="false">IF($K$11026=0,0,N(INDEX(Clients!$R$2:$R$501,$K$11026)))</f>
        <v>0</v>
      </c>
      <c r="M11055" s="25" t="n">
        <f aca="false">IF(OR(K11055&lt;&gt;0,L11055&lt;&gt;0),1,0)</f>
        <v>0</v>
      </c>
      <c r="N11055" s="25" t="str">
        <f aca="false">IF(M11055=1,SUM($M$11053:M11055),"")</f>
        <v/>
      </c>
      <c r="O11055" s="25" t="n">
        <v>3</v>
      </c>
    </row>
    <row r="11056" customFormat="false" ht="16.5" hidden="false" customHeight="true" outlineLevel="0" collapsed="false">
      <c r="B11056" s="40" t="str">
        <f aca="false">IFERROR(INDEX($J$11053:$J$11056,MATCH($O11056,$N$11053:$N$11056,0)),"")</f>
        <v/>
      </c>
      <c r="C11056" s="41" t="str">
        <f aca="false">IFERROR(INDEX($K$11053:$K$11056,MATCH($O11056,$N$11053:$N$11056,0)),"")</f>
        <v/>
      </c>
      <c r="D11056" s="42" t="str">
        <f aca="false">IF(OR(E11056="",N(C11056)=0),"",E11056/C11056-1)</f>
        <v/>
      </c>
      <c r="E11056" s="41" t="str">
        <f aca="false">IFERROR(INDEX($L$11053:$L$11056,MATCH($O11056,$N$11053:$N$11056,0)),"")</f>
        <v/>
      </c>
      <c r="F11056" s="41" t="str">
        <f aca="false">IF(E11056="","",E11056-C11056)</f>
        <v/>
      </c>
      <c r="J11056" s="25" t="str">
        <f aca="false">Lib_PA</f>
        <v>Plateforme agréée – facturation électronique</v>
      </c>
      <c r="K11056" s="25" t="n">
        <f aca="false">IF($K$11026=0,0,N(INDEX(Clients!$N$2:$N$501,$K$11026)))</f>
        <v>0</v>
      </c>
      <c r="L11056" s="25" t="n">
        <f aca="false">IF($K$11026=0,0,N(INDEX(Clients!$S$2:$S$501,$K$11026)))</f>
        <v>0</v>
      </c>
      <c r="M11056" s="25" t="n">
        <f aca="false">IF(OR(K11056&lt;&gt;0,L11056&lt;&gt;0),1,0)</f>
        <v>0</v>
      </c>
      <c r="N11056" s="25" t="str">
        <f aca="false">IF(M11056=1,SUM($M$11053:M11056),"")</f>
        <v/>
      </c>
      <c r="O11056" s="25" t="n">
        <v>4</v>
      </c>
    </row>
    <row r="11057" customFormat="false" ht="18" hidden="false" customHeight="true" outlineLevel="0" collapsed="false">
      <c r="B11057" s="43" t="s">
        <v>158</v>
      </c>
      <c r="C11057" s="44" t="n">
        <f aca="false">SUM(K11053:K11056)</f>
        <v>0</v>
      </c>
      <c r="D11057" s="45" t="str">
        <f aca="false">IF(N(C11057)=0,"",E11057/C11057-1)</f>
        <v/>
      </c>
      <c r="E11057" s="44" t="n">
        <f aca="false">SUM(L11053:L11056)</f>
        <v>0</v>
      </c>
      <c r="F11057" s="44" t="n">
        <f aca="false">E11057-C11057</f>
        <v>0</v>
      </c>
    </row>
    <row r="11058" customFormat="false" ht="15" hidden="false" customHeight="false" outlineLevel="0" collapsed="false">
      <c r="B11058" s="46" t="str">
        <f aca="false">IF(N(Nb_Mensualites)=0,"","Soit "&amp;FIXED(E11057/Nb_Mensualites,2)&amp;" € HT par échéance ("&amp;Nb_Mensualites&amp;" échéances), "&amp;FIXED(E11057/Nb_Mensualites*(1+Taux_TVA),2)&amp;" € TTC.")</f>
        <v>Soit 0.00 € HT par échéance (12 échéances), 0.00 € TTC.</v>
      </c>
      <c r="C11058" s="46"/>
      <c r="D11058" s="46"/>
      <c r="E11058" s="46"/>
      <c r="F11058" s="46"/>
    </row>
    <row r="11059" customFormat="false" ht="7.5" hidden="false" customHeight="true" outlineLevel="0" collapsed="false">
      <c r="B11059" s="10"/>
      <c r="C11059" s="10"/>
      <c r="D11059" s="10"/>
      <c r="E11059" s="10"/>
      <c r="F11059" s="10"/>
    </row>
    <row r="11060" customFormat="false" ht="36.75" hidden="false" customHeight="true" outlineLevel="0" collapsed="false">
      <c r="B11060" s="37" t="str">
        <f aca="false">SUBSTITUTE(SUBSTITUTE(SUBSTITUTE(SUBSTITUTE(SUBSTITUTE(Txt_P5,"{cabinet}",Cab_Nom),"{societe}",IF($K$11026=0,"",INDEX(Clients!$E$2:$E$501,$K$11026)&amp;"")),"{date_effet}",$K$11028),"{hausse}",$K$11029),"{civilite}",$K$11027)</f>
        <v>Les autres conditions de votre lettre de mission demeurent inchangées. Les nouveaux montants seront appliqués automatiquement sur vos prochaines factures et échéances de prélèvement.</v>
      </c>
      <c r="C11060" s="37"/>
      <c r="D11060" s="37"/>
      <c r="E11060" s="37"/>
      <c r="F11060" s="37"/>
    </row>
    <row r="11061" customFormat="false" ht="36.75" hidden="false" customHeight="true" outlineLevel="0" collapsed="false">
      <c r="B11061" s="37" t="str">
        <f aca="false">SUBSTITUTE(SUBSTITUTE(SUBSTITUTE(SUBSTITUTE(SUBSTITUTE(Txt_P6,"{cabinet}",Cab_Nom),"{societe}",IF($K$11026=0,"",INDEX(Clients!$E$2:$E$501,$K$11026)&amp;"")),"{date_effet}",$K$11028),"{hausse}",$K$11029),"{civilite}",$K$11027)</f>
        <v>Votre interlocuteur habituel reste à votre entière disposition pour répondre à vos questions et faire le point sur l'évolution de vos besoins.</v>
      </c>
      <c r="C11061" s="37"/>
      <c r="D11061" s="37"/>
      <c r="E11061" s="37"/>
      <c r="F11061" s="37"/>
    </row>
    <row r="11062" customFormat="false" ht="24" hidden="false" customHeight="true" outlineLevel="0" collapsed="false">
      <c r="B11062" s="37" t="str">
        <f aca="false">SUBSTITUTE(SUBSTITUTE(SUBSTITUTE(SUBSTITUTE(SUBSTITUTE(Txt_Politesse,"{cabinet}",Cab_Nom),"{societe}",IF($K$11026=0,"",INDEX(Clients!$E$2:$E$501,$K$11026)&amp;"")),"{date_effet}",$K$11028),"{hausse}",$K$11029),"{civilite}",$K$11027)</f>
        <v>Nous vous prions d'agréer, Madame, Monsieur, l'expression de nos salutations distinguées.</v>
      </c>
      <c r="C11062" s="37"/>
      <c r="D11062" s="37"/>
      <c r="E11062" s="37"/>
      <c r="F11062" s="37"/>
    </row>
    <row r="11063" customFormat="false" ht="15" hidden="false" customHeight="false" outlineLevel="0" collapsed="false">
      <c r="B11063" s="10"/>
      <c r="C11063" s="10"/>
      <c r="D11063" s="10"/>
      <c r="E11063" s="10"/>
      <c r="F11063" s="10"/>
    </row>
    <row r="11064" customFormat="false" ht="15" hidden="false" customHeight="false" outlineLevel="0" collapsed="false">
      <c r="B11064" s="10"/>
      <c r="C11064" s="10"/>
      <c r="D11064" s="34" t="str">
        <f aca="false">Signataire</f>
        <v>Prénom NOM</v>
      </c>
      <c r="E11064" s="34"/>
      <c r="F11064" s="34"/>
    </row>
    <row r="11065" customFormat="false" ht="15" hidden="false" customHeight="false" outlineLevel="0" collapsed="false">
      <c r="B11065" s="10"/>
      <c r="C11065" s="10"/>
      <c r="D11065" s="47" t="str">
        <f aca="false">Signataire_Titre</f>
        <v>Expert-comptable associé</v>
      </c>
      <c r="E11065" s="47"/>
      <c r="F11065" s="47"/>
    </row>
    <row r="11066" customFormat="false" ht="15.75" hidden="false" customHeight="true" outlineLevel="0" collapsed="false">
      <c r="B11066" s="10"/>
      <c r="C11066" s="10"/>
      <c r="D11066" s="10"/>
      <c r="E11066" s="10"/>
      <c r="F11066" s="10"/>
    </row>
    <row r="11067" customFormat="false" ht="15.75" hidden="false" customHeight="true" outlineLevel="0" collapsed="false">
      <c r="B11067" s="10"/>
      <c r="C11067" s="10"/>
      <c r="D11067" s="10"/>
      <c r="E11067" s="10"/>
      <c r="F11067" s="10"/>
    </row>
    <row r="11068" customFormat="false" ht="15.75" hidden="false" customHeight="true" outlineLevel="0" collapsed="false">
      <c r="B11068" s="10"/>
      <c r="C11068" s="10"/>
      <c r="D11068" s="10"/>
      <c r="E11068" s="10"/>
      <c r="F11068" s="10"/>
    </row>
    <row r="11069" customFormat="false" ht="15.75" hidden="false" customHeight="true" outlineLevel="0" collapsed="false">
      <c r="B11069" s="10"/>
      <c r="C11069" s="10"/>
      <c r="D11069" s="10"/>
      <c r="E11069" s="10"/>
      <c r="F11069" s="10"/>
    </row>
    <row r="11070" customFormat="false" ht="24" hidden="false" customHeight="true" outlineLevel="0" collapsed="false">
      <c r="B11070" s="48" t="str">
        <f aca="false">Cab_Mentions</f>
        <v>ALTHO EXPERTISE · SAS au capital de 10 000 € · RCS Pontoise 919 706 325 · TVA FR62919706325 · Société d'expertise comptable inscrite au Tableau de l'Ordre des experts-comptables de Paris Île-de-France</v>
      </c>
      <c r="C11070" s="48"/>
      <c r="D11070" s="48"/>
      <c r="E11070" s="48"/>
      <c r="F11070" s="48"/>
    </row>
    <row r="11071" customFormat="false" ht="15" hidden="false" customHeight="false" outlineLevel="0" collapsed="false">
      <c r="B11071" s="10"/>
      <c r="C11071" s="10"/>
      <c r="D11071" s="10"/>
      <c r="E11071" s="10"/>
      <c r="F11071" s="10"/>
      <c r="J11071" s="25" t="s">
        <v>142</v>
      </c>
      <c r="K11071" s="25" t="n">
        <f aca="false">IFERROR(MATCH(247,Clients!$Z$2:$Z$501,0),0)</f>
        <v>0</v>
      </c>
      <c r="L11071" s="25"/>
      <c r="M11071" s="25"/>
      <c r="N11071" s="25"/>
      <c r="O11071" s="25"/>
    </row>
    <row r="11072" customFormat="false" ht="21.75" hidden="false" customHeight="true" outlineLevel="0" collapsed="false">
      <c r="B11072" s="26" t="str">
        <f aca="false">Cab_Nom</f>
        <v>ALTHO EXPERTISE</v>
      </c>
      <c r="C11072" s="26"/>
      <c r="D11072" s="10"/>
      <c r="E11072" s="27" t="str">
        <f aca="false">IF($K$11071=0,"","Réf. client : "&amp;INDEX(Clients!$A$2:$A$501,$K$11071))</f>
        <v/>
      </c>
      <c r="F11072" s="27"/>
      <c r="J11072" s="25" t="s">
        <v>144</v>
      </c>
      <c r="K11072" s="25" t="str">
        <f aca="false">IF(IF($K$11071=0,"",INDEX(Clients!$B$2:$B$501,$K$11071)&amp;"")="Mme","Madame",IF(IF($K$11071=0,"",INDEX(Clients!$B$2:$B$501,$K$11071)&amp;"")="M.","Monsieur","Madame, Monsieur"))</f>
        <v>Madame, Monsieur</v>
      </c>
      <c r="L11072" s="25"/>
      <c r="M11072" s="25"/>
      <c r="N11072" s="25"/>
      <c r="O11072" s="25"/>
    </row>
    <row r="11073" customFormat="false" ht="15" hidden="false" customHeight="false" outlineLevel="0" collapsed="false">
      <c r="B11073" s="29" t="str">
        <f aca="false">Cab_Adr1</f>
        <v>141 rue Charles de Gaulle</v>
      </c>
      <c r="C11073" s="29"/>
      <c r="D11073" s="10"/>
      <c r="E11073" s="10"/>
      <c r="F11073" s="10"/>
      <c r="J11073" s="25" t="s">
        <v>145</v>
      </c>
      <c r="K11073" s="25" t="str">
        <f aca="false">DAY(Date_Effet)&amp;IF(DAY(Date_Effet)=1,"er","")&amp;" "&amp;INDEX(Liste_Mois,MONTH(Date_Effet))&amp;" "&amp;YEAR(Date_Effet)</f>
        <v>1er janvier 2027</v>
      </c>
      <c r="L11073" s="25"/>
      <c r="M11073" s="25"/>
      <c r="N11073" s="25"/>
      <c r="O11073" s="25"/>
    </row>
    <row r="11074" customFormat="false" ht="15" hidden="false" customHeight="false" outlineLevel="0" collapsed="false">
      <c r="B11074" s="29" t="str">
        <f aca="false">Cab_CPVille</f>
        <v>95130 LE PLESSIS-BOUCHARD</v>
      </c>
      <c r="C11074" s="29"/>
      <c r="D11074" s="10"/>
      <c r="E11074" s="10"/>
      <c r="F11074" s="10"/>
      <c r="J11074" s="25" t="s">
        <v>146</v>
      </c>
      <c r="K11074" s="25" t="str">
        <f aca="false">IF(SUM($K$11098:$K$11101)=0,"",FIXED((SUM($L$11098:$L$11101)/SUM($K$11098:$K$11101)-1)*100,1)&amp;" %")</f>
        <v/>
      </c>
      <c r="L11074" s="25"/>
      <c r="M11074" s="25"/>
      <c r="N11074" s="25"/>
      <c r="O11074" s="25"/>
    </row>
    <row r="11075" customFormat="false" ht="15" hidden="false" customHeight="false" outlineLevel="0" collapsed="false">
      <c r="B11075" s="29" t="str">
        <f aca="false">Cab_Contact</f>
        <v>Tél. 01 34 14 53 45  ·  altho@altho-experts.com  ·  altho-experts.com</v>
      </c>
      <c r="C11075" s="29"/>
      <c r="D11075" s="10"/>
      <c r="E11075" s="10"/>
      <c r="F11075" s="10"/>
      <c r="J11075" s="25"/>
      <c r="K11075" s="25"/>
      <c r="L11075" s="25"/>
      <c r="M11075" s="25"/>
      <c r="N11075" s="25"/>
      <c r="O11075" s="25"/>
    </row>
    <row r="11076" customFormat="false" ht="6" hidden="false" customHeight="true" outlineLevel="0" collapsed="false">
      <c r="B11076" s="32"/>
      <c r="C11076" s="32"/>
      <c r="D11076" s="32"/>
      <c r="E11076" s="32"/>
      <c r="F11076" s="32"/>
      <c r="J11076" s="25"/>
      <c r="K11076" s="25"/>
      <c r="L11076" s="25"/>
      <c r="M11076" s="25"/>
      <c r="N11076" s="25"/>
      <c r="O11076" s="25"/>
    </row>
    <row r="11077" customFormat="false" ht="13.5" hidden="false" customHeight="true" outlineLevel="0" collapsed="false">
      <c r="B11077" s="10"/>
      <c r="C11077" s="10"/>
      <c r="D11077" s="10"/>
      <c r="E11077" s="10"/>
      <c r="F11077" s="10"/>
      <c r="J11077" s="25"/>
      <c r="K11077" s="25"/>
      <c r="L11077" s="25"/>
      <c r="M11077" s="25"/>
      <c r="N11077" s="25"/>
      <c r="O11077" s="25"/>
    </row>
    <row r="11078" customFormat="false" ht="13.5" hidden="false" customHeight="true" outlineLevel="0" collapsed="false">
      <c r="B11078" s="10"/>
      <c r="C11078" s="10"/>
      <c r="D11078" s="10"/>
      <c r="E11078" s="10"/>
      <c r="F11078" s="10"/>
      <c r="J11078" s="25"/>
      <c r="K11078" s="25"/>
      <c r="L11078" s="25"/>
      <c r="M11078" s="25"/>
      <c r="N11078" s="25"/>
      <c r="O11078" s="25"/>
    </row>
    <row r="11079" customFormat="false" ht="13.5" hidden="false" customHeight="true" outlineLevel="0" collapsed="false">
      <c r="B11079" s="10"/>
      <c r="C11079" s="10"/>
      <c r="D11079" s="10"/>
      <c r="E11079" s="10"/>
      <c r="F11079" s="10"/>
      <c r="J11079" s="25"/>
      <c r="K11079" s="25"/>
      <c r="L11079" s="25"/>
      <c r="M11079" s="25"/>
      <c r="N11079" s="25"/>
      <c r="O11079" s="25"/>
    </row>
    <row r="11080" customFormat="false" ht="15" hidden="false" customHeight="true" outlineLevel="0" collapsed="false">
      <c r="B11080" s="10"/>
      <c r="C11080" s="10"/>
      <c r="D11080" s="34" t="str">
        <f aca="false">IF($K$11071=0,"",INDEX(Clients!$E$2:$E$501,$K$11071)&amp;"")</f>
        <v/>
      </c>
      <c r="E11080" s="34"/>
      <c r="F11080" s="34"/>
      <c r="J11080" s="25"/>
      <c r="K11080" s="25"/>
      <c r="L11080" s="25"/>
      <c r="M11080" s="25"/>
      <c r="N11080" s="25"/>
      <c r="O11080" s="25"/>
    </row>
    <row r="11081" customFormat="false" ht="15" hidden="false" customHeight="true" outlineLevel="0" collapsed="false">
      <c r="B11081" s="10"/>
      <c r="C11081" s="10"/>
      <c r="D11081" s="35" t="str">
        <f aca="false">IF(IF($K$11071=0,"",INDEX(Clients!$D$2:$D$501,$K$11071)&amp;"")="","","À l'attention de "&amp;TRIM(IF($K$11071=0,"",INDEX(Clients!$B$2:$B$501,$K$11071)&amp;"")&amp;" "&amp;IF($K$11071=0,"",INDEX(Clients!$C$2:$C$501,$K$11071)&amp;"")&amp;" "&amp;IF($K$11071=0,"",INDEX(Clients!$D$2:$D$501,$K$11071)&amp;"")))</f>
        <v/>
      </c>
      <c r="E11081" s="35"/>
      <c r="F11081" s="35"/>
      <c r="J11081" s="25"/>
      <c r="K11081" s="25"/>
      <c r="L11081" s="25"/>
      <c r="M11081" s="25"/>
      <c r="N11081" s="25"/>
      <c r="O11081" s="25"/>
    </row>
    <row r="11082" customFormat="false" ht="15" hidden="false" customHeight="true" outlineLevel="0" collapsed="false">
      <c r="B11082" s="10"/>
      <c r="C11082" s="10"/>
      <c r="D11082" s="35" t="str">
        <f aca="false">IF($K$11071=0,"",INDEX(Clients!$F$2:$F$501,$K$11071)&amp;"")</f>
        <v/>
      </c>
      <c r="E11082" s="35"/>
      <c r="F11082" s="35"/>
      <c r="J11082" s="25"/>
      <c r="K11082" s="25"/>
      <c r="L11082" s="25"/>
      <c r="M11082" s="25"/>
      <c r="N11082" s="25"/>
      <c r="O11082" s="25"/>
    </row>
    <row r="11083" customFormat="false" ht="15" hidden="false" customHeight="true" outlineLevel="0" collapsed="false">
      <c r="B11083" s="10"/>
      <c r="C11083" s="10"/>
      <c r="D11083" s="35" t="str">
        <f aca="false">IF(IF($K$11071=0,"",INDEX(Clients!$G$2:$G$501,$K$11071)&amp;"")="",TRIM(IF($K$11071=0,"",INDEX(Clients!$H$2:$H$501,$K$11071)&amp;"")&amp;" "&amp;UPPER(IF($K$11071=0,"",INDEX(Clients!$I$2:$I$501,$K$11071)&amp;""))),IF($K$11071=0,"",INDEX(Clients!$G$2:$G$501,$K$11071)&amp;""))</f>
        <v/>
      </c>
      <c r="E11083" s="35"/>
      <c r="F11083" s="35"/>
      <c r="J11083" s="25"/>
      <c r="K11083" s="25"/>
      <c r="L11083" s="25"/>
      <c r="M11083" s="25"/>
      <c r="N11083" s="25"/>
      <c r="O11083" s="25"/>
    </row>
    <row r="11084" customFormat="false" ht="15" hidden="false" customHeight="true" outlineLevel="0" collapsed="false">
      <c r="B11084" s="10"/>
      <c r="C11084" s="10"/>
      <c r="D11084" s="35" t="str">
        <f aca="false">IF(IF($K$11071=0,"",INDEX(Clients!$G$2:$G$501,$K$11071)&amp;"")="","",TRIM(IF($K$11071=0,"",INDEX(Clients!$H$2:$H$501,$K$11071)&amp;"")&amp;" "&amp;UPPER(IF($K$11071=0,"",INDEX(Clients!$I$2:$I$501,$K$11071)&amp;""))))</f>
        <v/>
      </c>
      <c r="E11084" s="35"/>
      <c r="F11084" s="35"/>
      <c r="J11084" s="25"/>
      <c r="K11084" s="25"/>
      <c r="L11084" s="25"/>
      <c r="M11084" s="25"/>
      <c r="N11084" s="25"/>
      <c r="O11084" s="25"/>
    </row>
    <row r="11085" customFormat="false" ht="25.5" hidden="false" customHeight="true" outlineLevel="0" collapsed="false">
      <c r="B11085" s="10"/>
      <c r="C11085" s="10"/>
      <c r="D11085" s="10"/>
      <c r="E11085" s="10"/>
      <c r="F11085" s="10"/>
      <c r="J11085" s="25"/>
      <c r="K11085" s="25"/>
      <c r="L11085" s="25"/>
      <c r="M11085" s="25"/>
      <c r="N11085" s="25"/>
      <c r="O11085" s="25"/>
    </row>
    <row r="11086" customFormat="false" ht="15" hidden="false" customHeight="false" outlineLevel="0" collapsed="false">
      <c r="B11086" s="10"/>
      <c r="C11086" s="10"/>
      <c r="D11086" s="36" t="str">
        <f aca="false">Cab_Ville&amp;", le "&amp;DAY(Date_Courrier)&amp;IF(DAY(Date_Courrier)=1,"er","")&amp;" "&amp;INDEX(Liste_Mois,MONTH(Date_Courrier))&amp;" "&amp;YEAR(Date_Courrier)</f>
        <v>Le Plessis-Bouchard, le 22 septembre 2026</v>
      </c>
      <c r="E11086" s="36"/>
      <c r="F11086" s="36"/>
      <c r="J11086" s="25"/>
      <c r="K11086" s="25"/>
      <c r="L11086" s="25"/>
      <c r="M11086" s="25"/>
      <c r="N11086" s="25"/>
      <c r="O11086" s="25"/>
    </row>
    <row r="11087" customFormat="false" ht="19.5" hidden="false" customHeight="true" outlineLevel="0" collapsed="false">
      <c r="B11087" s="10"/>
      <c r="C11087" s="10"/>
      <c r="D11087" s="10"/>
      <c r="E11087" s="10"/>
      <c r="F11087" s="10"/>
      <c r="J11087" s="25"/>
      <c r="K11087" s="25"/>
      <c r="L11087" s="25"/>
      <c r="M11087" s="25"/>
      <c r="N11087" s="25"/>
      <c r="O11087" s="25"/>
    </row>
    <row r="11088" customFormat="false" ht="15" hidden="false" customHeight="false" outlineLevel="0" collapsed="false">
      <c r="B11088" s="34" t="str">
        <f aca="false">SUBSTITUTE(SUBSTITUTE(SUBSTITUTE(SUBSTITUTE(SUBSTITUTE(Txt_Objet,"{cabinet}",Cab_Nom),"{societe}",IF($K$11071=0,"",INDEX(Clients!$E$2:$E$501,$K$11071)&amp;"")),"{date_effet}",$K$11073),"{hausse}",$K$11074),"{civilite}",$K$11072)</f>
        <v>Objet : révision de nos honoraires au 1er janvier 2027</v>
      </c>
      <c r="C11088" s="34"/>
      <c r="D11088" s="34"/>
      <c r="E11088" s="34"/>
      <c r="F11088" s="34"/>
      <c r="J11088" s="25"/>
      <c r="K11088" s="25"/>
      <c r="L11088" s="25"/>
      <c r="M11088" s="25"/>
      <c r="N11088" s="25"/>
      <c r="O11088" s="25"/>
    </row>
    <row r="11089" customFormat="false" ht="13.5" hidden="false" customHeight="true" outlineLevel="0" collapsed="false">
      <c r="B11089" s="10"/>
      <c r="C11089" s="10"/>
      <c r="D11089" s="10"/>
      <c r="E11089" s="10"/>
      <c r="F11089" s="10"/>
      <c r="J11089" s="25"/>
      <c r="K11089" s="25"/>
      <c r="L11089" s="25"/>
      <c r="M11089" s="25"/>
      <c r="N11089" s="25"/>
      <c r="O11089" s="25"/>
    </row>
    <row r="11090" customFormat="false" ht="15" hidden="false" customHeight="false" outlineLevel="0" collapsed="false">
      <c r="B11090" s="10" t="str">
        <f aca="false">$K$11072&amp;","</f>
        <v>Madame, Monsieur,</v>
      </c>
      <c r="C11090" s="10"/>
      <c r="D11090" s="10"/>
      <c r="E11090" s="10"/>
      <c r="F11090" s="10"/>
      <c r="J11090" s="25"/>
      <c r="K11090" s="25"/>
      <c r="L11090" s="25"/>
      <c r="M11090" s="25"/>
      <c r="N11090" s="25"/>
      <c r="O11090" s="25"/>
    </row>
    <row r="11091" customFormat="false" ht="6" hidden="false" customHeight="true" outlineLevel="0" collapsed="false">
      <c r="B11091" s="10"/>
      <c r="C11091" s="10"/>
      <c r="D11091" s="10"/>
      <c r="E11091" s="10"/>
      <c r="F11091" s="10"/>
      <c r="J11091" s="25"/>
      <c r="K11091" s="25"/>
      <c r="L11091" s="25"/>
      <c r="M11091" s="25"/>
      <c r="N11091" s="25"/>
      <c r="O11091" s="25"/>
    </row>
    <row r="11092" customFormat="false" ht="36.75" hidden="false" customHeight="true" outlineLevel="0" collapsed="false">
      <c r="B11092" s="37" t="str">
        <f aca="false">SUBSTITUTE(SUBSTITUTE(SUBSTITUTE(SUBSTITUTE(SUBSTITUTE(Txt_P1,"{cabinet}",Cab_Nom),"{societe}",IF($K$11071=0,"",INDEX(Clients!$E$2:$E$501,$K$11071)&amp;"")),"{date_effet}",$K$11073),"{hausse}",$K$11074),"{civilite}",$K$11072)</f>
        <v>Nous tenons tout d'abord à vous remercier pour la confiance que vous accordez à ALTHO EXPERTISE. Comme chaque année, et conformément aux dispositions de votre lettre de mission, nous procédons à la révision de nos honoraires.</v>
      </c>
      <c r="C11092" s="37"/>
      <c r="D11092" s="37"/>
      <c r="E11092" s="37"/>
      <c r="F11092" s="37"/>
      <c r="J11092" s="25"/>
      <c r="K11092" s="25"/>
      <c r="L11092" s="25"/>
      <c r="M11092" s="25"/>
      <c r="N11092" s="25"/>
      <c r="O11092" s="25"/>
    </row>
    <row r="11093" customFormat="false" ht="49.5" hidden="false" customHeight="true" outlineLevel="0" collapsed="false">
      <c r="B11093" s="37" t="str">
        <f aca="false">SUBSTITUTE(SUBSTITUTE(SUBSTITUTE(SUBSTITUTE(SUBSTITUTE(Txt_P2,"{cabinet}",Cab_Nom),"{societe}",IF($K$11071=0,"",INDEX(Clients!$E$2:$E$501,$K$11071)&amp;"")),"{date_effet}",$K$11073),"{hausse}",$K$11074),"{civilite}",$K$11072)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093" s="37"/>
      <c r="D11093" s="37"/>
      <c r="E11093" s="37"/>
      <c r="F11093" s="37"/>
      <c r="J11093" s="25"/>
      <c r="K11093" s="25"/>
      <c r="L11093" s="25"/>
      <c r="M11093" s="25"/>
      <c r="N11093" s="25"/>
      <c r="O11093" s="25"/>
    </row>
    <row r="11094" customFormat="false" ht="63" hidden="false" customHeight="true" outlineLevel="0" collapsed="false">
      <c r="B11094" s="37" t="str">
        <f aca="false">SUBSTITUTE(SUBSTITUTE(SUBSTITUTE(SUBSTITUTE(SUBSTITUTE(Txt_P3,"{cabinet}",Cab_Nom),"{societe}",IF($K$11071=0,"",INDEX(Clients!$E$2:$E$501,$K$11071)&amp;"")),"{date_effet}",$K$11073),"{hausse}",$K$11074),"{civilite}",$K$11072)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094" s="37"/>
      <c r="D11094" s="37"/>
      <c r="E11094" s="37"/>
      <c r="F11094" s="37"/>
      <c r="J11094" s="25"/>
      <c r="K11094" s="25"/>
      <c r="L11094" s="25"/>
      <c r="M11094" s="25"/>
      <c r="N11094" s="25"/>
      <c r="O11094" s="25"/>
    </row>
    <row r="11095" customFormat="false" ht="24" hidden="false" customHeight="true" outlineLevel="0" collapsed="false">
      <c r="B11095" s="37" t="str">
        <f aca="false">SUBSTITUTE(SUBSTITUTE(SUBSTITUTE(SUBSTITUTE(SUBSTITUTE(Txt_P4,"{cabinet}",Cab_Nom),"{societe}",IF($K$11071=0,"",INDEX(Clients!$E$2:$E$501,$K$11071)&amp;"")),"{date_effet}",$K$11073),"{hausse}",$K$11074),"{civilite}",$K$11072)</f>
        <v>À compter du 1er janvier 2027, vos honoraires annuels hors taxes évolueront ainsi (évolution globale : ) :</v>
      </c>
      <c r="C11095" s="37"/>
      <c r="D11095" s="37"/>
      <c r="E11095" s="37"/>
      <c r="F11095" s="37"/>
      <c r="J11095" s="25"/>
      <c r="K11095" s="25"/>
      <c r="L11095" s="25"/>
      <c r="M11095" s="25"/>
      <c r="N11095" s="25"/>
      <c r="O11095" s="25"/>
    </row>
    <row r="11096" customFormat="false" ht="3.75" hidden="false" customHeight="true" outlineLevel="0" collapsed="false">
      <c r="B11096" s="10"/>
      <c r="C11096" s="10"/>
      <c r="D11096" s="10"/>
      <c r="E11096" s="10"/>
      <c r="F11096" s="10"/>
      <c r="J11096" s="25"/>
      <c r="K11096" s="25"/>
      <c r="L11096" s="25"/>
      <c r="M11096" s="25"/>
      <c r="N11096" s="25"/>
      <c r="O11096" s="25"/>
    </row>
    <row r="11097" customFormat="false" ht="18" hidden="false" customHeight="true" outlineLevel="0" collapsed="false">
      <c r="B11097" s="38" t="s">
        <v>148</v>
      </c>
      <c r="C11097" s="39" t="s">
        <v>149</v>
      </c>
      <c r="D11097" s="39" t="s">
        <v>150</v>
      </c>
      <c r="E11097" s="39" t="s">
        <v>151</v>
      </c>
      <c r="F11097" s="39" t="s">
        <v>109</v>
      </c>
      <c r="J11097" s="25" t="s">
        <v>152</v>
      </c>
      <c r="K11097" s="25" t="s">
        <v>153</v>
      </c>
      <c r="L11097" s="25" t="s">
        <v>154</v>
      </c>
      <c r="M11097" s="25" t="s">
        <v>155</v>
      </c>
      <c r="N11097" s="25" t="s">
        <v>156</v>
      </c>
      <c r="O11097" s="25" t="s">
        <v>157</v>
      </c>
    </row>
    <row r="11098" customFormat="false" ht="16.5" hidden="false" customHeight="true" outlineLevel="0" collapsed="false">
      <c r="B11098" s="40" t="str">
        <f aca="false">IFERROR(INDEX($J$11098:$J$11101,MATCH($O11098,$N$11098:$N$11101,0)),"")</f>
        <v/>
      </c>
      <c r="C11098" s="41" t="str">
        <f aca="false">IFERROR(INDEX($K$11098:$K$11101,MATCH($O11098,$N$11098:$N$11101,0)),"")</f>
        <v/>
      </c>
      <c r="D11098" s="42" t="str">
        <f aca="false">IF(OR(E11098="",N(C11098)=0),"",E11098/C11098-1)</f>
        <v/>
      </c>
      <c r="E11098" s="41" t="str">
        <f aca="false">IFERROR(INDEX($L$11098:$L$11101,MATCH($O11098,$N$11098:$N$11101,0)),"")</f>
        <v/>
      </c>
      <c r="F11098" s="41" t="str">
        <f aca="false">IF(E11098="","",E11098-C11098)</f>
        <v/>
      </c>
      <c r="J11098" s="25" t="str">
        <f aca="false">Lib_Compta</f>
        <v>Mission comptable (tenue, révision, bilan, liasse fiscale)</v>
      </c>
      <c r="K11098" s="25" t="n">
        <f aca="false">IF($K$11071=0,0,N(INDEX(Clients!$K$2:$K$501,$K$11071)))</f>
        <v>0</v>
      </c>
      <c r="L11098" s="25" t="n">
        <f aca="false">IF($K$11071=0,0,N(INDEX(Clients!$P$2:$P$501,$K$11071)))</f>
        <v>0</v>
      </c>
      <c r="M11098" s="25" t="n">
        <f aca="false">IF(OR(K11098&lt;&gt;0,L11098&lt;&gt;0),1,0)</f>
        <v>0</v>
      </c>
      <c r="N11098" s="25" t="str">
        <f aca="false">IF(M11098=1,SUM($M$11098:M11098),"")</f>
        <v/>
      </c>
      <c r="O11098" s="25" t="n">
        <v>1</v>
      </c>
    </row>
    <row r="11099" customFormat="false" ht="16.5" hidden="false" customHeight="true" outlineLevel="0" collapsed="false">
      <c r="B11099" s="40" t="str">
        <f aca="false">IFERROR(INDEX($J$11098:$J$11101,MATCH($O11099,$N$11098:$N$11101,0)),"")</f>
        <v/>
      </c>
      <c r="C11099" s="41" t="str">
        <f aca="false">IFERROR(INDEX($K$11098:$K$11101,MATCH($O11099,$N$11098:$N$11101,0)),"")</f>
        <v/>
      </c>
      <c r="D11099" s="42" t="str">
        <f aca="false">IF(OR(E11099="",N(C11099)=0),"",E11099/C11099-1)</f>
        <v/>
      </c>
      <c r="E11099" s="41" t="str">
        <f aca="false">IFERROR(INDEX($L$11098:$L$11101,MATCH($O11099,$N$11098:$N$11101,0)),"")</f>
        <v/>
      </c>
      <c r="F11099" s="41" t="str">
        <f aca="false">IF(E11099="","",E11099-C11099)</f>
        <v/>
      </c>
      <c r="J11099" s="25" t="str">
        <f aca="false">Lib_Paye</f>
        <v>Mission sociale (bulletins de paie, DSN, déclarations sociales)</v>
      </c>
      <c r="K11099" s="25" t="n">
        <f aca="false">IF($K$11071=0,0,N(INDEX(Clients!$L$2:$L$501,$K$11071)))</f>
        <v>0</v>
      </c>
      <c r="L11099" s="25" t="n">
        <f aca="false">IF($K$11071=0,0,N(INDEX(Clients!$Q$2:$Q$501,$K$11071)))</f>
        <v>0</v>
      </c>
      <c r="M11099" s="25" t="n">
        <f aca="false">IF(OR(K11099&lt;&gt;0,L11099&lt;&gt;0),1,0)</f>
        <v>0</v>
      </c>
      <c r="N11099" s="25" t="str">
        <f aca="false">IF(M11099=1,SUM($M$11098:M11099),"")</f>
        <v/>
      </c>
      <c r="O11099" s="25" t="n">
        <v>2</v>
      </c>
    </row>
    <row r="11100" customFormat="false" ht="16.5" hidden="false" customHeight="true" outlineLevel="0" collapsed="false">
      <c r="B11100" s="40" t="str">
        <f aca="false">IFERROR(INDEX($J$11098:$J$11101,MATCH($O11100,$N$11098:$N$11101,0)),"")</f>
        <v/>
      </c>
      <c r="C11100" s="41" t="str">
        <f aca="false">IFERROR(INDEX($K$11098:$K$11101,MATCH($O11100,$N$11098:$N$11101,0)),"")</f>
        <v/>
      </c>
      <c r="D11100" s="42" t="str">
        <f aca="false">IF(OR(E11100="",N(C11100)=0),"",E11100/C11100-1)</f>
        <v/>
      </c>
      <c r="E11100" s="41" t="str">
        <f aca="false">IFERROR(INDEX($L$11098:$L$11101,MATCH($O11100,$N$11098:$N$11101,0)),"")</f>
        <v/>
      </c>
      <c r="F11100" s="41" t="str">
        <f aca="false">IF(E11100="","",E11100-C11100)</f>
        <v/>
      </c>
      <c r="J11100" s="25" t="str">
        <f aca="false">Lib_Jur</f>
        <v>Mission juridique (approbation des comptes, secrétariat juridique)</v>
      </c>
      <c r="K11100" s="25" t="n">
        <f aca="false">IF($K$11071=0,0,N(INDEX(Clients!$M$2:$M$501,$K$11071)))</f>
        <v>0</v>
      </c>
      <c r="L11100" s="25" t="n">
        <f aca="false">IF($K$11071=0,0,N(INDEX(Clients!$R$2:$R$501,$K$11071)))</f>
        <v>0</v>
      </c>
      <c r="M11100" s="25" t="n">
        <f aca="false">IF(OR(K11100&lt;&gt;0,L11100&lt;&gt;0),1,0)</f>
        <v>0</v>
      </c>
      <c r="N11100" s="25" t="str">
        <f aca="false">IF(M11100=1,SUM($M$11098:M11100),"")</f>
        <v/>
      </c>
      <c r="O11100" s="25" t="n">
        <v>3</v>
      </c>
    </row>
    <row r="11101" customFormat="false" ht="16.5" hidden="false" customHeight="true" outlineLevel="0" collapsed="false">
      <c r="B11101" s="40" t="str">
        <f aca="false">IFERROR(INDEX($J$11098:$J$11101,MATCH($O11101,$N$11098:$N$11101,0)),"")</f>
        <v/>
      </c>
      <c r="C11101" s="41" t="str">
        <f aca="false">IFERROR(INDEX($K$11098:$K$11101,MATCH($O11101,$N$11098:$N$11101,0)),"")</f>
        <v/>
      </c>
      <c r="D11101" s="42" t="str">
        <f aca="false">IF(OR(E11101="",N(C11101)=0),"",E11101/C11101-1)</f>
        <v/>
      </c>
      <c r="E11101" s="41" t="str">
        <f aca="false">IFERROR(INDEX($L$11098:$L$11101,MATCH($O11101,$N$11098:$N$11101,0)),"")</f>
        <v/>
      </c>
      <c r="F11101" s="41" t="str">
        <f aca="false">IF(E11101="","",E11101-C11101)</f>
        <v/>
      </c>
      <c r="J11101" s="25" t="str">
        <f aca="false">Lib_PA</f>
        <v>Plateforme agréée – facturation électronique</v>
      </c>
      <c r="K11101" s="25" t="n">
        <f aca="false">IF($K$11071=0,0,N(INDEX(Clients!$N$2:$N$501,$K$11071)))</f>
        <v>0</v>
      </c>
      <c r="L11101" s="25" t="n">
        <f aca="false">IF($K$11071=0,0,N(INDEX(Clients!$S$2:$S$501,$K$11071)))</f>
        <v>0</v>
      </c>
      <c r="M11101" s="25" t="n">
        <f aca="false">IF(OR(K11101&lt;&gt;0,L11101&lt;&gt;0),1,0)</f>
        <v>0</v>
      </c>
      <c r="N11101" s="25" t="str">
        <f aca="false">IF(M11101=1,SUM($M$11098:M11101),"")</f>
        <v/>
      </c>
      <c r="O11101" s="25" t="n">
        <v>4</v>
      </c>
    </row>
    <row r="11102" customFormat="false" ht="18" hidden="false" customHeight="true" outlineLevel="0" collapsed="false">
      <c r="B11102" s="43" t="s">
        <v>158</v>
      </c>
      <c r="C11102" s="44" t="n">
        <f aca="false">SUM(K11098:K11101)</f>
        <v>0</v>
      </c>
      <c r="D11102" s="45" t="str">
        <f aca="false">IF(N(C11102)=0,"",E11102/C11102-1)</f>
        <v/>
      </c>
      <c r="E11102" s="44" t="n">
        <f aca="false">SUM(L11098:L11101)</f>
        <v>0</v>
      </c>
      <c r="F11102" s="44" t="n">
        <f aca="false">E11102-C11102</f>
        <v>0</v>
      </c>
    </row>
    <row r="11103" customFormat="false" ht="15" hidden="false" customHeight="false" outlineLevel="0" collapsed="false">
      <c r="B11103" s="46" t="str">
        <f aca="false">IF(N(Nb_Mensualites)=0,"","Soit "&amp;FIXED(E11102/Nb_Mensualites,2)&amp;" € HT par échéance ("&amp;Nb_Mensualites&amp;" échéances), "&amp;FIXED(E11102/Nb_Mensualites*(1+Taux_TVA),2)&amp;" € TTC.")</f>
        <v>Soit 0.00 € HT par échéance (12 échéances), 0.00 € TTC.</v>
      </c>
      <c r="C11103" s="46"/>
      <c r="D11103" s="46"/>
      <c r="E11103" s="46"/>
      <c r="F11103" s="46"/>
    </row>
    <row r="11104" customFormat="false" ht="7.5" hidden="false" customHeight="true" outlineLevel="0" collapsed="false">
      <c r="B11104" s="10"/>
      <c r="C11104" s="10"/>
      <c r="D11104" s="10"/>
      <c r="E11104" s="10"/>
      <c r="F11104" s="10"/>
    </row>
    <row r="11105" customFormat="false" ht="36.75" hidden="false" customHeight="true" outlineLevel="0" collapsed="false">
      <c r="B11105" s="37" t="str">
        <f aca="false">SUBSTITUTE(SUBSTITUTE(SUBSTITUTE(SUBSTITUTE(SUBSTITUTE(Txt_P5,"{cabinet}",Cab_Nom),"{societe}",IF($K$11071=0,"",INDEX(Clients!$E$2:$E$501,$K$11071)&amp;"")),"{date_effet}",$K$11073),"{hausse}",$K$11074),"{civilite}",$K$11072)</f>
        <v>Les autres conditions de votre lettre de mission demeurent inchangées. Les nouveaux montants seront appliqués automatiquement sur vos prochaines factures et échéances de prélèvement.</v>
      </c>
      <c r="C11105" s="37"/>
      <c r="D11105" s="37"/>
      <c r="E11105" s="37"/>
      <c r="F11105" s="37"/>
    </row>
    <row r="11106" customFormat="false" ht="36.75" hidden="false" customHeight="true" outlineLevel="0" collapsed="false">
      <c r="B11106" s="37" t="str">
        <f aca="false">SUBSTITUTE(SUBSTITUTE(SUBSTITUTE(SUBSTITUTE(SUBSTITUTE(Txt_P6,"{cabinet}",Cab_Nom),"{societe}",IF($K$11071=0,"",INDEX(Clients!$E$2:$E$501,$K$11071)&amp;"")),"{date_effet}",$K$11073),"{hausse}",$K$11074),"{civilite}",$K$11072)</f>
        <v>Votre interlocuteur habituel reste à votre entière disposition pour répondre à vos questions et faire le point sur l'évolution de vos besoins.</v>
      </c>
      <c r="C11106" s="37"/>
      <c r="D11106" s="37"/>
      <c r="E11106" s="37"/>
      <c r="F11106" s="37"/>
    </row>
    <row r="11107" customFormat="false" ht="24" hidden="false" customHeight="true" outlineLevel="0" collapsed="false">
      <c r="B11107" s="37" t="str">
        <f aca="false">SUBSTITUTE(SUBSTITUTE(SUBSTITUTE(SUBSTITUTE(SUBSTITUTE(Txt_Politesse,"{cabinet}",Cab_Nom),"{societe}",IF($K$11071=0,"",INDEX(Clients!$E$2:$E$501,$K$11071)&amp;"")),"{date_effet}",$K$11073),"{hausse}",$K$11074),"{civilite}",$K$11072)</f>
        <v>Nous vous prions d'agréer, Madame, Monsieur, l'expression de nos salutations distinguées.</v>
      </c>
      <c r="C11107" s="37"/>
      <c r="D11107" s="37"/>
      <c r="E11107" s="37"/>
      <c r="F11107" s="37"/>
    </row>
    <row r="11108" customFormat="false" ht="15" hidden="false" customHeight="false" outlineLevel="0" collapsed="false">
      <c r="B11108" s="10"/>
      <c r="C11108" s="10"/>
      <c r="D11108" s="10"/>
      <c r="E11108" s="10"/>
      <c r="F11108" s="10"/>
    </row>
    <row r="11109" customFormat="false" ht="15" hidden="false" customHeight="false" outlineLevel="0" collapsed="false">
      <c r="B11109" s="10"/>
      <c r="C11109" s="10"/>
      <c r="D11109" s="34" t="str">
        <f aca="false">Signataire</f>
        <v>Prénom NOM</v>
      </c>
      <c r="E11109" s="34"/>
      <c r="F11109" s="34"/>
    </row>
    <row r="11110" customFormat="false" ht="15" hidden="false" customHeight="false" outlineLevel="0" collapsed="false">
      <c r="B11110" s="10"/>
      <c r="C11110" s="10"/>
      <c r="D11110" s="47" t="str">
        <f aca="false">Signataire_Titre</f>
        <v>Expert-comptable associé</v>
      </c>
      <c r="E11110" s="47"/>
      <c r="F11110" s="47"/>
    </row>
    <row r="11111" customFormat="false" ht="15.75" hidden="false" customHeight="true" outlineLevel="0" collapsed="false">
      <c r="B11111" s="10"/>
      <c r="C11111" s="10"/>
      <c r="D11111" s="10"/>
      <c r="E11111" s="10"/>
      <c r="F11111" s="10"/>
    </row>
    <row r="11112" customFormat="false" ht="15.75" hidden="false" customHeight="true" outlineLevel="0" collapsed="false">
      <c r="B11112" s="10"/>
      <c r="C11112" s="10"/>
      <c r="D11112" s="10"/>
      <c r="E11112" s="10"/>
      <c r="F11112" s="10"/>
    </row>
    <row r="11113" customFormat="false" ht="15.75" hidden="false" customHeight="true" outlineLevel="0" collapsed="false">
      <c r="B11113" s="10"/>
      <c r="C11113" s="10"/>
      <c r="D11113" s="10"/>
      <c r="E11113" s="10"/>
      <c r="F11113" s="10"/>
    </row>
    <row r="11114" customFormat="false" ht="15.75" hidden="false" customHeight="true" outlineLevel="0" collapsed="false">
      <c r="B11114" s="10"/>
      <c r="C11114" s="10"/>
      <c r="D11114" s="10"/>
      <c r="E11114" s="10"/>
      <c r="F11114" s="10"/>
    </row>
    <row r="11115" customFormat="false" ht="24" hidden="false" customHeight="true" outlineLevel="0" collapsed="false">
      <c r="B11115" s="48" t="str">
        <f aca="false">Cab_Mentions</f>
        <v>ALTHO EXPERTISE · SAS au capital de 10 000 € · RCS Pontoise 919 706 325 · TVA FR62919706325 · Société d'expertise comptable inscrite au Tableau de l'Ordre des experts-comptables de Paris Île-de-France</v>
      </c>
      <c r="C11115" s="48"/>
      <c r="D11115" s="48"/>
      <c r="E11115" s="48"/>
      <c r="F11115" s="48"/>
    </row>
    <row r="11116" customFormat="false" ht="15" hidden="false" customHeight="false" outlineLevel="0" collapsed="false">
      <c r="B11116" s="10"/>
      <c r="C11116" s="10"/>
      <c r="D11116" s="10"/>
      <c r="E11116" s="10"/>
      <c r="F11116" s="10"/>
      <c r="J11116" s="25" t="s">
        <v>142</v>
      </c>
      <c r="K11116" s="25" t="n">
        <f aca="false">IFERROR(MATCH(248,Clients!$Z$2:$Z$501,0),0)</f>
        <v>0</v>
      </c>
      <c r="L11116" s="25"/>
      <c r="M11116" s="25"/>
      <c r="N11116" s="25"/>
      <c r="O11116" s="25"/>
    </row>
    <row r="11117" customFormat="false" ht="21.75" hidden="false" customHeight="true" outlineLevel="0" collapsed="false">
      <c r="B11117" s="26" t="str">
        <f aca="false">Cab_Nom</f>
        <v>ALTHO EXPERTISE</v>
      </c>
      <c r="C11117" s="26"/>
      <c r="D11117" s="10"/>
      <c r="E11117" s="27" t="str">
        <f aca="false">IF($K$11116=0,"","Réf. client : "&amp;INDEX(Clients!$A$2:$A$501,$K$11116))</f>
        <v/>
      </c>
      <c r="F11117" s="27"/>
      <c r="J11117" s="25" t="s">
        <v>144</v>
      </c>
      <c r="K11117" s="25" t="str">
        <f aca="false">IF(IF($K$11116=0,"",INDEX(Clients!$B$2:$B$501,$K$11116)&amp;"")="Mme","Madame",IF(IF($K$11116=0,"",INDEX(Clients!$B$2:$B$501,$K$11116)&amp;"")="M.","Monsieur","Madame, Monsieur"))</f>
        <v>Madame, Monsieur</v>
      </c>
      <c r="L11117" s="25"/>
      <c r="M11117" s="25"/>
      <c r="N11117" s="25"/>
      <c r="O11117" s="25"/>
    </row>
    <row r="11118" customFormat="false" ht="15" hidden="false" customHeight="false" outlineLevel="0" collapsed="false">
      <c r="B11118" s="29" t="str">
        <f aca="false">Cab_Adr1</f>
        <v>141 rue Charles de Gaulle</v>
      </c>
      <c r="C11118" s="29"/>
      <c r="D11118" s="10"/>
      <c r="E11118" s="10"/>
      <c r="F11118" s="10"/>
      <c r="J11118" s="25" t="s">
        <v>145</v>
      </c>
      <c r="K11118" s="25" t="str">
        <f aca="false">DAY(Date_Effet)&amp;IF(DAY(Date_Effet)=1,"er","")&amp;" "&amp;INDEX(Liste_Mois,MONTH(Date_Effet))&amp;" "&amp;YEAR(Date_Effet)</f>
        <v>1er janvier 2027</v>
      </c>
      <c r="L11118" s="25"/>
      <c r="M11118" s="25"/>
      <c r="N11118" s="25"/>
      <c r="O11118" s="25"/>
    </row>
    <row r="11119" customFormat="false" ht="15" hidden="false" customHeight="false" outlineLevel="0" collapsed="false">
      <c r="B11119" s="29" t="str">
        <f aca="false">Cab_CPVille</f>
        <v>95130 LE PLESSIS-BOUCHARD</v>
      </c>
      <c r="C11119" s="29"/>
      <c r="D11119" s="10"/>
      <c r="E11119" s="10"/>
      <c r="F11119" s="10"/>
      <c r="J11119" s="25" t="s">
        <v>146</v>
      </c>
      <c r="K11119" s="25" t="str">
        <f aca="false">IF(SUM($K$11143:$K$11146)=0,"",FIXED((SUM($L$11143:$L$11146)/SUM($K$11143:$K$11146)-1)*100,1)&amp;" %")</f>
        <v/>
      </c>
      <c r="L11119" s="25"/>
      <c r="M11119" s="25"/>
      <c r="N11119" s="25"/>
      <c r="O11119" s="25"/>
    </row>
    <row r="11120" customFormat="false" ht="15" hidden="false" customHeight="false" outlineLevel="0" collapsed="false">
      <c r="B11120" s="29" t="str">
        <f aca="false">Cab_Contact</f>
        <v>Tél. 01 34 14 53 45  ·  altho@altho-experts.com  ·  altho-experts.com</v>
      </c>
      <c r="C11120" s="29"/>
      <c r="D11120" s="10"/>
      <c r="E11120" s="10"/>
      <c r="F11120" s="10"/>
      <c r="J11120" s="25"/>
      <c r="K11120" s="25"/>
      <c r="L11120" s="25"/>
      <c r="M11120" s="25"/>
      <c r="N11120" s="25"/>
      <c r="O11120" s="25"/>
    </row>
    <row r="11121" customFormat="false" ht="6" hidden="false" customHeight="true" outlineLevel="0" collapsed="false">
      <c r="B11121" s="32"/>
      <c r="C11121" s="32"/>
      <c r="D11121" s="32"/>
      <c r="E11121" s="32"/>
      <c r="F11121" s="32"/>
      <c r="J11121" s="25"/>
      <c r="K11121" s="25"/>
      <c r="L11121" s="25"/>
      <c r="M11121" s="25"/>
      <c r="N11121" s="25"/>
      <c r="O11121" s="25"/>
    </row>
    <row r="11122" customFormat="false" ht="13.5" hidden="false" customHeight="true" outlineLevel="0" collapsed="false">
      <c r="B11122" s="10"/>
      <c r="C11122" s="10"/>
      <c r="D11122" s="10"/>
      <c r="E11122" s="10"/>
      <c r="F11122" s="10"/>
      <c r="J11122" s="25"/>
      <c r="K11122" s="25"/>
      <c r="L11122" s="25"/>
      <c r="M11122" s="25"/>
      <c r="N11122" s="25"/>
      <c r="O11122" s="25"/>
    </row>
    <row r="11123" customFormat="false" ht="13.5" hidden="false" customHeight="true" outlineLevel="0" collapsed="false">
      <c r="B11123" s="10"/>
      <c r="C11123" s="10"/>
      <c r="D11123" s="10"/>
      <c r="E11123" s="10"/>
      <c r="F11123" s="10"/>
      <c r="J11123" s="25"/>
      <c r="K11123" s="25"/>
      <c r="L11123" s="25"/>
      <c r="M11123" s="25"/>
      <c r="N11123" s="25"/>
      <c r="O11123" s="25"/>
    </row>
    <row r="11124" customFormat="false" ht="13.5" hidden="false" customHeight="true" outlineLevel="0" collapsed="false">
      <c r="B11124" s="10"/>
      <c r="C11124" s="10"/>
      <c r="D11124" s="10"/>
      <c r="E11124" s="10"/>
      <c r="F11124" s="10"/>
      <c r="J11124" s="25"/>
      <c r="K11124" s="25"/>
      <c r="L11124" s="25"/>
      <c r="M11124" s="25"/>
      <c r="N11124" s="25"/>
      <c r="O11124" s="25"/>
    </row>
    <row r="11125" customFormat="false" ht="15" hidden="false" customHeight="true" outlineLevel="0" collapsed="false">
      <c r="B11125" s="10"/>
      <c r="C11125" s="10"/>
      <c r="D11125" s="34" t="str">
        <f aca="false">IF($K$11116=0,"",INDEX(Clients!$E$2:$E$501,$K$11116)&amp;"")</f>
        <v/>
      </c>
      <c r="E11125" s="34"/>
      <c r="F11125" s="34"/>
      <c r="J11125" s="25"/>
      <c r="K11125" s="25"/>
      <c r="L11125" s="25"/>
      <c r="M11125" s="25"/>
      <c r="N11125" s="25"/>
      <c r="O11125" s="25"/>
    </row>
    <row r="11126" customFormat="false" ht="15" hidden="false" customHeight="true" outlineLevel="0" collapsed="false">
      <c r="B11126" s="10"/>
      <c r="C11126" s="10"/>
      <c r="D11126" s="35" t="str">
        <f aca="false">IF(IF($K$11116=0,"",INDEX(Clients!$D$2:$D$501,$K$11116)&amp;"")="","","À l'attention de "&amp;TRIM(IF($K$11116=0,"",INDEX(Clients!$B$2:$B$501,$K$11116)&amp;"")&amp;" "&amp;IF($K$11116=0,"",INDEX(Clients!$C$2:$C$501,$K$11116)&amp;"")&amp;" "&amp;IF($K$11116=0,"",INDEX(Clients!$D$2:$D$501,$K$11116)&amp;"")))</f>
        <v/>
      </c>
      <c r="E11126" s="35"/>
      <c r="F11126" s="35"/>
      <c r="J11126" s="25"/>
      <c r="K11126" s="25"/>
      <c r="L11126" s="25"/>
      <c r="M11126" s="25"/>
      <c r="N11126" s="25"/>
      <c r="O11126" s="25"/>
    </row>
    <row r="11127" customFormat="false" ht="15" hidden="false" customHeight="true" outlineLevel="0" collapsed="false">
      <c r="B11127" s="10"/>
      <c r="C11127" s="10"/>
      <c r="D11127" s="35" t="str">
        <f aca="false">IF($K$11116=0,"",INDEX(Clients!$F$2:$F$501,$K$11116)&amp;"")</f>
        <v/>
      </c>
      <c r="E11127" s="35"/>
      <c r="F11127" s="35"/>
      <c r="J11127" s="25"/>
      <c r="K11127" s="25"/>
      <c r="L11127" s="25"/>
      <c r="M11127" s="25"/>
      <c r="N11127" s="25"/>
      <c r="O11127" s="25"/>
    </row>
    <row r="11128" customFormat="false" ht="15" hidden="false" customHeight="true" outlineLevel="0" collapsed="false">
      <c r="B11128" s="10"/>
      <c r="C11128" s="10"/>
      <c r="D11128" s="35" t="str">
        <f aca="false">IF(IF($K$11116=0,"",INDEX(Clients!$G$2:$G$501,$K$11116)&amp;"")="",TRIM(IF($K$11116=0,"",INDEX(Clients!$H$2:$H$501,$K$11116)&amp;"")&amp;" "&amp;UPPER(IF($K$11116=0,"",INDEX(Clients!$I$2:$I$501,$K$11116)&amp;""))),IF($K$11116=0,"",INDEX(Clients!$G$2:$G$501,$K$11116)&amp;""))</f>
        <v/>
      </c>
      <c r="E11128" s="35"/>
      <c r="F11128" s="35"/>
      <c r="J11128" s="25"/>
      <c r="K11128" s="25"/>
      <c r="L11128" s="25"/>
      <c r="M11128" s="25"/>
      <c r="N11128" s="25"/>
      <c r="O11128" s="25"/>
    </row>
    <row r="11129" customFormat="false" ht="15" hidden="false" customHeight="true" outlineLevel="0" collapsed="false">
      <c r="B11129" s="10"/>
      <c r="C11129" s="10"/>
      <c r="D11129" s="35" t="str">
        <f aca="false">IF(IF($K$11116=0,"",INDEX(Clients!$G$2:$G$501,$K$11116)&amp;"")="","",TRIM(IF($K$11116=0,"",INDEX(Clients!$H$2:$H$501,$K$11116)&amp;"")&amp;" "&amp;UPPER(IF($K$11116=0,"",INDEX(Clients!$I$2:$I$501,$K$11116)&amp;""))))</f>
        <v/>
      </c>
      <c r="E11129" s="35"/>
      <c r="F11129" s="35"/>
      <c r="J11129" s="25"/>
      <c r="K11129" s="25"/>
      <c r="L11129" s="25"/>
      <c r="M11129" s="25"/>
      <c r="N11129" s="25"/>
      <c r="O11129" s="25"/>
    </row>
    <row r="11130" customFormat="false" ht="25.5" hidden="false" customHeight="true" outlineLevel="0" collapsed="false">
      <c r="B11130" s="10"/>
      <c r="C11130" s="10"/>
      <c r="D11130" s="10"/>
      <c r="E11130" s="10"/>
      <c r="F11130" s="10"/>
      <c r="J11130" s="25"/>
      <c r="K11130" s="25"/>
      <c r="L11130" s="25"/>
      <c r="M11130" s="25"/>
      <c r="N11130" s="25"/>
      <c r="O11130" s="25"/>
    </row>
    <row r="11131" customFormat="false" ht="15" hidden="false" customHeight="false" outlineLevel="0" collapsed="false">
      <c r="B11131" s="10"/>
      <c r="C11131" s="10"/>
      <c r="D11131" s="36" t="str">
        <f aca="false">Cab_Ville&amp;", le "&amp;DAY(Date_Courrier)&amp;IF(DAY(Date_Courrier)=1,"er","")&amp;" "&amp;INDEX(Liste_Mois,MONTH(Date_Courrier))&amp;" "&amp;YEAR(Date_Courrier)</f>
        <v>Le Plessis-Bouchard, le 22 septembre 2026</v>
      </c>
      <c r="E11131" s="36"/>
      <c r="F11131" s="36"/>
      <c r="J11131" s="25"/>
      <c r="K11131" s="25"/>
      <c r="L11131" s="25"/>
      <c r="M11131" s="25"/>
      <c r="N11131" s="25"/>
      <c r="O11131" s="25"/>
    </row>
    <row r="11132" customFormat="false" ht="19.5" hidden="false" customHeight="true" outlineLevel="0" collapsed="false">
      <c r="B11132" s="10"/>
      <c r="C11132" s="10"/>
      <c r="D11132" s="10"/>
      <c r="E11132" s="10"/>
      <c r="F11132" s="10"/>
      <c r="J11132" s="25"/>
      <c r="K11132" s="25"/>
      <c r="L11132" s="25"/>
      <c r="M11132" s="25"/>
      <c r="N11132" s="25"/>
      <c r="O11132" s="25"/>
    </row>
    <row r="11133" customFormat="false" ht="15" hidden="false" customHeight="false" outlineLevel="0" collapsed="false">
      <c r="B11133" s="34" t="str">
        <f aca="false">SUBSTITUTE(SUBSTITUTE(SUBSTITUTE(SUBSTITUTE(SUBSTITUTE(Txt_Objet,"{cabinet}",Cab_Nom),"{societe}",IF($K$11116=0,"",INDEX(Clients!$E$2:$E$501,$K$11116)&amp;"")),"{date_effet}",$K$11118),"{hausse}",$K$11119),"{civilite}",$K$11117)</f>
        <v>Objet : révision de nos honoraires au 1er janvier 2027</v>
      </c>
      <c r="C11133" s="34"/>
      <c r="D11133" s="34"/>
      <c r="E11133" s="34"/>
      <c r="F11133" s="34"/>
      <c r="J11133" s="25"/>
      <c r="K11133" s="25"/>
      <c r="L11133" s="25"/>
      <c r="M11133" s="25"/>
      <c r="N11133" s="25"/>
      <c r="O11133" s="25"/>
    </row>
    <row r="11134" customFormat="false" ht="13.5" hidden="false" customHeight="true" outlineLevel="0" collapsed="false">
      <c r="B11134" s="10"/>
      <c r="C11134" s="10"/>
      <c r="D11134" s="10"/>
      <c r="E11134" s="10"/>
      <c r="F11134" s="10"/>
      <c r="J11134" s="25"/>
      <c r="K11134" s="25"/>
      <c r="L11134" s="25"/>
      <c r="M11134" s="25"/>
      <c r="N11134" s="25"/>
      <c r="O11134" s="25"/>
    </row>
    <row r="11135" customFormat="false" ht="15" hidden="false" customHeight="false" outlineLevel="0" collapsed="false">
      <c r="B11135" s="10" t="str">
        <f aca="false">$K$11117&amp;","</f>
        <v>Madame, Monsieur,</v>
      </c>
      <c r="C11135" s="10"/>
      <c r="D11135" s="10"/>
      <c r="E11135" s="10"/>
      <c r="F11135" s="10"/>
      <c r="J11135" s="25"/>
      <c r="K11135" s="25"/>
      <c r="L11135" s="25"/>
      <c r="M11135" s="25"/>
      <c r="N11135" s="25"/>
      <c r="O11135" s="25"/>
    </row>
    <row r="11136" customFormat="false" ht="6" hidden="false" customHeight="true" outlineLevel="0" collapsed="false">
      <c r="B11136" s="10"/>
      <c r="C11136" s="10"/>
      <c r="D11136" s="10"/>
      <c r="E11136" s="10"/>
      <c r="F11136" s="10"/>
      <c r="J11136" s="25"/>
      <c r="K11136" s="25"/>
      <c r="L11136" s="25"/>
      <c r="M11136" s="25"/>
      <c r="N11136" s="25"/>
      <c r="O11136" s="25"/>
    </row>
    <row r="11137" customFormat="false" ht="36.75" hidden="false" customHeight="true" outlineLevel="0" collapsed="false">
      <c r="B11137" s="37" t="str">
        <f aca="false">SUBSTITUTE(SUBSTITUTE(SUBSTITUTE(SUBSTITUTE(SUBSTITUTE(Txt_P1,"{cabinet}",Cab_Nom),"{societe}",IF($K$11116=0,"",INDEX(Clients!$E$2:$E$501,$K$11116)&amp;"")),"{date_effet}",$K$11118),"{hausse}",$K$11119),"{civilite}",$K$11117)</f>
        <v>Nous tenons tout d'abord à vous remercier pour la confiance que vous accordez à ALTHO EXPERTISE. Comme chaque année, et conformément aux dispositions de votre lettre de mission, nous procédons à la révision de nos honoraires.</v>
      </c>
      <c r="C11137" s="37"/>
      <c r="D11137" s="37"/>
      <c r="E11137" s="37"/>
      <c r="F11137" s="37"/>
      <c r="J11137" s="25"/>
      <c r="K11137" s="25"/>
      <c r="L11137" s="25"/>
      <c r="M11137" s="25"/>
      <c r="N11137" s="25"/>
      <c r="O11137" s="25"/>
    </row>
    <row r="11138" customFormat="false" ht="49.5" hidden="false" customHeight="true" outlineLevel="0" collapsed="false">
      <c r="B11138" s="37" t="str">
        <f aca="false">SUBSTITUTE(SUBSTITUTE(SUBSTITUTE(SUBSTITUTE(SUBSTITUTE(Txt_P2,"{cabinet}",Cab_Nom),"{societe}",IF($K$11116=0,"",INDEX(Clients!$E$2:$E$501,$K$11116)&amp;"")),"{date_effet}",$K$11118),"{hausse}",$K$11119),"{civilite}",$K$11117)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138" s="37"/>
      <c r="D11138" s="37"/>
      <c r="E11138" s="37"/>
      <c r="F11138" s="37"/>
      <c r="J11138" s="25"/>
      <c r="K11138" s="25"/>
      <c r="L11138" s="25"/>
      <c r="M11138" s="25"/>
      <c r="N11138" s="25"/>
      <c r="O11138" s="25"/>
    </row>
    <row r="11139" customFormat="false" ht="63" hidden="false" customHeight="true" outlineLevel="0" collapsed="false">
      <c r="B11139" s="37" t="str">
        <f aca="false">SUBSTITUTE(SUBSTITUTE(SUBSTITUTE(SUBSTITUTE(SUBSTITUTE(Txt_P3,"{cabinet}",Cab_Nom),"{societe}",IF($K$11116=0,"",INDEX(Clients!$E$2:$E$501,$K$11116)&amp;"")),"{date_effet}",$K$11118),"{hausse}",$K$11119),"{civilite}",$K$11117)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139" s="37"/>
      <c r="D11139" s="37"/>
      <c r="E11139" s="37"/>
      <c r="F11139" s="37"/>
      <c r="J11139" s="25"/>
      <c r="K11139" s="25"/>
      <c r="L11139" s="25"/>
      <c r="M11139" s="25"/>
      <c r="N11139" s="25"/>
      <c r="O11139" s="25"/>
    </row>
    <row r="11140" customFormat="false" ht="24" hidden="false" customHeight="true" outlineLevel="0" collapsed="false">
      <c r="B11140" s="37" t="str">
        <f aca="false">SUBSTITUTE(SUBSTITUTE(SUBSTITUTE(SUBSTITUTE(SUBSTITUTE(Txt_P4,"{cabinet}",Cab_Nom),"{societe}",IF($K$11116=0,"",INDEX(Clients!$E$2:$E$501,$K$11116)&amp;"")),"{date_effet}",$K$11118),"{hausse}",$K$11119),"{civilite}",$K$11117)</f>
        <v>À compter du 1er janvier 2027, vos honoraires annuels hors taxes évolueront ainsi (évolution globale : ) :</v>
      </c>
      <c r="C11140" s="37"/>
      <c r="D11140" s="37"/>
      <c r="E11140" s="37"/>
      <c r="F11140" s="37"/>
      <c r="J11140" s="25"/>
      <c r="K11140" s="25"/>
      <c r="L11140" s="25"/>
      <c r="M11140" s="25"/>
      <c r="N11140" s="25"/>
      <c r="O11140" s="25"/>
    </row>
    <row r="11141" customFormat="false" ht="3.75" hidden="false" customHeight="true" outlineLevel="0" collapsed="false">
      <c r="B11141" s="10"/>
      <c r="C11141" s="10"/>
      <c r="D11141" s="10"/>
      <c r="E11141" s="10"/>
      <c r="F11141" s="10"/>
      <c r="J11141" s="25"/>
      <c r="K11141" s="25"/>
      <c r="L11141" s="25"/>
      <c r="M11141" s="25"/>
      <c r="N11141" s="25"/>
      <c r="O11141" s="25"/>
    </row>
    <row r="11142" customFormat="false" ht="18" hidden="false" customHeight="true" outlineLevel="0" collapsed="false">
      <c r="B11142" s="38" t="s">
        <v>148</v>
      </c>
      <c r="C11142" s="39" t="s">
        <v>149</v>
      </c>
      <c r="D11142" s="39" t="s">
        <v>150</v>
      </c>
      <c r="E11142" s="39" t="s">
        <v>151</v>
      </c>
      <c r="F11142" s="39" t="s">
        <v>109</v>
      </c>
      <c r="J11142" s="25" t="s">
        <v>152</v>
      </c>
      <c r="K11142" s="25" t="s">
        <v>153</v>
      </c>
      <c r="L11142" s="25" t="s">
        <v>154</v>
      </c>
      <c r="M11142" s="25" t="s">
        <v>155</v>
      </c>
      <c r="N11142" s="25" t="s">
        <v>156</v>
      </c>
      <c r="O11142" s="25" t="s">
        <v>157</v>
      </c>
    </row>
    <row r="11143" customFormat="false" ht="16.5" hidden="false" customHeight="true" outlineLevel="0" collapsed="false">
      <c r="B11143" s="40" t="str">
        <f aca="false">IFERROR(INDEX($J$11143:$J$11146,MATCH($O11143,$N$11143:$N$11146,0)),"")</f>
        <v/>
      </c>
      <c r="C11143" s="41" t="str">
        <f aca="false">IFERROR(INDEX($K$11143:$K$11146,MATCH($O11143,$N$11143:$N$11146,0)),"")</f>
        <v/>
      </c>
      <c r="D11143" s="42" t="str">
        <f aca="false">IF(OR(E11143="",N(C11143)=0),"",E11143/C11143-1)</f>
        <v/>
      </c>
      <c r="E11143" s="41" t="str">
        <f aca="false">IFERROR(INDEX($L$11143:$L$11146,MATCH($O11143,$N$11143:$N$11146,0)),"")</f>
        <v/>
      </c>
      <c r="F11143" s="41" t="str">
        <f aca="false">IF(E11143="","",E11143-C11143)</f>
        <v/>
      </c>
      <c r="J11143" s="25" t="str">
        <f aca="false">Lib_Compta</f>
        <v>Mission comptable (tenue, révision, bilan, liasse fiscale)</v>
      </c>
      <c r="K11143" s="25" t="n">
        <f aca="false">IF($K$11116=0,0,N(INDEX(Clients!$K$2:$K$501,$K$11116)))</f>
        <v>0</v>
      </c>
      <c r="L11143" s="25" t="n">
        <f aca="false">IF($K$11116=0,0,N(INDEX(Clients!$P$2:$P$501,$K$11116)))</f>
        <v>0</v>
      </c>
      <c r="M11143" s="25" t="n">
        <f aca="false">IF(OR(K11143&lt;&gt;0,L11143&lt;&gt;0),1,0)</f>
        <v>0</v>
      </c>
      <c r="N11143" s="25" t="str">
        <f aca="false">IF(M11143=1,SUM($M$11143:M11143),"")</f>
        <v/>
      </c>
      <c r="O11143" s="25" t="n">
        <v>1</v>
      </c>
    </row>
    <row r="11144" customFormat="false" ht="16.5" hidden="false" customHeight="true" outlineLevel="0" collapsed="false">
      <c r="B11144" s="40" t="str">
        <f aca="false">IFERROR(INDEX($J$11143:$J$11146,MATCH($O11144,$N$11143:$N$11146,0)),"")</f>
        <v/>
      </c>
      <c r="C11144" s="41" t="str">
        <f aca="false">IFERROR(INDEX($K$11143:$K$11146,MATCH($O11144,$N$11143:$N$11146,0)),"")</f>
        <v/>
      </c>
      <c r="D11144" s="42" t="str">
        <f aca="false">IF(OR(E11144="",N(C11144)=0),"",E11144/C11144-1)</f>
        <v/>
      </c>
      <c r="E11144" s="41" t="str">
        <f aca="false">IFERROR(INDEX($L$11143:$L$11146,MATCH($O11144,$N$11143:$N$11146,0)),"")</f>
        <v/>
      </c>
      <c r="F11144" s="41" t="str">
        <f aca="false">IF(E11144="","",E11144-C11144)</f>
        <v/>
      </c>
      <c r="J11144" s="25" t="str">
        <f aca="false">Lib_Paye</f>
        <v>Mission sociale (bulletins de paie, DSN, déclarations sociales)</v>
      </c>
      <c r="K11144" s="25" t="n">
        <f aca="false">IF($K$11116=0,0,N(INDEX(Clients!$L$2:$L$501,$K$11116)))</f>
        <v>0</v>
      </c>
      <c r="L11144" s="25" t="n">
        <f aca="false">IF($K$11116=0,0,N(INDEX(Clients!$Q$2:$Q$501,$K$11116)))</f>
        <v>0</v>
      </c>
      <c r="M11144" s="25" t="n">
        <f aca="false">IF(OR(K11144&lt;&gt;0,L11144&lt;&gt;0),1,0)</f>
        <v>0</v>
      </c>
      <c r="N11144" s="25" t="str">
        <f aca="false">IF(M11144=1,SUM($M$11143:M11144),"")</f>
        <v/>
      </c>
      <c r="O11144" s="25" t="n">
        <v>2</v>
      </c>
    </row>
    <row r="11145" customFormat="false" ht="16.5" hidden="false" customHeight="true" outlineLevel="0" collapsed="false">
      <c r="B11145" s="40" t="str">
        <f aca="false">IFERROR(INDEX($J$11143:$J$11146,MATCH($O11145,$N$11143:$N$11146,0)),"")</f>
        <v/>
      </c>
      <c r="C11145" s="41" t="str">
        <f aca="false">IFERROR(INDEX($K$11143:$K$11146,MATCH($O11145,$N$11143:$N$11146,0)),"")</f>
        <v/>
      </c>
      <c r="D11145" s="42" t="str">
        <f aca="false">IF(OR(E11145="",N(C11145)=0),"",E11145/C11145-1)</f>
        <v/>
      </c>
      <c r="E11145" s="41" t="str">
        <f aca="false">IFERROR(INDEX($L$11143:$L$11146,MATCH($O11145,$N$11143:$N$11146,0)),"")</f>
        <v/>
      </c>
      <c r="F11145" s="41" t="str">
        <f aca="false">IF(E11145="","",E11145-C11145)</f>
        <v/>
      </c>
      <c r="J11145" s="25" t="str">
        <f aca="false">Lib_Jur</f>
        <v>Mission juridique (approbation des comptes, secrétariat juridique)</v>
      </c>
      <c r="K11145" s="25" t="n">
        <f aca="false">IF($K$11116=0,0,N(INDEX(Clients!$M$2:$M$501,$K$11116)))</f>
        <v>0</v>
      </c>
      <c r="L11145" s="25" t="n">
        <f aca="false">IF($K$11116=0,0,N(INDEX(Clients!$R$2:$R$501,$K$11116)))</f>
        <v>0</v>
      </c>
      <c r="M11145" s="25" t="n">
        <f aca="false">IF(OR(K11145&lt;&gt;0,L11145&lt;&gt;0),1,0)</f>
        <v>0</v>
      </c>
      <c r="N11145" s="25" t="str">
        <f aca="false">IF(M11145=1,SUM($M$11143:M11145),"")</f>
        <v/>
      </c>
      <c r="O11145" s="25" t="n">
        <v>3</v>
      </c>
    </row>
    <row r="11146" customFormat="false" ht="16.5" hidden="false" customHeight="true" outlineLevel="0" collapsed="false">
      <c r="B11146" s="40" t="str">
        <f aca="false">IFERROR(INDEX($J$11143:$J$11146,MATCH($O11146,$N$11143:$N$11146,0)),"")</f>
        <v/>
      </c>
      <c r="C11146" s="41" t="str">
        <f aca="false">IFERROR(INDEX($K$11143:$K$11146,MATCH($O11146,$N$11143:$N$11146,0)),"")</f>
        <v/>
      </c>
      <c r="D11146" s="42" t="str">
        <f aca="false">IF(OR(E11146="",N(C11146)=0),"",E11146/C11146-1)</f>
        <v/>
      </c>
      <c r="E11146" s="41" t="str">
        <f aca="false">IFERROR(INDEX($L$11143:$L$11146,MATCH($O11146,$N$11143:$N$11146,0)),"")</f>
        <v/>
      </c>
      <c r="F11146" s="41" t="str">
        <f aca="false">IF(E11146="","",E11146-C11146)</f>
        <v/>
      </c>
      <c r="J11146" s="25" t="str">
        <f aca="false">Lib_PA</f>
        <v>Plateforme agréée – facturation électronique</v>
      </c>
      <c r="K11146" s="25" t="n">
        <f aca="false">IF($K$11116=0,0,N(INDEX(Clients!$N$2:$N$501,$K$11116)))</f>
        <v>0</v>
      </c>
      <c r="L11146" s="25" t="n">
        <f aca="false">IF($K$11116=0,0,N(INDEX(Clients!$S$2:$S$501,$K$11116)))</f>
        <v>0</v>
      </c>
      <c r="M11146" s="25" t="n">
        <f aca="false">IF(OR(K11146&lt;&gt;0,L11146&lt;&gt;0),1,0)</f>
        <v>0</v>
      </c>
      <c r="N11146" s="25" t="str">
        <f aca="false">IF(M11146=1,SUM($M$11143:M11146),"")</f>
        <v/>
      </c>
      <c r="O11146" s="25" t="n">
        <v>4</v>
      </c>
    </row>
    <row r="11147" customFormat="false" ht="18" hidden="false" customHeight="true" outlineLevel="0" collapsed="false">
      <c r="B11147" s="43" t="s">
        <v>158</v>
      </c>
      <c r="C11147" s="44" t="n">
        <f aca="false">SUM(K11143:K11146)</f>
        <v>0</v>
      </c>
      <c r="D11147" s="45" t="str">
        <f aca="false">IF(N(C11147)=0,"",E11147/C11147-1)</f>
        <v/>
      </c>
      <c r="E11147" s="44" t="n">
        <f aca="false">SUM(L11143:L11146)</f>
        <v>0</v>
      </c>
      <c r="F11147" s="44" t="n">
        <f aca="false">E11147-C11147</f>
        <v>0</v>
      </c>
    </row>
    <row r="11148" customFormat="false" ht="15" hidden="false" customHeight="false" outlineLevel="0" collapsed="false">
      <c r="B11148" s="46" t="str">
        <f aca="false">IF(N(Nb_Mensualites)=0,"","Soit "&amp;FIXED(E11147/Nb_Mensualites,2)&amp;" € HT par échéance ("&amp;Nb_Mensualites&amp;" échéances), "&amp;FIXED(E11147/Nb_Mensualites*(1+Taux_TVA),2)&amp;" € TTC.")</f>
        <v>Soit 0.00 € HT par échéance (12 échéances), 0.00 € TTC.</v>
      </c>
      <c r="C11148" s="46"/>
      <c r="D11148" s="46"/>
      <c r="E11148" s="46"/>
      <c r="F11148" s="46"/>
    </row>
    <row r="11149" customFormat="false" ht="7.5" hidden="false" customHeight="true" outlineLevel="0" collapsed="false">
      <c r="B11149" s="10"/>
      <c r="C11149" s="10"/>
      <c r="D11149" s="10"/>
      <c r="E11149" s="10"/>
      <c r="F11149" s="10"/>
    </row>
    <row r="11150" customFormat="false" ht="36.75" hidden="false" customHeight="true" outlineLevel="0" collapsed="false">
      <c r="B11150" s="37" t="str">
        <f aca="false">SUBSTITUTE(SUBSTITUTE(SUBSTITUTE(SUBSTITUTE(SUBSTITUTE(Txt_P5,"{cabinet}",Cab_Nom),"{societe}",IF($K$11116=0,"",INDEX(Clients!$E$2:$E$501,$K$11116)&amp;"")),"{date_effet}",$K$11118),"{hausse}",$K$11119),"{civilite}",$K$11117)</f>
        <v>Les autres conditions de votre lettre de mission demeurent inchangées. Les nouveaux montants seront appliqués automatiquement sur vos prochaines factures et échéances de prélèvement.</v>
      </c>
      <c r="C11150" s="37"/>
      <c r="D11150" s="37"/>
      <c r="E11150" s="37"/>
      <c r="F11150" s="37"/>
    </row>
    <row r="11151" customFormat="false" ht="36.75" hidden="false" customHeight="true" outlineLevel="0" collapsed="false">
      <c r="B11151" s="37" t="str">
        <f aca="false">SUBSTITUTE(SUBSTITUTE(SUBSTITUTE(SUBSTITUTE(SUBSTITUTE(Txt_P6,"{cabinet}",Cab_Nom),"{societe}",IF($K$11116=0,"",INDEX(Clients!$E$2:$E$501,$K$11116)&amp;"")),"{date_effet}",$K$11118),"{hausse}",$K$11119),"{civilite}",$K$11117)</f>
        <v>Votre interlocuteur habituel reste à votre entière disposition pour répondre à vos questions et faire le point sur l'évolution de vos besoins.</v>
      </c>
      <c r="C11151" s="37"/>
      <c r="D11151" s="37"/>
      <c r="E11151" s="37"/>
      <c r="F11151" s="37"/>
    </row>
    <row r="11152" customFormat="false" ht="24" hidden="false" customHeight="true" outlineLevel="0" collapsed="false">
      <c r="B11152" s="37" t="str">
        <f aca="false">SUBSTITUTE(SUBSTITUTE(SUBSTITUTE(SUBSTITUTE(SUBSTITUTE(Txt_Politesse,"{cabinet}",Cab_Nom),"{societe}",IF($K$11116=0,"",INDEX(Clients!$E$2:$E$501,$K$11116)&amp;"")),"{date_effet}",$K$11118),"{hausse}",$K$11119),"{civilite}",$K$11117)</f>
        <v>Nous vous prions d'agréer, Madame, Monsieur, l'expression de nos salutations distinguées.</v>
      </c>
      <c r="C11152" s="37"/>
      <c r="D11152" s="37"/>
      <c r="E11152" s="37"/>
      <c r="F11152" s="37"/>
    </row>
    <row r="11153" customFormat="false" ht="15" hidden="false" customHeight="false" outlineLevel="0" collapsed="false">
      <c r="B11153" s="10"/>
      <c r="C11153" s="10"/>
      <c r="D11153" s="10"/>
      <c r="E11153" s="10"/>
      <c r="F11153" s="10"/>
    </row>
    <row r="11154" customFormat="false" ht="15" hidden="false" customHeight="false" outlineLevel="0" collapsed="false">
      <c r="B11154" s="10"/>
      <c r="C11154" s="10"/>
      <c r="D11154" s="34" t="str">
        <f aca="false">Signataire</f>
        <v>Prénom NOM</v>
      </c>
      <c r="E11154" s="34"/>
      <c r="F11154" s="34"/>
    </row>
    <row r="11155" customFormat="false" ht="15" hidden="false" customHeight="false" outlineLevel="0" collapsed="false">
      <c r="B11155" s="10"/>
      <c r="C11155" s="10"/>
      <c r="D11155" s="47" t="str">
        <f aca="false">Signataire_Titre</f>
        <v>Expert-comptable associé</v>
      </c>
      <c r="E11155" s="47"/>
      <c r="F11155" s="47"/>
    </row>
    <row r="11156" customFormat="false" ht="15.75" hidden="false" customHeight="true" outlineLevel="0" collapsed="false">
      <c r="B11156" s="10"/>
      <c r="C11156" s="10"/>
      <c r="D11156" s="10"/>
      <c r="E11156" s="10"/>
      <c r="F11156" s="10"/>
    </row>
    <row r="11157" customFormat="false" ht="15.75" hidden="false" customHeight="true" outlineLevel="0" collapsed="false">
      <c r="B11157" s="10"/>
      <c r="C11157" s="10"/>
      <c r="D11157" s="10"/>
      <c r="E11157" s="10"/>
      <c r="F11157" s="10"/>
    </row>
    <row r="11158" customFormat="false" ht="15.75" hidden="false" customHeight="true" outlineLevel="0" collapsed="false">
      <c r="B11158" s="10"/>
      <c r="C11158" s="10"/>
      <c r="D11158" s="10"/>
      <c r="E11158" s="10"/>
      <c r="F11158" s="10"/>
    </row>
    <row r="11159" customFormat="false" ht="15.75" hidden="false" customHeight="true" outlineLevel="0" collapsed="false">
      <c r="B11159" s="10"/>
      <c r="C11159" s="10"/>
      <c r="D11159" s="10"/>
      <c r="E11159" s="10"/>
      <c r="F11159" s="10"/>
    </row>
    <row r="11160" customFormat="false" ht="24" hidden="false" customHeight="true" outlineLevel="0" collapsed="false">
      <c r="B11160" s="48" t="str">
        <f aca="false">Cab_Mentions</f>
        <v>ALTHO EXPERTISE · SAS au capital de 10 000 € · RCS Pontoise 919 706 325 · TVA FR62919706325 · Société d'expertise comptable inscrite au Tableau de l'Ordre des experts-comptables de Paris Île-de-France</v>
      </c>
      <c r="C11160" s="48"/>
      <c r="D11160" s="48"/>
      <c r="E11160" s="48"/>
      <c r="F11160" s="48"/>
    </row>
    <row r="11161" customFormat="false" ht="15" hidden="false" customHeight="false" outlineLevel="0" collapsed="false">
      <c r="B11161" s="10"/>
      <c r="C11161" s="10"/>
      <c r="D11161" s="10"/>
      <c r="E11161" s="10"/>
      <c r="F11161" s="10"/>
      <c r="J11161" s="25" t="s">
        <v>142</v>
      </c>
      <c r="K11161" s="25" t="n">
        <f aca="false">IFERROR(MATCH(249,Clients!$Z$2:$Z$501,0),0)</f>
        <v>0</v>
      </c>
      <c r="L11161" s="25"/>
      <c r="M11161" s="25"/>
      <c r="N11161" s="25"/>
      <c r="O11161" s="25"/>
    </row>
    <row r="11162" customFormat="false" ht="21.75" hidden="false" customHeight="true" outlineLevel="0" collapsed="false">
      <c r="B11162" s="26" t="str">
        <f aca="false">Cab_Nom</f>
        <v>ALTHO EXPERTISE</v>
      </c>
      <c r="C11162" s="26"/>
      <c r="D11162" s="10"/>
      <c r="E11162" s="27" t="str">
        <f aca="false">IF($K$11161=0,"","Réf. client : "&amp;INDEX(Clients!$A$2:$A$501,$K$11161))</f>
        <v/>
      </c>
      <c r="F11162" s="27"/>
      <c r="J11162" s="25" t="s">
        <v>144</v>
      </c>
      <c r="K11162" s="25" t="str">
        <f aca="false">IF(IF($K$11161=0,"",INDEX(Clients!$B$2:$B$501,$K$11161)&amp;"")="Mme","Madame",IF(IF($K$11161=0,"",INDEX(Clients!$B$2:$B$501,$K$11161)&amp;"")="M.","Monsieur","Madame, Monsieur"))</f>
        <v>Madame, Monsieur</v>
      </c>
      <c r="L11162" s="25"/>
      <c r="M11162" s="25"/>
      <c r="N11162" s="25"/>
      <c r="O11162" s="25"/>
    </row>
    <row r="11163" customFormat="false" ht="15" hidden="false" customHeight="false" outlineLevel="0" collapsed="false">
      <c r="B11163" s="29" t="str">
        <f aca="false">Cab_Adr1</f>
        <v>141 rue Charles de Gaulle</v>
      </c>
      <c r="C11163" s="29"/>
      <c r="D11163" s="10"/>
      <c r="E11163" s="10"/>
      <c r="F11163" s="10"/>
      <c r="J11163" s="25" t="s">
        <v>145</v>
      </c>
      <c r="K11163" s="25" t="str">
        <f aca="false">DAY(Date_Effet)&amp;IF(DAY(Date_Effet)=1,"er","")&amp;" "&amp;INDEX(Liste_Mois,MONTH(Date_Effet))&amp;" "&amp;YEAR(Date_Effet)</f>
        <v>1er janvier 2027</v>
      </c>
      <c r="L11163" s="25"/>
      <c r="M11163" s="25"/>
      <c r="N11163" s="25"/>
      <c r="O11163" s="25"/>
    </row>
    <row r="11164" customFormat="false" ht="15" hidden="false" customHeight="false" outlineLevel="0" collapsed="false">
      <c r="B11164" s="29" t="str">
        <f aca="false">Cab_CPVille</f>
        <v>95130 LE PLESSIS-BOUCHARD</v>
      </c>
      <c r="C11164" s="29"/>
      <c r="D11164" s="10"/>
      <c r="E11164" s="10"/>
      <c r="F11164" s="10"/>
      <c r="J11164" s="25" t="s">
        <v>146</v>
      </c>
      <c r="K11164" s="25" t="str">
        <f aca="false">IF(SUM($K$11188:$K$11191)=0,"",FIXED((SUM($L$11188:$L$11191)/SUM($K$11188:$K$11191)-1)*100,1)&amp;" %")</f>
        <v/>
      </c>
      <c r="L11164" s="25"/>
      <c r="M11164" s="25"/>
      <c r="N11164" s="25"/>
      <c r="O11164" s="25"/>
    </row>
    <row r="11165" customFormat="false" ht="15" hidden="false" customHeight="false" outlineLevel="0" collapsed="false">
      <c r="B11165" s="29" t="str">
        <f aca="false">Cab_Contact</f>
        <v>Tél. 01 34 14 53 45  ·  altho@altho-experts.com  ·  altho-experts.com</v>
      </c>
      <c r="C11165" s="29"/>
      <c r="D11165" s="10"/>
      <c r="E11165" s="10"/>
      <c r="F11165" s="10"/>
      <c r="J11165" s="25"/>
      <c r="K11165" s="25"/>
      <c r="L11165" s="25"/>
      <c r="M11165" s="25"/>
      <c r="N11165" s="25"/>
      <c r="O11165" s="25"/>
    </row>
    <row r="11166" customFormat="false" ht="6" hidden="false" customHeight="true" outlineLevel="0" collapsed="false">
      <c r="B11166" s="32"/>
      <c r="C11166" s="32"/>
      <c r="D11166" s="32"/>
      <c r="E11166" s="32"/>
      <c r="F11166" s="32"/>
      <c r="J11166" s="25"/>
      <c r="K11166" s="25"/>
      <c r="L11166" s="25"/>
      <c r="M11166" s="25"/>
      <c r="N11166" s="25"/>
      <c r="O11166" s="25"/>
    </row>
    <row r="11167" customFormat="false" ht="13.5" hidden="false" customHeight="true" outlineLevel="0" collapsed="false">
      <c r="B11167" s="10"/>
      <c r="C11167" s="10"/>
      <c r="D11167" s="10"/>
      <c r="E11167" s="10"/>
      <c r="F11167" s="10"/>
      <c r="J11167" s="25"/>
      <c r="K11167" s="25"/>
      <c r="L11167" s="25"/>
      <c r="M11167" s="25"/>
      <c r="N11167" s="25"/>
      <c r="O11167" s="25"/>
    </row>
    <row r="11168" customFormat="false" ht="13.5" hidden="false" customHeight="true" outlineLevel="0" collapsed="false">
      <c r="B11168" s="10"/>
      <c r="C11168" s="10"/>
      <c r="D11168" s="10"/>
      <c r="E11168" s="10"/>
      <c r="F11168" s="10"/>
      <c r="J11168" s="25"/>
      <c r="K11168" s="25"/>
      <c r="L11168" s="25"/>
      <c r="M11168" s="25"/>
      <c r="N11168" s="25"/>
      <c r="O11168" s="25"/>
    </row>
    <row r="11169" customFormat="false" ht="13.5" hidden="false" customHeight="true" outlineLevel="0" collapsed="false">
      <c r="B11169" s="10"/>
      <c r="C11169" s="10"/>
      <c r="D11169" s="10"/>
      <c r="E11169" s="10"/>
      <c r="F11169" s="10"/>
      <c r="J11169" s="25"/>
      <c r="K11169" s="25"/>
      <c r="L11169" s="25"/>
      <c r="M11169" s="25"/>
      <c r="N11169" s="25"/>
      <c r="O11169" s="25"/>
    </row>
    <row r="11170" customFormat="false" ht="15" hidden="false" customHeight="true" outlineLevel="0" collapsed="false">
      <c r="B11170" s="10"/>
      <c r="C11170" s="10"/>
      <c r="D11170" s="34" t="str">
        <f aca="false">IF($K$11161=0,"",INDEX(Clients!$E$2:$E$501,$K$11161)&amp;"")</f>
        <v/>
      </c>
      <c r="E11170" s="34"/>
      <c r="F11170" s="34"/>
      <c r="J11170" s="25"/>
      <c r="K11170" s="25"/>
      <c r="L11170" s="25"/>
      <c r="M11170" s="25"/>
      <c r="N11170" s="25"/>
      <c r="O11170" s="25"/>
    </row>
    <row r="11171" customFormat="false" ht="15" hidden="false" customHeight="true" outlineLevel="0" collapsed="false">
      <c r="B11171" s="10"/>
      <c r="C11171" s="10"/>
      <c r="D11171" s="35" t="str">
        <f aca="false">IF(IF($K$11161=0,"",INDEX(Clients!$D$2:$D$501,$K$11161)&amp;"")="","","À l'attention de "&amp;TRIM(IF($K$11161=0,"",INDEX(Clients!$B$2:$B$501,$K$11161)&amp;"")&amp;" "&amp;IF($K$11161=0,"",INDEX(Clients!$C$2:$C$501,$K$11161)&amp;"")&amp;" "&amp;IF($K$11161=0,"",INDEX(Clients!$D$2:$D$501,$K$11161)&amp;"")))</f>
        <v/>
      </c>
      <c r="E11171" s="35"/>
      <c r="F11171" s="35"/>
      <c r="J11171" s="25"/>
      <c r="K11171" s="25"/>
      <c r="L11171" s="25"/>
      <c r="M11171" s="25"/>
      <c r="N11171" s="25"/>
      <c r="O11171" s="25"/>
    </row>
    <row r="11172" customFormat="false" ht="15" hidden="false" customHeight="true" outlineLevel="0" collapsed="false">
      <c r="B11172" s="10"/>
      <c r="C11172" s="10"/>
      <c r="D11172" s="35" t="str">
        <f aca="false">IF($K$11161=0,"",INDEX(Clients!$F$2:$F$501,$K$11161)&amp;"")</f>
        <v/>
      </c>
      <c r="E11172" s="35"/>
      <c r="F11172" s="35"/>
      <c r="J11172" s="25"/>
      <c r="K11172" s="25"/>
      <c r="L11172" s="25"/>
      <c r="M11172" s="25"/>
      <c r="N11172" s="25"/>
      <c r="O11172" s="25"/>
    </row>
    <row r="11173" customFormat="false" ht="15" hidden="false" customHeight="true" outlineLevel="0" collapsed="false">
      <c r="B11173" s="10"/>
      <c r="C11173" s="10"/>
      <c r="D11173" s="35" t="str">
        <f aca="false">IF(IF($K$11161=0,"",INDEX(Clients!$G$2:$G$501,$K$11161)&amp;"")="",TRIM(IF($K$11161=0,"",INDEX(Clients!$H$2:$H$501,$K$11161)&amp;"")&amp;" "&amp;UPPER(IF($K$11161=0,"",INDEX(Clients!$I$2:$I$501,$K$11161)&amp;""))),IF($K$11161=0,"",INDEX(Clients!$G$2:$G$501,$K$11161)&amp;""))</f>
        <v/>
      </c>
      <c r="E11173" s="35"/>
      <c r="F11173" s="35"/>
      <c r="J11173" s="25"/>
      <c r="K11173" s="25"/>
      <c r="L11173" s="25"/>
      <c r="M11173" s="25"/>
      <c r="N11173" s="25"/>
      <c r="O11173" s="25"/>
    </row>
    <row r="11174" customFormat="false" ht="15" hidden="false" customHeight="true" outlineLevel="0" collapsed="false">
      <c r="B11174" s="10"/>
      <c r="C11174" s="10"/>
      <c r="D11174" s="35" t="str">
        <f aca="false">IF(IF($K$11161=0,"",INDEX(Clients!$G$2:$G$501,$K$11161)&amp;"")="","",TRIM(IF($K$11161=0,"",INDEX(Clients!$H$2:$H$501,$K$11161)&amp;"")&amp;" "&amp;UPPER(IF($K$11161=0,"",INDEX(Clients!$I$2:$I$501,$K$11161)&amp;""))))</f>
        <v/>
      </c>
      <c r="E11174" s="35"/>
      <c r="F11174" s="35"/>
      <c r="J11174" s="25"/>
      <c r="K11174" s="25"/>
      <c r="L11174" s="25"/>
      <c r="M11174" s="25"/>
      <c r="N11174" s="25"/>
      <c r="O11174" s="25"/>
    </row>
    <row r="11175" customFormat="false" ht="25.5" hidden="false" customHeight="true" outlineLevel="0" collapsed="false">
      <c r="B11175" s="10"/>
      <c r="C11175" s="10"/>
      <c r="D11175" s="10"/>
      <c r="E11175" s="10"/>
      <c r="F11175" s="10"/>
      <c r="J11175" s="25"/>
      <c r="K11175" s="25"/>
      <c r="L11175" s="25"/>
      <c r="M11175" s="25"/>
      <c r="N11175" s="25"/>
      <c r="O11175" s="25"/>
    </row>
    <row r="11176" customFormat="false" ht="15" hidden="false" customHeight="false" outlineLevel="0" collapsed="false">
      <c r="B11176" s="10"/>
      <c r="C11176" s="10"/>
      <c r="D11176" s="36" t="str">
        <f aca="false">Cab_Ville&amp;", le "&amp;DAY(Date_Courrier)&amp;IF(DAY(Date_Courrier)=1,"er","")&amp;" "&amp;INDEX(Liste_Mois,MONTH(Date_Courrier))&amp;" "&amp;YEAR(Date_Courrier)</f>
        <v>Le Plessis-Bouchard, le 22 septembre 2026</v>
      </c>
      <c r="E11176" s="36"/>
      <c r="F11176" s="36"/>
      <c r="J11176" s="25"/>
      <c r="K11176" s="25"/>
      <c r="L11176" s="25"/>
      <c r="M11176" s="25"/>
      <c r="N11176" s="25"/>
      <c r="O11176" s="25"/>
    </row>
    <row r="11177" customFormat="false" ht="19.5" hidden="false" customHeight="true" outlineLevel="0" collapsed="false">
      <c r="B11177" s="10"/>
      <c r="C11177" s="10"/>
      <c r="D11177" s="10"/>
      <c r="E11177" s="10"/>
      <c r="F11177" s="10"/>
      <c r="J11177" s="25"/>
      <c r="K11177" s="25"/>
      <c r="L11177" s="25"/>
      <c r="M11177" s="25"/>
      <c r="N11177" s="25"/>
      <c r="O11177" s="25"/>
    </row>
    <row r="11178" customFormat="false" ht="15" hidden="false" customHeight="false" outlineLevel="0" collapsed="false">
      <c r="B11178" s="34" t="str">
        <f aca="false">SUBSTITUTE(SUBSTITUTE(SUBSTITUTE(SUBSTITUTE(SUBSTITUTE(Txt_Objet,"{cabinet}",Cab_Nom),"{societe}",IF($K$11161=0,"",INDEX(Clients!$E$2:$E$501,$K$11161)&amp;"")),"{date_effet}",$K$11163),"{hausse}",$K$11164),"{civilite}",$K$11162)</f>
        <v>Objet : révision de nos honoraires au 1er janvier 2027</v>
      </c>
      <c r="C11178" s="34"/>
      <c r="D11178" s="34"/>
      <c r="E11178" s="34"/>
      <c r="F11178" s="34"/>
      <c r="J11178" s="25"/>
      <c r="K11178" s="25"/>
      <c r="L11178" s="25"/>
      <c r="M11178" s="25"/>
      <c r="N11178" s="25"/>
      <c r="O11178" s="25"/>
    </row>
    <row r="11179" customFormat="false" ht="13.5" hidden="false" customHeight="true" outlineLevel="0" collapsed="false">
      <c r="B11179" s="10"/>
      <c r="C11179" s="10"/>
      <c r="D11179" s="10"/>
      <c r="E11179" s="10"/>
      <c r="F11179" s="10"/>
      <c r="J11179" s="25"/>
      <c r="K11179" s="25"/>
      <c r="L11179" s="25"/>
      <c r="M11179" s="25"/>
      <c r="N11179" s="25"/>
      <c r="O11179" s="25"/>
    </row>
    <row r="11180" customFormat="false" ht="15" hidden="false" customHeight="false" outlineLevel="0" collapsed="false">
      <c r="B11180" s="10" t="str">
        <f aca="false">$K$11162&amp;","</f>
        <v>Madame, Monsieur,</v>
      </c>
      <c r="C11180" s="10"/>
      <c r="D11180" s="10"/>
      <c r="E11180" s="10"/>
      <c r="F11180" s="10"/>
      <c r="J11180" s="25"/>
      <c r="K11180" s="25"/>
      <c r="L11180" s="25"/>
      <c r="M11180" s="25"/>
      <c r="N11180" s="25"/>
      <c r="O11180" s="25"/>
    </row>
    <row r="11181" customFormat="false" ht="6" hidden="false" customHeight="true" outlineLevel="0" collapsed="false">
      <c r="B11181" s="10"/>
      <c r="C11181" s="10"/>
      <c r="D11181" s="10"/>
      <c r="E11181" s="10"/>
      <c r="F11181" s="10"/>
      <c r="J11181" s="25"/>
      <c r="K11181" s="25"/>
      <c r="L11181" s="25"/>
      <c r="M11181" s="25"/>
      <c r="N11181" s="25"/>
      <c r="O11181" s="25"/>
    </row>
    <row r="11182" customFormat="false" ht="36.75" hidden="false" customHeight="true" outlineLevel="0" collapsed="false">
      <c r="B11182" s="37" t="str">
        <f aca="false">SUBSTITUTE(SUBSTITUTE(SUBSTITUTE(SUBSTITUTE(SUBSTITUTE(Txt_P1,"{cabinet}",Cab_Nom),"{societe}",IF($K$11161=0,"",INDEX(Clients!$E$2:$E$501,$K$11161)&amp;"")),"{date_effet}",$K$11163),"{hausse}",$K$11164),"{civilite}",$K$11162)</f>
        <v>Nous tenons tout d'abord à vous remercier pour la confiance que vous accordez à ALTHO EXPERTISE. Comme chaque année, et conformément aux dispositions de votre lettre de mission, nous procédons à la révision de nos honoraires.</v>
      </c>
      <c r="C11182" s="37"/>
      <c r="D11182" s="37"/>
      <c r="E11182" s="37"/>
      <c r="F11182" s="37"/>
      <c r="J11182" s="25"/>
      <c r="K11182" s="25"/>
      <c r="L11182" s="25"/>
      <c r="M11182" s="25"/>
      <c r="N11182" s="25"/>
      <c r="O11182" s="25"/>
    </row>
    <row r="11183" customFormat="false" ht="49.5" hidden="false" customHeight="true" outlineLevel="0" collapsed="false">
      <c r="B11183" s="37" t="str">
        <f aca="false">SUBSTITUTE(SUBSTITUTE(SUBSTITUTE(SUBSTITUTE(SUBSTITUTE(Txt_P2,"{cabinet}",Cab_Nom),"{societe}",IF($K$11161=0,"",INDEX(Clients!$E$2:$E$501,$K$11161)&amp;"")),"{date_effet}",$K$11163),"{hausse}",$K$11164),"{civilite}",$K$11162)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183" s="37"/>
      <c r="D11183" s="37"/>
      <c r="E11183" s="37"/>
      <c r="F11183" s="37"/>
      <c r="J11183" s="25"/>
      <c r="K11183" s="25"/>
      <c r="L11183" s="25"/>
      <c r="M11183" s="25"/>
      <c r="N11183" s="25"/>
      <c r="O11183" s="25"/>
    </row>
    <row r="11184" customFormat="false" ht="63" hidden="false" customHeight="true" outlineLevel="0" collapsed="false">
      <c r="B11184" s="37" t="str">
        <f aca="false">SUBSTITUTE(SUBSTITUTE(SUBSTITUTE(SUBSTITUTE(SUBSTITUTE(Txt_P3,"{cabinet}",Cab_Nom),"{societe}",IF($K$11161=0,"",INDEX(Clients!$E$2:$E$501,$K$11161)&amp;"")),"{date_effet}",$K$11163),"{hausse}",$K$11164),"{civilite}",$K$11162)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184" s="37"/>
      <c r="D11184" s="37"/>
      <c r="E11184" s="37"/>
      <c r="F11184" s="37"/>
      <c r="J11184" s="25"/>
      <c r="K11184" s="25"/>
      <c r="L11184" s="25"/>
      <c r="M11184" s="25"/>
      <c r="N11184" s="25"/>
      <c r="O11184" s="25"/>
    </row>
    <row r="11185" customFormat="false" ht="24" hidden="false" customHeight="true" outlineLevel="0" collapsed="false">
      <c r="B11185" s="37" t="str">
        <f aca="false">SUBSTITUTE(SUBSTITUTE(SUBSTITUTE(SUBSTITUTE(SUBSTITUTE(Txt_P4,"{cabinet}",Cab_Nom),"{societe}",IF($K$11161=0,"",INDEX(Clients!$E$2:$E$501,$K$11161)&amp;"")),"{date_effet}",$K$11163),"{hausse}",$K$11164),"{civilite}",$K$11162)</f>
        <v>À compter du 1er janvier 2027, vos honoraires annuels hors taxes évolueront ainsi (évolution globale : ) :</v>
      </c>
      <c r="C11185" s="37"/>
      <c r="D11185" s="37"/>
      <c r="E11185" s="37"/>
      <c r="F11185" s="37"/>
      <c r="J11185" s="25"/>
      <c r="K11185" s="25"/>
      <c r="L11185" s="25"/>
      <c r="M11185" s="25"/>
      <c r="N11185" s="25"/>
      <c r="O11185" s="25"/>
    </row>
    <row r="11186" customFormat="false" ht="3.75" hidden="false" customHeight="true" outlineLevel="0" collapsed="false">
      <c r="B11186" s="10"/>
      <c r="C11186" s="10"/>
      <c r="D11186" s="10"/>
      <c r="E11186" s="10"/>
      <c r="F11186" s="10"/>
      <c r="J11186" s="25"/>
      <c r="K11186" s="25"/>
      <c r="L11186" s="25"/>
      <c r="M11186" s="25"/>
      <c r="N11186" s="25"/>
      <c r="O11186" s="25"/>
    </row>
    <row r="11187" customFormat="false" ht="18" hidden="false" customHeight="true" outlineLevel="0" collapsed="false">
      <c r="B11187" s="38" t="s">
        <v>148</v>
      </c>
      <c r="C11187" s="39" t="s">
        <v>149</v>
      </c>
      <c r="D11187" s="39" t="s">
        <v>150</v>
      </c>
      <c r="E11187" s="39" t="s">
        <v>151</v>
      </c>
      <c r="F11187" s="39" t="s">
        <v>109</v>
      </c>
      <c r="J11187" s="25" t="s">
        <v>152</v>
      </c>
      <c r="K11187" s="25" t="s">
        <v>153</v>
      </c>
      <c r="L11187" s="25" t="s">
        <v>154</v>
      </c>
      <c r="M11187" s="25" t="s">
        <v>155</v>
      </c>
      <c r="N11187" s="25" t="s">
        <v>156</v>
      </c>
      <c r="O11187" s="25" t="s">
        <v>157</v>
      </c>
    </row>
    <row r="11188" customFormat="false" ht="16.5" hidden="false" customHeight="true" outlineLevel="0" collapsed="false">
      <c r="B11188" s="40" t="str">
        <f aca="false">IFERROR(INDEX($J$11188:$J$11191,MATCH($O11188,$N$11188:$N$11191,0)),"")</f>
        <v/>
      </c>
      <c r="C11188" s="41" t="str">
        <f aca="false">IFERROR(INDEX($K$11188:$K$11191,MATCH($O11188,$N$11188:$N$11191,0)),"")</f>
        <v/>
      </c>
      <c r="D11188" s="42" t="str">
        <f aca="false">IF(OR(E11188="",N(C11188)=0),"",E11188/C11188-1)</f>
        <v/>
      </c>
      <c r="E11188" s="41" t="str">
        <f aca="false">IFERROR(INDEX($L$11188:$L$11191,MATCH($O11188,$N$11188:$N$11191,0)),"")</f>
        <v/>
      </c>
      <c r="F11188" s="41" t="str">
        <f aca="false">IF(E11188="","",E11188-C11188)</f>
        <v/>
      </c>
      <c r="J11188" s="25" t="str">
        <f aca="false">Lib_Compta</f>
        <v>Mission comptable (tenue, révision, bilan, liasse fiscale)</v>
      </c>
      <c r="K11188" s="25" t="n">
        <f aca="false">IF($K$11161=0,0,N(INDEX(Clients!$K$2:$K$501,$K$11161)))</f>
        <v>0</v>
      </c>
      <c r="L11188" s="25" t="n">
        <f aca="false">IF($K$11161=0,0,N(INDEX(Clients!$P$2:$P$501,$K$11161)))</f>
        <v>0</v>
      </c>
      <c r="M11188" s="25" t="n">
        <f aca="false">IF(OR(K11188&lt;&gt;0,L11188&lt;&gt;0),1,0)</f>
        <v>0</v>
      </c>
      <c r="N11188" s="25" t="str">
        <f aca="false">IF(M11188=1,SUM($M$11188:M11188),"")</f>
        <v/>
      </c>
      <c r="O11188" s="25" t="n">
        <v>1</v>
      </c>
    </row>
    <row r="11189" customFormat="false" ht="16.5" hidden="false" customHeight="true" outlineLevel="0" collapsed="false">
      <c r="B11189" s="40" t="str">
        <f aca="false">IFERROR(INDEX($J$11188:$J$11191,MATCH($O11189,$N$11188:$N$11191,0)),"")</f>
        <v/>
      </c>
      <c r="C11189" s="41" t="str">
        <f aca="false">IFERROR(INDEX($K$11188:$K$11191,MATCH($O11189,$N$11188:$N$11191,0)),"")</f>
        <v/>
      </c>
      <c r="D11189" s="42" t="str">
        <f aca="false">IF(OR(E11189="",N(C11189)=0),"",E11189/C11189-1)</f>
        <v/>
      </c>
      <c r="E11189" s="41" t="str">
        <f aca="false">IFERROR(INDEX($L$11188:$L$11191,MATCH($O11189,$N$11188:$N$11191,0)),"")</f>
        <v/>
      </c>
      <c r="F11189" s="41" t="str">
        <f aca="false">IF(E11189="","",E11189-C11189)</f>
        <v/>
      </c>
      <c r="J11189" s="25" t="str">
        <f aca="false">Lib_Paye</f>
        <v>Mission sociale (bulletins de paie, DSN, déclarations sociales)</v>
      </c>
      <c r="K11189" s="25" t="n">
        <f aca="false">IF($K$11161=0,0,N(INDEX(Clients!$L$2:$L$501,$K$11161)))</f>
        <v>0</v>
      </c>
      <c r="L11189" s="25" t="n">
        <f aca="false">IF($K$11161=0,0,N(INDEX(Clients!$Q$2:$Q$501,$K$11161)))</f>
        <v>0</v>
      </c>
      <c r="M11189" s="25" t="n">
        <f aca="false">IF(OR(K11189&lt;&gt;0,L11189&lt;&gt;0),1,0)</f>
        <v>0</v>
      </c>
      <c r="N11189" s="25" t="str">
        <f aca="false">IF(M11189=1,SUM($M$11188:M11189),"")</f>
        <v/>
      </c>
      <c r="O11189" s="25" t="n">
        <v>2</v>
      </c>
    </row>
    <row r="11190" customFormat="false" ht="16.5" hidden="false" customHeight="true" outlineLevel="0" collapsed="false">
      <c r="B11190" s="40" t="str">
        <f aca="false">IFERROR(INDEX($J$11188:$J$11191,MATCH($O11190,$N$11188:$N$11191,0)),"")</f>
        <v/>
      </c>
      <c r="C11190" s="41" t="str">
        <f aca="false">IFERROR(INDEX($K$11188:$K$11191,MATCH($O11190,$N$11188:$N$11191,0)),"")</f>
        <v/>
      </c>
      <c r="D11190" s="42" t="str">
        <f aca="false">IF(OR(E11190="",N(C11190)=0),"",E11190/C11190-1)</f>
        <v/>
      </c>
      <c r="E11190" s="41" t="str">
        <f aca="false">IFERROR(INDEX($L$11188:$L$11191,MATCH($O11190,$N$11188:$N$11191,0)),"")</f>
        <v/>
      </c>
      <c r="F11190" s="41" t="str">
        <f aca="false">IF(E11190="","",E11190-C11190)</f>
        <v/>
      </c>
      <c r="J11190" s="25" t="str">
        <f aca="false">Lib_Jur</f>
        <v>Mission juridique (approbation des comptes, secrétariat juridique)</v>
      </c>
      <c r="K11190" s="25" t="n">
        <f aca="false">IF($K$11161=0,0,N(INDEX(Clients!$M$2:$M$501,$K$11161)))</f>
        <v>0</v>
      </c>
      <c r="L11190" s="25" t="n">
        <f aca="false">IF($K$11161=0,0,N(INDEX(Clients!$R$2:$R$501,$K$11161)))</f>
        <v>0</v>
      </c>
      <c r="M11190" s="25" t="n">
        <f aca="false">IF(OR(K11190&lt;&gt;0,L11190&lt;&gt;0),1,0)</f>
        <v>0</v>
      </c>
      <c r="N11190" s="25" t="str">
        <f aca="false">IF(M11190=1,SUM($M$11188:M11190),"")</f>
        <v/>
      </c>
      <c r="O11190" s="25" t="n">
        <v>3</v>
      </c>
    </row>
    <row r="11191" customFormat="false" ht="16.5" hidden="false" customHeight="true" outlineLevel="0" collapsed="false">
      <c r="B11191" s="40" t="str">
        <f aca="false">IFERROR(INDEX($J$11188:$J$11191,MATCH($O11191,$N$11188:$N$11191,0)),"")</f>
        <v/>
      </c>
      <c r="C11191" s="41" t="str">
        <f aca="false">IFERROR(INDEX($K$11188:$K$11191,MATCH($O11191,$N$11188:$N$11191,0)),"")</f>
        <v/>
      </c>
      <c r="D11191" s="42" t="str">
        <f aca="false">IF(OR(E11191="",N(C11191)=0),"",E11191/C11191-1)</f>
        <v/>
      </c>
      <c r="E11191" s="41" t="str">
        <f aca="false">IFERROR(INDEX($L$11188:$L$11191,MATCH($O11191,$N$11188:$N$11191,0)),"")</f>
        <v/>
      </c>
      <c r="F11191" s="41" t="str">
        <f aca="false">IF(E11191="","",E11191-C11191)</f>
        <v/>
      </c>
      <c r="J11191" s="25" t="str">
        <f aca="false">Lib_PA</f>
        <v>Plateforme agréée – facturation électronique</v>
      </c>
      <c r="K11191" s="25" t="n">
        <f aca="false">IF($K$11161=0,0,N(INDEX(Clients!$N$2:$N$501,$K$11161)))</f>
        <v>0</v>
      </c>
      <c r="L11191" s="25" t="n">
        <f aca="false">IF($K$11161=0,0,N(INDEX(Clients!$S$2:$S$501,$K$11161)))</f>
        <v>0</v>
      </c>
      <c r="M11191" s="25" t="n">
        <f aca="false">IF(OR(K11191&lt;&gt;0,L11191&lt;&gt;0),1,0)</f>
        <v>0</v>
      </c>
      <c r="N11191" s="25" t="str">
        <f aca="false">IF(M11191=1,SUM($M$11188:M11191),"")</f>
        <v/>
      </c>
      <c r="O11191" s="25" t="n">
        <v>4</v>
      </c>
    </row>
    <row r="11192" customFormat="false" ht="18" hidden="false" customHeight="true" outlineLevel="0" collapsed="false">
      <c r="B11192" s="43" t="s">
        <v>158</v>
      </c>
      <c r="C11192" s="44" t="n">
        <f aca="false">SUM(K11188:K11191)</f>
        <v>0</v>
      </c>
      <c r="D11192" s="45" t="str">
        <f aca="false">IF(N(C11192)=0,"",E11192/C11192-1)</f>
        <v/>
      </c>
      <c r="E11192" s="44" t="n">
        <f aca="false">SUM(L11188:L11191)</f>
        <v>0</v>
      </c>
      <c r="F11192" s="44" t="n">
        <f aca="false">E11192-C11192</f>
        <v>0</v>
      </c>
    </row>
    <row r="11193" customFormat="false" ht="15" hidden="false" customHeight="false" outlineLevel="0" collapsed="false">
      <c r="B11193" s="46" t="str">
        <f aca="false">IF(N(Nb_Mensualites)=0,"","Soit "&amp;FIXED(E11192/Nb_Mensualites,2)&amp;" € HT par échéance ("&amp;Nb_Mensualites&amp;" échéances), "&amp;FIXED(E11192/Nb_Mensualites*(1+Taux_TVA),2)&amp;" € TTC.")</f>
        <v>Soit 0.00 € HT par échéance (12 échéances), 0.00 € TTC.</v>
      </c>
      <c r="C11193" s="46"/>
      <c r="D11193" s="46"/>
      <c r="E11193" s="46"/>
      <c r="F11193" s="46"/>
    </row>
    <row r="11194" customFormat="false" ht="7.5" hidden="false" customHeight="true" outlineLevel="0" collapsed="false">
      <c r="B11194" s="10"/>
      <c r="C11194" s="10"/>
      <c r="D11194" s="10"/>
      <c r="E11194" s="10"/>
      <c r="F11194" s="10"/>
    </row>
    <row r="11195" customFormat="false" ht="36.75" hidden="false" customHeight="true" outlineLevel="0" collapsed="false">
      <c r="B11195" s="37" t="str">
        <f aca="false">SUBSTITUTE(SUBSTITUTE(SUBSTITUTE(SUBSTITUTE(SUBSTITUTE(Txt_P5,"{cabinet}",Cab_Nom),"{societe}",IF($K$11161=0,"",INDEX(Clients!$E$2:$E$501,$K$11161)&amp;"")),"{date_effet}",$K$11163),"{hausse}",$K$11164),"{civilite}",$K$11162)</f>
        <v>Les autres conditions de votre lettre de mission demeurent inchangées. Les nouveaux montants seront appliqués automatiquement sur vos prochaines factures et échéances de prélèvement.</v>
      </c>
      <c r="C11195" s="37"/>
      <c r="D11195" s="37"/>
      <c r="E11195" s="37"/>
      <c r="F11195" s="37"/>
    </row>
    <row r="11196" customFormat="false" ht="36.75" hidden="false" customHeight="true" outlineLevel="0" collapsed="false">
      <c r="B11196" s="37" t="str">
        <f aca="false">SUBSTITUTE(SUBSTITUTE(SUBSTITUTE(SUBSTITUTE(SUBSTITUTE(Txt_P6,"{cabinet}",Cab_Nom),"{societe}",IF($K$11161=0,"",INDEX(Clients!$E$2:$E$501,$K$11161)&amp;"")),"{date_effet}",$K$11163),"{hausse}",$K$11164),"{civilite}",$K$11162)</f>
        <v>Votre interlocuteur habituel reste à votre entière disposition pour répondre à vos questions et faire le point sur l'évolution de vos besoins.</v>
      </c>
      <c r="C11196" s="37"/>
      <c r="D11196" s="37"/>
      <c r="E11196" s="37"/>
      <c r="F11196" s="37"/>
    </row>
    <row r="11197" customFormat="false" ht="24" hidden="false" customHeight="true" outlineLevel="0" collapsed="false">
      <c r="B11197" s="37" t="str">
        <f aca="false">SUBSTITUTE(SUBSTITUTE(SUBSTITUTE(SUBSTITUTE(SUBSTITUTE(Txt_Politesse,"{cabinet}",Cab_Nom),"{societe}",IF($K$11161=0,"",INDEX(Clients!$E$2:$E$501,$K$11161)&amp;"")),"{date_effet}",$K$11163),"{hausse}",$K$11164),"{civilite}",$K$11162)</f>
        <v>Nous vous prions d'agréer, Madame, Monsieur, l'expression de nos salutations distinguées.</v>
      </c>
      <c r="C11197" s="37"/>
      <c r="D11197" s="37"/>
      <c r="E11197" s="37"/>
      <c r="F11197" s="37"/>
    </row>
    <row r="11198" customFormat="false" ht="15" hidden="false" customHeight="false" outlineLevel="0" collapsed="false">
      <c r="B11198" s="10"/>
      <c r="C11198" s="10"/>
      <c r="D11198" s="10"/>
      <c r="E11198" s="10"/>
      <c r="F11198" s="10"/>
    </row>
    <row r="11199" customFormat="false" ht="15" hidden="false" customHeight="false" outlineLevel="0" collapsed="false">
      <c r="B11199" s="10"/>
      <c r="C11199" s="10"/>
      <c r="D11199" s="34" t="str">
        <f aca="false">Signataire</f>
        <v>Prénom NOM</v>
      </c>
      <c r="E11199" s="34"/>
      <c r="F11199" s="34"/>
    </row>
    <row r="11200" customFormat="false" ht="15" hidden="false" customHeight="false" outlineLevel="0" collapsed="false">
      <c r="B11200" s="10"/>
      <c r="C11200" s="10"/>
      <c r="D11200" s="47" t="str">
        <f aca="false">Signataire_Titre</f>
        <v>Expert-comptable associé</v>
      </c>
      <c r="E11200" s="47"/>
      <c r="F11200" s="47"/>
    </row>
    <row r="11201" customFormat="false" ht="15.75" hidden="false" customHeight="true" outlineLevel="0" collapsed="false">
      <c r="B11201" s="10"/>
      <c r="C11201" s="10"/>
      <c r="D11201" s="10"/>
      <c r="E11201" s="10"/>
      <c r="F11201" s="10"/>
    </row>
    <row r="11202" customFormat="false" ht="15.75" hidden="false" customHeight="true" outlineLevel="0" collapsed="false">
      <c r="B11202" s="10"/>
      <c r="C11202" s="10"/>
      <c r="D11202" s="10"/>
      <c r="E11202" s="10"/>
      <c r="F11202" s="10"/>
    </row>
    <row r="11203" customFormat="false" ht="15.75" hidden="false" customHeight="true" outlineLevel="0" collapsed="false">
      <c r="B11203" s="10"/>
      <c r="C11203" s="10"/>
      <c r="D11203" s="10"/>
      <c r="E11203" s="10"/>
      <c r="F11203" s="10"/>
    </row>
    <row r="11204" customFormat="false" ht="15.75" hidden="false" customHeight="true" outlineLevel="0" collapsed="false">
      <c r="B11204" s="10"/>
      <c r="C11204" s="10"/>
      <c r="D11204" s="10"/>
      <c r="E11204" s="10"/>
      <c r="F11204" s="10"/>
    </row>
    <row r="11205" customFormat="false" ht="24" hidden="false" customHeight="true" outlineLevel="0" collapsed="false">
      <c r="B11205" s="48" t="str">
        <f aca="false">Cab_Mentions</f>
        <v>ALTHO EXPERTISE · SAS au capital de 10 000 € · RCS Pontoise 919 706 325 · TVA FR62919706325 · Société d'expertise comptable inscrite au Tableau de l'Ordre des experts-comptables de Paris Île-de-France</v>
      </c>
      <c r="C11205" s="48"/>
      <c r="D11205" s="48"/>
      <c r="E11205" s="48"/>
      <c r="F11205" s="48"/>
    </row>
    <row r="11206" customFormat="false" ht="15" hidden="false" customHeight="false" outlineLevel="0" collapsed="false">
      <c r="B11206" s="10"/>
      <c r="C11206" s="10"/>
      <c r="D11206" s="10"/>
      <c r="E11206" s="10"/>
      <c r="F11206" s="10"/>
      <c r="J11206" s="25" t="s">
        <v>142</v>
      </c>
      <c r="K11206" s="25" t="n">
        <f aca="false">IFERROR(MATCH(250,Clients!$Z$2:$Z$501,0),0)</f>
        <v>0</v>
      </c>
      <c r="L11206" s="25"/>
      <c r="M11206" s="25"/>
      <c r="N11206" s="25"/>
      <c r="O11206" s="25"/>
    </row>
    <row r="11207" customFormat="false" ht="21.75" hidden="false" customHeight="true" outlineLevel="0" collapsed="false">
      <c r="B11207" s="26" t="str">
        <f aca="false">Cab_Nom</f>
        <v>ALTHO EXPERTISE</v>
      </c>
      <c r="C11207" s="26"/>
      <c r="D11207" s="10"/>
      <c r="E11207" s="27" t="str">
        <f aca="false">IF($K$11206=0,"","Réf. client : "&amp;INDEX(Clients!$A$2:$A$501,$K$11206))</f>
        <v/>
      </c>
      <c r="F11207" s="27"/>
      <c r="J11207" s="25" t="s">
        <v>144</v>
      </c>
      <c r="K11207" s="25" t="str">
        <f aca="false">IF(IF($K$11206=0,"",INDEX(Clients!$B$2:$B$501,$K$11206)&amp;"")="Mme","Madame",IF(IF($K$11206=0,"",INDEX(Clients!$B$2:$B$501,$K$11206)&amp;"")="M.","Monsieur","Madame, Monsieur"))</f>
        <v>Madame, Monsieur</v>
      </c>
      <c r="L11207" s="25"/>
      <c r="M11207" s="25"/>
      <c r="N11207" s="25"/>
      <c r="O11207" s="25"/>
    </row>
    <row r="11208" customFormat="false" ht="15" hidden="false" customHeight="false" outlineLevel="0" collapsed="false">
      <c r="B11208" s="29" t="str">
        <f aca="false">Cab_Adr1</f>
        <v>141 rue Charles de Gaulle</v>
      </c>
      <c r="C11208" s="29"/>
      <c r="D11208" s="10"/>
      <c r="E11208" s="10"/>
      <c r="F11208" s="10"/>
      <c r="J11208" s="25" t="s">
        <v>145</v>
      </c>
      <c r="K11208" s="25" t="str">
        <f aca="false">DAY(Date_Effet)&amp;IF(DAY(Date_Effet)=1,"er","")&amp;" "&amp;INDEX(Liste_Mois,MONTH(Date_Effet))&amp;" "&amp;YEAR(Date_Effet)</f>
        <v>1er janvier 2027</v>
      </c>
      <c r="L11208" s="25"/>
      <c r="M11208" s="25"/>
      <c r="N11208" s="25"/>
      <c r="O11208" s="25"/>
    </row>
    <row r="11209" customFormat="false" ht="15" hidden="false" customHeight="false" outlineLevel="0" collapsed="false">
      <c r="B11209" s="29" t="str">
        <f aca="false">Cab_CPVille</f>
        <v>95130 LE PLESSIS-BOUCHARD</v>
      </c>
      <c r="C11209" s="29"/>
      <c r="D11209" s="10"/>
      <c r="E11209" s="10"/>
      <c r="F11209" s="10"/>
      <c r="J11209" s="25" t="s">
        <v>146</v>
      </c>
      <c r="K11209" s="25" t="str">
        <f aca="false">IF(SUM($K$11233:$K$11236)=0,"",FIXED((SUM($L$11233:$L$11236)/SUM($K$11233:$K$11236)-1)*100,1)&amp;" %")</f>
        <v/>
      </c>
      <c r="L11209" s="25"/>
      <c r="M11209" s="25"/>
      <c r="N11209" s="25"/>
      <c r="O11209" s="25"/>
    </row>
    <row r="11210" customFormat="false" ht="15" hidden="false" customHeight="false" outlineLevel="0" collapsed="false">
      <c r="B11210" s="29" t="str">
        <f aca="false">Cab_Contact</f>
        <v>Tél. 01 34 14 53 45  ·  altho@altho-experts.com  ·  altho-experts.com</v>
      </c>
      <c r="C11210" s="29"/>
      <c r="D11210" s="10"/>
      <c r="E11210" s="10"/>
      <c r="F11210" s="10"/>
      <c r="J11210" s="25"/>
      <c r="K11210" s="25"/>
      <c r="L11210" s="25"/>
      <c r="M11210" s="25"/>
      <c r="N11210" s="25"/>
      <c r="O11210" s="25"/>
    </row>
    <row r="11211" customFormat="false" ht="6" hidden="false" customHeight="true" outlineLevel="0" collapsed="false">
      <c r="B11211" s="32"/>
      <c r="C11211" s="32"/>
      <c r="D11211" s="32"/>
      <c r="E11211" s="32"/>
      <c r="F11211" s="32"/>
      <c r="J11211" s="25"/>
      <c r="K11211" s="25"/>
      <c r="L11211" s="25"/>
      <c r="M11211" s="25"/>
      <c r="N11211" s="25"/>
      <c r="O11211" s="25"/>
    </row>
    <row r="11212" customFormat="false" ht="13.5" hidden="false" customHeight="true" outlineLevel="0" collapsed="false">
      <c r="B11212" s="10"/>
      <c r="C11212" s="10"/>
      <c r="D11212" s="10"/>
      <c r="E11212" s="10"/>
      <c r="F11212" s="10"/>
      <c r="J11212" s="25"/>
      <c r="K11212" s="25"/>
      <c r="L11212" s="25"/>
      <c r="M11212" s="25"/>
      <c r="N11212" s="25"/>
      <c r="O11212" s="25"/>
    </row>
    <row r="11213" customFormat="false" ht="13.5" hidden="false" customHeight="true" outlineLevel="0" collapsed="false">
      <c r="B11213" s="10"/>
      <c r="C11213" s="10"/>
      <c r="D11213" s="10"/>
      <c r="E11213" s="10"/>
      <c r="F11213" s="10"/>
      <c r="J11213" s="25"/>
      <c r="K11213" s="25"/>
      <c r="L11213" s="25"/>
      <c r="M11213" s="25"/>
      <c r="N11213" s="25"/>
      <c r="O11213" s="25"/>
    </row>
    <row r="11214" customFormat="false" ht="13.5" hidden="false" customHeight="true" outlineLevel="0" collapsed="false">
      <c r="B11214" s="10"/>
      <c r="C11214" s="10"/>
      <c r="D11214" s="10"/>
      <c r="E11214" s="10"/>
      <c r="F11214" s="10"/>
      <c r="J11214" s="25"/>
      <c r="K11214" s="25"/>
      <c r="L11214" s="25"/>
      <c r="M11214" s="25"/>
      <c r="N11214" s="25"/>
      <c r="O11214" s="25"/>
    </row>
    <row r="11215" customFormat="false" ht="15" hidden="false" customHeight="true" outlineLevel="0" collapsed="false">
      <c r="B11215" s="10"/>
      <c r="C11215" s="10"/>
      <c r="D11215" s="34" t="str">
        <f aca="false">IF($K$11206=0,"",INDEX(Clients!$E$2:$E$501,$K$11206)&amp;"")</f>
        <v/>
      </c>
      <c r="E11215" s="34"/>
      <c r="F11215" s="34"/>
      <c r="J11215" s="25"/>
      <c r="K11215" s="25"/>
      <c r="L11215" s="25"/>
      <c r="M11215" s="25"/>
      <c r="N11215" s="25"/>
      <c r="O11215" s="25"/>
    </row>
    <row r="11216" customFormat="false" ht="15" hidden="false" customHeight="true" outlineLevel="0" collapsed="false">
      <c r="B11216" s="10"/>
      <c r="C11216" s="10"/>
      <c r="D11216" s="35" t="str">
        <f aca="false">IF(IF($K$11206=0,"",INDEX(Clients!$D$2:$D$501,$K$11206)&amp;"")="","","À l'attention de "&amp;TRIM(IF($K$11206=0,"",INDEX(Clients!$B$2:$B$501,$K$11206)&amp;"")&amp;" "&amp;IF($K$11206=0,"",INDEX(Clients!$C$2:$C$501,$K$11206)&amp;"")&amp;" "&amp;IF($K$11206=0,"",INDEX(Clients!$D$2:$D$501,$K$11206)&amp;"")))</f>
        <v/>
      </c>
      <c r="E11216" s="35"/>
      <c r="F11216" s="35"/>
      <c r="J11216" s="25"/>
      <c r="K11216" s="25"/>
      <c r="L11216" s="25"/>
      <c r="M11216" s="25"/>
      <c r="N11216" s="25"/>
      <c r="O11216" s="25"/>
    </row>
    <row r="11217" customFormat="false" ht="15" hidden="false" customHeight="true" outlineLevel="0" collapsed="false">
      <c r="B11217" s="10"/>
      <c r="C11217" s="10"/>
      <c r="D11217" s="35" t="str">
        <f aca="false">IF($K$11206=0,"",INDEX(Clients!$F$2:$F$501,$K$11206)&amp;"")</f>
        <v/>
      </c>
      <c r="E11217" s="35"/>
      <c r="F11217" s="35"/>
      <c r="J11217" s="25"/>
      <c r="K11217" s="25"/>
      <c r="L11217" s="25"/>
      <c r="M11217" s="25"/>
      <c r="N11217" s="25"/>
      <c r="O11217" s="25"/>
    </row>
    <row r="11218" customFormat="false" ht="15" hidden="false" customHeight="true" outlineLevel="0" collapsed="false">
      <c r="B11218" s="10"/>
      <c r="C11218" s="10"/>
      <c r="D11218" s="35" t="str">
        <f aca="false">IF(IF($K$11206=0,"",INDEX(Clients!$G$2:$G$501,$K$11206)&amp;"")="",TRIM(IF($K$11206=0,"",INDEX(Clients!$H$2:$H$501,$K$11206)&amp;"")&amp;" "&amp;UPPER(IF($K$11206=0,"",INDEX(Clients!$I$2:$I$501,$K$11206)&amp;""))),IF($K$11206=0,"",INDEX(Clients!$G$2:$G$501,$K$11206)&amp;""))</f>
        <v/>
      </c>
      <c r="E11218" s="35"/>
      <c r="F11218" s="35"/>
      <c r="J11218" s="25"/>
      <c r="K11218" s="25"/>
      <c r="L11218" s="25"/>
      <c r="M11218" s="25"/>
      <c r="N11218" s="25"/>
      <c r="O11218" s="25"/>
    </row>
    <row r="11219" customFormat="false" ht="15" hidden="false" customHeight="true" outlineLevel="0" collapsed="false">
      <c r="B11219" s="10"/>
      <c r="C11219" s="10"/>
      <c r="D11219" s="35" t="str">
        <f aca="false">IF(IF($K$11206=0,"",INDEX(Clients!$G$2:$G$501,$K$11206)&amp;"")="","",TRIM(IF($K$11206=0,"",INDEX(Clients!$H$2:$H$501,$K$11206)&amp;"")&amp;" "&amp;UPPER(IF($K$11206=0,"",INDEX(Clients!$I$2:$I$501,$K$11206)&amp;""))))</f>
        <v/>
      </c>
      <c r="E11219" s="35"/>
      <c r="F11219" s="35"/>
      <c r="J11219" s="25"/>
      <c r="K11219" s="25"/>
      <c r="L11219" s="25"/>
      <c r="M11219" s="25"/>
      <c r="N11219" s="25"/>
      <c r="O11219" s="25"/>
    </row>
    <row r="11220" customFormat="false" ht="25.5" hidden="false" customHeight="true" outlineLevel="0" collapsed="false">
      <c r="B11220" s="10"/>
      <c r="C11220" s="10"/>
      <c r="D11220" s="10"/>
      <c r="E11220" s="10"/>
      <c r="F11220" s="10"/>
      <c r="J11220" s="25"/>
      <c r="K11220" s="25"/>
      <c r="L11220" s="25"/>
      <c r="M11220" s="25"/>
      <c r="N11220" s="25"/>
      <c r="O11220" s="25"/>
    </row>
    <row r="11221" customFormat="false" ht="15" hidden="false" customHeight="false" outlineLevel="0" collapsed="false">
      <c r="B11221" s="10"/>
      <c r="C11221" s="10"/>
      <c r="D11221" s="36" t="str">
        <f aca="false">Cab_Ville&amp;", le "&amp;DAY(Date_Courrier)&amp;IF(DAY(Date_Courrier)=1,"er","")&amp;" "&amp;INDEX(Liste_Mois,MONTH(Date_Courrier))&amp;" "&amp;YEAR(Date_Courrier)</f>
        <v>Le Plessis-Bouchard, le 22 septembre 2026</v>
      </c>
      <c r="E11221" s="36"/>
      <c r="F11221" s="36"/>
      <c r="J11221" s="25"/>
      <c r="K11221" s="25"/>
      <c r="L11221" s="25"/>
      <c r="M11221" s="25"/>
      <c r="N11221" s="25"/>
      <c r="O11221" s="25"/>
    </row>
    <row r="11222" customFormat="false" ht="19.5" hidden="false" customHeight="true" outlineLevel="0" collapsed="false">
      <c r="B11222" s="10"/>
      <c r="C11222" s="10"/>
      <c r="D11222" s="10"/>
      <c r="E11222" s="10"/>
      <c r="F11222" s="10"/>
      <c r="J11222" s="25"/>
      <c r="K11222" s="25"/>
      <c r="L11222" s="25"/>
      <c r="M11222" s="25"/>
      <c r="N11222" s="25"/>
      <c r="O11222" s="25"/>
    </row>
    <row r="11223" customFormat="false" ht="15" hidden="false" customHeight="false" outlineLevel="0" collapsed="false">
      <c r="B11223" s="34" t="str">
        <f aca="false">SUBSTITUTE(SUBSTITUTE(SUBSTITUTE(SUBSTITUTE(SUBSTITUTE(Txt_Objet,"{cabinet}",Cab_Nom),"{societe}",IF($K$11206=0,"",INDEX(Clients!$E$2:$E$501,$K$11206)&amp;"")),"{date_effet}",$K$11208),"{hausse}",$K$11209),"{civilite}",$K$11207)</f>
        <v>Objet : révision de nos honoraires au 1er janvier 2027</v>
      </c>
      <c r="C11223" s="34"/>
      <c r="D11223" s="34"/>
      <c r="E11223" s="34"/>
      <c r="F11223" s="34"/>
      <c r="J11223" s="25"/>
      <c r="K11223" s="25"/>
      <c r="L11223" s="25"/>
      <c r="M11223" s="25"/>
      <c r="N11223" s="25"/>
      <c r="O11223" s="25"/>
    </row>
    <row r="11224" customFormat="false" ht="13.5" hidden="false" customHeight="true" outlineLevel="0" collapsed="false">
      <c r="B11224" s="10"/>
      <c r="C11224" s="10"/>
      <c r="D11224" s="10"/>
      <c r="E11224" s="10"/>
      <c r="F11224" s="10"/>
      <c r="J11224" s="25"/>
      <c r="K11224" s="25"/>
      <c r="L11224" s="25"/>
      <c r="M11224" s="25"/>
      <c r="N11224" s="25"/>
      <c r="O11224" s="25"/>
    </row>
    <row r="11225" customFormat="false" ht="15" hidden="false" customHeight="false" outlineLevel="0" collapsed="false">
      <c r="B11225" s="10" t="str">
        <f aca="false">$K$11207&amp;","</f>
        <v>Madame, Monsieur,</v>
      </c>
      <c r="C11225" s="10"/>
      <c r="D11225" s="10"/>
      <c r="E11225" s="10"/>
      <c r="F11225" s="10"/>
      <c r="J11225" s="25"/>
      <c r="K11225" s="25"/>
      <c r="L11225" s="25"/>
      <c r="M11225" s="25"/>
      <c r="N11225" s="25"/>
      <c r="O11225" s="25"/>
    </row>
    <row r="11226" customFormat="false" ht="6" hidden="false" customHeight="true" outlineLevel="0" collapsed="false">
      <c r="B11226" s="10"/>
      <c r="C11226" s="10"/>
      <c r="D11226" s="10"/>
      <c r="E11226" s="10"/>
      <c r="F11226" s="10"/>
      <c r="J11226" s="25"/>
      <c r="K11226" s="25"/>
      <c r="L11226" s="25"/>
      <c r="M11226" s="25"/>
      <c r="N11226" s="25"/>
      <c r="O11226" s="25"/>
    </row>
    <row r="11227" customFormat="false" ht="36.75" hidden="false" customHeight="true" outlineLevel="0" collapsed="false">
      <c r="B11227" s="37" t="str">
        <f aca="false">SUBSTITUTE(SUBSTITUTE(SUBSTITUTE(SUBSTITUTE(SUBSTITUTE(Txt_P1,"{cabinet}",Cab_Nom),"{societe}",IF($K$11206=0,"",INDEX(Clients!$E$2:$E$501,$K$11206)&amp;"")),"{date_effet}",$K$11208),"{hausse}",$K$11209),"{civilite}",$K$11207)</f>
        <v>Nous tenons tout d'abord à vous remercier pour la confiance que vous accordez à ALTHO EXPERTISE. Comme chaque année, et conformément aux dispositions de votre lettre de mission, nous procédons à la révision de nos honoraires.</v>
      </c>
      <c r="C11227" s="37"/>
      <c r="D11227" s="37"/>
      <c r="E11227" s="37"/>
      <c r="F11227" s="37"/>
      <c r="J11227" s="25"/>
      <c r="K11227" s="25"/>
      <c r="L11227" s="25"/>
      <c r="M11227" s="25"/>
      <c r="N11227" s="25"/>
      <c r="O11227" s="25"/>
    </row>
    <row r="11228" customFormat="false" ht="49.5" hidden="false" customHeight="true" outlineLevel="0" collapsed="false">
      <c r="B11228" s="37" t="str">
        <f aca="false">SUBSTITUTE(SUBSTITUTE(SUBSTITUTE(SUBSTITUTE(SUBSTITUTE(Txt_P2,"{cabinet}",Cab_Nom),"{societe}",IF($K$11206=0,"",INDEX(Clients!$E$2:$E$501,$K$11206)&amp;"")),"{date_effet}",$K$11208),"{hausse}",$K$11209),"{civilite}",$K$11207)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228" s="37"/>
      <c r="D11228" s="37"/>
      <c r="E11228" s="37"/>
      <c r="F11228" s="37"/>
      <c r="J11228" s="25"/>
      <c r="K11228" s="25"/>
      <c r="L11228" s="25"/>
      <c r="M11228" s="25"/>
      <c r="N11228" s="25"/>
      <c r="O11228" s="25"/>
    </row>
    <row r="11229" customFormat="false" ht="63" hidden="false" customHeight="true" outlineLevel="0" collapsed="false">
      <c r="B11229" s="37" t="str">
        <f aca="false">SUBSTITUTE(SUBSTITUTE(SUBSTITUTE(SUBSTITUTE(SUBSTITUTE(Txt_P3,"{cabinet}",Cab_Nom),"{societe}",IF($K$11206=0,"",INDEX(Clients!$E$2:$E$501,$K$11206)&amp;"")),"{date_effet}",$K$11208),"{hausse}",$K$11209),"{civilite}",$K$11207)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229" s="37"/>
      <c r="D11229" s="37"/>
      <c r="E11229" s="37"/>
      <c r="F11229" s="37"/>
      <c r="J11229" s="25"/>
      <c r="K11229" s="25"/>
      <c r="L11229" s="25"/>
      <c r="M11229" s="25"/>
      <c r="N11229" s="25"/>
      <c r="O11229" s="25"/>
    </row>
    <row r="11230" customFormat="false" ht="24" hidden="false" customHeight="true" outlineLevel="0" collapsed="false">
      <c r="B11230" s="37" t="str">
        <f aca="false">SUBSTITUTE(SUBSTITUTE(SUBSTITUTE(SUBSTITUTE(SUBSTITUTE(Txt_P4,"{cabinet}",Cab_Nom),"{societe}",IF($K$11206=0,"",INDEX(Clients!$E$2:$E$501,$K$11206)&amp;"")),"{date_effet}",$K$11208),"{hausse}",$K$11209),"{civilite}",$K$11207)</f>
        <v>À compter du 1er janvier 2027, vos honoraires annuels hors taxes évolueront ainsi (évolution globale : ) :</v>
      </c>
      <c r="C11230" s="37"/>
      <c r="D11230" s="37"/>
      <c r="E11230" s="37"/>
      <c r="F11230" s="37"/>
      <c r="J11230" s="25"/>
      <c r="K11230" s="25"/>
      <c r="L11230" s="25"/>
      <c r="M11230" s="25"/>
      <c r="N11230" s="25"/>
      <c r="O11230" s="25"/>
    </row>
    <row r="11231" customFormat="false" ht="3.75" hidden="false" customHeight="true" outlineLevel="0" collapsed="false">
      <c r="B11231" s="10"/>
      <c r="C11231" s="10"/>
      <c r="D11231" s="10"/>
      <c r="E11231" s="10"/>
      <c r="F11231" s="10"/>
      <c r="J11231" s="25"/>
      <c r="K11231" s="25"/>
      <c r="L11231" s="25"/>
      <c r="M11231" s="25"/>
      <c r="N11231" s="25"/>
      <c r="O11231" s="25"/>
    </row>
    <row r="11232" customFormat="false" ht="18" hidden="false" customHeight="true" outlineLevel="0" collapsed="false">
      <c r="B11232" s="38" t="s">
        <v>148</v>
      </c>
      <c r="C11232" s="39" t="s">
        <v>149</v>
      </c>
      <c r="D11232" s="39" t="s">
        <v>150</v>
      </c>
      <c r="E11232" s="39" t="s">
        <v>151</v>
      </c>
      <c r="F11232" s="39" t="s">
        <v>109</v>
      </c>
      <c r="J11232" s="25" t="s">
        <v>152</v>
      </c>
      <c r="K11232" s="25" t="s">
        <v>153</v>
      </c>
      <c r="L11232" s="25" t="s">
        <v>154</v>
      </c>
      <c r="M11232" s="25" t="s">
        <v>155</v>
      </c>
      <c r="N11232" s="25" t="s">
        <v>156</v>
      </c>
      <c r="O11232" s="25" t="s">
        <v>157</v>
      </c>
    </row>
    <row r="11233" customFormat="false" ht="16.5" hidden="false" customHeight="true" outlineLevel="0" collapsed="false">
      <c r="B11233" s="40" t="str">
        <f aca="false">IFERROR(INDEX($J$11233:$J$11236,MATCH($O11233,$N$11233:$N$11236,0)),"")</f>
        <v/>
      </c>
      <c r="C11233" s="41" t="str">
        <f aca="false">IFERROR(INDEX($K$11233:$K$11236,MATCH($O11233,$N$11233:$N$11236,0)),"")</f>
        <v/>
      </c>
      <c r="D11233" s="42" t="str">
        <f aca="false">IF(OR(E11233="",N(C11233)=0),"",E11233/C11233-1)</f>
        <v/>
      </c>
      <c r="E11233" s="41" t="str">
        <f aca="false">IFERROR(INDEX($L$11233:$L$11236,MATCH($O11233,$N$11233:$N$11236,0)),"")</f>
        <v/>
      </c>
      <c r="F11233" s="41" t="str">
        <f aca="false">IF(E11233="","",E11233-C11233)</f>
        <v/>
      </c>
      <c r="J11233" s="25" t="str">
        <f aca="false">Lib_Compta</f>
        <v>Mission comptable (tenue, révision, bilan, liasse fiscale)</v>
      </c>
      <c r="K11233" s="25" t="n">
        <f aca="false">IF($K$11206=0,0,N(INDEX(Clients!$K$2:$K$501,$K$11206)))</f>
        <v>0</v>
      </c>
      <c r="L11233" s="25" t="n">
        <f aca="false">IF($K$11206=0,0,N(INDEX(Clients!$P$2:$P$501,$K$11206)))</f>
        <v>0</v>
      </c>
      <c r="M11233" s="25" t="n">
        <f aca="false">IF(OR(K11233&lt;&gt;0,L11233&lt;&gt;0),1,0)</f>
        <v>0</v>
      </c>
      <c r="N11233" s="25" t="str">
        <f aca="false">IF(M11233=1,SUM($M$11233:M11233),"")</f>
        <v/>
      </c>
      <c r="O11233" s="25" t="n">
        <v>1</v>
      </c>
    </row>
    <row r="11234" customFormat="false" ht="16.5" hidden="false" customHeight="true" outlineLevel="0" collapsed="false">
      <c r="B11234" s="40" t="str">
        <f aca="false">IFERROR(INDEX($J$11233:$J$11236,MATCH($O11234,$N$11233:$N$11236,0)),"")</f>
        <v/>
      </c>
      <c r="C11234" s="41" t="str">
        <f aca="false">IFERROR(INDEX($K$11233:$K$11236,MATCH($O11234,$N$11233:$N$11236,0)),"")</f>
        <v/>
      </c>
      <c r="D11234" s="42" t="str">
        <f aca="false">IF(OR(E11234="",N(C11234)=0),"",E11234/C11234-1)</f>
        <v/>
      </c>
      <c r="E11234" s="41" t="str">
        <f aca="false">IFERROR(INDEX($L$11233:$L$11236,MATCH($O11234,$N$11233:$N$11236,0)),"")</f>
        <v/>
      </c>
      <c r="F11234" s="41" t="str">
        <f aca="false">IF(E11234="","",E11234-C11234)</f>
        <v/>
      </c>
      <c r="J11234" s="25" t="str">
        <f aca="false">Lib_Paye</f>
        <v>Mission sociale (bulletins de paie, DSN, déclarations sociales)</v>
      </c>
      <c r="K11234" s="25" t="n">
        <f aca="false">IF($K$11206=0,0,N(INDEX(Clients!$L$2:$L$501,$K$11206)))</f>
        <v>0</v>
      </c>
      <c r="L11234" s="25" t="n">
        <f aca="false">IF($K$11206=0,0,N(INDEX(Clients!$Q$2:$Q$501,$K$11206)))</f>
        <v>0</v>
      </c>
      <c r="M11234" s="25" t="n">
        <f aca="false">IF(OR(K11234&lt;&gt;0,L11234&lt;&gt;0),1,0)</f>
        <v>0</v>
      </c>
      <c r="N11234" s="25" t="str">
        <f aca="false">IF(M11234=1,SUM($M$11233:M11234),"")</f>
        <v/>
      </c>
      <c r="O11234" s="25" t="n">
        <v>2</v>
      </c>
    </row>
    <row r="11235" customFormat="false" ht="16.5" hidden="false" customHeight="true" outlineLevel="0" collapsed="false">
      <c r="B11235" s="40" t="str">
        <f aca="false">IFERROR(INDEX($J$11233:$J$11236,MATCH($O11235,$N$11233:$N$11236,0)),"")</f>
        <v/>
      </c>
      <c r="C11235" s="41" t="str">
        <f aca="false">IFERROR(INDEX($K$11233:$K$11236,MATCH($O11235,$N$11233:$N$11236,0)),"")</f>
        <v/>
      </c>
      <c r="D11235" s="42" t="str">
        <f aca="false">IF(OR(E11235="",N(C11235)=0),"",E11235/C11235-1)</f>
        <v/>
      </c>
      <c r="E11235" s="41" t="str">
        <f aca="false">IFERROR(INDEX($L$11233:$L$11236,MATCH($O11235,$N$11233:$N$11236,0)),"")</f>
        <v/>
      </c>
      <c r="F11235" s="41" t="str">
        <f aca="false">IF(E11235="","",E11235-C11235)</f>
        <v/>
      </c>
      <c r="J11235" s="25" t="str">
        <f aca="false">Lib_Jur</f>
        <v>Mission juridique (approbation des comptes, secrétariat juridique)</v>
      </c>
      <c r="K11235" s="25" t="n">
        <f aca="false">IF($K$11206=0,0,N(INDEX(Clients!$M$2:$M$501,$K$11206)))</f>
        <v>0</v>
      </c>
      <c r="L11235" s="25" t="n">
        <f aca="false">IF($K$11206=0,0,N(INDEX(Clients!$R$2:$R$501,$K$11206)))</f>
        <v>0</v>
      </c>
      <c r="M11235" s="25" t="n">
        <f aca="false">IF(OR(K11235&lt;&gt;0,L11235&lt;&gt;0),1,0)</f>
        <v>0</v>
      </c>
      <c r="N11235" s="25" t="str">
        <f aca="false">IF(M11235=1,SUM($M$11233:M11235),"")</f>
        <v/>
      </c>
      <c r="O11235" s="25" t="n">
        <v>3</v>
      </c>
    </row>
    <row r="11236" customFormat="false" ht="16.5" hidden="false" customHeight="true" outlineLevel="0" collapsed="false">
      <c r="B11236" s="40" t="str">
        <f aca="false">IFERROR(INDEX($J$11233:$J$11236,MATCH($O11236,$N$11233:$N$11236,0)),"")</f>
        <v/>
      </c>
      <c r="C11236" s="41" t="str">
        <f aca="false">IFERROR(INDEX($K$11233:$K$11236,MATCH($O11236,$N$11233:$N$11236,0)),"")</f>
        <v/>
      </c>
      <c r="D11236" s="42" t="str">
        <f aca="false">IF(OR(E11236="",N(C11236)=0),"",E11236/C11236-1)</f>
        <v/>
      </c>
      <c r="E11236" s="41" t="str">
        <f aca="false">IFERROR(INDEX($L$11233:$L$11236,MATCH($O11236,$N$11233:$N$11236,0)),"")</f>
        <v/>
      </c>
      <c r="F11236" s="41" t="str">
        <f aca="false">IF(E11236="","",E11236-C11236)</f>
        <v/>
      </c>
      <c r="J11236" s="25" t="str">
        <f aca="false">Lib_PA</f>
        <v>Plateforme agréée – facturation électronique</v>
      </c>
      <c r="K11236" s="25" t="n">
        <f aca="false">IF($K$11206=0,0,N(INDEX(Clients!$N$2:$N$501,$K$11206)))</f>
        <v>0</v>
      </c>
      <c r="L11236" s="25" t="n">
        <f aca="false">IF($K$11206=0,0,N(INDEX(Clients!$S$2:$S$501,$K$11206)))</f>
        <v>0</v>
      </c>
      <c r="M11236" s="25" t="n">
        <f aca="false">IF(OR(K11236&lt;&gt;0,L11236&lt;&gt;0),1,0)</f>
        <v>0</v>
      </c>
      <c r="N11236" s="25" t="str">
        <f aca="false">IF(M11236=1,SUM($M$11233:M11236),"")</f>
        <v/>
      </c>
      <c r="O11236" s="25" t="n">
        <v>4</v>
      </c>
    </row>
    <row r="11237" customFormat="false" ht="18" hidden="false" customHeight="true" outlineLevel="0" collapsed="false">
      <c r="B11237" s="43" t="s">
        <v>158</v>
      </c>
      <c r="C11237" s="44" t="n">
        <f aca="false">SUM(K11233:K11236)</f>
        <v>0</v>
      </c>
      <c r="D11237" s="45" t="str">
        <f aca="false">IF(N(C11237)=0,"",E11237/C11237-1)</f>
        <v/>
      </c>
      <c r="E11237" s="44" t="n">
        <f aca="false">SUM(L11233:L11236)</f>
        <v>0</v>
      </c>
      <c r="F11237" s="44" t="n">
        <f aca="false">E11237-C11237</f>
        <v>0</v>
      </c>
    </row>
    <row r="11238" customFormat="false" ht="15" hidden="false" customHeight="false" outlineLevel="0" collapsed="false">
      <c r="B11238" s="46" t="str">
        <f aca="false">IF(N(Nb_Mensualites)=0,"","Soit "&amp;FIXED(E11237/Nb_Mensualites,2)&amp;" € HT par échéance ("&amp;Nb_Mensualites&amp;" échéances), "&amp;FIXED(E11237/Nb_Mensualites*(1+Taux_TVA),2)&amp;" € TTC.")</f>
        <v>Soit 0.00 € HT par échéance (12 échéances), 0.00 € TTC.</v>
      </c>
      <c r="C11238" s="46"/>
      <c r="D11238" s="46"/>
      <c r="E11238" s="46"/>
      <c r="F11238" s="46"/>
    </row>
    <row r="11239" customFormat="false" ht="7.5" hidden="false" customHeight="true" outlineLevel="0" collapsed="false">
      <c r="B11239" s="10"/>
      <c r="C11239" s="10"/>
      <c r="D11239" s="10"/>
      <c r="E11239" s="10"/>
      <c r="F11239" s="10"/>
    </row>
    <row r="11240" customFormat="false" ht="36.75" hidden="false" customHeight="true" outlineLevel="0" collapsed="false">
      <c r="B11240" s="37" t="str">
        <f aca="false">SUBSTITUTE(SUBSTITUTE(SUBSTITUTE(SUBSTITUTE(SUBSTITUTE(Txt_P5,"{cabinet}",Cab_Nom),"{societe}",IF($K$11206=0,"",INDEX(Clients!$E$2:$E$501,$K$11206)&amp;"")),"{date_effet}",$K$11208),"{hausse}",$K$11209),"{civilite}",$K$11207)</f>
        <v>Les autres conditions de votre lettre de mission demeurent inchangées. Les nouveaux montants seront appliqués automatiquement sur vos prochaines factures et échéances de prélèvement.</v>
      </c>
      <c r="C11240" s="37"/>
      <c r="D11240" s="37"/>
      <c r="E11240" s="37"/>
      <c r="F11240" s="37"/>
    </row>
    <row r="11241" customFormat="false" ht="36.75" hidden="false" customHeight="true" outlineLevel="0" collapsed="false">
      <c r="B11241" s="37" t="str">
        <f aca="false">SUBSTITUTE(SUBSTITUTE(SUBSTITUTE(SUBSTITUTE(SUBSTITUTE(Txt_P6,"{cabinet}",Cab_Nom),"{societe}",IF($K$11206=0,"",INDEX(Clients!$E$2:$E$501,$K$11206)&amp;"")),"{date_effet}",$K$11208),"{hausse}",$K$11209),"{civilite}",$K$11207)</f>
        <v>Votre interlocuteur habituel reste à votre entière disposition pour répondre à vos questions et faire le point sur l'évolution de vos besoins.</v>
      </c>
      <c r="C11241" s="37"/>
      <c r="D11241" s="37"/>
      <c r="E11241" s="37"/>
      <c r="F11241" s="37"/>
    </row>
    <row r="11242" customFormat="false" ht="24" hidden="false" customHeight="true" outlineLevel="0" collapsed="false">
      <c r="B11242" s="37" t="str">
        <f aca="false">SUBSTITUTE(SUBSTITUTE(SUBSTITUTE(SUBSTITUTE(SUBSTITUTE(Txt_Politesse,"{cabinet}",Cab_Nom),"{societe}",IF($K$11206=0,"",INDEX(Clients!$E$2:$E$501,$K$11206)&amp;"")),"{date_effet}",$K$11208),"{hausse}",$K$11209),"{civilite}",$K$11207)</f>
        <v>Nous vous prions d'agréer, Madame, Monsieur, l'expression de nos salutations distinguées.</v>
      </c>
      <c r="C11242" s="37"/>
      <c r="D11242" s="37"/>
      <c r="E11242" s="37"/>
      <c r="F11242" s="37"/>
    </row>
    <row r="11243" customFormat="false" ht="15" hidden="false" customHeight="false" outlineLevel="0" collapsed="false">
      <c r="B11243" s="10"/>
      <c r="C11243" s="10"/>
      <c r="D11243" s="10"/>
      <c r="E11243" s="10"/>
      <c r="F11243" s="10"/>
    </row>
    <row r="11244" customFormat="false" ht="15" hidden="false" customHeight="false" outlineLevel="0" collapsed="false">
      <c r="B11244" s="10"/>
      <c r="C11244" s="10"/>
      <c r="D11244" s="34" t="str">
        <f aca="false">Signataire</f>
        <v>Prénom NOM</v>
      </c>
      <c r="E11244" s="34"/>
      <c r="F11244" s="34"/>
    </row>
    <row r="11245" customFormat="false" ht="15" hidden="false" customHeight="false" outlineLevel="0" collapsed="false">
      <c r="B11245" s="10"/>
      <c r="C11245" s="10"/>
      <c r="D11245" s="47" t="str">
        <f aca="false">Signataire_Titre</f>
        <v>Expert-comptable associé</v>
      </c>
      <c r="E11245" s="47"/>
      <c r="F11245" s="47"/>
    </row>
    <row r="11246" customFormat="false" ht="15.75" hidden="false" customHeight="true" outlineLevel="0" collapsed="false">
      <c r="B11246" s="10"/>
      <c r="C11246" s="10"/>
      <c r="D11246" s="10"/>
      <c r="E11246" s="10"/>
      <c r="F11246" s="10"/>
    </row>
    <row r="11247" customFormat="false" ht="15.75" hidden="false" customHeight="true" outlineLevel="0" collapsed="false">
      <c r="B11247" s="10"/>
      <c r="C11247" s="10"/>
      <c r="D11247" s="10"/>
      <c r="E11247" s="10"/>
      <c r="F11247" s="10"/>
    </row>
    <row r="11248" customFormat="false" ht="15.75" hidden="false" customHeight="true" outlineLevel="0" collapsed="false">
      <c r="B11248" s="10"/>
      <c r="C11248" s="10"/>
      <c r="D11248" s="10"/>
      <c r="E11248" s="10"/>
      <c r="F11248" s="10"/>
    </row>
    <row r="11249" customFormat="false" ht="15.75" hidden="false" customHeight="true" outlineLevel="0" collapsed="false">
      <c r="B11249" s="10"/>
      <c r="C11249" s="10"/>
      <c r="D11249" s="10"/>
      <c r="E11249" s="10"/>
      <c r="F11249" s="10"/>
    </row>
    <row r="11250" customFormat="false" ht="24" hidden="false" customHeight="true" outlineLevel="0" collapsed="false">
      <c r="B11250" s="48" t="str">
        <f aca="false">Cab_Mentions</f>
        <v>ALTHO EXPERTISE · SAS au capital de 10 000 € · RCS Pontoise 919 706 325 · TVA FR62919706325 · Société d'expertise comptable inscrite au Tableau de l'Ordre des experts-comptables de Paris Île-de-France</v>
      </c>
      <c r="C11250" s="48"/>
      <c r="D11250" s="48"/>
      <c r="E11250" s="48"/>
      <c r="F11250" s="48"/>
    </row>
    <row r="11251" customFormat="false" ht="15" hidden="false" customHeight="false" outlineLevel="0" collapsed="false">
      <c r="B11251" s="10"/>
      <c r="C11251" s="10"/>
      <c r="D11251" s="10"/>
      <c r="E11251" s="10"/>
      <c r="F11251" s="10"/>
      <c r="J11251" s="25" t="s">
        <v>142</v>
      </c>
      <c r="K11251" s="25" t="n">
        <f aca="false">IFERROR(MATCH(251,Clients!$Z$2:$Z$501,0),0)</f>
        <v>0</v>
      </c>
      <c r="L11251" s="25"/>
      <c r="M11251" s="25"/>
      <c r="N11251" s="25"/>
      <c r="O11251" s="25"/>
    </row>
    <row r="11252" customFormat="false" ht="21.75" hidden="false" customHeight="true" outlineLevel="0" collapsed="false">
      <c r="B11252" s="26" t="str">
        <f aca="false">Cab_Nom</f>
        <v>ALTHO EXPERTISE</v>
      </c>
      <c r="C11252" s="26"/>
      <c r="D11252" s="10"/>
      <c r="E11252" s="27" t="str">
        <f aca="false">IF($K$11251=0,"","Réf. client : "&amp;INDEX(Clients!$A$2:$A$501,$K$11251))</f>
        <v/>
      </c>
      <c r="F11252" s="27"/>
      <c r="J11252" s="25" t="s">
        <v>144</v>
      </c>
      <c r="K11252" s="25" t="str">
        <f aca="false">IF(IF($K$11251=0,"",INDEX(Clients!$B$2:$B$501,$K$11251)&amp;"")="Mme","Madame",IF(IF($K$11251=0,"",INDEX(Clients!$B$2:$B$501,$K$11251)&amp;"")="M.","Monsieur","Madame, Monsieur"))</f>
        <v>Madame, Monsieur</v>
      </c>
      <c r="L11252" s="25"/>
      <c r="M11252" s="25"/>
      <c r="N11252" s="25"/>
      <c r="O11252" s="25"/>
    </row>
    <row r="11253" customFormat="false" ht="15" hidden="false" customHeight="false" outlineLevel="0" collapsed="false">
      <c r="B11253" s="29" t="str">
        <f aca="false">Cab_Adr1</f>
        <v>141 rue Charles de Gaulle</v>
      </c>
      <c r="C11253" s="29"/>
      <c r="D11253" s="10"/>
      <c r="E11253" s="10"/>
      <c r="F11253" s="10"/>
      <c r="J11253" s="25" t="s">
        <v>145</v>
      </c>
      <c r="K11253" s="25" t="str">
        <f aca="false">DAY(Date_Effet)&amp;IF(DAY(Date_Effet)=1,"er","")&amp;" "&amp;INDEX(Liste_Mois,MONTH(Date_Effet))&amp;" "&amp;YEAR(Date_Effet)</f>
        <v>1er janvier 2027</v>
      </c>
      <c r="L11253" s="25"/>
      <c r="M11253" s="25"/>
      <c r="N11253" s="25"/>
      <c r="O11253" s="25"/>
    </row>
    <row r="11254" customFormat="false" ht="15" hidden="false" customHeight="false" outlineLevel="0" collapsed="false">
      <c r="B11254" s="29" t="str">
        <f aca="false">Cab_CPVille</f>
        <v>95130 LE PLESSIS-BOUCHARD</v>
      </c>
      <c r="C11254" s="29"/>
      <c r="D11254" s="10"/>
      <c r="E11254" s="10"/>
      <c r="F11254" s="10"/>
      <c r="J11254" s="25" t="s">
        <v>146</v>
      </c>
      <c r="K11254" s="25" t="str">
        <f aca="false">IF(SUM($K$11278:$K$11281)=0,"",FIXED((SUM($L$11278:$L$11281)/SUM($K$11278:$K$11281)-1)*100,1)&amp;" %")</f>
        <v/>
      </c>
      <c r="L11254" s="25"/>
      <c r="M11254" s="25"/>
      <c r="N11254" s="25"/>
      <c r="O11254" s="25"/>
    </row>
    <row r="11255" customFormat="false" ht="15" hidden="false" customHeight="false" outlineLevel="0" collapsed="false">
      <c r="B11255" s="29" t="str">
        <f aca="false">Cab_Contact</f>
        <v>Tél. 01 34 14 53 45  ·  altho@altho-experts.com  ·  altho-experts.com</v>
      </c>
      <c r="C11255" s="29"/>
      <c r="D11255" s="10"/>
      <c r="E11255" s="10"/>
      <c r="F11255" s="10"/>
      <c r="J11255" s="25"/>
      <c r="K11255" s="25"/>
      <c r="L11255" s="25"/>
      <c r="M11255" s="25"/>
      <c r="N11255" s="25"/>
      <c r="O11255" s="25"/>
    </row>
    <row r="11256" customFormat="false" ht="6" hidden="false" customHeight="true" outlineLevel="0" collapsed="false">
      <c r="B11256" s="32"/>
      <c r="C11256" s="32"/>
      <c r="D11256" s="32"/>
      <c r="E11256" s="32"/>
      <c r="F11256" s="32"/>
      <c r="J11256" s="25"/>
      <c r="K11256" s="25"/>
      <c r="L11256" s="25"/>
      <c r="M11256" s="25"/>
      <c r="N11256" s="25"/>
      <c r="O11256" s="25"/>
    </row>
    <row r="11257" customFormat="false" ht="13.5" hidden="false" customHeight="true" outlineLevel="0" collapsed="false">
      <c r="B11257" s="10"/>
      <c r="C11257" s="10"/>
      <c r="D11257" s="10"/>
      <c r="E11257" s="10"/>
      <c r="F11257" s="10"/>
      <c r="J11257" s="25"/>
      <c r="K11257" s="25"/>
      <c r="L11257" s="25"/>
      <c r="M11257" s="25"/>
      <c r="N11257" s="25"/>
      <c r="O11257" s="25"/>
    </row>
    <row r="11258" customFormat="false" ht="13.5" hidden="false" customHeight="true" outlineLevel="0" collapsed="false">
      <c r="B11258" s="10"/>
      <c r="C11258" s="10"/>
      <c r="D11258" s="10"/>
      <c r="E11258" s="10"/>
      <c r="F11258" s="10"/>
      <c r="J11258" s="25"/>
      <c r="K11258" s="25"/>
      <c r="L11258" s="25"/>
      <c r="M11258" s="25"/>
      <c r="N11258" s="25"/>
      <c r="O11258" s="25"/>
    </row>
    <row r="11259" customFormat="false" ht="13.5" hidden="false" customHeight="true" outlineLevel="0" collapsed="false">
      <c r="B11259" s="10"/>
      <c r="C11259" s="10"/>
      <c r="D11259" s="10"/>
      <c r="E11259" s="10"/>
      <c r="F11259" s="10"/>
      <c r="J11259" s="25"/>
      <c r="K11259" s="25"/>
      <c r="L11259" s="25"/>
      <c r="M11259" s="25"/>
      <c r="N11259" s="25"/>
      <c r="O11259" s="25"/>
    </row>
    <row r="11260" customFormat="false" ht="15" hidden="false" customHeight="true" outlineLevel="0" collapsed="false">
      <c r="B11260" s="10"/>
      <c r="C11260" s="10"/>
      <c r="D11260" s="34" t="str">
        <f aca="false">IF($K$11251=0,"",INDEX(Clients!$E$2:$E$501,$K$11251)&amp;"")</f>
        <v/>
      </c>
      <c r="E11260" s="34"/>
      <c r="F11260" s="34"/>
      <c r="J11260" s="25"/>
      <c r="K11260" s="25"/>
      <c r="L11260" s="25"/>
      <c r="M11260" s="25"/>
      <c r="N11260" s="25"/>
      <c r="O11260" s="25"/>
    </row>
    <row r="11261" customFormat="false" ht="15" hidden="false" customHeight="true" outlineLevel="0" collapsed="false">
      <c r="B11261" s="10"/>
      <c r="C11261" s="10"/>
      <c r="D11261" s="35" t="str">
        <f aca="false">IF(IF($K$11251=0,"",INDEX(Clients!$D$2:$D$501,$K$11251)&amp;"")="","","À l'attention de "&amp;TRIM(IF($K$11251=0,"",INDEX(Clients!$B$2:$B$501,$K$11251)&amp;"")&amp;" "&amp;IF($K$11251=0,"",INDEX(Clients!$C$2:$C$501,$K$11251)&amp;"")&amp;" "&amp;IF($K$11251=0,"",INDEX(Clients!$D$2:$D$501,$K$11251)&amp;"")))</f>
        <v/>
      </c>
      <c r="E11261" s="35"/>
      <c r="F11261" s="35"/>
      <c r="J11261" s="25"/>
      <c r="K11261" s="25"/>
      <c r="L11261" s="25"/>
      <c r="M11261" s="25"/>
      <c r="N11261" s="25"/>
      <c r="O11261" s="25"/>
    </row>
    <row r="11262" customFormat="false" ht="15" hidden="false" customHeight="true" outlineLevel="0" collapsed="false">
      <c r="B11262" s="10"/>
      <c r="C11262" s="10"/>
      <c r="D11262" s="35" t="str">
        <f aca="false">IF($K$11251=0,"",INDEX(Clients!$F$2:$F$501,$K$11251)&amp;"")</f>
        <v/>
      </c>
      <c r="E11262" s="35"/>
      <c r="F11262" s="35"/>
      <c r="J11262" s="25"/>
      <c r="K11262" s="25"/>
      <c r="L11262" s="25"/>
      <c r="M11262" s="25"/>
      <c r="N11262" s="25"/>
      <c r="O11262" s="25"/>
    </row>
    <row r="11263" customFormat="false" ht="15" hidden="false" customHeight="true" outlineLevel="0" collapsed="false">
      <c r="B11263" s="10"/>
      <c r="C11263" s="10"/>
      <c r="D11263" s="35" t="str">
        <f aca="false">IF(IF($K$11251=0,"",INDEX(Clients!$G$2:$G$501,$K$11251)&amp;"")="",TRIM(IF($K$11251=0,"",INDEX(Clients!$H$2:$H$501,$K$11251)&amp;"")&amp;" "&amp;UPPER(IF($K$11251=0,"",INDEX(Clients!$I$2:$I$501,$K$11251)&amp;""))),IF($K$11251=0,"",INDEX(Clients!$G$2:$G$501,$K$11251)&amp;""))</f>
        <v/>
      </c>
      <c r="E11263" s="35"/>
      <c r="F11263" s="35"/>
      <c r="J11263" s="25"/>
      <c r="K11263" s="25"/>
      <c r="L11263" s="25"/>
      <c r="M11263" s="25"/>
      <c r="N11263" s="25"/>
      <c r="O11263" s="25"/>
    </row>
    <row r="11264" customFormat="false" ht="15" hidden="false" customHeight="true" outlineLevel="0" collapsed="false">
      <c r="B11264" s="10"/>
      <c r="C11264" s="10"/>
      <c r="D11264" s="35" t="str">
        <f aca="false">IF(IF($K$11251=0,"",INDEX(Clients!$G$2:$G$501,$K$11251)&amp;"")="","",TRIM(IF($K$11251=0,"",INDEX(Clients!$H$2:$H$501,$K$11251)&amp;"")&amp;" "&amp;UPPER(IF($K$11251=0,"",INDEX(Clients!$I$2:$I$501,$K$11251)&amp;""))))</f>
        <v/>
      </c>
      <c r="E11264" s="35"/>
      <c r="F11264" s="35"/>
      <c r="J11264" s="25"/>
      <c r="K11264" s="25"/>
      <c r="L11264" s="25"/>
      <c r="M11264" s="25"/>
      <c r="N11264" s="25"/>
      <c r="O11264" s="25"/>
    </row>
    <row r="11265" customFormat="false" ht="25.5" hidden="false" customHeight="true" outlineLevel="0" collapsed="false">
      <c r="B11265" s="10"/>
      <c r="C11265" s="10"/>
      <c r="D11265" s="10"/>
      <c r="E11265" s="10"/>
      <c r="F11265" s="10"/>
      <c r="J11265" s="25"/>
      <c r="K11265" s="25"/>
      <c r="L11265" s="25"/>
      <c r="M11265" s="25"/>
      <c r="N11265" s="25"/>
      <c r="O11265" s="25"/>
    </row>
    <row r="11266" customFormat="false" ht="15" hidden="false" customHeight="false" outlineLevel="0" collapsed="false">
      <c r="B11266" s="10"/>
      <c r="C11266" s="10"/>
      <c r="D11266" s="36" t="str">
        <f aca="false">Cab_Ville&amp;", le "&amp;DAY(Date_Courrier)&amp;IF(DAY(Date_Courrier)=1,"er","")&amp;" "&amp;INDEX(Liste_Mois,MONTH(Date_Courrier))&amp;" "&amp;YEAR(Date_Courrier)</f>
        <v>Le Plessis-Bouchard, le 22 septembre 2026</v>
      </c>
      <c r="E11266" s="36"/>
      <c r="F11266" s="36"/>
      <c r="J11266" s="25"/>
      <c r="K11266" s="25"/>
      <c r="L11266" s="25"/>
      <c r="M11266" s="25"/>
      <c r="N11266" s="25"/>
      <c r="O11266" s="25"/>
    </row>
    <row r="11267" customFormat="false" ht="19.5" hidden="false" customHeight="true" outlineLevel="0" collapsed="false">
      <c r="B11267" s="10"/>
      <c r="C11267" s="10"/>
      <c r="D11267" s="10"/>
      <c r="E11267" s="10"/>
      <c r="F11267" s="10"/>
      <c r="J11267" s="25"/>
      <c r="K11267" s="25"/>
      <c r="L11267" s="25"/>
      <c r="M11267" s="25"/>
      <c r="N11267" s="25"/>
      <c r="O11267" s="25"/>
    </row>
    <row r="11268" customFormat="false" ht="15" hidden="false" customHeight="false" outlineLevel="0" collapsed="false">
      <c r="B11268" s="34" t="str">
        <f aca="false">SUBSTITUTE(SUBSTITUTE(SUBSTITUTE(SUBSTITUTE(SUBSTITUTE(Txt_Objet,"{cabinet}",Cab_Nom),"{societe}",IF($K$11251=0,"",INDEX(Clients!$E$2:$E$501,$K$11251)&amp;"")),"{date_effet}",$K$11253),"{hausse}",$K$11254),"{civilite}",$K$11252)</f>
        <v>Objet : révision de nos honoraires au 1er janvier 2027</v>
      </c>
      <c r="C11268" s="34"/>
      <c r="D11268" s="34"/>
      <c r="E11268" s="34"/>
      <c r="F11268" s="34"/>
      <c r="J11268" s="25"/>
      <c r="K11268" s="25"/>
      <c r="L11268" s="25"/>
      <c r="M11268" s="25"/>
      <c r="N11268" s="25"/>
      <c r="O11268" s="25"/>
    </row>
    <row r="11269" customFormat="false" ht="13.5" hidden="false" customHeight="true" outlineLevel="0" collapsed="false">
      <c r="B11269" s="10"/>
      <c r="C11269" s="10"/>
      <c r="D11269" s="10"/>
      <c r="E11269" s="10"/>
      <c r="F11269" s="10"/>
      <c r="J11269" s="25"/>
      <c r="K11269" s="25"/>
      <c r="L11269" s="25"/>
      <c r="M11269" s="25"/>
      <c r="N11269" s="25"/>
      <c r="O11269" s="25"/>
    </row>
    <row r="11270" customFormat="false" ht="15" hidden="false" customHeight="false" outlineLevel="0" collapsed="false">
      <c r="B11270" s="10" t="str">
        <f aca="false">$K$11252&amp;","</f>
        <v>Madame, Monsieur,</v>
      </c>
      <c r="C11270" s="10"/>
      <c r="D11270" s="10"/>
      <c r="E11270" s="10"/>
      <c r="F11270" s="10"/>
      <c r="J11270" s="25"/>
      <c r="K11270" s="25"/>
      <c r="L11270" s="25"/>
      <c r="M11270" s="25"/>
      <c r="N11270" s="25"/>
      <c r="O11270" s="25"/>
    </row>
    <row r="11271" customFormat="false" ht="6" hidden="false" customHeight="true" outlineLevel="0" collapsed="false">
      <c r="B11271" s="10"/>
      <c r="C11271" s="10"/>
      <c r="D11271" s="10"/>
      <c r="E11271" s="10"/>
      <c r="F11271" s="10"/>
      <c r="J11271" s="25"/>
      <c r="K11271" s="25"/>
      <c r="L11271" s="25"/>
      <c r="M11271" s="25"/>
      <c r="N11271" s="25"/>
      <c r="O11271" s="25"/>
    </row>
    <row r="11272" customFormat="false" ht="36.75" hidden="false" customHeight="true" outlineLevel="0" collapsed="false">
      <c r="B11272" s="37" t="str">
        <f aca="false">SUBSTITUTE(SUBSTITUTE(SUBSTITUTE(SUBSTITUTE(SUBSTITUTE(Txt_P1,"{cabinet}",Cab_Nom),"{societe}",IF($K$11251=0,"",INDEX(Clients!$E$2:$E$501,$K$11251)&amp;"")),"{date_effet}",$K$11253),"{hausse}",$K$11254),"{civilite}",$K$11252)</f>
        <v>Nous tenons tout d'abord à vous remercier pour la confiance que vous accordez à ALTHO EXPERTISE. Comme chaque année, et conformément aux dispositions de votre lettre de mission, nous procédons à la révision de nos honoraires.</v>
      </c>
      <c r="C11272" s="37"/>
      <c r="D11272" s="37"/>
      <c r="E11272" s="37"/>
      <c r="F11272" s="37"/>
      <c r="J11272" s="25"/>
      <c r="K11272" s="25"/>
      <c r="L11272" s="25"/>
      <c r="M11272" s="25"/>
      <c r="N11272" s="25"/>
      <c r="O11272" s="25"/>
    </row>
    <row r="11273" customFormat="false" ht="49.5" hidden="false" customHeight="true" outlineLevel="0" collapsed="false">
      <c r="B11273" s="37" t="str">
        <f aca="false">SUBSTITUTE(SUBSTITUTE(SUBSTITUTE(SUBSTITUTE(SUBSTITUTE(Txt_P2,"{cabinet}",Cab_Nom),"{societe}",IF($K$11251=0,"",INDEX(Clients!$E$2:$E$501,$K$11251)&amp;"")),"{date_effet}",$K$11253),"{hausse}",$K$11254),"{civilite}",$K$11252)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273" s="37"/>
      <c r="D11273" s="37"/>
      <c r="E11273" s="37"/>
      <c r="F11273" s="37"/>
      <c r="J11273" s="25"/>
      <c r="K11273" s="25"/>
      <c r="L11273" s="25"/>
      <c r="M11273" s="25"/>
      <c r="N11273" s="25"/>
      <c r="O11273" s="25"/>
    </row>
    <row r="11274" customFormat="false" ht="63" hidden="false" customHeight="true" outlineLevel="0" collapsed="false">
      <c r="B11274" s="37" t="str">
        <f aca="false">SUBSTITUTE(SUBSTITUTE(SUBSTITUTE(SUBSTITUTE(SUBSTITUTE(Txt_P3,"{cabinet}",Cab_Nom),"{societe}",IF($K$11251=0,"",INDEX(Clients!$E$2:$E$501,$K$11251)&amp;"")),"{date_effet}",$K$11253),"{hausse}",$K$11254),"{civilite}",$K$11252)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274" s="37"/>
      <c r="D11274" s="37"/>
      <c r="E11274" s="37"/>
      <c r="F11274" s="37"/>
      <c r="J11274" s="25"/>
      <c r="K11274" s="25"/>
      <c r="L11274" s="25"/>
      <c r="M11274" s="25"/>
      <c r="N11274" s="25"/>
      <c r="O11274" s="25"/>
    </row>
    <row r="11275" customFormat="false" ht="24" hidden="false" customHeight="true" outlineLevel="0" collapsed="false">
      <c r="B11275" s="37" t="str">
        <f aca="false">SUBSTITUTE(SUBSTITUTE(SUBSTITUTE(SUBSTITUTE(SUBSTITUTE(Txt_P4,"{cabinet}",Cab_Nom),"{societe}",IF($K$11251=0,"",INDEX(Clients!$E$2:$E$501,$K$11251)&amp;"")),"{date_effet}",$K$11253),"{hausse}",$K$11254),"{civilite}",$K$11252)</f>
        <v>À compter du 1er janvier 2027, vos honoraires annuels hors taxes évolueront ainsi (évolution globale : ) :</v>
      </c>
      <c r="C11275" s="37"/>
      <c r="D11275" s="37"/>
      <c r="E11275" s="37"/>
      <c r="F11275" s="37"/>
      <c r="J11275" s="25"/>
      <c r="K11275" s="25"/>
      <c r="L11275" s="25"/>
      <c r="M11275" s="25"/>
      <c r="N11275" s="25"/>
      <c r="O11275" s="25"/>
    </row>
    <row r="11276" customFormat="false" ht="3.75" hidden="false" customHeight="true" outlineLevel="0" collapsed="false">
      <c r="B11276" s="10"/>
      <c r="C11276" s="10"/>
      <c r="D11276" s="10"/>
      <c r="E11276" s="10"/>
      <c r="F11276" s="10"/>
      <c r="J11276" s="25"/>
      <c r="K11276" s="25"/>
      <c r="L11276" s="25"/>
      <c r="M11276" s="25"/>
      <c r="N11276" s="25"/>
      <c r="O11276" s="25"/>
    </row>
    <row r="11277" customFormat="false" ht="18" hidden="false" customHeight="true" outlineLevel="0" collapsed="false">
      <c r="B11277" s="38" t="s">
        <v>148</v>
      </c>
      <c r="C11277" s="39" t="s">
        <v>149</v>
      </c>
      <c r="D11277" s="39" t="s">
        <v>150</v>
      </c>
      <c r="E11277" s="39" t="s">
        <v>151</v>
      </c>
      <c r="F11277" s="39" t="s">
        <v>109</v>
      </c>
      <c r="J11277" s="25" t="s">
        <v>152</v>
      </c>
      <c r="K11277" s="25" t="s">
        <v>153</v>
      </c>
      <c r="L11277" s="25" t="s">
        <v>154</v>
      </c>
      <c r="M11277" s="25" t="s">
        <v>155</v>
      </c>
      <c r="N11277" s="25" t="s">
        <v>156</v>
      </c>
      <c r="O11277" s="25" t="s">
        <v>157</v>
      </c>
    </row>
    <row r="11278" customFormat="false" ht="16.5" hidden="false" customHeight="true" outlineLevel="0" collapsed="false">
      <c r="B11278" s="40" t="str">
        <f aca="false">IFERROR(INDEX($J$11278:$J$11281,MATCH($O11278,$N$11278:$N$11281,0)),"")</f>
        <v/>
      </c>
      <c r="C11278" s="41" t="str">
        <f aca="false">IFERROR(INDEX($K$11278:$K$11281,MATCH($O11278,$N$11278:$N$11281,0)),"")</f>
        <v/>
      </c>
      <c r="D11278" s="42" t="str">
        <f aca="false">IF(OR(E11278="",N(C11278)=0),"",E11278/C11278-1)</f>
        <v/>
      </c>
      <c r="E11278" s="41" t="str">
        <f aca="false">IFERROR(INDEX($L$11278:$L$11281,MATCH($O11278,$N$11278:$N$11281,0)),"")</f>
        <v/>
      </c>
      <c r="F11278" s="41" t="str">
        <f aca="false">IF(E11278="","",E11278-C11278)</f>
        <v/>
      </c>
      <c r="J11278" s="25" t="str">
        <f aca="false">Lib_Compta</f>
        <v>Mission comptable (tenue, révision, bilan, liasse fiscale)</v>
      </c>
      <c r="K11278" s="25" t="n">
        <f aca="false">IF($K$11251=0,0,N(INDEX(Clients!$K$2:$K$501,$K$11251)))</f>
        <v>0</v>
      </c>
      <c r="L11278" s="25" t="n">
        <f aca="false">IF($K$11251=0,0,N(INDEX(Clients!$P$2:$P$501,$K$11251)))</f>
        <v>0</v>
      </c>
      <c r="M11278" s="25" t="n">
        <f aca="false">IF(OR(K11278&lt;&gt;0,L11278&lt;&gt;0),1,0)</f>
        <v>0</v>
      </c>
      <c r="N11278" s="25" t="str">
        <f aca="false">IF(M11278=1,SUM($M$11278:M11278),"")</f>
        <v/>
      </c>
      <c r="O11278" s="25" t="n">
        <v>1</v>
      </c>
    </row>
    <row r="11279" customFormat="false" ht="16.5" hidden="false" customHeight="true" outlineLevel="0" collapsed="false">
      <c r="B11279" s="40" t="str">
        <f aca="false">IFERROR(INDEX($J$11278:$J$11281,MATCH($O11279,$N$11278:$N$11281,0)),"")</f>
        <v/>
      </c>
      <c r="C11279" s="41" t="str">
        <f aca="false">IFERROR(INDEX($K$11278:$K$11281,MATCH($O11279,$N$11278:$N$11281,0)),"")</f>
        <v/>
      </c>
      <c r="D11279" s="42" t="str">
        <f aca="false">IF(OR(E11279="",N(C11279)=0),"",E11279/C11279-1)</f>
        <v/>
      </c>
      <c r="E11279" s="41" t="str">
        <f aca="false">IFERROR(INDEX($L$11278:$L$11281,MATCH($O11279,$N$11278:$N$11281,0)),"")</f>
        <v/>
      </c>
      <c r="F11279" s="41" t="str">
        <f aca="false">IF(E11279="","",E11279-C11279)</f>
        <v/>
      </c>
      <c r="J11279" s="25" t="str">
        <f aca="false">Lib_Paye</f>
        <v>Mission sociale (bulletins de paie, DSN, déclarations sociales)</v>
      </c>
      <c r="K11279" s="25" t="n">
        <f aca="false">IF($K$11251=0,0,N(INDEX(Clients!$L$2:$L$501,$K$11251)))</f>
        <v>0</v>
      </c>
      <c r="L11279" s="25" t="n">
        <f aca="false">IF($K$11251=0,0,N(INDEX(Clients!$Q$2:$Q$501,$K$11251)))</f>
        <v>0</v>
      </c>
      <c r="M11279" s="25" t="n">
        <f aca="false">IF(OR(K11279&lt;&gt;0,L11279&lt;&gt;0),1,0)</f>
        <v>0</v>
      </c>
      <c r="N11279" s="25" t="str">
        <f aca="false">IF(M11279=1,SUM($M$11278:M11279),"")</f>
        <v/>
      </c>
      <c r="O11279" s="25" t="n">
        <v>2</v>
      </c>
    </row>
    <row r="11280" customFormat="false" ht="16.5" hidden="false" customHeight="true" outlineLevel="0" collapsed="false">
      <c r="B11280" s="40" t="str">
        <f aca="false">IFERROR(INDEX($J$11278:$J$11281,MATCH($O11280,$N$11278:$N$11281,0)),"")</f>
        <v/>
      </c>
      <c r="C11280" s="41" t="str">
        <f aca="false">IFERROR(INDEX($K$11278:$K$11281,MATCH($O11280,$N$11278:$N$11281,0)),"")</f>
        <v/>
      </c>
      <c r="D11280" s="42" t="str">
        <f aca="false">IF(OR(E11280="",N(C11280)=0),"",E11280/C11280-1)</f>
        <v/>
      </c>
      <c r="E11280" s="41" t="str">
        <f aca="false">IFERROR(INDEX($L$11278:$L$11281,MATCH($O11280,$N$11278:$N$11281,0)),"")</f>
        <v/>
      </c>
      <c r="F11280" s="41" t="str">
        <f aca="false">IF(E11280="","",E11280-C11280)</f>
        <v/>
      </c>
      <c r="J11280" s="25" t="str">
        <f aca="false">Lib_Jur</f>
        <v>Mission juridique (approbation des comptes, secrétariat juridique)</v>
      </c>
      <c r="K11280" s="25" t="n">
        <f aca="false">IF($K$11251=0,0,N(INDEX(Clients!$M$2:$M$501,$K$11251)))</f>
        <v>0</v>
      </c>
      <c r="L11280" s="25" t="n">
        <f aca="false">IF($K$11251=0,0,N(INDEX(Clients!$R$2:$R$501,$K$11251)))</f>
        <v>0</v>
      </c>
      <c r="M11280" s="25" t="n">
        <f aca="false">IF(OR(K11280&lt;&gt;0,L11280&lt;&gt;0),1,0)</f>
        <v>0</v>
      </c>
      <c r="N11280" s="25" t="str">
        <f aca="false">IF(M11280=1,SUM($M$11278:M11280),"")</f>
        <v/>
      </c>
      <c r="O11280" s="25" t="n">
        <v>3</v>
      </c>
    </row>
    <row r="11281" customFormat="false" ht="16.5" hidden="false" customHeight="true" outlineLevel="0" collapsed="false">
      <c r="B11281" s="40" t="str">
        <f aca="false">IFERROR(INDEX($J$11278:$J$11281,MATCH($O11281,$N$11278:$N$11281,0)),"")</f>
        <v/>
      </c>
      <c r="C11281" s="41" t="str">
        <f aca="false">IFERROR(INDEX($K$11278:$K$11281,MATCH($O11281,$N$11278:$N$11281,0)),"")</f>
        <v/>
      </c>
      <c r="D11281" s="42" t="str">
        <f aca="false">IF(OR(E11281="",N(C11281)=0),"",E11281/C11281-1)</f>
        <v/>
      </c>
      <c r="E11281" s="41" t="str">
        <f aca="false">IFERROR(INDEX($L$11278:$L$11281,MATCH($O11281,$N$11278:$N$11281,0)),"")</f>
        <v/>
      </c>
      <c r="F11281" s="41" t="str">
        <f aca="false">IF(E11281="","",E11281-C11281)</f>
        <v/>
      </c>
      <c r="J11281" s="25" t="str">
        <f aca="false">Lib_PA</f>
        <v>Plateforme agréée – facturation électronique</v>
      </c>
      <c r="K11281" s="25" t="n">
        <f aca="false">IF($K$11251=0,0,N(INDEX(Clients!$N$2:$N$501,$K$11251)))</f>
        <v>0</v>
      </c>
      <c r="L11281" s="25" t="n">
        <f aca="false">IF($K$11251=0,0,N(INDEX(Clients!$S$2:$S$501,$K$11251)))</f>
        <v>0</v>
      </c>
      <c r="M11281" s="25" t="n">
        <f aca="false">IF(OR(K11281&lt;&gt;0,L11281&lt;&gt;0),1,0)</f>
        <v>0</v>
      </c>
      <c r="N11281" s="25" t="str">
        <f aca="false">IF(M11281=1,SUM($M$11278:M11281),"")</f>
        <v/>
      </c>
      <c r="O11281" s="25" t="n">
        <v>4</v>
      </c>
    </row>
    <row r="11282" customFormat="false" ht="18" hidden="false" customHeight="true" outlineLevel="0" collapsed="false">
      <c r="B11282" s="43" t="s">
        <v>158</v>
      </c>
      <c r="C11282" s="44" t="n">
        <f aca="false">SUM(K11278:K11281)</f>
        <v>0</v>
      </c>
      <c r="D11282" s="45" t="str">
        <f aca="false">IF(N(C11282)=0,"",E11282/C11282-1)</f>
        <v/>
      </c>
      <c r="E11282" s="44" t="n">
        <f aca="false">SUM(L11278:L11281)</f>
        <v>0</v>
      </c>
      <c r="F11282" s="44" t="n">
        <f aca="false">E11282-C11282</f>
        <v>0</v>
      </c>
    </row>
    <row r="11283" customFormat="false" ht="15" hidden="false" customHeight="false" outlineLevel="0" collapsed="false">
      <c r="B11283" s="46" t="str">
        <f aca="false">IF(N(Nb_Mensualites)=0,"","Soit "&amp;FIXED(E11282/Nb_Mensualites,2)&amp;" € HT par échéance ("&amp;Nb_Mensualites&amp;" échéances), "&amp;FIXED(E11282/Nb_Mensualites*(1+Taux_TVA),2)&amp;" € TTC.")</f>
        <v>Soit 0.00 € HT par échéance (12 échéances), 0.00 € TTC.</v>
      </c>
      <c r="C11283" s="46"/>
      <c r="D11283" s="46"/>
      <c r="E11283" s="46"/>
      <c r="F11283" s="46"/>
    </row>
    <row r="11284" customFormat="false" ht="7.5" hidden="false" customHeight="true" outlineLevel="0" collapsed="false">
      <c r="B11284" s="10"/>
      <c r="C11284" s="10"/>
      <c r="D11284" s="10"/>
      <c r="E11284" s="10"/>
      <c r="F11284" s="10"/>
    </row>
    <row r="11285" customFormat="false" ht="36.75" hidden="false" customHeight="true" outlineLevel="0" collapsed="false">
      <c r="B11285" s="37" t="str">
        <f aca="false">SUBSTITUTE(SUBSTITUTE(SUBSTITUTE(SUBSTITUTE(SUBSTITUTE(Txt_P5,"{cabinet}",Cab_Nom),"{societe}",IF($K$11251=0,"",INDEX(Clients!$E$2:$E$501,$K$11251)&amp;"")),"{date_effet}",$K$11253),"{hausse}",$K$11254),"{civilite}",$K$11252)</f>
        <v>Les autres conditions de votre lettre de mission demeurent inchangées. Les nouveaux montants seront appliqués automatiquement sur vos prochaines factures et échéances de prélèvement.</v>
      </c>
      <c r="C11285" s="37"/>
      <c r="D11285" s="37"/>
      <c r="E11285" s="37"/>
      <c r="F11285" s="37"/>
    </row>
    <row r="11286" customFormat="false" ht="36.75" hidden="false" customHeight="true" outlineLevel="0" collapsed="false">
      <c r="B11286" s="37" t="str">
        <f aca="false">SUBSTITUTE(SUBSTITUTE(SUBSTITUTE(SUBSTITUTE(SUBSTITUTE(Txt_P6,"{cabinet}",Cab_Nom),"{societe}",IF($K$11251=0,"",INDEX(Clients!$E$2:$E$501,$K$11251)&amp;"")),"{date_effet}",$K$11253),"{hausse}",$K$11254),"{civilite}",$K$11252)</f>
        <v>Votre interlocuteur habituel reste à votre entière disposition pour répondre à vos questions et faire le point sur l'évolution de vos besoins.</v>
      </c>
      <c r="C11286" s="37"/>
      <c r="D11286" s="37"/>
      <c r="E11286" s="37"/>
      <c r="F11286" s="37"/>
    </row>
    <row r="11287" customFormat="false" ht="24" hidden="false" customHeight="true" outlineLevel="0" collapsed="false">
      <c r="B11287" s="37" t="str">
        <f aca="false">SUBSTITUTE(SUBSTITUTE(SUBSTITUTE(SUBSTITUTE(SUBSTITUTE(Txt_Politesse,"{cabinet}",Cab_Nom),"{societe}",IF($K$11251=0,"",INDEX(Clients!$E$2:$E$501,$K$11251)&amp;"")),"{date_effet}",$K$11253),"{hausse}",$K$11254),"{civilite}",$K$11252)</f>
        <v>Nous vous prions d'agréer, Madame, Monsieur, l'expression de nos salutations distinguées.</v>
      </c>
      <c r="C11287" s="37"/>
      <c r="D11287" s="37"/>
      <c r="E11287" s="37"/>
      <c r="F11287" s="37"/>
    </row>
    <row r="11288" customFormat="false" ht="15" hidden="false" customHeight="false" outlineLevel="0" collapsed="false">
      <c r="B11288" s="10"/>
      <c r="C11288" s="10"/>
      <c r="D11288" s="10"/>
      <c r="E11288" s="10"/>
      <c r="F11288" s="10"/>
    </row>
    <row r="11289" customFormat="false" ht="15" hidden="false" customHeight="false" outlineLevel="0" collapsed="false">
      <c r="B11289" s="10"/>
      <c r="C11289" s="10"/>
      <c r="D11289" s="34" t="str">
        <f aca="false">Signataire</f>
        <v>Prénom NOM</v>
      </c>
      <c r="E11289" s="34"/>
      <c r="F11289" s="34"/>
    </row>
    <row r="11290" customFormat="false" ht="15" hidden="false" customHeight="false" outlineLevel="0" collapsed="false">
      <c r="B11290" s="10"/>
      <c r="C11290" s="10"/>
      <c r="D11290" s="47" t="str">
        <f aca="false">Signataire_Titre</f>
        <v>Expert-comptable associé</v>
      </c>
      <c r="E11290" s="47"/>
      <c r="F11290" s="47"/>
    </row>
    <row r="11291" customFormat="false" ht="15.75" hidden="false" customHeight="true" outlineLevel="0" collapsed="false">
      <c r="B11291" s="10"/>
      <c r="C11291" s="10"/>
      <c r="D11291" s="10"/>
      <c r="E11291" s="10"/>
      <c r="F11291" s="10"/>
    </row>
    <row r="11292" customFormat="false" ht="15.75" hidden="false" customHeight="true" outlineLevel="0" collapsed="false">
      <c r="B11292" s="10"/>
      <c r="C11292" s="10"/>
      <c r="D11292" s="10"/>
      <c r="E11292" s="10"/>
      <c r="F11292" s="10"/>
    </row>
    <row r="11293" customFormat="false" ht="15.75" hidden="false" customHeight="true" outlineLevel="0" collapsed="false">
      <c r="B11293" s="10"/>
      <c r="C11293" s="10"/>
      <c r="D11293" s="10"/>
      <c r="E11293" s="10"/>
      <c r="F11293" s="10"/>
    </row>
    <row r="11294" customFormat="false" ht="15.75" hidden="false" customHeight="true" outlineLevel="0" collapsed="false">
      <c r="B11294" s="10"/>
      <c r="C11294" s="10"/>
      <c r="D11294" s="10"/>
      <c r="E11294" s="10"/>
      <c r="F11294" s="10"/>
    </row>
    <row r="11295" customFormat="false" ht="24" hidden="false" customHeight="true" outlineLevel="0" collapsed="false">
      <c r="B11295" s="48" t="str">
        <f aca="false">Cab_Mentions</f>
        <v>ALTHO EXPERTISE · SAS au capital de 10 000 € · RCS Pontoise 919 706 325 · TVA FR62919706325 · Société d'expertise comptable inscrite au Tableau de l'Ordre des experts-comptables de Paris Île-de-France</v>
      </c>
      <c r="C11295" s="48"/>
      <c r="D11295" s="48"/>
      <c r="E11295" s="48"/>
      <c r="F11295" s="48"/>
    </row>
    <row r="11296" customFormat="false" ht="15" hidden="false" customHeight="false" outlineLevel="0" collapsed="false">
      <c r="B11296" s="10"/>
      <c r="C11296" s="10"/>
      <c r="D11296" s="10"/>
      <c r="E11296" s="10"/>
      <c r="F11296" s="10"/>
      <c r="J11296" s="25" t="s">
        <v>142</v>
      </c>
      <c r="K11296" s="25" t="n">
        <f aca="false">IFERROR(MATCH(252,Clients!$Z$2:$Z$501,0),0)</f>
        <v>0</v>
      </c>
      <c r="L11296" s="25"/>
      <c r="M11296" s="25"/>
      <c r="N11296" s="25"/>
      <c r="O11296" s="25"/>
    </row>
    <row r="11297" customFormat="false" ht="21.75" hidden="false" customHeight="true" outlineLevel="0" collapsed="false">
      <c r="B11297" s="26" t="str">
        <f aca="false">Cab_Nom</f>
        <v>ALTHO EXPERTISE</v>
      </c>
      <c r="C11297" s="26"/>
      <c r="D11297" s="10"/>
      <c r="E11297" s="27" t="str">
        <f aca="false">IF($K$11296=0,"","Réf. client : "&amp;INDEX(Clients!$A$2:$A$501,$K$11296))</f>
        <v/>
      </c>
      <c r="F11297" s="27"/>
      <c r="J11297" s="25" t="s">
        <v>144</v>
      </c>
      <c r="K11297" s="25" t="str">
        <f aca="false">IF(IF($K$11296=0,"",INDEX(Clients!$B$2:$B$501,$K$11296)&amp;"")="Mme","Madame",IF(IF($K$11296=0,"",INDEX(Clients!$B$2:$B$501,$K$11296)&amp;"")="M.","Monsieur","Madame, Monsieur"))</f>
        <v>Madame, Monsieur</v>
      </c>
      <c r="L11297" s="25"/>
      <c r="M11297" s="25"/>
      <c r="N11297" s="25"/>
      <c r="O11297" s="25"/>
    </row>
    <row r="11298" customFormat="false" ht="15" hidden="false" customHeight="false" outlineLevel="0" collapsed="false">
      <c r="B11298" s="29" t="str">
        <f aca="false">Cab_Adr1</f>
        <v>141 rue Charles de Gaulle</v>
      </c>
      <c r="C11298" s="29"/>
      <c r="D11298" s="10"/>
      <c r="E11298" s="10"/>
      <c r="F11298" s="10"/>
      <c r="J11298" s="25" t="s">
        <v>145</v>
      </c>
      <c r="K11298" s="25" t="str">
        <f aca="false">DAY(Date_Effet)&amp;IF(DAY(Date_Effet)=1,"er","")&amp;" "&amp;INDEX(Liste_Mois,MONTH(Date_Effet))&amp;" "&amp;YEAR(Date_Effet)</f>
        <v>1er janvier 2027</v>
      </c>
      <c r="L11298" s="25"/>
      <c r="M11298" s="25"/>
      <c r="N11298" s="25"/>
      <c r="O11298" s="25"/>
    </row>
    <row r="11299" customFormat="false" ht="15" hidden="false" customHeight="false" outlineLevel="0" collapsed="false">
      <c r="B11299" s="29" t="str">
        <f aca="false">Cab_CPVille</f>
        <v>95130 LE PLESSIS-BOUCHARD</v>
      </c>
      <c r="C11299" s="29"/>
      <c r="D11299" s="10"/>
      <c r="E11299" s="10"/>
      <c r="F11299" s="10"/>
      <c r="J11299" s="25" t="s">
        <v>146</v>
      </c>
      <c r="K11299" s="25" t="str">
        <f aca="false">IF(SUM($K$11323:$K$11326)=0,"",FIXED((SUM($L$11323:$L$11326)/SUM($K$11323:$K$11326)-1)*100,1)&amp;" %")</f>
        <v/>
      </c>
      <c r="L11299" s="25"/>
      <c r="M11299" s="25"/>
      <c r="N11299" s="25"/>
      <c r="O11299" s="25"/>
    </row>
    <row r="11300" customFormat="false" ht="15" hidden="false" customHeight="false" outlineLevel="0" collapsed="false">
      <c r="B11300" s="29" t="str">
        <f aca="false">Cab_Contact</f>
        <v>Tél. 01 34 14 53 45  ·  altho@altho-experts.com  ·  altho-experts.com</v>
      </c>
      <c r="C11300" s="29"/>
      <c r="D11300" s="10"/>
      <c r="E11300" s="10"/>
      <c r="F11300" s="10"/>
      <c r="J11300" s="25"/>
      <c r="K11300" s="25"/>
      <c r="L11300" s="25"/>
      <c r="M11300" s="25"/>
      <c r="N11300" s="25"/>
      <c r="O11300" s="25"/>
    </row>
    <row r="11301" customFormat="false" ht="6" hidden="false" customHeight="true" outlineLevel="0" collapsed="false">
      <c r="B11301" s="32"/>
      <c r="C11301" s="32"/>
      <c r="D11301" s="32"/>
      <c r="E11301" s="32"/>
      <c r="F11301" s="32"/>
      <c r="J11301" s="25"/>
      <c r="K11301" s="25"/>
      <c r="L11301" s="25"/>
      <c r="M11301" s="25"/>
      <c r="N11301" s="25"/>
      <c r="O11301" s="25"/>
    </row>
    <row r="11302" customFormat="false" ht="13.5" hidden="false" customHeight="true" outlineLevel="0" collapsed="false">
      <c r="B11302" s="10"/>
      <c r="C11302" s="10"/>
      <c r="D11302" s="10"/>
      <c r="E11302" s="10"/>
      <c r="F11302" s="10"/>
      <c r="J11302" s="25"/>
      <c r="K11302" s="25"/>
      <c r="L11302" s="25"/>
      <c r="M11302" s="25"/>
      <c r="N11302" s="25"/>
      <c r="O11302" s="25"/>
    </row>
    <row r="11303" customFormat="false" ht="13.5" hidden="false" customHeight="true" outlineLevel="0" collapsed="false">
      <c r="B11303" s="10"/>
      <c r="C11303" s="10"/>
      <c r="D11303" s="10"/>
      <c r="E11303" s="10"/>
      <c r="F11303" s="10"/>
      <c r="J11303" s="25"/>
      <c r="K11303" s="25"/>
      <c r="L11303" s="25"/>
      <c r="M11303" s="25"/>
      <c r="N11303" s="25"/>
      <c r="O11303" s="25"/>
    </row>
    <row r="11304" customFormat="false" ht="13.5" hidden="false" customHeight="true" outlineLevel="0" collapsed="false">
      <c r="B11304" s="10"/>
      <c r="C11304" s="10"/>
      <c r="D11304" s="10"/>
      <c r="E11304" s="10"/>
      <c r="F11304" s="10"/>
      <c r="J11304" s="25"/>
      <c r="K11304" s="25"/>
      <c r="L11304" s="25"/>
      <c r="M11304" s="25"/>
      <c r="N11304" s="25"/>
      <c r="O11304" s="25"/>
    </row>
    <row r="11305" customFormat="false" ht="15" hidden="false" customHeight="true" outlineLevel="0" collapsed="false">
      <c r="B11305" s="10"/>
      <c r="C11305" s="10"/>
      <c r="D11305" s="34" t="str">
        <f aca="false">IF($K$11296=0,"",INDEX(Clients!$E$2:$E$501,$K$11296)&amp;"")</f>
        <v/>
      </c>
      <c r="E11305" s="34"/>
      <c r="F11305" s="34"/>
      <c r="J11305" s="25"/>
      <c r="K11305" s="25"/>
      <c r="L11305" s="25"/>
      <c r="M11305" s="25"/>
      <c r="N11305" s="25"/>
      <c r="O11305" s="25"/>
    </row>
    <row r="11306" customFormat="false" ht="15" hidden="false" customHeight="true" outlineLevel="0" collapsed="false">
      <c r="B11306" s="10"/>
      <c r="C11306" s="10"/>
      <c r="D11306" s="35" t="str">
        <f aca="false">IF(IF($K$11296=0,"",INDEX(Clients!$D$2:$D$501,$K$11296)&amp;"")="","","À l'attention de "&amp;TRIM(IF($K$11296=0,"",INDEX(Clients!$B$2:$B$501,$K$11296)&amp;"")&amp;" "&amp;IF($K$11296=0,"",INDEX(Clients!$C$2:$C$501,$K$11296)&amp;"")&amp;" "&amp;IF($K$11296=0,"",INDEX(Clients!$D$2:$D$501,$K$11296)&amp;"")))</f>
        <v/>
      </c>
      <c r="E11306" s="35"/>
      <c r="F11306" s="35"/>
      <c r="J11306" s="25"/>
      <c r="K11306" s="25"/>
      <c r="L11306" s="25"/>
      <c r="M11306" s="25"/>
      <c r="N11306" s="25"/>
      <c r="O11306" s="25"/>
    </row>
    <row r="11307" customFormat="false" ht="15" hidden="false" customHeight="true" outlineLevel="0" collapsed="false">
      <c r="B11307" s="10"/>
      <c r="C11307" s="10"/>
      <c r="D11307" s="35" t="str">
        <f aca="false">IF($K$11296=0,"",INDEX(Clients!$F$2:$F$501,$K$11296)&amp;"")</f>
        <v/>
      </c>
      <c r="E11307" s="35"/>
      <c r="F11307" s="35"/>
      <c r="J11307" s="25"/>
      <c r="K11307" s="25"/>
      <c r="L11307" s="25"/>
      <c r="M11307" s="25"/>
      <c r="N11307" s="25"/>
      <c r="O11307" s="25"/>
    </row>
    <row r="11308" customFormat="false" ht="15" hidden="false" customHeight="true" outlineLevel="0" collapsed="false">
      <c r="B11308" s="10"/>
      <c r="C11308" s="10"/>
      <c r="D11308" s="35" t="str">
        <f aca="false">IF(IF($K$11296=0,"",INDEX(Clients!$G$2:$G$501,$K$11296)&amp;"")="",TRIM(IF($K$11296=0,"",INDEX(Clients!$H$2:$H$501,$K$11296)&amp;"")&amp;" "&amp;UPPER(IF($K$11296=0,"",INDEX(Clients!$I$2:$I$501,$K$11296)&amp;""))),IF($K$11296=0,"",INDEX(Clients!$G$2:$G$501,$K$11296)&amp;""))</f>
        <v/>
      </c>
      <c r="E11308" s="35"/>
      <c r="F11308" s="35"/>
      <c r="J11308" s="25"/>
      <c r="K11308" s="25"/>
      <c r="L11308" s="25"/>
      <c r="M11308" s="25"/>
      <c r="N11308" s="25"/>
      <c r="O11308" s="25"/>
    </row>
    <row r="11309" customFormat="false" ht="15" hidden="false" customHeight="true" outlineLevel="0" collapsed="false">
      <c r="B11309" s="10"/>
      <c r="C11309" s="10"/>
      <c r="D11309" s="35" t="str">
        <f aca="false">IF(IF($K$11296=0,"",INDEX(Clients!$G$2:$G$501,$K$11296)&amp;"")="","",TRIM(IF($K$11296=0,"",INDEX(Clients!$H$2:$H$501,$K$11296)&amp;"")&amp;" "&amp;UPPER(IF($K$11296=0,"",INDEX(Clients!$I$2:$I$501,$K$11296)&amp;""))))</f>
        <v/>
      </c>
      <c r="E11309" s="35"/>
      <c r="F11309" s="35"/>
      <c r="J11309" s="25"/>
      <c r="K11309" s="25"/>
      <c r="L11309" s="25"/>
      <c r="M11309" s="25"/>
      <c r="N11309" s="25"/>
      <c r="O11309" s="25"/>
    </row>
    <row r="11310" customFormat="false" ht="25.5" hidden="false" customHeight="true" outlineLevel="0" collapsed="false">
      <c r="B11310" s="10"/>
      <c r="C11310" s="10"/>
      <c r="D11310" s="10"/>
      <c r="E11310" s="10"/>
      <c r="F11310" s="10"/>
      <c r="J11310" s="25"/>
      <c r="K11310" s="25"/>
      <c r="L11310" s="25"/>
      <c r="M11310" s="25"/>
      <c r="N11310" s="25"/>
      <c r="O11310" s="25"/>
    </row>
    <row r="11311" customFormat="false" ht="15" hidden="false" customHeight="false" outlineLevel="0" collapsed="false">
      <c r="B11311" s="10"/>
      <c r="C11311" s="10"/>
      <c r="D11311" s="36" t="str">
        <f aca="false">Cab_Ville&amp;", le "&amp;DAY(Date_Courrier)&amp;IF(DAY(Date_Courrier)=1,"er","")&amp;" "&amp;INDEX(Liste_Mois,MONTH(Date_Courrier))&amp;" "&amp;YEAR(Date_Courrier)</f>
        <v>Le Plessis-Bouchard, le 22 septembre 2026</v>
      </c>
      <c r="E11311" s="36"/>
      <c r="F11311" s="36"/>
      <c r="J11311" s="25"/>
      <c r="K11311" s="25"/>
      <c r="L11311" s="25"/>
      <c r="M11311" s="25"/>
      <c r="N11311" s="25"/>
      <c r="O11311" s="25"/>
    </row>
    <row r="11312" customFormat="false" ht="19.5" hidden="false" customHeight="true" outlineLevel="0" collapsed="false">
      <c r="B11312" s="10"/>
      <c r="C11312" s="10"/>
      <c r="D11312" s="10"/>
      <c r="E11312" s="10"/>
      <c r="F11312" s="10"/>
      <c r="J11312" s="25"/>
      <c r="K11312" s="25"/>
      <c r="L11312" s="25"/>
      <c r="M11312" s="25"/>
      <c r="N11312" s="25"/>
      <c r="O11312" s="25"/>
    </row>
    <row r="11313" customFormat="false" ht="15" hidden="false" customHeight="false" outlineLevel="0" collapsed="false">
      <c r="B11313" s="34" t="str">
        <f aca="false">SUBSTITUTE(SUBSTITUTE(SUBSTITUTE(SUBSTITUTE(SUBSTITUTE(Txt_Objet,"{cabinet}",Cab_Nom),"{societe}",IF($K$11296=0,"",INDEX(Clients!$E$2:$E$501,$K$11296)&amp;"")),"{date_effet}",$K$11298),"{hausse}",$K$11299),"{civilite}",$K$11297)</f>
        <v>Objet : révision de nos honoraires au 1er janvier 2027</v>
      </c>
      <c r="C11313" s="34"/>
      <c r="D11313" s="34"/>
      <c r="E11313" s="34"/>
      <c r="F11313" s="34"/>
      <c r="J11313" s="25"/>
      <c r="K11313" s="25"/>
      <c r="L11313" s="25"/>
      <c r="M11313" s="25"/>
      <c r="N11313" s="25"/>
      <c r="O11313" s="25"/>
    </row>
    <row r="11314" customFormat="false" ht="13.5" hidden="false" customHeight="true" outlineLevel="0" collapsed="false">
      <c r="B11314" s="10"/>
      <c r="C11314" s="10"/>
      <c r="D11314" s="10"/>
      <c r="E11314" s="10"/>
      <c r="F11314" s="10"/>
      <c r="J11314" s="25"/>
      <c r="K11314" s="25"/>
      <c r="L11314" s="25"/>
      <c r="M11314" s="25"/>
      <c r="N11314" s="25"/>
      <c r="O11314" s="25"/>
    </row>
    <row r="11315" customFormat="false" ht="15" hidden="false" customHeight="false" outlineLevel="0" collapsed="false">
      <c r="B11315" s="10" t="str">
        <f aca="false">$K$11297&amp;","</f>
        <v>Madame, Monsieur,</v>
      </c>
      <c r="C11315" s="10"/>
      <c r="D11315" s="10"/>
      <c r="E11315" s="10"/>
      <c r="F11315" s="10"/>
      <c r="J11315" s="25"/>
      <c r="K11315" s="25"/>
      <c r="L11315" s="25"/>
      <c r="M11315" s="25"/>
      <c r="N11315" s="25"/>
      <c r="O11315" s="25"/>
    </row>
    <row r="11316" customFormat="false" ht="6" hidden="false" customHeight="true" outlineLevel="0" collapsed="false">
      <c r="B11316" s="10"/>
      <c r="C11316" s="10"/>
      <c r="D11316" s="10"/>
      <c r="E11316" s="10"/>
      <c r="F11316" s="10"/>
      <c r="J11316" s="25"/>
      <c r="K11316" s="25"/>
      <c r="L11316" s="25"/>
      <c r="M11316" s="25"/>
      <c r="N11316" s="25"/>
      <c r="O11316" s="25"/>
    </row>
    <row r="11317" customFormat="false" ht="36.75" hidden="false" customHeight="true" outlineLevel="0" collapsed="false">
      <c r="B11317" s="37" t="str">
        <f aca="false">SUBSTITUTE(SUBSTITUTE(SUBSTITUTE(SUBSTITUTE(SUBSTITUTE(Txt_P1,"{cabinet}",Cab_Nom),"{societe}",IF($K$11296=0,"",INDEX(Clients!$E$2:$E$501,$K$11296)&amp;"")),"{date_effet}",$K$11298),"{hausse}",$K$11299),"{civilite}",$K$11297)</f>
        <v>Nous tenons tout d'abord à vous remercier pour la confiance que vous accordez à ALTHO EXPERTISE. Comme chaque année, et conformément aux dispositions de votre lettre de mission, nous procédons à la révision de nos honoraires.</v>
      </c>
      <c r="C11317" s="37"/>
      <c r="D11317" s="37"/>
      <c r="E11317" s="37"/>
      <c r="F11317" s="37"/>
      <c r="J11317" s="25"/>
      <c r="K11317" s="25"/>
      <c r="L11317" s="25"/>
      <c r="M11317" s="25"/>
      <c r="N11317" s="25"/>
      <c r="O11317" s="25"/>
    </row>
    <row r="11318" customFormat="false" ht="49.5" hidden="false" customHeight="true" outlineLevel="0" collapsed="false">
      <c r="B11318" s="37" t="str">
        <f aca="false">SUBSTITUTE(SUBSTITUTE(SUBSTITUTE(SUBSTITUTE(SUBSTITUTE(Txt_P2,"{cabinet}",Cab_Nom),"{societe}",IF($K$11296=0,"",INDEX(Clients!$E$2:$E$501,$K$11296)&amp;"")),"{date_effet}",$K$11298),"{hausse}",$K$11299),"{civilite}",$K$11297)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318" s="37"/>
      <c r="D11318" s="37"/>
      <c r="E11318" s="37"/>
      <c r="F11318" s="37"/>
      <c r="J11318" s="25"/>
      <c r="K11318" s="25"/>
      <c r="L11318" s="25"/>
      <c r="M11318" s="25"/>
      <c r="N11318" s="25"/>
      <c r="O11318" s="25"/>
    </row>
    <row r="11319" customFormat="false" ht="63" hidden="false" customHeight="true" outlineLevel="0" collapsed="false">
      <c r="B11319" s="37" t="str">
        <f aca="false">SUBSTITUTE(SUBSTITUTE(SUBSTITUTE(SUBSTITUTE(SUBSTITUTE(Txt_P3,"{cabinet}",Cab_Nom),"{societe}",IF($K$11296=0,"",INDEX(Clients!$E$2:$E$501,$K$11296)&amp;"")),"{date_effet}",$K$11298),"{hausse}",$K$11299),"{civilite}",$K$11297)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319" s="37"/>
      <c r="D11319" s="37"/>
      <c r="E11319" s="37"/>
      <c r="F11319" s="37"/>
      <c r="J11319" s="25"/>
      <c r="K11319" s="25"/>
      <c r="L11319" s="25"/>
      <c r="M11319" s="25"/>
      <c r="N11319" s="25"/>
      <c r="O11319" s="25"/>
    </row>
    <row r="11320" customFormat="false" ht="24" hidden="false" customHeight="true" outlineLevel="0" collapsed="false">
      <c r="B11320" s="37" t="str">
        <f aca="false">SUBSTITUTE(SUBSTITUTE(SUBSTITUTE(SUBSTITUTE(SUBSTITUTE(Txt_P4,"{cabinet}",Cab_Nom),"{societe}",IF($K$11296=0,"",INDEX(Clients!$E$2:$E$501,$K$11296)&amp;"")),"{date_effet}",$K$11298),"{hausse}",$K$11299),"{civilite}",$K$11297)</f>
        <v>À compter du 1er janvier 2027, vos honoraires annuels hors taxes évolueront ainsi (évolution globale : ) :</v>
      </c>
      <c r="C11320" s="37"/>
      <c r="D11320" s="37"/>
      <c r="E11320" s="37"/>
      <c r="F11320" s="37"/>
      <c r="J11320" s="25"/>
      <c r="K11320" s="25"/>
      <c r="L11320" s="25"/>
      <c r="M11320" s="25"/>
      <c r="N11320" s="25"/>
      <c r="O11320" s="25"/>
    </row>
    <row r="11321" customFormat="false" ht="3.75" hidden="false" customHeight="true" outlineLevel="0" collapsed="false">
      <c r="B11321" s="10"/>
      <c r="C11321" s="10"/>
      <c r="D11321" s="10"/>
      <c r="E11321" s="10"/>
      <c r="F11321" s="10"/>
      <c r="J11321" s="25"/>
      <c r="K11321" s="25"/>
      <c r="L11321" s="25"/>
      <c r="M11321" s="25"/>
      <c r="N11321" s="25"/>
      <c r="O11321" s="25"/>
    </row>
    <row r="11322" customFormat="false" ht="18" hidden="false" customHeight="true" outlineLevel="0" collapsed="false">
      <c r="B11322" s="38" t="s">
        <v>148</v>
      </c>
      <c r="C11322" s="39" t="s">
        <v>149</v>
      </c>
      <c r="D11322" s="39" t="s">
        <v>150</v>
      </c>
      <c r="E11322" s="39" t="s">
        <v>151</v>
      </c>
      <c r="F11322" s="39" t="s">
        <v>109</v>
      </c>
      <c r="J11322" s="25" t="s">
        <v>152</v>
      </c>
      <c r="K11322" s="25" t="s">
        <v>153</v>
      </c>
      <c r="L11322" s="25" t="s">
        <v>154</v>
      </c>
      <c r="M11322" s="25" t="s">
        <v>155</v>
      </c>
      <c r="N11322" s="25" t="s">
        <v>156</v>
      </c>
      <c r="O11322" s="25" t="s">
        <v>157</v>
      </c>
    </row>
    <row r="11323" customFormat="false" ht="16.5" hidden="false" customHeight="true" outlineLevel="0" collapsed="false">
      <c r="B11323" s="40" t="str">
        <f aca="false">IFERROR(INDEX($J$11323:$J$11326,MATCH($O11323,$N$11323:$N$11326,0)),"")</f>
        <v/>
      </c>
      <c r="C11323" s="41" t="str">
        <f aca="false">IFERROR(INDEX($K$11323:$K$11326,MATCH($O11323,$N$11323:$N$11326,0)),"")</f>
        <v/>
      </c>
      <c r="D11323" s="42" t="str">
        <f aca="false">IF(OR(E11323="",N(C11323)=0),"",E11323/C11323-1)</f>
        <v/>
      </c>
      <c r="E11323" s="41" t="str">
        <f aca="false">IFERROR(INDEX($L$11323:$L$11326,MATCH($O11323,$N$11323:$N$11326,0)),"")</f>
        <v/>
      </c>
      <c r="F11323" s="41" t="str">
        <f aca="false">IF(E11323="","",E11323-C11323)</f>
        <v/>
      </c>
      <c r="J11323" s="25" t="str">
        <f aca="false">Lib_Compta</f>
        <v>Mission comptable (tenue, révision, bilan, liasse fiscale)</v>
      </c>
      <c r="K11323" s="25" t="n">
        <f aca="false">IF($K$11296=0,0,N(INDEX(Clients!$K$2:$K$501,$K$11296)))</f>
        <v>0</v>
      </c>
      <c r="L11323" s="25" t="n">
        <f aca="false">IF($K$11296=0,0,N(INDEX(Clients!$P$2:$P$501,$K$11296)))</f>
        <v>0</v>
      </c>
      <c r="M11323" s="25" t="n">
        <f aca="false">IF(OR(K11323&lt;&gt;0,L11323&lt;&gt;0),1,0)</f>
        <v>0</v>
      </c>
      <c r="N11323" s="25" t="str">
        <f aca="false">IF(M11323=1,SUM($M$11323:M11323),"")</f>
        <v/>
      </c>
      <c r="O11323" s="25" t="n">
        <v>1</v>
      </c>
    </row>
    <row r="11324" customFormat="false" ht="16.5" hidden="false" customHeight="true" outlineLevel="0" collapsed="false">
      <c r="B11324" s="40" t="str">
        <f aca="false">IFERROR(INDEX($J$11323:$J$11326,MATCH($O11324,$N$11323:$N$11326,0)),"")</f>
        <v/>
      </c>
      <c r="C11324" s="41" t="str">
        <f aca="false">IFERROR(INDEX($K$11323:$K$11326,MATCH($O11324,$N$11323:$N$11326,0)),"")</f>
        <v/>
      </c>
      <c r="D11324" s="42" t="str">
        <f aca="false">IF(OR(E11324="",N(C11324)=0),"",E11324/C11324-1)</f>
        <v/>
      </c>
      <c r="E11324" s="41" t="str">
        <f aca="false">IFERROR(INDEX($L$11323:$L$11326,MATCH($O11324,$N$11323:$N$11326,0)),"")</f>
        <v/>
      </c>
      <c r="F11324" s="41" t="str">
        <f aca="false">IF(E11324="","",E11324-C11324)</f>
        <v/>
      </c>
      <c r="J11324" s="25" t="str">
        <f aca="false">Lib_Paye</f>
        <v>Mission sociale (bulletins de paie, DSN, déclarations sociales)</v>
      </c>
      <c r="K11324" s="25" t="n">
        <f aca="false">IF($K$11296=0,0,N(INDEX(Clients!$L$2:$L$501,$K$11296)))</f>
        <v>0</v>
      </c>
      <c r="L11324" s="25" t="n">
        <f aca="false">IF($K$11296=0,0,N(INDEX(Clients!$Q$2:$Q$501,$K$11296)))</f>
        <v>0</v>
      </c>
      <c r="M11324" s="25" t="n">
        <f aca="false">IF(OR(K11324&lt;&gt;0,L11324&lt;&gt;0),1,0)</f>
        <v>0</v>
      </c>
      <c r="N11324" s="25" t="str">
        <f aca="false">IF(M11324=1,SUM($M$11323:M11324),"")</f>
        <v/>
      </c>
      <c r="O11324" s="25" t="n">
        <v>2</v>
      </c>
    </row>
    <row r="11325" customFormat="false" ht="16.5" hidden="false" customHeight="true" outlineLevel="0" collapsed="false">
      <c r="B11325" s="40" t="str">
        <f aca="false">IFERROR(INDEX($J$11323:$J$11326,MATCH($O11325,$N$11323:$N$11326,0)),"")</f>
        <v/>
      </c>
      <c r="C11325" s="41" t="str">
        <f aca="false">IFERROR(INDEX($K$11323:$K$11326,MATCH($O11325,$N$11323:$N$11326,0)),"")</f>
        <v/>
      </c>
      <c r="D11325" s="42" t="str">
        <f aca="false">IF(OR(E11325="",N(C11325)=0),"",E11325/C11325-1)</f>
        <v/>
      </c>
      <c r="E11325" s="41" t="str">
        <f aca="false">IFERROR(INDEX($L$11323:$L$11326,MATCH($O11325,$N$11323:$N$11326,0)),"")</f>
        <v/>
      </c>
      <c r="F11325" s="41" t="str">
        <f aca="false">IF(E11325="","",E11325-C11325)</f>
        <v/>
      </c>
      <c r="J11325" s="25" t="str">
        <f aca="false">Lib_Jur</f>
        <v>Mission juridique (approbation des comptes, secrétariat juridique)</v>
      </c>
      <c r="K11325" s="25" t="n">
        <f aca="false">IF($K$11296=0,0,N(INDEX(Clients!$M$2:$M$501,$K$11296)))</f>
        <v>0</v>
      </c>
      <c r="L11325" s="25" t="n">
        <f aca="false">IF($K$11296=0,0,N(INDEX(Clients!$R$2:$R$501,$K$11296)))</f>
        <v>0</v>
      </c>
      <c r="M11325" s="25" t="n">
        <f aca="false">IF(OR(K11325&lt;&gt;0,L11325&lt;&gt;0),1,0)</f>
        <v>0</v>
      </c>
      <c r="N11325" s="25" t="str">
        <f aca="false">IF(M11325=1,SUM($M$11323:M11325),"")</f>
        <v/>
      </c>
      <c r="O11325" s="25" t="n">
        <v>3</v>
      </c>
    </row>
    <row r="11326" customFormat="false" ht="16.5" hidden="false" customHeight="true" outlineLevel="0" collapsed="false">
      <c r="B11326" s="40" t="str">
        <f aca="false">IFERROR(INDEX($J$11323:$J$11326,MATCH($O11326,$N$11323:$N$11326,0)),"")</f>
        <v/>
      </c>
      <c r="C11326" s="41" t="str">
        <f aca="false">IFERROR(INDEX($K$11323:$K$11326,MATCH($O11326,$N$11323:$N$11326,0)),"")</f>
        <v/>
      </c>
      <c r="D11326" s="42" t="str">
        <f aca="false">IF(OR(E11326="",N(C11326)=0),"",E11326/C11326-1)</f>
        <v/>
      </c>
      <c r="E11326" s="41" t="str">
        <f aca="false">IFERROR(INDEX($L$11323:$L$11326,MATCH($O11326,$N$11323:$N$11326,0)),"")</f>
        <v/>
      </c>
      <c r="F11326" s="41" t="str">
        <f aca="false">IF(E11326="","",E11326-C11326)</f>
        <v/>
      </c>
      <c r="J11326" s="25" t="str">
        <f aca="false">Lib_PA</f>
        <v>Plateforme agréée – facturation électronique</v>
      </c>
      <c r="K11326" s="25" t="n">
        <f aca="false">IF($K$11296=0,0,N(INDEX(Clients!$N$2:$N$501,$K$11296)))</f>
        <v>0</v>
      </c>
      <c r="L11326" s="25" t="n">
        <f aca="false">IF($K$11296=0,0,N(INDEX(Clients!$S$2:$S$501,$K$11296)))</f>
        <v>0</v>
      </c>
      <c r="M11326" s="25" t="n">
        <f aca="false">IF(OR(K11326&lt;&gt;0,L11326&lt;&gt;0),1,0)</f>
        <v>0</v>
      </c>
      <c r="N11326" s="25" t="str">
        <f aca="false">IF(M11326=1,SUM($M$11323:M11326),"")</f>
        <v/>
      </c>
      <c r="O11326" s="25" t="n">
        <v>4</v>
      </c>
    </row>
    <row r="11327" customFormat="false" ht="18" hidden="false" customHeight="true" outlineLevel="0" collapsed="false">
      <c r="B11327" s="43" t="s">
        <v>158</v>
      </c>
      <c r="C11327" s="44" t="n">
        <f aca="false">SUM(K11323:K11326)</f>
        <v>0</v>
      </c>
      <c r="D11327" s="45" t="str">
        <f aca="false">IF(N(C11327)=0,"",E11327/C11327-1)</f>
        <v/>
      </c>
      <c r="E11327" s="44" t="n">
        <f aca="false">SUM(L11323:L11326)</f>
        <v>0</v>
      </c>
      <c r="F11327" s="44" t="n">
        <f aca="false">E11327-C11327</f>
        <v>0</v>
      </c>
    </row>
    <row r="11328" customFormat="false" ht="15" hidden="false" customHeight="false" outlineLevel="0" collapsed="false">
      <c r="B11328" s="46" t="str">
        <f aca="false">IF(N(Nb_Mensualites)=0,"","Soit "&amp;FIXED(E11327/Nb_Mensualites,2)&amp;" € HT par échéance ("&amp;Nb_Mensualites&amp;" échéances), "&amp;FIXED(E11327/Nb_Mensualites*(1+Taux_TVA),2)&amp;" € TTC.")</f>
        <v>Soit 0.00 € HT par échéance (12 échéances), 0.00 € TTC.</v>
      </c>
      <c r="C11328" s="46"/>
      <c r="D11328" s="46"/>
      <c r="E11328" s="46"/>
      <c r="F11328" s="46"/>
    </row>
    <row r="11329" customFormat="false" ht="7.5" hidden="false" customHeight="true" outlineLevel="0" collapsed="false">
      <c r="B11329" s="10"/>
      <c r="C11329" s="10"/>
      <c r="D11329" s="10"/>
      <c r="E11329" s="10"/>
      <c r="F11329" s="10"/>
    </row>
    <row r="11330" customFormat="false" ht="36.75" hidden="false" customHeight="true" outlineLevel="0" collapsed="false">
      <c r="B11330" s="37" t="str">
        <f aca="false">SUBSTITUTE(SUBSTITUTE(SUBSTITUTE(SUBSTITUTE(SUBSTITUTE(Txt_P5,"{cabinet}",Cab_Nom),"{societe}",IF($K$11296=0,"",INDEX(Clients!$E$2:$E$501,$K$11296)&amp;"")),"{date_effet}",$K$11298),"{hausse}",$K$11299),"{civilite}",$K$11297)</f>
        <v>Les autres conditions de votre lettre de mission demeurent inchangées. Les nouveaux montants seront appliqués automatiquement sur vos prochaines factures et échéances de prélèvement.</v>
      </c>
      <c r="C11330" s="37"/>
      <c r="D11330" s="37"/>
      <c r="E11330" s="37"/>
      <c r="F11330" s="37"/>
    </row>
    <row r="11331" customFormat="false" ht="36.75" hidden="false" customHeight="true" outlineLevel="0" collapsed="false">
      <c r="B11331" s="37" t="str">
        <f aca="false">SUBSTITUTE(SUBSTITUTE(SUBSTITUTE(SUBSTITUTE(SUBSTITUTE(Txt_P6,"{cabinet}",Cab_Nom),"{societe}",IF($K$11296=0,"",INDEX(Clients!$E$2:$E$501,$K$11296)&amp;"")),"{date_effet}",$K$11298),"{hausse}",$K$11299),"{civilite}",$K$11297)</f>
        <v>Votre interlocuteur habituel reste à votre entière disposition pour répondre à vos questions et faire le point sur l'évolution de vos besoins.</v>
      </c>
      <c r="C11331" s="37"/>
      <c r="D11331" s="37"/>
      <c r="E11331" s="37"/>
      <c r="F11331" s="37"/>
    </row>
    <row r="11332" customFormat="false" ht="24" hidden="false" customHeight="true" outlineLevel="0" collapsed="false">
      <c r="B11332" s="37" t="str">
        <f aca="false">SUBSTITUTE(SUBSTITUTE(SUBSTITUTE(SUBSTITUTE(SUBSTITUTE(Txt_Politesse,"{cabinet}",Cab_Nom),"{societe}",IF($K$11296=0,"",INDEX(Clients!$E$2:$E$501,$K$11296)&amp;"")),"{date_effet}",$K$11298),"{hausse}",$K$11299),"{civilite}",$K$11297)</f>
        <v>Nous vous prions d'agréer, Madame, Monsieur, l'expression de nos salutations distinguées.</v>
      </c>
      <c r="C11332" s="37"/>
      <c r="D11332" s="37"/>
      <c r="E11332" s="37"/>
      <c r="F11332" s="37"/>
    </row>
    <row r="11333" customFormat="false" ht="15" hidden="false" customHeight="false" outlineLevel="0" collapsed="false">
      <c r="B11333" s="10"/>
      <c r="C11333" s="10"/>
      <c r="D11333" s="10"/>
      <c r="E11333" s="10"/>
      <c r="F11333" s="10"/>
    </row>
    <row r="11334" customFormat="false" ht="15" hidden="false" customHeight="false" outlineLevel="0" collapsed="false">
      <c r="B11334" s="10"/>
      <c r="C11334" s="10"/>
      <c r="D11334" s="34" t="str">
        <f aca="false">Signataire</f>
        <v>Prénom NOM</v>
      </c>
      <c r="E11334" s="34"/>
      <c r="F11334" s="34"/>
    </row>
    <row r="11335" customFormat="false" ht="15" hidden="false" customHeight="false" outlineLevel="0" collapsed="false">
      <c r="B11335" s="10"/>
      <c r="C11335" s="10"/>
      <c r="D11335" s="47" t="str">
        <f aca="false">Signataire_Titre</f>
        <v>Expert-comptable associé</v>
      </c>
      <c r="E11335" s="47"/>
      <c r="F11335" s="47"/>
    </row>
    <row r="11336" customFormat="false" ht="15.75" hidden="false" customHeight="true" outlineLevel="0" collapsed="false">
      <c r="B11336" s="10"/>
      <c r="C11336" s="10"/>
      <c r="D11336" s="10"/>
      <c r="E11336" s="10"/>
      <c r="F11336" s="10"/>
    </row>
    <row r="11337" customFormat="false" ht="15.75" hidden="false" customHeight="true" outlineLevel="0" collapsed="false">
      <c r="B11337" s="10"/>
      <c r="C11337" s="10"/>
      <c r="D11337" s="10"/>
      <c r="E11337" s="10"/>
      <c r="F11337" s="10"/>
    </row>
    <row r="11338" customFormat="false" ht="15.75" hidden="false" customHeight="true" outlineLevel="0" collapsed="false">
      <c r="B11338" s="10"/>
      <c r="C11338" s="10"/>
      <c r="D11338" s="10"/>
      <c r="E11338" s="10"/>
      <c r="F11338" s="10"/>
    </row>
    <row r="11339" customFormat="false" ht="15.75" hidden="false" customHeight="true" outlineLevel="0" collapsed="false">
      <c r="B11339" s="10"/>
      <c r="C11339" s="10"/>
      <c r="D11339" s="10"/>
      <c r="E11339" s="10"/>
      <c r="F11339" s="10"/>
    </row>
    <row r="11340" customFormat="false" ht="24" hidden="false" customHeight="true" outlineLevel="0" collapsed="false">
      <c r="B11340" s="48" t="str">
        <f aca="false">Cab_Mentions</f>
        <v>ALTHO EXPERTISE · SAS au capital de 10 000 € · RCS Pontoise 919 706 325 · TVA FR62919706325 · Société d'expertise comptable inscrite au Tableau de l'Ordre des experts-comptables de Paris Île-de-France</v>
      </c>
      <c r="C11340" s="48"/>
      <c r="D11340" s="48"/>
      <c r="E11340" s="48"/>
      <c r="F11340" s="48"/>
    </row>
    <row r="11341" customFormat="false" ht="15" hidden="false" customHeight="false" outlineLevel="0" collapsed="false">
      <c r="B11341" s="10"/>
      <c r="C11341" s="10"/>
      <c r="D11341" s="10"/>
      <c r="E11341" s="10"/>
      <c r="F11341" s="10"/>
      <c r="J11341" s="25" t="s">
        <v>142</v>
      </c>
      <c r="K11341" s="25" t="n">
        <f aca="false">IFERROR(MATCH(253,Clients!$Z$2:$Z$501,0),0)</f>
        <v>0</v>
      </c>
      <c r="L11341" s="25"/>
      <c r="M11341" s="25"/>
      <c r="N11341" s="25"/>
      <c r="O11341" s="25"/>
    </row>
    <row r="11342" customFormat="false" ht="21.75" hidden="false" customHeight="true" outlineLevel="0" collapsed="false">
      <c r="B11342" s="26" t="str">
        <f aca="false">Cab_Nom</f>
        <v>ALTHO EXPERTISE</v>
      </c>
      <c r="C11342" s="26"/>
      <c r="D11342" s="10"/>
      <c r="E11342" s="27" t="str">
        <f aca="false">IF($K$11341=0,"","Réf. client : "&amp;INDEX(Clients!$A$2:$A$501,$K$11341))</f>
        <v/>
      </c>
      <c r="F11342" s="27"/>
      <c r="J11342" s="25" t="s">
        <v>144</v>
      </c>
      <c r="K11342" s="25" t="str">
        <f aca="false">IF(IF($K$11341=0,"",INDEX(Clients!$B$2:$B$501,$K$11341)&amp;"")="Mme","Madame",IF(IF($K$11341=0,"",INDEX(Clients!$B$2:$B$501,$K$11341)&amp;"")="M.","Monsieur","Madame, Monsieur"))</f>
        <v>Madame, Monsieur</v>
      </c>
      <c r="L11342" s="25"/>
      <c r="M11342" s="25"/>
      <c r="N11342" s="25"/>
      <c r="O11342" s="25"/>
    </row>
    <row r="11343" customFormat="false" ht="15" hidden="false" customHeight="false" outlineLevel="0" collapsed="false">
      <c r="B11343" s="29" t="str">
        <f aca="false">Cab_Adr1</f>
        <v>141 rue Charles de Gaulle</v>
      </c>
      <c r="C11343" s="29"/>
      <c r="D11343" s="10"/>
      <c r="E11343" s="10"/>
      <c r="F11343" s="10"/>
      <c r="J11343" s="25" t="s">
        <v>145</v>
      </c>
      <c r="K11343" s="25" t="str">
        <f aca="false">DAY(Date_Effet)&amp;IF(DAY(Date_Effet)=1,"er","")&amp;" "&amp;INDEX(Liste_Mois,MONTH(Date_Effet))&amp;" "&amp;YEAR(Date_Effet)</f>
        <v>1er janvier 2027</v>
      </c>
      <c r="L11343" s="25"/>
      <c r="M11343" s="25"/>
      <c r="N11343" s="25"/>
      <c r="O11343" s="25"/>
    </row>
    <row r="11344" customFormat="false" ht="15" hidden="false" customHeight="false" outlineLevel="0" collapsed="false">
      <c r="B11344" s="29" t="str">
        <f aca="false">Cab_CPVille</f>
        <v>95130 LE PLESSIS-BOUCHARD</v>
      </c>
      <c r="C11344" s="29"/>
      <c r="D11344" s="10"/>
      <c r="E11344" s="10"/>
      <c r="F11344" s="10"/>
      <c r="J11344" s="25" t="s">
        <v>146</v>
      </c>
      <c r="K11344" s="25" t="str">
        <f aca="false">IF(SUM($K$11368:$K$11371)=0,"",FIXED((SUM($L$11368:$L$11371)/SUM($K$11368:$K$11371)-1)*100,1)&amp;" %")</f>
        <v/>
      </c>
      <c r="L11344" s="25"/>
      <c r="M11344" s="25"/>
      <c r="N11344" s="25"/>
      <c r="O11344" s="25"/>
    </row>
    <row r="11345" customFormat="false" ht="15" hidden="false" customHeight="false" outlineLevel="0" collapsed="false">
      <c r="B11345" s="29" t="str">
        <f aca="false">Cab_Contact</f>
        <v>Tél. 01 34 14 53 45  ·  altho@altho-experts.com  ·  altho-experts.com</v>
      </c>
      <c r="C11345" s="29"/>
      <c r="D11345" s="10"/>
      <c r="E11345" s="10"/>
      <c r="F11345" s="10"/>
      <c r="J11345" s="25"/>
      <c r="K11345" s="25"/>
      <c r="L11345" s="25"/>
      <c r="M11345" s="25"/>
      <c r="N11345" s="25"/>
      <c r="O11345" s="25"/>
    </row>
    <row r="11346" customFormat="false" ht="6" hidden="false" customHeight="true" outlineLevel="0" collapsed="false">
      <c r="B11346" s="32"/>
      <c r="C11346" s="32"/>
      <c r="D11346" s="32"/>
      <c r="E11346" s="32"/>
      <c r="F11346" s="32"/>
      <c r="J11346" s="25"/>
      <c r="K11346" s="25"/>
      <c r="L11346" s="25"/>
      <c r="M11346" s="25"/>
      <c r="N11346" s="25"/>
      <c r="O11346" s="25"/>
    </row>
    <row r="11347" customFormat="false" ht="13.5" hidden="false" customHeight="true" outlineLevel="0" collapsed="false">
      <c r="B11347" s="10"/>
      <c r="C11347" s="10"/>
      <c r="D11347" s="10"/>
      <c r="E11347" s="10"/>
      <c r="F11347" s="10"/>
      <c r="J11347" s="25"/>
      <c r="K11347" s="25"/>
      <c r="L11347" s="25"/>
      <c r="M11347" s="25"/>
      <c r="N11347" s="25"/>
      <c r="O11347" s="25"/>
    </row>
    <row r="11348" customFormat="false" ht="13.5" hidden="false" customHeight="true" outlineLevel="0" collapsed="false">
      <c r="B11348" s="10"/>
      <c r="C11348" s="10"/>
      <c r="D11348" s="10"/>
      <c r="E11348" s="10"/>
      <c r="F11348" s="10"/>
      <c r="J11348" s="25"/>
      <c r="K11348" s="25"/>
      <c r="L11348" s="25"/>
      <c r="M11348" s="25"/>
      <c r="N11348" s="25"/>
      <c r="O11348" s="25"/>
    </row>
    <row r="11349" customFormat="false" ht="13.5" hidden="false" customHeight="true" outlineLevel="0" collapsed="false">
      <c r="B11349" s="10"/>
      <c r="C11349" s="10"/>
      <c r="D11349" s="10"/>
      <c r="E11349" s="10"/>
      <c r="F11349" s="10"/>
      <c r="J11349" s="25"/>
      <c r="K11349" s="25"/>
      <c r="L11349" s="25"/>
      <c r="M11349" s="25"/>
      <c r="N11349" s="25"/>
      <c r="O11349" s="25"/>
    </row>
    <row r="11350" customFormat="false" ht="15" hidden="false" customHeight="true" outlineLevel="0" collapsed="false">
      <c r="B11350" s="10"/>
      <c r="C11350" s="10"/>
      <c r="D11350" s="34" t="str">
        <f aca="false">IF($K$11341=0,"",INDEX(Clients!$E$2:$E$501,$K$11341)&amp;"")</f>
        <v/>
      </c>
      <c r="E11350" s="34"/>
      <c r="F11350" s="34"/>
      <c r="J11350" s="25"/>
      <c r="K11350" s="25"/>
      <c r="L11350" s="25"/>
      <c r="M11350" s="25"/>
      <c r="N11350" s="25"/>
      <c r="O11350" s="25"/>
    </row>
    <row r="11351" customFormat="false" ht="15" hidden="false" customHeight="true" outlineLevel="0" collapsed="false">
      <c r="B11351" s="10"/>
      <c r="C11351" s="10"/>
      <c r="D11351" s="35" t="str">
        <f aca="false">IF(IF($K$11341=0,"",INDEX(Clients!$D$2:$D$501,$K$11341)&amp;"")="","","À l'attention de "&amp;TRIM(IF($K$11341=0,"",INDEX(Clients!$B$2:$B$501,$K$11341)&amp;"")&amp;" "&amp;IF($K$11341=0,"",INDEX(Clients!$C$2:$C$501,$K$11341)&amp;"")&amp;" "&amp;IF($K$11341=0,"",INDEX(Clients!$D$2:$D$501,$K$11341)&amp;"")))</f>
        <v/>
      </c>
      <c r="E11351" s="35"/>
      <c r="F11351" s="35"/>
      <c r="J11351" s="25"/>
      <c r="K11351" s="25"/>
      <c r="L11351" s="25"/>
      <c r="M11351" s="25"/>
      <c r="N11351" s="25"/>
      <c r="O11351" s="25"/>
    </row>
    <row r="11352" customFormat="false" ht="15" hidden="false" customHeight="true" outlineLevel="0" collapsed="false">
      <c r="B11352" s="10"/>
      <c r="C11352" s="10"/>
      <c r="D11352" s="35" t="str">
        <f aca="false">IF($K$11341=0,"",INDEX(Clients!$F$2:$F$501,$K$11341)&amp;"")</f>
        <v/>
      </c>
      <c r="E11352" s="35"/>
      <c r="F11352" s="35"/>
      <c r="J11352" s="25"/>
      <c r="K11352" s="25"/>
      <c r="L11352" s="25"/>
      <c r="M11352" s="25"/>
      <c r="N11352" s="25"/>
      <c r="O11352" s="25"/>
    </row>
    <row r="11353" customFormat="false" ht="15" hidden="false" customHeight="true" outlineLevel="0" collapsed="false">
      <c r="B11353" s="10"/>
      <c r="C11353" s="10"/>
      <c r="D11353" s="35" t="str">
        <f aca="false">IF(IF($K$11341=0,"",INDEX(Clients!$G$2:$G$501,$K$11341)&amp;"")="",TRIM(IF($K$11341=0,"",INDEX(Clients!$H$2:$H$501,$K$11341)&amp;"")&amp;" "&amp;UPPER(IF($K$11341=0,"",INDEX(Clients!$I$2:$I$501,$K$11341)&amp;""))),IF($K$11341=0,"",INDEX(Clients!$G$2:$G$501,$K$11341)&amp;""))</f>
        <v/>
      </c>
      <c r="E11353" s="35"/>
      <c r="F11353" s="35"/>
      <c r="J11353" s="25"/>
      <c r="K11353" s="25"/>
      <c r="L11353" s="25"/>
      <c r="M11353" s="25"/>
      <c r="N11353" s="25"/>
      <c r="O11353" s="25"/>
    </row>
    <row r="11354" customFormat="false" ht="15" hidden="false" customHeight="true" outlineLevel="0" collapsed="false">
      <c r="B11354" s="10"/>
      <c r="C11354" s="10"/>
      <c r="D11354" s="35" t="str">
        <f aca="false">IF(IF($K$11341=0,"",INDEX(Clients!$G$2:$G$501,$K$11341)&amp;"")="","",TRIM(IF($K$11341=0,"",INDEX(Clients!$H$2:$H$501,$K$11341)&amp;"")&amp;" "&amp;UPPER(IF($K$11341=0,"",INDEX(Clients!$I$2:$I$501,$K$11341)&amp;""))))</f>
        <v/>
      </c>
      <c r="E11354" s="35"/>
      <c r="F11354" s="35"/>
      <c r="J11354" s="25"/>
      <c r="K11354" s="25"/>
      <c r="L11354" s="25"/>
      <c r="M11354" s="25"/>
      <c r="N11354" s="25"/>
      <c r="O11354" s="25"/>
    </row>
    <row r="11355" customFormat="false" ht="25.5" hidden="false" customHeight="true" outlineLevel="0" collapsed="false">
      <c r="B11355" s="10"/>
      <c r="C11355" s="10"/>
      <c r="D11355" s="10"/>
      <c r="E11355" s="10"/>
      <c r="F11355" s="10"/>
      <c r="J11355" s="25"/>
      <c r="K11355" s="25"/>
      <c r="L11355" s="25"/>
      <c r="M11355" s="25"/>
      <c r="N11355" s="25"/>
      <c r="O11355" s="25"/>
    </row>
    <row r="11356" customFormat="false" ht="15" hidden="false" customHeight="false" outlineLevel="0" collapsed="false">
      <c r="B11356" s="10"/>
      <c r="C11356" s="10"/>
      <c r="D11356" s="36" t="str">
        <f aca="false">Cab_Ville&amp;", le "&amp;DAY(Date_Courrier)&amp;IF(DAY(Date_Courrier)=1,"er","")&amp;" "&amp;INDEX(Liste_Mois,MONTH(Date_Courrier))&amp;" "&amp;YEAR(Date_Courrier)</f>
        <v>Le Plessis-Bouchard, le 22 septembre 2026</v>
      </c>
      <c r="E11356" s="36"/>
      <c r="F11356" s="36"/>
      <c r="J11356" s="25"/>
      <c r="K11356" s="25"/>
      <c r="L11356" s="25"/>
      <c r="M11356" s="25"/>
      <c r="N11356" s="25"/>
      <c r="O11356" s="25"/>
    </row>
    <row r="11357" customFormat="false" ht="19.5" hidden="false" customHeight="true" outlineLevel="0" collapsed="false">
      <c r="B11357" s="10"/>
      <c r="C11357" s="10"/>
      <c r="D11357" s="10"/>
      <c r="E11357" s="10"/>
      <c r="F11357" s="10"/>
      <c r="J11357" s="25"/>
      <c r="K11357" s="25"/>
      <c r="L11357" s="25"/>
      <c r="M11357" s="25"/>
      <c r="N11357" s="25"/>
      <c r="O11357" s="25"/>
    </row>
    <row r="11358" customFormat="false" ht="15" hidden="false" customHeight="false" outlineLevel="0" collapsed="false">
      <c r="B11358" s="34" t="str">
        <f aca="false">SUBSTITUTE(SUBSTITUTE(SUBSTITUTE(SUBSTITUTE(SUBSTITUTE(Txt_Objet,"{cabinet}",Cab_Nom),"{societe}",IF($K$11341=0,"",INDEX(Clients!$E$2:$E$501,$K$11341)&amp;"")),"{date_effet}",$K$11343),"{hausse}",$K$11344),"{civilite}",$K$11342)</f>
        <v>Objet : révision de nos honoraires au 1er janvier 2027</v>
      </c>
      <c r="C11358" s="34"/>
      <c r="D11358" s="34"/>
      <c r="E11358" s="34"/>
      <c r="F11358" s="34"/>
      <c r="J11358" s="25"/>
      <c r="K11358" s="25"/>
      <c r="L11358" s="25"/>
      <c r="M11358" s="25"/>
      <c r="N11358" s="25"/>
      <c r="O11358" s="25"/>
    </row>
    <row r="11359" customFormat="false" ht="13.5" hidden="false" customHeight="true" outlineLevel="0" collapsed="false">
      <c r="B11359" s="10"/>
      <c r="C11359" s="10"/>
      <c r="D11359" s="10"/>
      <c r="E11359" s="10"/>
      <c r="F11359" s="10"/>
      <c r="J11359" s="25"/>
      <c r="K11359" s="25"/>
      <c r="L11359" s="25"/>
      <c r="M11359" s="25"/>
      <c r="N11359" s="25"/>
      <c r="O11359" s="25"/>
    </row>
    <row r="11360" customFormat="false" ht="15" hidden="false" customHeight="false" outlineLevel="0" collapsed="false">
      <c r="B11360" s="10" t="str">
        <f aca="false">$K$11342&amp;","</f>
        <v>Madame, Monsieur,</v>
      </c>
      <c r="C11360" s="10"/>
      <c r="D11360" s="10"/>
      <c r="E11360" s="10"/>
      <c r="F11360" s="10"/>
      <c r="J11360" s="25"/>
      <c r="K11360" s="25"/>
      <c r="L11360" s="25"/>
      <c r="M11360" s="25"/>
      <c r="N11360" s="25"/>
      <c r="O11360" s="25"/>
    </row>
    <row r="11361" customFormat="false" ht="6" hidden="false" customHeight="true" outlineLevel="0" collapsed="false">
      <c r="B11361" s="10"/>
      <c r="C11361" s="10"/>
      <c r="D11361" s="10"/>
      <c r="E11361" s="10"/>
      <c r="F11361" s="10"/>
      <c r="J11361" s="25"/>
      <c r="K11361" s="25"/>
      <c r="L11361" s="25"/>
      <c r="M11361" s="25"/>
      <c r="N11361" s="25"/>
      <c r="O11361" s="25"/>
    </row>
    <row r="11362" customFormat="false" ht="36.75" hidden="false" customHeight="true" outlineLevel="0" collapsed="false">
      <c r="B11362" s="37" t="str">
        <f aca="false">SUBSTITUTE(SUBSTITUTE(SUBSTITUTE(SUBSTITUTE(SUBSTITUTE(Txt_P1,"{cabinet}",Cab_Nom),"{societe}",IF($K$11341=0,"",INDEX(Clients!$E$2:$E$501,$K$11341)&amp;"")),"{date_effet}",$K$11343),"{hausse}",$K$11344),"{civilite}",$K$11342)</f>
        <v>Nous tenons tout d'abord à vous remercier pour la confiance que vous accordez à ALTHO EXPERTISE. Comme chaque année, et conformément aux dispositions de votre lettre de mission, nous procédons à la révision de nos honoraires.</v>
      </c>
      <c r="C11362" s="37"/>
      <c r="D11362" s="37"/>
      <c r="E11362" s="37"/>
      <c r="F11362" s="37"/>
      <c r="J11362" s="25"/>
      <c r="K11362" s="25"/>
      <c r="L11362" s="25"/>
      <c r="M11362" s="25"/>
      <c r="N11362" s="25"/>
      <c r="O11362" s="25"/>
    </row>
    <row r="11363" customFormat="false" ht="49.5" hidden="false" customHeight="true" outlineLevel="0" collapsed="false">
      <c r="B11363" s="37" t="str">
        <f aca="false">SUBSTITUTE(SUBSTITUTE(SUBSTITUTE(SUBSTITUTE(SUBSTITUTE(Txt_P2,"{cabinet}",Cab_Nom),"{societe}",IF($K$11341=0,"",INDEX(Clients!$E$2:$E$501,$K$11341)&amp;"")),"{date_effet}",$K$11343),"{hausse}",$K$11344),"{civilite}",$K$11342)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363" s="37"/>
      <c r="D11363" s="37"/>
      <c r="E11363" s="37"/>
      <c r="F11363" s="37"/>
      <c r="J11363" s="25"/>
      <c r="K11363" s="25"/>
      <c r="L11363" s="25"/>
      <c r="M11363" s="25"/>
      <c r="N11363" s="25"/>
      <c r="O11363" s="25"/>
    </row>
    <row r="11364" customFormat="false" ht="63" hidden="false" customHeight="true" outlineLevel="0" collapsed="false">
      <c r="B11364" s="37" t="str">
        <f aca="false">SUBSTITUTE(SUBSTITUTE(SUBSTITUTE(SUBSTITUTE(SUBSTITUTE(Txt_P3,"{cabinet}",Cab_Nom),"{societe}",IF($K$11341=0,"",INDEX(Clients!$E$2:$E$501,$K$11341)&amp;"")),"{date_effet}",$K$11343),"{hausse}",$K$11344),"{civilite}",$K$11342)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364" s="37"/>
      <c r="D11364" s="37"/>
      <c r="E11364" s="37"/>
      <c r="F11364" s="37"/>
      <c r="J11364" s="25"/>
      <c r="K11364" s="25"/>
      <c r="L11364" s="25"/>
      <c r="M11364" s="25"/>
      <c r="N11364" s="25"/>
      <c r="O11364" s="25"/>
    </row>
    <row r="11365" customFormat="false" ht="24" hidden="false" customHeight="true" outlineLevel="0" collapsed="false">
      <c r="B11365" s="37" t="str">
        <f aca="false">SUBSTITUTE(SUBSTITUTE(SUBSTITUTE(SUBSTITUTE(SUBSTITUTE(Txt_P4,"{cabinet}",Cab_Nom),"{societe}",IF($K$11341=0,"",INDEX(Clients!$E$2:$E$501,$K$11341)&amp;"")),"{date_effet}",$K$11343),"{hausse}",$K$11344),"{civilite}",$K$11342)</f>
        <v>À compter du 1er janvier 2027, vos honoraires annuels hors taxes évolueront ainsi (évolution globale : ) :</v>
      </c>
      <c r="C11365" s="37"/>
      <c r="D11365" s="37"/>
      <c r="E11365" s="37"/>
      <c r="F11365" s="37"/>
      <c r="J11365" s="25"/>
      <c r="K11365" s="25"/>
      <c r="L11365" s="25"/>
      <c r="M11365" s="25"/>
      <c r="N11365" s="25"/>
      <c r="O11365" s="25"/>
    </row>
    <row r="11366" customFormat="false" ht="3.75" hidden="false" customHeight="true" outlineLevel="0" collapsed="false">
      <c r="B11366" s="10"/>
      <c r="C11366" s="10"/>
      <c r="D11366" s="10"/>
      <c r="E11366" s="10"/>
      <c r="F11366" s="10"/>
      <c r="J11366" s="25"/>
      <c r="K11366" s="25"/>
      <c r="L11366" s="25"/>
      <c r="M11366" s="25"/>
      <c r="N11366" s="25"/>
      <c r="O11366" s="25"/>
    </row>
    <row r="11367" customFormat="false" ht="18" hidden="false" customHeight="true" outlineLevel="0" collapsed="false">
      <c r="B11367" s="38" t="s">
        <v>148</v>
      </c>
      <c r="C11367" s="39" t="s">
        <v>149</v>
      </c>
      <c r="D11367" s="39" t="s">
        <v>150</v>
      </c>
      <c r="E11367" s="39" t="s">
        <v>151</v>
      </c>
      <c r="F11367" s="39" t="s">
        <v>109</v>
      </c>
      <c r="J11367" s="25" t="s">
        <v>152</v>
      </c>
      <c r="K11367" s="25" t="s">
        <v>153</v>
      </c>
      <c r="L11367" s="25" t="s">
        <v>154</v>
      </c>
      <c r="M11367" s="25" t="s">
        <v>155</v>
      </c>
      <c r="N11367" s="25" t="s">
        <v>156</v>
      </c>
      <c r="O11367" s="25" t="s">
        <v>157</v>
      </c>
    </row>
    <row r="11368" customFormat="false" ht="16.5" hidden="false" customHeight="true" outlineLevel="0" collapsed="false">
      <c r="B11368" s="40" t="str">
        <f aca="false">IFERROR(INDEX($J$11368:$J$11371,MATCH($O11368,$N$11368:$N$11371,0)),"")</f>
        <v/>
      </c>
      <c r="C11368" s="41" t="str">
        <f aca="false">IFERROR(INDEX($K$11368:$K$11371,MATCH($O11368,$N$11368:$N$11371,0)),"")</f>
        <v/>
      </c>
      <c r="D11368" s="42" t="str">
        <f aca="false">IF(OR(E11368="",N(C11368)=0),"",E11368/C11368-1)</f>
        <v/>
      </c>
      <c r="E11368" s="41" t="str">
        <f aca="false">IFERROR(INDEX($L$11368:$L$11371,MATCH($O11368,$N$11368:$N$11371,0)),"")</f>
        <v/>
      </c>
      <c r="F11368" s="41" t="str">
        <f aca="false">IF(E11368="","",E11368-C11368)</f>
        <v/>
      </c>
      <c r="J11368" s="25" t="str">
        <f aca="false">Lib_Compta</f>
        <v>Mission comptable (tenue, révision, bilan, liasse fiscale)</v>
      </c>
      <c r="K11368" s="25" t="n">
        <f aca="false">IF($K$11341=0,0,N(INDEX(Clients!$K$2:$K$501,$K$11341)))</f>
        <v>0</v>
      </c>
      <c r="L11368" s="25" t="n">
        <f aca="false">IF($K$11341=0,0,N(INDEX(Clients!$P$2:$P$501,$K$11341)))</f>
        <v>0</v>
      </c>
      <c r="M11368" s="25" t="n">
        <f aca="false">IF(OR(K11368&lt;&gt;0,L11368&lt;&gt;0),1,0)</f>
        <v>0</v>
      </c>
      <c r="N11368" s="25" t="str">
        <f aca="false">IF(M11368=1,SUM($M$11368:M11368),"")</f>
        <v/>
      </c>
      <c r="O11368" s="25" t="n">
        <v>1</v>
      </c>
    </row>
    <row r="11369" customFormat="false" ht="16.5" hidden="false" customHeight="true" outlineLevel="0" collapsed="false">
      <c r="B11369" s="40" t="str">
        <f aca="false">IFERROR(INDEX($J$11368:$J$11371,MATCH($O11369,$N$11368:$N$11371,0)),"")</f>
        <v/>
      </c>
      <c r="C11369" s="41" t="str">
        <f aca="false">IFERROR(INDEX($K$11368:$K$11371,MATCH($O11369,$N$11368:$N$11371,0)),"")</f>
        <v/>
      </c>
      <c r="D11369" s="42" t="str">
        <f aca="false">IF(OR(E11369="",N(C11369)=0),"",E11369/C11369-1)</f>
        <v/>
      </c>
      <c r="E11369" s="41" t="str">
        <f aca="false">IFERROR(INDEX($L$11368:$L$11371,MATCH($O11369,$N$11368:$N$11371,0)),"")</f>
        <v/>
      </c>
      <c r="F11369" s="41" t="str">
        <f aca="false">IF(E11369="","",E11369-C11369)</f>
        <v/>
      </c>
      <c r="J11369" s="25" t="str">
        <f aca="false">Lib_Paye</f>
        <v>Mission sociale (bulletins de paie, DSN, déclarations sociales)</v>
      </c>
      <c r="K11369" s="25" t="n">
        <f aca="false">IF($K$11341=0,0,N(INDEX(Clients!$L$2:$L$501,$K$11341)))</f>
        <v>0</v>
      </c>
      <c r="L11369" s="25" t="n">
        <f aca="false">IF($K$11341=0,0,N(INDEX(Clients!$Q$2:$Q$501,$K$11341)))</f>
        <v>0</v>
      </c>
      <c r="M11369" s="25" t="n">
        <f aca="false">IF(OR(K11369&lt;&gt;0,L11369&lt;&gt;0),1,0)</f>
        <v>0</v>
      </c>
      <c r="N11369" s="25" t="str">
        <f aca="false">IF(M11369=1,SUM($M$11368:M11369),"")</f>
        <v/>
      </c>
      <c r="O11369" s="25" t="n">
        <v>2</v>
      </c>
    </row>
    <row r="11370" customFormat="false" ht="16.5" hidden="false" customHeight="true" outlineLevel="0" collapsed="false">
      <c r="B11370" s="40" t="str">
        <f aca="false">IFERROR(INDEX($J$11368:$J$11371,MATCH($O11370,$N$11368:$N$11371,0)),"")</f>
        <v/>
      </c>
      <c r="C11370" s="41" t="str">
        <f aca="false">IFERROR(INDEX($K$11368:$K$11371,MATCH($O11370,$N$11368:$N$11371,0)),"")</f>
        <v/>
      </c>
      <c r="D11370" s="42" t="str">
        <f aca="false">IF(OR(E11370="",N(C11370)=0),"",E11370/C11370-1)</f>
        <v/>
      </c>
      <c r="E11370" s="41" t="str">
        <f aca="false">IFERROR(INDEX($L$11368:$L$11371,MATCH($O11370,$N$11368:$N$11371,0)),"")</f>
        <v/>
      </c>
      <c r="F11370" s="41" t="str">
        <f aca="false">IF(E11370="","",E11370-C11370)</f>
        <v/>
      </c>
      <c r="J11370" s="25" t="str">
        <f aca="false">Lib_Jur</f>
        <v>Mission juridique (approbation des comptes, secrétariat juridique)</v>
      </c>
      <c r="K11370" s="25" t="n">
        <f aca="false">IF($K$11341=0,0,N(INDEX(Clients!$M$2:$M$501,$K$11341)))</f>
        <v>0</v>
      </c>
      <c r="L11370" s="25" t="n">
        <f aca="false">IF($K$11341=0,0,N(INDEX(Clients!$R$2:$R$501,$K$11341)))</f>
        <v>0</v>
      </c>
      <c r="M11370" s="25" t="n">
        <f aca="false">IF(OR(K11370&lt;&gt;0,L11370&lt;&gt;0),1,0)</f>
        <v>0</v>
      </c>
      <c r="N11370" s="25" t="str">
        <f aca="false">IF(M11370=1,SUM($M$11368:M11370),"")</f>
        <v/>
      </c>
      <c r="O11370" s="25" t="n">
        <v>3</v>
      </c>
    </row>
    <row r="11371" customFormat="false" ht="16.5" hidden="false" customHeight="true" outlineLevel="0" collapsed="false">
      <c r="B11371" s="40" t="str">
        <f aca="false">IFERROR(INDEX($J$11368:$J$11371,MATCH($O11371,$N$11368:$N$11371,0)),"")</f>
        <v/>
      </c>
      <c r="C11371" s="41" t="str">
        <f aca="false">IFERROR(INDEX($K$11368:$K$11371,MATCH($O11371,$N$11368:$N$11371,0)),"")</f>
        <v/>
      </c>
      <c r="D11371" s="42" t="str">
        <f aca="false">IF(OR(E11371="",N(C11371)=0),"",E11371/C11371-1)</f>
        <v/>
      </c>
      <c r="E11371" s="41" t="str">
        <f aca="false">IFERROR(INDEX($L$11368:$L$11371,MATCH($O11371,$N$11368:$N$11371,0)),"")</f>
        <v/>
      </c>
      <c r="F11371" s="41" t="str">
        <f aca="false">IF(E11371="","",E11371-C11371)</f>
        <v/>
      </c>
      <c r="J11371" s="25" t="str">
        <f aca="false">Lib_PA</f>
        <v>Plateforme agréée – facturation électronique</v>
      </c>
      <c r="K11371" s="25" t="n">
        <f aca="false">IF($K$11341=0,0,N(INDEX(Clients!$N$2:$N$501,$K$11341)))</f>
        <v>0</v>
      </c>
      <c r="L11371" s="25" t="n">
        <f aca="false">IF($K$11341=0,0,N(INDEX(Clients!$S$2:$S$501,$K$11341)))</f>
        <v>0</v>
      </c>
      <c r="M11371" s="25" t="n">
        <f aca="false">IF(OR(K11371&lt;&gt;0,L11371&lt;&gt;0),1,0)</f>
        <v>0</v>
      </c>
      <c r="N11371" s="25" t="str">
        <f aca="false">IF(M11371=1,SUM($M$11368:M11371),"")</f>
        <v/>
      </c>
      <c r="O11371" s="25" t="n">
        <v>4</v>
      </c>
    </row>
    <row r="11372" customFormat="false" ht="18" hidden="false" customHeight="true" outlineLevel="0" collapsed="false">
      <c r="B11372" s="43" t="s">
        <v>158</v>
      </c>
      <c r="C11372" s="44" t="n">
        <f aca="false">SUM(K11368:K11371)</f>
        <v>0</v>
      </c>
      <c r="D11372" s="45" t="str">
        <f aca="false">IF(N(C11372)=0,"",E11372/C11372-1)</f>
        <v/>
      </c>
      <c r="E11372" s="44" t="n">
        <f aca="false">SUM(L11368:L11371)</f>
        <v>0</v>
      </c>
      <c r="F11372" s="44" t="n">
        <f aca="false">E11372-C11372</f>
        <v>0</v>
      </c>
    </row>
    <row r="11373" customFormat="false" ht="15" hidden="false" customHeight="false" outlineLevel="0" collapsed="false">
      <c r="B11373" s="46" t="str">
        <f aca="false">IF(N(Nb_Mensualites)=0,"","Soit "&amp;FIXED(E11372/Nb_Mensualites,2)&amp;" € HT par échéance ("&amp;Nb_Mensualites&amp;" échéances), "&amp;FIXED(E11372/Nb_Mensualites*(1+Taux_TVA),2)&amp;" € TTC.")</f>
        <v>Soit 0.00 € HT par échéance (12 échéances), 0.00 € TTC.</v>
      </c>
      <c r="C11373" s="46"/>
      <c r="D11373" s="46"/>
      <c r="E11373" s="46"/>
      <c r="F11373" s="46"/>
    </row>
    <row r="11374" customFormat="false" ht="7.5" hidden="false" customHeight="true" outlineLevel="0" collapsed="false">
      <c r="B11374" s="10"/>
      <c r="C11374" s="10"/>
      <c r="D11374" s="10"/>
      <c r="E11374" s="10"/>
      <c r="F11374" s="10"/>
    </row>
    <row r="11375" customFormat="false" ht="36.75" hidden="false" customHeight="true" outlineLevel="0" collapsed="false">
      <c r="B11375" s="37" t="str">
        <f aca="false">SUBSTITUTE(SUBSTITUTE(SUBSTITUTE(SUBSTITUTE(SUBSTITUTE(Txt_P5,"{cabinet}",Cab_Nom),"{societe}",IF($K$11341=0,"",INDEX(Clients!$E$2:$E$501,$K$11341)&amp;"")),"{date_effet}",$K$11343),"{hausse}",$K$11344),"{civilite}",$K$11342)</f>
        <v>Les autres conditions de votre lettre de mission demeurent inchangées. Les nouveaux montants seront appliqués automatiquement sur vos prochaines factures et échéances de prélèvement.</v>
      </c>
      <c r="C11375" s="37"/>
      <c r="D11375" s="37"/>
      <c r="E11375" s="37"/>
      <c r="F11375" s="37"/>
    </row>
    <row r="11376" customFormat="false" ht="36.75" hidden="false" customHeight="true" outlineLevel="0" collapsed="false">
      <c r="B11376" s="37" t="str">
        <f aca="false">SUBSTITUTE(SUBSTITUTE(SUBSTITUTE(SUBSTITUTE(SUBSTITUTE(Txt_P6,"{cabinet}",Cab_Nom),"{societe}",IF($K$11341=0,"",INDEX(Clients!$E$2:$E$501,$K$11341)&amp;"")),"{date_effet}",$K$11343),"{hausse}",$K$11344),"{civilite}",$K$11342)</f>
        <v>Votre interlocuteur habituel reste à votre entière disposition pour répondre à vos questions et faire le point sur l'évolution de vos besoins.</v>
      </c>
      <c r="C11376" s="37"/>
      <c r="D11376" s="37"/>
      <c r="E11376" s="37"/>
      <c r="F11376" s="37"/>
    </row>
    <row r="11377" customFormat="false" ht="24" hidden="false" customHeight="true" outlineLevel="0" collapsed="false">
      <c r="B11377" s="37" t="str">
        <f aca="false">SUBSTITUTE(SUBSTITUTE(SUBSTITUTE(SUBSTITUTE(SUBSTITUTE(Txt_Politesse,"{cabinet}",Cab_Nom),"{societe}",IF($K$11341=0,"",INDEX(Clients!$E$2:$E$501,$K$11341)&amp;"")),"{date_effet}",$K$11343),"{hausse}",$K$11344),"{civilite}",$K$11342)</f>
        <v>Nous vous prions d'agréer, Madame, Monsieur, l'expression de nos salutations distinguées.</v>
      </c>
      <c r="C11377" s="37"/>
      <c r="D11377" s="37"/>
      <c r="E11377" s="37"/>
      <c r="F11377" s="37"/>
    </row>
    <row r="11378" customFormat="false" ht="15" hidden="false" customHeight="false" outlineLevel="0" collapsed="false">
      <c r="B11378" s="10"/>
      <c r="C11378" s="10"/>
      <c r="D11378" s="10"/>
      <c r="E11378" s="10"/>
      <c r="F11378" s="10"/>
    </row>
    <row r="11379" customFormat="false" ht="15" hidden="false" customHeight="false" outlineLevel="0" collapsed="false">
      <c r="B11379" s="10"/>
      <c r="C11379" s="10"/>
      <c r="D11379" s="34" t="str">
        <f aca="false">Signataire</f>
        <v>Prénom NOM</v>
      </c>
      <c r="E11379" s="34"/>
      <c r="F11379" s="34"/>
    </row>
    <row r="11380" customFormat="false" ht="15" hidden="false" customHeight="false" outlineLevel="0" collapsed="false">
      <c r="B11380" s="10"/>
      <c r="C11380" s="10"/>
      <c r="D11380" s="47" t="str">
        <f aca="false">Signataire_Titre</f>
        <v>Expert-comptable associé</v>
      </c>
      <c r="E11380" s="47"/>
      <c r="F11380" s="47"/>
    </row>
    <row r="11381" customFormat="false" ht="15.75" hidden="false" customHeight="true" outlineLevel="0" collapsed="false">
      <c r="B11381" s="10"/>
      <c r="C11381" s="10"/>
      <c r="D11381" s="10"/>
      <c r="E11381" s="10"/>
      <c r="F11381" s="10"/>
    </row>
    <row r="11382" customFormat="false" ht="15.75" hidden="false" customHeight="true" outlineLevel="0" collapsed="false">
      <c r="B11382" s="10"/>
      <c r="C11382" s="10"/>
      <c r="D11382" s="10"/>
      <c r="E11382" s="10"/>
      <c r="F11382" s="10"/>
    </row>
    <row r="11383" customFormat="false" ht="15.75" hidden="false" customHeight="true" outlineLevel="0" collapsed="false">
      <c r="B11383" s="10"/>
      <c r="C11383" s="10"/>
      <c r="D11383" s="10"/>
      <c r="E11383" s="10"/>
      <c r="F11383" s="10"/>
    </row>
    <row r="11384" customFormat="false" ht="15.75" hidden="false" customHeight="true" outlineLevel="0" collapsed="false">
      <c r="B11384" s="10"/>
      <c r="C11384" s="10"/>
      <c r="D11384" s="10"/>
      <c r="E11384" s="10"/>
      <c r="F11384" s="10"/>
    </row>
    <row r="11385" customFormat="false" ht="24" hidden="false" customHeight="true" outlineLevel="0" collapsed="false">
      <c r="B11385" s="48" t="str">
        <f aca="false">Cab_Mentions</f>
        <v>ALTHO EXPERTISE · SAS au capital de 10 000 € · RCS Pontoise 919 706 325 · TVA FR62919706325 · Société d'expertise comptable inscrite au Tableau de l'Ordre des experts-comptables de Paris Île-de-France</v>
      </c>
      <c r="C11385" s="48"/>
      <c r="D11385" s="48"/>
      <c r="E11385" s="48"/>
      <c r="F11385" s="48"/>
    </row>
    <row r="11386" customFormat="false" ht="15" hidden="false" customHeight="false" outlineLevel="0" collapsed="false">
      <c r="B11386" s="10"/>
      <c r="C11386" s="10"/>
      <c r="D11386" s="10"/>
      <c r="E11386" s="10"/>
      <c r="F11386" s="10"/>
      <c r="J11386" s="25" t="s">
        <v>142</v>
      </c>
      <c r="K11386" s="25" t="n">
        <f aca="false">IFERROR(MATCH(254,Clients!$Z$2:$Z$501,0),0)</f>
        <v>0</v>
      </c>
      <c r="L11386" s="25"/>
      <c r="M11386" s="25"/>
      <c r="N11386" s="25"/>
      <c r="O11386" s="25"/>
    </row>
    <row r="11387" customFormat="false" ht="21.75" hidden="false" customHeight="true" outlineLevel="0" collapsed="false">
      <c r="B11387" s="26" t="str">
        <f aca="false">Cab_Nom</f>
        <v>ALTHO EXPERTISE</v>
      </c>
      <c r="C11387" s="26"/>
      <c r="D11387" s="10"/>
      <c r="E11387" s="27" t="str">
        <f aca="false">IF($K$11386=0,"","Réf. client : "&amp;INDEX(Clients!$A$2:$A$501,$K$11386))</f>
        <v/>
      </c>
      <c r="F11387" s="27"/>
      <c r="J11387" s="25" t="s">
        <v>144</v>
      </c>
      <c r="K11387" s="25" t="str">
        <f aca="false">IF(IF($K$11386=0,"",INDEX(Clients!$B$2:$B$501,$K$11386)&amp;"")="Mme","Madame",IF(IF($K$11386=0,"",INDEX(Clients!$B$2:$B$501,$K$11386)&amp;"")="M.","Monsieur","Madame, Monsieur"))</f>
        <v>Madame, Monsieur</v>
      </c>
      <c r="L11387" s="25"/>
      <c r="M11387" s="25"/>
      <c r="N11387" s="25"/>
      <c r="O11387" s="25"/>
    </row>
    <row r="11388" customFormat="false" ht="15" hidden="false" customHeight="false" outlineLevel="0" collapsed="false">
      <c r="B11388" s="29" t="str">
        <f aca="false">Cab_Adr1</f>
        <v>141 rue Charles de Gaulle</v>
      </c>
      <c r="C11388" s="29"/>
      <c r="D11388" s="10"/>
      <c r="E11388" s="10"/>
      <c r="F11388" s="10"/>
      <c r="J11388" s="25" t="s">
        <v>145</v>
      </c>
      <c r="K11388" s="25" t="str">
        <f aca="false">DAY(Date_Effet)&amp;IF(DAY(Date_Effet)=1,"er","")&amp;" "&amp;INDEX(Liste_Mois,MONTH(Date_Effet))&amp;" "&amp;YEAR(Date_Effet)</f>
        <v>1er janvier 2027</v>
      </c>
      <c r="L11388" s="25"/>
      <c r="M11388" s="25"/>
      <c r="N11388" s="25"/>
      <c r="O11388" s="25"/>
    </row>
    <row r="11389" customFormat="false" ht="15" hidden="false" customHeight="false" outlineLevel="0" collapsed="false">
      <c r="B11389" s="29" t="str">
        <f aca="false">Cab_CPVille</f>
        <v>95130 LE PLESSIS-BOUCHARD</v>
      </c>
      <c r="C11389" s="29"/>
      <c r="D11389" s="10"/>
      <c r="E11389" s="10"/>
      <c r="F11389" s="10"/>
      <c r="J11389" s="25" t="s">
        <v>146</v>
      </c>
      <c r="K11389" s="25" t="str">
        <f aca="false">IF(SUM($K$11413:$K$11416)=0,"",FIXED((SUM($L$11413:$L$11416)/SUM($K$11413:$K$11416)-1)*100,1)&amp;" %")</f>
        <v/>
      </c>
      <c r="L11389" s="25"/>
      <c r="M11389" s="25"/>
      <c r="N11389" s="25"/>
      <c r="O11389" s="25"/>
    </row>
    <row r="11390" customFormat="false" ht="15" hidden="false" customHeight="false" outlineLevel="0" collapsed="false">
      <c r="B11390" s="29" t="str">
        <f aca="false">Cab_Contact</f>
        <v>Tél. 01 34 14 53 45  ·  altho@altho-experts.com  ·  altho-experts.com</v>
      </c>
      <c r="C11390" s="29"/>
      <c r="D11390" s="10"/>
      <c r="E11390" s="10"/>
      <c r="F11390" s="10"/>
      <c r="J11390" s="25"/>
      <c r="K11390" s="25"/>
      <c r="L11390" s="25"/>
      <c r="M11390" s="25"/>
      <c r="N11390" s="25"/>
      <c r="O11390" s="25"/>
    </row>
    <row r="11391" customFormat="false" ht="6" hidden="false" customHeight="true" outlineLevel="0" collapsed="false">
      <c r="B11391" s="32"/>
      <c r="C11391" s="32"/>
      <c r="D11391" s="32"/>
      <c r="E11391" s="32"/>
      <c r="F11391" s="32"/>
      <c r="J11391" s="25"/>
      <c r="K11391" s="25"/>
      <c r="L11391" s="25"/>
      <c r="M11391" s="25"/>
      <c r="N11391" s="25"/>
      <c r="O11391" s="25"/>
    </row>
    <row r="11392" customFormat="false" ht="13.5" hidden="false" customHeight="true" outlineLevel="0" collapsed="false">
      <c r="B11392" s="10"/>
      <c r="C11392" s="10"/>
      <c r="D11392" s="10"/>
      <c r="E11392" s="10"/>
      <c r="F11392" s="10"/>
      <c r="J11392" s="25"/>
      <c r="K11392" s="25"/>
      <c r="L11392" s="25"/>
      <c r="M11392" s="25"/>
      <c r="N11392" s="25"/>
      <c r="O11392" s="25"/>
    </row>
    <row r="11393" customFormat="false" ht="13.5" hidden="false" customHeight="true" outlineLevel="0" collapsed="false">
      <c r="B11393" s="10"/>
      <c r="C11393" s="10"/>
      <c r="D11393" s="10"/>
      <c r="E11393" s="10"/>
      <c r="F11393" s="10"/>
      <c r="J11393" s="25"/>
      <c r="K11393" s="25"/>
      <c r="L11393" s="25"/>
      <c r="M11393" s="25"/>
      <c r="N11393" s="25"/>
      <c r="O11393" s="25"/>
    </row>
    <row r="11394" customFormat="false" ht="13.5" hidden="false" customHeight="true" outlineLevel="0" collapsed="false">
      <c r="B11394" s="10"/>
      <c r="C11394" s="10"/>
      <c r="D11394" s="10"/>
      <c r="E11394" s="10"/>
      <c r="F11394" s="10"/>
      <c r="J11394" s="25"/>
      <c r="K11394" s="25"/>
      <c r="L11394" s="25"/>
      <c r="M11394" s="25"/>
      <c r="N11394" s="25"/>
      <c r="O11394" s="25"/>
    </row>
    <row r="11395" customFormat="false" ht="15" hidden="false" customHeight="true" outlineLevel="0" collapsed="false">
      <c r="B11395" s="10"/>
      <c r="C11395" s="10"/>
      <c r="D11395" s="34" t="str">
        <f aca="false">IF($K$11386=0,"",INDEX(Clients!$E$2:$E$501,$K$11386)&amp;"")</f>
        <v/>
      </c>
      <c r="E11395" s="34"/>
      <c r="F11395" s="34"/>
      <c r="J11395" s="25"/>
      <c r="K11395" s="25"/>
      <c r="L11395" s="25"/>
      <c r="M11395" s="25"/>
      <c r="N11395" s="25"/>
      <c r="O11395" s="25"/>
    </row>
    <row r="11396" customFormat="false" ht="15" hidden="false" customHeight="true" outlineLevel="0" collapsed="false">
      <c r="B11396" s="10"/>
      <c r="C11396" s="10"/>
      <c r="D11396" s="35" t="str">
        <f aca="false">IF(IF($K$11386=0,"",INDEX(Clients!$D$2:$D$501,$K$11386)&amp;"")="","","À l'attention de "&amp;TRIM(IF($K$11386=0,"",INDEX(Clients!$B$2:$B$501,$K$11386)&amp;"")&amp;" "&amp;IF($K$11386=0,"",INDEX(Clients!$C$2:$C$501,$K$11386)&amp;"")&amp;" "&amp;IF($K$11386=0,"",INDEX(Clients!$D$2:$D$501,$K$11386)&amp;"")))</f>
        <v/>
      </c>
      <c r="E11396" s="35"/>
      <c r="F11396" s="35"/>
      <c r="J11396" s="25"/>
      <c r="K11396" s="25"/>
      <c r="L11396" s="25"/>
      <c r="M11396" s="25"/>
      <c r="N11396" s="25"/>
      <c r="O11396" s="25"/>
    </row>
    <row r="11397" customFormat="false" ht="15" hidden="false" customHeight="true" outlineLevel="0" collapsed="false">
      <c r="B11397" s="10"/>
      <c r="C11397" s="10"/>
      <c r="D11397" s="35" t="str">
        <f aca="false">IF($K$11386=0,"",INDEX(Clients!$F$2:$F$501,$K$11386)&amp;"")</f>
        <v/>
      </c>
      <c r="E11397" s="35"/>
      <c r="F11397" s="35"/>
      <c r="J11397" s="25"/>
      <c r="K11397" s="25"/>
      <c r="L11397" s="25"/>
      <c r="M11397" s="25"/>
      <c r="N11397" s="25"/>
      <c r="O11397" s="25"/>
    </row>
    <row r="11398" customFormat="false" ht="15" hidden="false" customHeight="true" outlineLevel="0" collapsed="false">
      <c r="B11398" s="10"/>
      <c r="C11398" s="10"/>
      <c r="D11398" s="35" t="str">
        <f aca="false">IF(IF($K$11386=0,"",INDEX(Clients!$G$2:$G$501,$K$11386)&amp;"")="",TRIM(IF($K$11386=0,"",INDEX(Clients!$H$2:$H$501,$K$11386)&amp;"")&amp;" "&amp;UPPER(IF($K$11386=0,"",INDEX(Clients!$I$2:$I$501,$K$11386)&amp;""))),IF($K$11386=0,"",INDEX(Clients!$G$2:$G$501,$K$11386)&amp;""))</f>
        <v/>
      </c>
      <c r="E11398" s="35"/>
      <c r="F11398" s="35"/>
      <c r="J11398" s="25"/>
      <c r="K11398" s="25"/>
      <c r="L11398" s="25"/>
      <c r="M11398" s="25"/>
      <c r="N11398" s="25"/>
      <c r="O11398" s="25"/>
    </row>
    <row r="11399" customFormat="false" ht="15" hidden="false" customHeight="true" outlineLevel="0" collapsed="false">
      <c r="B11399" s="10"/>
      <c r="C11399" s="10"/>
      <c r="D11399" s="35" t="str">
        <f aca="false">IF(IF($K$11386=0,"",INDEX(Clients!$G$2:$G$501,$K$11386)&amp;"")="","",TRIM(IF($K$11386=0,"",INDEX(Clients!$H$2:$H$501,$K$11386)&amp;"")&amp;" "&amp;UPPER(IF($K$11386=0,"",INDEX(Clients!$I$2:$I$501,$K$11386)&amp;""))))</f>
        <v/>
      </c>
      <c r="E11399" s="35"/>
      <c r="F11399" s="35"/>
      <c r="J11399" s="25"/>
      <c r="K11399" s="25"/>
      <c r="L11399" s="25"/>
      <c r="M11399" s="25"/>
      <c r="N11399" s="25"/>
      <c r="O11399" s="25"/>
    </row>
    <row r="11400" customFormat="false" ht="25.5" hidden="false" customHeight="true" outlineLevel="0" collapsed="false">
      <c r="B11400" s="10"/>
      <c r="C11400" s="10"/>
      <c r="D11400" s="10"/>
      <c r="E11400" s="10"/>
      <c r="F11400" s="10"/>
      <c r="J11400" s="25"/>
      <c r="K11400" s="25"/>
      <c r="L11400" s="25"/>
      <c r="M11400" s="25"/>
      <c r="N11400" s="25"/>
      <c r="O11400" s="25"/>
    </row>
    <row r="11401" customFormat="false" ht="15" hidden="false" customHeight="false" outlineLevel="0" collapsed="false">
      <c r="B11401" s="10"/>
      <c r="C11401" s="10"/>
      <c r="D11401" s="36" t="str">
        <f aca="false">Cab_Ville&amp;", le "&amp;DAY(Date_Courrier)&amp;IF(DAY(Date_Courrier)=1,"er","")&amp;" "&amp;INDEX(Liste_Mois,MONTH(Date_Courrier))&amp;" "&amp;YEAR(Date_Courrier)</f>
        <v>Le Plessis-Bouchard, le 22 septembre 2026</v>
      </c>
      <c r="E11401" s="36"/>
      <c r="F11401" s="36"/>
      <c r="J11401" s="25"/>
      <c r="K11401" s="25"/>
      <c r="L11401" s="25"/>
      <c r="M11401" s="25"/>
      <c r="N11401" s="25"/>
      <c r="O11401" s="25"/>
    </row>
    <row r="11402" customFormat="false" ht="19.5" hidden="false" customHeight="true" outlineLevel="0" collapsed="false">
      <c r="B11402" s="10"/>
      <c r="C11402" s="10"/>
      <c r="D11402" s="10"/>
      <c r="E11402" s="10"/>
      <c r="F11402" s="10"/>
      <c r="J11402" s="25"/>
      <c r="K11402" s="25"/>
      <c r="L11402" s="25"/>
      <c r="M11402" s="25"/>
      <c r="N11402" s="25"/>
      <c r="O11402" s="25"/>
    </row>
    <row r="11403" customFormat="false" ht="15" hidden="false" customHeight="false" outlineLevel="0" collapsed="false">
      <c r="B11403" s="34" t="str">
        <f aca="false">SUBSTITUTE(SUBSTITUTE(SUBSTITUTE(SUBSTITUTE(SUBSTITUTE(Txt_Objet,"{cabinet}",Cab_Nom),"{societe}",IF($K$11386=0,"",INDEX(Clients!$E$2:$E$501,$K$11386)&amp;"")),"{date_effet}",$K$11388),"{hausse}",$K$11389),"{civilite}",$K$11387)</f>
        <v>Objet : révision de nos honoraires au 1er janvier 2027</v>
      </c>
      <c r="C11403" s="34"/>
      <c r="D11403" s="34"/>
      <c r="E11403" s="34"/>
      <c r="F11403" s="34"/>
      <c r="J11403" s="25"/>
      <c r="K11403" s="25"/>
      <c r="L11403" s="25"/>
      <c r="M11403" s="25"/>
      <c r="N11403" s="25"/>
      <c r="O11403" s="25"/>
    </row>
    <row r="11404" customFormat="false" ht="13.5" hidden="false" customHeight="true" outlineLevel="0" collapsed="false">
      <c r="B11404" s="10"/>
      <c r="C11404" s="10"/>
      <c r="D11404" s="10"/>
      <c r="E11404" s="10"/>
      <c r="F11404" s="10"/>
      <c r="J11404" s="25"/>
      <c r="K11404" s="25"/>
      <c r="L11404" s="25"/>
      <c r="M11404" s="25"/>
      <c r="N11404" s="25"/>
      <c r="O11404" s="25"/>
    </row>
    <row r="11405" customFormat="false" ht="15" hidden="false" customHeight="false" outlineLevel="0" collapsed="false">
      <c r="B11405" s="10" t="str">
        <f aca="false">$K$11387&amp;","</f>
        <v>Madame, Monsieur,</v>
      </c>
      <c r="C11405" s="10"/>
      <c r="D11405" s="10"/>
      <c r="E11405" s="10"/>
      <c r="F11405" s="10"/>
      <c r="J11405" s="25"/>
      <c r="K11405" s="25"/>
      <c r="L11405" s="25"/>
      <c r="M11405" s="25"/>
      <c r="N11405" s="25"/>
      <c r="O11405" s="25"/>
    </row>
    <row r="11406" customFormat="false" ht="6" hidden="false" customHeight="true" outlineLevel="0" collapsed="false">
      <c r="B11406" s="10"/>
      <c r="C11406" s="10"/>
      <c r="D11406" s="10"/>
      <c r="E11406" s="10"/>
      <c r="F11406" s="10"/>
      <c r="J11406" s="25"/>
      <c r="K11406" s="25"/>
      <c r="L11406" s="25"/>
      <c r="M11406" s="25"/>
      <c r="N11406" s="25"/>
      <c r="O11406" s="25"/>
    </row>
    <row r="11407" customFormat="false" ht="36.75" hidden="false" customHeight="true" outlineLevel="0" collapsed="false">
      <c r="B11407" s="37" t="str">
        <f aca="false">SUBSTITUTE(SUBSTITUTE(SUBSTITUTE(SUBSTITUTE(SUBSTITUTE(Txt_P1,"{cabinet}",Cab_Nom),"{societe}",IF($K$11386=0,"",INDEX(Clients!$E$2:$E$501,$K$11386)&amp;"")),"{date_effet}",$K$11388),"{hausse}",$K$11389),"{civilite}",$K$11387)</f>
        <v>Nous tenons tout d'abord à vous remercier pour la confiance que vous accordez à ALTHO EXPERTISE. Comme chaque année, et conformément aux dispositions de votre lettre de mission, nous procédons à la révision de nos honoraires.</v>
      </c>
      <c r="C11407" s="37"/>
      <c r="D11407" s="37"/>
      <c r="E11407" s="37"/>
      <c r="F11407" s="37"/>
      <c r="J11407" s="25"/>
      <c r="K11407" s="25"/>
      <c r="L11407" s="25"/>
      <c r="M11407" s="25"/>
      <c r="N11407" s="25"/>
      <c r="O11407" s="25"/>
    </row>
    <row r="11408" customFormat="false" ht="49.5" hidden="false" customHeight="true" outlineLevel="0" collapsed="false">
      <c r="B11408" s="37" t="str">
        <f aca="false">SUBSTITUTE(SUBSTITUTE(SUBSTITUTE(SUBSTITUTE(SUBSTITUTE(Txt_P2,"{cabinet}",Cab_Nom),"{societe}",IF($K$11386=0,"",INDEX(Clients!$E$2:$E$501,$K$11386)&amp;"")),"{date_effet}",$K$11388),"{hausse}",$K$11389),"{civilite}",$K$11387)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408" s="37"/>
      <c r="D11408" s="37"/>
      <c r="E11408" s="37"/>
      <c r="F11408" s="37"/>
      <c r="J11408" s="25"/>
      <c r="K11408" s="25"/>
      <c r="L11408" s="25"/>
      <c r="M11408" s="25"/>
      <c r="N11408" s="25"/>
      <c r="O11408" s="25"/>
    </row>
    <row r="11409" customFormat="false" ht="63" hidden="false" customHeight="true" outlineLevel="0" collapsed="false">
      <c r="B11409" s="37" t="str">
        <f aca="false">SUBSTITUTE(SUBSTITUTE(SUBSTITUTE(SUBSTITUTE(SUBSTITUTE(Txt_P3,"{cabinet}",Cab_Nom),"{societe}",IF($K$11386=0,"",INDEX(Clients!$E$2:$E$501,$K$11386)&amp;"")),"{date_effet}",$K$11388),"{hausse}",$K$11389),"{civilite}",$K$11387)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409" s="37"/>
      <c r="D11409" s="37"/>
      <c r="E11409" s="37"/>
      <c r="F11409" s="37"/>
      <c r="J11409" s="25"/>
      <c r="K11409" s="25"/>
      <c r="L11409" s="25"/>
      <c r="M11409" s="25"/>
      <c r="N11409" s="25"/>
      <c r="O11409" s="25"/>
    </row>
    <row r="11410" customFormat="false" ht="24" hidden="false" customHeight="true" outlineLevel="0" collapsed="false">
      <c r="B11410" s="37" t="str">
        <f aca="false">SUBSTITUTE(SUBSTITUTE(SUBSTITUTE(SUBSTITUTE(SUBSTITUTE(Txt_P4,"{cabinet}",Cab_Nom),"{societe}",IF($K$11386=0,"",INDEX(Clients!$E$2:$E$501,$K$11386)&amp;"")),"{date_effet}",$K$11388),"{hausse}",$K$11389),"{civilite}",$K$11387)</f>
        <v>À compter du 1er janvier 2027, vos honoraires annuels hors taxes évolueront ainsi (évolution globale : ) :</v>
      </c>
      <c r="C11410" s="37"/>
      <c r="D11410" s="37"/>
      <c r="E11410" s="37"/>
      <c r="F11410" s="37"/>
      <c r="J11410" s="25"/>
      <c r="K11410" s="25"/>
      <c r="L11410" s="25"/>
      <c r="M11410" s="25"/>
      <c r="N11410" s="25"/>
      <c r="O11410" s="25"/>
    </row>
    <row r="11411" customFormat="false" ht="3.75" hidden="false" customHeight="true" outlineLevel="0" collapsed="false">
      <c r="B11411" s="10"/>
      <c r="C11411" s="10"/>
      <c r="D11411" s="10"/>
      <c r="E11411" s="10"/>
      <c r="F11411" s="10"/>
      <c r="J11411" s="25"/>
      <c r="K11411" s="25"/>
      <c r="L11411" s="25"/>
      <c r="M11411" s="25"/>
      <c r="N11411" s="25"/>
      <c r="O11411" s="25"/>
    </row>
    <row r="11412" customFormat="false" ht="18" hidden="false" customHeight="true" outlineLevel="0" collapsed="false">
      <c r="B11412" s="38" t="s">
        <v>148</v>
      </c>
      <c r="C11412" s="39" t="s">
        <v>149</v>
      </c>
      <c r="D11412" s="39" t="s">
        <v>150</v>
      </c>
      <c r="E11412" s="39" t="s">
        <v>151</v>
      </c>
      <c r="F11412" s="39" t="s">
        <v>109</v>
      </c>
      <c r="J11412" s="25" t="s">
        <v>152</v>
      </c>
      <c r="K11412" s="25" t="s">
        <v>153</v>
      </c>
      <c r="L11412" s="25" t="s">
        <v>154</v>
      </c>
      <c r="M11412" s="25" t="s">
        <v>155</v>
      </c>
      <c r="N11412" s="25" t="s">
        <v>156</v>
      </c>
      <c r="O11412" s="25" t="s">
        <v>157</v>
      </c>
    </row>
    <row r="11413" customFormat="false" ht="16.5" hidden="false" customHeight="true" outlineLevel="0" collapsed="false">
      <c r="B11413" s="40" t="str">
        <f aca="false">IFERROR(INDEX($J$11413:$J$11416,MATCH($O11413,$N$11413:$N$11416,0)),"")</f>
        <v/>
      </c>
      <c r="C11413" s="41" t="str">
        <f aca="false">IFERROR(INDEX($K$11413:$K$11416,MATCH($O11413,$N$11413:$N$11416,0)),"")</f>
        <v/>
      </c>
      <c r="D11413" s="42" t="str">
        <f aca="false">IF(OR(E11413="",N(C11413)=0),"",E11413/C11413-1)</f>
        <v/>
      </c>
      <c r="E11413" s="41" t="str">
        <f aca="false">IFERROR(INDEX($L$11413:$L$11416,MATCH($O11413,$N$11413:$N$11416,0)),"")</f>
        <v/>
      </c>
      <c r="F11413" s="41" t="str">
        <f aca="false">IF(E11413="","",E11413-C11413)</f>
        <v/>
      </c>
      <c r="J11413" s="25" t="str">
        <f aca="false">Lib_Compta</f>
        <v>Mission comptable (tenue, révision, bilan, liasse fiscale)</v>
      </c>
      <c r="K11413" s="25" t="n">
        <f aca="false">IF($K$11386=0,0,N(INDEX(Clients!$K$2:$K$501,$K$11386)))</f>
        <v>0</v>
      </c>
      <c r="L11413" s="25" t="n">
        <f aca="false">IF($K$11386=0,0,N(INDEX(Clients!$P$2:$P$501,$K$11386)))</f>
        <v>0</v>
      </c>
      <c r="M11413" s="25" t="n">
        <f aca="false">IF(OR(K11413&lt;&gt;0,L11413&lt;&gt;0),1,0)</f>
        <v>0</v>
      </c>
      <c r="N11413" s="25" t="str">
        <f aca="false">IF(M11413=1,SUM($M$11413:M11413),"")</f>
        <v/>
      </c>
      <c r="O11413" s="25" t="n">
        <v>1</v>
      </c>
    </row>
    <row r="11414" customFormat="false" ht="16.5" hidden="false" customHeight="true" outlineLevel="0" collapsed="false">
      <c r="B11414" s="40" t="str">
        <f aca="false">IFERROR(INDEX($J$11413:$J$11416,MATCH($O11414,$N$11413:$N$11416,0)),"")</f>
        <v/>
      </c>
      <c r="C11414" s="41" t="str">
        <f aca="false">IFERROR(INDEX($K$11413:$K$11416,MATCH($O11414,$N$11413:$N$11416,0)),"")</f>
        <v/>
      </c>
      <c r="D11414" s="42" t="str">
        <f aca="false">IF(OR(E11414="",N(C11414)=0),"",E11414/C11414-1)</f>
        <v/>
      </c>
      <c r="E11414" s="41" t="str">
        <f aca="false">IFERROR(INDEX($L$11413:$L$11416,MATCH($O11414,$N$11413:$N$11416,0)),"")</f>
        <v/>
      </c>
      <c r="F11414" s="41" t="str">
        <f aca="false">IF(E11414="","",E11414-C11414)</f>
        <v/>
      </c>
      <c r="J11414" s="25" t="str">
        <f aca="false">Lib_Paye</f>
        <v>Mission sociale (bulletins de paie, DSN, déclarations sociales)</v>
      </c>
      <c r="K11414" s="25" t="n">
        <f aca="false">IF($K$11386=0,0,N(INDEX(Clients!$L$2:$L$501,$K$11386)))</f>
        <v>0</v>
      </c>
      <c r="L11414" s="25" t="n">
        <f aca="false">IF($K$11386=0,0,N(INDEX(Clients!$Q$2:$Q$501,$K$11386)))</f>
        <v>0</v>
      </c>
      <c r="M11414" s="25" t="n">
        <f aca="false">IF(OR(K11414&lt;&gt;0,L11414&lt;&gt;0),1,0)</f>
        <v>0</v>
      </c>
      <c r="N11414" s="25" t="str">
        <f aca="false">IF(M11414=1,SUM($M$11413:M11414),"")</f>
        <v/>
      </c>
      <c r="O11414" s="25" t="n">
        <v>2</v>
      </c>
    </row>
    <row r="11415" customFormat="false" ht="16.5" hidden="false" customHeight="true" outlineLevel="0" collapsed="false">
      <c r="B11415" s="40" t="str">
        <f aca="false">IFERROR(INDEX($J$11413:$J$11416,MATCH($O11415,$N$11413:$N$11416,0)),"")</f>
        <v/>
      </c>
      <c r="C11415" s="41" t="str">
        <f aca="false">IFERROR(INDEX($K$11413:$K$11416,MATCH($O11415,$N$11413:$N$11416,0)),"")</f>
        <v/>
      </c>
      <c r="D11415" s="42" t="str">
        <f aca="false">IF(OR(E11415="",N(C11415)=0),"",E11415/C11415-1)</f>
        <v/>
      </c>
      <c r="E11415" s="41" t="str">
        <f aca="false">IFERROR(INDEX($L$11413:$L$11416,MATCH($O11415,$N$11413:$N$11416,0)),"")</f>
        <v/>
      </c>
      <c r="F11415" s="41" t="str">
        <f aca="false">IF(E11415="","",E11415-C11415)</f>
        <v/>
      </c>
      <c r="J11415" s="25" t="str">
        <f aca="false">Lib_Jur</f>
        <v>Mission juridique (approbation des comptes, secrétariat juridique)</v>
      </c>
      <c r="K11415" s="25" t="n">
        <f aca="false">IF($K$11386=0,0,N(INDEX(Clients!$M$2:$M$501,$K$11386)))</f>
        <v>0</v>
      </c>
      <c r="L11415" s="25" t="n">
        <f aca="false">IF($K$11386=0,0,N(INDEX(Clients!$R$2:$R$501,$K$11386)))</f>
        <v>0</v>
      </c>
      <c r="M11415" s="25" t="n">
        <f aca="false">IF(OR(K11415&lt;&gt;0,L11415&lt;&gt;0),1,0)</f>
        <v>0</v>
      </c>
      <c r="N11415" s="25" t="str">
        <f aca="false">IF(M11415=1,SUM($M$11413:M11415),"")</f>
        <v/>
      </c>
      <c r="O11415" s="25" t="n">
        <v>3</v>
      </c>
    </row>
    <row r="11416" customFormat="false" ht="16.5" hidden="false" customHeight="true" outlineLevel="0" collapsed="false">
      <c r="B11416" s="40" t="str">
        <f aca="false">IFERROR(INDEX($J$11413:$J$11416,MATCH($O11416,$N$11413:$N$11416,0)),"")</f>
        <v/>
      </c>
      <c r="C11416" s="41" t="str">
        <f aca="false">IFERROR(INDEX($K$11413:$K$11416,MATCH($O11416,$N$11413:$N$11416,0)),"")</f>
        <v/>
      </c>
      <c r="D11416" s="42" t="str">
        <f aca="false">IF(OR(E11416="",N(C11416)=0),"",E11416/C11416-1)</f>
        <v/>
      </c>
      <c r="E11416" s="41" t="str">
        <f aca="false">IFERROR(INDEX($L$11413:$L$11416,MATCH($O11416,$N$11413:$N$11416,0)),"")</f>
        <v/>
      </c>
      <c r="F11416" s="41" t="str">
        <f aca="false">IF(E11416="","",E11416-C11416)</f>
        <v/>
      </c>
      <c r="J11416" s="25" t="str">
        <f aca="false">Lib_PA</f>
        <v>Plateforme agréée – facturation électronique</v>
      </c>
      <c r="K11416" s="25" t="n">
        <f aca="false">IF($K$11386=0,0,N(INDEX(Clients!$N$2:$N$501,$K$11386)))</f>
        <v>0</v>
      </c>
      <c r="L11416" s="25" t="n">
        <f aca="false">IF($K$11386=0,0,N(INDEX(Clients!$S$2:$S$501,$K$11386)))</f>
        <v>0</v>
      </c>
      <c r="M11416" s="25" t="n">
        <f aca="false">IF(OR(K11416&lt;&gt;0,L11416&lt;&gt;0),1,0)</f>
        <v>0</v>
      </c>
      <c r="N11416" s="25" t="str">
        <f aca="false">IF(M11416=1,SUM($M$11413:M11416),"")</f>
        <v/>
      </c>
      <c r="O11416" s="25" t="n">
        <v>4</v>
      </c>
    </row>
    <row r="11417" customFormat="false" ht="18" hidden="false" customHeight="true" outlineLevel="0" collapsed="false">
      <c r="B11417" s="43" t="s">
        <v>158</v>
      </c>
      <c r="C11417" s="44" t="n">
        <f aca="false">SUM(K11413:K11416)</f>
        <v>0</v>
      </c>
      <c r="D11417" s="45" t="str">
        <f aca="false">IF(N(C11417)=0,"",E11417/C11417-1)</f>
        <v/>
      </c>
      <c r="E11417" s="44" t="n">
        <f aca="false">SUM(L11413:L11416)</f>
        <v>0</v>
      </c>
      <c r="F11417" s="44" t="n">
        <f aca="false">E11417-C11417</f>
        <v>0</v>
      </c>
    </row>
    <row r="11418" customFormat="false" ht="15" hidden="false" customHeight="false" outlineLevel="0" collapsed="false">
      <c r="B11418" s="46" t="str">
        <f aca="false">IF(N(Nb_Mensualites)=0,"","Soit "&amp;FIXED(E11417/Nb_Mensualites,2)&amp;" € HT par échéance ("&amp;Nb_Mensualites&amp;" échéances), "&amp;FIXED(E11417/Nb_Mensualites*(1+Taux_TVA),2)&amp;" € TTC.")</f>
        <v>Soit 0.00 € HT par échéance (12 échéances), 0.00 € TTC.</v>
      </c>
      <c r="C11418" s="46"/>
      <c r="D11418" s="46"/>
      <c r="E11418" s="46"/>
      <c r="F11418" s="46"/>
    </row>
    <row r="11419" customFormat="false" ht="7.5" hidden="false" customHeight="true" outlineLevel="0" collapsed="false">
      <c r="B11419" s="10"/>
      <c r="C11419" s="10"/>
      <c r="D11419" s="10"/>
      <c r="E11419" s="10"/>
      <c r="F11419" s="10"/>
    </row>
    <row r="11420" customFormat="false" ht="36.75" hidden="false" customHeight="true" outlineLevel="0" collapsed="false">
      <c r="B11420" s="37" t="str">
        <f aca="false">SUBSTITUTE(SUBSTITUTE(SUBSTITUTE(SUBSTITUTE(SUBSTITUTE(Txt_P5,"{cabinet}",Cab_Nom),"{societe}",IF($K$11386=0,"",INDEX(Clients!$E$2:$E$501,$K$11386)&amp;"")),"{date_effet}",$K$11388),"{hausse}",$K$11389),"{civilite}",$K$11387)</f>
        <v>Les autres conditions de votre lettre de mission demeurent inchangées. Les nouveaux montants seront appliqués automatiquement sur vos prochaines factures et échéances de prélèvement.</v>
      </c>
      <c r="C11420" s="37"/>
      <c r="D11420" s="37"/>
      <c r="E11420" s="37"/>
      <c r="F11420" s="37"/>
    </row>
    <row r="11421" customFormat="false" ht="36.75" hidden="false" customHeight="true" outlineLevel="0" collapsed="false">
      <c r="B11421" s="37" t="str">
        <f aca="false">SUBSTITUTE(SUBSTITUTE(SUBSTITUTE(SUBSTITUTE(SUBSTITUTE(Txt_P6,"{cabinet}",Cab_Nom),"{societe}",IF($K$11386=0,"",INDEX(Clients!$E$2:$E$501,$K$11386)&amp;"")),"{date_effet}",$K$11388),"{hausse}",$K$11389),"{civilite}",$K$11387)</f>
        <v>Votre interlocuteur habituel reste à votre entière disposition pour répondre à vos questions et faire le point sur l'évolution de vos besoins.</v>
      </c>
      <c r="C11421" s="37"/>
      <c r="D11421" s="37"/>
      <c r="E11421" s="37"/>
      <c r="F11421" s="37"/>
    </row>
    <row r="11422" customFormat="false" ht="24" hidden="false" customHeight="true" outlineLevel="0" collapsed="false">
      <c r="B11422" s="37" t="str">
        <f aca="false">SUBSTITUTE(SUBSTITUTE(SUBSTITUTE(SUBSTITUTE(SUBSTITUTE(Txt_Politesse,"{cabinet}",Cab_Nom),"{societe}",IF($K$11386=0,"",INDEX(Clients!$E$2:$E$501,$K$11386)&amp;"")),"{date_effet}",$K$11388),"{hausse}",$K$11389),"{civilite}",$K$11387)</f>
        <v>Nous vous prions d'agréer, Madame, Monsieur, l'expression de nos salutations distinguées.</v>
      </c>
      <c r="C11422" s="37"/>
      <c r="D11422" s="37"/>
      <c r="E11422" s="37"/>
      <c r="F11422" s="37"/>
    </row>
    <row r="11423" customFormat="false" ht="15" hidden="false" customHeight="false" outlineLevel="0" collapsed="false">
      <c r="B11423" s="10"/>
      <c r="C11423" s="10"/>
      <c r="D11423" s="10"/>
      <c r="E11423" s="10"/>
      <c r="F11423" s="10"/>
    </row>
    <row r="11424" customFormat="false" ht="15" hidden="false" customHeight="false" outlineLevel="0" collapsed="false">
      <c r="B11424" s="10"/>
      <c r="C11424" s="10"/>
      <c r="D11424" s="34" t="str">
        <f aca="false">Signataire</f>
        <v>Prénom NOM</v>
      </c>
      <c r="E11424" s="34"/>
      <c r="F11424" s="34"/>
    </row>
    <row r="11425" customFormat="false" ht="15" hidden="false" customHeight="false" outlineLevel="0" collapsed="false">
      <c r="B11425" s="10"/>
      <c r="C11425" s="10"/>
      <c r="D11425" s="47" t="str">
        <f aca="false">Signataire_Titre</f>
        <v>Expert-comptable associé</v>
      </c>
      <c r="E11425" s="47"/>
      <c r="F11425" s="47"/>
    </row>
    <row r="11426" customFormat="false" ht="15.75" hidden="false" customHeight="true" outlineLevel="0" collapsed="false">
      <c r="B11426" s="10"/>
      <c r="C11426" s="10"/>
      <c r="D11426" s="10"/>
      <c r="E11426" s="10"/>
      <c r="F11426" s="10"/>
    </row>
    <row r="11427" customFormat="false" ht="15.75" hidden="false" customHeight="true" outlineLevel="0" collapsed="false">
      <c r="B11427" s="10"/>
      <c r="C11427" s="10"/>
      <c r="D11427" s="10"/>
      <c r="E11427" s="10"/>
      <c r="F11427" s="10"/>
    </row>
    <row r="11428" customFormat="false" ht="15.75" hidden="false" customHeight="true" outlineLevel="0" collapsed="false">
      <c r="B11428" s="10"/>
      <c r="C11428" s="10"/>
      <c r="D11428" s="10"/>
      <c r="E11428" s="10"/>
      <c r="F11428" s="10"/>
    </row>
    <row r="11429" customFormat="false" ht="15.75" hidden="false" customHeight="true" outlineLevel="0" collapsed="false">
      <c r="B11429" s="10"/>
      <c r="C11429" s="10"/>
      <c r="D11429" s="10"/>
      <c r="E11429" s="10"/>
      <c r="F11429" s="10"/>
    </row>
    <row r="11430" customFormat="false" ht="24" hidden="false" customHeight="true" outlineLevel="0" collapsed="false">
      <c r="B11430" s="48" t="str">
        <f aca="false">Cab_Mentions</f>
        <v>ALTHO EXPERTISE · SAS au capital de 10 000 € · RCS Pontoise 919 706 325 · TVA FR62919706325 · Société d'expertise comptable inscrite au Tableau de l'Ordre des experts-comptables de Paris Île-de-France</v>
      </c>
      <c r="C11430" s="48"/>
      <c r="D11430" s="48"/>
      <c r="E11430" s="48"/>
      <c r="F11430" s="48"/>
    </row>
    <row r="11431" customFormat="false" ht="15" hidden="false" customHeight="false" outlineLevel="0" collapsed="false">
      <c r="B11431" s="10"/>
      <c r="C11431" s="10"/>
      <c r="D11431" s="10"/>
      <c r="E11431" s="10"/>
      <c r="F11431" s="10"/>
      <c r="J11431" s="25" t="s">
        <v>142</v>
      </c>
      <c r="K11431" s="25" t="n">
        <f aca="false">IFERROR(MATCH(255,Clients!$Z$2:$Z$501,0),0)</f>
        <v>0</v>
      </c>
      <c r="L11431" s="25"/>
      <c r="M11431" s="25"/>
      <c r="N11431" s="25"/>
      <c r="O11431" s="25"/>
    </row>
    <row r="11432" customFormat="false" ht="21.75" hidden="false" customHeight="true" outlineLevel="0" collapsed="false">
      <c r="B11432" s="26" t="str">
        <f aca="false">Cab_Nom</f>
        <v>ALTHO EXPERTISE</v>
      </c>
      <c r="C11432" s="26"/>
      <c r="D11432" s="10"/>
      <c r="E11432" s="27" t="str">
        <f aca="false">IF($K$11431=0,"","Réf. client : "&amp;INDEX(Clients!$A$2:$A$501,$K$11431))</f>
        <v/>
      </c>
      <c r="F11432" s="27"/>
      <c r="J11432" s="25" t="s">
        <v>144</v>
      </c>
      <c r="K11432" s="25" t="str">
        <f aca="false">IF(IF($K$11431=0,"",INDEX(Clients!$B$2:$B$501,$K$11431)&amp;"")="Mme","Madame",IF(IF($K$11431=0,"",INDEX(Clients!$B$2:$B$501,$K$11431)&amp;"")="M.","Monsieur","Madame, Monsieur"))</f>
        <v>Madame, Monsieur</v>
      </c>
      <c r="L11432" s="25"/>
      <c r="M11432" s="25"/>
      <c r="N11432" s="25"/>
      <c r="O11432" s="25"/>
    </row>
    <row r="11433" customFormat="false" ht="15" hidden="false" customHeight="false" outlineLevel="0" collapsed="false">
      <c r="B11433" s="29" t="str">
        <f aca="false">Cab_Adr1</f>
        <v>141 rue Charles de Gaulle</v>
      </c>
      <c r="C11433" s="29"/>
      <c r="D11433" s="10"/>
      <c r="E11433" s="10"/>
      <c r="F11433" s="10"/>
      <c r="J11433" s="25" t="s">
        <v>145</v>
      </c>
      <c r="K11433" s="25" t="str">
        <f aca="false">DAY(Date_Effet)&amp;IF(DAY(Date_Effet)=1,"er","")&amp;" "&amp;INDEX(Liste_Mois,MONTH(Date_Effet))&amp;" "&amp;YEAR(Date_Effet)</f>
        <v>1er janvier 2027</v>
      </c>
      <c r="L11433" s="25"/>
      <c r="M11433" s="25"/>
      <c r="N11433" s="25"/>
      <c r="O11433" s="25"/>
    </row>
    <row r="11434" customFormat="false" ht="15" hidden="false" customHeight="false" outlineLevel="0" collapsed="false">
      <c r="B11434" s="29" t="str">
        <f aca="false">Cab_CPVille</f>
        <v>95130 LE PLESSIS-BOUCHARD</v>
      </c>
      <c r="C11434" s="29"/>
      <c r="D11434" s="10"/>
      <c r="E11434" s="10"/>
      <c r="F11434" s="10"/>
      <c r="J11434" s="25" t="s">
        <v>146</v>
      </c>
      <c r="K11434" s="25" t="str">
        <f aca="false">IF(SUM($K$11458:$K$11461)=0,"",FIXED((SUM($L$11458:$L$11461)/SUM($K$11458:$K$11461)-1)*100,1)&amp;" %")</f>
        <v/>
      </c>
      <c r="L11434" s="25"/>
      <c r="M11434" s="25"/>
      <c r="N11434" s="25"/>
      <c r="O11434" s="25"/>
    </row>
    <row r="11435" customFormat="false" ht="15" hidden="false" customHeight="false" outlineLevel="0" collapsed="false">
      <c r="B11435" s="29" t="str">
        <f aca="false">Cab_Contact</f>
        <v>Tél. 01 34 14 53 45  ·  altho@altho-experts.com  ·  altho-experts.com</v>
      </c>
      <c r="C11435" s="29"/>
      <c r="D11435" s="10"/>
      <c r="E11435" s="10"/>
      <c r="F11435" s="10"/>
      <c r="J11435" s="25"/>
      <c r="K11435" s="25"/>
      <c r="L11435" s="25"/>
      <c r="M11435" s="25"/>
      <c r="N11435" s="25"/>
      <c r="O11435" s="25"/>
    </row>
    <row r="11436" customFormat="false" ht="6" hidden="false" customHeight="true" outlineLevel="0" collapsed="false">
      <c r="B11436" s="32"/>
      <c r="C11436" s="32"/>
      <c r="D11436" s="32"/>
      <c r="E11436" s="32"/>
      <c r="F11436" s="32"/>
      <c r="J11436" s="25"/>
      <c r="K11436" s="25"/>
      <c r="L11436" s="25"/>
      <c r="M11436" s="25"/>
      <c r="N11436" s="25"/>
      <c r="O11436" s="25"/>
    </row>
    <row r="11437" customFormat="false" ht="13.5" hidden="false" customHeight="true" outlineLevel="0" collapsed="false">
      <c r="B11437" s="10"/>
      <c r="C11437" s="10"/>
      <c r="D11437" s="10"/>
      <c r="E11437" s="10"/>
      <c r="F11437" s="10"/>
      <c r="J11437" s="25"/>
      <c r="K11437" s="25"/>
      <c r="L11437" s="25"/>
      <c r="M11437" s="25"/>
      <c r="N11437" s="25"/>
      <c r="O11437" s="25"/>
    </row>
    <row r="11438" customFormat="false" ht="13.5" hidden="false" customHeight="true" outlineLevel="0" collapsed="false">
      <c r="B11438" s="10"/>
      <c r="C11438" s="10"/>
      <c r="D11438" s="10"/>
      <c r="E11438" s="10"/>
      <c r="F11438" s="10"/>
      <c r="J11438" s="25"/>
      <c r="K11438" s="25"/>
      <c r="L11438" s="25"/>
      <c r="M11438" s="25"/>
      <c r="N11438" s="25"/>
      <c r="O11438" s="25"/>
    </row>
    <row r="11439" customFormat="false" ht="13.5" hidden="false" customHeight="true" outlineLevel="0" collapsed="false">
      <c r="B11439" s="10"/>
      <c r="C11439" s="10"/>
      <c r="D11439" s="10"/>
      <c r="E11439" s="10"/>
      <c r="F11439" s="10"/>
      <c r="J11439" s="25"/>
      <c r="K11439" s="25"/>
      <c r="L11439" s="25"/>
      <c r="M11439" s="25"/>
      <c r="N11439" s="25"/>
      <c r="O11439" s="25"/>
    </row>
    <row r="11440" customFormat="false" ht="15" hidden="false" customHeight="true" outlineLevel="0" collapsed="false">
      <c r="B11440" s="10"/>
      <c r="C11440" s="10"/>
      <c r="D11440" s="34" t="str">
        <f aca="false">IF($K$11431=0,"",INDEX(Clients!$E$2:$E$501,$K$11431)&amp;"")</f>
        <v/>
      </c>
      <c r="E11440" s="34"/>
      <c r="F11440" s="34"/>
      <c r="J11440" s="25"/>
      <c r="K11440" s="25"/>
      <c r="L11440" s="25"/>
      <c r="M11440" s="25"/>
      <c r="N11440" s="25"/>
      <c r="O11440" s="25"/>
    </row>
    <row r="11441" customFormat="false" ht="15" hidden="false" customHeight="true" outlineLevel="0" collapsed="false">
      <c r="B11441" s="10"/>
      <c r="C11441" s="10"/>
      <c r="D11441" s="35" t="str">
        <f aca="false">IF(IF($K$11431=0,"",INDEX(Clients!$D$2:$D$501,$K$11431)&amp;"")="","","À l'attention de "&amp;TRIM(IF($K$11431=0,"",INDEX(Clients!$B$2:$B$501,$K$11431)&amp;"")&amp;" "&amp;IF($K$11431=0,"",INDEX(Clients!$C$2:$C$501,$K$11431)&amp;"")&amp;" "&amp;IF($K$11431=0,"",INDEX(Clients!$D$2:$D$501,$K$11431)&amp;"")))</f>
        <v/>
      </c>
      <c r="E11441" s="35"/>
      <c r="F11441" s="35"/>
      <c r="J11441" s="25"/>
      <c r="K11441" s="25"/>
      <c r="L11441" s="25"/>
      <c r="M11441" s="25"/>
      <c r="N11441" s="25"/>
      <c r="O11441" s="25"/>
    </row>
    <row r="11442" customFormat="false" ht="15" hidden="false" customHeight="true" outlineLevel="0" collapsed="false">
      <c r="B11442" s="10"/>
      <c r="C11442" s="10"/>
      <c r="D11442" s="35" t="str">
        <f aca="false">IF($K$11431=0,"",INDEX(Clients!$F$2:$F$501,$K$11431)&amp;"")</f>
        <v/>
      </c>
      <c r="E11442" s="35"/>
      <c r="F11442" s="35"/>
      <c r="J11442" s="25"/>
      <c r="K11442" s="25"/>
      <c r="L11442" s="25"/>
      <c r="M11442" s="25"/>
      <c r="N11442" s="25"/>
      <c r="O11442" s="25"/>
    </row>
    <row r="11443" customFormat="false" ht="15" hidden="false" customHeight="true" outlineLevel="0" collapsed="false">
      <c r="B11443" s="10"/>
      <c r="C11443" s="10"/>
      <c r="D11443" s="35" t="str">
        <f aca="false">IF(IF($K$11431=0,"",INDEX(Clients!$G$2:$G$501,$K$11431)&amp;"")="",TRIM(IF($K$11431=0,"",INDEX(Clients!$H$2:$H$501,$K$11431)&amp;"")&amp;" "&amp;UPPER(IF($K$11431=0,"",INDEX(Clients!$I$2:$I$501,$K$11431)&amp;""))),IF($K$11431=0,"",INDEX(Clients!$G$2:$G$501,$K$11431)&amp;""))</f>
        <v/>
      </c>
      <c r="E11443" s="35"/>
      <c r="F11443" s="35"/>
      <c r="J11443" s="25"/>
      <c r="K11443" s="25"/>
      <c r="L11443" s="25"/>
      <c r="M11443" s="25"/>
      <c r="N11443" s="25"/>
      <c r="O11443" s="25"/>
    </row>
    <row r="11444" customFormat="false" ht="15" hidden="false" customHeight="true" outlineLevel="0" collapsed="false">
      <c r="B11444" s="10"/>
      <c r="C11444" s="10"/>
      <c r="D11444" s="35" t="str">
        <f aca="false">IF(IF($K$11431=0,"",INDEX(Clients!$G$2:$G$501,$K$11431)&amp;"")="","",TRIM(IF($K$11431=0,"",INDEX(Clients!$H$2:$H$501,$K$11431)&amp;"")&amp;" "&amp;UPPER(IF($K$11431=0,"",INDEX(Clients!$I$2:$I$501,$K$11431)&amp;""))))</f>
        <v/>
      </c>
      <c r="E11444" s="35"/>
      <c r="F11444" s="35"/>
      <c r="J11444" s="25"/>
      <c r="K11444" s="25"/>
      <c r="L11444" s="25"/>
      <c r="M11444" s="25"/>
      <c r="N11444" s="25"/>
      <c r="O11444" s="25"/>
    </row>
    <row r="11445" customFormat="false" ht="25.5" hidden="false" customHeight="true" outlineLevel="0" collapsed="false">
      <c r="B11445" s="10"/>
      <c r="C11445" s="10"/>
      <c r="D11445" s="10"/>
      <c r="E11445" s="10"/>
      <c r="F11445" s="10"/>
      <c r="J11445" s="25"/>
      <c r="K11445" s="25"/>
      <c r="L11445" s="25"/>
      <c r="M11445" s="25"/>
      <c r="N11445" s="25"/>
      <c r="O11445" s="25"/>
    </row>
    <row r="11446" customFormat="false" ht="15" hidden="false" customHeight="false" outlineLevel="0" collapsed="false">
      <c r="B11446" s="10"/>
      <c r="C11446" s="10"/>
      <c r="D11446" s="36" t="str">
        <f aca="false">Cab_Ville&amp;", le "&amp;DAY(Date_Courrier)&amp;IF(DAY(Date_Courrier)=1,"er","")&amp;" "&amp;INDEX(Liste_Mois,MONTH(Date_Courrier))&amp;" "&amp;YEAR(Date_Courrier)</f>
        <v>Le Plessis-Bouchard, le 22 septembre 2026</v>
      </c>
      <c r="E11446" s="36"/>
      <c r="F11446" s="36"/>
      <c r="J11446" s="25"/>
      <c r="K11446" s="25"/>
      <c r="L11446" s="25"/>
      <c r="M11446" s="25"/>
      <c r="N11446" s="25"/>
      <c r="O11446" s="25"/>
    </row>
    <row r="11447" customFormat="false" ht="19.5" hidden="false" customHeight="true" outlineLevel="0" collapsed="false">
      <c r="B11447" s="10"/>
      <c r="C11447" s="10"/>
      <c r="D11447" s="10"/>
      <c r="E11447" s="10"/>
      <c r="F11447" s="10"/>
      <c r="J11447" s="25"/>
      <c r="K11447" s="25"/>
      <c r="L11447" s="25"/>
      <c r="M11447" s="25"/>
      <c r="N11447" s="25"/>
      <c r="O11447" s="25"/>
    </row>
    <row r="11448" customFormat="false" ht="15" hidden="false" customHeight="false" outlineLevel="0" collapsed="false">
      <c r="B11448" s="34" t="str">
        <f aca="false">SUBSTITUTE(SUBSTITUTE(SUBSTITUTE(SUBSTITUTE(SUBSTITUTE(Txt_Objet,"{cabinet}",Cab_Nom),"{societe}",IF($K$11431=0,"",INDEX(Clients!$E$2:$E$501,$K$11431)&amp;"")),"{date_effet}",$K$11433),"{hausse}",$K$11434),"{civilite}",$K$11432)</f>
        <v>Objet : révision de nos honoraires au 1er janvier 2027</v>
      </c>
      <c r="C11448" s="34"/>
      <c r="D11448" s="34"/>
      <c r="E11448" s="34"/>
      <c r="F11448" s="34"/>
      <c r="J11448" s="25"/>
      <c r="K11448" s="25"/>
      <c r="L11448" s="25"/>
      <c r="M11448" s="25"/>
      <c r="N11448" s="25"/>
      <c r="O11448" s="25"/>
    </row>
    <row r="11449" customFormat="false" ht="13.5" hidden="false" customHeight="true" outlineLevel="0" collapsed="false">
      <c r="B11449" s="10"/>
      <c r="C11449" s="10"/>
      <c r="D11449" s="10"/>
      <c r="E11449" s="10"/>
      <c r="F11449" s="10"/>
      <c r="J11449" s="25"/>
      <c r="K11449" s="25"/>
      <c r="L11449" s="25"/>
      <c r="M11449" s="25"/>
      <c r="N11449" s="25"/>
      <c r="O11449" s="25"/>
    </row>
    <row r="11450" customFormat="false" ht="15" hidden="false" customHeight="false" outlineLevel="0" collapsed="false">
      <c r="B11450" s="10" t="str">
        <f aca="false">$K$11432&amp;","</f>
        <v>Madame, Monsieur,</v>
      </c>
      <c r="C11450" s="10"/>
      <c r="D11450" s="10"/>
      <c r="E11450" s="10"/>
      <c r="F11450" s="10"/>
      <c r="J11450" s="25"/>
      <c r="K11450" s="25"/>
      <c r="L11450" s="25"/>
      <c r="M11450" s="25"/>
      <c r="N11450" s="25"/>
      <c r="O11450" s="25"/>
    </row>
    <row r="11451" customFormat="false" ht="6" hidden="false" customHeight="true" outlineLevel="0" collapsed="false">
      <c r="B11451" s="10"/>
      <c r="C11451" s="10"/>
      <c r="D11451" s="10"/>
      <c r="E11451" s="10"/>
      <c r="F11451" s="10"/>
      <c r="J11451" s="25"/>
      <c r="K11451" s="25"/>
      <c r="L11451" s="25"/>
      <c r="M11451" s="25"/>
      <c r="N11451" s="25"/>
      <c r="O11451" s="25"/>
    </row>
    <row r="11452" customFormat="false" ht="36.75" hidden="false" customHeight="true" outlineLevel="0" collapsed="false">
      <c r="B11452" s="37" t="str">
        <f aca="false">SUBSTITUTE(SUBSTITUTE(SUBSTITUTE(SUBSTITUTE(SUBSTITUTE(Txt_P1,"{cabinet}",Cab_Nom),"{societe}",IF($K$11431=0,"",INDEX(Clients!$E$2:$E$501,$K$11431)&amp;"")),"{date_effet}",$K$11433),"{hausse}",$K$11434),"{civilite}",$K$11432)</f>
        <v>Nous tenons tout d'abord à vous remercier pour la confiance que vous accordez à ALTHO EXPERTISE. Comme chaque année, et conformément aux dispositions de votre lettre de mission, nous procédons à la révision de nos honoraires.</v>
      </c>
      <c r="C11452" s="37"/>
      <c r="D11452" s="37"/>
      <c r="E11452" s="37"/>
      <c r="F11452" s="37"/>
      <c r="J11452" s="25"/>
      <c r="K11452" s="25"/>
      <c r="L11452" s="25"/>
      <c r="M11452" s="25"/>
      <c r="N11452" s="25"/>
      <c r="O11452" s="25"/>
    </row>
    <row r="11453" customFormat="false" ht="49.5" hidden="false" customHeight="true" outlineLevel="0" collapsed="false">
      <c r="B11453" s="37" t="str">
        <f aca="false">SUBSTITUTE(SUBSTITUTE(SUBSTITUTE(SUBSTITUTE(SUBSTITUTE(Txt_P2,"{cabinet}",Cab_Nom),"{societe}",IF($K$11431=0,"",INDEX(Clients!$E$2:$E$501,$K$11431)&amp;"")),"{date_effet}",$K$11433),"{hausse}",$K$11434),"{civilite}",$K$11432)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453" s="37"/>
      <c r="D11453" s="37"/>
      <c r="E11453" s="37"/>
      <c r="F11453" s="37"/>
      <c r="J11453" s="25"/>
      <c r="K11453" s="25"/>
      <c r="L11453" s="25"/>
      <c r="M11453" s="25"/>
      <c r="N11453" s="25"/>
      <c r="O11453" s="25"/>
    </row>
    <row r="11454" customFormat="false" ht="63" hidden="false" customHeight="true" outlineLevel="0" collapsed="false">
      <c r="B11454" s="37" t="str">
        <f aca="false">SUBSTITUTE(SUBSTITUTE(SUBSTITUTE(SUBSTITUTE(SUBSTITUTE(Txt_P3,"{cabinet}",Cab_Nom),"{societe}",IF($K$11431=0,"",INDEX(Clients!$E$2:$E$501,$K$11431)&amp;"")),"{date_effet}",$K$11433),"{hausse}",$K$11434),"{civilite}",$K$11432)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454" s="37"/>
      <c r="D11454" s="37"/>
      <c r="E11454" s="37"/>
      <c r="F11454" s="37"/>
      <c r="J11454" s="25"/>
      <c r="K11454" s="25"/>
      <c r="L11454" s="25"/>
      <c r="M11454" s="25"/>
      <c r="N11454" s="25"/>
      <c r="O11454" s="25"/>
    </row>
    <row r="11455" customFormat="false" ht="24" hidden="false" customHeight="true" outlineLevel="0" collapsed="false">
      <c r="B11455" s="37" t="str">
        <f aca="false">SUBSTITUTE(SUBSTITUTE(SUBSTITUTE(SUBSTITUTE(SUBSTITUTE(Txt_P4,"{cabinet}",Cab_Nom),"{societe}",IF($K$11431=0,"",INDEX(Clients!$E$2:$E$501,$K$11431)&amp;"")),"{date_effet}",$K$11433),"{hausse}",$K$11434),"{civilite}",$K$11432)</f>
        <v>À compter du 1er janvier 2027, vos honoraires annuels hors taxes évolueront ainsi (évolution globale : ) :</v>
      </c>
      <c r="C11455" s="37"/>
      <c r="D11455" s="37"/>
      <c r="E11455" s="37"/>
      <c r="F11455" s="37"/>
      <c r="J11455" s="25"/>
      <c r="K11455" s="25"/>
      <c r="L11455" s="25"/>
      <c r="M11455" s="25"/>
      <c r="N11455" s="25"/>
      <c r="O11455" s="25"/>
    </row>
    <row r="11456" customFormat="false" ht="3.75" hidden="false" customHeight="true" outlineLevel="0" collapsed="false">
      <c r="B11456" s="10"/>
      <c r="C11456" s="10"/>
      <c r="D11456" s="10"/>
      <c r="E11456" s="10"/>
      <c r="F11456" s="10"/>
      <c r="J11456" s="25"/>
      <c r="K11456" s="25"/>
      <c r="L11456" s="25"/>
      <c r="M11456" s="25"/>
      <c r="N11456" s="25"/>
      <c r="O11456" s="25"/>
    </row>
    <row r="11457" customFormat="false" ht="18" hidden="false" customHeight="true" outlineLevel="0" collapsed="false">
      <c r="B11457" s="38" t="s">
        <v>148</v>
      </c>
      <c r="C11457" s="39" t="s">
        <v>149</v>
      </c>
      <c r="D11457" s="39" t="s">
        <v>150</v>
      </c>
      <c r="E11457" s="39" t="s">
        <v>151</v>
      </c>
      <c r="F11457" s="39" t="s">
        <v>109</v>
      </c>
      <c r="J11457" s="25" t="s">
        <v>152</v>
      </c>
      <c r="K11457" s="25" t="s">
        <v>153</v>
      </c>
      <c r="L11457" s="25" t="s">
        <v>154</v>
      </c>
      <c r="M11457" s="25" t="s">
        <v>155</v>
      </c>
      <c r="N11457" s="25" t="s">
        <v>156</v>
      </c>
      <c r="O11457" s="25" t="s">
        <v>157</v>
      </c>
    </row>
    <row r="11458" customFormat="false" ht="16.5" hidden="false" customHeight="true" outlineLevel="0" collapsed="false">
      <c r="B11458" s="40" t="str">
        <f aca="false">IFERROR(INDEX($J$11458:$J$11461,MATCH($O11458,$N$11458:$N$11461,0)),"")</f>
        <v/>
      </c>
      <c r="C11458" s="41" t="str">
        <f aca="false">IFERROR(INDEX($K$11458:$K$11461,MATCH($O11458,$N$11458:$N$11461,0)),"")</f>
        <v/>
      </c>
      <c r="D11458" s="42" t="str">
        <f aca="false">IF(OR(E11458="",N(C11458)=0),"",E11458/C11458-1)</f>
        <v/>
      </c>
      <c r="E11458" s="41" t="str">
        <f aca="false">IFERROR(INDEX($L$11458:$L$11461,MATCH($O11458,$N$11458:$N$11461,0)),"")</f>
        <v/>
      </c>
      <c r="F11458" s="41" t="str">
        <f aca="false">IF(E11458="","",E11458-C11458)</f>
        <v/>
      </c>
      <c r="J11458" s="25" t="str">
        <f aca="false">Lib_Compta</f>
        <v>Mission comptable (tenue, révision, bilan, liasse fiscale)</v>
      </c>
      <c r="K11458" s="25" t="n">
        <f aca="false">IF($K$11431=0,0,N(INDEX(Clients!$K$2:$K$501,$K$11431)))</f>
        <v>0</v>
      </c>
      <c r="L11458" s="25" t="n">
        <f aca="false">IF($K$11431=0,0,N(INDEX(Clients!$P$2:$P$501,$K$11431)))</f>
        <v>0</v>
      </c>
      <c r="M11458" s="25" t="n">
        <f aca="false">IF(OR(K11458&lt;&gt;0,L11458&lt;&gt;0),1,0)</f>
        <v>0</v>
      </c>
      <c r="N11458" s="25" t="str">
        <f aca="false">IF(M11458=1,SUM($M$11458:M11458),"")</f>
        <v/>
      </c>
      <c r="O11458" s="25" t="n">
        <v>1</v>
      </c>
    </row>
    <row r="11459" customFormat="false" ht="16.5" hidden="false" customHeight="true" outlineLevel="0" collapsed="false">
      <c r="B11459" s="40" t="str">
        <f aca="false">IFERROR(INDEX($J$11458:$J$11461,MATCH($O11459,$N$11458:$N$11461,0)),"")</f>
        <v/>
      </c>
      <c r="C11459" s="41" t="str">
        <f aca="false">IFERROR(INDEX($K$11458:$K$11461,MATCH($O11459,$N$11458:$N$11461,0)),"")</f>
        <v/>
      </c>
      <c r="D11459" s="42" t="str">
        <f aca="false">IF(OR(E11459="",N(C11459)=0),"",E11459/C11459-1)</f>
        <v/>
      </c>
      <c r="E11459" s="41" t="str">
        <f aca="false">IFERROR(INDEX($L$11458:$L$11461,MATCH($O11459,$N$11458:$N$11461,0)),"")</f>
        <v/>
      </c>
      <c r="F11459" s="41" t="str">
        <f aca="false">IF(E11459="","",E11459-C11459)</f>
        <v/>
      </c>
      <c r="J11459" s="25" t="str">
        <f aca="false">Lib_Paye</f>
        <v>Mission sociale (bulletins de paie, DSN, déclarations sociales)</v>
      </c>
      <c r="K11459" s="25" t="n">
        <f aca="false">IF($K$11431=0,0,N(INDEX(Clients!$L$2:$L$501,$K$11431)))</f>
        <v>0</v>
      </c>
      <c r="L11459" s="25" t="n">
        <f aca="false">IF($K$11431=0,0,N(INDEX(Clients!$Q$2:$Q$501,$K$11431)))</f>
        <v>0</v>
      </c>
      <c r="M11459" s="25" t="n">
        <f aca="false">IF(OR(K11459&lt;&gt;0,L11459&lt;&gt;0),1,0)</f>
        <v>0</v>
      </c>
      <c r="N11459" s="25" t="str">
        <f aca="false">IF(M11459=1,SUM($M$11458:M11459),"")</f>
        <v/>
      </c>
      <c r="O11459" s="25" t="n">
        <v>2</v>
      </c>
    </row>
    <row r="11460" customFormat="false" ht="16.5" hidden="false" customHeight="true" outlineLevel="0" collapsed="false">
      <c r="B11460" s="40" t="str">
        <f aca="false">IFERROR(INDEX($J$11458:$J$11461,MATCH($O11460,$N$11458:$N$11461,0)),"")</f>
        <v/>
      </c>
      <c r="C11460" s="41" t="str">
        <f aca="false">IFERROR(INDEX($K$11458:$K$11461,MATCH($O11460,$N$11458:$N$11461,0)),"")</f>
        <v/>
      </c>
      <c r="D11460" s="42" t="str">
        <f aca="false">IF(OR(E11460="",N(C11460)=0),"",E11460/C11460-1)</f>
        <v/>
      </c>
      <c r="E11460" s="41" t="str">
        <f aca="false">IFERROR(INDEX($L$11458:$L$11461,MATCH($O11460,$N$11458:$N$11461,0)),"")</f>
        <v/>
      </c>
      <c r="F11460" s="41" t="str">
        <f aca="false">IF(E11460="","",E11460-C11460)</f>
        <v/>
      </c>
      <c r="J11460" s="25" t="str">
        <f aca="false">Lib_Jur</f>
        <v>Mission juridique (approbation des comptes, secrétariat juridique)</v>
      </c>
      <c r="K11460" s="25" t="n">
        <f aca="false">IF($K$11431=0,0,N(INDEX(Clients!$M$2:$M$501,$K$11431)))</f>
        <v>0</v>
      </c>
      <c r="L11460" s="25" t="n">
        <f aca="false">IF($K$11431=0,0,N(INDEX(Clients!$R$2:$R$501,$K$11431)))</f>
        <v>0</v>
      </c>
      <c r="M11460" s="25" t="n">
        <f aca="false">IF(OR(K11460&lt;&gt;0,L11460&lt;&gt;0),1,0)</f>
        <v>0</v>
      </c>
      <c r="N11460" s="25" t="str">
        <f aca="false">IF(M11460=1,SUM($M$11458:M11460),"")</f>
        <v/>
      </c>
      <c r="O11460" s="25" t="n">
        <v>3</v>
      </c>
    </row>
    <row r="11461" customFormat="false" ht="16.5" hidden="false" customHeight="true" outlineLevel="0" collapsed="false">
      <c r="B11461" s="40" t="str">
        <f aca="false">IFERROR(INDEX($J$11458:$J$11461,MATCH($O11461,$N$11458:$N$11461,0)),"")</f>
        <v/>
      </c>
      <c r="C11461" s="41" t="str">
        <f aca="false">IFERROR(INDEX($K$11458:$K$11461,MATCH($O11461,$N$11458:$N$11461,0)),"")</f>
        <v/>
      </c>
      <c r="D11461" s="42" t="str">
        <f aca="false">IF(OR(E11461="",N(C11461)=0),"",E11461/C11461-1)</f>
        <v/>
      </c>
      <c r="E11461" s="41" t="str">
        <f aca="false">IFERROR(INDEX($L$11458:$L$11461,MATCH($O11461,$N$11458:$N$11461,0)),"")</f>
        <v/>
      </c>
      <c r="F11461" s="41" t="str">
        <f aca="false">IF(E11461="","",E11461-C11461)</f>
        <v/>
      </c>
      <c r="J11461" s="25" t="str">
        <f aca="false">Lib_PA</f>
        <v>Plateforme agréée – facturation électronique</v>
      </c>
      <c r="K11461" s="25" t="n">
        <f aca="false">IF($K$11431=0,0,N(INDEX(Clients!$N$2:$N$501,$K$11431)))</f>
        <v>0</v>
      </c>
      <c r="L11461" s="25" t="n">
        <f aca="false">IF($K$11431=0,0,N(INDEX(Clients!$S$2:$S$501,$K$11431)))</f>
        <v>0</v>
      </c>
      <c r="M11461" s="25" t="n">
        <f aca="false">IF(OR(K11461&lt;&gt;0,L11461&lt;&gt;0),1,0)</f>
        <v>0</v>
      </c>
      <c r="N11461" s="25" t="str">
        <f aca="false">IF(M11461=1,SUM($M$11458:M11461),"")</f>
        <v/>
      </c>
      <c r="O11461" s="25" t="n">
        <v>4</v>
      </c>
    </row>
    <row r="11462" customFormat="false" ht="18" hidden="false" customHeight="true" outlineLevel="0" collapsed="false">
      <c r="B11462" s="43" t="s">
        <v>158</v>
      </c>
      <c r="C11462" s="44" t="n">
        <f aca="false">SUM(K11458:K11461)</f>
        <v>0</v>
      </c>
      <c r="D11462" s="45" t="str">
        <f aca="false">IF(N(C11462)=0,"",E11462/C11462-1)</f>
        <v/>
      </c>
      <c r="E11462" s="44" t="n">
        <f aca="false">SUM(L11458:L11461)</f>
        <v>0</v>
      </c>
      <c r="F11462" s="44" t="n">
        <f aca="false">E11462-C11462</f>
        <v>0</v>
      </c>
    </row>
    <row r="11463" customFormat="false" ht="15" hidden="false" customHeight="false" outlineLevel="0" collapsed="false">
      <c r="B11463" s="46" t="str">
        <f aca="false">IF(N(Nb_Mensualites)=0,"","Soit "&amp;FIXED(E11462/Nb_Mensualites,2)&amp;" € HT par échéance ("&amp;Nb_Mensualites&amp;" échéances), "&amp;FIXED(E11462/Nb_Mensualites*(1+Taux_TVA),2)&amp;" € TTC.")</f>
        <v>Soit 0.00 € HT par échéance (12 échéances), 0.00 € TTC.</v>
      </c>
      <c r="C11463" s="46"/>
      <c r="D11463" s="46"/>
      <c r="E11463" s="46"/>
      <c r="F11463" s="46"/>
    </row>
    <row r="11464" customFormat="false" ht="7.5" hidden="false" customHeight="true" outlineLevel="0" collapsed="false">
      <c r="B11464" s="10"/>
      <c r="C11464" s="10"/>
      <c r="D11464" s="10"/>
      <c r="E11464" s="10"/>
      <c r="F11464" s="10"/>
    </row>
    <row r="11465" customFormat="false" ht="36.75" hidden="false" customHeight="true" outlineLevel="0" collapsed="false">
      <c r="B11465" s="37" t="str">
        <f aca="false">SUBSTITUTE(SUBSTITUTE(SUBSTITUTE(SUBSTITUTE(SUBSTITUTE(Txt_P5,"{cabinet}",Cab_Nom),"{societe}",IF($K$11431=0,"",INDEX(Clients!$E$2:$E$501,$K$11431)&amp;"")),"{date_effet}",$K$11433),"{hausse}",$K$11434),"{civilite}",$K$11432)</f>
        <v>Les autres conditions de votre lettre de mission demeurent inchangées. Les nouveaux montants seront appliqués automatiquement sur vos prochaines factures et échéances de prélèvement.</v>
      </c>
      <c r="C11465" s="37"/>
      <c r="D11465" s="37"/>
      <c r="E11465" s="37"/>
      <c r="F11465" s="37"/>
    </row>
    <row r="11466" customFormat="false" ht="36.75" hidden="false" customHeight="true" outlineLevel="0" collapsed="false">
      <c r="B11466" s="37" t="str">
        <f aca="false">SUBSTITUTE(SUBSTITUTE(SUBSTITUTE(SUBSTITUTE(SUBSTITUTE(Txt_P6,"{cabinet}",Cab_Nom),"{societe}",IF($K$11431=0,"",INDEX(Clients!$E$2:$E$501,$K$11431)&amp;"")),"{date_effet}",$K$11433),"{hausse}",$K$11434),"{civilite}",$K$11432)</f>
        <v>Votre interlocuteur habituel reste à votre entière disposition pour répondre à vos questions et faire le point sur l'évolution de vos besoins.</v>
      </c>
      <c r="C11466" s="37"/>
      <c r="D11466" s="37"/>
      <c r="E11466" s="37"/>
      <c r="F11466" s="37"/>
    </row>
    <row r="11467" customFormat="false" ht="24" hidden="false" customHeight="true" outlineLevel="0" collapsed="false">
      <c r="B11467" s="37" t="str">
        <f aca="false">SUBSTITUTE(SUBSTITUTE(SUBSTITUTE(SUBSTITUTE(SUBSTITUTE(Txt_Politesse,"{cabinet}",Cab_Nom),"{societe}",IF($K$11431=0,"",INDEX(Clients!$E$2:$E$501,$K$11431)&amp;"")),"{date_effet}",$K$11433),"{hausse}",$K$11434),"{civilite}",$K$11432)</f>
        <v>Nous vous prions d'agréer, Madame, Monsieur, l'expression de nos salutations distinguées.</v>
      </c>
      <c r="C11467" s="37"/>
      <c r="D11467" s="37"/>
      <c r="E11467" s="37"/>
      <c r="F11467" s="37"/>
    </row>
    <row r="11468" customFormat="false" ht="15" hidden="false" customHeight="false" outlineLevel="0" collapsed="false">
      <c r="B11468" s="10"/>
      <c r="C11468" s="10"/>
      <c r="D11468" s="10"/>
      <c r="E11468" s="10"/>
      <c r="F11468" s="10"/>
    </row>
    <row r="11469" customFormat="false" ht="15" hidden="false" customHeight="false" outlineLevel="0" collapsed="false">
      <c r="B11469" s="10"/>
      <c r="C11469" s="10"/>
      <c r="D11469" s="34" t="str">
        <f aca="false">Signataire</f>
        <v>Prénom NOM</v>
      </c>
      <c r="E11469" s="34"/>
      <c r="F11469" s="34"/>
    </row>
    <row r="11470" customFormat="false" ht="15" hidden="false" customHeight="false" outlineLevel="0" collapsed="false">
      <c r="B11470" s="10"/>
      <c r="C11470" s="10"/>
      <c r="D11470" s="47" t="str">
        <f aca="false">Signataire_Titre</f>
        <v>Expert-comptable associé</v>
      </c>
      <c r="E11470" s="47"/>
      <c r="F11470" s="47"/>
    </row>
    <row r="11471" customFormat="false" ht="15.75" hidden="false" customHeight="true" outlineLevel="0" collapsed="false">
      <c r="B11471" s="10"/>
      <c r="C11471" s="10"/>
      <c r="D11471" s="10"/>
      <c r="E11471" s="10"/>
      <c r="F11471" s="10"/>
    </row>
    <row r="11472" customFormat="false" ht="15.75" hidden="false" customHeight="true" outlineLevel="0" collapsed="false">
      <c r="B11472" s="10"/>
      <c r="C11472" s="10"/>
      <c r="D11472" s="10"/>
      <c r="E11472" s="10"/>
      <c r="F11472" s="10"/>
    </row>
    <row r="11473" customFormat="false" ht="15.75" hidden="false" customHeight="true" outlineLevel="0" collapsed="false">
      <c r="B11473" s="10"/>
      <c r="C11473" s="10"/>
      <c r="D11473" s="10"/>
      <c r="E11473" s="10"/>
      <c r="F11473" s="10"/>
    </row>
    <row r="11474" customFormat="false" ht="15.75" hidden="false" customHeight="true" outlineLevel="0" collapsed="false">
      <c r="B11474" s="10"/>
      <c r="C11474" s="10"/>
      <c r="D11474" s="10"/>
      <c r="E11474" s="10"/>
      <c r="F11474" s="10"/>
    </row>
    <row r="11475" customFormat="false" ht="24" hidden="false" customHeight="true" outlineLevel="0" collapsed="false">
      <c r="B11475" s="48" t="str">
        <f aca="false">Cab_Mentions</f>
        <v>ALTHO EXPERTISE · SAS au capital de 10 000 € · RCS Pontoise 919 706 325 · TVA FR62919706325 · Société d'expertise comptable inscrite au Tableau de l'Ordre des experts-comptables de Paris Île-de-France</v>
      </c>
      <c r="C11475" s="48"/>
      <c r="D11475" s="48"/>
      <c r="E11475" s="48"/>
      <c r="F11475" s="48"/>
    </row>
    <row r="11476" customFormat="false" ht="15" hidden="false" customHeight="false" outlineLevel="0" collapsed="false">
      <c r="B11476" s="10"/>
      <c r="C11476" s="10"/>
      <c r="D11476" s="10"/>
      <c r="E11476" s="10"/>
      <c r="F11476" s="10"/>
      <c r="J11476" s="25" t="s">
        <v>142</v>
      </c>
      <c r="K11476" s="25" t="n">
        <f aca="false">IFERROR(MATCH(256,Clients!$Z$2:$Z$501,0),0)</f>
        <v>0</v>
      </c>
      <c r="L11476" s="25"/>
      <c r="M11476" s="25"/>
      <c r="N11476" s="25"/>
      <c r="O11476" s="25"/>
    </row>
    <row r="11477" customFormat="false" ht="21.75" hidden="false" customHeight="true" outlineLevel="0" collapsed="false">
      <c r="B11477" s="26" t="str">
        <f aca="false">Cab_Nom</f>
        <v>ALTHO EXPERTISE</v>
      </c>
      <c r="C11477" s="26"/>
      <c r="D11477" s="10"/>
      <c r="E11477" s="27" t="str">
        <f aca="false">IF($K$11476=0,"","Réf. client : "&amp;INDEX(Clients!$A$2:$A$501,$K$11476))</f>
        <v/>
      </c>
      <c r="F11477" s="27"/>
      <c r="J11477" s="25" t="s">
        <v>144</v>
      </c>
      <c r="K11477" s="25" t="str">
        <f aca="false">IF(IF($K$11476=0,"",INDEX(Clients!$B$2:$B$501,$K$11476)&amp;"")="Mme","Madame",IF(IF($K$11476=0,"",INDEX(Clients!$B$2:$B$501,$K$11476)&amp;"")="M.","Monsieur","Madame, Monsieur"))</f>
        <v>Madame, Monsieur</v>
      </c>
      <c r="L11477" s="25"/>
      <c r="M11477" s="25"/>
      <c r="N11477" s="25"/>
      <c r="O11477" s="25"/>
    </row>
    <row r="11478" customFormat="false" ht="15" hidden="false" customHeight="false" outlineLevel="0" collapsed="false">
      <c r="B11478" s="29" t="str">
        <f aca="false">Cab_Adr1</f>
        <v>141 rue Charles de Gaulle</v>
      </c>
      <c r="C11478" s="29"/>
      <c r="D11478" s="10"/>
      <c r="E11478" s="10"/>
      <c r="F11478" s="10"/>
      <c r="J11478" s="25" t="s">
        <v>145</v>
      </c>
      <c r="K11478" s="25" t="str">
        <f aca="false">DAY(Date_Effet)&amp;IF(DAY(Date_Effet)=1,"er","")&amp;" "&amp;INDEX(Liste_Mois,MONTH(Date_Effet))&amp;" "&amp;YEAR(Date_Effet)</f>
        <v>1er janvier 2027</v>
      </c>
      <c r="L11478" s="25"/>
      <c r="M11478" s="25"/>
      <c r="N11478" s="25"/>
      <c r="O11478" s="25"/>
    </row>
    <row r="11479" customFormat="false" ht="15" hidden="false" customHeight="false" outlineLevel="0" collapsed="false">
      <c r="B11479" s="29" t="str">
        <f aca="false">Cab_CPVille</f>
        <v>95130 LE PLESSIS-BOUCHARD</v>
      </c>
      <c r="C11479" s="29"/>
      <c r="D11479" s="10"/>
      <c r="E11479" s="10"/>
      <c r="F11479" s="10"/>
      <c r="J11479" s="25" t="s">
        <v>146</v>
      </c>
      <c r="K11479" s="25" t="str">
        <f aca="false">IF(SUM($K$11503:$K$11506)=0,"",FIXED((SUM($L$11503:$L$11506)/SUM($K$11503:$K$11506)-1)*100,1)&amp;" %")</f>
        <v/>
      </c>
      <c r="L11479" s="25"/>
      <c r="M11479" s="25"/>
      <c r="N11479" s="25"/>
      <c r="O11479" s="25"/>
    </row>
    <row r="11480" customFormat="false" ht="15" hidden="false" customHeight="false" outlineLevel="0" collapsed="false">
      <c r="B11480" s="29" t="str">
        <f aca="false">Cab_Contact</f>
        <v>Tél. 01 34 14 53 45  ·  altho@altho-experts.com  ·  altho-experts.com</v>
      </c>
      <c r="C11480" s="29"/>
      <c r="D11480" s="10"/>
      <c r="E11480" s="10"/>
      <c r="F11480" s="10"/>
      <c r="J11480" s="25"/>
      <c r="K11480" s="25"/>
      <c r="L11480" s="25"/>
      <c r="M11480" s="25"/>
      <c r="N11480" s="25"/>
      <c r="O11480" s="25"/>
    </row>
    <row r="11481" customFormat="false" ht="6" hidden="false" customHeight="true" outlineLevel="0" collapsed="false">
      <c r="B11481" s="32"/>
      <c r="C11481" s="32"/>
      <c r="D11481" s="32"/>
      <c r="E11481" s="32"/>
      <c r="F11481" s="32"/>
      <c r="J11481" s="25"/>
      <c r="K11481" s="25"/>
      <c r="L11481" s="25"/>
      <c r="M11481" s="25"/>
      <c r="N11481" s="25"/>
      <c r="O11481" s="25"/>
    </row>
    <row r="11482" customFormat="false" ht="13.5" hidden="false" customHeight="true" outlineLevel="0" collapsed="false">
      <c r="B11482" s="10"/>
      <c r="C11482" s="10"/>
      <c r="D11482" s="10"/>
      <c r="E11482" s="10"/>
      <c r="F11482" s="10"/>
      <c r="J11482" s="25"/>
      <c r="K11482" s="25"/>
      <c r="L11482" s="25"/>
      <c r="M11482" s="25"/>
      <c r="N11482" s="25"/>
      <c r="O11482" s="25"/>
    </row>
    <row r="11483" customFormat="false" ht="13.5" hidden="false" customHeight="true" outlineLevel="0" collapsed="false">
      <c r="B11483" s="10"/>
      <c r="C11483" s="10"/>
      <c r="D11483" s="10"/>
      <c r="E11483" s="10"/>
      <c r="F11483" s="10"/>
      <c r="J11483" s="25"/>
      <c r="K11483" s="25"/>
      <c r="L11483" s="25"/>
      <c r="M11483" s="25"/>
      <c r="N11483" s="25"/>
      <c r="O11483" s="25"/>
    </row>
    <row r="11484" customFormat="false" ht="13.5" hidden="false" customHeight="true" outlineLevel="0" collapsed="false">
      <c r="B11484" s="10"/>
      <c r="C11484" s="10"/>
      <c r="D11484" s="10"/>
      <c r="E11484" s="10"/>
      <c r="F11484" s="10"/>
      <c r="J11484" s="25"/>
      <c r="K11484" s="25"/>
      <c r="L11484" s="25"/>
      <c r="M11484" s="25"/>
      <c r="N11484" s="25"/>
      <c r="O11484" s="25"/>
    </row>
    <row r="11485" customFormat="false" ht="15" hidden="false" customHeight="true" outlineLevel="0" collapsed="false">
      <c r="B11485" s="10"/>
      <c r="C11485" s="10"/>
      <c r="D11485" s="34" t="str">
        <f aca="false">IF($K$11476=0,"",INDEX(Clients!$E$2:$E$501,$K$11476)&amp;"")</f>
        <v/>
      </c>
      <c r="E11485" s="34"/>
      <c r="F11485" s="34"/>
      <c r="J11485" s="25"/>
      <c r="K11485" s="25"/>
      <c r="L11485" s="25"/>
      <c r="M11485" s="25"/>
      <c r="N11485" s="25"/>
      <c r="O11485" s="25"/>
    </row>
    <row r="11486" customFormat="false" ht="15" hidden="false" customHeight="true" outlineLevel="0" collapsed="false">
      <c r="B11486" s="10"/>
      <c r="C11486" s="10"/>
      <c r="D11486" s="35" t="str">
        <f aca="false">IF(IF($K$11476=0,"",INDEX(Clients!$D$2:$D$501,$K$11476)&amp;"")="","","À l'attention de "&amp;TRIM(IF($K$11476=0,"",INDEX(Clients!$B$2:$B$501,$K$11476)&amp;"")&amp;" "&amp;IF($K$11476=0,"",INDEX(Clients!$C$2:$C$501,$K$11476)&amp;"")&amp;" "&amp;IF($K$11476=0,"",INDEX(Clients!$D$2:$D$501,$K$11476)&amp;"")))</f>
        <v/>
      </c>
      <c r="E11486" s="35"/>
      <c r="F11486" s="35"/>
      <c r="J11486" s="25"/>
      <c r="K11486" s="25"/>
      <c r="L11486" s="25"/>
      <c r="M11486" s="25"/>
      <c r="N11486" s="25"/>
      <c r="O11486" s="25"/>
    </row>
    <row r="11487" customFormat="false" ht="15" hidden="false" customHeight="true" outlineLevel="0" collapsed="false">
      <c r="B11487" s="10"/>
      <c r="C11487" s="10"/>
      <c r="D11487" s="35" t="str">
        <f aca="false">IF($K$11476=0,"",INDEX(Clients!$F$2:$F$501,$K$11476)&amp;"")</f>
        <v/>
      </c>
      <c r="E11487" s="35"/>
      <c r="F11487" s="35"/>
      <c r="J11487" s="25"/>
      <c r="K11487" s="25"/>
      <c r="L11487" s="25"/>
      <c r="M11487" s="25"/>
      <c r="N11487" s="25"/>
      <c r="O11487" s="25"/>
    </row>
    <row r="11488" customFormat="false" ht="15" hidden="false" customHeight="true" outlineLevel="0" collapsed="false">
      <c r="B11488" s="10"/>
      <c r="C11488" s="10"/>
      <c r="D11488" s="35" t="str">
        <f aca="false">IF(IF($K$11476=0,"",INDEX(Clients!$G$2:$G$501,$K$11476)&amp;"")="",TRIM(IF($K$11476=0,"",INDEX(Clients!$H$2:$H$501,$K$11476)&amp;"")&amp;" "&amp;UPPER(IF($K$11476=0,"",INDEX(Clients!$I$2:$I$501,$K$11476)&amp;""))),IF($K$11476=0,"",INDEX(Clients!$G$2:$G$501,$K$11476)&amp;""))</f>
        <v/>
      </c>
      <c r="E11488" s="35"/>
      <c r="F11488" s="35"/>
      <c r="J11488" s="25"/>
      <c r="K11488" s="25"/>
      <c r="L11488" s="25"/>
      <c r="M11488" s="25"/>
      <c r="N11488" s="25"/>
      <c r="O11488" s="25"/>
    </row>
    <row r="11489" customFormat="false" ht="15" hidden="false" customHeight="true" outlineLevel="0" collapsed="false">
      <c r="B11489" s="10"/>
      <c r="C11489" s="10"/>
      <c r="D11489" s="35" t="str">
        <f aca="false">IF(IF($K$11476=0,"",INDEX(Clients!$G$2:$G$501,$K$11476)&amp;"")="","",TRIM(IF($K$11476=0,"",INDEX(Clients!$H$2:$H$501,$K$11476)&amp;"")&amp;" "&amp;UPPER(IF($K$11476=0,"",INDEX(Clients!$I$2:$I$501,$K$11476)&amp;""))))</f>
        <v/>
      </c>
      <c r="E11489" s="35"/>
      <c r="F11489" s="35"/>
      <c r="J11489" s="25"/>
      <c r="K11489" s="25"/>
      <c r="L11489" s="25"/>
      <c r="M11489" s="25"/>
      <c r="N11489" s="25"/>
      <c r="O11489" s="25"/>
    </row>
    <row r="11490" customFormat="false" ht="25.5" hidden="false" customHeight="true" outlineLevel="0" collapsed="false">
      <c r="B11490" s="10"/>
      <c r="C11490" s="10"/>
      <c r="D11490" s="10"/>
      <c r="E11490" s="10"/>
      <c r="F11490" s="10"/>
      <c r="J11490" s="25"/>
      <c r="K11490" s="25"/>
      <c r="L11490" s="25"/>
      <c r="M11490" s="25"/>
      <c r="N11490" s="25"/>
      <c r="O11490" s="25"/>
    </row>
    <row r="11491" customFormat="false" ht="15" hidden="false" customHeight="false" outlineLevel="0" collapsed="false">
      <c r="B11491" s="10"/>
      <c r="C11491" s="10"/>
      <c r="D11491" s="36" t="str">
        <f aca="false">Cab_Ville&amp;", le "&amp;DAY(Date_Courrier)&amp;IF(DAY(Date_Courrier)=1,"er","")&amp;" "&amp;INDEX(Liste_Mois,MONTH(Date_Courrier))&amp;" "&amp;YEAR(Date_Courrier)</f>
        <v>Le Plessis-Bouchard, le 22 septembre 2026</v>
      </c>
      <c r="E11491" s="36"/>
      <c r="F11491" s="36"/>
      <c r="J11491" s="25"/>
      <c r="K11491" s="25"/>
      <c r="L11491" s="25"/>
      <c r="M11491" s="25"/>
      <c r="N11491" s="25"/>
      <c r="O11491" s="25"/>
    </row>
    <row r="11492" customFormat="false" ht="19.5" hidden="false" customHeight="true" outlineLevel="0" collapsed="false">
      <c r="B11492" s="10"/>
      <c r="C11492" s="10"/>
      <c r="D11492" s="10"/>
      <c r="E11492" s="10"/>
      <c r="F11492" s="10"/>
      <c r="J11492" s="25"/>
      <c r="K11492" s="25"/>
      <c r="L11492" s="25"/>
      <c r="M11492" s="25"/>
      <c r="N11492" s="25"/>
      <c r="O11492" s="25"/>
    </row>
    <row r="11493" customFormat="false" ht="15" hidden="false" customHeight="false" outlineLevel="0" collapsed="false">
      <c r="B11493" s="34" t="str">
        <f aca="false">SUBSTITUTE(SUBSTITUTE(SUBSTITUTE(SUBSTITUTE(SUBSTITUTE(Txt_Objet,"{cabinet}",Cab_Nom),"{societe}",IF($K$11476=0,"",INDEX(Clients!$E$2:$E$501,$K$11476)&amp;"")),"{date_effet}",$K$11478),"{hausse}",$K$11479),"{civilite}",$K$11477)</f>
        <v>Objet : révision de nos honoraires au 1er janvier 2027</v>
      </c>
      <c r="C11493" s="34"/>
      <c r="D11493" s="34"/>
      <c r="E11493" s="34"/>
      <c r="F11493" s="34"/>
      <c r="J11493" s="25"/>
      <c r="K11493" s="25"/>
      <c r="L11493" s="25"/>
      <c r="M11493" s="25"/>
      <c r="N11493" s="25"/>
      <c r="O11493" s="25"/>
    </row>
    <row r="11494" customFormat="false" ht="13.5" hidden="false" customHeight="true" outlineLevel="0" collapsed="false">
      <c r="B11494" s="10"/>
      <c r="C11494" s="10"/>
      <c r="D11494" s="10"/>
      <c r="E11494" s="10"/>
      <c r="F11494" s="10"/>
      <c r="J11494" s="25"/>
      <c r="K11494" s="25"/>
      <c r="L11494" s="25"/>
      <c r="M11494" s="25"/>
      <c r="N11494" s="25"/>
      <c r="O11494" s="25"/>
    </row>
    <row r="11495" customFormat="false" ht="15" hidden="false" customHeight="false" outlineLevel="0" collapsed="false">
      <c r="B11495" s="10" t="str">
        <f aca="false">$K$11477&amp;","</f>
        <v>Madame, Monsieur,</v>
      </c>
      <c r="C11495" s="10"/>
      <c r="D11495" s="10"/>
      <c r="E11495" s="10"/>
      <c r="F11495" s="10"/>
      <c r="J11495" s="25"/>
      <c r="K11495" s="25"/>
      <c r="L11495" s="25"/>
      <c r="M11495" s="25"/>
      <c r="N11495" s="25"/>
      <c r="O11495" s="25"/>
    </row>
    <row r="11496" customFormat="false" ht="6" hidden="false" customHeight="true" outlineLevel="0" collapsed="false">
      <c r="B11496" s="10"/>
      <c r="C11496" s="10"/>
      <c r="D11496" s="10"/>
      <c r="E11496" s="10"/>
      <c r="F11496" s="10"/>
      <c r="J11496" s="25"/>
      <c r="K11496" s="25"/>
      <c r="L11496" s="25"/>
      <c r="M11496" s="25"/>
      <c r="N11496" s="25"/>
      <c r="O11496" s="25"/>
    </row>
    <row r="11497" customFormat="false" ht="36.75" hidden="false" customHeight="true" outlineLevel="0" collapsed="false">
      <c r="B11497" s="37" t="str">
        <f aca="false">SUBSTITUTE(SUBSTITUTE(SUBSTITUTE(SUBSTITUTE(SUBSTITUTE(Txt_P1,"{cabinet}",Cab_Nom),"{societe}",IF($K$11476=0,"",INDEX(Clients!$E$2:$E$501,$K$11476)&amp;"")),"{date_effet}",$K$11478),"{hausse}",$K$11479),"{civilite}",$K$11477)</f>
        <v>Nous tenons tout d'abord à vous remercier pour la confiance que vous accordez à ALTHO EXPERTISE. Comme chaque année, et conformément aux dispositions de votre lettre de mission, nous procédons à la révision de nos honoraires.</v>
      </c>
      <c r="C11497" s="37"/>
      <c r="D11497" s="37"/>
      <c r="E11497" s="37"/>
      <c r="F11497" s="37"/>
      <c r="J11497" s="25"/>
      <c r="K11497" s="25"/>
      <c r="L11497" s="25"/>
      <c r="M11497" s="25"/>
      <c r="N11497" s="25"/>
      <c r="O11497" s="25"/>
    </row>
    <row r="11498" customFormat="false" ht="49.5" hidden="false" customHeight="true" outlineLevel="0" collapsed="false">
      <c r="B11498" s="37" t="str">
        <f aca="false">SUBSTITUTE(SUBSTITUTE(SUBSTITUTE(SUBSTITUTE(SUBSTITUTE(Txt_P2,"{cabinet}",Cab_Nom),"{societe}",IF($K$11476=0,"",INDEX(Clients!$E$2:$E$501,$K$11476)&amp;"")),"{date_effet}",$K$11478),"{hausse}",$K$11479),"{civilite}",$K$11477)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498" s="37"/>
      <c r="D11498" s="37"/>
      <c r="E11498" s="37"/>
      <c r="F11498" s="37"/>
      <c r="J11498" s="25"/>
      <c r="K11498" s="25"/>
      <c r="L11498" s="25"/>
      <c r="M11498" s="25"/>
      <c r="N11498" s="25"/>
      <c r="O11498" s="25"/>
    </row>
    <row r="11499" customFormat="false" ht="63" hidden="false" customHeight="true" outlineLevel="0" collapsed="false">
      <c r="B11499" s="37" t="str">
        <f aca="false">SUBSTITUTE(SUBSTITUTE(SUBSTITUTE(SUBSTITUTE(SUBSTITUTE(Txt_P3,"{cabinet}",Cab_Nom),"{societe}",IF($K$11476=0,"",INDEX(Clients!$E$2:$E$501,$K$11476)&amp;"")),"{date_effet}",$K$11478),"{hausse}",$K$11479),"{civilite}",$K$11477)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499" s="37"/>
      <c r="D11499" s="37"/>
      <c r="E11499" s="37"/>
      <c r="F11499" s="37"/>
      <c r="J11499" s="25"/>
      <c r="K11499" s="25"/>
      <c r="L11499" s="25"/>
      <c r="M11499" s="25"/>
      <c r="N11499" s="25"/>
      <c r="O11499" s="25"/>
    </row>
    <row r="11500" customFormat="false" ht="24" hidden="false" customHeight="true" outlineLevel="0" collapsed="false">
      <c r="B11500" s="37" t="str">
        <f aca="false">SUBSTITUTE(SUBSTITUTE(SUBSTITUTE(SUBSTITUTE(SUBSTITUTE(Txt_P4,"{cabinet}",Cab_Nom),"{societe}",IF($K$11476=0,"",INDEX(Clients!$E$2:$E$501,$K$11476)&amp;"")),"{date_effet}",$K$11478),"{hausse}",$K$11479),"{civilite}",$K$11477)</f>
        <v>À compter du 1er janvier 2027, vos honoraires annuels hors taxes évolueront ainsi (évolution globale : ) :</v>
      </c>
      <c r="C11500" s="37"/>
      <c r="D11500" s="37"/>
      <c r="E11500" s="37"/>
      <c r="F11500" s="37"/>
      <c r="J11500" s="25"/>
      <c r="K11500" s="25"/>
      <c r="L11500" s="25"/>
      <c r="M11500" s="25"/>
      <c r="N11500" s="25"/>
      <c r="O11500" s="25"/>
    </row>
    <row r="11501" customFormat="false" ht="3.75" hidden="false" customHeight="true" outlineLevel="0" collapsed="false">
      <c r="B11501" s="10"/>
      <c r="C11501" s="10"/>
      <c r="D11501" s="10"/>
      <c r="E11501" s="10"/>
      <c r="F11501" s="10"/>
      <c r="J11501" s="25"/>
      <c r="K11501" s="25"/>
      <c r="L11501" s="25"/>
      <c r="M11501" s="25"/>
      <c r="N11501" s="25"/>
      <c r="O11501" s="25"/>
    </row>
    <row r="11502" customFormat="false" ht="18" hidden="false" customHeight="true" outlineLevel="0" collapsed="false">
      <c r="B11502" s="38" t="s">
        <v>148</v>
      </c>
      <c r="C11502" s="39" t="s">
        <v>149</v>
      </c>
      <c r="D11502" s="39" t="s">
        <v>150</v>
      </c>
      <c r="E11502" s="39" t="s">
        <v>151</v>
      </c>
      <c r="F11502" s="39" t="s">
        <v>109</v>
      </c>
      <c r="J11502" s="25" t="s">
        <v>152</v>
      </c>
      <c r="K11502" s="25" t="s">
        <v>153</v>
      </c>
      <c r="L11502" s="25" t="s">
        <v>154</v>
      </c>
      <c r="M11502" s="25" t="s">
        <v>155</v>
      </c>
      <c r="N11502" s="25" t="s">
        <v>156</v>
      </c>
      <c r="O11502" s="25" t="s">
        <v>157</v>
      </c>
    </row>
    <row r="11503" customFormat="false" ht="16.5" hidden="false" customHeight="true" outlineLevel="0" collapsed="false">
      <c r="B11503" s="40" t="str">
        <f aca="false">IFERROR(INDEX($J$11503:$J$11506,MATCH($O11503,$N$11503:$N$11506,0)),"")</f>
        <v/>
      </c>
      <c r="C11503" s="41" t="str">
        <f aca="false">IFERROR(INDEX($K$11503:$K$11506,MATCH($O11503,$N$11503:$N$11506,0)),"")</f>
        <v/>
      </c>
      <c r="D11503" s="42" t="str">
        <f aca="false">IF(OR(E11503="",N(C11503)=0),"",E11503/C11503-1)</f>
        <v/>
      </c>
      <c r="E11503" s="41" t="str">
        <f aca="false">IFERROR(INDEX($L$11503:$L$11506,MATCH($O11503,$N$11503:$N$11506,0)),"")</f>
        <v/>
      </c>
      <c r="F11503" s="41" t="str">
        <f aca="false">IF(E11503="","",E11503-C11503)</f>
        <v/>
      </c>
      <c r="J11503" s="25" t="str">
        <f aca="false">Lib_Compta</f>
        <v>Mission comptable (tenue, révision, bilan, liasse fiscale)</v>
      </c>
      <c r="K11503" s="25" t="n">
        <f aca="false">IF($K$11476=0,0,N(INDEX(Clients!$K$2:$K$501,$K$11476)))</f>
        <v>0</v>
      </c>
      <c r="L11503" s="25" t="n">
        <f aca="false">IF($K$11476=0,0,N(INDEX(Clients!$P$2:$P$501,$K$11476)))</f>
        <v>0</v>
      </c>
      <c r="M11503" s="25" t="n">
        <f aca="false">IF(OR(K11503&lt;&gt;0,L11503&lt;&gt;0),1,0)</f>
        <v>0</v>
      </c>
      <c r="N11503" s="25" t="str">
        <f aca="false">IF(M11503=1,SUM($M$11503:M11503),"")</f>
        <v/>
      </c>
      <c r="O11503" s="25" t="n">
        <v>1</v>
      </c>
    </row>
    <row r="11504" customFormat="false" ht="16.5" hidden="false" customHeight="true" outlineLevel="0" collapsed="false">
      <c r="B11504" s="40" t="str">
        <f aca="false">IFERROR(INDEX($J$11503:$J$11506,MATCH($O11504,$N$11503:$N$11506,0)),"")</f>
        <v/>
      </c>
      <c r="C11504" s="41" t="str">
        <f aca="false">IFERROR(INDEX($K$11503:$K$11506,MATCH($O11504,$N$11503:$N$11506,0)),"")</f>
        <v/>
      </c>
      <c r="D11504" s="42" t="str">
        <f aca="false">IF(OR(E11504="",N(C11504)=0),"",E11504/C11504-1)</f>
        <v/>
      </c>
      <c r="E11504" s="41" t="str">
        <f aca="false">IFERROR(INDEX($L$11503:$L$11506,MATCH($O11504,$N$11503:$N$11506,0)),"")</f>
        <v/>
      </c>
      <c r="F11504" s="41" t="str">
        <f aca="false">IF(E11504="","",E11504-C11504)</f>
        <v/>
      </c>
      <c r="J11504" s="25" t="str">
        <f aca="false">Lib_Paye</f>
        <v>Mission sociale (bulletins de paie, DSN, déclarations sociales)</v>
      </c>
      <c r="K11504" s="25" t="n">
        <f aca="false">IF($K$11476=0,0,N(INDEX(Clients!$L$2:$L$501,$K$11476)))</f>
        <v>0</v>
      </c>
      <c r="L11504" s="25" t="n">
        <f aca="false">IF($K$11476=0,0,N(INDEX(Clients!$Q$2:$Q$501,$K$11476)))</f>
        <v>0</v>
      </c>
      <c r="M11504" s="25" t="n">
        <f aca="false">IF(OR(K11504&lt;&gt;0,L11504&lt;&gt;0),1,0)</f>
        <v>0</v>
      </c>
      <c r="N11504" s="25" t="str">
        <f aca="false">IF(M11504=1,SUM($M$11503:M11504),"")</f>
        <v/>
      </c>
      <c r="O11504" s="25" t="n">
        <v>2</v>
      </c>
    </row>
    <row r="11505" customFormat="false" ht="16.5" hidden="false" customHeight="true" outlineLevel="0" collapsed="false">
      <c r="B11505" s="40" t="str">
        <f aca="false">IFERROR(INDEX($J$11503:$J$11506,MATCH($O11505,$N$11503:$N$11506,0)),"")</f>
        <v/>
      </c>
      <c r="C11505" s="41" t="str">
        <f aca="false">IFERROR(INDEX($K$11503:$K$11506,MATCH($O11505,$N$11503:$N$11506,0)),"")</f>
        <v/>
      </c>
      <c r="D11505" s="42" t="str">
        <f aca="false">IF(OR(E11505="",N(C11505)=0),"",E11505/C11505-1)</f>
        <v/>
      </c>
      <c r="E11505" s="41" t="str">
        <f aca="false">IFERROR(INDEX($L$11503:$L$11506,MATCH($O11505,$N$11503:$N$11506,0)),"")</f>
        <v/>
      </c>
      <c r="F11505" s="41" t="str">
        <f aca="false">IF(E11505="","",E11505-C11505)</f>
        <v/>
      </c>
      <c r="J11505" s="25" t="str">
        <f aca="false">Lib_Jur</f>
        <v>Mission juridique (approbation des comptes, secrétariat juridique)</v>
      </c>
      <c r="K11505" s="25" t="n">
        <f aca="false">IF($K$11476=0,0,N(INDEX(Clients!$M$2:$M$501,$K$11476)))</f>
        <v>0</v>
      </c>
      <c r="L11505" s="25" t="n">
        <f aca="false">IF($K$11476=0,0,N(INDEX(Clients!$R$2:$R$501,$K$11476)))</f>
        <v>0</v>
      </c>
      <c r="M11505" s="25" t="n">
        <f aca="false">IF(OR(K11505&lt;&gt;0,L11505&lt;&gt;0),1,0)</f>
        <v>0</v>
      </c>
      <c r="N11505" s="25" t="str">
        <f aca="false">IF(M11505=1,SUM($M$11503:M11505),"")</f>
        <v/>
      </c>
      <c r="O11505" s="25" t="n">
        <v>3</v>
      </c>
    </row>
    <row r="11506" customFormat="false" ht="16.5" hidden="false" customHeight="true" outlineLevel="0" collapsed="false">
      <c r="B11506" s="40" t="str">
        <f aca="false">IFERROR(INDEX($J$11503:$J$11506,MATCH($O11506,$N$11503:$N$11506,0)),"")</f>
        <v/>
      </c>
      <c r="C11506" s="41" t="str">
        <f aca="false">IFERROR(INDEX($K$11503:$K$11506,MATCH($O11506,$N$11503:$N$11506,0)),"")</f>
        <v/>
      </c>
      <c r="D11506" s="42" t="str">
        <f aca="false">IF(OR(E11506="",N(C11506)=0),"",E11506/C11506-1)</f>
        <v/>
      </c>
      <c r="E11506" s="41" t="str">
        <f aca="false">IFERROR(INDEX($L$11503:$L$11506,MATCH($O11506,$N$11503:$N$11506,0)),"")</f>
        <v/>
      </c>
      <c r="F11506" s="41" t="str">
        <f aca="false">IF(E11506="","",E11506-C11506)</f>
        <v/>
      </c>
      <c r="J11506" s="25" t="str">
        <f aca="false">Lib_PA</f>
        <v>Plateforme agréée – facturation électronique</v>
      </c>
      <c r="K11506" s="25" t="n">
        <f aca="false">IF($K$11476=0,0,N(INDEX(Clients!$N$2:$N$501,$K$11476)))</f>
        <v>0</v>
      </c>
      <c r="L11506" s="25" t="n">
        <f aca="false">IF($K$11476=0,0,N(INDEX(Clients!$S$2:$S$501,$K$11476)))</f>
        <v>0</v>
      </c>
      <c r="M11506" s="25" t="n">
        <f aca="false">IF(OR(K11506&lt;&gt;0,L11506&lt;&gt;0),1,0)</f>
        <v>0</v>
      </c>
      <c r="N11506" s="25" t="str">
        <f aca="false">IF(M11506=1,SUM($M$11503:M11506),"")</f>
        <v/>
      </c>
      <c r="O11506" s="25" t="n">
        <v>4</v>
      </c>
    </row>
    <row r="11507" customFormat="false" ht="18" hidden="false" customHeight="true" outlineLevel="0" collapsed="false">
      <c r="B11507" s="43" t="s">
        <v>158</v>
      </c>
      <c r="C11507" s="44" t="n">
        <f aca="false">SUM(K11503:K11506)</f>
        <v>0</v>
      </c>
      <c r="D11507" s="45" t="str">
        <f aca="false">IF(N(C11507)=0,"",E11507/C11507-1)</f>
        <v/>
      </c>
      <c r="E11507" s="44" t="n">
        <f aca="false">SUM(L11503:L11506)</f>
        <v>0</v>
      </c>
      <c r="F11507" s="44" t="n">
        <f aca="false">E11507-C11507</f>
        <v>0</v>
      </c>
    </row>
    <row r="11508" customFormat="false" ht="15" hidden="false" customHeight="false" outlineLevel="0" collapsed="false">
      <c r="B11508" s="46" t="str">
        <f aca="false">IF(N(Nb_Mensualites)=0,"","Soit "&amp;FIXED(E11507/Nb_Mensualites,2)&amp;" € HT par échéance ("&amp;Nb_Mensualites&amp;" échéances), "&amp;FIXED(E11507/Nb_Mensualites*(1+Taux_TVA),2)&amp;" € TTC.")</f>
        <v>Soit 0.00 € HT par échéance (12 échéances), 0.00 € TTC.</v>
      </c>
      <c r="C11508" s="46"/>
      <c r="D11508" s="46"/>
      <c r="E11508" s="46"/>
      <c r="F11508" s="46"/>
    </row>
    <row r="11509" customFormat="false" ht="7.5" hidden="false" customHeight="true" outlineLevel="0" collapsed="false">
      <c r="B11509" s="10"/>
      <c r="C11509" s="10"/>
      <c r="D11509" s="10"/>
      <c r="E11509" s="10"/>
      <c r="F11509" s="10"/>
    </row>
    <row r="11510" customFormat="false" ht="36.75" hidden="false" customHeight="true" outlineLevel="0" collapsed="false">
      <c r="B11510" s="37" t="str">
        <f aca="false">SUBSTITUTE(SUBSTITUTE(SUBSTITUTE(SUBSTITUTE(SUBSTITUTE(Txt_P5,"{cabinet}",Cab_Nom),"{societe}",IF($K$11476=0,"",INDEX(Clients!$E$2:$E$501,$K$11476)&amp;"")),"{date_effet}",$K$11478),"{hausse}",$K$11479),"{civilite}",$K$11477)</f>
        <v>Les autres conditions de votre lettre de mission demeurent inchangées. Les nouveaux montants seront appliqués automatiquement sur vos prochaines factures et échéances de prélèvement.</v>
      </c>
      <c r="C11510" s="37"/>
      <c r="D11510" s="37"/>
      <c r="E11510" s="37"/>
      <c r="F11510" s="37"/>
    </row>
    <row r="11511" customFormat="false" ht="36.75" hidden="false" customHeight="true" outlineLevel="0" collapsed="false">
      <c r="B11511" s="37" t="str">
        <f aca="false">SUBSTITUTE(SUBSTITUTE(SUBSTITUTE(SUBSTITUTE(SUBSTITUTE(Txt_P6,"{cabinet}",Cab_Nom),"{societe}",IF($K$11476=0,"",INDEX(Clients!$E$2:$E$501,$K$11476)&amp;"")),"{date_effet}",$K$11478),"{hausse}",$K$11479),"{civilite}",$K$11477)</f>
        <v>Votre interlocuteur habituel reste à votre entière disposition pour répondre à vos questions et faire le point sur l'évolution de vos besoins.</v>
      </c>
      <c r="C11511" s="37"/>
      <c r="D11511" s="37"/>
      <c r="E11511" s="37"/>
      <c r="F11511" s="37"/>
    </row>
    <row r="11512" customFormat="false" ht="24" hidden="false" customHeight="true" outlineLevel="0" collapsed="false">
      <c r="B11512" s="37" t="str">
        <f aca="false">SUBSTITUTE(SUBSTITUTE(SUBSTITUTE(SUBSTITUTE(SUBSTITUTE(Txt_Politesse,"{cabinet}",Cab_Nom),"{societe}",IF($K$11476=0,"",INDEX(Clients!$E$2:$E$501,$K$11476)&amp;"")),"{date_effet}",$K$11478),"{hausse}",$K$11479),"{civilite}",$K$11477)</f>
        <v>Nous vous prions d'agréer, Madame, Monsieur, l'expression de nos salutations distinguées.</v>
      </c>
      <c r="C11512" s="37"/>
      <c r="D11512" s="37"/>
      <c r="E11512" s="37"/>
      <c r="F11512" s="37"/>
    </row>
    <row r="11513" customFormat="false" ht="15" hidden="false" customHeight="false" outlineLevel="0" collapsed="false">
      <c r="B11513" s="10"/>
      <c r="C11513" s="10"/>
      <c r="D11513" s="10"/>
      <c r="E11513" s="10"/>
      <c r="F11513" s="10"/>
    </row>
    <row r="11514" customFormat="false" ht="15" hidden="false" customHeight="false" outlineLevel="0" collapsed="false">
      <c r="B11514" s="10"/>
      <c r="C11514" s="10"/>
      <c r="D11514" s="34" t="str">
        <f aca="false">Signataire</f>
        <v>Prénom NOM</v>
      </c>
      <c r="E11514" s="34"/>
      <c r="F11514" s="34"/>
    </row>
    <row r="11515" customFormat="false" ht="15" hidden="false" customHeight="false" outlineLevel="0" collapsed="false">
      <c r="B11515" s="10"/>
      <c r="C11515" s="10"/>
      <c r="D11515" s="47" t="str">
        <f aca="false">Signataire_Titre</f>
        <v>Expert-comptable associé</v>
      </c>
      <c r="E11515" s="47"/>
      <c r="F11515" s="47"/>
    </row>
    <row r="11516" customFormat="false" ht="15.75" hidden="false" customHeight="true" outlineLevel="0" collapsed="false">
      <c r="B11516" s="10"/>
      <c r="C11516" s="10"/>
      <c r="D11516" s="10"/>
      <c r="E11516" s="10"/>
      <c r="F11516" s="10"/>
    </row>
    <row r="11517" customFormat="false" ht="15.75" hidden="false" customHeight="true" outlineLevel="0" collapsed="false">
      <c r="B11517" s="10"/>
      <c r="C11517" s="10"/>
      <c r="D11517" s="10"/>
      <c r="E11517" s="10"/>
      <c r="F11517" s="10"/>
    </row>
    <row r="11518" customFormat="false" ht="15.75" hidden="false" customHeight="true" outlineLevel="0" collapsed="false">
      <c r="B11518" s="10"/>
      <c r="C11518" s="10"/>
      <c r="D11518" s="10"/>
      <c r="E11518" s="10"/>
      <c r="F11518" s="10"/>
    </row>
    <row r="11519" customFormat="false" ht="15.75" hidden="false" customHeight="true" outlineLevel="0" collapsed="false">
      <c r="B11519" s="10"/>
      <c r="C11519" s="10"/>
      <c r="D11519" s="10"/>
      <c r="E11519" s="10"/>
      <c r="F11519" s="10"/>
    </row>
    <row r="11520" customFormat="false" ht="24" hidden="false" customHeight="true" outlineLevel="0" collapsed="false">
      <c r="B11520" s="48" t="str">
        <f aca="false">Cab_Mentions</f>
        <v>ALTHO EXPERTISE · SAS au capital de 10 000 € · RCS Pontoise 919 706 325 · TVA FR62919706325 · Société d'expertise comptable inscrite au Tableau de l'Ordre des experts-comptables de Paris Île-de-France</v>
      </c>
      <c r="C11520" s="48"/>
      <c r="D11520" s="48"/>
      <c r="E11520" s="48"/>
      <c r="F11520" s="48"/>
    </row>
    <row r="11521" customFormat="false" ht="15" hidden="false" customHeight="false" outlineLevel="0" collapsed="false">
      <c r="B11521" s="10"/>
      <c r="C11521" s="10"/>
      <c r="D11521" s="10"/>
      <c r="E11521" s="10"/>
      <c r="F11521" s="10"/>
      <c r="J11521" s="25" t="s">
        <v>142</v>
      </c>
      <c r="K11521" s="25" t="n">
        <f aca="false">IFERROR(MATCH(257,Clients!$Z$2:$Z$501,0),0)</f>
        <v>0</v>
      </c>
      <c r="L11521" s="25"/>
      <c r="M11521" s="25"/>
      <c r="N11521" s="25"/>
      <c r="O11521" s="25"/>
    </row>
    <row r="11522" customFormat="false" ht="21.75" hidden="false" customHeight="true" outlineLevel="0" collapsed="false">
      <c r="B11522" s="26" t="str">
        <f aca="false">Cab_Nom</f>
        <v>ALTHO EXPERTISE</v>
      </c>
      <c r="C11522" s="26"/>
      <c r="D11522" s="10"/>
      <c r="E11522" s="27" t="str">
        <f aca="false">IF($K$11521=0,"","Réf. client : "&amp;INDEX(Clients!$A$2:$A$501,$K$11521))</f>
        <v/>
      </c>
      <c r="F11522" s="27"/>
      <c r="J11522" s="25" t="s">
        <v>144</v>
      </c>
      <c r="K11522" s="25" t="str">
        <f aca="false">IF(IF($K$11521=0,"",INDEX(Clients!$B$2:$B$501,$K$11521)&amp;"")="Mme","Madame",IF(IF($K$11521=0,"",INDEX(Clients!$B$2:$B$501,$K$11521)&amp;"")="M.","Monsieur","Madame, Monsieur"))</f>
        <v>Madame, Monsieur</v>
      </c>
      <c r="L11522" s="25"/>
      <c r="M11522" s="25"/>
      <c r="N11522" s="25"/>
      <c r="O11522" s="25"/>
    </row>
    <row r="11523" customFormat="false" ht="15" hidden="false" customHeight="false" outlineLevel="0" collapsed="false">
      <c r="B11523" s="29" t="str">
        <f aca="false">Cab_Adr1</f>
        <v>141 rue Charles de Gaulle</v>
      </c>
      <c r="C11523" s="29"/>
      <c r="D11523" s="10"/>
      <c r="E11523" s="10"/>
      <c r="F11523" s="10"/>
      <c r="J11523" s="25" t="s">
        <v>145</v>
      </c>
      <c r="K11523" s="25" t="str">
        <f aca="false">DAY(Date_Effet)&amp;IF(DAY(Date_Effet)=1,"er","")&amp;" "&amp;INDEX(Liste_Mois,MONTH(Date_Effet))&amp;" "&amp;YEAR(Date_Effet)</f>
        <v>1er janvier 2027</v>
      </c>
      <c r="L11523" s="25"/>
      <c r="M11523" s="25"/>
      <c r="N11523" s="25"/>
      <c r="O11523" s="25"/>
    </row>
    <row r="11524" customFormat="false" ht="15" hidden="false" customHeight="false" outlineLevel="0" collapsed="false">
      <c r="B11524" s="29" t="str">
        <f aca="false">Cab_CPVille</f>
        <v>95130 LE PLESSIS-BOUCHARD</v>
      </c>
      <c r="C11524" s="29"/>
      <c r="D11524" s="10"/>
      <c r="E11524" s="10"/>
      <c r="F11524" s="10"/>
      <c r="J11524" s="25" t="s">
        <v>146</v>
      </c>
      <c r="K11524" s="25" t="str">
        <f aca="false">IF(SUM($K$11548:$K$11551)=0,"",FIXED((SUM($L$11548:$L$11551)/SUM($K$11548:$K$11551)-1)*100,1)&amp;" %")</f>
        <v/>
      </c>
      <c r="L11524" s="25"/>
      <c r="M11524" s="25"/>
      <c r="N11524" s="25"/>
      <c r="O11524" s="25"/>
    </row>
    <row r="11525" customFormat="false" ht="15" hidden="false" customHeight="false" outlineLevel="0" collapsed="false">
      <c r="B11525" s="29" t="str">
        <f aca="false">Cab_Contact</f>
        <v>Tél. 01 34 14 53 45  ·  altho@altho-experts.com  ·  altho-experts.com</v>
      </c>
      <c r="C11525" s="29"/>
      <c r="D11525" s="10"/>
      <c r="E11525" s="10"/>
      <c r="F11525" s="10"/>
      <c r="J11525" s="25"/>
      <c r="K11525" s="25"/>
      <c r="L11525" s="25"/>
      <c r="M11525" s="25"/>
      <c r="N11525" s="25"/>
      <c r="O11525" s="25"/>
    </row>
    <row r="11526" customFormat="false" ht="6" hidden="false" customHeight="true" outlineLevel="0" collapsed="false">
      <c r="B11526" s="32"/>
      <c r="C11526" s="32"/>
      <c r="D11526" s="32"/>
      <c r="E11526" s="32"/>
      <c r="F11526" s="32"/>
      <c r="J11526" s="25"/>
      <c r="K11526" s="25"/>
      <c r="L11526" s="25"/>
      <c r="M11526" s="25"/>
      <c r="N11526" s="25"/>
      <c r="O11526" s="25"/>
    </row>
    <row r="11527" customFormat="false" ht="13.5" hidden="false" customHeight="true" outlineLevel="0" collapsed="false">
      <c r="B11527" s="10"/>
      <c r="C11527" s="10"/>
      <c r="D11527" s="10"/>
      <c r="E11527" s="10"/>
      <c r="F11527" s="10"/>
      <c r="J11527" s="25"/>
      <c r="K11527" s="25"/>
      <c r="L11527" s="25"/>
      <c r="M11527" s="25"/>
      <c r="N11527" s="25"/>
      <c r="O11527" s="25"/>
    </row>
    <row r="11528" customFormat="false" ht="13.5" hidden="false" customHeight="true" outlineLevel="0" collapsed="false">
      <c r="B11528" s="10"/>
      <c r="C11528" s="10"/>
      <c r="D11528" s="10"/>
      <c r="E11528" s="10"/>
      <c r="F11528" s="10"/>
      <c r="J11528" s="25"/>
      <c r="K11528" s="25"/>
      <c r="L11528" s="25"/>
      <c r="M11528" s="25"/>
      <c r="N11528" s="25"/>
      <c r="O11528" s="25"/>
    </row>
    <row r="11529" customFormat="false" ht="13.5" hidden="false" customHeight="true" outlineLevel="0" collapsed="false">
      <c r="B11529" s="10"/>
      <c r="C11529" s="10"/>
      <c r="D11529" s="10"/>
      <c r="E11529" s="10"/>
      <c r="F11529" s="10"/>
      <c r="J11529" s="25"/>
      <c r="K11529" s="25"/>
      <c r="L11529" s="25"/>
      <c r="M11529" s="25"/>
      <c r="N11529" s="25"/>
      <c r="O11529" s="25"/>
    </row>
    <row r="11530" customFormat="false" ht="15" hidden="false" customHeight="true" outlineLevel="0" collapsed="false">
      <c r="B11530" s="10"/>
      <c r="C11530" s="10"/>
      <c r="D11530" s="34" t="str">
        <f aca="false">IF($K$11521=0,"",INDEX(Clients!$E$2:$E$501,$K$11521)&amp;"")</f>
        <v/>
      </c>
      <c r="E11530" s="34"/>
      <c r="F11530" s="34"/>
      <c r="J11530" s="25"/>
      <c r="K11530" s="25"/>
      <c r="L11530" s="25"/>
      <c r="M11530" s="25"/>
      <c r="N11530" s="25"/>
      <c r="O11530" s="25"/>
    </row>
    <row r="11531" customFormat="false" ht="15" hidden="false" customHeight="true" outlineLevel="0" collapsed="false">
      <c r="B11531" s="10"/>
      <c r="C11531" s="10"/>
      <c r="D11531" s="35" t="str">
        <f aca="false">IF(IF($K$11521=0,"",INDEX(Clients!$D$2:$D$501,$K$11521)&amp;"")="","","À l'attention de "&amp;TRIM(IF($K$11521=0,"",INDEX(Clients!$B$2:$B$501,$K$11521)&amp;"")&amp;" "&amp;IF($K$11521=0,"",INDEX(Clients!$C$2:$C$501,$K$11521)&amp;"")&amp;" "&amp;IF($K$11521=0,"",INDEX(Clients!$D$2:$D$501,$K$11521)&amp;"")))</f>
        <v/>
      </c>
      <c r="E11531" s="35"/>
      <c r="F11531" s="35"/>
      <c r="J11531" s="25"/>
      <c r="K11531" s="25"/>
      <c r="L11531" s="25"/>
      <c r="M11531" s="25"/>
      <c r="N11531" s="25"/>
      <c r="O11531" s="25"/>
    </row>
    <row r="11532" customFormat="false" ht="15" hidden="false" customHeight="true" outlineLevel="0" collapsed="false">
      <c r="B11532" s="10"/>
      <c r="C11532" s="10"/>
      <c r="D11532" s="35" t="str">
        <f aca="false">IF($K$11521=0,"",INDEX(Clients!$F$2:$F$501,$K$11521)&amp;"")</f>
        <v/>
      </c>
      <c r="E11532" s="35"/>
      <c r="F11532" s="35"/>
      <c r="J11532" s="25"/>
      <c r="K11532" s="25"/>
      <c r="L11532" s="25"/>
      <c r="M11532" s="25"/>
      <c r="N11532" s="25"/>
      <c r="O11532" s="25"/>
    </row>
    <row r="11533" customFormat="false" ht="15" hidden="false" customHeight="true" outlineLevel="0" collapsed="false">
      <c r="B11533" s="10"/>
      <c r="C11533" s="10"/>
      <c r="D11533" s="35" t="str">
        <f aca="false">IF(IF($K$11521=0,"",INDEX(Clients!$G$2:$G$501,$K$11521)&amp;"")="",TRIM(IF($K$11521=0,"",INDEX(Clients!$H$2:$H$501,$K$11521)&amp;"")&amp;" "&amp;UPPER(IF($K$11521=0,"",INDEX(Clients!$I$2:$I$501,$K$11521)&amp;""))),IF($K$11521=0,"",INDEX(Clients!$G$2:$G$501,$K$11521)&amp;""))</f>
        <v/>
      </c>
      <c r="E11533" s="35"/>
      <c r="F11533" s="35"/>
      <c r="J11533" s="25"/>
      <c r="K11533" s="25"/>
      <c r="L11533" s="25"/>
      <c r="M11533" s="25"/>
      <c r="N11533" s="25"/>
      <c r="O11533" s="25"/>
    </row>
    <row r="11534" customFormat="false" ht="15" hidden="false" customHeight="true" outlineLevel="0" collapsed="false">
      <c r="B11534" s="10"/>
      <c r="C11534" s="10"/>
      <c r="D11534" s="35" t="str">
        <f aca="false">IF(IF($K$11521=0,"",INDEX(Clients!$G$2:$G$501,$K$11521)&amp;"")="","",TRIM(IF($K$11521=0,"",INDEX(Clients!$H$2:$H$501,$K$11521)&amp;"")&amp;" "&amp;UPPER(IF($K$11521=0,"",INDEX(Clients!$I$2:$I$501,$K$11521)&amp;""))))</f>
        <v/>
      </c>
      <c r="E11534" s="35"/>
      <c r="F11534" s="35"/>
      <c r="J11534" s="25"/>
      <c r="K11534" s="25"/>
      <c r="L11534" s="25"/>
      <c r="M11534" s="25"/>
      <c r="N11534" s="25"/>
      <c r="O11534" s="25"/>
    </row>
    <row r="11535" customFormat="false" ht="25.5" hidden="false" customHeight="true" outlineLevel="0" collapsed="false">
      <c r="B11535" s="10"/>
      <c r="C11535" s="10"/>
      <c r="D11535" s="10"/>
      <c r="E11535" s="10"/>
      <c r="F11535" s="10"/>
      <c r="J11535" s="25"/>
      <c r="K11535" s="25"/>
      <c r="L11535" s="25"/>
      <c r="M11535" s="25"/>
      <c r="N11535" s="25"/>
      <c r="O11535" s="25"/>
    </row>
    <row r="11536" customFormat="false" ht="15" hidden="false" customHeight="false" outlineLevel="0" collapsed="false">
      <c r="B11536" s="10"/>
      <c r="C11536" s="10"/>
      <c r="D11536" s="36" t="str">
        <f aca="false">Cab_Ville&amp;", le "&amp;DAY(Date_Courrier)&amp;IF(DAY(Date_Courrier)=1,"er","")&amp;" "&amp;INDEX(Liste_Mois,MONTH(Date_Courrier))&amp;" "&amp;YEAR(Date_Courrier)</f>
        <v>Le Plessis-Bouchard, le 22 septembre 2026</v>
      </c>
      <c r="E11536" s="36"/>
      <c r="F11536" s="36"/>
      <c r="J11536" s="25"/>
      <c r="K11536" s="25"/>
      <c r="L11536" s="25"/>
      <c r="M11536" s="25"/>
      <c r="N11536" s="25"/>
      <c r="O11536" s="25"/>
    </row>
    <row r="11537" customFormat="false" ht="19.5" hidden="false" customHeight="true" outlineLevel="0" collapsed="false">
      <c r="B11537" s="10"/>
      <c r="C11537" s="10"/>
      <c r="D11537" s="10"/>
      <c r="E11537" s="10"/>
      <c r="F11537" s="10"/>
      <c r="J11537" s="25"/>
      <c r="K11537" s="25"/>
      <c r="L11537" s="25"/>
      <c r="M11537" s="25"/>
      <c r="N11537" s="25"/>
      <c r="O11537" s="25"/>
    </row>
    <row r="11538" customFormat="false" ht="15" hidden="false" customHeight="false" outlineLevel="0" collapsed="false">
      <c r="B11538" s="34" t="str">
        <f aca="false">SUBSTITUTE(SUBSTITUTE(SUBSTITUTE(SUBSTITUTE(SUBSTITUTE(Txt_Objet,"{cabinet}",Cab_Nom),"{societe}",IF($K$11521=0,"",INDEX(Clients!$E$2:$E$501,$K$11521)&amp;"")),"{date_effet}",$K$11523),"{hausse}",$K$11524),"{civilite}",$K$11522)</f>
        <v>Objet : révision de nos honoraires au 1er janvier 2027</v>
      </c>
      <c r="C11538" s="34"/>
      <c r="D11538" s="34"/>
      <c r="E11538" s="34"/>
      <c r="F11538" s="34"/>
      <c r="J11538" s="25"/>
      <c r="K11538" s="25"/>
      <c r="L11538" s="25"/>
      <c r="M11538" s="25"/>
      <c r="N11538" s="25"/>
      <c r="O11538" s="25"/>
    </row>
    <row r="11539" customFormat="false" ht="13.5" hidden="false" customHeight="true" outlineLevel="0" collapsed="false">
      <c r="B11539" s="10"/>
      <c r="C11539" s="10"/>
      <c r="D11539" s="10"/>
      <c r="E11539" s="10"/>
      <c r="F11539" s="10"/>
      <c r="J11539" s="25"/>
      <c r="K11539" s="25"/>
      <c r="L11539" s="25"/>
      <c r="M11539" s="25"/>
      <c r="N11539" s="25"/>
      <c r="O11539" s="25"/>
    </row>
    <row r="11540" customFormat="false" ht="15" hidden="false" customHeight="false" outlineLevel="0" collapsed="false">
      <c r="B11540" s="10" t="str">
        <f aca="false">$K$11522&amp;","</f>
        <v>Madame, Monsieur,</v>
      </c>
      <c r="C11540" s="10"/>
      <c r="D11540" s="10"/>
      <c r="E11540" s="10"/>
      <c r="F11540" s="10"/>
      <c r="J11540" s="25"/>
      <c r="K11540" s="25"/>
      <c r="L11540" s="25"/>
      <c r="M11540" s="25"/>
      <c r="N11540" s="25"/>
      <c r="O11540" s="25"/>
    </row>
    <row r="11541" customFormat="false" ht="6" hidden="false" customHeight="true" outlineLevel="0" collapsed="false">
      <c r="B11541" s="10"/>
      <c r="C11541" s="10"/>
      <c r="D11541" s="10"/>
      <c r="E11541" s="10"/>
      <c r="F11541" s="10"/>
      <c r="J11541" s="25"/>
      <c r="K11541" s="25"/>
      <c r="L11541" s="25"/>
      <c r="M11541" s="25"/>
      <c r="N11541" s="25"/>
      <c r="O11541" s="25"/>
    </row>
    <row r="11542" customFormat="false" ht="36.75" hidden="false" customHeight="true" outlineLevel="0" collapsed="false">
      <c r="B11542" s="37" t="str">
        <f aca="false">SUBSTITUTE(SUBSTITUTE(SUBSTITUTE(SUBSTITUTE(SUBSTITUTE(Txt_P1,"{cabinet}",Cab_Nom),"{societe}",IF($K$11521=0,"",INDEX(Clients!$E$2:$E$501,$K$11521)&amp;"")),"{date_effet}",$K$11523),"{hausse}",$K$11524),"{civilite}",$K$11522)</f>
        <v>Nous tenons tout d'abord à vous remercier pour la confiance que vous accordez à ALTHO EXPERTISE. Comme chaque année, et conformément aux dispositions de votre lettre de mission, nous procédons à la révision de nos honoraires.</v>
      </c>
      <c r="C11542" s="37"/>
      <c r="D11542" s="37"/>
      <c r="E11542" s="37"/>
      <c r="F11542" s="37"/>
      <c r="J11542" s="25"/>
      <c r="K11542" s="25"/>
      <c r="L11542" s="25"/>
      <c r="M11542" s="25"/>
      <c r="N11542" s="25"/>
      <c r="O11542" s="25"/>
    </row>
    <row r="11543" customFormat="false" ht="49.5" hidden="false" customHeight="true" outlineLevel="0" collapsed="false">
      <c r="B11543" s="37" t="str">
        <f aca="false">SUBSTITUTE(SUBSTITUTE(SUBSTITUTE(SUBSTITUTE(SUBSTITUTE(Txt_P2,"{cabinet}",Cab_Nom),"{societe}",IF($K$11521=0,"",INDEX(Clients!$E$2:$E$501,$K$11521)&amp;"")),"{date_effet}",$K$11523),"{hausse}",$K$11524),"{civilite}",$K$11522)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543" s="37"/>
      <c r="D11543" s="37"/>
      <c r="E11543" s="37"/>
      <c r="F11543" s="37"/>
      <c r="J11543" s="25"/>
      <c r="K11543" s="25"/>
      <c r="L11543" s="25"/>
      <c r="M11543" s="25"/>
      <c r="N11543" s="25"/>
      <c r="O11543" s="25"/>
    </row>
    <row r="11544" customFormat="false" ht="63" hidden="false" customHeight="true" outlineLevel="0" collapsed="false">
      <c r="B11544" s="37" t="str">
        <f aca="false">SUBSTITUTE(SUBSTITUTE(SUBSTITUTE(SUBSTITUTE(SUBSTITUTE(Txt_P3,"{cabinet}",Cab_Nom),"{societe}",IF($K$11521=0,"",INDEX(Clients!$E$2:$E$501,$K$11521)&amp;"")),"{date_effet}",$K$11523),"{hausse}",$K$11524),"{civilite}",$K$11522)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544" s="37"/>
      <c r="D11544" s="37"/>
      <c r="E11544" s="37"/>
      <c r="F11544" s="37"/>
      <c r="J11544" s="25"/>
      <c r="K11544" s="25"/>
      <c r="L11544" s="25"/>
      <c r="M11544" s="25"/>
      <c r="N11544" s="25"/>
      <c r="O11544" s="25"/>
    </row>
    <row r="11545" customFormat="false" ht="24" hidden="false" customHeight="true" outlineLevel="0" collapsed="false">
      <c r="B11545" s="37" t="str">
        <f aca="false">SUBSTITUTE(SUBSTITUTE(SUBSTITUTE(SUBSTITUTE(SUBSTITUTE(Txt_P4,"{cabinet}",Cab_Nom),"{societe}",IF($K$11521=0,"",INDEX(Clients!$E$2:$E$501,$K$11521)&amp;"")),"{date_effet}",$K$11523),"{hausse}",$K$11524),"{civilite}",$K$11522)</f>
        <v>À compter du 1er janvier 2027, vos honoraires annuels hors taxes évolueront ainsi (évolution globale : ) :</v>
      </c>
      <c r="C11545" s="37"/>
      <c r="D11545" s="37"/>
      <c r="E11545" s="37"/>
      <c r="F11545" s="37"/>
      <c r="J11545" s="25"/>
      <c r="K11545" s="25"/>
      <c r="L11545" s="25"/>
      <c r="M11545" s="25"/>
      <c r="N11545" s="25"/>
      <c r="O11545" s="25"/>
    </row>
    <row r="11546" customFormat="false" ht="3.75" hidden="false" customHeight="true" outlineLevel="0" collapsed="false">
      <c r="B11546" s="10"/>
      <c r="C11546" s="10"/>
      <c r="D11546" s="10"/>
      <c r="E11546" s="10"/>
      <c r="F11546" s="10"/>
      <c r="J11546" s="25"/>
      <c r="K11546" s="25"/>
      <c r="L11546" s="25"/>
      <c r="M11546" s="25"/>
      <c r="N11546" s="25"/>
      <c r="O11546" s="25"/>
    </row>
    <row r="11547" customFormat="false" ht="18" hidden="false" customHeight="true" outlineLevel="0" collapsed="false">
      <c r="B11547" s="38" t="s">
        <v>148</v>
      </c>
      <c r="C11547" s="39" t="s">
        <v>149</v>
      </c>
      <c r="D11547" s="39" t="s">
        <v>150</v>
      </c>
      <c r="E11547" s="39" t="s">
        <v>151</v>
      </c>
      <c r="F11547" s="39" t="s">
        <v>109</v>
      </c>
      <c r="J11547" s="25" t="s">
        <v>152</v>
      </c>
      <c r="K11547" s="25" t="s">
        <v>153</v>
      </c>
      <c r="L11547" s="25" t="s">
        <v>154</v>
      </c>
      <c r="M11547" s="25" t="s">
        <v>155</v>
      </c>
      <c r="N11547" s="25" t="s">
        <v>156</v>
      </c>
      <c r="O11547" s="25" t="s">
        <v>157</v>
      </c>
    </row>
    <row r="11548" customFormat="false" ht="16.5" hidden="false" customHeight="true" outlineLevel="0" collapsed="false">
      <c r="B11548" s="40" t="str">
        <f aca="false">IFERROR(INDEX($J$11548:$J$11551,MATCH($O11548,$N$11548:$N$11551,0)),"")</f>
        <v/>
      </c>
      <c r="C11548" s="41" t="str">
        <f aca="false">IFERROR(INDEX($K$11548:$K$11551,MATCH($O11548,$N$11548:$N$11551,0)),"")</f>
        <v/>
      </c>
      <c r="D11548" s="42" t="str">
        <f aca="false">IF(OR(E11548="",N(C11548)=0),"",E11548/C11548-1)</f>
        <v/>
      </c>
      <c r="E11548" s="41" t="str">
        <f aca="false">IFERROR(INDEX($L$11548:$L$11551,MATCH($O11548,$N$11548:$N$11551,0)),"")</f>
        <v/>
      </c>
      <c r="F11548" s="41" t="str">
        <f aca="false">IF(E11548="","",E11548-C11548)</f>
        <v/>
      </c>
      <c r="J11548" s="25" t="str">
        <f aca="false">Lib_Compta</f>
        <v>Mission comptable (tenue, révision, bilan, liasse fiscale)</v>
      </c>
      <c r="K11548" s="25" t="n">
        <f aca="false">IF($K$11521=0,0,N(INDEX(Clients!$K$2:$K$501,$K$11521)))</f>
        <v>0</v>
      </c>
      <c r="L11548" s="25" t="n">
        <f aca="false">IF($K$11521=0,0,N(INDEX(Clients!$P$2:$P$501,$K$11521)))</f>
        <v>0</v>
      </c>
      <c r="M11548" s="25" t="n">
        <f aca="false">IF(OR(K11548&lt;&gt;0,L11548&lt;&gt;0),1,0)</f>
        <v>0</v>
      </c>
      <c r="N11548" s="25" t="str">
        <f aca="false">IF(M11548=1,SUM($M$11548:M11548),"")</f>
        <v/>
      </c>
      <c r="O11548" s="25" t="n">
        <v>1</v>
      </c>
    </row>
    <row r="11549" customFormat="false" ht="16.5" hidden="false" customHeight="true" outlineLevel="0" collapsed="false">
      <c r="B11549" s="40" t="str">
        <f aca="false">IFERROR(INDEX($J$11548:$J$11551,MATCH($O11549,$N$11548:$N$11551,0)),"")</f>
        <v/>
      </c>
      <c r="C11549" s="41" t="str">
        <f aca="false">IFERROR(INDEX($K$11548:$K$11551,MATCH($O11549,$N$11548:$N$11551,0)),"")</f>
        <v/>
      </c>
      <c r="D11549" s="42" t="str">
        <f aca="false">IF(OR(E11549="",N(C11549)=0),"",E11549/C11549-1)</f>
        <v/>
      </c>
      <c r="E11549" s="41" t="str">
        <f aca="false">IFERROR(INDEX($L$11548:$L$11551,MATCH($O11549,$N$11548:$N$11551,0)),"")</f>
        <v/>
      </c>
      <c r="F11549" s="41" t="str">
        <f aca="false">IF(E11549="","",E11549-C11549)</f>
        <v/>
      </c>
      <c r="J11549" s="25" t="str">
        <f aca="false">Lib_Paye</f>
        <v>Mission sociale (bulletins de paie, DSN, déclarations sociales)</v>
      </c>
      <c r="K11549" s="25" t="n">
        <f aca="false">IF($K$11521=0,0,N(INDEX(Clients!$L$2:$L$501,$K$11521)))</f>
        <v>0</v>
      </c>
      <c r="L11549" s="25" t="n">
        <f aca="false">IF($K$11521=0,0,N(INDEX(Clients!$Q$2:$Q$501,$K$11521)))</f>
        <v>0</v>
      </c>
      <c r="M11549" s="25" t="n">
        <f aca="false">IF(OR(K11549&lt;&gt;0,L11549&lt;&gt;0),1,0)</f>
        <v>0</v>
      </c>
      <c r="N11549" s="25" t="str">
        <f aca="false">IF(M11549=1,SUM($M$11548:M11549),"")</f>
        <v/>
      </c>
      <c r="O11549" s="25" t="n">
        <v>2</v>
      </c>
    </row>
    <row r="11550" customFormat="false" ht="16.5" hidden="false" customHeight="true" outlineLevel="0" collapsed="false">
      <c r="B11550" s="40" t="str">
        <f aca="false">IFERROR(INDEX($J$11548:$J$11551,MATCH($O11550,$N$11548:$N$11551,0)),"")</f>
        <v/>
      </c>
      <c r="C11550" s="41" t="str">
        <f aca="false">IFERROR(INDEX($K$11548:$K$11551,MATCH($O11550,$N$11548:$N$11551,0)),"")</f>
        <v/>
      </c>
      <c r="D11550" s="42" t="str">
        <f aca="false">IF(OR(E11550="",N(C11550)=0),"",E11550/C11550-1)</f>
        <v/>
      </c>
      <c r="E11550" s="41" t="str">
        <f aca="false">IFERROR(INDEX($L$11548:$L$11551,MATCH($O11550,$N$11548:$N$11551,0)),"")</f>
        <v/>
      </c>
      <c r="F11550" s="41" t="str">
        <f aca="false">IF(E11550="","",E11550-C11550)</f>
        <v/>
      </c>
      <c r="J11550" s="25" t="str">
        <f aca="false">Lib_Jur</f>
        <v>Mission juridique (approbation des comptes, secrétariat juridique)</v>
      </c>
      <c r="K11550" s="25" t="n">
        <f aca="false">IF($K$11521=0,0,N(INDEX(Clients!$M$2:$M$501,$K$11521)))</f>
        <v>0</v>
      </c>
      <c r="L11550" s="25" t="n">
        <f aca="false">IF($K$11521=0,0,N(INDEX(Clients!$R$2:$R$501,$K$11521)))</f>
        <v>0</v>
      </c>
      <c r="M11550" s="25" t="n">
        <f aca="false">IF(OR(K11550&lt;&gt;0,L11550&lt;&gt;0),1,0)</f>
        <v>0</v>
      </c>
      <c r="N11550" s="25" t="str">
        <f aca="false">IF(M11550=1,SUM($M$11548:M11550),"")</f>
        <v/>
      </c>
      <c r="O11550" s="25" t="n">
        <v>3</v>
      </c>
    </row>
    <row r="11551" customFormat="false" ht="16.5" hidden="false" customHeight="true" outlineLevel="0" collapsed="false">
      <c r="B11551" s="40" t="str">
        <f aca="false">IFERROR(INDEX($J$11548:$J$11551,MATCH($O11551,$N$11548:$N$11551,0)),"")</f>
        <v/>
      </c>
      <c r="C11551" s="41" t="str">
        <f aca="false">IFERROR(INDEX($K$11548:$K$11551,MATCH($O11551,$N$11548:$N$11551,0)),"")</f>
        <v/>
      </c>
      <c r="D11551" s="42" t="str">
        <f aca="false">IF(OR(E11551="",N(C11551)=0),"",E11551/C11551-1)</f>
        <v/>
      </c>
      <c r="E11551" s="41" t="str">
        <f aca="false">IFERROR(INDEX($L$11548:$L$11551,MATCH($O11551,$N$11548:$N$11551,0)),"")</f>
        <v/>
      </c>
      <c r="F11551" s="41" t="str">
        <f aca="false">IF(E11551="","",E11551-C11551)</f>
        <v/>
      </c>
      <c r="J11551" s="25" t="str">
        <f aca="false">Lib_PA</f>
        <v>Plateforme agréée – facturation électronique</v>
      </c>
      <c r="K11551" s="25" t="n">
        <f aca="false">IF($K$11521=0,0,N(INDEX(Clients!$N$2:$N$501,$K$11521)))</f>
        <v>0</v>
      </c>
      <c r="L11551" s="25" t="n">
        <f aca="false">IF($K$11521=0,0,N(INDEX(Clients!$S$2:$S$501,$K$11521)))</f>
        <v>0</v>
      </c>
      <c r="M11551" s="25" t="n">
        <f aca="false">IF(OR(K11551&lt;&gt;0,L11551&lt;&gt;0),1,0)</f>
        <v>0</v>
      </c>
      <c r="N11551" s="25" t="str">
        <f aca="false">IF(M11551=1,SUM($M$11548:M11551),"")</f>
        <v/>
      </c>
      <c r="O11551" s="25" t="n">
        <v>4</v>
      </c>
    </row>
    <row r="11552" customFormat="false" ht="18" hidden="false" customHeight="true" outlineLevel="0" collapsed="false">
      <c r="B11552" s="43" t="s">
        <v>158</v>
      </c>
      <c r="C11552" s="44" t="n">
        <f aca="false">SUM(K11548:K11551)</f>
        <v>0</v>
      </c>
      <c r="D11552" s="45" t="str">
        <f aca="false">IF(N(C11552)=0,"",E11552/C11552-1)</f>
        <v/>
      </c>
      <c r="E11552" s="44" t="n">
        <f aca="false">SUM(L11548:L11551)</f>
        <v>0</v>
      </c>
      <c r="F11552" s="44" t="n">
        <f aca="false">E11552-C11552</f>
        <v>0</v>
      </c>
    </row>
    <row r="11553" customFormat="false" ht="15" hidden="false" customHeight="false" outlineLevel="0" collapsed="false">
      <c r="B11553" s="46" t="str">
        <f aca="false">IF(N(Nb_Mensualites)=0,"","Soit "&amp;FIXED(E11552/Nb_Mensualites,2)&amp;" € HT par échéance ("&amp;Nb_Mensualites&amp;" échéances), "&amp;FIXED(E11552/Nb_Mensualites*(1+Taux_TVA),2)&amp;" € TTC.")</f>
        <v>Soit 0.00 € HT par échéance (12 échéances), 0.00 € TTC.</v>
      </c>
      <c r="C11553" s="46"/>
      <c r="D11553" s="46"/>
      <c r="E11553" s="46"/>
      <c r="F11553" s="46"/>
    </row>
    <row r="11554" customFormat="false" ht="7.5" hidden="false" customHeight="true" outlineLevel="0" collapsed="false">
      <c r="B11554" s="10"/>
      <c r="C11554" s="10"/>
      <c r="D11554" s="10"/>
      <c r="E11554" s="10"/>
      <c r="F11554" s="10"/>
    </row>
    <row r="11555" customFormat="false" ht="36.75" hidden="false" customHeight="true" outlineLevel="0" collapsed="false">
      <c r="B11555" s="37" t="str">
        <f aca="false">SUBSTITUTE(SUBSTITUTE(SUBSTITUTE(SUBSTITUTE(SUBSTITUTE(Txt_P5,"{cabinet}",Cab_Nom),"{societe}",IF($K$11521=0,"",INDEX(Clients!$E$2:$E$501,$K$11521)&amp;"")),"{date_effet}",$K$11523),"{hausse}",$K$11524),"{civilite}",$K$11522)</f>
        <v>Les autres conditions de votre lettre de mission demeurent inchangées. Les nouveaux montants seront appliqués automatiquement sur vos prochaines factures et échéances de prélèvement.</v>
      </c>
      <c r="C11555" s="37"/>
      <c r="D11555" s="37"/>
      <c r="E11555" s="37"/>
      <c r="F11555" s="37"/>
    </row>
    <row r="11556" customFormat="false" ht="36.75" hidden="false" customHeight="true" outlineLevel="0" collapsed="false">
      <c r="B11556" s="37" t="str">
        <f aca="false">SUBSTITUTE(SUBSTITUTE(SUBSTITUTE(SUBSTITUTE(SUBSTITUTE(Txt_P6,"{cabinet}",Cab_Nom),"{societe}",IF($K$11521=0,"",INDEX(Clients!$E$2:$E$501,$K$11521)&amp;"")),"{date_effet}",$K$11523),"{hausse}",$K$11524),"{civilite}",$K$11522)</f>
        <v>Votre interlocuteur habituel reste à votre entière disposition pour répondre à vos questions et faire le point sur l'évolution de vos besoins.</v>
      </c>
      <c r="C11556" s="37"/>
      <c r="D11556" s="37"/>
      <c r="E11556" s="37"/>
      <c r="F11556" s="37"/>
    </row>
    <row r="11557" customFormat="false" ht="24" hidden="false" customHeight="true" outlineLevel="0" collapsed="false">
      <c r="B11557" s="37" t="str">
        <f aca="false">SUBSTITUTE(SUBSTITUTE(SUBSTITUTE(SUBSTITUTE(SUBSTITUTE(Txt_Politesse,"{cabinet}",Cab_Nom),"{societe}",IF($K$11521=0,"",INDEX(Clients!$E$2:$E$501,$K$11521)&amp;"")),"{date_effet}",$K$11523),"{hausse}",$K$11524),"{civilite}",$K$11522)</f>
        <v>Nous vous prions d'agréer, Madame, Monsieur, l'expression de nos salutations distinguées.</v>
      </c>
      <c r="C11557" s="37"/>
      <c r="D11557" s="37"/>
      <c r="E11557" s="37"/>
      <c r="F11557" s="37"/>
    </row>
    <row r="11558" customFormat="false" ht="15" hidden="false" customHeight="false" outlineLevel="0" collapsed="false">
      <c r="B11558" s="10"/>
      <c r="C11558" s="10"/>
      <c r="D11558" s="10"/>
      <c r="E11558" s="10"/>
      <c r="F11558" s="10"/>
    </row>
    <row r="11559" customFormat="false" ht="15" hidden="false" customHeight="false" outlineLevel="0" collapsed="false">
      <c r="B11559" s="10"/>
      <c r="C11559" s="10"/>
      <c r="D11559" s="34" t="str">
        <f aca="false">Signataire</f>
        <v>Prénom NOM</v>
      </c>
      <c r="E11559" s="34"/>
      <c r="F11559" s="34"/>
    </row>
    <row r="11560" customFormat="false" ht="15" hidden="false" customHeight="false" outlineLevel="0" collapsed="false">
      <c r="B11560" s="10"/>
      <c r="C11560" s="10"/>
      <c r="D11560" s="47" t="str">
        <f aca="false">Signataire_Titre</f>
        <v>Expert-comptable associé</v>
      </c>
      <c r="E11560" s="47"/>
      <c r="F11560" s="47"/>
    </row>
    <row r="11561" customFormat="false" ht="15.75" hidden="false" customHeight="true" outlineLevel="0" collapsed="false">
      <c r="B11561" s="10"/>
      <c r="C11561" s="10"/>
      <c r="D11561" s="10"/>
      <c r="E11561" s="10"/>
      <c r="F11561" s="10"/>
    </row>
    <row r="11562" customFormat="false" ht="15.75" hidden="false" customHeight="true" outlineLevel="0" collapsed="false">
      <c r="B11562" s="10"/>
      <c r="C11562" s="10"/>
      <c r="D11562" s="10"/>
      <c r="E11562" s="10"/>
      <c r="F11562" s="10"/>
    </row>
    <row r="11563" customFormat="false" ht="15.75" hidden="false" customHeight="true" outlineLevel="0" collapsed="false">
      <c r="B11563" s="10"/>
      <c r="C11563" s="10"/>
      <c r="D11563" s="10"/>
      <c r="E11563" s="10"/>
      <c r="F11563" s="10"/>
    </row>
    <row r="11564" customFormat="false" ht="15.75" hidden="false" customHeight="true" outlineLevel="0" collapsed="false">
      <c r="B11564" s="10"/>
      <c r="C11564" s="10"/>
      <c r="D11564" s="10"/>
      <c r="E11564" s="10"/>
      <c r="F11564" s="10"/>
    </row>
    <row r="11565" customFormat="false" ht="24" hidden="false" customHeight="true" outlineLevel="0" collapsed="false">
      <c r="B11565" s="48" t="str">
        <f aca="false">Cab_Mentions</f>
        <v>ALTHO EXPERTISE · SAS au capital de 10 000 € · RCS Pontoise 919 706 325 · TVA FR62919706325 · Société d'expertise comptable inscrite au Tableau de l'Ordre des experts-comptables de Paris Île-de-France</v>
      </c>
      <c r="C11565" s="48"/>
      <c r="D11565" s="48"/>
      <c r="E11565" s="48"/>
      <c r="F11565" s="48"/>
    </row>
    <row r="11566" customFormat="false" ht="15" hidden="false" customHeight="false" outlineLevel="0" collapsed="false">
      <c r="B11566" s="10"/>
      <c r="C11566" s="10"/>
      <c r="D11566" s="10"/>
      <c r="E11566" s="10"/>
      <c r="F11566" s="10"/>
      <c r="J11566" s="25" t="s">
        <v>142</v>
      </c>
      <c r="K11566" s="25" t="n">
        <f aca="false">IFERROR(MATCH(258,Clients!$Z$2:$Z$501,0),0)</f>
        <v>0</v>
      </c>
      <c r="L11566" s="25"/>
      <c r="M11566" s="25"/>
      <c r="N11566" s="25"/>
      <c r="O11566" s="25"/>
    </row>
    <row r="11567" customFormat="false" ht="21.75" hidden="false" customHeight="true" outlineLevel="0" collapsed="false">
      <c r="B11567" s="26" t="str">
        <f aca="false">Cab_Nom</f>
        <v>ALTHO EXPERTISE</v>
      </c>
      <c r="C11567" s="26"/>
      <c r="D11567" s="10"/>
      <c r="E11567" s="27" t="str">
        <f aca="false">IF($K$11566=0,"","Réf. client : "&amp;INDEX(Clients!$A$2:$A$501,$K$11566))</f>
        <v/>
      </c>
      <c r="F11567" s="27"/>
      <c r="J11567" s="25" t="s">
        <v>144</v>
      </c>
      <c r="K11567" s="25" t="str">
        <f aca="false">IF(IF($K$11566=0,"",INDEX(Clients!$B$2:$B$501,$K$11566)&amp;"")="Mme","Madame",IF(IF($K$11566=0,"",INDEX(Clients!$B$2:$B$501,$K$11566)&amp;"")="M.","Monsieur","Madame, Monsieur"))</f>
        <v>Madame, Monsieur</v>
      </c>
      <c r="L11567" s="25"/>
      <c r="M11567" s="25"/>
      <c r="N11567" s="25"/>
      <c r="O11567" s="25"/>
    </row>
    <row r="11568" customFormat="false" ht="15" hidden="false" customHeight="false" outlineLevel="0" collapsed="false">
      <c r="B11568" s="29" t="str">
        <f aca="false">Cab_Adr1</f>
        <v>141 rue Charles de Gaulle</v>
      </c>
      <c r="C11568" s="29"/>
      <c r="D11568" s="10"/>
      <c r="E11568" s="10"/>
      <c r="F11568" s="10"/>
      <c r="J11568" s="25" t="s">
        <v>145</v>
      </c>
      <c r="K11568" s="25" t="str">
        <f aca="false">DAY(Date_Effet)&amp;IF(DAY(Date_Effet)=1,"er","")&amp;" "&amp;INDEX(Liste_Mois,MONTH(Date_Effet))&amp;" "&amp;YEAR(Date_Effet)</f>
        <v>1er janvier 2027</v>
      </c>
      <c r="L11568" s="25"/>
      <c r="M11568" s="25"/>
      <c r="N11568" s="25"/>
      <c r="O11568" s="25"/>
    </row>
    <row r="11569" customFormat="false" ht="15" hidden="false" customHeight="false" outlineLevel="0" collapsed="false">
      <c r="B11569" s="29" t="str">
        <f aca="false">Cab_CPVille</f>
        <v>95130 LE PLESSIS-BOUCHARD</v>
      </c>
      <c r="C11569" s="29"/>
      <c r="D11569" s="10"/>
      <c r="E11569" s="10"/>
      <c r="F11569" s="10"/>
      <c r="J11569" s="25" t="s">
        <v>146</v>
      </c>
      <c r="K11569" s="25" t="str">
        <f aca="false">IF(SUM($K$11593:$K$11596)=0,"",FIXED((SUM($L$11593:$L$11596)/SUM($K$11593:$K$11596)-1)*100,1)&amp;" %")</f>
        <v/>
      </c>
      <c r="L11569" s="25"/>
      <c r="M11569" s="25"/>
      <c r="N11569" s="25"/>
      <c r="O11569" s="25"/>
    </row>
    <row r="11570" customFormat="false" ht="15" hidden="false" customHeight="false" outlineLevel="0" collapsed="false">
      <c r="B11570" s="29" t="str">
        <f aca="false">Cab_Contact</f>
        <v>Tél. 01 34 14 53 45  ·  altho@altho-experts.com  ·  altho-experts.com</v>
      </c>
      <c r="C11570" s="29"/>
      <c r="D11570" s="10"/>
      <c r="E11570" s="10"/>
      <c r="F11570" s="10"/>
      <c r="J11570" s="25"/>
      <c r="K11570" s="25"/>
      <c r="L11570" s="25"/>
      <c r="M11570" s="25"/>
      <c r="N11570" s="25"/>
      <c r="O11570" s="25"/>
    </row>
    <row r="11571" customFormat="false" ht="6" hidden="false" customHeight="true" outlineLevel="0" collapsed="false">
      <c r="B11571" s="32"/>
      <c r="C11571" s="32"/>
      <c r="D11571" s="32"/>
      <c r="E11571" s="32"/>
      <c r="F11571" s="32"/>
      <c r="J11571" s="25"/>
      <c r="K11571" s="25"/>
      <c r="L11571" s="25"/>
      <c r="M11571" s="25"/>
      <c r="N11571" s="25"/>
      <c r="O11571" s="25"/>
    </row>
    <row r="11572" customFormat="false" ht="13.5" hidden="false" customHeight="true" outlineLevel="0" collapsed="false">
      <c r="B11572" s="10"/>
      <c r="C11572" s="10"/>
      <c r="D11572" s="10"/>
      <c r="E11572" s="10"/>
      <c r="F11572" s="10"/>
      <c r="J11572" s="25"/>
      <c r="K11572" s="25"/>
      <c r="L11572" s="25"/>
      <c r="M11572" s="25"/>
      <c r="N11572" s="25"/>
      <c r="O11572" s="25"/>
    </row>
    <row r="11573" customFormat="false" ht="13.5" hidden="false" customHeight="true" outlineLevel="0" collapsed="false">
      <c r="B11573" s="10"/>
      <c r="C11573" s="10"/>
      <c r="D11573" s="10"/>
      <c r="E11573" s="10"/>
      <c r="F11573" s="10"/>
      <c r="J11573" s="25"/>
      <c r="K11573" s="25"/>
      <c r="L11573" s="25"/>
      <c r="M11573" s="25"/>
      <c r="N11573" s="25"/>
      <c r="O11573" s="25"/>
    </row>
    <row r="11574" customFormat="false" ht="13.5" hidden="false" customHeight="true" outlineLevel="0" collapsed="false">
      <c r="B11574" s="10"/>
      <c r="C11574" s="10"/>
      <c r="D11574" s="10"/>
      <c r="E11574" s="10"/>
      <c r="F11574" s="10"/>
      <c r="J11574" s="25"/>
      <c r="K11574" s="25"/>
      <c r="L11574" s="25"/>
      <c r="M11574" s="25"/>
      <c r="N11574" s="25"/>
      <c r="O11574" s="25"/>
    </row>
    <row r="11575" customFormat="false" ht="15" hidden="false" customHeight="true" outlineLevel="0" collapsed="false">
      <c r="B11575" s="10"/>
      <c r="C11575" s="10"/>
      <c r="D11575" s="34" t="str">
        <f aca="false">IF($K$11566=0,"",INDEX(Clients!$E$2:$E$501,$K$11566)&amp;"")</f>
        <v/>
      </c>
      <c r="E11575" s="34"/>
      <c r="F11575" s="34"/>
      <c r="J11575" s="25"/>
      <c r="K11575" s="25"/>
      <c r="L11575" s="25"/>
      <c r="M11575" s="25"/>
      <c r="N11575" s="25"/>
      <c r="O11575" s="25"/>
    </row>
    <row r="11576" customFormat="false" ht="15" hidden="false" customHeight="true" outlineLevel="0" collapsed="false">
      <c r="B11576" s="10"/>
      <c r="C11576" s="10"/>
      <c r="D11576" s="35" t="str">
        <f aca="false">IF(IF($K$11566=0,"",INDEX(Clients!$D$2:$D$501,$K$11566)&amp;"")="","","À l'attention de "&amp;TRIM(IF($K$11566=0,"",INDEX(Clients!$B$2:$B$501,$K$11566)&amp;"")&amp;" "&amp;IF($K$11566=0,"",INDEX(Clients!$C$2:$C$501,$K$11566)&amp;"")&amp;" "&amp;IF($K$11566=0,"",INDEX(Clients!$D$2:$D$501,$K$11566)&amp;"")))</f>
        <v/>
      </c>
      <c r="E11576" s="35"/>
      <c r="F11576" s="35"/>
      <c r="J11576" s="25"/>
      <c r="K11576" s="25"/>
      <c r="L11576" s="25"/>
      <c r="M11576" s="25"/>
      <c r="N11576" s="25"/>
      <c r="O11576" s="25"/>
    </row>
    <row r="11577" customFormat="false" ht="15" hidden="false" customHeight="true" outlineLevel="0" collapsed="false">
      <c r="B11577" s="10"/>
      <c r="C11577" s="10"/>
      <c r="D11577" s="35" t="str">
        <f aca="false">IF($K$11566=0,"",INDEX(Clients!$F$2:$F$501,$K$11566)&amp;"")</f>
        <v/>
      </c>
      <c r="E11577" s="35"/>
      <c r="F11577" s="35"/>
      <c r="J11577" s="25"/>
      <c r="K11577" s="25"/>
      <c r="L11577" s="25"/>
      <c r="M11577" s="25"/>
      <c r="N11577" s="25"/>
      <c r="O11577" s="25"/>
    </row>
    <row r="11578" customFormat="false" ht="15" hidden="false" customHeight="true" outlineLevel="0" collapsed="false">
      <c r="B11578" s="10"/>
      <c r="C11578" s="10"/>
      <c r="D11578" s="35" t="str">
        <f aca="false">IF(IF($K$11566=0,"",INDEX(Clients!$G$2:$G$501,$K$11566)&amp;"")="",TRIM(IF($K$11566=0,"",INDEX(Clients!$H$2:$H$501,$K$11566)&amp;"")&amp;" "&amp;UPPER(IF($K$11566=0,"",INDEX(Clients!$I$2:$I$501,$K$11566)&amp;""))),IF($K$11566=0,"",INDEX(Clients!$G$2:$G$501,$K$11566)&amp;""))</f>
        <v/>
      </c>
      <c r="E11578" s="35"/>
      <c r="F11578" s="35"/>
      <c r="J11578" s="25"/>
      <c r="K11578" s="25"/>
      <c r="L11578" s="25"/>
      <c r="M11578" s="25"/>
      <c r="N11578" s="25"/>
      <c r="O11578" s="25"/>
    </row>
    <row r="11579" customFormat="false" ht="15" hidden="false" customHeight="true" outlineLevel="0" collapsed="false">
      <c r="B11579" s="10"/>
      <c r="C11579" s="10"/>
      <c r="D11579" s="35" t="str">
        <f aca="false">IF(IF($K$11566=0,"",INDEX(Clients!$G$2:$G$501,$K$11566)&amp;"")="","",TRIM(IF($K$11566=0,"",INDEX(Clients!$H$2:$H$501,$K$11566)&amp;"")&amp;" "&amp;UPPER(IF($K$11566=0,"",INDEX(Clients!$I$2:$I$501,$K$11566)&amp;""))))</f>
        <v/>
      </c>
      <c r="E11579" s="35"/>
      <c r="F11579" s="35"/>
      <c r="J11579" s="25"/>
      <c r="K11579" s="25"/>
      <c r="L11579" s="25"/>
      <c r="M11579" s="25"/>
      <c r="N11579" s="25"/>
      <c r="O11579" s="25"/>
    </row>
    <row r="11580" customFormat="false" ht="25.5" hidden="false" customHeight="true" outlineLevel="0" collapsed="false">
      <c r="B11580" s="10"/>
      <c r="C11580" s="10"/>
      <c r="D11580" s="10"/>
      <c r="E11580" s="10"/>
      <c r="F11580" s="10"/>
      <c r="J11580" s="25"/>
      <c r="K11580" s="25"/>
      <c r="L11580" s="25"/>
      <c r="M11580" s="25"/>
      <c r="N11580" s="25"/>
      <c r="O11580" s="25"/>
    </row>
    <row r="11581" customFormat="false" ht="15" hidden="false" customHeight="false" outlineLevel="0" collapsed="false">
      <c r="B11581" s="10"/>
      <c r="C11581" s="10"/>
      <c r="D11581" s="36" t="str">
        <f aca="false">Cab_Ville&amp;", le "&amp;DAY(Date_Courrier)&amp;IF(DAY(Date_Courrier)=1,"er","")&amp;" "&amp;INDEX(Liste_Mois,MONTH(Date_Courrier))&amp;" "&amp;YEAR(Date_Courrier)</f>
        <v>Le Plessis-Bouchard, le 22 septembre 2026</v>
      </c>
      <c r="E11581" s="36"/>
      <c r="F11581" s="36"/>
      <c r="J11581" s="25"/>
      <c r="K11581" s="25"/>
      <c r="L11581" s="25"/>
      <c r="M11581" s="25"/>
      <c r="N11581" s="25"/>
      <c r="O11581" s="25"/>
    </row>
    <row r="11582" customFormat="false" ht="19.5" hidden="false" customHeight="true" outlineLevel="0" collapsed="false">
      <c r="B11582" s="10"/>
      <c r="C11582" s="10"/>
      <c r="D11582" s="10"/>
      <c r="E11582" s="10"/>
      <c r="F11582" s="10"/>
      <c r="J11582" s="25"/>
      <c r="K11582" s="25"/>
      <c r="L11582" s="25"/>
      <c r="M11582" s="25"/>
      <c r="N11582" s="25"/>
      <c r="O11582" s="25"/>
    </row>
    <row r="11583" customFormat="false" ht="15" hidden="false" customHeight="false" outlineLevel="0" collapsed="false">
      <c r="B11583" s="34" t="str">
        <f aca="false">SUBSTITUTE(SUBSTITUTE(SUBSTITUTE(SUBSTITUTE(SUBSTITUTE(Txt_Objet,"{cabinet}",Cab_Nom),"{societe}",IF($K$11566=0,"",INDEX(Clients!$E$2:$E$501,$K$11566)&amp;"")),"{date_effet}",$K$11568),"{hausse}",$K$11569),"{civilite}",$K$11567)</f>
        <v>Objet : révision de nos honoraires au 1er janvier 2027</v>
      </c>
      <c r="C11583" s="34"/>
      <c r="D11583" s="34"/>
      <c r="E11583" s="34"/>
      <c r="F11583" s="34"/>
      <c r="J11583" s="25"/>
      <c r="K11583" s="25"/>
      <c r="L11583" s="25"/>
      <c r="M11583" s="25"/>
      <c r="N11583" s="25"/>
      <c r="O11583" s="25"/>
    </row>
    <row r="11584" customFormat="false" ht="13.5" hidden="false" customHeight="true" outlineLevel="0" collapsed="false">
      <c r="B11584" s="10"/>
      <c r="C11584" s="10"/>
      <c r="D11584" s="10"/>
      <c r="E11584" s="10"/>
      <c r="F11584" s="10"/>
      <c r="J11584" s="25"/>
      <c r="K11584" s="25"/>
      <c r="L11584" s="25"/>
      <c r="M11584" s="25"/>
      <c r="N11584" s="25"/>
      <c r="O11584" s="25"/>
    </row>
    <row r="11585" customFormat="false" ht="15" hidden="false" customHeight="false" outlineLevel="0" collapsed="false">
      <c r="B11585" s="10" t="str">
        <f aca="false">$K$11567&amp;","</f>
        <v>Madame, Monsieur,</v>
      </c>
      <c r="C11585" s="10"/>
      <c r="D11585" s="10"/>
      <c r="E11585" s="10"/>
      <c r="F11585" s="10"/>
      <c r="J11585" s="25"/>
      <c r="K11585" s="25"/>
      <c r="L11585" s="25"/>
      <c r="M11585" s="25"/>
      <c r="N11585" s="25"/>
      <c r="O11585" s="25"/>
    </row>
    <row r="11586" customFormat="false" ht="6" hidden="false" customHeight="true" outlineLevel="0" collapsed="false">
      <c r="B11586" s="10"/>
      <c r="C11586" s="10"/>
      <c r="D11586" s="10"/>
      <c r="E11586" s="10"/>
      <c r="F11586" s="10"/>
      <c r="J11586" s="25"/>
      <c r="K11586" s="25"/>
      <c r="L11586" s="25"/>
      <c r="M11586" s="25"/>
      <c r="N11586" s="25"/>
      <c r="O11586" s="25"/>
    </row>
    <row r="11587" customFormat="false" ht="36.75" hidden="false" customHeight="true" outlineLevel="0" collapsed="false">
      <c r="B11587" s="37" t="str">
        <f aca="false">SUBSTITUTE(SUBSTITUTE(SUBSTITUTE(SUBSTITUTE(SUBSTITUTE(Txt_P1,"{cabinet}",Cab_Nom),"{societe}",IF($K$11566=0,"",INDEX(Clients!$E$2:$E$501,$K$11566)&amp;"")),"{date_effet}",$K$11568),"{hausse}",$K$11569),"{civilite}",$K$11567)</f>
        <v>Nous tenons tout d'abord à vous remercier pour la confiance que vous accordez à ALTHO EXPERTISE. Comme chaque année, et conformément aux dispositions de votre lettre de mission, nous procédons à la révision de nos honoraires.</v>
      </c>
      <c r="C11587" s="37"/>
      <c r="D11587" s="37"/>
      <c r="E11587" s="37"/>
      <c r="F11587" s="37"/>
      <c r="J11587" s="25"/>
      <c r="K11587" s="25"/>
      <c r="L11587" s="25"/>
      <c r="M11587" s="25"/>
      <c r="N11587" s="25"/>
      <c r="O11587" s="25"/>
    </row>
    <row r="11588" customFormat="false" ht="49.5" hidden="false" customHeight="true" outlineLevel="0" collapsed="false">
      <c r="B11588" s="37" t="str">
        <f aca="false">SUBSTITUTE(SUBSTITUTE(SUBSTITUTE(SUBSTITUTE(SUBSTITUTE(Txt_P2,"{cabinet}",Cab_Nom),"{societe}",IF($K$11566=0,"",INDEX(Clients!$E$2:$E$501,$K$11566)&amp;"")),"{date_effet}",$K$11568),"{hausse}",$K$11569),"{civilite}",$K$11567)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588" s="37"/>
      <c r="D11588" s="37"/>
      <c r="E11588" s="37"/>
      <c r="F11588" s="37"/>
      <c r="J11588" s="25"/>
      <c r="K11588" s="25"/>
      <c r="L11588" s="25"/>
      <c r="M11588" s="25"/>
      <c r="N11588" s="25"/>
      <c r="O11588" s="25"/>
    </row>
    <row r="11589" customFormat="false" ht="63" hidden="false" customHeight="true" outlineLevel="0" collapsed="false">
      <c r="B11589" s="37" t="str">
        <f aca="false">SUBSTITUTE(SUBSTITUTE(SUBSTITUTE(SUBSTITUTE(SUBSTITUTE(Txt_P3,"{cabinet}",Cab_Nom),"{societe}",IF($K$11566=0,"",INDEX(Clients!$E$2:$E$501,$K$11566)&amp;"")),"{date_effet}",$K$11568),"{hausse}",$K$11569),"{civilite}",$K$11567)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589" s="37"/>
      <c r="D11589" s="37"/>
      <c r="E11589" s="37"/>
      <c r="F11589" s="37"/>
      <c r="J11589" s="25"/>
      <c r="K11589" s="25"/>
      <c r="L11589" s="25"/>
      <c r="M11589" s="25"/>
      <c r="N11589" s="25"/>
      <c r="O11589" s="25"/>
    </row>
    <row r="11590" customFormat="false" ht="24" hidden="false" customHeight="true" outlineLevel="0" collapsed="false">
      <c r="B11590" s="37" t="str">
        <f aca="false">SUBSTITUTE(SUBSTITUTE(SUBSTITUTE(SUBSTITUTE(SUBSTITUTE(Txt_P4,"{cabinet}",Cab_Nom),"{societe}",IF($K$11566=0,"",INDEX(Clients!$E$2:$E$501,$K$11566)&amp;"")),"{date_effet}",$K$11568),"{hausse}",$K$11569),"{civilite}",$K$11567)</f>
        <v>À compter du 1er janvier 2027, vos honoraires annuels hors taxes évolueront ainsi (évolution globale : ) :</v>
      </c>
      <c r="C11590" s="37"/>
      <c r="D11590" s="37"/>
      <c r="E11590" s="37"/>
      <c r="F11590" s="37"/>
      <c r="J11590" s="25"/>
      <c r="K11590" s="25"/>
      <c r="L11590" s="25"/>
      <c r="M11590" s="25"/>
      <c r="N11590" s="25"/>
      <c r="O11590" s="25"/>
    </row>
    <row r="11591" customFormat="false" ht="3.75" hidden="false" customHeight="true" outlineLevel="0" collapsed="false">
      <c r="B11591" s="10"/>
      <c r="C11591" s="10"/>
      <c r="D11591" s="10"/>
      <c r="E11591" s="10"/>
      <c r="F11591" s="10"/>
      <c r="J11591" s="25"/>
      <c r="K11591" s="25"/>
      <c r="L11591" s="25"/>
      <c r="M11591" s="25"/>
      <c r="N11591" s="25"/>
      <c r="O11591" s="25"/>
    </row>
    <row r="11592" customFormat="false" ht="18" hidden="false" customHeight="true" outlineLevel="0" collapsed="false">
      <c r="B11592" s="38" t="s">
        <v>148</v>
      </c>
      <c r="C11592" s="39" t="s">
        <v>149</v>
      </c>
      <c r="D11592" s="39" t="s">
        <v>150</v>
      </c>
      <c r="E11592" s="39" t="s">
        <v>151</v>
      </c>
      <c r="F11592" s="39" t="s">
        <v>109</v>
      </c>
      <c r="J11592" s="25" t="s">
        <v>152</v>
      </c>
      <c r="K11592" s="25" t="s">
        <v>153</v>
      </c>
      <c r="L11592" s="25" t="s">
        <v>154</v>
      </c>
      <c r="M11592" s="25" t="s">
        <v>155</v>
      </c>
      <c r="N11592" s="25" t="s">
        <v>156</v>
      </c>
      <c r="O11592" s="25" t="s">
        <v>157</v>
      </c>
    </row>
    <row r="11593" customFormat="false" ht="16.5" hidden="false" customHeight="true" outlineLevel="0" collapsed="false">
      <c r="B11593" s="40" t="str">
        <f aca="false">IFERROR(INDEX($J$11593:$J$11596,MATCH($O11593,$N$11593:$N$11596,0)),"")</f>
        <v/>
      </c>
      <c r="C11593" s="41" t="str">
        <f aca="false">IFERROR(INDEX($K$11593:$K$11596,MATCH($O11593,$N$11593:$N$11596,0)),"")</f>
        <v/>
      </c>
      <c r="D11593" s="42" t="str">
        <f aca="false">IF(OR(E11593="",N(C11593)=0),"",E11593/C11593-1)</f>
        <v/>
      </c>
      <c r="E11593" s="41" t="str">
        <f aca="false">IFERROR(INDEX($L$11593:$L$11596,MATCH($O11593,$N$11593:$N$11596,0)),"")</f>
        <v/>
      </c>
      <c r="F11593" s="41" t="str">
        <f aca="false">IF(E11593="","",E11593-C11593)</f>
        <v/>
      </c>
      <c r="J11593" s="25" t="str">
        <f aca="false">Lib_Compta</f>
        <v>Mission comptable (tenue, révision, bilan, liasse fiscale)</v>
      </c>
      <c r="K11593" s="25" t="n">
        <f aca="false">IF($K$11566=0,0,N(INDEX(Clients!$K$2:$K$501,$K$11566)))</f>
        <v>0</v>
      </c>
      <c r="L11593" s="25" t="n">
        <f aca="false">IF($K$11566=0,0,N(INDEX(Clients!$P$2:$P$501,$K$11566)))</f>
        <v>0</v>
      </c>
      <c r="M11593" s="25" t="n">
        <f aca="false">IF(OR(K11593&lt;&gt;0,L11593&lt;&gt;0),1,0)</f>
        <v>0</v>
      </c>
      <c r="N11593" s="25" t="str">
        <f aca="false">IF(M11593=1,SUM($M$11593:M11593),"")</f>
        <v/>
      </c>
      <c r="O11593" s="25" t="n">
        <v>1</v>
      </c>
    </row>
    <row r="11594" customFormat="false" ht="16.5" hidden="false" customHeight="true" outlineLevel="0" collapsed="false">
      <c r="B11594" s="40" t="str">
        <f aca="false">IFERROR(INDEX($J$11593:$J$11596,MATCH($O11594,$N$11593:$N$11596,0)),"")</f>
        <v/>
      </c>
      <c r="C11594" s="41" t="str">
        <f aca="false">IFERROR(INDEX($K$11593:$K$11596,MATCH($O11594,$N$11593:$N$11596,0)),"")</f>
        <v/>
      </c>
      <c r="D11594" s="42" t="str">
        <f aca="false">IF(OR(E11594="",N(C11594)=0),"",E11594/C11594-1)</f>
        <v/>
      </c>
      <c r="E11594" s="41" t="str">
        <f aca="false">IFERROR(INDEX($L$11593:$L$11596,MATCH($O11594,$N$11593:$N$11596,0)),"")</f>
        <v/>
      </c>
      <c r="F11594" s="41" t="str">
        <f aca="false">IF(E11594="","",E11594-C11594)</f>
        <v/>
      </c>
      <c r="J11594" s="25" t="str">
        <f aca="false">Lib_Paye</f>
        <v>Mission sociale (bulletins de paie, DSN, déclarations sociales)</v>
      </c>
      <c r="K11594" s="25" t="n">
        <f aca="false">IF($K$11566=0,0,N(INDEX(Clients!$L$2:$L$501,$K$11566)))</f>
        <v>0</v>
      </c>
      <c r="L11594" s="25" t="n">
        <f aca="false">IF($K$11566=0,0,N(INDEX(Clients!$Q$2:$Q$501,$K$11566)))</f>
        <v>0</v>
      </c>
      <c r="M11594" s="25" t="n">
        <f aca="false">IF(OR(K11594&lt;&gt;0,L11594&lt;&gt;0),1,0)</f>
        <v>0</v>
      </c>
      <c r="N11594" s="25" t="str">
        <f aca="false">IF(M11594=1,SUM($M$11593:M11594),"")</f>
        <v/>
      </c>
      <c r="O11594" s="25" t="n">
        <v>2</v>
      </c>
    </row>
    <row r="11595" customFormat="false" ht="16.5" hidden="false" customHeight="true" outlineLevel="0" collapsed="false">
      <c r="B11595" s="40" t="str">
        <f aca="false">IFERROR(INDEX($J$11593:$J$11596,MATCH($O11595,$N$11593:$N$11596,0)),"")</f>
        <v/>
      </c>
      <c r="C11595" s="41" t="str">
        <f aca="false">IFERROR(INDEX($K$11593:$K$11596,MATCH($O11595,$N$11593:$N$11596,0)),"")</f>
        <v/>
      </c>
      <c r="D11595" s="42" t="str">
        <f aca="false">IF(OR(E11595="",N(C11595)=0),"",E11595/C11595-1)</f>
        <v/>
      </c>
      <c r="E11595" s="41" t="str">
        <f aca="false">IFERROR(INDEX($L$11593:$L$11596,MATCH($O11595,$N$11593:$N$11596,0)),"")</f>
        <v/>
      </c>
      <c r="F11595" s="41" t="str">
        <f aca="false">IF(E11595="","",E11595-C11595)</f>
        <v/>
      </c>
      <c r="J11595" s="25" t="str">
        <f aca="false">Lib_Jur</f>
        <v>Mission juridique (approbation des comptes, secrétariat juridique)</v>
      </c>
      <c r="K11595" s="25" t="n">
        <f aca="false">IF($K$11566=0,0,N(INDEX(Clients!$M$2:$M$501,$K$11566)))</f>
        <v>0</v>
      </c>
      <c r="L11595" s="25" t="n">
        <f aca="false">IF($K$11566=0,0,N(INDEX(Clients!$R$2:$R$501,$K$11566)))</f>
        <v>0</v>
      </c>
      <c r="M11595" s="25" t="n">
        <f aca="false">IF(OR(K11595&lt;&gt;0,L11595&lt;&gt;0),1,0)</f>
        <v>0</v>
      </c>
      <c r="N11595" s="25" t="str">
        <f aca="false">IF(M11595=1,SUM($M$11593:M11595),"")</f>
        <v/>
      </c>
      <c r="O11595" s="25" t="n">
        <v>3</v>
      </c>
    </row>
    <row r="11596" customFormat="false" ht="16.5" hidden="false" customHeight="true" outlineLevel="0" collapsed="false">
      <c r="B11596" s="40" t="str">
        <f aca="false">IFERROR(INDEX($J$11593:$J$11596,MATCH($O11596,$N$11593:$N$11596,0)),"")</f>
        <v/>
      </c>
      <c r="C11596" s="41" t="str">
        <f aca="false">IFERROR(INDEX($K$11593:$K$11596,MATCH($O11596,$N$11593:$N$11596,0)),"")</f>
        <v/>
      </c>
      <c r="D11596" s="42" t="str">
        <f aca="false">IF(OR(E11596="",N(C11596)=0),"",E11596/C11596-1)</f>
        <v/>
      </c>
      <c r="E11596" s="41" t="str">
        <f aca="false">IFERROR(INDEX($L$11593:$L$11596,MATCH($O11596,$N$11593:$N$11596,0)),"")</f>
        <v/>
      </c>
      <c r="F11596" s="41" t="str">
        <f aca="false">IF(E11596="","",E11596-C11596)</f>
        <v/>
      </c>
      <c r="J11596" s="25" t="str">
        <f aca="false">Lib_PA</f>
        <v>Plateforme agréée – facturation électronique</v>
      </c>
      <c r="K11596" s="25" t="n">
        <f aca="false">IF($K$11566=0,0,N(INDEX(Clients!$N$2:$N$501,$K$11566)))</f>
        <v>0</v>
      </c>
      <c r="L11596" s="25" t="n">
        <f aca="false">IF($K$11566=0,0,N(INDEX(Clients!$S$2:$S$501,$K$11566)))</f>
        <v>0</v>
      </c>
      <c r="M11596" s="25" t="n">
        <f aca="false">IF(OR(K11596&lt;&gt;0,L11596&lt;&gt;0),1,0)</f>
        <v>0</v>
      </c>
      <c r="N11596" s="25" t="str">
        <f aca="false">IF(M11596=1,SUM($M$11593:M11596),"")</f>
        <v/>
      </c>
      <c r="O11596" s="25" t="n">
        <v>4</v>
      </c>
    </row>
    <row r="11597" customFormat="false" ht="18" hidden="false" customHeight="true" outlineLevel="0" collapsed="false">
      <c r="B11597" s="43" t="s">
        <v>158</v>
      </c>
      <c r="C11597" s="44" t="n">
        <f aca="false">SUM(K11593:K11596)</f>
        <v>0</v>
      </c>
      <c r="D11597" s="45" t="str">
        <f aca="false">IF(N(C11597)=0,"",E11597/C11597-1)</f>
        <v/>
      </c>
      <c r="E11597" s="44" t="n">
        <f aca="false">SUM(L11593:L11596)</f>
        <v>0</v>
      </c>
      <c r="F11597" s="44" t="n">
        <f aca="false">E11597-C11597</f>
        <v>0</v>
      </c>
    </row>
    <row r="11598" customFormat="false" ht="15" hidden="false" customHeight="false" outlineLevel="0" collapsed="false">
      <c r="B11598" s="46" t="str">
        <f aca="false">IF(N(Nb_Mensualites)=0,"","Soit "&amp;FIXED(E11597/Nb_Mensualites,2)&amp;" € HT par échéance ("&amp;Nb_Mensualites&amp;" échéances), "&amp;FIXED(E11597/Nb_Mensualites*(1+Taux_TVA),2)&amp;" € TTC.")</f>
        <v>Soit 0.00 € HT par échéance (12 échéances), 0.00 € TTC.</v>
      </c>
      <c r="C11598" s="46"/>
      <c r="D11598" s="46"/>
      <c r="E11598" s="46"/>
      <c r="F11598" s="46"/>
    </row>
    <row r="11599" customFormat="false" ht="7.5" hidden="false" customHeight="true" outlineLevel="0" collapsed="false">
      <c r="B11599" s="10"/>
      <c r="C11599" s="10"/>
      <c r="D11599" s="10"/>
      <c r="E11599" s="10"/>
      <c r="F11599" s="10"/>
    </row>
    <row r="11600" customFormat="false" ht="36.75" hidden="false" customHeight="true" outlineLevel="0" collapsed="false">
      <c r="B11600" s="37" t="str">
        <f aca="false">SUBSTITUTE(SUBSTITUTE(SUBSTITUTE(SUBSTITUTE(SUBSTITUTE(Txt_P5,"{cabinet}",Cab_Nom),"{societe}",IF($K$11566=0,"",INDEX(Clients!$E$2:$E$501,$K$11566)&amp;"")),"{date_effet}",$K$11568),"{hausse}",$K$11569),"{civilite}",$K$11567)</f>
        <v>Les autres conditions de votre lettre de mission demeurent inchangées. Les nouveaux montants seront appliqués automatiquement sur vos prochaines factures et échéances de prélèvement.</v>
      </c>
      <c r="C11600" s="37"/>
      <c r="D11600" s="37"/>
      <c r="E11600" s="37"/>
      <c r="F11600" s="37"/>
    </row>
    <row r="11601" customFormat="false" ht="36.75" hidden="false" customHeight="true" outlineLevel="0" collapsed="false">
      <c r="B11601" s="37" t="str">
        <f aca="false">SUBSTITUTE(SUBSTITUTE(SUBSTITUTE(SUBSTITUTE(SUBSTITUTE(Txt_P6,"{cabinet}",Cab_Nom),"{societe}",IF($K$11566=0,"",INDEX(Clients!$E$2:$E$501,$K$11566)&amp;"")),"{date_effet}",$K$11568),"{hausse}",$K$11569),"{civilite}",$K$11567)</f>
        <v>Votre interlocuteur habituel reste à votre entière disposition pour répondre à vos questions et faire le point sur l'évolution de vos besoins.</v>
      </c>
      <c r="C11601" s="37"/>
      <c r="D11601" s="37"/>
      <c r="E11601" s="37"/>
      <c r="F11601" s="37"/>
    </row>
    <row r="11602" customFormat="false" ht="24" hidden="false" customHeight="true" outlineLevel="0" collapsed="false">
      <c r="B11602" s="37" t="str">
        <f aca="false">SUBSTITUTE(SUBSTITUTE(SUBSTITUTE(SUBSTITUTE(SUBSTITUTE(Txt_Politesse,"{cabinet}",Cab_Nom),"{societe}",IF($K$11566=0,"",INDEX(Clients!$E$2:$E$501,$K$11566)&amp;"")),"{date_effet}",$K$11568),"{hausse}",$K$11569),"{civilite}",$K$11567)</f>
        <v>Nous vous prions d'agréer, Madame, Monsieur, l'expression de nos salutations distinguées.</v>
      </c>
      <c r="C11602" s="37"/>
      <c r="D11602" s="37"/>
      <c r="E11602" s="37"/>
      <c r="F11602" s="37"/>
    </row>
    <row r="11603" customFormat="false" ht="15" hidden="false" customHeight="false" outlineLevel="0" collapsed="false">
      <c r="B11603" s="10"/>
      <c r="C11603" s="10"/>
      <c r="D11603" s="10"/>
      <c r="E11603" s="10"/>
      <c r="F11603" s="10"/>
    </row>
    <row r="11604" customFormat="false" ht="15" hidden="false" customHeight="false" outlineLevel="0" collapsed="false">
      <c r="B11604" s="10"/>
      <c r="C11604" s="10"/>
      <c r="D11604" s="34" t="str">
        <f aca="false">Signataire</f>
        <v>Prénom NOM</v>
      </c>
      <c r="E11604" s="34"/>
      <c r="F11604" s="34"/>
    </row>
    <row r="11605" customFormat="false" ht="15" hidden="false" customHeight="false" outlineLevel="0" collapsed="false">
      <c r="B11605" s="10"/>
      <c r="C11605" s="10"/>
      <c r="D11605" s="47" t="str">
        <f aca="false">Signataire_Titre</f>
        <v>Expert-comptable associé</v>
      </c>
      <c r="E11605" s="47"/>
      <c r="F11605" s="47"/>
    </row>
    <row r="11606" customFormat="false" ht="15.75" hidden="false" customHeight="true" outlineLevel="0" collapsed="false">
      <c r="B11606" s="10"/>
      <c r="C11606" s="10"/>
      <c r="D11606" s="10"/>
      <c r="E11606" s="10"/>
      <c r="F11606" s="10"/>
    </row>
    <row r="11607" customFormat="false" ht="15.75" hidden="false" customHeight="true" outlineLevel="0" collapsed="false">
      <c r="B11607" s="10"/>
      <c r="C11607" s="10"/>
      <c r="D11607" s="10"/>
      <c r="E11607" s="10"/>
      <c r="F11607" s="10"/>
    </row>
    <row r="11608" customFormat="false" ht="15.75" hidden="false" customHeight="true" outlineLevel="0" collapsed="false">
      <c r="B11608" s="10"/>
      <c r="C11608" s="10"/>
      <c r="D11608" s="10"/>
      <c r="E11608" s="10"/>
      <c r="F11608" s="10"/>
    </row>
    <row r="11609" customFormat="false" ht="15.75" hidden="false" customHeight="true" outlineLevel="0" collapsed="false">
      <c r="B11609" s="10"/>
      <c r="C11609" s="10"/>
      <c r="D11609" s="10"/>
      <c r="E11609" s="10"/>
      <c r="F11609" s="10"/>
    </row>
    <row r="11610" customFormat="false" ht="24" hidden="false" customHeight="true" outlineLevel="0" collapsed="false">
      <c r="B11610" s="48" t="str">
        <f aca="false">Cab_Mentions</f>
        <v>ALTHO EXPERTISE · SAS au capital de 10 000 € · RCS Pontoise 919 706 325 · TVA FR62919706325 · Société d'expertise comptable inscrite au Tableau de l'Ordre des experts-comptables de Paris Île-de-France</v>
      </c>
      <c r="C11610" s="48"/>
      <c r="D11610" s="48"/>
      <c r="E11610" s="48"/>
      <c r="F11610" s="48"/>
    </row>
    <row r="11611" customFormat="false" ht="15" hidden="false" customHeight="false" outlineLevel="0" collapsed="false">
      <c r="B11611" s="10"/>
      <c r="C11611" s="10"/>
      <c r="D11611" s="10"/>
      <c r="E11611" s="10"/>
      <c r="F11611" s="10"/>
      <c r="J11611" s="25" t="s">
        <v>142</v>
      </c>
      <c r="K11611" s="25" t="n">
        <f aca="false">IFERROR(MATCH(259,Clients!$Z$2:$Z$501,0),0)</f>
        <v>0</v>
      </c>
      <c r="L11611" s="25"/>
      <c r="M11611" s="25"/>
      <c r="N11611" s="25"/>
      <c r="O11611" s="25"/>
    </row>
    <row r="11612" customFormat="false" ht="21.75" hidden="false" customHeight="true" outlineLevel="0" collapsed="false">
      <c r="B11612" s="26" t="str">
        <f aca="false">Cab_Nom</f>
        <v>ALTHO EXPERTISE</v>
      </c>
      <c r="C11612" s="26"/>
      <c r="D11612" s="10"/>
      <c r="E11612" s="27" t="str">
        <f aca="false">IF($K$11611=0,"","Réf. client : "&amp;INDEX(Clients!$A$2:$A$501,$K$11611))</f>
        <v/>
      </c>
      <c r="F11612" s="27"/>
      <c r="J11612" s="25" t="s">
        <v>144</v>
      </c>
      <c r="K11612" s="25" t="str">
        <f aca="false">IF(IF($K$11611=0,"",INDEX(Clients!$B$2:$B$501,$K$11611)&amp;"")="Mme","Madame",IF(IF($K$11611=0,"",INDEX(Clients!$B$2:$B$501,$K$11611)&amp;"")="M.","Monsieur","Madame, Monsieur"))</f>
        <v>Madame, Monsieur</v>
      </c>
      <c r="L11612" s="25"/>
      <c r="M11612" s="25"/>
      <c r="N11612" s="25"/>
      <c r="O11612" s="25"/>
    </row>
    <row r="11613" customFormat="false" ht="15" hidden="false" customHeight="false" outlineLevel="0" collapsed="false">
      <c r="B11613" s="29" t="str">
        <f aca="false">Cab_Adr1</f>
        <v>141 rue Charles de Gaulle</v>
      </c>
      <c r="C11613" s="29"/>
      <c r="D11613" s="10"/>
      <c r="E11613" s="10"/>
      <c r="F11613" s="10"/>
      <c r="J11613" s="25" t="s">
        <v>145</v>
      </c>
      <c r="K11613" s="25" t="str">
        <f aca="false">DAY(Date_Effet)&amp;IF(DAY(Date_Effet)=1,"er","")&amp;" "&amp;INDEX(Liste_Mois,MONTH(Date_Effet))&amp;" "&amp;YEAR(Date_Effet)</f>
        <v>1er janvier 2027</v>
      </c>
      <c r="L11613" s="25"/>
      <c r="M11613" s="25"/>
      <c r="N11613" s="25"/>
      <c r="O11613" s="25"/>
    </row>
    <row r="11614" customFormat="false" ht="15" hidden="false" customHeight="false" outlineLevel="0" collapsed="false">
      <c r="B11614" s="29" t="str">
        <f aca="false">Cab_CPVille</f>
        <v>95130 LE PLESSIS-BOUCHARD</v>
      </c>
      <c r="C11614" s="29"/>
      <c r="D11614" s="10"/>
      <c r="E11614" s="10"/>
      <c r="F11614" s="10"/>
      <c r="J11614" s="25" t="s">
        <v>146</v>
      </c>
      <c r="K11614" s="25" t="str">
        <f aca="false">IF(SUM($K$11638:$K$11641)=0,"",FIXED((SUM($L$11638:$L$11641)/SUM($K$11638:$K$11641)-1)*100,1)&amp;" %")</f>
        <v/>
      </c>
      <c r="L11614" s="25"/>
      <c r="M11614" s="25"/>
      <c r="N11614" s="25"/>
      <c r="O11614" s="25"/>
    </row>
    <row r="11615" customFormat="false" ht="15" hidden="false" customHeight="false" outlineLevel="0" collapsed="false">
      <c r="B11615" s="29" t="str">
        <f aca="false">Cab_Contact</f>
        <v>Tél. 01 34 14 53 45  ·  altho@altho-experts.com  ·  altho-experts.com</v>
      </c>
      <c r="C11615" s="29"/>
      <c r="D11615" s="10"/>
      <c r="E11615" s="10"/>
      <c r="F11615" s="10"/>
      <c r="J11615" s="25"/>
      <c r="K11615" s="25"/>
      <c r="L11615" s="25"/>
      <c r="M11615" s="25"/>
      <c r="N11615" s="25"/>
      <c r="O11615" s="25"/>
    </row>
    <row r="11616" customFormat="false" ht="6" hidden="false" customHeight="true" outlineLevel="0" collapsed="false">
      <c r="B11616" s="32"/>
      <c r="C11616" s="32"/>
      <c r="D11616" s="32"/>
      <c r="E11616" s="32"/>
      <c r="F11616" s="32"/>
      <c r="J11616" s="25"/>
      <c r="K11616" s="25"/>
      <c r="L11616" s="25"/>
      <c r="M11616" s="25"/>
      <c r="N11616" s="25"/>
      <c r="O11616" s="25"/>
    </row>
    <row r="11617" customFormat="false" ht="13.5" hidden="false" customHeight="true" outlineLevel="0" collapsed="false">
      <c r="B11617" s="10"/>
      <c r="C11617" s="10"/>
      <c r="D11617" s="10"/>
      <c r="E11617" s="10"/>
      <c r="F11617" s="10"/>
      <c r="J11617" s="25"/>
      <c r="K11617" s="25"/>
      <c r="L11617" s="25"/>
      <c r="M11617" s="25"/>
      <c r="N11617" s="25"/>
      <c r="O11617" s="25"/>
    </row>
    <row r="11618" customFormat="false" ht="13.5" hidden="false" customHeight="true" outlineLevel="0" collapsed="false">
      <c r="B11618" s="10"/>
      <c r="C11618" s="10"/>
      <c r="D11618" s="10"/>
      <c r="E11618" s="10"/>
      <c r="F11618" s="10"/>
      <c r="J11618" s="25"/>
      <c r="K11618" s="25"/>
      <c r="L11618" s="25"/>
      <c r="M11618" s="25"/>
      <c r="N11618" s="25"/>
      <c r="O11618" s="25"/>
    </row>
    <row r="11619" customFormat="false" ht="13.5" hidden="false" customHeight="true" outlineLevel="0" collapsed="false">
      <c r="B11619" s="10"/>
      <c r="C11619" s="10"/>
      <c r="D11619" s="10"/>
      <c r="E11619" s="10"/>
      <c r="F11619" s="10"/>
      <c r="J11619" s="25"/>
      <c r="K11619" s="25"/>
      <c r="L11619" s="25"/>
      <c r="M11619" s="25"/>
      <c r="N11619" s="25"/>
      <c r="O11619" s="25"/>
    </row>
    <row r="11620" customFormat="false" ht="15" hidden="false" customHeight="true" outlineLevel="0" collapsed="false">
      <c r="B11620" s="10"/>
      <c r="C11620" s="10"/>
      <c r="D11620" s="34" t="str">
        <f aca="false">IF($K$11611=0,"",INDEX(Clients!$E$2:$E$501,$K$11611)&amp;"")</f>
        <v/>
      </c>
      <c r="E11620" s="34"/>
      <c r="F11620" s="34"/>
      <c r="J11620" s="25"/>
      <c r="K11620" s="25"/>
      <c r="L11620" s="25"/>
      <c r="M11620" s="25"/>
      <c r="N11620" s="25"/>
      <c r="O11620" s="25"/>
    </row>
    <row r="11621" customFormat="false" ht="15" hidden="false" customHeight="true" outlineLevel="0" collapsed="false">
      <c r="B11621" s="10"/>
      <c r="C11621" s="10"/>
      <c r="D11621" s="35" t="str">
        <f aca="false">IF(IF($K$11611=0,"",INDEX(Clients!$D$2:$D$501,$K$11611)&amp;"")="","","À l'attention de "&amp;TRIM(IF($K$11611=0,"",INDEX(Clients!$B$2:$B$501,$K$11611)&amp;"")&amp;" "&amp;IF($K$11611=0,"",INDEX(Clients!$C$2:$C$501,$K$11611)&amp;"")&amp;" "&amp;IF($K$11611=0,"",INDEX(Clients!$D$2:$D$501,$K$11611)&amp;"")))</f>
        <v/>
      </c>
      <c r="E11621" s="35"/>
      <c r="F11621" s="35"/>
      <c r="J11621" s="25"/>
      <c r="K11621" s="25"/>
      <c r="L11621" s="25"/>
      <c r="M11621" s="25"/>
      <c r="N11621" s="25"/>
      <c r="O11621" s="25"/>
    </row>
    <row r="11622" customFormat="false" ht="15" hidden="false" customHeight="true" outlineLevel="0" collapsed="false">
      <c r="B11622" s="10"/>
      <c r="C11622" s="10"/>
      <c r="D11622" s="35" t="str">
        <f aca="false">IF($K$11611=0,"",INDEX(Clients!$F$2:$F$501,$K$11611)&amp;"")</f>
        <v/>
      </c>
      <c r="E11622" s="35"/>
      <c r="F11622" s="35"/>
      <c r="J11622" s="25"/>
      <c r="K11622" s="25"/>
      <c r="L11622" s="25"/>
      <c r="M11622" s="25"/>
      <c r="N11622" s="25"/>
      <c r="O11622" s="25"/>
    </row>
    <row r="11623" customFormat="false" ht="15" hidden="false" customHeight="true" outlineLevel="0" collapsed="false">
      <c r="B11623" s="10"/>
      <c r="C11623" s="10"/>
      <c r="D11623" s="35" t="str">
        <f aca="false">IF(IF($K$11611=0,"",INDEX(Clients!$G$2:$G$501,$K$11611)&amp;"")="",TRIM(IF($K$11611=0,"",INDEX(Clients!$H$2:$H$501,$K$11611)&amp;"")&amp;" "&amp;UPPER(IF($K$11611=0,"",INDEX(Clients!$I$2:$I$501,$K$11611)&amp;""))),IF($K$11611=0,"",INDEX(Clients!$G$2:$G$501,$K$11611)&amp;""))</f>
        <v/>
      </c>
      <c r="E11623" s="35"/>
      <c r="F11623" s="35"/>
      <c r="J11623" s="25"/>
      <c r="K11623" s="25"/>
      <c r="L11623" s="25"/>
      <c r="M11623" s="25"/>
      <c r="N11623" s="25"/>
      <c r="O11623" s="25"/>
    </row>
    <row r="11624" customFormat="false" ht="15" hidden="false" customHeight="true" outlineLevel="0" collapsed="false">
      <c r="B11624" s="10"/>
      <c r="C11624" s="10"/>
      <c r="D11624" s="35" t="str">
        <f aca="false">IF(IF($K$11611=0,"",INDEX(Clients!$G$2:$G$501,$K$11611)&amp;"")="","",TRIM(IF($K$11611=0,"",INDEX(Clients!$H$2:$H$501,$K$11611)&amp;"")&amp;" "&amp;UPPER(IF($K$11611=0,"",INDEX(Clients!$I$2:$I$501,$K$11611)&amp;""))))</f>
        <v/>
      </c>
      <c r="E11624" s="35"/>
      <c r="F11624" s="35"/>
      <c r="J11624" s="25"/>
      <c r="K11624" s="25"/>
      <c r="L11624" s="25"/>
      <c r="M11624" s="25"/>
      <c r="N11624" s="25"/>
      <c r="O11624" s="25"/>
    </row>
    <row r="11625" customFormat="false" ht="25.5" hidden="false" customHeight="true" outlineLevel="0" collapsed="false">
      <c r="B11625" s="10"/>
      <c r="C11625" s="10"/>
      <c r="D11625" s="10"/>
      <c r="E11625" s="10"/>
      <c r="F11625" s="10"/>
      <c r="J11625" s="25"/>
      <c r="K11625" s="25"/>
      <c r="L11625" s="25"/>
      <c r="M11625" s="25"/>
      <c r="N11625" s="25"/>
      <c r="O11625" s="25"/>
    </row>
    <row r="11626" customFormat="false" ht="15" hidden="false" customHeight="false" outlineLevel="0" collapsed="false">
      <c r="B11626" s="10"/>
      <c r="C11626" s="10"/>
      <c r="D11626" s="36" t="str">
        <f aca="false">Cab_Ville&amp;", le "&amp;DAY(Date_Courrier)&amp;IF(DAY(Date_Courrier)=1,"er","")&amp;" "&amp;INDEX(Liste_Mois,MONTH(Date_Courrier))&amp;" "&amp;YEAR(Date_Courrier)</f>
        <v>Le Plessis-Bouchard, le 22 septembre 2026</v>
      </c>
      <c r="E11626" s="36"/>
      <c r="F11626" s="36"/>
      <c r="J11626" s="25"/>
      <c r="K11626" s="25"/>
      <c r="L11626" s="25"/>
      <c r="M11626" s="25"/>
      <c r="N11626" s="25"/>
      <c r="O11626" s="25"/>
    </row>
    <row r="11627" customFormat="false" ht="19.5" hidden="false" customHeight="true" outlineLevel="0" collapsed="false">
      <c r="B11627" s="10"/>
      <c r="C11627" s="10"/>
      <c r="D11627" s="10"/>
      <c r="E11627" s="10"/>
      <c r="F11627" s="10"/>
      <c r="J11627" s="25"/>
      <c r="K11627" s="25"/>
      <c r="L11627" s="25"/>
      <c r="M11627" s="25"/>
      <c r="N11627" s="25"/>
      <c r="O11627" s="25"/>
    </row>
    <row r="11628" customFormat="false" ht="15" hidden="false" customHeight="false" outlineLevel="0" collapsed="false">
      <c r="B11628" s="34" t="str">
        <f aca="false">SUBSTITUTE(SUBSTITUTE(SUBSTITUTE(SUBSTITUTE(SUBSTITUTE(Txt_Objet,"{cabinet}",Cab_Nom),"{societe}",IF($K$11611=0,"",INDEX(Clients!$E$2:$E$501,$K$11611)&amp;"")),"{date_effet}",$K$11613),"{hausse}",$K$11614),"{civilite}",$K$11612)</f>
        <v>Objet : révision de nos honoraires au 1er janvier 2027</v>
      </c>
      <c r="C11628" s="34"/>
      <c r="D11628" s="34"/>
      <c r="E11628" s="34"/>
      <c r="F11628" s="34"/>
      <c r="J11628" s="25"/>
      <c r="K11628" s="25"/>
      <c r="L11628" s="25"/>
      <c r="M11628" s="25"/>
      <c r="N11628" s="25"/>
      <c r="O11628" s="25"/>
    </row>
    <row r="11629" customFormat="false" ht="13.5" hidden="false" customHeight="true" outlineLevel="0" collapsed="false">
      <c r="B11629" s="10"/>
      <c r="C11629" s="10"/>
      <c r="D11629" s="10"/>
      <c r="E11629" s="10"/>
      <c r="F11629" s="10"/>
      <c r="J11629" s="25"/>
      <c r="K11629" s="25"/>
      <c r="L11629" s="25"/>
      <c r="M11629" s="25"/>
      <c r="N11629" s="25"/>
      <c r="O11629" s="25"/>
    </row>
    <row r="11630" customFormat="false" ht="15" hidden="false" customHeight="false" outlineLevel="0" collapsed="false">
      <c r="B11630" s="10" t="str">
        <f aca="false">$K$11612&amp;","</f>
        <v>Madame, Monsieur,</v>
      </c>
      <c r="C11630" s="10"/>
      <c r="D11630" s="10"/>
      <c r="E11630" s="10"/>
      <c r="F11630" s="10"/>
      <c r="J11630" s="25"/>
      <c r="K11630" s="25"/>
      <c r="L11630" s="25"/>
      <c r="M11630" s="25"/>
      <c r="N11630" s="25"/>
      <c r="O11630" s="25"/>
    </row>
    <row r="11631" customFormat="false" ht="6" hidden="false" customHeight="true" outlineLevel="0" collapsed="false">
      <c r="B11631" s="10"/>
      <c r="C11631" s="10"/>
      <c r="D11631" s="10"/>
      <c r="E11631" s="10"/>
      <c r="F11631" s="10"/>
      <c r="J11631" s="25"/>
      <c r="K11631" s="25"/>
      <c r="L11631" s="25"/>
      <c r="M11631" s="25"/>
      <c r="N11631" s="25"/>
      <c r="O11631" s="25"/>
    </row>
    <row r="11632" customFormat="false" ht="36.75" hidden="false" customHeight="true" outlineLevel="0" collapsed="false">
      <c r="B11632" s="37" t="str">
        <f aca="false">SUBSTITUTE(SUBSTITUTE(SUBSTITUTE(SUBSTITUTE(SUBSTITUTE(Txt_P1,"{cabinet}",Cab_Nom),"{societe}",IF($K$11611=0,"",INDEX(Clients!$E$2:$E$501,$K$11611)&amp;"")),"{date_effet}",$K$11613),"{hausse}",$K$11614),"{civilite}",$K$11612)</f>
        <v>Nous tenons tout d'abord à vous remercier pour la confiance que vous accordez à ALTHO EXPERTISE. Comme chaque année, et conformément aux dispositions de votre lettre de mission, nous procédons à la révision de nos honoraires.</v>
      </c>
      <c r="C11632" s="37"/>
      <c r="D11632" s="37"/>
      <c r="E11632" s="37"/>
      <c r="F11632" s="37"/>
      <c r="J11632" s="25"/>
      <c r="K11632" s="25"/>
      <c r="L11632" s="25"/>
      <c r="M11632" s="25"/>
      <c r="N11632" s="25"/>
      <c r="O11632" s="25"/>
    </row>
    <row r="11633" customFormat="false" ht="49.5" hidden="false" customHeight="true" outlineLevel="0" collapsed="false">
      <c r="B11633" s="37" t="str">
        <f aca="false">SUBSTITUTE(SUBSTITUTE(SUBSTITUTE(SUBSTITUTE(SUBSTITUTE(Txt_P2,"{cabinet}",Cab_Nom),"{societe}",IF($K$11611=0,"",INDEX(Clients!$E$2:$E$501,$K$11611)&amp;"")),"{date_effet}",$K$11613),"{hausse}",$K$11614),"{civilite}",$K$11612)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633" s="37"/>
      <c r="D11633" s="37"/>
      <c r="E11633" s="37"/>
      <c r="F11633" s="37"/>
      <c r="J11633" s="25"/>
      <c r="K11633" s="25"/>
      <c r="L11633" s="25"/>
      <c r="M11633" s="25"/>
      <c r="N11633" s="25"/>
      <c r="O11633" s="25"/>
    </row>
    <row r="11634" customFormat="false" ht="63" hidden="false" customHeight="true" outlineLevel="0" collapsed="false">
      <c r="B11634" s="37" t="str">
        <f aca="false">SUBSTITUTE(SUBSTITUTE(SUBSTITUTE(SUBSTITUTE(SUBSTITUTE(Txt_P3,"{cabinet}",Cab_Nom),"{societe}",IF($K$11611=0,"",INDEX(Clients!$E$2:$E$501,$K$11611)&amp;"")),"{date_effet}",$K$11613),"{hausse}",$K$11614),"{civilite}",$K$11612)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634" s="37"/>
      <c r="D11634" s="37"/>
      <c r="E11634" s="37"/>
      <c r="F11634" s="37"/>
      <c r="J11634" s="25"/>
      <c r="K11634" s="25"/>
      <c r="L11634" s="25"/>
      <c r="M11634" s="25"/>
      <c r="N11634" s="25"/>
      <c r="O11634" s="25"/>
    </row>
    <row r="11635" customFormat="false" ht="24" hidden="false" customHeight="true" outlineLevel="0" collapsed="false">
      <c r="B11635" s="37" t="str">
        <f aca="false">SUBSTITUTE(SUBSTITUTE(SUBSTITUTE(SUBSTITUTE(SUBSTITUTE(Txt_P4,"{cabinet}",Cab_Nom),"{societe}",IF($K$11611=0,"",INDEX(Clients!$E$2:$E$501,$K$11611)&amp;"")),"{date_effet}",$K$11613),"{hausse}",$K$11614),"{civilite}",$K$11612)</f>
        <v>À compter du 1er janvier 2027, vos honoraires annuels hors taxes évolueront ainsi (évolution globale : ) :</v>
      </c>
      <c r="C11635" s="37"/>
      <c r="D11635" s="37"/>
      <c r="E11635" s="37"/>
      <c r="F11635" s="37"/>
      <c r="J11635" s="25"/>
      <c r="K11635" s="25"/>
      <c r="L11635" s="25"/>
      <c r="M11635" s="25"/>
      <c r="N11635" s="25"/>
      <c r="O11635" s="25"/>
    </row>
    <row r="11636" customFormat="false" ht="3.75" hidden="false" customHeight="true" outlineLevel="0" collapsed="false">
      <c r="B11636" s="10"/>
      <c r="C11636" s="10"/>
      <c r="D11636" s="10"/>
      <c r="E11636" s="10"/>
      <c r="F11636" s="10"/>
      <c r="J11636" s="25"/>
      <c r="K11636" s="25"/>
      <c r="L11636" s="25"/>
      <c r="M11636" s="25"/>
      <c r="N11636" s="25"/>
      <c r="O11636" s="25"/>
    </row>
    <row r="11637" customFormat="false" ht="18" hidden="false" customHeight="true" outlineLevel="0" collapsed="false">
      <c r="B11637" s="38" t="s">
        <v>148</v>
      </c>
      <c r="C11637" s="39" t="s">
        <v>149</v>
      </c>
      <c r="D11637" s="39" t="s">
        <v>150</v>
      </c>
      <c r="E11637" s="39" t="s">
        <v>151</v>
      </c>
      <c r="F11637" s="39" t="s">
        <v>109</v>
      </c>
      <c r="J11637" s="25" t="s">
        <v>152</v>
      </c>
      <c r="K11637" s="25" t="s">
        <v>153</v>
      </c>
      <c r="L11637" s="25" t="s">
        <v>154</v>
      </c>
      <c r="M11637" s="25" t="s">
        <v>155</v>
      </c>
      <c r="N11637" s="25" t="s">
        <v>156</v>
      </c>
      <c r="O11637" s="25" t="s">
        <v>157</v>
      </c>
    </row>
    <row r="11638" customFormat="false" ht="16.5" hidden="false" customHeight="true" outlineLevel="0" collapsed="false">
      <c r="B11638" s="40" t="str">
        <f aca="false">IFERROR(INDEX($J$11638:$J$11641,MATCH($O11638,$N$11638:$N$11641,0)),"")</f>
        <v/>
      </c>
      <c r="C11638" s="41" t="str">
        <f aca="false">IFERROR(INDEX($K$11638:$K$11641,MATCH($O11638,$N$11638:$N$11641,0)),"")</f>
        <v/>
      </c>
      <c r="D11638" s="42" t="str">
        <f aca="false">IF(OR(E11638="",N(C11638)=0),"",E11638/C11638-1)</f>
        <v/>
      </c>
      <c r="E11638" s="41" t="str">
        <f aca="false">IFERROR(INDEX($L$11638:$L$11641,MATCH($O11638,$N$11638:$N$11641,0)),"")</f>
        <v/>
      </c>
      <c r="F11638" s="41" t="str">
        <f aca="false">IF(E11638="","",E11638-C11638)</f>
        <v/>
      </c>
      <c r="J11638" s="25" t="str">
        <f aca="false">Lib_Compta</f>
        <v>Mission comptable (tenue, révision, bilan, liasse fiscale)</v>
      </c>
      <c r="K11638" s="25" t="n">
        <f aca="false">IF($K$11611=0,0,N(INDEX(Clients!$K$2:$K$501,$K$11611)))</f>
        <v>0</v>
      </c>
      <c r="L11638" s="25" t="n">
        <f aca="false">IF($K$11611=0,0,N(INDEX(Clients!$P$2:$P$501,$K$11611)))</f>
        <v>0</v>
      </c>
      <c r="M11638" s="25" t="n">
        <f aca="false">IF(OR(K11638&lt;&gt;0,L11638&lt;&gt;0),1,0)</f>
        <v>0</v>
      </c>
      <c r="N11638" s="25" t="str">
        <f aca="false">IF(M11638=1,SUM($M$11638:M11638),"")</f>
        <v/>
      </c>
      <c r="O11638" s="25" t="n">
        <v>1</v>
      </c>
    </row>
    <row r="11639" customFormat="false" ht="16.5" hidden="false" customHeight="true" outlineLevel="0" collapsed="false">
      <c r="B11639" s="40" t="str">
        <f aca="false">IFERROR(INDEX($J$11638:$J$11641,MATCH($O11639,$N$11638:$N$11641,0)),"")</f>
        <v/>
      </c>
      <c r="C11639" s="41" t="str">
        <f aca="false">IFERROR(INDEX($K$11638:$K$11641,MATCH($O11639,$N$11638:$N$11641,0)),"")</f>
        <v/>
      </c>
      <c r="D11639" s="42" t="str">
        <f aca="false">IF(OR(E11639="",N(C11639)=0),"",E11639/C11639-1)</f>
        <v/>
      </c>
      <c r="E11639" s="41" t="str">
        <f aca="false">IFERROR(INDEX($L$11638:$L$11641,MATCH($O11639,$N$11638:$N$11641,0)),"")</f>
        <v/>
      </c>
      <c r="F11639" s="41" t="str">
        <f aca="false">IF(E11639="","",E11639-C11639)</f>
        <v/>
      </c>
      <c r="J11639" s="25" t="str">
        <f aca="false">Lib_Paye</f>
        <v>Mission sociale (bulletins de paie, DSN, déclarations sociales)</v>
      </c>
      <c r="K11639" s="25" t="n">
        <f aca="false">IF($K$11611=0,0,N(INDEX(Clients!$L$2:$L$501,$K$11611)))</f>
        <v>0</v>
      </c>
      <c r="L11639" s="25" t="n">
        <f aca="false">IF($K$11611=0,0,N(INDEX(Clients!$Q$2:$Q$501,$K$11611)))</f>
        <v>0</v>
      </c>
      <c r="M11639" s="25" t="n">
        <f aca="false">IF(OR(K11639&lt;&gt;0,L11639&lt;&gt;0),1,0)</f>
        <v>0</v>
      </c>
      <c r="N11639" s="25" t="str">
        <f aca="false">IF(M11639=1,SUM($M$11638:M11639),"")</f>
        <v/>
      </c>
      <c r="O11639" s="25" t="n">
        <v>2</v>
      </c>
    </row>
    <row r="11640" customFormat="false" ht="16.5" hidden="false" customHeight="true" outlineLevel="0" collapsed="false">
      <c r="B11640" s="40" t="str">
        <f aca="false">IFERROR(INDEX($J$11638:$J$11641,MATCH($O11640,$N$11638:$N$11641,0)),"")</f>
        <v/>
      </c>
      <c r="C11640" s="41" t="str">
        <f aca="false">IFERROR(INDEX($K$11638:$K$11641,MATCH($O11640,$N$11638:$N$11641,0)),"")</f>
        <v/>
      </c>
      <c r="D11640" s="42" t="str">
        <f aca="false">IF(OR(E11640="",N(C11640)=0),"",E11640/C11640-1)</f>
        <v/>
      </c>
      <c r="E11640" s="41" t="str">
        <f aca="false">IFERROR(INDEX($L$11638:$L$11641,MATCH($O11640,$N$11638:$N$11641,0)),"")</f>
        <v/>
      </c>
      <c r="F11640" s="41" t="str">
        <f aca="false">IF(E11640="","",E11640-C11640)</f>
        <v/>
      </c>
      <c r="J11640" s="25" t="str">
        <f aca="false">Lib_Jur</f>
        <v>Mission juridique (approbation des comptes, secrétariat juridique)</v>
      </c>
      <c r="K11640" s="25" t="n">
        <f aca="false">IF($K$11611=0,0,N(INDEX(Clients!$M$2:$M$501,$K$11611)))</f>
        <v>0</v>
      </c>
      <c r="L11640" s="25" t="n">
        <f aca="false">IF($K$11611=0,0,N(INDEX(Clients!$R$2:$R$501,$K$11611)))</f>
        <v>0</v>
      </c>
      <c r="M11640" s="25" t="n">
        <f aca="false">IF(OR(K11640&lt;&gt;0,L11640&lt;&gt;0),1,0)</f>
        <v>0</v>
      </c>
      <c r="N11640" s="25" t="str">
        <f aca="false">IF(M11640=1,SUM($M$11638:M11640),"")</f>
        <v/>
      </c>
      <c r="O11640" s="25" t="n">
        <v>3</v>
      </c>
    </row>
    <row r="11641" customFormat="false" ht="16.5" hidden="false" customHeight="true" outlineLevel="0" collapsed="false">
      <c r="B11641" s="40" t="str">
        <f aca="false">IFERROR(INDEX($J$11638:$J$11641,MATCH($O11641,$N$11638:$N$11641,0)),"")</f>
        <v/>
      </c>
      <c r="C11641" s="41" t="str">
        <f aca="false">IFERROR(INDEX($K$11638:$K$11641,MATCH($O11641,$N$11638:$N$11641,0)),"")</f>
        <v/>
      </c>
      <c r="D11641" s="42" t="str">
        <f aca="false">IF(OR(E11641="",N(C11641)=0),"",E11641/C11641-1)</f>
        <v/>
      </c>
      <c r="E11641" s="41" t="str">
        <f aca="false">IFERROR(INDEX($L$11638:$L$11641,MATCH($O11641,$N$11638:$N$11641,0)),"")</f>
        <v/>
      </c>
      <c r="F11641" s="41" t="str">
        <f aca="false">IF(E11641="","",E11641-C11641)</f>
        <v/>
      </c>
      <c r="J11641" s="25" t="str">
        <f aca="false">Lib_PA</f>
        <v>Plateforme agréée – facturation électronique</v>
      </c>
      <c r="K11641" s="25" t="n">
        <f aca="false">IF($K$11611=0,0,N(INDEX(Clients!$N$2:$N$501,$K$11611)))</f>
        <v>0</v>
      </c>
      <c r="L11641" s="25" t="n">
        <f aca="false">IF($K$11611=0,0,N(INDEX(Clients!$S$2:$S$501,$K$11611)))</f>
        <v>0</v>
      </c>
      <c r="M11641" s="25" t="n">
        <f aca="false">IF(OR(K11641&lt;&gt;0,L11641&lt;&gt;0),1,0)</f>
        <v>0</v>
      </c>
      <c r="N11641" s="25" t="str">
        <f aca="false">IF(M11641=1,SUM($M$11638:M11641),"")</f>
        <v/>
      </c>
      <c r="O11641" s="25" t="n">
        <v>4</v>
      </c>
    </row>
    <row r="11642" customFormat="false" ht="18" hidden="false" customHeight="true" outlineLevel="0" collapsed="false">
      <c r="B11642" s="43" t="s">
        <v>158</v>
      </c>
      <c r="C11642" s="44" t="n">
        <f aca="false">SUM(K11638:K11641)</f>
        <v>0</v>
      </c>
      <c r="D11642" s="45" t="str">
        <f aca="false">IF(N(C11642)=0,"",E11642/C11642-1)</f>
        <v/>
      </c>
      <c r="E11642" s="44" t="n">
        <f aca="false">SUM(L11638:L11641)</f>
        <v>0</v>
      </c>
      <c r="F11642" s="44" t="n">
        <f aca="false">E11642-C11642</f>
        <v>0</v>
      </c>
    </row>
    <row r="11643" customFormat="false" ht="15" hidden="false" customHeight="false" outlineLevel="0" collapsed="false">
      <c r="B11643" s="46" t="str">
        <f aca="false">IF(N(Nb_Mensualites)=0,"","Soit "&amp;FIXED(E11642/Nb_Mensualites,2)&amp;" € HT par échéance ("&amp;Nb_Mensualites&amp;" échéances), "&amp;FIXED(E11642/Nb_Mensualites*(1+Taux_TVA),2)&amp;" € TTC.")</f>
        <v>Soit 0.00 € HT par échéance (12 échéances), 0.00 € TTC.</v>
      </c>
      <c r="C11643" s="46"/>
      <c r="D11643" s="46"/>
      <c r="E11643" s="46"/>
      <c r="F11643" s="46"/>
    </row>
    <row r="11644" customFormat="false" ht="7.5" hidden="false" customHeight="true" outlineLevel="0" collapsed="false">
      <c r="B11644" s="10"/>
      <c r="C11644" s="10"/>
      <c r="D11644" s="10"/>
      <c r="E11644" s="10"/>
      <c r="F11644" s="10"/>
    </row>
    <row r="11645" customFormat="false" ht="36.75" hidden="false" customHeight="true" outlineLevel="0" collapsed="false">
      <c r="B11645" s="37" t="str">
        <f aca="false">SUBSTITUTE(SUBSTITUTE(SUBSTITUTE(SUBSTITUTE(SUBSTITUTE(Txt_P5,"{cabinet}",Cab_Nom),"{societe}",IF($K$11611=0,"",INDEX(Clients!$E$2:$E$501,$K$11611)&amp;"")),"{date_effet}",$K$11613),"{hausse}",$K$11614),"{civilite}",$K$11612)</f>
        <v>Les autres conditions de votre lettre de mission demeurent inchangées. Les nouveaux montants seront appliqués automatiquement sur vos prochaines factures et échéances de prélèvement.</v>
      </c>
      <c r="C11645" s="37"/>
      <c r="D11645" s="37"/>
      <c r="E11645" s="37"/>
      <c r="F11645" s="37"/>
    </row>
    <row r="11646" customFormat="false" ht="36.75" hidden="false" customHeight="true" outlineLevel="0" collapsed="false">
      <c r="B11646" s="37" t="str">
        <f aca="false">SUBSTITUTE(SUBSTITUTE(SUBSTITUTE(SUBSTITUTE(SUBSTITUTE(Txt_P6,"{cabinet}",Cab_Nom),"{societe}",IF($K$11611=0,"",INDEX(Clients!$E$2:$E$501,$K$11611)&amp;"")),"{date_effet}",$K$11613),"{hausse}",$K$11614),"{civilite}",$K$11612)</f>
        <v>Votre interlocuteur habituel reste à votre entière disposition pour répondre à vos questions et faire le point sur l'évolution de vos besoins.</v>
      </c>
      <c r="C11646" s="37"/>
      <c r="D11646" s="37"/>
      <c r="E11646" s="37"/>
      <c r="F11646" s="37"/>
    </row>
    <row r="11647" customFormat="false" ht="24" hidden="false" customHeight="true" outlineLevel="0" collapsed="false">
      <c r="B11647" s="37" t="str">
        <f aca="false">SUBSTITUTE(SUBSTITUTE(SUBSTITUTE(SUBSTITUTE(SUBSTITUTE(Txt_Politesse,"{cabinet}",Cab_Nom),"{societe}",IF($K$11611=0,"",INDEX(Clients!$E$2:$E$501,$K$11611)&amp;"")),"{date_effet}",$K$11613),"{hausse}",$K$11614),"{civilite}",$K$11612)</f>
        <v>Nous vous prions d'agréer, Madame, Monsieur, l'expression de nos salutations distinguées.</v>
      </c>
      <c r="C11647" s="37"/>
      <c r="D11647" s="37"/>
      <c r="E11647" s="37"/>
      <c r="F11647" s="37"/>
    </row>
    <row r="11648" customFormat="false" ht="15" hidden="false" customHeight="false" outlineLevel="0" collapsed="false">
      <c r="B11648" s="10"/>
      <c r="C11648" s="10"/>
      <c r="D11648" s="10"/>
      <c r="E11648" s="10"/>
      <c r="F11648" s="10"/>
    </row>
    <row r="11649" customFormat="false" ht="15" hidden="false" customHeight="false" outlineLevel="0" collapsed="false">
      <c r="B11649" s="10"/>
      <c r="C11649" s="10"/>
      <c r="D11649" s="34" t="str">
        <f aca="false">Signataire</f>
        <v>Prénom NOM</v>
      </c>
      <c r="E11649" s="34"/>
      <c r="F11649" s="34"/>
    </row>
    <row r="11650" customFormat="false" ht="15" hidden="false" customHeight="false" outlineLevel="0" collapsed="false">
      <c r="B11650" s="10"/>
      <c r="C11650" s="10"/>
      <c r="D11650" s="47" t="str">
        <f aca="false">Signataire_Titre</f>
        <v>Expert-comptable associé</v>
      </c>
      <c r="E11650" s="47"/>
      <c r="F11650" s="47"/>
    </row>
    <row r="11651" customFormat="false" ht="15.75" hidden="false" customHeight="true" outlineLevel="0" collapsed="false">
      <c r="B11651" s="10"/>
      <c r="C11651" s="10"/>
      <c r="D11651" s="10"/>
      <c r="E11651" s="10"/>
      <c r="F11651" s="10"/>
    </row>
    <row r="11652" customFormat="false" ht="15.75" hidden="false" customHeight="true" outlineLevel="0" collapsed="false">
      <c r="B11652" s="10"/>
      <c r="C11652" s="10"/>
      <c r="D11652" s="10"/>
      <c r="E11652" s="10"/>
      <c r="F11652" s="10"/>
    </row>
    <row r="11653" customFormat="false" ht="15.75" hidden="false" customHeight="true" outlineLevel="0" collapsed="false">
      <c r="B11653" s="10"/>
      <c r="C11653" s="10"/>
      <c r="D11653" s="10"/>
      <c r="E11653" s="10"/>
      <c r="F11653" s="10"/>
    </row>
    <row r="11654" customFormat="false" ht="15.75" hidden="false" customHeight="true" outlineLevel="0" collapsed="false">
      <c r="B11654" s="10"/>
      <c r="C11654" s="10"/>
      <c r="D11654" s="10"/>
      <c r="E11654" s="10"/>
      <c r="F11654" s="10"/>
    </row>
    <row r="11655" customFormat="false" ht="24" hidden="false" customHeight="true" outlineLevel="0" collapsed="false">
      <c r="B11655" s="48" t="str">
        <f aca="false">Cab_Mentions</f>
        <v>ALTHO EXPERTISE · SAS au capital de 10 000 € · RCS Pontoise 919 706 325 · TVA FR62919706325 · Société d'expertise comptable inscrite au Tableau de l'Ordre des experts-comptables de Paris Île-de-France</v>
      </c>
      <c r="C11655" s="48"/>
      <c r="D11655" s="48"/>
      <c r="E11655" s="48"/>
      <c r="F11655" s="48"/>
    </row>
    <row r="11656" customFormat="false" ht="15" hidden="false" customHeight="false" outlineLevel="0" collapsed="false">
      <c r="B11656" s="10"/>
      <c r="C11656" s="10"/>
      <c r="D11656" s="10"/>
      <c r="E11656" s="10"/>
      <c r="F11656" s="10"/>
      <c r="J11656" s="25" t="s">
        <v>142</v>
      </c>
      <c r="K11656" s="25" t="n">
        <f aca="false">IFERROR(MATCH(260,Clients!$Z$2:$Z$501,0),0)</f>
        <v>0</v>
      </c>
      <c r="L11656" s="25"/>
      <c r="M11656" s="25"/>
      <c r="N11656" s="25"/>
      <c r="O11656" s="25"/>
    </row>
    <row r="11657" customFormat="false" ht="21.75" hidden="false" customHeight="true" outlineLevel="0" collapsed="false">
      <c r="B11657" s="26" t="str">
        <f aca="false">Cab_Nom</f>
        <v>ALTHO EXPERTISE</v>
      </c>
      <c r="C11657" s="26"/>
      <c r="D11657" s="10"/>
      <c r="E11657" s="27" t="str">
        <f aca="false">IF($K$11656=0,"","Réf. client : "&amp;INDEX(Clients!$A$2:$A$501,$K$11656))</f>
        <v/>
      </c>
      <c r="F11657" s="27"/>
      <c r="J11657" s="25" t="s">
        <v>144</v>
      </c>
      <c r="K11657" s="25" t="str">
        <f aca="false">IF(IF($K$11656=0,"",INDEX(Clients!$B$2:$B$501,$K$11656)&amp;"")="Mme","Madame",IF(IF($K$11656=0,"",INDEX(Clients!$B$2:$B$501,$K$11656)&amp;"")="M.","Monsieur","Madame, Monsieur"))</f>
        <v>Madame, Monsieur</v>
      </c>
      <c r="L11657" s="25"/>
      <c r="M11657" s="25"/>
      <c r="N11657" s="25"/>
      <c r="O11657" s="25"/>
    </row>
    <row r="11658" customFormat="false" ht="15" hidden="false" customHeight="false" outlineLevel="0" collapsed="false">
      <c r="B11658" s="29" t="str">
        <f aca="false">Cab_Adr1</f>
        <v>141 rue Charles de Gaulle</v>
      </c>
      <c r="C11658" s="29"/>
      <c r="D11658" s="10"/>
      <c r="E11658" s="10"/>
      <c r="F11658" s="10"/>
      <c r="J11658" s="25" t="s">
        <v>145</v>
      </c>
      <c r="K11658" s="25" t="str">
        <f aca="false">DAY(Date_Effet)&amp;IF(DAY(Date_Effet)=1,"er","")&amp;" "&amp;INDEX(Liste_Mois,MONTH(Date_Effet))&amp;" "&amp;YEAR(Date_Effet)</f>
        <v>1er janvier 2027</v>
      </c>
      <c r="L11658" s="25"/>
      <c r="M11658" s="25"/>
      <c r="N11658" s="25"/>
      <c r="O11658" s="25"/>
    </row>
    <row r="11659" customFormat="false" ht="15" hidden="false" customHeight="false" outlineLevel="0" collapsed="false">
      <c r="B11659" s="29" t="str">
        <f aca="false">Cab_CPVille</f>
        <v>95130 LE PLESSIS-BOUCHARD</v>
      </c>
      <c r="C11659" s="29"/>
      <c r="D11659" s="10"/>
      <c r="E11659" s="10"/>
      <c r="F11659" s="10"/>
      <c r="J11659" s="25" t="s">
        <v>146</v>
      </c>
      <c r="K11659" s="25" t="str">
        <f aca="false">IF(SUM($K$11683:$K$11686)=0,"",FIXED((SUM($L$11683:$L$11686)/SUM($K$11683:$K$11686)-1)*100,1)&amp;" %")</f>
        <v/>
      </c>
      <c r="L11659" s="25"/>
      <c r="M11659" s="25"/>
      <c r="N11659" s="25"/>
      <c r="O11659" s="25"/>
    </row>
    <row r="11660" customFormat="false" ht="15" hidden="false" customHeight="false" outlineLevel="0" collapsed="false">
      <c r="B11660" s="29" t="str">
        <f aca="false">Cab_Contact</f>
        <v>Tél. 01 34 14 53 45  ·  altho@altho-experts.com  ·  altho-experts.com</v>
      </c>
      <c r="C11660" s="29"/>
      <c r="D11660" s="10"/>
      <c r="E11660" s="10"/>
      <c r="F11660" s="10"/>
      <c r="J11660" s="25"/>
      <c r="K11660" s="25"/>
      <c r="L11660" s="25"/>
      <c r="M11660" s="25"/>
      <c r="N11660" s="25"/>
      <c r="O11660" s="25"/>
    </row>
    <row r="11661" customFormat="false" ht="6" hidden="false" customHeight="true" outlineLevel="0" collapsed="false">
      <c r="B11661" s="32"/>
      <c r="C11661" s="32"/>
      <c r="D11661" s="32"/>
      <c r="E11661" s="32"/>
      <c r="F11661" s="32"/>
      <c r="J11661" s="25"/>
      <c r="K11661" s="25"/>
      <c r="L11661" s="25"/>
      <c r="M11661" s="25"/>
      <c r="N11661" s="25"/>
      <c r="O11661" s="25"/>
    </row>
    <row r="11662" customFormat="false" ht="13.5" hidden="false" customHeight="true" outlineLevel="0" collapsed="false">
      <c r="B11662" s="10"/>
      <c r="C11662" s="10"/>
      <c r="D11662" s="10"/>
      <c r="E11662" s="10"/>
      <c r="F11662" s="10"/>
      <c r="J11662" s="25"/>
      <c r="K11662" s="25"/>
      <c r="L11662" s="25"/>
      <c r="M11662" s="25"/>
      <c r="N11662" s="25"/>
      <c r="O11662" s="25"/>
    </row>
    <row r="11663" customFormat="false" ht="13.5" hidden="false" customHeight="true" outlineLevel="0" collapsed="false">
      <c r="B11663" s="10"/>
      <c r="C11663" s="10"/>
      <c r="D11663" s="10"/>
      <c r="E11663" s="10"/>
      <c r="F11663" s="10"/>
      <c r="J11663" s="25"/>
      <c r="K11663" s="25"/>
      <c r="L11663" s="25"/>
      <c r="M11663" s="25"/>
      <c r="N11663" s="25"/>
      <c r="O11663" s="25"/>
    </row>
    <row r="11664" customFormat="false" ht="13.5" hidden="false" customHeight="true" outlineLevel="0" collapsed="false">
      <c r="B11664" s="10"/>
      <c r="C11664" s="10"/>
      <c r="D11664" s="10"/>
      <c r="E11664" s="10"/>
      <c r="F11664" s="10"/>
      <c r="J11664" s="25"/>
      <c r="K11664" s="25"/>
      <c r="L11664" s="25"/>
      <c r="M11664" s="25"/>
      <c r="N11664" s="25"/>
      <c r="O11664" s="25"/>
    </row>
    <row r="11665" customFormat="false" ht="15" hidden="false" customHeight="true" outlineLevel="0" collapsed="false">
      <c r="B11665" s="10"/>
      <c r="C11665" s="10"/>
      <c r="D11665" s="34" t="str">
        <f aca="false">IF($K$11656=0,"",INDEX(Clients!$E$2:$E$501,$K$11656)&amp;"")</f>
        <v/>
      </c>
      <c r="E11665" s="34"/>
      <c r="F11665" s="34"/>
      <c r="J11665" s="25"/>
      <c r="K11665" s="25"/>
      <c r="L11665" s="25"/>
      <c r="M11665" s="25"/>
      <c r="N11665" s="25"/>
      <c r="O11665" s="25"/>
    </row>
    <row r="11666" customFormat="false" ht="15" hidden="false" customHeight="true" outlineLevel="0" collapsed="false">
      <c r="B11666" s="10"/>
      <c r="C11666" s="10"/>
      <c r="D11666" s="35" t="str">
        <f aca="false">IF(IF($K$11656=0,"",INDEX(Clients!$D$2:$D$501,$K$11656)&amp;"")="","","À l'attention de "&amp;TRIM(IF($K$11656=0,"",INDEX(Clients!$B$2:$B$501,$K$11656)&amp;"")&amp;" "&amp;IF($K$11656=0,"",INDEX(Clients!$C$2:$C$501,$K$11656)&amp;"")&amp;" "&amp;IF($K$11656=0,"",INDEX(Clients!$D$2:$D$501,$K$11656)&amp;"")))</f>
        <v/>
      </c>
      <c r="E11666" s="35"/>
      <c r="F11666" s="35"/>
      <c r="J11666" s="25"/>
      <c r="K11666" s="25"/>
      <c r="L11666" s="25"/>
      <c r="M11666" s="25"/>
      <c r="N11666" s="25"/>
      <c r="O11666" s="25"/>
    </row>
    <row r="11667" customFormat="false" ht="15" hidden="false" customHeight="true" outlineLevel="0" collapsed="false">
      <c r="B11667" s="10"/>
      <c r="C11667" s="10"/>
      <c r="D11667" s="35" t="str">
        <f aca="false">IF($K$11656=0,"",INDEX(Clients!$F$2:$F$501,$K$11656)&amp;"")</f>
        <v/>
      </c>
      <c r="E11667" s="35"/>
      <c r="F11667" s="35"/>
      <c r="J11667" s="25"/>
      <c r="K11667" s="25"/>
      <c r="L11667" s="25"/>
      <c r="M11667" s="25"/>
      <c r="N11667" s="25"/>
      <c r="O11667" s="25"/>
    </row>
    <row r="11668" customFormat="false" ht="15" hidden="false" customHeight="true" outlineLevel="0" collapsed="false">
      <c r="B11668" s="10"/>
      <c r="C11668" s="10"/>
      <c r="D11668" s="35" t="str">
        <f aca="false">IF(IF($K$11656=0,"",INDEX(Clients!$G$2:$G$501,$K$11656)&amp;"")="",TRIM(IF($K$11656=0,"",INDEX(Clients!$H$2:$H$501,$K$11656)&amp;"")&amp;" "&amp;UPPER(IF($K$11656=0,"",INDEX(Clients!$I$2:$I$501,$K$11656)&amp;""))),IF($K$11656=0,"",INDEX(Clients!$G$2:$G$501,$K$11656)&amp;""))</f>
        <v/>
      </c>
      <c r="E11668" s="35"/>
      <c r="F11668" s="35"/>
      <c r="J11668" s="25"/>
      <c r="K11668" s="25"/>
      <c r="L11668" s="25"/>
      <c r="M11668" s="25"/>
      <c r="N11668" s="25"/>
      <c r="O11668" s="25"/>
    </row>
    <row r="11669" customFormat="false" ht="15" hidden="false" customHeight="true" outlineLevel="0" collapsed="false">
      <c r="B11669" s="10"/>
      <c r="C11669" s="10"/>
      <c r="D11669" s="35" t="str">
        <f aca="false">IF(IF($K$11656=0,"",INDEX(Clients!$G$2:$G$501,$K$11656)&amp;"")="","",TRIM(IF($K$11656=0,"",INDEX(Clients!$H$2:$H$501,$K$11656)&amp;"")&amp;" "&amp;UPPER(IF($K$11656=0,"",INDEX(Clients!$I$2:$I$501,$K$11656)&amp;""))))</f>
        <v/>
      </c>
      <c r="E11669" s="35"/>
      <c r="F11669" s="35"/>
      <c r="J11669" s="25"/>
      <c r="K11669" s="25"/>
      <c r="L11669" s="25"/>
      <c r="M11669" s="25"/>
      <c r="N11669" s="25"/>
      <c r="O11669" s="25"/>
    </row>
    <row r="11670" customFormat="false" ht="25.5" hidden="false" customHeight="true" outlineLevel="0" collapsed="false">
      <c r="B11670" s="10"/>
      <c r="C11670" s="10"/>
      <c r="D11670" s="10"/>
      <c r="E11670" s="10"/>
      <c r="F11670" s="10"/>
      <c r="J11670" s="25"/>
      <c r="K11670" s="25"/>
      <c r="L11670" s="25"/>
      <c r="M11670" s="25"/>
      <c r="N11670" s="25"/>
      <c r="O11670" s="25"/>
    </row>
    <row r="11671" customFormat="false" ht="15" hidden="false" customHeight="false" outlineLevel="0" collapsed="false">
      <c r="B11671" s="10"/>
      <c r="C11671" s="10"/>
      <c r="D11671" s="36" t="str">
        <f aca="false">Cab_Ville&amp;", le "&amp;DAY(Date_Courrier)&amp;IF(DAY(Date_Courrier)=1,"er","")&amp;" "&amp;INDEX(Liste_Mois,MONTH(Date_Courrier))&amp;" "&amp;YEAR(Date_Courrier)</f>
        <v>Le Plessis-Bouchard, le 22 septembre 2026</v>
      </c>
      <c r="E11671" s="36"/>
      <c r="F11671" s="36"/>
      <c r="J11671" s="25"/>
      <c r="K11671" s="25"/>
      <c r="L11671" s="25"/>
      <c r="M11671" s="25"/>
      <c r="N11671" s="25"/>
      <c r="O11671" s="25"/>
    </row>
    <row r="11672" customFormat="false" ht="19.5" hidden="false" customHeight="true" outlineLevel="0" collapsed="false">
      <c r="B11672" s="10"/>
      <c r="C11672" s="10"/>
      <c r="D11672" s="10"/>
      <c r="E11672" s="10"/>
      <c r="F11672" s="10"/>
      <c r="J11672" s="25"/>
      <c r="K11672" s="25"/>
      <c r="L11672" s="25"/>
      <c r="M11672" s="25"/>
      <c r="N11672" s="25"/>
      <c r="O11672" s="25"/>
    </row>
    <row r="11673" customFormat="false" ht="15" hidden="false" customHeight="false" outlineLevel="0" collapsed="false">
      <c r="B11673" s="34" t="str">
        <f aca="false">SUBSTITUTE(SUBSTITUTE(SUBSTITUTE(SUBSTITUTE(SUBSTITUTE(Txt_Objet,"{cabinet}",Cab_Nom),"{societe}",IF($K$11656=0,"",INDEX(Clients!$E$2:$E$501,$K$11656)&amp;"")),"{date_effet}",$K$11658),"{hausse}",$K$11659),"{civilite}",$K$11657)</f>
        <v>Objet : révision de nos honoraires au 1er janvier 2027</v>
      </c>
      <c r="C11673" s="34"/>
      <c r="D11673" s="34"/>
      <c r="E11673" s="34"/>
      <c r="F11673" s="34"/>
      <c r="J11673" s="25"/>
      <c r="K11673" s="25"/>
      <c r="L11673" s="25"/>
      <c r="M11673" s="25"/>
      <c r="N11673" s="25"/>
      <c r="O11673" s="25"/>
    </row>
    <row r="11674" customFormat="false" ht="13.5" hidden="false" customHeight="true" outlineLevel="0" collapsed="false">
      <c r="B11674" s="10"/>
      <c r="C11674" s="10"/>
      <c r="D11674" s="10"/>
      <c r="E11674" s="10"/>
      <c r="F11674" s="10"/>
      <c r="J11674" s="25"/>
      <c r="K11674" s="25"/>
      <c r="L11674" s="25"/>
      <c r="M11674" s="25"/>
      <c r="N11674" s="25"/>
      <c r="O11674" s="25"/>
    </row>
    <row r="11675" customFormat="false" ht="15" hidden="false" customHeight="false" outlineLevel="0" collapsed="false">
      <c r="B11675" s="10" t="str">
        <f aca="false">$K$11657&amp;","</f>
        <v>Madame, Monsieur,</v>
      </c>
      <c r="C11675" s="10"/>
      <c r="D11675" s="10"/>
      <c r="E11675" s="10"/>
      <c r="F11675" s="10"/>
      <c r="J11675" s="25"/>
      <c r="K11675" s="25"/>
      <c r="L11675" s="25"/>
      <c r="M11675" s="25"/>
      <c r="N11675" s="25"/>
      <c r="O11675" s="25"/>
    </row>
    <row r="11676" customFormat="false" ht="6" hidden="false" customHeight="true" outlineLevel="0" collapsed="false">
      <c r="B11676" s="10"/>
      <c r="C11676" s="10"/>
      <c r="D11676" s="10"/>
      <c r="E11676" s="10"/>
      <c r="F11676" s="10"/>
      <c r="J11676" s="25"/>
      <c r="K11676" s="25"/>
      <c r="L11676" s="25"/>
      <c r="M11676" s="25"/>
      <c r="N11676" s="25"/>
      <c r="O11676" s="25"/>
    </row>
    <row r="11677" customFormat="false" ht="36.75" hidden="false" customHeight="true" outlineLevel="0" collapsed="false">
      <c r="B11677" s="37" t="str">
        <f aca="false">SUBSTITUTE(SUBSTITUTE(SUBSTITUTE(SUBSTITUTE(SUBSTITUTE(Txt_P1,"{cabinet}",Cab_Nom),"{societe}",IF($K$11656=0,"",INDEX(Clients!$E$2:$E$501,$K$11656)&amp;"")),"{date_effet}",$K$11658),"{hausse}",$K$11659),"{civilite}",$K$11657)</f>
        <v>Nous tenons tout d'abord à vous remercier pour la confiance que vous accordez à ALTHO EXPERTISE. Comme chaque année, et conformément aux dispositions de votre lettre de mission, nous procédons à la révision de nos honoraires.</v>
      </c>
      <c r="C11677" s="37"/>
      <c r="D11677" s="37"/>
      <c r="E11677" s="37"/>
      <c r="F11677" s="37"/>
      <c r="J11677" s="25"/>
      <c r="K11677" s="25"/>
      <c r="L11677" s="25"/>
      <c r="M11677" s="25"/>
      <c r="N11677" s="25"/>
      <c r="O11677" s="25"/>
    </row>
    <row r="11678" customFormat="false" ht="49.5" hidden="false" customHeight="true" outlineLevel="0" collapsed="false">
      <c r="B11678" s="37" t="str">
        <f aca="false">SUBSTITUTE(SUBSTITUTE(SUBSTITUTE(SUBSTITUTE(SUBSTITUTE(Txt_P2,"{cabinet}",Cab_Nom),"{societe}",IF($K$11656=0,"",INDEX(Clients!$E$2:$E$501,$K$11656)&amp;"")),"{date_effet}",$K$11658),"{hausse}",$K$11659),"{civilite}",$K$11657)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678" s="37"/>
      <c r="D11678" s="37"/>
      <c r="E11678" s="37"/>
      <c r="F11678" s="37"/>
      <c r="J11678" s="25"/>
      <c r="K11678" s="25"/>
      <c r="L11678" s="25"/>
      <c r="M11678" s="25"/>
      <c r="N11678" s="25"/>
      <c r="O11678" s="25"/>
    </row>
    <row r="11679" customFormat="false" ht="63" hidden="false" customHeight="true" outlineLevel="0" collapsed="false">
      <c r="B11679" s="37" t="str">
        <f aca="false">SUBSTITUTE(SUBSTITUTE(SUBSTITUTE(SUBSTITUTE(SUBSTITUTE(Txt_P3,"{cabinet}",Cab_Nom),"{societe}",IF($K$11656=0,"",INDEX(Clients!$E$2:$E$501,$K$11656)&amp;"")),"{date_effet}",$K$11658),"{hausse}",$K$11659),"{civilite}",$K$11657)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679" s="37"/>
      <c r="D11679" s="37"/>
      <c r="E11679" s="37"/>
      <c r="F11679" s="37"/>
      <c r="J11679" s="25"/>
      <c r="K11679" s="25"/>
      <c r="L11679" s="25"/>
      <c r="M11679" s="25"/>
      <c r="N11679" s="25"/>
      <c r="O11679" s="25"/>
    </row>
    <row r="11680" customFormat="false" ht="24" hidden="false" customHeight="true" outlineLevel="0" collapsed="false">
      <c r="B11680" s="37" t="str">
        <f aca="false">SUBSTITUTE(SUBSTITUTE(SUBSTITUTE(SUBSTITUTE(SUBSTITUTE(Txt_P4,"{cabinet}",Cab_Nom),"{societe}",IF($K$11656=0,"",INDEX(Clients!$E$2:$E$501,$K$11656)&amp;"")),"{date_effet}",$K$11658),"{hausse}",$K$11659),"{civilite}",$K$11657)</f>
        <v>À compter du 1er janvier 2027, vos honoraires annuels hors taxes évolueront ainsi (évolution globale : ) :</v>
      </c>
      <c r="C11680" s="37"/>
      <c r="D11680" s="37"/>
      <c r="E11680" s="37"/>
      <c r="F11680" s="37"/>
      <c r="J11680" s="25"/>
      <c r="K11680" s="25"/>
      <c r="L11680" s="25"/>
      <c r="M11680" s="25"/>
      <c r="N11680" s="25"/>
      <c r="O11680" s="25"/>
    </row>
    <row r="11681" customFormat="false" ht="3.75" hidden="false" customHeight="true" outlineLevel="0" collapsed="false">
      <c r="B11681" s="10"/>
      <c r="C11681" s="10"/>
      <c r="D11681" s="10"/>
      <c r="E11681" s="10"/>
      <c r="F11681" s="10"/>
      <c r="J11681" s="25"/>
      <c r="K11681" s="25"/>
      <c r="L11681" s="25"/>
      <c r="M11681" s="25"/>
      <c r="N11681" s="25"/>
      <c r="O11681" s="25"/>
    </row>
    <row r="11682" customFormat="false" ht="18" hidden="false" customHeight="true" outlineLevel="0" collapsed="false">
      <c r="B11682" s="38" t="s">
        <v>148</v>
      </c>
      <c r="C11682" s="39" t="s">
        <v>149</v>
      </c>
      <c r="D11682" s="39" t="s">
        <v>150</v>
      </c>
      <c r="E11682" s="39" t="s">
        <v>151</v>
      </c>
      <c r="F11682" s="39" t="s">
        <v>109</v>
      </c>
      <c r="J11682" s="25" t="s">
        <v>152</v>
      </c>
      <c r="K11682" s="25" t="s">
        <v>153</v>
      </c>
      <c r="L11682" s="25" t="s">
        <v>154</v>
      </c>
      <c r="M11682" s="25" t="s">
        <v>155</v>
      </c>
      <c r="N11682" s="25" t="s">
        <v>156</v>
      </c>
      <c r="O11682" s="25" t="s">
        <v>157</v>
      </c>
    </row>
    <row r="11683" customFormat="false" ht="16.5" hidden="false" customHeight="true" outlineLevel="0" collapsed="false">
      <c r="B11683" s="40" t="str">
        <f aca="false">IFERROR(INDEX($J$11683:$J$11686,MATCH($O11683,$N$11683:$N$11686,0)),"")</f>
        <v/>
      </c>
      <c r="C11683" s="41" t="str">
        <f aca="false">IFERROR(INDEX($K$11683:$K$11686,MATCH($O11683,$N$11683:$N$11686,0)),"")</f>
        <v/>
      </c>
      <c r="D11683" s="42" t="str">
        <f aca="false">IF(OR(E11683="",N(C11683)=0),"",E11683/C11683-1)</f>
        <v/>
      </c>
      <c r="E11683" s="41" t="str">
        <f aca="false">IFERROR(INDEX($L$11683:$L$11686,MATCH($O11683,$N$11683:$N$11686,0)),"")</f>
        <v/>
      </c>
      <c r="F11683" s="41" t="str">
        <f aca="false">IF(E11683="","",E11683-C11683)</f>
        <v/>
      </c>
      <c r="J11683" s="25" t="str">
        <f aca="false">Lib_Compta</f>
        <v>Mission comptable (tenue, révision, bilan, liasse fiscale)</v>
      </c>
      <c r="K11683" s="25" t="n">
        <f aca="false">IF($K$11656=0,0,N(INDEX(Clients!$K$2:$K$501,$K$11656)))</f>
        <v>0</v>
      </c>
      <c r="L11683" s="25" t="n">
        <f aca="false">IF($K$11656=0,0,N(INDEX(Clients!$P$2:$P$501,$K$11656)))</f>
        <v>0</v>
      </c>
      <c r="M11683" s="25" t="n">
        <f aca="false">IF(OR(K11683&lt;&gt;0,L11683&lt;&gt;0),1,0)</f>
        <v>0</v>
      </c>
      <c r="N11683" s="25" t="str">
        <f aca="false">IF(M11683=1,SUM($M$11683:M11683),"")</f>
        <v/>
      </c>
      <c r="O11683" s="25" t="n">
        <v>1</v>
      </c>
    </row>
    <row r="11684" customFormat="false" ht="16.5" hidden="false" customHeight="true" outlineLevel="0" collapsed="false">
      <c r="B11684" s="40" t="str">
        <f aca="false">IFERROR(INDEX($J$11683:$J$11686,MATCH($O11684,$N$11683:$N$11686,0)),"")</f>
        <v/>
      </c>
      <c r="C11684" s="41" t="str">
        <f aca="false">IFERROR(INDEX($K$11683:$K$11686,MATCH($O11684,$N$11683:$N$11686,0)),"")</f>
        <v/>
      </c>
      <c r="D11684" s="42" t="str">
        <f aca="false">IF(OR(E11684="",N(C11684)=0),"",E11684/C11684-1)</f>
        <v/>
      </c>
      <c r="E11684" s="41" t="str">
        <f aca="false">IFERROR(INDEX($L$11683:$L$11686,MATCH($O11684,$N$11683:$N$11686,0)),"")</f>
        <v/>
      </c>
      <c r="F11684" s="41" t="str">
        <f aca="false">IF(E11684="","",E11684-C11684)</f>
        <v/>
      </c>
      <c r="J11684" s="25" t="str">
        <f aca="false">Lib_Paye</f>
        <v>Mission sociale (bulletins de paie, DSN, déclarations sociales)</v>
      </c>
      <c r="K11684" s="25" t="n">
        <f aca="false">IF($K$11656=0,0,N(INDEX(Clients!$L$2:$L$501,$K$11656)))</f>
        <v>0</v>
      </c>
      <c r="L11684" s="25" t="n">
        <f aca="false">IF($K$11656=0,0,N(INDEX(Clients!$Q$2:$Q$501,$K$11656)))</f>
        <v>0</v>
      </c>
      <c r="M11684" s="25" t="n">
        <f aca="false">IF(OR(K11684&lt;&gt;0,L11684&lt;&gt;0),1,0)</f>
        <v>0</v>
      </c>
      <c r="N11684" s="25" t="str">
        <f aca="false">IF(M11684=1,SUM($M$11683:M11684),"")</f>
        <v/>
      </c>
      <c r="O11684" s="25" t="n">
        <v>2</v>
      </c>
    </row>
    <row r="11685" customFormat="false" ht="16.5" hidden="false" customHeight="true" outlineLevel="0" collapsed="false">
      <c r="B11685" s="40" t="str">
        <f aca="false">IFERROR(INDEX($J$11683:$J$11686,MATCH($O11685,$N$11683:$N$11686,0)),"")</f>
        <v/>
      </c>
      <c r="C11685" s="41" t="str">
        <f aca="false">IFERROR(INDEX($K$11683:$K$11686,MATCH($O11685,$N$11683:$N$11686,0)),"")</f>
        <v/>
      </c>
      <c r="D11685" s="42" t="str">
        <f aca="false">IF(OR(E11685="",N(C11685)=0),"",E11685/C11685-1)</f>
        <v/>
      </c>
      <c r="E11685" s="41" t="str">
        <f aca="false">IFERROR(INDEX($L$11683:$L$11686,MATCH($O11685,$N$11683:$N$11686,0)),"")</f>
        <v/>
      </c>
      <c r="F11685" s="41" t="str">
        <f aca="false">IF(E11685="","",E11685-C11685)</f>
        <v/>
      </c>
      <c r="J11685" s="25" t="str">
        <f aca="false">Lib_Jur</f>
        <v>Mission juridique (approbation des comptes, secrétariat juridique)</v>
      </c>
      <c r="K11685" s="25" t="n">
        <f aca="false">IF($K$11656=0,0,N(INDEX(Clients!$M$2:$M$501,$K$11656)))</f>
        <v>0</v>
      </c>
      <c r="L11685" s="25" t="n">
        <f aca="false">IF($K$11656=0,0,N(INDEX(Clients!$R$2:$R$501,$K$11656)))</f>
        <v>0</v>
      </c>
      <c r="M11685" s="25" t="n">
        <f aca="false">IF(OR(K11685&lt;&gt;0,L11685&lt;&gt;0),1,0)</f>
        <v>0</v>
      </c>
      <c r="N11685" s="25" t="str">
        <f aca="false">IF(M11685=1,SUM($M$11683:M11685),"")</f>
        <v/>
      </c>
      <c r="O11685" s="25" t="n">
        <v>3</v>
      </c>
    </row>
    <row r="11686" customFormat="false" ht="16.5" hidden="false" customHeight="true" outlineLevel="0" collapsed="false">
      <c r="B11686" s="40" t="str">
        <f aca="false">IFERROR(INDEX($J$11683:$J$11686,MATCH($O11686,$N$11683:$N$11686,0)),"")</f>
        <v/>
      </c>
      <c r="C11686" s="41" t="str">
        <f aca="false">IFERROR(INDEX($K$11683:$K$11686,MATCH($O11686,$N$11683:$N$11686,0)),"")</f>
        <v/>
      </c>
      <c r="D11686" s="42" t="str">
        <f aca="false">IF(OR(E11686="",N(C11686)=0),"",E11686/C11686-1)</f>
        <v/>
      </c>
      <c r="E11686" s="41" t="str">
        <f aca="false">IFERROR(INDEX($L$11683:$L$11686,MATCH($O11686,$N$11683:$N$11686,0)),"")</f>
        <v/>
      </c>
      <c r="F11686" s="41" t="str">
        <f aca="false">IF(E11686="","",E11686-C11686)</f>
        <v/>
      </c>
      <c r="J11686" s="25" t="str">
        <f aca="false">Lib_PA</f>
        <v>Plateforme agréée – facturation électronique</v>
      </c>
      <c r="K11686" s="25" t="n">
        <f aca="false">IF($K$11656=0,0,N(INDEX(Clients!$N$2:$N$501,$K$11656)))</f>
        <v>0</v>
      </c>
      <c r="L11686" s="25" t="n">
        <f aca="false">IF($K$11656=0,0,N(INDEX(Clients!$S$2:$S$501,$K$11656)))</f>
        <v>0</v>
      </c>
      <c r="M11686" s="25" t="n">
        <f aca="false">IF(OR(K11686&lt;&gt;0,L11686&lt;&gt;0),1,0)</f>
        <v>0</v>
      </c>
      <c r="N11686" s="25" t="str">
        <f aca="false">IF(M11686=1,SUM($M$11683:M11686),"")</f>
        <v/>
      </c>
      <c r="O11686" s="25" t="n">
        <v>4</v>
      </c>
    </row>
    <row r="11687" customFormat="false" ht="18" hidden="false" customHeight="true" outlineLevel="0" collapsed="false">
      <c r="B11687" s="43" t="s">
        <v>158</v>
      </c>
      <c r="C11687" s="44" t="n">
        <f aca="false">SUM(K11683:K11686)</f>
        <v>0</v>
      </c>
      <c r="D11687" s="45" t="str">
        <f aca="false">IF(N(C11687)=0,"",E11687/C11687-1)</f>
        <v/>
      </c>
      <c r="E11687" s="44" t="n">
        <f aca="false">SUM(L11683:L11686)</f>
        <v>0</v>
      </c>
      <c r="F11687" s="44" t="n">
        <f aca="false">E11687-C11687</f>
        <v>0</v>
      </c>
    </row>
    <row r="11688" customFormat="false" ht="15" hidden="false" customHeight="false" outlineLevel="0" collapsed="false">
      <c r="B11688" s="46" t="str">
        <f aca="false">IF(N(Nb_Mensualites)=0,"","Soit "&amp;FIXED(E11687/Nb_Mensualites,2)&amp;" € HT par échéance ("&amp;Nb_Mensualites&amp;" échéances), "&amp;FIXED(E11687/Nb_Mensualites*(1+Taux_TVA),2)&amp;" € TTC.")</f>
        <v>Soit 0.00 € HT par échéance (12 échéances), 0.00 € TTC.</v>
      </c>
      <c r="C11688" s="46"/>
      <c r="D11688" s="46"/>
      <c r="E11688" s="46"/>
      <c r="F11688" s="46"/>
    </row>
    <row r="11689" customFormat="false" ht="7.5" hidden="false" customHeight="true" outlineLevel="0" collapsed="false">
      <c r="B11689" s="10"/>
      <c r="C11689" s="10"/>
      <c r="D11689" s="10"/>
      <c r="E11689" s="10"/>
      <c r="F11689" s="10"/>
    </row>
    <row r="11690" customFormat="false" ht="36.75" hidden="false" customHeight="true" outlineLevel="0" collapsed="false">
      <c r="B11690" s="37" t="str">
        <f aca="false">SUBSTITUTE(SUBSTITUTE(SUBSTITUTE(SUBSTITUTE(SUBSTITUTE(Txt_P5,"{cabinet}",Cab_Nom),"{societe}",IF($K$11656=0,"",INDEX(Clients!$E$2:$E$501,$K$11656)&amp;"")),"{date_effet}",$K$11658),"{hausse}",$K$11659),"{civilite}",$K$11657)</f>
        <v>Les autres conditions de votre lettre de mission demeurent inchangées. Les nouveaux montants seront appliqués automatiquement sur vos prochaines factures et échéances de prélèvement.</v>
      </c>
      <c r="C11690" s="37"/>
      <c r="D11690" s="37"/>
      <c r="E11690" s="37"/>
      <c r="F11690" s="37"/>
    </row>
    <row r="11691" customFormat="false" ht="36.75" hidden="false" customHeight="true" outlineLevel="0" collapsed="false">
      <c r="B11691" s="37" t="str">
        <f aca="false">SUBSTITUTE(SUBSTITUTE(SUBSTITUTE(SUBSTITUTE(SUBSTITUTE(Txt_P6,"{cabinet}",Cab_Nom),"{societe}",IF($K$11656=0,"",INDEX(Clients!$E$2:$E$501,$K$11656)&amp;"")),"{date_effet}",$K$11658),"{hausse}",$K$11659),"{civilite}",$K$11657)</f>
        <v>Votre interlocuteur habituel reste à votre entière disposition pour répondre à vos questions et faire le point sur l'évolution de vos besoins.</v>
      </c>
      <c r="C11691" s="37"/>
      <c r="D11691" s="37"/>
      <c r="E11691" s="37"/>
      <c r="F11691" s="37"/>
    </row>
    <row r="11692" customFormat="false" ht="24" hidden="false" customHeight="true" outlineLevel="0" collapsed="false">
      <c r="B11692" s="37" t="str">
        <f aca="false">SUBSTITUTE(SUBSTITUTE(SUBSTITUTE(SUBSTITUTE(SUBSTITUTE(Txt_Politesse,"{cabinet}",Cab_Nom),"{societe}",IF($K$11656=0,"",INDEX(Clients!$E$2:$E$501,$K$11656)&amp;"")),"{date_effet}",$K$11658),"{hausse}",$K$11659),"{civilite}",$K$11657)</f>
        <v>Nous vous prions d'agréer, Madame, Monsieur, l'expression de nos salutations distinguées.</v>
      </c>
      <c r="C11692" s="37"/>
      <c r="D11692" s="37"/>
      <c r="E11692" s="37"/>
      <c r="F11692" s="37"/>
    </row>
    <row r="11693" customFormat="false" ht="15" hidden="false" customHeight="false" outlineLevel="0" collapsed="false">
      <c r="B11693" s="10"/>
      <c r="C11693" s="10"/>
      <c r="D11693" s="10"/>
      <c r="E11693" s="10"/>
      <c r="F11693" s="10"/>
    </row>
    <row r="11694" customFormat="false" ht="15" hidden="false" customHeight="false" outlineLevel="0" collapsed="false">
      <c r="B11694" s="10"/>
      <c r="C11694" s="10"/>
      <c r="D11694" s="34" t="str">
        <f aca="false">Signataire</f>
        <v>Prénom NOM</v>
      </c>
      <c r="E11694" s="34"/>
      <c r="F11694" s="34"/>
    </row>
    <row r="11695" customFormat="false" ht="15" hidden="false" customHeight="false" outlineLevel="0" collapsed="false">
      <c r="B11695" s="10"/>
      <c r="C11695" s="10"/>
      <c r="D11695" s="47" t="str">
        <f aca="false">Signataire_Titre</f>
        <v>Expert-comptable associé</v>
      </c>
      <c r="E11695" s="47"/>
      <c r="F11695" s="47"/>
    </row>
    <row r="11696" customFormat="false" ht="15.75" hidden="false" customHeight="true" outlineLevel="0" collapsed="false">
      <c r="B11696" s="10"/>
      <c r="C11696" s="10"/>
      <c r="D11696" s="10"/>
      <c r="E11696" s="10"/>
      <c r="F11696" s="10"/>
    </row>
    <row r="11697" customFormat="false" ht="15.75" hidden="false" customHeight="true" outlineLevel="0" collapsed="false">
      <c r="B11697" s="10"/>
      <c r="C11697" s="10"/>
      <c r="D11697" s="10"/>
      <c r="E11697" s="10"/>
      <c r="F11697" s="10"/>
    </row>
    <row r="11698" customFormat="false" ht="15.75" hidden="false" customHeight="true" outlineLevel="0" collapsed="false">
      <c r="B11698" s="10"/>
      <c r="C11698" s="10"/>
      <c r="D11698" s="10"/>
      <c r="E11698" s="10"/>
      <c r="F11698" s="10"/>
    </row>
    <row r="11699" customFormat="false" ht="15.75" hidden="false" customHeight="true" outlineLevel="0" collapsed="false">
      <c r="B11699" s="10"/>
      <c r="C11699" s="10"/>
      <c r="D11699" s="10"/>
      <c r="E11699" s="10"/>
      <c r="F11699" s="10"/>
    </row>
    <row r="11700" customFormat="false" ht="24" hidden="false" customHeight="true" outlineLevel="0" collapsed="false">
      <c r="B11700" s="48" t="str">
        <f aca="false">Cab_Mentions</f>
        <v>ALTHO EXPERTISE · SAS au capital de 10 000 € · RCS Pontoise 919 706 325 · TVA FR62919706325 · Société d'expertise comptable inscrite au Tableau de l'Ordre des experts-comptables de Paris Île-de-France</v>
      </c>
      <c r="C11700" s="48"/>
      <c r="D11700" s="48"/>
      <c r="E11700" s="48"/>
      <c r="F11700" s="48"/>
    </row>
    <row r="11701" customFormat="false" ht="15" hidden="false" customHeight="false" outlineLevel="0" collapsed="false">
      <c r="B11701" s="10"/>
      <c r="C11701" s="10"/>
      <c r="D11701" s="10"/>
      <c r="E11701" s="10"/>
      <c r="F11701" s="10"/>
      <c r="J11701" s="25" t="s">
        <v>142</v>
      </c>
      <c r="K11701" s="25" t="n">
        <f aca="false">IFERROR(MATCH(261,Clients!$Z$2:$Z$501,0),0)</f>
        <v>0</v>
      </c>
      <c r="L11701" s="25"/>
      <c r="M11701" s="25"/>
      <c r="N11701" s="25"/>
      <c r="O11701" s="25"/>
    </row>
    <row r="11702" customFormat="false" ht="21.75" hidden="false" customHeight="true" outlineLevel="0" collapsed="false">
      <c r="B11702" s="26" t="str">
        <f aca="false">Cab_Nom</f>
        <v>ALTHO EXPERTISE</v>
      </c>
      <c r="C11702" s="26"/>
      <c r="D11702" s="10"/>
      <c r="E11702" s="27" t="str">
        <f aca="false">IF($K$11701=0,"","Réf. client : "&amp;INDEX(Clients!$A$2:$A$501,$K$11701))</f>
        <v/>
      </c>
      <c r="F11702" s="27"/>
      <c r="J11702" s="25" t="s">
        <v>144</v>
      </c>
      <c r="K11702" s="25" t="str">
        <f aca="false">IF(IF($K$11701=0,"",INDEX(Clients!$B$2:$B$501,$K$11701)&amp;"")="Mme","Madame",IF(IF($K$11701=0,"",INDEX(Clients!$B$2:$B$501,$K$11701)&amp;"")="M.","Monsieur","Madame, Monsieur"))</f>
        <v>Madame, Monsieur</v>
      </c>
      <c r="L11702" s="25"/>
      <c r="M11702" s="25"/>
      <c r="N11702" s="25"/>
      <c r="O11702" s="25"/>
    </row>
    <row r="11703" customFormat="false" ht="15" hidden="false" customHeight="false" outlineLevel="0" collapsed="false">
      <c r="B11703" s="29" t="str">
        <f aca="false">Cab_Adr1</f>
        <v>141 rue Charles de Gaulle</v>
      </c>
      <c r="C11703" s="29"/>
      <c r="D11703" s="10"/>
      <c r="E11703" s="10"/>
      <c r="F11703" s="10"/>
      <c r="J11703" s="25" t="s">
        <v>145</v>
      </c>
      <c r="K11703" s="25" t="str">
        <f aca="false">DAY(Date_Effet)&amp;IF(DAY(Date_Effet)=1,"er","")&amp;" "&amp;INDEX(Liste_Mois,MONTH(Date_Effet))&amp;" "&amp;YEAR(Date_Effet)</f>
        <v>1er janvier 2027</v>
      </c>
      <c r="L11703" s="25"/>
      <c r="M11703" s="25"/>
      <c r="N11703" s="25"/>
      <c r="O11703" s="25"/>
    </row>
    <row r="11704" customFormat="false" ht="15" hidden="false" customHeight="false" outlineLevel="0" collapsed="false">
      <c r="B11704" s="29" t="str">
        <f aca="false">Cab_CPVille</f>
        <v>95130 LE PLESSIS-BOUCHARD</v>
      </c>
      <c r="C11704" s="29"/>
      <c r="D11704" s="10"/>
      <c r="E11704" s="10"/>
      <c r="F11704" s="10"/>
      <c r="J11704" s="25" t="s">
        <v>146</v>
      </c>
      <c r="K11704" s="25" t="str">
        <f aca="false">IF(SUM($K$11728:$K$11731)=0,"",FIXED((SUM($L$11728:$L$11731)/SUM($K$11728:$K$11731)-1)*100,1)&amp;" %")</f>
        <v/>
      </c>
      <c r="L11704" s="25"/>
      <c r="M11704" s="25"/>
      <c r="N11704" s="25"/>
      <c r="O11704" s="25"/>
    </row>
    <row r="11705" customFormat="false" ht="15" hidden="false" customHeight="false" outlineLevel="0" collapsed="false">
      <c r="B11705" s="29" t="str">
        <f aca="false">Cab_Contact</f>
        <v>Tél. 01 34 14 53 45  ·  altho@altho-experts.com  ·  altho-experts.com</v>
      </c>
      <c r="C11705" s="29"/>
      <c r="D11705" s="10"/>
      <c r="E11705" s="10"/>
      <c r="F11705" s="10"/>
      <c r="J11705" s="25"/>
      <c r="K11705" s="25"/>
      <c r="L11705" s="25"/>
      <c r="M11705" s="25"/>
      <c r="N11705" s="25"/>
      <c r="O11705" s="25"/>
    </row>
    <row r="11706" customFormat="false" ht="6" hidden="false" customHeight="true" outlineLevel="0" collapsed="false">
      <c r="B11706" s="32"/>
      <c r="C11706" s="32"/>
      <c r="D11706" s="32"/>
      <c r="E11706" s="32"/>
      <c r="F11706" s="32"/>
      <c r="J11706" s="25"/>
      <c r="K11706" s="25"/>
      <c r="L11706" s="25"/>
      <c r="M11706" s="25"/>
      <c r="N11706" s="25"/>
      <c r="O11706" s="25"/>
    </row>
    <row r="11707" customFormat="false" ht="13.5" hidden="false" customHeight="true" outlineLevel="0" collapsed="false">
      <c r="B11707" s="10"/>
      <c r="C11707" s="10"/>
      <c r="D11707" s="10"/>
      <c r="E11707" s="10"/>
      <c r="F11707" s="10"/>
      <c r="J11707" s="25"/>
      <c r="K11707" s="25"/>
      <c r="L11707" s="25"/>
      <c r="M11707" s="25"/>
      <c r="N11707" s="25"/>
      <c r="O11707" s="25"/>
    </row>
    <row r="11708" customFormat="false" ht="13.5" hidden="false" customHeight="true" outlineLevel="0" collapsed="false">
      <c r="B11708" s="10"/>
      <c r="C11708" s="10"/>
      <c r="D11708" s="10"/>
      <c r="E11708" s="10"/>
      <c r="F11708" s="10"/>
      <c r="J11708" s="25"/>
      <c r="K11708" s="25"/>
      <c r="L11708" s="25"/>
      <c r="M11708" s="25"/>
      <c r="N11708" s="25"/>
      <c r="O11708" s="25"/>
    </row>
    <row r="11709" customFormat="false" ht="13.5" hidden="false" customHeight="true" outlineLevel="0" collapsed="false">
      <c r="B11709" s="10"/>
      <c r="C11709" s="10"/>
      <c r="D11709" s="10"/>
      <c r="E11709" s="10"/>
      <c r="F11709" s="10"/>
      <c r="J11709" s="25"/>
      <c r="K11709" s="25"/>
      <c r="L11709" s="25"/>
      <c r="M11709" s="25"/>
      <c r="N11709" s="25"/>
      <c r="O11709" s="25"/>
    </row>
    <row r="11710" customFormat="false" ht="15" hidden="false" customHeight="true" outlineLevel="0" collapsed="false">
      <c r="B11710" s="10"/>
      <c r="C11710" s="10"/>
      <c r="D11710" s="34" t="str">
        <f aca="false">IF($K$11701=0,"",INDEX(Clients!$E$2:$E$501,$K$11701)&amp;"")</f>
        <v/>
      </c>
      <c r="E11710" s="34"/>
      <c r="F11710" s="34"/>
      <c r="J11710" s="25"/>
      <c r="K11710" s="25"/>
      <c r="L11710" s="25"/>
      <c r="M11710" s="25"/>
      <c r="N11710" s="25"/>
      <c r="O11710" s="25"/>
    </row>
    <row r="11711" customFormat="false" ht="15" hidden="false" customHeight="true" outlineLevel="0" collapsed="false">
      <c r="B11711" s="10"/>
      <c r="C11711" s="10"/>
      <c r="D11711" s="35" t="str">
        <f aca="false">IF(IF($K$11701=0,"",INDEX(Clients!$D$2:$D$501,$K$11701)&amp;"")="","","À l'attention de "&amp;TRIM(IF($K$11701=0,"",INDEX(Clients!$B$2:$B$501,$K$11701)&amp;"")&amp;" "&amp;IF($K$11701=0,"",INDEX(Clients!$C$2:$C$501,$K$11701)&amp;"")&amp;" "&amp;IF($K$11701=0,"",INDEX(Clients!$D$2:$D$501,$K$11701)&amp;"")))</f>
        <v/>
      </c>
      <c r="E11711" s="35"/>
      <c r="F11711" s="35"/>
      <c r="J11711" s="25"/>
      <c r="K11711" s="25"/>
      <c r="L11711" s="25"/>
      <c r="M11711" s="25"/>
      <c r="N11711" s="25"/>
      <c r="O11711" s="25"/>
    </row>
    <row r="11712" customFormat="false" ht="15" hidden="false" customHeight="true" outlineLevel="0" collapsed="false">
      <c r="B11712" s="10"/>
      <c r="C11712" s="10"/>
      <c r="D11712" s="35" t="str">
        <f aca="false">IF($K$11701=0,"",INDEX(Clients!$F$2:$F$501,$K$11701)&amp;"")</f>
        <v/>
      </c>
      <c r="E11712" s="35"/>
      <c r="F11712" s="35"/>
      <c r="J11712" s="25"/>
      <c r="K11712" s="25"/>
      <c r="L11712" s="25"/>
      <c r="M11712" s="25"/>
      <c r="N11712" s="25"/>
      <c r="O11712" s="25"/>
    </row>
    <row r="11713" customFormat="false" ht="15" hidden="false" customHeight="true" outlineLevel="0" collapsed="false">
      <c r="B11713" s="10"/>
      <c r="C11713" s="10"/>
      <c r="D11713" s="35" t="str">
        <f aca="false">IF(IF($K$11701=0,"",INDEX(Clients!$G$2:$G$501,$K$11701)&amp;"")="",TRIM(IF($K$11701=0,"",INDEX(Clients!$H$2:$H$501,$K$11701)&amp;"")&amp;" "&amp;UPPER(IF($K$11701=0,"",INDEX(Clients!$I$2:$I$501,$K$11701)&amp;""))),IF($K$11701=0,"",INDEX(Clients!$G$2:$G$501,$K$11701)&amp;""))</f>
        <v/>
      </c>
      <c r="E11713" s="35"/>
      <c r="F11713" s="35"/>
      <c r="J11713" s="25"/>
      <c r="K11713" s="25"/>
      <c r="L11713" s="25"/>
      <c r="M11713" s="25"/>
      <c r="N11713" s="25"/>
      <c r="O11713" s="25"/>
    </row>
    <row r="11714" customFormat="false" ht="15" hidden="false" customHeight="true" outlineLevel="0" collapsed="false">
      <c r="B11714" s="10"/>
      <c r="C11714" s="10"/>
      <c r="D11714" s="35" t="str">
        <f aca="false">IF(IF($K$11701=0,"",INDEX(Clients!$G$2:$G$501,$K$11701)&amp;"")="","",TRIM(IF($K$11701=0,"",INDEX(Clients!$H$2:$H$501,$K$11701)&amp;"")&amp;" "&amp;UPPER(IF($K$11701=0,"",INDEX(Clients!$I$2:$I$501,$K$11701)&amp;""))))</f>
        <v/>
      </c>
      <c r="E11714" s="35"/>
      <c r="F11714" s="35"/>
      <c r="J11714" s="25"/>
      <c r="K11714" s="25"/>
      <c r="L11714" s="25"/>
      <c r="M11714" s="25"/>
      <c r="N11714" s="25"/>
      <c r="O11714" s="25"/>
    </row>
    <row r="11715" customFormat="false" ht="25.5" hidden="false" customHeight="true" outlineLevel="0" collapsed="false">
      <c r="B11715" s="10"/>
      <c r="C11715" s="10"/>
      <c r="D11715" s="10"/>
      <c r="E11715" s="10"/>
      <c r="F11715" s="10"/>
      <c r="J11715" s="25"/>
      <c r="K11715" s="25"/>
      <c r="L11715" s="25"/>
      <c r="M11715" s="25"/>
      <c r="N11715" s="25"/>
      <c r="O11715" s="25"/>
    </row>
    <row r="11716" customFormat="false" ht="15" hidden="false" customHeight="false" outlineLevel="0" collapsed="false">
      <c r="B11716" s="10"/>
      <c r="C11716" s="10"/>
      <c r="D11716" s="36" t="str">
        <f aca="false">Cab_Ville&amp;", le "&amp;DAY(Date_Courrier)&amp;IF(DAY(Date_Courrier)=1,"er","")&amp;" "&amp;INDEX(Liste_Mois,MONTH(Date_Courrier))&amp;" "&amp;YEAR(Date_Courrier)</f>
        <v>Le Plessis-Bouchard, le 22 septembre 2026</v>
      </c>
      <c r="E11716" s="36"/>
      <c r="F11716" s="36"/>
      <c r="J11716" s="25"/>
      <c r="K11716" s="25"/>
      <c r="L11716" s="25"/>
      <c r="M11716" s="25"/>
      <c r="N11716" s="25"/>
      <c r="O11716" s="25"/>
    </row>
    <row r="11717" customFormat="false" ht="19.5" hidden="false" customHeight="true" outlineLevel="0" collapsed="false">
      <c r="B11717" s="10"/>
      <c r="C11717" s="10"/>
      <c r="D11717" s="10"/>
      <c r="E11717" s="10"/>
      <c r="F11717" s="10"/>
      <c r="J11717" s="25"/>
      <c r="K11717" s="25"/>
      <c r="L11717" s="25"/>
      <c r="M11717" s="25"/>
      <c r="N11717" s="25"/>
      <c r="O11717" s="25"/>
    </row>
    <row r="11718" customFormat="false" ht="15" hidden="false" customHeight="false" outlineLevel="0" collapsed="false">
      <c r="B11718" s="34" t="str">
        <f aca="false">SUBSTITUTE(SUBSTITUTE(SUBSTITUTE(SUBSTITUTE(SUBSTITUTE(Txt_Objet,"{cabinet}",Cab_Nom),"{societe}",IF($K$11701=0,"",INDEX(Clients!$E$2:$E$501,$K$11701)&amp;"")),"{date_effet}",$K$11703),"{hausse}",$K$11704),"{civilite}",$K$11702)</f>
        <v>Objet : révision de nos honoraires au 1er janvier 2027</v>
      </c>
      <c r="C11718" s="34"/>
      <c r="D11718" s="34"/>
      <c r="E11718" s="34"/>
      <c r="F11718" s="34"/>
      <c r="J11718" s="25"/>
      <c r="K11718" s="25"/>
      <c r="L11718" s="25"/>
      <c r="M11718" s="25"/>
      <c r="N11718" s="25"/>
      <c r="O11718" s="25"/>
    </row>
    <row r="11719" customFormat="false" ht="13.5" hidden="false" customHeight="true" outlineLevel="0" collapsed="false">
      <c r="B11719" s="10"/>
      <c r="C11719" s="10"/>
      <c r="D11719" s="10"/>
      <c r="E11719" s="10"/>
      <c r="F11719" s="10"/>
      <c r="J11719" s="25"/>
      <c r="K11719" s="25"/>
      <c r="L11719" s="25"/>
      <c r="M11719" s="25"/>
      <c r="N11719" s="25"/>
      <c r="O11719" s="25"/>
    </row>
    <row r="11720" customFormat="false" ht="15" hidden="false" customHeight="false" outlineLevel="0" collapsed="false">
      <c r="B11720" s="10" t="str">
        <f aca="false">$K$11702&amp;","</f>
        <v>Madame, Monsieur,</v>
      </c>
      <c r="C11720" s="10"/>
      <c r="D11720" s="10"/>
      <c r="E11720" s="10"/>
      <c r="F11720" s="10"/>
      <c r="J11720" s="25"/>
      <c r="K11720" s="25"/>
      <c r="L11720" s="25"/>
      <c r="M11720" s="25"/>
      <c r="N11720" s="25"/>
      <c r="O11720" s="25"/>
    </row>
    <row r="11721" customFormat="false" ht="6" hidden="false" customHeight="true" outlineLevel="0" collapsed="false">
      <c r="B11721" s="10"/>
      <c r="C11721" s="10"/>
      <c r="D11721" s="10"/>
      <c r="E11721" s="10"/>
      <c r="F11721" s="10"/>
      <c r="J11721" s="25"/>
      <c r="K11721" s="25"/>
      <c r="L11721" s="25"/>
      <c r="M11721" s="25"/>
      <c r="N11721" s="25"/>
      <c r="O11721" s="25"/>
    </row>
    <row r="11722" customFormat="false" ht="36.75" hidden="false" customHeight="true" outlineLevel="0" collapsed="false">
      <c r="B11722" s="37" t="str">
        <f aca="false">SUBSTITUTE(SUBSTITUTE(SUBSTITUTE(SUBSTITUTE(SUBSTITUTE(Txt_P1,"{cabinet}",Cab_Nom),"{societe}",IF($K$11701=0,"",INDEX(Clients!$E$2:$E$501,$K$11701)&amp;"")),"{date_effet}",$K$11703),"{hausse}",$K$11704),"{civilite}",$K$11702)</f>
        <v>Nous tenons tout d'abord à vous remercier pour la confiance que vous accordez à ALTHO EXPERTISE. Comme chaque année, et conformément aux dispositions de votre lettre de mission, nous procédons à la révision de nos honoraires.</v>
      </c>
      <c r="C11722" s="37"/>
      <c r="D11722" s="37"/>
      <c r="E11722" s="37"/>
      <c r="F11722" s="37"/>
      <c r="J11722" s="25"/>
      <c r="K11722" s="25"/>
      <c r="L11722" s="25"/>
      <c r="M11722" s="25"/>
      <c r="N11722" s="25"/>
      <c r="O11722" s="25"/>
    </row>
    <row r="11723" customFormat="false" ht="49.5" hidden="false" customHeight="true" outlineLevel="0" collapsed="false">
      <c r="B11723" s="37" t="str">
        <f aca="false">SUBSTITUTE(SUBSTITUTE(SUBSTITUTE(SUBSTITUTE(SUBSTITUTE(Txt_P2,"{cabinet}",Cab_Nom),"{societe}",IF($K$11701=0,"",INDEX(Clients!$E$2:$E$501,$K$11701)&amp;"")),"{date_effet}",$K$11703),"{hausse}",$K$11704),"{civilite}",$K$11702)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723" s="37"/>
      <c r="D11723" s="37"/>
      <c r="E11723" s="37"/>
      <c r="F11723" s="37"/>
      <c r="J11723" s="25"/>
      <c r="K11723" s="25"/>
      <c r="L11723" s="25"/>
      <c r="M11723" s="25"/>
      <c r="N11723" s="25"/>
      <c r="O11723" s="25"/>
    </row>
    <row r="11724" customFormat="false" ht="63" hidden="false" customHeight="true" outlineLevel="0" collapsed="false">
      <c r="B11724" s="37" t="str">
        <f aca="false">SUBSTITUTE(SUBSTITUTE(SUBSTITUTE(SUBSTITUTE(SUBSTITUTE(Txt_P3,"{cabinet}",Cab_Nom),"{societe}",IF($K$11701=0,"",INDEX(Clients!$E$2:$E$501,$K$11701)&amp;"")),"{date_effet}",$K$11703),"{hausse}",$K$11704),"{civilite}",$K$11702)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724" s="37"/>
      <c r="D11724" s="37"/>
      <c r="E11724" s="37"/>
      <c r="F11724" s="37"/>
      <c r="J11724" s="25"/>
      <c r="K11724" s="25"/>
      <c r="L11724" s="25"/>
      <c r="M11724" s="25"/>
      <c r="N11724" s="25"/>
      <c r="O11724" s="25"/>
    </row>
    <row r="11725" customFormat="false" ht="24" hidden="false" customHeight="true" outlineLevel="0" collapsed="false">
      <c r="B11725" s="37" t="str">
        <f aca="false">SUBSTITUTE(SUBSTITUTE(SUBSTITUTE(SUBSTITUTE(SUBSTITUTE(Txt_P4,"{cabinet}",Cab_Nom),"{societe}",IF($K$11701=0,"",INDEX(Clients!$E$2:$E$501,$K$11701)&amp;"")),"{date_effet}",$K$11703),"{hausse}",$K$11704),"{civilite}",$K$11702)</f>
        <v>À compter du 1er janvier 2027, vos honoraires annuels hors taxes évolueront ainsi (évolution globale : ) :</v>
      </c>
      <c r="C11725" s="37"/>
      <c r="D11725" s="37"/>
      <c r="E11725" s="37"/>
      <c r="F11725" s="37"/>
      <c r="J11725" s="25"/>
      <c r="K11725" s="25"/>
      <c r="L11725" s="25"/>
      <c r="M11725" s="25"/>
      <c r="N11725" s="25"/>
      <c r="O11725" s="25"/>
    </row>
    <row r="11726" customFormat="false" ht="3.75" hidden="false" customHeight="true" outlineLevel="0" collapsed="false">
      <c r="B11726" s="10"/>
      <c r="C11726" s="10"/>
      <c r="D11726" s="10"/>
      <c r="E11726" s="10"/>
      <c r="F11726" s="10"/>
      <c r="J11726" s="25"/>
      <c r="K11726" s="25"/>
      <c r="L11726" s="25"/>
      <c r="M11726" s="25"/>
      <c r="N11726" s="25"/>
      <c r="O11726" s="25"/>
    </row>
    <row r="11727" customFormat="false" ht="18" hidden="false" customHeight="true" outlineLevel="0" collapsed="false">
      <c r="B11727" s="38" t="s">
        <v>148</v>
      </c>
      <c r="C11727" s="39" t="s">
        <v>149</v>
      </c>
      <c r="D11727" s="39" t="s">
        <v>150</v>
      </c>
      <c r="E11727" s="39" t="s">
        <v>151</v>
      </c>
      <c r="F11727" s="39" t="s">
        <v>109</v>
      </c>
      <c r="J11727" s="25" t="s">
        <v>152</v>
      </c>
      <c r="K11727" s="25" t="s">
        <v>153</v>
      </c>
      <c r="L11727" s="25" t="s">
        <v>154</v>
      </c>
      <c r="M11727" s="25" t="s">
        <v>155</v>
      </c>
      <c r="N11727" s="25" t="s">
        <v>156</v>
      </c>
      <c r="O11727" s="25" t="s">
        <v>157</v>
      </c>
    </row>
    <row r="11728" customFormat="false" ht="16.5" hidden="false" customHeight="true" outlineLevel="0" collapsed="false">
      <c r="B11728" s="40" t="str">
        <f aca="false">IFERROR(INDEX($J$11728:$J$11731,MATCH($O11728,$N$11728:$N$11731,0)),"")</f>
        <v/>
      </c>
      <c r="C11728" s="41" t="str">
        <f aca="false">IFERROR(INDEX($K$11728:$K$11731,MATCH($O11728,$N$11728:$N$11731,0)),"")</f>
        <v/>
      </c>
      <c r="D11728" s="42" t="str">
        <f aca="false">IF(OR(E11728="",N(C11728)=0),"",E11728/C11728-1)</f>
        <v/>
      </c>
      <c r="E11728" s="41" t="str">
        <f aca="false">IFERROR(INDEX($L$11728:$L$11731,MATCH($O11728,$N$11728:$N$11731,0)),"")</f>
        <v/>
      </c>
      <c r="F11728" s="41" t="str">
        <f aca="false">IF(E11728="","",E11728-C11728)</f>
        <v/>
      </c>
      <c r="J11728" s="25" t="str">
        <f aca="false">Lib_Compta</f>
        <v>Mission comptable (tenue, révision, bilan, liasse fiscale)</v>
      </c>
      <c r="K11728" s="25" t="n">
        <f aca="false">IF($K$11701=0,0,N(INDEX(Clients!$K$2:$K$501,$K$11701)))</f>
        <v>0</v>
      </c>
      <c r="L11728" s="25" t="n">
        <f aca="false">IF($K$11701=0,0,N(INDEX(Clients!$P$2:$P$501,$K$11701)))</f>
        <v>0</v>
      </c>
      <c r="M11728" s="25" t="n">
        <f aca="false">IF(OR(K11728&lt;&gt;0,L11728&lt;&gt;0),1,0)</f>
        <v>0</v>
      </c>
      <c r="N11728" s="25" t="str">
        <f aca="false">IF(M11728=1,SUM($M$11728:M11728),"")</f>
        <v/>
      </c>
      <c r="O11728" s="25" t="n">
        <v>1</v>
      </c>
    </row>
    <row r="11729" customFormat="false" ht="16.5" hidden="false" customHeight="true" outlineLevel="0" collapsed="false">
      <c r="B11729" s="40" t="str">
        <f aca="false">IFERROR(INDEX($J$11728:$J$11731,MATCH($O11729,$N$11728:$N$11731,0)),"")</f>
        <v/>
      </c>
      <c r="C11729" s="41" t="str">
        <f aca="false">IFERROR(INDEX($K$11728:$K$11731,MATCH($O11729,$N$11728:$N$11731,0)),"")</f>
        <v/>
      </c>
      <c r="D11729" s="42" t="str">
        <f aca="false">IF(OR(E11729="",N(C11729)=0),"",E11729/C11729-1)</f>
        <v/>
      </c>
      <c r="E11729" s="41" t="str">
        <f aca="false">IFERROR(INDEX($L$11728:$L$11731,MATCH($O11729,$N$11728:$N$11731,0)),"")</f>
        <v/>
      </c>
      <c r="F11729" s="41" t="str">
        <f aca="false">IF(E11729="","",E11729-C11729)</f>
        <v/>
      </c>
      <c r="J11729" s="25" t="str">
        <f aca="false">Lib_Paye</f>
        <v>Mission sociale (bulletins de paie, DSN, déclarations sociales)</v>
      </c>
      <c r="K11729" s="25" t="n">
        <f aca="false">IF($K$11701=0,0,N(INDEX(Clients!$L$2:$L$501,$K$11701)))</f>
        <v>0</v>
      </c>
      <c r="L11729" s="25" t="n">
        <f aca="false">IF($K$11701=0,0,N(INDEX(Clients!$Q$2:$Q$501,$K$11701)))</f>
        <v>0</v>
      </c>
      <c r="M11729" s="25" t="n">
        <f aca="false">IF(OR(K11729&lt;&gt;0,L11729&lt;&gt;0),1,0)</f>
        <v>0</v>
      </c>
      <c r="N11729" s="25" t="str">
        <f aca="false">IF(M11729=1,SUM($M$11728:M11729),"")</f>
        <v/>
      </c>
      <c r="O11729" s="25" t="n">
        <v>2</v>
      </c>
    </row>
    <row r="11730" customFormat="false" ht="16.5" hidden="false" customHeight="true" outlineLevel="0" collapsed="false">
      <c r="B11730" s="40" t="str">
        <f aca="false">IFERROR(INDEX($J$11728:$J$11731,MATCH($O11730,$N$11728:$N$11731,0)),"")</f>
        <v/>
      </c>
      <c r="C11730" s="41" t="str">
        <f aca="false">IFERROR(INDEX($K$11728:$K$11731,MATCH($O11730,$N$11728:$N$11731,0)),"")</f>
        <v/>
      </c>
      <c r="D11730" s="42" t="str">
        <f aca="false">IF(OR(E11730="",N(C11730)=0),"",E11730/C11730-1)</f>
        <v/>
      </c>
      <c r="E11730" s="41" t="str">
        <f aca="false">IFERROR(INDEX($L$11728:$L$11731,MATCH($O11730,$N$11728:$N$11731,0)),"")</f>
        <v/>
      </c>
      <c r="F11730" s="41" t="str">
        <f aca="false">IF(E11730="","",E11730-C11730)</f>
        <v/>
      </c>
      <c r="J11730" s="25" t="str">
        <f aca="false">Lib_Jur</f>
        <v>Mission juridique (approbation des comptes, secrétariat juridique)</v>
      </c>
      <c r="K11730" s="25" t="n">
        <f aca="false">IF($K$11701=0,0,N(INDEX(Clients!$M$2:$M$501,$K$11701)))</f>
        <v>0</v>
      </c>
      <c r="L11730" s="25" t="n">
        <f aca="false">IF($K$11701=0,0,N(INDEX(Clients!$R$2:$R$501,$K$11701)))</f>
        <v>0</v>
      </c>
      <c r="M11730" s="25" t="n">
        <f aca="false">IF(OR(K11730&lt;&gt;0,L11730&lt;&gt;0),1,0)</f>
        <v>0</v>
      </c>
      <c r="N11730" s="25" t="str">
        <f aca="false">IF(M11730=1,SUM($M$11728:M11730),"")</f>
        <v/>
      </c>
      <c r="O11730" s="25" t="n">
        <v>3</v>
      </c>
    </row>
    <row r="11731" customFormat="false" ht="16.5" hidden="false" customHeight="true" outlineLevel="0" collapsed="false">
      <c r="B11731" s="40" t="str">
        <f aca="false">IFERROR(INDEX($J$11728:$J$11731,MATCH($O11731,$N$11728:$N$11731,0)),"")</f>
        <v/>
      </c>
      <c r="C11731" s="41" t="str">
        <f aca="false">IFERROR(INDEX($K$11728:$K$11731,MATCH($O11731,$N$11728:$N$11731,0)),"")</f>
        <v/>
      </c>
      <c r="D11731" s="42" t="str">
        <f aca="false">IF(OR(E11731="",N(C11731)=0),"",E11731/C11731-1)</f>
        <v/>
      </c>
      <c r="E11731" s="41" t="str">
        <f aca="false">IFERROR(INDEX($L$11728:$L$11731,MATCH($O11731,$N$11728:$N$11731,0)),"")</f>
        <v/>
      </c>
      <c r="F11731" s="41" t="str">
        <f aca="false">IF(E11731="","",E11731-C11731)</f>
        <v/>
      </c>
      <c r="J11731" s="25" t="str">
        <f aca="false">Lib_PA</f>
        <v>Plateforme agréée – facturation électronique</v>
      </c>
      <c r="K11731" s="25" t="n">
        <f aca="false">IF($K$11701=0,0,N(INDEX(Clients!$N$2:$N$501,$K$11701)))</f>
        <v>0</v>
      </c>
      <c r="L11731" s="25" t="n">
        <f aca="false">IF($K$11701=0,0,N(INDEX(Clients!$S$2:$S$501,$K$11701)))</f>
        <v>0</v>
      </c>
      <c r="M11731" s="25" t="n">
        <f aca="false">IF(OR(K11731&lt;&gt;0,L11731&lt;&gt;0),1,0)</f>
        <v>0</v>
      </c>
      <c r="N11731" s="25" t="str">
        <f aca="false">IF(M11731=1,SUM($M$11728:M11731),"")</f>
        <v/>
      </c>
      <c r="O11731" s="25" t="n">
        <v>4</v>
      </c>
    </row>
    <row r="11732" customFormat="false" ht="18" hidden="false" customHeight="true" outlineLevel="0" collapsed="false">
      <c r="B11732" s="43" t="s">
        <v>158</v>
      </c>
      <c r="C11732" s="44" t="n">
        <f aca="false">SUM(K11728:K11731)</f>
        <v>0</v>
      </c>
      <c r="D11732" s="45" t="str">
        <f aca="false">IF(N(C11732)=0,"",E11732/C11732-1)</f>
        <v/>
      </c>
      <c r="E11732" s="44" t="n">
        <f aca="false">SUM(L11728:L11731)</f>
        <v>0</v>
      </c>
      <c r="F11732" s="44" t="n">
        <f aca="false">E11732-C11732</f>
        <v>0</v>
      </c>
    </row>
    <row r="11733" customFormat="false" ht="15" hidden="false" customHeight="false" outlineLevel="0" collapsed="false">
      <c r="B11733" s="46" t="str">
        <f aca="false">IF(N(Nb_Mensualites)=0,"","Soit "&amp;FIXED(E11732/Nb_Mensualites,2)&amp;" € HT par échéance ("&amp;Nb_Mensualites&amp;" échéances), "&amp;FIXED(E11732/Nb_Mensualites*(1+Taux_TVA),2)&amp;" € TTC.")</f>
        <v>Soit 0.00 € HT par échéance (12 échéances), 0.00 € TTC.</v>
      </c>
      <c r="C11733" s="46"/>
      <c r="D11733" s="46"/>
      <c r="E11733" s="46"/>
      <c r="F11733" s="46"/>
    </row>
    <row r="11734" customFormat="false" ht="7.5" hidden="false" customHeight="true" outlineLevel="0" collapsed="false">
      <c r="B11734" s="10"/>
      <c r="C11734" s="10"/>
      <c r="D11734" s="10"/>
      <c r="E11734" s="10"/>
      <c r="F11734" s="10"/>
    </row>
    <row r="11735" customFormat="false" ht="36.75" hidden="false" customHeight="true" outlineLevel="0" collapsed="false">
      <c r="B11735" s="37" t="str">
        <f aca="false">SUBSTITUTE(SUBSTITUTE(SUBSTITUTE(SUBSTITUTE(SUBSTITUTE(Txt_P5,"{cabinet}",Cab_Nom),"{societe}",IF($K$11701=0,"",INDEX(Clients!$E$2:$E$501,$K$11701)&amp;"")),"{date_effet}",$K$11703),"{hausse}",$K$11704),"{civilite}",$K$11702)</f>
        <v>Les autres conditions de votre lettre de mission demeurent inchangées. Les nouveaux montants seront appliqués automatiquement sur vos prochaines factures et échéances de prélèvement.</v>
      </c>
      <c r="C11735" s="37"/>
      <c r="D11735" s="37"/>
      <c r="E11735" s="37"/>
      <c r="F11735" s="37"/>
    </row>
    <row r="11736" customFormat="false" ht="36.75" hidden="false" customHeight="true" outlineLevel="0" collapsed="false">
      <c r="B11736" s="37" t="str">
        <f aca="false">SUBSTITUTE(SUBSTITUTE(SUBSTITUTE(SUBSTITUTE(SUBSTITUTE(Txt_P6,"{cabinet}",Cab_Nom),"{societe}",IF($K$11701=0,"",INDEX(Clients!$E$2:$E$501,$K$11701)&amp;"")),"{date_effet}",$K$11703),"{hausse}",$K$11704),"{civilite}",$K$11702)</f>
        <v>Votre interlocuteur habituel reste à votre entière disposition pour répondre à vos questions et faire le point sur l'évolution de vos besoins.</v>
      </c>
      <c r="C11736" s="37"/>
      <c r="D11736" s="37"/>
      <c r="E11736" s="37"/>
      <c r="F11736" s="37"/>
    </row>
    <row r="11737" customFormat="false" ht="24" hidden="false" customHeight="true" outlineLevel="0" collapsed="false">
      <c r="B11737" s="37" t="str">
        <f aca="false">SUBSTITUTE(SUBSTITUTE(SUBSTITUTE(SUBSTITUTE(SUBSTITUTE(Txt_Politesse,"{cabinet}",Cab_Nom),"{societe}",IF($K$11701=0,"",INDEX(Clients!$E$2:$E$501,$K$11701)&amp;"")),"{date_effet}",$K$11703),"{hausse}",$K$11704),"{civilite}",$K$11702)</f>
        <v>Nous vous prions d'agréer, Madame, Monsieur, l'expression de nos salutations distinguées.</v>
      </c>
      <c r="C11737" s="37"/>
      <c r="D11737" s="37"/>
      <c r="E11737" s="37"/>
      <c r="F11737" s="37"/>
    </row>
    <row r="11738" customFormat="false" ht="15" hidden="false" customHeight="false" outlineLevel="0" collapsed="false">
      <c r="B11738" s="10"/>
      <c r="C11738" s="10"/>
      <c r="D11738" s="10"/>
      <c r="E11738" s="10"/>
      <c r="F11738" s="10"/>
    </row>
    <row r="11739" customFormat="false" ht="15" hidden="false" customHeight="false" outlineLevel="0" collapsed="false">
      <c r="B11739" s="10"/>
      <c r="C11739" s="10"/>
      <c r="D11739" s="34" t="str">
        <f aca="false">Signataire</f>
        <v>Prénom NOM</v>
      </c>
      <c r="E11739" s="34"/>
      <c r="F11739" s="34"/>
    </row>
    <row r="11740" customFormat="false" ht="15" hidden="false" customHeight="false" outlineLevel="0" collapsed="false">
      <c r="B11740" s="10"/>
      <c r="C11740" s="10"/>
      <c r="D11740" s="47" t="str">
        <f aca="false">Signataire_Titre</f>
        <v>Expert-comptable associé</v>
      </c>
      <c r="E11740" s="47"/>
      <c r="F11740" s="47"/>
    </row>
    <row r="11741" customFormat="false" ht="15.75" hidden="false" customHeight="true" outlineLevel="0" collapsed="false">
      <c r="B11741" s="10"/>
      <c r="C11741" s="10"/>
      <c r="D11741" s="10"/>
      <c r="E11741" s="10"/>
      <c r="F11741" s="10"/>
    </row>
    <row r="11742" customFormat="false" ht="15.75" hidden="false" customHeight="true" outlineLevel="0" collapsed="false">
      <c r="B11742" s="10"/>
      <c r="C11742" s="10"/>
      <c r="D11742" s="10"/>
      <c r="E11742" s="10"/>
      <c r="F11742" s="10"/>
    </row>
    <row r="11743" customFormat="false" ht="15.75" hidden="false" customHeight="true" outlineLevel="0" collapsed="false">
      <c r="B11743" s="10"/>
      <c r="C11743" s="10"/>
      <c r="D11743" s="10"/>
      <c r="E11743" s="10"/>
      <c r="F11743" s="10"/>
    </row>
    <row r="11744" customFormat="false" ht="15.75" hidden="false" customHeight="true" outlineLevel="0" collapsed="false">
      <c r="B11744" s="10"/>
      <c r="C11744" s="10"/>
      <c r="D11744" s="10"/>
      <c r="E11744" s="10"/>
      <c r="F11744" s="10"/>
    </row>
    <row r="11745" customFormat="false" ht="24" hidden="false" customHeight="true" outlineLevel="0" collapsed="false">
      <c r="B11745" s="48" t="str">
        <f aca="false">Cab_Mentions</f>
        <v>ALTHO EXPERTISE · SAS au capital de 10 000 € · RCS Pontoise 919 706 325 · TVA FR62919706325 · Société d'expertise comptable inscrite au Tableau de l'Ordre des experts-comptables de Paris Île-de-France</v>
      </c>
      <c r="C11745" s="48"/>
      <c r="D11745" s="48"/>
      <c r="E11745" s="48"/>
      <c r="F11745" s="48"/>
    </row>
    <row r="11746" customFormat="false" ht="15" hidden="false" customHeight="false" outlineLevel="0" collapsed="false">
      <c r="B11746" s="10"/>
      <c r="C11746" s="10"/>
      <c r="D11746" s="10"/>
      <c r="E11746" s="10"/>
      <c r="F11746" s="10"/>
      <c r="J11746" s="25" t="s">
        <v>142</v>
      </c>
      <c r="K11746" s="25" t="n">
        <f aca="false">IFERROR(MATCH(262,Clients!$Z$2:$Z$501,0),0)</f>
        <v>0</v>
      </c>
      <c r="L11746" s="25"/>
      <c r="M11746" s="25"/>
      <c r="N11746" s="25"/>
      <c r="O11746" s="25"/>
    </row>
    <row r="11747" customFormat="false" ht="21.75" hidden="false" customHeight="true" outlineLevel="0" collapsed="false">
      <c r="B11747" s="26" t="str">
        <f aca="false">Cab_Nom</f>
        <v>ALTHO EXPERTISE</v>
      </c>
      <c r="C11747" s="26"/>
      <c r="D11747" s="10"/>
      <c r="E11747" s="27" t="str">
        <f aca="false">IF($K$11746=0,"","Réf. client : "&amp;INDEX(Clients!$A$2:$A$501,$K$11746))</f>
        <v/>
      </c>
      <c r="F11747" s="27"/>
      <c r="J11747" s="25" t="s">
        <v>144</v>
      </c>
      <c r="K11747" s="25" t="str">
        <f aca="false">IF(IF($K$11746=0,"",INDEX(Clients!$B$2:$B$501,$K$11746)&amp;"")="Mme","Madame",IF(IF($K$11746=0,"",INDEX(Clients!$B$2:$B$501,$K$11746)&amp;"")="M.","Monsieur","Madame, Monsieur"))</f>
        <v>Madame, Monsieur</v>
      </c>
      <c r="L11747" s="25"/>
      <c r="M11747" s="25"/>
      <c r="N11747" s="25"/>
      <c r="O11747" s="25"/>
    </row>
    <row r="11748" customFormat="false" ht="15" hidden="false" customHeight="false" outlineLevel="0" collapsed="false">
      <c r="B11748" s="29" t="str">
        <f aca="false">Cab_Adr1</f>
        <v>141 rue Charles de Gaulle</v>
      </c>
      <c r="C11748" s="29"/>
      <c r="D11748" s="10"/>
      <c r="E11748" s="10"/>
      <c r="F11748" s="10"/>
      <c r="J11748" s="25" t="s">
        <v>145</v>
      </c>
      <c r="K11748" s="25" t="str">
        <f aca="false">DAY(Date_Effet)&amp;IF(DAY(Date_Effet)=1,"er","")&amp;" "&amp;INDEX(Liste_Mois,MONTH(Date_Effet))&amp;" "&amp;YEAR(Date_Effet)</f>
        <v>1er janvier 2027</v>
      </c>
      <c r="L11748" s="25"/>
      <c r="M11748" s="25"/>
      <c r="N11748" s="25"/>
      <c r="O11748" s="25"/>
    </row>
    <row r="11749" customFormat="false" ht="15" hidden="false" customHeight="false" outlineLevel="0" collapsed="false">
      <c r="B11749" s="29" t="str">
        <f aca="false">Cab_CPVille</f>
        <v>95130 LE PLESSIS-BOUCHARD</v>
      </c>
      <c r="C11749" s="29"/>
      <c r="D11749" s="10"/>
      <c r="E11749" s="10"/>
      <c r="F11749" s="10"/>
      <c r="J11749" s="25" t="s">
        <v>146</v>
      </c>
      <c r="K11749" s="25" t="str">
        <f aca="false">IF(SUM($K$11773:$K$11776)=0,"",FIXED((SUM($L$11773:$L$11776)/SUM($K$11773:$K$11776)-1)*100,1)&amp;" %")</f>
        <v/>
      </c>
      <c r="L11749" s="25"/>
      <c r="M11749" s="25"/>
      <c r="N11749" s="25"/>
      <c r="O11749" s="25"/>
    </row>
    <row r="11750" customFormat="false" ht="15" hidden="false" customHeight="false" outlineLevel="0" collapsed="false">
      <c r="B11750" s="29" t="str">
        <f aca="false">Cab_Contact</f>
        <v>Tél. 01 34 14 53 45  ·  altho@altho-experts.com  ·  altho-experts.com</v>
      </c>
      <c r="C11750" s="29"/>
      <c r="D11750" s="10"/>
      <c r="E11750" s="10"/>
      <c r="F11750" s="10"/>
      <c r="J11750" s="25"/>
      <c r="K11750" s="25"/>
      <c r="L11750" s="25"/>
      <c r="M11750" s="25"/>
      <c r="N11750" s="25"/>
      <c r="O11750" s="25"/>
    </row>
    <row r="11751" customFormat="false" ht="6" hidden="false" customHeight="true" outlineLevel="0" collapsed="false">
      <c r="B11751" s="32"/>
      <c r="C11751" s="32"/>
      <c r="D11751" s="32"/>
      <c r="E11751" s="32"/>
      <c r="F11751" s="32"/>
      <c r="J11751" s="25"/>
      <c r="K11751" s="25"/>
      <c r="L11751" s="25"/>
      <c r="M11751" s="25"/>
      <c r="N11751" s="25"/>
      <c r="O11751" s="25"/>
    </row>
    <row r="11752" customFormat="false" ht="13.5" hidden="false" customHeight="true" outlineLevel="0" collapsed="false">
      <c r="B11752" s="10"/>
      <c r="C11752" s="10"/>
      <c r="D11752" s="10"/>
      <c r="E11752" s="10"/>
      <c r="F11752" s="10"/>
      <c r="J11752" s="25"/>
      <c r="K11752" s="25"/>
      <c r="L11752" s="25"/>
      <c r="M11752" s="25"/>
      <c r="N11752" s="25"/>
      <c r="O11752" s="25"/>
    </row>
    <row r="11753" customFormat="false" ht="13.5" hidden="false" customHeight="true" outlineLevel="0" collapsed="false">
      <c r="B11753" s="10"/>
      <c r="C11753" s="10"/>
      <c r="D11753" s="10"/>
      <c r="E11753" s="10"/>
      <c r="F11753" s="10"/>
      <c r="J11753" s="25"/>
      <c r="K11753" s="25"/>
      <c r="L11753" s="25"/>
      <c r="M11753" s="25"/>
      <c r="N11753" s="25"/>
      <c r="O11753" s="25"/>
    </row>
    <row r="11754" customFormat="false" ht="13.5" hidden="false" customHeight="true" outlineLevel="0" collapsed="false">
      <c r="B11754" s="10"/>
      <c r="C11754" s="10"/>
      <c r="D11754" s="10"/>
      <c r="E11754" s="10"/>
      <c r="F11754" s="10"/>
      <c r="J11754" s="25"/>
      <c r="K11754" s="25"/>
      <c r="L11754" s="25"/>
      <c r="M11754" s="25"/>
      <c r="N11754" s="25"/>
      <c r="O11754" s="25"/>
    </row>
    <row r="11755" customFormat="false" ht="15" hidden="false" customHeight="true" outlineLevel="0" collapsed="false">
      <c r="B11755" s="10"/>
      <c r="C11755" s="10"/>
      <c r="D11755" s="34" t="str">
        <f aca="false">IF($K$11746=0,"",INDEX(Clients!$E$2:$E$501,$K$11746)&amp;"")</f>
        <v/>
      </c>
      <c r="E11755" s="34"/>
      <c r="F11755" s="34"/>
      <c r="J11755" s="25"/>
      <c r="K11755" s="25"/>
      <c r="L11755" s="25"/>
      <c r="M11755" s="25"/>
      <c r="N11755" s="25"/>
      <c r="O11755" s="25"/>
    </row>
    <row r="11756" customFormat="false" ht="15" hidden="false" customHeight="true" outlineLevel="0" collapsed="false">
      <c r="B11756" s="10"/>
      <c r="C11756" s="10"/>
      <c r="D11756" s="35" t="str">
        <f aca="false">IF(IF($K$11746=0,"",INDEX(Clients!$D$2:$D$501,$K$11746)&amp;"")="","","À l'attention de "&amp;TRIM(IF($K$11746=0,"",INDEX(Clients!$B$2:$B$501,$K$11746)&amp;"")&amp;" "&amp;IF($K$11746=0,"",INDEX(Clients!$C$2:$C$501,$K$11746)&amp;"")&amp;" "&amp;IF($K$11746=0,"",INDEX(Clients!$D$2:$D$501,$K$11746)&amp;"")))</f>
        <v/>
      </c>
      <c r="E11756" s="35"/>
      <c r="F11756" s="35"/>
      <c r="J11756" s="25"/>
      <c r="K11756" s="25"/>
      <c r="L11756" s="25"/>
      <c r="M11756" s="25"/>
      <c r="N11756" s="25"/>
      <c r="O11756" s="25"/>
    </row>
    <row r="11757" customFormat="false" ht="15" hidden="false" customHeight="true" outlineLevel="0" collapsed="false">
      <c r="B11757" s="10"/>
      <c r="C11757" s="10"/>
      <c r="D11757" s="35" t="str">
        <f aca="false">IF($K$11746=0,"",INDEX(Clients!$F$2:$F$501,$K$11746)&amp;"")</f>
        <v/>
      </c>
      <c r="E11757" s="35"/>
      <c r="F11757" s="35"/>
      <c r="J11757" s="25"/>
      <c r="K11757" s="25"/>
      <c r="L11757" s="25"/>
      <c r="M11757" s="25"/>
      <c r="N11757" s="25"/>
      <c r="O11757" s="25"/>
    </row>
    <row r="11758" customFormat="false" ht="15" hidden="false" customHeight="true" outlineLevel="0" collapsed="false">
      <c r="B11758" s="10"/>
      <c r="C11758" s="10"/>
      <c r="D11758" s="35" t="str">
        <f aca="false">IF(IF($K$11746=0,"",INDEX(Clients!$G$2:$G$501,$K$11746)&amp;"")="",TRIM(IF($K$11746=0,"",INDEX(Clients!$H$2:$H$501,$K$11746)&amp;"")&amp;" "&amp;UPPER(IF($K$11746=0,"",INDEX(Clients!$I$2:$I$501,$K$11746)&amp;""))),IF($K$11746=0,"",INDEX(Clients!$G$2:$G$501,$K$11746)&amp;""))</f>
        <v/>
      </c>
      <c r="E11758" s="35"/>
      <c r="F11758" s="35"/>
      <c r="J11758" s="25"/>
      <c r="K11758" s="25"/>
      <c r="L11758" s="25"/>
      <c r="M11758" s="25"/>
      <c r="N11758" s="25"/>
      <c r="O11758" s="25"/>
    </row>
    <row r="11759" customFormat="false" ht="15" hidden="false" customHeight="true" outlineLevel="0" collapsed="false">
      <c r="B11759" s="10"/>
      <c r="C11759" s="10"/>
      <c r="D11759" s="35" t="str">
        <f aca="false">IF(IF($K$11746=0,"",INDEX(Clients!$G$2:$G$501,$K$11746)&amp;"")="","",TRIM(IF($K$11746=0,"",INDEX(Clients!$H$2:$H$501,$K$11746)&amp;"")&amp;" "&amp;UPPER(IF($K$11746=0,"",INDEX(Clients!$I$2:$I$501,$K$11746)&amp;""))))</f>
        <v/>
      </c>
      <c r="E11759" s="35"/>
      <c r="F11759" s="35"/>
      <c r="J11759" s="25"/>
      <c r="K11759" s="25"/>
      <c r="L11759" s="25"/>
      <c r="M11759" s="25"/>
      <c r="N11759" s="25"/>
      <c r="O11759" s="25"/>
    </row>
    <row r="11760" customFormat="false" ht="25.5" hidden="false" customHeight="true" outlineLevel="0" collapsed="false">
      <c r="B11760" s="10"/>
      <c r="C11760" s="10"/>
      <c r="D11760" s="10"/>
      <c r="E11760" s="10"/>
      <c r="F11760" s="10"/>
      <c r="J11760" s="25"/>
      <c r="K11760" s="25"/>
      <c r="L11760" s="25"/>
      <c r="M11760" s="25"/>
      <c r="N11760" s="25"/>
      <c r="O11760" s="25"/>
    </row>
    <row r="11761" customFormat="false" ht="15" hidden="false" customHeight="false" outlineLevel="0" collapsed="false">
      <c r="B11761" s="10"/>
      <c r="C11761" s="10"/>
      <c r="D11761" s="36" t="str">
        <f aca="false">Cab_Ville&amp;", le "&amp;DAY(Date_Courrier)&amp;IF(DAY(Date_Courrier)=1,"er","")&amp;" "&amp;INDEX(Liste_Mois,MONTH(Date_Courrier))&amp;" "&amp;YEAR(Date_Courrier)</f>
        <v>Le Plessis-Bouchard, le 22 septembre 2026</v>
      </c>
      <c r="E11761" s="36"/>
      <c r="F11761" s="36"/>
      <c r="J11761" s="25"/>
      <c r="K11761" s="25"/>
      <c r="L11761" s="25"/>
      <c r="M11761" s="25"/>
      <c r="N11761" s="25"/>
      <c r="O11761" s="25"/>
    </row>
    <row r="11762" customFormat="false" ht="19.5" hidden="false" customHeight="true" outlineLevel="0" collapsed="false">
      <c r="B11762" s="10"/>
      <c r="C11762" s="10"/>
      <c r="D11762" s="10"/>
      <c r="E11762" s="10"/>
      <c r="F11762" s="10"/>
      <c r="J11762" s="25"/>
      <c r="K11762" s="25"/>
      <c r="L11762" s="25"/>
      <c r="M11762" s="25"/>
      <c r="N11762" s="25"/>
      <c r="O11762" s="25"/>
    </row>
    <row r="11763" customFormat="false" ht="15" hidden="false" customHeight="false" outlineLevel="0" collapsed="false">
      <c r="B11763" s="34" t="str">
        <f aca="false">SUBSTITUTE(SUBSTITUTE(SUBSTITUTE(SUBSTITUTE(SUBSTITUTE(Txt_Objet,"{cabinet}",Cab_Nom),"{societe}",IF($K$11746=0,"",INDEX(Clients!$E$2:$E$501,$K$11746)&amp;"")),"{date_effet}",$K$11748),"{hausse}",$K$11749),"{civilite}",$K$11747)</f>
        <v>Objet : révision de nos honoraires au 1er janvier 2027</v>
      </c>
      <c r="C11763" s="34"/>
      <c r="D11763" s="34"/>
      <c r="E11763" s="34"/>
      <c r="F11763" s="34"/>
      <c r="J11763" s="25"/>
      <c r="K11763" s="25"/>
      <c r="L11763" s="25"/>
      <c r="M11763" s="25"/>
      <c r="N11763" s="25"/>
      <c r="O11763" s="25"/>
    </row>
    <row r="11764" customFormat="false" ht="13.5" hidden="false" customHeight="true" outlineLevel="0" collapsed="false">
      <c r="B11764" s="10"/>
      <c r="C11764" s="10"/>
      <c r="D11764" s="10"/>
      <c r="E11764" s="10"/>
      <c r="F11764" s="10"/>
      <c r="J11764" s="25"/>
      <c r="K11764" s="25"/>
      <c r="L11764" s="25"/>
      <c r="M11764" s="25"/>
      <c r="N11764" s="25"/>
      <c r="O11764" s="25"/>
    </row>
    <row r="11765" customFormat="false" ht="15" hidden="false" customHeight="false" outlineLevel="0" collapsed="false">
      <c r="B11765" s="10" t="str">
        <f aca="false">$K$11747&amp;","</f>
        <v>Madame, Monsieur,</v>
      </c>
      <c r="C11765" s="10"/>
      <c r="D11765" s="10"/>
      <c r="E11765" s="10"/>
      <c r="F11765" s="10"/>
      <c r="J11765" s="25"/>
      <c r="K11765" s="25"/>
      <c r="L11765" s="25"/>
      <c r="M11765" s="25"/>
      <c r="N11765" s="25"/>
      <c r="O11765" s="25"/>
    </row>
    <row r="11766" customFormat="false" ht="6" hidden="false" customHeight="true" outlineLevel="0" collapsed="false">
      <c r="B11766" s="10"/>
      <c r="C11766" s="10"/>
      <c r="D11766" s="10"/>
      <c r="E11766" s="10"/>
      <c r="F11766" s="10"/>
      <c r="J11766" s="25"/>
      <c r="K11766" s="25"/>
      <c r="L11766" s="25"/>
      <c r="M11766" s="25"/>
      <c r="N11766" s="25"/>
      <c r="O11766" s="25"/>
    </row>
    <row r="11767" customFormat="false" ht="36.75" hidden="false" customHeight="true" outlineLevel="0" collapsed="false">
      <c r="B11767" s="37" t="str">
        <f aca="false">SUBSTITUTE(SUBSTITUTE(SUBSTITUTE(SUBSTITUTE(SUBSTITUTE(Txt_P1,"{cabinet}",Cab_Nom),"{societe}",IF($K$11746=0,"",INDEX(Clients!$E$2:$E$501,$K$11746)&amp;"")),"{date_effet}",$K$11748),"{hausse}",$K$11749),"{civilite}",$K$11747)</f>
        <v>Nous tenons tout d'abord à vous remercier pour la confiance que vous accordez à ALTHO EXPERTISE. Comme chaque année, et conformément aux dispositions de votre lettre de mission, nous procédons à la révision de nos honoraires.</v>
      </c>
      <c r="C11767" s="37"/>
      <c r="D11767" s="37"/>
      <c r="E11767" s="37"/>
      <c r="F11767" s="37"/>
      <c r="J11767" s="25"/>
      <c r="K11767" s="25"/>
      <c r="L11767" s="25"/>
      <c r="M11767" s="25"/>
      <c r="N11767" s="25"/>
      <c r="O11767" s="25"/>
    </row>
    <row r="11768" customFormat="false" ht="49.5" hidden="false" customHeight="true" outlineLevel="0" collapsed="false">
      <c r="B11768" s="37" t="str">
        <f aca="false">SUBSTITUTE(SUBSTITUTE(SUBSTITUTE(SUBSTITUTE(SUBSTITUTE(Txt_P2,"{cabinet}",Cab_Nom),"{societe}",IF($K$11746=0,"",INDEX(Clients!$E$2:$E$501,$K$11746)&amp;"")),"{date_effet}",$K$11748),"{hausse}",$K$11749),"{civilite}",$K$11747)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768" s="37"/>
      <c r="D11768" s="37"/>
      <c r="E11768" s="37"/>
      <c r="F11768" s="37"/>
      <c r="J11768" s="25"/>
      <c r="K11768" s="25"/>
      <c r="L11768" s="25"/>
      <c r="M11768" s="25"/>
      <c r="N11768" s="25"/>
      <c r="O11768" s="25"/>
    </row>
    <row r="11769" customFormat="false" ht="63" hidden="false" customHeight="true" outlineLevel="0" collapsed="false">
      <c r="B11769" s="37" t="str">
        <f aca="false">SUBSTITUTE(SUBSTITUTE(SUBSTITUTE(SUBSTITUTE(SUBSTITUTE(Txt_P3,"{cabinet}",Cab_Nom),"{societe}",IF($K$11746=0,"",INDEX(Clients!$E$2:$E$501,$K$11746)&amp;"")),"{date_effet}",$K$11748),"{hausse}",$K$11749),"{civilite}",$K$11747)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769" s="37"/>
      <c r="D11769" s="37"/>
      <c r="E11769" s="37"/>
      <c r="F11769" s="37"/>
      <c r="J11769" s="25"/>
      <c r="K11769" s="25"/>
      <c r="L11769" s="25"/>
      <c r="M11769" s="25"/>
      <c r="N11769" s="25"/>
      <c r="O11769" s="25"/>
    </row>
    <row r="11770" customFormat="false" ht="24" hidden="false" customHeight="true" outlineLevel="0" collapsed="false">
      <c r="B11770" s="37" t="str">
        <f aca="false">SUBSTITUTE(SUBSTITUTE(SUBSTITUTE(SUBSTITUTE(SUBSTITUTE(Txt_P4,"{cabinet}",Cab_Nom),"{societe}",IF($K$11746=0,"",INDEX(Clients!$E$2:$E$501,$K$11746)&amp;"")),"{date_effet}",$K$11748),"{hausse}",$K$11749),"{civilite}",$K$11747)</f>
        <v>À compter du 1er janvier 2027, vos honoraires annuels hors taxes évolueront ainsi (évolution globale : ) :</v>
      </c>
      <c r="C11770" s="37"/>
      <c r="D11770" s="37"/>
      <c r="E11770" s="37"/>
      <c r="F11770" s="37"/>
      <c r="J11770" s="25"/>
      <c r="K11770" s="25"/>
      <c r="L11770" s="25"/>
      <c r="M11770" s="25"/>
      <c r="N11770" s="25"/>
      <c r="O11770" s="25"/>
    </row>
    <row r="11771" customFormat="false" ht="3.75" hidden="false" customHeight="true" outlineLevel="0" collapsed="false">
      <c r="B11771" s="10"/>
      <c r="C11771" s="10"/>
      <c r="D11771" s="10"/>
      <c r="E11771" s="10"/>
      <c r="F11771" s="10"/>
      <c r="J11771" s="25"/>
      <c r="K11771" s="25"/>
      <c r="L11771" s="25"/>
      <c r="M11771" s="25"/>
      <c r="N11771" s="25"/>
      <c r="O11771" s="25"/>
    </row>
    <row r="11772" customFormat="false" ht="18" hidden="false" customHeight="true" outlineLevel="0" collapsed="false">
      <c r="B11772" s="38" t="s">
        <v>148</v>
      </c>
      <c r="C11772" s="39" t="s">
        <v>149</v>
      </c>
      <c r="D11772" s="39" t="s">
        <v>150</v>
      </c>
      <c r="E11772" s="39" t="s">
        <v>151</v>
      </c>
      <c r="F11772" s="39" t="s">
        <v>109</v>
      </c>
      <c r="J11772" s="25" t="s">
        <v>152</v>
      </c>
      <c r="K11772" s="25" t="s">
        <v>153</v>
      </c>
      <c r="L11772" s="25" t="s">
        <v>154</v>
      </c>
      <c r="M11772" s="25" t="s">
        <v>155</v>
      </c>
      <c r="N11772" s="25" t="s">
        <v>156</v>
      </c>
      <c r="O11772" s="25" t="s">
        <v>157</v>
      </c>
    </row>
    <row r="11773" customFormat="false" ht="16.5" hidden="false" customHeight="true" outlineLevel="0" collapsed="false">
      <c r="B11773" s="40" t="str">
        <f aca="false">IFERROR(INDEX($J$11773:$J$11776,MATCH($O11773,$N$11773:$N$11776,0)),"")</f>
        <v/>
      </c>
      <c r="C11773" s="41" t="str">
        <f aca="false">IFERROR(INDEX($K$11773:$K$11776,MATCH($O11773,$N$11773:$N$11776,0)),"")</f>
        <v/>
      </c>
      <c r="D11773" s="42" t="str">
        <f aca="false">IF(OR(E11773="",N(C11773)=0),"",E11773/C11773-1)</f>
        <v/>
      </c>
      <c r="E11773" s="41" t="str">
        <f aca="false">IFERROR(INDEX($L$11773:$L$11776,MATCH($O11773,$N$11773:$N$11776,0)),"")</f>
        <v/>
      </c>
      <c r="F11773" s="41" t="str">
        <f aca="false">IF(E11773="","",E11773-C11773)</f>
        <v/>
      </c>
      <c r="J11773" s="25" t="str">
        <f aca="false">Lib_Compta</f>
        <v>Mission comptable (tenue, révision, bilan, liasse fiscale)</v>
      </c>
      <c r="K11773" s="25" t="n">
        <f aca="false">IF($K$11746=0,0,N(INDEX(Clients!$K$2:$K$501,$K$11746)))</f>
        <v>0</v>
      </c>
      <c r="L11773" s="25" t="n">
        <f aca="false">IF($K$11746=0,0,N(INDEX(Clients!$P$2:$P$501,$K$11746)))</f>
        <v>0</v>
      </c>
      <c r="M11773" s="25" t="n">
        <f aca="false">IF(OR(K11773&lt;&gt;0,L11773&lt;&gt;0),1,0)</f>
        <v>0</v>
      </c>
      <c r="N11773" s="25" t="str">
        <f aca="false">IF(M11773=1,SUM($M$11773:M11773),"")</f>
        <v/>
      </c>
      <c r="O11773" s="25" t="n">
        <v>1</v>
      </c>
    </row>
    <row r="11774" customFormat="false" ht="16.5" hidden="false" customHeight="true" outlineLevel="0" collapsed="false">
      <c r="B11774" s="40" t="str">
        <f aca="false">IFERROR(INDEX($J$11773:$J$11776,MATCH($O11774,$N$11773:$N$11776,0)),"")</f>
        <v/>
      </c>
      <c r="C11774" s="41" t="str">
        <f aca="false">IFERROR(INDEX($K$11773:$K$11776,MATCH($O11774,$N$11773:$N$11776,0)),"")</f>
        <v/>
      </c>
      <c r="D11774" s="42" t="str">
        <f aca="false">IF(OR(E11774="",N(C11774)=0),"",E11774/C11774-1)</f>
        <v/>
      </c>
      <c r="E11774" s="41" t="str">
        <f aca="false">IFERROR(INDEX($L$11773:$L$11776,MATCH($O11774,$N$11773:$N$11776,0)),"")</f>
        <v/>
      </c>
      <c r="F11774" s="41" t="str">
        <f aca="false">IF(E11774="","",E11774-C11774)</f>
        <v/>
      </c>
      <c r="J11774" s="25" t="str">
        <f aca="false">Lib_Paye</f>
        <v>Mission sociale (bulletins de paie, DSN, déclarations sociales)</v>
      </c>
      <c r="K11774" s="25" t="n">
        <f aca="false">IF($K$11746=0,0,N(INDEX(Clients!$L$2:$L$501,$K$11746)))</f>
        <v>0</v>
      </c>
      <c r="L11774" s="25" t="n">
        <f aca="false">IF($K$11746=0,0,N(INDEX(Clients!$Q$2:$Q$501,$K$11746)))</f>
        <v>0</v>
      </c>
      <c r="M11774" s="25" t="n">
        <f aca="false">IF(OR(K11774&lt;&gt;0,L11774&lt;&gt;0),1,0)</f>
        <v>0</v>
      </c>
      <c r="N11774" s="25" t="str">
        <f aca="false">IF(M11774=1,SUM($M$11773:M11774),"")</f>
        <v/>
      </c>
      <c r="O11774" s="25" t="n">
        <v>2</v>
      </c>
    </row>
    <row r="11775" customFormat="false" ht="16.5" hidden="false" customHeight="true" outlineLevel="0" collapsed="false">
      <c r="B11775" s="40" t="str">
        <f aca="false">IFERROR(INDEX($J$11773:$J$11776,MATCH($O11775,$N$11773:$N$11776,0)),"")</f>
        <v/>
      </c>
      <c r="C11775" s="41" t="str">
        <f aca="false">IFERROR(INDEX($K$11773:$K$11776,MATCH($O11775,$N$11773:$N$11776,0)),"")</f>
        <v/>
      </c>
      <c r="D11775" s="42" t="str">
        <f aca="false">IF(OR(E11775="",N(C11775)=0),"",E11775/C11775-1)</f>
        <v/>
      </c>
      <c r="E11775" s="41" t="str">
        <f aca="false">IFERROR(INDEX($L$11773:$L$11776,MATCH($O11775,$N$11773:$N$11776,0)),"")</f>
        <v/>
      </c>
      <c r="F11775" s="41" t="str">
        <f aca="false">IF(E11775="","",E11775-C11775)</f>
        <v/>
      </c>
      <c r="J11775" s="25" t="str">
        <f aca="false">Lib_Jur</f>
        <v>Mission juridique (approbation des comptes, secrétariat juridique)</v>
      </c>
      <c r="K11775" s="25" t="n">
        <f aca="false">IF($K$11746=0,0,N(INDEX(Clients!$M$2:$M$501,$K$11746)))</f>
        <v>0</v>
      </c>
      <c r="L11775" s="25" t="n">
        <f aca="false">IF($K$11746=0,0,N(INDEX(Clients!$R$2:$R$501,$K$11746)))</f>
        <v>0</v>
      </c>
      <c r="M11775" s="25" t="n">
        <f aca="false">IF(OR(K11775&lt;&gt;0,L11775&lt;&gt;0),1,0)</f>
        <v>0</v>
      </c>
      <c r="N11775" s="25" t="str">
        <f aca="false">IF(M11775=1,SUM($M$11773:M11775),"")</f>
        <v/>
      </c>
      <c r="O11775" s="25" t="n">
        <v>3</v>
      </c>
    </row>
    <row r="11776" customFormat="false" ht="16.5" hidden="false" customHeight="true" outlineLevel="0" collapsed="false">
      <c r="B11776" s="40" t="str">
        <f aca="false">IFERROR(INDEX($J$11773:$J$11776,MATCH($O11776,$N$11773:$N$11776,0)),"")</f>
        <v/>
      </c>
      <c r="C11776" s="41" t="str">
        <f aca="false">IFERROR(INDEX($K$11773:$K$11776,MATCH($O11776,$N$11773:$N$11776,0)),"")</f>
        <v/>
      </c>
      <c r="D11776" s="42" t="str">
        <f aca="false">IF(OR(E11776="",N(C11776)=0),"",E11776/C11776-1)</f>
        <v/>
      </c>
      <c r="E11776" s="41" t="str">
        <f aca="false">IFERROR(INDEX($L$11773:$L$11776,MATCH($O11776,$N$11773:$N$11776,0)),"")</f>
        <v/>
      </c>
      <c r="F11776" s="41" t="str">
        <f aca="false">IF(E11776="","",E11776-C11776)</f>
        <v/>
      </c>
      <c r="J11776" s="25" t="str">
        <f aca="false">Lib_PA</f>
        <v>Plateforme agréée – facturation électronique</v>
      </c>
      <c r="K11776" s="25" t="n">
        <f aca="false">IF($K$11746=0,0,N(INDEX(Clients!$N$2:$N$501,$K$11746)))</f>
        <v>0</v>
      </c>
      <c r="L11776" s="25" t="n">
        <f aca="false">IF($K$11746=0,0,N(INDEX(Clients!$S$2:$S$501,$K$11746)))</f>
        <v>0</v>
      </c>
      <c r="M11776" s="25" t="n">
        <f aca="false">IF(OR(K11776&lt;&gt;0,L11776&lt;&gt;0),1,0)</f>
        <v>0</v>
      </c>
      <c r="N11776" s="25" t="str">
        <f aca="false">IF(M11776=1,SUM($M$11773:M11776),"")</f>
        <v/>
      </c>
      <c r="O11776" s="25" t="n">
        <v>4</v>
      </c>
    </row>
    <row r="11777" customFormat="false" ht="18" hidden="false" customHeight="true" outlineLevel="0" collapsed="false">
      <c r="B11777" s="43" t="s">
        <v>158</v>
      </c>
      <c r="C11777" s="44" t="n">
        <f aca="false">SUM(K11773:K11776)</f>
        <v>0</v>
      </c>
      <c r="D11777" s="45" t="str">
        <f aca="false">IF(N(C11777)=0,"",E11777/C11777-1)</f>
        <v/>
      </c>
      <c r="E11777" s="44" t="n">
        <f aca="false">SUM(L11773:L11776)</f>
        <v>0</v>
      </c>
      <c r="F11777" s="44" t="n">
        <f aca="false">E11777-C11777</f>
        <v>0</v>
      </c>
    </row>
    <row r="11778" customFormat="false" ht="15" hidden="false" customHeight="false" outlineLevel="0" collapsed="false">
      <c r="B11778" s="46" t="str">
        <f aca="false">IF(N(Nb_Mensualites)=0,"","Soit "&amp;FIXED(E11777/Nb_Mensualites,2)&amp;" € HT par échéance ("&amp;Nb_Mensualites&amp;" échéances), "&amp;FIXED(E11777/Nb_Mensualites*(1+Taux_TVA),2)&amp;" € TTC.")</f>
        <v>Soit 0.00 € HT par échéance (12 échéances), 0.00 € TTC.</v>
      </c>
      <c r="C11778" s="46"/>
      <c r="D11778" s="46"/>
      <c r="E11778" s="46"/>
      <c r="F11778" s="46"/>
    </row>
    <row r="11779" customFormat="false" ht="7.5" hidden="false" customHeight="true" outlineLevel="0" collapsed="false">
      <c r="B11779" s="10"/>
      <c r="C11779" s="10"/>
      <c r="D11779" s="10"/>
      <c r="E11779" s="10"/>
      <c r="F11779" s="10"/>
    </row>
    <row r="11780" customFormat="false" ht="36.75" hidden="false" customHeight="true" outlineLevel="0" collapsed="false">
      <c r="B11780" s="37" t="str">
        <f aca="false">SUBSTITUTE(SUBSTITUTE(SUBSTITUTE(SUBSTITUTE(SUBSTITUTE(Txt_P5,"{cabinet}",Cab_Nom),"{societe}",IF($K$11746=0,"",INDEX(Clients!$E$2:$E$501,$K$11746)&amp;"")),"{date_effet}",$K$11748),"{hausse}",$K$11749),"{civilite}",$K$11747)</f>
        <v>Les autres conditions de votre lettre de mission demeurent inchangées. Les nouveaux montants seront appliqués automatiquement sur vos prochaines factures et échéances de prélèvement.</v>
      </c>
      <c r="C11780" s="37"/>
      <c r="D11780" s="37"/>
      <c r="E11780" s="37"/>
      <c r="F11780" s="37"/>
    </row>
    <row r="11781" customFormat="false" ht="36.75" hidden="false" customHeight="true" outlineLevel="0" collapsed="false">
      <c r="B11781" s="37" t="str">
        <f aca="false">SUBSTITUTE(SUBSTITUTE(SUBSTITUTE(SUBSTITUTE(SUBSTITUTE(Txt_P6,"{cabinet}",Cab_Nom),"{societe}",IF($K$11746=0,"",INDEX(Clients!$E$2:$E$501,$K$11746)&amp;"")),"{date_effet}",$K$11748),"{hausse}",$K$11749),"{civilite}",$K$11747)</f>
        <v>Votre interlocuteur habituel reste à votre entière disposition pour répondre à vos questions et faire le point sur l'évolution de vos besoins.</v>
      </c>
      <c r="C11781" s="37"/>
      <c r="D11781" s="37"/>
      <c r="E11781" s="37"/>
      <c r="F11781" s="37"/>
    </row>
    <row r="11782" customFormat="false" ht="24" hidden="false" customHeight="true" outlineLevel="0" collapsed="false">
      <c r="B11782" s="37" t="str">
        <f aca="false">SUBSTITUTE(SUBSTITUTE(SUBSTITUTE(SUBSTITUTE(SUBSTITUTE(Txt_Politesse,"{cabinet}",Cab_Nom),"{societe}",IF($K$11746=0,"",INDEX(Clients!$E$2:$E$501,$K$11746)&amp;"")),"{date_effet}",$K$11748),"{hausse}",$K$11749),"{civilite}",$K$11747)</f>
        <v>Nous vous prions d'agréer, Madame, Monsieur, l'expression de nos salutations distinguées.</v>
      </c>
      <c r="C11782" s="37"/>
      <c r="D11782" s="37"/>
      <c r="E11782" s="37"/>
      <c r="F11782" s="37"/>
    </row>
    <row r="11783" customFormat="false" ht="15" hidden="false" customHeight="false" outlineLevel="0" collapsed="false">
      <c r="B11783" s="10"/>
      <c r="C11783" s="10"/>
      <c r="D11783" s="10"/>
      <c r="E11783" s="10"/>
      <c r="F11783" s="10"/>
    </row>
    <row r="11784" customFormat="false" ht="15" hidden="false" customHeight="false" outlineLevel="0" collapsed="false">
      <c r="B11784" s="10"/>
      <c r="C11784" s="10"/>
      <c r="D11784" s="34" t="str">
        <f aca="false">Signataire</f>
        <v>Prénom NOM</v>
      </c>
      <c r="E11784" s="34"/>
      <c r="F11784" s="34"/>
    </row>
    <row r="11785" customFormat="false" ht="15" hidden="false" customHeight="false" outlineLevel="0" collapsed="false">
      <c r="B11785" s="10"/>
      <c r="C11785" s="10"/>
      <c r="D11785" s="47" t="str">
        <f aca="false">Signataire_Titre</f>
        <v>Expert-comptable associé</v>
      </c>
      <c r="E11785" s="47"/>
      <c r="F11785" s="47"/>
    </row>
    <row r="11786" customFormat="false" ht="15.75" hidden="false" customHeight="true" outlineLevel="0" collapsed="false">
      <c r="B11786" s="10"/>
      <c r="C11786" s="10"/>
      <c r="D11786" s="10"/>
      <c r="E11786" s="10"/>
      <c r="F11786" s="10"/>
    </row>
    <row r="11787" customFormat="false" ht="15.75" hidden="false" customHeight="true" outlineLevel="0" collapsed="false">
      <c r="B11787" s="10"/>
      <c r="C11787" s="10"/>
      <c r="D11787" s="10"/>
      <c r="E11787" s="10"/>
      <c r="F11787" s="10"/>
    </row>
    <row r="11788" customFormat="false" ht="15.75" hidden="false" customHeight="true" outlineLevel="0" collapsed="false">
      <c r="B11788" s="10"/>
      <c r="C11788" s="10"/>
      <c r="D11788" s="10"/>
      <c r="E11788" s="10"/>
      <c r="F11788" s="10"/>
    </row>
    <row r="11789" customFormat="false" ht="15.75" hidden="false" customHeight="true" outlineLevel="0" collapsed="false">
      <c r="B11789" s="10"/>
      <c r="C11789" s="10"/>
      <c r="D11789" s="10"/>
      <c r="E11789" s="10"/>
      <c r="F11789" s="10"/>
    </row>
    <row r="11790" customFormat="false" ht="24" hidden="false" customHeight="true" outlineLevel="0" collapsed="false">
      <c r="B11790" s="48" t="str">
        <f aca="false">Cab_Mentions</f>
        <v>ALTHO EXPERTISE · SAS au capital de 10 000 € · RCS Pontoise 919 706 325 · TVA FR62919706325 · Société d'expertise comptable inscrite au Tableau de l'Ordre des experts-comptables de Paris Île-de-France</v>
      </c>
      <c r="C11790" s="48"/>
      <c r="D11790" s="48"/>
      <c r="E11790" s="48"/>
      <c r="F11790" s="48"/>
    </row>
    <row r="11791" customFormat="false" ht="15" hidden="false" customHeight="false" outlineLevel="0" collapsed="false">
      <c r="B11791" s="10"/>
      <c r="C11791" s="10"/>
      <c r="D11791" s="10"/>
      <c r="E11791" s="10"/>
      <c r="F11791" s="10"/>
      <c r="J11791" s="25" t="s">
        <v>142</v>
      </c>
      <c r="K11791" s="25" t="n">
        <f aca="false">IFERROR(MATCH(263,Clients!$Z$2:$Z$501,0),0)</f>
        <v>0</v>
      </c>
      <c r="L11791" s="25"/>
      <c r="M11791" s="25"/>
      <c r="N11791" s="25"/>
      <c r="O11791" s="25"/>
    </row>
    <row r="11792" customFormat="false" ht="21.75" hidden="false" customHeight="true" outlineLevel="0" collapsed="false">
      <c r="B11792" s="26" t="str">
        <f aca="false">Cab_Nom</f>
        <v>ALTHO EXPERTISE</v>
      </c>
      <c r="C11792" s="26"/>
      <c r="D11792" s="10"/>
      <c r="E11792" s="27" t="str">
        <f aca="false">IF($K$11791=0,"","Réf. client : "&amp;INDEX(Clients!$A$2:$A$501,$K$11791))</f>
        <v/>
      </c>
      <c r="F11792" s="27"/>
      <c r="J11792" s="25" t="s">
        <v>144</v>
      </c>
      <c r="K11792" s="25" t="str">
        <f aca="false">IF(IF($K$11791=0,"",INDEX(Clients!$B$2:$B$501,$K$11791)&amp;"")="Mme","Madame",IF(IF($K$11791=0,"",INDEX(Clients!$B$2:$B$501,$K$11791)&amp;"")="M.","Monsieur","Madame, Monsieur"))</f>
        <v>Madame, Monsieur</v>
      </c>
      <c r="L11792" s="25"/>
      <c r="M11792" s="25"/>
      <c r="N11792" s="25"/>
      <c r="O11792" s="25"/>
    </row>
    <row r="11793" customFormat="false" ht="15" hidden="false" customHeight="false" outlineLevel="0" collapsed="false">
      <c r="B11793" s="29" t="str">
        <f aca="false">Cab_Adr1</f>
        <v>141 rue Charles de Gaulle</v>
      </c>
      <c r="C11793" s="29"/>
      <c r="D11793" s="10"/>
      <c r="E11793" s="10"/>
      <c r="F11793" s="10"/>
      <c r="J11793" s="25" t="s">
        <v>145</v>
      </c>
      <c r="K11793" s="25" t="str">
        <f aca="false">DAY(Date_Effet)&amp;IF(DAY(Date_Effet)=1,"er","")&amp;" "&amp;INDEX(Liste_Mois,MONTH(Date_Effet))&amp;" "&amp;YEAR(Date_Effet)</f>
        <v>1er janvier 2027</v>
      </c>
      <c r="L11793" s="25"/>
      <c r="M11793" s="25"/>
      <c r="N11793" s="25"/>
      <c r="O11793" s="25"/>
    </row>
    <row r="11794" customFormat="false" ht="15" hidden="false" customHeight="false" outlineLevel="0" collapsed="false">
      <c r="B11794" s="29" t="str">
        <f aca="false">Cab_CPVille</f>
        <v>95130 LE PLESSIS-BOUCHARD</v>
      </c>
      <c r="C11794" s="29"/>
      <c r="D11794" s="10"/>
      <c r="E11794" s="10"/>
      <c r="F11794" s="10"/>
      <c r="J11794" s="25" t="s">
        <v>146</v>
      </c>
      <c r="K11794" s="25" t="str">
        <f aca="false">IF(SUM($K$11818:$K$11821)=0,"",FIXED((SUM($L$11818:$L$11821)/SUM($K$11818:$K$11821)-1)*100,1)&amp;" %")</f>
        <v/>
      </c>
      <c r="L11794" s="25"/>
      <c r="M11794" s="25"/>
      <c r="N11794" s="25"/>
      <c r="O11794" s="25"/>
    </row>
    <row r="11795" customFormat="false" ht="15" hidden="false" customHeight="false" outlineLevel="0" collapsed="false">
      <c r="B11795" s="29" t="str">
        <f aca="false">Cab_Contact</f>
        <v>Tél. 01 34 14 53 45  ·  altho@altho-experts.com  ·  altho-experts.com</v>
      </c>
      <c r="C11795" s="29"/>
      <c r="D11795" s="10"/>
      <c r="E11795" s="10"/>
      <c r="F11795" s="10"/>
      <c r="J11795" s="25"/>
      <c r="K11795" s="25"/>
      <c r="L11795" s="25"/>
      <c r="M11795" s="25"/>
      <c r="N11795" s="25"/>
      <c r="O11795" s="25"/>
    </row>
    <row r="11796" customFormat="false" ht="6" hidden="false" customHeight="true" outlineLevel="0" collapsed="false">
      <c r="B11796" s="32"/>
      <c r="C11796" s="32"/>
      <c r="D11796" s="32"/>
      <c r="E11796" s="32"/>
      <c r="F11796" s="32"/>
      <c r="J11796" s="25"/>
      <c r="K11796" s="25"/>
      <c r="L11796" s="25"/>
      <c r="M11796" s="25"/>
      <c r="N11796" s="25"/>
      <c r="O11796" s="25"/>
    </row>
    <row r="11797" customFormat="false" ht="13.5" hidden="false" customHeight="true" outlineLevel="0" collapsed="false">
      <c r="B11797" s="10"/>
      <c r="C11797" s="10"/>
      <c r="D11797" s="10"/>
      <c r="E11797" s="10"/>
      <c r="F11797" s="10"/>
      <c r="J11797" s="25"/>
      <c r="K11797" s="25"/>
      <c r="L11797" s="25"/>
      <c r="M11797" s="25"/>
      <c r="N11797" s="25"/>
      <c r="O11797" s="25"/>
    </row>
    <row r="11798" customFormat="false" ht="13.5" hidden="false" customHeight="true" outlineLevel="0" collapsed="false">
      <c r="B11798" s="10"/>
      <c r="C11798" s="10"/>
      <c r="D11798" s="10"/>
      <c r="E11798" s="10"/>
      <c r="F11798" s="10"/>
      <c r="J11798" s="25"/>
      <c r="K11798" s="25"/>
      <c r="L11798" s="25"/>
      <c r="M11798" s="25"/>
      <c r="N11798" s="25"/>
      <c r="O11798" s="25"/>
    </row>
    <row r="11799" customFormat="false" ht="13.5" hidden="false" customHeight="true" outlineLevel="0" collapsed="false">
      <c r="B11799" s="10"/>
      <c r="C11799" s="10"/>
      <c r="D11799" s="10"/>
      <c r="E11799" s="10"/>
      <c r="F11799" s="10"/>
      <c r="J11799" s="25"/>
      <c r="K11799" s="25"/>
      <c r="L11799" s="25"/>
      <c r="M11799" s="25"/>
      <c r="N11799" s="25"/>
      <c r="O11799" s="25"/>
    </row>
    <row r="11800" customFormat="false" ht="15" hidden="false" customHeight="true" outlineLevel="0" collapsed="false">
      <c r="B11800" s="10"/>
      <c r="C11800" s="10"/>
      <c r="D11800" s="34" t="str">
        <f aca="false">IF($K$11791=0,"",INDEX(Clients!$E$2:$E$501,$K$11791)&amp;"")</f>
        <v/>
      </c>
      <c r="E11800" s="34"/>
      <c r="F11800" s="34"/>
      <c r="J11800" s="25"/>
      <c r="K11800" s="25"/>
      <c r="L11800" s="25"/>
      <c r="M11800" s="25"/>
      <c r="N11800" s="25"/>
      <c r="O11800" s="25"/>
    </row>
    <row r="11801" customFormat="false" ht="15" hidden="false" customHeight="true" outlineLevel="0" collapsed="false">
      <c r="B11801" s="10"/>
      <c r="C11801" s="10"/>
      <c r="D11801" s="35" t="str">
        <f aca="false">IF(IF($K$11791=0,"",INDEX(Clients!$D$2:$D$501,$K$11791)&amp;"")="","","À l'attention de "&amp;TRIM(IF($K$11791=0,"",INDEX(Clients!$B$2:$B$501,$K$11791)&amp;"")&amp;" "&amp;IF($K$11791=0,"",INDEX(Clients!$C$2:$C$501,$K$11791)&amp;"")&amp;" "&amp;IF($K$11791=0,"",INDEX(Clients!$D$2:$D$501,$K$11791)&amp;"")))</f>
        <v/>
      </c>
      <c r="E11801" s="35"/>
      <c r="F11801" s="35"/>
      <c r="J11801" s="25"/>
      <c r="K11801" s="25"/>
      <c r="L11801" s="25"/>
      <c r="M11801" s="25"/>
      <c r="N11801" s="25"/>
      <c r="O11801" s="25"/>
    </row>
    <row r="11802" customFormat="false" ht="15" hidden="false" customHeight="true" outlineLevel="0" collapsed="false">
      <c r="B11802" s="10"/>
      <c r="C11802" s="10"/>
      <c r="D11802" s="35" t="str">
        <f aca="false">IF($K$11791=0,"",INDEX(Clients!$F$2:$F$501,$K$11791)&amp;"")</f>
        <v/>
      </c>
      <c r="E11802" s="35"/>
      <c r="F11802" s="35"/>
      <c r="J11802" s="25"/>
      <c r="K11802" s="25"/>
      <c r="L11802" s="25"/>
      <c r="M11802" s="25"/>
      <c r="N11802" s="25"/>
      <c r="O11802" s="25"/>
    </row>
    <row r="11803" customFormat="false" ht="15" hidden="false" customHeight="true" outlineLevel="0" collapsed="false">
      <c r="B11803" s="10"/>
      <c r="C11803" s="10"/>
      <c r="D11803" s="35" t="str">
        <f aca="false">IF(IF($K$11791=0,"",INDEX(Clients!$G$2:$G$501,$K$11791)&amp;"")="",TRIM(IF($K$11791=0,"",INDEX(Clients!$H$2:$H$501,$K$11791)&amp;"")&amp;" "&amp;UPPER(IF($K$11791=0,"",INDEX(Clients!$I$2:$I$501,$K$11791)&amp;""))),IF($K$11791=0,"",INDEX(Clients!$G$2:$G$501,$K$11791)&amp;""))</f>
        <v/>
      </c>
      <c r="E11803" s="35"/>
      <c r="F11803" s="35"/>
      <c r="J11803" s="25"/>
      <c r="K11803" s="25"/>
      <c r="L11803" s="25"/>
      <c r="M11803" s="25"/>
      <c r="N11803" s="25"/>
      <c r="O11803" s="25"/>
    </row>
    <row r="11804" customFormat="false" ht="15" hidden="false" customHeight="true" outlineLevel="0" collapsed="false">
      <c r="B11804" s="10"/>
      <c r="C11804" s="10"/>
      <c r="D11804" s="35" t="str">
        <f aca="false">IF(IF($K$11791=0,"",INDEX(Clients!$G$2:$G$501,$K$11791)&amp;"")="","",TRIM(IF($K$11791=0,"",INDEX(Clients!$H$2:$H$501,$K$11791)&amp;"")&amp;" "&amp;UPPER(IF($K$11791=0,"",INDEX(Clients!$I$2:$I$501,$K$11791)&amp;""))))</f>
        <v/>
      </c>
      <c r="E11804" s="35"/>
      <c r="F11804" s="35"/>
      <c r="J11804" s="25"/>
      <c r="K11804" s="25"/>
      <c r="L11804" s="25"/>
      <c r="M11804" s="25"/>
      <c r="N11804" s="25"/>
      <c r="O11804" s="25"/>
    </row>
    <row r="11805" customFormat="false" ht="25.5" hidden="false" customHeight="true" outlineLevel="0" collapsed="false">
      <c r="B11805" s="10"/>
      <c r="C11805" s="10"/>
      <c r="D11805" s="10"/>
      <c r="E11805" s="10"/>
      <c r="F11805" s="10"/>
      <c r="J11805" s="25"/>
      <c r="K11805" s="25"/>
      <c r="L11805" s="25"/>
      <c r="M11805" s="25"/>
      <c r="N11805" s="25"/>
      <c r="O11805" s="25"/>
    </row>
    <row r="11806" customFormat="false" ht="15" hidden="false" customHeight="false" outlineLevel="0" collapsed="false">
      <c r="B11806" s="10"/>
      <c r="C11806" s="10"/>
      <c r="D11806" s="36" t="str">
        <f aca="false">Cab_Ville&amp;", le "&amp;DAY(Date_Courrier)&amp;IF(DAY(Date_Courrier)=1,"er","")&amp;" "&amp;INDEX(Liste_Mois,MONTH(Date_Courrier))&amp;" "&amp;YEAR(Date_Courrier)</f>
        <v>Le Plessis-Bouchard, le 22 septembre 2026</v>
      </c>
      <c r="E11806" s="36"/>
      <c r="F11806" s="36"/>
      <c r="J11806" s="25"/>
      <c r="K11806" s="25"/>
      <c r="L11806" s="25"/>
      <c r="M11806" s="25"/>
      <c r="N11806" s="25"/>
      <c r="O11806" s="25"/>
    </row>
    <row r="11807" customFormat="false" ht="19.5" hidden="false" customHeight="true" outlineLevel="0" collapsed="false">
      <c r="B11807" s="10"/>
      <c r="C11807" s="10"/>
      <c r="D11807" s="10"/>
      <c r="E11807" s="10"/>
      <c r="F11807" s="10"/>
      <c r="J11807" s="25"/>
      <c r="K11807" s="25"/>
      <c r="L11807" s="25"/>
      <c r="M11807" s="25"/>
      <c r="N11807" s="25"/>
      <c r="O11807" s="25"/>
    </row>
    <row r="11808" customFormat="false" ht="15" hidden="false" customHeight="false" outlineLevel="0" collapsed="false">
      <c r="B11808" s="34" t="str">
        <f aca="false">SUBSTITUTE(SUBSTITUTE(SUBSTITUTE(SUBSTITUTE(SUBSTITUTE(Txt_Objet,"{cabinet}",Cab_Nom),"{societe}",IF($K$11791=0,"",INDEX(Clients!$E$2:$E$501,$K$11791)&amp;"")),"{date_effet}",$K$11793),"{hausse}",$K$11794),"{civilite}",$K$11792)</f>
        <v>Objet : révision de nos honoraires au 1er janvier 2027</v>
      </c>
      <c r="C11808" s="34"/>
      <c r="D11808" s="34"/>
      <c r="E11808" s="34"/>
      <c r="F11808" s="34"/>
      <c r="J11808" s="25"/>
      <c r="K11808" s="25"/>
      <c r="L11808" s="25"/>
      <c r="M11808" s="25"/>
      <c r="N11808" s="25"/>
      <c r="O11808" s="25"/>
    </row>
    <row r="11809" customFormat="false" ht="13.5" hidden="false" customHeight="true" outlineLevel="0" collapsed="false">
      <c r="B11809" s="10"/>
      <c r="C11809" s="10"/>
      <c r="D11809" s="10"/>
      <c r="E11809" s="10"/>
      <c r="F11809" s="10"/>
      <c r="J11809" s="25"/>
      <c r="K11809" s="25"/>
      <c r="L11809" s="25"/>
      <c r="M11809" s="25"/>
      <c r="N11809" s="25"/>
      <c r="O11809" s="25"/>
    </row>
    <row r="11810" customFormat="false" ht="15" hidden="false" customHeight="false" outlineLevel="0" collapsed="false">
      <c r="B11810" s="10" t="str">
        <f aca="false">$K$11792&amp;","</f>
        <v>Madame, Monsieur,</v>
      </c>
      <c r="C11810" s="10"/>
      <c r="D11810" s="10"/>
      <c r="E11810" s="10"/>
      <c r="F11810" s="10"/>
      <c r="J11810" s="25"/>
      <c r="K11810" s="25"/>
      <c r="L11810" s="25"/>
      <c r="M11810" s="25"/>
      <c r="N11810" s="25"/>
      <c r="O11810" s="25"/>
    </row>
    <row r="11811" customFormat="false" ht="6" hidden="false" customHeight="true" outlineLevel="0" collapsed="false">
      <c r="B11811" s="10"/>
      <c r="C11811" s="10"/>
      <c r="D11811" s="10"/>
      <c r="E11811" s="10"/>
      <c r="F11811" s="10"/>
      <c r="J11811" s="25"/>
      <c r="K11811" s="25"/>
      <c r="L11811" s="25"/>
      <c r="M11811" s="25"/>
      <c r="N11811" s="25"/>
      <c r="O11811" s="25"/>
    </row>
    <row r="11812" customFormat="false" ht="36.75" hidden="false" customHeight="true" outlineLevel="0" collapsed="false">
      <c r="B11812" s="37" t="str">
        <f aca="false">SUBSTITUTE(SUBSTITUTE(SUBSTITUTE(SUBSTITUTE(SUBSTITUTE(Txt_P1,"{cabinet}",Cab_Nom),"{societe}",IF($K$11791=0,"",INDEX(Clients!$E$2:$E$501,$K$11791)&amp;"")),"{date_effet}",$K$11793),"{hausse}",$K$11794),"{civilite}",$K$11792)</f>
        <v>Nous tenons tout d'abord à vous remercier pour la confiance que vous accordez à ALTHO EXPERTISE. Comme chaque année, et conformément aux dispositions de votre lettre de mission, nous procédons à la révision de nos honoraires.</v>
      </c>
      <c r="C11812" s="37"/>
      <c r="D11812" s="37"/>
      <c r="E11812" s="37"/>
      <c r="F11812" s="37"/>
      <c r="J11812" s="25"/>
      <c r="K11812" s="25"/>
      <c r="L11812" s="25"/>
      <c r="M11812" s="25"/>
      <c r="N11812" s="25"/>
      <c r="O11812" s="25"/>
    </row>
    <row r="11813" customFormat="false" ht="49.5" hidden="false" customHeight="true" outlineLevel="0" collapsed="false">
      <c r="B11813" s="37" t="str">
        <f aca="false">SUBSTITUTE(SUBSTITUTE(SUBSTITUTE(SUBSTITUTE(SUBSTITUTE(Txt_P2,"{cabinet}",Cab_Nom),"{societe}",IF($K$11791=0,"",INDEX(Clients!$E$2:$E$501,$K$11791)&amp;"")),"{date_effet}",$K$11793),"{hausse}",$K$11794),"{civilite}",$K$11792)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813" s="37"/>
      <c r="D11813" s="37"/>
      <c r="E11813" s="37"/>
      <c r="F11813" s="37"/>
      <c r="J11813" s="25"/>
      <c r="K11813" s="25"/>
      <c r="L11813" s="25"/>
      <c r="M11813" s="25"/>
      <c r="N11813" s="25"/>
      <c r="O11813" s="25"/>
    </row>
    <row r="11814" customFormat="false" ht="63" hidden="false" customHeight="true" outlineLevel="0" collapsed="false">
      <c r="B11814" s="37" t="str">
        <f aca="false">SUBSTITUTE(SUBSTITUTE(SUBSTITUTE(SUBSTITUTE(SUBSTITUTE(Txt_P3,"{cabinet}",Cab_Nom),"{societe}",IF($K$11791=0,"",INDEX(Clients!$E$2:$E$501,$K$11791)&amp;"")),"{date_effet}",$K$11793),"{hausse}",$K$11794),"{civilite}",$K$11792)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814" s="37"/>
      <c r="D11814" s="37"/>
      <c r="E11814" s="37"/>
      <c r="F11814" s="37"/>
      <c r="J11814" s="25"/>
      <c r="K11814" s="25"/>
      <c r="L11814" s="25"/>
      <c r="M11814" s="25"/>
      <c r="N11814" s="25"/>
      <c r="O11814" s="25"/>
    </row>
    <row r="11815" customFormat="false" ht="24" hidden="false" customHeight="true" outlineLevel="0" collapsed="false">
      <c r="B11815" s="37" t="str">
        <f aca="false">SUBSTITUTE(SUBSTITUTE(SUBSTITUTE(SUBSTITUTE(SUBSTITUTE(Txt_P4,"{cabinet}",Cab_Nom),"{societe}",IF($K$11791=0,"",INDEX(Clients!$E$2:$E$501,$K$11791)&amp;"")),"{date_effet}",$K$11793),"{hausse}",$K$11794),"{civilite}",$K$11792)</f>
        <v>À compter du 1er janvier 2027, vos honoraires annuels hors taxes évolueront ainsi (évolution globale : ) :</v>
      </c>
      <c r="C11815" s="37"/>
      <c r="D11815" s="37"/>
      <c r="E11815" s="37"/>
      <c r="F11815" s="37"/>
      <c r="J11815" s="25"/>
      <c r="K11815" s="25"/>
      <c r="L11815" s="25"/>
      <c r="M11815" s="25"/>
      <c r="N11815" s="25"/>
      <c r="O11815" s="25"/>
    </row>
    <row r="11816" customFormat="false" ht="3.75" hidden="false" customHeight="true" outlineLevel="0" collapsed="false">
      <c r="B11816" s="10"/>
      <c r="C11816" s="10"/>
      <c r="D11816" s="10"/>
      <c r="E11816" s="10"/>
      <c r="F11816" s="10"/>
      <c r="J11816" s="25"/>
      <c r="K11816" s="25"/>
      <c r="L11816" s="25"/>
      <c r="M11816" s="25"/>
      <c r="N11816" s="25"/>
      <c r="O11816" s="25"/>
    </row>
    <row r="11817" customFormat="false" ht="18" hidden="false" customHeight="true" outlineLevel="0" collapsed="false">
      <c r="B11817" s="38" t="s">
        <v>148</v>
      </c>
      <c r="C11817" s="39" t="s">
        <v>149</v>
      </c>
      <c r="D11817" s="39" t="s">
        <v>150</v>
      </c>
      <c r="E11817" s="39" t="s">
        <v>151</v>
      </c>
      <c r="F11817" s="39" t="s">
        <v>109</v>
      </c>
      <c r="J11817" s="25" t="s">
        <v>152</v>
      </c>
      <c r="K11817" s="25" t="s">
        <v>153</v>
      </c>
      <c r="L11817" s="25" t="s">
        <v>154</v>
      </c>
      <c r="M11817" s="25" t="s">
        <v>155</v>
      </c>
      <c r="N11817" s="25" t="s">
        <v>156</v>
      </c>
      <c r="O11817" s="25" t="s">
        <v>157</v>
      </c>
    </row>
    <row r="11818" customFormat="false" ht="16.5" hidden="false" customHeight="true" outlineLevel="0" collapsed="false">
      <c r="B11818" s="40" t="str">
        <f aca="false">IFERROR(INDEX($J$11818:$J$11821,MATCH($O11818,$N$11818:$N$11821,0)),"")</f>
        <v/>
      </c>
      <c r="C11818" s="41" t="str">
        <f aca="false">IFERROR(INDEX($K$11818:$K$11821,MATCH($O11818,$N$11818:$N$11821,0)),"")</f>
        <v/>
      </c>
      <c r="D11818" s="42" t="str">
        <f aca="false">IF(OR(E11818="",N(C11818)=0),"",E11818/C11818-1)</f>
        <v/>
      </c>
      <c r="E11818" s="41" t="str">
        <f aca="false">IFERROR(INDEX($L$11818:$L$11821,MATCH($O11818,$N$11818:$N$11821,0)),"")</f>
        <v/>
      </c>
      <c r="F11818" s="41" t="str">
        <f aca="false">IF(E11818="","",E11818-C11818)</f>
        <v/>
      </c>
      <c r="J11818" s="25" t="str">
        <f aca="false">Lib_Compta</f>
        <v>Mission comptable (tenue, révision, bilan, liasse fiscale)</v>
      </c>
      <c r="K11818" s="25" t="n">
        <f aca="false">IF($K$11791=0,0,N(INDEX(Clients!$K$2:$K$501,$K$11791)))</f>
        <v>0</v>
      </c>
      <c r="L11818" s="25" t="n">
        <f aca="false">IF($K$11791=0,0,N(INDEX(Clients!$P$2:$P$501,$K$11791)))</f>
        <v>0</v>
      </c>
      <c r="M11818" s="25" t="n">
        <f aca="false">IF(OR(K11818&lt;&gt;0,L11818&lt;&gt;0),1,0)</f>
        <v>0</v>
      </c>
      <c r="N11818" s="25" t="str">
        <f aca="false">IF(M11818=1,SUM($M$11818:M11818),"")</f>
        <v/>
      </c>
      <c r="O11818" s="25" t="n">
        <v>1</v>
      </c>
    </row>
    <row r="11819" customFormat="false" ht="16.5" hidden="false" customHeight="true" outlineLevel="0" collapsed="false">
      <c r="B11819" s="40" t="str">
        <f aca="false">IFERROR(INDEX($J$11818:$J$11821,MATCH($O11819,$N$11818:$N$11821,0)),"")</f>
        <v/>
      </c>
      <c r="C11819" s="41" t="str">
        <f aca="false">IFERROR(INDEX($K$11818:$K$11821,MATCH($O11819,$N$11818:$N$11821,0)),"")</f>
        <v/>
      </c>
      <c r="D11819" s="42" t="str">
        <f aca="false">IF(OR(E11819="",N(C11819)=0),"",E11819/C11819-1)</f>
        <v/>
      </c>
      <c r="E11819" s="41" t="str">
        <f aca="false">IFERROR(INDEX($L$11818:$L$11821,MATCH($O11819,$N$11818:$N$11821,0)),"")</f>
        <v/>
      </c>
      <c r="F11819" s="41" t="str">
        <f aca="false">IF(E11819="","",E11819-C11819)</f>
        <v/>
      </c>
      <c r="J11819" s="25" t="str">
        <f aca="false">Lib_Paye</f>
        <v>Mission sociale (bulletins de paie, DSN, déclarations sociales)</v>
      </c>
      <c r="K11819" s="25" t="n">
        <f aca="false">IF($K$11791=0,0,N(INDEX(Clients!$L$2:$L$501,$K$11791)))</f>
        <v>0</v>
      </c>
      <c r="L11819" s="25" t="n">
        <f aca="false">IF($K$11791=0,0,N(INDEX(Clients!$Q$2:$Q$501,$K$11791)))</f>
        <v>0</v>
      </c>
      <c r="M11819" s="25" t="n">
        <f aca="false">IF(OR(K11819&lt;&gt;0,L11819&lt;&gt;0),1,0)</f>
        <v>0</v>
      </c>
      <c r="N11819" s="25" t="str">
        <f aca="false">IF(M11819=1,SUM($M$11818:M11819),"")</f>
        <v/>
      </c>
      <c r="O11819" s="25" t="n">
        <v>2</v>
      </c>
    </row>
    <row r="11820" customFormat="false" ht="16.5" hidden="false" customHeight="true" outlineLevel="0" collapsed="false">
      <c r="B11820" s="40" t="str">
        <f aca="false">IFERROR(INDEX($J$11818:$J$11821,MATCH($O11820,$N$11818:$N$11821,0)),"")</f>
        <v/>
      </c>
      <c r="C11820" s="41" t="str">
        <f aca="false">IFERROR(INDEX($K$11818:$K$11821,MATCH($O11820,$N$11818:$N$11821,0)),"")</f>
        <v/>
      </c>
      <c r="D11820" s="42" t="str">
        <f aca="false">IF(OR(E11820="",N(C11820)=0),"",E11820/C11820-1)</f>
        <v/>
      </c>
      <c r="E11820" s="41" t="str">
        <f aca="false">IFERROR(INDEX($L$11818:$L$11821,MATCH($O11820,$N$11818:$N$11821,0)),"")</f>
        <v/>
      </c>
      <c r="F11820" s="41" t="str">
        <f aca="false">IF(E11820="","",E11820-C11820)</f>
        <v/>
      </c>
      <c r="J11820" s="25" t="str">
        <f aca="false">Lib_Jur</f>
        <v>Mission juridique (approbation des comptes, secrétariat juridique)</v>
      </c>
      <c r="K11820" s="25" t="n">
        <f aca="false">IF($K$11791=0,0,N(INDEX(Clients!$M$2:$M$501,$K$11791)))</f>
        <v>0</v>
      </c>
      <c r="L11820" s="25" t="n">
        <f aca="false">IF($K$11791=0,0,N(INDEX(Clients!$R$2:$R$501,$K$11791)))</f>
        <v>0</v>
      </c>
      <c r="M11820" s="25" t="n">
        <f aca="false">IF(OR(K11820&lt;&gt;0,L11820&lt;&gt;0),1,0)</f>
        <v>0</v>
      </c>
      <c r="N11820" s="25" t="str">
        <f aca="false">IF(M11820=1,SUM($M$11818:M11820),"")</f>
        <v/>
      </c>
      <c r="O11820" s="25" t="n">
        <v>3</v>
      </c>
    </row>
    <row r="11821" customFormat="false" ht="16.5" hidden="false" customHeight="true" outlineLevel="0" collapsed="false">
      <c r="B11821" s="40" t="str">
        <f aca="false">IFERROR(INDEX($J$11818:$J$11821,MATCH($O11821,$N$11818:$N$11821,0)),"")</f>
        <v/>
      </c>
      <c r="C11821" s="41" t="str">
        <f aca="false">IFERROR(INDEX($K$11818:$K$11821,MATCH($O11821,$N$11818:$N$11821,0)),"")</f>
        <v/>
      </c>
      <c r="D11821" s="42" t="str">
        <f aca="false">IF(OR(E11821="",N(C11821)=0),"",E11821/C11821-1)</f>
        <v/>
      </c>
      <c r="E11821" s="41" t="str">
        <f aca="false">IFERROR(INDEX($L$11818:$L$11821,MATCH($O11821,$N$11818:$N$11821,0)),"")</f>
        <v/>
      </c>
      <c r="F11821" s="41" t="str">
        <f aca="false">IF(E11821="","",E11821-C11821)</f>
        <v/>
      </c>
      <c r="J11821" s="25" t="str">
        <f aca="false">Lib_PA</f>
        <v>Plateforme agréée – facturation électronique</v>
      </c>
      <c r="K11821" s="25" t="n">
        <f aca="false">IF($K$11791=0,0,N(INDEX(Clients!$N$2:$N$501,$K$11791)))</f>
        <v>0</v>
      </c>
      <c r="L11821" s="25" t="n">
        <f aca="false">IF($K$11791=0,0,N(INDEX(Clients!$S$2:$S$501,$K$11791)))</f>
        <v>0</v>
      </c>
      <c r="M11821" s="25" t="n">
        <f aca="false">IF(OR(K11821&lt;&gt;0,L11821&lt;&gt;0),1,0)</f>
        <v>0</v>
      </c>
      <c r="N11821" s="25" t="str">
        <f aca="false">IF(M11821=1,SUM($M$11818:M11821),"")</f>
        <v/>
      </c>
      <c r="O11821" s="25" t="n">
        <v>4</v>
      </c>
    </row>
    <row r="11822" customFormat="false" ht="18" hidden="false" customHeight="true" outlineLevel="0" collapsed="false">
      <c r="B11822" s="43" t="s">
        <v>158</v>
      </c>
      <c r="C11822" s="44" t="n">
        <f aca="false">SUM(K11818:K11821)</f>
        <v>0</v>
      </c>
      <c r="D11822" s="45" t="str">
        <f aca="false">IF(N(C11822)=0,"",E11822/C11822-1)</f>
        <v/>
      </c>
      <c r="E11822" s="44" t="n">
        <f aca="false">SUM(L11818:L11821)</f>
        <v>0</v>
      </c>
      <c r="F11822" s="44" t="n">
        <f aca="false">E11822-C11822</f>
        <v>0</v>
      </c>
    </row>
    <row r="11823" customFormat="false" ht="15" hidden="false" customHeight="false" outlineLevel="0" collapsed="false">
      <c r="B11823" s="46" t="str">
        <f aca="false">IF(N(Nb_Mensualites)=0,"","Soit "&amp;FIXED(E11822/Nb_Mensualites,2)&amp;" € HT par échéance ("&amp;Nb_Mensualites&amp;" échéances), "&amp;FIXED(E11822/Nb_Mensualites*(1+Taux_TVA),2)&amp;" € TTC.")</f>
        <v>Soit 0.00 € HT par échéance (12 échéances), 0.00 € TTC.</v>
      </c>
      <c r="C11823" s="46"/>
      <c r="D11823" s="46"/>
      <c r="E11823" s="46"/>
      <c r="F11823" s="46"/>
    </row>
    <row r="11824" customFormat="false" ht="7.5" hidden="false" customHeight="true" outlineLevel="0" collapsed="false">
      <c r="B11824" s="10"/>
      <c r="C11824" s="10"/>
      <c r="D11824" s="10"/>
      <c r="E11824" s="10"/>
      <c r="F11824" s="10"/>
    </row>
    <row r="11825" customFormat="false" ht="36.75" hidden="false" customHeight="true" outlineLevel="0" collapsed="false">
      <c r="B11825" s="37" t="str">
        <f aca="false">SUBSTITUTE(SUBSTITUTE(SUBSTITUTE(SUBSTITUTE(SUBSTITUTE(Txt_P5,"{cabinet}",Cab_Nom),"{societe}",IF($K$11791=0,"",INDEX(Clients!$E$2:$E$501,$K$11791)&amp;"")),"{date_effet}",$K$11793),"{hausse}",$K$11794),"{civilite}",$K$11792)</f>
        <v>Les autres conditions de votre lettre de mission demeurent inchangées. Les nouveaux montants seront appliqués automatiquement sur vos prochaines factures et échéances de prélèvement.</v>
      </c>
      <c r="C11825" s="37"/>
      <c r="D11825" s="37"/>
      <c r="E11825" s="37"/>
      <c r="F11825" s="37"/>
    </row>
    <row r="11826" customFormat="false" ht="36.75" hidden="false" customHeight="true" outlineLevel="0" collapsed="false">
      <c r="B11826" s="37" t="str">
        <f aca="false">SUBSTITUTE(SUBSTITUTE(SUBSTITUTE(SUBSTITUTE(SUBSTITUTE(Txt_P6,"{cabinet}",Cab_Nom),"{societe}",IF($K$11791=0,"",INDEX(Clients!$E$2:$E$501,$K$11791)&amp;"")),"{date_effet}",$K$11793),"{hausse}",$K$11794),"{civilite}",$K$11792)</f>
        <v>Votre interlocuteur habituel reste à votre entière disposition pour répondre à vos questions et faire le point sur l'évolution de vos besoins.</v>
      </c>
      <c r="C11826" s="37"/>
      <c r="D11826" s="37"/>
      <c r="E11826" s="37"/>
      <c r="F11826" s="37"/>
    </row>
    <row r="11827" customFormat="false" ht="24" hidden="false" customHeight="true" outlineLevel="0" collapsed="false">
      <c r="B11827" s="37" t="str">
        <f aca="false">SUBSTITUTE(SUBSTITUTE(SUBSTITUTE(SUBSTITUTE(SUBSTITUTE(Txt_Politesse,"{cabinet}",Cab_Nom),"{societe}",IF($K$11791=0,"",INDEX(Clients!$E$2:$E$501,$K$11791)&amp;"")),"{date_effet}",$K$11793),"{hausse}",$K$11794),"{civilite}",$K$11792)</f>
        <v>Nous vous prions d'agréer, Madame, Monsieur, l'expression de nos salutations distinguées.</v>
      </c>
      <c r="C11827" s="37"/>
      <c r="D11827" s="37"/>
      <c r="E11827" s="37"/>
      <c r="F11827" s="37"/>
    </row>
    <row r="11828" customFormat="false" ht="15" hidden="false" customHeight="false" outlineLevel="0" collapsed="false">
      <c r="B11828" s="10"/>
      <c r="C11828" s="10"/>
      <c r="D11828" s="10"/>
      <c r="E11828" s="10"/>
      <c r="F11828" s="10"/>
    </row>
    <row r="11829" customFormat="false" ht="15" hidden="false" customHeight="false" outlineLevel="0" collapsed="false">
      <c r="B11829" s="10"/>
      <c r="C11829" s="10"/>
      <c r="D11829" s="34" t="str">
        <f aca="false">Signataire</f>
        <v>Prénom NOM</v>
      </c>
      <c r="E11829" s="34"/>
      <c r="F11829" s="34"/>
    </row>
    <row r="11830" customFormat="false" ht="15" hidden="false" customHeight="false" outlineLevel="0" collapsed="false">
      <c r="B11830" s="10"/>
      <c r="C11830" s="10"/>
      <c r="D11830" s="47" t="str">
        <f aca="false">Signataire_Titre</f>
        <v>Expert-comptable associé</v>
      </c>
      <c r="E11830" s="47"/>
      <c r="F11830" s="47"/>
    </row>
    <row r="11831" customFormat="false" ht="15.75" hidden="false" customHeight="true" outlineLevel="0" collapsed="false">
      <c r="B11831" s="10"/>
      <c r="C11831" s="10"/>
      <c r="D11831" s="10"/>
      <c r="E11831" s="10"/>
      <c r="F11831" s="10"/>
    </row>
    <row r="11832" customFormat="false" ht="15.75" hidden="false" customHeight="true" outlineLevel="0" collapsed="false">
      <c r="B11832" s="10"/>
      <c r="C11832" s="10"/>
      <c r="D11832" s="10"/>
      <c r="E11832" s="10"/>
      <c r="F11832" s="10"/>
    </row>
    <row r="11833" customFormat="false" ht="15.75" hidden="false" customHeight="true" outlineLevel="0" collapsed="false">
      <c r="B11833" s="10"/>
      <c r="C11833" s="10"/>
      <c r="D11833" s="10"/>
      <c r="E11833" s="10"/>
      <c r="F11833" s="10"/>
    </row>
    <row r="11834" customFormat="false" ht="15.75" hidden="false" customHeight="true" outlineLevel="0" collapsed="false">
      <c r="B11834" s="10"/>
      <c r="C11834" s="10"/>
      <c r="D11834" s="10"/>
      <c r="E11834" s="10"/>
      <c r="F11834" s="10"/>
    </row>
    <row r="11835" customFormat="false" ht="24" hidden="false" customHeight="true" outlineLevel="0" collapsed="false">
      <c r="B11835" s="48" t="str">
        <f aca="false">Cab_Mentions</f>
        <v>ALTHO EXPERTISE · SAS au capital de 10 000 € · RCS Pontoise 919 706 325 · TVA FR62919706325 · Société d'expertise comptable inscrite au Tableau de l'Ordre des experts-comptables de Paris Île-de-France</v>
      </c>
      <c r="C11835" s="48"/>
      <c r="D11835" s="48"/>
      <c r="E11835" s="48"/>
      <c r="F11835" s="48"/>
    </row>
    <row r="11836" customFormat="false" ht="15" hidden="false" customHeight="false" outlineLevel="0" collapsed="false">
      <c r="B11836" s="10"/>
      <c r="C11836" s="10"/>
      <c r="D11836" s="10"/>
      <c r="E11836" s="10"/>
      <c r="F11836" s="10"/>
      <c r="J11836" s="25" t="s">
        <v>142</v>
      </c>
      <c r="K11836" s="25" t="n">
        <f aca="false">IFERROR(MATCH(264,Clients!$Z$2:$Z$501,0),0)</f>
        <v>0</v>
      </c>
      <c r="L11836" s="25"/>
      <c r="M11836" s="25"/>
      <c r="N11836" s="25"/>
      <c r="O11836" s="25"/>
    </row>
    <row r="11837" customFormat="false" ht="21.75" hidden="false" customHeight="true" outlineLevel="0" collapsed="false">
      <c r="B11837" s="26" t="str">
        <f aca="false">Cab_Nom</f>
        <v>ALTHO EXPERTISE</v>
      </c>
      <c r="C11837" s="26"/>
      <c r="D11837" s="10"/>
      <c r="E11837" s="27" t="str">
        <f aca="false">IF($K$11836=0,"","Réf. client : "&amp;INDEX(Clients!$A$2:$A$501,$K$11836))</f>
        <v/>
      </c>
      <c r="F11837" s="27"/>
      <c r="J11837" s="25" t="s">
        <v>144</v>
      </c>
      <c r="K11837" s="25" t="str">
        <f aca="false">IF(IF($K$11836=0,"",INDEX(Clients!$B$2:$B$501,$K$11836)&amp;"")="Mme","Madame",IF(IF($K$11836=0,"",INDEX(Clients!$B$2:$B$501,$K$11836)&amp;"")="M.","Monsieur","Madame, Monsieur"))</f>
        <v>Madame, Monsieur</v>
      </c>
      <c r="L11837" s="25"/>
      <c r="M11837" s="25"/>
      <c r="N11837" s="25"/>
      <c r="O11837" s="25"/>
    </row>
    <row r="11838" customFormat="false" ht="15" hidden="false" customHeight="false" outlineLevel="0" collapsed="false">
      <c r="B11838" s="29" t="str">
        <f aca="false">Cab_Adr1</f>
        <v>141 rue Charles de Gaulle</v>
      </c>
      <c r="C11838" s="29"/>
      <c r="D11838" s="10"/>
      <c r="E11838" s="10"/>
      <c r="F11838" s="10"/>
      <c r="J11838" s="25" t="s">
        <v>145</v>
      </c>
      <c r="K11838" s="25" t="str">
        <f aca="false">DAY(Date_Effet)&amp;IF(DAY(Date_Effet)=1,"er","")&amp;" "&amp;INDEX(Liste_Mois,MONTH(Date_Effet))&amp;" "&amp;YEAR(Date_Effet)</f>
        <v>1er janvier 2027</v>
      </c>
      <c r="L11838" s="25"/>
      <c r="M11838" s="25"/>
      <c r="N11838" s="25"/>
      <c r="O11838" s="25"/>
    </row>
    <row r="11839" customFormat="false" ht="15" hidden="false" customHeight="false" outlineLevel="0" collapsed="false">
      <c r="B11839" s="29" t="str">
        <f aca="false">Cab_CPVille</f>
        <v>95130 LE PLESSIS-BOUCHARD</v>
      </c>
      <c r="C11839" s="29"/>
      <c r="D11839" s="10"/>
      <c r="E11839" s="10"/>
      <c r="F11839" s="10"/>
      <c r="J11839" s="25" t="s">
        <v>146</v>
      </c>
      <c r="K11839" s="25" t="str">
        <f aca="false">IF(SUM($K$11863:$K$11866)=0,"",FIXED((SUM($L$11863:$L$11866)/SUM($K$11863:$K$11866)-1)*100,1)&amp;" %")</f>
        <v/>
      </c>
      <c r="L11839" s="25"/>
      <c r="M11839" s="25"/>
      <c r="N11839" s="25"/>
      <c r="O11839" s="25"/>
    </row>
    <row r="11840" customFormat="false" ht="15" hidden="false" customHeight="false" outlineLevel="0" collapsed="false">
      <c r="B11840" s="29" t="str">
        <f aca="false">Cab_Contact</f>
        <v>Tél. 01 34 14 53 45  ·  altho@altho-experts.com  ·  altho-experts.com</v>
      </c>
      <c r="C11840" s="29"/>
      <c r="D11840" s="10"/>
      <c r="E11840" s="10"/>
      <c r="F11840" s="10"/>
      <c r="J11840" s="25"/>
      <c r="K11840" s="25"/>
      <c r="L11840" s="25"/>
      <c r="M11840" s="25"/>
      <c r="N11840" s="25"/>
      <c r="O11840" s="25"/>
    </row>
    <row r="11841" customFormat="false" ht="6" hidden="false" customHeight="true" outlineLevel="0" collapsed="false">
      <c r="B11841" s="32"/>
      <c r="C11841" s="32"/>
      <c r="D11841" s="32"/>
      <c r="E11841" s="32"/>
      <c r="F11841" s="32"/>
      <c r="J11841" s="25"/>
      <c r="K11841" s="25"/>
      <c r="L11841" s="25"/>
      <c r="M11841" s="25"/>
      <c r="N11841" s="25"/>
      <c r="O11841" s="25"/>
    </row>
    <row r="11842" customFormat="false" ht="13.5" hidden="false" customHeight="true" outlineLevel="0" collapsed="false">
      <c r="B11842" s="10"/>
      <c r="C11842" s="10"/>
      <c r="D11842" s="10"/>
      <c r="E11842" s="10"/>
      <c r="F11842" s="10"/>
      <c r="J11842" s="25"/>
      <c r="K11842" s="25"/>
      <c r="L11842" s="25"/>
      <c r="M11842" s="25"/>
      <c r="N11842" s="25"/>
      <c r="O11842" s="25"/>
    </row>
    <row r="11843" customFormat="false" ht="13.5" hidden="false" customHeight="true" outlineLevel="0" collapsed="false">
      <c r="B11843" s="10"/>
      <c r="C11843" s="10"/>
      <c r="D11843" s="10"/>
      <c r="E11843" s="10"/>
      <c r="F11843" s="10"/>
      <c r="J11843" s="25"/>
      <c r="K11843" s="25"/>
      <c r="L11843" s="25"/>
      <c r="M11843" s="25"/>
      <c r="N11843" s="25"/>
      <c r="O11843" s="25"/>
    </row>
    <row r="11844" customFormat="false" ht="13.5" hidden="false" customHeight="true" outlineLevel="0" collapsed="false">
      <c r="B11844" s="10"/>
      <c r="C11844" s="10"/>
      <c r="D11844" s="10"/>
      <c r="E11844" s="10"/>
      <c r="F11844" s="10"/>
      <c r="J11844" s="25"/>
      <c r="K11844" s="25"/>
      <c r="L11844" s="25"/>
      <c r="M11844" s="25"/>
      <c r="N11844" s="25"/>
      <c r="O11844" s="25"/>
    </row>
    <row r="11845" customFormat="false" ht="15" hidden="false" customHeight="true" outlineLevel="0" collapsed="false">
      <c r="B11845" s="10"/>
      <c r="C11845" s="10"/>
      <c r="D11845" s="34" t="str">
        <f aca="false">IF($K$11836=0,"",INDEX(Clients!$E$2:$E$501,$K$11836)&amp;"")</f>
        <v/>
      </c>
      <c r="E11845" s="34"/>
      <c r="F11845" s="34"/>
      <c r="J11845" s="25"/>
      <c r="K11845" s="25"/>
      <c r="L11845" s="25"/>
      <c r="M11845" s="25"/>
      <c r="N11845" s="25"/>
      <c r="O11845" s="25"/>
    </row>
    <row r="11846" customFormat="false" ht="15" hidden="false" customHeight="true" outlineLevel="0" collapsed="false">
      <c r="B11846" s="10"/>
      <c r="C11846" s="10"/>
      <c r="D11846" s="35" t="str">
        <f aca="false">IF(IF($K$11836=0,"",INDEX(Clients!$D$2:$D$501,$K$11836)&amp;"")="","","À l'attention de "&amp;TRIM(IF($K$11836=0,"",INDEX(Clients!$B$2:$B$501,$K$11836)&amp;"")&amp;" "&amp;IF($K$11836=0,"",INDEX(Clients!$C$2:$C$501,$K$11836)&amp;"")&amp;" "&amp;IF($K$11836=0,"",INDEX(Clients!$D$2:$D$501,$K$11836)&amp;"")))</f>
        <v/>
      </c>
      <c r="E11846" s="35"/>
      <c r="F11846" s="35"/>
      <c r="J11846" s="25"/>
      <c r="K11846" s="25"/>
      <c r="L11846" s="25"/>
      <c r="M11846" s="25"/>
      <c r="N11846" s="25"/>
      <c r="O11846" s="25"/>
    </row>
    <row r="11847" customFormat="false" ht="15" hidden="false" customHeight="true" outlineLevel="0" collapsed="false">
      <c r="B11847" s="10"/>
      <c r="C11847" s="10"/>
      <c r="D11847" s="35" t="str">
        <f aca="false">IF($K$11836=0,"",INDEX(Clients!$F$2:$F$501,$K$11836)&amp;"")</f>
        <v/>
      </c>
      <c r="E11847" s="35"/>
      <c r="F11847" s="35"/>
      <c r="J11847" s="25"/>
      <c r="K11847" s="25"/>
      <c r="L11847" s="25"/>
      <c r="M11847" s="25"/>
      <c r="N11847" s="25"/>
      <c r="O11847" s="25"/>
    </row>
    <row r="11848" customFormat="false" ht="15" hidden="false" customHeight="true" outlineLevel="0" collapsed="false">
      <c r="B11848" s="10"/>
      <c r="C11848" s="10"/>
      <c r="D11848" s="35" t="str">
        <f aca="false">IF(IF($K$11836=0,"",INDEX(Clients!$G$2:$G$501,$K$11836)&amp;"")="",TRIM(IF($K$11836=0,"",INDEX(Clients!$H$2:$H$501,$K$11836)&amp;"")&amp;" "&amp;UPPER(IF($K$11836=0,"",INDEX(Clients!$I$2:$I$501,$K$11836)&amp;""))),IF($K$11836=0,"",INDEX(Clients!$G$2:$G$501,$K$11836)&amp;""))</f>
        <v/>
      </c>
      <c r="E11848" s="35"/>
      <c r="F11848" s="35"/>
      <c r="J11848" s="25"/>
      <c r="K11848" s="25"/>
      <c r="L11848" s="25"/>
      <c r="M11848" s="25"/>
      <c r="N11848" s="25"/>
      <c r="O11848" s="25"/>
    </row>
    <row r="11849" customFormat="false" ht="15" hidden="false" customHeight="true" outlineLevel="0" collapsed="false">
      <c r="B11849" s="10"/>
      <c r="C11849" s="10"/>
      <c r="D11849" s="35" t="str">
        <f aca="false">IF(IF($K$11836=0,"",INDEX(Clients!$G$2:$G$501,$K$11836)&amp;"")="","",TRIM(IF($K$11836=0,"",INDEX(Clients!$H$2:$H$501,$K$11836)&amp;"")&amp;" "&amp;UPPER(IF($K$11836=0,"",INDEX(Clients!$I$2:$I$501,$K$11836)&amp;""))))</f>
        <v/>
      </c>
      <c r="E11849" s="35"/>
      <c r="F11849" s="35"/>
      <c r="J11849" s="25"/>
      <c r="K11849" s="25"/>
      <c r="L11849" s="25"/>
      <c r="M11849" s="25"/>
      <c r="N11849" s="25"/>
      <c r="O11849" s="25"/>
    </row>
    <row r="11850" customFormat="false" ht="25.5" hidden="false" customHeight="true" outlineLevel="0" collapsed="false">
      <c r="B11850" s="10"/>
      <c r="C11850" s="10"/>
      <c r="D11850" s="10"/>
      <c r="E11850" s="10"/>
      <c r="F11850" s="10"/>
      <c r="J11850" s="25"/>
      <c r="K11850" s="25"/>
      <c r="L11850" s="25"/>
      <c r="M11850" s="25"/>
      <c r="N11850" s="25"/>
      <c r="O11850" s="25"/>
    </row>
    <row r="11851" customFormat="false" ht="15" hidden="false" customHeight="false" outlineLevel="0" collapsed="false">
      <c r="B11851" s="10"/>
      <c r="C11851" s="10"/>
      <c r="D11851" s="36" t="str">
        <f aca="false">Cab_Ville&amp;", le "&amp;DAY(Date_Courrier)&amp;IF(DAY(Date_Courrier)=1,"er","")&amp;" "&amp;INDEX(Liste_Mois,MONTH(Date_Courrier))&amp;" "&amp;YEAR(Date_Courrier)</f>
        <v>Le Plessis-Bouchard, le 22 septembre 2026</v>
      </c>
      <c r="E11851" s="36"/>
      <c r="F11851" s="36"/>
      <c r="J11851" s="25"/>
      <c r="K11851" s="25"/>
      <c r="L11851" s="25"/>
      <c r="M11851" s="25"/>
      <c r="N11851" s="25"/>
      <c r="O11851" s="25"/>
    </row>
    <row r="11852" customFormat="false" ht="19.5" hidden="false" customHeight="true" outlineLevel="0" collapsed="false">
      <c r="B11852" s="10"/>
      <c r="C11852" s="10"/>
      <c r="D11852" s="10"/>
      <c r="E11852" s="10"/>
      <c r="F11852" s="10"/>
      <c r="J11852" s="25"/>
      <c r="K11852" s="25"/>
      <c r="L11852" s="25"/>
      <c r="M11852" s="25"/>
      <c r="N11852" s="25"/>
      <c r="O11852" s="25"/>
    </row>
    <row r="11853" customFormat="false" ht="15" hidden="false" customHeight="false" outlineLevel="0" collapsed="false">
      <c r="B11853" s="34" t="str">
        <f aca="false">SUBSTITUTE(SUBSTITUTE(SUBSTITUTE(SUBSTITUTE(SUBSTITUTE(Txt_Objet,"{cabinet}",Cab_Nom),"{societe}",IF($K$11836=0,"",INDEX(Clients!$E$2:$E$501,$K$11836)&amp;"")),"{date_effet}",$K$11838),"{hausse}",$K$11839),"{civilite}",$K$11837)</f>
        <v>Objet : révision de nos honoraires au 1er janvier 2027</v>
      </c>
      <c r="C11853" s="34"/>
      <c r="D11853" s="34"/>
      <c r="E11853" s="34"/>
      <c r="F11853" s="34"/>
      <c r="J11853" s="25"/>
      <c r="K11853" s="25"/>
      <c r="L11853" s="25"/>
      <c r="M11853" s="25"/>
      <c r="N11853" s="25"/>
      <c r="O11853" s="25"/>
    </row>
    <row r="11854" customFormat="false" ht="13.5" hidden="false" customHeight="true" outlineLevel="0" collapsed="false">
      <c r="B11854" s="10"/>
      <c r="C11854" s="10"/>
      <c r="D11854" s="10"/>
      <c r="E11854" s="10"/>
      <c r="F11854" s="10"/>
      <c r="J11854" s="25"/>
      <c r="K11854" s="25"/>
      <c r="L11854" s="25"/>
      <c r="M11854" s="25"/>
      <c r="N11854" s="25"/>
      <c r="O11854" s="25"/>
    </row>
    <row r="11855" customFormat="false" ht="15" hidden="false" customHeight="false" outlineLevel="0" collapsed="false">
      <c r="B11855" s="10" t="str">
        <f aca="false">$K$11837&amp;","</f>
        <v>Madame, Monsieur,</v>
      </c>
      <c r="C11855" s="10"/>
      <c r="D11855" s="10"/>
      <c r="E11855" s="10"/>
      <c r="F11855" s="10"/>
      <c r="J11855" s="25"/>
      <c r="K11855" s="25"/>
      <c r="L11855" s="25"/>
      <c r="M11855" s="25"/>
      <c r="N11855" s="25"/>
      <c r="O11855" s="25"/>
    </row>
    <row r="11856" customFormat="false" ht="6" hidden="false" customHeight="true" outlineLevel="0" collapsed="false">
      <c r="B11856" s="10"/>
      <c r="C11856" s="10"/>
      <c r="D11856" s="10"/>
      <c r="E11856" s="10"/>
      <c r="F11856" s="10"/>
      <c r="J11856" s="25"/>
      <c r="K11856" s="25"/>
      <c r="L11856" s="25"/>
      <c r="M11856" s="25"/>
      <c r="N11856" s="25"/>
      <c r="O11856" s="25"/>
    </row>
    <row r="11857" customFormat="false" ht="36.75" hidden="false" customHeight="true" outlineLevel="0" collapsed="false">
      <c r="B11857" s="37" t="str">
        <f aca="false">SUBSTITUTE(SUBSTITUTE(SUBSTITUTE(SUBSTITUTE(SUBSTITUTE(Txt_P1,"{cabinet}",Cab_Nom),"{societe}",IF($K$11836=0,"",INDEX(Clients!$E$2:$E$501,$K$11836)&amp;"")),"{date_effet}",$K$11838),"{hausse}",$K$11839),"{civilite}",$K$11837)</f>
        <v>Nous tenons tout d'abord à vous remercier pour la confiance que vous accordez à ALTHO EXPERTISE. Comme chaque année, et conformément aux dispositions de votre lettre de mission, nous procédons à la révision de nos honoraires.</v>
      </c>
      <c r="C11857" s="37"/>
      <c r="D11857" s="37"/>
      <c r="E11857" s="37"/>
      <c r="F11857" s="37"/>
      <c r="J11857" s="25"/>
      <c r="K11857" s="25"/>
      <c r="L11857" s="25"/>
      <c r="M11857" s="25"/>
      <c r="N11857" s="25"/>
      <c r="O11857" s="25"/>
    </row>
    <row r="11858" customFormat="false" ht="49.5" hidden="false" customHeight="true" outlineLevel="0" collapsed="false">
      <c r="B11858" s="37" t="str">
        <f aca="false">SUBSTITUTE(SUBSTITUTE(SUBSTITUTE(SUBSTITUTE(SUBSTITUTE(Txt_P2,"{cabinet}",Cab_Nom),"{societe}",IF($K$11836=0,"",INDEX(Clients!$E$2:$E$501,$K$11836)&amp;"")),"{date_effet}",$K$11838),"{hausse}",$K$11839),"{civilite}",$K$11837)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858" s="37"/>
      <c r="D11858" s="37"/>
      <c r="E11858" s="37"/>
      <c r="F11858" s="37"/>
      <c r="J11858" s="25"/>
      <c r="K11858" s="25"/>
      <c r="L11858" s="25"/>
      <c r="M11858" s="25"/>
      <c r="N11858" s="25"/>
      <c r="O11858" s="25"/>
    </row>
    <row r="11859" customFormat="false" ht="63" hidden="false" customHeight="true" outlineLevel="0" collapsed="false">
      <c r="B11859" s="37" t="str">
        <f aca="false">SUBSTITUTE(SUBSTITUTE(SUBSTITUTE(SUBSTITUTE(SUBSTITUTE(Txt_P3,"{cabinet}",Cab_Nom),"{societe}",IF($K$11836=0,"",INDEX(Clients!$E$2:$E$501,$K$11836)&amp;"")),"{date_effet}",$K$11838),"{hausse}",$K$11839),"{civilite}",$K$11837)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859" s="37"/>
      <c r="D11859" s="37"/>
      <c r="E11859" s="37"/>
      <c r="F11859" s="37"/>
      <c r="J11859" s="25"/>
      <c r="K11859" s="25"/>
      <c r="L11859" s="25"/>
      <c r="M11859" s="25"/>
      <c r="N11859" s="25"/>
      <c r="O11859" s="25"/>
    </row>
    <row r="11860" customFormat="false" ht="24" hidden="false" customHeight="true" outlineLevel="0" collapsed="false">
      <c r="B11860" s="37" t="str">
        <f aca="false">SUBSTITUTE(SUBSTITUTE(SUBSTITUTE(SUBSTITUTE(SUBSTITUTE(Txt_P4,"{cabinet}",Cab_Nom),"{societe}",IF($K$11836=0,"",INDEX(Clients!$E$2:$E$501,$K$11836)&amp;"")),"{date_effet}",$K$11838),"{hausse}",$K$11839),"{civilite}",$K$11837)</f>
        <v>À compter du 1er janvier 2027, vos honoraires annuels hors taxes évolueront ainsi (évolution globale : ) :</v>
      </c>
      <c r="C11860" s="37"/>
      <c r="D11860" s="37"/>
      <c r="E11860" s="37"/>
      <c r="F11860" s="37"/>
      <c r="J11860" s="25"/>
      <c r="K11860" s="25"/>
      <c r="L11860" s="25"/>
      <c r="M11860" s="25"/>
      <c r="N11860" s="25"/>
      <c r="O11860" s="25"/>
    </row>
    <row r="11861" customFormat="false" ht="3.75" hidden="false" customHeight="true" outlineLevel="0" collapsed="false">
      <c r="B11861" s="10"/>
      <c r="C11861" s="10"/>
      <c r="D11861" s="10"/>
      <c r="E11861" s="10"/>
      <c r="F11861" s="10"/>
      <c r="J11861" s="25"/>
      <c r="K11861" s="25"/>
      <c r="L11861" s="25"/>
      <c r="M11861" s="25"/>
      <c r="N11861" s="25"/>
      <c r="O11861" s="25"/>
    </row>
    <row r="11862" customFormat="false" ht="18" hidden="false" customHeight="true" outlineLevel="0" collapsed="false">
      <c r="B11862" s="38" t="s">
        <v>148</v>
      </c>
      <c r="C11862" s="39" t="s">
        <v>149</v>
      </c>
      <c r="D11862" s="39" t="s">
        <v>150</v>
      </c>
      <c r="E11862" s="39" t="s">
        <v>151</v>
      </c>
      <c r="F11862" s="39" t="s">
        <v>109</v>
      </c>
      <c r="J11862" s="25" t="s">
        <v>152</v>
      </c>
      <c r="K11862" s="25" t="s">
        <v>153</v>
      </c>
      <c r="L11862" s="25" t="s">
        <v>154</v>
      </c>
      <c r="M11862" s="25" t="s">
        <v>155</v>
      </c>
      <c r="N11862" s="25" t="s">
        <v>156</v>
      </c>
      <c r="O11862" s="25" t="s">
        <v>157</v>
      </c>
    </row>
    <row r="11863" customFormat="false" ht="16.5" hidden="false" customHeight="true" outlineLevel="0" collapsed="false">
      <c r="B11863" s="40" t="str">
        <f aca="false">IFERROR(INDEX($J$11863:$J$11866,MATCH($O11863,$N$11863:$N$11866,0)),"")</f>
        <v/>
      </c>
      <c r="C11863" s="41" t="str">
        <f aca="false">IFERROR(INDEX($K$11863:$K$11866,MATCH($O11863,$N$11863:$N$11866,0)),"")</f>
        <v/>
      </c>
      <c r="D11863" s="42" t="str">
        <f aca="false">IF(OR(E11863="",N(C11863)=0),"",E11863/C11863-1)</f>
        <v/>
      </c>
      <c r="E11863" s="41" t="str">
        <f aca="false">IFERROR(INDEX($L$11863:$L$11866,MATCH($O11863,$N$11863:$N$11866,0)),"")</f>
        <v/>
      </c>
      <c r="F11863" s="41" t="str">
        <f aca="false">IF(E11863="","",E11863-C11863)</f>
        <v/>
      </c>
      <c r="J11863" s="25" t="str">
        <f aca="false">Lib_Compta</f>
        <v>Mission comptable (tenue, révision, bilan, liasse fiscale)</v>
      </c>
      <c r="K11863" s="25" t="n">
        <f aca="false">IF($K$11836=0,0,N(INDEX(Clients!$K$2:$K$501,$K$11836)))</f>
        <v>0</v>
      </c>
      <c r="L11863" s="25" t="n">
        <f aca="false">IF($K$11836=0,0,N(INDEX(Clients!$P$2:$P$501,$K$11836)))</f>
        <v>0</v>
      </c>
      <c r="M11863" s="25" t="n">
        <f aca="false">IF(OR(K11863&lt;&gt;0,L11863&lt;&gt;0),1,0)</f>
        <v>0</v>
      </c>
      <c r="N11863" s="25" t="str">
        <f aca="false">IF(M11863=1,SUM($M$11863:M11863),"")</f>
        <v/>
      </c>
      <c r="O11863" s="25" t="n">
        <v>1</v>
      </c>
    </row>
    <row r="11864" customFormat="false" ht="16.5" hidden="false" customHeight="true" outlineLevel="0" collapsed="false">
      <c r="B11864" s="40" t="str">
        <f aca="false">IFERROR(INDEX($J$11863:$J$11866,MATCH($O11864,$N$11863:$N$11866,0)),"")</f>
        <v/>
      </c>
      <c r="C11864" s="41" t="str">
        <f aca="false">IFERROR(INDEX($K$11863:$K$11866,MATCH($O11864,$N$11863:$N$11866,0)),"")</f>
        <v/>
      </c>
      <c r="D11864" s="42" t="str">
        <f aca="false">IF(OR(E11864="",N(C11864)=0),"",E11864/C11864-1)</f>
        <v/>
      </c>
      <c r="E11864" s="41" t="str">
        <f aca="false">IFERROR(INDEX($L$11863:$L$11866,MATCH($O11864,$N$11863:$N$11866,0)),"")</f>
        <v/>
      </c>
      <c r="F11864" s="41" t="str">
        <f aca="false">IF(E11864="","",E11864-C11864)</f>
        <v/>
      </c>
      <c r="J11864" s="25" t="str">
        <f aca="false">Lib_Paye</f>
        <v>Mission sociale (bulletins de paie, DSN, déclarations sociales)</v>
      </c>
      <c r="K11864" s="25" t="n">
        <f aca="false">IF($K$11836=0,0,N(INDEX(Clients!$L$2:$L$501,$K$11836)))</f>
        <v>0</v>
      </c>
      <c r="L11864" s="25" t="n">
        <f aca="false">IF($K$11836=0,0,N(INDEX(Clients!$Q$2:$Q$501,$K$11836)))</f>
        <v>0</v>
      </c>
      <c r="M11864" s="25" t="n">
        <f aca="false">IF(OR(K11864&lt;&gt;0,L11864&lt;&gt;0),1,0)</f>
        <v>0</v>
      </c>
      <c r="N11864" s="25" t="str">
        <f aca="false">IF(M11864=1,SUM($M$11863:M11864),"")</f>
        <v/>
      </c>
      <c r="O11864" s="25" t="n">
        <v>2</v>
      </c>
    </row>
    <row r="11865" customFormat="false" ht="16.5" hidden="false" customHeight="true" outlineLevel="0" collapsed="false">
      <c r="B11865" s="40" t="str">
        <f aca="false">IFERROR(INDEX($J$11863:$J$11866,MATCH($O11865,$N$11863:$N$11866,0)),"")</f>
        <v/>
      </c>
      <c r="C11865" s="41" t="str">
        <f aca="false">IFERROR(INDEX($K$11863:$K$11866,MATCH($O11865,$N$11863:$N$11866,0)),"")</f>
        <v/>
      </c>
      <c r="D11865" s="42" t="str">
        <f aca="false">IF(OR(E11865="",N(C11865)=0),"",E11865/C11865-1)</f>
        <v/>
      </c>
      <c r="E11865" s="41" t="str">
        <f aca="false">IFERROR(INDEX($L$11863:$L$11866,MATCH($O11865,$N$11863:$N$11866,0)),"")</f>
        <v/>
      </c>
      <c r="F11865" s="41" t="str">
        <f aca="false">IF(E11865="","",E11865-C11865)</f>
        <v/>
      </c>
      <c r="J11865" s="25" t="str">
        <f aca="false">Lib_Jur</f>
        <v>Mission juridique (approbation des comptes, secrétariat juridique)</v>
      </c>
      <c r="K11865" s="25" t="n">
        <f aca="false">IF($K$11836=0,0,N(INDEX(Clients!$M$2:$M$501,$K$11836)))</f>
        <v>0</v>
      </c>
      <c r="L11865" s="25" t="n">
        <f aca="false">IF($K$11836=0,0,N(INDEX(Clients!$R$2:$R$501,$K$11836)))</f>
        <v>0</v>
      </c>
      <c r="M11865" s="25" t="n">
        <f aca="false">IF(OR(K11865&lt;&gt;0,L11865&lt;&gt;0),1,0)</f>
        <v>0</v>
      </c>
      <c r="N11865" s="25" t="str">
        <f aca="false">IF(M11865=1,SUM($M$11863:M11865),"")</f>
        <v/>
      </c>
      <c r="O11865" s="25" t="n">
        <v>3</v>
      </c>
    </row>
    <row r="11866" customFormat="false" ht="16.5" hidden="false" customHeight="true" outlineLevel="0" collapsed="false">
      <c r="B11866" s="40" t="str">
        <f aca="false">IFERROR(INDEX($J$11863:$J$11866,MATCH($O11866,$N$11863:$N$11866,0)),"")</f>
        <v/>
      </c>
      <c r="C11866" s="41" t="str">
        <f aca="false">IFERROR(INDEX($K$11863:$K$11866,MATCH($O11866,$N$11863:$N$11866,0)),"")</f>
        <v/>
      </c>
      <c r="D11866" s="42" t="str">
        <f aca="false">IF(OR(E11866="",N(C11866)=0),"",E11866/C11866-1)</f>
        <v/>
      </c>
      <c r="E11866" s="41" t="str">
        <f aca="false">IFERROR(INDEX($L$11863:$L$11866,MATCH($O11866,$N$11863:$N$11866,0)),"")</f>
        <v/>
      </c>
      <c r="F11866" s="41" t="str">
        <f aca="false">IF(E11866="","",E11866-C11866)</f>
        <v/>
      </c>
      <c r="J11866" s="25" t="str">
        <f aca="false">Lib_PA</f>
        <v>Plateforme agréée – facturation électronique</v>
      </c>
      <c r="K11866" s="25" t="n">
        <f aca="false">IF($K$11836=0,0,N(INDEX(Clients!$N$2:$N$501,$K$11836)))</f>
        <v>0</v>
      </c>
      <c r="L11866" s="25" t="n">
        <f aca="false">IF($K$11836=0,0,N(INDEX(Clients!$S$2:$S$501,$K$11836)))</f>
        <v>0</v>
      </c>
      <c r="M11866" s="25" t="n">
        <f aca="false">IF(OR(K11866&lt;&gt;0,L11866&lt;&gt;0),1,0)</f>
        <v>0</v>
      </c>
      <c r="N11866" s="25" t="str">
        <f aca="false">IF(M11866=1,SUM($M$11863:M11866),"")</f>
        <v/>
      </c>
      <c r="O11866" s="25" t="n">
        <v>4</v>
      </c>
    </row>
    <row r="11867" customFormat="false" ht="18" hidden="false" customHeight="true" outlineLevel="0" collapsed="false">
      <c r="B11867" s="43" t="s">
        <v>158</v>
      </c>
      <c r="C11867" s="44" t="n">
        <f aca="false">SUM(K11863:K11866)</f>
        <v>0</v>
      </c>
      <c r="D11867" s="45" t="str">
        <f aca="false">IF(N(C11867)=0,"",E11867/C11867-1)</f>
        <v/>
      </c>
      <c r="E11867" s="44" t="n">
        <f aca="false">SUM(L11863:L11866)</f>
        <v>0</v>
      </c>
      <c r="F11867" s="44" t="n">
        <f aca="false">E11867-C11867</f>
        <v>0</v>
      </c>
    </row>
    <row r="11868" customFormat="false" ht="15" hidden="false" customHeight="false" outlineLevel="0" collapsed="false">
      <c r="B11868" s="46" t="str">
        <f aca="false">IF(N(Nb_Mensualites)=0,"","Soit "&amp;FIXED(E11867/Nb_Mensualites,2)&amp;" € HT par échéance ("&amp;Nb_Mensualites&amp;" échéances), "&amp;FIXED(E11867/Nb_Mensualites*(1+Taux_TVA),2)&amp;" € TTC.")</f>
        <v>Soit 0.00 € HT par échéance (12 échéances), 0.00 € TTC.</v>
      </c>
      <c r="C11868" s="46"/>
      <c r="D11868" s="46"/>
      <c r="E11868" s="46"/>
      <c r="F11868" s="46"/>
    </row>
    <row r="11869" customFormat="false" ht="7.5" hidden="false" customHeight="true" outlineLevel="0" collapsed="false">
      <c r="B11869" s="10"/>
      <c r="C11869" s="10"/>
      <c r="D11869" s="10"/>
      <c r="E11869" s="10"/>
      <c r="F11869" s="10"/>
    </row>
    <row r="11870" customFormat="false" ht="36.75" hidden="false" customHeight="true" outlineLevel="0" collapsed="false">
      <c r="B11870" s="37" t="str">
        <f aca="false">SUBSTITUTE(SUBSTITUTE(SUBSTITUTE(SUBSTITUTE(SUBSTITUTE(Txt_P5,"{cabinet}",Cab_Nom),"{societe}",IF($K$11836=0,"",INDEX(Clients!$E$2:$E$501,$K$11836)&amp;"")),"{date_effet}",$K$11838),"{hausse}",$K$11839),"{civilite}",$K$11837)</f>
        <v>Les autres conditions de votre lettre de mission demeurent inchangées. Les nouveaux montants seront appliqués automatiquement sur vos prochaines factures et échéances de prélèvement.</v>
      </c>
      <c r="C11870" s="37"/>
      <c r="D11870" s="37"/>
      <c r="E11870" s="37"/>
      <c r="F11870" s="37"/>
    </row>
    <row r="11871" customFormat="false" ht="36.75" hidden="false" customHeight="true" outlineLevel="0" collapsed="false">
      <c r="B11871" s="37" t="str">
        <f aca="false">SUBSTITUTE(SUBSTITUTE(SUBSTITUTE(SUBSTITUTE(SUBSTITUTE(Txt_P6,"{cabinet}",Cab_Nom),"{societe}",IF($K$11836=0,"",INDEX(Clients!$E$2:$E$501,$K$11836)&amp;"")),"{date_effet}",$K$11838),"{hausse}",$K$11839),"{civilite}",$K$11837)</f>
        <v>Votre interlocuteur habituel reste à votre entière disposition pour répondre à vos questions et faire le point sur l'évolution de vos besoins.</v>
      </c>
      <c r="C11871" s="37"/>
      <c r="D11871" s="37"/>
      <c r="E11871" s="37"/>
      <c r="F11871" s="37"/>
    </row>
    <row r="11872" customFormat="false" ht="24" hidden="false" customHeight="true" outlineLevel="0" collapsed="false">
      <c r="B11872" s="37" t="str">
        <f aca="false">SUBSTITUTE(SUBSTITUTE(SUBSTITUTE(SUBSTITUTE(SUBSTITUTE(Txt_Politesse,"{cabinet}",Cab_Nom),"{societe}",IF($K$11836=0,"",INDEX(Clients!$E$2:$E$501,$K$11836)&amp;"")),"{date_effet}",$K$11838),"{hausse}",$K$11839),"{civilite}",$K$11837)</f>
        <v>Nous vous prions d'agréer, Madame, Monsieur, l'expression de nos salutations distinguées.</v>
      </c>
      <c r="C11872" s="37"/>
      <c r="D11872" s="37"/>
      <c r="E11872" s="37"/>
      <c r="F11872" s="37"/>
    </row>
    <row r="11873" customFormat="false" ht="15" hidden="false" customHeight="false" outlineLevel="0" collapsed="false">
      <c r="B11873" s="10"/>
      <c r="C11873" s="10"/>
      <c r="D11873" s="10"/>
      <c r="E11873" s="10"/>
      <c r="F11873" s="10"/>
    </row>
    <row r="11874" customFormat="false" ht="15" hidden="false" customHeight="false" outlineLevel="0" collapsed="false">
      <c r="B11874" s="10"/>
      <c r="C11874" s="10"/>
      <c r="D11874" s="34" t="str">
        <f aca="false">Signataire</f>
        <v>Prénom NOM</v>
      </c>
      <c r="E11874" s="34"/>
      <c r="F11874" s="34"/>
    </row>
    <row r="11875" customFormat="false" ht="15" hidden="false" customHeight="false" outlineLevel="0" collapsed="false">
      <c r="B11875" s="10"/>
      <c r="C11875" s="10"/>
      <c r="D11875" s="47" t="str">
        <f aca="false">Signataire_Titre</f>
        <v>Expert-comptable associé</v>
      </c>
      <c r="E11875" s="47"/>
      <c r="F11875" s="47"/>
    </row>
    <row r="11876" customFormat="false" ht="15.75" hidden="false" customHeight="true" outlineLevel="0" collapsed="false">
      <c r="B11876" s="10"/>
      <c r="C11876" s="10"/>
      <c r="D11876" s="10"/>
      <c r="E11876" s="10"/>
      <c r="F11876" s="10"/>
    </row>
    <row r="11877" customFormat="false" ht="15.75" hidden="false" customHeight="true" outlineLevel="0" collapsed="false">
      <c r="B11877" s="10"/>
      <c r="C11877" s="10"/>
      <c r="D11877" s="10"/>
      <c r="E11877" s="10"/>
      <c r="F11877" s="10"/>
    </row>
    <row r="11878" customFormat="false" ht="15.75" hidden="false" customHeight="true" outlineLevel="0" collapsed="false">
      <c r="B11878" s="10"/>
      <c r="C11878" s="10"/>
      <c r="D11878" s="10"/>
      <c r="E11878" s="10"/>
      <c r="F11878" s="10"/>
    </row>
    <row r="11879" customFormat="false" ht="15.75" hidden="false" customHeight="true" outlineLevel="0" collapsed="false">
      <c r="B11879" s="10"/>
      <c r="C11879" s="10"/>
      <c r="D11879" s="10"/>
      <c r="E11879" s="10"/>
      <c r="F11879" s="10"/>
    </row>
    <row r="11880" customFormat="false" ht="24" hidden="false" customHeight="true" outlineLevel="0" collapsed="false">
      <c r="B11880" s="48" t="str">
        <f aca="false">Cab_Mentions</f>
        <v>ALTHO EXPERTISE · SAS au capital de 10 000 € · RCS Pontoise 919 706 325 · TVA FR62919706325 · Société d'expertise comptable inscrite au Tableau de l'Ordre des experts-comptables de Paris Île-de-France</v>
      </c>
      <c r="C11880" s="48"/>
      <c r="D11880" s="48"/>
      <c r="E11880" s="48"/>
      <c r="F11880" s="48"/>
    </row>
    <row r="11881" customFormat="false" ht="15" hidden="false" customHeight="false" outlineLevel="0" collapsed="false">
      <c r="B11881" s="10"/>
      <c r="C11881" s="10"/>
      <c r="D11881" s="10"/>
      <c r="E11881" s="10"/>
      <c r="F11881" s="10"/>
      <c r="J11881" s="25" t="s">
        <v>142</v>
      </c>
      <c r="K11881" s="25" t="n">
        <f aca="false">IFERROR(MATCH(265,Clients!$Z$2:$Z$501,0),0)</f>
        <v>0</v>
      </c>
      <c r="L11881" s="25"/>
      <c r="M11881" s="25"/>
      <c r="N11881" s="25"/>
      <c r="O11881" s="25"/>
    </row>
    <row r="11882" customFormat="false" ht="21.75" hidden="false" customHeight="true" outlineLevel="0" collapsed="false">
      <c r="B11882" s="26" t="str">
        <f aca="false">Cab_Nom</f>
        <v>ALTHO EXPERTISE</v>
      </c>
      <c r="C11882" s="26"/>
      <c r="D11882" s="10"/>
      <c r="E11882" s="27" t="str">
        <f aca="false">IF($K$11881=0,"","Réf. client : "&amp;INDEX(Clients!$A$2:$A$501,$K$11881))</f>
        <v/>
      </c>
      <c r="F11882" s="27"/>
      <c r="J11882" s="25" t="s">
        <v>144</v>
      </c>
      <c r="K11882" s="25" t="str">
        <f aca="false">IF(IF($K$11881=0,"",INDEX(Clients!$B$2:$B$501,$K$11881)&amp;"")="Mme","Madame",IF(IF($K$11881=0,"",INDEX(Clients!$B$2:$B$501,$K$11881)&amp;"")="M.","Monsieur","Madame, Monsieur"))</f>
        <v>Madame, Monsieur</v>
      </c>
      <c r="L11882" s="25"/>
      <c r="M11882" s="25"/>
      <c r="N11882" s="25"/>
      <c r="O11882" s="25"/>
    </row>
    <row r="11883" customFormat="false" ht="15" hidden="false" customHeight="false" outlineLevel="0" collapsed="false">
      <c r="B11883" s="29" t="str">
        <f aca="false">Cab_Adr1</f>
        <v>141 rue Charles de Gaulle</v>
      </c>
      <c r="C11883" s="29"/>
      <c r="D11883" s="10"/>
      <c r="E11883" s="10"/>
      <c r="F11883" s="10"/>
      <c r="J11883" s="25" t="s">
        <v>145</v>
      </c>
      <c r="K11883" s="25" t="str">
        <f aca="false">DAY(Date_Effet)&amp;IF(DAY(Date_Effet)=1,"er","")&amp;" "&amp;INDEX(Liste_Mois,MONTH(Date_Effet))&amp;" "&amp;YEAR(Date_Effet)</f>
        <v>1er janvier 2027</v>
      </c>
      <c r="L11883" s="25"/>
      <c r="M11883" s="25"/>
      <c r="N11883" s="25"/>
      <c r="O11883" s="25"/>
    </row>
    <row r="11884" customFormat="false" ht="15" hidden="false" customHeight="false" outlineLevel="0" collapsed="false">
      <c r="B11884" s="29" t="str">
        <f aca="false">Cab_CPVille</f>
        <v>95130 LE PLESSIS-BOUCHARD</v>
      </c>
      <c r="C11884" s="29"/>
      <c r="D11884" s="10"/>
      <c r="E11884" s="10"/>
      <c r="F11884" s="10"/>
      <c r="J11884" s="25" t="s">
        <v>146</v>
      </c>
      <c r="K11884" s="25" t="str">
        <f aca="false">IF(SUM($K$11908:$K$11911)=0,"",FIXED((SUM($L$11908:$L$11911)/SUM($K$11908:$K$11911)-1)*100,1)&amp;" %")</f>
        <v/>
      </c>
      <c r="L11884" s="25"/>
      <c r="M11884" s="25"/>
      <c r="N11884" s="25"/>
      <c r="O11884" s="25"/>
    </row>
    <row r="11885" customFormat="false" ht="15" hidden="false" customHeight="false" outlineLevel="0" collapsed="false">
      <c r="B11885" s="29" t="str">
        <f aca="false">Cab_Contact</f>
        <v>Tél. 01 34 14 53 45  ·  altho@altho-experts.com  ·  altho-experts.com</v>
      </c>
      <c r="C11885" s="29"/>
      <c r="D11885" s="10"/>
      <c r="E11885" s="10"/>
      <c r="F11885" s="10"/>
      <c r="J11885" s="25"/>
      <c r="K11885" s="25"/>
      <c r="L11885" s="25"/>
      <c r="M11885" s="25"/>
      <c r="N11885" s="25"/>
      <c r="O11885" s="25"/>
    </row>
    <row r="11886" customFormat="false" ht="6" hidden="false" customHeight="true" outlineLevel="0" collapsed="false">
      <c r="B11886" s="32"/>
      <c r="C11886" s="32"/>
      <c r="D11886" s="32"/>
      <c r="E11886" s="32"/>
      <c r="F11886" s="32"/>
      <c r="J11886" s="25"/>
      <c r="K11886" s="25"/>
      <c r="L11886" s="25"/>
      <c r="M11886" s="25"/>
      <c r="N11886" s="25"/>
      <c r="O11886" s="25"/>
    </row>
    <row r="11887" customFormat="false" ht="13.5" hidden="false" customHeight="true" outlineLevel="0" collapsed="false">
      <c r="B11887" s="10"/>
      <c r="C11887" s="10"/>
      <c r="D11887" s="10"/>
      <c r="E11887" s="10"/>
      <c r="F11887" s="10"/>
      <c r="J11887" s="25"/>
      <c r="K11887" s="25"/>
      <c r="L11887" s="25"/>
      <c r="M11887" s="25"/>
      <c r="N11887" s="25"/>
      <c r="O11887" s="25"/>
    </row>
    <row r="11888" customFormat="false" ht="13.5" hidden="false" customHeight="true" outlineLevel="0" collapsed="false">
      <c r="B11888" s="10"/>
      <c r="C11888" s="10"/>
      <c r="D11888" s="10"/>
      <c r="E11888" s="10"/>
      <c r="F11888" s="10"/>
      <c r="J11888" s="25"/>
      <c r="K11888" s="25"/>
      <c r="L11888" s="25"/>
      <c r="M11888" s="25"/>
      <c r="N11888" s="25"/>
      <c r="O11888" s="25"/>
    </row>
    <row r="11889" customFormat="false" ht="13.5" hidden="false" customHeight="true" outlineLevel="0" collapsed="false">
      <c r="B11889" s="10"/>
      <c r="C11889" s="10"/>
      <c r="D11889" s="10"/>
      <c r="E11889" s="10"/>
      <c r="F11889" s="10"/>
      <c r="J11889" s="25"/>
      <c r="K11889" s="25"/>
      <c r="L11889" s="25"/>
      <c r="M11889" s="25"/>
      <c r="N11889" s="25"/>
      <c r="O11889" s="25"/>
    </row>
    <row r="11890" customFormat="false" ht="15" hidden="false" customHeight="true" outlineLevel="0" collapsed="false">
      <c r="B11890" s="10"/>
      <c r="C11890" s="10"/>
      <c r="D11890" s="34" t="str">
        <f aca="false">IF($K$11881=0,"",INDEX(Clients!$E$2:$E$501,$K$11881)&amp;"")</f>
        <v/>
      </c>
      <c r="E11890" s="34"/>
      <c r="F11890" s="34"/>
      <c r="J11890" s="25"/>
      <c r="K11890" s="25"/>
      <c r="L11890" s="25"/>
      <c r="M11890" s="25"/>
      <c r="N11890" s="25"/>
      <c r="O11890" s="25"/>
    </row>
    <row r="11891" customFormat="false" ht="15" hidden="false" customHeight="true" outlineLevel="0" collapsed="false">
      <c r="B11891" s="10"/>
      <c r="C11891" s="10"/>
      <c r="D11891" s="35" t="str">
        <f aca="false">IF(IF($K$11881=0,"",INDEX(Clients!$D$2:$D$501,$K$11881)&amp;"")="","","À l'attention de "&amp;TRIM(IF($K$11881=0,"",INDEX(Clients!$B$2:$B$501,$K$11881)&amp;"")&amp;" "&amp;IF($K$11881=0,"",INDEX(Clients!$C$2:$C$501,$K$11881)&amp;"")&amp;" "&amp;IF($K$11881=0,"",INDEX(Clients!$D$2:$D$501,$K$11881)&amp;"")))</f>
        <v/>
      </c>
      <c r="E11891" s="35"/>
      <c r="F11891" s="35"/>
      <c r="J11891" s="25"/>
      <c r="K11891" s="25"/>
      <c r="L11891" s="25"/>
      <c r="M11891" s="25"/>
      <c r="N11891" s="25"/>
      <c r="O11891" s="25"/>
    </row>
    <row r="11892" customFormat="false" ht="15" hidden="false" customHeight="true" outlineLevel="0" collapsed="false">
      <c r="B11892" s="10"/>
      <c r="C11892" s="10"/>
      <c r="D11892" s="35" t="str">
        <f aca="false">IF($K$11881=0,"",INDEX(Clients!$F$2:$F$501,$K$11881)&amp;"")</f>
        <v/>
      </c>
      <c r="E11892" s="35"/>
      <c r="F11892" s="35"/>
      <c r="J11892" s="25"/>
      <c r="K11892" s="25"/>
      <c r="L11892" s="25"/>
      <c r="M11892" s="25"/>
      <c r="N11892" s="25"/>
      <c r="O11892" s="25"/>
    </row>
    <row r="11893" customFormat="false" ht="15" hidden="false" customHeight="true" outlineLevel="0" collapsed="false">
      <c r="B11893" s="10"/>
      <c r="C11893" s="10"/>
      <c r="D11893" s="35" t="str">
        <f aca="false">IF(IF($K$11881=0,"",INDEX(Clients!$G$2:$G$501,$K$11881)&amp;"")="",TRIM(IF($K$11881=0,"",INDEX(Clients!$H$2:$H$501,$K$11881)&amp;"")&amp;" "&amp;UPPER(IF($K$11881=0,"",INDEX(Clients!$I$2:$I$501,$K$11881)&amp;""))),IF($K$11881=0,"",INDEX(Clients!$G$2:$G$501,$K$11881)&amp;""))</f>
        <v/>
      </c>
      <c r="E11893" s="35"/>
      <c r="F11893" s="35"/>
      <c r="J11893" s="25"/>
      <c r="K11893" s="25"/>
      <c r="L11893" s="25"/>
      <c r="M11893" s="25"/>
      <c r="N11893" s="25"/>
      <c r="O11893" s="25"/>
    </row>
    <row r="11894" customFormat="false" ht="15" hidden="false" customHeight="true" outlineLevel="0" collapsed="false">
      <c r="B11894" s="10"/>
      <c r="C11894" s="10"/>
      <c r="D11894" s="35" t="str">
        <f aca="false">IF(IF($K$11881=0,"",INDEX(Clients!$G$2:$G$501,$K$11881)&amp;"")="","",TRIM(IF($K$11881=0,"",INDEX(Clients!$H$2:$H$501,$K$11881)&amp;"")&amp;" "&amp;UPPER(IF($K$11881=0,"",INDEX(Clients!$I$2:$I$501,$K$11881)&amp;""))))</f>
        <v/>
      </c>
      <c r="E11894" s="35"/>
      <c r="F11894" s="35"/>
      <c r="J11894" s="25"/>
      <c r="K11894" s="25"/>
      <c r="L11894" s="25"/>
      <c r="M11894" s="25"/>
      <c r="N11894" s="25"/>
      <c r="O11894" s="25"/>
    </row>
    <row r="11895" customFormat="false" ht="25.5" hidden="false" customHeight="true" outlineLevel="0" collapsed="false">
      <c r="B11895" s="10"/>
      <c r="C11895" s="10"/>
      <c r="D11895" s="10"/>
      <c r="E11895" s="10"/>
      <c r="F11895" s="10"/>
      <c r="J11895" s="25"/>
      <c r="K11895" s="25"/>
      <c r="L11895" s="25"/>
      <c r="M11895" s="25"/>
      <c r="N11895" s="25"/>
      <c r="O11895" s="25"/>
    </row>
    <row r="11896" customFormat="false" ht="15" hidden="false" customHeight="false" outlineLevel="0" collapsed="false">
      <c r="B11896" s="10"/>
      <c r="C11896" s="10"/>
      <c r="D11896" s="36" t="str">
        <f aca="false">Cab_Ville&amp;", le "&amp;DAY(Date_Courrier)&amp;IF(DAY(Date_Courrier)=1,"er","")&amp;" "&amp;INDEX(Liste_Mois,MONTH(Date_Courrier))&amp;" "&amp;YEAR(Date_Courrier)</f>
        <v>Le Plessis-Bouchard, le 22 septembre 2026</v>
      </c>
      <c r="E11896" s="36"/>
      <c r="F11896" s="36"/>
      <c r="J11896" s="25"/>
      <c r="K11896" s="25"/>
      <c r="L11896" s="25"/>
      <c r="M11896" s="25"/>
      <c r="N11896" s="25"/>
      <c r="O11896" s="25"/>
    </row>
    <row r="11897" customFormat="false" ht="19.5" hidden="false" customHeight="true" outlineLevel="0" collapsed="false">
      <c r="B11897" s="10"/>
      <c r="C11897" s="10"/>
      <c r="D11897" s="10"/>
      <c r="E11897" s="10"/>
      <c r="F11897" s="10"/>
      <c r="J11897" s="25"/>
      <c r="K11897" s="25"/>
      <c r="L11897" s="25"/>
      <c r="M11897" s="25"/>
      <c r="N11897" s="25"/>
      <c r="O11897" s="25"/>
    </row>
    <row r="11898" customFormat="false" ht="15" hidden="false" customHeight="false" outlineLevel="0" collapsed="false">
      <c r="B11898" s="34" t="str">
        <f aca="false">SUBSTITUTE(SUBSTITUTE(SUBSTITUTE(SUBSTITUTE(SUBSTITUTE(Txt_Objet,"{cabinet}",Cab_Nom),"{societe}",IF($K$11881=0,"",INDEX(Clients!$E$2:$E$501,$K$11881)&amp;"")),"{date_effet}",$K$11883),"{hausse}",$K$11884),"{civilite}",$K$11882)</f>
        <v>Objet : révision de nos honoraires au 1er janvier 2027</v>
      </c>
      <c r="C11898" s="34"/>
      <c r="D11898" s="34"/>
      <c r="E11898" s="34"/>
      <c r="F11898" s="34"/>
      <c r="J11898" s="25"/>
      <c r="K11898" s="25"/>
      <c r="L11898" s="25"/>
      <c r="M11898" s="25"/>
      <c r="N11898" s="25"/>
      <c r="O11898" s="25"/>
    </row>
    <row r="11899" customFormat="false" ht="13.5" hidden="false" customHeight="true" outlineLevel="0" collapsed="false">
      <c r="B11899" s="10"/>
      <c r="C11899" s="10"/>
      <c r="D11899" s="10"/>
      <c r="E11899" s="10"/>
      <c r="F11899" s="10"/>
      <c r="J11899" s="25"/>
      <c r="K11899" s="25"/>
      <c r="L11899" s="25"/>
      <c r="M11899" s="25"/>
      <c r="N11899" s="25"/>
      <c r="O11899" s="25"/>
    </row>
    <row r="11900" customFormat="false" ht="15" hidden="false" customHeight="false" outlineLevel="0" collapsed="false">
      <c r="B11900" s="10" t="str">
        <f aca="false">$K$11882&amp;","</f>
        <v>Madame, Monsieur,</v>
      </c>
      <c r="C11900" s="10"/>
      <c r="D11900" s="10"/>
      <c r="E11900" s="10"/>
      <c r="F11900" s="10"/>
      <c r="J11900" s="25"/>
      <c r="K11900" s="25"/>
      <c r="L11900" s="25"/>
      <c r="M11900" s="25"/>
      <c r="N11900" s="25"/>
      <c r="O11900" s="25"/>
    </row>
    <row r="11901" customFormat="false" ht="6" hidden="false" customHeight="true" outlineLevel="0" collapsed="false">
      <c r="B11901" s="10"/>
      <c r="C11901" s="10"/>
      <c r="D11901" s="10"/>
      <c r="E11901" s="10"/>
      <c r="F11901" s="10"/>
      <c r="J11901" s="25"/>
      <c r="K11901" s="25"/>
      <c r="L11901" s="25"/>
      <c r="M11901" s="25"/>
      <c r="N11901" s="25"/>
      <c r="O11901" s="25"/>
    </row>
    <row r="11902" customFormat="false" ht="36.75" hidden="false" customHeight="true" outlineLevel="0" collapsed="false">
      <c r="B11902" s="37" t="str">
        <f aca="false">SUBSTITUTE(SUBSTITUTE(SUBSTITUTE(SUBSTITUTE(SUBSTITUTE(Txt_P1,"{cabinet}",Cab_Nom),"{societe}",IF($K$11881=0,"",INDEX(Clients!$E$2:$E$501,$K$11881)&amp;"")),"{date_effet}",$K$11883),"{hausse}",$K$11884),"{civilite}",$K$11882)</f>
        <v>Nous tenons tout d'abord à vous remercier pour la confiance que vous accordez à ALTHO EXPERTISE. Comme chaque année, et conformément aux dispositions de votre lettre de mission, nous procédons à la révision de nos honoraires.</v>
      </c>
      <c r="C11902" s="37"/>
      <c r="D11902" s="37"/>
      <c r="E11902" s="37"/>
      <c r="F11902" s="37"/>
      <c r="J11902" s="25"/>
      <c r="K11902" s="25"/>
      <c r="L11902" s="25"/>
      <c r="M11902" s="25"/>
      <c r="N11902" s="25"/>
      <c r="O11902" s="25"/>
    </row>
    <row r="11903" customFormat="false" ht="49.5" hidden="false" customHeight="true" outlineLevel="0" collapsed="false">
      <c r="B11903" s="37" t="str">
        <f aca="false">SUBSTITUTE(SUBSTITUTE(SUBSTITUTE(SUBSTITUTE(SUBSTITUTE(Txt_P2,"{cabinet}",Cab_Nom),"{societe}",IF($K$11881=0,"",INDEX(Clients!$E$2:$E$501,$K$11881)&amp;"")),"{date_effet}",$K$11883),"{hausse}",$K$11884),"{civilite}",$K$11882)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903" s="37"/>
      <c r="D11903" s="37"/>
      <c r="E11903" s="37"/>
      <c r="F11903" s="37"/>
      <c r="J11903" s="25"/>
      <c r="K11903" s="25"/>
      <c r="L11903" s="25"/>
      <c r="M11903" s="25"/>
      <c r="N11903" s="25"/>
      <c r="O11903" s="25"/>
    </row>
    <row r="11904" customFormat="false" ht="63" hidden="false" customHeight="true" outlineLevel="0" collapsed="false">
      <c r="B11904" s="37" t="str">
        <f aca="false">SUBSTITUTE(SUBSTITUTE(SUBSTITUTE(SUBSTITUTE(SUBSTITUTE(Txt_P3,"{cabinet}",Cab_Nom),"{societe}",IF($K$11881=0,"",INDEX(Clients!$E$2:$E$501,$K$11881)&amp;"")),"{date_effet}",$K$11883),"{hausse}",$K$11884),"{civilite}",$K$11882)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904" s="37"/>
      <c r="D11904" s="37"/>
      <c r="E11904" s="37"/>
      <c r="F11904" s="37"/>
      <c r="J11904" s="25"/>
      <c r="K11904" s="25"/>
      <c r="L11904" s="25"/>
      <c r="M11904" s="25"/>
      <c r="N11904" s="25"/>
      <c r="O11904" s="25"/>
    </row>
    <row r="11905" customFormat="false" ht="24" hidden="false" customHeight="true" outlineLevel="0" collapsed="false">
      <c r="B11905" s="37" t="str">
        <f aca="false">SUBSTITUTE(SUBSTITUTE(SUBSTITUTE(SUBSTITUTE(SUBSTITUTE(Txt_P4,"{cabinet}",Cab_Nom),"{societe}",IF($K$11881=0,"",INDEX(Clients!$E$2:$E$501,$K$11881)&amp;"")),"{date_effet}",$K$11883),"{hausse}",$K$11884),"{civilite}",$K$11882)</f>
        <v>À compter du 1er janvier 2027, vos honoraires annuels hors taxes évolueront ainsi (évolution globale : ) :</v>
      </c>
      <c r="C11905" s="37"/>
      <c r="D11905" s="37"/>
      <c r="E11905" s="37"/>
      <c r="F11905" s="37"/>
      <c r="J11905" s="25"/>
      <c r="K11905" s="25"/>
      <c r="L11905" s="25"/>
      <c r="M11905" s="25"/>
      <c r="N11905" s="25"/>
      <c r="O11905" s="25"/>
    </row>
    <row r="11906" customFormat="false" ht="3.75" hidden="false" customHeight="true" outlineLevel="0" collapsed="false">
      <c r="B11906" s="10"/>
      <c r="C11906" s="10"/>
      <c r="D11906" s="10"/>
      <c r="E11906" s="10"/>
      <c r="F11906" s="10"/>
      <c r="J11906" s="25"/>
      <c r="K11906" s="25"/>
      <c r="L11906" s="25"/>
      <c r="M11906" s="25"/>
      <c r="N11906" s="25"/>
      <c r="O11906" s="25"/>
    </row>
    <row r="11907" customFormat="false" ht="18" hidden="false" customHeight="true" outlineLevel="0" collapsed="false">
      <c r="B11907" s="38" t="s">
        <v>148</v>
      </c>
      <c r="C11907" s="39" t="s">
        <v>149</v>
      </c>
      <c r="D11907" s="39" t="s">
        <v>150</v>
      </c>
      <c r="E11907" s="39" t="s">
        <v>151</v>
      </c>
      <c r="F11907" s="39" t="s">
        <v>109</v>
      </c>
      <c r="J11907" s="25" t="s">
        <v>152</v>
      </c>
      <c r="K11907" s="25" t="s">
        <v>153</v>
      </c>
      <c r="L11907" s="25" t="s">
        <v>154</v>
      </c>
      <c r="M11907" s="25" t="s">
        <v>155</v>
      </c>
      <c r="N11907" s="25" t="s">
        <v>156</v>
      </c>
      <c r="O11907" s="25" t="s">
        <v>157</v>
      </c>
    </row>
    <row r="11908" customFormat="false" ht="16.5" hidden="false" customHeight="true" outlineLevel="0" collapsed="false">
      <c r="B11908" s="40" t="str">
        <f aca="false">IFERROR(INDEX($J$11908:$J$11911,MATCH($O11908,$N$11908:$N$11911,0)),"")</f>
        <v/>
      </c>
      <c r="C11908" s="41" t="str">
        <f aca="false">IFERROR(INDEX($K$11908:$K$11911,MATCH($O11908,$N$11908:$N$11911,0)),"")</f>
        <v/>
      </c>
      <c r="D11908" s="42" t="str">
        <f aca="false">IF(OR(E11908="",N(C11908)=0),"",E11908/C11908-1)</f>
        <v/>
      </c>
      <c r="E11908" s="41" t="str">
        <f aca="false">IFERROR(INDEX($L$11908:$L$11911,MATCH($O11908,$N$11908:$N$11911,0)),"")</f>
        <v/>
      </c>
      <c r="F11908" s="41" t="str">
        <f aca="false">IF(E11908="","",E11908-C11908)</f>
        <v/>
      </c>
      <c r="J11908" s="25" t="str">
        <f aca="false">Lib_Compta</f>
        <v>Mission comptable (tenue, révision, bilan, liasse fiscale)</v>
      </c>
      <c r="K11908" s="25" t="n">
        <f aca="false">IF($K$11881=0,0,N(INDEX(Clients!$K$2:$K$501,$K$11881)))</f>
        <v>0</v>
      </c>
      <c r="L11908" s="25" t="n">
        <f aca="false">IF($K$11881=0,0,N(INDEX(Clients!$P$2:$P$501,$K$11881)))</f>
        <v>0</v>
      </c>
      <c r="M11908" s="25" t="n">
        <f aca="false">IF(OR(K11908&lt;&gt;0,L11908&lt;&gt;0),1,0)</f>
        <v>0</v>
      </c>
      <c r="N11908" s="25" t="str">
        <f aca="false">IF(M11908=1,SUM($M$11908:M11908),"")</f>
        <v/>
      </c>
      <c r="O11908" s="25" t="n">
        <v>1</v>
      </c>
    </row>
    <row r="11909" customFormat="false" ht="16.5" hidden="false" customHeight="true" outlineLevel="0" collapsed="false">
      <c r="B11909" s="40" t="str">
        <f aca="false">IFERROR(INDEX($J$11908:$J$11911,MATCH($O11909,$N$11908:$N$11911,0)),"")</f>
        <v/>
      </c>
      <c r="C11909" s="41" t="str">
        <f aca="false">IFERROR(INDEX($K$11908:$K$11911,MATCH($O11909,$N$11908:$N$11911,0)),"")</f>
        <v/>
      </c>
      <c r="D11909" s="42" t="str">
        <f aca="false">IF(OR(E11909="",N(C11909)=0),"",E11909/C11909-1)</f>
        <v/>
      </c>
      <c r="E11909" s="41" t="str">
        <f aca="false">IFERROR(INDEX($L$11908:$L$11911,MATCH($O11909,$N$11908:$N$11911,0)),"")</f>
        <v/>
      </c>
      <c r="F11909" s="41" t="str">
        <f aca="false">IF(E11909="","",E11909-C11909)</f>
        <v/>
      </c>
      <c r="J11909" s="25" t="str">
        <f aca="false">Lib_Paye</f>
        <v>Mission sociale (bulletins de paie, DSN, déclarations sociales)</v>
      </c>
      <c r="K11909" s="25" t="n">
        <f aca="false">IF($K$11881=0,0,N(INDEX(Clients!$L$2:$L$501,$K$11881)))</f>
        <v>0</v>
      </c>
      <c r="L11909" s="25" t="n">
        <f aca="false">IF($K$11881=0,0,N(INDEX(Clients!$Q$2:$Q$501,$K$11881)))</f>
        <v>0</v>
      </c>
      <c r="M11909" s="25" t="n">
        <f aca="false">IF(OR(K11909&lt;&gt;0,L11909&lt;&gt;0),1,0)</f>
        <v>0</v>
      </c>
      <c r="N11909" s="25" t="str">
        <f aca="false">IF(M11909=1,SUM($M$11908:M11909),"")</f>
        <v/>
      </c>
      <c r="O11909" s="25" t="n">
        <v>2</v>
      </c>
    </row>
    <row r="11910" customFormat="false" ht="16.5" hidden="false" customHeight="true" outlineLevel="0" collapsed="false">
      <c r="B11910" s="40" t="str">
        <f aca="false">IFERROR(INDEX($J$11908:$J$11911,MATCH($O11910,$N$11908:$N$11911,0)),"")</f>
        <v/>
      </c>
      <c r="C11910" s="41" t="str">
        <f aca="false">IFERROR(INDEX($K$11908:$K$11911,MATCH($O11910,$N$11908:$N$11911,0)),"")</f>
        <v/>
      </c>
      <c r="D11910" s="42" t="str">
        <f aca="false">IF(OR(E11910="",N(C11910)=0),"",E11910/C11910-1)</f>
        <v/>
      </c>
      <c r="E11910" s="41" t="str">
        <f aca="false">IFERROR(INDEX($L$11908:$L$11911,MATCH($O11910,$N$11908:$N$11911,0)),"")</f>
        <v/>
      </c>
      <c r="F11910" s="41" t="str">
        <f aca="false">IF(E11910="","",E11910-C11910)</f>
        <v/>
      </c>
      <c r="J11910" s="25" t="str">
        <f aca="false">Lib_Jur</f>
        <v>Mission juridique (approbation des comptes, secrétariat juridique)</v>
      </c>
      <c r="K11910" s="25" t="n">
        <f aca="false">IF($K$11881=0,0,N(INDEX(Clients!$M$2:$M$501,$K$11881)))</f>
        <v>0</v>
      </c>
      <c r="L11910" s="25" t="n">
        <f aca="false">IF($K$11881=0,0,N(INDEX(Clients!$R$2:$R$501,$K$11881)))</f>
        <v>0</v>
      </c>
      <c r="M11910" s="25" t="n">
        <f aca="false">IF(OR(K11910&lt;&gt;0,L11910&lt;&gt;0),1,0)</f>
        <v>0</v>
      </c>
      <c r="N11910" s="25" t="str">
        <f aca="false">IF(M11910=1,SUM($M$11908:M11910),"")</f>
        <v/>
      </c>
      <c r="O11910" s="25" t="n">
        <v>3</v>
      </c>
    </row>
    <row r="11911" customFormat="false" ht="16.5" hidden="false" customHeight="true" outlineLevel="0" collapsed="false">
      <c r="B11911" s="40" t="str">
        <f aca="false">IFERROR(INDEX($J$11908:$J$11911,MATCH($O11911,$N$11908:$N$11911,0)),"")</f>
        <v/>
      </c>
      <c r="C11911" s="41" t="str">
        <f aca="false">IFERROR(INDEX($K$11908:$K$11911,MATCH($O11911,$N$11908:$N$11911,0)),"")</f>
        <v/>
      </c>
      <c r="D11911" s="42" t="str">
        <f aca="false">IF(OR(E11911="",N(C11911)=0),"",E11911/C11911-1)</f>
        <v/>
      </c>
      <c r="E11911" s="41" t="str">
        <f aca="false">IFERROR(INDEX($L$11908:$L$11911,MATCH($O11911,$N$11908:$N$11911,0)),"")</f>
        <v/>
      </c>
      <c r="F11911" s="41" t="str">
        <f aca="false">IF(E11911="","",E11911-C11911)</f>
        <v/>
      </c>
      <c r="J11911" s="25" t="str">
        <f aca="false">Lib_PA</f>
        <v>Plateforme agréée – facturation électronique</v>
      </c>
      <c r="K11911" s="25" t="n">
        <f aca="false">IF($K$11881=0,0,N(INDEX(Clients!$N$2:$N$501,$K$11881)))</f>
        <v>0</v>
      </c>
      <c r="L11911" s="25" t="n">
        <f aca="false">IF($K$11881=0,0,N(INDEX(Clients!$S$2:$S$501,$K$11881)))</f>
        <v>0</v>
      </c>
      <c r="M11911" s="25" t="n">
        <f aca="false">IF(OR(K11911&lt;&gt;0,L11911&lt;&gt;0),1,0)</f>
        <v>0</v>
      </c>
      <c r="N11911" s="25" t="str">
        <f aca="false">IF(M11911=1,SUM($M$11908:M11911),"")</f>
        <v/>
      </c>
      <c r="O11911" s="25" t="n">
        <v>4</v>
      </c>
    </row>
    <row r="11912" customFormat="false" ht="18" hidden="false" customHeight="true" outlineLevel="0" collapsed="false">
      <c r="B11912" s="43" t="s">
        <v>158</v>
      </c>
      <c r="C11912" s="44" t="n">
        <f aca="false">SUM(K11908:K11911)</f>
        <v>0</v>
      </c>
      <c r="D11912" s="45" t="str">
        <f aca="false">IF(N(C11912)=0,"",E11912/C11912-1)</f>
        <v/>
      </c>
      <c r="E11912" s="44" t="n">
        <f aca="false">SUM(L11908:L11911)</f>
        <v>0</v>
      </c>
      <c r="F11912" s="44" t="n">
        <f aca="false">E11912-C11912</f>
        <v>0</v>
      </c>
    </row>
    <row r="11913" customFormat="false" ht="15" hidden="false" customHeight="false" outlineLevel="0" collapsed="false">
      <c r="B11913" s="46" t="str">
        <f aca="false">IF(N(Nb_Mensualites)=0,"","Soit "&amp;FIXED(E11912/Nb_Mensualites,2)&amp;" € HT par échéance ("&amp;Nb_Mensualites&amp;" échéances), "&amp;FIXED(E11912/Nb_Mensualites*(1+Taux_TVA),2)&amp;" € TTC.")</f>
        <v>Soit 0.00 € HT par échéance (12 échéances), 0.00 € TTC.</v>
      </c>
      <c r="C11913" s="46"/>
      <c r="D11913" s="46"/>
      <c r="E11913" s="46"/>
      <c r="F11913" s="46"/>
    </row>
    <row r="11914" customFormat="false" ht="7.5" hidden="false" customHeight="true" outlineLevel="0" collapsed="false">
      <c r="B11914" s="10"/>
      <c r="C11914" s="10"/>
      <c r="D11914" s="10"/>
      <c r="E11914" s="10"/>
      <c r="F11914" s="10"/>
    </row>
    <row r="11915" customFormat="false" ht="36.75" hidden="false" customHeight="true" outlineLevel="0" collapsed="false">
      <c r="B11915" s="37" t="str">
        <f aca="false">SUBSTITUTE(SUBSTITUTE(SUBSTITUTE(SUBSTITUTE(SUBSTITUTE(Txt_P5,"{cabinet}",Cab_Nom),"{societe}",IF($K$11881=0,"",INDEX(Clients!$E$2:$E$501,$K$11881)&amp;"")),"{date_effet}",$K$11883),"{hausse}",$K$11884),"{civilite}",$K$11882)</f>
        <v>Les autres conditions de votre lettre de mission demeurent inchangées. Les nouveaux montants seront appliqués automatiquement sur vos prochaines factures et échéances de prélèvement.</v>
      </c>
      <c r="C11915" s="37"/>
      <c r="D11915" s="37"/>
      <c r="E11915" s="37"/>
      <c r="F11915" s="37"/>
    </row>
    <row r="11916" customFormat="false" ht="36.75" hidden="false" customHeight="true" outlineLevel="0" collapsed="false">
      <c r="B11916" s="37" t="str">
        <f aca="false">SUBSTITUTE(SUBSTITUTE(SUBSTITUTE(SUBSTITUTE(SUBSTITUTE(Txt_P6,"{cabinet}",Cab_Nom),"{societe}",IF($K$11881=0,"",INDEX(Clients!$E$2:$E$501,$K$11881)&amp;"")),"{date_effet}",$K$11883),"{hausse}",$K$11884),"{civilite}",$K$11882)</f>
        <v>Votre interlocuteur habituel reste à votre entière disposition pour répondre à vos questions et faire le point sur l'évolution de vos besoins.</v>
      </c>
      <c r="C11916" s="37"/>
      <c r="D11916" s="37"/>
      <c r="E11916" s="37"/>
      <c r="F11916" s="37"/>
    </row>
    <row r="11917" customFormat="false" ht="24" hidden="false" customHeight="true" outlineLevel="0" collapsed="false">
      <c r="B11917" s="37" t="str">
        <f aca="false">SUBSTITUTE(SUBSTITUTE(SUBSTITUTE(SUBSTITUTE(SUBSTITUTE(Txt_Politesse,"{cabinet}",Cab_Nom),"{societe}",IF($K$11881=0,"",INDEX(Clients!$E$2:$E$501,$K$11881)&amp;"")),"{date_effet}",$K$11883),"{hausse}",$K$11884),"{civilite}",$K$11882)</f>
        <v>Nous vous prions d'agréer, Madame, Monsieur, l'expression de nos salutations distinguées.</v>
      </c>
      <c r="C11917" s="37"/>
      <c r="D11917" s="37"/>
      <c r="E11917" s="37"/>
      <c r="F11917" s="37"/>
    </row>
    <row r="11918" customFormat="false" ht="15" hidden="false" customHeight="false" outlineLevel="0" collapsed="false">
      <c r="B11918" s="10"/>
      <c r="C11918" s="10"/>
      <c r="D11918" s="10"/>
      <c r="E11918" s="10"/>
      <c r="F11918" s="10"/>
    </row>
    <row r="11919" customFormat="false" ht="15" hidden="false" customHeight="false" outlineLevel="0" collapsed="false">
      <c r="B11919" s="10"/>
      <c r="C11919" s="10"/>
      <c r="D11919" s="34" t="str">
        <f aca="false">Signataire</f>
        <v>Prénom NOM</v>
      </c>
      <c r="E11919" s="34"/>
      <c r="F11919" s="34"/>
    </row>
    <row r="11920" customFormat="false" ht="15" hidden="false" customHeight="false" outlineLevel="0" collapsed="false">
      <c r="B11920" s="10"/>
      <c r="C11920" s="10"/>
      <c r="D11920" s="47" t="str">
        <f aca="false">Signataire_Titre</f>
        <v>Expert-comptable associé</v>
      </c>
      <c r="E11920" s="47"/>
      <c r="F11920" s="47"/>
    </row>
    <row r="11921" customFormat="false" ht="15.75" hidden="false" customHeight="true" outlineLevel="0" collapsed="false">
      <c r="B11921" s="10"/>
      <c r="C11921" s="10"/>
      <c r="D11921" s="10"/>
      <c r="E11921" s="10"/>
      <c r="F11921" s="10"/>
    </row>
    <row r="11922" customFormat="false" ht="15.75" hidden="false" customHeight="true" outlineLevel="0" collapsed="false">
      <c r="B11922" s="10"/>
      <c r="C11922" s="10"/>
      <c r="D11922" s="10"/>
      <c r="E11922" s="10"/>
      <c r="F11922" s="10"/>
    </row>
    <row r="11923" customFormat="false" ht="15.75" hidden="false" customHeight="true" outlineLevel="0" collapsed="false">
      <c r="B11923" s="10"/>
      <c r="C11923" s="10"/>
      <c r="D11923" s="10"/>
      <c r="E11923" s="10"/>
      <c r="F11923" s="10"/>
    </row>
    <row r="11924" customFormat="false" ht="15.75" hidden="false" customHeight="true" outlineLevel="0" collapsed="false">
      <c r="B11924" s="10"/>
      <c r="C11924" s="10"/>
      <c r="D11924" s="10"/>
      <c r="E11924" s="10"/>
      <c r="F11924" s="10"/>
    </row>
    <row r="11925" customFormat="false" ht="24" hidden="false" customHeight="true" outlineLevel="0" collapsed="false">
      <c r="B11925" s="48" t="str">
        <f aca="false">Cab_Mentions</f>
        <v>ALTHO EXPERTISE · SAS au capital de 10 000 € · RCS Pontoise 919 706 325 · TVA FR62919706325 · Société d'expertise comptable inscrite au Tableau de l'Ordre des experts-comptables de Paris Île-de-France</v>
      </c>
      <c r="C11925" s="48"/>
      <c r="D11925" s="48"/>
      <c r="E11925" s="48"/>
      <c r="F11925" s="48"/>
    </row>
    <row r="11926" customFormat="false" ht="15" hidden="false" customHeight="false" outlineLevel="0" collapsed="false">
      <c r="B11926" s="10"/>
      <c r="C11926" s="10"/>
      <c r="D11926" s="10"/>
      <c r="E11926" s="10"/>
      <c r="F11926" s="10"/>
      <c r="J11926" s="25" t="s">
        <v>142</v>
      </c>
      <c r="K11926" s="25" t="n">
        <f aca="false">IFERROR(MATCH(266,Clients!$Z$2:$Z$501,0),0)</f>
        <v>0</v>
      </c>
      <c r="L11926" s="25"/>
      <c r="M11926" s="25"/>
      <c r="N11926" s="25"/>
      <c r="O11926" s="25"/>
    </row>
    <row r="11927" customFormat="false" ht="21.75" hidden="false" customHeight="true" outlineLevel="0" collapsed="false">
      <c r="B11927" s="26" t="str">
        <f aca="false">Cab_Nom</f>
        <v>ALTHO EXPERTISE</v>
      </c>
      <c r="C11927" s="26"/>
      <c r="D11927" s="10"/>
      <c r="E11927" s="27" t="str">
        <f aca="false">IF($K$11926=0,"","Réf. client : "&amp;INDEX(Clients!$A$2:$A$501,$K$11926))</f>
        <v/>
      </c>
      <c r="F11927" s="27"/>
      <c r="J11927" s="25" t="s">
        <v>144</v>
      </c>
      <c r="K11927" s="25" t="str">
        <f aca="false">IF(IF($K$11926=0,"",INDEX(Clients!$B$2:$B$501,$K$11926)&amp;"")="Mme","Madame",IF(IF($K$11926=0,"",INDEX(Clients!$B$2:$B$501,$K$11926)&amp;"")="M.","Monsieur","Madame, Monsieur"))</f>
        <v>Madame, Monsieur</v>
      </c>
      <c r="L11927" s="25"/>
      <c r="M11927" s="25"/>
      <c r="N11927" s="25"/>
      <c r="O11927" s="25"/>
    </row>
    <row r="11928" customFormat="false" ht="15" hidden="false" customHeight="false" outlineLevel="0" collapsed="false">
      <c r="B11928" s="29" t="str">
        <f aca="false">Cab_Adr1</f>
        <v>141 rue Charles de Gaulle</v>
      </c>
      <c r="C11928" s="29"/>
      <c r="D11928" s="10"/>
      <c r="E11928" s="10"/>
      <c r="F11928" s="10"/>
      <c r="J11928" s="25" t="s">
        <v>145</v>
      </c>
      <c r="K11928" s="25" t="str">
        <f aca="false">DAY(Date_Effet)&amp;IF(DAY(Date_Effet)=1,"er","")&amp;" "&amp;INDEX(Liste_Mois,MONTH(Date_Effet))&amp;" "&amp;YEAR(Date_Effet)</f>
        <v>1er janvier 2027</v>
      </c>
      <c r="L11928" s="25"/>
      <c r="M11928" s="25"/>
      <c r="N11928" s="25"/>
      <c r="O11928" s="25"/>
    </row>
    <row r="11929" customFormat="false" ht="15" hidden="false" customHeight="false" outlineLevel="0" collapsed="false">
      <c r="B11929" s="29" t="str">
        <f aca="false">Cab_CPVille</f>
        <v>95130 LE PLESSIS-BOUCHARD</v>
      </c>
      <c r="C11929" s="29"/>
      <c r="D11929" s="10"/>
      <c r="E11929" s="10"/>
      <c r="F11929" s="10"/>
      <c r="J11929" s="25" t="s">
        <v>146</v>
      </c>
      <c r="K11929" s="25" t="str">
        <f aca="false">IF(SUM($K$11953:$K$11956)=0,"",FIXED((SUM($L$11953:$L$11956)/SUM($K$11953:$K$11956)-1)*100,1)&amp;" %")</f>
        <v/>
      </c>
      <c r="L11929" s="25"/>
      <c r="M11929" s="25"/>
      <c r="N11929" s="25"/>
      <c r="O11929" s="25"/>
    </row>
    <row r="11930" customFormat="false" ht="15" hidden="false" customHeight="false" outlineLevel="0" collapsed="false">
      <c r="B11930" s="29" t="str">
        <f aca="false">Cab_Contact</f>
        <v>Tél. 01 34 14 53 45  ·  altho@altho-experts.com  ·  altho-experts.com</v>
      </c>
      <c r="C11930" s="29"/>
      <c r="D11930" s="10"/>
      <c r="E11930" s="10"/>
      <c r="F11930" s="10"/>
      <c r="J11930" s="25"/>
      <c r="K11930" s="25"/>
      <c r="L11930" s="25"/>
      <c r="M11930" s="25"/>
      <c r="N11930" s="25"/>
      <c r="O11930" s="25"/>
    </row>
    <row r="11931" customFormat="false" ht="6" hidden="false" customHeight="true" outlineLevel="0" collapsed="false">
      <c r="B11931" s="32"/>
      <c r="C11931" s="32"/>
      <c r="D11931" s="32"/>
      <c r="E11931" s="32"/>
      <c r="F11931" s="32"/>
      <c r="J11931" s="25"/>
      <c r="K11931" s="25"/>
      <c r="L11931" s="25"/>
      <c r="M11931" s="25"/>
      <c r="N11931" s="25"/>
      <c r="O11931" s="25"/>
    </row>
    <row r="11932" customFormat="false" ht="13.5" hidden="false" customHeight="true" outlineLevel="0" collapsed="false">
      <c r="B11932" s="10"/>
      <c r="C11932" s="10"/>
      <c r="D11932" s="10"/>
      <c r="E11932" s="10"/>
      <c r="F11932" s="10"/>
      <c r="J11932" s="25"/>
      <c r="K11932" s="25"/>
      <c r="L11932" s="25"/>
      <c r="M11932" s="25"/>
      <c r="N11932" s="25"/>
      <c r="O11932" s="25"/>
    </row>
    <row r="11933" customFormat="false" ht="13.5" hidden="false" customHeight="true" outlineLevel="0" collapsed="false">
      <c r="B11933" s="10"/>
      <c r="C11933" s="10"/>
      <c r="D11933" s="10"/>
      <c r="E11933" s="10"/>
      <c r="F11933" s="10"/>
      <c r="J11933" s="25"/>
      <c r="K11933" s="25"/>
      <c r="L11933" s="25"/>
      <c r="M11933" s="25"/>
      <c r="N11933" s="25"/>
      <c r="O11933" s="25"/>
    </row>
    <row r="11934" customFormat="false" ht="13.5" hidden="false" customHeight="true" outlineLevel="0" collapsed="false">
      <c r="B11934" s="10"/>
      <c r="C11934" s="10"/>
      <c r="D11934" s="10"/>
      <c r="E11934" s="10"/>
      <c r="F11934" s="10"/>
      <c r="J11934" s="25"/>
      <c r="K11934" s="25"/>
      <c r="L11934" s="25"/>
      <c r="M11934" s="25"/>
      <c r="N11934" s="25"/>
      <c r="O11934" s="25"/>
    </row>
    <row r="11935" customFormat="false" ht="15" hidden="false" customHeight="true" outlineLevel="0" collapsed="false">
      <c r="B11935" s="10"/>
      <c r="C11935" s="10"/>
      <c r="D11935" s="34" t="str">
        <f aca="false">IF($K$11926=0,"",INDEX(Clients!$E$2:$E$501,$K$11926)&amp;"")</f>
        <v/>
      </c>
      <c r="E11935" s="34"/>
      <c r="F11935" s="34"/>
      <c r="J11935" s="25"/>
      <c r="K11935" s="25"/>
      <c r="L11935" s="25"/>
      <c r="M11935" s="25"/>
      <c r="N11935" s="25"/>
      <c r="O11935" s="25"/>
    </row>
    <row r="11936" customFormat="false" ht="15" hidden="false" customHeight="true" outlineLevel="0" collapsed="false">
      <c r="B11936" s="10"/>
      <c r="C11936" s="10"/>
      <c r="D11936" s="35" t="str">
        <f aca="false">IF(IF($K$11926=0,"",INDEX(Clients!$D$2:$D$501,$K$11926)&amp;"")="","","À l'attention de "&amp;TRIM(IF($K$11926=0,"",INDEX(Clients!$B$2:$B$501,$K$11926)&amp;"")&amp;" "&amp;IF($K$11926=0,"",INDEX(Clients!$C$2:$C$501,$K$11926)&amp;"")&amp;" "&amp;IF($K$11926=0,"",INDEX(Clients!$D$2:$D$501,$K$11926)&amp;"")))</f>
        <v/>
      </c>
      <c r="E11936" s="35"/>
      <c r="F11936" s="35"/>
      <c r="J11936" s="25"/>
      <c r="K11936" s="25"/>
      <c r="L11936" s="25"/>
      <c r="M11936" s="25"/>
      <c r="N11936" s="25"/>
      <c r="O11936" s="25"/>
    </row>
    <row r="11937" customFormat="false" ht="15" hidden="false" customHeight="true" outlineLevel="0" collapsed="false">
      <c r="B11937" s="10"/>
      <c r="C11937" s="10"/>
      <c r="D11937" s="35" t="str">
        <f aca="false">IF($K$11926=0,"",INDEX(Clients!$F$2:$F$501,$K$11926)&amp;"")</f>
        <v/>
      </c>
      <c r="E11937" s="35"/>
      <c r="F11937" s="35"/>
      <c r="J11937" s="25"/>
      <c r="K11937" s="25"/>
      <c r="L11937" s="25"/>
      <c r="M11937" s="25"/>
      <c r="N11937" s="25"/>
      <c r="O11937" s="25"/>
    </row>
    <row r="11938" customFormat="false" ht="15" hidden="false" customHeight="true" outlineLevel="0" collapsed="false">
      <c r="B11938" s="10"/>
      <c r="C11938" s="10"/>
      <c r="D11938" s="35" t="str">
        <f aca="false">IF(IF($K$11926=0,"",INDEX(Clients!$G$2:$G$501,$K$11926)&amp;"")="",TRIM(IF($K$11926=0,"",INDEX(Clients!$H$2:$H$501,$K$11926)&amp;"")&amp;" "&amp;UPPER(IF($K$11926=0,"",INDEX(Clients!$I$2:$I$501,$K$11926)&amp;""))),IF($K$11926=0,"",INDEX(Clients!$G$2:$G$501,$K$11926)&amp;""))</f>
        <v/>
      </c>
      <c r="E11938" s="35"/>
      <c r="F11938" s="35"/>
      <c r="J11938" s="25"/>
      <c r="K11938" s="25"/>
      <c r="L11938" s="25"/>
      <c r="M11938" s="25"/>
      <c r="N11938" s="25"/>
      <c r="O11938" s="25"/>
    </row>
    <row r="11939" customFormat="false" ht="15" hidden="false" customHeight="true" outlineLevel="0" collapsed="false">
      <c r="B11939" s="10"/>
      <c r="C11939" s="10"/>
      <c r="D11939" s="35" t="str">
        <f aca="false">IF(IF($K$11926=0,"",INDEX(Clients!$G$2:$G$501,$K$11926)&amp;"")="","",TRIM(IF($K$11926=0,"",INDEX(Clients!$H$2:$H$501,$K$11926)&amp;"")&amp;" "&amp;UPPER(IF($K$11926=0,"",INDEX(Clients!$I$2:$I$501,$K$11926)&amp;""))))</f>
        <v/>
      </c>
      <c r="E11939" s="35"/>
      <c r="F11939" s="35"/>
      <c r="J11939" s="25"/>
      <c r="K11939" s="25"/>
      <c r="L11939" s="25"/>
      <c r="M11939" s="25"/>
      <c r="N11939" s="25"/>
      <c r="O11939" s="25"/>
    </row>
    <row r="11940" customFormat="false" ht="25.5" hidden="false" customHeight="true" outlineLevel="0" collapsed="false">
      <c r="B11940" s="10"/>
      <c r="C11940" s="10"/>
      <c r="D11940" s="10"/>
      <c r="E11940" s="10"/>
      <c r="F11940" s="10"/>
      <c r="J11940" s="25"/>
      <c r="K11940" s="25"/>
      <c r="L11940" s="25"/>
      <c r="M11940" s="25"/>
      <c r="N11940" s="25"/>
      <c r="O11940" s="25"/>
    </row>
    <row r="11941" customFormat="false" ht="15" hidden="false" customHeight="false" outlineLevel="0" collapsed="false">
      <c r="B11941" s="10"/>
      <c r="C11941" s="10"/>
      <c r="D11941" s="36" t="str">
        <f aca="false">Cab_Ville&amp;", le "&amp;DAY(Date_Courrier)&amp;IF(DAY(Date_Courrier)=1,"er","")&amp;" "&amp;INDEX(Liste_Mois,MONTH(Date_Courrier))&amp;" "&amp;YEAR(Date_Courrier)</f>
        <v>Le Plessis-Bouchard, le 22 septembre 2026</v>
      </c>
      <c r="E11941" s="36"/>
      <c r="F11941" s="36"/>
      <c r="J11941" s="25"/>
      <c r="K11941" s="25"/>
      <c r="L11941" s="25"/>
      <c r="M11941" s="25"/>
      <c r="N11941" s="25"/>
      <c r="O11941" s="25"/>
    </row>
    <row r="11942" customFormat="false" ht="19.5" hidden="false" customHeight="true" outlineLevel="0" collapsed="false">
      <c r="B11942" s="10"/>
      <c r="C11942" s="10"/>
      <c r="D11942" s="10"/>
      <c r="E11942" s="10"/>
      <c r="F11942" s="10"/>
      <c r="J11942" s="25"/>
      <c r="K11942" s="25"/>
      <c r="L11942" s="25"/>
      <c r="M11942" s="25"/>
      <c r="N11942" s="25"/>
      <c r="O11942" s="25"/>
    </row>
    <row r="11943" customFormat="false" ht="15" hidden="false" customHeight="false" outlineLevel="0" collapsed="false">
      <c r="B11943" s="34" t="str">
        <f aca="false">SUBSTITUTE(SUBSTITUTE(SUBSTITUTE(SUBSTITUTE(SUBSTITUTE(Txt_Objet,"{cabinet}",Cab_Nom),"{societe}",IF($K$11926=0,"",INDEX(Clients!$E$2:$E$501,$K$11926)&amp;"")),"{date_effet}",$K$11928),"{hausse}",$K$11929),"{civilite}",$K$11927)</f>
        <v>Objet : révision de nos honoraires au 1er janvier 2027</v>
      </c>
      <c r="C11943" s="34"/>
      <c r="D11943" s="34"/>
      <c r="E11943" s="34"/>
      <c r="F11943" s="34"/>
      <c r="J11943" s="25"/>
      <c r="K11943" s="25"/>
      <c r="L11943" s="25"/>
      <c r="M11943" s="25"/>
      <c r="N11943" s="25"/>
      <c r="O11943" s="25"/>
    </row>
    <row r="11944" customFormat="false" ht="13.5" hidden="false" customHeight="true" outlineLevel="0" collapsed="false">
      <c r="B11944" s="10"/>
      <c r="C11944" s="10"/>
      <c r="D11944" s="10"/>
      <c r="E11944" s="10"/>
      <c r="F11944" s="10"/>
      <c r="J11944" s="25"/>
      <c r="K11944" s="25"/>
      <c r="L11944" s="25"/>
      <c r="M11944" s="25"/>
      <c r="N11944" s="25"/>
      <c r="O11944" s="25"/>
    </row>
    <row r="11945" customFormat="false" ht="15" hidden="false" customHeight="false" outlineLevel="0" collapsed="false">
      <c r="B11945" s="10" t="str">
        <f aca="false">$K$11927&amp;","</f>
        <v>Madame, Monsieur,</v>
      </c>
      <c r="C11945" s="10"/>
      <c r="D11945" s="10"/>
      <c r="E11945" s="10"/>
      <c r="F11945" s="10"/>
      <c r="J11945" s="25"/>
      <c r="K11945" s="25"/>
      <c r="L11945" s="25"/>
      <c r="M11945" s="25"/>
      <c r="N11945" s="25"/>
      <c r="O11945" s="25"/>
    </row>
    <row r="11946" customFormat="false" ht="6" hidden="false" customHeight="true" outlineLevel="0" collapsed="false">
      <c r="B11946" s="10"/>
      <c r="C11946" s="10"/>
      <c r="D11946" s="10"/>
      <c r="E11946" s="10"/>
      <c r="F11946" s="10"/>
      <c r="J11946" s="25"/>
      <c r="K11946" s="25"/>
      <c r="L11946" s="25"/>
      <c r="M11946" s="25"/>
      <c r="N11946" s="25"/>
      <c r="O11946" s="25"/>
    </row>
    <row r="11947" customFormat="false" ht="36.75" hidden="false" customHeight="true" outlineLevel="0" collapsed="false">
      <c r="B11947" s="37" t="str">
        <f aca="false">SUBSTITUTE(SUBSTITUTE(SUBSTITUTE(SUBSTITUTE(SUBSTITUTE(Txt_P1,"{cabinet}",Cab_Nom),"{societe}",IF($K$11926=0,"",INDEX(Clients!$E$2:$E$501,$K$11926)&amp;"")),"{date_effet}",$K$11928),"{hausse}",$K$11929),"{civilite}",$K$11927)</f>
        <v>Nous tenons tout d'abord à vous remercier pour la confiance que vous accordez à ALTHO EXPERTISE. Comme chaque année, et conformément aux dispositions de votre lettre de mission, nous procédons à la révision de nos honoraires.</v>
      </c>
      <c r="C11947" s="37"/>
      <c r="D11947" s="37"/>
      <c r="E11947" s="37"/>
      <c r="F11947" s="37"/>
      <c r="J11947" s="25"/>
      <c r="K11947" s="25"/>
      <c r="L11947" s="25"/>
      <c r="M11947" s="25"/>
      <c r="N11947" s="25"/>
      <c r="O11947" s="25"/>
    </row>
    <row r="11948" customFormat="false" ht="49.5" hidden="false" customHeight="true" outlineLevel="0" collapsed="false">
      <c r="B11948" s="37" t="str">
        <f aca="false">SUBSTITUTE(SUBSTITUTE(SUBSTITUTE(SUBSTITUTE(SUBSTITUTE(Txt_P2,"{cabinet}",Cab_Nom),"{societe}",IF($K$11926=0,"",INDEX(Clients!$E$2:$E$501,$K$11926)&amp;"")),"{date_effet}",$K$11928),"{hausse}",$K$11929),"{civilite}",$K$11927)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948" s="37"/>
      <c r="D11948" s="37"/>
      <c r="E11948" s="37"/>
      <c r="F11948" s="37"/>
      <c r="J11948" s="25"/>
      <c r="K11948" s="25"/>
      <c r="L11948" s="25"/>
      <c r="M11948" s="25"/>
      <c r="N11948" s="25"/>
      <c r="O11948" s="25"/>
    </row>
    <row r="11949" customFormat="false" ht="63" hidden="false" customHeight="true" outlineLevel="0" collapsed="false">
      <c r="B11949" s="37" t="str">
        <f aca="false">SUBSTITUTE(SUBSTITUTE(SUBSTITUTE(SUBSTITUTE(SUBSTITUTE(Txt_P3,"{cabinet}",Cab_Nom),"{societe}",IF($K$11926=0,"",INDEX(Clients!$E$2:$E$501,$K$11926)&amp;"")),"{date_effet}",$K$11928),"{hausse}",$K$11929),"{civilite}",$K$11927)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949" s="37"/>
      <c r="D11949" s="37"/>
      <c r="E11949" s="37"/>
      <c r="F11949" s="37"/>
      <c r="J11949" s="25"/>
      <c r="K11949" s="25"/>
      <c r="L11949" s="25"/>
      <c r="M11949" s="25"/>
      <c r="N11949" s="25"/>
      <c r="O11949" s="25"/>
    </row>
    <row r="11950" customFormat="false" ht="24" hidden="false" customHeight="true" outlineLevel="0" collapsed="false">
      <c r="B11950" s="37" t="str">
        <f aca="false">SUBSTITUTE(SUBSTITUTE(SUBSTITUTE(SUBSTITUTE(SUBSTITUTE(Txt_P4,"{cabinet}",Cab_Nom),"{societe}",IF($K$11926=0,"",INDEX(Clients!$E$2:$E$501,$K$11926)&amp;"")),"{date_effet}",$K$11928),"{hausse}",$K$11929),"{civilite}",$K$11927)</f>
        <v>À compter du 1er janvier 2027, vos honoraires annuels hors taxes évolueront ainsi (évolution globale : ) :</v>
      </c>
      <c r="C11950" s="37"/>
      <c r="D11950" s="37"/>
      <c r="E11950" s="37"/>
      <c r="F11950" s="37"/>
      <c r="J11950" s="25"/>
      <c r="K11950" s="25"/>
      <c r="L11950" s="25"/>
      <c r="M11950" s="25"/>
      <c r="N11950" s="25"/>
      <c r="O11950" s="25"/>
    </row>
    <row r="11951" customFormat="false" ht="3.75" hidden="false" customHeight="true" outlineLevel="0" collapsed="false">
      <c r="B11951" s="10"/>
      <c r="C11951" s="10"/>
      <c r="D11951" s="10"/>
      <c r="E11951" s="10"/>
      <c r="F11951" s="10"/>
      <c r="J11951" s="25"/>
      <c r="K11951" s="25"/>
      <c r="L11951" s="25"/>
      <c r="M11951" s="25"/>
      <c r="N11951" s="25"/>
      <c r="O11951" s="25"/>
    </row>
    <row r="11952" customFormat="false" ht="18" hidden="false" customHeight="true" outlineLevel="0" collapsed="false">
      <c r="B11952" s="38" t="s">
        <v>148</v>
      </c>
      <c r="C11952" s="39" t="s">
        <v>149</v>
      </c>
      <c r="D11952" s="39" t="s">
        <v>150</v>
      </c>
      <c r="E11952" s="39" t="s">
        <v>151</v>
      </c>
      <c r="F11952" s="39" t="s">
        <v>109</v>
      </c>
      <c r="J11952" s="25" t="s">
        <v>152</v>
      </c>
      <c r="K11952" s="25" t="s">
        <v>153</v>
      </c>
      <c r="L11952" s="25" t="s">
        <v>154</v>
      </c>
      <c r="M11952" s="25" t="s">
        <v>155</v>
      </c>
      <c r="N11952" s="25" t="s">
        <v>156</v>
      </c>
      <c r="O11952" s="25" t="s">
        <v>157</v>
      </c>
    </row>
    <row r="11953" customFormat="false" ht="16.5" hidden="false" customHeight="true" outlineLevel="0" collapsed="false">
      <c r="B11953" s="40" t="str">
        <f aca="false">IFERROR(INDEX($J$11953:$J$11956,MATCH($O11953,$N$11953:$N$11956,0)),"")</f>
        <v/>
      </c>
      <c r="C11953" s="41" t="str">
        <f aca="false">IFERROR(INDEX($K$11953:$K$11956,MATCH($O11953,$N$11953:$N$11956,0)),"")</f>
        <v/>
      </c>
      <c r="D11953" s="42" t="str">
        <f aca="false">IF(OR(E11953="",N(C11953)=0),"",E11953/C11953-1)</f>
        <v/>
      </c>
      <c r="E11953" s="41" t="str">
        <f aca="false">IFERROR(INDEX($L$11953:$L$11956,MATCH($O11953,$N$11953:$N$11956,0)),"")</f>
        <v/>
      </c>
      <c r="F11953" s="41" t="str">
        <f aca="false">IF(E11953="","",E11953-C11953)</f>
        <v/>
      </c>
      <c r="J11953" s="25" t="str">
        <f aca="false">Lib_Compta</f>
        <v>Mission comptable (tenue, révision, bilan, liasse fiscale)</v>
      </c>
      <c r="K11953" s="25" t="n">
        <f aca="false">IF($K$11926=0,0,N(INDEX(Clients!$K$2:$K$501,$K$11926)))</f>
        <v>0</v>
      </c>
      <c r="L11953" s="25" t="n">
        <f aca="false">IF($K$11926=0,0,N(INDEX(Clients!$P$2:$P$501,$K$11926)))</f>
        <v>0</v>
      </c>
      <c r="M11953" s="25" t="n">
        <f aca="false">IF(OR(K11953&lt;&gt;0,L11953&lt;&gt;0),1,0)</f>
        <v>0</v>
      </c>
      <c r="N11953" s="25" t="str">
        <f aca="false">IF(M11953=1,SUM($M$11953:M11953),"")</f>
        <v/>
      </c>
      <c r="O11953" s="25" t="n">
        <v>1</v>
      </c>
    </row>
    <row r="11954" customFormat="false" ht="16.5" hidden="false" customHeight="true" outlineLevel="0" collapsed="false">
      <c r="B11954" s="40" t="str">
        <f aca="false">IFERROR(INDEX($J$11953:$J$11956,MATCH($O11954,$N$11953:$N$11956,0)),"")</f>
        <v/>
      </c>
      <c r="C11954" s="41" t="str">
        <f aca="false">IFERROR(INDEX($K$11953:$K$11956,MATCH($O11954,$N$11953:$N$11956,0)),"")</f>
        <v/>
      </c>
      <c r="D11954" s="42" t="str">
        <f aca="false">IF(OR(E11954="",N(C11954)=0),"",E11954/C11954-1)</f>
        <v/>
      </c>
      <c r="E11954" s="41" t="str">
        <f aca="false">IFERROR(INDEX($L$11953:$L$11956,MATCH($O11954,$N$11953:$N$11956,0)),"")</f>
        <v/>
      </c>
      <c r="F11954" s="41" t="str">
        <f aca="false">IF(E11954="","",E11954-C11954)</f>
        <v/>
      </c>
      <c r="J11954" s="25" t="str">
        <f aca="false">Lib_Paye</f>
        <v>Mission sociale (bulletins de paie, DSN, déclarations sociales)</v>
      </c>
      <c r="K11954" s="25" t="n">
        <f aca="false">IF($K$11926=0,0,N(INDEX(Clients!$L$2:$L$501,$K$11926)))</f>
        <v>0</v>
      </c>
      <c r="L11954" s="25" t="n">
        <f aca="false">IF($K$11926=0,0,N(INDEX(Clients!$Q$2:$Q$501,$K$11926)))</f>
        <v>0</v>
      </c>
      <c r="M11954" s="25" t="n">
        <f aca="false">IF(OR(K11954&lt;&gt;0,L11954&lt;&gt;0),1,0)</f>
        <v>0</v>
      </c>
      <c r="N11954" s="25" t="str">
        <f aca="false">IF(M11954=1,SUM($M$11953:M11954),"")</f>
        <v/>
      </c>
      <c r="O11954" s="25" t="n">
        <v>2</v>
      </c>
    </row>
    <row r="11955" customFormat="false" ht="16.5" hidden="false" customHeight="true" outlineLevel="0" collapsed="false">
      <c r="B11955" s="40" t="str">
        <f aca="false">IFERROR(INDEX($J$11953:$J$11956,MATCH($O11955,$N$11953:$N$11956,0)),"")</f>
        <v/>
      </c>
      <c r="C11955" s="41" t="str">
        <f aca="false">IFERROR(INDEX($K$11953:$K$11956,MATCH($O11955,$N$11953:$N$11956,0)),"")</f>
        <v/>
      </c>
      <c r="D11955" s="42" t="str">
        <f aca="false">IF(OR(E11955="",N(C11955)=0),"",E11955/C11955-1)</f>
        <v/>
      </c>
      <c r="E11955" s="41" t="str">
        <f aca="false">IFERROR(INDEX($L$11953:$L$11956,MATCH($O11955,$N$11953:$N$11956,0)),"")</f>
        <v/>
      </c>
      <c r="F11955" s="41" t="str">
        <f aca="false">IF(E11955="","",E11955-C11955)</f>
        <v/>
      </c>
      <c r="J11955" s="25" t="str">
        <f aca="false">Lib_Jur</f>
        <v>Mission juridique (approbation des comptes, secrétariat juridique)</v>
      </c>
      <c r="K11955" s="25" t="n">
        <f aca="false">IF($K$11926=0,0,N(INDEX(Clients!$M$2:$M$501,$K$11926)))</f>
        <v>0</v>
      </c>
      <c r="L11955" s="25" t="n">
        <f aca="false">IF($K$11926=0,0,N(INDEX(Clients!$R$2:$R$501,$K$11926)))</f>
        <v>0</v>
      </c>
      <c r="M11955" s="25" t="n">
        <f aca="false">IF(OR(K11955&lt;&gt;0,L11955&lt;&gt;0),1,0)</f>
        <v>0</v>
      </c>
      <c r="N11955" s="25" t="str">
        <f aca="false">IF(M11955=1,SUM($M$11953:M11955),"")</f>
        <v/>
      </c>
      <c r="O11955" s="25" t="n">
        <v>3</v>
      </c>
    </row>
    <row r="11956" customFormat="false" ht="16.5" hidden="false" customHeight="true" outlineLevel="0" collapsed="false">
      <c r="B11956" s="40" t="str">
        <f aca="false">IFERROR(INDEX($J$11953:$J$11956,MATCH($O11956,$N$11953:$N$11956,0)),"")</f>
        <v/>
      </c>
      <c r="C11956" s="41" t="str">
        <f aca="false">IFERROR(INDEX($K$11953:$K$11956,MATCH($O11956,$N$11953:$N$11956,0)),"")</f>
        <v/>
      </c>
      <c r="D11956" s="42" t="str">
        <f aca="false">IF(OR(E11956="",N(C11956)=0),"",E11956/C11956-1)</f>
        <v/>
      </c>
      <c r="E11956" s="41" t="str">
        <f aca="false">IFERROR(INDEX($L$11953:$L$11956,MATCH($O11956,$N$11953:$N$11956,0)),"")</f>
        <v/>
      </c>
      <c r="F11956" s="41" t="str">
        <f aca="false">IF(E11956="","",E11956-C11956)</f>
        <v/>
      </c>
      <c r="J11956" s="25" t="str">
        <f aca="false">Lib_PA</f>
        <v>Plateforme agréée – facturation électronique</v>
      </c>
      <c r="K11956" s="25" t="n">
        <f aca="false">IF($K$11926=0,0,N(INDEX(Clients!$N$2:$N$501,$K$11926)))</f>
        <v>0</v>
      </c>
      <c r="L11956" s="25" t="n">
        <f aca="false">IF($K$11926=0,0,N(INDEX(Clients!$S$2:$S$501,$K$11926)))</f>
        <v>0</v>
      </c>
      <c r="M11956" s="25" t="n">
        <f aca="false">IF(OR(K11956&lt;&gt;0,L11956&lt;&gt;0),1,0)</f>
        <v>0</v>
      </c>
      <c r="N11956" s="25" t="str">
        <f aca="false">IF(M11956=1,SUM($M$11953:M11956),"")</f>
        <v/>
      </c>
      <c r="O11956" s="25" t="n">
        <v>4</v>
      </c>
    </row>
    <row r="11957" customFormat="false" ht="18" hidden="false" customHeight="true" outlineLevel="0" collapsed="false">
      <c r="B11957" s="43" t="s">
        <v>158</v>
      </c>
      <c r="C11957" s="44" t="n">
        <f aca="false">SUM(K11953:K11956)</f>
        <v>0</v>
      </c>
      <c r="D11957" s="45" t="str">
        <f aca="false">IF(N(C11957)=0,"",E11957/C11957-1)</f>
        <v/>
      </c>
      <c r="E11957" s="44" t="n">
        <f aca="false">SUM(L11953:L11956)</f>
        <v>0</v>
      </c>
      <c r="F11957" s="44" t="n">
        <f aca="false">E11957-C11957</f>
        <v>0</v>
      </c>
    </row>
    <row r="11958" customFormat="false" ht="15" hidden="false" customHeight="false" outlineLevel="0" collapsed="false">
      <c r="B11958" s="46" t="str">
        <f aca="false">IF(N(Nb_Mensualites)=0,"","Soit "&amp;FIXED(E11957/Nb_Mensualites,2)&amp;" € HT par échéance ("&amp;Nb_Mensualites&amp;" échéances), "&amp;FIXED(E11957/Nb_Mensualites*(1+Taux_TVA),2)&amp;" € TTC.")</f>
        <v>Soit 0.00 € HT par échéance (12 échéances), 0.00 € TTC.</v>
      </c>
      <c r="C11958" s="46"/>
      <c r="D11958" s="46"/>
      <c r="E11958" s="46"/>
      <c r="F11958" s="46"/>
    </row>
    <row r="11959" customFormat="false" ht="7.5" hidden="false" customHeight="true" outlineLevel="0" collapsed="false">
      <c r="B11959" s="10"/>
      <c r="C11959" s="10"/>
      <c r="D11959" s="10"/>
      <c r="E11959" s="10"/>
      <c r="F11959" s="10"/>
    </row>
    <row r="11960" customFormat="false" ht="36.75" hidden="false" customHeight="true" outlineLevel="0" collapsed="false">
      <c r="B11960" s="37" t="str">
        <f aca="false">SUBSTITUTE(SUBSTITUTE(SUBSTITUTE(SUBSTITUTE(SUBSTITUTE(Txt_P5,"{cabinet}",Cab_Nom),"{societe}",IF($K$11926=0,"",INDEX(Clients!$E$2:$E$501,$K$11926)&amp;"")),"{date_effet}",$K$11928),"{hausse}",$K$11929),"{civilite}",$K$11927)</f>
        <v>Les autres conditions de votre lettre de mission demeurent inchangées. Les nouveaux montants seront appliqués automatiquement sur vos prochaines factures et échéances de prélèvement.</v>
      </c>
      <c r="C11960" s="37"/>
      <c r="D11960" s="37"/>
      <c r="E11960" s="37"/>
      <c r="F11960" s="37"/>
    </row>
    <row r="11961" customFormat="false" ht="36.75" hidden="false" customHeight="true" outlineLevel="0" collapsed="false">
      <c r="B11961" s="37" t="str">
        <f aca="false">SUBSTITUTE(SUBSTITUTE(SUBSTITUTE(SUBSTITUTE(SUBSTITUTE(Txt_P6,"{cabinet}",Cab_Nom),"{societe}",IF($K$11926=0,"",INDEX(Clients!$E$2:$E$501,$K$11926)&amp;"")),"{date_effet}",$K$11928),"{hausse}",$K$11929),"{civilite}",$K$11927)</f>
        <v>Votre interlocuteur habituel reste à votre entière disposition pour répondre à vos questions et faire le point sur l'évolution de vos besoins.</v>
      </c>
      <c r="C11961" s="37"/>
      <c r="D11961" s="37"/>
      <c r="E11961" s="37"/>
      <c r="F11961" s="37"/>
    </row>
    <row r="11962" customFormat="false" ht="24" hidden="false" customHeight="true" outlineLevel="0" collapsed="false">
      <c r="B11962" s="37" t="str">
        <f aca="false">SUBSTITUTE(SUBSTITUTE(SUBSTITUTE(SUBSTITUTE(SUBSTITUTE(Txt_Politesse,"{cabinet}",Cab_Nom),"{societe}",IF($K$11926=0,"",INDEX(Clients!$E$2:$E$501,$K$11926)&amp;"")),"{date_effet}",$K$11928),"{hausse}",$K$11929),"{civilite}",$K$11927)</f>
        <v>Nous vous prions d'agréer, Madame, Monsieur, l'expression de nos salutations distinguées.</v>
      </c>
      <c r="C11962" s="37"/>
      <c r="D11962" s="37"/>
      <c r="E11962" s="37"/>
      <c r="F11962" s="37"/>
    </row>
    <row r="11963" customFormat="false" ht="15" hidden="false" customHeight="false" outlineLevel="0" collapsed="false">
      <c r="B11963" s="10"/>
      <c r="C11963" s="10"/>
      <c r="D11963" s="10"/>
      <c r="E11963" s="10"/>
      <c r="F11963" s="10"/>
    </row>
    <row r="11964" customFormat="false" ht="15" hidden="false" customHeight="false" outlineLevel="0" collapsed="false">
      <c r="B11964" s="10"/>
      <c r="C11964" s="10"/>
      <c r="D11964" s="34" t="str">
        <f aca="false">Signataire</f>
        <v>Prénom NOM</v>
      </c>
      <c r="E11964" s="34"/>
      <c r="F11964" s="34"/>
    </row>
    <row r="11965" customFormat="false" ht="15" hidden="false" customHeight="false" outlineLevel="0" collapsed="false">
      <c r="B11965" s="10"/>
      <c r="C11965" s="10"/>
      <c r="D11965" s="47" t="str">
        <f aca="false">Signataire_Titre</f>
        <v>Expert-comptable associé</v>
      </c>
      <c r="E11965" s="47"/>
      <c r="F11965" s="47"/>
    </row>
    <row r="11966" customFormat="false" ht="15.75" hidden="false" customHeight="true" outlineLevel="0" collapsed="false">
      <c r="B11966" s="10"/>
      <c r="C11966" s="10"/>
      <c r="D11966" s="10"/>
      <c r="E11966" s="10"/>
      <c r="F11966" s="10"/>
    </row>
    <row r="11967" customFormat="false" ht="15.75" hidden="false" customHeight="true" outlineLevel="0" collapsed="false">
      <c r="B11967" s="10"/>
      <c r="C11967" s="10"/>
      <c r="D11967" s="10"/>
      <c r="E11967" s="10"/>
      <c r="F11967" s="10"/>
    </row>
    <row r="11968" customFormat="false" ht="15.75" hidden="false" customHeight="true" outlineLevel="0" collapsed="false">
      <c r="B11968" s="10"/>
      <c r="C11968" s="10"/>
      <c r="D11968" s="10"/>
      <c r="E11968" s="10"/>
      <c r="F11968" s="10"/>
    </row>
    <row r="11969" customFormat="false" ht="15.75" hidden="false" customHeight="true" outlineLevel="0" collapsed="false">
      <c r="B11969" s="10"/>
      <c r="C11969" s="10"/>
      <c r="D11969" s="10"/>
      <c r="E11969" s="10"/>
      <c r="F11969" s="10"/>
    </row>
    <row r="11970" customFormat="false" ht="24" hidden="false" customHeight="true" outlineLevel="0" collapsed="false">
      <c r="B11970" s="48" t="str">
        <f aca="false">Cab_Mentions</f>
        <v>ALTHO EXPERTISE · SAS au capital de 10 000 € · RCS Pontoise 919 706 325 · TVA FR62919706325 · Société d'expertise comptable inscrite au Tableau de l'Ordre des experts-comptables de Paris Île-de-France</v>
      </c>
      <c r="C11970" s="48"/>
      <c r="D11970" s="48"/>
      <c r="E11970" s="48"/>
      <c r="F11970" s="48"/>
    </row>
    <row r="11971" customFormat="false" ht="15" hidden="false" customHeight="false" outlineLevel="0" collapsed="false">
      <c r="B11971" s="10"/>
      <c r="C11971" s="10"/>
      <c r="D11971" s="10"/>
      <c r="E11971" s="10"/>
      <c r="F11971" s="10"/>
      <c r="J11971" s="25" t="s">
        <v>142</v>
      </c>
      <c r="K11971" s="25" t="n">
        <f aca="false">IFERROR(MATCH(267,Clients!$Z$2:$Z$501,0),0)</f>
        <v>0</v>
      </c>
      <c r="L11971" s="25"/>
      <c r="M11971" s="25"/>
      <c r="N11971" s="25"/>
      <c r="O11971" s="25"/>
    </row>
    <row r="11972" customFormat="false" ht="21.75" hidden="false" customHeight="true" outlineLevel="0" collapsed="false">
      <c r="B11972" s="26" t="str">
        <f aca="false">Cab_Nom</f>
        <v>ALTHO EXPERTISE</v>
      </c>
      <c r="C11972" s="26"/>
      <c r="D11972" s="10"/>
      <c r="E11972" s="27" t="str">
        <f aca="false">IF($K$11971=0,"","Réf. client : "&amp;INDEX(Clients!$A$2:$A$501,$K$11971))</f>
        <v/>
      </c>
      <c r="F11972" s="27"/>
      <c r="J11972" s="25" t="s">
        <v>144</v>
      </c>
      <c r="K11972" s="25" t="str">
        <f aca="false">IF(IF($K$11971=0,"",INDEX(Clients!$B$2:$B$501,$K$11971)&amp;"")="Mme","Madame",IF(IF($K$11971=0,"",INDEX(Clients!$B$2:$B$501,$K$11971)&amp;"")="M.","Monsieur","Madame, Monsieur"))</f>
        <v>Madame, Monsieur</v>
      </c>
      <c r="L11972" s="25"/>
      <c r="M11972" s="25"/>
      <c r="N11972" s="25"/>
      <c r="O11972" s="25"/>
    </row>
    <row r="11973" customFormat="false" ht="15" hidden="false" customHeight="false" outlineLevel="0" collapsed="false">
      <c r="B11973" s="29" t="str">
        <f aca="false">Cab_Adr1</f>
        <v>141 rue Charles de Gaulle</v>
      </c>
      <c r="C11973" s="29"/>
      <c r="D11973" s="10"/>
      <c r="E11973" s="10"/>
      <c r="F11973" s="10"/>
      <c r="J11973" s="25" t="s">
        <v>145</v>
      </c>
      <c r="K11973" s="25" t="str">
        <f aca="false">DAY(Date_Effet)&amp;IF(DAY(Date_Effet)=1,"er","")&amp;" "&amp;INDEX(Liste_Mois,MONTH(Date_Effet))&amp;" "&amp;YEAR(Date_Effet)</f>
        <v>1er janvier 2027</v>
      </c>
      <c r="L11973" s="25"/>
      <c r="M11973" s="25"/>
      <c r="N11973" s="25"/>
      <c r="O11973" s="25"/>
    </row>
    <row r="11974" customFormat="false" ht="15" hidden="false" customHeight="false" outlineLevel="0" collapsed="false">
      <c r="B11974" s="29" t="str">
        <f aca="false">Cab_CPVille</f>
        <v>95130 LE PLESSIS-BOUCHARD</v>
      </c>
      <c r="C11974" s="29"/>
      <c r="D11974" s="10"/>
      <c r="E11974" s="10"/>
      <c r="F11974" s="10"/>
      <c r="J11974" s="25" t="s">
        <v>146</v>
      </c>
      <c r="K11974" s="25" t="str">
        <f aca="false">IF(SUM($K$11998:$K$12001)=0,"",FIXED((SUM($L$11998:$L$12001)/SUM($K$11998:$K$12001)-1)*100,1)&amp;" %")</f>
        <v/>
      </c>
      <c r="L11974" s="25"/>
      <c r="M11974" s="25"/>
      <c r="N11974" s="25"/>
      <c r="O11974" s="25"/>
    </row>
    <row r="11975" customFormat="false" ht="15" hidden="false" customHeight="false" outlineLevel="0" collapsed="false">
      <c r="B11975" s="29" t="str">
        <f aca="false">Cab_Contact</f>
        <v>Tél. 01 34 14 53 45  ·  altho@altho-experts.com  ·  altho-experts.com</v>
      </c>
      <c r="C11975" s="29"/>
      <c r="D11975" s="10"/>
      <c r="E11975" s="10"/>
      <c r="F11975" s="10"/>
      <c r="J11975" s="25"/>
      <c r="K11975" s="25"/>
      <c r="L11975" s="25"/>
      <c r="M11975" s="25"/>
      <c r="N11975" s="25"/>
      <c r="O11975" s="25"/>
    </row>
    <row r="11976" customFormat="false" ht="6" hidden="false" customHeight="true" outlineLevel="0" collapsed="false">
      <c r="B11976" s="32"/>
      <c r="C11976" s="32"/>
      <c r="D11976" s="32"/>
      <c r="E11976" s="32"/>
      <c r="F11976" s="32"/>
      <c r="J11976" s="25"/>
      <c r="K11976" s="25"/>
      <c r="L11976" s="25"/>
      <c r="M11976" s="25"/>
      <c r="N11976" s="25"/>
      <c r="O11976" s="25"/>
    </row>
    <row r="11977" customFormat="false" ht="13.5" hidden="false" customHeight="true" outlineLevel="0" collapsed="false">
      <c r="B11977" s="10"/>
      <c r="C11977" s="10"/>
      <c r="D11977" s="10"/>
      <c r="E11977" s="10"/>
      <c r="F11977" s="10"/>
      <c r="J11977" s="25"/>
      <c r="K11977" s="25"/>
      <c r="L11977" s="25"/>
      <c r="M11977" s="25"/>
      <c r="N11977" s="25"/>
      <c r="O11977" s="25"/>
    </row>
    <row r="11978" customFormat="false" ht="13.5" hidden="false" customHeight="true" outlineLevel="0" collapsed="false">
      <c r="B11978" s="10"/>
      <c r="C11978" s="10"/>
      <c r="D11978" s="10"/>
      <c r="E11978" s="10"/>
      <c r="F11978" s="10"/>
      <c r="J11978" s="25"/>
      <c r="K11978" s="25"/>
      <c r="L11978" s="25"/>
      <c r="M11978" s="25"/>
      <c r="N11978" s="25"/>
      <c r="O11978" s="25"/>
    </row>
    <row r="11979" customFormat="false" ht="13.5" hidden="false" customHeight="true" outlineLevel="0" collapsed="false">
      <c r="B11979" s="10"/>
      <c r="C11979" s="10"/>
      <c r="D11979" s="10"/>
      <c r="E11979" s="10"/>
      <c r="F11979" s="10"/>
      <c r="J11979" s="25"/>
      <c r="K11979" s="25"/>
      <c r="L11979" s="25"/>
      <c r="M11979" s="25"/>
      <c r="N11979" s="25"/>
      <c r="O11979" s="25"/>
    </row>
    <row r="11980" customFormat="false" ht="15" hidden="false" customHeight="true" outlineLevel="0" collapsed="false">
      <c r="B11980" s="10"/>
      <c r="C11980" s="10"/>
      <c r="D11980" s="34" t="str">
        <f aca="false">IF($K$11971=0,"",INDEX(Clients!$E$2:$E$501,$K$11971)&amp;"")</f>
        <v/>
      </c>
      <c r="E11980" s="34"/>
      <c r="F11980" s="34"/>
      <c r="J11980" s="25"/>
      <c r="K11980" s="25"/>
      <c r="L11980" s="25"/>
      <c r="M11980" s="25"/>
      <c r="N11980" s="25"/>
      <c r="O11980" s="25"/>
    </row>
    <row r="11981" customFormat="false" ht="15" hidden="false" customHeight="true" outlineLevel="0" collapsed="false">
      <c r="B11981" s="10"/>
      <c r="C11981" s="10"/>
      <c r="D11981" s="35" t="str">
        <f aca="false">IF(IF($K$11971=0,"",INDEX(Clients!$D$2:$D$501,$K$11971)&amp;"")="","","À l'attention de "&amp;TRIM(IF($K$11971=0,"",INDEX(Clients!$B$2:$B$501,$K$11971)&amp;"")&amp;" "&amp;IF($K$11971=0,"",INDEX(Clients!$C$2:$C$501,$K$11971)&amp;"")&amp;" "&amp;IF($K$11971=0,"",INDEX(Clients!$D$2:$D$501,$K$11971)&amp;"")))</f>
        <v/>
      </c>
      <c r="E11981" s="35"/>
      <c r="F11981" s="35"/>
      <c r="J11981" s="25"/>
      <c r="K11981" s="25"/>
      <c r="L11981" s="25"/>
      <c r="M11981" s="25"/>
      <c r="N11981" s="25"/>
      <c r="O11981" s="25"/>
    </row>
    <row r="11982" customFormat="false" ht="15" hidden="false" customHeight="true" outlineLevel="0" collapsed="false">
      <c r="B11982" s="10"/>
      <c r="C11982" s="10"/>
      <c r="D11982" s="35" t="str">
        <f aca="false">IF($K$11971=0,"",INDEX(Clients!$F$2:$F$501,$K$11971)&amp;"")</f>
        <v/>
      </c>
      <c r="E11982" s="35"/>
      <c r="F11982" s="35"/>
      <c r="J11982" s="25"/>
      <c r="K11982" s="25"/>
      <c r="L11982" s="25"/>
      <c r="M11982" s="25"/>
      <c r="N11982" s="25"/>
      <c r="O11982" s="25"/>
    </row>
    <row r="11983" customFormat="false" ht="15" hidden="false" customHeight="true" outlineLevel="0" collapsed="false">
      <c r="B11983" s="10"/>
      <c r="C11983" s="10"/>
      <c r="D11983" s="35" t="str">
        <f aca="false">IF(IF($K$11971=0,"",INDEX(Clients!$G$2:$G$501,$K$11971)&amp;"")="",TRIM(IF($K$11971=0,"",INDEX(Clients!$H$2:$H$501,$K$11971)&amp;"")&amp;" "&amp;UPPER(IF($K$11971=0,"",INDEX(Clients!$I$2:$I$501,$K$11971)&amp;""))),IF($K$11971=0,"",INDEX(Clients!$G$2:$G$501,$K$11971)&amp;""))</f>
        <v/>
      </c>
      <c r="E11983" s="35"/>
      <c r="F11983" s="35"/>
      <c r="J11983" s="25"/>
      <c r="K11983" s="25"/>
      <c r="L11983" s="25"/>
      <c r="M11983" s="25"/>
      <c r="N11983" s="25"/>
      <c r="O11983" s="25"/>
    </row>
    <row r="11984" customFormat="false" ht="15" hidden="false" customHeight="true" outlineLevel="0" collapsed="false">
      <c r="B11984" s="10"/>
      <c r="C11984" s="10"/>
      <c r="D11984" s="35" t="str">
        <f aca="false">IF(IF($K$11971=0,"",INDEX(Clients!$G$2:$G$501,$K$11971)&amp;"")="","",TRIM(IF($K$11971=0,"",INDEX(Clients!$H$2:$H$501,$K$11971)&amp;"")&amp;" "&amp;UPPER(IF($K$11971=0,"",INDEX(Clients!$I$2:$I$501,$K$11971)&amp;""))))</f>
        <v/>
      </c>
      <c r="E11984" s="35"/>
      <c r="F11984" s="35"/>
      <c r="J11984" s="25"/>
      <c r="K11984" s="25"/>
      <c r="L11984" s="25"/>
      <c r="M11984" s="25"/>
      <c r="N11984" s="25"/>
      <c r="O11984" s="25"/>
    </row>
    <row r="11985" customFormat="false" ht="25.5" hidden="false" customHeight="true" outlineLevel="0" collapsed="false">
      <c r="B11985" s="10"/>
      <c r="C11985" s="10"/>
      <c r="D11985" s="10"/>
      <c r="E11985" s="10"/>
      <c r="F11985" s="10"/>
      <c r="J11985" s="25"/>
      <c r="K11985" s="25"/>
      <c r="L11985" s="25"/>
      <c r="M11985" s="25"/>
      <c r="N11985" s="25"/>
      <c r="O11985" s="25"/>
    </row>
    <row r="11986" customFormat="false" ht="15" hidden="false" customHeight="false" outlineLevel="0" collapsed="false">
      <c r="B11986" s="10"/>
      <c r="C11986" s="10"/>
      <c r="D11986" s="36" t="str">
        <f aca="false">Cab_Ville&amp;", le "&amp;DAY(Date_Courrier)&amp;IF(DAY(Date_Courrier)=1,"er","")&amp;" "&amp;INDEX(Liste_Mois,MONTH(Date_Courrier))&amp;" "&amp;YEAR(Date_Courrier)</f>
        <v>Le Plessis-Bouchard, le 22 septembre 2026</v>
      </c>
      <c r="E11986" s="36"/>
      <c r="F11986" s="36"/>
      <c r="J11986" s="25"/>
      <c r="K11986" s="25"/>
      <c r="L11986" s="25"/>
      <c r="M11986" s="25"/>
      <c r="N11986" s="25"/>
      <c r="O11986" s="25"/>
    </row>
    <row r="11987" customFormat="false" ht="19.5" hidden="false" customHeight="true" outlineLevel="0" collapsed="false">
      <c r="B11987" s="10"/>
      <c r="C11987" s="10"/>
      <c r="D11987" s="10"/>
      <c r="E11987" s="10"/>
      <c r="F11987" s="10"/>
      <c r="J11987" s="25"/>
      <c r="K11987" s="25"/>
      <c r="L11987" s="25"/>
      <c r="M11987" s="25"/>
      <c r="N11987" s="25"/>
      <c r="O11987" s="25"/>
    </row>
    <row r="11988" customFormat="false" ht="15" hidden="false" customHeight="false" outlineLevel="0" collapsed="false">
      <c r="B11988" s="34" t="str">
        <f aca="false">SUBSTITUTE(SUBSTITUTE(SUBSTITUTE(SUBSTITUTE(SUBSTITUTE(Txt_Objet,"{cabinet}",Cab_Nom),"{societe}",IF($K$11971=0,"",INDEX(Clients!$E$2:$E$501,$K$11971)&amp;"")),"{date_effet}",$K$11973),"{hausse}",$K$11974),"{civilite}",$K$11972)</f>
        <v>Objet : révision de nos honoraires au 1er janvier 2027</v>
      </c>
      <c r="C11988" s="34"/>
      <c r="D11988" s="34"/>
      <c r="E11988" s="34"/>
      <c r="F11988" s="34"/>
      <c r="J11988" s="25"/>
      <c r="K11988" s="25"/>
      <c r="L11988" s="25"/>
      <c r="M11988" s="25"/>
      <c r="N11988" s="25"/>
      <c r="O11988" s="25"/>
    </row>
    <row r="11989" customFormat="false" ht="13.5" hidden="false" customHeight="true" outlineLevel="0" collapsed="false">
      <c r="B11989" s="10"/>
      <c r="C11989" s="10"/>
      <c r="D11989" s="10"/>
      <c r="E11989" s="10"/>
      <c r="F11989" s="10"/>
      <c r="J11989" s="25"/>
      <c r="K11989" s="25"/>
      <c r="L11989" s="25"/>
      <c r="M11989" s="25"/>
      <c r="N11989" s="25"/>
      <c r="O11989" s="25"/>
    </row>
    <row r="11990" customFormat="false" ht="15" hidden="false" customHeight="false" outlineLevel="0" collapsed="false">
      <c r="B11990" s="10" t="str">
        <f aca="false">$K$11972&amp;","</f>
        <v>Madame, Monsieur,</v>
      </c>
      <c r="C11990" s="10"/>
      <c r="D11990" s="10"/>
      <c r="E11990" s="10"/>
      <c r="F11990" s="10"/>
      <c r="J11990" s="25"/>
      <c r="K11990" s="25"/>
      <c r="L11990" s="25"/>
      <c r="M11990" s="25"/>
      <c r="N11990" s="25"/>
      <c r="O11990" s="25"/>
    </row>
    <row r="11991" customFormat="false" ht="6" hidden="false" customHeight="true" outlineLevel="0" collapsed="false">
      <c r="B11991" s="10"/>
      <c r="C11991" s="10"/>
      <c r="D11991" s="10"/>
      <c r="E11991" s="10"/>
      <c r="F11991" s="10"/>
      <c r="J11991" s="25"/>
      <c r="K11991" s="25"/>
      <c r="L11991" s="25"/>
      <c r="M11991" s="25"/>
      <c r="N11991" s="25"/>
      <c r="O11991" s="25"/>
    </row>
    <row r="11992" customFormat="false" ht="36.75" hidden="false" customHeight="true" outlineLevel="0" collapsed="false">
      <c r="B11992" s="37" t="str">
        <f aca="false">SUBSTITUTE(SUBSTITUTE(SUBSTITUTE(SUBSTITUTE(SUBSTITUTE(Txt_P1,"{cabinet}",Cab_Nom),"{societe}",IF($K$11971=0,"",INDEX(Clients!$E$2:$E$501,$K$11971)&amp;"")),"{date_effet}",$K$11973),"{hausse}",$K$11974),"{civilite}",$K$11972)</f>
        <v>Nous tenons tout d'abord à vous remercier pour la confiance que vous accordez à ALTHO EXPERTISE. Comme chaque année, et conformément aux dispositions de votre lettre de mission, nous procédons à la révision de nos honoraires.</v>
      </c>
      <c r="C11992" s="37"/>
      <c r="D11992" s="37"/>
      <c r="E11992" s="37"/>
      <c r="F11992" s="37"/>
      <c r="J11992" s="25"/>
      <c r="K11992" s="25"/>
      <c r="L11992" s="25"/>
      <c r="M11992" s="25"/>
      <c r="N11992" s="25"/>
      <c r="O11992" s="25"/>
    </row>
    <row r="11993" customFormat="false" ht="49.5" hidden="false" customHeight="true" outlineLevel="0" collapsed="false">
      <c r="B11993" s="37" t="str">
        <f aca="false">SUBSTITUTE(SUBSTITUTE(SUBSTITUTE(SUBSTITUTE(SUBSTITUTE(Txt_P2,"{cabinet}",Cab_Nom),"{societe}",IF($K$11971=0,"",INDEX(Clients!$E$2:$E$501,$K$11971)&amp;"")),"{date_effet}",$K$11973),"{hausse}",$K$11974),"{civilite}",$K$11972)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1993" s="37"/>
      <c r="D11993" s="37"/>
      <c r="E11993" s="37"/>
      <c r="F11993" s="37"/>
      <c r="J11993" s="25"/>
      <c r="K11993" s="25"/>
      <c r="L11993" s="25"/>
      <c r="M11993" s="25"/>
      <c r="N11993" s="25"/>
      <c r="O11993" s="25"/>
    </row>
    <row r="11994" customFormat="false" ht="63" hidden="false" customHeight="true" outlineLevel="0" collapsed="false">
      <c r="B11994" s="37" t="str">
        <f aca="false">SUBSTITUTE(SUBSTITUTE(SUBSTITUTE(SUBSTITUTE(SUBSTITUTE(Txt_P3,"{cabinet}",Cab_Nom),"{societe}",IF($K$11971=0,"",INDEX(Clients!$E$2:$E$501,$K$11971)&amp;"")),"{date_effet}",$K$11973),"{hausse}",$K$11974),"{civilite}",$K$11972)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1994" s="37"/>
      <c r="D11994" s="37"/>
      <c r="E11994" s="37"/>
      <c r="F11994" s="37"/>
      <c r="J11994" s="25"/>
      <c r="K11994" s="25"/>
      <c r="L11994" s="25"/>
      <c r="M11994" s="25"/>
      <c r="N11994" s="25"/>
      <c r="O11994" s="25"/>
    </row>
    <row r="11995" customFormat="false" ht="24" hidden="false" customHeight="true" outlineLevel="0" collapsed="false">
      <c r="B11995" s="37" t="str">
        <f aca="false">SUBSTITUTE(SUBSTITUTE(SUBSTITUTE(SUBSTITUTE(SUBSTITUTE(Txt_P4,"{cabinet}",Cab_Nom),"{societe}",IF($K$11971=0,"",INDEX(Clients!$E$2:$E$501,$K$11971)&amp;"")),"{date_effet}",$K$11973),"{hausse}",$K$11974),"{civilite}",$K$11972)</f>
        <v>À compter du 1er janvier 2027, vos honoraires annuels hors taxes évolueront ainsi (évolution globale : ) :</v>
      </c>
      <c r="C11995" s="37"/>
      <c r="D11995" s="37"/>
      <c r="E11995" s="37"/>
      <c r="F11995" s="37"/>
      <c r="J11995" s="25"/>
      <c r="K11995" s="25"/>
      <c r="L11995" s="25"/>
      <c r="M11995" s="25"/>
      <c r="N11995" s="25"/>
      <c r="O11995" s="25"/>
    </row>
    <row r="11996" customFormat="false" ht="3.75" hidden="false" customHeight="true" outlineLevel="0" collapsed="false">
      <c r="B11996" s="10"/>
      <c r="C11996" s="10"/>
      <c r="D11996" s="10"/>
      <c r="E11996" s="10"/>
      <c r="F11996" s="10"/>
      <c r="J11996" s="25"/>
      <c r="K11996" s="25"/>
      <c r="L11996" s="25"/>
      <c r="M11996" s="25"/>
      <c r="N11996" s="25"/>
      <c r="O11996" s="25"/>
    </row>
    <row r="11997" customFormat="false" ht="18" hidden="false" customHeight="true" outlineLevel="0" collapsed="false">
      <c r="B11997" s="38" t="s">
        <v>148</v>
      </c>
      <c r="C11997" s="39" t="s">
        <v>149</v>
      </c>
      <c r="D11997" s="39" t="s">
        <v>150</v>
      </c>
      <c r="E11997" s="39" t="s">
        <v>151</v>
      </c>
      <c r="F11997" s="39" t="s">
        <v>109</v>
      </c>
      <c r="J11997" s="25" t="s">
        <v>152</v>
      </c>
      <c r="K11997" s="25" t="s">
        <v>153</v>
      </c>
      <c r="L11997" s="25" t="s">
        <v>154</v>
      </c>
      <c r="M11997" s="25" t="s">
        <v>155</v>
      </c>
      <c r="N11997" s="25" t="s">
        <v>156</v>
      </c>
      <c r="O11997" s="25" t="s">
        <v>157</v>
      </c>
    </row>
    <row r="11998" customFormat="false" ht="16.5" hidden="false" customHeight="true" outlineLevel="0" collapsed="false">
      <c r="B11998" s="40" t="str">
        <f aca="false">IFERROR(INDEX($J$11998:$J$12001,MATCH($O11998,$N$11998:$N$12001,0)),"")</f>
        <v/>
      </c>
      <c r="C11998" s="41" t="str">
        <f aca="false">IFERROR(INDEX($K$11998:$K$12001,MATCH($O11998,$N$11998:$N$12001,0)),"")</f>
        <v/>
      </c>
      <c r="D11998" s="42" t="str">
        <f aca="false">IF(OR(E11998="",N(C11998)=0),"",E11998/C11998-1)</f>
        <v/>
      </c>
      <c r="E11998" s="41" t="str">
        <f aca="false">IFERROR(INDEX($L$11998:$L$12001,MATCH($O11998,$N$11998:$N$12001,0)),"")</f>
        <v/>
      </c>
      <c r="F11998" s="41" t="str">
        <f aca="false">IF(E11998="","",E11998-C11998)</f>
        <v/>
      </c>
      <c r="J11998" s="25" t="str">
        <f aca="false">Lib_Compta</f>
        <v>Mission comptable (tenue, révision, bilan, liasse fiscale)</v>
      </c>
      <c r="K11998" s="25" t="n">
        <f aca="false">IF($K$11971=0,0,N(INDEX(Clients!$K$2:$K$501,$K$11971)))</f>
        <v>0</v>
      </c>
      <c r="L11998" s="25" t="n">
        <f aca="false">IF($K$11971=0,0,N(INDEX(Clients!$P$2:$P$501,$K$11971)))</f>
        <v>0</v>
      </c>
      <c r="M11998" s="25" t="n">
        <f aca="false">IF(OR(K11998&lt;&gt;0,L11998&lt;&gt;0),1,0)</f>
        <v>0</v>
      </c>
      <c r="N11998" s="25" t="str">
        <f aca="false">IF(M11998=1,SUM($M$11998:M11998),"")</f>
        <v/>
      </c>
      <c r="O11998" s="25" t="n">
        <v>1</v>
      </c>
    </row>
    <row r="11999" customFormat="false" ht="16.5" hidden="false" customHeight="true" outlineLevel="0" collapsed="false">
      <c r="B11999" s="40" t="str">
        <f aca="false">IFERROR(INDEX($J$11998:$J$12001,MATCH($O11999,$N$11998:$N$12001,0)),"")</f>
        <v/>
      </c>
      <c r="C11999" s="41" t="str">
        <f aca="false">IFERROR(INDEX($K$11998:$K$12001,MATCH($O11999,$N$11998:$N$12001,0)),"")</f>
        <v/>
      </c>
      <c r="D11999" s="42" t="str">
        <f aca="false">IF(OR(E11999="",N(C11999)=0),"",E11999/C11999-1)</f>
        <v/>
      </c>
      <c r="E11999" s="41" t="str">
        <f aca="false">IFERROR(INDEX($L$11998:$L$12001,MATCH($O11999,$N$11998:$N$12001,0)),"")</f>
        <v/>
      </c>
      <c r="F11999" s="41" t="str">
        <f aca="false">IF(E11999="","",E11999-C11999)</f>
        <v/>
      </c>
      <c r="J11999" s="25" t="str">
        <f aca="false">Lib_Paye</f>
        <v>Mission sociale (bulletins de paie, DSN, déclarations sociales)</v>
      </c>
      <c r="K11999" s="25" t="n">
        <f aca="false">IF($K$11971=0,0,N(INDEX(Clients!$L$2:$L$501,$K$11971)))</f>
        <v>0</v>
      </c>
      <c r="L11999" s="25" t="n">
        <f aca="false">IF($K$11971=0,0,N(INDEX(Clients!$Q$2:$Q$501,$K$11971)))</f>
        <v>0</v>
      </c>
      <c r="M11999" s="25" t="n">
        <f aca="false">IF(OR(K11999&lt;&gt;0,L11999&lt;&gt;0),1,0)</f>
        <v>0</v>
      </c>
      <c r="N11999" s="25" t="str">
        <f aca="false">IF(M11999=1,SUM($M$11998:M11999),"")</f>
        <v/>
      </c>
      <c r="O11999" s="25" t="n">
        <v>2</v>
      </c>
    </row>
    <row r="12000" customFormat="false" ht="16.5" hidden="false" customHeight="true" outlineLevel="0" collapsed="false">
      <c r="B12000" s="40" t="str">
        <f aca="false">IFERROR(INDEX($J$11998:$J$12001,MATCH($O12000,$N$11998:$N$12001,0)),"")</f>
        <v/>
      </c>
      <c r="C12000" s="41" t="str">
        <f aca="false">IFERROR(INDEX($K$11998:$K$12001,MATCH($O12000,$N$11998:$N$12001,0)),"")</f>
        <v/>
      </c>
      <c r="D12000" s="42" t="str">
        <f aca="false">IF(OR(E12000="",N(C12000)=0),"",E12000/C12000-1)</f>
        <v/>
      </c>
      <c r="E12000" s="41" t="str">
        <f aca="false">IFERROR(INDEX($L$11998:$L$12001,MATCH($O12000,$N$11998:$N$12001,0)),"")</f>
        <v/>
      </c>
      <c r="F12000" s="41" t="str">
        <f aca="false">IF(E12000="","",E12000-C12000)</f>
        <v/>
      </c>
      <c r="J12000" s="25" t="str">
        <f aca="false">Lib_Jur</f>
        <v>Mission juridique (approbation des comptes, secrétariat juridique)</v>
      </c>
      <c r="K12000" s="25" t="n">
        <f aca="false">IF($K$11971=0,0,N(INDEX(Clients!$M$2:$M$501,$K$11971)))</f>
        <v>0</v>
      </c>
      <c r="L12000" s="25" t="n">
        <f aca="false">IF($K$11971=0,0,N(INDEX(Clients!$R$2:$R$501,$K$11971)))</f>
        <v>0</v>
      </c>
      <c r="M12000" s="25" t="n">
        <f aca="false">IF(OR(K12000&lt;&gt;0,L12000&lt;&gt;0),1,0)</f>
        <v>0</v>
      </c>
      <c r="N12000" s="25" t="str">
        <f aca="false">IF(M12000=1,SUM($M$11998:M12000),"")</f>
        <v/>
      </c>
      <c r="O12000" s="25" t="n">
        <v>3</v>
      </c>
    </row>
    <row r="12001" customFormat="false" ht="16.5" hidden="false" customHeight="true" outlineLevel="0" collapsed="false">
      <c r="B12001" s="40" t="str">
        <f aca="false">IFERROR(INDEX($J$11998:$J$12001,MATCH($O12001,$N$11998:$N$12001,0)),"")</f>
        <v/>
      </c>
      <c r="C12001" s="41" t="str">
        <f aca="false">IFERROR(INDEX($K$11998:$K$12001,MATCH($O12001,$N$11998:$N$12001,0)),"")</f>
        <v/>
      </c>
      <c r="D12001" s="42" t="str">
        <f aca="false">IF(OR(E12001="",N(C12001)=0),"",E12001/C12001-1)</f>
        <v/>
      </c>
      <c r="E12001" s="41" t="str">
        <f aca="false">IFERROR(INDEX($L$11998:$L$12001,MATCH($O12001,$N$11998:$N$12001,0)),"")</f>
        <v/>
      </c>
      <c r="F12001" s="41" t="str">
        <f aca="false">IF(E12001="","",E12001-C12001)</f>
        <v/>
      </c>
      <c r="J12001" s="25" t="str">
        <f aca="false">Lib_PA</f>
        <v>Plateforme agréée – facturation électronique</v>
      </c>
      <c r="K12001" s="25" t="n">
        <f aca="false">IF($K$11971=0,0,N(INDEX(Clients!$N$2:$N$501,$K$11971)))</f>
        <v>0</v>
      </c>
      <c r="L12001" s="25" t="n">
        <f aca="false">IF($K$11971=0,0,N(INDEX(Clients!$S$2:$S$501,$K$11971)))</f>
        <v>0</v>
      </c>
      <c r="M12001" s="25" t="n">
        <f aca="false">IF(OR(K12001&lt;&gt;0,L12001&lt;&gt;0),1,0)</f>
        <v>0</v>
      </c>
      <c r="N12001" s="25" t="str">
        <f aca="false">IF(M12001=1,SUM($M$11998:M12001),"")</f>
        <v/>
      </c>
      <c r="O12001" s="25" t="n">
        <v>4</v>
      </c>
    </row>
    <row r="12002" customFormat="false" ht="18" hidden="false" customHeight="true" outlineLevel="0" collapsed="false">
      <c r="B12002" s="43" t="s">
        <v>158</v>
      </c>
      <c r="C12002" s="44" t="n">
        <f aca="false">SUM(K11998:K12001)</f>
        <v>0</v>
      </c>
      <c r="D12002" s="45" t="str">
        <f aca="false">IF(N(C12002)=0,"",E12002/C12002-1)</f>
        <v/>
      </c>
      <c r="E12002" s="44" t="n">
        <f aca="false">SUM(L11998:L12001)</f>
        <v>0</v>
      </c>
      <c r="F12002" s="44" t="n">
        <f aca="false">E12002-C12002</f>
        <v>0</v>
      </c>
    </row>
    <row r="12003" customFormat="false" ht="15" hidden="false" customHeight="false" outlineLevel="0" collapsed="false">
      <c r="B12003" s="46" t="str">
        <f aca="false">IF(N(Nb_Mensualites)=0,"","Soit "&amp;FIXED(E12002/Nb_Mensualites,2)&amp;" € HT par échéance ("&amp;Nb_Mensualites&amp;" échéances), "&amp;FIXED(E12002/Nb_Mensualites*(1+Taux_TVA),2)&amp;" € TTC.")</f>
        <v>Soit 0.00 € HT par échéance (12 échéances), 0.00 € TTC.</v>
      </c>
      <c r="C12003" s="46"/>
      <c r="D12003" s="46"/>
      <c r="E12003" s="46"/>
      <c r="F12003" s="46"/>
    </row>
    <row r="12004" customFormat="false" ht="7.5" hidden="false" customHeight="true" outlineLevel="0" collapsed="false">
      <c r="B12004" s="10"/>
      <c r="C12004" s="10"/>
      <c r="D12004" s="10"/>
      <c r="E12004" s="10"/>
      <c r="F12004" s="10"/>
    </row>
    <row r="12005" customFormat="false" ht="36.75" hidden="false" customHeight="true" outlineLevel="0" collapsed="false">
      <c r="B12005" s="37" t="str">
        <f aca="false">SUBSTITUTE(SUBSTITUTE(SUBSTITUTE(SUBSTITUTE(SUBSTITUTE(Txt_P5,"{cabinet}",Cab_Nom),"{societe}",IF($K$11971=0,"",INDEX(Clients!$E$2:$E$501,$K$11971)&amp;"")),"{date_effet}",$K$11973),"{hausse}",$K$11974),"{civilite}",$K$11972)</f>
        <v>Les autres conditions de votre lettre de mission demeurent inchangées. Les nouveaux montants seront appliqués automatiquement sur vos prochaines factures et échéances de prélèvement.</v>
      </c>
      <c r="C12005" s="37"/>
      <c r="D12005" s="37"/>
      <c r="E12005" s="37"/>
      <c r="F12005" s="37"/>
    </row>
    <row r="12006" customFormat="false" ht="36.75" hidden="false" customHeight="true" outlineLevel="0" collapsed="false">
      <c r="B12006" s="37" t="str">
        <f aca="false">SUBSTITUTE(SUBSTITUTE(SUBSTITUTE(SUBSTITUTE(SUBSTITUTE(Txt_P6,"{cabinet}",Cab_Nom),"{societe}",IF($K$11971=0,"",INDEX(Clients!$E$2:$E$501,$K$11971)&amp;"")),"{date_effet}",$K$11973),"{hausse}",$K$11974),"{civilite}",$K$11972)</f>
        <v>Votre interlocuteur habituel reste à votre entière disposition pour répondre à vos questions et faire le point sur l'évolution de vos besoins.</v>
      </c>
      <c r="C12006" s="37"/>
      <c r="D12006" s="37"/>
      <c r="E12006" s="37"/>
      <c r="F12006" s="37"/>
    </row>
    <row r="12007" customFormat="false" ht="24" hidden="false" customHeight="true" outlineLevel="0" collapsed="false">
      <c r="B12007" s="37" t="str">
        <f aca="false">SUBSTITUTE(SUBSTITUTE(SUBSTITUTE(SUBSTITUTE(SUBSTITUTE(Txt_Politesse,"{cabinet}",Cab_Nom),"{societe}",IF($K$11971=0,"",INDEX(Clients!$E$2:$E$501,$K$11971)&amp;"")),"{date_effet}",$K$11973),"{hausse}",$K$11974),"{civilite}",$K$11972)</f>
        <v>Nous vous prions d'agréer, Madame, Monsieur, l'expression de nos salutations distinguées.</v>
      </c>
      <c r="C12007" s="37"/>
      <c r="D12007" s="37"/>
      <c r="E12007" s="37"/>
      <c r="F12007" s="37"/>
    </row>
    <row r="12008" customFormat="false" ht="15" hidden="false" customHeight="false" outlineLevel="0" collapsed="false">
      <c r="B12008" s="10"/>
      <c r="C12008" s="10"/>
      <c r="D12008" s="10"/>
      <c r="E12008" s="10"/>
      <c r="F12008" s="10"/>
    </row>
    <row r="12009" customFormat="false" ht="15" hidden="false" customHeight="false" outlineLevel="0" collapsed="false">
      <c r="B12009" s="10"/>
      <c r="C12009" s="10"/>
      <c r="D12009" s="34" t="str">
        <f aca="false">Signataire</f>
        <v>Prénom NOM</v>
      </c>
      <c r="E12009" s="34"/>
      <c r="F12009" s="34"/>
    </row>
    <row r="12010" customFormat="false" ht="15" hidden="false" customHeight="false" outlineLevel="0" collapsed="false">
      <c r="B12010" s="10"/>
      <c r="C12010" s="10"/>
      <c r="D12010" s="47" t="str">
        <f aca="false">Signataire_Titre</f>
        <v>Expert-comptable associé</v>
      </c>
      <c r="E12010" s="47"/>
      <c r="F12010" s="47"/>
    </row>
    <row r="12011" customFormat="false" ht="15.75" hidden="false" customHeight="true" outlineLevel="0" collapsed="false">
      <c r="B12011" s="10"/>
      <c r="C12011" s="10"/>
      <c r="D12011" s="10"/>
      <c r="E12011" s="10"/>
      <c r="F12011" s="10"/>
    </row>
    <row r="12012" customFormat="false" ht="15.75" hidden="false" customHeight="true" outlineLevel="0" collapsed="false">
      <c r="B12012" s="10"/>
      <c r="C12012" s="10"/>
      <c r="D12012" s="10"/>
      <c r="E12012" s="10"/>
      <c r="F12012" s="10"/>
    </row>
    <row r="12013" customFormat="false" ht="15.75" hidden="false" customHeight="true" outlineLevel="0" collapsed="false">
      <c r="B12013" s="10"/>
      <c r="C12013" s="10"/>
      <c r="D12013" s="10"/>
      <c r="E12013" s="10"/>
      <c r="F12013" s="10"/>
    </row>
    <row r="12014" customFormat="false" ht="15.75" hidden="false" customHeight="true" outlineLevel="0" collapsed="false">
      <c r="B12014" s="10"/>
      <c r="C12014" s="10"/>
      <c r="D12014" s="10"/>
      <c r="E12014" s="10"/>
      <c r="F12014" s="10"/>
    </row>
    <row r="12015" customFormat="false" ht="24" hidden="false" customHeight="true" outlineLevel="0" collapsed="false">
      <c r="B12015" s="48" t="str">
        <f aca="false">Cab_Mentions</f>
        <v>ALTHO EXPERTISE · SAS au capital de 10 000 € · RCS Pontoise 919 706 325 · TVA FR62919706325 · Société d'expertise comptable inscrite au Tableau de l'Ordre des experts-comptables de Paris Île-de-France</v>
      </c>
      <c r="C12015" s="48"/>
      <c r="D12015" s="48"/>
      <c r="E12015" s="48"/>
      <c r="F12015" s="48"/>
    </row>
    <row r="12016" customFormat="false" ht="15" hidden="false" customHeight="false" outlineLevel="0" collapsed="false">
      <c r="B12016" s="10"/>
      <c r="C12016" s="10"/>
      <c r="D12016" s="10"/>
      <c r="E12016" s="10"/>
      <c r="F12016" s="10"/>
      <c r="J12016" s="25" t="s">
        <v>142</v>
      </c>
      <c r="K12016" s="25" t="n">
        <f aca="false">IFERROR(MATCH(268,Clients!$Z$2:$Z$501,0),0)</f>
        <v>0</v>
      </c>
      <c r="L12016" s="25"/>
      <c r="M12016" s="25"/>
      <c r="N12016" s="25"/>
      <c r="O12016" s="25"/>
    </row>
    <row r="12017" customFormat="false" ht="21.75" hidden="false" customHeight="true" outlineLevel="0" collapsed="false">
      <c r="B12017" s="26" t="str">
        <f aca="false">Cab_Nom</f>
        <v>ALTHO EXPERTISE</v>
      </c>
      <c r="C12017" s="26"/>
      <c r="D12017" s="10"/>
      <c r="E12017" s="27" t="str">
        <f aca="false">IF($K$12016=0,"","Réf. client : "&amp;INDEX(Clients!$A$2:$A$501,$K$12016))</f>
        <v/>
      </c>
      <c r="F12017" s="27"/>
      <c r="J12017" s="25" t="s">
        <v>144</v>
      </c>
      <c r="K12017" s="25" t="str">
        <f aca="false">IF(IF($K$12016=0,"",INDEX(Clients!$B$2:$B$501,$K$12016)&amp;"")="Mme","Madame",IF(IF($K$12016=0,"",INDEX(Clients!$B$2:$B$501,$K$12016)&amp;"")="M.","Monsieur","Madame, Monsieur"))</f>
        <v>Madame, Monsieur</v>
      </c>
      <c r="L12017" s="25"/>
      <c r="M12017" s="25"/>
      <c r="N12017" s="25"/>
      <c r="O12017" s="25"/>
    </row>
    <row r="12018" customFormat="false" ht="15" hidden="false" customHeight="false" outlineLevel="0" collapsed="false">
      <c r="B12018" s="29" t="str">
        <f aca="false">Cab_Adr1</f>
        <v>141 rue Charles de Gaulle</v>
      </c>
      <c r="C12018" s="29"/>
      <c r="D12018" s="10"/>
      <c r="E12018" s="10"/>
      <c r="F12018" s="10"/>
      <c r="J12018" s="25" t="s">
        <v>145</v>
      </c>
      <c r="K12018" s="25" t="str">
        <f aca="false">DAY(Date_Effet)&amp;IF(DAY(Date_Effet)=1,"er","")&amp;" "&amp;INDEX(Liste_Mois,MONTH(Date_Effet))&amp;" "&amp;YEAR(Date_Effet)</f>
        <v>1er janvier 2027</v>
      </c>
      <c r="L12018" s="25"/>
      <c r="M12018" s="25"/>
      <c r="N12018" s="25"/>
      <c r="O12018" s="25"/>
    </row>
    <row r="12019" customFormat="false" ht="15" hidden="false" customHeight="false" outlineLevel="0" collapsed="false">
      <c r="B12019" s="29" t="str">
        <f aca="false">Cab_CPVille</f>
        <v>95130 LE PLESSIS-BOUCHARD</v>
      </c>
      <c r="C12019" s="29"/>
      <c r="D12019" s="10"/>
      <c r="E12019" s="10"/>
      <c r="F12019" s="10"/>
      <c r="J12019" s="25" t="s">
        <v>146</v>
      </c>
      <c r="K12019" s="25" t="str">
        <f aca="false">IF(SUM($K$12043:$K$12046)=0,"",FIXED((SUM($L$12043:$L$12046)/SUM($K$12043:$K$12046)-1)*100,1)&amp;" %")</f>
        <v/>
      </c>
      <c r="L12019" s="25"/>
      <c r="M12019" s="25"/>
      <c r="N12019" s="25"/>
      <c r="O12019" s="25"/>
    </row>
    <row r="12020" customFormat="false" ht="15" hidden="false" customHeight="false" outlineLevel="0" collapsed="false">
      <c r="B12020" s="29" t="str">
        <f aca="false">Cab_Contact</f>
        <v>Tél. 01 34 14 53 45  ·  altho@altho-experts.com  ·  altho-experts.com</v>
      </c>
      <c r="C12020" s="29"/>
      <c r="D12020" s="10"/>
      <c r="E12020" s="10"/>
      <c r="F12020" s="10"/>
      <c r="J12020" s="25"/>
      <c r="K12020" s="25"/>
      <c r="L12020" s="25"/>
      <c r="M12020" s="25"/>
      <c r="N12020" s="25"/>
      <c r="O12020" s="25"/>
    </row>
    <row r="12021" customFormat="false" ht="6" hidden="false" customHeight="true" outlineLevel="0" collapsed="false">
      <c r="B12021" s="32"/>
      <c r="C12021" s="32"/>
      <c r="D12021" s="32"/>
      <c r="E12021" s="32"/>
      <c r="F12021" s="32"/>
      <c r="J12021" s="25"/>
      <c r="K12021" s="25"/>
      <c r="L12021" s="25"/>
      <c r="M12021" s="25"/>
      <c r="N12021" s="25"/>
      <c r="O12021" s="25"/>
    </row>
    <row r="12022" customFormat="false" ht="13.5" hidden="false" customHeight="true" outlineLevel="0" collapsed="false">
      <c r="B12022" s="10"/>
      <c r="C12022" s="10"/>
      <c r="D12022" s="10"/>
      <c r="E12022" s="10"/>
      <c r="F12022" s="10"/>
      <c r="J12022" s="25"/>
      <c r="K12022" s="25"/>
      <c r="L12022" s="25"/>
      <c r="M12022" s="25"/>
      <c r="N12022" s="25"/>
      <c r="O12022" s="25"/>
    </row>
    <row r="12023" customFormat="false" ht="13.5" hidden="false" customHeight="true" outlineLevel="0" collapsed="false">
      <c r="B12023" s="10"/>
      <c r="C12023" s="10"/>
      <c r="D12023" s="10"/>
      <c r="E12023" s="10"/>
      <c r="F12023" s="10"/>
      <c r="J12023" s="25"/>
      <c r="K12023" s="25"/>
      <c r="L12023" s="25"/>
      <c r="M12023" s="25"/>
      <c r="N12023" s="25"/>
      <c r="O12023" s="25"/>
    </row>
    <row r="12024" customFormat="false" ht="13.5" hidden="false" customHeight="true" outlineLevel="0" collapsed="false">
      <c r="B12024" s="10"/>
      <c r="C12024" s="10"/>
      <c r="D12024" s="10"/>
      <c r="E12024" s="10"/>
      <c r="F12024" s="10"/>
      <c r="J12024" s="25"/>
      <c r="K12024" s="25"/>
      <c r="L12024" s="25"/>
      <c r="M12024" s="25"/>
      <c r="N12024" s="25"/>
      <c r="O12024" s="25"/>
    </row>
    <row r="12025" customFormat="false" ht="15" hidden="false" customHeight="true" outlineLevel="0" collapsed="false">
      <c r="B12025" s="10"/>
      <c r="C12025" s="10"/>
      <c r="D12025" s="34" t="str">
        <f aca="false">IF($K$12016=0,"",INDEX(Clients!$E$2:$E$501,$K$12016)&amp;"")</f>
        <v/>
      </c>
      <c r="E12025" s="34"/>
      <c r="F12025" s="34"/>
      <c r="J12025" s="25"/>
      <c r="K12025" s="25"/>
      <c r="L12025" s="25"/>
      <c r="M12025" s="25"/>
      <c r="N12025" s="25"/>
      <c r="O12025" s="25"/>
    </row>
    <row r="12026" customFormat="false" ht="15" hidden="false" customHeight="true" outlineLevel="0" collapsed="false">
      <c r="B12026" s="10"/>
      <c r="C12026" s="10"/>
      <c r="D12026" s="35" t="str">
        <f aca="false">IF(IF($K$12016=0,"",INDEX(Clients!$D$2:$D$501,$K$12016)&amp;"")="","","À l'attention de "&amp;TRIM(IF($K$12016=0,"",INDEX(Clients!$B$2:$B$501,$K$12016)&amp;"")&amp;" "&amp;IF($K$12016=0,"",INDEX(Clients!$C$2:$C$501,$K$12016)&amp;"")&amp;" "&amp;IF($K$12016=0,"",INDEX(Clients!$D$2:$D$501,$K$12016)&amp;"")))</f>
        <v/>
      </c>
      <c r="E12026" s="35"/>
      <c r="F12026" s="35"/>
      <c r="J12026" s="25"/>
      <c r="K12026" s="25"/>
      <c r="L12026" s="25"/>
      <c r="M12026" s="25"/>
      <c r="N12026" s="25"/>
      <c r="O12026" s="25"/>
    </row>
    <row r="12027" customFormat="false" ht="15" hidden="false" customHeight="true" outlineLevel="0" collapsed="false">
      <c r="B12027" s="10"/>
      <c r="C12027" s="10"/>
      <c r="D12027" s="35" t="str">
        <f aca="false">IF($K$12016=0,"",INDEX(Clients!$F$2:$F$501,$K$12016)&amp;"")</f>
        <v/>
      </c>
      <c r="E12027" s="35"/>
      <c r="F12027" s="35"/>
      <c r="J12027" s="25"/>
      <c r="K12027" s="25"/>
      <c r="L12027" s="25"/>
      <c r="M12027" s="25"/>
      <c r="N12027" s="25"/>
      <c r="O12027" s="25"/>
    </row>
    <row r="12028" customFormat="false" ht="15" hidden="false" customHeight="true" outlineLevel="0" collapsed="false">
      <c r="B12028" s="10"/>
      <c r="C12028" s="10"/>
      <c r="D12028" s="35" t="str">
        <f aca="false">IF(IF($K$12016=0,"",INDEX(Clients!$G$2:$G$501,$K$12016)&amp;"")="",TRIM(IF($K$12016=0,"",INDEX(Clients!$H$2:$H$501,$K$12016)&amp;"")&amp;" "&amp;UPPER(IF($K$12016=0,"",INDEX(Clients!$I$2:$I$501,$K$12016)&amp;""))),IF($K$12016=0,"",INDEX(Clients!$G$2:$G$501,$K$12016)&amp;""))</f>
        <v/>
      </c>
      <c r="E12028" s="35"/>
      <c r="F12028" s="35"/>
      <c r="J12028" s="25"/>
      <c r="K12028" s="25"/>
      <c r="L12028" s="25"/>
      <c r="M12028" s="25"/>
      <c r="N12028" s="25"/>
      <c r="O12028" s="25"/>
    </row>
    <row r="12029" customFormat="false" ht="15" hidden="false" customHeight="true" outlineLevel="0" collapsed="false">
      <c r="B12029" s="10"/>
      <c r="C12029" s="10"/>
      <c r="D12029" s="35" t="str">
        <f aca="false">IF(IF($K$12016=0,"",INDEX(Clients!$G$2:$G$501,$K$12016)&amp;"")="","",TRIM(IF($K$12016=0,"",INDEX(Clients!$H$2:$H$501,$K$12016)&amp;"")&amp;" "&amp;UPPER(IF($K$12016=0,"",INDEX(Clients!$I$2:$I$501,$K$12016)&amp;""))))</f>
        <v/>
      </c>
      <c r="E12029" s="35"/>
      <c r="F12029" s="35"/>
      <c r="J12029" s="25"/>
      <c r="K12029" s="25"/>
      <c r="L12029" s="25"/>
      <c r="M12029" s="25"/>
      <c r="N12029" s="25"/>
      <c r="O12029" s="25"/>
    </row>
    <row r="12030" customFormat="false" ht="25.5" hidden="false" customHeight="true" outlineLevel="0" collapsed="false">
      <c r="B12030" s="10"/>
      <c r="C12030" s="10"/>
      <c r="D12030" s="10"/>
      <c r="E12030" s="10"/>
      <c r="F12030" s="10"/>
      <c r="J12030" s="25"/>
      <c r="K12030" s="25"/>
      <c r="L12030" s="25"/>
      <c r="M12030" s="25"/>
      <c r="N12030" s="25"/>
      <c r="O12030" s="25"/>
    </row>
    <row r="12031" customFormat="false" ht="15" hidden="false" customHeight="false" outlineLevel="0" collapsed="false">
      <c r="B12031" s="10"/>
      <c r="C12031" s="10"/>
      <c r="D12031" s="36" t="str">
        <f aca="false">Cab_Ville&amp;", le "&amp;DAY(Date_Courrier)&amp;IF(DAY(Date_Courrier)=1,"er","")&amp;" "&amp;INDEX(Liste_Mois,MONTH(Date_Courrier))&amp;" "&amp;YEAR(Date_Courrier)</f>
        <v>Le Plessis-Bouchard, le 22 septembre 2026</v>
      </c>
      <c r="E12031" s="36"/>
      <c r="F12031" s="36"/>
      <c r="J12031" s="25"/>
      <c r="K12031" s="25"/>
      <c r="L12031" s="25"/>
      <c r="M12031" s="25"/>
      <c r="N12031" s="25"/>
      <c r="O12031" s="25"/>
    </row>
    <row r="12032" customFormat="false" ht="19.5" hidden="false" customHeight="true" outlineLevel="0" collapsed="false">
      <c r="B12032" s="10"/>
      <c r="C12032" s="10"/>
      <c r="D12032" s="10"/>
      <c r="E12032" s="10"/>
      <c r="F12032" s="10"/>
      <c r="J12032" s="25"/>
      <c r="K12032" s="25"/>
      <c r="L12032" s="25"/>
      <c r="M12032" s="25"/>
      <c r="N12032" s="25"/>
      <c r="O12032" s="25"/>
    </row>
    <row r="12033" customFormat="false" ht="15" hidden="false" customHeight="false" outlineLevel="0" collapsed="false">
      <c r="B12033" s="34" t="str">
        <f aca="false">SUBSTITUTE(SUBSTITUTE(SUBSTITUTE(SUBSTITUTE(SUBSTITUTE(Txt_Objet,"{cabinet}",Cab_Nom),"{societe}",IF($K$12016=0,"",INDEX(Clients!$E$2:$E$501,$K$12016)&amp;"")),"{date_effet}",$K$12018),"{hausse}",$K$12019),"{civilite}",$K$12017)</f>
        <v>Objet : révision de nos honoraires au 1er janvier 2027</v>
      </c>
      <c r="C12033" s="34"/>
      <c r="D12033" s="34"/>
      <c r="E12033" s="34"/>
      <c r="F12033" s="34"/>
      <c r="J12033" s="25"/>
      <c r="K12033" s="25"/>
      <c r="L12033" s="25"/>
      <c r="M12033" s="25"/>
      <c r="N12033" s="25"/>
      <c r="O12033" s="25"/>
    </row>
    <row r="12034" customFormat="false" ht="13.5" hidden="false" customHeight="true" outlineLevel="0" collapsed="false">
      <c r="B12034" s="10"/>
      <c r="C12034" s="10"/>
      <c r="D12034" s="10"/>
      <c r="E12034" s="10"/>
      <c r="F12034" s="10"/>
      <c r="J12034" s="25"/>
      <c r="K12034" s="25"/>
      <c r="L12034" s="25"/>
      <c r="M12034" s="25"/>
      <c r="N12034" s="25"/>
      <c r="O12034" s="25"/>
    </row>
    <row r="12035" customFormat="false" ht="15" hidden="false" customHeight="false" outlineLevel="0" collapsed="false">
      <c r="B12035" s="10" t="str">
        <f aca="false">$K$12017&amp;","</f>
        <v>Madame, Monsieur,</v>
      </c>
      <c r="C12035" s="10"/>
      <c r="D12035" s="10"/>
      <c r="E12035" s="10"/>
      <c r="F12035" s="10"/>
      <c r="J12035" s="25"/>
      <c r="K12035" s="25"/>
      <c r="L12035" s="25"/>
      <c r="M12035" s="25"/>
      <c r="N12035" s="25"/>
      <c r="O12035" s="25"/>
    </row>
    <row r="12036" customFormat="false" ht="6" hidden="false" customHeight="true" outlineLevel="0" collapsed="false">
      <c r="B12036" s="10"/>
      <c r="C12036" s="10"/>
      <c r="D12036" s="10"/>
      <c r="E12036" s="10"/>
      <c r="F12036" s="10"/>
      <c r="J12036" s="25"/>
      <c r="K12036" s="25"/>
      <c r="L12036" s="25"/>
      <c r="M12036" s="25"/>
      <c r="N12036" s="25"/>
      <c r="O12036" s="25"/>
    </row>
    <row r="12037" customFormat="false" ht="36.75" hidden="false" customHeight="true" outlineLevel="0" collapsed="false">
      <c r="B12037" s="37" t="str">
        <f aca="false">SUBSTITUTE(SUBSTITUTE(SUBSTITUTE(SUBSTITUTE(SUBSTITUTE(Txt_P1,"{cabinet}",Cab_Nom),"{societe}",IF($K$12016=0,"",INDEX(Clients!$E$2:$E$501,$K$12016)&amp;"")),"{date_effet}",$K$12018),"{hausse}",$K$12019),"{civilite}",$K$12017)</f>
        <v>Nous tenons tout d'abord à vous remercier pour la confiance que vous accordez à ALTHO EXPERTISE. Comme chaque année, et conformément aux dispositions de votre lettre de mission, nous procédons à la révision de nos honoraires.</v>
      </c>
      <c r="C12037" s="37"/>
      <c r="D12037" s="37"/>
      <c r="E12037" s="37"/>
      <c r="F12037" s="37"/>
      <c r="J12037" s="25"/>
      <c r="K12037" s="25"/>
      <c r="L12037" s="25"/>
      <c r="M12037" s="25"/>
      <c r="N12037" s="25"/>
      <c r="O12037" s="25"/>
    </row>
    <row r="12038" customFormat="false" ht="49.5" hidden="false" customHeight="true" outlineLevel="0" collapsed="false">
      <c r="B12038" s="37" t="str">
        <f aca="false">SUBSTITUTE(SUBSTITUTE(SUBSTITUTE(SUBSTITUTE(SUBSTITUTE(Txt_P2,"{cabinet}",Cab_Nom),"{societe}",IF($K$12016=0,"",INDEX(Clients!$E$2:$E$501,$K$12016)&amp;"")),"{date_effet}",$K$12018),"{hausse}",$K$12019),"{civilite}",$K$12017)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038" s="37"/>
      <c r="D12038" s="37"/>
      <c r="E12038" s="37"/>
      <c r="F12038" s="37"/>
      <c r="J12038" s="25"/>
      <c r="K12038" s="25"/>
      <c r="L12038" s="25"/>
      <c r="M12038" s="25"/>
      <c r="N12038" s="25"/>
      <c r="O12038" s="25"/>
    </row>
    <row r="12039" customFormat="false" ht="63" hidden="false" customHeight="true" outlineLevel="0" collapsed="false">
      <c r="B12039" s="37" t="str">
        <f aca="false">SUBSTITUTE(SUBSTITUTE(SUBSTITUTE(SUBSTITUTE(SUBSTITUTE(Txt_P3,"{cabinet}",Cab_Nom),"{societe}",IF($K$12016=0,"",INDEX(Clients!$E$2:$E$501,$K$12016)&amp;"")),"{date_effet}",$K$12018),"{hausse}",$K$12019),"{civilite}",$K$12017)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039" s="37"/>
      <c r="D12039" s="37"/>
      <c r="E12039" s="37"/>
      <c r="F12039" s="37"/>
      <c r="J12039" s="25"/>
      <c r="K12039" s="25"/>
      <c r="L12039" s="25"/>
      <c r="M12039" s="25"/>
      <c r="N12039" s="25"/>
      <c r="O12039" s="25"/>
    </row>
    <row r="12040" customFormat="false" ht="24" hidden="false" customHeight="true" outlineLevel="0" collapsed="false">
      <c r="B12040" s="37" t="str">
        <f aca="false">SUBSTITUTE(SUBSTITUTE(SUBSTITUTE(SUBSTITUTE(SUBSTITUTE(Txt_P4,"{cabinet}",Cab_Nom),"{societe}",IF($K$12016=0,"",INDEX(Clients!$E$2:$E$501,$K$12016)&amp;"")),"{date_effet}",$K$12018),"{hausse}",$K$12019),"{civilite}",$K$12017)</f>
        <v>À compter du 1er janvier 2027, vos honoraires annuels hors taxes évolueront ainsi (évolution globale : ) :</v>
      </c>
      <c r="C12040" s="37"/>
      <c r="D12040" s="37"/>
      <c r="E12040" s="37"/>
      <c r="F12040" s="37"/>
      <c r="J12040" s="25"/>
      <c r="K12040" s="25"/>
      <c r="L12040" s="25"/>
      <c r="M12040" s="25"/>
      <c r="N12040" s="25"/>
      <c r="O12040" s="25"/>
    </row>
    <row r="12041" customFormat="false" ht="3.75" hidden="false" customHeight="true" outlineLevel="0" collapsed="false">
      <c r="B12041" s="10"/>
      <c r="C12041" s="10"/>
      <c r="D12041" s="10"/>
      <c r="E12041" s="10"/>
      <c r="F12041" s="10"/>
      <c r="J12041" s="25"/>
      <c r="K12041" s="25"/>
      <c r="L12041" s="25"/>
      <c r="M12041" s="25"/>
      <c r="N12041" s="25"/>
      <c r="O12041" s="25"/>
    </row>
    <row r="12042" customFormat="false" ht="18" hidden="false" customHeight="true" outlineLevel="0" collapsed="false">
      <c r="B12042" s="38" t="s">
        <v>148</v>
      </c>
      <c r="C12042" s="39" t="s">
        <v>149</v>
      </c>
      <c r="D12042" s="39" t="s">
        <v>150</v>
      </c>
      <c r="E12042" s="39" t="s">
        <v>151</v>
      </c>
      <c r="F12042" s="39" t="s">
        <v>109</v>
      </c>
      <c r="J12042" s="25" t="s">
        <v>152</v>
      </c>
      <c r="K12042" s="25" t="s">
        <v>153</v>
      </c>
      <c r="L12042" s="25" t="s">
        <v>154</v>
      </c>
      <c r="M12042" s="25" t="s">
        <v>155</v>
      </c>
      <c r="N12042" s="25" t="s">
        <v>156</v>
      </c>
      <c r="O12042" s="25" t="s">
        <v>157</v>
      </c>
    </row>
    <row r="12043" customFormat="false" ht="16.5" hidden="false" customHeight="true" outlineLevel="0" collapsed="false">
      <c r="B12043" s="40" t="str">
        <f aca="false">IFERROR(INDEX($J$12043:$J$12046,MATCH($O12043,$N$12043:$N$12046,0)),"")</f>
        <v/>
      </c>
      <c r="C12043" s="41" t="str">
        <f aca="false">IFERROR(INDEX($K$12043:$K$12046,MATCH($O12043,$N$12043:$N$12046,0)),"")</f>
        <v/>
      </c>
      <c r="D12043" s="42" t="str">
        <f aca="false">IF(OR(E12043="",N(C12043)=0),"",E12043/C12043-1)</f>
        <v/>
      </c>
      <c r="E12043" s="41" t="str">
        <f aca="false">IFERROR(INDEX($L$12043:$L$12046,MATCH($O12043,$N$12043:$N$12046,0)),"")</f>
        <v/>
      </c>
      <c r="F12043" s="41" t="str">
        <f aca="false">IF(E12043="","",E12043-C12043)</f>
        <v/>
      </c>
      <c r="J12043" s="25" t="str">
        <f aca="false">Lib_Compta</f>
        <v>Mission comptable (tenue, révision, bilan, liasse fiscale)</v>
      </c>
      <c r="K12043" s="25" t="n">
        <f aca="false">IF($K$12016=0,0,N(INDEX(Clients!$K$2:$K$501,$K$12016)))</f>
        <v>0</v>
      </c>
      <c r="L12043" s="25" t="n">
        <f aca="false">IF($K$12016=0,0,N(INDEX(Clients!$P$2:$P$501,$K$12016)))</f>
        <v>0</v>
      </c>
      <c r="M12043" s="25" t="n">
        <f aca="false">IF(OR(K12043&lt;&gt;0,L12043&lt;&gt;0),1,0)</f>
        <v>0</v>
      </c>
      <c r="N12043" s="25" t="str">
        <f aca="false">IF(M12043=1,SUM($M$12043:M12043),"")</f>
        <v/>
      </c>
      <c r="O12043" s="25" t="n">
        <v>1</v>
      </c>
    </row>
    <row r="12044" customFormat="false" ht="16.5" hidden="false" customHeight="true" outlineLevel="0" collapsed="false">
      <c r="B12044" s="40" t="str">
        <f aca="false">IFERROR(INDEX($J$12043:$J$12046,MATCH($O12044,$N$12043:$N$12046,0)),"")</f>
        <v/>
      </c>
      <c r="C12044" s="41" t="str">
        <f aca="false">IFERROR(INDEX($K$12043:$K$12046,MATCH($O12044,$N$12043:$N$12046,0)),"")</f>
        <v/>
      </c>
      <c r="D12044" s="42" t="str">
        <f aca="false">IF(OR(E12044="",N(C12044)=0),"",E12044/C12044-1)</f>
        <v/>
      </c>
      <c r="E12044" s="41" t="str">
        <f aca="false">IFERROR(INDEX($L$12043:$L$12046,MATCH($O12044,$N$12043:$N$12046,0)),"")</f>
        <v/>
      </c>
      <c r="F12044" s="41" t="str">
        <f aca="false">IF(E12044="","",E12044-C12044)</f>
        <v/>
      </c>
      <c r="J12044" s="25" t="str">
        <f aca="false">Lib_Paye</f>
        <v>Mission sociale (bulletins de paie, DSN, déclarations sociales)</v>
      </c>
      <c r="K12044" s="25" t="n">
        <f aca="false">IF($K$12016=0,0,N(INDEX(Clients!$L$2:$L$501,$K$12016)))</f>
        <v>0</v>
      </c>
      <c r="L12044" s="25" t="n">
        <f aca="false">IF($K$12016=0,0,N(INDEX(Clients!$Q$2:$Q$501,$K$12016)))</f>
        <v>0</v>
      </c>
      <c r="M12044" s="25" t="n">
        <f aca="false">IF(OR(K12044&lt;&gt;0,L12044&lt;&gt;0),1,0)</f>
        <v>0</v>
      </c>
      <c r="N12044" s="25" t="str">
        <f aca="false">IF(M12044=1,SUM($M$12043:M12044),"")</f>
        <v/>
      </c>
      <c r="O12044" s="25" t="n">
        <v>2</v>
      </c>
    </row>
    <row r="12045" customFormat="false" ht="16.5" hidden="false" customHeight="true" outlineLevel="0" collapsed="false">
      <c r="B12045" s="40" t="str">
        <f aca="false">IFERROR(INDEX($J$12043:$J$12046,MATCH($O12045,$N$12043:$N$12046,0)),"")</f>
        <v/>
      </c>
      <c r="C12045" s="41" t="str">
        <f aca="false">IFERROR(INDEX($K$12043:$K$12046,MATCH($O12045,$N$12043:$N$12046,0)),"")</f>
        <v/>
      </c>
      <c r="D12045" s="42" t="str">
        <f aca="false">IF(OR(E12045="",N(C12045)=0),"",E12045/C12045-1)</f>
        <v/>
      </c>
      <c r="E12045" s="41" t="str">
        <f aca="false">IFERROR(INDEX($L$12043:$L$12046,MATCH($O12045,$N$12043:$N$12046,0)),"")</f>
        <v/>
      </c>
      <c r="F12045" s="41" t="str">
        <f aca="false">IF(E12045="","",E12045-C12045)</f>
        <v/>
      </c>
      <c r="J12045" s="25" t="str">
        <f aca="false">Lib_Jur</f>
        <v>Mission juridique (approbation des comptes, secrétariat juridique)</v>
      </c>
      <c r="K12045" s="25" t="n">
        <f aca="false">IF($K$12016=0,0,N(INDEX(Clients!$M$2:$M$501,$K$12016)))</f>
        <v>0</v>
      </c>
      <c r="L12045" s="25" t="n">
        <f aca="false">IF($K$12016=0,0,N(INDEX(Clients!$R$2:$R$501,$K$12016)))</f>
        <v>0</v>
      </c>
      <c r="M12045" s="25" t="n">
        <f aca="false">IF(OR(K12045&lt;&gt;0,L12045&lt;&gt;0),1,0)</f>
        <v>0</v>
      </c>
      <c r="N12045" s="25" t="str">
        <f aca="false">IF(M12045=1,SUM($M$12043:M12045),"")</f>
        <v/>
      </c>
      <c r="O12045" s="25" t="n">
        <v>3</v>
      </c>
    </row>
    <row r="12046" customFormat="false" ht="16.5" hidden="false" customHeight="true" outlineLevel="0" collapsed="false">
      <c r="B12046" s="40" t="str">
        <f aca="false">IFERROR(INDEX($J$12043:$J$12046,MATCH($O12046,$N$12043:$N$12046,0)),"")</f>
        <v/>
      </c>
      <c r="C12046" s="41" t="str">
        <f aca="false">IFERROR(INDEX($K$12043:$K$12046,MATCH($O12046,$N$12043:$N$12046,0)),"")</f>
        <v/>
      </c>
      <c r="D12046" s="42" t="str">
        <f aca="false">IF(OR(E12046="",N(C12046)=0),"",E12046/C12046-1)</f>
        <v/>
      </c>
      <c r="E12046" s="41" t="str">
        <f aca="false">IFERROR(INDEX($L$12043:$L$12046,MATCH($O12046,$N$12043:$N$12046,0)),"")</f>
        <v/>
      </c>
      <c r="F12046" s="41" t="str">
        <f aca="false">IF(E12046="","",E12046-C12046)</f>
        <v/>
      </c>
      <c r="J12046" s="25" t="str">
        <f aca="false">Lib_PA</f>
        <v>Plateforme agréée – facturation électronique</v>
      </c>
      <c r="K12046" s="25" t="n">
        <f aca="false">IF($K$12016=0,0,N(INDEX(Clients!$N$2:$N$501,$K$12016)))</f>
        <v>0</v>
      </c>
      <c r="L12046" s="25" t="n">
        <f aca="false">IF($K$12016=0,0,N(INDEX(Clients!$S$2:$S$501,$K$12016)))</f>
        <v>0</v>
      </c>
      <c r="M12046" s="25" t="n">
        <f aca="false">IF(OR(K12046&lt;&gt;0,L12046&lt;&gt;0),1,0)</f>
        <v>0</v>
      </c>
      <c r="N12046" s="25" t="str">
        <f aca="false">IF(M12046=1,SUM($M$12043:M12046),"")</f>
        <v/>
      </c>
      <c r="O12046" s="25" t="n">
        <v>4</v>
      </c>
    </row>
    <row r="12047" customFormat="false" ht="18" hidden="false" customHeight="true" outlineLevel="0" collapsed="false">
      <c r="B12047" s="43" t="s">
        <v>158</v>
      </c>
      <c r="C12047" s="44" t="n">
        <f aca="false">SUM(K12043:K12046)</f>
        <v>0</v>
      </c>
      <c r="D12047" s="45" t="str">
        <f aca="false">IF(N(C12047)=0,"",E12047/C12047-1)</f>
        <v/>
      </c>
      <c r="E12047" s="44" t="n">
        <f aca="false">SUM(L12043:L12046)</f>
        <v>0</v>
      </c>
      <c r="F12047" s="44" t="n">
        <f aca="false">E12047-C12047</f>
        <v>0</v>
      </c>
    </row>
    <row r="12048" customFormat="false" ht="15" hidden="false" customHeight="false" outlineLevel="0" collapsed="false">
      <c r="B12048" s="46" t="str">
        <f aca="false">IF(N(Nb_Mensualites)=0,"","Soit "&amp;FIXED(E12047/Nb_Mensualites,2)&amp;" € HT par échéance ("&amp;Nb_Mensualites&amp;" échéances), "&amp;FIXED(E12047/Nb_Mensualites*(1+Taux_TVA),2)&amp;" € TTC.")</f>
        <v>Soit 0.00 € HT par échéance (12 échéances), 0.00 € TTC.</v>
      </c>
      <c r="C12048" s="46"/>
      <c r="D12048" s="46"/>
      <c r="E12048" s="46"/>
      <c r="F12048" s="46"/>
    </row>
    <row r="12049" customFormat="false" ht="7.5" hidden="false" customHeight="true" outlineLevel="0" collapsed="false">
      <c r="B12049" s="10"/>
      <c r="C12049" s="10"/>
      <c r="D12049" s="10"/>
      <c r="E12049" s="10"/>
      <c r="F12049" s="10"/>
    </row>
    <row r="12050" customFormat="false" ht="36.75" hidden="false" customHeight="true" outlineLevel="0" collapsed="false">
      <c r="B12050" s="37" t="str">
        <f aca="false">SUBSTITUTE(SUBSTITUTE(SUBSTITUTE(SUBSTITUTE(SUBSTITUTE(Txt_P5,"{cabinet}",Cab_Nom),"{societe}",IF($K$12016=0,"",INDEX(Clients!$E$2:$E$501,$K$12016)&amp;"")),"{date_effet}",$K$12018),"{hausse}",$K$12019),"{civilite}",$K$12017)</f>
        <v>Les autres conditions de votre lettre de mission demeurent inchangées. Les nouveaux montants seront appliqués automatiquement sur vos prochaines factures et échéances de prélèvement.</v>
      </c>
      <c r="C12050" s="37"/>
      <c r="D12050" s="37"/>
      <c r="E12050" s="37"/>
      <c r="F12050" s="37"/>
    </row>
    <row r="12051" customFormat="false" ht="36.75" hidden="false" customHeight="true" outlineLevel="0" collapsed="false">
      <c r="B12051" s="37" t="str">
        <f aca="false">SUBSTITUTE(SUBSTITUTE(SUBSTITUTE(SUBSTITUTE(SUBSTITUTE(Txt_P6,"{cabinet}",Cab_Nom),"{societe}",IF($K$12016=0,"",INDEX(Clients!$E$2:$E$501,$K$12016)&amp;"")),"{date_effet}",$K$12018),"{hausse}",$K$12019),"{civilite}",$K$12017)</f>
        <v>Votre interlocuteur habituel reste à votre entière disposition pour répondre à vos questions et faire le point sur l'évolution de vos besoins.</v>
      </c>
      <c r="C12051" s="37"/>
      <c r="D12051" s="37"/>
      <c r="E12051" s="37"/>
      <c r="F12051" s="37"/>
    </row>
    <row r="12052" customFormat="false" ht="24" hidden="false" customHeight="true" outlineLevel="0" collapsed="false">
      <c r="B12052" s="37" t="str">
        <f aca="false">SUBSTITUTE(SUBSTITUTE(SUBSTITUTE(SUBSTITUTE(SUBSTITUTE(Txt_Politesse,"{cabinet}",Cab_Nom),"{societe}",IF($K$12016=0,"",INDEX(Clients!$E$2:$E$501,$K$12016)&amp;"")),"{date_effet}",$K$12018),"{hausse}",$K$12019),"{civilite}",$K$12017)</f>
        <v>Nous vous prions d'agréer, Madame, Monsieur, l'expression de nos salutations distinguées.</v>
      </c>
      <c r="C12052" s="37"/>
      <c r="D12052" s="37"/>
      <c r="E12052" s="37"/>
      <c r="F12052" s="37"/>
    </row>
    <row r="12053" customFormat="false" ht="15" hidden="false" customHeight="false" outlineLevel="0" collapsed="false">
      <c r="B12053" s="10"/>
      <c r="C12053" s="10"/>
      <c r="D12053" s="10"/>
      <c r="E12053" s="10"/>
      <c r="F12053" s="10"/>
    </row>
    <row r="12054" customFormat="false" ht="15" hidden="false" customHeight="false" outlineLevel="0" collapsed="false">
      <c r="B12054" s="10"/>
      <c r="C12054" s="10"/>
      <c r="D12054" s="34" t="str">
        <f aca="false">Signataire</f>
        <v>Prénom NOM</v>
      </c>
      <c r="E12054" s="34"/>
      <c r="F12054" s="34"/>
    </row>
    <row r="12055" customFormat="false" ht="15" hidden="false" customHeight="false" outlineLevel="0" collapsed="false">
      <c r="B12055" s="10"/>
      <c r="C12055" s="10"/>
      <c r="D12055" s="47" t="str">
        <f aca="false">Signataire_Titre</f>
        <v>Expert-comptable associé</v>
      </c>
      <c r="E12055" s="47"/>
      <c r="F12055" s="47"/>
    </row>
    <row r="12056" customFormat="false" ht="15.75" hidden="false" customHeight="true" outlineLevel="0" collapsed="false">
      <c r="B12056" s="10"/>
      <c r="C12056" s="10"/>
      <c r="D12056" s="10"/>
      <c r="E12056" s="10"/>
      <c r="F12056" s="10"/>
    </row>
    <row r="12057" customFormat="false" ht="15.75" hidden="false" customHeight="true" outlineLevel="0" collapsed="false">
      <c r="B12057" s="10"/>
      <c r="C12057" s="10"/>
      <c r="D12057" s="10"/>
      <c r="E12057" s="10"/>
      <c r="F12057" s="10"/>
    </row>
    <row r="12058" customFormat="false" ht="15.75" hidden="false" customHeight="true" outlineLevel="0" collapsed="false">
      <c r="B12058" s="10"/>
      <c r="C12058" s="10"/>
      <c r="D12058" s="10"/>
      <c r="E12058" s="10"/>
      <c r="F12058" s="10"/>
    </row>
    <row r="12059" customFormat="false" ht="15.75" hidden="false" customHeight="true" outlineLevel="0" collapsed="false">
      <c r="B12059" s="10"/>
      <c r="C12059" s="10"/>
      <c r="D12059" s="10"/>
      <c r="E12059" s="10"/>
      <c r="F12059" s="10"/>
    </row>
    <row r="12060" customFormat="false" ht="24" hidden="false" customHeight="true" outlineLevel="0" collapsed="false">
      <c r="B12060" s="48" t="str">
        <f aca="false">Cab_Mentions</f>
        <v>ALTHO EXPERTISE · SAS au capital de 10 000 € · RCS Pontoise 919 706 325 · TVA FR62919706325 · Société d'expertise comptable inscrite au Tableau de l'Ordre des experts-comptables de Paris Île-de-France</v>
      </c>
      <c r="C12060" s="48"/>
      <c r="D12060" s="48"/>
      <c r="E12060" s="48"/>
      <c r="F12060" s="48"/>
    </row>
    <row r="12061" customFormat="false" ht="15" hidden="false" customHeight="false" outlineLevel="0" collapsed="false">
      <c r="B12061" s="10"/>
      <c r="C12061" s="10"/>
      <c r="D12061" s="10"/>
      <c r="E12061" s="10"/>
      <c r="F12061" s="10"/>
      <c r="J12061" s="25" t="s">
        <v>142</v>
      </c>
      <c r="K12061" s="25" t="n">
        <f aca="false">IFERROR(MATCH(269,Clients!$Z$2:$Z$501,0),0)</f>
        <v>0</v>
      </c>
      <c r="L12061" s="25"/>
      <c r="M12061" s="25"/>
      <c r="N12061" s="25"/>
      <c r="O12061" s="25"/>
    </row>
    <row r="12062" customFormat="false" ht="21.75" hidden="false" customHeight="true" outlineLevel="0" collapsed="false">
      <c r="B12062" s="26" t="str">
        <f aca="false">Cab_Nom</f>
        <v>ALTHO EXPERTISE</v>
      </c>
      <c r="C12062" s="26"/>
      <c r="D12062" s="10"/>
      <c r="E12062" s="27" t="str">
        <f aca="false">IF($K$12061=0,"","Réf. client : "&amp;INDEX(Clients!$A$2:$A$501,$K$12061))</f>
        <v/>
      </c>
      <c r="F12062" s="27"/>
      <c r="J12062" s="25" t="s">
        <v>144</v>
      </c>
      <c r="K12062" s="25" t="str">
        <f aca="false">IF(IF($K$12061=0,"",INDEX(Clients!$B$2:$B$501,$K$12061)&amp;"")="Mme","Madame",IF(IF($K$12061=0,"",INDEX(Clients!$B$2:$B$501,$K$12061)&amp;"")="M.","Monsieur","Madame, Monsieur"))</f>
        <v>Madame, Monsieur</v>
      </c>
      <c r="L12062" s="25"/>
      <c r="M12062" s="25"/>
      <c r="N12062" s="25"/>
      <c r="O12062" s="25"/>
    </row>
    <row r="12063" customFormat="false" ht="15" hidden="false" customHeight="false" outlineLevel="0" collapsed="false">
      <c r="B12063" s="29" t="str">
        <f aca="false">Cab_Adr1</f>
        <v>141 rue Charles de Gaulle</v>
      </c>
      <c r="C12063" s="29"/>
      <c r="D12063" s="10"/>
      <c r="E12063" s="10"/>
      <c r="F12063" s="10"/>
      <c r="J12063" s="25" t="s">
        <v>145</v>
      </c>
      <c r="K12063" s="25" t="str">
        <f aca="false">DAY(Date_Effet)&amp;IF(DAY(Date_Effet)=1,"er","")&amp;" "&amp;INDEX(Liste_Mois,MONTH(Date_Effet))&amp;" "&amp;YEAR(Date_Effet)</f>
        <v>1er janvier 2027</v>
      </c>
      <c r="L12063" s="25"/>
      <c r="M12063" s="25"/>
      <c r="N12063" s="25"/>
      <c r="O12063" s="25"/>
    </row>
    <row r="12064" customFormat="false" ht="15" hidden="false" customHeight="false" outlineLevel="0" collapsed="false">
      <c r="B12064" s="29" t="str">
        <f aca="false">Cab_CPVille</f>
        <v>95130 LE PLESSIS-BOUCHARD</v>
      </c>
      <c r="C12064" s="29"/>
      <c r="D12064" s="10"/>
      <c r="E12064" s="10"/>
      <c r="F12064" s="10"/>
      <c r="J12064" s="25" t="s">
        <v>146</v>
      </c>
      <c r="K12064" s="25" t="str">
        <f aca="false">IF(SUM($K$12088:$K$12091)=0,"",FIXED((SUM($L$12088:$L$12091)/SUM($K$12088:$K$12091)-1)*100,1)&amp;" %")</f>
        <v/>
      </c>
      <c r="L12064" s="25"/>
      <c r="M12064" s="25"/>
      <c r="N12064" s="25"/>
      <c r="O12064" s="25"/>
    </row>
    <row r="12065" customFormat="false" ht="15" hidden="false" customHeight="false" outlineLevel="0" collapsed="false">
      <c r="B12065" s="29" t="str">
        <f aca="false">Cab_Contact</f>
        <v>Tél. 01 34 14 53 45  ·  altho@altho-experts.com  ·  altho-experts.com</v>
      </c>
      <c r="C12065" s="29"/>
      <c r="D12065" s="10"/>
      <c r="E12065" s="10"/>
      <c r="F12065" s="10"/>
      <c r="J12065" s="25"/>
      <c r="K12065" s="25"/>
      <c r="L12065" s="25"/>
      <c r="M12065" s="25"/>
      <c r="N12065" s="25"/>
      <c r="O12065" s="25"/>
    </row>
    <row r="12066" customFormat="false" ht="6" hidden="false" customHeight="true" outlineLevel="0" collapsed="false">
      <c r="B12066" s="32"/>
      <c r="C12066" s="32"/>
      <c r="D12066" s="32"/>
      <c r="E12066" s="32"/>
      <c r="F12066" s="32"/>
      <c r="J12066" s="25"/>
      <c r="K12066" s="25"/>
      <c r="L12066" s="25"/>
      <c r="M12066" s="25"/>
      <c r="N12066" s="25"/>
      <c r="O12066" s="25"/>
    </row>
    <row r="12067" customFormat="false" ht="13.5" hidden="false" customHeight="true" outlineLevel="0" collapsed="false">
      <c r="B12067" s="10"/>
      <c r="C12067" s="10"/>
      <c r="D12067" s="10"/>
      <c r="E12067" s="10"/>
      <c r="F12067" s="10"/>
      <c r="J12067" s="25"/>
      <c r="K12067" s="25"/>
      <c r="L12067" s="25"/>
      <c r="M12067" s="25"/>
      <c r="N12067" s="25"/>
      <c r="O12067" s="25"/>
    </row>
    <row r="12068" customFormat="false" ht="13.5" hidden="false" customHeight="true" outlineLevel="0" collapsed="false">
      <c r="B12068" s="10"/>
      <c r="C12068" s="10"/>
      <c r="D12068" s="10"/>
      <c r="E12068" s="10"/>
      <c r="F12068" s="10"/>
      <c r="J12068" s="25"/>
      <c r="K12068" s="25"/>
      <c r="L12068" s="25"/>
      <c r="M12068" s="25"/>
      <c r="N12068" s="25"/>
      <c r="O12068" s="25"/>
    </row>
    <row r="12069" customFormat="false" ht="13.5" hidden="false" customHeight="true" outlineLevel="0" collapsed="false">
      <c r="B12069" s="10"/>
      <c r="C12069" s="10"/>
      <c r="D12069" s="10"/>
      <c r="E12069" s="10"/>
      <c r="F12069" s="10"/>
      <c r="J12069" s="25"/>
      <c r="K12069" s="25"/>
      <c r="L12069" s="25"/>
      <c r="M12069" s="25"/>
      <c r="N12069" s="25"/>
      <c r="O12069" s="25"/>
    </row>
    <row r="12070" customFormat="false" ht="15" hidden="false" customHeight="true" outlineLevel="0" collapsed="false">
      <c r="B12070" s="10"/>
      <c r="C12070" s="10"/>
      <c r="D12070" s="34" t="str">
        <f aca="false">IF($K$12061=0,"",INDEX(Clients!$E$2:$E$501,$K$12061)&amp;"")</f>
        <v/>
      </c>
      <c r="E12070" s="34"/>
      <c r="F12070" s="34"/>
      <c r="J12070" s="25"/>
      <c r="K12070" s="25"/>
      <c r="L12070" s="25"/>
      <c r="M12070" s="25"/>
      <c r="N12070" s="25"/>
      <c r="O12070" s="25"/>
    </row>
    <row r="12071" customFormat="false" ht="15" hidden="false" customHeight="true" outlineLevel="0" collapsed="false">
      <c r="B12071" s="10"/>
      <c r="C12071" s="10"/>
      <c r="D12071" s="35" t="str">
        <f aca="false">IF(IF($K$12061=0,"",INDEX(Clients!$D$2:$D$501,$K$12061)&amp;"")="","","À l'attention de "&amp;TRIM(IF($K$12061=0,"",INDEX(Clients!$B$2:$B$501,$K$12061)&amp;"")&amp;" "&amp;IF($K$12061=0,"",INDEX(Clients!$C$2:$C$501,$K$12061)&amp;"")&amp;" "&amp;IF($K$12061=0,"",INDEX(Clients!$D$2:$D$501,$K$12061)&amp;"")))</f>
        <v/>
      </c>
      <c r="E12071" s="35"/>
      <c r="F12071" s="35"/>
      <c r="J12071" s="25"/>
      <c r="K12071" s="25"/>
      <c r="L12071" s="25"/>
      <c r="M12071" s="25"/>
      <c r="N12071" s="25"/>
      <c r="O12071" s="25"/>
    </row>
    <row r="12072" customFormat="false" ht="15" hidden="false" customHeight="true" outlineLevel="0" collapsed="false">
      <c r="B12072" s="10"/>
      <c r="C12072" s="10"/>
      <c r="D12072" s="35" t="str">
        <f aca="false">IF($K$12061=0,"",INDEX(Clients!$F$2:$F$501,$K$12061)&amp;"")</f>
        <v/>
      </c>
      <c r="E12072" s="35"/>
      <c r="F12072" s="35"/>
      <c r="J12072" s="25"/>
      <c r="K12072" s="25"/>
      <c r="L12072" s="25"/>
      <c r="M12072" s="25"/>
      <c r="N12072" s="25"/>
      <c r="O12072" s="25"/>
    </row>
    <row r="12073" customFormat="false" ht="15" hidden="false" customHeight="true" outlineLevel="0" collapsed="false">
      <c r="B12073" s="10"/>
      <c r="C12073" s="10"/>
      <c r="D12073" s="35" t="str">
        <f aca="false">IF(IF($K$12061=0,"",INDEX(Clients!$G$2:$G$501,$K$12061)&amp;"")="",TRIM(IF($K$12061=0,"",INDEX(Clients!$H$2:$H$501,$K$12061)&amp;"")&amp;" "&amp;UPPER(IF($K$12061=0,"",INDEX(Clients!$I$2:$I$501,$K$12061)&amp;""))),IF($K$12061=0,"",INDEX(Clients!$G$2:$G$501,$K$12061)&amp;""))</f>
        <v/>
      </c>
      <c r="E12073" s="35"/>
      <c r="F12073" s="35"/>
      <c r="J12073" s="25"/>
      <c r="K12073" s="25"/>
      <c r="L12073" s="25"/>
      <c r="M12073" s="25"/>
      <c r="N12073" s="25"/>
      <c r="O12073" s="25"/>
    </row>
    <row r="12074" customFormat="false" ht="15" hidden="false" customHeight="true" outlineLevel="0" collapsed="false">
      <c r="B12074" s="10"/>
      <c r="C12074" s="10"/>
      <c r="D12074" s="35" t="str">
        <f aca="false">IF(IF($K$12061=0,"",INDEX(Clients!$G$2:$G$501,$K$12061)&amp;"")="","",TRIM(IF($K$12061=0,"",INDEX(Clients!$H$2:$H$501,$K$12061)&amp;"")&amp;" "&amp;UPPER(IF($K$12061=0,"",INDEX(Clients!$I$2:$I$501,$K$12061)&amp;""))))</f>
        <v/>
      </c>
      <c r="E12074" s="35"/>
      <c r="F12074" s="35"/>
      <c r="J12074" s="25"/>
      <c r="K12074" s="25"/>
      <c r="L12074" s="25"/>
      <c r="M12074" s="25"/>
      <c r="N12074" s="25"/>
      <c r="O12074" s="25"/>
    </row>
    <row r="12075" customFormat="false" ht="25.5" hidden="false" customHeight="true" outlineLevel="0" collapsed="false">
      <c r="B12075" s="10"/>
      <c r="C12075" s="10"/>
      <c r="D12075" s="10"/>
      <c r="E12075" s="10"/>
      <c r="F12075" s="10"/>
      <c r="J12075" s="25"/>
      <c r="K12075" s="25"/>
      <c r="L12075" s="25"/>
      <c r="M12075" s="25"/>
      <c r="N12075" s="25"/>
      <c r="O12075" s="25"/>
    </row>
    <row r="12076" customFormat="false" ht="15" hidden="false" customHeight="false" outlineLevel="0" collapsed="false">
      <c r="B12076" s="10"/>
      <c r="C12076" s="10"/>
      <c r="D12076" s="36" t="str">
        <f aca="false">Cab_Ville&amp;", le "&amp;DAY(Date_Courrier)&amp;IF(DAY(Date_Courrier)=1,"er","")&amp;" "&amp;INDEX(Liste_Mois,MONTH(Date_Courrier))&amp;" "&amp;YEAR(Date_Courrier)</f>
        <v>Le Plessis-Bouchard, le 22 septembre 2026</v>
      </c>
      <c r="E12076" s="36"/>
      <c r="F12076" s="36"/>
      <c r="J12076" s="25"/>
      <c r="K12076" s="25"/>
      <c r="L12076" s="25"/>
      <c r="M12076" s="25"/>
      <c r="N12076" s="25"/>
      <c r="O12076" s="25"/>
    </row>
    <row r="12077" customFormat="false" ht="19.5" hidden="false" customHeight="true" outlineLevel="0" collapsed="false">
      <c r="B12077" s="10"/>
      <c r="C12077" s="10"/>
      <c r="D12077" s="10"/>
      <c r="E12077" s="10"/>
      <c r="F12077" s="10"/>
      <c r="J12077" s="25"/>
      <c r="K12077" s="25"/>
      <c r="L12077" s="25"/>
      <c r="M12077" s="25"/>
      <c r="N12077" s="25"/>
      <c r="O12077" s="25"/>
    </row>
    <row r="12078" customFormat="false" ht="15" hidden="false" customHeight="false" outlineLevel="0" collapsed="false">
      <c r="B12078" s="34" t="str">
        <f aca="false">SUBSTITUTE(SUBSTITUTE(SUBSTITUTE(SUBSTITUTE(SUBSTITUTE(Txt_Objet,"{cabinet}",Cab_Nom),"{societe}",IF($K$12061=0,"",INDEX(Clients!$E$2:$E$501,$K$12061)&amp;"")),"{date_effet}",$K$12063),"{hausse}",$K$12064),"{civilite}",$K$12062)</f>
        <v>Objet : révision de nos honoraires au 1er janvier 2027</v>
      </c>
      <c r="C12078" s="34"/>
      <c r="D12078" s="34"/>
      <c r="E12078" s="34"/>
      <c r="F12078" s="34"/>
      <c r="J12078" s="25"/>
      <c r="K12078" s="25"/>
      <c r="L12078" s="25"/>
      <c r="M12078" s="25"/>
      <c r="N12078" s="25"/>
      <c r="O12078" s="25"/>
    </row>
    <row r="12079" customFormat="false" ht="13.5" hidden="false" customHeight="true" outlineLevel="0" collapsed="false">
      <c r="B12079" s="10"/>
      <c r="C12079" s="10"/>
      <c r="D12079" s="10"/>
      <c r="E12079" s="10"/>
      <c r="F12079" s="10"/>
      <c r="J12079" s="25"/>
      <c r="K12079" s="25"/>
      <c r="L12079" s="25"/>
      <c r="M12079" s="25"/>
      <c r="N12079" s="25"/>
      <c r="O12079" s="25"/>
    </row>
    <row r="12080" customFormat="false" ht="15" hidden="false" customHeight="false" outlineLevel="0" collapsed="false">
      <c r="B12080" s="10" t="str">
        <f aca="false">$K$12062&amp;","</f>
        <v>Madame, Monsieur,</v>
      </c>
      <c r="C12080" s="10"/>
      <c r="D12080" s="10"/>
      <c r="E12080" s="10"/>
      <c r="F12080" s="10"/>
      <c r="J12080" s="25"/>
      <c r="K12080" s="25"/>
      <c r="L12080" s="25"/>
      <c r="M12080" s="25"/>
      <c r="N12080" s="25"/>
      <c r="O12080" s="25"/>
    </row>
    <row r="12081" customFormat="false" ht="6" hidden="false" customHeight="true" outlineLevel="0" collapsed="false">
      <c r="B12081" s="10"/>
      <c r="C12081" s="10"/>
      <c r="D12081" s="10"/>
      <c r="E12081" s="10"/>
      <c r="F12081" s="10"/>
      <c r="J12081" s="25"/>
      <c r="K12081" s="25"/>
      <c r="L12081" s="25"/>
      <c r="M12081" s="25"/>
      <c r="N12081" s="25"/>
      <c r="O12081" s="25"/>
    </row>
    <row r="12082" customFormat="false" ht="36.75" hidden="false" customHeight="true" outlineLevel="0" collapsed="false">
      <c r="B12082" s="37" t="str">
        <f aca="false">SUBSTITUTE(SUBSTITUTE(SUBSTITUTE(SUBSTITUTE(SUBSTITUTE(Txt_P1,"{cabinet}",Cab_Nom),"{societe}",IF($K$12061=0,"",INDEX(Clients!$E$2:$E$501,$K$12061)&amp;"")),"{date_effet}",$K$12063),"{hausse}",$K$12064),"{civilite}",$K$12062)</f>
        <v>Nous tenons tout d'abord à vous remercier pour la confiance que vous accordez à ALTHO EXPERTISE. Comme chaque année, et conformément aux dispositions de votre lettre de mission, nous procédons à la révision de nos honoraires.</v>
      </c>
      <c r="C12082" s="37"/>
      <c r="D12082" s="37"/>
      <c r="E12082" s="37"/>
      <c r="F12082" s="37"/>
      <c r="J12082" s="25"/>
      <c r="K12082" s="25"/>
      <c r="L12082" s="25"/>
      <c r="M12082" s="25"/>
      <c r="N12082" s="25"/>
      <c r="O12082" s="25"/>
    </row>
    <row r="12083" customFormat="false" ht="49.5" hidden="false" customHeight="true" outlineLevel="0" collapsed="false">
      <c r="B12083" s="37" t="str">
        <f aca="false">SUBSTITUTE(SUBSTITUTE(SUBSTITUTE(SUBSTITUTE(SUBSTITUTE(Txt_P2,"{cabinet}",Cab_Nom),"{societe}",IF($K$12061=0,"",INDEX(Clients!$E$2:$E$501,$K$12061)&amp;"")),"{date_effet}",$K$12063),"{hausse}",$K$12064),"{civilite}",$K$12062)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083" s="37"/>
      <c r="D12083" s="37"/>
      <c r="E12083" s="37"/>
      <c r="F12083" s="37"/>
      <c r="J12083" s="25"/>
      <c r="K12083" s="25"/>
      <c r="L12083" s="25"/>
      <c r="M12083" s="25"/>
      <c r="N12083" s="25"/>
      <c r="O12083" s="25"/>
    </row>
    <row r="12084" customFormat="false" ht="63" hidden="false" customHeight="true" outlineLevel="0" collapsed="false">
      <c r="B12084" s="37" t="str">
        <f aca="false">SUBSTITUTE(SUBSTITUTE(SUBSTITUTE(SUBSTITUTE(SUBSTITUTE(Txt_P3,"{cabinet}",Cab_Nom),"{societe}",IF($K$12061=0,"",INDEX(Clients!$E$2:$E$501,$K$12061)&amp;"")),"{date_effet}",$K$12063),"{hausse}",$K$12064),"{civilite}",$K$12062)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084" s="37"/>
      <c r="D12084" s="37"/>
      <c r="E12084" s="37"/>
      <c r="F12084" s="37"/>
      <c r="J12084" s="25"/>
      <c r="K12084" s="25"/>
      <c r="L12084" s="25"/>
      <c r="M12084" s="25"/>
      <c r="N12084" s="25"/>
      <c r="O12084" s="25"/>
    </row>
    <row r="12085" customFormat="false" ht="24" hidden="false" customHeight="true" outlineLevel="0" collapsed="false">
      <c r="B12085" s="37" t="str">
        <f aca="false">SUBSTITUTE(SUBSTITUTE(SUBSTITUTE(SUBSTITUTE(SUBSTITUTE(Txt_P4,"{cabinet}",Cab_Nom),"{societe}",IF($K$12061=0,"",INDEX(Clients!$E$2:$E$501,$K$12061)&amp;"")),"{date_effet}",$K$12063),"{hausse}",$K$12064),"{civilite}",$K$12062)</f>
        <v>À compter du 1er janvier 2027, vos honoraires annuels hors taxes évolueront ainsi (évolution globale : ) :</v>
      </c>
      <c r="C12085" s="37"/>
      <c r="D12085" s="37"/>
      <c r="E12085" s="37"/>
      <c r="F12085" s="37"/>
      <c r="J12085" s="25"/>
      <c r="K12085" s="25"/>
      <c r="L12085" s="25"/>
      <c r="M12085" s="25"/>
      <c r="N12085" s="25"/>
      <c r="O12085" s="25"/>
    </row>
    <row r="12086" customFormat="false" ht="3.75" hidden="false" customHeight="true" outlineLevel="0" collapsed="false">
      <c r="B12086" s="10"/>
      <c r="C12086" s="10"/>
      <c r="D12086" s="10"/>
      <c r="E12086" s="10"/>
      <c r="F12086" s="10"/>
      <c r="J12086" s="25"/>
      <c r="K12086" s="25"/>
      <c r="L12086" s="25"/>
      <c r="M12086" s="25"/>
      <c r="N12086" s="25"/>
      <c r="O12086" s="25"/>
    </row>
    <row r="12087" customFormat="false" ht="18" hidden="false" customHeight="true" outlineLevel="0" collapsed="false">
      <c r="B12087" s="38" t="s">
        <v>148</v>
      </c>
      <c r="C12087" s="39" t="s">
        <v>149</v>
      </c>
      <c r="D12087" s="39" t="s">
        <v>150</v>
      </c>
      <c r="E12087" s="39" t="s">
        <v>151</v>
      </c>
      <c r="F12087" s="39" t="s">
        <v>109</v>
      </c>
      <c r="J12087" s="25" t="s">
        <v>152</v>
      </c>
      <c r="K12087" s="25" t="s">
        <v>153</v>
      </c>
      <c r="L12087" s="25" t="s">
        <v>154</v>
      </c>
      <c r="M12087" s="25" t="s">
        <v>155</v>
      </c>
      <c r="N12087" s="25" t="s">
        <v>156</v>
      </c>
      <c r="O12087" s="25" t="s">
        <v>157</v>
      </c>
    </row>
    <row r="12088" customFormat="false" ht="16.5" hidden="false" customHeight="true" outlineLevel="0" collapsed="false">
      <c r="B12088" s="40" t="str">
        <f aca="false">IFERROR(INDEX($J$12088:$J$12091,MATCH($O12088,$N$12088:$N$12091,0)),"")</f>
        <v/>
      </c>
      <c r="C12088" s="41" t="str">
        <f aca="false">IFERROR(INDEX($K$12088:$K$12091,MATCH($O12088,$N$12088:$N$12091,0)),"")</f>
        <v/>
      </c>
      <c r="D12088" s="42" t="str">
        <f aca="false">IF(OR(E12088="",N(C12088)=0),"",E12088/C12088-1)</f>
        <v/>
      </c>
      <c r="E12088" s="41" t="str">
        <f aca="false">IFERROR(INDEX($L$12088:$L$12091,MATCH($O12088,$N$12088:$N$12091,0)),"")</f>
        <v/>
      </c>
      <c r="F12088" s="41" t="str">
        <f aca="false">IF(E12088="","",E12088-C12088)</f>
        <v/>
      </c>
      <c r="J12088" s="25" t="str">
        <f aca="false">Lib_Compta</f>
        <v>Mission comptable (tenue, révision, bilan, liasse fiscale)</v>
      </c>
      <c r="K12088" s="25" t="n">
        <f aca="false">IF($K$12061=0,0,N(INDEX(Clients!$K$2:$K$501,$K$12061)))</f>
        <v>0</v>
      </c>
      <c r="L12088" s="25" t="n">
        <f aca="false">IF($K$12061=0,0,N(INDEX(Clients!$P$2:$P$501,$K$12061)))</f>
        <v>0</v>
      </c>
      <c r="M12088" s="25" t="n">
        <f aca="false">IF(OR(K12088&lt;&gt;0,L12088&lt;&gt;0),1,0)</f>
        <v>0</v>
      </c>
      <c r="N12088" s="25" t="str">
        <f aca="false">IF(M12088=1,SUM($M$12088:M12088),"")</f>
        <v/>
      </c>
      <c r="O12088" s="25" t="n">
        <v>1</v>
      </c>
    </row>
    <row r="12089" customFormat="false" ht="16.5" hidden="false" customHeight="true" outlineLevel="0" collapsed="false">
      <c r="B12089" s="40" t="str">
        <f aca="false">IFERROR(INDEX($J$12088:$J$12091,MATCH($O12089,$N$12088:$N$12091,0)),"")</f>
        <v/>
      </c>
      <c r="C12089" s="41" t="str">
        <f aca="false">IFERROR(INDEX($K$12088:$K$12091,MATCH($O12089,$N$12088:$N$12091,0)),"")</f>
        <v/>
      </c>
      <c r="D12089" s="42" t="str">
        <f aca="false">IF(OR(E12089="",N(C12089)=0),"",E12089/C12089-1)</f>
        <v/>
      </c>
      <c r="E12089" s="41" t="str">
        <f aca="false">IFERROR(INDEX($L$12088:$L$12091,MATCH($O12089,$N$12088:$N$12091,0)),"")</f>
        <v/>
      </c>
      <c r="F12089" s="41" t="str">
        <f aca="false">IF(E12089="","",E12089-C12089)</f>
        <v/>
      </c>
      <c r="J12089" s="25" t="str">
        <f aca="false">Lib_Paye</f>
        <v>Mission sociale (bulletins de paie, DSN, déclarations sociales)</v>
      </c>
      <c r="K12089" s="25" t="n">
        <f aca="false">IF($K$12061=0,0,N(INDEX(Clients!$L$2:$L$501,$K$12061)))</f>
        <v>0</v>
      </c>
      <c r="L12089" s="25" t="n">
        <f aca="false">IF($K$12061=0,0,N(INDEX(Clients!$Q$2:$Q$501,$K$12061)))</f>
        <v>0</v>
      </c>
      <c r="M12089" s="25" t="n">
        <f aca="false">IF(OR(K12089&lt;&gt;0,L12089&lt;&gt;0),1,0)</f>
        <v>0</v>
      </c>
      <c r="N12089" s="25" t="str">
        <f aca="false">IF(M12089=1,SUM($M$12088:M12089),"")</f>
        <v/>
      </c>
      <c r="O12089" s="25" t="n">
        <v>2</v>
      </c>
    </row>
    <row r="12090" customFormat="false" ht="16.5" hidden="false" customHeight="true" outlineLevel="0" collapsed="false">
      <c r="B12090" s="40" t="str">
        <f aca="false">IFERROR(INDEX($J$12088:$J$12091,MATCH($O12090,$N$12088:$N$12091,0)),"")</f>
        <v/>
      </c>
      <c r="C12090" s="41" t="str">
        <f aca="false">IFERROR(INDEX($K$12088:$K$12091,MATCH($O12090,$N$12088:$N$12091,0)),"")</f>
        <v/>
      </c>
      <c r="D12090" s="42" t="str">
        <f aca="false">IF(OR(E12090="",N(C12090)=0),"",E12090/C12090-1)</f>
        <v/>
      </c>
      <c r="E12090" s="41" t="str">
        <f aca="false">IFERROR(INDEX($L$12088:$L$12091,MATCH($O12090,$N$12088:$N$12091,0)),"")</f>
        <v/>
      </c>
      <c r="F12090" s="41" t="str">
        <f aca="false">IF(E12090="","",E12090-C12090)</f>
        <v/>
      </c>
      <c r="J12090" s="25" t="str">
        <f aca="false">Lib_Jur</f>
        <v>Mission juridique (approbation des comptes, secrétariat juridique)</v>
      </c>
      <c r="K12090" s="25" t="n">
        <f aca="false">IF($K$12061=0,0,N(INDEX(Clients!$M$2:$M$501,$K$12061)))</f>
        <v>0</v>
      </c>
      <c r="L12090" s="25" t="n">
        <f aca="false">IF($K$12061=0,0,N(INDEX(Clients!$R$2:$R$501,$K$12061)))</f>
        <v>0</v>
      </c>
      <c r="M12090" s="25" t="n">
        <f aca="false">IF(OR(K12090&lt;&gt;0,L12090&lt;&gt;0),1,0)</f>
        <v>0</v>
      </c>
      <c r="N12090" s="25" t="str">
        <f aca="false">IF(M12090=1,SUM($M$12088:M12090),"")</f>
        <v/>
      </c>
      <c r="O12090" s="25" t="n">
        <v>3</v>
      </c>
    </row>
    <row r="12091" customFormat="false" ht="16.5" hidden="false" customHeight="true" outlineLevel="0" collapsed="false">
      <c r="B12091" s="40" t="str">
        <f aca="false">IFERROR(INDEX($J$12088:$J$12091,MATCH($O12091,$N$12088:$N$12091,0)),"")</f>
        <v/>
      </c>
      <c r="C12091" s="41" t="str">
        <f aca="false">IFERROR(INDEX($K$12088:$K$12091,MATCH($O12091,$N$12088:$N$12091,0)),"")</f>
        <v/>
      </c>
      <c r="D12091" s="42" t="str">
        <f aca="false">IF(OR(E12091="",N(C12091)=0),"",E12091/C12091-1)</f>
        <v/>
      </c>
      <c r="E12091" s="41" t="str">
        <f aca="false">IFERROR(INDEX($L$12088:$L$12091,MATCH($O12091,$N$12088:$N$12091,0)),"")</f>
        <v/>
      </c>
      <c r="F12091" s="41" t="str">
        <f aca="false">IF(E12091="","",E12091-C12091)</f>
        <v/>
      </c>
      <c r="J12091" s="25" t="str">
        <f aca="false">Lib_PA</f>
        <v>Plateforme agréée – facturation électronique</v>
      </c>
      <c r="K12091" s="25" t="n">
        <f aca="false">IF($K$12061=0,0,N(INDEX(Clients!$N$2:$N$501,$K$12061)))</f>
        <v>0</v>
      </c>
      <c r="L12091" s="25" t="n">
        <f aca="false">IF($K$12061=0,0,N(INDEX(Clients!$S$2:$S$501,$K$12061)))</f>
        <v>0</v>
      </c>
      <c r="M12091" s="25" t="n">
        <f aca="false">IF(OR(K12091&lt;&gt;0,L12091&lt;&gt;0),1,0)</f>
        <v>0</v>
      </c>
      <c r="N12091" s="25" t="str">
        <f aca="false">IF(M12091=1,SUM($M$12088:M12091),"")</f>
        <v/>
      </c>
      <c r="O12091" s="25" t="n">
        <v>4</v>
      </c>
    </row>
    <row r="12092" customFormat="false" ht="18" hidden="false" customHeight="true" outlineLevel="0" collapsed="false">
      <c r="B12092" s="43" t="s">
        <v>158</v>
      </c>
      <c r="C12092" s="44" t="n">
        <f aca="false">SUM(K12088:K12091)</f>
        <v>0</v>
      </c>
      <c r="D12092" s="45" t="str">
        <f aca="false">IF(N(C12092)=0,"",E12092/C12092-1)</f>
        <v/>
      </c>
      <c r="E12092" s="44" t="n">
        <f aca="false">SUM(L12088:L12091)</f>
        <v>0</v>
      </c>
      <c r="F12092" s="44" t="n">
        <f aca="false">E12092-C12092</f>
        <v>0</v>
      </c>
    </row>
    <row r="12093" customFormat="false" ht="15" hidden="false" customHeight="false" outlineLevel="0" collapsed="false">
      <c r="B12093" s="46" t="str">
        <f aca="false">IF(N(Nb_Mensualites)=0,"","Soit "&amp;FIXED(E12092/Nb_Mensualites,2)&amp;" € HT par échéance ("&amp;Nb_Mensualites&amp;" échéances), "&amp;FIXED(E12092/Nb_Mensualites*(1+Taux_TVA),2)&amp;" € TTC.")</f>
        <v>Soit 0.00 € HT par échéance (12 échéances), 0.00 € TTC.</v>
      </c>
      <c r="C12093" s="46"/>
      <c r="D12093" s="46"/>
      <c r="E12093" s="46"/>
      <c r="F12093" s="46"/>
    </row>
    <row r="12094" customFormat="false" ht="7.5" hidden="false" customHeight="true" outlineLevel="0" collapsed="false">
      <c r="B12094" s="10"/>
      <c r="C12094" s="10"/>
      <c r="D12094" s="10"/>
      <c r="E12094" s="10"/>
      <c r="F12094" s="10"/>
    </row>
    <row r="12095" customFormat="false" ht="36.75" hidden="false" customHeight="true" outlineLevel="0" collapsed="false">
      <c r="B12095" s="37" t="str">
        <f aca="false">SUBSTITUTE(SUBSTITUTE(SUBSTITUTE(SUBSTITUTE(SUBSTITUTE(Txt_P5,"{cabinet}",Cab_Nom),"{societe}",IF($K$12061=0,"",INDEX(Clients!$E$2:$E$501,$K$12061)&amp;"")),"{date_effet}",$K$12063),"{hausse}",$K$12064),"{civilite}",$K$12062)</f>
        <v>Les autres conditions de votre lettre de mission demeurent inchangées. Les nouveaux montants seront appliqués automatiquement sur vos prochaines factures et échéances de prélèvement.</v>
      </c>
      <c r="C12095" s="37"/>
      <c r="D12095" s="37"/>
      <c r="E12095" s="37"/>
      <c r="F12095" s="37"/>
    </row>
    <row r="12096" customFormat="false" ht="36.75" hidden="false" customHeight="true" outlineLevel="0" collapsed="false">
      <c r="B12096" s="37" t="str">
        <f aca="false">SUBSTITUTE(SUBSTITUTE(SUBSTITUTE(SUBSTITUTE(SUBSTITUTE(Txt_P6,"{cabinet}",Cab_Nom),"{societe}",IF($K$12061=0,"",INDEX(Clients!$E$2:$E$501,$K$12061)&amp;"")),"{date_effet}",$K$12063),"{hausse}",$K$12064),"{civilite}",$K$12062)</f>
        <v>Votre interlocuteur habituel reste à votre entière disposition pour répondre à vos questions et faire le point sur l'évolution de vos besoins.</v>
      </c>
      <c r="C12096" s="37"/>
      <c r="D12096" s="37"/>
      <c r="E12096" s="37"/>
      <c r="F12096" s="37"/>
    </row>
    <row r="12097" customFormat="false" ht="24" hidden="false" customHeight="true" outlineLevel="0" collapsed="false">
      <c r="B12097" s="37" t="str">
        <f aca="false">SUBSTITUTE(SUBSTITUTE(SUBSTITUTE(SUBSTITUTE(SUBSTITUTE(Txt_Politesse,"{cabinet}",Cab_Nom),"{societe}",IF($K$12061=0,"",INDEX(Clients!$E$2:$E$501,$K$12061)&amp;"")),"{date_effet}",$K$12063),"{hausse}",$K$12064),"{civilite}",$K$12062)</f>
        <v>Nous vous prions d'agréer, Madame, Monsieur, l'expression de nos salutations distinguées.</v>
      </c>
      <c r="C12097" s="37"/>
      <c r="D12097" s="37"/>
      <c r="E12097" s="37"/>
      <c r="F12097" s="37"/>
    </row>
    <row r="12098" customFormat="false" ht="15" hidden="false" customHeight="false" outlineLevel="0" collapsed="false">
      <c r="B12098" s="10"/>
      <c r="C12098" s="10"/>
      <c r="D12098" s="10"/>
      <c r="E12098" s="10"/>
      <c r="F12098" s="10"/>
    </row>
    <row r="12099" customFormat="false" ht="15" hidden="false" customHeight="false" outlineLevel="0" collapsed="false">
      <c r="B12099" s="10"/>
      <c r="C12099" s="10"/>
      <c r="D12099" s="34" t="str">
        <f aca="false">Signataire</f>
        <v>Prénom NOM</v>
      </c>
      <c r="E12099" s="34"/>
      <c r="F12099" s="34"/>
    </row>
    <row r="12100" customFormat="false" ht="15" hidden="false" customHeight="false" outlineLevel="0" collapsed="false">
      <c r="B12100" s="10"/>
      <c r="C12100" s="10"/>
      <c r="D12100" s="47" t="str">
        <f aca="false">Signataire_Titre</f>
        <v>Expert-comptable associé</v>
      </c>
      <c r="E12100" s="47"/>
      <c r="F12100" s="47"/>
    </row>
    <row r="12101" customFormat="false" ht="15.75" hidden="false" customHeight="true" outlineLevel="0" collapsed="false">
      <c r="B12101" s="10"/>
      <c r="C12101" s="10"/>
      <c r="D12101" s="10"/>
      <c r="E12101" s="10"/>
      <c r="F12101" s="10"/>
    </row>
    <row r="12102" customFormat="false" ht="15.75" hidden="false" customHeight="true" outlineLevel="0" collapsed="false">
      <c r="B12102" s="10"/>
      <c r="C12102" s="10"/>
      <c r="D12102" s="10"/>
      <c r="E12102" s="10"/>
      <c r="F12102" s="10"/>
    </row>
    <row r="12103" customFormat="false" ht="15.75" hidden="false" customHeight="true" outlineLevel="0" collapsed="false">
      <c r="B12103" s="10"/>
      <c r="C12103" s="10"/>
      <c r="D12103" s="10"/>
      <c r="E12103" s="10"/>
      <c r="F12103" s="10"/>
    </row>
    <row r="12104" customFormat="false" ht="15.75" hidden="false" customHeight="true" outlineLevel="0" collapsed="false">
      <c r="B12104" s="10"/>
      <c r="C12104" s="10"/>
      <c r="D12104" s="10"/>
      <c r="E12104" s="10"/>
      <c r="F12104" s="10"/>
    </row>
    <row r="12105" customFormat="false" ht="24" hidden="false" customHeight="true" outlineLevel="0" collapsed="false">
      <c r="B12105" s="48" t="str">
        <f aca="false">Cab_Mentions</f>
        <v>ALTHO EXPERTISE · SAS au capital de 10 000 € · RCS Pontoise 919 706 325 · TVA FR62919706325 · Société d'expertise comptable inscrite au Tableau de l'Ordre des experts-comptables de Paris Île-de-France</v>
      </c>
      <c r="C12105" s="48"/>
      <c r="D12105" s="48"/>
      <c r="E12105" s="48"/>
      <c r="F12105" s="48"/>
    </row>
    <row r="12106" customFormat="false" ht="15" hidden="false" customHeight="false" outlineLevel="0" collapsed="false">
      <c r="B12106" s="10"/>
      <c r="C12106" s="10"/>
      <c r="D12106" s="10"/>
      <c r="E12106" s="10"/>
      <c r="F12106" s="10"/>
      <c r="J12106" s="25" t="s">
        <v>142</v>
      </c>
      <c r="K12106" s="25" t="n">
        <f aca="false">IFERROR(MATCH(270,Clients!$Z$2:$Z$501,0),0)</f>
        <v>0</v>
      </c>
      <c r="L12106" s="25"/>
      <c r="M12106" s="25"/>
      <c r="N12106" s="25"/>
      <c r="O12106" s="25"/>
    </row>
    <row r="12107" customFormat="false" ht="21.75" hidden="false" customHeight="true" outlineLevel="0" collapsed="false">
      <c r="B12107" s="26" t="str">
        <f aca="false">Cab_Nom</f>
        <v>ALTHO EXPERTISE</v>
      </c>
      <c r="C12107" s="26"/>
      <c r="D12107" s="10"/>
      <c r="E12107" s="27" t="str">
        <f aca="false">IF($K$12106=0,"","Réf. client : "&amp;INDEX(Clients!$A$2:$A$501,$K$12106))</f>
        <v/>
      </c>
      <c r="F12107" s="27"/>
      <c r="J12107" s="25" t="s">
        <v>144</v>
      </c>
      <c r="K12107" s="25" t="str">
        <f aca="false">IF(IF($K$12106=0,"",INDEX(Clients!$B$2:$B$501,$K$12106)&amp;"")="Mme","Madame",IF(IF($K$12106=0,"",INDEX(Clients!$B$2:$B$501,$K$12106)&amp;"")="M.","Monsieur","Madame, Monsieur"))</f>
        <v>Madame, Monsieur</v>
      </c>
      <c r="L12107" s="25"/>
      <c r="M12107" s="25"/>
      <c r="N12107" s="25"/>
      <c r="O12107" s="25"/>
    </row>
    <row r="12108" customFormat="false" ht="15" hidden="false" customHeight="false" outlineLevel="0" collapsed="false">
      <c r="B12108" s="29" t="str">
        <f aca="false">Cab_Adr1</f>
        <v>141 rue Charles de Gaulle</v>
      </c>
      <c r="C12108" s="29"/>
      <c r="D12108" s="10"/>
      <c r="E12108" s="10"/>
      <c r="F12108" s="10"/>
      <c r="J12108" s="25" t="s">
        <v>145</v>
      </c>
      <c r="K12108" s="25" t="str">
        <f aca="false">DAY(Date_Effet)&amp;IF(DAY(Date_Effet)=1,"er","")&amp;" "&amp;INDEX(Liste_Mois,MONTH(Date_Effet))&amp;" "&amp;YEAR(Date_Effet)</f>
        <v>1er janvier 2027</v>
      </c>
      <c r="L12108" s="25"/>
      <c r="M12108" s="25"/>
      <c r="N12108" s="25"/>
      <c r="O12108" s="25"/>
    </row>
    <row r="12109" customFormat="false" ht="15" hidden="false" customHeight="false" outlineLevel="0" collapsed="false">
      <c r="B12109" s="29" t="str">
        <f aca="false">Cab_CPVille</f>
        <v>95130 LE PLESSIS-BOUCHARD</v>
      </c>
      <c r="C12109" s="29"/>
      <c r="D12109" s="10"/>
      <c r="E12109" s="10"/>
      <c r="F12109" s="10"/>
      <c r="J12109" s="25" t="s">
        <v>146</v>
      </c>
      <c r="K12109" s="25" t="str">
        <f aca="false">IF(SUM($K$12133:$K$12136)=0,"",FIXED((SUM($L$12133:$L$12136)/SUM($K$12133:$K$12136)-1)*100,1)&amp;" %")</f>
        <v/>
      </c>
      <c r="L12109" s="25"/>
      <c r="M12109" s="25"/>
      <c r="N12109" s="25"/>
      <c r="O12109" s="25"/>
    </row>
    <row r="12110" customFormat="false" ht="15" hidden="false" customHeight="false" outlineLevel="0" collapsed="false">
      <c r="B12110" s="29" t="str">
        <f aca="false">Cab_Contact</f>
        <v>Tél. 01 34 14 53 45  ·  altho@altho-experts.com  ·  altho-experts.com</v>
      </c>
      <c r="C12110" s="29"/>
      <c r="D12110" s="10"/>
      <c r="E12110" s="10"/>
      <c r="F12110" s="10"/>
      <c r="J12110" s="25"/>
      <c r="K12110" s="25"/>
      <c r="L12110" s="25"/>
      <c r="M12110" s="25"/>
      <c r="N12110" s="25"/>
      <c r="O12110" s="25"/>
    </row>
    <row r="12111" customFormat="false" ht="6" hidden="false" customHeight="true" outlineLevel="0" collapsed="false">
      <c r="B12111" s="32"/>
      <c r="C12111" s="32"/>
      <c r="D12111" s="32"/>
      <c r="E12111" s="32"/>
      <c r="F12111" s="32"/>
      <c r="J12111" s="25"/>
      <c r="K12111" s="25"/>
      <c r="L12111" s="25"/>
      <c r="M12111" s="25"/>
      <c r="N12111" s="25"/>
      <c r="O12111" s="25"/>
    </row>
    <row r="12112" customFormat="false" ht="13.5" hidden="false" customHeight="true" outlineLevel="0" collapsed="false">
      <c r="B12112" s="10"/>
      <c r="C12112" s="10"/>
      <c r="D12112" s="10"/>
      <c r="E12112" s="10"/>
      <c r="F12112" s="10"/>
      <c r="J12112" s="25"/>
      <c r="K12112" s="25"/>
      <c r="L12112" s="25"/>
      <c r="M12112" s="25"/>
      <c r="N12112" s="25"/>
      <c r="O12112" s="25"/>
    </row>
    <row r="12113" customFormat="false" ht="13.5" hidden="false" customHeight="true" outlineLevel="0" collapsed="false">
      <c r="B12113" s="10"/>
      <c r="C12113" s="10"/>
      <c r="D12113" s="10"/>
      <c r="E12113" s="10"/>
      <c r="F12113" s="10"/>
      <c r="J12113" s="25"/>
      <c r="K12113" s="25"/>
      <c r="L12113" s="25"/>
      <c r="M12113" s="25"/>
      <c r="N12113" s="25"/>
      <c r="O12113" s="25"/>
    </row>
    <row r="12114" customFormat="false" ht="13.5" hidden="false" customHeight="true" outlineLevel="0" collapsed="false">
      <c r="B12114" s="10"/>
      <c r="C12114" s="10"/>
      <c r="D12114" s="10"/>
      <c r="E12114" s="10"/>
      <c r="F12114" s="10"/>
      <c r="J12114" s="25"/>
      <c r="K12114" s="25"/>
      <c r="L12114" s="25"/>
      <c r="M12114" s="25"/>
      <c r="N12114" s="25"/>
      <c r="O12114" s="25"/>
    </row>
    <row r="12115" customFormat="false" ht="15" hidden="false" customHeight="true" outlineLevel="0" collapsed="false">
      <c r="B12115" s="10"/>
      <c r="C12115" s="10"/>
      <c r="D12115" s="34" t="str">
        <f aca="false">IF($K$12106=0,"",INDEX(Clients!$E$2:$E$501,$K$12106)&amp;"")</f>
        <v/>
      </c>
      <c r="E12115" s="34"/>
      <c r="F12115" s="34"/>
      <c r="J12115" s="25"/>
      <c r="K12115" s="25"/>
      <c r="L12115" s="25"/>
      <c r="M12115" s="25"/>
      <c r="N12115" s="25"/>
      <c r="O12115" s="25"/>
    </row>
    <row r="12116" customFormat="false" ht="15" hidden="false" customHeight="true" outlineLevel="0" collapsed="false">
      <c r="B12116" s="10"/>
      <c r="C12116" s="10"/>
      <c r="D12116" s="35" t="str">
        <f aca="false">IF(IF($K$12106=0,"",INDEX(Clients!$D$2:$D$501,$K$12106)&amp;"")="","","À l'attention de "&amp;TRIM(IF($K$12106=0,"",INDEX(Clients!$B$2:$B$501,$K$12106)&amp;"")&amp;" "&amp;IF($K$12106=0,"",INDEX(Clients!$C$2:$C$501,$K$12106)&amp;"")&amp;" "&amp;IF($K$12106=0,"",INDEX(Clients!$D$2:$D$501,$K$12106)&amp;"")))</f>
        <v/>
      </c>
      <c r="E12116" s="35"/>
      <c r="F12116" s="35"/>
      <c r="J12116" s="25"/>
      <c r="K12116" s="25"/>
      <c r="L12116" s="25"/>
      <c r="M12116" s="25"/>
      <c r="N12116" s="25"/>
      <c r="O12116" s="25"/>
    </row>
    <row r="12117" customFormat="false" ht="15" hidden="false" customHeight="true" outlineLevel="0" collapsed="false">
      <c r="B12117" s="10"/>
      <c r="C12117" s="10"/>
      <c r="D12117" s="35" t="str">
        <f aca="false">IF($K$12106=0,"",INDEX(Clients!$F$2:$F$501,$K$12106)&amp;"")</f>
        <v/>
      </c>
      <c r="E12117" s="35"/>
      <c r="F12117" s="35"/>
      <c r="J12117" s="25"/>
      <c r="K12117" s="25"/>
      <c r="L12117" s="25"/>
      <c r="M12117" s="25"/>
      <c r="N12117" s="25"/>
      <c r="O12117" s="25"/>
    </row>
    <row r="12118" customFormat="false" ht="15" hidden="false" customHeight="true" outlineLevel="0" collapsed="false">
      <c r="B12118" s="10"/>
      <c r="C12118" s="10"/>
      <c r="D12118" s="35" t="str">
        <f aca="false">IF(IF($K$12106=0,"",INDEX(Clients!$G$2:$G$501,$K$12106)&amp;"")="",TRIM(IF($K$12106=0,"",INDEX(Clients!$H$2:$H$501,$K$12106)&amp;"")&amp;" "&amp;UPPER(IF($K$12106=0,"",INDEX(Clients!$I$2:$I$501,$K$12106)&amp;""))),IF($K$12106=0,"",INDEX(Clients!$G$2:$G$501,$K$12106)&amp;""))</f>
        <v/>
      </c>
      <c r="E12118" s="35"/>
      <c r="F12118" s="35"/>
      <c r="J12118" s="25"/>
      <c r="K12118" s="25"/>
      <c r="L12118" s="25"/>
      <c r="M12118" s="25"/>
      <c r="N12118" s="25"/>
      <c r="O12118" s="25"/>
    </row>
    <row r="12119" customFormat="false" ht="15" hidden="false" customHeight="true" outlineLevel="0" collapsed="false">
      <c r="B12119" s="10"/>
      <c r="C12119" s="10"/>
      <c r="D12119" s="35" t="str">
        <f aca="false">IF(IF($K$12106=0,"",INDEX(Clients!$G$2:$G$501,$K$12106)&amp;"")="","",TRIM(IF($K$12106=0,"",INDEX(Clients!$H$2:$H$501,$K$12106)&amp;"")&amp;" "&amp;UPPER(IF($K$12106=0,"",INDEX(Clients!$I$2:$I$501,$K$12106)&amp;""))))</f>
        <v/>
      </c>
      <c r="E12119" s="35"/>
      <c r="F12119" s="35"/>
      <c r="J12119" s="25"/>
      <c r="K12119" s="25"/>
      <c r="L12119" s="25"/>
      <c r="M12119" s="25"/>
      <c r="N12119" s="25"/>
      <c r="O12119" s="25"/>
    </row>
    <row r="12120" customFormat="false" ht="25.5" hidden="false" customHeight="true" outlineLevel="0" collapsed="false">
      <c r="B12120" s="10"/>
      <c r="C12120" s="10"/>
      <c r="D12120" s="10"/>
      <c r="E12120" s="10"/>
      <c r="F12120" s="10"/>
      <c r="J12120" s="25"/>
      <c r="K12120" s="25"/>
      <c r="L12120" s="25"/>
      <c r="M12120" s="25"/>
      <c r="N12120" s="25"/>
      <c r="O12120" s="25"/>
    </row>
    <row r="12121" customFormat="false" ht="15" hidden="false" customHeight="false" outlineLevel="0" collapsed="false">
      <c r="B12121" s="10"/>
      <c r="C12121" s="10"/>
      <c r="D12121" s="36" t="str">
        <f aca="false">Cab_Ville&amp;", le "&amp;DAY(Date_Courrier)&amp;IF(DAY(Date_Courrier)=1,"er","")&amp;" "&amp;INDEX(Liste_Mois,MONTH(Date_Courrier))&amp;" "&amp;YEAR(Date_Courrier)</f>
        <v>Le Plessis-Bouchard, le 22 septembre 2026</v>
      </c>
      <c r="E12121" s="36"/>
      <c r="F12121" s="36"/>
      <c r="J12121" s="25"/>
      <c r="K12121" s="25"/>
      <c r="L12121" s="25"/>
      <c r="M12121" s="25"/>
      <c r="N12121" s="25"/>
      <c r="O12121" s="25"/>
    </row>
    <row r="12122" customFormat="false" ht="19.5" hidden="false" customHeight="true" outlineLevel="0" collapsed="false">
      <c r="B12122" s="10"/>
      <c r="C12122" s="10"/>
      <c r="D12122" s="10"/>
      <c r="E12122" s="10"/>
      <c r="F12122" s="10"/>
      <c r="J12122" s="25"/>
      <c r="K12122" s="25"/>
      <c r="L12122" s="25"/>
      <c r="M12122" s="25"/>
      <c r="N12122" s="25"/>
      <c r="O12122" s="25"/>
    </row>
    <row r="12123" customFormat="false" ht="15" hidden="false" customHeight="false" outlineLevel="0" collapsed="false">
      <c r="B12123" s="34" t="str">
        <f aca="false">SUBSTITUTE(SUBSTITUTE(SUBSTITUTE(SUBSTITUTE(SUBSTITUTE(Txt_Objet,"{cabinet}",Cab_Nom),"{societe}",IF($K$12106=0,"",INDEX(Clients!$E$2:$E$501,$K$12106)&amp;"")),"{date_effet}",$K$12108),"{hausse}",$K$12109),"{civilite}",$K$12107)</f>
        <v>Objet : révision de nos honoraires au 1er janvier 2027</v>
      </c>
      <c r="C12123" s="34"/>
      <c r="D12123" s="34"/>
      <c r="E12123" s="34"/>
      <c r="F12123" s="34"/>
      <c r="J12123" s="25"/>
      <c r="K12123" s="25"/>
      <c r="L12123" s="25"/>
      <c r="M12123" s="25"/>
      <c r="N12123" s="25"/>
      <c r="O12123" s="25"/>
    </row>
    <row r="12124" customFormat="false" ht="13.5" hidden="false" customHeight="true" outlineLevel="0" collapsed="false">
      <c r="B12124" s="10"/>
      <c r="C12124" s="10"/>
      <c r="D12124" s="10"/>
      <c r="E12124" s="10"/>
      <c r="F12124" s="10"/>
      <c r="J12124" s="25"/>
      <c r="K12124" s="25"/>
      <c r="L12124" s="25"/>
      <c r="M12124" s="25"/>
      <c r="N12124" s="25"/>
      <c r="O12124" s="25"/>
    </row>
    <row r="12125" customFormat="false" ht="15" hidden="false" customHeight="false" outlineLevel="0" collapsed="false">
      <c r="B12125" s="10" t="str">
        <f aca="false">$K$12107&amp;","</f>
        <v>Madame, Monsieur,</v>
      </c>
      <c r="C12125" s="10"/>
      <c r="D12125" s="10"/>
      <c r="E12125" s="10"/>
      <c r="F12125" s="10"/>
      <c r="J12125" s="25"/>
      <c r="K12125" s="25"/>
      <c r="L12125" s="25"/>
      <c r="M12125" s="25"/>
      <c r="N12125" s="25"/>
      <c r="O12125" s="25"/>
    </row>
    <row r="12126" customFormat="false" ht="6" hidden="false" customHeight="true" outlineLevel="0" collapsed="false">
      <c r="B12126" s="10"/>
      <c r="C12126" s="10"/>
      <c r="D12126" s="10"/>
      <c r="E12126" s="10"/>
      <c r="F12126" s="10"/>
      <c r="J12126" s="25"/>
      <c r="K12126" s="25"/>
      <c r="L12126" s="25"/>
      <c r="M12126" s="25"/>
      <c r="N12126" s="25"/>
      <c r="O12126" s="25"/>
    </row>
    <row r="12127" customFormat="false" ht="36.75" hidden="false" customHeight="true" outlineLevel="0" collapsed="false">
      <c r="B12127" s="37" t="str">
        <f aca="false">SUBSTITUTE(SUBSTITUTE(SUBSTITUTE(SUBSTITUTE(SUBSTITUTE(Txt_P1,"{cabinet}",Cab_Nom),"{societe}",IF($K$12106=0,"",INDEX(Clients!$E$2:$E$501,$K$12106)&amp;"")),"{date_effet}",$K$12108),"{hausse}",$K$12109),"{civilite}",$K$12107)</f>
        <v>Nous tenons tout d'abord à vous remercier pour la confiance que vous accordez à ALTHO EXPERTISE. Comme chaque année, et conformément aux dispositions de votre lettre de mission, nous procédons à la révision de nos honoraires.</v>
      </c>
      <c r="C12127" s="37"/>
      <c r="D12127" s="37"/>
      <c r="E12127" s="37"/>
      <c r="F12127" s="37"/>
      <c r="J12127" s="25"/>
      <c r="K12127" s="25"/>
      <c r="L12127" s="25"/>
      <c r="M12127" s="25"/>
      <c r="N12127" s="25"/>
      <c r="O12127" s="25"/>
    </row>
    <row r="12128" customFormat="false" ht="49.5" hidden="false" customHeight="true" outlineLevel="0" collapsed="false">
      <c r="B12128" s="37" t="str">
        <f aca="false">SUBSTITUTE(SUBSTITUTE(SUBSTITUTE(SUBSTITUTE(SUBSTITUTE(Txt_P2,"{cabinet}",Cab_Nom),"{societe}",IF($K$12106=0,"",INDEX(Clients!$E$2:$E$501,$K$12106)&amp;"")),"{date_effet}",$K$12108),"{hausse}",$K$12109),"{civilite}",$K$12107)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128" s="37"/>
      <c r="D12128" s="37"/>
      <c r="E12128" s="37"/>
      <c r="F12128" s="37"/>
      <c r="J12128" s="25"/>
      <c r="K12128" s="25"/>
      <c r="L12128" s="25"/>
      <c r="M12128" s="25"/>
      <c r="N12128" s="25"/>
      <c r="O12128" s="25"/>
    </row>
    <row r="12129" customFormat="false" ht="63" hidden="false" customHeight="true" outlineLevel="0" collapsed="false">
      <c r="B12129" s="37" t="str">
        <f aca="false">SUBSTITUTE(SUBSTITUTE(SUBSTITUTE(SUBSTITUTE(SUBSTITUTE(Txt_P3,"{cabinet}",Cab_Nom),"{societe}",IF($K$12106=0,"",INDEX(Clients!$E$2:$E$501,$K$12106)&amp;"")),"{date_effet}",$K$12108),"{hausse}",$K$12109),"{civilite}",$K$12107)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129" s="37"/>
      <c r="D12129" s="37"/>
      <c r="E12129" s="37"/>
      <c r="F12129" s="37"/>
      <c r="J12129" s="25"/>
      <c r="K12129" s="25"/>
      <c r="L12129" s="25"/>
      <c r="M12129" s="25"/>
      <c r="N12129" s="25"/>
      <c r="O12129" s="25"/>
    </row>
    <row r="12130" customFormat="false" ht="24" hidden="false" customHeight="true" outlineLevel="0" collapsed="false">
      <c r="B12130" s="37" t="str">
        <f aca="false">SUBSTITUTE(SUBSTITUTE(SUBSTITUTE(SUBSTITUTE(SUBSTITUTE(Txt_P4,"{cabinet}",Cab_Nom),"{societe}",IF($K$12106=0,"",INDEX(Clients!$E$2:$E$501,$K$12106)&amp;"")),"{date_effet}",$K$12108),"{hausse}",$K$12109),"{civilite}",$K$12107)</f>
        <v>À compter du 1er janvier 2027, vos honoraires annuels hors taxes évolueront ainsi (évolution globale : ) :</v>
      </c>
      <c r="C12130" s="37"/>
      <c r="D12130" s="37"/>
      <c r="E12130" s="37"/>
      <c r="F12130" s="37"/>
      <c r="J12130" s="25"/>
      <c r="K12130" s="25"/>
      <c r="L12130" s="25"/>
      <c r="M12130" s="25"/>
      <c r="N12130" s="25"/>
      <c r="O12130" s="25"/>
    </row>
    <row r="12131" customFormat="false" ht="3.75" hidden="false" customHeight="true" outlineLevel="0" collapsed="false">
      <c r="B12131" s="10"/>
      <c r="C12131" s="10"/>
      <c r="D12131" s="10"/>
      <c r="E12131" s="10"/>
      <c r="F12131" s="10"/>
      <c r="J12131" s="25"/>
      <c r="K12131" s="25"/>
      <c r="L12131" s="25"/>
      <c r="M12131" s="25"/>
      <c r="N12131" s="25"/>
      <c r="O12131" s="25"/>
    </row>
    <row r="12132" customFormat="false" ht="18" hidden="false" customHeight="true" outlineLevel="0" collapsed="false">
      <c r="B12132" s="38" t="s">
        <v>148</v>
      </c>
      <c r="C12132" s="39" t="s">
        <v>149</v>
      </c>
      <c r="D12132" s="39" t="s">
        <v>150</v>
      </c>
      <c r="E12132" s="39" t="s">
        <v>151</v>
      </c>
      <c r="F12132" s="39" t="s">
        <v>109</v>
      </c>
      <c r="J12132" s="25" t="s">
        <v>152</v>
      </c>
      <c r="K12132" s="25" t="s">
        <v>153</v>
      </c>
      <c r="L12132" s="25" t="s">
        <v>154</v>
      </c>
      <c r="M12132" s="25" t="s">
        <v>155</v>
      </c>
      <c r="N12132" s="25" t="s">
        <v>156</v>
      </c>
      <c r="O12132" s="25" t="s">
        <v>157</v>
      </c>
    </row>
    <row r="12133" customFormat="false" ht="16.5" hidden="false" customHeight="true" outlineLevel="0" collapsed="false">
      <c r="B12133" s="40" t="str">
        <f aca="false">IFERROR(INDEX($J$12133:$J$12136,MATCH($O12133,$N$12133:$N$12136,0)),"")</f>
        <v/>
      </c>
      <c r="C12133" s="41" t="str">
        <f aca="false">IFERROR(INDEX($K$12133:$K$12136,MATCH($O12133,$N$12133:$N$12136,0)),"")</f>
        <v/>
      </c>
      <c r="D12133" s="42" t="str">
        <f aca="false">IF(OR(E12133="",N(C12133)=0),"",E12133/C12133-1)</f>
        <v/>
      </c>
      <c r="E12133" s="41" t="str">
        <f aca="false">IFERROR(INDEX($L$12133:$L$12136,MATCH($O12133,$N$12133:$N$12136,0)),"")</f>
        <v/>
      </c>
      <c r="F12133" s="41" t="str">
        <f aca="false">IF(E12133="","",E12133-C12133)</f>
        <v/>
      </c>
      <c r="J12133" s="25" t="str">
        <f aca="false">Lib_Compta</f>
        <v>Mission comptable (tenue, révision, bilan, liasse fiscale)</v>
      </c>
      <c r="K12133" s="25" t="n">
        <f aca="false">IF($K$12106=0,0,N(INDEX(Clients!$K$2:$K$501,$K$12106)))</f>
        <v>0</v>
      </c>
      <c r="L12133" s="25" t="n">
        <f aca="false">IF($K$12106=0,0,N(INDEX(Clients!$P$2:$P$501,$K$12106)))</f>
        <v>0</v>
      </c>
      <c r="M12133" s="25" t="n">
        <f aca="false">IF(OR(K12133&lt;&gt;0,L12133&lt;&gt;0),1,0)</f>
        <v>0</v>
      </c>
      <c r="N12133" s="25" t="str">
        <f aca="false">IF(M12133=1,SUM($M$12133:M12133),"")</f>
        <v/>
      </c>
      <c r="O12133" s="25" t="n">
        <v>1</v>
      </c>
    </row>
    <row r="12134" customFormat="false" ht="16.5" hidden="false" customHeight="true" outlineLevel="0" collapsed="false">
      <c r="B12134" s="40" t="str">
        <f aca="false">IFERROR(INDEX($J$12133:$J$12136,MATCH($O12134,$N$12133:$N$12136,0)),"")</f>
        <v/>
      </c>
      <c r="C12134" s="41" t="str">
        <f aca="false">IFERROR(INDEX($K$12133:$K$12136,MATCH($O12134,$N$12133:$N$12136,0)),"")</f>
        <v/>
      </c>
      <c r="D12134" s="42" t="str">
        <f aca="false">IF(OR(E12134="",N(C12134)=0),"",E12134/C12134-1)</f>
        <v/>
      </c>
      <c r="E12134" s="41" t="str">
        <f aca="false">IFERROR(INDEX($L$12133:$L$12136,MATCH($O12134,$N$12133:$N$12136,0)),"")</f>
        <v/>
      </c>
      <c r="F12134" s="41" t="str">
        <f aca="false">IF(E12134="","",E12134-C12134)</f>
        <v/>
      </c>
      <c r="J12134" s="25" t="str">
        <f aca="false">Lib_Paye</f>
        <v>Mission sociale (bulletins de paie, DSN, déclarations sociales)</v>
      </c>
      <c r="K12134" s="25" t="n">
        <f aca="false">IF($K$12106=0,0,N(INDEX(Clients!$L$2:$L$501,$K$12106)))</f>
        <v>0</v>
      </c>
      <c r="L12134" s="25" t="n">
        <f aca="false">IF($K$12106=0,0,N(INDEX(Clients!$Q$2:$Q$501,$K$12106)))</f>
        <v>0</v>
      </c>
      <c r="M12134" s="25" t="n">
        <f aca="false">IF(OR(K12134&lt;&gt;0,L12134&lt;&gt;0),1,0)</f>
        <v>0</v>
      </c>
      <c r="N12134" s="25" t="str">
        <f aca="false">IF(M12134=1,SUM($M$12133:M12134),"")</f>
        <v/>
      </c>
      <c r="O12134" s="25" t="n">
        <v>2</v>
      </c>
    </row>
    <row r="12135" customFormat="false" ht="16.5" hidden="false" customHeight="true" outlineLevel="0" collapsed="false">
      <c r="B12135" s="40" t="str">
        <f aca="false">IFERROR(INDEX($J$12133:$J$12136,MATCH($O12135,$N$12133:$N$12136,0)),"")</f>
        <v/>
      </c>
      <c r="C12135" s="41" t="str">
        <f aca="false">IFERROR(INDEX($K$12133:$K$12136,MATCH($O12135,$N$12133:$N$12136,0)),"")</f>
        <v/>
      </c>
      <c r="D12135" s="42" t="str">
        <f aca="false">IF(OR(E12135="",N(C12135)=0),"",E12135/C12135-1)</f>
        <v/>
      </c>
      <c r="E12135" s="41" t="str">
        <f aca="false">IFERROR(INDEX($L$12133:$L$12136,MATCH($O12135,$N$12133:$N$12136,0)),"")</f>
        <v/>
      </c>
      <c r="F12135" s="41" t="str">
        <f aca="false">IF(E12135="","",E12135-C12135)</f>
        <v/>
      </c>
      <c r="J12135" s="25" t="str">
        <f aca="false">Lib_Jur</f>
        <v>Mission juridique (approbation des comptes, secrétariat juridique)</v>
      </c>
      <c r="K12135" s="25" t="n">
        <f aca="false">IF($K$12106=0,0,N(INDEX(Clients!$M$2:$M$501,$K$12106)))</f>
        <v>0</v>
      </c>
      <c r="L12135" s="25" t="n">
        <f aca="false">IF($K$12106=0,0,N(INDEX(Clients!$R$2:$R$501,$K$12106)))</f>
        <v>0</v>
      </c>
      <c r="M12135" s="25" t="n">
        <f aca="false">IF(OR(K12135&lt;&gt;0,L12135&lt;&gt;0),1,0)</f>
        <v>0</v>
      </c>
      <c r="N12135" s="25" t="str">
        <f aca="false">IF(M12135=1,SUM($M$12133:M12135),"")</f>
        <v/>
      </c>
      <c r="O12135" s="25" t="n">
        <v>3</v>
      </c>
    </row>
    <row r="12136" customFormat="false" ht="16.5" hidden="false" customHeight="true" outlineLevel="0" collapsed="false">
      <c r="B12136" s="40" t="str">
        <f aca="false">IFERROR(INDEX($J$12133:$J$12136,MATCH($O12136,$N$12133:$N$12136,0)),"")</f>
        <v/>
      </c>
      <c r="C12136" s="41" t="str">
        <f aca="false">IFERROR(INDEX($K$12133:$K$12136,MATCH($O12136,$N$12133:$N$12136,0)),"")</f>
        <v/>
      </c>
      <c r="D12136" s="42" t="str">
        <f aca="false">IF(OR(E12136="",N(C12136)=0),"",E12136/C12136-1)</f>
        <v/>
      </c>
      <c r="E12136" s="41" t="str">
        <f aca="false">IFERROR(INDEX($L$12133:$L$12136,MATCH($O12136,$N$12133:$N$12136,0)),"")</f>
        <v/>
      </c>
      <c r="F12136" s="41" t="str">
        <f aca="false">IF(E12136="","",E12136-C12136)</f>
        <v/>
      </c>
      <c r="J12136" s="25" t="str">
        <f aca="false">Lib_PA</f>
        <v>Plateforme agréée – facturation électronique</v>
      </c>
      <c r="K12136" s="25" t="n">
        <f aca="false">IF($K$12106=0,0,N(INDEX(Clients!$N$2:$N$501,$K$12106)))</f>
        <v>0</v>
      </c>
      <c r="L12136" s="25" t="n">
        <f aca="false">IF($K$12106=0,0,N(INDEX(Clients!$S$2:$S$501,$K$12106)))</f>
        <v>0</v>
      </c>
      <c r="M12136" s="25" t="n">
        <f aca="false">IF(OR(K12136&lt;&gt;0,L12136&lt;&gt;0),1,0)</f>
        <v>0</v>
      </c>
      <c r="N12136" s="25" t="str">
        <f aca="false">IF(M12136=1,SUM($M$12133:M12136),"")</f>
        <v/>
      </c>
      <c r="O12136" s="25" t="n">
        <v>4</v>
      </c>
    </row>
    <row r="12137" customFormat="false" ht="18" hidden="false" customHeight="true" outlineLevel="0" collapsed="false">
      <c r="B12137" s="43" t="s">
        <v>158</v>
      </c>
      <c r="C12137" s="44" t="n">
        <f aca="false">SUM(K12133:K12136)</f>
        <v>0</v>
      </c>
      <c r="D12137" s="45" t="str">
        <f aca="false">IF(N(C12137)=0,"",E12137/C12137-1)</f>
        <v/>
      </c>
      <c r="E12137" s="44" t="n">
        <f aca="false">SUM(L12133:L12136)</f>
        <v>0</v>
      </c>
      <c r="F12137" s="44" t="n">
        <f aca="false">E12137-C12137</f>
        <v>0</v>
      </c>
    </row>
    <row r="12138" customFormat="false" ht="15" hidden="false" customHeight="false" outlineLevel="0" collapsed="false">
      <c r="B12138" s="46" t="str">
        <f aca="false">IF(N(Nb_Mensualites)=0,"","Soit "&amp;FIXED(E12137/Nb_Mensualites,2)&amp;" € HT par échéance ("&amp;Nb_Mensualites&amp;" échéances), "&amp;FIXED(E12137/Nb_Mensualites*(1+Taux_TVA),2)&amp;" € TTC.")</f>
        <v>Soit 0.00 € HT par échéance (12 échéances), 0.00 € TTC.</v>
      </c>
      <c r="C12138" s="46"/>
      <c r="D12138" s="46"/>
      <c r="E12138" s="46"/>
      <c r="F12138" s="46"/>
    </row>
    <row r="12139" customFormat="false" ht="7.5" hidden="false" customHeight="true" outlineLevel="0" collapsed="false">
      <c r="B12139" s="10"/>
      <c r="C12139" s="10"/>
      <c r="D12139" s="10"/>
      <c r="E12139" s="10"/>
      <c r="F12139" s="10"/>
    </row>
    <row r="12140" customFormat="false" ht="36.75" hidden="false" customHeight="true" outlineLevel="0" collapsed="false">
      <c r="B12140" s="37" t="str">
        <f aca="false">SUBSTITUTE(SUBSTITUTE(SUBSTITUTE(SUBSTITUTE(SUBSTITUTE(Txt_P5,"{cabinet}",Cab_Nom),"{societe}",IF($K$12106=0,"",INDEX(Clients!$E$2:$E$501,$K$12106)&amp;"")),"{date_effet}",$K$12108),"{hausse}",$K$12109),"{civilite}",$K$12107)</f>
        <v>Les autres conditions de votre lettre de mission demeurent inchangées. Les nouveaux montants seront appliqués automatiquement sur vos prochaines factures et échéances de prélèvement.</v>
      </c>
      <c r="C12140" s="37"/>
      <c r="D12140" s="37"/>
      <c r="E12140" s="37"/>
      <c r="F12140" s="37"/>
    </row>
    <row r="12141" customFormat="false" ht="36.75" hidden="false" customHeight="true" outlineLevel="0" collapsed="false">
      <c r="B12141" s="37" t="str">
        <f aca="false">SUBSTITUTE(SUBSTITUTE(SUBSTITUTE(SUBSTITUTE(SUBSTITUTE(Txt_P6,"{cabinet}",Cab_Nom),"{societe}",IF($K$12106=0,"",INDEX(Clients!$E$2:$E$501,$K$12106)&amp;"")),"{date_effet}",$K$12108),"{hausse}",$K$12109),"{civilite}",$K$12107)</f>
        <v>Votre interlocuteur habituel reste à votre entière disposition pour répondre à vos questions et faire le point sur l'évolution de vos besoins.</v>
      </c>
      <c r="C12141" s="37"/>
      <c r="D12141" s="37"/>
      <c r="E12141" s="37"/>
      <c r="F12141" s="37"/>
    </row>
    <row r="12142" customFormat="false" ht="24" hidden="false" customHeight="true" outlineLevel="0" collapsed="false">
      <c r="B12142" s="37" t="str">
        <f aca="false">SUBSTITUTE(SUBSTITUTE(SUBSTITUTE(SUBSTITUTE(SUBSTITUTE(Txt_Politesse,"{cabinet}",Cab_Nom),"{societe}",IF($K$12106=0,"",INDEX(Clients!$E$2:$E$501,$K$12106)&amp;"")),"{date_effet}",$K$12108),"{hausse}",$K$12109),"{civilite}",$K$12107)</f>
        <v>Nous vous prions d'agréer, Madame, Monsieur, l'expression de nos salutations distinguées.</v>
      </c>
      <c r="C12142" s="37"/>
      <c r="D12142" s="37"/>
      <c r="E12142" s="37"/>
      <c r="F12142" s="37"/>
    </row>
    <row r="12143" customFormat="false" ht="15" hidden="false" customHeight="false" outlineLevel="0" collapsed="false">
      <c r="B12143" s="10"/>
      <c r="C12143" s="10"/>
      <c r="D12143" s="10"/>
      <c r="E12143" s="10"/>
      <c r="F12143" s="10"/>
    </row>
    <row r="12144" customFormat="false" ht="15" hidden="false" customHeight="false" outlineLevel="0" collapsed="false">
      <c r="B12144" s="10"/>
      <c r="C12144" s="10"/>
      <c r="D12144" s="34" t="str">
        <f aca="false">Signataire</f>
        <v>Prénom NOM</v>
      </c>
      <c r="E12144" s="34"/>
      <c r="F12144" s="34"/>
    </row>
    <row r="12145" customFormat="false" ht="15" hidden="false" customHeight="false" outlineLevel="0" collapsed="false">
      <c r="B12145" s="10"/>
      <c r="C12145" s="10"/>
      <c r="D12145" s="47" t="str">
        <f aca="false">Signataire_Titre</f>
        <v>Expert-comptable associé</v>
      </c>
      <c r="E12145" s="47"/>
      <c r="F12145" s="47"/>
    </row>
    <row r="12146" customFormat="false" ht="15.75" hidden="false" customHeight="true" outlineLevel="0" collapsed="false">
      <c r="B12146" s="10"/>
      <c r="C12146" s="10"/>
      <c r="D12146" s="10"/>
      <c r="E12146" s="10"/>
      <c r="F12146" s="10"/>
    </row>
    <row r="12147" customFormat="false" ht="15.75" hidden="false" customHeight="true" outlineLevel="0" collapsed="false">
      <c r="B12147" s="10"/>
      <c r="C12147" s="10"/>
      <c r="D12147" s="10"/>
      <c r="E12147" s="10"/>
      <c r="F12147" s="10"/>
    </row>
    <row r="12148" customFormat="false" ht="15.75" hidden="false" customHeight="true" outlineLevel="0" collapsed="false">
      <c r="B12148" s="10"/>
      <c r="C12148" s="10"/>
      <c r="D12148" s="10"/>
      <c r="E12148" s="10"/>
      <c r="F12148" s="10"/>
    </row>
    <row r="12149" customFormat="false" ht="15.75" hidden="false" customHeight="true" outlineLevel="0" collapsed="false">
      <c r="B12149" s="10"/>
      <c r="C12149" s="10"/>
      <c r="D12149" s="10"/>
      <c r="E12149" s="10"/>
      <c r="F12149" s="10"/>
    </row>
    <row r="12150" customFormat="false" ht="24" hidden="false" customHeight="true" outlineLevel="0" collapsed="false">
      <c r="B12150" s="48" t="str">
        <f aca="false">Cab_Mentions</f>
        <v>ALTHO EXPERTISE · SAS au capital de 10 000 € · RCS Pontoise 919 706 325 · TVA FR62919706325 · Société d'expertise comptable inscrite au Tableau de l'Ordre des experts-comptables de Paris Île-de-France</v>
      </c>
      <c r="C12150" s="48"/>
      <c r="D12150" s="48"/>
      <c r="E12150" s="48"/>
      <c r="F12150" s="48"/>
    </row>
    <row r="12151" customFormat="false" ht="15" hidden="false" customHeight="false" outlineLevel="0" collapsed="false">
      <c r="B12151" s="10"/>
      <c r="C12151" s="10"/>
      <c r="D12151" s="10"/>
      <c r="E12151" s="10"/>
      <c r="F12151" s="10"/>
      <c r="J12151" s="25" t="s">
        <v>142</v>
      </c>
      <c r="K12151" s="25" t="n">
        <f aca="false">IFERROR(MATCH(271,Clients!$Z$2:$Z$501,0),0)</f>
        <v>0</v>
      </c>
      <c r="L12151" s="25"/>
      <c r="M12151" s="25"/>
      <c r="N12151" s="25"/>
      <c r="O12151" s="25"/>
    </row>
    <row r="12152" customFormat="false" ht="21.75" hidden="false" customHeight="true" outlineLevel="0" collapsed="false">
      <c r="B12152" s="26" t="str">
        <f aca="false">Cab_Nom</f>
        <v>ALTHO EXPERTISE</v>
      </c>
      <c r="C12152" s="26"/>
      <c r="D12152" s="10"/>
      <c r="E12152" s="27" t="str">
        <f aca="false">IF($K$12151=0,"","Réf. client : "&amp;INDEX(Clients!$A$2:$A$501,$K$12151))</f>
        <v/>
      </c>
      <c r="F12152" s="27"/>
      <c r="J12152" s="25" t="s">
        <v>144</v>
      </c>
      <c r="K12152" s="25" t="str">
        <f aca="false">IF(IF($K$12151=0,"",INDEX(Clients!$B$2:$B$501,$K$12151)&amp;"")="Mme","Madame",IF(IF($K$12151=0,"",INDEX(Clients!$B$2:$B$501,$K$12151)&amp;"")="M.","Monsieur","Madame, Monsieur"))</f>
        <v>Madame, Monsieur</v>
      </c>
      <c r="L12152" s="25"/>
      <c r="M12152" s="25"/>
      <c r="N12152" s="25"/>
      <c r="O12152" s="25"/>
    </row>
    <row r="12153" customFormat="false" ht="15" hidden="false" customHeight="false" outlineLevel="0" collapsed="false">
      <c r="B12153" s="29" t="str">
        <f aca="false">Cab_Adr1</f>
        <v>141 rue Charles de Gaulle</v>
      </c>
      <c r="C12153" s="29"/>
      <c r="D12153" s="10"/>
      <c r="E12153" s="10"/>
      <c r="F12153" s="10"/>
      <c r="J12153" s="25" t="s">
        <v>145</v>
      </c>
      <c r="K12153" s="25" t="str">
        <f aca="false">DAY(Date_Effet)&amp;IF(DAY(Date_Effet)=1,"er","")&amp;" "&amp;INDEX(Liste_Mois,MONTH(Date_Effet))&amp;" "&amp;YEAR(Date_Effet)</f>
        <v>1er janvier 2027</v>
      </c>
      <c r="L12153" s="25"/>
      <c r="M12153" s="25"/>
      <c r="N12153" s="25"/>
      <c r="O12153" s="25"/>
    </row>
    <row r="12154" customFormat="false" ht="15" hidden="false" customHeight="false" outlineLevel="0" collapsed="false">
      <c r="B12154" s="29" t="str">
        <f aca="false">Cab_CPVille</f>
        <v>95130 LE PLESSIS-BOUCHARD</v>
      </c>
      <c r="C12154" s="29"/>
      <c r="D12154" s="10"/>
      <c r="E12154" s="10"/>
      <c r="F12154" s="10"/>
      <c r="J12154" s="25" t="s">
        <v>146</v>
      </c>
      <c r="K12154" s="25" t="str">
        <f aca="false">IF(SUM($K$12178:$K$12181)=0,"",FIXED((SUM($L$12178:$L$12181)/SUM($K$12178:$K$12181)-1)*100,1)&amp;" %")</f>
        <v/>
      </c>
      <c r="L12154" s="25"/>
      <c r="M12154" s="25"/>
      <c r="N12154" s="25"/>
      <c r="O12154" s="25"/>
    </row>
    <row r="12155" customFormat="false" ht="15" hidden="false" customHeight="false" outlineLevel="0" collapsed="false">
      <c r="B12155" s="29" t="str">
        <f aca="false">Cab_Contact</f>
        <v>Tél. 01 34 14 53 45  ·  altho@altho-experts.com  ·  altho-experts.com</v>
      </c>
      <c r="C12155" s="29"/>
      <c r="D12155" s="10"/>
      <c r="E12155" s="10"/>
      <c r="F12155" s="10"/>
      <c r="J12155" s="25"/>
      <c r="K12155" s="25"/>
      <c r="L12155" s="25"/>
      <c r="M12155" s="25"/>
      <c r="N12155" s="25"/>
      <c r="O12155" s="25"/>
    </row>
    <row r="12156" customFormat="false" ht="6" hidden="false" customHeight="true" outlineLevel="0" collapsed="false">
      <c r="B12156" s="32"/>
      <c r="C12156" s="32"/>
      <c r="D12156" s="32"/>
      <c r="E12156" s="32"/>
      <c r="F12156" s="32"/>
      <c r="J12156" s="25"/>
      <c r="K12156" s="25"/>
      <c r="L12156" s="25"/>
      <c r="M12156" s="25"/>
      <c r="N12156" s="25"/>
      <c r="O12156" s="25"/>
    </row>
    <row r="12157" customFormat="false" ht="13.5" hidden="false" customHeight="true" outlineLevel="0" collapsed="false">
      <c r="B12157" s="10"/>
      <c r="C12157" s="10"/>
      <c r="D12157" s="10"/>
      <c r="E12157" s="10"/>
      <c r="F12157" s="10"/>
      <c r="J12157" s="25"/>
      <c r="K12157" s="25"/>
      <c r="L12157" s="25"/>
      <c r="M12157" s="25"/>
      <c r="N12157" s="25"/>
      <c r="O12157" s="25"/>
    </row>
    <row r="12158" customFormat="false" ht="13.5" hidden="false" customHeight="true" outlineLevel="0" collapsed="false">
      <c r="B12158" s="10"/>
      <c r="C12158" s="10"/>
      <c r="D12158" s="10"/>
      <c r="E12158" s="10"/>
      <c r="F12158" s="10"/>
      <c r="J12158" s="25"/>
      <c r="K12158" s="25"/>
      <c r="L12158" s="25"/>
      <c r="M12158" s="25"/>
      <c r="N12158" s="25"/>
      <c r="O12158" s="25"/>
    </row>
    <row r="12159" customFormat="false" ht="13.5" hidden="false" customHeight="true" outlineLevel="0" collapsed="false">
      <c r="B12159" s="10"/>
      <c r="C12159" s="10"/>
      <c r="D12159" s="10"/>
      <c r="E12159" s="10"/>
      <c r="F12159" s="10"/>
      <c r="J12159" s="25"/>
      <c r="K12159" s="25"/>
      <c r="L12159" s="25"/>
      <c r="M12159" s="25"/>
      <c r="N12159" s="25"/>
      <c r="O12159" s="25"/>
    </row>
    <row r="12160" customFormat="false" ht="15" hidden="false" customHeight="true" outlineLevel="0" collapsed="false">
      <c r="B12160" s="10"/>
      <c r="C12160" s="10"/>
      <c r="D12160" s="34" t="str">
        <f aca="false">IF($K$12151=0,"",INDEX(Clients!$E$2:$E$501,$K$12151)&amp;"")</f>
        <v/>
      </c>
      <c r="E12160" s="34"/>
      <c r="F12160" s="34"/>
      <c r="J12160" s="25"/>
      <c r="K12160" s="25"/>
      <c r="L12160" s="25"/>
      <c r="M12160" s="25"/>
      <c r="N12160" s="25"/>
      <c r="O12160" s="25"/>
    </row>
    <row r="12161" customFormat="false" ht="15" hidden="false" customHeight="true" outlineLevel="0" collapsed="false">
      <c r="B12161" s="10"/>
      <c r="C12161" s="10"/>
      <c r="D12161" s="35" t="str">
        <f aca="false">IF(IF($K$12151=0,"",INDEX(Clients!$D$2:$D$501,$K$12151)&amp;"")="","","À l'attention de "&amp;TRIM(IF($K$12151=0,"",INDEX(Clients!$B$2:$B$501,$K$12151)&amp;"")&amp;" "&amp;IF($K$12151=0,"",INDEX(Clients!$C$2:$C$501,$K$12151)&amp;"")&amp;" "&amp;IF($K$12151=0,"",INDEX(Clients!$D$2:$D$501,$K$12151)&amp;"")))</f>
        <v/>
      </c>
      <c r="E12161" s="35"/>
      <c r="F12161" s="35"/>
      <c r="J12161" s="25"/>
      <c r="K12161" s="25"/>
      <c r="L12161" s="25"/>
      <c r="M12161" s="25"/>
      <c r="N12161" s="25"/>
      <c r="O12161" s="25"/>
    </row>
    <row r="12162" customFormat="false" ht="15" hidden="false" customHeight="true" outlineLevel="0" collapsed="false">
      <c r="B12162" s="10"/>
      <c r="C12162" s="10"/>
      <c r="D12162" s="35" t="str">
        <f aca="false">IF($K$12151=0,"",INDEX(Clients!$F$2:$F$501,$K$12151)&amp;"")</f>
        <v/>
      </c>
      <c r="E12162" s="35"/>
      <c r="F12162" s="35"/>
      <c r="J12162" s="25"/>
      <c r="K12162" s="25"/>
      <c r="L12162" s="25"/>
      <c r="M12162" s="25"/>
      <c r="N12162" s="25"/>
      <c r="O12162" s="25"/>
    </row>
    <row r="12163" customFormat="false" ht="15" hidden="false" customHeight="true" outlineLevel="0" collapsed="false">
      <c r="B12163" s="10"/>
      <c r="C12163" s="10"/>
      <c r="D12163" s="35" t="str">
        <f aca="false">IF(IF($K$12151=0,"",INDEX(Clients!$G$2:$G$501,$K$12151)&amp;"")="",TRIM(IF($K$12151=0,"",INDEX(Clients!$H$2:$H$501,$K$12151)&amp;"")&amp;" "&amp;UPPER(IF($K$12151=0,"",INDEX(Clients!$I$2:$I$501,$K$12151)&amp;""))),IF($K$12151=0,"",INDEX(Clients!$G$2:$G$501,$K$12151)&amp;""))</f>
        <v/>
      </c>
      <c r="E12163" s="35"/>
      <c r="F12163" s="35"/>
      <c r="J12163" s="25"/>
      <c r="K12163" s="25"/>
      <c r="L12163" s="25"/>
      <c r="M12163" s="25"/>
      <c r="N12163" s="25"/>
      <c r="O12163" s="25"/>
    </row>
    <row r="12164" customFormat="false" ht="15" hidden="false" customHeight="true" outlineLevel="0" collapsed="false">
      <c r="B12164" s="10"/>
      <c r="C12164" s="10"/>
      <c r="D12164" s="35" t="str">
        <f aca="false">IF(IF($K$12151=0,"",INDEX(Clients!$G$2:$G$501,$K$12151)&amp;"")="","",TRIM(IF($K$12151=0,"",INDEX(Clients!$H$2:$H$501,$K$12151)&amp;"")&amp;" "&amp;UPPER(IF($K$12151=0,"",INDEX(Clients!$I$2:$I$501,$K$12151)&amp;""))))</f>
        <v/>
      </c>
      <c r="E12164" s="35"/>
      <c r="F12164" s="35"/>
      <c r="J12164" s="25"/>
      <c r="K12164" s="25"/>
      <c r="L12164" s="25"/>
      <c r="M12164" s="25"/>
      <c r="N12164" s="25"/>
      <c r="O12164" s="25"/>
    </row>
    <row r="12165" customFormat="false" ht="25.5" hidden="false" customHeight="true" outlineLevel="0" collapsed="false">
      <c r="B12165" s="10"/>
      <c r="C12165" s="10"/>
      <c r="D12165" s="10"/>
      <c r="E12165" s="10"/>
      <c r="F12165" s="10"/>
      <c r="J12165" s="25"/>
      <c r="K12165" s="25"/>
      <c r="L12165" s="25"/>
      <c r="M12165" s="25"/>
      <c r="N12165" s="25"/>
      <c r="O12165" s="25"/>
    </row>
    <row r="12166" customFormat="false" ht="15" hidden="false" customHeight="false" outlineLevel="0" collapsed="false">
      <c r="B12166" s="10"/>
      <c r="C12166" s="10"/>
      <c r="D12166" s="36" t="str">
        <f aca="false">Cab_Ville&amp;", le "&amp;DAY(Date_Courrier)&amp;IF(DAY(Date_Courrier)=1,"er","")&amp;" "&amp;INDEX(Liste_Mois,MONTH(Date_Courrier))&amp;" "&amp;YEAR(Date_Courrier)</f>
        <v>Le Plessis-Bouchard, le 22 septembre 2026</v>
      </c>
      <c r="E12166" s="36"/>
      <c r="F12166" s="36"/>
      <c r="J12166" s="25"/>
      <c r="K12166" s="25"/>
      <c r="L12166" s="25"/>
      <c r="M12166" s="25"/>
      <c r="N12166" s="25"/>
      <c r="O12166" s="25"/>
    </row>
    <row r="12167" customFormat="false" ht="19.5" hidden="false" customHeight="true" outlineLevel="0" collapsed="false">
      <c r="B12167" s="10"/>
      <c r="C12167" s="10"/>
      <c r="D12167" s="10"/>
      <c r="E12167" s="10"/>
      <c r="F12167" s="10"/>
      <c r="J12167" s="25"/>
      <c r="K12167" s="25"/>
      <c r="L12167" s="25"/>
      <c r="M12167" s="25"/>
      <c r="N12167" s="25"/>
      <c r="O12167" s="25"/>
    </row>
    <row r="12168" customFormat="false" ht="15" hidden="false" customHeight="false" outlineLevel="0" collapsed="false">
      <c r="B12168" s="34" t="str">
        <f aca="false">SUBSTITUTE(SUBSTITUTE(SUBSTITUTE(SUBSTITUTE(SUBSTITUTE(Txt_Objet,"{cabinet}",Cab_Nom),"{societe}",IF($K$12151=0,"",INDEX(Clients!$E$2:$E$501,$K$12151)&amp;"")),"{date_effet}",$K$12153),"{hausse}",$K$12154),"{civilite}",$K$12152)</f>
        <v>Objet : révision de nos honoraires au 1er janvier 2027</v>
      </c>
      <c r="C12168" s="34"/>
      <c r="D12168" s="34"/>
      <c r="E12168" s="34"/>
      <c r="F12168" s="34"/>
      <c r="J12168" s="25"/>
      <c r="K12168" s="25"/>
      <c r="L12168" s="25"/>
      <c r="M12168" s="25"/>
      <c r="N12168" s="25"/>
      <c r="O12168" s="25"/>
    </row>
    <row r="12169" customFormat="false" ht="13.5" hidden="false" customHeight="true" outlineLevel="0" collapsed="false">
      <c r="B12169" s="10"/>
      <c r="C12169" s="10"/>
      <c r="D12169" s="10"/>
      <c r="E12169" s="10"/>
      <c r="F12169" s="10"/>
      <c r="J12169" s="25"/>
      <c r="K12169" s="25"/>
      <c r="L12169" s="25"/>
      <c r="M12169" s="25"/>
      <c r="N12169" s="25"/>
      <c r="O12169" s="25"/>
    </row>
    <row r="12170" customFormat="false" ht="15" hidden="false" customHeight="false" outlineLevel="0" collapsed="false">
      <c r="B12170" s="10" t="str">
        <f aca="false">$K$12152&amp;","</f>
        <v>Madame, Monsieur,</v>
      </c>
      <c r="C12170" s="10"/>
      <c r="D12170" s="10"/>
      <c r="E12170" s="10"/>
      <c r="F12170" s="10"/>
      <c r="J12170" s="25"/>
      <c r="K12170" s="25"/>
      <c r="L12170" s="25"/>
      <c r="M12170" s="25"/>
      <c r="N12170" s="25"/>
      <c r="O12170" s="25"/>
    </row>
    <row r="12171" customFormat="false" ht="6" hidden="false" customHeight="true" outlineLevel="0" collapsed="false">
      <c r="B12171" s="10"/>
      <c r="C12171" s="10"/>
      <c r="D12171" s="10"/>
      <c r="E12171" s="10"/>
      <c r="F12171" s="10"/>
      <c r="J12171" s="25"/>
      <c r="K12171" s="25"/>
      <c r="L12171" s="25"/>
      <c r="M12171" s="25"/>
      <c r="N12171" s="25"/>
      <c r="O12171" s="25"/>
    </row>
    <row r="12172" customFormat="false" ht="36.75" hidden="false" customHeight="true" outlineLevel="0" collapsed="false">
      <c r="B12172" s="37" t="str">
        <f aca="false">SUBSTITUTE(SUBSTITUTE(SUBSTITUTE(SUBSTITUTE(SUBSTITUTE(Txt_P1,"{cabinet}",Cab_Nom),"{societe}",IF($K$12151=0,"",INDEX(Clients!$E$2:$E$501,$K$12151)&amp;"")),"{date_effet}",$K$12153),"{hausse}",$K$12154),"{civilite}",$K$12152)</f>
        <v>Nous tenons tout d'abord à vous remercier pour la confiance que vous accordez à ALTHO EXPERTISE. Comme chaque année, et conformément aux dispositions de votre lettre de mission, nous procédons à la révision de nos honoraires.</v>
      </c>
      <c r="C12172" s="37"/>
      <c r="D12172" s="37"/>
      <c r="E12172" s="37"/>
      <c r="F12172" s="37"/>
      <c r="J12172" s="25"/>
      <c r="K12172" s="25"/>
      <c r="L12172" s="25"/>
      <c r="M12172" s="25"/>
      <c r="N12172" s="25"/>
      <c r="O12172" s="25"/>
    </row>
    <row r="12173" customFormat="false" ht="49.5" hidden="false" customHeight="true" outlineLevel="0" collapsed="false">
      <c r="B12173" s="37" t="str">
        <f aca="false">SUBSTITUTE(SUBSTITUTE(SUBSTITUTE(SUBSTITUTE(SUBSTITUTE(Txt_P2,"{cabinet}",Cab_Nom),"{societe}",IF($K$12151=0,"",INDEX(Clients!$E$2:$E$501,$K$12151)&amp;"")),"{date_effet}",$K$12153),"{hausse}",$K$12154),"{civilite}",$K$12152)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173" s="37"/>
      <c r="D12173" s="37"/>
      <c r="E12173" s="37"/>
      <c r="F12173" s="37"/>
      <c r="J12173" s="25"/>
      <c r="K12173" s="25"/>
      <c r="L12173" s="25"/>
      <c r="M12173" s="25"/>
      <c r="N12173" s="25"/>
      <c r="O12173" s="25"/>
    </row>
    <row r="12174" customFormat="false" ht="63" hidden="false" customHeight="true" outlineLevel="0" collapsed="false">
      <c r="B12174" s="37" t="str">
        <f aca="false">SUBSTITUTE(SUBSTITUTE(SUBSTITUTE(SUBSTITUTE(SUBSTITUTE(Txt_P3,"{cabinet}",Cab_Nom),"{societe}",IF($K$12151=0,"",INDEX(Clients!$E$2:$E$501,$K$12151)&amp;"")),"{date_effet}",$K$12153),"{hausse}",$K$12154),"{civilite}",$K$12152)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174" s="37"/>
      <c r="D12174" s="37"/>
      <c r="E12174" s="37"/>
      <c r="F12174" s="37"/>
      <c r="J12174" s="25"/>
      <c r="K12174" s="25"/>
      <c r="L12174" s="25"/>
      <c r="M12174" s="25"/>
      <c r="N12174" s="25"/>
      <c r="O12174" s="25"/>
    </row>
    <row r="12175" customFormat="false" ht="24" hidden="false" customHeight="true" outlineLevel="0" collapsed="false">
      <c r="B12175" s="37" t="str">
        <f aca="false">SUBSTITUTE(SUBSTITUTE(SUBSTITUTE(SUBSTITUTE(SUBSTITUTE(Txt_P4,"{cabinet}",Cab_Nom),"{societe}",IF($K$12151=0,"",INDEX(Clients!$E$2:$E$501,$K$12151)&amp;"")),"{date_effet}",$K$12153),"{hausse}",$K$12154),"{civilite}",$K$12152)</f>
        <v>À compter du 1er janvier 2027, vos honoraires annuels hors taxes évolueront ainsi (évolution globale : ) :</v>
      </c>
      <c r="C12175" s="37"/>
      <c r="D12175" s="37"/>
      <c r="E12175" s="37"/>
      <c r="F12175" s="37"/>
      <c r="J12175" s="25"/>
      <c r="K12175" s="25"/>
      <c r="L12175" s="25"/>
      <c r="M12175" s="25"/>
      <c r="N12175" s="25"/>
      <c r="O12175" s="25"/>
    </row>
    <row r="12176" customFormat="false" ht="3.75" hidden="false" customHeight="true" outlineLevel="0" collapsed="false">
      <c r="B12176" s="10"/>
      <c r="C12176" s="10"/>
      <c r="D12176" s="10"/>
      <c r="E12176" s="10"/>
      <c r="F12176" s="10"/>
      <c r="J12176" s="25"/>
      <c r="K12176" s="25"/>
      <c r="L12176" s="25"/>
      <c r="M12176" s="25"/>
      <c r="N12176" s="25"/>
      <c r="O12176" s="25"/>
    </row>
    <row r="12177" customFormat="false" ht="18" hidden="false" customHeight="true" outlineLevel="0" collapsed="false">
      <c r="B12177" s="38" t="s">
        <v>148</v>
      </c>
      <c r="C12177" s="39" t="s">
        <v>149</v>
      </c>
      <c r="D12177" s="39" t="s">
        <v>150</v>
      </c>
      <c r="E12177" s="39" t="s">
        <v>151</v>
      </c>
      <c r="F12177" s="39" t="s">
        <v>109</v>
      </c>
      <c r="J12177" s="25" t="s">
        <v>152</v>
      </c>
      <c r="K12177" s="25" t="s">
        <v>153</v>
      </c>
      <c r="L12177" s="25" t="s">
        <v>154</v>
      </c>
      <c r="M12177" s="25" t="s">
        <v>155</v>
      </c>
      <c r="N12177" s="25" t="s">
        <v>156</v>
      </c>
      <c r="O12177" s="25" t="s">
        <v>157</v>
      </c>
    </row>
    <row r="12178" customFormat="false" ht="16.5" hidden="false" customHeight="true" outlineLevel="0" collapsed="false">
      <c r="B12178" s="40" t="str">
        <f aca="false">IFERROR(INDEX($J$12178:$J$12181,MATCH($O12178,$N$12178:$N$12181,0)),"")</f>
        <v/>
      </c>
      <c r="C12178" s="41" t="str">
        <f aca="false">IFERROR(INDEX($K$12178:$K$12181,MATCH($O12178,$N$12178:$N$12181,0)),"")</f>
        <v/>
      </c>
      <c r="D12178" s="42" t="str">
        <f aca="false">IF(OR(E12178="",N(C12178)=0),"",E12178/C12178-1)</f>
        <v/>
      </c>
      <c r="E12178" s="41" t="str">
        <f aca="false">IFERROR(INDEX($L$12178:$L$12181,MATCH($O12178,$N$12178:$N$12181,0)),"")</f>
        <v/>
      </c>
      <c r="F12178" s="41" t="str">
        <f aca="false">IF(E12178="","",E12178-C12178)</f>
        <v/>
      </c>
      <c r="J12178" s="25" t="str">
        <f aca="false">Lib_Compta</f>
        <v>Mission comptable (tenue, révision, bilan, liasse fiscale)</v>
      </c>
      <c r="K12178" s="25" t="n">
        <f aca="false">IF($K$12151=0,0,N(INDEX(Clients!$K$2:$K$501,$K$12151)))</f>
        <v>0</v>
      </c>
      <c r="L12178" s="25" t="n">
        <f aca="false">IF($K$12151=0,0,N(INDEX(Clients!$P$2:$P$501,$K$12151)))</f>
        <v>0</v>
      </c>
      <c r="M12178" s="25" t="n">
        <f aca="false">IF(OR(K12178&lt;&gt;0,L12178&lt;&gt;0),1,0)</f>
        <v>0</v>
      </c>
      <c r="N12178" s="25" t="str">
        <f aca="false">IF(M12178=1,SUM($M$12178:M12178),"")</f>
        <v/>
      </c>
      <c r="O12178" s="25" t="n">
        <v>1</v>
      </c>
    </row>
    <row r="12179" customFormat="false" ht="16.5" hidden="false" customHeight="true" outlineLevel="0" collapsed="false">
      <c r="B12179" s="40" t="str">
        <f aca="false">IFERROR(INDEX($J$12178:$J$12181,MATCH($O12179,$N$12178:$N$12181,0)),"")</f>
        <v/>
      </c>
      <c r="C12179" s="41" t="str">
        <f aca="false">IFERROR(INDEX($K$12178:$K$12181,MATCH($O12179,$N$12178:$N$12181,0)),"")</f>
        <v/>
      </c>
      <c r="D12179" s="42" t="str">
        <f aca="false">IF(OR(E12179="",N(C12179)=0),"",E12179/C12179-1)</f>
        <v/>
      </c>
      <c r="E12179" s="41" t="str">
        <f aca="false">IFERROR(INDEX($L$12178:$L$12181,MATCH($O12179,$N$12178:$N$12181,0)),"")</f>
        <v/>
      </c>
      <c r="F12179" s="41" t="str">
        <f aca="false">IF(E12179="","",E12179-C12179)</f>
        <v/>
      </c>
      <c r="J12179" s="25" t="str">
        <f aca="false">Lib_Paye</f>
        <v>Mission sociale (bulletins de paie, DSN, déclarations sociales)</v>
      </c>
      <c r="K12179" s="25" t="n">
        <f aca="false">IF($K$12151=0,0,N(INDEX(Clients!$L$2:$L$501,$K$12151)))</f>
        <v>0</v>
      </c>
      <c r="L12179" s="25" t="n">
        <f aca="false">IF($K$12151=0,0,N(INDEX(Clients!$Q$2:$Q$501,$K$12151)))</f>
        <v>0</v>
      </c>
      <c r="M12179" s="25" t="n">
        <f aca="false">IF(OR(K12179&lt;&gt;0,L12179&lt;&gt;0),1,0)</f>
        <v>0</v>
      </c>
      <c r="N12179" s="25" t="str">
        <f aca="false">IF(M12179=1,SUM($M$12178:M12179),"")</f>
        <v/>
      </c>
      <c r="O12179" s="25" t="n">
        <v>2</v>
      </c>
    </row>
    <row r="12180" customFormat="false" ht="16.5" hidden="false" customHeight="true" outlineLevel="0" collapsed="false">
      <c r="B12180" s="40" t="str">
        <f aca="false">IFERROR(INDEX($J$12178:$J$12181,MATCH($O12180,$N$12178:$N$12181,0)),"")</f>
        <v/>
      </c>
      <c r="C12180" s="41" t="str">
        <f aca="false">IFERROR(INDEX($K$12178:$K$12181,MATCH($O12180,$N$12178:$N$12181,0)),"")</f>
        <v/>
      </c>
      <c r="D12180" s="42" t="str">
        <f aca="false">IF(OR(E12180="",N(C12180)=0),"",E12180/C12180-1)</f>
        <v/>
      </c>
      <c r="E12180" s="41" t="str">
        <f aca="false">IFERROR(INDEX($L$12178:$L$12181,MATCH($O12180,$N$12178:$N$12181,0)),"")</f>
        <v/>
      </c>
      <c r="F12180" s="41" t="str">
        <f aca="false">IF(E12180="","",E12180-C12180)</f>
        <v/>
      </c>
      <c r="J12180" s="25" t="str">
        <f aca="false">Lib_Jur</f>
        <v>Mission juridique (approbation des comptes, secrétariat juridique)</v>
      </c>
      <c r="K12180" s="25" t="n">
        <f aca="false">IF($K$12151=0,0,N(INDEX(Clients!$M$2:$M$501,$K$12151)))</f>
        <v>0</v>
      </c>
      <c r="L12180" s="25" t="n">
        <f aca="false">IF($K$12151=0,0,N(INDEX(Clients!$R$2:$R$501,$K$12151)))</f>
        <v>0</v>
      </c>
      <c r="M12180" s="25" t="n">
        <f aca="false">IF(OR(K12180&lt;&gt;0,L12180&lt;&gt;0),1,0)</f>
        <v>0</v>
      </c>
      <c r="N12180" s="25" t="str">
        <f aca="false">IF(M12180=1,SUM($M$12178:M12180),"")</f>
        <v/>
      </c>
      <c r="O12180" s="25" t="n">
        <v>3</v>
      </c>
    </row>
    <row r="12181" customFormat="false" ht="16.5" hidden="false" customHeight="true" outlineLevel="0" collapsed="false">
      <c r="B12181" s="40" t="str">
        <f aca="false">IFERROR(INDEX($J$12178:$J$12181,MATCH($O12181,$N$12178:$N$12181,0)),"")</f>
        <v/>
      </c>
      <c r="C12181" s="41" t="str">
        <f aca="false">IFERROR(INDEX($K$12178:$K$12181,MATCH($O12181,$N$12178:$N$12181,0)),"")</f>
        <v/>
      </c>
      <c r="D12181" s="42" t="str">
        <f aca="false">IF(OR(E12181="",N(C12181)=0),"",E12181/C12181-1)</f>
        <v/>
      </c>
      <c r="E12181" s="41" t="str">
        <f aca="false">IFERROR(INDEX($L$12178:$L$12181,MATCH($O12181,$N$12178:$N$12181,0)),"")</f>
        <v/>
      </c>
      <c r="F12181" s="41" t="str">
        <f aca="false">IF(E12181="","",E12181-C12181)</f>
        <v/>
      </c>
      <c r="J12181" s="25" t="str">
        <f aca="false">Lib_PA</f>
        <v>Plateforme agréée – facturation électronique</v>
      </c>
      <c r="K12181" s="25" t="n">
        <f aca="false">IF($K$12151=0,0,N(INDEX(Clients!$N$2:$N$501,$K$12151)))</f>
        <v>0</v>
      </c>
      <c r="L12181" s="25" t="n">
        <f aca="false">IF($K$12151=0,0,N(INDEX(Clients!$S$2:$S$501,$K$12151)))</f>
        <v>0</v>
      </c>
      <c r="M12181" s="25" t="n">
        <f aca="false">IF(OR(K12181&lt;&gt;0,L12181&lt;&gt;0),1,0)</f>
        <v>0</v>
      </c>
      <c r="N12181" s="25" t="str">
        <f aca="false">IF(M12181=1,SUM($M$12178:M12181),"")</f>
        <v/>
      </c>
      <c r="O12181" s="25" t="n">
        <v>4</v>
      </c>
    </row>
    <row r="12182" customFormat="false" ht="18" hidden="false" customHeight="true" outlineLevel="0" collapsed="false">
      <c r="B12182" s="43" t="s">
        <v>158</v>
      </c>
      <c r="C12182" s="44" t="n">
        <f aca="false">SUM(K12178:K12181)</f>
        <v>0</v>
      </c>
      <c r="D12182" s="45" t="str">
        <f aca="false">IF(N(C12182)=0,"",E12182/C12182-1)</f>
        <v/>
      </c>
      <c r="E12182" s="44" t="n">
        <f aca="false">SUM(L12178:L12181)</f>
        <v>0</v>
      </c>
      <c r="F12182" s="44" t="n">
        <f aca="false">E12182-C12182</f>
        <v>0</v>
      </c>
    </row>
    <row r="12183" customFormat="false" ht="15" hidden="false" customHeight="false" outlineLevel="0" collapsed="false">
      <c r="B12183" s="46" t="str">
        <f aca="false">IF(N(Nb_Mensualites)=0,"","Soit "&amp;FIXED(E12182/Nb_Mensualites,2)&amp;" € HT par échéance ("&amp;Nb_Mensualites&amp;" échéances), "&amp;FIXED(E12182/Nb_Mensualites*(1+Taux_TVA),2)&amp;" € TTC.")</f>
        <v>Soit 0.00 € HT par échéance (12 échéances), 0.00 € TTC.</v>
      </c>
      <c r="C12183" s="46"/>
      <c r="D12183" s="46"/>
      <c r="E12183" s="46"/>
      <c r="F12183" s="46"/>
    </row>
    <row r="12184" customFormat="false" ht="7.5" hidden="false" customHeight="true" outlineLevel="0" collapsed="false">
      <c r="B12184" s="10"/>
      <c r="C12184" s="10"/>
      <c r="D12184" s="10"/>
      <c r="E12184" s="10"/>
      <c r="F12184" s="10"/>
    </row>
    <row r="12185" customFormat="false" ht="36.75" hidden="false" customHeight="true" outlineLevel="0" collapsed="false">
      <c r="B12185" s="37" t="str">
        <f aca="false">SUBSTITUTE(SUBSTITUTE(SUBSTITUTE(SUBSTITUTE(SUBSTITUTE(Txt_P5,"{cabinet}",Cab_Nom),"{societe}",IF($K$12151=0,"",INDEX(Clients!$E$2:$E$501,$K$12151)&amp;"")),"{date_effet}",$K$12153),"{hausse}",$K$12154),"{civilite}",$K$12152)</f>
        <v>Les autres conditions de votre lettre de mission demeurent inchangées. Les nouveaux montants seront appliqués automatiquement sur vos prochaines factures et échéances de prélèvement.</v>
      </c>
      <c r="C12185" s="37"/>
      <c r="D12185" s="37"/>
      <c r="E12185" s="37"/>
      <c r="F12185" s="37"/>
    </row>
    <row r="12186" customFormat="false" ht="36.75" hidden="false" customHeight="true" outlineLevel="0" collapsed="false">
      <c r="B12186" s="37" t="str">
        <f aca="false">SUBSTITUTE(SUBSTITUTE(SUBSTITUTE(SUBSTITUTE(SUBSTITUTE(Txt_P6,"{cabinet}",Cab_Nom),"{societe}",IF($K$12151=0,"",INDEX(Clients!$E$2:$E$501,$K$12151)&amp;"")),"{date_effet}",$K$12153),"{hausse}",$K$12154),"{civilite}",$K$12152)</f>
        <v>Votre interlocuteur habituel reste à votre entière disposition pour répondre à vos questions et faire le point sur l'évolution de vos besoins.</v>
      </c>
      <c r="C12186" s="37"/>
      <c r="D12186" s="37"/>
      <c r="E12186" s="37"/>
      <c r="F12186" s="37"/>
    </row>
    <row r="12187" customFormat="false" ht="24" hidden="false" customHeight="true" outlineLevel="0" collapsed="false">
      <c r="B12187" s="37" t="str">
        <f aca="false">SUBSTITUTE(SUBSTITUTE(SUBSTITUTE(SUBSTITUTE(SUBSTITUTE(Txt_Politesse,"{cabinet}",Cab_Nom),"{societe}",IF($K$12151=0,"",INDEX(Clients!$E$2:$E$501,$K$12151)&amp;"")),"{date_effet}",$K$12153),"{hausse}",$K$12154),"{civilite}",$K$12152)</f>
        <v>Nous vous prions d'agréer, Madame, Monsieur, l'expression de nos salutations distinguées.</v>
      </c>
      <c r="C12187" s="37"/>
      <c r="D12187" s="37"/>
      <c r="E12187" s="37"/>
      <c r="F12187" s="37"/>
    </row>
    <row r="12188" customFormat="false" ht="15" hidden="false" customHeight="false" outlineLevel="0" collapsed="false">
      <c r="B12188" s="10"/>
      <c r="C12188" s="10"/>
      <c r="D12188" s="10"/>
      <c r="E12188" s="10"/>
      <c r="F12188" s="10"/>
    </row>
    <row r="12189" customFormat="false" ht="15" hidden="false" customHeight="false" outlineLevel="0" collapsed="false">
      <c r="B12189" s="10"/>
      <c r="C12189" s="10"/>
      <c r="D12189" s="34" t="str">
        <f aca="false">Signataire</f>
        <v>Prénom NOM</v>
      </c>
      <c r="E12189" s="34"/>
      <c r="F12189" s="34"/>
    </row>
    <row r="12190" customFormat="false" ht="15" hidden="false" customHeight="false" outlineLevel="0" collapsed="false">
      <c r="B12190" s="10"/>
      <c r="C12190" s="10"/>
      <c r="D12190" s="47" t="str">
        <f aca="false">Signataire_Titre</f>
        <v>Expert-comptable associé</v>
      </c>
      <c r="E12190" s="47"/>
      <c r="F12190" s="47"/>
    </row>
    <row r="12191" customFormat="false" ht="15.75" hidden="false" customHeight="true" outlineLevel="0" collapsed="false">
      <c r="B12191" s="10"/>
      <c r="C12191" s="10"/>
      <c r="D12191" s="10"/>
      <c r="E12191" s="10"/>
      <c r="F12191" s="10"/>
    </row>
    <row r="12192" customFormat="false" ht="15.75" hidden="false" customHeight="true" outlineLevel="0" collapsed="false">
      <c r="B12192" s="10"/>
      <c r="C12192" s="10"/>
      <c r="D12192" s="10"/>
      <c r="E12192" s="10"/>
      <c r="F12192" s="10"/>
    </row>
    <row r="12193" customFormat="false" ht="15.75" hidden="false" customHeight="true" outlineLevel="0" collapsed="false">
      <c r="B12193" s="10"/>
      <c r="C12193" s="10"/>
      <c r="D12193" s="10"/>
      <c r="E12193" s="10"/>
      <c r="F12193" s="10"/>
    </row>
    <row r="12194" customFormat="false" ht="15.75" hidden="false" customHeight="true" outlineLevel="0" collapsed="false">
      <c r="B12194" s="10"/>
      <c r="C12194" s="10"/>
      <c r="D12194" s="10"/>
      <c r="E12194" s="10"/>
      <c r="F12194" s="10"/>
    </row>
    <row r="12195" customFormat="false" ht="24" hidden="false" customHeight="true" outlineLevel="0" collapsed="false">
      <c r="B12195" s="48" t="str">
        <f aca="false">Cab_Mentions</f>
        <v>ALTHO EXPERTISE · SAS au capital de 10 000 € · RCS Pontoise 919 706 325 · TVA FR62919706325 · Société d'expertise comptable inscrite au Tableau de l'Ordre des experts-comptables de Paris Île-de-France</v>
      </c>
      <c r="C12195" s="48"/>
      <c r="D12195" s="48"/>
      <c r="E12195" s="48"/>
      <c r="F12195" s="48"/>
    </row>
    <row r="12196" customFormat="false" ht="15" hidden="false" customHeight="false" outlineLevel="0" collapsed="false">
      <c r="B12196" s="10"/>
      <c r="C12196" s="10"/>
      <c r="D12196" s="10"/>
      <c r="E12196" s="10"/>
      <c r="F12196" s="10"/>
      <c r="J12196" s="25" t="s">
        <v>142</v>
      </c>
      <c r="K12196" s="25" t="n">
        <f aca="false">IFERROR(MATCH(272,Clients!$Z$2:$Z$501,0),0)</f>
        <v>0</v>
      </c>
      <c r="L12196" s="25"/>
      <c r="M12196" s="25"/>
      <c r="N12196" s="25"/>
      <c r="O12196" s="25"/>
    </row>
    <row r="12197" customFormat="false" ht="21.75" hidden="false" customHeight="true" outlineLevel="0" collapsed="false">
      <c r="B12197" s="26" t="str">
        <f aca="false">Cab_Nom</f>
        <v>ALTHO EXPERTISE</v>
      </c>
      <c r="C12197" s="26"/>
      <c r="D12197" s="10"/>
      <c r="E12197" s="27" t="str">
        <f aca="false">IF($K$12196=0,"","Réf. client : "&amp;INDEX(Clients!$A$2:$A$501,$K$12196))</f>
        <v/>
      </c>
      <c r="F12197" s="27"/>
      <c r="J12197" s="25" t="s">
        <v>144</v>
      </c>
      <c r="K12197" s="25" t="str">
        <f aca="false">IF(IF($K$12196=0,"",INDEX(Clients!$B$2:$B$501,$K$12196)&amp;"")="Mme","Madame",IF(IF($K$12196=0,"",INDEX(Clients!$B$2:$B$501,$K$12196)&amp;"")="M.","Monsieur","Madame, Monsieur"))</f>
        <v>Madame, Monsieur</v>
      </c>
      <c r="L12197" s="25"/>
      <c r="M12197" s="25"/>
      <c r="N12197" s="25"/>
      <c r="O12197" s="25"/>
    </row>
    <row r="12198" customFormat="false" ht="15" hidden="false" customHeight="false" outlineLevel="0" collapsed="false">
      <c r="B12198" s="29" t="str">
        <f aca="false">Cab_Adr1</f>
        <v>141 rue Charles de Gaulle</v>
      </c>
      <c r="C12198" s="29"/>
      <c r="D12198" s="10"/>
      <c r="E12198" s="10"/>
      <c r="F12198" s="10"/>
      <c r="J12198" s="25" t="s">
        <v>145</v>
      </c>
      <c r="K12198" s="25" t="str">
        <f aca="false">DAY(Date_Effet)&amp;IF(DAY(Date_Effet)=1,"er","")&amp;" "&amp;INDEX(Liste_Mois,MONTH(Date_Effet))&amp;" "&amp;YEAR(Date_Effet)</f>
        <v>1er janvier 2027</v>
      </c>
      <c r="L12198" s="25"/>
      <c r="M12198" s="25"/>
      <c r="N12198" s="25"/>
      <c r="O12198" s="25"/>
    </row>
    <row r="12199" customFormat="false" ht="15" hidden="false" customHeight="false" outlineLevel="0" collapsed="false">
      <c r="B12199" s="29" t="str">
        <f aca="false">Cab_CPVille</f>
        <v>95130 LE PLESSIS-BOUCHARD</v>
      </c>
      <c r="C12199" s="29"/>
      <c r="D12199" s="10"/>
      <c r="E12199" s="10"/>
      <c r="F12199" s="10"/>
      <c r="J12199" s="25" t="s">
        <v>146</v>
      </c>
      <c r="K12199" s="25" t="str">
        <f aca="false">IF(SUM($K$12223:$K$12226)=0,"",FIXED((SUM($L$12223:$L$12226)/SUM($K$12223:$K$12226)-1)*100,1)&amp;" %")</f>
        <v/>
      </c>
      <c r="L12199" s="25"/>
      <c r="M12199" s="25"/>
      <c r="N12199" s="25"/>
      <c r="O12199" s="25"/>
    </row>
    <row r="12200" customFormat="false" ht="15" hidden="false" customHeight="false" outlineLevel="0" collapsed="false">
      <c r="B12200" s="29" t="str">
        <f aca="false">Cab_Contact</f>
        <v>Tél. 01 34 14 53 45  ·  altho@altho-experts.com  ·  altho-experts.com</v>
      </c>
      <c r="C12200" s="29"/>
      <c r="D12200" s="10"/>
      <c r="E12200" s="10"/>
      <c r="F12200" s="10"/>
      <c r="J12200" s="25"/>
      <c r="K12200" s="25"/>
      <c r="L12200" s="25"/>
      <c r="M12200" s="25"/>
      <c r="N12200" s="25"/>
      <c r="O12200" s="25"/>
    </row>
    <row r="12201" customFormat="false" ht="6" hidden="false" customHeight="true" outlineLevel="0" collapsed="false">
      <c r="B12201" s="32"/>
      <c r="C12201" s="32"/>
      <c r="D12201" s="32"/>
      <c r="E12201" s="32"/>
      <c r="F12201" s="32"/>
      <c r="J12201" s="25"/>
      <c r="K12201" s="25"/>
      <c r="L12201" s="25"/>
      <c r="M12201" s="25"/>
      <c r="N12201" s="25"/>
      <c r="O12201" s="25"/>
    </row>
    <row r="12202" customFormat="false" ht="13.5" hidden="false" customHeight="true" outlineLevel="0" collapsed="false">
      <c r="B12202" s="10"/>
      <c r="C12202" s="10"/>
      <c r="D12202" s="10"/>
      <c r="E12202" s="10"/>
      <c r="F12202" s="10"/>
      <c r="J12202" s="25"/>
      <c r="K12202" s="25"/>
      <c r="L12202" s="25"/>
      <c r="M12202" s="25"/>
      <c r="N12202" s="25"/>
      <c r="O12202" s="25"/>
    </row>
    <row r="12203" customFormat="false" ht="13.5" hidden="false" customHeight="true" outlineLevel="0" collapsed="false">
      <c r="B12203" s="10"/>
      <c r="C12203" s="10"/>
      <c r="D12203" s="10"/>
      <c r="E12203" s="10"/>
      <c r="F12203" s="10"/>
      <c r="J12203" s="25"/>
      <c r="K12203" s="25"/>
      <c r="L12203" s="25"/>
      <c r="M12203" s="25"/>
      <c r="N12203" s="25"/>
      <c r="O12203" s="25"/>
    </row>
    <row r="12204" customFormat="false" ht="13.5" hidden="false" customHeight="true" outlineLevel="0" collapsed="false">
      <c r="B12204" s="10"/>
      <c r="C12204" s="10"/>
      <c r="D12204" s="10"/>
      <c r="E12204" s="10"/>
      <c r="F12204" s="10"/>
      <c r="J12204" s="25"/>
      <c r="K12204" s="25"/>
      <c r="L12204" s="25"/>
      <c r="M12204" s="25"/>
      <c r="N12204" s="25"/>
      <c r="O12204" s="25"/>
    </row>
    <row r="12205" customFormat="false" ht="15" hidden="false" customHeight="true" outlineLevel="0" collapsed="false">
      <c r="B12205" s="10"/>
      <c r="C12205" s="10"/>
      <c r="D12205" s="34" t="str">
        <f aca="false">IF($K$12196=0,"",INDEX(Clients!$E$2:$E$501,$K$12196)&amp;"")</f>
        <v/>
      </c>
      <c r="E12205" s="34"/>
      <c r="F12205" s="34"/>
      <c r="J12205" s="25"/>
      <c r="K12205" s="25"/>
      <c r="L12205" s="25"/>
      <c r="M12205" s="25"/>
      <c r="N12205" s="25"/>
      <c r="O12205" s="25"/>
    </row>
    <row r="12206" customFormat="false" ht="15" hidden="false" customHeight="true" outlineLevel="0" collapsed="false">
      <c r="B12206" s="10"/>
      <c r="C12206" s="10"/>
      <c r="D12206" s="35" t="str">
        <f aca="false">IF(IF($K$12196=0,"",INDEX(Clients!$D$2:$D$501,$K$12196)&amp;"")="","","À l'attention de "&amp;TRIM(IF($K$12196=0,"",INDEX(Clients!$B$2:$B$501,$K$12196)&amp;"")&amp;" "&amp;IF($K$12196=0,"",INDEX(Clients!$C$2:$C$501,$K$12196)&amp;"")&amp;" "&amp;IF($K$12196=0,"",INDEX(Clients!$D$2:$D$501,$K$12196)&amp;"")))</f>
        <v/>
      </c>
      <c r="E12206" s="35"/>
      <c r="F12206" s="35"/>
      <c r="J12206" s="25"/>
      <c r="K12206" s="25"/>
      <c r="L12206" s="25"/>
      <c r="M12206" s="25"/>
      <c r="N12206" s="25"/>
      <c r="O12206" s="25"/>
    </row>
    <row r="12207" customFormat="false" ht="15" hidden="false" customHeight="true" outlineLevel="0" collapsed="false">
      <c r="B12207" s="10"/>
      <c r="C12207" s="10"/>
      <c r="D12207" s="35" t="str">
        <f aca="false">IF($K$12196=0,"",INDEX(Clients!$F$2:$F$501,$K$12196)&amp;"")</f>
        <v/>
      </c>
      <c r="E12207" s="35"/>
      <c r="F12207" s="35"/>
      <c r="J12207" s="25"/>
      <c r="K12207" s="25"/>
      <c r="L12207" s="25"/>
      <c r="M12207" s="25"/>
      <c r="N12207" s="25"/>
      <c r="O12207" s="25"/>
    </row>
    <row r="12208" customFormat="false" ht="15" hidden="false" customHeight="true" outlineLevel="0" collapsed="false">
      <c r="B12208" s="10"/>
      <c r="C12208" s="10"/>
      <c r="D12208" s="35" t="str">
        <f aca="false">IF(IF($K$12196=0,"",INDEX(Clients!$G$2:$G$501,$K$12196)&amp;"")="",TRIM(IF($K$12196=0,"",INDEX(Clients!$H$2:$H$501,$K$12196)&amp;"")&amp;" "&amp;UPPER(IF($K$12196=0,"",INDEX(Clients!$I$2:$I$501,$K$12196)&amp;""))),IF($K$12196=0,"",INDEX(Clients!$G$2:$G$501,$K$12196)&amp;""))</f>
        <v/>
      </c>
      <c r="E12208" s="35"/>
      <c r="F12208" s="35"/>
      <c r="J12208" s="25"/>
      <c r="K12208" s="25"/>
      <c r="L12208" s="25"/>
      <c r="M12208" s="25"/>
      <c r="N12208" s="25"/>
      <c r="O12208" s="25"/>
    </row>
    <row r="12209" customFormat="false" ht="15" hidden="false" customHeight="true" outlineLevel="0" collapsed="false">
      <c r="B12209" s="10"/>
      <c r="C12209" s="10"/>
      <c r="D12209" s="35" t="str">
        <f aca="false">IF(IF($K$12196=0,"",INDEX(Clients!$G$2:$G$501,$K$12196)&amp;"")="","",TRIM(IF($K$12196=0,"",INDEX(Clients!$H$2:$H$501,$K$12196)&amp;"")&amp;" "&amp;UPPER(IF($K$12196=0,"",INDEX(Clients!$I$2:$I$501,$K$12196)&amp;""))))</f>
        <v/>
      </c>
      <c r="E12209" s="35"/>
      <c r="F12209" s="35"/>
      <c r="J12209" s="25"/>
      <c r="K12209" s="25"/>
      <c r="L12209" s="25"/>
      <c r="M12209" s="25"/>
      <c r="N12209" s="25"/>
      <c r="O12209" s="25"/>
    </row>
    <row r="12210" customFormat="false" ht="25.5" hidden="false" customHeight="true" outlineLevel="0" collapsed="false">
      <c r="B12210" s="10"/>
      <c r="C12210" s="10"/>
      <c r="D12210" s="10"/>
      <c r="E12210" s="10"/>
      <c r="F12210" s="10"/>
      <c r="J12210" s="25"/>
      <c r="K12210" s="25"/>
      <c r="L12210" s="25"/>
      <c r="M12210" s="25"/>
      <c r="N12210" s="25"/>
      <c r="O12210" s="25"/>
    </row>
    <row r="12211" customFormat="false" ht="15" hidden="false" customHeight="false" outlineLevel="0" collapsed="false">
      <c r="B12211" s="10"/>
      <c r="C12211" s="10"/>
      <c r="D12211" s="36" t="str">
        <f aca="false">Cab_Ville&amp;", le "&amp;DAY(Date_Courrier)&amp;IF(DAY(Date_Courrier)=1,"er","")&amp;" "&amp;INDEX(Liste_Mois,MONTH(Date_Courrier))&amp;" "&amp;YEAR(Date_Courrier)</f>
        <v>Le Plessis-Bouchard, le 22 septembre 2026</v>
      </c>
      <c r="E12211" s="36"/>
      <c r="F12211" s="36"/>
      <c r="J12211" s="25"/>
      <c r="K12211" s="25"/>
      <c r="L12211" s="25"/>
      <c r="M12211" s="25"/>
      <c r="N12211" s="25"/>
      <c r="O12211" s="25"/>
    </row>
    <row r="12212" customFormat="false" ht="19.5" hidden="false" customHeight="true" outlineLevel="0" collapsed="false">
      <c r="B12212" s="10"/>
      <c r="C12212" s="10"/>
      <c r="D12212" s="10"/>
      <c r="E12212" s="10"/>
      <c r="F12212" s="10"/>
      <c r="J12212" s="25"/>
      <c r="K12212" s="25"/>
      <c r="L12212" s="25"/>
      <c r="M12212" s="25"/>
      <c r="N12212" s="25"/>
      <c r="O12212" s="25"/>
    </row>
    <row r="12213" customFormat="false" ht="15" hidden="false" customHeight="false" outlineLevel="0" collapsed="false">
      <c r="B12213" s="34" t="str">
        <f aca="false">SUBSTITUTE(SUBSTITUTE(SUBSTITUTE(SUBSTITUTE(SUBSTITUTE(Txt_Objet,"{cabinet}",Cab_Nom),"{societe}",IF($K$12196=0,"",INDEX(Clients!$E$2:$E$501,$K$12196)&amp;"")),"{date_effet}",$K$12198),"{hausse}",$K$12199),"{civilite}",$K$12197)</f>
        <v>Objet : révision de nos honoraires au 1er janvier 2027</v>
      </c>
      <c r="C12213" s="34"/>
      <c r="D12213" s="34"/>
      <c r="E12213" s="34"/>
      <c r="F12213" s="34"/>
      <c r="J12213" s="25"/>
      <c r="K12213" s="25"/>
      <c r="L12213" s="25"/>
      <c r="M12213" s="25"/>
      <c r="N12213" s="25"/>
      <c r="O12213" s="25"/>
    </row>
    <row r="12214" customFormat="false" ht="13.5" hidden="false" customHeight="true" outlineLevel="0" collapsed="false">
      <c r="B12214" s="10"/>
      <c r="C12214" s="10"/>
      <c r="D12214" s="10"/>
      <c r="E12214" s="10"/>
      <c r="F12214" s="10"/>
      <c r="J12214" s="25"/>
      <c r="K12214" s="25"/>
      <c r="L12214" s="25"/>
      <c r="M12214" s="25"/>
      <c r="N12214" s="25"/>
      <c r="O12214" s="25"/>
    </row>
    <row r="12215" customFormat="false" ht="15" hidden="false" customHeight="false" outlineLevel="0" collapsed="false">
      <c r="B12215" s="10" t="str">
        <f aca="false">$K$12197&amp;","</f>
        <v>Madame, Monsieur,</v>
      </c>
      <c r="C12215" s="10"/>
      <c r="D12215" s="10"/>
      <c r="E12215" s="10"/>
      <c r="F12215" s="10"/>
      <c r="J12215" s="25"/>
      <c r="K12215" s="25"/>
      <c r="L12215" s="25"/>
      <c r="M12215" s="25"/>
      <c r="N12215" s="25"/>
      <c r="O12215" s="25"/>
    </row>
    <row r="12216" customFormat="false" ht="6" hidden="false" customHeight="true" outlineLevel="0" collapsed="false">
      <c r="B12216" s="10"/>
      <c r="C12216" s="10"/>
      <c r="D12216" s="10"/>
      <c r="E12216" s="10"/>
      <c r="F12216" s="10"/>
      <c r="J12216" s="25"/>
      <c r="K12216" s="25"/>
      <c r="L12216" s="25"/>
      <c r="M12216" s="25"/>
      <c r="N12216" s="25"/>
      <c r="O12216" s="25"/>
    </row>
    <row r="12217" customFormat="false" ht="36.75" hidden="false" customHeight="true" outlineLevel="0" collapsed="false">
      <c r="B12217" s="37" t="str">
        <f aca="false">SUBSTITUTE(SUBSTITUTE(SUBSTITUTE(SUBSTITUTE(SUBSTITUTE(Txt_P1,"{cabinet}",Cab_Nom),"{societe}",IF($K$12196=0,"",INDEX(Clients!$E$2:$E$501,$K$12196)&amp;"")),"{date_effet}",$K$12198),"{hausse}",$K$12199),"{civilite}",$K$12197)</f>
        <v>Nous tenons tout d'abord à vous remercier pour la confiance que vous accordez à ALTHO EXPERTISE. Comme chaque année, et conformément aux dispositions de votre lettre de mission, nous procédons à la révision de nos honoraires.</v>
      </c>
      <c r="C12217" s="37"/>
      <c r="D12217" s="37"/>
      <c r="E12217" s="37"/>
      <c r="F12217" s="37"/>
      <c r="J12217" s="25"/>
      <c r="K12217" s="25"/>
      <c r="L12217" s="25"/>
      <c r="M12217" s="25"/>
      <c r="N12217" s="25"/>
      <c r="O12217" s="25"/>
    </row>
    <row r="12218" customFormat="false" ht="49.5" hidden="false" customHeight="true" outlineLevel="0" collapsed="false">
      <c r="B12218" s="37" t="str">
        <f aca="false">SUBSTITUTE(SUBSTITUTE(SUBSTITUTE(SUBSTITUTE(SUBSTITUTE(Txt_P2,"{cabinet}",Cab_Nom),"{societe}",IF($K$12196=0,"",INDEX(Clients!$E$2:$E$501,$K$12196)&amp;"")),"{date_effet}",$K$12198),"{hausse}",$K$12199),"{civilite}",$K$12197)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218" s="37"/>
      <c r="D12218" s="37"/>
      <c r="E12218" s="37"/>
      <c r="F12218" s="37"/>
      <c r="J12218" s="25"/>
      <c r="K12218" s="25"/>
      <c r="L12218" s="25"/>
      <c r="M12218" s="25"/>
      <c r="N12218" s="25"/>
      <c r="O12218" s="25"/>
    </row>
    <row r="12219" customFormat="false" ht="63" hidden="false" customHeight="true" outlineLevel="0" collapsed="false">
      <c r="B12219" s="37" t="str">
        <f aca="false">SUBSTITUTE(SUBSTITUTE(SUBSTITUTE(SUBSTITUTE(SUBSTITUTE(Txt_P3,"{cabinet}",Cab_Nom),"{societe}",IF($K$12196=0,"",INDEX(Clients!$E$2:$E$501,$K$12196)&amp;"")),"{date_effet}",$K$12198),"{hausse}",$K$12199),"{civilite}",$K$12197)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219" s="37"/>
      <c r="D12219" s="37"/>
      <c r="E12219" s="37"/>
      <c r="F12219" s="37"/>
      <c r="J12219" s="25"/>
      <c r="K12219" s="25"/>
      <c r="L12219" s="25"/>
      <c r="M12219" s="25"/>
      <c r="N12219" s="25"/>
      <c r="O12219" s="25"/>
    </row>
    <row r="12220" customFormat="false" ht="24" hidden="false" customHeight="true" outlineLevel="0" collapsed="false">
      <c r="B12220" s="37" t="str">
        <f aca="false">SUBSTITUTE(SUBSTITUTE(SUBSTITUTE(SUBSTITUTE(SUBSTITUTE(Txt_P4,"{cabinet}",Cab_Nom),"{societe}",IF($K$12196=0,"",INDEX(Clients!$E$2:$E$501,$K$12196)&amp;"")),"{date_effet}",$K$12198),"{hausse}",$K$12199),"{civilite}",$K$12197)</f>
        <v>À compter du 1er janvier 2027, vos honoraires annuels hors taxes évolueront ainsi (évolution globale : ) :</v>
      </c>
      <c r="C12220" s="37"/>
      <c r="D12220" s="37"/>
      <c r="E12220" s="37"/>
      <c r="F12220" s="37"/>
      <c r="J12220" s="25"/>
      <c r="K12220" s="25"/>
      <c r="L12220" s="25"/>
      <c r="M12220" s="25"/>
      <c r="N12220" s="25"/>
      <c r="O12220" s="25"/>
    </row>
    <row r="12221" customFormat="false" ht="3.75" hidden="false" customHeight="true" outlineLevel="0" collapsed="false">
      <c r="B12221" s="10"/>
      <c r="C12221" s="10"/>
      <c r="D12221" s="10"/>
      <c r="E12221" s="10"/>
      <c r="F12221" s="10"/>
      <c r="J12221" s="25"/>
      <c r="K12221" s="25"/>
      <c r="L12221" s="25"/>
      <c r="M12221" s="25"/>
      <c r="N12221" s="25"/>
      <c r="O12221" s="25"/>
    </row>
    <row r="12222" customFormat="false" ht="18" hidden="false" customHeight="true" outlineLevel="0" collapsed="false">
      <c r="B12222" s="38" t="s">
        <v>148</v>
      </c>
      <c r="C12222" s="39" t="s">
        <v>149</v>
      </c>
      <c r="D12222" s="39" t="s">
        <v>150</v>
      </c>
      <c r="E12222" s="39" t="s">
        <v>151</v>
      </c>
      <c r="F12222" s="39" t="s">
        <v>109</v>
      </c>
      <c r="J12222" s="25" t="s">
        <v>152</v>
      </c>
      <c r="K12222" s="25" t="s">
        <v>153</v>
      </c>
      <c r="L12222" s="25" t="s">
        <v>154</v>
      </c>
      <c r="M12222" s="25" t="s">
        <v>155</v>
      </c>
      <c r="N12222" s="25" t="s">
        <v>156</v>
      </c>
      <c r="O12222" s="25" t="s">
        <v>157</v>
      </c>
    </row>
    <row r="12223" customFormat="false" ht="16.5" hidden="false" customHeight="true" outlineLevel="0" collapsed="false">
      <c r="B12223" s="40" t="str">
        <f aca="false">IFERROR(INDEX($J$12223:$J$12226,MATCH($O12223,$N$12223:$N$12226,0)),"")</f>
        <v/>
      </c>
      <c r="C12223" s="41" t="str">
        <f aca="false">IFERROR(INDEX($K$12223:$K$12226,MATCH($O12223,$N$12223:$N$12226,0)),"")</f>
        <v/>
      </c>
      <c r="D12223" s="42" t="str">
        <f aca="false">IF(OR(E12223="",N(C12223)=0),"",E12223/C12223-1)</f>
        <v/>
      </c>
      <c r="E12223" s="41" t="str">
        <f aca="false">IFERROR(INDEX($L$12223:$L$12226,MATCH($O12223,$N$12223:$N$12226,0)),"")</f>
        <v/>
      </c>
      <c r="F12223" s="41" t="str">
        <f aca="false">IF(E12223="","",E12223-C12223)</f>
        <v/>
      </c>
      <c r="J12223" s="25" t="str">
        <f aca="false">Lib_Compta</f>
        <v>Mission comptable (tenue, révision, bilan, liasse fiscale)</v>
      </c>
      <c r="K12223" s="25" t="n">
        <f aca="false">IF($K$12196=0,0,N(INDEX(Clients!$K$2:$K$501,$K$12196)))</f>
        <v>0</v>
      </c>
      <c r="L12223" s="25" t="n">
        <f aca="false">IF($K$12196=0,0,N(INDEX(Clients!$P$2:$P$501,$K$12196)))</f>
        <v>0</v>
      </c>
      <c r="M12223" s="25" t="n">
        <f aca="false">IF(OR(K12223&lt;&gt;0,L12223&lt;&gt;0),1,0)</f>
        <v>0</v>
      </c>
      <c r="N12223" s="25" t="str">
        <f aca="false">IF(M12223=1,SUM($M$12223:M12223),"")</f>
        <v/>
      </c>
      <c r="O12223" s="25" t="n">
        <v>1</v>
      </c>
    </row>
    <row r="12224" customFormat="false" ht="16.5" hidden="false" customHeight="true" outlineLevel="0" collapsed="false">
      <c r="B12224" s="40" t="str">
        <f aca="false">IFERROR(INDEX($J$12223:$J$12226,MATCH($O12224,$N$12223:$N$12226,0)),"")</f>
        <v/>
      </c>
      <c r="C12224" s="41" t="str">
        <f aca="false">IFERROR(INDEX($K$12223:$K$12226,MATCH($O12224,$N$12223:$N$12226,0)),"")</f>
        <v/>
      </c>
      <c r="D12224" s="42" t="str">
        <f aca="false">IF(OR(E12224="",N(C12224)=0),"",E12224/C12224-1)</f>
        <v/>
      </c>
      <c r="E12224" s="41" t="str">
        <f aca="false">IFERROR(INDEX($L$12223:$L$12226,MATCH($O12224,$N$12223:$N$12226,0)),"")</f>
        <v/>
      </c>
      <c r="F12224" s="41" t="str">
        <f aca="false">IF(E12224="","",E12224-C12224)</f>
        <v/>
      </c>
      <c r="J12224" s="25" t="str">
        <f aca="false">Lib_Paye</f>
        <v>Mission sociale (bulletins de paie, DSN, déclarations sociales)</v>
      </c>
      <c r="K12224" s="25" t="n">
        <f aca="false">IF($K$12196=0,0,N(INDEX(Clients!$L$2:$L$501,$K$12196)))</f>
        <v>0</v>
      </c>
      <c r="L12224" s="25" t="n">
        <f aca="false">IF($K$12196=0,0,N(INDEX(Clients!$Q$2:$Q$501,$K$12196)))</f>
        <v>0</v>
      </c>
      <c r="M12224" s="25" t="n">
        <f aca="false">IF(OR(K12224&lt;&gt;0,L12224&lt;&gt;0),1,0)</f>
        <v>0</v>
      </c>
      <c r="N12224" s="25" t="str">
        <f aca="false">IF(M12224=1,SUM($M$12223:M12224),"")</f>
        <v/>
      </c>
      <c r="O12224" s="25" t="n">
        <v>2</v>
      </c>
    </row>
    <row r="12225" customFormat="false" ht="16.5" hidden="false" customHeight="true" outlineLevel="0" collapsed="false">
      <c r="B12225" s="40" t="str">
        <f aca="false">IFERROR(INDEX($J$12223:$J$12226,MATCH($O12225,$N$12223:$N$12226,0)),"")</f>
        <v/>
      </c>
      <c r="C12225" s="41" t="str">
        <f aca="false">IFERROR(INDEX($K$12223:$K$12226,MATCH($O12225,$N$12223:$N$12226,0)),"")</f>
        <v/>
      </c>
      <c r="D12225" s="42" t="str">
        <f aca="false">IF(OR(E12225="",N(C12225)=0),"",E12225/C12225-1)</f>
        <v/>
      </c>
      <c r="E12225" s="41" t="str">
        <f aca="false">IFERROR(INDEX($L$12223:$L$12226,MATCH($O12225,$N$12223:$N$12226,0)),"")</f>
        <v/>
      </c>
      <c r="F12225" s="41" t="str">
        <f aca="false">IF(E12225="","",E12225-C12225)</f>
        <v/>
      </c>
      <c r="J12225" s="25" t="str">
        <f aca="false">Lib_Jur</f>
        <v>Mission juridique (approbation des comptes, secrétariat juridique)</v>
      </c>
      <c r="K12225" s="25" t="n">
        <f aca="false">IF($K$12196=0,0,N(INDEX(Clients!$M$2:$M$501,$K$12196)))</f>
        <v>0</v>
      </c>
      <c r="L12225" s="25" t="n">
        <f aca="false">IF($K$12196=0,0,N(INDEX(Clients!$R$2:$R$501,$K$12196)))</f>
        <v>0</v>
      </c>
      <c r="M12225" s="25" t="n">
        <f aca="false">IF(OR(K12225&lt;&gt;0,L12225&lt;&gt;0),1,0)</f>
        <v>0</v>
      </c>
      <c r="N12225" s="25" t="str">
        <f aca="false">IF(M12225=1,SUM($M$12223:M12225),"")</f>
        <v/>
      </c>
      <c r="O12225" s="25" t="n">
        <v>3</v>
      </c>
    </row>
    <row r="12226" customFormat="false" ht="16.5" hidden="false" customHeight="true" outlineLevel="0" collapsed="false">
      <c r="B12226" s="40" t="str">
        <f aca="false">IFERROR(INDEX($J$12223:$J$12226,MATCH($O12226,$N$12223:$N$12226,0)),"")</f>
        <v/>
      </c>
      <c r="C12226" s="41" t="str">
        <f aca="false">IFERROR(INDEX($K$12223:$K$12226,MATCH($O12226,$N$12223:$N$12226,0)),"")</f>
        <v/>
      </c>
      <c r="D12226" s="42" t="str">
        <f aca="false">IF(OR(E12226="",N(C12226)=0),"",E12226/C12226-1)</f>
        <v/>
      </c>
      <c r="E12226" s="41" t="str">
        <f aca="false">IFERROR(INDEX($L$12223:$L$12226,MATCH($O12226,$N$12223:$N$12226,0)),"")</f>
        <v/>
      </c>
      <c r="F12226" s="41" t="str">
        <f aca="false">IF(E12226="","",E12226-C12226)</f>
        <v/>
      </c>
      <c r="J12226" s="25" t="str">
        <f aca="false">Lib_PA</f>
        <v>Plateforme agréée – facturation électronique</v>
      </c>
      <c r="K12226" s="25" t="n">
        <f aca="false">IF($K$12196=0,0,N(INDEX(Clients!$N$2:$N$501,$K$12196)))</f>
        <v>0</v>
      </c>
      <c r="L12226" s="25" t="n">
        <f aca="false">IF($K$12196=0,0,N(INDEX(Clients!$S$2:$S$501,$K$12196)))</f>
        <v>0</v>
      </c>
      <c r="M12226" s="25" t="n">
        <f aca="false">IF(OR(K12226&lt;&gt;0,L12226&lt;&gt;0),1,0)</f>
        <v>0</v>
      </c>
      <c r="N12226" s="25" t="str">
        <f aca="false">IF(M12226=1,SUM($M$12223:M12226),"")</f>
        <v/>
      </c>
      <c r="O12226" s="25" t="n">
        <v>4</v>
      </c>
    </row>
    <row r="12227" customFormat="false" ht="18" hidden="false" customHeight="true" outlineLevel="0" collapsed="false">
      <c r="B12227" s="43" t="s">
        <v>158</v>
      </c>
      <c r="C12227" s="44" t="n">
        <f aca="false">SUM(K12223:K12226)</f>
        <v>0</v>
      </c>
      <c r="D12227" s="45" t="str">
        <f aca="false">IF(N(C12227)=0,"",E12227/C12227-1)</f>
        <v/>
      </c>
      <c r="E12227" s="44" t="n">
        <f aca="false">SUM(L12223:L12226)</f>
        <v>0</v>
      </c>
      <c r="F12227" s="44" t="n">
        <f aca="false">E12227-C12227</f>
        <v>0</v>
      </c>
    </row>
    <row r="12228" customFormat="false" ht="15" hidden="false" customHeight="false" outlineLevel="0" collapsed="false">
      <c r="B12228" s="46" t="str">
        <f aca="false">IF(N(Nb_Mensualites)=0,"","Soit "&amp;FIXED(E12227/Nb_Mensualites,2)&amp;" € HT par échéance ("&amp;Nb_Mensualites&amp;" échéances), "&amp;FIXED(E12227/Nb_Mensualites*(1+Taux_TVA),2)&amp;" € TTC.")</f>
        <v>Soit 0.00 € HT par échéance (12 échéances), 0.00 € TTC.</v>
      </c>
      <c r="C12228" s="46"/>
      <c r="D12228" s="46"/>
      <c r="E12228" s="46"/>
      <c r="F12228" s="46"/>
    </row>
    <row r="12229" customFormat="false" ht="7.5" hidden="false" customHeight="true" outlineLevel="0" collapsed="false">
      <c r="B12229" s="10"/>
      <c r="C12229" s="10"/>
      <c r="D12229" s="10"/>
      <c r="E12229" s="10"/>
      <c r="F12229" s="10"/>
    </row>
    <row r="12230" customFormat="false" ht="36.75" hidden="false" customHeight="true" outlineLevel="0" collapsed="false">
      <c r="B12230" s="37" t="str">
        <f aca="false">SUBSTITUTE(SUBSTITUTE(SUBSTITUTE(SUBSTITUTE(SUBSTITUTE(Txt_P5,"{cabinet}",Cab_Nom),"{societe}",IF($K$12196=0,"",INDEX(Clients!$E$2:$E$501,$K$12196)&amp;"")),"{date_effet}",$K$12198),"{hausse}",$K$12199),"{civilite}",$K$12197)</f>
        <v>Les autres conditions de votre lettre de mission demeurent inchangées. Les nouveaux montants seront appliqués automatiquement sur vos prochaines factures et échéances de prélèvement.</v>
      </c>
      <c r="C12230" s="37"/>
      <c r="D12230" s="37"/>
      <c r="E12230" s="37"/>
      <c r="F12230" s="37"/>
    </row>
    <row r="12231" customFormat="false" ht="36.75" hidden="false" customHeight="true" outlineLevel="0" collapsed="false">
      <c r="B12231" s="37" t="str">
        <f aca="false">SUBSTITUTE(SUBSTITUTE(SUBSTITUTE(SUBSTITUTE(SUBSTITUTE(Txt_P6,"{cabinet}",Cab_Nom),"{societe}",IF($K$12196=0,"",INDEX(Clients!$E$2:$E$501,$K$12196)&amp;"")),"{date_effet}",$K$12198),"{hausse}",$K$12199),"{civilite}",$K$12197)</f>
        <v>Votre interlocuteur habituel reste à votre entière disposition pour répondre à vos questions et faire le point sur l'évolution de vos besoins.</v>
      </c>
      <c r="C12231" s="37"/>
      <c r="D12231" s="37"/>
      <c r="E12231" s="37"/>
      <c r="F12231" s="37"/>
    </row>
    <row r="12232" customFormat="false" ht="24" hidden="false" customHeight="true" outlineLevel="0" collapsed="false">
      <c r="B12232" s="37" t="str">
        <f aca="false">SUBSTITUTE(SUBSTITUTE(SUBSTITUTE(SUBSTITUTE(SUBSTITUTE(Txt_Politesse,"{cabinet}",Cab_Nom),"{societe}",IF($K$12196=0,"",INDEX(Clients!$E$2:$E$501,$K$12196)&amp;"")),"{date_effet}",$K$12198),"{hausse}",$K$12199),"{civilite}",$K$12197)</f>
        <v>Nous vous prions d'agréer, Madame, Monsieur, l'expression de nos salutations distinguées.</v>
      </c>
      <c r="C12232" s="37"/>
      <c r="D12232" s="37"/>
      <c r="E12232" s="37"/>
      <c r="F12232" s="37"/>
    </row>
    <row r="12233" customFormat="false" ht="15" hidden="false" customHeight="false" outlineLevel="0" collapsed="false">
      <c r="B12233" s="10"/>
      <c r="C12233" s="10"/>
      <c r="D12233" s="10"/>
      <c r="E12233" s="10"/>
      <c r="F12233" s="10"/>
    </row>
    <row r="12234" customFormat="false" ht="15" hidden="false" customHeight="false" outlineLevel="0" collapsed="false">
      <c r="B12234" s="10"/>
      <c r="C12234" s="10"/>
      <c r="D12234" s="34" t="str">
        <f aca="false">Signataire</f>
        <v>Prénom NOM</v>
      </c>
      <c r="E12234" s="34"/>
      <c r="F12234" s="34"/>
    </row>
    <row r="12235" customFormat="false" ht="15" hidden="false" customHeight="false" outlineLevel="0" collapsed="false">
      <c r="B12235" s="10"/>
      <c r="C12235" s="10"/>
      <c r="D12235" s="47" t="str">
        <f aca="false">Signataire_Titre</f>
        <v>Expert-comptable associé</v>
      </c>
      <c r="E12235" s="47"/>
      <c r="F12235" s="47"/>
    </row>
    <row r="12236" customFormat="false" ht="15.75" hidden="false" customHeight="true" outlineLevel="0" collapsed="false">
      <c r="B12236" s="10"/>
      <c r="C12236" s="10"/>
      <c r="D12236" s="10"/>
      <c r="E12236" s="10"/>
      <c r="F12236" s="10"/>
    </row>
    <row r="12237" customFormat="false" ht="15.75" hidden="false" customHeight="true" outlineLevel="0" collapsed="false">
      <c r="B12237" s="10"/>
      <c r="C12237" s="10"/>
      <c r="D12237" s="10"/>
      <c r="E12237" s="10"/>
      <c r="F12237" s="10"/>
    </row>
    <row r="12238" customFormat="false" ht="15.75" hidden="false" customHeight="true" outlineLevel="0" collapsed="false">
      <c r="B12238" s="10"/>
      <c r="C12238" s="10"/>
      <c r="D12238" s="10"/>
      <c r="E12238" s="10"/>
      <c r="F12238" s="10"/>
    </row>
    <row r="12239" customFormat="false" ht="15.75" hidden="false" customHeight="true" outlineLevel="0" collapsed="false">
      <c r="B12239" s="10"/>
      <c r="C12239" s="10"/>
      <c r="D12239" s="10"/>
      <c r="E12239" s="10"/>
      <c r="F12239" s="10"/>
    </row>
    <row r="12240" customFormat="false" ht="24" hidden="false" customHeight="true" outlineLevel="0" collapsed="false">
      <c r="B12240" s="48" t="str">
        <f aca="false">Cab_Mentions</f>
        <v>ALTHO EXPERTISE · SAS au capital de 10 000 € · RCS Pontoise 919 706 325 · TVA FR62919706325 · Société d'expertise comptable inscrite au Tableau de l'Ordre des experts-comptables de Paris Île-de-France</v>
      </c>
      <c r="C12240" s="48"/>
      <c r="D12240" s="48"/>
      <c r="E12240" s="48"/>
      <c r="F12240" s="48"/>
    </row>
    <row r="12241" customFormat="false" ht="15" hidden="false" customHeight="false" outlineLevel="0" collapsed="false">
      <c r="B12241" s="10"/>
      <c r="C12241" s="10"/>
      <c r="D12241" s="10"/>
      <c r="E12241" s="10"/>
      <c r="F12241" s="10"/>
      <c r="J12241" s="25" t="s">
        <v>142</v>
      </c>
      <c r="K12241" s="25" t="n">
        <f aca="false">IFERROR(MATCH(273,Clients!$Z$2:$Z$501,0),0)</f>
        <v>0</v>
      </c>
      <c r="L12241" s="25"/>
      <c r="M12241" s="25"/>
      <c r="N12241" s="25"/>
      <c r="O12241" s="25"/>
    </row>
    <row r="12242" customFormat="false" ht="21.75" hidden="false" customHeight="true" outlineLevel="0" collapsed="false">
      <c r="B12242" s="26" t="str">
        <f aca="false">Cab_Nom</f>
        <v>ALTHO EXPERTISE</v>
      </c>
      <c r="C12242" s="26"/>
      <c r="D12242" s="10"/>
      <c r="E12242" s="27" t="str">
        <f aca="false">IF($K$12241=0,"","Réf. client : "&amp;INDEX(Clients!$A$2:$A$501,$K$12241))</f>
        <v/>
      </c>
      <c r="F12242" s="27"/>
      <c r="J12242" s="25" t="s">
        <v>144</v>
      </c>
      <c r="K12242" s="25" t="str">
        <f aca="false">IF(IF($K$12241=0,"",INDEX(Clients!$B$2:$B$501,$K$12241)&amp;"")="Mme","Madame",IF(IF($K$12241=0,"",INDEX(Clients!$B$2:$B$501,$K$12241)&amp;"")="M.","Monsieur","Madame, Monsieur"))</f>
        <v>Madame, Monsieur</v>
      </c>
      <c r="L12242" s="25"/>
      <c r="M12242" s="25"/>
      <c r="N12242" s="25"/>
      <c r="O12242" s="25"/>
    </row>
    <row r="12243" customFormat="false" ht="15" hidden="false" customHeight="false" outlineLevel="0" collapsed="false">
      <c r="B12243" s="29" t="str">
        <f aca="false">Cab_Adr1</f>
        <v>141 rue Charles de Gaulle</v>
      </c>
      <c r="C12243" s="29"/>
      <c r="D12243" s="10"/>
      <c r="E12243" s="10"/>
      <c r="F12243" s="10"/>
      <c r="J12243" s="25" t="s">
        <v>145</v>
      </c>
      <c r="K12243" s="25" t="str">
        <f aca="false">DAY(Date_Effet)&amp;IF(DAY(Date_Effet)=1,"er","")&amp;" "&amp;INDEX(Liste_Mois,MONTH(Date_Effet))&amp;" "&amp;YEAR(Date_Effet)</f>
        <v>1er janvier 2027</v>
      </c>
      <c r="L12243" s="25"/>
      <c r="M12243" s="25"/>
      <c r="N12243" s="25"/>
      <c r="O12243" s="25"/>
    </row>
    <row r="12244" customFormat="false" ht="15" hidden="false" customHeight="false" outlineLevel="0" collapsed="false">
      <c r="B12244" s="29" t="str">
        <f aca="false">Cab_CPVille</f>
        <v>95130 LE PLESSIS-BOUCHARD</v>
      </c>
      <c r="C12244" s="29"/>
      <c r="D12244" s="10"/>
      <c r="E12244" s="10"/>
      <c r="F12244" s="10"/>
      <c r="J12244" s="25" t="s">
        <v>146</v>
      </c>
      <c r="K12244" s="25" t="str">
        <f aca="false">IF(SUM($K$12268:$K$12271)=0,"",FIXED((SUM($L$12268:$L$12271)/SUM($K$12268:$K$12271)-1)*100,1)&amp;" %")</f>
        <v/>
      </c>
      <c r="L12244" s="25"/>
      <c r="M12244" s="25"/>
      <c r="N12244" s="25"/>
      <c r="O12244" s="25"/>
    </row>
    <row r="12245" customFormat="false" ht="15" hidden="false" customHeight="false" outlineLevel="0" collapsed="false">
      <c r="B12245" s="29" t="str">
        <f aca="false">Cab_Contact</f>
        <v>Tél. 01 34 14 53 45  ·  altho@altho-experts.com  ·  altho-experts.com</v>
      </c>
      <c r="C12245" s="29"/>
      <c r="D12245" s="10"/>
      <c r="E12245" s="10"/>
      <c r="F12245" s="10"/>
      <c r="J12245" s="25"/>
      <c r="K12245" s="25"/>
      <c r="L12245" s="25"/>
      <c r="M12245" s="25"/>
      <c r="N12245" s="25"/>
      <c r="O12245" s="25"/>
    </row>
    <row r="12246" customFormat="false" ht="6" hidden="false" customHeight="true" outlineLevel="0" collapsed="false">
      <c r="B12246" s="32"/>
      <c r="C12246" s="32"/>
      <c r="D12246" s="32"/>
      <c r="E12246" s="32"/>
      <c r="F12246" s="32"/>
      <c r="J12246" s="25"/>
      <c r="K12246" s="25"/>
      <c r="L12246" s="25"/>
      <c r="M12246" s="25"/>
      <c r="N12246" s="25"/>
      <c r="O12246" s="25"/>
    </row>
    <row r="12247" customFormat="false" ht="13.5" hidden="false" customHeight="true" outlineLevel="0" collapsed="false">
      <c r="B12247" s="10"/>
      <c r="C12247" s="10"/>
      <c r="D12247" s="10"/>
      <c r="E12247" s="10"/>
      <c r="F12247" s="10"/>
      <c r="J12247" s="25"/>
      <c r="K12247" s="25"/>
      <c r="L12247" s="25"/>
      <c r="M12247" s="25"/>
      <c r="N12247" s="25"/>
      <c r="O12247" s="25"/>
    </row>
    <row r="12248" customFormat="false" ht="13.5" hidden="false" customHeight="true" outlineLevel="0" collapsed="false">
      <c r="B12248" s="10"/>
      <c r="C12248" s="10"/>
      <c r="D12248" s="10"/>
      <c r="E12248" s="10"/>
      <c r="F12248" s="10"/>
      <c r="J12248" s="25"/>
      <c r="K12248" s="25"/>
      <c r="L12248" s="25"/>
      <c r="M12248" s="25"/>
      <c r="N12248" s="25"/>
      <c r="O12248" s="25"/>
    </row>
    <row r="12249" customFormat="false" ht="13.5" hidden="false" customHeight="true" outlineLevel="0" collapsed="false">
      <c r="B12249" s="10"/>
      <c r="C12249" s="10"/>
      <c r="D12249" s="10"/>
      <c r="E12249" s="10"/>
      <c r="F12249" s="10"/>
      <c r="J12249" s="25"/>
      <c r="K12249" s="25"/>
      <c r="L12249" s="25"/>
      <c r="M12249" s="25"/>
      <c r="N12249" s="25"/>
      <c r="O12249" s="25"/>
    </row>
    <row r="12250" customFormat="false" ht="15" hidden="false" customHeight="true" outlineLevel="0" collapsed="false">
      <c r="B12250" s="10"/>
      <c r="C12250" s="10"/>
      <c r="D12250" s="34" t="str">
        <f aca="false">IF($K$12241=0,"",INDEX(Clients!$E$2:$E$501,$K$12241)&amp;"")</f>
        <v/>
      </c>
      <c r="E12250" s="34"/>
      <c r="F12250" s="34"/>
      <c r="J12250" s="25"/>
      <c r="K12250" s="25"/>
      <c r="L12250" s="25"/>
      <c r="M12250" s="25"/>
      <c r="N12250" s="25"/>
      <c r="O12250" s="25"/>
    </row>
    <row r="12251" customFormat="false" ht="15" hidden="false" customHeight="true" outlineLevel="0" collapsed="false">
      <c r="B12251" s="10"/>
      <c r="C12251" s="10"/>
      <c r="D12251" s="35" t="str">
        <f aca="false">IF(IF($K$12241=0,"",INDEX(Clients!$D$2:$D$501,$K$12241)&amp;"")="","","À l'attention de "&amp;TRIM(IF($K$12241=0,"",INDEX(Clients!$B$2:$B$501,$K$12241)&amp;"")&amp;" "&amp;IF($K$12241=0,"",INDEX(Clients!$C$2:$C$501,$K$12241)&amp;"")&amp;" "&amp;IF($K$12241=0,"",INDEX(Clients!$D$2:$D$501,$K$12241)&amp;"")))</f>
        <v/>
      </c>
      <c r="E12251" s="35"/>
      <c r="F12251" s="35"/>
      <c r="J12251" s="25"/>
      <c r="K12251" s="25"/>
      <c r="L12251" s="25"/>
      <c r="M12251" s="25"/>
      <c r="N12251" s="25"/>
      <c r="O12251" s="25"/>
    </row>
    <row r="12252" customFormat="false" ht="15" hidden="false" customHeight="true" outlineLevel="0" collapsed="false">
      <c r="B12252" s="10"/>
      <c r="C12252" s="10"/>
      <c r="D12252" s="35" t="str">
        <f aca="false">IF($K$12241=0,"",INDEX(Clients!$F$2:$F$501,$K$12241)&amp;"")</f>
        <v/>
      </c>
      <c r="E12252" s="35"/>
      <c r="F12252" s="35"/>
      <c r="J12252" s="25"/>
      <c r="K12252" s="25"/>
      <c r="L12252" s="25"/>
      <c r="M12252" s="25"/>
      <c r="N12252" s="25"/>
      <c r="O12252" s="25"/>
    </row>
    <row r="12253" customFormat="false" ht="15" hidden="false" customHeight="true" outlineLevel="0" collapsed="false">
      <c r="B12253" s="10"/>
      <c r="C12253" s="10"/>
      <c r="D12253" s="35" t="str">
        <f aca="false">IF(IF($K$12241=0,"",INDEX(Clients!$G$2:$G$501,$K$12241)&amp;"")="",TRIM(IF($K$12241=0,"",INDEX(Clients!$H$2:$H$501,$K$12241)&amp;"")&amp;" "&amp;UPPER(IF($K$12241=0,"",INDEX(Clients!$I$2:$I$501,$K$12241)&amp;""))),IF($K$12241=0,"",INDEX(Clients!$G$2:$G$501,$K$12241)&amp;""))</f>
        <v/>
      </c>
      <c r="E12253" s="35"/>
      <c r="F12253" s="35"/>
      <c r="J12253" s="25"/>
      <c r="K12253" s="25"/>
      <c r="L12253" s="25"/>
      <c r="M12253" s="25"/>
      <c r="N12253" s="25"/>
      <c r="O12253" s="25"/>
    </row>
    <row r="12254" customFormat="false" ht="15" hidden="false" customHeight="true" outlineLevel="0" collapsed="false">
      <c r="B12254" s="10"/>
      <c r="C12254" s="10"/>
      <c r="D12254" s="35" t="str">
        <f aca="false">IF(IF($K$12241=0,"",INDEX(Clients!$G$2:$G$501,$K$12241)&amp;"")="","",TRIM(IF($K$12241=0,"",INDEX(Clients!$H$2:$H$501,$K$12241)&amp;"")&amp;" "&amp;UPPER(IF($K$12241=0,"",INDEX(Clients!$I$2:$I$501,$K$12241)&amp;""))))</f>
        <v/>
      </c>
      <c r="E12254" s="35"/>
      <c r="F12254" s="35"/>
      <c r="J12254" s="25"/>
      <c r="K12254" s="25"/>
      <c r="L12254" s="25"/>
      <c r="M12254" s="25"/>
      <c r="N12254" s="25"/>
      <c r="O12254" s="25"/>
    </row>
    <row r="12255" customFormat="false" ht="25.5" hidden="false" customHeight="true" outlineLevel="0" collapsed="false">
      <c r="B12255" s="10"/>
      <c r="C12255" s="10"/>
      <c r="D12255" s="10"/>
      <c r="E12255" s="10"/>
      <c r="F12255" s="10"/>
      <c r="J12255" s="25"/>
      <c r="K12255" s="25"/>
      <c r="L12255" s="25"/>
      <c r="M12255" s="25"/>
      <c r="N12255" s="25"/>
      <c r="O12255" s="25"/>
    </row>
    <row r="12256" customFormat="false" ht="15" hidden="false" customHeight="false" outlineLevel="0" collapsed="false">
      <c r="B12256" s="10"/>
      <c r="C12256" s="10"/>
      <c r="D12256" s="36" t="str">
        <f aca="false">Cab_Ville&amp;", le "&amp;DAY(Date_Courrier)&amp;IF(DAY(Date_Courrier)=1,"er","")&amp;" "&amp;INDEX(Liste_Mois,MONTH(Date_Courrier))&amp;" "&amp;YEAR(Date_Courrier)</f>
        <v>Le Plessis-Bouchard, le 22 septembre 2026</v>
      </c>
      <c r="E12256" s="36"/>
      <c r="F12256" s="36"/>
      <c r="J12256" s="25"/>
      <c r="K12256" s="25"/>
      <c r="L12256" s="25"/>
      <c r="M12256" s="25"/>
      <c r="N12256" s="25"/>
      <c r="O12256" s="25"/>
    </row>
    <row r="12257" customFormat="false" ht="19.5" hidden="false" customHeight="true" outlineLevel="0" collapsed="false">
      <c r="B12257" s="10"/>
      <c r="C12257" s="10"/>
      <c r="D12257" s="10"/>
      <c r="E12257" s="10"/>
      <c r="F12257" s="10"/>
      <c r="J12257" s="25"/>
      <c r="K12257" s="25"/>
      <c r="L12257" s="25"/>
      <c r="M12257" s="25"/>
      <c r="N12257" s="25"/>
      <c r="O12257" s="25"/>
    </row>
    <row r="12258" customFormat="false" ht="15" hidden="false" customHeight="false" outlineLevel="0" collapsed="false">
      <c r="B12258" s="34" t="str">
        <f aca="false">SUBSTITUTE(SUBSTITUTE(SUBSTITUTE(SUBSTITUTE(SUBSTITUTE(Txt_Objet,"{cabinet}",Cab_Nom),"{societe}",IF($K$12241=0,"",INDEX(Clients!$E$2:$E$501,$K$12241)&amp;"")),"{date_effet}",$K$12243),"{hausse}",$K$12244),"{civilite}",$K$12242)</f>
        <v>Objet : révision de nos honoraires au 1er janvier 2027</v>
      </c>
      <c r="C12258" s="34"/>
      <c r="D12258" s="34"/>
      <c r="E12258" s="34"/>
      <c r="F12258" s="34"/>
      <c r="J12258" s="25"/>
      <c r="K12258" s="25"/>
      <c r="L12258" s="25"/>
      <c r="M12258" s="25"/>
      <c r="N12258" s="25"/>
      <c r="O12258" s="25"/>
    </row>
    <row r="12259" customFormat="false" ht="13.5" hidden="false" customHeight="true" outlineLevel="0" collapsed="false">
      <c r="B12259" s="10"/>
      <c r="C12259" s="10"/>
      <c r="D12259" s="10"/>
      <c r="E12259" s="10"/>
      <c r="F12259" s="10"/>
      <c r="J12259" s="25"/>
      <c r="K12259" s="25"/>
      <c r="L12259" s="25"/>
      <c r="M12259" s="25"/>
      <c r="N12259" s="25"/>
      <c r="O12259" s="25"/>
    </row>
    <row r="12260" customFormat="false" ht="15" hidden="false" customHeight="false" outlineLevel="0" collapsed="false">
      <c r="B12260" s="10" t="str">
        <f aca="false">$K$12242&amp;","</f>
        <v>Madame, Monsieur,</v>
      </c>
      <c r="C12260" s="10"/>
      <c r="D12260" s="10"/>
      <c r="E12260" s="10"/>
      <c r="F12260" s="10"/>
      <c r="J12260" s="25"/>
      <c r="K12260" s="25"/>
      <c r="L12260" s="25"/>
      <c r="M12260" s="25"/>
      <c r="N12260" s="25"/>
      <c r="O12260" s="25"/>
    </row>
    <row r="12261" customFormat="false" ht="6" hidden="false" customHeight="true" outlineLevel="0" collapsed="false">
      <c r="B12261" s="10"/>
      <c r="C12261" s="10"/>
      <c r="D12261" s="10"/>
      <c r="E12261" s="10"/>
      <c r="F12261" s="10"/>
      <c r="J12261" s="25"/>
      <c r="K12261" s="25"/>
      <c r="L12261" s="25"/>
      <c r="M12261" s="25"/>
      <c r="N12261" s="25"/>
      <c r="O12261" s="25"/>
    </row>
    <row r="12262" customFormat="false" ht="36.75" hidden="false" customHeight="true" outlineLevel="0" collapsed="false">
      <c r="B12262" s="37" t="str">
        <f aca="false">SUBSTITUTE(SUBSTITUTE(SUBSTITUTE(SUBSTITUTE(SUBSTITUTE(Txt_P1,"{cabinet}",Cab_Nom),"{societe}",IF($K$12241=0,"",INDEX(Clients!$E$2:$E$501,$K$12241)&amp;"")),"{date_effet}",$K$12243),"{hausse}",$K$12244),"{civilite}",$K$12242)</f>
        <v>Nous tenons tout d'abord à vous remercier pour la confiance que vous accordez à ALTHO EXPERTISE. Comme chaque année, et conformément aux dispositions de votre lettre de mission, nous procédons à la révision de nos honoraires.</v>
      </c>
      <c r="C12262" s="37"/>
      <c r="D12262" s="37"/>
      <c r="E12262" s="37"/>
      <c r="F12262" s="37"/>
      <c r="J12262" s="25"/>
      <c r="K12262" s="25"/>
      <c r="L12262" s="25"/>
      <c r="M12262" s="25"/>
      <c r="N12262" s="25"/>
      <c r="O12262" s="25"/>
    </row>
    <row r="12263" customFormat="false" ht="49.5" hidden="false" customHeight="true" outlineLevel="0" collapsed="false">
      <c r="B12263" s="37" t="str">
        <f aca="false">SUBSTITUTE(SUBSTITUTE(SUBSTITUTE(SUBSTITUTE(SUBSTITUTE(Txt_P2,"{cabinet}",Cab_Nom),"{societe}",IF($K$12241=0,"",INDEX(Clients!$E$2:$E$501,$K$12241)&amp;"")),"{date_effet}",$K$12243),"{hausse}",$K$12244),"{civilite}",$K$12242)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263" s="37"/>
      <c r="D12263" s="37"/>
      <c r="E12263" s="37"/>
      <c r="F12263" s="37"/>
      <c r="J12263" s="25"/>
      <c r="K12263" s="25"/>
      <c r="L12263" s="25"/>
      <c r="M12263" s="25"/>
      <c r="N12263" s="25"/>
      <c r="O12263" s="25"/>
    </row>
    <row r="12264" customFormat="false" ht="63" hidden="false" customHeight="true" outlineLevel="0" collapsed="false">
      <c r="B12264" s="37" t="str">
        <f aca="false">SUBSTITUTE(SUBSTITUTE(SUBSTITUTE(SUBSTITUTE(SUBSTITUTE(Txt_P3,"{cabinet}",Cab_Nom),"{societe}",IF($K$12241=0,"",INDEX(Clients!$E$2:$E$501,$K$12241)&amp;"")),"{date_effet}",$K$12243),"{hausse}",$K$12244),"{civilite}",$K$12242)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264" s="37"/>
      <c r="D12264" s="37"/>
      <c r="E12264" s="37"/>
      <c r="F12264" s="37"/>
      <c r="J12264" s="25"/>
      <c r="K12264" s="25"/>
      <c r="L12264" s="25"/>
      <c r="M12264" s="25"/>
      <c r="N12264" s="25"/>
      <c r="O12264" s="25"/>
    </row>
    <row r="12265" customFormat="false" ht="24" hidden="false" customHeight="true" outlineLevel="0" collapsed="false">
      <c r="B12265" s="37" t="str">
        <f aca="false">SUBSTITUTE(SUBSTITUTE(SUBSTITUTE(SUBSTITUTE(SUBSTITUTE(Txt_P4,"{cabinet}",Cab_Nom),"{societe}",IF($K$12241=0,"",INDEX(Clients!$E$2:$E$501,$K$12241)&amp;"")),"{date_effet}",$K$12243),"{hausse}",$K$12244),"{civilite}",$K$12242)</f>
        <v>À compter du 1er janvier 2027, vos honoraires annuels hors taxes évolueront ainsi (évolution globale : ) :</v>
      </c>
      <c r="C12265" s="37"/>
      <c r="D12265" s="37"/>
      <c r="E12265" s="37"/>
      <c r="F12265" s="37"/>
      <c r="J12265" s="25"/>
      <c r="K12265" s="25"/>
      <c r="L12265" s="25"/>
      <c r="M12265" s="25"/>
      <c r="N12265" s="25"/>
      <c r="O12265" s="25"/>
    </row>
    <row r="12266" customFormat="false" ht="3.75" hidden="false" customHeight="true" outlineLevel="0" collapsed="false">
      <c r="B12266" s="10"/>
      <c r="C12266" s="10"/>
      <c r="D12266" s="10"/>
      <c r="E12266" s="10"/>
      <c r="F12266" s="10"/>
      <c r="J12266" s="25"/>
      <c r="K12266" s="25"/>
      <c r="L12266" s="25"/>
      <c r="M12266" s="25"/>
      <c r="N12266" s="25"/>
      <c r="O12266" s="25"/>
    </row>
    <row r="12267" customFormat="false" ht="18" hidden="false" customHeight="true" outlineLevel="0" collapsed="false">
      <c r="B12267" s="38" t="s">
        <v>148</v>
      </c>
      <c r="C12267" s="39" t="s">
        <v>149</v>
      </c>
      <c r="D12267" s="39" t="s">
        <v>150</v>
      </c>
      <c r="E12267" s="39" t="s">
        <v>151</v>
      </c>
      <c r="F12267" s="39" t="s">
        <v>109</v>
      </c>
      <c r="J12267" s="25" t="s">
        <v>152</v>
      </c>
      <c r="K12267" s="25" t="s">
        <v>153</v>
      </c>
      <c r="L12267" s="25" t="s">
        <v>154</v>
      </c>
      <c r="M12267" s="25" t="s">
        <v>155</v>
      </c>
      <c r="N12267" s="25" t="s">
        <v>156</v>
      </c>
      <c r="O12267" s="25" t="s">
        <v>157</v>
      </c>
    </row>
    <row r="12268" customFormat="false" ht="16.5" hidden="false" customHeight="true" outlineLevel="0" collapsed="false">
      <c r="B12268" s="40" t="str">
        <f aca="false">IFERROR(INDEX($J$12268:$J$12271,MATCH($O12268,$N$12268:$N$12271,0)),"")</f>
        <v/>
      </c>
      <c r="C12268" s="41" t="str">
        <f aca="false">IFERROR(INDEX($K$12268:$K$12271,MATCH($O12268,$N$12268:$N$12271,0)),"")</f>
        <v/>
      </c>
      <c r="D12268" s="42" t="str">
        <f aca="false">IF(OR(E12268="",N(C12268)=0),"",E12268/C12268-1)</f>
        <v/>
      </c>
      <c r="E12268" s="41" t="str">
        <f aca="false">IFERROR(INDEX($L$12268:$L$12271,MATCH($O12268,$N$12268:$N$12271,0)),"")</f>
        <v/>
      </c>
      <c r="F12268" s="41" t="str">
        <f aca="false">IF(E12268="","",E12268-C12268)</f>
        <v/>
      </c>
      <c r="J12268" s="25" t="str">
        <f aca="false">Lib_Compta</f>
        <v>Mission comptable (tenue, révision, bilan, liasse fiscale)</v>
      </c>
      <c r="K12268" s="25" t="n">
        <f aca="false">IF($K$12241=0,0,N(INDEX(Clients!$K$2:$K$501,$K$12241)))</f>
        <v>0</v>
      </c>
      <c r="L12268" s="25" t="n">
        <f aca="false">IF($K$12241=0,0,N(INDEX(Clients!$P$2:$P$501,$K$12241)))</f>
        <v>0</v>
      </c>
      <c r="M12268" s="25" t="n">
        <f aca="false">IF(OR(K12268&lt;&gt;0,L12268&lt;&gt;0),1,0)</f>
        <v>0</v>
      </c>
      <c r="N12268" s="25" t="str">
        <f aca="false">IF(M12268=1,SUM($M$12268:M12268),"")</f>
        <v/>
      </c>
      <c r="O12268" s="25" t="n">
        <v>1</v>
      </c>
    </row>
    <row r="12269" customFormat="false" ht="16.5" hidden="false" customHeight="true" outlineLevel="0" collapsed="false">
      <c r="B12269" s="40" t="str">
        <f aca="false">IFERROR(INDEX($J$12268:$J$12271,MATCH($O12269,$N$12268:$N$12271,0)),"")</f>
        <v/>
      </c>
      <c r="C12269" s="41" t="str">
        <f aca="false">IFERROR(INDEX($K$12268:$K$12271,MATCH($O12269,$N$12268:$N$12271,0)),"")</f>
        <v/>
      </c>
      <c r="D12269" s="42" t="str">
        <f aca="false">IF(OR(E12269="",N(C12269)=0),"",E12269/C12269-1)</f>
        <v/>
      </c>
      <c r="E12269" s="41" t="str">
        <f aca="false">IFERROR(INDEX($L$12268:$L$12271,MATCH($O12269,$N$12268:$N$12271,0)),"")</f>
        <v/>
      </c>
      <c r="F12269" s="41" t="str">
        <f aca="false">IF(E12269="","",E12269-C12269)</f>
        <v/>
      </c>
      <c r="J12269" s="25" t="str">
        <f aca="false">Lib_Paye</f>
        <v>Mission sociale (bulletins de paie, DSN, déclarations sociales)</v>
      </c>
      <c r="K12269" s="25" t="n">
        <f aca="false">IF($K$12241=0,0,N(INDEX(Clients!$L$2:$L$501,$K$12241)))</f>
        <v>0</v>
      </c>
      <c r="L12269" s="25" t="n">
        <f aca="false">IF($K$12241=0,0,N(INDEX(Clients!$Q$2:$Q$501,$K$12241)))</f>
        <v>0</v>
      </c>
      <c r="M12269" s="25" t="n">
        <f aca="false">IF(OR(K12269&lt;&gt;0,L12269&lt;&gt;0),1,0)</f>
        <v>0</v>
      </c>
      <c r="N12269" s="25" t="str">
        <f aca="false">IF(M12269=1,SUM($M$12268:M12269),"")</f>
        <v/>
      </c>
      <c r="O12269" s="25" t="n">
        <v>2</v>
      </c>
    </row>
    <row r="12270" customFormat="false" ht="16.5" hidden="false" customHeight="true" outlineLevel="0" collapsed="false">
      <c r="B12270" s="40" t="str">
        <f aca="false">IFERROR(INDEX($J$12268:$J$12271,MATCH($O12270,$N$12268:$N$12271,0)),"")</f>
        <v/>
      </c>
      <c r="C12270" s="41" t="str">
        <f aca="false">IFERROR(INDEX($K$12268:$K$12271,MATCH($O12270,$N$12268:$N$12271,0)),"")</f>
        <v/>
      </c>
      <c r="D12270" s="42" t="str">
        <f aca="false">IF(OR(E12270="",N(C12270)=0),"",E12270/C12270-1)</f>
        <v/>
      </c>
      <c r="E12270" s="41" t="str">
        <f aca="false">IFERROR(INDEX($L$12268:$L$12271,MATCH($O12270,$N$12268:$N$12271,0)),"")</f>
        <v/>
      </c>
      <c r="F12270" s="41" t="str">
        <f aca="false">IF(E12270="","",E12270-C12270)</f>
        <v/>
      </c>
      <c r="J12270" s="25" t="str">
        <f aca="false">Lib_Jur</f>
        <v>Mission juridique (approbation des comptes, secrétariat juridique)</v>
      </c>
      <c r="K12270" s="25" t="n">
        <f aca="false">IF($K$12241=0,0,N(INDEX(Clients!$M$2:$M$501,$K$12241)))</f>
        <v>0</v>
      </c>
      <c r="L12270" s="25" t="n">
        <f aca="false">IF($K$12241=0,0,N(INDEX(Clients!$R$2:$R$501,$K$12241)))</f>
        <v>0</v>
      </c>
      <c r="M12270" s="25" t="n">
        <f aca="false">IF(OR(K12270&lt;&gt;0,L12270&lt;&gt;0),1,0)</f>
        <v>0</v>
      </c>
      <c r="N12270" s="25" t="str">
        <f aca="false">IF(M12270=1,SUM($M$12268:M12270),"")</f>
        <v/>
      </c>
      <c r="O12270" s="25" t="n">
        <v>3</v>
      </c>
    </row>
    <row r="12271" customFormat="false" ht="16.5" hidden="false" customHeight="true" outlineLevel="0" collapsed="false">
      <c r="B12271" s="40" t="str">
        <f aca="false">IFERROR(INDEX($J$12268:$J$12271,MATCH($O12271,$N$12268:$N$12271,0)),"")</f>
        <v/>
      </c>
      <c r="C12271" s="41" t="str">
        <f aca="false">IFERROR(INDEX($K$12268:$K$12271,MATCH($O12271,$N$12268:$N$12271,0)),"")</f>
        <v/>
      </c>
      <c r="D12271" s="42" t="str">
        <f aca="false">IF(OR(E12271="",N(C12271)=0),"",E12271/C12271-1)</f>
        <v/>
      </c>
      <c r="E12271" s="41" t="str">
        <f aca="false">IFERROR(INDEX($L$12268:$L$12271,MATCH($O12271,$N$12268:$N$12271,0)),"")</f>
        <v/>
      </c>
      <c r="F12271" s="41" t="str">
        <f aca="false">IF(E12271="","",E12271-C12271)</f>
        <v/>
      </c>
      <c r="J12271" s="25" t="str">
        <f aca="false">Lib_PA</f>
        <v>Plateforme agréée – facturation électronique</v>
      </c>
      <c r="K12271" s="25" t="n">
        <f aca="false">IF($K$12241=0,0,N(INDEX(Clients!$N$2:$N$501,$K$12241)))</f>
        <v>0</v>
      </c>
      <c r="L12271" s="25" t="n">
        <f aca="false">IF($K$12241=0,0,N(INDEX(Clients!$S$2:$S$501,$K$12241)))</f>
        <v>0</v>
      </c>
      <c r="M12271" s="25" t="n">
        <f aca="false">IF(OR(K12271&lt;&gt;0,L12271&lt;&gt;0),1,0)</f>
        <v>0</v>
      </c>
      <c r="N12271" s="25" t="str">
        <f aca="false">IF(M12271=1,SUM($M$12268:M12271),"")</f>
        <v/>
      </c>
      <c r="O12271" s="25" t="n">
        <v>4</v>
      </c>
    </row>
    <row r="12272" customFormat="false" ht="18" hidden="false" customHeight="true" outlineLevel="0" collapsed="false">
      <c r="B12272" s="43" t="s">
        <v>158</v>
      </c>
      <c r="C12272" s="44" t="n">
        <f aca="false">SUM(K12268:K12271)</f>
        <v>0</v>
      </c>
      <c r="D12272" s="45" t="str">
        <f aca="false">IF(N(C12272)=0,"",E12272/C12272-1)</f>
        <v/>
      </c>
      <c r="E12272" s="44" t="n">
        <f aca="false">SUM(L12268:L12271)</f>
        <v>0</v>
      </c>
      <c r="F12272" s="44" t="n">
        <f aca="false">E12272-C12272</f>
        <v>0</v>
      </c>
    </row>
    <row r="12273" customFormat="false" ht="15" hidden="false" customHeight="false" outlineLevel="0" collapsed="false">
      <c r="B12273" s="46" t="str">
        <f aca="false">IF(N(Nb_Mensualites)=0,"","Soit "&amp;FIXED(E12272/Nb_Mensualites,2)&amp;" € HT par échéance ("&amp;Nb_Mensualites&amp;" échéances), "&amp;FIXED(E12272/Nb_Mensualites*(1+Taux_TVA),2)&amp;" € TTC.")</f>
        <v>Soit 0.00 € HT par échéance (12 échéances), 0.00 € TTC.</v>
      </c>
      <c r="C12273" s="46"/>
      <c r="D12273" s="46"/>
      <c r="E12273" s="46"/>
      <c r="F12273" s="46"/>
    </row>
    <row r="12274" customFormat="false" ht="7.5" hidden="false" customHeight="true" outlineLevel="0" collapsed="false">
      <c r="B12274" s="10"/>
      <c r="C12274" s="10"/>
      <c r="D12274" s="10"/>
      <c r="E12274" s="10"/>
      <c r="F12274" s="10"/>
    </row>
    <row r="12275" customFormat="false" ht="36.75" hidden="false" customHeight="true" outlineLevel="0" collapsed="false">
      <c r="B12275" s="37" t="str">
        <f aca="false">SUBSTITUTE(SUBSTITUTE(SUBSTITUTE(SUBSTITUTE(SUBSTITUTE(Txt_P5,"{cabinet}",Cab_Nom),"{societe}",IF($K$12241=0,"",INDEX(Clients!$E$2:$E$501,$K$12241)&amp;"")),"{date_effet}",$K$12243),"{hausse}",$K$12244),"{civilite}",$K$12242)</f>
        <v>Les autres conditions de votre lettre de mission demeurent inchangées. Les nouveaux montants seront appliqués automatiquement sur vos prochaines factures et échéances de prélèvement.</v>
      </c>
      <c r="C12275" s="37"/>
      <c r="D12275" s="37"/>
      <c r="E12275" s="37"/>
      <c r="F12275" s="37"/>
    </row>
    <row r="12276" customFormat="false" ht="36.75" hidden="false" customHeight="true" outlineLevel="0" collapsed="false">
      <c r="B12276" s="37" t="str">
        <f aca="false">SUBSTITUTE(SUBSTITUTE(SUBSTITUTE(SUBSTITUTE(SUBSTITUTE(Txt_P6,"{cabinet}",Cab_Nom),"{societe}",IF($K$12241=0,"",INDEX(Clients!$E$2:$E$501,$K$12241)&amp;"")),"{date_effet}",$K$12243),"{hausse}",$K$12244),"{civilite}",$K$12242)</f>
        <v>Votre interlocuteur habituel reste à votre entière disposition pour répondre à vos questions et faire le point sur l'évolution de vos besoins.</v>
      </c>
      <c r="C12276" s="37"/>
      <c r="D12276" s="37"/>
      <c r="E12276" s="37"/>
      <c r="F12276" s="37"/>
    </row>
    <row r="12277" customFormat="false" ht="24" hidden="false" customHeight="true" outlineLevel="0" collapsed="false">
      <c r="B12277" s="37" t="str">
        <f aca="false">SUBSTITUTE(SUBSTITUTE(SUBSTITUTE(SUBSTITUTE(SUBSTITUTE(Txt_Politesse,"{cabinet}",Cab_Nom),"{societe}",IF($K$12241=0,"",INDEX(Clients!$E$2:$E$501,$K$12241)&amp;"")),"{date_effet}",$K$12243),"{hausse}",$K$12244),"{civilite}",$K$12242)</f>
        <v>Nous vous prions d'agréer, Madame, Monsieur, l'expression de nos salutations distinguées.</v>
      </c>
      <c r="C12277" s="37"/>
      <c r="D12277" s="37"/>
      <c r="E12277" s="37"/>
      <c r="F12277" s="37"/>
    </row>
    <row r="12278" customFormat="false" ht="15" hidden="false" customHeight="false" outlineLevel="0" collapsed="false">
      <c r="B12278" s="10"/>
      <c r="C12278" s="10"/>
      <c r="D12278" s="10"/>
      <c r="E12278" s="10"/>
      <c r="F12278" s="10"/>
    </row>
    <row r="12279" customFormat="false" ht="15" hidden="false" customHeight="false" outlineLevel="0" collapsed="false">
      <c r="B12279" s="10"/>
      <c r="C12279" s="10"/>
      <c r="D12279" s="34" t="str">
        <f aca="false">Signataire</f>
        <v>Prénom NOM</v>
      </c>
      <c r="E12279" s="34"/>
      <c r="F12279" s="34"/>
    </row>
    <row r="12280" customFormat="false" ht="15" hidden="false" customHeight="false" outlineLevel="0" collapsed="false">
      <c r="B12280" s="10"/>
      <c r="C12280" s="10"/>
      <c r="D12280" s="47" t="str">
        <f aca="false">Signataire_Titre</f>
        <v>Expert-comptable associé</v>
      </c>
      <c r="E12280" s="47"/>
      <c r="F12280" s="47"/>
    </row>
    <row r="12281" customFormat="false" ht="15.75" hidden="false" customHeight="true" outlineLevel="0" collapsed="false">
      <c r="B12281" s="10"/>
      <c r="C12281" s="10"/>
      <c r="D12281" s="10"/>
      <c r="E12281" s="10"/>
      <c r="F12281" s="10"/>
    </row>
    <row r="12282" customFormat="false" ht="15.75" hidden="false" customHeight="true" outlineLevel="0" collapsed="false">
      <c r="B12282" s="10"/>
      <c r="C12282" s="10"/>
      <c r="D12282" s="10"/>
      <c r="E12282" s="10"/>
      <c r="F12282" s="10"/>
    </row>
    <row r="12283" customFormat="false" ht="15.75" hidden="false" customHeight="true" outlineLevel="0" collapsed="false">
      <c r="B12283" s="10"/>
      <c r="C12283" s="10"/>
      <c r="D12283" s="10"/>
      <c r="E12283" s="10"/>
      <c r="F12283" s="10"/>
    </row>
    <row r="12284" customFormat="false" ht="15.75" hidden="false" customHeight="true" outlineLevel="0" collapsed="false">
      <c r="B12284" s="10"/>
      <c r="C12284" s="10"/>
      <c r="D12284" s="10"/>
      <c r="E12284" s="10"/>
      <c r="F12284" s="10"/>
    </row>
    <row r="12285" customFormat="false" ht="24" hidden="false" customHeight="true" outlineLevel="0" collapsed="false">
      <c r="B12285" s="48" t="str">
        <f aca="false">Cab_Mentions</f>
        <v>ALTHO EXPERTISE · SAS au capital de 10 000 € · RCS Pontoise 919 706 325 · TVA FR62919706325 · Société d'expertise comptable inscrite au Tableau de l'Ordre des experts-comptables de Paris Île-de-France</v>
      </c>
      <c r="C12285" s="48"/>
      <c r="D12285" s="48"/>
      <c r="E12285" s="48"/>
      <c r="F12285" s="48"/>
    </row>
    <row r="12286" customFormat="false" ht="15" hidden="false" customHeight="false" outlineLevel="0" collapsed="false">
      <c r="B12286" s="10"/>
      <c r="C12286" s="10"/>
      <c r="D12286" s="10"/>
      <c r="E12286" s="10"/>
      <c r="F12286" s="10"/>
      <c r="J12286" s="25" t="s">
        <v>142</v>
      </c>
      <c r="K12286" s="25" t="n">
        <f aca="false">IFERROR(MATCH(274,Clients!$Z$2:$Z$501,0),0)</f>
        <v>0</v>
      </c>
      <c r="L12286" s="25"/>
      <c r="M12286" s="25"/>
      <c r="N12286" s="25"/>
      <c r="O12286" s="25"/>
    </row>
    <row r="12287" customFormat="false" ht="21.75" hidden="false" customHeight="true" outlineLevel="0" collapsed="false">
      <c r="B12287" s="26" t="str">
        <f aca="false">Cab_Nom</f>
        <v>ALTHO EXPERTISE</v>
      </c>
      <c r="C12287" s="26"/>
      <c r="D12287" s="10"/>
      <c r="E12287" s="27" t="str">
        <f aca="false">IF($K$12286=0,"","Réf. client : "&amp;INDEX(Clients!$A$2:$A$501,$K$12286))</f>
        <v/>
      </c>
      <c r="F12287" s="27"/>
      <c r="J12287" s="25" t="s">
        <v>144</v>
      </c>
      <c r="K12287" s="25" t="str">
        <f aca="false">IF(IF($K$12286=0,"",INDEX(Clients!$B$2:$B$501,$K$12286)&amp;"")="Mme","Madame",IF(IF($K$12286=0,"",INDEX(Clients!$B$2:$B$501,$K$12286)&amp;"")="M.","Monsieur","Madame, Monsieur"))</f>
        <v>Madame, Monsieur</v>
      </c>
      <c r="L12287" s="25"/>
      <c r="M12287" s="25"/>
      <c r="N12287" s="25"/>
      <c r="O12287" s="25"/>
    </row>
    <row r="12288" customFormat="false" ht="15" hidden="false" customHeight="false" outlineLevel="0" collapsed="false">
      <c r="B12288" s="29" t="str">
        <f aca="false">Cab_Adr1</f>
        <v>141 rue Charles de Gaulle</v>
      </c>
      <c r="C12288" s="29"/>
      <c r="D12288" s="10"/>
      <c r="E12288" s="10"/>
      <c r="F12288" s="10"/>
      <c r="J12288" s="25" t="s">
        <v>145</v>
      </c>
      <c r="K12288" s="25" t="str">
        <f aca="false">DAY(Date_Effet)&amp;IF(DAY(Date_Effet)=1,"er","")&amp;" "&amp;INDEX(Liste_Mois,MONTH(Date_Effet))&amp;" "&amp;YEAR(Date_Effet)</f>
        <v>1er janvier 2027</v>
      </c>
      <c r="L12288" s="25"/>
      <c r="M12288" s="25"/>
      <c r="N12288" s="25"/>
      <c r="O12288" s="25"/>
    </row>
    <row r="12289" customFormat="false" ht="15" hidden="false" customHeight="false" outlineLevel="0" collapsed="false">
      <c r="B12289" s="29" t="str">
        <f aca="false">Cab_CPVille</f>
        <v>95130 LE PLESSIS-BOUCHARD</v>
      </c>
      <c r="C12289" s="29"/>
      <c r="D12289" s="10"/>
      <c r="E12289" s="10"/>
      <c r="F12289" s="10"/>
      <c r="J12289" s="25" t="s">
        <v>146</v>
      </c>
      <c r="K12289" s="25" t="str">
        <f aca="false">IF(SUM($K$12313:$K$12316)=0,"",FIXED((SUM($L$12313:$L$12316)/SUM($K$12313:$K$12316)-1)*100,1)&amp;" %")</f>
        <v/>
      </c>
      <c r="L12289" s="25"/>
      <c r="M12289" s="25"/>
      <c r="N12289" s="25"/>
      <c r="O12289" s="25"/>
    </row>
    <row r="12290" customFormat="false" ht="15" hidden="false" customHeight="false" outlineLevel="0" collapsed="false">
      <c r="B12290" s="29" t="str">
        <f aca="false">Cab_Contact</f>
        <v>Tél. 01 34 14 53 45  ·  altho@altho-experts.com  ·  altho-experts.com</v>
      </c>
      <c r="C12290" s="29"/>
      <c r="D12290" s="10"/>
      <c r="E12290" s="10"/>
      <c r="F12290" s="10"/>
      <c r="J12290" s="25"/>
      <c r="K12290" s="25"/>
      <c r="L12290" s="25"/>
      <c r="M12290" s="25"/>
      <c r="N12290" s="25"/>
      <c r="O12290" s="25"/>
    </row>
    <row r="12291" customFormat="false" ht="6" hidden="false" customHeight="true" outlineLevel="0" collapsed="false">
      <c r="B12291" s="32"/>
      <c r="C12291" s="32"/>
      <c r="D12291" s="32"/>
      <c r="E12291" s="32"/>
      <c r="F12291" s="32"/>
      <c r="J12291" s="25"/>
      <c r="K12291" s="25"/>
      <c r="L12291" s="25"/>
      <c r="M12291" s="25"/>
      <c r="N12291" s="25"/>
      <c r="O12291" s="25"/>
    </row>
    <row r="12292" customFormat="false" ht="13.5" hidden="false" customHeight="true" outlineLevel="0" collapsed="false">
      <c r="B12292" s="10"/>
      <c r="C12292" s="10"/>
      <c r="D12292" s="10"/>
      <c r="E12292" s="10"/>
      <c r="F12292" s="10"/>
      <c r="J12292" s="25"/>
      <c r="K12292" s="25"/>
      <c r="L12292" s="25"/>
      <c r="M12292" s="25"/>
      <c r="N12292" s="25"/>
      <c r="O12292" s="25"/>
    </row>
    <row r="12293" customFormat="false" ht="13.5" hidden="false" customHeight="true" outlineLevel="0" collapsed="false">
      <c r="B12293" s="10"/>
      <c r="C12293" s="10"/>
      <c r="D12293" s="10"/>
      <c r="E12293" s="10"/>
      <c r="F12293" s="10"/>
      <c r="J12293" s="25"/>
      <c r="K12293" s="25"/>
      <c r="L12293" s="25"/>
      <c r="M12293" s="25"/>
      <c r="N12293" s="25"/>
      <c r="O12293" s="25"/>
    </row>
    <row r="12294" customFormat="false" ht="13.5" hidden="false" customHeight="true" outlineLevel="0" collapsed="false">
      <c r="B12294" s="10"/>
      <c r="C12294" s="10"/>
      <c r="D12294" s="10"/>
      <c r="E12294" s="10"/>
      <c r="F12294" s="10"/>
      <c r="J12294" s="25"/>
      <c r="K12294" s="25"/>
      <c r="L12294" s="25"/>
      <c r="M12294" s="25"/>
      <c r="N12294" s="25"/>
      <c r="O12294" s="25"/>
    </row>
    <row r="12295" customFormat="false" ht="15" hidden="false" customHeight="true" outlineLevel="0" collapsed="false">
      <c r="B12295" s="10"/>
      <c r="C12295" s="10"/>
      <c r="D12295" s="34" t="str">
        <f aca="false">IF($K$12286=0,"",INDEX(Clients!$E$2:$E$501,$K$12286)&amp;"")</f>
        <v/>
      </c>
      <c r="E12295" s="34"/>
      <c r="F12295" s="34"/>
      <c r="J12295" s="25"/>
      <c r="K12295" s="25"/>
      <c r="L12295" s="25"/>
      <c r="M12295" s="25"/>
      <c r="N12295" s="25"/>
      <c r="O12295" s="25"/>
    </row>
    <row r="12296" customFormat="false" ht="15" hidden="false" customHeight="true" outlineLevel="0" collapsed="false">
      <c r="B12296" s="10"/>
      <c r="C12296" s="10"/>
      <c r="D12296" s="35" t="str">
        <f aca="false">IF(IF($K$12286=0,"",INDEX(Clients!$D$2:$D$501,$K$12286)&amp;"")="","","À l'attention de "&amp;TRIM(IF($K$12286=0,"",INDEX(Clients!$B$2:$B$501,$K$12286)&amp;"")&amp;" "&amp;IF($K$12286=0,"",INDEX(Clients!$C$2:$C$501,$K$12286)&amp;"")&amp;" "&amp;IF($K$12286=0,"",INDEX(Clients!$D$2:$D$501,$K$12286)&amp;"")))</f>
        <v/>
      </c>
      <c r="E12296" s="35"/>
      <c r="F12296" s="35"/>
      <c r="J12296" s="25"/>
      <c r="K12296" s="25"/>
      <c r="L12296" s="25"/>
      <c r="M12296" s="25"/>
      <c r="N12296" s="25"/>
      <c r="O12296" s="25"/>
    </row>
    <row r="12297" customFormat="false" ht="15" hidden="false" customHeight="true" outlineLevel="0" collapsed="false">
      <c r="B12297" s="10"/>
      <c r="C12297" s="10"/>
      <c r="D12297" s="35" t="str">
        <f aca="false">IF($K$12286=0,"",INDEX(Clients!$F$2:$F$501,$K$12286)&amp;"")</f>
        <v/>
      </c>
      <c r="E12297" s="35"/>
      <c r="F12297" s="35"/>
      <c r="J12297" s="25"/>
      <c r="K12297" s="25"/>
      <c r="L12297" s="25"/>
      <c r="M12297" s="25"/>
      <c r="N12297" s="25"/>
      <c r="O12297" s="25"/>
    </row>
    <row r="12298" customFormat="false" ht="15" hidden="false" customHeight="true" outlineLevel="0" collapsed="false">
      <c r="B12298" s="10"/>
      <c r="C12298" s="10"/>
      <c r="D12298" s="35" t="str">
        <f aca="false">IF(IF($K$12286=0,"",INDEX(Clients!$G$2:$G$501,$K$12286)&amp;"")="",TRIM(IF($K$12286=0,"",INDEX(Clients!$H$2:$H$501,$K$12286)&amp;"")&amp;" "&amp;UPPER(IF($K$12286=0,"",INDEX(Clients!$I$2:$I$501,$K$12286)&amp;""))),IF($K$12286=0,"",INDEX(Clients!$G$2:$G$501,$K$12286)&amp;""))</f>
        <v/>
      </c>
      <c r="E12298" s="35"/>
      <c r="F12298" s="35"/>
      <c r="J12298" s="25"/>
      <c r="K12298" s="25"/>
      <c r="L12298" s="25"/>
      <c r="M12298" s="25"/>
      <c r="N12298" s="25"/>
      <c r="O12298" s="25"/>
    </row>
    <row r="12299" customFormat="false" ht="15" hidden="false" customHeight="true" outlineLevel="0" collapsed="false">
      <c r="B12299" s="10"/>
      <c r="C12299" s="10"/>
      <c r="D12299" s="35" t="str">
        <f aca="false">IF(IF($K$12286=0,"",INDEX(Clients!$G$2:$G$501,$K$12286)&amp;"")="","",TRIM(IF($K$12286=0,"",INDEX(Clients!$H$2:$H$501,$K$12286)&amp;"")&amp;" "&amp;UPPER(IF($K$12286=0,"",INDEX(Clients!$I$2:$I$501,$K$12286)&amp;""))))</f>
        <v/>
      </c>
      <c r="E12299" s="35"/>
      <c r="F12299" s="35"/>
      <c r="J12299" s="25"/>
      <c r="K12299" s="25"/>
      <c r="L12299" s="25"/>
      <c r="M12299" s="25"/>
      <c r="N12299" s="25"/>
      <c r="O12299" s="25"/>
    </row>
    <row r="12300" customFormat="false" ht="25.5" hidden="false" customHeight="true" outlineLevel="0" collapsed="false">
      <c r="B12300" s="10"/>
      <c r="C12300" s="10"/>
      <c r="D12300" s="10"/>
      <c r="E12300" s="10"/>
      <c r="F12300" s="10"/>
      <c r="J12300" s="25"/>
      <c r="K12300" s="25"/>
      <c r="L12300" s="25"/>
      <c r="M12300" s="25"/>
      <c r="N12300" s="25"/>
      <c r="O12300" s="25"/>
    </row>
    <row r="12301" customFormat="false" ht="15" hidden="false" customHeight="false" outlineLevel="0" collapsed="false">
      <c r="B12301" s="10"/>
      <c r="C12301" s="10"/>
      <c r="D12301" s="36" t="str">
        <f aca="false">Cab_Ville&amp;", le "&amp;DAY(Date_Courrier)&amp;IF(DAY(Date_Courrier)=1,"er","")&amp;" "&amp;INDEX(Liste_Mois,MONTH(Date_Courrier))&amp;" "&amp;YEAR(Date_Courrier)</f>
        <v>Le Plessis-Bouchard, le 22 septembre 2026</v>
      </c>
      <c r="E12301" s="36"/>
      <c r="F12301" s="36"/>
      <c r="J12301" s="25"/>
      <c r="K12301" s="25"/>
      <c r="L12301" s="25"/>
      <c r="M12301" s="25"/>
      <c r="N12301" s="25"/>
      <c r="O12301" s="25"/>
    </row>
    <row r="12302" customFormat="false" ht="19.5" hidden="false" customHeight="true" outlineLevel="0" collapsed="false">
      <c r="B12302" s="10"/>
      <c r="C12302" s="10"/>
      <c r="D12302" s="10"/>
      <c r="E12302" s="10"/>
      <c r="F12302" s="10"/>
      <c r="J12302" s="25"/>
      <c r="K12302" s="25"/>
      <c r="L12302" s="25"/>
      <c r="M12302" s="25"/>
      <c r="N12302" s="25"/>
      <c r="O12302" s="25"/>
    </row>
    <row r="12303" customFormat="false" ht="15" hidden="false" customHeight="false" outlineLevel="0" collapsed="false">
      <c r="B12303" s="34" t="str">
        <f aca="false">SUBSTITUTE(SUBSTITUTE(SUBSTITUTE(SUBSTITUTE(SUBSTITUTE(Txt_Objet,"{cabinet}",Cab_Nom),"{societe}",IF($K$12286=0,"",INDEX(Clients!$E$2:$E$501,$K$12286)&amp;"")),"{date_effet}",$K$12288),"{hausse}",$K$12289),"{civilite}",$K$12287)</f>
        <v>Objet : révision de nos honoraires au 1er janvier 2027</v>
      </c>
      <c r="C12303" s="34"/>
      <c r="D12303" s="34"/>
      <c r="E12303" s="34"/>
      <c r="F12303" s="34"/>
      <c r="J12303" s="25"/>
      <c r="K12303" s="25"/>
      <c r="L12303" s="25"/>
      <c r="M12303" s="25"/>
      <c r="N12303" s="25"/>
      <c r="O12303" s="25"/>
    </row>
    <row r="12304" customFormat="false" ht="13.5" hidden="false" customHeight="true" outlineLevel="0" collapsed="false">
      <c r="B12304" s="10"/>
      <c r="C12304" s="10"/>
      <c r="D12304" s="10"/>
      <c r="E12304" s="10"/>
      <c r="F12304" s="10"/>
      <c r="J12304" s="25"/>
      <c r="K12304" s="25"/>
      <c r="L12304" s="25"/>
      <c r="M12304" s="25"/>
      <c r="N12304" s="25"/>
      <c r="O12304" s="25"/>
    </row>
    <row r="12305" customFormat="false" ht="15" hidden="false" customHeight="false" outlineLevel="0" collapsed="false">
      <c r="B12305" s="10" t="str">
        <f aca="false">$K$12287&amp;","</f>
        <v>Madame, Monsieur,</v>
      </c>
      <c r="C12305" s="10"/>
      <c r="D12305" s="10"/>
      <c r="E12305" s="10"/>
      <c r="F12305" s="10"/>
      <c r="J12305" s="25"/>
      <c r="K12305" s="25"/>
      <c r="L12305" s="25"/>
      <c r="M12305" s="25"/>
      <c r="N12305" s="25"/>
      <c r="O12305" s="25"/>
    </row>
    <row r="12306" customFormat="false" ht="6" hidden="false" customHeight="true" outlineLevel="0" collapsed="false">
      <c r="B12306" s="10"/>
      <c r="C12306" s="10"/>
      <c r="D12306" s="10"/>
      <c r="E12306" s="10"/>
      <c r="F12306" s="10"/>
      <c r="J12306" s="25"/>
      <c r="K12306" s="25"/>
      <c r="L12306" s="25"/>
      <c r="M12306" s="25"/>
      <c r="N12306" s="25"/>
      <c r="O12306" s="25"/>
    </row>
    <row r="12307" customFormat="false" ht="36.75" hidden="false" customHeight="true" outlineLevel="0" collapsed="false">
      <c r="B12307" s="37" t="str">
        <f aca="false">SUBSTITUTE(SUBSTITUTE(SUBSTITUTE(SUBSTITUTE(SUBSTITUTE(Txt_P1,"{cabinet}",Cab_Nom),"{societe}",IF($K$12286=0,"",INDEX(Clients!$E$2:$E$501,$K$12286)&amp;"")),"{date_effet}",$K$12288),"{hausse}",$K$12289),"{civilite}",$K$12287)</f>
        <v>Nous tenons tout d'abord à vous remercier pour la confiance que vous accordez à ALTHO EXPERTISE. Comme chaque année, et conformément aux dispositions de votre lettre de mission, nous procédons à la révision de nos honoraires.</v>
      </c>
      <c r="C12307" s="37"/>
      <c r="D12307" s="37"/>
      <c r="E12307" s="37"/>
      <c r="F12307" s="37"/>
      <c r="J12307" s="25"/>
      <c r="K12307" s="25"/>
      <c r="L12307" s="25"/>
      <c r="M12307" s="25"/>
      <c r="N12307" s="25"/>
      <c r="O12307" s="25"/>
    </row>
    <row r="12308" customFormat="false" ht="49.5" hidden="false" customHeight="true" outlineLevel="0" collapsed="false">
      <c r="B12308" s="37" t="str">
        <f aca="false">SUBSTITUTE(SUBSTITUTE(SUBSTITUTE(SUBSTITUTE(SUBSTITUTE(Txt_P2,"{cabinet}",Cab_Nom),"{societe}",IF($K$12286=0,"",INDEX(Clients!$E$2:$E$501,$K$12286)&amp;"")),"{date_effet}",$K$12288),"{hausse}",$K$12289),"{civilite}",$K$12287)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308" s="37"/>
      <c r="D12308" s="37"/>
      <c r="E12308" s="37"/>
      <c r="F12308" s="37"/>
      <c r="J12308" s="25"/>
      <c r="K12308" s="25"/>
      <c r="L12308" s="25"/>
      <c r="M12308" s="25"/>
      <c r="N12308" s="25"/>
      <c r="O12308" s="25"/>
    </row>
    <row r="12309" customFormat="false" ht="63" hidden="false" customHeight="true" outlineLevel="0" collapsed="false">
      <c r="B12309" s="37" t="str">
        <f aca="false">SUBSTITUTE(SUBSTITUTE(SUBSTITUTE(SUBSTITUTE(SUBSTITUTE(Txt_P3,"{cabinet}",Cab_Nom),"{societe}",IF($K$12286=0,"",INDEX(Clients!$E$2:$E$501,$K$12286)&amp;"")),"{date_effet}",$K$12288),"{hausse}",$K$12289),"{civilite}",$K$12287)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309" s="37"/>
      <c r="D12309" s="37"/>
      <c r="E12309" s="37"/>
      <c r="F12309" s="37"/>
      <c r="J12309" s="25"/>
      <c r="K12309" s="25"/>
      <c r="L12309" s="25"/>
      <c r="M12309" s="25"/>
      <c r="N12309" s="25"/>
      <c r="O12309" s="25"/>
    </row>
    <row r="12310" customFormat="false" ht="24" hidden="false" customHeight="true" outlineLevel="0" collapsed="false">
      <c r="B12310" s="37" t="str">
        <f aca="false">SUBSTITUTE(SUBSTITUTE(SUBSTITUTE(SUBSTITUTE(SUBSTITUTE(Txt_P4,"{cabinet}",Cab_Nom),"{societe}",IF($K$12286=0,"",INDEX(Clients!$E$2:$E$501,$K$12286)&amp;"")),"{date_effet}",$K$12288),"{hausse}",$K$12289),"{civilite}",$K$12287)</f>
        <v>À compter du 1er janvier 2027, vos honoraires annuels hors taxes évolueront ainsi (évolution globale : ) :</v>
      </c>
      <c r="C12310" s="37"/>
      <c r="D12310" s="37"/>
      <c r="E12310" s="37"/>
      <c r="F12310" s="37"/>
      <c r="J12310" s="25"/>
      <c r="K12310" s="25"/>
      <c r="L12310" s="25"/>
      <c r="M12310" s="25"/>
      <c r="N12310" s="25"/>
      <c r="O12310" s="25"/>
    </row>
    <row r="12311" customFormat="false" ht="3.75" hidden="false" customHeight="true" outlineLevel="0" collapsed="false">
      <c r="B12311" s="10"/>
      <c r="C12311" s="10"/>
      <c r="D12311" s="10"/>
      <c r="E12311" s="10"/>
      <c r="F12311" s="10"/>
      <c r="J12311" s="25"/>
      <c r="K12311" s="25"/>
      <c r="L12311" s="25"/>
      <c r="M12311" s="25"/>
      <c r="N12311" s="25"/>
      <c r="O12311" s="25"/>
    </row>
    <row r="12312" customFormat="false" ht="18" hidden="false" customHeight="true" outlineLevel="0" collapsed="false">
      <c r="B12312" s="38" t="s">
        <v>148</v>
      </c>
      <c r="C12312" s="39" t="s">
        <v>149</v>
      </c>
      <c r="D12312" s="39" t="s">
        <v>150</v>
      </c>
      <c r="E12312" s="39" t="s">
        <v>151</v>
      </c>
      <c r="F12312" s="39" t="s">
        <v>109</v>
      </c>
      <c r="J12312" s="25" t="s">
        <v>152</v>
      </c>
      <c r="K12312" s="25" t="s">
        <v>153</v>
      </c>
      <c r="L12312" s="25" t="s">
        <v>154</v>
      </c>
      <c r="M12312" s="25" t="s">
        <v>155</v>
      </c>
      <c r="N12312" s="25" t="s">
        <v>156</v>
      </c>
      <c r="O12312" s="25" t="s">
        <v>157</v>
      </c>
    </row>
    <row r="12313" customFormat="false" ht="16.5" hidden="false" customHeight="true" outlineLevel="0" collapsed="false">
      <c r="B12313" s="40" t="str">
        <f aca="false">IFERROR(INDEX($J$12313:$J$12316,MATCH($O12313,$N$12313:$N$12316,0)),"")</f>
        <v/>
      </c>
      <c r="C12313" s="41" t="str">
        <f aca="false">IFERROR(INDEX($K$12313:$K$12316,MATCH($O12313,$N$12313:$N$12316,0)),"")</f>
        <v/>
      </c>
      <c r="D12313" s="42" t="str">
        <f aca="false">IF(OR(E12313="",N(C12313)=0),"",E12313/C12313-1)</f>
        <v/>
      </c>
      <c r="E12313" s="41" t="str">
        <f aca="false">IFERROR(INDEX($L$12313:$L$12316,MATCH($O12313,$N$12313:$N$12316,0)),"")</f>
        <v/>
      </c>
      <c r="F12313" s="41" t="str">
        <f aca="false">IF(E12313="","",E12313-C12313)</f>
        <v/>
      </c>
      <c r="J12313" s="25" t="str">
        <f aca="false">Lib_Compta</f>
        <v>Mission comptable (tenue, révision, bilan, liasse fiscale)</v>
      </c>
      <c r="K12313" s="25" t="n">
        <f aca="false">IF($K$12286=0,0,N(INDEX(Clients!$K$2:$K$501,$K$12286)))</f>
        <v>0</v>
      </c>
      <c r="L12313" s="25" t="n">
        <f aca="false">IF($K$12286=0,0,N(INDEX(Clients!$P$2:$P$501,$K$12286)))</f>
        <v>0</v>
      </c>
      <c r="M12313" s="25" t="n">
        <f aca="false">IF(OR(K12313&lt;&gt;0,L12313&lt;&gt;0),1,0)</f>
        <v>0</v>
      </c>
      <c r="N12313" s="25" t="str">
        <f aca="false">IF(M12313=1,SUM($M$12313:M12313),"")</f>
        <v/>
      </c>
      <c r="O12313" s="25" t="n">
        <v>1</v>
      </c>
    </row>
    <row r="12314" customFormat="false" ht="16.5" hidden="false" customHeight="true" outlineLevel="0" collapsed="false">
      <c r="B12314" s="40" t="str">
        <f aca="false">IFERROR(INDEX($J$12313:$J$12316,MATCH($O12314,$N$12313:$N$12316,0)),"")</f>
        <v/>
      </c>
      <c r="C12314" s="41" t="str">
        <f aca="false">IFERROR(INDEX($K$12313:$K$12316,MATCH($O12314,$N$12313:$N$12316,0)),"")</f>
        <v/>
      </c>
      <c r="D12314" s="42" t="str">
        <f aca="false">IF(OR(E12314="",N(C12314)=0),"",E12314/C12314-1)</f>
        <v/>
      </c>
      <c r="E12314" s="41" t="str">
        <f aca="false">IFERROR(INDEX($L$12313:$L$12316,MATCH($O12314,$N$12313:$N$12316,0)),"")</f>
        <v/>
      </c>
      <c r="F12314" s="41" t="str">
        <f aca="false">IF(E12314="","",E12314-C12314)</f>
        <v/>
      </c>
      <c r="J12314" s="25" t="str">
        <f aca="false">Lib_Paye</f>
        <v>Mission sociale (bulletins de paie, DSN, déclarations sociales)</v>
      </c>
      <c r="K12314" s="25" t="n">
        <f aca="false">IF($K$12286=0,0,N(INDEX(Clients!$L$2:$L$501,$K$12286)))</f>
        <v>0</v>
      </c>
      <c r="L12314" s="25" t="n">
        <f aca="false">IF($K$12286=0,0,N(INDEX(Clients!$Q$2:$Q$501,$K$12286)))</f>
        <v>0</v>
      </c>
      <c r="M12314" s="25" t="n">
        <f aca="false">IF(OR(K12314&lt;&gt;0,L12314&lt;&gt;0),1,0)</f>
        <v>0</v>
      </c>
      <c r="N12314" s="25" t="str">
        <f aca="false">IF(M12314=1,SUM($M$12313:M12314),"")</f>
        <v/>
      </c>
      <c r="O12314" s="25" t="n">
        <v>2</v>
      </c>
    </row>
    <row r="12315" customFormat="false" ht="16.5" hidden="false" customHeight="true" outlineLevel="0" collapsed="false">
      <c r="B12315" s="40" t="str">
        <f aca="false">IFERROR(INDEX($J$12313:$J$12316,MATCH($O12315,$N$12313:$N$12316,0)),"")</f>
        <v/>
      </c>
      <c r="C12315" s="41" t="str">
        <f aca="false">IFERROR(INDEX($K$12313:$K$12316,MATCH($O12315,$N$12313:$N$12316,0)),"")</f>
        <v/>
      </c>
      <c r="D12315" s="42" t="str">
        <f aca="false">IF(OR(E12315="",N(C12315)=0),"",E12315/C12315-1)</f>
        <v/>
      </c>
      <c r="E12315" s="41" t="str">
        <f aca="false">IFERROR(INDEX($L$12313:$L$12316,MATCH($O12315,$N$12313:$N$12316,0)),"")</f>
        <v/>
      </c>
      <c r="F12315" s="41" t="str">
        <f aca="false">IF(E12315="","",E12315-C12315)</f>
        <v/>
      </c>
      <c r="J12315" s="25" t="str">
        <f aca="false">Lib_Jur</f>
        <v>Mission juridique (approbation des comptes, secrétariat juridique)</v>
      </c>
      <c r="K12315" s="25" t="n">
        <f aca="false">IF($K$12286=0,0,N(INDEX(Clients!$M$2:$M$501,$K$12286)))</f>
        <v>0</v>
      </c>
      <c r="L12315" s="25" t="n">
        <f aca="false">IF($K$12286=0,0,N(INDEX(Clients!$R$2:$R$501,$K$12286)))</f>
        <v>0</v>
      </c>
      <c r="M12315" s="25" t="n">
        <f aca="false">IF(OR(K12315&lt;&gt;0,L12315&lt;&gt;0),1,0)</f>
        <v>0</v>
      </c>
      <c r="N12315" s="25" t="str">
        <f aca="false">IF(M12315=1,SUM($M$12313:M12315),"")</f>
        <v/>
      </c>
      <c r="O12315" s="25" t="n">
        <v>3</v>
      </c>
    </row>
    <row r="12316" customFormat="false" ht="16.5" hidden="false" customHeight="true" outlineLevel="0" collapsed="false">
      <c r="B12316" s="40" t="str">
        <f aca="false">IFERROR(INDEX($J$12313:$J$12316,MATCH($O12316,$N$12313:$N$12316,0)),"")</f>
        <v/>
      </c>
      <c r="C12316" s="41" t="str">
        <f aca="false">IFERROR(INDEX($K$12313:$K$12316,MATCH($O12316,$N$12313:$N$12316,0)),"")</f>
        <v/>
      </c>
      <c r="D12316" s="42" t="str">
        <f aca="false">IF(OR(E12316="",N(C12316)=0),"",E12316/C12316-1)</f>
        <v/>
      </c>
      <c r="E12316" s="41" t="str">
        <f aca="false">IFERROR(INDEX($L$12313:$L$12316,MATCH($O12316,$N$12313:$N$12316,0)),"")</f>
        <v/>
      </c>
      <c r="F12316" s="41" t="str">
        <f aca="false">IF(E12316="","",E12316-C12316)</f>
        <v/>
      </c>
      <c r="J12316" s="25" t="str">
        <f aca="false">Lib_PA</f>
        <v>Plateforme agréée – facturation électronique</v>
      </c>
      <c r="K12316" s="25" t="n">
        <f aca="false">IF($K$12286=0,0,N(INDEX(Clients!$N$2:$N$501,$K$12286)))</f>
        <v>0</v>
      </c>
      <c r="L12316" s="25" t="n">
        <f aca="false">IF($K$12286=0,0,N(INDEX(Clients!$S$2:$S$501,$K$12286)))</f>
        <v>0</v>
      </c>
      <c r="M12316" s="25" t="n">
        <f aca="false">IF(OR(K12316&lt;&gt;0,L12316&lt;&gt;0),1,0)</f>
        <v>0</v>
      </c>
      <c r="N12316" s="25" t="str">
        <f aca="false">IF(M12316=1,SUM($M$12313:M12316),"")</f>
        <v/>
      </c>
      <c r="O12316" s="25" t="n">
        <v>4</v>
      </c>
    </row>
    <row r="12317" customFormat="false" ht="18" hidden="false" customHeight="true" outlineLevel="0" collapsed="false">
      <c r="B12317" s="43" t="s">
        <v>158</v>
      </c>
      <c r="C12317" s="44" t="n">
        <f aca="false">SUM(K12313:K12316)</f>
        <v>0</v>
      </c>
      <c r="D12317" s="45" t="str">
        <f aca="false">IF(N(C12317)=0,"",E12317/C12317-1)</f>
        <v/>
      </c>
      <c r="E12317" s="44" t="n">
        <f aca="false">SUM(L12313:L12316)</f>
        <v>0</v>
      </c>
      <c r="F12317" s="44" t="n">
        <f aca="false">E12317-C12317</f>
        <v>0</v>
      </c>
    </row>
    <row r="12318" customFormat="false" ht="15" hidden="false" customHeight="false" outlineLevel="0" collapsed="false">
      <c r="B12318" s="46" t="str">
        <f aca="false">IF(N(Nb_Mensualites)=0,"","Soit "&amp;FIXED(E12317/Nb_Mensualites,2)&amp;" € HT par échéance ("&amp;Nb_Mensualites&amp;" échéances), "&amp;FIXED(E12317/Nb_Mensualites*(1+Taux_TVA),2)&amp;" € TTC.")</f>
        <v>Soit 0.00 € HT par échéance (12 échéances), 0.00 € TTC.</v>
      </c>
      <c r="C12318" s="46"/>
      <c r="D12318" s="46"/>
      <c r="E12318" s="46"/>
      <c r="F12318" s="46"/>
    </row>
    <row r="12319" customFormat="false" ht="7.5" hidden="false" customHeight="true" outlineLevel="0" collapsed="false">
      <c r="B12319" s="10"/>
      <c r="C12319" s="10"/>
      <c r="D12319" s="10"/>
      <c r="E12319" s="10"/>
      <c r="F12319" s="10"/>
    </row>
    <row r="12320" customFormat="false" ht="36.75" hidden="false" customHeight="true" outlineLevel="0" collapsed="false">
      <c r="B12320" s="37" t="str">
        <f aca="false">SUBSTITUTE(SUBSTITUTE(SUBSTITUTE(SUBSTITUTE(SUBSTITUTE(Txt_P5,"{cabinet}",Cab_Nom),"{societe}",IF($K$12286=0,"",INDEX(Clients!$E$2:$E$501,$K$12286)&amp;"")),"{date_effet}",$K$12288),"{hausse}",$K$12289),"{civilite}",$K$12287)</f>
        <v>Les autres conditions de votre lettre de mission demeurent inchangées. Les nouveaux montants seront appliqués automatiquement sur vos prochaines factures et échéances de prélèvement.</v>
      </c>
      <c r="C12320" s="37"/>
      <c r="D12320" s="37"/>
      <c r="E12320" s="37"/>
      <c r="F12320" s="37"/>
    </row>
    <row r="12321" customFormat="false" ht="36.75" hidden="false" customHeight="true" outlineLevel="0" collapsed="false">
      <c r="B12321" s="37" t="str">
        <f aca="false">SUBSTITUTE(SUBSTITUTE(SUBSTITUTE(SUBSTITUTE(SUBSTITUTE(Txt_P6,"{cabinet}",Cab_Nom),"{societe}",IF($K$12286=0,"",INDEX(Clients!$E$2:$E$501,$K$12286)&amp;"")),"{date_effet}",$K$12288),"{hausse}",$K$12289),"{civilite}",$K$12287)</f>
        <v>Votre interlocuteur habituel reste à votre entière disposition pour répondre à vos questions et faire le point sur l'évolution de vos besoins.</v>
      </c>
      <c r="C12321" s="37"/>
      <c r="D12321" s="37"/>
      <c r="E12321" s="37"/>
      <c r="F12321" s="37"/>
    </row>
    <row r="12322" customFormat="false" ht="24" hidden="false" customHeight="true" outlineLevel="0" collapsed="false">
      <c r="B12322" s="37" t="str">
        <f aca="false">SUBSTITUTE(SUBSTITUTE(SUBSTITUTE(SUBSTITUTE(SUBSTITUTE(Txt_Politesse,"{cabinet}",Cab_Nom),"{societe}",IF($K$12286=0,"",INDEX(Clients!$E$2:$E$501,$K$12286)&amp;"")),"{date_effet}",$K$12288),"{hausse}",$K$12289),"{civilite}",$K$12287)</f>
        <v>Nous vous prions d'agréer, Madame, Monsieur, l'expression de nos salutations distinguées.</v>
      </c>
      <c r="C12322" s="37"/>
      <c r="D12322" s="37"/>
      <c r="E12322" s="37"/>
      <c r="F12322" s="37"/>
    </row>
    <row r="12323" customFormat="false" ht="15" hidden="false" customHeight="false" outlineLevel="0" collapsed="false">
      <c r="B12323" s="10"/>
      <c r="C12323" s="10"/>
      <c r="D12323" s="10"/>
      <c r="E12323" s="10"/>
      <c r="F12323" s="10"/>
    </row>
    <row r="12324" customFormat="false" ht="15" hidden="false" customHeight="false" outlineLevel="0" collapsed="false">
      <c r="B12324" s="10"/>
      <c r="C12324" s="10"/>
      <c r="D12324" s="34" t="str">
        <f aca="false">Signataire</f>
        <v>Prénom NOM</v>
      </c>
      <c r="E12324" s="34"/>
      <c r="F12324" s="34"/>
    </row>
    <row r="12325" customFormat="false" ht="15" hidden="false" customHeight="false" outlineLevel="0" collapsed="false">
      <c r="B12325" s="10"/>
      <c r="C12325" s="10"/>
      <c r="D12325" s="47" t="str">
        <f aca="false">Signataire_Titre</f>
        <v>Expert-comptable associé</v>
      </c>
      <c r="E12325" s="47"/>
      <c r="F12325" s="47"/>
    </row>
    <row r="12326" customFormat="false" ht="15.75" hidden="false" customHeight="true" outlineLevel="0" collapsed="false">
      <c r="B12326" s="10"/>
      <c r="C12326" s="10"/>
      <c r="D12326" s="10"/>
      <c r="E12326" s="10"/>
      <c r="F12326" s="10"/>
    </row>
    <row r="12327" customFormat="false" ht="15.75" hidden="false" customHeight="true" outlineLevel="0" collapsed="false">
      <c r="B12327" s="10"/>
      <c r="C12327" s="10"/>
      <c r="D12327" s="10"/>
      <c r="E12327" s="10"/>
      <c r="F12327" s="10"/>
    </row>
    <row r="12328" customFormat="false" ht="15.75" hidden="false" customHeight="true" outlineLevel="0" collapsed="false">
      <c r="B12328" s="10"/>
      <c r="C12328" s="10"/>
      <c r="D12328" s="10"/>
      <c r="E12328" s="10"/>
      <c r="F12328" s="10"/>
    </row>
    <row r="12329" customFormat="false" ht="15.75" hidden="false" customHeight="true" outlineLevel="0" collapsed="false">
      <c r="B12329" s="10"/>
      <c r="C12329" s="10"/>
      <c r="D12329" s="10"/>
      <c r="E12329" s="10"/>
      <c r="F12329" s="10"/>
    </row>
    <row r="12330" customFormat="false" ht="24" hidden="false" customHeight="true" outlineLevel="0" collapsed="false">
      <c r="B12330" s="48" t="str">
        <f aca="false">Cab_Mentions</f>
        <v>ALTHO EXPERTISE · SAS au capital de 10 000 € · RCS Pontoise 919 706 325 · TVA FR62919706325 · Société d'expertise comptable inscrite au Tableau de l'Ordre des experts-comptables de Paris Île-de-France</v>
      </c>
      <c r="C12330" s="48"/>
      <c r="D12330" s="48"/>
      <c r="E12330" s="48"/>
      <c r="F12330" s="48"/>
    </row>
    <row r="12331" customFormat="false" ht="15" hidden="false" customHeight="false" outlineLevel="0" collapsed="false">
      <c r="B12331" s="10"/>
      <c r="C12331" s="10"/>
      <c r="D12331" s="10"/>
      <c r="E12331" s="10"/>
      <c r="F12331" s="10"/>
      <c r="J12331" s="25" t="s">
        <v>142</v>
      </c>
      <c r="K12331" s="25" t="n">
        <f aca="false">IFERROR(MATCH(275,Clients!$Z$2:$Z$501,0),0)</f>
        <v>0</v>
      </c>
      <c r="L12331" s="25"/>
      <c r="M12331" s="25"/>
      <c r="N12331" s="25"/>
      <c r="O12331" s="25"/>
    </row>
    <row r="12332" customFormat="false" ht="21.75" hidden="false" customHeight="true" outlineLevel="0" collapsed="false">
      <c r="B12332" s="26" t="str">
        <f aca="false">Cab_Nom</f>
        <v>ALTHO EXPERTISE</v>
      </c>
      <c r="C12332" s="26"/>
      <c r="D12332" s="10"/>
      <c r="E12332" s="27" t="str">
        <f aca="false">IF($K$12331=0,"","Réf. client : "&amp;INDEX(Clients!$A$2:$A$501,$K$12331))</f>
        <v/>
      </c>
      <c r="F12332" s="27"/>
      <c r="J12332" s="25" t="s">
        <v>144</v>
      </c>
      <c r="K12332" s="25" t="str">
        <f aca="false">IF(IF($K$12331=0,"",INDEX(Clients!$B$2:$B$501,$K$12331)&amp;"")="Mme","Madame",IF(IF($K$12331=0,"",INDEX(Clients!$B$2:$B$501,$K$12331)&amp;"")="M.","Monsieur","Madame, Monsieur"))</f>
        <v>Madame, Monsieur</v>
      </c>
      <c r="L12332" s="25"/>
      <c r="M12332" s="25"/>
      <c r="N12332" s="25"/>
      <c r="O12332" s="25"/>
    </row>
    <row r="12333" customFormat="false" ht="15" hidden="false" customHeight="false" outlineLevel="0" collapsed="false">
      <c r="B12333" s="29" t="str">
        <f aca="false">Cab_Adr1</f>
        <v>141 rue Charles de Gaulle</v>
      </c>
      <c r="C12333" s="29"/>
      <c r="D12333" s="10"/>
      <c r="E12333" s="10"/>
      <c r="F12333" s="10"/>
      <c r="J12333" s="25" t="s">
        <v>145</v>
      </c>
      <c r="K12333" s="25" t="str">
        <f aca="false">DAY(Date_Effet)&amp;IF(DAY(Date_Effet)=1,"er","")&amp;" "&amp;INDEX(Liste_Mois,MONTH(Date_Effet))&amp;" "&amp;YEAR(Date_Effet)</f>
        <v>1er janvier 2027</v>
      </c>
      <c r="L12333" s="25"/>
      <c r="M12333" s="25"/>
      <c r="N12333" s="25"/>
      <c r="O12333" s="25"/>
    </row>
    <row r="12334" customFormat="false" ht="15" hidden="false" customHeight="false" outlineLevel="0" collapsed="false">
      <c r="B12334" s="29" t="str">
        <f aca="false">Cab_CPVille</f>
        <v>95130 LE PLESSIS-BOUCHARD</v>
      </c>
      <c r="C12334" s="29"/>
      <c r="D12334" s="10"/>
      <c r="E12334" s="10"/>
      <c r="F12334" s="10"/>
      <c r="J12334" s="25" t="s">
        <v>146</v>
      </c>
      <c r="K12334" s="25" t="str">
        <f aca="false">IF(SUM($K$12358:$K$12361)=0,"",FIXED((SUM($L$12358:$L$12361)/SUM($K$12358:$K$12361)-1)*100,1)&amp;" %")</f>
        <v/>
      </c>
      <c r="L12334" s="25"/>
      <c r="M12334" s="25"/>
      <c r="N12334" s="25"/>
      <c r="O12334" s="25"/>
    </row>
    <row r="12335" customFormat="false" ht="15" hidden="false" customHeight="false" outlineLevel="0" collapsed="false">
      <c r="B12335" s="29" t="str">
        <f aca="false">Cab_Contact</f>
        <v>Tél. 01 34 14 53 45  ·  altho@altho-experts.com  ·  altho-experts.com</v>
      </c>
      <c r="C12335" s="29"/>
      <c r="D12335" s="10"/>
      <c r="E12335" s="10"/>
      <c r="F12335" s="10"/>
      <c r="J12335" s="25"/>
      <c r="K12335" s="25"/>
      <c r="L12335" s="25"/>
      <c r="M12335" s="25"/>
      <c r="N12335" s="25"/>
      <c r="O12335" s="25"/>
    </row>
    <row r="12336" customFormat="false" ht="6" hidden="false" customHeight="true" outlineLevel="0" collapsed="false">
      <c r="B12336" s="32"/>
      <c r="C12336" s="32"/>
      <c r="D12336" s="32"/>
      <c r="E12336" s="32"/>
      <c r="F12336" s="32"/>
      <c r="J12336" s="25"/>
      <c r="K12336" s="25"/>
      <c r="L12336" s="25"/>
      <c r="M12336" s="25"/>
      <c r="N12336" s="25"/>
      <c r="O12336" s="25"/>
    </row>
    <row r="12337" customFormat="false" ht="13.5" hidden="false" customHeight="true" outlineLevel="0" collapsed="false">
      <c r="B12337" s="10"/>
      <c r="C12337" s="10"/>
      <c r="D12337" s="10"/>
      <c r="E12337" s="10"/>
      <c r="F12337" s="10"/>
      <c r="J12337" s="25"/>
      <c r="K12337" s="25"/>
      <c r="L12337" s="25"/>
      <c r="M12337" s="25"/>
      <c r="N12337" s="25"/>
      <c r="O12337" s="25"/>
    </row>
    <row r="12338" customFormat="false" ht="13.5" hidden="false" customHeight="true" outlineLevel="0" collapsed="false">
      <c r="B12338" s="10"/>
      <c r="C12338" s="10"/>
      <c r="D12338" s="10"/>
      <c r="E12338" s="10"/>
      <c r="F12338" s="10"/>
      <c r="J12338" s="25"/>
      <c r="K12338" s="25"/>
      <c r="L12338" s="25"/>
      <c r="M12338" s="25"/>
      <c r="N12338" s="25"/>
      <c r="O12338" s="25"/>
    </row>
    <row r="12339" customFormat="false" ht="13.5" hidden="false" customHeight="true" outlineLevel="0" collapsed="false">
      <c r="B12339" s="10"/>
      <c r="C12339" s="10"/>
      <c r="D12339" s="10"/>
      <c r="E12339" s="10"/>
      <c r="F12339" s="10"/>
      <c r="J12339" s="25"/>
      <c r="K12339" s="25"/>
      <c r="L12339" s="25"/>
      <c r="M12339" s="25"/>
      <c r="N12339" s="25"/>
      <c r="O12339" s="25"/>
    </row>
    <row r="12340" customFormat="false" ht="15" hidden="false" customHeight="true" outlineLevel="0" collapsed="false">
      <c r="B12340" s="10"/>
      <c r="C12340" s="10"/>
      <c r="D12340" s="34" t="str">
        <f aca="false">IF($K$12331=0,"",INDEX(Clients!$E$2:$E$501,$K$12331)&amp;"")</f>
        <v/>
      </c>
      <c r="E12340" s="34"/>
      <c r="F12340" s="34"/>
      <c r="J12340" s="25"/>
      <c r="K12340" s="25"/>
      <c r="L12340" s="25"/>
      <c r="M12340" s="25"/>
      <c r="N12340" s="25"/>
      <c r="O12340" s="25"/>
    </row>
    <row r="12341" customFormat="false" ht="15" hidden="false" customHeight="true" outlineLevel="0" collapsed="false">
      <c r="B12341" s="10"/>
      <c r="C12341" s="10"/>
      <c r="D12341" s="35" t="str">
        <f aca="false">IF(IF($K$12331=0,"",INDEX(Clients!$D$2:$D$501,$K$12331)&amp;"")="","","À l'attention de "&amp;TRIM(IF($K$12331=0,"",INDEX(Clients!$B$2:$B$501,$K$12331)&amp;"")&amp;" "&amp;IF($K$12331=0,"",INDEX(Clients!$C$2:$C$501,$K$12331)&amp;"")&amp;" "&amp;IF($K$12331=0,"",INDEX(Clients!$D$2:$D$501,$K$12331)&amp;"")))</f>
        <v/>
      </c>
      <c r="E12341" s="35"/>
      <c r="F12341" s="35"/>
      <c r="J12341" s="25"/>
      <c r="K12341" s="25"/>
      <c r="L12341" s="25"/>
      <c r="M12341" s="25"/>
      <c r="N12341" s="25"/>
      <c r="O12341" s="25"/>
    </row>
    <row r="12342" customFormat="false" ht="15" hidden="false" customHeight="true" outlineLevel="0" collapsed="false">
      <c r="B12342" s="10"/>
      <c r="C12342" s="10"/>
      <c r="D12342" s="35" t="str">
        <f aca="false">IF($K$12331=0,"",INDEX(Clients!$F$2:$F$501,$K$12331)&amp;"")</f>
        <v/>
      </c>
      <c r="E12342" s="35"/>
      <c r="F12342" s="35"/>
      <c r="J12342" s="25"/>
      <c r="K12342" s="25"/>
      <c r="L12342" s="25"/>
      <c r="M12342" s="25"/>
      <c r="N12342" s="25"/>
      <c r="O12342" s="25"/>
    </row>
    <row r="12343" customFormat="false" ht="15" hidden="false" customHeight="true" outlineLevel="0" collapsed="false">
      <c r="B12343" s="10"/>
      <c r="C12343" s="10"/>
      <c r="D12343" s="35" t="str">
        <f aca="false">IF(IF($K$12331=0,"",INDEX(Clients!$G$2:$G$501,$K$12331)&amp;"")="",TRIM(IF($K$12331=0,"",INDEX(Clients!$H$2:$H$501,$K$12331)&amp;"")&amp;" "&amp;UPPER(IF($K$12331=0,"",INDEX(Clients!$I$2:$I$501,$K$12331)&amp;""))),IF($K$12331=0,"",INDEX(Clients!$G$2:$G$501,$K$12331)&amp;""))</f>
        <v/>
      </c>
      <c r="E12343" s="35"/>
      <c r="F12343" s="35"/>
      <c r="J12343" s="25"/>
      <c r="K12343" s="25"/>
      <c r="L12343" s="25"/>
      <c r="M12343" s="25"/>
      <c r="N12343" s="25"/>
      <c r="O12343" s="25"/>
    </row>
    <row r="12344" customFormat="false" ht="15" hidden="false" customHeight="true" outlineLevel="0" collapsed="false">
      <c r="B12344" s="10"/>
      <c r="C12344" s="10"/>
      <c r="D12344" s="35" t="str">
        <f aca="false">IF(IF($K$12331=0,"",INDEX(Clients!$G$2:$G$501,$K$12331)&amp;"")="","",TRIM(IF($K$12331=0,"",INDEX(Clients!$H$2:$H$501,$K$12331)&amp;"")&amp;" "&amp;UPPER(IF($K$12331=0,"",INDEX(Clients!$I$2:$I$501,$K$12331)&amp;""))))</f>
        <v/>
      </c>
      <c r="E12344" s="35"/>
      <c r="F12344" s="35"/>
      <c r="J12344" s="25"/>
      <c r="K12344" s="25"/>
      <c r="L12344" s="25"/>
      <c r="M12344" s="25"/>
      <c r="N12344" s="25"/>
      <c r="O12344" s="25"/>
    </row>
    <row r="12345" customFormat="false" ht="25.5" hidden="false" customHeight="true" outlineLevel="0" collapsed="false">
      <c r="B12345" s="10"/>
      <c r="C12345" s="10"/>
      <c r="D12345" s="10"/>
      <c r="E12345" s="10"/>
      <c r="F12345" s="10"/>
      <c r="J12345" s="25"/>
      <c r="K12345" s="25"/>
      <c r="L12345" s="25"/>
      <c r="M12345" s="25"/>
      <c r="N12345" s="25"/>
      <c r="O12345" s="25"/>
    </row>
    <row r="12346" customFormat="false" ht="15" hidden="false" customHeight="false" outlineLevel="0" collapsed="false">
      <c r="B12346" s="10"/>
      <c r="C12346" s="10"/>
      <c r="D12346" s="36" t="str">
        <f aca="false">Cab_Ville&amp;", le "&amp;DAY(Date_Courrier)&amp;IF(DAY(Date_Courrier)=1,"er","")&amp;" "&amp;INDEX(Liste_Mois,MONTH(Date_Courrier))&amp;" "&amp;YEAR(Date_Courrier)</f>
        <v>Le Plessis-Bouchard, le 22 septembre 2026</v>
      </c>
      <c r="E12346" s="36"/>
      <c r="F12346" s="36"/>
      <c r="J12346" s="25"/>
      <c r="K12346" s="25"/>
      <c r="L12346" s="25"/>
      <c r="M12346" s="25"/>
      <c r="N12346" s="25"/>
      <c r="O12346" s="25"/>
    </row>
    <row r="12347" customFormat="false" ht="19.5" hidden="false" customHeight="true" outlineLevel="0" collapsed="false">
      <c r="B12347" s="10"/>
      <c r="C12347" s="10"/>
      <c r="D12347" s="10"/>
      <c r="E12347" s="10"/>
      <c r="F12347" s="10"/>
      <c r="J12347" s="25"/>
      <c r="K12347" s="25"/>
      <c r="L12347" s="25"/>
      <c r="M12347" s="25"/>
      <c r="N12347" s="25"/>
      <c r="O12347" s="25"/>
    </row>
    <row r="12348" customFormat="false" ht="15" hidden="false" customHeight="false" outlineLevel="0" collapsed="false">
      <c r="B12348" s="34" t="str">
        <f aca="false">SUBSTITUTE(SUBSTITUTE(SUBSTITUTE(SUBSTITUTE(SUBSTITUTE(Txt_Objet,"{cabinet}",Cab_Nom),"{societe}",IF($K$12331=0,"",INDEX(Clients!$E$2:$E$501,$K$12331)&amp;"")),"{date_effet}",$K$12333),"{hausse}",$K$12334),"{civilite}",$K$12332)</f>
        <v>Objet : révision de nos honoraires au 1er janvier 2027</v>
      </c>
      <c r="C12348" s="34"/>
      <c r="D12348" s="34"/>
      <c r="E12348" s="34"/>
      <c r="F12348" s="34"/>
      <c r="J12348" s="25"/>
      <c r="K12348" s="25"/>
      <c r="L12348" s="25"/>
      <c r="M12348" s="25"/>
      <c r="N12348" s="25"/>
      <c r="O12348" s="25"/>
    </row>
    <row r="12349" customFormat="false" ht="13.5" hidden="false" customHeight="true" outlineLevel="0" collapsed="false">
      <c r="B12349" s="10"/>
      <c r="C12349" s="10"/>
      <c r="D12349" s="10"/>
      <c r="E12349" s="10"/>
      <c r="F12349" s="10"/>
      <c r="J12349" s="25"/>
      <c r="K12349" s="25"/>
      <c r="L12349" s="25"/>
      <c r="M12349" s="25"/>
      <c r="N12349" s="25"/>
      <c r="O12349" s="25"/>
    </row>
    <row r="12350" customFormat="false" ht="15" hidden="false" customHeight="false" outlineLevel="0" collapsed="false">
      <c r="B12350" s="10" t="str">
        <f aca="false">$K$12332&amp;","</f>
        <v>Madame, Monsieur,</v>
      </c>
      <c r="C12350" s="10"/>
      <c r="D12350" s="10"/>
      <c r="E12350" s="10"/>
      <c r="F12350" s="10"/>
      <c r="J12350" s="25"/>
      <c r="K12350" s="25"/>
      <c r="L12350" s="25"/>
      <c r="M12350" s="25"/>
      <c r="N12350" s="25"/>
      <c r="O12350" s="25"/>
    </row>
    <row r="12351" customFormat="false" ht="6" hidden="false" customHeight="true" outlineLevel="0" collapsed="false">
      <c r="B12351" s="10"/>
      <c r="C12351" s="10"/>
      <c r="D12351" s="10"/>
      <c r="E12351" s="10"/>
      <c r="F12351" s="10"/>
      <c r="J12351" s="25"/>
      <c r="K12351" s="25"/>
      <c r="L12351" s="25"/>
      <c r="M12351" s="25"/>
      <c r="N12351" s="25"/>
      <c r="O12351" s="25"/>
    </row>
    <row r="12352" customFormat="false" ht="36.75" hidden="false" customHeight="true" outlineLevel="0" collapsed="false">
      <c r="B12352" s="37" t="str">
        <f aca="false">SUBSTITUTE(SUBSTITUTE(SUBSTITUTE(SUBSTITUTE(SUBSTITUTE(Txt_P1,"{cabinet}",Cab_Nom),"{societe}",IF($K$12331=0,"",INDEX(Clients!$E$2:$E$501,$K$12331)&amp;"")),"{date_effet}",$K$12333),"{hausse}",$K$12334),"{civilite}",$K$12332)</f>
        <v>Nous tenons tout d'abord à vous remercier pour la confiance que vous accordez à ALTHO EXPERTISE. Comme chaque année, et conformément aux dispositions de votre lettre de mission, nous procédons à la révision de nos honoraires.</v>
      </c>
      <c r="C12352" s="37"/>
      <c r="D12352" s="37"/>
      <c r="E12352" s="37"/>
      <c r="F12352" s="37"/>
      <c r="J12352" s="25"/>
      <c r="K12352" s="25"/>
      <c r="L12352" s="25"/>
      <c r="M12352" s="25"/>
      <c r="N12352" s="25"/>
      <c r="O12352" s="25"/>
    </row>
    <row r="12353" customFormat="false" ht="49.5" hidden="false" customHeight="true" outlineLevel="0" collapsed="false">
      <c r="B12353" s="37" t="str">
        <f aca="false">SUBSTITUTE(SUBSTITUTE(SUBSTITUTE(SUBSTITUTE(SUBSTITUTE(Txt_P2,"{cabinet}",Cab_Nom),"{societe}",IF($K$12331=0,"",INDEX(Clients!$E$2:$E$501,$K$12331)&amp;"")),"{date_effet}",$K$12333),"{hausse}",$K$12334),"{civilite}",$K$12332)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353" s="37"/>
      <c r="D12353" s="37"/>
      <c r="E12353" s="37"/>
      <c r="F12353" s="37"/>
      <c r="J12353" s="25"/>
      <c r="K12353" s="25"/>
      <c r="L12353" s="25"/>
      <c r="M12353" s="25"/>
      <c r="N12353" s="25"/>
      <c r="O12353" s="25"/>
    </row>
    <row r="12354" customFormat="false" ht="63" hidden="false" customHeight="true" outlineLevel="0" collapsed="false">
      <c r="B12354" s="37" t="str">
        <f aca="false">SUBSTITUTE(SUBSTITUTE(SUBSTITUTE(SUBSTITUTE(SUBSTITUTE(Txt_P3,"{cabinet}",Cab_Nom),"{societe}",IF($K$12331=0,"",INDEX(Clients!$E$2:$E$501,$K$12331)&amp;"")),"{date_effet}",$K$12333),"{hausse}",$K$12334),"{civilite}",$K$12332)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354" s="37"/>
      <c r="D12354" s="37"/>
      <c r="E12354" s="37"/>
      <c r="F12354" s="37"/>
      <c r="J12354" s="25"/>
      <c r="K12354" s="25"/>
      <c r="L12354" s="25"/>
      <c r="M12354" s="25"/>
      <c r="N12354" s="25"/>
      <c r="O12354" s="25"/>
    </row>
    <row r="12355" customFormat="false" ht="24" hidden="false" customHeight="true" outlineLevel="0" collapsed="false">
      <c r="B12355" s="37" t="str">
        <f aca="false">SUBSTITUTE(SUBSTITUTE(SUBSTITUTE(SUBSTITUTE(SUBSTITUTE(Txt_P4,"{cabinet}",Cab_Nom),"{societe}",IF($K$12331=0,"",INDEX(Clients!$E$2:$E$501,$K$12331)&amp;"")),"{date_effet}",$K$12333),"{hausse}",$K$12334),"{civilite}",$K$12332)</f>
        <v>À compter du 1er janvier 2027, vos honoraires annuels hors taxes évolueront ainsi (évolution globale : ) :</v>
      </c>
      <c r="C12355" s="37"/>
      <c r="D12355" s="37"/>
      <c r="E12355" s="37"/>
      <c r="F12355" s="37"/>
      <c r="J12355" s="25"/>
      <c r="K12355" s="25"/>
      <c r="L12355" s="25"/>
      <c r="M12355" s="25"/>
      <c r="N12355" s="25"/>
      <c r="O12355" s="25"/>
    </row>
    <row r="12356" customFormat="false" ht="3.75" hidden="false" customHeight="true" outlineLevel="0" collapsed="false">
      <c r="B12356" s="10"/>
      <c r="C12356" s="10"/>
      <c r="D12356" s="10"/>
      <c r="E12356" s="10"/>
      <c r="F12356" s="10"/>
      <c r="J12356" s="25"/>
      <c r="K12356" s="25"/>
      <c r="L12356" s="25"/>
      <c r="M12356" s="25"/>
      <c r="N12356" s="25"/>
      <c r="O12356" s="25"/>
    </row>
    <row r="12357" customFormat="false" ht="18" hidden="false" customHeight="true" outlineLevel="0" collapsed="false">
      <c r="B12357" s="38" t="s">
        <v>148</v>
      </c>
      <c r="C12357" s="39" t="s">
        <v>149</v>
      </c>
      <c r="D12357" s="39" t="s">
        <v>150</v>
      </c>
      <c r="E12357" s="39" t="s">
        <v>151</v>
      </c>
      <c r="F12357" s="39" t="s">
        <v>109</v>
      </c>
      <c r="J12357" s="25" t="s">
        <v>152</v>
      </c>
      <c r="K12357" s="25" t="s">
        <v>153</v>
      </c>
      <c r="L12357" s="25" t="s">
        <v>154</v>
      </c>
      <c r="M12357" s="25" t="s">
        <v>155</v>
      </c>
      <c r="N12357" s="25" t="s">
        <v>156</v>
      </c>
      <c r="O12357" s="25" t="s">
        <v>157</v>
      </c>
    </row>
    <row r="12358" customFormat="false" ht="16.5" hidden="false" customHeight="true" outlineLevel="0" collapsed="false">
      <c r="B12358" s="40" t="str">
        <f aca="false">IFERROR(INDEX($J$12358:$J$12361,MATCH($O12358,$N$12358:$N$12361,0)),"")</f>
        <v/>
      </c>
      <c r="C12358" s="41" t="str">
        <f aca="false">IFERROR(INDEX($K$12358:$K$12361,MATCH($O12358,$N$12358:$N$12361,0)),"")</f>
        <v/>
      </c>
      <c r="D12358" s="42" t="str">
        <f aca="false">IF(OR(E12358="",N(C12358)=0),"",E12358/C12358-1)</f>
        <v/>
      </c>
      <c r="E12358" s="41" t="str">
        <f aca="false">IFERROR(INDEX($L$12358:$L$12361,MATCH($O12358,$N$12358:$N$12361,0)),"")</f>
        <v/>
      </c>
      <c r="F12358" s="41" t="str">
        <f aca="false">IF(E12358="","",E12358-C12358)</f>
        <v/>
      </c>
      <c r="J12358" s="25" t="str">
        <f aca="false">Lib_Compta</f>
        <v>Mission comptable (tenue, révision, bilan, liasse fiscale)</v>
      </c>
      <c r="K12358" s="25" t="n">
        <f aca="false">IF($K$12331=0,0,N(INDEX(Clients!$K$2:$K$501,$K$12331)))</f>
        <v>0</v>
      </c>
      <c r="L12358" s="25" t="n">
        <f aca="false">IF($K$12331=0,0,N(INDEX(Clients!$P$2:$P$501,$K$12331)))</f>
        <v>0</v>
      </c>
      <c r="M12358" s="25" t="n">
        <f aca="false">IF(OR(K12358&lt;&gt;0,L12358&lt;&gt;0),1,0)</f>
        <v>0</v>
      </c>
      <c r="N12358" s="25" t="str">
        <f aca="false">IF(M12358=1,SUM($M$12358:M12358),"")</f>
        <v/>
      </c>
      <c r="O12358" s="25" t="n">
        <v>1</v>
      </c>
    </row>
    <row r="12359" customFormat="false" ht="16.5" hidden="false" customHeight="true" outlineLevel="0" collapsed="false">
      <c r="B12359" s="40" t="str">
        <f aca="false">IFERROR(INDEX($J$12358:$J$12361,MATCH($O12359,$N$12358:$N$12361,0)),"")</f>
        <v/>
      </c>
      <c r="C12359" s="41" t="str">
        <f aca="false">IFERROR(INDEX($K$12358:$K$12361,MATCH($O12359,$N$12358:$N$12361,0)),"")</f>
        <v/>
      </c>
      <c r="D12359" s="42" t="str">
        <f aca="false">IF(OR(E12359="",N(C12359)=0),"",E12359/C12359-1)</f>
        <v/>
      </c>
      <c r="E12359" s="41" t="str">
        <f aca="false">IFERROR(INDEX($L$12358:$L$12361,MATCH($O12359,$N$12358:$N$12361,0)),"")</f>
        <v/>
      </c>
      <c r="F12359" s="41" t="str">
        <f aca="false">IF(E12359="","",E12359-C12359)</f>
        <v/>
      </c>
      <c r="J12359" s="25" t="str">
        <f aca="false">Lib_Paye</f>
        <v>Mission sociale (bulletins de paie, DSN, déclarations sociales)</v>
      </c>
      <c r="K12359" s="25" t="n">
        <f aca="false">IF($K$12331=0,0,N(INDEX(Clients!$L$2:$L$501,$K$12331)))</f>
        <v>0</v>
      </c>
      <c r="L12359" s="25" t="n">
        <f aca="false">IF($K$12331=0,0,N(INDEX(Clients!$Q$2:$Q$501,$K$12331)))</f>
        <v>0</v>
      </c>
      <c r="M12359" s="25" t="n">
        <f aca="false">IF(OR(K12359&lt;&gt;0,L12359&lt;&gt;0),1,0)</f>
        <v>0</v>
      </c>
      <c r="N12359" s="25" t="str">
        <f aca="false">IF(M12359=1,SUM($M$12358:M12359),"")</f>
        <v/>
      </c>
      <c r="O12359" s="25" t="n">
        <v>2</v>
      </c>
    </row>
    <row r="12360" customFormat="false" ht="16.5" hidden="false" customHeight="true" outlineLevel="0" collapsed="false">
      <c r="B12360" s="40" t="str">
        <f aca="false">IFERROR(INDEX($J$12358:$J$12361,MATCH($O12360,$N$12358:$N$12361,0)),"")</f>
        <v/>
      </c>
      <c r="C12360" s="41" t="str">
        <f aca="false">IFERROR(INDEX($K$12358:$K$12361,MATCH($O12360,$N$12358:$N$12361,0)),"")</f>
        <v/>
      </c>
      <c r="D12360" s="42" t="str">
        <f aca="false">IF(OR(E12360="",N(C12360)=0),"",E12360/C12360-1)</f>
        <v/>
      </c>
      <c r="E12360" s="41" t="str">
        <f aca="false">IFERROR(INDEX($L$12358:$L$12361,MATCH($O12360,$N$12358:$N$12361,0)),"")</f>
        <v/>
      </c>
      <c r="F12360" s="41" t="str">
        <f aca="false">IF(E12360="","",E12360-C12360)</f>
        <v/>
      </c>
      <c r="J12360" s="25" t="str">
        <f aca="false">Lib_Jur</f>
        <v>Mission juridique (approbation des comptes, secrétariat juridique)</v>
      </c>
      <c r="K12360" s="25" t="n">
        <f aca="false">IF($K$12331=0,0,N(INDEX(Clients!$M$2:$M$501,$K$12331)))</f>
        <v>0</v>
      </c>
      <c r="L12360" s="25" t="n">
        <f aca="false">IF($K$12331=0,0,N(INDEX(Clients!$R$2:$R$501,$K$12331)))</f>
        <v>0</v>
      </c>
      <c r="M12360" s="25" t="n">
        <f aca="false">IF(OR(K12360&lt;&gt;0,L12360&lt;&gt;0),1,0)</f>
        <v>0</v>
      </c>
      <c r="N12360" s="25" t="str">
        <f aca="false">IF(M12360=1,SUM($M$12358:M12360),"")</f>
        <v/>
      </c>
      <c r="O12360" s="25" t="n">
        <v>3</v>
      </c>
    </row>
    <row r="12361" customFormat="false" ht="16.5" hidden="false" customHeight="true" outlineLevel="0" collapsed="false">
      <c r="B12361" s="40" t="str">
        <f aca="false">IFERROR(INDEX($J$12358:$J$12361,MATCH($O12361,$N$12358:$N$12361,0)),"")</f>
        <v/>
      </c>
      <c r="C12361" s="41" t="str">
        <f aca="false">IFERROR(INDEX($K$12358:$K$12361,MATCH($O12361,$N$12358:$N$12361,0)),"")</f>
        <v/>
      </c>
      <c r="D12361" s="42" t="str">
        <f aca="false">IF(OR(E12361="",N(C12361)=0),"",E12361/C12361-1)</f>
        <v/>
      </c>
      <c r="E12361" s="41" t="str">
        <f aca="false">IFERROR(INDEX($L$12358:$L$12361,MATCH($O12361,$N$12358:$N$12361,0)),"")</f>
        <v/>
      </c>
      <c r="F12361" s="41" t="str">
        <f aca="false">IF(E12361="","",E12361-C12361)</f>
        <v/>
      </c>
      <c r="J12361" s="25" t="str">
        <f aca="false">Lib_PA</f>
        <v>Plateforme agréée – facturation électronique</v>
      </c>
      <c r="K12361" s="25" t="n">
        <f aca="false">IF($K$12331=0,0,N(INDEX(Clients!$N$2:$N$501,$K$12331)))</f>
        <v>0</v>
      </c>
      <c r="L12361" s="25" t="n">
        <f aca="false">IF($K$12331=0,0,N(INDEX(Clients!$S$2:$S$501,$K$12331)))</f>
        <v>0</v>
      </c>
      <c r="M12361" s="25" t="n">
        <f aca="false">IF(OR(K12361&lt;&gt;0,L12361&lt;&gt;0),1,0)</f>
        <v>0</v>
      </c>
      <c r="N12361" s="25" t="str">
        <f aca="false">IF(M12361=1,SUM($M$12358:M12361),"")</f>
        <v/>
      </c>
      <c r="O12361" s="25" t="n">
        <v>4</v>
      </c>
    </row>
    <row r="12362" customFormat="false" ht="18" hidden="false" customHeight="true" outlineLevel="0" collapsed="false">
      <c r="B12362" s="43" t="s">
        <v>158</v>
      </c>
      <c r="C12362" s="44" t="n">
        <f aca="false">SUM(K12358:K12361)</f>
        <v>0</v>
      </c>
      <c r="D12362" s="45" t="str">
        <f aca="false">IF(N(C12362)=0,"",E12362/C12362-1)</f>
        <v/>
      </c>
      <c r="E12362" s="44" t="n">
        <f aca="false">SUM(L12358:L12361)</f>
        <v>0</v>
      </c>
      <c r="F12362" s="44" t="n">
        <f aca="false">E12362-C12362</f>
        <v>0</v>
      </c>
    </row>
    <row r="12363" customFormat="false" ht="15" hidden="false" customHeight="false" outlineLevel="0" collapsed="false">
      <c r="B12363" s="46" t="str">
        <f aca="false">IF(N(Nb_Mensualites)=0,"","Soit "&amp;FIXED(E12362/Nb_Mensualites,2)&amp;" € HT par échéance ("&amp;Nb_Mensualites&amp;" échéances), "&amp;FIXED(E12362/Nb_Mensualites*(1+Taux_TVA),2)&amp;" € TTC.")</f>
        <v>Soit 0.00 € HT par échéance (12 échéances), 0.00 € TTC.</v>
      </c>
      <c r="C12363" s="46"/>
      <c r="D12363" s="46"/>
      <c r="E12363" s="46"/>
      <c r="F12363" s="46"/>
    </row>
    <row r="12364" customFormat="false" ht="7.5" hidden="false" customHeight="true" outlineLevel="0" collapsed="false">
      <c r="B12364" s="10"/>
      <c r="C12364" s="10"/>
      <c r="D12364" s="10"/>
      <c r="E12364" s="10"/>
      <c r="F12364" s="10"/>
    </row>
    <row r="12365" customFormat="false" ht="36.75" hidden="false" customHeight="true" outlineLevel="0" collapsed="false">
      <c r="B12365" s="37" t="str">
        <f aca="false">SUBSTITUTE(SUBSTITUTE(SUBSTITUTE(SUBSTITUTE(SUBSTITUTE(Txt_P5,"{cabinet}",Cab_Nom),"{societe}",IF($K$12331=0,"",INDEX(Clients!$E$2:$E$501,$K$12331)&amp;"")),"{date_effet}",$K$12333),"{hausse}",$K$12334),"{civilite}",$K$12332)</f>
        <v>Les autres conditions de votre lettre de mission demeurent inchangées. Les nouveaux montants seront appliqués automatiquement sur vos prochaines factures et échéances de prélèvement.</v>
      </c>
      <c r="C12365" s="37"/>
      <c r="D12365" s="37"/>
      <c r="E12365" s="37"/>
      <c r="F12365" s="37"/>
    </row>
    <row r="12366" customFormat="false" ht="36.75" hidden="false" customHeight="true" outlineLevel="0" collapsed="false">
      <c r="B12366" s="37" t="str">
        <f aca="false">SUBSTITUTE(SUBSTITUTE(SUBSTITUTE(SUBSTITUTE(SUBSTITUTE(Txt_P6,"{cabinet}",Cab_Nom),"{societe}",IF($K$12331=0,"",INDEX(Clients!$E$2:$E$501,$K$12331)&amp;"")),"{date_effet}",$K$12333),"{hausse}",$K$12334),"{civilite}",$K$12332)</f>
        <v>Votre interlocuteur habituel reste à votre entière disposition pour répondre à vos questions et faire le point sur l'évolution de vos besoins.</v>
      </c>
      <c r="C12366" s="37"/>
      <c r="D12366" s="37"/>
      <c r="E12366" s="37"/>
      <c r="F12366" s="37"/>
    </row>
    <row r="12367" customFormat="false" ht="24" hidden="false" customHeight="true" outlineLevel="0" collapsed="false">
      <c r="B12367" s="37" t="str">
        <f aca="false">SUBSTITUTE(SUBSTITUTE(SUBSTITUTE(SUBSTITUTE(SUBSTITUTE(Txt_Politesse,"{cabinet}",Cab_Nom),"{societe}",IF($K$12331=0,"",INDEX(Clients!$E$2:$E$501,$K$12331)&amp;"")),"{date_effet}",$K$12333),"{hausse}",$K$12334),"{civilite}",$K$12332)</f>
        <v>Nous vous prions d'agréer, Madame, Monsieur, l'expression de nos salutations distinguées.</v>
      </c>
      <c r="C12367" s="37"/>
      <c r="D12367" s="37"/>
      <c r="E12367" s="37"/>
      <c r="F12367" s="37"/>
    </row>
    <row r="12368" customFormat="false" ht="15" hidden="false" customHeight="false" outlineLevel="0" collapsed="false">
      <c r="B12368" s="10"/>
      <c r="C12368" s="10"/>
      <c r="D12368" s="10"/>
      <c r="E12368" s="10"/>
      <c r="F12368" s="10"/>
    </row>
    <row r="12369" customFormat="false" ht="15" hidden="false" customHeight="false" outlineLevel="0" collapsed="false">
      <c r="B12369" s="10"/>
      <c r="C12369" s="10"/>
      <c r="D12369" s="34" t="str">
        <f aca="false">Signataire</f>
        <v>Prénom NOM</v>
      </c>
      <c r="E12369" s="34"/>
      <c r="F12369" s="34"/>
    </row>
    <row r="12370" customFormat="false" ht="15" hidden="false" customHeight="false" outlineLevel="0" collapsed="false">
      <c r="B12370" s="10"/>
      <c r="C12370" s="10"/>
      <c r="D12370" s="47" t="str">
        <f aca="false">Signataire_Titre</f>
        <v>Expert-comptable associé</v>
      </c>
      <c r="E12370" s="47"/>
      <c r="F12370" s="47"/>
    </row>
    <row r="12371" customFormat="false" ht="15.75" hidden="false" customHeight="true" outlineLevel="0" collapsed="false">
      <c r="B12371" s="10"/>
      <c r="C12371" s="10"/>
      <c r="D12371" s="10"/>
      <c r="E12371" s="10"/>
      <c r="F12371" s="10"/>
    </row>
    <row r="12372" customFormat="false" ht="15.75" hidden="false" customHeight="true" outlineLevel="0" collapsed="false">
      <c r="B12372" s="10"/>
      <c r="C12372" s="10"/>
      <c r="D12372" s="10"/>
      <c r="E12372" s="10"/>
      <c r="F12372" s="10"/>
    </row>
    <row r="12373" customFormat="false" ht="15.75" hidden="false" customHeight="true" outlineLevel="0" collapsed="false">
      <c r="B12373" s="10"/>
      <c r="C12373" s="10"/>
      <c r="D12373" s="10"/>
      <c r="E12373" s="10"/>
      <c r="F12373" s="10"/>
    </row>
    <row r="12374" customFormat="false" ht="15.75" hidden="false" customHeight="true" outlineLevel="0" collapsed="false">
      <c r="B12374" s="10"/>
      <c r="C12374" s="10"/>
      <c r="D12374" s="10"/>
      <c r="E12374" s="10"/>
      <c r="F12374" s="10"/>
    </row>
    <row r="12375" customFormat="false" ht="24" hidden="false" customHeight="true" outlineLevel="0" collapsed="false">
      <c r="B12375" s="48" t="str">
        <f aca="false">Cab_Mentions</f>
        <v>ALTHO EXPERTISE · SAS au capital de 10 000 € · RCS Pontoise 919 706 325 · TVA FR62919706325 · Société d'expertise comptable inscrite au Tableau de l'Ordre des experts-comptables de Paris Île-de-France</v>
      </c>
      <c r="C12375" s="48"/>
      <c r="D12375" s="48"/>
      <c r="E12375" s="48"/>
      <c r="F12375" s="48"/>
    </row>
    <row r="12376" customFormat="false" ht="15" hidden="false" customHeight="false" outlineLevel="0" collapsed="false">
      <c r="B12376" s="10"/>
      <c r="C12376" s="10"/>
      <c r="D12376" s="10"/>
      <c r="E12376" s="10"/>
      <c r="F12376" s="10"/>
      <c r="J12376" s="25" t="s">
        <v>142</v>
      </c>
      <c r="K12376" s="25" t="n">
        <f aca="false">IFERROR(MATCH(276,Clients!$Z$2:$Z$501,0),0)</f>
        <v>0</v>
      </c>
      <c r="L12376" s="25"/>
      <c r="M12376" s="25"/>
      <c r="N12376" s="25"/>
      <c r="O12376" s="25"/>
    </row>
    <row r="12377" customFormat="false" ht="21.75" hidden="false" customHeight="true" outlineLevel="0" collapsed="false">
      <c r="B12377" s="26" t="str">
        <f aca="false">Cab_Nom</f>
        <v>ALTHO EXPERTISE</v>
      </c>
      <c r="C12377" s="26"/>
      <c r="D12377" s="10"/>
      <c r="E12377" s="27" t="str">
        <f aca="false">IF($K$12376=0,"","Réf. client : "&amp;INDEX(Clients!$A$2:$A$501,$K$12376))</f>
        <v/>
      </c>
      <c r="F12377" s="27"/>
      <c r="J12377" s="25" t="s">
        <v>144</v>
      </c>
      <c r="K12377" s="25" t="str">
        <f aca="false">IF(IF($K$12376=0,"",INDEX(Clients!$B$2:$B$501,$K$12376)&amp;"")="Mme","Madame",IF(IF($K$12376=0,"",INDEX(Clients!$B$2:$B$501,$K$12376)&amp;"")="M.","Monsieur","Madame, Monsieur"))</f>
        <v>Madame, Monsieur</v>
      </c>
      <c r="L12377" s="25"/>
      <c r="M12377" s="25"/>
      <c r="N12377" s="25"/>
      <c r="O12377" s="25"/>
    </row>
    <row r="12378" customFormat="false" ht="15" hidden="false" customHeight="false" outlineLevel="0" collapsed="false">
      <c r="B12378" s="29" t="str">
        <f aca="false">Cab_Adr1</f>
        <v>141 rue Charles de Gaulle</v>
      </c>
      <c r="C12378" s="29"/>
      <c r="D12378" s="10"/>
      <c r="E12378" s="10"/>
      <c r="F12378" s="10"/>
      <c r="J12378" s="25" t="s">
        <v>145</v>
      </c>
      <c r="K12378" s="25" t="str">
        <f aca="false">DAY(Date_Effet)&amp;IF(DAY(Date_Effet)=1,"er","")&amp;" "&amp;INDEX(Liste_Mois,MONTH(Date_Effet))&amp;" "&amp;YEAR(Date_Effet)</f>
        <v>1er janvier 2027</v>
      </c>
      <c r="L12378" s="25"/>
      <c r="M12378" s="25"/>
      <c r="N12378" s="25"/>
      <c r="O12378" s="25"/>
    </row>
    <row r="12379" customFormat="false" ht="15" hidden="false" customHeight="false" outlineLevel="0" collapsed="false">
      <c r="B12379" s="29" t="str">
        <f aca="false">Cab_CPVille</f>
        <v>95130 LE PLESSIS-BOUCHARD</v>
      </c>
      <c r="C12379" s="29"/>
      <c r="D12379" s="10"/>
      <c r="E12379" s="10"/>
      <c r="F12379" s="10"/>
      <c r="J12379" s="25" t="s">
        <v>146</v>
      </c>
      <c r="K12379" s="25" t="str">
        <f aca="false">IF(SUM($K$12403:$K$12406)=0,"",FIXED((SUM($L$12403:$L$12406)/SUM($K$12403:$K$12406)-1)*100,1)&amp;" %")</f>
        <v/>
      </c>
      <c r="L12379" s="25"/>
      <c r="M12379" s="25"/>
      <c r="N12379" s="25"/>
      <c r="O12379" s="25"/>
    </row>
    <row r="12380" customFormat="false" ht="15" hidden="false" customHeight="false" outlineLevel="0" collapsed="false">
      <c r="B12380" s="29" t="str">
        <f aca="false">Cab_Contact</f>
        <v>Tél. 01 34 14 53 45  ·  altho@altho-experts.com  ·  altho-experts.com</v>
      </c>
      <c r="C12380" s="29"/>
      <c r="D12380" s="10"/>
      <c r="E12380" s="10"/>
      <c r="F12380" s="10"/>
      <c r="J12380" s="25"/>
      <c r="K12380" s="25"/>
      <c r="L12380" s="25"/>
      <c r="M12380" s="25"/>
      <c r="N12380" s="25"/>
      <c r="O12380" s="25"/>
    </row>
    <row r="12381" customFormat="false" ht="6" hidden="false" customHeight="true" outlineLevel="0" collapsed="false">
      <c r="B12381" s="32"/>
      <c r="C12381" s="32"/>
      <c r="D12381" s="32"/>
      <c r="E12381" s="32"/>
      <c r="F12381" s="32"/>
      <c r="J12381" s="25"/>
      <c r="K12381" s="25"/>
      <c r="L12381" s="25"/>
      <c r="M12381" s="25"/>
      <c r="N12381" s="25"/>
      <c r="O12381" s="25"/>
    </row>
    <row r="12382" customFormat="false" ht="13.5" hidden="false" customHeight="true" outlineLevel="0" collapsed="false">
      <c r="B12382" s="10"/>
      <c r="C12382" s="10"/>
      <c r="D12382" s="10"/>
      <c r="E12382" s="10"/>
      <c r="F12382" s="10"/>
      <c r="J12382" s="25"/>
      <c r="K12382" s="25"/>
      <c r="L12382" s="25"/>
      <c r="M12382" s="25"/>
      <c r="N12382" s="25"/>
      <c r="O12382" s="25"/>
    </row>
    <row r="12383" customFormat="false" ht="13.5" hidden="false" customHeight="true" outlineLevel="0" collapsed="false">
      <c r="B12383" s="10"/>
      <c r="C12383" s="10"/>
      <c r="D12383" s="10"/>
      <c r="E12383" s="10"/>
      <c r="F12383" s="10"/>
      <c r="J12383" s="25"/>
      <c r="K12383" s="25"/>
      <c r="L12383" s="25"/>
      <c r="M12383" s="25"/>
      <c r="N12383" s="25"/>
      <c r="O12383" s="25"/>
    </row>
    <row r="12384" customFormat="false" ht="13.5" hidden="false" customHeight="true" outlineLevel="0" collapsed="false">
      <c r="B12384" s="10"/>
      <c r="C12384" s="10"/>
      <c r="D12384" s="10"/>
      <c r="E12384" s="10"/>
      <c r="F12384" s="10"/>
      <c r="J12384" s="25"/>
      <c r="K12384" s="25"/>
      <c r="L12384" s="25"/>
      <c r="M12384" s="25"/>
      <c r="N12384" s="25"/>
      <c r="O12384" s="25"/>
    </row>
    <row r="12385" customFormat="false" ht="15" hidden="false" customHeight="true" outlineLevel="0" collapsed="false">
      <c r="B12385" s="10"/>
      <c r="C12385" s="10"/>
      <c r="D12385" s="34" t="str">
        <f aca="false">IF($K$12376=0,"",INDEX(Clients!$E$2:$E$501,$K$12376)&amp;"")</f>
        <v/>
      </c>
      <c r="E12385" s="34"/>
      <c r="F12385" s="34"/>
      <c r="J12385" s="25"/>
      <c r="K12385" s="25"/>
      <c r="L12385" s="25"/>
      <c r="M12385" s="25"/>
      <c r="N12385" s="25"/>
      <c r="O12385" s="25"/>
    </row>
    <row r="12386" customFormat="false" ht="15" hidden="false" customHeight="true" outlineLevel="0" collapsed="false">
      <c r="B12386" s="10"/>
      <c r="C12386" s="10"/>
      <c r="D12386" s="35" t="str">
        <f aca="false">IF(IF($K$12376=0,"",INDEX(Clients!$D$2:$D$501,$K$12376)&amp;"")="","","À l'attention de "&amp;TRIM(IF($K$12376=0,"",INDEX(Clients!$B$2:$B$501,$K$12376)&amp;"")&amp;" "&amp;IF($K$12376=0,"",INDEX(Clients!$C$2:$C$501,$K$12376)&amp;"")&amp;" "&amp;IF($K$12376=0,"",INDEX(Clients!$D$2:$D$501,$K$12376)&amp;"")))</f>
        <v/>
      </c>
      <c r="E12386" s="35"/>
      <c r="F12386" s="35"/>
      <c r="J12386" s="25"/>
      <c r="K12386" s="25"/>
      <c r="L12386" s="25"/>
      <c r="M12386" s="25"/>
      <c r="N12386" s="25"/>
      <c r="O12386" s="25"/>
    </row>
    <row r="12387" customFormat="false" ht="15" hidden="false" customHeight="true" outlineLevel="0" collapsed="false">
      <c r="B12387" s="10"/>
      <c r="C12387" s="10"/>
      <c r="D12387" s="35" t="str">
        <f aca="false">IF($K$12376=0,"",INDEX(Clients!$F$2:$F$501,$K$12376)&amp;"")</f>
        <v/>
      </c>
      <c r="E12387" s="35"/>
      <c r="F12387" s="35"/>
      <c r="J12387" s="25"/>
      <c r="K12387" s="25"/>
      <c r="L12387" s="25"/>
      <c r="M12387" s="25"/>
      <c r="N12387" s="25"/>
      <c r="O12387" s="25"/>
    </row>
    <row r="12388" customFormat="false" ht="15" hidden="false" customHeight="true" outlineLevel="0" collapsed="false">
      <c r="B12388" s="10"/>
      <c r="C12388" s="10"/>
      <c r="D12388" s="35" t="str">
        <f aca="false">IF(IF($K$12376=0,"",INDEX(Clients!$G$2:$G$501,$K$12376)&amp;"")="",TRIM(IF($K$12376=0,"",INDEX(Clients!$H$2:$H$501,$K$12376)&amp;"")&amp;" "&amp;UPPER(IF($K$12376=0,"",INDEX(Clients!$I$2:$I$501,$K$12376)&amp;""))),IF($K$12376=0,"",INDEX(Clients!$G$2:$G$501,$K$12376)&amp;""))</f>
        <v/>
      </c>
      <c r="E12388" s="35"/>
      <c r="F12388" s="35"/>
      <c r="J12388" s="25"/>
      <c r="K12388" s="25"/>
      <c r="L12388" s="25"/>
      <c r="M12388" s="25"/>
      <c r="N12388" s="25"/>
      <c r="O12388" s="25"/>
    </row>
    <row r="12389" customFormat="false" ht="15" hidden="false" customHeight="true" outlineLevel="0" collapsed="false">
      <c r="B12389" s="10"/>
      <c r="C12389" s="10"/>
      <c r="D12389" s="35" t="str">
        <f aca="false">IF(IF($K$12376=0,"",INDEX(Clients!$G$2:$G$501,$K$12376)&amp;"")="","",TRIM(IF($K$12376=0,"",INDEX(Clients!$H$2:$H$501,$K$12376)&amp;"")&amp;" "&amp;UPPER(IF($K$12376=0,"",INDEX(Clients!$I$2:$I$501,$K$12376)&amp;""))))</f>
        <v/>
      </c>
      <c r="E12389" s="35"/>
      <c r="F12389" s="35"/>
      <c r="J12389" s="25"/>
      <c r="K12389" s="25"/>
      <c r="L12389" s="25"/>
      <c r="M12389" s="25"/>
      <c r="N12389" s="25"/>
      <c r="O12389" s="25"/>
    </row>
    <row r="12390" customFormat="false" ht="25.5" hidden="false" customHeight="true" outlineLevel="0" collapsed="false">
      <c r="B12390" s="10"/>
      <c r="C12390" s="10"/>
      <c r="D12390" s="10"/>
      <c r="E12390" s="10"/>
      <c r="F12390" s="10"/>
      <c r="J12390" s="25"/>
      <c r="K12390" s="25"/>
      <c r="L12390" s="25"/>
      <c r="M12390" s="25"/>
      <c r="N12390" s="25"/>
      <c r="O12390" s="25"/>
    </row>
    <row r="12391" customFormat="false" ht="15" hidden="false" customHeight="false" outlineLevel="0" collapsed="false">
      <c r="B12391" s="10"/>
      <c r="C12391" s="10"/>
      <c r="D12391" s="36" t="str">
        <f aca="false">Cab_Ville&amp;", le "&amp;DAY(Date_Courrier)&amp;IF(DAY(Date_Courrier)=1,"er","")&amp;" "&amp;INDEX(Liste_Mois,MONTH(Date_Courrier))&amp;" "&amp;YEAR(Date_Courrier)</f>
        <v>Le Plessis-Bouchard, le 22 septembre 2026</v>
      </c>
      <c r="E12391" s="36"/>
      <c r="F12391" s="36"/>
      <c r="J12391" s="25"/>
      <c r="K12391" s="25"/>
      <c r="L12391" s="25"/>
      <c r="M12391" s="25"/>
      <c r="N12391" s="25"/>
      <c r="O12391" s="25"/>
    </row>
    <row r="12392" customFormat="false" ht="19.5" hidden="false" customHeight="true" outlineLevel="0" collapsed="false">
      <c r="B12392" s="10"/>
      <c r="C12392" s="10"/>
      <c r="D12392" s="10"/>
      <c r="E12392" s="10"/>
      <c r="F12392" s="10"/>
      <c r="J12392" s="25"/>
      <c r="K12392" s="25"/>
      <c r="L12392" s="25"/>
      <c r="M12392" s="25"/>
      <c r="N12392" s="25"/>
      <c r="O12392" s="25"/>
    </row>
    <row r="12393" customFormat="false" ht="15" hidden="false" customHeight="false" outlineLevel="0" collapsed="false">
      <c r="B12393" s="34" t="str">
        <f aca="false">SUBSTITUTE(SUBSTITUTE(SUBSTITUTE(SUBSTITUTE(SUBSTITUTE(Txt_Objet,"{cabinet}",Cab_Nom),"{societe}",IF($K$12376=0,"",INDEX(Clients!$E$2:$E$501,$K$12376)&amp;"")),"{date_effet}",$K$12378),"{hausse}",$K$12379),"{civilite}",$K$12377)</f>
        <v>Objet : révision de nos honoraires au 1er janvier 2027</v>
      </c>
      <c r="C12393" s="34"/>
      <c r="D12393" s="34"/>
      <c r="E12393" s="34"/>
      <c r="F12393" s="34"/>
      <c r="J12393" s="25"/>
      <c r="K12393" s="25"/>
      <c r="L12393" s="25"/>
      <c r="M12393" s="25"/>
      <c r="N12393" s="25"/>
      <c r="O12393" s="25"/>
    </row>
    <row r="12394" customFormat="false" ht="13.5" hidden="false" customHeight="true" outlineLevel="0" collapsed="false">
      <c r="B12394" s="10"/>
      <c r="C12394" s="10"/>
      <c r="D12394" s="10"/>
      <c r="E12394" s="10"/>
      <c r="F12394" s="10"/>
      <c r="J12394" s="25"/>
      <c r="K12394" s="25"/>
      <c r="L12394" s="25"/>
      <c r="M12394" s="25"/>
      <c r="N12394" s="25"/>
      <c r="O12394" s="25"/>
    </row>
    <row r="12395" customFormat="false" ht="15" hidden="false" customHeight="false" outlineLevel="0" collapsed="false">
      <c r="B12395" s="10" t="str">
        <f aca="false">$K$12377&amp;","</f>
        <v>Madame, Monsieur,</v>
      </c>
      <c r="C12395" s="10"/>
      <c r="D12395" s="10"/>
      <c r="E12395" s="10"/>
      <c r="F12395" s="10"/>
      <c r="J12395" s="25"/>
      <c r="K12395" s="25"/>
      <c r="L12395" s="25"/>
      <c r="M12395" s="25"/>
      <c r="N12395" s="25"/>
      <c r="O12395" s="25"/>
    </row>
    <row r="12396" customFormat="false" ht="6" hidden="false" customHeight="true" outlineLevel="0" collapsed="false">
      <c r="B12396" s="10"/>
      <c r="C12396" s="10"/>
      <c r="D12396" s="10"/>
      <c r="E12396" s="10"/>
      <c r="F12396" s="10"/>
      <c r="J12396" s="25"/>
      <c r="K12396" s="25"/>
      <c r="L12396" s="25"/>
      <c r="M12396" s="25"/>
      <c r="N12396" s="25"/>
      <c r="O12396" s="25"/>
    </row>
    <row r="12397" customFormat="false" ht="36.75" hidden="false" customHeight="true" outlineLevel="0" collapsed="false">
      <c r="B12397" s="37" t="str">
        <f aca="false">SUBSTITUTE(SUBSTITUTE(SUBSTITUTE(SUBSTITUTE(SUBSTITUTE(Txt_P1,"{cabinet}",Cab_Nom),"{societe}",IF($K$12376=0,"",INDEX(Clients!$E$2:$E$501,$K$12376)&amp;"")),"{date_effet}",$K$12378),"{hausse}",$K$12379),"{civilite}",$K$12377)</f>
        <v>Nous tenons tout d'abord à vous remercier pour la confiance que vous accordez à ALTHO EXPERTISE. Comme chaque année, et conformément aux dispositions de votre lettre de mission, nous procédons à la révision de nos honoraires.</v>
      </c>
      <c r="C12397" s="37"/>
      <c r="D12397" s="37"/>
      <c r="E12397" s="37"/>
      <c r="F12397" s="37"/>
      <c r="J12397" s="25"/>
      <c r="K12397" s="25"/>
      <c r="L12397" s="25"/>
      <c r="M12397" s="25"/>
      <c r="N12397" s="25"/>
      <c r="O12397" s="25"/>
    </row>
    <row r="12398" customFormat="false" ht="49.5" hidden="false" customHeight="true" outlineLevel="0" collapsed="false">
      <c r="B12398" s="37" t="str">
        <f aca="false">SUBSTITUTE(SUBSTITUTE(SUBSTITUTE(SUBSTITUTE(SUBSTITUTE(Txt_P2,"{cabinet}",Cab_Nom),"{societe}",IF($K$12376=0,"",INDEX(Clients!$E$2:$E$501,$K$12376)&amp;"")),"{date_effet}",$K$12378),"{hausse}",$K$12379),"{civilite}",$K$12377)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398" s="37"/>
      <c r="D12398" s="37"/>
      <c r="E12398" s="37"/>
      <c r="F12398" s="37"/>
      <c r="J12398" s="25"/>
      <c r="K12398" s="25"/>
      <c r="L12398" s="25"/>
      <c r="M12398" s="25"/>
      <c r="N12398" s="25"/>
      <c r="O12398" s="25"/>
    </row>
    <row r="12399" customFormat="false" ht="63" hidden="false" customHeight="true" outlineLevel="0" collapsed="false">
      <c r="B12399" s="37" t="str">
        <f aca="false">SUBSTITUTE(SUBSTITUTE(SUBSTITUTE(SUBSTITUTE(SUBSTITUTE(Txt_P3,"{cabinet}",Cab_Nom),"{societe}",IF($K$12376=0,"",INDEX(Clients!$E$2:$E$501,$K$12376)&amp;"")),"{date_effet}",$K$12378),"{hausse}",$K$12379),"{civilite}",$K$12377)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399" s="37"/>
      <c r="D12399" s="37"/>
      <c r="E12399" s="37"/>
      <c r="F12399" s="37"/>
      <c r="J12399" s="25"/>
      <c r="K12399" s="25"/>
      <c r="L12399" s="25"/>
      <c r="M12399" s="25"/>
      <c r="N12399" s="25"/>
      <c r="O12399" s="25"/>
    </row>
    <row r="12400" customFormat="false" ht="24" hidden="false" customHeight="true" outlineLevel="0" collapsed="false">
      <c r="B12400" s="37" t="str">
        <f aca="false">SUBSTITUTE(SUBSTITUTE(SUBSTITUTE(SUBSTITUTE(SUBSTITUTE(Txt_P4,"{cabinet}",Cab_Nom),"{societe}",IF($K$12376=0,"",INDEX(Clients!$E$2:$E$501,$K$12376)&amp;"")),"{date_effet}",$K$12378),"{hausse}",$K$12379),"{civilite}",$K$12377)</f>
        <v>À compter du 1er janvier 2027, vos honoraires annuels hors taxes évolueront ainsi (évolution globale : ) :</v>
      </c>
      <c r="C12400" s="37"/>
      <c r="D12400" s="37"/>
      <c r="E12400" s="37"/>
      <c r="F12400" s="37"/>
      <c r="J12400" s="25"/>
      <c r="K12400" s="25"/>
      <c r="L12400" s="25"/>
      <c r="M12400" s="25"/>
      <c r="N12400" s="25"/>
      <c r="O12400" s="25"/>
    </row>
    <row r="12401" customFormat="false" ht="3.75" hidden="false" customHeight="true" outlineLevel="0" collapsed="false">
      <c r="B12401" s="10"/>
      <c r="C12401" s="10"/>
      <c r="D12401" s="10"/>
      <c r="E12401" s="10"/>
      <c r="F12401" s="10"/>
      <c r="J12401" s="25"/>
      <c r="K12401" s="25"/>
      <c r="L12401" s="25"/>
      <c r="M12401" s="25"/>
      <c r="N12401" s="25"/>
      <c r="O12401" s="25"/>
    </row>
    <row r="12402" customFormat="false" ht="18" hidden="false" customHeight="true" outlineLevel="0" collapsed="false">
      <c r="B12402" s="38" t="s">
        <v>148</v>
      </c>
      <c r="C12402" s="39" t="s">
        <v>149</v>
      </c>
      <c r="D12402" s="39" t="s">
        <v>150</v>
      </c>
      <c r="E12402" s="39" t="s">
        <v>151</v>
      </c>
      <c r="F12402" s="39" t="s">
        <v>109</v>
      </c>
      <c r="J12402" s="25" t="s">
        <v>152</v>
      </c>
      <c r="K12402" s="25" t="s">
        <v>153</v>
      </c>
      <c r="L12402" s="25" t="s">
        <v>154</v>
      </c>
      <c r="M12402" s="25" t="s">
        <v>155</v>
      </c>
      <c r="N12402" s="25" t="s">
        <v>156</v>
      </c>
      <c r="O12402" s="25" t="s">
        <v>157</v>
      </c>
    </row>
    <row r="12403" customFormat="false" ht="16.5" hidden="false" customHeight="true" outlineLevel="0" collapsed="false">
      <c r="B12403" s="40" t="str">
        <f aca="false">IFERROR(INDEX($J$12403:$J$12406,MATCH($O12403,$N$12403:$N$12406,0)),"")</f>
        <v/>
      </c>
      <c r="C12403" s="41" t="str">
        <f aca="false">IFERROR(INDEX($K$12403:$K$12406,MATCH($O12403,$N$12403:$N$12406,0)),"")</f>
        <v/>
      </c>
      <c r="D12403" s="42" t="str">
        <f aca="false">IF(OR(E12403="",N(C12403)=0),"",E12403/C12403-1)</f>
        <v/>
      </c>
      <c r="E12403" s="41" t="str">
        <f aca="false">IFERROR(INDEX($L$12403:$L$12406,MATCH($O12403,$N$12403:$N$12406,0)),"")</f>
        <v/>
      </c>
      <c r="F12403" s="41" t="str">
        <f aca="false">IF(E12403="","",E12403-C12403)</f>
        <v/>
      </c>
      <c r="J12403" s="25" t="str">
        <f aca="false">Lib_Compta</f>
        <v>Mission comptable (tenue, révision, bilan, liasse fiscale)</v>
      </c>
      <c r="K12403" s="25" t="n">
        <f aca="false">IF($K$12376=0,0,N(INDEX(Clients!$K$2:$K$501,$K$12376)))</f>
        <v>0</v>
      </c>
      <c r="L12403" s="25" t="n">
        <f aca="false">IF($K$12376=0,0,N(INDEX(Clients!$P$2:$P$501,$K$12376)))</f>
        <v>0</v>
      </c>
      <c r="M12403" s="25" t="n">
        <f aca="false">IF(OR(K12403&lt;&gt;0,L12403&lt;&gt;0),1,0)</f>
        <v>0</v>
      </c>
      <c r="N12403" s="25" t="str">
        <f aca="false">IF(M12403=1,SUM($M$12403:M12403),"")</f>
        <v/>
      </c>
      <c r="O12403" s="25" t="n">
        <v>1</v>
      </c>
    </row>
    <row r="12404" customFormat="false" ht="16.5" hidden="false" customHeight="true" outlineLevel="0" collapsed="false">
      <c r="B12404" s="40" t="str">
        <f aca="false">IFERROR(INDEX($J$12403:$J$12406,MATCH($O12404,$N$12403:$N$12406,0)),"")</f>
        <v/>
      </c>
      <c r="C12404" s="41" t="str">
        <f aca="false">IFERROR(INDEX($K$12403:$K$12406,MATCH($O12404,$N$12403:$N$12406,0)),"")</f>
        <v/>
      </c>
      <c r="D12404" s="42" t="str">
        <f aca="false">IF(OR(E12404="",N(C12404)=0),"",E12404/C12404-1)</f>
        <v/>
      </c>
      <c r="E12404" s="41" t="str">
        <f aca="false">IFERROR(INDEX($L$12403:$L$12406,MATCH($O12404,$N$12403:$N$12406,0)),"")</f>
        <v/>
      </c>
      <c r="F12404" s="41" t="str">
        <f aca="false">IF(E12404="","",E12404-C12404)</f>
        <v/>
      </c>
      <c r="J12404" s="25" t="str">
        <f aca="false">Lib_Paye</f>
        <v>Mission sociale (bulletins de paie, DSN, déclarations sociales)</v>
      </c>
      <c r="K12404" s="25" t="n">
        <f aca="false">IF($K$12376=0,0,N(INDEX(Clients!$L$2:$L$501,$K$12376)))</f>
        <v>0</v>
      </c>
      <c r="L12404" s="25" t="n">
        <f aca="false">IF($K$12376=0,0,N(INDEX(Clients!$Q$2:$Q$501,$K$12376)))</f>
        <v>0</v>
      </c>
      <c r="M12404" s="25" t="n">
        <f aca="false">IF(OR(K12404&lt;&gt;0,L12404&lt;&gt;0),1,0)</f>
        <v>0</v>
      </c>
      <c r="N12404" s="25" t="str">
        <f aca="false">IF(M12404=1,SUM($M$12403:M12404),"")</f>
        <v/>
      </c>
      <c r="O12404" s="25" t="n">
        <v>2</v>
      </c>
    </row>
    <row r="12405" customFormat="false" ht="16.5" hidden="false" customHeight="true" outlineLevel="0" collapsed="false">
      <c r="B12405" s="40" t="str">
        <f aca="false">IFERROR(INDEX($J$12403:$J$12406,MATCH($O12405,$N$12403:$N$12406,0)),"")</f>
        <v/>
      </c>
      <c r="C12405" s="41" t="str">
        <f aca="false">IFERROR(INDEX($K$12403:$K$12406,MATCH($O12405,$N$12403:$N$12406,0)),"")</f>
        <v/>
      </c>
      <c r="D12405" s="42" t="str">
        <f aca="false">IF(OR(E12405="",N(C12405)=0),"",E12405/C12405-1)</f>
        <v/>
      </c>
      <c r="E12405" s="41" t="str">
        <f aca="false">IFERROR(INDEX($L$12403:$L$12406,MATCH($O12405,$N$12403:$N$12406,0)),"")</f>
        <v/>
      </c>
      <c r="F12405" s="41" t="str">
        <f aca="false">IF(E12405="","",E12405-C12405)</f>
        <v/>
      </c>
      <c r="J12405" s="25" t="str">
        <f aca="false">Lib_Jur</f>
        <v>Mission juridique (approbation des comptes, secrétariat juridique)</v>
      </c>
      <c r="K12405" s="25" t="n">
        <f aca="false">IF($K$12376=0,0,N(INDEX(Clients!$M$2:$M$501,$K$12376)))</f>
        <v>0</v>
      </c>
      <c r="L12405" s="25" t="n">
        <f aca="false">IF($K$12376=0,0,N(INDEX(Clients!$R$2:$R$501,$K$12376)))</f>
        <v>0</v>
      </c>
      <c r="M12405" s="25" t="n">
        <f aca="false">IF(OR(K12405&lt;&gt;0,L12405&lt;&gt;0),1,0)</f>
        <v>0</v>
      </c>
      <c r="N12405" s="25" t="str">
        <f aca="false">IF(M12405=1,SUM($M$12403:M12405),"")</f>
        <v/>
      </c>
      <c r="O12405" s="25" t="n">
        <v>3</v>
      </c>
    </row>
    <row r="12406" customFormat="false" ht="16.5" hidden="false" customHeight="true" outlineLevel="0" collapsed="false">
      <c r="B12406" s="40" t="str">
        <f aca="false">IFERROR(INDEX($J$12403:$J$12406,MATCH($O12406,$N$12403:$N$12406,0)),"")</f>
        <v/>
      </c>
      <c r="C12406" s="41" t="str">
        <f aca="false">IFERROR(INDEX($K$12403:$K$12406,MATCH($O12406,$N$12403:$N$12406,0)),"")</f>
        <v/>
      </c>
      <c r="D12406" s="42" t="str">
        <f aca="false">IF(OR(E12406="",N(C12406)=0),"",E12406/C12406-1)</f>
        <v/>
      </c>
      <c r="E12406" s="41" t="str">
        <f aca="false">IFERROR(INDEX($L$12403:$L$12406,MATCH($O12406,$N$12403:$N$12406,0)),"")</f>
        <v/>
      </c>
      <c r="F12406" s="41" t="str">
        <f aca="false">IF(E12406="","",E12406-C12406)</f>
        <v/>
      </c>
      <c r="J12406" s="25" t="str">
        <f aca="false">Lib_PA</f>
        <v>Plateforme agréée – facturation électronique</v>
      </c>
      <c r="K12406" s="25" t="n">
        <f aca="false">IF($K$12376=0,0,N(INDEX(Clients!$N$2:$N$501,$K$12376)))</f>
        <v>0</v>
      </c>
      <c r="L12406" s="25" t="n">
        <f aca="false">IF($K$12376=0,0,N(INDEX(Clients!$S$2:$S$501,$K$12376)))</f>
        <v>0</v>
      </c>
      <c r="M12406" s="25" t="n">
        <f aca="false">IF(OR(K12406&lt;&gt;0,L12406&lt;&gt;0),1,0)</f>
        <v>0</v>
      </c>
      <c r="N12406" s="25" t="str">
        <f aca="false">IF(M12406=1,SUM($M$12403:M12406),"")</f>
        <v/>
      </c>
      <c r="O12406" s="25" t="n">
        <v>4</v>
      </c>
    </row>
    <row r="12407" customFormat="false" ht="18" hidden="false" customHeight="true" outlineLevel="0" collapsed="false">
      <c r="B12407" s="43" t="s">
        <v>158</v>
      </c>
      <c r="C12407" s="44" t="n">
        <f aca="false">SUM(K12403:K12406)</f>
        <v>0</v>
      </c>
      <c r="D12407" s="45" t="str">
        <f aca="false">IF(N(C12407)=0,"",E12407/C12407-1)</f>
        <v/>
      </c>
      <c r="E12407" s="44" t="n">
        <f aca="false">SUM(L12403:L12406)</f>
        <v>0</v>
      </c>
      <c r="F12407" s="44" t="n">
        <f aca="false">E12407-C12407</f>
        <v>0</v>
      </c>
    </row>
    <row r="12408" customFormat="false" ht="15" hidden="false" customHeight="false" outlineLevel="0" collapsed="false">
      <c r="B12408" s="46" t="str">
        <f aca="false">IF(N(Nb_Mensualites)=0,"","Soit "&amp;FIXED(E12407/Nb_Mensualites,2)&amp;" € HT par échéance ("&amp;Nb_Mensualites&amp;" échéances), "&amp;FIXED(E12407/Nb_Mensualites*(1+Taux_TVA),2)&amp;" € TTC.")</f>
        <v>Soit 0.00 € HT par échéance (12 échéances), 0.00 € TTC.</v>
      </c>
      <c r="C12408" s="46"/>
      <c r="D12408" s="46"/>
      <c r="E12408" s="46"/>
      <c r="F12408" s="46"/>
    </row>
    <row r="12409" customFormat="false" ht="7.5" hidden="false" customHeight="true" outlineLevel="0" collapsed="false">
      <c r="B12409" s="10"/>
      <c r="C12409" s="10"/>
      <c r="D12409" s="10"/>
      <c r="E12409" s="10"/>
      <c r="F12409" s="10"/>
    </row>
    <row r="12410" customFormat="false" ht="36.75" hidden="false" customHeight="true" outlineLevel="0" collapsed="false">
      <c r="B12410" s="37" t="str">
        <f aca="false">SUBSTITUTE(SUBSTITUTE(SUBSTITUTE(SUBSTITUTE(SUBSTITUTE(Txt_P5,"{cabinet}",Cab_Nom),"{societe}",IF($K$12376=0,"",INDEX(Clients!$E$2:$E$501,$K$12376)&amp;"")),"{date_effet}",$K$12378),"{hausse}",$K$12379),"{civilite}",$K$12377)</f>
        <v>Les autres conditions de votre lettre de mission demeurent inchangées. Les nouveaux montants seront appliqués automatiquement sur vos prochaines factures et échéances de prélèvement.</v>
      </c>
      <c r="C12410" s="37"/>
      <c r="D12410" s="37"/>
      <c r="E12410" s="37"/>
      <c r="F12410" s="37"/>
    </row>
    <row r="12411" customFormat="false" ht="36.75" hidden="false" customHeight="true" outlineLevel="0" collapsed="false">
      <c r="B12411" s="37" t="str">
        <f aca="false">SUBSTITUTE(SUBSTITUTE(SUBSTITUTE(SUBSTITUTE(SUBSTITUTE(Txt_P6,"{cabinet}",Cab_Nom),"{societe}",IF($K$12376=0,"",INDEX(Clients!$E$2:$E$501,$K$12376)&amp;"")),"{date_effet}",$K$12378),"{hausse}",$K$12379),"{civilite}",$K$12377)</f>
        <v>Votre interlocuteur habituel reste à votre entière disposition pour répondre à vos questions et faire le point sur l'évolution de vos besoins.</v>
      </c>
      <c r="C12411" s="37"/>
      <c r="D12411" s="37"/>
      <c r="E12411" s="37"/>
      <c r="F12411" s="37"/>
    </row>
    <row r="12412" customFormat="false" ht="24" hidden="false" customHeight="true" outlineLevel="0" collapsed="false">
      <c r="B12412" s="37" t="str">
        <f aca="false">SUBSTITUTE(SUBSTITUTE(SUBSTITUTE(SUBSTITUTE(SUBSTITUTE(Txt_Politesse,"{cabinet}",Cab_Nom),"{societe}",IF($K$12376=0,"",INDEX(Clients!$E$2:$E$501,$K$12376)&amp;"")),"{date_effet}",$K$12378),"{hausse}",$K$12379),"{civilite}",$K$12377)</f>
        <v>Nous vous prions d'agréer, Madame, Monsieur, l'expression de nos salutations distinguées.</v>
      </c>
      <c r="C12412" s="37"/>
      <c r="D12412" s="37"/>
      <c r="E12412" s="37"/>
      <c r="F12412" s="37"/>
    </row>
    <row r="12413" customFormat="false" ht="15" hidden="false" customHeight="false" outlineLevel="0" collapsed="false">
      <c r="B12413" s="10"/>
      <c r="C12413" s="10"/>
      <c r="D12413" s="10"/>
      <c r="E12413" s="10"/>
      <c r="F12413" s="10"/>
    </row>
    <row r="12414" customFormat="false" ht="15" hidden="false" customHeight="false" outlineLevel="0" collapsed="false">
      <c r="B12414" s="10"/>
      <c r="C12414" s="10"/>
      <c r="D12414" s="34" t="str">
        <f aca="false">Signataire</f>
        <v>Prénom NOM</v>
      </c>
      <c r="E12414" s="34"/>
      <c r="F12414" s="34"/>
    </row>
    <row r="12415" customFormat="false" ht="15" hidden="false" customHeight="false" outlineLevel="0" collapsed="false">
      <c r="B12415" s="10"/>
      <c r="C12415" s="10"/>
      <c r="D12415" s="47" t="str">
        <f aca="false">Signataire_Titre</f>
        <v>Expert-comptable associé</v>
      </c>
      <c r="E12415" s="47"/>
      <c r="F12415" s="47"/>
    </row>
    <row r="12416" customFormat="false" ht="15.75" hidden="false" customHeight="true" outlineLevel="0" collapsed="false">
      <c r="B12416" s="10"/>
      <c r="C12416" s="10"/>
      <c r="D12416" s="10"/>
      <c r="E12416" s="10"/>
      <c r="F12416" s="10"/>
    </row>
    <row r="12417" customFormat="false" ht="15.75" hidden="false" customHeight="true" outlineLevel="0" collapsed="false">
      <c r="B12417" s="10"/>
      <c r="C12417" s="10"/>
      <c r="D12417" s="10"/>
      <c r="E12417" s="10"/>
      <c r="F12417" s="10"/>
    </row>
    <row r="12418" customFormat="false" ht="15.75" hidden="false" customHeight="true" outlineLevel="0" collapsed="false">
      <c r="B12418" s="10"/>
      <c r="C12418" s="10"/>
      <c r="D12418" s="10"/>
      <c r="E12418" s="10"/>
      <c r="F12418" s="10"/>
    </row>
    <row r="12419" customFormat="false" ht="15.75" hidden="false" customHeight="true" outlineLevel="0" collapsed="false">
      <c r="B12419" s="10"/>
      <c r="C12419" s="10"/>
      <c r="D12419" s="10"/>
      <c r="E12419" s="10"/>
      <c r="F12419" s="10"/>
    </row>
    <row r="12420" customFormat="false" ht="24" hidden="false" customHeight="true" outlineLevel="0" collapsed="false">
      <c r="B12420" s="48" t="str">
        <f aca="false">Cab_Mentions</f>
        <v>ALTHO EXPERTISE · SAS au capital de 10 000 € · RCS Pontoise 919 706 325 · TVA FR62919706325 · Société d'expertise comptable inscrite au Tableau de l'Ordre des experts-comptables de Paris Île-de-France</v>
      </c>
      <c r="C12420" s="48"/>
      <c r="D12420" s="48"/>
      <c r="E12420" s="48"/>
      <c r="F12420" s="48"/>
    </row>
    <row r="12421" customFormat="false" ht="15" hidden="false" customHeight="false" outlineLevel="0" collapsed="false">
      <c r="B12421" s="10"/>
      <c r="C12421" s="10"/>
      <c r="D12421" s="10"/>
      <c r="E12421" s="10"/>
      <c r="F12421" s="10"/>
      <c r="J12421" s="25" t="s">
        <v>142</v>
      </c>
      <c r="K12421" s="25" t="n">
        <f aca="false">IFERROR(MATCH(277,Clients!$Z$2:$Z$501,0),0)</f>
        <v>0</v>
      </c>
      <c r="L12421" s="25"/>
      <c r="M12421" s="25"/>
      <c r="N12421" s="25"/>
      <c r="O12421" s="25"/>
    </row>
    <row r="12422" customFormat="false" ht="21.75" hidden="false" customHeight="true" outlineLevel="0" collapsed="false">
      <c r="B12422" s="26" t="str">
        <f aca="false">Cab_Nom</f>
        <v>ALTHO EXPERTISE</v>
      </c>
      <c r="C12422" s="26"/>
      <c r="D12422" s="10"/>
      <c r="E12422" s="27" t="str">
        <f aca="false">IF($K$12421=0,"","Réf. client : "&amp;INDEX(Clients!$A$2:$A$501,$K$12421))</f>
        <v/>
      </c>
      <c r="F12422" s="27"/>
      <c r="J12422" s="25" t="s">
        <v>144</v>
      </c>
      <c r="K12422" s="25" t="str">
        <f aca="false">IF(IF($K$12421=0,"",INDEX(Clients!$B$2:$B$501,$K$12421)&amp;"")="Mme","Madame",IF(IF($K$12421=0,"",INDEX(Clients!$B$2:$B$501,$K$12421)&amp;"")="M.","Monsieur","Madame, Monsieur"))</f>
        <v>Madame, Monsieur</v>
      </c>
      <c r="L12422" s="25"/>
      <c r="M12422" s="25"/>
      <c r="N12422" s="25"/>
      <c r="O12422" s="25"/>
    </row>
    <row r="12423" customFormat="false" ht="15" hidden="false" customHeight="false" outlineLevel="0" collapsed="false">
      <c r="B12423" s="29" t="str">
        <f aca="false">Cab_Adr1</f>
        <v>141 rue Charles de Gaulle</v>
      </c>
      <c r="C12423" s="29"/>
      <c r="D12423" s="10"/>
      <c r="E12423" s="10"/>
      <c r="F12423" s="10"/>
      <c r="J12423" s="25" t="s">
        <v>145</v>
      </c>
      <c r="K12423" s="25" t="str">
        <f aca="false">DAY(Date_Effet)&amp;IF(DAY(Date_Effet)=1,"er","")&amp;" "&amp;INDEX(Liste_Mois,MONTH(Date_Effet))&amp;" "&amp;YEAR(Date_Effet)</f>
        <v>1er janvier 2027</v>
      </c>
      <c r="L12423" s="25"/>
      <c r="M12423" s="25"/>
      <c r="N12423" s="25"/>
      <c r="O12423" s="25"/>
    </row>
    <row r="12424" customFormat="false" ht="15" hidden="false" customHeight="false" outlineLevel="0" collapsed="false">
      <c r="B12424" s="29" t="str">
        <f aca="false">Cab_CPVille</f>
        <v>95130 LE PLESSIS-BOUCHARD</v>
      </c>
      <c r="C12424" s="29"/>
      <c r="D12424" s="10"/>
      <c r="E12424" s="10"/>
      <c r="F12424" s="10"/>
      <c r="J12424" s="25" t="s">
        <v>146</v>
      </c>
      <c r="K12424" s="25" t="str">
        <f aca="false">IF(SUM($K$12448:$K$12451)=0,"",FIXED((SUM($L$12448:$L$12451)/SUM($K$12448:$K$12451)-1)*100,1)&amp;" %")</f>
        <v/>
      </c>
      <c r="L12424" s="25"/>
      <c r="M12424" s="25"/>
      <c r="N12424" s="25"/>
      <c r="O12424" s="25"/>
    </row>
    <row r="12425" customFormat="false" ht="15" hidden="false" customHeight="false" outlineLevel="0" collapsed="false">
      <c r="B12425" s="29" t="str">
        <f aca="false">Cab_Contact</f>
        <v>Tél. 01 34 14 53 45  ·  altho@altho-experts.com  ·  altho-experts.com</v>
      </c>
      <c r="C12425" s="29"/>
      <c r="D12425" s="10"/>
      <c r="E12425" s="10"/>
      <c r="F12425" s="10"/>
      <c r="J12425" s="25"/>
      <c r="K12425" s="25"/>
      <c r="L12425" s="25"/>
      <c r="M12425" s="25"/>
      <c r="N12425" s="25"/>
      <c r="O12425" s="25"/>
    </row>
    <row r="12426" customFormat="false" ht="6" hidden="false" customHeight="true" outlineLevel="0" collapsed="false">
      <c r="B12426" s="32"/>
      <c r="C12426" s="32"/>
      <c r="D12426" s="32"/>
      <c r="E12426" s="32"/>
      <c r="F12426" s="32"/>
      <c r="J12426" s="25"/>
      <c r="K12426" s="25"/>
      <c r="L12426" s="25"/>
      <c r="M12426" s="25"/>
      <c r="N12426" s="25"/>
      <c r="O12426" s="25"/>
    </row>
    <row r="12427" customFormat="false" ht="13.5" hidden="false" customHeight="true" outlineLevel="0" collapsed="false">
      <c r="B12427" s="10"/>
      <c r="C12427" s="10"/>
      <c r="D12427" s="10"/>
      <c r="E12427" s="10"/>
      <c r="F12427" s="10"/>
      <c r="J12427" s="25"/>
      <c r="K12427" s="25"/>
      <c r="L12427" s="25"/>
      <c r="M12427" s="25"/>
      <c r="N12427" s="25"/>
      <c r="O12427" s="25"/>
    </row>
    <row r="12428" customFormat="false" ht="13.5" hidden="false" customHeight="true" outlineLevel="0" collapsed="false">
      <c r="B12428" s="10"/>
      <c r="C12428" s="10"/>
      <c r="D12428" s="10"/>
      <c r="E12428" s="10"/>
      <c r="F12428" s="10"/>
      <c r="J12428" s="25"/>
      <c r="K12428" s="25"/>
      <c r="L12428" s="25"/>
      <c r="M12428" s="25"/>
      <c r="N12428" s="25"/>
      <c r="O12428" s="25"/>
    </row>
    <row r="12429" customFormat="false" ht="13.5" hidden="false" customHeight="true" outlineLevel="0" collapsed="false">
      <c r="B12429" s="10"/>
      <c r="C12429" s="10"/>
      <c r="D12429" s="10"/>
      <c r="E12429" s="10"/>
      <c r="F12429" s="10"/>
      <c r="J12429" s="25"/>
      <c r="K12429" s="25"/>
      <c r="L12429" s="25"/>
      <c r="M12429" s="25"/>
      <c r="N12429" s="25"/>
      <c r="O12429" s="25"/>
    </row>
    <row r="12430" customFormat="false" ht="15" hidden="false" customHeight="true" outlineLevel="0" collapsed="false">
      <c r="B12430" s="10"/>
      <c r="C12430" s="10"/>
      <c r="D12430" s="34" t="str">
        <f aca="false">IF($K$12421=0,"",INDEX(Clients!$E$2:$E$501,$K$12421)&amp;"")</f>
        <v/>
      </c>
      <c r="E12430" s="34"/>
      <c r="F12430" s="34"/>
      <c r="J12430" s="25"/>
      <c r="K12430" s="25"/>
      <c r="L12430" s="25"/>
      <c r="M12430" s="25"/>
      <c r="N12430" s="25"/>
      <c r="O12430" s="25"/>
    </row>
    <row r="12431" customFormat="false" ht="15" hidden="false" customHeight="true" outlineLevel="0" collapsed="false">
      <c r="B12431" s="10"/>
      <c r="C12431" s="10"/>
      <c r="D12431" s="35" t="str">
        <f aca="false">IF(IF($K$12421=0,"",INDEX(Clients!$D$2:$D$501,$K$12421)&amp;"")="","","À l'attention de "&amp;TRIM(IF($K$12421=0,"",INDEX(Clients!$B$2:$B$501,$K$12421)&amp;"")&amp;" "&amp;IF($K$12421=0,"",INDEX(Clients!$C$2:$C$501,$K$12421)&amp;"")&amp;" "&amp;IF($K$12421=0,"",INDEX(Clients!$D$2:$D$501,$K$12421)&amp;"")))</f>
        <v/>
      </c>
      <c r="E12431" s="35"/>
      <c r="F12431" s="35"/>
      <c r="J12431" s="25"/>
      <c r="K12431" s="25"/>
      <c r="L12431" s="25"/>
      <c r="M12431" s="25"/>
      <c r="N12431" s="25"/>
      <c r="O12431" s="25"/>
    </row>
    <row r="12432" customFormat="false" ht="15" hidden="false" customHeight="true" outlineLevel="0" collapsed="false">
      <c r="B12432" s="10"/>
      <c r="C12432" s="10"/>
      <c r="D12432" s="35" t="str">
        <f aca="false">IF($K$12421=0,"",INDEX(Clients!$F$2:$F$501,$K$12421)&amp;"")</f>
        <v/>
      </c>
      <c r="E12432" s="35"/>
      <c r="F12432" s="35"/>
      <c r="J12432" s="25"/>
      <c r="K12432" s="25"/>
      <c r="L12432" s="25"/>
      <c r="M12432" s="25"/>
      <c r="N12432" s="25"/>
      <c r="O12432" s="25"/>
    </row>
    <row r="12433" customFormat="false" ht="15" hidden="false" customHeight="true" outlineLevel="0" collapsed="false">
      <c r="B12433" s="10"/>
      <c r="C12433" s="10"/>
      <c r="D12433" s="35" t="str">
        <f aca="false">IF(IF($K$12421=0,"",INDEX(Clients!$G$2:$G$501,$K$12421)&amp;"")="",TRIM(IF($K$12421=0,"",INDEX(Clients!$H$2:$H$501,$K$12421)&amp;"")&amp;" "&amp;UPPER(IF($K$12421=0,"",INDEX(Clients!$I$2:$I$501,$K$12421)&amp;""))),IF($K$12421=0,"",INDEX(Clients!$G$2:$G$501,$K$12421)&amp;""))</f>
        <v/>
      </c>
      <c r="E12433" s="35"/>
      <c r="F12433" s="35"/>
      <c r="J12433" s="25"/>
      <c r="K12433" s="25"/>
      <c r="L12433" s="25"/>
      <c r="M12433" s="25"/>
      <c r="N12433" s="25"/>
      <c r="O12433" s="25"/>
    </row>
    <row r="12434" customFormat="false" ht="15" hidden="false" customHeight="true" outlineLevel="0" collapsed="false">
      <c r="B12434" s="10"/>
      <c r="C12434" s="10"/>
      <c r="D12434" s="35" t="str">
        <f aca="false">IF(IF($K$12421=0,"",INDEX(Clients!$G$2:$G$501,$K$12421)&amp;"")="","",TRIM(IF($K$12421=0,"",INDEX(Clients!$H$2:$H$501,$K$12421)&amp;"")&amp;" "&amp;UPPER(IF($K$12421=0,"",INDEX(Clients!$I$2:$I$501,$K$12421)&amp;""))))</f>
        <v/>
      </c>
      <c r="E12434" s="35"/>
      <c r="F12434" s="35"/>
      <c r="J12434" s="25"/>
      <c r="K12434" s="25"/>
      <c r="L12434" s="25"/>
      <c r="M12434" s="25"/>
      <c r="N12434" s="25"/>
      <c r="O12434" s="25"/>
    </row>
    <row r="12435" customFormat="false" ht="25.5" hidden="false" customHeight="true" outlineLevel="0" collapsed="false">
      <c r="B12435" s="10"/>
      <c r="C12435" s="10"/>
      <c r="D12435" s="10"/>
      <c r="E12435" s="10"/>
      <c r="F12435" s="10"/>
      <c r="J12435" s="25"/>
      <c r="K12435" s="25"/>
      <c r="L12435" s="25"/>
      <c r="M12435" s="25"/>
      <c r="N12435" s="25"/>
      <c r="O12435" s="25"/>
    </row>
    <row r="12436" customFormat="false" ht="15" hidden="false" customHeight="false" outlineLevel="0" collapsed="false">
      <c r="B12436" s="10"/>
      <c r="C12436" s="10"/>
      <c r="D12436" s="36" t="str">
        <f aca="false">Cab_Ville&amp;", le "&amp;DAY(Date_Courrier)&amp;IF(DAY(Date_Courrier)=1,"er","")&amp;" "&amp;INDEX(Liste_Mois,MONTH(Date_Courrier))&amp;" "&amp;YEAR(Date_Courrier)</f>
        <v>Le Plessis-Bouchard, le 22 septembre 2026</v>
      </c>
      <c r="E12436" s="36"/>
      <c r="F12436" s="36"/>
      <c r="J12436" s="25"/>
      <c r="K12436" s="25"/>
      <c r="L12436" s="25"/>
      <c r="M12436" s="25"/>
      <c r="N12436" s="25"/>
      <c r="O12436" s="25"/>
    </row>
    <row r="12437" customFormat="false" ht="19.5" hidden="false" customHeight="true" outlineLevel="0" collapsed="false">
      <c r="B12437" s="10"/>
      <c r="C12437" s="10"/>
      <c r="D12437" s="10"/>
      <c r="E12437" s="10"/>
      <c r="F12437" s="10"/>
      <c r="J12437" s="25"/>
      <c r="K12437" s="25"/>
      <c r="L12437" s="25"/>
      <c r="M12437" s="25"/>
      <c r="N12437" s="25"/>
      <c r="O12437" s="25"/>
    </row>
    <row r="12438" customFormat="false" ht="15" hidden="false" customHeight="false" outlineLevel="0" collapsed="false">
      <c r="B12438" s="34" t="str">
        <f aca="false">SUBSTITUTE(SUBSTITUTE(SUBSTITUTE(SUBSTITUTE(SUBSTITUTE(Txt_Objet,"{cabinet}",Cab_Nom),"{societe}",IF($K$12421=0,"",INDEX(Clients!$E$2:$E$501,$K$12421)&amp;"")),"{date_effet}",$K$12423),"{hausse}",$K$12424),"{civilite}",$K$12422)</f>
        <v>Objet : révision de nos honoraires au 1er janvier 2027</v>
      </c>
      <c r="C12438" s="34"/>
      <c r="D12438" s="34"/>
      <c r="E12438" s="34"/>
      <c r="F12438" s="34"/>
      <c r="J12438" s="25"/>
      <c r="K12438" s="25"/>
      <c r="L12438" s="25"/>
      <c r="M12438" s="25"/>
      <c r="N12438" s="25"/>
      <c r="O12438" s="25"/>
    </row>
    <row r="12439" customFormat="false" ht="13.5" hidden="false" customHeight="true" outlineLevel="0" collapsed="false">
      <c r="B12439" s="10"/>
      <c r="C12439" s="10"/>
      <c r="D12439" s="10"/>
      <c r="E12439" s="10"/>
      <c r="F12439" s="10"/>
      <c r="J12439" s="25"/>
      <c r="K12439" s="25"/>
      <c r="L12439" s="25"/>
      <c r="M12439" s="25"/>
      <c r="N12439" s="25"/>
      <c r="O12439" s="25"/>
    </row>
    <row r="12440" customFormat="false" ht="15" hidden="false" customHeight="false" outlineLevel="0" collapsed="false">
      <c r="B12440" s="10" t="str">
        <f aca="false">$K$12422&amp;","</f>
        <v>Madame, Monsieur,</v>
      </c>
      <c r="C12440" s="10"/>
      <c r="D12440" s="10"/>
      <c r="E12440" s="10"/>
      <c r="F12440" s="10"/>
      <c r="J12440" s="25"/>
      <c r="K12440" s="25"/>
      <c r="L12440" s="25"/>
      <c r="M12440" s="25"/>
      <c r="N12440" s="25"/>
      <c r="O12440" s="25"/>
    </row>
    <row r="12441" customFormat="false" ht="6" hidden="false" customHeight="true" outlineLevel="0" collapsed="false">
      <c r="B12441" s="10"/>
      <c r="C12441" s="10"/>
      <c r="D12441" s="10"/>
      <c r="E12441" s="10"/>
      <c r="F12441" s="10"/>
      <c r="J12441" s="25"/>
      <c r="K12441" s="25"/>
      <c r="L12441" s="25"/>
      <c r="M12441" s="25"/>
      <c r="N12441" s="25"/>
      <c r="O12441" s="25"/>
    </row>
    <row r="12442" customFormat="false" ht="36.75" hidden="false" customHeight="true" outlineLevel="0" collapsed="false">
      <c r="B12442" s="37" t="str">
        <f aca="false">SUBSTITUTE(SUBSTITUTE(SUBSTITUTE(SUBSTITUTE(SUBSTITUTE(Txt_P1,"{cabinet}",Cab_Nom),"{societe}",IF($K$12421=0,"",INDEX(Clients!$E$2:$E$501,$K$12421)&amp;"")),"{date_effet}",$K$12423),"{hausse}",$K$12424),"{civilite}",$K$12422)</f>
        <v>Nous tenons tout d'abord à vous remercier pour la confiance que vous accordez à ALTHO EXPERTISE. Comme chaque année, et conformément aux dispositions de votre lettre de mission, nous procédons à la révision de nos honoraires.</v>
      </c>
      <c r="C12442" s="37"/>
      <c r="D12442" s="37"/>
      <c r="E12442" s="37"/>
      <c r="F12442" s="37"/>
      <c r="J12442" s="25"/>
      <c r="K12442" s="25"/>
      <c r="L12442" s="25"/>
      <c r="M12442" s="25"/>
      <c r="N12442" s="25"/>
      <c r="O12442" s="25"/>
    </row>
    <row r="12443" customFormat="false" ht="49.5" hidden="false" customHeight="true" outlineLevel="0" collapsed="false">
      <c r="B12443" s="37" t="str">
        <f aca="false">SUBSTITUTE(SUBSTITUTE(SUBSTITUTE(SUBSTITUTE(SUBSTITUTE(Txt_P2,"{cabinet}",Cab_Nom),"{societe}",IF($K$12421=0,"",INDEX(Clients!$E$2:$E$501,$K$12421)&amp;"")),"{date_effet}",$K$12423),"{hausse}",$K$12424),"{civilite}",$K$12422)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443" s="37"/>
      <c r="D12443" s="37"/>
      <c r="E12443" s="37"/>
      <c r="F12443" s="37"/>
      <c r="J12443" s="25"/>
      <c r="K12443" s="25"/>
      <c r="L12443" s="25"/>
      <c r="M12443" s="25"/>
      <c r="N12443" s="25"/>
      <c r="O12443" s="25"/>
    </row>
    <row r="12444" customFormat="false" ht="63" hidden="false" customHeight="true" outlineLevel="0" collapsed="false">
      <c r="B12444" s="37" t="str">
        <f aca="false">SUBSTITUTE(SUBSTITUTE(SUBSTITUTE(SUBSTITUTE(SUBSTITUTE(Txt_P3,"{cabinet}",Cab_Nom),"{societe}",IF($K$12421=0,"",INDEX(Clients!$E$2:$E$501,$K$12421)&amp;"")),"{date_effet}",$K$12423),"{hausse}",$K$12424),"{civilite}",$K$12422)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444" s="37"/>
      <c r="D12444" s="37"/>
      <c r="E12444" s="37"/>
      <c r="F12444" s="37"/>
      <c r="J12444" s="25"/>
      <c r="K12444" s="25"/>
      <c r="L12444" s="25"/>
      <c r="M12444" s="25"/>
      <c r="N12444" s="25"/>
      <c r="O12444" s="25"/>
    </row>
    <row r="12445" customFormat="false" ht="24" hidden="false" customHeight="true" outlineLevel="0" collapsed="false">
      <c r="B12445" s="37" t="str">
        <f aca="false">SUBSTITUTE(SUBSTITUTE(SUBSTITUTE(SUBSTITUTE(SUBSTITUTE(Txt_P4,"{cabinet}",Cab_Nom),"{societe}",IF($K$12421=0,"",INDEX(Clients!$E$2:$E$501,$K$12421)&amp;"")),"{date_effet}",$K$12423),"{hausse}",$K$12424),"{civilite}",$K$12422)</f>
        <v>À compter du 1er janvier 2027, vos honoraires annuels hors taxes évolueront ainsi (évolution globale : ) :</v>
      </c>
      <c r="C12445" s="37"/>
      <c r="D12445" s="37"/>
      <c r="E12445" s="37"/>
      <c r="F12445" s="37"/>
      <c r="J12445" s="25"/>
      <c r="K12445" s="25"/>
      <c r="L12445" s="25"/>
      <c r="M12445" s="25"/>
      <c r="N12445" s="25"/>
      <c r="O12445" s="25"/>
    </row>
    <row r="12446" customFormat="false" ht="3.75" hidden="false" customHeight="true" outlineLevel="0" collapsed="false">
      <c r="B12446" s="10"/>
      <c r="C12446" s="10"/>
      <c r="D12446" s="10"/>
      <c r="E12446" s="10"/>
      <c r="F12446" s="10"/>
      <c r="J12446" s="25"/>
      <c r="K12446" s="25"/>
      <c r="L12446" s="25"/>
      <c r="M12446" s="25"/>
      <c r="N12446" s="25"/>
      <c r="O12446" s="25"/>
    </row>
    <row r="12447" customFormat="false" ht="18" hidden="false" customHeight="true" outlineLevel="0" collapsed="false">
      <c r="B12447" s="38" t="s">
        <v>148</v>
      </c>
      <c r="C12447" s="39" t="s">
        <v>149</v>
      </c>
      <c r="D12447" s="39" t="s">
        <v>150</v>
      </c>
      <c r="E12447" s="39" t="s">
        <v>151</v>
      </c>
      <c r="F12447" s="39" t="s">
        <v>109</v>
      </c>
      <c r="J12447" s="25" t="s">
        <v>152</v>
      </c>
      <c r="K12447" s="25" t="s">
        <v>153</v>
      </c>
      <c r="L12447" s="25" t="s">
        <v>154</v>
      </c>
      <c r="M12447" s="25" t="s">
        <v>155</v>
      </c>
      <c r="N12447" s="25" t="s">
        <v>156</v>
      </c>
      <c r="O12447" s="25" t="s">
        <v>157</v>
      </c>
    </row>
    <row r="12448" customFormat="false" ht="16.5" hidden="false" customHeight="true" outlineLevel="0" collapsed="false">
      <c r="B12448" s="40" t="str">
        <f aca="false">IFERROR(INDEX($J$12448:$J$12451,MATCH($O12448,$N$12448:$N$12451,0)),"")</f>
        <v/>
      </c>
      <c r="C12448" s="41" t="str">
        <f aca="false">IFERROR(INDEX($K$12448:$K$12451,MATCH($O12448,$N$12448:$N$12451,0)),"")</f>
        <v/>
      </c>
      <c r="D12448" s="42" t="str">
        <f aca="false">IF(OR(E12448="",N(C12448)=0),"",E12448/C12448-1)</f>
        <v/>
      </c>
      <c r="E12448" s="41" t="str">
        <f aca="false">IFERROR(INDEX($L$12448:$L$12451,MATCH($O12448,$N$12448:$N$12451,0)),"")</f>
        <v/>
      </c>
      <c r="F12448" s="41" t="str">
        <f aca="false">IF(E12448="","",E12448-C12448)</f>
        <v/>
      </c>
      <c r="J12448" s="25" t="str">
        <f aca="false">Lib_Compta</f>
        <v>Mission comptable (tenue, révision, bilan, liasse fiscale)</v>
      </c>
      <c r="K12448" s="25" t="n">
        <f aca="false">IF($K$12421=0,0,N(INDEX(Clients!$K$2:$K$501,$K$12421)))</f>
        <v>0</v>
      </c>
      <c r="L12448" s="25" t="n">
        <f aca="false">IF($K$12421=0,0,N(INDEX(Clients!$P$2:$P$501,$K$12421)))</f>
        <v>0</v>
      </c>
      <c r="M12448" s="25" t="n">
        <f aca="false">IF(OR(K12448&lt;&gt;0,L12448&lt;&gt;0),1,0)</f>
        <v>0</v>
      </c>
      <c r="N12448" s="25" t="str">
        <f aca="false">IF(M12448=1,SUM($M$12448:M12448),"")</f>
        <v/>
      </c>
      <c r="O12448" s="25" t="n">
        <v>1</v>
      </c>
    </row>
    <row r="12449" customFormat="false" ht="16.5" hidden="false" customHeight="true" outlineLevel="0" collapsed="false">
      <c r="B12449" s="40" t="str">
        <f aca="false">IFERROR(INDEX($J$12448:$J$12451,MATCH($O12449,$N$12448:$N$12451,0)),"")</f>
        <v/>
      </c>
      <c r="C12449" s="41" t="str">
        <f aca="false">IFERROR(INDEX($K$12448:$K$12451,MATCH($O12449,$N$12448:$N$12451,0)),"")</f>
        <v/>
      </c>
      <c r="D12449" s="42" t="str">
        <f aca="false">IF(OR(E12449="",N(C12449)=0),"",E12449/C12449-1)</f>
        <v/>
      </c>
      <c r="E12449" s="41" t="str">
        <f aca="false">IFERROR(INDEX($L$12448:$L$12451,MATCH($O12449,$N$12448:$N$12451,0)),"")</f>
        <v/>
      </c>
      <c r="F12449" s="41" t="str">
        <f aca="false">IF(E12449="","",E12449-C12449)</f>
        <v/>
      </c>
      <c r="J12449" s="25" t="str">
        <f aca="false">Lib_Paye</f>
        <v>Mission sociale (bulletins de paie, DSN, déclarations sociales)</v>
      </c>
      <c r="K12449" s="25" t="n">
        <f aca="false">IF($K$12421=0,0,N(INDEX(Clients!$L$2:$L$501,$K$12421)))</f>
        <v>0</v>
      </c>
      <c r="L12449" s="25" t="n">
        <f aca="false">IF($K$12421=0,0,N(INDEX(Clients!$Q$2:$Q$501,$K$12421)))</f>
        <v>0</v>
      </c>
      <c r="M12449" s="25" t="n">
        <f aca="false">IF(OR(K12449&lt;&gt;0,L12449&lt;&gt;0),1,0)</f>
        <v>0</v>
      </c>
      <c r="N12449" s="25" t="str">
        <f aca="false">IF(M12449=1,SUM($M$12448:M12449),"")</f>
        <v/>
      </c>
      <c r="O12449" s="25" t="n">
        <v>2</v>
      </c>
    </row>
    <row r="12450" customFormat="false" ht="16.5" hidden="false" customHeight="true" outlineLevel="0" collapsed="false">
      <c r="B12450" s="40" t="str">
        <f aca="false">IFERROR(INDEX($J$12448:$J$12451,MATCH($O12450,$N$12448:$N$12451,0)),"")</f>
        <v/>
      </c>
      <c r="C12450" s="41" t="str">
        <f aca="false">IFERROR(INDEX($K$12448:$K$12451,MATCH($O12450,$N$12448:$N$12451,0)),"")</f>
        <v/>
      </c>
      <c r="D12450" s="42" t="str">
        <f aca="false">IF(OR(E12450="",N(C12450)=0),"",E12450/C12450-1)</f>
        <v/>
      </c>
      <c r="E12450" s="41" t="str">
        <f aca="false">IFERROR(INDEX($L$12448:$L$12451,MATCH($O12450,$N$12448:$N$12451,0)),"")</f>
        <v/>
      </c>
      <c r="F12450" s="41" t="str">
        <f aca="false">IF(E12450="","",E12450-C12450)</f>
        <v/>
      </c>
      <c r="J12450" s="25" t="str">
        <f aca="false">Lib_Jur</f>
        <v>Mission juridique (approbation des comptes, secrétariat juridique)</v>
      </c>
      <c r="K12450" s="25" t="n">
        <f aca="false">IF($K$12421=0,0,N(INDEX(Clients!$M$2:$M$501,$K$12421)))</f>
        <v>0</v>
      </c>
      <c r="L12450" s="25" t="n">
        <f aca="false">IF($K$12421=0,0,N(INDEX(Clients!$R$2:$R$501,$K$12421)))</f>
        <v>0</v>
      </c>
      <c r="M12450" s="25" t="n">
        <f aca="false">IF(OR(K12450&lt;&gt;0,L12450&lt;&gt;0),1,0)</f>
        <v>0</v>
      </c>
      <c r="N12450" s="25" t="str">
        <f aca="false">IF(M12450=1,SUM($M$12448:M12450),"")</f>
        <v/>
      </c>
      <c r="O12450" s="25" t="n">
        <v>3</v>
      </c>
    </row>
    <row r="12451" customFormat="false" ht="16.5" hidden="false" customHeight="true" outlineLevel="0" collapsed="false">
      <c r="B12451" s="40" t="str">
        <f aca="false">IFERROR(INDEX($J$12448:$J$12451,MATCH($O12451,$N$12448:$N$12451,0)),"")</f>
        <v/>
      </c>
      <c r="C12451" s="41" t="str">
        <f aca="false">IFERROR(INDEX($K$12448:$K$12451,MATCH($O12451,$N$12448:$N$12451,0)),"")</f>
        <v/>
      </c>
      <c r="D12451" s="42" t="str">
        <f aca="false">IF(OR(E12451="",N(C12451)=0),"",E12451/C12451-1)</f>
        <v/>
      </c>
      <c r="E12451" s="41" t="str">
        <f aca="false">IFERROR(INDEX($L$12448:$L$12451,MATCH($O12451,$N$12448:$N$12451,0)),"")</f>
        <v/>
      </c>
      <c r="F12451" s="41" t="str">
        <f aca="false">IF(E12451="","",E12451-C12451)</f>
        <v/>
      </c>
      <c r="J12451" s="25" t="str">
        <f aca="false">Lib_PA</f>
        <v>Plateforme agréée – facturation électronique</v>
      </c>
      <c r="K12451" s="25" t="n">
        <f aca="false">IF($K$12421=0,0,N(INDEX(Clients!$N$2:$N$501,$K$12421)))</f>
        <v>0</v>
      </c>
      <c r="L12451" s="25" t="n">
        <f aca="false">IF($K$12421=0,0,N(INDEX(Clients!$S$2:$S$501,$K$12421)))</f>
        <v>0</v>
      </c>
      <c r="M12451" s="25" t="n">
        <f aca="false">IF(OR(K12451&lt;&gt;0,L12451&lt;&gt;0),1,0)</f>
        <v>0</v>
      </c>
      <c r="N12451" s="25" t="str">
        <f aca="false">IF(M12451=1,SUM($M$12448:M12451),"")</f>
        <v/>
      </c>
      <c r="O12451" s="25" t="n">
        <v>4</v>
      </c>
    </row>
    <row r="12452" customFormat="false" ht="18" hidden="false" customHeight="true" outlineLevel="0" collapsed="false">
      <c r="B12452" s="43" t="s">
        <v>158</v>
      </c>
      <c r="C12452" s="44" t="n">
        <f aca="false">SUM(K12448:K12451)</f>
        <v>0</v>
      </c>
      <c r="D12452" s="45" t="str">
        <f aca="false">IF(N(C12452)=0,"",E12452/C12452-1)</f>
        <v/>
      </c>
      <c r="E12452" s="44" t="n">
        <f aca="false">SUM(L12448:L12451)</f>
        <v>0</v>
      </c>
      <c r="F12452" s="44" t="n">
        <f aca="false">E12452-C12452</f>
        <v>0</v>
      </c>
    </row>
    <row r="12453" customFormat="false" ht="15" hidden="false" customHeight="false" outlineLevel="0" collapsed="false">
      <c r="B12453" s="46" t="str">
        <f aca="false">IF(N(Nb_Mensualites)=0,"","Soit "&amp;FIXED(E12452/Nb_Mensualites,2)&amp;" € HT par échéance ("&amp;Nb_Mensualites&amp;" échéances), "&amp;FIXED(E12452/Nb_Mensualites*(1+Taux_TVA),2)&amp;" € TTC.")</f>
        <v>Soit 0.00 € HT par échéance (12 échéances), 0.00 € TTC.</v>
      </c>
      <c r="C12453" s="46"/>
      <c r="D12453" s="46"/>
      <c r="E12453" s="46"/>
      <c r="F12453" s="46"/>
    </row>
    <row r="12454" customFormat="false" ht="7.5" hidden="false" customHeight="true" outlineLevel="0" collapsed="false">
      <c r="B12454" s="10"/>
      <c r="C12454" s="10"/>
      <c r="D12454" s="10"/>
      <c r="E12454" s="10"/>
      <c r="F12454" s="10"/>
    </row>
    <row r="12455" customFormat="false" ht="36.75" hidden="false" customHeight="true" outlineLevel="0" collapsed="false">
      <c r="B12455" s="37" t="str">
        <f aca="false">SUBSTITUTE(SUBSTITUTE(SUBSTITUTE(SUBSTITUTE(SUBSTITUTE(Txt_P5,"{cabinet}",Cab_Nom),"{societe}",IF($K$12421=0,"",INDEX(Clients!$E$2:$E$501,$K$12421)&amp;"")),"{date_effet}",$K$12423),"{hausse}",$K$12424),"{civilite}",$K$12422)</f>
        <v>Les autres conditions de votre lettre de mission demeurent inchangées. Les nouveaux montants seront appliqués automatiquement sur vos prochaines factures et échéances de prélèvement.</v>
      </c>
      <c r="C12455" s="37"/>
      <c r="D12455" s="37"/>
      <c r="E12455" s="37"/>
      <c r="F12455" s="37"/>
    </row>
    <row r="12456" customFormat="false" ht="36.75" hidden="false" customHeight="true" outlineLevel="0" collapsed="false">
      <c r="B12456" s="37" t="str">
        <f aca="false">SUBSTITUTE(SUBSTITUTE(SUBSTITUTE(SUBSTITUTE(SUBSTITUTE(Txt_P6,"{cabinet}",Cab_Nom),"{societe}",IF($K$12421=0,"",INDEX(Clients!$E$2:$E$501,$K$12421)&amp;"")),"{date_effet}",$K$12423),"{hausse}",$K$12424),"{civilite}",$K$12422)</f>
        <v>Votre interlocuteur habituel reste à votre entière disposition pour répondre à vos questions et faire le point sur l'évolution de vos besoins.</v>
      </c>
      <c r="C12456" s="37"/>
      <c r="D12456" s="37"/>
      <c r="E12456" s="37"/>
      <c r="F12456" s="37"/>
    </row>
    <row r="12457" customFormat="false" ht="24" hidden="false" customHeight="true" outlineLevel="0" collapsed="false">
      <c r="B12457" s="37" t="str">
        <f aca="false">SUBSTITUTE(SUBSTITUTE(SUBSTITUTE(SUBSTITUTE(SUBSTITUTE(Txt_Politesse,"{cabinet}",Cab_Nom),"{societe}",IF($K$12421=0,"",INDEX(Clients!$E$2:$E$501,$K$12421)&amp;"")),"{date_effet}",$K$12423),"{hausse}",$K$12424),"{civilite}",$K$12422)</f>
        <v>Nous vous prions d'agréer, Madame, Monsieur, l'expression de nos salutations distinguées.</v>
      </c>
      <c r="C12457" s="37"/>
      <c r="D12457" s="37"/>
      <c r="E12457" s="37"/>
      <c r="F12457" s="37"/>
    </row>
    <row r="12458" customFormat="false" ht="15" hidden="false" customHeight="false" outlineLevel="0" collapsed="false">
      <c r="B12458" s="10"/>
      <c r="C12458" s="10"/>
      <c r="D12458" s="10"/>
      <c r="E12458" s="10"/>
      <c r="F12458" s="10"/>
    </row>
    <row r="12459" customFormat="false" ht="15" hidden="false" customHeight="false" outlineLevel="0" collapsed="false">
      <c r="B12459" s="10"/>
      <c r="C12459" s="10"/>
      <c r="D12459" s="34" t="str">
        <f aca="false">Signataire</f>
        <v>Prénom NOM</v>
      </c>
      <c r="E12459" s="34"/>
      <c r="F12459" s="34"/>
    </row>
    <row r="12460" customFormat="false" ht="15" hidden="false" customHeight="false" outlineLevel="0" collapsed="false">
      <c r="B12460" s="10"/>
      <c r="C12460" s="10"/>
      <c r="D12460" s="47" t="str">
        <f aca="false">Signataire_Titre</f>
        <v>Expert-comptable associé</v>
      </c>
      <c r="E12460" s="47"/>
      <c r="F12460" s="47"/>
    </row>
    <row r="12461" customFormat="false" ht="15.75" hidden="false" customHeight="true" outlineLevel="0" collapsed="false">
      <c r="B12461" s="10"/>
      <c r="C12461" s="10"/>
      <c r="D12461" s="10"/>
      <c r="E12461" s="10"/>
      <c r="F12461" s="10"/>
    </row>
    <row r="12462" customFormat="false" ht="15.75" hidden="false" customHeight="true" outlineLevel="0" collapsed="false">
      <c r="B12462" s="10"/>
      <c r="C12462" s="10"/>
      <c r="D12462" s="10"/>
      <c r="E12462" s="10"/>
      <c r="F12462" s="10"/>
    </row>
    <row r="12463" customFormat="false" ht="15.75" hidden="false" customHeight="true" outlineLevel="0" collapsed="false">
      <c r="B12463" s="10"/>
      <c r="C12463" s="10"/>
      <c r="D12463" s="10"/>
      <c r="E12463" s="10"/>
      <c r="F12463" s="10"/>
    </row>
    <row r="12464" customFormat="false" ht="15.75" hidden="false" customHeight="true" outlineLevel="0" collapsed="false">
      <c r="B12464" s="10"/>
      <c r="C12464" s="10"/>
      <c r="D12464" s="10"/>
      <c r="E12464" s="10"/>
      <c r="F12464" s="10"/>
    </row>
    <row r="12465" customFormat="false" ht="24" hidden="false" customHeight="true" outlineLevel="0" collapsed="false">
      <c r="B12465" s="48" t="str">
        <f aca="false">Cab_Mentions</f>
        <v>ALTHO EXPERTISE · SAS au capital de 10 000 € · RCS Pontoise 919 706 325 · TVA FR62919706325 · Société d'expertise comptable inscrite au Tableau de l'Ordre des experts-comptables de Paris Île-de-France</v>
      </c>
      <c r="C12465" s="48"/>
      <c r="D12465" s="48"/>
      <c r="E12465" s="48"/>
      <c r="F12465" s="48"/>
    </row>
    <row r="12466" customFormat="false" ht="15" hidden="false" customHeight="false" outlineLevel="0" collapsed="false">
      <c r="B12466" s="10"/>
      <c r="C12466" s="10"/>
      <c r="D12466" s="10"/>
      <c r="E12466" s="10"/>
      <c r="F12466" s="10"/>
      <c r="J12466" s="25" t="s">
        <v>142</v>
      </c>
      <c r="K12466" s="25" t="n">
        <f aca="false">IFERROR(MATCH(278,Clients!$Z$2:$Z$501,0),0)</f>
        <v>0</v>
      </c>
      <c r="L12466" s="25"/>
      <c r="M12466" s="25"/>
      <c r="N12466" s="25"/>
      <c r="O12466" s="25"/>
    </row>
    <row r="12467" customFormat="false" ht="21.75" hidden="false" customHeight="true" outlineLevel="0" collapsed="false">
      <c r="B12467" s="26" t="str">
        <f aca="false">Cab_Nom</f>
        <v>ALTHO EXPERTISE</v>
      </c>
      <c r="C12467" s="26"/>
      <c r="D12467" s="10"/>
      <c r="E12467" s="27" t="str">
        <f aca="false">IF($K$12466=0,"","Réf. client : "&amp;INDEX(Clients!$A$2:$A$501,$K$12466))</f>
        <v/>
      </c>
      <c r="F12467" s="27"/>
      <c r="J12467" s="25" t="s">
        <v>144</v>
      </c>
      <c r="K12467" s="25" t="str">
        <f aca="false">IF(IF($K$12466=0,"",INDEX(Clients!$B$2:$B$501,$K$12466)&amp;"")="Mme","Madame",IF(IF($K$12466=0,"",INDEX(Clients!$B$2:$B$501,$K$12466)&amp;"")="M.","Monsieur","Madame, Monsieur"))</f>
        <v>Madame, Monsieur</v>
      </c>
      <c r="L12467" s="25"/>
      <c r="M12467" s="25"/>
      <c r="N12467" s="25"/>
      <c r="O12467" s="25"/>
    </row>
    <row r="12468" customFormat="false" ht="15" hidden="false" customHeight="false" outlineLevel="0" collapsed="false">
      <c r="B12468" s="29" t="str">
        <f aca="false">Cab_Adr1</f>
        <v>141 rue Charles de Gaulle</v>
      </c>
      <c r="C12468" s="29"/>
      <c r="D12468" s="10"/>
      <c r="E12468" s="10"/>
      <c r="F12468" s="10"/>
      <c r="J12468" s="25" t="s">
        <v>145</v>
      </c>
      <c r="K12468" s="25" t="str">
        <f aca="false">DAY(Date_Effet)&amp;IF(DAY(Date_Effet)=1,"er","")&amp;" "&amp;INDEX(Liste_Mois,MONTH(Date_Effet))&amp;" "&amp;YEAR(Date_Effet)</f>
        <v>1er janvier 2027</v>
      </c>
      <c r="L12468" s="25"/>
      <c r="M12468" s="25"/>
      <c r="N12468" s="25"/>
      <c r="O12468" s="25"/>
    </row>
    <row r="12469" customFormat="false" ht="15" hidden="false" customHeight="false" outlineLevel="0" collapsed="false">
      <c r="B12469" s="29" t="str">
        <f aca="false">Cab_CPVille</f>
        <v>95130 LE PLESSIS-BOUCHARD</v>
      </c>
      <c r="C12469" s="29"/>
      <c r="D12469" s="10"/>
      <c r="E12469" s="10"/>
      <c r="F12469" s="10"/>
      <c r="J12469" s="25" t="s">
        <v>146</v>
      </c>
      <c r="K12469" s="25" t="str">
        <f aca="false">IF(SUM($K$12493:$K$12496)=0,"",FIXED((SUM($L$12493:$L$12496)/SUM($K$12493:$K$12496)-1)*100,1)&amp;" %")</f>
        <v/>
      </c>
      <c r="L12469" s="25"/>
      <c r="M12469" s="25"/>
      <c r="N12469" s="25"/>
      <c r="O12469" s="25"/>
    </row>
    <row r="12470" customFormat="false" ht="15" hidden="false" customHeight="false" outlineLevel="0" collapsed="false">
      <c r="B12470" s="29" t="str">
        <f aca="false">Cab_Contact</f>
        <v>Tél. 01 34 14 53 45  ·  altho@altho-experts.com  ·  altho-experts.com</v>
      </c>
      <c r="C12470" s="29"/>
      <c r="D12470" s="10"/>
      <c r="E12470" s="10"/>
      <c r="F12470" s="10"/>
      <c r="J12470" s="25"/>
      <c r="K12470" s="25"/>
      <c r="L12470" s="25"/>
      <c r="M12470" s="25"/>
      <c r="N12470" s="25"/>
      <c r="O12470" s="25"/>
    </row>
    <row r="12471" customFormat="false" ht="6" hidden="false" customHeight="true" outlineLevel="0" collapsed="false">
      <c r="B12471" s="32"/>
      <c r="C12471" s="32"/>
      <c r="D12471" s="32"/>
      <c r="E12471" s="32"/>
      <c r="F12471" s="32"/>
      <c r="J12471" s="25"/>
      <c r="K12471" s="25"/>
      <c r="L12471" s="25"/>
      <c r="M12471" s="25"/>
      <c r="N12471" s="25"/>
      <c r="O12471" s="25"/>
    </row>
    <row r="12472" customFormat="false" ht="13.5" hidden="false" customHeight="true" outlineLevel="0" collapsed="false">
      <c r="B12472" s="10"/>
      <c r="C12472" s="10"/>
      <c r="D12472" s="10"/>
      <c r="E12472" s="10"/>
      <c r="F12472" s="10"/>
      <c r="J12472" s="25"/>
      <c r="K12472" s="25"/>
      <c r="L12472" s="25"/>
      <c r="M12472" s="25"/>
      <c r="N12472" s="25"/>
      <c r="O12472" s="25"/>
    </row>
    <row r="12473" customFormat="false" ht="13.5" hidden="false" customHeight="true" outlineLevel="0" collapsed="false">
      <c r="B12473" s="10"/>
      <c r="C12473" s="10"/>
      <c r="D12473" s="10"/>
      <c r="E12473" s="10"/>
      <c r="F12473" s="10"/>
      <c r="J12473" s="25"/>
      <c r="K12473" s="25"/>
      <c r="L12473" s="25"/>
      <c r="M12473" s="25"/>
      <c r="N12473" s="25"/>
      <c r="O12473" s="25"/>
    </row>
    <row r="12474" customFormat="false" ht="13.5" hidden="false" customHeight="true" outlineLevel="0" collapsed="false">
      <c r="B12474" s="10"/>
      <c r="C12474" s="10"/>
      <c r="D12474" s="10"/>
      <c r="E12474" s="10"/>
      <c r="F12474" s="10"/>
      <c r="J12474" s="25"/>
      <c r="K12474" s="25"/>
      <c r="L12474" s="25"/>
      <c r="M12474" s="25"/>
      <c r="N12474" s="25"/>
      <c r="O12474" s="25"/>
    </row>
    <row r="12475" customFormat="false" ht="15" hidden="false" customHeight="true" outlineLevel="0" collapsed="false">
      <c r="B12475" s="10"/>
      <c r="C12475" s="10"/>
      <c r="D12475" s="34" t="str">
        <f aca="false">IF($K$12466=0,"",INDEX(Clients!$E$2:$E$501,$K$12466)&amp;"")</f>
        <v/>
      </c>
      <c r="E12475" s="34"/>
      <c r="F12475" s="34"/>
      <c r="J12475" s="25"/>
      <c r="K12475" s="25"/>
      <c r="L12475" s="25"/>
      <c r="M12475" s="25"/>
      <c r="N12475" s="25"/>
      <c r="O12475" s="25"/>
    </row>
    <row r="12476" customFormat="false" ht="15" hidden="false" customHeight="true" outlineLevel="0" collapsed="false">
      <c r="B12476" s="10"/>
      <c r="C12476" s="10"/>
      <c r="D12476" s="35" t="str">
        <f aca="false">IF(IF($K$12466=0,"",INDEX(Clients!$D$2:$D$501,$K$12466)&amp;"")="","","À l'attention de "&amp;TRIM(IF($K$12466=0,"",INDEX(Clients!$B$2:$B$501,$K$12466)&amp;"")&amp;" "&amp;IF($K$12466=0,"",INDEX(Clients!$C$2:$C$501,$K$12466)&amp;"")&amp;" "&amp;IF($K$12466=0,"",INDEX(Clients!$D$2:$D$501,$K$12466)&amp;"")))</f>
        <v/>
      </c>
      <c r="E12476" s="35"/>
      <c r="F12476" s="35"/>
      <c r="J12476" s="25"/>
      <c r="K12476" s="25"/>
      <c r="L12476" s="25"/>
      <c r="M12476" s="25"/>
      <c r="N12476" s="25"/>
      <c r="O12476" s="25"/>
    </row>
    <row r="12477" customFormat="false" ht="15" hidden="false" customHeight="true" outlineLevel="0" collapsed="false">
      <c r="B12477" s="10"/>
      <c r="C12477" s="10"/>
      <c r="D12477" s="35" t="str">
        <f aca="false">IF($K$12466=0,"",INDEX(Clients!$F$2:$F$501,$K$12466)&amp;"")</f>
        <v/>
      </c>
      <c r="E12477" s="35"/>
      <c r="F12477" s="35"/>
      <c r="J12477" s="25"/>
      <c r="K12477" s="25"/>
      <c r="L12477" s="25"/>
      <c r="M12477" s="25"/>
      <c r="N12477" s="25"/>
      <c r="O12477" s="25"/>
    </row>
    <row r="12478" customFormat="false" ht="15" hidden="false" customHeight="true" outlineLevel="0" collapsed="false">
      <c r="B12478" s="10"/>
      <c r="C12478" s="10"/>
      <c r="D12478" s="35" t="str">
        <f aca="false">IF(IF($K$12466=0,"",INDEX(Clients!$G$2:$G$501,$K$12466)&amp;"")="",TRIM(IF($K$12466=0,"",INDEX(Clients!$H$2:$H$501,$K$12466)&amp;"")&amp;" "&amp;UPPER(IF($K$12466=0,"",INDEX(Clients!$I$2:$I$501,$K$12466)&amp;""))),IF($K$12466=0,"",INDEX(Clients!$G$2:$G$501,$K$12466)&amp;""))</f>
        <v/>
      </c>
      <c r="E12478" s="35"/>
      <c r="F12478" s="35"/>
      <c r="J12478" s="25"/>
      <c r="K12478" s="25"/>
      <c r="L12478" s="25"/>
      <c r="M12478" s="25"/>
      <c r="N12478" s="25"/>
      <c r="O12478" s="25"/>
    </row>
    <row r="12479" customFormat="false" ht="15" hidden="false" customHeight="true" outlineLevel="0" collapsed="false">
      <c r="B12479" s="10"/>
      <c r="C12479" s="10"/>
      <c r="D12479" s="35" t="str">
        <f aca="false">IF(IF($K$12466=0,"",INDEX(Clients!$G$2:$G$501,$K$12466)&amp;"")="","",TRIM(IF($K$12466=0,"",INDEX(Clients!$H$2:$H$501,$K$12466)&amp;"")&amp;" "&amp;UPPER(IF($K$12466=0,"",INDEX(Clients!$I$2:$I$501,$K$12466)&amp;""))))</f>
        <v/>
      </c>
      <c r="E12479" s="35"/>
      <c r="F12479" s="35"/>
      <c r="J12479" s="25"/>
      <c r="K12479" s="25"/>
      <c r="L12479" s="25"/>
      <c r="M12479" s="25"/>
      <c r="N12479" s="25"/>
      <c r="O12479" s="25"/>
    </row>
    <row r="12480" customFormat="false" ht="25.5" hidden="false" customHeight="true" outlineLevel="0" collapsed="false">
      <c r="B12480" s="10"/>
      <c r="C12480" s="10"/>
      <c r="D12480" s="10"/>
      <c r="E12480" s="10"/>
      <c r="F12480" s="10"/>
      <c r="J12480" s="25"/>
      <c r="K12480" s="25"/>
      <c r="L12480" s="25"/>
      <c r="M12480" s="25"/>
      <c r="N12480" s="25"/>
      <c r="O12480" s="25"/>
    </row>
    <row r="12481" customFormat="false" ht="15" hidden="false" customHeight="false" outlineLevel="0" collapsed="false">
      <c r="B12481" s="10"/>
      <c r="C12481" s="10"/>
      <c r="D12481" s="36" t="str">
        <f aca="false">Cab_Ville&amp;", le "&amp;DAY(Date_Courrier)&amp;IF(DAY(Date_Courrier)=1,"er","")&amp;" "&amp;INDEX(Liste_Mois,MONTH(Date_Courrier))&amp;" "&amp;YEAR(Date_Courrier)</f>
        <v>Le Plessis-Bouchard, le 22 septembre 2026</v>
      </c>
      <c r="E12481" s="36"/>
      <c r="F12481" s="36"/>
      <c r="J12481" s="25"/>
      <c r="K12481" s="25"/>
      <c r="L12481" s="25"/>
      <c r="M12481" s="25"/>
      <c r="N12481" s="25"/>
      <c r="O12481" s="25"/>
    </row>
    <row r="12482" customFormat="false" ht="19.5" hidden="false" customHeight="true" outlineLevel="0" collapsed="false">
      <c r="B12482" s="10"/>
      <c r="C12482" s="10"/>
      <c r="D12482" s="10"/>
      <c r="E12482" s="10"/>
      <c r="F12482" s="10"/>
      <c r="J12482" s="25"/>
      <c r="K12482" s="25"/>
      <c r="L12482" s="25"/>
      <c r="M12482" s="25"/>
      <c r="N12482" s="25"/>
      <c r="O12482" s="25"/>
    </row>
    <row r="12483" customFormat="false" ht="15" hidden="false" customHeight="false" outlineLevel="0" collapsed="false">
      <c r="B12483" s="34" t="str">
        <f aca="false">SUBSTITUTE(SUBSTITUTE(SUBSTITUTE(SUBSTITUTE(SUBSTITUTE(Txt_Objet,"{cabinet}",Cab_Nom),"{societe}",IF($K$12466=0,"",INDEX(Clients!$E$2:$E$501,$K$12466)&amp;"")),"{date_effet}",$K$12468),"{hausse}",$K$12469),"{civilite}",$K$12467)</f>
        <v>Objet : révision de nos honoraires au 1er janvier 2027</v>
      </c>
      <c r="C12483" s="34"/>
      <c r="D12483" s="34"/>
      <c r="E12483" s="34"/>
      <c r="F12483" s="34"/>
      <c r="J12483" s="25"/>
      <c r="K12483" s="25"/>
      <c r="L12483" s="25"/>
      <c r="M12483" s="25"/>
      <c r="N12483" s="25"/>
      <c r="O12483" s="25"/>
    </row>
    <row r="12484" customFormat="false" ht="13.5" hidden="false" customHeight="true" outlineLevel="0" collapsed="false">
      <c r="B12484" s="10"/>
      <c r="C12484" s="10"/>
      <c r="D12484" s="10"/>
      <c r="E12484" s="10"/>
      <c r="F12484" s="10"/>
      <c r="J12484" s="25"/>
      <c r="K12484" s="25"/>
      <c r="L12484" s="25"/>
      <c r="M12484" s="25"/>
      <c r="N12484" s="25"/>
      <c r="O12484" s="25"/>
    </row>
    <row r="12485" customFormat="false" ht="15" hidden="false" customHeight="false" outlineLevel="0" collapsed="false">
      <c r="B12485" s="10" t="str">
        <f aca="false">$K$12467&amp;","</f>
        <v>Madame, Monsieur,</v>
      </c>
      <c r="C12485" s="10"/>
      <c r="D12485" s="10"/>
      <c r="E12485" s="10"/>
      <c r="F12485" s="10"/>
      <c r="J12485" s="25"/>
      <c r="K12485" s="25"/>
      <c r="L12485" s="25"/>
      <c r="M12485" s="25"/>
      <c r="N12485" s="25"/>
      <c r="O12485" s="25"/>
    </row>
    <row r="12486" customFormat="false" ht="6" hidden="false" customHeight="true" outlineLevel="0" collapsed="false">
      <c r="B12486" s="10"/>
      <c r="C12486" s="10"/>
      <c r="D12486" s="10"/>
      <c r="E12486" s="10"/>
      <c r="F12486" s="10"/>
      <c r="J12486" s="25"/>
      <c r="K12486" s="25"/>
      <c r="L12486" s="25"/>
      <c r="M12486" s="25"/>
      <c r="N12486" s="25"/>
      <c r="O12486" s="25"/>
    </row>
    <row r="12487" customFormat="false" ht="36.75" hidden="false" customHeight="true" outlineLevel="0" collapsed="false">
      <c r="B12487" s="37" t="str">
        <f aca="false">SUBSTITUTE(SUBSTITUTE(SUBSTITUTE(SUBSTITUTE(SUBSTITUTE(Txt_P1,"{cabinet}",Cab_Nom),"{societe}",IF($K$12466=0,"",INDEX(Clients!$E$2:$E$501,$K$12466)&amp;"")),"{date_effet}",$K$12468),"{hausse}",$K$12469),"{civilite}",$K$12467)</f>
        <v>Nous tenons tout d'abord à vous remercier pour la confiance que vous accordez à ALTHO EXPERTISE. Comme chaque année, et conformément aux dispositions de votre lettre de mission, nous procédons à la révision de nos honoraires.</v>
      </c>
      <c r="C12487" s="37"/>
      <c r="D12487" s="37"/>
      <c r="E12487" s="37"/>
      <c r="F12487" s="37"/>
      <c r="J12487" s="25"/>
      <c r="K12487" s="25"/>
      <c r="L12487" s="25"/>
      <c r="M12487" s="25"/>
      <c r="N12487" s="25"/>
      <c r="O12487" s="25"/>
    </row>
    <row r="12488" customFormat="false" ht="49.5" hidden="false" customHeight="true" outlineLevel="0" collapsed="false">
      <c r="B12488" s="37" t="str">
        <f aca="false">SUBSTITUTE(SUBSTITUTE(SUBSTITUTE(SUBSTITUTE(SUBSTITUTE(Txt_P2,"{cabinet}",Cab_Nom),"{societe}",IF($K$12466=0,"",INDEX(Clients!$E$2:$E$501,$K$12466)&amp;"")),"{date_effet}",$K$12468),"{hausse}",$K$12469),"{civilite}",$K$12467)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488" s="37"/>
      <c r="D12488" s="37"/>
      <c r="E12488" s="37"/>
      <c r="F12488" s="37"/>
      <c r="J12488" s="25"/>
      <c r="K12488" s="25"/>
      <c r="L12488" s="25"/>
      <c r="M12488" s="25"/>
      <c r="N12488" s="25"/>
      <c r="O12488" s="25"/>
    </row>
    <row r="12489" customFormat="false" ht="63" hidden="false" customHeight="true" outlineLevel="0" collapsed="false">
      <c r="B12489" s="37" t="str">
        <f aca="false">SUBSTITUTE(SUBSTITUTE(SUBSTITUTE(SUBSTITUTE(SUBSTITUTE(Txt_P3,"{cabinet}",Cab_Nom),"{societe}",IF($K$12466=0,"",INDEX(Clients!$E$2:$E$501,$K$12466)&amp;"")),"{date_effet}",$K$12468),"{hausse}",$K$12469),"{civilite}",$K$12467)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489" s="37"/>
      <c r="D12489" s="37"/>
      <c r="E12489" s="37"/>
      <c r="F12489" s="37"/>
      <c r="J12489" s="25"/>
      <c r="K12489" s="25"/>
      <c r="L12489" s="25"/>
      <c r="M12489" s="25"/>
      <c r="N12489" s="25"/>
      <c r="O12489" s="25"/>
    </row>
    <row r="12490" customFormat="false" ht="24" hidden="false" customHeight="true" outlineLevel="0" collapsed="false">
      <c r="B12490" s="37" t="str">
        <f aca="false">SUBSTITUTE(SUBSTITUTE(SUBSTITUTE(SUBSTITUTE(SUBSTITUTE(Txt_P4,"{cabinet}",Cab_Nom),"{societe}",IF($K$12466=0,"",INDEX(Clients!$E$2:$E$501,$K$12466)&amp;"")),"{date_effet}",$K$12468),"{hausse}",$K$12469),"{civilite}",$K$12467)</f>
        <v>À compter du 1er janvier 2027, vos honoraires annuels hors taxes évolueront ainsi (évolution globale : ) :</v>
      </c>
      <c r="C12490" s="37"/>
      <c r="D12490" s="37"/>
      <c r="E12490" s="37"/>
      <c r="F12490" s="37"/>
      <c r="J12490" s="25"/>
      <c r="K12490" s="25"/>
      <c r="L12490" s="25"/>
      <c r="M12490" s="25"/>
      <c r="N12490" s="25"/>
      <c r="O12490" s="25"/>
    </row>
    <row r="12491" customFormat="false" ht="3.75" hidden="false" customHeight="true" outlineLevel="0" collapsed="false">
      <c r="B12491" s="10"/>
      <c r="C12491" s="10"/>
      <c r="D12491" s="10"/>
      <c r="E12491" s="10"/>
      <c r="F12491" s="10"/>
      <c r="J12491" s="25"/>
      <c r="K12491" s="25"/>
      <c r="L12491" s="25"/>
      <c r="M12491" s="25"/>
      <c r="N12491" s="25"/>
      <c r="O12491" s="25"/>
    </row>
    <row r="12492" customFormat="false" ht="18" hidden="false" customHeight="true" outlineLevel="0" collapsed="false">
      <c r="B12492" s="38" t="s">
        <v>148</v>
      </c>
      <c r="C12492" s="39" t="s">
        <v>149</v>
      </c>
      <c r="D12492" s="39" t="s">
        <v>150</v>
      </c>
      <c r="E12492" s="39" t="s">
        <v>151</v>
      </c>
      <c r="F12492" s="39" t="s">
        <v>109</v>
      </c>
      <c r="J12492" s="25" t="s">
        <v>152</v>
      </c>
      <c r="K12492" s="25" t="s">
        <v>153</v>
      </c>
      <c r="L12492" s="25" t="s">
        <v>154</v>
      </c>
      <c r="M12492" s="25" t="s">
        <v>155</v>
      </c>
      <c r="N12492" s="25" t="s">
        <v>156</v>
      </c>
      <c r="O12492" s="25" t="s">
        <v>157</v>
      </c>
    </row>
    <row r="12493" customFormat="false" ht="16.5" hidden="false" customHeight="true" outlineLevel="0" collapsed="false">
      <c r="B12493" s="40" t="str">
        <f aca="false">IFERROR(INDEX($J$12493:$J$12496,MATCH($O12493,$N$12493:$N$12496,0)),"")</f>
        <v/>
      </c>
      <c r="C12493" s="41" t="str">
        <f aca="false">IFERROR(INDEX($K$12493:$K$12496,MATCH($O12493,$N$12493:$N$12496,0)),"")</f>
        <v/>
      </c>
      <c r="D12493" s="42" t="str">
        <f aca="false">IF(OR(E12493="",N(C12493)=0),"",E12493/C12493-1)</f>
        <v/>
      </c>
      <c r="E12493" s="41" t="str">
        <f aca="false">IFERROR(INDEX($L$12493:$L$12496,MATCH($O12493,$N$12493:$N$12496,0)),"")</f>
        <v/>
      </c>
      <c r="F12493" s="41" t="str">
        <f aca="false">IF(E12493="","",E12493-C12493)</f>
        <v/>
      </c>
      <c r="J12493" s="25" t="str">
        <f aca="false">Lib_Compta</f>
        <v>Mission comptable (tenue, révision, bilan, liasse fiscale)</v>
      </c>
      <c r="K12493" s="25" t="n">
        <f aca="false">IF($K$12466=0,0,N(INDEX(Clients!$K$2:$K$501,$K$12466)))</f>
        <v>0</v>
      </c>
      <c r="L12493" s="25" t="n">
        <f aca="false">IF($K$12466=0,0,N(INDEX(Clients!$P$2:$P$501,$K$12466)))</f>
        <v>0</v>
      </c>
      <c r="M12493" s="25" t="n">
        <f aca="false">IF(OR(K12493&lt;&gt;0,L12493&lt;&gt;0),1,0)</f>
        <v>0</v>
      </c>
      <c r="N12493" s="25" t="str">
        <f aca="false">IF(M12493=1,SUM($M$12493:M12493),"")</f>
        <v/>
      </c>
      <c r="O12493" s="25" t="n">
        <v>1</v>
      </c>
    </row>
    <row r="12494" customFormat="false" ht="16.5" hidden="false" customHeight="true" outlineLevel="0" collapsed="false">
      <c r="B12494" s="40" t="str">
        <f aca="false">IFERROR(INDEX($J$12493:$J$12496,MATCH($O12494,$N$12493:$N$12496,0)),"")</f>
        <v/>
      </c>
      <c r="C12494" s="41" t="str">
        <f aca="false">IFERROR(INDEX($K$12493:$K$12496,MATCH($O12494,$N$12493:$N$12496,0)),"")</f>
        <v/>
      </c>
      <c r="D12494" s="42" t="str">
        <f aca="false">IF(OR(E12494="",N(C12494)=0),"",E12494/C12494-1)</f>
        <v/>
      </c>
      <c r="E12494" s="41" t="str">
        <f aca="false">IFERROR(INDEX($L$12493:$L$12496,MATCH($O12494,$N$12493:$N$12496,0)),"")</f>
        <v/>
      </c>
      <c r="F12494" s="41" t="str">
        <f aca="false">IF(E12494="","",E12494-C12494)</f>
        <v/>
      </c>
      <c r="J12494" s="25" t="str">
        <f aca="false">Lib_Paye</f>
        <v>Mission sociale (bulletins de paie, DSN, déclarations sociales)</v>
      </c>
      <c r="K12494" s="25" t="n">
        <f aca="false">IF($K$12466=0,0,N(INDEX(Clients!$L$2:$L$501,$K$12466)))</f>
        <v>0</v>
      </c>
      <c r="L12494" s="25" t="n">
        <f aca="false">IF($K$12466=0,0,N(INDEX(Clients!$Q$2:$Q$501,$K$12466)))</f>
        <v>0</v>
      </c>
      <c r="M12494" s="25" t="n">
        <f aca="false">IF(OR(K12494&lt;&gt;0,L12494&lt;&gt;0),1,0)</f>
        <v>0</v>
      </c>
      <c r="N12494" s="25" t="str">
        <f aca="false">IF(M12494=1,SUM($M$12493:M12494),"")</f>
        <v/>
      </c>
      <c r="O12494" s="25" t="n">
        <v>2</v>
      </c>
    </row>
    <row r="12495" customFormat="false" ht="16.5" hidden="false" customHeight="true" outlineLevel="0" collapsed="false">
      <c r="B12495" s="40" t="str">
        <f aca="false">IFERROR(INDEX($J$12493:$J$12496,MATCH($O12495,$N$12493:$N$12496,0)),"")</f>
        <v/>
      </c>
      <c r="C12495" s="41" t="str">
        <f aca="false">IFERROR(INDEX($K$12493:$K$12496,MATCH($O12495,$N$12493:$N$12496,0)),"")</f>
        <v/>
      </c>
      <c r="D12495" s="42" t="str">
        <f aca="false">IF(OR(E12495="",N(C12495)=0),"",E12495/C12495-1)</f>
        <v/>
      </c>
      <c r="E12495" s="41" t="str">
        <f aca="false">IFERROR(INDEX($L$12493:$L$12496,MATCH($O12495,$N$12493:$N$12496,0)),"")</f>
        <v/>
      </c>
      <c r="F12495" s="41" t="str">
        <f aca="false">IF(E12495="","",E12495-C12495)</f>
        <v/>
      </c>
      <c r="J12495" s="25" t="str">
        <f aca="false">Lib_Jur</f>
        <v>Mission juridique (approbation des comptes, secrétariat juridique)</v>
      </c>
      <c r="K12495" s="25" t="n">
        <f aca="false">IF($K$12466=0,0,N(INDEX(Clients!$M$2:$M$501,$K$12466)))</f>
        <v>0</v>
      </c>
      <c r="L12495" s="25" t="n">
        <f aca="false">IF($K$12466=0,0,N(INDEX(Clients!$R$2:$R$501,$K$12466)))</f>
        <v>0</v>
      </c>
      <c r="M12495" s="25" t="n">
        <f aca="false">IF(OR(K12495&lt;&gt;0,L12495&lt;&gt;0),1,0)</f>
        <v>0</v>
      </c>
      <c r="N12495" s="25" t="str">
        <f aca="false">IF(M12495=1,SUM($M$12493:M12495),"")</f>
        <v/>
      </c>
      <c r="O12495" s="25" t="n">
        <v>3</v>
      </c>
    </row>
    <row r="12496" customFormat="false" ht="16.5" hidden="false" customHeight="true" outlineLevel="0" collapsed="false">
      <c r="B12496" s="40" t="str">
        <f aca="false">IFERROR(INDEX($J$12493:$J$12496,MATCH($O12496,$N$12493:$N$12496,0)),"")</f>
        <v/>
      </c>
      <c r="C12496" s="41" t="str">
        <f aca="false">IFERROR(INDEX($K$12493:$K$12496,MATCH($O12496,$N$12493:$N$12496,0)),"")</f>
        <v/>
      </c>
      <c r="D12496" s="42" t="str">
        <f aca="false">IF(OR(E12496="",N(C12496)=0),"",E12496/C12496-1)</f>
        <v/>
      </c>
      <c r="E12496" s="41" t="str">
        <f aca="false">IFERROR(INDEX($L$12493:$L$12496,MATCH($O12496,$N$12493:$N$12496,0)),"")</f>
        <v/>
      </c>
      <c r="F12496" s="41" t="str">
        <f aca="false">IF(E12496="","",E12496-C12496)</f>
        <v/>
      </c>
      <c r="J12496" s="25" t="str">
        <f aca="false">Lib_PA</f>
        <v>Plateforme agréée – facturation électronique</v>
      </c>
      <c r="K12496" s="25" t="n">
        <f aca="false">IF($K$12466=0,0,N(INDEX(Clients!$N$2:$N$501,$K$12466)))</f>
        <v>0</v>
      </c>
      <c r="L12496" s="25" t="n">
        <f aca="false">IF($K$12466=0,0,N(INDEX(Clients!$S$2:$S$501,$K$12466)))</f>
        <v>0</v>
      </c>
      <c r="M12496" s="25" t="n">
        <f aca="false">IF(OR(K12496&lt;&gt;0,L12496&lt;&gt;0),1,0)</f>
        <v>0</v>
      </c>
      <c r="N12496" s="25" t="str">
        <f aca="false">IF(M12496=1,SUM($M$12493:M12496),"")</f>
        <v/>
      </c>
      <c r="O12496" s="25" t="n">
        <v>4</v>
      </c>
    </row>
    <row r="12497" customFormat="false" ht="18" hidden="false" customHeight="true" outlineLevel="0" collapsed="false">
      <c r="B12497" s="43" t="s">
        <v>158</v>
      </c>
      <c r="C12497" s="44" t="n">
        <f aca="false">SUM(K12493:K12496)</f>
        <v>0</v>
      </c>
      <c r="D12497" s="45" t="str">
        <f aca="false">IF(N(C12497)=0,"",E12497/C12497-1)</f>
        <v/>
      </c>
      <c r="E12497" s="44" t="n">
        <f aca="false">SUM(L12493:L12496)</f>
        <v>0</v>
      </c>
      <c r="F12497" s="44" t="n">
        <f aca="false">E12497-C12497</f>
        <v>0</v>
      </c>
    </row>
    <row r="12498" customFormat="false" ht="15" hidden="false" customHeight="false" outlineLevel="0" collapsed="false">
      <c r="B12498" s="46" t="str">
        <f aca="false">IF(N(Nb_Mensualites)=0,"","Soit "&amp;FIXED(E12497/Nb_Mensualites,2)&amp;" € HT par échéance ("&amp;Nb_Mensualites&amp;" échéances), "&amp;FIXED(E12497/Nb_Mensualites*(1+Taux_TVA),2)&amp;" € TTC.")</f>
        <v>Soit 0.00 € HT par échéance (12 échéances), 0.00 € TTC.</v>
      </c>
      <c r="C12498" s="46"/>
      <c r="D12498" s="46"/>
      <c r="E12498" s="46"/>
      <c r="F12498" s="46"/>
    </row>
    <row r="12499" customFormat="false" ht="7.5" hidden="false" customHeight="true" outlineLevel="0" collapsed="false">
      <c r="B12499" s="10"/>
      <c r="C12499" s="10"/>
      <c r="D12499" s="10"/>
      <c r="E12499" s="10"/>
      <c r="F12499" s="10"/>
    </row>
    <row r="12500" customFormat="false" ht="36.75" hidden="false" customHeight="true" outlineLevel="0" collapsed="false">
      <c r="B12500" s="37" t="str">
        <f aca="false">SUBSTITUTE(SUBSTITUTE(SUBSTITUTE(SUBSTITUTE(SUBSTITUTE(Txt_P5,"{cabinet}",Cab_Nom),"{societe}",IF($K$12466=0,"",INDEX(Clients!$E$2:$E$501,$K$12466)&amp;"")),"{date_effet}",$K$12468),"{hausse}",$K$12469),"{civilite}",$K$12467)</f>
        <v>Les autres conditions de votre lettre de mission demeurent inchangées. Les nouveaux montants seront appliqués automatiquement sur vos prochaines factures et échéances de prélèvement.</v>
      </c>
      <c r="C12500" s="37"/>
      <c r="D12500" s="37"/>
      <c r="E12500" s="37"/>
      <c r="F12500" s="37"/>
    </row>
    <row r="12501" customFormat="false" ht="36.75" hidden="false" customHeight="true" outlineLevel="0" collapsed="false">
      <c r="B12501" s="37" t="str">
        <f aca="false">SUBSTITUTE(SUBSTITUTE(SUBSTITUTE(SUBSTITUTE(SUBSTITUTE(Txt_P6,"{cabinet}",Cab_Nom),"{societe}",IF($K$12466=0,"",INDEX(Clients!$E$2:$E$501,$K$12466)&amp;"")),"{date_effet}",$K$12468),"{hausse}",$K$12469),"{civilite}",$K$12467)</f>
        <v>Votre interlocuteur habituel reste à votre entière disposition pour répondre à vos questions et faire le point sur l'évolution de vos besoins.</v>
      </c>
      <c r="C12501" s="37"/>
      <c r="D12501" s="37"/>
      <c r="E12501" s="37"/>
      <c r="F12501" s="37"/>
    </row>
    <row r="12502" customFormat="false" ht="24" hidden="false" customHeight="true" outlineLevel="0" collapsed="false">
      <c r="B12502" s="37" t="str">
        <f aca="false">SUBSTITUTE(SUBSTITUTE(SUBSTITUTE(SUBSTITUTE(SUBSTITUTE(Txt_Politesse,"{cabinet}",Cab_Nom),"{societe}",IF($K$12466=0,"",INDEX(Clients!$E$2:$E$501,$K$12466)&amp;"")),"{date_effet}",$K$12468),"{hausse}",$K$12469),"{civilite}",$K$12467)</f>
        <v>Nous vous prions d'agréer, Madame, Monsieur, l'expression de nos salutations distinguées.</v>
      </c>
      <c r="C12502" s="37"/>
      <c r="D12502" s="37"/>
      <c r="E12502" s="37"/>
      <c r="F12502" s="37"/>
    </row>
    <row r="12503" customFormat="false" ht="15" hidden="false" customHeight="false" outlineLevel="0" collapsed="false">
      <c r="B12503" s="10"/>
      <c r="C12503" s="10"/>
      <c r="D12503" s="10"/>
      <c r="E12503" s="10"/>
      <c r="F12503" s="10"/>
    </row>
    <row r="12504" customFormat="false" ht="15" hidden="false" customHeight="false" outlineLevel="0" collapsed="false">
      <c r="B12504" s="10"/>
      <c r="C12504" s="10"/>
      <c r="D12504" s="34" t="str">
        <f aca="false">Signataire</f>
        <v>Prénom NOM</v>
      </c>
      <c r="E12504" s="34"/>
      <c r="F12504" s="34"/>
    </row>
    <row r="12505" customFormat="false" ht="15" hidden="false" customHeight="false" outlineLevel="0" collapsed="false">
      <c r="B12505" s="10"/>
      <c r="C12505" s="10"/>
      <c r="D12505" s="47" t="str">
        <f aca="false">Signataire_Titre</f>
        <v>Expert-comptable associé</v>
      </c>
      <c r="E12505" s="47"/>
      <c r="F12505" s="47"/>
    </row>
    <row r="12506" customFormat="false" ht="15.75" hidden="false" customHeight="true" outlineLevel="0" collapsed="false">
      <c r="B12506" s="10"/>
      <c r="C12506" s="10"/>
      <c r="D12506" s="10"/>
      <c r="E12506" s="10"/>
      <c r="F12506" s="10"/>
    </row>
    <row r="12507" customFormat="false" ht="15.75" hidden="false" customHeight="true" outlineLevel="0" collapsed="false">
      <c r="B12507" s="10"/>
      <c r="C12507" s="10"/>
      <c r="D12507" s="10"/>
      <c r="E12507" s="10"/>
      <c r="F12507" s="10"/>
    </row>
    <row r="12508" customFormat="false" ht="15.75" hidden="false" customHeight="true" outlineLevel="0" collapsed="false">
      <c r="B12508" s="10"/>
      <c r="C12508" s="10"/>
      <c r="D12508" s="10"/>
      <c r="E12508" s="10"/>
      <c r="F12508" s="10"/>
    </row>
    <row r="12509" customFormat="false" ht="15.75" hidden="false" customHeight="true" outlineLevel="0" collapsed="false">
      <c r="B12509" s="10"/>
      <c r="C12509" s="10"/>
      <c r="D12509" s="10"/>
      <c r="E12509" s="10"/>
      <c r="F12509" s="10"/>
    </row>
    <row r="12510" customFormat="false" ht="24" hidden="false" customHeight="true" outlineLevel="0" collapsed="false">
      <c r="B12510" s="48" t="str">
        <f aca="false">Cab_Mentions</f>
        <v>ALTHO EXPERTISE · SAS au capital de 10 000 € · RCS Pontoise 919 706 325 · TVA FR62919706325 · Société d'expertise comptable inscrite au Tableau de l'Ordre des experts-comptables de Paris Île-de-France</v>
      </c>
      <c r="C12510" s="48"/>
      <c r="D12510" s="48"/>
      <c r="E12510" s="48"/>
      <c r="F12510" s="48"/>
    </row>
    <row r="12511" customFormat="false" ht="15" hidden="false" customHeight="false" outlineLevel="0" collapsed="false">
      <c r="B12511" s="10"/>
      <c r="C12511" s="10"/>
      <c r="D12511" s="10"/>
      <c r="E12511" s="10"/>
      <c r="F12511" s="10"/>
      <c r="J12511" s="25" t="s">
        <v>142</v>
      </c>
      <c r="K12511" s="25" t="n">
        <f aca="false">IFERROR(MATCH(279,Clients!$Z$2:$Z$501,0),0)</f>
        <v>0</v>
      </c>
      <c r="L12511" s="25"/>
      <c r="M12511" s="25"/>
      <c r="N12511" s="25"/>
      <c r="O12511" s="25"/>
    </row>
    <row r="12512" customFormat="false" ht="21.75" hidden="false" customHeight="true" outlineLevel="0" collapsed="false">
      <c r="B12512" s="26" t="str">
        <f aca="false">Cab_Nom</f>
        <v>ALTHO EXPERTISE</v>
      </c>
      <c r="C12512" s="26"/>
      <c r="D12512" s="10"/>
      <c r="E12512" s="27" t="str">
        <f aca="false">IF($K$12511=0,"","Réf. client : "&amp;INDEX(Clients!$A$2:$A$501,$K$12511))</f>
        <v/>
      </c>
      <c r="F12512" s="27"/>
      <c r="J12512" s="25" t="s">
        <v>144</v>
      </c>
      <c r="K12512" s="25" t="str">
        <f aca="false">IF(IF($K$12511=0,"",INDEX(Clients!$B$2:$B$501,$K$12511)&amp;"")="Mme","Madame",IF(IF($K$12511=0,"",INDEX(Clients!$B$2:$B$501,$K$12511)&amp;"")="M.","Monsieur","Madame, Monsieur"))</f>
        <v>Madame, Monsieur</v>
      </c>
      <c r="L12512" s="25"/>
      <c r="M12512" s="25"/>
      <c r="N12512" s="25"/>
      <c r="O12512" s="25"/>
    </row>
    <row r="12513" customFormat="false" ht="15" hidden="false" customHeight="false" outlineLevel="0" collapsed="false">
      <c r="B12513" s="29" t="str">
        <f aca="false">Cab_Adr1</f>
        <v>141 rue Charles de Gaulle</v>
      </c>
      <c r="C12513" s="29"/>
      <c r="D12513" s="10"/>
      <c r="E12513" s="10"/>
      <c r="F12513" s="10"/>
      <c r="J12513" s="25" t="s">
        <v>145</v>
      </c>
      <c r="K12513" s="25" t="str">
        <f aca="false">DAY(Date_Effet)&amp;IF(DAY(Date_Effet)=1,"er","")&amp;" "&amp;INDEX(Liste_Mois,MONTH(Date_Effet))&amp;" "&amp;YEAR(Date_Effet)</f>
        <v>1er janvier 2027</v>
      </c>
      <c r="L12513" s="25"/>
      <c r="M12513" s="25"/>
      <c r="N12513" s="25"/>
      <c r="O12513" s="25"/>
    </row>
    <row r="12514" customFormat="false" ht="15" hidden="false" customHeight="false" outlineLevel="0" collapsed="false">
      <c r="B12514" s="29" t="str">
        <f aca="false">Cab_CPVille</f>
        <v>95130 LE PLESSIS-BOUCHARD</v>
      </c>
      <c r="C12514" s="29"/>
      <c r="D12514" s="10"/>
      <c r="E12514" s="10"/>
      <c r="F12514" s="10"/>
      <c r="J12514" s="25" t="s">
        <v>146</v>
      </c>
      <c r="K12514" s="25" t="str">
        <f aca="false">IF(SUM($K$12538:$K$12541)=0,"",FIXED((SUM($L$12538:$L$12541)/SUM($K$12538:$K$12541)-1)*100,1)&amp;" %")</f>
        <v/>
      </c>
      <c r="L12514" s="25"/>
      <c r="M12514" s="25"/>
      <c r="N12514" s="25"/>
      <c r="O12514" s="25"/>
    </row>
    <row r="12515" customFormat="false" ht="15" hidden="false" customHeight="false" outlineLevel="0" collapsed="false">
      <c r="B12515" s="29" t="str">
        <f aca="false">Cab_Contact</f>
        <v>Tél. 01 34 14 53 45  ·  altho@altho-experts.com  ·  altho-experts.com</v>
      </c>
      <c r="C12515" s="29"/>
      <c r="D12515" s="10"/>
      <c r="E12515" s="10"/>
      <c r="F12515" s="10"/>
      <c r="J12515" s="25"/>
      <c r="K12515" s="25"/>
      <c r="L12515" s="25"/>
      <c r="M12515" s="25"/>
      <c r="N12515" s="25"/>
      <c r="O12515" s="25"/>
    </row>
    <row r="12516" customFormat="false" ht="6" hidden="false" customHeight="true" outlineLevel="0" collapsed="false">
      <c r="B12516" s="32"/>
      <c r="C12516" s="32"/>
      <c r="D12516" s="32"/>
      <c r="E12516" s="32"/>
      <c r="F12516" s="32"/>
      <c r="J12516" s="25"/>
      <c r="K12516" s="25"/>
      <c r="L12516" s="25"/>
      <c r="M12516" s="25"/>
      <c r="N12516" s="25"/>
      <c r="O12516" s="25"/>
    </row>
    <row r="12517" customFormat="false" ht="13.5" hidden="false" customHeight="true" outlineLevel="0" collapsed="false">
      <c r="B12517" s="10"/>
      <c r="C12517" s="10"/>
      <c r="D12517" s="10"/>
      <c r="E12517" s="10"/>
      <c r="F12517" s="10"/>
      <c r="J12517" s="25"/>
      <c r="K12517" s="25"/>
      <c r="L12517" s="25"/>
      <c r="M12517" s="25"/>
      <c r="N12517" s="25"/>
      <c r="O12517" s="25"/>
    </row>
    <row r="12518" customFormat="false" ht="13.5" hidden="false" customHeight="true" outlineLevel="0" collapsed="false">
      <c r="B12518" s="10"/>
      <c r="C12518" s="10"/>
      <c r="D12518" s="10"/>
      <c r="E12518" s="10"/>
      <c r="F12518" s="10"/>
      <c r="J12518" s="25"/>
      <c r="K12518" s="25"/>
      <c r="L12518" s="25"/>
      <c r="M12518" s="25"/>
      <c r="N12518" s="25"/>
      <c r="O12518" s="25"/>
    </row>
    <row r="12519" customFormat="false" ht="13.5" hidden="false" customHeight="true" outlineLevel="0" collapsed="false">
      <c r="B12519" s="10"/>
      <c r="C12519" s="10"/>
      <c r="D12519" s="10"/>
      <c r="E12519" s="10"/>
      <c r="F12519" s="10"/>
      <c r="J12519" s="25"/>
      <c r="K12519" s="25"/>
      <c r="L12519" s="25"/>
      <c r="M12519" s="25"/>
      <c r="N12519" s="25"/>
      <c r="O12519" s="25"/>
    </row>
    <row r="12520" customFormat="false" ht="15" hidden="false" customHeight="true" outlineLevel="0" collapsed="false">
      <c r="B12520" s="10"/>
      <c r="C12520" s="10"/>
      <c r="D12520" s="34" t="str">
        <f aca="false">IF($K$12511=0,"",INDEX(Clients!$E$2:$E$501,$K$12511)&amp;"")</f>
        <v/>
      </c>
      <c r="E12520" s="34"/>
      <c r="F12520" s="34"/>
      <c r="J12520" s="25"/>
      <c r="K12520" s="25"/>
      <c r="L12520" s="25"/>
      <c r="M12520" s="25"/>
      <c r="N12520" s="25"/>
      <c r="O12520" s="25"/>
    </row>
    <row r="12521" customFormat="false" ht="15" hidden="false" customHeight="true" outlineLevel="0" collapsed="false">
      <c r="B12521" s="10"/>
      <c r="C12521" s="10"/>
      <c r="D12521" s="35" t="str">
        <f aca="false">IF(IF($K$12511=0,"",INDEX(Clients!$D$2:$D$501,$K$12511)&amp;"")="","","À l'attention de "&amp;TRIM(IF($K$12511=0,"",INDEX(Clients!$B$2:$B$501,$K$12511)&amp;"")&amp;" "&amp;IF($K$12511=0,"",INDEX(Clients!$C$2:$C$501,$K$12511)&amp;"")&amp;" "&amp;IF($K$12511=0,"",INDEX(Clients!$D$2:$D$501,$K$12511)&amp;"")))</f>
        <v/>
      </c>
      <c r="E12521" s="35"/>
      <c r="F12521" s="35"/>
      <c r="J12521" s="25"/>
      <c r="K12521" s="25"/>
      <c r="L12521" s="25"/>
      <c r="M12521" s="25"/>
      <c r="N12521" s="25"/>
      <c r="O12521" s="25"/>
    </row>
    <row r="12522" customFormat="false" ht="15" hidden="false" customHeight="true" outlineLevel="0" collapsed="false">
      <c r="B12522" s="10"/>
      <c r="C12522" s="10"/>
      <c r="D12522" s="35" t="str">
        <f aca="false">IF($K$12511=0,"",INDEX(Clients!$F$2:$F$501,$K$12511)&amp;"")</f>
        <v/>
      </c>
      <c r="E12522" s="35"/>
      <c r="F12522" s="35"/>
      <c r="J12522" s="25"/>
      <c r="K12522" s="25"/>
      <c r="L12522" s="25"/>
      <c r="M12522" s="25"/>
      <c r="N12522" s="25"/>
      <c r="O12522" s="25"/>
    </row>
    <row r="12523" customFormat="false" ht="15" hidden="false" customHeight="true" outlineLevel="0" collapsed="false">
      <c r="B12523" s="10"/>
      <c r="C12523" s="10"/>
      <c r="D12523" s="35" t="str">
        <f aca="false">IF(IF($K$12511=0,"",INDEX(Clients!$G$2:$G$501,$K$12511)&amp;"")="",TRIM(IF($K$12511=0,"",INDEX(Clients!$H$2:$H$501,$K$12511)&amp;"")&amp;" "&amp;UPPER(IF($K$12511=0,"",INDEX(Clients!$I$2:$I$501,$K$12511)&amp;""))),IF($K$12511=0,"",INDEX(Clients!$G$2:$G$501,$K$12511)&amp;""))</f>
        <v/>
      </c>
      <c r="E12523" s="35"/>
      <c r="F12523" s="35"/>
      <c r="J12523" s="25"/>
      <c r="K12523" s="25"/>
      <c r="L12523" s="25"/>
      <c r="M12523" s="25"/>
      <c r="N12523" s="25"/>
      <c r="O12523" s="25"/>
    </row>
    <row r="12524" customFormat="false" ht="15" hidden="false" customHeight="true" outlineLevel="0" collapsed="false">
      <c r="B12524" s="10"/>
      <c r="C12524" s="10"/>
      <c r="D12524" s="35" t="str">
        <f aca="false">IF(IF($K$12511=0,"",INDEX(Clients!$G$2:$G$501,$K$12511)&amp;"")="","",TRIM(IF($K$12511=0,"",INDEX(Clients!$H$2:$H$501,$K$12511)&amp;"")&amp;" "&amp;UPPER(IF($K$12511=0,"",INDEX(Clients!$I$2:$I$501,$K$12511)&amp;""))))</f>
        <v/>
      </c>
      <c r="E12524" s="35"/>
      <c r="F12524" s="35"/>
      <c r="J12524" s="25"/>
      <c r="K12524" s="25"/>
      <c r="L12524" s="25"/>
      <c r="M12524" s="25"/>
      <c r="N12524" s="25"/>
      <c r="O12524" s="25"/>
    </row>
    <row r="12525" customFormat="false" ht="25.5" hidden="false" customHeight="true" outlineLevel="0" collapsed="false">
      <c r="B12525" s="10"/>
      <c r="C12525" s="10"/>
      <c r="D12525" s="10"/>
      <c r="E12525" s="10"/>
      <c r="F12525" s="10"/>
      <c r="J12525" s="25"/>
      <c r="K12525" s="25"/>
      <c r="L12525" s="25"/>
      <c r="M12525" s="25"/>
      <c r="N12525" s="25"/>
      <c r="O12525" s="25"/>
    </row>
    <row r="12526" customFormat="false" ht="15" hidden="false" customHeight="false" outlineLevel="0" collapsed="false">
      <c r="B12526" s="10"/>
      <c r="C12526" s="10"/>
      <c r="D12526" s="36" t="str">
        <f aca="false">Cab_Ville&amp;", le "&amp;DAY(Date_Courrier)&amp;IF(DAY(Date_Courrier)=1,"er","")&amp;" "&amp;INDEX(Liste_Mois,MONTH(Date_Courrier))&amp;" "&amp;YEAR(Date_Courrier)</f>
        <v>Le Plessis-Bouchard, le 22 septembre 2026</v>
      </c>
      <c r="E12526" s="36"/>
      <c r="F12526" s="36"/>
      <c r="J12526" s="25"/>
      <c r="K12526" s="25"/>
      <c r="L12526" s="25"/>
      <c r="M12526" s="25"/>
      <c r="N12526" s="25"/>
      <c r="O12526" s="25"/>
    </row>
    <row r="12527" customFormat="false" ht="19.5" hidden="false" customHeight="true" outlineLevel="0" collapsed="false">
      <c r="B12527" s="10"/>
      <c r="C12527" s="10"/>
      <c r="D12527" s="10"/>
      <c r="E12527" s="10"/>
      <c r="F12527" s="10"/>
      <c r="J12527" s="25"/>
      <c r="K12527" s="25"/>
      <c r="L12527" s="25"/>
      <c r="M12527" s="25"/>
      <c r="N12527" s="25"/>
      <c r="O12527" s="25"/>
    </row>
    <row r="12528" customFormat="false" ht="15" hidden="false" customHeight="false" outlineLevel="0" collapsed="false">
      <c r="B12528" s="34" t="str">
        <f aca="false">SUBSTITUTE(SUBSTITUTE(SUBSTITUTE(SUBSTITUTE(SUBSTITUTE(Txt_Objet,"{cabinet}",Cab_Nom),"{societe}",IF($K$12511=0,"",INDEX(Clients!$E$2:$E$501,$K$12511)&amp;"")),"{date_effet}",$K$12513),"{hausse}",$K$12514),"{civilite}",$K$12512)</f>
        <v>Objet : révision de nos honoraires au 1er janvier 2027</v>
      </c>
      <c r="C12528" s="34"/>
      <c r="D12528" s="34"/>
      <c r="E12528" s="34"/>
      <c r="F12528" s="34"/>
      <c r="J12528" s="25"/>
      <c r="K12528" s="25"/>
      <c r="L12528" s="25"/>
      <c r="M12528" s="25"/>
      <c r="N12528" s="25"/>
      <c r="O12528" s="25"/>
    </row>
    <row r="12529" customFormat="false" ht="13.5" hidden="false" customHeight="true" outlineLevel="0" collapsed="false">
      <c r="B12529" s="10"/>
      <c r="C12529" s="10"/>
      <c r="D12529" s="10"/>
      <c r="E12529" s="10"/>
      <c r="F12529" s="10"/>
      <c r="J12529" s="25"/>
      <c r="K12529" s="25"/>
      <c r="L12529" s="25"/>
      <c r="M12529" s="25"/>
      <c r="N12529" s="25"/>
      <c r="O12529" s="25"/>
    </row>
    <row r="12530" customFormat="false" ht="15" hidden="false" customHeight="false" outlineLevel="0" collapsed="false">
      <c r="B12530" s="10" t="str">
        <f aca="false">$K$12512&amp;","</f>
        <v>Madame, Monsieur,</v>
      </c>
      <c r="C12530" s="10"/>
      <c r="D12530" s="10"/>
      <c r="E12530" s="10"/>
      <c r="F12530" s="10"/>
      <c r="J12530" s="25"/>
      <c r="K12530" s="25"/>
      <c r="L12530" s="25"/>
      <c r="M12530" s="25"/>
      <c r="N12530" s="25"/>
      <c r="O12530" s="25"/>
    </row>
    <row r="12531" customFormat="false" ht="6" hidden="false" customHeight="true" outlineLevel="0" collapsed="false">
      <c r="B12531" s="10"/>
      <c r="C12531" s="10"/>
      <c r="D12531" s="10"/>
      <c r="E12531" s="10"/>
      <c r="F12531" s="10"/>
      <c r="J12531" s="25"/>
      <c r="K12531" s="25"/>
      <c r="L12531" s="25"/>
      <c r="M12531" s="25"/>
      <c r="N12531" s="25"/>
      <c r="O12531" s="25"/>
    </row>
    <row r="12532" customFormat="false" ht="36.75" hidden="false" customHeight="true" outlineLevel="0" collapsed="false">
      <c r="B12532" s="37" t="str">
        <f aca="false">SUBSTITUTE(SUBSTITUTE(SUBSTITUTE(SUBSTITUTE(SUBSTITUTE(Txt_P1,"{cabinet}",Cab_Nom),"{societe}",IF($K$12511=0,"",INDEX(Clients!$E$2:$E$501,$K$12511)&amp;"")),"{date_effet}",$K$12513),"{hausse}",$K$12514),"{civilite}",$K$12512)</f>
        <v>Nous tenons tout d'abord à vous remercier pour la confiance que vous accordez à ALTHO EXPERTISE. Comme chaque année, et conformément aux dispositions de votre lettre de mission, nous procédons à la révision de nos honoraires.</v>
      </c>
      <c r="C12532" s="37"/>
      <c r="D12532" s="37"/>
      <c r="E12532" s="37"/>
      <c r="F12532" s="37"/>
      <c r="J12532" s="25"/>
      <c r="K12532" s="25"/>
      <c r="L12532" s="25"/>
      <c r="M12532" s="25"/>
      <c r="N12532" s="25"/>
      <c r="O12532" s="25"/>
    </row>
    <row r="12533" customFormat="false" ht="49.5" hidden="false" customHeight="true" outlineLevel="0" collapsed="false">
      <c r="B12533" s="37" t="str">
        <f aca="false">SUBSTITUTE(SUBSTITUTE(SUBSTITUTE(SUBSTITUTE(SUBSTITUTE(Txt_P2,"{cabinet}",Cab_Nom),"{societe}",IF($K$12511=0,"",INDEX(Clients!$E$2:$E$501,$K$12511)&amp;"")),"{date_effet}",$K$12513),"{hausse}",$K$12514),"{civilite}",$K$12512)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533" s="37"/>
      <c r="D12533" s="37"/>
      <c r="E12533" s="37"/>
      <c r="F12533" s="37"/>
      <c r="J12533" s="25"/>
      <c r="K12533" s="25"/>
      <c r="L12533" s="25"/>
      <c r="M12533" s="25"/>
      <c r="N12533" s="25"/>
      <c r="O12533" s="25"/>
    </row>
    <row r="12534" customFormat="false" ht="63" hidden="false" customHeight="true" outlineLevel="0" collapsed="false">
      <c r="B12534" s="37" t="str">
        <f aca="false">SUBSTITUTE(SUBSTITUTE(SUBSTITUTE(SUBSTITUTE(SUBSTITUTE(Txt_P3,"{cabinet}",Cab_Nom),"{societe}",IF($K$12511=0,"",INDEX(Clients!$E$2:$E$501,$K$12511)&amp;"")),"{date_effet}",$K$12513),"{hausse}",$K$12514),"{civilite}",$K$12512)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534" s="37"/>
      <c r="D12534" s="37"/>
      <c r="E12534" s="37"/>
      <c r="F12534" s="37"/>
      <c r="J12534" s="25"/>
      <c r="K12534" s="25"/>
      <c r="L12534" s="25"/>
      <c r="M12534" s="25"/>
      <c r="N12534" s="25"/>
      <c r="O12534" s="25"/>
    </row>
    <row r="12535" customFormat="false" ht="24" hidden="false" customHeight="true" outlineLevel="0" collapsed="false">
      <c r="B12535" s="37" t="str">
        <f aca="false">SUBSTITUTE(SUBSTITUTE(SUBSTITUTE(SUBSTITUTE(SUBSTITUTE(Txt_P4,"{cabinet}",Cab_Nom),"{societe}",IF($K$12511=0,"",INDEX(Clients!$E$2:$E$501,$K$12511)&amp;"")),"{date_effet}",$K$12513),"{hausse}",$K$12514),"{civilite}",$K$12512)</f>
        <v>À compter du 1er janvier 2027, vos honoraires annuels hors taxes évolueront ainsi (évolution globale : ) :</v>
      </c>
      <c r="C12535" s="37"/>
      <c r="D12535" s="37"/>
      <c r="E12535" s="37"/>
      <c r="F12535" s="37"/>
      <c r="J12535" s="25"/>
      <c r="K12535" s="25"/>
      <c r="L12535" s="25"/>
      <c r="M12535" s="25"/>
      <c r="N12535" s="25"/>
      <c r="O12535" s="25"/>
    </row>
    <row r="12536" customFormat="false" ht="3.75" hidden="false" customHeight="true" outlineLevel="0" collapsed="false">
      <c r="B12536" s="10"/>
      <c r="C12536" s="10"/>
      <c r="D12536" s="10"/>
      <c r="E12536" s="10"/>
      <c r="F12536" s="10"/>
      <c r="J12536" s="25"/>
      <c r="K12536" s="25"/>
      <c r="L12536" s="25"/>
      <c r="M12536" s="25"/>
      <c r="N12536" s="25"/>
      <c r="O12536" s="25"/>
    </row>
    <row r="12537" customFormat="false" ht="18" hidden="false" customHeight="true" outlineLevel="0" collapsed="false">
      <c r="B12537" s="38" t="s">
        <v>148</v>
      </c>
      <c r="C12537" s="39" t="s">
        <v>149</v>
      </c>
      <c r="D12537" s="39" t="s">
        <v>150</v>
      </c>
      <c r="E12537" s="39" t="s">
        <v>151</v>
      </c>
      <c r="F12537" s="39" t="s">
        <v>109</v>
      </c>
      <c r="J12537" s="25" t="s">
        <v>152</v>
      </c>
      <c r="K12537" s="25" t="s">
        <v>153</v>
      </c>
      <c r="L12537" s="25" t="s">
        <v>154</v>
      </c>
      <c r="M12537" s="25" t="s">
        <v>155</v>
      </c>
      <c r="N12537" s="25" t="s">
        <v>156</v>
      </c>
      <c r="O12537" s="25" t="s">
        <v>157</v>
      </c>
    </row>
    <row r="12538" customFormat="false" ht="16.5" hidden="false" customHeight="true" outlineLevel="0" collapsed="false">
      <c r="B12538" s="40" t="str">
        <f aca="false">IFERROR(INDEX($J$12538:$J$12541,MATCH($O12538,$N$12538:$N$12541,0)),"")</f>
        <v/>
      </c>
      <c r="C12538" s="41" t="str">
        <f aca="false">IFERROR(INDEX($K$12538:$K$12541,MATCH($O12538,$N$12538:$N$12541,0)),"")</f>
        <v/>
      </c>
      <c r="D12538" s="42" t="str">
        <f aca="false">IF(OR(E12538="",N(C12538)=0),"",E12538/C12538-1)</f>
        <v/>
      </c>
      <c r="E12538" s="41" t="str">
        <f aca="false">IFERROR(INDEX($L$12538:$L$12541,MATCH($O12538,$N$12538:$N$12541,0)),"")</f>
        <v/>
      </c>
      <c r="F12538" s="41" t="str">
        <f aca="false">IF(E12538="","",E12538-C12538)</f>
        <v/>
      </c>
      <c r="J12538" s="25" t="str">
        <f aca="false">Lib_Compta</f>
        <v>Mission comptable (tenue, révision, bilan, liasse fiscale)</v>
      </c>
      <c r="K12538" s="25" t="n">
        <f aca="false">IF($K$12511=0,0,N(INDEX(Clients!$K$2:$K$501,$K$12511)))</f>
        <v>0</v>
      </c>
      <c r="L12538" s="25" t="n">
        <f aca="false">IF($K$12511=0,0,N(INDEX(Clients!$P$2:$P$501,$K$12511)))</f>
        <v>0</v>
      </c>
      <c r="M12538" s="25" t="n">
        <f aca="false">IF(OR(K12538&lt;&gt;0,L12538&lt;&gt;0),1,0)</f>
        <v>0</v>
      </c>
      <c r="N12538" s="25" t="str">
        <f aca="false">IF(M12538=1,SUM($M$12538:M12538),"")</f>
        <v/>
      </c>
      <c r="O12538" s="25" t="n">
        <v>1</v>
      </c>
    </row>
    <row r="12539" customFormat="false" ht="16.5" hidden="false" customHeight="true" outlineLevel="0" collapsed="false">
      <c r="B12539" s="40" t="str">
        <f aca="false">IFERROR(INDEX($J$12538:$J$12541,MATCH($O12539,$N$12538:$N$12541,0)),"")</f>
        <v/>
      </c>
      <c r="C12539" s="41" t="str">
        <f aca="false">IFERROR(INDEX($K$12538:$K$12541,MATCH($O12539,$N$12538:$N$12541,0)),"")</f>
        <v/>
      </c>
      <c r="D12539" s="42" t="str">
        <f aca="false">IF(OR(E12539="",N(C12539)=0),"",E12539/C12539-1)</f>
        <v/>
      </c>
      <c r="E12539" s="41" t="str">
        <f aca="false">IFERROR(INDEX($L$12538:$L$12541,MATCH($O12539,$N$12538:$N$12541,0)),"")</f>
        <v/>
      </c>
      <c r="F12539" s="41" t="str">
        <f aca="false">IF(E12539="","",E12539-C12539)</f>
        <v/>
      </c>
      <c r="J12539" s="25" t="str">
        <f aca="false">Lib_Paye</f>
        <v>Mission sociale (bulletins de paie, DSN, déclarations sociales)</v>
      </c>
      <c r="K12539" s="25" t="n">
        <f aca="false">IF($K$12511=0,0,N(INDEX(Clients!$L$2:$L$501,$K$12511)))</f>
        <v>0</v>
      </c>
      <c r="L12539" s="25" t="n">
        <f aca="false">IF($K$12511=0,0,N(INDEX(Clients!$Q$2:$Q$501,$K$12511)))</f>
        <v>0</v>
      </c>
      <c r="M12539" s="25" t="n">
        <f aca="false">IF(OR(K12539&lt;&gt;0,L12539&lt;&gt;0),1,0)</f>
        <v>0</v>
      </c>
      <c r="N12539" s="25" t="str">
        <f aca="false">IF(M12539=1,SUM($M$12538:M12539),"")</f>
        <v/>
      </c>
      <c r="O12539" s="25" t="n">
        <v>2</v>
      </c>
    </row>
    <row r="12540" customFormat="false" ht="16.5" hidden="false" customHeight="true" outlineLevel="0" collapsed="false">
      <c r="B12540" s="40" t="str">
        <f aca="false">IFERROR(INDEX($J$12538:$J$12541,MATCH($O12540,$N$12538:$N$12541,0)),"")</f>
        <v/>
      </c>
      <c r="C12540" s="41" t="str">
        <f aca="false">IFERROR(INDEX($K$12538:$K$12541,MATCH($O12540,$N$12538:$N$12541,0)),"")</f>
        <v/>
      </c>
      <c r="D12540" s="42" t="str">
        <f aca="false">IF(OR(E12540="",N(C12540)=0),"",E12540/C12540-1)</f>
        <v/>
      </c>
      <c r="E12540" s="41" t="str">
        <f aca="false">IFERROR(INDEX($L$12538:$L$12541,MATCH($O12540,$N$12538:$N$12541,0)),"")</f>
        <v/>
      </c>
      <c r="F12540" s="41" t="str">
        <f aca="false">IF(E12540="","",E12540-C12540)</f>
        <v/>
      </c>
      <c r="J12540" s="25" t="str">
        <f aca="false">Lib_Jur</f>
        <v>Mission juridique (approbation des comptes, secrétariat juridique)</v>
      </c>
      <c r="K12540" s="25" t="n">
        <f aca="false">IF($K$12511=0,0,N(INDEX(Clients!$M$2:$M$501,$K$12511)))</f>
        <v>0</v>
      </c>
      <c r="L12540" s="25" t="n">
        <f aca="false">IF($K$12511=0,0,N(INDEX(Clients!$R$2:$R$501,$K$12511)))</f>
        <v>0</v>
      </c>
      <c r="M12540" s="25" t="n">
        <f aca="false">IF(OR(K12540&lt;&gt;0,L12540&lt;&gt;0),1,0)</f>
        <v>0</v>
      </c>
      <c r="N12540" s="25" t="str">
        <f aca="false">IF(M12540=1,SUM($M$12538:M12540),"")</f>
        <v/>
      </c>
      <c r="O12540" s="25" t="n">
        <v>3</v>
      </c>
    </row>
    <row r="12541" customFormat="false" ht="16.5" hidden="false" customHeight="true" outlineLevel="0" collapsed="false">
      <c r="B12541" s="40" t="str">
        <f aca="false">IFERROR(INDEX($J$12538:$J$12541,MATCH($O12541,$N$12538:$N$12541,0)),"")</f>
        <v/>
      </c>
      <c r="C12541" s="41" t="str">
        <f aca="false">IFERROR(INDEX($K$12538:$K$12541,MATCH($O12541,$N$12538:$N$12541,0)),"")</f>
        <v/>
      </c>
      <c r="D12541" s="42" t="str">
        <f aca="false">IF(OR(E12541="",N(C12541)=0),"",E12541/C12541-1)</f>
        <v/>
      </c>
      <c r="E12541" s="41" t="str">
        <f aca="false">IFERROR(INDEX($L$12538:$L$12541,MATCH($O12541,$N$12538:$N$12541,0)),"")</f>
        <v/>
      </c>
      <c r="F12541" s="41" t="str">
        <f aca="false">IF(E12541="","",E12541-C12541)</f>
        <v/>
      </c>
      <c r="J12541" s="25" t="str">
        <f aca="false">Lib_PA</f>
        <v>Plateforme agréée – facturation électronique</v>
      </c>
      <c r="K12541" s="25" t="n">
        <f aca="false">IF($K$12511=0,0,N(INDEX(Clients!$N$2:$N$501,$K$12511)))</f>
        <v>0</v>
      </c>
      <c r="L12541" s="25" t="n">
        <f aca="false">IF($K$12511=0,0,N(INDEX(Clients!$S$2:$S$501,$K$12511)))</f>
        <v>0</v>
      </c>
      <c r="M12541" s="25" t="n">
        <f aca="false">IF(OR(K12541&lt;&gt;0,L12541&lt;&gt;0),1,0)</f>
        <v>0</v>
      </c>
      <c r="N12541" s="25" t="str">
        <f aca="false">IF(M12541=1,SUM($M$12538:M12541),"")</f>
        <v/>
      </c>
      <c r="O12541" s="25" t="n">
        <v>4</v>
      </c>
    </row>
    <row r="12542" customFormat="false" ht="18" hidden="false" customHeight="true" outlineLevel="0" collapsed="false">
      <c r="B12542" s="43" t="s">
        <v>158</v>
      </c>
      <c r="C12542" s="44" t="n">
        <f aca="false">SUM(K12538:K12541)</f>
        <v>0</v>
      </c>
      <c r="D12542" s="45" t="str">
        <f aca="false">IF(N(C12542)=0,"",E12542/C12542-1)</f>
        <v/>
      </c>
      <c r="E12542" s="44" t="n">
        <f aca="false">SUM(L12538:L12541)</f>
        <v>0</v>
      </c>
      <c r="F12542" s="44" t="n">
        <f aca="false">E12542-C12542</f>
        <v>0</v>
      </c>
    </row>
    <row r="12543" customFormat="false" ht="15" hidden="false" customHeight="false" outlineLevel="0" collapsed="false">
      <c r="B12543" s="46" t="str">
        <f aca="false">IF(N(Nb_Mensualites)=0,"","Soit "&amp;FIXED(E12542/Nb_Mensualites,2)&amp;" € HT par échéance ("&amp;Nb_Mensualites&amp;" échéances), "&amp;FIXED(E12542/Nb_Mensualites*(1+Taux_TVA),2)&amp;" € TTC.")</f>
        <v>Soit 0.00 € HT par échéance (12 échéances), 0.00 € TTC.</v>
      </c>
      <c r="C12543" s="46"/>
      <c r="D12543" s="46"/>
      <c r="E12543" s="46"/>
      <c r="F12543" s="46"/>
    </row>
    <row r="12544" customFormat="false" ht="7.5" hidden="false" customHeight="true" outlineLevel="0" collapsed="false">
      <c r="B12544" s="10"/>
      <c r="C12544" s="10"/>
      <c r="D12544" s="10"/>
      <c r="E12544" s="10"/>
      <c r="F12544" s="10"/>
    </row>
    <row r="12545" customFormat="false" ht="36.75" hidden="false" customHeight="true" outlineLevel="0" collapsed="false">
      <c r="B12545" s="37" t="str">
        <f aca="false">SUBSTITUTE(SUBSTITUTE(SUBSTITUTE(SUBSTITUTE(SUBSTITUTE(Txt_P5,"{cabinet}",Cab_Nom),"{societe}",IF($K$12511=0,"",INDEX(Clients!$E$2:$E$501,$K$12511)&amp;"")),"{date_effet}",$K$12513),"{hausse}",$K$12514),"{civilite}",$K$12512)</f>
        <v>Les autres conditions de votre lettre de mission demeurent inchangées. Les nouveaux montants seront appliqués automatiquement sur vos prochaines factures et échéances de prélèvement.</v>
      </c>
      <c r="C12545" s="37"/>
      <c r="D12545" s="37"/>
      <c r="E12545" s="37"/>
      <c r="F12545" s="37"/>
    </row>
    <row r="12546" customFormat="false" ht="36.75" hidden="false" customHeight="true" outlineLevel="0" collapsed="false">
      <c r="B12546" s="37" t="str">
        <f aca="false">SUBSTITUTE(SUBSTITUTE(SUBSTITUTE(SUBSTITUTE(SUBSTITUTE(Txt_P6,"{cabinet}",Cab_Nom),"{societe}",IF($K$12511=0,"",INDEX(Clients!$E$2:$E$501,$K$12511)&amp;"")),"{date_effet}",$K$12513),"{hausse}",$K$12514),"{civilite}",$K$12512)</f>
        <v>Votre interlocuteur habituel reste à votre entière disposition pour répondre à vos questions et faire le point sur l'évolution de vos besoins.</v>
      </c>
      <c r="C12546" s="37"/>
      <c r="D12546" s="37"/>
      <c r="E12546" s="37"/>
      <c r="F12546" s="37"/>
    </row>
    <row r="12547" customFormat="false" ht="24" hidden="false" customHeight="true" outlineLevel="0" collapsed="false">
      <c r="B12547" s="37" t="str">
        <f aca="false">SUBSTITUTE(SUBSTITUTE(SUBSTITUTE(SUBSTITUTE(SUBSTITUTE(Txt_Politesse,"{cabinet}",Cab_Nom),"{societe}",IF($K$12511=0,"",INDEX(Clients!$E$2:$E$501,$K$12511)&amp;"")),"{date_effet}",$K$12513),"{hausse}",$K$12514),"{civilite}",$K$12512)</f>
        <v>Nous vous prions d'agréer, Madame, Monsieur, l'expression de nos salutations distinguées.</v>
      </c>
      <c r="C12547" s="37"/>
      <c r="D12547" s="37"/>
      <c r="E12547" s="37"/>
      <c r="F12547" s="37"/>
    </row>
    <row r="12548" customFormat="false" ht="15" hidden="false" customHeight="false" outlineLevel="0" collapsed="false">
      <c r="B12548" s="10"/>
      <c r="C12548" s="10"/>
      <c r="D12548" s="10"/>
      <c r="E12548" s="10"/>
      <c r="F12548" s="10"/>
    </row>
    <row r="12549" customFormat="false" ht="15" hidden="false" customHeight="false" outlineLevel="0" collapsed="false">
      <c r="B12549" s="10"/>
      <c r="C12549" s="10"/>
      <c r="D12549" s="34" t="str">
        <f aca="false">Signataire</f>
        <v>Prénom NOM</v>
      </c>
      <c r="E12549" s="34"/>
      <c r="F12549" s="34"/>
    </row>
    <row r="12550" customFormat="false" ht="15" hidden="false" customHeight="false" outlineLevel="0" collapsed="false">
      <c r="B12550" s="10"/>
      <c r="C12550" s="10"/>
      <c r="D12550" s="47" t="str">
        <f aca="false">Signataire_Titre</f>
        <v>Expert-comptable associé</v>
      </c>
      <c r="E12550" s="47"/>
      <c r="F12550" s="47"/>
    </row>
    <row r="12551" customFormat="false" ht="15.75" hidden="false" customHeight="true" outlineLevel="0" collapsed="false">
      <c r="B12551" s="10"/>
      <c r="C12551" s="10"/>
      <c r="D12551" s="10"/>
      <c r="E12551" s="10"/>
      <c r="F12551" s="10"/>
    </row>
    <row r="12552" customFormat="false" ht="15.75" hidden="false" customHeight="true" outlineLevel="0" collapsed="false">
      <c r="B12552" s="10"/>
      <c r="C12552" s="10"/>
      <c r="D12552" s="10"/>
      <c r="E12552" s="10"/>
      <c r="F12552" s="10"/>
    </row>
    <row r="12553" customFormat="false" ht="15.75" hidden="false" customHeight="true" outlineLevel="0" collapsed="false">
      <c r="B12553" s="10"/>
      <c r="C12553" s="10"/>
      <c r="D12553" s="10"/>
      <c r="E12553" s="10"/>
      <c r="F12553" s="10"/>
    </row>
    <row r="12554" customFormat="false" ht="15.75" hidden="false" customHeight="true" outlineLevel="0" collapsed="false">
      <c r="B12554" s="10"/>
      <c r="C12554" s="10"/>
      <c r="D12554" s="10"/>
      <c r="E12554" s="10"/>
      <c r="F12554" s="10"/>
    </row>
    <row r="12555" customFormat="false" ht="24" hidden="false" customHeight="true" outlineLevel="0" collapsed="false">
      <c r="B12555" s="48" t="str">
        <f aca="false">Cab_Mentions</f>
        <v>ALTHO EXPERTISE · SAS au capital de 10 000 € · RCS Pontoise 919 706 325 · TVA FR62919706325 · Société d'expertise comptable inscrite au Tableau de l'Ordre des experts-comptables de Paris Île-de-France</v>
      </c>
      <c r="C12555" s="48"/>
      <c r="D12555" s="48"/>
      <c r="E12555" s="48"/>
      <c r="F12555" s="48"/>
    </row>
    <row r="12556" customFormat="false" ht="15" hidden="false" customHeight="false" outlineLevel="0" collapsed="false">
      <c r="B12556" s="10"/>
      <c r="C12556" s="10"/>
      <c r="D12556" s="10"/>
      <c r="E12556" s="10"/>
      <c r="F12556" s="10"/>
      <c r="J12556" s="25" t="s">
        <v>142</v>
      </c>
      <c r="K12556" s="25" t="n">
        <f aca="false">IFERROR(MATCH(280,Clients!$Z$2:$Z$501,0),0)</f>
        <v>0</v>
      </c>
      <c r="L12556" s="25"/>
      <c r="M12556" s="25"/>
      <c r="N12556" s="25"/>
      <c r="O12556" s="25"/>
    </row>
    <row r="12557" customFormat="false" ht="21.75" hidden="false" customHeight="true" outlineLevel="0" collapsed="false">
      <c r="B12557" s="26" t="str">
        <f aca="false">Cab_Nom</f>
        <v>ALTHO EXPERTISE</v>
      </c>
      <c r="C12557" s="26"/>
      <c r="D12557" s="10"/>
      <c r="E12557" s="27" t="str">
        <f aca="false">IF($K$12556=0,"","Réf. client : "&amp;INDEX(Clients!$A$2:$A$501,$K$12556))</f>
        <v/>
      </c>
      <c r="F12557" s="27"/>
      <c r="J12557" s="25" t="s">
        <v>144</v>
      </c>
      <c r="K12557" s="25" t="str">
        <f aca="false">IF(IF($K$12556=0,"",INDEX(Clients!$B$2:$B$501,$K$12556)&amp;"")="Mme","Madame",IF(IF($K$12556=0,"",INDEX(Clients!$B$2:$B$501,$K$12556)&amp;"")="M.","Monsieur","Madame, Monsieur"))</f>
        <v>Madame, Monsieur</v>
      </c>
      <c r="L12557" s="25"/>
      <c r="M12557" s="25"/>
      <c r="N12557" s="25"/>
      <c r="O12557" s="25"/>
    </row>
    <row r="12558" customFormat="false" ht="15" hidden="false" customHeight="false" outlineLevel="0" collapsed="false">
      <c r="B12558" s="29" t="str">
        <f aca="false">Cab_Adr1</f>
        <v>141 rue Charles de Gaulle</v>
      </c>
      <c r="C12558" s="29"/>
      <c r="D12558" s="10"/>
      <c r="E12558" s="10"/>
      <c r="F12558" s="10"/>
      <c r="J12558" s="25" t="s">
        <v>145</v>
      </c>
      <c r="K12558" s="25" t="str">
        <f aca="false">DAY(Date_Effet)&amp;IF(DAY(Date_Effet)=1,"er","")&amp;" "&amp;INDEX(Liste_Mois,MONTH(Date_Effet))&amp;" "&amp;YEAR(Date_Effet)</f>
        <v>1er janvier 2027</v>
      </c>
      <c r="L12558" s="25"/>
      <c r="M12558" s="25"/>
      <c r="N12558" s="25"/>
      <c r="O12558" s="25"/>
    </row>
    <row r="12559" customFormat="false" ht="15" hidden="false" customHeight="false" outlineLevel="0" collapsed="false">
      <c r="B12559" s="29" t="str">
        <f aca="false">Cab_CPVille</f>
        <v>95130 LE PLESSIS-BOUCHARD</v>
      </c>
      <c r="C12559" s="29"/>
      <c r="D12559" s="10"/>
      <c r="E12559" s="10"/>
      <c r="F12559" s="10"/>
      <c r="J12559" s="25" t="s">
        <v>146</v>
      </c>
      <c r="K12559" s="25" t="str">
        <f aca="false">IF(SUM($K$12583:$K$12586)=0,"",FIXED((SUM($L$12583:$L$12586)/SUM($K$12583:$K$12586)-1)*100,1)&amp;" %")</f>
        <v/>
      </c>
      <c r="L12559" s="25"/>
      <c r="M12559" s="25"/>
      <c r="N12559" s="25"/>
      <c r="O12559" s="25"/>
    </row>
    <row r="12560" customFormat="false" ht="15" hidden="false" customHeight="false" outlineLevel="0" collapsed="false">
      <c r="B12560" s="29" t="str">
        <f aca="false">Cab_Contact</f>
        <v>Tél. 01 34 14 53 45  ·  altho@altho-experts.com  ·  altho-experts.com</v>
      </c>
      <c r="C12560" s="29"/>
      <c r="D12560" s="10"/>
      <c r="E12560" s="10"/>
      <c r="F12560" s="10"/>
      <c r="J12560" s="25"/>
      <c r="K12560" s="25"/>
      <c r="L12560" s="25"/>
      <c r="M12560" s="25"/>
      <c r="N12560" s="25"/>
      <c r="O12560" s="25"/>
    </row>
    <row r="12561" customFormat="false" ht="6" hidden="false" customHeight="true" outlineLevel="0" collapsed="false">
      <c r="B12561" s="32"/>
      <c r="C12561" s="32"/>
      <c r="D12561" s="32"/>
      <c r="E12561" s="32"/>
      <c r="F12561" s="32"/>
      <c r="J12561" s="25"/>
      <c r="K12561" s="25"/>
      <c r="L12561" s="25"/>
      <c r="M12561" s="25"/>
      <c r="N12561" s="25"/>
      <c r="O12561" s="25"/>
    </row>
    <row r="12562" customFormat="false" ht="13.5" hidden="false" customHeight="true" outlineLevel="0" collapsed="false">
      <c r="B12562" s="10"/>
      <c r="C12562" s="10"/>
      <c r="D12562" s="10"/>
      <c r="E12562" s="10"/>
      <c r="F12562" s="10"/>
      <c r="J12562" s="25"/>
      <c r="K12562" s="25"/>
      <c r="L12562" s="25"/>
      <c r="M12562" s="25"/>
      <c r="N12562" s="25"/>
      <c r="O12562" s="25"/>
    </row>
    <row r="12563" customFormat="false" ht="13.5" hidden="false" customHeight="true" outlineLevel="0" collapsed="false">
      <c r="B12563" s="10"/>
      <c r="C12563" s="10"/>
      <c r="D12563" s="10"/>
      <c r="E12563" s="10"/>
      <c r="F12563" s="10"/>
      <c r="J12563" s="25"/>
      <c r="K12563" s="25"/>
      <c r="L12563" s="25"/>
      <c r="M12563" s="25"/>
      <c r="N12563" s="25"/>
      <c r="O12563" s="25"/>
    </row>
    <row r="12564" customFormat="false" ht="13.5" hidden="false" customHeight="true" outlineLevel="0" collapsed="false">
      <c r="B12564" s="10"/>
      <c r="C12564" s="10"/>
      <c r="D12564" s="10"/>
      <c r="E12564" s="10"/>
      <c r="F12564" s="10"/>
      <c r="J12564" s="25"/>
      <c r="K12564" s="25"/>
      <c r="L12564" s="25"/>
      <c r="M12564" s="25"/>
      <c r="N12564" s="25"/>
      <c r="O12564" s="25"/>
    </row>
    <row r="12565" customFormat="false" ht="15" hidden="false" customHeight="true" outlineLevel="0" collapsed="false">
      <c r="B12565" s="10"/>
      <c r="C12565" s="10"/>
      <c r="D12565" s="34" t="str">
        <f aca="false">IF($K$12556=0,"",INDEX(Clients!$E$2:$E$501,$K$12556)&amp;"")</f>
        <v/>
      </c>
      <c r="E12565" s="34"/>
      <c r="F12565" s="34"/>
      <c r="J12565" s="25"/>
      <c r="K12565" s="25"/>
      <c r="L12565" s="25"/>
      <c r="M12565" s="25"/>
      <c r="N12565" s="25"/>
      <c r="O12565" s="25"/>
    </row>
    <row r="12566" customFormat="false" ht="15" hidden="false" customHeight="true" outlineLevel="0" collapsed="false">
      <c r="B12566" s="10"/>
      <c r="C12566" s="10"/>
      <c r="D12566" s="35" t="str">
        <f aca="false">IF(IF($K$12556=0,"",INDEX(Clients!$D$2:$D$501,$K$12556)&amp;"")="","","À l'attention de "&amp;TRIM(IF($K$12556=0,"",INDEX(Clients!$B$2:$B$501,$K$12556)&amp;"")&amp;" "&amp;IF($K$12556=0,"",INDEX(Clients!$C$2:$C$501,$K$12556)&amp;"")&amp;" "&amp;IF($K$12556=0,"",INDEX(Clients!$D$2:$D$501,$K$12556)&amp;"")))</f>
        <v/>
      </c>
      <c r="E12566" s="35"/>
      <c r="F12566" s="35"/>
      <c r="J12566" s="25"/>
      <c r="K12566" s="25"/>
      <c r="L12566" s="25"/>
      <c r="M12566" s="25"/>
      <c r="N12566" s="25"/>
      <c r="O12566" s="25"/>
    </row>
    <row r="12567" customFormat="false" ht="15" hidden="false" customHeight="true" outlineLevel="0" collapsed="false">
      <c r="B12567" s="10"/>
      <c r="C12567" s="10"/>
      <c r="D12567" s="35" t="str">
        <f aca="false">IF($K$12556=0,"",INDEX(Clients!$F$2:$F$501,$K$12556)&amp;"")</f>
        <v/>
      </c>
      <c r="E12567" s="35"/>
      <c r="F12567" s="35"/>
      <c r="J12567" s="25"/>
      <c r="K12567" s="25"/>
      <c r="L12567" s="25"/>
      <c r="M12567" s="25"/>
      <c r="N12567" s="25"/>
      <c r="O12567" s="25"/>
    </row>
    <row r="12568" customFormat="false" ht="15" hidden="false" customHeight="true" outlineLevel="0" collapsed="false">
      <c r="B12568" s="10"/>
      <c r="C12568" s="10"/>
      <c r="D12568" s="35" t="str">
        <f aca="false">IF(IF($K$12556=0,"",INDEX(Clients!$G$2:$G$501,$K$12556)&amp;"")="",TRIM(IF($K$12556=0,"",INDEX(Clients!$H$2:$H$501,$K$12556)&amp;"")&amp;" "&amp;UPPER(IF($K$12556=0,"",INDEX(Clients!$I$2:$I$501,$K$12556)&amp;""))),IF($K$12556=0,"",INDEX(Clients!$G$2:$G$501,$K$12556)&amp;""))</f>
        <v/>
      </c>
      <c r="E12568" s="35"/>
      <c r="F12568" s="35"/>
      <c r="J12568" s="25"/>
      <c r="K12568" s="25"/>
      <c r="L12568" s="25"/>
      <c r="M12568" s="25"/>
      <c r="N12568" s="25"/>
      <c r="O12568" s="25"/>
    </row>
    <row r="12569" customFormat="false" ht="15" hidden="false" customHeight="true" outlineLevel="0" collapsed="false">
      <c r="B12569" s="10"/>
      <c r="C12569" s="10"/>
      <c r="D12569" s="35" t="str">
        <f aca="false">IF(IF($K$12556=0,"",INDEX(Clients!$G$2:$G$501,$K$12556)&amp;"")="","",TRIM(IF($K$12556=0,"",INDEX(Clients!$H$2:$H$501,$K$12556)&amp;"")&amp;" "&amp;UPPER(IF($K$12556=0,"",INDEX(Clients!$I$2:$I$501,$K$12556)&amp;""))))</f>
        <v/>
      </c>
      <c r="E12569" s="35"/>
      <c r="F12569" s="35"/>
      <c r="J12569" s="25"/>
      <c r="K12569" s="25"/>
      <c r="L12569" s="25"/>
      <c r="M12569" s="25"/>
      <c r="N12569" s="25"/>
      <c r="O12569" s="25"/>
    </row>
    <row r="12570" customFormat="false" ht="25.5" hidden="false" customHeight="true" outlineLevel="0" collapsed="false">
      <c r="B12570" s="10"/>
      <c r="C12570" s="10"/>
      <c r="D12570" s="10"/>
      <c r="E12570" s="10"/>
      <c r="F12570" s="10"/>
      <c r="J12570" s="25"/>
      <c r="K12570" s="25"/>
      <c r="L12570" s="25"/>
      <c r="M12570" s="25"/>
      <c r="N12570" s="25"/>
      <c r="O12570" s="25"/>
    </row>
    <row r="12571" customFormat="false" ht="15" hidden="false" customHeight="false" outlineLevel="0" collapsed="false">
      <c r="B12571" s="10"/>
      <c r="C12571" s="10"/>
      <c r="D12571" s="36" t="str">
        <f aca="false">Cab_Ville&amp;", le "&amp;DAY(Date_Courrier)&amp;IF(DAY(Date_Courrier)=1,"er","")&amp;" "&amp;INDEX(Liste_Mois,MONTH(Date_Courrier))&amp;" "&amp;YEAR(Date_Courrier)</f>
        <v>Le Plessis-Bouchard, le 22 septembre 2026</v>
      </c>
      <c r="E12571" s="36"/>
      <c r="F12571" s="36"/>
      <c r="J12571" s="25"/>
      <c r="K12571" s="25"/>
      <c r="L12571" s="25"/>
      <c r="M12571" s="25"/>
      <c r="N12571" s="25"/>
      <c r="O12571" s="25"/>
    </row>
    <row r="12572" customFormat="false" ht="19.5" hidden="false" customHeight="true" outlineLevel="0" collapsed="false">
      <c r="B12572" s="10"/>
      <c r="C12572" s="10"/>
      <c r="D12572" s="10"/>
      <c r="E12572" s="10"/>
      <c r="F12572" s="10"/>
      <c r="J12572" s="25"/>
      <c r="K12572" s="25"/>
      <c r="L12572" s="25"/>
      <c r="M12572" s="25"/>
      <c r="N12572" s="25"/>
      <c r="O12572" s="25"/>
    </row>
    <row r="12573" customFormat="false" ht="15" hidden="false" customHeight="false" outlineLevel="0" collapsed="false">
      <c r="B12573" s="34" t="str">
        <f aca="false">SUBSTITUTE(SUBSTITUTE(SUBSTITUTE(SUBSTITUTE(SUBSTITUTE(Txt_Objet,"{cabinet}",Cab_Nom),"{societe}",IF($K$12556=0,"",INDEX(Clients!$E$2:$E$501,$K$12556)&amp;"")),"{date_effet}",$K$12558),"{hausse}",$K$12559),"{civilite}",$K$12557)</f>
        <v>Objet : révision de nos honoraires au 1er janvier 2027</v>
      </c>
      <c r="C12573" s="34"/>
      <c r="D12573" s="34"/>
      <c r="E12573" s="34"/>
      <c r="F12573" s="34"/>
      <c r="J12573" s="25"/>
      <c r="K12573" s="25"/>
      <c r="L12573" s="25"/>
      <c r="M12573" s="25"/>
      <c r="N12573" s="25"/>
      <c r="O12573" s="25"/>
    </row>
    <row r="12574" customFormat="false" ht="13.5" hidden="false" customHeight="true" outlineLevel="0" collapsed="false">
      <c r="B12574" s="10"/>
      <c r="C12574" s="10"/>
      <c r="D12574" s="10"/>
      <c r="E12574" s="10"/>
      <c r="F12574" s="10"/>
      <c r="J12574" s="25"/>
      <c r="K12574" s="25"/>
      <c r="L12574" s="25"/>
      <c r="M12574" s="25"/>
      <c r="N12574" s="25"/>
      <c r="O12574" s="25"/>
    </row>
    <row r="12575" customFormat="false" ht="15" hidden="false" customHeight="false" outlineLevel="0" collapsed="false">
      <c r="B12575" s="10" t="str">
        <f aca="false">$K$12557&amp;","</f>
        <v>Madame, Monsieur,</v>
      </c>
      <c r="C12575" s="10"/>
      <c r="D12575" s="10"/>
      <c r="E12575" s="10"/>
      <c r="F12575" s="10"/>
      <c r="J12575" s="25"/>
      <c r="K12575" s="25"/>
      <c r="L12575" s="25"/>
      <c r="M12575" s="25"/>
      <c r="N12575" s="25"/>
      <c r="O12575" s="25"/>
    </row>
    <row r="12576" customFormat="false" ht="6" hidden="false" customHeight="true" outlineLevel="0" collapsed="false">
      <c r="B12576" s="10"/>
      <c r="C12576" s="10"/>
      <c r="D12576" s="10"/>
      <c r="E12576" s="10"/>
      <c r="F12576" s="10"/>
      <c r="J12576" s="25"/>
      <c r="K12576" s="25"/>
      <c r="L12576" s="25"/>
      <c r="M12576" s="25"/>
      <c r="N12576" s="25"/>
      <c r="O12576" s="25"/>
    </row>
    <row r="12577" customFormat="false" ht="36.75" hidden="false" customHeight="true" outlineLevel="0" collapsed="false">
      <c r="B12577" s="37" t="str">
        <f aca="false">SUBSTITUTE(SUBSTITUTE(SUBSTITUTE(SUBSTITUTE(SUBSTITUTE(Txt_P1,"{cabinet}",Cab_Nom),"{societe}",IF($K$12556=0,"",INDEX(Clients!$E$2:$E$501,$K$12556)&amp;"")),"{date_effet}",$K$12558),"{hausse}",$K$12559),"{civilite}",$K$12557)</f>
        <v>Nous tenons tout d'abord à vous remercier pour la confiance que vous accordez à ALTHO EXPERTISE. Comme chaque année, et conformément aux dispositions de votre lettre de mission, nous procédons à la révision de nos honoraires.</v>
      </c>
      <c r="C12577" s="37"/>
      <c r="D12577" s="37"/>
      <c r="E12577" s="37"/>
      <c r="F12577" s="37"/>
      <c r="J12577" s="25"/>
      <c r="K12577" s="25"/>
      <c r="L12577" s="25"/>
      <c r="M12577" s="25"/>
      <c r="N12577" s="25"/>
      <c r="O12577" s="25"/>
    </row>
    <row r="12578" customFormat="false" ht="49.5" hidden="false" customHeight="true" outlineLevel="0" collapsed="false">
      <c r="B12578" s="37" t="str">
        <f aca="false">SUBSTITUTE(SUBSTITUTE(SUBSTITUTE(SUBSTITUTE(SUBSTITUTE(Txt_P2,"{cabinet}",Cab_Nom),"{societe}",IF($K$12556=0,"",INDEX(Clients!$E$2:$E$501,$K$12556)&amp;"")),"{date_effet}",$K$12558),"{hausse}",$K$12559),"{civilite}",$K$12557)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578" s="37"/>
      <c r="D12578" s="37"/>
      <c r="E12578" s="37"/>
      <c r="F12578" s="37"/>
      <c r="J12578" s="25"/>
      <c r="K12578" s="25"/>
      <c r="L12578" s="25"/>
      <c r="M12578" s="25"/>
      <c r="N12578" s="25"/>
      <c r="O12578" s="25"/>
    </row>
    <row r="12579" customFormat="false" ht="63" hidden="false" customHeight="true" outlineLevel="0" collapsed="false">
      <c r="B12579" s="37" t="str">
        <f aca="false">SUBSTITUTE(SUBSTITUTE(SUBSTITUTE(SUBSTITUTE(SUBSTITUTE(Txt_P3,"{cabinet}",Cab_Nom),"{societe}",IF($K$12556=0,"",INDEX(Clients!$E$2:$E$501,$K$12556)&amp;"")),"{date_effet}",$K$12558),"{hausse}",$K$12559),"{civilite}",$K$12557)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579" s="37"/>
      <c r="D12579" s="37"/>
      <c r="E12579" s="37"/>
      <c r="F12579" s="37"/>
      <c r="J12579" s="25"/>
      <c r="K12579" s="25"/>
      <c r="L12579" s="25"/>
      <c r="M12579" s="25"/>
      <c r="N12579" s="25"/>
      <c r="O12579" s="25"/>
    </row>
    <row r="12580" customFormat="false" ht="24" hidden="false" customHeight="true" outlineLevel="0" collapsed="false">
      <c r="B12580" s="37" t="str">
        <f aca="false">SUBSTITUTE(SUBSTITUTE(SUBSTITUTE(SUBSTITUTE(SUBSTITUTE(Txt_P4,"{cabinet}",Cab_Nom),"{societe}",IF($K$12556=0,"",INDEX(Clients!$E$2:$E$501,$K$12556)&amp;"")),"{date_effet}",$K$12558),"{hausse}",$K$12559),"{civilite}",$K$12557)</f>
        <v>À compter du 1er janvier 2027, vos honoraires annuels hors taxes évolueront ainsi (évolution globale : ) :</v>
      </c>
      <c r="C12580" s="37"/>
      <c r="D12580" s="37"/>
      <c r="E12580" s="37"/>
      <c r="F12580" s="37"/>
      <c r="J12580" s="25"/>
      <c r="K12580" s="25"/>
      <c r="L12580" s="25"/>
      <c r="M12580" s="25"/>
      <c r="N12580" s="25"/>
      <c r="O12580" s="25"/>
    </row>
    <row r="12581" customFormat="false" ht="3.75" hidden="false" customHeight="true" outlineLevel="0" collapsed="false">
      <c r="B12581" s="10"/>
      <c r="C12581" s="10"/>
      <c r="D12581" s="10"/>
      <c r="E12581" s="10"/>
      <c r="F12581" s="10"/>
      <c r="J12581" s="25"/>
      <c r="K12581" s="25"/>
      <c r="L12581" s="25"/>
      <c r="M12581" s="25"/>
      <c r="N12581" s="25"/>
      <c r="O12581" s="25"/>
    </row>
    <row r="12582" customFormat="false" ht="18" hidden="false" customHeight="true" outlineLevel="0" collapsed="false">
      <c r="B12582" s="38" t="s">
        <v>148</v>
      </c>
      <c r="C12582" s="39" t="s">
        <v>149</v>
      </c>
      <c r="D12582" s="39" t="s">
        <v>150</v>
      </c>
      <c r="E12582" s="39" t="s">
        <v>151</v>
      </c>
      <c r="F12582" s="39" t="s">
        <v>109</v>
      </c>
      <c r="J12582" s="25" t="s">
        <v>152</v>
      </c>
      <c r="K12582" s="25" t="s">
        <v>153</v>
      </c>
      <c r="L12582" s="25" t="s">
        <v>154</v>
      </c>
      <c r="M12582" s="25" t="s">
        <v>155</v>
      </c>
      <c r="N12582" s="25" t="s">
        <v>156</v>
      </c>
      <c r="O12582" s="25" t="s">
        <v>157</v>
      </c>
    </row>
    <row r="12583" customFormat="false" ht="16.5" hidden="false" customHeight="true" outlineLevel="0" collapsed="false">
      <c r="B12583" s="40" t="str">
        <f aca="false">IFERROR(INDEX($J$12583:$J$12586,MATCH($O12583,$N$12583:$N$12586,0)),"")</f>
        <v/>
      </c>
      <c r="C12583" s="41" t="str">
        <f aca="false">IFERROR(INDEX($K$12583:$K$12586,MATCH($O12583,$N$12583:$N$12586,0)),"")</f>
        <v/>
      </c>
      <c r="D12583" s="42" t="str">
        <f aca="false">IF(OR(E12583="",N(C12583)=0),"",E12583/C12583-1)</f>
        <v/>
      </c>
      <c r="E12583" s="41" t="str">
        <f aca="false">IFERROR(INDEX($L$12583:$L$12586,MATCH($O12583,$N$12583:$N$12586,0)),"")</f>
        <v/>
      </c>
      <c r="F12583" s="41" t="str">
        <f aca="false">IF(E12583="","",E12583-C12583)</f>
        <v/>
      </c>
      <c r="J12583" s="25" t="str">
        <f aca="false">Lib_Compta</f>
        <v>Mission comptable (tenue, révision, bilan, liasse fiscale)</v>
      </c>
      <c r="K12583" s="25" t="n">
        <f aca="false">IF($K$12556=0,0,N(INDEX(Clients!$K$2:$K$501,$K$12556)))</f>
        <v>0</v>
      </c>
      <c r="L12583" s="25" t="n">
        <f aca="false">IF($K$12556=0,0,N(INDEX(Clients!$P$2:$P$501,$K$12556)))</f>
        <v>0</v>
      </c>
      <c r="M12583" s="25" t="n">
        <f aca="false">IF(OR(K12583&lt;&gt;0,L12583&lt;&gt;0),1,0)</f>
        <v>0</v>
      </c>
      <c r="N12583" s="25" t="str">
        <f aca="false">IF(M12583=1,SUM($M$12583:M12583),"")</f>
        <v/>
      </c>
      <c r="O12583" s="25" t="n">
        <v>1</v>
      </c>
    </row>
    <row r="12584" customFormat="false" ht="16.5" hidden="false" customHeight="true" outlineLevel="0" collapsed="false">
      <c r="B12584" s="40" t="str">
        <f aca="false">IFERROR(INDEX($J$12583:$J$12586,MATCH($O12584,$N$12583:$N$12586,0)),"")</f>
        <v/>
      </c>
      <c r="C12584" s="41" t="str">
        <f aca="false">IFERROR(INDEX($K$12583:$K$12586,MATCH($O12584,$N$12583:$N$12586,0)),"")</f>
        <v/>
      </c>
      <c r="D12584" s="42" t="str">
        <f aca="false">IF(OR(E12584="",N(C12584)=0),"",E12584/C12584-1)</f>
        <v/>
      </c>
      <c r="E12584" s="41" t="str">
        <f aca="false">IFERROR(INDEX($L$12583:$L$12586,MATCH($O12584,$N$12583:$N$12586,0)),"")</f>
        <v/>
      </c>
      <c r="F12584" s="41" t="str">
        <f aca="false">IF(E12584="","",E12584-C12584)</f>
        <v/>
      </c>
      <c r="J12584" s="25" t="str">
        <f aca="false">Lib_Paye</f>
        <v>Mission sociale (bulletins de paie, DSN, déclarations sociales)</v>
      </c>
      <c r="K12584" s="25" t="n">
        <f aca="false">IF($K$12556=0,0,N(INDEX(Clients!$L$2:$L$501,$K$12556)))</f>
        <v>0</v>
      </c>
      <c r="L12584" s="25" t="n">
        <f aca="false">IF($K$12556=0,0,N(INDEX(Clients!$Q$2:$Q$501,$K$12556)))</f>
        <v>0</v>
      </c>
      <c r="M12584" s="25" t="n">
        <f aca="false">IF(OR(K12584&lt;&gt;0,L12584&lt;&gt;0),1,0)</f>
        <v>0</v>
      </c>
      <c r="N12584" s="25" t="str">
        <f aca="false">IF(M12584=1,SUM($M$12583:M12584),"")</f>
        <v/>
      </c>
      <c r="O12584" s="25" t="n">
        <v>2</v>
      </c>
    </row>
    <row r="12585" customFormat="false" ht="16.5" hidden="false" customHeight="true" outlineLevel="0" collapsed="false">
      <c r="B12585" s="40" t="str">
        <f aca="false">IFERROR(INDEX($J$12583:$J$12586,MATCH($O12585,$N$12583:$N$12586,0)),"")</f>
        <v/>
      </c>
      <c r="C12585" s="41" t="str">
        <f aca="false">IFERROR(INDEX($K$12583:$K$12586,MATCH($O12585,$N$12583:$N$12586,0)),"")</f>
        <v/>
      </c>
      <c r="D12585" s="42" t="str">
        <f aca="false">IF(OR(E12585="",N(C12585)=0),"",E12585/C12585-1)</f>
        <v/>
      </c>
      <c r="E12585" s="41" t="str">
        <f aca="false">IFERROR(INDEX($L$12583:$L$12586,MATCH($O12585,$N$12583:$N$12586,0)),"")</f>
        <v/>
      </c>
      <c r="F12585" s="41" t="str">
        <f aca="false">IF(E12585="","",E12585-C12585)</f>
        <v/>
      </c>
      <c r="J12585" s="25" t="str">
        <f aca="false">Lib_Jur</f>
        <v>Mission juridique (approbation des comptes, secrétariat juridique)</v>
      </c>
      <c r="K12585" s="25" t="n">
        <f aca="false">IF($K$12556=0,0,N(INDEX(Clients!$M$2:$M$501,$K$12556)))</f>
        <v>0</v>
      </c>
      <c r="L12585" s="25" t="n">
        <f aca="false">IF($K$12556=0,0,N(INDEX(Clients!$R$2:$R$501,$K$12556)))</f>
        <v>0</v>
      </c>
      <c r="M12585" s="25" t="n">
        <f aca="false">IF(OR(K12585&lt;&gt;0,L12585&lt;&gt;0),1,0)</f>
        <v>0</v>
      </c>
      <c r="N12585" s="25" t="str">
        <f aca="false">IF(M12585=1,SUM($M$12583:M12585),"")</f>
        <v/>
      </c>
      <c r="O12585" s="25" t="n">
        <v>3</v>
      </c>
    </row>
    <row r="12586" customFormat="false" ht="16.5" hidden="false" customHeight="true" outlineLevel="0" collapsed="false">
      <c r="B12586" s="40" t="str">
        <f aca="false">IFERROR(INDEX($J$12583:$J$12586,MATCH($O12586,$N$12583:$N$12586,0)),"")</f>
        <v/>
      </c>
      <c r="C12586" s="41" t="str">
        <f aca="false">IFERROR(INDEX($K$12583:$K$12586,MATCH($O12586,$N$12583:$N$12586,0)),"")</f>
        <v/>
      </c>
      <c r="D12586" s="42" t="str">
        <f aca="false">IF(OR(E12586="",N(C12586)=0),"",E12586/C12586-1)</f>
        <v/>
      </c>
      <c r="E12586" s="41" t="str">
        <f aca="false">IFERROR(INDEX($L$12583:$L$12586,MATCH($O12586,$N$12583:$N$12586,0)),"")</f>
        <v/>
      </c>
      <c r="F12586" s="41" t="str">
        <f aca="false">IF(E12586="","",E12586-C12586)</f>
        <v/>
      </c>
      <c r="J12586" s="25" t="str">
        <f aca="false">Lib_PA</f>
        <v>Plateforme agréée – facturation électronique</v>
      </c>
      <c r="K12586" s="25" t="n">
        <f aca="false">IF($K$12556=0,0,N(INDEX(Clients!$N$2:$N$501,$K$12556)))</f>
        <v>0</v>
      </c>
      <c r="L12586" s="25" t="n">
        <f aca="false">IF($K$12556=0,0,N(INDEX(Clients!$S$2:$S$501,$K$12556)))</f>
        <v>0</v>
      </c>
      <c r="M12586" s="25" t="n">
        <f aca="false">IF(OR(K12586&lt;&gt;0,L12586&lt;&gt;0),1,0)</f>
        <v>0</v>
      </c>
      <c r="N12586" s="25" t="str">
        <f aca="false">IF(M12586=1,SUM($M$12583:M12586),"")</f>
        <v/>
      </c>
      <c r="O12586" s="25" t="n">
        <v>4</v>
      </c>
    </row>
    <row r="12587" customFormat="false" ht="18" hidden="false" customHeight="true" outlineLevel="0" collapsed="false">
      <c r="B12587" s="43" t="s">
        <v>158</v>
      </c>
      <c r="C12587" s="44" t="n">
        <f aca="false">SUM(K12583:K12586)</f>
        <v>0</v>
      </c>
      <c r="D12587" s="45" t="str">
        <f aca="false">IF(N(C12587)=0,"",E12587/C12587-1)</f>
        <v/>
      </c>
      <c r="E12587" s="44" t="n">
        <f aca="false">SUM(L12583:L12586)</f>
        <v>0</v>
      </c>
      <c r="F12587" s="44" t="n">
        <f aca="false">E12587-C12587</f>
        <v>0</v>
      </c>
    </row>
    <row r="12588" customFormat="false" ht="15" hidden="false" customHeight="false" outlineLevel="0" collapsed="false">
      <c r="B12588" s="46" t="str">
        <f aca="false">IF(N(Nb_Mensualites)=0,"","Soit "&amp;FIXED(E12587/Nb_Mensualites,2)&amp;" € HT par échéance ("&amp;Nb_Mensualites&amp;" échéances), "&amp;FIXED(E12587/Nb_Mensualites*(1+Taux_TVA),2)&amp;" € TTC.")</f>
        <v>Soit 0.00 € HT par échéance (12 échéances), 0.00 € TTC.</v>
      </c>
      <c r="C12588" s="46"/>
      <c r="D12588" s="46"/>
      <c r="E12588" s="46"/>
      <c r="F12588" s="46"/>
    </row>
    <row r="12589" customFormat="false" ht="7.5" hidden="false" customHeight="true" outlineLevel="0" collapsed="false">
      <c r="B12589" s="10"/>
      <c r="C12589" s="10"/>
      <c r="D12589" s="10"/>
      <c r="E12589" s="10"/>
      <c r="F12589" s="10"/>
    </row>
    <row r="12590" customFormat="false" ht="36.75" hidden="false" customHeight="true" outlineLevel="0" collapsed="false">
      <c r="B12590" s="37" t="str">
        <f aca="false">SUBSTITUTE(SUBSTITUTE(SUBSTITUTE(SUBSTITUTE(SUBSTITUTE(Txt_P5,"{cabinet}",Cab_Nom),"{societe}",IF($K$12556=0,"",INDEX(Clients!$E$2:$E$501,$K$12556)&amp;"")),"{date_effet}",$K$12558),"{hausse}",$K$12559),"{civilite}",$K$12557)</f>
        <v>Les autres conditions de votre lettre de mission demeurent inchangées. Les nouveaux montants seront appliqués automatiquement sur vos prochaines factures et échéances de prélèvement.</v>
      </c>
      <c r="C12590" s="37"/>
      <c r="D12590" s="37"/>
      <c r="E12590" s="37"/>
      <c r="F12590" s="37"/>
    </row>
    <row r="12591" customFormat="false" ht="36.75" hidden="false" customHeight="true" outlineLevel="0" collapsed="false">
      <c r="B12591" s="37" t="str">
        <f aca="false">SUBSTITUTE(SUBSTITUTE(SUBSTITUTE(SUBSTITUTE(SUBSTITUTE(Txt_P6,"{cabinet}",Cab_Nom),"{societe}",IF($K$12556=0,"",INDEX(Clients!$E$2:$E$501,$K$12556)&amp;"")),"{date_effet}",$K$12558),"{hausse}",$K$12559),"{civilite}",$K$12557)</f>
        <v>Votre interlocuteur habituel reste à votre entière disposition pour répondre à vos questions et faire le point sur l'évolution de vos besoins.</v>
      </c>
      <c r="C12591" s="37"/>
      <c r="D12591" s="37"/>
      <c r="E12591" s="37"/>
      <c r="F12591" s="37"/>
    </row>
    <row r="12592" customFormat="false" ht="24" hidden="false" customHeight="true" outlineLevel="0" collapsed="false">
      <c r="B12592" s="37" t="str">
        <f aca="false">SUBSTITUTE(SUBSTITUTE(SUBSTITUTE(SUBSTITUTE(SUBSTITUTE(Txt_Politesse,"{cabinet}",Cab_Nom),"{societe}",IF($K$12556=0,"",INDEX(Clients!$E$2:$E$501,$K$12556)&amp;"")),"{date_effet}",$K$12558),"{hausse}",$K$12559),"{civilite}",$K$12557)</f>
        <v>Nous vous prions d'agréer, Madame, Monsieur, l'expression de nos salutations distinguées.</v>
      </c>
      <c r="C12592" s="37"/>
      <c r="D12592" s="37"/>
      <c r="E12592" s="37"/>
      <c r="F12592" s="37"/>
    </row>
    <row r="12593" customFormat="false" ht="15" hidden="false" customHeight="false" outlineLevel="0" collapsed="false">
      <c r="B12593" s="10"/>
      <c r="C12593" s="10"/>
      <c r="D12593" s="10"/>
      <c r="E12593" s="10"/>
      <c r="F12593" s="10"/>
    </row>
    <row r="12594" customFormat="false" ht="15" hidden="false" customHeight="false" outlineLevel="0" collapsed="false">
      <c r="B12594" s="10"/>
      <c r="C12594" s="10"/>
      <c r="D12594" s="34" t="str">
        <f aca="false">Signataire</f>
        <v>Prénom NOM</v>
      </c>
      <c r="E12594" s="34"/>
      <c r="F12594" s="34"/>
    </row>
    <row r="12595" customFormat="false" ht="15" hidden="false" customHeight="false" outlineLevel="0" collapsed="false">
      <c r="B12595" s="10"/>
      <c r="C12595" s="10"/>
      <c r="D12595" s="47" t="str">
        <f aca="false">Signataire_Titre</f>
        <v>Expert-comptable associé</v>
      </c>
      <c r="E12595" s="47"/>
      <c r="F12595" s="47"/>
    </row>
    <row r="12596" customFormat="false" ht="15.75" hidden="false" customHeight="true" outlineLevel="0" collapsed="false">
      <c r="B12596" s="10"/>
      <c r="C12596" s="10"/>
      <c r="D12596" s="10"/>
      <c r="E12596" s="10"/>
      <c r="F12596" s="10"/>
    </row>
    <row r="12597" customFormat="false" ht="15.75" hidden="false" customHeight="true" outlineLevel="0" collapsed="false">
      <c r="B12597" s="10"/>
      <c r="C12597" s="10"/>
      <c r="D12597" s="10"/>
      <c r="E12597" s="10"/>
      <c r="F12597" s="10"/>
    </row>
    <row r="12598" customFormat="false" ht="15.75" hidden="false" customHeight="true" outlineLevel="0" collapsed="false">
      <c r="B12598" s="10"/>
      <c r="C12598" s="10"/>
      <c r="D12598" s="10"/>
      <c r="E12598" s="10"/>
      <c r="F12598" s="10"/>
    </row>
    <row r="12599" customFormat="false" ht="15.75" hidden="false" customHeight="true" outlineLevel="0" collapsed="false">
      <c r="B12599" s="10"/>
      <c r="C12599" s="10"/>
      <c r="D12599" s="10"/>
      <c r="E12599" s="10"/>
      <c r="F12599" s="10"/>
    </row>
    <row r="12600" customFormat="false" ht="24" hidden="false" customHeight="true" outlineLevel="0" collapsed="false">
      <c r="B12600" s="48" t="str">
        <f aca="false">Cab_Mentions</f>
        <v>ALTHO EXPERTISE · SAS au capital de 10 000 € · RCS Pontoise 919 706 325 · TVA FR62919706325 · Société d'expertise comptable inscrite au Tableau de l'Ordre des experts-comptables de Paris Île-de-France</v>
      </c>
      <c r="C12600" s="48"/>
      <c r="D12600" s="48"/>
      <c r="E12600" s="48"/>
      <c r="F12600" s="48"/>
    </row>
    <row r="12601" customFormat="false" ht="15" hidden="false" customHeight="false" outlineLevel="0" collapsed="false">
      <c r="B12601" s="10"/>
      <c r="C12601" s="10"/>
      <c r="D12601" s="10"/>
      <c r="E12601" s="10"/>
      <c r="F12601" s="10"/>
      <c r="J12601" s="25" t="s">
        <v>142</v>
      </c>
      <c r="K12601" s="25" t="n">
        <f aca="false">IFERROR(MATCH(281,Clients!$Z$2:$Z$501,0),0)</f>
        <v>0</v>
      </c>
      <c r="L12601" s="25"/>
      <c r="M12601" s="25"/>
      <c r="N12601" s="25"/>
      <c r="O12601" s="25"/>
    </row>
    <row r="12602" customFormat="false" ht="21.75" hidden="false" customHeight="true" outlineLevel="0" collapsed="false">
      <c r="B12602" s="26" t="str">
        <f aca="false">Cab_Nom</f>
        <v>ALTHO EXPERTISE</v>
      </c>
      <c r="C12602" s="26"/>
      <c r="D12602" s="10"/>
      <c r="E12602" s="27" t="str">
        <f aca="false">IF($K$12601=0,"","Réf. client : "&amp;INDEX(Clients!$A$2:$A$501,$K$12601))</f>
        <v/>
      </c>
      <c r="F12602" s="27"/>
      <c r="J12602" s="25" t="s">
        <v>144</v>
      </c>
      <c r="K12602" s="25" t="str">
        <f aca="false">IF(IF($K$12601=0,"",INDEX(Clients!$B$2:$B$501,$K$12601)&amp;"")="Mme","Madame",IF(IF($K$12601=0,"",INDEX(Clients!$B$2:$B$501,$K$12601)&amp;"")="M.","Monsieur","Madame, Monsieur"))</f>
        <v>Madame, Monsieur</v>
      </c>
      <c r="L12602" s="25"/>
      <c r="M12602" s="25"/>
      <c r="N12602" s="25"/>
      <c r="O12602" s="25"/>
    </row>
    <row r="12603" customFormat="false" ht="15" hidden="false" customHeight="false" outlineLevel="0" collapsed="false">
      <c r="B12603" s="29" t="str">
        <f aca="false">Cab_Adr1</f>
        <v>141 rue Charles de Gaulle</v>
      </c>
      <c r="C12603" s="29"/>
      <c r="D12603" s="10"/>
      <c r="E12603" s="10"/>
      <c r="F12603" s="10"/>
      <c r="J12603" s="25" t="s">
        <v>145</v>
      </c>
      <c r="K12603" s="25" t="str">
        <f aca="false">DAY(Date_Effet)&amp;IF(DAY(Date_Effet)=1,"er","")&amp;" "&amp;INDEX(Liste_Mois,MONTH(Date_Effet))&amp;" "&amp;YEAR(Date_Effet)</f>
        <v>1er janvier 2027</v>
      </c>
      <c r="L12603" s="25"/>
      <c r="M12603" s="25"/>
      <c r="N12603" s="25"/>
      <c r="O12603" s="25"/>
    </row>
    <row r="12604" customFormat="false" ht="15" hidden="false" customHeight="false" outlineLevel="0" collapsed="false">
      <c r="B12604" s="29" t="str">
        <f aca="false">Cab_CPVille</f>
        <v>95130 LE PLESSIS-BOUCHARD</v>
      </c>
      <c r="C12604" s="29"/>
      <c r="D12604" s="10"/>
      <c r="E12604" s="10"/>
      <c r="F12604" s="10"/>
      <c r="J12604" s="25" t="s">
        <v>146</v>
      </c>
      <c r="K12604" s="25" t="str">
        <f aca="false">IF(SUM($K$12628:$K$12631)=0,"",FIXED((SUM($L$12628:$L$12631)/SUM($K$12628:$K$12631)-1)*100,1)&amp;" %")</f>
        <v/>
      </c>
      <c r="L12604" s="25"/>
      <c r="M12604" s="25"/>
      <c r="N12604" s="25"/>
      <c r="O12604" s="25"/>
    </row>
    <row r="12605" customFormat="false" ht="15" hidden="false" customHeight="false" outlineLevel="0" collapsed="false">
      <c r="B12605" s="29" t="str">
        <f aca="false">Cab_Contact</f>
        <v>Tél. 01 34 14 53 45  ·  altho@altho-experts.com  ·  altho-experts.com</v>
      </c>
      <c r="C12605" s="29"/>
      <c r="D12605" s="10"/>
      <c r="E12605" s="10"/>
      <c r="F12605" s="10"/>
      <c r="J12605" s="25"/>
      <c r="K12605" s="25"/>
      <c r="L12605" s="25"/>
      <c r="M12605" s="25"/>
      <c r="N12605" s="25"/>
      <c r="O12605" s="25"/>
    </row>
    <row r="12606" customFormat="false" ht="6" hidden="false" customHeight="true" outlineLevel="0" collapsed="false">
      <c r="B12606" s="32"/>
      <c r="C12606" s="32"/>
      <c r="D12606" s="32"/>
      <c r="E12606" s="32"/>
      <c r="F12606" s="32"/>
      <c r="J12606" s="25"/>
      <c r="K12606" s="25"/>
      <c r="L12606" s="25"/>
      <c r="M12606" s="25"/>
      <c r="N12606" s="25"/>
      <c r="O12606" s="25"/>
    </row>
    <row r="12607" customFormat="false" ht="13.5" hidden="false" customHeight="true" outlineLevel="0" collapsed="false">
      <c r="B12607" s="10"/>
      <c r="C12607" s="10"/>
      <c r="D12607" s="10"/>
      <c r="E12607" s="10"/>
      <c r="F12607" s="10"/>
      <c r="J12607" s="25"/>
      <c r="K12607" s="25"/>
      <c r="L12607" s="25"/>
      <c r="M12607" s="25"/>
      <c r="N12607" s="25"/>
      <c r="O12607" s="25"/>
    </row>
    <row r="12608" customFormat="false" ht="13.5" hidden="false" customHeight="true" outlineLevel="0" collapsed="false">
      <c r="B12608" s="10"/>
      <c r="C12608" s="10"/>
      <c r="D12608" s="10"/>
      <c r="E12608" s="10"/>
      <c r="F12608" s="10"/>
      <c r="J12608" s="25"/>
      <c r="K12608" s="25"/>
      <c r="L12608" s="25"/>
      <c r="M12608" s="25"/>
      <c r="N12608" s="25"/>
      <c r="O12608" s="25"/>
    </row>
    <row r="12609" customFormat="false" ht="13.5" hidden="false" customHeight="true" outlineLevel="0" collapsed="false">
      <c r="B12609" s="10"/>
      <c r="C12609" s="10"/>
      <c r="D12609" s="10"/>
      <c r="E12609" s="10"/>
      <c r="F12609" s="10"/>
      <c r="J12609" s="25"/>
      <c r="K12609" s="25"/>
      <c r="L12609" s="25"/>
      <c r="M12609" s="25"/>
      <c r="N12609" s="25"/>
      <c r="O12609" s="25"/>
    </row>
    <row r="12610" customFormat="false" ht="15" hidden="false" customHeight="true" outlineLevel="0" collapsed="false">
      <c r="B12610" s="10"/>
      <c r="C12610" s="10"/>
      <c r="D12610" s="34" t="str">
        <f aca="false">IF($K$12601=0,"",INDEX(Clients!$E$2:$E$501,$K$12601)&amp;"")</f>
        <v/>
      </c>
      <c r="E12610" s="34"/>
      <c r="F12610" s="34"/>
      <c r="J12610" s="25"/>
      <c r="K12610" s="25"/>
      <c r="L12610" s="25"/>
      <c r="M12610" s="25"/>
      <c r="N12610" s="25"/>
      <c r="O12610" s="25"/>
    </row>
    <row r="12611" customFormat="false" ht="15" hidden="false" customHeight="true" outlineLevel="0" collapsed="false">
      <c r="B12611" s="10"/>
      <c r="C12611" s="10"/>
      <c r="D12611" s="35" t="str">
        <f aca="false">IF(IF($K$12601=0,"",INDEX(Clients!$D$2:$D$501,$K$12601)&amp;"")="","","À l'attention de "&amp;TRIM(IF($K$12601=0,"",INDEX(Clients!$B$2:$B$501,$K$12601)&amp;"")&amp;" "&amp;IF($K$12601=0,"",INDEX(Clients!$C$2:$C$501,$K$12601)&amp;"")&amp;" "&amp;IF($K$12601=0,"",INDEX(Clients!$D$2:$D$501,$K$12601)&amp;"")))</f>
        <v/>
      </c>
      <c r="E12611" s="35"/>
      <c r="F12611" s="35"/>
      <c r="J12611" s="25"/>
      <c r="K12611" s="25"/>
      <c r="L12611" s="25"/>
      <c r="M12611" s="25"/>
      <c r="N12611" s="25"/>
      <c r="O12611" s="25"/>
    </row>
    <row r="12612" customFormat="false" ht="15" hidden="false" customHeight="true" outlineLevel="0" collapsed="false">
      <c r="B12612" s="10"/>
      <c r="C12612" s="10"/>
      <c r="D12612" s="35" t="str">
        <f aca="false">IF($K$12601=0,"",INDEX(Clients!$F$2:$F$501,$K$12601)&amp;"")</f>
        <v/>
      </c>
      <c r="E12612" s="35"/>
      <c r="F12612" s="35"/>
      <c r="J12612" s="25"/>
      <c r="K12612" s="25"/>
      <c r="L12612" s="25"/>
      <c r="M12612" s="25"/>
      <c r="N12612" s="25"/>
      <c r="O12612" s="25"/>
    </row>
    <row r="12613" customFormat="false" ht="15" hidden="false" customHeight="true" outlineLevel="0" collapsed="false">
      <c r="B12613" s="10"/>
      <c r="C12613" s="10"/>
      <c r="D12613" s="35" t="str">
        <f aca="false">IF(IF($K$12601=0,"",INDEX(Clients!$G$2:$G$501,$K$12601)&amp;"")="",TRIM(IF($K$12601=0,"",INDEX(Clients!$H$2:$H$501,$K$12601)&amp;"")&amp;" "&amp;UPPER(IF($K$12601=0,"",INDEX(Clients!$I$2:$I$501,$K$12601)&amp;""))),IF($K$12601=0,"",INDEX(Clients!$G$2:$G$501,$K$12601)&amp;""))</f>
        <v/>
      </c>
      <c r="E12613" s="35"/>
      <c r="F12613" s="35"/>
      <c r="J12613" s="25"/>
      <c r="K12613" s="25"/>
      <c r="L12613" s="25"/>
      <c r="M12613" s="25"/>
      <c r="N12613" s="25"/>
      <c r="O12613" s="25"/>
    </row>
    <row r="12614" customFormat="false" ht="15" hidden="false" customHeight="true" outlineLevel="0" collapsed="false">
      <c r="B12614" s="10"/>
      <c r="C12614" s="10"/>
      <c r="D12614" s="35" t="str">
        <f aca="false">IF(IF($K$12601=0,"",INDEX(Clients!$G$2:$G$501,$K$12601)&amp;"")="","",TRIM(IF($K$12601=0,"",INDEX(Clients!$H$2:$H$501,$K$12601)&amp;"")&amp;" "&amp;UPPER(IF($K$12601=0,"",INDEX(Clients!$I$2:$I$501,$K$12601)&amp;""))))</f>
        <v/>
      </c>
      <c r="E12614" s="35"/>
      <c r="F12614" s="35"/>
      <c r="J12614" s="25"/>
      <c r="K12614" s="25"/>
      <c r="L12614" s="25"/>
      <c r="M12614" s="25"/>
      <c r="N12614" s="25"/>
      <c r="O12614" s="25"/>
    </row>
    <row r="12615" customFormat="false" ht="25.5" hidden="false" customHeight="true" outlineLevel="0" collapsed="false">
      <c r="B12615" s="10"/>
      <c r="C12615" s="10"/>
      <c r="D12615" s="10"/>
      <c r="E12615" s="10"/>
      <c r="F12615" s="10"/>
      <c r="J12615" s="25"/>
      <c r="K12615" s="25"/>
      <c r="L12615" s="25"/>
      <c r="M12615" s="25"/>
      <c r="N12615" s="25"/>
      <c r="O12615" s="25"/>
    </row>
    <row r="12616" customFormat="false" ht="15" hidden="false" customHeight="false" outlineLevel="0" collapsed="false">
      <c r="B12616" s="10"/>
      <c r="C12616" s="10"/>
      <c r="D12616" s="36" t="str">
        <f aca="false">Cab_Ville&amp;", le "&amp;DAY(Date_Courrier)&amp;IF(DAY(Date_Courrier)=1,"er","")&amp;" "&amp;INDEX(Liste_Mois,MONTH(Date_Courrier))&amp;" "&amp;YEAR(Date_Courrier)</f>
        <v>Le Plessis-Bouchard, le 22 septembre 2026</v>
      </c>
      <c r="E12616" s="36"/>
      <c r="F12616" s="36"/>
      <c r="J12616" s="25"/>
      <c r="K12616" s="25"/>
      <c r="L12616" s="25"/>
      <c r="M12616" s="25"/>
      <c r="N12616" s="25"/>
      <c r="O12616" s="25"/>
    </row>
    <row r="12617" customFormat="false" ht="19.5" hidden="false" customHeight="true" outlineLevel="0" collapsed="false">
      <c r="B12617" s="10"/>
      <c r="C12617" s="10"/>
      <c r="D12617" s="10"/>
      <c r="E12617" s="10"/>
      <c r="F12617" s="10"/>
      <c r="J12617" s="25"/>
      <c r="K12617" s="25"/>
      <c r="L12617" s="25"/>
      <c r="M12617" s="25"/>
      <c r="N12617" s="25"/>
      <c r="O12617" s="25"/>
    </row>
    <row r="12618" customFormat="false" ht="15" hidden="false" customHeight="false" outlineLevel="0" collapsed="false">
      <c r="B12618" s="34" t="str">
        <f aca="false">SUBSTITUTE(SUBSTITUTE(SUBSTITUTE(SUBSTITUTE(SUBSTITUTE(Txt_Objet,"{cabinet}",Cab_Nom),"{societe}",IF($K$12601=0,"",INDEX(Clients!$E$2:$E$501,$K$12601)&amp;"")),"{date_effet}",$K$12603),"{hausse}",$K$12604),"{civilite}",$K$12602)</f>
        <v>Objet : révision de nos honoraires au 1er janvier 2027</v>
      </c>
      <c r="C12618" s="34"/>
      <c r="D12618" s="34"/>
      <c r="E12618" s="34"/>
      <c r="F12618" s="34"/>
      <c r="J12618" s="25"/>
      <c r="K12618" s="25"/>
      <c r="L12618" s="25"/>
      <c r="M12618" s="25"/>
      <c r="N12618" s="25"/>
      <c r="O12618" s="25"/>
    </row>
    <row r="12619" customFormat="false" ht="13.5" hidden="false" customHeight="true" outlineLevel="0" collapsed="false">
      <c r="B12619" s="10"/>
      <c r="C12619" s="10"/>
      <c r="D12619" s="10"/>
      <c r="E12619" s="10"/>
      <c r="F12619" s="10"/>
      <c r="J12619" s="25"/>
      <c r="K12619" s="25"/>
      <c r="L12619" s="25"/>
      <c r="M12619" s="25"/>
      <c r="N12619" s="25"/>
      <c r="O12619" s="25"/>
    </row>
    <row r="12620" customFormat="false" ht="15" hidden="false" customHeight="false" outlineLevel="0" collapsed="false">
      <c r="B12620" s="10" t="str">
        <f aca="false">$K$12602&amp;","</f>
        <v>Madame, Monsieur,</v>
      </c>
      <c r="C12620" s="10"/>
      <c r="D12620" s="10"/>
      <c r="E12620" s="10"/>
      <c r="F12620" s="10"/>
      <c r="J12620" s="25"/>
      <c r="K12620" s="25"/>
      <c r="L12620" s="25"/>
      <c r="M12620" s="25"/>
      <c r="N12620" s="25"/>
      <c r="O12620" s="25"/>
    </row>
    <row r="12621" customFormat="false" ht="6" hidden="false" customHeight="true" outlineLevel="0" collapsed="false">
      <c r="B12621" s="10"/>
      <c r="C12621" s="10"/>
      <c r="D12621" s="10"/>
      <c r="E12621" s="10"/>
      <c r="F12621" s="10"/>
      <c r="J12621" s="25"/>
      <c r="K12621" s="25"/>
      <c r="L12621" s="25"/>
      <c r="M12621" s="25"/>
      <c r="N12621" s="25"/>
      <c r="O12621" s="25"/>
    </row>
    <row r="12622" customFormat="false" ht="36.75" hidden="false" customHeight="true" outlineLevel="0" collapsed="false">
      <c r="B12622" s="37" t="str">
        <f aca="false">SUBSTITUTE(SUBSTITUTE(SUBSTITUTE(SUBSTITUTE(SUBSTITUTE(Txt_P1,"{cabinet}",Cab_Nom),"{societe}",IF($K$12601=0,"",INDEX(Clients!$E$2:$E$501,$K$12601)&amp;"")),"{date_effet}",$K$12603),"{hausse}",$K$12604),"{civilite}",$K$12602)</f>
        <v>Nous tenons tout d'abord à vous remercier pour la confiance que vous accordez à ALTHO EXPERTISE. Comme chaque année, et conformément aux dispositions de votre lettre de mission, nous procédons à la révision de nos honoraires.</v>
      </c>
      <c r="C12622" s="37"/>
      <c r="D12622" s="37"/>
      <c r="E12622" s="37"/>
      <c r="F12622" s="37"/>
      <c r="J12622" s="25"/>
      <c r="K12622" s="25"/>
      <c r="L12622" s="25"/>
      <c r="M12622" s="25"/>
      <c r="N12622" s="25"/>
      <c r="O12622" s="25"/>
    </row>
    <row r="12623" customFormat="false" ht="49.5" hidden="false" customHeight="true" outlineLevel="0" collapsed="false">
      <c r="B12623" s="37" t="str">
        <f aca="false">SUBSTITUTE(SUBSTITUTE(SUBSTITUTE(SUBSTITUTE(SUBSTITUTE(Txt_P2,"{cabinet}",Cab_Nom),"{societe}",IF($K$12601=0,"",INDEX(Clients!$E$2:$E$501,$K$12601)&amp;"")),"{date_effet}",$K$12603),"{hausse}",$K$12604),"{civilite}",$K$12602)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623" s="37"/>
      <c r="D12623" s="37"/>
      <c r="E12623" s="37"/>
      <c r="F12623" s="37"/>
      <c r="J12623" s="25"/>
      <c r="K12623" s="25"/>
      <c r="L12623" s="25"/>
      <c r="M12623" s="25"/>
      <c r="N12623" s="25"/>
      <c r="O12623" s="25"/>
    </row>
    <row r="12624" customFormat="false" ht="63" hidden="false" customHeight="true" outlineLevel="0" collapsed="false">
      <c r="B12624" s="37" t="str">
        <f aca="false">SUBSTITUTE(SUBSTITUTE(SUBSTITUTE(SUBSTITUTE(SUBSTITUTE(Txt_P3,"{cabinet}",Cab_Nom),"{societe}",IF($K$12601=0,"",INDEX(Clients!$E$2:$E$501,$K$12601)&amp;"")),"{date_effet}",$K$12603),"{hausse}",$K$12604),"{civilite}",$K$12602)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624" s="37"/>
      <c r="D12624" s="37"/>
      <c r="E12624" s="37"/>
      <c r="F12624" s="37"/>
      <c r="J12624" s="25"/>
      <c r="K12624" s="25"/>
      <c r="L12624" s="25"/>
      <c r="M12624" s="25"/>
      <c r="N12624" s="25"/>
      <c r="O12624" s="25"/>
    </row>
    <row r="12625" customFormat="false" ht="24" hidden="false" customHeight="true" outlineLevel="0" collapsed="false">
      <c r="B12625" s="37" t="str">
        <f aca="false">SUBSTITUTE(SUBSTITUTE(SUBSTITUTE(SUBSTITUTE(SUBSTITUTE(Txt_P4,"{cabinet}",Cab_Nom),"{societe}",IF($K$12601=0,"",INDEX(Clients!$E$2:$E$501,$K$12601)&amp;"")),"{date_effet}",$K$12603),"{hausse}",$K$12604),"{civilite}",$K$12602)</f>
        <v>À compter du 1er janvier 2027, vos honoraires annuels hors taxes évolueront ainsi (évolution globale : ) :</v>
      </c>
      <c r="C12625" s="37"/>
      <c r="D12625" s="37"/>
      <c r="E12625" s="37"/>
      <c r="F12625" s="37"/>
      <c r="J12625" s="25"/>
      <c r="K12625" s="25"/>
      <c r="L12625" s="25"/>
      <c r="M12625" s="25"/>
      <c r="N12625" s="25"/>
      <c r="O12625" s="25"/>
    </row>
    <row r="12626" customFormat="false" ht="3.75" hidden="false" customHeight="true" outlineLevel="0" collapsed="false">
      <c r="B12626" s="10"/>
      <c r="C12626" s="10"/>
      <c r="D12626" s="10"/>
      <c r="E12626" s="10"/>
      <c r="F12626" s="10"/>
      <c r="J12626" s="25"/>
      <c r="K12626" s="25"/>
      <c r="L12626" s="25"/>
      <c r="M12626" s="25"/>
      <c r="N12626" s="25"/>
      <c r="O12626" s="25"/>
    </row>
    <row r="12627" customFormat="false" ht="18" hidden="false" customHeight="true" outlineLevel="0" collapsed="false">
      <c r="B12627" s="38" t="s">
        <v>148</v>
      </c>
      <c r="C12627" s="39" t="s">
        <v>149</v>
      </c>
      <c r="D12627" s="39" t="s">
        <v>150</v>
      </c>
      <c r="E12627" s="39" t="s">
        <v>151</v>
      </c>
      <c r="F12627" s="39" t="s">
        <v>109</v>
      </c>
      <c r="J12627" s="25" t="s">
        <v>152</v>
      </c>
      <c r="K12627" s="25" t="s">
        <v>153</v>
      </c>
      <c r="L12627" s="25" t="s">
        <v>154</v>
      </c>
      <c r="M12627" s="25" t="s">
        <v>155</v>
      </c>
      <c r="N12627" s="25" t="s">
        <v>156</v>
      </c>
      <c r="O12627" s="25" t="s">
        <v>157</v>
      </c>
    </row>
    <row r="12628" customFormat="false" ht="16.5" hidden="false" customHeight="true" outlineLevel="0" collapsed="false">
      <c r="B12628" s="40" t="str">
        <f aca="false">IFERROR(INDEX($J$12628:$J$12631,MATCH($O12628,$N$12628:$N$12631,0)),"")</f>
        <v/>
      </c>
      <c r="C12628" s="41" t="str">
        <f aca="false">IFERROR(INDEX($K$12628:$K$12631,MATCH($O12628,$N$12628:$N$12631,0)),"")</f>
        <v/>
      </c>
      <c r="D12628" s="42" t="str">
        <f aca="false">IF(OR(E12628="",N(C12628)=0),"",E12628/C12628-1)</f>
        <v/>
      </c>
      <c r="E12628" s="41" t="str">
        <f aca="false">IFERROR(INDEX($L$12628:$L$12631,MATCH($O12628,$N$12628:$N$12631,0)),"")</f>
        <v/>
      </c>
      <c r="F12628" s="41" t="str">
        <f aca="false">IF(E12628="","",E12628-C12628)</f>
        <v/>
      </c>
      <c r="J12628" s="25" t="str">
        <f aca="false">Lib_Compta</f>
        <v>Mission comptable (tenue, révision, bilan, liasse fiscale)</v>
      </c>
      <c r="K12628" s="25" t="n">
        <f aca="false">IF($K$12601=0,0,N(INDEX(Clients!$K$2:$K$501,$K$12601)))</f>
        <v>0</v>
      </c>
      <c r="L12628" s="25" t="n">
        <f aca="false">IF($K$12601=0,0,N(INDEX(Clients!$P$2:$P$501,$K$12601)))</f>
        <v>0</v>
      </c>
      <c r="M12628" s="25" t="n">
        <f aca="false">IF(OR(K12628&lt;&gt;0,L12628&lt;&gt;0),1,0)</f>
        <v>0</v>
      </c>
      <c r="N12628" s="25" t="str">
        <f aca="false">IF(M12628=1,SUM($M$12628:M12628),"")</f>
        <v/>
      </c>
      <c r="O12628" s="25" t="n">
        <v>1</v>
      </c>
    </row>
    <row r="12629" customFormat="false" ht="16.5" hidden="false" customHeight="true" outlineLevel="0" collapsed="false">
      <c r="B12629" s="40" t="str">
        <f aca="false">IFERROR(INDEX($J$12628:$J$12631,MATCH($O12629,$N$12628:$N$12631,0)),"")</f>
        <v/>
      </c>
      <c r="C12629" s="41" t="str">
        <f aca="false">IFERROR(INDEX($K$12628:$K$12631,MATCH($O12629,$N$12628:$N$12631,0)),"")</f>
        <v/>
      </c>
      <c r="D12629" s="42" t="str">
        <f aca="false">IF(OR(E12629="",N(C12629)=0),"",E12629/C12629-1)</f>
        <v/>
      </c>
      <c r="E12629" s="41" t="str">
        <f aca="false">IFERROR(INDEX($L$12628:$L$12631,MATCH($O12629,$N$12628:$N$12631,0)),"")</f>
        <v/>
      </c>
      <c r="F12629" s="41" t="str">
        <f aca="false">IF(E12629="","",E12629-C12629)</f>
        <v/>
      </c>
      <c r="J12629" s="25" t="str">
        <f aca="false">Lib_Paye</f>
        <v>Mission sociale (bulletins de paie, DSN, déclarations sociales)</v>
      </c>
      <c r="K12629" s="25" t="n">
        <f aca="false">IF($K$12601=0,0,N(INDEX(Clients!$L$2:$L$501,$K$12601)))</f>
        <v>0</v>
      </c>
      <c r="L12629" s="25" t="n">
        <f aca="false">IF($K$12601=0,0,N(INDEX(Clients!$Q$2:$Q$501,$K$12601)))</f>
        <v>0</v>
      </c>
      <c r="M12629" s="25" t="n">
        <f aca="false">IF(OR(K12629&lt;&gt;0,L12629&lt;&gt;0),1,0)</f>
        <v>0</v>
      </c>
      <c r="N12629" s="25" t="str">
        <f aca="false">IF(M12629=1,SUM($M$12628:M12629),"")</f>
        <v/>
      </c>
      <c r="O12629" s="25" t="n">
        <v>2</v>
      </c>
    </row>
    <row r="12630" customFormat="false" ht="16.5" hidden="false" customHeight="true" outlineLevel="0" collapsed="false">
      <c r="B12630" s="40" t="str">
        <f aca="false">IFERROR(INDEX($J$12628:$J$12631,MATCH($O12630,$N$12628:$N$12631,0)),"")</f>
        <v/>
      </c>
      <c r="C12630" s="41" t="str">
        <f aca="false">IFERROR(INDEX($K$12628:$K$12631,MATCH($O12630,$N$12628:$N$12631,0)),"")</f>
        <v/>
      </c>
      <c r="D12630" s="42" t="str">
        <f aca="false">IF(OR(E12630="",N(C12630)=0),"",E12630/C12630-1)</f>
        <v/>
      </c>
      <c r="E12630" s="41" t="str">
        <f aca="false">IFERROR(INDEX($L$12628:$L$12631,MATCH($O12630,$N$12628:$N$12631,0)),"")</f>
        <v/>
      </c>
      <c r="F12630" s="41" t="str">
        <f aca="false">IF(E12630="","",E12630-C12630)</f>
        <v/>
      </c>
      <c r="J12630" s="25" t="str">
        <f aca="false">Lib_Jur</f>
        <v>Mission juridique (approbation des comptes, secrétariat juridique)</v>
      </c>
      <c r="K12630" s="25" t="n">
        <f aca="false">IF($K$12601=0,0,N(INDEX(Clients!$M$2:$M$501,$K$12601)))</f>
        <v>0</v>
      </c>
      <c r="L12630" s="25" t="n">
        <f aca="false">IF($K$12601=0,0,N(INDEX(Clients!$R$2:$R$501,$K$12601)))</f>
        <v>0</v>
      </c>
      <c r="M12630" s="25" t="n">
        <f aca="false">IF(OR(K12630&lt;&gt;0,L12630&lt;&gt;0),1,0)</f>
        <v>0</v>
      </c>
      <c r="N12630" s="25" t="str">
        <f aca="false">IF(M12630=1,SUM($M$12628:M12630),"")</f>
        <v/>
      </c>
      <c r="O12630" s="25" t="n">
        <v>3</v>
      </c>
    </row>
    <row r="12631" customFormat="false" ht="16.5" hidden="false" customHeight="true" outlineLevel="0" collapsed="false">
      <c r="B12631" s="40" t="str">
        <f aca="false">IFERROR(INDEX($J$12628:$J$12631,MATCH($O12631,$N$12628:$N$12631,0)),"")</f>
        <v/>
      </c>
      <c r="C12631" s="41" t="str">
        <f aca="false">IFERROR(INDEX($K$12628:$K$12631,MATCH($O12631,$N$12628:$N$12631,0)),"")</f>
        <v/>
      </c>
      <c r="D12631" s="42" t="str">
        <f aca="false">IF(OR(E12631="",N(C12631)=0),"",E12631/C12631-1)</f>
        <v/>
      </c>
      <c r="E12631" s="41" t="str">
        <f aca="false">IFERROR(INDEX($L$12628:$L$12631,MATCH($O12631,$N$12628:$N$12631,0)),"")</f>
        <v/>
      </c>
      <c r="F12631" s="41" t="str">
        <f aca="false">IF(E12631="","",E12631-C12631)</f>
        <v/>
      </c>
      <c r="J12631" s="25" t="str">
        <f aca="false">Lib_PA</f>
        <v>Plateforme agréée – facturation électronique</v>
      </c>
      <c r="K12631" s="25" t="n">
        <f aca="false">IF($K$12601=0,0,N(INDEX(Clients!$N$2:$N$501,$K$12601)))</f>
        <v>0</v>
      </c>
      <c r="L12631" s="25" t="n">
        <f aca="false">IF($K$12601=0,0,N(INDEX(Clients!$S$2:$S$501,$K$12601)))</f>
        <v>0</v>
      </c>
      <c r="M12631" s="25" t="n">
        <f aca="false">IF(OR(K12631&lt;&gt;0,L12631&lt;&gt;0),1,0)</f>
        <v>0</v>
      </c>
      <c r="N12631" s="25" t="str">
        <f aca="false">IF(M12631=1,SUM($M$12628:M12631),"")</f>
        <v/>
      </c>
      <c r="O12631" s="25" t="n">
        <v>4</v>
      </c>
    </row>
    <row r="12632" customFormat="false" ht="18" hidden="false" customHeight="true" outlineLevel="0" collapsed="false">
      <c r="B12632" s="43" t="s">
        <v>158</v>
      </c>
      <c r="C12632" s="44" t="n">
        <f aca="false">SUM(K12628:K12631)</f>
        <v>0</v>
      </c>
      <c r="D12632" s="45" t="str">
        <f aca="false">IF(N(C12632)=0,"",E12632/C12632-1)</f>
        <v/>
      </c>
      <c r="E12632" s="44" t="n">
        <f aca="false">SUM(L12628:L12631)</f>
        <v>0</v>
      </c>
      <c r="F12632" s="44" t="n">
        <f aca="false">E12632-C12632</f>
        <v>0</v>
      </c>
    </row>
    <row r="12633" customFormat="false" ht="15" hidden="false" customHeight="false" outlineLevel="0" collapsed="false">
      <c r="B12633" s="46" t="str">
        <f aca="false">IF(N(Nb_Mensualites)=0,"","Soit "&amp;FIXED(E12632/Nb_Mensualites,2)&amp;" € HT par échéance ("&amp;Nb_Mensualites&amp;" échéances), "&amp;FIXED(E12632/Nb_Mensualites*(1+Taux_TVA),2)&amp;" € TTC.")</f>
        <v>Soit 0.00 € HT par échéance (12 échéances), 0.00 € TTC.</v>
      </c>
      <c r="C12633" s="46"/>
      <c r="D12633" s="46"/>
      <c r="E12633" s="46"/>
      <c r="F12633" s="46"/>
    </row>
    <row r="12634" customFormat="false" ht="7.5" hidden="false" customHeight="true" outlineLevel="0" collapsed="false">
      <c r="B12634" s="10"/>
      <c r="C12634" s="10"/>
      <c r="D12634" s="10"/>
      <c r="E12634" s="10"/>
      <c r="F12634" s="10"/>
    </row>
    <row r="12635" customFormat="false" ht="36.75" hidden="false" customHeight="true" outlineLevel="0" collapsed="false">
      <c r="B12635" s="37" t="str">
        <f aca="false">SUBSTITUTE(SUBSTITUTE(SUBSTITUTE(SUBSTITUTE(SUBSTITUTE(Txt_P5,"{cabinet}",Cab_Nom),"{societe}",IF($K$12601=0,"",INDEX(Clients!$E$2:$E$501,$K$12601)&amp;"")),"{date_effet}",$K$12603),"{hausse}",$K$12604),"{civilite}",$K$12602)</f>
        <v>Les autres conditions de votre lettre de mission demeurent inchangées. Les nouveaux montants seront appliqués automatiquement sur vos prochaines factures et échéances de prélèvement.</v>
      </c>
      <c r="C12635" s="37"/>
      <c r="D12635" s="37"/>
      <c r="E12635" s="37"/>
      <c r="F12635" s="37"/>
    </row>
    <row r="12636" customFormat="false" ht="36.75" hidden="false" customHeight="true" outlineLevel="0" collapsed="false">
      <c r="B12636" s="37" t="str">
        <f aca="false">SUBSTITUTE(SUBSTITUTE(SUBSTITUTE(SUBSTITUTE(SUBSTITUTE(Txt_P6,"{cabinet}",Cab_Nom),"{societe}",IF($K$12601=0,"",INDEX(Clients!$E$2:$E$501,$K$12601)&amp;"")),"{date_effet}",$K$12603),"{hausse}",$K$12604),"{civilite}",$K$12602)</f>
        <v>Votre interlocuteur habituel reste à votre entière disposition pour répondre à vos questions et faire le point sur l'évolution de vos besoins.</v>
      </c>
      <c r="C12636" s="37"/>
      <c r="D12636" s="37"/>
      <c r="E12636" s="37"/>
      <c r="F12636" s="37"/>
    </row>
    <row r="12637" customFormat="false" ht="24" hidden="false" customHeight="true" outlineLevel="0" collapsed="false">
      <c r="B12637" s="37" t="str">
        <f aca="false">SUBSTITUTE(SUBSTITUTE(SUBSTITUTE(SUBSTITUTE(SUBSTITUTE(Txt_Politesse,"{cabinet}",Cab_Nom),"{societe}",IF($K$12601=0,"",INDEX(Clients!$E$2:$E$501,$K$12601)&amp;"")),"{date_effet}",$K$12603),"{hausse}",$K$12604),"{civilite}",$K$12602)</f>
        <v>Nous vous prions d'agréer, Madame, Monsieur, l'expression de nos salutations distinguées.</v>
      </c>
      <c r="C12637" s="37"/>
      <c r="D12637" s="37"/>
      <c r="E12637" s="37"/>
      <c r="F12637" s="37"/>
    </row>
    <row r="12638" customFormat="false" ht="15" hidden="false" customHeight="false" outlineLevel="0" collapsed="false">
      <c r="B12638" s="10"/>
      <c r="C12638" s="10"/>
      <c r="D12638" s="10"/>
      <c r="E12638" s="10"/>
      <c r="F12638" s="10"/>
    </row>
    <row r="12639" customFormat="false" ht="15" hidden="false" customHeight="false" outlineLevel="0" collapsed="false">
      <c r="B12639" s="10"/>
      <c r="C12639" s="10"/>
      <c r="D12639" s="34" t="str">
        <f aca="false">Signataire</f>
        <v>Prénom NOM</v>
      </c>
      <c r="E12639" s="34"/>
      <c r="F12639" s="34"/>
    </row>
    <row r="12640" customFormat="false" ht="15" hidden="false" customHeight="false" outlineLevel="0" collapsed="false">
      <c r="B12640" s="10"/>
      <c r="C12640" s="10"/>
      <c r="D12640" s="47" t="str">
        <f aca="false">Signataire_Titre</f>
        <v>Expert-comptable associé</v>
      </c>
      <c r="E12640" s="47"/>
      <c r="F12640" s="47"/>
    </row>
    <row r="12641" customFormat="false" ht="15.75" hidden="false" customHeight="true" outlineLevel="0" collapsed="false">
      <c r="B12641" s="10"/>
      <c r="C12641" s="10"/>
      <c r="D12641" s="10"/>
      <c r="E12641" s="10"/>
      <c r="F12641" s="10"/>
    </row>
    <row r="12642" customFormat="false" ht="15.75" hidden="false" customHeight="true" outlineLevel="0" collapsed="false">
      <c r="B12642" s="10"/>
      <c r="C12642" s="10"/>
      <c r="D12642" s="10"/>
      <c r="E12642" s="10"/>
      <c r="F12642" s="10"/>
    </row>
    <row r="12643" customFormat="false" ht="15.75" hidden="false" customHeight="true" outlineLevel="0" collapsed="false">
      <c r="B12643" s="10"/>
      <c r="C12643" s="10"/>
      <c r="D12643" s="10"/>
      <c r="E12643" s="10"/>
      <c r="F12643" s="10"/>
    </row>
    <row r="12644" customFormat="false" ht="15.75" hidden="false" customHeight="true" outlineLevel="0" collapsed="false">
      <c r="B12644" s="10"/>
      <c r="C12644" s="10"/>
      <c r="D12644" s="10"/>
      <c r="E12644" s="10"/>
      <c r="F12644" s="10"/>
    </row>
    <row r="12645" customFormat="false" ht="24" hidden="false" customHeight="true" outlineLevel="0" collapsed="false">
      <c r="B12645" s="48" t="str">
        <f aca="false">Cab_Mentions</f>
        <v>ALTHO EXPERTISE · SAS au capital de 10 000 € · RCS Pontoise 919 706 325 · TVA FR62919706325 · Société d'expertise comptable inscrite au Tableau de l'Ordre des experts-comptables de Paris Île-de-France</v>
      </c>
      <c r="C12645" s="48"/>
      <c r="D12645" s="48"/>
      <c r="E12645" s="48"/>
      <c r="F12645" s="48"/>
    </row>
    <row r="12646" customFormat="false" ht="15" hidden="false" customHeight="false" outlineLevel="0" collapsed="false">
      <c r="B12646" s="10"/>
      <c r="C12646" s="10"/>
      <c r="D12646" s="10"/>
      <c r="E12646" s="10"/>
      <c r="F12646" s="10"/>
      <c r="J12646" s="25" t="s">
        <v>142</v>
      </c>
      <c r="K12646" s="25" t="n">
        <f aca="false">IFERROR(MATCH(282,Clients!$Z$2:$Z$501,0),0)</f>
        <v>0</v>
      </c>
      <c r="L12646" s="25"/>
      <c r="M12646" s="25"/>
      <c r="N12646" s="25"/>
      <c r="O12646" s="25"/>
    </row>
    <row r="12647" customFormat="false" ht="21.75" hidden="false" customHeight="true" outlineLevel="0" collapsed="false">
      <c r="B12647" s="26" t="str">
        <f aca="false">Cab_Nom</f>
        <v>ALTHO EXPERTISE</v>
      </c>
      <c r="C12647" s="26"/>
      <c r="D12647" s="10"/>
      <c r="E12647" s="27" t="str">
        <f aca="false">IF($K$12646=0,"","Réf. client : "&amp;INDEX(Clients!$A$2:$A$501,$K$12646))</f>
        <v/>
      </c>
      <c r="F12647" s="27"/>
      <c r="J12647" s="25" t="s">
        <v>144</v>
      </c>
      <c r="K12647" s="25" t="str">
        <f aca="false">IF(IF($K$12646=0,"",INDEX(Clients!$B$2:$B$501,$K$12646)&amp;"")="Mme","Madame",IF(IF($K$12646=0,"",INDEX(Clients!$B$2:$B$501,$K$12646)&amp;"")="M.","Monsieur","Madame, Monsieur"))</f>
        <v>Madame, Monsieur</v>
      </c>
      <c r="L12647" s="25"/>
      <c r="M12647" s="25"/>
      <c r="N12647" s="25"/>
      <c r="O12647" s="25"/>
    </row>
    <row r="12648" customFormat="false" ht="15" hidden="false" customHeight="false" outlineLevel="0" collapsed="false">
      <c r="B12648" s="29" t="str">
        <f aca="false">Cab_Adr1</f>
        <v>141 rue Charles de Gaulle</v>
      </c>
      <c r="C12648" s="29"/>
      <c r="D12648" s="10"/>
      <c r="E12648" s="10"/>
      <c r="F12648" s="10"/>
      <c r="J12648" s="25" t="s">
        <v>145</v>
      </c>
      <c r="K12648" s="25" t="str">
        <f aca="false">DAY(Date_Effet)&amp;IF(DAY(Date_Effet)=1,"er","")&amp;" "&amp;INDEX(Liste_Mois,MONTH(Date_Effet))&amp;" "&amp;YEAR(Date_Effet)</f>
        <v>1er janvier 2027</v>
      </c>
      <c r="L12648" s="25"/>
      <c r="M12648" s="25"/>
      <c r="N12648" s="25"/>
      <c r="O12648" s="25"/>
    </row>
    <row r="12649" customFormat="false" ht="15" hidden="false" customHeight="false" outlineLevel="0" collapsed="false">
      <c r="B12649" s="29" t="str">
        <f aca="false">Cab_CPVille</f>
        <v>95130 LE PLESSIS-BOUCHARD</v>
      </c>
      <c r="C12649" s="29"/>
      <c r="D12649" s="10"/>
      <c r="E12649" s="10"/>
      <c r="F12649" s="10"/>
      <c r="J12649" s="25" t="s">
        <v>146</v>
      </c>
      <c r="K12649" s="25" t="str">
        <f aca="false">IF(SUM($K$12673:$K$12676)=0,"",FIXED((SUM($L$12673:$L$12676)/SUM($K$12673:$K$12676)-1)*100,1)&amp;" %")</f>
        <v/>
      </c>
      <c r="L12649" s="25"/>
      <c r="M12649" s="25"/>
      <c r="N12649" s="25"/>
      <c r="O12649" s="25"/>
    </row>
    <row r="12650" customFormat="false" ht="15" hidden="false" customHeight="false" outlineLevel="0" collapsed="false">
      <c r="B12650" s="29" t="str">
        <f aca="false">Cab_Contact</f>
        <v>Tél. 01 34 14 53 45  ·  altho@altho-experts.com  ·  altho-experts.com</v>
      </c>
      <c r="C12650" s="29"/>
      <c r="D12650" s="10"/>
      <c r="E12650" s="10"/>
      <c r="F12650" s="10"/>
      <c r="J12650" s="25"/>
      <c r="K12650" s="25"/>
      <c r="L12650" s="25"/>
      <c r="M12650" s="25"/>
      <c r="N12650" s="25"/>
      <c r="O12650" s="25"/>
    </row>
    <row r="12651" customFormat="false" ht="6" hidden="false" customHeight="true" outlineLevel="0" collapsed="false">
      <c r="B12651" s="32"/>
      <c r="C12651" s="32"/>
      <c r="D12651" s="32"/>
      <c r="E12651" s="32"/>
      <c r="F12651" s="32"/>
      <c r="J12651" s="25"/>
      <c r="K12651" s="25"/>
      <c r="L12651" s="25"/>
      <c r="M12651" s="25"/>
      <c r="N12651" s="25"/>
      <c r="O12651" s="25"/>
    </row>
    <row r="12652" customFormat="false" ht="13.5" hidden="false" customHeight="true" outlineLevel="0" collapsed="false">
      <c r="B12652" s="10"/>
      <c r="C12652" s="10"/>
      <c r="D12652" s="10"/>
      <c r="E12652" s="10"/>
      <c r="F12652" s="10"/>
      <c r="J12652" s="25"/>
      <c r="K12652" s="25"/>
      <c r="L12652" s="25"/>
      <c r="M12652" s="25"/>
      <c r="N12652" s="25"/>
      <c r="O12652" s="25"/>
    </row>
    <row r="12653" customFormat="false" ht="13.5" hidden="false" customHeight="true" outlineLevel="0" collapsed="false">
      <c r="B12653" s="10"/>
      <c r="C12653" s="10"/>
      <c r="D12653" s="10"/>
      <c r="E12653" s="10"/>
      <c r="F12653" s="10"/>
      <c r="J12653" s="25"/>
      <c r="K12653" s="25"/>
      <c r="L12653" s="25"/>
      <c r="M12653" s="25"/>
      <c r="N12653" s="25"/>
      <c r="O12653" s="25"/>
    </row>
    <row r="12654" customFormat="false" ht="13.5" hidden="false" customHeight="true" outlineLevel="0" collapsed="false">
      <c r="B12654" s="10"/>
      <c r="C12654" s="10"/>
      <c r="D12654" s="10"/>
      <c r="E12654" s="10"/>
      <c r="F12654" s="10"/>
      <c r="J12654" s="25"/>
      <c r="K12654" s="25"/>
      <c r="L12654" s="25"/>
      <c r="M12654" s="25"/>
      <c r="N12654" s="25"/>
      <c r="O12654" s="25"/>
    </row>
    <row r="12655" customFormat="false" ht="15" hidden="false" customHeight="true" outlineLevel="0" collapsed="false">
      <c r="B12655" s="10"/>
      <c r="C12655" s="10"/>
      <c r="D12655" s="34" t="str">
        <f aca="false">IF($K$12646=0,"",INDEX(Clients!$E$2:$E$501,$K$12646)&amp;"")</f>
        <v/>
      </c>
      <c r="E12655" s="34"/>
      <c r="F12655" s="34"/>
      <c r="J12655" s="25"/>
      <c r="K12655" s="25"/>
      <c r="L12655" s="25"/>
      <c r="M12655" s="25"/>
      <c r="N12655" s="25"/>
      <c r="O12655" s="25"/>
    </row>
    <row r="12656" customFormat="false" ht="15" hidden="false" customHeight="true" outlineLevel="0" collapsed="false">
      <c r="B12656" s="10"/>
      <c r="C12656" s="10"/>
      <c r="D12656" s="35" t="str">
        <f aca="false">IF(IF($K$12646=0,"",INDEX(Clients!$D$2:$D$501,$K$12646)&amp;"")="","","À l'attention de "&amp;TRIM(IF($K$12646=0,"",INDEX(Clients!$B$2:$B$501,$K$12646)&amp;"")&amp;" "&amp;IF($K$12646=0,"",INDEX(Clients!$C$2:$C$501,$K$12646)&amp;"")&amp;" "&amp;IF($K$12646=0,"",INDEX(Clients!$D$2:$D$501,$K$12646)&amp;"")))</f>
        <v/>
      </c>
      <c r="E12656" s="35"/>
      <c r="F12656" s="35"/>
      <c r="J12656" s="25"/>
      <c r="K12656" s="25"/>
      <c r="L12656" s="25"/>
      <c r="M12656" s="25"/>
      <c r="N12656" s="25"/>
      <c r="O12656" s="25"/>
    </row>
    <row r="12657" customFormat="false" ht="15" hidden="false" customHeight="true" outlineLevel="0" collapsed="false">
      <c r="B12657" s="10"/>
      <c r="C12657" s="10"/>
      <c r="D12657" s="35" t="str">
        <f aca="false">IF($K$12646=0,"",INDEX(Clients!$F$2:$F$501,$K$12646)&amp;"")</f>
        <v/>
      </c>
      <c r="E12657" s="35"/>
      <c r="F12657" s="35"/>
      <c r="J12657" s="25"/>
      <c r="K12657" s="25"/>
      <c r="L12657" s="25"/>
      <c r="M12657" s="25"/>
      <c r="N12657" s="25"/>
      <c r="O12657" s="25"/>
    </row>
    <row r="12658" customFormat="false" ht="15" hidden="false" customHeight="true" outlineLevel="0" collapsed="false">
      <c r="B12658" s="10"/>
      <c r="C12658" s="10"/>
      <c r="D12658" s="35" t="str">
        <f aca="false">IF(IF($K$12646=0,"",INDEX(Clients!$G$2:$G$501,$K$12646)&amp;"")="",TRIM(IF($K$12646=0,"",INDEX(Clients!$H$2:$H$501,$K$12646)&amp;"")&amp;" "&amp;UPPER(IF($K$12646=0,"",INDEX(Clients!$I$2:$I$501,$K$12646)&amp;""))),IF($K$12646=0,"",INDEX(Clients!$G$2:$G$501,$K$12646)&amp;""))</f>
        <v/>
      </c>
      <c r="E12658" s="35"/>
      <c r="F12658" s="35"/>
      <c r="J12658" s="25"/>
      <c r="K12658" s="25"/>
      <c r="L12658" s="25"/>
      <c r="M12658" s="25"/>
      <c r="N12658" s="25"/>
      <c r="O12658" s="25"/>
    </row>
    <row r="12659" customFormat="false" ht="15" hidden="false" customHeight="true" outlineLevel="0" collapsed="false">
      <c r="B12659" s="10"/>
      <c r="C12659" s="10"/>
      <c r="D12659" s="35" t="str">
        <f aca="false">IF(IF($K$12646=0,"",INDEX(Clients!$G$2:$G$501,$K$12646)&amp;"")="","",TRIM(IF($K$12646=0,"",INDEX(Clients!$H$2:$H$501,$K$12646)&amp;"")&amp;" "&amp;UPPER(IF($K$12646=0,"",INDEX(Clients!$I$2:$I$501,$K$12646)&amp;""))))</f>
        <v/>
      </c>
      <c r="E12659" s="35"/>
      <c r="F12659" s="35"/>
      <c r="J12659" s="25"/>
      <c r="K12659" s="25"/>
      <c r="L12659" s="25"/>
      <c r="M12659" s="25"/>
      <c r="N12659" s="25"/>
      <c r="O12659" s="25"/>
    </row>
    <row r="12660" customFormat="false" ht="25.5" hidden="false" customHeight="true" outlineLevel="0" collapsed="false">
      <c r="B12660" s="10"/>
      <c r="C12660" s="10"/>
      <c r="D12660" s="10"/>
      <c r="E12660" s="10"/>
      <c r="F12660" s="10"/>
      <c r="J12660" s="25"/>
      <c r="K12660" s="25"/>
      <c r="L12660" s="25"/>
      <c r="M12660" s="25"/>
      <c r="N12660" s="25"/>
      <c r="O12660" s="25"/>
    </row>
    <row r="12661" customFormat="false" ht="15" hidden="false" customHeight="false" outlineLevel="0" collapsed="false">
      <c r="B12661" s="10"/>
      <c r="C12661" s="10"/>
      <c r="D12661" s="36" t="str">
        <f aca="false">Cab_Ville&amp;", le "&amp;DAY(Date_Courrier)&amp;IF(DAY(Date_Courrier)=1,"er","")&amp;" "&amp;INDEX(Liste_Mois,MONTH(Date_Courrier))&amp;" "&amp;YEAR(Date_Courrier)</f>
        <v>Le Plessis-Bouchard, le 22 septembre 2026</v>
      </c>
      <c r="E12661" s="36"/>
      <c r="F12661" s="36"/>
      <c r="J12661" s="25"/>
      <c r="K12661" s="25"/>
      <c r="L12661" s="25"/>
      <c r="M12661" s="25"/>
      <c r="N12661" s="25"/>
      <c r="O12661" s="25"/>
    </row>
    <row r="12662" customFormat="false" ht="19.5" hidden="false" customHeight="true" outlineLevel="0" collapsed="false">
      <c r="B12662" s="10"/>
      <c r="C12662" s="10"/>
      <c r="D12662" s="10"/>
      <c r="E12662" s="10"/>
      <c r="F12662" s="10"/>
      <c r="J12662" s="25"/>
      <c r="K12662" s="25"/>
      <c r="L12662" s="25"/>
      <c r="M12662" s="25"/>
      <c r="N12662" s="25"/>
      <c r="O12662" s="25"/>
    </row>
    <row r="12663" customFormat="false" ht="15" hidden="false" customHeight="false" outlineLevel="0" collapsed="false">
      <c r="B12663" s="34" t="str">
        <f aca="false">SUBSTITUTE(SUBSTITUTE(SUBSTITUTE(SUBSTITUTE(SUBSTITUTE(Txt_Objet,"{cabinet}",Cab_Nom),"{societe}",IF($K$12646=0,"",INDEX(Clients!$E$2:$E$501,$K$12646)&amp;"")),"{date_effet}",$K$12648),"{hausse}",$K$12649),"{civilite}",$K$12647)</f>
        <v>Objet : révision de nos honoraires au 1er janvier 2027</v>
      </c>
      <c r="C12663" s="34"/>
      <c r="D12663" s="34"/>
      <c r="E12663" s="34"/>
      <c r="F12663" s="34"/>
      <c r="J12663" s="25"/>
      <c r="K12663" s="25"/>
      <c r="L12663" s="25"/>
      <c r="M12663" s="25"/>
      <c r="N12663" s="25"/>
      <c r="O12663" s="25"/>
    </row>
    <row r="12664" customFormat="false" ht="13.5" hidden="false" customHeight="true" outlineLevel="0" collapsed="false">
      <c r="B12664" s="10"/>
      <c r="C12664" s="10"/>
      <c r="D12664" s="10"/>
      <c r="E12664" s="10"/>
      <c r="F12664" s="10"/>
      <c r="J12664" s="25"/>
      <c r="K12664" s="25"/>
      <c r="L12664" s="25"/>
      <c r="M12664" s="25"/>
      <c r="N12664" s="25"/>
      <c r="O12664" s="25"/>
    </row>
    <row r="12665" customFormat="false" ht="15" hidden="false" customHeight="false" outlineLevel="0" collapsed="false">
      <c r="B12665" s="10" t="str">
        <f aca="false">$K$12647&amp;","</f>
        <v>Madame, Monsieur,</v>
      </c>
      <c r="C12665" s="10"/>
      <c r="D12665" s="10"/>
      <c r="E12665" s="10"/>
      <c r="F12665" s="10"/>
      <c r="J12665" s="25"/>
      <c r="K12665" s="25"/>
      <c r="L12665" s="25"/>
      <c r="M12665" s="25"/>
      <c r="N12665" s="25"/>
      <c r="O12665" s="25"/>
    </row>
    <row r="12666" customFormat="false" ht="6" hidden="false" customHeight="true" outlineLevel="0" collapsed="false">
      <c r="B12666" s="10"/>
      <c r="C12666" s="10"/>
      <c r="D12666" s="10"/>
      <c r="E12666" s="10"/>
      <c r="F12666" s="10"/>
      <c r="J12666" s="25"/>
      <c r="K12666" s="25"/>
      <c r="L12666" s="25"/>
      <c r="M12666" s="25"/>
      <c r="N12666" s="25"/>
      <c r="O12666" s="25"/>
    </row>
    <row r="12667" customFormat="false" ht="36.75" hidden="false" customHeight="true" outlineLevel="0" collapsed="false">
      <c r="B12667" s="37" t="str">
        <f aca="false">SUBSTITUTE(SUBSTITUTE(SUBSTITUTE(SUBSTITUTE(SUBSTITUTE(Txt_P1,"{cabinet}",Cab_Nom),"{societe}",IF($K$12646=0,"",INDEX(Clients!$E$2:$E$501,$K$12646)&amp;"")),"{date_effet}",$K$12648),"{hausse}",$K$12649),"{civilite}",$K$12647)</f>
        <v>Nous tenons tout d'abord à vous remercier pour la confiance que vous accordez à ALTHO EXPERTISE. Comme chaque année, et conformément aux dispositions de votre lettre de mission, nous procédons à la révision de nos honoraires.</v>
      </c>
      <c r="C12667" s="37"/>
      <c r="D12667" s="37"/>
      <c r="E12667" s="37"/>
      <c r="F12667" s="37"/>
      <c r="J12667" s="25"/>
      <c r="K12667" s="25"/>
      <c r="L12667" s="25"/>
      <c r="M12667" s="25"/>
      <c r="N12667" s="25"/>
      <c r="O12667" s="25"/>
    </row>
    <row r="12668" customFormat="false" ht="49.5" hidden="false" customHeight="true" outlineLevel="0" collapsed="false">
      <c r="B12668" s="37" t="str">
        <f aca="false">SUBSTITUTE(SUBSTITUTE(SUBSTITUTE(SUBSTITUTE(SUBSTITUTE(Txt_P2,"{cabinet}",Cab_Nom),"{societe}",IF($K$12646=0,"",INDEX(Clients!$E$2:$E$501,$K$12646)&amp;"")),"{date_effet}",$K$12648),"{hausse}",$K$12649),"{civilite}",$K$12647)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668" s="37"/>
      <c r="D12668" s="37"/>
      <c r="E12668" s="37"/>
      <c r="F12668" s="37"/>
      <c r="J12668" s="25"/>
      <c r="K12668" s="25"/>
      <c r="L12668" s="25"/>
      <c r="M12668" s="25"/>
      <c r="N12668" s="25"/>
      <c r="O12668" s="25"/>
    </row>
    <row r="12669" customFormat="false" ht="63" hidden="false" customHeight="true" outlineLevel="0" collapsed="false">
      <c r="B12669" s="37" t="str">
        <f aca="false">SUBSTITUTE(SUBSTITUTE(SUBSTITUTE(SUBSTITUTE(SUBSTITUTE(Txt_P3,"{cabinet}",Cab_Nom),"{societe}",IF($K$12646=0,"",INDEX(Clients!$E$2:$E$501,$K$12646)&amp;"")),"{date_effet}",$K$12648),"{hausse}",$K$12649),"{civilite}",$K$12647)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669" s="37"/>
      <c r="D12669" s="37"/>
      <c r="E12669" s="37"/>
      <c r="F12669" s="37"/>
      <c r="J12669" s="25"/>
      <c r="K12669" s="25"/>
      <c r="L12669" s="25"/>
      <c r="M12669" s="25"/>
      <c r="N12669" s="25"/>
      <c r="O12669" s="25"/>
    </row>
    <row r="12670" customFormat="false" ht="24" hidden="false" customHeight="true" outlineLevel="0" collapsed="false">
      <c r="B12670" s="37" t="str">
        <f aca="false">SUBSTITUTE(SUBSTITUTE(SUBSTITUTE(SUBSTITUTE(SUBSTITUTE(Txt_P4,"{cabinet}",Cab_Nom),"{societe}",IF($K$12646=0,"",INDEX(Clients!$E$2:$E$501,$K$12646)&amp;"")),"{date_effet}",$K$12648),"{hausse}",$K$12649),"{civilite}",$K$12647)</f>
        <v>À compter du 1er janvier 2027, vos honoraires annuels hors taxes évolueront ainsi (évolution globale : ) :</v>
      </c>
      <c r="C12670" s="37"/>
      <c r="D12670" s="37"/>
      <c r="E12670" s="37"/>
      <c r="F12670" s="37"/>
      <c r="J12670" s="25"/>
      <c r="K12670" s="25"/>
      <c r="L12670" s="25"/>
      <c r="M12670" s="25"/>
      <c r="N12670" s="25"/>
      <c r="O12670" s="25"/>
    </row>
    <row r="12671" customFormat="false" ht="3.75" hidden="false" customHeight="true" outlineLevel="0" collapsed="false">
      <c r="B12671" s="10"/>
      <c r="C12671" s="10"/>
      <c r="D12671" s="10"/>
      <c r="E12671" s="10"/>
      <c r="F12671" s="10"/>
      <c r="J12671" s="25"/>
      <c r="K12671" s="25"/>
      <c r="L12671" s="25"/>
      <c r="M12671" s="25"/>
      <c r="N12671" s="25"/>
      <c r="O12671" s="25"/>
    </row>
    <row r="12672" customFormat="false" ht="18" hidden="false" customHeight="true" outlineLevel="0" collapsed="false">
      <c r="B12672" s="38" t="s">
        <v>148</v>
      </c>
      <c r="C12672" s="39" t="s">
        <v>149</v>
      </c>
      <c r="D12672" s="39" t="s">
        <v>150</v>
      </c>
      <c r="E12672" s="39" t="s">
        <v>151</v>
      </c>
      <c r="F12672" s="39" t="s">
        <v>109</v>
      </c>
      <c r="J12672" s="25" t="s">
        <v>152</v>
      </c>
      <c r="K12672" s="25" t="s">
        <v>153</v>
      </c>
      <c r="L12672" s="25" t="s">
        <v>154</v>
      </c>
      <c r="M12672" s="25" t="s">
        <v>155</v>
      </c>
      <c r="N12672" s="25" t="s">
        <v>156</v>
      </c>
      <c r="O12672" s="25" t="s">
        <v>157</v>
      </c>
    </row>
    <row r="12673" customFormat="false" ht="16.5" hidden="false" customHeight="true" outlineLevel="0" collapsed="false">
      <c r="B12673" s="40" t="str">
        <f aca="false">IFERROR(INDEX($J$12673:$J$12676,MATCH($O12673,$N$12673:$N$12676,0)),"")</f>
        <v/>
      </c>
      <c r="C12673" s="41" t="str">
        <f aca="false">IFERROR(INDEX($K$12673:$K$12676,MATCH($O12673,$N$12673:$N$12676,0)),"")</f>
        <v/>
      </c>
      <c r="D12673" s="42" t="str">
        <f aca="false">IF(OR(E12673="",N(C12673)=0),"",E12673/C12673-1)</f>
        <v/>
      </c>
      <c r="E12673" s="41" t="str">
        <f aca="false">IFERROR(INDEX($L$12673:$L$12676,MATCH($O12673,$N$12673:$N$12676,0)),"")</f>
        <v/>
      </c>
      <c r="F12673" s="41" t="str">
        <f aca="false">IF(E12673="","",E12673-C12673)</f>
        <v/>
      </c>
      <c r="J12673" s="25" t="str">
        <f aca="false">Lib_Compta</f>
        <v>Mission comptable (tenue, révision, bilan, liasse fiscale)</v>
      </c>
      <c r="K12673" s="25" t="n">
        <f aca="false">IF($K$12646=0,0,N(INDEX(Clients!$K$2:$K$501,$K$12646)))</f>
        <v>0</v>
      </c>
      <c r="L12673" s="25" t="n">
        <f aca="false">IF($K$12646=0,0,N(INDEX(Clients!$P$2:$P$501,$K$12646)))</f>
        <v>0</v>
      </c>
      <c r="M12673" s="25" t="n">
        <f aca="false">IF(OR(K12673&lt;&gt;0,L12673&lt;&gt;0),1,0)</f>
        <v>0</v>
      </c>
      <c r="N12673" s="25" t="str">
        <f aca="false">IF(M12673=1,SUM($M$12673:M12673),"")</f>
        <v/>
      </c>
      <c r="O12673" s="25" t="n">
        <v>1</v>
      </c>
    </row>
    <row r="12674" customFormat="false" ht="16.5" hidden="false" customHeight="true" outlineLevel="0" collapsed="false">
      <c r="B12674" s="40" t="str">
        <f aca="false">IFERROR(INDEX($J$12673:$J$12676,MATCH($O12674,$N$12673:$N$12676,0)),"")</f>
        <v/>
      </c>
      <c r="C12674" s="41" t="str">
        <f aca="false">IFERROR(INDEX($K$12673:$K$12676,MATCH($O12674,$N$12673:$N$12676,0)),"")</f>
        <v/>
      </c>
      <c r="D12674" s="42" t="str">
        <f aca="false">IF(OR(E12674="",N(C12674)=0),"",E12674/C12674-1)</f>
        <v/>
      </c>
      <c r="E12674" s="41" t="str">
        <f aca="false">IFERROR(INDEX($L$12673:$L$12676,MATCH($O12674,$N$12673:$N$12676,0)),"")</f>
        <v/>
      </c>
      <c r="F12674" s="41" t="str">
        <f aca="false">IF(E12674="","",E12674-C12674)</f>
        <v/>
      </c>
      <c r="J12674" s="25" t="str">
        <f aca="false">Lib_Paye</f>
        <v>Mission sociale (bulletins de paie, DSN, déclarations sociales)</v>
      </c>
      <c r="K12674" s="25" t="n">
        <f aca="false">IF($K$12646=0,0,N(INDEX(Clients!$L$2:$L$501,$K$12646)))</f>
        <v>0</v>
      </c>
      <c r="L12674" s="25" t="n">
        <f aca="false">IF($K$12646=0,0,N(INDEX(Clients!$Q$2:$Q$501,$K$12646)))</f>
        <v>0</v>
      </c>
      <c r="M12674" s="25" t="n">
        <f aca="false">IF(OR(K12674&lt;&gt;0,L12674&lt;&gt;0),1,0)</f>
        <v>0</v>
      </c>
      <c r="N12674" s="25" t="str">
        <f aca="false">IF(M12674=1,SUM($M$12673:M12674),"")</f>
        <v/>
      </c>
      <c r="O12674" s="25" t="n">
        <v>2</v>
      </c>
    </row>
    <row r="12675" customFormat="false" ht="16.5" hidden="false" customHeight="true" outlineLevel="0" collapsed="false">
      <c r="B12675" s="40" t="str">
        <f aca="false">IFERROR(INDEX($J$12673:$J$12676,MATCH($O12675,$N$12673:$N$12676,0)),"")</f>
        <v/>
      </c>
      <c r="C12675" s="41" t="str">
        <f aca="false">IFERROR(INDEX($K$12673:$K$12676,MATCH($O12675,$N$12673:$N$12676,0)),"")</f>
        <v/>
      </c>
      <c r="D12675" s="42" t="str">
        <f aca="false">IF(OR(E12675="",N(C12675)=0),"",E12675/C12675-1)</f>
        <v/>
      </c>
      <c r="E12675" s="41" t="str">
        <f aca="false">IFERROR(INDEX($L$12673:$L$12676,MATCH($O12675,$N$12673:$N$12676,0)),"")</f>
        <v/>
      </c>
      <c r="F12675" s="41" t="str">
        <f aca="false">IF(E12675="","",E12675-C12675)</f>
        <v/>
      </c>
      <c r="J12675" s="25" t="str">
        <f aca="false">Lib_Jur</f>
        <v>Mission juridique (approbation des comptes, secrétariat juridique)</v>
      </c>
      <c r="K12675" s="25" t="n">
        <f aca="false">IF($K$12646=0,0,N(INDEX(Clients!$M$2:$M$501,$K$12646)))</f>
        <v>0</v>
      </c>
      <c r="L12675" s="25" t="n">
        <f aca="false">IF($K$12646=0,0,N(INDEX(Clients!$R$2:$R$501,$K$12646)))</f>
        <v>0</v>
      </c>
      <c r="M12675" s="25" t="n">
        <f aca="false">IF(OR(K12675&lt;&gt;0,L12675&lt;&gt;0),1,0)</f>
        <v>0</v>
      </c>
      <c r="N12675" s="25" t="str">
        <f aca="false">IF(M12675=1,SUM($M$12673:M12675),"")</f>
        <v/>
      </c>
      <c r="O12675" s="25" t="n">
        <v>3</v>
      </c>
    </row>
    <row r="12676" customFormat="false" ht="16.5" hidden="false" customHeight="true" outlineLevel="0" collapsed="false">
      <c r="B12676" s="40" t="str">
        <f aca="false">IFERROR(INDEX($J$12673:$J$12676,MATCH($O12676,$N$12673:$N$12676,0)),"")</f>
        <v/>
      </c>
      <c r="C12676" s="41" t="str">
        <f aca="false">IFERROR(INDEX($K$12673:$K$12676,MATCH($O12676,$N$12673:$N$12676,0)),"")</f>
        <v/>
      </c>
      <c r="D12676" s="42" t="str">
        <f aca="false">IF(OR(E12676="",N(C12676)=0),"",E12676/C12676-1)</f>
        <v/>
      </c>
      <c r="E12676" s="41" t="str">
        <f aca="false">IFERROR(INDEX($L$12673:$L$12676,MATCH($O12676,$N$12673:$N$12676,0)),"")</f>
        <v/>
      </c>
      <c r="F12676" s="41" t="str">
        <f aca="false">IF(E12676="","",E12676-C12676)</f>
        <v/>
      </c>
      <c r="J12676" s="25" t="str">
        <f aca="false">Lib_PA</f>
        <v>Plateforme agréée – facturation électronique</v>
      </c>
      <c r="K12676" s="25" t="n">
        <f aca="false">IF($K$12646=0,0,N(INDEX(Clients!$N$2:$N$501,$K$12646)))</f>
        <v>0</v>
      </c>
      <c r="L12676" s="25" t="n">
        <f aca="false">IF($K$12646=0,0,N(INDEX(Clients!$S$2:$S$501,$K$12646)))</f>
        <v>0</v>
      </c>
      <c r="M12676" s="25" t="n">
        <f aca="false">IF(OR(K12676&lt;&gt;0,L12676&lt;&gt;0),1,0)</f>
        <v>0</v>
      </c>
      <c r="N12676" s="25" t="str">
        <f aca="false">IF(M12676=1,SUM($M$12673:M12676),"")</f>
        <v/>
      </c>
      <c r="O12676" s="25" t="n">
        <v>4</v>
      </c>
    </row>
    <row r="12677" customFormat="false" ht="18" hidden="false" customHeight="true" outlineLevel="0" collapsed="false">
      <c r="B12677" s="43" t="s">
        <v>158</v>
      </c>
      <c r="C12677" s="44" t="n">
        <f aca="false">SUM(K12673:K12676)</f>
        <v>0</v>
      </c>
      <c r="D12677" s="45" t="str">
        <f aca="false">IF(N(C12677)=0,"",E12677/C12677-1)</f>
        <v/>
      </c>
      <c r="E12677" s="44" t="n">
        <f aca="false">SUM(L12673:L12676)</f>
        <v>0</v>
      </c>
      <c r="F12677" s="44" t="n">
        <f aca="false">E12677-C12677</f>
        <v>0</v>
      </c>
    </row>
    <row r="12678" customFormat="false" ht="15" hidden="false" customHeight="false" outlineLevel="0" collapsed="false">
      <c r="B12678" s="46" t="str">
        <f aca="false">IF(N(Nb_Mensualites)=0,"","Soit "&amp;FIXED(E12677/Nb_Mensualites,2)&amp;" € HT par échéance ("&amp;Nb_Mensualites&amp;" échéances), "&amp;FIXED(E12677/Nb_Mensualites*(1+Taux_TVA),2)&amp;" € TTC.")</f>
        <v>Soit 0.00 € HT par échéance (12 échéances), 0.00 € TTC.</v>
      </c>
      <c r="C12678" s="46"/>
      <c r="D12678" s="46"/>
      <c r="E12678" s="46"/>
      <c r="F12678" s="46"/>
    </row>
    <row r="12679" customFormat="false" ht="7.5" hidden="false" customHeight="true" outlineLevel="0" collapsed="false">
      <c r="B12679" s="10"/>
      <c r="C12679" s="10"/>
      <c r="D12679" s="10"/>
      <c r="E12679" s="10"/>
      <c r="F12679" s="10"/>
    </row>
    <row r="12680" customFormat="false" ht="36.75" hidden="false" customHeight="true" outlineLevel="0" collapsed="false">
      <c r="B12680" s="37" t="str">
        <f aca="false">SUBSTITUTE(SUBSTITUTE(SUBSTITUTE(SUBSTITUTE(SUBSTITUTE(Txt_P5,"{cabinet}",Cab_Nom),"{societe}",IF($K$12646=0,"",INDEX(Clients!$E$2:$E$501,$K$12646)&amp;"")),"{date_effet}",$K$12648),"{hausse}",$K$12649),"{civilite}",$K$12647)</f>
        <v>Les autres conditions de votre lettre de mission demeurent inchangées. Les nouveaux montants seront appliqués automatiquement sur vos prochaines factures et échéances de prélèvement.</v>
      </c>
      <c r="C12680" s="37"/>
      <c r="D12680" s="37"/>
      <c r="E12680" s="37"/>
      <c r="F12680" s="37"/>
    </row>
    <row r="12681" customFormat="false" ht="36.75" hidden="false" customHeight="true" outlineLevel="0" collapsed="false">
      <c r="B12681" s="37" t="str">
        <f aca="false">SUBSTITUTE(SUBSTITUTE(SUBSTITUTE(SUBSTITUTE(SUBSTITUTE(Txt_P6,"{cabinet}",Cab_Nom),"{societe}",IF($K$12646=0,"",INDEX(Clients!$E$2:$E$501,$K$12646)&amp;"")),"{date_effet}",$K$12648),"{hausse}",$K$12649),"{civilite}",$K$12647)</f>
        <v>Votre interlocuteur habituel reste à votre entière disposition pour répondre à vos questions et faire le point sur l'évolution de vos besoins.</v>
      </c>
      <c r="C12681" s="37"/>
      <c r="D12681" s="37"/>
      <c r="E12681" s="37"/>
      <c r="F12681" s="37"/>
    </row>
    <row r="12682" customFormat="false" ht="24" hidden="false" customHeight="true" outlineLevel="0" collapsed="false">
      <c r="B12682" s="37" t="str">
        <f aca="false">SUBSTITUTE(SUBSTITUTE(SUBSTITUTE(SUBSTITUTE(SUBSTITUTE(Txt_Politesse,"{cabinet}",Cab_Nom),"{societe}",IF($K$12646=0,"",INDEX(Clients!$E$2:$E$501,$K$12646)&amp;"")),"{date_effet}",$K$12648),"{hausse}",$K$12649),"{civilite}",$K$12647)</f>
        <v>Nous vous prions d'agréer, Madame, Monsieur, l'expression de nos salutations distinguées.</v>
      </c>
      <c r="C12682" s="37"/>
      <c r="D12682" s="37"/>
      <c r="E12682" s="37"/>
      <c r="F12682" s="37"/>
    </row>
    <row r="12683" customFormat="false" ht="15" hidden="false" customHeight="false" outlineLevel="0" collapsed="false">
      <c r="B12683" s="10"/>
      <c r="C12683" s="10"/>
      <c r="D12683" s="10"/>
      <c r="E12683" s="10"/>
      <c r="F12683" s="10"/>
    </row>
    <row r="12684" customFormat="false" ht="15" hidden="false" customHeight="false" outlineLevel="0" collapsed="false">
      <c r="B12684" s="10"/>
      <c r="C12684" s="10"/>
      <c r="D12684" s="34" t="str">
        <f aca="false">Signataire</f>
        <v>Prénom NOM</v>
      </c>
      <c r="E12684" s="34"/>
      <c r="F12684" s="34"/>
    </row>
    <row r="12685" customFormat="false" ht="15" hidden="false" customHeight="false" outlineLevel="0" collapsed="false">
      <c r="B12685" s="10"/>
      <c r="C12685" s="10"/>
      <c r="D12685" s="47" t="str">
        <f aca="false">Signataire_Titre</f>
        <v>Expert-comptable associé</v>
      </c>
      <c r="E12685" s="47"/>
      <c r="F12685" s="47"/>
    </row>
    <row r="12686" customFormat="false" ht="15.75" hidden="false" customHeight="true" outlineLevel="0" collapsed="false">
      <c r="B12686" s="10"/>
      <c r="C12686" s="10"/>
      <c r="D12686" s="10"/>
      <c r="E12686" s="10"/>
      <c r="F12686" s="10"/>
    </row>
    <row r="12687" customFormat="false" ht="15.75" hidden="false" customHeight="true" outlineLevel="0" collapsed="false">
      <c r="B12687" s="10"/>
      <c r="C12687" s="10"/>
      <c r="D12687" s="10"/>
      <c r="E12687" s="10"/>
      <c r="F12687" s="10"/>
    </row>
    <row r="12688" customFormat="false" ht="15.75" hidden="false" customHeight="true" outlineLevel="0" collapsed="false">
      <c r="B12688" s="10"/>
      <c r="C12688" s="10"/>
      <c r="D12688" s="10"/>
      <c r="E12688" s="10"/>
      <c r="F12688" s="10"/>
    </row>
    <row r="12689" customFormat="false" ht="15.75" hidden="false" customHeight="true" outlineLevel="0" collapsed="false">
      <c r="B12689" s="10"/>
      <c r="C12689" s="10"/>
      <c r="D12689" s="10"/>
      <c r="E12689" s="10"/>
      <c r="F12689" s="10"/>
    </row>
    <row r="12690" customFormat="false" ht="24" hidden="false" customHeight="true" outlineLevel="0" collapsed="false">
      <c r="B12690" s="48" t="str">
        <f aca="false">Cab_Mentions</f>
        <v>ALTHO EXPERTISE · SAS au capital de 10 000 € · RCS Pontoise 919 706 325 · TVA FR62919706325 · Société d'expertise comptable inscrite au Tableau de l'Ordre des experts-comptables de Paris Île-de-France</v>
      </c>
      <c r="C12690" s="48"/>
      <c r="D12690" s="48"/>
      <c r="E12690" s="48"/>
      <c r="F12690" s="48"/>
    </row>
    <row r="12691" customFormat="false" ht="15" hidden="false" customHeight="false" outlineLevel="0" collapsed="false">
      <c r="B12691" s="10"/>
      <c r="C12691" s="10"/>
      <c r="D12691" s="10"/>
      <c r="E12691" s="10"/>
      <c r="F12691" s="10"/>
      <c r="J12691" s="25" t="s">
        <v>142</v>
      </c>
      <c r="K12691" s="25" t="n">
        <f aca="false">IFERROR(MATCH(283,Clients!$Z$2:$Z$501,0),0)</f>
        <v>0</v>
      </c>
      <c r="L12691" s="25"/>
      <c r="M12691" s="25"/>
      <c r="N12691" s="25"/>
      <c r="O12691" s="25"/>
    </row>
    <row r="12692" customFormat="false" ht="21.75" hidden="false" customHeight="true" outlineLevel="0" collapsed="false">
      <c r="B12692" s="26" t="str">
        <f aca="false">Cab_Nom</f>
        <v>ALTHO EXPERTISE</v>
      </c>
      <c r="C12692" s="26"/>
      <c r="D12692" s="10"/>
      <c r="E12692" s="27" t="str">
        <f aca="false">IF($K$12691=0,"","Réf. client : "&amp;INDEX(Clients!$A$2:$A$501,$K$12691))</f>
        <v/>
      </c>
      <c r="F12692" s="27"/>
      <c r="J12692" s="25" t="s">
        <v>144</v>
      </c>
      <c r="K12692" s="25" t="str">
        <f aca="false">IF(IF($K$12691=0,"",INDEX(Clients!$B$2:$B$501,$K$12691)&amp;"")="Mme","Madame",IF(IF($K$12691=0,"",INDEX(Clients!$B$2:$B$501,$K$12691)&amp;"")="M.","Monsieur","Madame, Monsieur"))</f>
        <v>Madame, Monsieur</v>
      </c>
      <c r="L12692" s="25"/>
      <c r="M12692" s="25"/>
      <c r="N12692" s="25"/>
      <c r="O12692" s="25"/>
    </row>
    <row r="12693" customFormat="false" ht="15" hidden="false" customHeight="false" outlineLevel="0" collapsed="false">
      <c r="B12693" s="29" t="str">
        <f aca="false">Cab_Adr1</f>
        <v>141 rue Charles de Gaulle</v>
      </c>
      <c r="C12693" s="29"/>
      <c r="D12693" s="10"/>
      <c r="E12693" s="10"/>
      <c r="F12693" s="10"/>
      <c r="J12693" s="25" t="s">
        <v>145</v>
      </c>
      <c r="K12693" s="25" t="str">
        <f aca="false">DAY(Date_Effet)&amp;IF(DAY(Date_Effet)=1,"er","")&amp;" "&amp;INDEX(Liste_Mois,MONTH(Date_Effet))&amp;" "&amp;YEAR(Date_Effet)</f>
        <v>1er janvier 2027</v>
      </c>
      <c r="L12693" s="25"/>
      <c r="M12693" s="25"/>
      <c r="N12693" s="25"/>
      <c r="O12693" s="25"/>
    </row>
    <row r="12694" customFormat="false" ht="15" hidden="false" customHeight="false" outlineLevel="0" collapsed="false">
      <c r="B12694" s="29" t="str">
        <f aca="false">Cab_CPVille</f>
        <v>95130 LE PLESSIS-BOUCHARD</v>
      </c>
      <c r="C12694" s="29"/>
      <c r="D12694" s="10"/>
      <c r="E12694" s="10"/>
      <c r="F12694" s="10"/>
      <c r="J12694" s="25" t="s">
        <v>146</v>
      </c>
      <c r="K12694" s="25" t="str">
        <f aca="false">IF(SUM($K$12718:$K$12721)=0,"",FIXED((SUM($L$12718:$L$12721)/SUM($K$12718:$K$12721)-1)*100,1)&amp;" %")</f>
        <v/>
      </c>
      <c r="L12694" s="25"/>
      <c r="M12694" s="25"/>
      <c r="N12694" s="25"/>
      <c r="O12694" s="25"/>
    </row>
    <row r="12695" customFormat="false" ht="15" hidden="false" customHeight="false" outlineLevel="0" collapsed="false">
      <c r="B12695" s="29" t="str">
        <f aca="false">Cab_Contact</f>
        <v>Tél. 01 34 14 53 45  ·  altho@altho-experts.com  ·  altho-experts.com</v>
      </c>
      <c r="C12695" s="29"/>
      <c r="D12695" s="10"/>
      <c r="E12695" s="10"/>
      <c r="F12695" s="10"/>
      <c r="J12695" s="25"/>
      <c r="K12695" s="25"/>
      <c r="L12695" s="25"/>
      <c r="M12695" s="25"/>
      <c r="N12695" s="25"/>
      <c r="O12695" s="25"/>
    </row>
    <row r="12696" customFormat="false" ht="6" hidden="false" customHeight="true" outlineLevel="0" collapsed="false">
      <c r="B12696" s="32"/>
      <c r="C12696" s="32"/>
      <c r="D12696" s="32"/>
      <c r="E12696" s="32"/>
      <c r="F12696" s="32"/>
      <c r="J12696" s="25"/>
      <c r="K12696" s="25"/>
      <c r="L12696" s="25"/>
      <c r="M12696" s="25"/>
      <c r="N12696" s="25"/>
      <c r="O12696" s="25"/>
    </row>
    <row r="12697" customFormat="false" ht="13.5" hidden="false" customHeight="true" outlineLevel="0" collapsed="false">
      <c r="B12697" s="10"/>
      <c r="C12697" s="10"/>
      <c r="D12697" s="10"/>
      <c r="E12697" s="10"/>
      <c r="F12697" s="10"/>
      <c r="J12697" s="25"/>
      <c r="K12697" s="25"/>
      <c r="L12697" s="25"/>
      <c r="M12697" s="25"/>
      <c r="N12697" s="25"/>
      <c r="O12697" s="25"/>
    </row>
    <row r="12698" customFormat="false" ht="13.5" hidden="false" customHeight="true" outlineLevel="0" collapsed="false">
      <c r="B12698" s="10"/>
      <c r="C12698" s="10"/>
      <c r="D12698" s="10"/>
      <c r="E12698" s="10"/>
      <c r="F12698" s="10"/>
      <c r="J12698" s="25"/>
      <c r="K12698" s="25"/>
      <c r="L12698" s="25"/>
      <c r="M12698" s="25"/>
      <c r="N12698" s="25"/>
      <c r="O12698" s="25"/>
    </row>
    <row r="12699" customFormat="false" ht="13.5" hidden="false" customHeight="true" outlineLevel="0" collapsed="false">
      <c r="B12699" s="10"/>
      <c r="C12699" s="10"/>
      <c r="D12699" s="10"/>
      <c r="E12699" s="10"/>
      <c r="F12699" s="10"/>
      <c r="J12699" s="25"/>
      <c r="K12699" s="25"/>
      <c r="L12699" s="25"/>
      <c r="M12699" s="25"/>
      <c r="N12699" s="25"/>
      <c r="O12699" s="25"/>
    </row>
    <row r="12700" customFormat="false" ht="15" hidden="false" customHeight="true" outlineLevel="0" collapsed="false">
      <c r="B12700" s="10"/>
      <c r="C12700" s="10"/>
      <c r="D12700" s="34" t="str">
        <f aca="false">IF($K$12691=0,"",INDEX(Clients!$E$2:$E$501,$K$12691)&amp;"")</f>
        <v/>
      </c>
      <c r="E12700" s="34"/>
      <c r="F12700" s="34"/>
      <c r="J12700" s="25"/>
      <c r="K12700" s="25"/>
      <c r="L12700" s="25"/>
      <c r="M12700" s="25"/>
      <c r="N12700" s="25"/>
      <c r="O12700" s="25"/>
    </row>
    <row r="12701" customFormat="false" ht="15" hidden="false" customHeight="true" outlineLevel="0" collapsed="false">
      <c r="B12701" s="10"/>
      <c r="C12701" s="10"/>
      <c r="D12701" s="35" t="str">
        <f aca="false">IF(IF($K$12691=0,"",INDEX(Clients!$D$2:$D$501,$K$12691)&amp;"")="","","À l'attention de "&amp;TRIM(IF($K$12691=0,"",INDEX(Clients!$B$2:$B$501,$K$12691)&amp;"")&amp;" "&amp;IF($K$12691=0,"",INDEX(Clients!$C$2:$C$501,$K$12691)&amp;"")&amp;" "&amp;IF($K$12691=0,"",INDEX(Clients!$D$2:$D$501,$K$12691)&amp;"")))</f>
        <v/>
      </c>
      <c r="E12701" s="35"/>
      <c r="F12701" s="35"/>
      <c r="J12701" s="25"/>
      <c r="K12701" s="25"/>
      <c r="L12701" s="25"/>
      <c r="M12701" s="25"/>
      <c r="N12701" s="25"/>
      <c r="O12701" s="25"/>
    </row>
    <row r="12702" customFormat="false" ht="15" hidden="false" customHeight="true" outlineLevel="0" collapsed="false">
      <c r="B12702" s="10"/>
      <c r="C12702" s="10"/>
      <c r="D12702" s="35" t="str">
        <f aca="false">IF($K$12691=0,"",INDEX(Clients!$F$2:$F$501,$K$12691)&amp;"")</f>
        <v/>
      </c>
      <c r="E12702" s="35"/>
      <c r="F12702" s="35"/>
      <c r="J12702" s="25"/>
      <c r="K12702" s="25"/>
      <c r="L12702" s="25"/>
      <c r="M12702" s="25"/>
      <c r="N12702" s="25"/>
      <c r="O12702" s="25"/>
    </row>
    <row r="12703" customFormat="false" ht="15" hidden="false" customHeight="true" outlineLevel="0" collapsed="false">
      <c r="B12703" s="10"/>
      <c r="C12703" s="10"/>
      <c r="D12703" s="35" t="str">
        <f aca="false">IF(IF($K$12691=0,"",INDEX(Clients!$G$2:$G$501,$K$12691)&amp;"")="",TRIM(IF($K$12691=0,"",INDEX(Clients!$H$2:$H$501,$K$12691)&amp;"")&amp;" "&amp;UPPER(IF($K$12691=0,"",INDEX(Clients!$I$2:$I$501,$K$12691)&amp;""))),IF($K$12691=0,"",INDEX(Clients!$G$2:$G$501,$K$12691)&amp;""))</f>
        <v/>
      </c>
      <c r="E12703" s="35"/>
      <c r="F12703" s="35"/>
      <c r="J12703" s="25"/>
      <c r="K12703" s="25"/>
      <c r="L12703" s="25"/>
      <c r="M12703" s="25"/>
      <c r="N12703" s="25"/>
      <c r="O12703" s="25"/>
    </row>
    <row r="12704" customFormat="false" ht="15" hidden="false" customHeight="true" outlineLevel="0" collapsed="false">
      <c r="B12704" s="10"/>
      <c r="C12704" s="10"/>
      <c r="D12704" s="35" t="str">
        <f aca="false">IF(IF($K$12691=0,"",INDEX(Clients!$G$2:$G$501,$K$12691)&amp;"")="","",TRIM(IF($K$12691=0,"",INDEX(Clients!$H$2:$H$501,$K$12691)&amp;"")&amp;" "&amp;UPPER(IF($K$12691=0,"",INDEX(Clients!$I$2:$I$501,$K$12691)&amp;""))))</f>
        <v/>
      </c>
      <c r="E12704" s="35"/>
      <c r="F12704" s="35"/>
      <c r="J12704" s="25"/>
      <c r="K12704" s="25"/>
      <c r="L12704" s="25"/>
      <c r="M12704" s="25"/>
      <c r="N12704" s="25"/>
      <c r="O12704" s="25"/>
    </row>
    <row r="12705" customFormat="false" ht="25.5" hidden="false" customHeight="true" outlineLevel="0" collapsed="false">
      <c r="B12705" s="10"/>
      <c r="C12705" s="10"/>
      <c r="D12705" s="10"/>
      <c r="E12705" s="10"/>
      <c r="F12705" s="10"/>
      <c r="J12705" s="25"/>
      <c r="K12705" s="25"/>
      <c r="L12705" s="25"/>
      <c r="M12705" s="25"/>
      <c r="N12705" s="25"/>
      <c r="O12705" s="25"/>
    </row>
    <row r="12706" customFormat="false" ht="15" hidden="false" customHeight="false" outlineLevel="0" collapsed="false">
      <c r="B12706" s="10"/>
      <c r="C12706" s="10"/>
      <c r="D12706" s="36" t="str">
        <f aca="false">Cab_Ville&amp;", le "&amp;DAY(Date_Courrier)&amp;IF(DAY(Date_Courrier)=1,"er","")&amp;" "&amp;INDEX(Liste_Mois,MONTH(Date_Courrier))&amp;" "&amp;YEAR(Date_Courrier)</f>
        <v>Le Plessis-Bouchard, le 22 septembre 2026</v>
      </c>
      <c r="E12706" s="36"/>
      <c r="F12706" s="36"/>
      <c r="J12706" s="25"/>
      <c r="K12706" s="25"/>
      <c r="L12706" s="25"/>
      <c r="M12706" s="25"/>
      <c r="N12706" s="25"/>
      <c r="O12706" s="25"/>
    </row>
    <row r="12707" customFormat="false" ht="19.5" hidden="false" customHeight="true" outlineLevel="0" collapsed="false">
      <c r="B12707" s="10"/>
      <c r="C12707" s="10"/>
      <c r="D12707" s="10"/>
      <c r="E12707" s="10"/>
      <c r="F12707" s="10"/>
      <c r="J12707" s="25"/>
      <c r="K12707" s="25"/>
      <c r="L12707" s="25"/>
      <c r="M12707" s="25"/>
      <c r="N12707" s="25"/>
      <c r="O12707" s="25"/>
    </row>
    <row r="12708" customFormat="false" ht="15" hidden="false" customHeight="false" outlineLevel="0" collapsed="false">
      <c r="B12708" s="34" t="str">
        <f aca="false">SUBSTITUTE(SUBSTITUTE(SUBSTITUTE(SUBSTITUTE(SUBSTITUTE(Txt_Objet,"{cabinet}",Cab_Nom),"{societe}",IF($K$12691=0,"",INDEX(Clients!$E$2:$E$501,$K$12691)&amp;"")),"{date_effet}",$K$12693),"{hausse}",$K$12694),"{civilite}",$K$12692)</f>
        <v>Objet : révision de nos honoraires au 1er janvier 2027</v>
      </c>
      <c r="C12708" s="34"/>
      <c r="D12708" s="34"/>
      <c r="E12708" s="34"/>
      <c r="F12708" s="34"/>
      <c r="J12708" s="25"/>
      <c r="K12708" s="25"/>
      <c r="L12708" s="25"/>
      <c r="M12708" s="25"/>
      <c r="N12708" s="25"/>
      <c r="O12708" s="25"/>
    </row>
    <row r="12709" customFormat="false" ht="13.5" hidden="false" customHeight="true" outlineLevel="0" collapsed="false">
      <c r="B12709" s="10"/>
      <c r="C12709" s="10"/>
      <c r="D12709" s="10"/>
      <c r="E12709" s="10"/>
      <c r="F12709" s="10"/>
      <c r="J12709" s="25"/>
      <c r="K12709" s="25"/>
      <c r="L12709" s="25"/>
      <c r="M12709" s="25"/>
      <c r="N12709" s="25"/>
      <c r="O12709" s="25"/>
    </row>
    <row r="12710" customFormat="false" ht="15" hidden="false" customHeight="false" outlineLevel="0" collapsed="false">
      <c r="B12710" s="10" t="str">
        <f aca="false">$K$12692&amp;","</f>
        <v>Madame, Monsieur,</v>
      </c>
      <c r="C12710" s="10"/>
      <c r="D12710" s="10"/>
      <c r="E12710" s="10"/>
      <c r="F12710" s="10"/>
      <c r="J12710" s="25"/>
      <c r="K12710" s="25"/>
      <c r="L12710" s="25"/>
      <c r="M12710" s="25"/>
      <c r="N12710" s="25"/>
      <c r="O12710" s="25"/>
    </row>
    <row r="12711" customFormat="false" ht="6" hidden="false" customHeight="true" outlineLevel="0" collapsed="false">
      <c r="B12711" s="10"/>
      <c r="C12711" s="10"/>
      <c r="D12711" s="10"/>
      <c r="E12711" s="10"/>
      <c r="F12711" s="10"/>
      <c r="J12711" s="25"/>
      <c r="K12711" s="25"/>
      <c r="L12711" s="25"/>
      <c r="M12711" s="25"/>
      <c r="N12711" s="25"/>
      <c r="O12711" s="25"/>
    </row>
    <row r="12712" customFormat="false" ht="36.75" hidden="false" customHeight="true" outlineLevel="0" collapsed="false">
      <c r="B12712" s="37" t="str">
        <f aca="false">SUBSTITUTE(SUBSTITUTE(SUBSTITUTE(SUBSTITUTE(SUBSTITUTE(Txt_P1,"{cabinet}",Cab_Nom),"{societe}",IF($K$12691=0,"",INDEX(Clients!$E$2:$E$501,$K$12691)&amp;"")),"{date_effet}",$K$12693),"{hausse}",$K$12694),"{civilite}",$K$12692)</f>
        <v>Nous tenons tout d'abord à vous remercier pour la confiance que vous accordez à ALTHO EXPERTISE. Comme chaque année, et conformément aux dispositions de votre lettre de mission, nous procédons à la révision de nos honoraires.</v>
      </c>
      <c r="C12712" s="37"/>
      <c r="D12712" s="37"/>
      <c r="E12712" s="37"/>
      <c r="F12712" s="37"/>
      <c r="J12712" s="25"/>
      <c r="K12712" s="25"/>
      <c r="L12712" s="25"/>
      <c r="M12712" s="25"/>
      <c r="N12712" s="25"/>
      <c r="O12712" s="25"/>
    </row>
    <row r="12713" customFormat="false" ht="49.5" hidden="false" customHeight="true" outlineLevel="0" collapsed="false">
      <c r="B12713" s="37" t="str">
        <f aca="false">SUBSTITUTE(SUBSTITUTE(SUBSTITUTE(SUBSTITUTE(SUBSTITUTE(Txt_P2,"{cabinet}",Cab_Nom),"{societe}",IF($K$12691=0,"",INDEX(Clients!$E$2:$E$501,$K$12691)&amp;"")),"{date_effet}",$K$12693),"{hausse}",$K$12694),"{civilite}",$K$12692)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713" s="37"/>
      <c r="D12713" s="37"/>
      <c r="E12713" s="37"/>
      <c r="F12713" s="37"/>
      <c r="J12713" s="25"/>
      <c r="K12713" s="25"/>
      <c r="L12713" s="25"/>
      <c r="M12713" s="25"/>
      <c r="N12713" s="25"/>
      <c r="O12713" s="25"/>
    </row>
    <row r="12714" customFormat="false" ht="63" hidden="false" customHeight="true" outlineLevel="0" collapsed="false">
      <c r="B12714" s="37" t="str">
        <f aca="false">SUBSTITUTE(SUBSTITUTE(SUBSTITUTE(SUBSTITUTE(SUBSTITUTE(Txt_P3,"{cabinet}",Cab_Nom),"{societe}",IF($K$12691=0,"",INDEX(Clients!$E$2:$E$501,$K$12691)&amp;"")),"{date_effet}",$K$12693),"{hausse}",$K$12694),"{civilite}",$K$12692)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714" s="37"/>
      <c r="D12714" s="37"/>
      <c r="E12714" s="37"/>
      <c r="F12714" s="37"/>
      <c r="J12714" s="25"/>
      <c r="K12714" s="25"/>
      <c r="L12714" s="25"/>
      <c r="M12714" s="25"/>
      <c r="N12714" s="25"/>
      <c r="O12714" s="25"/>
    </row>
    <row r="12715" customFormat="false" ht="24" hidden="false" customHeight="true" outlineLevel="0" collapsed="false">
      <c r="B12715" s="37" t="str">
        <f aca="false">SUBSTITUTE(SUBSTITUTE(SUBSTITUTE(SUBSTITUTE(SUBSTITUTE(Txt_P4,"{cabinet}",Cab_Nom),"{societe}",IF($K$12691=0,"",INDEX(Clients!$E$2:$E$501,$K$12691)&amp;"")),"{date_effet}",$K$12693),"{hausse}",$K$12694),"{civilite}",$K$12692)</f>
        <v>À compter du 1er janvier 2027, vos honoraires annuels hors taxes évolueront ainsi (évolution globale : ) :</v>
      </c>
      <c r="C12715" s="37"/>
      <c r="D12715" s="37"/>
      <c r="E12715" s="37"/>
      <c r="F12715" s="37"/>
      <c r="J12715" s="25"/>
      <c r="K12715" s="25"/>
      <c r="L12715" s="25"/>
      <c r="M12715" s="25"/>
      <c r="N12715" s="25"/>
      <c r="O12715" s="25"/>
    </row>
    <row r="12716" customFormat="false" ht="3.75" hidden="false" customHeight="true" outlineLevel="0" collapsed="false">
      <c r="B12716" s="10"/>
      <c r="C12716" s="10"/>
      <c r="D12716" s="10"/>
      <c r="E12716" s="10"/>
      <c r="F12716" s="10"/>
      <c r="J12716" s="25"/>
      <c r="K12716" s="25"/>
      <c r="L12716" s="25"/>
      <c r="M12716" s="25"/>
      <c r="N12716" s="25"/>
      <c r="O12716" s="25"/>
    </row>
    <row r="12717" customFormat="false" ht="18" hidden="false" customHeight="true" outlineLevel="0" collapsed="false">
      <c r="B12717" s="38" t="s">
        <v>148</v>
      </c>
      <c r="C12717" s="39" t="s">
        <v>149</v>
      </c>
      <c r="D12717" s="39" t="s">
        <v>150</v>
      </c>
      <c r="E12717" s="39" t="s">
        <v>151</v>
      </c>
      <c r="F12717" s="39" t="s">
        <v>109</v>
      </c>
      <c r="J12717" s="25" t="s">
        <v>152</v>
      </c>
      <c r="K12717" s="25" t="s">
        <v>153</v>
      </c>
      <c r="L12717" s="25" t="s">
        <v>154</v>
      </c>
      <c r="M12717" s="25" t="s">
        <v>155</v>
      </c>
      <c r="N12717" s="25" t="s">
        <v>156</v>
      </c>
      <c r="O12717" s="25" t="s">
        <v>157</v>
      </c>
    </row>
    <row r="12718" customFormat="false" ht="16.5" hidden="false" customHeight="true" outlineLevel="0" collapsed="false">
      <c r="B12718" s="40" t="str">
        <f aca="false">IFERROR(INDEX($J$12718:$J$12721,MATCH($O12718,$N$12718:$N$12721,0)),"")</f>
        <v/>
      </c>
      <c r="C12718" s="41" t="str">
        <f aca="false">IFERROR(INDEX($K$12718:$K$12721,MATCH($O12718,$N$12718:$N$12721,0)),"")</f>
        <v/>
      </c>
      <c r="D12718" s="42" t="str">
        <f aca="false">IF(OR(E12718="",N(C12718)=0),"",E12718/C12718-1)</f>
        <v/>
      </c>
      <c r="E12718" s="41" t="str">
        <f aca="false">IFERROR(INDEX($L$12718:$L$12721,MATCH($O12718,$N$12718:$N$12721,0)),"")</f>
        <v/>
      </c>
      <c r="F12718" s="41" t="str">
        <f aca="false">IF(E12718="","",E12718-C12718)</f>
        <v/>
      </c>
      <c r="J12718" s="25" t="str">
        <f aca="false">Lib_Compta</f>
        <v>Mission comptable (tenue, révision, bilan, liasse fiscale)</v>
      </c>
      <c r="K12718" s="25" t="n">
        <f aca="false">IF($K$12691=0,0,N(INDEX(Clients!$K$2:$K$501,$K$12691)))</f>
        <v>0</v>
      </c>
      <c r="L12718" s="25" t="n">
        <f aca="false">IF($K$12691=0,0,N(INDEX(Clients!$P$2:$P$501,$K$12691)))</f>
        <v>0</v>
      </c>
      <c r="M12718" s="25" t="n">
        <f aca="false">IF(OR(K12718&lt;&gt;0,L12718&lt;&gt;0),1,0)</f>
        <v>0</v>
      </c>
      <c r="N12718" s="25" t="str">
        <f aca="false">IF(M12718=1,SUM($M$12718:M12718),"")</f>
        <v/>
      </c>
      <c r="O12718" s="25" t="n">
        <v>1</v>
      </c>
    </row>
    <row r="12719" customFormat="false" ht="16.5" hidden="false" customHeight="true" outlineLevel="0" collapsed="false">
      <c r="B12719" s="40" t="str">
        <f aca="false">IFERROR(INDEX($J$12718:$J$12721,MATCH($O12719,$N$12718:$N$12721,0)),"")</f>
        <v/>
      </c>
      <c r="C12719" s="41" t="str">
        <f aca="false">IFERROR(INDEX($K$12718:$K$12721,MATCH($O12719,$N$12718:$N$12721,0)),"")</f>
        <v/>
      </c>
      <c r="D12719" s="42" t="str">
        <f aca="false">IF(OR(E12719="",N(C12719)=0),"",E12719/C12719-1)</f>
        <v/>
      </c>
      <c r="E12719" s="41" t="str">
        <f aca="false">IFERROR(INDEX($L$12718:$L$12721,MATCH($O12719,$N$12718:$N$12721,0)),"")</f>
        <v/>
      </c>
      <c r="F12719" s="41" t="str">
        <f aca="false">IF(E12719="","",E12719-C12719)</f>
        <v/>
      </c>
      <c r="J12719" s="25" t="str">
        <f aca="false">Lib_Paye</f>
        <v>Mission sociale (bulletins de paie, DSN, déclarations sociales)</v>
      </c>
      <c r="K12719" s="25" t="n">
        <f aca="false">IF($K$12691=0,0,N(INDEX(Clients!$L$2:$L$501,$K$12691)))</f>
        <v>0</v>
      </c>
      <c r="L12719" s="25" t="n">
        <f aca="false">IF($K$12691=0,0,N(INDEX(Clients!$Q$2:$Q$501,$K$12691)))</f>
        <v>0</v>
      </c>
      <c r="M12719" s="25" t="n">
        <f aca="false">IF(OR(K12719&lt;&gt;0,L12719&lt;&gt;0),1,0)</f>
        <v>0</v>
      </c>
      <c r="N12719" s="25" t="str">
        <f aca="false">IF(M12719=1,SUM($M$12718:M12719),"")</f>
        <v/>
      </c>
      <c r="O12719" s="25" t="n">
        <v>2</v>
      </c>
    </row>
    <row r="12720" customFormat="false" ht="16.5" hidden="false" customHeight="true" outlineLevel="0" collapsed="false">
      <c r="B12720" s="40" t="str">
        <f aca="false">IFERROR(INDEX($J$12718:$J$12721,MATCH($O12720,$N$12718:$N$12721,0)),"")</f>
        <v/>
      </c>
      <c r="C12720" s="41" t="str">
        <f aca="false">IFERROR(INDEX($K$12718:$K$12721,MATCH($O12720,$N$12718:$N$12721,0)),"")</f>
        <v/>
      </c>
      <c r="D12720" s="42" t="str">
        <f aca="false">IF(OR(E12720="",N(C12720)=0),"",E12720/C12720-1)</f>
        <v/>
      </c>
      <c r="E12720" s="41" t="str">
        <f aca="false">IFERROR(INDEX($L$12718:$L$12721,MATCH($O12720,$N$12718:$N$12721,0)),"")</f>
        <v/>
      </c>
      <c r="F12720" s="41" t="str">
        <f aca="false">IF(E12720="","",E12720-C12720)</f>
        <v/>
      </c>
      <c r="J12720" s="25" t="str">
        <f aca="false">Lib_Jur</f>
        <v>Mission juridique (approbation des comptes, secrétariat juridique)</v>
      </c>
      <c r="K12720" s="25" t="n">
        <f aca="false">IF($K$12691=0,0,N(INDEX(Clients!$M$2:$M$501,$K$12691)))</f>
        <v>0</v>
      </c>
      <c r="L12720" s="25" t="n">
        <f aca="false">IF($K$12691=0,0,N(INDEX(Clients!$R$2:$R$501,$K$12691)))</f>
        <v>0</v>
      </c>
      <c r="M12720" s="25" t="n">
        <f aca="false">IF(OR(K12720&lt;&gt;0,L12720&lt;&gt;0),1,0)</f>
        <v>0</v>
      </c>
      <c r="N12720" s="25" t="str">
        <f aca="false">IF(M12720=1,SUM($M$12718:M12720),"")</f>
        <v/>
      </c>
      <c r="O12720" s="25" t="n">
        <v>3</v>
      </c>
    </row>
    <row r="12721" customFormat="false" ht="16.5" hidden="false" customHeight="true" outlineLevel="0" collapsed="false">
      <c r="B12721" s="40" t="str">
        <f aca="false">IFERROR(INDEX($J$12718:$J$12721,MATCH($O12721,$N$12718:$N$12721,0)),"")</f>
        <v/>
      </c>
      <c r="C12721" s="41" t="str">
        <f aca="false">IFERROR(INDEX($K$12718:$K$12721,MATCH($O12721,$N$12718:$N$12721,0)),"")</f>
        <v/>
      </c>
      <c r="D12721" s="42" t="str">
        <f aca="false">IF(OR(E12721="",N(C12721)=0),"",E12721/C12721-1)</f>
        <v/>
      </c>
      <c r="E12721" s="41" t="str">
        <f aca="false">IFERROR(INDEX($L$12718:$L$12721,MATCH($O12721,$N$12718:$N$12721,0)),"")</f>
        <v/>
      </c>
      <c r="F12721" s="41" t="str">
        <f aca="false">IF(E12721="","",E12721-C12721)</f>
        <v/>
      </c>
      <c r="J12721" s="25" t="str">
        <f aca="false">Lib_PA</f>
        <v>Plateforme agréée – facturation électronique</v>
      </c>
      <c r="K12721" s="25" t="n">
        <f aca="false">IF($K$12691=0,0,N(INDEX(Clients!$N$2:$N$501,$K$12691)))</f>
        <v>0</v>
      </c>
      <c r="L12721" s="25" t="n">
        <f aca="false">IF($K$12691=0,0,N(INDEX(Clients!$S$2:$S$501,$K$12691)))</f>
        <v>0</v>
      </c>
      <c r="M12721" s="25" t="n">
        <f aca="false">IF(OR(K12721&lt;&gt;0,L12721&lt;&gt;0),1,0)</f>
        <v>0</v>
      </c>
      <c r="N12721" s="25" t="str">
        <f aca="false">IF(M12721=1,SUM($M$12718:M12721),"")</f>
        <v/>
      </c>
      <c r="O12721" s="25" t="n">
        <v>4</v>
      </c>
    </row>
    <row r="12722" customFormat="false" ht="18" hidden="false" customHeight="true" outlineLevel="0" collapsed="false">
      <c r="B12722" s="43" t="s">
        <v>158</v>
      </c>
      <c r="C12722" s="44" t="n">
        <f aca="false">SUM(K12718:K12721)</f>
        <v>0</v>
      </c>
      <c r="D12722" s="45" t="str">
        <f aca="false">IF(N(C12722)=0,"",E12722/C12722-1)</f>
        <v/>
      </c>
      <c r="E12722" s="44" t="n">
        <f aca="false">SUM(L12718:L12721)</f>
        <v>0</v>
      </c>
      <c r="F12722" s="44" t="n">
        <f aca="false">E12722-C12722</f>
        <v>0</v>
      </c>
    </row>
    <row r="12723" customFormat="false" ht="15" hidden="false" customHeight="false" outlineLevel="0" collapsed="false">
      <c r="B12723" s="46" t="str">
        <f aca="false">IF(N(Nb_Mensualites)=0,"","Soit "&amp;FIXED(E12722/Nb_Mensualites,2)&amp;" € HT par échéance ("&amp;Nb_Mensualites&amp;" échéances), "&amp;FIXED(E12722/Nb_Mensualites*(1+Taux_TVA),2)&amp;" € TTC.")</f>
        <v>Soit 0.00 € HT par échéance (12 échéances), 0.00 € TTC.</v>
      </c>
      <c r="C12723" s="46"/>
      <c r="D12723" s="46"/>
      <c r="E12723" s="46"/>
      <c r="F12723" s="46"/>
    </row>
    <row r="12724" customFormat="false" ht="7.5" hidden="false" customHeight="true" outlineLevel="0" collapsed="false">
      <c r="B12724" s="10"/>
      <c r="C12724" s="10"/>
      <c r="D12724" s="10"/>
      <c r="E12724" s="10"/>
      <c r="F12724" s="10"/>
    </row>
    <row r="12725" customFormat="false" ht="36.75" hidden="false" customHeight="true" outlineLevel="0" collapsed="false">
      <c r="B12725" s="37" t="str">
        <f aca="false">SUBSTITUTE(SUBSTITUTE(SUBSTITUTE(SUBSTITUTE(SUBSTITUTE(Txt_P5,"{cabinet}",Cab_Nom),"{societe}",IF($K$12691=0,"",INDEX(Clients!$E$2:$E$501,$K$12691)&amp;"")),"{date_effet}",$K$12693),"{hausse}",$K$12694),"{civilite}",$K$12692)</f>
        <v>Les autres conditions de votre lettre de mission demeurent inchangées. Les nouveaux montants seront appliqués automatiquement sur vos prochaines factures et échéances de prélèvement.</v>
      </c>
      <c r="C12725" s="37"/>
      <c r="D12725" s="37"/>
      <c r="E12725" s="37"/>
      <c r="F12725" s="37"/>
    </row>
    <row r="12726" customFormat="false" ht="36.75" hidden="false" customHeight="true" outlineLevel="0" collapsed="false">
      <c r="B12726" s="37" t="str">
        <f aca="false">SUBSTITUTE(SUBSTITUTE(SUBSTITUTE(SUBSTITUTE(SUBSTITUTE(Txt_P6,"{cabinet}",Cab_Nom),"{societe}",IF($K$12691=0,"",INDEX(Clients!$E$2:$E$501,$K$12691)&amp;"")),"{date_effet}",$K$12693),"{hausse}",$K$12694),"{civilite}",$K$12692)</f>
        <v>Votre interlocuteur habituel reste à votre entière disposition pour répondre à vos questions et faire le point sur l'évolution de vos besoins.</v>
      </c>
      <c r="C12726" s="37"/>
      <c r="D12726" s="37"/>
      <c r="E12726" s="37"/>
      <c r="F12726" s="37"/>
    </row>
    <row r="12727" customFormat="false" ht="24" hidden="false" customHeight="true" outlineLevel="0" collapsed="false">
      <c r="B12727" s="37" t="str">
        <f aca="false">SUBSTITUTE(SUBSTITUTE(SUBSTITUTE(SUBSTITUTE(SUBSTITUTE(Txt_Politesse,"{cabinet}",Cab_Nom),"{societe}",IF($K$12691=0,"",INDEX(Clients!$E$2:$E$501,$K$12691)&amp;"")),"{date_effet}",$K$12693),"{hausse}",$K$12694),"{civilite}",$K$12692)</f>
        <v>Nous vous prions d'agréer, Madame, Monsieur, l'expression de nos salutations distinguées.</v>
      </c>
      <c r="C12727" s="37"/>
      <c r="D12727" s="37"/>
      <c r="E12727" s="37"/>
      <c r="F12727" s="37"/>
    </row>
    <row r="12728" customFormat="false" ht="15" hidden="false" customHeight="false" outlineLevel="0" collapsed="false">
      <c r="B12728" s="10"/>
      <c r="C12728" s="10"/>
      <c r="D12728" s="10"/>
      <c r="E12728" s="10"/>
      <c r="F12728" s="10"/>
    </row>
    <row r="12729" customFormat="false" ht="15" hidden="false" customHeight="false" outlineLevel="0" collapsed="false">
      <c r="B12729" s="10"/>
      <c r="C12729" s="10"/>
      <c r="D12729" s="34" t="str">
        <f aca="false">Signataire</f>
        <v>Prénom NOM</v>
      </c>
      <c r="E12729" s="34"/>
      <c r="F12729" s="34"/>
    </row>
    <row r="12730" customFormat="false" ht="15" hidden="false" customHeight="false" outlineLevel="0" collapsed="false">
      <c r="B12730" s="10"/>
      <c r="C12730" s="10"/>
      <c r="D12730" s="47" t="str">
        <f aca="false">Signataire_Titre</f>
        <v>Expert-comptable associé</v>
      </c>
      <c r="E12730" s="47"/>
      <c r="F12730" s="47"/>
    </row>
    <row r="12731" customFormat="false" ht="15.75" hidden="false" customHeight="true" outlineLevel="0" collapsed="false">
      <c r="B12731" s="10"/>
      <c r="C12731" s="10"/>
      <c r="D12731" s="10"/>
      <c r="E12731" s="10"/>
      <c r="F12731" s="10"/>
    </row>
    <row r="12732" customFormat="false" ht="15.75" hidden="false" customHeight="true" outlineLevel="0" collapsed="false">
      <c r="B12732" s="10"/>
      <c r="C12732" s="10"/>
      <c r="D12732" s="10"/>
      <c r="E12732" s="10"/>
      <c r="F12732" s="10"/>
    </row>
    <row r="12733" customFormat="false" ht="15.75" hidden="false" customHeight="true" outlineLevel="0" collapsed="false">
      <c r="B12733" s="10"/>
      <c r="C12733" s="10"/>
      <c r="D12733" s="10"/>
      <c r="E12733" s="10"/>
      <c r="F12733" s="10"/>
    </row>
    <row r="12734" customFormat="false" ht="15.75" hidden="false" customHeight="true" outlineLevel="0" collapsed="false">
      <c r="B12734" s="10"/>
      <c r="C12734" s="10"/>
      <c r="D12734" s="10"/>
      <c r="E12734" s="10"/>
      <c r="F12734" s="10"/>
    </row>
    <row r="12735" customFormat="false" ht="24" hidden="false" customHeight="true" outlineLevel="0" collapsed="false">
      <c r="B12735" s="48" t="str">
        <f aca="false">Cab_Mentions</f>
        <v>ALTHO EXPERTISE · SAS au capital de 10 000 € · RCS Pontoise 919 706 325 · TVA FR62919706325 · Société d'expertise comptable inscrite au Tableau de l'Ordre des experts-comptables de Paris Île-de-France</v>
      </c>
      <c r="C12735" s="48"/>
      <c r="D12735" s="48"/>
      <c r="E12735" s="48"/>
      <c r="F12735" s="48"/>
    </row>
    <row r="12736" customFormat="false" ht="15" hidden="false" customHeight="false" outlineLevel="0" collapsed="false">
      <c r="B12736" s="10"/>
      <c r="C12736" s="10"/>
      <c r="D12736" s="10"/>
      <c r="E12736" s="10"/>
      <c r="F12736" s="10"/>
      <c r="J12736" s="25" t="s">
        <v>142</v>
      </c>
      <c r="K12736" s="25" t="n">
        <f aca="false">IFERROR(MATCH(284,Clients!$Z$2:$Z$501,0),0)</f>
        <v>0</v>
      </c>
      <c r="L12736" s="25"/>
      <c r="M12736" s="25"/>
      <c r="N12736" s="25"/>
      <c r="O12736" s="25"/>
    </row>
    <row r="12737" customFormat="false" ht="21.75" hidden="false" customHeight="true" outlineLevel="0" collapsed="false">
      <c r="B12737" s="26" t="str">
        <f aca="false">Cab_Nom</f>
        <v>ALTHO EXPERTISE</v>
      </c>
      <c r="C12737" s="26"/>
      <c r="D12737" s="10"/>
      <c r="E12737" s="27" t="str">
        <f aca="false">IF($K$12736=0,"","Réf. client : "&amp;INDEX(Clients!$A$2:$A$501,$K$12736))</f>
        <v/>
      </c>
      <c r="F12737" s="27"/>
      <c r="J12737" s="25" t="s">
        <v>144</v>
      </c>
      <c r="K12737" s="25" t="str">
        <f aca="false">IF(IF($K$12736=0,"",INDEX(Clients!$B$2:$B$501,$K$12736)&amp;"")="Mme","Madame",IF(IF($K$12736=0,"",INDEX(Clients!$B$2:$B$501,$K$12736)&amp;"")="M.","Monsieur","Madame, Monsieur"))</f>
        <v>Madame, Monsieur</v>
      </c>
      <c r="L12737" s="25"/>
      <c r="M12737" s="25"/>
      <c r="N12737" s="25"/>
      <c r="O12737" s="25"/>
    </row>
    <row r="12738" customFormat="false" ht="15" hidden="false" customHeight="false" outlineLevel="0" collapsed="false">
      <c r="B12738" s="29" t="str">
        <f aca="false">Cab_Adr1</f>
        <v>141 rue Charles de Gaulle</v>
      </c>
      <c r="C12738" s="29"/>
      <c r="D12738" s="10"/>
      <c r="E12738" s="10"/>
      <c r="F12738" s="10"/>
      <c r="J12738" s="25" t="s">
        <v>145</v>
      </c>
      <c r="K12738" s="25" t="str">
        <f aca="false">DAY(Date_Effet)&amp;IF(DAY(Date_Effet)=1,"er","")&amp;" "&amp;INDEX(Liste_Mois,MONTH(Date_Effet))&amp;" "&amp;YEAR(Date_Effet)</f>
        <v>1er janvier 2027</v>
      </c>
      <c r="L12738" s="25"/>
      <c r="M12738" s="25"/>
      <c r="N12738" s="25"/>
      <c r="O12738" s="25"/>
    </row>
    <row r="12739" customFormat="false" ht="15" hidden="false" customHeight="false" outlineLevel="0" collapsed="false">
      <c r="B12739" s="29" t="str">
        <f aca="false">Cab_CPVille</f>
        <v>95130 LE PLESSIS-BOUCHARD</v>
      </c>
      <c r="C12739" s="29"/>
      <c r="D12739" s="10"/>
      <c r="E12739" s="10"/>
      <c r="F12739" s="10"/>
      <c r="J12739" s="25" t="s">
        <v>146</v>
      </c>
      <c r="K12739" s="25" t="str">
        <f aca="false">IF(SUM($K$12763:$K$12766)=0,"",FIXED((SUM($L$12763:$L$12766)/SUM($K$12763:$K$12766)-1)*100,1)&amp;" %")</f>
        <v/>
      </c>
      <c r="L12739" s="25"/>
      <c r="M12739" s="25"/>
      <c r="N12739" s="25"/>
      <c r="O12739" s="25"/>
    </row>
    <row r="12740" customFormat="false" ht="15" hidden="false" customHeight="false" outlineLevel="0" collapsed="false">
      <c r="B12740" s="29" t="str">
        <f aca="false">Cab_Contact</f>
        <v>Tél. 01 34 14 53 45  ·  altho@altho-experts.com  ·  altho-experts.com</v>
      </c>
      <c r="C12740" s="29"/>
      <c r="D12740" s="10"/>
      <c r="E12740" s="10"/>
      <c r="F12740" s="10"/>
      <c r="J12740" s="25"/>
      <c r="K12740" s="25"/>
      <c r="L12740" s="25"/>
      <c r="M12740" s="25"/>
      <c r="N12740" s="25"/>
      <c r="O12740" s="25"/>
    </row>
    <row r="12741" customFormat="false" ht="6" hidden="false" customHeight="true" outlineLevel="0" collapsed="false">
      <c r="B12741" s="32"/>
      <c r="C12741" s="32"/>
      <c r="D12741" s="32"/>
      <c r="E12741" s="32"/>
      <c r="F12741" s="32"/>
      <c r="J12741" s="25"/>
      <c r="K12741" s="25"/>
      <c r="L12741" s="25"/>
      <c r="M12741" s="25"/>
      <c r="N12741" s="25"/>
      <c r="O12741" s="25"/>
    </row>
    <row r="12742" customFormat="false" ht="13.5" hidden="false" customHeight="true" outlineLevel="0" collapsed="false">
      <c r="B12742" s="10"/>
      <c r="C12742" s="10"/>
      <c r="D12742" s="10"/>
      <c r="E12742" s="10"/>
      <c r="F12742" s="10"/>
      <c r="J12742" s="25"/>
      <c r="K12742" s="25"/>
      <c r="L12742" s="25"/>
      <c r="M12742" s="25"/>
      <c r="N12742" s="25"/>
      <c r="O12742" s="25"/>
    </row>
    <row r="12743" customFormat="false" ht="13.5" hidden="false" customHeight="true" outlineLevel="0" collapsed="false">
      <c r="B12743" s="10"/>
      <c r="C12743" s="10"/>
      <c r="D12743" s="10"/>
      <c r="E12743" s="10"/>
      <c r="F12743" s="10"/>
      <c r="J12743" s="25"/>
      <c r="K12743" s="25"/>
      <c r="L12743" s="25"/>
      <c r="M12743" s="25"/>
      <c r="N12743" s="25"/>
      <c r="O12743" s="25"/>
    </row>
    <row r="12744" customFormat="false" ht="13.5" hidden="false" customHeight="true" outlineLevel="0" collapsed="false">
      <c r="B12744" s="10"/>
      <c r="C12744" s="10"/>
      <c r="D12744" s="10"/>
      <c r="E12744" s="10"/>
      <c r="F12744" s="10"/>
      <c r="J12744" s="25"/>
      <c r="K12744" s="25"/>
      <c r="L12744" s="25"/>
      <c r="M12744" s="25"/>
      <c r="N12744" s="25"/>
      <c r="O12744" s="25"/>
    </row>
    <row r="12745" customFormat="false" ht="15" hidden="false" customHeight="true" outlineLevel="0" collapsed="false">
      <c r="B12745" s="10"/>
      <c r="C12745" s="10"/>
      <c r="D12745" s="34" t="str">
        <f aca="false">IF($K$12736=0,"",INDEX(Clients!$E$2:$E$501,$K$12736)&amp;"")</f>
        <v/>
      </c>
      <c r="E12745" s="34"/>
      <c r="F12745" s="34"/>
      <c r="J12745" s="25"/>
      <c r="K12745" s="25"/>
      <c r="L12745" s="25"/>
      <c r="M12745" s="25"/>
      <c r="N12745" s="25"/>
      <c r="O12745" s="25"/>
    </row>
    <row r="12746" customFormat="false" ht="15" hidden="false" customHeight="true" outlineLevel="0" collapsed="false">
      <c r="B12746" s="10"/>
      <c r="C12746" s="10"/>
      <c r="D12746" s="35" t="str">
        <f aca="false">IF(IF($K$12736=0,"",INDEX(Clients!$D$2:$D$501,$K$12736)&amp;"")="","","À l'attention de "&amp;TRIM(IF($K$12736=0,"",INDEX(Clients!$B$2:$B$501,$K$12736)&amp;"")&amp;" "&amp;IF($K$12736=0,"",INDEX(Clients!$C$2:$C$501,$K$12736)&amp;"")&amp;" "&amp;IF($K$12736=0,"",INDEX(Clients!$D$2:$D$501,$K$12736)&amp;"")))</f>
        <v/>
      </c>
      <c r="E12746" s="35"/>
      <c r="F12746" s="35"/>
      <c r="J12746" s="25"/>
      <c r="K12746" s="25"/>
      <c r="L12746" s="25"/>
      <c r="M12746" s="25"/>
      <c r="N12746" s="25"/>
      <c r="O12746" s="25"/>
    </row>
    <row r="12747" customFormat="false" ht="15" hidden="false" customHeight="true" outlineLevel="0" collapsed="false">
      <c r="B12747" s="10"/>
      <c r="C12747" s="10"/>
      <c r="D12747" s="35" t="str">
        <f aca="false">IF($K$12736=0,"",INDEX(Clients!$F$2:$F$501,$K$12736)&amp;"")</f>
        <v/>
      </c>
      <c r="E12747" s="35"/>
      <c r="F12747" s="35"/>
      <c r="J12747" s="25"/>
      <c r="K12747" s="25"/>
      <c r="L12747" s="25"/>
      <c r="M12747" s="25"/>
      <c r="N12747" s="25"/>
      <c r="O12747" s="25"/>
    </row>
    <row r="12748" customFormat="false" ht="15" hidden="false" customHeight="true" outlineLevel="0" collapsed="false">
      <c r="B12748" s="10"/>
      <c r="C12748" s="10"/>
      <c r="D12748" s="35" t="str">
        <f aca="false">IF(IF($K$12736=0,"",INDEX(Clients!$G$2:$G$501,$K$12736)&amp;"")="",TRIM(IF($K$12736=0,"",INDEX(Clients!$H$2:$H$501,$K$12736)&amp;"")&amp;" "&amp;UPPER(IF($K$12736=0,"",INDEX(Clients!$I$2:$I$501,$K$12736)&amp;""))),IF($K$12736=0,"",INDEX(Clients!$G$2:$G$501,$K$12736)&amp;""))</f>
        <v/>
      </c>
      <c r="E12748" s="35"/>
      <c r="F12748" s="35"/>
      <c r="J12748" s="25"/>
      <c r="K12748" s="25"/>
      <c r="L12748" s="25"/>
      <c r="M12748" s="25"/>
      <c r="N12748" s="25"/>
      <c r="O12748" s="25"/>
    </row>
    <row r="12749" customFormat="false" ht="15" hidden="false" customHeight="true" outlineLevel="0" collapsed="false">
      <c r="B12749" s="10"/>
      <c r="C12749" s="10"/>
      <c r="D12749" s="35" t="str">
        <f aca="false">IF(IF($K$12736=0,"",INDEX(Clients!$G$2:$G$501,$K$12736)&amp;"")="","",TRIM(IF($K$12736=0,"",INDEX(Clients!$H$2:$H$501,$K$12736)&amp;"")&amp;" "&amp;UPPER(IF($K$12736=0,"",INDEX(Clients!$I$2:$I$501,$K$12736)&amp;""))))</f>
        <v/>
      </c>
      <c r="E12749" s="35"/>
      <c r="F12749" s="35"/>
      <c r="J12749" s="25"/>
      <c r="K12749" s="25"/>
      <c r="L12749" s="25"/>
      <c r="M12749" s="25"/>
      <c r="N12749" s="25"/>
      <c r="O12749" s="25"/>
    </row>
    <row r="12750" customFormat="false" ht="25.5" hidden="false" customHeight="true" outlineLevel="0" collapsed="false">
      <c r="B12750" s="10"/>
      <c r="C12750" s="10"/>
      <c r="D12750" s="10"/>
      <c r="E12750" s="10"/>
      <c r="F12750" s="10"/>
      <c r="J12750" s="25"/>
      <c r="K12750" s="25"/>
      <c r="L12750" s="25"/>
      <c r="M12750" s="25"/>
      <c r="N12750" s="25"/>
      <c r="O12750" s="25"/>
    </row>
    <row r="12751" customFormat="false" ht="15" hidden="false" customHeight="false" outlineLevel="0" collapsed="false">
      <c r="B12751" s="10"/>
      <c r="C12751" s="10"/>
      <c r="D12751" s="36" t="str">
        <f aca="false">Cab_Ville&amp;", le "&amp;DAY(Date_Courrier)&amp;IF(DAY(Date_Courrier)=1,"er","")&amp;" "&amp;INDEX(Liste_Mois,MONTH(Date_Courrier))&amp;" "&amp;YEAR(Date_Courrier)</f>
        <v>Le Plessis-Bouchard, le 22 septembre 2026</v>
      </c>
      <c r="E12751" s="36"/>
      <c r="F12751" s="36"/>
      <c r="J12751" s="25"/>
      <c r="K12751" s="25"/>
      <c r="L12751" s="25"/>
      <c r="M12751" s="25"/>
      <c r="N12751" s="25"/>
      <c r="O12751" s="25"/>
    </row>
    <row r="12752" customFormat="false" ht="19.5" hidden="false" customHeight="true" outlineLevel="0" collapsed="false">
      <c r="B12752" s="10"/>
      <c r="C12752" s="10"/>
      <c r="D12752" s="10"/>
      <c r="E12752" s="10"/>
      <c r="F12752" s="10"/>
      <c r="J12752" s="25"/>
      <c r="K12752" s="25"/>
      <c r="L12752" s="25"/>
      <c r="M12752" s="25"/>
      <c r="N12752" s="25"/>
      <c r="O12752" s="25"/>
    </row>
    <row r="12753" customFormat="false" ht="15" hidden="false" customHeight="false" outlineLevel="0" collapsed="false">
      <c r="B12753" s="34" t="str">
        <f aca="false">SUBSTITUTE(SUBSTITUTE(SUBSTITUTE(SUBSTITUTE(SUBSTITUTE(Txt_Objet,"{cabinet}",Cab_Nom),"{societe}",IF($K$12736=0,"",INDEX(Clients!$E$2:$E$501,$K$12736)&amp;"")),"{date_effet}",$K$12738),"{hausse}",$K$12739),"{civilite}",$K$12737)</f>
        <v>Objet : révision de nos honoraires au 1er janvier 2027</v>
      </c>
      <c r="C12753" s="34"/>
      <c r="D12753" s="34"/>
      <c r="E12753" s="34"/>
      <c r="F12753" s="34"/>
      <c r="J12753" s="25"/>
      <c r="K12753" s="25"/>
      <c r="L12753" s="25"/>
      <c r="M12753" s="25"/>
      <c r="N12753" s="25"/>
      <c r="O12753" s="25"/>
    </row>
    <row r="12754" customFormat="false" ht="13.5" hidden="false" customHeight="true" outlineLevel="0" collapsed="false">
      <c r="B12754" s="10"/>
      <c r="C12754" s="10"/>
      <c r="D12754" s="10"/>
      <c r="E12754" s="10"/>
      <c r="F12754" s="10"/>
      <c r="J12754" s="25"/>
      <c r="K12754" s="25"/>
      <c r="L12754" s="25"/>
      <c r="M12754" s="25"/>
      <c r="N12754" s="25"/>
      <c r="O12754" s="25"/>
    </row>
    <row r="12755" customFormat="false" ht="15" hidden="false" customHeight="false" outlineLevel="0" collapsed="false">
      <c r="B12755" s="10" t="str">
        <f aca="false">$K$12737&amp;","</f>
        <v>Madame, Monsieur,</v>
      </c>
      <c r="C12755" s="10"/>
      <c r="D12755" s="10"/>
      <c r="E12755" s="10"/>
      <c r="F12755" s="10"/>
      <c r="J12755" s="25"/>
      <c r="K12755" s="25"/>
      <c r="L12755" s="25"/>
      <c r="M12755" s="25"/>
      <c r="N12755" s="25"/>
      <c r="O12755" s="25"/>
    </row>
    <row r="12756" customFormat="false" ht="6" hidden="false" customHeight="true" outlineLevel="0" collapsed="false">
      <c r="B12756" s="10"/>
      <c r="C12756" s="10"/>
      <c r="D12756" s="10"/>
      <c r="E12756" s="10"/>
      <c r="F12756" s="10"/>
      <c r="J12756" s="25"/>
      <c r="K12756" s="25"/>
      <c r="L12756" s="25"/>
      <c r="M12756" s="25"/>
      <c r="N12756" s="25"/>
      <c r="O12756" s="25"/>
    </row>
    <row r="12757" customFormat="false" ht="36.75" hidden="false" customHeight="true" outlineLevel="0" collapsed="false">
      <c r="B12757" s="37" t="str">
        <f aca="false">SUBSTITUTE(SUBSTITUTE(SUBSTITUTE(SUBSTITUTE(SUBSTITUTE(Txt_P1,"{cabinet}",Cab_Nom),"{societe}",IF($K$12736=0,"",INDEX(Clients!$E$2:$E$501,$K$12736)&amp;"")),"{date_effet}",$K$12738),"{hausse}",$K$12739),"{civilite}",$K$12737)</f>
        <v>Nous tenons tout d'abord à vous remercier pour la confiance que vous accordez à ALTHO EXPERTISE. Comme chaque année, et conformément aux dispositions de votre lettre de mission, nous procédons à la révision de nos honoraires.</v>
      </c>
      <c r="C12757" s="37"/>
      <c r="D12757" s="37"/>
      <c r="E12757" s="37"/>
      <c r="F12757" s="37"/>
      <c r="J12757" s="25"/>
      <c r="K12757" s="25"/>
      <c r="L12757" s="25"/>
      <c r="M12757" s="25"/>
      <c r="N12757" s="25"/>
      <c r="O12757" s="25"/>
    </row>
    <row r="12758" customFormat="false" ht="49.5" hidden="false" customHeight="true" outlineLevel="0" collapsed="false">
      <c r="B12758" s="37" t="str">
        <f aca="false">SUBSTITUTE(SUBSTITUTE(SUBSTITUTE(SUBSTITUTE(SUBSTITUTE(Txt_P2,"{cabinet}",Cab_Nom),"{societe}",IF($K$12736=0,"",INDEX(Clients!$E$2:$E$501,$K$12736)&amp;"")),"{date_effet}",$K$12738),"{hausse}",$K$12739),"{civilite}",$K$12737)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758" s="37"/>
      <c r="D12758" s="37"/>
      <c r="E12758" s="37"/>
      <c r="F12758" s="37"/>
      <c r="J12758" s="25"/>
      <c r="K12758" s="25"/>
      <c r="L12758" s="25"/>
      <c r="M12758" s="25"/>
      <c r="N12758" s="25"/>
      <c r="O12758" s="25"/>
    </row>
    <row r="12759" customFormat="false" ht="63" hidden="false" customHeight="true" outlineLevel="0" collapsed="false">
      <c r="B12759" s="37" t="str">
        <f aca="false">SUBSTITUTE(SUBSTITUTE(SUBSTITUTE(SUBSTITUTE(SUBSTITUTE(Txt_P3,"{cabinet}",Cab_Nom),"{societe}",IF($K$12736=0,"",INDEX(Clients!$E$2:$E$501,$K$12736)&amp;"")),"{date_effet}",$K$12738),"{hausse}",$K$12739),"{civilite}",$K$12737)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759" s="37"/>
      <c r="D12759" s="37"/>
      <c r="E12759" s="37"/>
      <c r="F12759" s="37"/>
      <c r="J12759" s="25"/>
      <c r="K12759" s="25"/>
      <c r="L12759" s="25"/>
      <c r="M12759" s="25"/>
      <c r="N12759" s="25"/>
      <c r="O12759" s="25"/>
    </row>
    <row r="12760" customFormat="false" ht="24" hidden="false" customHeight="true" outlineLevel="0" collapsed="false">
      <c r="B12760" s="37" t="str">
        <f aca="false">SUBSTITUTE(SUBSTITUTE(SUBSTITUTE(SUBSTITUTE(SUBSTITUTE(Txt_P4,"{cabinet}",Cab_Nom),"{societe}",IF($K$12736=0,"",INDEX(Clients!$E$2:$E$501,$K$12736)&amp;"")),"{date_effet}",$K$12738),"{hausse}",$K$12739),"{civilite}",$K$12737)</f>
        <v>À compter du 1er janvier 2027, vos honoraires annuels hors taxes évolueront ainsi (évolution globale : ) :</v>
      </c>
      <c r="C12760" s="37"/>
      <c r="D12760" s="37"/>
      <c r="E12760" s="37"/>
      <c r="F12760" s="37"/>
      <c r="J12760" s="25"/>
      <c r="K12760" s="25"/>
      <c r="L12760" s="25"/>
      <c r="M12760" s="25"/>
      <c r="N12760" s="25"/>
      <c r="O12760" s="25"/>
    </row>
    <row r="12761" customFormat="false" ht="3.75" hidden="false" customHeight="true" outlineLevel="0" collapsed="false">
      <c r="B12761" s="10"/>
      <c r="C12761" s="10"/>
      <c r="D12761" s="10"/>
      <c r="E12761" s="10"/>
      <c r="F12761" s="10"/>
      <c r="J12761" s="25"/>
      <c r="K12761" s="25"/>
      <c r="L12761" s="25"/>
      <c r="M12761" s="25"/>
      <c r="N12761" s="25"/>
      <c r="O12761" s="25"/>
    </row>
    <row r="12762" customFormat="false" ht="18" hidden="false" customHeight="true" outlineLevel="0" collapsed="false">
      <c r="B12762" s="38" t="s">
        <v>148</v>
      </c>
      <c r="C12762" s="39" t="s">
        <v>149</v>
      </c>
      <c r="D12762" s="39" t="s">
        <v>150</v>
      </c>
      <c r="E12762" s="39" t="s">
        <v>151</v>
      </c>
      <c r="F12762" s="39" t="s">
        <v>109</v>
      </c>
      <c r="J12762" s="25" t="s">
        <v>152</v>
      </c>
      <c r="K12762" s="25" t="s">
        <v>153</v>
      </c>
      <c r="L12762" s="25" t="s">
        <v>154</v>
      </c>
      <c r="M12762" s="25" t="s">
        <v>155</v>
      </c>
      <c r="N12762" s="25" t="s">
        <v>156</v>
      </c>
      <c r="O12762" s="25" t="s">
        <v>157</v>
      </c>
    </row>
    <row r="12763" customFormat="false" ht="16.5" hidden="false" customHeight="true" outlineLevel="0" collapsed="false">
      <c r="B12763" s="40" t="str">
        <f aca="false">IFERROR(INDEX($J$12763:$J$12766,MATCH($O12763,$N$12763:$N$12766,0)),"")</f>
        <v/>
      </c>
      <c r="C12763" s="41" t="str">
        <f aca="false">IFERROR(INDEX($K$12763:$K$12766,MATCH($O12763,$N$12763:$N$12766,0)),"")</f>
        <v/>
      </c>
      <c r="D12763" s="42" t="str">
        <f aca="false">IF(OR(E12763="",N(C12763)=0),"",E12763/C12763-1)</f>
        <v/>
      </c>
      <c r="E12763" s="41" t="str">
        <f aca="false">IFERROR(INDEX($L$12763:$L$12766,MATCH($O12763,$N$12763:$N$12766,0)),"")</f>
        <v/>
      </c>
      <c r="F12763" s="41" t="str">
        <f aca="false">IF(E12763="","",E12763-C12763)</f>
        <v/>
      </c>
      <c r="J12763" s="25" t="str">
        <f aca="false">Lib_Compta</f>
        <v>Mission comptable (tenue, révision, bilan, liasse fiscale)</v>
      </c>
      <c r="K12763" s="25" t="n">
        <f aca="false">IF($K$12736=0,0,N(INDEX(Clients!$K$2:$K$501,$K$12736)))</f>
        <v>0</v>
      </c>
      <c r="L12763" s="25" t="n">
        <f aca="false">IF($K$12736=0,0,N(INDEX(Clients!$P$2:$P$501,$K$12736)))</f>
        <v>0</v>
      </c>
      <c r="M12763" s="25" t="n">
        <f aca="false">IF(OR(K12763&lt;&gt;0,L12763&lt;&gt;0),1,0)</f>
        <v>0</v>
      </c>
      <c r="N12763" s="25" t="str">
        <f aca="false">IF(M12763=1,SUM($M$12763:M12763),"")</f>
        <v/>
      </c>
      <c r="O12763" s="25" t="n">
        <v>1</v>
      </c>
    </row>
    <row r="12764" customFormat="false" ht="16.5" hidden="false" customHeight="true" outlineLevel="0" collapsed="false">
      <c r="B12764" s="40" t="str">
        <f aca="false">IFERROR(INDEX($J$12763:$J$12766,MATCH($O12764,$N$12763:$N$12766,0)),"")</f>
        <v/>
      </c>
      <c r="C12764" s="41" t="str">
        <f aca="false">IFERROR(INDEX($K$12763:$K$12766,MATCH($O12764,$N$12763:$N$12766,0)),"")</f>
        <v/>
      </c>
      <c r="D12764" s="42" t="str">
        <f aca="false">IF(OR(E12764="",N(C12764)=0),"",E12764/C12764-1)</f>
        <v/>
      </c>
      <c r="E12764" s="41" t="str">
        <f aca="false">IFERROR(INDEX($L$12763:$L$12766,MATCH($O12764,$N$12763:$N$12766,0)),"")</f>
        <v/>
      </c>
      <c r="F12764" s="41" t="str">
        <f aca="false">IF(E12764="","",E12764-C12764)</f>
        <v/>
      </c>
      <c r="J12764" s="25" t="str">
        <f aca="false">Lib_Paye</f>
        <v>Mission sociale (bulletins de paie, DSN, déclarations sociales)</v>
      </c>
      <c r="K12764" s="25" t="n">
        <f aca="false">IF($K$12736=0,0,N(INDEX(Clients!$L$2:$L$501,$K$12736)))</f>
        <v>0</v>
      </c>
      <c r="L12764" s="25" t="n">
        <f aca="false">IF($K$12736=0,0,N(INDEX(Clients!$Q$2:$Q$501,$K$12736)))</f>
        <v>0</v>
      </c>
      <c r="M12764" s="25" t="n">
        <f aca="false">IF(OR(K12764&lt;&gt;0,L12764&lt;&gt;0),1,0)</f>
        <v>0</v>
      </c>
      <c r="N12764" s="25" t="str">
        <f aca="false">IF(M12764=1,SUM($M$12763:M12764),"")</f>
        <v/>
      </c>
      <c r="O12764" s="25" t="n">
        <v>2</v>
      </c>
    </row>
    <row r="12765" customFormat="false" ht="16.5" hidden="false" customHeight="true" outlineLevel="0" collapsed="false">
      <c r="B12765" s="40" t="str">
        <f aca="false">IFERROR(INDEX($J$12763:$J$12766,MATCH($O12765,$N$12763:$N$12766,0)),"")</f>
        <v/>
      </c>
      <c r="C12765" s="41" t="str">
        <f aca="false">IFERROR(INDEX($K$12763:$K$12766,MATCH($O12765,$N$12763:$N$12766,0)),"")</f>
        <v/>
      </c>
      <c r="D12765" s="42" t="str">
        <f aca="false">IF(OR(E12765="",N(C12765)=0),"",E12765/C12765-1)</f>
        <v/>
      </c>
      <c r="E12765" s="41" t="str">
        <f aca="false">IFERROR(INDEX($L$12763:$L$12766,MATCH($O12765,$N$12763:$N$12766,0)),"")</f>
        <v/>
      </c>
      <c r="F12765" s="41" t="str">
        <f aca="false">IF(E12765="","",E12765-C12765)</f>
        <v/>
      </c>
      <c r="J12765" s="25" t="str">
        <f aca="false">Lib_Jur</f>
        <v>Mission juridique (approbation des comptes, secrétariat juridique)</v>
      </c>
      <c r="K12765" s="25" t="n">
        <f aca="false">IF($K$12736=0,0,N(INDEX(Clients!$M$2:$M$501,$K$12736)))</f>
        <v>0</v>
      </c>
      <c r="L12765" s="25" t="n">
        <f aca="false">IF($K$12736=0,0,N(INDEX(Clients!$R$2:$R$501,$K$12736)))</f>
        <v>0</v>
      </c>
      <c r="M12765" s="25" t="n">
        <f aca="false">IF(OR(K12765&lt;&gt;0,L12765&lt;&gt;0),1,0)</f>
        <v>0</v>
      </c>
      <c r="N12765" s="25" t="str">
        <f aca="false">IF(M12765=1,SUM($M$12763:M12765),"")</f>
        <v/>
      </c>
      <c r="O12765" s="25" t="n">
        <v>3</v>
      </c>
    </row>
    <row r="12766" customFormat="false" ht="16.5" hidden="false" customHeight="true" outlineLevel="0" collapsed="false">
      <c r="B12766" s="40" t="str">
        <f aca="false">IFERROR(INDEX($J$12763:$J$12766,MATCH($O12766,$N$12763:$N$12766,0)),"")</f>
        <v/>
      </c>
      <c r="C12766" s="41" t="str">
        <f aca="false">IFERROR(INDEX($K$12763:$K$12766,MATCH($O12766,$N$12763:$N$12766,0)),"")</f>
        <v/>
      </c>
      <c r="D12766" s="42" t="str">
        <f aca="false">IF(OR(E12766="",N(C12766)=0),"",E12766/C12766-1)</f>
        <v/>
      </c>
      <c r="E12766" s="41" t="str">
        <f aca="false">IFERROR(INDEX($L$12763:$L$12766,MATCH($O12766,$N$12763:$N$12766,0)),"")</f>
        <v/>
      </c>
      <c r="F12766" s="41" t="str">
        <f aca="false">IF(E12766="","",E12766-C12766)</f>
        <v/>
      </c>
      <c r="J12766" s="25" t="str">
        <f aca="false">Lib_PA</f>
        <v>Plateforme agréée – facturation électronique</v>
      </c>
      <c r="K12766" s="25" t="n">
        <f aca="false">IF($K$12736=0,0,N(INDEX(Clients!$N$2:$N$501,$K$12736)))</f>
        <v>0</v>
      </c>
      <c r="L12766" s="25" t="n">
        <f aca="false">IF($K$12736=0,0,N(INDEX(Clients!$S$2:$S$501,$K$12736)))</f>
        <v>0</v>
      </c>
      <c r="M12766" s="25" t="n">
        <f aca="false">IF(OR(K12766&lt;&gt;0,L12766&lt;&gt;0),1,0)</f>
        <v>0</v>
      </c>
      <c r="N12766" s="25" t="str">
        <f aca="false">IF(M12766=1,SUM($M$12763:M12766),"")</f>
        <v/>
      </c>
      <c r="O12766" s="25" t="n">
        <v>4</v>
      </c>
    </row>
    <row r="12767" customFormat="false" ht="18" hidden="false" customHeight="true" outlineLevel="0" collapsed="false">
      <c r="B12767" s="43" t="s">
        <v>158</v>
      </c>
      <c r="C12767" s="44" t="n">
        <f aca="false">SUM(K12763:K12766)</f>
        <v>0</v>
      </c>
      <c r="D12767" s="45" t="str">
        <f aca="false">IF(N(C12767)=0,"",E12767/C12767-1)</f>
        <v/>
      </c>
      <c r="E12767" s="44" t="n">
        <f aca="false">SUM(L12763:L12766)</f>
        <v>0</v>
      </c>
      <c r="F12767" s="44" t="n">
        <f aca="false">E12767-C12767</f>
        <v>0</v>
      </c>
    </row>
    <row r="12768" customFormat="false" ht="15" hidden="false" customHeight="false" outlineLevel="0" collapsed="false">
      <c r="B12768" s="46" t="str">
        <f aca="false">IF(N(Nb_Mensualites)=0,"","Soit "&amp;FIXED(E12767/Nb_Mensualites,2)&amp;" € HT par échéance ("&amp;Nb_Mensualites&amp;" échéances), "&amp;FIXED(E12767/Nb_Mensualites*(1+Taux_TVA),2)&amp;" € TTC.")</f>
        <v>Soit 0.00 € HT par échéance (12 échéances), 0.00 € TTC.</v>
      </c>
      <c r="C12768" s="46"/>
      <c r="D12768" s="46"/>
      <c r="E12768" s="46"/>
      <c r="F12768" s="46"/>
    </row>
    <row r="12769" customFormat="false" ht="7.5" hidden="false" customHeight="true" outlineLevel="0" collapsed="false">
      <c r="B12769" s="10"/>
      <c r="C12769" s="10"/>
      <c r="D12769" s="10"/>
      <c r="E12769" s="10"/>
      <c r="F12769" s="10"/>
    </row>
    <row r="12770" customFormat="false" ht="36.75" hidden="false" customHeight="true" outlineLevel="0" collapsed="false">
      <c r="B12770" s="37" t="str">
        <f aca="false">SUBSTITUTE(SUBSTITUTE(SUBSTITUTE(SUBSTITUTE(SUBSTITUTE(Txt_P5,"{cabinet}",Cab_Nom),"{societe}",IF($K$12736=0,"",INDEX(Clients!$E$2:$E$501,$K$12736)&amp;"")),"{date_effet}",$K$12738),"{hausse}",$K$12739),"{civilite}",$K$12737)</f>
        <v>Les autres conditions de votre lettre de mission demeurent inchangées. Les nouveaux montants seront appliqués automatiquement sur vos prochaines factures et échéances de prélèvement.</v>
      </c>
      <c r="C12770" s="37"/>
      <c r="D12770" s="37"/>
      <c r="E12770" s="37"/>
      <c r="F12770" s="37"/>
    </row>
    <row r="12771" customFormat="false" ht="36.75" hidden="false" customHeight="true" outlineLevel="0" collapsed="false">
      <c r="B12771" s="37" t="str">
        <f aca="false">SUBSTITUTE(SUBSTITUTE(SUBSTITUTE(SUBSTITUTE(SUBSTITUTE(Txt_P6,"{cabinet}",Cab_Nom),"{societe}",IF($K$12736=0,"",INDEX(Clients!$E$2:$E$501,$K$12736)&amp;"")),"{date_effet}",$K$12738),"{hausse}",$K$12739),"{civilite}",$K$12737)</f>
        <v>Votre interlocuteur habituel reste à votre entière disposition pour répondre à vos questions et faire le point sur l'évolution de vos besoins.</v>
      </c>
      <c r="C12771" s="37"/>
      <c r="D12771" s="37"/>
      <c r="E12771" s="37"/>
      <c r="F12771" s="37"/>
    </row>
    <row r="12772" customFormat="false" ht="24" hidden="false" customHeight="true" outlineLevel="0" collapsed="false">
      <c r="B12772" s="37" t="str">
        <f aca="false">SUBSTITUTE(SUBSTITUTE(SUBSTITUTE(SUBSTITUTE(SUBSTITUTE(Txt_Politesse,"{cabinet}",Cab_Nom),"{societe}",IF($K$12736=0,"",INDEX(Clients!$E$2:$E$501,$K$12736)&amp;"")),"{date_effet}",$K$12738),"{hausse}",$K$12739),"{civilite}",$K$12737)</f>
        <v>Nous vous prions d'agréer, Madame, Monsieur, l'expression de nos salutations distinguées.</v>
      </c>
      <c r="C12772" s="37"/>
      <c r="D12772" s="37"/>
      <c r="E12772" s="37"/>
      <c r="F12772" s="37"/>
    </row>
    <row r="12773" customFormat="false" ht="15" hidden="false" customHeight="false" outlineLevel="0" collapsed="false">
      <c r="B12773" s="10"/>
      <c r="C12773" s="10"/>
      <c r="D12773" s="10"/>
      <c r="E12773" s="10"/>
      <c r="F12773" s="10"/>
    </row>
    <row r="12774" customFormat="false" ht="15" hidden="false" customHeight="false" outlineLevel="0" collapsed="false">
      <c r="B12774" s="10"/>
      <c r="C12774" s="10"/>
      <c r="D12774" s="34" t="str">
        <f aca="false">Signataire</f>
        <v>Prénom NOM</v>
      </c>
      <c r="E12774" s="34"/>
      <c r="F12774" s="34"/>
    </row>
    <row r="12775" customFormat="false" ht="15" hidden="false" customHeight="false" outlineLevel="0" collapsed="false">
      <c r="B12775" s="10"/>
      <c r="C12775" s="10"/>
      <c r="D12775" s="47" t="str">
        <f aca="false">Signataire_Titre</f>
        <v>Expert-comptable associé</v>
      </c>
      <c r="E12775" s="47"/>
      <c r="F12775" s="47"/>
    </row>
    <row r="12776" customFormat="false" ht="15.75" hidden="false" customHeight="true" outlineLevel="0" collapsed="false">
      <c r="B12776" s="10"/>
      <c r="C12776" s="10"/>
      <c r="D12776" s="10"/>
      <c r="E12776" s="10"/>
      <c r="F12776" s="10"/>
    </row>
    <row r="12777" customFormat="false" ht="15.75" hidden="false" customHeight="true" outlineLevel="0" collapsed="false">
      <c r="B12777" s="10"/>
      <c r="C12777" s="10"/>
      <c r="D12777" s="10"/>
      <c r="E12777" s="10"/>
      <c r="F12777" s="10"/>
    </row>
    <row r="12778" customFormat="false" ht="15.75" hidden="false" customHeight="true" outlineLevel="0" collapsed="false">
      <c r="B12778" s="10"/>
      <c r="C12778" s="10"/>
      <c r="D12778" s="10"/>
      <c r="E12778" s="10"/>
      <c r="F12778" s="10"/>
    </row>
    <row r="12779" customFormat="false" ht="15.75" hidden="false" customHeight="true" outlineLevel="0" collapsed="false">
      <c r="B12779" s="10"/>
      <c r="C12779" s="10"/>
      <c r="D12779" s="10"/>
      <c r="E12779" s="10"/>
      <c r="F12779" s="10"/>
    </row>
    <row r="12780" customFormat="false" ht="24" hidden="false" customHeight="true" outlineLevel="0" collapsed="false">
      <c r="B12780" s="48" t="str">
        <f aca="false">Cab_Mentions</f>
        <v>ALTHO EXPERTISE · SAS au capital de 10 000 € · RCS Pontoise 919 706 325 · TVA FR62919706325 · Société d'expertise comptable inscrite au Tableau de l'Ordre des experts-comptables de Paris Île-de-France</v>
      </c>
      <c r="C12780" s="48"/>
      <c r="D12780" s="48"/>
      <c r="E12780" s="48"/>
      <c r="F12780" s="48"/>
    </row>
    <row r="12781" customFormat="false" ht="15" hidden="false" customHeight="false" outlineLevel="0" collapsed="false">
      <c r="B12781" s="10"/>
      <c r="C12781" s="10"/>
      <c r="D12781" s="10"/>
      <c r="E12781" s="10"/>
      <c r="F12781" s="10"/>
      <c r="J12781" s="25" t="s">
        <v>142</v>
      </c>
      <c r="K12781" s="25" t="n">
        <f aca="false">IFERROR(MATCH(285,Clients!$Z$2:$Z$501,0),0)</f>
        <v>0</v>
      </c>
      <c r="L12781" s="25"/>
      <c r="M12781" s="25"/>
      <c r="N12781" s="25"/>
      <c r="O12781" s="25"/>
    </row>
    <row r="12782" customFormat="false" ht="21.75" hidden="false" customHeight="true" outlineLevel="0" collapsed="false">
      <c r="B12782" s="26" t="str">
        <f aca="false">Cab_Nom</f>
        <v>ALTHO EXPERTISE</v>
      </c>
      <c r="C12782" s="26"/>
      <c r="D12782" s="10"/>
      <c r="E12782" s="27" t="str">
        <f aca="false">IF($K$12781=0,"","Réf. client : "&amp;INDEX(Clients!$A$2:$A$501,$K$12781))</f>
        <v/>
      </c>
      <c r="F12782" s="27"/>
      <c r="J12782" s="25" t="s">
        <v>144</v>
      </c>
      <c r="K12782" s="25" t="str">
        <f aca="false">IF(IF($K$12781=0,"",INDEX(Clients!$B$2:$B$501,$K$12781)&amp;"")="Mme","Madame",IF(IF($K$12781=0,"",INDEX(Clients!$B$2:$B$501,$K$12781)&amp;"")="M.","Monsieur","Madame, Monsieur"))</f>
        <v>Madame, Monsieur</v>
      </c>
      <c r="L12782" s="25"/>
      <c r="M12782" s="25"/>
      <c r="N12782" s="25"/>
      <c r="O12782" s="25"/>
    </row>
    <row r="12783" customFormat="false" ht="15" hidden="false" customHeight="false" outlineLevel="0" collapsed="false">
      <c r="B12783" s="29" t="str">
        <f aca="false">Cab_Adr1</f>
        <v>141 rue Charles de Gaulle</v>
      </c>
      <c r="C12783" s="29"/>
      <c r="D12783" s="10"/>
      <c r="E12783" s="10"/>
      <c r="F12783" s="10"/>
      <c r="J12783" s="25" t="s">
        <v>145</v>
      </c>
      <c r="K12783" s="25" t="str">
        <f aca="false">DAY(Date_Effet)&amp;IF(DAY(Date_Effet)=1,"er","")&amp;" "&amp;INDEX(Liste_Mois,MONTH(Date_Effet))&amp;" "&amp;YEAR(Date_Effet)</f>
        <v>1er janvier 2027</v>
      </c>
      <c r="L12783" s="25"/>
      <c r="M12783" s="25"/>
      <c r="N12783" s="25"/>
      <c r="O12783" s="25"/>
    </row>
    <row r="12784" customFormat="false" ht="15" hidden="false" customHeight="false" outlineLevel="0" collapsed="false">
      <c r="B12784" s="29" t="str">
        <f aca="false">Cab_CPVille</f>
        <v>95130 LE PLESSIS-BOUCHARD</v>
      </c>
      <c r="C12784" s="29"/>
      <c r="D12784" s="10"/>
      <c r="E12784" s="10"/>
      <c r="F12784" s="10"/>
      <c r="J12784" s="25" t="s">
        <v>146</v>
      </c>
      <c r="K12784" s="25" t="str">
        <f aca="false">IF(SUM($K$12808:$K$12811)=0,"",FIXED((SUM($L$12808:$L$12811)/SUM($K$12808:$K$12811)-1)*100,1)&amp;" %")</f>
        <v/>
      </c>
      <c r="L12784" s="25"/>
      <c r="M12784" s="25"/>
      <c r="N12784" s="25"/>
      <c r="O12784" s="25"/>
    </row>
    <row r="12785" customFormat="false" ht="15" hidden="false" customHeight="false" outlineLevel="0" collapsed="false">
      <c r="B12785" s="29" t="str">
        <f aca="false">Cab_Contact</f>
        <v>Tél. 01 34 14 53 45  ·  altho@altho-experts.com  ·  altho-experts.com</v>
      </c>
      <c r="C12785" s="29"/>
      <c r="D12785" s="10"/>
      <c r="E12785" s="10"/>
      <c r="F12785" s="10"/>
      <c r="J12785" s="25"/>
      <c r="K12785" s="25"/>
      <c r="L12785" s="25"/>
      <c r="M12785" s="25"/>
      <c r="N12785" s="25"/>
      <c r="O12785" s="25"/>
    </row>
    <row r="12786" customFormat="false" ht="6" hidden="false" customHeight="true" outlineLevel="0" collapsed="false">
      <c r="B12786" s="32"/>
      <c r="C12786" s="32"/>
      <c r="D12786" s="32"/>
      <c r="E12786" s="32"/>
      <c r="F12786" s="32"/>
      <c r="J12786" s="25"/>
      <c r="K12786" s="25"/>
      <c r="L12786" s="25"/>
      <c r="M12786" s="25"/>
      <c r="N12786" s="25"/>
      <c r="O12786" s="25"/>
    </row>
    <row r="12787" customFormat="false" ht="13.5" hidden="false" customHeight="true" outlineLevel="0" collapsed="false">
      <c r="B12787" s="10"/>
      <c r="C12787" s="10"/>
      <c r="D12787" s="10"/>
      <c r="E12787" s="10"/>
      <c r="F12787" s="10"/>
      <c r="J12787" s="25"/>
      <c r="K12787" s="25"/>
      <c r="L12787" s="25"/>
      <c r="M12787" s="25"/>
      <c r="N12787" s="25"/>
      <c r="O12787" s="25"/>
    </row>
    <row r="12788" customFormat="false" ht="13.5" hidden="false" customHeight="true" outlineLevel="0" collapsed="false">
      <c r="B12788" s="10"/>
      <c r="C12788" s="10"/>
      <c r="D12788" s="10"/>
      <c r="E12788" s="10"/>
      <c r="F12788" s="10"/>
      <c r="J12788" s="25"/>
      <c r="K12788" s="25"/>
      <c r="L12788" s="25"/>
      <c r="M12788" s="25"/>
      <c r="N12788" s="25"/>
      <c r="O12788" s="25"/>
    </row>
    <row r="12789" customFormat="false" ht="13.5" hidden="false" customHeight="true" outlineLevel="0" collapsed="false">
      <c r="B12789" s="10"/>
      <c r="C12789" s="10"/>
      <c r="D12789" s="10"/>
      <c r="E12789" s="10"/>
      <c r="F12789" s="10"/>
      <c r="J12789" s="25"/>
      <c r="K12789" s="25"/>
      <c r="L12789" s="25"/>
      <c r="M12789" s="25"/>
      <c r="N12789" s="25"/>
      <c r="O12789" s="25"/>
    </row>
    <row r="12790" customFormat="false" ht="15" hidden="false" customHeight="true" outlineLevel="0" collapsed="false">
      <c r="B12790" s="10"/>
      <c r="C12790" s="10"/>
      <c r="D12790" s="34" t="str">
        <f aca="false">IF($K$12781=0,"",INDEX(Clients!$E$2:$E$501,$K$12781)&amp;"")</f>
        <v/>
      </c>
      <c r="E12790" s="34"/>
      <c r="F12790" s="34"/>
      <c r="J12790" s="25"/>
      <c r="K12790" s="25"/>
      <c r="L12790" s="25"/>
      <c r="M12790" s="25"/>
      <c r="N12790" s="25"/>
      <c r="O12790" s="25"/>
    </row>
    <row r="12791" customFormat="false" ht="15" hidden="false" customHeight="true" outlineLevel="0" collapsed="false">
      <c r="B12791" s="10"/>
      <c r="C12791" s="10"/>
      <c r="D12791" s="35" t="str">
        <f aca="false">IF(IF($K$12781=0,"",INDEX(Clients!$D$2:$D$501,$K$12781)&amp;"")="","","À l'attention de "&amp;TRIM(IF($K$12781=0,"",INDEX(Clients!$B$2:$B$501,$K$12781)&amp;"")&amp;" "&amp;IF($K$12781=0,"",INDEX(Clients!$C$2:$C$501,$K$12781)&amp;"")&amp;" "&amp;IF($K$12781=0,"",INDEX(Clients!$D$2:$D$501,$K$12781)&amp;"")))</f>
        <v/>
      </c>
      <c r="E12791" s="35"/>
      <c r="F12791" s="35"/>
      <c r="J12791" s="25"/>
      <c r="K12791" s="25"/>
      <c r="L12791" s="25"/>
      <c r="M12791" s="25"/>
      <c r="N12791" s="25"/>
      <c r="O12791" s="25"/>
    </row>
    <row r="12792" customFormat="false" ht="15" hidden="false" customHeight="true" outlineLevel="0" collapsed="false">
      <c r="B12792" s="10"/>
      <c r="C12792" s="10"/>
      <c r="D12792" s="35" t="str">
        <f aca="false">IF($K$12781=0,"",INDEX(Clients!$F$2:$F$501,$K$12781)&amp;"")</f>
        <v/>
      </c>
      <c r="E12792" s="35"/>
      <c r="F12792" s="35"/>
      <c r="J12792" s="25"/>
      <c r="K12792" s="25"/>
      <c r="L12792" s="25"/>
      <c r="M12792" s="25"/>
      <c r="N12792" s="25"/>
      <c r="O12792" s="25"/>
    </row>
    <row r="12793" customFormat="false" ht="15" hidden="false" customHeight="true" outlineLevel="0" collapsed="false">
      <c r="B12793" s="10"/>
      <c r="C12793" s="10"/>
      <c r="D12793" s="35" t="str">
        <f aca="false">IF(IF($K$12781=0,"",INDEX(Clients!$G$2:$G$501,$K$12781)&amp;"")="",TRIM(IF($K$12781=0,"",INDEX(Clients!$H$2:$H$501,$K$12781)&amp;"")&amp;" "&amp;UPPER(IF($K$12781=0,"",INDEX(Clients!$I$2:$I$501,$K$12781)&amp;""))),IF($K$12781=0,"",INDEX(Clients!$G$2:$G$501,$K$12781)&amp;""))</f>
        <v/>
      </c>
      <c r="E12793" s="35"/>
      <c r="F12793" s="35"/>
      <c r="J12793" s="25"/>
      <c r="K12793" s="25"/>
      <c r="L12793" s="25"/>
      <c r="M12793" s="25"/>
      <c r="N12793" s="25"/>
      <c r="O12793" s="25"/>
    </row>
    <row r="12794" customFormat="false" ht="15" hidden="false" customHeight="true" outlineLevel="0" collapsed="false">
      <c r="B12794" s="10"/>
      <c r="C12794" s="10"/>
      <c r="D12794" s="35" t="str">
        <f aca="false">IF(IF($K$12781=0,"",INDEX(Clients!$G$2:$G$501,$K$12781)&amp;"")="","",TRIM(IF($K$12781=0,"",INDEX(Clients!$H$2:$H$501,$K$12781)&amp;"")&amp;" "&amp;UPPER(IF($K$12781=0,"",INDEX(Clients!$I$2:$I$501,$K$12781)&amp;""))))</f>
        <v/>
      </c>
      <c r="E12794" s="35"/>
      <c r="F12794" s="35"/>
      <c r="J12794" s="25"/>
      <c r="K12794" s="25"/>
      <c r="L12794" s="25"/>
      <c r="M12794" s="25"/>
      <c r="N12794" s="25"/>
      <c r="O12794" s="25"/>
    </row>
    <row r="12795" customFormat="false" ht="25.5" hidden="false" customHeight="true" outlineLevel="0" collapsed="false">
      <c r="B12795" s="10"/>
      <c r="C12795" s="10"/>
      <c r="D12795" s="10"/>
      <c r="E12795" s="10"/>
      <c r="F12795" s="10"/>
      <c r="J12795" s="25"/>
      <c r="K12795" s="25"/>
      <c r="L12795" s="25"/>
      <c r="M12795" s="25"/>
      <c r="N12795" s="25"/>
      <c r="O12795" s="25"/>
    </row>
    <row r="12796" customFormat="false" ht="15" hidden="false" customHeight="false" outlineLevel="0" collapsed="false">
      <c r="B12796" s="10"/>
      <c r="C12796" s="10"/>
      <c r="D12796" s="36" t="str">
        <f aca="false">Cab_Ville&amp;", le "&amp;DAY(Date_Courrier)&amp;IF(DAY(Date_Courrier)=1,"er","")&amp;" "&amp;INDEX(Liste_Mois,MONTH(Date_Courrier))&amp;" "&amp;YEAR(Date_Courrier)</f>
        <v>Le Plessis-Bouchard, le 22 septembre 2026</v>
      </c>
      <c r="E12796" s="36"/>
      <c r="F12796" s="36"/>
      <c r="J12796" s="25"/>
      <c r="K12796" s="25"/>
      <c r="L12796" s="25"/>
      <c r="M12796" s="25"/>
      <c r="N12796" s="25"/>
      <c r="O12796" s="25"/>
    </row>
    <row r="12797" customFormat="false" ht="19.5" hidden="false" customHeight="true" outlineLevel="0" collapsed="false">
      <c r="B12797" s="10"/>
      <c r="C12797" s="10"/>
      <c r="D12797" s="10"/>
      <c r="E12797" s="10"/>
      <c r="F12797" s="10"/>
      <c r="J12797" s="25"/>
      <c r="K12797" s="25"/>
      <c r="L12797" s="25"/>
      <c r="M12797" s="25"/>
      <c r="N12797" s="25"/>
      <c r="O12797" s="25"/>
    </row>
    <row r="12798" customFormat="false" ht="15" hidden="false" customHeight="false" outlineLevel="0" collapsed="false">
      <c r="B12798" s="34" t="str">
        <f aca="false">SUBSTITUTE(SUBSTITUTE(SUBSTITUTE(SUBSTITUTE(SUBSTITUTE(Txt_Objet,"{cabinet}",Cab_Nom),"{societe}",IF($K$12781=0,"",INDEX(Clients!$E$2:$E$501,$K$12781)&amp;"")),"{date_effet}",$K$12783),"{hausse}",$K$12784),"{civilite}",$K$12782)</f>
        <v>Objet : révision de nos honoraires au 1er janvier 2027</v>
      </c>
      <c r="C12798" s="34"/>
      <c r="D12798" s="34"/>
      <c r="E12798" s="34"/>
      <c r="F12798" s="34"/>
      <c r="J12798" s="25"/>
      <c r="K12798" s="25"/>
      <c r="L12798" s="25"/>
      <c r="M12798" s="25"/>
      <c r="N12798" s="25"/>
      <c r="O12798" s="25"/>
    </row>
    <row r="12799" customFormat="false" ht="13.5" hidden="false" customHeight="true" outlineLevel="0" collapsed="false">
      <c r="B12799" s="10"/>
      <c r="C12799" s="10"/>
      <c r="D12799" s="10"/>
      <c r="E12799" s="10"/>
      <c r="F12799" s="10"/>
      <c r="J12799" s="25"/>
      <c r="K12799" s="25"/>
      <c r="L12799" s="25"/>
      <c r="M12799" s="25"/>
      <c r="N12799" s="25"/>
      <c r="O12799" s="25"/>
    </row>
    <row r="12800" customFormat="false" ht="15" hidden="false" customHeight="false" outlineLevel="0" collapsed="false">
      <c r="B12800" s="10" t="str">
        <f aca="false">$K$12782&amp;","</f>
        <v>Madame, Monsieur,</v>
      </c>
      <c r="C12800" s="10"/>
      <c r="D12800" s="10"/>
      <c r="E12800" s="10"/>
      <c r="F12800" s="10"/>
      <c r="J12800" s="25"/>
      <c r="K12800" s="25"/>
      <c r="L12800" s="25"/>
      <c r="M12800" s="25"/>
      <c r="N12800" s="25"/>
      <c r="O12800" s="25"/>
    </row>
    <row r="12801" customFormat="false" ht="6" hidden="false" customHeight="true" outlineLevel="0" collapsed="false">
      <c r="B12801" s="10"/>
      <c r="C12801" s="10"/>
      <c r="D12801" s="10"/>
      <c r="E12801" s="10"/>
      <c r="F12801" s="10"/>
      <c r="J12801" s="25"/>
      <c r="K12801" s="25"/>
      <c r="L12801" s="25"/>
      <c r="M12801" s="25"/>
      <c r="N12801" s="25"/>
      <c r="O12801" s="25"/>
    </row>
    <row r="12802" customFormat="false" ht="36.75" hidden="false" customHeight="true" outlineLevel="0" collapsed="false">
      <c r="B12802" s="37" t="str">
        <f aca="false">SUBSTITUTE(SUBSTITUTE(SUBSTITUTE(SUBSTITUTE(SUBSTITUTE(Txt_P1,"{cabinet}",Cab_Nom),"{societe}",IF($K$12781=0,"",INDEX(Clients!$E$2:$E$501,$K$12781)&amp;"")),"{date_effet}",$K$12783),"{hausse}",$K$12784),"{civilite}",$K$12782)</f>
        <v>Nous tenons tout d'abord à vous remercier pour la confiance que vous accordez à ALTHO EXPERTISE. Comme chaque année, et conformément aux dispositions de votre lettre de mission, nous procédons à la révision de nos honoraires.</v>
      </c>
      <c r="C12802" s="37"/>
      <c r="D12802" s="37"/>
      <c r="E12802" s="37"/>
      <c r="F12802" s="37"/>
      <c r="J12802" s="25"/>
      <c r="K12802" s="25"/>
      <c r="L12802" s="25"/>
      <c r="M12802" s="25"/>
      <c r="N12802" s="25"/>
      <c r="O12802" s="25"/>
    </row>
    <row r="12803" customFormat="false" ht="49.5" hidden="false" customHeight="true" outlineLevel="0" collapsed="false">
      <c r="B12803" s="37" t="str">
        <f aca="false">SUBSTITUTE(SUBSTITUTE(SUBSTITUTE(SUBSTITUTE(SUBSTITUTE(Txt_P2,"{cabinet}",Cab_Nom),"{societe}",IF($K$12781=0,"",INDEX(Clients!$E$2:$E$501,$K$12781)&amp;"")),"{date_effet}",$K$12783),"{hausse}",$K$12784),"{civilite}",$K$12782)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803" s="37"/>
      <c r="D12803" s="37"/>
      <c r="E12803" s="37"/>
      <c r="F12803" s="37"/>
      <c r="J12803" s="25"/>
      <c r="K12803" s="25"/>
      <c r="L12803" s="25"/>
      <c r="M12803" s="25"/>
      <c r="N12803" s="25"/>
      <c r="O12803" s="25"/>
    </row>
    <row r="12804" customFormat="false" ht="63" hidden="false" customHeight="true" outlineLevel="0" collapsed="false">
      <c r="B12804" s="37" t="str">
        <f aca="false">SUBSTITUTE(SUBSTITUTE(SUBSTITUTE(SUBSTITUTE(SUBSTITUTE(Txt_P3,"{cabinet}",Cab_Nom),"{societe}",IF($K$12781=0,"",INDEX(Clients!$E$2:$E$501,$K$12781)&amp;"")),"{date_effet}",$K$12783),"{hausse}",$K$12784),"{civilite}",$K$12782)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804" s="37"/>
      <c r="D12804" s="37"/>
      <c r="E12804" s="37"/>
      <c r="F12804" s="37"/>
      <c r="J12804" s="25"/>
      <c r="K12804" s="25"/>
      <c r="L12804" s="25"/>
      <c r="M12804" s="25"/>
      <c r="N12804" s="25"/>
      <c r="O12804" s="25"/>
    </row>
    <row r="12805" customFormat="false" ht="24" hidden="false" customHeight="true" outlineLevel="0" collapsed="false">
      <c r="B12805" s="37" t="str">
        <f aca="false">SUBSTITUTE(SUBSTITUTE(SUBSTITUTE(SUBSTITUTE(SUBSTITUTE(Txt_P4,"{cabinet}",Cab_Nom),"{societe}",IF($K$12781=0,"",INDEX(Clients!$E$2:$E$501,$K$12781)&amp;"")),"{date_effet}",$K$12783),"{hausse}",$K$12784),"{civilite}",$K$12782)</f>
        <v>À compter du 1er janvier 2027, vos honoraires annuels hors taxes évolueront ainsi (évolution globale : ) :</v>
      </c>
      <c r="C12805" s="37"/>
      <c r="D12805" s="37"/>
      <c r="E12805" s="37"/>
      <c r="F12805" s="37"/>
      <c r="J12805" s="25"/>
      <c r="K12805" s="25"/>
      <c r="L12805" s="25"/>
      <c r="M12805" s="25"/>
      <c r="N12805" s="25"/>
      <c r="O12805" s="25"/>
    </row>
    <row r="12806" customFormat="false" ht="3.75" hidden="false" customHeight="true" outlineLevel="0" collapsed="false">
      <c r="B12806" s="10"/>
      <c r="C12806" s="10"/>
      <c r="D12806" s="10"/>
      <c r="E12806" s="10"/>
      <c r="F12806" s="10"/>
      <c r="J12806" s="25"/>
      <c r="K12806" s="25"/>
      <c r="L12806" s="25"/>
      <c r="M12806" s="25"/>
      <c r="N12806" s="25"/>
      <c r="O12806" s="25"/>
    </row>
    <row r="12807" customFormat="false" ht="18" hidden="false" customHeight="true" outlineLevel="0" collapsed="false">
      <c r="B12807" s="38" t="s">
        <v>148</v>
      </c>
      <c r="C12807" s="39" t="s">
        <v>149</v>
      </c>
      <c r="D12807" s="39" t="s">
        <v>150</v>
      </c>
      <c r="E12807" s="39" t="s">
        <v>151</v>
      </c>
      <c r="F12807" s="39" t="s">
        <v>109</v>
      </c>
      <c r="J12807" s="25" t="s">
        <v>152</v>
      </c>
      <c r="K12807" s="25" t="s">
        <v>153</v>
      </c>
      <c r="L12807" s="25" t="s">
        <v>154</v>
      </c>
      <c r="M12807" s="25" t="s">
        <v>155</v>
      </c>
      <c r="N12807" s="25" t="s">
        <v>156</v>
      </c>
      <c r="O12807" s="25" t="s">
        <v>157</v>
      </c>
    </row>
    <row r="12808" customFormat="false" ht="16.5" hidden="false" customHeight="true" outlineLevel="0" collapsed="false">
      <c r="B12808" s="40" t="str">
        <f aca="false">IFERROR(INDEX($J$12808:$J$12811,MATCH($O12808,$N$12808:$N$12811,0)),"")</f>
        <v/>
      </c>
      <c r="C12808" s="41" t="str">
        <f aca="false">IFERROR(INDEX($K$12808:$K$12811,MATCH($O12808,$N$12808:$N$12811,0)),"")</f>
        <v/>
      </c>
      <c r="D12808" s="42" t="str">
        <f aca="false">IF(OR(E12808="",N(C12808)=0),"",E12808/C12808-1)</f>
        <v/>
      </c>
      <c r="E12808" s="41" t="str">
        <f aca="false">IFERROR(INDEX($L$12808:$L$12811,MATCH($O12808,$N$12808:$N$12811,0)),"")</f>
        <v/>
      </c>
      <c r="F12808" s="41" t="str">
        <f aca="false">IF(E12808="","",E12808-C12808)</f>
        <v/>
      </c>
      <c r="J12808" s="25" t="str">
        <f aca="false">Lib_Compta</f>
        <v>Mission comptable (tenue, révision, bilan, liasse fiscale)</v>
      </c>
      <c r="K12808" s="25" t="n">
        <f aca="false">IF($K$12781=0,0,N(INDEX(Clients!$K$2:$K$501,$K$12781)))</f>
        <v>0</v>
      </c>
      <c r="L12808" s="25" t="n">
        <f aca="false">IF($K$12781=0,0,N(INDEX(Clients!$P$2:$P$501,$K$12781)))</f>
        <v>0</v>
      </c>
      <c r="M12808" s="25" t="n">
        <f aca="false">IF(OR(K12808&lt;&gt;0,L12808&lt;&gt;0),1,0)</f>
        <v>0</v>
      </c>
      <c r="N12808" s="25" t="str">
        <f aca="false">IF(M12808=1,SUM($M$12808:M12808),"")</f>
        <v/>
      </c>
      <c r="O12808" s="25" t="n">
        <v>1</v>
      </c>
    </row>
    <row r="12809" customFormat="false" ht="16.5" hidden="false" customHeight="true" outlineLevel="0" collapsed="false">
      <c r="B12809" s="40" t="str">
        <f aca="false">IFERROR(INDEX($J$12808:$J$12811,MATCH($O12809,$N$12808:$N$12811,0)),"")</f>
        <v/>
      </c>
      <c r="C12809" s="41" t="str">
        <f aca="false">IFERROR(INDEX($K$12808:$K$12811,MATCH($O12809,$N$12808:$N$12811,0)),"")</f>
        <v/>
      </c>
      <c r="D12809" s="42" t="str">
        <f aca="false">IF(OR(E12809="",N(C12809)=0),"",E12809/C12809-1)</f>
        <v/>
      </c>
      <c r="E12809" s="41" t="str">
        <f aca="false">IFERROR(INDEX($L$12808:$L$12811,MATCH($O12809,$N$12808:$N$12811,0)),"")</f>
        <v/>
      </c>
      <c r="F12809" s="41" t="str">
        <f aca="false">IF(E12809="","",E12809-C12809)</f>
        <v/>
      </c>
      <c r="J12809" s="25" t="str">
        <f aca="false">Lib_Paye</f>
        <v>Mission sociale (bulletins de paie, DSN, déclarations sociales)</v>
      </c>
      <c r="K12809" s="25" t="n">
        <f aca="false">IF($K$12781=0,0,N(INDEX(Clients!$L$2:$L$501,$K$12781)))</f>
        <v>0</v>
      </c>
      <c r="L12809" s="25" t="n">
        <f aca="false">IF($K$12781=0,0,N(INDEX(Clients!$Q$2:$Q$501,$K$12781)))</f>
        <v>0</v>
      </c>
      <c r="M12809" s="25" t="n">
        <f aca="false">IF(OR(K12809&lt;&gt;0,L12809&lt;&gt;0),1,0)</f>
        <v>0</v>
      </c>
      <c r="N12809" s="25" t="str">
        <f aca="false">IF(M12809=1,SUM($M$12808:M12809),"")</f>
        <v/>
      </c>
      <c r="O12809" s="25" t="n">
        <v>2</v>
      </c>
    </row>
    <row r="12810" customFormat="false" ht="16.5" hidden="false" customHeight="true" outlineLevel="0" collapsed="false">
      <c r="B12810" s="40" t="str">
        <f aca="false">IFERROR(INDEX($J$12808:$J$12811,MATCH($O12810,$N$12808:$N$12811,0)),"")</f>
        <v/>
      </c>
      <c r="C12810" s="41" t="str">
        <f aca="false">IFERROR(INDEX($K$12808:$K$12811,MATCH($O12810,$N$12808:$N$12811,0)),"")</f>
        <v/>
      </c>
      <c r="D12810" s="42" t="str">
        <f aca="false">IF(OR(E12810="",N(C12810)=0),"",E12810/C12810-1)</f>
        <v/>
      </c>
      <c r="E12810" s="41" t="str">
        <f aca="false">IFERROR(INDEX($L$12808:$L$12811,MATCH($O12810,$N$12808:$N$12811,0)),"")</f>
        <v/>
      </c>
      <c r="F12810" s="41" t="str">
        <f aca="false">IF(E12810="","",E12810-C12810)</f>
        <v/>
      </c>
      <c r="J12810" s="25" t="str">
        <f aca="false">Lib_Jur</f>
        <v>Mission juridique (approbation des comptes, secrétariat juridique)</v>
      </c>
      <c r="K12810" s="25" t="n">
        <f aca="false">IF($K$12781=0,0,N(INDEX(Clients!$M$2:$M$501,$K$12781)))</f>
        <v>0</v>
      </c>
      <c r="L12810" s="25" t="n">
        <f aca="false">IF($K$12781=0,0,N(INDEX(Clients!$R$2:$R$501,$K$12781)))</f>
        <v>0</v>
      </c>
      <c r="M12810" s="25" t="n">
        <f aca="false">IF(OR(K12810&lt;&gt;0,L12810&lt;&gt;0),1,0)</f>
        <v>0</v>
      </c>
      <c r="N12810" s="25" t="str">
        <f aca="false">IF(M12810=1,SUM($M$12808:M12810),"")</f>
        <v/>
      </c>
      <c r="O12810" s="25" t="n">
        <v>3</v>
      </c>
    </row>
    <row r="12811" customFormat="false" ht="16.5" hidden="false" customHeight="true" outlineLevel="0" collapsed="false">
      <c r="B12811" s="40" t="str">
        <f aca="false">IFERROR(INDEX($J$12808:$J$12811,MATCH($O12811,$N$12808:$N$12811,0)),"")</f>
        <v/>
      </c>
      <c r="C12811" s="41" t="str">
        <f aca="false">IFERROR(INDEX($K$12808:$K$12811,MATCH($O12811,$N$12808:$N$12811,0)),"")</f>
        <v/>
      </c>
      <c r="D12811" s="42" t="str">
        <f aca="false">IF(OR(E12811="",N(C12811)=0),"",E12811/C12811-1)</f>
        <v/>
      </c>
      <c r="E12811" s="41" t="str">
        <f aca="false">IFERROR(INDEX($L$12808:$L$12811,MATCH($O12811,$N$12808:$N$12811,0)),"")</f>
        <v/>
      </c>
      <c r="F12811" s="41" t="str">
        <f aca="false">IF(E12811="","",E12811-C12811)</f>
        <v/>
      </c>
      <c r="J12811" s="25" t="str">
        <f aca="false">Lib_PA</f>
        <v>Plateforme agréée – facturation électronique</v>
      </c>
      <c r="K12811" s="25" t="n">
        <f aca="false">IF($K$12781=0,0,N(INDEX(Clients!$N$2:$N$501,$K$12781)))</f>
        <v>0</v>
      </c>
      <c r="L12811" s="25" t="n">
        <f aca="false">IF($K$12781=0,0,N(INDEX(Clients!$S$2:$S$501,$K$12781)))</f>
        <v>0</v>
      </c>
      <c r="M12811" s="25" t="n">
        <f aca="false">IF(OR(K12811&lt;&gt;0,L12811&lt;&gt;0),1,0)</f>
        <v>0</v>
      </c>
      <c r="N12811" s="25" t="str">
        <f aca="false">IF(M12811=1,SUM($M$12808:M12811),"")</f>
        <v/>
      </c>
      <c r="O12811" s="25" t="n">
        <v>4</v>
      </c>
    </row>
    <row r="12812" customFormat="false" ht="18" hidden="false" customHeight="true" outlineLevel="0" collapsed="false">
      <c r="B12812" s="43" t="s">
        <v>158</v>
      </c>
      <c r="C12812" s="44" t="n">
        <f aca="false">SUM(K12808:K12811)</f>
        <v>0</v>
      </c>
      <c r="D12812" s="45" t="str">
        <f aca="false">IF(N(C12812)=0,"",E12812/C12812-1)</f>
        <v/>
      </c>
      <c r="E12812" s="44" t="n">
        <f aca="false">SUM(L12808:L12811)</f>
        <v>0</v>
      </c>
      <c r="F12812" s="44" t="n">
        <f aca="false">E12812-C12812</f>
        <v>0</v>
      </c>
    </row>
    <row r="12813" customFormat="false" ht="15" hidden="false" customHeight="false" outlineLevel="0" collapsed="false">
      <c r="B12813" s="46" t="str">
        <f aca="false">IF(N(Nb_Mensualites)=0,"","Soit "&amp;FIXED(E12812/Nb_Mensualites,2)&amp;" € HT par échéance ("&amp;Nb_Mensualites&amp;" échéances), "&amp;FIXED(E12812/Nb_Mensualites*(1+Taux_TVA),2)&amp;" € TTC.")</f>
        <v>Soit 0.00 € HT par échéance (12 échéances), 0.00 € TTC.</v>
      </c>
      <c r="C12813" s="46"/>
      <c r="D12813" s="46"/>
      <c r="E12813" s="46"/>
      <c r="F12813" s="46"/>
    </row>
    <row r="12814" customFormat="false" ht="7.5" hidden="false" customHeight="true" outlineLevel="0" collapsed="false">
      <c r="B12814" s="10"/>
      <c r="C12814" s="10"/>
      <c r="D12814" s="10"/>
      <c r="E12814" s="10"/>
      <c r="F12814" s="10"/>
    </row>
    <row r="12815" customFormat="false" ht="36.75" hidden="false" customHeight="true" outlineLevel="0" collapsed="false">
      <c r="B12815" s="37" t="str">
        <f aca="false">SUBSTITUTE(SUBSTITUTE(SUBSTITUTE(SUBSTITUTE(SUBSTITUTE(Txt_P5,"{cabinet}",Cab_Nom),"{societe}",IF($K$12781=0,"",INDEX(Clients!$E$2:$E$501,$K$12781)&amp;"")),"{date_effet}",$K$12783),"{hausse}",$K$12784),"{civilite}",$K$12782)</f>
        <v>Les autres conditions de votre lettre de mission demeurent inchangées. Les nouveaux montants seront appliqués automatiquement sur vos prochaines factures et échéances de prélèvement.</v>
      </c>
      <c r="C12815" s="37"/>
      <c r="D12815" s="37"/>
      <c r="E12815" s="37"/>
      <c r="F12815" s="37"/>
    </row>
    <row r="12816" customFormat="false" ht="36.75" hidden="false" customHeight="true" outlineLevel="0" collapsed="false">
      <c r="B12816" s="37" t="str">
        <f aca="false">SUBSTITUTE(SUBSTITUTE(SUBSTITUTE(SUBSTITUTE(SUBSTITUTE(Txt_P6,"{cabinet}",Cab_Nom),"{societe}",IF($K$12781=0,"",INDEX(Clients!$E$2:$E$501,$K$12781)&amp;"")),"{date_effet}",$K$12783),"{hausse}",$K$12784),"{civilite}",$K$12782)</f>
        <v>Votre interlocuteur habituel reste à votre entière disposition pour répondre à vos questions et faire le point sur l'évolution de vos besoins.</v>
      </c>
      <c r="C12816" s="37"/>
      <c r="D12816" s="37"/>
      <c r="E12816" s="37"/>
      <c r="F12816" s="37"/>
    </row>
    <row r="12817" customFormat="false" ht="24" hidden="false" customHeight="true" outlineLevel="0" collapsed="false">
      <c r="B12817" s="37" t="str">
        <f aca="false">SUBSTITUTE(SUBSTITUTE(SUBSTITUTE(SUBSTITUTE(SUBSTITUTE(Txt_Politesse,"{cabinet}",Cab_Nom),"{societe}",IF($K$12781=0,"",INDEX(Clients!$E$2:$E$501,$K$12781)&amp;"")),"{date_effet}",$K$12783),"{hausse}",$K$12784),"{civilite}",$K$12782)</f>
        <v>Nous vous prions d'agréer, Madame, Monsieur, l'expression de nos salutations distinguées.</v>
      </c>
      <c r="C12817" s="37"/>
      <c r="D12817" s="37"/>
      <c r="E12817" s="37"/>
      <c r="F12817" s="37"/>
    </row>
    <row r="12818" customFormat="false" ht="15" hidden="false" customHeight="false" outlineLevel="0" collapsed="false">
      <c r="B12818" s="10"/>
      <c r="C12818" s="10"/>
      <c r="D12818" s="10"/>
      <c r="E12818" s="10"/>
      <c r="F12818" s="10"/>
    </row>
    <row r="12819" customFormat="false" ht="15" hidden="false" customHeight="false" outlineLevel="0" collapsed="false">
      <c r="B12819" s="10"/>
      <c r="C12819" s="10"/>
      <c r="D12819" s="34" t="str">
        <f aca="false">Signataire</f>
        <v>Prénom NOM</v>
      </c>
      <c r="E12819" s="34"/>
      <c r="F12819" s="34"/>
    </row>
    <row r="12820" customFormat="false" ht="15" hidden="false" customHeight="false" outlineLevel="0" collapsed="false">
      <c r="B12820" s="10"/>
      <c r="C12820" s="10"/>
      <c r="D12820" s="47" t="str">
        <f aca="false">Signataire_Titre</f>
        <v>Expert-comptable associé</v>
      </c>
      <c r="E12820" s="47"/>
      <c r="F12820" s="47"/>
    </row>
    <row r="12821" customFormat="false" ht="15.75" hidden="false" customHeight="true" outlineLevel="0" collapsed="false">
      <c r="B12821" s="10"/>
      <c r="C12821" s="10"/>
      <c r="D12821" s="10"/>
      <c r="E12821" s="10"/>
      <c r="F12821" s="10"/>
    </row>
    <row r="12822" customFormat="false" ht="15.75" hidden="false" customHeight="true" outlineLevel="0" collapsed="false">
      <c r="B12822" s="10"/>
      <c r="C12822" s="10"/>
      <c r="D12822" s="10"/>
      <c r="E12822" s="10"/>
      <c r="F12822" s="10"/>
    </row>
    <row r="12823" customFormat="false" ht="15.75" hidden="false" customHeight="true" outlineLevel="0" collapsed="false">
      <c r="B12823" s="10"/>
      <c r="C12823" s="10"/>
      <c r="D12823" s="10"/>
      <c r="E12823" s="10"/>
      <c r="F12823" s="10"/>
    </row>
    <row r="12824" customFormat="false" ht="15.75" hidden="false" customHeight="true" outlineLevel="0" collapsed="false">
      <c r="B12824" s="10"/>
      <c r="C12824" s="10"/>
      <c r="D12824" s="10"/>
      <c r="E12824" s="10"/>
      <c r="F12824" s="10"/>
    </row>
    <row r="12825" customFormat="false" ht="24" hidden="false" customHeight="true" outlineLevel="0" collapsed="false">
      <c r="B12825" s="48" t="str">
        <f aca="false">Cab_Mentions</f>
        <v>ALTHO EXPERTISE · SAS au capital de 10 000 € · RCS Pontoise 919 706 325 · TVA FR62919706325 · Société d'expertise comptable inscrite au Tableau de l'Ordre des experts-comptables de Paris Île-de-France</v>
      </c>
      <c r="C12825" s="48"/>
      <c r="D12825" s="48"/>
      <c r="E12825" s="48"/>
      <c r="F12825" s="48"/>
    </row>
    <row r="12826" customFormat="false" ht="15" hidden="false" customHeight="false" outlineLevel="0" collapsed="false">
      <c r="B12826" s="10"/>
      <c r="C12826" s="10"/>
      <c r="D12826" s="10"/>
      <c r="E12826" s="10"/>
      <c r="F12826" s="10"/>
      <c r="J12826" s="25" t="s">
        <v>142</v>
      </c>
      <c r="K12826" s="25" t="n">
        <f aca="false">IFERROR(MATCH(286,Clients!$Z$2:$Z$501,0),0)</f>
        <v>0</v>
      </c>
      <c r="L12826" s="25"/>
      <c r="M12826" s="25"/>
      <c r="N12826" s="25"/>
      <c r="O12826" s="25"/>
    </row>
    <row r="12827" customFormat="false" ht="21.75" hidden="false" customHeight="true" outlineLevel="0" collapsed="false">
      <c r="B12827" s="26" t="str">
        <f aca="false">Cab_Nom</f>
        <v>ALTHO EXPERTISE</v>
      </c>
      <c r="C12827" s="26"/>
      <c r="D12827" s="10"/>
      <c r="E12827" s="27" t="str">
        <f aca="false">IF($K$12826=0,"","Réf. client : "&amp;INDEX(Clients!$A$2:$A$501,$K$12826))</f>
        <v/>
      </c>
      <c r="F12827" s="27"/>
      <c r="J12827" s="25" t="s">
        <v>144</v>
      </c>
      <c r="K12827" s="25" t="str">
        <f aca="false">IF(IF($K$12826=0,"",INDEX(Clients!$B$2:$B$501,$K$12826)&amp;"")="Mme","Madame",IF(IF($K$12826=0,"",INDEX(Clients!$B$2:$B$501,$K$12826)&amp;"")="M.","Monsieur","Madame, Monsieur"))</f>
        <v>Madame, Monsieur</v>
      </c>
      <c r="L12827" s="25"/>
      <c r="M12827" s="25"/>
      <c r="N12827" s="25"/>
      <c r="O12827" s="25"/>
    </row>
    <row r="12828" customFormat="false" ht="15" hidden="false" customHeight="false" outlineLevel="0" collapsed="false">
      <c r="B12828" s="29" t="str">
        <f aca="false">Cab_Adr1</f>
        <v>141 rue Charles de Gaulle</v>
      </c>
      <c r="C12828" s="29"/>
      <c r="D12828" s="10"/>
      <c r="E12828" s="10"/>
      <c r="F12828" s="10"/>
      <c r="J12828" s="25" t="s">
        <v>145</v>
      </c>
      <c r="K12828" s="25" t="str">
        <f aca="false">DAY(Date_Effet)&amp;IF(DAY(Date_Effet)=1,"er","")&amp;" "&amp;INDEX(Liste_Mois,MONTH(Date_Effet))&amp;" "&amp;YEAR(Date_Effet)</f>
        <v>1er janvier 2027</v>
      </c>
      <c r="L12828" s="25"/>
      <c r="M12828" s="25"/>
      <c r="N12828" s="25"/>
      <c r="O12828" s="25"/>
    </row>
    <row r="12829" customFormat="false" ht="15" hidden="false" customHeight="false" outlineLevel="0" collapsed="false">
      <c r="B12829" s="29" t="str">
        <f aca="false">Cab_CPVille</f>
        <v>95130 LE PLESSIS-BOUCHARD</v>
      </c>
      <c r="C12829" s="29"/>
      <c r="D12829" s="10"/>
      <c r="E12829" s="10"/>
      <c r="F12829" s="10"/>
      <c r="J12829" s="25" t="s">
        <v>146</v>
      </c>
      <c r="K12829" s="25" t="str">
        <f aca="false">IF(SUM($K$12853:$K$12856)=0,"",FIXED((SUM($L$12853:$L$12856)/SUM($K$12853:$K$12856)-1)*100,1)&amp;" %")</f>
        <v/>
      </c>
      <c r="L12829" s="25"/>
      <c r="M12829" s="25"/>
      <c r="N12829" s="25"/>
      <c r="O12829" s="25"/>
    </row>
    <row r="12830" customFormat="false" ht="15" hidden="false" customHeight="false" outlineLevel="0" collapsed="false">
      <c r="B12830" s="29" t="str">
        <f aca="false">Cab_Contact</f>
        <v>Tél. 01 34 14 53 45  ·  altho@altho-experts.com  ·  altho-experts.com</v>
      </c>
      <c r="C12830" s="29"/>
      <c r="D12830" s="10"/>
      <c r="E12830" s="10"/>
      <c r="F12830" s="10"/>
      <c r="J12830" s="25"/>
      <c r="K12830" s="25"/>
      <c r="L12830" s="25"/>
      <c r="M12830" s="25"/>
      <c r="N12830" s="25"/>
      <c r="O12830" s="25"/>
    </row>
    <row r="12831" customFormat="false" ht="6" hidden="false" customHeight="true" outlineLevel="0" collapsed="false">
      <c r="B12831" s="32"/>
      <c r="C12831" s="32"/>
      <c r="D12831" s="32"/>
      <c r="E12831" s="32"/>
      <c r="F12831" s="32"/>
      <c r="J12831" s="25"/>
      <c r="K12831" s="25"/>
      <c r="L12831" s="25"/>
      <c r="M12831" s="25"/>
      <c r="N12831" s="25"/>
      <c r="O12831" s="25"/>
    </row>
    <row r="12832" customFormat="false" ht="13.5" hidden="false" customHeight="true" outlineLevel="0" collapsed="false">
      <c r="B12832" s="10"/>
      <c r="C12832" s="10"/>
      <c r="D12832" s="10"/>
      <c r="E12832" s="10"/>
      <c r="F12832" s="10"/>
      <c r="J12832" s="25"/>
      <c r="K12832" s="25"/>
      <c r="L12832" s="25"/>
      <c r="M12832" s="25"/>
      <c r="N12832" s="25"/>
      <c r="O12832" s="25"/>
    </row>
    <row r="12833" customFormat="false" ht="13.5" hidden="false" customHeight="true" outlineLevel="0" collapsed="false">
      <c r="B12833" s="10"/>
      <c r="C12833" s="10"/>
      <c r="D12833" s="10"/>
      <c r="E12833" s="10"/>
      <c r="F12833" s="10"/>
      <c r="J12833" s="25"/>
      <c r="K12833" s="25"/>
      <c r="L12833" s="25"/>
      <c r="M12833" s="25"/>
      <c r="N12833" s="25"/>
      <c r="O12833" s="25"/>
    </row>
    <row r="12834" customFormat="false" ht="13.5" hidden="false" customHeight="true" outlineLevel="0" collapsed="false">
      <c r="B12834" s="10"/>
      <c r="C12834" s="10"/>
      <c r="D12834" s="10"/>
      <c r="E12834" s="10"/>
      <c r="F12834" s="10"/>
      <c r="J12834" s="25"/>
      <c r="K12834" s="25"/>
      <c r="L12834" s="25"/>
      <c r="M12834" s="25"/>
      <c r="N12834" s="25"/>
      <c r="O12834" s="25"/>
    </row>
    <row r="12835" customFormat="false" ht="15" hidden="false" customHeight="true" outlineLevel="0" collapsed="false">
      <c r="B12835" s="10"/>
      <c r="C12835" s="10"/>
      <c r="D12835" s="34" t="str">
        <f aca="false">IF($K$12826=0,"",INDEX(Clients!$E$2:$E$501,$K$12826)&amp;"")</f>
        <v/>
      </c>
      <c r="E12835" s="34"/>
      <c r="F12835" s="34"/>
      <c r="J12835" s="25"/>
      <c r="K12835" s="25"/>
      <c r="L12835" s="25"/>
      <c r="M12835" s="25"/>
      <c r="N12835" s="25"/>
      <c r="O12835" s="25"/>
    </row>
    <row r="12836" customFormat="false" ht="15" hidden="false" customHeight="true" outlineLevel="0" collapsed="false">
      <c r="B12836" s="10"/>
      <c r="C12836" s="10"/>
      <c r="D12836" s="35" t="str">
        <f aca="false">IF(IF($K$12826=0,"",INDEX(Clients!$D$2:$D$501,$K$12826)&amp;"")="","","À l'attention de "&amp;TRIM(IF($K$12826=0,"",INDEX(Clients!$B$2:$B$501,$K$12826)&amp;"")&amp;" "&amp;IF($K$12826=0,"",INDEX(Clients!$C$2:$C$501,$K$12826)&amp;"")&amp;" "&amp;IF($K$12826=0,"",INDEX(Clients!$D$2:$D$501,$K$12826)&amp;"")))</f>
        <v/>
      </c>
      <c r="E12836" s="35"/>
      <c r="F12836" s="35"/>
      <c r="J12836" s="25"/>
      <c r="K12836" s="25"/>
      <c r="L12836" s="25"/>
      <c r="M12836" s="25"/>
      <c r="N12836" s="25"/>
      <c r="O12836" s="25"/>
    </row>
    <row r="12837" customFormat="false" ht="15" hidden="false" customHeight="true" outlineLevel="0" collapsed="false">
      <c r="B12837" s="10"/>
      <c r="C12837" s="10"/>
      <c r="D12837" s="35" t="str">
        <f aca="false">IF($K$12826=0,"",INDEX(Clients!$F$2:$F$501,$K$12826)&amp;"")</f>
        <v/>
      </c>
      <c r="E12837" s="35"/>
      <c r="F12837" s="35"/>
      <c r="J12837" s="25"/>
      <c r="K12837" s="25"/>
      <c r="L12837" s="25"/>
      <c r="M12837" s="25"/>
      <c r="N12837" s="25"/>
      <c r="O12837" s="25"/>
    </row>
    <row r="12838" customFormat="false" ht="15" hidden="false" customHeight="true" outlineLevel="0" collapsed="false">
      <c r="B12838" s="10"/>
      <c r="C12838" s="10"/>
      <c r="D12838" s="35" t="str">
        <f aca="false">IF(IF($K$12826=0,"",INDEX(Clients!$G$2:$G$501,$K$12826)&amp;"")="",TRIM(IF($K$12826=0,"",INDEX(Clients!$H$2:$H$501,$K$12826)&amp;"")&amp;" "&amp;UPPER(IF($K$12826=0,"",INDEX(Clients!$I$2:$I$501,$K$12826)&amp;""))),IF($K$12826=0,"",INDEX(Clients!$G$2:$G$501,$K$12826)&amp;""))</f>
        <v/>
      </c>
      <c r="E12838" s="35"/>
      <c r="F12838" s="35"/>
      <c r="J12838" s="25"/>
      <c r="K12838" s="25"/>
      <c r="L12838" s="25"/>
      <c r="M12838" s="25"/>
      <c r="N12838" s="25"/>
      <c r="O12838" s="25"/>
    </row>
    <row r="12839" customFormat="false" ht="15" hidden="false" customHeight="true" outlineLevel="0" collapsed="false">
      <c r="B12839" s="10"/>
      <c r="C12839" s="10"/>
      <c r="D12839" s="35" t="str">
        <f aca="false">IF(IF($K$12826=0,"",INDEX(Clients!$G$2:$G$501,$K$12826)&amp;"")="","",TRIM(IF($K$12826=0,"",INDEX(Clients!$H$2:$H$501,$K$12826)&amp;"")&amp;" "&amp;UPPER(IF($K$12826=0,"",INDEX(Clients!$I$2:$I$501,$K$12826)&amp;""))))</f>
        <v/>
      </c>
      <c r="E12839" s="35"/>
      <c r="F12839" s="35"/>
      <c r="J12839" s="25"/>
      <c r="K12839" s="25"/>
      <c r="L12839" s="25"/>
      <c r="M12839" s="25"/>
      <c r="N12839" s="25"/>
      <c r="O12839" s="25"/>
    </row>
    <row r="12840" customFormat="false" ht="25.5" hidden="false" customHeight="true" outlineLevel="0" collapsed="false">
      <c r="B12840" s="10"/>
      <c r="C12840" s="10"/>
      <c r="D12840" s="10"/>
      <c r="E12840" s="10"/>
      <c r="F12840" s="10"/>
      <c r="J12840" s="25"/>
      <c r="K12840" s="25"/>
      <c r="L12840" s="25"/>
      <c r="M12840" s="25"/>
      <c r="N12840" s="25"/>
      <c r="O12840" s="25"/>
    </row>
    <row r="12841" customFormat="false" ht="15" hidden="false" customHeight="false" outlineLevel="0" collapsed="false">
      <c r="B12841" s="10"/>
      <c r="C12841" s="10"/>
      <c r="D12841" s="36" t="str">
        <f aca="false">Cab_Ville&amp;", le "&amp;DAY(Date_Courrier)&amp;IF(DAY(Date_Courrier)=1,"er","")&amp;" "&amp;INDEX(Liste_Mois,MONTH(Date_Courrier))&amp;" "&amp;YEAR(Date_Courrier)</f>
        <v>Le Plessis-Bouchard, le 22 septembre 2026</v>
      </c>
      <c r="E12841" s="36"/>
      <c r="F12841" s="36"/>
      <c r="J12841" s="25"/>
      <c r="K12841" s="25"/>
      <c r="L12841" s="25"/>
      <c r="M12841" s="25"/>
      <c r="N12841" s="25"/>
      <c r="O12841" s="25"/>
    </row>
    <row r="12842" customFormat="false" ht="19.5" hidden="false" customHeight="true" outlineLevel="0" collapsed="false">
      <c r="B12842" s="10"/>
      <c r="C12842" s="10"/>
      <c r="D12842" s="10"/>
      <c r="E12842" s="10"/>
      <c r="F12842" s="10"/>
      <c r="J12842" s="25"/>
      <c r="K12842" s="25"/>
      <c r="L12842" s="25"/>
      <c r="M12842" s="25"/>
      <c r="N12842" s="25"/>
      <c r="O12842" s="25"/>
    </row>
    <row r="12843" customFormat="false" ht="15" hidden="false" customHeight="false" outlineLevel="0" collapsed="false">
      <c r="B12843" s="34" t="str">
        <f aca="false">SUBSTITUTE(SUBSTITUTE(SUBSTITUTE(SUBSTITUTE(SUBSTITUTE(Txt_Objet,"{cabinet}",Cab_Nom),"{societe}",IF($K$12826=0,"",INDEX(Clients!$E$2:$E$501,$K$12826)&amp;"")),"{date_effet}",$K$12828),"{hausse}",$K$12829),"{civilite}",$K$12827)</f>
        <v>Objet : révision de nos honoraires au 1er janvier 2027</v>
      </c>
      <c r="C12843" s="34"/>
      <c r="D12843" s="34"/>
      <c r="E12843" s="34"/>
      <c r="F12843" s="34"/>
      <c r="J12843" s="25"/>
      <c r="K12843" s="25"/>
      <c r="L12843" s="25"/>
      <c r="M12843" s="25"/>
      <c r="N12843" s="25"/>
      <c r="O12843" s="25"/>
    </row>
    <row r="12844" customFormat="false" ht="13.5" hidden="false" customHeight="true" outlineLevel="0" collapsed="false">
      <c r="B12844" s="10"/>
      <c r="C12844" s="10"/>
      <c r="D12844" s="10"/>
      <c r="E12844" s="10"/>
      <c r="F12844" s="10"/>
      <c r="J12844" s="25"/>
      <c r="K12844" s="25"/>
      <c r="L12844" s="25"/>
      <c r="M12844" s="25"/>
      <c r="N12844" s="25"/>
      <c r="O12844" s="25"/>
    </row>
    <row r="12845" customFormat="false" ht="15" hidden="false" customHeight="false" outlineLevel="0" collapsed="false">
      <c r="B12845" s="10" t="str">
        <f aca="false">$K$12827&amp;","</f>
        <v>Madame, Monsieur,</v>
      </c>
      <c r="C12845" s="10"/>
      <c r="D12845" s="10"/>
      <c r="E12845" s="10"/>
      <c r="F12845" s="10"/>
      <c r="J12845" s="25"/>
      <c r="K12845" s="25"/>
      <c r="L12845" s="25"/>
      <c r="M12845" s="25"/>
      <c r="N12845" s="25"/>
      <c r="O12845" s="25"/>
    </row>
    <row r="12846" customFormat="false" ht="6" hidden="false" customHeight="true" outlineLevel="0" collapsed="false">
      <c r="B12846" s="10"/>
      <c r="C12846" s="10"/>
      <c r="D12846" s="10"/>
      <c r="E12846" s="10"/>
      <c r="F12846" s="10"/>
      <c r="J12846" s="25"/>
      <c r="K12846" s="25"/>
      <c r="L12846" s="25"/>
      <c r="M12846" s="25"/>
      <c r="N12846" s="25"/>
      <c r="O12846" s="25"/>
    </row>
    <row r="12847" customFormat="false" ht="36.75" hidden="false" customHeight="true" outlineLevel="0" collapsed="false">
      <c r="B12847" s="37" t="str">
        <f aca="false">SUBSTITUTE(SUBSTITUTE(SUBSTITUTE(SUBSTITUTE(SUBSTITUTE(Txt_P1,"{cabinet}",Cab_Nom),"{societe}",IF($K$12826=0,"",INDEX(Clients!$E$2:$E$501,$K$12826)&amp;"")),"{date_effet}",$K$12828),"{hausse}",$K$12829),"{civilite}",$K$12827)</f>
        <v>Nous tenons tout d'abord à vous remercier pour la confiance que vous accordez à ALTHO EXPERTISE. Comme chaque année, et conformément aux dispositions de votre lettre de mission, nous procédons à la révision de nos honoraires.</v>
      </c>
      <c r="C12847" s="37"/>
      <c r="D12847" s="37"/>
      <c r="E12847" s="37"/>
      <c r="F12847" s="37"/>
      <c r="J12847" s="25"/>
      <c r="K12847" s="25"/>
      <c r="L12847" s="25"/>
      <c r="M12847" s="25"/>
      <c r="N12847" s="25"/>
      <c r="O12847" s="25"/>
    </row>
    <row r="12848" customFormat="false" ht="49.5" hidden="false" customHeight="true" outlineLevel="0" collapsed="false">
      <c r="B12848" s="37" t="str">
        <f aca="false">SUBSTITUTE(SUBSTITUTE(SUBSTITUTE(SUBSTITUTE(SUBSTITUTE(Txt_P2,"{cabinet}",Cab_Nom),"{societe}",IF($K$12826=0,"",INDEX(Clients!$E$2:$E$501,$K$12826)&amp;"")),"{date_effet}",$K$12828),"{hausse}",$K$12829),"{civilite}",$K$12827)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848" s="37"/>
      <c r="D12848" s="37"/>
      <c r="E12848" s="37"/>
      <c r="F12848" s="37"/>
      <c r="J12848" s="25"/>
      <c r="K12848" s="25"/>
      <c r="L12848" s="25"/>
      <c r="M12848" s="25"/>
      <c r="N12848" s="25"/>
      <c r="O12848" s="25"/>
    </row>
    <row r="12849" customFormat="false" ht="63" hidden="false" customHeight="true" outlineLevel="0" collapsed="false">
      <c r="B12849" s="37" t="str">
        <f aca="false">SUBSTITUTE(SUBSTITUTE(SUBSTITUTE(SUBSTITUTE(SUBSTITUTE(Txt_P3,"{cabinet}",Cab_Nom),"{societe}",IF($K$12826=0,"",INDEX(Clients!$E$2:$E$501,$K$12826)&amp;"")),"{date_effet}",$K$12828),"{hausse}",$K$12829),"{civilite}",$K$12827)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849" s="37"/>
      <c r="D12849" s="37"/>
      <c r="E12849" s="37"/>
      <c r="F12849" s="37"/>
      <c r="J12849" s="25"/>
      <c r="K12849" s="25"/>
      <c r="L12849" s="25"/>
      <c r="M12849" s="25"/>
      <c r="N12849" s="25"/>
      <c r="O12849" s="25"/>
    </row>
    <row r="12850" customFormat="false" ht="24" hidden="false" customHeight="true" outlineLevel="0" collapsed="false">
      <c r="B12850" s="37" t="str">
        <f aca="false">SUBSTITUTE(SUBSTITUTE(SUBSTITUTE(SUBSTITUTE(SUBSTITUTE(Txt_P4,"{cabinet}",Cab_Nom),"{societe}",IF($K$12826=0,"",INDEX(Clients!$E$2:$E$501,$K$12826)&amp;"")),"{date_effet}",$K$12828),"{hausse}",$K$12829),"{civilite}",$K$12827)</f>
        <v>À compter du 1er janvier 2027, vos honoraires annuels hors taxes évolueront ainsi (évolution globale : ) :</v>
      </c>
      <c r="C12850" s="37"/>
      <c r="D12850" s="37"/>
      <c r="E12850" s="37"/>
      <c r="F12850" s="37"/>
      <c r="J12850" s="25"/>
      <c r="K12850" s="25"/>
      <c r="L12850" s="25"/>
      <c r="M12850" s="25"/>
      <c r="N12850" s="25"/>
      <c r="O12850" s="25"/>
    </row>
    <row r="12851" customFormat="false" ht="3.75" hidden="false" customHeight="true" outlineLevel="0" collapsed="false">
      <c r="B12851" s="10"/>
      <c r="C12851" s="10"/>
      <c r="D12851" s="10"/>
      <c r="E12851" s="10"/>
      <c r="F12851" s="10"/>
      <c r="J12851" s="25"/>
      <c r="K12851" s="25"/>
      <c r="L12851" s="25"/>
      <c r="M12851" s="25"/>
      <c r="N12851" s="25"/>
      <c r="O12851" s="25"/>
    </row>
    <row r="12852" customFormat="false" ht="18" hidden="false" customHeight="true" outlineLevel="0" collapsed="false">
      <c r="B12852" s="38" t="s">
        <v>148</v>
      </c>
      <c r="C12852" s="39" t="s">
        <v>149</v>
      </c>
      <c r="D12852" s="39" t="s">
        <v>150</v>
      </c>
      <c r="E12852" s="39" t="s">
        <v>151</v>
      </c>
      <c r="F12852" s="39" t="s">
        <v>109</v>
      </c>
      <c r="J12852" s="25" t="s">
        <v>152</v>
      </c>
      <c r="K12852" s="25" t="s">
        <v>153</v>
      </c>
      <c r="L12852" s="25" t="s">
        <v>154</v>
      </c>
      <c r="M12852" s="25" t="s">
        <v>155</v>
      </c>
      <c r="N12852" s="25" t="s">
        <v>156</v>
      </c>
      <c r="O12852" s="25" t="s">
        <v>157</v>
      </c>
    </row>
    <row r="12853" customFormat="false" ht="16.5" hidden="false" customHeight="true" outlineLevel="0" collapsed="false">
      <c r="B12853" s="40" t="str">
        <f aca="false">IFERROR(INDEX($J$12853:$J$12856,MATCH($O12853,$N$12853:$N$12856,0)),"")</f>
        <v/>
      </c>
      <c r="C12853" s="41" t="str">
        <f aca="false">IFERROR(INDEX($K$12853:$K$12856,MATCH($O12853,$N$12853:$N$12856,0)),"")</f>
        <v/>
      </c>
      <c r="D12853" s="42" t="str">
        <f aca="false">IF(OR(E12853="",N(C12853)=0),"",E12853/C12853-1)</f>
        <v/>
      </c>
      <c r="E12853" s="41" t="str">
        <f aca="false">IFERROR(INDEX($L$12853:$L$12856,MATCH($O12853,$N$12853:$N$12856,0)),"")</f>
        <v/>
      </c>
      <c r="F12853" s="41" t="str">
        <f aca="false">IF(E12853="","",E12853-C12853)</f>
        <v/>
      </c>
      <c r="J12853" s="25" t="str">
        <f aca="false">Lib_Compta</f>
        <v>Mission comptable (tenue, révision, bilan, liasse fiscale)</v>
      </c>
      <c r="K12853" s="25" t="n">
        <f aca="false">IF($K$12826=0,0,N(INDEX(Clients!$K$2:$K$501,$K$12826)))</f>
        <v>0</v>
      </c>
      <c r="L12853" s="25" t="n">
        <f aca="false">IF($K$12826=0,0,N(INDEX(Clients!$P$2:$P$501,$K$12826)))</f>
        <v>0</v>
      </c>
      <c r="M12853" s="25" t="n">
        <f aca="false">IF(OR(K12853&lt;&gt;0,L12853&lt;&gt;0),1,0)</f>
        <v>0</v>
      </c>
      <c r="N12853" s="25" t="str">
        <f aca="false">IF(M12853=1,SUM($M$12853:M12853),"")</f>
        <v/>
      </c>
      <c r="O12853" s="25" t="n">
        <v>1</v>
      </c>
    </row>
    <row r="12854" customFormat="false" ht="16.5" hidden="false" customHeight="true" outlineLevel="0" collapsed="false">
      <c r="B12854" s="40" t="str">
        <f aca="false">IFERROR(INDEX($J$12853:$J$12856,MATCH($O12854,$N$12853:$N$12856,0)),"")</f>
        <v/>
      </c>
      <c r="C12854" s="41" t="str">
        <f aca="false">IFERROR(INDEX($K$12853:$K$12856,MATCH($O12854,$N$12853:$N$12856,0)),"")</f>
        <v/>
      </c>
      <c r="D12854" s="42" t="str">
        <f aca="false">IF(OR(E12854="",N(C12854)=0),"",E12854/C12854-1)</f>
        <v/>
      </c>
      <c r="E12854" s="41" t="str">
        <f aca="false">IFERROR(INDEX($L$12853:$L$12856,MATCH($O12854,$N$12853:$N$12856,0)),"")</f>
        <v/>
      </c>
      <c r="F12854" s="41" t="str">
        <f aca="false">IF(E12854="","",E12854-C12854)</f>
        <v/>
      </c>
      <c r="J12854" s="25" t="str">
        <f aca="false">Lib_Paye</f>
        <v>Mission sociale (bulletins de paie, DSN, déclarations sociales)</v>
      </c>
      <c r="K12854" s="25" t="n">
        <f aca="false">IF($K$12826=0,0,N(INDEX(Clients!$L$2:$L$501,$K$12826)))</f>
        <v>0</v>
      </c>
      <c r="L12854" s="25" t="n">
        <f aca="false">IF($K$12826=0,0,N(INDEX(Clients!$Q$2:$Q$501,$K$12826)))</f>
        <v>0</v>
      </c>
      <c r="M12854" s="25" t="n">
        <f aca="false">IF(OR(K12854&lt;&gt;0,L12854&lt;&gt;0),1,0)</f>
        <v>0</v>
      </c>
      <c r="N12854" s="25" t="str">
        <f aca="false">IF(M12854=1,SUM($M$12853:M12854),"")</f>
        <v/>
      </c>
      <c r="O12854" s="25" t="n">
        <v>2</v>
      </c>
    </row>
    <row r="12855" customFormat="false" ht="16.5" hidden="false" customHeight="true" outlineLevel="0" collapsed="false">
      <c r="B12855" s="40" t="str">
        <f aca="false">IFERROR(INDEX($J$12853:$J$12856,MATCH($O12855,$N$12853:$N$12856,0)),"")</f>
        <v/>
      </c>
      <c r="C12855" s="41" t="str">
        <f aca="false">IFERROR(INDEX($K$12853:$K$12856,MATCH($O12855,$N$12853:$N$12856,0)),"")</f>
        <v/>
      </c>
      <c r="D12855" s="42" t="str">
        <f aca="false">IF(OR(E12855="",N(C12855)=0),"",E12855/C12855-1)</f>
        <v/>
      </c>
      <c r="E12855" s="41" t="str">
        <f aca="false">IFERROR(INDEX($L$12853:$L$12856,MATCH($O12855,$N$12853:$N$12856,0)),"")</f>
        <v/>
      </c>
      <c r="F12855" s="41" t="str">
        <f aca="false">IF(E12855="","",E12855-C12855)</f>
        <v/>
      </c>
      <c r="J12855" s="25" t="str">
        <f aca="false">Lib_Jur</f>
        <v>Mission juridique (approbation des comptes, secrétariat juridique)</v>
      </c>
      <c r="K12855" s="25" t="n">
        <f aca="false">IF($K$12826=0,0,N(INDEX(Clients!$M$2:$M$501,$K$12826)))</f>
        <v>0</v>
      </c>
      <c r="L12855" s="25" t="n">
        <f aca="false">IF($K$12826=0,0,N(INDEX(Clients!$R$2:$R$501,$K$12826)))</f>
        <v>0</v>
      </c>
      <c r="M12855" s="25" t="n">
        <f aca="false">IF(OR(K12855&lt;&gt;0,L12855&lt;&gt;0),1,0)</f>
        <v>0</v>
      </c>
      <c r="N12855" s="25" t="str">
        <f aca="false">IF(M12855=1,SUM($M$12853:M12855),"")</f>
        <v/>
      </c>
      <c r="O12855" s="25" t="n">
        <v>3</v>
      </c>
    </row>
    <row r="12856" customFormat="false" ht="16.5" hidden="false" customHeight="true" outlineLevel="0" collapsed="false">
      <c r="B12856" s="40" t="str">
        <f aca="false">IFERROR(INDEX($J$12853:$J$12856,MATCH($O12856,$N$12853:$N$12856,0)),"")</f>
        <v/>
      </c>
      <c r="C12856" s="41" t="str">
        <f aca="false">IFERROR(INDEX($K$12853:$K$12856,MATCH($O12856,$N$12853:$N$12856,0)),"")</f>
        <v/>
      </c>
      <c r="D12856" s="42" t="str">
        <f aca="false">IF(OR(E12856="",N(C12856)=0),"",E12856/C12856-1)</f>
        <v/>
      </c>
      <c r="E12856" s="41" t="str">
        <f aca="false">IFERROR(INDEX($L$12853:$L$12856,MATCH($O12856,$N$12853:$N$12856,0)),"")</f>
        <v/>
      </c>
      <c r="F12856" s="41" t="str">
        <f aca="false">IF(E12856="","",E12856-C12856)</f>
        <v/>
      </c>
      <c r="J12856" s="25" t="str">
        <f aca="false">Lib_PA</f>
        <v>Plateforme agréée – facturation électronique</v>
      </c>
      <c r="K12856" s="25" t="n">
        <f aca="false">IF($K$12826=0,0,N(INDEX(Clients!$N$2:$N$501,$K$12826)))</f>
        <v>0</v>
      </c>
      <c r="L12856" s="25" t="n">
        <f aca="false">IF($K$12826=0,0,N(INDEX(Clients!$S$2:$S$501,$K$12826)))</f>
        <v>0</v>
      </c>
      <c r="M12856" s="25" t="n">
        <f aca="false">IF(OR(K12856&lt;&gt;0,L12856&lt;&gt;0),1,0)</f>
        <v>0</v>
      </c>
      <c r="N12856" s="25" t="str">
        <f aca="false">IF(M12856=1,SUM($M$12853:M12856),"")</f>
        <v/>
      </c>
      <c r="O12856" s="25" t="n">
        <v>4</v>
      </c>
    </row>
    <row r="12857" customFormat="false" ht="18" hidden="false" customHeight="true" outlineLevel="0" collapsed="false">
      <c r="B12857" s="43" t="s">
        <v>158</v>
      </c>
      <c r="C12857" s="44" t="n">
        <f aca="false">SUM(K12853:K12856)</f>
        <v>0</v>
      </c>
      <c r="D12857" s="45" t="str">
        <f aca="false">IF(N(C12857)=0,"",E12857/C12857-1)</f>
        <v/>
      </c>
      <c r="E12857" s="44" t="n">
        <f aca="false">SUM(L12853:L12856)</f>
        <v>0</v>
      </c>
      <c r="F12857" s="44" t="n">
        <f aca="false">E12857-C12857</f>
        <v>0</v>
      </c>
    </row>
    <row r="12858" customFormat="false" ht="15" hidden="false" customHeight="false" outlineLevel="0" collapsed="false">
      <c r="B12858" s="46" t="str">
        <f aca="false">IF(N(Nb_Mensualites)=0,"","Soit "&amp;FIXED(E12857/Nb_Mensualites,2)&amp;" € HT par échéance ("&amp;Nb_Mensualites&amp;" échéances), "&amp;FIXED(E12857/Nb_Mensualites*(1+Taux_TVA),2)&amp;" € TTC.")</f>
        <v>Soit 0.00 € HT par échéance (12 échéances), 0.00 € TTC.</v>
      </c>
      <c r="C12858" s="46"/>
      <c r="D12858" s="46"/>
      <c r="E12858" s="46"/>
      <c r="F12858" s="46"/>
    </row>
    <row r="12859" customFormat="false" ht="7.5" hidden="false" customHeight="true" outlineLevel="0" collapsed="false">
      <c r="B12859" s="10"/>
      <c r="C12859" s="10"/>
      <c r="D12859" s="10"/>
      <c r="E12859" s="10"/>
      <c r="F12859" s="10"/>
    </row>
    <row r="12860" customFormat="false" ht="36.75" hidden="false" customHeight="true" outlineLevel="0" collapsed="false">
      <c r="B12860" s="37" t="str">
        <f aca="false">SUBSTITUTE(SUBSTITUTE(SUBSTITUTE(SUBSTITUTE(SUBSTITUTE(Txt_P5,"{cabinet}",Cab_Nom),"{societe}",IF($K$12826=0,"",INDEX(Clients!$E$2:$E$501,$K$12826)&amp;"")),"{date_effet}",$K$12828),"{hausse}",$K$12829),"{civilite}",$K$12827)</f>
        <v>Les autres conditions de votre lettre de mission demeurent inchangées. Les nouveaux montants seront appliqués automatiquement sur vos prochaines factures et échéances de prélèvement.</v>
      </c>
      <c r="C12860" s="37"/>
      <c r="D12860" s="37"/>
      <c r="E12860" s="37"/>
      <c r="F12860" s="37"/>
    </row>
    <row r="12861" customFormat="false" ht="36.75" hidden="false" customHeight="true" outlineLevel="0" collapsed="false">
      <c r="B12861" s="37" t="str">
        <f aca="false">SUBSTITUTE(SUBSTITUTE(SUBSTITUTE(SUBSTITUTE(SUBSTITUTE(Txt_P6,"{cabinet}",Cab_Nom),"{societe}",IF($K$12826=0,"",INDEX(Clients!$E$2:$E$501,$K$12826)&amp;"")),"{date_effet}",$K$12828),"{hausse}",$K$12829),"{civilite}",$K$12827)</f>
        <v>Votre interlocuteur habituel reste à votre entière disposition pour répondre à vos questions et faire le point sur l'évolution de vos besoins.</v>
      </c>
      <c r="C12861" s="37"/>
      <c r="D12861" s="37"/>
      <c r="E12861" s="37"/>
      <c r="F12861" s="37"/>
    </row>
    <row r="12862" customFormat="false" ht="24" hidden="false" customHeight="true" outlineLevel="0" collapsed="false">
      <c r="B12862" s="37" t="str">
        <f aca="false">SUBSTITUTE(SUBSTITUTE(SUBSTITUTE(SUBSTITUTE(SUBSTITUTE(Txt_Politesse,"{cabinet}",Cab_Nom),"{societe}",IF($K$12826=0,"",INDEX(Clients!$E$2:$E$501,$K$12826)&amp;"")),"{date_effet}",$K$12828),"{hausse}",$K$12829),"{civilite}",$K$12827)</f>
        <v>Nous vous prions d'agréer, Madame, Monsieur, l'expression de nos salutations distinguées.</v>
      </c>
      <c r="C12862" s="37"/>
      <c r="D12862" s="37"/>
      <c r="E12862" s="37"/>
      <c r="F12862" s="37"/>
    </row>
    <row r="12863" customFormat="false" ht="15" hidden="false" customHeight="false" outlineLevel="0" collapsed="false">
      <c r="B12863" s="10"/>
      <c r="C12863" s="10"/>
      <c r="D12863" s="10"/>
      <c r="E12863" s="10"/>
      <c r="F12863" s="10"/>
    </row>
    <row r="12864" customFormat="false" ht="15" hidden="false" customHeight="false" outlineLevel="0" collapsed="false">
      <c r="B12864" s="10"/>
      <c r="C12864" s="10"/>
      <c r="D12864" s="34" t="str">
        <f aca="false">Signataire</f>
        <v>Prénom NOM</v>
      </c>
      <c r="E12864" s="34"/>
      <c r="F12864" s="34"/>
    </row>
    <row r="12865" customFormat="false" ht="15" hidden="false" customHeight="false" outlineLevel="0" collapsed="false">
      <c r="B12865" s="10"/>
      <c r="C12865" s="10"/>
      <c r="D12865" s="47" t="str">
        <f aca="false">Signataire_Titre</f>
        <v>Expert-comptable associé</v>
      </c>
      <c r="E12865" s="47"/>
      <c r="F12865" s="47"/>
    </row>
    <row r="12866" customFormat="false" ht="15.75" hidden="false" customHeight="true" outlineLevel="0" collapsed="false">
      <c r="B12866" s="10"/>
      <c r="C12866" s="10"/>
      <c r="D12866" s="10"/>
      <c r="E12866" s="10"/>
      <c r="F12866" s="10"/>
    </row>
    <row r="12867" customFormat="false" ht="15.75" hidden="false" customHeight="true" outlineLevel="0" collapsed="false">
      <c r="B12867" s="10"/>
      <c r="C12867" s="10"/>
      <c r="D12867" s="10"/>
      <c r="E12867" s="10"/>
      <c r="F12867" s="10"/>
    </row>
    <row r="12868" customFormat="false" ht="15.75" hidden="false" customHeight="true" outlineLevel="0" collapsed="false">
      <c r="B12868" s="10"/>
      <c r="C12868" s="10"/>
      <c r="D12868" s="10"/>
      <c r="E12868" s="10"/>
      <c r="F12868" s="10"/>
    </row>
    <row r="12869" customFormat="false" ht="15.75" hidden="false" customHeight="true" outlineLevel="0" collapsed="false">
      <c r="B12869" s="10"/>
      <c r="C12869" s="10"/>
      <c r="D12869" s="10"/>
      <c r="E12869" s="10"/>
      <c r="F12869" s="10"/>
    </row>
    <row r="12870" customFormat="false" ht="24" hidden="false" customHeight="true" outlineLevel="0" collapsed="false">
      <c r="B12870" s="48" t="str">
        <f aca="false">Cab_Mentions</f>
        <v>ALTHO EXPERTISE · SAS au capital de 10 000 € · RCS Pontoise 919 706 325 · TVA FR62919706325 · Société d'expertise comptable inscrite au Tableau de l'Ordre des experts-comptables de Paris Île-de-France</v>
      </c>
      <c r="C12870" s="48"/>
      <c r="D12870" s="48"/>
      <c r="E12870" s="48"/>
      <c r="F12870" s="48"/>
    </row>
    <row r="12871" customFormat="false" ht="15" hidden="false" customHeight="false" outlineLevel="0" collapsed="false">
      <c r="B12871" s="10"/>
      <c r="C12871" s="10"/>
      <c r="D12871" s="10"/>
      <c r="E12871" s="10"/>
      <c r="F12871" s="10"/>
      <c r="J12871" s="25" t="s">
        <v>142</v>
      </c>
      <c r="K12871" s="25" t="n">
        <f aca="false">IFERROR(MATCH(287,Clients!$Z$2:$Z$501,0),0)</f>
        <v>0</v>
      </c>
      <c r="L12871" s="25"/>
      <c r="M12871" s="25"/>
      <c r="N12871" s="25"/>
      <c r="O12871" s="25"/>
    </row>
    <row r="12872" customFormat="false" ht="21.75" hidden="false" customHeight="true" outlineLevel="0" collapsed="false">
      <c r="B12872" s="26" t="str">
        <f aca="false">Cab_Nom</f>
        <v>ALTHO EXPERTISE</v>
      </c>
      <c r="C12872" s="26"/>
      <c r="D12872" s="10"/>
      <c r="E12872" s="27" t="str">
        <f aca="false">IF($K$12871=0,"","Réf. client : "&amp;INDEX(Clients!$A$2:$A$501,$K$12871))</f>
        <v/>
      </c>
      <c r="F12872" s="27"/>
      <c r="J12872" s="25" t="s">
        <v>144</v>
      </c>
      <c r="K12872" s="25" t="str">
        <f aca="false">IF(IF($K$12871=0,"",INDEX(Clients!$B$2:$B$501,$K$12871)&amp;"")="Mme","Madame",IF(IF($K$12871=0,"",INDEX(Clients!$B$2:$B$501,$K$12871)&amp;"")="M.","Monsieur","Madame, Monsieur"))</f>
        <v>Madame, Monsieur</v>
      </c>
      <c r="L12872" s="25"/>
      <c r="M12872" s="25"/>
      <c r="N12872" s="25"/>
      <c r="O12872" s="25"/>
    </row>
    <row r="12873" customFormat="false" ht="15" hidden="false" customHeight="false" outlineLevel="0" collapsed="false">
      <c r="B12873" s="29" t="str">
        <f aca="false">Cab_Adr1</f>
        <v>141 rue Charles de Gaulle</v>
      </c>
      <c r="C12873" s="29"/>
      <c r="D12873" s="10"/>
      <c r="E12873" s="10"/>
      <c r="F12873" s="10"/>
      <c r="J12873" s="25" t="s">
        <v>145</v>
      </c>
      <c r="K12873" s="25" t="str">
        <f aca="false">DAY(Date_Effet)&amp;IF(DAY(Date_Effet)=1,"er","")&amp;" "&amp;INDEX(Liste_Mois,MONTH(Date_Effet))&amp;" "&amp;YEAR(Date_Effet)</f>
        <v>1er janvier 2027</v>
      </c>
      <c r="L12873" s="25"/>
      <c r="M12873" s="25"/>
      <c r="N12873" s="25"/>
      <c r="O12873" s="25"/>
    </row>
    <row r="12874" customFormat="false" ht="15" hidden="false" customHeight="false" outlineLevel="0" collapsed="false">
      <c r="B12874" s="29" t="str">
        <f aca="false">Cab_CPVille</f>
        <v>95130 LE PLESSIS-BOUCHARD</v>
      </c>
      <c r="C12874" s="29"/>
      <c r="D12874" s="10"/>
      <c r="E12874" s="10"/>
      <c r="F12874" s="10"/>
      <c r="J12874" s="25" t="s">
        <v>146</v>
      </c>
      <c r="K12874" s="25" t="str">
        <f aca="false">IF(SUM($K$12898:$K$12901)=0,"",FIXED((SUM($L$12898:$L$12901)/SUM($K$12898:$K$12901)-1)*100,1)&amp;" %")</f>
        <v/>
      </c>
      <c r="L12874" s="25"/>
      <c r="M12874" s="25"/>
      <c r="N12874" s="25"/>
      <c r="O12874" s="25"/>
    </row>
    <row r="12875" customFormat="false" ht="15" hidden="false" customHeight="false" outlineLevel="0" collapsed="false">
      <c r="B12875" s="29" t="str">
        <f aca="false">Cab_Contact</f>
        <v>Tél. 01 34 14 53 45  ·  altho@altho-experts.com  ·  altho-experts.com</v>
      </c>
      <c r="C12875" s="29"/>
      <c r="D12875" s="10"/>
      <c r="E12875" s="10"/>
      <c r="F12875" s="10"/>
      <c r="J12875" s="25"/>
      <c r="K12875" s="25"/>
      <c r="L12875" s="25"/>
      <c r="M12875" s="25"/>
      <c r="N12875" s="25"/>
      <c r="O12875" s="25"/>
    </row>
    <row r="12876" customFormat="false" ht="6" hidden="false" customHeight="true" outlineLevel="0" collapsed="false">
      <c r="B12876" s="32"/>
      <c r="C12876" s="32"/>
      <c r="D12876" s="32"/>
      <c r="E12876" s="32"/>
      <c r="F12876" s="32"/>
      <c r="J12876" s="25"/>
      <c r="K12876" s="25"/>
      <c r="L12876" s="25"/>
      <c r="M12876" s="25"/>
      <c r="N12876" s="25"/>
      <c r="O12876" s="25"/>
    </row>
    <row r="12877" customFormat="false" ht="13.5" hidden="false" customHeight="true" outlineLevel="0" collapsed="false">
      <c r="B12877" s="10"/>
      <c r="C12877" s="10"/>
      <c r="D12877" s="10"/>
      <c r="E12877" s="10"/>
      <c r="F12877" s="10"/>
      <c r="J12877" s="25"/>
      <c r="K12877" s="25"/>
      <c r="L12877" s="25"/>
      <c r="M12877" s="25"/>
      <c r="N12877" s="25"/>
      <c r="O12877" s="25"/>
    </row>
    <row r="12878" customFormat="false" ht="13.5" hidden="false" customHeight="true" outlineLevel="0" collapsed="false">
      <c r="B12878" s="10"/>
      <c r="C12878" s="10"/>
      <c r="D12878" s="10"/>
      <c r="E12878" s="10"/>
      <c r="F12878" s="10"/>
      <c r="J12878" s="25"/>
      <c r="K12878" s="25"/>
      <c r="L12878" s="25"/>
      <c r="M12878" s="25"/>
      <c r="N12878" s="25"/>
      <c r="O12878" s="25"/>
    </row>
    <row r="12879" customFormat="false" ht="13.5" hidden="false" customHeight="true" outlineLevel="0" collapsed="false">
      <c r="B12879" s="10"/>
      <c r="C12879" s="10"/>
      <c r="D12879" s="10"/>
      <c r="E12879" s="10"/>
      <c r="F12879" s="10"/>
      <c r="J12879" s="25"/>
      <c r="K12879" s="25"/>
      <c r="L12879" s="25"/>
      <c r="M12879" s="25"/>
      <c r="N12879" s="25"/>
      <c r="O12879" s="25"/>
    </row>
    <row r="12880" customFormat="false" ht="15" hidden="false" customHeight="true" outlineLevel="0" collapsed="false">
      <c r="B12880" s="10"/>
      <c r="C12880" s="10"/>
      <c r="D12880" s="34" t="str">
        <f aca="false">IF($K$12871=0,"",INDEX(Clients!$E$2:$E$501,$K$12871)&amp;"")</f>
        <v/>
      </c>
      <c r="E12880" s="34"/>
      <c r="F12880" s="34"/>
      <c r="J12880" s="25"/>
      <c r="K12880" s="25"/>
      <c r="L12880" s="25"/>
      <c r="M12880" s="25"/>
      <c r="N12880" s="25"/>
      <c r="O12880" s="25"/>
    </row>
    <row r="12881" customFormat="false" ht="15" hidden="false" customHeight="true" outlineLevel="0" collapsed="false">
      <c r="B12881" s="10"/>
      <c r="C12881" s="10"/>
      <c r="D12881" s="35" t="str">
        <f aca="false">IF(IF($K$12871=0,"",INDEX(Clients!$D$2:$D$501,$K$12871)&amp;"")="","","À l'attention de "&amp;TRIM(IF($K$12871=0,"",INDEX(Clients!$B$2:$B$501,$K$12871)&amp;"")&amp;" "&amp;IF($K$12871=0,"",INDEX(Clients!$C$2:$C$501,$K$12871)&amp;"")&amp;" "&amp;IF($K$12871=0,"",INDEX(Clients!$D$2:$D$501,$K$12871)&amp;"")))</f>
        <v/>
      </c>
      <c r="E12881" s="35"/>
      <c r="F12881" s="35"/>
      <c r="J12881" s="25"/>
      <c r="K12881" s="25"/>
      <c r="L12881" s="25"/>
      <c r="M12881" s="25"/>
      <c r="N12881" s="25"/>
      <c r="O12881" s="25"/>
    </row>
    <row r="12882" customFormat="false" ht="15" hidden="false" customHeight="true" outlineLevel="0" collapsed="false">
      <c r="B12882" s="10"/>
      <c r="C12882" s="10"/>
      <c r="D12882" s="35" t="str">
        <f aca="false">IF($K$12871=0,"",INDEX(Clients!$F$2:$F$501,$K$12871)&amp;"")</f>
        <v/>
      </c>
      <c r="E12882" s="35"/>
      <c r="F12882" s="35"/>
      <c r="J12882" s="25"/>
      <c r="K12882" s="25"/>
      <c r="L12882" s="25"/>
      <c r="M12882" s="25"/>
      <c r="N12882" s="25"/>
      <c r="O12882" s="25"/>
    </row>
    <row r="12883" customFormat="false" ht="15" hidden="false" customHeight="true" outlineLevel="0" collapsed="false">
      <c r="B12883" s="10"/>
      <c r="C12883" s="10"/>
      <c r="D12883" s="35" t="str">
        <f aca="false">IF(IF($K$12871=0,"",INDEX(Clients!$G$2:$G$501,$K$12871)&amp;"")="",TRIM(IF($K$12871=0,"",INDEX(Clients!$H$2:$H$501,$K$12871)&amp;"")&amp;" "&amp;UPPER(IF($K$12871=0,"",INDEX(Clients!$I$2:$I$501,$K$12871)&amp;""))),IF($K$12871=0,"",INDEX(Clients!$G$2:$G$501,$K$12871)&amp;""))</f>
        <v/>
      </c>
      <c r="E12883" s="35"/>
      <c r="F12883" s="35"/>
      <c r="J12883" s="25"/>
      <c r="K12883" s="25"/>
      <c r="L12883" s="25"/>
      <c r="M12883" s="25"/>
      <c r="N12883" s="25"/>
      <c r="O12883" s="25"/>
    </row>
    <row r="12884" customFormat="false" ht="15" hidden="false" customHeight="true" outlineLevel="0" collapsed="false">
      <c r="B12884" s="10"/>
      <c r="C12884" s="10"/>
      <c r="D12884" s="35" t="str">
        <f aca="false">IF(IF($K$12871=0,"",INDEX(Clients!$G$2:$G$501,$K$12871)&amp;"")="","",TRIM(IF($K$12871=0,"",INDEX(Clients!$H$2:$H$501,$K$12871)&amp;"")&amp;" "&amp;UPPER(IF($K$12871=0,"",INDEX(Clients!$I$2:$I$501,$K$12871)&amp;""))))</f>
        <v/>
      </c>
      <c r="E12884" s="35"/>
      <c r="F12884" s="35"/>
      <c r="J12884" s="25"/>
      <c r="K12884" s="25"/>
      <c r="L12884" s="25"/>
      <c r="M12884" s="25"/>
      <c r="N12884" s="25"/>
      <c r="O12884" s="25"/>
    </row>
    <row r="12885" customFormat="false" ht="25.5" hidden="false" customHeight="true" outlineLevel="0" collapsed="false">
      <c r="B12885" s="10"/>
      <c r="C12885" s="10"/>
      <c r="D12885" s="10"/>
      <c r="E12885" s="10"/>
      <c r="F12885" s="10"/>
      <c r="J12885" s="25"/>
      <c r="K12885" s="25"/>
      <c r="L12885" s="25"/>
      <c r="M12885" s="25"/>
      <c r="N12885" s="25"/>
      <c r="O12885" s="25"/>
    </row>
    <row r="12886" customFormat="false" ht="15" hidden="false" customHeight="false" outlineLevel="0" collapsed="false">
      <c r="B12886" s="10"/>
      <c r="C12886" s="10"/>
      <c r="D12886" s="36" t="str">
        <f aca="false">Cab_Ville&amp;", le "&amp;DAY(Date_Courrier)&amp;IF(DAY(Date_Courrier)=1,"er","")&amp;" "&amp;INDEX(Liste_Mois,MONTH(Date_Courrier))&amp;" "&amp;YEAR(Date_Courrier)</f>
        <v>Le Plessis-Bouchard, le 22 septembre 2026</v>
      </c>
      <c r="E12886" s="36"/>
      <c r="F12886" s="36"/>
      <c r="J12886" s="25"/>
      <c r="K12886" s="25"/>
      <c r="L12886" s="25"/>
      <c r="M12886" s="25"/>
      <c r="N12886" s="25"/>
      <c r="O12886" s="25"/>
    </row>
    <row r="12887" customFormat="false" ht="19.5" hidden="false" customHeight="true" outlineLevel="0" collapsed="false">
      <c r="B12887" s="10"/>
      <c r="C12887" s="10"/>
      <c r="D12887" s="10"/>
      <c r="E12887" s="10"/>
      <c r="F12887" s="10"/>
      <c r="J12887" s="25"/>
      <c r="K12887" s="25"/>
      <c r="L12887" s="25"/>
      <c r="M12887" s="25"/>
      <c r="N12887" s="25"/>
      <c r="O12887" s="25"/>
    </row>
    <row r="12888" customFormat="false" ht="15" hidden="false" customHeight="false" outlineLevel="0" collapsed="false">
      <c r="B12888" s="34" t="str">
        <f aca="false">SUBSTITUTE(SUBSTITUTE(SUBSTITUTE(SUBSTITUTE(SUBSTITUTE(Txt_Objet,"{cabinet}",Cab_Nom),"{societe}",IF($K$12871=0,"",INDEX(Clients!$E$2:$E$501,$K$12871)&amp;"")),"{date_effet}",$K$12873),"{hausse}",$K$12874),"{civilite}",$K$12872)</f>
        <v>Objet : révision de nos honoraires au 1er janvier 2027</v>
      </c>
      <c r="C12888" s="34"/>
      <c r="D12888" s="34"/>
      <c r="E12888" s="34"/>
      <c r="F12888" s="34"/>
      <c r="J12888" s="25"/>
      <c r="K12888" s="25"/>
      <c r="L12888" s="25"/>
      <c r="M12888" s="25"/>
      <c r="N12888" s="25"/>
      <c r="O12888" s="25"/>
    </row>
    <row r="12889" customFormat="false" ht="13.5" hidden="false" customHeight="true" outlineLevel="0" collapsed="false">
      <c r="B12889" s="10"/>
      <c r="C12889" s="10"/>
      <c r="D12889" s="10"/>
      <c r="E12889" s="10"/>
      <c r="F12889" s="10"/>
      <c r="J12889" s="25"/>
      <c r="K12889" s="25"/>
      <c r="L12889" s="25"/>
      <c r="M12889" s="25"/>
      <c r="N12889" s="25"/>
      <c r="O12889" s="25"/>
    </row>
    <row r="12890" customFormat="false" ht="15" hidden="false" customHeight="false" outlineLevel="0" collapsed="false">
      <c r="B12890" s="10" t="str">
        <f aca="false">$K$12872&amp;","</f>
        <v>Madame, Monsieur,</v>
      </c>
      <c r="C12890" s="10"/>
      <c r="D12890" s="10"/>
      <c r="E12890" s="10"/>
      <c r="F12890" s="10"/>
      <c r="J12890" s="25"/>
      <c r="K12890" s="25"/>
      <c r="L12890" s="25"/>
      <c r="M12890" s="25"/>
      <c r="N12890" s="25"/>
      <c r="O12890" s="25"/>
    </row>
    <row r="12891" customFormat="false" ht="6" hidden="false" customHeight="true" outlineLevel="0" collapsed="false">
      <c r="B12891" s="10"/>
      <c r="C12891" s="10"/>
      <c r="D12891" s="10"/>
      <c r="E12891" s="10"/>
      <c r="F12891" s="10"/>
      <c r="J12891" s="25"/>
      <c r="K12891" s="25"/>
      <c r="L12891" s="25"/>
      <c r="M12891" s="25"/>
      <c r="N12891" s="25"/>
      <c r="O12891" s="25"/>
    </row>
    <row r="12892" customFormat="false" ht="36.75" hidden="false" customHeight="true" outlineLevel="0" collapsed="false">
      <c r="B12892" s="37" t="str">
        <f aca="false">SUBSTITUTE(SUBSTITUTE(SUBSTITUTE(SUBSTITUTE(SUBSTITUTE(Txt_P1,"{cabinet}",Cab_Nom),"{societe}",IF($K$12871=0,"",INDEX(Clients!$E$2:$E$501,$K$12871)&amp;"")),"{date_effet}",$K$12873),"{hausse}",$K$12874),"{civilite}",$K$12872)</f>
        <v>Nous tenons tout d'abord à vous remercier pour la confiance que vous accordez à ALTHO EXPERTISE. Comme chaque année, et conformément aux dispositions de votre lettre de mission, nous procédons à la révision de nos honoraires.</v>
      </c>
      <c r="C12892" s="37"/>
      <c r="D12892" s="37"/>
      <c r="E12892" s="37"/>
      <c r="F12892" s="37"/>
      <c r="J12892" s="25"/>
      <c r="K12892" s="25"/>
      <c r="L12892" s="25"/>
      <c r="M12892" s="25"/>
      <c r="N12892" s="25"/>
      <c r="O12892" s="25"/>
    </row>
    <row r="12893" customFormat="false" ht="49.5" hidden="false" customHeight="true" outlineLevel="0" collapsed="false">
      <c r="B12893" s="37" t="str">
        <f aca="false">SUBSTITUTE(SUBSTITUTE(SUBSTITUTE(SUBSTITUTE(SUBSTITUTE(Txt_P2,"{cabinet}",Cab_Nom),"{societe}",IF($K$12871=0,"",INDEX(Clients!$E$2:$E$501,$K$12871)&amp;"")),"{date_effet}",$K$12873),"{hausse}",$K$12874),"{civilite}",$K$12872)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893" s="37"/>
      <c r="D12893" s="37"/>
      <c r="E12893" s="37"/>
      <c r="F12893" s="37"/>
      <c r="J12893" s="25"/>
      <c r="K12893" s="25"/>
      <c r="L12893" s="25"/>
      <c r="M12893" s="25"/>
      <c r="N12893" s="25"/>
      <c r="O12893" s="25"/>
    </row>
    <row r="12894" customFormat="false" ht="63" hidden="false" customHeight="true" outlineLevel="0" collapsed="false">
      <c r="B12894" s="37" t="str">
        <f aca="false">SUBSTITUTE(SUBSTITUTE(SUBSTITUTE(SUBSTITUTE(SUBSTITUTE(Txt_P3,"{cabinet}",Cab_Nom),"{societe}",IF($K$12871=0,"",INDEX(Clients!$E$2:$E$501,$K$12871)&amp;"")),"{date_effet}",$K$12873),"{hausse}",$K$12874),"{civilite}",$K$12872)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894" s="37"/>
      <c r="D12894" s="37"/>
      <c r="E12894" s="37"/>
      <c r="F12894" s="37"/>
      <c r="J12894" s="25"/>
      <c r="K12894" s="25"/>
      <c r="L12894" s="25"/>
      <c r="M12894" s="25"/>
      <c r="N12894" s="25"/>
      <c r="O12894" s="25"/>
    </row>
    <row r="12895" customFormat="false" ht="24" hidden="false" customHeight="true" outlineLevel="0" collapsed="false">
      <c r="B12895" s="37" t="str">
        <f aca="false">SUBSTITUTE(SUBSTITUTE(SUBSTITUTE(SUBSTITUTE(SUBSTITUTE(Txt_P4,"{cabinet}",Cab_Nom),"{societe}",IF($K$12871=0,"",INDEX(Clients!$E$2:$E$501,$K$12871)&amp;"")),"{date_effet}",$K$12873),"{hausse}",$K$12874),"{civilite}",$K$12872)</f>
        <v>À compter du 1er janvier 2027, vos honoraires annuels hors taxes évolueront ainsi (évolution globale : ) :</v>
      </c>
      <c r="C12895" s="37"/>
      <c r="D12895" s="37"/>
      <c r="E12895" s="37"/>
      <c r="F12895" s="37"/>
      <c r="J12895" s="25"/>
      <c r="K12895" s="25"/>
      <c r="L12895" s="25"/>
      <c r="M12895" s="25"/>
      <c r="N12895" s="25"/>
      <c r="O12895" s="25"/>
    </row>
    <row r="12896" customFormat="false" ht="3.75" hidden="false" customHeight="true" outlineLevel="0" collapsed="false">
      <c r="B12896" s="10"/>
      <c r="C12896" s="10"/>
      <c r="D12896" s="10"/>
      <c r="E12896" s="10"/>
      <c r="F12896" s="10"/>
      <c r="J12896" s="25"/>
      <c r="K12896" s="25"/>
      <c r="L12896" s="25"/>
      <c r="M12896" s="25"/>
      <c r="N12896" s="25"/>
      <c r="O12896" s="25"/>
    </row>
    <row r="12897" customFormat="false" ht="18" hidden="false" customHeight="true" outlineLevel="0" collapsed="false">
      <c r="B12897" s="38" t="s">
        <v>148</v>
      </c>
      <c r="C12897" s="39" t="s">
        <v>149</v>
      </c>
      <c r="D12897" s="39" t="s">
        <v>150</v>
      </c>
      <c r="E12897" s="39" t="s">
        <v>151</v>
      </c>
      <c r="F12897" s="39" t="s">
        <v>109</v>
      </c>
      <c r="J12897" s="25" t="s">
        <v>152</v>
      </c>
      <c r="K12897" s="25" t="s">
        <v>153</v>
      </c>
      <c r="L12897" s="25" t="s">
        <v>154</v>
      </c>
      <c r="M12897" s="25" t="s">
        <v>155</v>
      </c>
      <c r="N12897" s="25" t="s">
        <v>156</v>
      </c>
      <c r="O12897" s="25" t="s">
        <v>157</v>
      </c>
    </row>
    <row r="12898" customFormat="false" ht="16.5" hidden="false" customHeight="true" outlineLevel="0" collapsed="false">
      <c r="B12898" s="40" t="str">
        <f aca="false">IFERROR(INDEX($J$12898:$J$12901,MATCH($O12898,$N$12898:$N$12901,0)),"")</f>
        <v/>
      </c>
      <c r="C12898" s="41" t="str">
        <f aca="false">IFERROR(INDEX($K$12898:$K$12901,MATCH($O12898,$N$12898:$N$12901,0)),"")</f>
        <v/>
      </c>
      <c r="D12898" s="42" t="str">
        <f aca="false">IF(OR(E12898="",N(C12898)=0),"",E12898/C12898-1)</f>
        <v/>
      </c>
      <c r="E12898" s="41" t="str">
        <f aca="false">IFERROR(INDEX($L$12898:$L$12901,MATCH($O12898,$N$12898:$N$12901,0)),"")</f>
        <v/>
      </c>
      <c r="F12898" s="41" t="str">
        <f aca="false">IF(E12898="","",E12898-C12898)</f>
        <v/>
      </c>
      <c r="J12898" s="25" t="str">
        <f aca="false">Lib_Compta</f>
        <v>Mission comptable (tenue, révision, bilan, liasse fiscale)</v>
      </c>
      <c r="K12898" s="25" t="n">
        <f aca="false">IF($K$12871=0,0,N(INDEX(Clients!$K$2:$K$501,$K$12871)))</f>
        <v>0</v>
      </c>
      <c r="L12898" s="25" t="n">
        <f aca="false">IF($K$12871=0,0,N(INDEX(Clients!$P$2:$P$501,$K$12871)))</f>
        <v>0</v>
      </c>
      <c r="M12898" s="25" t="n">
        <f aca="false">IF(OR(K12898&lt;&gt;0,L12898&lt;&gt;0),1,0)</f>
        <v>0</v>
      </c>
      <c r="N12898" s="25" t="str">
        <f aca="false">IF(M12898=1,SUM($M$12898:M12898),"")</f>
        <v/>
      </c>
      <c r="O12898" s="25" t="n">
        <v>1</v>
      </c>
    </row>
    <row r="12899" customFormat="false" ht="16.5" hidden="false" customHeight="true" outlineLevel="0" collapsed="false">
      <c r="B12899" s="40" t="str">
        <f aca="false">IFERROR(INDEX($J$12898:$J$12901,MATCH($O12899,$N$12898:$N$12901,0)),"")</f>
        <v/>
      </c>
      <c r="C12899" s="41" t="str">
        <f aca="false">IFERROR(INDEX($K$12898:$K$12901,MATCH($O12899,$N$12898:$N$12901,0)),"")</f>
        <v/>
      </c>
      <c r="D12899" s="42" t="str">
        <f aca="false">IF(OR(E12899="",N(C12899)=0),"",E12899/C12899-1)</f>
        <v/>
      </c>
      <c r="E12899" s="41" t="str">
        <f aca="false">IFERROR(INDEX($L$12898:$L$12901,MATCH($O12899,$N$12898:$N$12901,0)),"")</f>
        <v/>
      </c>
      <c r="F12899" s="41" t="str">
        <f aca="false">IF(E12899="","",E12899-C12899)</f>
        <v/>
      </c>
      <c r="J12899" s="25" t="str">
        <f aca="false">Lib_Paye</f>
        <v>Mission sociale (bulletins de paie, DSN, déclarations sociales)</v>
      </c>
      <c r="K12899" s="25" t="n">
        <f aca="false">IF($K$12871=0,0,N(INDEX(Clients!$L$2:$L$501,$K$12871)))</f>
        <v>0</v>
      </c>
      <c r="L12899" s="25" t="n">
        <f aca="false">IF($K$12871=0,0,N(INDEX(Clients!$Q$2:$Q$501,$K$12871)))</f>
        <v>0</v>
      </c>
      <c r="M12899" s="25" t="n">
        <f aca="false">IF(OR(K12899&lt;&gt;0,L12899&lt;&gt;0),1,0)</f>
        <v>0</v>
      </c>
      <c r="N12899" s="25" t="str">
        <f aca="false">IF(M12899=1,SUM($M$12898:M12899),"")</f>
        <v/>
      </c>
      <c r="O12899" s="25" t="n">
        <v>2</v>
      </c>
    </row>
    <row r="12900" customFormat="false" ht="16.5" hidden="false" customHeight="true" outlineLevel="0" collapsed="false">
      <c r="B12900" s="40" t="str">
        <f aca="false">IFERROR(INDEX($J$12898:$J$12901,MATCH($O12900,$N$12898:$N$12901,0)),"")</f>
        <v/>
      </c>
      <c r="C12900" s="41" t="str">
        <f aca="false">IFERROR(INDEX($K$12898:$K$12901,MATCH($O12900,$N$12898:$N$12901,0)),"")</f>
        <v/>
      </c>
      <c r="D12900" s="42" t="str">
        <f aca="false">IF(OR(E12900="",N(C12900)=0),"",E12900/C12900-1)</f>
        <v/>
      </c>
      <c r="E12900" s="41" t="str">
        <f aca="false">IFERROR(INDEX($L$12898:$L$12901,MATCH($O12900,$N$12898:$N$12901,0)),"")</f>
        <v/>
      </c>
      <c r="F12900" s="41" t="str">
        <f aca="false">IF(E12900="","",E12900-C12900)</f>
        <v/>
      </c>
      <c r="J12900" s="25" t="str">
        <f aca="false">Lib_Jur</f>
        <v>Mission juridique (approbation des comptes, secrétariat juridique)</v>
      </c>
      <c r="K12900" s="25" t="n">
        <f aca="false">IF($K$12871=0,0,N(INDEX(Clients!$M$2:$M$501,$K$12871)))</f>
        <v>0</v>
      </c>
      <c r="L12900" s="25" t="n">
        <f aca="false">IF($K$12871=0,0,N(INDEX(Clients!$R$2:$R$501,$K$12871)))</f>
        <v>0</v>
      </c>
      <c r="M12900" s="25" t="n">
        <f aca="false">IF(OR(K12900&lt;&gt;0,L12900&lt;&gt;0),1,0)</f>
        <v>0</v>
      </c>
      <c r="N12900" s="25" t="str">
        <f aca="false">IF(M12900=1,SUM($M$12898:M12900),"")</f>
        <v/>
      </c>
      <c r="O12900" s="25" t="n">
        <v>3</v>
      </c>
    </row>
    <row r="12901" customFormat="false" ht="16.5" hidden="false" customHeight="true" outlineLevel="0" collapsed="false">
      <c r="B12901" s="40" t="str">
        <f aca="false">IFERROR(INDEX($J$12898:$J$12901,MATCH($O12901,$N$12898:$N$12901,0)),"")</f>
        <v/>
      </c>
      <c r="C12901" s="41" t="str">
        <f aca="false">IFERROR(INDEX($K$12898:$K$12901,MATCH($O12901,$N$12898:$N$12901,0)),"")</f>
        <v/>
      </c>
      <c r="D12901" s="42" t="str">
        <f aca="false">IF(OR(E12901="",N(C12901)=0),"",E12901/C12901-1)</f>
        <v/>
      </c>
      <c r="E12901" s="41" t="str">
        <f aca="false">IFERROR(INDEX($L$12898:$L$12901,MATCH($O12901,$N$12898:$N$12901,0)),"")</f>
        <v/>
      </c>
      <c r="F12901" s="41" t="str">
        <f aca="false">IF(E12901="","",E12901-C12901)</f>
        <v/>
      </c>
      <c r="J12901" s="25" t="str">
        <f aca="false">Lib_PA</f>
        <v>Plateforme agréée – facturation électronique</v>
      </c>
      <c r="K12901" s="25" t="n">
        <f aca="false">IF($K$12871=0,0,N(INDEX(Clients!$N$2:$N$501,$K$12871)))</f>
        <v>0</v>
      </c>
      <c r="L12901" s="25" t="n">
        <f aca="false">IF($K$12871=0,0,N(INDEX(Clients!$S$2:$S$501,$K$12871)))</f>
        <v>0</v>
      </c>
      <c r="M12901" s="25" t="n">
        <f aca="false">IF(OR(K12901&lt;&gt;0,L12901&lt;&gt;0),1,0)</f>
        <v>0</v>
      </c>
      <c r="N12901" s="25" t="str">
        <f aca="false">IF(M12901=1,SUM($M$12898:M12901),"")</f>
        <v/>
      </c>
      <c r="O12901" s="25" t="n">
        <v>4</v>
      </c>
    </row>
    <row r="12902" customFormat="false" ht="18" hidden="false" customHeight="true" outlineLevel="0" collapsed="false">
      <c r="B12902" s="43" t="s">
        <v>158</v>
      </c>
      <c r="C12902" s="44" t="n">
        <f aca="false">SUM(K12898:K12901)</f>
        <v>0</v>
      </c>
      <c r="D12902" s="45" t="str">
        <f aca="false">IF(N(C12902)=0,"",E12902/C12902-1)</f>
        <v/>
      </c>
      <c r="E12902" s="44" t="n">
        <f aca="false">SUM(L12898:L12901)</f>
        <v>0</v>
      </c>
      <c r="F12902" s="44" t="n">
        <f aca="false">E12902-C12902</f>
        <v>0</v>
      </c>
    </row>
    <row r="12903" customFormat="false" ht="15" hidden="false" customHeight="false" outlineLevel="0" collapsed="false">
      <c r="B12903" s="46" t="str">
        <f aca="false">IF(N(Nb_Mensualites)=0,"","Soit "&amp;FIXED(E12902/Nb_Mensualites,2)&amp;" € HT par échéance ("&amp;Nb_Mensualites&amp;" échéances), "&amp;FIXED(E12902/Nb_Mensualites*(1+Taux_TVA),2)&amp;" € TTC.")</f>
        <v>Soit 0.00 € HT par échéance (12 échéances), 0.00 € TTC.</v>
      </c>
      <c r="C12903" s="46"/>
      <c r="D12903" s="46"/>
      <c r="E12903" s="46"/>
      <c r="F12903" s="46"/>
    </row>
    <row r="12904" customFormat="false" ht="7.5" hidden="false" customHeight="true" outlineLevel="0" collapsed="false">
      <c r="B12904" s="10"/>
      <c r="C12904" s="10"/>
      <c r="D12904" s="10"/>
      <c r="E12904" s="10"/>
      <c r="F12904" s="10"/>
    </row>
    <row r="12905" customFormat="false" ht="36.75" hidden="false" customHeight="true" outlineLevel="0" collapsed="false">
      <c r="B12905" s="37" t="str">
        <f aca="false">SUBSTITUTE(SUBSTITUTE(SUBSTITUTE(SUBSTITUTE(SUBSTITUTE(Txt_P5,"{cabinet}",Cab_Nom),"{societe}",IF($K$12871=0,"",INDEX(Clients!$E$2:$E$501,$K$12871)&amp;"")),"{date_effet}",$K$12873),"{hausse}",$K$12874),"{civilite}",$K$12872)</f>
        <v>Les autres conditions de votre lettre de mission demeurent inchangées. Les nouveaux montants seront appliqués automatiquement sur vos prochaines factures et échéances de prélèvement.</v>
      </c>
      <c r="C12905" s="37"/>
      <c r="D12905" s="37"/>
      <c r="E12905" s="37"/>
      <c r="F12905" s="37"/>
    </row>
    <row r="12906" customFormat="false" ht="36.75" hidden="false" customHeight="true" outlineLevel="0" collapsed="false">
      <c r="B12906" s="37" t="str">
        <f aca="false">SUBSTITUTE(SUBSTITUTE(SUBSTITUTE(SUBSTITUTE(SUBSTITUTE(Txt_P6,"{cabinet}",Cab_Nom),"{societe}",IF($K$12871=0,"",INDEX(Clients!$E$2:$E$501,$K$12871)&amp;"")),"{date_effet}",$K$12873),"{hausse}",$K$12874),"{civilite}",$K$12872)</f>
        <v>Votre interlocuteur habituel reste à votre entière disposition pour répondre à vos questions et faire le point sur l'évolution de vos besoins.</v>
      </c>
      <c r="C12906" s="37"/>
      <c r="D12906" s="37"/>
      <c r="E12906" s="37"/>
      <c r="F12906" s="37"/>
    </row>
    <row r="12907" customFormat="false" ht="24" hidden="false" customHeight="true" outlineLevel="0" collapsed="false">
      <c r="B12907" s="37" t="str">
        <f aca="false">SUBSTITUTE(SUBSTITUTE(SUBSTITUTE(SUBSTITUTE(SUBSTITUTE(Txt_Politesse,"{cabinet}",Cab_Nom),"{societe}",IF($K$12871=0,"",INDEX(Clients!$E$2:$E$501,$K$12871)&amp;"")),"{date_effet}",$K$12873),"{hausse}",$K$12874),"{civilite}",$K$12872)</f>
        <v>Nous vous prions d'agréer, Madame, Monsieur, l'expression de nos salutations distinguées.</v>
      </c>
      <c r="C12907" s="37"/>
      <c r="D12907" s="37"/>
      <c r="E12907" s="37"/>
      <c r="F12907" s="37"/>
    </row>
    <row r="12908" customFormat="false" ht="15" hidden="false" customHeight="false" outlineLevel="0" collapsed="false">
      <c r="B12908" s="10"/>
      <c r="C12908" s="10"/>
      <c r="D12908" s="10"/>
      <c r="E12908" s="10"/>
      <c r="F12908" s="10"/>
    </row>
    <row r="12909" customFormat="false" ht="15" hidden="false" customHeight="false" outlineLevel="0" collapsed="false">
      <c r="B12909" s="10"/>
      <c r="C12909" s="10"/>
      <c r="D12909" s="34" t="str">
        <f aca="false">Signataire</f>
        <v>Prénom NOM</v>
      </c>
      <c r="E12909" s="34"/>
      <c r="F12909" s="34"/>
    </row>
    <row r="12910" customFormat="false" ht="15" hidden="false" customHeight="false" outlineLevel="0" collapsed="false">
      <c r="B12910" s="10"/>
      <c r="C12910" s="10"/>
      <c r="D12910" s="47" t="str">
        <f aca="false">Signataire_Titre</f>
        <v>Expert-comptable associé</v>
      </c>
      <c r="E12910" s="47"/>
      <c r="F12910" s="47"/>
    </row>
    <row r="12911" customFormat="false" ht="15.75" hidden="false" customHeight="true" outlineLevel="0" collapsed="false">
      <c r="B12911" s="10"/>
      <c r="C12911" s="10"/>
      <c r="D12911" s="10"/>
      <c r="E12911" s="10"/>
      <c r="F12911" s="10"/>
    </row>
    <row r="12912" customFormat="false" ht="15.75" hidden="false" customHeight="true" outlineLevel="0" collapsed="false">
      <c r="B12912" s="10"/>
      <c r="C12912" s="10"/>
      <c r="D12912" s="10"/>
      <c r="E12912" s="10"/>
      <c r="F12912" s="10"/>
    </row>
    <row r="12913" customFormat="false" ht="15.75" hidden="false" customHeight="true" outlineLevel="0" collapsed="false">
      <c r="B12913" s="10"/>
      <c r="C12913" s="10"/>
      <c r="D12913" s="10"/>
      <c r="E12913" s="10"/>
      <c r="F12913" s="10"/>
    </row>
    <row r="12914" customFormat="false" ht="15.75" hidden="false" customHeight="true" outlineLevel="0" collapsed="false">
      <c r="B12914" s="10"/>
      <c r="C12914" s="10"/>
      <c r="D12914" s="10"/>
      <c r="E12914" s="10"/>
      <c r="F12914" s="10"/>
    </row>
    <row r="12915" customFormat="false" ht="24" hidden="false" customHeight="true" outlineLevel="0" collapsed="false">
      <c r="B12915" s="48" t="str">
        <f aca="false">Cab_Mentions</f>
        <v>ALTHO EXPERTISE · SAS au capital de 10 000 € · RCS Pontoise 919 706 325 · TVA FR62919706325 · Société d'expertise comptable inscrite au Tableau de l'Ordre des experts-comptables de Paris Île-de-France</v>
      </c>
      <c r="C12915" s="48"/>
      <c r="D12915" s="48"/>
      <c r="E12915" s="48"/>
      <c r="F12915" s="48"/>
    </row>
    <row r="12916" customFormat="false" ht="15" hidden="false" customHeight="false" outlineLevel="0" collapsed="false">
      <c r="B12916" s="10"/>
      <c r="C12916" s="10"/>
      <c r="D12916" s="10"/>
      <c r="E12916" s="10"/>
      <c r="F12916" s="10"/>
      <c r="J12916" s="25" t="s">
        <v>142</v>
      </c>
      <c r="K12916" s="25" t="n">
        <f aca="false">IFERROR(MATCH(288,Clients!$Z$2:$Z$501,0),0)</f>
        <v>0</v>
      </c>
      <c r="L12916" s="25"/>
      <c r="M12916" s="25"/>
      <c r="N12916" s="25"/>
      <c r="O12916" s="25"/>
    </row>
    <row r="12917" customFormat="false" ht="21.75" hidden="false" customHeight="true" outlineLevel="0" collapsed="false">
      <c r="B12917" s="26" t="str">
        <f aca="false">Cab_Nom</f>
        <v>ALTHO EXPERTISE</v>
      </c>
      <c r="C12917" s="26"/>
      <c r="D12917" s="10"/>
      <c r="E12917" s="27" t="str">
        <f aca="false">IF($K$12916=0,"","Réf. client : "&amp;INDEX(Clients!$A$2:$A$501,$K$12916))</f>
        <v/>
      </c>
      <c r="F12917" s="27"/>
      <c r="J12917" s="25" t="s">
        <v>144</v>
      </c>
      <c r="K12917" s="25" t="str">
        <f aca="false">IF(IF($K$12916=0,"",INDEX(Clients!$B$2:$B$501,$K$12916)&amp;"")="Mme","Madame",IF(IF($K$12916=0,"",INDEX(Clients!$B$2:$B$501,$K$12916)&amp;"")="M.","Monsieur","Madame, Monsieur"))</f>
        <v>Madame, Monsieur</v>
      </c>
      <c r="L12917" s="25"/>
      <c r="M12917" s="25"/>
      <c r="N12917" s="25"/>
      <c r="O12917" s="25"/>
    </row>
    <row r="12918" customFormat="false" ht="15" hidden="false" customHeight="false" outlineLevel="0" collapsed="false">
      <c r="B12918" s="29" t="str">
        <f aca="false">Cab_Adr1</f>
        <v>141 rue Charles de Gaulle</v>
      </c>
      <c r="C12918" s="29"/>
      <c r="D12918" s="10"/>
      <c r="E12918" s="10"/>
      <c r="F12918" s="10"/>
      <c r="J12918" s="25" t="s">
        <v>145</v>
      </c>
      <c r="K12918" s="25" t="str">
        <f aca="false">DAY(Date_Effet)&amp;IF(DAY(Date_Effet)=1,"er","")&amp;" "&amp;INDEX(Liste_Mois,MONTH(Date_Effet))&amp;" "&amp;YEAR(Date_Effet)</f>
        <v>1er janvier 2027</v>
      </c>
      <c r="L12918" s="25"/>
      <c r="M12918" s="25"/>
      <c r="N12918" s="25"/>
      <c r="O12918" s="25"/>
    </row>
    <row r="12919" customFormat="false" ht="15" hidden="false" customHeight="false" outlineLevel="0" collapsed="false">
      <c r="B12919" s="29" t="str">
        <f aca="false">Cab_CPVille</f>
        <v>95130 LE PLESSIS-BOUCHARD</v>
      </c>
      <c r="C12919" s="29"/>
      <c r="D12919" s="10"/>
      <c r="E12919" s="10"/>
      <c r="F12919" s="10"/>
      <c r="J12919" s="25" t="s">
        <v>146</v>
      </c>
      <c r="K12919" s="25" t="str">
        <f aca="false">IF(SUM($K$12943:$K$12946)=0,"",FIXED((SUM($L$12943:$L$12946)/SUM($K$12943:$K$12946)-1)*100,1)&amp;" %")</f>
        <v/>
      </c>
      <c r="L12919" s="25"/>
      <c r="M12919" s="25"/>
      <c r="N12919" s="25"/>
      <c r="O12919" s="25"/>
    </row>
    <row r="12920" customFormat="false" ht="15" hidden="false" customHeight="false" outlineLevel="0" collapsed="false">
      <c r="B12920" s="29" t="str">
        <f aca="false">Cab_Contact</f>
        <v>Tél. 01 34 14 53 45  ·  altho@altho-experts.com  ·  altho-experts.com</v>
      </c>
      <c r="C12920" s="29"/>
      <c r="D12920" s="10"/>
      <c r="E12920" s="10"/>
      <c r="F12920" s="10"/>
      <c r="J12920" s="25"/>
      <c r="K12920" s="25"/>
      <c r="L12920" s="25"/>
      <c r="M12920" s="25"/>
      <c r="N12920" s="25"/>
      <c r="O12920" s="25"/>
    </row>
    <row r="12921" customFormat="false" ht="6" hidden="false" customHeight="true" outlineLevel="0" collapsed="false">
      <c r="B12921" s="32"/>
      <c r="C12921" s="32"/>
      <c r="D12921" s="32"/>
      <c r="E12921" s="32"/>
      <c r="F12921" s="32"/>
      <c r="J12921" s="25"/>
      <c r="K12921" s="25"/>
      <c r="L12921" s="25"/>
      <c r="M12921" s="25"/>
      <c r="N12921" s="25"/>
      <c r="O12921" s="25"/>
    </row>
    <row r="12922" customFormat="false" ht="13.5" hidden="false" customHeight="true" outlineLevel="0" collapsed="false">
      <c r="B12922" s="10"/>
      <c r="C12922" s="10"/>
      <c r="D12922" s="10"/>
      <c r="E12922" s="10"/>
      <c r="F12922" s="10"/>
      <c r="J12922" s="25"/>
      <c r="K12922" s="25"/>
      <c r="L12922" s="25"/>
      <c r="M12922" s="25"/>
      <c r="N12922" s="25"/>
      <c r="O12922" s="25"/>
    </row>
    <row r="12923" customFormat="false" ht="13.5" hidden="false" customHeight="true" outlineLevel="0" collapsed="false">
      <c r="B12923" s="10"/>
      <c r="C12923" s="10"/>
      <c r="D12923" s="10"/>
      <c r="E12923" s="10"/>
      <c r="F12923" s="10"/>
      <c r="J12923" s="25"/>
      <c r="K12923" s="25"/>
      <c r="L12923" s="25"/>
      <c r="M12923" s="25"/>
      <c r="N12923" s="25"/>
      <c r="O12923" s="25"/>
    </row>
    <row r="12924" customFormat="false" ht="13.5" hidden="false" customHeight="true" outlineLevel="0" collapsed="false">
      <c r="B12924" s="10"/>
      <c r="C12924" s="10"/>
      <c r="D12924" s="10"/>
      <c r="E12924" s="10"/>
      <c r="F12924" s="10"/>
      <c r="J12924" s="25"/>
      <c r="K12924" s="25"/>
      <c r="L12924" s="25"/>
      <c r="M12924" s="25"/>
      <c r="N12924" s="25"/>
      <c r="O12924" s="25"/>
    </row>
    <row r="12925" customFormat="false" ht="15" hidden="false" customHeight="true" outlineLevel="0" collapsed="false">
      <c r="B12925" s="10"/>
      <c r="C12925" s="10"/>
      <c r="D12925" s="34" t="str">
        <f aca="false">IF($K$12916=0,"",INDEX(Clients!$E$2:$E$501,$K$12916)&amp;"")</f>
        <v/>
      </c>
      <c r="E12925" s="34"/>
      <c r="F12925" s="34"/>
      <c r="J12925" s="25"/>
      <c r="K12925" s="25"/>
      <c r="L12925" s="25"/>
      <c r="M12925" s="25"/>
      <c r="N12925" s="25"/>
      <c r="O12925" s="25"/>
    </row>
    <row r="12926" customFormat="false" ht="15" hidden="false" customHeight="true" outlineLevel="0" collapsed="false">
      <c r="B12926" s="10"/>
      <c r="C12926" s="10"/>
      <c r="D12926" s="35" t="str">
        <f aca="false">IF(IF($K$12916=0,"",INDEX(Clients!$D$2:$D$501,$K$12916)&amp;"")="","","À l'attention de "&amp;TRIM(IF($K$12916=0,"",INDEX(Clients!$B$2:$B$501,$K$12916)&amp;"")&amp;" "&amp;IF($K$12916=0,"",INDEX(Clients!$C$2:$C$501,$K$12916)&amp;"")&amp;" "&amp;IF($K$12916=0,"",INDEX(Clients!$D$2:$D$501,$K$12916)&amp;"")))</f>
        <v/>
      </c>
      <c r="E12926" s="35"/>
      <c r="F12926" s="35"/>
      <c r="J12926" s="25"/>
      <c r="K12926" s="25"/>
      <c r="L12926" s="25"/>
      <c r="M12926" s="25"/>
      <c r="N12926" s="25"/>
      <c r="O12926" s="25"/>
    </row>
    <row r="12927" customFormat="false" ht="15" hidden="false" customHeight="true" outlineLevel="0" collapsed="false">
      <c r="B12927" s="10"/>
      <c r="C12927" s="10"/>
      <c r="D12927" s="35" t="str">
        <f aca="false">IF($K$12916=0,"",INDEX(Clients!$F$2:$F$501,$K$12916)&amp;"")</f>
        <v/>
      </c>
      <c r="E12927" s="35"/>
      <c r="F12927" s="35"/>
      <c r="J12927" s="25"/>
      <c r="K12927" s="25"/>
      <c r="L12927" s="25"/>
      <c r="M12927" s="25"/>
      <c r="N12927" s="25"/>
      <c r="O12927" s="25"/>
    </row>
    <row r="12928" customFormat="false" ht="15" hidden="false" customHeight="true" outlineLevel="0" collapsed="false">
      <c r="B12928" s="10"/>
      <c r="C12928" s="10"/>
      <c r="D12928" s="35" t="str">
        <f aca="false">IF(IF($K$12916=0,"",INDEX(Clients!$G$2:$G$501,$K$12916)&amp;"")="",TRIM(IF($K$12916=0,"",INDEX(Clients!$H$2:$H$501,$K$12916)&amp;"")&amp;" "&amp;UPPER(IF($K$12916=0,"",INDEX(Clients!$I$2:$I$501,$K$12916)&amp;""))),IF($K$12916=0,"",INDEX(Clients!$G$2:$G$501,$K$12916)&amp;""))</f>
        <v/>
      </c>
      <c r="E12928" s="35"/>
      <c r="F12928" s="35"/>
      <c r="J12928" s="25"/>
      <c r="K12928" s="25"/>
      <c r="L12928" s="25"/>
      <c r="M12928" s="25"/>
      <c r="N12928" s="25"/>
      <c r="O12928" s="25"/>
    </row>
    <row r="12929" customFormat="false" ht="15" hidden="false" customHeight="true" outlineLevel="0" collapsed="false">
      <c r="B12929" s="10"/>
      <c r="C12929" s="10"/>
      <c r="D12929" s="35" t="str">
        <f aca="false">IF(IF($K$12916=0,"",INDEX(Clients!$G$2:$G$501,$K$12916)&amp;"")="","",TRIM(IF($K$12916=0,"",INDEX(Clients!$H$2:$H$501,$K$12916)&amp;"")&amp;" "&amp;UPPER(IF($K$12916=0,"",INDEX(Clients!$I$2:$I$501,$K$12916)&amp;""))))</f>
        <v/>
      </c>
      <c r="E12929" s="35"/>
      <c r="F12929" s="35"/>
      <c r="J12929" s="25"/>
      <c r="K12929" s="25"/>
      <c r="L12929" s="25"/>
      <c r="M12929" s="25"/>
      <c r="N12929" s="25"/>
      <c r="O12929" s="25"/>
    </row>
    <row r="12930" customFormat="false" ht="25.5" hidden="false" customHeight="true" outlineLevel="0" collapsed="false">
      <c r="B12930" s="10"/>
      <c r="C12930" s="10"/>
      <c r="D12930" s="10"/>
      <c r="E12930" s="10"/>
      <c r="F12930" s="10"/>
      <c r="J12930" s="25"/>
      <c r="K12930" s="25"/>
      <c r="L12930" s="25"/>
      <c r="M12930" s="25"/>
      <c r="N12930" s="25"/>
      <c r="O12930" s="25"/>
    </row>
    <row r="12931" customFormat="false" ht="15" hidden="false" customHeight="false" outlineLevel="0" collapsed="false">
      <c r="B12931" s="10"/>
      <c r="C12931" s="10"/>
      <c r="D12931" s="36" t="str">
        <f aca="false">Cab_Ville&amp;", le "&amp;DAY(Date_Courrier)&amp;IF(DAY(Date_Courrier)=1,"er","")&amp;" "&amp;INDEX(Liste_Mois,MONTH(Date_Courrier))&amp;" "&amp;YEAR(Date_Courrier)</f>
        <v>Le Plessis-Bouchard, le 22 septembre 2026</v>
      </c>
      <c r="E12931" s="36"/>
      <c r="F12931" s="36"/>
      <c r="J12931" s="25"/>
      <c r="K12931" s="25"/>
      <c r="L12931" s="25"/>
      <c r="M12931" s="25"/>
      <c r="N12931" s="25"/>
      <c r="O12931" s="25"/>
    </row>
    <row r="12932" customFormat="false" ht="19.5" hidden="false" customHeight="true" outlineLevel="0" collapsed="false">
      <c r="B12932" s="10"/>
      <c r="C12932" s="10"/>
      <c r="D12932" s="10"/>
      <c r="E12932" s="10"/>
      <c r="F12932" s="10"/>
      <c r="J12932" s="25"/>
      <c r="K12932" s="25"/>
      <c r="L12932" s="25"/>
      <c r="M12932" s="25"/>
      <c r="N12932" s="25"/>
      <c r="O12932" s="25"/>
    </row>
    <row r="12933" customFormat="false" ht="15" hidden="false" customHeight="false" outlineLevel="0" collapsed="false">
      <c r="B12933" s="34" t="str">
        <f aca="false">SUBSTITUTE(SUBSTITUTE(SUBSTITUTE(SUBSTITUTE(SUBSTITUTE(Txt_Objet,"{cabinet}",Cab_Nom),"{societe}",IF($K$12916=0,"",INDEX(Clients!$E$2:$E$501,$K$12916)&amp;"")),"{date_effet}",$K$12918),"{hausse}",$K$12919),"{civilite}",$K$12917)</f>
        <v>Objet : révision de nos honoraires au 1er janvier 2027</v>
      </c>
      <c r="C12933" s="34"/>
      <c r="D12933" s="34"/>
      <c r="E12933" s="34"/>
      <c r="F12933" s="34"/>
      <c r="J12933" s="25"/>
      <c r="K12933" s="25"/>
      <c r="L12933" s="25"/>
      <c r="M12933" s="25"/>
      <c r="N12933" s="25"/>
      <c r="O12933" s="25"/>
    </row>
    <row r="12934" customFormat="false" ht="13.5" hidden="false" customHeight="true" outlineLevel="0" collapsed="false">
      <c r="B12934" s="10"/>
      <c r="C12934" s="10"/>
      <c r="D12934" s="10"/>
      <c r="E12934" s="10"/>
      <c r="F12934" s="10"/>
      <c r="J12934" s="25"/>
      <c r="K12934" s="25"/>
      <c r="L12934" s="25"/>
      <c r="M12934" s="25"/>
      <c r="N12934" s="25"/>
      <c r="O12934" s="25"/>
    </row>
    <row r="12935" customFormat="false" ht="15" hidden="false" customHeight="false" outlineLevel="0" collapsed="false">
      <c r="B12935" s="10" t="str">
        <f aca="false">$K$12917&amp;","</f>
        <v>Madame, Monsieur,</v>
      </c>
      <c r="C12935" s="10"/>
      <c r="D12935" s="10"/>
      <c r="E12935" s="10"/>
      <c r="F12935" s="10"/>
      <c r="J12935" s="25"/>
      <c r="K12935" s="25"/>
      <c r="L12935" s="25"/>
      <c r="M12935" s="25"/>
      <c r="N12935" s="25"/>
      <c r="O12935" s="25"/>
    </row>
    <row r="12936" customFormat="false" ht="6" hidden="false" customHeight="true" outlineLevel="0" collapsed="false">
      <c r="B12936" s="10"/>
      <c r="C12936" s="10"/>
      <c r="D12936" s="10"/>
      <c r="E12936" s="10"/>
      <c r="F12936" s="10"/>
      <c r="J12936" s="25"/>
      <c r="K12936" s="25"/>
      <c r="L12936" s="25"/>
      <c r="M12936" s="25"/>
      <c r="N12936" s="25"/>
      <c r="O12936" s="25"/>
    </row>
    <row r="12937" customFormat="false" ht="36.75" hidden="false" customHeight="true" outlineLevel="0" collapsed="false">
      <c r="B12937" s="37" t="str">
        <f aca="false">SUBSTITUTE(SUBSTITUTE(SUBSTITUTE(SUBSTITUTE(SUBSTITUTE(Txt_P1,"{cabinet}",Cab_Nom),"{societe}",IF($K$12916=0,"",INDEX(Clients!$E$2:$E$501,$K$12916)&amp;"")),"{date_effet}",$K$12918),"{hausse}",$K$12919),"{civilite}",$K$12917)</f>
        <v>Nous tenons tout d'abord à vous remercier pour la confiance que vous accordez à ALTHO EXPERTISE. Comme chaque année, et conformément aux dispositions de votre lettre de mission, nous procédons à la révision de nos honoraires.</v>
      </c>
      <c r="C12937" s="37"/>
      <c r="D12937" s="37"/>
      <c r="E12937" s="37"/>
      <c r="F12937" s="37"/>
      <c r="J12937" s="25"/>
      <c r="K12937" s="25"/>
      <c r="L12937" s="25"/>
      <c r="M12937" s="25"/>
      <c r="N12937" s="25"/>
      <c r="O12937" s="25"/>
    </row>
    <row r="12938" customFormat="false" ht="49.5" hidden="false" customHeight="true" outlineLevel="0" collapsed="false">
      <c r="B12938" s="37" t="str">
        <f aca="false">SUBSTITUTE(SUBSTITUTE(SUBSTITUTE(SUBSTITUTE(SUBSTITUTE(Txt_P2,"{cabinet}",Cab_Nom),"{societe}",IF($K$12916=0,"",INDEX(Clients!$E$2:$E$501,$K$12916)&amp;"")),"{date_effet}",$K$12918),"{hausse}",$K$12919),"{civilite}",$K$12917)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938" s="37"/>
      <c r="D12938" s="37"/>
      <c r="E12938" s="37"/>
      <c r="F12938" s="37"/>
      <c r="J12938" s="25"/>
      <c r="K12938" s="25"/>
      <c r="L12938" s="25"/>
      <c r="M12938" s="25"/>
      <c r="N12938" s="25"/>
      <c r="O12938" s="25"/>
    </row>
    <row r="12939" customFormat="false" ht="63" hidden="false" customHeight="true" outlineLevel="0" collapsed="false">
      <c r="B12939" s="37" t="str">
        <f aca="false">SUBSTITUTE(SUBSTITUTE(SUBSTITUTE(SUBSTITUTE(SUBSTITUTE(Txt_P3,"{cabinet}",Cab_Nom),"{societe}",IF($K$12916=0,"",INDEX(Clients!$E$2:$E$501,$K$12916)&amp;"")),"{date_effet}",$K$12918),"{hausse}",$K$12919),"{civilite}",$K$12917)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939" s="37"/>
      <c r="D12939" s="37"/>
      <c r="E12939" s="37"/>
      <c r="F12939" s="37"/>
      <c r="J12939" s="25"/>
      <c r="K12939" s="25"/>
      <c r="L12939" s="25"/>
      <c r="M12939" s="25"/>
      <c r="N12939" s="25"/>
      <c r="O12939" s="25"/>
    </row>
    <row r="12940" customFormat="false" ht="24" hidden="false" customHeight="true" outlineLevel="0" collapsed="false">
      <c r="B12940" s="37" t="str">
        <f aca="false">SUBSTITUTE(SUBSTITUTE(SUBSTITUTE(SUBSTITUTE(SUBSTITUTE(Txt_P4,"{cabinet}",Cab_Nom),"{societe}",IF($K$12916=0,"",INDEX(Clients!$E$2:$E$501,$K$12916)&amp;"")),"{date_effet}",$K$12918),"{hausse}",$K$12919),"{civilite}",$K$12917)</f>
        <v>À compter du 1er janvier 2027, vos honoraires annuels hors taxes évolueront ainsi (évolution globale : ) :</v>
      </c>
      <c r="C12940" s="37"/>
      <c r="D12940" s="37"/>
      <c r="E12940" s="37"/>
      <c r="F12940" s="37"/>
      <c r="J12940" s="25"/>
      <c r="K12940" s="25"/>
      <c r="L12940" s="25"/>
      <c r="M12940" s="25"/>
      <c r="N12940" s="25"/>
      <c r="O12940" s="25"/>
    </row>
    <row r="12941" customFormat="false" ht="3.75" hidden="false" customHeight="true" outlineLevel="0" collapsed="false">
      <c r="B12941" s="10"/>
      <c r="C12941" s="10"/>
      <c r="D12941" s="10"/>
      <c r="E12941" s="10"/>
      <c r="F12941" s="10"/>
      <c r="J12941" s="25"/>
      <c r="K12941" s="25"/>
      <c r="L12941" s="25"/>
      <c r="M12941" s="25"/>
      <c r="N12941" s="25"/>
      <c r="O12941" s="25"/>
    </row>
    <row r="12942" customFormat="false" ht="18" hidden="false" customHeight="true" outlineLevel="0" collapsed="false">
      <c r="B12942" s="38" t="s">
        <v>148</v>
      </c>
      <c r="C12942" s="39" t="s">
        <v>149</v>
      </c>
      <c r="D12942" s="39" t="s">
        <v>150</v>
      </c>
      <c r="E12942" s="39" t="s">
        <v>151</v>
      </c>
      <c r="F12942" s="39" t="s">
        <v>109</v>
      </c>
      <c r="J12942" s="25" t="s">
        <v>152</v>
      </c>
      <c r="K12942" s="25" t="s">
        <v>153</v>
      </c>
      <c r="L12942" s="25" t="s">
        <v>154</v>
      </c>
      <c r="M12942" s="25" t="s">
        <v>155</v>
      </c>
      <c r="N12942" s="25" t="s">
        <v>156</v>
      </c>
      <c r="O12942" s="25" t="s">
        <v>157</v>
      </c>
    </row>
    <row r="12943" customFormat="false" ht="16.5" hidden="false" customHeight="true" outlineLevel="0" collapsed="false">
      <c r="B12943" s="40" t="str">
        <f aca="false">IFERROR(INDEX($J$12943:$J$12946,MATCH($O12943,$N$12943:$N$12946,0)),"")</f>
        <v/>
      </c>
      <c r="C12943" s="41" t="str">
        <f aca="false">IFERROR(INDEX($K$12943:$K$12946,MATCH($O12943,$N$12943:$N$12946,0)),"")</f>
        <v/>
      </c>
      <c r="D12943" s="42" t="str">
        <f aca="false">IF(OR(E12943="",N(C12943)=0),"",E12943/C12943-1)</f>
        <v/>
      </c>
      <c r="E12943" s="41" t="str">
        <f aca="false">IFERROR(INDEX($L$12943:$L$12946,MATCH($O12943,$N$12943:$N$12946,0)),"")</f>
        <v/>
      </c>
      <c r="F12943" s="41" t="str">
        <f aca="false">IF(E12943="","",E12943-C12943)</f>
        <v/>
      </c>
      <c r="J12943" s="25" t="str">
        <f aca="false">Lib_Compta</f>
        <v>Mission comptable (tenue, révision, bilan, liasse fiscale)</v>
      </c>
      <c r="K12943" s="25" t="n">
        <f aca="false">IF($K$12916=0,0,N(INDEX(Clients!$K$2:$K$501,$K$12916)))</f>
        <v>0</v>
      </c>
      <c r="L12943" s="25" t="n">
        <f aca="false">IF($K$12916=0,0,N(INDEX(Clients!$P$2:$P$501,$K$12916)))</f>
        <v>0</v>
      </c>
      <c r="M12943" s="25" t="n">
        <f aca="false">IF(OR(K12943&lt;&gt;0,L12943&lt;&gt;0),1,0)</f>
        <v>0</v>
      </c>
      <c r="N12943" s="25" t="str">
        <f aca="false">IF(M12943=1,SUM($M$12943:M12943),"")</f>
        <v/>
      </c>
      <c r="O12943" s="25" t="n">
        <v>1</v>
      </c>
    </row>
    <row r="12944" customFormat="false" ht="16.5" hidden="false" customHeight="true" outlineLevel="0" collapsed="false">
      <c r="B12944" s="40" t="str">
        <f aca="false">IFERROR(INDEX($J$12943:$J$12946,MATCH($O12944,$N$12943:$N$12946,0)),"")</f>
        <v/>
      </c>
      <c r="C12944" s="41" t="str">
        <f aca="false">IFERROR(INDEX($K$12943:$K$12946,MATCH($O12944,$N$12943:$N$12946,0)),"")</f>
        <v/>
      </c>
      <c r="D12944" s="42" t="str">
        <f aca="false">IF(OR(E12944="",N(C12944)=0),"",E12944/C12944-1)</f>
        <v/>
      </c>
      <c r="E12944" s="41" t="str">
        <f aca="false">IFERROR(INDEX($L$12943:$L$12946,MATCH($O12944,$N$12943:$N$12946,0)),"")</f>
        <v/>
      </c>
      <c r="F12944" s="41" t="str">
        <f aca="false">IF(E12944="","",E12944-C12944)</f>
        <v/>
      </c>
      <c r="J12944" s="25" t="str">
        <f aca="false">Lib_Paye</f>
        <v>Mission sociale (bulletins de paie, DSN, déclarations sociales)</v>
      </c>
      <c r="K12944" s="25" t="n">
        <f aca="false">IF($K$12916=0,0,N(INDEX(Clients!$L$2:$L$501,$K$12916)))</f>
        <v>0</v>
      </c>
      <c r="L12944" s="25" t="n">
        <f aca="false">IF($K$12916=0,0,N(INDEX(Clients!$Q$2:$Q$501,$K$12916)))</f>
        <v>0</v>
      </c>
      <c r="M12944" s="25" t="n">
        <f aca="false">IF(OR(K12944&lt;&gt;0,L12944&lt;&gt;0),1,0)</f>
        <v>0</v>
      </c>
      <c r="N12944" s="25" t="str">
        <f aca="false">IF(M12944=1,SUM($M$12943:M12944),"")</f>
        <v/>
      </c>
      <c r="O12944" s="25" t="n">
        <v>2</v>
      </c>
    </row>
    <row r="12945" customFormat="false" ht="16.5" hidden="false" customHeight="true" outlineLevel="0" collapsed="false">
      <c r="B12945" s="40" t="str">
        <f aca="false">IFERROR(INDEX($J$12943:$J$12946,MATCH($O12945,$N$12943:$N$12946,0)),"")</f>
        <v/>
      </c>
      <c r="C12945" s="41" t="str">
        <f aca="false">IFERROR(INDEX($K$12943:$K$12946,MATCH($O12945,$N$12943:$N$12946,0)),"")</f>
        <v/>
      </c>
      <c r="D12945" s="42" t="str">
        <f aca="false">IF(OR(E12945="",N(C12945)=0),"",E12945/C12945-1)</f>
        <v/>
      </c>
      <c r="E12945" s="41" t="str">
        <f aca="false">IFERROR(INDEX($L$12943:$L$12946,MATCH($O12945,$N$12943:$N$12946,0)),"")</f>
        <v/>
      </c>
      <c r="F12945" s="41" t="str">
        <f aca="false">IF(E12945="","",E12945-C12945)</f>
        <v/>
      </c>
      <c r="J12945" s="25" t="str">
        <f aca="false">Lib_Jur</f>
        <v>Mission juridique (approbation des comptes, secrétariat juridique)</v>
      </c>
      <c r="K12945" s="25" t="n">
        <f aca="false">IF($K$12916=0,0,N(INDEX(Clients!$M$2:$M$501,$K$12916)))</f>
        <v>0</v>
      </c>
      <c r="L12945" s="25" t="n">
        <f aca="false">IF($K$12916=0,0,N(INDEX(Clients!$R$2:$R$501,$K$12916)))</f>
        <v>0</v>
      </c>
      <c r="M12945" s="25" t="n">
        <f aca="false">IF(OR(K12945&lt;&gt;0,L12945&lt;&gt;0),1,0)</f>
        <v>0</v>
      </c>
      <c r="N12945" s="25" t="str">
        <f aca="false">IF(M12945=1,SUM($M$12943:M12945),"")</f>
        <v/>
      </c>
      <c r="O12945" s="25" t="n">
        <v>3</v>
      </c>
    </row>
    <row r="12946" customFormat="false" ht="16.5" hidden="false" customHeight="true" outlineLevel="0" collapsed="false">
      <c r="B12946" s="40" t="str">
        <f aca="false">IFERROR(INDEX($J$12943:$J$12946,MATCH($O12946,$N$12943:$N$12946,0)),"")</f>
        <v/>
      </c>
      <c r="C12946" s="41" t="str">
        <f aca="false">IFERROR(INDEX($K$12943:$K$12946,MATCH($O12946,$N$12943:$N$12946,0)),"")</f>
        <v/>
      </c>
      <c r="D12946" s="42" t="str">
        <f aca="false">IF(OR(E12946="",N(C12946)=0),"",E12946/C12946-1)</f>
        <v/>
      </c>
      <c r="E12946" s="41" t="str">
        <f aca="false">IFERROR(INDEX($L$12943:$L$12946,MATCH($O12946,$N$12943:$N$12946,0)),"")</f>
        <v/>
      </c>
      <c r="F12946" s="41" t="str">
        <f aca="false">IF(E12946="","",E12946-C12946)</f>
        <v/>
      </c>
      <c r="J12946" s="25" t="str">
        <f aca="false">Lib_PA</f>
        <v>Plateforme agréée – facturation électronique</v>
      </c>
      <c r="K12946" s="25" t="n">
        <f aca="false">IF($K$12916=0,0,N(INDEX(Clients!$N$2:$N$501,$K$12916)))</f>
        <v>0</v>
      </c>
      <c r="L12946" s="25" t="n">
        <f aca="false">IF($K$12916=0,0,N(INDEX(Clients!$S$2:$S$501,$K$12916)))</f>
        <v>0</v>
      </c>
      <c r="M12946" s="25" t="n">
        <f aca="false">IF(OR(K12946&lt;&gt;0,L12946&lt;&gt;0),1,0)</f>
        <v>0</v>
      </c>
      <c r="N12946" s="25" t="str">
        <f aca="false">IF(M12946=1,SUM($M$12943:M12946),"")</f>
        <v/>
      </c>
      <c r="O12946" s="25" t="n">
        <v>4</v>
      </c>
    </row>
    <row r="12947" customFormat="false" ht="18" hidden="false" customHeight="true" outlineLevel="0" collapsed="false">
      <c r="B12947" s="43" t="s">
        <v>158</v>
      </c>
      <c r="C12947" s="44" t="n">
        <f aca="false">SUM(K12943:K12946)</f>
        <v>0</v>
      </c>
      <c r="D12947" s="45" t="str">
        <f aca="false">IF(N(C12947)=0,"",E12947/C12947-1)</f>
        <v/>
      </c>
      <c r="E12947" s="44" t="n">
        <f aca="false">SUM(L12943:L12946)</f>
        <v>0</v>
      </c>
      <c r="F12947" s="44" t="n">
        <f aca="false">E12947-C12947</f>
        <v>0</v>
      </c>
    </row>
    <row r="12948" customFormat="false" ht="15" hidden="false" customHeight="false" outlineLevel="0" collapsed="false">
      <c r="B12948" s="46" t="str">
        <f aca="false">IF(N(Nb_Mensualites)=0,"","Soit "&amp;FIXED(E12947/Nb_Mensualites,2)&amp;" € HT par échéance ("&amp;Nb_Mensualites&amp;" échéances), "&amp;FIXED(E12947/Nb_Mensualites*(1+Taux_TVA),2)&amp;" € TTC.")</f>
        <v>Soit 0.00 € HT par échéance (12 échéances), 0.00 € TTC.</v>
      </c>
      <c r="C12948" s="46"/>
      <c r="D12948" s="46"/>
      <c r="E12948" s="46"/>
      <c r="F12948" s="46"/>
    </row>
    <row r="12949" customFormat="false" ht="7.5" hidden="false" customHeight="true" outlineLevel="0" collapsed="false">
      <c r="B12949" s="10"/>
      <c r="C12949" s="10"/>
      <c r="D12949" s="10"/>
      <c r="E12949" s="10"/>
      <c r="F12949" s="10"/>
    </row>
    <row r="12950" customFormat="false" ht="36.75" hidden="false" customHeight="true" outlineLevel="0" collapsed="false">
      <c r="B12950" s="37" t="str">
        <f aca="false">SUBSTITUTE(SUBSTITUTE(SUBSTITUTE(SUBSTITUTE(SUBSTITUTE(Txt_P5,"{cabinet}",Cab_Nom),"{societe}",IF($K$12916=0,"",INDEX(Clients!$E$2:$E$501,$K$12916)&amp;"")),"{date_effet}",$K$12918),"{hausse}",$K$12919),"{civilite}",$K$12917)</f>
        <v>Les autres conditions de votre lettre de mission demeurent inchangées. Les nouveaux montants seront appliqués automatiquement sur vos prochaines factures et échéances de prélèvement.</v>
      </c>
      <c r="C12950" s="37"/>
      <c r="D12950" s="37"/>
      <c r="E12950" s="37"/>
      <c r="F12950" s="37"/>
    </row>
    <row r="12951" customFormat="false" ht="36.75" hidden="false" customHeight="true" outlineLevel="0" collapsed="false">
      <c r="B12951" s="37" t="str">
        <f aca="false">SUBSTITUTE(SUBSTITUTE(SUBSTITUTE(SUBSTITUTE(SUBSTITUTE(Txt_P6,"{cabinet}",Cab_Nom),"{societe}",IF($K$12916=0,"",INDEX(Clients!$E$2:$E$501,$K$12916)&amp;"")),"{date_effet}",$K$12918),"{hausse}",$K$12919),"{civilite}",$K$12917)</f>
        <v>Votre interlocuteur habituel reste à votre entière disposition pour répondre à vos questions et faire le point sur l'évolution de vos besoins.</v>
      </c>
      <c r="C12951" s="37"/>
      <c r="D12951" s="37"/>
      <c r="E12951" s="37"/>
      <c r="F12951" s="37"/>
    </row>
    <row r="12952" customFormat="false" ht="24" hidden="false" customHeight="true" outlineLevel="0" collapsed="false">
      <c r="B12952" s="37" t="str">
        <f aca="false">SUBSTITUTE(SUBSTITUTE(SUBSTITUTE(SUBSTITUTE(SUBSTITUTE(Txt_Politesse,"{cabinet}",Cab_Nom),"{societe}",IF($K$12916=0,"",INDEX(Clients!$E$2:$E$501,$K$12916)&amp;"")),"{date_effet}",$K$12918),"{hausse}",$K$12919),"{civilite}",$K$12917)</f>
        <v>Nous vous prions d'agréer, Madame, Monsieur, l'expression de nos salutations distinguées.</v>
      </c>
      <c r="C12952" s="37"/>
      <c r="D12952" s="37"/>
      <c r="E12952" s="37"/>
      <c r="F12952" s="37"/>
    </row>
    <row r="12953" customFormat="false" ht="15" hidden="false" customHeight="false" outlineLevel="0" collapsed="false">
      <c r="B12953" s="10"/>
      <c r="C12953" s="10"/>
      <c r="D12953" s="10"/>
      <c r="E12953" s="10"/>
      <c r="F12953" s="10"/>
    </row>
    <row r="12954" customFormat="false" ht="15" hidden="false" customHeight="false" outlineLevel="0" collapsed="false">
      <c r="B12954" s="10"/>
      <c r="C12954" s="10"/>
      <c r="D12954" s="34" t="str">
        <f aca="false">Signataire</f>
        <v>Prénom NOM</v>
      </c>
      <c r="E12954" s="34"/>
      <c r="F12954" s="34"/>
    </row>
    <row r="12955" customFormat="false" ht="15" hidden="false" customHeight="false" outlineLevel="0" collapsed="false">
      <c r="B12955" s="10"/>
      <c r="C12955" s="10"/>
      <c r="D12955" s="47" t="str">
        <f aca="false">Signataire_Titre</f>
        <v>Expert-comptable associé</v>
      </c>
      <c r="E12955" s="47"/>
      <c r="F12955" s="47"/>
    </row>
    <row r="12956" customFormat="false" ht="15.75" hidden="false" customHeight="true" outlineLevel="0" collapsed="false">
      <c r="B12956" s="10"/>
      <c r="C12956" s="10"/>
      <c r="D12956" s="10"/>
      <c r="E12956" s="10"/>
      <c r="F12956" s="10"/>
    </row>
    <row r="12957" customFormat="false" ht="15.75" hidden="false" customHeight="true" outlineLevel="0" collapsed="false">
      <c r="B12957" s="10"/>
      <c r="C12957" s="10"/>
      <c r="D12957" s="10"/>
      <c r="E12957" s="10"/>
      <c r="F12957" s="10"/>
    </row>
    <row r="12958" customFormat="false" ht="15.75" hidden="false" customHeight="true" outlineLevel="0" collapsed="false">
      <c r="B12958" s="10"/>
      <c r="C12958" s="10"/>
      <c r="D12958" s="10"/>
      <c r="E12958" s="10"/>
      <c r="F12958" s="10"/>
    </row>
    <row r="12959" customFormat="false" ht="15.75" hidden="false" customHeight="true" outlineLevel="0" collapsed="false">
      <c r="B12959" s="10"/>
      <c r="C12959" s="10"/>
      <c r="D12959" s="10"/>
      <c r="E12959" s="10"/>
      <c r="F12959" s="10"/>
    </row>
    <row r="12960" customFormat="false" ht="24" hidden="false" customHeight="true" outlineLevel="0" collapsed="false">
      <c r="B12960" s="48" t="str">
        <f aca="false">Cab_Mentions</f>
        <v>ALTHO EXPERTISE · SAS au capital de 10 000 € · RCS Pontoise 919 706 325 · TVA FR62919706325 · Société d'expertise comptable inscrite au Tableau de l'Ordre des experts-comptables de Paris Île-de-France</v>
      </c>
      <c r="C12960" s="48"/>
      <c r="D12960" s="48"/>
      <c r="E12960" s="48"/>
      <c r="F12960" s="48"/>
    </row>
    <row r="12961" customFormat="false" ht="15" hidden="false" customHeight="false" outlineLevel="0" collapsed="false">
      <c r="B12961" s="10"/>
      <c r="C12961" s="10"/>
      <c r="D12961" s="10"/>
      <c r="E12961" s="10"/>
      <c r="F12961" s="10"/>
      <c r="J12961" s="25" t="s">
        <v>142</v>
      </c>
      <c r="K12961" s="25" t="n">
        <f aca="false">IFERROR(MATCH(289,Clients!$Z$2:$Z$501,0),0)</f>
        <v>0</v>
      </c>
      <c r="L12961" s="25"/>
      <c r="M12961" s="25"/>
      <c r="N12961" s="25"/>
      <c r="O12961" s="25"/>
    </row>
    <row r="12962" customFormat="false" ht="21.75" hidden="false" customHeight="true" outlineLevel="0" collapsed="false">
      <c r="B12962" s="26" t="str">
        <f aca="false">Cab_Nom</f>
        <v>ALTHO EXPERTISE</v>
      </c>
      <c r="C12962" s="26"/>
      <c r="D12962" s="10"/>
      <c r="E12962" s="27" t="str">
        <f aca="false">IF($K$12961=0,"","Réf. client : "&amp;INDEX(Clients!$A$2:$A$501,$K$12961))</f>
        <v/>
      </c>
      <c r="F12962" s="27"/>
      <c r="J12962" s="25" t="s">
        <v>144</v>
      </c>
      <c r="K12962" s="25" t="str">
        <f aca="false">IF(IF($K$12961=0,"",INDEX(Clients!$B$2:$B$501,$K$12961)&amp;"")="Mme","Madame",IF(IF($K$12961=0,"",INDEX(Clients!$B$2:$B$501,$K$12961)&amp;"")="M.","Monsieur","Madame, Monsieur"))</f>
        <v>Madame, Monsieur</v>
      </c>
      <c r="L12962" s="25"/>
      <c r="M12962" s="25"/>
      <c r="N12962" s="25"/>
      <c r="O12962" s="25"/>
    </row>
    <row r="12963" customFormat="false" ht="15" hidden="false" customHeight="false" outlineLevel="0" collapsed="false">
      <c r="B12963" s="29" t="str">
        <f aca="false">Cab_Adr1</f>
        <v>141 rue Charles de Gaulle</v>
      </c>
      <c r="C12963" s="29"/>
      <c r="D12963" s="10"/>
      <c r="E12963" s="10"/>
      <c r="F12963" s="10"/>
      <c r="J12963" s="25" t="s">
        <v>145</v>
      </c>
      <c r="K12963" s="25" t="str">
        <f aca="false">DAY(Date_Effet)&amp;IF(DAY(Date_Effet)=1,"er","")&amp;" "&amp;INDEX(Liste_Mois,MONTH(Date_Effet))&amp;" "&amp;YEAR(Date_Effet)</f>
        <v>1er janvier 2027</v>
      </c>
      <c r="L12963" s="25"/>
      <c r="M12963" s="25"/>
      <c r="N12963" s="25"/>
      <c r="O12963" s="25"/>
    </row>
    <row r="12964" customFormat="false" ht="15" hidden="false" customHeight="false" outlineLevel="0" collapsed="false">
      <c r="B12964" s="29" t="str">
        <f aca="false">Cab_CPVille</f>
        <v>95130 LE PLESSIS-BOUCHARD</v>
      </c>
      <c r="C12964" s="29"/>
      <c r="D12964" s="10"/>
      <c r="E12964" s="10"/>
      <c r="F12964" s="10"/>
      <c r="J12964" s="25" t="s">
        <v>146</v>
      </c>
      <c r="K12964" s="25" t="str">
        <f aca="false">IF(SUM($K$12988:$K$12991)=0,"",FIXED((SUM($L$12988:$L$12991)/SUM($K$12988:$K$12991)-1)*100,1)&amp;" %")</f>
        <v/>
      </c>
      <c r="L12964" s="25"/>
      <c r="M12964" s="25"/>
      <c r="N12964" s="25"/>
      <c r="O12964" s="25"/>
    </row>
    <row r="12965" customFormat="false" ht="15" hidden="false" customHeight="false" outlineLevel="0" collapsed="false">
      <c r="B12965" s="29" t="str">
        <f aca="false">Cab_Contact</f>
        <v>Tél. 01 34 14 53 45  ·  altho@altho-experts.com  ·  altho-experts.com</v>
      </c>
      <c r="C12965" s="29"/>
      <c r="D12965" s="10"/>
      <c r="E12965" s="10"/>
      <c r="F12965" s="10"/>
      <c r="J12965" s="25"/>
      <c r="K12965" s="25"/>
      <c r="L12965" s="25"/>
      <c r="M12965" s="25"/>
      <c r="N12965" s="25"/>
      <c r="O12965" s="25"/>
    </row>
    <row r="12966" customFormat="false" ht="6" hidden="false" customHeight="true" outlineLevel="0" collapsed="false">
      <c r="B12966" s="32"/>
      <c r="C12966" s="32"/>
      <c r="D12966" s="32"/>
      <c r="E12966" s="32"/>
      <c r="F12966" s="32"/>
      <c r="J12966" s="25"/>
      <c r="K12966" s="25"/>
      <c r="L12966" s="25"/>
      <c r="M12966" s="25"/>
      <c r="N12966" s="25"/>
      <c r="O12966" s="25"/>
    </row>
    <row r="12967" customFormat="false" ht="13.5" hidden="false" customHeight="true" outlineLevel="0" collapsed="false">
      <c r="B12967" s="10"/>
      <c r="C12967" s="10"/>
      <c r="D12967" s="10"/>
      <c r="E12967" s="10"/>
      <c r="F12967" s="10"/>
      <c r="J12967" s="25"/>
      <c r="K12967" s="25"/>
      <c r="L12967" s="25"/>
      <c r="M12967" s="25"/>
      <c r="N12967" s="25"/>
      <c r="O12967" s="25"/>
    </row>
    <row r="12968" customFormat="false" ht="13.5" hidden="false" customHeight="true" outlineLevel="0" collapsed="false">
      <c r="B12968" s="10"/>
      <c r="C12968" s="10"/>
      <c r="D12968" s="10"/>
      <c r="E12968" s="10"/>
      <c r="F12968" s="10"/>
      <c r="J12968" s="25"/>
      <c r="K12968" s="25"/>
      <c r="L12968" s="25"/>
      <c r="M12968" s="25"/>
      <c r="N12968" s="25"/>
      <c r="O12968" s="25"/>
    </row>
    <row r="12969" customFormat="false" ht="13.5" hidden="false" customHeight="true" outlineLevel="0" collapsed="false">
      <c r="B12969" s="10"/>
      <c r="C12969" s="10"/>
      <c r="D12969" s="10"/>
      <c r="E12969" s="10"/>
      <c r="F12969" s="10"/>
      <c r="J12969" s="25"/>
      <c r="K12969" s="25"/>
      <c r="L12969" s="25"/>
      <c r="M12969" s="25"/>
      <c r="N12969" s="25"/>
      <c r="O12969" s="25"/>
    </row>
    <row r="12970" customFormat="false" ht="15" hidden="false" customHeight="true" outlineLevel="0" collapsed="false">
      <c r="B12970" s="10"/>
      <c r="C12970" s="10"/>
      <c r="D12970" s="34" t="str">
        <f aca="false">IF($K$12961=0,"",INDEX(Clients!$E$2:$E$501,$K$12961)&amp;"")</f>
        <v/>
      </c>
      <c r="E12970" s="34"/>
      <c r="F12970" s="34"/>
      <c r="J12970" s="25"/>
      <c r="K12970" s="25"/>
      <c r="L12970" s="25"/>
      <c r="M12970" s="25"/>
      <c r="N12970" s="25"/>
      <c r="O12970" s="25"/>
    </row>
    <row r="12971" customFormat="false" ht="15" hidden="false" customHeight="true" outlineLevel="0" collapsed="false">
      <c r="B12971" s="10"/>
      <c r="C12971" s="10"/>
      <c r="D12971" s="35" t="str">
        <f aca="false">IF(IF($K$12961=0,"",INDEX(Clients!$D$2:$D$501,$K$12961)&amp;"")="","","À l'attention de "&amp;TRIM(IF($K$12961=0,"",INDEX(Clients!$B$2:$B$501,$K$12961)&amp;"")&amp;" "&amp;IF($K$12961=0,"",INDEX(Clients!$C$2:$C$501,$K$12961)&amp;"")&amp;" "&amp;IF($K$12961=0,"",INDEX(Clients!$D$2:$D$501,$K$12961)&amp;"")))</f>
        <v/>
      </c>
      <c r="E12971" s="35"/>
      <c r="F12971" s="35"/>
      <c r="J12971" s="25"/>
      <c r="K12971" s="25"/>
      <c r="L12971" s="25"/>
      <c r="M12971" s="25"/>
      <c r="N12971" s="25"/>
      <c r="O12971" s="25"/>
    </row>
    <row r="12972" customFormat="false" ht="15" hidden="false" customHeight="true" outlineLevel="0" collapsed="false">
      <c r="B12972" s="10"/>
      <c r="C12972" s="10"/>
      <c r="D12972" s="35" t="str">
        <f aca="false">IF($K$12961=0,"",INDEX(Clients!$F$2:$F$501,$K$12961)&amp;"")</f>
        <v/>
      </c>
      <c r="E12972" s="35"/>
      <c r="F12972" s="35"/>
      <c r="J12972" s="25"/>
      <c r="K12972" s="25"/>
      <c r="L12972" s="25"/>
      <c r="M12972" s="25"/>
      <c r="N12972" s="25"/>
      <c r="O12972" s="25"/>
    </row>
    <row r="12973" customFormat="false" ht="15" hidden="false" customHeight="true" outlineLevel="0" collapsed="false">
      <c r="B12973" s="10"/>
      <c r="C12973" s="10"/>
      <c r="D12973" s="35" t="str">
        <f aca="false">IF(IF($K$12961=0,"",INDEX(Clients!$G$2:$G$501,$K$12961)&amp;"")="",TRIM(IF($K$12961=0,"",INDEX(Clients!$H$2:$H$501,$K$12961)&amp;"")&amp;" "&amp;UPPER(IF($K$12961=0,"",INDEX(Clients!$I$2:$I$501,$K$12961)&amp;""))),IF($K$12961=0,"",INDEX(Clients!$G$2:$G$501,$K$12961)&amp;""))</f>
        <v/>
      </c>
      <c r="E12973" s="35"/>
      <c r="F12973" s="35"/>
      <c r="J12973" s="25"/>
      <c r="K12973" s="25"/>
      <c r="L12973" s="25"/>
      <c r="M12973" s="25"/>
      <c r="N12973" s="25"/>
      <c r="O12973" s="25"/>
    </row>
    <row r="12974" customFormat="false" ht="15" hidden="false" customHeight="true" outlineLevel="0" collapsed="false">
      <c r="B12974" s="10"/>
      <c r="C12974" s="10"/>
      <c r="D12974" s="35" t="str">
        <f aca="false">IF(IF($K$12961=0,"",INDEX(Clients!$G$2:$G$501,$K$12961)&amp;"")="","",TRIM(IF($K$12961=0,"",INDEX(Clients!$H$2:$H$501,$K$12961)&amp;"")&amp;" "&amp;UPPER(IF($K$12961=0,"",INDEX(Clients!$I$2:$I$501,$K$12961)&amp;""))))</f>
        <v/>
      </c>
      <c r="E12974" s="35"/>
      <c r="F12974" s="35"/>
      <c r="J12974" s="25"/>
      <c r="K12974" s="25"/>
      <c r="L12974" s="25"/>
      <c r="M12974" s="25"/>
      <c r="N12974" s="25"/>
      <c r="O12974" s="25"/>
    </row>
    <row r="12975" customFormat="false" ht="25.5" hidden="false" customHeight="true" outlineLevel="0" collapsed="false">
      <c r="B12975" s="10"/>
      <c r="C12975" s="10"/>
      <c r="D12975" s="10"/>
      <c r="E12975" s="10"/>
      <c r="F12975" s="10"/>
      <c r="J12975" s="25"/>
      <c r="K12975" s="25"/>
      <c r="L12975" s="25"/>
      <c r="M12975" s="25"/>
      <c r="N12975" s="25"/>
      <c r="O12975" s="25"/>
    </row>
    <row r="12976" customFormat="false" ht="15" hidden="false" customHeight="false" outlineLevel="0" collapsed="false">
      <c r="B12976" s="10"/>
      <c r="C12976" s="10"/>
      <c r="D12976" s="36" t="str">
        <f aca="false">Cab_Ville&amp;", le "&amp;DAY(Date_Courrier)&amp;IF(DAY(Date_Courrier)=1,"er","")&amp;" "&amp;INDEX(Liste_Mois,MONTH(Date_Courrier))&amp;" "&amp;YEAR(Date_Courrier)</f>
        <v>Le Plessis-Bouchard, le 22 septembre 2026</v>
      </c>
      <c r="E12976" s="36"/>
      <c r="F12976" s="36"/>
      <c r="J12976" s="25"/>
      <c r="K12976" s="25"/>
      <c r="L12976" s="25"/>
      <c r="M12976" s="25"/>
      <c r="N12976" s="25"/>
      <c r="O12976" s="25"/>
    </row>
    <row r="12977" customFormat="false" ht="19.5" hidden="false" customHeight="true" outlineLevel="0" collapsed="false">
      <c r="B12977" s="10"/>
      <c r="C12977" s="10"/>
      <c r="D12977" s="10"/>
      <c r="E12977" s="10"/>
      <c r="F12977" s="10"/>
      <c r="J12977" s="25"/>
      <c r="K12977" s="25"/>
      <c r="L12977" s="25"/>
      <c r="M12977" s="25"/>
      <c r="N12977" s="25"/>
      <c r="O12977" s="25"/>
    </row>
    <row r="12978" customFormat="false" ht="15" hidden="false" customHeight="false" outlineLevel="0" collapsed="false">
      <c r="B12978" s="34" t="str">
        <f aca="false">SUBSTITUTE(SUBSTITUTE(SUBSTITUTE(SUBSTITUTE(SUBSTITUTE(Txt_Objet,"{cabinet}",Cab_Nom),"{societe}",IF($K$12961=0,"",INDEX(Clients!$E$2:$E$501,$K$12961)&amp;"")),"{date_effet}",$K$12963),"{hausse}",$K$12964),"{civilite}",$K$12962)</f>
        <v>Objet : révision de nos honoraires au 1er janvier 2027</v>
      </c>
      <c r="C12978" s="34"/>
      <c r="D12978" s="34"/>
      <c r="E12978" s="34"/>
      <c r="F12978" s="34"/>
      <c r="J12978" s="25"/>
      <c r="K12978" s="25"/>
      <c r="L12978" s="25"/>
      <c r="M12978" s="25"/>
      <c r="N12978" s="25"/>
      <c r="O12978" s="25"/>
    </row>
    <row r="12979" customFormat="false" ht="13.5" hidden="false" customHeight="true" outlineLevel="0" collapsed="false">
      <c r="B12979" s="10"/>
      <c r="C12979" s="10"/>
      <c r="D12979" s="10"/>
      <c r="E12979" s="10"/>
      <c r="F12979" s="10"/>
      <c r="J12979" s="25"/>
      <c r="K12979" s="25"/>
      <c r="L12979" s="25"/>
      <c r="M12979" s="25"/>
      <c r="N12979" s="25"/>
      <c r="O12979" s="25"/>
    </row>
    <row r="12980" customFormat="false" ht="15" hidden="false" customHeight="false" outlineLevel="0" collapsed="false">
      <c r="B12980" s="10" t="str">
        <f aca="false">$K$12962&amp;","</f>
        <v>Madame, Monsieur,</v>
      </c>
      <c r="C12980" s="10"/>
      <c r="D12980" s="10"/>
      <c r="E12980" s="10"/>
      <c r="F12980" s="10"/>
      <c r="J12980" s="25"/>
      <c r="K12980" s="25"/>
      <c r="L12980" s="25"/>
      <c r="M12980" s="25"/>
      <c r="N12980" s="25"/>
      <c r="O12980" s="25"/>
    </row>
    <row r="12981" customFormat="false" ht="6" hidden="false" customHeight="true" outlineLevel="0" collapsed="false">
      <c r="B12981" s="10"/>
      <c r="C12981" s="10"/>
      <c r="D12981" s="10"/>
      <c r="E12981" s="10"/>
      <c r="F12981" s="10"/>
      <c r="J12981" s="25"/>
      <c r="K12981" s="25"/>
      <c r="L12981" s="25"/>
      <c r="M12981" s="25"/>
      <c r="N12981" s="25"/>
      <c r="O12981" s="25"/>
    </row>
    <row r="12982" customFormat="false" ht="36.75" hidden="false" customHeight="true" outlineLevel="0" collapsed="false">
      <c r="B12982" s="37" t="str">
        <f aca="false">SUBSTITUTE(SUBSTITUTE(SUBSTITUTE(SUBSTITUTE(SUBSTITUTE(Txt_P1,"{cabinet}",Cab_Nom),"{societe}",IF($K$12961=0,"",INDEX(Clients!$E$2:$E$501,$K$12961)&amp;"")),"{date_effet}",$K$12963),"{hausse}",$K$12964),"{civilite}",$K$12962)</f>
        <v>Nous tenons tout d'abord à vous remercier pour la confiance que vous accordez à ALTHO EXPERTISE. Comme chaque année, et conformément aux dispositions de votre lettre de mission, nous procédons à la révision de nos honoraires.</v>
      </c>
      <c r="C12982" s="37"/>
      <c r="D12982" s="37"/>
      <c r="E12982" s="37"/>
      <c r="F12982" s="37"/>
      <c r="J12982" s="25"/>
      <c r="K12982" s="25"/>
      <c r="L12982" s="25"/>
      <c r="M12982" s="25"/>
      <c r="N12982" s="25"/>
      <c r="O12982" s="25"/>
    </row>
    <row r="12983" customFormat="false" ht="49.5" hidden="false" customHeight="true" outlineLevel="0" collapsed="false">
      <c r="B12983" s="37" t="str">
        <f aca="false">SUBSTITUTE(SUBSTITUTE(SUBSTITUTE(SUBSTITUTE(SUBSTITUTE(Txt_P2,"{cabinet}",Cab_Nom),"{societe}",IF($K$12961=0,"",INDEX(Clients!$E$2:$E$501,$K$12961)&amp;"")),"{date_effet}",$K$12963),"{hausse}",$K$12964),"{civilite}",$K$12962)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2983" s="37"/>
      <c r="D12983" s="37"/>
      <c r="E12983" s="37"/>
      <c r="F12983" s="37"/>
      <c r="J12983" s="25"/>
      <c r="K12983" s="25"/>
      <c r="L12983" s="25"/>
      <c r="M12983" s="25"/>
      <c r="N12983" s="25"/>
      <c r="O12983" s="25"/>
    </row>
    <row r="12984" customFormat="false" ht="63" hidden="false" customHeight="true" outlineLevel="0" collapsed="false">
      <c r="B12984" s="37" t="str">
        <f aca="false">SUBSTITUTE(SUBSTITUTE(SUBSTITUTE(SUBSTITUTE(SUBSTITUTE(Txt_P3,"{cabinet}",Cab_Nom),"{societe}",IF($K$12961=0,"",INDEX(Clients!$E$2:$E$501,$K$12961)&amp;"")),"{date_effet}",$K$12963),"{hausse}",$K$12964),"{civilite}",$K$12962)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2984" s="37"/>
      <c r="D12984" s="37"/>
      <c r="E12984" s="37"/>
      <c r="F12984" s="37"/>
      <c r="J12984" s="25"/>
      <c r="K12984" s="25"/>
      <c r="L12984" s="25"/>
      <c r="M12984" s="25"/>
      <c r="N12984" s="25"/>
      <c r="O12984" s="25"/>
    </row>
    <row r="12985" customFormat="false" ht="24" hidden="false" customHeight="true" outlineLevel="0" collapsed="false">
      <c r="B12985" s="37" t="str">
        <f aca="false">SUBSTITUTE(SUBSTITUTE(SUBSTITUTE(SUBSTITUTE(SUBSTITUTE(Txt_P4,"{cabinet}",Cab_Nom),"{societe}",IF($K$12961=0,"",INDEX(Clients!$E$2:$E$501,$K$12961)&amp;"")),"{date_effet}",$K$12963),"{hausse}",$K$12964),"{civilite}",$K$12962)</f>
        <v>À compter du 1er janvier 2027, vos honoraires annuels hors taxes évolueront ainsi (évolution globale : ) :</v>
      </c>
      <c r="C12985" s="37"/>
      <c r="D12985" s="37"/>
      <c r="E12985" s="37"/>
      <c r="F12985" s="37"/>
      <c r="J12985" s="25"/>
      <c r="K12985" s="25"/>
      <c r="L12985" s="25"/>
      <c r="M12985" s="25"/>
      <c r="N12985" s="25"/>
      <c r="O12985" s="25"/>
    </row>
    <row r="12986" customFormat="false" ht="3.75" hidden="false" customHeight="true" outlineLevel="0" collapsed="false">
      <c r="B12986" s="10"/>
      <c r="C12986" s="10"/>
      <c r="D12986" s="10"/>
      <c r="E12986" s="10"/>
      <c r="F12986" s="10"/>
      <c r="J12986" s="25"/>
      <c r="K12986" s="25"/>
      <c r="L12986" s="25"/>
      <c r="M12986" s="25"/>
      <c r="N12986" s="25"/>
      <c r="O12986" s="25"/>
    </row>
    <row r="12987" customFormat="false" ht="18" hidden="false" customHeight="true" outlineLevel="0" collapsed="false">
      <c r="B12987" s="38" t="s">
        <v>148</v>
      </c>
      <c r="C12987" s="39" t="s">
        <v>149</v>
      </c>
      <c r="D12987" s="39" t="s">
        <v>150</v>
      </c>
      <c r="E12987" s="39" t="s">
        <v>151</v>
      </c>
      <c r="F12987" s="39" t="s">
        <v>109</v>
      </c>
      <c r="J12987" s="25" t="s">
        <v>152</v>
      </c>
      <c r="K12987" s="25" t="s">
        <v>153</v>
      </c>
      <c r="L12987" s="25" t="s">
        <v>154</v>
      </c>
      <c r="M12987" s="25" t="s">
        <v>155</v>
      </c>
      <c r="N12987" s="25" t="s">
        <v>156</v>
      </c>
      <c r="O12987" s="25" t="s">
        <v>157</v>
      </c>
    </row>
    <row r="12988" customFormat="false" ht="16.5" hidden="false" customHeight="true" outlineLevel="0" collapsed="false">
      <c r="B12988" s="40" t="str">
        <f aca="false">IFERROR(INDEX($J$12988:$J$12991,MATCH($O12988,$N$12988:$N$12991,0)),"")</f>
        <v/>
      </c>
      <c r="C12988" s="41" t="str">
        <f aca="false">IFERROR(INDEX($K$12988:$K$12991,MATCH($O12988,$N$12988:$N$12991,0)),"")</f>
        <v/>
      </c>
      <c r="D12988" s="42" t="str">
        <f aca="false">IF(OR(E12988="",N(C12988)=0),"",E12988/C12988-1)</f>
        <v/>
      </c>
      <c r="E12988" s="41" t="str">
        <f aca="false">IFERROR(INDEX($L$12988:$L$12991,MATCH($O12988,$N$12988:$N$12991,0)),"")</f>
        <v/>
      </c>
      <c r="F12988" s="41" t="str">
        <f aca="false">IF(E12988="","",E12988-C12988)</f>
        <v/>
      </c>
      <c r="J12988" s="25" t="str">
        <f aca="false">Lib_Compta</f>
        <v>Mission comptable (tenue, révision, bilan, liasse fiscale)</v>
      </c>
      <c r="K12988" s="25" t="n">
        <f aca="false">IF($K$12961=0,0,N(INDEX(Clients!$K$2:$K$501,$K$12961)))</f>
        <v>0</v>
      </c>
      <c r="L12988" s="25" t="n">
        <f aca="false">IF($K$12961=0,0,N(INDEX(Clients!$P$2:$P$501,$K$12961)))</f>
        <v>0</v>
      </c>
      <c r="M12988" s="25" t="n">
        <f aca="false">IF(OR(K12988&lt;&gt;0,L12988&lt;&gt;0),1,0)</f>
        <v>0</v>
      </c>
      <c r="N12988" s="25" t="str">
        <f aca="false">IF(M12988=1,SUM($M$12988:M12988),"")</f>
        <v/>
      </c>
      <c r="O12988" s="25" t="n">
        <v>1</v>
      </c>
    </row>
    <row r="12989" customFormat="false" ht="16.5" hidden="false" customHeight="true" outlineLevel="0" collapsed="false">
      <c r="B12989" s="40" t="str">
        <f aca="false">IFERROR(INDEX($J$12988:$J$12991,MATCH($O12989,$N$12988:$N$12991,0)),"")</f>
        <v/>
      </c>
      <c r="C12989" s="41" t="str">
        <f aca="false">IFERROR(INDEX($K$12988:$K$12991,MATCH($O12989,$N$12988:$N$12991,0)),"")</f>
        <v/>
      </c>
      <c r="D12989" s="42" t="str">
        <f aca="false">IF(OR(E12989="",N(C12989)=0),"",E12989/C12989-1)</f>
        <v/>
      </c>
      <c r="E12989" s="41" t="str">
        <f aca="false">IFERROR(INDEX($L$12988:$L$12991,MATCH($O12989,$N$12988:$N$12991,0)),"")</f>
        <v/>
      </c>
      <c r="F12989" s="41" t="str">
        <f aca="false">IF(E12989="","",E12989-C12989)</f>
        <v/>
      </c>
      <c r="J12989" s="25" t="str">
        <f aca="false">Lib_Paye</f>
        <v>Mission sociale (bulletins de paie, DSN, déclarations sociales)</v>
      </c>
      <c r="K12989" s="25" t="n">
        <f aca="false">IF($K$12961=0,0,N(INDEX(Clients!$L$2:$L$501,$K$12961)))</f>
        <v>0</v>
      </c>
      <c r="L12989" s="25" t="n">
        <f aca="false">IF($K$12961=0,0,N(INDEX(Clients!$Q$2:$Q$501,$K$12961)))</f>
        <v>0</v>
      </c>
      <c r="M12989" s="25" t="n">
        <f aca="false">IF(OR(K12989&lt;&gt;0,L12989&lt;&gt;0),1,0)</f>
        <v>0</v>
      </c>
      <c r="N12989" s="25" t="str">
        <f aca="false">IF(M12989=1,SUM($M$12988:M12989),"")</f>
        <v/>
      </c>
      <c r="O12989" s="25" t="n">
        <v>2</v>
      </c>
    </row>
    <row r="12990" customFormat="false" ht="16.5" hidden="false" customHeight="true" outlineLevel="0" collapsed="false">
      <c r="B12990" s="40" t="str">
        <f aca="false">IFERROR(INDEX($J$12988:$J$12991,MATCH($O12990,$N$12988:$N$12991,0)),"")</f>
        <v/>
      </c>
      <c r="C12990" s="41" t="str">
        <f aca="false">IFERROR(INDEX($K$12988:$K$12991,MATCH($O12990,$N$12988:$N$12991,0)),"")</f>
        <v/>
      </c>
      <c r="D12990" s="42" t="str">
        <f aca="false">IF(OR(E12990="",N(C12990)=0),"",E12990/C12990-1)</f>
        <v/>
      </c>
      <c r="E12990" s="41" t="str">
        <f aca="false">IFERROR(INDEX($L$12988:$L$12991,MATCH($O12990,$N$12988:$N$12991,0)),"")</f>
        <v/>
      </c>
      <c r="F12990" s="41" t="str">
        <f aca="false">IF(E12990="","",E12990-C12990)</f>
        <v/>
      </c>
      <c r="J12990" s="25" t="str">
        <f aca="false">Lib_Jur</f>
        <v>Mission juridique (approbation des comptes, secrétariat juridique)</v>
      </c>
      <c r="K12990" s="25" t="n">
        <f aca="false">IF($K$12961=0,0,N(INDEX(Clients!$M$2:$M$501,$K$12961)))</f>
        <v>0</v>
      </c>
      <c r="L12990" s="25" t="n">
        <f aca="false">IF($K$12961=0,0,N(INDEX(Clients!$R$2:$R$501,$K$12961)))</f>
        <v>0</v>
      </c>
      <c r="M12990" s="25" t="n">
        <f aca="false">IF(OR(K12990&lt;&gt;0,L12990&lt;&gt;0),1,0)</f>
        <v>0</v>
      </c>
      <c r="N12990" s="25" t="str">
        <f aca="false">IF(M12990=1,SUM($M$12988:M12990),"")</f>
        <v/>
      </c>
      <c r="O12990" s="25" t="n">
        <v>3</v>
      </c>
    </row>
    <row r="12991" customFormat="false" ht="16.5" hidden="false" customHeight="true" outlineLevel="0" collapsed="false">
      <c r="B12991" s="40" t="str">
        <f aca="false">IFERROR(INDEX($J$12988:$J$12991,MATCH($O12991,$N$12988:$N$12991,0)),"")</f>
        <v/>
      </c>
      <c r="C12991" s="41" t="str">
        <f aca="false">IFERROR(INDEX($K$12988:$K$12991,MATCH($O12991,$N$12988:$N$12991,0)),"")</f>
        <v/>
      </c>
      <c r="D12991" s="42" t="str">
        <f aca="false">IF(OR(E12991="",N(C12991)=0),"",E12991/C12991-1)</f>
        <v/>
      </c>
      <c r="E12991" s="41" t="str">
        <f aca="false">IFERROR(INDEX($L$12988:$L$12991,MATCH($O12991,$N$12988:$N$12991,0)),"")</f>
        <v/>
      </c>
      <c r="F12991" s="41" t="str">
        <f aca="false">IF(E12991="","",E12991-C12991)</f>
        <v/>
      </c>
      <c r="J12991" s="25" t="str">
        <f aca="false">Lib_PA</f>
        <v>Plateforme agréée – facturation électronique</v>
      </c>
      <c r="K12991" s="25" t="n">
        <f aca="false">IF($K$12961=0,0,N(INDEX(Clients!$N$2:$N$501,$K$12961)))</f>
        <v>0</v>
      </c>
      <c r="L12991" s="25" t="n">
        <f aca="false">IF($K$12961=0,0,N(INDEX(Clients!$S$2:$S$501,$K$12961)))</f>
        <v>0</v>
      </c>
      <c r="M12991" s="25" t="n">
        <f aca="false">IF(OR(K12991&lt;&gt;0,L12991&lt;&gt;0),1,0)</f>
        <v>0</v>
      </c>
      <c r="N12991" s="25" t="str">
        <f aca="false">IF(M12991=1,SUM($M$12988:M12991),"")</f>
        <v/>
      </c>
      <c r="O12991" s="25" t="n">
        <v>4</v>
      </c>
    </row>
    <row r="12992" customFormat="false" ht="18" hidden="false" customHeight="true" outlineLevel="0" collapsed="false">
      <c r="B12992" s="43" t="s">
        <v>158</v>
      </c>
      <c r="C12992" s="44" t="n">
        <f aca="false">SUM(K12988:K12991)</f>
        <v>0</v>
      </c>
      <c r="D12992" s="45" t="str">
        <f aca="false">IF(N(C12992)=0,"",E12992/C12992-1)</f>
        <v/>
      </c>
      <c r="E12992" s="44" t="n">
        <f aca="false">SUM(L12988:L12991)</f>
        <v>0</v>
      </c>
      <c r="F12992" s="44" t="n">
        <f aca="false">E12992-C12992</f>
        <v>0</v>
      </c>
    </row>
    <row r="12993" customFormat="false" ht="15" hidden="false" customHeight="false" outlineLevel="0" collapsed="false">
      <c r="B12993" s="46" t="str">
        <f aca="false">IF(N(Nb_Mensualites)=0,"","Soit "&amp;FIXED(E12992/Nb_Mensualites,2)&amp;" € HT par échéance ("&amp;Nb_Mensualites&amp;" échéances), "&amp;FIXED(E12992/Nb_Mensualites*(1+Taux_TVA),2)&amp;" € TTC.")</f>
        <v>Soit 0.00 € HT par échéance (12 échéances), 0.00 € TTC.</v>
      </c>
      <c r="C12993" s="46"/>
      <c r="D12993" s="46"/>
      <c r="E12993" s="46"/>
      <c r="F12993" s="46"/>
    </row>
    <row r="12994" customFormat="false" ht="7.5" hidden="false" customHeight="true" outlineLevel="0" collapsed="false">
      <c r="B12994" s="10"/>
      <c r="C12994" s="10"/>
      <c r="D12994" s="10"/>
      <c r="E12994" s="10"/>
      <c r="F12994" s="10"/>
    </row>
    <row r="12995" customFormat="false" ht="36.75" hidden="false" customHeight="true" outlineLevel="0" collapsed="false">
      <c r="B12995" s="37" t="str">
        <f aca="false">SUBSTITUTE(SUBSTITUTE(SUBSTITUTE(SUBSTITUTE(SUBSTITUTE(Txt_P5,"{cabinet}",Cab_Nom),"{societe}",IF($K$12961=0,"",INDEX(Clients!$E$2:$E$501,$K$12961)&amp;"")),"{date_effet}",$K$12963),"{hausse}",$K$12964),"{civilite}",$K$12962)</f>
        <v>Les autres conditions de votre lettre de mission demeurent inchangées. Les nouveaux montants seront appliqués automatiquement sur vos prochaines factures et échéances de prélèvement.</v>
      </c>
      <c r="C12995" s="37"/>
      <c r="D12995" s="37"/>
      <c r="E12995" s="37"/>
      <c r="F12995" s="37"/>
    </row>
    <row r="12996" customFormat="false" ht="36.75" hidden="false" customHeight="true" outlineLevel="0" collapsed="false">
      <c r="B12996" s="37" t="str">
        <f aca="false">SUBSTITUTE(SUBSTITUTE(SUBSTITUTE(SUBSTITUTE(SUBSTITUTE(Txt_P6,"{cabinet}",Cab_Nom),"{societe}",IF($K$12961=0,"",INDEX(Clients!$E$2:$E$501,$K$12961)&amp;"")),"{date_effet}",$K$12963),"{hausse}",$K$12964),"{civilite}",$K$12962)</f>
        <v>Votre interlocuteur habituel reste à votre entière disposition pour répondre à vos questions et faire le point sur l'évolution de vos besoins.</v>
      </c>
      <c r="C12996" s="37"/>
      <c r="D12996" s="37"/>
      <c r="E12996" s="37"/>
      <c r="F12996" s="37"/>
    </row>
    <row r="12997" customFormat="false" ht="24" hidden="false" customHeight="true" outlineLevel="0" collapsed="false">
      <c r="B12997" s="37" t="str">
        <f aca="false">SUBSTITUTE(SUBSTITUTE(SUBSTITUTE(SUBSTITUTE(SUBSTITUTE(Txt_Politesse,"{cabinet}",Cab_Nom),"{societe}",IF($K$12961=0,"",INDEX(Clients!$E$2:$E$501,$K$12961)&amp;"")),"{date_effet}",$K$12963),"{hausse}",$K$12964),"{civilite}",$K$12962)</f>
        <v>Nous vous prions d'agréer, Madame, Monsieur, l'expression de nos salutations distinguées.</v>
      </c>
      <c r="C12997" s="37"/>
      <c r="D12997" s="37"/>
      <c r="E12997" s="37"/>
      <c r="F12997" s="37"/>
    </row>
    <row r="12998" customFormat="false" ht="15" hidden="false" customHeight="false" outlineLevel="0" collapsed="false">
      <c r="B12998" s="10"/>
      <c r="C12998" s="10"/>
      <c r="D12998" s="10"/>
      <c r="E12998" s="10"/>
      <c r="F12998" s="10"/>
    </row>
    <row r="12999" customFormat="false" ht="15" hidden="false" customHeight="false" outlineLevel="0" collapsed="false">
      <c r="B12999" s="10"/>
      <c r="C12999" s="10"/>
      <c r="D12999" s="34" t="str">
        <f aca="false">Signataire</f>
        <v>Prénom NOM</v>
      </c>
      <c r="E12999" s="34"/>
      <c r="F12999" s="34"/>
    </row>
    <row r="13000" customFormat="false" ht="15" hidden="false" customHeight="false" outlineLevel="0" collapsed="false">
      <c r="B13000" s="10"/>
      <c r="C13000" s="10"/>
      <c r="D13000" s="47" t="str">
        <f aca="false">Signataire_Titre</f>
        <v>Expert-comptable associé</v>
      </c>
      <c r="E13000" s="47"/>
      <c r="F13000" s="47"/>
    </row>
    <row r="13001" customFormat="false" ht="15.75" hidden="false" customHeight="true" outlineLevel="0" collapsed="false">
      <c r="B13001" s="10"/>
      <c r="C13001" s="10"/>
      <c r="D13001" s="10"/>
      <c r="E13001" s="10"/>
      <c r="F13001" s="10"/>
    </row>
    <row r="13002" customFormat="false" ht="15.75" hidden="false" customHeight="true" outlineLevel="0" collapsed="false">
      <c r="B13002" s="10"/>
      <c r="C13002" s="10"/>
      <c r="D13002" s="10"/>
      <c r="E13002" s="10"/>
      <c r="F13002" s="10"/>
    </row>
    <row r="13003" customFormat="false" ht="15.75" hidden="false" customHeight="true" outlineLevel="0" collapsed="false">
      <c r="B13003" s="10"/>
      <c r="C13003" s="10"/>
      <c r="D13003" s="10"/>
      <c r="E13003" s="10"/>
      <c r="F13003" s="10"/>
    </row>
    <row r="13004" customFormat="false" ht="15.75" hidden="false" customHeight="true" outlineLevel="0" collapsed="false">
      <c r="B13004" s="10"/>
      <c r="C13004" s="10"/>
      <c r="D13004" s="10"/>
      <c r="E13004" s="10"/>
      <c r="F13004" s="10"/>
    </row>
    <row r="13005" customFormat="false" ht="24" hidden="false" customHeight="true" outlineLevel="0" collapsed="false">
      <c r="B13005" s="48" t="str">
        <f aca="false">Cab_Mentions</f>
        <v>ALTHO EXPERTISE · SAS au capital de 10 000 € · RCS Pontoise 919 706 325 · TVA FR62919706325 · Société d'expertise comptable inscrite au Tableau de l'Ordre des experts-comptables de Paris Île-de-France</v>
      </c>
      <c r="C13005" s="48"/>
      <c r="D13005" s="48"/>
      <c r="E13005" s="48"/>
      <c r="F13005" s="48"/>
    </row>
    <row r="13006" customFormat="false" ht="15" hidden="false" customHeight="false" outlineLevel="0" collapsed="false">
      <c r="B13006" s="10"/>
      <c r="C13006" s="10"/>
      <c r="D13006" s="10"/>
      <c r="E13006" s="10"/>
      <c r="F13006" s="10"/>
      <c r="J13006" s="25" t="s">
        <v>142</v>
      </c>
      <c r="K13006" s="25" t="n">
        <f aca="false">IFERROR(MATCH(290,Clients!$Z$2:$Z$501,0),0)</f>
        <v>0</v>
      </c>
      <c r="L13006" s="25"/>
      <c r="M13006" s="25"/>
      <c r="N13006" s="25"/>
      <c r="O13006" s="25"/>
    </row>
    <row r="13007" customFormat="false" ht="21.75" hidden="false" customHeight="true" outlineLevel="0" collapsed="false">
      <c r="B13007" s="26" t="str">
        <f aca="false">Cab_Nom</f>
        <v>ALTHO EXPERTISE</v>
      </c>
      <c r="C13007" s="26"/>
      <c r="D13007" s="10"/>
      <c r="E13007" s="27" t="str">
        <f aca="false">IF($K$13006=0,"","Réf. client : "&amp;INDEX(Clients!$A$2:$A$501,$K$13006))</f>
        <v/>
      </c>
      <c r="F13007" s="27"/>
      <c r="J13007" s="25" t="s">
        <v>144</v>
      </c>
      <c r="K13007" s="25" t="str">
        <f aca="false">IF(IF($K$13006=0,"",INDEX(Clients!$B$2:$B$501,$K$13006)&amp;"")="Mme","Madame",IF(IF($K$13006=0,"",INDEX(Clients!$B$2:$B$501,$K$13006)&amp;"")="M.","Monsieur","Madame, Monsieur"))</f>
        <v>Madame, Monsieur</v>
      </c>
      <c r="L13007" s="25"/>
      <c r="M13007" s="25"/>
      <c r="N13007" s="25"/>
      <c r="O13007" s="25"/>
    </row>
    <row r="13008" customFormat="false" ht="15" hidden="false" customHeight="false" outlineLevel="0" collapsed="false">
      <c r="B13008" s="29" t="str">
        <f aca="false">Cab_Adr1</f>
        <v>141 rue Charles de Gaulle</v>
      </c>
      <c r="C13008" s="29"/>
      <c r="D13008" s="10"/>
      <c r="E13008" s="10"/>
      <c r="F13008" s="10"/>
      <c r="J13008" s="25" t="s">
        <v>145</v>
      </c>
      <c r="K13008" s="25" t="str">
        <f aca="false">DAY(Date_Effet)&amp;IF(DAY(Date_Effet)=1,"er","")&amp;" "&amp;INDEX(Liste_Mois,MONTH(Date_Effet))&amp;" "&amp;YEAR(Date_Effet)</f>
        <v>1er janvier 2027</v>
      </c>
      <c r="L13008" s="25"/>
      <c r="M13008" s="25"/>
      <c r="N13008" s="25"/>
      <c r="O13008" s="25"/>
    </row>
    <row r="13009" customFormat="false" ht="15" hidden="false" customHeight="false" outlineLevel="0" collapsed="false">
      <c r="B13009" s="29" t="str">
        <f aca="false">Cab_CPVille</f>
        <v>95130 LE PLESSIS-BOUCHARD</v>
      </c>
      <c r="C13009" s="29"/>
      <c r="D13009" s="10"/>
      <c r="E13009" s="10"/>
      <c r="F13009" s="10"/>
      <c r="J13009" s="25" t="s">
        <v>146</v>
      </c>
      <c r="K13009" s="25" t="str">
        <f aca="false">IF(SUM($K$13033:$K$13036)=0,"",FIXED((SUM($L$13033:$L$13036)/SUM($K$13033:$K$13036)-1)*100,1)&amp;" %")</f>
        <v/>
      </c>
      <c r="L13009" s="25"/>
      <c r="M13009" s="25"/>
      <c r="N13009" s="25"/>
      <c r="O13009" s="25"/>
    </row>
    <row r="13010" customFormat="false" ht="15" hidden="false" customHeight="false" outlineLevel="0" collapsed="false">
      <c r="B13010" s="29" t="str">
        <f aca="false">Cab_Contact</f>
        <v>Tél. 01 34 14 53 45  ·  altho@altho-experts.com  ·  altho-experts.com</v>
      </c>
      <c r="C13010" s="29"/>
      <c r="D13010" s="10"/>
      <c r="E13010" s="10"/>
      <c r="F13010" s="10"/>
      <c r="J13010" s="25"/>
      <c r="K13010" s="25"/>
      <c r="L13010" s="25"/>
      <c r="M13010" s="25"/>
      <c r="N13010" s="25"/>
      <c r="O13010" s="25"/>
    </row>
    <row r="13011" customFormat="false" ht="6" hidden="false" customHeight="true" outlineLevel="0" collapsed="false">
      <c r="B13011" s="32"/>
      <c r="C13011" s="32"/>
      <c r="D13011" s="32"/>
      <c r="E13011" s="32"/>
      <c r="F13011" s="32"/>
      <c r="J13011" s="25"/>
      <c r="K13011" s="25"/>
      <c r="L13011" s="25"/>
      <c r="M13011" s="25"/>
      <c r="N13011" s="25"/>
      <c r="O13011" s="25"/>
    </row>
    <row r="13012" customFormat="false" ht="13.5" hidden="false" customHeight="true" outlineLevel="0" collapsed="false">
      <c r="B13012" s="10"/>
      <c r="C13012" s="10"/>
      <c r="D13012" s="10"/>
      <c r="E13012" s="10"/>
      <c r="F13012" s="10"/>
      <c r="J13012" s="25"/>
      <c r="K13012" s="25"/>
      <c r="L13012" s="25"/>
      <c r="M13012" s="25"/>
      <c r="N13012" s="25"/>
      <c r="O13012" s="25"/>
    </row>
    <row r="13013" customFormat="false" ht="13.5" hidden="false" customHeight="true" outlineLevel="0" collapsed="false">
      <c r="B13013" s="10"/>
      <c r="C13013" s="10"/>
      <c r="D13013" s="10"/>
      <c r="E13013" s="10"/>
      <c r="F13013" s="10"/>
      <c r="J13013" s="25"/>
      <c r="K13013" s="25"/>
      <c r="L13013" s="25"/>
      <c r="M13013" s="25"/>
      <c r="N13013" s="25"/>
      <c r="O13013" s="25"/>
    </row>
    <row r="13014" customFormat="false" ht="13.5" hidden="false" customHeight="true" outlineLevel="0" collapsed="false">
      <c r="B13014" s="10"/>
      <c r="C13014" s="10"/>
      <c r="D13014" s="10"/>
      <c r="E13014" s="10"/>
      <c r="F13014" s="10"/>
      <c r="J13014" s="25"/>
      <c r="K13014" s="25"/>
      <c r="L13014" s="25"/>
      <c r="M13014" s="25"/>
      <c r="N13014" s="25"/>
      <c r="O13014" s="25"/>
    </row>
    <row r="13015" customFormat="false" ht="15" hidden="false" customHeight="true" outlineLevel="0" collapsed="false">
      <c r="B13015" s="10"/>
      <c r="C13015" s="10"/>
      <c r="D13015" s="34" t="str">
        <f aca="false">IF($K$13006=0,"",INDEX(Clients!$E$2:$E$501,$K$13006)&amp;"")</f>
        <v/>
      </c>
      <c r="E13015" s="34"/>
      <c r="F13015" s="34"/>
      <c r="J13015" s="25"/>
      <c r="K13015" s="25"/>
      <c r="L13015" s="25"/>
      <c r="M13015" s="25"/>
      <c r="N13015" s="25"/>
      <c r="O13015" s="25"/>
    </row>
    <row r="13016" customFormat="false" ht="15" hidden="false" customHeight="true" outlineLevel="0" collapsed="false">
      <c r="B13016" s="10"/>
      <c r="C13016" s="10"/>
      <c r="D13016" s="35" t="str">
        <f aca="false">IF(IF($K$13006=0,"",INDEX(Clients!$D$2:$D$501,$K$13006)&amp;"")="","","À l'attention de "&amp;TRIM(IF($K$13006=0,"",INDEX(Clients!$B$2:$B$501,$K$13006)&amp;"")&amp;" "&amp;IF($K$13006=0,"",INDEX(Clients!$C$2:$C$501,$K$13006)&amp;"")&amp;" "&amp;IF($K$13006=0,"",INDEX(Clients!$D$2:$D$501,$K$13006)&amp;"")))</f>
        <v/>
      </c>
      <c r="E13016" s="35"/>
      <c r="F13016" s="35"/>
      <c r="J13016" s="25"/>
      <c r="K13016" s="25"/>
      <c r="L13016" s="25"/>
      <c r="M13016" s="25"/>
      <c r="N13016" s="25"/>
      <c r="O13016" s="25"/>
    </row>
    <row r="13017" customFormat="false" ht="15" hidden="false" customHeight="true" outlineLevel="0" collapsed="false">
      <c r="B13017" s="10"/>
      <c r="C13017" s="10"/>
      <c r="D13017" s="35" t="str">
        <f aca="false">IF($K$13006=0,"",INDEX(Clients!$F$2:$F$501,$K$13006)&amp;"")</f>
        <v/>
      </c>
      <c r="E13017" s="35"/>
      <c r="F13017" s="35"/>
      <c r="J13017" s="25"/>
      <c r="K13017" s="25"/>
      <c r="L13017" s="25"/>
      <c r="M13017" s="25"/>
      <c r="N13017" s="25"/>
      <c r="O13017" s="25"/>
    </row>
    <row r="13018" customFormat="false" ht="15" hidden="false" customHeight="true" outlineLevel="0" collapsed="false">
      <c r="B13018" s="10"/>
      <c r="C13018" s="10"/>
      <c r="D13018" s="35" t="str">
        <f aca="false">IF(IF($K$13006=0,"",INDEX(Clients!$G$2:$G$501,$K$13006)&amp;"")="",TRIM(IF($K$13006=0,"",INDEX(Clients!$H$2:$H$501,$K$13006)&amp;"")&amp;" "&amp;UPPER(IF($K$13006=0,"",INDEX(Clients!$I$2:$I$501,$K$13006)&amp;""))),IF($K$13006=0,"",INDEX(Clients!$G$2:$G$501,$K$13006)&amp;""))</f>
        <v/>
      </c>
      <c r="E13018" s="35"/>
      <c r="F13018" s="35"/>
      <c r="J13018" s="25"/>
      <c r="K13018" s="25"/>
      <c r="L13018" s="25"/>
      <c r="M13018" s="25"/>
      <c r="N13018" s="25"/>
      <c r="O13018" s="25"/>
    </row>
    <row r="13019" customFormat="false" ht="15" hidden="false" customHeight="true" outlineLevel="0" collapsed="false">
      <c r="B13019" s="10"/>
      <c r="C13019" s="10"/>
      <c r="D13019" s="35" t="str">
        <f aca="false">IF(IF($K$13006=0,"",INDEX(Clients!$G$2:$G$501,$K$13006)&amp;"")="","",TRIM(IF($K$13006=0,"",INDEX(Clients!$H$2:$H$501,$K$13006)&amp;"")&amp;" "&amp;UPPER(IF($K$13006=0,"",INDEX(Clients!$I$2:$I$501,$K$13006)&amp;""))))</f>
        <v/>
      </c>
      <c r="E13019" s="35"/>
      <c r="F13019" s="35"/>
      <c r="J13019" s="25"/>
      <c r="K13019" s="25"/>
      <c r="L13019" s="25"/>
      <c r="M13019" s="25"/>
      <c r="N13019" s="25"/>
      <c r="O13019" s="25"/>
    </row>
    <row r="13020" customFormat="false" ht="25.5" hidden="false" customHeight="true" outlineLevel="0" collapsed="false">
      <c r="B13020" s="10"/>
      <c r="C13020" s="10"/>
      <c r="D13020" s="10"/>
      <c r="E13020" s="10"/>
      <c r="F13020" s="10"/>
      <c r="J13020" s="25"/>
      <c r="K13020" s="25"/>
      <c r="L13020" s="25"/>
      <c r="M13020" s="25"/>
      <c r="N13020" s="25"/>
      <c r="O13020" s="25"/>
    </row>
    <row r="13021" customFormat="false" ht="15" hidden="false" customHeight="false" outlineLevel="0" collapsed="false">
      <c r="B13021" s="10"/>
      <c r="C13021" s="10"/>
      <c r="D13021" s="36" t="str">
        <f aca="false">Cab_Ville&amp;", le "&amp;DAY(Date_Courrier)&amp;IF(DAY(Date_Courrier)=1,"er","")&amp;" "&amp;INDEX(Liste_Mois,MONTH(Date_Courrier))&amp;" "&amp;YEAR(Date_Courrier)</f>
        <v>Le Plessis-Bouchard, le 22 septembre 2026</v>
      </c>
      <c r="E13021" s="36"/>
      <c r="F13021" s="36"/>
      <c r="J13021" s="25"/>
      <c r="K13021" s="25"/>
      <c r="L13021" s="25"/>
      <c r="M13021" s="25"/>
      <c r="N13021" s="25"/>
      <c r="O13021" s="25"/>
    </row>
    <row r="13022" customFormat="false" ht="19.5" hidden="false" customHeight="true" outlineLevel="0" collapsed="false">
      <c r="B13022" s="10"/>
      <c r="C13022" s="10"/>
      <c r="D13022" s="10"/>
      <c r="E13022" s="10"/>
      <c r="F13022" s="10"/>
      <c r="J13022" s="25"/>
      <c r="K13022" s="25"/>
      <c r="L13022" s="25"/>
      <c r="M13022" s="25"/>
      <c r="N13022" s="25"/>
      <c r="O13022" s="25"/>
    </row>
    <row r="13023" customFormat="false" ht="15" hidden="false" customHeight="false" outlineLevel="0" collapsed="false">
      <c r="B13023" s="34" t="str">
        <f aca="false">SUBSTITUTE(SUBSTITUTE(SUBSTITUTE(SUBSTITUTE(SUBSTITUTE(Txt_Objet,"{cabinet}",Cab_Nom),"{societe}",IF($K$13006=0,"",INDEX(Clients!$E$2:$E$501,$K$13006)&amp;"")),"{date_effet}",$K$13008),"{hausse}",$K$13009),"{civilite}",$K$13007)</f>
        <v>Objet : révision de nos honoraires au 1er janvier 2027</v>
      </c>
      <c r="C13023" s="34"/>
      <c r="D13023" s="34"/>
      <c r="E13023" s="34"/>
      <c r="F13023" s="34"/>
      <c r="J13023" s="25"/>
      <c r="K13023" s="25"/>
      <c r="L13023" s="25"/>
      <c r="M13023" s="25"/>
      <c r="N13023" s="25"/>
      <c r="O13023" s="25"/>
    </row>
    <row r="13024" customFormat="false" ht="13.5" hidden="false" customHeight="true" outlineLevel="0" collapsed="false">
      <c r="B13024" s="10"/>
      <c r="C13024" s="10"/>
      <c r="D13024" s="10"/>
      <c r="E13024" s="10"/>
      <c r="F13024" s="10"/>
      <c r="J13024" s="25"/>
      <c r="K13024" s="25"/>
      <c r="L13024" s="25"/>
      <c r="M13024" s="25"/>
      <c r="N13024" s="25"/>
      <c r="O13024" s="25"/>
    </row>
    <row r="13025" customFormat="false" ht="15" hidden="false" customHeight="false" outlineLevel="0" collapsed="false">
      <c r="B13025" s="10" t="str">
        <f aca="false">$K$13007&amp;","</f>
        <v>Madame, Monsieur,</v>
      </c>
      <c r="C13025" s="10"/>
      <c r="D13025" s="10"/>
      <c r="E13025" s="10"/>
      <c r="F13025" s="10"/>
      <c r="J13025" s="25"/>
      <c r="K13025" s="25"/>
      <c r="L13025" s="25"/>
      <c r="M13025" s="25"/>
      <c r="N13025" s="25"/>
      <c r="O13025" s="25"/>
    </row>
    <row r="13026" customFormat="false" ht="6" hidden="false" customHeight="true" outlineLevel="0" collapsed="false">
      <c r="B13026" s="10"/>
      <c r="C13026" s="10"/>
      <c r="D13026" s="10"/>
      <c r="E13026" s="10"/>
      <c r="F13026" s="10"/>
      <c r="J13026" s="25"/>
      <c r="K13026" s="25"/>
      <c r="L13026" s="25"/>
      <c r="M13026" s="25"/>
      <c r="N13026" s="25"/>
      <c r="O13026" s="25"/>
    </row>
    <row r="13027" customFormat="false" ht="36.75" hidden="false" customHeight="true" outlineLevel="0" collapsed="false">
      <c r="B13027" s="37" t="str">
        <f aca="false">SUBSTITUTE(SUBSTITUTE(SUBSTITUTE(SUBSTITUTE(SUBSTITUTE(Txt_P1,"{cabinet}",Cab_Nom),"{societe}",IF($K$13006=0,"",INDEX(Clients!$E$2:$E$501,$K$13006)&amp;"")),"{date_effet}",$K$13008),"{hausse}",$K$13009),"{civilite}",$K$13007)</f>
        <v>Nous tenons tout d'abord à vous remercier pour la confiance que vous accordez à ALTHO EXPERTISE. Comme chaque année, et conformément aux dispositions de votre lettre de mission, nous procédons à la révision de nos honoraires.</v>
      </c>
      <c r="C13027" s="37"/>
      <c r="D13027" s="37"/>
      <c r="E13027" s="37"/>
      <c r="F13027" s="37"/>
      <c r="J13027" s="25"/>
      <c r="K13027" s="25"/>
      <c r="L13027" s="25"/>
      <c r="M13027" s="25"/>
      <c r="N13027" s="25"/>
      <c r="O13027" s="25"/>
    </row>
    <row r="13028" customFormat="false" ht="49.5" hidden="false" customHeight="true" outlineLevel="0" collapsed="false">
      <c r="B13028" s="37" t="str">
        <f aca="false">SUBSTITUTE(SUBSTITUTE(SUBSTITUTE(SUBSTITUTE(SUBSTITUTE(Txt_P2,"{cabinet}",Cab_Nom),"{societe}",IF($K$13006=0,"",INDEX(Clients!$E$2:$E$501,$K$13006)&amp;"")),"{date_effet}",$K$13008),"{hausse}",$K$13009),"{civilite}",$K$13007)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028" s="37"/>
      <c r="D13028" s="37"/>
      <c r="E13028" s="37"/>
      <c r="F13028" s="37"/>
      <c r="J13028" s="25"/>
      <c r="K13028" s="25"/>
      <c r="L13028" s="25"/>
      <c r="M13028" s="25"/>
      <c r="N13028" s="25"/>
      <c r="O13028" s="25"/>
    </row>
    <row r="13029" customFormat="false" ht="63" hidden="false" customHeight="true" outlineLevel="0" collapsed="false">
      <c r="B13029" s="37" t="str">
        <f aca="false">SUBSTITUTE(SUBSTITUTE(SUBSTITUTE(SUBSTITUTE(SUBSTITUTE(Txt_P3,"{cabinet}",Cab_Nom),"{societe}",IF($K$13006=0,"",INDEX(Clients!$E$2:$E$501,$K$13006)&amp;"")),"{date_effet}",$K$13008),"{hausse}",$K$13009),"{civilite}",$K$13007)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029" s="37"/>
      <c r="D13029" s="37"/>
      <c r="E13029" s="37"/>
      <c r="F13029" s="37"/>
      <c r="J13029" s="25"/>
      <c r="K13029" s="25"/>
      <c r="L13029" s="25"/>
      <c r="M13029" s="25"/>
      <c r="N13029" s="25"/>
      <c r="O13029" s="25"/>
    </row>
    <row r="13030" customFormat="false" ht="24" hidden="false" customHeight="true" outlineLevel="0" collapsed="false">
      <c r="B13030" s="37" t="str">
        <f aca="false">SUBSTITUTE(SUBSTITUTE(SUBSTITUTE(SUBSTITUTE(SUBSTITUTE(Txt_P4,"{cabinet}",Cab_Nom),"{societe}",IF($K$13006=0,"",INDEX(Clients!$E$2:$E$501,$K$13006)&amp;"")),"{date_effet}",$K$13008),"{hausse}",$K$13009),"{civilite}",$K$13007)</f>
        <v>À compter du 1er janvier 2027, vos honoraires annuels hors taxes évolueront ainsi (évolution globale : ) :</v>
      </c>
      <c r="C13030" s="37"/>
      <c r="D13030" s="37"/>
      <c r="E13030" s="37"/>
      <c r="F13030" s="37"/>
      <c r="J13030" s="25"/>
      <c r="K13030" s="25"/>
      <c r="L13030" s="25"/>
      <c r="M13030" s="25"/>
      <c r="N13030" s="25"/>
      <c r="O13030" s="25"/>
    </row>
    <row r="13031" customFormat="false" ht="3.75" hidden="false" customHeight="true" outlineLevel="0" collapsed="false">
      <c r="B13031" s="10"/>
      <c r="C13031" s="10"/>
      <c r="D13031" s="10"/>
      <c r="E13031" s="10"/>
      <c r="F13031" s="10"/>
      <c r="J13031" s="25"/>
      <c r="K13031" s="25"/>
      <c r="L13031" s="25"/>
      <c r="M13031" s="25"/>
      <c r="N13031" s="25"/>
      <c r="O13031" s="25"/>
    </row>
    <row r="13032" customFormat="false" ht="18" hidden="false" customHeight="true" outlineLevel="0" collapsed="false">
      <c r="B13032" s="38" t="s">
        <v>148</v>
      </c>
      <c r="C13032" s="39" t="s">
        <v>149</v>
      </c>
      <c r="D13032" s="39" t="s">
        <v>150</v>
      </c>
      <c r="E13032" s="39" t="s">
        <v>151</v>
      </c>
      <c r="F13032" s="39" t="s">
        <v>109</v>
      </c>
      <c r="J13032" s="25" t="s">
        <v>152</v>
      </c>
      <c r="K13032" s="25" t="s">
        <v>153</v>
      </c>
      <c r="L13032" s="25" t="s">
        <v>154</v>
      </c>
      <c r="M13032" s="25" t="s">
        <v>155</v>
      </c>
      <c r="N13032" s="25" t="s">
        <v>156</v>
      </c>
      <c r="O13032" s="25" t="s">
        <v>157</v>
      </c>
    </row>
    <row r="13033" customFormat="false" ht="16.5" hidden="false" customHeight="true" outlineLevel="0" collapsed="false">
      <c r="B13033" s="40" t="str">
        <f aca="false">IFERROR(INDEX($J$13033:$J$13036,MATCH($O13033,$N$13033:$N$13036,0)),"")</f>
        <v/>
      </c>
      <c r="C13033" s="41" t="str">
        <f aca="false">IFERROR(INDEX($K$13033:$K$13036,MATCH($O13033,$N$13033:$N$13036,0)),"")</f>
        <v/>
      </c>
      <c r="D13033" s="42" t="str">
        <f aca="false">IF(OR(E13033="",N(C13033)=0),"",E13033/C13033-1)</f>
        <v/>
      </c>
      <c r="E13033" s="41" t="str">
        <f aca="false">IFERROR(INDEX($L$13033:$L$13036,MATCH($O13033,$N$13033:$N$13036,0)),"")</f>
        <v/>
      </c>
      <c r="F13033" s="41" t="str">
        <f aca="false">IF(E13033="","",E13033-C13033)</f>
        <v/>
      </c>
      <c r="J13033" s="25" t="str">
        <f aca="false">Lib_Compta</f>
        <v>Mission comptable (tenue, révision, bilan, liasse fiscale)</v>
      </c>
      <c r="K13033" s="25" t="n">
        <f aca="false">IF($K$13006=0,0,N(INDEX(Clients!$K$2:$K$501,$K$13006)))</f>
        <v>0</v>
      </c>
      <c r="L13033" s="25" t="n">
        <f aca="false">IF($K$13006=0,0,N(INDEX(Clients!$P$2:$P$501,$K$13006)))</f>
        <v>0</v>
      </c>
      <c r="M13033" s="25" t="n">
        <f aca="false">IF(OR(K13033&lt;&gt;0,L13033&lt;&gt;0),1,0)</f>
        <v>0</v>
      </c>
      <c r="N13033" s="25" t="str">
        <f aca="false">IF(M13033=1,SUM($M$13033:M13033),"")</f>
        <v/>
      </c>
      <c r="O13033" s="25" t="n">
        <v>1</v>
      </c>
    </row>
    <row r="13034" customFormat="false" ht="16.5" hidden="false" customHeight="true" outlineLevel="0" collapsed="false">
      <c r="B13034" s="40" t="str">
        <f aca="false">IFERROR(INDEX($J$13033:$J$13036,MATCH($O13034,$N$13033:$N$13036,0)),"")</f>
        <v/>
      </c>
      <c r="C13034" s="41" t="str">
        <f aca="false">IFERROR(INDEX($K$13033:$K$13036,MATCH($O13034,$N$13033:$N$13036,0)),"")</f>
        <v/>
      </c>
      <c r="D13034" s="42" t="str">
        <f aca="false">IF(OR(E13034="",N(C13034)=0),"",E13034/C13034-1)</f>
        <v/>
      </c>
      <c r="E13034" s="41" t="str">
        <f aca="false">IFERROR(INDEX($L$13033:$L$13036,MATCH($O13034,$N$13033:$N$13036,0)),"")</f>
        <v/>
      </c>
      <c r="F13034" s="41" t="str">
        <f aca="false">IF(E13034="","",E13034-C13034)</f>
        <v/>
      </c>
      <c r="J13034" s="25" t="str">
        <f aca="false">Lib_Paye</f>
        <v>Mission sociale (bulletins de paie, DSN, déclarations sociales)</v>
      </c>
      <c r="K13034" s="25" t="n">
        <f aca="false">IF($K$13006=0,0,N(INDEX(Clients!$L$2:$L$501,$K$13006)))</f>
        <v>0</v>
      </c>
      <c r="L13034" s="25" t="n">
        <f aca="false">IF($K$13006=0,0,N(INDEX(Clients!$Q$2:$Q$501,$K$13006)))</f>
        <v>0</v>
      </c>
      <c r="M13034" s="25" t="n">
        <f aca="false">IF(OR(K13034&lt;&gt;0,L13034&lt;&gt;0),1,0)</f>
        <v>0</v>
      </c>
      <c r="N13034" s="25" t="str">
        <f aca="false">IF(M13034=1,SUM($M$13033:M13034),"")</f>
        <v/>
      </c>
      <c r="O13034" s="25" t="n">
        <v>2</v>
      </c>
    </row>
    <row r="13035" customFormat="false" ht="16.5" hidden="false" customHeight="true" outlineLevel="0" collapsed="false">
      <c r="B13035" s="40" t="str">
        <f aca="false">IFERROR(INDEX($J$13033:$J$13036,MATCH($O13035,$N$13033:$N$13036,0)),"")</f>
        <v/>
      </c>
      <c r="C13035" s="41" t="str">
        <f aca="false">IFERROR(INDEX($K$13033:$K$13036,MATCH($O13035,$N$13033:$N$13036,0)),"")</f>
        <v/>
      </c>
      <c r="D13035" s="42" t="str">
        <f aca="false">IF(OR(E13035="",N(C13035)=0),"",E13035/C13035-1)</f>
        <v/>
      </c>
      <c r="E13035" s="41" t="str">
        <f aca="false">IFERROR(INDEX($L$13033:$L$13036,MATCH($O13035,$N$13033:$N$13036,0)),"")</f>
        <v/>
      </c>
      <c r="F13035" s="41" t="str">
        <f aca="false">IF(E13035="","",E13035-C13035)</f>
        <v/>
      </c>
      <c r="J13035" s="25" t="str">
        <f aca="false">Lib_Jur</f>
        <v>Mission juridique (approbation des comptes, secrétariat juridique)</v>
      </c>
      <c r="K13035" s="25" t="n">
        <f aca="false">IF($K$13006=0,0,N(INDEX(Clients!$M$2:$M$501,$K$13006)))</f>
        <v>0</v>
      </c>
      <c r="L13035" s="25" t="n">
        <f aca="false">IF($K$13006=0,0,N(INDEX(Clients!$R$2:$R$501,$K$13006)))</f>
        <v>0</v>
      </c>
      <c r="M13035" s="25" t="n">
        <f aca="false">IF(OR(K13035&lt;&gt;0,L13035&lt;&gt;0),1,0)</f>
        <v>0</v>
      </c>
      <c r="N13035" s="25" t="str">
        <f aca="false">IF(M13035=1,SUM($M$13033:M13035),"")</f>
        <v/>
      </c>
      <c r="O13035" s="25" t="n">
        <v>3</v>
      </c>
    </row>
    <row r="13036" customFormat="false" ht="16.5" hidden="false" customHeight="true" outlineLevel="0" collapsed="false">
      <c r="B13036" s="40" t="str">
        <f aca="false">IFERROR(INDEX($J$13033:$J$13036,MATCH($O13036,$N$13033:$N$13036,0)),"")</f>
        <v/>
      </c>
      <c r="C13036" s="41" t="str">
        <f aca="false">IFERROR(INDEX($K$13033:$K$13036,MATCH($O13036,$N$13033:$N$13036,0)),"")</f>
        <v/>
      </c>
      <c r="D13036" s="42" t="str">
        <f aca="false">IF(OR(E13036="",N(C13036)=0),"",E13036/C13036-1)</f>
        <v/>
      </c>
      <c r="E13036" s="41" t="str">
        <f aca="false">IFERROR(INDEX($L$13033:$L$13036,MATCH($O13036,$N$13033:$N$13036,0)),"")</f>
        <v/>
      </c>
      <c r="F13036" s="41" t="str">
        <f aca="false">IF(E13036="","",E13036-C13036)</f>
        <v/>
      </c>
      <c r="J13036" s="25" t="str">
        <f aca="false">Lib_PA</f>
        <v>Plateforme agréée – facturation électronique</v>
      </c>
      <c r="K13036" s="25" t="n">
        <f aca="false">IF($K$13006=0,0,N(INDEX(Clients!$N$2:$N$501,$K$13006)))</f>
        <v>0</v>
      </c>
      <c r="L13036" s="25" t="n">
        <f aca="false">IF($K$13006=0,0,N(INDEX(Clients!$S$2:$S$501,$K$13006)))</f>
        <v>0</v>
      </c>
      <c r="M13036" s="25" t="n">
        <f aca="false">IF(OR(K13036&lt;&gt;0,L13036&lt;&gt;0),1,0)</f>
        <v>0</v>
      </c>
      <c r="N13036" s="25" t="str">
        <f aca="false">IF(M13036=1,SUM($M$13033:M13036),"")</f>
        <v/>
      </c>
      <c r="O13036" s="25" t="n">
        <v>4</v>
      </c>
    </row>
    <row r="13037" customFormat="false" ht="18" hidden="false" customHeight="true" outlineLevel="0" collapsed="false">
      <c r="B13037" s="43" t="s">
        <v>158</v>
      </c>
      <c r="C13037" s="44" t="n">
        <f aca="false">SUM(K13033:K13036)</f>
        <v>0</v>
      </c>
      <c r="D13037" s="45" t="str">
        <f aca="false">IF(N(C13037)=0,"",E13037/C13037-1)</f>
        <v/>
      </c>
      <c r="E13037" s="44" t="n">
        <f aca="false">SUM(L13033:L13036)</f>
        <v>0</v>
      </c>
      <c r="F13037" s="44" t="n">
        <f aca="false">E13037-C13037</f>
        <v>0</v>
      </c>
    </row>
    <row r="13038" customFormat="false" ht="15" hidden="false" customHeight="false" outlineLevel="0" collapsed="false">
      <c r="B13038" s="46" t="str">
        <f aca="false">IF(N(Nb_Mensualites)=0,"","Soit "&amp;FIXED(E13037/Nb_Mensualites,2)&amp;" € HT par échéance ("&amp;Nb_Mensualites&amp;" échéances), "&amp;FIXED(E13037/Nb_Mensualites*(1+Taux_TVA),2)&amp;" € TTC.")</f>
        <v>Soit 0.00 € HT par échéance (12 échéances), 0.00 € TTC.</v>
      </c>
      <c r="C13038" s="46"/>
      <c r="D13038" s="46"/>
      <c r="E13038" s="46"/>
      <c r="F13038" s="46"/>
    </row>
    <row r="13039" customFormat="false" ht="7.5" hidden="false" customHeight="true" outlineLevel="0" collapsed="false">
      <c r="B13039" s="10"/>
      <c r="C13039" s="10"/>
      <c r="D13039" s="10"/>
      <c r="E13039" s="10"/>
      <c r="F13039" s="10"/>
    </row>
    <row r="13040" customFormat="false" ht="36.75" hidden="false" customHeight="true" outlineLevel="0" collapsed="false">
      <c r="B13040" s="37" t="str">
        <f aca="false">SUBSTITUTE(SUBSTITUTE(SUBSTITUTE(SUBSTITUTE(SUBSTITUTE(Txt_P5,"{cabinet}",Cab_Nom),"{societe}",IF($K$13006=0,"",INDEX(Clients!$E$2:$E$501,$K$13006)&amp;"")),"{date_effet}",$K$13008),"{hausse}",$K$13009),"{civilite}",$K$13007)</f>
        <v>Les autres conditions de votre lettre de mission demeurent inchangées. Les nouveaux montants seront appliqués automatiquement sur vos prochaines factures et échéances de prélèvement.</v>
      </c>
      <c r="C13040" s="37"/>
      <c r="D13040" s="37"/>
      <c r="E13040" s="37"/>
      <c r="F13040" s="37"/>
    </row>
    <row r="13041" customFormat="false" ht="36.75" hidden="false" customHeight="true" outlineLevel="0" collapsed="false">
      <c r="B13041" s="37" t="str">
        <f aca="false">SUBSTITUTE(SUBSTITUTE(SUBSTITUTE(SUBSTITUTE(SUBSTITUTE(Txt_P6,"{cabinet}",Cab_Nom),"{societe}",IF($K$13006=0,"",INDEX(Clients!$E$2:$E$501,$K$13006)&amp;"")),"{date_effet}",$K$13008),"{hausse}",$K$13009),"{civilite}",$K$13007)</f>
        <v>Votre interlocuteur habituel reste à votre entière disposition pour répondre à vos questions et faire le point sur l'évolution de vos besoins.</v>
      </c>
      <c r="C13041" s="37"/>
      <c r="D13041" s="37"/>
      <c r="E13041" s="37"/>
      <c r="F13041" s="37"/>
    </row>
    <row r="13042" customFormat="false" ht="24" hidden="false" customHeight="true" outlineLevel="0" collapsed="false">
      <c r="B13042" s="37" t="str">
        <f aca="false">SUBSTITUTE(SUBSTITUTE(SUBSTITUTE(SUBSTITUTE(SUBSTITUTE(Txt_Politesse,"{cabinet}",Cab_Nom),"{societe}",IF($K$13006=0,"",INDEX(Clients!$E$2:$E$501,$K$13006)&amp;"")),"{date_effet}",$K$13008),"{hausse}",$K$13009),"{civilite}",$K$13007)</f>
        <v>Nous vous prions d'agréer, Madame, Monsieur, l'expression de nos salutations distinguées.</v>
      </c>
      <c r="C13042" s="37"/>
      <c r="D13042" s="37"/>
      <c r="E13042" s="37"/>
      <c r="F13042" s="37"/>
    </row>
    <row r="13043" customFormat="false" ht="15" hidden="false" customHeight="false" outlineLevel="0" collapsed="false">
      <c r="B13043" s="10"/>
      <c r="C13043" s="10"/>
      <c r="D13043" s="10"/>
      <c r="E13043" s="10"/>
      <c r="F13043" s="10"/>
    </row>
    <row r="13044" customFormat="false" ht="15" hidden="false" customHeight="false" outlineLevel="0" collapsed="false">
      <c r="B13044" s="10"/>
      <c r="C13044" s="10"/>
      <c r="D13044" s="34" t="str">
        <f aca="false">Signataire</f>
        <v>Prénom NOM</v>
      </c>
      <c r="E13044" s="34"/>
      <c r="F13044" s="34"/>
    </row>
    <row r="13045" customFormat="false" ht="15" hidden="false" customHeight="false" outlineLevel="0" collapsed="false">
      <c r="B13045" s="10"/>
      <c r="C13045" s="10"/>
      <c r="D13045" s="47" t="str">
        <f aca="false">Signataire_Titre</f>
        <v>Expert-comptable associé</v>
      </c>
      <c r="E13045" s="47"/>
      <c r="F13045" s="47"/>
    </row>
    <row r="13046" customFormat="false" ht="15.75" hidden="false" customHeight="true" outlineLevel="0" collapsed="false">
      <c r="B13046" s="10"/>
      <c r="C13046" s="10"/>
      <c r="D13046" s="10"/>
      <c r="E13046" s="10"/>
      <c r="F13046" s="10"/>
    </row>
    <row r="13047" customFormat="false" ht="15.75" hidden="false" customHeight="true" outlineLevel="0" collapsed="false">
      <c r="B13047" s="10"/>
      <c r="C13047" s="10"/>
      <c r="D13047" s="10"/>
      <c r="E13047" s="10"/>
      <c r="F13047" s="10"/>
    </row>
    <row r="13048" customFormat="false" ht="15.75" hidden="false" customHeight="true" outlineLevel="0" collapsed="false">
      <c r="B13048" s="10"/>
      <c r="C13048" s="10"/>
      <c r="D13048" s="10"/>
      <c r="E13048" s="10"/>
      <c r="F13048" s="10"/>
    </row>
    <row r="13049" customFormat="false" ht="15.75" hidden="false" customHeight="true" outlineLevel="0" collapsed="false">
      <c r="B13049" s="10"/>
      <c r="C13049" s="10"/>
      <c r="D13049" s="10"/>
      <c r="E13049" s="10"/>
      <c r="F13049" s="10"/>
    </row>
    <row r="13050" customFormat="false" ht="24" hidden="false" customHeight="true" outlineLevel="0" collapsed="false">
      <c r="B13050" s="48" t="str">
        <f aca="false">Cab_Mentions</f>
        <v>ALTHO EXPERTISE · SAS au capital de 10 000 € · RCS Pontoise 919 706 325 · TVA FR62919706325 · Société d'expertise comptable inscrite au Tableau de l'Ordre des experts-comptables de Paris Île-de-France</v>
      </c>
      <c r="C13050" s="48"/>
      <c r="D13050" s="48"/>
      <c r="E13050" s="48"/>
      <c r="F13050" s="48"/>
    </row>
    <row r="13051" customFormat="false" ht="15" hidden="false" customHeight="false" outlineLevel="0" collapsed="false">
      <c r="B13051" s="10"/>
      <c r="C13051" s="10"/>
      <c r="D13051" s="10"/>
      <c r="E13051" s="10"/>
      <c r="F13051" s="10"/>
      <c r="J13051" s="25" t="s">
        <v>142</v>
      </c>
      <c r="K13051" s="25" t="n">
        <f aca="false">IFERROR(MATCH(291,Clients!$Z$2:$Z$501,0),0)</f>
        <v>0</v>
      </c>
      <c r="L13051" s="25"/>
      <c r="M13051" s="25"/>
      <c r="N13051" s="25"/>
      <c r="O13051" s="25"/>
    </row>
    <row r="13052" customFormat="false" ht="21.75" hidden="false" customHeight="true" outlineLevel="0" collapsed="false">
      <c r="B13052" s="26" t="str">
        <f aca="false">Cab_Nom</f>
        <v>ALTHO EXPERTISE</v>
      </c>
      <c r="C13052" s="26"/>
      <c r="D13052" s="10"/>
      <c r="E13052" s="27" t="str">
        <f aca="false">IF($K$13051=0,"","Réf. client : "&amp;INDEX(Clients!$A$2:$A$501,$K$13051))</f>
        <v/>
      </c>
      <c r="F13052" s="27"/>
      <c r="J13052" s="25" t="s">
        <v>144</v>
      </c>
      <c r="K13052" s="25" t="str">
        <f aca="false">IF(IF($K$13051=0,"",INDEX(Clients!$B$2:$B$501,$K$13051)&amp;"")="Mme","Madame",IF(IF($K$13051=0,"",INDEX(Clients!$B$2:$B$501,$K$13051)&amp;"")="M.","Monsieur","Madame, Monsieur"))</f>
        <v>Madame, Monsieur</v>
      </c>
      <c r="L13052" s="25"/>
      <c r="M13052" s="25"/>
      <c r="N13052" s="25"/>
      <c r="O13052" s="25"/>
    </row>
    <row r="13053" customFormat="false" ht="15" hidden="false" customHeight="false" outlineLevel="0" collapsed="false">
      <c r="B13053" s="29" t="str">
        <f aca="false">Cab_Adr1</f>
        <v>141 rue Charles de Gaulle</v>
      </c>
      <c r="C13053" s="29"/>
      <c r="D13053" s="10"/>
      <c r="E13053" s="10"/>
      <c r="F13053" s="10"/>
      <c r="J13053" s="25" t="s">
        <v>145</v>
      </c>
      <c r="K13053" s="25" t="str">
        <f aca="false">DAY(Date_Effet)&amp;IF(DAY(Date_Effet)=1,"er","")&amp;" "&amp;INDEX(Liste_Mois,MONTH(Date_Effet))&amp;" "&amp;YEAR(Date_Effet)</f>
        <v>1er janvier 2027</v>
      </c>
      <c r="L13053" s="25"/>
      <c r="M13053" s="25"/>
      <c r="N13053" s="25"/>
      <c r="O13053" s="25"/>
    </row>
    <row r="13054" customFormat="false" ht="15" hidden="false" customHeight="false" outlineLevel="0" collapsed="false">
      <c r="B13054" s="29" t="str">
        <f aca="false">Cab_CPVille</f>
        <v>95130 LE PLESSIS-BOUCHARD</v>
      </c>
      <c r="C13054" s="29"/>
      <c r="D13054" s="10"/>
      <c r="E13054" s="10"/>
      <c r="F13054" s="10"/>
      <c r="J13054" s="25" t="s">
        <v>146</v>
      </c>
      <c r="K13054" s="25" t="str">
        <f aca="false">IF(SUM($K$13078:$K$13081)=0,"",FIXED((SUM($L$13078:$L$13081)/SUM($K$13078:$K$13081)-1)*100,1)&amp;" %")</f>
        <v/>
      </c>
      <c r="L13054" s="25"/>
      <c r="M13054" s="25"/>
      <c r="N13054" s="25"/>
      <c r="O13054" s="25"/>
    </row>
    <row r="13055" customFormat="false" ht="15" hidden="false" customHeight="false" outlineLevel="0" collapsed="false">
      <c r="B13055" s="29" t="str">
        <f aca="false">Cab_Contact</f>
        <v>Tél. 01 34 14 53 45  ·  altho@altho-experts.com  ·  altho-experts.com</v>
      </c>
      <c r="C13055" s="29"/>
      <c r="D13055" s="10"/>
      <c r="E13055" s="10"/>
      <c r="F13055" s="10"/>
      <c r="J13055" s="25"/>
      <c r="K13055" s="25"/>
      <c r="L13055" s="25"/>
      <c r="M13055" s="25"/>
      <c r="N13055" s="25"/>
      <c r="O13055" s="25"/>
    </row>
    <row r="13056" customFormat="false" ht="6" hidden="false" customHeight="true" outlineLevel="0" collapsed="false">
      <c r="B13056" s="32"/>
      <c r="C13056" s="32"/>
      <c r="D13056" s="32"/>
      <c r="E13056" s="32"/>
      <c r="F13056" s="32"/>
      <c r="J13056" s="25"/>
      <c r="K13056" s="25"/>
      <c r="L13056" s="25"/>
      <c r="M13056" s="25"/>
      <c r="N13056" s="25"/>
      <c r="O13056" s="25"/>
    </row>
    <row r="13057" customFormat="false" ht="13.5" hidden="false" customHeight="true" outlineLevel="0" collapsed="false">
      <c r="B13057" s="10"/>
      <c r="C13057" s="10"/>
      <c r="D13057" s="10"/>
      <c r="E13057" s="10"/>
      <c r="F13057" s="10"/>
      <c r="J13057" s="25"/>
      <c r="K13057" s="25"/>
      <c r="L13057" s="25"/>
      <c r="M13057" s="25"/>
      <c r="N13057" s="25"/>
      <c r="O13057" s="25"/>
    </row>
    <row r="13058" customFormat="false" ht="13.5" hidden="false" customHeight="true" outlineLevel="0" collapsed="false">
      <c r="B13058" s="10"/>
      <c r="C13058" s="10"/>
      <c r="D13058" s="10"/>
      <c r="E13058" s="10"/>
      <c r="F13058" s="10"/>
      <c r="J13058" s="25"/>
      <c r="K13058" s="25"/>
      <c r="L13058" s="25"/>
      <c r="M13058" s="25"/>
      <c r="N13058" s="25"/>
      <c r="O13058" s="25"/>
    </row>
    <row r="13059" customFormat="false" ht="13.5" hidden="false" customHeight="true" outlineLevel="0" collapsed="false">
      <c r="B13059" s="10"/>
      <c r="C13059" s="10"/>
      <c r="D13059" s="10"/>
      <c r="E13059" s="10"/>
      <c r="F13059" s="10"/>
      <c r="J13059" s="25"/>
      <c r="K13059" s="25"/>
      <c r="L13059" s="25"/>
      <c r="M13059" s="25"/>
      <c r="N13059" s="25"/>
      <c r="O13059" s="25"/>
    </row>
    <row r="13060" customFormat="false" ht="15" hidden="false" customHeight="true" outlineLevel="0" collapsed="false">
      <c r="B13060" s="10"/>
      <c r="C13060" s="10"/>
      <c r="D13060" s="34" t="str">
        <f aca="false">IF($K$13051=0,"",INDEX(Clients!$E$2:$E$501,$K$13051)&amp;"")</f>
        <v/>
      </c>
      <c r="E13060" s="34"/>
      <c r="F13060" s="34"/>
      <c r="J13060" s="25"/>
      <c r="K13060" s="25"/>
      <c r="L13060" s="25"/>
      <c r="M13060" s="25"/>
      <c r="N13060" s="25"/>
      <c r="O13060" s="25"/>
    </row>
    <row r="13061" customFormat="false" ht="15" hidden="false" customHeight="true" outlineLevel="0" collapsed="false">
      <c r="B13061" s="10"/>
      <c r="C13061" s="10"/>
      <c r="D13061" s="35" t="str">
        <f aca="false">IF(IF($K$13051=0,"",INDEX(Clients!$D$2:$D$501,$K$13051)&amp;"")="","","À l'attention de "&amp;TRIM(IF($K$13051=0,"",INDEX(Clients!$B$2:$B$501,$K$13051)&amp;"")&amp;" "&amp;IF($K$13051=0,"",INDEX(Clients!$C$2:$C$501,$K$13051)&amp;"")&amp;" "&amp;IF($K$13051=0,"",INDEX(Clients!$D$2:$D$501,$K$13051)&amp;"")))</f>
        <v/>
      </c>
      <c r="E13061" s="35"/>
      <c r="F13061" s="35"/>
      <c r="J13061" s="25"/>
      <c r="K13061" s="25"/>
      <c r="L13061" s="25"/>
      <c r="M13061" s="25"/>
      <c r="N13061" s="25"/>
      <c r="O13061" s="25"/>
    </row>
    <row r="13062" customFormat="false" ht="15" hidden="false" customHeight="true" outlineLevel="0" collapsed="false">
      <c r="B13062" s="10"/>
      <c r="C13062" s="10"/>
      <c r="D13062" s="35" t="str">
        <f aca="false">IF($K$13051=0,"",INDEX(Clients!$F$2:$F$501,$K$13051)&amp;"")</f>
        <v/>
      </c>
      <c r="E13062" s="35"/>
      <c r="F13062" s="35"/>
      <c r="J13062" s="25"/>
      <c r="K13062" s="25"/>
      <c r="L13062" s="25"/>
      <c r="M13062" s="25"/>
      <c r="N13062" s="25"/>
      <c r="O13062" s="25"/>
    </row>
    <row r="13063" customFormat="false" ht="15" hidden="false" customHeight="true" outlineLevel="0" collapsed="false">
      <c r="B13063" s="10"/>
      <c r="C13063" s="10"/>
      <c r="D13063" s="35" t="str">
        <f aca="false">IF(IF($K$13051=0,"",INDEX(Clients!$G$2:$G$501,$K$13051)&amp;"")="",TRIM(IF($K$13051=0,"",INDEX(Clients!$H$2:$H$501,$K$13051)&amp;"")&amp;" "&amp;UPPER(IF($K$13051=0,"",INDEX(Clients!$I$2:$I$501,$K$13051)&amp;""))),IF($K$13051=0,"",INDEX(Clients!$G$2:$G$501,$K$13051)&amp;""))</f>
        <v/>
      </c>
      <c r="E13063" s="35"/>
      <c r="F13063" s="35"/>
      <c r="J13063" s="25"/>
      <c r="K13063" s="25"/>
      <c r="L13063" s="25"/>
      <c r="M13063" s="25"/>
      <c r="N13063" s="25"/>
      <c r="O13063" s="25"/>
    </row>
    <row r="13064" customFormat="false" ht="15" hidden="false" customHeight="true" outlineLevel="0" collapsed="false">
      <c r="B13064" s="10"/>
      <c r="C13064" s="10"/>
      <c r="D13064" s="35" t="str">
        <f aca="false">IF(IF($K$13051=0,"",INDEX(Clients!$G$2:$G$501,$K$13051)&amp;"")="","",TRIM(IF($K$13051=0,"",INDEX(Clients!$H$2:$H$501,$K$13051)&amp;"")&amp;" "&amp;UPPER(IF($K$13051=0,"",INDEX(Clients!$I$2:$I$501,$K$13051)&amp;""))))</f>
        <v/>
      </c>
      <c r="E13064" s="35"/>
      <c r="F13064" s="35"/>
      <c r="J13064" s="25"/>
      <c r="K13064" s="25"/>
      <c r="L13064" s="25"/>
      <c r="M13064" s="25"/>
      <c r="N13064" s="25"/>
      <c r="O13064" s="25"/>
    </row>
    <row r="13065" customFormat="false" ht="25.5" hidden="false" customHeight="true" outlineLevel="0" collapsed="false">
      <c r="B13065" s="10"/>
      <c r="C13065" s="10"/>
      <c r="D13065" s="10"/>
      <c r="E13065" s="10"/>
      <c r="F13065" s="10"/>
      <c r="J13065" s="25"/>
      <c r="K13065" s="25"/>
      <c r="L13065" s="25"/>
      <c r="M13065" s="25"/>
      <c r="N13065" s="25"/>
      <c r="O13065" s="25"/>
    </row>
    <row r="13066" customFormat="false" ht="15" hidden="false" customHeight="false" outlineLevel="0" collapsed="false">
      <c r="B13066" s="10"/>
      <c r="C13066" s="10"/>
      <c r="D13066" s="36" t="str">
        <f aca="false">Cab_Ville&amp;", le "&amp;DAY(Date_Courrier)&amp;IF(DAY(Date_Courrier)=1,"er","")&amp;" "&amp;INDEX(Liste_Mois,MONTH(Date_Courrier))&amp;" "&amp;YEAR(Date_Courrier)</f>
        <v>Le Plessis-Bouchard, le 22 septembre 2026</v>
      </c>
      <c r="E13066" s="36"/>
      <c r="F13066" s="36"/>
      <c r="J13066" s="25"/>
      <c r="K13066" s="25"/>
      <c r="L13066" s="25"/>
      <c r="M13066" s="25"/>
      <c r="N13066" s="25"/>
      <c r="O13066" s="25"/>
    </row>
    <row r="13067" customFormat="false" ht="19.5" hidden="false" customHeight="true" outlineLevel="0" collapsed="false">
      <c r="B13067" s="10"/>
      <c r="C13067" s="10"/>
      <c r="D13067" s="10"/>
      <c r="E13067" s="10"/>
      <c r="F13067" s="10"/>
      <c r="J13067" s="25"/>
      <c r="K13067" s="25"/>
      <c r="L13067" s="25"/>
      <c r="M13067" s="25"/>
      <c r="N13067" s="25"/>
      <c r="O13067" s="25"/>
    </row>
    <row r="13068" customFormat="false" ht="15" hidden="false" customHeight="false" outlineLevel="0" collapsed="false">
      <c r="B13068" s="34" t="str">
        <f aca="false">SUBSTITUTE(SUBSTITUTE(SUBSTITUTE(SUBSTITUTE(SUBSTITUTE(Txt_Objet,"{cabinet}",Cab_Nom),"{societe}",IF($K$13051=0,"",INDEX(Clients!$E$2:$E$501,$K$13051)&amp;"")),"{date_effet}",$K$13053),"{hausse}",$K$13054),"{civilite}",$K$13052)</f>
        <v>Objet : révision de nos honoraires au 1er janvier 2027</v>
      </c>
      <c r="C13068" s="34"/>
      <c r="D13068" s="34"/>
      <c r="E13068" s="34"/>
      <c r="F13068" s="34"/>
      <c r="J13068" s="25"/>
      <c r="K13068" s="25"/>
      <c r="L13068" s="25"/>
      <c r="M13068" s="25"/>
      <c r="N13068" s="25"/>
      <c r="O13068" s="25"/>
    </row>
    <row r="13069" customFormat="false" ht="13.5" hidden="false" customHeight="true" outlineLevel="0" collapsed="false">
      <c r="B13069" s="10"/>
      <c r="C13069" s="10"/>
      <c r="D13069" s="10"/>
      <c r="E13069" s="10"/>
      <c r="F13069" s="10"/>
      <c r="J13069" s="25"/>
      <c r="K13069" s="25"/>
      <c r="L13069" s="25"/>
      <c r="M13069" s="25"/>
      <c r="N13069" s="25"/>
      <c r="O13069" s="25"/>
    </row>
    <row r="13070" customFormat="false" ht="15" hidden="false" customHeight="false" outlineLevel="0" collapsed="false">
      <c r="B13070" s="10" t="str">
        <f aca="false">$K$13052&amp;","</f>
        <v>Madame, Monsieur,</v>
      </c>
      <c r="C13070" s="10"/>
      <c r="D13070" s="10"/>
      <c r="E13070" s="10"/>
      <c r="F13070" s="10"/>
      <c r="J13070" s="25"/>
      <c r="K13070" s="25"/>
      <c r="L13070" s="25"/>
      <c r="M13070" s="25"/>
      <c r="N13070" s="25"/>
      <c r="O13070" s="25"/>
    </row>
    <row r="13071" customFormat="false" ht="6" hidden="false" customHeight="true" outlineLevel="0" collapsed="false">
      <c r="B13071" s="10"/>
      <c r="C13071" s="10"/>
      <c r="D13071" s="10"/>
      <c r="E13071" s="10"/>
      <c r="F13071" s="10"/>
      <c r="J13071" s="25"/>
      <c r="K13071" s="25"/>
      <c r="L13071" s="25"/>
      <c r="M13071" s="25"/>
      <c r="N13071" s="25"/>
      <c r="O13071" s="25"/>
    </row>
    <row r="13072" customFormat="false" ht="36.75" hidden="false" customHeight="true" outlineLevel="0" collapsed="false">
      <c r="B13072" s="37" t="str">
        <f aca="false">SUBSTITUTE(SUBSTITUTE(SUBSTITUTE(SUBSTITUTE(SUBSTITUTE(Txt_P1,"{cabinet}",Cab_Nom),"{societe}",IF($K$13051=0,"",INDEX(Clients!$E$2:$E$501,$K$13051)&amp;"")),"{date_effet}",$K$13053),"{hausse}",$K$13054),"{civilite}",$K$13052)</f>
        <v>Nous tenons tout d'abord à vous remercier pour la confiance que vous accordez à ALTHO EXPERTISE. Comme chaque année, et conformément aux dispositions de votre lettre de mission, nous procédons à la révision de nos honoraires.</v>
      </c>
      <c r="C13072" s="37"/>
      <c r="D13072" s="37"/>
      <c r="E13072" s="37"/>
      <c r="F13072" s="37"/>
      <c r="J13072" s="25"/>
      <c r="K13072" s="25"/>
      <c r="L13072" s="25"/>
      <c r="M13072" s="25"/>
      <c r="N13072" s="25"/>
      <c r="O13072" s="25"/>
    </row>
    <row r="13073" customFormat="false" ht="49.5" hidden="false" customHeight="true" outlineLevel="0" collapsed="false">
      <c r="B13073" s="37" t="str">
        <f aca="false">SUBSTITUTE(SUBSTITUTE(SUBSTITUTE(SUBSTITUTE(SUBSTITUTE(Txt_P2,"{cabinet}",Cab_Nom),"{societe}",IF($K$13051=0,"",INDEX(Clients!$E$2:$E$501,$K$13051)&amp;"")),"{date_effet}",$K$13053),"{hausse}",$K$13054),"{civilite}",$K$13052)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073" s="37"/>
      <c r="D13073" s="37"/>
      <c r="E13073" s="37"/>
      <c r="F13073" s="37"/>
      <c r="J13073" s="25"/>
      <c r="K13073" s="25"/>
      <c r="L13073" s="25"/>
      <c r="M13073" s="25"/>
      <c r="N13073" s="25"/>
      <c r="O13073" s="25"/>
    </row>
    <row r="13074" customFormat="false" ht="63" hidden="false" customHeight="true" outlineLevel="0" collapsed="false">
      <c r="B13074" s="37" t="str">
        <f aca="false">SUBSTITUTE(SUBSTITUTE(SUBSTITUTE(SUBSTITUTE(SUBSTITUTE(Txt_P3,"{cabinet}",Cab_Nom),"{societe}",IF($K$13051=0,"",INDEX(Clients!$E$2:$E$501,$K$13051)&amp;"")),"{date_effet}",$K$13053),"{hausse}",$K$13054),"{civilite}",$K$13052)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074" s="37"/>
      <c r="D13074" s="37"/>
      <c r="E13074" s="37"/>
      <c r="F13074" s="37"/>
      <c r="J13074" s="25"/>
      <c r="K13074" s="25"/>
      <c r="L13074" s="25"/>
      <c r="M13074" s="25"/>
      <c r="N13074" s="25"/>
      <c r="O13074" s="25"/>
    </row>
    <row r="13075" customFormat="false" ht="24" hidden="false" customHeight="true" outlineLevel="0" collapsed="false">
      <c r="B13075" s="37" t="str">
        <f aca="false">SUBSTITUTE(SUBSTITUTE(SUBSTITUTE(SUBSTITUTE(SUBSTITUTE(Txt_P4,"{cabinet}",Cab_Nom),"{societe}",IF($K$13051=0,"",INDEX(Clients!$E$2:$E$501,$K$13051)&amp;"")),"{date_effet}",$K$13053),"{hausse}",$K$13054),"{civilite}",$K$13052)</f>
        <v>À compter du 1er janvier 2027, vos honoraires annuels hors taxes évolueront ainsi (évolution globale : ) :</v>
      </c>
      <c r="C13075" s="37"/>
      <c r="D13075" s="37"/>
      <c r="E13075" s="37"/>
      <c r="F13075" s="37"/>
      <c r="J13075" s="25"/>
      <c r="K13075" s="25"/>
      <c r="L13075" s="25"/>
      <c r="M13075" s="25"/>
      <c r="N13075" s="25"/>
      <c r="O13075" s="25"/>
    </row>
    <row r="13076" customFormat="false" ht="3.75" hidden="false" customHeight="true" outlineLevel="0" collapsed="false">
      <c r="B13076" s="10"/>
      <c r="C13076" s="10"/>
      <c r="D13076" s="10"/>
      <c r="E13076" s="10"/>
      <c r="F13076" s="10"/>
      <c r="J13076" s="25"/>
      <c r="K13076" s="25"/>
      <c r="L13076" s="25"/>
      <c r="M13076" s="25"/>
      <c r="N13076" s="25"/>
      <c r="O13076" s="25"/>
    </row>
    <row r="13077" customFormat="false" ht="18" hidden="false" customHeight="true" outlineLevel="0" collapsed="false">
      <c r="B13077" s="38" t="s">
        <v>148</v>
      </c>
      <c r="C13077" s="39" t="s">
        <v>149</v>
      </c>
      <c r="D13077" s="39" t="s">
        <v>150</v>
      </c>
      <c r="E13077" s="39" t="s">
        <v>151</v>
      </c>
      <c r="F13077" s="39" t="s">
        <v>109</v>
      </c>
      <c r="J13077" s="25" t="s">
        <v>152</v>
      </c>
      <c r="K13077" s="25" t="s">
        <v>153</v>
      </c>
      <c r="L13077" s="25" t="s">
        <v>154</v>
      </c>
      <c r="M13077" s="25" t="s">
        <v>155</v>
      </c>
      <c r="N13077" s="25" t="s">
        <v>156</v>
      </c>
      <c r="O13077" s="25" t="s">
        <v>157</v>
      </c>
    </row>
    <row r="13078" customFormat="false" ht="16.5" hidden="false" customHeight="true" outlineLevel="0" collapsed="false">
      <c r="B13078" s="40" t="str">
        <f aca="false">IFERROR(INDEX($J$13078:$J$13081,MATCH($O13078,$N$13078:$N$13081,0)),"")</f>
        <v/>
      </c>
      <c r="C13078" s="41" t="str">
        <f aca="false">IFERROR(INDEX($K$13078:$K$13081,MATCH($O13078,$N$13078:$N$13081,0)),"")</f>
        <v/>
      </c>
      <c r="D13078" s="42" t="str">
        <f aca="false">IF(OR(E13078="",N(C13078)=0),"",E13078/C13078-1)</f>
        <v/>
      </c>
      <c r="E13078" s="41" t="str">
        <f aca="false">IFERROR(INDEX($L$13078:$L$13081,MATCH($O13078,$N$13078:$N$13081,0)),"")</f>
        <v/>
      </c>
      <c r="F13078" s="41" t="str">
        <f aca="false">IF(E13078="","",E13078-C13078)</f>
        <v/>
      </c>
      <c r="J13078" s="25" t="str">
        <f aca="false">Lib_Compta</f>
        <v>Mission comptable (tenue, révision, bilan, liasse fiscale)</v>
      </c>
      <c r="K13078" s="25" t="n">
        <f aca="false">IF($K$13051=0,0,N(INDEX(Clients!$K$2:$K$501,$K$13051)))</f>
        <v>0</v>
      </c>
      <c r="L13078" s="25" t="n">
        <f aca="false">IF($K$13051=0,0,N(INDEX(Clients!$P$2:$P$501,$K$13051)))</f>
        <v>0</v>
      </c>
      <c r="M13078" s="25" t="n">
        <f aca="false">IF(OR(K13078&lt;&gt;0,L13078&lt;&gt;0),1,0)</f>
        <v>0</v>
      </c>
      <c r="N13078" s="25" t="str">
        <f aca="false">IF(M13078=1,SUM($M$13078:M13078),"")</f>
        <v/>
      </c>
      <c r="O13078" s="25" t="n">
        <v>1</v>
      </c>
    </row>
    <row r="13079" customFormat="false" ht="16.5" hidden="false" customHeight="true" outlineLevel="0" collapsed="false">
      <c r="B13079" s="40" t="str">
        <f aca="false">IFERROR(INDEX($J$13078:$J$13081,MATCH($O13079,$N$13078:$N$13081,0)),"")</f>
        <v/>
      </c>
      <c r="C13079" s="41" t="str">
        <f aca="false">IFERROR(INDEX($K$13078:$K$13081,MATCH($O13079,$N$13078:$N$13081,0)),"")</f>
        <v/>
      </c>
      <c r="D13079" s="42" t="str">
        <f aca="false">IF(OR(E13079="",N(C13079)=0),"",E13079/C13079-1)</f>
        <v/>
      </c>
      <c r="E13079" s="41" t="str">
        <f aca="false">IFERROR(INDEX($L$13078:$L$13081,MATCH($O13079,$N$13078:$N$13081,0)),"")</f>
        <v/>
      </c>
      <c r="F13079" s="41" t="str">
        <f aca="false">IF(E13079="","",E13079-C13079)</f>
        <v/>
      </c>
      <c r="J13079" s="25" t="str">
        <f aca="false">Lib_Paye</f>
        <v>Mission sociale (bulletins de paie, DSN, déclarations sociales)</v>
      </c>
      <c r="K13079" s="25" t="n">
        <f aca="false">IF($K$13051=0,0,N(INDEX(Clients!$L$2:$L$501,$K$13051)))</f>
        <v>0</v>
      </c>
      <c r="L13079" s="25" t="n">
        <f aca="false">IF($K$13051=0,0,N(INDEX(Clients!$Q$2:$Q$501,$K$13051)))</f>
        <v>0</v>
      </c>
      <c r="M13079" s="25" t="n">
        <f aca="false">IF(OR(K13079&lt;&gt;0,L13079&lt;&gt;0),1,0)</f>
        <v>0</v>
      </c>
      <c r="N13079" s="25" t="str">
        <f aca="false">IF(M13079=1,SUM($M$13078:M13079),"")</f>
        <v/>
      </c>
      <c r="O13079" s="25" t="n">
        <v>2</v>
      </c>
    </row>
    <row r="13080" customFormat="false" ht="16.5" hidden="false" customHeight="true" outlineLevel="0" collapsed="false">
      <c r="B13080" s="40" t="str">
        <f aca="false">IFERROR(INDEX($J$13078:$J$13081,MATCH($O13080,$N$13078:$N$13081,0)),"")</f>
        <v/>
      </c>
      <c r="C13080" s="41" t="str">
        <f aca="false">IFERROR(INDEX($K$13078:$K$13081,MATCH($O13080,$N$13078:$N$13081,0)),"")</f>
        <v/>
      </c>
      <c r="D13080" s="42" t="str">
        <f aca="false">IF(OR(E13080="",N(C13080)=0),"",E13080/C13080-1)</f>
        <v/>
      </c>
      <c r="E13080" s="41" t="str">
        <f aca="false">IFERROR(INDEX($L$13078:$L$13081,MATCH($O13080,$N$13078:$N$13081,0)),"")</f>
        <v/>
      </c>
      <c r="F13080" s="41" t="str">
        <f aca="false">IF(E13080="","",E13080-C13080)</f>
        <v/>
      </c>
      <c r="J13080" s="25" t="str">
        <f aca="false">Lib_Jur</f>
        <v>Mission juridique (approbation des comptes, secrétariat juridique)</v>
      </c>
      <c r="K13080" s="25" t="n">
        <f aca="false">IF($K$13051=0,0,N(INDEX(Clients!$M$2:$M$501,$K$13051)))</f>
        <v>0</v>
      </c>
      <c r="L13080" s="25" t="n">
        <f aca="false">IF($K$13051=0,0,N(INDEX(Clients!$R$2:$R$501,$K$13051)))</f>
        <v>0</v>
      </c>
      <c r="M13080" s="25" t="n">
        <f aca="false">IF(OR(K13080&lt;&gt;0,L13080&lt;&gt;0),1,0)</f>
        <v>0</v>
      </c>
      <c r="N13080" s="25" t="str">
        <f aca="false">IF(M13080=1,SUM($M$13078:M13080),"")</f>
        <v/>
      </c>
      <c r="O13080" s="25" t="n">
        <v>3</v>
      </c>
    </row>
    <row r="13081" customFormat="false" ht="16.5" hidden="false" customHeight="true" outlineLevel="0" collapsed="false">
      <c r="B13081" s="40" t="str">
        <f aca="false">IFERROR(INDEX($J$13078:$J$13081,MATCH($O13081,$N$13078:$N$13081,0)),"")</f>
        <v/>
      </c>
      <c r="C13081" s="41" t="str">
        <f aca="false">IFERROR(INDEX($K$13078:$K$13081,MATCH($O13081,$N$13078:$N$13081,0)),"")</f>
        <v/>
      </c>
      <c r="D13081" s="42" t="str">
        <f aca="false">IF(OR(E13081="",N(C13081)=0),"",E13081/C13081-1)</f>
        <v/>
      </c>
      <c r="E13081" s="41" t="str">
        <f aca="false">IFERROR(INDEX($L$13078:$L$13081,MATCH($O13081,$N$13078:$N$13081,0)),"")</f>
        <v/>
      </c>
      <c r="F13081" s="41" t="str">
        <f aca="false">IF(E13081="","",E13081-C13081)</f>
        <v/>
      </c>
      <c r="J13081" s="25" t="str">
        <f aca="false">Lib_PA</f>
        <v>Plateforme agréée – facturation électronique</v>
      </c>
      <c r="K13081" s="25" t="n">
        <f aca="false">IF($K$13051=0,0,N(INDEX(Clients!$N$2:$N$501,$K$13051)))</f>
        <v>0</v>
      </c>
      <c r="L13081" s="25" t="n">
        <f aca="false">IF($K$13051=0,0,N(INDEX(Clients!$S$2:$S$501,$K$13051)))</f>
        <v>0</v>
      </c>
      <c r="M13081" s="25" t="n">
        <f aca="false">IF(OR(K13081&lt;&gt;0,L13081&lt;&gt;0),1,0)</f>
        <v>0</v>
      </c>
      <c r="N13081" s="25" t="str">
        <f aca="false">IF(M13081=1,SUM($M$13078:M13081),"")</f>
        <v/>
      </c>
      <c r="O13081" s="25" t="n">
        <v>4</v>
      </c>
    </row>
    <row r="13082" customFormat="false" ht="18" hidden="false" customHeight="true" outlineLevel="0" collapsed="false">
      <c r="B13082" s="43" t="s">
        <v>158</v>
      </c>
      <c r="C13082" s="44" t="n">
        <f aca="false">SUM(K13078:K13081)</f>
        <v>0</v>
      </c>
      <c r="D13082" s="45" t="str">
        <f aca="false">IF(N(C13082)=0,"",E13082/C13082-1)</f>
        <v/>
      </c>
      <c r="E13082" s="44" t="n">
        <f aca="false">SUM(L13078:L13081)</f>
        <v>0</v>
      </c>
      <c r="F13082" s="44" t="n">
        <f aca="false">E13082-C13082</f>
        <v>0</v>
      </c>
    </row>
    <row r="13083" customFormat="false" ht="15" hidden="false" customHeight="false" outlineLevel="0" collapsed="false">
      <c r="B13083" s="46" t="str">
        <f aca="false">IF(N(Nb_Mensualites)=0,"","Soit "&amp;FIXED(E13082/Nb_Mensualites,2)&amp;" € HT par échéance ("&amp;Nb_Mensualites&amp;" échéances), "&amp;FIXED(E13082/Nb_Mensualites*(1+Taux_TVA),2)&amp;" € TTC.")</f>
        <v>Soit 0.00 € HT par échéance (12 échéances), 0.00 € TTC.</v>
      </c>
      <c r="C13083" s="46"/>
      <c r="D13083" s="46"/>
      <c r="E13083" s="46"/>
      <c r="F13083" s="46"/>
    </row>
    <row r="13084" customFormat="false" ht="7.5" hidden="false" customHeight="true" outlineLevel="0" collapsed="false">
      <c r="B13084" s="10"/>
      <c r="C13084" s="10"/>
      <c r="D13084" s="10"/>
      <c r="E13084" s="10"/>
      <c r="F13084" s="10"/>
    </row>
    <row r="13085" customFormat="false" ht="36.75" hidden="false" customHeight="true" outlineLevel="0" collapsed="false">
      <c r="B13085" s="37" t="str">
        <f aca="false">SUBSTITUTE(SUBSTITUTE(SUBSTITUTE(SUBSTITUTE(SUBSTITUTE(Txt_P5,"{cabinet}",Cab_Nom),"{societe}",IF($K$13051=0,"",INDEX(Clients!$E$2:$E$501,$K$13051)&amp;"")),"{date_effet}",$K$13053),"{hausse}",$K$13054),"{civilite}",$K$13052)</f>
        <v>Les autres conditions de votre lettre de mission demeurent inchangées. Les nouveaux montants seront appliqués automatiquement sur vos prochaines factures et échéances de prélèvement.</v>
      </c>
      <c r="C13085" s="37"/>
      <c r="D13085" s="37"/>
      <c r="E13085" s="37"/>
      <c r="F13085" s="37"/>
    </row>
    <row r="13086" customFormat="false" ht="36.75" hidden="false" customHeight="true" outlineLevel="0" collapsed="false">
      <c r="B13086" s="37" t="str">
        <f aca="false">SUBSTITUTE(SUBSTITUTE(SUBSTITUTE(SUBSTITUTE(SUBSTITUTE(Txt_P6,"{cabinet}",Cab_Nom),"{societe}",IF($K$13051=0,"",INDEX(Clients!$E$2:$E$501,$K$13051)&amp;"")),"{date_effet}",$K$13053),"{hausse}",$K$13054),"{civilite}",$K$13052)</f>
        <v>Votre interlocuteur habituel reste à votre entière disposition pour répondre à vos questions et faire le point sur l'évolution de vos besoins.</v>
      </c>
      <c r="C13086" s="37"/>
      <c r="D13086" s="37"/>
      <c r="E13086" s="37"/>
      <c r="F13086" s="37"/>
    </row>
    <row r="13087" customFormat="false" ht="24" hidden="false" customHeight="true" outlineLevel="0" collapsed="false">
      <c r="B13087" s="37" t="str">
        <f aca="false">SUBSTITUTE(SUBSTITUTE(SUBSTITUTE(SUBSTITUTE(SUBSTITUTE(Txt_Politesse,"{cabinet}",Cab_Nom),"{societe}",IF($K$13051=0,"",INDEX(Clients!$E$2:$E$501,$K$13051)&amp;"")),"{date_effet}",$K$13053),"{hausse}",$K$13054),"{civilite}",$K$13052)</f>
        <v>Nous vous prions d'agréer, Madame, Monsieur, l'expression de nos salutations distinguées.</v>
      </c>
      <c r="C13087" s="37"/>
      <c r="D13087" s="37"/>
      <c r="E13087" s="37"/>
      <c r="F13087" s="37"/>
    </row>
    <row r="13088" customFormat="false" ht="15" hidden="false" customHeight="false" outlineLevel="0" collapsed="false">
      <c r="B13088" s="10"/>
      <c r="C13088" s="10"/>
      <c r="D13088" s="10"/>
      <c r="E13088" s="10"/>
      <c r="F13088" s="10"/>
    </row>
    <row r="13089" customFormat="false" ht="15" hidden="false" customHeight="false" outlineLevel="0" collapsed="false">
      <c r="B13089" s="10"/>
      <c r="C13089" s="10"/>
      <c r="D13089" s="34" t="str">
        <f aca="false">Signataire</f>
        <v>Prénom NOM</v>
      </c>
      <c r="E13089" s="34"/>
      <c r="F13089" s="34"/>
    </row>
    <row r="13090" customFormat="false" ht="15" hidden="false" customHeight="false" outlineLevel="0" collapsed="false">
      <c r="B13090" s="10"/>
      <c r="C13090" s="10"/>
      <c r="D13090" s="47" t="str">
        <f aca="false">Signataire_Titre</f>
        <v>Expert-comptable associé</v>
      </c>
      <c r="E13090" s="47"/>
      <c r="F13090" s="47"/>
    </row>
    <row r="13091" customFormat="false" ht="15.75" hidden="false" customHeight="true" outlineLevel="0" collapsed="false">
      <c r="B13091" s="10"/>
      <c r="C13091" s="10"/>
      <c r="D13091" s="10"/>
      <c r="E13091" s="10"/>
      <c r="F13091" s="10"/>
    </row>
    <row r="13092" customFormat="false" ht="15.75" hidden="false" customHeight="true" outlineLevel="0" collapsed="false">
      <c r="B13092" s="10"/>
      <c r="C13092" s="10"/>
      <c r="D13092" s="10"/>
      <c r="E13092" s="10"/>
      <c r="F13092" s="10"/>
    </row>
    <row r="13093" customFormat="false" ht="15.75" hidden="false" customHeight="true" outlineLevel="0" collapsed="false">
      <c r="B13093" s="10"/>
      <c r="C13093" s="10"/>
      <c r="D13093" s="10"/>
      <c r="E13093" s="10"/>
      <c r="F13093" s="10"/>
    </row>
    <row r="13094" customFormat="false" ht="15.75" hidden="false" customHeight="true" outlineLevel="0" collapsed="false">
      <c r="B13094" s="10"/>
      <c r="C13094" s="10"/>
      <c r="D13094" s="10"/>
      <c r="E13094" s="10"/>
      <c r="F13094" s="10"/>
    </row>
    <row r="13095" customFormat="false" ht="24" hidden="false" customHeight="true" outlineLevel="0" collapsed="false">
      <c r="B13095" s="48" t="str">
        <f aca="false">Cab_Mentions</f>
        <v>ALTHO EXPERTISE · SAS au capital de 10 000 € · RCS Pontoise 919 706 325 · TVA FR62919706325 · Société d'expertise comptable inscrite au Tableau de l'Ordre des experts-comptables de Paris Île-de-France</v>
      </c>
      <c r="C13095" s="48"/>
      <c r="D13095" s="48"/>
      <c r="E13095" s="48"/>
      <c r="F13095" s="48"/>
    </row>
    <row r="13096" customFormat="false" ht="15" hidden="false" customHeight="false" outlineLevel="0" collapsed="false">
      <c r="B13096" s="10"/>
      <c r="C13096" s="10"/>
      <c r="D13096" s="10"/>
      <c r="E13096" s="10"/>
      <c r="F13096" s="10"/>
      <c r="J13096" s="25" t="s">
        <v>142</v>
      </c>
      <c r="K13096" s="25" t="n">
        <f aca="false">IFERROR(MATCH(292,Clients!$Z$2:$Z$501,0),0)</f>
        <v>0</v>
      </c>
      <c r="L13096" s="25"/>
      <c r="M13096" s="25"/>
      <c r="N13096" s="25"/>
      <c r="O13096" s="25"/>
    </row>
    <row r="13097" customFormat="false" ht="21.75" hidden="false" customHeight="true" outlineLevel="0" collapsed="false">
      <c r="B13097" s="26" t="str">
        <f aca="false">Cab_Nom</f>
        <v>ALTHO EXPERTISE</v>
      </c>
      <c r="C13097" s="26"/>
      <c r="D13097" s="10"/>
      <c r="E13097" s="27" t="str">
        <f aca="false">IF($K$13096=0,"","Réf. client : "&amp;INDEX(Clients!$A$2:$A$501,$K$13096))</f>
        <v/>
      </c>
      <c r="F13097" s="27"/>
      <c r="J13097" s="25" t="s">
        <v>144</v>
      </c>
      <c r="K13097" s="25" t="str">
        <f aca="false">IF(IF($K$13096=0,"",INDEX(Clients!$B$2:$B$501,$K$13096)&amp;"")="Mme","Madame",IF(IF($K$13096=0,"",INDEX(Clients!$B$2:$B$501,$K$13096)&amp;"")="M.","Monsieur","Madame, Monsieur"))</f>
        <v>Madame, Monsieur</v>
      </c>
      <c r="L13097" s="25"/>
      <c r="M13097" s="25"/>
      <c r="N13097" s="25"/>
      <c r="O13097" s="25"/>
    </row>
    <row r="13098" customFormat="false" ht="15" hidden="false" customHeight="false" outlineLevel="0" collapsed="false">
      <c r="B13098" s="29" t="str">
        <f aca="false">Cab_Adr1</f>
        <v>141 rue Charles de Gaulle</v>
      </c>
      <c r="C13098" s="29"/>
      <c r="D13098" s="10"/>
      <c r="E13098" s="10"/>
      <c r="F13098" s="10"/>
      <c r="J13098" s="25" t="s">
        <v>145</v>
      </c>
      <c r="K13098" s="25" t="str">
        <f aca="false">DAY(Date_Effet)&amp;IF(DAY(Date_Effet)=1,"er","")&amp;" "&amp;INDEX(Liste_Mois,MONTH(Date_Effet))&amp;" "&amp;YEAR(Date_Effet)</f>
        <v>1er janvier 2027</v>
      </c>
      <c r="L13098" s="25"/>
      <c r="M13098" s="25"/>
      <c r="N13098" s="25"/>
      <c r="O13098" s="25"/>
    </row>
    <row r="13099" customFormat="false" ht="15" hidden="false" customHeight="false" outlineLevel="0" collapsed="false">
      <c r="B13099" s="29" t="str">
        <f aca="false">Cab_CPVille</f>
        <v>95130 LE PLESSIS-BOUCHARD</v>
      </c>
      <c r="C13099" s="29"/>
      <c r="D13099" s="10"/>
      <c r="E13099" s="10"/>
      <c r="F13099" s="10"/>
      <c r="J13099" s="25" t="s">
        <v>146</v>
      </c>
      <c r="K13099" s="25" t="str">
        <f aca="false">IF(SUM($K$13123:$K$13126)=0,"",FIXED((SUM($L$13123:$L$13126)/SUM($K$13123:$K$13126)-1)*100,1)&amp;" %")</f>
        <v/>
      </c>
      <c r="L13099" s="25"/>
      <c r="M13099" s="25"/>
      <c r="N13099" s="25"/>
      <c r="O13099" s="25"/>
    </row>
    <row r="13100" customFormat="false" ht="15" hidden="false" customHeight="false" outlineLevel="0" collapsed="false">
      <c r="B13100" s="29" t="str">
        <f aca="false">Cab_Contact</f>
        <v>Tél. 01 34 14 53 45  ·  altho@altho-experts.com  ·  altho-experts.com</v>
      </c>
      <c r="C13100" s="29"/>
      <c r="D13100" s="10"/>
      <c r="E13100" s="10"/>
      <c r="F13100" s="10"/>
      <c r="J13100" s="25"/>
      <c r="K13100" s="25"/>
      <c r="L13100" s="25"/>
      <c r="M13100" s="25"/>
      <c r="N13100" s="25"/>
      <c r="O13100" s="25"/>
    </row>
    <row r="13101" customFormat="false" ht="6" hidden="false" customHeight="true" outlineLevel="0" collapsed="false">
      <c r="B13101" s="32"/>
      <c r="C13101" s="32"/>
      <c r="D13101" s="32"/>
      <c r="E13101" s="32"/>
      <c r="F13101" s="32"/>
      <c r="J13101" s="25"/>
      <c r="K13101" s="25"/>
      <c r="L13101" s="25"/>
      <c r="M13101" s="25"/>
      <c r="N13101" s="25"/>
      <c r="O13101" s="25"/>
    </row>
    <row r="13102" customFormat="false" ht="13.5" hidden="false" customHeight="true" outlineLevel="0" collapsed="false">
      <c r="B13102" s="10"/>
      <c r="C13102" s="10"/>
      <c r="D13102" s="10"/>
      <c r="E13102" s="10"/>
      <c r="F13102" s="10"/>
      <c r="J13102" s="25"/>
      <c r="K13102" s="25"/>
      <c r="L13102" s="25"/>
      <c r="M13102" s="25"/>
      <c r="N13102" s="25"/>
      <c r="O13102" s="25"/>
    </row>
    <row r="13103" customFormat="false" ht="13.5" hidden="false" customHeight="true" outlineLevel="0" collapsed="false">
      <c r="B13103" s="10"/>
      <c r="C13103" s="10"/>
      <c r="D13103" s="10"/>
      <c r="E13103" s="10"/>
      <c r="F13103" s="10"/>
      <c r="J13103" s="25"/>
      <c r="K13103" s="25"/>
      <c r="L13103" s="25"/>
      <c r="M13103" s="25"/>
      <c r="N13103" s="25"/>
      <c r="O13103" s="25"/>
    </row>
    <row r="13104" customFormat="false" ht="13.5" hidden="false" customHeight="true" outlineLevel="0" collapsed="false">
      <c r="B13104" s="10"/>
      <c r="C13104" s="10"/>
      <c r="D13104" s="10"/>
      <c r="E13104" s="10"/>
      <c r="F13104" s="10"/>
      <c r="J13104" s="25"/>
      <c r="K13104" s="25"/>
      <c r="L13104" s="25"/>
      <c r="M13104" s="25"/>
      <c r="N13104" s="25"/>
      <c r="O13104" s="25"/>
    </row>
    <row r="13105" customFormat="false" ht="15" hidden="false" customHeight="true" outlineLevel="0" collapsed="false">
      <c r="B13105" s="10"/>
      <c r="C13105" s="10"/>
      <c r="D13105" s="34" t="str">
        <f aca="false">IF($K$13096=0,"",INDEX(Clients!$E$2:$E$501,$K$13096)&amp;"")</f>
        <v/>
      </c>
      <c r="E13105" s="34"/>
      <c r="F13105" s="34"/>
      <c r="J13105" s="25"/>
      <c r="K13105" s="25"/>
      <c r="L13105" s="25"/>
      <c r="M13105" s="25"/>
      <c r="N13105" s="25"/>
      <c r="O13105" s="25"/>
    </row>
    <row r="13106" customFormat="false" ht="15" hidden="false" customHeight="true" outlineLevel="0" collapsed="false">
      <c r="B13106" s="10"/>
      <c r="C13106" s="10"/>
      <c r="D13106" s="35" t="str">
        <f aca="false">IF(IF($K$13096=0,"",INDEX(Clients!$D$2:$D$501,$K$13096)&amp;"")="","","À l'attention de "&amp;TRIM(IF($K$13096=0,"",INDEX(Clients!$B$2:$B$501,$K$13096)&amp;"")&amp;" "&amp;IF($K$13096=0,"",INDEX(Clients!$C$2:$C$501,$K$13096)&amp;"")&amp;" "&amp;IF($K$13096=0,"",INDEX(Clients!$D$2:$D$501,$K$13096)&amp;"")))</f>
        <v/>
      </c>
      <c r="E13106" s="35"/>
      <c r="F13106" s="35"/>
      <c r="J13106" s="25"/>
      <c r="K13106" s="25"/>
      <c r="L13106" s="25"/>
      <c r="M13106" s="25"/>
      <c r="N13106" s="25"/>
      <c r="O13106" s="25"/>
    </row>
    <row r="13107" customFormat="false" ht="15" hidden="false" customHeight="true" outlineLevel="0" collapsed="false">
      <c r="B13107" s="10"/>
      <c r="C13107" s="10"/>
      <c r="D13107" s="35" t="str">
        <f aca="false">IF($K$13096=0,"",INDEX(Clients!$F$2:$F$501,$K$13096)&amp;"")</f>
        <v/>
      </c>
      <c r="E13107" s="35"/>
      <c r="F13107" s="35"/>
      <c r="J13107" s="25"/>
      <c r="K13107" s="25"/>
      <c r="L13107" s="25"/>
      <c r="M13107" s="25"/>
      <c r="N13107" s="25"/>
      <c r="O13107" s="25"/>
    </row>
    <row r="13108" customFormat="false" ht="15" hidden="false" customHeight="true" outlineLevel="0" collapsed="false">
      <c r="B13108" s="10"/>
      <c r="C13108" s="10"/>
      <c r="D13108" s="35" t="str">
        <f aca="false">IF(IF($K$13096=0,"",INDEX(Clients!$G$2:$G$501,$K$13096)&amp;"")="",TRIM(IF($K$13096=0,"",INDEX(Clients!$H$2:$H$501,$K$13096)&amp;"")&amp;" "&amp;UPPER(IF($K$13096=0,"",INDEX(Clients!$I$2:$I$501,$K$13096)&amp;""))),IF($K$13096=0,"",INDEX(Clients!$G$2:$G$501,$K$13096)&amp;""))</f>
        <v/>
      </c>
      <c r="E13108" s="35"/>
      <c r="F13108" s="35"/>
      <c r="J13108" s="25"/>
      <c r="K13108" s="25"/>
      <c r="L13108" s="25"/>
      <c r="M13108" s="25"/>
      <c r="N13108" s="25"/>
      <c r="O13108" s="25"/>
    </row>
    <row r="13109" customFormat="false" ht="15" hidden="false" customHeight="true" outlineLevel="0" collapsed="false">
      <c r="B13109" s="10"/>
      <c r="C13109" s="10"/>
      <c r="D13109" s="35" t="str">
        <f aca="false">IF(IF($K$13096=0,"",INDEX(Clients!$G$2:$G$501,$K$13096)&amp;"")="","",TRIM(IF($K$13096=0,"",INDEX(Clients!$H$2:$H$501,$K$13096)&amp;"")&amp;" "&amp;UPPER(IF($K$13096=0,"",INDEX(Clients!$I$2:$I$501,$K$13096)&amp;""))))</f>
        <v/>
      </c>
      <c r="E13109" s="35"/>
      <c r="F13109" s="35"/>
      <c r="J13109" s="25"/>
      <c r="K13109" s="25"/>
      <c r="L13109" s="25"/>
      <c r="M13109" s="25"/>
      <c r="N13109" s="25"/>
      <c r="O13109" s="25"/>
    </row>
    <row r="13110" customFormat="false" ht="25.5" hidden="false" customHeight="true" outlineLevel="0" collapsed="false">
      <c r="B13110" s="10"/>
      <c r="C13110" s="10"/>
      <c r="D13110" s="10"/>
      <c r="E13110" s="10"/>
      <c r="F13110" s="10"/>
      <c r="J13110" s="25"/>
      <c r="K13110" s="25"/>
      <c r="L13110" s="25"/>
      <c r="M13110" s="25"/>
      <c r="N13110" s="25"/>
      <c r="O13110" s="25"/>
    </row>
    <row r="13111" customFormat="false" ht="15" hidden="false" customHeight="false" outlineLevel="0" collapsed="false">
      <c r="B13111" s="10"/>
      <c r="C13111" s="10"/>
      <c r="D13111" s="36" t="str">
        <f aca="false">Cab_Ville&amp;", le "&amp;DAY(Date_Courrier)&amp;IF(DAY(Date_Courrier)=1,"er","")&amp;" "&amp;INDEX(Liste_Mois,MONTH(Date_Courrier))&amp;" "&amp;YEAR(Date_Courrier)</f>
        <v>Le Plessis-Bouchard, le 22 septembre 2026</v>
      </c>
      <c r="E13111" s="36"/>
      <c r="F13111" s="36"/>
      <c r="J13111" s="25"/>
      <c r="K13111" s="25"/>
      <c r="L13111" s="25"/>
      <c r="M13111" s="25"/>
      <c r="N13111" s="25"/>
      <c r="O13111" s="25"/>
    </row>
    <row r="13112" customFormat="false" ht="19.5" hidden="false" customHeight="true" outlineLevel="0" collapsed="false">
      <c r="B13112" s="10"/>
      <c r="C13112" s="10"/>
      <c r="D13112" s="10"/>
      <c r="E13112" s="10"/>
      <c r="F13112" s="10"/>
      <c r="J13112" s="25"/>
      <c r="K13112" s="25"/>
      <c r="L13112" s="25"/>
      <c r="M13112" s="25"/>
      <c r="N13112" s="25"/>
      <c r="O13112" s="25"/>
    </row>
    <row r="13113" customFormat="false" ht="15" hidden="false" customHeight="false" outlineLevel="0" collapsed="false">
      <c r="B13113" s="34" t="str">
        <f aca="false">SUBSTITUTE(SUBSTITUTE(SUBSTITUTE(SUBSTITUTE(SUBSTITUTE(Txt_Objet,"{cabinet}",Cab_Nom),"{societe}",IF($K$13096=0,"",INDEX(Clients!$E$2:$E$501,$K$13096)&amp;"")),"{date_effet}",$K$13098),"{hausse}",$K$13099),"{civilite}",$K$13097)</f>
        <v>Objet : révision de nos honoraires au 1er janvier 2027</v>
      </c>
      <c r="C13113" s="34"/>
      <c r="D13113" s="34"/>
      <c r="E13113" s="34"/>
      <c r="F13113" s="34"/>
      <c r="J13113" s="25"/>
      <c r="K13113" s="25"/>
      <c r="L13113" s="25"/>
      <c r="M13113" s="25"/>
      <c r="N13113" s="25"/>
      <c r="O13113" s="25"/>
    </row>
    <row r="13114" customFormat="false" ht="13.5" hidden="false" customHeight="true" outlineLevel="0" collapsed="false">
      <c r="B13114" s="10"/>
      <c r="C13114" s="10"/>
      <c r="D13114" s="10"/>
      <c r="E13114" s="10"/>
      <c r="F13114" s="10"/>
      <c r="J13114" s="25"/>
      <c r="K13114" s="25"/>
      <c r="L13114" s="25"/>
      <c r="M13114" s="25"/>
      <c r="N13114" s="25"/>
      <c r="O13114" s="25"/>
    </row>
    <row r="13115" customFormat="false" ht="15" hidden="false" customHeight="false" outlineLevel="0" collapsed="false">
      <c r="B13115" s="10" t="str">
        <f aca="false">$K$13097&amp;","</f>
        <v>Madame, Monsieur,</v>
      </c>
      <c r="C13115" s="10"/>
      <c r="D13115" s="10"/>
      <c r="E13115" s="10"/>
      <c r="F13115" s="10"/>
      <c r="J13115" s="25"/>
      <c r="K13115" s="25"/>
      <c r="L13115" s="25"/>
      <c r="M13115" s="25"/>
      <c r="N13115" s="25"/>
      <c r="O13115" s="25"/>
    </row>
    <row r="13116" customFormat="false" ht="6" hidden="false" customHeight="true" outlineLevel="0" collapsed="false">
      <c r="B13116" s="10"/>
      <c r="C13116" s="10"/>
      <c r="D13116" s="10"/>
      <c r="E13116" s="10"/>
      <c r="F13116" s="10"/>
      <c r="J13116" s="25"/>
      <c r="K13116" s="25"/>
      <c r="L13116" s="25"/>
      <c r="M13116" s="25"/>
      <c r="N13116" s="25"/>
      <c r="O13116" s="25"/>
    </row>
    <row r="13117" customFormat="false" ht="36.75" hidden="false" customHeight="true" outlineLevel="0" collapsed="false">
      <c r="B13117" s="37" t="str">
        <f aca="false">SUBSTITUTE(SUBSTITUTE(SUBSTITUTE(SUBSTITUTE(SUBSTITUTE(Txt_P1,"{cabinet}",Cab_Nom),"{societe}",IF($K$13096=0,"",INDEX(Clients!$E$2:$E$501,$K$13096)&amp;"")),"{date_effet}",$K$13098),"{hausse}",$K$13099),"{civilite}",$K$13097)</f>
        <v>Nous tenons tout d'abord à vous remercier pour la confiance que vous accordez à ALTHO EXPERTISE. Comme chaque année, et conformément aux dispositions de votre lettre de mission, nous procédons à la révision de nos honoraires.</v>
      </c>
      <c r="C13117" s="37"/>
      <c r="D13117" s="37"/>
      <c r="E13117" s="37"/>
      <c r="F13117" s="37"/>
      <c r="J13117" s="25"/>
      <c r="K13117" s="25"/>
      <c r="L13117" s="25"/>
      <c r="M13117" s="25"/>
      <c r="N13117" s="25"/>
      <c r="O13117" s="25"/>
    </row>
    <row r="13118" customFormat="false" ht="49.5" hidden="false" customHeight="true" outlineLevel="0" collapsed="false">
      <c r="B13118" s="37" t="str">
        <f aca="false">SUBSTITUTE(SUBSTITUTE(SUBSTITUTE(SUBSTITUTE(SUBSTITUTE(Txt_P2,"{cabinet}",Cab_Nom),"{societe}",IF($K$13096=0,"",INDEX(Clients!$E$2:$E$501,$K$13096)&amp;"")),"{date_effet}",$K$13098),"{hausse}",$K$13099),"{civilite}",$K$13097)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118" s="37"/>
      <c r="D13118" s="37"/>
      <c r="E13118" s="37"/>
      <c r="F13118" s="37"/>
      <c r="J13118" s="25"/>
      <c r="K13118" s="25"/>
      <c r="L13118" s="25"/>
      <c r="M13118" s="25"/>
      <c r="N13118" s="25"/>
      <c r="O13118" s="25"/>
    </row>
    <row r="13119" customFormat="false" ht="63" hidden="false" customHeight="true" outlineLevel="0" collapsed="false">
      <c r="B13119" s="37" t="str">
        <f aca="false">SUBSTITUTE(SUBSTITUTE(SUBSTITUTE(SUBSTITUTE(SUBSTITUTE(Txt_P3,"{cabinet}",Cab_Nom),"{societe}",IF($K$13096=0,"",INDEX(Clients!$E$2:$E$501,$K$13096)&amp;"")),"{date_effet}",$K$13098),"{hausse}",$K$13099),"{civilite}",$K$13097)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119" s="37"/>
      <c r="D13119" s="37"/>
      <c r="E13119" s="37"/>
      <c r="F13119" s="37"/>
      <c r="J13119" s="25"/>
      <c r="K13119" s="25"/>
      <c r="L13119" s="25"/>
      <c r="M13119" s="25"/>
      <c r="N13119" s="25"/>
      <c r="O13119" s="25"/>
    </row>
    <row r="13120" customFormat="false" ht="24" hidden="false" customHeight="true" outlineLevel="0" collapsed="false">
      <c r="B13120" s="37" t="str">
        <f aca="false">SUBSTITUTE(SUBSTITUTE(SUBSTITUTE(SUBSTITUTE(SUBSTITUTE(Txt_P4,"{cabinet}",Cab_Nom),"{societe}",IF($K$13096=0,"",INDEX(Clients!$E$2:$E$501,$K$13096)&amp;"")),"{date_effet}",$K$13098),"{hausse}",$K$13099),"{civilite}",$K$13097)</f>
        <v>À compter du 1er janvier 2027, vos honoraires annuels hors taxes évolueront ainsi (évolution globale : ) :</v>
      </c>
      <c r="C13120" s="37"/>
      <c r="D13120" s="37"/>
      <c r="E13120" s="37"/>
      <c r="F13120" s="37"/>
      <c r="J13120" s="25"/>
      <c r="K13120" s="25"/>
      <c r="L13120" s="25"/>
      <c r="M13120" s="25"/>
      <c r="N13120" s="25"/>
      <c r="O13120" s="25"/>
    </row>
    <row r="13121" customFormat="false" ht="3.75" hidden="false" customHeight="true" outlineLevel="0" collapsed="false">
      <c r="B13121" s="10"/>
      <c r="C13121" s="10"/>
      <c r="D13121" s="10"/>
      <c r="E13121" s="10"/>
      <c r="F13121" s="10"/>
      <c r="J13121" s="25"/>
      <c r="K13121" s="25"/>
      <c r="L13121" s="25"/>
      <c r="M13121" s="25"/>
      <c r="N13121" s="25"/>
      <c r="O13121" s="25"/>
    </row>
    <row r="13122" customFormat="false" ht="18" hidden="false" customHeight="true" outlineLevel="0" collapsed="false">
      <c r="B13122" s="38" t="s">
        <v>148</v>
      </c>
      <c r="C13122" s="39" t="s">
        <v>149</v>
      </c>
      <c r="D13122" s="39" t="s">
        <v>150</v>
      </c>
      <c r="E13122" s="39" t="s">
        <v>151</v>
      </c>
      <c r="F13122" s="39" t="s">
        <v>109</v>
      </c>
      <c r="J13122" s="25" t="s">
        <v>152</v>
      </c>
      <c r="K13122" s="25" t="s">
        <v>153</v>
      </c>
      <c r="L13122" s="25" t="s">
        <v>154</v>
      </c>
      <c r="M13122" s="25" t="s">
        <v>155</v>
      </c>
      <c r="N13122" s="25" t="s">
        <v>156</v>
      </c>
      <c r="O13122" s="25" t="s">
        <v>157</v>
      </c>
    </row>
    <row r="13123" customFormat="false" ht="16.5" hidden="false" customHeight="true" outlineLevel="0" collapsed="false">
      <c r="B13123" s="40" t="str">
        <f aca="false">IFERROR(INDEX($J$13123:$J$13126,MATCH($O13123,$N$13123:$N$13126,0)),"")</f>
        <v/>
      </c>
      <c r="C13123" s="41" t="str">
        <f aca="false">IFERROR(INDEX($K$13123:$K$13126,MATCH($O13123,$N$13123:$N$13126,0)),"")</f>
        <v/>
      </c>
      <c r="D13123" s="42" t="str">
        <f aca="false">IF(OR(E13123="",N(C13123)=0),"",E13123/C13123-1)</f>
        <v/>
      </c>
      <c r="E13123" s="41" t="str">
        <f aca="false">IFERROR(INDEX($L$13123:$L$13126,MATCH($O13123,$N$13123:$N$13126,0)),"")</f>
        <v/>
      </c>
      <c r="F13123" s="41" t="str">
        <f aca="false">IF(E13123="","",E13123-C13123)</f>
        <v/>
      </c>
      <c r="J13123" s="25" t="str">
        <f aca="false">Lib_Compta</f>
        <v>Mission comptable (tenue, révision, bilan, liasse fiscale)</v>
      </c>
      <c r="K13123" s="25" t="n">
        <f aca="false">IF($K$13096=0,0,N(INDEX(Clients!$K$2:$K$501,$K$13096)))</f>
        <v>0</v>
      </c>
      <c r="L13123" s="25" t="n">
        <f aca="false">IF($K$13096=0,0,N(INDEX(Clients!$P$2:$P$501,$K$13096)))</f>
        <v>0</v>
      </c>
      <c r="M13123" s="25" t="n">
        <f aca="false">IF(OR(K13123&lt;&gt;0,L13123&lt;&gt;0),1,0)</f>
        <v>0</v>
      </c>
      <c r="N13123" s="25" t="str">
        <f aca="false">IF(M13123=1,SUM($M$13123:M13123),"")</f>
        <v/>
      </c>
      <c r="O13123" s="25" t="n">
        <v>1</v>
      </c>
    </row>
    <row r="13124" customFormat="false" ht="16.5" hidden="false" customHeight="true" outlineLevel="0" collapsed="false">
      <c r="B13124" s="40" t="str">
        <f aca="false">IFERROR(INDEX($J$13123:$J$13126,MATCH($O13124,$N$13123:$N$13126,0)),"")</f>
        <v/>
      </c>
      <c r="C13124" s="41" t="str">
        <f aca="false">IFERROR(INDEX($K$13123:$K$13126,MATCH($O13124,$N$13123:$N$13126,0)),"")</f>
        <v/>
      </c>
      <c r="D13124" s="42" t="str">
        <f aca="false">IF(OR(E13124="",N(C13124)=0),"",E13124/C13124-1)</f>
        <v/>
      </c>
      <c r="E13124" s="41" t="str">
        <f aca="false">IFERROR(INDEX($L$13123:$L$13126,MATCH($O13124,$N$13123:$N$13126,0)),"")</f>
        <v/>
      </c>
      <c r="F13124" s="41" t="str">
        <f aca="false">IF(E13124="","",E13124-C13124)</f>
        <v/>
      </c>
      <c r="J13124" s="25" t="str">
        <f aca="false">Lib_Paye</f>
        <v>Mission sociale (bulletins de paie, DSN, déclarations sociales)</v>
      </c>
      <c r="K13124" s="25" t="n">
        <f aca="false">IF($K$13096=0,0,N(INDEX(Clients!$L$2:$L$501,$K$13096)))</f>
        <v>0</v>
      </c>
      <c r="L13124" s="25" t="n">
        <f aca="false">IF($K$13096=0,0,N(INDEX(Clients!$Q$2:$Q$501,$K$13096)))</f>
        <v>0</v>
      </c>
      <c r="M13124" s="25" t="n">
        <f aca="false">IF(OR(K13124&lt;&gt;0,L13124&lt;&gt;0),1,0)</f>
        <v>0</v>
      </c>
      <c r="N13124" s="25" t="str">
        <f aca="false">IF(M13124=1,SUM($M$13123:M13124),"")</f>
        <v/>
      </c>
      <c r="O13124" s="25" t="n">
        <v>2</v>
      </c>
    </row>
    <row r="13125" customFormat="false" ht="16.5" hidden="false" customHeight="true" outlineLevel="0" collapsed="false">
      <c r="B13125" s="40" t="str">
        <f aca="false">IFERROR(INDEX($J$13123:$J$13126,MATCH($O13125,$N$13123:$N$13126,0)),"")</f>
        <v/>
      </c>
      <c r="C13125" s="41" t="str">
        <f aca="false">IFERROR(INDEX($K$13123:$K$13126,MATCH($O13125,$N$13123:$N$13126,0)),"")</f>
        <v/>
      </c>
      <c r="D13125" s="42" t="str">
        <f aca="false">IF(OR(E13125="",N(C13125)=0),"",E13125/C13125-1)</f>
        <v/>
      </c>
      <c r="E13125" s="41" t="str">
        <f aca="false">IFERROR(INDEX($L$13123:$L$13126,MATCH($O13125,$N$13123:$N$13126,0)),"")</f>
        <v/>
      </c>
      <c r="F13125" s="41" t="str">
        <f aca="false">IF(E13125="","",E13125-C13125)</f>
        <v/>
      </c>
      <c r="J13125" s="25" t="str">
        <f aca="false">Lib_Jur</f>
        <v>Mission juridique (approbation des comptes, secrétariat juridique)</v>
      </c>
      <c r="K13125" s="25" t="n">
        <f aca="false">IF($K$13096=0,0,N(INDEX(Clients!$M$2:$M$501,$K$13096)))</f>
        <v>0</v>
      </c>
      <c r="L13125" s="25" t="n">
        <f aca="false">IF($K$13096=0,0,N(INDEX(Clients!$R$2:$R$501,$K$13096)))</f>
        <v>0</v>
      </c>
      <c r="M13125" s="25" t="n">
        <f aca="false">IF(OR(K13125&lt;&gt;0,L13125&lt;&gt;0),1,0)</f>
        <v>0</v>
      </c>
      <c r="N13125" s="25" t="str">
        <f aca="false">IF(M13125=1,SUM($M$13123:M13125),"")</f>
        <v/>
      </c>
      <c r="O13125" s="25" t="n">
        <v>3</v>
      </c>
    </row>
    <row r="13126" customFormat="false" ht="16.5" hidden="false" customHeight="true" outlineLevel="0" collapsed="false">
      <c r="B13126" s="40" t="str">
        <f aca="false">IFERROR(INDEX($J$13123:$J$13126,MATCH($O13126,$N$13123:$N$13126,0)),"")</f>
        <v/>
      </c>
      <c r="C13126" s="41" t="str">
        <f aca="false">IFERROR(INDEX($K$13123:$K$13126,MATCH($O13126,$N$13123:$N$13126,0)),"")</f>
        <v/>
      </c>
      <c r="D13126" s="42" t="str">
        <f aca="false">IF(OR(E13126="",N(C13126)=0),"",E13126/C13126-1)</f>
        <v/>
      </c>
      <c r="E13126" s="41" t="str">
        <f aca="false">IFERROR(INDEX($L$13123:$L$13126,MATCH($O13126,$N$13123:$N$13126,0)),"")</f>
        <v/>
      </c>
      <c r="F13126" s="41" t="str">
        <f aca="false">IF(E13126="","",E13126-C13126)</f>
        <v/>
      </c>
      <c r="J13126" s="25" t="str">
        <f aca="false">Lib_PA</f>
        <v>Plateforme agréée – facturation électronique</v>
      </c>
      <c r="K13126" s="25" t="n">
        <f aca="false">IF($K$13096=0,0,N(INDEX(Clients!$N$2:$N$501,$K$13096)))</f>
        <v>0</v>
      </c>
      <c r="L13126" s="25" t="n">
        <f aca="false">IF($K$13096=0,0,N(INDEX(Clients!$S$2:$S$501,$K$13096)))</f>
        <v>0</v>
      </c>
      <c r="M13126" s="25" t="n">
        <f aca="false">IF(OR(K13126&lt;&gt;0,L13126&lt;&gt;0),1,0)</f>
        <v>0</v>
      </c>
      <c r="N13126" s="25" t="str">
        <f aca="false">IF(M13126=1,SUM($M$13123:M13126),"")</f>
        <v/>
      </c>
      <c r="O13126" s="25" t="n">
        <v>4</v>
      </c>
    </row>
    <row r="13127" customFormat="false" ht="18" hidden="false" customHeight="true" outlineLevel="0" collapsed="false">
      <c r="B13127" s="43" t="s">
        <v>158</v>
      </c>
      <c r="C13127" s="44" t="n">
        <f aca="false">SUM(K13123:K13126)</f>
        <v>0</v>
      </c>
      <c r="D13127" s="45" t="str">
        <f aca="false">IF(N(C13127)=0,"",E13127/C13127-1)</f>
        <v/>
      </c>
      <c r="E13127" s="44" t="n">
        <f aca="false">SUM(L13123:L13126)</f>
        <v>0</v>
      </c>
      <c r="F13127" s="44" t="n">
        <f aca="false">E13127-C13127</f>
        <v>0</v>
      </c>
    </row>
    <row r="13128" customFormat="false" ht="15" hidden="false" customHeight="false" outlineLevel="0" collapsed="false">
      <c r="B13128" s="46" t="str">
        <f aca="false">IF(N(Nb_Mensualites)=0,"","Soit "&amp;FIXED(E13127/Nb_Mensualites,2)&amp;" € HT par échéance ("&amp;Nb_Mensualites&amp;" échéances), "&amp;FIXED(E13127/Nb_Mensualites*(1+Taux_TVA),2)&amp;" € TTC.")</f>
        <v>Soit 0.00 € HT par échéance (12 échéances), 0.00 € TTC.</v>
      </c>
      <c r="C13128" s="46"/>
      <c r="D13128" s="46"/>
      <c r="E13128" s="46"/>
      <c r="F13128" s="46"/>
    </row>
    <row r="13129" customFormat="false" ht="7.5" hidden="false" customHeight="true" outlineLevel="0" collapsed="false">
      <c r="B13129" s="10"/>
      <c r="C13129" s="10"/>
      <c r="D13129" s="10"/>
      <c r="E13129" s="10"/>
      <c r="F13129" s="10"/>
    </row>
    <row r="13130" customFormat="false" ht="36.75" hidden="false" customHeight="true" outlineLevel="0" collapsed="false">
      <c r="B13130" s="37" t="str">
        <f aca="false">SUBSTITUTE(SUBSTITUTE(SUBSTITUTE(SUBSTITUTE(SUBSTITUTE(Txt_P5,"{cabinet}",Cab_Nom),"{societe}",IF($K$13096=0,"",INDEX(Clients!$E$2:$E$501,$K$13096)&amp;"")),"{date_effet}",$K$13098),"{hausse}",$K$13099),"{civilite}",$K$13097)</f>
        <v>Les autres conditions de votre lettre de mission demeurent inchangées. Les nouveaux montants seront appliqués automatiquement sur vos prochaines factures et échéances de prélèvement.</v>
      </c>
      <c r="C13130" s="37"/>
      <c r="D13130" s="37"/>
      <c r="E13130" s="37"/>
      <c r="F13130" s="37"/>
    </row>
    <row r="13131" customFormat="false" ht="36.75" hidden="false" customHeight="true" outlineLevel="0" collapsed="false">
      <c r="B13131" s="37" t="str">
        <f aca="false">SUBSTITUTE(SUBSTITUTE(SUBSTITUTE(SUBSTITUTE(SUBSTITUTE(Txt_P6,"{cabinet}",Cab_Nom),"{societe}",IF($K$13096=0,"",INDEX(Clients!$E$2:$E$501,$K$13096)&amp;"")),"{date_effet}",$K$13098),"{hausse}",$K$13099),"{civilite}",$K$13097)</f>
        <v>Votre interlocuteur habituel reste à votre entière disposition pour répondre à vos questions et faire le point sur l'évolution de vos besoins.</v>
      </c>
      <c r="C13131" s="37"/>
      <c r="D13131" s="37"/>
      <c r="E13131" s="37"/>
      <c r="F13131" s="37"/>
    </row>
    <row r="13132" customFormat="false" ht="24" hidden="false" customHeight="true" outlineLevel="0" collapsed="false">
      <c r="B13132" s="37" t="str">
        <f aca="false">SUBSTITUTE(SUBSTITUTE(SUBSTITUTE(SUBSTITUTE(SUBSTITUTE(Txt_Politesse,"{cabinet}",Cab_Nom),"{societe}",IF($K$13096=0,"",INDEX(Clients!$E$2:$E$501,$K$13096)&amp;"")),"{date_effet}",$K$13098),"{hausse}",$K$13099),"{civilite}",$K$13097)</f>
        <v>Nous vous prions d'agréer, Madame, Monsieur, l'expression de nos salutations distinguées.</v>
      </c>
      <c r="C13132" s="37"/>
      <c r="D13132" s="37"/>
      <c r="E13132" s="37"/>
      <c r="F13132" s="37"/>
    </row>
    <row r="13133" customFormat="false" ht="15" hidden="false" customHeight="false" outlineLevel="0" collapsed="false">
      <c r="B13133" s="10"/>
      <c r="C13133" s="10"/>
      <c r="D13133" s="10"/>
      <c r="E13133" s="10"/>
      <c r="F13133" s="10"/>
    </row>
    <row r="13134" customFormat="false" ht="15" hidden="false" customHeight="false" outlineLevel="0" collapsed="false">
      <c r="B13134" s="10"/>
      <c r="C13134" s="10"/>
      <c r="D13134" s="34" t="str">
        <f aca="false">Signataire</f>
        <v>Prénom NOM</v>
      </c>
      <c r="E13134" s="34"/>
      <c r="F13134" s="34"/>
    </row>
    <row r="13135" customFormat="false" ht="15" hidden="false" customHeight="false" outlineLevel="0" collapsed="false">
      <c r="B13135" s="10"/>
      <c r="C13135" s="10"/>
      <c r="D13135" s="47" t="str">
        <f aca="false">Signataire_Titre</f>
        <v>Expert-comptable associé</v>
      </c>
      <c r="E13135" s="47"/>
      <c r="F13135" s="47"/>
    </row>
    <row r="13136" customFormat="false" ht="15.75" hidden="false" customHeight="true" outlineLevel="0" collapsed="false">
      <c r="B13136" s="10"/>
      <c r="C13136" s="10"/>
      <c r="D13136" s="10"/>
      <c r="E13136" s="10"/>
      <c r="F13136" s="10"/>
    </row>
    <row r="13137" customFormat="false" ht="15.75" hidden="false" customHeight="true" outlineLevel="0" collapsed="false">
      <c r="B13137" s="10"/>
      <c r="C13137" s="10"/>
      <c r="D13137" s="10"/>
      <c r="E13137" s="10"/>
      <c r="F13137" s="10"/>
    </row>
    <row r="13138" customFormat="false" ht="15.75" hidden="false" customHeight="true" outlineLevel="0" collapsed="false">
      <c r="B13138" s="10"/>
      <c r="C13138" s="10"/>
      <c r="D13138" s="10"/>
      <c r="E13138" s="10"/>
      <c r="F13138" s="10"/>
    </row>
    <row r="13139" customFormat="false" ht="15.75" hidden="false" customHeight="true" outlineLevel="0" collapsed="false">
      <c r="B13139" s="10"/>
      <c r="C13139" s="10"/>
      <c r="D13139" s="10"/>
      <c r="E13139" s="10"/>
      <c r="F13139" s="10"/>
    </row>
    <row r="13140" customFormat="false" ht="24" hidden="false" customHeight="true" outlineLevel="0" collapsed="false">
      <c r="B13140" s="48" t="str">
        <f aca="false">Cab_Mentions</f>
        <v>ALTHO EXPERTISE · SAS au capital de 10 000 € · RCS Pontoise 919 706 325 · TVA FR62919706325 · Société d'expertise comptable inscrite au Tableau de l'Ordre des experts-comptables de Paris Île-de-France</v>
      </c>
      <c r="C13140" s="48"/>
      <c r="D13140" s="48"/>
      <c r="E13140" s="48"/>
      <c r="F13140" s="48"/>
    </row>
    <row r="13141" customFormat="false" ht="15" hidden="false" customHeight="false" outlineLevel="0" collapsed="false">
      <c r="B13141" s="10"/>
      <c r="C13141" s="10"/>
      <c r="D13141" s="10"/>
      <c r="E13141" s="10"/>
      <c r="F13141" s="10"/>
      <c r="J13141" s="25" t="s">
        <v>142</v>
      </c>
      <c r="K13141" s="25" t="n">
        <f aca="false">IFERROR(MATCH(293,Clients!$Z$2:$Z$501,0),0)</f>
        <v>0</v>
      </c>
      <c r="L13141" s="25"/>
      <c r="M13141" s="25"/>
      <c r="N13141" s="25"/>
      <c r="O13141" s="25"/>
    </row>
    <row r="13142" customFormat="false" ht="21.75" hidden="false" customHeight="true" outlineLevel="0" collapsed="false">
      <c r="B13142" s="26" t="str">
        <f aca="false">Cab_Nom</f>
        <v>ALTHO EXPERTISE</v>
      </c>
      <c r="C13142" s="26"/>
      <c r="D13142" s="10"/>
      <c r="E13142" s="27" t="str">
        <f aca="false">IF($K$13141=0,"","Réf. client : "&amp;INDEX(Clients!$A$2:$A$501,$K$13141))</f>
        <v/>
      </c>
      <c r="F13142" s="27"/>
      <c r="J13142" s="25" t="s">
        <v>144</v>
      </c>
      <c r="K13142" s="25" t="str">
        <f aca="false">IF(IF($K$13141=0,"",INDEX(Clients!$B$2:$B$501,$K$13141)&amp;"")="Mme","Madame",IF(IF($K$13141=0,"",INDEX(Clients!$B$2:$B$501,$K$13141)&amp;"")="M.","Monsieur","Madame, Monsieur"))</f>
        <v>Madame, Monsieur</v>
      </c>
      <c r="L13142" s="25"/>
      <c r="M13142" s="25"/>
      <c r="N13142" s="25"/>
      <c r="O13142" s="25"/>
    </row>
    <row r="13143" customFormat="false" ht="15" hidden="false" customHeight="false" outlineLevel="0" collapsed="false">
      <c r="B13143" s="29" t="str">
        <f aca="false">Cab_Adr1</f>
        <v>141 rue Charles de Gaulle</v>
      </c>
      <c r="C13143" s="29"/>
      <c r="D13143" s="10"/>
      <c r="E13143" s="10"/>
      <c r="F13143" s="10"/>
      <c r="J13143" s="25" t="s">
        <v>145</v>
      </c>
      <c r="K13143" s="25" t="str">
        <f aca="false">DAY(Date_Effet)&amp;IF(DAY(Date_Effet)=1,"er","")&amp;" "&amp;INDEX(Liste_Mois,MONTH(Date_Effet))&amp;" "&amp;YEAR(Date_Effet)</f>
        <v>1er janvier 2027</v>
      </c>
      <c r="L13143" s="25"/>
      <c r="M13143" s="25"/>
      <c r="N13143" s="25"/>
      <c r="O13143" s="25"/>
    </row>
    <row r="13144" customFormat="false" ht="15" hidden="false" customHeight="false" outlineLevel="0" collapsed="false">
      <c r="B13144" s="29" t="str">
        <f aca="false">Cab_CPVille</f>
        <v>95130 LE PLESSIS-BOUCHARD</v>
      </c>
      <c r="C13144" s="29"/>
      <c r="D13144" s="10"/>
      <c r="E13144" s="10"/>
      <c r="F13144" s="10"/>
      <c r="J13144" s="25" t="s">
        <v>146</v>
      </c>
      <c r="K13144" s="25" t="str">
        <f aca="false">IF(SUM($K$13168:$K$13171)=0,"",FIXED((SUM($L$13168:$L$13171)/SUM($K$13168:$K$13171)-1)*100,1)&amp;" %")</f>
        <v/>
      </c>
      <c r="L13144" s="25"/>
      <c r="M13144" s="25"/>
      <c r="N13144" s="25"/>
      <c r="O13144" s="25"/>
    </row>
    <row r="13145" customFormat="false" ht="15" hidden="false" customHeight="false" outlineLevel="0" collapsed="false">
      <c r="B13145" s="29" t="str">
        <f aca="false">Cab_Contact</f>
        <v>Tél. 01 34 14 53 45  ·  altho@altho-experts.com  ·  altho-experts.com</v>
      </c>
      <c r="C13145" s="29"/>
      <c r="D13145" s="10"/>
      <c r="E13145" s="10"/>
      <c r="F13145" s="10"/>
      <c r="J13145" s="25"/>
      <c r="K13145" s="25"/>
      <c r="L13145" s="25"/>
      <c r="M13145" s="25"/>
      <c r="N13145" s="25"/>
      <c r="O13145" s="25"/>
    </row>
    <row r="13146" customFormat="false" ht="6" hidden="false" customHeight="true" outlineLevel="0" collapsed="false">
      <c r="B13146" s="32"/>
      <c r="C13146" s="32"/>
      <c r="D13146" s="32"/>
      <c r="E13146" s="32"/>
      <c r="F13146" s="32"/>
      <c r="J13146" s="25"/>
      <c r="K13146" s="25"/>
      <c r="L13146" s="25"/>
      <c r="M13146" s="25"/>
      <c r="N13146" s="25"/>
      <c r="O13146" s="25"/>
    </row>
    <row r="13147" customFormat="false" ht="13.5" hidden="false" customHeight="true" outlineLevel="0" collapsed="false">
      <c r="B13147" s="10"/>
      <c r="C13147" s="10"/>
      <c r="D13147" s="10"/>
      <c r="E13147" s="10"/>
      <c r="F13147" s="10"/>
      <c r="J13147" s="25"/>
      <c r="K13147" s="25"/>
      <c r="L13147" s="25"/>
      <c r="M13147" s="25"/>
      <c r="N13147" s="25"/>
      <c r="O13147" s="25"/>
    </row>
    <row r="13148" customFormat="false" ht="13.5" hidden="false" customHeight="true" outlineLevel="0" collapsed="false">
      <c r="B13148" s="10"/>
      <c r="C13148" s="10"/>
      <c r="D13148" s="10"/>
      <c r="E13148" s="10"/>
      <c r="F13148" s="10"/>
      <c r="J13148" s="25"/>
      <c r="K13148" s="25"/>
      <c r="L13148" s="25"/>
      <c r="M13148" s="25"/>
      <c r="N13148" s="25"/>
      <c r="O13148" s="25"/>
    </row>
    <row r="13149" customFormat="false" ht="13.5" hidden="false" customHeight="true" outlineLevel="0" collapsed="false">
      <c r="B13149" s="10"/>
      <c r="C13149" s="10"/>
      <c r="D13149" s="10"/>
      <c r="E13149" s="10"/>
      <c r="F13149" s="10"/>
      <c r="J13149" s="25"/>
      <c r="K13149" s="25"/>
      <c r="L13149" s="25"/>
      <c r="M13149" s="25"/>
      <c r="N13149" s="25"/>
      <c r="O13149" s="25"/>
    </row>
    <row r="13150" customFormat="false" ht="15" hidden="false" customHeight="true" outlineLevel="0" collapsed="false">
      <c r="B13150" s="10"/>
      <c r="C13150" s="10"/>
      <c r="D13150" s="34" t="str">
        <f aca="false">IF($K$13141=0,"",INDEX(Clients!$E$2:$E$501,$K$13141)&amp;"")</f>
        <v/>
      </c>
      <c r="E13150" s="34"/>
      <c r="F13150" s="34"/>
      <c r="J13150" s="25"/>
      <c r="K13150" s="25"/>
      <c r="L13150" s="25"/>
      <c r="M13150" s="25"/>
      <c r="N13150" s="25"/>
      <c r="O13150" s="25"/>
    </row>
    <row r="13151" customFormat="false" ht="15" hidden="false" customHeight="true" outlineLevel="0" collapsed="false">
      <c r="B13151" s="10"/>
      <c r="C13151" s="10"/>
      <c r="D13151" s="35" t="str">
        <f aca="false">IF(IF($K$13141=0,"",INDEX(Clients!$D$2:$D$501,$K$13141)&amp;"")="","","À l'attention de "&amp;TRIM(IF($K$13141=0,"",INDEX(Clients!$B$2:$B$501,$K$13141)&amp;"")&amp;" "&amp;IF($K$13141=0,"",INDEX(Clients!$C$2:$C$501,$K$13141)&amp;"")&amp;" "&amp;IF($K$13141=0,"",INDEX(Clients!$D$2:$D$501,$K$13141)&amp;"")))</f>
        <v/>
      </c>
      <c r="E13151" s="35"/>
      <c r="F13151" s="35"/>
      <c r="J13151" s="25"/>
      <c r="K13151" s="25"/>
      <c r="L13151" s="25"/>
      <c r="M13151" s="25"/>
      <c r="N13151" s="25"/>
      <c r="O13151" s="25"/>
    </row>
    <row r="13152" customFormat="false" ht="15" hidden="false" customHeight="true" outlineLevel="0" collapsed="false">
      <c r="B13152" s="10"/>
      <c r="C13152" s="10"/>
      <c r="D13152" s="35" t="str">
        <f aca="false">IF($K$13141=0,"",INDEX(Clients!$F$2:$F$501,$K$13141)&amp;"")</f>
        <v/>
      </c>
      <c r="E13152" s="35"/>
      <c r="F13152" s="35"/>
      <c r="J13152" s="25"/>
      <c r="K13152" s="25"/>
      <c r="L13152" s="25"/>
      <c r="M13152" s="25"/>
      <c r="N13152" s="25"/>
      <c r="O13152" s="25"/>
    </row>
    <row r="13153" customFormat="false" ht="15" hidden="false" customHeight="true" outlineLevel="0" collapsed="false">
      <c r="B13153" s="10"/>
      <c r="C13153" s="10"/>
      <c r="D13153" s="35" t="str">
        <f aca="false">IF(IF($K$13141=0,"",INDEX(Clients!$G$2:$G$501,$K$13141)&amp;"")="",TRIM(IF($K$13141=0,"",INDEX(Clients!$H$2:$H$501,$K$13141)&amp;"")&amp;" "&amp;UPPER(IF($K$13141=0,"",INDEX(Clients!$I$2:$I$501,$K$13141)&amp;""))),IF($K$13141=0,"",INDEX(Clients!$G$2:$G$501,$K$13141)&amp;""))</f>
        <v/>
      </c>
      <c r="E13153" s="35"/>
      <c r="F13153" s="35"/>
      <c r="J13153" s="25"/>
      <c r="K13153" s="25"/>
      <c r="L13153" s="25"/>
      <c r="M13153" s="25"/>
      <c r="N13153" s="25"/>
      <c r="O13153" s="25"/>
    </row>
    <row r="13154" customFormat="false" ht="15" hidden="false" customHeight="true" outlineLevel="0" collapsed="false">
      <c r="B13154" s="10"/>
      <c r="C13154" s="10"/>
      <c r="D13154" s="35" t="str">
        <f aca="false">IF(IF($K$13141=0,"",INDEX(Clients!$G$2:$G$501,$K$13141)&amp;"")="","",TRIM(IF($K$13141=0,"",INDEX(Clients!$H$2:$H$501,$K$13141)&amp;"")&amp;" "&amp;UPPER(IF($K$13141=0,"",INDEX(Clients!$I$2:$I$501,$K$13141)&amp;""))))</f>
        <v/>
      </c>
      <c r="E13154" s="35"/>
      <c r="F13154" s="35"/>
      <c r="J13154" s="25"/>
      <c r="K13154" s="25"/>
      <c r="L13154" s="25"/>
      <c r="M13154" s="25"/>
      <c r="N13154" s="25"/>
      <c r="O13154" s="25"/>
    </row>
    <row r="13155" customFormat="false" ht="25.5" hidden="false" customHeight="true" outlineLevel="0" collapsed="false">
      <c r="B13155" s="10"/>
      <c r="C13155" s="10"/>
      <c r="D13155" s="10"/>
      <c r="E13155" s="10"/>
      <c r="F13155" s="10"/>
      <c r="J13155" s="25"/>
      <c r="K13155" s="25"/>
      <c r="L13155" s="25"/>
      <c r="M13155" s="25"/>
      <c r="N13155" s="25"/>
      <c r="O13155" s="25"/>
    </row>
    <row r="13156" customFormat="false" ht="15" hidden="false" customHeight="false" outlineLevel="0" collapsed="false">
      <c r="B13156" s="10"/>
      <c r="C13156" s="10"/>
      <c r="D13156" s="36" t="str">
        <f aca="false">Cab_Ville&amp;", le "&amp;DAY(Date_Courrier)&amp;IF(DAY(Date_Courrier)=1,"er","")&amp;" "&amp;INDEX(Liste_Mois,MONTH(Date_Courrier))&amp;" "&amp;YEAR(Date_Courrier)</f>
        <v>Le Plessis-Bouchard, le 22 septembre 2026</v>
      </c>
      <c r="E13156" s="36"/>
      <c r="F13156" s="36"/>
      <c r="J13156" s="25"/>
      <c r="K13156" s="25"/>
      <c r="L13156" s="25"/>
      <c r="M13156" s="25"/>
      <c r="N13156" s="25"/>
      <c r="O13156" s="25"/>
    </row>
    <row r="13157" customFormat="false" ht="19.5" hidden="false" customHeight="true" outlineLevel="0" collapsed="false">
      <c r="B13157" s="10"/>
      <c r="C13157" s="10"/>
      <c r="D13157" s="10"/>
      <c r="E13157" s="10"/>
      <c r="F13157" s="10"/>
      <c r="J13157" s="25"/>
      <c r="K13157" s="25"/>
      <c r="L13157" s="25"/>
      <c r="M13157" s="25"/>
      <c r="N13157" s="25"/>
      <c r="O13157" s="25"/>
    </row>
    <row r="13158" customFormat="false" ht="15" hidden="false" customHeight="false" outlineLevel="0" collapsed="false">
      <c r="B13158" s="34" t="str">
        <f aca="false">SUBSTITUTE(SUBSTITUTE(SUBSTITUTE(SUBSTITUTE(SUBSTITUTE(Txt_Objet,"{cabinet}",Cab_Nom),"{societe}",IF($K$13141=0,"",INDEX(Clients!$E$2:$E$501,$K$13141)&amp;"")),"{date_effet}",$K$13143),"{hausse}",$K$13144),"{civilite}",$K$13142)</f>
        <v>Objet : révision de nos honoraires au 1er janvier 2027</v>
      </c>
      <c r="C13158" s="34"/>
      <c r="D13158" s="34"/>
      <c r="E13158" s="34"/>
      <c r="F13158" s="34"/>
      <c r="J13158" s="25"/>
      <c r="K13158" s="25"/>
      <c r="L13158" s="25"/>
      <c r="M13158" s="25"/>
      <c r="N13158" s="25"/>
      <c r="O13158" s="25"/>
    </row>
    <row r="13159" customFormat="false" ht="13.5" hidden="false" customHeight="true" outlineLevel="0" collapsed="false">
      <c r="B13159" s="10"/>
      <c r="C13159" s="10"/>
      <c r="D13159" s="10"/>
      <c r="E13159" s="10"/>
      <c r="F13159" s="10"/>
      <c r="J13159" s="25"/>
      <c r="K13159" s="25"/>
      <c r="L13159" s="25"/>
      <c r="M13159" s="25"/>
      <c r="N13159" s="25"/>
      <c r="O13159" s="25"/>
    </row>
    <row r="13160" customFormat="false" ht="15" hidden="false" customHeight="false" outlineLevel="0" collapsed="false">
      <c r="B13160" s="10" t="str">
        <f aca="false">$K$13142&amp;","</f>
        <v>Madame, Monsieur,</v>
      </c>
      <c r="C13160" s="10"/>
      <c r="D13160" s="10"/>
      <c r="E13160" s="10"/>
      <c r="F13160" s="10"/>
      <c r="J13160" s="25"/>
      <c r="K13160" s="25"/>
      <c r="L13160" s="25"/>
      <c r="M13160" s="25"/>
      <c r="N13160" s="25"/>
      <c r="O13160" s="25"/>
    </row>
    <row r="13161" customFormat="false" ht="6" hidden="false" customHeight="true" outlineLevel="0" collapsed="false">
      <c r="B13161" s="10"/>
      <c r="C13161" s="10"/>
      <c r="D13161" s="10"/>
      <c r="E13161" s="10"/>
      <c r="F13161" s="10"/>
      <c r="J13161" s="25"/>
      <c r="K13161" s="25"/>
      <c r="L13161" s="25"/>
      <c r="M13161" s="25"/>
      <c r="N13161" s="25"/>
      <c r="O13161" s="25"/>
    </row>
    <row r="13162" customFormat="false" ht="36.75" hidden="false" customHeight="true" outlineLevel="0" collapsed="false">
      <c r="B13162" s="37" t="str">
        <f aca="false">SUBSTITUTE(SUBSTITUTE(SUBSTITUTE(SUBSTITUTE(SUBSTITUTE(Txt_P1,"{cabinet}",Cab_Nom),"{societe}",IF($K$13141=0,"",INDEX(Clients!$E$2:$E$501,$K$13141)&amp;"")),"{date_effet}",$K$13143),"{hausse}",$K$13144),"{civilite}",$K$13142)</f>
        <v>Nous tenons tout d'abord à vous remercier pour la confiance que vous accordez à ALTHO EXPERTISE. Comme chaque année, et conformément aux dispositions de votre lettre de mission, nous procédons à la révision de nos honoraires.</v>
      </c>
      <c r="C13162" s="37"/>
      <c r="D13162" s="37"/>
      <c r="E13162" s="37"/>
      <c r="F13162" s="37"/>
      <c r="J13162" s="25"/>
      <c r="K13162" s="25"/>
      <c r="L13162" s="25"/>
      <c r="M13162" s="25"/>
      <c r="N13162" s="25"/>
      <c r="O13162" s="25"/>
    </row>
    <row r="13163" customFormat="false" ht="49.5" hidden="false" customHeight="true" outlineLevel="0" collapsed="false">
      <c r="B13163" s="37" t="str">
        <f aca="false">SUBSTITUTE(SUBSTITUTE(SUBSTITUTE(SUBSTITUTE(SUBSTITUTE(Txt_P2,"{cabinet}",Cab_Nom),"{societe}",IF($K$13141=0,"",INDEX(Clients!$E$2:$E$501,$K$13141)&amp;"")),"{date_effet}",$K$13143),"{hausse}",$K$13144),"{civilite}",$K$13142)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163" s="37"/>
      <c r="D13163" s="37"/>
      <c r="E13163" s="37"/>
      <c r="F13163" s="37"/>
      <c r="J13163" s="25"/>
      <c r="K13163" s="25"/>
      <c r="L13163" s="25"/>
      <c r="M13163" s="25"/>
      <c r="N13163" s="25"/>
      <c r="O13163" s="25"/>
    </row>
    <row r="13164" customFormat="false" ht="63" hidden="false" customHeight="true" outlineLevel="0" collapsed="false">
      <c r="B13164" s="37" t="str">
        <f aca="false">SUBSTITUTE(SUBSTITUTE(SUBSTITUTE(SUBSTITUTE(SUBSTITUTE(Txt_P3,"{cabinet}",Cab_Nom),"{societe}",IF($K$13141=0,"",INDEX(Clients!$E$2:$E$501,$K$13141)&amp;"")),"{date_effet}",$K$13143),"{hausse}",$K$13144),"{civilite}",$K$13142)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164" s="37"/>
      <c r="D13164" s="37"/>
      <c r="E13164" s="37"/>
      <c r="F13164" s="37"/>
      <c r="J13164" s="25"/>
      <c r="K13164" s="25"/>
      <c r="L13164" s="25"/>
      <c r="M13164" s="25"/>
      <c r="N13164" s="25"/>
      <c r="O13164" s="25"/>
    </row>
    <row r="13165" customFormat="false" ht="24" hidden="false" customHeight="true" outlineLevel="0" collapsed="false">
      <c r="B13165" s="37" t="str">
        <f aca="false">SUBSTITUTE(SUBSTITUTE(SUBSTITUTE(SUBSTITUTE(SUBSTITUTE(Txt_P4,"{cabinet}",Cab_Nom),"{societe}",IF($K$13141=0,"",INDEX(Clients!$E$2:$E$501,$K$13141)&amp;"")),"{date_effet}",$K$13143),"{hausse}",$K$13144),"{civilite}",$K$13142)</f>
        <v>À compter du 1er janvier 2027, vos honoraires annuels hors taxes évolueront ainsi (évolution globale : ) :</v>
      </c>
      <c r="C13165" s="37"/>
      <c r="D13165" s="37"/>
      <c r="E13165" s="37"/>
      <c r="F13165" s="37"/>
      <c r="J13165" s="25"/>
      <c r="K13165" s="25"/>
      <c r="L13165" s="25"/>
      <c r="M13165" s="25"/>
      <c r="N13165" s="25"/>
      <c r="O13165" s="25"/>
    </row>
    <row r="13166" customFormat="false" ht="3.75" hidden="false" customHeight="true" outlineLevel="0" collapsed="false">
      <c r="B13166" s="10"/>
      <c r="C13166" s="10"/>
      <c r="D13166" s="10"/>
      <c r="E13166" s="10"/>
      <c r="F13166" s="10"/>
      <c r="J13166" s="25"/>
      <c r="K13166" s="25"/>
      <c r="L13166" s="25"/>
      <c r="M13166" s="25"/>
      <c r="N13166" s="25"/>
      <c r="O13166" s="25"/>
    </row>
    <row r="13167" customFormat="false" ht="18" hidden="false" customHeight="true" outlineLevel="0" collapsed="false">
      <c r="B13167" s="38" t="s">
        <v>148</v>
      </c>
      <c r="C13167" s="39" t="s">
        <v>149</v>
      </c>
      <c r="D13167" s="39" t="s">
        <v>150</v>
      </c>
      <c r="E13167" s="39" t="s">
        <v>151</v>
      </c>
      <c r="F13167" s="39" t="s">
        <v>109</v>
      </c>
      <c r="J13167" s="25" t="s">
        <v>152</v>
      </c>
      <c r="K13167" s="25" t="s">
        <v>153</v>
      </c>
      <c r="L13167" s="25" t="s">
        <v>154</v>
      </c>
      <c r="M13167" s="25" t="s">
        <v>155</v>
      </c>
      <c r="N13167" s="25" t="s">
        <v>156</v>
      </c>
      <c r="O13167" s="25" t="s">
        <v>157</v>
      </c>
    </row>
    <row r="13168" customFormat="false" ht="16.5" hidden="false" customHeight="true" outlineLevel="0" collapsed="false">
      <c r="B13168" s="40" t="str">
        <f aca="false">IFERROR(INDEX($J$13168:$J$13171,MATCH($O13168,$N$13168:$N$13171,0)),"")</f>
        <v/>
      </c>
      <c r="C13168" s="41" t="str">
        <f aca="false">IFERROR(INDEX($K$13168:$K$13171,MATCH($O13168,$N$13168:$N$13171,0)),"")</f>
        <v/>
      </c>
      <c r="D13168" s="42" t="str">
        <f aca="false">IF(OR(E13168="",N(C13168)=0),"",E13168/C13168-1)</f>
        <v/>
      </c>
      <c r="E13168" s="41" t="str">
        <f aca="false">IFERROR(INDEX($L$13168:$L$13171,MATCH($O13168,$N$13168:$N$13171,0)),"")</f>
        <v/>
      </c>
      <c r="F13168" s="41" t="str">
        <f aca="false">IF(E13168="","",E13168-C13168)</f>
        <v/>
      </c>
      <c r="J13168" s="25" t="str">
        <f aca="false">Lib_Compta</f>
        <v>Mission comptable (tenue, révision, bilan, liasse fiscale)</v>
      </c>
      <c r="K13168" s="25" t="n">
        <f aca="false">IF($K$13141=0,0,N(INDEX(Clients!$K$2:$K$501,$K$13141)))</f>
        <v>0</v>
      </c>
      <c r="L13168" s="25" t="n">
        <f aca="false">IF($K$13141=0,0,N(INDEX(Clients!$P$2:$P$501,$K$13141)))</f>
        <v>0</v>
      </c>
      <c r="M13168" s="25" t="n">
        <f aca="false">IF(OR(K13168&lt;&gt;0,L13168&lt;&gt;0),1,0)</f>
        <v>0</v>
      </c>
      <c r="N13168" s="25" t="str">
        <f aca="false">IF(M13168=1,SUM($M$13168:M13168),"")</f>
        <v/>
      </c>
      <c r="O13168" s="25" t="n">
        <v>1</v>
      </c>
    </row>
    <row r="13169" customFormat="false" ht="16.5" hidden="false" customHeight="true" outlineLevel="0" collapsed="false">
      <c r="B13169" s="40" t="str">
        <f aca="false">IFERROR(INDEX($J$13168:$J$13171,MATCH($O13169,$N$13168:$N$13171,0)),"")</f>
        <v/>
      </c>
      <c r="C13169" s="41" t="str">
        <f aca="false">IFERROR(INDEX($K$13168:$K$13171,MATCH($O13169,$N$13168:$N$13171,0)),"")</f>
        <v/>
      </c>
      <c r="D13169" s="42" t="str">
        <f aca="false">IF(OR(E13169="",N(C13169)=0),"",E13169/C13169-1)</f>
        <v/>
      </c>
      <c r="E13169" s="41" t="str">
        <f aca="false">IFERROR(INDEX($L$13168:$L$13171,MATCH($O13169,$N$13168:$N$13171,0)),"")</f>
        <v/>
      </c>
      <c r="F13169" s="41" t="str">
        <f aca="false">IF(E13169="","",E13169-C13169)</f>
        <v/>
      </c>
      <c r="J13169" s="25" t="str">
        <f aca="false">Lib_Paye</f>
        <v>Mission sociale (bulletins de paie, DSN, déclarations sociales)</v>
      </c>
      <c r="K13169" s="25" t="n">
        <f aca="false">IF($K$13141=0,0,N(INDEX(Clients!$L$2:$L$501,$K$13141)))</f>
        <v>0</v>
      </c>
      <c r="L13169" s="25" t="n">
        <f aca="false">IF($K$13141=0,0,N(INDEX(Clients!$Q$2:$Q$501,$K$13141)))</f>
        <v>0</v>
      </c>
      <c r="M13169" s="25" t="n">
        <f aca="false">IF(OR(K13169&lt;&gt;0,L13169&lt;&gt;0),1,0)</f>
        <v>0</v>
      </c>
      <c r="N13169" s="25" t="str">
        <f aca="false">IF(M13169=1,SUM($M$13168:M13169),"")</f>
        <v/>
      </c>
      <c r="O13169" s="25" t="n">
        <v>2</v>
      </c>
    </row>
    <row r="13170" customFormat="false" ht="16.5" hidden="false" customHeight="true" outlineLevel="0" collapsed="false">
      <c r="B13170" s="40" t="str">
        <f aca="false">IFERROR(INDEX($J$13168:$J$13171,MATCH($O13170,$N$13168:$N$13171,0)),"")</f>
        <v/>
      </c>
      <c r="C13170" s="41" t="str">
        <f aca="false">IFERROR(INDEX($K$13168:$K$13171,MATCH($O13170,$N$13168:$N$13171,0)),"")</f>
        <v/>
      </c>
      <c r="D13170" s="42" t="str">
        <f aca="false">IF(OR(E13170="",N(C13170)=0),"",E13170/C13170-1)</f>
        <v/>
      </c>
      <c r="E13170" s="41" t="str">
        <f aca="false">IFERROR(INDEX($L$13168:$L$13171,MATCH($O13170,$N$13168:$N$13171,0)),"")</f>
        <v/>
      </c>
      <c r="F13170" s="41" t="str">
        <f aca="false">IF(E13170="","",E13170-C13170)</f>
        <v/>
      </c>
      <c r="J13170" s="25" t="str">
        <f aca="false">Lib_Jur</f>
        <v>Mission juridique (approbation des comptes, secrétariat juridique)</v>
      </c>
      <c r="K13170" s="25" t="n">
        <f aca="false">IF($K$13141=0,0,N(INDEX(Clients!$M$2:$M$501,$K$13141)))</f>
        <v>0</v>
      </c>
      <c r="L13170" s="25" t="n">
        <f aca="false">IF($K$13141=0,0,N(INDEX(Clients!$R$2:$R$501,$K$13141)))</f>
        <v>0</v>
      </c>
      <c r="M13170" s="25" t="n">
        <f aca="false">IF(OR(K13170&lt;&gt;0,L13170&lt;&gt;0),1,0)</f>
        <v>0</v>
      </c>
      <c r="N13170" s="25" t="str">
        <f aca="false">IF(M13170=1,SUM($M$13168:M13170),"")</f>
        <v/>
      </c>
      <c r="O13170" s="25" t="n">
        <v>3</v>
      </c>
    </row>
    <row r="13171" customFormat="false" ht="16.5" hidden="false" customHeight="true" outlineLevel="0" collapsed="false">
      <c r="B13171" s="40" t="str">
        <f aca="false">IFERROR(INDEX($J$13168:$J$13171,MATCH($O13171,$N$13168:$N$13171,0)),"")</f>
        <v/>
      </c>
      <c r="C13171" s="41" t="str">
        <f aca="false">IFERROR(INDEX($K$13168:$K$13171,MATCH($O13171,$N$13168:$N$13171,0)),"")</f>
        <v/>
      </c>
      <c r="D13171" s="42" t="str">
        <f aca="false">IF(OR(E13171="",N(C13171)=0),"",E13171/C13171-1)</f>
        <v/>
      </c>
      <c r="E13171" s="41" t="str">
        <f aca="false">IFERROR(INDEX($L$13168:$L$13171,MATCH($O13171,$N$13168:$N$13171,0)),"")</f>
        <v/>
      </c>
      <c r="F13171" s="41" t="str">
        <f aca="false">IF(E13171="","",E13171-C13171)</f>
        <v/>
      </c>
      <c r="J13171" s="25" t="str">
        <f aca="false">Lib_PA</f>
        <v>Plateforme agréée – facturation électronique</v>
      </c>
      <c r="K13171" s="25" t="n">
        <f aca="false">IF($K$13141=0,0,N(INDEX(Clients!$N$2:$N$501,$K$13141)))</f>
        <v>0</v>
      </c>
      <c r="L13171" s="25" t="n">
        <f aca="false">IF($K$13141=0,0,N(INDEX(Clients!$S$2:$S$501,$K$13141)))</f>
        <v>0</v>
      </c>
      <c r="M13171" s="25" t="n">
        <f aca="false">IF(OR(K13171&lt;&gt;0,L13171&lt;&gt;0),1,0)</f>
        <v>0</v>
      </c>
      <c r="N13171" s="25" t="str">
        <f aca="false">IF(M13171=1,SUM($M$13168:M13171),"")</f>
        <v/>
      </c>
      <c r="O13171" s="25" t="n">
        <v>4</v>
      </c>
    </row>
    <row r="13172" customFormat="false" ht="18" hidden="false" customHeight="true" outlineLevel="0" collapsed="false">
      <c r="B13172" s="43" t="s">
        <v>158</v>
      </c>
      <c r="C13172" s="44" t="n">
        <f aca="false">SUM(K13168:K13171)</f>
        <v>0</v>
      </c>
      <c r="D13172" s="45" t="str">
        <f aca="false">IF(N(C13172)=0,"",E13172/C13172-1)</f>
        <v/>
      </c>
      <c r="E13172" s="44" t="n">
        <f aca="false">SUM(L13168:L13171)</f>
        <v>0</v>
      </c>
      <c r="F13172" s="44" t="n">
        <f aca="false">E13172-C13172</f>
        <v>0</v>
      </c>
    </row>
    <row r="13173" customFormat="false" ht="15" hidden="false" customHeight="false" outlineLevel="0" collapsed="false">
      <c r="B13173" s="46" t="str">
        <f aca="false">IF(N(Nb_Mensualites)=0,"","Soit "&amp;FIXED(E13172/Nb_Mensualites,2)&amp;" € HT par échéance ("&amp;Nb_Mensualites&amp;" échéances), "&amp;FIXED(E13172/Nb_Mensualites*(1+Taux_TVA),2)&amp;" € TTC.")</f>
        <v>Soit 0.00 € HT par échéance (12 échéances), 0.00 € TTC.</v>
      </c>
      <c r="C13173" s="46"/>
      <c r="D13173" s="46"/>
      <c r="E13173" s="46"/>
      <c r="F13173" s="46"/>
    </row>
    <row r="13174" customFormat="false" ht="7.5" hidden="false" customHeight="true" outlineLevel="0" collapsed="false">
      <c r="B13174" s="10"/>
      <c r="C13174" s="10"/>
      <c r="D13174" s="10"/>
      <c r="E13174" s="10"/>
      <c r="F13174" s="10"/>
    </row>
    <row r="13175" customFormat="false" ht="36.75" hidden="false" customHeight="true" outlineLevel="0" collapsed="false">
      <c r="B13175" s="37" t="str">
        <f aca="false">SUBSTITUTE(SUBSTITUTE(SUBSTITUTE(SUBSTITUTE(SUBSTITUTE(Txt_P5,"{cabinet}",Cab_Nom),"{societe}",IF($K$13141=0,"",INDEX(Clients!$E$2:$E$501,$K$13141)&amp;"")),"{date_effet}",$K$13143),"{hausse}",$K$13144),"{civilite}",$K$13142)</f>
        <v>Les autres conditions de votre lettre de mission demeurent inchangées. Les nouveaux montants seront appliqués automatiquement sur vos prochaines factures et échéances de prélèvement.</v>
      </c>
      <c r="C13175" s="37"/>
      <c r="D13175" s="37"/>
      <c r="E13175" s="37"/>
      <c r="F13175" s="37"/>
    </row>
    <row r="13176" customFormat="false" ht="36.75" hidden="false" customHeight="true" outlineLevel="0" collapsed="false">
      <c r="B13176" s="37" t="str">
        <f aca="false">SUBSTITUTE(SUBSTITUTE(SUBSTITUTE(SUBSTITUTE(SUBSTITUTE(Txt_P6,"{cabinet}",Cab_Nom),"{societe}",IF($K$13141=0,"",INDEX(Clients!$E$2:$E$501,$K$13141)&amp;"")),"{date_effet}",$K$13143),"{hausse}",$K$13144),"{civilite}",$K$13142)</f>
        <v>Votre interlocuteur habituel reste à votre entière disposition pour répondre à vos questions et faire le point sur l'évolution de vos besoins.</v>
      </c>
      <c r="C13176" s="37"/>
      <c r="D13176" s="37"/>
      <c r="E13176" s="37"/>
      <c r="F13176" s="37"/>
    </row>
    <row r="13177" customFormat="false" ht="24" hidden="false" customHeight="true" outlineLevel="0" collapsed="false">
      <c r="B13177" s="37" t="str">
        <f aca="false">SUBSTITUTE(SUBSTITUTE(SUBSTITUTE(SUBSTITUTE(SUBSTITUTE(Txt_Politesse,"{cabinet}",Cab_Nom),"{societe}",IF($K$13141=0,"",INDEX(Clients!$E$2:$E$501,$K$13141)&amp;"")),"{date_effet}",$K$13143),"{hausse}",$K$13144),"{civilite}",$K$13142)</f>
        <v>Nous vous prions d'agréer, Madame, Monsieur, l'expression de nos salutations distinguées.</v>
      </c>
      <c r="C13177" s="37"/>
      <c r="D13177" s="37"/>
      <c r="E13177" s="37"/>
      <c r="F13177" s="37"/>
    </row>
    <row r="13178" customFormat="false" ht="15" hidden="false" customHeight="false" outlineLevel="0" collapsed="false">
      <c r="B13178" s="10"/>
      <c r="C13178" s="10"/>
      <c r="D13178" s="10"/>
      <c r="E13178" s="10"/>
      <c r="F13178" s="10"/>
    </row>
    <row r="13179" customFormat="false" ht="15" hidden="false" customHeight="false" outlineLevel="0" collapsed="false">
      <c r="B13179" s="10"/>
      <c r="C13179" s="10"/>
      <c r="D13179" s="34" t="str">
        <f aca="false">Signataire</f>
        <v>Prénom NOM</v>
      </c>
      <c r="E13179" s="34"/>
      <c r="F13179" s="34"/>
    </row>
    <row r="13180" customFormat="false" ht="15" hidden="false" customHeight="false" outlineLevel="0" collapsed="false">
      <c r="B13180" s="10"/>
      <c r="C13180" s="10"/>
      <c r="D13180" s="47" t="str">
        <f aca="false">Signataire_Titre</f>
        <v>Expert-comptable associé</v>
      </c>
      <c r="E13180" s="47"/>
      <c r="F13180" s="47"/>
    </row>
    <row r="13181" customFormat="false" ht="15.75" hidden="false" customHeight="true" outlineLevel="0" collapsed="false">
      <c r="B13181" s="10"/>
      <c r="C13181" s="10"/>
      <c r="D13181" s="10"/>
      <c r="E13181" s="10"/>
      <c r="F13181" s="10"/>
    </row>
    <row r="13182" customFormat="false" ht="15.75" hidden="false" customHeight="true" outlineLevel="0" collapsed="false">
      <c r="B13182" s="10"/>
      <c r="C13182" s="10"/>
      <c r="D13182" s="10"/>
      <c r="E13182" s="10"/>
      <c r="F13182" s="10"/>
    </row>
    <row r="13183" customFormat="false" ht="15.75" hidden="false" customHeight="true" outlineLevel="0" collapsed="false">
      <c r="B13183" s="10"/>
      <c r="C13183" s="10"/>
      <c r="D13183" s="10"/>
      <c r="E13183" s="10"/>
      <c r="F13183" s="10"/>
    </row>
    <row r="13184" customFormat="false" ht="15.75" hidden="false" customHeight="true" outlineLevel="0" collapsed="false">
      <c r="B13184" s="10"/>
      <c r="C13184" s="10"/>
      <c r="D13184" s="10"/>
      <c r="E13184" s="10"/>
      <c r="F13184" s="10"/>
    </row>
    <row r="13185" customFormat="false" ht="24" hidden="false" customHeight="true" outlineLevel="0" collapsed="false">
      <c r="B13185" s="48" t="str">
        <f aca="false">Cab_Mentions</f>
        <v>ALTHO EXPERTISE · SAS au capital de 10 000 € · RCS Pontoise 919 706 325 · TVA FR62919706325 · Société d'expertise comptable inscrite au Tableau de l'Ordre des experts-comptables de Paris Île-de-France</v>
      </c>
      <c r="C13185" s="48"/>
      <c r="D13185" s="48"/>
      <c r="E13185" s="48"/>
      <c r="F13185" s="48"/>
    </row>
    <row r="13186" customFormat="false" ht="15" hidden="false" customHeight="false" outlineLevel="0" collapsed="false">
      <c r="B13186" s="10"/>
      <c r="C13186" s="10"/>
      <c r="D13186" s="10"/>
      <c r="E13186" s="10"/>
      <c r="F13186" s="10"/>
      <c r="J13186" s="25" t="s">
        <v>142</v>
      </c>
      <c r="K13186" s="25" t="n">
        <f aca="false">IFERROR(MATCH(294,Clients!$Z$2:$Z$501,0),0)</f>
        <v>0</v>
      </c>
      <c r="L13186" s="25"/>
      <c r="M13186" s="25"/>
      <c r="N13186" s="25"/>
      <c r="O13186" s="25"/>
    </row>
    <row r="13187" customFormat="false" ht="21.75" hidden="false" customHeight="true" outlineLevel="0" collapsed="false">
      <c r="B13187" s="26" t="str">
        <f aca="false">Cab_Nom</f>
        <v>ALTHO EXPERTISE</v>
      </c>
      <c r="C13187" s="26"/>
      <c r="D13187" s="10"/>
      <c r="E13187" s="27" t="str">
        <f aca="false">IF($K$13186=0,"","Réf. client : "&amp;INDEX(Clients!$A$2:$A$501,$K$13186))</f>
        <v/>
      </c>
      <c r="F13187" s="27"/>
      <c r="J13187" s="25" t="s">
        <v>144</v>
      </c>
      <c r="K13187" s="25" t="str">
        <f aca="false">IF(IF($K$13186=0,"",INDEX(Clients!$B$2:$B$501,$K$13186)&amp;"")="Mme","Madame",IF(IF($K$13186=0,"",INDEX(Clients!$B$2:$B$501,$K$13186)&amp;"")="M.","Monsieur","Madame, Monsieur"))</f>
        <v>Madame, Monsieur</v>
      </c>
      <c r="L13187" s="25"/>
      <c r="M13187" s="25"/>
      <c r="N13187" s="25"/>
      <c r="O13187" s="25"/>
    </row>
    <row r="13188" customFormat="false" ht="15" hidden="false" customHeight="false" outlineLevel="0" collapsed="false">
      <c r="B13188" s="29" t="str">
        <f aca="false">Cab_Adr1</f>
        <v>141 rue Charles de Gaulle</v>
      </c>
      <c r="C13188" s="29"/>
      <c r="D13188" s="10"/>
      <c r="E13188" s="10"/>
      <c r="F13188" s="10"/>
      <c r="J13188" s="25" t="s">
        <v>145</v>
      </c>
      <c r="K13188" s="25" t="str">
        <f aca="false">DAY(Date_Effet)&amp;IF(DAY(Date_Effet)=1,"er","")&amp;" "&amp;INDEX(Liste_Mois,MONTH(Date_Effet))&amp;" "&amp;YEAR(Date_Effet)</f>
        <v>1er janvier 2027</v>
      </c>
      <c r="L13188" s="25"/>
      <c r="M13188" s="25"/>
      <c r="N13188" s="25"/>
      <c r="O13188" s="25"/>
    </row>
    <row r="13189" customFormat="false" ht="15" hidden="false" customHeight="false" outlineLevel="0" collapsed="false">
      <c r="B13189" s="29" t="str">
        <f aca="false">Cab_CPVille</f>
        <v>95130 LE PLESSIS-BOUCHARD</v>
      </c>
      <c r="C13189" s="29"/>
      <c r="D13189" s="10"/>
      <c r="E13189" s="10"/>
      <c r="F13189" s="10"/>
      <c r="J13189" s="25" t="s">
        <v>146</v>
      </c>
      <c r="K13189" s="25" t="str">
        <f aca="false">IF(SUM($K$13213:$K$13216)=0,"",FIXED((SUM($L$13213:$L$13216)/SUM($K$13213:$K$13216)-1)*100,1)&amp;" %")</f>
        <v/>
      </c>
      <c r="L13189" s="25"/>
      <c r="M13189" s="25"/>
      <c r="N13189" s="25"/>
      <c r="O13189" s="25"/>
    </row>
    <row r="13190" customFormat="false" ht="15" hidden="false" customHeight="false" outlineLevel="0" collapsed="false">
      <c r="B13190" s="29" t="str">
        <f aca="false">Cab_Contact</f>
        <v>Tél. 01 34 14 53 45  ·  altho@altho-experts.com  ·  altho-experts.com</v>
      </c>
      <c r="C13190" s="29"/>
      <c r="D13190" s="10"/>
      <c r="E13190" s="10"/>
      <c r="F13190" s="10"/>
      <c r="J13190" s="25"/>
      <c r="K13190" s="25"/>
      <c r="L13190" s="25"/>
      <c r="M13190" s="25"/>
      <c r="N13190" s="25"/>
      <c r="O13190" s="25"/>
    </row>
    <row r="13191" customFormat="false" ht="6" hidden="false" customHeight="true" outlineLevel="0" collapsed="false">
      <c r="B13191" s="32"/>
      <c r="C13191" s="32"/>
      <c r="D13191" s="32"/>
      <c r="E13191" s="32"/>
      <c r="F13191" s="32"/>
      <c r="J13191" s="25"/>
      <c r="K13191" s="25"/>
      <c r="L13191" s="25"/>
      <c r="M13191" s="25"/>
      <c r="N13191" s="25"/>
      <c r="O13191" s="25"/>
    </row>
    <row r="13192" customFormat="false" ht="13.5" hidden="false" customHeight="true" outlineLevel="0" collapsed="false">
      <c r="B13192" s="10"/>
      <c r="C13192" s="10"/>
      <c r="D13192" s="10"/>
      <c r="E13192" s="10"/>
      <c r="F13192" s="10"/>
      <c r="J13192" s="25"/>
      <c r="K13192" s="25"/>
      <c r="L13192" s="25"/>
      <c r="M13192" s="25"/>
      <c r="N13192" s="25"/>
      <c r="O13192" s="25"/>
    </row>
    <row r="13193" customFormat="false" ht="13.5" hidden="false" customHeight="true" outlineLevel="0" collapsed="false">
      <c r="B13193" s="10"/>
      <c r="C13193" s="10"/>
      <c r="D13193" s="10"/>
      <c r="E13193" s="10"/>
      <c r="F13193" s="10"/>
      <c r="J13193" s="25"/>
      <c r="K13193" s="25"/>
      <c r="L13193" s="25"/>
      <c r="M13193" s="25"/>
      <c r="N13193" s="25"/>
      <c r="O13193" s="25"/>
    </row>
    <row r="13194" customFormat="false" ht="13.5" hidden="false" customHeight="true" outlineLevel="0" collapsed="false">
      <c r="B13194" s="10"/>
      <c r="C13194" s="10"/>
      <c r="D13194" s="10"/>
      <c r="E13194" s="10"/>
      <c r="F13194" s="10"/>
      <c r="J13194" s="25"/>
      <c r="K13194" s="25"/>
      <c r="L13194" s="25"/>
      <c r="M13194" s="25"/>
      <c r="N13194" s="25"/>
      <c r="O13194" s="25"/>
    </row>
    <row r="13195" customFormat="false" ht="15" hidden="false" customHeight="true" outlineLevel="0" collapsed="false">
      <c r="B13195" s="10"/>
      <c r="C13195" s="10"/>
      <c r="D13195" s="34" t="str">
        <f aca="false">IF($K$13186=0,"",INDEX(Clients!$E$2:$E$501,$K$13186)&amp;"")</f>
        <v/>
      </c>
      <c r="E13195" s="34"/>
      <c r="F13195" s="34"/>
      <c r="J13195" s="25"/>
      <c r="K13195" s="25"/>
      <c r="L13195" s="25"/>
      <c r="M13195" s="25"/>
      <c r="N13195" s="25"/>
      <c r="O13195" s="25"/>
    </row>
    <row r="13196" customFormat="false" ht="15" hidden="false" customHeight="true" outlineLevel="0" collapsed="false">
      <c r="B13196" s="10"/>
      <c r="C13196" s="10"/>
      <c r="D13196" s="35" t="str">
        <f aca="false">IF(IF($K$13186=0,"",INDEX(Clients!$D$2:$D$501,$K$13186)&amp;"")="","","À l'attention de "&amp;TRIM(IF($K$13186=0,"",INDEX(Clients!$B$2:$B$501,$K$13186)&amp;"")&amp;" "&amp;IF($K$13186=0,"",INDEX(Clients!$C$2:$C$501,$K$13186)&amp;"")&amp;" "&amp;IF($K$13186=0,"",INDEX(Clients!$D$2:$D$501,$K$13186)&amp;"")))</f>
        <v/>
      </c>
      <c r="E13196" s="35"/>
      <c r="F13196" s="35"/>
      <c r="J13196" s="25"/>
      <c r="K13196" s="25"/>
      <c r="L13196" s="25"/>
      <c r="M13196" s="25"/>
      <c r="N13196" s="25"/>
      <c r="O13196" s="25"/>
    </row>
    <row r="13197" customFormat="false" ht="15" hidden="false" customHeight="true" outlineLevel="0" collapsed="false">
      <c r="B13197" s="10"/>
      <c r="C13197" s="10"/>
      <c r="D13197" s="35" t="str">
        <f aca="false">IF($K$13186=0,"",INDEX(Clients!$F$2:$F$501,$K$13186)&amp;"")</f>
        <v/>
      </c>
      <c r="E13197" s="35"/>
      <c r="F13197" s="35"/>
      <c r="J13197" s="25"/>
      <c r="K13197" s="25"/>
      <c r="L13197" s="25"/>
      <c r="M13197" s="25"/>
      <c r="N13197" s="25"/>
      <c r="O13197" s="25"/>
    </row>
    <row r="13198" customFormat="false" ht="15" hidden="false" customHeight="true" outlineLevel="0" collapsed="false">
      <c r="B13198" s="10"/>
      <c r="C13198" s="10"/>
      <c r="D13198" s="35" t="str">
        <f aca="false">IF(IF($K$13186=0,"",INDEX(Clients!$G$2:$G$501,$K$13186)&amp;"")="",TRIM(IF($K$13186=0,"",INDEX(Clients!$H$2:$H$501,$K$13186)&amp;"")&amp;" "&amp;UPPER(IF($K$13186=0,"",INDEX(Clients!$I$2:$I$501,$K$13186)&amp;""))),IF($K$13186=0,"",INDEX(Clients!$G$2:$G$501,$K$13186)&amp;""))</f>
        <v/>
      </c>
      <c r="E13198" s="35"/>
      <c r="F13198" s="35"/>
      <c r="J13198" s="25"/>
      <c r="K13198" s="25"/>
      <c r="L13198" s="25"/>
      <c r="M13198" s="25"/>
      <c r="N13198" s="25"/>
      <c r="O13198" s="25"/>
    </row>
    <row r="13199" customFormat="false" ht="15" hidden="false" customHeight="true" outlineLevel="0" collapsed="false">
      <c r="B13199" s="10"/>
      <c r="C13199" s="10"/>
      <c r="D13199" s="35" t="str">
        <f aca="false">IF(IF($K$13186=0,"",INDEX(Clients!$G$2:$G$501,$K$13186)&amp;"")="","",TRIM(IF($K$13186=0,"",INDEX(Clients!$H$2:$H$501,$K$13186)&amp;"")&amp;" "&amp;UPPER(IF($K$13186=0,"",INDEX(Clients!$I$2:$I$501,$K$13186)&amp;""))))</f>
        <v/>
      </c>
      <c r="E13199" s="35"/>
      <c r="F13199" s="35"/>
      <c r="J13199" s="25"/>
      <c r="K13199" s="25"/>
      <c r="L13199" s="25"/>
      <c r="M13199" s="25"/>
      <c r="N13199" s="25"/>
      <c r="O13199" s="25"/>
    </row>
    <row r="13200" customFormat="false" ht="25.5" hidden="false" customHeight="true" outlineLevel="0" collapsed="false">
      <c r="B13200" s="10"/>
      <c r="C13200" s="10"/>
      <c r="D13200" s="10"/>
      <c r="E13200" s="10"/>
      <c r="F13200" s="10"/>
      <c r="J13200" s="25"/>
      <c r="K13200" s="25"/>
      <c r="L13200" s="25"/>
      <c r="M13200" s="25"/>
      <c r="N13200" s="25"/>
      <c r="O13200" s="25"/>
    </row>
    <row r="13201" customFormat="false" ht="15" hidden="false" customHeight="false" outlineLevel="0" collapsed="false">
      <c r="B13201" s="10"/>
      <c r="C13201" s="10"/>
      <c r="D13201" s="36" t="str">
        <f aca="false">Cab_Ville&amp;", le "&amp;DAY(Date_Courrier)&amp;IF(DAY(Date_Courrier)=1,"er","")&amp;" "&amp;INDEX(Liste_Mois,MONTH(Date_Courrier))&amp;" "&amp;YEAR(Date_Courrier)</f>
        <v>Le Plessis-Bouchard, le 22 septembre 2026</v>
      </c>
      <c r="E13201" s="36"/>
      <c r="F13201" s="36"/>
      <c r="J13201" s="25"/>
      <c r="K13201" s="25"/>
      <c r="L13201" s="25"/>
      <c r="M13201" s="25"/>
      <c r="N13201" s="25"/>
      <c r="O13201" s="25"/>
    </row>
    <row r="13202" customFormat="false" ht="19.5" hidden="false" customHeight="true" outlineLevel="0" collapsed="false">
      <c r="B13202" s="10"/>
      <c r="C13202" s="10"/>
      <c r="D13202" s="10"/>
      <c r="E13202" s="10"/>
      <c r="F13202" s="10"/>
      <c r="J13202" s="25"/>
      <c r="K13202" s="25"/>
      <c r="L13202" s="25"/>
      <c r="M13202" s="25"/>
      <c r="N13202" s="25"/>
      <c r="O13202" s="25"/>
    </row>
    <row r="13203" customFormat="false" ht="15" hidden="false" customHeight="false" outlineLevel="0" collapsed="false">
      <c r="B13203" s="34" t="str">
        <f aca="false">SUBSTITUTE(SUBSTITUTE(SUBSTITUTE(SUBSTITUTE(SUBSTITUTE(Txt_Objet,"{cabinet}",Cab_Nom),"{societe}",IF($K$13186=0,"",INDEX(Clients!$E$2:$E$501,$K$13186)&amp;"")),"{date_effet}",$K$13188),"{hausse}",$K$13189),"{civilite}",$K$13187)</f>
        <v>Objet : révision de nos honoraires au 1er janvier 2027</v>
      </c>
      <c r="C13203" s="34"/>
      <c r="D13203" s="34"/>
      <c r="E13203" s="34"/>
      <c r="F13203" s="34"/>
      <c r="J13203" s="25"/>
      <c r="K13203" s="25"/>
      <c r="L13203" s="25"/>
      <c r="M13203" s="25"/>
      <c r="N13203" s="25"/>
      <c r="O13203" s="25"/>
    </row>
    <row r="13204" customFormat="false" ht="13.5" hidden="false" customHeight="true" outlineLevel="0" collapsed="false">
      <c r="B13204" s="10"/>
      <c r="C13204" s="10"/>
      <c r="D13204" s="10"/>
      <c r="E13204" s="10"/>
      <c r="F13204" s="10"/>
      <c r="J13204" s="25"/>
      <c r="K13204" s="25"/>
      <c r="L13204" s="25"/>
      <c r="M13204" s="25"/>
      <c r="N13204" s="25"/>
      <c r="O13204" s="25"/>
    </row>
    <row r="13205" customFormat="false" ht="15" hidden="false" customHeight="false" outlineLevel="0" collapsed="false">
      <c r="B13205" s="10" t="str">
        <f aca="false">$K$13187&amp;","</f>
        <v>Madame, Monsieur,</v>
      </c>
      <c r="C13205" s="10"/>
      <c r="D13205" s="10"/>
      <c r="E13205" s="10"/>
      <c r="F13205" s="10"/>
      <c r="J13205" s="25"/>
      <c r="K13205" s="25"/>
      <c r="L13205" s="25"/>
      <c r="M13205" s="25"/>
      <c r="N13205" s="25"/>
      <c r="O13205" s="25"/>
    </row>
    <row r="13206" customFormat="false" ht="6" hidden="false" customHeight="true" outlineLevel="0" collapsed="false">
      <c r="B13206" s="10"/>
      <c r="C13206" s="10"/>
      <c r="D13206" s="10"/>
      <c r="E13206" s="10"/>
      <c r="F13206" s="10"/>
      <c r="J13206" s="25"/>
      <c r="K13206" s="25"/>
      <c r="L13206" s="25"/>
      <c r="M13206" s="25"/>
      <c r="N13206" s="25"/>
      <c r="O13206" s="25"/>
    </row>
    <row r="13207" customFormat="false" ht="36.75" hidden="false" customHeight="true" outlineLevel="0" collapsed="false">
      <c r="B13207" s="37" t="str">
        <f aca="false">SUBSTITUTE(SUBSTITUTE(SUBSTITUTE(SUBSTITUTE(SUBSTITUTE(Txt_P1,"{cabinet}",Cab_Nom),"{societe}",IF($K$13186=0,"",INDEX(Clients!$E$2:$E$501,$K$13186)&amp;"")),"{date_effet}",$K$13188),"{hausse}",$K$13189),"{civilite}",$K$13187)</f>
        <v>Nous tenons tout d'abord à vous remercier pour la confiance que vous accordez à ALTHO EXPERTISE. Comme chaque année, et conformément aux dispositions de votre lettre de mission, nous procédons à la révision de nos honoraires.</v>
      </c>
      <c r="C13207" s="37"/>
      <c r="D13207" s="37"/>
      <c r="E13207" s="37"/>
      <c r="F13207" s="37"/>
      <c r="J13207" s="25"/>
      <c r="K13207" s="25"/>
      <c r="L13207" s="25"/>
      <c r="M13207" s="25"/>
      <c r="N13207" s="25"/>
      <c r="O13207" s="25"/>
    </row>
    <row r="13208" customFormat="false" ht="49.5" hidden="false" customHeight="true" outlineLevel="0" collapsed="false">
      <c r="B13208" s="37" t="str">
        <f aca="false">SUBSTITUTE(SUBSTITUTE(SUBSTITUTE(SUBSTITUTE(SUBSTITUTE(Txt_P2,"{cabinet}",Cab_Nom),"{societe}",IF($K$13186=0,"",INDEX(Clients!$E$2:$E$501,$K$13186)&amp;"")),"{date_effet}",$K$13188),"{hausse}",$K$13189),"{civilite}",$K$13187)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208" s="37"/>
      <c r="D13208" s="37"/>
      <c r="E13208" s="37"/>
      <c r="F13208" s="37"/>
      <c r="J13208" s="25"/>
      <c r="K13208" s="25"/>
      <c r="L13208" s="25"/>
      <c r="M13208" s="25"/>
      <c r="N13208" s="25"/>
      <c r="O13208" s="25"/>
    </row>
    <row r="13209" customFormat="false" ht="63" hidden="false" customHeight="true" outlineLevel="0" collapsed="false">
      <c r="B13209" s="37" t="str">
        <f aca="false">SUBSTITUTE(SUBSTITUTE(SUBSTITUTE(SUBSTITUTE(SUBSTITUTE(Txt_P3,"{cabinet}",Cab_Nom),"{societe}",IF($K$13186=0,"",INDEX(Clients!$E$2:$E$501,$K$13186)&amp;"")),"{date_effet}",$K$13188),"{hausse}",$K$13189),"{civilite}",$K$13187)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209" s="37"/>
      <c r="D13209" s="37"/>
      <c r="E13209" s="37"/>
      <c r="F13209" s="37"/>
      <c r="J13209" s="25"/>
      <c r="K13209" s="25"/>
      <c r="L13209" s="25"/>
      <c r="M13209" s="25"/>
      <c r="N13209" s="25"/>
      <c r="O13209" s="25"/>
    </row>
    <row r="13210" customFormat="false" ht="24" hidden="false" customHeight="true" outlineLevel="0" collapsed="false">
      <c r="B13210" s="37" t="str">
        <f aca="false">SUBSTITUTE(SUBSTITUTE(SUBSTITUTE(SUBSTITUTE(SUBSTITUTE(Txt_P4,"{cabinet}",Cab_Nom),"{societe}",IF($K$13186=0,"",INDEX(Clients!$E$2:$E$501,$K$13186)&amp;"")),"{date_effet}",$K$13188),"{hausse}",$K$13189),"{civilite}",$K$13187)</f>
        <v>À compter du 1er janvier 2027, vos honoraires annuels hors taxes évolueront ainsi (évolution globale : ) :</v>
      </c>
      <c r="C13210" s="37"/>
      <c r="D13210" s="37"/>
      <c r="E13210" s="37"/>
      <c r="F13210" s="37"/>
      <c r="J13210" s="25"/>
      <c r="K13210" s="25"/>
      <c r="L13210" s="25"/>
      <c r="M13210" s="25"/>
      <c r="N13210" s="25"/>
      <c r="O13210" s="25"/>
    </row>
    <row r="13211" customFormat="false" ht="3.75" hidden="false" customHeight="true" outlineLevel="0" collapsed="false">
      <c r="B13211" s="10"/>
      <c r="C13211" s="10"/>
      <c r="D13211" s="10"/>
      <c r="E13211" s="10"/>
      <c r="F13211" s="10"/>
      <c r="J13211" s="25"/>
      <c r="K13211" s="25"/>
      <c r="L13211" s="25"/>
      <c r="M13211" s="25"/>
      <c r="N13211" s="25"/>
      <c r="O13211" s="25"/>
    </row>
    <row r="13212" customFormat="false" ht="18" hidden="false" customHeight="true" outlineLevel="0" collapsed="false">
      <c r="B13212" s="38" t="s">
        <v>148</v>
      </c>
      <c r="C13212" s="39" t="s">
        <v>149</v>
      </c>
      <c r="D13212" s="39" t="s">
        <v>150</v>
      </c>
      <c r="E13212" s="39" t="s">
        <v>151</v>
      </c>
      <c r="F13212" s="39" t="s">
        <v>109</v>
      </c>
      <c r="J13212" s="25" t="s">
        <v>152</v>
      </c>
      <c r="K13212" s="25" t="s">
        <v>153</v>
      </c>
      <c r="L13212" s="25" t="s">
        <v>154</v>
      </c>
      <c r="M13212" s="25" t="s">
        <v>155</v>
      </c>
      <c r="N13212" s="25" t="s">
        <v>156</v>
      </c>
      <c r="O13212" s="25" t="s">
        <v>157</v>
      </c>
    </row>
    <row r="13213" customFormat="false" ht="16.5" hidden="false" customHeight="true" outlineLevel="0" collapsed="false">
      <c r="B13213" s="40" t="str">
        <f aca="false">IFERROR(INDEX($J$13213:$J$13216,MATCH($O13213,$N$13213:$N$13216,0)),"")</f>
        <v/>
      </c>
      <c r="C13213" s="41" t="str">
        <f aca="false">IFERROR(INDEX($K$13213:$K$13216,MATCH($O13213,$N$13213:$N$13216,0)),"")</f>
        <v/>
      </c>
      <c r="D13213" s="42" t="str">
        <f aca="false">IF(OR(E13213="",N(C13213)=0),"",E13213/C13213-1)</f>
        <v/>
      </c>
      <c r="E13213" s="41" t="str">
        <f aca="false">IFERROR(INDEX($L$13213:$L$13216,MATCH($O13213,$N$13213:$N$13216,0)),"")</f>
        <v/>
      </c>
      <c r="F13213" s="41" t="str">
        <f aca="false">IF(E13213="","",E13213-C13213)</f>
        <v/>
      </c>
      <c r="J13213" s="25" t="str">
        <f aca="false">Lib_Compta</f>
        <v>Mission comptable (tenue, révision, bilan, liasse fiscale)</v>
      </c>
      <c r="K13213" s="25" t="n">
        <f aca="false">IF($K$13186=0,0,N(INDEX(Clients!$K$2:$K$501,$K$13186)))</f>
        <v>0</v>
      </c>
      <c r="L13213" s="25" t="n">
        <f aca="false">IF($K$13186=0,0,N(INDEX(Clients!$P$2:$P$501,$K$13186)))</f>
        <v>0</v>
      </c>
      <c r="M13213" s="25" t="n">
        <f aca="false">IF(OR(K13213&lt;&gt;0,L13213&lt;&gt;0),1,0)</f>
        <v>0</v>
      </c>
      <c r="N13213" s="25" t="str">
        <f aca="false">IF(M13213=1,SUM($M$13213:M13213),"")</f>
        <v/>
      </c>
      <c r="O13213" s="25" t="n">
        <v>1</v>
      </c>
    </row>
    <row r="13214" customFormat="false" ht="16.5" hidden="false" customHeight="true" outlineLevel="0" collapsed="false">
      <c r="B13214" s="40" t="str">
        <f aca="false">IFERROR(INDEX($J$13213:$J$13216,MATCH($O13214,$N$13213:$N$13216,0)),"")</f>
        <v/>
      </c>
      <c r="C13214" s="41" t="str">
        <f aca="false">IFERROR(INDEX($K$13213:$K$13216,MATCH($O13214,$N$13213:$N$13216,0)),"")</f>
        <v/>
      </c>
      <c r="D13214" s="42" t="str">
        <f aca="false">IF(OR(E13214="",N(C13214)=0),"",E13214/C13214-1)</f>
        <v/>
      </c>
      <c r="E13214" s="41" t="str">
        <f aca="false">IFERROR(INDEX($L$13213:$L$13216,MATCH($O13214,$N$13213:$N$13216,0)),"")</f>
        <v/>
      </c>
      <c r="F13214" s="41" t="str">
        <f aca="false">IF(E13214="","",E13214-C13214)</f>
        <v/>
      </c>
      <c r="J13214" s="25" t="str">
        <f aca="false">Lib_Paye</f>
        <v>Mission sociale (bulletins de paie, DSN, déclarations sociales)</v>
      </c>
      <c r="K13214" s="25" t="n">
        <f aca="false">IF($K$13186=0,0,N(INDEX(Clients!$L$2:$L$501,$K$13186)))</f>
        <v>0</v>
      </c>
      <c r="L13214" s="25" t="n">
        <f aca="false">IF($K$13186=0,0,N(INDEX(Clients!$Q$2:$Q$501,$K$13186)))</f>
        <v>0</v>
      </c>
      <c r="M13214" s="25" t="n">
        <f aca="false">IF(OR(K13214&lt;&gt;0,L13214&lt;&gt;0),1,0)</f>
        <v>0</v>
      </c>
      <c r="N13214" s="25" t="str">
        <f aca="false">IF(M13214=1,SUM($M$13213:M13214),"")</f>
        <v/>
      </c>
      <c r="O13214" s="25" t="n">
        <v>2</v>
      </c>
    </row>
    <row r="13215" customFormat="false" ht="16.5" hidden="false" customHeight="true" outlineLevel="0" collapsed="false">
      <c r="B13215" s="40" t="str">
        <f aca="false">IFERROR(INDEX($J$13213:$J$13216,MATCH($O13215,$N$13213:$N$13216,0)),"")</f>
        <v/>
      </c>
      <c r="C13215" s="41" t="str">
        <f aca="false">IFERROR(INDEX($K$13213:$K$13216,MATCH($O13215,$N$13213:$N$13216,0)),"")</f>
        <v/>
      </c>
      <c r="D13215" s="42" t="str">
        <f aca="false">IF(OR(E13215="",N(C13215)=0),"",E13215/C13215-1)</f>
        <v/>
      </c>
      <c r="E13215" s="41" t="str">
        <f aca="false">IFERROR(INDEX($L$13213:$L$13216,MATCH($O13215,$N$13213:$N$13216,0)),"")</f>
        <v/>
      </c>
      <c r="F13215" s="41" t="str">
        <f aca="false">IF(E13215="","",E13215-C13215)</f>
        <v/>
      </c>
      <c r="J13215" s="25" t="str">
        <f aca="false">Lib_Jur</f>
        <v>Mission juridique (approbation des comptes, secrétariat juridique)</v>
      </c>
      <c r="K13215" s="25" t="n">
        <f aca="false">IF($K$13186=0,0,N(INDEX(Clients!$M$2:$M$501,$K$13186)))</f>
        <v>0</v>
      </c>
      <c r="L13215" s="25" t="n">
        <f aca="false">IF($K$13186=0,0,N(INDEX(Clients!$R$2:$R$501,$K$13186)))</f>
        <v>0</v>
      </c>
      <c r="M13215" s="25" t="n">
        <f aca="false">IF(OR(K13215&lt;&gt;0,L13215&lt;&gt;0),1,0)</f>
        <v>0</v>
      </c>
      <c r="N13215" s="25" t="str">
        <f aca="false">IF(M13215=1,SUM($M$13213:M13215),"")</f>
        <v/>
      </c>
      <c r="O13215" s="25" t="n">
        <v>3</v>
      </c>
    </row>
    <row r="13216" customFormat="false" ht="16.5" hidden="false" customHeight="true" outlineLevel="0" collapsed="false">
      <c r="B13216" s="40" t="str">
        <f aca="false">IFERROR(INDEX($J$13213:$J$13216,MATCH($O13216,$N$13213:$N$13216,0)),"")</f>
        <v/>
      </c>
      <c r="C13216" s="41" t="str">
        <f aca="false">IFERROR(INDEX($K$13213:$K$13216,MATCH($O13216,$N$13213:$N$13216,0)),"")</f>
        <v/>
      </c>
      <c r="D13216" s="42" t="str">
        <f aca="false">IF(OR(E13216="",N(C13216)=0),"",E13216/C13216-1)</f>
        <v/>
      </c>
      <c r="E13216" s="41" t="str">
        <f aca="false">IFERROR(INDEX($L$13213:$L$13216,MATCH($O13216,$N$13213:$N$13216,0)),"")</f>
        <v/>
      </c>
      <c r="F13216" s="41" t="str">
        <f aca="false">IF(E13216="","",E13216-C13216)</f>
        <v/>
      </c>
      <c r="J13216" s="25" t="str">
        <f aca="false">Lib_PA</f>
        <v>Plateforme agréée – facturation électronique</v>
      </c>
      <c r="K13216" s="25" t="n">
        <f aca="false">IF($K$13186=0,0,N(INDEX(Clients!$N$2:$N$501,$K$13186)))</f>
        <v>0</v>
      </c>
      <c r="L13216" s="25" t="n">
        <f aca="false">IF($K$13186=0,0,N(INDEX(Clients!$S$2:$S$501,$K$13186)))</f>
        <v>0</v>
      </c>
      <c r="M13216" s="25" t="n">
        <f aca="false">IF(OR(K13216&lt;&gt;0,L13216&lt;&gt;0),1,0)</f>
        <v>0</v>
      </c>
      <c r="N13216" s="25" t="str">
        <f aca="false">IF(M13216=1,SUM($M$13213:M13216),"")</f>
        <v/>
      </c>
      <c r="O13216" s="25" t="n">
        <v>4</v>
      </c>
    </row>
    <row r="13217" customFormat="false" ht="18" hidden="false" customHeight="true" outlineLevel="0" collapsed="false">
      <c r="B13217" s="43" t="s">
        <v>158</v>
      </c>
      <c r="C13217" s="44" t="n">
        <f aca="false">SUM(K13213:K13216)</f>
        <v>0</v>
      </c>
      <c r="D13217" s="45" t="str">
        <f aca="false">IF(N(C13217)=0,"",E13217/C13217-1)</f>
        <v/>
      </c>
      <c r="E13217" s="44" t="n">
        <f aca="false">SUM(L13213:L13216)</f>
        <v>0</v>
      </c>
      <c r="F13217" s="44" t="n">
        <f aca="false">E13217-C13217</f>
        <v>0</v>
      </c>
    </row>
    <row r="13218" customFormat="false" ht="15" hidden="false" customHeight="false" outlineLevel="0" collapsed="false">
      <c r="B13218" s="46" t="str">
        <f aca="false">IF(N(Nb_Mensualites)=0,"","Soit "&amp;FIXED(E13217/Nb_Mensualites,2)&amp;" € HT par échéance ("&amp;Nb_Mensualites&amp;" échéances), "&amp;FIXED(E13217/Nb_Mensualites*(1+Taux_TVA),2)&amp;" € TTC.")</f>
        <v>Soit 0.00 € HT par échéance (12 échéances), 0.00 € TTC.</v>
      </c>
      <c r="C13218" s="46"/>
      <c r="D13218" s="46"/>
      <c r="E13218" s="46"/>
      <c r="F13218" s="46"/>
    </row>
    <row r="13219" customFormat="false" ht="7.5" hidden="false" customHeight="true" outlineLevel="0" collapsed="false">
      <c r="B13219" s="10"/>
      <c r="C13219" s="10"/>
      <c r="D13219" s="10"/>
      <c r="E13219" s="10"/>
      <c r="F13219" s="10"/>
    </row>
    <row r="13220" customFormat="false" ht="36.75" hidden="false" customHeight="true" outlineLevel="0" collapsed="false">
      <c r="B13220" s="37" t="str">
        <f aca="false">SUBSTITUTE(SUBSTITUTE(SUBSTITUTE(SUBSTITUTE(SUBSTITUTE(Txt_P5,"{cabinet}",Cab_Nom),"{societe}",IF($K$13186=0,"",INDEX(Clients!$E$2:$E$501,$K$13186)&amp;"")),"{date_effet}",$K$13188),"{hausse}",$K$13189),"{civilite}",$K$13187)</f>
        <v>Les autres conditions de votre lettre de mission demeurent inchangées. Les nouveaux montants seront appliqués automatiquement sur vos prochaines factures et échéances de prélèvement.</v>
      </c>
      <c r="C13220" s="37"/>
      <c r="D13220" s="37"/>
      <c r="E13220" s="37"/>
      <c r="F13220" s="37"/>
    </row>
    <row r="13221" customFormat="false" ht="36.75" hidden="false" customHeight="true" outlineLevel="0" collapsed="false">
      <c r="B13221" s="37" t="str">
        <f aca="false">SUBSTITUTE(SUBSTITUTE(SUBSTITUTE(SUBSTITUTE(SUBSTITUTE(Txt_P6,"{cabinet}",Cab_Nom),"{societe}",IF($K$13186=0,"",INDEX(Clients!$E$2:$E$501,$K$13186)&amp;"")),"{date_effet}",$K$13188),"{hausse}",$K$13189),"{civilite}",$K$13187)</f>
        <v>Votre interlocuteur habituel reste à votre entière disposition pour répondre à vos questions et faire le point sur l'évolution de vos besoins.</v>
      </c>
      <c r="C13221" s="37"/>
      <c r="D13221" s="37"/>
      <c r="E13221" s="37"/>
      <c r="F13221" s="37"/>
    </row>
    <row r="13222" customFormat="false" ht="24" hidden="false" customHeight="true" outlineLevel="0" collapsed="false">
      <c r="B13222" s="37" t="str">
        <f aca="false">SUBSTITUTE(SUBSTITUTE(SUBSTITUTE(SUBSTITUTE(SUBSTITUTE(Txt_Politesse,"{cabinet}",Cab_Nom),"{societe}",IF($K$13186=0,"",INDEX(Clients!$E$2:$E$501,$K$13186)&amp;"")),"{date_effet}",$K$13188),"{hausse}",$K$13189),"{civilite}",$K$13187)</f>
        <v>Nous vous prions d'agréer, Madame, Monsieur, l'expression de nos salutations distinguées.</v>
      </c>
      <c r="C13222" s="37"/>
      <c r="D13222" s="37"/>
      <c r="E13222" s="37"/>
      <c r="F13222" s="37"/>
    </row>
    <row r="13223" customFormat="false" ht="15" hidden="false" customHeight="false" outlineLevel="0" collapsed="false">
      <c r="B13223" s="10"/>
      <c r="C13223" s="10"/>
      <c r="D13223" s="10"/>
      <c r="E13223" s="10"/>
      <c r="F13223" s="10"/>
    </row>
    <row r="13224" customFormat="false" ht="15" hidden="false" customHeight="false" outlineLevel="0" collapsed="false">
      <c r="B13224" s="10"/>
      <c r="C13224" s="10"/>
      <c r="D13224" s="34" t="str">
        <f aca="false">Signataire</f>
        <v>Prénom NOM</v>
      </c>
      <c r="E13224" s="34"/>
      <c r="F13224" s="34"/>
    </row>
    <row r="13225" customFormat="false" ht="15" hidden="false" customHeight="false" outlineLevel="0" collapsed="false">
      <c r="B13225" s="10"/>
      <c r="C13225" s="10"/>
      <c r="D13225" s="47" t="str">
        <f aca="false">Signataire_Titre</f>
        <v>Expert-comptable associé</v>
      </c>
      <c r="E13225" s="47"/>
      <c r="F13225" s="47"/>
    </row>
    <row r="13226" customFormat="false" ht="15.75" hidden="false" customHeight="true" outlineLevel="0" collapsed="false">
      <c r="B13226" s="10"/>
      <c r="C13226" s="10"/>
      <c r="D13226" s="10"/>
      <c r="E13226" s="10"/>
      <c r="F13226" s="10"/>
    </row>
    <row r="13227" customFormat="false" ht="15.75" hidden="false" customHeight="true" outlineLevel="0" collapsed="false">
      <c r="B13227" s="10"/>
      <c r="C13227" s="10"/>
      <c r="D13227" s="10"/>
      <c r="E13227" s="10"/>
      <c r="F13227" s="10"/>
    </row>
    <row r="13228" customFormat="false" ht="15.75" hidden="false" customHeight="true" outlineLevel="0" collapsed="false">
      <c r="B13228" s="10"/>
      <c r="C13228" s="10"/>
      <c r="D13228" s="10"/>
      <c r="E13228" s="10"/>
      <c r="F13228" s="10"/>
    </row>
    <row r="13229" customFormat="false" ht="15.75" hidden="false" customHeight="true" outlineLevel="0" collapsed="false">
      <c r="B13229" s="10"/>
      <c r="C13229" s="10"/>
      <c r="D13229" s="10"/>
      <c r="E13229" s="10"/>
      <c r="F13229" s="10"/>
    </row>
    <row r="13230" customFormat="false" ht="24" hidden="false" customHeight="true" outlineLevel="0" collapsed="false">
      <c r="B13230" s="48" t="str">
        <f aca="false">Cab_Mentions</f>
        <v>ALTHO EXPERTISE · SAS au capital de 10 000 € · RCS Pontoise 919 706 325 · TVA FR62919706325 · Société d'expertise comptable inscrite au Tableau de l'Ordre des experts-comptables de Paris Île-de-France</v>
      </c>
      <c r="C13230" s="48"/>
      <c r="D13230" s="48"/>
      <c r="E13230" s="48"/>
      <c r="F13230" s="48"/>
    </row>
    <row r="13231" customFormat="false" ht="15" hidden="false" customHeight="false" outlineLevel="0" collapsed="false">
      <c r="B13231" s="10"/>
      <c r="C13231" s="10"/>
      <c r="D13231" s="10"/>
      <c r="E13231" s="10"/>
      <c r="F13231" s="10"/>
      <c r="J13231" s="25" t="s">
        <v>142</v>
      </c>
      <c r="K13231" s="25" t="n">
        <f aca="false">IFERROR(MATCH(295,Clients!$Z$2:$Z$501,0),0)</f>
        <v>0</v>
      </c>
      <c r="L13231" s="25"/>
      <c r="M13231" s="25"/>
      <c r="N13231" s="25"/>
      <c r="O13231" s="25"/>
    </row>
    <row r="13232" customFormat="false" ht="21.75" hidden="false" customHeight="true" outlineLevel="0" collapsed="false">
      <c r="B13232" s="26" t="str">
        <f aca="false">Cab_Nom</f>
        <v>ALTHO EXPERTISE</v>
      </c>
      <c r="C13232" s="26"/>
      <c r="D13232" s="10"/>
      <c r="E13232" s="27" t="str">
        <f aca="false">IF($K$13231=0,"","Réf. client : "&amp;INDEX(Clients!$A$2:$A$501,$K$13231))</f>
        <v/>
      </c>
      <c r="F13232" s="27"/>
      <c r="J13232" s="25" t="s">
        <v>144</v>
      </c>
      <c r="K13232" s="25" t="str">
        <f aca="false">IF(IF($K$13231=0,"",INDEX(Clients!$B$2:$B$501,$K$13231)&amp;"")="Mme","Madame",IF(IF($K$13231=0,"",INDEX(Clients!$B$2:$B$501,$K$13231)&amp;"")="M.","Monsieur","Madame, Monsieur"))</f>
        <v>Madame, Monsieur</v>
      </c>
      <c r="L13232" s="25"/>
      <c r="M13232" s="25"/>
      <c r="N13232" s="25"/>
      <c r="O13232" s="25"/>
    </row>
    <row r="13233" customFormat="false" ht="15" hidden="false" customHeight="false" outlineLevel="0" collapsed="false">
      <c r="B13233" s="29" t="str">
        <f aca="false">Cab_Adr1</f>
        <v>141 rue Charles de Gaulle</v>
      </c>
      <c r="C13233" s="29"/>
      <c r="D13233" s="10"/>
      <c r="E13233" s="10"/>
      <c r="F13233" s="10"/>
      <c r="J13233" s="25" t="s">
        <v>145</v>
      </c>
      <c r="K13233" s="25" t="str">
        <f aca="false">DAY(Date_Effet)&amp;IF(DAY(Date_Effet)=1,"er","")&amp;" "&amp;INDEX(Liste_Mois,MONTH(Date_Effet))&amp;" "&amp;YEAR(Date_Effet)</f>
        <v>1er janvier 2027</v>
      </c>
      <c r="L13233" s="25"/>
      <c r="M13233" s="25"/>
      <c r="N13233" s="25"/>
      <c r="O13233" s="25"/>
    </row>
    <row r="13234" customFormat="false" ht="15" hidden="false" customHeight="false" outlineLevel="0" collapsed="false">
      <c r="B13234" s="29" t="str">
        <f aca="false">Cab_CPVille</f>
        <v>95130 LE PLESSIS-BOUCHARD</v>
      </c>
      <c r="C13234" s="29"/>
      <c r="D13234" s="10"/>
      <c r="E13234" s="10"/>
      <c r="F13234" s="10"/>
      <c r="J13234" s="25" t="s">
        <v>146</v>
      </c>
      <c r="K13234" s="25" t="str">
        <f aca="false">IF(SUM($K$13258:$K$13261)=0,"",FIXED((SUM($L$13258:$L$13261)/SUM($K$13258:$K$13261)-1)*100,1)&amp;" %")</f>
        <v/>
      </c>
      <c r="L13234" s="25"/>
      <c r="M13234" s="25"/>
      <c r="N13234" s="25"/>
      <c r="O13234" s="25"/>
    </row>
    <row r="13235" customFormat="false" ht="15" hidden="false" customHeight="false" outlineLevel="0" collapsed="false">
      <c r="B13235" s="29" t="str">
        <f aca="false">Cab_Contact</f>
        <v>Tél. 01 34 14 53 45  ·  altho@altho-experts.com  ·  altho-experts.com</v>
      </c>
      <c r="C13235" s="29"/>
      <c r="D13235" s="10"/>
      <c r="E13235" s="10"/>
      <c r="F13235" s="10"/>
      <c r="J13235" s="25"/>
      <c r="K13235" s="25"/>
      <c r="L13235" s="25"/>
      <c r="M13235" s="25"/>
      <c r="N13235" s="25"/>
      <c r="O13235" s="25"/>
    </row>
    <row r="13236" customFormat="false" ht="6" hidden="false" customHeight="true" outlineLevel="0" collapsed="false">
      <c r="B13236" s="32"/>
      <c r="C13236" s="32"/>
      <c r="D13236" s="32"/>
      <c r="E13236" s="32"/>
      <c r="F13236" s="32"/>
      <c r="J13236" s="25"/>
      <c r="K13236" s="25"/>
      <c r="L13236" s="25"/>
      <c r="M13236" s="25"/>
      <c r="N13236" s="25"/>
      <c r="O13236" s="25"/>
    </row>
    <row r="13237" customFormat="false" ht="13.5" hidden="false" customHeight="true" outlineLevel="0" collapsed="false">
      <c r="B13237" s="10"/>
      <c r="C13237" s="10"/>
      <c r="D13237" s="10"/>
      <c r="E13237" s="10"/>
      <c r="F13237" s="10"/>
      <c r="J13237" s="25"/>
      <c r="K13237" s="25"/>
      <c r="L13237" s="25"/>
      <c r="M13237" s="25"/>
      <c r="N13237" s="25"/>
      <c r="O13237" s="25"/>
    </row>
    <row r="13238" customFormat="false" ht="13.5" hidden="false" customHeight="true" outlineLevel="0" collapsed="false">
      <c r="B13238" s="10"/>
      <c r="C13238" s="10"/>
      <c r="D13238" s="10"/>
      <c r="E13238" s="10"/>
      <c r="F13238" s="10"/>
      <c r="J13238" s="25"/>
      <c r="K13238" s="25"/>
      <c r="L13238" s="25"/>
      <c r="M13238" s="25"/>
      <c r="N13238" s="25"/>
      <c r="O13238" s="25"/>
    </row>
    <row r="13239" customFormat="false" ht="13.5" hidden="false" customHeight="true" outlineLevel="0" collapsed="false">
      <c r="B13239" s="10"/>
      <c r="C13239" s="10"/>
      <c r="D13239" s="10"/>
      <c r="E13239" s="10"/>
      <c r="F13239" s="10"/>
      <c r="J13239" s="25"/>
      <c r="K13239" s="25"/>
      <c r="L13239" s="25"/>
      <c r="M13239" s="25"/>
      <c r="N13239" s="25"/>
      <c r="O13239" s="25"/>
    </row>
    <row r="13240" customFormat="false" ht="15" hidden="false" customHeight="true" outlineLevel="0" collapsed="false">
      <c r="B13240" s="10"/>
      <c r="C13240" s="10"/>
      <c r="D13240" s="34" t="str">
        <f aca="false">IF($K$13231=0,"",INDEX(Clients!$E$2:$E$501,$K$13231)&amp;"")</f>
        <v/>
      </c>
      <c r="E13240" s="34"/>
      <c r="F13240" s="34"/>
      <c r="J13240" s="25"/>
      <c r="K13240" s="25"/>
      <c r="L13240" s="25"/>
      <c r="M13240" s="25"/>
      <c r="N13240" s="25"/>
      <c r="O13240" s="25"/>
    </row>
    <row r="13241" customFormat="false" ht="15" hidden="false" customHeight="true" outlineLevel="0" collapsed="false">
      <c r="B13241" s="10"/>
      <c r="C13241" s="10"/>
      <c r="D13241" s="35" t="str">
        <f aca="false">IF(IF($K$13231=0,"",INDEX(Clients!$D$2:$D$501,$K$13231)&amp;"")="","","À l'attention de "&amp;TRIM(IF($K$13231=0,"",INDEX(Clients!$B$2:$B$501,$K$13231)&amp;"")&amp;" "&amp;IF($K$13231=0,"",INDEX(Clients!$C$2:$C$501,$K$13231)&amp;"")&amp;" "&amp;IF($K$13231=0,"",INDEX(Clients!$D$2:$D$501,$K$13231)&amp;"")))</f>
        <v/>
      </c>
      <c r="E13241" s="35"/>
      <c r="F13241" s="35"/>
      <c r="J13241" s="25"/>
      <c r="K13241" s="25"/>
      <c r="L13241" s="25"/>
      <c r="M13241" s="25"/>
      <c r="N13241" s="25"/>
      <c r="O13241" s="25"/>
    </row>
    <row r="13242" customFormat="false" ht="15" hidden="false" customHeight="true" outlineLevel="0" collapsed="false">
      <c r="B13242" s="10"/>
      <c r="C13242" s="10"/>
      <c r="D13242" s="35" t="str">
        <f aca="false">IF($K$13231=0,"",INDEX(Clients!$F$2:$F$501,$K$13231)&amp;"")</f>
        <v/>
      </c>
      <c r="E13242" s="35"/>
      <c r="F13242" s="35"/>
      <c r="J13242" s="25"/>
      <c r="K13242" s="25"/>
      <c r="L13242" s="25"/>
      <c r="M13242" s="25"/>
      <c r="N13242" s="25"/>
      <c r="O13242" s="25"/>
    </row>
    <row r="13243" customFormat="false" ht="15" hidden="false" customHeight="true" outlineLevel="0" collapsed="false">
      <c r="B13243" s="10"/>
      <c r="C13243" s="10"/>
      <c r="D13243" s="35" t="str">
        <f aca="false">IF(IF($K$13231=0,"",INDEX(Clients!$G$2:$G$501,$K$13231)&amp;"")="",TRIM(IF($K$13231=0,"",INDEX(Clients!$H$2:$H$501,$K$13231)&amp;"")&amp;" "&amp;UPPER(IF($K$13231=0,"",INDEX(Clients!$I$2:$I$501,$K$13231)&amp;""))),IF($K$13231=0,"",INDEX(Clients!$G$2:$G$501,$K$13231)&amp;""))</f>
        <v/>
      </c>
      <c r="E13243" s="35"/>
      <c r="F13243" s="35"/>
      <c r="J13243" s="25"/>
      <c r="K13243" s="25"/>
      <c r="L13243" s="25"/>
      <c r="M13243" s="25"/>
      <c r="N13243" s="25"/>
      <c r="O13243" s="25"/>
    </row>
    <row r="13244" customFormat="false" ht="15" hidden="false" customHeight="true" outlineLevel="0" collapsed="false">
      <c r="B13244" s="10"/>
      <c r="C13244" s="10"/>
      <c r="D13244" s="35" t="str">
        <f aca="false">IF(IF($K$13231=0,"",INDEX(Clients!$G$2:$G$501,$K$13231)&amp;"")="","",TRIM(IF($K$13231=0,"",INDEX(Clients!$H$2:$H$501,$K$13231)&amp;"")&amp;" "&amp;UPPER(IF($K$13231=0,"",INDEX(Clients!$I$2:$I$501,$K$13231)&amp;""))))</f>
        <v/>
      </c>
      <c r="E13244" s="35"/>
      <c r="F13244" s="35"/>
      <c r="J13244" s="25"/>
      <c r="K13244" s="25"/>
      <c r="L13244" s="25"/>
      <c r="M13244" s="25"/>
      <c r="N13244" s="25"/>
      <c r="O13244" s="25"/>
    </row>
    <row r="13245" customFormat="false" ht="25.5" hidden="false" customHeight="true" outlineLevel="0" collapsed="false">
      <c r="B13245" s="10"/>
      <c r="C13245" s="10"/>
      <c r="D13245" s="10"/>
      <c r="E13245" s="10"/>
      <c r="F13245" s="10"/>
      <c r="J13245" s="25"/>
      <c r="K13245" s="25"/>
      <c r="L13245" s="25"/>
      <c r="M13245" s="25"/>
      <c r="N13245" s="25"/>
      <c r="O13245" s="25"/>
    </row>
    <row r="13246" customFormat="false" ht="15" hidden="false" customHeight="false" outlineLevel="0" collapsed="false">
      <c r="B13246" s="10"/>
      <c r="C13246" s="10"/>
      <c r="D13246" s="36" t="str">
        <f aca="false">Cab_Ville&amp;", le "&amp;DAY(Date_Courrier)&amp;IF(DAY(Date_Courrier)=1,"er","")&amp;" "&amp;INDEX(Liste_Mois,MONTH(Date_Courrier))&amp;" "&amp;YEAR(Date_Courrier)</f>
        <v>Le Plessis-Bouchard, le 22 septembre 2026</v>
      </c>
      <c r="E13246" s="36"/>
      <c r="F13246" s="36"/>
      <c r="J13246" s="25"/>
      <c r="K13246" s="25"/>
      <c r="L13246" s="25"/>
      <c r="M13246" s="25"/>
      <c r="N13246" s="25"/>
      <c r="O13246" s="25"/>
    </row>
    <row r="13247" customFormat="false" ht="19.5" hidden="false" customHeight="true" outlineLevel="0" collapsed="false">
      <c r="B13247" s="10"/>
      <c r="C13247" s="10"/>
      <c r="D13247" s="10"/>
      <c r="E13247" s="10"/>
      <c r="F13247" s="10"/>
      <c r="J13247" s="25"/>
      <c r="K13247" s="25"/>
      <c r="L13247" s="25"/>
      <c r="M13247" s="25"/>
      <c r="N13247" s="25"/>
      <c r="O13247" s="25"/>
    </row>
    <row r="13248" customFormat="false" ht="15" hidden="false" customHeight="false" outlineLevel="0" collapsed="false">
      <c r="B13248" s="34" t="str">
        <f aca="false">SUBSTITUTE(SUBSTITUTE(SUBSTITUTE(SUBSTITUTE(SUBSTITUTE(Txt_Objet,"{cabinet}",Cab_Nom),"{societe}",IF($K$13231=0,"",INDEX(Clients!$E$2:$E$501,$K$13231)&amp;"")),"{date_effet}",$K$13233),"{hausse}",$K$13234),"{civilite}",$K$13232)</f>
        <v>Objet : révision de nos honoraires au 1er janvier 2027</v>
      </c>
      <c r="C13248" s="34"/>
      <c r="D13248" s="34"/>
      <c r="E13248" s="34"/>
      <c r="F13248" s="34"/>
      <c r="J13248" s="25"/>
      <c r="K13248" s="25"/>
      <c r="L13248" s="25"/>
      <c r="M13248" s="25"/>
      <c r="N13248" s="25"/>
      <c r="O13248" s="25"/>
    </row>
    <row r="13249" customFormat="false" ht="13.5" hidden="false" customHeight="true" outlineLevel="0" collapsed="false">
      <c r="B13249" s="10"/>
      <c r="C13249" s="10"/>
      <c r="D13249" s="10"/>
      <c r="E13249" s="10"/>
      <c r="F13249" s="10"/>
      <c r="J13249" s="25"/>
      <c r="K13249" s="25"/>
      <c r="L13249" s="25"/>
      <c r="M13249" s="25"/>
      <c r="N13249" s="25"/>
      <c r="O13249" s="25"/>
    </row>
    <row r="13250" customFormat="false" ht="15" hidden="false" customHeight="false" outlineLevel="0" collapsed="false">
      <c r="B13250" s="10" t="str">
        <f aca="false">$K$13232&amp;","</f>
        <v>Madame, Monsieur,</v>
      </c>
      <c r="C13250" s="10"/>
      <c r="D13250" s="10"/>
      <c r="E13250" s="10"/>
      <c r="F13250" s="10"/>
      <c r="J13250" s="25"/>
      <c r="K13250" s="25"/>
      <c r="L13250" s="25"/>
      <c r="M13250" s="25"/>
      <c r="N13250" s="25"/>
      <c r="O13250" s="25"/>
    </row>
    <row r="13251" customFormat="false" ht="6" hidden="false" customHeight="true" outlineLevel="0" collapsed="false">
      <c r="B13251" s="10"/>
      <c r="C13251" s="10"/>
      <c r="D13251" s="10"/>
      <c r="E13251" s="10"/>
      <c r="F13251" s="10"/>
      <c r="J13251" s="25"/>
      <c r="K13251" s="25"/>
      <c r="L13251" s="25"/>
      <c r="M13251" s="25"/>
      <c r="N13251" s="25"/>
      <c r="O13251" s="25"/>
    </row>
    <row r="13252" customFormat="false" ht="36.75" hidden="false" customHeight="true" outlineLevel="0" collapsed="false">
      <c r="B13252" s="37" t="str">
        <f aca="false">SUBSTITUTE(SUBSTITUTE(SUBSTITUTE(SUBSTITUTE(SUBSTITUTE(Txt_P1,"{cabinet}",Cab_Nom),"{societe}",IF($K$13231=0,"",INDEX(Clients!$E$2:$E$501,$K$13231)&amp;"")),"{date_effet}",$K$13233),"{hausse}",$K$13234),"{civilite}",$K$13232)</f>
        <v>Nous tenons tout d'abord à vous remercier pour la confiance que vous accordez à ALTHO EXPERTISE. Comme chaque année, et conformément aux dispositions de votre lettre de mission, nous procédons à la révision de nos honoraires.</v>
      </c>
      <c r="C13252" s="37"/>
      <c r="D13252" s="37"/>
      <c r="E13252" s="37"/>
      <c r="F13252" s="37"/>
      <c r="J13252" s="25"/>
      <c r="K13252" s="25"/>
      <c r="L13252" s="25"/>
      <c r="M13252" s="25"/>
      <c r="N13252" s="25"/>
      <c r="O13252" s="25"/>
    </row>
    <row r="13253" customFormat="false" ht="49.5" hidden="false" customHeight="true" outlineLevel="0" collapsed="false">
      <c r="B13253" s="37" t="str">
        <f aca="false">SUBSTITUTE(SUBSTITUTE(SUBSTITUTE(SUBSTITUTE(SUBSTITUTE(Txt_P2,"{cabinet}",Cab_Nom),"{societe}",IF($K$13231=0,"",INDEX(Clients!$E$2:$E$501,$K$13231)&amp;"")),"{date_effet}",$K$13233),"{hausse}",$K$13234),"{civilite}",$K$13232)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253" s="37"/>
      <c r="D13253" s="37"/>
      <c r="E13253" s="37"/>
      <c r="F13253" s="37"/>
      <c r="J13253" s="25"/>
      <c r="K13253" s="25"/>
      <c r="L13253" s="25"/>
      <c r="M13253" s="25"/>
      <c r="N13253" s="25"/>
      <c r="O13253" s="25"/>
    </row>
    <row r="13254" customFormat="false" ht="63" hidden="false" customHeight="true" outlineLevel="0" collapsed="false">
      <c r="B13254" s="37" t="str">
        <f aca="false">SUBSTITUTE(SUBSTITUTE(SUBSTITUTE(SUBSTITUTE(SUBSTITUTE(Txt_P3,"{cabinet}",Cab_Nom),"{societe}",IF($K$13231=0,"",INDEX(Clients!$E$2:$E$501,$K$13231)&amp;"")),"{date_effet}",$K$13233),"{hausse}",$K$13234),"{civilite}",$K$13232)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254" s="37"/>
      <c r="D13254" s="37"/>
      <c r="E13254" s="37"/>
      <c r="F13254" s="37"/>
      <c r="J13254" s="25"/>
      <c r="K13254" s="25"/>
      <c r="L13254" s="25"/>
      <c r="M13254" s="25"/>
      <c r="N13254" s="25"/>
      <c r="O13254" s="25"/>
    </row>
    <row r="13255" customFormat="false" ht="24" hidden="false" customHeight="true" outlineLevel="0" collapsed="false">
      <c r="B13255" s="37" t="str">
        <f aca="false">SUBSTITUTE(SUBSTITUTE(SUBSTITUTE(SUBSTITUTE(SUBSTITUTE(Txt_P4,"{cabinet}",Cab_Nom),"{societe}",IF($K$13231=0,"",INDEX(Clients!$E$2:$E$501,$K$13231)&amp;"")),"{date_effet}",$K$13233),"{hausse}",$K$13234),"{civilite}",$K$13232)</f>
        <v>À compter du 1er janvier 2027, vos honoraires annuels hors taxes évolueront ainsi (évolution globale : ) :</v>
      </c>
      <c r="C13255" s="37"/>
      <c r="D13255" s="37"/>
      <c r="E13255" s="37"/>
      <c r="F13255" s="37"/>
      <c r="J13255" s="25"/>
      <c r="K13255" s="25"/>
      <c r="L13255" s="25"/>
      <c r="M13255" s="25"/>
      <c r="N13255" s="25"/>
      <c r="O13255" s="25"/>
    </row>
    <row r="13256" customFormat="false" ht="3.75" hidden="false" customHeight="true" outlineLevel="0" collapsed="false">
      <c r="B13256" s="10"/>
      <c r="C13256" s="10"/>
      <c r="D13256" s="10"/>
      <c r="E13256" s="10"/>
      <c r="F13256" s="10"/>
      <c r="J13256" s="25"/>
      <c r="K13256" s="25"/>
      <c r="L13256" s="25"/>
      <c r="M13256" s="25"/>
      <c r="N13256" s="25"/>
      <c r="O13256" s="25"/>
    </row>
    <row r="13257" customFormat="false" ht="18" hidden="false" customHeight="true" outlineLevel="0" collapsed="false">
      <c r="B13257" s="38" t="s">
        <v>148</v>
      </c>
      <c r="C13257" s="39" t="s">
        <v>149</v>
      </c>
      <c r="D13257" s="39" t="s">
        <v>150</v>
      </c>
      <c r="E13257" s="39" t="s">
        <v>151</v>
      </c>
      <c r="F13257" s="39" t="s">
        <v>109</v>
      </c>
      <c r="J13257" s="25" t="s">
        <v>152</v>
      </c>
      <c r="K13257" s="25" t="s">
        <v>153</v>
      </c>
      <c r="L13257" s="25" t="s">
        <v>154</v>
      </c>
      <c r="M13257" s="25" t="s">
        <v>155</v>
      </c>
      <c r="N13257" s="25" t="s">
        <v>156</v>
      </c>
      <c r="O13257" s="25" t="s">
        <v>157</v>
      </c>
    </row>
    <row r="13258" customFormat="false" ht="16.5" hidden="false" customHeight="true" outlineLevel="0" collapsed="false">
      <c r="B13258" s="40" t="str">
        <f aca="false">IFERROR(INDEX($J$13258:$J$13261,MATCH($O13258,$N$13258:$N$13261,0)),"")</f>
        <v/>
      </c>
      <c r="C13258" s="41" t="str">
        <f aca="false">IFERROR(INDEX($K$13258:$K$13261,MATCH($O13258,$N$13258:$N$13261,0)),"")</f>
        <v/>
      </c>
      <c r="D13258" s="42" t="str">
        <f aca="false">IF(OR(E13258="",N(C13258)=0),"",E13258/C13258-1)</f>
        <v/>
      </c>
      <c r="E13258" s="41" t="str">
        <f aca="false">IFERROR(INDEX($L$13258:$L$13261,MATCH($O13258,$N$13258:$N$13261,0)),"")</f>
        <v/>
      </c>
      <c r="F13258" s="41" t="str">
        <f aca="false">IF(E13258="","",E13258-C13258)</f>
        <v/>
      </c>
      <c r="J13258" s="25" t="str">
        <f aca="false">Lib_Compta</f>
        <v>Mission comptable (tenue, révision, bilan, liasse fiscale)</v>
      </c>
      <c r="K13258" s="25" t="n">
        <f aca="false">IF($K$13231=0,0,N(INDEX(Clients!$K$2:$K$501,$K$13231)))</f>
        <v>0</v>
      </c>
      <c r="L13258" s="25" t="n">
        <f aca="false">IF($K$13231=0,0,N(INDEX(Clients!$P$2:$P$501,$K$13231)))</f>
        <v>0</v>
      </c>
      <c r="M13258" s="25" t="n">
        <f aca="false">IF(OR(K13258&lt;&gt;0,L13258&lt;&gt;0),1,0)</f>
        <v>0</v>
      </c>
      <c r="N13258" s="25" t="str">
        <f aca="false">IF(M13258=1,SUM($M$13258:M13258),"")</f>
        <v/>
      </c>
      <c r="O13258" s="25" t="n">
        <v>1</v>
      </c>
    </row>
    <row r="13259" customFormat="false" ht="16.5" hidden="false" customHeight="true" outlineLevel="0" collapsed="false">
      <c r="B13259" s="40" t="str">
        <f aca="false">IFERROR(INDEX($J$13258:$J$13261,MATCH($O13259,$N$13258:$N$13261,0)),"")</f>
        <v/>
      </c>
      <c r="C13259" s="41" t="str">
        <f aca="false">IFERROR(INDEX($K$13258:$K$13261,MATCH($O13259,$N$13258:$N$13261,0)),"")</f>
        <v/>
      </c>
      <c r="D13259" s="42" t="str">
        <f aca="false">IF(OR(E13259="",N(C13259)=0),"",E13259/C13259-1)</f>
        <v/>
      </c>
      <c r="E13259" s="41" t="str">
        <f aca="false">IFERROR(INDEX($L$13258:$L$13261,MATCH($O13259,$N$13258:$N$13261,0)),"")</f>
        <v/>
      </c>
      <c r="F13259" s="41" t="str">
        <f aca="false">IF(E13259="","",E13259-C13259)</f>
        <v/>
      </c>
      <c r="J13259" s="25" t="str">
        <f aca="false">Lib_Paye</f>
        <v>Mission sociale (bulletins de paie, DSN, déclarations sociales)</v>
      </c>
      <c r="K13259" s="25" t="n">
        <f aca="false">IF($K$13231=0,0,N(INDEX(Clients!$L$2:$L$501,$K$13231)))</f>
        <v>0</v>
      </c>
      <c r="L13259" s="25" t="n">
        <f aca="false">IF($K$13231=0,0,N(INDEX(Clients!$Q$2:$Q$501,$K$13231)))</f>
        <v>0</v>
      </c>
      <c r="M13259" s="25" t="n">
        <f aca="false">IF(OR(K13259&lt;&gt;0,L13259&lt;&gt;0),1,0)</f>
        <v>0</v>
      </c>
      <c r="N13259" s="25" t="str">
        <f aca="false">IF(M13259=1,SUM($M$13258:M13259),"")</f>
        <v/>
      </c>
      <c r="O13259" s="25" t="n">
        <v>2</v>
      </c>
    </row>
    <row r="13260" customFormat="false" ht="16.5" hidden="false" customHeight="true" outlineLevel="0" collapsed="false">
      <c r="B13260" s="40" t="str">
        <f aca="false">IFERROR(INDEX($J$13258:$J$13261,MATCH($O13260,$N$13258:$N$13261,0)),"")</f>
        <v/>
      </c>
      <c r="C13260" s="41" t="str">
        <f aca="false">IFERROR(INDEX($K$13258:$K$13261,MATCH($O13260,$N$13258:$N$13261,0)),"")</f>
        <v/>
      </c>
      <c r="D13260" s="42" t="str">
        <f aca="false">IF(OR(E13260="",N(C13260)=0),"",E13260/C13260-1)</f>
        <v/>
      </c>
      <c r="E13260" s="41" t="str">
        <f aca="false">IFERROR(INDEX($L$13258:$L$13261,MATCH($O13260,$N$13258:$N$13261,0)),"")</f>
        <v/>
      </c>
      <c r="F13260" s="41" t="str">
        <f aca="false">IF(E13260="","",E13260-C13260)</f>
        <v/>
      </c>
      <c r="J13260" s="25" t="str">
        <f aca="false">Lib_Jur</f>
        <v>Mission juridique (approbation des comptes, secrétariat juridique)</v>
      </c>
      <c r="K13260" s="25" t="n">
        <f aca="false">IF($K$13231=0,0,N(INDEX(Clients!$M$2:$M$501,$K$13231)))</f>
        <v>0</v>
      </c>
      <c r="L13260" s="25" t="n">
        <f aca="false">IF($K$13231=0,0,N(INDEX(Clients!$R$2:$R$501,$K$13231)))</f>
        <v>0</v>
      </c>
      <c r="M13260" s="25" t="n">
        <f aca="false">IF(OR(K13260&lt;&gt;0,L13260&lt;&gt;0),1,0)</f>
        <v>0</v>
      </c>
      <c r="N13260" s="25" t="str">
        <f aca="false">IF(M13260=1,SUM($M$13258:M13260),"")</f>
        <v/>
      </c>
      <c r="O13260" s="25" t="n">
        <v>3</v>
      </c>
    </row>
    <row r="13261" customFormat="false" ht="16.5" hidden="false" customHeight="true" outlineLevel="0" collapsed="false">
      <c r="B13261" s="40" t="str">
        <f aca="false">IFERROR(INDEX($J$13258:$J$13261,MATCH($O13261,$N$13258:$N$13261,0)),"")</f>
        <v/>
      </c>
      <c r="C13261" s="41" t="str">
        <f aca="false">IFERROR(INDEX($K$13258:$K$13261,MATCH($O13261,$N$13258:$N$13261,0)),"")</f>
        <v/>
      </c>
      <c r="D13261" s="42" t="str">
        <f aca="false">IF(OR(E13261="",N(C13261)=0),"",E13261/C13261-1)</f>
        <v/>
      </c>
      <c r="E13261" s="41" t="str">
        <f aca="false">IFERROR(INDEX($L$13258:$L$13261,MATCH($O13261,$N$13258:$N$13261,0)),"")</f>
        <v/>
      </c>
      <c r="F13261" s="41" t="str">
        <f aca="false">IF(E13261="","",E13261-C13261)</f>
        <v/>
      </c>
      <c r="J13261" s="25" t="str">
        <f aca="false">Lib_PA</f>
        <v>Plateforme agréée – facturation électronique</v>
      </c>
      <c r="K13261" s="25" t="n">
        <f aca="false">IF($K$13231=0,0,N(INDEX(Clients!$N$2:$N$501,$K$13231)))</f>
        <v>0</v>
      </c>
      <c r="L13261" s="25" t="n">
        <f aca="false">IF($K$13231=0,0,N(INDEX(Clients!$S$2:$S$501,$K$13231)))</f>
        <v>0</v>
      </c>
      <c r="M13261" s="25" t="n">
        <f aca="false">IF(OR(K13261&lt;&gt;0,L13261&lt;&gt;0),1,0)</f>
        <v>0</v>
      </c>
      <c r="N13261" s="25" t="str">
        <f aca="false">IF(M13261=1,SUM($M$13258:M13261),"")</f>
        <v/>
      </c>
      <c r="O13261" s="25" t="n">
        <v>4</v>
      </c>
    </row>
    <row r="13262" customFormat="false" ht="18" hidden="false" customHeight="true" outlineLevel="0" collapsed="false">
      <c r="B13262" s="43" t="s">
        <v>158</v>
      </c>
      <c r="C13262" s="44" t="n">
        <f aca="false">SUM(K13258:K13261)</f>
        <v>0</v>
      </c>
      <c r="D13262" s="45" t="str">
        <f aca="false">IF(N(C13262)=0,"",E13262/C13262-1)</f>
        <v/>
      </c>
      <c r="E13262" s="44" t="n">
        <f aca="false">SUM(L13258:L13261)</f>
        <v>0</v>
      </c>
      <c r="F13262" s="44" t="n">
        <f aca="false">E13262-C13262</f>
        <v>0</v>
      </c>
    </row>
    <row r="13263" customFormat="false" ht="15" hidden="false" customHeight="false" outlineLevel="0" collapsed="false">
      <c r="B13263" s="46" t="str">
        <f aca="false">IF(N(Nb_Mensualites)=0,"","Soit "&amp;FIXED(E13262/Nb_Mensualites,2)&amp;" € HT par échéance ("&amp;Nb_Mensualites&amp;" échéances), "&amp;FIXED(E13262/Nb_Mensualites*(1+Taux_TVA),2)&amp;" € TTC.")</f>
        <v>Soit 0.00 € HT par échéance (12 échéances), 0.00 € TTC.</v>
      </c>
      <c r="C13263" s="46"/>
      <c r="D13263" s="46"/>
      <c r="E13263" s="46"/>
      <c r="F13263" s="46"/>
    </row>
    <row r="13264" customFormat="false" ht="7.5" hidden="false" customHeight="true" outlineLevel="0" collapsed="false">
      <c r="B13264" s="10"/>
      <c r="C13264" s="10"/>
      <c r="D13264" s="10"/>
      <c r="E13264" s="10"/>
      <c r="F13264" s="10"/>
    </row>
    <row r="13265" customFormat="false" ht="36.75" hidden="false" customHeight="true" outlineLevel="0" collapsed="false">
      <c r="B13265" s="37" t="str">
        <f aca="false">SUBSTITUTE(SUBSTITUTE(SUBSTITUTE(SUBSTITUTE(SUBSTITUTE(Txt_P5,"{cabinet}",Cab_Nom),"{societe}",IF($K$13231=0,"",INDEX(Clients!$E$2:$E$501,$K$13231)&amp;"")),"{date_effet}",$K$13233),"{hausse}",$K$13234),"{civilite}",$K$13232)</f>
        <v>Les autres conditions de votre lettre de mission demeurent inchangées. Les nouveaux montants seront appliqués automatiquement sur vos prochaines factures et échéances de prélèvement.</v>
      </c>
      <c r="C13265" s="37"/>
      <c r="D13265" s="37"/>
      <c r="E13265" s="37"/>
      <c r="F13265" s="37"/>
    </row>
    <row r="13266" customFormat="false" ht="36.75" hidden="false" customHeight="true" outlineLevel="0" collapsed="false">
      <c r="B13266" s="37" t="str">
        <f aca="false">SUBSTITUTE(SUBSTITUTE(SUBSTITUTE(SUBSTITUTE(SUBSTITUTE(Txt_P6,"{cabinet}",Cab_Nom),"{societe}",IF($K$13231=0,"",INDEX(Clients!$E$2:$E$501,$K$13231)&amp;"")),"{date_effet}",$K$13233),"{hausse}",$K$13234),"{civilite}",$K$13232)</f>
        <v>Votre interlocuteur habituel reste à votre entière disposition pour répondre à vos questions et faire le point sur l'évolution de vos besoins.</v>
      </c>
      <c r="C13266" s="37"/>
      <c r="D13266" s="37"/>
      <c r="E13266" s="37"/>
      <c r="F13266" s="37"/>
    </row>
    <row r="13267" customFormat="false" ht="24" hidden="false" customHeight="true" outlineLevel="0" collapsed="false">
      <c r="B13267" s="37" t="str">
        <f aca="false">SUBSTITUTE(SUBSTITUTE(SUBSTITUTE(SUBSTITUTE(SUBSTITUTE(Txt_Politesse,"{cabinet}",Cab_Nom),"{societe}",IF($K$13231=0,"",INDEX(Clients!$E$2:$E$501,$K$13231)&amp;"")),"{date_effet}",$K$13233),"{hausse}",$K$13234),"{civilite}",$K$13232)</f>
        <v>Nous vous prions d'agréer, Madame, Monsieur, l'expression de nos salutations distinguées.</v>
      </c>
      <c r="C13267" s="37"/>
      <c r="D13267" s="37"/>
      <c r="E13267" s="37"/>
      <c r="F13267" s="37"/>
    </row>
    <row r="13268" customFormat="false" ht="15" hidden="false" customHeight="false" outlineLevel="0" collapsed="false">
      <c r="B13268" s="10"/>
      <c r="C13268" s="10"/>
      <c r="D13268" s="10"/>
      <c r="E13268" s="10"/>
      <c r="F13268" s="10"/>
    </row>
    <row r="13269" customFormat="false" ht="15" hidden="false" customHeight="false" outlineLevel="0" collapsed="false">
      <c r="B13269" s="10"/>
      <c r="C13269" s="10"/>
      <c r="D13269" s="34" t="str">
        <f aca="false">Signataire</f>
        <v>Prénom NOM</v>
      </c>
      <c r="E13269" s="34"/>
      <c r="F13269" s="34"/>
    </row>
    <row r="13270" customFormat="false" ht="15" hidden="false" customHeight="false" outlineLevel="0" collapsed="false">
      <c r="B13270" s="10"/>
      <c r="C13270" s="10"/>
      <c r="D13270" s="47" t="str">
        <f aca="false">Signataire_Titre</f>
        <v>Expert-comptable associé</v>
      </c>
      <c r="E13270" s="47"/>
      <c r="F13270" s="47"/>
    </row>
    <row r="13271" customFormat="false" ht="15.75" hidden="false" customHeight="true" outlineLevel="0" collapsed="false">
      <c r="B13271" s="10"/>
      <c r="C13271" s="10"/>
      <c r="D13271" s="10"/>
      <c r="E13271" s="10"/>
      <c r="F13271" s="10"/>
    </row>
    <row r="13272" customFormat="false" ht="15.75" hidden="false" customHeight="true" outlineLevel="0" collapsed="false">
      <c r="B13272" s="10"/>
      <c r="C13272" s="10"/>
      <c r="D13272" s="10"/>
      <c r="E13272" s="10"/>
      <c r="F13272" s="10"/>
    </row>
    <row r="13273" customFormat="false" ht="15.75" hidden="false" customHeight="true" outlineLevel="0" collapsed="false">
      <c r="B13273" s="10"/>
      <c r="C13273" s="10"/>
      <c r="D13273" s="10"/>
      <c r="E13273" s="10"/>
      <c r="F13273" s="10"/>
    </row>
    <row r="13274" customFormat="false" ht="15.75" hidden="false" customHeight="true" outlineLevel="0" collapsed="false">
      <c r="B13274" s="10"/>
      <c r="C13274" s="10"/>
      <c r="D13274" s="10"/>
      <c r="E13274" s="10"/>
      <c r="F13274" s="10"/>
    </row>
    <row r="13275" customFormat="false" ht="24" hidden="false" customHeight="true" outlineLevel="0" collapsed="false">
      <c r="B13275" s="48" t="str">
        <f aca="false">Cab_Mentions</f>
        <v>ALTHO EXPERTISE · SAS au capital de 10 000 € · RCS Pontoise 919 706 325 · TVA FR62919706325 · Société d'expertise comptable inscrite au Tableau de l'Ordre des experts-comptables de Paris Île-de-France</v>
      </c>
      <c r="C13275" s="48"/>
      <c r="D13275" s="48"/>
      <c r="E13275" s="48"/>
      <c r="F13275" s="48"/>
    </row>
    <row r="13276" customFormat="false" ht="15" hidden="false" customHeight="false" outlineLevel="0" collapsed="false">
      <c r="B13276" s="10"/>
      <c r="C13276" s="10"/>
      <c r="D13276" s="10"/>
      <c r="E13276" s="10"/>
      <c r="F13276" s="10"/>
      <c r="J13276" s="25" t="s">
        <v>142</v>
      </c>
      <c r="K13276" s="25" t="n">
        <f aca="false">IFERROR(MATCH(296,Clients!$Z$2:$Z$501,0),0)</f>
        <v>0</v>
      </c>
      <c r="L13276" s="25"/>
      <c r="M13276" s="25"/>
      <c r="N13276" s="25"/>
      <c r="O13276" s="25"/>
    </row>
    <row r="13277" customFormat="false" ht="21.75" hidden="false" customHeight="true" outlineLevel="0" collapsed="false">
      <c r="B13277" s="26" t="str">
        <f aca="false">Cab_Nom</f>
        <v>ALTHO EXPERTISE</v>
      </c>
      <c r="C13277" s="26"/>
      <c r="D13277" s="10"/>
      <c r="E13277" s="27" t="str">
        <f aca="false">IF($K$13276=0,"","Réf. client : "&amp;INDEX(Clients!$A$2:$A$501,$K$13276))</f>
        <v/>
      </c>
      <c r="F13277" s="27"/>
      <c r="J13277" s="25" t="s">
        <v>144</v>
      </c>
      <c r="K13277" s="25" t="str">
        <f aca="false">IF(IF($K$13276=0,"",INDEX(Clients!$B$2:$B$501,$K$13276)&amp;"")="Mme","Madame",IF(IF($K$13276=0,"",INDEX(Clients!$B$2:$B$501,$K$13276)&amp;"")="M.","Monsieur","Madame, Monsieur"))</f>
        <v>Madame, Monsieur</v>
      </c>
      <c r="L13277" s="25"/>
      <c r="M13277" s="25"/>
      <c r="N13277" s="25"/>
      <c r="O13277" s="25"/>
    </row>
    <row r="13278" customFormat="false" ht="15" hidden="false" customHeight="false" outlineLevel="0" collapsed="false">
      <c r="B13278" s="29" t="str">
        <f aca="false">Cab_Adr1</f>
        <v>141 rue Charles de Gaulle</v>
      </c>
      <c r="C13278" s="29"/>
      <c r="D13278" s="10"/>
      <c r="E13278" s="10"/>
      <c r="F13278" s="10"/>
      <c r="J13278" s="25" t="s">
        <v>145</v>
      </c>
      <c r="K13278" s="25" t="str">
        <f aca="false">DAY(Date_Effet)&amp;IF(DAY(Date_Effet)=1,"er","")&amp;" "&amp;INDEX(Liste_Mois,MONTH(Date_Effet))&amp;" "&amp;YEAR(Date_Effet)</f>
        <v>1er janvier 2027</v>
      </c>
      <c r="L13278" s="25"/>
      <c r="M13278" s="25"/>
      <c r="N13278" s="25"/>
      <c r="O13278" s="25"/>
    </row>
    <row r="13279" customFormat="false" ht="15" hidden="false" customHeight="false" outlineLevel="0" collapsed="false">
      <c r="B13279" s="29" t="str">
        <f aca="false">Cab_CPVille</f>
        <v>95130 LE PLESSIS-BOUCHARD</v>
      </c>
      <c r="C13279" s="29"/>
      <c r="D13279" s="10"/>
      <c r="E13279" s="10"/>
      <c r="F13279" s="10"/>
      <c r="J13279" s="25" t="s">
        <v>146</v>
      </c>
      <c r="K13279" s="25" t="str">
        <f aca="false">IF(SUM($K$13303:$K$13306)=0,"",FIXED((SUM($L$13303:$L$13306)/SUM($K$13303:$K$13306)-1)*100,1)&amp;" %")</f>
        <v/>
      </c>
      <c r="L13279" s="25"/>
      <c r="M13279" s="25"/>
      <c r="N13279" s="25"/>
      <c r="O13279" s="25"/>
    </row>
    <row r="13280" customFormat="false" ht="15" hidden="false" customHeight="false" outlineLevel="0" collapsed="false">
      <c r="B13280" s="29" t="str">
        <f aca="false">Cab_Contact</f>
        <v>Tél. 01 34 14 53 45  ·  altho@altho-experts.com  ·  altho-experts.com</v>
      </c>
      <c r="C13280" s="29"/>
      <c r="D13280" s="10"/>
      <c r="E13280" s="10"/>
      <c r="F13280" s="10"/>
      <c r="J13280" s="25"/>
      <c r="K13280" s="25"/>
      <c r="L13280" s="25"/>
      <c r="M13280" s="25"/>
      <c r="N13280" s="25"/>
      <c r="O13280" s="25"/>
    </row>
    <row r="13281" customFormat="false" ht="6" hidden="false" customHeight="true" outlineLevel="0" collapsed="false">
      <c r="B13281" s="32"/>
      <c r="C13281" s="32"/>
      <c r="D13281" s="32"/>
      <c r="E13281" s="32"/>
      <c r="F13281" s="32"/>
      <c r="J13281" s="25"/>
      <c r="K13281" s="25"/>
      <c r="L13281" s="25"/>
      <c r="M13281" s="25"/>
      <c r="N13281" s="25"/>
      <c r="O13281" s="25"/>
    </row>
    <row r="13282" customFormat="false" ht="13.5" hidden="false" customHeight="true" outlineLevel="0" collapsed="false">
      <c r="B13282" s="10"/>
      <c r="C13282" s="10"/>
      <c r="D13282" s="10"/>
      <c r="E13282" s="10"/>
      <c r="F13282" s="10"/>
      <c r="J13282" s="25"/>
      <c r="K13282" s="25"/>
      <c r="L13282" s="25"/>
      <c r="M13282" s="25"/>
      <c r="N13282" s="25"/>
      <c r="O13282" s="25"/>
    </row>
    <row r="13283" customFormat="false" ht="13.5" hidden="false" customHeight="true" outlineLevel="0" collapsed="false">
      <c r="B13283" s="10"/>
      <c r="C13283" s="10"/>
      <c r="D13283" s="10"/>
      <c r="E13283" s="10"/>
      <c r="F13283" s="10"/>
      <c r="J13283" s="25"/>
      <c r="K13283" s="25"/>
      <c r="L13283" s="25"/>
      <c r="M13283" s="25"/>
      <c r="N13283" s="25"/>
      <c r="O13283" s="25"/>
    </row>
    <row r="13284" customFormat="false" ht="13.5" hidden="false" customHeight="true" outlineLevel="0" collapsed="false">
      <c r="B13284" s="10"/>
      <c r="C13284" s="10"/>
      <c r="D13284" s="10"/>
      <c r="E13284" s="10"/>
      <c r="F13284" s="10"/>
      <c r="J13284" s="25"/>
      <c r="K13284" s="25"/>
      <c r="L13284" s="25"/>
      <c r="M13284" s="25"/>
      <c r="N13284" s="25"/>
      <c r="O13284" s="25"/>
    </row>
    <row r="13285" customFormat="false" ht="15" hidden="false" customHeight="true" outlineLevel="0" collapsed="false">
      <c r="B13285" s="10"/>
      <c r="C13285" s="10"/>
      <c r="D13285" s="34" t="str">
        <f aca="false">IF($K$13276=0,"",INDEX(Clients!$E$2:$E$501,$K$13276)&amp;"")</f>
        <v/>
      </c>
      <c r="E13285" s="34"/>
      <c r="F13285" s="34"/>
      <c r="J13285" s="25"/>
      <c r="K13285" s="25"/>
      <c r="L13285" s="25"/>
      <c r="M13285" s="25"/>
      <c r="N13285" s="25"/>
      <c r="O13285" s="25"/>
    </row>
    <row r="13286" customFormat="false" ht="15" hidden="false" customHeight="true" outlineLevel="0" collapsed="false">
      <c r="B13286" s="10"/>
      <c r="C13286" s="10"/>
      <c r="D13286" s="35" t="str">
        <f aca="false">IF(IF($K$13276=0,"",INDEX(Clients!$D$2:$D$501,$K$13276)&amp;"")="","","À l'attention de "&amp;TRIM(IF($K$13276=0,"",INDEX(Clients!$B$2:$B$501,$K$13276)&amp;"")&amp;" "&amp;IF($K$13276=0,"",INDEX(Clients!$C$2:$C$501,$K$13276)&amp;"")&amp;" "&amp;IF($K$13276=0,"",INDEX(Clients!$D$2:$D$501,$K$13276)&amp;"")))</f>
        <v/>
      </c>
      <c r="E13286" s="35"/>
      <c r="F13286" s="35"/>
      <c r="J13286" s="25"/>
      <c r="K13286" s="25"/>
      <c r="L13286" s="25"/>
      <c r="M13286" s="25"/>
      <c r="N13286" s="25"/>
      <c r="O13286" s="25"/>
    </row>
    <row r="13287" customFormat="false" ht="15" hidden="false" customHeight="true" outlineLevel="0" collapsed="false">
      <c r="B13287" s="10"/>
      <c r="C13287" s="10"/>
      <c r="D13287" s="35" t="str">
        <f aca="false">IF($K$13276=0,"",INDEX(Clients!$F$2:$F$501,$K$13276)&amp;"")</f>
        <v/>
      </c>
      <c r="E13287" s="35"/>
      <c r="F13287" s="35"/>
      <c r="J13287" s="25"/>
      <c r="K13287" s="25"/>
      <c r="L13287" s="25"/>
      <c r="M13287" s="25"/>
      <c r="N13287" s="25"/>
      <c r="O13287" s="25"/>
    </row>
    <row r="13288" customFormat="false" ht="15" hidden="false" customHeight="true" outlineLevel="0" collapsed="false">
      <c r="B13288" s="10"/>
      <c r="C13288" s="10"/>
      <c r="D13288" s="35" t="str">
        <f aca="false">IF(IF($K$13276=0,"",INDEX(Clients!$G$2:$G$501,$K$13276)&amp;"")="",TRIM(IF($K$13276=0,"",INDEX(Clients!$H$2:$H$501,$K$13276)&amp;"")&amp;" "&amp;UPPER(IF($K$13276=0,"",INDEX(Clients!$I$2:$I$501,$K$13276)&amp;""))),IF($K$13276=0,"",INDEX(Clients!$G$2:$G$501,$K$13276)&amp;""))</f>
        <v/>
      </c>
      <c r="E13288" s="35"/>
      <c r="F13288" s="35"/>
      <c r="J13288" s="25"/>
      <c r="K13288" s="25"/>
      <c r="L13288" s="25"/>
      <c r="M13288" s="25"/>
      <c r="N13288" s="25"/>
      <c r="O13288" s="25"/>
    </row>
    <row r="13289" customFormat="false" ht="15" hidden="false" customHeight="true" outlineLevel="0" collapsed="false">
      <c r="B13289" s="10"/>
      <c r="C13289" s="10"/>
      <c r="D13289" s="35" t="str">
        <f aca="false">IF(IF($K$13276=0,"",INDEX(Clients!$G$2:$G$501,$K$13276)&amp;"")="","",TRIM(IF($K$13276=0,"",INDEX(Clients!$H$2:$H$501,$K$13276)&amp;"")&amp;" "&amp;UPPER(IF($K$13276=0,"",INDEX(Clients!$I$2:$I$501,$K$13276)&amp;""))))</f>
        <v/>
      </c>
      <c r="E13289" s="35"/>
      <c r="F13289" s="35"/>
      <c r="J13289" s="25"/>
      <c r="K13289" s="25"/>
      <c r="L13289" s="25"/>
      <c r="M13289" s="25"/>
      <c r="N13289" s="25"/>
      <c r="O13289" s="25"/>
    </row>
    <row r="13290" customFormat="false" ht="25.5" hidden="false" customHeight="true" outlineLevel="0" collapsed="false">
      <c r="B13290" s="10"/>
      <c r="C13290" s="10"/>
      <c r="D13290" s="10"/>
      <c r="E13290" s="10"/>
      <c r="F13290" s="10"/>
      <c r="J13290" s="25"/>
      <c r="K13290" s="25"/>
      <c r="L13290" s="25"/>
      <c r="M13290" s="25"/>
      <c r="N13290" s="25"/>
      <c r="O13290" s="25"/>
    </row>
    <row r="13291" customFormat="false" ht="15" hidden="false" customHeight="false" outlineLevel="0" collapsed="false">
      <c r="B13291" s="10"/>
      <c r="C13291" s="10"/>
      <c r="D13291" s="36" t="str">
        <f aca="false">Cab_Ville&amp;", le "&amp;DAY(Date_Courrier)&amp;IF(DAY(Date_Courrier)=1,"er","")&amp;" "&amp;INDEX(Liste_Mois,MONTH(Date_Courrier))&amp;" "&amp;YEAR(Date_Courrier)</f>
        <v>Le Plessis-Bouchard, le 22 septembre 2026</v>
      </c>
      <c r="E13291" s="36"/>
      <c r="F13291" s="36"/>
      <c r="J13291" s="25"/>
      <c r="K13291" s="25"/>
      <c r="L13291" s="25"/>
      <c r="M13291" s="25"/>
      <c r="N13291" s="25"/>
      <c r="O13291" s="25"/>
    </row>
    <row r="13292" customFormat="false" ht="19.5" hidden="false" customHeight="true" outlineLevel="0" collapsed="false">
      <c r="B13292" s="10"/>
      <c r="C13292" s="10"/>
      <c r="D13292" s="10"/>
      <c r="E13292" s="10"/>
      <c r="F13292" s="10"/>
      <c r="J13292" s="25"/>
      <c r="K13292" s="25"/>
      <c r="L13292" s="25"/>
      <c r="M13292" s="25"/>
      <c r="N13292" s="25"/>
      <c r="O13292" s="25"/>
    </row>
    <row r="13293" customFormat="false" ht="15" hidden="false" customHeight="false" outlineLevel="0" collapsed="false">
      <c r="B13293" s="34" t="str">
        <f aca="false">SUBSTITUTE(SUBSTITUTE(SUBSTITUTE(SUBSTITUTE(SUBSTITUTE(Txt_Objet,"{cabinet}",Cab_Nom),"{societe}",IF($K$13276=0,"",INDEX(Clients!$E$2:$E$501,$K$13276)&amp;"")),"{date_effet}",$K$13278),"{hausse}",$K$13279),"{civilite}",$K$13277)</f>
        <v>Objet : révision de nos honoraires au 1er janvier 2027</v>
      </c>
      <c r="C13293" s="34"/>
      <c r="D13293" s="34"/>
      <c r="E13293" s="34"/>
      <c r="F13293" s="34"/>
      <c r="J13293" s="25"/>
      <c r="K13293" s="25"/>
      <c r="L13293" s="25"/>
      <c r="M13293" s="25"/>
      <c r="N13293" s="25"/>
      <c r="O13293" s="25"/>
    </row>
    <row r="13294" customFormat="false" ht="13.5" hidden="false" customHeight="true" outlineLevel="0" collapsed="false">
      <c r="B13294" s="10"/>
      <c r="C13294" s="10"/>
      <c r="D13294" s="10"/>
      <c r="E13294" s="10"/>
      <c r="F13294" s="10"/>
      <c r="J13294" s="25"/>
      <c r="K13294" s="25"/>
      <c r="L13294" s="25"/>
      <c r="M13294" s="25"/>
      <c r="N13294" s="25"/>
      <c r="O13294" s="25"/>
    </row>
    <row r="13295" customFormat="false" ht="15" hidden="false" customHeight="false" outlineLevel="0" collapsed="false">
      <c r="B13295" s="10" t="str">
        <f aca="false">$K$13277&amp;","</f>
        <v>Madame, Monsieur,</v>
      </c>
      <c r="C13295" s="10"/>
      <c r="D13295" s="10"/>
      <c r="E13295" s="10"/>
      <c r="F13295" s="10"/>
      <c r="J13295" s="25"/>
      <c r="K13295" s="25"/>
      <c r="L13295" s="25"/>
      <c r="M13295" s="25"/>
      <c r="N13295" s="25"/>
      <c r="O13295" s="25"/>
    </row>
    <row r="13296" customFormat="false" ht="6" hidden="false" customHeight="true" outlineLevel="0" collapsed="false">
      <c r="B13296" s="10"/>
      <c r="C13296" s="10"/>
      <c r="D13296" s="10"/>
      <c r="E13296" s="10"/>
      <c r="F13296" s="10"/>
      <c r="J13296" s="25"/>
      <c r="K13296" s="25"/>
      <c r="L13296" s="25"/>
      <c r="M13296" s="25"/>
      <c r="N13296" s="25"/>
      <c r="O13296" s="25"/>
    </row>
    <row r="13297" customFormat="false" ht="36.75" hidden="false" customHeight="true" outlineLevel="0" collapsed="false">
      <c r="B13297" s="37" t="str">
        <f aca="false">SUBSTITUTE(SUBSTITUTE(SUBSTITUTE(SUBSTITUTE(SUBSTITUTE(Txt_P1,"{cabinet}",Cab_Nom),"{societe}",IF($K$13276=0,"",INDEX(Clients!$E$2:$E$501,$K$13276)&amp;"")),"{date_effet}",$K$13278),"{hausse}",$K$13279),"{civilite}",$K$13277)</f>
        <v>Nous tenons tout d'abord à vous remercier pour la confiance que vous accordez à ALTHO EXPERTISE. Comme chaque année, et conformément aux dispositions de votre lettre de mission, nous procédons à la révision de nos honoraires.</v>
      </c>
      <c r="C13297" s="37"/>
      <c r="D13297" s="37"/>
      <c r="E13297" s="37"/>
      <c r="F13297" s="37"/>
      <c r="J13297" s="25"/>
      <c r="K13297" s="25"/>
      <c r="L13297" s="25"/>
      <c r="M13297" s="25"/>
      <c r="N13297" s="25"/>
      <c r="O13297" s="25"/>
    </row>
    <row r="13298" customFormat="false" ht="49.5" hidden="false" customHeight="true" outlineLevel="0" collapsed="false">
      <c r="B13298" s="37" t="str">
        <f aca="false">SUBSTITUTE(SUBSTITUTE(SUBSTITUTE(SUBSTITUTE(SUBSTITUTE(Txt_P2,"{cabinet}",Cab_Nom),"{societe}",IF($K$13276=0,"",INDEX(Clients!$E$2:$E$501,$K$13276)&amp;"")),"{date_effet}",$K$13278),"{hausse}",$K$13279),"{civilite}",$K$13277)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298" s="37"/>
      <c r="D13298" s="37"/>
      <c r="E13298" s="37"/>
      <c r="F13298" s="37"/>
      <c r="J13298" s="25"/>
      <c r="K13298" s="25"/>
      <c r="L13298" s="25"/>
      <c r="M13298" s="25"/>
      <c r="N13298" s="25"/>
      <c r="O13298" s="25"/>
    </row>
    <row r="13299" customFormat="false" ht="63" hidden="false" customHeight="true" outlineLevel="0" collapsed="false">
      <c r="B13299" s="37" t="str">
        <f aca="false">SUBSTITUTE(SUBSTITUTE(SUBSTITUTE(SUBSTITUTE(SUBSTITUTE(Txt_P3,"{cabinet}",Cab_Nom),"{societe}",IF($K$13276=0,"",INDEX(Clients!$E$2:$E$501,$K$13276)&amp;"")),"{date_effet}",$K$13278),"{hausse}",$K$13279),"{civilite}",$K$13277)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299" s="37"/>
      <c r="D13299" s="37"/>
      <c r="E13299" s="37"/>
      <c r="F13299" s="37"/>
      <c r="J13299" s="25"/>
      <c r="K13299" s="25"/>
      <c r="L13299" s="25"/>
      <c r="M13299" s="25"/>
      <c r="N13299" s="25"/>
      <c r="O13299" s="25"/>
    </row>
    <row r="13300" customFormat="false" ht="24" hidden="false" customHeight="true" outlineLevel="0" collapsed="false">
      <c r="B13300" s="37" t="str">
        <f aca="false">SUBSTITUTE(SUBSTITUTE(SUBSTITUTE(SUBSTITUTE(SUBSTITUTE(Txt_P4,"{cabinet}",Cab_Nom),"{societe}",IF($K$13276=0,"",INDEX(Clients!$E$2:$E$501,$K$13276)&amp;"")),"{date_effet}",$K$13278),"{hausse}",$K$13279),"{civilite}",$K$13277)</f>
        <v>À compter du 1er janvier 2027, vos honoraires annuels hors taxes évolueront ainsi (évolution globale : ) :</v>
      </c>
      <c r="C13300" s="37"/>
      <c r="D13300" s="37"/>
      <c r="E13300" s="37"/>
      <c r="F13300" s="37"/>
      <c r="J13300" s="25"/>
      <c r="K13300" s="25"/>
      <c r="L13300" s="25"/>
      <c r="M13300" s="25"/>
      <c r="N13300" s="25"/>
      <c r="O13300" s="25"/>
    </row>
    <row r="13301" customFormat="false" ht="3.75" hidden="false" customHeight="true" outlineLevel="0" collapsed="false">
      <c r="B13301" s="10"/>
      <c r="C13301" s="10"/>
      <c r="D13301" s="10"/>
      <c r="E13301" s="10"/>
      <c r="F13301" s="10"/>
      <c r="J13301" s="25"/>
      <c r="K13301" s="25"/>
      <c r="L13301" s="25"/>
      <c r="M13301" s="25"/>
      <c r="N13301" s="25"/>
      <c r="O13301" s="25"/>
    </row>
    <row r="13302" customFormat="false" ht="18" hidden="false" customHeight="true" outlineLevel="0" collapsed="false">
      <c r="B13302" s="38" t="s">
        <v>148</v>
      </c>
      <c r="C13302" s="39" t="s">
        <v>149</v>
      </c>
      <c r="D13302" s="39" t="s">
        <v>150</v>
      </c>
      <c r="E13302" s="39" t="s">
        <v>151</v>
      </c>
      <c r="F13302" s="39" t="s">
        <v>109</v>
      </c>
      <c r="J13302" s="25" t="s">
        <v>152</v>
      </c>
      <c r="K13302" s="25" t="s">
        <v>153</v>
      </c>
      <c r="L13302" s="25" t="s">
        <v>154</v>
      </c>
      <c r="M13302" s="25" t="s">
        <v>155</v>
      </c>
      <c r="N13302" s="25" t="s">
        <v>156</v>
      </c>
      <c r="O13302" s="25" t="s">
        <v>157</v>
      </c>
    </row>
    <row r="13303" customFormat="false" ht="16.5" hidden="false" customHeight="true" outlineLevel="0" collapsed="false">
      <c r="B13303" s="40" t="str">
        <f aca="false">IFERROR(INDEX($J$13303:$J$13306,MATCH($O13303,$N$13303:$N$13306,0)),"")</f>
        <v/>
      </c>
      <c r="C13303" s="41" t="str">
        <f aca="false">IFERROR(INDEX($K$13303:$K$13306,MATCH($O13303,$N$13303:$N$13306,0)),"")</f>
        <v/>
      </c>
      <c r="D13303" s="42" t="str">
        <f aca="false">IF(OR(E13303="",N(C13303)=0),"",E13303/C13303-1)</f>
        <v/>
      </c>
      <c r="E13303" s="41" t="str">
        <f aca="false">IFERROR(INDEX($L$13303:$L$13306,MATCH($O13303,$N$13303:$N$13306,0)),"")</f>
        <v/>
      </c>
      <c r="F13303" s="41" t="str">
        <f aca="false">IF(E13303="","",E13303-C13303)</f>
        <v/>
      </c>
      <c r="J13303" s="25" t="str">
        <f aca="false">Lib_Compta</f>
        <v>Mission comptable (tenue, révision, bilan, liasse fiscale)</v>
      </c>
      <c r="K13303" s="25" t="n">
        <f aca="false">IF($K$13276=0,0,N(INDEX(Clients!$K$2:$K$501,$K$13276)))</f>
        <v>0</v>
      </c>
      <c r="L13303" s="25" t="n">
        <f aca="false">IF($K$13276=0,0,N(INDEX(Clients!$P$2:$P$501,$K$13276)))</f>
        <v>0</v>
      </c>
      <c r="M13303" s="25" t="n">
        <f aca="false">IF(OR(K13303&lt;&gt;0,L13303&lt;&gt;0),1,0)</f>
        <v>0</v>
      </c>
      <c r="N13303" s="25" t="str">
        <f aca="false">IF(M13303=1,SUM($M$13303:M13303),"")</f>
        <v/>
      </c>
      <c r="O13303" s="25" t="n">
        <v>1</v>
      </c>
    </row>
    <row r="13304" customFormat="false" ht="16.5" hidden="false" customHeight="true" outlineLevel="0" collapsed="false">
      <c r="B13304" s="40" t="str">
        <f aca="false">IFERROR(INDEX($J$13303:$J$13306,MATCH($O13304,$N$13303:$N$13306,0)),"")</f>
        <v/>
      </c>
      <c r="C13304" s="41" t="str">
        <f aca="false">IFERROR(INDEX($K$13303:$K$13306,MATCH($O13304,$N$13303:$N$13306,0)),"")</f>
        <v/>
      </c>
      <c r="D13304" s="42" t="str">
        <f aca="false">IF(OR(E13304="",N(C13304)=0),"",E13304/C13304-1)</f>
        <v/>
      </c>
      <c r="E13304" s="41" t="str">
        <f aca="false">IFERROR(INDEX($L$13303:$L$13306,MATCH($O13304,$N$13303:$N$13306,0)),"")</f>
        <v/>
      </c>
      <c r="F13304" s="41" t="str">
        <f aca="false">IF(E13304="","",E13304-C13304)</f>
        <v/>
      </c>
      <c r="J13304" s="25" t="str">
        <f aca="false">Lib_Paye</f>
        <v>Mission sociale (bulletins de paie, DSN, déclarations sociales)</v>
      </c>
      <c r="K13304" s="25" t="n">
        <f aca="false">IF($K$13276=0,0,N(INDEX(Clients!$L$2:$L$501,$K$13276)))</f>
        <v>0</v>
      </c>
      <c r="L13304" s="25" t="n">
        <f aca="false">IF($K$13276=0,0,N(INDEX(Clients!$Q$2:$Q$501,$K$13276)))</f>
        <v>0</v>
      </c>
      <c r="M13304" s="25" t="n">
        <f aca="false">IF(OR(K13304&lt;&gt;0,L13304&lt;&gt;0),1,0)</f>
        <v>0</v>
      </c>
      <c r="N13304" s="25" t="str">
        <f aca="false">IF(M13304=1,SUM($M$13303:M13304),"")</f>
        <v/>
      </c>
      <c r="O13304" s="25" t="n">
        <v>2</v>
      </c>
    </row>
    <row r="13305" customFormat="false" ht="16.5" hidden="false" customHeight="true" outlineLevel="0" collapsed="false">
      <c r="B13305" s="40" t="str">
        <f aca="false">IFERROR(INDEX($J$13303:$J$13306,MATCH($O13305,$N$13303:$N$13306,0)),"")</f>
        <v/>
      </c>
      <c r="C13305" s="41" t="str">
        <f aca="false">IFERROR(INDEX($K$13303:$K$13306,MATCH($O13305,$N$13303:$N$13306,0)),"")</f>
        <v/>
      </c>
      <c r="D13305" s="42" t="str">
        <f aca="false">IF(OR(E13305="",N(C13305)=0),"",E13305/C13305-1)</f>
        <v/>
      </c>
      <c r="E13305" s="41" t="str">
        <f aca="false">IFERROR(INDEX($L$13303:$L$13306,MATCH($O13305,$N$13303:$N$13306,0)),"")</f>
        <v/>
      </c>
      <c r="F13305" s="41" t="str">
        <f aca="false">IF(E13305="","",E13305-C13305)</f>
        <v/>
      </c>
      <c r="J13305" s="25" t="str">
        <f aca="false">Lib_Jur</f>
        <v>Mission juridique (approbation des comptes, secrétariat juridique)</v>
      </c>
      <c r="K13305" s="25" t="n">
        <f aca="false">IF($K$13276=0,0,N(INDEX(Clients!$M$2:$M$501,$K$13276)))</f>
        <v>0</v>
      </c>
      <c r="L13305" s="25" t="n">
        <f aca="false">IF($K$13276=0,0,N(INDEX(Clients!$R$2:$R$501,$K$13276)))</f>
        <v>0</v>
      </c>
      <c r="M13305" s="25" t="n">
        <f aca="false">IF(OR(K13305&lt;&gt;0,L13305&lt;&gt;0),1,0)</f>
        <v>0</v>
      </c>
      <c r="N13305" s="25" t="str">
        <f aca="false">IF(M13305=1,SUM($M$13303:M13305),"")</f>
        <v/>
      </c>
      <c r="O13305" s="25" t="n">
        <v>3</v>
      </c>
    </row>
    <row r="13306" customFormat="false" ht="16.5" hidden="false" customHeight="true" outlineLevel="0" collapsed="false">
      <c r="B13306" s="40" t="str">
        <f aca="false">IFERROR(INDEX($J$13303:$J$13306,MATCH($O13306,$N$13303:$N$13306,0)),"")</f>
        <v/>
      </c>
      <c r="C13306" s="41" t="str">
        <f aca="false">IFERROR(INDEX($K$13303:$K$13306,MATCH($O13306,$N$13303:$N$13306,0)),"")</f>
        <v/>
      </c>
      <c r="D13306" s="42" t="str">
        <f aca="false">IF(OR(E13306="",N(C13306)=0),"",E13306/C13306-1)</f>
        <v/>
      </c>
      <c r="E13306" s="41" t="str">
        <f aca="false">IFERROR(INDEX($L$13303:$L$13306,MATCH($O13306,$N$13303:$N$13306,0)),"")</f>
        <v/>
      </c>
      <c r="F13306" s="41" t="str">
        <f aca="false">IF(E13306="","",E13306-C13306)</f>
        <v/>
      </c>
      <c r="J13306" s="25" t="str">
        <f aca="false">Lib_PA</f>
        <v>Plateforme agréée – facturation électronique</v>
      </c>
      <c r="K13306" s="25" t="n">
        <f aca="false">IF($K$13276=0,0,N(INDEX(Clients!$N$2:$N$501,$K$13276)))</f>
        <v>0</v>
      </c>
      <c r="L13306" s="25" t="n">
        <f aca="false">IF($K$13276=0,0,N(INDEX(Clients!$S$2:$S$501,$K$13276)))</f>
        <v>0</v>
      </c>
      <c r="M13306" s="25" t="n">
        <f aca="false">IF(OR(K13306&lt;&gt;0,L13306&lt;&gt;0),1,0)</f>
        <v>0</v>
      </c>
      <c r="N13306" s="25" t="str">
        <f aca="false">IF(M13306=1,SUM($M$13303:M13306),"")</f>
        <v/>
      </c>
      <c r="O13306" s="25" t="n">
        <v>4</v>
      </c>
    </row>
    <row r="13307" customFormat="false" ht="18" hidden="false" customHeight="true" outlineLevel="0" collapsed="false">
      <c r="B13307" s="43" t="s">
        <v>158</v>
      </c>
      <c r="C13307" s="44" t="n">
        <f aca="false">SUM(K13303:K13306)</f>
        <v>0</v>
      </c>
      <c r="D13307" s="45" t="str">
        <f aca="false">IF(N(C13307)=0,"",E13307/C13307-1)</f>
        <v/>
      </c>
      <c r="E13307" s="44" t="n">
        <f aca="false">SUM(L13303:L13306)</f>
        <v>0</v>
      </c>
      <c r="F13307" s="44" t="n">
        <f aca="false">E13307-C13307</f>
        <v>0</v>
      </c>
    </row>
    <row r="13308" customFormat="false" ht="15" hidden="false" customHeight="false" outlineLevel="0" collapsed="false">
      <c r="B13308" s="46" t="str">
        <f aca="false">IF(N(Nb_Mensualites)=0,"","Soit "&amp;FIXED(E13307/Nb_Mensualites,2)&amp;" € HT par échéance ("&amp;Nb_Mensualites&amp;" échéances), "&amp;FIXED(E13307/Nb_Mensualites*(1+Taux_TVA),2)&amp;" € TTC.")</f>
        <v>Soit 0.00 € HT par échéance (12 échéances), 0.00 € TTC.</v>
      </c>
      <c r="C13308" s="46"/>
      <c r="D13308" s="46"/>
      <c r="E13308" s="46"/>
      <c r="F13308" s="46"/>
    </row>
    <row r="13309" customFormat="false" ht="7.5" hidden="false" customHeight="true" outlineLevel="0" collapsed="false">
      <c r="B13309" s="10"/>
      <c r="C13309" s="10"/>
      <c r="D13309" s="10"/>
      <c r="E13309" s="10"/>
      <c r="F13309" s="10"/>
    </row>
    <row r="13310" customFormat="false" ht="36.75" hidden="false" customHeight="true" outlineLevel="0" collapsed="false">
      <c r="B13310" s="37" t="str">
        <f aca="false">SUBSTITUTE(SUBSTITUTE(SUBSTITUTE(SUBSTITUTE(SUBSTITUTE(Txt_P5,"{cabinet}",Cab_Nom),"{societe}",IF($K$13276=0,"",INDEX(Clients!$E$2:$E$501,$K$13276)&amp;"")),"{date_effet}",$K$13278),"{hausse}",$K$13279),"{civilite}",$K$13277)</f>
        <v>Les autres conditions de votre lettre de mission demeurent inchangées. Les nouveaux montants seront appliqués automatiquement sur vos prochaines factures et échéances de prélèvement.</v>
      </c>
      <c r="C13310" s="37"/>
      <c r="D13310" s="37"/>
      <c r="E13310" s="37"/>
      <c r="F13310" s="37"/>
    </row>
    <row r="13311" customFormat="false" ht="36.75" hidden="false" customHeight="true" outlineLevel="0" collapsed="false">
      <c r="B13311" s="37" t="str">
        <f aca="false">SUBSTITUTE(SUBSTITUTE(SUBSTITUTE(SUBSTITUTE(SUBSTITUTE(Txt_P6,"{cabinet}",Cab_Nom),"{societe}",IF($K$13276=0,"",INDEX(Clients!$E$2:$E$501,$K$13276)&amp;"")),"{date_effet}",$K$13278),"{hausse}",$K$13279),"{civilite}",$K$13277)</f>
        <v>Votre interlocuteur habituel reste à votre entière disposition pour répondre à vos questions et faire le point sur l'évolution de vos besoins.</v>
      </c>
      <c r="C13311" s="37"/>
      <c r="D13311" s="37"/>
      <c r="E13311" s="37"/>
      <c r="F13311" s="37"/>
    </row>
    <row r="13312" customFormat="false" ht="24" hidden="false" customHeight="true" outlineLevel="0" collapsed="false">
      <c r="B13312" s="37" t="str">
        <f aca="false">SUBSTITUTE(SUBSTITUTE(SUBSTITUTE(SUBSTITUTE(SUBSTITUTE(Txt_Politesse,"{cabinet}",Cab_Nom),"{societe}",IF($K$13276=0,"",INDEX(Clients!$E$2:$E$501,$K$13276)&amp;"")),"{date_effet}",$K$13278),"{hausse}",$K$13279),"{civilite}",$K$13277)</f>
        <v>Nous vous prions d'agréer, Madame, Monsieur, l'expression de nos salutations distinguées.</v>
      </c>
      <c r="C13312" s="37"/>
      <c r="D13312" s="37"/>
      <c r="E13312" s="37"/>
      <c r="F13312" s="37"/>
    </row>
    <row r="13313" customFormat="false" ht="15" hidden="false" customHeight="false" outlineLevel="0" collapsed="false">
      <c r="B13313" s="10"/>
      <c r="C13313" s="10"/>
      <c r="D13313" s="10"/>
      <c r="E13313" s="10"/>
      <c r="F13313" s="10"/>
    </row>
    <row r="13314" customFormat="false" ht="15" hidden="false" customHeight="false" outlineLevel="0" collapsed="false">
      <c r="B13314" s="10"/>
      <c r="C13314" s="10"/>
      <c r="D13314" s="34" t="str">
        <f aca="false">Signataire</f>
        <v>Prénom NOM</v>
      </c>
      <c r="E13314" s="34"/>
      <c r="F13314" s="34"/>
    </row>
    <row r="13315" customFormat="false" ht="15" hidden="false" customHeight="false" outlineLevel="0" collapsed="false">
      <c r="B13315" s="10"/>
      <c r="C13315" s="10"/>
      <c r="D13315" s="47" t="str">
        <f aca="false">Signataire_Titre</f>
        <v>Expert-comptable associé</v>
      </c>
      <c r="E13315" s="47"/>
      <c r="F13315" s="47"/>
    </row>
    <row r="13316" customFormat="false" ht="15.75" hidden="false" customHeight="true" outlineLevel="0" collapsed="false">
      <c r="B13316" s="10"/>
      <c r="C13316" s="10"/>
      <c r="D13316" s="10"/>
      <c r="E13316" s="10"/>
      <c r="F13316" s="10"/>
    </row>
    <row r="13317" customFormat="false" ht="15.75" hidden="false" customHeight="true" outlineLevel="0" collapsed="false">
      <c r="B13317" s="10"/>
      <c r="C13317" s="10"/>
      <c r="D13317" s="10"/>
      <c r="E13317" s="10"/>
      <c r="F13317" s="10"/>
    </row>
    <row r="13318" customFormat="false" ht="15.75" hidden="false" customHeight="true" outlineLevel="0" collapsed="false">
      <c r="B13318" s="10"/>
      <c r="C13318" s="10"/>
      <c r="D13318" s="10"/>
      <c r="E13318" s="10"/>
      <c r="F13318" s="10"/>
    </row>
    <row r="13319" customFormat="false" ht="15.75" hidden="false" customHeight="true" outlineLevel="0" collapsed="false">
      <c r="B13319" s="10"/>
      <c r="C13319" s="10"/>
      <c r="D13319" s="10"/>
      <c r="E13319" s="10"/>
      <c r="F13319" s="10"/>
    </row>
    <row r="13320" customFormat="false" ht="24" hidden="false" customHeight="true" outlineLevel="0" collapsed="false">
      <c r="B13320" s="48" t="str">
        <f aca="false">Cab_Mentions</f>
        <v>ALTHO EXPERTISE · SAS au capital de 10 000 € · RCS Pontoise 919 706 325 · TVA FR62919706325 · Société d'expertise comptable inscrite au Tableau de l'Ordre des experts-comptables de Paris Île-de-France</v>
      </c>
      <c r="C13320" s="48"/>
      <c r="D13320" s="48"/>
      <c r="E13320" s="48"/>
      <c r="F13320" s="48"/>
    </row>
    <row r="13321" customFormat="false" ht="15" hidden="false" customHeight="false" outlineLevel="0" collapsed="false">
      <c r="B13321" s="10"/>
      <c r="C13321" s="10"/>
      <c r="D13321" s="10"/>
      <c r="E13321" s="10"/>
      <c r="F13321" s="10"/>
      <c r="J13321" s="25" t="s">
        <v>142</v>
      </c>
      <c r="K13321" s="25" t="n">
        <f aca="false">IFERROR(MATCH(297,Clients!$Z$2:$Z$501,0),0)</f>
        <v>0</v>
      </c>
      <c r="L13321" s="25"/>
      <c r="M13321" s="25"/>
      <c r="N13321" s="25"/>
      <c r="O13321" s="25"/>
    </row>
    <row r="13322" customFormat="false" ht="21.75" hidden="false" customHeight="true" outlineLevel="0" collapsed="false">
      <c r="B13322" s="26" t="str">
        <f aca="false">Cab_Nom</f>
        <v>ALTHO EXPERTISE</v>
      </c>
      <c r="C13322" s="26"/>
      <c r="D13322" s="10"/>
      <c r="E13322" s="27" t="str">
        <f aca="false">IF($K$13321=0,"","Réf. client : "&amp;INDEX(Clients!$A$2:$A$501,$K$13321))</f>
        <v/>
      </c>
      <c r="F13322" s="27"/>
      <c r="J13322" s="25" t="s">
        <v>144</v>
      </c>
      <c r="K13322" s="25" t="str">
        <f aca="false">IF(IF($K$13321=0,"",INDEX(Clients!$B$2:$B$501,$K$13321)&amp;"")="Mme","Madame",IF(IF($K$13321=0,"",INDEX(Clients!$B$2:$B$501,$K$13321)&amp;"")="M.","Monsieur","Madame, Monsieur"))</f>
        <v>Madame, Monsieur</v>
      </c>
      <c r="L13322" s="25"/>
      <c r="M13322" s="25"/>
      <c r="N13322" s="25"/>
      <c r="O13322" s="25"/>
    </row>
    <row r="13323" customFormat="false" ht="15" hidden="false" customHeight="false" outlineLevel="0" collapsed="false">
      <c r="B13323" s="29" t="str">
        <f aca="false">Cab_Adr1</f>
        <v>141 rue Charles de Gaulle</v>
      </c>
      <c r="C13323" s="29"/>
      <c r="D13323" s="10"/>
      <c r="E13323" s="10"/>
      <c r="F13323" s="10"/>
      <c r="J13323" s="25" t="s">
        <v>145</v>
      </c>
      <c r="K13323" s="25" t="str">
        <f aca="false">DAY(Date_Effet)&amp;IF(DAY(Date_Effet)=1,"er","")&amp;" "&amp;INDEX(Liste_Mois,MONTH(Date_Effet))&amp;" "&amp;YEAR(Date_Effet)</f>
        <v>1er janvier 2027</v>
      </c>
      <c r="L13323" s="25"/>
      <c r="M13323" s="25"/>
      <c r="N13323" s="25"/>
      <c r="O13323" s="25"/>
    </row>
    <row r="13324" customFormat="false" ht="15" hidden="false" customHeight="false" outlineLevel="0" collapsed="false">
      <c r="B13324" s="29" t="str">
        <f aca="false">Cab_CPVille</f>
        <v>95130 LE PLESSIS-BOUCHARD</v>
      </c>
      <c r="C13324" s="29"/>
      <c r="D13324" s="10"/>
      <c r="E13324" s="10"/>
      <c r="F13324" s="10"/>
      <c r="J13324" s="25" t="s">
        <v>146</v>
      </c>
      <c r="K13324" s="25" t="str">
        <f aca="false">IF(SUM($K$13348:$K$13351)=0,"",FIXED((SUM($L$13348:$L$13351)/SUM($K$13348:$K$13351)-1)*100,1)&amp;" %")</f>
        <v/>
      </c>
      <c r="L13324" s="25"/>
      <c r="M13324" s="25"/>
      <c r="N13324" s="25"/>
      <c r="O13324" s="25"/>
    </row>
    <row r="13325" customFormat="false" ht="15" hidden="false" customHeight="false" outlineLevel="0" collapsed="false">
      <c r="B13325" s="29" t="str">
        <f aca="false">Cab_Contact</f>
        <v>Tél. 01 34 14 53 45  ·  altho@altho-experts.com  ·  altho-experts.com</v>
      </c>
      <c r="C13325" s="29"/>
      <c r="D13325" s="10"/>
      <c r="E13325" s="10"/>
      <c r="F13325" s="10"/>
      <c r="J13325" s="25"/>
      <c r="K13325" s="25"/>
      <c r="L13325" s="25"/>
      <c r="M13325" s="25"/>
      <c r="N13325" s="25"/>
      <c r="O13325" s="25"/>
    </row>
    <row r="13326" customFormat="false" ht="6" hidden="false" customHeight="true" outlineLevel="0" collapsed="false">
      <c r="B13326" s="32"/>
      <c r="C13326" s="32"/>
      <c r="D13326" s="32"/>
      <c r="E13326" s="32"/>
      <c r="F13326" s="32"/>
      <c r="J13326" s="25"/>
      <c r="K13326" s="25"/>
      <c r="L13326" s="25"/>
      <c r="M13326" s="25"/>
      <c r="N13326" s="25"/>
      <c r="O13326" s="25"/>
    </row>
    <row r="13327" customFormat="false" ht="13.5" hidden="false" customHeight="true" outlineLevel="0" collapsed="false">
      <c r="B13327" s="10"/>
      <c r="C13327" s="10"/>
      <c r="D13327" s="10"/>
      <c r="E13327" s="10"/>
      <c r="F13327" s="10"/>
      <c r="J13327" s="25"/>
      <c r="K13327" s="25"/>
      <c r="L13327" s="25"/>
      <c r="M13327" s="25"/>
      <c r="N13327" s="25"/>
      <c r="O13327" s="25"/>
    </row>
    <row r="13328" customFormat="false" ht="13.5" hidden="false" customHeight="true" outlineLevel="0" collapsed="false">
      <c r="B13328" s="10"/>
      <c r="C13328" s="10"/>
      <c r="D13328" s="10"/>
      <c r="E13328" s="10"/>
      <c r="F13328" s="10"/>
      <c r="J13328" s="25"/>
      <c r="K13328" s="25"/>
      <c r="L13328" s="25"/>
      <c r="M13328" s="25"/>
      <c r="N13328" s="25"/>
      <c r="O13328" s="25"/>
    </row>
    <row r="13329" customFormat="false" ht="13.5" hidden="false" customHeight="true" outlineLevel="0" collapsed="false">
      <c r="B13329" s="10"/>
      <c r="C13329" s="10"/>
      <c r="D13329" s="10"/>
      <c r="E13329" s="10"/>
      <c r="F13329" s="10"/>
      <c r="J13329" s="25"/>
      <c r="K13329" s="25"/>
      <c r="L13329" s="25"/>
      <c r="M13329" s="25"/>
      <c r="N13329" s="25"/>
      <c r="O13329" s="25"/>
    </row>
    <row r="13330" customFormat="false" ht="15" hidden="false" customHeight="true" outlineLevel="0" collapsed="false">
      <c r="B13330" s="10"/>
      <c r="C13330" s="10"/>
      <c r="D13330" s="34" t="str">
        <f aca="false">IF($K$13321=0,"",INDEX(Clients!$E$2:$E$501,$K$13321)&amp;"")</f>
        <v/>
      </c>
      <c r="E13330" s="34"/>
      <c r="F13330" s="34"/>
      <c r="J13330" s="25"/>
      <c r="K13330" s="25"/>
      <c r="L13330" s="25"/>
      <c r="M13330" s="25"/>
      <c r="N13330" s="25"/>
      <c r="O13330" s="25"/>
    </row>
    <row r="13331" customFormat="false" ht="15" hidden="false" customHeight="true" outlineLevel="0" collapsed="false">
      <c r="B13331" s="10"/>
      <c r="C13331" s="10"/>
      <c r="D13331" s="35" t="str">
        <f aca="false">IF(IF($K$13321=0,"",INDEX(Clients!$D$2:$D$501,$K$13321)&amp;"")="","","À l'attention de "&amp;TRIM(IF($K$13321=0,"",INDEX(Clients!$B$2:$B$501,$K$13321)&amp;"")&amp;" "&amp;IF($K$13321=0,"",INDEX(Clients!$C$2:$C$501,$K$13321)&amp;"")&amp;" "&amp;IF($K$13321=0,"",INDEX(Clients!$D$2:$D$501,$K$13321)&amp;"")))</f>
        <v/>
      </c>
      <c r="E13331" s="35"/>
      <c r="F13331" s="35"/>
      <c r="J13331" s="25"/>
      <c r="K13331" s="25"/>
      <c r="L13331" s="25"/>
      <c r="M13331" s="25"/>
      <c r="N13331" s="25"/>
      <c r="O13331" s="25"/>
    </row>
    <row r="13332" customFormat="false" ht="15" hidden="false" customHeight="true" outlineLevel="0" collapsed="false">
      <c r="B13332" s="10"/>
      <c r="C13332" s="10"/>
      <c r="D13332" s="35" t="str">
        <f aca="false">IF($K$13321=0,"",INDEX(Clients!$F$2:$F$501,$K$13321)&amp;"")</f>
        <v/>
      </c>
      <c r="E13332" s="35"/>
      <c r="F13332" s="35"/>
      <c r="J13332" s="25"/>
      <c r="K13332" s="25"/>
      <c r="L13332" s="25"/>
      <c r="M13332" s="25"/>
      <c r="N13332" s="25"/>
      <c r="O13332" s="25"/>
    </row>
    <row r="13333" customFormat="false" ht="15" hidden="false" customHeight="true" outlineLevel="0" collapsed="false">
      <c r="B13333" s="10"/>
      <c r="C13333" s="10"/>
      <c r="D13333" s="35" t="str">
        <f aca="false">IF(IF($K$13321=0,"",INDEX(Clients!$G$2:$G$501,$K$13321)&amp;"")="",TRIM(IF($K$13321=0,"",INDEX(Clients!$H$2:$H$501,$K$13321)&amp;"")&amp;" "&amp;UPPER(IF($K$13321=0,"",INDEX(Clients!$I$2:$I$501,$K$13321)&amp;""))),IF($K$13321=0,"",INDEX(Clients!$G$2:$G$501,$K$13321)&amp;""))</f>
        <v/>
      </c>
      <c r="E13333" s="35"/>
      <c r="F13333" s="35"/>
      <c r="J13333" s="25"/>
      <c r="K13333" s="25"/>
      <c r="L13333" s="25"/>
      <c r="M13333" s="25"/>
      <c r="N13333" s="25"/>
      <c r="O13333" s="25"/>
    </row>
    <row r="13334" customFormat="false" ht="15" hidden="false" customHeight="true" outlineLevel="0" collapsed="false">
      <c r="B13334" s="10"/>
      <c r="C13334" s="10"/>
      <c r="D13334" s="35" t="str">
        <f aca="false">IF(IF($K$13321=0,"",INDEX(Clients!$G$2:$G$501,$K$13321)&amp;"")="","",TRIM(IF($K$13321=0,"",INDEX(Clients!$H$2:$H$501,$K$13321)&amp;"")&amp;" "&amp;UPPER(IF($K$13321=0,"",INDEX(Clients!$I$2:$I$501,$K$13321)&amp;""))))</f>
        <v/>
      </c>
      <c r="E13334" s="35"/>
      <c r="F13334" s="35"/>
      <c r="J13334" s="25"/>
      <c r="K13334" s="25"/>
      <c r="L13334" s="25"/>
      <c r="M13334" s="25"/>
      <c r="N13334" s="25"/>
      <c r="O13334" s="25"/>
    </row>
    <row r="13335" customFormat="false" ht="25.5" hidden="false" customHeight="true" outlineLevel="0" collapsed="false">
      <c r="B13335" s="10"/>
      <c r="C13335" s="10"/>
      <c r="D13335" s="10"/>
      <c r="E13335" s="10"/>
      <c r="F13335" s="10"/>
      <c r="J13335" s="25"/>
      <c r="K13335" s="25"/>
      <c r="L13335" s="25"/>
      <c r="M13335" s="25"/>
      <c r="N13335" s="25"/>
      <c r="O13335" s="25"/>
    </row>
    <row r="13336" customFormat="false" ht="15" hidden="false" customHeight="false" outlineLevel="0" collapsed="false">
      <c r="B13336" s="10"/>
      <c r="C13336" s="10"/>
      <c r="D13336" s="36" t="str">
        <f aca="false">Cab_Ville&amp;", le "&amp;DAY(Date_Courrier)&amp;IF(DAY(Date_Courrier)=1,"er","")&amp;" "&amp;INDEX(Liste_Mois,MONTH(Date_Courrier))&amp;" "&amp;YEAR(Date_Courrier)</f>
        <v>Le Plessis-Bouchard, le 22 septembre 2026</v>
      </c>
      <c r="E13336" s="36"/>
      <c r="F13336" s="36"/>
      <c r="J13336" s="25"/>
      <c r="K13336" s="25"/>
      <c r="L13336" s="25"/>
      <c r="M13336" s="25"/>
      <c r="N13336" s="25"/>
      <c r="O13336" s="25"/>
    </row>
    <row r="13337" customFormat="false" ht="19.5" hidden="false" customHeight="true" outlineLevel="0" collapsed="false">
      <c r="B13337" s="10"/>
      <c r="C13337" s="10"/>
      <c r="D13337" s="10"/>
      <c r="E13337" s="10"/>
      <c r="F13337" s="10"/>
      <c r="J13337" s="25"/>
      <c r="K13337" s="25"/>
      <c r="L13337" s="25"/>
      <c r="M13337" s="25"/>
      <c r="N13337" s="25"/>
      <c r="O13337" s="25"/>
    </row>
    <row r="13338" customFormat="false" ht="15" hidden="false" customHeight="false" outlineLevel="0" collapsed="false">
      <c r="B13338" s="34" t="str">
        <f aca="false">SUBSTITUTE(SUBSTITUTE(SUBSTITUTE(SUBSTITUTE(SUBSTITUTE(Txt_Objet,"{cabinet}",Cab_Nom),"{societe}",IF($K$13321=0,"",INDEX(Clients!$E$2:$E$501,$K$13321)&amp;"")),"{date_effet}",$K$13323),"{hausse}",$K$13324),"{civilite}",$K$13322)</f>
        <v>Objet : révision de nos honoraires au 1er janvier 2027</v>
      </c>
      <c r="C13338" s="34"/>
      <c r="D13338" s="34"/>
      <c r="E13338" s="34"/>
      <c r="F13338" s="34"/>
      <c r="J13338" s="25"/>
      <c r="K13338" s="25"/>
      <c r="L13338" s="25"/>
      <c r="M13338" s="25"/>
      <c r="N13338" s="25"/>
      <c r="O13338" s="25"/>
    </row>
    <row r="13339" customFormat="false" ht="13.5" hidden="false" customHeight="true" outlineLevel="0" collapsed="false">
      <c r="B13339" s="10"/>
      <c r="C13339" s="10"/>
      <c r="D13339" s="10"/>
      <c r="E13339" s="10"/>
      <c r="F13339" s="10"/>
      <c r="J13339" s="25"/>
      <c r="K13339" s="25"/>
      <c r="L13339" s="25"/>
      <c r="M13339" s="25"/>
      <c r="N13339" s="25"/>
      <c r="O13339" s="25"/>
    </row>
    <row r="13340" customFormat="false" ht="15" hidden="false" customHeight="false" outlineLevel="0" collapsed="false">
      <c r="B13340" s="10" t="str">
        <f aca="false">$K$13322&amp;","</f>
        <v>Madame, Monsieur,</v>
      </c>
      <c r="C13340" s="10"/>
      <c r="D13340" s="10"/>
      <c r="E13340" s="10"/>
      <c r="F13340" s="10"/>
      <c r="J13340" s="25"/>
      <c r="K13340" s="25"/>
      <c r="L13340" s="25"/>
      <c r="M13340" s="25"/>
      <c r="N13340" s="25"/>
      <c r="O13340" s="25"/>
    </row>
    <row r="13341" customFormat="false" ht="6" hidden="false" customHeight="true" outlineLevel="0" collapsed="false">
      <c r="B13341" s="10"/>
      <c r="C13341" s="10"/>
      <c r="D13341" s="10"/>
      <c r="E13341" s="10"/>
      <c r="F13341" s="10"/>
      <c r="J13341" s="25"/>
      <c r="K13341" s="25"/>
      <c r="L13341" s="25"/>
      <c r="M13341" s="25"/>
      <c r="N13341" s="25"/>
      <c r="O13341" s="25"/>
    </row>
    <row r="13342" customFormat="false" ht="36.75" hidden="false" customHeight="true" outlineLevel="0" collapsed="false">
      <c r="B13342" s="37" t="str">
        <f aca="false">SUBSTITUTE(SUBSTITUTE(SUBSTITUTE(SUBSTITUTE(SUBSTITUTE(Txt_P1,"{cabinet}",Cab_Nom),"{societe}",IF($K$13321=0,"",INDEX(Clients!$E$2:$E$501,$K$13321)&amp;"")),"{date_effet}",$K$13323),"{hausse}",$K$13324),"{civilite}",$K$13322)</f>
        <v>Nous tenons tout d'abord à vous remercier pour la confiance que vous accordez à ALTHO EXPERTISE. Comme chaque année, et conformément aux dispositions de votre lettre de mission, nous procédons à la révision de nos honoraires.</v>
      </c>
      <c r="C13342" s="37"/>
      <c r="D13342" s="37"/>
      <c r="E13342" s="37"/>
      <c r="F13342" s="37"/>
      <c r="J13342" s="25"/>
      <c r="K13342" s="25"/>
      <c r="L13342" s="25"/>
      <c r="M13342" s="25"/>
      <c r="N13342" s="25"/>
      <c r="O13342" s="25"/>
    </row>
    <row r="13343" customFormat="false" ht="49.5" hidden="false" customHeight="true" outlineLevel="0" collapsed="false">
      <c r="B13343" s="37" t="str">
        <f aca="false">SUBSTITUTE(SUBSTITUTE(SUBSTITUTE(SUBSTITUTE(SUBSTITUTE(Txt_P2,"{cabinet}",Cab_Nom),"{societe}",IF($K$13321=0,"",INDEX(Clients!$E$2:$E$501,$K$13321)&amp;"")),"{date_effet}",$K$13323),"{hausse}",$K$13324),"{civilite}",$K$13322)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343" s="37"/>
      <c r="D13343" s="37"/>
      <c r="E13343" s="37"/>
      <c r="F13343" s="37"/>
      <c r="J13343" s="25"/>
      <c r="K13343" s="25"/>
      <c r="L13343" s="25"/>
      <c r="M13343" s="25"/>
      <c r="N13343" s="25"/>
      <c r="O13343" s="25"/>
    </row>
    <row r="13344" customFormat="false" ht="63" hidden="false" customHeight="true" outlineLevel="0" collapsed="false">
      <c r="B13344" s="37" t="str">
        <f aca="false">SUBSTITUTE(SUBSTITUTE(SUBSTITUTE(SUBSTITUTE(SUBSTITUTE(Txt_P3,"{cabinet}",Cab_Nom),"{societe}",IF($K$13321=0,"",INDEX(Clients!$E$2:$E$501,$K$13321)&amp;"")),"{date_effet}",$K$13323),"{hausse}",$K$13324),"{civilite}",$K$13322)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344" s="37"/>
      <c r="D13344" s="37"/>
      <c r="E13344" s="37"/>
      <c r="F13344" s="37"/>
      <c r="J13344" s="25"/>
      <c r="K13344" s="25"/>
      <c r="L13344" s="25"/>
      <c r="M13344" s="25"/>
      <c r="N13344" s="25"/>
      <c r="O13344" s="25"/>
    </row>
    <row r="13345" customFormat="false" ht="24" hidden="false" customHeight="true" outlineLevel="0" collapsed="false">
      <c r="B13345" s="37" t="str">
        <f aca="false">SUBSTITUTE(SUBSTITUTE(SUBSTITUTE(SUBSTITUTE(SUBSTITUTE(Txt_P4,"{cabinet}",Cab_Nom),"{societe}",IF($K$13321=0,"",INDEX(Clients!$E$2:$E$501,$K$13321)&amp;"")),"{date_effet}",$K$13323),"{hausse}",$K$13324),"{civilite}",$K$13322)</f>
        <v>À compter du 1er janvier 2027, vos honoraires annuels hors taxes évolueront ainsi (évolution globale : ) :</v>
      </c>
      <c r="C13345" s="37"/>
      <c r="D13345" s="37"/>
      <c r="E13345" s="37"/>
      <c r="F13345" s="37"/>
      <c r="J13345" s="25"/>
      <c r="K13345" s="25"/>
      <c r="L13345" s="25"/>
      <c r="M13345" s="25"/>
      <c r="N13345" s="25"/>
      <c r="O13345" s="25"/>
    </row>
    <row r="13346" customFormat="false" ht="3.75" hidden="false" customHeight="true" outlineLevel="0" collapsed="false">
      <c r="B13346" s="10"/>
      <c r="C13346" s="10"/>
      <c r="D13346" s="10"/>
      <c r="E13346" s="10"/>
      <c r="F13346" s="10"/>
      <c r="J13346" s="25"/>
      <c r="K13346" s="25"/>
      <c r="L13346" s="25"/>
      <c r="M13346" s="25"/>
      <c r="N13346" s="25"/>
      <c r="O13346" s="25"/>
    </row>
    <row r="13347" customFormat="false" ht="18" hidden="false" customHeight="true" outlineLevel="0" collapsed="false">
      <c r="B13347" s="38" t="s">
        <v>148</v>
      </c>
      <c r="C13347" s="39" t="s">
        <v>149</v>
      </c>
      <c r="D13347" s="39" t="s">
        <v>150</v>
      </c>
      <c r="E13347" s="39" t="s">
        <v>151</v>
      </c>
      <c r="F13347" s="39" t="s">
        <v>109</v>
      </c>
      <c r="J13347" s="25" t="s">
        <v>152</v>
      </c>
      <c r="K13347" s="25" t="s">
        <v>153</v>
      </c>
      <c r="L13347" s="25" t="s">
        <v>154</v>
      </c>
      <c r="M13347" s="25" t="s">
        <v>155</v>
      </c>
      <c r="N13347" s="25" t="s">
        <v>156</v>
      </c>
      <c r="O13347" s="25" t="s">
        <v>157</v>
      </c>
    </row>
    <row r="13348" customFormat="false" ht="16.5" hidden="false" customHeight="true" outlineLevel="0" collapsed="false">
      <c r="B13348" s="40" t="str">
        <f aca="false">IFERROR(INDEX($J$13348:$J$13351,MATCH($O13348,$N$13348:$N$13351,0)),"")</f>
        <v/>
      </c>
      <c r="C13348" s="41" t="str">
        <f aca="false">IFERROR(INDEX($K$13348:$K$13351,MATCH($O13348,$N$13348:$N$13351,0)),"")</f>
        <v/>
      </c>
      <c r="D13348" s="42" t="str">
        <f aca="false">IF(OR(E13348="",N(C13348)=0),"",E13348/C13348-1)</f>
        <v/>
      </c>
      <c r="E13348" s="41" t="str">
        <f aca="false">IFERROR(INDEX($L$13348:$L$13351,MATCH($O13348,$N$13348:$N$13351,0)),"")</f>
        <v/>
      </c>
      <c r="F13348" s="41" t="str">
        <f aca="false">IF(E13348="","",E13348-C13348)</f>
        <v/>
      </c>
      <c r="J13348" s="25" t="str">
        <f aca="false">Lib_Compta</f>
        <v>Mission comptable (tenue, révision, bilan, liasse fiscale)</v>
      </c>
      <c r="K13348" s="25" t="n">
        <f aca="false">IF($K$13321=0,0,N(INDEX(Clients!$K$2:$K$501,$K$13321)))</f>
        <v>0</v>
      </c>
      <c r="L13348" s="25" t="n">
        <f aca="false">IF($K$13321=0,0,N(INDEX(Clients!$P$2:$P$501,$K$13321)))</f>
        <v>0</v>
      </c>
      <c r="M13348" s="25" t="n">
        <f aca="false">IF(OR(K13348&lt;&gt;0,L13348&lt;&gt;0),1,0)</f>
        <v>0</v>
      </c>
      <c r="N13348" s="25" t="str">
        <f aca="false">IF(M13348=1,SUM($M$13348:M13348),"")</f>
        <v/>
      </c>
      <c r="O13348" s="25" t="n">
        <v>1</v>
      </c>
    </row>
    <row r="13349" customFormat="false" ht="16.5" hidden="false" customHeight="true" outlineLevel="0" collapsed="false">
      <c r="B13349" s="40" t="str">
        <f aca="false">IFERROR(INDEX($J$13348:$J$13351,MATCH($O13349,$N$13348:$N$13351,0)),"")</f>
        <v/>
      </c>
      <c r="C13349" s="41" t="str">
        <f aca="false">IFERROR(INDEX($K$13348:$K$13351,MATCH($O13349,$N$13348:$N$13351,0)),"")</f>
        <v/>
      </c>
      <c r="D13349" s="42" t="str">
        <f aca="false">IF(OR(E13349="",N(C13349)=0),"",E13349/C13349-1)</f>
        <v/>
      </c>
      <c r="E13349" s="41" t="str">
        <f aca="false">IFERROR(INDEX($L$13348:$L$13351,MATCH($O13349,$N$13348:$N$13351,0)),"")</f>
        <v/>
      </c>
      <c r="F13349" s="41" t="str">
        <f aca="false">IF(E13349="","",E13349-C13349)</f>
        <v/>
      </c>
      <c r="J13349" s="25" t="str">
        <f aca="false">Lib_Paye</f>
        <v>Mission sociale (bulletins de paie, DSN, déclarations sociales)</v>
      </c>
      <c r="K13349" s="25" t="n">
        <f aca="false">IF($K$13321=0,0,N(INDEX(Clients!$L$2:$L$501,$K$13321)))</f>
        <v>0</v>
      </c>
      <c r="L13349" s="25" t="n">
        <f aca="false">IF($K$13321=0,0,N(INDEX(Clients!$Q$2:$Q$501,$K$13321)))</f>
        <v>0</v>
      </c>
      <c r="M13349" s="25" t="n">
        <f aca="false">IF(OR(K13349&lt;&gt;0,L13349&lt;&gt;0),1,0)</f>
        <v>0</v>
      </c>
      <c r="N13349" s="25" t="str">
        <f aca="false">IF(M13349=1,SUM($M$13348:M13349),"")</f>
        <v/>
      </c>
      <c r="O13349" s="25" t="n">
        <v>2</v>
      </c>
    </row>
    <row r="13350" customFormat="false" ht="16.5" hidden="false" customHeight="true" outlineLevel="0" collapsed="false">
      <c r="B13350" s="40" t="str">
        <f aca="false">IFERROR(INDEX($J$13348:$J$13351,MATCH($O13350,$N$13348:$N$13351,0)),"")</f>
        <v/>
      </c>
      <c r="C13350" s="41" t="str">
        <f aca="false">IFERROR(INDEX($K$13348:$K$13351,MATCH($O13350,$N$13348:$N$13351,0)),"")</f>
        <v/>
      </c>
      <c r="D13350" s="42" t="str">
        <f aca="false">IF(OR(E13350="",N(C13350)=0),"",E13350/C13350-1)</f>
        <v/>
      </c>
      <c r="E13350" s="41" t="str">
        <f aca="false">IFERROR(INDEX($L$13348:$L$13351,MATCH($O13350,$N$13348:$N$13351,0)),"")</f>
        <v/>
      </c>
      <c r="F13350" s="41" t="str">
        <f aca="false">IF(E13350="","",E13350-C13350)</f>
        <v/>
      </c>
      <c r="J13350" s="25" t="str">
        <f aca="false">Lib_Jur</f>
        <v>Mission juridique (approbation des comptes, secrétariat juridique)</v>
      </c>
      <c r="K13350" s="25" t="n">
        <f aca="false">IF($K$13321=0,0,N(INDEX(Clients!$M$2:$M$501,$K$13321)))</f>
        <v>0</v>
      </c>
      <c r="L13350" s="25" t="n">
        <f aca="false">IF($K$13321=0,0,N(INDEX(Clients!$R$2:$R$501,$K$13321)))</f>
        <v>0</v>
      </c>
      <c r="M13350" s="25" t="n">
        <f aca="false">IF(OR(K13350&lt;&gt;0,L13350&lt;&gt;0),1,0)</f>
        <v>0</v>
      </c>
      <c r="N13350" s="25" t="str">
        <f aca="false">IF(M13350=1,SUM($M$13348:M13350),"")</f>
        <v/>
      </c>
      <c r="O13350" s="25" t="n">
        <v>3</v>
      </c>
    </row>
    <row r="13351" customFormat="false" ht="16.5" hidden="false" customHeight="true" outlineLevel="0" collapsed="false">
      <c r="B13351" s="40" t="str">
        <f aca="false">IFERROR(INDEX($J$13348:$J$13351,MATCH($O13351,$N$13348:$N$13351,0)),"")</f>
        <v/>
      </c>
      <c r="C13351" s="41" t="str">
        <f aca="false">IFERROR(INDEX($K$13348:$K$13351,MATCH($O13351,$N$13348:$N$13351,0)),"")</f>
        <v/>
      </c>
      <c r="D13351" s="42" t="str">
        <f aca="false">IF(OR(E13351="",N(C13351)=0),"",E13351/C13351-1)</f>
        <v/>
      </c>
      <c r="E13351" s="41" t="str">
        <f aca="false">IFERROR(INDEX($L$13348:$L$13351,MATCH($O13351,$N$13348:$N$13351,0)),"")</f>
        <v/>
      </c>
      <c r="F13351" s="41" t="str">
        <f aca="false">IF(E13351="","",E13351-C13351)</f>
        <v/>
      </c>
      <c r="J13351" s="25" t="str">
        <f aca="false">Lib_PA</f>
        <v>Plateforme agréée – facturation électronique</v>
      </c>
      <c r="K13351" s="25" t="n">
        <f aca="false">IF($K$13321=0,0,N(INDEX(Clients!$N$2:$N$501,$K$13321)))</f>
        <v>0</v>
      </c>
      <c r="L13351" s="25" t="n">
        <f aca="false">IF($K$13321=0,0,N(INDEX(Clients!$S$2:$S$501,$K$13321)))</f>
        <v>0</v>
      </c>
      <c r="M13351" s="25" t="n">
        <f aca="false">IF(OR(K13351&lt;&gt;0,L13351&lt;&gt;0),1,0)</f>
        <v>0</v>
      </c>
      <c r="N13351" s="25" t="str">
        <f aca="false">IF(M13351=1,SUM($M$13348:M13351),"")</f>
        <v/>
      </c>
      <c r="O13351" s="25" t="n">
        <v>4</v>
      </c>
    </row>
    <row r="13352" customFormat="false" ht="18" hidden="false" customHeight="true" outlineLevel="0" collapsed="false">
      <c r="B13352" s="43" t="s">
        <v>158</v>
      </c>
      <c r="C13352" s="44" t="n">
        <f aca="false">SUM(K13348:K13351)</f>
        <v>0</v>
      </c>
      <c r="D13352" s="45" t="str">
        <f aca="false">IF(N(C13352)=0,"",E13352/C13352-1)</f>
        <v/>
      </c>
      <c r="E13352" s="44" t="n">
        <f aca="false">SUM(L13348:L13351)</f>
        <v>0</v>
      </c>
      <c r="F13352" s="44" t="n">
        <f aca="false">E13352-C13352</f>
        <v>0</v>
      </c>
    </row>
    <row r="13353" customFormat="false" ht="15" hidden="false" customHeight="false" outlineLevel="0" collapsed="false">
      <c r="B13353" s="46" t="str">
        <f aca="false">IF(N(Nb_Mensualites)=0,"","Soit "&amp;FIXED(E13352/Nb_Mensualites,2)&amp;" € HT par échéance ("&amp;Nb_Mensualites&amp;" échéances), "&amp;FIXED(E13352/Nb_Mensualites*(1+Taux_TVA),2)&amp;" € TTC.")</f>
        <v>Soit 0.00 € HT par échéance (12 échéances), 0.00 € TTC.</v>
      </c>
      <c r="C13353" s="46"/>
      <c r="D13353" s="46"/>
      <c r="E13353" s="46"/>
      <c r="F13353" s="46"/>
    </row>
    <row r="13354" customFormat="false" ht="7.5" hidden="false" customHeight="true" outlineLevel="0" collapsed="false">
      <c r="B13354" s="10"/>
      <c r="C13354" s="10"/>
      <c r="D13354" s="10"/>
      <c r="E13354" s="10"/>
      <c r="F13354" s="10"/>
    </row>
    <row r="13355" customFormat="false" ht="36.75" hidden="false" customHeight="true" outlineLevel="0" collapsed="false">
      <c r="B13355" s="37" t="str">
        <f aca="false">SUBSTITUTE(SUBSTITUTE(SUBSTITUTE(SUBSTITUTE(SUBSTITUTE(Txt_P5,"{cabinet}",Cab_Nom),"{societe}",IF($K$13321=0,"",INDEX(Clients!$E$2:$E$501,$K$13321)&amp;"")),"{date_effet}",$K$13323),"{hausse}",$K$13324),"{civilite}",$K$13322)</f>
        <v>Les autres conditions de votre lettre de mission demeurent inchangées. Les nouveaux montants seront appliqués automatiquement sur vos prochaines factures et échéances de prélèvement.</v>
      </c>
      <c r="C13355" s="37"/>
      <c r="D13355" s="37"/>
      <c r="E13355" s="37"/>
      <c r="F13355" s="37"/>
    </row>
    <row r="13356" customFormat="false" ht="36.75" hidden="false" customHeight="true" outlineLevel="0" collapsed="false">
      <c r="B13356" s="37" t="str">
        <f aca="false">SUBSTITUTE(SUBSTITUTE(SUBSTITUTE(SUBSTITUTE(SUBSTITUTE(Txt_P6,"{cabinet}",Cab_Nom),"{societe}",IF($K$13321=0,"",INDEX(Clients!$E$2:$E$501,$K$13321)&amp;"")),"{date_effet}",$K$13323),"{hausse}",$K$13324),"{civilite}",$K$13322)</f>
        <v>Votre interlocuteur habituel reste à votre entière disposition pour répondre à vos questions et faire le point sur l'évolution de vos besoins.</v>
      </c>
      <c r="C13356" s="37"/>
      <c r="D13356" s="37"/>
      <c r="E13356" s="37"/>
      <c r="F13356" s="37"/>
    </row>
    <row r="13357" customFormat="false" ht="24" hidden="false" customHeight="true" outlineLevel="0" collapsed="false">
      <c r="B13357" s="37" t="str">
        <f aca="false">SUBSTITUTE(SUBSTITUTE(SUBSTITUTE(SUBSTITUTE(SUBSTITUTE(Txt_Politesse,"{cabinet}",Cab_Nom),"{societe}",IF($K$13321=0,"",INDEX(Clients!$E$2:$E$501,$K$13321)&amp;"")),"{date_effet}",$K$13323),"{hausse}",$K$13324),"{civilite}",$K$13322)</f>
        <v>Nous vous prions d'agréer, Madame, Monsieur, l'expression de nos salutations distinguées.</v>
      </c>
      <c r="C13357" s="37"/>
      <c r="D13357" s="37"/>
      <c r="E13357" s="37"/>
      <c r="F13357" s="37"/>
    </row>
    <row r="13358" customFormat="false" ht="15" hidden="false" customHeight="false" outlineLevel="0" collapsed="false">
      <c r="B13358" s="10"/>
      <c r="C13358" s="10"/>
      <c r="D13358" s="10"/>
      <c r="E13358" s="10"/>
      <c r="F13358" s="10"/>
    </row>
    <row r="13359" customFormat="false" ht="15" hidden="false" customHeight="false" outlineLevel="0" collapsed="false">
      <c r="B13359" s="10"/>
      <c r="C13359" s="10"/>
      <c r="D13359" s="34" t="str">
        <f aca="false">Signataire</f>
        <v>Prénom NOM</v>
      </c>
      <c r="E13359" s="34"/>
      <c r="F13359" s="34"/>
    </row>
    <row r="13360" customFormat="false" ht="15" hidden="false" customHeight="false" outlineLevel="0" collapsed="false">
      <c r="B13360" s="10"/>
      <c r="C13360" s="10"/>
      <c r="D13360" s="47" t="str">
        <f aca="false">Signataire_Titre</f>
        <v>Expert-comptable associé</v>
      </c>
      <c r="E13360" s="47"/>
      <c r="F13360" s="47"/>
    </row>
    <row r="13361" customFormat="false" ht="15.75" hidden="false" customHeight="true" outlineLevel="0" collapsed="false">
      <c r="B13361" s="10"/>
      <c r="C13361" s="10"/>
      <c r="D13361" s="10"/>
      <c r="E13361" s="10"/>
      <c r="F13361" s="10"/>
    </row>
    <row r="13362" customFormat="false" ht="15.75" hidden="false" customHeight="true" outlineLevel="0" collapsed="false">
      <c r="B13362" s="10"/>
      <c r="C13362" s="10"/>
      <c r="D13362" s="10"/>
      <c r="E13362" s="10"/>
      <c r="F13362" s="10"/>
    </row>
    <row r="13363" customFormat="false" ht="15.75" hidden="false" customHeight="true" outlineLevel="0" collapsed="false">
      <c r="B13363" s="10"/>
      <c r="C13363" s="10"/>
      <c r="D13363" s="10"/>
      <c r="E13363" s="10"/>
      <c r="F13363" s="10"/>
    </row>
    <row r="13364" customFormat="false" ht="15.75" hidden="false" customHeight="true" outlineLevel="0" collapsed="false">
      <c r="B13364" s="10"/>
      <c r="C13364" s="10"/>
      <c r="D13364" s="10"/>
      <c r="E13364" s="10"/>
      <c r="F13364" s="10"/>
    </row>
    <row r="13365" customFormat="false" ht="24" hidden="false" customHeight="true" outlineLevel="0" collapsed="false">
      <c r="B13365" s="48" t="str">
        <f aca="false">Cab_Mentions</f>
        <v>ALTHO EXPERTISE · SAS au capital de 10 000 € · RCS Pontoise 919 706 325 · TVA FR62919706325 · Société d'expertise comptable inscrite au Tableau de l'Ordre des experts-comptables de Paris Île-de-France</v>
      </c>
      <c r="C13365" s="48"/>
      <c r="D13365" s="48"/>
      <c r="E13365" s="48"/>
      <c r="F13365" s="48"/>
    </row>
    <row r="13366" customFormat="false" ht="15" hidden="false" customHeight="false" outlineLevel="0" collapsed="false">
      <c r="B13366" s="10"/>
      <c r="C13366" s="10"/>
      <c r="D13366" s="10"/>
      <c r="E13366" s="10"/>
      <c r="F13366" s="10"/>
      <c r="J13366" s="25" t="s">
        <v>142</v>
      </c>
      <c r="K13366" s="25" t="n">
        <f aca="false">IFERROR(MATCH(298,Clients!$Z$2:$Z$501,0),0)</f>
        <v>0</v>
      </c>
      <c r="L13366" s="25"/>
      <c r="M13366" s="25"/>
      <c r="N13366" s="25"/>
      <c r="O13366" s="25"/>
    </row>
    <row r="13367" customFormat="false" ht="21.75" hidden="false" customHeight="true" outlineLevel="0" collapsed="false">
      <c r="B13367" s="26" t="str">
        <f aca="false">Cab_Nom</f>
        <v>ALTHO EXPERTISE</v>
      </c>
      <c r="C13367" s="26"/>
      <c r="D13367" s="10"/>
      <c r="E13367" s="27" t="str">
        <f aca="false">IF($K$13366=0,"","Réf. client : "&amp;INDEX(Clients!$A$2:$A$501,$K$13366))</f>
        <v/>
      </c>
      <c r="F13367" s="27"/>
      <c r="J13367" s="25" t="s">
        <v>144</v>
      </c>
      <c r="K13367" s="25" t="str">
        <f aca="false">IF(IF($K$13366=0,"",INDEX(Clients!$B$2:$B$501,$K$13366)&amp;"")="Mme","Madame",IF(IF($K$13366=0,"",INDEX(Clients!$B$2:$B$501,$K$13366)&amp;"")="M.","Monsieur","Madame, Monsieur"))</f>
        <v>Madame, Monsieur</v>
      </c>
      <c r="L13367" s="25"/>
      <c r="M13367" s="25"/>
      <c r="N13367" s="25"/>
      <c r="O13367" s="25"/>
    </row>
    <row r="13368" customFormat="false" ht="15" hidden="false" customHeight="false" outlineLevel="0" collapsed="false">
      <c r="B13368" s="29" t="str">
        <f aca="false">Cab_Adr1</f>
        <v>141 rue Charles de Gaulle</v>
      </c>
      <c r="C13368" s="29"/>
      <c r="D13368" s="10"/>
      <c r="E13368" s="10"/>
      <c r="F13368" s="10"/>
      <c r="J13368" s="25" t="s">
        <v>145</v>
      </c>
      <c r="K13368" s="25" t="str">
        <f aca="false">DAY(Date_Effet)&amp;IF(DAY(Date_Effet)=1,"er","")&amp;" "&amp;INDEX(Liste_Mois,MONTH(Date_Effet))&amp;" "&amp;YEAR(Date_Effet)</f>
        <v>1er janvier 2027</v>
      </c>
      <c r="L13368" s="25"/>
      <c r="M13368" s="25"/>
      <c r="N13368" s="25"/>
      <c r="O13368" s="25"/>
    </row>
    <row r="13369" customFormat="false" ht="15" hidden="false" customHeight="false" outlineLevel="0" collapsed="false">
      <c r="B13369" s="29" t="str">
        <f aca="false">Cab_CPVille</f>
        <v>95130 LE PLESSIS-BOUCHARD</v>
      </c>
      <c r="C13369" s="29"/>
      <c r="D13369" s="10"/>
      <c r="E13369" s="10"/>
      <c r="F13369" s="10"/>
      <c r="J13369" s="25" t="s">
        <v>146</v>
      </c>
      <c r="K13369" s="25" t="str">
        <f aca="false">IF(SUM($K$13393:$K$13396)=0,"",FIXED((SUM($L$13393:$L$13396)/SUM($K$13393:$K$13396)-1)*100,1)&amp;" %")</f>
        <v/>
      </c>
      <c r="L13369" s="25"/>
      <c r="M13369" s="25"/>
      <c r="N13369" s="25"/>
      <c r="O13369" s="25"/>
    </row>
    <row r="13370" customFormat="false" ht="15" hidden="false" customHeight="false" outlineLevel="0" collapsed="false">
      <c r="B13370" s="29" t="str">
        <f aca="false">Cab_Contact</f>
        <v>Tél. 01 34 14 53 45  ·  altho@altho-experts.com  ·  altho-experts.com</v>
      </c>
      <c r="C13370" s="29"/>
      <c r="D13370" s="10"/>
      <c r="E13370" s="10"/>
      <c r="F13370" s="10"/>
      <c r="J13370" s="25"/>
      <c r="K13370" s="25"/>
      <c r="L13370" s="25"/>
      <c r="M13370" s="25"/>
      <c r="N13370" s="25"/>
      <c r="O13370" s="25"/>
    </row>
    <row r="13371" customFormat="false" ht="6" hidden="false" customHeight="true" outlineLevel="0" collapsed="false">
      <c r="B13371" s="32"/>
      <c r="C13371" s="32"/>
      <c r="D13371" s="32"/>
      <c r="E13371" s="32"/>
      <c r="F13371" s="32"/>
      <c r="J13371" s="25"/>
      <c r="K13371" s="25"/>
      <c r="L13371" s="25"/>
      <c r="M13371" s="25"/>
      <c r="N13371" s="25"/>
      <c r="O13371" s="25"/>
    </row>
    <row r="13372" customFormat="false" ht="13.5" hidden="false" customHeight="true" outlineLevel="0" collapsed="false">
      <c r="B13372" s="10"/>
      <c r="C13372" s="10"/>
      <c r="D13372" s="10"/>
      <c r="E13372" s="10"/>
      <c r="F13372" s="10"/>
      <c r="J13372" s="25"/>
      <c r="K13372" s="25"/>
      <c r="L13372" s="25"/>
      <c r="M13372" s="25"/>
      <c r="N13372" s="25"/>
      <c r="O13372" s="25"/>
    </row>
    <row r="13373" customFormat="false" ht="13.5" hidden="false" customHeight="true" outlineLevel="0" collapsed="false">
      <c r="B13373" s="10"/>
      <c r="C13373" s="10"/>
      <c r="D13373" s="10"/>
      <c r="E13373" s="10"/>
      <c r="F13373" s="10"/>
      <c r="J13373" s="25"/>
      <c r="K13373" s="25"/>
      <c r="L13373" s="25"/>
      <c r="M13373" s="25"/>
      <c r="N13373" s="25"/>
      <c r="O13373" s="25"/>
    </row>
    <row r="13374" customFormat="false" ht="13.5" hidden="false" customHeight="true" outlineLevel="0" collapsed="false">
      <c r="B13374" s="10"/>
      <c r="C13374" s="10"/>
      <c r="D13374" s="10"/>
      <c r="E13374" s="10"/>
      <c r="F13374" s="10"/>
      <c r="J13374" s="25"/>
      <c r="K13374" s="25"/>
      <c r="L13374" s="25"/>
      <c r="M13374" s="25"/>
      <c r="N13374" s="25"/>
      <c r="O13374" s="25"/>
    </row>
    <row r="13375" customFormat="false" ht="15" hidden="false" customHeight="true" outlineLevel="0" collapsed="false">
      <c r="B13375" s="10"/>
      <c r="C13375" s="10"/>
      <c r="D13375" s="34" t="str">
        <f aca="false">IF($K$13366=0,"",INDEX(Clients!$E$2:$E$501,$K$13366)&amp;"")</f>
        <v/>
      </c>
      <c r="E13375" s="34"/>
      <c r="F13375" s="34"/>
      <c r="J13375" s="25"/>
      <c r="K13375" s="25"/>
      <c r="L13375" s="25"/>
      <c r="M13375" s="25"/>
      <c r="N13375" s="25"/>
      <c r="O13375" s="25"/>
    </row>
    <row r="13376" customFormat="false" ht="15" hidden="false" customHeight="true" outlineLevel="0" collapsed="false">
      <c r="B13376" s="10"/>
      <c r="C13376" s="10"/>
      <c r="D13376" s="35" t="str">
        <f aca="false">IF(IF($K$13366=0,"",INDEX(Clients!$D$2:$D$501,$K$13366)&amp;"")="","","À l'attention de "&amp;TRIM(IF($K$13366=0,"",INDEX(Clients!$B$2:$B$501,$K$13366)&amp;"")&amp;" "&amp;IF($K$13366=0,"",INDEX(Clients!$C$2:$C$501,$K$13366)&amp;"")&amp;" "&amp;IF($K$13366=0,"",INDEX(Clients!$D$2:$D$501,$K$13366)&amp;"")))</f>
        <v/>
      </c>
      <c r="E13376" s="35"/>
      <c r="F13376" s="35"/>
      <c r="J13376" s="25"/>
      <c r="K13376" s="25"/>
      <c r="L13376" s="25"/>
      <c r="M13376" s="25"/>
      <c r="N13376" s="25"/>
      <c r="O13376" s="25"/>
    </row>
    <row r="13377" customFormat="false" ht="15" hidden="false" customHeight="true" outlineLevel="0" collapsed="false">
      <c r="B13377" s="10"/>
      <c r="C13377" s="10"/>
      <c r="D13377" s="35" t="str">
        <f aca="false">IF($K$13366=0,"",INDEX(Clients!$F$2:$F$501,$K$13366)&amp;"")</f>
        <v/>
      </c>
      <c r="E13377" s="35"/>
      <c r="F13377" s="35"/>
      <c r="J13377" s="25"/>
      <c r="K13377" s="25"/>
      <c r="L13377" s="25"/>
      <c r="M13377" s="25"/>
      <c r="N13377" s="25"/>
      <c r="O13377" s="25"/>
    </row>
    <row r="13378" customFormat="false" ht="15" hidden="false" customHeight="true" outlineLevel="0" collapsed="false">
      <c r="B13378" s="10"/>
      <c r="C13378" s="10"/>
      <c r="D13378" s="35" t="str">
        <f aca="false">IF(IF($K$13366=0,"",INDEX(Clients!$G$2:$G$501,$K$13366)&amp;"")="",TRIM(IF($K$13366=0,"",INDEX(Clients!$H$2:$H$501,$K$13366)&amp;"")&amp;" "&amp;UPPER(IF($K$13366=0,"",INDEX(Clients!$I$2:$I$501,$K$13366)&amp;""))),IF($K$13366=0,"",INDEX(Clients!$G$2:$G$501,$K$13366)&amp;""))</f>
        <v/>
      </c>
      <c r="E13378" s="35"/>
      <c r="F13378" s="35"/>
      <c r="J13378" s="25"/>
      <c r="K13378" s="25"/>
      <c r="L13378" s="25"/>
      <c r="M13378" s="25"/>
      <c r="N13378" s="25"/>
      <c r="O13378" s="25"/>
    </row>
    <row r="13379" customFormat="false" ht="15" hidden="false" customHeight="true" outlineLevel="0" collapsed="false">
      <c r="B13379" s="10"/>
      <c r="C13379" s="10"/>
      <c r="D13379" s="35" t="str">
        <f aca="false">IF(IF($K$13366=0,"",INDEX(Clients!$G$2:$G$501,$K$13366)&amp;"")="","",TRIM(IF($K$13366=0,"",INDEX(Clients!$H$2:$H$501,$K$13366)&amp;"")&amp;" "&amp;UPPER(IF($K$13366=0,"",INDEX(Clients!$I$2:$I$501,$K$13366)&amp;""))))</f>
        <v/>
      </c>
      <c r="E13379" s="35"/>
      <c r="F13379" s="35"/>
      <c r="J13379" s="25"/>
      <c r="K13379" s="25"/>
      <c r="L13379" s="25"/>
      <c r="M13379" s="25"/>
      <c r="N13379" s="25"/>
      <c r="O13379" s="25"/>
    </row>
    <row r="13380" customFormat="false" ht="25.5" hidden="false" customHeight="true" outlineLevel="0" collapsed="false">
      <c r="B13380" s="10"/>
      <c r="C13380" s="10"/>
      <c r="D13380" s="10"/>
      <c r="E13380" s="10"/>
      <c r="F13380" s="10"/>
      <c r="J13380" s="25"/>
      <c r="K13380" s="25"/>
      <c r="L13380" s="25"/>
      <c r="M13380" s="25"/>
      <c r="N13380" s="25"/>
      <c r="O13380" s="25"/>
    </row>
    <row r="13381" customFormat="false" ht="15" hidden="false" customHeight="false" outlineLevel="0" collapsed="false">
      <c r="B13381" s="10"/>
      <c r="C13381" s="10"/>
      <c r="D13381" s="36" t="str">
        <f aca="false">Cab_Ville&amp;", le "&amp;DAY(Date_Courrier)&amp;IF(DAY(Date_Courrier)=1,"er","")&amp;" "&amp;INDEX(Liste_Mois,MONTH(Date_Courrier))&amp;" "&amp;YEAR(Date_Courrier)</f>
        <v>Le Plessis-Bouchard, le 22 septembre 2026</v>
      </c>
      <c r="E13381" s="36"/>
      <c r="F13381" s="36"/>
      <c r="J13381" s="25"/>
      <c r="K13381" s="25"/>
      <c r="L13381" s="25"/>
      <c r="M13381" s="25"/>
      <c r="N13381" s="25"/>
      <c r="O13381" s="25"/>
    </row>
    <row r="13382" customFormat="false" ht="19.5" hidden="false" customHeight="true" outlineLevel="0" collapsed="false">
      <c r="B13382" s="10"/>
      <c r="C13382" s="10"/>
      <c r="D13382" s="10"/>
      <c r="E13382" s="10"/>
      <c r="F13382" s="10"/>
      <c r="J13382" s="25"/>
      <c r="K13382" s="25"/>
      <c r="L13382" s="25"/>
      <c r="M13382" s="25"/>
      <c r="N13382" s="25"/>
      <c r="O13382" s="25"/>
    </row>
    <row r="13383" customFormat="false" ht="15" hidden="false" customHeight="false" outlineLevel="0" collapsed="false">
      <c r="B13383" s="34" t="str">
        <f aca="false">SUBSTITUTE(SUBSTITUTE(SUBSTITUTE(SUBSTITUTE(SUBSTITUTE(Txt_Objet,"{cabinet}",Cab_Nom),"{societe}",IF($K$13366=0,"",INDEX(Clients!$E$2:$E$501,$K$13366)&amp;"")),"{date_effet}",$K$13368),"{hausse}",$K$13369),"{civilite}",$K$13367)</f>
        <v>Objet : révision de nos honoraires au 1er janvier 2027</v>
      </c>
      <c r="C13383" s="34"/>
      <c r="D13383" s="34"/>
      <c r="E13383" s="34"/>
      <c r="F13383" s="34"/>
      <c r="J13383" s="25"/>
      <c r="K13383" s="25"/>
      <c r="L13383" s="25"/>
      <c r="M13383" s="25"/>
      <c r="N13383" s="25"/>
      <c r="O13383" s="25"/>
    </row>
    <row r="13384" customFormat="false" ht="13.5" hidden="false" customHeight="true" outlineLevel="0" collapsed="false">
      <c r="B13384" s="10"/>
      <c r="C13384" s="10"/>
      <c r="D13384" s="10"/>
      <c r="E13384" s="10"/>
      <c r="F13384" s="10"/>
      <c r="J13384" s="25"/>
      <c r="K13384" s="25"/>
      <c r="L13384" s="25"/>
      <c r="M13384" s="25"/>
      <c r="N13384" s="25"/>
      <c r="O13384" s="25"/>
    </row>
    <row r="13385" customFormat="false" ht="15" hidden="false" customHeight="false" outlineLevel="0" collapsed="false">
      <c r="B13385" s="10" t="str">
        <f aca="false">$K$13367&amp;","</f>
        <v>Madame, Monsieur,</v>
      </c>
      <c r="C13385" s="10"/>
      <c r="D13385" s="10"/>
      <c r="E13385" s="10"/>
      <c r="F13385" s="10"/>
      <c r="J13385" s="25"/>
      <c r="K13385" s="25"/>
      <c r="L13385" s="25"/>
      <c r="M13385" s="25"/>
      <c r="N13385" s="25"/>
      <c r="O13385" s="25"/>
    </row>
    <row r="13386" customFormat="false" ht="6" hidden="false" customHeight="true" outlineLevel="0" collapsed="false">
      <c r="B13386" s="10"/>
      <c r="C13386" s="10"/>
      <c r="D13386" s="10"/>
      <c r="E13386" s="10"/>
      <c r="F13386" s="10"/>
      <c r="J13386" s="25"/>
      <c r="K13386" s="25"/>
      <c r="L13386" s="25"/>
      <c r="M13386" s="25"/>
      <c r="N13386" s="25"/>
      <c r="O13386" s="25"/>
    </row>
    <row r="13387" customFormat="false" ht="36.75" hidden="false" customHeight="true" outlineLevel="0" collapsed="false">
      <c r="B13387" s="37" t="str">
        <f aca="false">SUBSTITUTE(SUBSTITUTE(SUBSTITUTE(SUBSTITUTE(SUBSTITUTE(Txt_P1,"{cabinet}",Cab_Nom),"{societe}",IF($K$13366=0,"",INDEX(Clients!$E$2:$E$501,$K$13366)&amp;"")),"{date_effet}",$K$13368),"{hausse}",$K$13369),"{civilite}",$K$13367)</f>
        <v>Nous tenons tout d'abord à vous remercier pour la confiance que vous accordez à ALTHO EXPERTISE. Comme chaque année, et conformément aux dispositions de votre lettre de mission, nous procédons à la révision de nos honoraires.</v>
      </c>
      <c r="C13387" s="37"/>
      <c r="D13387" s="37"/>
      <c r="E13387" s="37"/>
      <c r="F13387" s="37"/>
      <c r="J13387" s="25"/>
      <c r="K13387" s="25"/>
      <c r="L13387" s="25"/>
      <c r="M13387" s="25"/>
      <c r="N13387" s="25"/>
      <c r="O13387" s="25"/>
    </row>
    <row r="13388" customFormat="false" ht="49.5" hidden="false" customHeight="true" outlineLevel="0" collapsed="false">
      <c r="B13388" s="37" t="str">
        <f aca="false">SUBSTITUTE(SUBSTITUTE(SUBSTITUTE(SUBSTITUTE(SUBSTITUTE(Txt_P2,"{cabinet}",Cab_Nom),"{societe}",IF($K$13366=0,"",INDEX(Clients!$E$2:$E$501,$K$13366)&amp;"")),"{date_effet}",$K$13368),"{hausse}",$K$13369),"{civilite}",$K$13367)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388" s="37"/>
      <c r="D13388" s="37"/>
      <c r="E13388" s="37"/>
      <c r="F13388" s="37"/>
      <c r="J13388" s="25"/>
      <c r="K13388" s="25"/>
      <c r="L13388" s="25"/>
      <c r="M13388" s="25"/>
      <c r="N13388" s="25"/>
      <c r="O13388" s="25"/>
    </row>
    <row r="13389" customFormat="false" ht="63" hidden="false" customHeight="true" outlineLevel="0" collapsed="false">
      <c r="B13389" s="37" t="str">
        <f aca="false">SUBSTITUTE(SUBSTITUTE(SUBSTITUTE(SUBSTITUTE(SUBSTITUTE(Txt_P3,"{cabinet}",Cab_Nom),"{societe}",IF($K$13366=0,"",INDEX(Clients!$E$2:$E$501,$K$13366)&amp;"")),"{date_effet}",$K$13368),"{hausse}",$K$13369),"{civilite}",$K$13367)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389" s="37"/>
      <c r="D13389" s="37"/>
      <c r="E13389" s="37"/>
      <c r="F13389" s="37"/>
      <c r="J13389" s="25"/>
      <c r="K13389" s="25"/>
      <c r="L13389" s="25"/>
      <c r="M13389" s="25"/>
      <c r="N13389" s="25"/>
      <c r="O13389" s="25"/>
    </row>
    <row r="13390" customFormat="false" ht="24" hidden="false" customHeight="true" outlineLevel="0" collapsed="false">
      <c r="B13390" s="37" t="str">
        <f aca="false">SUBSTITUTE(SUBSTITUTE(SUBSTITUTE(SUBSTITUTE(SUBSTITUTE(Txt_P4,"{cabinet}",Cab_Nom),"{societe}",IF($K$13366=0,"",INDEX(Clients!$E$2:$E$501,$K$13366)&amp;"")),"{date_effet}",$K$13368),"{hausse}",$K$13369),"{civilite}",$K$13367)</f>
        <v>À compter du 1er janvier 2027, vos honoraires annuels hors taxes évolueront ainsi (évolution globale : ) :</v>
      </c>
      <c r="C13390" s="37"/>
      <c r="D13390" s="37"/>
      <c r="E13390" s="37"/>
      <c r="F13390" s="37"/>
      <c r="J13390" s="25"/>
      <c r="K13390" s="25"/>
      <c r="L13390" s="25"/>
      <c r="M13390" s="25"/>
      <c r="N13390" s="25"/>
      <c r="O13390" s="25"/>
    </row>
    <row r="13391" customFormat="false" ht="3.75" hidden="false" customHeight="true" outlineLevel="0" collapsed="false">
      <c r="B13391" s="10"/>
      <c r="C13391" s="10"/>
      <c r="D13391" s="10"/>
      <c r="E13391" s="10"/>
      <c r="F13391" s="10"/>
      <c r="J13391" s="25"/>
      <c r="K13391" s="25"/>
      <c r="L13391" s="25"/>
      <c r="M13391" s="25"/>
      <c r="N13391" s="25"/>
      <c r="O13391" s="25"/>
    </row>
    <row r="13392" customFormat="false" ht="18" hidden="false" customHeight="true" outlineLevel="0" collapsed="false">
      <c r="B13392" s="38" t="s">
        <v>148</v>
      </c>
      <c r="C13392" s="39" t="s">
        <v>149</v>
      </c>
      <c r="D13392" s="39" t="s">
        <v>150</v>
      </c>
      <c r="E13392" s="39" t="s">
        <v>151</v>
      </c>
      <c r="F13392" s="39" t="s">
        <v>109</v>
      </c>
      <c r="J13392" s="25" t="s">
        <v>152</v>
      </c>
      <c r="K13392" s="25" t="s">
        <v>153</v>
      </c>
      <c r="L13392" s="25" t="s">
        <v>154</v>
      </c>
      <c r="M13392" s="25" t="s">
        <v>155</v>
      </c>
      <c r="N13392" s="25" t="s">
        <v>156</v>
      </c>
      <c r="O13392" s="25" t="s">
        <v>157</v>
      </c>
    </row>
    <row r="13393" customFormat="false" ht="16.5" hidden="false" customHeight="true" outlineLevel="0" collapsed="false">
      <c r="B13393" s="40" t="str">
        <f aca="false">IFERROR(INDEX($J$13393:$J$13396,MATCH($O13393,$N$13393:$N$13396,0)),"")</f>
        <v/>
      </c>
      <c r="C13393" s="41" t="str">
        <f aca="false">IFERROR(INDEX($K$13393:$K$13396,MATCH($O13393,$N$13393:$N$13396,0)),"")</f>
        <v/>
      </c>
      <c r="D13393" s="42" t="str">
        <f aca="false">IF(OR(E13393="",N(C13393)=0),"",E13393/C13393-1)</f>
        <v/>
      </c>
      <c r="E13393" s="41" t="str">
        <f aca="false">IFERROR(INDEX($L$13393:$L$13396,MATCH($O13393,$N$13393:$N$13396,0)),"")</f>
        <v/>
      </c>
      <c r="F13393" s="41" t="str">
        <f aca="false">IF(E13393="","",E13393-C13393)</f>
        <v/>
      </c>
      <c r="J13393" s="25" t="str">
        <f aca="false">Lib_Compta</f>
        <v>Mission comptable (tenue, révision, bilan, liasse fiscale)</v>
      </c>
      <c r="K13393" s="25" t="n">
        <f aca="false">IF($K$13366=0,0,N(INDEX(Clients!$K$2:$K$501,$K$13366)))</f>
        <v>0</v>
      </c>
      <c r="L13393" s="25" t="n">
        <f aca="false">IF($K$13366=0,0,N(INDEX(Clients!$P$2:$P$501,$K$13366)))</f>
        <v>0</v>
      </c>
      <c r="M13393" s="25" t="n">
        <f aca="false">IF(OR(K13393&lt;&gt;0,L13393&lt;&gt;0),1,0)</f>
        <v>0</v>
      </c>
      <c r="N13393" s="25" t="str">
        <f aca="false">IF(M13393=1,SUM($M$13393:M13393),"")</f>
        <v/>
      </c>
      <c r="O13393" s="25" t="n">
        <v>1</v>
      </c>
    </row>
    <row r="13394" customFormat="false" ht="16.5" hidden="false" customHeight="true" outlineLevel="0" collapsed="false">
      <c r="B13394" s="40" t="str">
        <f aca="false">IFERROR(INDEX($J$13393:$J$13396,MATCH($O13394,$N$13393:$N$13396,0)),"")</f>
        <v/>
      </c>
      <c r="C13394" s="41" t="str">
        <f aca="false">IFERROR(INDEX($K$13393:$K$13396,MATCH($O13394,$N$13393:$N$13396,0)),"")</f>
        <v/>
      </c>
      <c r="D13394" s="42" t="str">
        <f aca="false">IF(OR(E13394="",N(C13394)=0),"",E13394/C13394-1)</f>
        <v/>
      </c>
      <c r="E13394" s="41" t="str">
        <f aca="false">IFERROR(INDEX($L$13393:$L$13396,MATCH($O13394,$N$13393:$N$13396,0)),"")</f>
        <v/>
      </c>
      <c r="F13394" s="41" t="str">
        <f aca="false">IF(E13394="","",E13394-C13394)</f>
        <v/>
      </c>
      <c r="J13394" s="25" t="str">
        <f aca="false">Lib_Paye</f>
        <v>Mission sociale (bulletins de paie, DSN, déclarations sociales)</v>
      </c>
      <c r="K13394" s="25" t="n">
        <f aca="false">IF($K$13366=0,0,N(INDEX(Clients!$L$2:$L$501,$K$13366)))</f>
        <v>0</v>
      </c>
      <c r="L13394" s="25" t="n">
        <f aca="false">IF($K$13366=0,0,N(INDEX(Clients!$Q$2:$Q$501,$K$13366)))</f>
        <v>0</v>
      </c>
      <c r="M13394" s="25" t="n">
        <f aca="false">IF(OR(K13394&lt;&gt;0,L13394&lt;&gt;0),1,0)</f>
        <v>0</v>
      </c>
      <c r="N13394" s="25" t="str">
        <f aca="false">IF(M13394=1,SUM($M$13393:M13394),"")</f>
        <v/>
      </c>
      <c r="O13394" s="25" t="n">
        <v>2</v>
      </c>
    </row>
    <row r="13395" customFormat="false" ht="16.5" hidden="false" customHeight="true" outlineLevel="0" collapsed="false">
      <c r="B13395" s="40" t="str">
        <f aca="false">IFERROR(INDEX($J$13393:$J$13396,MATCH($O13395,$N$13393:$N$13396,0)),"")</f>
        <v/>
      </c>
      <c r="C13395" s="41" t="str">
        <f aca="false">IFERROR(INDEX($K$13393:$K$13396,MATCH($O13395,$N$13393:$N$13396,0)),"")</f>
        <v/>
      </c>
      <c r="D13395" s="42" t="str">
        <f aca="false">IF(OR(E13395="",N(C13395)=0),"",E13395/C13395-1)</f>
        <v/>
      </c>
      <c r="E13395" s="41" t="str">
        <f aca="false">IFERROR(INDEX($L$13393:$L$13396,MATCH($O13395,$N$13393:$N$13396,0)),"")</f>
        <v/>
      </c>
      <c r="F13395" s="41" t="str">
        <f aca="false">IF(E13395="","",E13395-C13395)</f>
        <v/>
      </c>
      <c r="J13395" s="25" t="str">
        <f aca="false">Lib_Jur</f>
        <v>Mission juridique (approbation des comptes, secrétariat juridique)</v>
      </c>
      <c r="K13395" s="25" t="n">
        <f aca="false">IF($K$13366=0,0,N(INDEX(Clients!$M$2:$M$501,$K$13366)))</f>
        <v>0</v>
      </c>
      <c r="L13395" s="25" t="n">
        <f aca="false">IF($K$13366=0,0,N(INDEX(Clients!$R$2:$R$501,$K$13366)))</f>
        <v>0</v>
      </c>
      <c r="M13395" s="25" t="n">
        <f aca="false">IF(OR(K13395&lt;&gt;0,L13395&lt;&gt;0),1,0)</f>
        <v>0</v>
      </c>
      <c r="N13395" s="25" t="str">
        <f aca="false">IF(M13395=1,SUM($M$13393:M13395),"")</f>
        <v/>
      </c>
      <c r="O13395" s="25" t="n">
        <v>3</v>
      </c>
    </row>
    <row r="13396" customFormat="false" ht="16.5" hidden="false" customHeight="true" outlineLevel="0" collapsed="false">
      <c r="B13396" s="40" t="str">
        <f aca="false">IFERROR(INDEX($J$13393:$J$13396,MATCH($O13396,$N$13393:$N$13396,0)),"")</f>
        <v/>
      </c>
      <c r="C13396" s="41" t="str">
        <f aca="false">IFERROR(INDEX($K$13393:$K$13396,MATCH($O13396,$N$13393:$N$13396,0)),"")</f>
        <v/>
      </c>
      <c r="D13396" s="42" t="str">
        <f aca="false">IF(OR(E13396="",N(C13396)=0),"",E13396/C13396-1)</f>
        <v/>
      </c>
      <c r="E13396" s="41" t="str">
        <f aca="false">IFERROR(INDEX($L$13393:$L$13396,MATCH($O13396,$N$13393:$N$13396,0)),"")</f>
        <v/>
      </c>
      <c r="F13396" s="41" t="str">
        <f aca="false">IF(E13396="","",E13396-C13396)</f>
        <v/>
      </c>
      <c r="J13396" s="25" t="str">
        <f aca="false">Lib_PA</f>
        <v>Plateforme agréée – facturation électronique</v>
      </c>
      <c r="K13396" s="25" t="n">
        <f aca="false">IF($K$13366=0,0,N(INDEX(Clients!$N$2:$N$501,$K$13366)))</f>
        <v>0</v>
      </c>
      <c r="L13396" s="25" t="n">
        <f aca="false">IF($K$13366=0,0,N(INDEX(Clients!$S$2:$S$501,$K$13366)))</f>
        <v>0</v>
      </c>
      <c r="M13396" s="25" t="n">
        <f aca="false">IF(OR(K13396&lt;&gt;0,L13396&lt;&gt;0),1,0)</f>
        <v>0</v>
      </c>
      <c r="N13396" s="25" t="str">
        <f aca="false">IF(M13396=1,SUM($M$13393:M13396),"")</f>
        <v/>
      </c>
      <c r="O13396" s="25" t="n">
        <v>4</v>
      </c>
    </row>
    <row r="13397" customFormat="false" ht="18" hidden="false" customHeight="true" outlineLevel="0" collapsed="false">
      <c r="B13397" s="43" t="s">
        <v>158</v>
      </c>
      <c r="C13397" s="44" t="n">
        <f aca="false">SUM(K13393:K13396)</f>
        <v>0</v>
      </c>
      <c r="D13397" s="45" t="str">
        <f aca="false">IF(N(C13397)=0,"",E13397/C13397-1)</f>
        <v/>
      </c>
      <c r="E13397" s="44" t="n">
        <f aca="false">SUM(L13393:L13396)</f>
        <v>0</v>
      </c>
      <c r="F13397" s="44" t="n">
        <f aca="false">E13397-C13397</f>
        <v>0</v>
      </c>
    </row>
    <row r="13398" customFormat="false" ht="15" hidden="false" customHeight="false" outlineLevel="0" collapsed="false">
      <c r="B13398" s="46" t="str">
        <f aca="false">IF(N(Nb_Mensualites)=0,"","Soit "&amp;FIXED(E13397/Nb_Mensualites,2)&amp;" € HT par échéance ("&amp;Nb_Mensualites&amp;" échéances), "&amp;FIXED(E13397/Nb_Mensualites*(1+Taux_TVA),2)&amp;" € TTC.")</f>
        <v>Soit 0.00 € HT par échéance (12 échéances), 0.00 € TTC.</v>
      </c>
      <c r="C13398" s="46"/>
      <c r="D13398" s="46"/>
      <c r="E13398" s="46"/>
      <c r="F13398" s="46"/>
    </row>
    <row r="13399" customFormat="false" ht="7.5" hidden="false" customHeight="true" outlineLevel="0" collapsed="false">
      <c r="B13399" s="10"/>
      <c r="C13399" s="10"/>
      <c r="D13399" s="10"/>
      <c r="E13399" s="10"/>
      <c r="F13399" s="10"/>
    </row>
    <row r="13400" customFormat="false" ht="36.75" hidden="false" customHeight="true" outlineLevel="0" collapsed="false">
      <c r="B13400" s="37" t="str">
        <f aca="false">SUBSTITUTE(SUBSTITUTE(SUBSTITUTE(SUBSTITUTE(SUBSTITUTE(Txt_P5,"{cabinet}",Cab_Nom),"{societe}",IF($K$13366=0,"",INDEX(Clients!$E$2:$E$501,$K$13366)&amp;"")),"{date_effet}",$K$13368),"{hausse}",$K$13369),"{civilite}",$K$13367)</f>
        <v>Les autres conditions de votre lettre de mission demeurent inchangées. Les nouveaux montants seront appliqués automatiquement sur vos prochaines factures et échéances de prélèvement.</v>
      </c>
      <c r="C13400" s="37"/>
      <c r="D13400" s="37"/>
      <c r="E13400" s="37"/>
      <c r="F13400" s="37"/>
    </row>
    <row r="13401" customFormat="false" ht="36.75" hidden="false" customHeight="true" outlineLevel="0" collapsed="false">
      <c r="B13401" s="37" t="str">
        <f aca="false">SUBSTITUTE(SUBSTITUTE(SUBSTITUTE(SUBSTITUTE(SUBSTITUTE(Txt_P6,"{cabinet}",Cab_Nom),"{societe}",IF($K$13366=0,"",INDEX(Clients!$E$2:$E$501,$K$13366)&amp;"")),"{date_effet}",$K$13368),"{hausse}",$K$13369),"{civilite}",$K$13367)</f>
        <v>Votre interlocuteur habituel reste à votre entière disposition pour répondre à vos questions et faire le point sur l'évolution de vos besoins.</v>
      </c>
      <c r="C13401" s="37"/>
      <c r="D13401" s="37"/>
      <c r="E13401" s="37"/>
      <c r="F13401" s="37"/>
    </row>
    <row r="13402" customFormat="false" ht="24" hidden="false" customHeight="true" outlineLevel="0" collapsed="false">
      <c r="B13402" s="37" t="str">
        <f aca="false">SUBSTITUTE(SUBSTITUTE(SUBSTITUTE(SUBSTITUTE(SUBSTITUTE(Txt_Politesse,"{cabinet}",Cab_Nom),"{societe}",IF($K$13366=0,"",INDEX(Clients!$E$2:$E$501,$K$13366)&amp;"")),"{date_effet}",$K$13368),"{hausse}",$K$13369),"{civilite}",$K$13367)</f>
        <v>Nous vous prions d'agréer, Madame, Monsieur, l'expression de nos salutations distinguées.</v>
      </c>
      <c r="C13402" s="37"/>
      <c r="D13402" s="37"/>
      <c r="E13402" s="37"/>
      <c r="F13402" s="37"/>
    </row>
    <row r="13403" customFormat="false" ht="15" hidden="false" customHeight="false" outlineLevel="0" collapsed="false">
      <c r="B13403" s="10"/>
      <c r="C13403" s="10"/>
      <c r="D13403" s="10"/>
      <c r="E13403" s="10"/>
      <c r="F13403" s="10"/>
    </row>
    <row r="13404" customFormat="false" ht="15" hidden="false" customHeight="false" outlineLevel="0" collapsed="false">
      <c r="B13404" s="10"/>
      <c r="C13404" s="10"/>
      <c r="D13404" s="34" t="str">
        <f aca="false">Signataire</f>
        <v>Prénom NOM</v>
      </c>
      <c r="E13404" s="34"/>
      <c r="F13404" s="34"/>
    </row>
    <row r="13405" customFormat="false" ht="15" hidden="false" customHeight="false" outlineLevel="0" collapsed="false">
      <c r="B13405" s="10"/>
      <c r="C13405" s="10"/>
      <c r="D13405" s="47" t="str">
        <f aca="false">Signataire_Titre</f>
        <v>Expert-comptable associé</v>
      </c>
      <c r="E13405" s="47"/>
      <c r="F13405" s="47"/>
    </row>
    <row r="13406" customFormat="false" ht="15.75" hidden="false" customHeight="true" outlineLevel="0" collapsed="false">
      <c r="B13406" s="10"/>
      <c r="C13406" s="10"/>
      <c r="D13406" s="10"/>
      <c r="E13406" s="10"/>
      <c r="F13406" s="10"/>
    </row>
    <row r="13407" customFormat="false" ht="15.75" hidden="false" customHeight="true" outlineLevel="0" collapsed="false">
      <c r="B13407" s="10"/>
      <c r="C13407" s="10"/>
      <c r="D13407" s="10"/>
      <c r="E13407" s="10"/>
      <c r="F13407" s="10"/>
    </row>
    <row r="13408" customFormat="false" ht="15.75" hidden="false" customHeight="true" outlineLevel="0" collapsed="false">
      <c r="B13408" s="10"/>
      <c r="C13408" s="10"/>
      <c r="D13408" s="10"/>
      <c r="E13408" s="10"/>
      <c r="F13408" s="10"/>
    </row>
    <row r="13409" customFormat="false" ht="15.75" hidden="false" customHeight="true" outlineLevel="0" collapsed="false">
      <c r="B13409" s="10"/>
      <c r="C13409" s="10"/>
      <c r="D13409" s="10"/>
      <c r="E13409" s="10"/>
      <c r="F13409" s="10"/>
    </row>
    <row r="13410" customFormat="false" ht="24" hidden="false" customHeight="true" outlineLevel="0" collapsed="false">
      <c r="B13410" s="48" t="str">
        <f aca="false">Cab_Mentions</f>
        <v>ALTHO EXPERTISE · SAS au capital de 10 000 € · RCS Pontoise 919 706 325 · TVA FR62919706325 · Société d'expertise comptable inscrite au Tableau de l'Ordre des experts-comptables de Paris Île-de-France</v>
      </c>
      <c r="C13410" s="48"/>
      <c r="D13410" s="48"/>
      <c r="E13410" s="48"/>
      <c r="F13410" s="48"/>
    </row>
    <row r="13411" customFormat="false" ht="15" hidden="false" customHeight="false" outlineLevel="0" collapsed="false">
      <c r="B13411" s="10"/>
      <c r="C13411" s="10"/>
      <c r="D13411" s="10"/>
      <c r="E13411" s="10"/>
      <c r="F13411" s="10"/>
      <c r="J13411" s="25" t="s">
        <v>142</v>
      </c>
      <c r="K13411" s="25" t="n">
        <f aca="false">IFERROR(MATCH(299,Clients!$Z$2:$Z$501,0),0)</f>
        <v>0</v>
      </c>
      <c r="L13411" s="25"/>
      <c r="M13411" s="25"/>
      <c r="N13411" s="25"/>
      <c r="O13411" s="25"/>
    </row>
    <row r="13412" customFormat="false" ht="21.75" hidden="false" customHeight="true" outlineLevel="0" collapsed="false">
      <c r="B13412" s="26" t="str">
        <f aca="false">Cab_Nom</f>
        <v>ALTHO EXPERTISE</v>
      </c>
      <c r="C13412" s="26"/>
      <c r="D13412" s="10"/>
      <c r="E13412" s="27" t="str">
        <f aca="false">IF($K$13411=0,"","Réf. client : "&amp;INDEX(Clients!$A$2:$A$501,$K$13411))</f>
        <v/>
      </c>
      <c r="F13412" s="27"/>
      <c r="J13412" s="25" t="s">
        <v>144</v>
      </c>
      <c r="K13412" s="25" t="str">
        <f aca="false">IF(IF($K$13411=0,"",INDEX(Clients!$B$2:$B$501,$K$13411)&amp;"")="Mme","Madame",IF(IF($K$13411=0,"",INDEX(Clients!$B$2:$B$501,$K$13411)&amp;"")="M.","Monsieur","Madame, Monsieur"))</f>
        <v>Madame, Monsieur</v>
      </c>
      <c r="L13412" s="25"/>
      <c r="M13412" s="25"/>
      <c r="N13412" s="25"/>
      <c r="O13412" s="25"/>
    </row>
    <row r="13413" customFormat="false" ht="15" hidden="false" customHeight="false" outlineLevel="0" collapsed="false">
      <c r="B13413" s="29" t="str">
        <f aca="false">Cab_Adr1</f>
        <v>141 rue Charles de Gaulle</v>
      </c>
      <c r="C13413" s="29"/>
      <c r="D13413" s="10"/>
      <c r="E13413" s="10"/>
      <c r="F13413" s="10"/>
      <c r="J13413" s="25" t="s">
        <v>145</v>
      </c>
      <c r="K13413" s="25" t="str">
        <f aca="false">DAY(Date_Effet)&amp;IF(DAY(Date_Effet)=1,"er","")&amp;" "&amp;INDEX(Liste_Mois,MONTH(Date_Effet))&amp;" "&amp;YEAR(Date_Effet)</f>
        <v>1er janvier 2027</v>
      </c>
      <c r="L13413" s="25"/>
      <c r="M13413" s="25"/>
      <c r="N13413" s="25"/>
      <c r="O13413" s="25"/>
    </row>
    <row r="13414" customFormat="false" ht="15" hidden="false" customHeight="false" outlineLevel="0" collapsed="false">
      <c r="B13414" s="29" t="str">
        <f aca="false">Cab_CPVille</f>
        <v>95130 LE PLESSIS-BOUCHARD</v>
      </c>
      <c r="C13414" s="29"/>
      <c r="D13414" s="10"/>
      <c r="E13414" s="10"/>
      <c r="F13414" s="10"/>
      <c r="J13414" s="25" t="s">
        <v>146</v>
      </c>
      <c r="K13414" s="25" t="str">
        <f aca="false">IF(SUM($K$13438:$K$13441)=0,"",FIXED((SUM($L$13438:$L$13441)/SUM($K$13438:$K$13441)-1)*100,1)&amp;" %")</f>
        <v/>
      </c>
      <c r="L13414" s="25"/>
      <c r="M13414" s="25"/>
      <c r="N13414" s="25"/>
      <c r="O13414" s="25"/>
    </row>
    <row r="13415" customFormat="false" ht="15" hidden="false" customHeight="false" outlineLevel="0" collapsed="false">
      <c r="B13415" s="29" t="str">
        <f aca="false">Cab_Contact</f>
        <v>Tél. 01 34 14 53 45  ·  altho@altho-experts.com  ·  altho-experts.com</v>
      </c>
      <c r="C13415" s="29"/>
      <c r="D13415" s="10"/>
      <c r="E13415" s="10"/>
      <c r="F13415" s="10"/>
      <c r="J13415" s="25"/>
      <c r="K13415" s="25"/>
      <c r="L13415" s="25"/>
      <c r="M13415" s="25"/>
      <c r="N13415" s="25"/>
      <c r="O13415" s="25"/>
    </row>
    <row r="13416" customFormat="false" ht="6" hidden="false" customHeight="true" outlineLevel="0" collapsed="false">
      <c r="B13416" s="32"/>
      <c r="C13416" s="32"/>
      <c r="D13416" s="32"/>
      <c r="E13416" s="32"/>
      <c r="F13416" s="32"/>
      <c r="J13416" s="25"/>
      <c r="K13416" s="25"/>
      <c r="L13416" s="25"/>
      <c r="M13416" s="25"/>
      <c r="N13416" s="25"/>
      <c r="O13416" s="25"/>
    </row>
    <row r="13417" customFormat="false" ht="13.5" hidden="false" customHeight="true" outlineLevel="0" collapsed="false">
      <c r="B13417" s="10"/>
      <c r="C13417" s="10"/>
      <c r="D13417" s="10"/>
      <c r="E13417" s="10"/>
      <c r="F13417" s="10"/>
      <c r="J13417" s="25"/>
      <c r="K13417" s="25"/>
      <c r="L13417" s="25"/>
      <c r="M13417" s="25"/>
      <c r="N13417" s="25"/>
      <c r="O13417" s="25"/>
    </row>
    <row r="13418" customFormat="false" ht="13.5" hidden="false" customHeight="true" outlineLevel="0" collapsed="false">
      <c r="B13418" s="10"/>
      <c r="C13418" s="10"/>
      <c r="D13418" s="10"/>
      <c r="E13418" s="10"/>
      <c r="F13418" s="10"/>
      <c r="J13418" s="25"/>
      <c r="K13418" s="25"/>
      <c r="L13418" s="25"/>
      <c r="M13418" s="25"/>
      <c r="N13418" s="25"/>
      <c r="O13418" s="25"/>
    </row>
    <row r="13419" customFormat="false" ht="13.5" hidden="false" customHeight="true" outlineLevel="0" collapsed="false">
      <c r="B13419" s="10"/>
      <c r="C13419" s="10"/>
      <c r="D13419" s="10"/>
      <c r="E13419" s="10"/>
      <c r="F13419" s="10"/>
      <c r="J13419" s="25"/>
      <c r="K13419" s="25"/>
      <c r="L13419" s="25"/>
      <c r="M13419" s="25"/>
      <c r="N13419" s="25"/>
      <c r="O13419" s="25"/>
    </row>
    <row r="13420" customFormat="false" ht="15" hidden="false" customHeight="true" outlineLevel="0" collapsed="false">
      <c r="B13420" s="10"/>
      <c r="C13420" s="10"/>
      <c r="D13420" s="34" t="str">
        <f aca="false">IF($K$13411=0,"",INDEX(Clients!$E$2:$E$501,$K$13411)&amp;"")</f>
        <v/>
      </c>
      <c r="E13420" s="34"/>
      <c r="F13420" s="34"/>
      <c r="J13420" s="25"/>
      <c r="K13420" s="25"/>
      <c r="L13420" s="25"/>
      <c r="M13420" s="25"/>
      <c r="N13420" s="25"/>
      <c r="O13420" s="25"/>
    </row>
    <row r="13421" customFormat="false" ht="15" hidden="false" customHeight="true" outlineLevel="0" collapsed="false">
      <c r="B13421" s="10"/>
      <c r="C13421" s="10"/>
      <c r="D13421" s="35" t="str">
        <f aca="false">IF(IF($K$13411=0,"",INDEX(Clients!$D$2:$D$501,$K$13411)&amp;"")="","","À l'attention de "&amp;TRIM(IF($K$13411=0,"",INDEX(Clients!$B$2:$B$501,$K$13411)&amp;"")&amp;" "&amp;IF($K$13411=0,"",INDEX(Clients!$C$2:$C$501,$K$13411)&amp;"")&amp;" "&amp;IF($K$13411=0,"",INDEX(Clients!$D$2:$D$501,$K$13411)&amp;"")))</f>
        <v/>
      </c>
      <c r="E13421" s="35"/>
      <c r="F13421" s="35"/>
      <c r="J13421" s="25"/>
      <c r="K13421" s="25"/>
      <c r="L13421" s="25"/>
      <c r="M13421" s="25"/>
      <c r="N13421" s="25"/>
      <c r="O13421" s="25"/>
    </row>
    <row r="13422" customFormat="false" ht="15" hidden="false" customHeight="true" outlineLevel="0" collapsed="false">
      <c r="B13422" s="10"/>
      <c r="C13422" s="10"/>
      <c r="D13422" s="35" t="str">
        <f aca="false">IF($K$13411=0,"",INDEX(Clients!$F$2:$F$501,$K$13411)&amp;"")</f>
        <v/>
      </c>
      <c r="E13422" s="35"/>
      <c r="F13422" s="35"/>
      <c r="J13422" s="25"/>
      <c r="K13422" s="25"/>
      <c r="L13422" s="25"/>
      <c r="M13422" s="25"/>
      <c r="N13422" s="25"/>
      <c r="O13422" s="25"/>
    </row>
    <row r="13423" customFormat="false" ht="15" hidden="false" customHeight="true" outlineLevel="0" collapsed="false">
      <c r="B13423" s="10"/>
      <c r="C13423" s="10"/>
      <c r="D13423" s="35" t="str">
        <f aca="false">IF(IF($K$13411=0,"",INDEX(Clients!$G$2:$G$501,$K$13411)&amp;"")="",TRIM(IF($K$13411=0,"",INDEX(Clients!$H$2:$H$501,$K$13411)&amp;"")&amp;" "&amp;UPPER(IF($K$13411=0,"",INDEX(Clients!$I$2:$I$501,$K$13411)&amp;""))),IF($K$13411=0,"",INDEX(Clients!$G$2:$G$501,$K$13411)&amp;""))</f>
        <v/>
      </c>
      <c r="E13423" s="35"/>
      <c r="F13423" s="35"/>
      <c r="J13423" s="25"/>
      <c r="K13423" s="25"/>
      <c r="L13423" s="25"/>
      <c r="M13423" s="25"/>
      <c r="N13423" s="25"/>
      <c r="O13423" s="25"/>
    </row>
    <row r="13424" customFormat="false" ht="15" hidden="false" customHeight="true" outlineLevel="0" collapsed="false">
      <c r="B13424" s="10"/>
      <c r="C13424" s="10"/>
      <c r="D13424" s="35" t="str">
        <f aca="false">IF(IF($K$13411=0,"",INDEX(Clients!$G$2:$G$501,$K$13411)&amp;"")="","",TRIM(IF($K$13411=0,"",INDEX(Clients!$H$2:$H$501,$K$13411)&amp;"")&amp;" "&amp;UPPER(IF($K$13411=0,"",INDEX(Clients!$I$2:$I$501,$K$13411)&amp;""))))</f>
        <v/>
      </c>
      <c r="E13424" s="35"/>
      <c r="F13424" s="35"/>
      <c r="J13424" s="25"/>
      <c r="K13424" s="25"/>
      <c r="L13424" s="25"/>
      <c r="M13424" s="25"/>
      <c r="N13424" s="25"/>
      <c r="O13424" s="25"/>
    </row>
    <row r="13425" customFormat="false" ht="25.5" hidden="false" customHeight="true" outlineLevel="0" collapsed="false">
      <c r="B13425" s="10"/>
      <c r="C13425" s="10"/>
      <c r="D13425" s="10"/>
      <c r="E13425" s="10"/>
      <c r="F13425" s="10"/>
      <c r="J13425" s="25"/>
      <c r="K13425" s="25"/>
      <c r="L13425" s="25"/>
      <c r="M13425" s="25"/>
      <c r="N13425" s="25"/>
      <c r="O13425" s="25"/>
    </row>
    <row r="13426" customFormat="false" ht="15" hidden="false" customHeight="false" outlineLevel="0" collapsed="false">
      <c r="B13426" s="10"/>
      <c r="C13426" s="10"/>
      <c r="D13426" s="36" t="str">
        <f aca="false">Cab_Ville&amp;", le "&amp;DAY(Date_Courrier)&amp;IF(DAY(Date_Courrier)=1,"er","")&amp;" "&amp;INDEX(Liste_Mois,MONTH(Date_Courrier))&amp;" "&amp;YEAR(Date_Courrier)</f>
        <v>Le Plessis-Bouchard, le 22 septembre 2026</v>
      </c>
      <c r="E13426" s="36"/>
      <c r="F13426" s="36"/>
      <c r="J13426" s="25"/>
      <c r="K13426" s="25"/>
      <c r="L13426" s="25"/>
      <c r="M13426" s="25"/>
      <c r="N13426" s="25"/>
      <c r="O13426" s="25"/>
    </row>
    <row r="13427" customFormat="false" ht="19.5" hidden="false" customHeight="true" outlineLevel="0" collapsed="false">
      <c r="B13427" s="10"/>
      <c r="C13427" s="10"/>
      <c r="D13427" s="10"/>
      <c r="E13427" s="10"/>
      <c r="F13427" s="10"/>
      <c r="J13427" s="25"/>
      <c r="K13427" s="25"/>
      <c r="L13427" s="25"/>
      <c r="M13427" s="25"/>
      <c r="N13427" s="25"/>
      <c r="O13427" s="25"/>
    </row>
    <row r="13428" customFormat="false" ht="15" hidden="false" customHeight="false" outlineLevel="0" collapsed="false">
      <c r="B13428" s="34" t="str">
        <f aca="false">SUBSTITUTE(SUBSTITUTE(SUBSTITUTE(SUBSTITUTE(SUBSTITUTE(Txt_Objet,"{cabinet}",Cab_Nom),"{societe}",IF($K$13411=0,"",INDEX(Clients!$E$2:$E$501,$K$13411)&amp;"")),"{date_effet}",$K$13413),"{hausse}",$K$13414),"{civilite}",$K$13412)</f>
        <v>Objet : révision de nos honoraires au 1er janvier 2027</v>
      </c>
      <c r="C13428" s="34"/>
      <c r="D13428" s="34"/>
      <c r="E13428" s="34"/>
      <c r="F13428" s="34"/>
      <c r="J13428" s="25"/>
      <c r="K13428" s="25"/>
      <c r="L13428" s="25"/>
      <c r="M13428" s="25"/>
      <c r="N13428" s="25"/>
      <c r="O13428" s="25"/>
    </row>
    <row r="13429" customFormat="false" ht="13.5" hidden="false" customHeight="true" outlineLevel="0" collapsed="false">
      <c r="B13429" s="10"/>
      <c r="C13429" s="10"/>
      <c r="D13429" s="10"/>
      <c r="E13429" s="10"/>
      <c r="F13429" s="10"/>
      <c r="J13429" s="25"/>
      <c r="K13429" s="25"/>
      <c r="L13429" s="25"/>
      <c r="M13429" s="25"/>
      <c r="N13429" s="25"/>
      <c r="O13429" s="25"/>
    </row>
    <row r="13430" customFormat="false" ht="15" hidden="false" customHeight="false" outlineLevel="0" collapsed="false">
      <c r="B13430" s="10" t="str">
        <f aca="false">$K$13412&amp;","</f>
        <v>Madame, Monsieur,</v>
      </c>
      <c r="C13430" s="10"/>
      <c r="D13430" s="10"/>
      <c r="E13430" s="10"/>
      <c r="F13430" s="10"/>
      <c r="J13430" s="25"/>
      <c r="K13430" s="25"/>
      <c r="L13430" s="25"/>
      <c r="M13430" s="25"/>
      <c r="N13430" s="25"/>
      <c r="O13430" s="25"/>
    </row>
    <row r="13431" customFormat="false" ht="6" hidden="false" customHeight="true" outlineLevel="0" collapsed="false">
      <c r="B13431" s="10"/>
      <c r="C13431" s="10"/>
      <c r="D13431" s="10"/>
      <c r="E13431" s="10"/>
      <c r="F13431" s="10"/>
      <c r="J13431" s="25"/>
      <c r="K13431" s="25"/>
      <c r="L13431" s="25"/>
      <c r="M13431" s="25"/>
      <c r="N13431" s="25"/>
      <c r="O13431" s="25"/>
    </row>
    <row r="13432" customFormat="false" ht="36.75" hidden="false" customHeight="true" outlineLevel="0" collapsed="false">
      <c r="B13432" s="37" t="str">
        <f aca="false">SUBSTITUTE(SUBSTITUTE(SUBSTITUTE(SUBSTITUTE(SUBSTITUTE(Txt_P1,"{cabinet}",Cab_Nom),"{societe}",IF($K$13411=0,"",INDEX(Clients!$E$2:$E$501,$K$13411)&amp;"")),"{date_effet}",$K$13413),"{hausse}",$K$13414),"{civilite}",$K$13412)</f>
        <v>Nous tenons tout d'abord à vous remercier pour la confiance que vous accordez à ALTHO EXPERTISE. Comme chaque année, et conformément aux dispositions de votre lettre de mission, nous procédons à la révision de nos honoraires.</v>
      </c>
      <c r="C13432" s="37"/>
      <c r="D13432" s="37"/>
      <c r="E13432" s="37"/>
      <c r="F13432" s="37"/>
      <c r="J13432" s="25"/>
      <c r="K13432" s="25"/>
      <c r="L13432" s="25"/>
      <c r="M13432" s="25"/>
      <c r="N13432" s="25"/>
      <c r="O13432" s="25"/>
    </row>
    <row r="13433" customFormat="false" ht="49.5" hidden="false" customHeight="true" outlineLevel="0" collapsed="false">
      <c r="B13433" s="37" t="str">
        <f aca="false">SUBSTITUTE(SUBSTITUTE(SUBSTITUTE(SUBSTITUTE(SUBSTITUTE(Txt_P2,"{cabinet}",Cab_Nom),"{societe}",IF($K$13411=0,"",INDEX(Clients!$E$2:$E$501,$K$13411)&amp;"")),"{date_effet}",$K$13413),"{hausse}",$K$13414),"{civilite}",$K$13412)</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433" s="37"/>
      <c r="D13433" s="37"/>
      <c r="E13433" s="37"/>
      <c r="F13433" s="37"/>
      <c r="J13433" s="25"/>
      <c r="K13433" s="25"/>
      <c r="L13433" s="25"/>
      <c r="M13433" s="25"/>
      <c r="N13433" s="25"/>
      <c r="O13433" s="25"/>
    </row>
    <row r="13434" customFormat="false" ht="63" hidden="false" customHeight="true" outlineLevel="0" collapsed="false">
      <c r="B13434" s="37" t="str">
        <f aca="false">SUBSTITUTE(SUBSTITUTE(SUBSTITUTE(SUBSTITUTE(SUBSTITUTE(Txt_P3,"{cabinet}",Cab_Nom),"{societe}",IF($K$13411=0,"",INDEX(Clients!$E$2:$E$501,$K$13411)&amp;"")),"{date_effet}",$K$13413),"{hausse}",$K$13414),"{civilite}",$K$13412)</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434" s="37"/>
      <c r="D13434" s="37"/>
      <c r="E13434" s="37"/>
      <c r="F13434" s="37"/>
      <c r="J13434" s="25"/>
      <c r="K13434" s="25"/>
      <c r="L13434" s="25"/>
      <c r="M13434" s="25"/>
      <c r="N13434" s="25"/>
      <c r="O13434" s="25"/>
    </row>
    <row r="13435" customFormat="false" ht="24" hidden="false" customHeight="true" outlineLevel="0" collapsed="false">
      <c r="B13435" s="37" t="str">
        <f aca="false">SUBSTITUTE(SUBSTITUTE(SUBSTITUTE(SUBSTITUTE(SUBSTITUTE(Txt_P4,"{cabinet}",Cab_Nom),"{societe}",IF($K$13411=0,"",INDEX(Clients!$E$2:$E$501,$K$13411)&amp;"")),"{date_effet}",$K$13413),"{hausse}",$K$13414),"{civilite}",$K$13412)</f>
        <v>À compter du 1er janvier 2027, vos honoraires annuels hors taxes évolueront ainsi (évolution globale : ) :</v>
      </c>
      <c r="C13435" s="37"/>
      <c r="D13435" s="37"/>
      <c r="E13435" s="37"/>
      <c r="F13435" s="37"/>
      <c r="J13435" s="25"/>
      <c r="K13435" s="25"/>
      <c r="L13435" s="25"/>
      <c r="M13435" s="25"/>
      <c r="N13435" s="25"/>
      <c r="O13435" s="25"/>
    </row>
    <row r="13436" customFormat="false" ht="3.75" hidden="false" customHeight="true" outlineLevel="0" collapsed="false">
      <c r="B13436" s="10"/>
      <c r="C13436" s="10"/>
      <c r="D13436" s="10"/>
      <c r="E13436" s="10"/>
      <c r="F13436" s="10"/>
      <c r="J13436" s="25"/>
      <c r="K13436" s="25"/>
      <c r="L13436" s="25"/>
      <c r="M13436" s="25"/>
      <c r="N13436" s="25"/>
      <c r="O13436" s="25"/>
    </row>
    <row r="13437" customFormat="false" ht="18" hidden="false" customHeight="true" outlineLevel="0" collapsed="false">
      <c r="B13437" s="38" t="s">
        <v>148</v>
      </c>
      <c r="C13437" s="39" t="s">
        <v>149</v>
      </c>
      <c r="D13437" s="39" t="s">
        <v>150</v>
      </c>
      <c r="E13437" s="39" t="s">
        <v>151</v>
      </c>
      <c r="F13437" s="39" t="s">
        <v>109</v>
      </c>
      <c r="J13437" s="25" t="s">
        <v>152</v>
      </c>
      <c r="K13437" s="25" t="s">
        <v>153</v>
      </c>
      <c r="L13437" s="25" t="s">
        <v>154</v>
      </c>
      <c r="M13437" s="25" t="s">
        <v>155</v>
      </c>
      <c r="N13437" s="25" t="s">
        <v>156</v>
      </c>
      <c r="O13437" s="25" t="s">
        <v>157</v>
      </c>
    </row>
    <row r="13438" customFormat="false" ht="16.5" hidden="false" customHeight="true" outlineLevel="0" collapsed="false">
      <c r="B13438" s="40" t="str">
        <f aca="false">IFERROR(INDEX($J$13438:$J$13441,MATCH($O13438,$N$13438:$N$13441,0)),"")</f>
        <v/>
      </c>
      <c r="C13438" s="41" t="str">
        <f aca="false">IFERROR(INDEX($K$13438:$K$13441,MATCH($O13438,$N$13438:$N$13441,0)),"")</f>
        <v/>
      </c>
      <c r="D13438" s="42" t="str">
        <f aca="false">IF(OR(E13438="",N(C13438)=0),"",E13438/C13438-1)</f>
        <v/>
      </c>
      <c r="E13438" s="41" t="str">
        <f aca="false">IFERROR(INDEX($L$13438:$L$13441,MATCH($O13438,$N$13438:$N$13441,0)),"")</f>
        <v/>
      </c>
      <c r="F13438" s="41" t="str">
        <f aca="false">IF(E13438="","",E13438-C13438)</f>
        <v/>
      </c>
      <c r="J13438" s="25" t="str">
        <f aca="false">Lib_Compta</f>
        <v>Mission comptable (tenue, révision, bilan, liasse fiscale)</v>
      </c>
      <c r="K13438" s="25" t="n">
        <f aca="false">IF($K$13411=0,0,N(INDEX(Clients!$K$2:$K$501,$K$13411)))</f>
        <v>0</v>
      </c>
      <c r="L13438" s="25" t="n">
        <f aca="false">IF($K$13411=0,0,N(INDEX(Clients!$P$2:$P$501,$K$13411)))</f>
        <v>0</v>
      </c>
      <c r="M13438" s="25" t="n">
        <f aca="false">IF(OR(K13438&lt;&gt;0,L13438&lt;&gt;0),1,0)</f>
        <v>0</v>
      </c>
      <c r="N13438" s="25" t="str">
        <f aca="false">IF(M13438=1,SUM($M$13438:M13438),"")</f>
        <v/>
      </c>
      <c r="O13438" s="25" t="n">
        <v>1</v>
      </c>
    </row>
    <row r="13439" customFormat="false" ht="16.5" hidden="false" customHeight="true" outlineLevel="0" collapsed="false">
      <c r="B13439" s="40" t="str">
        <f aca="false">IFERROR(INDEX($J$13438:$J$13441,MATCH($O13439,$N$13438:$N$13441,0)),"")</f>
        <v/>
      </c>
      <c r="C13439" s="41" t="str">
        <f aca="false">IFERROR(INDEX($K$13438:$K$13441,MATCH($O13439,$N$13438:$N$13441,0)),"")</f>
        <v/>
      </c>
      <c r="D13439" s="42" t="str">
        <f aca="false">IF(OR(E13439="",N(C13439)=0),"",E13439/C13439-1)</f>
        <v/>
      </c>
      <c r="E13439" s="41" t="str">
        <f aca="false">IFERROR(INDEX($L$13438:$L$13441,MATCH($O13439,$N$13438:$N$13441,0)),"")</f>
        <v/>
      </c>
      <c r="F13439" s="41" t="str">
        <f aca="false">IF(E13439="","",E13439-C13439)</f>
        <v/>
      </c>
      <c r="J13439" s="25" t="str">
        <f aca="false">Lib_Paye</f>
        <v>Mission sociale (bulletins de paie, DSN, déclarations sociales)</v>
      </c>
      <c r="K13439" s="25" t="n">
        <f aca="false">IF($K$13411=0,0,N(INDEX(Clients!$L$2:$L$501,$K$13411)))</f>
        <v>0</v>
      </c>
      <c r="L13439" s="25" t="n">
        <f aca="false">IF($K$13411=0,0,N(INDEX(Clients!$Q$2:$Q$501,$K$13411)))</f>
        <v>0</v>
      </c>
      <c r="M13439" s="25" t="n">
        <f aca="false">IF(OR(K13439&lt;&gt;0,L13439&lt;&gt;0),1,0)</f>
        <v>0</v>
      </c>
      <c r="N13439" s="25" t="str">
        <f aca="false">IF(M13439=1,SUM($M$13438:M13439),"")</f>
        <v/>
      </c>
      <c r="O13439" s="25" t="n">
        <v>2</v>
      </c>
    </row>
    <row r="13440" customFormat="false" ht="16.5" hidden="false" customHeight="true" outlineLevel="0" collapsed="false">
      <c r="B13440" s="40" t="str">
        <f aca="false">IFERROR(INDEX($J$13438:$J$13441,MATCH($O13440,$N$13438:$N$13441,0)),"")</f>
        <v/>
      </c>
      <c r="C13440" s="41" t="str">
        <f aca="false">IFERROR(INDEX($K$13438:$K$13441,MATCH($O13440,$N$13438:$N$13441,0)),"")</f>
        <v/>
      </c>
      <c r="D13440" s="42" t="str">
        <f aca="false">IF(OR(E13440="",N(C13440)=0),"",E13440/C13440-1)</f>
        <v/>
      </c>
      <c r="E13440" s="41" t="str">
        <f aca="false">IFERROR(INDEX($L$13438:$L$13441,MATCH($O13440,$N$13438:$N$13441,0)),"")</f>
        <v/>
      </c>
      <c r="F13440" s="41" t="str">
        <f aca="false">IF(E13440="","",E13440-C13440)</f>
        <v/>
      </c>
      <c r="J13440" s="25" t="str">
        <f aca="false">Lib_Jur</f>
        <v>Mission juridique (approbation des comptes, secrétariat juridique)</v>
      </c>
      <c r="K13440" s="25" t="n">
        <f aca="false">IF($K$13411=0,0,N(INDEX(Clients!$M$2:$M$501,$K$13411)))</f>
        <v>0</v>
      </c>
      <c r="L13440" s="25" t="n">
        <f aca="false">IF($K$13411=0,0,N(INDEX(Clients!$R$2:$R$501,$K$13411)))</f>
        <v>0</v>
      </c>
      <c r="M13440" s="25" t="n">
        <f aca="false">IF(OR(K13440&lt;&gt;0,L13440&lt;&gt;0),1,0)</f>
        <v>0</v>
      </c>
      <c r="N13440" s="25" t="str">
        <f aca="false">IF(M13440=1,SUM($M$13438:M13440),"")</f>
        <v/>
      </c>
      <c r="O13440" s="25" t="n">
        <v>3</v>
      </c>
    </row>
    <row r="13441" customFormat="false" ht="16.5" hidden="false" customHeight="true" outlineLevel="0" collapsed="false">
      <c r="B13441" s="40" t="str">
        <f aca="false">IFERROR(INDEX($J$13438:$J$13441,MATCH($O13441,$N$13438:$N$13441,0)),"")</f>
        <v/>
      </c>
      <c r="C13441" s="41" t="str">
        <f aca="false">IFERROR(INDEX($K$13438:$K$13441,MATCH($O13441,$N$13438:$N$13441,0)),"")</f>
        <v/>
      </c>
      <c r="D13441" s="42" t="str">
        <f aca="false">IF(OR(E13441="",N(C13441)=0),"",E13441/C13441-1)</f>
        <v/>
      </c>
      <c r="E13441" s="41" t="str">
        <f aca="false">IFERROR(INDEX($L$13438:$L$13441,MATCH($O13441,$N$13438:$N$13441,0)),"")</f>
        <v/>
      </c>
      <c r="F13441" s="41" t="str">
        <f aca="false">IF(E13441="","",E13441-C13441)</f>
        <v/>
      </c>
      <c r="J13441" s="25" t="str">
        <f aca="false">Lib_PA</f>
        <v>Plateforme agréée – facturation électronique</v>
      </c>
      <c r="K13441" s="25" t="n">
        <f aca="false">IF($K$13411=0,0,N(INDEX(Clients!$N$2:$N$501,$K$13411)))</f>
        <v>0</v>
      </c>
      <c r="L13441" s="25" t="n">
        <f aca="false">IF($K$13411=0,0,N(INDEX(Clients!$S$2:$S$501,$K$13411)))</f>
        <v>0</v>
      </c>
      <c r="M13441" s="25" t="n">
        <f aca="false">IF(OR(K13441&lt;&gt;0,L13441&lt;&gt;0),1,0)</f>
        <v>0</v>
      </c>
      <c r="N13441" s="25" t="str">
        <f aca="false">IF(M13441=1,SUM($M$13438:M13441),"")</f>
        <v/>
      </c>
      <c r="O13441" s="25" t="n">
        <v>4</v>
      </c>
    </row>
    <row r="13442" customFormat="false" ht="18" hidden="false" customHeight="true" outlineLevel="0" collapsed="false">
      <c r="B13442" s="43" t="s">
        <v>158</v>
      </c>
      <c r="C13442" s="44" t="n">
        <f aca="false">SUM(K13438:K13441)</f>
        <v>0</v>
      </c>
      <c r="D13442" s="45" t="str">
        <f aca="false">IF(N(C13442)=0,"",E13442/C13442-1)</f>
        <v/>
      </c>
      <c r="E13442" s="44" t="n">
        <f aca="false">SUM(L13438:L13441)</f>
        <v>0</v>
      </c>
      <c r="F13442" s="44" t="n">
        <f aca="false">E13442-C13442</f>
        <v>0</v>
      </c>
    </row>
    <row r="13443" customFormat="false" ht="15" hidden="false" customHeight="false" outlineLevel="0" collapsed="false">
      <c r="B13443" s="46" t="str">
        <f aca="false">IF(N(Nb_Mensualites)=0,"","Soit "&amp;FIXED(E13442/Nb_Mensualites,2)&amp;" € HT par échéance ("&amp;Nb_Mensualites&amp;" échéances), "&amp;FIXED(E13442/Nb_Mensualites*(1+Taux_TVA),2)&amp;" € TTC.")</f>
        <v>Soit 0.00 € HT par échéance (12 échéances), 0.00 € TTC.</v>
      </c>
      <c r="C13443" s="46"/>
      <c r="D13443" s="46"/>
      <c r="E13443" s="46"/>
      <c r="F13443" s="46"/>
    </row>
    <row r="13444" customFormat="false" ht="7.5" hidden="false" customHeight="true" outlineLevel="0" collapsed="false">
      <c r="B13444" s="10"/>
      <c r="C13444" s="10"/>
      <c r="D13444" s="10"/>
      <c r="E13444" s="10"/>
      <c r="F13444" s="10"/>
    </row>
    <row r="13445" customFormat="false" ht="36.75" hidden="false" customHeight="true" outlineLevel="0" collapsed="false">
      <c r="B13445" s="37" t="str">
        <f aca="false">SUBSTITUTE(SUBSTITUTE(SUBSTITUTE(SUBSTITUTE(SUBSTITUTE(Txt_P5,"{cabinet}",Cab_Nom),"{societe}",IF($K$13411=0,"",INDEX(Clients!$E$2:$E$501,$K$13411)&amp;"")),"{date_effet}",$K$13413),"{hausse}",$K$13414),"{civilite}",$K$13412)</f>
        <v>Les autres conditions de votre lettre de mission demeurent inchangées. Les nouveaux montants seront appliqués automatiquement sur vos prochaines factures et échéances de prélèvement.</v>
      </c>
      <c r="C13445" s="37"/>
      <c r="D13445" s="37"/>
      <c r="E13445" s="37"/>
      <c r="F13445" s="37"/>
    </row>
    <row r="13446" customFormat="false" ht="36.75" hidden="false" customHeight="true" outlineLevel="0" collapsed="false">
      <c r="B13446" s="37" t="str">
        <f aca="false">SUBSTITUTE(SUBSTITUTE(SUBSTITUTE(SUBSTITUTE(SUBSTITUTE(Txt_P6,"{cabinet}",Cab_Nom),"{societe}",IF($K$13411=0,"",INDEX(Clients!$E$2:$E$501,$K$13411)&amp;"")),"{date_effet}",$K$13413),"{hausse}",$K$13414),"{civilite}",$K$13412)</f>
        <v>Votre interlocuteur habituel reste à votre entière disposition pour répondre à vos questions et faire le point sur l'évolution de vos besoins.</v>
      </c>
      <c r="C13446" s="37"/>
      <c r="D13446" s="37"/>
      <c r="E13446" s="37"/>
      <c r="F13446" s="37"/>
    </row>
    <row r="13447" customFormat="false" ht="24" hidden="false" customHeight="true" outlineLevel="0" collapsed="false">
      <c r="B13447" s="37" t="str">
        <f aca="false">SUBSTITUTE(SUBSTITUTE(SUBSTITUTE(SUBSTITUTE(SUBSTITUTE(Txt_Politesse,"{cabinet}",Cab_Nom),"{societe}",IF($K$13411=0,"",INDEX(Clients!$E$2:$E$501,$K$13411)&amp;"")),"{date_effet}",$K$13413),"{hausse}",$K$13414),"{civilite}",$K$13412)</f>
        <v>Nous vous prions d'agréer, Madame, Monsieur, l'expression de nos salutations distinguées.</v>
      </c>
      <c r="C13447" s="37"/>
      <c r="D13447" s="37"/>
      <c r="E13447" s="37"/>
      <c r="F13447" s="37"/>
    </row>
    <row r="13448" customFormat="false" ht="15" hidden="false" customHeight="false" outlineLevel="0" collapsed="false">
      <c r="B13448" s="10"/>
      <c r="C13448" s="10"/>
      <c r="D13448" s="10"/>
      <c r="E13448" s="10"/>
      <c r="F13448" s="10"/>
    </row>
    <row r="13449" customFormat="false" ht="15" hidden="false" customHeight="false" outlineLevel="0" collapsed="false">
      <c r="B13449" s="10"/>
      <c r="C13449" s="10"/>
      <c r="D13449" s="34" t="str">
        <f aca="false">Signataire</f>
        <v>Prénom NOM</v>
      </c>
      <c r="E13449" s="34"/>
      <c r="F13449" s="34"/>
    </row>
    <row r="13450" customFormat="false" ht="15" hidden="false" customHeight="false" outlineLevel="0" collapsed="false">
      <c r="B13450" s="10"/>
      <c r="C13450" s="10"/>
      <c r="D13450" s="47" t="str">
        <f aca="false">Signataire_Titre</f>
        <v>Expert-comptable associé</v>
      </c>
      <c r="E13450" s="47"/>
      <c r="F13450" s="47"/>
    </row>
    <row r="13451" customFormat="false" ht="15.75" hidden="false" customHeight="true" outlineLevel="0" collapsed="false">
      <c r="B13451" s="10"/>
      <c r="C13451" s="10"/>
      <c r="D13451" s="10"/>
      <c r="E13451" s="10"/>
      <c r="F13451" s="10"/>
    </row>
    <row r="13452" customFormat="false" ht="15.75" hidden="false" customHeight="true" outlineLevel="0" collapsed="false">
      <c r="B13452" s="10"/>
      <c r="C13452" s="10"/>
      <c r="D13452" s="10"/>
      <c r="E13452" s="10"/>
      <c r="F13452" s="10"/>
    </row>
    <row r="13453" customFormat="false" ht="15.75" hidden="false" customHeight="true" outlineLevel="0" collapsed="false">
      <c r="B13453" s="10"/>
      <c r="C13453" s="10"/>
      <c r="D13453" s="10"/>
      <c r="E13453" s="10"/>
      <c r="F13453" s="10"/>
    </row>
    <row r="13454" customFormat="false" ht="15.75" hidden="false" customHeight="true" outlineLevel="0" collapsed="false">
      <c r="B13454" s="10"/>
      <c r="C13454" s="10"/>
      <c r="D13454" s="10"/>
      <c r="E13454" s="10"/>
      <c r="F13454" s="10"/>
    </row>
    <row r="13455" customFormat="false" ht="24" hidden="false" customHeight="true" outlineLevel="0" collapsed="false">
      <c r="B13455" s="48" t="str">
        <f aca="false">Cab_Mentions</f>
        <v>ALTHO EXPERTISE · SAS au capital de 10 000 € · RCS Pontoise 919 706 325 · TVA FR62919706325 · Société d'expertise comptable inscrite au Tableau de l'Ordre des experts-comptables de Paris Île-de-France</v>
      </c>
      <c r="C13455" s="48"/>
      <c r="D13455" s="48"/>
      <c r="E13455" s="48"/>
      <c r="F13455" s="48"/>
    </row>
    <row r="13456" customFormat="false" ht="15" hidden="false" customHeight="false" outlineLevel="0" collapsed="false">
      <c r="B13456" s="10"/>
      <c r="C13456" s="10"/>
      <c r="D13456" s="10"/>
      <c r="E13456" s="10"/>
      <c r="F13456" s="10"/>
      <c r="J13456" s="25" t="s">
        <v>142</v>
      </c>
      <c r="K13456" s="25" t="n">
        <f aca="false">IFERROR(MATCH(300,Clients!$Z$2:$Z$501,0),0)</f>
        <v>0</v>
      </c>
      <c r="L13456" s="25"/>
      <c r="M13456" s="25"/>
      <c r="N13456" s="25"/>
      <c r="O13456" s="25"/>
    </row>
    <row r="13457" customFormat="false" ht="21.75" hidden="false" customHeight="true" outlineLevel="0" collapsed="false">
      <c r="B13457" s="26" t="str">
        <f aca="false">Cab_Nom</f>
        <v>ALTHO EXPERTISE</v>
      </c>
      <c r="C13457" s="26"/>
      <c r="D13457" s="10"/>
      <c r="E13457" s="27" t="str">
        <f aca="false">IF($K$13456=0,"","Réf. client : "&amp;INDEX(Clients!$A$2:$A$501,$K$13456))</f>
        <v/>
      </c>
      <c r="F13457" s="27"/>
      <c r="J13457" s="25" t="s">
        <v>144</v>
      </c>
      <c r="K13457" s="25" t="str">
        <f aca="false">IF(IF($K$13456=0,"",INDEX(Clients!$B$2:$B$501,$K$13456)&amp;"")="Mme","Madame",IF(IF($K$13456=0,"",INDEX(Clients!$B$2:$B$501,$K$13456)&amp;"")="M.","Monsieur","Madame, Monsieur"))</f>
        <v>Madame, Monsieur</v>
      </c>
      <c r="L13457" s="25"/>
      <c r="M13457" s="25"/>
      <c r="N13457" s="25"/>
      <c r="O13457" s="25"/>
    </row>
    <row r="13458" customFormat="false" ht="15" hidden="false" customHeight="false" outlineLevel="0" collapsed="false">
      <c r="B13458" s="29" t="str">
        <f aca="false">Cab_Adr1</f>
        <v>141 rue Charles de Gaulle</v>
      </c>
      <c r="C13458" s="29"/>
      <c r="D13458" s="10"/>
      <c r="E13458" s="10"/>
      <c r="F13458" s="10"/>
      <c r="J13458" s="25" t="s">
        <v>145</v>
      </c>
      <c r="K13458" s="25" t="str">
        <f aca="false">DAY(Date_Effet)&amp;IF(DAY(Date_Effet)=1,"er","")&amp;" "&amp;INDEX(Liste_Mois,MONTH(Date_Effet))&amp;" "&amp;YEAR(Date_Effet)</f>
        <v>1er janvier 2027</v>
      </c>
      <c r="L13458" s="25"/>
      <c r="M13458" s="25"/>
      <c r="N13458" s="25"/>
      <c r="O13458" s="25"/>
    </row>
    <row r="13459" customFormat="false" ht="15" hidden="false" customHeight="false" outlineLevel="0" collapsed="false">
      <c r="B13459" s="29" t="str">
        <f aca="false">Cab_CPVille</f>
        <v>95130 LE PLESSIS-BOUCHARD</v>
      </c>
      <c r="C13459" s="29"/>
      <c r="D13459" s="10"/>
      <c r="E13459" s="10"/>
      <c r="F13459" s="10"/>
      <c r="J13459" s="25" t="s">
        <v>146</v>
      </c>
      <c r="K13459" s="25" t="str">
        <f aca="false">IF(SUM($K$13483:$K$13486)=0,"",FIXED((SUM($L$13483:$L$13486)/SUM($K$13483:$K$13486)-1)*100,1)&amp;" %")</f>
        <v/>
      </c>
      <c r="L13459" s="25"/>
      <c r="M13459" s="25"/>
      <c r="N13459" s="25"/>
      <c r="O13459" s="25"/>
    </row>
    <row r="13460" customFormat="false" ht="15" hidden="false" customHeight="false" outlineLevel="0" collapsed="false">
      <c r="B13460" s="29" t="str">
        <f aca="false">Cab_Contact</f>
        <v>Tél. 01 34 14 53 45  ·  altho@altho-experts.com  ·  altho-experts.com</v>
      </c>
      <c r="C13460" s="29"/>
      <c r="D13460" s="10"/>
      <c r="E13460" s="10"/>
      <c r="F13460" s="10"/>
      <c r="J13460" s="25"/>
      <c r="K13460" s="25"/>
      <c r="L13460" s="25"/>
      <c r="M13460" s="25"/>
      <c r="N13460" s="25"/>
      <c r="O13460" s="25"/>
    </row>
    <row r="13461" customFormat="false" ht="6" hidden="false" customHeight="true" outlineLevel="0" collapsed="false">
      <c r="B13461" s="32"/>
      <c r="C13461" s="32"/>
      <c r="D13461" s="32"/>
      <c r="E13461" s="32"/>
      <c r="F13461" s="32"/>
      <c r="J13461" s="25"/>
      <c r="K13461" s="25"/>
      <c r="L13461" s="25"/>
      <c r="M13461" s="25"/>
      <c r="N13461" s="25"/>
      <c r="O13461" s="25"/>
    </row>
    <row r="13462" customFormat="false" ht="13.5" hidden="false" customHeight="true" outlineLevel="0" collapsed="false">
      <c r="B13462" s="10"/>
      <c r="C13462" s="10"/>
      <c r="D13462" s="10"/>
      <c r="E13462" s="10"/>
      <c r="F13462" s="10"/>
      <c r="J13462" s="25"/>
      <c r="K13462" s="25"/>
      <c r="L13462" s="25"/>
      <c r="M13462" s="25"/>
      <c r="N13462" s="25"/>
      <c r="O13462" s="25"/>
    </row>
    <row r="13463" customFormat="false" ht="13.5" hidden="false" customHeight="true" outlineLevel="0" collapsed="false">
      <c r="B13463" s="10"/>
      <c r="C13463" s="10"/>
      <c r="D13463" s="10"/>
      <c r="E13463" s="10"/>
      <c r="F13463" s="10"/>
      <c r="J13463" s="25"/>
      <c r="K13463" s="25"/>
      <c r="L13463" s="25"/>
      <c r="M13463" s="25"/>
      <c r="N13463" s="25"/>
      <c r="O13463" s="25"/>
    </row>
    <row r="13464" customFormat="false" ht="13.5" hidden="false" customHeight="true" outlineLevel="0" collapsed="false">
      <c r="B13464" s="10"/>
      <c r="C13464" s="10"/>
      <c r="D13464" s="10"/>
      <c r="E13464" s="10"/>
      <c r="F13464" s="10"/>
      <c r="J13464" s="25"/>
      <c r="K13464" s="25"/>
      <c r="L13464" s="25"/>
      <c r="M13464" s="25"/>
      <c r="N13464" s="25"/>
      <c r="O13464" s="25"/>
    </row>
    <row r="13465" customFormat="false" ht="15" hidden="false" customHeight="true" outlineLevel="0" collapsed="false">
      <c r="B13465" s="10"/>
      <c r="C13465" s="10"/>
      <c r="D13465" s="34" t="str">
        <f aca="false">IF($K$13456=0,"",INDEX(Clients!$E$2:$E$501,$K$13456)&amp;"")</f>
        <v/>
      </c>
      <c r="E13465" s="34"/>
      <c r="F13465" s="34"/>
      <c r="J13465" s="25"/>
      <c r="K13465" s="25"/>
      <c r="L13465" s="25"/>
      <c r="M13465" s="25"/>
      <c r="N13465" s="25"/>
      <c r="O13465" s="25"/>
    </row>
    <row r="13466" customFormat="false" ht="15" hidden="false" customHeight="true" outlineLevel="0" collapsed="false">
      <c r="B13466" s="10"/>
      <c r="C13466" s="10"/>
      <c r="D13466" s="35" t="str">
        <f aca="false">IF(IF($K$13456=0,"",INDEX(Clients!$D$2:$D$501,$K$13456)&amp;"")="","","À l'attention de "&amp;TRIM(IF($K$13456=0,"",INDEX(Clients!$B$2:$B$501,$K$13456)&amp;"")&amp;" "&amp;IF($K$13456=0,"",INDEX(Clients!$C$2:$C$501,$K$13456)&amp;"")&amp;" "&amp;IF($K$13456=0,"",INDEX(Clients!$D$2:$D$501,$K$13456)&amp;"")))</f>
        <v/>
      </c>
      <c r="E13466" s="35"/>
      <c r="F13466" s="35"/>
      <c r="J13466" s="25"/>
      <c r="K13466" s="25"/>
      <c r="L13466" s="25"/>
      <c r="M13466" s="25"/>
      <c r="N13466" s="25"/>
      <c r="O13466" s="25"/>
    </row>
    <row r="13467" customFormat="false" ht="15" hidden="false" customHeight="true" outlineLevel="0" collapsed="false">
      <c r="B13467" s="10"/>
      <c r="C13467" s="10"/>
      <c r="D13467" s="35" t="str">
        <f aca="false">IF($K$13456=0,"",INDEX(Clients!$F$2:$F$501,$K$13456)&amp;"")</f>
        <v/>
      </c>
      <c r="E13467" s="35"/>
      <c r="F13467" s="35"/>
      <c r="J13467" s="25"/>
      <c r="K13467" s="25"/>
      <c r="L13467" s="25"/>
      <c r="M13467" s="25"/>
      <c r="N13467" s="25"/>
      <c r="O13467" s="25"/>
    </row>
    <row r="13468" customFormat="false" ht="15" hidden="false" customHeight="true" outlineLevel="0" collapsed="false">
      <c r="B13468" s="10"/>
      <c r="C13468" s="10"/>
      <c r="D13468" s="35" t="str">
        <f aca="false">IF(IF($K$13456=0,"",INDEX(Clients!$G$2:$G$501,$K$13456)&amp;"")="",TRIM(IF($K$13456=0,"",INDEX(Clients!$H$2:$H$501,$K$13456)&amp;"")&amp;" "&amp;UPPER(IF($K$13456=0,"",INDEX(Clients!$I$2:$I$501,$K$13456)&amp;""))),IF($K$13456=0,"",INDEX(Clients!$G$2:$G$501,$K$13456)&amp;""))</f>
        <v/>
      </c>
      <c r="E13468" s="35"/>
      <c r="F13468" s="35"/>
      <c r="J13468" s="25"/>
      <c r="K13468" s="25"/>
      <c r="L13468" s="25"/>
      <c r="M13468" s="25"/>
      <c r="N13468" s="25"/>
      <c r="O13468" s="25"/>
    </row>
    <row r="13469" customFormat="false" ht="15" hidden="false" customHeight="true" outlineLevel="0" collapsed="false">
      <c r="B13469" s="10"/>
      <c r="C13469" s="10"/>
      <c r="D13469" s="35" t="str">
        <f aca="false">IF(IF($K$13456=0,"",INDEX(Clients!$G$2:$G$501,$K$13456)&amp;"")="","",TRIM(IF($K$13456=0,"",INDEX(Clients!$H$2:$H$501,$K$13456)&amp;"")&amp;" "&amp;UPPER(IF($K$13456=0,"",INDEX(Clients!$I$2:$I$501,$K$13456)&amp;""))))</f>
        <v/>
      </c>
      <c r="E13469" s="35"/>
      <c r="F13469" s="35"/>
      <c r="J13469" s="25"/>
      <c r="K13469" s="25"/>
      <c r="L13469" s="25"/>
      <c r="M13469" s="25"/>
      <c r="N13469" s="25"/>
      <c r="O13469" s="25"/>
    </row>
    <row r="13470" customFormat="false" ht="25.5" hidden="false" customHeight="true" outlineLevel="0" collapsed="false">
      <c r="B13470" s="10"/>
      <c r="C13470" s="10"/>
      <c r="D13470" s="10"/>
      <c r="E13470" s="10"/>
      <c r="F13470" s="10"/>
      <c r="J13470" s="25"/>
      <c r="K13470" s="25"/>
      <c r="L13470" s="25"/>
      <c r="M13470" s="25"/>
      <c r="N13470" s="25"/>
      <c r="O13470" s="25"/>
    </row>
    <row r="13471" customFormat="false" ht="15" hidden="false" customHeight="false" outlineLevel="0" collapsed="false">
      <c r="B13471" s="10"/>
      <c r="C13471" s="10"/>
      <c r="D13471" s="36" t="str">
        <f aca="false">Cab_Ville&amp;", le "&amp;DAY(Date_Courrier)&amp;IF(DAY(Date_Courrier)=1,"er","")&amp;" "&amp;INDEX(Liste_Mois,MONTH(Date_Courrier))&amp;" "&amp;YEAR(Date_Courrier)</f>
        <v>Le Plessis-Bouchard, le 22 septembre 2026</v>
      </c>
      <c r="E13471" s="36"/>
      <c r="F13471" s="36"/>
      <c r="J13471" s="25"/>
      <c r="K13471" s="25"/>
      <c r="L13471" s="25"/>
      <c r="M13471" s="25"/>
      <c r="N13471" s="25"/>
      <c r="O13471" s="25"/>
    </row>
    <row r="13472" customFormat="false" ht="19.5" hidden="false" customHeight="true" outlineLevel="0" collapsed="false">
      <c r="B13472" s="10"/>
      <c r="C13472" s="10"/>
      <c r="D13472" s="10"/>
      <c r="E13472" s="10"/>
      <c r="F13472" s="10"/>
      <c r="J13472" s="25"/>
      <c r="K13472" s="25"/>
      <c r="L13472" s="25"/>
      <c r="M13472" s="25"/>
      <c r="N13472" s="25"/>
      <c r="O13472" s="25"/>
    </row>
    <row r="13473" customFormat="false" ht="15" hidden="false" customHeight="false" outlineLevel="0" collapsed="false">
      <c r="B13473" s="34" t="str">
        <f aca="false">SUBSTITUTE(SUBSTITUTE(SUBSTITUTE(SUBSTITUTE(SUBSTITUTE(Txt_Objet,"{cabinet}",Cab_Nom),"{societe}",IF($K$13456=0,"",INDEX(Clients!$E$2:$E$501,$K$13456)&amp;"")),"{date_effet}",$K$13458),"{hausse}",$K$13459),"{civilite}",$K$13457)</f>
        <v>Objet : révision de nos honoraires au 1er janvier 2027</v>
      </c>
      <c r="C13473" s="34"/>
      <c r="D13473" s="34"/>
      <c r="E13473" s="34"/>
      <c r="F13473" s="34"/>
      <c r="J13473" s="25"/>
      <c r="K13473" s="25"/>
      <c r="L13473" s="25"/>
      <c r="M13473" s="25"/>
      <c r="N13473" s="25"/>
      <c r="O13473" s="25"/>
    </row>
    <row r="13474" customFormat="false" ht="13.5" hidden="false" customHeight="true" outlineLevel="0" collapsed="false">
      <c r="B13474" s="10"/>
      <c r="C13474" s="10"/>
      <c r="D13474" s="10"/>
      <c r="E13474" s="10"/>
      <c r="F13474" s="10"/>
      <c r="J13474" s="25"/>
      <c r="K13474" s="25"/>
      <c r="L13474" s="25"/>
      <c r="M13474" s="25"/>
      <c r="N13474" s="25"/>
      <c r="O13474" s="25"/>
    </row>
    <row r="13475" customFormat="false" ht="15" hidden="false" customHeight="false" outlineLevel="0" collapsed="false">
      <c r="B13475" s="10" t="str">
        <f aca="false">$K$13457&amp;","</f>
        <v>Madame, Monsieur,</v>
      </c>
      <c r="C13475" s="10"/>
      <c r="D13475" s="10"/>
      <c r="E13475" s="10"/>
      <c r="F13475" s="10"/>
      <c r="J13475" s="25"/>
      <c r="K13475" s="25"/>
      <c r="L13475" s="25"/>
      <c r="M13475" s="25"/>
      <c r="N13475" s="25"/>
      <c r="O13475" s="25"/>
    </row>
    <row r="13476" customFormat="false" ht="6" hidden="false" customHeight="true" outlineLevel="0" collapsed="false">
      <c r="B13476" s="10"/>
      <c r="C13476" s="10"/>
      <c r="D13476" s="10"/>
      <c r="E13476" s="10"/>
      <c r="F13476" s="10"/>
      <c r="J13476" s="25"/>
      <c r="K13476" s="25"/>
      <c r="L13476" s="25"/>
      <c r="M13476" s="25"/>
      <c r="N13476" s="25"/>
      <c r="O13476" s="25"/>
    </row>
    <row r="13477" customFormat="false" ht="36.75" hidden="false" customHeight="true" outlineLevel="0" collapsed="false">
      <c r="B13477" s="37" t="str">
        <f aca="false">SUBSTITUTE(SUBSTITUTE(SUBSTITUTE(SUBSTITUTE(SUBSTITUTE(Txt_P1,"{cabinet}",Cab_Nom),"{societe}",IF($K$13456=0,"",INDEX(Clients!$E$2:$E$501,$K$13456)&amp;"")),"{date_effet}",$K$13458),"{hausse}",$K$13459),"{civilite}",$K$13457)</f>
        <v>Nous tenons tout d'abord à vous remercier pour la confiance que vous accordez à ALTHO EXPERTISE. Comme chaque année, et conformément aux dispositions de votre lettre de mission, nous procédons à la révision de nos honoraires.</v>
      </c>
      <c r="C13477" s="37"/>
      <c r="D13477" s="37"/>
      <c r="E13477" s="37"/>
      <c r="F13477" s="37"/>
      <c r="J13477" s="25"/>
      <c r="K13477" s="25"/>
      <c r="L13477" s="25"/>
      <c r="M13477" s="25"/>
      <c r="N13477" s="25"/>
      <c r="O13477" s="25"/>
    </row>
    <row r="13478" customFormat="false" ht="49.5" hidden="false" customHeight="true" outlineLevel="0" collapsed="false">
      <c r="B13478" s="37" t="str">
        <f aca="false">SUBSTITUTE(SUBSTITUTE(SUBSTITUTE(SUBSTITUTE(SUBSTITUTE(Txt_P2,"{cabinet}",Cab_Nom),"{societe}",IF($K$13456=0,"",INDEX(Clients!$E$2:$E$501,$K$13456)&amp;"")),"{date_effet}",$K$13458),"{hausse}",$K$13459),"{civilite}",$K$13457)</f>
        <v>Cette révision, que nous avons souhaitée mesurée, tient compte de l'évolution de nos charges (rémunération et formation continue de nos collaborateurs, logiciels, sécurité informatique) ainsi que du renforcement constant des obligations comptables, fiscales, sociales et juridiques qui s'imposent à votre entreprise.</v>
      </c>
      <c r="C13478" s="37"/>
      <c r="D13478" s="37"/>
      <c r="E13478" s="37"/>
      <c r="F13478" s="37"/>
      <c r="J13478" s="25"/>
      <c r="K13478" s="25"/>
      <c r="L13478" s="25"/>
      <c r="M13478" s="25"/>
      <c r="N13478" s="25"/>
      <c r="O13478" s="25"/>
    </row>
    <row r="13479" customFormat="false" ht="63" hidden="false" customHeight="true" outlineLevel="0" collapsed="false">
      <c r="B13479" s="37" t="str">
        <f aca="false">SUBSTITUTE(SUBSTITUTE(SUBSTITUTE(SUBSTITUTE(SUBSTITUTE(Txt_P3,"{cabinet}",Cab_Nom),"{societe}",IF($K$13456=0,"",INDEX(Clients!$E$2:$E$501,$K$13456)&amp;"")),"{date_effet}",$K$13458),"{hausse}",$K$13459),"{civilite}",$K$13457)</f>
        <v>L'année à venir est également marquée par la généralisation de la facturation électronique : depuis le 1er septembre 2026, toutes les entreprises doivent être en mesure de recevoir leurs factures électroniques via une plateforme agréée, et l'obligation d'émission s'étendra aux PME et micro-entreprises au 1er septembre 2027. Notre cabinet vous accompagne dans cette transition grâce à une solution de plateforme agréée directement intégrée à votre dossier.</v>
      </c>
      <c r="C13479" s="37"/>
      <c r="D13479" s="37"/>
      <c r="E13479" s="37"/>
      <c r="F13479" s="37"/>
      <c r="J13479" s="25"/>
      <c r="K13479" s="25"/>
      <c r="L13479" s="25"/>
      <c r="M13479" s="25"/>
      <c r="N13479" s="25"/>
      <c r="O13479" s="25"/>
    </row>
    <row r="13480" customFormat="false" ht="24" hidden="false" customHeight="true" outlineLevel="0" collapsed="false">
      <c r="B13480" s="37" t="str">
        <f aca="false">SUBSTITUTE(SUBSTITUTE(SUBSTITUTE(SUBSTITUTE(SUBSTITUTE(Txt_P4,"{cabinet}",Cab_Nom),"{societe}",IF($K$13456=0,"",INDEX(Clients!$E$2:$E$501,$K$13456)&amp;"")),"{date_effet}",$K$13458),"{hausse}",$K$13459),"{civilite}",$K$13457)</f>
        <v>À compter du 1er janvier 2027, vos honoraires annuels hors taxes évolueront ainsi (évolution globale : ) :</v>
      </c>
      <c r="C13480" s="37"/>
      <c r="D13480" s="37"/>
      <c r="E13480" s="37"/>
      <c r="F13480" s="37"/>
      <c r="J13480" s="25"/>
      <c r="K13480" s="25"/>
      <c r="L13480" s="25"/>
      <c r="M13480" s="25"/>
      <c r="N13480" s="25"/>
      <c r="O13480" s="25"/>
    </row>
    <row r="13481" customFormat="false" ht="3.75" hidden="false" customHeight="true" outlineLevel="0" collapsed="false">
      <c r="B13481" s="10"/>
      <c r="C13481" s="10"/>
      <c r="D13481" s="10"/>
      <c r="E13481" s="10"/>
      <c r="F13481" s="10"/>
      <c r="J13481" s="25"/>
      <c r="K13481" s="25"/>
      <c r="L13481" s="25"/>
      <c r="M13481" s="25"/>
      <c r="N13481" s="25"/>
      <c r="O13481" s="25"/>
    </row>
    <row r="13482" customFormat="false" ht="18" hidden="false" customHeight="true" outlineLevel="0" collapsed="false">
      <c r="B13482" s="38" t="s">
        <v>148</v>
      </c>
      <c r="C13482" s="39" t="s">
        <v>149</v>
      </c>
      <c r="D13482" s="39" t="s">
        <v>150</v>
      </c>
      <c r="E13482" s="39" t="s">
        <v>151</v>
      </c>
      <c r="F13482" s="39" t="s">
        <v>109</v>
      </c>
      <c r="J13482" s="25" t="s">
        <v>152</v>
      </c>
      <c r="K13482" s="25" t="s">
        <v>153</v>
      </c>
      <c r="L13482" s="25" t="s">
        <v>154</v>
      </c>
      <c r="M13482" s="25" t="s">
        <v>155</v>
      </c>
      <c r="N13482" s="25" t="s">
        <v>156</v>
      </c>
      <c r="O13482" s="25" t="s">
        <v>157</v>
      </c>
    </row>
    <row r="13483" customFormat="false" ht="16.5" hidden="false" customHeight="true" outlineLevel="0" collapsed="false">
      <c r="B13483" s="40" t="str">
        <f aca="false">IFERROR(INDEX($J$13483:$J$13486,MATCH($O13483,$N$13483:$N$13486,0)),"")</f>
        <v/>
      </c>
      <c r="C13483" s="41" t="str">
        <f aca="false">IFERROR(INDEX($K$13483:$K$13486,MATCH($O13483,$N$13483:$N$13486,0)),"")</f>
        <v/>
      </c>
      <c r="D13483" s="42" t="str">
        <f aca="false">IF(OR(E13483="",N(C13483)=0),"",E13483/C13483-1)</f>
        <v/>
      </c>
      <c r="E13483" s="41" t="str">
        <f aca="false">IFERROR(INDEX($L$13483:$L$13486,MATCH($O13483,$N$13483:$N$13486,0)),"")</f>
        <v/>
      </c>
      <c r="F13483" s="41" t="str">
        <f aca="false">IF(E13483="","",E13483-C13483)</f>
        <v/>
      </c>
      <c r="J13483" s="25" t="str">
        <f aca="false">Lib_Compta</f>
        <v>Mission comptable (tenue, révision, bilan, liasse fiscale)</v>
      </c>
      <c r="K13483" s="25" t="n">
        <f aca="false">IF($K$13456=0,0,N(INDEX(Clients!$K$2:$K$501,$K$13456)))</f>
        <v>0</v>
      </c>
      <c r="L13483" s="25" t="n">
        <f aca="false">IF($K$13456=0,0,N(INDEX(Clients!$P$2:$P$501,$K$13456)))</f>
        <v>0</v>
      </c>
      <c r="M13483" s="25" t="n">
        <f aca="false">IF(OR(K13483&lt;&gt;0,L13483&lt;&gt;0),1,0)</f>
        <v>0</v>
      </c>
      <c r="N13483" s="25" t="str">
        <f aca="false">IF(M13483=1,SUM($M$13483:M13483),"")</f>
        <v/>
      </c>
      <c r="O13483" s="25" t="n">
        <v>1</v>
      </c>
    </row>
    <row r="13484" customFormat="false" ht="16.5" hidden="false" customHeight="true" outlineLevel="0" collapsed="false">
      <c r="B13484" s="40" t="str">
        <f aca="false">IFERROR(INDEX($J$13483:$J$13486,MATCH($O13484,$N$13483:$N$13486,0)),"")</f>
        <v/>
      </c>
      <c r="C13484" s="41" t="str">
        <f aca="false">IFERROR(INDEX($K$13483:$K$13486,MATCH($O13484,$N$13483:$N$13486,0)),"")</f>
        <v/>
      </c>
      <c r="D13484" s="42" t="str">
        <f aca="false">IF(OR(E13484="",N(C13484)=0),"",E13484/C13484-1)</f>
        <v/>
      </c>
      <c r="E13484" s="41" t="str">
        <f aca="false">IFERROR(INDEX($L$13483:$L$13486,MATCH($O13484,$N$13483:$N$13486,0)),"")</f>
        <v/>
      </c>
      <c r="F13484" s="41" t="str">
        <f aca="false">IF(E13484="","",E13484-C13484)</f>
        <v/>
      </c>
      <c r="J13484" s="25" t="str">
        <f aca="false">Lib_Paye</f>
        <v>Mission sociale (bulletins de paie, DSN, déclarations sociales)</v>
      </c>
      <c r="K13484" s="25" t="n">
        <f aca="false">IF($K$13456=0,0,N(INDEX(Clients!$L$2:$L$501,$K$13456)))</f>
        <v>0</v>
      </c>
      <c r="L13484" s="25" t="n">
        <f aca="false">IF($K$13456=0,0,N(INDEX(Clients!$Q$2:$Q$501,$K$13456)))</f>
        <v>0</v>
      </c>
      <c r="M13484" s="25" t="n">
        <f aca="false">IF(OR(K13484&lt;&gt;0,L13484&lt;&gt;0),1,0)</f>
        <v>0</v>
      </c>
      <c r="N13484" s="25" t="str">
        <f aca="false">IF(M13484=1,SUM($M$13483:M13484),"")</f>
        <v/>
      </c>
      <c r="O13484" s="25" t="n">
        <v>2</v>
      </c>
    </row>
    <row r="13485" customFormat="false" ht="16.5" hidden="false" customHeight="true" outlineLevel="0" collapsed="false">
      <c r="B13485" s="40" t="str">
        <f aca="false">IFERROR(INDEX($J$13483:$J$13486,MATCH($O13485,$N$13483:$N$13486,0)),"")</f>
        <v/>
      </c>
      <c r="C13485" s="41" t="str">
        <f aca="false">IFERROR(INDEX($K$13483:$K$13486,MATCH($O13485,$N$13483:$N$13486,0)),"")</f>
        <v/>
      </c>
      <c r="D13485" s="42" t="str">
        <f aca="false">IF(OR(E13485="",N(C13485)=0),"",E13485/C13485-1)</f>
        <v/>
      </c>
      <c r="E13485" s="41" t="str">
        <f aca="false">IFERROR(INDEX($L$13483:$L$13486,MATCH($O13485,$N$13483:$N$13486,0)),"")</f>
        <v/>
      </c>
      <c r="F13485" s="41" t="str">
        <f aca="false">IF(E13485="","",E13485-C13485)</f>
        <v/>
      </c>
      <c r="J13485" s="25" t="str">
        <f aca="false">Lib_Jur</f>
        <v>Mission juridique (approbation des comptes, secrétariat juridique)</v>
      </c>
      <c r="K13485" s="25" t="n">
        <f aca="false">IF($K$13456=0,0,N(INDEX(Clients!$M$2:$M$501,$K$13456)))</f>
        <v>0</v>
      </c>
      <c r="L13485" s="25" t="n">
        <f aca="false">IF($K$13456=0,0,N(INDEX(Clients!$R$2:$R$501,$K$13456)))</f>
        <v>0</v>
      </c>
      <c r="M13485" s="25" t="n">
        <f aca="false">IF(OR(K13485&lt;&gt;0,L13485&lt;&gt;0),1,0)</f>
        <v>0</v>
      </c>
      <c r="N13485" s="25" t="str">
        <f aca="false">IF(M13485=1,SUM($M$13483:M13485),"")</f>
        <v/>
      </c>
      <c r="O13485" s="25" t="n">
        <v>3</v>
      </c>
    </row>
    <row r="13486" customFormat="false" ht="16.5" hidden="false" customHeight="true" outlineLevel="0" collapsed="false">
      <c r="B13486" s="40" t="str">
        <f aca="false">IFERROR(INDEX($J$13483:$J$13486,MATCH($O13486,$N$13483:$N$13486,0)),"")</f>
        <v/>
      </c>
      <c r="C13486" s="41" t="str">
        <f aca="false">IFERROR(INDEX($K$13483:$K$13486,MATCH($O13486,$N$13483:$N$13486,0)),"")</f>
        <v/>
      </c>
      <c r="D13486" s="42" t="str">
        <f aca="false">IF(OR(E13486="",N(C13486)=0),"",E13486/C13486-1)</f>
        <v/>
      </c>
      <c r="E13486" s="41" t="str">
        <f aca="false">IFERROR(INDEX($L$13483:$L$13486,MATCH($O13486,$N$13483:$N$13486,0)),"")</f>
        <v/>
      </c>
      <c r="F13486" s="41" t="str">
        <f aca="false">IF(E13486="","",E13486-C13486)</f>
        <v/>
      </c>
      <c r="J13486" s="25" t="str">
        <f aca="false">Lib_PA</f>
        <v>Plateforme agréée – facturation électronique</v>
      </c>
      <c r="K13486" s="25" t="n">
        <f aca="false">IF($K$13456=0,0,N(INDEX(Clients!$N$2:$N$501,$K$13456)))</f>
        <v>0</v>
      </c>
      <c r="L13486" s="25" t="n">
        <f aca="false">IF($K$13456=0,0,N(INDEX(Clients!$S$2:$S$501,$K$13456)))</f>
        <v>0</v>
      </c>
      <c r="M13486" s="25" t="n">
        <f aca="false">IF(OR(K13486&lt;&gt;0,L13486&lt;&gt;0),1,0)</f>
        <v>0</v>
      </c>
      <c r="N13486" s="25" t="str">
        <f aca="false">IF(M13486=1,SUM($M$13483:M13486),"")</f>
        <v/>
      </c>
      <c r="O13486" s="25" t="n">
        <v>4</v>
      </c>
    </row>
    <row r="13487" customFormat="false" ht="18" hidden="false" customHeight="true" outlineLevel="0" collapsed="false">
      <c r="B13487" s="43" t="s">
        <v>158</v>
      </c>
      <c r="C13487" s="44" t="n">
        <f aca="false">SUM(K13483:K13486)</f>
        <v>0</v>
      </c>
      <c r="D13487" s="45" t="str">
        <f aca="false">IF(N(C13487)=0,"",E13487/C13487-1)</f>
        <v/>
      </c>
      <c r="E13487" s="44" t="n">
        <f aca="false">SUM(L13483:L13486)</f>
        <v>0</v>
      </c>
      <c r="F13487" s="44" t="n">
        <f aca="false">E13487-C13487</f>
        <v>0</v>
      </c>
    </row>
    <row r="13488" customFormat="false" ht="15" hidden="false" customHeight="false" outlineLevel="0" collapsed="false">
      <c r="B13488" s="46" t="str">
        <f aca="false">IF(N(Nb_Mensualites)=0,"","Soit "&amp;FIXED(E13487/Nb_Mensualites,2)&amp;" € HT par échéance ("&amp;Nb_Mensualites&amp;" échéances), "&amp;FIXED(E13487/Nb_Mensualites*(1+Taux_TVA),2)&amp;" € TTC.")</f>
        <v>Soit 0.00 € HT par échéance (12 échéances), 0.00 € TTC.</v>
      </c>
      <c r="C13488" s="46"/>
      <c r="D13488" s="46"/>
      <c r="E13488" s="46"/>
      <c r="F13488" s="46"/>
    </row>
    <row r="13489" customFormat="false" ht="7.5" hidden="false" customHeight="true" outlineLevel="0" collapsed="false">
      <c r="B13489" s="10"/>
      <c r="C13489" s="10"/>
      <c r="D13489" s="10"/>
      <c r="E13489" s="10"/>
      <c r="F13489" s="10"/>
    </row>
    <row r="13490" customFormat="false" ht="36.75" hidden="false" customHeight="true" outlineLevel="0" collapsed="false">
      <c r="B13490" s="37" t="str">
        <f aca="false">SUBSTITUTE(SUBSTITUTE(SUBSTITUTE(SUBSTITUTE(SUBSTITUTE(Txt_P5,"{cabinet}",Cab_Nom),"{societe}",IF($K$13456=0,"",INDEX(Clients!$E$2:$E$501,$K$13456)&amp;"")),"{date_effet}",$K$13458),"{hausse}",$K$13459),"{civilite}",$K$13457)</f>
        <v>Les autres conditions de votre lettre de mission demeurent inchangées. Les nouveaux montants seront appliqués automatiquement sur vos prochaines factures et échéances de prélèvement.</v>
      </c>
      <c r="C13490" s="37"/>
      <c r="D13490" s="37"/>
      <c r="E13490" s="37"/>
      <c r="F13490" s="37"/>
    </row>
    <row r="13491" customFormat="false" ht="36.75" hidden="false" customHeight="true" outlineLevel="0" collapsed="false">
      <c r="B13491" s="37" t="str">
        <f aca="false">SUBSTITUTE(SUBSTITUTE(SUBSTITUTE(SUBSTITUTE(SUBSTITUTE(Txt_P6,"{cabinet}",Cab_Nom),"{societe}",IF($K$13456=0,"",INDEX(Clients!$E$2:$E$501,$K$13456)&amp;"")),"{date_effet}",$K$13458),"{hausse}",$K$13459),"{civilite}",$K$13457)</f>
        <v>Votre interlocuteur habituel reste à votre entière disposition pour répondre à vos questions et faire le point sur l'évolution de vos besoins.</v>
      </c>
      <c r="C13491" s="37"/>
      <c r="D13491" s="37"/>
      <c r="E13491" s="37"/>
      <c r="F13491" s="37"/>
    </row>
    <row r="13492" customFormat="false" ht="24" hidden="false" customHeight="true" outlineLevel="0" collapsed="false">
      <c r="B13492" s="37" t="str">
        <f aca="false">SUBSTITUTE(SUBSTITUTE(SUBSTITUTE(SUBSTITUTE(SUBSTITUTE(Txt_Politesse,"{cabinet}",Cab_Nom),"{societe}",IF($K$13456=0,"",INDEX(Clients!$E$2:$E$501,$K$13456)&amp;"")),"{date_effet}",$K$13458),"{hausse}",$K$13459),"{civilite}",$K$13457)</f>
        <v>Nous vous prions d'agréer, Madame, Monsieur, l'expression de nos salutations distinguées.</v>
      </c>
      <c r="C13492" s="37"/>
      <c r="D13492" s="37"/>
      <c r="E13492" s="37"/>
      <c r="F13492" s="37"/>
    </row>
    <row r="13493" customFormat="false" ht="15" hidden="false" customHeight="false" outlineLevel="0" collapsed="false">
      <c r="B13493" s="10"/>
      <c r="C13493" s="10"/>
      <c r="D13493" s="10"/>
      <c r="E13493" s="10"/>
      <c r="F13493" s="10"/>
    </row>
    <row r="13494" customFormat="false" ht="15" hidden="false" customHeight="false" outlineLevel="0" collapsed="false">
      <c r="B13494" s="10"/>
      <c r="C13494" s="10"/>
      <c r="D13494" s="34" t="str">
        <f aca="false">Signataire</f>
        <v>Prénom NOM</v>
      </c>
      <c r="E13494" s="34"/>
      <c r="F13494" s="34"/>
    </row>
    <row r="13495" customFormat="false" ht="15" hidden="false" customHeight="false" outlineLevel="0" collapsed="false">
      <c r="B13495" s="10"/>
      <c r="C13495" s="10"/>
      <c r="D13495" s="47" t="str">
        <f aca="false">Signataire_Titre</f>
        <v>Expert-comptable associé</v>
      </c>
      <c r="E13495" s="47"/>
      <c r="F13495" s="47"/>
    </row>
    <row r="13496" customFormat="false" ht="15.75" hidden="false" customHeight="true" outlineLevel="0" collapsed="false">
      <c r="B13496" s="10"/>
      <c r="C13496" s="10"/>
      <c r="D13496" s="10"/>
      <c r="E13496" s="10"/>
      <c r="F13496" s="10"/>
    </row>
    <row r="13497" customFormat="false" ht="15.75" hidden="false" customHeight="true" outlineLevel="0" collapsed="false">
      <c r="B13497" s="10"/>
      <c r="C13497" s="10"/>
      <c r="D13497" s="10"/>
      <c r="E13497" s="10"/>
      <c r="F13497" s="10"/>
    </row>
    <row r="13498" customFormat="false" ht="15.75" hidden="false" customHeight="true" outlineLevel="0" collapsed="false">
      <c r="B13498" s="10"/>
      <c r="C13498" s="10"/>
      <c r="D13498" s="10"/>
      <c r="E13498" s="10"/>
      <c r="F13498" s="10"/>
    </row>
    <row r="13499" customFormat="false" ht="15.75" hidden="false" customHeight="true" outlineLevel="0" collapsed="false">
      <c r="B13499" s="10"/>
      <c r="C13499" s="10"/>
      <c r="D13499" s="10"/>
      <c r="E13499" s="10"/>
      <c r="F13499" s="10"/>
    </row>
    <row r="13500" customFormat="false" ht="24" hidden="false" customHeight="true" outlineLevel="0" collapsed="false">
      <c r="B13500" s="48" t="str">
        <f aca="false">Cab_Mentions</f>
        <v>ALTHO EXPERTISE · SAS au capital de 10 000 € · RCS Pontoise 919 706 325 · TVA FR62919706325 · Société d'expertise comptable inscrite au Tableau de l'Ordre des experts-comptables de Paris Île-de-France</v>
      </c>
      <c r="C13500" s="48"/>
      <c r="D13500" s="48"/>
      <c r="E13500" s="48"/>
      <c r="F13500" s="48"/>
    </row>
  </sheetData>
  <mergeCells count="6901">
    <mergeCell ref="B2:C2"/>
    <mergeCell ref="E2:F2"/>
    <mergeCell ref="B3:C3"/>
    <mergeCell ref="B4:C4"/>
    <mergeCell ref="B5:C5"/>
    <mergeCell ref="I5:L12"/>
    <mergeCell ref="D10:F10"/>
    <mergeCell ref="D11:F11"/>
    <mergeCell ref="D12:F12"/>
    <mergeCell ref="D13:F13"/>
    <mergeCell ref="D14:F14"/>
    <mergeCell ref="D16:F16"/>
    <mergeCell ref="B18:F18"/>
    <mergeCell ref="B22:F22"/>
    <mergeCell ref="B23:F23"/>
    <mergeCell ref="B24:F24"/>
    <mergeCell ref="B25:F25"/>
    <mergeCell ref="B33:F33"/>
    <mergeCell ref="B35:F35"/>
    <mergeCell ref="B36:F36"/>
    <mergeCell ref="B37:F37"/>
    <mergeCell ref="D39:F39"/>
    <mergeCell ref="D40:F40"/>
    <mergeCell ref="B45:F45"/>
    <mergeCell ref="B47:C47"/>
    <mergeCell ref="E47:F47"/>
    <mergeCell ref="B48:C48"/>
    <mergeCell ref="B49:C49"/>
    <mergeCell ref="B50:C50"/>
    <mergeCell ref="D55:F55"/>
    <mergeCell ref="D56:F56"/>
    <mergeCell ref="D57:F57"/>
    <mergeCell ref="D58:F58"/>
    <mergeCell ref="D59:F59"/>
    <mergeCell ref="D61:F61"/>
    <mergeCell ref="B63:F63"/>
    <mergeCell ref="B67:F67"/>
    <mergeCell ref="B68:F68"/>
    <mergeCell ref="B69:F69"/>
    <mergeCell ref="B70:F70"/>
    <mergeCell ref="B78:F78"/>
    <mergeCell ref="B80:F80"/>
    <mergeCell ref="B81:F81"/>
    <mergeCell ref="B82:F82"/>
    <mergeCell ref="D84:F84"/>
    <mergeCell ref="D85:F85"/>
    <mergeCell ref="B90:F90"/>
    <mergeCell ref="B92:C92"/>
    <mergeCell ref="E92:F92"/>
    <mergeCell ref="B93:C93"/>
    <mergeCell ref="B94:C94"/>
    <mergeCell ref="B95:C95"/>
    <mergeCell ref="D100:F100"/>
    <mergeCell ref="D101:F101"/>
    <mergeCell ref="D102:F102"/>
    <mergeCell ref="D103:F103"/>
    <mergeCell ref="D104:F104"/>
    <mergeCell ref="D106:F106"/>
    <mergeCell ref="B108:F108"/>
    <mergeCell ref="B112:F112"/>
    <mergeCell ref="B113:F113"/>
    <mergeCell ref="B114:F114"/>
    <mergeCell ref="B115:F115"/>
    <mergeCell ref="B123:F123"/>
    <mergeCell ref="B125:F125"/>
    <mergeCell ref="B126:F126"/>
    <mergeCell ref="B127:F127"/>
    <mergeCell ref="D129:F129"/>
    <mergeCell ref="D130:F130"/>
    <mergeCell ref="B135:F135"/>
    <mergeCell ref="B137:C137"/>
    <mergeCell ref="E137:F137"/>
    <mergeCell ref="B138:C138"/>
    <mergeCell ref="B139:C139"/>
    <mergeCell ref="B140:C140"/>
    <mergeCell ref="D145:F145"/>
    <mergeCell ref="D146:F146"/>
    <mergeCell ref="D147:F147"/>
    <mergeCell ref="D148:F148"/>
    <mergeCell ref="D149:F149"/>
    <mergeCell ref="D151:F151"/>
    <mergeCell ref="B153:F153"/>
    <mergeCell ref="B157:F157"/>
    <mergeCell ref="B158:F158"/>
    <mergeCell ref="B159:F159"/>
    <mergeCell ref="B160:F160"/>
    <mergeCell ref="B168:F168"/>
    <mergeCell ref="B170:F170"/>
    <mergeCell ref="B171:F171"/>
    <mergeCell ref="B172:F172"/>
    <mergeCell ref="D174:F174"/>
    <mergeCell ref="D175:F175"/>
    <mergeCell ref="B180:F180"/>
    <mergeCell ref="B182:C182"/>
    <mergeCell ref="E182:F182"/>
    <mergeCell ref="B183:C183"/>
    <mergeCell ref="B184:C184"/>
    <mergeCell ref="B185:C185"/>
    <mergeCell ref="D190:F190"/>
    <mergeCell ref="D191:F191"/>
    <mergeCell ref="D192:F192"/>
    <mergeCell ref="D193:F193"/>
    <mergeCell ref="D194:F194"/>
    <mergeCell ref="D196:F196"/>
    <mergeCell ref="B198:F198"/>
    <mergeCell ref="B202:F202"/>
    <mergeCell ref="B203:F203"/>
    <mergeCell ref="B204:F204"/>
    <mergeCell ref="B205:F205"/>
    <mergeCell ref="B213:F213"/>
    <mergeCell ref="B215:F215"/>
    <mergeCell ref="B216:F216"/>
    <mergeCell ref="B217:F217"/>
    <mergeCell ref="D219:F219"/>
    <mergeCell ref="D220:F220"/>
    <mergeCell ref="B225:F225"/>
    <mergeCell ref="B227:C227"/>
    <mergeCell ref="E227:F227"/>
    <mergeCell ref="B228:C228"/>
    <mergeCell ref="B229:C229"/>
    <mergeCell ref="B230:C230"/>
    <mergeCell ref="D235:F235"/>
    <mergeCell ref="D236:F236"/>
    <mergeCell ref="D237:F237"/>
    <mergeCell ref="D238:F238"/>
    <mergeCell ref="D239:F239"/>
    <mergeCell ref="D241:F241"/>
    <mergeCell ref="B243:F243"/>
    <mergeCell ref="B247:F247"/>
    <mergeCell ref="B248:F248"/>
    <mergeCell ref="B249:F249"/>
    <mergeCell ref="B250:F250"/>
    <mergeCell ref="B258:F258"/>
    <mergeCell ref="B260:F260"/>
    <mergeCell ref="B261:F261"/>
    <mergeCell ref="B262:F262"/>
    <mergeCell ref="D264:F264"/>
    <mergeCell ref="D265:F265"/>
    <mergeCell ref="B270:F270"/>
    <mergeCell ref="B272:C272"/>
    <mergeCell ref="E272:F272"/>
    <mergeCell ref="B273:C273"/>
    <mergeCell ref="B274:C274"/>
    <mergeCell ref="B275:C275"/>
    <mergeCell ref="D280:F280"/>
    <mergeCell ref="D281:F281"/>
    <mergeCell ref="D282:F282"/>
    <mergeCell ref="D283:F283"/>
    <mergeCell ref="D284:F284"/>
    <mergeCell ref="D286:F286"/>
    <mergeCell ref="B288:F288"/>
    <mergeCell ref="B292:F292"/>
    <mergeCell ref="B293:F293"/>
    <mergeCell ref="B294:F294"/>
    <mergeCell ref="B295:F295"/>
    <mergeCell ref="B303:F303"/>
    <mergeCell ref="B305:F305"/>
    <mergeCell ref="B306:F306"/>
    <mergeCell ref="B307:F307"/>
    <mergeCell ref="D309:F309"/>
    <mergeCell ref="D310:F310"/>
    <mergeCell ref="B315:F315"/>
    <mergeCell ref="B317:C317"/>
    <mergeCell ref="E317:F317"/>
    <mergeCell ref="B318:C318"/>
    <mergeCell ref="B319:C319"/>
    <mergeCell ref="B320:C320"/>
    <mergeCell ref="D325:F325"/>
    <mergeCell ref="D326:F326"/>
    <mergeCell ref="D327:F327"/>
    <mergeCell ref="D328:F328"/>
    <mergeCell ref="D329:F329"/>
    <mergeCell ref="D331:F331"/>
    <mergeCell ref="B333:F333"/>
    <mergeCell ref="B337:F337"/>
    <mergeCell ref="B338:F338"/>
    <mergeCell ref="B339:F339"/>
    <mergeCell ref="B340:F340"/>
    <mergeCell ref="B348:F348"/>
    <mergeCell ref="B350:F350"/>
    <mergeCell ref="B351:F351"/>
    <mergeCell ref="B352:F352"/>
    <mergeCell ref="D354:F354"/>
    <mergeCell ref="D355:F355"/>
    <mergeCell ref="B360:F360"/>
    <mergeCell ref="B362:C362"/>
    <mergeCell ref="E362:F362"/>
    <mergeCell ref="B363:C363"/>
    <mergeCell ref="B364:C364"/>
    <mergeCell ref="B365:C365"/>
    <mergeCell ref="D370:F370"/>
    <mergeCell ref="D371:F371"/>
    <mergeCell ref="D372:F372"/>
    <mergeCell ref="D373:F373"/>
    <mergeCell ref="D374:F374"/>
    <mergeCell ref="D376:F376"/>
    <mergeCell ref="B378:F378"/>
    <mergeCell ref="B382:F382"/>
    <mergeCell ref="B383:F383"/>
    <mergeCell ref="B384:F384"/>
    <mergeCell ref="B385:F385"/>
    <mergeCell ref="B393:F393"/>
    <mergeCell ref="B395:F395"/>
    <mergeCell ref="B396:F396"/>
    <mergeCell ref="B397:F397"/>
    <mergeCell ref="D399:F399"/>
    <mergeCell ref="D400:F400"/>
    <mergeCell ref="B405:F405"/>
    <mergeCell ref="B407:C407"/>
    <mergeCell ref="E407:F407"/>
    <mergeCell ref="B408:C408"/>
    <mergeCell ref="B409:C409"/>
    <mergeCell ref="B410:C410"/>
    <mergeCell ref="D415:F415"/>
    <mergeCell ref="D416:F416"/>
    <mergeCell ref="D417:F417"/>
    <mergeCell ref="D418:F418"/>
    <mergeCell ref="D419:F419"/>
    <mergeCell ref="D421:F421"/>
    <mergeCell ref="B423:F423"/>
    <mergeCell ref="B427:F427"/>
    <mergeCell ref="B428:F428"/>
    <mergeCell ref="B429:F429"/>
    <mergeCell ref="B430:F430"/>
    <mergeCell ref="B438:F438"/>
    <mergeCell ref="B440:F440"/>
    <mergeCell ref="B441:F441"/>
    <mergeCell ref="B442:F442"/>
    <mergeCell ref="D444:F444"/>
    <mergeCell ref="D445:F445"/>
    <mergeCell ref="B450:F450"/>
    <mergeCell ref="B452:C452"/>
    <mergeCell ref="E452:F452"/>
    <mergeCell ref="B453:C453"/>
    <mergeCell ref="B454:C454"/>
    <mergeCell ref="B455:C455"/>
    <mergeCell ref="D460:F460"/>
    <mergeCell ref="D461:F461"/>
    <mergeCell ref="D462:F462"/>
    <mergeCell ref="D463:F463"/>
    <mergeCell ref="D464:F464"/>
    <mergeCell ref="D466:F466"/>
    <mergeCell ref="B468:F468"/>
    <mergeCell ref="B472:F472"/>
    <mergeCell ref="B473:F473"/>
    <mergeCell ref="B474:F474"/>
    <mergeCell ref="B475:F475"/>
    <mergeCell ref="B483:F483"/>
    <mergeCell ref="B485:F485"/>
    <mergeCell ref="B486:F486"/>
    <mergeCell ref="B487:F487"/>
    <mergeCell ref="D489:F489"/>
    <mergeCell ref="D490:F490"/>
    <mergeCell ref="B495:F495"/>
    <mergeCell ref="B497:C497"/>
    <mergeCell ref="E497:F497"/>
    <mergeCell ref="B498:C498"/>
    <mergeCell ref="B499:C499"/>
    <mergeCell ref="B500:C500"/>
    <mergeCell ref="D505:F505"/>
    <mergeCell ref="D506:F506"/>
    <mergeCell ref="D507:F507"/>
    <mergeCell ref="D508:F508"/>
    <mergeCell ref="D509:F509"/>
    <mergeCell ref="D511:F511"/>
    <mergeCell ref="B513:F513"/>
    <mergeCell ref="B517:F517"/>
    <mergeCell ref="B518:F518"/>
    <mergeCell ref="B519:F519"/>
    <mergeCell ref="B520:F520"/>
    <mergeCell ref="B528:F528"/>
    <mergeCell ref="B530:F530"/>
    <mergeCell ref="B531:F531"/>
    <mergeCell ref="B532:F532"/>
    <mergeCell ref="D534:F534"/>
    <mergeCell ref="D535:F535"/>
    <mergeCell ref="B540:F540"/>
    <mergeCell ref="B542:C542"/>
    <mergeCell ref="E542:F542"/>
    <mergeCell ref="B543:C543"/>
    <mergeCell ref="B544:C544"/>
    <mergeCell ref="B545:C545"/>
    <mergeCell ref="D550:F550"/>
    <mergeCell ref="D551:F551"/>
    <mergeCell ref="D552:F552"/>
    <mergeCell ref="D553:F553"/>
    <mergeCell ref="D554:F554"/>
    <mergeCell ref="D556:F556"/>
    <mergeCell ref="B558:F558"/>
    <mergeCell ref="B562:F562"/>
    <mergeCell ref="B563:F563"/>
    <mergeCell ref="B564:F564"/>
    <mergeCell ref="B565:F565"/>
    <mergeCell ref="B573:F573"/>
    <mergeCell ref="B575:F575"/>
    <mergeCell ref="B576:F576"/>
    <mergeCell ref="B577:F577"/>
    <mergeCell ref="D579:F579"/>
    <mergeCell ref="D580:F580"/>
    <mergeCell ref="B585:F585"/>
    <mergeCell ref="B587:C587"/>
    <mergeCell ref="E587:F587"/>
    <mergeCell ref="B588:C588"/>
    <mergeCell ref="B589:C589"/>
    <mergeCell ref="B590:C590"/>
    <mergeCell ref="D595:F595"/>
    <mergeCell ref="D596:F596"/>
    <mergeCell ref="D597:F597"/>
    <mergeCell ref="D598:F598"/>
    <mergeCell ref="D599:F599"/>
    <mergeCell ref="D601:F601"/>
    <mergeCell ref="B603:F603"/>
    <mergeCell ref="B607:F607"/>
    <mergeCell ref="B608:F608"/>
    <mergeCell ref="B609:F609"/>
    <mergeCell ref="B610:F610"/>
    <mergeCell ref="B618:F618"/>
    <mergeCell ref="B620:F620"/>
    <mergeCell ref="B621:F621"/>
    <mergeCell ref="B622:F622"/>
    <mergeCell ref="D624:F624"/>
    <mergeCell ref="D625:F625"/>
    <mergeCell ref="B630:F630"/>
    <mergeCell ref="B632:C632"/>
    <mergeCell ref="E632:F632"/>
    <mergeCell ref="B633:C633"/>
    <mergeCell ref="B634:C634"/>
    <mergeCell ref="B635:C635"/>
    <mergeCell ref="D640:F640"/>
    <mergeCell ref="D641:F641"/>
    <mergeCell ref="D642:F642"/>
    <mergeCell ref="D643:F643"/>
    <mergeCell ref="D644:F644"/>
    <mergeCell ref="D646:F646"/>
    <mergeCell ref="B648:F648"/>
    <mergeCell ref="B652:F652"/>
    <mergeCell ref="B653:F653"/>
    <mergeCell ref="B654:F654"/>
    <mergeCell ref="B655:F655"/>
    <mergeCell ref="B663:F663"/>
    <mergeCell ref="B665:F665"/>
    <mergeCell ref="B666:F666"/>
    <mergeCell ref="B667:F667"/>
    <mergeCell ref="D669:F669"/>
    <mergeCell ref="D670:F670"/>
    <mergeCell ref="B675:F675"/>
    <mergeCell ref="B677:C677"/>
    <mergeCell ref="E677:F677"/>
    <mergeCell ref="B678:C678"/>
    <mergeCell ref="B679:C679"/>
    <mergeCell ref="B680:C680"/>
    <mergeCell ref="D685:F685"/>
    <mergeCell ref="D686:F686"/>
    <mergeCell ref="D687:F687"/>
    <mergeCell ref="D688:F688"/>
    <mergeCell ref="D689:F689"/>
    <mergeCell ref="D691:F691"/>
    <mergeCell ref="B693:F693"/>
    <mergeCell ref="B697:F697"/>
    <mergeCell ref="B698:F698"/>
    <mergeCell ref="B699:F699"/>
    <mergeCell ref="B700:F700"/>
    <mergeCell ref="B708:F708"/>
    <mergeCell ref="B710:F710"/>
    <mergeCell ref="B711:F711"/>
    <mergeCell ref="B712:F712"/>
    <mergeCell ref="D714:F714"/>
    <mergeCell ref="D715:F715"/>
    <mergeCell ref="B720:F720"/>
    <mergeCell ref="B722:C722"/>
    <mergeCell ref="E722:F722"/>
    <mergeCell ref="B723:C723"/>
    <mergeCell ref="B724:C724"/>
    <mergeCell ref="B725:C725"/>
    <mergeCell ref="D730:F730"/>
    <mergeCell ref="D731:F731"/>
    <mergeCell ref="D732:F732"/>
    <mergeCell ref="D733:F733"/>
    <mergeCell ref="D734:F734"/>
    <mergeCell ref="D736:F736"/>
    <mergeCell ref="B738:F738"/>
    <mergeCell ref="B742:F742"/>
    <mergeCell ref="B743:F743"/>
    <mergeCell ref="B744:F744"/>
    <mergeCell ref="B745:F745"/>
    <mergeCell ref="B753:F753"/>
    <mergeCell ref="B755:F755"/>
    <mergeCell ref="B756:F756"/>
    <mergeCell ref="B757:F757"/>
    <mergeCell ref="D759:F759"/>
    <mergeCell ref="D760:F760"/>
    <mergeCell ref="B765:F765"/>
    <mergeCell ref="B767:C767"/>
    <mergeCell ref="E767:F767"/>
    <mergeCell ref="B768:C768"/>
    <mergeCell ref="B769:C769"/>
    <mergeCell ref="B770:C770"/>
    <mergeCell ref="D775:F775"/>
    <mergeCell ref="D776:F776"/>
    <mergeCell ref="D777:F777"/>
    <mergeCell ref="D778:F778"/>
    <mergeCell ref="D779:F779"/>
    <mergeCell ref="D781:F781"/>
    <mergeCell ref="B783:F783"/>
    <mergeCell ref="B787:F787"/>
    <mergeCell ref="B788:F788"/>
    <mergeCell ref="B789:F789"/>
    <mergeCell ref="B790:F790"/>
    <mergeCell ref="B798:F798"/>
    <mergeCell ref="B800:F800"/>
    <mergeCell ref="B801:F801"/>
    <mergeCell ref="B802:F802"/>
    <mergeCell ref="D804:F804"/>
    <mergeCell ref="D805:F805"/>
    <mergeCell ref="B810:F810"/>
    <mergeCell ref="B812:C812"/>
    <mergeCell ref="E812:F812"/>
    <mergeCell ref="B813:C813"/>
    <mergeCell ref="B814:C814"/>
    <mergeCell ref="B815:C815"/>
    <mergeCell ref="D820:F820"/>
    <mergeCell ref="D821:F821"/>
    <mergeCell ref="D822:F822"/>
    <mergeCell ref="D823:F823"/>
    <mergeCell ref="D824:F824"/>
    <mergeCell ref="D826:F826"/>
    <mergeCell ref="B828:F828"/>
    <mergeCell ref="B832:F832"/>
    <mergeCell ref="B833:F833"/>
    <mergeCell ref="B834:F834"/>
    <mergeCell ref="B835:F835"/>
    <mergeCell ref="B843:F843"/>
    <mergeCell ref="B845:F845"/>
    <mergeCell ref="B846:F846"/>
    <mergeCell ref="B847:F847"/>
    <mergeCell ref="D849:F849"/>
    <mergeCell ref="D850:F850"/>
    <mergeCell ref="B855:F855"/>
    <mergeCell ref="B857:C857"/>
    <mergeCell ref="E857:F857"/>
    <mergeCell ref="B858:C858"/>
    <mergeCell ref="B859:C859"/>
    <mergeCell ref="B860:C860"/>
    <mergeCell ref="D865:F865"/>
    <mergeCell ref="D866:F866"/>
    <mergeCell ref="D867:F867"/>
    <mergeCell ref="D868:F868"/>
    <mergeCell ref="D869:F869"/>
    <mergeCell ref="D871:F871"/>
    <mergeCell ref="B873:F873"/>
    <mergeCell ref="B877:F877"/>
    <mergeCell ref="B878:F878"/>
    <mergeCell ref="B879:F879"/>
    <mergeCell ref="B880:F880"/>
    <mergeCell ref="B888:F888"/>
    <mergeCell ref="B890:F890"/>
    <mergeCell ref="B891:F891"/>
    <mergeCell ref="B892:F892"/>
    <mergeCell ref="D894:F894"/>
    <mergeCell ref="D895:F895"/>
    <mergeCell ref="B900:F900"/>
    <mergeCell ref="B902:C902"/>
    <mergeCell ref="E902:F902"/>
    <mergeCell ref="B903:C903"/>
    <mergeCell ref="B904:C904"/>
    <mergeCell ref="B905:C905"/>
    <mergeCell ref="D910:F910"/>
    <mergeCell ref="D911:F911"/>
    <mergeCell ref="D912:F912"/>
    <mergeCell ref="D913:F913"/>
    <mergeCell ref="D914:F914"/>
    <mergeCell ref="D916:F916"/>
    <mergeCell ref="B918:F918"/>
    <mergeCell ref="B922:F922"/>
    <mergeCell ref="B923:F923"/>
    <mergeCell ref="B924:F924"/>
    <mergeCell ref="B925:F925"/>
    <mergeCell ref="B933:F933"/>
    <mergeCell ref="B935:F935"/>
    <mergeCell ref="B936:F936"/>
    <mergeCell ref="B937:F937"/>
    <mergeCell ref="D939:F939"/>
    <mergeCell ref="D940:F940"/>
    <mergeCell ref="B945:F945"/>
    <mergeCell ref="B947:C947"/>
    <mergeCell ref="E947:F947"/>
    <mergeCell ref="B948:C948"/>
    <mergeCell ref="B949:C949"/>
    <mergeCell ref="B950:C950"/>
    <mergeCell ref="D955:F955"/>
    <mergeCell ref="D956:F956"/>
    <mergeCell ref="D957:F957"/>
    <mergeCell ref="D958:F958"/>
    <mergeCell ref="D959:F959"/>
    <mergeCell ref="D961:F961"/>
    <mergeCell ref="B963:F963"/>
    <mergeCell ref="B967:F967"/>
    <mergeCell ref="B968:F968"/>
    <mergeCell ref="B969:F969"/>
    <mergeCell ref="B970:F970"/>
    <mergeCell ref="B978:F978"/>
    <mergeCell ref="B980:F980"/>
    <mergeCell ref="B981:F981"/>
    <mergeCell ref="B982:F982"/>
    <mergeCell ref="D984:F984"/>
    <mergeCell ref="D985:F985"/>
    <mergeCell ref="B990:F990"/>
    <mergeCell ref="B992:C992"/>
    <mergeCell ref="E992:F992"/>
    <mergeCell ref="B993:C993"/>
    <mergeCell ref="B994:C994"/>
    <mergeCell ref="B995:C995"/>
    <mergeCell ref="D1000:F1000"/>
    <mergeCell ref="D1001:F1001"/>
    <mergeCell ref="D1002:F1002"/>
    <mergeCell ref="D1003:F1003"/>
    <mergeCell ref="D1004:F1004"/>
    <mergeCell ref="D1006:F1006"/>
    <mergeCell ref="B1008:F1008"/>
    <mergeCell ref="B1012:F1012"/>
    <mergeCell ref="B1013:F1013"/>
    <mergeCell ref="B1014:F1014"/>
    <mergeCell ref="B1015:F1015"/>
    <mergeCell ref="B1023:F1023"/>
    <mergeCell ref="B1025:F1025"/>
    <mergeCell ref="B1026:F1026"/>
    <mergeCell ref="B1027:F1027"/>
    <mergeCell ref="D1029:F1029"/>
    <mergeCell ref="D1030:F1030"/>
    <mergeCell ref="B1035:F1035"/>
    <mergeCell ref="B1037:C1037"/>
    <mergeCell ref="E1037:F1037"/>
    <mergeCell ref="B1038:C1038"/>
    <mergeCell ref="B1039:C1039"/>
    <mergeCell ref="B1040:C1040"/>
    <mergeCell ref="D1045:F1045"/>
    <mergeCell ref="D1046:F1046"/>
    <mergeCell ref="D1047:F1047"/>
    <mergeCell ref="D1048:F1048"/>
    <mergeCell ref="D1049:F1049"/>
    <mergeCell ref="D1051:F1051"/>
    <mergeCell ref="B1053:F1053"/>
    <mergeCell ref="B1057:F1057"/>
    <mergeCell ref="B1058:F1058"/>
    <mergeCell ref="B1059:F1059"/>
    <mergeCell ref="B1060:F1060"/>
    <mergeCell ref="B1068:F1068"/>
    <mergeCell ref="B1070:F1070"/>
    <mergeCell ref="B1071:F1071"/>
    <mergeCell ref="B1072:F1072"/>
    <mergeCell ref="D1074:F1074"/>
    <mergeCell ref="D1075:F1075"/>
    <mergeCell ref="B1080:F1080"/>
    <mergeCell ref="B1082:C1082"/>
    <mergeCell ref="E1082:F1082"/>
    <mergeCell ref="B1083:C1083"/>
    <mergeCell ref="B1084:C1084"/>
    <mergeCell ref="B1085:C1085"/>
    <mergeCell ref="D1090:F1090"/>
    <mergeCell ref="D1091:F1091"/>
    <mergeCell ref="D1092:F1092"/>
    <mergeCell ref="D1093:F1093"/>
    <mergeCell ref="D1094:F1094"/>
    <mergeCell ref="D1096:F1096"/>
    <mergeCell ref="B1098:F1098"/>
    <mergeCell ref="B1102:F1102"/>
    <mergeCell ref="B1103:F1103"/>
    <mergeCell ref="B1104:F1104"/>
    <mergeCell ref="B1105:F1105"/>
    <mergeCell ref="B1113:F1113"/>
    <mergeCell ref="B1115:F1115"/>
    <mergeCell ref="B1116:F1116"/>
    <mergeCell ref="B1117:F1117"/>
    <mergeCell ref="D1119:F1119"/>
    <mergeCell ref="D1120:F1120"/>
    <mergeCell ref="B1125:F1125"/>
    <mergeCell ref="B1127:C1127"/>
    <mergeCell ref="E1127:F1127"/>
    <mergeCell ref="B1128:C1128"/>
    <mergeCell ref="B1129:C1129"/>
    <mergeCell ref="B1130:C1130"/>
    <mergeCell ref="D1135:F1135"/>
    <mergeCell ref="D1136:F1136"/>
    <mergeCell ref="D1137:F1137"/>
    <mergeCell ref="D1138:F1138"/>
    <mergeCell ref="D1139:F1139"/>
    <mergeCell ref="D1141:F1141"/>
    <mergeCell ref="B1143:F1143"/>
    <mergeCell ref="B1147:F1147"/>
    <mergeCell ref="B1148:F1148"/>
    <mergeCell ref="B1149:F1149"/>
    <mergeCell ref="B1150:F1150"/>
    <mergeCell ref="B1158:F1158"/>
    <mergeCell ref="B1160:F1160"/>
    <mergeCell ref="B1161:F1161"/>
    <mergeCell ref="B1162:F1162"/>
    <mergeCell ref="D1164:F1164"/>
    <mergeCell ref="D1165:F1165"/>
    <mergeCell ref="B1170:F1170"/>
    <mergeCell ref="B1172:C1172"/>
    <mergeCell ref="E1172:F1172"/>
    <mergeCell ref="B1173:C1173"/>
    <mergeCell ref="B1174:C1174"/>
    <mergeCell ref="B1175:C1175"/>
    <mergeCell ref="D1180:F1180"/>
    <mergeCell ref="D1181:F1181"/>
    <mergeCell ref="D1182:F1182"/>
    <mergeCell ref="D1183:F1183"/>
    <mergeCell ref="D1184:F1184"/>
    <mergeCell ref="D1186:F1186"/>
    <mergeCell ref="B1188:F1188"/>
    <mergeCell ref="B1192:F1192"/>
    <mergeCell ref="B1193:F1193"/>
    <mergeCell ref="B1194:F1194"/>
    <mergeCell ref="B1195:F1195"/>
    <mergeCell ref="B1203:F1203"/>
    <mergeCell ref="B1205:F1205"/>
    <mergeCell ref="B1206:F1206"/>
    <mergeCell ref="B1207:F1207"/>
    <mergeCell ref="D1209:F1209"/>
    <mergeCell ref="D1210:F1210"/>
    <mergeCell ref="B1215:F1215"/>
    <mergeCell ref="B1217:C1217"/>
    <mergeCell ref="E1217:F1217"/>
    <mergeCell ref="B1218:C1218"/>
    <mergeCell ref="B1219:C1219"/>
    <mergeCell ref="B1220:C1220"/>
    <mergeCell ref="D1225:F1225"/>
    <mergeCell ref="D1226:F1226"/>
    <mergeCell ref="D1227:F1227"/>
    <mergeCell ref="D1228:F1228"/>
    <mergeCell ref="D1229:F1229"/>
    <mergeCell ref="D1231:F1231"/>
    <mergeCell ref="B1233:F1233"/>
    <mergeCell ref="B1237:F1237"/>
    <mergeCell ref="B1238:F1238"/>
    <mergeCell ref="B1239:F1239"/>
    <mergeCell ref="B1240:F1240"/>
    <mergeCell ref="B1248:F1248"/>
    <mergeCell ref="B1250:F1250"/>
    <mergeCell ref="B1251:F1251"/>
    <mergeCell ref="B1252:F1252"/>
    <mergeCell ref="D1254:F1254"/>
    <mergeCell ref="D1255:F1255"/>
    <mergeCell ref="B1260:F1260"/>
    <mergeCell ref="B1262:C1262"/>
    <mergeCell ref="E1262:F1262"/>
    <mergeCell ref="B1263:C1263"/>
    <mergeCell ref="B1264:C1264"/>
    <mergeCell ref="B1265:C1265"/>
    <mergeCell ref="D1270:F1270"/>
    <mergeCell ref="D1271:F1271"/>
    <mergeCell ref="D1272:F1272"/>
    <mergeCell ref="D1273:F1273"/>
    <mergeCell ref="D1274:F1274"/>
    <mergeCell ref="D1276:F1276"/>
    <mergeCell ref="B1278:F1278"/>
    <mergeCell ref="B1282:F1282"/>
    <mergeCell ref="B1283:F1283"/>
    <mergeCell ref="B1284:F1284"/>
    <mergeCell ref="B1285:F1285"/>
    <mergeCell ref="B1293:F1293"/>
    <mergeCell ref="B1295:F1295"/>
    <mergeCell ref="B1296:F1296"/>
    <mergeCell ref="B1297:F1297"/>
    <mergeCell ref="D1299:F1299"/>
    <mergeCell ref="D1300:F1300"/>
    <mergeCell ref="B1305:F1305"/>
    <mergeCell ref="B1307:C1307"/>
    <mergeCell ref="E1307:F1307"/>
    <mergeCell ref="B1308:C1308"/>
    <mergeCell ref="B1309:C1309"/>
    <mergeCell ref="B1310:C1310"/>
    <mergeCell ref="D1315:F1315"/>
    <mergeCell ref="D1316:F1316"/>
    <mergeCell ref="D1317:F1317"/>
    <mergeCell ref="D1318:F1318"/>
    <mergeCell ref="D1319:F1319"/>
    <mergeCell ref="D1321:F1321"/>
    <mergeCell ref="B1323:F1323"/>
    <mergeCell ref="B1327:F1327"/>
    <mergeCell ref="B1328:F1328"/>
    <mergeCell ref="B1329:F1329"/>
    <mergeCell ref="B1330:F1330"/>
    <mergeCell ref="B1338:F1338"/>
    <mergeCell ref="B1340:F1340"/>
    <mergeCell ref="B1341:F1341"/>
    <mergeCell ref="B1342:F1342"/>
    <mergeCell ref="D1344:F1344"/>
    <mergeCell ref="D1345:F1345"/>
    <mergeCell ref="B1350:F1350"/>
    <mergeCell ref="B1352:C1352"/>
    <mergeCell ref="E1352:F1352"/>
    <mergeCell ref="B1353:C1353"/>
    <mergeCell ref="B1354:C1354"/>
    <mergeCell ref="B1355:C1355"/>
    <mergeCell ref="D1360:F1360"/>
    <mergeCell ref="D1361:F1361"/>
    <mergeCell ref="D1362:F1362"/>
    <mergeCell ref="D1363:F1363"/>
    <mergeCell ref="D1364:F1364"/>
    <mergeCell ref="D1366:F1366"/>
    <mergeCell ref="B1368:F1368"/>
    <mergeCell ref="B1372:F1372"/>
    <mergeCell ref="B1373:F1373"/>
    <mergeCell ref="B1374:F1374"/>
    <mergeCell ref="B1375:F1375"/>
    <mergeCell ref="B1383:F1383"/>
    <mergeCell ref="B1385:F1385"/>
    <mergeCell ref="B1386:F1386"/>
    <mergeCell ref="B1387:F1387"/>
    <mergeCell ref="D1389:F1389"/>
    <mergeCell ref="D1390:F1390"/>
    <mergeCell ref="B1395:F1395"/>
    <mergeCell ref="B1397:C1397"/>
    <mergeCell ref="E1397:F1397"/>
    <mergeCell ref="B1398:C1398"/>
    <mergeCell ref="B1399:C1399"/>
    <mergeCell ref="B1400:C1400"/>
    <mergeCell ref="D1405:F1405"/>
    <mergeCell ref="D1406:F1406"/>
    <mergeCell ref="D1407:F1407"/>
    <mergeCell ref="D1408:F1408"/>
    <mergeCell ref="D1409:F1409"/>
    <mergeCell ref="D1411:F1411"/>
    <mergeCell ref="B1413:F1413"/>
    <mergeCell ref="B1417:F1417"/>
    <mergeCell ref="B1418:F1418"/>
    <mergeCell ref="B1419:F1419"/>
    <mergeCell ref="B1420:F1420"/>
    <mergeCell ref="B1428:F1428"/>
    <mergeCell ref="B1430:F1430"/>
    <mergeCell ref="B1431:F1431"/>
    <mergeCell ref="B1432:F1432"/>
    <mergeCell ref="D1434:F1434"/>
    <mergeCell ref="D1435:F1435"/>
    <mergeCell ref="B1440:F1440"/>
    <mergeCell ref="B1442:C1442"/>
    <mergeCell ref="E1442:F1442"/>
    <mergeCell ref="B1443:C1443"/>
    <mergeCell ref="B1444:C1444"/>
    <mergeCell ref="B1445:C1445"/>
    <mergeCell ref="D1450:F1450"/>
    <mergeCell ref="D1451:F1451"/>
    <mergeCell ref="D1452:F1452"/>
    <mergeCell ref="D1453:F1453"/>
    <mergeCell ref="D1454:F1454"/>
    <mergeCell ref="D1456:F1456"/>
    <mergeCell ref="B1458:F1458"/>
    <mergeCell ref="B1462:F1462"/>
    <mergeCell ref="B1463:F1463"/>
    <mergeCell ref="B1464:F1464"/>
    <mergeCell ref="B1465:F1465"/>
    <mergeCell ref="B1473:F1473"/>
    <mergeCell ref="B1475:F1475"/>
    <mergeCell ref="B1476:F1476"/>
    <mergeCell ref="B1477:F1477"/>
    <mergeCell ref="D1479:F1479"/>
    <mergeCell ref="D1480:F1480"/>
    <mergeCell ref="B1485:F1485"/>
    <mergeCell ref="B1487:C1487"/>
    <mergeCell ref="E1487:F1487"/>
    <mergeCell ref="B1488:C1488"/>
    <mergeCell ref="B1489:C1489"/>
    <mergeCell ref="B1490:C1490"/>
    <mergeCell ref="D1495:F1495"/>
    <mergeCell ref="D1496:F1496"/>
    <mergeCell ref="D1497:F1497"/>
    <mergeCell ref="D1498:F1498"/>
    <mergeCell ref="D1499:F1499"/>
    <mergeCell ref="D1501:F1501"/>
    <mergeCell ref="B1503:F1503"/>
    <mergeCell ref="B1507:F1507"/>
    <mergeCell ref="B1508:F1508"/>
    <mergeCell ref="B1509:F1509"/>
    <mergeCell ref="B1510:F1510"/>
    <mergeCell ref="B1518:F1518"/>
    <mergeCell ref="B1520:F1520"/>
    <mergeCell ref="B1521:F1521"/>
    <mergeCell ref="B1522:F1522"/>
    <mergeCell ref="D1524:F1524"/>
    <mergeCell ref="D1525:F1525"/>
    <mergeCell ref="B1530:F1530"/>
    <mergeCell ref="B1532:C1532"/>
    <mergeCell ref="E1532:F1532"/>
    <mergeCell ref="B1533:C1533"/>
    <mergeCell ref="B1534:C1534"/>
    <mergeCell ref="B1535:C1535"/>
    <mergeCell ref="D1540:F1540"/>
    <mergeCell ref="D1541:F1541"/>
    <mergeCell ref="D1542:F1542"/>
    <mergeCell ref="D1543:F1543"/>
    <mergeCell ref="D1544:F1544"/>
    <mergeCell ref="D1546:F1546"/>
    <mergeCell ref="B1548:F1548"/>
    <mergeCell ref="B1552:F1552"/>
    <mergeCell ref="B1553:F1553"/>
    <mergeCell ref="B1554:F1554"/>
    <mergeCell ref="B1555:F1555"/>
    <mergeCell ref="B1563:F1563"/>
    <mergeCell ref="B1565:F1565"/>
    <mergeCell ref="B1566:F1566"/>
    <mergeCell ref="B1567:F1567"/>
    <mergeCell ref="D1569:F1569"/>
    <mergeCell ref="D1570:F1570"/>
    <mergeCell ref="B1575:F1575"/>
    <mergeCell ref="B1577:C1577"/>
    <mergeCell ref="E1577:F1577"/>
    <mergeCell ref="B1578:C1578"/>
    <mergeCell ref="B1579:C1579"/>
    <mergeCell ref="B1580:C1580"/>
    <mergeCell ref="D1585:F1585"/>
    <mergeCell ref="D1586:F1586"/>
    <mergeCell ref="D1587:F1587"/>
    <mergeCell ref="D1588:F1588"/>
    <mergeCell ref="D1589:F1589"/>
    <mergeCell ref="D1591:F1591"/>
    <mergeCell ref="B1593:F1593"/>
    <mergeCell ref="B1597:F1597"/>
    <mergeCell ref="B1598:F1598"/>
    <mergeCell ref="B1599:F1599"/>
    <mergeCell ref="B1600:F1600"/>
    <mergeCell ref="B1608:F1608"/>
    <mergeCell ref="B1610:F1610"/>
    <mergeCell ref="B1611:F1611"/>
    <mergeCell ref="B1612:F1612"/>
    <mergeCell ref="D1614:F1614"/>
    <mergeCell ref="D1615:F1615"/>
    <mergeCell ref="B1620:F1620"/>
    <mergeCell ref="B1622:C1622"/>
    <mergeCell ref="E1622:F1622"/>
    <mergeCell ref="B1623:C1623"/>
    <mergeCell ref="B1624:C1624"/>
    <mergeCell ref="B1625:C1625"/>
    <mergeCell ref="D1630:F1630"/>
    <mergeCell ref="D1631:F1631"/>
    <mergeCell ref="D1632:F1632"/>
    <mergeCell ref="D1633:F1633"/>
    <mergeCell ref="D1634:F1634"/>
    <mergeCell ref="D1636:F1636"/>
    <mergeCell ref="B1638:F1638"/>
    <mergeCell ref="B1642:F1642"/>
    <mergeCell ref="B1643:F1643"/>
    <mergeCell ref="B1644:F1644"/>
    <mergeCell ref="B1645:F1645"/>
    <mergeCell ref="B1653:F1653"/>
    <mergeCell ref="B1655:F1655"/>
    <mergeCell ref="B1656:F1656"/>
    <mergeCell ref="B1657:F1657"/>
    <mergeCell ref="D1659:F1659"/>
    <mergeCell ref="D1660:F1660"/>
    <mergeCell ref="B1665:F1665"/>
    <mergeCell ref="B1667:C1667"/>
    <mergeCell ref="E1667:F1667"/>
    <mergeCell ref="B1668:C1668"/>
    <mergeCell ref="B1669:C1669"/>
    <mergeCell ref="B1670:C1670"/>
    <mergeCell ref="D1675:F1675"/>
    <mergeCell ref="D1676:F1676"/>
    <mergeCell ref="D1677:F1677"/>
    <mergeCell ref="D1678:F1678"/>
    <mergeCell ref="D1679:F1679"/>
    <mergeCell ref="D1681:F1681"/>
    <mergeCell ref="B1683:F1683"/>
    <mergeCell ref="B1687:F1687"/>
    <mergeCell ref="B1688:F1688"/>
    <mergeCell ref="B1689:F1689"/>
    <mergeCell ref="B1690:F1690"/>
    <mergeCell ref="B1698:F1698"/>
    <mergeCell ref="B1700:F1700"/>
    <mergeCell ref="B1701:F1701"/>
    <mergeCell ref="B1702:F1702"/>
    <mergeCell ref="D1704:F1704"/>
    <mergeCell ref="D1705:F1705"/>
    <mergeCell ref="B1710:F1710"/>
    <mergeCell ref="B1712:C1712"/>
    <mergeCell ref="E1712:F1712"/>
    <mergeCell ref="B1713:C1713"/>
    <mergeCell ref="B1714:C1714"/>
    <mergeCell ref="B1715:C1715"/>
    <mergeCell ref="D1720:F1720"/>
    <mergeCell ref="D1721:F1721"/>
    <mergeCell ref="D1722:F1722"/>
    <mergeCell ref="D1723:F1723"/>
    <mergeCell ref="D1724:F1724"/>
    <mergeCell ref="D1726:F1726"/>
    <mergeCell ref="B1728:F1728"/>
    <mergeCell ref="B1732:F1732"/>
    <mergeCell ref="B1733:F1733"/>
    <mergeCell ref="B1734:F1734"/>
    <mergeCell ref="B1735:F1735"/>
    <mergeCell ref="B1743:F1743"/>
    <mergeCell ref="B1745:F1745"/>
    <mergeCell ref="B1746:F1746"/>
    <mergeCell ref="B1747:F1747"/>
    <mergeCell ref="D1749:F1749"/>
    <mergeCell ref="D1750:F1750"/>
    <mergeCell ref="B1755:F1755"/>
    <mergeCell ref="B1757:C1757"/>
    <mergeCell ref="E1757:F1757"/>
    <mergeCell ref="B1758:C1758"/>
    <mergeCell ref="B1759:C1759"/>
    <mergeCell ref="B1760:C1760"/>
    <mergeCell ref="D1765:F1765"/>
    <mergeCell ref="D1766:F1766"/>
    <mergeCell ref="D1767:F1767"/>
    <mergeCell ref="D1768:F1768"/>
    <mergeCell ref="D1769:F1769"/>
    <mergeCell ref="D1771:F1771"/>
    <mergeCell ref="B1773:F1773"/>
    <mergeCell ref="B1777:F1777"/>
    <mergeCell ref="B1778:F1778"/>
    <mergeCell ref="B1779:F1779"/>
    <mergeCell ref="B1780:F1780"/>
    <mergeCell ref="B1788:F1788"/>
    <mergeCell ref="B1790:F1790"/>
    <mergeCell ref="B1791:F1791"/>
    <mergeCell ref="B1792:F1792"/>
    <mergeCell ref="D1794:F1794"/>
    <mergeCell ref="D1795:F1795"/>
    <mergeCell ref="B1800:F1800"/>
    <mergeCell ref="B1802:C1802"/>
    <mergeCell ref="E1802:F1802"/>
    <mergeCell ref="B1803:C1803"/>
    <mergeCell ref="B1804:C1804"/>
    <mergeCell ref="B1805:C1805"/>
    <mergeCell ref="D1810:F1810"/>
    <mergeCell ref="D1811:F1811"/>
    <mergeCell ref="D1812:F1812"/>
    <mergeCell ref="D1813:F1813"/>
    <mergeCell ref="D1814:F1814"/>
    <mergeCell ref="D1816:F1816"/>
    <mergeCell ref="B1818:F1818"/>
    <mergeCell ref="B1822:F1822"/>
    <mergeCell ref="B1823:F1823"/>
    <mergeCell ref="B1824:F1824"/>
    <mergeCell ref="B1825:F1825"/>
    <mergeCell ref="B1833:F1833"/>
    <mergeCell ref="B1835:F1835"/>
    <mergeCell ref="B1836:F1836"/>
    <mergeCell ref="B1837:F1837"/>
    <mergeCell ref="D1839:F1839"/>
    <mergeCell ref="D1840:F1840"/>
    <mergeCell ref="B1845:F1845"/>
    <mergeCell ref="B1847:C1847"/>
    <mergeCell ref="E1847:F1847"/>
    <mergeCell ref="B1848:C1848"/>
    <mergeCell ref="B1849:C1849"/>
    <mergeCell ref="B1850:C1850"/>
    <mergeCell ref="D1855:F1855"/>
    <mergeCell ref="D1856:F1856"/>
    <mergeCell ref="D1857:F1857"/>
    <mergeCell ref="D1858:F1858"/>
    <mergeCell ref="D1859:F1859"/>
    <mergeCell ref="D1861:F1861"/>
    <mergeCell ref="B1863:F1863"/>
    <mergeCell ref="B1867:F1867"/>
    <mergeCell ref="B1868:F1868"/>
    <mergeCell ref="B1869:F1869"/>
    <mergeCell ref="B1870:F1870"/>
    <mergeCell ref="B1878:F1878"/>
    <mergeCell ref="B1880:F1880"/>
    <mergeCell ref="B1881:F1881"/>
    <mergeCell ref="B1882:F1882"/>
    <mergeCell ref="D1884:F1884"/>
    <mergeCell ref="D1885:F1885"/>
    <mergeCell ref="B1890:F1890"/>
    <mergeCell ref="B1892:C1892"/>
    <mergeCell ref="E1892:F1892"/>
    <mergeCell ref="B1893:C1893"/>
    <mergeCell ref="B1894:C1894"/>
    <mergeCell ref="B1895:C1895"/>
    <mergeCell ref="D1900:F1900"/>
    <mergeCell ref="D1901:F1901"/>
    <mergeCell ref="D1902:F1902"/>
    <mergeCell ref="D1903:F1903"/>
    <mergeCell ref="D1904:F1904"/>
    <mergeCell ref="D1906:F1906"/>
    <mergeCell ref="B1908:F1908"/>
    <mergeCell ref="B1912:F1912"/>
    <mergeCell ref="B1913:F1913"/>
    <mergeCell ref="B1914:F1914"/>
    <mergeCell ref="B1915:F1915"/>
    <mergeCell ref="B1923:F1923"/>
    <mergeCell ref="B1925:F1925"/>
    <mergeCell ref="B1926:F1926"/>
    <mergeCell ref="B1927:F1927"/>
    <mergeCell ref="D1929:F1929"/>
    <mergeCell ref="D1930:F1930"/>
    <mergeCell ref="B1935:F1935"/>
    <mergeCell ref="B1937:C1937"/>
    <mergeCell ref="E1937:F1937"/>
    <mergeCell ref="B1938:C1938"/>
    <mergeCell ref="B1939:C1939"/>
    <mergeCell ref="B1940:C1940"/>
    <mergeCell ref="D1945:F1945"/>
    <mergeCell ref="D1946:F1946"/>
    <mergeCell ref="D1947:F1947"/>
    <mergeCell ref="D1948:F1948"/>
    <mergeCell ref="D1949:F1949"/>
    <mergeCell ref="D1951:F1951"/>
    <mergeCell ref="B1953:F1953"/>
    <mergeCell ref="B1957:F1957"/>
    <mergeCell ref="B1958:F1958"/>
    <mergeCell ref="B1959:F1959"/>
    <mergeCell ref="B1960:F1960"/>
    <mergeCell ref="B1968:F1968"/>
    <mergeCell ref="B1970:F1970"/>
    <mergeCell ref="B1971:F1971"/>
    <mergeCell ref="B1972:F1972"/>
    <mergeCell ref="D1974:F1974"/>
    <mergeCell ref="D1975:F1975"/>
    <mergeCell ref="B1980:F1980"/>
    <mergeCell ref="B1982:C1982"/>
    <mergeCell ref="E1982:F1982"/>
    <mergeCell ref="B1983:C1983"/>
    <mergeCell ref="B1984:C1984"/>
    <mergeCell ref="B1985:C1985"/>
    <mergeCell ref="D1990:F1990"/>
    <mergeCell ref="D1991:F1991"/>
    <mergeCell ref="D1992:F1992"/>
    <mergeCell ref="D1993:F1993"/>
    <mergeCell ref="D1994:F1994"/>
    <mergeCell ref="D1996:F1996"/>
    <mergeCell ref="B1998:F1998"/>
    <mergeCell ref="B2002:F2002"/>
    <mergeCell ref="B2003:F2003"/>
    <mergeCell ref="B2004:F2004"/>
    <mergeCell ref="B2005:F2005"/>
    <mergeCell ref="B2013:F2013"/>
    <mergeCell ref="B2015:F2015"/>
    <mergeCell ref="B2016:F2016"/>
    <mergeCell ref="B2017:F2017"/>
    <mergeCell ref="D2019:F2019"/>
    <mergeCell ref="D2020:F2020"/>
    <mergeCell ref="B2025:F2025"/>
    <mergeCell ref="B2027:C2027"/>
    <mergeCell ref="E2027:F2027"/>
    <mergeCell ref="B2028:C2028"/>
    <mergeCell ref="B2029:C2029"/>
    <mergeCell ref="B2030:C2030"/>
    <mergeCell ref="D2035:F2035"/>
    <mergeCell ref="D2036:F2036"/>
    <mergeCell ref="D2037:F2037"/>
    <mergeCell ref="D2038:F2038"/>
    <mergeCell ref="D2039:F2039"/>
    <mergeCell ref="D2041:F2041"/>
    <mergeCell ref="B2043:F2043"/>
    <mergeCell ref="B2047:F2047"/>
    <mergeCell ref="B2048:F2048"/>
    <mergeCell ref="B2049:F2049"/>
    <mergeCell ref="B2050:F2050"/>
    <mergeCell ref="B2058:F2058"/>
    <mergeCell ref="B2060:F2060"/>
    <mergeCell ref="B2061:F2061"/>
    <mergeCell ref="B2062:F2062"/>
    <mergeCell ref="D2064:F2064"/>
    <mergeCell ref="D2065:F2065"/>
    <mergeCell ref="B2070:F2070"/>
    <mergeCell ref="B2072:C2072"/>
    <mergeCell ref="E2072:F2072"/>
    <mergeCell ref="B2073:C2073"/>
    <mergeCell ref="B2074:C2074"/>
    <mergeCell ref="B2075:C2075"/>
    <mergeCell ref="D2080:F2080"/>
    <mergeCell ref="D2081:F2081"/>
    <mergeCell ref="D2082:F2082"/>
    <mergeCell ref="D2083:F2083"/>
    <mergeCell ref="D2084:F2084"/>
    <mergeCell ref="D2086:F2086"/>
    <mergeCell ref="B2088:F2088"/>
    <mergeCell ref="B2092:F2092"/>
    <mergeCell ref="B2093:F2093"/>
    <mergeCell ref="B2094:F2094"/>
    <mergeCell ref="B2095:F2095"/>
    <mergeCell ref="B2103:F2103"/>
    <mergeCell ref="B2105:F2105"/>
    <mergeCell ref="B2106:F2106"/>
    <mergeCell ref="B2107:F2107"/>
    <mergeCell ref="D2109:F2109"/>
    <mergeCell ref="D2110:F2110"/>
    <mergeCell ref="B2115:F2115"/>
    <mergeCell ref="B2117:C2117"/>
    <mergeCell ref="E2117:F2117"/>
    <mergeCell ref="B2118:C2118"/>
    <mergeCell ref="B2119:C2119"/>
    <mergeCell ref="B2120:C2120"/>
    <mergeCell ref="D2125:F2125"/>
    <mergeCell ref="D2126:F2126"/>
    <mergeCell ref="D2127:F2127"/>
    <mergeCell ref="D2128:F2128"/>
    <mergeCell ref="D2129:F2129"/>
    <mergeCell ref="D2131:F2131"/>
    <mergeCell ref="B2133:F2133"/>
    <mergeCell ref="B2137:F2137"/>
    <mergeCell ref="B2138:F2138"/>
    <mergeCell ref="B2139:F2139"/>
    <mergeCell ref="B2140:F2140"/>
    <mergeCell ref="B2148:F2148"/>
    <mergeCell ref="B2150:F2150"/>
    <mergeCell ref="B2151:F2151"/>
    <mergeCell ref="B2152:F2152"/>
    <mergeCell ref="D2154:F2154"/>
    <mergeCell ref="D2155:F2155"/>
    <mergeCell ref="B2160:F2160"/>
    <mergeCell ref="B2162:C2162"/>
    <mergeCell ref="E2162:F2162"/>
    <mergeCell ref="B2163:C2163"/>
    <mergeCell ref="B2164:C2164"/>
    <mergeCell ref="B2165:C2165"/>
    <mergeCell ref="D2170:F2170"/>
    <mergeCell ref="D2171:F2171"/>
    <mergeCell ref="D2172:F2172"/>
    <mergeCell ref="D2173:F2173"/>
    <mergeCell ref="D2174:F2174"/>
    <mergeCell ref="D2176:F2176"/>
    <mergeCell ref="B2178:F2178"/>
    <mergeCell ref="B2182:F2182"/>
    <mergeCell ref="B2183:F2183"/>
    <mergeCell ref="B2184:F2184"/>
    <mergeCell ref="B2185:F2185"/>
    <mergeCell ref="B2193:F2193"/>
    <mergeCell ref="B2195:F2195"/>
    <mergeCell ref="B2196:F2196"/>
    <mergeCell ref="B2197:F2197"/>
    <mergeCell ref="D2199:F2199"/>
    <mergeCell ref="D2200:F2200"/>
    <mergeCell ref="B2205:F2205"/>
    <mergeCell ref="B2207:C2207"/>
    <mergeCell ref="E2207:F2207"/>
    <mergeCell ref="B2208:C2208"/>
    <mergeCell ref="B2209:C2209"/>
    <mergeCell ref="B2210:C2210"/>
    <mergeCell ref="D2215:F2215"/>
    <mergeCell ref="D2216:F2216"/>
    <mergeCell ref="D2217:F2217"/>
    <mergeCell ref="D2218:F2218"/>
    <mergeCell ref="D2219:F2219"/>
    <mergeCell ref="D2221:F2221"/>
    <mergeCell ref="B2223:F2223"/>
    <mergeCell ref="B2227:F2227"/>
    <mergeCell ref="B2228:F2228"/>
    <mergeCell ref="B2229:F2229"/>
    <mergeCell ref="B2230:F2230"/>
    <mergeCell ref="B2238:F2238"/>
    <mergeCell ref="B2240:F2240"/>
    <mergeCell ref="B2241:F2241"/>
    <mergeCell ref="B2242:F2242"/>
    <mergeCell ref="D2244:F2244"/>
    <mergeCell ref="D2245:F2245"/>
    <mergeCell ref="B2250:F2250"/>
    <mergeCell ref="B2252:C2252"/>
    <mergeCell ref="E2252:F2252"/>
    <mergeCell ref="B2253:C2253"/>
    <mergeCell ref="B2254:C2254"/>
    <mergeCell ref="B2255:C2255"/>
    <mergeCell ref="D2260:F2260"/>
    <mergeCell ref="D2261:F2261"/>
    <mergeCell ref="D2262:F2262"/>
    <mergeCell ref="D2263:F2263"/>
    <mergeCell ref="D2264:F2264"/>
    <mergeCell ref="D2266:F2266"/>
    <mergeCell ref="B2268:F2268"/>
    <mergeCell ref="B2272:F2272"/>
    <mergeCell ref="B2273:F2273"/>
    <mergeCell ref="B2274:F2274"/>
    <mergeCell ref="B2275:F2275"/>
    <mergeCell ref="B2283:F2283"/>
    <mergeCell ref="B2285:F2285"/>
    <mergeCell ref="B2286:F2286"/>
    <mergeCell ref="B2287:F2287"/>
    <mergeCell ref="D2289:F2289"/>
    <mergeCell ref="D2290:F2290"/>
    <mergeCell ref="B2295:F2295"/>
    <mergeCell ref="B2297:C2297"/>
    <mergeCell ref="E2297:F2297"/>
    <mergeCell ref="B2298:C2298"/>
    <mergeCell ref="B2299:C2299"/>
    <mergeCell ref="B2300:C2300"/>
    <mergeCell ref="D2305:F2305"/>
    <mergeCell ref="D2306:F2306"/>
    <mergeCell ref="D2307:F2307"/>
    <mergeCell ref="D2308:F2308"/>
    <mergeCell ref="D2309:F2309"/>
    <mergeCell ref="D2311:F2311"/>
    <mergeCell ref="B2313:F2313"/>
    <mergeCell ref="B2317:F2317"/>
    <mergeCell ref="B2318:F2318"/>
    <mergeCell ref="B2319:F2319"/>
    <mergeCell ref="B2320:F2320"/>
    <mergeCell ref="B2328:F2328"/>
    <mergeCell ref="B2330:F2330"/>
    <mergeCell ref="B2331:F2331"/>
    <mergeCell ref="B2332:F2332"/>
    <mergeCell ref="D2334:F2334"/>
    <mergeCell ref="D2335:F2335"/>
    <mergeCell ref="B2340:F2340"/>
    <mergeCell ref="B2342:C2342"/>
    <mergeCell ref="E2342:F2342"/>
    <mergeCell ref="B2343:C2343"/>
    <mergeCell ref="B2344:C2344"/>
    <mergeCell ref="B2345:C2345"/>
    <mergeCell ref="D2350:F2350"/>
    <mergeCell ref="D2351:F2351"/>
    <mergeCell ref="D2352:F2352"/>
    <mergeCell ref="D2353:F2353"/>
    <mergeCell ref="D2354:F2354"/>
    <mergeCell ref="D2356:F2356"/>
    <mergeCell ref="B2358:F2358"/>
    <mergeCell ref="B2362:F2362"/>
    <mergeCell ref="B2363:F2363"/>
    <mergeCell ref="B2364:F2364"/>
    <mergeCell ref="B2365:F2365"/>
    <mergeCell ref="B2373:F2373"/>
    <mergeCell ref="B2375:F2375"/>
    <mergeCell ref="B2376:F2376"/>
    <mergeCell ref="B2377:F2377"/>
    <mergeCell ref="D2379:F2379"/>
    <mergeCell ref="D2380:F2380"/>
    <mergeCell ref="B2385:F2385"/>
    <mergeCell ref="B2387:C2387"/>
    <mergeCell ref="E2387:F2387"/>
    <mergeCell ref="B2388:C2388"/>
    <mergeCell ref="B2389:C2389"/>
    <mergeCell ref="B2390:C2390"/>
    <mergeCell ref="D2395:F2395"/>
    <mergeCell ref="D2396:F2396"/>
    <mergeCell ref="D2397:F2397"/>
    <mergeCell ref="D2398:F2398"/>
    <mergeCell ref="D2399:F2399"/>
    <mergeCell ref="D2401:F2401"/>
    <mergeCell ref="B2403:F2403"/>
    <mergeCell ref="B2407:F2407"/>
    <mergeCell ref="B2408:F2408"/>
    <mergeCell ref="B2409:F2409"/>
    <mergeCell ref="B2410:F2410"/>
    <mergeCell ref="B2418:F2418"/>
    <mergeCell ref="B2420:F2420"/>
    <mergeCell ref="B2421:F2421"/>
    <mergeCell ref="B2422:F2422"/>
    <mergeCell ref="D2424:F2424"/>
    <mergeCell ref="D2425:F2425"/>
    <mergeCell ref="B2430:F2430"/>
    <mergeCell ref="B2432:C2432"/>
    <mergeCell ref="E2432:F2432"/>
    <mergeCell ref="B2433:C2433"/>
    <mergeCell ref="B2434:C2434"/>
    <mergeCell ref="B2435:C2435"/>
    <mergeCell ref="D2440:F2440"/>
    <mergeCell ref="D2441:F2441"/>
    <mergeCell ref="D2442:F2442"/>
    <mergeCell ref="D2443:F2443"/>
    <mergeCell ref="D2444:F2444"/>
    <mergeCell ref="D2446:F2446"/>
    <mergeCell ref="B2448:F2448"/>
    <mergeCell ref="B2452:F2452"/>
    <mergeCell ref="B2453:F2453"/>
    <mergeCell ref="B2454:F2454"/>
    <mergeCell ref="B2455:F2455"/>
    <mergeCell ref="B2463:F2463"/>
    <mergeCell ref="B2465:F2465"/>
    <mergeCell ref="B2466:F2466"/>
    <mergeCell ref="B2467:F2467"/>
    <mergeCell ref="D2469:F2469"/>
    <mergeCell ref="D2470:F2470"/>
    <mergeCell ref="B2475:F2475"/>
    <mergeCell ref="B2477:C2477"/>
    <mergeCell ref="E2477:F2477"/>
    <mergeCell ref="B2478:C2478"/>
    <mergeCell ref="B2479:C2479"/>
    <mergeCell ref="B2480:C2480"/>
    <mergeCell ref="D2485:F2485"/>
    <mergeCell ref="D2486:F2486"/>
    <mergeCell ref="D2487:F2487"/>
    <mergeCell ref="D2488:F2488"/>
    <mergeCell ref="D2489:F2489"/>
    <mergeCell ref="D2491:F2491"/>
    <mergeCell ref="B2493:F2493"/>
    <mergeCell ref="B2497:F2497"/>
    <mergeCell ref="B2498:F2498"/>
    <mergeCell ref="B2499:F2499"/>
    <mergeCell ref="B2500:F2500"/>
    <mergeCell ref="B2508:F2508"/>
    <mergeCell ref="B2510:F2510"/>
    <mergeCell ref="B2511:F2511"/>
    <mergeCell ref="B2512:F2512"/>
    <mergeCell ref="D2514:F2514"/>
    <mergeCell ref="D2515:F2515"/>
    <mergeCell ref="B2520:F2520"/>
    <mergeCell ref="B2522:C2522"/>
    <mergeCell ref="E2522:F2522"/>
    <mergeCell ref="B2523:C2523"/>
    <mergeCell ref="B2524:C2524"/>
    <mergeCell ref="B2525:C2525"/>
    <mergeCell ref="D2530:F2530"/>
    <mergeCell ref="D2531:F2531"/>
    <mergeCell ref="D2532:F2532"/>
    <mergeCell ref="D2533:F2533"/>
    <mergeCell ref="D2534:F2534"/>
    <mergeCell ref="D2536:F2536"/>
    <mergeCell ref="B2538:F2538"/>
    <mergeCell ref="B2542:F2542"/>
    <mergeCell ref="B2543:F2543"/>
    <mergeCell ref="B2544:F2544"/>
    <mergeCell ref="B2545:F2545"/>
    <mergeCell ref="B2553:F2553"/>
    <mergeCell ref="B2555:F2555"/>
    <mergeCell ref="B2556:F2556"/>
    <mergeCell ref="B2557:F2557"/>
    <mergeCell ref="D2559:F2559"/>
    <mergeCell ref="D2560:F2560"/>
    <mergeCell ref="B2565:F2565"/>
    <mergeCell ref="B2567:C2567"/>
    <mergeCell ref="E2567:F2567"/>
    <mergeCell ref="B2568:C2568"/>
    <mergeCell ref="B2569:C2569"/>
    <mergeCell ref="B2570:C2570"/>
    <mergeCell ref="D2575:F2575"/>
    <mergeCell ref="D2576:F2576"/>
    <mergeCell ref="D2577:F2577"/>
    <mergeCell ref="D2578:F2578"/>
    <mergeCell ref="D2579:F2579"/>
    <mergeCell ref="D2581:F2581"/>
    <mergeCell ref="B2583:F2583"/>
    <mergeCell ref="B2587:F2587"/>
    <mergeCell ref="B2588:F2588"/>
    <mergeCell ref="B2589:F2589"/>
    <mergeCell ref="B2590:F2590"/>
    <mergeCell ref="B2598:F2598"/>
    <mergeCell ref="B2600:F2600"/>
    <mergeCell ref="B2601:F2601"/>
    <mergeCell ref="B2602:F2602"/>
    <mergeCell ref="D2604:F2604"/>
    <mergeCell ref="D2605:F2605"/>
    <mergeCell ref="B2610:F2610"/>
    <mergeCell ref="B2612:C2612"/>
    <mergeCell ref="E2612:F2612"/>
    <mergeCell ref="B2613:C2613"/>
    <mergeCell ref="B2614:C2614"/>
    <mergeCell ref="B2615:C2615"/>
    <mergeCell ref="D2620:F2620"/>
    <mergeCell ref="D2621:F2621"/>
    <mergeCell ref="D2622:F2622"/>
    <mergeCell ref="D2623:F2623"/>
    <mergeCell ref="D2624:F2624"/>
    <mergeCell ref="D2626:F2626"/>
    <mergeCell ref="B2628:F2628"/>
    <mergeCell ref="B2632:F2632"/>
    <mergeCell ref="B2633:F2633"/>
    <mergeCell ref="B2634:F2634"/>
    <mergeCell ref="B2635:F2635"/>
    <mergeCell ref="B2643:F2643"/>
    <mergeCell ref="B2645:F2645"/>
    <mergeCell ref="B2646:F2646"/>
    <mergeCell ref="B2647:F2647"/>
    <mergeCell ref="D2649:F2649"/>
    <mergeCell ref="D2650:F2650"/>
    <mergeCell ref="B2655:F2655"/>
    <mergeCell ref="B2657:C2657"/>
    <mergeCell ref="E2657:F2657"/>
    <mergeCell ref="B2658:C2658"/>
    <mergeCell ref="B2659:C2659"/>
    <mergeCell ref="B2660:C2660"/>
    <mergeCell ref="D2665:F2665"/>
    <mergeCell ref="D2666:F2666"/>
    <mergeCell ref="D2667:F2667"/>
    <mergeCell ref="D2668:F2668"/>
    <mergeCell ref="D2669:F2669"/>
    <mergeCell ref="D2671:F2671"/>
    <mergeCell ref="B2673:F2673"/>
    <mergeCell ref="B2677:F2677"/>
    <mergeCell ref="B2678:F2678"/>
    <mergeCell ref="B2679:F2679"/>
    <mergeCell ref="B2680:F2680"/>
    <mergeCell ref="B2688:F2688"/>
    <mergeCell ref="B2690:F2690"/>
    <mergeCell ref="B2691:F2691"/>
    <mergeCell ref="B2692:F2692"/>
    <mergeCell ref="D2694:F2694"/>
    <mergeCell ref="D2695:F2695"/>
    <mergeCell ref="B2700:F2700"/>
    <mergeCell ref="B2702:C2702"/>
    <mergeCell ref="E2702:F2702"/>
    <mergeCell ref="B2703:C2703"/>
    <mergeCell ref="B2704:C2704"/>
    <mergeCell ref="B2705:C2705"/>
    <mergeCell ref="D2710:F2710"/>
    <mergeCell ref="D2711:F2711"/>
    <mergeCell ref="D2712:F2712"/>
    <mergeCell ref="D2713:F2713"/>
    <mergeCell ref="D2714:F2714"/>
    <mergeCell ref="D2716:F2716"/>
    <mergeCell ref="B2718:F2718"/>
    <mergeCell ref="B2722:F2722"/>
    <mergeCell ref="B2723:F2723"/>
    <mergeCell ref="B2724:F2724"/>
    <mergeCell ref="B2725:F2725"/>
    <mergeCell ref="B2733:F2733"/>
    <mergeCell ref="B2735:F2735"/>
    <mergeCell ref="B2736:F2736"/>
    <mergeCell ref="B2737:F2737"/>
    <mergeCell ref="D2739:F2739"/>
    <mergeCell ref="D2740:F2740"/>
    <mergeCell ref="B2745:F2745"/>
    <mergeCell ref="B2747:C2747"/>
    <mergeCell ref="E2747:F2747"/>
    <mergeCell ref="B2748:C2748"/>
    <mergeCell ref="B2749:C2749"/>
    <mergeCell ref="B2750:C2750"/>
    <mergeCell ref="D2755:F2755"/>
    <mergeCell ref="D2756:F2756"/>
    <mergeCell ref="D2757:F2757"/>
    <mergeCell ref="D2758:F2758"/>
    <mergeCell ref="D2759:F2759"/>
    <mergeCell ref="D2761:F2761"/>
    <mergeCell ref="B2763:F2763"/>
    <mergeCell ref="B2767:F2767"/>
    <mergeCell ref="B2768:F2768"/>
    <mergeCell ref="B2769:F2769"/>
    <mergeCell ref="B2770:F2770"/>
    <mergeCell ref="B2778:F2778"/>
    <mergeCell ref="B2780:F2780"/>
    <mergeCell ref="B2781:F2781"/>
    <mergeCell ref="B2782:F2782"/>
    <mergeCell ref="D2784:F2784"/>
    <mergeCell ref="D2785:F2785"/>
    <mergeCell ref="B2790:F2790"/>
    <mergeCell ref="B2792:C2792"/>
    <mergeCell ref="E2792:F2792"/>
    <mergeCell ref="B2793:C2793"/>
    <mergeCell ref="B2794:C2794"/>
    <mergeCell ref="B2795:C2795"/>
    <mergeCell ref="D2800:F2800"/>
    <mergeCell ref="D2801:F2801"/>
    <mergeCell ref="D2802:F2802"/>
    <mergeCell ref="D2803:F2803"/>
    <mergeCell ref="D2804:F2804"/>
    <mergeCell ref="D2806:F2806"/>
    <mergeCell ref="B2808:F2808"/>
    <mergeCell ref="B2812:F2812"/>
    <mergeCell ref="B2813:F2813"/>
    <mergeCell ref="B2814:F2814"/>
    <mergeCell ref="B2815:F2815"/>
    <mergeCell ref="B2823:F2823"/>
    <mergeCell ref="B2825:F2825"/>
    <mergeCell ref="B2826:F2826"/>
    <mergeCell ref="B2827:F2827"/>
    <mergeCell ref="D2829:F2829"/>
    <mergeCell ref="D2830:F2830"/>
    <mergeCell ref="B2835:F2835"/>
    <mergeCell ref="B2837:C2837"/>
    <mergeCell ref="E2837:F2837"/>
    <mergeCell ref="B2838:C2838"/>
    <mergeCell ref="B2839:C2839"/>
    <mergeCell ref="B2840:C2840"/>
    <mergeCell ref="D2845:F2845"/>
    <mergeCell ref="D2846:F2846"/>
    <mergeCell ref="D2847:F2847"/>
    <mergeCell ref="D2848:F2848"/>
    <mergeCell ref="D2849:F2849"/>
    <mergeCell ref="D2851:F2851"/>
    <mergeCell ref="B2853:F2853"/>
    <mergeCell ref="B2857:F2857"/>
    <mergeCell ref="B2858:F2858"/>
    <mergeCell ref="B2859:F2859"/>
    <mergeCell ref="B2860:F2860"/>
    <mergeCell ref="B2868:F2868"/>
    <mergeCell ref="B2870:F2870"/>
    <mergeCell ref="B2871:F2871"/>
    <mergeCell ref="B2872:F2872"/>
    <mergeCell ref="D2874:F2874"/>
    <mergeCell ref="D2875:F2875"/>
    <mergeCell ref="B2880:F2880"/>
    <mergeCell ref="B2882:C2882"/>
    <mergeCell ref="E2882:F2882"/>
    <mergeCell ref="B2883:C2883"/>
    <mergeCell ref="B2884:C2884"/>
    <mergeCell ref="B2885:C2885"/>
    <mergeCell ref="D2890:F2890"/>
    <mergeCell ref="D2891:F2891"/>
    <mergeCell ref="D2892:F2892"/>
    <mergeCell ref="D2893:F2893"/>
    <mergeCell ref="D2894:F2894"/>
    <mergeCell ref="D2896:F2896"/>
    <mergeCell ref="B2898:F2898"/>
    <mergeCell ref="B2902:F2902"/>
    <mergeCell ref="B2903:F2903"/>
    <mergeCell ref="B2904:F2904"/>
    <mergeCell ref="B2905:F2905"/>
    <mergeCell ref="B2913:F2913"/>
    <mergeCell ref="B2915:F2915"/>
    <mergeCell ref="B2916:F2916"/>
    <mergeCell ref="B2917:F2917"/>
    <mergeCell ref="D2919:F2919"/>
    <mergeCell ref="D2920:F2920"/>
    <mergeCell ref="B2925:F2925"/>
    <mergeCell ref="B2927:C2927"/>
    <mergeCell ref="E2927:F2927"/>
    <mergeCell ref="B2928:C2928"/>
    <mergeCell ref="B2929:C2929"/>
    <mergeCell ref="B2930:C2930"/>
    <mergeCell ref="D2935:F2935"/>
    <mergeCell ref="D2936:F2936"/>
    <mergeCell ref="D2937:F2937"/>
    <mergeCell ref="D2938:F2938"/>
    <mergeCell ref="D2939:F2939"/>
    <mergeCell ref="D2941:F2941"/>
    <mergeCell ref="B2943:F2943"/>
    <mergeCell ref="B2947:F2947"/>
    <mergeCell ref="B2948:F2948"/>
    <mergeCell ref="B2949:F2949"/>
    <mergeCell ref="B2950:F2950"/>
    <mergeCell ref="B2958:F2958"/>
    <mergeCell ref="B2960:F2960"/>
    <mergeCell ref="B2961:F2961"/>
    <mergeCell ref="B2962:F2962"/>
    <mergeCell ref="D2964:F2964"/>
    <mergeCell ref="D2965:F2965"/>
    <mergeCell ref="B2970:F2970"/>
    <mergeCell ref="B2972:C2972"/>
    <mergeCell ref="E2972:F2972"/>
    <mergeCell ref="B2973:C2973"/>
    <mergeCell ref="B2974:C2974"/>
    <mergeCell ref="B2975:C2975"/>
    <mergeCell ref="D2980:F2980"/>
    <mergeCell ref="D2981:F2981"/>
    <mergeCell ref="D2982:F2982"/>
    <mergeCell ref="D2983:F2983"/>
    <mergeCell ref="D2984:F2984"/>
    <mergeCell ref="D2986:F2986"/>
    <mergeCell ref="B2988:F2988"/>
    <mergeCell ref="B2992:F2992"/>
    <mergeCell ref="B2993:F2993"/>
    <mergeCell ref="B2994:F2994"/>
    <mergeCell ref="B2995:F2995"/>
    <mergeCell ref="B3003:F3003"/>
    <mergeCell ref="B3005:F3005"/>
    <mergeCell ref="B3006:F3006"/>
    <mergeCell ref="B3007:F3007"/>
    <mergeCell ref="D3009:F3009"/>
    <mergeCell ref="D3010:F3010"/>
    <mergeCell ref="B3015:F3015"/>
    <mergeCell ref="B3017:C3017"/>
    <mergeCell ref="E3017:F3017"/>
    <mergeCell ref="B3018:C3018"/>
    <mergeCell ref="B3019:C3019"/>
    <mergeCell ref="B3020:C3020"/>
    <mergeCell ref="D3025:F3025"/>
    <mergeCell ref="D3026:F3026"/>
    <mergeCell ref="D3027:F3027"/>
    <mergeCell ref="D3028:F3028"/>
    <mergeCell ref="D3029:F3029"/>
    <mergeCell ref="D3031:F3031"/>
    <mergeCell ref="B3033:F3033"/>
    <mergeCell ref="B3037:F3037"/>
    <mergeCell ref="B3038:F3038"/>
    <mergeCell ref="B3039:F3039"/>
    <mergeCell ref="B3040:F3040"/>
    <mergeCell ref="B3048:F3048"/>
    <mergeCell ref="B3050:F3050"/>
    <mergeCell ref="B3051:F3051"/>
    <mergeCell ref="B3052:F3052"/>
    <mergeCell ref="D3054:F3054"/>
    <mergeCell ref="D3055:F3055"/>
    <mergeCell ref="B3060:F3060"/>
    <mergeCell ref="B3062:C3062"/>
    <mergeCell ref="E3062:F3062"/>
    <mergeCell ref="B3063:C3063"/>
    <mergeCell ref="B3064:C3064"/>
    <mergeCell ref="B3065:C3065"/>
    <mergeCell ref="D3070:F3070"/>
    <mergeCell ref="D3071:F3071"/>
    <mergeCell ref="D3072:F3072"/>
    <mergeCell ref="D3073:F3073"/>
    <mergeCell ref="D3074:F3074"/>
    <mergeCell ref="D3076:F3076"/>
    <mergeCell ref="B3078:F3078"/>
    <mergeCell ref="B3082:F3082"/>
    <mergeCell ref="B3083:F3083"/>
    <mergeCell ref="B3084:F3084"/>
    <mergeCell ref="B3085:F3085"/>
    <mergeCell ref="B3093:F3093"/>
    <mergeCell ref="B3095:F3095"/>
    <mergeCell ref="B3096:F3096"/>
    <mergeCell ref="B3097:F3097"/>
    <mergeCell ref="D3099:F3099"/>
    <mergeCell ref="D3100:F3100"/>
    <mergeCell ref="B3105:F3105"/>
    <mergeCell ref="B3107:C3107"/>
    <mergeCell ref="E3107:F3107"/>
    <mergeCell ref="B3108:C3108"/>
    <mergeCell ref="B3109:C3109"/>
    <mergeCell ref="B3110:C3110"/>
    <mergeCell ref="D3115:F3115"/>
    <mergeCell ref="D3116:F3116"/>
    <mergeCell ref="D3117:F3117"/>
    <mergeCell ref="D3118:F3118"/>
    <mergeCell ref="D3119:F3119"/>
    <mergeCell ref="D3121:F3121"/>
    <mergeCell ref="B3123:F3123"/>
    <mergeCell ref="B3127:F3127"/>
    <mergeCell ref="B3128:F3128"/>
    <mergeCell ref="B3129:F3129"/>
    <mergeCell ref="B3130:F3130"/>
    <mergeCell ref="B3138:F3138"/>
    <mergeCell ref="B3140:F3140"/>
    <mergeCell ref="B3141:F3141"/>
    <mergeCell ref="B3142:F3142"/>
    <mergeCell ref="D3144:F3144"/>
    <mergeCell ref="D3145:F3145"/>
    <mergeCell ref="B3150:F3150"/>
    <mergeCell ref="B3152:C3152"/>
    <mergeCell ref="E3152:F3152"/>
    <mergeCell ref="B3153:C3153"/>
    <mergeCell ref="B3154:C3154"/>
    <mergeCell ref="B3155:C3155"/>
    <mergeCell ref="D3160:F3160"/>
    <mergeCell ref="D3161:F3161"/>
    <mergeCell ref="D3162:F3162"/>
    <mergeCell ref="D3163:F3163"/>
    <mergeCell ref="D3164:F3164"/>
    <mergeCell ref="D3166:F3166"/>
    <mergeCell ref="B3168:F3168"/>
    <mergeCell ref="B3172:F3172"/>
    <mergeCell ref="B3173:F3173"/>
    <mergeCell ref="B3174:F3174"/>
    <mergeCell ref="B3175:F3175"/>
    <mergeCell ref="B3183:F3183"/>
    <mergeCell ref="B3185:F3185"/>
    <mergeCell ref="B3186:F3186"/>
    <mergeCell ref="B3187:F3187"/>
    <mergeCell ref="D3189:F3189"/>
    <mergeCell ref="D3190:F3190"/>
    <mergeCell ref="B3195:F3195"/>
    <mergeCell ref="B3197:C3197"/>
    <mergeCell ref="E3197:F3197"/>
    <mergeCell ref="B3198:C3198"/>
    <mergeCell ref="B3199:C3199"/>
    <mergeCell ref="B3200:C3200"/>
    <mergeCell ref="D3205:F3205"/>
    <mergeCell ref="D3206:F3206"/>
    <mergeCell ref="D3207:F3207"/>
    <mergeCell ref="D3208:F3208"/>
    <mergeCell ref="D3209:F3209"/>
    <mergeCell ref="D3211:F3211"/>
    <mergeCell ref="B3213:F3213"/>
    <mergeCell ref="B3217:F3217"/>
    <mergeCell ref="B3218:F3218"/>
    <mergeCell ref="B3219:F3219"/>
    <mergeCell ref="B3220:F3220"/>
    <mergeCell ref="B3228:F3228"/>
    <mergeCell ref="B3230:F3230"/>
    <mergeCell ref="B3231:F3231"/>
    <mergeCell ref="B3232:F3232"/>
    <mergeCell ref="D3234:F3234"/>
    <mergeCell ref="D3235:F3235"/>
    <mergeCell ref="B3240:F3240"/>
    <mergeCell ref="B3242:C3242"/>
    <mergeCell ref="E3242:F3242"/>
    <mergeCell ref="B3243:C3243"/>
    <mergeCell ref="B3244:C3244"/>
    <mergeCell ref="B3245:C3245"/>
    <mergeCell ref="D3250:F3250"/>
    <mergeCell ref="D3251:F3251"/>
    <mergeCell ref="D3252:F3252"/>
    <mergeCell ref="D3253:F3253"/>
    <mergeCell ref="D3254:F3254"/>
    <mergeCell ref="D3256:F3256"/>
    <mergeCell ref="B3258:F3258"/>
    <mergeCell ref="B3262:F3262"/>
    <mergeCell ref="B3263:F3263"/>
    <mergeCell ref="B3264:F3264"/>
    <mergeCell ref="B3265:F3265"/>
    <mergeCell ref="B3273:F3273"/>
    <mergeCell ref="B3275:F3275"/>
    <mergeCell ref="B3276:F3276"/>
    <mergeCell ref="B3277:F3277"/>
    <mergeCell ref="D3279:F3279"/>
    <mergeCell ref="D3280:F3280"/>
    <mergeCell ref="B3285:F3285"/>
    <mergeCell ref="B3287:C3287"/>
    <mergeCell ref="E3287:F3287"/>
    <mergeCell ref="B3288:C3288"/>
    <mergeCell ref="B3289:C3289"/>
    <mergeCell ref="B3290:C3290"/>
    <mergeCell ref="D3295:F3295"/>
    <mergeCell ref="D3296:F3296"/>
    <mergeCell ref="D3297:F3297"/>
    <mergeCell ref="D3298:F3298"/>
    <mergeCell ref="D3299:F3299"/>
    <mergeCell ref="D3301:F3301"/>
    <mergeCell ref="B3303:F3303"/>
    <mergeCell ref="B3307:F3307"/>
    <mergeCell ref="B3308:F3308"/>
    <mergeCell ref="B3309:F3309"/>
    <mergeCell ref="B3310:F3310"/>
    <mergeCell ref="B3318:F3318"/>
    <mergeCell ref="B3320:F3320"/>
    <mergeCell ref="B3321:F3321"/>
    <mergeCell ref="B3322:F3322"/>
    <mergeCell ref="D3324:F3324"/>
    <mergeCell ref="D3325:F3325"/>
    <mergeCell ref="B3330:F3330"/>
    <mergeCell ref="B3332:C3332"/>
    <mergeCell ref="E3332:F3332"/>
    <mergeCell ref="B3333:C3333"/>
    <mergeCell ref="B3334:C3334"/>
    <mergeCell ref="B3335:C3335"/>
    <mergeCell ref="D3340:F3340"/>
    <mergeCell ref="D3341:F3341"/>
    <mergeCell ref="D3342:F3342"/>
    <mergeCell ref="D3343:F3343"/>
    <mergeCell ref="D3344:F3344"/>
    <mergeCell ref="D3346:F3346"/>
    <mergeCell ref="B3348:F3348"/>
    <mergeCell ref="B3352:F3352"/>
    <mergeCell ref="B3353:F3353"/>
    <mergeCell ref="B3354:F3354"/>
    <mergeCell ref="B3355:F3355"/>
    <mergeCell ref="B3363:F3363"/>
    <mergeCell ref="B3365:F3365"/>
    <mergeCell ref="B3366:F3366"/>
    <mergeCell ref="B3367:F3367"/>
    <mergeCell ref="D3369:F3369"/>
    <mergeCell ref="D3370:F3370"/>
    <mergeCell ref="B3375:F3375"/>
    <mergeCell ref="B3377:C3377"/>
    <mergeCell ref="E3377:F3377"/>
    <mergeCell ref="B3378:C3378"/>
    <mergeCell ref="B3379:C3379"/>
    <mergeCell ref="B3380:C3380"/>
    <mergeCell ref="D3385:F3385"/>
    <mergeCell ref="D3386:F3386"/>
    <mergeCell ref="D3387:F3387"/>
    <mergeCell ref="D3388:F3388"/>
    <mergeCell ref="D3389:F3389"/>
    <mergeCell ref="D3391:F3391"/>
    <mergeCell ref="B3393:F3393"/>
    <mergeCell ref="B3397:F3397"/>
    <mergeCell ref="B3398:F3398"/>
    <mergeCell ref="B3399:F3399"/>
    <mergeCell ref="B3400:F3400"/>
    <mergeCell ref="B3408:F3408"/>
    <mergeCell ref="B3410:F3410"/>
    <mergeCell ref="B3411:F3411"/>
    <mergeCell ref="B3412:F3412"/>
    <mergeCell ref="D3414:F3414"/>
    <mergeCell ref="D3415:F3415"/>
    <mergeCell ref="B3420:F3420"/>
    <mergeCell ref="B3422:C3422"/>
    <mergeCell ref="E3422:F3422"/>
    <mergeCell ref="B3423:C3423"/>
    <mergeCell ref="B3424:C3424"/>
    <mergeCell ref="B3425:C3425"/>
    <mergeCell ref="D3430:F3430"/>
    <mergeCell ref="D3431:F3431"/>
    <mergeCell ref="D3432:F3432"/>
    <mergeCell ref="D3433:F3433"/>
    <mergeCell ref="D3434:F3434"/>
    <mergeCell ref="D3436:F3436"/>
    <mergeCell ref="B3438:F3438"/>
    <mergeCell ref="B3442:F3442"/>
    <mergeCell ref="B3443:F3443"/>
    <mergeCell ref="B3444:F3444"/>
    <mergeCell ref="B3445:F3445"/>
    <mergeCell ref="B3453:F3453"/>
    <mergeCell ref="B3455:F3455"/>
    <mergeCell ref="B3456:F3456"/>
    <mergeCell ref="B3457:F3457"/>
    <mergeCell ref="D3459:F3459"/>
    <mergeCell ref="D3460:F3460"/>
    <mergeCell ref="B3465:F3465"/>
    <mergeCell ref="B3467:C3467"/>
    <mergeCell ref="E3467:F3467"/>
    <mergeCell ref="B3468:C3468"/>
    <mergeCell ref="B3469:C3469"/>
    <mergeCell ref="B3470:C3470"/>
    <mergeCell ref="D3475:F3475"/>
    <mergeCell ref="D3476:F3476"/>
    <mergeCell ref="D3477:F3477"/>
    <mergeCell ref="D3478:F3478"/>
    <mergeCell ref="D3479:F3479"/>
    <mergeCell ref="D3481:F3481"/>
    <mergeCell ref="B3483:F3483"/>
    <mergeCell ref="B3487:F3487"/>
    <mergeCell ref="B3488:F3488"/>
    <mergeCell ref="B3489:F3489"/>
    <mergeCell ref="B3490:F3490"/>
    <mergeCell ref="B3498:F3498"/>
    <mergeCell ref="B3500:F3500"/>
    <mergeCell ref="B3501:F3501"/>
    <mergeCell ref="B3502:F3502"/>
    <mergeCell ref="D3504:F3504"/>
    <mergeCell ref="D3505:F3505"/>
    <mergeCell ref="B3510:F3510"/>
    <mergeCell ref="B3512:C3512"/>
    <mergeCell ref="E3512:F3512"/>
    <mergeCell ref="B3513:C3513"/>
    <mergeCell ref="B3514:C3514"/>
    <mergeCell ref="B3515:C3515"/>
    <mergeCell ref="D3520:F3520"/>
    <mergeCell ref="D3521:F3521"/>
    <mergeCell ref="D3522:F3522"/>
    <mergeCell ref="D3523:F3523"/>
    <mergeCell ref="D3524:F3524"/>
    <mergeCell ref="D3526:F3526"/>
    <mergeCell ref="B3528:F3528"/>
    <mergeCell ref="B3532:F3532"/>
    <mergeCell ref="B3533:F3533"/>
    <mergeCell ref="B3534:F3534"/>
    <mergeCell ref="B3535:F3535"/>
    <mergeCell ref="B3543:F3543"/>
    <mergeCell ref="B3545:F3545"/>
    <mergeCell ref="B3546:F3546"/>
    <mergeCell ref="B3547:F3547"/>
    <mergeCell ref="D3549:F3549"/>
    <mergeCell ref="D3550:F3550"/>
    <mergeCell ref="B3555:F3555"/>
    <mergeCell ref="B3557:C3557"/>
    <mergeCell ref="E3557:F3557"/>
    <mergeCell ref="B3558:C3558"/>
    <mergeCell ref="B3559:C3559"/>
    <mergeCell ref="B3560:C3560"/>
    <mergeCell ref="D3565:F3565"/>
    <mergeCell ref="D3566:F3566"/>
    <mergeCell ref="D3567:F3567"/>
    <mergeCell ref="D3568:F3568"/>
    <mergeCell ref="D3569:F3569"/>
    <mergeCell ref="D3571:F3571"/>
    <mergeCell ref="B3573:F3573"/>
    <mergeCell ref="B3577:F3577"/>
    <mergeCell ref="B3578:F3578"/>
    <mergeCell ref="B3579:F3579"/>
    <mergeCell ref="B3580:F3580"/>
    <mergeCell ref="B3588:F3588"/>
    <mergeCell ref="B3590:F3590"/>
    <mergeCell ref="B3591:F3591"/>
    <mergeCell ref="B3592:F3592"/>
    <mergeCell ref="D3594:F3594"/>
    <mergeCell ref="D3595:F3595"/>
    <mergeCell ref="B3600:F3600"/>
    <mergeCell ref="B3602:C3602"/>
    <mergeCell ref="E3602:F3602"/>
    <mergeCell ref="B3603:C3603"/>
    <mergeCell ref="B3604:C3604"/>
    <mergeCell ref="B3605:C3605"/>
    <mergeCell ref="D3610:F3610"/>
    <mergeCell ref="D3611:F3611"/>
    <mergeCell ref="D3612:F3612"/>
    <mergeCell ref="D3613:F3613"/>
    <mergeCell ref="D3614:F3614"/>
    <mergeCell ref="D3616:F3616"/>
    <mergeCell ref="B3618:F3618"/>
    <mergeCell ref="B3622:F3622"/>
    <mergeCell ref="B3623:F3623"/>
    <mergeCell ref="B3624:F3624"/>
    <mergeCell ref="B3625:F3625"/>
    <mergeCell ref="B3633:F3633"/>
    <mergeCell ref="B3635:F3635"/>
    <mergeCell ref="B3636:F3636"/>
    <mergeCell ref="B3637:F3637"/>
    <mergeCell ref="D3639:F3639"/>
    <mergeCell ref="D3640:F3640"/>
    <mergeCell ref="B3645:F3645"/>
    <mergeCell ref="B3647:C3647"/>
    <mergeCell ref="E3647:F3647"/>
    <mergeCell ref="B3648:C3648"/>
    <mergeCell ref="B3649:C3649"/>
    <mergeCell ref="B3650:C3650"/>
    <mergeCell ref="D3655:F3655"/>
    <mergeCell ref="D3656:F3656"/>
    <mergeCell ref="D3657:F3657"/>
    <mergeCell ref="D3658:F3658"/>
    <mergeCell ref="D3659:F3659"/>
    <mergeCell ref="D3661:F3661"/>
    <mergeCell ref="B3663:F3663"/>
    <mergeCell ref="B3667:F3667"/>
    <mergeCell ref="B3668:F3668"/>
    <mergeCell ref="B3669:F3669"/>
    <mergeCell ref="B3670:F3670"/>
    <mergeCell ref="B3678:F3678"/>
    <mergeCell ref="B3680:F3680"/>
    <mergeCell ref="B3681:F3681"/>
    <mergeCell ref="B3682:F3682"/>
    <mergeCell ref="D3684:F3684"/>
    <mergeCell ref="D3685:F3685"/>
    <mergeCell ref="B3690:F3690"/>
    <mergeCell ref="B3692:C3692"/>
    <mergeCell ref="E3692:F3692"/>
    <mergeCell ref="B3693:C3693"/>
    <mergeCell ref="B3694:C3694"/>
    <mergeCell ref="B3695:C3695"/>
    <mergeCell ref="D3700:F3700"/>
    <mergeCell ref="D3701:F3701"/>
    <mergeCell ref="D3702:F3702"/>
    <mergeCell ref="D3703:F3703"/>
    <mergeCell ref="D3704:F3704"/>
    <mergeCell ref="D3706:F3706"/>
    <mergeCell ref="B3708:F3708"/>
    <mergeCell ref="B3712:F3712"/>
    <mergeCell ref="B3713:F3713"/>
    <mergeCell ref="B3714:F3714"/>
    <mergeCell ref="B3715:F3715"/>
    <mergeCell ref="B3723:F3723"/>
    <mergeCell ref="B3725:F3725"/>
    <mergeCell ref="B3726:F3726"/>
    <mergeCell ref="B3727:F3727"/>
    <mergeCell ref="D3729:F3729"/>
    <mergeCell ref="D3730:F3730"/>
    <mergeCell ref="B3735:F3735"/>
    <mergeCell ref="B3737:C3737"/>
    <mergeCell ref="E3737:F3737"/>
    <mergeCell ref="B3738:C3738"/>
    <mergeCell ref="B3739:C3739"/>
    <mergeCell ref="B3740:C3740"/>
    <mergeCell ref="D3745:F3745"/>
    <mergeCell ref="D3746:F3746"/>
    <mergeCell ref="D3747:F3747"/>
    <mergeCell ref="D3748:F3748"/>
    <mergeCell ref="D3749:F3749"/>
    <mergeCell ref="D3751:F3751"/>
    <mergeCell ref="B3753:F3753"/>
    <mergeCell ref="B3757:F3757"/>
    <mergeCell ref="B3758:F3758"/>
    <mergeCell ref="B3759:F3759"/>
    <mergeCell ref="B3760:F3760"/>
    <mergeCell ref="B3768:F3768"/>
    <mergeCell ref="B3770:F3770"/>
    <mergeCell ref="B3771:F3771"/>
    <mergeCell ref="B3772:F3772"/>
    <mergeCell ref="D3774:F3774"/>
    <mergeCell ref="D3775:F3775"/>
    <mergeCell ref="B3780:F3780"/>
    <mergeCell ref="B3782:C3782"/>
    <mergeCell ref="E3782:F3782"/>
    <mergeCell ref="B3783:C3783"/>
    <mergeCell ref="B3784:C3784"/>
    <mergeCell ref="B3785:C3785"/>
    <mergeCell ref="D3790:F3790"/>
    <mergeCell ref="D3791:F3791"/>
    <mergeCell ref="D3792:F3792"/>
    <mergeCell ref="D3793:F3793"/>
    <mergeCell ref="D3794:F3794"/>
    <mergeCell ref="D3796:F3796"/>
    <mergeCell ref="B3798:F3798"/>
    <mergeCell ref="B3802:F3802"/>
    <mergeCell ref="B3803:F3803"/>
    <mergeCell ref="B3804:F3804"/>
    <mergeCell ref="B3805:F3805"/>
    <mergeCell ref="B3813:F3813"/>
    <mergeCell ref="B3815:F3815"/>
    <mergeCell ref="B3816:F3816"/>
    <mergeCell ref="B3817:F3817"/>
    <mergeCell ref="D3819:F3819"/>
    <mergeCell ref="D3820:F3820"/>
    <mergeCell ref="B3825:F3825"/>
    <mergeCell ref="B3827:C3827"/>
    <mergeCell ref="E3827:F3827"/>
    <mergeCell ref="B3828:C3828"/>
    <mergeCell ref="B3829:C3829"/>
    <mergeCell ref="B3830:C3830"/>
    <mergeCell ref="D3835:F3835"/>
    <mergeCell ref="D3836:F3836"/>
    <mergeCell ref="D3837:F3837"/>
    <mergeCell ref="D3838:F3838"/>
    <mergeCell ref="D3839:F3839"/>
    <mergeCell ref="D3841:F3841"/>
    <mergeCell ref="B3843:F3843"/>
    <mergeCell ref="B3847:F3847"/>
    <mergeCell ref="B3848:F3848"/>
    <mergeCell ref="B3849:F3849"/>
    <mergeCell ref="B3850:F3850"/>
    <mergeCell ref="B3858:F3858"/>
    <mergeCell ref="B3860:F3860"/>
    <mergeCell ref="B3861:F3861"/>
    <mergeCell ref="B3862:F3862"/>
    <mergeCell ref="D3864:F3864"/>
    <mergeCell ref="D3865:F3865"/>
    <mergeCell ref="B3870:F3870"/>
    <mergeCell ref="B3872:C3872"/>
    <mergeCell ref="E3872:F3872"/>
    <mergeCell ref="B3873:C3873"/>
    <mergeCell ref="B3874:C3874"/>
    <mergeCell ref="B3875:C3875"/>
    <mergeCell ref="D3880:F3880"/>
    <mergeCell ref="D3881:F3881"/>
    <mergeCell ref="D3882:F3882"/>
    <mergeCell ref="D3883:F3883"/>
    <mergeCell ref="D3884:F3884"/>
    <mergeCell ref="D3886:F3886"/>
    <mergeCell ref="B3888:F3888"/>
    <mergeCell ref="B3892:F3892"/>
    <mergeCell ref="B3893:F3893"/>
    <mergeCell ref="B3894:F3894"/>
    <mergeCell ref="B3895:F3895"/>
    <mergeCell ref="B3903:F3903"/>
    <mergeCell ref="B3905:F3905"/>
    <mergeCell ref="B3906:F3906"/>
    <mergeCell ref="B3907:F3907"/>
    <mergeCell ref="D3909:F3909"/>
    <mergeCell ref="D3910:F3910"/>
    <mergeCell ref="B3915:F3915"/>
    <mergeCell ref="B3917:C3917"/>
    <mergeCell ref="E3917:F3917"/>
    <mergeCell ref="B3918:C3918"/>
    <mergeCell ref="B3919:C3919"/>
    <mergeCell ref="B3920:C3920"/>
    <mergeCell ref="D3925:F3925"/>
    <mergeCell ref="D3926:F3926"/>
    <mergeCell ref="D3927:F3927"/>
    <mergeCell ref="D3928:F3928"/>
    <mergeCell ref="D3929:F3929"/>
    <mergeCell ref="D3931:F3931"/>
    <mergeCell ref="B3933:F3933"/>
    <mergeCell ref="B3937:F3937"/>
    <mergeCell ref="B3938:F3938"/>
    <mergeCell ref="B3939:F3939"/>
    <mergeCell ref="B3940:F3940"/>
    <mergeCell ref="B3948:F3948"/>
    <mergeCell ref="B3950:F3950"/>
    <mergeCell ref="B3951:F3951"/>
    <mergeCell ref="B3952:F3952"/>
    <mergeCell ref="D3954:F3954"/>
    <mergeCell ref="D3955:F3955"/>
    <mergeCell ref="B3960:F3960"/>
    <mergeCell ref="B3962:C3962"/>
    <mergeCell ref="E3962:F3962"/>
    <mergeCell ref="B3963:C3963"/>
    <mergeCell ref="B3964:C3964"/>
    <mergeCell ref="B3965:C3965"/>
    <mergeCell ref="D3970:F3970"/>
    <mergeCell ref="D3971:F3971"/>
    <mergeCell ref="D3972:F3972"/>
    <mergeCell ref="D3973:F3973"/>
    <mergeCell ref="D3974:F3974"/>
    <mergeCell ref="D3976:F3976"/>
    <mergeCell ref="B3978:F3978"/>
    <mergeCell ref="B3982:F3982"/>
    <mergeCell ref="B3983:F3983"/>
    <mergeCell ref="B3984:F3984"/>
    <mergeCell ref="B3985:F3985"/>
    <mergeCell ref="B3993:F3993"/>
    <mergeCell ref="B3995:F3995"/>
    <mergeCell ref="B3996:F3996"/>
    <mergeCell ref="B3997:F3997"/>
    <mergeCell ref="D3999:F3999"/>
    <mergeCell ref="D4000:F4000"/>
    <mergeCell ref="B4005:F4005"/>
    <mergeCell ref="B4007:C4007"/>
    <mergeCell ref="E4007:F4007"/>
    <mergeCell ref="B4008:C4008"/>
    <mergeCell ref="B4009:C4009"/>
    <mergeCell ref="B4010:C4010"/>
    <mergeCell ref="D4015:F4015"/>
    <mergeCell ref="D4016:F4016"/>
    <mergeCell ref="D4017:F4017"/>
    <mergeCell ref="D4018:F4018"/>
    <mergeCell ref="D4019:F4019"/>
    <mergeCell ref="D4021:F4021"/>
    <mergeCell ref="B4023:F4023"/>
    <mergeCell ref="B4027:F4027"/>
    <mergeCell ref="B4028:F4028"/>
    <mergeCell ref="B4029:F4029"/>
    <mergeCell ref="B4030:F4030"/>
    <mergeCell ref="B4038:F4038"/>
    <mergeCell ref="B4040:F4040"/>
    <mergeCell ref="B4041:F4041"/>
    <mergeCell ref="B4042:F4042"/>
    <mergeCell ref="D4044:F4044"/>
    <mergeCell ref="D4045:F4045"/>
    <mergeCell ref="B4050:F4050"/>
    <mergeCell ref="B4052:C4052"/>
    <mergeCell ref="E4052:F4052"/>
    <mergeCell ref="B4053:C4053"/>
    <mergeCell ref="B4054:C4054"/>
    <mergeCell ref="B4055:C4055"/>
    <mergeCell ref="D4060:F4060"/>
    <mergeCell ref="D4061:F4061"/>
    <mergeCell ref="D4062:F4062"/>
    <mergeCell ref="D4063:F4063"/>
    <mergeCell ref="D4064:F4064"/>
    <mergeCell ref="D4066:F4066"/>
    <mergeCell ref="B4068:F4068"/>
    <mergeCell ref="B4072:F4072"/>
    <mergeCell ref="B4073:F4073"/>
    <mergeCell ref="B4074:F4074"/>
    <mergeCell ref="B4075:F4075"/>
    <mergeCell ref="B4083:F4083"/>
    <mergeCell ref="B4085:F4085"/>
    <mergeCell ref="B4086:F4086"/>
    <mergeCell ref="B4087:F4087"/>
    <mergeCell ref="D4089:F4089"/>
    <mergeCell ref="D4090:F4090"/>
    <mergeCell ref="B4095:F4095"/>
    <mergeCell ref="B4097:C4097"/>
    <mergeCell ref="E4097:F4097"/>
    <mergeCell ref="B4098:C4098"/>
    <mergeCell ref="B4099:C4099"/>
    <mergeCell ref="B4100:C4100"/>
    <mergeCell ref="D4105:F4105"/>
    <mergeCell ref="D4106:F4106"/>
    <mergeCell ref="D4107:F4107"/>
    <mergeCell ref="D4108:F4108"/>
    <mergeCell ref="D4109:F4109"/>
    <mergeCell ref="D4111:F4111"/>
    <mergeCell ref="B4113:F4113"/>
    <mergeCell ref="B4117:F4117"/>
    <mergeCell ref="B4118:F4118"/>
    <mergeCell ref="B4119:F4119"/>
    <mergeCell ref="B4120:F4120"/>
    <mergeCell ref="B4128:F4128"/>
    <mergeCell ref="B4130:F4130"/>
    <mergeCell ref="B4131:F4131"/>
    <mergeCell ref="B4132:F4132"/>
    <mergeCell ref="D4134:F4134"/>
    <mergeCell ref="D4135:F4135"/>
    <mergeCell ref="B4140:F4140"/>
    <mergeCell ref="B4142:C4142"/>
    <mergeCell ref="E4142:F4142"/>
    <mergeCell ref="B4143:C4143"/>
    <mergeCell ref="B4144:C4144"/>
    <mergeCell ref="B4145:C4145"/>
    <mergeCell ref="D4150:F4150"/>
    <mergeCell ref="D4151:F4151"/>
    <mergeCell ref="D4152:F4152"/>
    <mergeCell ref="D4153:F4153"/>
    <mergeCell ref="D4154:F4154"/>
    <mergeCell ref="D4156:F4156"/>
    <mergeCell ref="B4158:F4158"/>
    <mergeCell ref="B4162:F4162"/>
    <mergeCell ref="B4163:F4163"/>
    <mergeCell ref="B4164:F4164"/>
    <mergeCell ref="B4165:F4165"/>
    <mergeCell ref="B4173:F4173"/>
    <mergeCell ref="B4175:F4175"/>
    <mergeCell ref="B4176:F4176"/>
    <mergeCell ref="B4177:F4177"/>
    <mergeCell ref="D4179:F4179"/>
    <mergeCell ref="D4180:F4180"/>
    <mergeCell ref="B4185:F4185"/>
    <mergeCell ref="B4187:C4187"/>
    <mergeCell ref="E4187:F4187"/>
    <mergeCell ref="B4188:C4188"/>
    <mergeCell ref="B4189:C4189"/>
    <mergeCell ref="B4190:C4190"/>
    <mergeCell ref="D4195:F4195"/>
    <mergeCell ref="D4196:F4196"/>
    <mergeCell ref="D4197:F4197"/>
    <mergeCell ref="D4198:F4198"/>
    <mergeCell ref="D4199:F4199"/>
    <mergeCell ref="D4201:F4201"/>
    <mergeCell ref="B4203:F4203"/>
    <mergeCell ref="B4207:F4207"/>
    <mergeCell ref="B4208:F4208"/>
    <mergeCell ref="B4209:F4209"/>
    <mergeCell ref="B4210:F4210"/>
    <mergeCell ref="B4218:F4218"/>
    <mergeCell ref="B4220:F4220"/>
    <mergeCell ref="B4221:F4221"/>
    <mergeCell ref="B4222:F4222"/>
    <mergeCell ref="D4224:F4224"/>
    <mergeCell ref="D4225:F4225"/>
    <mergeCell ref="B4230:F4230"/>
    <mergeCell ref="B4232:C4232"/>
    <mergeCell ref="E4232:F4232"/>
    <mergeCell ref="B4233:C4233"/>
    <mergeCell ref="B4234:C4234"/>
    <mergeCell ref="B4235:C4235"/>
    <mergeCell ref="D4240:F4240"/>
    <mergeCell ref="D4241:F4241"/>
    <mergeCell ref="D4242:F4242"/>
    <mergeCell ref="D4243:F4243"/>
    <mergeCell ref="D4244:F4244"/>
    <mergeCell ref="D4246:F4246"/>
    <mergeCell ref="B4248:F4248"/>
    <mergeCell ref="B4252:F4252"/>
    <mergeCell ref="B4253:F4253"/>
    <mergeCell ref="B4254:F4254"/>
    <mergeCell ref="B4255:F4255"/>
    <mergeCell ref="B4263:F4263"/>
    <mergeCell ref="B4265:F4265"/>
    <mergeCell ref="B4266:F4266"/>
    <mergeCell ref="B4267:F4267"/>
    <mergeCell ref="D4269:F4269"/>
    <mergeCell ref="D4270:F4270"/>
    <mergeCell ref="B4275:F4275"/>
    <mergeCell ref="B4277:C4277"/>
    <mergeCell ref="E4277:F4277"/>
    <mergeCell ref="B4278:C4278"/>
    <mergeCell ref="B4279:C4279"/>
    <mergeCell ref="B4280:C4280"/>
    <mergeCell ref="D4285:F4285"/>
    <mergeCell ref="D4286:F4286"/>
    <mergeCell ref="D4287:F4287"/>
    <mergeCell ref="D4288:F4288"/>
    <mergeCell ref="D4289:F4289"/>
    <mergeCell ref="D4291:F4291"/>
    <mergeCell ref="B4293:F4293"/>
    <mergeCell ref="B4297:F4297"/>
    <mergeCell ref="B4298:F4298"/>
    <mergeCell ref="B4299:F4299"/>
    <mergeCell ref="B4300:F4300"/>
    <mergeCell ref="B4308:F4308"/>
    <mergeCell ref="B4310:F4310"/>
    <mergeCell ref="B4311:F4311"/>
    <mergeCell ref="B4312:F4312"/>
    <mergeCell ref="D4314:F4314"/>
    <mergeCell ref="D4315:F4315"/>
    <mergeCell ref="B4320:F4320"/>
    <mergeCell ref="B4322:C4322"/>
    <mergeCell ref="E4322:F4322"/>
    <mergeCell ref="B4323:C4323"/>
    <mergeCell ref="B4324:C4324"/>
    <mergeCell ref="B4325:C4325"/>
    <mergeCell ref="D4330:F4330"/>
    <mergeCell ref="D4331:F4331"/>
    <mergeCell ref="D4332:F4332"/>
    <mergeCell ref="D4333:F4333"/>
    <mergeCell ref="D4334:F4334"/>
    <mergeCell ref="D4336:F4336"/>
    <mergeCell ref="B4338:F4338"/>
    <mergeCell ref="B4342:F4342"/>
    <mergeCell ref="B4343:F4343"/>
    <mergeCell ref="B4344:F4344"/>
    <mergeCell ref="B4345:F4345"/>
    <mergeCell ref="B4353:F4353"/>
    <mergeCell ref="B4355:F4355"/>
    <mergeCell ref="B4356:F4356"/>
    <mergeCell ref="B4357:F4357"/>
    <mergeCell ref="D4359:F4359"/>
    <mergeCell ref="D4360:F4360"/>
    <mergeCell ref="B4365:F4365"/>
    <mergeCell ref="B4367:C4367"/>
    <mergeCell ref="E4367:F4367"/>
    <mergeCell ref="B4368:C4368"/>
    <mergeCell ref="B4369:C4369"/>
    <mergeCell ref="B4370:C4370"/>
    <mergeCell ref="D4375:F4375"/>
    <mergeCell ref="D4376:F4376"/>
    <mergeCell ref="D4377:F4377"/>
    <mergeCell ref="D4378:F4378"/>
    <mergeCell ref="D4379:F4379"/>
    <mergeCell ref="D4381:F4381"/>
    <mergeCell ref="B4383:F4383"/>
    <mergeCell ref="B4387:F4387"/>
    <mergeCell ref="B4388:F4388"/>
    <mergeCell ref="B4389:F4389"/>
    <mergeCell ref="B4390:F4390"/>
    <mergeCell ref="B4398:F4398"/>
    <mergeCell ref="B4400:F4400"/>
    <mergeCell ref="B4401:F4401"/>
    <mergeCell ref="B4402:F4402"/>
    <mergeCell ref="D4404:F4404"/>
    <mergeCell ref="D4405:F4405"/>
    <mergeCell ref="B4410:F4410"/>
    <mergeCell ref="B4412:C4412"/>
    <mergeCell ref="E4412:F4412"/>
    <mergeCell ref="B4413:C4413"/>
    <mergeCell ref="B4414:C4414"/>
    <mergeCell ref="B4415:C4415"/>
    <mergeCell ref="D4420:F4420"/>
    <mergeCell ref="D4421:F4421"/>
    <mergeCell ref="D4422:F4422"/>
    <mergeCell ref="D4423:F4423"/>
    <mergeCell ref="D4424:F4424"/>
    <mergeCell ref="D4426:F4426"/>
    <mergeCell ref="B4428:F4428"/>
    <mergeCell ref="B4432:F4432"/>
    <mergeCell ref="B4433:F4433"/>
    <mergeCell ref="B4434:F4434"/>
    <mergeCell ref="B4435:F4435"/>
    <mergeCell ref="B4443:F4443"/>
    <mergeCell ref="B4445:F4445"/>
    <mergeCell ref="B4446:F4446"/>
    <mergeCell ref="B4447:F4447"/>
    <mergeCell ref="D4449:F4449"/>
    <mergeCell ref="D4450:F4450"/>
    <mergeCell ref="B4455:F4455"/>
    <mergeCell ref="B4457:C4457"/>
    <mergeCell ref="E4457:F4457"/>
    <mergeCell ref="B4458:C4458"/>
    <mergeCell ref="B4459:C4459"/>
    <mergeCell ref="B4460:C4460"/>
    <mergeCell ref="D4465:F4465"/>
    <mergeCell ref="D4466:F4466"/>
    <mergeCell ref="D4467:F4467"/>
    <mergeCell ref="D4468:F4468"/>
    <mergeCell ref="D4469:F4469"/>
    <mergeCell ref="D4471:F4471"/>
    <mergeCell ref="B4473:F4473"/>
    <mergeCell ref="B4477:F4477"/>
    <mergeCell ref="B4478:F4478"/>
    <mergeCell ref="B4479:F4479"/>
    <mergeCell ref="B4480:F4480"/>
    <mergeCell ref="B4488:F4488"/>
    <mergeCell ref="B4490:F4490"/>
    <mergeCell ref="B4491:F4491"/>
    <mergeCell ref="B4492:F4492"/>
    <mergeCell ref="D4494:F4494"/>
    <mergeCell ref="D4495:F4495"/>
    <mergeCell ref="B4500:F4500"/>
    <mergeCell ref="B4502:C4502"/>
    <mergeCell ref="E4502:F4502"/>
    <mergeCell ref="B4503:C4503"/>
    <mergeCell ref="B4504:C4504"/>
    <mergeCell ref="B4505:C4505"/>
    <mergeCell ref="D4510:F4510"/>
    <mergeCell ref="D4511:F4511"/>
    <mergeCell ref="D4512:F4512"/>
    <mergeCell ref="D4513:F4513"/>
    <mergeCell ref="D4514:F4514"/>
    <mergeCell ref="D4516:F4516"/>
    <mergeCell ref="B4518:F4518"/>
    <mergeCell ref="B4522:F4522"/>
    <mergeCell ref="B4523:F4523"/>
    <mergeCell ref="B4524:F4524"/>
    <mergeCell ref="B4525:F4525"/>
    <mergeCell ref="B4533:F4533"/>
    <mergeCell ref="B4535:F4535"/>
    <mergeCell ref="B4536:F4536"/>
    <mergeCell ref="B4537:F4537"/>
    <mergeCell ref="D4539:F4539"/>
    <mergeCell ref="D4540:F4540"/>
    <mergeCell ref="B4545:F4545"/>
    <mergeCell ref="B4547:C4547"/>
    <mergeCell ref="E4547:F4547"/>
    <mergeCell ref="B4548:C4548"/>
    <mergeCell ref="B4549:C4549"/>
    <mergeCell ref="B4550:C4550"/>
    <mergeCell ref="D4555:F4555"/>
    <mergeCell ref="D4556:F4556"/>
    <mergeCell ref="D4557:F4557"/>
    <mergeCell ref="D4558:F4558"/>
    <mergeCell ref="D4559:F4559"/>
    <mergeCell ref="D4561:F4561"/>
    <mergeCell ref="B4563:F4563"/>
    <mergeCell ref="B4567:F4567"/>
    <mergeCell ref="B4568:F4568"/>
    <mergeCell ref="B4569:F4569"/>
    <mergeCell ref="B4570:F4570"/>
    <mergeCell ref="B4578:F4578"/>
    <mergeCell ref="B4580:F4580"/>
    <mergeCell ref="B4581:F4581"/>
    <mergeCell ref="B4582:F4582"/>
    <mergeCell ref="D4584:F4584"/>
    <mergeCell ref="D4585:F4585"/>
    <mergeCell ref="B4590:F4590"/>
    <mergeCell ref="B4592:C4592"/>
    <mergeCell ref="E4592:F4592"/>
    <mergeCell ref="B4593:C4593"/>
    <mergeCell ref="B4594:C4594"/>
    <mergeCell ref="B4595:C4595"/>
    <mergeCell ref="D4600:F4600"/>
    <mergeCell ref="D4601:F4601"/>
    <mergeCell ref="D4602:F4602"/>
    <mergeCell ref="D4603:F4603"/>
    <mergeCell ref="D4604:F4604"/>
    <mergeCell ref="D4606:F4606"/>
    <mergeCell ref="B4608:F4608"/>
    <mergeCell ref="B4612:F4612"/>
    <mergeCell ref="B4613:F4613"/>
    <mergeCell ref="B4614:F4614"/>
    <mergeCell ref="B4615:F4615"/>
    <mergeCell ref="B4623:F4623"/>
    <mergeCell ref="B4625:F4625"/>
    <mergeCell ref="B4626:F4626"/>
    <mergeCell ref="B4627:F4627"/>
    <mergeCell ref="D4629:F4629"/>
    <mergeCell ref="D4630:F4630"/>
    <mergeCell ref="B4635:F4635"/>
    <mergeCell ref="B4637:C4637"/>
    <mergeCell ref="E4637:F4637"/>
    <mergeCell ref="B4638:C4638"/>
    <mergeCell ref="B4639:C4639"/>
    <mergeCell ref="B4640:C4640"/>
    <mergeCell ref="D4645:F4645"/>
    <mergeCell ref="D4646:F4646"/>
    <mergeCell ref="D4647:F4647"/>
    <mergeCell ref="D4648:F4648"/>
    <mergeCell ref="D4649:F4649"/>
    <mergeCell ref="D4651:F4651"/>
    <mergeCell ref="B4653:F4653"/>
    <mergeCell ref="B4657:F4657"/>
    <mergeCell ref="B4658:F4658"/>
    <mergeCell ref="B4659:F4659"/>
    <mergeCell ref="B4660:F4660"/>
    <mergeCell ref="B4668:F4668"/>
    <mergeCell ref="B4670:F4670"/>
    <mergeCell ref="B4671:F4671"/>
    <mergeCell ref="B4672:F4672"/>
    <mergeCell ref="D4674:F4674"/>
    <mergeCell ref="D4675:F4675"/>
    <mergeCell ref="B4680:F4680"/>
    <mergeCell ref="B4682:C4682"/>
    <mergeCell ref="E4682:F4682"/>
    <mergeCell ref="B4683:C4683"/>
    <mergeCell ref="B4684:C4684"/>
    <mergeCell ref="B4685:C4685"/>
    <mergeCell ref="D4690:F4690"/>
    <mergeCell ref="D4691:F4691"/>
    <mergeCell ref="D4692:F4692"/>
    <mergeCell ref="D4693:F4693"/>
    <mergeCell ref="D4694:F4694"/>
    <mergeCell ref="D4696:F4696"/>
    <mergeCell ref="B4698:F4698"/>
    <mergeCell ref="B4702:F4702"/>
    <mergeCell ref="B4703:F4703"/>
    <mergeCell ref="B4704:F4704"/>
    <mergeCell ref="B4705:F4705"/>
    <mergeCell ref="B4713:F4713"/>
    <mergeCell ref="B4715:F4715"/>
    <mergeCell ref="B4716:F4716"/>
    <mergeCell ref="B4717:F4717"/>
    <mergeCell ref="D4719:F4719"/>
    <mergeCell ref="D4720:F4720"/>
    <mergeCell ref="B4725:F4725"/>
    <mergeCell ref="B4727:C4727"/>
    <mergeCell ref="E4727:F4727"/>
    <mergeCell ref="B4728:C4728"/>
    <mergeCell ref="B4729:C4729"/>
    <mergeCell ref="B4730:C4730"/>
    <mergeCell ref="D4735:F4735"/>
    <mergeCell ref="D4736:F4736"/>
    <mergeCell ref="D4737:F4737"/>
    <mergeCell ref="D4738:F4738"/>
    <mergeCell ref="D4739:F4739"/>
    <mergeCell ref="D4741:F4741"/>
    <mergeCell ref="B4743:F4743"/>
    <mergeCell ref="B4747:F4747"/>
    <mergeCell ref="B4748:F4748"/>
    <mergeCell ref="B4749:F4749"/>
    <mergeCell ref="B4750:F4750"/>
    <mergeCell ref="B4758:F4758"/>
    <mergeCell ref="B4760:F4760"/>
    <mergeCell ref="B4761:F4761"/>
    <mergeCell ref="B4762:F4762"/>
    <mergeCell ref="D4764:F4764"/>
    <mergeCell ref="D4765:F4765"/>
    <mergeCell ref="B4770:F4770"/>
    <mergeCell ref="B4772:C4772"/>
    <mergeCell ref="E4772:F4772"/>
    <mergeCell ref="B4773:C4773"/>
    <mergeCell ref="B4774:C4774"/>
    <mergeCell ref="B4775:C4775"/>
    <mergeCell ref="D4780:F4780"/>
    <mergeCell ref="D4781:F4781"/>
    <mergeCell ref="D4782:F4782"/>
    <mergeCell ref="D4783:F4783"/>
    <mergeCell ref="D4784:F4784"/>
    <mergeCell ref="D4786:F4786"/>
    <mergeCell ref="B4788:F4788"/>
    <mergeCell ref="B4792:F4792"/>
    <mergeCell ref="B4793:F4793"/>
    <mergeCell ref="B4794:F4794"/>
    <mergeCell ref="B4795:F4795"/>
    <mergeCell ref="B4803:F4803"/>
    <mergeCell ref="B4805:F4805"/>
    <mergeCell ref="B4806:F4806"/>
    <mergeCell ref="B4807:F4807"/>
    <mergeCell ref="D4809:F4809"/>
    <mergeCell ref="D4810:F4810"/>
    <mergeCell ref="B4815:F4815"/>
    <mergeCell ref="B4817:C4817"/>
    <mergeCell ref="E4817:F4817"/>
    <mergeCell ref="B4818:C4818"/>
    <mergeCell ref="B4819:C4819"/>
    <mergeCell ref="B4820:C4820"/>
    <mergeCell ref="D4825:F4825"/>
    <mergeCell ref="D4826:F4826"/>
    <mergeCell ref="D4827:F4827"/>
    <mergeCell ref="D4828:F4828"/>
    <mergeCell ref="D4829:F4829"/>
    <mergeCell ref="D4831:F4831"/>
    <mergeCell ref="B4833:F4833"/>
    <mergeCell ref="B4837:F4837"/>
    <mergeCell ref="B4838:F4838"/>
    <mergeCell ref="B4839:F4839"/>
    <mergeCell ref="B4840:F4840"/>
    <mergeCell ref="B4848:F4848"/>
    <mergeCell ref="B4850:F4850"/>
    <mergeCell ref="B4851:F4851"/>
    <mergeCell ref="B4852:F4852"/>
    <mergeCell ref="D4854:F4854"/>
    <mergeCell ref="D4855:F4855"/>
    <mergeCell ref="B4860:F4860"/>
    <mergeCell ref="B4862:C4862"/>
    <mergeCell ref="E4862:F4862"/>
    <mergeCell ref="B4863:C4863"/>
    <mergeCell ref="B4864:C4864"/>
    <mergeCell ref="B4865:C4865"/>
    <mergeCell ref="D4870:F4870"/>
    <mergeCell ref="D4871:F4871"/>
    <mergeCell ref="D4872:F4872"/>
    <mergeCell ref="D4873:F4873"/>
    <mergeCell ref="D4874:F4874"/>
    <mergeCell ref="D4876:F4876"/>
    <mergeCell ref="B4878:F4878"/>
    <mergeCell ref="B4882:F4882"/>
    <mergeCell ref="B4883:F4883"/>
    <mergeCell ref="B4884:F4884"/>
    <mergeCell ref="B4885:F4885"/>
    <mergeCell ref="B4893:F4893"/>
    <mergeCell ref="B4895:F4895"/>
    <mergeCell ref="B4896:F4896"/>
    <mergeCell ref="B4897:F4897"/>
    <mergeCell ref="D4899:F4899"/>
    <mergeCell ref="D4900:F4900"/>
    <mergeCell ref="B4905:F4905"/>
    <mergeCell ref="B4907:C4907"/>
    <mergeCell ref="E4907:F4907"/>
    <mergeCell ref="B4908:C4908"/>
    <mergeCell ref="B4909:C4909"/>
    <mergeCell ref="B4910:C4910"/>
    <mergeCell ref="D4915:F4915"/>
    <mergeCell ref="D4916:F4916"/>
    <mergeCell ref="D4917:F4917"/>
    <mergeCell ref="D4918:F4918"/>
    <mergeCell ref="D4919:F4919"/>
    <mergeCell ref="D4921:F4921"/>
    <mergeCell ref="B4923:F4923"/>
    <mergeCell ref="B4927:F4927"/>
    <mergeCell ref="B4928:F4928"/>
    <mergeCell ref="B4929:F4929"/>
    <mergeCell ref="B4930:F4930"/>
    <mergeCell ref="B4938:F4938"/>
    <mergeCell ref="B4940:F4940"/>
    <mergeCell ref="B4941:F4941"/>
    <mergeCell ref="B4942:F4942"/>
    <mergeCell ref="D4944:F4944"/>
    <mergeCell ref="D4945:F4945"/>
    <mergeCell ref="B4950:F4950"/>
    <mergeCell ref="B4952:C4952"/>
    <mergeCell ref="E4952:F4952"/>
    <mergeCell ref="B4953:C4953"/>
    <mergeCell ref="B4954:C4954"/>
    <mergeCell ref="B4955:C4955"/>
    <mergeCell ref="D4960:F4960"/>
    <mergeCell ref="D4961:F4961"/>
    <mergeCell ref="D4962:F4962"/>
    <mergeCell ref="D4963:F4963"/>
    <mergeCell ref="D4964:F4964"/>
    <mergeCell ref="D4966:F4966"/>
    <mergeCell ref="B4968:F4968"/>
    <mergeCell ref="B4972:F4972"/>
    <mergeCell ref="B4973:F4973"/>
    <mergeCell ref="B4974:F4974"/>
    <mergeCell ref="B4975:F4975"/>
    <mergeCell ref="B4983:F4983"/>
    <mergeCell ref="B4985:F4985"/>
    <mergeCell ref="B4986:F4986"/>
    <mergeCell ref="B4987:F4987"/>
    <mergeCell ref="D4989:F4989"/>
    <mergeCell ref="D4990:F4990"/>
    <mergeCell ref="B4995:F4995"/>
    <mergeCell ref="B4997:C4997"/>
    <mergeCell ref="E4997:F4997"/>
    <mergeCell ref="B4998:C4998"/>
    <mergeCell ref="B4999:C4999"/>
    <mergeCell ref="B5000:C5000"/>
    <mergeCell ref="D5005:F5005"/>
    <mergeCell ref="D5006:F5006"/>
    <mergeCell ref="D5007:F5007"/>
    <mergeCell ref="D5008:F5008"/>
    <mergeCell ref="D5009:F5009"/>
    <mergeCell ref="D5011:F5011"/>
    <mergeCell ref="B5013:F5013"/>
    <mergeCell ref="B5017:F5017"/>
    <mergeCell ref="B5018:F5018"/>
    <mergeCell ref="B5019:F5019"/>
    <mergeCell ref="B5020:F5020"/>
    <mergeCell ref="B5028:F5028"/>
    <mergeCell ref="B5030:F5030"/>
    <mergeCell ref="B5031:F5031"/>
    <mergeCell ref="B5032:F5032"/>
    <mergeCell ref="D5034:F5034"/>
    <mergeCell ref="D5035:F5035"/>
    <mergeCell ref="B5040:F5040"/>
    <mergeCell ref="B5042:C5042"/>
    <mergeCell ref="E5042:F5042"/>
    <mergeCell ref="B5043:C5043"/>
    <mergeCell ref="B5044:C5044"/>
    <mergeCell ref="B5045:C5045"/>
    <mergeCell ref="D5050:F5050"/>
    <mergeCell ref="D5051:F5051"/>
    <mergeCell ref="D5052:F5052"/>
    <mergeCell ref="D5053:F5053"/>
    <mergeCell ref="D5054:F5054"/>
    <mergeCell ref="D5056:F5056"/>
    <mergeCell ref="B5058:F5058"/>
    <mergeCell ref="B5062:F5062"/>
    <mergeCell ref="B5063:F5063"/>
    <mergeCell ref="B5064:F5064"/>
    <mergeCell ref="B5065:F5065"/>
    <mergeCell ref="B5073:F5073"/>
    <mergeCell ref="B5075:F5075"/>
    <mergeCell ref="B5076:F5076"/>
    <mergeCell ref="B5077:F5077"/>
    <mergeCell ref="D5079:F5079"/>
    <mergeCell ref="D5080:F5080"/>
    <mergeCell ref="B5085:F5085"/>
    <mergeCell ref="B5087:C5087"/>
    <mergeCell ref="E5087:F5087"/>
    <mergeCell ref="B5088:C5088"/>
    <mergeCell ref="B5089:C5089"/>
    <mergeCell ref="B5090:C5090"/>
    <mergeCell ref="D5095:F5095"/>
    <mergeCell ref="D5096:F5096"/>
    <mergeCell ref="D5097:F5097"/>
    <mergeCell ref="D5098:F5098"/>
    <mergeCell ref="D5099:F5099"/>
    <mergeCell ref="D5101:F5101"/>
    <mergeCell ref="B5103:F5103"/>
    <mergeCell ref="B5107:F5107"/>
    <mergeCell ref="B5108:F5108"/>
    <mergeCell ref="B5109:F5109"/>
    <mergeCell ref="B5110:F5110"/>
    <mergeCell ref="B5118:F5118"/>
    <mergeCell ref="B5120:F5120"/>
    <mergeCell ref="B5121:F5121"/>
    <mergeCell ref="B5122:F5122"/>
    <mergeCell ref="D5124:F5124"/>
    <mergeCell ref="D5125:F5125"/>
    <mergeCell ref="B5130:F5130"/>
    <mergeCell ref="B5132:C5132"/>
    <mergeCell ref="E5132:F5132"/>
    <mergeCell ref="B5133:C5133"/>
    <mergeCell ref="B5134:C5134"/>
    <mergeCell ref="B5135:C5135"/>
    <mergeCell ref="D5140:F5140"/>
    <mergeCell ref="D5141:F5141"/>
    <mergeCell ref="D5142:F5142"/>
    <mergeCell ref="D5143:F5143"/>
    <mergeCell ref="D5144:F5144"/>
    <mergeCell ref="D5146:F5146"/>
    <mergeCell ref="B5148:F5148"/>
    <mergeCell ref="B5152:F5152"/>
    <mergeCell ref="B5153:F5153"/>
    <mergeCell ref="B5154:F5154"/>
    <mergeCell ref="B5155:F5155"/>
    <mergeCell ref="B5163:F5163"/>
    <mergeCell ref="B5165:F5165"/>
    <mergeCell ref="B5166:F5166"/>
    <mergeCell ref="B5167:F5167"/>
    <mergeCell ref="D5169:F5169"/>
    <mergeCell ref="D5170:F5170"/>
    <mergeCell ref="B5175:F5175"/>
    <mergeCell ref="B5177:C5177"/>
    <mergeCell ref="E5177:F5177"/>
    <mergeCell ref="B5178:C5178"/>
    <mergeCell ref="B5179:C5179"/>
    <mergeCell ref="B5180:C5180"/>
    <mergeCell ref="D5185:F5185"/>
    <mergeCell ref="D5186:F5186"/>
    <mergeCell ref="D5187:F5187"/>
    <mergeCell ref="D5188:F5188"/>
    <mergeCell ref="D5189:F5189"/>
    <mergeCell ref="D5191:F5191"/>
    <mergeCell ref="B5193:F5193"/>
    <mergeCell ref="B5197:F5197"/>
    <mergeCell ref="B5198:F5198"/>
    <mergeCell ref="B5199:F5199"/>
    <mergeCell ref="B5200:F5200"/>
    <mergeCell ref="B5208:F5208"/>
    <mergeCell ref="B5210:F5210"/>
    <mergeCell ref="B5211:F5211"/>
    <mergeCell ref="B5212:F5212"/>
    <mergeCell ref="D5214:F5214"/>
    <mergeCell ref="D5215:F5215"/>
    <mergeCell ref="B5220:F5220"/>
    <mergeCell ref="B5222:C5222"/>
    <mergeCell ref="E5222:F5222"/>
    <mergeCell ref="B5223:C5223"/>
    <mergeCell ref="B5224:C5224"/>
    <mergeCell ref="B5225:C5225"/>
    <mergeCell ref="D5230:F5230"/>
    <mergeCell ref="D5231:F5231"/>
    <mergeCell ref="D5232:F5232"/>
    <mergeCell ref="D5233:F5233"/>
    <mergeCell ref="D5234:F5234"/>
    <mergeCell ref="D5236:F5236"/>
    <mergeCell ref="B5238:F5238"/>
    <mergeCell ref="B5242:F5242"/>
    <mergeCell ref="B5243:F5243"/>
    <mergeCell ref="B5244:F5244"/>
    <mergeCell ref="B5245:F5245"/>
    <mergeCell ref="B5253:F5253"/>
    <mergeCell ref="B5255:F5255"/>
    <mergeCell ref="B5256:F5256"/>
    <mergeCell ref="B5257:F5257"/>
    <mergeCell ref="D5259:F5259"/>
    <mergeCell ref="D5260:F5260"/>
    <mergeCell ref="B5265:F5265"/>
    <mergeCell ref="B5267:C5267"/>
    <mergeCell ref="E5267:F5267"/>
    <mergeCell ref="B5268:C5268"/>
    <mergeCell ref="B5269:C5269"/>
    <mergeCell ref="B5270:C5270"/>
    <mergeCell ref="D5275:F5275"/>
    <mergeCell ref="D5276:F5276"/>
    <mergeCell ref="D5277:F5277"/>
    <mergeCell ref="D5278:F5278"/>
    <mergeCell ref="D5279:F5279"/>
    <mergeCell ref="D5281:F5281"/>
    <mergeCell ref="B5283:F5283"/>
    <mergeCell ref="B5287:F5287"/>
    <mergeCell ref="B5288:F5288"/>
    <mergeCell ref="B5289:F5289"/>
    <mergeCell ref="B5290:F5290"/>
    <mergeCell ref="B5298:F5298"/>
    <mergeCell ref="B5300:F5300"/>
    <mergeCell ref="B5301:F5301"/>
    <mergeCell ref="B5302:F5302"/>
    <mergeCell ref="D5304:F5304"/>
    <mergeCell ref="D5305:F5305"/>
    <mergeCell ref="B5310:F5310"/>
    <mergeCell ref="B5312:C5312"/>
    <mergeCell ref="E5312:F5312"/>
    <mergeCell ref="B5313:C5313"/>
    <mergeCell ref="B5314:C5314"/>
    <mergeCell ref="B5315:C5315"/>
    <mergeCell ref="D5320:F5320"/>
    <mergeCell ref="D5321:F5321"/>
    <mergeCell ref="D5322:F5322"/>
    <mergeCell ref="D5323:F5323"/>
    <mergeCell ref="D5324:F5324"/>
    <mergeCell ref="D5326:F5326"/>
    <mergeCell ref="B5328:F5328"/>
    <mergeCell ref="B5332:F5332"/>
    <mergeCell ref="B5333:F5333"/>
    <mergeCell ref="B5334:F5334"/>
    <mergeCell ref="B5335:F5335"/>
    <mergeCell ref="B5343:F5343"/>
    <mergeCell ref="B5345:F5345"/>
    <mergeCell ref="B5346:F5346"/>
    <mergeCell ref="B5347:F5347"/>
    <mergeCell ref="D5349:F5349"/>
    <mergeCell ref="D5350:F5350"/>
    <mergeCell ref="B5355:F5355"/>
    <mergeCell ref="B5357:C5357"/>
    <mergeCell ref="E5357:F5357"/>
    <mergeCell ref="B5358:C5358"/>
    <mergeCell ref="B5359:C5359"/>
    <mergeCell ref="B5360:C5360"/>
    <mergeCell ref="D5365:F5365"/>
    <mergeCell ref="D5366:F5366"/>
    <mergeCell ref="D5367:F5367"/>
    <mergeCell ref="D5368:F5368"/>
    <mergeCell ref="D5369:F5369"/>
    <mergeCell ref="D5371:F5371"/>
    <mergeCell ref="B5373:F5373"/>
    <mergeCell ref="B5377:F5377"/>
    <mergeCell ref="B5378:F5378"/>
    <mergeCell ref="B5379:F5379"/>
    <mergeCell ref="B5380:F5380"/>
    <mergeCell ref="B5388:F5388"/>
    <mergeCell ref="B5390:F5390"/>
    <mergeCell ref="B5391:F5391"/>
    <mergeCell ref="B5392:F5392"/>
    <mergeCell ref="D5394:F5394"/>
    <mergeCell ref="D5395:F5395"/>
    <mergeCell ref="B5400:F5400"/>
    <mergeCell ref="B5402:C5402"/>
    <mergeCell ref="E5402:F5402"/>
    <mergeCell ref="B5403:C5403"/>
    <mergeCell ref="B5404:C5404"/>
    <mergeCell ref="B5405:C5405"/>
    <mergeCell ref="D5410:F5410"/>
    <mergeCell ref="D5411:F5411"/>
    <mergeCell ref="D5412:F5412"/>
    <mergeCell ref="D5413:F5413"/>
    <mergeCell ref="D5414:F5414"/>
    <mergeCell ref="D5416:F5416"/>
    <mergeCell ref="B5418:F5418"/>
    <mergeCell ref="B5422:F5422"/>
    <mergeCell ref="B5423:F5423"/>
    <mergeCell ref="B5424:F5424"/>
    <mergeCell ref="B5425:F5425"/>
    <mergeCell ref="B5433:F5433"/>
    <mergeCell ref="B5435:F5435"/>
    <mergeCell ref="B5436:F5436"/>
    <mergeCell ref="B5437:F5437"/>
    <mergeCell ref="D5439:F5439"/>
    <mergeCell ref="D5440:F5440"/>
    <mergeCell ref="B5445:F5445"/>
    <mergeCell ref="B5447:C5447"/>
    <mergeCell ref="E5447:F5447"/>
    <mergeCell ref="B5448:C5448"/>
    <mergeCell ref="B5449:C5449"/>
    <mergeCell ref="B5450:C5450"/>
    <mergeCell ref="D5455:F5455"/>
    <mergeCell ref="D5456:F5456"/>
    <mergeCell ref="D5457:F5457"/>
    <mergeCell ref="D5458:F5458"/>
    <mergeCell ref="D5459:F5459"/>
    <mergeCell ref="D5461:F5461"/>
    <mergeCell ref="B5463:F5463"/>
    <mergeCell ref="B5467:F5467"/>
    <mergeCell ref="B5468:F5468"/>
    <mergeCell ref="B5469:F5469"/>
    <mergeCell ref="B5470:F5470"/>
    <mergeCell ref="B5478:F5478"/>
    <mergeCell ref="B5480:F5480"/>
    <mergeCell ref="B5481:F5481"/>
    <mergeCell ref="B5482:F5482"/>
    <mergeCell ref="D5484:F5484"/>
    <mergeCell ref="D5485:F5485"/>
    <mergeCell ref="B5490:F5490"/>
    <mergeCell ref="B5492:C5492"/>
    <mergeCell ref="E5492:F5492"/>
    <mergeCell ref="B5493:C5493"/>
    <mergeCell ref="B5494:C5494"/>
    <mergeCell ref="B5495:C5495"/>
    <mergeCell ref="D5500:F5500"/>
    <mergeCell ref="D5501:F5501"/>
    <mergeCell ref="D5502:F5502"/>
    <mergeCell ref="D5503:F5503"/>
    <mergeCell ref="D5504:F5504"/>
    <mergeCell ref="D5506:F5506"/>
    <mergeCell ref="B5508:F5508"/>
    <mergeCell ref="B5512:F5512"/>
    <mergeCell ref="B5513:F5513"/>
    <mergeCell ref="B5514:F5514"/>
    <mergeCell ref="B5515:F5515"/>
    <mergeCell ref="B5523:F5523"/>
    <mergeCell ref="B5525:F5525"/>
    <mergeCell ref="B5526:F5526"/>
    <mergeCell ref="B5527:F5527"/>
    <mergeCell ref="D5529:F5529"/>
    <mergeCell ref="D5530:F5530"/>
    <mergeCell ref="B5535:F5535"/>
    <mergeCell ref="B5537:C5537"/>
    <mergeCell ref="E5537:F5537"/>
    <mergeCell ref="B5538:C5538"/>
    <mergeCell ref="B5539:C5539"/>
    <mergeCell ref="B5540:C5540"/>
    <mergeCell ref="D5545:F5545"/>
    <mergeCell ref="D5546:F5546"/>
    <mergeCell ref="D5547:F5547"/>
    <mergeCell ref="D5548:F5548"/>
    <mergeCell ref="D5549:F5549"/>
    <mergeCell ref="D5551:F5551"/>
    <mergeCell ref="B5553:F5553"/>
    <mergeCell ref="B5557:F5557"/>
    <mergeCell ref="B5558:F5558"/>
    <mergeCell ref="B5559:F5559"/>
    <mergeCell ref="B5560:F5560"/>
    <mergeCell ref="B5568:F5568"/>
    <mergeCell ref="B5570:F5570"/>
    <mergeCell ref="B5571:F5571"/>
    <mergeCell ref="B5572:F5572"/>
    <mergeCell ref="D5574:F5574"/>
    <mergeCell ref="D5575:F5575"/>
    <mergeCell ref="B5580:F5580"/>
    <mergeCell ref="B5582:C5582"/>
    <mergeCell ref="E5582:F5582"/>
    <mergeCell ref="B5583:C5583"/>
    <mergeCell ref="B5584:C5584"/>
    <mergeCell ref="B5585:C5585"/>
    <mergeCell ref="D5590:F5590"/>
    <mergeCell ref="D5591:F5591"/>
    <mergeCell ref="D5592:F5592"/>
    <mergeCell ref="D5593:F5593"/>
    <mergeCell ref="D5594:F5594"/>
    <mergeCell ref="D5596:F5596"/>
    <mergeCell ref="B5598:F5598"/>
    <mergeCell ref="B5602:F5602"/>
    <mergeCell ref="B5603:F5603"/>
    <mergeCell ref="B5604:F5604"/>
    <mergeCell ref="B5605:F5605"/>
    <mergeCell ref="B5613:F5613"/>
    <mergeCell ref="B5615:F5615"/>
    <mergeCell ref="B5616:F5616"/>
    <mergeCell ref="B5617:F5617"/>
    <mergeCell ref="D5619:F5619"/>
    <mergeCell ref="D5620:F5620"/>
    <mergeCell ref="B5625:F5625"/>
    <mergeCell ref="B5627:C5627"/>
    <mergeCell ref="E5627:F5627"/>
    <mergeCell ref="B5628:C5628"/>
    <mergeCell ref="B5629:C5629"/>
    <mergeCell ref="B5630:C5630"/>
    <mergeCell ref="D5635:F5635"/>
    <mergeCell ref="D5636:F5636"/>
    <mergeCell ref="D5637:F5637"/>
    <mergeCell ref="D5638:F5638"/>
    <mergeCell ref="D5639:F5639"/>
    <mergeCell ref="D5641:F5641"/>
    <mergeCell ref="B5643:F5643"/>
    <mergeCell ref="B5647:F5647"/>
    <mergeCell ref="B5648:F5648"/>
    <mergeCell ref="B5649:F5649"/>
    <mergeCell ref="B5650:F5650"/>
    <mergeCell ref="B5658:F5658"/>
    <mergeCell ref="B5660:F5660"/>
    <mergeCell ref="B5661:F5661"/>
    <mergeCell ref="B5662:F5662"/>
    <mergeCell ref="D5664:F5664"/>
    <mergeCell ref="D5665:F5665"/>
    <mergeCell ref="B5670:F5670"/>
    <mergeCell ref="B5672:C5672"/>
    <mergeCell ref="E5672:F5672"/>
    <mergeCell ref="B5673:C5673"/>
    <mergeCell ref="B5674:C5674"/>
    <mergeCell ref="B5675:C5675"/>
    <mergeCell ref="D5680:F5680"/>
    <mergeCell ref="D5681:F5681"/>
    <mergeCell ref="D5682:F5682"/>
    <mergeCell ref="D5683:F5683"/>
    <mergeCell ref="D5684:F5684"/>
    <mergeCell ref="D5686:F5686"/>
    <mergeCell ref="B5688:F5688"/>
    <mergeCell ref="B5692:F5692"/>
    <mergeCell ref="B5693:F5693"/>
    <mergeCell ref="B5694:F5694"/>
    <mergeCell ref="B5695:F5695"/>
    <mergeCell ref="B5703:F5703"/>
    <mergeCell ref="B5705:F5705"/>
    <mergeCell ref="B5706:F5706"/>
    <mergeCell ref="B5707:F5707"/>
    <mergeCell ref="D5709:F5709"/>
    <mergeCell ref="D5710:F5710"/>
    <mergeCell ref="B5715:F5715"/>
    <mergeCell ref="B5717:C5717"/>
    <mergeCell ref="E5717:F5717"/>
    <mergeCell ref="B5718:C5718"/>
    <mergeCell ref="B5719:C5719"/>
    <mergeCell ref="B5720:C5720"/>
    <mergeCell ref="D5725:F5725"/>
    <mergeCell ref="D5726:F5726"/>
    <mergeCell ref="D5727:F5727"/>
    <mergeCell ref="D5728:F5728"/>
    <mergeCell ref="D5729:F5729"/>
    <mergeCell ref="D5731:F5731"/>
    <mergeCell ref="B5733:F5733"/>
    <mergeCell ref="B5737:F5737"/>
    <mergeCell ref="B5738:F5738"/>
    <mergeCell ref="B5739:F5739"/>
    <mergeCell ref="B5740:F5740"/>
    <mergeCell ref="B5748:F5748"/>
    <mergeCell ref="B5750:F5750"/>
    <mergeCell ref="B5751:F5751"/>
    <mergeCell ref="B5752:F5752"/>
    <mergeCell ref="D5754:F5754"/>
    <mergeCell ref="D5755:F5755"/>
    <mergeCell ref="B5760:F5760"/>
    <mergeCell ref="B5762:C5762"/>
    <mergeCell ref="E5762:F5762"/>
    <mergeCell ref="B5763:C5763"/>
    <mergeCell ref="B5764:C5764"/>
    <mergeCell ref="B5765:C5765"/>
    <mergeCell ref="D5770:F5770"/>
    <mergeCell ref="D5771:F5771"/>
    <mergeCell ref="D5772:F5772"/>
    <mergeCell ref="D5773:F5773"/>
    <mergeCell ref="D5774:F5774"/>
    <mergeCell ref="D5776:F5776"/>
    <mergeCell ref="B5778:F5778"/>
    <mergeCell ref="B5782:F5782"/>
    <mergeCell ref="B5783:F5783"/>
    <mergeCell ref="B5784:F5784"/>
    <mergeCell ref="B5785:F5785"/>
    <mergeCell ref="B5793:F5793"/>
    <mergeCell ref="B5795:F5795"/>
    <mergeCell ref="B5796:F5796"/>
    <mergeCell ref="B5797:F5797"/>
    <mergeCell ref="D5799:F5799"/>
    <mergeCell ref="D5800:F5800"/>
    <mergeCell ref="B5805:F5805"/>
    <mergeCell ref="B5807:C5807"/>
    <mergeCell ref="E5807:F5807"/>
    <mergeCell ref="B5808:C5808"/>
    <mergeCell ref="B5809:C5809"/>
    <mergeCell ref="B5810:C5810"/>
    <mergeCell ref="D5815:F5815"/>
    <mergeCell ref="D5816:F5816"/>
    <mergeCell ref="D5817:F5817"/>
    <mergeCell ref="D5818:F5818"/>
    <mergeCell ref="D5819:F5819"/>
    <mergeCell ref="D5821:F5821"/>
    <mergeCell ref="B5823:F5823"/>
    <mergeCell ref="B5827:F5827"/>
    <mergeCell ref="B5828:F5828"/>
    <mergeCell ref="B5829:F5829"/>
    <mergeCell ref="B5830:F5830"/>
    <mergeCell ref="B5838:F5838"/>
    <mergeCell ref="B5840:F5840"/>
    <mergeCell ref="B5841:F5841"/>
    <mergeCell ref="B5842:F5842"/>
    <mergeCell ref="D5844:F5844"/>
    <mergeCell ref="D5845:F5845"/>
    <mergeCell ref="B5850:F5850"/>
    <mergeCell ref="B5852:C5852"/>
    <mergeCell ref="E5852:F5852"/>
    <mergeCell ref="B5853:C5853"/>
    <mergeCell ref="B5854:C5854"/>
    <mergeCell ref="B5855:C5855"/>
    <mergeCell ref="D5860:F5860"/>
    <mergeCell ref="D5861:F5861"/>
    <mergeCell ref="D5862:F5862"/>
    <mergeCell ref="D5863:F5863"/>
    <mergeCell ref="D5864:F5864"/>
    <mergeCell ref="D5866:F5866"/>
    <mergeCell ref="B5868:F5868"/>
    <mergeCell ref="B5872:F5872"/>
    <mergeCell ref="B5873:F5873"/>
    <mergeCell ref="B5874:F5874"/>
    <mergeCell ref="B5875:F5875"/>
    <mergeCell ref="B5883:F5883"/>
    <mergeCell ref="B5885:F5885"/>
    <mergeCell ref="B5886:F5886"/>
    <mergeCell ref="B5887:F5887"/>
    <mergeCell ref="D5889:F5889"/>
    <mergeCell ref="D5890:F5890"/>
    <mergeCell ref="B5895:F5895"/>
    <mergeCell ref="B5897:C5897"/>
    <mergeCell ref="E5897:F5897"/>
    <mergeCell ref="B5898:C5898"/>
    <mergeCell ref="B5899:C5899"/>
    <mergeCell ref="B5900:C5900"/>
    <mergeCell ref="D5905:F5905"/>
    <mergeCell ref="D5906:F5906"/>
    <mergeCell ref="D5907:F5907"/>
    <mergeCell ref="D5908:F5908"/>
    <mergeCell ref="D5909:F5909"/>
    <mergeCell ref="D5911:F5911"/>
    <mergeCell ref="B5913:F5913"/>
    <mergeCell ref="B5917:F5917"/>
    <mergeCell ref="B5918:F5918"/>
    <mergeCell ref="B5919:F5919"/>
    <mergeCell ref="B5920:F5920"/>
    <mergeCell ref="B5928:F5928"/>
    <mergeCell ref="B5930:F5930"/>
    <mergeCell ref="B5931:F5931"/>
    <mergeCell ref="B5932:F5932"/>
    <mergeCell ref="D5934:F5934"/>
    <mergeCell ref="D5935:F5935"/>
    <mergeCell ref="B5940:F5940"/>
    <mergeCell ref="B5942:C5942"/>
    <mergeCell ref="E5942:F5942"/>
    <mergeCell ref="B5943:C5943"/>
    <mergeCell ref="B5944:C5944"/>
    <mergeCell ref="B5945:C5945"/>
    <mergeCell ref="D5950:F5950"/>
    <mergeCell ref="D5951:F5951"/>
    <mergeCell ref="D5952:F5952"/>
    <mergeCell ref="D5953:F5953"/>
    <mergeCell ref="D5954:F5954"/>
    <mergeCell ref="D5956:F5956"/>
    <mergeCell ref="B5958:F5958"/>
    <mergeCell ref="B5962:F5962"/>
    <mergeCell ref="B5963:F5963"/>
    <mergeCell ref="B5964:F5964"/>
    <mergeCell ref="B5965:F5965"/>
    <mergeCell ref="B5973:F5973"/>
    <mergeCell ref="B5975:F5975"/>
    <mergeCell ref="B5976:F5976"/>
    <mergeCell ref="B5977:F5977"/>
    <mergeCell ref="D5979:F5979"/>
    <mergeCell ref="D5980:F5980"/>
    <mergeCell ref="B5985:F5985"/>
    <mergeCell ref="B5987:C5987"/>
    <mergeCell ref="E5987:F5987"/>
    <mergeCell ref="B5988:C5988"/>
    <mergeCell ref="B5989:C5989"/>
    <mergeCell ref="B5990:C5990"/>
    <mergeCell ref="D5995:F5995"/>
    <mergeCell ref="D5996:F5996"/>
    <mergeCell ref="D5997:F5997"/>
    <mergeCell ref="D5998:F5998"/>
    <mergeCell ref="D5999:F5999"/>
    <mergeCell ref="D6001:F6001"/>
    <mergeCell ref="B6003:F6003"/>
    <mergeCell ref="B6007:F6007"/>
    <mergeCell ref="B6008:F6008"/>
    <mergeCell ref="B6009:F6009"/>
    <mergeCell ref="B6010:F6010"/>
    <mergeCell ref="B6018:F6018"/>
    <mergeCell ref="B6020:F6020"/>
    <mergeCell ref="B6021:F6021"/>
    <mergeCell ref="B6022:F6022"/>
    <mergeCell ref="D6024:F6024"/>
    <mergeCell ref="D6025:F6025"/>
    <mergeCell ref="B6030:F6030"/>
    <mergeCell ref="B6032:C6032"/>
    <mergeCell ref="E6032:F6032"/>
    <mergeCell ref="B6033:C6033"/>
    <mergeCell ref="B6034:C6034"/>
    <mergeCell ref="B6035:C6035"/>
    <mergeCell ref="D6040:F6040"/>
    <mergeCell ref="D6041:F6041"/>
    <mergeCell ref="D6042:F6042"/>
    <mergeCell ref="D6043:F6043"/>
    <mergeCell ref="D6044:F6044"/>
    <mergeCell ref="D6046:F6046"/>
    <mergeCell ref="B6048:F6048"/>
    <mergeCell ref="B6052:F6052"/>
    <mergeCell ref="B6053:F6053"/>
    <mergeCell ref="B6054:F6054"/>
    <mergeCell ref="B6055:F6055"/>
    <mergeCell ref="B6063:F6063"/>
    <mergeCell ref="B6065:F6065"/>
    <mergeCell ref="B6066:F6066"/>
    <mergeCell ref="B6067:F6067"/>
    <mergeCell ref="D6069:F6069"/>
    <mergeCell ref="D6070:F6070"/>
    <mergeCell ref="B6075:F6075"/>
    <mergeCell ref="B6077:C6077"/>
    <mergeCell ref="E6077:F6077"/>
    <mergeCell ref="B6078:C6078"/>
    <mergeCell ref="B6079:C6079"/>
    <mergeCell ref="B6080:C6080"/>
    <mergeCell ref="D6085:F6085"/>
    <mergeCell ref="D6086:F6086"/>
    <mergeCell ref="D6087:F6087"/>
    <mergeCell ref="D6088:F6088"/>
    <mergeCell ref="D6089:F6089"/>
    <mergeCell ref="D6091:F6091"/>
    <mergeCell ref="B6093:F6093"/>
    <mergeCell ref="B6097:F6097"/>
    <mergeCell ref="B6098:F6098"/>
    <mergeCell ref="B6099:F6099"/>
    <mergeCell ref="B6100:F6100"/>
    <mergeCell ref="B6108:F6108"/>
    <mergeCell ref="B6110:F6110"/>
    <mergeCell ref="B6111:F6111"/>
    <mergeCell ref="B6112:F6112"/>
    <mergeCell ref="D6114:F6114"/>
    <mergeCell ref="D6115:F6115"/>
    <mergeCell ref="B6120:F6120"/>
    <mergeCell ref="B6122:C6122"/>
    <mergeCell ref="E6122:F6122"/>
    <mergeCell ref="B6123:C6123"/>
    <mergeCell ref="B6124:C6124"/>
    <mergeCell ref="B6125:C6125"/>
    <mergeCell ref="D6130:F6130"/>
    <mergeCell ref="D6131:F6131"/>
    <mergeCell ref="D6132:F6132"/>
    <mergeCell ref="D6133:F6133"/>
    <mergeCell ref="D6134:F6134"/>
    <mergeCell ref="D6136:F6136"/>
    <mergeCell ref="B6138:F6138"/>
    <mergeCell ref="B6142:F6142"/>
    <mergeCell ref="B6143:F6143"/>
    <mergeCell ref="B6144:F6144"/>
    <mergeCell ref="B6145:F6145"/>
    <mergeCell ref="B6153:F6153"/>
    <mergeCell ref="B6155:F6155"/>
    <mergeCell ref="B6156:F6156"/>
    <mergeCell ref="B6157:F6157"/>
    <mergeCell ref="D6159:F6159"/>
    <mergeCell ref="D6160:F6160"/>
    <mergeCell ref="B6165:F6165"/>
    <mergeCell ref="B6167:C6167"/>
    <mergeCell ref="E6167:F6167"/>
    <mergeCell ref="B6168:C6168"/>
    <mergeCell ref="B6169:C6169"/>
    <mergeCell ref="B6170:C6170"/>
    <mergeCell ref="D6175:F6175"/>
    <mergeCell ref="D6176:F6176"/>
    <mergeCell ref="D6177:F6177"/>
    <mergeCell ref="D6178:F6178"/>
    <mergeCell ref="D6179:F6179"/>
    <mergeCell ref="D6181:F6181"/>
    <mergeCell ref="B6183:F6183"/>
    <mergeCell ref="B6187:F6187"/>
    <mergeCell ref="B6188:F6188"/>
    <mergeCell ref="B6189:F6189"/>
    <mergeCell ref="B6190:F6190"/>
    <mergeCell ref="B6198:F6198"/>
    <mergeCell ref="B6200:F6200"/>
    <mergeCell ref="B6201:F6201"/>
    <mergeCell ref="B6202:F6202"/>
    <mergeCell ref="D6204:F6204"/>
    <mergeCell ref="D6205:F6205"/>
    <mergeCell ref="B6210:F6210"/>
    <mergeCell ref="B6212:C6212"/>
    <mergeCell ref="E6212:F6212"/>
    <mergeCell ref="B6213:C6213"/>
    <mergeCell ref="B6214:C6214"/>
    <mergeCell ref="B6215:C6215"/>
    <mergeCell ref="D6220:F6220"/>
    <mergeCell ref="D6221:F6221"/>
    <mergeCell ref="D6222:F6222"/>
    <mergeCell ref="D6223:F6223"/>
    <mergeCell ref="D6224:F6224"/>
    <mergeCell ref="D6226:F6226"/>
    <mergeCell ref="B6228:F6228"/>
    <mergeCell ref="B6232:F6232"/>
    <mergeCell ref="B6233:F6233"/>
    <mergeCell ref="B6234:F6234"/>
    <mergeCell ref="B6235:F6235"/>
    <mergeCell ref="B6243:F6243"/>
    <mergeCell ref="B6245:F6245"/>
    <mergeCell ref="B6246:F6246"/>
    <mergeCell ref="B6247:F6247"/>
    <mergeCell ref="D6249:F6249"/>
    <mergeCell ref="D6250:F6250"/>
    <mergeCell ref="B6255:F6255"/>
    <mergeCell ref="B6257:C6257"/>
    <mergeCell ref="E6257:F6257"/>
    <mergeCell ref="B6258:C6258"/>
    <mergeCell ref="B6259:C6259"/>
    <mergeCell ref="B6260:C6260"/>
    <mergeCell ref="D6265:F6265"/>
    <mergeCell ref="D6266:F6266"/>
    <mergeCell ref="D6267:F6267"/>
    <mergeCell ref="D6268:F6268"/>
    <mergeCell ref="D6269:F6269"/>
    <mergeCell ref="D6271:F6271"/>
    <mergeCell ref="B6273:F6273"/>
    <mergeCell ref="B6277:F6277"/>
    <mergeCell ref="B6278:F6278"/>
    <mergeCell ref="B6279:F6279"/>
    <mergeCell ref="B6280:F6280"/>
    <mergeCell ref="B6288:F6288"/>
    <mergeCell ref="B6290:F6290"/>
    <mergeCell ref="B6291:F6291"/>
    <mergeCell ref="B6292:F6292"/>
    <mergeCell ref="D6294:F6294"/>
    <mergeCell ref="D6295:F6295"/>
    <mergeCell ref="B6300:F6300"/>
    <mergeCell ref="B6302:C6302"/>
    <mergeCell ref="E6302:F6302"/>
    <mergeCell ref="B6303:C6303"/>
    <mergeCell ref="B6304:C6304"/>
    <mergeCell ref="B6305:C6305"/>
    <mergeCell ref="D6310:F6310"/>
    <mergeCell ref="D6311:F6311"/>
    <mergeCell ref="D6312:F6312"/>
    <mergeCell ref="D6313:F6313"/>
    <mergeCell ref="D6314:F6314"/>
    <mergeCell ref="D6316:F6316"/>
    <mergeCell ref="B6318:F6318"/>
    <mergeCell ref="B6322:F6322"/>
    <mergeCell ref="B6323:F6323"/>
    <mergeCell ref="B6324:F6324"/>
    <mergeCell ref="B6325:F6325"/>
    <mergeCell ref="B6333:F6333"/>
    <mergeCell ref="B6335:F6335"/>
    <mergeCell ref="B6336:F6336"/>
    <mergeCell ref="B6337:F6337"/>
    <mergeCell ref="D6339:F6339"/>
    <mergeCell ref="D6340:F6340"/>
    <mergeCell ref="B6345:F6345"/>
    <mergeCell ref="B6347:C6347"/>
    <mergeCell ref="E6347:F6347"/>
    <mergeCell ref="B6348:C6348"/>
    <mergeCell ref="B6349:C6349"/>
    <mergeCell ref="B6350:C6350"/>
    <mergeCell ref="D6355:F6355"/>
    <mergeCell ref="D6356:F6356"/>
    <mergeCell ref="D6357:F6357"/>
    <mergeCell ref="D6358:F6358"/>
    <mergeCell ref="D6359:F6359"/>
    <mergeCell ref="D6361:F6361"/>
    <mergeCell ref="B6363:F6363"/>
    <mergeCell ref="B6367:F6367"/>
    <mergeCell ref="B6368:F6368"/>
    <mergeCell ref="B6369:F6369"/>
    <mergeCell ref="B6370:F6370"/>
    <mergeCell ref="B6378:F6378"/>
    <mergeCell ref="B6380:F6380"/>
    <mergeCell ref="B6381:F6381"/>
    <mergeCell ref="B6382:F6382"/>
    <mergeCell ref="D6384:F6384"/>
    <mergeCell ref="D6385:F6385"/>
    <mergeCell ref="B6390:F6390"/>
    <mergeCell ref="B6392:C6392"/>
    <mergeCell ref="E6392:F6392"/>
    <mergeCell ref="B6393:C6393"/>
    <mergeCell ref="B6394:C6394"/>
    <mergeCell ref="B6395:C6395"/>
    <mergeCell ref="D6400:F6400"/>
    <mergeCell ref="D6401:F6401"/>
    <mergeCell ref="D6402:F6402"/>
    <mergeCell ref="D6403:F6403"/>
    <mergeCell ref="D6404:F6404"/>
    <mergeCell ref="D6406:F6406"/>
    <mergeCell ref="B6408:F6408"/>
    <mergeCell ref="B6412:F6412"/>
    <mergeCell ref="B6413:F6413"/>
    <mergeCell ref="B6414:F6414"/>
    <mergeCell ref="B6415:F6415"/>
    <mergeCell ref="B6423:F6423"/>
    <mergeCell ref="B6425:F6425"/>
    <mergeCell ref="B6426:F6426"/>
    <mergeCell ref="B6427:F6427"/>
    <mergeCell ref="D6429:F6429"/>
    <mergeCell ref="D6430:F6430"/>
    <mergeCell ref="B6435:F6435"/>
    <mergeCell ref="B6437:C6437"/>
    <mergeCell ref="E6437:F6437"/>
    <mergeCell ref="B6438:C6438"/>
    <mergeCell ref="B6439:C6439"/>
    <mergeCell ref="B6440:C6440"/>
    <mergeCell ref="D6445:F6445"/>
    <mergeCell ref="D6446:F6446"/>
    <mergeCell ref="D6447:F6447"/>
    <mergeCell ref="D6448:F6448"/>
    <mergeCell ref="D6449:F6449"/>
    <mergeCell ref="D6451:F6451"/>
    <mergeCell ref="B6453:F6453"/>
    <mergeCell ref="B6457:F6457"/>
    <mergeCell ref="B6458:F6458"/>
    <mergeCell ref="B6459:F6459"/>
    <mergeCell ref="B6460:F6460"/>
    <mergeCell ref="B6468:F6468"/>
    <mergeCell ref="B6470:F6470"/>
    <mergeCell ref="B6471:F6471"/>
    <mergeCell ref="B6472:F6472"/>
    <mergeCell ref="D6474:F6474"/>
    <mergeCell ref="D6475:F6475"/>
    <mergeCell ref="B6480:F6480"/>
    <mergeCell ref="B6482:C6482"/>
    <mergeCell ref="E6482:F6482"/>
    <mergeCell ref="B6483:C6483"/>
    <mergeCell ref="B6484:C6484"/>
    <mergeCell ref="B6485:C6485"/>
    <mergeCell ref="D6490:F6490"/>
    <mergeCell ref="D6491:F6491"/>
    <mergeCell ref="D6492:F6492"/>
    <mergeCell ref="D6493:F6493"/>
    <mergeCell ref="D6494:F6494"/>
    <mergeCell ref="D6496:F6496"/>
    <mergeCell ref="B6498:F6498"/>
    <mergeCell ref="B6502:F6502"/>
    <mergeCell ref="B6503:F6503"/>
    <mergeCell ref="B6504:F6504"/>
    <mergeCell ref="B6505:F6505"/>
    <mergeCell ref="B6513:F6513"/>
    <mergeCell ref="B6515:F6515"/>
    <mergeCell ref="B6516:F6516"/>
    <mergeCell ref="B6517:F6517"/>
    <mergeCell ref="D6519:F6519"/>
    <mergeCell ref="D6520:F6520"/>
    <mergeCell ref="B6525:F6525"/>
    <mergeCell ref="B6527:C6527"/>
    <mergeCell ref="E6527:F6527"/>
    <mergeCell ref="B6528:C6528"/>
    <mergeCell ref="B6529:C6529"/>
    <mergeCell ref="B6530:C6530"/>
    <mergeCell ref="D6535:F6535"/>
    <mergeCell ref="D6536:F6536"/>
    <mergeCell ref="D6537:F6537"/>
    <mergeCell ref="D6538:F6538"/>
    <mergeCell ref="D6539:F6539"/>
    <mergeCell ref="D6541:F6541"/>
    <mergeCell ref="B6543:F6543"/>
    <mergeCell ref="B6547:F6547"/>
    <mergeCell ref="B6548:F6548"/>
    <mergeCell ref="B6549:F6549"/>
    <mergeCell ref="B6550:F6550"/>
    <mergeCell ref="B6558:F6558"/>
    <mergeCell ref="B6560:F6560"/>
    <mergeCell ref="B6561:F6561"/>
    <mergeCell ref="B6562:F6562"/>
    <mergeCell ref="D6564:F6564"/>
    <mergeCell ref="D6565:F6565"/>
    <mergeCell ref="B6570:F6570"/>
    <mergeCell ref="B6572:C6572"/>
    <mergeCell ref="E6572:F6572"/>
    <mergeCell ref="B6573:C6573"/>
    <mergeCell ref="B6574:C6574"/>
    <mergeCell ref="B6575:C6575"/>
    <mergeCell ref="D6580:F6580"/>
    <mergeCell ref="D6581:F6581"/>
    <mergeCell ref="D6582:F6582"/>
    <mergeCell ref="D6583:F6583"/>
    <mergeCell ref="D6584:F6584"/>
    <mergeCell ref="D6586:F6586"/>
    <mergeCell ref="B6588:F6588"/>
    <mergeCell ref="B6592:F6592"/>
    <mergeCell ref="B6593:F6593"/>
    <mergeCell ref="B6594:F6594"/>
    <mergeCell ref="B6595:F6595"/>
    <mergeCell ref="B6603:F6603"/>
    <mergeCell ref="B6605:F6605"/>
    <mergeCell ref="B6606:F6606"/>
    <mergeCell ref="B6607:F6607"/>
    <mergeCell ref="D6609:F6609"/>
    <mergeCell ref="D6610:F6610"/>
    <mergeCell ref="B6615:F6615"/>
    <mergeCell ref="B6617:C6617"/>
    <mergeCell ref="E6617:F6617"/>
    <mergeCell ref="B6618:C6618"/>
    <mergeCell ref="B6619:C6619"/>
    <mergeCell ref="B6620:C6620"/>
    <mergeCell ref="D6625:F6625"/>
    <mergeCell ref="D6626:F6626"/>
    <mergeCell ref="D6627:F6627"/>
    <mergeCell ref="D6628:F6628"/>
    <mergeCell ref="D6629:F6629"/>
    <mergeCell ref="D6631:F6631"/>
    <mergeCell ref="B6633:F6633"/>
    <mergeCell ref="B6637:F6637"/>
    <mergeCell ref="B6638:F6638"/>
    <mergeCell ref="B6639:F6639"/>
    <mergeCell ref="B6640:F6640"/>
    <mergeCell ref="B6648:F6648"/>
    <mergeCell ref="B6650:F6650"/>
    <mergeCell ref="B6651:F6651"/>
    <mergeCell ref="B6652:F6652"/>
    <mergeCell ref="D6654:F6654"/>
    <mergeCell ref="D6655:F6655"/>
    <mergeCell ref="B6660:F6660"/>
    <mergeCell ref="B6662:C6662"/>
    <mergeCell ref="E6662:F6662"/>
    <mergeCell ref="B6663:C6663"/>
    <mergeCell ref="B6664:C6664"/>
    <mergeCell ref="B6665:C6665"/>
    <mergeCell ref="D6670:F6670"/>
    <mergeCell ref="D6671:F6671"/>
    <mergeCell ref="D6672:F6672"/>
    <mergeCell ref="D6673:F6673"/>
    <mergeCell ref="D6674:F6674"/>
    <mergeCell ref="D6676:F6676"/>
    <mergeCell ref="B6678:F6678"/>
    <mergeCell ref="B6682:F6682"/>
    <mergeCell ref="B6683:F6683"/>
    <mergeCell ref="B6684:F6684"/>
    <mergeCell ref="B6685:F6685"/>
    <mergeCell ref="B6693:F6693"/>
    <mergeCell ref="B6695:F6695"/>
    <mergeCell ref="B6696:F6696"/>
    <mergeCell ref="B6697:F6697"/>
    <mergeCell ref="D6699:F6699"/>
    <mergeCell ref="D6700:F6700"/>
    <mergeCell ref="B6705:F6705"/>
    <mergeCell ref="B6707:C6707"/>
    <mergeCell ref="E6707:F6707"/>
    <mergeCell ref="B6708:C6708"/>
    <mergeCell ref="B6709:C6709"/>
    <mergeCell ref="B6710:C6710"/>
    <mergeCell ref="D6715:F6715"/>
    <mergeCell ref="D6716:F6716"/>
    <mergeCell ref="D6717:F6717"/>
    <mergeCell ref="D6718:F6718"/>
    <mergeCell ref="D6719:F6719"/>
    <mergeCell ref="D6721:F6721"/>
    <mergeCell ref="B6723:F6723"/>
    <mergeCell ref="B6727:F6727"/>
    <mergeCell ref="B6728:F6728"/>
    <mergeCell ref="B6729:F6729"/>
    <mergeCell ref="B6730:F6730"/>
    <mergeCell ref="B6738:F6738"/>
    <mergeCell ref="B6740:F6740"/>
    <mergeCell ref="B6741:F6741"/>
    <mergeCell ref="B6742:F6742"/>
    <mergeCell ref="D6744:F6744"/>
    <mergeCell ref="D6745:F6745"/>
    <mergeCell ref="B6750:F6750"/>
    <mergeCell ref="B6752:C6752"/>
    <mergeCell ref="E6752:F6752"/>
    <mergeCell ref="B6753:C6753"/>
    <mergeCell ref="B6754:C6754"/>
    <mergeCell ref="B6755:C6755"/>
    <mergeCell ref="D6760:F6760"/>
    <mergeCell ref="D6761:F6761"/>
    <mergeCell ref="D6762:F6762"/>
    <mergeCell ref="D6763:F6763"/>
    <mergeCell ref="D6764:F6764"/>
    <mergeCell ref="D6766:F6766"/>
    <mergeCell ref="B6768:F6768"/>
    <mergeCell ref="B6772:F6772"/>
    <mergeCell ref="B6773:F6773"/>
    <mergeCell ref="B6774:F6774"/>
    <mergeCell ref="B6775:F6775"/>
    <mergeCell ref="B6783:F6783"/>
    <mergeCell ref="B6785:F6785"/>
    <mergeCell ref="B6786:F6786"/>
    <mergeCell ref="B6787:F6787"/>
    <mergeCell ref="D6789:F6789"/>
    <mergeCell ref="D6790:F6790"/>
    <mergeCell ref="B6795:F6795"/>
    <mergeCell ref="B6797:C6797"/>
    <mergeCell ref="E6797:F6797"/>
    <mergeCell ref="B6798:C6798"/>
    <mergeCell ref="B6799:C6799"/>
    <mergeCell ref="B6800:C6800"/>
    <mergeCell ref="D6805:F6805"/>
    <mergeCell ref="D6806:F6806"/>
    <mergeCell ref="D6807:F6807"/>
    <mergeCell ref="D6808:F6808"/>
    <mergeCell ref="D6809:F6809"/>
    <mergeCell ref="D6811:F6811"/>
    <mergeCell ref="B6813:F6813"/>
    <mergeCell ref="B6817:F6817"/>
    <mergeCell ref="B6818:F6818"/>
    <mergeCell ref="B6819:F6819"/>
    <mergeCell ref="B6820:F6820"/>
    <mergeCell ref="B6828:F6828"/>
    <mergeCell ref="B6830:F6830"/>
    <mergeCell ref="B6831:F6831"/>
    <mergeCell ref="B6832:F6832"/>
    <mergeCell ref="D6834:F6834"/>
    <mergeCell ref="D6835:F6835"/>
    <mergeCell ref="B6840:F6840"/>
    <mergeCell ref="B6842:C6842"/>
    <mergeCell ref="E6842:F6842"/>
    <mergeCell ref="B6843:C6843"/>
    <mergeCell ref="B6844:C6844"/>
    <mergeCell ref="B6845:C6845"/>
    <mergeCell ref="D6850:F6850"/>
    <mergeCell ref="D6851:F6851"/>
    <mergeCell ref="D6852:F6852"/>
    <mergeCell ref="D6853:F6853"/>
    <mergeCell ref="D6854:F6854"/>
    <mergeCell ref="D6856:F6856"/>
    <mergeCell ref="B6858:F6858"/>
    <mergeCell ref="B6862:F6862"/>
    <mergeCell ref="B6863:F6863"/>
    <mergeCell ref="B6864:F6864"/>
    <mergeCell ref="B6865:F6865"/>
    <mergeCell ref="B6873:F6873"/>
    <mergeCell ref="B6875:F6875"/>
    <mergeCell ref="B6876:F6876"/>
    <mergeCell ref="B6877:F6877"/>
    <mergeCell ref="D6879:F6879"/>
    <mergeCell ref="D6880:F6880"/>
    <mergeCell ref="B6885:F6885"/>
    <mergeCell ref="B6887:C6887"/>
    <mergeCell ref="E6887:F6887"/>
    <mergeCell ref="B6888:C6888"/>
    <mergeCell ref="B6889:C6889"/>
    <mergeCell ref="B6890:C6890"/>
    <mergeCell ref="D6895:F6895"/>
    <mergeCell ref="D6896:F6896"/>
    <mergeCell ref="D6897:F6897"/>
    <mergeCell ref="D6898:F6898"/>
    <mergeCell ref="D6899:F6899"/>
    <mergeCell ref="D6901:F6901"/>
    <mergeCell ref="B6903:F6903"/>
    <mergeCell ref="B6907:F6907"/>
    <mergeCell ref="B6908:F6908"/>
    <mergeCell ref="B6909:F6909"/>
    <mergeCell ref="B6910:F6910"/>
    <mergeCell ref="B6918:F6918"/>
    <mergeCell ref="B6920:F6920"/>
    <mergeCell ref="B6921:F6921"/>
    <mergeCell ref="B6922:F6922"/>
    <mergeCell ref="D6924:F6924"/>
    <mergeCell ref="D6925:F6925"/>
    <mergeCell ref="B6930:F6930"/>
    <mergeCell ref="B6932:C6932"/>
    <mergeCell ref="E6932:F6932"/>
    <mergeCell ref="B6933:C6933"/>
    <mergeCell ref="B6934:C6934"/>
    <mergeCell ref="B6935:C6935"/>
    <mergeCell ref="D6940:F6940"/>
    <mergeCell ref="D6941:F6941"/>
    <mergeCell ref="D6942:F6942"/>
    <mergeCell ref="D6943:F6943"/>
    <mergeCell ref="D6944:F6944"/>
    <mergeCell ref="D6946:F6946"/>
    <mergeCell ref="B6948:F6948"/>
    <mergeCell ref="B6952:F6952"/>
    <mergeCell ref="B6953:F6953"/>
    <mergeCell ref="B6954:F6954"/>
    <mergeCell ref="B6955:F6955"/>
    <mergeCell ref="B6963:F6963"/>
    <mergeCell ref="B6965:F6965"/>
    <mergeCell ref="B6966:F6966"/>
    <mergeCell ref="B6967:F6967"/>
    <mergeCell ref="D6969:F6969"/>
    <mergeCell ref="D6970:F6970"/>
    <mergeCell ref="B6975:F6975"/>
    <mergeCell ref="B6977:C6977"/>
    <mergeCell ref="E6977:F6977"/>
    <mergeCell ref="B6978:C6978"/>
    <mergeCell ref="B6979:C6979"/>
    <mergeCell ref="B6980:C6980"/>
    <mergeCell ref="D6985:F6985"/>
    <mergeCell ref="D6986:F6986"/>
    <mergeCell ref="D6987:F6987"/>
    <mergeCell ref="D6988:F6988"/>
    <mergeCell ref="D6989:F6989"/>
    <mergeCell ref="D6991:F6991"/>
    <mergeCell ref="B6993:F6993"/>
    <mergeCell ref="B6997:F6997"/>
    <mergeCell ref="B6998:F6998"/>
    <mergeCell ref="B6999:F6999"/>
    <mergeCell ref="B7000:F7000"/>
    <mergeCell ref="B7008:F7008"/>
    <mergeCell ref="B7010:F7010"/>
    <mergeCell ref="B7011:F7011"/>
    <mergeCell ref="B7012:F7012"/>
    <mergeCell ref="D7014:F7014"/>
    <mergeCell ref="D7015:F7015"/>
    <mergeCell ref="B7020:F7020"/>
    <mergeCell ref="B7022:C7022"/>
    <mergeCell ref="E7022:F7022"/>
    <mergeCell ref="B7023:C7023"/>
    <mergeCell ref="B7024:C7024"/>
    <mergeCell ref="B7025:C7025"/>
    <mergeCell ref="D7030:F7030"/>
    <mergeCell ref="D7031:F7031"/>
    <mergeCell ref="D7032:F7032"/>
    <mergeCell ref="D7033:F7033"/>
    <mergeCell ref="D7034:F7034"/>
    <mergeCell ref="D7036:F7036"/>
    <mergeCell ref="B7038:F7038"/>
    <mergeCell ref="B7042:F7042"/>
    <mergeCell ref="B7043:F7043"/>
    <mergeCell ref="B7044:F7044"/>
    <mergeCell ref="B7045:F7045"/>
    <mergeCell ref="B7053:F7053"/>
    <mergeCell ref="B7055:F7055"/>
    <mergeCell ref="B7056:F7056"/>
    <mergeCell ref="B7057:F7057"/>
    <mergeCell ref="D7059:F7059"/>
    <mergeCell ref="D7060:F7060"/>
    <mergeCell ref="B7065:F7065"/>
    <mergeCell ref="B7067:C7067"/>
    <mergeCell ref="E7067:F7067"/>
    <mergeCell ref="B7068:C7068"/>
    <mergeCell ref="B7069:C7069"/>
    <mergeCell ref="B7070:C7070"/>
    <mergeCell ref="D7075:F7075"/>
    <mergeCell ref="D7076:F7076"/>
    <mergeCell ref="D7077:F7077"/>
    <mergeCell ref="D7078:F7078"/>
    <mergeCell ref="D7079:F7079"/>
    <mergeCell ref="D7081:F7081"/>
    <mergeCell ref="B7083:F7083"/>
    <mergeCell ref="B7087:F7087"/>
    <mergeCell ref="B7088:F7088"/>
    <mergeCell ref="B7089:F7089"/>
    <mergeCell ref="B7090:F7090"/>
    <mergeCell ref="B7098:F7098"/>
    <mergeCell ref="B7100:F7100"/>
    <mergeCell ref="B7101:F7101"/>
    <mergeCell ref="B7102:F7102"/>
    <mergeCell ref="D7104:F7104"/>
    <mergeCell ref="D7105:F7105"/>
    <mergeCell ref="B7110:F7110"/>
    <mergeCell ref="B7112:C7112"/>
    <mergeCell ref="E7112:F7112"/>
    <mergeCell ref="B7113:C7113"/>
    <mergeCell ref="B7114:C7114"/>
    <mergeCell ref="B7115:C7115"/>
    <mergeCell ref="D7120:F7120"/>
    <mergeCell ref="D7121:F7121"/>
    <mergeCell ref="D7122:F7122"/>
    <mergeCell ref="D7123:F7123"/>
    <mergeCell ref="D7124:F7124"/>
    <mergeCell ref="D7126:F7126"/>
    <mergeCell ref="B7128:F7128"/>
    <mergeCell ref="B7132:F7132"/>
    <mergeCell ref="B7133:F7133"/>
    <mergeCell ref="B7134:F7134"/>
    <mergeCell ref="B7135:F7135"/>
    <mergeCell ref="B7143:F7143"/>
    <mergeCell ref="B7145:F7145"/>
    <mergeCell ref="B7146:F7146"/>
    <mergeCell ref="B7147:F7147"/>
    <mergeCell ref="D7149:F7149"/>
    <mergeCell ref="D7150:F7150"/>
    <mergeCell ref="B7155:F7155"/>
    <mergeCell ref="B7157:C7157"/>
    <mergeCell ref="E7157:F7157"/>
    <mergeCell ref="B7158:C7158"/>
    <mergeCell ref="B7159:C7159"/>
    <mergeCell ref="B7160:C7160"/>
    <mergeCell ref="D7165:F7165"/>
    <mergeCell ref="D7166:F7166"/>
    <mergeCell ref="D7167:F7167"/>
    <mergeCell ref="D7168:F7168"/>
    <mergeCell ref="D7169:F7169"/>
    <mergeCell ref="D7171:F7171"/>
    <mergeCell ref="B7173:F7173"/>
    <mergeCell ref="B7177:F7177"/>
    <mergeCell ref="B7178:F7178"/>
    <mergeCell ref="B7179:F7179"/>
    <mergeCell ref="B7180:F7180"/>
    <mergeCell ref="B7188:F7188"/>
    <mergeCell ref="B7190:F7190"/>
    <mergeCell ref="B7191:F7191"/>
    <mergeCell ref="B7192:F7192"/>
    <mergeCell ref="D7194:F7194"/>
    <mergeCell ref="D7195:F7195"/>
    <mergeCell ref="B7200:F7200"/>
    <mergeCell ref="B7202:C7202"/>
    <mergeCell ref="E7202:F7202"/>
    <mergeCell ref="B7203:C7203"/>
    <mergeCell ref="B7204:C7204"/>
    <mergeCell ref="B7205:C7205"/>
    <mergeCell ref="D7210:F7210"/>
    <mergeCell ref="D7211:F7211"/>
    <mergeCell ref="D7212:F7212"/>
    <mergeCell ref="D7213:F7213"/>
    <mergeCell ref="D7214:F7214"/>
    <mergeCell ref="D7216:F7216"/>
    <mergeCell ref="B7218:F7218"/>
    <mergeCell ref="B7222:F7222"/>
    <mergeCell ref="B7223:F7223"/>
    <mergeCell ref="B7224:F7224"/>
    <mergeCell ref="B7225:F7225"/>
    <mergeCell ref="B7233:F7233"/>
    <mergeCell ref="B7235:F7235"/>
    <mergeCell ref="B7236:F7236"/>
    <mergeCell ref="B7237:F7237"/>
    <mergeCell ref="D7239:F7239"/>
    <mergeCell ref="D7240:F7240"/>
    <mergeCell ref="B7245:F7245"/>
    <mergeCell ref="B7247:C7247"/>
    <mergeCell ref="E7247:F7247"/>
    <mergeCell ref="B7248:C7248"/>
    <mergeCell ref="B7249:C7249"/>
    <mergeCell ref="B7250:C7250"/>
    <mergeCell ref="D7255:F7255"/>
    <mergeCell ref="D7256:F7256"/>
    <mergeCell ref="D7257:F7257"/>
    <mergeCell ref="D7258:F7258"/>
    <mergeCell ref="D7259:F7259"/>
    <mergeCell ref="D7261:F7261"/>
    <mergeCell ref="B7263:F7263"/>
    <mergeCell ref="B7267:F7267"/>
    <mergeCell ref="B7268:F7268"/>
    <mergeCell ref="B7269:F7269"/>
    <mergeCell ref="B7270:F7270"/>
    <mergeCell ref="B7278:F7278"/>
    <mergeCell ref="B7280:F7280"/>
    <mergeCell ref="B7281:F7281"/>
    <mergeCell ref="B7282:F7282"/>
    <mergeCell ref="D7284:F7284"/>
    <mergeCell ref="D7285:F7285"/>
    <mergeCell ref="B7290:F7290"/>
    <mergeCell ref="B7292:C7292"/>
    <mergeCell ref="E7292:F7292"/>
    <mergeCell ref="B7293:C7293"/>
    <mergeCell ref="B7294:C7294"/>
    <mergeCell ref="B7295:C7295"/>
    <mergeCell ref="D7300:F7300"/>
    <mergeCell ref="D7301:F7301"/>
    <mergeCell ref="D7302:F7302"/>
    <mergeCell ref="D7303:F7303"/>
    <mergeCell ref="D7304:F7304"/>
    <mergeCell ref="D7306:F7306"/>
    <mergeCell ref="B7308:F7308"/>
    <mergeCell ref="B7312:F7312"/>
    <mergeCell ref="B7313:F7313"/>
    <mergeCell ref="B7314:F7314"/>
    <mergeCell ref="B7315:F7315"/>
    <mergeCell ref="B7323:F7323"/>
    <mergeCell ref="B7325:F7325"/>
    <mergeCell ref="B7326:F7326"/>
    <mergeCell ref="B7327:F7327"/>
    <mergeCell ref="D7329:F7329"/>
    <mergeCell ref="D7330:F7330"/>
    <mergeCell ref="B7335:F7335"/>
    <mergeCell ref="B7337:C7337"/>
    <mergeCell ref="E7337:F7337"/>
    <mergeCell ref="B7338:C7338"/>
    <mergeCell ref="B7339:C7339"/>
    <mergeCell ref="B7340:C7340"/>
    <mergeCell ref="D7345:F7345"/>
    <mergeCell ref="D7346:F7346"/>
    <mergeCell ref="D7347:F7347"/>
    <mergeCell ref="D7348:F7348"/>
    <mergeCell ref="D7349:F7349"/>
    <mergeCell ref="D7351:F7351"/>
    <mergeCell ref="B7353:F7353"/>
    <mergeCell ref="B7357:F7357"/>
    <mergeCell ref="B7358:F7358"/>
    <mergeCell ref="B7359:F7359"/>
    <mergeCell ref="B7360:F7360"/>
    <mergeCell ref="B7368:F7368"/>
    <mergeCell ref="B7370:F7370"/>
    <mergeCell ref="B7371:F7371"/>
    <mergeCell ref="B7372:F7372"/>
    <mergeCell ref="D7374:F7374"/>
    <mergeCell ref="D7375:F7375"/>
    <mergeCell ref="B7380:F7380"/>
    <mergeCell ref="B7382:C7382"/>
    <mergeCell ref="E7382:F7382"/>
    <mergeCell ref="B7383:C7383"/>
    <mergeCell ref="B7384:C7384"/>
    <mergeCell ref="B7385:C7385"/>
    <mergeCell ref="D7390:F7390"/>
    <mergeCell ref="D7391:F7391"/>
    <mergeCell ref="D7392:F7392"/>
    <mergeCell ref="D7393:F7393"/>
    <mergeCell ref="D7394:F7394"/>
    <mergeCell ref="D7396:F7396"/>
    <mergeCell ref="B7398:F7398"/>
    <mergeCell ref="B7402:F7402"/>
    <mergeCell ref="B7403:F7403"/>
    <mergeCell ref="B7404:F7404"/>
    <mergeCell ref="B7405:F7405"/>
    <mergeCell ref="B7413:F7413"/>
    <mergeCell ref="B7415:F7415"/>
    <mergeCell ref="B7416:F7416"/>
    <mergeCell ref="B7417:F7417"/>
    <mergeCell ref="D7419:F7419"/>
    <mergeCell ref="D7420:F7420"/>
    <mergeCell ref="B7425:F7425"/>
    <mergeCell ref="B7427:C7427"/>
    <mergeCell ref="E7427:F7427"/>
    <mergeCell ref="B7428:C7428"/>
    <mergeCell ref="B7429:C7429"/>
    <mergeCell ref="B7430:C7430"/>
    <mergeCell ref="D7435:F7435"/>
    <mergeCell ref="D7436:F7436"/>
    <mergeCell ref="D7437:F7437"/>
    <mergeCell ref="D7438:F7438"/>
    <mergeCell ref="D7439:F7439"/>
    <mergeCell ref="D7441:F7441"/>
    <mergeCell ref="B7443:F7443"/>
    <mergeCell ref="B7447:F7447"/>
    <mergeCell ref="B7448:F7448"/>
    <mergeCell ref="B7449:F7449"/>
    <mergeCell ref="B7450:F7450"/>
    <mergeCell ref="B7458:F7458"/>
    <mergeCell ref="B7460:F7460"/>
    <mergeCell ref="B7461:F7461"/>
    <mergeCell ref="B7462:F7462"/>
    <mergeCell ref="D7464:F7464"/>
    <mergeCell ref="D7465:F7465"/>
    <mergeCell ref="B7470:F7470"/>
    <mergeCell ref="B7472:C7472"/>
    <mergeCell ref="E7472:F7472"/>
    <mergeCell ref="B7473:C7473"/>
    <mergeCell ref="B7474:C7474"/>
    <mergeCell ref="B7475:C7475"/>
    <mergeCell ref="D7480:F7480"/>
    <mergeCell ref="D7481:F7481"/>
    <mergeCell ref="D7482:F7482"/>
    <mergeCell ref="D7483:F7483"/>
    <mergeCell ref="D7484:F7484"/>
    <mergeCell ref="D7486:F7486"/>
    <mergeCell ref="B7488:F7488"/>
    <mergeCell ref="B7492:F7492"/>
    <mergeCell ref="B7493:F7493"/>
    <mergeCell ref="B7494:F7494"/>
    <mergeCell ref="B7495:F7495"/>
    <mergeCell ref="B7503:F7503"/>
    <mergeCell ref="B7505:F7505"/>
    <mergeCell ref="B7506:F7506"/>
    <mergeCell ref="B7507:F7507"/>
    <mergeCell ref="D7509:F7509"/>
    <mergeCell ref="D7510:F7510"/>
    <mergeCell ref="B7515:F7515"/>
    <mergeCell ref="B7517:C7517"/>
    <mergeCell ref="E7517:F7517"/>
    <mergeCell ref="B7518:C7518"/>
    <mergeCell ref="B7519:C7519"/>
    <mergeCell ref="B7520:C7520"/>
    <mergeCell ref="D7525:F7525"/>
    <mergeCell ref="D7526:F7526"/>
    <mergeCell ref="D7527:F7527"/>
    <mergeCell ref="D7528:F7528"/>
    <mergeCell ref="D7529:F7529"/>
    <mergeCell ref="D7531:F7531"/>
    <mergeCell ref="B7533:F7533"/>
    <mergeCell ref="B7537:F7537"/>
    <mergeCell ref="B7538:F7538"/>
    <mergeCell ref="B7539:F7539"/>
    <mergeCell ref="B7540:F7540"/>
    <mergeCell ref="B7548:F7548"/>
    <mergeCell ref="B7550:F7550"/>
    <mergeCell ref="B7551:F7551"/>
    <mergeCell ref="B7552:F7552"/>
    <mergeCell ref="D7554:F7554"/>
    <mergeCell ref="D7555:F7555"/>
    <mergeCell ref="B7560:F7560"/>
    <mergeCell ref="B7562:C7562"/>
    <mergeCell ref="E7562:F7562"/>
    <mergeCell ref="B7563:C7563"/>
    <mergeCell ref="B7564:C7564"/>
    <mergeCell ref="B7565:C7565"/>
    <mergeCell ref="D7570:F7570"/>
    <mergeCell ref="D7571:F7571"/>
    <mergeCell ref="D7572:F7572"/>
    <mergeCell ref="D7573:F7573"/>
    <mergeCell ref="D7574:F7574"/>
    <mergeCell ref="D7576:F7576"/>
    <mergeCell ref="B7578:F7578"/>
    <mergeCell ref="B7582:F7582"/>
    <mergeCell ref="B7583:F7583"/>
    <mergeCell ref="B7584:F7584"/>
    <mergeCell ref="B7585:F7585"/>
    <mergeCell ref="B7593:F7593"/>
    <mergeCell ref="B7595:F7595"/>
    <mergeCell ref="B7596:F7596"/>
    <mergeCell ref="B7597:F7597"/>
    <mergeCell ref="D7599:F7599"/>
    <mergeCell ref="D7600:F7600"/>
    <mergeCell ref="B7605:F7605"/>
    <mergeCell ref="B7607:C7607"/>
    <mergeCell ref="E7607:F7607"/>
    <mergeCell ref="B7608:C7608"/>
    <mergeCell ref="B7609:C7609"/>
    <mergeCell ref="B7610:C7610"/>
    <mergeCell ref="D7615:F7615"/>
    <mergeCell ref="D7616:F7616"/>
    <mergeCell ref="D7617:F7617"/>
    <mergeCell ref="D7618:F7618"/>
    <mergeCell ref="D7619:F7619"/>
    <mergeCell ref="D7621:F7621"/>
    <mergeCell ref="B7623:F7623"/>
    <mergeCell ref="B7627:F7627"/>
    <mergeCell ref="B7628:F7628"/>
    <mergeCell ref="B7629:F7629"/>
    <mergeCell ref="B7630:F7630"/>
    <mergeCell ref="B7638:F7638"/>
    <mergeCell ref="B7640:F7640"/>
    <mergeCell ref="B7641:F7641"/>
    <mergeCell ref="B7642:F7642"/>
    <mergeCell ref="D7644:F7644"/>
    <mergeCell ref="D7645:F7645"/>
    <mergeCell ref="B7650:F7650"/>
    <mergeCell ref="B7652:C7652"/>
    <mergeCell ref="E7652:F7652"/>
    <mergeCell ref="B7653:C7653"/>
    <mergeCell ref="B7654:C7654"/>
    <mergeCell ref="B7655:C7655"/>
    <mergeCell ref="D7660:F7660"/>
    <mergeCell ref="D7661:F7661"/>
    <mergeCell ref="D7662:F7662"/>
    <mergeCell ref="D7663:F7663"/>
    <mergeCell ref="D7664:F7664"/>
    <mergeCell ref="D7666:F7666"/>
    <mergeCell ref="B7668:F7668"/>
    <mergeCell ref="B7672:F7672"/>
    <mergeCell ref="B7673:F7673"/>
    <mergeCell ref="B7674:F7674"/>
    <mergeCell ref="B7675:F7675"/>
    <mergeCell ref="B7683:F7683"/>
    <mergeCell ref="B7685:F7685"/>
    <mergeCell ref="B7686:F7686"/>
    <mergeCell ref="B7687:F7687"/>
    <mergeCell ref="D7689:F7689"/>
    <mergeCell ref="D7690:F7690"/>
    <mergeCell ref="B7695:F7695"/>
    <mergeCell ref="B7697:C7697"/>
    <mergeCell ref="E7697:F7697"/>
    <mergeCell ref="B7698:C7698"/>
    <mergeCell ref="B7699:C7699"/>
    <mergeCell ref="B7700:C7700"/>
    <mergeCell ref="D7705:F7705"/>
    <mergeCell ref="D7706:F7706"/>
    <mergeCell ref="D7707:F7707"/>
    <mergeCell ref="D7708:F7708"/>
    <mergeCell ref="D7709:F7709"/>
    <mergeCell ref="D7711:F7711"/>
    <mergeCell ref="B7713:F7713"/>
    <mergeCell ref="B7717:F7717"/>
    <mergeCell ref="B7718:F7718"/>
    <mergeCell ref="B7719:F7719"/>
    <mergeCell ref="B7720:F7720"/>
    <mergeCell ref="B7728:F7728"/>
    <mergeCell ref="B7730:F7730"/>
    <mergeCell ref="B7731:F7731"/>
    <mergeCell ref="B7732:F7732"/>
    <mergeCell ref="D7734:F7734"/>
    <mergeCell ref="D7735:F7735"/>
    <mergeCell ref="B7740:F7740"/>
    <mergeCell ref="B7742:C7742"/>
    <mergeCell ref="E7742:F7742"/>
    <mergeCell ref="B7743:C7743"/>
    <mergeCell ref="B7744:C7744"/>
    <mergeCell ref="B7745:C7745"/>
    <mergeCell ref="D7750:F7750"/>
    <mergeCell ref="D7751:F7751"/>
    <mergeCell ref="D7752:F7752"/>
    <mergeCell ref="D7753:F7753"/>
    <mergeCell ref="D7754:F7754"/>
    <mergeCell ref="D7756:F7756"/>
    <mergeCell ref="B7758:F7758"/>
    <mergeCell ref="B7762:F7762"/>
    <mergeCell ref="B7763:F7763"/>
    <mergeCell ref="B7764:F7764"/>
    <mergeCell ref="B7765:F7765"/>
    <mergeCell ref="B7773:F7773"/>
    <mergeCell ref="B7775:F7775"/>
    <mergeCell ref="B7776:F7776"/>
    <mergeCell ref="B7777:F7777"/>
    <mergeCell ref="D7779:F7779"/>
    <mergeCell ref="D7780:F7780"/>
    <mergeCell ref="B7785:F7785"/>
    <mergeCell ref="B7787:C7787"/>
    <mergeCell ref="E7787:F7787"/>
    <mergeCell ref="B7788:C7788"/>
    <mergeCell ref="B7789:C7789"/>
    <mergeCell ref="B7790:C7790"/>
    <mergeCell ref="D7795:F7795"/>
    <mergeCell ref="D7796:F7796"/>
    <mergeCell ref="D7797:F7797"/>
    <mergeCell ref="D7798:F7798"/>
    <mergeCell ref="D7799:F7799"/>
    <mergeCell ref="D7801:F7801"/>
    <mergeCell ref="B7803:F7803"/>
    <mergeCell ref="B7807:F7807"/>
    <mergeCell ref="B7808:F7808"/>
    <mergeCell ref="B7809:F7809"/>
    <mergeCell ref="B7810:F7810"/>
    <mergeCell ref="B7818:F7818"/>
    <mergeCell ref="B7820:F7820"/>
    <mergeCell ref="B7821:F7821"/>
    <mergeCell ref="B7822:F7822"/>
    <mergeCell ref="D7824:F7824"/>
    <mergeCell ref="D7825:F7825"/>
    <mergeCell ref="B7830:F7830"/>
    <mergeCell ref="B7832:C7832"/>
    <mergeCell ref="E7832:F7832"/>
    <mergeCell ref="B7833:C7833"/>
    <mergeCell ref="B7834:C7834"/>
    <mergeCell ref="B7835:C7835"/>
    <mergeCell ref="D7840:F7840"/>
    <mergeCell ref="D7841:F7841"/>
    <mergeCell ref="D7842:F7842"/>
    <mergeCell ref="D7843:F7843"/>
    <mergeCell ref="D7844:F7844"/>
    <mergeCell ref="D7846:F7846"/>
    <mergeCell ref="B7848:F7848"/>
    <mergeCell ref="B7852:F7852"/>
    <mergeCell ref="B7853:F7853"/>
    <mergeCell ref="B7854:F7854"/>
    <mergeCell ref="B7855:F7855"/>
    <mergeCell ref="B7863:F7863"/>
    <mergeCell ref="B7865:F7865"/>
    <mergeCell ref="B7866:F7866"/>
    <mergeCell ref="B7867:F7867"/>
    <mergeCell ref="D7869:F7869"/>
    <mergeCell ref="D7870:F7870"/>
    <mergeCell ref="B7875:F7875"/>
    <mergeCell ref="B7877:C7877"/>
    <mergeCell ref="E7877:F7877"/>
    <mergeCell ref="B7878:C7878"/>
    <mergeCell ref="B7879:C7879"/>
    <mergeCell ref="B7880:C7880"/>
    <mergeCell ref="D7885:F7885"/>
    <mergeCell ref="D7886:F7886"/>
    <mergeCell ref="D7887:F7887"/>
    <mergeCell ref="D7888:F7888"/>
    <mergeCell ref="D7889:F7889"/>
    <mergeCell ref="D7891:F7891"/>
    <mergeCell ref="B7893:F7893"/>
    <mergeCell ref="B7897:F7897"/>
    <mergeCell ref="B7898:F7898"/>
    <mergeCell ref="B7899:F7899"/>
    <mergeCell ref="B7900:F7900"/>
    <mergeCell ref="B7908:F7908"/>
    <mergeCell ref="B7910:F7910"/>
    <mergeCell ref="B7911:F7911"/>
    <mergeCell ref="B7912:F7912"/>
    <mergeCell ref="D7914:F7914"/>
    <mergeCell ref="D7915:F7915"/>
    <mergeCell ref="B7920:F7920"/>
    <mergeCell ref="B7922:C7922"/>
    <mergeCell ref="E7922:F7922"/>
    <mergeCell ref="B7923:C7923"/>
    <mergeCell ref="B7924:C7924"/>
    <mergeCell ref="B7925:C7925"/>
    <mergeCell ref="D7930:F7930"/>
    <mergeCell ref="D7931:F7931"/>
    <mergeCell ref="D7932:F7932"/>
    <mergeCell ref="D7933:F7933"/>
    <mergeCell ref="D7934:F7934"/>
    <mergeCell ref="D7936:F7936"/>
    <mergeCell ref="B7938:F7938"/>
    <mergeCell ref="B7942:F7942"/>
    <mergeCell ref="B7943:F7943"/>
    <mergeCell ref="B7944:F7944"/>
    <mergeCell ref="B7945:F7945"/>
    <mergeCell ref="B7953:F7953"/>
    <mergeCell ref="B7955:F7955"/>
    <mergeCell ref="B7956:F7956"/>
    <mergeCell ref="B7957:F7957"/>
    <mergeCell ref="D7959:F7959"/>
    <mergeCell ref="D7960:F7960"/>
    <mergeCell ref="B7965:F7965"/>
    <mergeCell ref="B7967:C7967"/>
    <mergeCell ref="E7967:F7967"/>
    <mergeCell ref="B7968:C7968"/>
    <mergeCell ref="B7969:C7969"/>
    <mergeCell ref="B7970:C7970"/>
    <mergeCell ref="D7975:F7975"/>
    <mergeCell ref="D7976:F7976"/>
    <mergeCell ref="D7977:F7977"/>
    <mergeCell ref="D7978:F7978"/>
    <mergeCell ref="D7979:F7979"/>
    <mergeCell ref="D7981:F7981"/>
    <mergeCell ref="B7983:F7983"/>
    <mergeCell ref="B7987:F7987"/>
    <mergeCell ref="B7988:F7988"/>
    <mergeCell ref="B7989:F7989"/>
    <mergeCell ref="B7990:F7990"/>
    <mergeCell ref="B7998:F7998"/>
    <mergeCell ref="B8000:F8000"/>
    <mergeCell ref="B8001:F8001"/>
    <mergeCell ref="B8002:F8002"/>
    <mergeCell ref="D8004:F8004"/>
    <mergeCell ref="D8005:F8005"/>
    <mergeCell ref="B8010:F8010"/>
    <mergeCell ref="B8012:C8012"/>
    <mergeCell ref="E8012:F8012"/>
    <mergeCell ref="B8013:C8013"/>
    <mergeCell ref="B8014:C8014"/>
    <mergeCell ref="B8015:C8015"/>
    <mergeCell ref="D8020:F8020"/>
    <mergeCell ref="D8021:F8021"/>
    <mergeCell ref="D8022:F8022"/>
    <mergeCell ref="D8023:F8023"/>
    <mergeCell ref="D8024:F8024"/>
    <mergeCell ref="D8026:F8026"/>
    <mergeCell ref="B8028:F8028"/>
    <mergeCell ref="B8032:F8032"/>
    <mergeCell ref="B8033:F8033"/>
    <mergeCell ref="B8034:F8034"/>
    <mergeCell ref="B8035:F8035"/>
    <mergeCell ref="B8043:F8043"/>
    <mergeCell ref="B8045:F8045"/>
    <mergeCell ref="B8046:F8046"/>
    <mergeCell ref="B8047:F8047"/>
    <mergeCell ref="D8049:F8049"/>
    <mergeCell ref="D8050:F8050"/>
    <mergeCell ref="B8055:F8055"/>
    <mergeCell ref="B8057:C8057"/>
    <mergeCell ref="E8057:F8057"/>
    <mergeCell ref="B8058:C8058"/>
    <mergeCell ref="B8059:C8059"/>
    <mergeCell ref="B8060:C8060"/>
    <mergeCell ref="D8065:F8065"/>
    <mergeCell ref="D8066:F8066"/>
    <mergeCell ref="D8067:F8067"/>
    <mergeCell ref="D8068:F8068"/>
    <mergeCell ref="D8069:F8069"/>
    <mergeCell ref="D8071:F8071"/>
    <mergeCell ref="B8073:F8073"/>
    <mergeCell ref="B8077:F8077"/>
    <mergeCell ref="B8078:F8078"/>
    <mergeCell ref="B8079:F8079"/>
    <mergeCell ref="B8080:F8080"/>
    <mergeCell ref="B8088:F8088"/>
    <mergeCell ref="B8090:F8090"/>
    <mergeCell ref="B8091:F8091"/>
    <mergeCell ref="B8092:F8092"/>
    <mergeCell ref="D8094:F8094"/>
    <mergeCell ref="D8095:F8095"/>
    <mergeCell ref="B8100:F8100"/>
    <mergeCell ref="B8102:C8102"/>
    <mergeCell ref="E8102:F8102"/>
    <mergeCell ref="B8103:C8103"/>
    <mergeCell ref="B8104:C8104"/>
    <mergeCell ref="B8105:C8105"/>
    <mergeCell ref="D8110:F8110"/>
    <mergeCell ref="D8111:F8111"/>
    <mergeCell ref="D8112:F8112"/>
    <mergeCell ref="D8113:F8113"/>
    <mergeCell ref="D8114:F8114"/>
    <mergeCell ref="D8116:F8116"/>
    <mergeCell ref="B8118:F8118"/>
    <mergeCell ref="B8122:F8122"/>
    <mergeCell ref="B8123:F8123"/>
    <mergeCell ref="B8124:F8124"/>
    <mergeCell ref="B8125:F8125"/>
    <mergeCell ref="B8133:F8133"/>
    <mergeCell ref="B8135:F8135"/>
    <mergeCell ref="B8136:F8136"/>
    <mergeCell ref="B8137:F8137"/>
    <mergeCell ref="D8139:F8139"/>
    <mergeCell ref="D8140:F8140"/>
    <mergeCell ref="B8145:F8145"/>
    <mergeCell ref="B8147:C8147"/>
    <mergeCell ref="E8147:F8147"/>
    <mergeCell ref="B8148:C8148"/>
    <mergeCell ref="B8149:C8149"/>
    <mergeCell ref="B8150:C8150"/>
    <mergeCell ref="D8155:F8155"/>
    <mergeCell ref="D8156:F8156"/>
    <mergeCell ref="D8157:F8157"/>
    <mergeCell ref="D8158:F8158"/>
    <mergeCell ref="D8159:F8159"/>
    <mergeCell ref="D8161:F8161"/>
    <mergeCell ref="B8163:F8163"/>
    <mergeCell ref="B8167:F8167"/>
    <mergeCell ref="B8168:F8168"/>
    <mergeCell ref="B8169:F8169"/>
    <mergeCell ref="B8170:F8170"/>
    <mergeCell ref="B8178:F8178"/>
    <mergeCell ref="B8180:F8180"/>
    <mergeCell ref="B8181:F8181"/>
    <mergeCell ref="B8182:F8182"/>
    <mergeCell ref="D8184:F8184"/>
    <mergeCell ref="D8185:F8185"/>
    <mergeCell ref="B8190:F8190"/>
    <mergeCell ref="B8192:C8192"/>
    <mergeCell ref="E8192:F8192"/>
    <mergeCell ref="B8193:C8193"/>
    <mergeCell ref="B8194:C8194"/>
    <mergeCell ref="B8195:C8195"/>
    <mergeCell ref="D8200:F8200"/>
    <mergeCell ref="D8201:F8201"/>
    <mergeCell ref="D8202:F8202"/>
    <mergeCell ref="D8203:F8203"/>
    <mergeCell ref="D8204:F8204"/>
    <mergeCell ref="D8206:F8206"/>
    <mergeCell ref="B8208:F8208"/>
    <mergeCell ref="B8212:F8212"/>
    <mergeCell ref="B8213:F8213"/>
    <mergeCell ref="B8214:F8214"/>
    <mergeCell ref="B8215:F8215"/>
    <mergeCell ref="B8223:F8223"/>
    <mergeCell ref="B8225:F8225"/>
    <mergeCell ref="B8226:F8226"/>
    <mergeCell ref="B8227:F8227"/>
    <mergeCell ref="D8229:F8229"/>
    <mergeCell ref="D8230:F8230"/>
    <mergeCell ref="B8235:F8235"/>
    <mergeCell ref="B8237:C8237"/>
    <mergeCell ref="E8237:F8237"/>
    <mergeCell ref="B8238:C8238"/>
    <mergeCell ref="B8239:C8239"/>
    <mergeCell ref="B8240:C8240"/>
    <mergeCell ref="D8245:F8245"/>
    <mergeCell ref="D8246:F8246"/>
    <mergeCell ref="D8247:F8247"/>
    <mergeCell ref="D8248:F8248"/>
    <mergeCell ref="D8249:F8249"/>
    <mergeCell ref="D8251:F8251"/>
    <mergeCell ref="B8253:F8253"/>
    <mergeCell ref="B8257:F8257"/>
    <mergeCell ref="B8258:F8258"/>
    <mergeCell ref="B8259:F8259"/>
    <mergeCell ref="B8260:F8260"/>
    <mergeCell ref="B8268:F8268"/>
    <mergeCell ref="B8270:F8270"/>
    <mergeCell ref="B8271:F8271"/>
    <mergeCell ref="B8272:F8272"/>
    <mergeCell ref="D8274:F8274"/>
    <mergeCell ref="D8275:F8275"/>
    <mergeCell ref="B8280:F8280"/>
    <mergeCell ref="B8282:C8282"/>
    <mergeCell ref="E8282:F8282"/>
    <mergeCell ref="B8283:C8283"/>
    <mergeCell ref="B8284:C8284"/>
    <mergeCell ref="B8285:C8285"/>
    <mergeCell ref="D8290:F8290"/>
    <mergeCell ref="D8291:F8291"/>
    <mergeCell ref="D8292:F8292"/>
    <mergeCell ref="D8293:F8293"/>
    <mergeCell ref="D8294:F8294"/>
    <mergeCell ref="D8296:F8296"/>
    <mergeCell ref="B8298:F8298"/>
    <mergeCell ref="B8302:F8302"/>
    <mergeCell ref="B8303:F8303"/>
    <mergeCell ref="B8304:F8304"/>
    <mergeCell ref="B8305:F8305"/>
    <mergeCell ref="B8313:F8313"/>
    <mergeCell ref="B8315:F8315"/>
    <mergeCell ref="B8316:F8316"/>
    <mergeCell ref="B8317:F8317"/>
    <mergeCell ref="D8319:F8319"/>
    <mergeCell ref="D8320:F8320"/>
    <mergeCell ref="B8325:F8325"/>
    <mergeCell ref="B8327:C8327"/>
    <mergeCell ref="E8327:F8327"/>
    <mergeCell ref="B8328:C8328"/>
    <mergeCell ref="B8329:C8329"/>
    <mergeCell ref="B8330:C8330"/>
    <mergeCell ref="D8335:F8335"/>
    <mergeCell ref="D8336:F8336"/>
    <mergeCell ref="D8337:F8337"/>
    <mergeCell ref="D8338:F8338"/>
    <mergeCell ref="D8339:F8339"/>
    <mergeCell ref="D8341:F8341"/>
    <mergeCell ref="B8343:F8343"/>
    <mergeCell ref="B8347:F8347"/>
    <mergeCell ref="B8348:F8348"/>
    <mergeCell ref="B8349:F8349"/>
    <mergeCell ref="B8350:F8350"/>
    <mergeCell ref="B8358:F8358"/>
    <mergeCell ref="B8360:F8360"/>
    <mergeCell ref="B8361:F8361"/>
    <mergeCell ref="B8362:F8362"/>
    <mergeCell ref="D8364:F8364"/>
    <mergeCell ref="D8365:F8365"/>
    <mergeCell ref="B8370:F8370"/>
    <mergeCell ref="B8372:C8372"/>
    <mergeCell ref="E8372:F8372"/>
    <mergeCell ref="B8373:C8373"/>
    <mergeCell ref="B8374:C8374"/>
    <mergeCell ref="B8375:C8375"/>
    <mergeCell ref="D8380:F8380"/>
    <mergeCell ref="D8381:F8381"/>
    <mergeCell ref="D8382:F8382"/>
    <mergeCell ref="D8383:F8383"/>
    <mergeCell ref="D8384:F8384"/>
    <mergeCell ref="D8386:F8386"/>
    <mergeCell ref="B8388:F8388"/>
    <mergeCell ref="B8392:F8392"/>
    <mergeCell ref="B8393:F8393"/>
    <mergeCell ref="B8394:F8394"/>
    <mergeCell ref="B8395:F8395"/>
    <mergeCell ref="B8403:F8403"/>
    <mergeCell ref="B8405:F8405"/>
    <mergeCell ref="B8406:F8406"/>
    <mergeCell ref="B8407:F8407"/>
    <mergeCell ref="D8409:F8409"/>
    <mergeCell ref="D8410:F8410"/>
    <mergeCell ref="B8415:F8415"/>
    <mergeCell ref="B8417:C8417"/>
    <mergeCell ref="E8417:F8417"/>
    <mergeCell ref="B8418:C8418"/>
    <mergeCell ref="B8419:C8419"/>
    <mergeCell ref="B8420:C8420"/>
    <mergeCell ref="D8425:F8425"/>
    <mergeCell ref="D8426:F8426"/>
    <mergeCell ref="D8427:F8427"/>
    <mergeCell ref="D8428:F8428"/>
    <mergeCell ref="D8429:F8429"/>
    <mergeCell ref="D8431:F8431"/>
    <mergeCell ref="B8433:F8433"/>
    <mergeCell ref="B8437:F8437"/>
    <mergeCell ref="B8438:F8438"/>
    <mergeCell ref="B8439:F8439"/>
    <mergeCell ref="B8440:F8440"/>
    <mergeCell ref="B8448:F8448"/>
    <mergeCell ref="B8450:F8450"/>
    <mergeCell ref="B8451:F8451"/>
    <mergeCell ref="B8452:F8452"/>
    <mergeCell ref="D8454:F8454"/>
    <mergeCell ref="D8455:F8455"/>
    <mergeCell ref="B8460:F8460"/>
    <mergeCell ref="B8462:C8462"/>
    <mergeCell ref="E8462:F8462"/>
    <mergeCell ref="B8463:C8463"/>
    <mergeCell ref="B8464:C8464"/>
    <mergeCell ref="B8465:C8465"/>
    <mergeCell ref="D8470:F8470"/>
    <mergeCell ref="D8471:F8471"/>
    <mergeCell ref="D8472:F8472"/>
    <mergeCell ref="D8473:F8473"/>
    <mergeCell ref="D8474:F8474"/>
    <mergeCell ref="D8476:F8476"/>
    <mergeCell ref="B8478:F8478"/>
    <mergeCell ref="B8482:F8482"/>
    <mergeCell ref="B8483:F8483"/>
    <mergeCell ref="B8484:F8484"/>
    <mergeCell ref="B8485:F8485"/>
    <mergeCell ref="B8493:F8493"/>
    <mergeCell ref="B8495:F8495"/>
    <mergeCell ref="B8496:F8496"/>
    <mergeCell ref="B8497:F8497"/>
    <mergeCell ref="D8499:F8499"/>
    <mergeCell ref="D8500:F8500"/>
    <mergeCell ref="B8505:F8505"/>
    <mergeCell ref="B8507:C8507"/>
    <mergeCell ref="E8507:F8507"/>
    <mergeCell ref="B8508:C8508"/>
    <mergeCell ref="B8509:C8509"/>
    <mergeCell ref="B8510:C8510"/>
    <mergeCell ref="D8515:F8515"/>
    <mergeCell ref="D8516:F8516"/>
    <mergeCell ref="D8517:F8517"/>
    <mergeCell ref="D8518:F8518"/>
    <mergeCell ref="D8519:F8519"/>
    <mergeCell ref="D8521:F8521"/>
    <mergeCell ref="B8523:F8523"/>
    <mergeCell ref="B8527:F8527"/>
    <mergeCell ref="B8528:F8528"/>
    <mergeCell ref="B8529:F8529"/>
    <mergeCell ref="B8530:F8530"/>
    <mergeCell ref="B8538:F8538"/>
    <mergeCell ref="B8540:F8540"/>
    <mergeCell ref="B8541:F8541"/>
    <mergeCell ref="B8542:F8542"/>
    <mergeCell ref="D8544:F8544"/>
    <mergeCell ref="D8545:F8545"/>
    <mergeCell ref="B8550:F8550"/>
    <mergeCell ref="B8552:C8552"/>
    <mergeCell ref="E8552:F8552"/>
    <mergeCell ref="B8553:C8553"/>
    <mergeCell ref="B8554:C8554"/>
    <mergeCell ref="B8555:C8555"/>
    <mergeCell ref="D8560:F8560"/>
    <mergeCell ref="D8561:F8561"/>
    <mergeCell ref="D8562:F8562"/>
    <mergeCell ref="D8563:F8563"/>
    <mergeCell ref="D8564:F8564"/>
    <mergeCell ref="D8566:F8566"/>
    <mergeCell ref="B8568:F8568"/>
    <mergeCell ref="B8572:F8572"/>
    <mergeCell ref="B8573:F8573"/>
    <mergeCell ref="B8574:F8574"/>
    <mergeCell ref="B8575:F8575"/>
    <mergeCell ref="B8583:F8583"/>
    <mergeCell ref="B8585:F8585"/>
    <mergeCell ref="B8586:F8586"/>
    <mergeCell ref="B8587:F8587"/>
    <mergeCell ref="D8589:F8589"/>
    <mergeCell ref="D8590:F8590"/>
    <mergeCell ref="B8595:F8595"/>
    <mergeCell ref="B8597:C8597"/>
    <mergeCell ref="E8597:F8597"/>
    <mergeCell ref="B8598:C8598"/>
    <mergeCell ref="B8599:C8599"/>
    <mergeCell ref="B8600:C8600"/>
    <mergeCell ref="D8605:F8605"/>
    <mergeCell ref="D8606:F8606"/>
    <mergeCell ref="D8607:F8607"/>
    <mergeCell ref="D8608:F8608"/>
    <mergeCell ref="D8609:F8609"/>
    <mergeCell ref="D8611:F8611"/>
    <mergeCell ref="B8613:F8613"/>
    <mergeCell ref="B8617:F8617"/>
    <mergeCell ref="B8618:F8618"/>
    <mergeCell ref="B8619:F8619"/>
    <mergeCell ref="B8620:F8620"/>
    <mergeCell ref="B8628:F8628"/>
    <mergeCell ref="B8630:F8630"/>
    <mergeCell ref="B8631:F8631"/>
    <mergeCell ref="B8632:F8632"/>
    <mergeCell ref="D8634:F8634"/>
    <mergeCell ref="D8635:F8635"/>
    <mergeCell ref="B8640:F8640"/>
    <mergeCell ref="B8642:C8642"/>
    <mergeCell ref="E8642:F8642"/>
    <mergeCell ref="B8643:C8643"/>
    <mergeCell ref="B8644:C8644"/>
    <mergeCell ref="B8645:C8645"/>
    <mergeCell ref="D8650:F8650"/>
    <mergeCell ref="D8651:F8651"/>
    <mergeCell ref="D8652:F8652"/>
    <mergeCell ref="D8653:F8653"/>
    <mergeCell ref="D8654:F8654"/>
    <mergeCell ref="D8656:F8656"/>
    <mergeCell ref="B8658:F8658"/>
    <mergeCell ref="B8662:F8662"/>
    <mergeCell ref="B8663:F8663"/>
    <mergeCell ref="B8664:F8664"/>
    <mergeCell ref="B8665:F8665"/>
    <mergeCell ref="B8673:F8673"/>
    <mergeCell ref="B8675:F8675"/>
    <mergeCell ref="B8676:F8676"/>
    <mergeCell ref="B8677:F8677"/>
    <mergeCell ref="D8679:F8679"/>
    <mergeCell ref="D8680:F8680"/>
    <mergeCell ref="B8685:F8685"/>
    <mergeCell ref="B8687:C8687"/>
    <mergeCell ref="E8687:F8687"/>
    <mergeCell ref="B8688:C8688"/>
    <mergeCell ref="B8689:C8689"/>
    <mergeCell ref="B8690:C8690"/>
    <mergeCell ref="D8695:F8695"/>
    <mergeCell ref="D8696:F8696"/>
    <mergeCell ref="D8697:F8697"/>
    <mergeCell ref="D8698:F8698"/>
    <mergeCell ref="D8699:F8699"/>
    <mergeCell ref="D8701:F8701"/>
    <mergeCell ref="B8703:F8703"/>
    <mergeCell ref="B8707:F8707"/>
    <mergeCell ref="B8708:F8708"/>
    <mergeCell ref="B8709:F8709"/>
    <mergeCell ref="B8710:F8710"/>
    <mergeCell ref="B8718:F8718"/>
    <mergeCell ref="B8720:F8720"/>
    <mergeCell ref="B8721:F8721"/>
    <mergeCell ref="B8722:F8722"/>
    <mergeCell ref="D8724:F8724"/>
    <mergeCell ref="D8725:F8725"/>
    <mergeCell ref="B8730:F8730"/>
    <mergeCell ref="B8732:C8732"/>
    <mergeCell ref="E8732:F8732"/>
    <mergeCell ref="B8733:C8733"/>
    <mergeCell ref="B8734:C8734"/>
    <mergeCell ref="B8735:C8735"/>
    <mergeCell ref="D8740:F8740"/>
    <mergeCell ref="D8741:F8741"/>
    <mergeCell ref="D8742:F8742"/>
    <mergeCell ref="D8743:F8743"/>
    <mergeCell ref="D8744:F8744"/>
    <mergeCell ref="D8746:F8746"/>
    <mergeCell ref="B8748:F8748"/>
    <mergeCell ref="B8752:F8752"/>
    <mergeCell ref="B8753:F8753"/>
    <mergeCell ref="B8754:F8754"/>
    <mergeCell ref="B8755:F8755"/>
    <mergeCell ref="B8763:F8763"/>
    <mergeCell ref="B8765:F8765"/>
    <mergeCell ref="B8766:F8766"/>
    <mergeCell ref="B8767:F8767"/>
    <mergeCell ref="D8769:F8769"/>
    <mergeCell ref="D8770:F8770"/>
    <mergeCell ref="B8775:F8775"/>
    <mergeCell ref="B8777:C8777"/>
    <mergeCell ref="E8777:F8777"/>
    <mergeCell ref="B8778:C8778"/>
    <mergeCell ref="B8779:C8779"/>
    <mergeCell ref="B8780:C8780"/>
    <mergeCell ref="D8785:F8785"/>
    <mergeCell ref="D8786:F8786"/>
    <mergeCell ref="D8787:F8787"/>
    <mergeCell ref="D8788:F8788"/>
    <mergeCell ref="D8789:F8789"/>
    <mergeCell ref="D8791:F8791"/>
    <mergeCell ref="B8793:F8793"/>
    <mergeCell ref="B8797:F8797"/>
    <mergeCell ref="B8798:F8798"/>
    <mergeCell ref="B8799:F8799"/>
    <mergeCell ref="B8800:F8800"/>
    <mergeCell ref="B8808:F8808"/>
    <mergeCell ref="B8810:F8810"/>
    <mergeCell ref="B8811:F8811"/>
    <mergeCell ref="B8812:F8812"/>
    <mergeCell ref="D8814:F8814"/>
    <mergeCell ref="D8815:F8815"/>
    <mergeCell ref="B8820:F8820"/>
    <mergeCell ref="B8822:C8822"/>
    <mergeCell ref="E8822:F8822"/>
    <mergeCell ref="B8823:C8823"/>
    <mergeCell ref="B8824:C8824"/>
    <mergeCell ref="B8825:C8825"/>
    <mergeCell ref="D8830:F8830"/>
    <mergeCell ref="D8831:F8831"/>
    <mergeCell ref="D8832:F8832"/>
    <mergeCell ref="D8833:F8833"/>
    <mergeCell ref="D8834:F8834"/>
    <mergeCell ref="D8836:F8836"/>
    <mergeCell ref="B8838:F8838"/>
    <mergeCell ref="B8842:F8842"/>
    <mergeCell ref="B8843:F8843"/>
    <mergeCell ref="B8844:F8844"/>
    <mergeCell ref="B8845:F8845"/>
    <mergeCell ref="B8853:F8853"/>
    <mergeCell ref="B8855:F8855"/>
    <mergeCell ref="B8856:F8856"/>
    <mergeCell ref="B8857:F8857"/>
    <mergeCell ref="D8859:F8859"/>
    <mergeCell ref="D8860:F8860"/>
    <mergeCell ref="B8865:F8865"/>
    <mergeCell ref="B8867:C8867"/>
    <mergeCell ref="E8867:F8867"/>
    <mergeCell ref="B8868:C8868"/>
    <mergeCell ref="B8869:C8869"/>
    <mergeCell ref="B8870:C8870"/>
    <mergeCell ref="D8875:F8875"/>
    <mergeCell ref="D8876:F8876"/>
    <mergeCell ref="D8877:F8877"/>
    <mergeCell ref="D8878:F8878"/>
    <mergeCell ref="D8879:F8879"/>
    <mergeCell ref="D8881:F8881"/>
    <mergeCell ref="B8883:F8883"/>
    <mergeCell ref="B8887:F8887"/>
    <mergeCell ref="B8888:F8888"/>
    <mergeCell ref="B8889:F8889"/>
    <mergeCell ref="B8890:F8890"/>
    <mergeCell ref="B8898:F8898"/>
    <mergeCell ref="B8900:F8900"/>
    <mergeCell ref="B8901:F8901"/>
    <mergeCell ref="B8902:F8902"/>
    <mergeCell ref="D8904:F8904"/>
    <mergeCell ref="D8905:F8905"/>
    <mergeCell ref="B8910:F8910"/>
    <mergeCell ref="B8912:C8912"/>
    <mergeCell ref="E8912:F8912"/>
    <mergeCell ref="B8913:C8913"/>
    <mergeCell ref="B8914:C8914"/>
    <mergeCell ref="B8915:C8915"/>
    <mergeCell ref="D8920:F8920"/>
    <mergeCell ref="D8921:F8921"/>
    <mergeCell ref="D8922:F8922"/>
    <mergeCell ref="D8923:F8923"/>
    <mergeCell ref="D8924:F8924"/>
    <mergeCell ref="D8926:F8926"/>
    <mergeCell ref="B8928:F8928"/>
    <mergeCell ref="B8932:F8932"/>
    <mergeCell ref="B8933:F8933"/>
    <mergeCell ref="B8934:F8934"/>
    <mergeCell ref="B8935:F8935"/>
    <mergeCell ref="B8943:F8943"/>
    <mergeCell ref="B8945:F8945"/>
    <mergeCell ref="B8946:F8946"/>
    <mergeCell ref="B8947:F8947"/>
    <mergeCell ref="D8949:F8949"/>
    <mergeCell ref="D8950:F8950"/>
    <mergeCell ref="B8955:F8955"/>
    <mergeCell ref="B8957:C8957"/>
    <mergeCell ref="E8957:F8957"/>
    <mergeCell ref="B8958:C8958"/>
    <mergeCell ref="B8959:C8959"/>
    <mergeCell ref="B8960:C8960"/>
    <mergeCell ref="D8965:F8965"/>
    <mergeCell ref="D8966:F8966"/>
    <mergeCell ref="D8967:F8967"/>
    <mergeCell ref="D8968:F8968"/>
    <mergeCell ref="D8969:F8969"/>
    <mergeCell ref="D8971:F8971"/>
    <mergeCell ref="B8973:F8973"/>
    <mergeCell ref="B8977:F8977"/>
    <mergeCell ref="B8978:F8978"/>
    <mergeCell ref="B8979:F8979"/>
    <mergeCell ref="B8980:F8980"/>
    <mergeCell ref="B8988:F8988"/>
    <mergeCell ref="B8990:F8990"/>
    <mergeCell ref="B8991:F8991"/>
    <mergeCell ref="B8992:F8992"/>
    <mergeCell ref="D8994:F8994"/>
    <mergeCell ref="D8995:F8995"/>
    <mergeCell ref="B9000:F9000"/>
    <mergeCell ref="B9002:C9002"/>
    <mergeCell ref="E9002:F9002"/>
    <mergeCell ref="B9003:C9003"/>
    <mergeCell ref="B9004:C9004"/>
    <mergeCell ref="B9005:C9005"/>
    <mergeCell ref="D9010:F9010"/>
    <mergeCell ref="D9011:F9011"/>
    <mergeCell ref="D9012:F9012"/>
    <mergeCell ref="D9013:F9013"/>
    <mergeCell ref="D9014:F9014"/>
    <mergeCell ref="D9016:F9016"/>
    <mergeCell ref="B9018:F9018"/>
    <mergeCell ref="B9022:F9022"/>
    <mergeCell ref="B9023:F9023"/>
    <mergeCell ref="B9024:F9024"/>
    <mergeCell ref="B9025:F9025"/>
    <mergeCell ref="B9033:F9033"/>
    <mergeCell ref="B9035:F9035"/>
    <mergeCell ref="B9036:F9036"/>
    <mergeCell ref="B9037:F9037"/>
    <mergeCell ref="D9039:F9039"/>
    <mergeCell ref="D9040:F9040"/>
    <mergeCell ref="B9045:F9045"/>
    <mergeCell ref="B9047:C9047"/>
    <mergeCell ref="E9047:F9047"/>
    <mergeCell ref="B9048:C9048"/>
    <mergeCell ref="B9049:C9049"/>
    <mergeCell ref="B9050:C9050"/>
    <mergeCell ref="D9055:F9055"/>
    <mergeCell ref="D9056:F9056"/>
    <mergeCell ref="D9057:F9057"/>
    <mergeCell ref="D9058:F9058"/>
    <mergeCell ref="D9059:F9059"/>
    <mergeCell ref="D9061:F9061"/>
    <mergeCell ref="B9063:F9063"/>
    <mergeCell ref="B9067:F9067"/>
    <mergeCell ref="B9068:F9068"/>
    <mergeCell ref="B9069:F9069"/>
    <mergeCell ref="B9070:F9070"/>
    <mergeCell ref="B9078:F9078"/>
    <mergeCell ref="B9080:F9080"/>
    <mergeCell ref="B9081:F9081"/>
    <mergeCell ref="B9082:F9082"/>
    <mergeCell ref="D9084:F9084"/>
    <mergeCell ref="D9085:F9085"/>
    <mergeCell ref="B9090:F9090"/>
    <mergeCell ref="B9092:C9092"/>
    <mergeCell ref="E9092:F9092"/>
    <mergeCell ref="B9093:C9093"/>
    <mergeCell ref="B9094:C9094"/>
    <mergeCell ref="B9095:C9095"/>
    <mergeCell ref="D9100:F9100"/>
    <mergeCell ref="D9101:F9101"/>
    <mergeCell ref="D9102:F9102"/>
    <mergeCell ref="D9103:F9103"/>
    <mergeCell ref="D9104:F9104"/>
    <mergeCell ref="D9106:F9106"/>
    <mergeCell ref="B9108:F9108"/>
    <mergeCell ref="B9112:F9112"/>
    <mergeCell ref="B9113:F9113"/>
    <mergeCell ref="B9114:F9114"/>
    <mergeCell ref="B9115:F9115"/>
    <mergeCell ref="B9123:F9123"/>
    <mergeCell ref="B9125:F9125"/>
    <mergeCell ref="B9126:F9126"/>
    <mergeCell ref="B9127:F9127"/>
    <mergeCell ref="D9129:F9129"/>
    <mergeCell ref="D9130:F9130"/>
    <mergeCell ref="B9135:F9135"/>
    <mergeCell ref="B9137:C9137"/>
    <mergeCell ref="E9137:F9137"/>
    <mergeCell ref="B9138:C9138"/>
    <mergeCell ref="B9139:C9139"/>
    <mergeCell ref="B9140:C9140"/>
    <mergeCell ref="D9145:F9145"/>
    <mergeCell ref="D9146:F9146"/>
    <mergeCell ref="D9147:F9147"/>
    <mergeCell ref="D9148:F9148"/>
    <mergeCell ref="D9149:F9149"/>
    <mergeCell ref="D9151:F9151"/>
    <mergeCell ref="B9153:F9153"/>
    <mergeCell ref="B9157:F9157"/>
    <mergeCell ref="B9158:F9158"/>
    <mergeCell ref="B9159:F9159"/>
    <mergeCell ref="B9160:F9160"/>
    <mergeCell ref="B9168:F9168"/>
    <mergeCell ref="B9170:F9170"/>
    <mergeCell ref="B9171:F9171"/>
    <mergeCell ref="B9172:F9172"/>
    <mergeCell ref="D9174:F9174"/>
    <mergeCell ref="D9175:F9175"/>
    <mergeCell ref="B9180:F9180"/>
    <mergeCell ref="B9182:C9182"/>
    <mergeCell ref="E9182:F9182"/>
    <mergeCell ref="B9183:C9183"/>
    <mergeCell ref="B9184:C9184"/>
    <mergeCell ref="B9185:C9185"/>
    <mergeCell ref="D9190:F9190"/>
    <mergeCell ref="D9191:F9191"/>
    <mergeCell ref="D9192:F9192"/>
    <mergeCell ref="D9193:F9193"/>
    <mergeCell ref="D9194:F9194"/>
    <mergeCell ref="D9196:F9196"/>
    <mergeCell ref="B9198:F9198"/>
    <mergeCell ref="B9202:F9202"/>
    <mergeCell ref="B9203:F9203"/>
    <mergeCell ref="B9204:F9204"/>
    <mergeCell ref="B9205:F9205"/>
    <mergeCell ref="B9213:F9213"/>
    <mergeCell ref="B9215:F9215"/>
    <mergeCell ref="B9216:F9216"/>
    <mergeCell ref="B9217:F9217"/>
    <mergeCell ref="D9219:F9219"/>
    <mergeCell ref="D9220:F9220"/>
    <mergeCell ref="B9225:F9225"/>
    <mergeCell ref="B9227:C9227"/>
    <mergeCell ref="E9227:F9227"/>
    <mergeCell ref="B9228:C9228"/>
    <mergeCell ref="B9229:C9229"/>
    <mergeCell ref="B9230:C9230"/>
    <mergeCell ref="D9235:F9235"/>
    <mergeCell ref="D9236:F9236"/>
    <mergeCell ref="D9237:F9237"/>
    <mergeCell ref="D9238:F9238"/>
    <mergeCell ref="D9239:F9239"/>
    <mergeCell ref="D9241:F9241"/>
    <mergeCell ref="B9243:F9243"/>
    <mergeCell ref="B9247:F9247"/>
    <mergeCell ref="B9248:F9248"/>
    <mergeCell ref="B9249:F9249"/>
    <mergeCell ref="B9250:F9250"/>
    <mergeCell ref="B9258:F9258"/>
    <mergeCell ref="B9260:F9260"/>
    <mergeCell ref="B9261:F9261"/>
    <mergeCell ref="B9262:F9262"/>
    <mergeCell ref="D9264:F9264"/>
    <mergeCell ref="D9265:F9265"/>
    <mergeCell ref="B9270:F9270"/>
    <mergeCell ref="B9272:C9272"/>
    <mergeCell ref="E9272:F9272"/>
    <mergeCell ref="B9273:C9273"/>
    <mergeCell ref="B9274:C9274"/>
    <mergeCell ref="B9275:C9275"/>
    <mergeCell ref="D9280:F9280"/>
    <mergeCell ref="D9281:F9281"/>
    <mergeCell ref="D9282:F9282"/>
    <mergeCell ref="D9283:F9283"/>
    <mergeCell ref="D9284:F9284"/>
    <mergeCell ref="D9286:F9286"/>
    <mergeCell ref="B9288:F9288"/>
    <mergeCell ref="B9292:F9292"/>
    <mergeCell ref="B9293:F9293"/>
    <mergeCell ref="B9294:F9294"/>
    <mergeCell ref="B9295:F9295"/>
    <mergeCell ref="B9303:F9303"/>
    <mergeCell ref="B9305:F9305"/>
    <mergeCell ref="B9306:F9306"/>
    <mergeCell ref="B9307:F9307"/>
    <mergeCell ref="D9309:F9309"/>
    <mergeCell ref="D9310:F9310"/>
    <mergeCell ref="B9315:F9315"/>
    <mergeCell ref="B9317:C9317"/>
    <mergeCell ref="E9317:F9317"/>
    <mergeCell ref="B9318:C9318"/>
    <mergeCell ref="B9319:C9319"/>
    <mergeCell ref="B9320:C9320"/>
    <mergeCell ref="D9325:F9325"/>
    <mergeCell ref="D9326:F9326"/>
    <mergeCell ref="D9327:F9327"/>
    <mergeCell ref="D9328:F9328"/>
    <mergeCell ref="D9329:F9329"/>
    <mergeCell ref="D9331:F9331"/>
    <mergeCell ref="B9333:F9333"/>
    <mergeCell ref="B9337:F9337"/>
    <mergeCell ref="B9338:F9338"/>
    <mergeCell ref="B9339:F9339"/>
    <mergeCell ref="B9340:F9340"/>
    <mergeCell ref="B9348:F9348"/>
    <mergeCell ref="B9350:F9350"/>
    <mergeCell ref="B9351:F9351"/>
    <mergeCell ref="B9352:F9352"/>
    <mergeCell ref="D9354:F9354"/>
    <mergeCell ref="D9355:F9355"/>
    <mergeCell ref="B9360:F9360"/>
    <mergeCell ref="B9362:C9362"/>
    <mergeCell ref="E9362:F9362"/>
    <mergeCell ref="B9363:C9363"/>
    <mergeCell ref="B9364:C9364"/>
    <mergeCell ref="B9365:C9365"/>
    <mergeCell ref="D9370:F9370"/>
    <mergeCell ref="D9371:F9371"/>
    <mergeCell ref="D9372:F9372"/>
    <mergeCell ref="D9373:F9373"/>
    <mergeCell ref="D9374:F9374"/>
    <mergeCell ref="D9376:F9376"/>
    <mergeCell ref="B9378:F9378"/>
    <mergeCell ref="B9382:F9382"/>
    <mergeCell ref="B9383:F9383"/>
    <mergeCell ref="B9384:F9384"/>
    <mergeCell ref="B9385:F9385"/>
    <mergeCell ref="B9393:F9393"/>
    <mergeCell ref="B9395:F9395"/>
    <mergeCell ref="B9396:F9396"/>
    <mergeCell ref="B9397:F9397"/>
    <mergeCell ref="D9399:F9399"/>
    <mergeCell ref="D9400:F9400"/>
    <mergeCell ref="B9405:F9405"/>
    <mergeCell ref="B9407:C9407"/>
    <mergeCell ref="E9407:F9407"/>
    <mergeCell ref="B9408:C9408"/>
    <mergeCell ref="B9409:C9409"/>
    <mergeCell ref="B9410:C9410"/>
    <mergeCell ref="D9415:F9415"/>
    <mergeCell ref="D9416:F9416"/>
    <mergeCell ref="D9417:F9417"/>
    <mergeCell ref="D9418:F9418"/>
    <mergeCell ref="D9419:F9419"/>
    <mergeCell ref="D9421:F9421"/>
    <mergeCell ref="B9423:F9423"/>
    <mergeCell ref="B9427:F9427"/>
    <mergeCell ref="B9428:F9428"/>
    <mergeCell ref="B9429:F9429"/>
    <mergeCell ref="B9430:F9430"/>
    <mergeCell ref="B9438:F9438"/>
    <mergeCell ref="B9440:F9440"/>
    <mergeCell ref="B9441:F9441"/>
    <mergeCell ref="B9442:F9442"/>
    <mergeCell ref="D9444:F9444"/>
    <mergeCell ref="D9445:F9445"/>
    <mergeCell ref="B9450:F9450"/>
    <mergeCell ref="B9452:C9452"/>
    <mergeCell ref="E9452:F9452"/>
    <mergeCell ref="B9453:C9453"/>
    <mergeCell ref="B9454:C9454"/>
    <mergeCell ref="B9455:C9455"/>
    <mergeCell ref="D9460:F9460"/>
    <mergeCell ref="D9461:F9461"/>
    <mergeCell ref="D9462:F9462"/>
    <mergeCell ref="D9463:F9463"/>
    <mergeCell ref="D9464:F9464"/>
    <mergeCell ref="D9466:F9466"/>
    <mergeCell ref="B9468:F9468"/>
    <mergeCell ref="B9472:F9472"/>
    <mergeCell ref="B9473:F9473"/>
    <mergeCell ref="B9474:F9474"/>
    <mergeCell ref="B9475:F9475"/>
    <mergeCell ref="B9483:F9483"/>
    <mergeCell ref="B9485:F9485"/>
    <mergeCell ref="B9486:F9486"/>
    <mergeCell ref="B9487:F9487"/>
    <mergeCell ref="D9489:F9489"/>
    <mergeCell ref="D9490:F9490"/>
    <mergeCell ref="B9495:F9495"/>
    <mergeCell ref="B9497:C9497"/>
    <mergeCell ref="E9497:F9497"/>
    <mergeCell ref="B9498:C9498"/>
    <mergeCell ref="B9499:C9499"/>
    <mergeCell ref="B9500:C9500"/>
    <mergeCell ref="D9505:F9505"/>
    <mergeCell ref="D9506:F9506"/>
    <mergeCell ref="D9507:F9507"/>
    <mergeCell ref="D9508:F9508"/>
    <mergeCell ref="D9509:F9509"/>
    <mergeCell ref="D9511:F9511"/>
    <mergeCell ref="B9513:F9513"/>
    <mergeCell ref="B9517:F9517"/>
    <mergeCell ref="B9518:F9518"/>
    <mergeCell ref="B9519:F9519"/>
    <mergeCell ref="B9520:F9520"/>
    <mergeCell ref="B9528:F9528"/>
    <mergeCell ref="B9530:F9530"/>
    <mergeCell ref="B9531:F9531"/>
    <mergeCell ref="B9532:F9532"/>
    <mergeCell ref="D9534:F9534"/>
    <mergeCell ref="D9535:F9535"/>
    <mergeCell ref="B9540:F9540"/>
    <mergeCell ref="B9542:C9542"/>
    <mergeCell ref="E9542:F9542"/>
    <mergeCell ref="B9543:C9543"/>
    <mergeCell ref="B9544:C9544"/>
    <mergeCell ref="B9545:C9545"/>
    <mergeCell ref="D9550:F9550"/>
    <mergeCell ref="D9551:F9551"/>
    <mergeCell ref="D9552:F9552"/>
    <mergeCell ref="D9553:F9553"/>
    <mergeCell ref="D9554:F9554"/>
    <mergeCell ref="D9556:F9556"/>
    <mergeCell ref="B9558:F9558"/>
    <mergeCell ref="B9562:F9562"/>
    <mergeCell ref="B9563:F9563"/>
    <mergeCell ref="B9564:F9564"/>
    <mergeCell ref="B9565:F9565"/>
    <mergeCell ref="B9573:F9573"/>
    <mergeCell ref="B9575:F9575"/>
    <mergeCell ref="B9576:F9576"/>
    <mergeCell ref="B9577:F9577"/>
    <mergeCell ref="D9579:F9579"/>
    <mergeCell ref="D9580:F9580"/>
    <mergeCell ref="B9585:F9585"/>
    <mergeCell ref="B9587:C9587"/>
    <mergeCell ref="E9587:F9587"/>
    <mergeCell ref="B9588:C9588"/>
    <mergeCell ref="B9589:C9589"/>
    <mergeCell ref="B9590:C9590"/>
    <mergeCell ref="D9595:F9595"/>
    <mergeCell ref="D9596:F9596"/>
    <mergeCell ref="D9597:F9597"/>
    <mergeCell ref="D9598:F9598"/>
    <mergeCell ref="D9599:F9599"/>
    <mergeCell ref="D9601:F9601"/>
    <mergeCell ref="B9603:F9603"/>
    <mergeCell ref="B9607:F9607"/>
    <mergeCell ref="B9608:F9608"/>
    <mergeCell ref="B9609:F9609"/>
    <mergeCell ref="B9610:F9610"/>
    <mergeCell ref="B9618:F9618"/>
    <mergeCell ref="B9620:F9620"/>
    <mergeCell ref="B9621:F9621"/>
    <mergeCell ref="B9622:F9622"/>
    <mergeCell ref="D9624:F9624"/>
    <mergeCell ref="D9625:F9625"/>
    <mergeCell ref="B9630:F9630"/>
    <mergeCell ref="B9632:C9632"/>
    <mergeCell ref="E9632:F9632"/>
    <mergeCell ref="B9633:C9633"/>
    <mergeCell ref="B9634:C9634"/>
    <mergeCell ref="B9635:C9635"/>
    <mergeCell ref="D9640:F9640"/>
    <mergeCell ref="D9641:F9641"/>
    <mergeCell ref="D9642:F9642"/>
    <mergeCell ref="D9643:F9643"/>
    <mergeCell ref="D9644:F9644"/>
    <mergeCell ref="D9646:F9646"/>
    <mergeCell ref="B9648:F9648"/>
    <mergeCell ref="B9652:F9652"/>
    <mergeCell ref="B9653:F9653"/>
    <mergeCell ref="B9654:F9654"/>
    <mergeCell ref="B9655:F9655"/>
    <mergeCell ref="B9663:F9663"/>
    <mergeCell ref="B9665:F9665"/>
    <mergeCell ref="B9666:F9666"/>
    <mergeCell ref="B9667:F9667"/>
    <mergeCell ref="D9669:F9669"/>
    <mergeCell ref="D9670:F9670"/>
    <mergeCell ref="B9675:F9675"/>
    <mergeCell ref="B9677:C9677"/>
    <mergeCell ref="E9677:F9677"/>
    <mergeCell ref="B9678:C9678"/>
    <mergeCell ref="B9679:C9679"/>
    <mergeCell ref="B9680:C9680"/>
    <mergeCell ref="D9685:F9685"/>
    <mergeCell ref="D9686:F9686"/>
    <mergeCell ref="D9687:F9687"/>
    <mergeCell ref="D9688:F9688"/>
    <mergeCell ref="D9689:F9689"/>
    <mergeCell ref="D9691:F9691"/>
    <mergeCell ref="B9693:F9693"/>
    <mergeCell ref="B9697:F9697"/>
    <mergeCell ref="B9698:F9698"/>
    <mergeCell ref="B9699:F9699"/>
    <mergeCell ref="B9700:F9700"/>
    <mergeCell ref="B9708:F9708"/>
    <mergeCell ref="B9710:F9710"/>
    <mergeCell ref="B9711:F9711"/>
    <mergeCell ref="B9712:F9712"/>
    <mergeCell ref="D9714:F9714"/>
    <mergeCell ref="D9715:F9715"/>
    <mergeCell ref="B9720:F9720"/>
    <mergeCell ref="B9722:C9722"/>
    <mergeCell ref="E9722:F9722"/>
    <mergeCell ref="B9723:C9723"/>
    <mergeCell ref="B9724:C9724"/>
    <mergeCell ref="B9725:C9725"/>
    <mergeCell ref="D9730:F9730"/>
    <mergeCell ref="D9731:F9731"/>
    <mergeCell ref="D9732:F9732"/>
    <mergeCell ref="D9733:F9733"/>
    <mergeCell ref="D9734:F9734"/>
    <mergeCell ref="D9736:F9736"/>
    <mergeCell ref="B9738:F9738"/>
    <mergeCell ref="B9742:F9742"/>
    <mergeCell ref="B9743:F9743"/>
    <mergeCell ref="B9744:F9744"/>
    <mergeCell ref="B9745:F9745"/>
    <mergeCell ref="B9753:F9753"/>
    <mergeCell ref="B9755:F9755"/>
    <mergeCell ref="B9756:F9756"/>
    <mergeCell ref="B9757:F9757"/>
    <mergeCell ref="D9759:F9759"/>
    <mergeCell ref="D9760:F9760"/>
    <mergeCell ref="B9765:F9765"/>
    <mergeCell ref="B9767:C9767"/>
    <mergeCell ref="E9767:F9767"/>
    <mergeCell ref="B9768:C9768"/>
    <mergeCell ref="B9769:C9769"/>
    <mergeCell ref="B9770:C9770"/>
    <mergeCell ref="D9775:F9775"/>
    <mergeCell ref="D9776:F9776"/>
    <mergeCell ref="D9777:F9777"/>
    <mergeCell ref="D9778:F9778"/>
    <mergeCell ref="D9779:F9779"/>
    <mergeCell ref="D9781:F9781"/>
    <mergeCell ref="B9783:F9783"/>
    <mergeCell ref="B9787:F9787"/>
    <mergeCell ref="B9788:F9788"/>
    <mergeCell ref="B9789:F9789"/>
    <mergeCell ref="B9790:F9790"/>
    <mergeCell ref="B9798:F9798"/>
    <mergeCell ref="B9800:F9800"/>
    <mergeCell ref="B9801:F9801"/>
    <mergeCell ref="B9802:F9802"/>
    <mergeCell ref="D9804:F9804"/>
    <mergeCell ref="D9805:F9805"/>
    <mergeCell ref="B9810:F9810"/>
    <mergeCell ref="B9812:C9812"/>
    <mergeCell ref="E9812:F9812"/>
    <mergeCell ref="B9813:C9813"/>
    <mergeCell ref="B9814:C9814"/>
    <mergeCell ref="B9815:C9815"/>
    <mergeCell ref="D9820:F9820"/>
    <mergeCell ref="D9821:F9821"/>
    <mergeCell ref="D9822:F9822"/>
    <mergeCell ref="D9823:F9823"/>
    <mergeCell ref="D9824:F9824"/>
    <mergeCell ref="D9826:F9826"/>
    <mergeCell ref="B9828:F9828"/>
    <mergeCell ref="B9832:F9832"/>
    <mergeCell ref="B9833:F9833"/>
    <mergeCell ref="B9834:F9834"/>
    <mergeCell ref="B9835:F9835"/>
    <mergeCell ref="B9843:F9843"/>
    <mergeCell ref="B9845:F9845"/>
    <mergeCell ref="B9846:F9846"/>
    <mergeCell ref="B9847:F9847"/>
    <mergeCell ref="D9849:F9849"/>
    <mergeCell ref="D9850:F9850"/>
    <mergeCell ref="B9855:F9855"/>
    <mergeCell ref="B9857:C9857"/>
    <mergeCell ref="E9857:F9857"/>
    <mergeCell ref="B9858:C9858"/>
    <mergeCell ref="B9859:C9859"/>
    <mergeCell ref="B9860:C9860"/>
    <mergeCell ref="D9865:F9865"/>
    <mergeCell ref="D9866:F9866"/>
    <mergeCell ref="D9867:F9867"/>
    <mergeCell ref="D9868:F9868"/>
    <mergeCell ref="D9869:F9869"/>
    <mergeCell ref="D9871:F9871"/>
    <mergeCell ref="B9873:F9873"/>
    <mergeCell ref="B9877:F9877"/>
    <mergeCell ref="B9878:F9878"/>
    <mergeCell ref="B9879:F9879"/>
    <mergeCell ref="B9880:F9880"/>
    <mergeCell ref="B9888:F9888"/>
    <mergeCell ref="B9890:F9890"/>
    <mergeCell ref="B9891:F9891"/>
    <mergeCell ref="B9892:F9892"/>
    <mergeCell ref="D9894:F9894"/>
    <mergeCell ref="D9895:F9895"/>
    <mergeCell ref="B9900:F9900"/>
    <mergeCell ref="B9902:C9902"/>
    <mergeCell ref="E9902:F9902"/>
    <mergeCell ref="B9903:C9903"/>
    <mergeCell ref="B9904:C9904"/>
    <mergeCell ref="B9905:C9905"/>
    <mergeCell ref="D9910:F9910"/>
    <mergeCell ref="D9911:F9911"/>
    <mergeCell ref="D9912:F9912"/>
    <mergeCell ref="D9913:F9913"/>
    <mergeCell ref="D9914:F9914"/>
    <mergeCell ref="D9916:F9916"/>
    <mergeCell ref="B9918:F9918"/>
    <mergeCell ref="B9922:F9922"/>
    <mergeCell ref="B9923:F9923"/>
    <mergeCell ref="B9924:F9924"/>
    <mergeCell ref="B9925:F9925"/>
    <mergeCell ref="B9933:F9933"/>
    <mergeCell ref="B9935:F9935"/>
    <mergeCell ref="B9936:F9936"/>
    <mergeCell ref="B9937:F9937"/>
    <mergeCell ref="D9939:F9939"/>
    <mergeCell ref="D9940:F9940"/>
    <mergeCell ref="B9945:F9945"/>
    <mergeCell ref="B9947:C9947"/>
    <mergeCell ref="E9947:F9947"/>
    <mergeCell ref="B9948:C9948"/>
    <mergeCell ref="B9949:C9949"/>
    <mergeCell ref="B9950:C9950"/>
    <mergeCell ref="D9955:F9955"/>
    <mergeCell ref="D9956:F9956"/>
    <mergeCell ref="D9957:F9957"/>
    <mergeCell ref="D9958:F9958"/>
    <mergeCell ref="D9959:F9959"/>
    <mergeCell ref="D9961:F9961"/>
    <mergeCell ref="B9963:F9963"/>
    <mergeCell ref="B9967:F9967"/>
    <mergeCell ref="B9968:F9968"/>
    <mergeCell ref="B9969:F9969"/>
    <mergeCell ref="B9970:F9970"/>
    <mergeCell ref="B9978:F9978"/>
    <mergeCell ref="B9980:F9980"/>
    <mergeCell ref="B9981:F9981"/>
    <mergeCell ref="B9982:F9982"/>
    <mergeCell ref="D9984:F9984"/>
    <mergeCell ref="D9985:F9985"/>
    <mergeCell ref="B9990:F9990"/>
    <mergeCell ref="B9992:C9992"/>
    <mergeCell ref="E9992:F9992"/>
    <mergeCell ref="B9993:C9993"/>
    <mergeCell ref="B9994:C9994"/>
    <mergeCell ref="B9995:C9995"/>
    <mergeCell ref="D10000:F10000"/>
    <mergeCell ref="D10001:F10001"/>
    <mergeCell ref="D10002:F10002"/>
    <mergeCell ref="D10003:F10003"/>
    <mergeCell ref="D10004:F10004"/>
    <mergeCell ref="D10006:F10006"/>
    <mergeCell ref="B10008:F10008"/>
    <mergeCell ref="B10012:F10012"/>
    <mergeCell ref="B10013:F10013"/>
    <mergeCell ref="B10014:F10014"/>
    <mergeCell ref="B10015:F10015"/>
    <mergeCell ref="B10023:F10023"/>
    <mergeCell ref="B10025:F10025"/>
    <mergeCell ref="B10026:F10026"/>
    <mergeCell ref="B10027:F10027"/>
    <mergeCell ref="D10029:F10029"/>
    <mergeCell ref="D10030:F10030"/>
    <mergeCell ref="B10035:F10035"/>
    <mergeCell ref="B10037:C10037"/>
    <mergeCell ref="E10037:F10037"/>
    <mergeCell ref="B10038:C10038"/>
    <mergeCell ref="B10039:C10039"/>
    <mergeCell ref="B10040:C10040"/>
    <mergeCell ref="D10045:F10045"/>
    <mergeCell ref="D10046:F10046"/>
    <mergeCell ref="D10047:F10047"/>
    <mergeCell ref="D10048:F10048"/>
    <mergeCell ref="D10049:F10049"/>
    <mergeCell ref="D10051:F10051"/>
    <mergeCell ref="B10053:F10053"/>
    <mergeCell ref="B10057:F10057"/>
    <mergeCell ref="B10058:F10058"/>
    <mergeCell ref="B10059:F10059"/>
    <mergeCell ref="B10060:F10060"/>
    <mergeCell ref="B10068:F10068"/>
    <mergeCell ref="B10070:F10070"/>
    <mergeCell ref="B10071:F10071"/>
    <mergeCell ref="B10072:F10072"/>
    <mergeCell ref="D10074:F10074"/>
    <mergeCell ref="D10075:F10075"/>
    <mergeCell ref="B10080:F10080"/>
    <mergeCell ref="B10082:C10082"/>
    <mergeCell ref="E10082:F10082"/>
    <mergeCell ref="B10083:C10083"/>
    <mergeCell ref="B10084:C10084"/>
    <mergeCell ref="B10085:C10085"/>
    <mergeCell ref="D10090:F10090"/>
    <mergeCell ref="D10091:F10091"/>
    <mergeCell ref="D10092:F10092"/>
    <mergeCell ref="D10093:F10093"/>
    <mergeCell ref="D10094:F10094"/>
    <mergeCell ref="D10096:F10096"/>
    <mergeCell ref="B10098:F10098"/>
    <mergeCell ref="B10102:F10102"/>
    <mergeCell ref="B10103:F10103"/>
    <mergeCell ref="B10104:F10104"/>
    <mergeCell ref="B10105:F10105"/>
    <mergeCell ref="B10113:F10113"/>
    <mergeCell ref="B10115:F10115"/>
    <mergeCell ref="B10116:F10116"/>
    <mergeCell ref="B10117:F10117"/>
    <mergeCell ref="D10119:F10119"/>
    <mergeCell ref="D10120:F10120"/>
    <mergeCell ref="B10125:F10125"/>
    <mergeCell ref="B10127:C10127"/>
    <mergeCell ref="E10127:F10127"/>
    <mergeCell ref="B10128:C10128"/>
    <mergeCell ref="B10129:C10129"/>
    <mergeCell ref="B10130:C10130"/>
    <mergeCell ref="D10135:F10135"/>
    <mergeCell ref="D10136:F10136"/>
    <mergeCell ref="D10137:F10137"/>
    <mergeCell ref="D10138:F10138"/>
    <mergeCell ref="D10139:F10139"/>
    <mergeCell ref="D10141:F10141"/>
    <mergeCell ref="B10143:F10143"/>
    <mergeCell ref="B10147:F10147"/>
    <mergeCell ref="B10148:F10148"/>
    <mergeCell ref="B10149:F10149"/>
    <mergeCell ref="B10150:F10150"/>
    <mergeCell ref="B10158:F10158"/>
    <mergeCell ref="B10160:F10160"/>
    <mergeCell ref="B10161:F10161"/>
    <mergeCell ref="B10162:F10162"/>
    <mergeCell ref="D10164:F10164"/>
    <mergeCell ref="D10165:F10165"/>
    <mergeCell ref="B10170:F10170"/>
    <mergeCell ref="B10172:C10172"/>
    <mergeCell ref="E10172:F10172"/>
    <mergeCell ref="B10173:C10173"/>
    <mergeCell ref="B10174:C10174"/>
    <mergeCell ref="B10175:C10175"/>
    <mergeCell ref="D10180:F10180"/>
    <mergeCell ref="D10181:F10181"/>
    <mergeCell ref="D10182:F10182"/>
    <mergeCell ref="D10183:F10183"/>
    <mergeCell ref="D10184:F10184"/>
    <mergeCell ref="D10186:F10186"/>
    <mergeCell ref="B10188:F10188"/>
    <mergeCell ref="B10192:F10192"/>
    <mergeCell ref="B10193:F10193"/>
    <mergeCell ref="B10194:F10194"/>
    <mergeCell ref="B10195:F10195"/>
    <mergeCell ref="B10203:F10203"/>
    <mergeCell ref="B10205:F10205"/>
    <mergeCell ref="B10206:F10206"/>
    <mergeCell ref="B10207:F10207"/>
    <mergeCell ref="D10209:F10209"/>
    <mergeCell ref="D10210:F10210"/>
    <mergeCell ref="B10215:F10215"/>
    <mergeCell ref="B10217:C10217"/>
    <mergeCell ref="E10217:F10217"/>
    <mergeCell ref="B10218:C10218"/>
    <mergeCell ref="B10219:C10219"/>
    <mergeCell ref="B10220:C10220"/>
    <mergeCell ref="D10225:F10225"/>
    <mergeCell ref="D10226:F10226"/>
    <mergeCell ref="D10227:F10227"/>
    <mergeCell ref="D10228:F10228"/>
    <mergeCell ref="D10229:F10229"/>
    <mergeCell ref="D10231:F10231"/>
    <mergeCell ref="B10233:F10233"/>
    <mergeCell ref="B10237:F10237"/>
    <mergeCell ref="B10238:F10238"/>
    <mergeCell ref="B10239:F10239"/>
    <mergeCell ref="B10240:F10240"/>
    <mergeCell ref="B10248:F10248"/>
    <mergeCell ref="B10250:F10250"/>
    <mergeCell ref="B10251:F10251"/>
    <mergeCell ref="B10252:F10252"/>
    <mergeCell ref="D10254:F10254"/>
    <mergeCell ref="D10255:F10255"/>
    <mergeCell ref="B10260:F10260"/>
    <mergeCell ref="B10262:C10262"/>
    <mergeCell ref="E10262:F10262"/>
    <mergeCell ref="B10263:C10263"/>
    <mergeCell ref="B10264:C10264"/>
    <mergeCell ref="B10265:C10265"/>
    <mergeCell ref="D10270:F10270"/>
    <mergeCell ref="D10271:F10271"/>
    <mergeCell ref="D10272:F10272"/>
    <mergeCell ref="D10273:F10273"/>
    <mergeCell ref="D10274:F10274"/>
    <mergeCell ref="D10276:F10276"/>
    <mergeCell ref="B10278:F10278"/>
    <mergeCell ref="B10282:F10282"/>
    <mergeCell ref="B10283:F10283"/>
    <mergeCell ref="B10284:F10284"/>
    <mergeCell ref="B10285:F10285"/>
    <mergeCell ref="B10293:F10293"/>
    <mergeCell ref="B10295:F10295"/>
    <mergeCell ref="B10296:F10296"/>
    <mergeCell ref="B10297:F10297"/>
    <mergeCell ref="D10299:F10299"/>
    <mergeCell ref="D10300:F10300"/>
    <mergeCell ref="B10305:F10305"/>
    <mergeCell ref="B10307:C10307"/>
    <mergeCell ref="E10307:F10307"/>
    <mergeCell ref="B10308:C10308"/>
    <mergeCell ref="B10309:C10309"/>
    <mergeCell ref="B10310:C10310"/>
    <mergeCell ref="D10315:F10315"/>
    <mergeCell ref="D10316:F10316"/>
    <mergeCell ref="D10317:F10317"/>
    <mergeCell ref="D10318:F10318"/>
    <mergeCell ref="D10319:F10319"/>
    <mergeCell ref="D10321:F10321"/>
    <mergeCell ref="B10323:F10323"/>
    <mergeCell ref="B10327:F10327"/>
    <mergeCell ref="B10328:F10328"/>
    <mergeCell ref="B10329:F10329"/>
    <mergeCell ref="B10330:F10330"/>
    <mergeCell ref="B10338:F10338"/>
    <mergeCell ref="B10340:F10340"/>
    <mergeCell ref="B10341:F10341"/>
    <mergeCell ref="B10342:F10342"/>
    <mergeCell ref="D10344:F10344"/>
    <mergeCell ref="D10345:F10345"/>
    <mergeCell ref="B10350:F10350"/>
    <mergeCell ref="B10352:C10352"/>
    <mergeCell ref="E10352:F10352"/>
    <mergeCell ref="B10353:C10353"/>
    <mergeCell ref="B10354:C10354"/>
    <mergeCell ref="B10355:C10355"/>
    <mergeCell ref="D10360:F10360"/>
    <mergeCell ref="D10361:F10361"/>
    <mergeCell ref="D10362:F10362"/>
    <mergeCell ref="D10363:F10363"/>
    <mergeCell ref="D10364:F10364"/>
    <mergeCell ref="D10366:F10366"/>
    <mergeCell ref="B10368:F10368"/>
    <mergeCell ref="B10372:F10372"/>
    <mergeCell ref="B10373:F10373"/>
    <mergeCell ref="B10374:F10374"/>
    <mergeCell ref="B10375:F10375"/>
    <mergeCell ref="B10383:F10383"/>
    <mergeCell ref="B10385:F10385"/>
    <mergeCell ref="B10386:F10386"/>
    <mergeCell ref="B10387:F10387"/>
    <mergeCell ref="D10389:F10389"/>
    <mergeCell ref="D10390:F10390"/>
    <mergeCell ref="B10395:F10395"/>
    <mergeCell ref="B10397:C10397"/>
    <mergeCell ref="E10397:F10397"/>
    <mergeCell ref="B10398:C10398"/>
    <mergeCell ref="B10399:C10399"/>
    <mergeCell ref="B10400:C10400"/>
    <mergeCell ref="D10405:F10405"/>
    <mergeCell ref="D10406:F10406"/>
    <mergeCell ref="D10407:F10407"/>
    <mergeCell ref="D10408:F10408"/>
    <mergeCell ref="D10409:F10409"/>
    <mergeCell ref="D10411:F10411"/>
    <mergeCell ref="B10413:F10413"/>
    <mergeCell ref="B10417:F10417"/>
    <mergeCell ref="B10418:F10418"/>
    <mergeCell ref="B10419:F10419"/>
    <mergeCell ref="B10420:F10420"/>
    <mergeCell ref="B10428:F10428"/>
    <mergeCell ref="B10430:F10430"/>
    <mergeCell ref="B10431:F10431"/>
    <mergeCell ref="B10432:F10432"/>
    <mergeCell ref="D10434:F10434"/>
    <mergeCell ref="D10435:F10435"/>
    <mergeCell ref="B10440:F10440"/>
    <mergeCell ref="B10442:C10442"/>
    <mergeCell ref="E10442:F10442"/>
    <mergeCell ref="B10443:C10443"/>
    <mergeCell ref="B10444:C10444"/>
    <mergeCell ref="B10445:C10445"/>
    <mergeCell ref="D10450:F10450"/>
    <mergeCell ref="D10451:F10451"/>
    <mergeCell ref="D10452:F10452"/>
    <mergeCell ref="D10453:F10453"/>
    <mergeCell ref="D10454:F10454"/>
    <mergeCell ref="D10456:F10456"/>
    <mergeCell ref="B10458:F10458"/>
    <mergeCell ref="B10462:F10462"/>
    <mergeCell ref="B10463:F10463"/>
    <mergeCell ref="B10464:F10464"/>
    <mergeCell ref="B10465:F10465"/>
    <mergeCell ref="B10473:F10473"/>
    <mergeCell ref="B10475:F10475"/>
    <mergeCell ref="B10476:F10476"/>
    <mergeCell ref="B10477:F10477"/>
    <mergeCell ref="D10479:F10479"/>
    <mergeCell ref="D10480:F10480"/>
    <mergeCell ref="B10485:F10485"/>
    <mergeCell ref="B10487:C10487"/>
    <mergeCell ref="E10487:F10487"/>
    <mergeCell ref="B10488:C10488"/>
    <mergeCell ref="B10489:C10489"/>
    <mergeCell ref="B10490:C10490"/>
    <mergeCell ref="D10495:F10495"/>
    <mergeCell ref="D10496:F10496"/>
    <mergeCell ref="D10497:F10497"/>
    <mergeCell ref="D10498:F10498"/>
    <mergeCell ref="D10499:F10499"/>
    <mergeCell ref="D10501:F10501"/>
    <mergeCell ref="B10503:F10503"/>
    <mergeCell ref="B10507:F10507"/>
    <mergeCell ref="B10508:F10508"/>
    <mergeCell ref="B10509:F10509"/>
    <mergeCell ref="B10510:F10510"/>
    <mergeCell ref="B10518:F10518"/>
    <mergeCell ref="B10520:F10520"/>
    <mergeCell ref="B10521:F10521"/>
    <mergeCell ref="B10522:F10522"/>
    <mergeCell ref="D10524:F10524"/>
    <mergeCell ref="D10525:F10525"/>
    <mergeCell ref="B10530:F10530"/>
    <mergeCell ref="B10532:C10532"/>
    <mergeCell ref="E10532:F10532"/>
    <mergeCell ref="B10533:C10533"/>
    <mergeCell ref="B10534:C10534"/>
    <mergeCell ref="B10535:C10535"/>
    <mergeCell ref="D10540:F10540"/>
    <mergeCell ref="D10541:F10541"/>
    <mergeCell ref="D10542:F10542"/>
    <mergeCell ref="D10543:F10543"/>
    <mergeCell ref="D10544:F10544"/>
    <mergeCell ref="D10546:F10546"/>
    <mergeCell ref="B10548:F10548"/>
    <mergeCell ref="B10552:F10552"/>
    <mergeCell ref="B10553:F10553"/>
    <mergeCell ref="B10554:F10554"/>
    <mergeCell ref="B10555:F10555"/>
    <mergeCell ref="B10563:F10563"/>
    <mergeCell ref="B10565:F10565"/>
    <mergeCell ref="B10566:F10566"/>
    <mergeCell ref="B10567:F10567"/>
    <mergeCell ref="D10569:F10569"/>
    <mergeCell ref="D10570:F10570"/>
    <mergeCell ref="B10575:F10575"/>
    <mergeCell ref="B10577:C10577"/>
    <mergeCell ref="E10577:F10577"/>
    <mergeCell ref="B10578:C10578"/>
    <mergeCell ref="B10579:C10579"/>
    <mergeCell ref="B10580:C10580"/>
    <mergeCell ref="D10585:F10585"/>
    <mergeCell ref="D10586:F10586"/>
    <mergeCell ref="D10587:F10587"/>
    <mergeCell ref="D10588:F10588"/>
    <mergeCell ref="D10589:F10589"/>
    <mergeCell ref="D10591:F10591"/>
    <mergeCell ref="B10593:F10593"/>
    <mergeCell ref="B10597:F10597"/>
    <mergeCell ref="B10598:F10598"/>
    <mergeCell ref="B10599:F10599"/>
    <mergeCell ref="B10600:F10600"/>
    <mergeCell ref="B10608:F10608"/>
    <mergeCell ref="B10610:F10610"/>
    <mergeCell ref="B10611:F10611"/>
    <mergeCell ref="B10612:F10612"/>
    <mergeCell ref="D10614:F10614"/>
    <mergeCell ref="D10615:F10615"/>
    <mergeCell ref="B10620:F10620"/>
    <mergeCell ref="B10622:C10622"/>
    <mergeCell ref="E10622:F10622"/>
    <mergeCell ref="B10623:C10623"/>
    <mergeCell ref="B10624:C10624"/>
    <mergeCell ref="B10625:C10625"/>
    <mergeCell ref="D10630:F10630"/>
    <mergeCell ref="D10631:F10631"/>
    <mergeCell ref="D10632:F10632"/>
    <mergeCell ref="D10633:F10633"/>
    <mergeCell ref="D10634:F10634"/>
    <mergeCell ref="D10636:F10636"/>
    <mergeCell ref="B10638:F10638"/>
    <mergeCell ref="B10642:F10642"/>
    <mergeCell ref="B10643:F10643"/>
    <mergeCell ref="B10644:F10644"/>
    <mergeCell ref="B10645:F10645"/>
    <mergeCell ref="B10653:F10653"/>
    <mergeCell ref="B10655:F10655"/>
    <mergeCell ref="B10656:F10656"/>
    <mergeCell ref="B10657:F10657"/>
    <mergeCell ref="D10659:F10659"/>
    <mergeCell ref="D10660:F10660"/>
    <mergeCell ref="B10665:F10665"/>
    <mergeCell ref="B10667:C10667"/>
    <mergeCell ref="E10667:F10667"/>
    <mergeCell ref="B10668:C10668"/>
    <mergeCell ref="B10669:C10669"/>
    <mergeCell ref="B10670:C10670"/>
    <mergeCell ref="D10675:F10675"/>
    <mergeCell ref="D10676:F10676"/>
    <mergeCell ref="D10677:F10677"/>
    <mergeCell ref="D10678:F10678"/>
    <mergeCell ref="D10679:F10679"/>
    <mergeCell ref="D10681:F10681"/>
    <mergeCell ref="B10683:F10683"/>
    <mergeCell ref="B10687:F10687"/>
    <mergeCell ref="B10688:F10688"/>
    <mergeCell ref="B10689:F10689"/>
    <mergeCell ref="B10690:F10690"/>
    <mergeCell ref="B10698:F10698"/>
    <mergeCell ref="B10700:F10700"/>
    <mergeCell ref="B10701:F10701"/>
    <mergeCell ref="B10702:F10702"/>
    <mergeCell ref="D10704:F10704"/>
    <mergeCell ref="D10705:F10705"/>
    <mergeCell ref="B10710:F10710"/>
    <mergeCell ref="B10712:C10712"/>
    <mergeCell ref="E10712:F10712"/>
    <mergeCell ref="B10713:C10713"/>
    <mergeCell ref="B10714:C10714"/>
    <mergeCell ref="B10715:C10715"/>
    <mergeCell ref="D10720:F10720"/>
    <mergeCell ref="D10721:F10721"/>
    <mergeCell ref="D10722:F10722"/>
    <mergeCell ref="D10723:F10723"/>
    <mergeCell ref="D10724:F10724"/>
    <mergeCell ref="D10726:F10726"/>
    <mergeCell ref="B10728:F10728"/>
    <mergeCell ref="B10732:F10732"/>
    <mergeCell ref="B10733:F10733"/>
    <mergeCell ref="B10734:F10734"/>
    <mergeCell ref="B10735:F10735"/>
    <mergeCell ref="B10743:F10743"/>
    <mergeCell ref="B10745:F10745"/>
    <mergeCell ref="B10746:F10746"/>
    <mergeCell ref="B10747:F10747"/>
    <mergeCell ref="D10749:F10749"/>
    <mergeCell ref="D10750:F10750"/>
    <mergeCell ref="B10755:F10755"/>
    <mergeCell ref="B10757:C10757"/>
    <mergeCell ref="E10757:F10757"/>
    <mergeCell ref="B10758:C10758"/>
    <mergeCell ref="B10759:C10759"/>
    <mergeCell ref="B10760:C10760"/>
    <mergeCell ref="D10765:F10765"/>
    <mergeCell ref="D10766:F10766"/>
    <mergeCell ref="D10767:F10767"/>
    <mergeCell ref="D10768:F10768"/>
    <mergeCell ref="D10769:F10769"/>
    <mergeCell ref="D10771:F10771"/>
    <mergeCell ref="B10773:F10773"/>
    <mergeCell ref="B10777:F10777"/>
    <mergeCell ref="B10778:F10778"/>
    <mergeCell ref="B10779:F10779"/>
    <mergeCell ref="B10780:F10780"/>
    <mergeCell ref="B10788:F10788"/>
    <mergeCell ref="B10790:F10790"/>
    <mergeCell ref="B10791:F10791"/>
    <mergeCell ref="B10792:F10792"/>
    <mergeCell ref="D10794:F10794"/>
    <mergeCell ref="D10795:F10795"/>
    <mergeCell ref="B10800:F10800"/>
    <mergeCell ref="B10802:C10802"/>
    <mergeCell ref="E10802:F10802"/>
    <mergeCell ref="B10803:C10803"/>
    <mergeCell ref="B10804:C10804"/>
    <mergeCell ref="B10805:C10805"/>
    <mergeCell ref="D10810:F10810"/>
    <mergeCell ref="D10811:F10811"/>
    <mergeCell ref="D10812:F10812"/>
    <mergeCell ref="D10813:F10813"/>
    <mergeCell ref="D10814:F10814"/>
    <mergeCell ref="D10816:F10816"/>
    <mergeCell ref="B10818:F10818"/>
    <mergeCell ref="B10822:F10822"/>
    <mergeCell ref="B10823:F10823"/>
    <mergeCell ref="B10824:F10824"/>
    <mergeCell ref="B10825:F10825"/>
    <mergeCell ref="B10833:F10833"/>
    <mergeCell ref="B10835:F10835"/>
    <mergeCell ref="B10836:F10836"/>
    <mergeCell ref="B10837:F10837"/>
    <mergeCell ref="D10839:F10839"/>
    <mergeCell ref="D10840:F10840"/>
    <mergeCell ref="B10845:F10845"/>
    <mergeCell ref="B10847:C10847"/>
    <mergeCell ref="E10847:F10847"/>
    <mergeCell ref="B10848:C10848"/>
    <mergeCell ref="B10849:C10849"/>
    <mergeCell ref="B10850:C10850"/>
    <mergeCell ref="D10855:F10855"/>
    <mergeCell ref="D10856:F10856"/>
    <mergeCell ref="D10857:F10857"/>
    <mergeCell ref="D10858:F10858"/>
    <mergeCell ref="D10859:F10859"/>
    <mergeCell ref="D10861:F10861"/>
    <mergeCell ref="B10863:F10863"/>
    <mergeCell ref="B10867:F10867"/>
    <mergeCell ref="B10868:F10868"/>
    <mergeCell ref="B10869:F10869"/>
    <mergeCell ref="B10870:F10870"/>
    <mergeCell ref="B10878:F10878"/>
    <mergeCell ref="B10880:F10880"/>
    <mergeCell ref="B10881:F10881"/>
    <mergeCell ref="B10882:F10882"/>
    <mergeCell ref="D10884:F10884"/>
    <mergeCell ref="D10885:F10885"/>
    <mergeCell ref="B10890:F10890"/>
    <mergeCell ref="B10892:C10892"/>
    <mergeCell ref="E10892:F10892"/>
    <mergeCell ref="B10893:C10893"/>
    <mergeCell ref="B10894:C10894"/>
    <mergeCell ref="B10895:C10895"/>
    <mergeCell ref="D10900:F10900"/>
    <mergeCell ref="D10901:F10901"/>
    <mergeCell ref="D10902:F10902"/>
    <mergeCell ref="D10903:F10903"/>
    <mergeCell ref="D10904:F10904"/>
    <mergeCell ref="D10906:F10906"/>
    <mergeCell ref="B10908:F10908"/>
    <mergeCell ref="B10912:F10912"/>
    <mergeCell ref="B10913:F10913"/>
    <mergeCell ref="B10914:F10914"/>
    <mergeCell ref="B10915:F10915"/>
    <mergeCell ref="B10923:F10923"/>
    <mergeCell ref="B10925:F10925"/>
    <mergeCell ref="B10926:F10926"/>
    <mergeCell ref="B10927:F10927"/>
    <mergeCell ref="D10929:F10929"/>
    <mergeCell ref="D10930:F10930"/>
    <mergeCell ref="B10935:F10935"/>
    <mergeCell ref="B10937:C10937"/>
    <mergeCell ref="E10937:F10937"/>
    <mergeCell ref="B10938:C10938"/>
    <mergeCell ref="B10939:C10939"/>
    <mergeCell ref="B10940:C10940"/>
    <mergeCell ref="D10945:F10945"/>
    <mergeCell ref="D10946:F10946"/>
    <mergeCell ref="D10947:F10947"/>
    <mergeCell ref="D10948:F10948"/>
    <mergeCell ref="D10949:F10949"/>
    <mergeCell ref="D10951:F10951"/>
    <mergeCell ref="B10953:F10953"/>
    <mergeCell ref="B10957:F10957"/>
    <mergeCell ref="B10958:F10958"/>
    <mergeCell ref="B10959:F10959"/>
    <mergeCell ref="B10960:F10960"/>
    <mergeCell ref="B10968:F10968"/>
    <mergeCell ref="B10970:F10970"/>
    <mergeCell ref="B10971:F10971"/>
    <mergeCell ref="B10972:F10972"/>
    <mergeCell ref="D10974:F10974"/>
    <mergeCell ref="D10975:F10975"/>
    <mergeCell ref="B10980:F10980"/>
    <mergeCell ref="B10982:C10982"/>
    <mergeCell ref="E10982:F10982"/>
    <mergeCell ref="B10983:C10983"/>
    <mergeCell ref="B10984:C10984"/>
    <mergeCell ref="B10985:C10985"/>
    <mergeCell ref="D10990:F10990"/>
    <mergeCell ref="D10991:F10991"/>
    <mergeCell ref="D10992:F10992"/>
    <mergeCell ref="D10993:F10993"/>
    <mergeCell ref="D10994:F10994"/>
    <mergeCell ref="D10996:F10996"/>
    <mergeCell ref="B10998:F10998"/>
    <mergeCell ref="B11002:F11002"/>
    <mergeCell ref="B11003:F11003"/>
    <mergeCell ref="B11004:F11004"/>
    <mergeCell ref="B11005:F11005"/>
    <mergeCell ref="B11013:F11013"/>
    <mergeCell ref="B11015:F11015"/>
    <mergeCell ref="B11016:F11016"/>
    <mergeCell ref="B11017:F11017"/>
    <mergeCell ref="D11019:F11019"/>
    <mergeCell ref="D11020:F11020"/>
    <mergeCell ref="B11025:F11025"/>
    <mergeCell ref="B11027:C11027"/>
    <mergeCell ref="E11027:F11027"/>
    <mergeCell ref="B11028:C11028"/>
    <mergeCell ref="B11029:C11029"/>
    <mergeCell ref="B11030:C11030"/>
    <mergeCell ref="D11035:F11035"/>
    <mergeCell ref="D11036:F11036"/>
    <mergeCell ref="D11037:F11037"/>
    <mergeCell ref="D11038:F11038"/>
    <mergeCell ref="D11039:F11039"/>
    <mergeCell ref="D11041:F11041"/>
    <mergeCell ref="B11043:F11043"/>
    <mergeCell ref="B11047:F11047"/>
    <mergeCell ref="B11048:F11048"/>
    <mergeCell ref="B11049:F11049"/>
    <mergeCell ref="B11050:F11050"/>
    <mergeCell ref="B11058:F11058"/>
    <mergeCell ref="B11060:F11060"/>
    <mergeCell ref="B11061:F11061"/>
    <mergeCell ref="B11062:F11062"/>
    <mergeCell ref="D11064:F11064"/>
    <mergeCell ref="D11065:F11065"/>
    <mergeCell ref="B11070:F11070"/>
    <mergeCell ref="B11072:C11072"/>
    <mergeCell ref="E11072:F11072"/>
    <mergeCell ref="B11073:C11073"/>
    <mergeCell ref="B11074:C11074"/>
    <mergeCell ref="B11075:C11075"/>
    <mergeCell ref="D11080:F11080"/>
    <mergeCell ref="D11081:F11081"/>
    <mergeCell ref="D11082:F11082"/>
    <mergeCell ref="D11083:F11083"/>
    <mergeCell ref="D11084:F11084"/>
    <mergeCell ref="D11086:F11086"/>
    <mergeCell ref="B11088:F11088"/>
    <mergeCell ref="B11092:F11092"/>
    <mergeCell ref="B11093:F11093"/>
    <mergeCell ref="B11094:F11094"/>
    <mergeCell ref="B11095:F11095"/>
    <mergeCell ref="B11103:F11103"/>
    <mergeCell ref="B11105:F11105"/>
    <mergeCell ref="B11106:F11106"/>
    <mergeCell ref="B11107:F11107"/>
    <mergeCell ref="D11109:F11109"/>
    <mergeCell ref="D11110:F11110"/>
    <mergeCell ref="B11115:F11115"/>
    <mergeCell ref="B11117:C11117"/>
    <mergeCell ref="E11117:F11117"/>
    <mergeCell ref="B11118:C11118"/>
    <mergeCell ref="B11119:C11119"/>
    <mergeCell ref="B11120:C11120"/>
    <mergeCell ref="D11125:F11125"/>
    <mergeCell ref="D11126:F11126"/>
    <mergeCell ref="D11127:F11127"/>
    <mergeCell ref="D11128:F11128"/>
    <mergeCell ref="D11129:F11129"/>
    <mergeCell ref="D11131:F11131"/>
    <mergeCell ref="B11133:F11133"/>
    <mergeCell ref="B11137:F11137"/>
    <mergeCell ref="B11138:F11138"/>
    <mergeCell ref="B11139:F11139"/>
    <mergeCell ref="B11140:F11140"/>
    <mergeCell ref="B11148:F11148"/>
    <mergeCell ref="B11150:F11150"/>
    <mergeCell ref="B11151:F11151"/>
    <mergeCell ref="B11152:F11152"/>
    <mergeCell ref="D11154:F11154"/>
    <mergeCell ref="D11155:F11155"/>
    <mergeCell ref="B11160:F11160"/>
    <mergeCell ref="B11162:C11162"/>
    <mergeCell ref="E11162:F11162"/>
    <mergeCell ref="B11163:C11163"/>
    <mergeCell ref="B11164:C11164"/>
    <mergeCell ref="B11165:C11165"/>
    <mergeCell ref="D11170:F11170"/>
    <mergeCell ref="D11171:F11171"/>
    <mergeCell ref="D11172:F11172"/>
    <mergeCell ref="D11173:F11173"/>
    <mergeCell ref="D11174:F11174"/>
    <mergeCell ref="D11176:F11176"/>
    <mergeCell ref="B11178:F11178"/>
    <mergeCell ref="B11182:F11182"/>
    <mergeCell ref="B11183:F11183"/>
    <mergeCell ref="B11184:F11184"/>
    <mergeCell ref="B11185:F11185"/>
    <mergeCell ref="B11193:F11193"/>
    <mergeCell ref="B11195:F11195"/>
    <mergeCell ref="B11196:F11196"/>
    <mergeCell ref="B11197:F11197"/>
    <mergeCell ref="D11199:F11199"/>
    <mergeCell ref="D11200:F11200"/>
    <mergeCell ref="B11205:F11205"/>
    <mergeCell ref="B11207:C11207"/>
    <mergeCell ref="E11207:F11207"/>
    <mergeCell ref="B11208:C11208"/>
    <mergeCell ref="B11209:C11209"/>
    <mergeCell ref="B11210:C11210"/>
    <mergeCell ref="D11215:F11215"/>
    <mergeCell ref="D11216:F11216"/>
    <mergeCell ref="D11217:F11217"/>
    <mergeCell ref="D11218:F11218"/>
    <mergeCell ref="D11219:F11219"/>
    <mergeCell ref="D11221:F11221"/>
    <mergeCell ref="B11223:F11223"/>
    <mergeCell ref="B11227:F11227"/>
    <mergeCell ref="B11228:F11228"/>
    <mergeCell ref="B11229:F11229"/>
    <mergeCell ref="B11230:F11230"/>
    <mergeCell ref="B11238:F11238"/>
    <mergeCell ref="B11240:F11240"/>
    <mergeCell ref="B11241:F11241"/>
    <mergeCell ref="B11242:F11242"/>
    <mergeCell ref="D11244:F11244"/>
    <mergeCell ref="D11245:F11245"/>
    <mergeCell ref="B11250:F11250"/>
    <mergeCell ref="B11252:C11252"/>
    <mergeCell ref="E11252:F11252"/>
    <mergeCell ref="B11253:C11253"/>
    <mergeCell ref="B11254:C11254"/>
    <mergeCell ref="B11255:C11255"/>
    <mergeCell ref="D11260:F11260"/>
    <mergeCell ref="D11261:F11261"/>
    <mergeCell ref="D11262:F11262"/>
    <mergeCell ref="D11263:F11263"/>
    <mergeCell ref="D11264:F11264"/>
    <mergeCell ref="D11266:F11266"/>
    <mergeCell ref="B11268:F11268"/>
    <mergeCell ref="B11272:F11272"/>
    <mergeCell ref="B11273:F11273"/>
    <mergeCell ref="B11274:F11274"/>
    <mergeCell ref="B11275:F11275"/>
    <mergeCell ref="B11283:F11283"/>
    <mergeCell ref="B11285:F11285"/>
    <mergeCell ref="B11286:F11286"/>
    <mergeCell ref="B11287:F11287"/>
    <mergeCell ref="D11289:F11289"/>
    <mergeCell ref="D11290:F11290"/>
    <mergeCell ref="B11295:F11295"/>
    <mergeCell ref="B11297:C11297"/>
    <mergeCell ref="E11297:F11297"/>
    <mergeCell ref="B11298:C11298"/>
    <mergeCell ref="B11299:C11299"/>
    <mergeCell ref="B11300:C11300"/>
    <mergeCell ref="D11305:F11305"/>
    <mergeCell ref="D11306:F11306"/>
    <mergeCell ref="D11307:F11307"/>
    <mergeCell ref="D11308:F11308"/>
    <mergeCell ref="D11309:F11309"/>
    <mergeCell ref="D11311:F11311"/>
    <mergeCell ref="B11313:F11313"/>
    <mergeCell ref="B11317:F11317"/>
    <mergeCell ref="B11318:F11318"/>
    <mergeCell ref="B11319:F11319"/>
    <mergeCell ref="B11320:F11320"/>
    <mergeCell ref="B11328:F11328"/>
    <mergeCell ref="B11330:F11330"/>
    <mergeCell ref="B11331:F11331"/>
    <mergeCell ref="B11332:F11332"/>
    <mergeCell ref="D11334:F11334"/>
    <mergeCell ref="D11335:F11335"/>
    <mergeCell ref="B11340:F11340"/>
    <mergeCell ref="B11342:C11342"/>
    <mergeCell ref="E11342:F11342"/>
    <mergeCell ref="B11343:C11343"/>
    <mergeCell ref="B11344:C11344"/>
    <mergeCell ref="B11345:C11345"/>
    <mergeCell ref="D11350:F11350"/>
    <mergeCell ref="D11351:F11351"/>
    <mergeCell ref="D11352:F11352"/>
    <mergeCell ref="D11353:F11353"/>
    <mergeCell ref="D11354:F11354"/>
    <mergeCell ref="D11356:F11356"/>
    <mergeCell ref="B11358:F11358"/>
    <mergeCell ref="B11362:F11362"/>
    <mergeCell ref="B11363:F11363"/>
    <mergeCell ref="B11364:F11364"/>
    <mergeCell ref="B11365:F11365"/>
    <mergeCell ref="B11373:F11373"/>
    <mergeCell ref="B11375:F11375"/>
    <mergeCell ref="B11376:F11376"/>
    <mergeCell ref="B11377:F11377"/>
    <mergeCell ref="D11379:F11379"/>
    <mergeCell ref="D11380:F11380"/>
    <mergeCell ref="B11385:F11385"/>
    <mergeCell ref="B11387:C11387"/>
    <mergeCell ref="E11387:F11387"/>
    <mergeCell ref="B11388:C11388"/>
    <mergeCell ref="B11389:C11389"/>
    <mergeCell ref="B11390:C11390"/>
    <mergeCell ref="D11395:F11395"/>
    <mergeCell ref="D11396:F11396"/>
    <mergeCell ref="D11397:F11397"/>
    <mergeCell ref="D11398:F11398"/>
    <mergeCell ref="D11399:F11399"/>
    <mergeCell ref="D11401:F11401"/>
    <mergeCell ref="B11403:F11403"/>
    <mergeCell ref="B11407:F11407"/>
    <mergeCell ref="B11408:F11408"/>
    <mergeCell ref="B11409:F11409"/>
    <mergeCell ref="B11410:F11410"/>
    <mergeCell ref="B11418:F11418"/>
    <mergeCell ref="B11420:F11420"/>
    <mergeCell ref="B11421:F11421"/>
    <mergeCell ref="B11422:F11422"/>
    <mergeCell ref="D11424:F11424"/>
    <mergeCell ref="D11425:F11425"/>
    <mergeCell ref="B11430:F11430"/>
    <mergeCell ref="B11432:C11432"/>
    <mergeCell ref="E11432:F11432"/>
    <mergeCell ref="B11433:C11433"/>
    <mergeCell ref="B11434:C11434"/>
    <mergeCell ref="B11435:C11435"/>
    <mergeCell ref="D11440:F11440"/>
    <mergeCell ref="D11441:F11441"/>
    <mergeCell ref="D11442:F11442"/>
    <mergeCell ref="D11443:F11443"/>
    <mergeCell ref="D11444:F11444"/>
    <mergeCell ref="D11446:F11446"/>
    <mergeCell ref="B11448:F11448"/>
    <mergeCell ref="B11452:F11452"/>
    <mergeCell ref="B11453:F11453"/>
    <mergeCell ref="B11454:F11454"/>
    <mergeCell ref="B11455:F11455"/>
    <mergeCell ref="B11463:F11463"/>
    <mergeCell ref="B11465:F11465"/>
    <mergeCell ref="B11466:F11466"/>
    <mergeCell ref="B11467:F11467"/>
    <mergeCell ref="D11469:F11469"/>
    <mergeCell ref="D11470:F11470"/>
    <mergeCell ref="B11475:F11475"/>
    <mergeCell ref="B11477:C11477"/>
    <mergeCell ref="E11477:F11477"/>
    <mergeCell ref="B11478:C11478"/>
    <mergeCell ref="B11479:C11479"/>
    <mergeCell ref="B11480:C11480"/>
    <mergeCell ref="D11485:F11485"/>
    <mergeCell ref="D11486:F11486"/>
    <mergeCell ref="D11487:F11487"/>
    <mergeCell ref="D11488:F11488"/>
    <mergeCell ref="D11489:F11489"/>
    <mergeCell ref="D11491:F11491"/>
    <mergeCell ref="B11493:F11493"/>
    <mergeCell ref="B11497:F11497"/>
    <mergeCell ref="B11498:F11498"/>
    <mergeCell ref="B11499:F11499"/>
    <mergeCell ref="B11500:F11500"/>
    <mergeCell ref="B11508:F11508"/>
    <mergeCell ref="B11510:F11510"/>
    <mergeCell ref="B11511:F11511"/>
    <mergeCell ref="B11512:F11512"/>
    <mergeCell ref="D11514:F11514"/>
    <mergeCell ref="D11515:F11515"/>
    <mergeCell ref="B11520:F11520"/>
    <mergeCell ref="B11522:C11522"/>
    <mergeCell ref="E11522:F11522"/>
    <mergeCell ref="B11523:C11523"/>
    <mergeCell ref="B11524:C11524"/>
    <mergeCell ref="B11525:C11525"/>
    <mergeCell ref="D11530:F11530"/>
    <mergeCell ref="D11531:F11531"/>
    <mergeCell ref="D11532:F11532"/>
    <mergeCell ref="D11533:F11533"/>
    <mergeCell ref="D11534:F11534"/>
    <mergeCell ref="D11536:F11536"/>
    <mergeCell ref="B11538:F11538"/>
    <mergeCell ref="B11542:F11542"/>
    <mergeCell ref="B11543:F11543"/>
    <mergeCell ref="B11544:F11544"/>
    <mergeCell ref="B11545:F11545"/>
    <mergeCell ref="B11553:F11553"/>
    <mergeCell ref="B11555:F11555"/>
    <mergeCell ref="B11556:F11556"/>
    <mergeCell ref="B11557:F11557"/>
    <mergeCell ref="D11559:F11559"/>
    <mergeCell ref="D11560:F11560"/>
    <mergeCell ref="B11565:F11565"/>
    <mergeCell ref="B11567:C11567"/>
    <mergeCell ref="E11567:F11567"/>
    <mergeCell ref="B11568:C11568"/>
    <mergeCell ref="B11569:C11569"/>
    <mergeCell ref="B11570:C11570"/>
    <mergeCell ref="D11575:F11575"/>
    <mergeCell ref="D11576:F11576"/>
    <mergeCell ref="D11577:F11577"/>
    <mergeCell ref="D11578:F11578"/>
    <mergeCell ref="D11579:F11579"/>
    <mergeCell ref="D11581:F11581"/>
    <mergeCell ref="B11583:F11583"/>
    <mergeCell ref="B11587:F11587"/>
    <mergeCell ref="B11588:F11588"/>
    <mergeCell ref="B11589:F11589"/>
    <mergeCell ref="B11590:F11590"/>
    <mergeCell ref="B11598:F11598"/>
    <mergeCell ref="B11600:F11600"/>
    <mergeCell ref="B11601:F11601"/>
    <mergeCell ref="B11602:F11602"/>
    <mergeCell ref="D11604:F11604"/>
    <mergeCell ref="D11605:F11605"/>
    <mergeCell ref="B11610:F11610"/>
    <mergeCell ref="B11612:C11612"/>
    <mergeCell ref="E11612:F11612"/>
    <mergeCell ref="B11613:C11613"/>
    <mergeCell ref="B11614:C11614"/>
    <mergeCell ref="B11615:C11615"/>
    <mergeCell ref="D11620:F11620"/>
    <mergeCell ref="D11621:F11621"/>
    <mergeCell ref="D11622:F11622"/>
    <mergeCell ref="D11623:F11623"/>
    <mergeCell ref="D11624:F11624"/>
    <mergeCell ref="D11626:F11626"/>
    <mergeCell ref="B11628:F11628"/>
    <mergeCell ref="B11632:F11632"/>
    <mergeCell ref="B11633:F11633"/>
    <mergeCell ref="B11634:F11634"/>
    <mergeCell ref="B11635:F11635"/>
    <mergeCell ref="B11643:F11643"/>
    <mergeCell ref="B11645:F11645"/>
    <mergeCell ref="B11646:F11646"/>
    <mergeCell ref="B11647:F11647"/>
    <mergeCell ref="D11649:F11649"/>
    <mergeCell ref="D11650:F11650"/>
    <mergeCell ref="B11655:F11655"/>
    <mergeCell ref="B11657:C11657"/>
    <mergeCell ref="E11657:F11657"/>
    <mergeCell ref="B11658:C11658"/>
    <mergeCell ref="B11659:C11659"/>
    <mergeCell ref="B11660:C11660"/>
    <mergeCell ref="D11665:F11665"/>
    <mergeCell ref="D11666:F11666"/>
    <mergeCell ref="D11667:F11667"/>
    <mergeCell ref="D11668:F11668"/>
    <mergeCell ref="D11669:F11669"/>
    <mergeCell ref="D11671:F11671"/>
    <mergeCell ref="B11673:F11673"/>
    <mergeCell ref="B11677:F11677"/>
    <mergeCell ref="B11678:F11678"/>
    <mergeCell ref="B11679:F11679"/>
    <mergeCell ref="B11680:F11680"/>
    <mergeCell ref="B11688:F11688"/>
    <mergeCell ref="B11690:F11690"/>
    <mergeCell ref="B11691:F11691"/>
    <mergeCell ref="B11692:F11692"/>
    <mergeCell ref="D11694:F11694"/>
    <mergeCell ref="D11695:F11695"/>
    <mergeCell ref="B11700:F11700"/>
    <mergeCell ref="B11702:C11702"/>
    <mergeCell ref="E11702:F11702"/>
    <mergeCell ref="B11703:C11703"/>
    <mergeCell ref="B11704:C11704"/>
    <mergeCell ref="B11705:C11705"/>
    <mergeCell ref="D11710:F11710"/>
    <mergeCell ref="D11711:F11711"/>
    <mergeCell ref="D11712:F11712"/>
    <mergeCell ref="D11713:F11713"/>
    <mergeCell ref="D11714:F11714"/>
    <mergeCell ref="D11716:F11716"/>
    <mergeCell ref="B11718:F11718"/>
    <mergeCell ref="B11722:F11722"/>
    <mergeCell ref="B11723:F11723"/>
    <mergeCell ref="B11724:F11724"/>
    <mergeCell ref="B11725:F11725"/>
    <mergeCell ref="B11733:F11733"/>
    <mergeCell ref="B11735:F11735"/>
    <mergeCell ref="B11736:F11736"/>
    <mergeCell ref="B11737:F11737"/>
    <mergeCell ref="D11739:F11739"/>
    <mergeCell ref="D11740:F11740"/>
    <mergeCell ref="B11745:F11745"/>
    <mergeCell ref="B11747:C11747"/>
    <mergeCell ref="E11747:F11747"/>
    <mergeCell ref="B11748:C11748"/>
    <mergeCell ref="B11749:C11749"/>
    <mergeCell ref="B11750:C11750"/>
    <mergeCell ref="D11755:F11755"/>
    <mergeCell ref="D11756:F11756"/>
    <mergeCell ref="D11757:F11757"/>
    <mergeCell ref="D11758:F11758"/>
    <mergeCell ref="D11759:F11759"/>
    <mergeCell ref="D11761:F11761"/>
    <mergeCell ref="B11763:F11763"/>
    <mergeCell ref="B11767:F11767"/>
    <mergeCell ref="B11768:F11768"/>
    <mergeCell ref="B11769:F11769"/>
    <mergeCell ref="B11770:F11770"/>
    <mergeCell ref="B11778:F11778"/>
    <mergeCell ref="B11780:F11780"/>
    <mergeCell ref="B11781:F11781"/>
    <mergeCell ref="B11782:F11782"/>
    <mergeCell ref="D11784:F11784"/>
    <mergeCell ref="D11785:F11785"/>
    <mergeCell ref="B11790:F11790"/>
    <mergeCell ref="B11792:C11792"/>
    <mergeCell ref="E11792:F11792"/>
    <mergeCell ref="B11793:C11793"/>
    <mergeCell ref="B11794:C11794"/>
    <mergeCell ref="B11795:C11795"/>
    <mergeCell ref="D11800:F11800"/>
    <mergeCell ref="D11801:F11801"/>
    <mergeCell ref="D11802:F11802"/>
    <mergeCell ref="D11803:F11803"/>
    <mergeCell ref="D11804:F11804"/>
    <mergeCell ref="D11806:F11806"/>
    <mergeCell ref="B11808:F11808"/>
    <mergeCell ref="B11812:F11812"/>
    <mergeCell ref="B11813:F11813"/>
    <mergeCell ref="B11814:F11814"/>
    <mergeCell ref="B11815:F11815"/>
    <mergeCell ref="B11823:F11823"/>
    <mergeCell ref="B11825:F11825"/>
    <mergeCell ref="B11826:F11826"/>
    <mergeCell ref="B11827:F11827"/>
    <mergeCell ref="D11829:F11829"/>
    <mergeCell ref="D11830:F11830"/>
    <mergeCell ref="B11835:F11835"/>
    <mergeCell ref="B11837:C11837"/>
    <mergeCell ref="E11837:F11837"/>
    <mergeCell ref="B11838:C11838"/>
    <mergeCell ref="B11839:C11839"/>
    <mergeCell ref="B11840:C11840"/>
    <mergeCell ref="D11845:F11845"/>
    <mergeCell ref="D11846:F11846"/>
    <mergeCell ref="D11847:F11847"/>
    <mergeCell ref="D11848:F11848"/>
    <mergeCell ref="D11849:F11849"/>
    <mergeCell ref="D11851:F11851"/>
    <mergeCell ref="B11853:F11853"/>
    <mergeCell ref="B11857:F11857"/>
    <mergeCell ref="B11858:F11858"/>
    <mergeCell ref="B11859:F11859"/>
    <mergeCell ref="B11860:F11860"/>
    <mergeCell ref="B11868:F11868"/>
    <mergeCell ref="B11870:F11870"/>
    <mergeCell ref="B11871:F11871"/>
    <mergeCell ref="B11872:F11872"/>
    <mergeCell ref="D11874:F11874"/>
    <mergeCell ref="D11875:F11875"/>
    <mergeCell ref="B11880:F11880"/>
    <mergeCell ref="B11882:C11882"/>
    <mergeCell ref="E11882:F11882"/>
    <mergeCell ref="B11883:C11883"/>
    <mergeCell ref="B11884:C11884"/>
    <mergeCell ref="B11885:C11885"/>
    <mergeCell ref="D11890:F11890"/>
    <mergeCell ref="D11891:F11891"/>
    <mergeCell ref="D11892:F11892"/>
    <mergeCell ref="D11893:F11893"/>
    <mergeCell ref="D11894:F11894"/>
    <mergeCell ref="D11896:F11896"/>
    <mergeCell ref="B11898:F11898"/>
    <mergeCell ref="B11902:F11902"/>
    <mergeCell ref="B11903:F11903"/>
    <mergeCell ref="B11904:F11904"/>
    <mergeCell ref="B11905:F11905"/>
    <mergeCell ref="B11913:F11913"/>
    <mergeCell ref="B11915:F11915"/>
    <mergeCell ref="B11916:F11916"/>
    <mergeCell ref="B11917:F11917"/>
    <mergeCell ref="D11919:F11919"/>
    <mergeCell ref="D11920:F11920"/>
    <mergeCell ref="B11925:F11925"/>
    <mergeCell ref="B11927:C11927"/>
    <mergeCell ref="E11927:F11927"/>
    <mergeCell ref="B11928:C11928"/>
    <mergeCell ref="B11929:C11929"/>
    <mergeCell ref="B11930:C11930"/>
    <mergeCell ref="D11935:F11935"/>
    <mergeCell ref="D11936:F11936"/>
    <mergeCell ref="D11937:F11937"/>
    <mergeCell ref="D11938:F11938"/>
    <mergeCell ref="D11939:F11939"/>
    <mergeCell ref="D11941:F11941"/>
    <mergeCell ref="B11943:F11943"/>
    <mergeCell ref="B11947:F11947"/>
    <mergeCell ref="B11948:F11948"/>
    <mergeCell ref="B11949:F11949"/>
    <mergeCell ref="B11950:F11950"/>
    <mergeCell ref="B11958:F11958"/>
    <mergeCell ref="B11960:F11960"/>
    <mergeCell ref="B11961:F11961"/>
    <mergeCell ref="B11962:F11962"/>
    <mergeCell ref="D11964:F11964"/>
    <mergeCell ref="D11965:F11965"/>
    <mergeCell ref="B11970:F11970"/>
    <mergeCell ref="B11972:C11972"/>
    <mergeCell ref="E11972:F11972"/>
    <mergeCell ref="B11973:C11973"/>
    <mergeCell ref="B11974:C11974"/>
    <mergeCell ref="B11975:C11975"/>
    <mergeCell ref="D11980:F11980"/>
    <mergeCell ref="D11981:F11981"/>
    <mergeCell ref="D11982:F11982"/>
    <mergeCell ref="D11983:F11983"/>
    <mergeCell ref="D11984:F11984"/>
    <mergeCell ref="D11986:F11986"/>
    <mergeCell ref="B11988:F11988"/>
    <mergeCell ref="B11992:F11992"/>
    <mergeCell ref="B11993:F11993"/>
    <mergeCell ref="B11994:F11994"/>
    <mergeCell ref="B11995:F11995"/>
    <mergeCell ref="B12003:F12003"/>
    <mergeCell ref="B12005:F12005"/>
    <mergeCell ref="B12006:F12006"/>
    <mergeCell ref="B12007:F12007"/>
    <mergeCell ref="D12009:F12009"/>
    <mergeCell ref="D12010:F12010"/>
    <mergeCell ref="B12015:F12015"/>
    <mergeCell ref="B12017:C12017"/>
    <mergeCell ref="E12017:F12017"/>
    <mergeCell ref="B12018:C12018"/>
    <mergeCell ref="B12019:C12019"/>
    <mergeCell ref="B12020:C12020"/>
    <mergeCell ref="D12025:F12025"/>
    <mergeCell ref="D12026:F12026"/>
    <mergeCell ref="D12027:F12027"/>
    <mergeCell ref="D12028:F12028"/>
    <mergeCell ref="D12029:F12029"/>
    <mergeCell ref="D12031:F12031"/>
    <mergeCell ref="B12033:F12033"/>
    <mergeCell ref="B12037:F12037"/>
    <mergeCell ref="B12038:F12038"/>
    <mergeCell ref="B12039:F12039"/>
    <mergeCell ref="B12040:F12040"/>
    <mergeCell ref="B12048:F12048"/>
    <mergeCell ref="B12050:F12050"/>
    <mergeCell ref="B12051:F12051"/>
    <mergeCell ref="B12052:F12052"/>
    <mergeCell ref="D12054:F12054"/>
    <mergeCell ref="D12055:F12055"/>
    <mergeCell ref="B12060:F12060"/>
    <mergeCell ref="B12062:C12062"/>
    <mergeCell ref="E12062:F12062"/>
    <mergeCell ref="B12063:C12063"/>
    <mergeCell ref="B12064:C12064"/>
    <mergeCell ref="B12065:C12065"/>
    <mergeCell ref="D12070:F12070"/>
    <mergeCell ref="D12071:F12071"/>
    <mergeCell ref="D12072:F12072"/>
    <mergeCell ref="D12073:F12073"/>
    <mergeCell ref="D12074:F12074"/>
    <mergeCell ref="D12076:F12076"/>
    <mergeCell ref="B12078:F12078"/>
    <mergeCell ref="B12082:F12082"/>
    <mergeCell ref="B12083:F12083"/>
    <mergeCell ref="B12084:F12084"/>
    <mergeCell ref="B12085:F12085"/>
    <mergeCell ref="B12093:F12093"/>
    <mergeCell ref="B12095:F12095"/>
    <mergeCell ref="B12096:F12096"/>
    <mergeCell ref="B12097:F12097"/>
    <mergeCell ref="D12099:F12099"/>
    <mergeCell ref="D12100:F12100"/>
    <mergeCell ref="B12105:F12105"/>
    <mergeCell ref="B12107:C12107"/>
    <mergeCell ref="E12107:F12107"/>
    <mergeCell ref="B12108:C12108"/>
    <mergeCell ref="B12109:C12109"/>
    <mergeCell ref="B12110:C12110"/>
    <mergeCell ref="D12115:F12115"/>
    <mergeCell ref="D12116:F12116"/>
    <mergeCell ref="D12117:F12117"/>
    <mergeCell ref="D12118:F12118"/>
    <mergeCell ref="D12119:F12119"/>
    <mergeCell ref="D12121:F12121"/>
    <mergeCell ref="B12123:F12123"/>
    <mergeCell ref="B12127:F12127"/>
    <mergeCell ref="B12128:F12128"/>
    <mergeCell ref="B12129:F12129"/>
    <mergeCell ref="B12130:F12130"/>
    <mergeCell ref="B12138:F12138"/>
    <mergeCell ref="B12140:F12140"/>
    <mergeCell ref="B12141:F12141"/>
    <mergeCell ref="B12142:F12142"/>
    <mergeCell ref="D12144:F12144"/>
    <mergeCell ref="D12145:F12145"/>
    <mergeCell ref="B12150:F12150"/>
    <mergeCell ref="B12152:C12152"/>
    <mergeCell ref="E12152:F12152"/>
    <mergeCell ref="B12153:C12153"/>
    <mergeCell ref="B12154:C12154"/>
    <mergeCell ref="B12155:C12155"/>
    <mergeCell ref="D12160:F12160"/>
    <mergeCell ref="D12161:F12161"/>
    <mergeCell ref="D12162:F12162"/>
    <mergeCell ref="D12163:F12163"/>
    <mergeCell ref="D12164:F12164"/>
    <mergeCell ref="D12166:F12166"/>
    <mergeCell ref="B12168:F12168"/>
    <mergeCell ref="B12172:F12172"/>
    <mergeCell ref="B12173:F12173"/>
    <mergeCell ref="B12174:F12174"/>
    <mergeCell ref="B12175:F12175"/>
    <mergeCell ref="B12183:F12183"/>
    <mergeCell ref="B12185:F12185"/>
    <mergeCell ref="B12186:F12186"/>
    <mergeCell ref="B12187:F12187"/>
    <mergeCell ref="D12189:F12189"/>
    <mergeCell ref="D12190:F12190"/>
    <mergeCell ref="B12195:F12195"/>
    <mergeCell ref="B12197:C12197"/>
    <mergeCell ref="E12197:F12197"/>
    <mergeCell ref="B12198:C12198"/>
    <mergeCell ref="B12199:C12199"/>
    <mergeCell ref="B12200:C12200"/>
    <mergeCell ref="D12205:F12205"/>
    <mergeCell ref="D12206:F12206"/>
    <mergeCell ref="D12207:F12207"/>
    <mergeCell ref="D12208:F12208"/>
    <mergeCell ref="D12209:F12209"/>
    <mergeCell ref="D12211:F12211"/>
    <mergeCell ref="B12213:F12213"/>
    <mergeCell ref="B12217:F12217"/>
    <mergeCell ref="B12218:F12218"/>
    <mergeCell ref="B12219:F12219"/>
    <mergeCell ref="B12220:F12220"/>
    <mergeCell ref="B12228:F12228"/>
    <mergeCell ref="B12230:F12230"/>
    <mergeCell ref="B12231:F12231"/>
    <mergeCell ref="B12232:F12232"/>
    <mergeCell ref="D12234:F12234"/>
    <mergeCell ref="D12235:F12235"/>
    <mergeCell ref="B12240:F12240"/>
    <mergeCell ref="B12242:C12242"/>
    <mergeCell ref="E12242:F12242"/>
    <mergeCell ref="B12243:C12243"/>
    <mergeCell ref="B12244:C12244"/>
    <mergeCell ref="B12245:C12245"/>
    <mergeCell ref="D12250:F12250"/>
    <mergeCell ref="D12251:F12251"/>
    <mergeCell ref="D12252:F12252"/>
    <mergeCell ref="D12253:F12253"/>
    <mergeCell ref="D12254:F12254"/>
    <mergeCell ref="D12256:F12256"/>
    <mergeCell ref="B12258:F12258"/>
    <mergeCell ref="B12262:F12262"/>
    <mergeCell ref="B12263:F12263"/>
    <mergeCell ref="B12264:F12264"/>
    <mergeCell ref="B12265:F12265"/>
    <mergeCell ref="B12273:F12273"/>
    <mergeCell ref="B12275:F12275"/>
    <mergeCell ref="B12276:F12276"/>
    <mergeCell ref="B12277:F12277"/>
    <mergeCell ref="D12279:F12279"/>
    <mergeCell ref="D12280:F12280"/>
    <mergeCell ref="B12285:F12285"/>
    <mergeCell ref="B12287:C12287"/>
    <mergeCell ref="E12287:F12287"/>
    <mergeCell ref="B12288:C12288"/>
    <mergeCell ref="B12289:C12289"/>
    <mergeCell ref="B12290:C12290"/>
    <mergeCell ref="D12295:F12295"/>
    <mergeCell ref="D12296:F12296"/>
    <mergeCell ref="D12297:F12297"/>
    <mergeCell ref="D12298:F12298"/>
    <mergeCell ref="D12299:F12299"/>
    <mergeCell ref="D12301:F12301"/>
    <mergeCell ref="B12303:F12303"/>
    <mergeCell ref="B12307:F12307"/>
    <mergeCell ref="B12308:F12308"/>
    <mergeCell ref="B12309:F12309"/>
    <mergeCell ref="B12310:F12310"/>
    <mergeCell ref="B12318:F12318"/>
    <mergeCell ref="B12320:F12320"/>
    <mergeCell ref="B12321:F12321"/>
    <mergeCell ref="B12322:F12322"/>
    <mergeCell ref="D12324:F12324"/>
    <mergeCell ref="D12325:F12325"/>
    <mergeCell ref="B12330:F12330"/>
    <mergeCell ref="B12332:C12332"/>
    <mergeCell ref="E12332:F12332"/>
    <mergeCell ref="B12333:C12333"/>
    <mergeCell ref="B12334:C12334"/>
    <mergeCell ref="B12335:C12335"/>
    <mergeCell ref="D12340:F12340"/>
    <mergeCell ref="D12341:F12341"/>
    <mergeCell ref="D12342:F12342"/>
    <mergeCell ref="D12343:F12343"/>
    <mergeCell ref="D12344:F12344"/>
    <mergeCell ref="D12346:F12346"/>
    <mergeCell ref="B12348:F12348"/>
    <mergeCell ref="B12352:F12352"/>
    <mergeCell ref="B12353:F12353"/>
    <mergeCell ref="B12354:F12354"/>
    <mergeCell ref="B12355:F12355"/>
    <mergeCell ref="B12363:F12363"/>
    <mergeCell ref="B12365:F12365"/>
    <mergeCell ref="B12366:F12366"/>
    <mergeCell ref="B12367:F12367"/>
    <mergeCell ref="D12369:F12369"/>
    <mergeCell ref="D12370:F12370"/>
    <mergeCell ref="B12375:F12375"/>
    <mergeCell ref="B12377:C12377"/>
    <mergeCell ref="E12377:F12377"/>
    <mergeCell ref="B12378:C12378"/>
    <mergeCell ref="B12379:C12379"/>
    <mergeCell ref="B12380:C12380"/>
    <mergeCell ref="D12385:F12385"/>
    <mergeCell ref="D12386:F12386"/>
    <mergeCell ref="D12387:F12387"/>
    <mergeCell ref="D12388:F12388"/>
    <mergeCell ref="D12389:F12389"/>
    <mergeCell ref="D12391:F12391"/>
    <mergeCell ref="B12393:F12393"/>
    <mergeCell ref="B12397:F12397"/>
    <mergeCell ref="B12398:F12398"/>
    <mergeCell ref="B12399:F12399"/>
    <mergeCell ref="B12400:F12400"/>
    <mergeCell ref="B12408:F12408"/>
    <mergeCell ref="B12410:F12410"/>
    <mergeCell ref="B12411:F12411"/>
    <mergeCell ref="B12412:F12412"/>
    <mergeCell ref="D12414:F12414"/>
    <mergeCell ref="D12415:F12415"/>
    <mergeCell ref="B12420:F12420"/>
    <mergeCell ref="B12422:C12422"/>
    <mergeCell ref="E12422:F12422"/>
    <mergeCell ref="B12423:C12423"/>
    <mergeCell ref="B12424:C12424"/>
    <mergeCell ref="B12425:C12425"/>
    <mergeCell ref="D12430:F12430"/>
    <mergeCell ref="D12431:F12431"/>
    <mergeCell ref="D12432:F12432"/>
    <mergeCell ref="D12433:F12433"/>
    <mergeCell ref="D12434:F12434"/>
    <mergeCell ref="D12436:F12436"/>
    <mergeCell ref="B12438:F12438"/>
    <mergeCell ref="B12442:F12442"/>
    <mergeCell ref="B12443:F12443"/>
    <mergeCell ref="B12444:F12444"/>
    <mergeCell ref="B12445:F12445"/>
    <mergeCell ref="B12453:F12453"/>
    <mergeCell ref="B12455:F12455"/>
    <mergeCell ref="B12456:F12456"/>
    <mergeCell ref="B12457:F12457"/>
    <mergeCell ref="D12459:F12459"/>
    <mergeCell ref="D12460:F12460"/>
    <mergeCell ref="B12465:F12465"/>
    <mergeCell ref="B12467:C12467"/>
    <mergeCell ref="E12467:F12467"/>
    <mergeCell ref="B12468:C12468"/>
    <mergeCell ref="B12469:C12469"/>
    <mergeCell ref="B12470:C12470"/>
    <mergeCell ref="D12475:F12475"/>
    <mergeCell ref="D12476:F12476"/>
    <mergeCell ref="D12477:F12477"/>
    <mergeCell ref="D12478:F12478"/>
    <mergeCell ref="D12479:F12479"/>
    <mergeCell ref="D12481:F12481"/>
    <mergeCell ref="B12483:F12483"/>
    <mergeCell ref="B12487:F12487"/>
    <mergeCell ref="B12488:F12488"/>
    <mergeCell ref="B12489:F12489"/>
    <mergeCell ref="B12490:F12490"/>
    <mergeCell ref="B12498:F12498"/>
    <mergeCell ref="B12500:F12500"/>
    <mergeCell ref="B12501:F12501"/>
    <mergeCell ref="B12502:F12502"/>
    <mergeCell ref="D12504:F12504"/>
    <mergeCell ref="D12505:F12505"/>
    <mergeCell ref="B12510:F12510"/>
    <mergeCell ref="B12512:C12512"/>
    <mergeCell ref="E12512:F12512"/>
    <mergeCell ref="B12513:C12513"/>
    <mergeCell ref="B12514:C12514"/>
    <mergeCell ref="B12515:C12515"/>
    <mergeCell ref="D12520:F12520"/>
    <mergeCell ref="D12521:F12521"/>
    <mergeCell ref="D12522:F12522"/>
    <mergeCell ref="D12523:F12523"/>
    <mergeCell ref="D12524:F12524"/>
    <mergeCell ref="D12526:F12526"/>
    <mergeCell ref="B12528:F12528"/>
    <mergeCell ref="B12532:F12532"/>
    <mergeCell ref="B12533:F12533"/>
    <mergeCell ref="B12534:F12534"/>
    <mergeCell ref="B12535:F12535"/>
    <mergeCell ref="B12543:F12543"/>
    <mergeCell ref="B12545:F12545"/>
    <mergeCell ref="B12546:F12546"/>
    <mergeCell ref="B12547:F12547"/>
    <mergeCell ref="D12549:F12549"/>
    <mergeCell ref="D12550:F12550"/>
    <mergeCell ref="B12555:F12555"/>
    <mergeCell ref="B12557:C12557"/>
    <mergeCell ref="E12557:F12557"/>
    <mergeCell ref="B12558:C12558"/>
    <mergeCell ref="B12559:C12559"/>
    <mergeCell ref="B12560:C12560"/>
    <mergeCell ref="D12565:F12565"/>
    <mergeCell ref="D12566:F12566"/>
    <mergeCell ref="D12567:F12567"/>
    <mergeCell ref="D12568:F12568"/>
    <mergeCell ref="D12569:F12569"/>
    <mergeCell ref="D12571:F12571"/>
    <mergeCell ref="B12573:F12573"/>
    <mergeCell ref="B12577:F12577"/>
    <mergeCell ref="B12578:F12578"/>
    <mergeCell ref="B12579:F12579"/>
    <mergeCell ref="B12580:F12580"/>
    <mergeCell ref="B12588:F12588"/>
    <mergeCell ref="B12590:F12590"/>
    <mergeCell ref="B12591:F12591"/>
    <mergeCell ref="B12592:F12592"/>
    <mergeCell ref="D12594:F12594"/>
    <mergeCell ref="D12595:F12595"/>
    <mergeCell ref="B12600:F12600"/>
    <mergeCell ref="B12602:C12602"/>
    <mergeCell ref="E12602:F12602"/>
    <mergeCell ref="B12603:C12603"/>
    <mergeCell ref="B12604:C12604"/>
    <mergeCell ref="B12605:C12605"/>
    <mergeCell ref="D12610:F12610"/>
    <mergeCell ref="D12611:F12611"/>
    <mergeCell ref="D12612:F12612"/>
    <mergeCell ref="D12613:F12613"/>
    <mergeCell ref="D12614:F12614"/>
    <mergeCell ref="D12616:F12616"/>
    <mergeCell ref="B12618:F12618"/>
    <mergeCell ref="B12622:F12622"/>
    <mergeCell ref="B12623:F12623"/>
    <mergeCell ref="B12624:F12624"/>
    <mergeCell ref="B12625:F12625"/>
    <mergeCell ref="B12633:F12633"/>
    <mergeCell ref="B12635:F12635"/>
    <mergeCell ref="B12636:F12636"/>
    <mergeCell ref="B12637:F12637"/>
    <mergeCell ref="D12639:F12639"/>
    <mergeCell ref="D12640:F12640"/>
    <mergeCell ref="B12645:F12645"/>
    <mergeCell ref="B12647:C12647"/>
    <mergeCell ref="E12647:F12647"/>
    <mergeCell ref="B12648:C12648"/>
    <mergeCell ref="B12649:C12649"/>
    <mergeCell ref="B12650:C12650"/>
    <mergeCell ref="D12655:F12655"/>
    <mergeCell ref="D12656:F12656"/>
    <mergeCell ref="D12657:F12657"/>
    <mergeCell ref="D12658:F12658"/>
    <mergeCell ref="D12659:F12659"/>
    <mergeCell ref="D12661:F12661"/>
    <mergeCell ref="B12663:F12663"/>
    <mergeCell ref="B12667:F12667"/>
    <mergeCell ref="B12668:F12668"/>
    <mergeCell ref="B12669:F12669"/>
    <mergeCell ref="B12670:F12670"/>
    <mergeCell ref="B12678:F12678"/>
    <mergeCell ref="B12680:F12680"/>
    <mergeCell ref="B12681:F12681"/>
    <mergeCell ref="B12682:F12682"/>
    <mergeCell ref="D12684:F12684"/>
    <mergeCell ref="D12685:F12685"/>
    <mergeCell ref="B12690:F12690"/>
    <mergeCell ref="B12692:C12692"/>
    <mergeCell ref="E12692:F12692"/>
    <mergeCell ref="B12693:C12693"/>
    <mergeCell ref="B12694:C12694"/>
    <mergeCell ref="B12695:C12695"/>
    <mergeCell ref="D12700:F12700"/>
    <mergeCell ref="D12701:F12701"/>
    <mergeCell ref="D12702:F12702"/>
    <mergeCell ref="D12703:F12703"/>
    <mergeCell ref="D12704:F12704"/>
    <mergeCell ref="D12706:F12706"/>
    <mergeCell ref="B12708:F12708"/>
    <mergeCell ref="B12712:F12712"/>
    <mergeCell ref="B12713:F12713"/>
    <mergeCell ref="B12714:F12714"/>
    <mergeCell ref="B12715:F12715"/>
    <mergeCell ref="B12723:F12723"/>
    <mergeCell ref="B12725:F12725"/>
    <mergeCell ref="B12726:F12726"/>
    <mergeCell ref="B12727:F12727"/>
    <mergeCell ref="D12729:F12729"/>
    <mergeCell ref="D12730:F12730"/>
    <mergeCell ref="B12735:F12735"/>
    <mergeCell ref="B12737:C12737"/>
    <mergeCell ref="E12737:F12737"/>
    <mergeCell ref="B12738:C12738"/>
    <mergeCell ref="B12739:C12739"/>
    <mergeCell ref="B12740:C12740"/>
    <mergeCell ref="D12745:F12745"/>
    <mergeCell ref="D12746:F12746"/>
    <mergeCell ref="D12747:F12747"/>
    <mergeCell ref="D12748:F12748"/>
    <mergeCell ref="D12749:F12749"/>
    <mergeCell ref="D12751:F12751"/>
    <mergeCell ref="B12753:F12753"/>
    <mergeCell ref="B12757:F12757"/>
    <mergeCell ref="B12758:F12758"/>
    <mergeCell ref="B12759:F12759"/>
    <mergeCell ref="B12760:F12760"/>
    <mergeCell ref="B12768:F12768"/>
    <mergeCell ref="B12770:F12770"/>
    <mergeCell ref="B12771:F12771"/>
    <mergeCell ref="B12772:F12772"/>
    <mergeCell ref="D12774:F12774"/>
    <mergeCell ref="D12775:F12775"/>
    <mergeCell ref="B12780:F12780"/>
    <mergeCell ref="B12782:C12782"/>
    <mergeCell ref="E12782:F12782"/>
    <mergeCell ref="B12783:C12783"/>
    <mergeCell ref="B12784:C12784"/>
    <mergeCell ref="B12785:C12785"/>
    <mergeCell ref="D12790:F12790"/>
    <mergeCell ref="D12791:F12791"/>
    <mergeCell ref="D12792:F12792"/>
    <mergeCell ref="D12793:F12793"/>
    <mergeCell ref="D12794:F12794"/>
    <mergeCell ref="D12796:F12796"/>
    <mergeCell ref="B12798:F12798"/>
    <mergeCell ref="B12802:F12802"/>
    <mergeCell ref="B12803:F12803"/>
    <mergeCell ref="B12804:F12804"/>
    <mergeCell ref="B12805:F12805"/>
    <mergeCell ref="B12813:F12813"/>
    <mergeCell ref="B12815:F12815"/>
    <mergeCell ref="B12816:F12816"/>
    <mergeCell ref="B12817:F12817"/>
    <mergeCell ref="D12819:F12819"/>
    <mergeCell ref="D12820:F12820"/>
    <mergeCell ref="B12825:F12825"/>
    <mergeCell ref="B12827:C12827"/>
    <mergeCell ref="E12827:F12827"/>
    <mergeCell ref="B12828:C12828"/>
    <mergeCell ref="B12829:C12829"/>
    <mergeCell ref="B12830:C12830"/>
    <mergeCell ref="D12835:F12835"/>
    <mergeCell ref="D12836:F12836"/>
    <mergeCell ref="D12837:F12837"/>
    <mergeCell ref="D12838:F12838"/>
    <mergeCell ref="D12839:F12839"/>
    <mergeCell ref="D12841:F12841"/>
    <mergeCell ref="B12843:F12843"/>
    <mergeCell ref="B12847:F12847"/>
    <mergeCell ref="B12848:F12848"/>
    <mergeCell ref="B12849:F12849"/>
    <mergeCell ref="B12850:F12850"/>
    <mergeCell ref="B12858:F12858"/>
    <mergeCell ref="B12860:F12860"/>
    <mergeCell ref="B12861:F12861"/>
    <mergeCell ref="B12862:F12862"/>
    <mergeCell ref="D12864:F12864"/>
    <mergeCell ref="D12865:F12865"/>
    <mergeCell ref="B12870:F12870"/>
    <mergeCell ref="B12872:C12872"/>
    <mergeCell ref="E12872:F12872"/>
    <mergeCell ref="B12873:C12873"/>
    <mergeCell ref="B12874:C12874"/>
    <mergeCell ref="B12875:C12875"/>
    <mergeCell ref="D12880:F12880"/>
    <mergeCell ref="D12881:F12881"/>
    <mergeCell ref="D12882:F12882"/>
    <mergeCell ref="D12883:F12883"/>
    <mergeCell ref="D12884:F12884"/>
    <mergeCell ref="D12886:F12886"/>
    <mergeCell ref="B12888:F12888"/>
    <mergeCell ref="B12892:F12892"/>
    <mergeCell ref="B12893:F12893"/>
    <mergeCell ref="B12894:F12894"/>
    <mergeCell ref="B12895:F12895"/>
    <mergeCell ref="B12903:F12903"/>
    <mergeCell ref="B12905:F12905"/>
    <mergeCell ref="B12906:F12906"/>
    <mergeCell ref="B12907:F12907"/>
    <mergeCell ref="D12909:F12909"/>
    <mergeCell ref="D12910:F12910"/>
    <mergeCell ref="B12915:F12915"/>
    <mergeCell ref="B12917:C12917"/>
    <mergeCell ref="E12917:F12917"/>
    <mergeCell ref="B12918:C12918"/>
    <mergeCell ref="B12919:C12919"/>
    <mergeCell ref="B12920:C12920"/>
    <mergeCell ref="D12925:F12925"/>
    <mergeCell ref="D12926:F12926"/>
    <mergeCell ref="D12927:F12927"/>
    <mergeCell ref="D12928:F12928"/>
    <mergeCell ref="D12929:F12929"/>
    <mergeCell ref="D12931:F12931"/>
    <mergeCell ref="B12933:F12933"/>
    <mergeCell ref="B12937:F12937"/>
    <mergeCell ref="B12938:F12938"/>
    <mergeCell ref="B12939:F12939"/>
    <mergeCell ref="B12940:F12940"/>
    <mergeCell ref="B12948:F12948"/>
    <mergeCell ref="B12950:F12950"/>
    <mergeCell ref="B12951:F12951"/>
    <mergeCell ref="B12952:F12952"/>
    <mergeCell ref="D12954:F12954"/>
    <mergeCell ref="D12955:F12955"/>
    <mergeCell ref="B12960:F12960"/>
    <mergeCell ref="B12962:C12962"/>
    <mergeCell ref="E12962:F12962"/>
    <mergeCell ref="B12963:C12963"/>
    <mergeCell ref="B12964:C12964"/>
    <mergeCell ref="B12965:C12965"/>
    <mergeCell ref="D12970:F12970"/>
    <mergeCell ref="D12971:F12971"/>
    <mergeCell ref="D12972:F12972"/>
    <mergeCell ref="D12973:F12973"/>
    <mergeCell ref="D12974:F12974"/>
    <mergeCell ref="D12976:F12976"/>
    <mergeCell ref="B12978:F12978"/>
    <mergeCell ref="B12982:F12982"/>
    <mergeCell ref="B12983:F12983"/>
    <mergeCell ref="B12984:F12984"/>
    <mergeCell ref="B12985:F12985"/>
    <mergeCell ref="B12993:F12993"/>
    <mergeCell ref="B12995:F12995"/>
    <mergeCell ref="B12996:F12996"/>
    <mergeCell ref="B12997:F12997"/>
    <mergeCell ref="D12999:F12999"/>
    <mergeCell ref="D13000:F13000"/>
    <mergeCell ref="B13005:F13005"/>
    <mergeCell ref="B13007:C13007"/>
    <mergeCell ref="E13007:F13007"/>
    <mergeCell ref="B13008:C13008"/>
    <mergeCell ref="B13009:C13009"/>
    <mergeCell ref="B13010:C13010"/>
    <mergeCell ref="D13015:F13015"/>
    <mergeCell ref="D13016:F13016"/>
    <mergeCell ref="D13017:F13017"/>
    <mergeCell ref="D13018:F13018"/>
    <mergeCell ref="D13019:F13019"/>
    <mergeCell ref="D13021:F13021"/>
    <mergeCell ref="B13023:F13023"/>
    <mergeCell ref="B13027:F13027"/>
    <mergeCell ref="B13028:F13028"/>
    <mergeCell ref="B13029:F13029"/>
    <mergeCell ref="B13030:F13030"/>
    <mergeCell ref="B13038:F13038"/>
    <mergeCell ref="B13040:F13040"/>
    <mergeCell ref="B13041:F13041"/>
    <mergeCell ref="B13042:F13042"/>
    <mergeCell ref="D13044:F13044"/>
    <mergeCell ref="D13045:F13045"/>
    <mergeCell ref="B13050:F13050"/>
    <mergeCell ref="B13052:C13052"/>
    <mergeCell ref="E13052:F13052"/>
    <mergeCell ref="B13053:C13053"/>
    <mergeCell ref="B13054:C13054"/>
    <mergeCell ref="B13055:C13055"/>
    <mergeCell ref="D13060:F13060"/>
    <mergeCell ref="D13061:F13061"/>
    <mergeCell ref="D13062:F13062"/>
    <mergeCell ref="D13063:F13063"/>
    <mergeCell ref="D13064:F13064"/>
    <mergeCell ref="D13066:F13066"/>
    <mergeCell ref="B13068:F13068"/>
    <mergeCell ref="B13072:F13072"/>
    <mergeCell ref="B13073:F13073"/>
    <mergeCell ref="B13074:F13074"/>
    <mergeCell ref="B13075:F13075"/>
    <mergeCell ref="B13083:F13083"/>
    <mergeCell ref="B13085:F13085"/>
    <mergeCell ref="B13086:F13086"/>
    <mergeCell ref="B13087:F13087"/>
    <mergeCell ref="D13089:F13089"/>
    <mergeCell ref="D13090:F13090"/>
    <mergeCell ref="B13095:F13095"/>
    <mergeCell ref="B13097:C13097"/>
    <mergeCell ref="E13097:F13097"/>
    <mergeCell ref="B13098:C13098"/>
    <mergeCell ref="B13099:C13099"/>
    <mergeCell ref="B13100:C13100"/>
    <mergeCell ref="D13105:F13105"/>
    <mergeCell ref="D13106:F13106"/>
    <mergeCell ref="D13107:F13107"/>
    <mergeCell ref="D13108:F13108"/>
    <mergeCell ref="D13109:F13109"/>
    <mergeCell ref="D13111:F13111"/>
    <mergeCell ref="B13113:F13113"/>
    <mergeCell ref="B13117:F13117"/>
    <mergeCell ref="B13118:F13118"/>
    <mergeCell ref="B13119:F13119"/>
    <mergeCell ref="B13120:F13120"/>
    <mergeCell ref="B13128:F13128"/>
    <mergeCell ref="B13130:F13130"/>
    <mergeCell ref="B13131:F13131"/>
    <mergeCell ref="B13132:F13132"/>
    <mergeCell ref="D13134:F13134"/>
    <mergeCell ref="D13135:F13135"/>
    <mergeCell ref="B13140:F13140"/>
    <mergeCell ref="B13142:C13142"/>
    <mergeCell ref="E13142:F13142"/>
    <mergeCell ref="B13143:C13143"/>
    <mergeCell ref="B13144:C13144"/>
    <mergeCell ref="B13145:C13145"/>
    <mergeCell ref="D13150:F13150"/>
    <mergeCell ref="D13151:F13151"/>
    <mergeCell ref="D13152:F13152"/>
    <mergeCell ref="D13153:F13153"/>
    <mergeCell ref="D13154:F13154"/>
    <mergeCell ref="D13156:F13156"/>
    <mergeCell ref="B13158:F13158"/>
    <mergeCell ref="B13162:F13162"/>
    <mergeCell ref="B13163:F13163"/>
    <mergeCell ref="B13164:F13164"/>
    <mergeCell ref="B13165:F13165"/>
    <mergeCell ref="B13173:F13173"/>
    <mergeCell ref="B13175:F13175"/>
    <mergeCell ref="B13176:F13176"/>
    <mergeCell ref="B13177:F13177"/>
    <mergeCell ref="D13179:F13179"/>
    <mergeCell ref="D13180:F13180"/>
    <mergeCell ref="B13185:F13185"/>
    <mergeCell ref="B13187:C13187"/>
    <mergeCell ref="E13187:F13187"/>
    <mergeCell ref="B13188:C13188"/>
    <mergeCell ref="B13189:C13189"/>
    <mergeCell ref="B13190:C13190"/>
    <mergeCell ref="D13195:F13195"/>
    <mergeCell ref="D13196:F13196"/>
    <mergeCell ref="D13197:F13197"/>
    <mergeCell ref="D13198:F13198"/>
    <mergeCell ref="D13199:F13199"/>
    <mergeCell ref="D13201:F13201"/>
    <mergeCell ref="B13203:F13203"/>
    <mergeCell ref="B13207:F13207"/>
    <mergeCell ref="B13208:F13208"/>
    <mergeCell ref="B13209:F13209"/>
    <mergeCell ref="B13210:F13210"/>
    <mergeCell ref="B13218:F13218"/>
    <mergeCell ref="B13220:F13220"/>
    <mergeCell ref="B13221:F13221"/>
    <mergeCell ref="B13222:F13222"/>
    <mergeCell ref="D13224:F13224"/>
    <mergeCell ref="D13225:F13225"/>
    <mergeCell ref="B13230:F13230"/>
    <mergeCell ref="B13232:C13232"/>
    <mergeCell ref="E13232:F13232"/>
    <mergeCell ref="B13233:C13233"/>
    <mergeCell ref="B13234:C13234"/>
    <mergeCell ref="B13235:C13235"/>
    <mergeCell ref="D13240:F13240"/>
    <mergeCell ref="D13241:F13241"/>
    <mergeCell ref="D13242:F13242"/>
    <mergeCell ref="D13243:F13243"/>
    <mergeCell ref="D13244:F13244"/>
    <mergeCell ref="D13246:F13246"/>
    <mergeCell ref="B13248:F13248"/>
    <mergeCell ref="B13252:F13252"/>
    <mergeCell ref="B13253:F13253"/>
    <mergeCell ref="B13254:F13254"/>
    <mergeCell ref="B13255:F13255"/>
    <mergeCell ref="B13263:F13263"/>
    <mergeCell ref="B13265:F13265"/>
    <mergeCell ref="B13266:F13266"/>
    <mergeCell ref="B13267:F13267"/>
    <mergeCell ref="D13269:F13269"/>
    <mergeCell ref="D13270:F13270"/>
    <mergeCell ref="B13275:F13275"/>
    <mergeCell ref="B13277:C13277"/>
    <mergeCell ref="E13277:F13277"/>
    <mergeCell ref="B13278:C13278"/>
    <mergeCell ref="B13279:C13279"/>
    <mergeCell ref="B13280:C13280"/>
    <mergeCell ref="D13285:F13285"/>
    <mergeCell ref="D13286:F13286"/>
    <mergeCell ref="D13287:F13287"/>
    <mergeCell ref="D13288:F13288"/>
    <mergeCell ref="D13289:F13289"/>
    <mergeCell ref="D13291:F13291"/>
    <mergeCell ref="B13293:F13293"/>
    <mergeCell ref="B13297:F13297"/>
    <mergeCell ref="B13298:F13298"/>
    <mergeCell ref="B13299:F13299"/>
    <mergeCell ref="B13300:F13300"/>
    <mergeCell ref="B13308:F13308"/>
    <mergeCell ref="B13310:F13310"/>
    <mergeCell ref="B13311:F13311"/>
    <mergeCell ref="B13312:F13312"/>
    <mergeCell ref="D13314:F13314"/>
    <mergeCell ref="D13315:F13315"/>
    <mergeCell ref="B13320:F13320"/>
    <mergeCell ref="B13322:C13322"/>
    <mergeCell ref="E13322:F13322"/>
    <mergeCell ref="B13323:C13323"/>
    <mergeCell ref="B13324:C13324"/>
    <mergeCell ref="B13325:C13325"/>
    <mergeCell ref="D13330:F13330"/>
    <mergeCell ref="D13331:F13331"/>
    <mergeCell ref="D13332:F13332"/>
    <mergeCell ref="D13333:F13333"/>
    <mergeCell ref="D13334:F13334"/>
    <mergeCell ref="D13336:F13336"/>
    <mergeCell ref="B13338:F13338"/>
    <mergeCell ref="B13342:F13342"/>
    <mergeCell ref="B13343:F13343"/>
    <mergeCell ref="B13344:F13344"/>
    <mergeCell ref="B13345:F13345"/>
    <mergeCell ref="B13353:F13353"/>
    <mergeCell ref="B13355:F13355"/>
    <mergeCell ref="B13356:F13356"/>
    <mergeCell ref="B13357:F13357"/>
    <mergeCell ref="D13359:F13359"/>
    <mergeCell ref="D13360:F13360"/>
    <mergeCell ref="B13365:F13365"/>
    <mergeCell ref="B13367:C13367"/>
    <mergeCell ref="E13367:F13367"/>
    <mergeCell ref="B13368:C13368"/>
    <mergeCell ref="B13369:C13369"/>
    <mergeCell ref="B13370:C13370"/>
    <mergeCell ref="D13375:F13375"/>
    <mergeCell ref="D13376:F13376"/>
    <mergeCell ref="D13377:F13377"/>
    <mergeCell ref="D13378:F13378"/>
    <mergeCell ref="D13379:F13379"/>
    <mergeCell ref="D13381:F13381"/>
    <mergeCell ref="B13383:F13383"/>
    <mergeCell ref="B13387:F13387"/>
    <mergeCell ref="B13388:F13388"/>
    <mergeCell ref="B13389:F13389"/>
    <mergeCell ref="B13390:F13390"/>
    <mergeCell ref="B13398:F13398"/>
    <mergeCell ref="B13400:F13400"/>
    <mergeCell ref="B13401:F13401"/>
    <mergeCell ref="B13402:F13402"/>
    <mergeCell ref="D13404:F13404"/>
    <mergeCell ref="D13405:F13405"/>
    <mergeCell ref="B13410:F13410"/>
    <mergeCell ref="B13412:C13412"/>
    <mergeCell ref="E13412:F13412"/>
    <mergeCell ref="B13413:C13413"/>
    <mergeCell ref="B13414:C13414"/>
    <mergeCell ref="B13415:C13415"/>
    <mergeCell ref="D13420:F13420"/>
    <mergeCell ref="D13421:F13421"/>
    <mergeCell ref="D13422:F13422"/>
    <mergeCell ref="D13423:F13423"/>
    <mergeCell ref="D13424:F13424"/>
    <mergeCell ref="D13426:F13426"/>
    <mergeCell ref="B13428:F13428"/>
    <mergeCell ref="B13432:F13432"/>
    <mergeCell ref="B13433:F13433"/>
    <mergeCell ref="B13434:F13434"/>
    <mergeCell ref="B13435:F13435"/>
    <mergeCell ref="B13443:F13443"/>
    <mergeCell ref="B13445:F13445"/>
    <mergeCell ref="B13446:F13446"/>
    <mergeCell ref="B13447:F13447"/>
    <mergeCell ref="D13449:F13449"/>
    <mergeCell ref="D13450:F13450"/>
    <mergeCell ref="B13455:F13455"/>
    <mergeCell ref="B13457:C13457"/>
    <mergeCell ref="E13457:F13457"/>
    <mergeCell ref="B13458:C13458"/>
    <mergeCell ref="B13459:C13459"/>
    <mergeCell ref="B13460:C13460"/>
    <mergeCell ref="D13465:F13465"/>
    <mergeCell ref="D13466:F13466"/>
    <mergeCell ref="D13467:F13467"/>
    <mergeCell ref="D13468:F13468"/>
    <mergeCell ref="D13469:F13469"/>
    <mergeCell ref="D13471:F13471"/>
    <mergeCell ref="B13473:F13473"/>
    <mergeCell ref="B13477:F13477"/>
    <mergeCell ref="B13478:F13478"/>
    <mergeCell ref="B13479:F13479"/>
    <mergeCell ref="B13480:F13480"/>
    <mergeCell ref="B13488:F13488"/>
    <mergeCell ref="B13490:F13490"/>
    <mergeCell ref="B13491:F13491"/>
    <mergeCell ref="B13492:F13492"/>
    <mergeCell ref="D13494:F13494"/>
    <mergeCell ref="D13495:F13495"/>
    <mergeCell ref="B13500:F13500"/>
  </mergeCells>
  <conditionalFormatting sqref="B28:F31">
    <cfRule type="expression" priority="2" aboveAverage="0" equalAverage="0" bottom="0" percent="0" rank="0" text="" dxfId="7">
      <formula>$B28&lt;&gt;""</formula>
    </cfRule>
  </conditionalFormatting>
  <conditionalFormatting sqref="B73:F76">
    <cfRule type="expression" priority="3" aboveAverage="0" equalAverage="0" bottom="0" percent="0" rank="0" text="" dxfId="7">
      <formula>$B73&lt;&gt;""</formula>
    </cfRule>
  </conditionalFormatting>
  <conditionalFormatting sqref="B118:F121">
    <cfRule type="expression" priority="4" aboveAverage="0" equalAverage="0" bottom="0" percent="0" rank="0" text="" dxfId="7">
      <formula>$B118&lt;&gt;""</formula>
    </cfRule>
  </conditionalFormatting>
  <conditionalFormatting sqref="B163:F166">
    <cfRule type="expression" priority="5" aboveAverage="0" equalAverage="0" bottom="0" percent="0" rank="0" text="" dxfId="7">
      <formula>$B163&lt;&gt;""</formula>
    </cfRule>
  </conditionalFormatting>
  <conditionalFormatting sqref="B208:F211">
    <cfRule type="expression" priority="6" aboveAverage="0" equalAverage="0" bottom="0" percent="0" rank="0" text="" dxfId="7">
      <formula>$B208&lt;&gt;""</formula>
    </cfRule>
  </conditionalFormatting>
  <conditionalFormatting sqref="B253:F256">
    <cfRule type="expression" priority="7" aboveAverage="0" equalAverage="0" bottom="0" percent="0" rank="0" text="" dxfId="7">
      <formula>$B253&lt;&gt;""</formula>
    </cfRule>
  </conditionalFormatting>
  <conditionalFormatting sqref="B298:F301">
    <cfRule type="expression" priority="8" aboveAverage="0" equalAverage="0" bottom="0" percent="0" rank="0" text="" dxfId="7">
      <formula>$B298&lt;&gt;""</formula>
    </cfRule>
  </conditionalFormatting>
  <conditionalFormatting sqref="B343:F346">
    <cfRule type="expression" priority="9" aboveAverage="0" equalAverage="0" bottom="0" percent="0" rank="0" text="" dxfId="7">
      <formula>$B343&lt;&gt;""</formula>
    </cfRule>
  </conditionalFormatting>
  <conditionalFormatting sqref="B388:F391">
    <cfRule type="expression" priority="10" aboveAverage="0" equalAverage="0" bottom="0" percent="0" rank="0" text="" dxfId="7">
      <formula>$B388&lt;&gt;""</formula>
    </cfRule>
  </conditionalFormatting>
  <conditionalFormatting sqref="B433:F436">
    <cfRule type="expression" priority="11" aboveAverage="0" equalAverage="0" bottom="0" percent="0" rank="0" text="" dxfId="7">
      <formula>$B433&lt;&gt;""</formula>
    </cfRule>
  </conditionalFormatting>
  <conditionalFormatting sqref="B478:F481">
    <cfRule type="expression" priority="12" aboveAverage="0" equalAverage="0" bottom="0" percent="0" rank="0" text="" dxfId="7">
      <formula>$B478&lt;&gt;""</formula>
    </cfRule>
  </conditionalFormatting>
  <conditionalFormatting sqref="B523:F526">
    <cfRule type="expression" priority="13" aboveAverage="0" equalAverage="0" bottom="0" percent="0" rank="0" text="" dxfId="7">
      <formula>$B523&lt;&gt;""</formula>
    </cfRule>
  </conditionalFormatting>
  <conditionalFormatting sqref="B568:F571">
    <cfRule type="expression" priority="14" aboveAverage="0" equalAverage="0" bottom="0" percent="0" rank="0" text="" dxfId="7">
      <formula>$B568&lt;&gt;""</formula>
    </cfRule>
  </conditionalFormatting>
  <conditionalFormatting sqref="B613:F616">
    <cfRule type="expression" priority="15" aboveAverage="0" equalAverage="0" bottom="0" percent="0" rank="0" text="" dxfId="7">
      <formula>$B613&lt;&gt;""</formula>
    </cfRule>
  </conditionalFormatting>
  <conditionalFormatting sqref="B658:F661">
    <cfRule type="expression" priority="16" aboveAverage="0" equalAverage="0" bottom="0" percent="0" rank="0" text="" dxfId="7">
      <formula>$B658&lt;&gt;""</formula>
    </cfRule>
  </conditionalFormatting>
  <conditionalFormatting sqref="B703:F706">
    <cfRule type="expression" priority="17" aboveAverage="0" equalAverage="0" bottom="0" percent="0" rank="0" text="" dxfId="7">
      <formula>$B703&lt;&gt;""</formula>
    </cfRule>
  </conditionalFormatting>
  <conditionalFormatting sqref="B748:F751">
    <cfRule type="expression" priority="18" aboveAverage="0" equalAverage="0" bottom="0" percent="0" rank="0" text="" dxfId="7">
      <formula>$B748&lt;&gt;""</formula>
    </cfRule>
  </conditionalFormatting>
  <conditionalFormatting sqref="B793:F796">
    <cfRule type="expression" priority="19" aboveAverage="0" equalAverage="0" bottom="0" percent="0" rank="0" text="" dxfId="7">
      <formula>$B793&lt;&gt;""</formula>
    </cfRule>
  </conditionalFormatting>
  <conditionalFormatting sqref="B838:F841">
    <cfRule type="expression" priority="20" aboveAverage="0" equalAverage="0" bottom="0" percent="0" rank="0" text="" dxfId="7">
      <formula>$B838&lt;&gt;""</formula>
    </cfRule>
  </conditionalFormatting>
  <conditionalFormatting sqref="B883:F886">
    <cfRule type="expression" priority="21" aboveAverage="0" equalAverage="0" bottom="0" percent="0" rank="0" text="" dxfId="7">
      <formula>$B883&lt;&gt;""</formula>
    </cfRule>
  </conditionalFormatting>
  <conditionalFormatting sqref="B928:F931">
    <cfRule type="expression" priority="22" aboveAverage="0" equalAverage="0" bottom="0" percent="0" rank="0" text="" dxfId="7">
      <formula>$B928&lt;&gt;""</formula>
    </cfRule>
  </conditionalFormatting>
  <conditionalFormatting sqref="B973:F976">
    <cfRule type="expression" priority="23" aboveAverage="0" equalAverage="0" bottom="0" percent="0" rank="0" text="" dxfId="7">
      <formula>$B973&lt;&gt;""</formula>
    </cfRule>
  </conditionalFormatting>
  <conditionalFormatting sqref="B1018:F1021">
    <cfRule type="expression" priority="24" aboveAverage="0" equalAverage="0" bottom="0" percent="0" rank="0" text="" dxfId="7">
      <formula>$B1018&lt;&gt;""</formula>
    </cfRule>
  </conditionalFormatting>
  <conditionalFormatting sqref="B1063:F1066">
    <cfRule type="expression" priority="25" aboveAverage="0" equalAverage="0" bottom="0" percent="0" rank="0" text="" dxfId="7">
      <formula>$B1063&lt;&gt;""</formula>
    </cfRule>
  </conditionalFormatting>
  <conditionalFormatting sqref="B1108:F1111">
    <cfRule type="expression" priority="26" aboveAverage="0" equalAverage="0" bottom="0" percent="0" rank="0" text="" dxfId="7">
      <formula>$B1108&lt;&gt;""</formula>
    </cfRule>
  </conditionalFormatting>
  <conditionalFormatting sqref="B1153:F1156">
    <cfRule type="expression" priority="27" aboveAverage="0" equalAverage="0" bottom="0" percent="0" rank="0" text="" dxfId="7">
      <formula>$B1153&lt;&gt;""</formula>
    </cfRule>
  </conditionalFormatting>
  <conditionalFormatting sqref="B1198:F1201">
    <cfRule type="expression" priority="28" aboveAverage="0" equalAverage="0" bottom="0" percent="0" rank="0" text="" dxfId="7">
      <formula>$B1198&lt;&gt;""</formula>
    </cfRule>
  </conditionalFormatting>
  <conditionalFormatting sqref="B1243:F1246">
    <cfRule type="expression" priority="29" aboveAverage="0" equalAverage="0" bottom="0" percent="0" rank="0" text="" dxfId="7">
      <formula>$B1243&lt;&gt;""</formula>
    </cfRule>
  </conditionalFormatting>
  <conditionalFormatting sqref="B1288:F1291">
    <cfRule type="expression" priority="30" aboveAverage="0" equalAverage="0" bottom="0" percent="0" rank="0" text="" dxfId="7">
      <formula>$B1288&lt;&gt;""</formula>
    </cfRule>
  </conditionalFormatting>
  <conditionalFormatting sqref="B1333:F1336">
    <cfRule type="expression" priority="31" aboveAverage="0" equalAverage="0" bottom="0" percent="0" rank="0" text="" dxfId="7">
      <formula>$B1333&lt;&gt;""</formula>
    </cfRule>
  </conditionalFormatting>
  <conditionalFormatting sqref="B1378:F1381">
    <cfRule type="expression" priority="32" aboveAverage="0" equalAverage="0" bottom="0" percent="0" rank="0" text="" dxfId="7">
      <formula>$B1378&lt;&gt;""</formula>
    </cfRule>
  </conditionalFormatting>
  <conditionalFormatting sqref="B1423:F1426">
    <cfRule type="expression" priority="33" aboveAverage="0" equalAverage="0" bottom="0" percent="0" rank="0" text="" dxfId="7">
      <formula>$B1423&lt;&gt;""</formula>
    </cfRule>
  </conditionalFormatting>
  <conditionalFormatting sqref="B1468:F1471">
    <cfRule type="expression" priority="34" aboveAverage="0" equalAverage="0" bottom="0" percent="0" rank="0" text="" dxfId="7">
      <formula>$B1468&lt;&gt;""</formula>
    </cfRule>
  </conditionalFormatting>
  <conditionalFormatting sqref="B1513:F1516">
    <cfRule type="expression" priority="35" aboveAverage="0" equalAverage="0" bottom="0" percent="0" rank="0" text="" dxfId="7">
      <formula>$B1513&lt;&gt;""</formula>
    </cfRule>
  </conditionalFormatting>
  <conditionalFormatting sqref="B1558:F1561">
    <cfRule type="expression" priority="36" aboveAverage="0" equalAverage="0" bottom="0" percent="0" rank="0" text="" dxfId="7">
      <formula>$B1558&lt;&gt;""</formula>
    </cfRule>
  </conditionalFormatting>
  <conditionalFormatting sqref="B1603:F1606">
    <cfRule type="expression" priority="37" aboveAverage="0" equalAverage="0" bottom="0" percent="0" rank="0" text="" dxfId="7">
      <formula>$B1603&lt;&gt;""</formula>
    </cfRule>
  </conditionalFormatting>
  <conditionalFormatting sqref="B1648:F1651">
    <cfRule type="expression" priority="38" aboveAverage="0" equalAverage="0" bottom="0" percent="0" rank="0" text="" dxfId="7">
      <formula>$B1648&lt;&gt;""</formula>
    </cfRule>
  </conditionalFormatting>
  <conditionalFormatting sqref="B1693:F1696">
    <cfRule type="expression" priority="39" aboveAverage="0" equalAverage="0" bottom="0" percent="0" rank="0" text="" dxfId="7">
      <formula>$B1693&lt;&gt;""</formula>
    </cfRule>
  </conditionalFormatting>
  <conditionalFormatting sqref="B1738:F1741">
    <cfRule type="expression" priority="40" aboveAverage="0" equalAverage="0" bottom="0" percent="0" rank="0" text="" dxfId="7">
      <formula>$B1738&lt;&gt;""</formula>
    </cfRule>
  </conditionalFormatting>
  <conditionalFormatting sqref="B1783:F1786">
    <cfRule type="expression" priority="41" aboveAverage="0" equalAverage="0" bottom="0" percent="0" rank="0" text="" dxfId="7">
      <formula>$B1783&lt;&gt;""</formula>
    </cfRule>
  </conditionalFormatting>
  <conditionalFormatting sqref="B1828:F1831">
    <cfRule type="expression" priority="42" aboveAverage="0" equalAverage="0" bottom="0" percent="0" rank="0" text="" dxfId="7">
      <formula>$B1828&lt;&gt;""</formula>
    </cfRule>
  </conditionalFormatting>
  <conditionalFormatting sqref="B1873:F1876">
    <cfRule type="expression" priority="43" aboveAverage="0" equalAverage="0" bottom="0" percent="0" rank="0" text="" dxfId="7">
      <formula>$B1873&lt;&gt;""</formula>
    </cfRule>
  </conditionalFormatting>
  <conditionalFormatting sqref="B1918:F1921">
    <cfRule type="expression" priority="44" aboveAverage="0" equalAverage="0" bottom="0" percent="0" rank="0" text="" dxfId="7">
      <formula>$B1918&lt;&gt;""</formula>
    </cfRule>
  </conditionalFormatting>
  <conditionalFormatting sqref="B1963:F1966">
    <cfRule type="expression" priority="45" aboveAverage="0" equalAverage="0" bottom="0" percent="0" rank="0" text="" dxfId="7">
      <formula>$B1963&lt;&gt;""</formula>
    </cfRule>
  </conditionalFormatting>
  <conditionalFormatting sqref="B2008:F2011">
    <cfRule type="expression" priority="46" aboveAverage="0" equalAverage="0" bottom="0" percent="0" rank="0" text="" dxfId="7">
      <formula>$B2008&lt;&gt;""</formula>
    </cfRule>
  </conditionalFormatting>
  <conditionalFormatting sqref="B2053:F2056">
    <cfRule type="expression" priority="47" aboveAverage="0" equalAverage="0" bottom="0" percent="0" rank="0" text="" dxfId="7">
      <formula>$B2053&lt;&gt;""</formula>
    </cfRule>
  </conditionalFormatting>
  <conditionalFormatting sqref="B2098:F2101">
    <cfRule type="expression" priority="48" aboveAverage="0" equalAverage="0" bottom="0" percent="0" rank="0" text="" dxfId="7">
      <formula>$B2098&lt;&gt;""</formula>
    </cfRule>
  </conditionalFormatting>
  <conditionalFormatting sqref="B2143:F2146">
    <cfRule type="expression" priority="49" aboveAverage="0" equalAverage="0" bottom="0" percent="0" rank="0" text="" dxfId="7">
      <formula>$B2143&lt;&gt;""</formula>
    </cfRule>
  </conditionalFormatting>
  <conditionalFormatting sqref="B2188:F2191">
    <cfRule type="expression" priority="50" aboveAverage="0" equalAverage="0" bottom="0" percent="0" rank="0" text="" dxfId="7">
      <formula>$B2188&lt;&gt;""</formula>
    </cfRule>
  </conditionalFormatting>
  <conditionalFormatting sqref="B2233:F2236">
    <cfRule type="expression" priority="51" aboveAverage="0" equalAverage="0" bottom="0" percent="0" rank="0" text="" dxfId="7">
      <formula>$B2233&lt;&gt;""</formula>
    </cfRule>
  </conditionalFormatting>
  <conditionalFormatting sqref="B2278:F2281">
    <cfRule type="expression" priority="52" aboveAverage="0" equalAverage="0" bottom="0" percent="0" rank="0" text="" dxfId="7">
      <formula>$B2278&lt;&gt;""</formula>
    </cfRule>
  </conditionalFormatting>
  <conditionalFormatting sqref="B2323:F2326">
    <cfRule type="expression" priority="53" aboveAverage="0" equalAverage="0" bottom="0" percent="0" rank="0" text="" dxfId="7">
      <formula>$B2323&lt;&gt;""</formula>
    </cfRule>
  </conditionalFormatting>
  <conditionalFormatting sqref="B2368:F2371">
    <cfRule type="expression" priority="54" aboveAverage="0" equalAverage="0" bottom="0" percent="0" rank="0" text="" dxfId="7">
      <formula>$B2368&lt;&gt;""</formula>
    </cfRule>
  </conditionalFormatting>
  <conditionalFormatting sqref="B2413:F2416">
    <cfRule type="expression" priority="55" aboveAverage="0" equalAverage="0" bottom="0" percent="0" rank="0" text="" dxfId="7">
      <formula>$B2413&lt;&gt;""</formula>
    </cfRule>
  </conditionalFormatting>
  <conditionalFormatting sqref="B2458:F2461">
    <cfRule type="expression" priority="56" aboveAverage="0" equalAverage="0" bottom="0" percent="0" rank="0" text="" dxfId="7">
      <formula>$B2458&lt;&gt;""</formula>
    </cfRule>
  </conditionalFormatting>
  <conditionalFormatting sqref="B2503:F2506">
    <cfRule type="expression" priority="57" aboveAverage="0" equalAverage="0" bottom="0" percent="0" rank="0" text="" dxfId="7">
      <formula>$B2503&lt;&gt;""</formula>
    </cfRule>
  </conditionalFormatting>
  <conditionalFormatting sqref="B2548:F2551">
    <cfRule type="expression" priority="58" aboveAverage="0" equalAverage="0" bottom="0" percent="0" rank="0" text="" dxfId="7">
      <formula>$B2548&lt;&gt;""</formula>
    </cfRule>
  </conditionalFormatting>
  <conditionalFormatting sqref="B2593:F2596">
    <cfRule type="expression" priority="59" aboveAverage="0" equalAverage="0" bottom="0" percent="0" rank="0" text="" dxfId="7">
      <formula>$B2593&lt;&gt;""</formula>
    </cfRule>
  </conditionalFormatting>
  <conditionalFormatting sqref="B2638:F2641">
    <cfRule type="expression" priority="60" aboveAverage="0" equalAverage="0" bottom="0" percent="0" rank="0" text="" dxfId="7">
      <formula>$B2638&lt;&gt;""</formula>
    </cfRule>
  </conditionalFormatting>
  <conditionalFormatting sqref="B2683:F2686">
    <cfRule type="expression" priority="61" aboveAverage="0" equalAverage="0" bottom="0" percent="0" rank="0" text="" dxfId="7">
      <formula>$B2683&lt;&gt;""</formula>
    </cfRule>
  </conditionalFormatting>
  <conditionalFormatting sqref="B2728:F2731">
    <cfRule type="expression" priority="62" aboveAverage="0" equalAverage="0" bottom="0" percent="0" rank="0" text="" dxfId="7">
      <formula>$B2728&lt;&gt;""</formula>
    </cfRule>
  </conditionalFormatting>
  <conditionalFormatting sqref="B2773:F2776">
    <cfRule type="expression" priority="63" aboveAverage="0" equalAverage="0" bottom="0" percent="0" rank="0" text="" dxfId="7">
      <formula>$B2773&lt;&gt;""</formula>
    </cfRule>
  </conditionalFormatting>
  <conditionalFormatting sqref="B2818:F2821">
    <cfRule type="expression" priority="64" aboveAverage="0" equalAverage="0" bottom="0" percent="0" rank="0" text="" dxfId="7">
      <formula>$B2818&lt;&gt;""</formula>
    </cfRule>
  </conditionalFormatting>
  <conditionalFormatting sqref="B2863:F2866">
    <cfRule type="expression" priority="65" aboveAverage="0" equalAverage="0" bottom="0" percent="0" rank="0" text="" dxfId="7">
      <formula>$B2863&lt;&gt;""</formula>
    </cfRule>
  </conditionalFormatting>
  <conditionalFormatting sqref="B2908:F2911">
    <cfRule type="expression" priority="66" aboveAverage="0" equalAverage="0" bottom="0" percent="0" rank="0" text="" dxfId="7">
      <formula>$B2908&lt;&gt;""</formula>
    </cfRule>
  </conditionalFormatting>
  <conditionalFormatting sqref="B2953:F2956">
    <cfRule type="expression" priority="67" aboveAverage="0" equalAverage="0" bottom="0" percent="0" rank="0" text="" dxfId="7">
      <formula>$B2953&lt;&gt;""</formula>
    </cfRule>
  </conditionalFormatting>
  <conditionalFormatting sqref="B2998:F3001">
    <cfRule type="expression" priority="68" aboveAverage="0" equalAverage="0" bottom="0" percent="0" rank="0" text="" dxfId="7">
      <formula>$B2998&lt;&gt;""</formula>
    </cfRule>
  </conditionalFormatting>
  <conditionalFormatting sqref="B3043:F3046">
    <cfRule type="expression" priority="69" aboveAverage="0" equalAverage="0" bottom="0" percent="0" rank="0" text="" dxfId="7">
      <formula>$B3043&lt;&gt;""</formula>
    </cfRule>
  </conditionalFormatting>
  <conditionalFormatting sqref="B3088:F3091">
    <cfRule type="expression" priority="70" aboveAverage="0" equalAverage="0" bottom="0" percent="0" rank="0" text="" dxfId="7">
      <formula>$B3088&lt;&gt;""</formula>
    </cfRule>
  </conditionalFormatting>
  <conditionalFormatting sqref="B3133:F3136">
    <cfRule type="expression" priority="71" aboveAverage="0" equalAverage="0" bottom="0" percent="0" rank="0" text="" dxfId="7">
      <formula>$B3133&lt;&gt;""</formula>
    </cfRule>
  </conditionalFormatting>
  <conditionalFormatting sqref="B3178:F3181">
    <cfRule type="expression" priority="72" aboveAverage="0" equalAverage="0" bottom="0" percent="0" rank="0" text="" dxfId="7">
      <formula>$B3178&lt;&gt;""</formula>
    </cfRule>
  </conditionalFormatting>
  <conditionalFormatting sqref="B3223:F3226">
    <cfRule type="expression" priority="73" aboveAverage="0" equalAverage="0" bottom="0" percent="0" rank="0" text="" dxfId="7">
      <formula>$B3223&lt;&gt;""</formula>
    </cfRule>
  </conditionalFormatting>
  <conditionalFormatting sqref="B3268:F3271">
    <cfRule type="expression" priority="74" aboveAverage="0" equalAverage="0" bottom="0" percent="0" rank="0" text="" dxfId="7">
      <formula>$B3268&lt;&gt;""</formula>
    </cfRule>
  </conditionalFormatting>
  <conditionalFormatting sqref="B3313:F3316">
    <cfRule type="expression" priority="75" aboveAverage="0" equalAverage="0" bottom="0" percent="0" rank="0" text="" dxfId="7">
      <formula>$B3313&lt;&gt;""</formula>
    </cfRule>
  </conditionalFormatting>
  <conditionalFormatting sqref="B3358:F3361">
    <cfRule type="expression" priority="76" aboveAverage="0" equalAverage="0" bottom="0" percent="0" rank="0" text="" dxfId="7">
      <formula>$B3358&lt;&gt;""</formula>
    </cfRule>
  </conditionalFormatting>
  <conditionalFormatting sqref="B3403:F3406">
    <cfRule type="expression" priority="77" aboveAverage="0" equalAverage="0" bottom="0" percent="0" rank="0" text="" dxfId="7">
      <formula>$B3403&lt;&gt;""</formula>
    </cfRule>
  </conditionalFormatting>
  <conditionalFormatting sqref="B3448:F3451">
    <cfRule type="expression" priority="78" aboveAverage="0" equalAverage="0" bottom="0" percent="0" rank="0" text="" dxfId="7">
      <formula>$B3448&lt;&gt;""</formula>
    </cfRule>
  </conditionalFormatting>
  <conditionalFormatting sqref="B3493:F3496">
    <cfRule type="expression" priority="79" aboveAverage="0" equalAverage="0" bottom="0" percent="0" rank="0" text="" dxfId="7">
      <formula>$B3493&lt;&gt;""</formula>
    </cfRule>
  </conditionalFormatting>
  <conditionalFormatting sqref="B3538:F3541">
    <cfRule type="expression" priority="80" aboveAverage="0" equalAverage="0" bottom="0" percent="0" rank="0" text="" dxfId="7">
      <formula>$B3538&lt;&gt;""</formula>
    </cfRule>
  </conditionalFormatting>
  <conditionalFormatting sqref="B3583:F3586">
    <cfRule type="expression" priority="81" aboveAverage="0" equalAverage="0" bottom="0" percent="0" rank="0" text="" dxfId="7">
      <formula>$B3583&lt;&gt;""</formula>
    </cfRule>
  </conditionalFormatting>
  <conditionalFormatting sqref="B3628:F3631">
    <cfRule type="expression" priority="82" aboveAverage="0" equalAverage="0" bottom="0" percent="0" rank="0" text="" dxfId="7">
      <formula>$B3628&lt;&gt;""</formula>
    </cfRule>
  </conditionalFormatting>
  <conditionalFormatting sqref="B3673:F3676">
    <cfRule type="expression" priority="83" aboveAverage="0" equalAverage="0" bottom="0" percent="0" rank="0" text="" dxfId="7">
      <formula>$B3673&lt;&gt;""</formula>
    </cfRule>
  </conditionalFormatting>
  <conditionalFormatting sqref="B3718:F3721">
    <cfRule type="expression" priority="84" aboveAverage="0" equalAverage="0" bottom="0" percent="0" rank="0" text="" dxfId="7">
      <formula>$B3718&lt;&gt;""</formula>
    </cfRule>
  </conditionalFormatting>
  <conditionalFormatting sqref="B3763:F3766">
    <cfRule type="expression" priority="85" aboveAverage="0" equalAverage="0" bottom="0" percent="0" rank="0" text="" dxfId="7">
      <formula>$B3763&lt;&gt;""</formula>
    </cfRule>
  </conditionalFormatting>
  <conditionalFormatting sqref="B3808:F3811">
    <cfRule type="expression" priority="86" aboveAverage="0" equalAverage="0" bottom="0" percent="0" rank="0" text="" dxfId="7">
      <formula>$B3808&lt;&gt;""</formula>
    </cfRule>
  </conditionalFormatting>
  <conditionalFormatting sqref="B3853:F3856">
    <cfRule type="expression" priority="87" aboveAverage="0" equalAverage="0" bottom="0" percent="0" rank="0" text="" dxfId="7">
      <formula>$B3853&lt;&gt;""</formula>
    </cfRule>
  </conditionalFormatting>
  <conditionalFormatting sqref="B3898:F3901">
    <cfRule type="expression" priority="88" aboveAverage="0" equalAverage="0" bottom="0" percent="0" rank="0" text="" dxfId="7">
      <formula>$B3898&lt;&gt;""</formula>
    </cfRule>
  </conditionalFormatting>
  <conditionalFormatting sqref="B3943:F3946">
    <cfRule type="expression" priority="89" aboveAverage="0" equalAverage="0" bottom="0" percent="0" rank="0" text="" dxfId="7">
      <formula>$B3943&lt;&gt;""</formula>
    </cfRule>
  </conditionalFormatting>
  <conditionalFormatting sqref="B3988:F3991">
    <cfRule type="expression" priority="90" aboveAverage="0" equalAverage="0" bottom="0" percent="0" rank="0" text="" dxfId="7">
      <formula>$B3988&lt;&gt;""</formula>
    </cfRule>
  </conditionalFormatting>
  <conditionalFormatting sqref="B4033:F4036">
    <cfRule type="expression" priority="91" aboveAverage="0" equalAverage="0" bottom="0" percent="0" rank="0" text="" dxfId="7">
      <formula>$B4033&lt;&gt;""</formula>
    </cfRule>
  </conditionalFormatting>
  <conditionalFormatting sqref="B4078:F4081">
    <cfRule type="expression" priority="92" aboveAverage="0" equalAverage="0" bottom="0" percent="0" rank="0" text="" dxfId="7">
      <formula>$B4078&lt;&gt;""</formula>
    </cfRule>
  </conditionalFormatting>
  <conditionalFormatting sqref="B4123:F4126">
    <cfRule type="expression" priority="93" aboveAverage="0" equalAverage="0" bottom="0" percent="0" rank="0" text="" dxfId="7">
      <formula>$B4123&lt;&gt;""</formula>
    </cfRule>
  </conditionalFormatting>
  <conditionalFormatting sqref="B4168:F4171">
    <cfRule type="expression" priority="94" aboveAverage="0" equalAverage="0" bottom="0" percent="0" rank="0" text="" dxfId="7">
      <formula>$B4168&lt;&gt;""</formula>
    </cfRule>
  </conditionalFormatting>
  <conditionalFormatting sqref="B4213:F4216">
    <cfRule type="expression" priority="95" aboveAverage="0" equalAverage="0" bottom="0" percent="0" rank="0" text="" dxfId="7">
      <formula>$B4213&lt;&gt;""</formula>
    </cfRule>
  </conditionalFormatting>
  <conditionalFormatting sqref="B4258:F4261">
    <cfRule type="expression" priority="96" aboveAverage="0" equalAverage="0" bottom="0" percent="0" rank="0" text="" dxfId="7">
      <formula>$B4258&lt;&gt;""</formula>
    </cfRule>
  </conditionalFormatting>
  <conditionalFormatting sqref="B4303:F4306">
    <cfRule type="expression" priority="97" aboveAverage="0" equalAverage="0" bottom="0" percent="0" rank="0" text="" dxfId="7">
      <formula>$B4303&lt;&gt;""</formula>
    </cfRule>
  </conditionalFormatting>
  <conditionalFormatting sqref="B4348:F4351">
    <cfRule type="expression" priority="98" aboveAverage="0" equalAverage="0" bottom="0" percent="0" rank="0" text="" dxfId="7">
      <formula>$B4348&lt;&gt;""</formula>
    </cfRule>
  </conditionalFormatting>
  <conditionalFormatting sqref="B4393:F4396">
    <cfRule type="expression" priority="99" aboveAverage="0" equalAverage="0" bottom="0" percent="0" rank="0" text="" dxfId="7">
      <formula>$B4393&lt;&gt;""</formula>
    </cfRule>
  </conditionalFormatting>
  <conditionalFormatting sqref="B4438:F4441">
    <cfRule type="expression" priority="100" aboveAverage="0" equalAverage="0" bottom="0" percent="0" rank="0" text="" dxfId="7">
      <formula>$B4438&lt;&gt;""</formula>
    </cfRule>
  </conditionalFormatting>
  <conditionalFormatting sqref="B4483:F4486">
    <cfRule type="expression" priority="101" aboveAverage="0" equalAverage="0" bottom="0" percent="0" rank="0" text="" dxfId="7">
      <formula>$B4483&lt;&gt;""</formula>
    </cfRule>
  </conditionalFormatting>
  <conditionalFormatting sqref="B4528:F4531">
    <cfRule type="expression" priority="102" aboveAverage="0" equalAverage="0" bottom="0" percent="0" rank="0" text="" dxfId="7">
      <formula>$B4528&lt;&gt;""</formula>
    </cfRule>
  </conditionalFormatting>
  <conditionalFormatting sqref="B4573:F4576">
    <cfRule type="expression" priority="103" aboveAverage="0" equalAverage="0" bottom="0" percent="0" rank="0" text="" dxfId="7">
      <formula>$B4573&lt;&gt;""</formula>
    </cfRule>
  </conditionalFormatting>
  <conditionalFormatting sqref="B4618:F4621">
    <cfRule type="expression" priority="104" aboveAverage="0" equalAverage="0" bottom="0" percent="0" rank="0" text="" dxfId="7">
      <formula>$B4618&lt;&gt;""</formula>
    </cfRule>
  </conditionalFormatting>
  <conditionalFormatting sqref="B4663:F4666">
    <cfRule type="expression" priority="105" aboveAverage="0" equalAverage="0" bottom="0" percent="0" rank="0" text="" dxfId="7">
      <formula>$B4663&lt;&gt;""</formula>
    </cfRule>
  </conditionalFormatting>
  <conditionalFormatting sqref="B4708:F4711">
    <cfRule type="expression" priority="106" aboveAverage="0" equalAverage="0" bottom="0" percent="0" rank="0" text="" dxfId="7">
      <formula>$B4708&lt;&gt;""</formula>
    </cfRule>
  </conditionalFormatting>
  <conditionalFormatting sqref="B4753:F4756">
    <cfRule type="expression" priority="107" aboveAverage="0" equalAverage="0" bottom="0" percent="0" rank="0" text="" dxfId="7">
      <formula>$B4753&lt;&gt;""</formula>
    </cfRule>
  </conditionalFormatting>
  <conditionalFormatting sqref="B4798:F4801">
    <cfRule type="expression" priority="108" aboveAverage="0" equalAverage="0" bottom="0" percent="0" rank="0" text="" dxfId="7">
      <formula>$B4798&lt;&gt;""</formula>
    </cfRule>
  </conditionalFormatting>
  <conditionalFormatting sqref="B4843:F4846">
    <cfRule type="expression" priority="109" aboveAverage="0" equalAverage="0" bottom="0" percent="0" rank="0" text="" dxfId="7">
      <formula>$B4843&lt;&gt;""</formula>
    </cfRule>
  </conditionalFormatting>
  <conditionalFormatting sqref="B4888:F4891">
    <cfRule type="expression" priority="110" aboveAverage="0" equalAverage="0" bottom="0" percent="0" rank="0" text="" dxfId="7">
      <formula>$B4888&lt;&gt;""</formula>
    </cfRule>
  </conditionalFormatting>
  <conditionalFormatting sqref="B4933:F4936">
    <cfRule type="expression" priority="111" aboveAverage="0" equalAverage="0" bottom="0" percent="0" rank="0" text="" dxfId="7">
      <formula>$B4933&lt;&gt;""</formula>
    </cfRule>
  </conditionalFormatting>
  <conditionalFormatting sqref="B4978:F4981">
    <cfRule type="expression" priority="112" aboveAverage="0" equalAverage="0" bottom="0" percent="0" rank="0" text="" dxfId="7">
      <formula>$B4978&lt;&gt;""</formula>
    </cfRule>
  </conditionalFormatting>
  <conditionalFormatting sqref="B5023:F5026">
    <cfRule type="expression" priority="113" aboveAverage="0" equalAverage="0" bottom="0" percent="0" rank="0" text="" dxfId="7">
      <formula>$B5023&lt;&gt;""</formula>
    </cfRule>
  </conditionalFormatting>
  <conditionalFormatting sqref="B5068:F5071">
    <cfRule type="expression" priority="114" aboveAverage="0" equalAverage="0" bottom="0" percent="0" rank="0" text="" dxfId="7">
      <formula>$B5068&lt;&gt;""</formula>
    </cfRule>
  </conditionalFormatting>
  <conditionalFormatting sqref="B5113:F5116">
    <cfRule type="expression" priority="115" aboveAverage="0" equalAverage="0" bottom="0" percent="0" rank="0" text="" dxfId="7">
      <formula>$B5113&lt;&gt;""</formula>
    </cfRule>
  </conditionalFormatting>
  <conditionalFormatting sqref="B5158:F5161">
    <cfRule type="expression" priority="116" aboveAverage="0" equalAverage="0" bottom="0" percent="0" rank="0" text="" dxfId="7">
      <formula>$B5158&lt;&gt;""</formula>
    </cfRule>
  </conditionalFormatting>
  <conditionalFormatting sqref="B5203:F5206">
    <cfRule type="expression" priority="117" aboveAverage="0" equalAverage="0" bottom="0" percent="0" rank="0" text="" dxfId="7">
      <formula>$B5203&lt;&gt;""</formula>
    </cfRule>
  </conditionalFormatting>
  <conditionalFormatting sqref="B5248:F5251">
    <cfRule type="expression" priority="118" aboveAverage="0" equalAverage="0" bottom="0" percent="0" rank="0" text="" dxfId="7">
      <formula>$B5248&lt;&gt;""</formula>
    </cfRule>
  </conditionalFormatting>
  <conditionalFormatting sqref="B5293:F5296">
    <cfRule type="expression" priority="119" aboveAverage="0" equalAverage="0" bottom="0" percent="0" rank="0" text="" dxfId="7">
      <formula>$B5293&lt;&gt;""</formula>
    </cfRule>
  </conditionalFormatting>
  <conditionalFormatting sqref="B5338:F5341">
    <cfRule type="expression" priority="120" aboveAverage="0" equalAverage="0" bottom="0" percent="0" rank="0" text="" dxfId="7">
      <formula>$B5338&lt;&gt;""</formula>
    </cfRule>
  </conditionalFormatting>
  <conditionalFormatting sqref="B5383:F5386">
    <cfRule type="expression" priority="121" aboveAverage="0" equalAverage="0" bottom="0" percent="0" rank="0" text="" dxfId="7">
      <formula>$B5383&lt;&gt;""</formula>
    </cfRule>
  </conditionalFormatting>
  <conditionalFormatting sqref="B5428:F5431">
    <cfRule type="expression" priority="122" aboveAverage="0" equalAverage="0" bottom="0" percent="0" rank="0" text="" dxfId="7">
      <formula>$B5428&lt;&gt;""</formula>
    </cfRule>
  </conditionalFormatting>
  <conditionalFormatting sqref="B5473:F5476">
    <cfRule type="expression" priority="123" aboveAverage="0" equalAverage="0" bottom="0" percent="0" rank="0" text="" dxfId="7">
      <formula>$B5473&lt;&gt;""</formula>
    </cfRule>
  </conditionalFormatting>
  <conditionalFormatting sqref="B5518:F5521">
    <cfRule type="expression" priority="124" aboveAverage="0" equalAverage="0" bottom="0" percent="0" rank="0" text="" dxfId="7">
      <formula>$B5518&lt;&gt;""</formula>
    </cfRule>
  </conditionalFormatting>
  <conditionalFormatting sqref="B5563:F5566">
    <cfRule type="expression" priority="125" aboveAverage="0" equalAverage="0" bottom="0" percent="0" rank="0" text="" dxfId="7">
      <formula>$B5563&lt;&gt;""</formula>
    </cfRule>
  </conditionalFormatting>
  <conditionalFormatting sqref="B5608:F5611">
    <cfRule type="expression" priority="126" aboveAverage="0" equalAverage="0" bottom="0" percent="0" rank="0" text="" dxfId="7">
      <formula>$B5608&lt;&gt;""</formula>
    </cfRule>
  </conditionalFormatting>
  <conditionalFormatting sqref="B5653:F5656">
    <cfRule type="expression" priority="127" aboveAverage="0" equalAverage="0" bottom="0" percent="0" rank="0" text="" dxfId="7">
      <formula>$B5653&lt;&gt;""</formula>
    </cfRule>
  </conditionalFormatting>
  <conditionalFormatting sqref="B5698:F5701">
    <cfRule type="expression" priority="128" aboveAverage="0" equalAverage="0" bottom="0" percent="0" rank="0" text="" dxfId="7">
      <formula>$B5698&lt;&gt;""</formula>
    </cfRule>
  </conditionalFormatting>
  <conditionalFormatting sqref="B5743:F5746">
    <cfRule type="expression" priority="129" aboveAverage="0" equalAverage="0" bottom="0" percent="0" rank="0" text="" dxfId="7">
      <formula>$B5743&lt;&gt;""</formula>
    </cfRule>
  </conditionalFormatting>
  <conditionalFormatting sqref="B5788:F5791">
    <cfRule type="expression" priority="130" aboveAverage="0" equalAverage="0" bottom="0" percent="0" rank="0" text="" dxfId="7">
      <formula>$B5788&lt;&gt;""</formula>
    </cfRule>
  </conditionalFormatting>
  <conditionalFormatting sqref="B5833:F5836">
    <cfRule type="expression" priority="131" aboveAverage="0" equalAverage="0" bottom="0" percent="0" rank="0" text="" dxfId="7">
      <formula>$B5833&lt;&gt;""</formula>
    </cfRule>
  </conditionalFormatting>
  <conditionalFormatting sqref="B5878:F5881">
    <cfRule type="expression" priority="132" aboveAverage="0" equalAverage="0" bottom="0" percent="0" rank="0" text="" dxfId="7">
      <formula>$B5878&lt;&gt;""</formula>
    </cfRule>
  </conditionalFormatting>
  <conditionalFormatting sqref="B5923:F5926">
    <cfRule type="expression" priority="133" aboveAverage="0" equalAverage="0" bottom="0" percent="0" rank="0" text="" dxfId="7">
      <formula>$B5923&lt;&gt;""</formula>
    </cfRule>
  </conditionalFormatting>
  <conditionalFormatting sqref="B5968:F5971">
    <cfRule type="expression" priority="134" aboveAverage="0" equalAverage="0" bottom="0" percent="0" rank="0" text="" dxfId="7">
      <formula>$B5968&lt;&gt;""</formula>
    </cfRule>
  </conditionalFormatting>
  <conditionalFormatting sqref="B6013:F6016">
    <cfRule type="expression" priority="135" aboveAverage="0" equalAverage="0" bottom="0" percent="0" rank="0" text="" dxfId="7">
      <formula>$B6013&lt;&gt;""</formula>
    </cfRule>
  </conditionalFormatting>
  <conditionalFormatting sqref="B6058:F6061">
    <cfRule type="expression" priority="136" aboveAverage="0" equalAverage="0" bottom="0" percent="0" rank="0" text="" dxfId="7">
      <formula>$B6058&lt;&gt;""</formula>
    </cfRule>
  </conditionalFormatting>
  <conditionalFormatting sqref="B6103:F6106">
    <cfRule type="expression" priority="137" aboveAverage="0" equalAverage="0" bottom="0" percent="0" rank="0" text="" dxfId="7">
      <formula>$B6103&lt;&gt;""</formula>
    </cfRule>
  </conditionalFormatting>
  <conditionalFormatting sqref="B6148:F6151">
    <cfRule type="expression" priority="138" aboveAverage="0" equalAverage="0" bottom="0" percent="0" rank="0" text="" dxfId="7">
      <formula>$B6148&lt;&gt;""</formula>
    </cfRule>
  </conditionalFormatting>
  <conditionalFormatting sqref="B6193:F6196">
    <cfRule type="expression" priority="139" aboveAverage="0" equalAverage="0" bottom="0" percent="0" rank="0" text="" dxfId="7">
      <formula>$B6193&lt;&gt;""</formula>
    </cfRule>
  </conditionalFormatting>
  <conditionalFormatting sqref="B6238:F6241">
    <cfRule type="expression" priority="140" aboveAverage="0" equalAverage="0" bottom="0" percent="0" rank="0" text="" dxfId="7">
      <formula>$B6238&lt;&gt;""</formula>
    </cfRule>
  </conditionalFormatting>
  <conditionalFormatting sqref="B6283:F6286">
    <cfRule type="expression" priority="141" aboveAverage="0" equalAverage="0" bottom="0" percent="0" rank="0" text="" dxfId="7">
      <formula>$B6283&lt;&gt;""</formula>
    </cfRule>
  </conditionalFormatting>
  <conditionalFormatting sqref="B6328:F6331">
    <cfRule type="expression" priority="142" aboveAverage="0" equalAverage="0" bottom="0" percent="0" rank="0" text="" dxfId="7">
      <formula>$B6328&lt;&gt;""</formula>
    </cfRule>
  </conditionalFormatting>
  <conditionalFormatting sqref="B6373:F6376">
    <cfRule type="expression" priority="143" aboveAverage="0" equalAverage="0" bottom="0" percent="0" rank="0" text="" dxfId="7">
      <formula>$B6373&lt;&gt;""</formula>
    </cfRule>
  </conditionalFormatting>
  <conditionalFormatting sqref="B6418:F6421">
    <cfRule type="expression" priority="144" aboveAverage="0" equalAverage="0" bottom="0" percent="0" rank="0" text="" dxfId="7">
      <formula>$B6418&lt;&gt;""</formula>
    </cfRule>
  </conditionalFormatting>
  <conditionalFormatting sqref="B6463:F6466">
    <cfRule type="expression" priority="145" aboveAverage="0" equalAverage="0" bottom="0" percent="0" rank="0" text="" dxfId="7">
      <formula>$B6463&lt;&gt;""</formula>
    </cfRule>
  </conditionalFormatting>
  <conditionalFormatting sqref="B6508:F6511">
    <cfRule type="expression" priority="146" aboveAverage="0" equalAverage="0" bottom="0" percent="0" rank="0" text="" dxfId="7">
      <formula>$B6508&lt;&gt;""</formula>
    </cfRule>
  </conditionalFormatting>
  <conditionalFormatting sqref="B6553:F6556">
    <cfRule type="expression" priority="147" aboveAverage="0" equalAverage="0" bottom="0" percent="0" rank="0" text="" dxfId="7">
      <formula>$B6553&lt;&gt;""</formula>
    </cfRule>
  </conditionalFormatting>
  <conditionalFormatting sqref="B6598:F6601">
    <cfRule type="expression" priority="148" aboveAverage="0" equalAverage="0" bottom="0" percent="0" rank="0" text="" dxfId="7">
      <formula>$B6598&lt;&gt;""</formula>
    </cfRule>
  </conditionalFormatting>
  <conditionalFormatting sqref="B6643:F6646">
    <cfRule type="expression" priority="149" aboveAverage="0" equalAverage="0" bottom="0" percent="0" rank="0" text="" dxfId="7">
      <formula>$B6643&lt;&gt;""</formula>
    </cfRule>
  </conditionalFormatting>
  <conditionalFormatting sqref="B6688:F6691">
    <cfRule type="expression" priority="150" aboveAverage="0" equalAverage="0" bottom="0" percent="0" rank="0" text="" dxfId="7">
      <formula>$B6688&lt;&gt;""</formula>
    </cfRule>
  </conditionalFormatting>
  <conditionalFormatting sqref="B6733:F6736">
    <cfRule type="expression" priority="151" aboveAverage="0" equalAverage="0" bottom="0" percent="0" rank="0" text="" dxfId="7">
      <formula>$B6733&lt;&gt;""</formula>
    </cfRule>
  </conditionalFormatting>
  <conditionalFormatting sqref="B6778:F6781">
    <cfRule type="expression" priority="152" aboveAverage="0" equalAverage="0" bottom="0" percent="0" rank="0" text="" dxfId="7">
      <formula>$B6778&lt;&gt;""</formula>
    </cfRule>
  </conditionalFormatting>
  <conditionalFormatting sqref="B6823:F6826">
    <cfRule type="expression" priority="153" aboveAverage="0" equalAverage="0" bottom="0" percent="0" rank="0" text="" dxfId="7">
      <formula>$B6823&lt;&gt;""</formula>
    </cfRule>
  </conditionalFormatting>
  <conditionalFormatting sqref="B6868:F6871">
    <cfRule type="expression" priority="154" aboveAverage="0" equalAverage="0" bottom="0" percent="0" rank="0" text="" dxfId="7">
      <formula>$B6868&lt;&gt;""</formula>
    </cfRule>
  </conditionalFormatting>
  <conditionalFormatting sqref="B6913:F6916">
    <cfRule type="expression" priority="155" aboveAverage="0" equalAverage="0" bottom="0" percent="0" rank="0" text="" dxfId="7">
      <formula>$B6913&lt;&gt;""</formula>
    </cfRule>
  </conditionalFormatting>
  <conditionalFormatting sqref="B6958:F6961">
    <cfRule type="expression" priority="156" aboveAverage="0" equalAverage="0" bottom="0" percent="0" rank="0" text="" dxfId="7">
      <formula>$B6958&lt;&gt;""</formula>
    </cfRule>
  </conditionalFormatting>
  <conditionalFormatting sqref="B7003:F7006">
    <cfRule type="expression" priority="157" aboveAverage="0" equalAverage="0" bottom="0" percent="0" rank="0" text="" dxfId="7">
      <formula>$B7003&lt;&gt;""</formula>
    </cfRule>
  </conditionalFormatting>
  <conditionalFormatting sqref="B7048:F7051">
    <cfRule type="expression" priority="158" aboveAverage="0" equalAverage="0" bottom="0" percent="0" rank="0" text="" dxfId="7">
      <formula>$B7048&lt;&gt;""</formula>
    </cfRule>
  </conditionalFormatting>
  <conditionalFormatting sqref="B7093:F7096">
    <cfRule type="expression" priority="159" aboveAverage="0" equalAverage="0" bottom="0" percent="0" rank="0" text="" dxfId="7">
      <formula>$B7093&lt;&gt;""</formula>
    </cfRule>
  </conditionalFormatting>
  <conditionalFormatting sqref="B7138:F7141">
    <cfRule type="expression" priority="160" aboveAverage="0" equalAverage="0" bottom="0" percent="0" rank="0" text="" dxfId="7">
      <formula>$B7138&lt;&gt;""</formula>
    </cfRule>
  </conditionalFormatting>
  <conditionalFormatting sqref="B7183:F7186">
    <cfRule type="expression" priority="161" aboveAverage="0" equalAverage="0" bottom="0" percent="0" rank="0" text="" dxfId="7">
      <formula>$B7183&lt;&gt;""</formula>
    </cfRule>
  </conditionalFormatting>
  <conditionalFormatting sqref="B7228:F7231">
    <cfRule type="expression" priority="162" aboveAverage="0" equalAverage="0" bottom="0" percent="0" rank="0" text="" dxfId="7">
      <formula>$B7228&lt;&gt;""</formula>
    </cfRule>
  </conditionalFormatting>
  <conditionalFormatting sqref="B7273:F7276">
    <cfRule type="expression" priority="163" aboveAverage="0" equalAverage="0" bottom="0" percent="0" rank="0" text="" dxfId="7">
      <formula>$B7273&lt;&gt;""</formula>
    </cfRule>
  </conditionalFormatting>
  <conditionalFormatting sqref="B7318:F7321">
    <cfRule type="expression" priority="164" aboveAverage="0" equalAverage="0" bottom="0" percent="0" rank="0" text="" dxfId="7">
      <formula>$B7318&lt;&gt;""</formula>
    </cfRule>
  </conditionalFormatting>
  <conditionalFormatting sqref="B7363:F7366">
    <cfRule type="expression" priority="165" aboveAverage="0" equalAverage="0" bottom="0" percent="0" rank="0" text="" dxfId="7">
      <formula>$B7363&lt;&gt;""</formula>
    </cfRule>
  </conditionalFormatting>
  <conditionalFormatting sqref="B7408:F7411">
    <cfRule type="expression" priority="166" aboveAverage="0" equalAverage="0" bottom="0" percent="0" rank="0" text="" dxfId="7">
      <formula>$B7408&lt;&gt;""</formula>
    </cfRule>
  </conditionalFormatting>
  <conditionalFormatting sqref="B7453:F7456">
    <cfRule type="expression" priority="167" aboveAverage="0" equalAverage="0" bottom="0" percent="0" rank="0" text="" dxfId="7">
      <formula>$B7453&lt;&gt;""</formula>
    </cfRule>
  </conditionalFormatting>
  <conditionalFormatting sqref="B7498:F7501">
    <cfRule type="expression" priority="168" aboveAverage="0" equalAverage="0" bottom="0" percent="0" rank="0" text="" dxfId="7">
      <formula>$B7498&lt;&gt;""</formula>
    </cfRule>
  </conditionalFormatting>
  <conditionalFormatting sqref="B7543:F7546">
    <cfRule type="expression" priority="169" aboveAverage="0" equalAverage="0" bottom="0" percent="0" rank="0" text="" dxfId="7">
      <formula>$B7543&lt;&gt;""</formula>
    </cfRule>
  </conditionalFormatting>
  <conditionalFormatting sqref="B7588:F7591">
    <cfRule type="expression" priority="170" aboveAverage="0" equalAverage="0" bottom="0" percent="0" rank="0" text="" dxfId="7">
      <formula>$B7588&lt;&gt;""</formula>
    </cfRule>
  </conditionalFormatting>
  <conditionalFormatting sqref="B7633:F7636">
    <cfRule type="expression" priority="171" aboveAverage="0" equalAverage="0" bottom="0" percent="0" rank="0" text="" dxfId="7">
      <formula>$B7633&lt;&gt;""</formula>
    </cfRule>
  </conditionalFormatting>
  <conditionalFormatting sqref="B7678:F7681">
    <cfRule type="expression" priority="172" aboveAverage="0" equalAverage="0" bottom="0" percent="0" rank="0" text="" dxfId="7">
      <formula>$B7678&lt;&gt;""</formula>
    </cfRule>
  </conditionalFormatting>
  <conditionalFormatting sqref="B7723:F7726">
    <cfRule type="expression" priority="173" aboveAverage="0" equalAverage="0" bottom="0" percent="0" rank="0" text="" dxfId="7">
      <formula>$B7723&lt;&gt;""</formula>
    </cfRule>
  </conditionalFormatting>
  <conditionalFormatting sqref="B7768:F7771">
    <cfRule type="expression" priority="174" aboveAverage="0" equalAverage="0" bottom="0" percent="0" rank="0" text="" dxfId="7">
      <formula>$B7768&lt;&gt;""</formula>
    </cfRule>
  </conditionalFormatting>
  <conditionalFormatting sqref="B7813:F7816">
    <cfRule type="expression" priority="175" aboveAverage="0" equalAverage="0" bottom="0" percent="0" rank="0" text="" dxfId="7">
      <formula>$B7813&lt;&gt;""</formula>
    </cfRule>
  </conditionalFormatting>
  <conditionalFormatting sqref="B7858:F7861">
    <cfRule type="expression" priority="176" aboveAverage="0" equalAverage="0" bottom="0" percent="0" rank="0" text="" dxfId="7">
      <formula>$B7858&lt;&gt;""</formula>
    </cfRule>
  </conditionalFormatting>
  <conditionalFormatting sqref="B7903:F7906">
    <cfRule type="expression" priority="177" aboveAverage="0" equalAverage="0" bottom="0" percent="0" rank="0" text="" dxfId="7">
      <formula>$B7903&lt;&gt;""</formula>
    </cfRule>
  </conditionalFormatting>
  <conditionalFormatting sqref="B7948:F7951">
    <cfRule type="expression" priority="178" aboveAverage="0" equalAverage="0" bottom="0" percent="0" rank="0" text="" dxfId="7">
      <formula>$B7948&lt;&gt;""</formula>
    </cfRule>
  </conditionalFormatting>
  <conditionalFormatting sqref="B7993:F7996">
    <cfRule type="expression" priority="179" aboveAverage="0" equalAverage="0" bottom="0" percent="0" rank="0" text="" dxfId="7">
      <formula>$B7993&lt;&gt;""</formula>
    </cfRule>
  </conditionalFormatting>
  <conditionalFormatting sqref="B8038:F8041">
    <cfRule type="expression" priority="180" aboveAverage="0" equalAverage="0" bottom="0" percent="0" rank="0" text="" dxfId="7">
      <formula>$B8038&lt;&gt;""</formula>
    </cfRule>
  </conditionalFormatting>
  <conditionalFormatting sqref="B8083:F8086">
    <cfRule type="expression" priority="181" aboveAverage="0" equalAverage="0" bottom="0" percent="0" rank="0" text="" dxfId="7">
      <formula>$B8083&lt;&gt;""</formula>
    </cfRule>
  </conditionalFormatting>
  <conditionalFormatting sqref="B8128:F8131">
    <cfRule type="expression" priority="182" aboveAverage="0" equalAverage="0" bottom="0" percent="0" rank="0" text="" dxfId="7">
      <formula>$B8128&lt;&gt;""</formula>
    </cfRule>
  </conditionalFormatting>
  <conditionalFormatting sqref="B8173:F8176">
    <cfRule type="expression" priority="183" aboveAverage="0" equalAverage="0" bottom="0" percent="0" rank="0" text="" dxfId="7">
      <formula>$B8173&lt;&gt;""</formula>
    </cfRule>
  </conditionalFormatting>
  <conditionalFormatting sqref="B8218:F8221">
    <cfRule type="expression" priority="184" aboveAverage="0" equalAverage="0" bottom="0" percent="0" rank="0" text="" dxfId="7">
      <formula>$B8218&lt;&gt;""</formula>
    </cfRule>
  </conditionalFormatting>
  <conditionalFormatting sqref="B8263:F8266">
    <cfRule type="expression" priority="185" aboveAverage="0" equalAverage="0" bottom="0" percent="0" rank="0" text="" dxfId="7">
      <formula>$B8263&lt;&gt;""</formula>
    </cfRule>
  </conditionalFormatting>
  <conditionalFormatting sqref="B8308:F8311">
    <cfRule type="expression" priority="186" aboveAverage="0" equalAverage="0" bottom="0" percent="0" rank="0" text="" dxfId="7">
      <formula>$B8308&lt;&gt;""</formula>
    </cfRule>
  </conditionalFormatting>
  <conditionalFormatting sqref="B8353:F8356">
    <cfRule type="expression" priority="187" aboveAverage="0" equalAverage="0" bottom="0" percent="0" rank="0" text="" dxfId="7">
      <formula>$B8353&lt;&gt;""</formula>
    </cfRule>
  </conditionalFormatting>
  <conditionalFormatting sqref="B8398:F8401">
    <cfRule type="expression" priority="188" aboveAverage="0" equalAverage="0" bottom="0" percent="0" rank="0" text="" dxfId="7">
      <formula>$B8398&lt;&gt;""</formula>
    </cfRule>
  </conditionalFormatting>
  <conditionalFormatting sqref="B8443:F8446">
    <cfRule type="expression" priority="189" aboveAverage="0" equalAverage="0" bottom="0" percent="0" rank="0" text="" dxfId="7">
      <formula>$B8443&lt;&gt;""</formula>
    </cfRule>
  </conditionalFormatting>
  <conditionalFormatting sqref="B8488:F8491">
    <cfRule type="expression" priority="190" aboveAverage="0" equalAverage="0" bottom="0" percent="0" rank="0" text="" dxfId="7">
      <formula>$B8488&lt;&gt;""</formula>
    </cfRule>
  </conditionalFormatting>
  <conditionalFormatting sqref="B8533:F8536">
    <cfRule type="expression" priority="191" aboveAverage="0" equalAverage="0" bottom="0" percent="0" rank="0" text="" dxfId="7">
      <formula>$B8533&lt;&gt;""</formula>
    </cfRule>
  </conditionalFormatting>
  <conditionalFormatting sqref="B8578:F8581">
    <cfRule type="expression" priority="192" aboveAverage="0" equalAverage="0" bottom="0" percent="0" rank="0" text="" dxfId="7">
      <formula>$B8578&lt;&gt;""</formula>
    </cfRule>
  </conditionalFormatting>
  <conditionalFormatting sqref="B8623:F8626">
    <cfRule type="expression" priority="193" aboveAverage="0" equalAverage="0" bottom="0" percent="0" rank="0" text="" dxfId="7">
      <formula>$B8623&lt;&gt;""</formula>
    </cfRule>
  </conditionalFormatting>
  <conditionalFormatting sqref="B8668:F8671">
    <cfRule type="expression" priority="194" aboveAverage="0" equalAverage="0" bottom="0" percent="0" rank="0" text="" dxfId="7">
      <formula>$B8668&lt;&gt;""</formula>
    </cfRule>
  </conditionalFormatting>
  <conditionalFormatting sqref="B8713:F8716">
    <cfRule type="expression" priority="195" aboveAverage="0" equalAverage="0" bottom="0" percent="0" rank="0" text="" dxfId="7">
      <formula>$B8713&lt;&gt;""</formula>
    </cfRule>
  </conditionalFormatting>
  <conditionalFormatting sqref="B8758:F8761">
    <cfRule type="expression" priority="196" aboveAverage="0" equalAverage="0" bottom="0" percent="0" rank="0" text="" dxfId="7">
      <formula>$B8758&lt;&gt;""</formula>
    </cfRule>
  </conditionalFormatting>
  <conditionalFormatting sqref="B8803:F8806">
    <cfRule type="expression" priority="197" aboveAverage="0" equalAverage="0" bottom="0" percent="0" rank="0" text="" dxfId="7">
      <formula>$B8803&lt;&gt;""</formula>
    </cfRule>
  </conditionalFormatting>
  <conditionalFormatting sqref="B8848:F8851">
    <cfRule type="expression" priority="198" aboveAverage="0" equalAverage="0" bottom="0" percent="0" rank="0" text="" dxfId="7">
      <formula>$B8848&lt;&gt;""</formula>
    </cfRule>
  </conditionalFormatting>
  <conditionalFormatting sqref="B8893:F8896">
    <cfRule type="expression" priority="199" aboveAverage="0" equalAverage="0" bottom="0" percent="0" rank="0" text="" dxfId="7">
      <formula>$B8893&lt;&gt;""</formula>
    </cfRule>
  </conditionalFormatting>
  <conditionalFormatting sqref="B8938:F8941">
    <cfRule type="expression" priority="200" aboveAverage="0" equalAverage="0" bottom="0" percent="0" rank="0" text="" dxfId="7">
      <formula>$B8938&lt;&gt;""</formula>
    </cfRule>
  </conditionalFormatting>
  <conditionalFormatting sqref="B8983:F8986">
    <cfRule type="expression" priority="201" aboveAverage="0" equalAverage="0" bottom="0" percent="0" rank="0" text="" dxfId="7">
      <formula>$B8983&lt;&gt;""</formula>
    </cfRule>
  </conditionalFormatting>
  <conditionalFormatting sqref="B9028:F9031">
    <cfRule type="expression" priority="202" aboveAverage="0" equalAverage="0" bottom="0" percent="0" rank="0" text="" dxfId="7">
      <formula>$B9028&lt;&gt;""</formula>
    </cfRule>
  </conditionalFormatting>
  <conditionalFormatting sqref="B9073:F9076">
    <cfRule type="expression" priority="203" aboveAverage="0" equalAverage="0" bottom="0" percent="0" rank="0" text="" dxfId="7">
      <formula>$B9073&lt;&gt;""</formula>
    </cfRule>
  </conditionalFormatting>
  <conditionalFormatting sqref="B9118:F9121">
    <cfRule type="expression" priority="204" aboveAverage="0" equalAverage="0" bottom="0" percent="0" rank="0" text="" dxfId="7">
      <formula>$B9118&lt;&gt;""</formula>
    </cfRule>
  </conditionalFormatting>
  <conditionalFormatting sqref="B9163:F9166">
    <cfRule type="expression" priority="205" aboveAverage="0" equalAverage="0" bottom="0" percent="0" rank="0" text="" dxfId="7">
      <formula>$B9163&lt;&gt;""</formula>
    </cfRule>
  </conditionalFormatting>
  <conditionalFormatting sqref="B9208:F9211">
    <cfRule type="expression" priority="206" aboveAverage="0" equalAverage="0" bottom="0" percent="0" rank="0" text="" dxfId="7">
      <formula>$B9208&lt;&gt;""</formula>
    </cfRule>
  </conditionalFormatting>
  <conditionalFormatting sqref="B9253:F9256">
    <cfRule type="expression" priority="207" aboveAverage="0" equalAverage="0" bottom="0" percent="0" rank="0" text="" dxfId="7">
      <formula>$B9253&lt;&gt;""</formula>
    </cfRule>
  </conditionalFormatting>
  <conditionalFormatting sqref="B9298:F9301">
    <cfRule type="expression" priority="208" aboveAverage="0" equalAverage="0" bottom="0" percent="0" rank="0" text="" dxfId="7">
      <formula>$B9298&lt;&gt;""</formula>
    </cfRule>
  </conditionalFormatting>
  <conditionalFormatting sqref="B9343:F9346">
    <cfRule type="expression" priority="209" aboveAverage="0" equalAverage="0" bottom="0" percent="0" rank="0" text="" dxfId="7">
      <formula>$B9343&lt;&gt;""</formula>
    </cfRule>
  </conditionalFormatting>
  <conditionalFormatting sqref="B9388:F9391">
    <cfRule type="expression" priority="210" aboveAverage="0" equalAverage="0" bottom="0" percent="0" rank="0" text="" dxfId="7">
      <formula>$B9388&lt;&gt;""</formula>
    </cfRule>
  </conditionalFormatting>
  <conditionalFormatting sqref="B9433:F9436">
    <cfRule type="expression" priority="211" aboveAverage="0" equalAverage="0" bottom="0" percent="0" rank="0" text="" dxfId="7">
      <formula>$B9433&lt;&gt;""</formula>
    </cfRule>
  </conditionalFormatting>
  <conditionalFormatting sqref="B9478:F9481">
    <cfRule type="expression" priority="212" aboveAverage="0" equalAverage="0" bottom="0" percent="0" rank="0" text="" dxfId="7">
      <formula>$B9478&lt;&gt;""</formula>
    </cfRule>
  </conditionalFormatting>
  <conditionalFormatting sqref="B9523:F9526">
    <cfRule type="expression" priority="213" aboveAverage="0" equalAverage="0" bottom="0" percent="0" rank="0" text="" dxfId="7">
      <formula>$B9523&lt;&gt;""</formula>
    </cfRule>
  </conditionalFormatting>
  <conditionalFormatting sqref="B9568:F9571">
    <cfRule type="expression" priority="214" aboveAverage="0" equalAverage="0" bottom="0" percent="0" rank="0" text="" dxfId="7">
      <formula>$B9568&lt;&gt;""</formula>
    </cfRule>
  </conditionalFormatting>
  <conditionalFormatting sqref="B9613:F9616">
    <cfRule type="expression" priority="215" aboveAverage="0" equalAverage="0" bottom="0" percent="0" rank="0" text="" dxfId="7">
      <formula>$B9613&lt;&gt;""</formula>
    </cfRule>
  </conditionalFormatting>
  <conditionalFormatting sqref="B9658:F9661">
    <cfRule type="expression" priority="216" aboveAverage="0" equalAverage="0" bottom="0" percent="0" rank="0" text="" dxfId="7">
      <formula>$B9658&lt;&gt;""</formula>
    </cfRule>
  </conditionalFormatting>
  <conditionalFormatting sqref="B9703:F9706">
    <cfRule type="expression" priority="217" aboveAverage="0" equalAverage="0" bottom="0" percent="0" rank="0" text="" dxfId="7">
      <formula>$B9703&lt;&gt;""</formula>
    </cfRule>
  </conditionalFormatting>
  <conditionalFormatting sqref="B9748:F9751">
    <cfRule type="expression" priority="218" aboveAverage="0" equalAverage="0" bottom="0" percent="0" rank="0" text="" dxfId="7">
      <formula>$B9748&lt;&gt;""</formula>
    </cfRule>
  </conditionalFormatting>
  <conditionalFormatting sqref="B9793:F9796">
    <cfRule type="expression" priority="219" aboveAverage="0" equalAverage="0" bottom="0" percent="0" rank="0" text="" dxfId="7">
      <formula>$B9793&lt;&gt;""</formula>
    </cfRule>
  </conditionalFormatting>
  <conditionalFormatting sqref="B9838:F9841">
    <cfRule type="expression" priority="220" aboveAverage="0" equalAverage="0" bottom="0" percent="0" rank="0" text="" dxfId="7">
      <formula>$B9838&lt;&gt;""</formula>
    </cfRule>
  </conditionalFormatting>
  <conditionalFormatting sqref="B9883:F9886">
    <cfRule type="expression" priority="221" aboveAverage="0" equalAverage="0" bottom="0" percent="0" rank="0" text="" dxfId="7">
      <formula>$B9883&lt;&gt;""</formula>
    </cfRule>
  </conditionalFormatting>
  <conditionalFormatting sqref="B9928:F9931">
    <cfRule type="expression" priority="222" aboveAverage="0" equalAverage="0" bottom="0" percent="0" rank="0" text="" dxfId="7">
      <formula>$B9928&lt;&gt;""</formula>
    </cfRule>
  </conditionalFormatting>
  <conditionalFormatting sqref="B9973:F9976">
    <cfRule type="expression" priority="223" aboveAverage="0" equalAverage="0" bottom="0" percent="0" rank="0" text="" dxfId="7">
      <formula>$B9973&lt;&gt;""</formula>
    </cfRule>
  </conditionalFormatting>
  <conditionalFormatting sqref="B10018:F10021">
    <cfRule type="expression" priority="224" aboveAverage="0" equalAverage="0" bottom="0" percent="0" rank="0" text="" dxfId="7">
      <formula>$B10018&lt;&gt;""</formula>
    </cfRule>
  </conditionalFormatting>
  <conditionalFormatting sqref="B10063:F10066">
    <cfRule type="expression" priority="225" aboveAverage="0" equalAverage="0" bottom="0" percent="0" rank="0" text="" dxfId="7">
      <formula>$B10063&lt;&gt;""</formula>
    </cfRule>
  </conditionalFormatting>
  <conditionalFormatting sqref="B10108:F10111">
    <cfRule type="expression" priority="226" aboveAverage="0" equalAverage="0" bottom="0" percent="0" rank="0" text="" dxfId="7">
      <formula>$B10108&lt;&gt;""</formula>
    </cfRule>
  </conditionalFormatting>
  <conditionalFormatting sqref="B10153:F10156">
    <cfRule type="expression" priority="227" aboveAverage="0" equalAverage="0" bottom="0" percent="0" rank="0" text="" dxfId="7">
      <formula>$B10153&lt;&gt;""</formula>
    </cfRule>
  </conditionalFormatting>
  <conditionalFormatting sqref="B10198:F10201">
    <cfRule type="expression" priority="228" aboveAverage="0" equalAverage="0" bottom="0" percent="0" rank="0" text="" dxfId="7">
      <formula>$B10198&lt;&gt;""</formula>
    </cfRule>
  </conditionalFormatting>
  <conditionalFormatting sqref="B10243:F10246">
    <cfRule type="expression" priority="229" aboveAverage="0" equalAverage="0" bottom="0" percent="0" rank="0" text="" dxfId="7">
      <formula>$B10243&lt;&gt;""</formula>
    </cfRule>
  </conditionalFormatting>
  <conditionalFormatting sqref="B10288:F10291">
    <cfRule type="expression" priority="230" aboveAverage="0" equalAverage="0" bottom="0" percent="0" rank="0" text="" dxfId="7">
      <formula>$B10288&lt;&gt;""</formula>
    </cfRule>
  </conditionalFormatting>
  <conditionalFormatting sqref="B10333:F10336">
    <cfRule type="expression" priority="231" aboveAverage="0" equalAverage="0" bottom="0" percent="0" rank="0" text="" dxfId="7">
      <formula>$B10333&lt;&gt;""</formula>
    </cfRule>
  </conditionalFormatting>
  <conditionalFormatting sqref="B10378:F10381">
    <cfRule type="expression" priority="232" aboveAverage="0" equalAverage="0" bottom="0" percent="0" rank="0" text="" dxfId="7">
      <formula>$B10378&lt;&gt;""</formula>
    </cfRule>
  </conditionalFormatting>
  <conditionalFormatting sqref="B10423:F10426">
    <cfRule type="expression" priority="233" aboveAverage="0" equalAverage="0" bottom="0" percent="0" rank="0" text="" dxfId="7">
      <formula>$B10423&lt;&gt;""</formula>
    </cfRule>
  </conditionalFormatting>
  <conditionalFormatting sqref="B10468:F10471">
    <cfRule type="expression" priority="234" aboveAverage="0" equalAverage="0" bottom="0" percent="0" rank="0" text="" dxfId="7">
      <formula>$B10468&lt;&gt;""</formula>
    </cfRule>
  </conditionalFormatting>
  <conditionalFormatting sqref="B10513:F10516">
    <cfRule type="expression" priority="235" aboveAverage="0" equalAverage="0" bottom="0" percent="0" rank="0" text="" dxfId="7">
      <formula>$B10513&lt;&gt;""</formula>
    </cfRule>
  </conditionalFormatting>
  <conditionalFormatting sqref="B10558:F10561">
    <cfRule type="expression" priority="236" aboveAverage="0" equalAverage="0" bottom="0" percent="0" rank="0" text="" dxfId="7">
      <formula>$B10558&lt;&gt;""</formula>
    </cfRule>
  </conditionalFormatting>
  <conditionalFormatting sqref="B10603:F10606">
    <cfRule type="expression" priority="237" aboveAverage="0" equalAverage="0" bottom="0" percent="0" rank="0" text="" dxfId="7">
      <formula>$B10603&lt;&gt;""</formula>
    </cfRule>
  </conditionalFormatting>
  <conditionalFormatting sqref="B10648:F10651">
    <cfRule type="expression" priority="238" aboveAverage="0" equalAverage="0" bottom="0" percent="0" rank="0" text="" dxfId="7">
      <formula>$B10648&lt;&gt;""</formula>
    </cfRule>
  </conditionalFormatting>
  <conditionalFormatting sqref="B10693:F10696">
    <cfRule type="expression" priority="239" aboveAverage="0" equalAverage="0" bottom="0" percent="0" rank="0" text="" dxfId="7">
      <formula>$B10693&lt;&gt;""</formula>
    </cfRule>
  </conditionalFormatting>
  <conditionalFormatting sqref="B10738:F10741">
    <cfRule type="expression" priority="240" aboveAverage="0" equalAverage="0" bottom="0" percent="0" rank="0" text="" dxfId="7">
      <formula>$B10738&lt;&gt;""</formula>
    </cfRule>
  </conditionalFormatting>
  <conditionalFormatting sqref="B10783:F10786">
    <cfRule type="expression" priority="241" aboveAverage="0" equalAverage="0" bottom="0" percent="0" rank="0" text="" dxfId="7">
      <formula>$B10783&lt;&gt;""</formula>
    </cfRule>
  </conditionalFormatting>
  <conditionalFormatting sqref="B10828:F10831">
    <cfRule type="expression" priority="242" aboveAverage="0" equalAverage="0" bottom="0" percent="0" rank="0" text="" dxfId="7">
      <formula>$B10828&lt;&gt;""</formula>
    </cfRule>
  </conditionalFormatting>
  <conditionalFormatting sqref="B10873:F10876">
    <cfRule type="expression" priority="243" aboveAverage="0" equalAverage="0" bottom="0" percent="0" rank="0" text="" dxfId="7">
      <formula>$B10873&lt;&gt;""</formula>
    </cfRule>
  </conditionalFormatting>
  <conditionalFormatting sqref="B10918:F10921">
    <cfRule type="expression" priority="244" aboveAverage="0" equalAverage="0" bottom="0" percent="0" rank="0" text="" dxfId="7">
      <formula>$B10918&lt;&gt;""</formula>
    </cfRule>
  </conditionalFormatting>
  <conditionalFormatting sqref="B10963:F10966">
    <cfRule type="expression" priority="245" aboveAverage="0" equalAverage="0" bottom="0" percent="0" rank="0" text="" dxfId="7">
      <formula>$B10963&lt;&gt;""</formula>
    </cfRule>
  </conditionalFormatting>
  <conditionalFormatting sqref="B11008:F11011">
    <cfRule type="expression" priority="246" aboveAverage="0" equalAverage="0" bottom="0" percent="0" rank="0" text="" dxfId="7">
      <formula>$B11008&lt;&gt;""</formula>
    </cfRule>
  </conditionalFormatting>
  <conditionalFormatting sqref="B11053:F11056">
    <cfRule type="expression" priority="247" aboveAverage="0" equalAverage="0" bottom="0" percent="0" rank="0" text="" dxfId="7">
      <formula>$B11053&lt;&gt;""</formula>
    </cfRule>
  </conditionalFormatting>
  <conditionalFormatting sqref="B11098:F11101">
    <cfRule type="expression" priority="248" aboveAverage="0" equalAverage="0" bottom="0" percent="0" rank="0" text="" dxfId="7">
      <formula>$B11098&lt;&gt;""</formula>
    </cfRule>
  </conditionalFormatting>
  <conditionalFormatting sqref="B11143:F11146">
    <cfRule type="expression" priority="249" aboveAverage="0" equalAverage="0" bottom="0" percent="0" rank="0" text="" dxfId="7">
      <formula>$B11143&lt;&gt;""</formula>
    </cfRule>
  </conditionalFormatting>
  <conditionalFormatting sqref="B11188:F11191">
    <cfRule type="expression" priority="250" aboveAverage="0" equalAverage="0" bottom="0" percent="0" rank="0" text="" dxfId="7">
      <formula>$B11188&lt;&gt;""</formula>
    </cfRule>
  </conditionalFormatting>
  <conditionalFormatting sqref="B11233:F11236">
    <cfRule type="expression" priority="251" aboveAverage="0" equalAverage="0" bottom="0" percent="0" rank="0" text="" dxfId="7">
      <formula>$B11233&lt;&gt;""</formula>
    </cfRule>
  </conditionalFormatting>
  <conditionalFormatting sqref="B11278:F11281">
    <cfRule type="expression" priority="252" aboveAverage="0" equalAverage="0" bottom="0" percent="0" rank="0" text="" dxfId="7">
      <formula>$B11278&lt;&gt;""</formula>
    </cfRule>
  </conditionalFormatting>
  <conditionalFormatting sqref="B11323:F11326">
    <cfRule type="expression" priority="253" aboveAverage="0" equalAverage="0" bottom="0" percent="0" rank="0" text="" dxfId="7">
      <formula>$B11323&lt;&gt;""</formula>
    </cfRule>
  </conditionalFormatting>
  <conditionalFormatting sqref="B11368:F11371">
    <cfRule type="expression" priority="254" aboveAverage="0" equalAverage="0" bottom="0" percent="0" rank="0" text="" dxfId="7">
      <formula>$B11368&lt;&gt;""</formula>
    </cfRule>
  </conditionalFormatting>
  <conditionalFormatting sqref="B11413:F11416">
    <cfRule type="expression" priority="255" aboveAverage="0" equalAverage="0" bottom="0" percent="0" rank="0" text="" dxfId="7">
      <formula>$B11413&lt;&gt;""</formula>
    </cfRule>
  </conditionalFormatting>
  <conditionalFormatting sqref="B11458:F11461">
    <cfRule type="expression" priority="256" aboveAverage="0" equalAverage="0" bottom="0" percent="0" rank="0" text="" dxfId="7">
      <formula>$B11458&lt;&gt;""</formula>
    </cfRule>
  </conditionalFormatting>
  <conditionalFormatting sqref="B11503:F11506">
    <cfRule type="expression" priority="257" aboveAverage="0" equalAverage="0" bottom="0" percent="0" rank="0" text="" dxfId="7">
      <formula>$B11503&lt;&gt;""</formula>
    </cfRule>
  </conditionalFormatting>
  <conditionalFormatting sqref="B11548:F11551">
    <cfRule type="expression" priority="258" aboveAverage="0" equalAverage="0" bottom="0" percent="0" rank="0" text="" dxfId="7">
      <formula>$B11548&lt;&gt;""</formula>
    </cfRule>
  </conditionalFormatting>
  <conditionalFormatting sqref="B11593:F11596">
    <cfRule type="expression" priority="259" aboveAverage="0" equalAverage="0" bottom="0" percent="0" rank="0" text="" dxfId="7">
      <formula>$B11593&lt;&gt;""</formula>
    </cfRule>
  </conditionalFormatting>
  <conditionalFormatting sqref="B11638:F11641">
    <cfRule type="expression" priority="260" aboveAverage="0" equalAverage="0" bottom="0" percent="0" rank="0" text="" dxfId="7">
      <formula>$B11638&lt;&gt;""</formula>
    </cfRule>
  </conditionalFormatting>
  <conditionalFormatting sqref="B11683:F11686">
    <cfRule type="expression" priority="261" aboveAverage="0" equalAverage="0" bottom="0" percent="0" rank="0" text="" dxfId="7">
      <formula>$B11683&lt;&gt;""</formula>
    </cfRule>
  </conditionalFormatting>
  <conditionalFormatting sqref="B11728:F11731">
    <cfRule type="expression" priority="262" aboveAverage="0" equalAverage="0" bottom="0" percent="0" rank="0" text="" dxfId="7">
      <formula>$B11728&lt;&gt;""</formula>
    </cfRule>
  </conditionalFormatting>
  <conditionalFormatting sqref="B11773:F11776">
    <cfRule type="expression" priority="263" aboveAverage="0" equalAverage="0" bottom="0" percent="0" rank="0" text="" dxfId="7">
      <formula>$B11773&lt;&gt;""</formula>
    </cfRule>
  </conditionalFormatting>
  <conditionalFormatting sqref="B11818:F11821">
    <cfRule type="expression" priority="264" aboveAverage="0" equalAverage="0" bottom="0" percent="0" rank="0" text="" dxfId="7">
      <formula>$B11818&lt;&gt;""</formula>
    </cfRule>
  </conditionalFormatting>
  <conditionalFormatting sqref="B11863:F11866">
    <cfRule type="expression" priority="265" aboveAverage="0" equalAverage="0" bottom="0" percent="0" rank="0" text="" dxfId="7">
      <formula>$B11863&lt;&gt;""</formula>
    </cfRule>
  </conditionalFormatting>
  <conditionalFormatting sqref="B11908:F11911">
    <cfRule type="expression" priority="266" aboveAverage="0" equalAverage="0" bottom="0" percent="0" rank="0" text="" dxfId="7">
      <formula>$B11908&lt;&gt;""</formula>
    </cfRule>
  </conditionalFormatting>
  <conditionalFormatting sqref="B11953:F11956">
    <cfRule type="expression" priority="267" aboveAverage="0" equalAverage="0" bottom="0" percent="0" rank="0" text="" dxfId="7">
      <formula>$B11953&lt;&gt;""</formula>
    </cfRule>
  </conditionalFormatting>
  <conditionalFormatting sqref="B11998:F12001">
    <cfRule type="expression" priority="268" aboveAverage="0" equalAverage="0" bottom="0" percent="0" rank="0" text="" dxfId="7">
      <formula>$B11998&lt;&gt;""</formula>
    </cfRule>
  </conditionalFormatting>
  <conditionalFormatting sqref="B12043:F12046">
    <cfRule type="expression" priority="269" aboveAverage="0" equalAverage="0" bottom="0" percent="0" rank="0" text="" dxfId="7">
      <formula>$B12043&lt;&gt;""</formula>
    </cfRule>
  </conditionalFormatting>
  <conditionalFormatting sqref="B12088:F12091">
    <cfRule type="expression" priority="270" aboveAverage="0" equalAverage="0" bottom="0" percent="0" rank="0" text="" dxfId="7">
      <formula>$B12088&lt;&gt;""</formula>
    </cfRule>
  </conditionalFormatting>
  <conditionalFormatting sqref="B12133:F12136">
    <cfRule type="expression" priority="271" aboveAverage="0" equalAverage="0" bottom="0" percent="0" rank="0" text="" dxfId="7">
      <formula>$B12133&lt;&gt;""</formula>
    </cfRule>
  </conditionalFormatting>
  <conditionalFormatting sqref="B12178:F12181">
    <cfRule type="expression" priority="272" aboveAverage="0" equalAverage="0" bottom="0" percent="0" rank="0" text="" dxfId="7">
      <formula>$B12178&lt;&gt;""</formula>
    </cfRule>
  </conditionalFormatting>
  <conditionalFormatting sqref="B12223:F12226">
    <cfRule type="expression" priority="273" aboveAverage="0" equalAverage="0" bottom="0" percent="0" rank="0" text="" dxfId="7">
      <formula>$B12223&lt;&gt;""</formula>
    </cfRule>
  </conditionalFormatting>
  <conditionalFormatting sqref="B12268:F12271">
    <cfRule type="expression" priority="274" aboveAverage="0" equalAverage="0" bottom="0" percent="0" rank="0" text="" dxfId="7">
      <formula>$B12268&lt;&gt;""</formula>
    </cfRule>
  </conditionalFormatting>
  <conditionalFormatting sqref="B12313:F12316">
    <cfRule type="expression" priority="275" aboveAverage="0" equalAverage="0" bottom="0" percent="0" rank="0" text="" dxfId="7">
      <formula>$B12313&lt;&gt;""</formula>
    </cfRule>
  </conditionalFormatting>
  <conditionalFormatting sqref="B12358:F12361">
    <cfRule type="expression" priority="276" aboveAverage="0" equalAverage="0" bottom="0" percent="0" rank="0" text="" dxfId="7">
      <formula>$B12358&lt;&gt;""</formula>
    </cfRule>
  </conditionalFormatting>
  <conditionalFormatting sqref="B12403:F12406">
    <cfRule type="expression" priority="277" aboveAverage="0" equalAverage="0" bottom="0" percent="0" rank="0" text="" dxfId="7">
      <formula>$B12403&lt;&gt;""</formula>
    </cfRule>
  </conditionalFormatting>
  <conditionalFormatting sqref="B12448:F12451">
    <cfRule type="expression" priority="278" aboveAverage="0" equalAverage="0" bottom="0" percent="0" rank="0" text="" dxfId="7">
      <formula>$B12448&lt;&gt;""</formula>
    </cfRule>
  </conditionalFormatting>
  <conditionalFormatting sqref="B12493:F12496">
    <cfRule type="expression" priority="279" aboveAverage="0" equalAverage="0" bottom="0" percent="0" rank="0" text="" dxfId="7">
      <formula>$B12493&lt;&gt;""</formula>
    </cfRule>
  </conditionalFormatting>
  <conditionalFormatting sqref="B12538:F12541">
    <cfRule type="expression" priority="280" aboveAverage="0" equalAverage="0" bottom="0" percent="0" rank="0" text="" dxfId="7">
      <formula>$B12538&lt;&gt;""</formula>
    </cfRule>
  </conditionalFormatting>
  <conditionalFormatting sqref="B12583:F12586">
    <cfRule type="expression" priority="281" aboveAverage="0" equalAverage="0" bottom="0" percent="0" rank="0" text="" dxfId="7">
      <formula>$B12583&lt;&gt;""</formula>
    </cfRule>
  </conditionalFormatting>
  <conditionalFormatting sqref="B12628:F12631">
    <cfRule type="expression" priority="282" aboveAverage="0" equalAverage="0" bottom="0" percent="0" rank="0" text="" dxfId="7">
      <formula>$B12628&lt;&gt;""</formula>
    </cfRule>
  </conditionalFormatting>
  <conditionalFormatting sqref="B12673:F12676">
    <cfRule type="expression" priority="283" aboveAverage="0" equalAverage="0" bottom="0" percent="0" rank="0" text="" dxfId="7">
      <formula>$B12673&lt;&gt;""</formula>
    </cfRule>
  </conditionalFormatting>
  <conditionalFormatting sqref="B12718:F12721">
    <cfRule type="expression" priority="284" aboveAverage="0" equalAverage="0" bottom="0" percent="0" rank="0" text="" dxfId="7">
      <formula>$B12718&lt;&gt;""</formula>
    </cfRule>
  </conditionalFormatting>
  <conditionalFormatting sqref="B12763:F12766">
    <cfRule type="expression" priority="285" aboveAverage="0" equalAverage="0" bottom="0" percent="0" rank="0" text="" dxfId="7">
      <formula>$B12763&lt;&gt;""</formula>
    </cfRule>
  </conditionalFormatting>
  <conditionalFormatting sqref="B12808:F12811">
    <cfRule type="expression" priority="286" aboveAverage="0" equalAverage="0" bottom="0" percent="0" rank="0" text="" dxfId="7">
      <formula>$B12808&lt;&gt;""</formula>
    </cfRule>
  </conditionalFormatting>
  <conditionalFormatting sqref="B12853:F12856">
    <cfRule type="expression" priority="287" aboveAverage="0" equalAverage="0" bottom="0" percent="0" rank="0" text="" dxfId="7">
      <formula>$B12853&lt;&gt;""</formula>
    </cfRule>
  </conditionalFormatting>
  <conditionalFormatting sqref="B12898:F12901">
    <cfRule type="expression" priority="288" aboveAverage="0" equalAverage="0" bottom="0" percent="0" rank="0" text="" dxfId="7">
      <formula>$B12898&lt;&gt;""</formula>
    </cfRule>
  </conditionalFormatting>
  <conditionalFormatting sqref="B12943:F12946">
    <cfRule type="expression" priority="289" aboveAverage="0" equalAverage="0" bottom="0" percent="0" rank="0" text="" dxfId="7">
      <formula>$B12943&lt;&gt;""</formula>
    </cfRule>
  </conditionalFormatting>
  <conditionalFormatting sqref="B12988:F12991">
    <cfRule type="expression" priority="290" aboveAverage="0" equalAverage="0" bottom="0" percent="0" rank="0" text="" dxfId="7">
      <formula>$B12988&lt;&gt;""</formula>
    </cfRule>
  </conditionalFormatting>
  <conditionalFormatting sqref="B13033:F13036">
    <cfRule type="expression" priority="291" aboveAverage="0" equalAverage="0" bottom="0" percent="0" rank="0" text="" dxfId="7">
      <formula>$B13033&lt;&gt;""</formula>
    </cfRule>
  </conditionalFormatting>
  <conditionalFormatting sqref="B13078:F13081">
    <cfRule type="expression" priority="292" aboveAverage="0" equalAverage="0" bottom="0" percent="0" rank="0" text="" dxfId="7">
      <formula>$B13078&lt;&gt;""</formula>
    </cfRule>
  </conditionalFormatting>
  <conditionalFormatting sqref="B13123:F13126">
    <cfRule type="expression" priority="293" aboveAverage="0" equalAverage="0" bottom="0" percent="0" rank="0" text="" dxfId="7">
      <formula>$B13123&lt;&gt;""</formula>
    </cfRule>
  </conditionalFormatting>
  <conditionalFormatting sqref="B13168:F13171">
    <cfRule type="expression" priority="294" aboveAverage="0" equalAverage="0" bottom="0" percent="0" rank="0" text="" dxfId="7">
      <formula>$B13168&lt;&gt;""</formula>
    </cfRule>
  </conditionalFormatting>
  <conditionalFormatting sqref="B13213:F13216">
    <cfRule type="expression" priority="295" aboveAverage="0" equalAverage="0" bottom="0" percent="0" rank="0" text="" dxfId="7">
      <formula>$B13213&lt;&gt;""</formula>
    </cfRule>
  </conditionalFormatting>
  <conditionalFormatting sqref="B13258:F13261">
    <cfRule type="expression" priority="296" aboveAverage="0" equalAverage="0" bottom="0" percent="0" rank="0" text="" dxfId="7">
      <formula>$B13258&lt;&gt;""</formula>
    </cfRule>
  </conditionalFormatting>
  <conditionalFormatting sqref="B13303:F13306">
    <cfRule type="expression" priority="297" aboveAverage="0" equalAverage="0" bottom="0" percent="0" rank="0" text="" dxfId="7">
      <formula>$B13303&lt;&gt;""</formula>
    </cfRule>
  </conditionalFormatting>
  <conditionalFormatting sqref="B13348:F13351">
    <cfRule type="expression" priority="298" aboveAverage="0" equalAverage="0" bottom="0" percent="0" rank="0" text="" dxfId="7">
      <formula>$B13348&lt;&gt;""</formula>
    </cfRule>
  </conditionalFormatting>
  <conditionalFormatting sqref="B13393:F13396">
    <cfRule type="expression" priority="299" aboveAverage="0" equalAverage="0" bottom="0" percent="0" rank="0" text="" dxfId="7">
      <formula>$B13393&lt;&gt;""</formula>
    </cfRule>
  </conditionalFormatting>
  <conditionalFormatting sqref="B13438:F13441">
    <cfRule type="expression" priority="300" aboveAverage="0" equalAverage="0" bottom="0" percent="0" rank="0" text="" dxfId="7">
      <formula>$B13438&lt;&gt;""</formula>
    </cfRule>
  </conditionalFormatting>
  <conditionalFormatting sqref="B13483:F13486">
    <cfRule type="expression" priority="301" aboveAverage="0" equalAverage="0" bottom="0" percent="0" rank="0" text="" dxfId="7">
      <formula>$B13483&lt;&gt;""</formula>
    </cfRule>
  </conditionalFormatting>
  <printOptions headings="false" gridLines="false" gridLinesSet="true" horizontalCentered="true" verticalCentered="false"/>
  <pageMargins left="0.6" right="0.6"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300" manualBreakCount="300">
    <brk id="45" man="true" max="16383" min="0"/>
    <brk id="90" man="true" max="16383" min="0"/>
    <brk id="135" man="true" max="16383" min="0"/>
    <brk id="180" man="true" max="16383" min="0"/>
    <brk id="225" man="true" max="16383" min="0"/>
    <brk id="270" man="true" max="16383" min="0"/>
    <brk id="315" man="true" max="16383" min="0"/>
    <brk id="360" man="true" max="16383" min="0"/>
    <brk id="405" man="true" max="16383" min="0"/>
    <brk id="450" man="true" max="16383" min="0"/>
    <brk id="495" man="true" max="16383" min="0"/>
    <brk id="540" man="true" max="16383" min="0"/>
    <brk id="585" man="true" max="16383" min="0"/>
    <brk id="630" man="true" max="16383" min="0"/>
    <brk id="675" man="true" max="16383" min="0"/>
    <brk id="720" man="true" max="16383" min="0"/>
    <brk id="765" man="true" max="16383" min="0"/>
    <brk id="810" man="true" max="16383" min="0"/>
    <brk id="855" man="true" max="16383" min="0"/>
    <brk id="900" man="true" max="16383" min="0"/>
    <brk id="945" man="true" max="16383" min="0"/>
    <brk id="990" man="true" max="16383" min="0"/>
    <brk id="1035" man="true" max="16383" min="0"/>
    <brk id="1080" man="true" max="16383" min="0"/>
    <brk id="1125" man="true" max="16383" min="0"/>
    <brk id="1170" man="true" max="16383" min="0"/>
    <brk id="1215" man="true" max="16383" min="0"/>
    <brk id="1260" man="true" max="16383" min="0"/>
    <brk id="1305" man="true" max="16383" min="0"/>
    <brk id="1350" man="true" max="16383" min="0"/>
    <brk id="1395" man="true" max="16383" min="0"/>
    <brk id="1440" man="true" max="16383" min="0"/>
    <brk id="1485" man="true" max="16383" min="0"/>
    <brk id="1530" man="true" max="16383" min="0"/>
    <brk id="1575" man="true" max="16383" min="0"/>
    <brk id="1620" man="true" max="16383" min="0"/>
    <brk id="1665" man="true" max="16383" min="0"/>
    <brk id="1710" man="true" max="16383" min="0"/>
    <brk id="1755" man="true" max="16383" min="0"/>
    <brk id="1800" man="true" max="16383" min="0"/>
    <brk id="1845" man="true" max="16383" min="0"/>
    <brk id="1890" man="true" max="16383" min="0"/>
    <brk id="1935" man="true" max="16383" min="0"/>
    <brk id="1980" man="true" max="16383" min="0"/>
    <brk id="2025" man="true" max="16383" min="0"/>
    <brk id="2070" man="true" max="16383" min="0"/>
    <brk id="2115" man="true" max="16383" min="0"/>
    <brk id="2160" man="true" max="16383" min="0"/>
    <brk id="2205" man="true" max="16383" min="0"/>
    <brk id="2250" man="true" max="16383" min="0"/>
    <brk id="2295" man="true" max="16383" min="0"/>
    <brk id="2340" man="true" max="16383" min="0"/>
    <brk id="2385" man="true" max="16383" min="0"/>
    <brk id="2430" man="true" max="16383" min="0"/>
    <brk id="2475" man="true" max="16383" min="0"/>
    <brk id="2520" man="true" max="16383" min="0"/>
    <brk id="2565" man="true" max="16383" min="0"/>
    <brk id="2610" man="true" max="16383" min="0"/>
    <brk id="2655" man="true" max="16383" min="0"/>
    <brk id="2700" man="true" max="16383" min="0"/>
    <brk id="2745" man="true" max="16383" min="0"/>
    <brk id="2790" man="true" max="16383" min="0"/>
    <brk id="2835" man="true" max="16383" min="0"/>
    <brk id="2880" man="true" max="16383" min="0"/>
    <brk id="2925" man="true" max="16383" min="0"/>
    <brk id="2970" man="true" max="16383" min="0"/>
    <brk id="3015" man="true" max="16383" min="0"/>
    <brk id="3060" man="true" max="16383" min="0"/>
    <brk id="3105" man="true" max="16383" min="0"/>
    <brk id="3150" man="true" max="16383" min="0"/>
    <brk id="3195" man="true" max="16383" min="0"/>
    <brk id="3240" man="true" max="16383" min="0"/>
    <brk id="3285" man="true" max="16383" min="0"/>
    <brk id="3330" man="true" max="16383" min="0"/>
    <brk id="3375" man="true" max="16383" min="0"/>
    <brk id="3420" man="true" max="16383" min="0"/>
    <brk id="3465" man="true" max="16383" min="0"/>
    <brk id="3510" man="true" max="16383" min="0"/>
    <brk id="3555" man="true" max="16383" min="0"/>
    <brk id="3600" man="true" max="16383" min="0"/>
    <brk id="3645" man="true" max="16383" min="0"/>
    <brk id="3690" man="true" max="16383" min="0"/>
    <brk id="3735" man="true" max="16383" min="0"/>
    <brk id="3780" man="true" max="16383" min="0"/>
    <brk id="3825" man="true" max="16383" min="0"/>
    <brk id="3870" man="true" max="16383" min="0"/>
    <brk id="3915" man="true" max="16383" min="0"/>
    <brk id="3960" man="true" max="16383" min="0"/>
    <brk id="4005" man="true" max="16383" min="0"/>
    <brk id="4050" man="true" max="16383" min="0"/>
    <brk id="4095" man="true" max="16383" min="0"/>
    <brk id="4140" man="true" max="16383" min="0"/>
    <brk id="4185" man="true" max="16383" min="0"/>
    <brk id="4230" man="true" max="16383" min="0"/>
    <brk id="4275" man="true" max="16383" min="0"/>
    <brk id="4320" man="true" max="16383" min="0"/>
    <brk id="4365" man="true" max="16383" min="0"/>
    <brk id="4410" man="true" max="16383" min="0"/>
    <brk id="4455" man="true" max="16383" min="0"/>
    <brk id="4500" man="true" max="16383" min="0"/>
    <brk id="4545" man="true" max="16383" min="0"/>
    <brk id="4590" man="true" max="16383" min="0"/>
    <brk id="4635" man="true" max="16383" min="0"/>
    <brk id="4680" man="true" max="16383" min="0"/>
    <brk id="4725" man="true" max="16383" min="0"/>
    <brk id="4770" man="true" max="16383" min="0"/>
    <brk id="4815" man="true" max="16383" min="0"/>
    <brk id="4860" man="true" max="16383" min="0"/>
    <brk id="4905" man="true" max="16383" min="0"/>
    <brk id="4950" man="true" max="16383" min="0"/>
    <brk id="4995" man="true" max="16383" min="0"/>
    <brk id="5040" man="true" max="16383" min="0"/>
    <brk id="5085" man="true" max="16383" min="0"/>
    <brk id="5130" man="true" max="16383" min="0"/>
    <brk id="5175" man="true" max="16383" min="0"/>
    <brk id="5220" man="true" max="16383" min="0"/>
    <brk id="5265" man="true" max="16383" min="0"/>
    <brk id="5310" man="true" max="16383" min="0"/>
    <brk id="5355" man="true" max="16383" min="0"/>
    <brk id="5400" man="true" max="16383" min="0"/>
    <brk id="5445" man="true" max="16383" min="0"/>
    <brk id="5490" man="true" max="16383" min="0"/>
    <brk id="5535" man="true" max="16383" min="0"/>
    <brk id="5580" man="true" max="16383" min="0"/>
    <brk id="5625" man="true" max="16383" min="0"/>
    <brk id="5670" man="true" max="16383" min="0"/>
    <brk id="5715" man="true" max="16383" min="0"/>
    <brk id="5760" man="true" max="16383" min="0"/>
    <brk id="5805" man="true" max="16383" min="0"/>
    <brk id="5850" man="true" max="16383" min="0"/>
    <brk id="5895" man="true" max="16383" min="0"/>
    <brk id="5940" man="true" max="16383" min="0"/>
    <brk id="5985" man="true" max="16383" min="0"/>
    <brk id="6030" man="true" max="16383" min="0"/>
    <brk id="6075" man="true" max="16383" min="0"/>
    <brk id="6120" man="true" max="16383" min="0"/>
    <brk id="6165" man="true" max="16383" min="0"/>
    <brk id="6210" man="true" max="16383" min="0"/>
    <brk id="6255" man="true" max="16383" min="0"/>
    <brk id="6300" man="true" max="16383" min="0"/>
    <brk id="6345" man="true" max="16383" min="0"/>
    <brk id="6390" man="true" max="16383" min="0"/>
    <brk id="6435" man="true" max="16383" min="0"/>
    <brk id="6480" man="true" max="16383" min="0"/>
    <brk id="6525" man="true" max="16383" min="0"/>
    <brk id="6570" man="true" max="16383" min="0"/>
    <brk id="6615" man="true" max="16383" min="0"/>
    <brk id="6660" man="true" max="16383" min="0"/>
    <brk id="6705" man="true" max="16383" min="0"/>
    <brk id="6750" man="true" max="16383" min="0"/>
    <brk id="6795" man="true" max="16383" min="0"/>
    <brk id="6840" man="true" max="16383" min="0"/>
    <brk id="6885" man="true" max="16383" min="0"/>
    <brk id="6930" man="true" max="16383" min="0"/>
    <brk id="6975" man="true" max="16383" min="0"/>
    <brk id="7020" man="true" max="16383" min="0"/>
    <brk id="7065" man="true" max="16383" min="0"/>
    <brk id="7110" man="true" max="16383" min="0"/>
    <brk id="7155" man="true" max="16383" min="0"/>
    <brk id="7200" man="true" max="16383" min="0"/>
    <brk id="7245" man="true" max="16383" min="0"/>
    <brk id="7290" man="true" max="16383" min="0"/>
    <brk id="7335" man="true" max="16383" min="0"/>
    <brk id="7380" man="true" max="16383" min="0"/>
    <brk id="7425" man="true" max="16383" min="0"/>
    <brk id="7470" man="true" max="16383" min="0"/>
    <brk id="7515" man="true" max="16383" min="0"/>
    <brk id="7560" man="true" max="16383" min="0"/>
    <brk id="7605" man="true" max="16383" min="0"/>
    <brk id="7650" man="true" max="16383" min="0"/>
    <brk id="7695" man="true" max="16383" min="0"/>
    <brk id="7740" man="true" max="16383" min="0"/>
    <brk id="7785" man="true" max="16383" min="0"/>
    <brk id="7830" man="true" max="16383" min="0"/>
    <brk id="7875" man="true" max="16383" min="0"/>
    <brk id="7920" man="true" max="16383" min="0"/>
    <brk id="7965" man="true" max="16383" min="0"/>
    <brk id="8010" man="true" max="16383" min="0"/>
    <brk id="8055" man="true" max="16383" min="0"/>
    <brk id="8100" man="true" max="16383" min="0"/>
    <brk id="8145" man="true" max="16383" min="0"/>
    <brk id="8190" man="true" max="16383" min="0"/>
    <brk id="8235" man="true" max="16383" min="0"/>
    <brk id="8280" man="true" max="16383" min="0"/>
    <brk id="8325" man="true" max="16383" min="0"/>
    <brk id="8370" man="true" max="16383" min="0"/>
    <brk id="8415" man="true" max="16383" min="0"/>
    <brk id="8460" man="true" max="16383" min="0"/>
    <brk id="8505" man="true" max="16383" min="0"/>
    <brk id="8550" man="true" max="16383" min="0"/>
    <brk id="8595" man="true" max="16383" min="0"/>
    <brk id="8640" man="true" max="16383" min="0"/>
    <brk id="8685" man="true" max="16383" min="0"/>
    <brk id="8730" man="true" max="16383" min="0"/>
    <brk id="8775" man="true" max="16383" min="0"/>
    <brk id="8820" man="true" max="16383" min="0"/>
    <brk id="8865" man="true" max="16383" min="0"/>
    <brk id="8910" man="true" max="16383" min="0"/>
    <brk id="8955" man="true" max="16383" min="0"/>
    <brk id="9000" man="true" max="16383" min="0"/>
    <brk id="9045" man="true" max="16383" min="0"/>
    <brk id="9090" man="true" max="16383" min="0"/>
    <brk id="9135" man="true" max="16383" min="0"/>
    <brk id="9180" man="true" max="16383" min="0"/>
    <brk id="9225" man="true" max="16383" min="0"/>
    <brk id="9270" man="true" max="16383" min="0"/>
    <brk id="9315" man="true" max="16383" min="0"/>
    <brk id="9360" man="true" max="16383" min="0"/>
    <brk id="9405" man="true" max="16383" min="0"/>
    <brk id="9450" man="true" max="16383" min="0"/>
    <brk id="9495" man="true" max="16383" min="0"/>
    <brk id="9540" man="true" max="16383" min="0"/>
    <brk id="9585" man="true" max="16383" min="0"/>
    <brk id="9630" man="true" max="16383" min="0"/>
    <brk id="9675" man="true" max="16383" min="0"/>
    <brk id="9720" man="true" max="16383" min="0"/>
    <brk id="9765" man="true" max="16383" min="0"/>
    <brk id="9810" man="true" max="16383" min="0"/>
    <brk id="9855" man="true" max="16383" min="0"/>
    <brk id="9900" man="true" max="16383" min="0"/>
    <brk id="9945" man="true" max="16383" min="0"/>
    <brk id="9990" man="true" max="16383" min="0"/>
    <brk id="10035" man="true" max="16383" min="0"/>
    <brk id="10080" man="true" max="16383" min="0"/>
    <brk id="10125" man="true" max="16383" min="0"/>
    <brk id="10170" man="true" max="16383" min="0"/>
    <brk id="10215" man="true" max="16383" min="0"/>
    <brk id="10260" man="true" max="16383" min="0"/>
    <brk id="10305" man="true" max="16383" min="0"/>
    <brk id="10350" man="true" max="16383" min="0"/>
    <brk id="10395" man="true" max="16383" min="0"/>
    <brk id="10440" man="true" max="16383" min="0"/>
    <brk id="10485" man="true" max="16383" min="0"/>
    <brk id="10530" man="true" max="16383" min="0"/>
    <brk id="10575" man="true" max="16383" min="0"/>
    <brk id="10620" man="true" max="16383" min="0"/>
    <brk id="10665" man="true" max="16383" min="0"/>
    <brk id="10710" man="true" max="16383" min="0"/>
    <brk id="10755" man="true" max="16383" min="0"/>
    <brk id="10800" man="true" max="16383" min="0"/>
    <brk id="10845" man="true" max="16383" min="0"/>
    <brk id="10890" man="true" max="16383" min="0"/>
    <brk id="10935" man="true" max="16383" min="0"/>
    <brk id="10980" man="true" max="16383" min="0"/>
    <brk id="11025" man="true" max="16383" min="0"/>
    <brk id="11070" man="true" max="16383" min="0"/>
    <brk id="11115" man="true" max="16383" min="0"/>
    <brk id="11160" man="true" max="16383" min="0"/>
    <brk id="11205" man="true" max="16383" min="0"/>
    <brk id="11250" man="true" max="16383" min="0"/>
    <brk id="11295" man="true" max="16383" min="0"/>
    <brk id="11340" man="true" max="16383" min="0"/>
    <brk id="11385" man="true" max="16383" min="0"/>
    <brk id="11430" man="true" max="16383" min="0"/>
    <brk id="11475" man="true" max="16383" min="0"/>
    <brk id="11520" man="true" max="16383" min="0"/>
    <brk id="11565" man="true" max="16383" min="0"/>
    <brk id="11610" man="true" max="16383" min="0"/>
    <brk id="11655" man="true" max="16383" min="0"/>
    <brk id="11700" man="true" max="16383" min="0"/>
    <brk id="11745" man="true" max="16383" min="0"/>
    <brk id="11790" man="true" max="16383" min="0"/>
    <brk id="11835" man="true" max="16383" min="0"/>
    <brk id="11880" man="true" max="16383" min="0"/>
    <brk id="11925" man="true" max="16383" min="0"/>
    <brk id="11970" man="true" max="16383" min="0"/>
    <brk id="12015" man="true" max="16383" min="0"/>
    <brk id="12060" man="true" max="16383" min="0"/>
    <brk id="12105" man="true" max="16383" min="0"/>
    <brk id="12150" man="true" max="16383" min="0"/>
    <brk id="12195" man="true" max="16383" min="0"/>
    <brk id="12240" man="true" max="16383" min="0"/>
    <brk id="12285" man="true" max="16383" min="0"/>
    <brk id="12330" man="true" max="16383" min="0"/>
    <brk id="12375" man="true" max="16383" min="0"/>
    <brk id="12420" man="true" max="16383" min="0"/>
    <brk id="12465" man="true" max="16383" min="0"/>
    <brk id="12510" man="true" max="16383" min="0"/>
    <brk id="12555" man="true" max="16383" min="0"/>
    <brk id="12600" man="true" max="16383" min="0"/>
    <brk id="12645" man="true" max="16383" min="0"/>
    <brk id="12690" man="true" max="16383" min="0"/>
    <brk id="12735" man="true" max="16383" min="0"/>
    <brk id="12780" man="true" max="16383" min="0"/>
    <brk id="12825" man="true" max="16383" min="0"/>
    <brk id="12870" man="true" max="16383" min="0"/>
    <brk id="12915" man="true" max="16383" min="0"/>
    <brk id="12960" man="true" max="16383" min="0"/>
    <brk id="13005" man="true" max="16383" min="0"/>
    <brk id="13050" man="true" max="16383" min="0"/>
    <brk id="13095" man="true" max="16383" min="0"/>
    <brk id="13140" man="true" max="16383" min="0"/>
    <brk id="13185" man="true" max="16383" min="0"/>
    <brk id="13230" man="true" max="16383" min="0"/>
    <brk id="13275" man="true" max="16383" min="0"/>
    <brk id="13320" man="true" max="16383" min="0"/>
    <brk id="13365" man="true" max="16383" min="0"/>
    <brk id="13410" man="true" max="16383" min="0"/>
    <brk id="13455" man="true" max="16383" min="0"/>
    <brk id="13500" man="true" max="16383" min="0"/>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5" hidden="false" customHeight="false" outlineLevel="0" collapsed="false">
      <c r="A1" s="50" t="s">
        <v>161</v>
      </c>
    </row>
    <row r="3" customFormat="false" ht="15" hidden="false" customHeight="false" outlineLevel="0" collapsed="false">
      <c r="A3" s="51" t="s">
        <v>162</v>
      </c>
    </row>
    <row r="4" customFormat="false" ht="15" hidden="false" customHeight="false" outlineLevel="0" collapsed="false">
      <c r="A4" s="51" t="s">
        <v>163</v>
      </c>
    </row>
    <row r="5" customFormat="false" ht="15" hidden="false" customHeight="false" outlineLevel="0" collapsed="false">
      <c r="A5" s="51" t="s">
        <v>164</v>
      </c>
    </row>
    <row r="6" customFormat="false" ht="15" hidden="false" customHeight="false" outlineLevel="0" collapsed="false">
      <c r="A6" s="51" t="s">
        <v>165</v>
      </c>
    </row>
    <row r="7" customFormat="false" ht="15" hidden="false" customHeight="false" outlineLevel="0" collapsed="false">
      <c r="A7" s="51" t="s">
        <v>162</v>
      </c>
    </row>
    <row r="8" customFormat="false" ht="15" hidden="false" customHeight="false" outlineLevel="0" collapsed="false">
      <c r="A8" s="51" t="s">
        <v>166</v>
      </c>
    </row>
    <row r="9" customFormat="false" ht="15" hidden="false" customHeight="false" outlineLevel="0" collapsed="false">
      <c r="A9" s="51"/>
    </row>
    <row r="10" customFormat="false" ht="15" hidden="false" customHeight="false" outlineLevel="0" collapsed="false">
      <c r="A10" s="51" t="s">
        <v>167</v>
      </c>
    </row>
    <row r="11" customFormat="false" ht="15" hidden="false" customHeight="false" outlineLevel="0" collapsed="false">
      <c r="A11" s="51" t="s">
        <v>168</v>
      </c>
    </row>
    <row r="12" customFormat="false" ht="15" hidden="false" customHeight="false" outlineLevel="0" collapsed="false">
      <c r="A12" s="51" t="s">
        <v>169</v>
      </c>
    </row>
    <row r="13" customFormat="false" ht="15" hidden="false" customHeight="false" outlineLevel="0" collapsed="false">
      <c r="A13" s="51" t="s">
        <v>170</v>
      </c>
    </row>
    <row r="14" customFormat="false" ht="15" hidden="false" customHeight="false" outlineLevel="0" collapsed="false">
      <c r="A14" s="51"/>
    </row>
    <row r="15" customFormat="false" ht="15" hidden="false" customHeight="false" outlineLevel="0" collapsed="false">
      <c r="A15" s="51" t="s">
        <v>171</v>
      </c>
    </row>
    <row r="16" customFormat="false" ht="15" hidden="false" customHeight="false" outlineLevel="0" collapsed="false">
      <c r="A16" s="51" t="s">
        <v>172</v>
      </c>
    </row>
    <row r="17" customFormat="false" ht="15" hidden="false" customHeight="false" outlineLevel="0" collapsed="false">
      <c r="A17" s="51" t="s">
        <v>173</v>
      </c>
    </row>
    <row r="18" customFormat="false" ht="15" hidden="false" customHeight="false" outlineLevel="0" collapsed="false">
      <c r="A18" s="51" t="s">
        <v>174</v>
      </c>
    </row>
    <row r="19" customFormat="false" ht="15" hidden="false" customHeight="false" outlineLevel="0" collapsed="false">
      <c r="A19" s="51" t="s">
        <v>175</v>
      </c>
    </row>
    <row r="20" customFormat="false" ht="15" hidden="false" customHeight="false" outlineLevel="0" collapsed="false">
      <c r="A20" s="51"/>
    </row>
    <row r="21" customFormat="false" ht="15" hidden="false" customHeight="false" outlineLevel="0" collapsed="false">
      <c r="A21" s="51" t="s">
        <v>176</v>
      </c>
    </row>
    <row r="22" customFormat="false" ht="15" hidden="false" customHeight="false" outlineLevel="0" collapsed="false">
      <c r="A22" s="51" t="s">
        <v>177</v>
      </c>
    </row>
    <row r="23" customFormat="false" ht="15" hidden="false" customHeight="false" outlineLevel="0" collapsed="false">
      <c r="A23" s="51" t="s">
        <v>178</v>
      </c>
    </row>
    <row r="24" customFormat="false" ht="15" hidden="false" customHeight="false" outlineLevel="0" collapsed="false">
      <c r="A24" s="51" t="s">
        <v>179</v>
      </c>
    </row>
    <row r="25" customFormat="false" ht="15" hidden="false" customHeight="false" outlineLevel="0" collapsed="false">
      <c r="A25" s="51"/>
    </row>
    <row r="26" customFormat="false" ht="15" hidden="false" customHeight="false" outlineLevel="0" collapsed="false">
      <c r="A26" s="51" t="s">
        <v>180</v>
      </c>
    </row>
    <row r="27" customFormat="false" ht="15" hidden="false" customHeight="false" outlineLevel="0" collapsed="false">
      <c r="A27" s="51" t="s">
        <v>181</v>
      </c>
    </row>
    <row r="28" customFormat="false" ht="15" hidden="false" customHeight="false" outlineLevel="0" collapsed="false">
      <c r="A28" s="51" t="s">
        <v>182</v>
      </c>
    </row>
    <row r="29" customFormat="false" ht="15" hidden="false" customHeight="false" outlineLevel="0" collapsed="false">
      <c r="A29" s="51"/>
    </row>
    <row r="30" customFormat="false" ht="15" hidden="false" customHeight="false" outlineLevel="0" collapsed="false">
      <c r="A30" s="51" t="s">
        <v>183</v>
      </c>
    </row>
    <row r="31" customFormat="false" ht="15" hidden="false" customHeight="false" outlineLevel="0" collapsed="false">
      <c r="A31" s="51" t="s">
        <v>184</v>
      </c>
    </row>
    <row r="32" customFormat="false" ht="15" hidden="false" customHeight="false" outlineLevel="0" collapsed="false">
      <c r="A32" s="51" t="s">
        <v>185</v>
      </c>
    </row>
    <row r="33" customFormat="false" ht="15" hidden="false" customHeight="false" outlineLevel="0" collapsed="false">
      <c r="A33" s="51" t="s">
        <v>186</v>
      </c>
    </row>
    <row r="34" customFormat="false" ht="15" hidden="false" customHeight="false" outlineLevel="0" collapsed="false">
      <c r="A34" s="51" t="s">
        <v>187</v>
      </c>
    </row>
    <row r="35" customFormat="false" ht="15" hidden="false" customHeight="false" outlineLevel="0" collapsed="false">
      <c r="A35" s="51" t="s">
        <v>188</v>
      </c>
    </row>
    <row r="36" customFormat="false" ht="15" hidden="false" customHeight="false" outlineLevel="0" collapsed="false">
      <c r="A36" s="51" t="s">
        <v>189</v>
      </c>
    </row>
    <row r="37" customFormat="false" ht="15" hidden="false" customHeight="false" outlineLevel="0" collapsed="false">
      <c r="A37" s="51" t="s">
        <v>190</v>
      </c>
    </row>
    <row r="38" customFormat="false" ht="15" hidden="false" customHeight="false" outlineLevel="0" collapsed="false">
      <c r="A38" s="51" t="s">
        <v>191</v>
      </c>
    </row>
    <row r="39" customFormat="false" ht="15" hidden="false" customHeight="false" outlineLevel="0" collapsed="false">
      <c r="A39" s="51" t="s">
        <v>192</v>
      </c>
    </row>
    <row r="40" customFormat="false" ht="15" hidden="false" customHeight="false" outlineLevel="0" collapsed="false">
      <c r="A40" s="51" t="s">
        <v>193</v>
      </c>
    </row>
    <row r="41" customFormat="false" ht="15" hidden="false" customHeight="false" outlineLevel="0" collapsed="false">
      <c r="A41" s="51" t="s">
        <v>194</v>
      </c>
    </row>
    <row r="42" customFormat="false" ht="15" hidden="false" customHeight="false" outlineLevel="0" collapsed="false">
      <c r="A42" s="51"/>
    </row>
    <row r="43" customFormat="false" ht="15" hidden="false" customHeight="false" outlineLevel="0" collapsed="false">
      <c r="A43" s="51" t="s">
        <v>195</v>
      </c>
    </row>
    <row r="44" customFormat="false" ht="15" hidden="false" customHeight="false" outlineLevel="0" collapsed="false">
      <c r="A44" s="51" t="s">
        <v>196</v>
      </c>
    </row>
    <row r="45" customFormat="false" ht="15" hidden="false" customHeight="false" outlineLevel="0" collapsed="false">
      <c r="A45" s="51" t="s">
        <v>197</v>
      </c>
    </row>
    <row r="46" customFormat="false" ht="15" hidden="false" customHeight="false" outlineLevel="0" collapsed="false">
      <c r="A46" s="51" t="s">
        <v>198</v>
      </c>
    </row>
    <row r="47" customFormat="false" ht="15" hidden="false" customHeight="false" outlineLevel="0" collapsed="false">
      <c r="A47" s="51"/>
    </row>
    <row r="48" customFormat="false" ht="15" hidden="false" customHeight="false" outlineLevel="0" collapsed="false">
      <c r="A48" s="51" t="s">
        <v>199</v>
      </c>
    </row>
    <row r="49" customFormat="false" ht="15" hidden="false" customHeight="false" outlineLevel="0" collapsed="false">
      <c r="A49" s="51" t="s">
        <v>200</v>
      </c>
    </row>
    <row r="50" customFormat="false" ht="15" hidden="false" customHeight="false" outlineLevel="0" collapsed="false">
      <c r="A50" s="51" t="s">
        <v>201</v>
      </c>
    </row>
    <row r="51" customFormat="false" ht="15" hidden="false" customHeight="false" outlineLevel="0" collapsed="false">
      <c r="A51" s="51" t="s">
        <v>202</v>
      </c>
    </row>
    <row r="52" customFormat="false" ht="15" hidden="false" customHeight="false" outlineLevel="0" collapsed="false">
      <c r="A52" s="51" t="s">
        <v>175</v>
      </c>
    </row>
    <row r="53" customFormat="false" ht="15" hidden="false" customHeight="false" outlineLevel="0" collapsed="false">
      <c r="A53" s="51"/>
    </row>
    <row r="54" customFormat="false" ht="15" hidden="false" customHeight="false" outlineLevel="0" collapsed="false">
      <c r="A54" s="51" t="s">
        <v>176</v>
      </c>
    </row>
    <row r="55" customFormat="false" ht="15" hidden="false" customHeight="false" outlineLevel="0" collapsed="false">
      <c r="A55" s="51" t="s">
        <v>177</v>
      </c>
    </row>
    <row r="56" customFormat="false" ht="15" hidden="false" customHeight="false" outlineLevel="0" collapsed="false">
      <c r="A56" s="51" t="s">
        <v>178</v>
      </c>
    </row>
    <row r="57" customFormat="false" ht="15" hidden="false" customHeight="false" outlineLevel="0" collapsed="false">
      <c r="A57" s="51" t="s">
        <v>179</v>
      </c>
    </row>
    <row r="58" customFormat="false" ht="15" hidden="false" customHeight="false" outlineLevel="0" collapsed="false">
      <c r="A58" s="51"/>
    </row>
    <row r="59" customFormat="false" ht="15" hidden="false" customHeight="false" outlineLevel="0" collapsed="false">
      <c r="A59" s="51" t="s">
        <v>180</v>
      </c>
    </row>
    <row r="60" customFormat="false" ht="15" hidden="false" customHeight="false" outlineLevel="0" collapsed="false">
      <c r="A60" s="51" t="s">
        <v>181</v>
      </c>
    </row>
    <row r="61" customFormat="false" ht="15" hidden="false" customHeight="false" outlineLevel="0" collapsed="false">
      <c r="A61" s="51" t="s">
        <v>203</v>
      </c>
    </row>
    <row r="62" customFormat="false" ht="15" hidden="false" customHeight="false" outlineLevel="0" collapsed="false">
      <c r="A62" s="51" t="s">
        <v>182</v>
      </c>
    </row>
    <row r="63" customFormat="false" ht="15" hidden="false" customHeight="false" outlineLevel="0" collapsed="false">
      <c r="A63" s="51"/>
    </row>
    <row r="64" customFormat="false" ht="15" hidden="false" customHeight="false" outlineLevel="0" collapsed="false">
      <c r="A64" s="51" t="s">
        <v>183</v>
      </c>
    </row>
    <row r="65" customFormat="false" ht="15" hidden="false" customHeight="false" outlineLevel="0" collapsed="false">
      <c r="A65" s="51" t="s">
        <v>184</v>
      </c>
    </row>
    <row r="66" customFormat="false" ht="15" hidden="false" customHeight="false" outlineLevel="0" collapsed="false">
      <c r="A66" s="51" t="s">
        <v>185</v>
      </c>
    </row>
    <row r="67" customFormat="false" ht="15" hidden="false" customHeight="false" outlineLevel="0" collapsed="false">
      <c r="A67" s="51" t="s">
        <v>186</v>
      </c>
    </row>
    <row r="68" customFormat="false" ht="15" hidden="false" customHeight="false" outlineLevel="0" collapsed="false">
      <c r="A68" s="51" t="s">
        <v>204</v>
      </c>
    </row>
    <row r="69" customFormat="false" ht="15" hidden="false" customHeight="false" outlineLevel="0" collapsed="false">
      <c r="A69" s="51" t="s">
        <v>205</v>
      </c>
    </row>
    <row r="70" customFormat="false" ht="15" hidden="false" customHeight="false" outlineLevel="0" collapsed="false">
      <c r="A70" s="51" t="s">
        <v>206</v>
      </c>
    </row>
    <row r="71" customFormat="false" ht="15" hidden="false" customHeight="false" outlineLevel="0" collapsed="false">
      <c r="A71" s="51" t="s">
        <v>207</v>
      </c>
    </row>
    <row r="72" customFormat="false" ht="15" hidden="false" customHeight="false" outlineLevel="0" collapsed="false">
      <c r="A72" s="51" t="s">
        <v>208</v>
      </c>
    </row>
    <row r="73" customFormat="false" ht="15" hidden="false" customHeight="false" outlineLevel="0" collapsed="false">
      <c r="A73" s="51" t="s">
        <v>209</v>
      </c>
    </row>
    <row r="74" customFormat="false" ht="15" hidden="false" customHeight="false" outlineLevel="0" collapsed="false">
      <c r="A74" s="51" t="s">
        <v>210</v>
      </c>
    </row>
    <row r="75" customFormat="false" ht="15" hidden="false" customHeight="false" outlineLevel="0" collapsed="false">
      <c r="A75" s="51" t="s">
        <v>211</v>
      </c>
    </row>
    <row r="76" customFormat="false" ht="15" hidden="false" customHeight="false" outlineLevel="0" collapsed="false">
      <c r="A76" s="51" t="s">
        <v>212</v>
      </c>
    </row>
    <row r="77" customFormat="false" ht="15" hidden="false" customHeight="false" outlineLevel="0" collapsed="false">
      <c r="A77" s="51" t="s">
        <v>213</v>
      </c>
    </row>
    <row r="78" customFormat="false" ht="15" hidden="false" customHeight="false" outlineLevel="0" collapsed="false">
      <c r="A78" s="51" t="s">
        <v>214</v>
      </c>
    </row>
    <row r="79" customFormat="false" ht="15" hidden="false" customHeight="false" outlineLevel="0" collapsed="false">
      <c r="A79" s="51" t="s">
        <v>192</v>
      </c>
    </row>
    <row r="80" customFormat="false" ht="15" hidden="false" customHeight="false" outlineLevel="0" collapsed="false">
      <c r="A80" s="51" t="s">
        <v>193</v>
      </c>
    </row>
    <row r="81" customFormat="false" ht="15" hidden="false" customHeight="false" outlineLevel="0" collapsed="false">
      <c r="A81" s="51" t="s">
        <v>194</v>
      </c>
    </row>
    <row r="82" customFormat="false" ht="15" hidden="false" customHeight="false" outlineLevel="0" collapsed="false">
      <c r="A82" s="51"/>
    </row>
    <row r="83" customFormat="false" ht="15" hidden="false" customHeight="false" outlineLevel="0" collapsed="false">
      <c r="A83" s="51" t="s">
        <v>215</v>
      </c>
    </row>
    <row r="84" customFormat="false" ht="15" hidden="false" customHeight="false" outlineLevel="0" collapsed="false">
      <c r="A84" s="51" t="s">
        <v>216</v>
      </c>
    </row>
    <row r="85" customFormat="false" ht="15" hidden="false" customHeight="false" outlineLevel="0" collapsed="false">
      <c r="A85" s="51" t="s">
        <v>217</v>
      </c>
    </row>
    <row r="86" customFormat="false" ht="15" hidden="false" customHeight="false" outlineLevel="0" collapsed="false">
      <c r="A86" s="51" t="s">
        <v>218</v>
      </c>
    </row>
    <row r="87" customFormat="false" ht="15" hidden="false" customHeight="false" outlineLevel="0" collapsed="false">
      <c r="A87" s="51" t="s">
        <v>219</v>
      </c>
    </row>
    <row r="88" customFormat="false" ht="15" hidden="false" customHeight="false" outlineLevel="0" collapsed="false">
      <c r="A88" s="51" t="s">
        <v>220</v>
      </c>
    </row>
    <row r="89" customFormat="false" ht="15" hidden="false" customHeight="false" outlineLevel="0" collapsed="false">
      <c r="A89" s="51" t="s">
        <v>221</v>
      </c>
    </row>
    <row r="90" customFormat="false" ht="15" hidden="false" customHeight="false" outlineLevel="0" collapsed="false">
      <c r="A90" s="51"/>
    </row>
    <row r="91" customFormat="false" ht="15" hidden="false" customHeight="false" outlineLevel="0" collapsed="false">
      <c r="A91" s="51" t="s">
        <v>195</v>
      </c>
    </row>
    <row r="92" customFormat="false" ht="15" hidden="false" customHeight="false" outlineLevel="0" collapsed="false">
      <c r="A92" s="51" t="s">
        <v>222</v>
      </c>
    </row>
    <row r="93" customFormat="false" ht="15" hidden="false" customHeight="false" outlineLevel="0" collapsed="false">
      <c r="A93" s="51" t="s">
        <v>196</v>
      </c>
    </row>
    <row r="94" customFormat="false" ht="15" hidden="false" customHeight="false" outlineLevel="0" collapsed="false">
      <c r="A94" s="51" t="s">
        <v>223</v>
      </c>
    </row>
    <row r="95" customFormat="false" ht="15" hidden="false" customHeight="false" outlineLevel="0" collapsed="false">
      <c r="A95" s="51" t="s">
        <v>198</v>
      </c>
    </row>
    <row r="96" customFormat="false" ht="15" hidden="false" customHeight="false" outlineLevel="0" collapsed="false">
      <c r="A96" s="51"/>
    </row>
    <row r="97" customFormat="false" ht="15" hidden="false" customHeight="false" outlineLevel="0" collapsed="false">
      <c r="A97" s="51" t="s">
        <v>224</v>
      </c>
    </row>
    <row r="98" customFormat="false" ht="15" hidden="false" customHeight="false" outlineLevel="0" collapsed="false">
      <c r="A98" s="51" t="s">
        <v>225</v>
      </c>
    </row>
    <row r="99" customFormat="false" ht="15" hidden="false" customHeight="false" outlineLevel="0" collapsed="false">
      <c r="A99" s="51" t="s">
        <v>226</v>
      </c>
    </row>
    <row r="100" customFormat="false" ht="15" hidden="false" customHeight="false" outlineLevel="0" collapsed="false">
      <c r="A100" s="51" t="s">
        <v>227</v>
      </c>
    </row>
    <row r="101" customFormat="false" ht="15" hidden="false" customHeight="false" outlineLevel="0" collapsed="false">
      <c r="A101" s="51"/>
    </row>
    <row r="102" customFormat="false" ht="15" hidden="false" customHeight="false" outlineLevel="0" collapsed="false">
      <c r="A102" s="51" t="s">
        <v>176</v>
      </c>
    </row>
    <row r="103" customFormat="false" ht="15" hidden="false" customHeight="false" outlineLevel="0" collapsed="false">
      <c r="A103" s="51" t="s">
        <v>177</v>
      </c>
    </row>
    <row r="104" customFormat="false" ht="15" hidden="false" customHeight="false" outlineLevel="0" collapsed="false">
      <c r="A104" s="51" t="s">
        <v>228</v>
      </c>
    </row>
    <row r="105" customFormat="false" ht="15" hidden="false" customHeight="false" outlineLevel="0" collapsed="false">
      <c r="A105" s="51" t="s">
        <v>229</v>
      </c>
    </row>
    <row r="106" customFormat="false" ht="15" hidden="false" customHeight="false" outlineLevel="0" collapsed="false">
      <c r="A106" s="51"/>
    </row>
    <row r="107" customFormat="false" ht="15" hidden="false" customHeight="false" outlineLevel="0" collapsed="false">
      <c r="A107" s="51" t="s">
        <v>180</v>
      </c>
    </row>
    <row r="108" customFormat="false" ht="15" hidden="false" customHeight="false" outlineLevel="0" collapsed="false">
      <c r="A108" s="51" t="s">
        <v>182</v>
      </c>
    </row>
    <row r="109" customFormat="false" ht="15" hidden="false" customHeight="false" outlineLevel="0" collapsed="false">
      <c r="A109" s="51"/>
    </row>
    <row r="110" customFormat="false" ht="15" hidden="false" customHeight="false" outlineLevel="0" collapsed="false">
      <c r="A110" s="51" t="s">
        <v>183</v>
      </c>
    </row>
    <row r="111" customFormat="false" ht="15" hidden="false" customHeight="false" outlineLevel="0" collapsed="false">
      <c r="A111" s="51" t="s">
        <v>230</v>
      </c>
    </row>
    <row r="112" customFormat="false" ht="15" hidden="false" customHeight="false" outlineLevel="0" collapsed="false">
      <c r="A112" s="51" t="s">
        <v>231</v>
      </c>
    </row>
    <row r="113" customFormat="false" ht="15" hidden="false" customHeight="false" outlineLevel="0" collapsed="false">
      <c r="A113" s="51" t="s">
        <v>185</v>
      </c>
    </row>
    <row r="114" customFormat="false" ht="15" hidden="false" customHeight="false" outlineLevel="0" collapsed="false">
      <c r="A114" s="51" t="s">
        <v>186</v>
      </c>
    </row>
    <row r="115" customFormat="false" ht="15" hidden="false" customHeight="false" outlineLevel="0" collapsed="false">
      <c r="A115" s="51" t="s">
        <v>232</v>
      </c>
    </row>
    <row r="116" customFormat="false" ht="15" hidden="false" customHeight="false" outlineLevel="0" collapsed="false">
      <c r="A116" s="51" t="s">
        <v>192</v>
      </c>
    </row>
    <row r="117" customFormat="false" ht="15" hidden="false" customHeight="false" outlineLevel="0" collapsed="false">
      <c r="A117" s="51" t="s">
        <v>193</v>
      </c>
    </row>
    <row r="118" customFormat="false" ht="15" hidden="false" customHeight="false" outlineLevel="0" collapsed="false">
      <c r="A118" s="51" t="s">
        <v>194</v>
      </c>
    </row>
    <row r="119" customFormat="false" ht="15" hidden="false" customHeight="false" outlineLevel="0" collapsed="false">
      <c r="A119" s="51"/>
    </row>
    <row r="120" customFormat="false" ht="15" hidden="false" customHeight="false" outlineLevel="0" collapsed="false">
      <c r="A120" s="51" t="s">
        <v>195</v>
      </c>
    </row>
    <row r="121" customFormat="false" ht="15" hidden="false" customHeight="false" outlineLevel="0" collapsed="false">
      <c r="A121" s="51" t="s">
        <v>233</v>
      </c>
    </row>
    <row r="122" customFormat="false" ht="15" hidden="false" customHeight="false" outlineLevel="0" collapsed="false">
      <c r="A122" s="51" t="s">
        <v>198</v>
      </c>
    </row>
    <row r="123" customFormat="false" ht="15" hidden="false" customHeight="false" outlineLevel="0" collapsed="false">
      <c r="A123" s="51"/>
    </row>
    <row r="124" customFormat="false" ht="15" hidden="false" customHeight="false" outlineLevel="0" collapsed="false">
      <c r="A124" s="51" t="s">
        <v>234</v>
      </c>
    </row>
    <row r="125" customFormat="false" ht="15" hidden="false" customHeight="false" outlineLevel="0" collapsed="false">
      <c r="A125" s="51" t="s">
        <v>235</v>
      </c>
    </row>
    <row r="126" customFormat="false" ht="15" hidden="false" customHeight="false" outlineLevel="0" collapsed="false">
      <c r="A126" s="51" t="s">
        <v>236</v>
      </c>
    </row>
    <row r="127" customFormat="false" ht="15" hidden="false" customHeight="false" outlineLevel="0" collapsed="false">
      <c r="A127" s="51" t="s">
        <v>237</v>
      </c>
    </row>
    <row r="128" customFormat="false" ht="15" hidden="false" customHeight="false" outlineLevel="0" collapsed="false">
      <c r="A128" s="51" t="s">
        <v>238</v>
      </c>
    </row>
    <row r="129" customFormat="false" ht="15" hidden="false" customHeight="false" outlineLevel="0" collapsed="false">
      <c r="A129" s="51"/>
    </row>
    <row r="130" customFormat="false" ht="15" hidden="false" customHeight="false" outlineLevel="0" collapsed="false">
      <c r="A130" s="51" t="s">
        <v>239</v>
      </c>
    </row>
    <row r="131" customFormat="false" ht="15" hidden="false" customHeight="false" outlineLevel="0" collapsed="false">
      <c r="A131" s="51" t="s">
        <v>240</v>
      </c>
    </row>
    <row r="132" customFormat="false" ht="15" hidden="false" customHeight="false" outlineLevel="0" collapsed="false">
      <c r="A132" s="51" t="s">
        <v>241</v>
      </c>
    </row>
    <row r="133" customFormat="false" ht="15" hidden="false" customHeight="false" outlineLevel="0" collapsed="false">
      <c r="A133" s="51" t="s">
        <v>242</v>
      </c>
    </row>
    <row r="134" customFormat="false" ht="15" hidden="false" customHeight="false" outlineLevel="0" collapsed="false">
      <c r="A134" s="51" t="s">
        <v>243</v>
      </c>
    </row>
    <row r="135" customFormat="false" ht="15" hidden="false" customHeight="false" outlineLevel="0" collapsed="false">
      <c r="A135" s="51" t="s">
        <v>221</v>
      </c>
    </row>
    <row r="136" customFormat="false" ht="15" hidden="false" customHeight="false" outlineLevel="0" collapsed="false">
      <c r="A136" s="51" t="s">
        <v>244</v>
      </c>
    </row>
    <row r="137" customFormat="false" ht="15" hidden="false" customHeight="false" outlineLevel="0" collapsed="false">
      <c r="A137" s="51" t="s">
        <v>245</v>
      </c>
    </row>
    <row r="138" customFormat="false" ht="15" hidden="false" customHeight="false" outlineLevel="0" collapsed="false">
      <c r="A138" s="51" t="s">
        <v>246</v>
      </c>
    </row>
    <row r="139" customFormat="false" ht="15" hidden="false" customHeight="false" outlineLevel="0" collapsed="false">
      <c r="A139" s="51" t="s">
        <v>238</v>
      </c>
    </row>
    <row r="140" customFormat="false" ht="15" hidden="false" customHeight="false" outlineLevel="0" collapsed="false">
      <c r="A140" s="51"/>
    </row>
    <row r="141" customFormat="false" ht="15" hidden="false" customHeight="false" outlineLevel="0" collapsed="false">
      <c r="A141" s="51" t="s">
        <v>247</v>
      </c>
    </row>
    <row r="142" customFormat="false" ht="15" hidden="false" customHeight="false" outlineLevel="0" collapsed="false">
      <c r="A142" s="51" t="s">
        <v>248</v>
      </c>
    </row>
    <row r="143" customFormat="false" ht="15" hidden="false" customHeight="false" outlineLevel="0" collapsed="false">
      <c r="A143" s="51" t="s">
        <v>249</v>
      </c>
    </row>
    <row r="144" customFormat="false" ht="15" hidden="false" customHeight="false" outlineLevel="0" collapsed="false">
      <c r="A144" s="51" t="s">
        <v>250</v>
      </c>
    </row>
    <row r="145" customFormat="false" ht="15" hidden="false" customHeight="false" outlineLevel="0" collapsed="false">
      <c r="A145" s="51" t="s">
        <v>251</v>
      </c>
    </row>
    <row r="146" customFormat="false" ht="15" hidden="false" customHeight="false" outlineLevel="0" collapsed="false">
      <c r="A146" s="51" t="s">
        <v>252</v>
      </c>
    </row>
    <row r="147" customFormat="false" ht="15" hidden="false" customHeight="false" outlineLevel="0" collapsed="false">
      <c r="A147" s="51"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2026-09-22T20:40:10Z</dcterms:created>
  <dc:creator>openpyxl</dc:creator>
  <dc:description/>
  <dc:language>en-US</dc:language>
  <cp:lastModifiedBy/>
  <dcterms:modified xsi:type="dcterms:W3CDTF">2026-09-22T20:40:28Z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